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heck" sheetId="2" state="visible" r:id="rId4"/>
  </sheets>
  <definedNames>
    <definedName function="false" hidden="true" localSheetId="1" name="_xlnm._FilterDatabase" vbProcedure="false">Check!$A$1:$U$5000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<sst xmlns="http://schemas.openxmlformats.org/spreadsheetml/2006/main" count="354" uniqueCount="143">
  <si>
    <t xml:space="preserve">END_TR_BALANCE Reconciliation Check</t>
  </si>
  <si>
    <t xml:space="preserve">Tolerance ($)</t>
  </si>
  <si>
    <t xml:space="preserve">Input (assumption): rounding tolerance - change if needed</t>
  </si>
  <si>
    <t xml:space="preserve">Result</t>
  </si>
  <si>
    <t xml:space="preserve">Rows</t>
  </si>
  <si>
    <t xml:space="preserve">% of checked</t>
  </si>
  <si>
    <t xml:space="preserve">PASS</t>
  </si>
  <si>
    <t xml:space="preserve">FAIL</t>
  </si>
  <si>
    <t xml:space="preserve">BYPASS</t>
  </si>
  <si>
    <t xml:space="preserve">Total</t>
  </si>
  <si>
    <t xml:space="preserve">Formula used (per tranche)</t>
  </si>
  <si>
    <t xml:space="preserve">Expected_ETB = PreV_ETB - PRINCIPAL_DIST - CURR_REALIZED_LOSS + Deferred_interest   (blank/NULL treated as 0)</t>
  </si>
  <si>
    <t xml:space="preserve">PASS: |End_tr_balance - Expected_ETB| &lt;= tolerance     FAIL: otherwise     BYPASS: PreV_ETB or End_tr_balance is missing (cannot test)</t>
  </si>
  <si>
    <t xml:space="preserve">How to use</t>
  </si>
  <si>
    <t xml:space="preserve">1) Paste your full table (same 17 columns, A:Q, headers in row 1) over the sample rows on the Check sheet.  2) Columns R:U calculate automatically (formulas filled to row 5000).  3) Filter column T for FAIL / BYPASS.</t>
  </si>
  <si>
    <t xml:space="preserve">The 43 rows currently on Check are a sample taken from your data, shown only as an example.</t>
  </si>
  <si>
    <t xml:space="preserve">DEAL_ID</t>
  </si>
  <si>
    <t xml:space="preserve">Deal_Name</t>
  </si>
  <si>
    <t xml:space="preserve">Deal_Type</t>
  </si>
  <si>
    <t xml:space="preserve">Month</t>
  </si>
  <si>
    <t xml:space="preserve">Year</t>
  </si>
  <si>
    <t xml:space="preserve">Status</t>
  </si>
  <si>
    <t xml:space="preserve">FORMATE_Name</t>
  </si>
  <si>
    <t xml:space="preserve">Cash_Flow</t>
  </si>
  <si>
    <t xml:space="preserve">TRANCHE_ID</t>
  </si>
  <si>
    <t xml:space="preserve">TRANCHE_NAME</t>
  </si>
  <si>
    <t xml:space="preserve">beginning_balance</t>
  </si>
  <si>
    <t xml:space="preserve">End_tr_balance</t>
  </si>
  <si>
    <t xml:space="preserve">Notional_Balance</t>
  </si>
  <si>
    <t xml:space="preserve">PRINCIPAL_DIST</t>
  </si>
  <si>
    <t xml:space="preserve">CURR_REALIZED_LOSS</t>
  </si>
  <si>
    <t xml:space="preserve">Deferred_interest</t>
  </si>
  <si>
    <t xml:space="preserve">PreV_ETB</t>
  </si>
  <si>
    <t xml:space="preserve">Expected_ETB</t>
  </si>
  <si>
    <t xml:space="preserve">Diff (Reported - Expected)</t>
  </si>
  <si>
    <t xml:space="preserve">Reason</t>
  </si>
  <si>
    <t xml:space="preserve">Countrywide MBS 1998-12</t>
  </si>
  <si>
    <t xml:space="preserve">WL</t>
  </si>
  <si>
    <t xml:space="preserve">UPLOADED</t>
  </si>
  <si>
    <t xml:space="preserve">BNY_FORMAT_4</t>
  </si>
  <si>
    <t xml:space="preserve">PI</t>
  </si>
  <si>
    <t xml:space="preserve">X1</t>
  </si>
  <si>
    <t xml:space="preserve">ABS Corp Equity Loan Trust 1999-LB1</t>
  </si>
  <si>
    <t xml:space="preserve">JP_Format_2</t>
  </si>
  <si>
    <t xml:space="preserve">B-1F</t>
  </si>
  <si>
    <t xml:space="preserve">RFMSII 2000-HI2</t>
  </si>
  <si>
    <t xml:space="preserve">GMAC_Format_6</t>
  </si>
  <si>
    <t xml:space="preserve">CERTS</t>
  </si>
  <si>
    <t xml:space="preserve">NULL</t>
  </si>
  <si>
    <t xml:space="preserve">RAMP 2001-RS2</t>
  </si>
  <si>
    <t xml:space="preserve">DM_GMAC_FORMAT_1</t>
  </si>
  <si>
    <t xml:space="preserve">SB-II</t>
  </si>
  <si>
    <t xml:space="preserve">RAMP 2001-RS3</t>
  </si>
  <si>
    <t xml:space="preserve">DM_JP_Format_1</t>
  </si>
  <si>
    <t xml:space="preserve">SB-I</t>
  </si>
  <si>
    <t xml:space="preserve">Ameriquest 2001-A</t>
  </si>
  <si>
    <t xml:space="preserve">DB_FORMAT_1</t>
  </si>
  <si>
    <t xml:space="preserve">CE</t>
  </si>
  <si>
    <t xml:space="preserve">MSDWC 2001-NC4</t>
  </si>
  <si>
    <t xml:space="preserve">US_Format_Special_1</t>
  </si>
  <si>
    <t xml:space="preserve">X</t>
  </si>
  <si>
    <t xml:space="preserve">Merrill Lynch 2002-AFC1</t>
  </si>
  <si>
    <t xml:space="preserve">DM_US_Format_7</t>
  </si>
  <si>
    <t xml:space="preserve">C</t>
  </si>
  <si>
    <t xml:space="preserve">New Century 2002-1</t>
  </si>
  <si>
    <t xml:space="preserve">US_Format_7</t>
  </si>
  <si>
    <t xml:space="preserve">RAMP 2002-RP1</t>
  </si>
  <si>
    <t xml:space="preserve">JP_Format_1</t>
  </si>
  <si>
    <t xml:space="preserve">SB</t>
  </si>
  <si>
    <t xml:space="preserve">MSDWC 2002-HE1</t>
  </si>
  <si>
    <t xml:space="preserve">RFMSII 2002-HI1</t>
  </si>
  <si>
    <t xml:space="preserve">GMAC_Format_4</t>
  </si>
  <si>
    <t xml:space="preserve">RFMSII 2002-HI3</t>
  </si>
  <si>
    <t xml:space="preserve">MASTR ABS 2003-WMC2</t>
  </si>
  <si>
    <t xml:space="preserve">DM_US_Format_9</t>
  </si>
  <si>
    <t xml:space="preserve">Countrywide MBS 2005-HYB1</t>
  </si>
  <si>
    <t xml:space="preserve">1X</t>
  </si>
  <si>
    <t xml:space="preserve">WaMu 2005-AR2</t>
  </si>
  <si>
    <t xml:space="preserve">WAMU_Format_1</t>
  </si>
  <si>
    <t xml:space="preserve">B1</t>
  </si>
  <si>
    <t xml:space="preserve">Encore Credit 2005-1</t>
  </si>
  <si>
    <t xml:space="preserve">DM_BNY_FORMAT_3</t>
  </si>
  <si>
    <t xml:space="preserve">C-1</t>
  </si>
  <si>
    <t xml:space="preserve">First Franklin 2004-FF10</t>
  </si>
  <si>
    <t xml:space="preserve">GMACM HEL 2005-HE2</t>
  </si>
  <si>
    <t xml:space="preserve">GMAC_Format_1</t>
  </si>
  <si>
    <t xml:space="preserve">A-4</t>
  </si>
  <si>
    <t xml:space="preserve">GSR 2005-1F</t>
  </si>
  <si>
    <t xml:space="preserve">IIIA3</t>
  </si>
  <si>
    <t xml:space="preserve">RAMP 2004-SL4</t>
  </si>
  <si>
    <t xml:space="preserve">GMAC_Format_2</t>
  </si>
  <si>
    <t xml:space="preserve">A-III</t>
  </si>
  <si>
    <t xml:space="preserve">RALI 2005-QS14</t>
  </si>
  <si>
    <t xml:space="preserve">III-A-1</t>
  </si>
  <si>
    <t xml:space="preserve">GE-WMC 2005-2</t>
  </si>
  <si>
    <t xml:space="preserve">BNY_FORMAT_2</t>
  </si>
  <si>
    <t xml:space="preserve">RAMP 2005-NC1</t>
  </si>
  <si>
    <t xml:space="preserve">A-I-3</t>
  </si>
  <si>
    <t xml:space="preserve">Luminent 2006-1</t>
  </si>
  <si>
    <t xml:space="preserve">DM_BNY_FORMAT_5</t>
  </si>
  <si>
    <t xml:space="preserve">WMALT 2007-OA3</t>
  </si>
  <si>
    <t xml:space="preserve">CX2PPP</t>
  </si>
  <si>
    <t xml:space="preserve">WMALT 2007-OA2</t>
  </si>
  <si>
    <t xml:space="preserve">WaMu 2007-HY1</t>
  </si>
  <si>
    <t xml:space="preserve">1A2</t>
  </si>
  <si>
    <t xml:space="preserve">Security National 2007-1</t>
  </si>
  <si>
    <t xml:space="preserve">US_Format_26</t>
  </si>
  <si>
    <t xml:space="preserve">FH SCRT 2017-3</t>
  </si>
  <si>
    <t xml:space="preserve">US_Format_29</t>
  </si>
  <si>
    <t xml:space="preserve">HT</t>
  </si>
  <si>
    <t xml:space="preserve">FH SCRT 2018-1</t>
  </si>
  <si>
    <t xml:space="preserve">HB</t>
  </si>
  <si>
    <t xml:space="preserve">Verus 2022-3</t>
  </si>
  <si>
    <t xml:space="preserve">CM_Format_2</t>
  </si>
  <si>
    <t xml:space="preserve">A1</t>
  </si>
  <si>
    <t xml:space="preserve">Walsh 1997-2</t>
  </si>
  <si>
    <t xml:space="preserve">A</t>
  </si>
  <si>
    <t xml:space="preserve">FoA Structured 2022-S4</t>
  </si>
  <si>
    <t xml:space="preserve">A1B</t>
  </si>
  <si>
    <t xml:space="preserve">Station Place 2025-3</t>
  </si>
  <si>
    <t xml:space="preserve">US_Format_24</t>
  </si>
  <si>
    <t xml:space="preserve">Certificates</t>
  </si>
  <si>
    <t xml:space="preserve">Citigroup 2026-RP2</t>
  </si>
  <si>
    <t xml:space="preserve">A-1</t>
  </si>
  <si>
    <t xml:space="preserve">Countrywide ALT 2005-24</t>
  </si>
  <si>
    <t xml:space="preserve">1AX</t>
  </si>
  <si>
    <t xml:space="preserve">Ocwen RMBS 1999-R2</t>
  </si>
  <si>
    <t xml:space="preserve">DM_US_Format_1</t>
  </si>
  <si>
    <t xml:space="preserve">IO</t>
  </si>
  <si>
    <t xml:space="preserve">AP</t>
  </si>
  <si>
    <t xml:space="preserve">CIT HEL 2002-1</t>
  </si>
  <si>
    <t xml:space="preserve">Other_Format_4</t>
  </si>
  <si>
    <t xml:space="preserve">Cl. MV-2</t>
  </si>
  <si>
    <t xml:space="preserve">GMACM HEL 2006-HE3</t>
  </si>
  <si>
    <t xml:space="preserve">GMAC_Format_3</t>
  </si>
  <si>
    <t xml:space="preserve">Cl. A-2</t>
  </si>
  <si>
    <t xml:space="preserve">MECAT 2011-1</t>
  </si>
  <si>
    <t xml:space="preserve">US_Format_6</t>
  </si>
  <si>
    <t xml:space="preserve">Cl. RV-I</t>
  </si>
  <si>
    <t xml:space="preserve">Freddie Mac MC 4961</t>
  </si>
  <si>
    <t xml:space="preserve">Fanniefeddie_FORMAT_1</t>
  </si>
  <si>
    <t xml:space="preserve">Cl. JB</t>
  </si>
  <si>
    <t xml:space="preserve">Cl. 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</si>
</sst>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.00;\(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7F6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2" t="n">
        <v>0.05</v>
      </c>
      <c r="C2" s="3" t="s">
        <v>2</v>
      </c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</row>
    <row r="5" customFormat="false" ht="15" hidden="false" customHeight="false" outlineLevel="0" collapsed="false">
      <c r="A5" s="0" t="s">
        <v>6</v>
      </c>
      <c r="B5" s="0" t="n">
        <f aca="false">COUNTIF(Check!$T$2:$T$5000,A5)</f>
        <v>17</v>
      </c>
      <c r="C5" s="5" t="n">
        <f aca="false">IF($B$8=0,0,B5/$B$8)</f>
        <v>0.395348837209302</v>
      </c>
    </row>
    <row r="6" customFormat="false" ht="15" hidden="false" customHeight="false" outlineLevel="0" collapsed="false">
      <c r="A6" s="0" t="s">
        <v>7</v>
      </c>
      <c r="B6" s="0" t="n">
        <f aca="false">COUNTIF(Check!$T$2:$T$5000,A6)</f>
        <v>24</v>
      </c>
      <c r="C6" s="5" t="n">
        <f aca="false">IF($B$8=0,0,B6/$B$8)</f>
        <v>0.558139534883721</v>
      </c>
    </row>
    <row r="7" customFormat="false" ht="15" hidden="false" customHeight="false" outlineLevel="0" collapsed="false">
      <c r="A7" s="0" t="s">
        <v>8</v>
      </c>
      <c r="B7" s="0" t="n">
        <f aca="false">COUNTIF(Check!$T$2:$T$5000,A7)</f>
        <v>2</v>
      </c>
      <c r="C7" s="5" t="n">
        <f aca="false">IF($B$8=0,0,B7/$B$8)</f>
        <v>0.0465116279069767</v>
      </c>
    </row>
    <row r="8" customFormat="false" ht="15" hidden="false" customHeight="false" outlineLevel="0" collapsed="false">
      <c r="A8" s="0" t="s">
        <v>9</v>
      </c>
      <c r="B8" s="0" t="n">
        <f aca="false">SUM(B5:B7)</f>
        <v>43</v>
      </c>
    </row>
    <row r="10" customFormat="false" ht="15" hidden="false" customHeight="false" outlineLevel="0" collapsed="false">
      <c r="A10" s="4" t="s">
        <v>10</v>
      </c>
    </row>
    <row r="11" customFormat="false" ht="15" hidden="false" customHeight="false" outlineLevel="0" collapsed="false">
      <c r="A11" s="0" t="s">
        <v>11</v>
      </c>
    </row>
    <row r="12" customFormat="false" ht="15" hidden="false" customHeight="false" outlineLevel="0" collapsed="false">
      <c r="A12" s="0" t="s">
        <v>12</v>
      </c>
    </row>
    <row r="14" customFormat="false" ht="15" hidden="false" customHeight="false" outlineLevel="0" collapsed="false">
      <c r="A14" s="4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5" min="4" style="0" width="6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3" min="11" style="0" width="18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6" min="16" style="0" width="16"/>
    <col collapsed="false" customWidth="true" hidden="false" outlineLevel="0" max="19" min="17" style="0" width="18"/>
    <col collapsed="false" customWidth="true" hidden="false" outlineLevel="0" max="20" min="20" style="0" width="10"/>
    <col collapsed="false" customWidth="true" hidden="false" outlineLevel="0" max="21" min="21" style="0" width="60"/>
  </cols>
  <sheetData>
    <row r="1" customFormat="false" ht="31.5" hidden="false" customHeight="tru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7" t="s">
        <v>33</v>
      </c>
      <c r="S1" s="7" t="s">
        <v>34</v>
      </c>
      <c r="T1" s="7" t="s">
        <v>3</v>
      </c>
      <c r="U1" s="7" t="s">
        <v>35</v>
      </c>
    </row>
    <row r="2" customFormat="false" ht="15" hidden="false" customHeight="false" outlineLevel="0" collapsed="false">
      <c r="A2" s="8" t="n">
        <v>8441</v>
      </c>
      <c r="B2" s="8" t="s">
        <v>36</v>
      </c>
      <c r="C2" s="8" t="s">
        <v>37</v>
      </c>
      <c r="D2" s="8" t="n">
        <v>9</v>
      </c>
      <c r="E2" s="8" t="n">
        <v>2026</v>
      </c>
      <c r="F2" s="8" t="s">
        <v>38</v>
      </c>
      <c r="G2" s="8" t="s">
        <v>39</v>
      </c>
      <c r="H2" s="8" t="s">
        <v>40</v>
      </c>
      <c r="I2" s="8" t="n">
        <v>251785</v>
      </c>
      <c r="J2" s="8" t="s">
        <v>41</v>
      </c>
      <c r="K2" s="9" t="n">
        <v>23990.95</v>
      </c>
      <c r="L2" s="9" t="n">
        <v>0</v>
      </c>
      <c r="M2" s="9" t="n">
        <v>21599.43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f aca="false">IF(AND(A2&lt;&gt;"",ISNUMBER(Q2),ISNUMBER(L2)),ROUND(Q2-IF(ISNUMBER(N2),N2,0)-IF(ISNUMBER(O2),O2,0)+IF(ISNUMBER(P2),P2,0),2),"")</f>
        <v>0</v>
      </c>
      <c r="S2" s="9" t="n">
        <f aca="false">IF(R2="","",ROUND(L2-R2,2))</f>
        <v>0</v>
      </c>
      <c r="T2" s="8" t="str">
        <f aca="false">IF(A2="","",IF(S2="","BYPASS",IF(ABS(S2)&lt;=Summary!$B$2,"PASS","FAIL")))</f>
        <v>PASS</v>
      </c>
      <c r="U2" s="8" t="str">
        <f aca="false">IF(T2="BYPASS",IF(NOT(ISNUMBER(Q2)),"PreV_ETB missing","End_tr_balance missing"),IF(T2="FAIL",IF(AND(ISNUMBER(K2),ISNUMBER(L2),ABS(L2-(K2-IF(ISNUMBER(N2),N2,0)-IF(ISNUMBER(O2),O2,0)+IF(ISNUMBER(P2),P2,0)))&lt;=Summary!$B$2),"Passes using beginning_balance - PreV_ETB differs from beginning_balance",IF(AND(ISNUMBER(O2),O2&lt;0,ABS(L2-(Q2-IF(ISNUMBER(N2),N2,0)+IF(ISNUMBER(P2),P2,0)))&lt;=Summary!$B$2),"Negative realized loss not applied - check sign",IF(R2&lt;0,"Principal paid exceeds prior balance",IF(AND(L2&gt;Q2,NOT(ISNUMBER(P2))),"Balance increased but no Deferred_interest reported",IF(L2&gt;R2,"Reported balance higher than expected (missing increase/OC build)","Reported balance lower than expected (missing decrease)"))))),""))</f>
        <v/>
      </c>
    </row>
    <row r="3" customFormat="false" ht="15" hidden="false" customHeight="false" outlineLevel="0" collapsed="false">
      <c r="A3" s="8" t="n">
        <v>8763</v>
      </c>
      <c r="B3" s="8" t="s">
        <v>42</v>
      </c>
      <c r="C3" s="8" t="s">
        <v>37</v>
      </c>
      <c r="D3" s="8" t="n">
        <v>9</v>
      </c>
      <c r="E3" s="8" t="n">
        <v>2026</v>
      </c>
      <c r="F3" s="8" t="s">
        <v>38</v>
      </c>
      <c r="G3" s="8" t="s">
        <v>43</v>
      </c>
      <c r="H3" s="8" t="s">
        <v>40</v>
      </c>
      <c r="I3" s="8" t="n">
        <v>256328</v>
      </c>
      <c r="J3" s="8" t="s">
        <v>44</v>
      </c>
      <c r="K3" s="9" t="n">
        <v>928526.63</v>
      </c>
      <c r="L3" s="9" t="n">
        <v>915905.81</v>
      </c>
      <c r="M3" s="9" t="n">
        <v>915905.81</v>
      </c>
      <c r="N3" s="9" t="n">
        <v>12315.89</v>
      </c>
      <c r="O3" s="9" t="n">
        <v>304.93</v>
      </c>
      <c r="P3" s="9" t="n">
        <v>0</v>
      </c>
      <c r="Q3" s="9" t="n">
        <v>928526.63</v>
      </c>
      <c r="R3" s="9" t="n">
        <f aca="false">IF(AND(A3&lt;&gt;"",ISNUMBER(Q3),ISNUMBER(L3)),ROUND(Q3-IF(ISNUMBER(N3),N3,0)-IF(ISNUMBER(O3),O3,0)+IF(ISNUMBER(P3),P3,0),2),"")</f>
        <v>915905.81</v>
      </c>
      <c r="S3" s="9" t="n">
        <f aca="false">IF(R3="","",ROUND(L3-R3,2))</f>
        <v>0</v>
      </c>
      <c r="T3" s="8" t="str">
        <f aca="false">IF(A3="","",IF(S3="","BYPASS",IF(ABS(S3)&lt;=Summary!$B$2,"PASS","FAIL")))</f>
        <v>PASS</v>
      </c>
      <c r="U3" s="8" t="str">
        <f aca="false">IF(T3="BYPASS",IF(NOT(ISNUMBER(Q3)),"PreV_ETB missing","End_tr_balance missing"),IF(T3="FAIL",IF(AND(ISNUMBER(K3),ISNUMBER(L3),ABS(L3-(K3-IF(ISNUMBER(N3),N3,0)-IF(ISNUMBER(O3),O3,0)+IF(ISNUMBER(P3),P3,0)))&lt;=Summary!$B$2),"Passes using beginning_balance - PreV_ETB differs from beginning_balance",IF(AND(ISNUMBER(O3),O3&lt;0,ABS(L3-(Q3-IF(ISNUMBER(N3),N3,0)+IF(ISNUMBER(P3),P3,0)))&lt;=Summary!$B$2),"Negative realized loss not applied - check sign",IF(R3&lt;0,"Principal paid exceeds prior balance",IF(AND(L3&gt;Q3,NOT(ISNUMBER(P3))),"Balance increased but no Deferred_interest reported",IF(L3&gt;R3,"Reported balance higher than expected (missing increase/OC build)","Reported balance lower than expected (missing decrease)"))))),""))</f>
        <v/>
      </c>
    </row>
    <row r="4" customFormat="false" ht="15" hidden="false" customHeight="false" outlineLevel="0" collapsed="false">
      <c r="A4" s="8" t="n">
        <v>9071</v>
      </c>
      <c r="B4" s="8" t="s">
        <v>45</v>
      </c>
      <c r="C4" s="8" t="s">
        <v>37</v>
      </c>
      <c r="D4" s="8" t="n">
        <v>9</v>
      </c>
      <c r="E4" s="8" t="n">
        <v>2026</v>
      </c>
      <c r="F4" s="8" t="s">
        <v>38</v>
      </c>
      <c r="G4" s="8" t="s">
        <v>46</v>
      </c>
      <c r="H4" s="8" t="s">
        <v>40</v>
      </c>
      <c r="I4" s="8" t="n">
        <v>258674</v>
      </c>
      <c r="J4" s="8" t="s">
        <v>47</v>
      </c>
      <c r="K4" s="9" t="n">
        <v>13330.64</v>
      </c>
      <c r="L4" s="9" t="n">
        <v>13286.86</v>
      </c>
      <c r="M4" s="9" t="s">
        <v>48</v>
      </c>
      <c r="N4" s="9" t="n">
        <v>43.78</v>
      </c>
      <c r="O4" s="9" t="n">
        <v>137.9</v>
      </c>
      <c r="P4" s="9" t="n">
        <v>137.9</v>
      </c>
      <c r="Q4" s="9" t="n">
        <v>13330.64</v>
      </c>
      <c r="R4" s="9" t="n">
        <f aca="false">IF(AND(A4&lt;&gt;"",ISNUMBER(Q4),ISNUMBER(L4)),ROUND(Q4-IF(ISNUMBER(N4),N4,0)-IF(ISNUMBER(O4),O4,0)+IF(ISNUMBER(P4),P4,0),2),"")</f>
        <v>13286.86</v>
      </c>
      <c r="S4" s="9" t="n">
        <f aca="false">IF(R4="","",ROUND(L4-R4,2))</f>
        <v>0</v>
      </c>
      <c r="T4" s="8" t="str">
        <f aca="false">IF(A4="","",IF(S4="","BYPASS",IF(ABS(S4)&lt;=Summary!$B$2,"PASS","FAIL")))</f>
        <v>PASS</v>
      </c>
      <c r="U4" s="8" t="str">
        <f aca="false">IF(T4="BYPASS",IF(NOT(ISNUMBER(Q4)),"PreV_ETB missing","End_tr_balance missing"),IF(T4="FAIL",IF(AND(ISNUMBER(K4),ISNUMBER(L4),ABS(L4-(K4-IF(ISNUMBER(N4),N4,0)-IF(ISNUMBER(O4),O4,0)+IF(ISNUMBER(P4),P4,0)))&lt;=Summary!$B$2),"Passes using beginning_balance - PreV_ETB differs from beginning_balance",IF(AND(ISNUMBER(O4),O4&lt;0,ABS(L4-(Q4-IF(ISNUMBER(N4),N4,0)+IF(ISNUMBER(P4),P4,0)))&lt;=Summary!$B$2),"Negative realized loss not applied - check sign",IF(R4&lt;0,"Principal paid exceeds prior balance",IF(AND(L4&gt;Q4,NOT(ISNUMBER(P4))),"Balance increased but no Deferred_interest reported",IF(L4&gt;R4,"Reported balance higher than expected (missing increase/OC build)","Reported balance lower than expected (missing decrease)"))))),""))</f>
        <v/>
      </c>
    </row>
    <row r="5" customFormat="false" ht="15" hidden="false" customHeight="false" outlineLevel="0" collapsed="false">
      <c r="A5" s="8" t="n">
        <v>10667</v>
      </c>
      <c r="B5" s="8" t="s">
        <v>49</v>
      </c>
      <c r="C5" s="8" t="s">
        <v>37</v>
      </c>
      <c r="D5" s="8" t="n">
        <v>9</v>
      </c>
      <c r="E5" s="8" t="n">
        <v>2026</v>
      </c>
      <c r="F5" s="8" t="s">
        <v>38</v>
      </c>
      <c r="G5" s="8" t="s">
        <v>50</v>
      </c>
      <c r="H5" s="8" t="s">
        <v>40</v>
      </c>
      <c r="I5" s="8" t="n">
        <v>273119</v>
      </c>
      <c r="J5" s="8" t="s">
        <v>51</v>
      </c>
      <c r="K5" s="9" t="n">
        <v>316551.6</v>
      </c>
      <c r="L5" s="9" t="n">
        <v>312129.55</v>
      </c>
      <c r="M5" s="9" t="s">
        <v>48</v>
      </c>
      <c r="N5" s="9" t="n">
        <v>4853.23</v>
      </c>
      <c r="O5" s="9" t="n">
        <v>0</v>
      </c>
      <c r="P5" s="9" t="n">
        <v>431.18</v>
      </c>
      <c r="Q5" s="9" t="n">
        <v>316551.6</v>
      </c>
      <c r="R5" s="9" t="n">
        <f aca="false">IF(AND(A5&lt;&gt;"",ISNUMBER(Q5),ISNUMBER(L5)),ROUND(Q5-IF(ISNUMBER(N5),N5,0)-IF(ISNUMBER(O5),O5,0)+IF(ISNUMBER(P5),P5,0),2),"")</f>
        <v>312129.55</v>
      </c>
      <c r="S5" s="9" t="n">
        <f aca="false">IF(R5="","",ROUND(L5-R5,2))</f>
        <v>0</v>
      </c>
      <c r="T5" s="8" t="str">
        <f aca="false">IF(A5="","",IF(S5="","BYPASS",IF(ABS(S5)&lt;=Summary!$B$2,"PASS","FAIL")))</f>
        <v>PASS</v>
      </c>
      <c r="U5" s="8" t="str">
        <f aca="false">IF(T5="BYPASS",IF(NOT(ISNUMBER(Q5)),"PreV_ETB missing","End_tr_balance missing"),IF(T5="FAIL",IF(AND(ISNUMBER(K5),ISNUMBER(L5),ABS(L5-(K5-IF(ISNUMBER(N5),N5,0)-IF(ISNUMBER(O5),O5,0)+IF(ISNUMBER(P5),P5,0)))&lt;=Summary!$B$2),"Passes using beginning_balance - PreV_ETB differs from beginning_balance",IF(AND(ISNUMBER(O5),O5&lt;0,ABS(L5-(Q5-IF(ISNUMBER(N5),N5,0)+IF(ISNUMBER(P5),P5,0)))&lt;=Summary!$B$2),"Negative realized loss not applied - check sign",IF(R5&lt;0,"Principal paid exceeds prior balance",IF(AND(L5&gt;Q5,NOT(ISNUMBER(P5))),"Balance increased but no Deferred_interest reported",IF(L5&gt;R5,"Reported balance higher than expected (missing increase/OC build)","Reported balance lower than expected (missing decrease)"))))),""))</f>
        <v/>
      </c>
    </row>
    <row r="6" customFormat="false" ht="15" hidden="false" customHeight="false" outlineLevel="0" collapsed="false">
      <c r="A6" s="8" t="n">
        <v>11103</v>
      </c>
      <c r="B6" s="8" t="s">
        <v>52</v>
      </c>
      <c r="C6" s="8" t="s">
        <v>37</v>
      </c>
      <c r="D6" s="8" t="n">
        <v>9</v>
      </c>
      <c r="E6" s="8" t="n">
        <v>2026</v>
      </c>
      <c r="F6" s="8" t="s">
        <v>38</v>
      </c>
      <c r="G6" s="8" t="s">
        <v>53</v>
      </c>
      <c r="H6" s="8" t="s">
        <v>40</v>
      </c>
      <c r="I6" s="8" t="n">
        <v>276476</v>
      </c>
      <c r="J6" s="8" t="s">
        <v>54</v>
      </c>
      <c r="K6" s="9" t="n">
        <v>1087624.98</v>
      </c>
      <c r="L6" s="9" t="n">
        <v>1077868.62</v>
      </c>
      <c r="M6" s="9" t="s">
        <v>48</v>
      </c>
      <c r="N6" s="9" t="n">
        <v>10893.09</v>
      </c>
      <c r="O6" s="9" t="n">
        <v>0</v>
      </c>
      <c r="P6" s="9" t="n">
        <v>1136.73</v>
      </c>
      <c r="Q6" s="9" t="n">
        <v>1087624.98</v>
      </c>
      <c r="R6" s="9" t="n">
        <f aca="false">IF(AND(A6&lt;&gt;"",ISNUMBER(Q6),ISNUMBER(L6)),ROUND(Q6-IF(ISNUMBER(N6),N6,0)-IF(ISNUMBER(O6),O6,0)+IF(ISNUMBER(P6),P6,0),2),"")</f>
        <v>1077868.62</v>
      </c>
      <c r="S6" s="9" t="n">
        <f aca="false">IF(R6="","",ROUND(L6-R6,2))</f>
        <v>0</v>
      </c>
      <c r="T6" s="8" t="str">
        <f aca="false">IF(A6="","",IF(S6="","BYPASS",IF(ABS(S6)&lt;=Summary!$B$2,"PASS","FAIL")))</f>
        <v>PASS</v>
      </c>
      <c r="U6" s="8" t="str">
        <f aca="false">IF(T6="BYPASS",IF(NOT(ISNUMBER(Q6)),"PreV_ETB missing","End_tr_balance missing"),IF(T6="FAIL",IF(AND(ISNUMBER(K6),ISNUMBER(L6),ABS(L6-(K6-IF(ISNUMBER(N6),N6,0)-IF(ISNUMBER(O6),O6,0)+IF(ISNUMBER(P6),P6,0)))&lt;=Summary!$B$2),"Passes using beginning_balance - PreV_ETB differs from beginning_balance",IF(AND(ISNUMBER(O6),O6&lt;0,ABS(L6-(Q6-IF(ISNUMBER(N6),N6,0)+IF(ISNUMBER(P6),P6,0)))&lt;=Summary!$B$2),"Negative realized loss not applied - check sign",IF(R6&lt;0,"Principal paid exceeds prior balance",IF(AND(L6&gt;Q6,NOT(ISNUMBER(P6))),"Balance increased but no Deferred_interest reported",IF(L6&gt;R6,"Reported balance higher than expected (missing increase/OC build)","Reported balance lower than expected (missing decrease)"))))),""))</f>
        <v/>
      </c>
    </row>
    <row r="7" customFormat="false" ht="15" hidden="false" customHeight="false" outlineLevel="0" collapsed="false">
      <c r="A7" s="8" t="n">
        <v>11374</v>
      </c>
      <c r="B7" s="8" t="s">
        <v>55</v>
      </c>
      <c r="C7" s="8" t="s">
        <v>37</v>
      </c>
      <c r="D7" s="8" t="n">
        <v>9</v>
      </c>
      <c r="E7" s="8" t="n">
        <v>2026</v>
      </c>
      <c r="F7" s="8" t="s">
        <v>38</v>
      </c>
      <c r="G7" s="8" t="s">
        <v>56</v>
      </c>
      <c r="H7" s="8" t="s">
        <v>40</v>
      </c>
      <c r="I7" s="8" t="n">
        <v>278791</v>
      </c>
      <c r="J7" s="8" t="s">
        <v>57</v>
      </c>
      <c r="K7" s="9" t="n">
        <v>1386201.57</v>
      </c>
      <c r="L7" s="9" t="n">
        <v>1391725.15</v>
      </c>
      <c r="M7" s="9" t="s">
        <v>48</v>
      </c>
      <c r="N7" s="9" t="n">
        <v>0</v>
      </c>
      <c r="O7" s="9" t="n">
        <v>0</v>
      </c>
      <c r="P7" s="9" t="n">
        <v>5523.58</v>
      </c>
      <c r="Q7" s="9" t="n">
        <v>1386201.57</v>
      </c>
      <c r="R7" s="9" t="n">
        <f aca="false">IF(AND(A7&lt;&gt;"",ISNUMBER(Q7),ISNUMBER(L7)),ROUND(Q7-IF(ISNUMBER(N7),N7,0)-IF(ISNUMBER(O7),O7,0)+IF(ISNUMBER(P7),P7,0),2),"")</f>
        <v>1391725.15</v>
      </c>
      <c r="S7" s="9" t="n">
        <f aca="false">IF(R7="","",ROUND(L7-R7,2))</f>
        <v>0</v>
      </c>
      <c r="T7" s="8" t="str">
        <f aca="false">IF(A7="","",IF(S7="","BYPASS",IF(ABS(S7)&lt;=Summary!$B$2,"PASS","FAIL")))</f>
        <v>PASS</v>
      </c>
      <c r="U7" s="8" t="str">
        <f aca="false">IF(T7="BYPASS",IF(NOT(ISNUMBER(Q7)),"PreV_ETB missing","End_tr_balance missing"),IF(T7="FAIL",IF(AND(ISNUMBER(K7),ISNUMBER(L7),ABS(L7-(K7-IF(ISNUMBER(N7),N7,0)-IF(ISNUMBER(O7),O7,0)+IF(ISNUMBER(P7),P7,0)))&lt;=Summary!$B$2),"Passes using beginning_balance - PreV_ETB differs from beginning_balance",IF(AND(ISNUMBER(O7),O7&lt;0,ABS(L7-(Q7-IF(ISNUMBER(N7),N7,0)+IF(ISNUMBER(P7),P7,0)))&lt;=Summary!$B$2),"Negative realized loss not applied - check sign",IF(R7&lt;0,"Principal paid exceeds prior balance",IF(AND(L7&gt;Q7,NOT(ISNUMBER(P7))),"Balance increased but no Deferred_interest reported",IF(L7&gt;R7,"Reported balance higher than expected (missing increase/OC build)","Reported balance lower than expected (missing decrease)"))))),""))</f>
        <v/>
      </c>
    </row>
    <row r="8" customFormat="false" ht="15" hidden="false" customHeight="false" outlineLevel="0" collapsed="false">
      <c r="A8" s="8" t="n">
        <v>11421</v>
      </c>
      <c r="B8" s="8" t="s">
        <v>58</v>
      </c>
      <c r="C8" s="8" t="s">
        <v>37</v>
      </c>
      <c r="D8" s="8" t="n">
        <v>9</v>
      </c>
      <c r="E8" s="8" t="n">
        <v>2026</v>
      </c>
      <c r="F8" s="8" t="s">
        <v>38</v>
      </c>
      <c r="G8" s="8" t="s">
        <v>59</v>
      </c>
      <c r="H8" s="8" t="s">
        <v>40</v>
      </c>
      <c r="I8" s="8" t="n">
        <v>1514213</v>
      </c>
      <c r="J8" s="8" t="s">
        <v>60</v>
      </c>
      <c r="K8" s="9" t="n">
        <v>1233607.79</v>
      </c>
      <c r="L8" s="9" t="n">
        <v>1237770.54</v>
      </c>
      <c r="M8" s="9" t="s">
        <v>48</v>
      </c>
      <c r="N8" s="9" t="n">
        <v>0</v>
      </c>
      <c r="O8" s="9" t="n">
        <v>0</v>
      </c>
      <c r="P8" s="9" t="s">
        <v>48</v>
      </c>
      <c r="Q8" s="9" t="n">
        <v>1233607.79</v>
      </c>
      <c r="R8" s="9" t="n">
        <f aca="false">IF(AND(A8&lt;&gt;"",ISNUMBER(Q8),ISNUMBER(L8)),ROUND(Q8-IF(ISNUMBER(N8),N8,0)-IF(ISNUMBER(O8),O8,0)+IF(ISNUMBER(P8),P8,0),2),"")</f>
        <v>1233607.79</v>
      </c>
      <c r="S8" s="9" t="n">
        <f aca="false">IF(R8="","",ROUND(L8-R8,2))</f>
        <v>4162.75</v>
      </c>
      <c r="T8" s="8" t="str">
        <f aca="false">IF(A8="","",IF(S8="","BYPASS",IF(ABS(S8)&lt;=Summary!$B$2,"PASS","FAIL")))</f>
        <v>FAIL</v>
      </c>
      <c r="U8" s="8" t="str">
        <f aca="false">IF(T8="BYPASS",IF(NOT(ISNUMBER(Q8)),"PreV_ETB missing","End_tr_balance missing"),IF(T8="FAIL",IF(AND(ISNUMBER(K8),ISNUMBER(L8),ABS(L8-(K8-IF(ISNUMBER(N8),N8,0)-IF(ISNUMBER(O8),O8,0)+IF(ISNUMBER(P8),P8,0)))&lt;=Summary!$B$2),"Passes using beginning_balance - PreV_ETB differs from beginning_balance",IF(AND(ISNUMBER(O8),O8&lt;0,ABS(L8-(Q8-IF(ISNUMBER(N8),N8,0)+IF(ISNUMBER(P8),P8,0)))&lt;=Summary!$B$2),"Negative realized loss not applied - check sign",IF(R8&lt;0,"Principal paid exceeds prior balance",IF(AND(L8&gt;Q8,NOT(ISNUMBER(P8))),"Balance increased but no Deferred_interest reported",IF(L8&gt;R8,"Reported balance higher than expected (missing increase/OC build)","Reported balance lower than expected (missing decrease)"))))),""))</f>
        <v>Balance increased but no Deferred_interest reported</v>
      </c>
    </row>
    <row r="9" customFormat="false" ht="15" hidden="false" customHeight="false" outlineLevel="0" collapsed="false">
      <c r="A9" s="8" t="n">
        <v>11543</v>
      </c>
      <c r="B9" s="8" t="s">
        <v>61</v>
      </c>
      <c r="C9" s="8" t="s">
        <v>37</v>
      </c>
      <c r="D9" s="8" t="n">
        <v>9</v>
      </c>
      <c r="E9" s="8" t="n">
        <v>2026</v>
      </c>
      <c r="F9" s="8" t="s">
        <v>38</v>
      </c>
      <c r="G9" s="8" t="s">
        <v>62</v>
      </c>
      <c r="H9" s="8" t="s">
        <v>40</v>
      </c>
      <c r="I9" s="8" t="n">
        <v>280462</v>
      </c>
      <c r="J9" s="8" t="s">
        <v>63</v>
      </c>
      <c r="K9" s="9" t="n">
        <v>5990652.32</v>
      </c>
      <c r="L9" s="9" t="n">
        <v>5934675.87</v>
      </c>
      <c r="M9" s="9" t="s">
        <v>48</v>
      </c>
      <c r="N9" s="9" t="n">
        <v>0</v>
      </c>
      <c r="O9" s="9" t="n">
        <v>0</v>
      </c>
      <c r="P9" s="9" t="s">
        <v>48</v>
      </c>
      <c r="Q9" s="9" t="n">
        <v>5990652.32</v>
      </c>
      <c r="R9" s="9" t="n">
        <f aca="false">IF(AND(A9&lt;&gt;"",ISNUMBER(Q9),ISNUMBER(L9)),ROUND(Q9-IF(ISNUMBER(N9),N9,0)-IF(ISNUMBER(O9),O9,0)+IF(ISNUMBER(P9),P9,0),2),"")</f>
        <v>5990652.32</v>
      </c>
      <c r="S9" s="9" t="n">
        <f aca="false">IF(R9="","",ROUND(L9-R9,2))</f>
        <v>-55976.45</v>
      </c>
      <c r="T9" s="8" t="str">
        <f aca="false">IF(A9="","",IF(S9="","BYPASS",IF(ABS(S9)&lt;=Summary!$B$2,"PASS","FAIL")))</f>
        <v>FAIL</v>
      </c>
      <c r="U9" s="8" t="str">
        <f aca="false">IF(T9="BYPASS",IF(NOT(ISNUMBER(Q9)),"PreV_ETB missing","End_tr_balance missing"),IF(T9="FAIL",IF(AND(ISNUMBER(K9),ISNUMBER(L9),ABS(L9-(K9-IF(ISNUMBER(N9),N9,0)-IF(ISNUMBER(O9),O9,0)+IF(ISNUMBER(P9),P9,0)))&lt;=Summary!$B$2),"Passes using beginning_balance - PreV_ETB differs from beginning_balance",IF(AND(ISNUMBER(O9),O9&lt;0,ABS(L9-(Q9-IF(ISNUMBER(N9),N9,0)+IF(ISNUMBER(P9),P9,0)))&lt;=Summary!$B$2),"Negative realized loss not applied - check sign",IF(R9&lt;0,"Principal paid exceeds prior balance",IF(AND(L9&gt;Q9,NOT(ISNUMBER(P9))),"Balance increased but no Deferred_interest reported",IF(L9&gt;R9,"Reported balance higher than expected (missing increase/OC build)","Reported balance lower than expected (missing decrease)"))))),""))</f>
        <v>Reported balance lower than expected (missing decrease)</v>
      </c>
    </row>
    <row r="10" customFormat="false" ht="15" hidden="false" customHeight="false" outlineLevel="0" collapsed="false">
      <c r="A10" s="8" t="n">
        <v>11549</v>
      </c>
      <c r="B10" s="8" t="s">
        <v>64</v>
      </c>
      <c r="C10" s="8" t="s">
        <v>37</v>
      </c>
      <c r="D10" s="8" t="n">
        <v>9</v>
      </c>
      <c r="E10" s="8" t="n">
        <v>2026</v>
      </c>
      <c r="F10" s="8" t="s">
        <v>38</v>
      </c>
      <c r="G10" s="8" t="s">
        <v>65</v>
      </c>
      <c r="H10" s="8" t="s">
        <v>40</v>
      </c>
      <c r="I10" s="8" t="n">
        <v>1514121</v>
      </c>
      <c r="J10" s="8" t="s">
        <v>57</v>
      </c>
      <c r="K10" s="9" t="n">
        <v>378786.58</v>
      </c>
      <c r="L10" s="9" t="n">
        <v>376732.52</v>
      </c>
      <c r="M10" s="9" t="s">
        <v>48</v>
      </c>
      <c r="N10" s="9" t="n">
        <v>0</v>
      </c>
      <c r="O10" s="9" t="n">
        <v>1523</v>
      </c>
      <c r="P10" s="9" t="s">
        <v>48</v>
      </c>
      <c r="Q10" s="9" t="n">
        <v>378786.58</v>
      </c>
      <c r="R10" s="9" t="n">
        <f aca="false">IF(AND(A10&lt;&gt;"",ISNUMBER(Q10),ISNUMBER(L10)),ROUND(Q10-IF(ISNUMBER(N10),N10,0)-IF(ISNUMBER(O10),O10,0)+IF(ISNUMBER(P10),P10,0),2),"")</f>
        <v>377263.58</v>
      </c>
      <c r="S10" s="9" t="n">
        <f aca="false">IF(R10="","",ROUND(L10-R10,2))</f>
        <v>-531.06</v>
      </c>
      <c r="T10" s="8" t="str">
        <f aca="false">IF(A10="","",IF(S10="","BYPASS",IF(ABS(S10)&lt;=Summary!$B$2,"PASS","FAIL")))</f>
        <v>FAIL</v>
      </c>
      <c r="U10" s="8" t="str">
        <f aca="false">IF(T10="BYPASS",IF(NOT(ISNUMBER(Q10)),"PreV_ETB missing","End_tr_balance missing"),IF(T10="FAIL",IF(AND(ISNUMBER(K10),ISNUMBER(L10),ABS(L10-(K10-IF(ISNUMBER(N10),N10,0)-IF(ISNUMBER(O10),O10,0)+IF(ISNUMBER(P10),P10,0)))&lt;=Summary!$B$2),"Passes using beginning_balance - PreV_ETB differs from beginning_balance",IF(AND(ISNUMBER(O10),O10&lt;0,ABS(L10-(Q10-IF(ISNUMBER(N10),N10,0)+IF(ISNUMBER(P10),P10,0)))&lt;=Summary!$B$2),"Negative realized loss not applied - check sign",IF(R10&lt;0,"Principal paid exceeds prior balance",IF(AND(L10&gt;Q10,NOT(ISNUMBER(P10))),"Balance increased but no Deferred_interest reported",IF(L10&gt;R10,"Reported balance higher than expected (missing increase/OC build)","Reported balance lower than expected (missing decrease)"))))),""))</f>
        <v>Reported balance lower than expected (missing decrease)</v>
      </c>
    </row>
    <row r="11" customFormat="false" ht="15" hidden="false" customHeight="false" outlineLevel="0" collapsed="false">
      <c r="A11" s="8" t="n">
        <v>11600</v>
      </c>
      <c r="B11" s="8" t="s">
        <v>66</v>
      </c>
      <c r="C11" s="8" t="s">
        <v>37</v>
      </c>
      <c r="D11" s="8" t="n">
        <v>9</v>
      </c>
      <c r="E11" s="8" t="n">
        <v>2026</v>
      </c>
      <c r="F11" s="8" t="s">
        <v>38</v>
      </c>
      <c r="G11" s="8" t="s">
        <v>67</v>
      </c>
      <c r="H11" s="8" t="s">
        <v>40</v>
      </c>
      <c r="I11" s="8" t="n">
        <v>280874</v>
      </c>
      <c r="J11" s="8" t="s">
        <v>68</v>
      </c>
      <c r="K11" s="9" t="n">
        <v>535585.77</v>
      </c>
      <c r="L11" s="9" t="n">
        <v>535585.77</v>
      </c>
      <c r="M11" s="9" t="s">
        <v>48</v>
      </c>
      <c r="N11" s="9" t="n">
        <v>843.17</v>
      </c>
      <c r="O11" s="9" t="n">
        <v>0</v>
      </c>
      <c r="P11" s="9" t="n">
        <v>843.17</v>
      </c>
      <c r="Q11" s="9" t="n">
        <v>535585.77</v>
      </c>
      <c r="R11" s="9" t="n">
        <f aca="false">IF(AND(A11&lt;&gt;"",ISNUMBER(Q11),ISNUMBER(L11)),ROUND(Q11-IF(ISNUMBER(N11),N11,0)-IF(ISNUMBER(O11),O11,0)+IF(ISNUMBER(P11),P11,0),2),"")</f>
        <v>535585.77</v>
      </c>
      <c r="S11" s="9" t="n">
        <f aca="false">IF(R11="","",ROUND(L11-R11,2))</f>
        <v>0</v>
      </c>
      <c r="T11" s="8" t="str">
        <f aca="false">IF(A11="","",IF(S11="","BYPASS",IF(ABS(S11)&lt;=Summary!$B$2,"PASS","FAIL")))</f>
        <v>PASS</v>
      </c>
      <c r="U11" s="8" t="str">
        <f aca="false">IF(T11="BYPASS",IF(NOT(ISNUMBER(Q11)),"PreV_ETB missing","End_tr_balance missing"),IF(T11="FAIL",IF(AND(ISNUMBER(K11),ISNUMBER(L11),ABS(L11-(K11-IF(ISNUMBER(N11),N11,0)-IF(ISNUMBER(O11),O11,0)+IF(ISNUMBER(P11),P11,0)))&lt;=Summary!$B$2),"Passes using beginning_balance - PreV_ETB differs from beginning_balance",IF(AND(ISNUMBER(O11),O11&lt;0,ABS(L11-(Q11-IF(ISNUMBER(N11),N11,0)+IF(ISNUMBER(P11),P11,0)))&lt;=Summary!$B$2),"Negative realized loss not applied - check sign",IF(R11&lt;0,"Principal paid exceeds prior balance",IF(AND(L11&gt;Q11,NOT(ISNUMBER(P11))),"Balance increased but no Deferred_interest reported",IF(L11&gt;R11,"Reported balance higher than expected (missing increase/OC build)","Reported balance lower than expected (missing decrease)"))))),""))</f>
        <v/>
      </c>
    </row>
    <row r="12" customFormat="false" ht="15" hidden="false" customHeight="false" outlineLevel="0" collapsed="false">
      <c r="A12" s="8" t="n">
        <v>11865</v>
      </c>
      <c r="B12" s="8" t="s">
        <v>69</v>
      </c>
      <c r="C12" s="8" t="s">
        <v>37</v>
      </c>
      <c r="D12" s="8" t="n">
        <v>9</v>
      </c>
      <c r="E12" s="8" t="n">
        <v>2026</v>
      </c>
      <c r="F12" s="8" t="s">
        <v>38</v>
      </c>
      <c r="G12" s="8" t="s">
        <v>59</v>
      </c>
      <c r="H12" s="8" t="s">
        <v>40</v>
      </c>
      <c r="I12" s="8" t="n">
        <v>1514091</v>
      </c>
      <c r="J12" s="8" t="s">
        <v>60</v>
      </c>
      <c r="K12" s="9" t="n">
        <v>2551903.16</v>
      </c>
      <c r="L12" s="9" t="n">
        <v>2516726.25</v>
      </c>
      <c r="M12" s="9" t="n">
        <v>2516726.25</v>
      </c>
      <c r="N12" s="9" t="n">
        <v>0</v>
      </c>
      <c r="O12" s="9" t="n">
        <v>35176.91</v>
      </c>
      <c r="P12" s="9" t="s">
        <v>48</v>
      </c>
      <c r="Q12" s="9" t="n">
        <v>2551903.16</v>
      </c>
      <c r="R12" s="9" t="n">
        <f aca="false">IF(AND(A12&lt;&gt;"",ISNUMBER(Q12),ISNUMBER(L12)),ROUND(Q12-IF(ISNUMBER(N12),N12,0)-IF(ISNUMBER(O12),O12,0)+IF(ISNUMBER(P12),P12,0),2),"")</f>
        <v>2516726.25</v>
      </c>
      <c r="S12" s="9" t="n">
        <f aca="false">IF(R12="","",ROUND(L12-R12,2))</f>
        <v>0</v>
      </c>
      <c r="T12" s="8" t="str">
        <f aca="false">IF(A12="","",IF(S12="","BYPASS",IF(ABS(S12)&lt;=Summary!$B$2,"PASS","FAIL")))</f>
        <v>PASS</v>
      </c>
      <c r="U12" s="8" t="str">
        <f aca="false">IF(T12="BYPASS",IF(NOT(ISNUMBER(Q12)),"PreV_ETB missing","End_tr_balance missing"),IF(T12="FAIL",IF(AND(ISNUMBER(K12),ISNUMBER(L12),ABS(L12-(K12-IF(ISNUMBER(N12),N12,0)-IF(ISNUMBER(O12),O12,0)+IF(ISNUMBER(P12),P12,0)))&lt;=Summary!$B$2),"Passes using beginning_balance - PreV_ETB differs from beginning_balance",IF(AND(ISNUMBER(O12),O12&lt;0,ABS(L12-(Q12-IF(ISNUMBER(N12),N12,0)+IF(ISNUMBER(P12),P12,0)))&lt;=Summary!$B$2),"Negative realized loss not applied - check sign",IF(R12&lt;0,"Principal paid exceeds prior balance",IF(AND(L12&gt;Q12,NOT(ISNUMBER(P12))),"Balance increased but no Deferred_interest reported",IF(L12&gt;R12,"Reported balance higher than expected (missing increase/OC build)","Reported balance lower than expected (missing decrease)"))))),""))</f>
        <v/>
      </c>
    </row>
    <row r="13" customFormat="false" ht="15" hidden="false" customHeight="false" outlineLevel="0" collapsed="false">
      <c r="A13" s="8" t="n">
        <v>11976</v>
      </c>
      <c r="B13" s="8" t="s">
        <v>70</v>
      </c>
      <c r="C13" s="8" t="s">
        <v>37</v>
      </c>
      <c r="D13" s="8" t="n">
        <v>9</v>
      </c>
      <c r="E13" s="8" t="n">
        <v>2026</v>
      </c>
      <c r="F13" s="8" t="s">
        <v>38</v>
      </c>
      <c r="G13" s="8" t="s">
        <v>71</v>
      </c>
      <c r="H13" s="8" t="s">
        <v>40</v>
      </c>
      <c r="I13" s="8" t="n">
        <v>283981</v>
      </c>
      <c r="J13" s="8" t="s">
        <v>47</v>
      </c>
      <c r="K13" s="9" t="n">
        <v>51350.29</v>
      </c>
      <c r="L13" s="9" t="n">
        <v>49625.6</v>
      </c>
      <c r="M13" s="9" t="s">
        <v>48</v>
      </c>
      <c r="N13" s="9" t="n">
        <v>1724.69</v>
      </c>
      <c r="O13" s="9" t="n">
        <v>575.63</v>
      </c>
      <c r="P13" s="9" t="n">
        <v>575.63</v>
      </c>
      <c r="Q13" s="9" t="n">
        <v>51350.29</v>
      </c>
      <c r="R13" s="9" t="n">
        <f aca="false">IF(AND(A13&lt;&gt;"",ISNUMBER(Q13),ISNUMBER(L13)),ROUND(Q13-IF(ISNUMBER(N13),N13,0)-IF(ISNUMBER(O13),O13,0)+IF(ISNUMBER(P13),P13,0),2),"")</f>
        <v>49625.6</v>
      </c>
      <c r="S13" s="9" t="n">
        <f aca="false">IF(R13="","",ROUND(L13-R13,2))</f>
        <v>0</v>
      </c>
      <c r="T13" s="8" t="str">
        <f aca="false">IF(A13="","",IF(S13="","BYPASS",IF(ABS(S13)&lt;=Summary!$B$2,"PASS","FAIL")))</f>
        <v>PASS</v>
      </c>
      <c r="U13" s="8" t="str">
        <f aca="false">IF(T13="BYPASS",IF(NOT(ISNUMBER(Q13)),"PreV_ETB missing","End_tr_balance missing"),IF(T13="FAIL",IF(AND(ISNUMBER(K13),ISNUMBER(L13),ABS(L13-(K13-IF(ISNUMBER(N13),N13,0)-IF(ISNUMBER(O13),O13,0)+IF(ISNUMBER(P13),P13,0)))&lt;=Summary!$B$2),"Passes using beginning_balance - PreV_ETB differs from beginning_balance",IF(AND(ISNUMBER(O13),O13&lt;0,ABS(L13-(Q13-IF(ISNUMBER(N13),N13,0)+IF(ISNUMBER(P13),P13,0)))&lt;=Summary!$B$2),"Negative realized loss not applied - check sign",IF(R13&lt;0,"Principal paid exceeds prior balance",IF(AND(L13&gt;Q13,NOT(ISNUMBER(P13))),"Balance increased but no Deferred_interest reported",IF(L13&gt;R13,"Reported balance higher than expected (missing increase/OC build)","Reported balance lower than expected (missing decrease)"))))),""))</f>
        <v/>
      </c>
    </row>
    <row r="14" customFormat="false" ht="15" hidden="false" customHeight="false" outlineLevel="0" collapsed="false">
      <c r="A14" s="8" t="n">
        <v>11979</v>
      </c>
      <c r="B14" s="8" t="s">
        <v>72</v>
      </c>
      <c r="C14" s="8" t="s">
        <v>37</v>
      </c>
      <c r="D14" s="8" t="n">
        <v>9</v>
      </c>
      <c r="E14" s="8" t="n">
        <v>2026</v>
      </c>
      <c r="F14" s="8" t="s">
        <v>38</v>
      </c>
      <c r="G14" s="8" t="s">
        <v>71</v>
      </c>
      <c r="H14" s="8" t="s">
        <v>40</v>
      </c>
      <c r="I14" s="8" t="n">
        <v>284005</v>
      </c>
      <c r="J14" s="8" t="s">
        <v>47</v>
      </c>
      <c r="K14" s="9" t="n">
        <v>27302.31</v>
      </c>
      <c r="L14" s="9" t="n">
        <v>26152.89</v>
      </c>
      <c r="M14" s="9" t="s">
        <v>48</v>
      </c>
      <c r="N14" s="9" t="n">
        <v>1149.42</v>
      </c>
      <c r="O14" s="9" t="n">
        <v>2441.7</v>
      </c>
      <c r="P14" s="9" t="n">
        <v>2441.7</v>
      </c>
      <c r="Q14" s="9" t="n">
        <v>27302.31</v>
      </c>
      <c r="R14" s="9" t="n">
        <f aca="false">IF(AND(A14&lt;&gt;"",ISNUMBER(Q14),ISNUMBER(L14)),ROUND(Q14-IF(ISNUMBER(N14),N14,0)-IF(ISNUMBER(O14),O14,0)+IF(ISNUMBER(P14),P14,0),2),"")</f>
        <v>26152.89</v>
      </c>
      <c r="S14" s="9" t="n">
        <f aca="false">IF(R14="","",ROUND(L14-R14,2))</f>
        <v>0</v>
      </c>
      <c r="T14" s="8" t="str">
        <f aca="false">IF(A14="","",IF(S14="","BYPASS",IF(ABS(S14)&lt;=Summary!$B$2,"PASS","FAIL")))</f>
        <v>PASS</v>
      </c>
      <c r="U14" s="8" t="str">
        <f aca="false">IF(T14="BYPASS",IF(NOT(ISNUMBER(Q14)),"PreV_ETB missing","End_tr_balance missing"),IF(T14="FAIL",IF(AND(ISNUMBER(K14),ISNUMBER(L14),ABS(L14-(K14-IF(ISNUMBER(N14),N14,0)-IF(ISNUMBER(O14),O14,0)+IF(ISNUMBER(P14),P14,0)))&lt;=Summary!$B$2),"Passes using beginning_balance - PreV_ETB differs from beginning_balance",IF(AND(ISNUMBER(O14),O14&lt;0,ABS(L14-(Q14-IF(ISNUMBER(N14),N14,0)+IF(ISNUMBER(P14),P14,0)))&lt;=Summary!$B$2),"Negative realized loss not applied - check sign",IF(R14&lt;0,"Principal paid exceeds prior balance",IF(AND(L14&gt;Q14,NOT(ISNUMBER(P14))),"Balance increased but no Deferred_interest reported",IF(L14&gt;R14,"Reported balance higher than expected (missing increase/OC build)","Reported balance lower than expected (missing decrease)"))))),""))</f>
        <v/>
      </c>
    </row>
    <row r="15" customFormat="false" ht="15" hidden="false" customHeight="false" outlineLevel="0" collapsed="false">
      <c r="A15" s="8" t="n">
        <v>17544</v>
      </c>
      <c r="B15" s="8" t="s">
        <v>73</v>
      </c>
      <c r="C15" s="8" t="s">
        <v>37</v>
      </c>
      <c r="D15" s="8" t="n">
        <v>9</v>
      </c>
      <c r="E15" s="8" t="n">
        <v>2026</v>
      </c>
      <c r="F15" s="8" t="s">
        <v>38</v>
      </c>
      <c r="G15" s="8" t="s">
        <v>74</v>
      </c>
      <c r="H15" s="8" t="s">
        <v>40</v>
      </c>
      <c r="I15" s="8" t="n">
        <v>467559</v>
      </c>
      <c r="J15" s="8" t="s">
        <v>57</v>
      </c>
      <c r="K15" s="9" t="n">
        <v>1559816.86</v>
      </c>
      <c r="L15" s="9" t="n">
        <v>1944846.4</v>
      </c>
      <c r="M15" s="9" t="s">
        <v>48</v>
      </c>
      <c r="N15" s="9" t="n">
        <v>0</v>
      </c>
      <c r="O15" s="9" t="n">
        <v>0</v>
      </c>
      <c r="P15" s="9" t="s">
        <v>48</v>
      </c>
      <c r="Q15" s="9" t="n">
        <v>1559816.86</v>
      </c>
      <c r="R15" s="9" t="n">
        <f aca="false">IF(AND(A15&lt;&gt;"",ISNUMBER(Q15),ISNUMBER(L15)),ROUND(Q15-IF(ISNUMBER(N15),N15,0)-IF(ISNUMBER(O15),O15,0)+IF(ISNUMBER(P15),P15,0),2),"")</f>
        <v>1559816.86</v>
      </c>
      <c r="S15" s="9" t="n">
        <f aca="false">IF(R15="","",ROUND(L15-R15,2))</f>
        <v>385029.54</v>
      </c>
      <c r="T15" s="8" t="str">
        <f aca="false">IF(A15="","",IF(S15="","BYPASS",IF(ABS(S15)&lt;=Summary!$B$2,"PASS","FAIL")))</f>
        <v>FAIL</v>
      </c>
      <c r="U15" s="8" t="str">
        <f aca="false">IF(T15="BYPASS",IF(NOT(ISNUMBER(Q15)),"PreV_ETB missing","End_tr_balance missing"),IF(T15="FAIL",IF(AND(ISNUMBER(K15),ISNUMBER(L15),ABS(L15-(K15-IF(ISNUMBER(N15),N15,0)-IF(ISNUMBER(O15),O15,0)+IF(ISNUMBER(P15),P15,0)))&lt;=Summary!$B$2),"Passes using beginning_balance - PreV_ETB differs from beginning_balance",IF(AND(ISNUMBER(O15),O15&lt;0,ABS(L15-(Q15-IF(ISNUMBER(N15),N15,0)+IF(ISNUMBER(P15),P15,0)))&lt;=Summary!$B$2),"Negative realized loss not applied - check sign",IF(R15&lt;0,"Principal paid exceeds prior balance",IF(AND(L15&gt;Q15,NOT(ISNUMBER(P15))),"Balance increased but no Deferred_interest reported",IF(L15&gt;R15,"Reported balance higher than expected (missing increase/OC build)","Reported balance lower than expected (missing decrease)"))))),""))</f>
        <v>Balance increased but no Deferred_interest reported</v>
      </c>
    </row>
    <row r="16" customFormat="false" ht="15" hidden="false" customHeight="false" outlineLevel="0" collapsed="false">
      <c r="A16" s="8" t="n">
        <v>33396</v>
      </c>
      <c r="B16" s="8" t="s">
        <v>75</v>
      </c>
      <c r="C16" s="8" t="s">
        <v>37</v>
      </c>
      <c r="D16" s="8" t="n">
        <v>9</v>
      </c>
      <c r="E16" s="8" t="n">
        <v>2026</v>
      </c>
      <c r="F16" s="8" t="s">
        <v>38</v>
      </c>
      <c r="G16" s="8" t="s">
        <v>39</v>
      </c>
      <c r="H16" s="8" t="s">
        <v>40</v>
      </c>
      <c r="I16" s="8" t="n">
        <v>371291</v>
      </c>
      <c r="J16" s="8" t="s">
        <v>76</v>
      </c>
      <c r="K16" s="9" t="n">
        <v>3625077.33</v>
      </c>
      <c r="L16" s="9" t="n">
        <v>17235.15</v>
      </c>
      <c r="M16" s="9" t="n">
        <v>3586699.86</v>
      </c>
      <c r="N16" s="9" t="n">
        <v>101.11</v>
      </c>
      <c r="O16" s="9" t="n">
        <v>0</v>
      </c>
      <c r="P16" s="9" t="n">
        <v>0</v>
      </c>
      <c r="Q16" s="9" t="n">
        <v>17336.26</v>
      </c>
      <c r="R16" s="9" t="n">
        <f aca="false">IF(AND(A16&lt;&gt;"",ISNUMBER(Q16),ISNUMBER(L16)),ROUND(Q16-IF(ISNUMBER(N16),N16,0)-IF(ISNUMBER(O16),O16,0)+IF(ISNUMBER(P16),P16,0),2),"")</f>
        <v>17235.15</v>
      </c>
      <c r="S16" s="9" t="n">
        <f aca="false">IF(R16="","",ROUND(L16-R16,2))</f>
        <v>0</v>
      </c>
      <c r="T16" s="8" t="str">
        <f aca="false">IF(A16="","",IF(S16="","BYPASS",IF(ABS(S16)&lt;=Summary!$B$2,"PASS","FAIL")))</f>
        <v>PASS</v>
      </c>
      <c r="U16" s="8" t="str">
        <f aca="false">IF(T16="BYPASS",IF(NOT(ISNUMBER(Q16)),"PreV_ETB missing","End_tr_balance missing"),IF(T16="FAIL",IF(AND(ISNUMBER(K16),ISNUMBER(L16),ABS(L16-(K16-IF(ISNUMBER(N16),N16,0)-IF(ISNUMBER(O16),O16,0)+IF(ISNUMBER(P16),P16,0)))&lt;=Summary!$B$2),"Passes using beginning_balance - PreV_ETB differs from beginning_balance",IF(AND(ISNUMBER(O16),O16&lt;0,ABS(L16-(Q16-IF(ISNUMBER(N16),N16,0)+IF(ISNUMBER(P16),P16,0)))&lt;=Summary!$B$2),"Negative realized loss not applied - check sign",IF(R16&lt;0,"Principal paid exceeds prior balance",IF(AND(L16&gt;Q16,NOT(ISNUMBER(P16))),"Balance increased but no Deferred_interest reported",IF(L16&gt;R16,"Reported balance higher than expected (missing increase/OC build)","Reported balance lower than expected (missing decrease)"))))),""))</f>
        <v/>
      </c>
    </row>
    <row r="17" customFormat="false" ht="15" hidden="false" customHeight="false" outlineLevel="0" collapsed="false">
      <c r="A17" s="8" t="n">
        <v>33428</v>
      </c>
      <c r="B17" s="8" t="s">
        <v>77</v>
      </c>
      <c r="C17" s="8" t="s">
        <v>37</v>
      </c>
      <c r="D17" s="8" t="n">
        <v>9</v>
      </c>
      <c r="E17" s="8" t="n">
        <v>2026</v>
      </c>
      <c r="F17" s="8" t="s">
        <v>38</v>
      </c>
      <c r="G17" s="8" t="s">
        <v>78</v>
      </c>
      <c r="H17" s="8" t="s">
        <v>40</v>
      </c>
      <c r="I17" s="8" t="n">
        <v>371799</v>
      </c>
      <c r="J17" s="8" t="s">
        <v>79</v>
      </c>
      <c r="K17" s="9" t="n">
        <v>44004023.32</v>
      </c>
      <c r="L17" s="9" t="n">
        <v>43402471.72</v>
      </c>
      <c r="M17" s="9" t="s">
        <v>48</v>
      </c>
      <c r="N17" s="9" t="n">
        <v>242433.39</v>
      </c>
      <c r="O17" s="9" t="n">
        <v>425752.43</v>
      </c>
      <c r="P17" s="9" t="s">
        <v>48</v>
      </c>
      <c r="Q17" s="9" t="n">
        <v>44004023.32</v>
      </c>
      <c r="R17" s="9" t="n">
        <f aca="false">IF(AND(A17&lt;&gt;"",ISNUMBER(Q17),ISNUMBER(L17)),ROUND(Q17-IF(ISNUMBER(N17),N17,0)-IF(ISNUMBER(O17),O17,0)+IF(ISNUMBER(P17),P17,0),2),"")</f>
        <v>43335837.5</v>
      </c>
      <c r="S17" s="9" t="n">
        <f aca="false">IF(R17="","",ROUND(L17-R17,2))</f>
        <v>66634.22</v>
      </c>
      <c r="T17" s="8" t="str">
        <f aca="false">IF(A17="","",IF(S17="","BYPASS",IF(ABS(S17)&lt;=Summary!$B$2,"PASS","FAIL")))</f>
        <v>FAIL</v>
      </c>
      <c r="U17" s="8" t="str">
        <f aca="false">IF(T17="BYPASS",IF(NOT(ISNUMBER(Q17)),"PreV_ETB missing","End_tr_balance missing"),IF(T17="FAIL",IF(AND(ISNUMBER(K17),ISNUMBER(L17),ABS(L17-(K17-IF(ISNUMBER(N17),N17,0)-IF(ISNUMBER(O17),O17,0)+IF(ISNUMBER(P17),P17,0)))&lt;=Summary!$B$2),"Passes using beginning_balance - PreV_ETB differs from beginning_balance",IF(AND(ISNUMBER(O17),O17&lt;0,ABS(L17-(Q17-IF(ISNUMBER(N17),N17,0)+IF(ISNUMBER(P17),P17,0)))&lt;=Summary!$B$2),"Negative realized loss not applied - check sign",IF(R17&lt;0,"Principal paid exceeds prior balance",IF(AND(L17&gt;Q17,NOT(ISNUMBER(P17))),"Balance increased but no Deferred_interest reported",IF(L17&gt;R17,"Reported balance higher than expected (missing increase/OC build)","Reported balance lower than expected (missing decrease)"))))),""))</f>
        <v>Reported balance higher than expected (missing increase/OC build)</v>
      </c>
    </row>
    <row r="18" customFormat="false" ht="15" hidden="false" customHeight="false" outlineLevel="0" collapsed="false">
      <c r="A18" s="8" t="n">
        <v>33613</v>
      </c>
      <c r="B18" s="8" t="s">
        <v>80</v>
      </c>
      <c r="C18" s="8" t="s">
        <v>37</v>
      </c>
      <c r="D18" s="8" t="n">
        <v>9</v>
      </c>
      <c r="E18" s="8" t="n">
        <v>2026</v>
      </c>
      <c r="F18" s="8" t="s">
        <v>38</v>
      </c>
      <c r="G18" s="8" t="s">
        <v>81</v>
      </c>
      <c r="H18" s="8" t="s">
        <v>40</v>
      </c>
      <c r="I18" s="8" t="n">
        <v>465149</v>
      </c>
      <c r="J18" s="8" t="s">
        <v>82</v>
      </c>
      <c r="K18" s="9" t="n">
        <v>510.35</v>
      </c>
      <c r="L18" s="9" t="n">
        <v>7033.51</v>
      </c>
      <c r="M18" s="9" t="s">
        <v>48</v>
      </c>
      <c r="N18" s="9" t="n">
        <v>0</v>
      </c>
      <c r="O18" s="9" t="n">
        <v>0</v>
      </c>
      <c r="P18" s="9" t="n">
        <v>0</v>
      </c>
      <c r="Q18" s="9" t="n">
        <v>510.35</v>
      </c>
      <c r="R18" s="9" t="n">
        <f aca="false">IF(AND(A18&lt;&gt;"",ISNUMBER(Q18),ISNUMBER(L18)),ROUND(Q18-IF(ISNUMBER(N18),N18,0)-IF(ISNUMBER(O18),O18,0)+IF(ISNUMBER(P18),P18,0),2),"")</f>
        <v>510.35</v>
      </c>
      <c r="S18" s="9" t="n">
        <f aca="false">IF(R18="","",ROUND(L18-R18,2))</f>
        <v>6523.16</v>
      </c>
      <c r="T18" s="8" t="str">
        <f aca="false">IF(A18="","",IF(S18="","BYPASS",IF(ABS(S18)&lt;=Summary!$B$2,"PASS","FAIL")))</f>
        <v>FAIL</v>
      </c>
      <c r="U18" s="8" t="str">
        <f aca="false">IF(T18="BYPASS",IF(NOT(ISNUMBER(Q18)),"PreV_ETB missing","End_tr_balance missing"),IF(T18="FAIL",IF(AND(ISNUMBER(K18),ISNUMBER(L18),ABS(L18-(K18-IF(ISNUMBER(N18),N18,0)-IF(ISNUMBER(O18),O18,0)+IF(ISNUMBER(P18),P18,0)))&lt;=Summary!$B$2),"Passes using beginning_balance - PreV_ETB differs from beginning_balance",IF(AND(ISNUMBER(O18),O18&lt;0,ABS(L18-(Q18-IF(ISNUMBER(N18),N18,0)+IF(ISNUMBER(P18),P18,0)))&lt;=Summary!$B$2),"Negative realized loss not applied - check sign",IF(R18&lt;0,"Principal paid exceeds prior balance",IF(AND(L18&gt;Q18,NOT(ISNUMBER(P18))),"Balance increased but no Deferred_interest reported",IF(L18&gt;R18,"Reported balance higher than expected (missing increase/OC build)","Reported balance lower than expected (missing decrease)"))))),""))</f>
        <v>Reported balance higher than expected (missing increase/OC build)</v>
      </c>
    </row>
    <row r="19" customFormat="false" ht="15" hidden="false" customHeight="false" outlineLevel="0" collapsed="false">
      <c r="A19" s="8" t="n">
        <v>33936</v>
      </c>
      <c r="B19" s="8" t="s">
        <v>83</v>
      </c>
      <c r="C19" s="8" t="s">
        <v>37</v>
      </c>
      <c r="D19" s="8" t="n">
        <v>9</v>
      </c>
      <c r="E19" s="8" t="n">
        <v>2026</v>
      </c>
      <c r="F19" s="8" t="s">
        <v>38</v>
      </c>
      <c r="G19" s="8" t="s">
        <v>67</v>
      </c>
      <c r="H19" s="8" t="s">
        <v>40</v>
      </c>
      <c r="I19" s="8" t="n">
        <v>1511198</v>
      </c>
      <c r="J19" s="8" t="s">
        <v>57</v>
      </c>
      <c r="K19" s="9" t="n">
        <v>573929.18</v>
      </c>
      <c r="L19" s="9" t="n">
        <v>421948.87</v>
      </c>
      <c r="M19" s="9" t="s">
        <v>48</v>
      </c>
      <c r="N19" s="9" t="n">
        <v>0</v>
      </c>
      <c r="O19" s="9" t="n">
        <v>0</v>
      </c>
      <c r="P19" s="9" t="n">
        <v>0</v>
      </c>
      <c r="Q19" s="9" t="n">
        <v>573929.18</v>
      </c>
      <c r="R19" s="9" t="n">
        <f aca="false">IF(AND(A19&lt;&gt;"",ISNUMBER(Q19),ISNUMBER(L19)),ROUND(Q19-IF(ISNUMBER(N19),N19,0)-IF(ISNUMBER(O19),O19,0)+IF(ISNUMBER(P19),P19,0),2),"")</f>
        <v>573929.18</v>
      </c>
      <c r="S19" s="9" t="n">
        <f aca="false">IF(R19="","",ROUND(L19-R19,2))</f>
        <v>-151980.31</v>
      </c>
      <c r="T19" s="8" t="str">
        <f aca="false">IF(A19="","",IF(S19="","BYPASS",IF(ABS(S19)&lt;=Summary!$B$2,"PASS","FAIL")))</f>
        <v>FAIL</v>
      </c>
      <c r="U19" s="8" t="str">
        <f aca="false">IF(T19="BYPASS",IF(NOT(ISNUMBER(Q19)),"PreV_ETB missing","End_tr_balance missing"),IF(T19="FAIL",IF(AND(ISNUMBER(K19),ISNUMBER(L19),ABS(L19-(K19-IF(ISNUMBER(N19),N19,0)-IF(ISNUMBER(O19),O19,0)+IF(ISNUMBER(P19),P19,0)))&lt;=Summary!$B$2),"Passes using beginning_balance - PreV_ETB differs from beginning_balance",IF(AND(ISNUMBER(O19),O19&lt;0,ABS(L19-(Q19-IF(ISNUMBER(N19),N19,0)+IF(ISNUMBER(P19),P19,0)))&lt;=Summary!$B$2),"Negative realized loss not applied - check sign",IF(R19&lt;0,"Principal paid exceeds prior balance",IF(AND(L19&gt;Q19,NOT(ISNUMBER(P19))),"Balance increased but no Deferred_interest reported",IF(L19&gt;R19,"Reported balance higher than expected (missing increase/OC build)","Reported balance lower than expected (missing decrease)"))))),""))</f>
        <v>Reported balance lower than expected (missing decrease)</v>
      </c>
    </row>
    <row r="20" customFormat="false" ht="15" hidden="false" customHeight="false" outlineLevel="0" collapsed="false">
      <c r="A20" s="8" t="n">
        <v>34334</v>
      </c>
      <c r="B20" s="8" t="s">
        <v>84</v>
      </c>
      <c r="C20" s="8" t="s">
        <v>37</v>
      </c>
      <c r="D20" s="8" t="n">
        <v>9</v>
      </c>
      <c r="E20" s="8" t="n">
        <v>2026</v>
      </c>
      <c r="F20" s="8" t="s">
        <v>38</v>
      </c>
      <c r="G20" s="8" t="s">
        <v>85</v>
      </c>
      <c r="H20" s="8" t="s">
        <v>40</v>
      </c>
      <c r="I20" s="8" t="n">
        <v>382212</v>
      </c>
      <c r="J20" s="8" t="s">
        <v>86</v>
      </c>
      <c r="K20" s="9" t="n">
        <v>2874831.89</v>
      </c>
      <c r="L20" s="9" t="n">
        <v>2810258.56</v>
      </c>
      <c r="M20" s="9" t="s">
        <v>48</v>
      </c>
      <c r="N20" s="9" t="n">
        <v>69135.1</v>
      </c>
      <c r="O20" s="9" t="n">
        <v>0</v>
      </c>
      <c r="P20" s="9" t="n">
        <v>0</v>
      </c>
      <c r="Q20" s="9" t="n">
        <v>2874831.89</v>
      </c>
      <c r="R20" s="9" t="n">
        <f aca="false">IF(AND(A20&lt;&gt;"",ISNUMBER(Q20),ISNUMBER(L20)),ROUND(Q20-IF(ISNUMBER(N20),N20,0)-IF(ISNUMBER(O20),O20,0)+IF(ISNUMBER(P20),P20,0),2),"")</f>
        <v>2805696.79</v>
      </c>
      <c r="S20" s="9" t="n">
        <f aca="false">IF(R20="","",ROUND(L20-R20,2))</f>
        <v>4561.77</v>
      </c>
      <c r="T20" s="8" t="str">
        <f aca="false">IF(A20="","",IF(S20="","BYPASS",IF(ABS(S20)&lt;=Summary!$B$2,"PASS","FAIL")))</f>
        <v>FAIL</v>
      </c>
      <c r="U20" s="8" t="str">
        <f aca="false">IF(T20="BYPASS",IF(NOT(ISNUMBER(Q20)),"PreV_ETB missing","End_tr_balance missing"),IF(T20="FAIL",IF(AND(ISNUMBER(K20),ISNUMBER(L20),ABS(L20-(K20-IF(ISNUMBER(N20),N20,0)-IF(ISNUMBER(O20),O20,0)+IF(ISNUMBER(P20),P20,0)))&lt;=Summary!$B$2),"Passes using beginning_balance - PreV_ETB differs from beginning_balance",IF(AND(ISNUMBER(O20),O20&lt;0,ABS(L20-(Q20-IF(ISNUMBER(N20),N20,0)+IF(ISNUMBER(P20),P20,0)))&lt;=Summary!$B$2),"Negative realized loss not applied - check sign",IF(R20&lt;0,"Principal paid exceeds prior balance",IF(AND(L20&gt;Q20,NOT(ISNUMBER(P20))),"Balance increased but no Deferred_interest reported",IF(L20&gt;R20,"Reported balance higher than expected (missing increase/OC build)","Reported balance lower than expected (missing decrease)"))))),""))</f>
        <v>Reported balance higher than expected (missing increase/OC build)</v>
      </c>
    </row>
    <row r="21" customFormat="false" ht="15" hidden="false" customHeight="false" outlineLevel="0" collapsed="false">
      <c r="A21" s="8" t="n">
        <v>34556</v>
      </c>
      <c r="B21" s="8" t="s">
        <v>87</v>
      </c>
      <c r="C21" s="8" t="s">
        <v>37</v>
      </c>
      <c r="D21" s="8" t="n">
        <v>9</v>
      </c>
      <c r="E21" s="8" t="n">
        <v>2026</v>
      </c>
      <c r="F21" s="8" t="s">
        <v>38</v>
      </c>
      <c r="G21" s="8" t="s">
        <v>43</v>
      </c>
      <c r="H21" s="8" t="s">
        <v>40</v>
      </c>
      <c r="I21" s="8" t="n">
        <v>385396</v>
      </c>
      <c r="J21" s="8" t="s">
        <v>88</v>
      </c>
      <c r="K21" s="9" t="n">
        <v>1370015.43</v>
      </c>
      <c r="L21" s="9" t="n">
        <v>1354716.55</v>
      </c>
      <c r="M21" s="9" t="s">
        <v>48</v>
      </c>
      <c r="N21" s="9" t="n">
        <v>23418.91</v>
      </c>
      <c r="O21" s="9" t="n">
        <v>-1269.95</v>
      </c>
      <c r="P21" s="9" t="n">
        <v>6850.08</v>
      </c>
      <c r="Q21" s="9" t="n">
        <v>1370015.43</v>
      </c>
      <c r="R21" s="9" t="n">
        <f aca="false">IF(AND(A21&lt;&gt;"",ISNUMBER(Q21),ISNUMBER(L21)),ROUND(Q21-IF(ISNUMBER(N21),N21,0)-IF(ISNUMBER(O21),O21,0)+IF(ISNUMBER(P21),P21,0),2),"")</f>
        <v>1354716.55</v>
      </c>
      <c r="S21" s="9" t="n">
        <f aca="false">IF(R21="","",ROUND(L21-R21,2))</f>
        <v>0</v>
      </c>
      <c r="T21" s="8" t="str">
        <f aca="false">IF(A21="","",IF(S21="","BYPASS",IF(ABS(S21)&lt;=Summary!$B$2,"PASS","FAIL")))</f>
        <v>PASS</v>
      </c>
      <c r="U21" s="8" t="str">
        <f aca="false">IF(T21="BYPASS",IF(NOT(ISNUMBER(Q21)),"PreV_ETB missing","End_tr_balance missing"),IF(T21="FAIL",IF(AND(ISNUMBER(K21),ISNUMBER(L21),ABS(L21-(K21-IF(ISNUMBER(N21),N21,0)-IF(ISNUMBER(O21),O21,0)+IF(ISNUMBER(P21),P21,0)))&lt;=Summary!$B$2),"Passes using beginning_balance - PreV_ETB differs from beginning_balance",IF(AND(ISNUMBER(O21),O21&lt;0,ABS(L21-(Q21-IF(ISNUMBER(N21),N21,0)+IF(ISNUMBER(P21),P21,0)))&lt;=Summary!$B$2),"Negative realized loss not applied - check sign",IF(R21&lt;0,"Principal paid exceeds prior balance",IF(AND(L21&gt;Q21,NOT(ISNUMBER(P21))),"Balance increased but no Deferred_interest reported",IF(L21&gt;R21,"Reported balance higher than expected (missing increase/OC build)","Reported balance lower than expected (missing decrease)"))))),""))</f>
        <v/>
      </c>
    </row>
    <row r="22" customFormat="false" ht="15" hidden="false" customHeight="false" outlineLevel="0" collapsed="false">
      <c r="A22" s="8" t="n">
        <v>33091</v>
      </c>
      <c r="B22" s="8" t="s">
        <v>89</v>
      </c>
      <c r="C22" s="8" t="s">
        <v>37</v>
      </c>
      <c r="D22" s="8" t="n">
        <v>9</v>
      </c>
      <c r="E22" s="8" t="n">
        <v>2026</v>
      </c>
      <c r="F22" s="8" t="s">
        <v>38</v>
      </c>
      <c r="G22" s="8" t="s">
        <v>90</v>
      </c>
      <c r="H22" s="8" t="s">
        <v>40</v>
      </c>
      <c r="I22" s="8" t="n">
        <v>367303</v>
      </c>
      <c r="J22" s="8" t="s">
        <v>91</v>
      </c>
      <c r="K22" s="9" t="n">
        <v>0</v>
      </c>
      <c r="L22" s="9" t="n">
        <v>1169.49</v>
      </c>
      <c r="M22" s="9" t="s">
        <v>48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f aca="false">IF(AND(A22&lt;&gt;"",ISNUMBER(Q22),ISNUMBER(L22)),ROUND(Q22-IF(ISNUMBER(N22),N22,0)-IF(ISNUMBER(O22),O22,0)+IF(ISNUMBER(P22),P22,0),2),"")</f>
        <v>0</v>
      </c>
      <c r="S22" s="9" t="n">
        <f aca="false">IF(R22="","",ROUND(L22-R22,2))</f>
        <v>1169.49</v>
      </c>
      <c r="T22" s="8" t="str">
        <f aca="false">IF(A22="","",IF(S22="","BYPASS",IF(ABS(S22)&lt;=Summary!$B$2,"PASS","FAIL")))</f>
        <v>FAIL</v>
      </c>
      <c r="U22" s="8" t="str">
        <f aca="false">IF(T22="BYPASS",IF(NOT(ISNUMBER(Q22)),"PreV_ETB missing","End_tr_balance missing"),IF(T22="FAIL",IF(AND(ISNUMBER(K22),ISNUMBER(L22),ABS(L22-(K22-IF(ISNUMBER(N22),N22,0)-IF(ISNUMBER(O22),O22,0)+IF(ISNUMBER(P22),P22,0)))&lt;=Summary!$B$2),"Passes using beginning_balance - PreV_ETB differs from beginning_balance",IF(AND(ISNUMBER(O22),O22&lt;0,ABS(L22-(Q22-IF(ISNUMBER(N22),N22,0)+IF(ISNUMBER(P22),P22,0)))&lt;=Summary!$B$2),"Negative realized loss not applied - check sign",IF(R22&lt;0,"Principal paid exceeds prior balance",IF(AND(L22&gt;Q22,NOT(ISNUMBER(P22))),"Balance increased but no Deferred_interest reported",IF(L22&gt;R22,"Reported balance higher than expected (missing increase/OC build)","Reported balance lower than expected (missing decrease)"))))),""))</f>
        <v>Reported balance higher than expected (missing increase/OC build)</v>
      </c>
    </row>
    <row r="23" customFormat="false" ht="15" hidden="false" customHeight="false" outlineLevel="0" collapsed="false">
      <c r="A23" s="8" t="n">
        <v>35538</v>
      </c>
      <c r="B23" s="8" t="s">
        <v>92</v>
      </c>
      <c r="C23" s="8" t="s">
        <v>37</v>
      </c>
      <c r="D23" s="8" t="n">
        <v>9</v>
      </c>
      <c r="E23" s="8" t="n">
        <v>2026</v>
      </c>
      <c r="F23" s="8" t="s">
        <v>38</v>
      </c>
      <c r="G23" s="8" t="s">
        <v>90</v>
      </c>
      <c r="H23" s="8" t="s">
        <v>40</v>
      </c>
      <c r="I23" s="8" t="n">
        <v>398893</v>
      </c>
      <c r="J23" s="8" t="s">
        <v>93</v>
      </c>
      <c r="K23" s="9" t="n">
        <v>6387617.8</v>
      </c>
      <c r="L23" s="9" t="n">
        <v>6322456.18</v>
      </c>
      <c r="M23" s="9" t="s">
        <v>48</v>
      </c>
      <c r="N23" s="9" t="n">
        <v>82490.51</v>
      </c>
      <c r="O23" s="9" t="n">
        <v>0</v>
      </c>
      <c r="P23" s="9" t="n">
        <v>0</v>
      </c>
      <c r="Q23" s="9" t="n">
        <v>6387617.8</v>
      </c>
      <c r="R23" s="9" t="n">
        <f aca="false">IF(AND(A23&lt;&gt;"",ISNUMBER(Q23),ISNUMBER(L23)),ROUND(Q23-IF(ISNUMBER(N23),N23,0)-IF(ISNUMBER(O23),O23,0)+IF(ISNUMBER(P23),P23,0),2),"")</f>
        <v>6305127.29</v>
      </c>
      <c r="S23" s="9" t="n">
        <f aca="false">IF(R23="","",ROUND(L23-R23,2))</f>
        <v>17328.89</v>
      </c>
      <c r="T23" s="8" t="str">
        <f aca="false">IF(A23="","",IF(S23="","BYPASS",IF(ABS(S23)&lt;=Summary!$B$2,"PASS","FAIL")))</f>
        <v>FAIL</v>
      </c>
      <c r="U23" s="8" t="str">
        <f aca="false">IF(T23="BYPASS",IF(NOT(ISNUMBER(Q23)),"PreV_ETB missing","End_tr_balance missing"),IF(T23="FAIL",IF(AND(ISNUMBER(K23),ISNUMBER(L23),ABS(L23-(K23-IF(ISNUMBER(N23),N23,0)-IF(ISNUMBER(O23),O23,0)+IF(ISNUMBER(P23),P23,0)))&lt;=Summary!$B$2),"Passes using beginning_balance - PreV_ETB differs from beginning_balance",IF(AND(ISNUMBER(O23),O23&lt;0,ABS(L23-(Q23-IF(ISNUMBER(N23),N23,0)+IF(ISNUMBER(P23),P23,0)))&lt;=Summary!$B$2),"Negative realized loss not applied - check sign",IF(R23&lt;0,"Principal paid exceeds prior balance",IF(AND(L23&gt;Q23,NOT(ISNUMBER(P23))),"Balance increased but no Deferred_interest reported",IF(L23&gt;R23,"Reported balance higher than expected (missing increase/OC build)","Reported balance lower than expected (missing decrease)"))))),""))</f>
        <v>Reported balance higher than expected (missing increase/OC build)</v>
      </c>
    </row>
    <row r="24" customFormat="false" ht="15" hidden="false" customHeight="false" outlineLevel="0" collapsed="false">
      <c r="A24" s="8" t="n">
        <v>37098</v>
      </c>
      <c r="B24" s="8" t="s">
        <v>94</v>
      </c>
      <c r="C24" s="8" t="s">
        <v>37</v>
      </c>
      <c r="D24" s="8" t="n">
        <v>9</v>
      </c>
      <c r="E24" s="8" t="n">
        <v>2026</v>
      </c>
      <c r="F24" s="8" t="s">
        <v>38</v>
      </c>
      <c r="G24" s="8" t="s">
        <v>95</v>
      </c>
      <c r="H24" s="8" t="s">
        <v>40</v>
      </c>
      <c r="I24" s="8" t="n">
        <v>420086</v>
      </c>
      <c r="J24" s="8" t="s">
        <v>63</v>
      </c>
      <c r="K24" s="9" t="n">
        <v>241828.71</v>
      </c>
      <c r="L24" s="9" t="n">
        <v>216987.04</v>
      </c>
      <c r="M24" s="9" t="s">
        <v>48</v>
      </c>
      <c r="N24" s="9" t="n">
        <v>0</v>
      </c>
      <c r="O24" s="9" t="n">
        <v>0</v>
      </c>
      <c r="P24" s="9" t="s">
        <v>48</v>
      </c>
      <c r="Q24" s="9" t="n">
        <v>241828.71</v>
      </c>
      <c r="R24" s="9" t="n">
        <f aca="false">IF(AND(A24&lt;&gt;"",ISNUMBER(Q24),ISNUMBER(L24)),ROUND(Q24-IF(ISNUMBER(N24),N24,0)-IF(ISNUMBER(O24),O24,0)+IF(ISNUMBER(P24),P24,0),2),"")</f>
        <v>241828.71</v>
      </c>
      <c r="S24" s="9" t="n">
        <f aca="false">IF(R24="","",ROUND(L24-R24,2))</f>
        <v>-24841.67</v>
      </c>
      <c r="T24" s="8" t="str">
        <f aca="false">IF(A24="","",IF(S24="","BYPASS",IF(ABS(S24)&lt;=Summary!$B$2,"PASS","FAIL")))</f>
        <v>FAIL</v>
      </c>
      <c r="U24" s="8" t="str">
        <f aca="false">IF(T24="BYPASS",IF(NOT(ISNUMBER(Q24)),"PreV_ETB missing","End_tr_balance missing"),IF(T24="FAIL",IF(AND(ISNUMBER(K24),ISNUMBER(L24),ABS(L24-(K24-IF(ISNUMBER(N24),N24,0)-IF(ISNUMBER(O24),O24,0)+IF(ISNUMBER(P24),P24,0)))&lt;=Summary!$B$2),"Passes using beginning_balance - PreV_ETB differs from beginning_balance",IF(AND(ISNUMBER(O24),O24&lt;0,ABS(L24-(Q24-IF(ISNUMBER(N24),N24,0)+IF(ISNUMBER(P24),P24,0)))&lt;=Summary!$B$2),"Negative realized loss not applied - check sign",IF(R24&lt;0,"Principal paid exceeds prior balance",IF(AND(L24&gt;Q24,NOT(ISNUMBER(P24))),"Balance increased but no Deferred_interest reported",IF(L24&gt;R24,"Reported balance higher than expected (missing increase/OC build)","Reported balance lower than expected (missing decrease)"))))),""))</f>
        <v>Reported balance lower than expected (missing decrease)</v>
      </c>
    </row>
    <row r="25" customFormat="false" ht="15" hidden="false" customHeight="false" outlineLevel="0" collapsed="false">
      <c r="A25" s="8" t="n">
        <v>38600</v>
      </c>
      <c r="B25" s="8" t="s">
        <v>96</v>
      </c>
      <c r="C25" s="8" t="s">
        <v>37</v>
      </c>
      <c r="D25" s="8" t="n">
        <v>9</v>
      </c>
      <c r="E25" s="8" t="n">
        <v>2026</v>
      </c>
      <c r="F25" s="8" t="s">
        <v>38</v>
      </c>
      <c r="G25" s="8" t="s">
        <v>90</v>
      </c>
      <c r="H25" s="8" t="s">
        <v>40</v>
      </c>
      <c r="I25" s="8" t="n">
        <v>440597</v>
      </c>
      <c r="J25" s="8" t="s">
        <v>97</v>
      </c>
      <c r="K25" s="9" t="n">
        <v>0</v>
      </c>
      <c r="L25" s="9" t="n">
        <v>0</v>
      </c>
      <c r="M25" s="9" t="s">
        <v>48</v>
      </c>
      <c r="N25" s="9" t="n">
        <v>17661.97</v>
      </c>
      <c r="O25" s="9" t="n">
        <v>0</v>
      </c>
      <c r="P25" s="9" t="n">
        <v>0</v>
      </c>
      <c r="Q25" s="9" t="n">
        <v>0</v>
      </c>
      <c r="R25" s="9" t="n">
        <f aca="false">IF(AND(A25&lt;&gt;"",ISNUMBER(Q25),ISNUMBER(L25)),ROUND(Q25-IF(ISNUMBER(N25),N25,0)-IF(ISNUMBER(O25),O25,0)+IF(ISNUMBER(P25),P25,0),2),"")</f>
        <v>-17661.97</v>
      </c>
      <c r="S25" s="9" t="n">
        <f aca="false">IF(R25="","",ROUND(L25-R25,2))</f>
        <v>17661.97</v>
      </c>
      <c r="T25" s="8" t="str">
        <f aca="false">IF(A25="","",IF(S25="","BYPASS",IF(ABS(S25)&lt;=Summary!$B$2,"PASS","FAIL")))</f>
        <v>FAIL</v>
      </c>
      <c r="U25" s="8" t="str">
        <f aca="false">IF(T25="BYPASS",IF(NOT(ISNUMBER(Q25)),"PreV_ETB missing","End_tr_balance missing"),IF(T25="FAIL",IF(AND(ISNUMBER(K25),ISNUMBER(L25),ABS(L25-(K25-IF(ISNUMBER(N25),N25,0)-IF(ISNUMBER(O25),O25,0)+IF(ISNUMBER(P25),P25,0)))&lt;=Summary!$B$2),"Passes using beginning_balance - PreV_ETB differs from beginning_balance",IF(AND(ISNUMBER(O25),O25&lt;0,ABS(L25-(Q25-IF(ISNUMBER(N25),N25,0)+IF(ISNUMBER(P25),P25,0)))&lt;=Summary!$B$2),"Negative realized loss not applied - check sign",IF(R25&lt;0,"Principal paid exceeds prior balance",IF(AND(L25&gt;Q25,NOT(ISNUMBER(P25))),"Balance increased but no Deferred_interest reported",IF(L25&gt;R25,"Reported balance higher than expected (missing increase/OC build)","Reported balance lower than expected (missing decrease)"))))),""))</f>
        <v>Principal paid exceeds prior balance</v>
      </c>
    </row>
    <row r="26" customFormat="false" ht="15" hidden="false" customHeight="false" outlineLevel="0" collapsed="false">
      <c r="A26" s="8" t="n">
        <v>39951</v>
      </c>
      <c r="B26" s="8" t="s">
        <v>98</v>
      </c>
      <c r="C26" s="8" t="s">
        <v>37</v>
      </c>
      <c r="D26" s="8" t="n">
        <v>9</v>
      </c>
      <c r="E26" s="8" t="n">
        <v>2026</v>
      </c>
      <c r="F26" s="8" t="s">
        <v>38</v>
      </c>
      <c r="G26" s="8" t="s">
        <v>99</v>
      </c>
      <c r="H26" s="8" t="s">
        <v>40</v>
      </c>
      <c r="I26" s="8" t="n">
        <v>1511073</v>
      </c>
      <c r="J26" s="8" t="s">
        <v>60</v>
      </c>
      <c r="K26" s="9" t="n">
        <v>22223586.81</v>
      </c>
      <c r="L26" s="9" t="n">
        <v>122192.06</v>
      </c>
      <c r="M26" s="9" t="n">
        <v>22032868.64</v>
      </c>
      <c r="N26" s="9" t="n">
        <v>393.92</v>
      </c>
      <c r="O26" s="9" t="n">
        <v>-53.5</v>
      </c>
      <c r="P26" s="9" t="n">
        <v>0</v>
      </c>
      <c r="Q26" s="9" t="n">
        <v>122532.48</v>
      </c>
      <c r="R26" s="9" t="n">
        <f aca="false">IF(AND(A26&lt;&gt;"",ISNUMBER(Q26),ISNUMBER(L26)),ROUND(Q26-IF(ISNUMBER(N26),N26,0)-IF(ISNUMBER(O26),O26,0)+IF(ISNUMBER(P26),P26,0),2),"")</f>
        <v>122192.06</v>
      </c>
      <c r="S26" s="9" t="n">
        <f aca="false">IF(R26="","",ROUND(L26-R26,2))</f>
        <v>0</v>
      </c>
      <c r="T26" s="8" t="str">
        <f aca="false">IF(A26="","",IF(S26="","BYPASS",IF(ABS(S26)&lt;=Summary!$B$2,"PASS","FAIL")))</f>
        <v>PASS</v>
      </c>
      <c r="U26" s="8" t="str">
        <f aca="false">IF(T26="BYPASS",IF(NOT(ISNUMBER(Q26)),"PreV_ETB missing","End_tr_balance missing"),IF(T26="FAIL",IF(AND(ISNUMBER(K26),ISNUMBER(L26),ABS(L26-(K26-IF(ISNUMBER(N26),N26,0)-IF(ISNUMBER(O26),O26,0)+IF(ISNUMBER(P26),P26,0)))&lt;=Summary!$B$2),"Passes using beginning_balance - PreV_ETB differs from beginning_balance",IF(AND(ISNUMBER(O26),O26&lt;0,ABS(L26-(Q26-IF(ISNUMBER(N26),N26,0)+IF(ISNUMBER(P26),P26,0)))&lt;=Summary!$B$2),"Negative realized loss not applied - check sign",IF(R26&lt;0,"Principal paid exceeds prior balance",IF(AND(L26&gt;Q26,NOT(ISNUMBER(P26))),"Balance increased but no Deferred_interest reported",IF(L26&gt;R26,"Reported balance higher than expected (missing increase/OC build)","Reported balance lower than expected (missing decrease)"))))),""))</f>
        <v/>
      </c>
    </row>
    <row r="27" customFormat="false" ht="15" hidden="false" customHeight="false" outlineLevel="0" collapsed="false">
      <c r="A27" s="8" t="n">
        <v>40869</v>
      </c>
      <c r="B27" s="8" t="s">
        <v>100</v>
      </c>
      <c r="C27" s="8" t="s">
        <v>37</v>
      </c>
      <c r="D27" s="8" t="n">
        <v>9</v>
      </c>
      <c r="E27" s="8" t="n">
        <v>2026</v>
      </c>
      <c r="F27" s="8" t="s">
        <v>38</v>
      </c>
      <c r="G27" s="8" t="s">
        <v>78</v>
      </c>
      <c r="H27" s="8" t="s">
        <v>40</v>
      </c>
      <c r="I27" s="8" t="n">
        <v>471679</v>
      </c>
      <c r="J27" s="8" t="s">
        <v>101</v>
      </c>
      <c r="K27" s="9" t="n">
        <v>288663.6</v>
      </c>
      <c r="L27" s="9" t="n">
        <v>286326.04</v>
      </c>
      <c r="M27" s="9" t="n">
        <v>66043707.02</v>
      </c>
      <c r="N27" s="9" t="n">
        <v>2605.87</v>
      </c>
      <c r="O27" s="9" t="n">
        <v>-268.31</v>
      </c>
      <c r="P27" s="9" t="s">
        <v>48</v>
      </c>
      <c r="Q27" s="9" t="n">
        <v>288663.61</v>
      </c>
      <c r="R27" s="9" t="n">
        <f aca="false">IF(AND(A27&lt;&gt;"",ISNUMBER(Q27),ISNUMBER(L27)),ROUND(Q27-IF(ISNUMBER(N27),N27,0)-IF(ISNUMBER(O27),O27,0)+IF(ISNUMBER(P27),P27,0),2),"")</f>
        <v>286326.05</v>
      </c>
      <c r="S27" s="9" t="n">
        <f aca="false">IF(R27="","",ROUND(L27-R27,2))</f>
        <v>-0.01</v>
      </c>
      <c r="T27" s="8" t="str">
        <f aca="false">IF(A27="","",IF(S27="","BYPASS",IF(ABS(S27)&lt;=Summary!$B$2,"PASS","FAIL")))</f>
        <v>PASS</v>
      </c>
      <c r="U27" s="8" t="str">
        <f aca="false">IF(T27="BYPASS",IF(NOT(ISNUMBER(Q27)),"PreV_ETB missing","End_tr_balance missing"),IF(T27="FAIL",IF(AND(ISNUMBER(K27),ISNUMBER(L27),ABS(L27-(K27-IF(ISNUMBER(N27),N27,0)-IF(ISNUMBER(O27),O27,0)+IF(ISNUMBER(P27),P27,0)))&lt;=Summary!$B$2),"Passes using beginning_balance - PreV_ETB differs from beginning_balance",IF(AND(ISNUMBER(O27),O27&lt;0,ABS(L27-(Q27-IF(ISNUMBER(N27),N27,0)+IF(ISNUMBER(P27),P27,0)))&lt;=Summary!$B$2),"Negative realized loss not applied - check sign",IF(R27&lt;0,"Principal paid exceeds prior balance",IF(AND(L27&gt;Q27,NOT(ISNUMBER(P27))),"Balance increased but no Deferred_interest reported",IF(L27&gt;R27,"Reported balance higher than expected (missing increase/OC build)","Reported balance lower than expected (missing decrease)"))))),""))</f>
        <v/>
      </c>
    </row>
    <row r="28" customFormat="false" ht="15" hidden="false" customHeight="false" outlineLevel="0" collapsed="false">
      <c r="A28" s="8" t="n">
        <v>41750</v>
      </c>
      <c r="B28" s="8" t="s">
        <v>102</v>
      </c>
      <c r="C28" s="8" t="s">
        <v>37</v>
      </c>
      <c r="D28" s="8" t="n">
        <v>9</v>
      </c>
      <c r="E28" s="8" t="n">
        <v>2026</v>
      </c>
      <c r="F28" s="8" t="s">
        <v>38</v>
      </c>
      <c r="G28" s="8" t="s">
        <v>78</v>
      </c>
      <c r="H28" s="8" t="s">
        <v>40</v>
      </c>
      <c r="I28" s="8" t="n">
        <v>485457</v>
      </c>
      <c r="J28" s="8" t="s">
        <v>101</v>
      </c>
      <c r="K28" s="9" t="n">
        <v>206864.13</v>
      </c>
      <c r="L28" s="9" t="n">
        <v>205486.43</v>
      </c>
      <c r="M28" s="9" t="n">
        <v>205486.43</v>
      </c>
      <c r="N28" s="9" t="n">
        <v>1396.88</v>
      </c>
      <c r="O28" s="9" t="n">
        <v>-17.67</v>
      </c>
      <c r="P28" s="9" t="s">
        <v>48</v>
      </c>
      <c r="Q28" s="9" t="n">
        <v>206864.12</v>
      </c>
      <c r="R28" s="9" t="n">
        <f aca="false">IF(AND(A28&lt;&gt;"",ISNUMBER(Q28),ISNUMBER(L28)),ROUND(Q28-IF(ISNUMBER(N28),N28,0)-IF(ISNUMBER(O28),O28,0)+IF(ISNUMBER(P28),P28,0),2),"")</f>
        <v>205484.91</v>
      </c>
      <c r="S28" s="9" t="n">
        <f aca="false">IF(R28="","",ROUND(L28-R28,2))</f>
        <v>1.52</v>
      </c>
      <c r="T28" s="8" t="str">
        <f aca="false">IF(A28="","",IF(S28="","BYPASS",IF(ABS(S28)&lt;=Summary!$B$2,"PASS","FAIL")))</f>
        <v>FAIL</v>
      </c>
      <c r="U28" s="8" t="str">
        <f aca="false">IF(T28="BYPASS",IF(NOT(ISNUMBER(Q28)),"PreV_ETB missing","End_tr_balance missing"),IF(T28="FAIL",IF(AND(ISNUMBER(K28),ISNUMBER(L28),ABS(L28-(K28-IF(ISNUMBER(N28),N28,0)-IF(ISNUMBER(O28),O28,0)+IF(ISNUMBER(P28),P28,0)))&lt;=Summary!$B$2),"Passes using beginning_balance - PreV_ETB differs from beginning_balance",IF(AND(ISNUMBER(O28),O28&lt;0,ABS(L28-(Q28-IF(ISNUMBER(N28),N28,0)+IF(ISNUMBER(P28),P28,0)))&lt;=Summary!$B$2),"Negative realized loss not applied - check sign",IF(R28&lt;0,"Principal paid exceeds prior balance",IF(AND(L28&gt;Q28,NOT(ISNUMBER(P28))),"Balance increased but no Deferred_interest reported",IF(L28&gt;R28,"Reported balance higher than expected (missing increase/OC build)","Reported balance lower than expected (missing decrease)"))))),""))</f>
        <v>Reported balance higher than expected (missing increase/OC build)</v>
      </c>
    </row>
    <row r="29" customFormat="false" ht="15" hidden="false" customHeight="false" outlineLevel="0" collapsed="false">
      <c r="A29" s="8" t="n">
        <v>42323</v>
      </c>
      <c r="B29" s="8" t="s">
        <v>103</v>
      </c>
      <c r="C29" s="8" t="s">
        <v>37</v>
      </c>
      <c r="D29" s="8" t="n">
        <v>9</v>
      </c>
      <c r="E29" s="8" t="n">
        <v>2026</v>
      </c>
      <c r="F29" s="8" t="s">
        <v>38</v>
      </c>
      <c r="G29" s="8" t="s">
        <v>78</v>
      </c>
      <c r="H29" s="8" t="s">
        <v>40</v>
      </c>
      <c r="I29" s="8" t="n">
        <v>494473</v>
      </c>
      <c r="J29" s="8" t="s">
        <v>104</v>
      </c>
      <c r="K29" s="9" t="n">
        <v>0</v>
      </c>
      <c r="L29" s="9" t="n">
        <v>0</v>
      </c>
      <c r="M29" s="9" t="s">
        <v>48</v>
      </c>
      <c r="N29" s="9" t="n">
        <v>2862.86</v>
      </c>
      <c r="O29" s="9" t="n">
        <v>0</v>
      </c>
      <c r="P29" s="9" t="s">
        <v>48</v>
      </c>
      <c r="Q29" s="9" t="n">
        <v>0</v>
      </c>
      <c r="R29" s="9" t="n">
        <f aca="false">IF(AND(A29&lt;&gt;"",ISNUMBER(Q29),ISNUMBER(L29)),ROUND(Q29-IF(ISNUMBER(N29),N29,0)-IF(ISNUMBER(O29),O29,0)+IF(ISNUMBER(P29),P29,0),2),"")</f>
        <v>-2862.86</v>
      </c>
      <c r="S29" s="9" t="n">
        <f aca="false">IF(R29="","",ROUND(L29-R29,2))</f>
        <v>2862.86</v>
      </c>
      <c r="T29" s="8" t="str">
        <f aca="false">IF(A29="","",IF(S29="","BYPASS",IF(ABS(S29)&lt;=Summary!$B$2,"PASS","FAIL")))</f>
        <v>FAIL</v>
      </c>
      <c r="U29" s="8" t="str">
        <f aca="false">IF(T29="BYPASS",IF(NOT(ISNUMBER(Q29)),"PreV_ETB missing","End_tr_balance missing"),IF(T29="FAIL",IF(AND(ISNUMBER(K29),ISNUMBER(L29),ABS(L29-(K29-IF(ISNUMBER(N29),N29,0)-IF(ISNUMBER(O29),O29,0)+IF(ISNUMBER(P29),P29,0)))&lt;=Summary!$B$2),"Passes using beginning_balance - PreV_ETB differs from beginning_balance",IF(AND(ISNUMBER(O29),O29&lt;0,ABS(L29-(Q29-IF(ISNUMBER(N29),N29,0)+IF(ISNUMBER(P29),P29,0)))&lt;=Summary!$B$2),"Negative realized loss not applied - check sign",IF(R29&lt;0,"Principal paid exceeds prior balance",IF(AND(L29&gt;Q29,NOT(ISNUMBER(P29))),"Balance increased but no Deferred_interest reported",IF(L29&gt;R29,"Reported balance higher than expected (missing increase/OC build)","Reported balance lower than expected (missing decrease)"))))),""))</f>
        <v>Principal paid exceeds prior balance</v>
      </c>
    </row>
    <row r="30" customFormat="false" ht="15" hidden="false" customHeight="false" outlineLevel="0" collapsed="false">
      <c r="A30" s="8" t="n">
        <v>44034</v>
      </c>
      <c r="B30" s="8" t="s">
        <v>105</v>
      </c>
      <c r="C30" s="8" t="s">
        <v>37</v>
      </c>
      <c r="D30" s="8" t="n">
        <v>9</v>
      </c>
      <c r="E30" s="8" t="n">
        <v>2026</v>
      </c>
      <c r="F30" s="8" t="s">
        <v>38</v>
      </c>
      <c r="G30" s="8" t="s">
        <v>106</v>
      </c>
      <c r="H30" s="8" t="s">
        <v>40</v>
      </c>
      <c r="I30" s="8" t="n">
        <v>513614</v>
      </c>
      <c r="J30" s="8" t="s">
        <v>60</v>
      </c>
      <c r="K30" s="9" t="n">
        <v>133680.79</v>
      </c>
      <c r="L30" s="9" t="n">
        <v>142253.17</v>
      </c>
      <c r="M30" s="9" t="s">
        <v>48</v>
      </c>
      <c r="N30" s="9" t="n">
        <v>0</v>
      </c>
      <c r="O30" s="9" t="s">
        <v>48</v>
      </c>
      <c r="P30" s="9" t="n">
        <v>0</v>
      </c>
      <c r="Q30" s="9" t="n">
        <v>133680.79</v>
      </c>
      <c r="R30" s="9" t="n">
        <f aca="false">IF(AND(A30&lt;&gt;"",ISNUMBER(Q30),ISNUMBER(L30)),ROUND(Q30-IF(ISNUMBER(N30),N30,0)-IF(ISNUMBER(O30),O30,0)+IF(ISNUMBER(P30),P30,0),2),"")</f>
        <v>133680.79</v>
      </c>
      <c r="S30" s="9" t="n">
        <f aca="false">IF(R30="","",ROUND(L30-R30,2))</f>
        <v>8572.38</v>
      </c>
      <c r="T30" s="8" t="str">
        <f aca="false">IF(A30="","",IF(S30="","BYPASS",IF(ABS(S30)&lt;=Summary!$B$2,"PASS","FAIL")))</f>
        <v>FAIL</v>
      </c>
      <c r="U30" s="8" t="str">
        <f aca="false">IF(T30="BYPASS",IF(NOT(ISNUMBER(Q30)),"PreV_ETB missing","End_tr_balance missing"),IF(T30="FAIL",IF(AND(ISNUMBER(K30),ISNUMBER(L30),ABS(L30-(K30-IF(ISNUMBER(N30),N30,0)-IF(ISNUMBER(O30),O30,0)+IF(ISNUMBER(P30),P30,0)))&lt;=Summary!$B$2),"Passes using beginning_balance - PreV_ETB differs from beginning_balance",IF(AND(ISNUMBER(O30),O30&lt;0,ABS(L30-(Q30-IF(ISNUMBER(N30),N30,0)+IF(ISNUMBER(P30),P30,0)))&lt;=Summary!$B$2),"Negative realized loss not applied - check sign",IF(R30&lt;0,"Principal paid exceeds prior balance",IF(AND(L30&gt;Q30,NOT(ISNUMBER(P30))),"Balance increased but no Deferred_interest reported",IF(L30&gt;R30,"Reported balance higher than expected (missing increase/OC build)","Reported balance lower than expected (missing decrease)"))))),""))</f>
        <v>Reported balance higher than expected (missing increase/OC build)</v>
      </c>
    </row>
    <row r="31" customFormat="false" ht="15" hidden="false" customHeight="false" outlineLevel="0" collapsed="false">
      <c r="A31" s="8" t="n">
        <v>1005667</v>
      </c>
      <c r="B31" s="8" t="s">
        <v>107</v>
      </c>
      <c r="C31" s="8" t="s">
        <v>37</v>
      </c>
      <c r="D31" s="8" t="n">
        <v>9</v>
      </c>
      <c r="E31" s="8" t="n">
        <v>2026</v>
      </c>
      <c r="F31" s="8" t="s">
        <v>38</v>
      </c>
      <c r="G31" s="8" t="s">
        <v>108</v>
      </c>
      <c r="H31" s="8" t="s">
        <v>40</v>
      </c>
      <c r="I31" s="8" t="n">
        <v>1548522</v>
      </c>
      <c r="J31" s="8" t="s">
        <v>109</v>
      </c>
      <c r="K31" s="9" t="n">
        <v>117166156.1</v>
      </c>
      <c r="L31" s="9" t="n">
        <v>116494586.3</v>
      </c>
      <c r="M31" s="9" t="s">
        <v>48</v>
      </c>
      <c r="N31" s="9" t="n">
        <v>787954.49</v>
      </c>
      <c r="O31" s="9" t="n">
        <v>0</v>
      </c>
      <c r="P31" s="9" t="s">
        <v>48</v>
      </c>
      <c r="Q31" s="9" t="n">
        <v>117166156.1</v>
      </c>
      <c r="R31" s="9" t="n">
        <f aca="false">IF(AND(A31&lt;&gt;"",ISNUMBER(Q31),ISNUMBER(L31)),ROUND(Q31-IF(ISNUMBER(N31),N31,0)-IF(ISNUMBER(O31),O31,0)+IF(ISNUMBER(P31),P31,0),2),"")</f>
        <v>116378201.61</v>
      </c>
      <c r="S31" s="9" t="n">
        <f aca="false">IF(R31="","",ROUND(L31-R31,2))</f>
        <v>116384.69</v>
      </c>
      <c r="T31" s="8" t="str">
        <f aca="false">IF(A31="","",IF(S31="","BYPASS",IF(ABS(S31)&lt;=Summary!$B$2,"PASS","FAIL")))</f>
        <v>FAIL</v>
      </c>
      <c r="U31" s="8" t="str">
        <f aca="false">IF(T31="BYPASS",IF(NOT(ISNUMBER(Q31)),"PreV_ETB missing","End_tr_balance missing"),IF(T31="FAIL",IF(AND(ISNUMBER(K31),ISNUMBER(L31),ABS(L31-(K31-IF(ISNUMBER(N31),N31,0)-IF(ISNUMBER(O31),O31,0)+IF(ISNUMBER(P31),P31,0)))&lt;=Summary!$B$2),"Passes using beginning_balance - PreV_ETB differs from beginning_balance",IF(AND(ISNUMBER(O31),O31&lt;0,ABS(L31-(Q31-IF(ISNUMBER(N31),N31,0)+IF(ISNUMBER(P31),P31,0)))&lt;=Summary!$B$2),"Negative realized loss not applied - check sign",IF(R31&lt;0,"Principal paid exceeds prior balance",IF(AND(L31&gt;Q31,NOT(ISNUMBER(P31))),"Balance increased but no Deferred_interest reported",IF(L31&gt;R31,"Reported balance higher than expected (missing increase/OC build)","Reported balance lower than expected (missing decrease)"))))),""))</f>
        <v>Reported balance higher than expected (missing increase/OC build)</v>
      </c>
    </row>
    <row r="32" customFormat="false" ht="15" hidden="false" customHeight="false" outlineLevel="0" collapsed="false">
      <c r="A32" s="8" t="n">
        <v>1006441</v>
      </c>
      <c r="B32" s="8" t="s">
        <v>110</v>
      </c>
      <c r="C32" s="8" t="s">
        <v>37</v>
      </c>
      <c r="D32" s="8" t="n">
        <v>9</v>
      </c>
      <c r="E32" s="8" t="n">
        <v>2026</v>
      </c>
      <c r="F32" s="8" t="s">
        <v>38</v>
      </c>
      <c r="G32" s="8" t="s">
        <v>108</v>
      </c>
      <c r="H32" s="8" t="s">
        <v>40</v>
      </c>
      <c r="I32" s="8" t="n">
        <v>1554724</v>
      </c>
      <c r="J32" s="8" t="s">
        <v>111</v>
      </c>
      <c r="K32" s="9" t="n">
        <v>10500000</v>
      </c>
      <c r="L32" s="9" t="n">
        <v>10500000</v>
      </c>
      <c r="M32" s="9" t="s">
        <v>48</v>
      </c>
      <c r="N32" s="9" t="n">
        <v>16722.04</v>
      </c>
      <c r="O32" s="9" t="n">
        <v>0</v>
      </c>
      <c r="P32" s="9" t="s">
        <v>48</v>
      </c>
      <c r="Q32" s="9" t="n">
        <v>10500000</v>
      </c>
      <c r="R32" s="9" t="n">
        <f aca="false">IF(AND(A32&lt;&gt;"",ISNUMBER(Q32),ISNUMBER(L32)),ROUND(Q32-IF(ISNUMBER(N32),N32,0)-IF(ISNUMBER(O32),O32,0)+IF(ISNUMBER(P32),P32,0),2),"")</f>
        <v>10483277.96</v>
      </c>
      <c r="S32" s="9" t="n">
        <f aca="false">IF(R32="","",ROUND(L32-R32,2))</f>
        <v>16722.04</v>
      </c>
      <c r="T32" s="8" t="str">
        <f aca="false">IF(A32="","",IF(S32="","BYPASS",IF(ABS(S32)&lt;=Summary!$B$2,"PASS","FAIL")))</f>
        <v>FAIL</v>
      </c>
      <c r="U32" s="8" t="str">
        <f aca="false">IF(T32="BYPASS",IF(NOT(ISNUMBER(Q32)),"PreV_ETB missing","End_tr_balance missing"),IF(T32="FAIL",IF(AND(ISNUMBER(K32),ISNUMBER(L32),ABS(L32-(K32-IF(ISNUMBER(N32),N32,0)-IF(ISNUMBER(O32),O32,0)+IF(ISNUMBER(P32),P32,0)))&lt;=Summary!$B$2),"Passes using beginning_balance - PreV_ETB differs from beginning_balance",IF(AND(ISNUMBER(O32),O32&lt;0,ABS(L32-(Q32-IF(ISNUMBER(N32),N32,0)+IF(ISNUMBER(P32),P32,0)))&lt;=Summary!$B$2),"Negative realized loss not applied - check sign",IF(R32&lt;0,"Principal paid exceeds prior balance",IF(AND(L32&gt;Q32,NOT(ISNUMBER(P32))),"Balance increased but no Deferred_interest reported",IF(L32&gt;R32,"Reported balance higher than expected (missing increase/OC build)","Reported balance lower than expected (missing decrease)"))))),""))</f>
        <v>Reported balance higher than expected (missing increase/OC build)</v>
      </c>
    </row>
    <row r="33" customFormat="false" ht="15" hidden="false" customHeight="false" outlineLevel="0" collapsed="false">
      <c r="A33" s="8" t="n">
        <v>1014725</v>
      </c>
      <c r="B33" s="8" t="s">
        <v>112</v>
      </c>
      <c r="C33" s="8" t="s">
        <v>37</v>
      </c>
      <c r="D33" s="8" t="n">
        <v>9</v>
      </c>
      <c r="E33" s="8" t="n">
        <v>2026</v>
      </c>
      <c r="F33" s="8" t="s">
        <v>38</v>
      </c>
      <c r="G33" s="8" t="s">
        <v>113</v>
      </c>
      <c r="H33" s="8" t="s">
        <v>40</v>
      </c>
      <c r="I33" s="8" t="n">
        <v>1646045</v>
      </c>
      <c r="J33" s="8" t="s">
        <v>114</v>
      </c>
      <c r="K33" s="9" t="n">
        <v>278739866.4</v>
      </c>
      <c r="L33" s="9" t="n">
        <v>274353705.1</v>
      </c>
      <c r="M33" s="9" t="s">
        <v>48</v>
      </c>
      <c r="N33" s="9" t="n">
        <v>4386161.35</v>
      </c>
      <c r="O33" s="9" t="n">
        <v>0</v>
      </c>
      <c r="P33" s="9" t="n">
        <v>0</v>
      </c>
      <c r="Q33" s="9" t="n">
        <v>278708472.1</v>
      </c>
      <c r="R33" s="9" t="n">
        <f aca="false">IF(AND(A33&lt;&gt;"",ISNUMBER(Q33),ISNUMBER(L33)),ROUND(Q33-IF(ISNUMBER(N33),N33,0)-IF(ISNUMBER(O33),O33,0)+IF(ISNUMBER(P33),P33,0),2),"")</f>
        <v>274322310.75</v>
      </c>
      <c r="S33" s="9" t="n">
        <f aca="false">IF(R33="","",ROUND(L33-R33,2))</f>
        <v>31394.35</v>
      </c>
      <c r="T33" s="8" t="str">
        <f aca="false">IF(A33="","",IF(S33="","BYPASS",IF(ABS(S33)&lt;=Summary!$B$2,"PASS","FAIL")))</f>
        <v>FAIL</v>
      </c>
      <c r="U33" s="8" t="str">
        <f aca="false">IF(T33="BYPASS",IF(NOT(ISNUMBER(Q33)),"PreV_ETB missing","End_tr_balance missing"),IF(T33="FAIL",IF(AND(ISNUMBER(K33),ISNUMBER(L33),ABS(L33-(K33-IF(ISNUMBER(N33),N33,0)-IF(ISNUMBER(O33),O33,0)+IF(ISNUMBER(P33),P33,0)))&lt;=Summary!$B$2),"Passes using beginning_balance - PreV_ETB differs from beginning_balance",IF(AND(ISNUMBER(O33),O33&lt;0,ABS(L33-(Q33-IF(ISNUMBER(N33),N33,0)+IF(ISNUMBER(P33),P33,0)))&lt;=Summary!$B$2),"Negative realized loss not applied - check sign",IF(R33&lt;0,"Principal paid exceeds prior balance",IF(AND(L33&gt;Q33,NOT(ISNUMBER(P33))),"Balance increased but no Deferred_interest reported",IF(L33&gt;R33,"Reported balance higher than expected (missing increase/OC build)","Reported balance lower than expected (missing decrease)"))))),""))</f>
        <v>Reported balance higher than expected (missing increase/OC build)</v>
      </c>
    </row>
    <row r="34" customFormat="false" ht="15" hidden="false" customHeight="false" outlineLevel="0" collapsed="false">
      <c r="A34" s="8" t="n">
        <v>1015921</v>
      </c>
      <c r="B34" s="8" t="s">
        <v>115</v>
      </c>
      <c r="C34" s="8" t="s">
        <v>37</v>
      </c>
      <c r="D34" s="8" t="n">
        <v>9</v>
      </c>
      <c r="E34" s="8" t="n">
        <v>2026</v>
      </c>
      <c r="F34" s="8" t="s">
        <v>38</v>
      </c>
      <c r="G34" s="8" t="s">
        <v>56</v>
      </c>
      <c r="H34" s="8" t="s">
        <v>40</v>
      </c>
      <c r="I34" s="8" t="n">
        <v>1659319</v>
      </c>
      <c r="J34" s="8" t="s">
        <v>116</v>
      </c>
      <c r="K34" s="9" t="n">
        <v>6642.86</v>
      </c>
      <c r="L34" s="9" t="n">
        <v>5208.58</v>
      </c>
      <c r="M34" s="9" t="s">
        <v>48</v>
      </c>
      <c r="N34" s="9" t="n">
        <v>1451.23</v>
      </c>
      <c r="O34" s="9" t="n">
        <v>0</v>
      </c>
      <c r="P34" s="9" t="n">
        <v>16.95</v>
      </c>
      <c r="Q34" s="9" t="n">
        <v>6642.86</v>
      </c>
      <c r="R34" s="9" t="n">
        <f aca="false">IF(AND(A34&lt;&gt;"",ISNUMBER(Q34),ISNUMBER(L34)),ROUND(Q34-IF(ISNUMBER(N34),N34,0)-IF(ISNUMBER(O34),O34,0)+IF(ISNUMBER(P34),P34,0),2),"")</f>
        <v>5208.58</v>
      </c>
      <c r="S34" s="9" t="n">
        <f aca="false">IF(R34="","",ROUND(L34-R34,2))</f>
        <v>0</v>
      </c>
      <c r="T34" s="8" t="str">
        <f aca="false">IF(A34="","",IF(S34="","BYPASS",IF(ABS(S34)&lt;=Summary!$B$2,"PASS","FAIL")))</f>
        <v>PASS</v>
      </c>
      <c r="U34" s="8" t="str">
        <f aca="false">IF(T34="BYPASS",IF(NOT(ISNUMBER(Q34)),"PreV_ETB missing","End_tr_balance missing"),IF(T34="FAIL",IF(AND(ISNUMBER(K34),ISNUMBER(L34),ABS(L34-(K34-IF(ISNUMBER(N34),N34,0)-IF(ISNUMBER(O34),O34,0)+IF(ISNUMBER(P34),P34,0)))&lt;=Summary!$B$2),"Passes using beginning_balance - PreV_ETB differs from beginning_balance",IF(AND(ISNUMBER(O34),O34&lt;0,ABS(L34-(Q34-IF(ISNUMBER(N34),N34,0)+IF(ISNUMBER(P34),P34,0)))&lt;=Summary!$B$2),"Negative realized loss not applied - check sign",IF(R34&lt;0,"Principal paid exceeds prior balance",IF(AND(L34&gt;Q34,NOT(ISNUMBER(P34))),"Balance increased but no Deferred_interest reported",IF(L34&gt;R34,"Reported balance higher than expected (missing increase/OC build)","Reported balance lower than expected (missing decrease)"))))),""))</f>
        <v/>
      </c>
    </row>
    <row r="35" customFormat="false" ht="15" hidden="false" customHeight="false" outlineLevel="0" collapsed="false">
      <c r="A35" s="8" t="n">
        <v>1016252</v>
      </c>
      <c r="B35" s="8" t="s">
        <v>117</v>
      </c>
      <c r="C35" s="8" t="s">
        <v>37</v>
      </c>
      <c r="D35" s="8" t="n">
        <v>9</v>
      </c>
      <c r="E35" s="8" t="n">
        <v>2026</v>
      </c>
      <c r="F35" s="8" t="s">
        <v>38</v>
      </c>
      <c r="G35" s="8" t="s">
        <v>106</v>
      </c>
      <c r="H35" s="8" t="s">
        <v>40</v>
      </c>
      <c r="I35" s="8" t="n">
        <v>1661317</v>
      </c>
      <c r="J35" s="8" t="s">
        <v>118</v>
      </c>
      <c r="K35" s="9" t="n">
        <v>48699946.3</v>
      </c>
      <c r="L35" s="9" t="n">
        <v>0</v>
      </c>
      <c r="M35" s="9" t="s">
        <v>48</v>
      </c>
      <c r="N35" s="9" t="n">
        <v>48801404.52</v>
      </c>
      <c r="O35" s="9" t="s">
        <v>48</v>
      </c>
      <c r="P35" s="9" t="s">
        <v>48</v>
      </c>
      <c r="Q35" s="9" t="n">
        <v>48699946.3</v>
      </c>
      <c r="R35" s="9" t="n">
        <f aca="false">IF(AND(A35&lt;&gt;"",ISNUMBER(Q35),ISNUMBER(L35)),ROUND(Q35-IF(ISNUMBER(N35),N35,0)-IF(ISNUMBER(O35),O35,0)+IF(ISNUMBER(P35),P35,0),2),"")</f>
        <v>-101458.22</v>
      </c>
      <c r="S35" s="9" t="n">
        <f aca="false">IF(R35="","",ROUND(L35-R35,2))</f>
        <v>101458.22</v>
      </c>
      <c r="T35" s="8" t="str">
        <f aca="false">IF(A35="","",IF(S35="","BYPASS",IF(ABS(S35)&lt;=Summary!$B$2,"PASS","FAIL")))</f>
        <v>FAIL</v>
      </c>
      <c r="U35" s="8" t="str">
        <f aca="false">IF(T35="BYPASS",IF(NOT(ISNUMBER(Q35)),"PreV_ETB missing","End_tr_balance missing"),IF(T35="FAIL",IF(AND(ISNUMBER(K35),ISNUMBER(L35),ABS(L35-(K35-IF(ISNUMBER(N35),N35,0)-IF(ISNUMBER(O35),O35,0)+IF(ISNUMBER(P35),P35,0)))&lt;=Summary!$B$2),"Passes using beginning_balance - PreV_ETB differs from beginning_balance",IF(AND(ISNUMBER(O35),O35&lt;0,ABS(L35-(Q35-IF(ISNUMBER(N35),N35,0)+IF(ISNUMBER(P35),P35,0)))&lt;=Summary!$B$2),"Negative realized loss not applied - check sign",IF(R35&lt;0,"Principal paid exceeds prior balance",IF(AND(L35&gt;Q35,NOT(ISNUMBER(P35))),"Balance increased but no Deferred_interest reported",IF(L35&gt;R35,"Reported balance higher than expected (missing increase/OC build)","Reported balance lower than expected (missing decrease)"))))),""))</f>
        <v>Principal paid exceeds prior balance</v>
      </c>
    </row>
    <row r="36" customFormat="false" ht="15" hidden="false" customHeight="false" outlineLevel="0" collapsed="false">
      <c r="A36" s="8" t="n">
        <v>1021920</v>
      </c>
      <c r="B36" s="8" t="s">
        <v>119</v>
      </c>
      <c r="C36" s="8" t="s">
        <v>37</v>
      </c>
      <c r="D36" s="8" t="n">
        <v>9</v>
      </c>
      <c r="E36" s="8" t="n">
        <v>2026</v>
      </c>
      <c r="F36" s="8" t="s">
        <v>38</v>
      </c>
      <c r="G36" s="8" t="s">
        <v>120</v>
      </c>
      <c r="H36" s="8" t="s">
        <v>40</v>
      </c>
      <c r="I36" s="8" t="n">
        <v>1709543</v>
      </c>
      <c r="J36" s="8" t="s">
        <v>121</v>
      </c>
      <c r="K36" s="9" t="n">
        <v>100</v>
      </c>
      <c r="L36" s="9" t="n">
        <v>0</v>
      </c>
      <c r="M36" s="9" t="s">
        <v>48</v>
      </c>
      <c r="N36" s="9" t="n">
        <v>0</v>
      </c>
      <c r="O36" s="9" t="n">
        <v>0</v>
      </c>
      <c r="P36" s="9" t="s">
        <v>48</v>
      </c>
      <c r="Q36" s="9" t="n">
        <v>100</v>
      </c>
      <c r="R36" s="9" t="n">
        <f aca="false">IF(AND(A36&lt;&gt;"",ISNUMBER(Q36),ISNUMBER(L36)),ROUND(Q36-IF(ISNUMBER(N36),N36,0)-IF(ISNUMBER(O36),O36,0)+IF(ISNUMBER(P36),P36,0),2),"")</f>
        <v>100</v>
      </c>
      <c r="S36" s="9" t="n">
        <f aca="false">IF(R36="","",ROUND(L36-R36,2))</f>
        <v>-100</v>
      </c>
      <c r="T36" s="8" t="str">
        <f aca="false">IF(A36="","",IF(S36="","BYPASS",IF(ABS(S36)&lt;=Summary!$B$2,"PASS","FAIL")))</f>
        <v>FAIL</v>
      </c>
      <c r="U36" s="8" t="str">
        <f aca="false">IF(T36="BYPASS",IF(NOT(ISNUMBER(Q36)),"PreV_ETB missing","End_tr_balance missing"),IF(T36="FAIL",IF(AND(ISNUMBER(K36),ISNUMBER(L36),ABS(L36-(K36-IF(ISNUMBER(N36),N36,0)-IF(ISNUMBER(O36),O36,0)+IF(ISNUMBER(P36),P36,0)))&lt;=Summary!$B$2),"Passes using beginning_balance - PreV_ETB differs from beginning_balance",IF(AND(ISNUMBER(O36),O36&lt;0,ABS(L36-(Q36-IF(ISNUMBER(N36),N36,0)+IF(ISNUMBER(P36),P36,0)))&lt;=Summary!$B$2),"Negative realized loss not applied - check sign",IF(R36&lt;0,"Principal paid exceeds prior balance",IF(AND(L36&gt;Q36,NOT(ISNUMBER(P36))),"Balance increased but no Deferred_interest reported",IF(L36&gt;R36,"Reported balance higher than expected (missing increase/OC build)","Reported balance lower than expected (missing decrease)"))))),""))</f>
        <v>Reported balance lower than expected (missing decrease)</v>
      </c>
    </row>
    <row r="37" customFormat="false" ht="15" hidden="false" customHeight="false" outlineLevel="0" collapsed="false">
      <c r="A37" s="8" t="n">
        <v>1024316</v>
      </c>
      <c r="B37" s="8" t="s">
        <v>122</v>
      </c>
      <c r="C37" s="8" t="s">
        <v>37</v>
      </c>
      <c r="D37" s="8" t="n">
        <v>9</v>
      </c>
      <c r="E37" s="8" t="n">
        <v>2026</v>
      </c>
      <c r="F37" s="8" t="s">
        <v>38</v>
      </c>
      <c r="G37" s="8" t="s">
        <v>120</v>
      </c>
      <c r="H37" s="8" t="s">
        <v>40</v>
      </c>
      <c r="I37" s="8" t="n">
        <v>1733500</v>
      </c>
      <c r="J37" s="8" t="s">
        <v>123</v>
      </c>
      <c r="K37" s="9" t="n">
        <v>465759638.2</v>
      </c>
      <c r="L37" s="9" t="n">
        <v>464717201.1</v>
      </c>
      <c r="M37" s="9" t="s">
        <v>48</v>
      </c>
      <c r="N37" s="9" t="n">
        <v>1042437.09</v>
      </c>
      <c r="O37" s="9" t="n">
        <v>0</v>
      </c>
      <c r="P37" s="9" t="s">
        <v>48</v>
      </c>
      <c r="Q37" s="9" t="n">
        <v>465670977.8</v>
      </c>
      <c r="R37" s="9" t="n">
        <f aca="false">IF(AND(A37&lt;&gt;"",ISNUMBER(Q37),ISNUMBER(L37)),ROUND(Q37-IF(ISNUMBER(N37),N37,0)-IF(ISNUMBER(O37),O37,0)+IF(ISNUMBER(P37),P37,0),2),"")</f>
        <v>464628540.71</v>
      </c>
      <c r="S37" s="9" t="n">
        <f aca="false">IF(R37="","",ROUND(L37-R37,2))</f>
        <v>88660.39</v>
      </c>
      <c r="T37" s="8" t="str">
        <f aca="false">IF(A37="","",IF(S37="","BYPASS",IF(ABS(S37)&lt;=Summary!$B$2,"PASS","FAIL")))</f>
        <v>FAIL</v>
      </c>
      <c r="U37" s="8" t="str">
        <f aca="false">IF(T37="BYPASS",IF(NOT(ISNUMBER(Q37)),"PreV_ETB missing","End_tr_balance missing"),IF(T37="FAIL",IF(AND(ISNUMBER(K37),ISNUMBER(L37),ABS(L37-(K37-IF(ISNUMBER(N37),N37,0)-IF(ISNUMBER(O37),O37,0)+IF(ISNUMBER(P37),P37,0)))&lt;=Summary!$B$2),"Passes using beginning_balance - PreV_ETB differs from beginning_balance",IF(AND(ISNUMBER(O37),O37&lt;0,ABS(L37-(Q37-IF(ISNUMBER(N37),N37,0)+IF(ISNUMBER(P37),P37,0)))&lt;=Summary!$B$2),"Negative realized loss not applied - check sign",IF(R37&lt;0,"Principal paid exceeds prior balance",IF(AND(L37&gt;Q37,NOT(ISNUMBER(P37))),"Balance increased but no Deferred_interest reported",IF(L37&gt;R37,"Reported balance higher than expected (missing increase/OC build)","Reported balance lower than expected (missing decrease)"))))),""))</f>
        <v>Passes using beginning_balance - PreV_ETB differs from beginning_balance</v>
      </c>
    </row>
    <row r="38" customFormat="false" ht="15" hidden="false" customHeight="false" outlineLevel="0" collapsed="false">
      <c r="A38" s="8" t="n">
        <v>33971</v>
      </c>
      <c r="B38" s="8" t="s">
        <v>124</v>
      </c>
      <c r="C38" s="8" t="s">
        <v>37</v>
      </c>
      <c r="D38" s="8" t="n">
        <v>9</v>
      </c>
      <c r="E38" s="8" t="n">
        <v>2026</v>
      </c>
      <c r="F38" s="8" t="s">
        <v>38</v>
      </c>
      <c r="G38" s="8" t="s">
        <v>39</v>
      </c>
      <c r="H38" s="8" t="s">
        <v>40</v>
      </c>
      <c r="I38" s="8" t="n">
        <v>1512311</v>
      </c>
      <c r="J38" s="8" t="s">
        <v>125</v>
      </c>
      <c r="K38" s="9" t="n">
        <v>4654640.88</v>
      </c>
      <c r="L38" s="9" t="n">
        <v>4352.66</v>
      </c>
      <c r="M38" s="9" t="n">
        <v>4620933.58</v>
      </c>
      <c r="N38" s="9" t="n">
        <v>27.62</v>
      </c>
      <c r="O38" s="9" t="n">
        <v>0</v>
      </c>
      <c r="P38" s="9" t="n">
        <v>0</v>
      </c>
      <c r="Q38" s="9" t="n">
        <v>4380.28</v>
      </c>
      <c r="R38" s="9" t="n">
        <f aca="false">IF(AND(A38&lt;&gt;"",ISNUMBER(Q38),ISNUMBER(L38)),ROUND(Q38-IF(ISNUMBER(N38),N38,0)-IF(ISNUMBER(O38),O38,0)+IF(ISNUMBER(P38),P38,0),2),"")</f>
        <v>4352.66</v>
      </c>
      <c r="S38" s="9" t="n">
        <f aca="false">IF(R38="","",ROUND(L38-R38,2))</f>
        <v>0</v>
      </c>
      <c r="T38" s="8" t="str">
        <f aca="false">IF(A38="","",IF(S38="","BYPASS",IF(ABS(S38)&lt;=Summary!$B$2,"PASS","FAIL")))</f>
        <v>PASS</v>
      </c>
      <c r="U38" s="8" t="str">
        <f aca="false">IF(T38="BYPASS",IF(NOT(ISNUMBER(Q38)),"PreV_ETB missing","End_tr_balance missing"),IF(T38="FAIL",IF(AND(ISNUMBER(K38),ISNUMBER(L38),ABS(L38-(K38-IF(ISNUMBER(N38),N38,0)-IF(ISNUMBER(O38),O38,0)+IF(ISNUMBER(P38),P38,0)))&lt;=Summary!$B$2),"Passes using beginning_balance - PreV_ETB differs from beginning_balance",IF(AND(ISNUMBER(O38),O38&lt;0,ABS(L38-(Q38-IF(ISNUMBER(N38),N38,0)+IF(ISNUMBER(P38),P38,0)))&lt;=Summary!$B$2),"Negative realized loss not applied - check sign",IF(R38&lt;0,"Principal paid exceeds prior balance",IF(AND(L38&gt;Q38,NOT(ISNUMBER(P38))),"Balance increased but no Deferred_interest reported",IF(L38&gt;R38,"Reported balance higher than expected (missing increase/OC build)","Reported balance lower than expected (missing decrease)"))))),""))</f>
        <v/>
      </c>
    </row>
    <row r="39" customFormat="false" ht="15" hidden="false" customHeight="false" outlineLevel="0" collapsed="false">
      <c r="A39" s="8" t="n">
        <v>500010106</v>
      </c>
      <c r="B39" s="8" t="s">
        <v>126</v>
      </c>
      <c r="C39" s="8" t="s">
        <v>37</v>
      </c>
      <c r="D39" s="8" t="n">
        <v>9</v>
      </c>
      <c r="E39" s="8" t="n">
        <v>2026</v>
      </c>
      <c r="F39" s="8" t="s">
        <v>38</v>
      </c>
      <c r="G39" s="8" t="s">
        <v>127</v>
      </c>
      <c r="H39" s="8" t="s">
        <v>128</v>
      </c>
      <c r="I39" s="8" t="n">
        <v>500036842</v>
      </c>
      <c r="J39" s="8" t="s">
        <v>129</v>
      </c>
      <c r="K39" s="9" t="n">
        <v>712816.61</v>
      </c>
      <c r="L39" s="9" t="n">
        <v>706923.02</v>
      </c>
      <c r="M39" s="9" t="n">
        <v>706923.02</v>
      </c>
      <c r="N39" s="9" t="n">
        <v>5754.43</v>
      </c>
      <c r="O39" s="9" t="n">
        <v>139.16</v>
      </c>
      <c r="P39" s="9" t="n">
        <v>0</v>
      </c>
      <c r="Q39" s="9" t="n">
        <v>712816.61</v>
      </c>
      <c r="R39" s="9" t="n">
        <f aca="false">IF(AND(A39&lt;&gt;"",ISNUMBER(Q39),ISNUMBER(L39)),ROUND(Q39-IF(ISNUMBER(N39),N39,0)-IF(ISNUMBER(O39),O39,0)+IF(ISNUMBER(P39),P39,0),2),"")</f>
        <v>706923.02</v>
      </c>
      <c r="S39" s="9" t="n">
        <f aca="false">IF(R39="","",ROUND(L39-R39,2))</f>
        <v>0</v>
      </c>
      <c r="T39" s="8" t="str">
        <f aca="false">IF(A39="","",IF(S39="","BYPASS",IF(ABS(S39)&lt;=Summary!$B$2,"PASS","FAIL")))</f>
        <v>PASS</v>
      </c>
      <c r="U39" s="8" t="str">
        <f aca="false">IF(T39="BYPASS",IF(NOT(ISNUMBER(Q39)),"PreV_ETB missing","End_tr_balance missing"),IF(T39="FAIL",IF(AND(ISNUMBER(K39),ISNUMBER(L39),ABS(L39-(K39-IF(ISNUMBER(N39),N39,0)-IF(ISNUMBER(O39),O39,0)+IF(ISNUMBER(P39),P39,0)))&lt;=Summary!$B$2),"Passes using beginning_balance - PreV_ETB differs from beginning_balance",IF(AND(ISNUMBER(O39),O39&lt;0,ABS(L39-(Q39-IF(ISNUMBER(N39),N39,0)+IF(ISNUMBER(P39),P39,0)))&lt;=Summary!$B$2),"Negative realized loss not applied - check sign",IF(R39&lt;0,"Principal paid exceeds prior balance",IF(AND(L39&gt;Q39,NOT(ISNUMBER(P39))),"Balance increased but no Deferred_interest reported",IF(L39&gt;R39,"Reported balance higher than expected (missing increase/OC build)","Reported balance lower than expected (missing decrease)"))))),""))</f>
        <v/>
      </c>
    </row>
    <row r="40" customFormat="false" ht="15" hidden="false" customHeight="false" outlineLevel="0" collapsed="false">
      <c r="A40" s="8" t="n">
        <v>500019189</v>
      </c>
      <c r="B40" s="8" t="s">
        <v>130</v>
      </c>
      <c r="C40" s="8" t="s">
        <v>37</v>
      </c>
      <c r="D40" s="8" t="n">
        <v>9</v>
      </c>
      <c r="E40" s="8" t="n">
        <v>2026</v>
      </c>
      <c r="F40" s="8" t="s">
        <v>38</v>
      </c>
      <c r="G40" s="8" t="s">
        <v>131</v>
      </c>
      <c r="H40" s="8" t="s">
        <v>40</v>
      </c>
      <c r="I40" s="8" t="n">
        <v>500080113</v>
      </c>
      <c r="J40" s="8" t="s">
        <v>132</v>
      </c>
      <c r="K40" s="9" t="n">
        <v>781251.21</v>
      </c>
      <c r="L40" s="9" t="n">
        <v>680518.53</v>
      </c>
      <c r="M40" s="9" t="s">
        <v>48</v>
      </c>
      <c r="N40" s="9" t="n">
        <v>108331.84</v>
      </c>
      <c r="O40" s="9" t="n">
        <v>0</v>
      </c>
      <c r="P40" s="9" t="n">
        <v>0</v>
      </c>
      <c r="Q40" s="9" t="n">
        <v>781251.21</v>
      </c>
      <c r="R40" s="9" t="n">
        <f aca="false">IF(AND(A40&lt;&gt;"",ISNUMBER(Q40),ISNUMBER(L40)),ROUND(Q40-IF(ISNUMBER(N40),N40,0)-IF(ISNUMBER(O40),O40,0)+IF(ISNUMBER(P40),P40,0),2),"")</f>
        <v>672919.37</v>
      </c>
      <c r="S40" s="9" t="n">
        <f aca="false">IF(R40="","",ROUND(L40-R40,2))</f>
        <v>7599.16</v>
      </c>
      <c r="T40" s="8" t="str">
        <f aca="false">IF(A40="","",IF(S40="","BYPASS",IF(ABS(S40)&lt;=Summary!$B$2,"PASS","FAIL")))</f>
        <v>FAIL</v>
      </c>
      <c r="U40" s="8" t="str">
        <f aca="false">IF(T40="BYPASS",IF(NOT(ISNUMBER(Q40)),"PreV_ETB missing","End_tr_balance missing"),IF(T40="FAIL",IF(AND(ISNUMBER(K40),ISNUMBER(L40),ABS(L40-(K40-IF(ISNUMBER(N40),N40,0)-IF(ISNUMBER(O40),O40,0)+IF(ISNUMBER(P40),P40,0)))&lt;=Summary!$B$2),"Passes using beginning_balance - PreV_ETB differs from beginning_balance",IF(AND(ISNUMBER(O40),O40&lt;0,ABS(L40-(Q40-IF(ISNUMBER(N40),N40,0)+IF(ISNUMBER(P40),P40,0)))&lt;=Summary!$B$2),"Negative realized loss not applied - check sign",IF(R40&lt;0,"Principal paid exceeds prior balance",IF(AND(L40&gt;Q40,NOT(ISNUMBER(P40))),"Balance increased but no Deferred_interest reported",IF(L40&gt;R40,"Reported balance higher than expected (missing increase/OC build)","Reported balance lower than expected (missing decrease)"))))),""))</f>
        <v>Reported balance higher than expected (missing increase/OC build)</v>
      </c>
    </row>
    <row r="41" customFormat="false" ht="15" hidden="false" customHeight="false" outlineLevel="0" collapsed="false">
      <c r="A41" s="8" t="n">
        <v>500046525</v>
      </c>
      <c r="B41" s="8" t="s">
        <v>133</v>
      </c>
      <c r="C41" s="8" t="s">
        <v>37</v>
      </c>
      <c r="D41" s="8" t="n">
        <v>9</v>
      </c>
      <c r="E41" s="8" t="n">
        <v>2026</v>
      </c>
      <c r="F41" s="8" t="s">
        <v>38</v>
      </c>
      <c r="G41" s="8" t="s">
        <v>134</v>
      </c>
      <c r="H41" s="8" t="s">
        <v>40</v>
      </c>
      <c r="I41" s="8" t="n">
        <v>500233581</v>
      </c>
      <c r="J41" s="8" t="s">
        <v>135</v>
      </c>
      <c r="K41" s="9" t="n">
        <v>1267305.59</v>
      </c>
      <c r="L41" s="9" t="n">
        <v>1235195.96</v>
      </c>
      <c r="M41" s="9" t="s">
        <v>48</v>
      </c>
      <c r="N41" s="9" t="n">
        <v>32109.63</v>
      </c>
      <c r="O41" s="9" t="n">
        <v>-5305.35</v>
      </c>
      <c r="P41" s="9" t="s">
        <v>48</v>
      </c>
      <c r="Q41" s="9" t="n">
        <v>1267305.59</v>
      </c>
      <c r="R41" s="9" t="n">
        <f aca="false">IF(AND(A41&lt;&gt;"",ISNUMBER(Q41),ISNUMBER(L41)),ROUND(Q41-IF(ISNUMBER(N41),N41,0)-IF(ISNUMBER(O41),O41,0)+IF(ISNUMBER(P41),P41,0),2),"")</f>
        <v>1240501.31</v>
      </c>
      <c r="S41" s="9" t="n">
        <f aca="false">IF(R41="","",ROUND(L41-R41,2))</f>
        <v>-5305.35</v>
      </c>
      <c r="T41" s="8" t="str">
        <f aca="false">IF(A41="","",IF(S41="","BYPASS",IF(ABS(S41)&lt;=Summary!$B$2,"PASS","FAIL")))</f>
        <v>FAIL</v>
      </c>
      <c r="U41" s="8" t="str">
        <f aca="false">IF(T41="BYPASS",IF(NOT(ISNUMBER(Q41)),"PreV_ETB missing","End_tr_balance missing"),IF(T41="FAIL",IF(AND(ISNUMBER(K41),ISNUMBER(L41),ABS(L41-(K41-IF(ISNUMBER(N41),N41,0)-IF(ISNUMBER(O41),O41,0)+IF(ISNUMBER(P41),P41,0)))&lt;=Summary!$B$2),"Passes using beginning_balance - PreV_ETB differs from beginning_balance",IF(AND(ISNUMBER(O41),O41&lt;0,ABS(L41-(Q41-IF(ISNUMBER(N41),N41,0)+IF(ISNUMBER(P41),P41,0)))&lt;=Summary!$B$2),"Negative realized loss not applied - check sign",IF(R41&lt;0,"Principal paid exceeds prior balance",IF(AND(L41&gt;Q41,NOT(ISNUMBER(P41))),"Balance increased but no Deferred_interest reported",IF(L41&gt;R41,"Reported balance higher than expected (missing increase/OC build)","Reported balance lower than expected (missing decrease)"))))),""))</f>
        <v>Negative realized loss not applied - check sign</v>
      </c>
    </row>
    <row r="42" customFormat="false" ht="15" hidden="false" customHeight="false" outlineLevel="0" collapsed="false">
      <c r="A42" s="8" t="n">
        <v>823625953</v>
      </c>
      <c r="B42" s="8" t="s">
        <v>136</v>
      </c>
      <c r="C42" s="8" t="s">
        <v>37</v>
      </c>
      <c r="D42" s="8" t="n">
        <v>9</v>
      </c>
      <c r="E42" s="8" t="n">
        <v>2026</v>
      </c>
      <c r="F42" s="8" t="s">
        <v>38</v>
      </c>
      <c r="G42" s="8" t="s">
        <v>137</v>
      </c>
      <c r="H42" s="8" t="s">
        <v>40</v>
      </c>
      <c r="I42" s="8" t="n">
        <v>823625983</v>
      </c>
      <c r="J42" s="8" t="s">
        <v>138</v>
      </c>
      <c r="K42" s="9" t="n">
        <v>169734613.6</v>
      </c>
      <c r="L42" s="9" t="n">
        <v>166368429.2</v>
      </c>
      <c r="M42" s="9" t="s">
        <v>48</v>
      </c>
      <c r="N42" s="9" t="n">
        <v>4460814.12</v>
      </c>
      <c r="O42" s="9" t="n">
        <v>37842.06</v>
      </c>
      <c r="P42" s="9" t="s">
        <v>48</v>
      </c>
      <c r="Q42" s="9" t="n">
        <v>169734613.6</v>
      </c>
      <c r="R42" s="9" t="n">
        <f aca="false">IF(AND(A42&lt;&gt;"",ISNUMBER(Q42),ISNUMBER(L42)),ROUND(Q42-IF(ISNUMBER(N42),N42,0)-IF(ISNUMBER(O42),O42,0)+IF(ISNUMBER(P42),P42,0),2),"")</f>
        <v>165235957.42</v>
      </c>
      <c r="S42" s="9" t="n">
        <f aca="false">IF(R42="","",ROUND(L42-R42,2))</f>
        <v>1132471.78</v>
      </c>
      <c r="T42" s="8" t="str">
        <f aca="false">IF(A42="","",IF(S42="","BYPASS",IF(ABS(S42)&lt;=Summary!$B$2,"PASS","FAIL")))</f>
        <v>FAIL</v>
      </c>
      <c r="U42" s="8" t="str">
        <f aca="false">IF(T42="BYPASS",IF(NOT(ISNUMBER(Q42)),"PreV_ETB missing","End_tr_balance missing"),IF(T42="FAIL",IF(AND(ISNUMBER(K42),ISNUMBER(L42),ABS(L42-(K42-IF(ISNUMBER(N42),N42,0)-IF(ISNUMBER(O42),O42,0)+IF(ISNUMBER(P42),P42,0)))&lt;=Summary!$B$2),"Passes using beginning_balance - PreV_ETB differs from beginning_balance",IF(AND(ISNUMBER(O42),O42&lt;0,ABS(L42-(Q42-IF(ISNUMBER(N42),N42,0)+IF(ISNUMBER(P42),P42,0)))&lt;=Summary!$B$2),"Negative realized loss not applied - check sign",IF(R42&lt;0,"Principal paid exceeds prior balance",IF(AND(L42&gt;Q42,NOT(ISNUMBER(P42))),"Balance increased but no Deferred_interest reported",IF(L42&gt;R42,"Reported balance higher than expected (missing increase/OC build)","Reported balance lower than expected (missing decrease)"))))),""))</f>
        <v>Reported balance higher than expected (missing increase/OC build)</v>
      </c>
    </row>
    <row r="43" customFormat="false" ht="15" hidden="false" customHeight="false" outlineLevel="0" collapsed="false">
      <c r="A43" s="8" t="n">
        <v>867003721</v>
      </c>
      <c r="B43" s="8" t="s">
        <v>139</v>
      </c>
      <c r="C43" s="8" t="s">
        <v>37</v>
      </c>
      <c r="D43" s="8" t="n">
        <v>9</v>
      </c>
      <c r="E43" s="8" t="n">
        <v>2026</v>
      </c>
      <c r="F43" s="8" t="s">
        <v>38</v>
      </c>
      <c r="G43" s="8" t="s">
        <v>140</v>
      </c>
      <c r="H43" s="8" t="s">
        <v>40</v>
      </c>
      <c r="I43" s="8" t="n">
        <v>867003722</v>
      </c>
      <c r="J43" s="8" t="s">
        <v>141</v>
      </c>
      <c r="K43" s="9" t="n">
        <v>29211067.2</v>
      </c>
      <c r="L43" s="9" t="n">
        <v>28915234.96</v>
      </c>
      <c r="M43" s="9" t="s">
        <v>48</v>
      </c>
      <c r="N43" s="9" t="n">
        <v>295832.24</v>
      </c>
      <c r="O43" s="9" t="s">
        <v>48</v>
      </c>
      <c r="P43" s="9" t="s">
        <v>48</v>
      </c>
      <c r="Q43" s="9" t="s">
        <v>48</v>
      </c>
      <c r="R43" s="9" t="str">
        <f aca="false">IF(AND(A43&lt;&gt;"",ISNUMBER(Q43),ISNUMBER(L43)),ROUND(Q43-IF(ISNUMBER(N43),N43,0)-IF(ISNUMBER(O43),O43,0)+IF(ISNUMBER(P43),P43,0),2),"")</f>
        <v/>
      </c>
      <c r="S43" s="9" t="str">
        <f aca="false">IF(R43="","",ROUND(L43-R43,2))</f>
        <v/>
      </c>
      <c r="T43" s="8" t="str">
        <f aca="false">IF(A43="","",IF(S43="","BYPASS",IF(ABS(S43)&lt;=Summary!$B$2,"PASS","FAIL")))</f>
        <v>BYPASS</v>
      </c>
      <c r="U43" s="8" t="str">
        <f aca="false">IF(T43="BYPASS",IF(NOT(ISNUMBER(Q43)),"PreV_ETB missing","End_tr_balance missing"),IF(T43="FAIL",IF(AND(ISNUMBER(K43),ISNUMBER(L43),ABS(L43-(K43-IF(ISNUMBER(N43),N43,0)-IF(ISNUMBER(O43),O43,0)+IF(ISNUMBER(P43),P43,0)))&lt;=Summary!$B$2),"Passes using beginning_balance - PreV_ETB differs from beginning_balance",IF(AND(ISNUMBER(O43),O43&lt;0,ABS(L43-(Q43-IF(ISNUMBER(N43),N43,0)+IF(ISNUMBER(P43),P43,0)))&lt;=Summary!$B$2),"Negative realized loss not applied - check sign",IF(R43&lt;0,"Principal paid exceeds prior balance",IF(AND(L43&gt;Q43,NOT(ISNUMBER(P43))),"Balance increased but no Deferred_interest reported",IF(L43&gt;R43,"Reported balance higher than expected (missing increase/OC build)","Reported balance lower than expected (missing decrease)"))))),""))</f>
        <v>PreV_ETB missing</v>
      </c>
    </row>
    <row r="44" customFormat="false" ht="15" hidden="false" customHeight="false" outlineLevel="0" collapsed="false">
      <c r="A44" s="8" t="n">
        <v>867003721</v>
      </c>
      <c r="B44" s="8" t="s">
        <v>139</v>
      </c>
      <c r="C44" s="8" t="s">
        <v>37</v>
      </c>
      <c r="D44" s="8" t="n">
        <v>9</v>
      </c>
      <c r="E44" s="8" t="n">
        <v>2026</v>
      </c>
      <c r="F44" s="8" t="s">
        <v>38</v>
      </c>
      <c r="G44" s="8" t="s">
        <v>140</v>
      </c>
      <c r="H44" s="8" t="s">
        <v>40</v>
      </c>
      <c r="I44" s="8" t="n">
        <v>867005321</v>
      </c>
      <c r="J44" s="8" t="s">
        <v>142</v>
      </c>
      <c r="K44" s="9" t="n">
        <v>189671660</v>
      </c>
      <c r="L44" s="9" t="n">
        <v>188273130</v>
      </c>
      <c r="M44" s="9" t="s">
        <v>48</v>
      </c>
      <c r="N44" s="9" t="n">
        <v>1398530</v>
      </c>
      <c r="O44" s="9" t="s">
        <v>48</v>
      </c>
      <c r="P44" s="9" t="s">
        <v>48</v>
      </c>
      <c r="Q44" s="9" t="s">
        <v>48</v>
      </c>
      <c r="R44" s="9" t="str">
        <f aca="false">IF(AND(A44&lt;&gt;"",ISNUMBER(Q44),ISNUMBER(L44)),ROUND(Q44-IF(ISNUMBER(N44),N44,0)-IF(ISNUMBER(O44),O44,0)+IF(ISNUMBER(P44),P44,0),2),"")</f>
        <v/>
      </c>
      <c r="S44" s="9" t="str">
        <f aca="false">IF(R44="","",ROUND(L44-R44,2))</f>
        <v/>
      </c>
      <c r="T44" s="8" t="str">
        <f aca="false">IF(A44="","",IF(S44="","BYPASS",IF(ABS(S44)&lt;=Summary!$B$2,"PASS","FAIL")))</f>
        <v>BYPASS</v>
      </c>
      <c r="U44" s="8" t="str">
        <f aca="false">IF(T44="BYPASS",IF(NOT(ISNUMBER(Q44)),"PreV_ETB missing","End_tr_balance missing"),IF(T44="FAIL",IF(AND(ISNUMBER(K44),ISNUMBER(L44),ABS(L44-(K44-IF(ISNUMBER(N44),N44,0)-IF(ISNUMBER(O44),O44,0)+IF(ISNUMBER(P44),P44,0)))&lt;=Summary!$B$2),"Passes using beginning_balance - PreV_ETB differs from beginning_balance",IF(AND(ISNUMBER(O44),O44&lt;0,ABS(L44-(Q44-IF(ISNUMBER(N44),N44,0)+IF(ISNUMBER(P44),P44,0)))&lt;=Summary!$B$2),"Negative realized loss not applied - check sign",IF(R44&lt;0,"Principal paid exceeds prior balance",IF(AND(L44&gt;Q44,NOT(ISNUMBER(P44))),"Balance increased but no Deferred_interest reported",IF(L44&gt;R44,"Reported balance higher than expected (missing increase/OC build)","Reported balance lower than expected (missing decrease)"))))),""))</f>
        <v>PreV_ETB missing</v>
      </c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9"/>
      <c r="L45" s="9"/>
      <c r="M45" s="9"/>
      <c r="N45" s="9"/>
      <c r="O45" s="9"/>
      <c r="P45" s="9"/>
      <c r="Q45" s="9"/>
      <c r="R45" s="9" t="str">
        <f aca="false">IF(AND(A45&lt;&gt;"",ISNUMBER(Q45),ISNUMBER(L45)),ROUND(Q45-IF(ISNUMBER(N45),N45,0)-IF(ISNUMBER(O45),O45,0)+IF(ISNUMBER(P45),P45,0),2),"")</f>
        <v/>
      </c>
      <c r="S45" s="9" t="str">
        <f aca="false">IF(R45="","",ROUND(L45-R45,2))</f>
        <v/>
      </c>
      <c r="T45" s="8" t="str">
        <f aca="false">IF(A45="","",IF(S45="","BYPASS",IF(ABS(S45)&lt;=Summary!$B$2,"PASS","FAIL")))</f>
        <v/>
      </c>
      <c r="U45" s="8" t="str">
        <f aca="false">IF(T45="BYPASS",IF(NOT(ISNUMBER(Q45)),"PreV_ETB missing","End_tr_balance missing"),IF(T45="FAIL",IF(AND(ISNUMBER(K45),ISNUMBER(L45),ABS(L45-(K45-IF(ISNUMBER(N45),N45,0)-IF(ISNUMBER(O45),O45,0)+IF(ISNUMBER(P45),P45,0)))&lt;=Summary!$B$2),"Passes using beginning_balance - PreV_ETB differs from beginning_balance",IF(AND(ISNUMBER(O45),O45&lt;0,ABS(L45-(Q45-IF(ISNUMBER(N45),N45,0)+IF(ISNUMBER(P45),P45,0)))&lt;=Summary!$B$2),"Negative realized loss not applied - check sign",IF(R45&lt;0,"Principal paid exceeds prior balance",IF(AND(L45&gt;Q45,NOT(ISNUMBER(P45))),"Balance increased but no Deferred_interest reported",IF(L45&gt;R45,"Reported balance higher than expected (missing increase/OC build)","Reported balance lower than expected (missing decrease)"))))),""))</f>
        <v/>
      </c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9"/>
      <c r="L46" s="9"/>
      <c r="M46" s="9"/>
      <c r="N46" s="9"/>
      <c r="O46" s="9"/>
      <c r="P46" s="9"/>
      <c r="Q46" s="9"/>
      <c r="R46" s="9" t="str">
        <f aca="false">IF(AND(A46&lt;&gt;"",ISNUMBER(Q46),ISNUMBER(L46)),ROUND(Q46-IF(ISNUMBER(N46),N46,0)-IF(ISNUMBER(O46),O46,0)+IF(ISNUMBER(P46),P46,0),2),"")</f>
        <v/>
      </c>
      <c r="S46" s="9" t="str">
        <f aca="false">IF(R46="","",ROUND(L46-R46,2))</f>
        <v/>
      </c>
      <c r="T46" s="8" t="str">
        <f aca="false">IF(A46="","",IF(S46="","BYPASS",IF(ABS(S46)&lt;=Summary!$B$2,"PASS","FAIL")))</f>
        <v/>
      </c>
      <c r="U46" s="8" t="str">
        <f aca="false">IF(T46="BYPASS",IF(NOT(ISNUMBER(Q46)),"PreV_ETB missing","End_tr_balance missing"),IF(T46="FAIL",IF(AND(ISNUMBER(K46),ISNUMBER(L46),ABS(L46-(K46-IF(ISNUMBER(N46),N46,0)-IF(ISNUMBER(O46),O46,0)+IF(ISNUMBER(P46),P46,0)))&lt;=Summary!$B$2),"Passes using beginning_balance - PreV_ETB differs from beginning_balance",IF(AND(ISNUMBER(O46),O46&lt;0,ABS(L46-(Q46-IF(ISNUMBER(N46),N46,0)+IF(ISNUMBER(P46),P46,0)))&lt;=Summary!$B$2),"Negative realized loss not applied - check sign",IF(R46&lt;0,"Principal paid exceeds prior balance",IF(AND(L46&gt;Q46,NOT(ISNUMBER(P46))),"Balance increased but no Deferred_interest reported",IF(L46&gt;R46,"Reported balance higher than expected (missing increase/OC build)","Reported balance lower than expected (missing decrease)"))))),""))</f>
        <v/>
      </c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9"/>
      <c r="L47" s="9"/>
      <c r="M47" s="9"/>
      <c r="N47" s="9"/>
      <c r="O47" s="9"/>
      <c r="P47" s="9"/>
      <c r="Q47" s="9"/>
      <c r="R47" s="9" t="str">
        <f aca="false">IF(AND(A47&lt;&gt;"",ISNUMBER(Q47),ISNUMBER(L47)),ROUND(Q47-IF(ISNUMBER(N47),N47,0)-IF(ISNUMBER(O47),O47,0)+IF(ISNUMBER(P47),P47,0),2),"")</f>
        <v/>
      </c>
      <c r="S47" s="9" t="str">
        <f aca="false">IF(R47="","",ROUND(L47-R47,2))</f>
        <v/>
      </c>
      <c r="T47" s="8" t="str">
        <f aca="false">IF(A47="","",IF(S47="","BYPASS",IF(ABS(S47)&lt;=Summary!$B$2,"PASS","FAIL")))</f>
        <v/>
      </c>
      <c r="U47" s="8" t="str">
        <f aca="false">IF(T47="BYPASS",IF(NOT(ISNUMBER(Q47)),"PreV_ETB missing","End_tr_balance missing"),IF(T47="FAIL",IF(AND(ISNUMBER(K47),ISNUMBER(L47),ABS(L47-(K47-IF(ISNUMBER(N47),N47,0)-IF(ISNUMBER(O47),O47,0)+IF(ISNUMBER(P47),P47,0)))&lt;=Summary!$B$2),"Passes using beginning_balance - PreV_ETB differs from beginning_balance",IF(AND(ISNUMBER(O47),O47&lt;0,ABS(L47-(Q47-IF(ISNUMBER(N47),N47,0)+IF(ISNUMBER(P47),P47,0)))&lt;=Summary!$B$2),"Negative realized loss not applied - check sign",IF(R47&lt;0,"Principal paid exceeds prior balance",IF(AND(L47&gt;Q47,NOT(ISNUMBER(P47))),"Balance increased but no Deferred_interest reported",IF(L47&gt;R47,"Reported balance higher than expected (missing increase/OC build)","Reported balance lower than expected (missing decrease)"))))),""))</f>
        <v/>
      </c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9"/>
      <c r="L48" s="9"/>
      <c r="M48" s="9"/>
      <c r="N48" s="9"/>
      <c r="O48" s="9"/>
      <c r="P48" s="9"/>
      <c r="Q48" s="9"/>
      <c r="R48" s="9" t="str">
        <f aca="false">IF(AND(A48&lt;&gt;"",ISNUMBER(Q48),ISNUMBER(L48)),ROUND(Q48-IF(ISNUMBER(N48),N48,0)-IF(ISNUMBER(O48),O48,0)+IF(ISNUMBER(P48),P48,0),2),"")</f>
        <v/>
      </c>
      <c r="S48" s="9" t="str">
        <f aca="false">IF(R48="","",ROUND(L48-R48,2))</f>
        <v/>
      </c>
      <c r="T48" s="8" t="str">
        <f aca="false">IF(A48="","",IF(S48="","BYPASS",IF(ABS(S48)&lt;=Summary!$B$2,"PASS","FAIL")))</f>
        <v/>
      </c>
      <c r="U48" s="8" t="str">
        <f aca="false">IF(T48="BYPASS",IF(NOT(ISNUMBER(Q48)),"PreV_ETB missing","End_tr_balance missing"),IF(T48="FAIL",IF(AND(ISNUMBER(K48),ISNUMBER(L48),ABS(L48-(K48-IF(ISNUMBER(N48),N48,0)-IF(ISNUMBER(O48),O48,0)+IF(ISNUMBER(P48),P48,0)))&lt;=Summary!$B$2),"Passes using beginning_balance - PreV_ETB differs from beginning_balance",IF(AND(ISNUMBER(O48),O48&lt;0,ABS(L48-(Q48-IF(ISNUMBER(N48),N48,0)+IF(ISNUMBER(P48),P48,0)))&lt;=Summary!$B$2),"Negative realized loss not applied - check sign",IF(R48&lt;0,"Principal paid exceeds prior balance",IF(AND(L48&gt;Q48,NOT(ISNUMBER(P48))),"Balance increased but no Deferred_interest reported",IF(L48&gt;R48,"Reported balance higher than expected (missing increase/OC build)","Reported balance lower than expected (missing decrease)"))))),""))</f>
        <v/>
      </c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9"/>
      <c r="L49" s="9"/>
      <c r="M49" s="9"/>
      <c r="N49" s="9"/>
      <c r="O49" s="9"/>
      <c r="P49" s="9"/>
      <c r="Q49" s="9"/>
      <c r="R49" s="9" t="str">
        <f aca="false">IF(AND(A49&lt;&gt;"",ISNUMBER(Q49),ISNUMBER(L49)),ROUND(Q49-IF(ISNUMBER(N49),N49,0)-IF(ISNUMBER(O49),O49,0)+IF(ISNUMBER(P49),P49,0),2),"")</f>
        <v/>
      </c>
      <c r="S49" s="9" t="str">
        <f aca="false">IF(R49="","",ROUND(L49-R49,2))</f>
        <v/>
      </c>
      <c r="T49" s="8" t="str">
        <f aca="false">IF(A49="","",IF(S49="","BYPASS",IF(ABS(S49)&lt;=Summary!$B$2,"PASS","FAIL")))</f>
        <v/>
      </c>
      <c r="U49" s="8" t="str">
        <f aca="false">IF(T49="BYPASS",IF(NOT(ISNUMBER(Q49)),"PreV_ETB missing","End_tr_balance missing"),IF(T49="FAIL",IF(AND(ISNUMBER(K49),ISNUMBER(L49),ABS(L49-(K49-IF(ISNUMBER(N49),N49,0)-IF(ISNUMBER(O49),O49,0)+IF(ISNUMBER(P49),P49,0)))&lt;=Summary!$B$2),"Passes using beginning_balance - PreV_ETB differs from beginning_balance",IF(AND(ISNUMBER(O49),O49&lt;0,ABS(L49-(Q49-IF(ISNUMBER(N49),N49,0)+IF(ISNUMBER(P49),P49,0)))&lt;=Summary!$B$2),"Negative realized loss not applied - check sign",IF(R49&lt;0,"Principal paid exceeds prior balance",IF(AND(L49&gt;Q49,NOT(ISNUMBER(P49))),"Balance increased but no Deferred_interest reported",IF(L49&gt;R49,"Reported balance higher than expected (missing increase/OC build)","Reported balance lower than expected (missing decrease)"))))),""))</f>
        <v/>
      </c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9"/>
      <c r="L50" s="9"/>
      <c r="M50" s="9"/>
      <c r="N50" s="9"/>
      <c r="O50" s="9"/>
      <c r="P50" s="9"/>
      <c r="Q50" s="9"/>
      <c r="R50" s="9" t="str">
        <f aca="false">IF(AND(A50&lt;&gt;"",ISNUMBER(Q50),ISNUMBER(L50)),ROUND(Q50-IF(ISNUMBER(N50),N50,0)-IF(ISNUMBER(O50),O50,0)+IF(ISNUMBER(P50),P50,0),2),"")</f>
        <v/>
      </c>
      <c r="S50" s="9" t="str">
        <f aca="false">IF(R50="","",ROUND(L50-R50,2))</f>
        <v/>
      </c>
      <c r="T50" s="8" t="str">
        <f aca="false">IF(A50="","",IF(S50="","BYPASS",IF(ABS(S50)&lt;=Summary!$B$2,"PASS","FAIL")))</f>
        <v/>
      </c>
      <c r="U50" s="8" t="str">
        <f aca="false">IF(T50="BYPASS",IF(NOT(ISNUMBER(Q50)),"PreV_ETB missing","End_tr_balance missing"),IF(T50="FAIL",IF(AND(ISNUMBER(K50),ISNUMBER(L50),ABS(L50-(K50-IF(ISNUMBER(N50),N50,0)-IF(ISNUMBER(O50),O50,0)+IF(ISNUMBER(P50),P50,0)))&lt;=Summary!$B$2),"Passes using beginning_balance - PreV_ETB differs from beginning_balance",IF(AND(ISNUMBER(O50),O50&lt;0,ABS(L50-(Q50-IF(ISNUMBER(N50),N50,0)+IF(ISNUMBER(P50),P50,0)))&lt;=Summary!$B$2),"Negative realized loss not applied - check sign",IF(R50&lt;0,"Principal paid exceeds prior balance",IF(AND(L50&gt;Q50,NOT(ISNUMBER(P50))),"Balance increased but no Deferred_interest reported",IF(L50&gt;R50,"Reported balance higher than expected (missing increase/OC build)","Reported balance lower than expected (missing decrease)"))))),""))</f>
        <v/>
      </c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9"/>
      <c r="L51" s="9"/>
      <c r="M51" s="9"/>
      <c r="N51" s="9"/>
      <c r="O51" s="9"/>
      <c r="P51" s="9"/>
      <c r="Q51" s="9"/>
      <c r="R51" s="9" t="str">
        <f aca="false">IF(AND(A51&lt;&gt;"",ISNUMBER(Q51),ISNUMBER(L51)),ROUND(Q51-IF(ISNUMBER(N51),N51,0)-IF(ISNUMBER(O51),O51,0)+IF(ISNUMBER(P51),P51,0),2),"")</f>
        <v/>
      </c>
      <c r="S51" s="9" t="str">
        <f aca="false">IF(R51="","",ROUND(L51-R51,2))</f>
        <v/>
      </c>
      <c r="T51" s="8" t="str">
        <f aca="false">IF(A51="","",IF(S51="","BYPASS",IF(ABS(S51)&lt;=Summary!$B$2,"PASS","FAIL")))</f>
        <v/>
      </c>
      <c r="U51" s="8" t="str">
        <f aca="false">IF(T51="BYPASS",IF(NOT(ISNUMBER(Q51)),"PreV_ETB missing","End_tr_balance missing"),IF(T51="FAIL",IF(AND(ISNUMBER(K51),ISNUMBER(L51),ABS(L51-(K51-IF(ISNUMBER(N51),N51,0)-IF(ISNUMBER(O51),O51,0)+IF(ISNUMBER(P51),P51,0)))&lt;=Summary!$B$2),"Passes using beginning_balance - PreV_ETB differs from beginning_balance",IF(AND(ISNUMBER(O51),O51&lt;0,ABS(L51-(Q51-IF(ISNUMBER(N51),N51,0)+IF(ISNUMBER(P51),P51,0)))&lt;=Summary!$B$2),"Negative realized loss not applied - check sign",IF(R51&lt;0,"Principal paid exceeds prior balance",IF(AND(L51&gt;Q51,NOT(ISNUMBER(P51))),"Balance increased but no Deferred_interest reported",IF(L51&gt;R51,"Reported balance higher than expected (missing increase/OC build)","Reported balance lower than expected (missing decrease)"))))),""))</f>
        <v/>
      </c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9"/>
      <c r="L52" s="9"/>
      <c r="M52" s="9"/>
      <c r="N52" s="9"/>
      <c r="O52" s="9"/>
      <c r="P52" s="9"/>
      <c r="Q52" s="9"/>
      <c r="R52" s="9" t="str">
        <f aca="false">IF(AND(A52&lt;&gt;"",ISNUMBER(Q52),ISNUMBER(L52)),ROUND(Q52-IF(ISNUMBER(N52),N52,0)-IF(ISNUMBER(O52),O52,0)+IF(ISNUMBER(P52),P52,0),2),"")</f>
        <v/>
      </c>
      <c r="S52" s="9" t="str">
        <f aca="false">IF(R52="","",ROUND(L52-R52,2))</f>
        <v/>
      </c>
      <c r="T52" s="8" t="str">
        <f aca="false">IF(A52="","",IF(S52="","BYPASS",IF(ABS(S52)&lt;=Summary!$B$2,"PASS","FAIL")))</f>
        <v/>
      </c>
      <c r="U52" s="8" t="str">
        <f aca="false">IF(T52="BYPASS",IF(NOT(ISNUMBER(Q52)),"PreV_ETB missing","End_tr_balance missing"),IF(T52="FAIL",IF(AND(ISNUMBER(K52),ISNUMBER(L52),ABS(L52-(K52-IF(ISNUMBER(N52),N52,0)-IF(ISNUMBER(O52),O52,0)+IF(ISNUMBER(P52),P52,0)))&lt;=Summary!$B$2),"Passes using beginning_balance - PreV_ETB differs from beginning_balance",IF(AND(ISNUMBER(O52),O52&lt;0,ABS(L52-(Q52-IF(ISNUMBER(N52),N52,0)+IF(ISNUMBER(P52),P52,0)))&lt;=Summary!$B$2),"Negative realized loss not applied - check sign",IF(R52&lt;0,"Principal paid exceeds prior balance",IF(AND(L52&gt;Q52,NOT(ISNUMBER(P52))),"Balance increased but no Deferred_interest reported",IF(L52&gt;R52,"Reported balance higher than expected (missing increase/OC build)","Reported balance lower than expected (missing decrease)"))))),""))</f>
        <v/>
      </c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9"/>
      <c r="L53" s="9"/>
      <c r="M53" s="9"/>
      <c r="N53" s="9"/>
      <c r="O53" s="9"/>
      <c r="P53" s="9"/>
      <c r="Q53" s="9"/>
      <c r="R53" s="9" t="str">
        <f aca="false">IF(AND(A53&lt;&gt;"",ISNUMBER(Q53),ISNUMBER(L53)),ROUND(Q53-IF(ISNUMBER(N53),N53,0)-IF(ISNUMBER(O53),O53,0)+IF(ISNUMBER(P53),P53,0),2),"")</f>
        <v/>
      </c>
      <c r="S53" s="9" t="str">
        <f aca="false">IF(R53="","",ROUND(L53-R53,2))</f>
        <v/>
      </c>
      <c r="T53" s="8" t="str">
        <f aca="false">IF(A53="","",IF(S53="","BYPASS",IF(ABS(S53)&lt;=Summary!$B$2,"PASS","FAIL")))</f>
        <v/>
      </c>
      <c r="U53" s="8" t="str">
        <f aca="false">IF(T53="BYPASS",IF(NOT(ISNUMBER(Q53)),"PreV_ETB missing","End_tr_balance missing"),IF(T53="FAIL",IF(AND(ISNUMBER(K53),ISNUMBER(L53),ABS(L53-(K53-IF(ISNUMBER(N53),N53,0)-IF(ISNUMBER(O53),O53,0)+IF(ISNUMBER(P53),P53,0)))&lt;=Summary!$B$2),"Passes using beginning_balance - PreV_ETB differs from beginning_balance",IF(AND(ISNUMBER(O53),O53&lt;0,ABS(L53-(Q53-IF(ISNUMBER(N53),N53,0)+IF(ISNUMBER(P53),P53,0)))&lt;=Summary!$B$2),"Negative realized loss not applied - check sign",IF(R53&lt;0,"Principal paid exceeds prior balance",IF(AND(L53&gt;Q53,NOT(ISNUMBER(P53))),"Balance increased but no Deferred_interest reported",IF(L53&gt;R53,"Reported balance higher than expected (missing increase/OC build)","Reported balance lower than expected (missing decrease)"))))),""))</f>
        <v/>
      </c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9"/>
      <c r="L54" s="9"/>
      <c r="M54" s="9"/>
      <c r="N54" s="9"/>
      <c r="O54" s="9"/>
      <c r="P54" s="9"/>
      <c r="Q54" s="9"/>
      <c r="R54" s="9" t="str">
        <f aca="false">IF(AND(A54&lt;&gt;"",ISNUMBER(Q54),ISNUMBER(L54)),ROUND(Q54-IF(ISNUMBER(N54),N54,0)-IF(ISNUMBER(O54),O54,0)+IF(ISNUMBER(P54),P54,0),2),"")</f>
        <v/>
      </c>
      <c r="S54" s="9" t="str">
        <f aca="false">IF(R54="","",ROUND(L54-R54,2))</f>
        <v/>
      </c>
      <c r="T54" s="8" t="str">
        <f aca="false">IF(A54="","",IF(S54="","BYPASS",IF(ABS(S54)&lt;=Summary!$B$2,"PASS","FAIL")))</f>
        <v/>
      </c>
      <c r="U54" s="8" t="str">
        <f aca="false">IF(T54="BYPASS",IF(NOT(ISNUMBER(Q54)),"PreV_ETB missing","End_tr_balance missing"),IF(T54="FAIL",IF(AND(ISNUMBER(K54),ISNUMBER(L54),ABS(L54-(K54-IF(ISNUMBER(N54),N54,0)-IF(ISNUMBER(O54),O54,0)+IF(ISNUMBER(P54),P54,0)))&lt;=Summary!$B$2),"Passes using beginning_balance - PreV_ETB differs from beginning_balance",IF(AND(ISNUMBER(O54),O54&lt;0,ABS(L54-(Q54-IF(ISNUMBER(N54),N54,0)+IF(ISNUMBER(P54),P54,0)))&lt;=Summary!$B$2),"Negative realized loss not applied - check sign",IF(R54&lt;0,"Principal paid exceeds prior balance",IF(AND(L54&gt;Q54,NOT(ISNUMBER(P54))),"Balance increased but no Deferred_interest reported",IF(L54&gt;R54,"Reported balance higher than expected (missing increase/OC build)","Reported balance lower than expected (missing decrease)"))))),""))</f>
        <v/>
      </c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9"/>
      <c r="L55" s="9"/>
      <c r="M55" s="9"/>
      <c r="N55" s="9"/>
      <c r="O55" s="9"/>
      <c r="P55" s="9"/>
      <c r="Q55" s="9"/>
      <c r="R55" s="9" t="str">
        <f aca="false">IF(AND(A55&lt;&gt;"",ISNUMBER(Q55),ISNUMBER(L55)),ROUND(Q55-IF(ISNUMBER(N55),N55,0)-IF(ISNUMBER(O55),O55,0)+IF(ISNUMBER(P55),P55,0),2),"")</f>
        <v/>
      </c>
      <c r="S55" s="9" t="str">
        <f aca="false">IF(R55="","",ROUND(L55-R55,2))</f>
        <v/>
      </c>
      <c r="T55" s="8" t="str">
        <f aca="false">IF(A55="","",IF(S55="","BYPASS",IF(ABS(S55)&lt;=Summary!$B$2,"PASS","FAIL")))</f>
        <v/>
      </c>
      <c r="U55" s="8" t="str">
        <f aca="false">IF(T55="BYPASS",IF(NOT(ISNUMBER(Q55)),"PreV_ETB missing","End_tr_balance missing"),IF(T55="FAIL",IF(AND(ISNUMBER(K55),ISNUMBER(L55),ABS(L55-(K55-IF(ISNUMBER(N55),N55,0)-IF(ISNUMBER(O55),O55,0)+IF(ISNUMBER(P55),P55,0)))&lt;=Summary!$B$2),"Passes using beginning_balance - PreV_ETB differs from beginning_balance",IF(AND(ISNUMBER(O55),O55&lt;0,ABS(L55-(Q55-IF(ISNUMBER(N55),N55,0)+IF(ISNUMBER(P55),P55,0)))&lt;=Summary!$B$2),"Negative realized loss not applied - check sign",IF(R55&lt;0,"Principal paid exceeds prior balance",IF(AND(L55&gt;Q55,NOT(ISNUMBER(P55))),"Balance increased but no Deferred_interest reported",IF(L55&gt;R55,"Reported balance higher than expected (missing increase/OC build)","Reported balance lower than expected (missing decrease)"))))),""))</f>
        <v/>
      </c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9"/>
      <c r="L56" s="9"/>
      <c r="M56" s="9"/>
      <c r="N56" s="9"/>
      <c r="O56" s="9"/>
      <c r="P56" s="9"/>
      <c r="Q56" s="9"/>
      <c r="R56" s="9" t="str">
        <f aca="false">IF(AND(A56&lt;&gt;"",ISNUMBER(Q56),ISNUMBER(L56)),ROUND(Q56-IF(ISNUMBER(N56),N56,0)-IF(ISNUMBER(O56),O56,0)+IF(ISNUMBER(P56),P56,0),2),"")</f>
        <v/>
      </c>
      <c r="S56" s="9" t="str">
        <f aca="false">IF(R56="","",ROUND(L56-R56,2))</f>
        <v/>
      </c>
      <c r="T56" s="8" t="str">
        <f aca="false">IF(A56="","",IF(S56="","BYPASS",IF(ABS(S56)&lt;=Summary!$B$2,"PASS","FAIL")))</f>
        <v/>
      </c>
      <c r="U56" s="8" t="str">
        <f aca="false">IF(T56="BYPASS",IF(NOT(ISNUMBER(Q56)),"PreV_ETB missing","End_tr_balance missing"),IF(T56="FAIL",IF(AND(ISNUMBER(K56),ISNUMBER(L56),ABS(L56-(K56-IF(ISNUMBER(N56),N56,0)-IF(ISNUMBER(O56),O56,0)+IF(ISNUMBER(P56),P56,0)))&lt;=Summary!$B$2),"Passes using beginning_balance - PreV_ETB differs from beginning_balance",IF(AND(ISNUMBER(O56),O56&lt;0,ABS(L56-(Q56-IF(ISNUMBER(N56),N56,0)+IF(ISNUMBER(P56),P56,0)))&lt;=Summary!$B$2),"Negative realized loss not applied - check sign",IF(R56&lt;0,"Principal paid exceeds prior balance",IF(AND(L56&gt;Q56,NOT(ISNUMBER(P56))),"Balance increased but no Deferred_interest reported",IF(L56&gt;R56,"Reported balance higher than expected (missing increase/OC build)","Reported balance lower than expected (missing decrease)"))))),""))</f>
        <v/>
      </c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9"/>
      <c r="L57" s="9"/>
      <c r="M57" s="9"/>
      <c r="N57" s="9"/>
      <c r="O57" s="9"/>
      <c r="P57" s="9"/>
      <c r="Q57" s="9"/>
      <c r="R57" s="9" t="str">
        <f aca="false">IF(AND(A57&lt;&gt;"",ISNUMBER(Q57),ISNUMBER(L57)),ROUND(Q57-IF(ISNUMBER(N57),N57,0)-IF(ISNUMBER(O57),O57,0)+IF(ISNUMBER(P57),P57,0),2),"")</f>
        <v/>
      </c>
      <c r="S57" s="9" t="str">
        <f aca="false">IF(R57="","",ROUND(L57-R57,2))</f>
        <v/>
      </c>
      <c r="T57" s="8" t="str">
        <f aca="false">IF(A57="","",IF(S57="","BYPASS",IF(ABS(S57)&lt;=Summary!$B$2,"PASS","FAIL")))</f>
        <v/>
      </c>
      <c r="U57" s="8" t="str">
        <f aca="false">IF(T57="BYPASS",IF(NOT(ISNUMBER(Q57)),"PreV_ETB missing","End_tr_balance missing"),IF(T57="FAIL",IF(AND(ISNUMBER(K57),ISNUMBER(L57),ABS(L57-(K57-IF(ISNUMBER(N57),N57,0)-IF(ISNUMBER(O57),O57,0)+IF(ISNUMBER(P57),P57,0)))&lt;=Summary!$B$2),"Passes using beginning_balance - PreV_ETB differs from beginning_balance",IF(AND(ISNUMBER(O57),O57&lt;0,ABS(L57-(Q57-IF(ISNUMBER(N57),N57,0)+IF(ISNUMBER(P57),P57,0)))&lt;=Summary!$B$2),"Negative realized loss not applied - check sign",IF(R57&lt;0,"Principal paid exceeds prior balance",IF(AND(L57&gt;Q57,NOT(ISNUMBER(P57))),"Balance increased but no Deferred_interest reported",IF(L57&gt;R57,"Reported balance higher than expected (missing increase/OC build)","Reported balance lower than expected (missing decrease)"))))),""))</f>
        <v/>
      </c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9"/>
      <c r="L58" s="9"/>
      <c r="M58" s="9"/>
      <c r="N58" s="9"/>
      <c r="O58" s="9"/>
      <c r="P58" s="9"/>
      <c r="Q58" s="9"/>
      <c r="R58" s="9" t="str">
        <f aca="false">IF(AND(A58&lt;&gt;"",ISNUMBER(Q58),ISNUMBER(L58)),ROUND(Q58-IF(ISNUMBER(N58),N58,0)-IF(ISNUMBER(O58),O58,0)+IF(ISNUMBER(P58),P58,0),2),"")</f>
        <v/>
      </c>
      <c r="S58" s="9" t="str">
        <f aca="false">IF(R58="","",ROUND(L58-R58,2))</f>
        <v/>
      </c>
      <c r="T58" s="8" t="str">
        <f aca="false">IF(A58="","",IF(S58="","BYPASS",IF(ABS(S58)&lt;=Summary!$B$2,"PASS","FAIL")))</f>
        <v/>
      </c>
      <c r="U58" s="8" t="str">
        <f aca="false">IF(T58="BYPASS",IF(NOT(ISNUMBER(Q58)),"PreV_ETB missing","End_tr_balance missing"),IF(T58="FAIL",IF(AND(ISNUMBER(K58),ISNUMBER(L58),ABS(L58-(K58-IF(ISNUMBER(N58),N58,0)-IF(ISNUMBER(O58),O58,0)+IF(ISNUMBER(P58),P58,0)))&lt;=Summary!$B$2),"Passes using beginning_balance - PreV_ETB differs from beginning_balance",IF(AND(ISNUMBER(O58),O58&lt;0,ABS(L58-(Q58-IF(ISNUMBER(N58),N58,0)+IF(ISNUMBER(P58),P58,0)))&lt;=Summary!$B$2),"Negative realized loss not applied - check sign",IF(R58&lt;0,"Principal paid exceeds prior balance",IF(AND(L58&gt;Q58,NOT(ISNUMBER(P58))),"Balance increased but no Deferred_interest reported",IF(L58&gt;R58,"Reported balance higher than expected (missing increase/OC build)","Reported balance lower than expected (missing decrease)"))))),""))</f>
        <v/>
      </c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9"/>
      <c r="L59" s="9"/>
      <c r="M59" s="9"/>
      <c r="N59" s="9"/>
      <c r="O59" s="9"/>
      <c r="P59" s="9"/>
      <c r="Q59" s="9"/>
      <c r="R59" s="9" t="str">
        <f aca="false">IF(AND(A59&lt;&gt;"",ISNUMBER(Q59),ISNUMBER(L59)),ROUND(Q59-IF(ISNUMBER(N59),N59,0)-IF(ISNUMBER(O59),O59,0)+IF(ISNUMBER(P59),P59,0),2),"")</f>
        <v/>
      </c>
      <c r="S59" s="9" t="str">
        <f aca="false">IF(R59="","",ROUND(L59-R59,2))</f>
        <v/>
      </c>
      <c r="T59" s="8" t="str">
        <f aca="false">IF(A59="","",IF(S59="","BYPASS",IF(ABS(S59)&lt;=Summary!$B$2,"PASS","FAIL")))</f>
        <v/>
      </c>
      <c r="U59" s="8" t="str">
        <f aca="false">IF(T59="BYPASS",IF(NOT(ISNUMBER(Q59)),"PreV_ETB missing","End_tr_balance missing"),IF(T59="FAIL",IF(AND(ISNUMBER(K59),ISNUMBER(L59),ABS(L59-(K59-IF(ISNUMBER(N59),N59,0)-IF(ISNUMBER(O59),O59,0)+IF(ISNUMBER(P59),P59,0)))&lt;=Summary!$B$2),"Passes using beginning_balance - PreV_ETB differs from beginning_balance",IF(AND(ISNUMBER(O59),O59&lt;0,ABS(L59-(Q59-IF(ISNUMBER(N59),N59,0)+IF(ISNUMBER(P59),P59,0)))&lt;=Summary!$B$2),"Negative realized loss not applied - check sign",IF(R59&lt;0,"Principal paid exceeds prior balance",IF(AND(L59&gt;Q59,NOT(ISNUMBER(P59))),"Balance increased but no Deferred_interest reported",IF(L59&gt;R59,"Reported balance higher than expected (missing increase/OC build)","Reported balance lower than expected (missing decrease)"))))),""))</f>
        <v/>
      </c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9"/>
      <c r="L60" s="9"/>
      <c r="M60" s="9"/>
      <c r="N60" s="9"/>
      <c r="O60" s="9"/>
      <c r="P60" s="9"/>
      <c r="Q60" s="9"/>
      <c r="R60" s="9" t="str">
        <f aca="false">IF(AND(A60&lt;&gt;"",ISNUMBER(Q60),ISNUMBER(L60)),ROUND(Q60-IF(ISNUMBER(N60),N60,0)-IF(ISNUMBER(O60),O60,0)+IF(ISNUMBER(P60),P60,0),2),"")</f>
        <v/>
      </c>
      <c r="S60" s="9" t="str">
        <f aca="false">IF(R60="","",ROUND(L60-R60,2))</f>
        <v/>
      </c>
      <c r="T60" s="8" t="str">
        <f aca="false">IF(A60="","",IF(S60="","BYPASS",IF(ABS(S60)&lt;=Summary!$B$2,"PASS","FAIL")))</f>
        <v/>
      </c>
      <c r="U60" s="8" t="str">
        <f aca="false">IF(T60="BYPASS",IF(NOT(ISNUMBER(Q60)),"PreV_ETB missing","End_tr_balance missing"),IF(T60="FAIL",IF(AND(ISNUMBER(K60),ISNUMBER(L60),ABS(L60-(K60-IF(ISNUMBER(N60),N60,0)-IF(ISNUMBER(O60),O60,0)+IF(ISNUMBER(P60),P60,0)))&lt;=Summary!$B$2),"Passes using beginning_balance - PreV_ETB differs from beginning_balance",IF(AND(ISNUMBER(O60),O60&lt;0,ABS(L60-(Q60-IF(ISNUMBER(N60),N60,0)+IF(ISNUMBER(P60),P60,0)))&lt;=Summary!$B$2),"Negative realized loss not applied - check sign",IF(R60&lt;0,"Principal paid exceeds prior balance",IF(AND(L60&gt;Q60,NOT(ISNUMBER(P60))),"Balance increased but no Deferred_interest reported",IF(L60&gt;R60,"Reported balance higher than expected (missing increase/OC build)","Reported balance lower than expected (missing decrease)"))))),""))</f>
        <v/>
      </c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9"/>
      <c r="L61" s="9"/>
      <c r="M61" s="9"/>
      <c r="N61" s="9"/>
      <c r="O61" s="9"/>
      <c r="P61" s="9"/>
      <c r="Q61" s="9"/>
      <c r="R61" s="9" t="str">
        <f aca="false">IF(AND(A61&lt;&gt;"",ISNUMBER(Q61),ISNUMBER(L61)),ROUND(Q61-IF(ISNUMBER(N61),N61,0)-IF(ISNUMBER(O61),O61,0)+IF(ISNUMBER(P61),P61,0),2),"")</f>
        <v/>
      </c>
      <c r="S61" s="9" t="str">
        <f aca="false">IF(R61="","",ROUND(L61-R61,2))</f>
        <v/>
      </c>
      <c r="T61" s="8" t="str">
        <f aca="false">IF(A61="","",IF(S61="","BYPASS",IF(ABS(S61)&lt;=Summary!$B$2,"PASS","FAIL")))</f>
        <v/>
      </c>
      <c r="U61" s="8" t="str">
        <f aca="false">IF(T61="BYPASS",IF(NOT(ISNUMBER(Q61)),"PreV_ETB missing","End_tr_balance missing"),IF(T61="FAIL",IF(AND(ISNUMBER(K61),ISNUMBER(L61),ABS(L61-(K61-IF(ISNUMBER(N61),N61,0)-IF(ISNUMBER(O61),O61,0)+IF(ISNUMBER(P61),P61,0)))&lt;=Summary!$B$2),"Passes using beginning_balance - PreV_ETB differs from beginning_balance",IF(AND(ISNUMBER(O61),O61&lt;0,ABS(L61-(Q61-IF(ISNUMBER(N61),N61,0)+IF(ISNUMBER(P61),P61,0)))&lt;=Summary!$B$2),"Negative realized loss not applied - check sign",IF(R61&lt;0,"Principal paid exceeds prior balance",IF(AND(L61&gt;Q61,NOT(ISNUMBER(P61))),"Balance increased but no Deferred_interest reported",IF(L61&gt;R61,"Reported balance higher than expected (missing increase/OC build)","Reported balance lower than expected (missing decrease)"))))),""))</f>
        <v/>
      </c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9"/>
      <c r="L62" s="9"/>
      <c r="M62" s="9"/>
      <c r="N62" s="9"/>
      <c r="O62" s="9"/>
      <c r="P62" s="9"/>
      <c r="Q62" s="9"/>
      <c r="R62" s="9" t="str">
        <f aca="false">IF(AND(A62&lt;&gt;"",ISNUMBER(Q62),ISNUMBER(L62)),ROUND(Q62-IF(ISNUMBER(N62),N62,0)-IF(ISNUMBER(O62),O62,0)+IF(ISNUMBER(P62),P62,0),2),"")</f>
        <v/>
      </c>
      <c r="S62" s="9" t="str">
        <f aca="false">IF(R62="","",ROUND(L62-R62,2))</f>
        <v/>
      </c>
      <c r="T62" s="8" t="str">
        <f aca="false">IF(A62="","",IF(S62="","BYPASS",IF(ABS(S62)&lt;=Summary!$B$2,"PASS","FAIL")))</f>
        <v/>
      </c>
      <c r="U62" s="8" t="str">
        <f aca="false">IF(T62="BYPASS",IF(NOT(ISNUMBER(Q62)),"PreV_ETB missing","End_tr_balance missing"),IF(T62="FAIL",IF(AND(ISNUMBER(K62),ISNUMBER(L62),ABS(L62-(K62-IF(ISNUMBER(N62),N62,0)-IF(ISNUMBER(O62),O62,0)+IF(ISNUMBER(P62),P62,0)))&lt;=Summary!$B$2),"Passes using beginning_balance - PreV_ETB differs from beginning_balance",IF(AND(ISNUMBER(O62),O62&lt;0,ABS(L62-(Q62-IF(ISNUMBER(N62),N62,0)+IF(ISNUMBER(P62),P62,0)))&lt;=Summary!$B$2),"Negative realized loss not applied - check sign",IF(R62&lt;0,"Principal paid exceeds prior balance",IF(AND(L62&gt;Q62,NOT(ISNUMBER(P62))),"Balance increased but no Deferred_interest reported",IF(L62&gt;R62,"Reported balance higher than expected (missing increase/OC build)","Reported balance lower than expected (missing decrease)"))))),""))</f>
        <v/>
      </c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9"/>
      <c r="L63" s="9"/>
      <c r="M63" s="9"/>
      <c r="N63" s="9"/>
      <c r="O63" s="9"/>
      <c r="P63" s="9"/>
      <c r="Q63" s="9"/>
      <c r="R63" s="9" t="str">
        <f aca="false">IF(AND(A63&lt;&gt;"",ISNUMBER(Q63),ISNUMBER(L63)),ROUND(Q63-IF(ISNUMBER(N63),N63,0)-IF(ISNUMBER(O63),O63,0)+IF(ISNUMBER(P63),P63,0),2),"")</f>
        <v/>
      </c>
      <c r="S63" s="9" t="str">
        <f aca="false">IF(R63="","",ROUND(L63-R63,2))</f>
        <v/>
      </c>
      <c r="T63" s="8" t="str">
        <f aca="false">IF(A63="","",IF(S63="","BYPASS",IF(ABS(S63)&lt;=Summary!$B$2,"PASS","FAIL")))</f>
        <v/>
      </c>
      <c r="U63" s="8" t="str">
        <f aca="false">IF(T63="BYPASS",IF(NOT(ISNUMBER(Q63)),"PreV_ETB missing","End_tr_balance missing"),IF(T63="FAIL",IF(AND(ISNUMBER(K63),ISNUMBER(L63),ABS(L63-(K63-IF(ISNUMBER(N63),N63,0)-IF(ISNUMBER(O63),O63,0)+IF(ISNUMBER(P63),P63,0)))&lt;=Summary!$B$2),"Passes using beginning_balance - PreV_ETB differs from beginning_balance",IF(AND(ISNUMBER(O63),O63&lt;0,ABS(L63-(Q63-IF(ISNUMBER(N63),N63,0)+IF(ISNUMBER(P63),P63,0)))&lt;=Summary!$B$2),"Negative realized loss not applied - check sign",IF(R63&lt;0,"Principal paid exceeds prior balance",IF(AND(L63&gt;Q63,NOT(ISNUMBER(P63))),"Balance increased but no Deferred_interest reported",IF(L63&gt;R63,"Reported balance higher than expected (missing increase/OC build)","Reported balance lower than expected (missing decrease)"))))),""))</f>
        <v/>
      </c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9"/>
      <c r="L64" s="9"/>
      <c r="M64" s="9"/>
      <c r="N64" s="9"/>
      <c r="O64" s="9"/>
      <c r="P64" s="9"/>
      <c r="Q64" s="9"/>
      <c r="R64" s="9" t="str">
        <f aca="false">IF(AND(A64&lt;&gt;"",ISNUMBER(Q64),ISNUMBER(L64)),ROUND(Q64-IF(ISNUMBER(N64),N64,0)-IF(ISNUMBER(O64),O64,0)+IF(ISNUMBER(P64),P64,0),2),"")</f>
        <v/>
      </c>
      <c r="S64" s="9" t="str">
        <f aca="false">IF(R64="","",ROUND(L64-R64,2))</f>
        <v/>
      </c>
      <c r="T64" s="8" t="str">
        <f aca="false">IF(A64="","",IF(S64="","BYPASS",IF(ABS(S64)&lt;=Summary!$B$2,"PASS","FAIL")))</f>
        <v/>
      </c>
      <c r="U64" s="8" t="str">
        <f aca="false">IF(T64="BYPASS",IF(NOT(ISNUMBER(Q64)),"PreV_ETB missing","End_tr_balance missing"),IF(T64="FAIL",IF(AND(ISNUMBER(K64),ISNUMBER(L64),ABS(L64-(K64-IF(ISNUMBER(N64),N64,0)-IF(ISNUMBER(O64),O64,0)+IF(ISNUMBER(P64),P64,0)))&lt;=Summary!$B$2),"Passes using beginning_balance - PreV_ETB differs from beginning_balance",IF(AND(ISNUMBER(O64),O64&lt;0,ABS(L64-(Q64-IF(ISNUMBER(N64),N64,0)+IF(ISNUMBER(P64),P64,0)))&lt;=Summary!$B$2),"Negative realized loss not applied - check sign",IF(R64&lt;0,"Principal paid exceeds prior balance",IF(AND(L64&gt;Q64,NOT(ISNUMBER(P64))),"Balance increased but no Deferred_interest reported",IF(L64&gt;R64,"Reported balance higher than expected (missing increase/OC build)","Reported balance lower than expected (missing decrease)"))))),""))</f>
        <v/>
      </c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9"/>
      <c r="L65" s="9"/>
      <c r="M65" s="9"/>
      <c r="N65" s="9"/>
      <c r="O65" s="9"/>
      <c r="P65" s="9"/>
      <c r="Q65" s="9"/>
      <c r="R65" s="9" t="str">
        <f aca="false">IF(AND(A65&lt;&gt;"",ISNUMBER(Q65),ISNUMBER(L65)),ROUND(Q65-IF(ISNUMBER(N65),N65,0)-IF(ISNUMBER(O65),O65,0)+IF(ISNUMBER(P65),P65,0),2),"")</f>
        <v/>
      </c>
      <c r="S65" s="9" t="str">
        <f aca="false">IF(R65="","",ROUND(L65-R65,2))</f>
        <v/>
      </c>
      <c r="T65" s="8" t="str">
        <f aca="false">IF(A65="","",IF(S65="","BYPASS",IF(ABS(S65)&lt;=Summary!$B$2,"PASS","FAIL")))</f>
        <v/>
      </c>
      <c r="U65" s="8" t="str">
        <f aca="false">IF(T65="BYPASS",IF(NOT(ISNUMBER(Q65)),"PreV_ETB missing","End_tr_balance missing"),IF(T65="FAIL",IF(AND(ISNUMBER(K65),ISNUMBER(L65),ABS(L65-(K65-IF(ISNUMBER(N65),N65,0)-IF(ISNUMBER(O65),O65,0)+IF(ISNUMBER(P65),P65,0)))&lt;=Summary!$B$2),"Passes using beginning_balance - PreV_ETB differs from beginning_balance",IF(AND(ISNUMBER(O65),O65&lt;0,ABS(L65-(Q65-IF(ISNUMBER(N65),N65,0)+IF(ISNUMBER(P65),P65,0)))&lt;=Summary!$B$2),"Negative realized loss not applied - check sign",IF(R65&lt;0,"Principal paid exceeds prior balance",IF(AND(L65&gt;Q65,NOT(ISNUMBER(P65))),"Balance increased but no Deferred_interest reported",IF(L65&gt;R65,"Reported balance higher than expected (missing increase/OC build)","Reported balance lower than expected (missing decrease)"))))),""))</f>
        <v/>
      </c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9"/>
      <c r="L66" s="9"/>
      <c r="M66" s="9"/>
      <c r="N66" s="9"/>
      <c r="O66" s="9"/>
      <c r="P66" s="9"/>
      <c r="Q66" s="9"/>
      <c r="R66" s="9" t="str">
        <f aca="false">IF(AND(A66&lt;&gt;"",ISNUMBER(Q66),ISNUMBER(L66)),ROUND(Q66-IF(ISNUMBER(N66),N66,0)-IF(ISNUMBER(O66),O66,0)+IF(ISNUMBER(P66),P66,0),2),"")</f>
        <v/>
      </c>
      <c r="S66" s="9" t="str">
        <f aca="false">IF(R66="","",ROUND(L66-R66,2))</f>
        <v/>
      </c>
      <c r="T66" s="8" t="str">
        <f aca="false">IF(A66="","",IF(S66="","BYPASS",IF(ABS(S66)&lt;=Summary!$B$2,"PASS","FAIL")))</f>
        <v/>
      </c>
      <c r="U66" s="8" t="str">
        <f aca="false">IF(T66="BYPASS",IF(NOT(ISNUMBER(Q66)),"PreV_ETB missing","End_tr_balance missing"),IF(T66="FAIL",IF(AND(ISNUMBER(K66),ISNUMBER(L66),ABS(L66-(K66-IF(ISNUMBER(N66),N66,0)-IF(ISNUMBER(O66),O66,0)+IF(ISNUMBER(P66),P66,0)))&lt;=Summary!$B$2),"Passes using beginning_balance - PreV_ETB differs from beginning_balance",IF(AND(ISNUMBER(O66),O66&lt;0,ABS(L66-(Q66-IF(ISNUMBER(N66),N66,0)+IF(ISNUMBER(P66),P66,0)))&lt;=Summary!$B$2),"Negative realized loss not applied - check sign",IF(R66&lt;0,"Principal paid exceeds prior balance",IF(AND(L66&gt;Q66,NOT(ISNUMBER(P66))),"Balance increased but no Deferred_interest reported",IF(L66&gt;R66,"Reported balance higher than expected (missing increase/OC build)","Reported balance lower than expected (missing decrease)"))))),""))</f>
        <v/>
      </c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9"/>
      <c r="L67" s="9"/>
      <c r="M67" s="9"/>
      <c r="N67" s="9"/>
      <c r="O67" s="9"/>
      <c r="P67" s="9"/>
      <c r="Q67" s="9"/>
      <c r="R67" s="9" t="str">
        <f aca="false">IF(AND(A67&lt;&gt;"",ISNUMBER(Q67),ISNUMBER(L67)),ROUND(Q67-IF(ISNUMBER(N67),N67,0)-IF(ISNUMBER(O67),O67,0)+IF(ISNUMBER(P67),P67,0),2),"")</f>
        <v/>
      </c>
      <c r="S67" s="9" t="str">
        <f aca="false">IF(R67="","",ROUND(L67-R67,2))</f>
        <v/>
      </c>
      <c r="T67" s="8" t="str">
        <f aca="false">IF(A67="","",IF(S67="","BYPASS",IF(ABS(S67)&lt;=Summary!$B$2,"PASS","FAIL")))</f>
        <v/>
      </c>
      <c r="U67" s="8" t="str">
        <f aca="false">IF(T67="BYPASS",IF(NOT(ISNUMBER(Q67)),"PreV_ETB missing","End_tr_balance missing"),IF(T67="FAIL",IF(AND(ISNUMBER(K67),ISNUMBER(L67),ABS(L67-(K67-IF(ISNUMBER(N67),N67,0)-IF(ISNUMBER(O67),O67,0)+IF(ISNUMBER(P67),P67,0)))&lt;=Summary!$B$2),"Passes using beginning_balance - PreV_ETB differs from beginning_balance",IF(AND(ISNUMBER(O67),O67&lt;0,ABS(L67-(Q67-IF(ISNUMBER(N67),N67,0)+IF(ISNUMBER(P67),P67,0)))&lt;=Summary!$B$2),"Negative realized loss not applied - check sign",IF(R67&lt;0,"Principal paid exceeds prior balance",IF(AND(L67&gt;Q67,NOT(ISNUMBER(P67))),"Balance increased but no Deferred_interest reported",IF(L67&gt;R67,"Reported balance higher than expected (missing increase/OC build)","Reported balance lower than expected (missing decrease)"))))),""))</f>
        <v/>
      </c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9"/>
      <c r="L68" s="9"/>
      <c r="M68" s="9"/>
      <c r="N68" s="9"/>
      <c r="O68" s="9"/>
      <c r="P68" s="9"/>
      <c r="Q68" s="9"/>
      <c r="R68" s="9" t="str">
        <f aca="false">IF(AND(A68&lt;&gt;"",ISNUMBER(Q68),ISNUMBER(L68)),ROUND(Q68-IF(ISNUMBER(N68),N68,0)-IF(ISNUMBER(O68),O68,0)+IF(ISNUMBER(P68),P68,0),2),"")</f>
        <v/>
      </c>
      <c r="S68" s="9" t="str">
        <f aca="false">IF(R68="","",ROUND(L68-R68,2))</f>
        <v/>
      </c>
      <c r="T68" s="8" t="str">
        <f aca="false">IF(A68="","",IF(S68="","BYPASS",IF(ABS(S68)&lt;=Summary!$B$2,"PASS","FAIL")))</f>
        <v/>
      </c>
      <c r="U68" s="8" t="str">
        <f aca="false">IF(T68="BYPASS",IF(NOT(ISNUMBER(Q68)),"PreV_ETB missing","End_tr_balance missing"),IF(T68="FAIL",IF(AND(ISNUMBER(K68),ISNUMBER(L68),ABS(L68-(K68-IF(ISNUMBER(N68),N68,0)-IF(ISNUMBER(O68),O68,0)+IF(ISNUMBER(P68),P68,0)))&lt;=Summary!$B$2),"Passes using beginning_balance - PreV_ETB differs from beginning_balance",IF(AND(ISNUMBER(O68),O68&lt;0,ABS(L68-(Q68-IF(ISNUMBER(N68),N68,0)+IF(ISNUMBER(P68),P68,0)))&lt;=Summary!$B$2),"Negative realized loss not applied - check sign",IF(R68&lt;0,"Principal paid exceeds prior balance",IF(AND(L68&gt;Q68,NOT(ISNUMBER(P68))),"Balance increased but no Deferred_interest reported",IF(L68&gt;R68,"Reported balance higher than expected (missing increase/OC build)","Reported balance lower than expected (missing decrease)"))))),""))</f>
        <v/>
      </c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9"/>
      <c r="L69" s="9"/>
      <c r="M69" s="9"/>
      <c r="N69" s="9"/>
      <c r="O69" s="9"/>
      <c r="P69" s="9"/>
      <c r="Q69" s="9"/>
      <c r="R69" s="9" t="str">
        <f aca="false">IF(AND(A69&lt;&gt;"",ISNUMBER(Q69),ISNUMBER(L69)),ROUND(Q69-IF(ISNUMBER(N69),N69,0)-IF(ISNUMBER(O69),O69,0)+IF(ISNUMBER(P69),P69,0),2),"")</f>
        <v/>
      </c>
      <c r="S69" s="9" t="str">
        <f aca="false">IF(R69="","",ROUND(L69-R69,2))</f>
        <v/>
      </c>
      <c r="T69" s="8" t="str">
        <f aca="false">IF(A69="","",IF(S69="","BYPASS",IF(ABS(S69)&lt;=Summary!$B$2,"PASS","FAIL")))</f>
        <v/>
      </c>
      <c r="U69" s="8" t="str">
        <f aca="false">IF(T69="BYPASS",IF(NOT(ISNUMBER(Q69)),"PreV_ETB missing","End_tr_balance missing"),IF(T69="FAIL",IF(AND(ISNUMBER(K69),ISNUMBER(L69),ABS(L69-(K69-IF(ISNUMBER(N69),N69,0)-IF(ISNUMBER(O69),O69,0)+IF(ISNUMBER(P69),P69,0)))&lt;=Summary!$B$2),"Passes using beginning_balance - PreV_ETB differs from beginning_balance",IF(AND(ISNUMBER(O69),O69&lt;0,ABS(L69-(Q69-IF(ISNUMBER(N69),N69,0)+IF(ISNUMBER(P69),P69,0)))&lt;=Summary!$B$2),"Negative realized loss not applied - check sign",IF(R69&lt;0,"Principal paid exceeds prior balance",IF(AND(L69&gt;Q69,NOT(ISNUMBER(P69))),"Balance increased but no Deferred_interest reported",IF(L69&gt;R69,"Reported balance higher than expected (missing increase/OC build)","Reported balance lower than expected (missing decrease)"))))),""))</f>
        <v/>
      </c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9"/>
      <c r="L70" s="9"/>
      <c r="M70" s="9"/>
      <c r="N70" s="9"/>
      <c r="O70" s="9"/>
      <c r="P70" s="9"/>
      <c r="Q70" s="9"/>
      <c r="R70" s="9" t="str">
        <f aca="false">IF(AND(A70&lt;&gt;"",ISNUMBER(Q70),ISNUMBER(L70)),ROUND(Q70-IF(ISNUMBER(N70),N70,0)-IF(ISNUMBER(O70),O70,0)+IF(ISNUMBER(P70),P70,0),2),"")</f>
        <v/>
      </c>
      <c r="S70" s="9" t="str">
        <f aca="false">IF(R70="","",ROUND(L70-R70,2))</f>
        <v/>
      </c>
      <c r="T70" s="8" t="str">
        <f aca="false">IF(A70="","",IF(S70="","BYPASS",IF(ABS(S70)&lt;=Summary!$B$2,"PASS","FAIL")))</f>
        <v/>
      </c>
      <c r="U70" s="8" t="str">
        <f aca="false">IF(T70="BYPASS",IF(NOT(ISNUMBER(Q70)),"PreV_ETB missing","End_tr_balance missing"),IF(T70="FAIL",IF(AND(ISNUMBER(K70),ISNUMBER(L70),ABS(L70-(K70-IF(ISNUMBER(N70),N70,0)-IF(ISNUMBER(O70),O70,0)+IF(ISNUMBER(P70),P70,0)))&lt;=Summary!$B$2),"Passes using beginning_balance - PreV_ETB differs from beginning_balance",IF(AND(ISNUMBER(O70),O70&lt;0,ABS(L70-(Q70-IF(ISNUMBER(N70),N70,0)+IF(ISNUMBER(P70),P70,0)))&lt;=Summary!$B$2),"Negative realized loss not applied - check sign",IF(R70&lt;0,"Principal paid exceeds prior balance",IF(AND(L70&gt;Q70,NOT(ISNUMBER(P70))),"Balance increased but no Deferred_interest reported",IF(L70&gt;R70,"Reported balance higher than expected (missing increase/OC build)","Reported balance lower than expected (missing decrease)"))))),""))</f>
        <v/>
      </c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9"/>
      <c r="L71" s="9"/>
      <c r="M71" s="9"/>
      <c r="N71" s="9"/>
      <c r="O71" s="9"/>
      <c r="P71" s="9"/>
      <c r="Q71" s="9"/>
      <c r="R71" s="9" t="str">
        <f aca="false">IF(AND(A71&lt;&gt;"",ISNUMBER(Q71),ISNUMBER(L71)),ROUND(Q71-IF(ISNUMBER(N71),N71,0)-IF(ISNUMBER(O71),O71,0)+IF(ISNUMBER(P71),P71,0),2),"")</f>
        <v/>
      </c>
      <c r="S71" s="9" t="str">
        <f aca="false">IF(R71="","",ROUND(L71-R71,2))</f>
        <v/>
      </c>
      <c r="T71" s="8" t="str">
        <f aca="false">IF(A71="","",IF(S71="","BYPASS",IF(ABS(S71)&lt;=Summary!$B$2,"PASS","FAIL")))</f>
        <v/>
      </c>
      <c r="U71" s="8" t="str">
        <f aca="false">IF(T71="BYPASS",IF(NOT(ISNUMBER(Q71)),"PreV_ETB missing","End_tr_balance missing"),IF(T71="FAIL",IF(AND(ISNUMBER(K71),ISNUMBER(L71),ABS(L71-(K71-IF(ISNUMBER(N71),N71,0)-IF(ISNUMBER(O71),O71,0)+IF(ISNUMBER(P71),P71,0)))&lt;=Summary!$B$2),"Passes using beginning_balance - PreV_ETB differs from beginning_balance",IF(AND(ISNUMBER(O71),O71&lt;0,ABS(L71-(Q71-IF(ISNUMBER(N71),N71,0)+IF(ISNUMBER(P71),P71,0)))&lt;=Summary!$B$2),"Negative realized loss not applied - check sign",IF(R71&lt;0,"Principal paid exceeds prior balance",IF(AND(L71&gt;Q71,NOT(ISNUMBER(P71))),"Balance increased but no Deferred_interest reported",IF(L71&gt;R71,"Reported balance higher than expected (missing increase/OC build)","Reported balance lower than expected (missing decrease)"))))),""))</f>
        <v/>
      </c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9"/>
      <c r="L72" s="9"/>
      <c r="M72" s="9"/>
      <c r="N72" s="9"/>
      <c r="O72" s="9"/>
      <c r="P72" s="9"/>
      <c r="Q72" s="9"/>
      <c r="R72" s="9" t="str">
        <f aca="false">IF(AND(A72&lt;&gt;"",ISNUMBER(Q72),ISNUMBER(L72)),ROUND(Q72-IF(ISNUMBER(N72),N72,0)-IF(ISNUMBER(O72),O72,0)+IF(ISNUMBER(P72),P72,0),2),"")</f>
        <v/>
      </c>
      <c r="S72" s="9" t="str">
        <f aca="false">IF(R72="","",ROUND(L72-R72,2))</f>
        <v/>
      </c>
      <c r="T72" s="8" t="str">
        <f aca="false">IF(A72="","",IF(S72="","BYPASS",IF(ABS(S72)&lt;=Summary!$B$2,"PASS","FAIL")))</f>
        <v/>
      </c>
      <c r="U72" s="8" t="str">
        <f aca="false">IF(T72="BYPASS",IF(NOT(ISNUMBER(Q72)),"PreV_ETB missing","End_tr_balance missing"),IF(T72="FAIL",IF(AND(ISNUMBER(K72),ISNUMBER(L72),ABS(L72-(K72-IF(ISNUMBER(N72),N72,0)-IF(ISNUMBER(O72),O72,0)+IF(ISNUMBER(P72),P72,0)))&lt;=Summary!$B$2),"Passes using beginning_balance - PreV_ETB differs from beginning_balance",IF(AND(ISNUMBER(O72),O72&lt;0,ABS(L72-(Q72-IF(ISNUMBER(N72),N72,0)+IF(ISNUMBER(P72),P72,0)))&lt;=Summary!$B$2),"Negative realized loss not applied - check sign",IF(R72&lt;0,"Principal paid exceeds prior balance",IF(AND(L72&gt;Q72,NOT(ISNUMBER(P72))),"Balance increased but no Deferred_interest reported",IF(L72&gt;R72,"Reported balance higher than expected (missing increase/OC build)","Reported balance lower than expected (missing decrease)"))))),""))</f>
        <v/>
      </c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9"/>
      <c r="L73" s="9"/>
      <c r="M73" s="9"/>
      <c r="N73" s="9"/>
      <c r="O73" s="9"/>
      <c r="P73" s="9"/>
      <c r="Q73" s="9"/>
      <c r="R73" s="9" t="str">
        <f aca="false">IF(AND(A73&lt;&gt;"",ISNUMBER(Q73),ISNUMBER(L73)),ROUND(Q73-IF(ISNUMBER(N73),N73,0)-IF(ISNUMBER(O73),O73,0)+IF(ISNUMBER(P73),P73,0),2),"")</f>
        <v/>
      </c>
      <c r="S73" s="9" t="str">
        <f aca="false">IF(R73="","",ROUND(L73-R73,2))</f>
        <v/>
      </c>
      <c r="T73" s="8" t="str">
        <f aca="false">IF(A73="","",IF(S73="","BYPASS",IF(ABS(S73)&lt;=Summary!$B$2,"PASS","FAIL")))</f>
        <v/>
      </c>
      <c r="U73" s="8" t="str">
        <f aca="false">IF(T73="BYPASS",IF(NOT(ISNUMBER(Q73)),"PreV_ETB missing","End_tr_balance missing"),IF(T73="FAIL",IF(AND(ISNUMBER(K73),ISNUMBER(L73),ABS(L73-(K73-IF(ISNUMBER(N73),N73,0)-IF(ISNUMBER(O73),O73,0)+IF(ISNUMBER(P73),P73,0)))&lt;=Summary!$B$2),"Passes using beginning_balance - PreV_ETB differs from beginning_balance",IF(AND(ISNUMBER(O73),O73&lt;0,ABS(L73-(Q73-IF(ISNUMBER(N73),N73,0)+IF(ISNUMBER(P73),P73,0)))&lt;=Summary!$B$2),"Negative realized loss not applied - check sign",IF(R73&lt;0,"Principal paid exceeds prior balance",IF(AND(L73&gt;Q73,NOT(ISNUMBER(P73))),"Balance increased but no Deferred_interest reported",IF(L73&gt;R73,"Reported balance higher than expected (missing increase/OC build)","Reported balance lower than expected (missing decrease)"))))),""))</f>
        <v/>
      </c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9"/>
      <c r="L74" s="9"/>
      <c r="M74" s="9"/>
      <c r="N74" s="9"/>
      <c r="O74" s="9"/>
      <c r="P74" s="9"/>
      <c r="Q74" s="9"/>
      <c r="R74" s="9" t="str">
        <f aca="false">IF(AND(A74&lt;&gt;"",ISNUMBER(Q74),ISNUMBER(L74)),ROUND(Q74-IF(ISNUMBER(N74),N74,0)-IF(ISNUMBER(O74),O74,0)+IF(ISNUMBER(P74),P74,0),2),"")</f>
        <v/>
      </c>
      <c r="S74" s="9" t="str">
        <f aca="false">IF(R74="","",ROUND(L74-R74,2))</f>
        <v/>
      </c>
      <c r="T74" s="8" t="str">
        <f aca="false">IF(A74="","",IF(S74="","BYPASS",IF(ABS(S74)&lt;=Summary!$B$2,"PASS","FAIL")))</f>
        <v/>
      </c>
      <c r="U74" s="8" t="str">
        <f aca="false">IF(T74="BYPASS",IF(NOT(ISNUMBER(Q74)),"PreV_ETB missing","End_tr_balance missing"),IF(T74="FAIL",IF(AND(ISNUMBER(K74),ISNUMBER(L74),ABS(L74-(K74-IF(ISNUMBER(N74),N74,0)-IF(ISNUMBER(O74),O74,0)+IF(ISNUMBER(P74),P74,0)))&lt;=Summary!$B$2),"Passes using beginning_balance - PreV_ETB differs from beginning_balance",IF(AND(ISNUMBER(O74),O74&lt;0,ABS(L74-(Q74-IF(ISNUMBER(N74),N74,0)+IF(ISNUMBER(P74),P74,0)))&lt;=Summary!$B$2),"Negative realized loss not applied - check sign",IF(R74&lt;0,"Principal paid exceeds prior balance",IF(AND(L74&gt;Q74,NOT(ISNUMBER(P74))),"Balance increased but no Deferred_interest reported",IF(L74&gt;R74,"Reported balance higher than expected (missing increase/OC build)","Reported balance lower than expected (missing decrease)"))))),""))</f>
        <v/>
      </c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9"/>
      <c r="L75" s="9"/>
      <c r="M75" s="9"/>
      <c r="N75" s="9"/>
      <c r="O75" s="9"/>
      <c r="P75" s="9"/>
      <c r="Q75" s="9"/>
      <c r="R75" s="9" t="str">
        <f aca="false">IF(AND(A75&lt;&gt;"",ISNUMBER(Q75),ISNUMBER(L75)),ROUND(Q75-IF(ISNUMBER(N75),N75,0)-IF(ISNUMBER(O75),O75,0)+IF(ISNUMBER(P75),P75,0),2),"")</f>
        <v/>
      </c>
      <c r="S75" s="9" t="str">
        <f aca="false">IF(R75="","",ROUND(L75-R75,2))</f>
        <v/>
      </c>
      <c r="T75" s="8" t="str">
        <f aca="false">IF(A75="","",IF(S75="","BYPASS",IF(ABS(S75)&lt;=Summary!$B$2,"PASS","FAIL")))</f>
        <v/>
      </c>
      <c r="U75" s="8" t="str">
        <f aca="false">IF(T75="BYPASS",IF(NOT(ISNUMBER(Q75)),"PreV_ETB missing","End_tr_balance missing"),IF(T75="FAIL",IF(AND(ISNUMBER(K75),ISNUMBER(L75),ABS(L75-(K75-IF(ISNUMBER(N75),N75,0)-IF(ISNUMBER(O75),O75,0)+IF(ISNUMBER(P75),P75,0)))&lt;=Summary!$B$2),"Passes using beginning_balance - PreV_ETB differs from beginning_balance",IF(AND(ISNUMBER(O75),O75&lt;0,ABS(L75-(Q75-IF(ISNUMBER(N75),N75,0)+IF(ISNUMBER(P75),P75,0)))&lt;=Summary!$B$2),"Negative realized loss not applied - check sign",IF(R75&lt;0,"Principal paid exceeds prior balance",IF(AND(L75&gt;Q75,NOT(ISNUMBER(P75))),"Balance increased but no Deferred_interest reported",IF(L75&gt;R75,"Reported balance higher than expected (missing increase/OC build)","Reported balance lower than expected (missing decrease)"))))),""))</f>
        <v/>
      </c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9"/>
      <c r="L76" s="9"/>
      <c r="M76" s="9"/>
      <c r="N76" s="9"/>
      <c r="O76" s="9"/>
      <c r="P76" s="9"/>
      <c r="Q76" s="9"/>
      <c r="R76" s="9" t="str">
        <f aca="false">IF(AND(A76&lt;&gt;"",ISNUMBER(Q76),ISNUMBER(L76)),ROUND(Q76-IF(ISNUMBER(N76),N76,0)-IF(ISNUMBER(O76),O76,0)+IF(ISNUMBER(P76),P76,0),2),"")</f>
        <v/>
      </c>
      <c r="S76" s="9" t="str">
        <f aca="false">IF(R76="","",ROUND(L76-R76,2))</f>
        <v/>
      </c>
      <c r="T76" s="8" t="str">
        <f aca="false">IF(A76="","",IF(S76="","BYPASS",IF(ABS(S76)&lt;=Summary!$B$2,"PASS","FAIL")))</f>
        <v/>
      </c>
      <c r="U76" s="8" t="str">
        <f aca="false">IF(T76="BYPASS",IF(NOT(ISNUMBER(Q76)),"PreV_ETB missing","End_tr_balance missing"),IF(T76="FAIL",IF(AND(ISNUMBER(K76),ISNUMBER(L76),ABS(L76-(K76-IF(ISNUMBER(N76),N76,0)-IF(ISNUMBER(O76),O76,0)+IF(ISNUMBER(P76),P76,0)))&lt;=Summary!$B$2),"Passes using beginning_balance - PreV_ETB differs from beginning_balance",IF(AND(ISNUMBER(O76),O76&lt;0,ABS(L76-(Q76-IF(ISNUMBER(N76),N76,0)+IF(ISNUMBER(P76),P76,0)))&lt;=Summary!$B$2),"Negative realized loss not applied - check sign",IF(R76&lt;0,"Principal paid exceeds prior balance",IF(AND(L76&gt;Q76,NOT(ISNUMBER(P76))),"Balance increased but no Deferred_interest reported",IF(L76&gt;R76,"Reported balance higher than expected (missing increase/OC build)","Reported balance lower than expected (missing decrease)"))))),""))</f>
        <v/>
      </c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9"/>
      <c r="L77" s="9"/>
      <c r="M77" s="9"/>
      <c r="N77" s="9"/>
      <c r="O77" s="9"/>
      <c r="P77" s="9"/>
      <c r="Q77" s="9"/>
      <c r="R77" s="9" t="str">
        <f aca="false">IF(AND(A77&lt;&gt;"",ISNUMBER(Q77),ISNUMBER(L77)),ROUND(Q77-IF(ISNUMBER(N77),N77,0)-IF(ISNUMBER(O77),O77,0)+IF(ISNUMBER(P77),P77,0),2),"")</f>
        <v/>
      </c>
      <c r="S77" s="9" t="str">
        <f aca="false">IF(R77="","",ROUND(L77-R77,2))</f>
        <v/>
      </c>
      <c r="T77" s="8" t="str">
        <f aca="false">IF(A77="","",IF(S77="","BYPASS",IF(ABS(S77)&lt;=Summary!$B$2,"PASS","FAIL")))</f>
        <v/>
      </c>
      <c r="U77" s="8" t="str">
        <f aca="false">IF(T77="BYPASS",IF(NOT(ISNUMBER(Q77)),"PreV_ETB missing","End_tr_balance missing"),IF(T77="FAIL",IF(AND(ISNUMBER(K77),ISNUMBER(L77),ABS(L77-(K77-IF(ISNUMBER(N77),N77,0)-IF(ISNUMBER(O77),O77,0)+IF(ISNUMBER(P77),P77,0)))&lt;=Summary!$B$2),"Passes using beginning_balance - PreV_ETB differs from beginning_balance",IF(AND(ISNUMBER(O77),O77&lt;0,ABS(L77-(Q77-IF(ISNUMBER(N77),N77,0)+IF(ISNUMBER(P77),P77,0)))&lt;=Summary!$B$2),"Negative realized loss not applied - check sign",IF(R77&lt;0,"Principal paid exceeds prior balance",IF(AND(L77&gt;Q77,NOT(ISNUMBER(P77))),"Balance increased but no Deferred_interest reported",IF(L77&gt;R77,"Reported balance higher than expected (missing increase/OC build)","Reported balance lower than expected (missing decrease)"))))),""))</f>
        <v/>
      </c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9"/>
      <c r="L78" s="9"/>
      <c r="M78" s="9"/>
      <c r="N78" s="9"/>
      <c r="O78" s="9"/>
      <c r="P78" s="9"/>
      <c r="Q78" s="9"/>
      <c r="R78" s="9" t="str">
        <f aca="false">IF(AND(A78&lt;&gt;"",ISNUMBER(Q78),ISNUMBER(L78)),ROUND(Q78-IF(ISNUMBER(N78),N78,0)-IF(ISNUMBER(O78),O78,0)+IF(ISNUMBER(P78),P78,0),2),"")</f>
        <v/>
      </c>
      <c r="S78" s="9" t="str">
        <f aca="false">IF(R78="","",ROUND(L78-R78,2))</f>
        <v/>
      </c>
      <c r="T78" s="8" t="str">
        <f aca="false">IF(A78="","",IF(S78="","BYPASS",IF(ABS(S78)&lt;=Summary!$B$2,"PASS","FAIL")))</f>
        <v/>
      </c>
      <c r="U78" s="8" t="str">
        <f aca="false">IF(T78="BYPASS",IF(NOT(ISNUMBER(Q78)),"PreV_ETB missing","End_tr_balance missing"),IF(T78="FAIL",IF(AND(ISNUMBER(K78),ISNUMBER(L78),ABS(L78-(K78-IF(ISNUMBER(N78),N78,0)-IF(ISNUMBER(O78),O78,0)+IF(ISNUMBER(P78),P78,0)))&lt;=Summary!$B$2),"Passes using beginning_balance - PreV_ETB differs from beginning_balance",IF(AND(ISNUMBER(O78),O78&lt;0,ABS(L78-(Q78-IF(ISNUMBER(N78),N78,0)+IF(ISNUMBER(P78),P78,0)))&lt;=Summary!$B$2),"Negative realized loss not applied - check sign",IF(R78&lt;0,"Principal paid exceeds prior balance",IF(AND(L78&gt;Q78,NOT(ISNUMBER(P78))),"Balance increased but no Deferred_interest reported",IF(L78&gt;R78,"Reported balance higher than expected (missing increase/OC build)","Reported balance lower than expected (missing decrease)"))))),""))</f>
        <v/>
      </c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9"/>
      <c r="L79" s="9"/>
      <c r="M79" s="9"/>
      <c r="N79" s="9"/>
      <c r="O79" s="9"/>
      <c r="P79" s="9"/>
      <c r="Q79" s="9"/>
      <c r="R79" s="9" t="str">
        <f aca="false">IF(AND(A79&lt;&gt;"",ISNUMBER(Q79),ISNUMBER(L79)),ROUND(Q79-IF(ISNUMBER(N79),N79,0)-IF(ISNUMBER(O79),O79,0)+IF(ISNUMBER(P79),P79,0),2),"")</f>
        <v/>
      </c>
      <c r="S79" s="9" t="str">
        <f aca="false">IF(R79="","",ROUND(L79-R79,2))</f>
        <v/>
      </c>
      <c r="T79" s="8" t="str">
        <f aca="false">IF(A79="","",IF(S79="","BYPASS",IF(ABS(S79)&lt;=Summary!$B$2,"PASS","FAIL")))</f>
        <v/>
      </c>
      <c r="U79" s="8" t="str">
        <f aca="false">IF(T79="BYPASS",IF(NOT(ISNUMBER(Q79)),"PreV_ETB missing","End_tr_balance missing"),IF(T79="FAIL",IF(AND(ISNUMBER(K79),ISNUMBER(L79),ABS(L79-(K79-IF(ISNUMBER(N79),N79,0)-IF(ISNUMBER(O79),O79,0)+IF(ISNUMBER(P79),P79,0)))&lt;=Summary!$B$2),"Passes using beginning_balance - PreV_ETB differs from beginning_balance",IF(AND(ISNUMBER(O79),O79&lt;0,ABS(L79-(Q79-IF(ISNUMBER(N79),N79,0)+IF(ISNUMBER(P79),P79,0)))&lt;=Summary!$B$2),"Negative realized loss not applied - check sign",IF(R79&lt;0,"Principal paid exceeds prior balance",IF(AND(L79&gt;Q79,NOT(ISNUMBER(P79))),"Balance increased but no Deferred_interest reported",IF(L79&gt;R79,"Reported balance higher than expected (missing increase/OC build)","Reported balance lower than expected (missing decrease)"))))),""))</f>
        <v/>
      </c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9"/>
      <c r="L80" s="9"/>
      <c r="M80" s="9"/>
      <c r="N80" s="9"/>
      <c r="O80" s="9"/>
      <c r="P80" s="9"/>
      <c r="Q80" s="9"/>
      <c r="R80" s="9" t="str">
        <f aca="false">IF(AND(A80&lt;&gt;"",ISNUMBER(Q80),ISNUMBER(L80)),ROUND(Q80-IF(ISNUMBER(N80),N80,0)-IF(ISNUMBER(O80),O80,0)+IF(ISNUMBER(P80),P80,0),2),"")</f>
        <v/>
      </c>
      <c r="S80" s="9" t="str">
        <f aca="false">IF(R80="","",ROUND(L80-R80,2))</f>
        <v/>
      </c>
      <c r="T80" s="8" t="str">
        <f aca="false">IF(A80="","",IF(S80="","BYPASS",IF(ABS(S80)&lt;=Summary!$B$2,"PASS","FAIL")))</f>
        <v/>
      </c>
      <c r="U80" s="8" t="str">
        <f aca="false">IF(T80="BYPASS",IF(NOT(ISNUMBER(Q80)),"PreV_ETB missing","End_tr_balance missing"),IF(T80="FAIL",IF(AND(ISNUMBER(K80),ISNUMBER(L80),ABS(L80-(K80-IF(ISNUMBER(N80),N80,0)-IF(ISNUMBER(O80),O80,0)+IF(ISNUMBER(P80),P80,0)))&lt;=Summary!$B$2),"Passes using beginning_balance - PreV_ETB differs from beginning_balance",IF(AND(ISNUMBER(O80),O80&lt;0,ABS(L80-(Q80-IF(ISNUMBER(N80),N80,0)+IF(ISNUMBER(P80),P80,0)))&lt;=Summary!$B$2),"Negative realized loss not applied - check sign",IF(R80&lt;0,"Principal paid exceeds prior balance",IF(AND(L80&gt;Q80,NOT(ISNUMBER(P80))),"Balance increased but no Deferred_interest reported",IF(L80&gt;R80,"Reported balance higher than expected (missing increase/OC build)","Reported balance lower than expected (missing decrease)"))))),""))</f>
        <v/>
      </c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9"/>
      <c r="L81" s="9"/>
      <c r="M81" s="9"/>
      <c r="N81" s="9"/>
      <c r="O81" s="9"/>
      <c r="P81" s="9"/>
      <c r="Q81" s="9"/>
      <c r="R81" s="9" t="str">
        <f aca="false">IF(AND(A81&lt;&gt;"",ISNUMBER(Q81),ISNUMBER(L81)),ROUND(Q81-IF(ISNUMBER(N81),N81,0)-IF(ISNUMBER(O81),O81,0)+IF(ISNUMBER(P81),P81,0),2),"")</f>
        <v/>
      </c>
      <c r="S81" s="9" t="str">
        <f aca="false">IF(R81="","",ROUND(L81-R81,2))</f>
        <v/>
      </c>
      <c r="T81" s="8" t="str">
        <f aca="false">IF(A81="","",IF(S81="","BYPASS",IF(ABS(S81)&lt;=Summary!$B$2,"PASS","FAIL")))</f>
        <v/>
      </c>
      <c r="U81" s="8" t="str">
        <f aca="false">IF(T81="BYPASS",IF(NOT(ISNUMBER(Q81)),"PreV_ETB missing","End_tr_balance missing"),IF(T81="FAIL",IF(AND(ISNUMBER(K81),ISNUMBER(L81),ABS(L81-(K81-IF(ISNUMBER(N81),N81,0)-IF(ISNUMBER(O81),O81,0)+IF(ISNUMBER(P81),P81,0)))&lt;=Summary!$B$2),"Passes using beginning_balance - PreV_ETB differs from beginning_balance",IF(AND(ISNUMBER(O81),O81&lt;0,ABS(L81-(Q81-IF(ISNUMBER(N81),N81,0)+IF(ISNUMBER(P81),P81,0)))&lt;=Summary!$B$2),"Negative realized loss not applied - check sign",IF(R81&lt;0,"Principal paid exceeds prior balance",IF(AND(L81&gt;Q81,NOT(ISNUMBER(P81))),"Balance increased but no Deferred_interest reported",IF(L81&gt;R81,"Reported balance higher than expected (missing increase/OC build)","Reported balance lower than expected (missing decrease)"))))),""))</f>
        <v/>
      </c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9"/>
      <c r="L82" s="9"/>
      <c r="M82" s="9"/>
      <c r="N82" s="9"/>
      <c r="O82" s="9"/>
      <c r="P82" s="9"/>
      <c r="Q82" s="9"/>
      <c r="R82" s="9" t="str">
        <f aca="false">IF(AND(A82&lt;&gt;"",ISNUMBER(Q82),ISNUMBER(L82)),ROUND(Q82-IF(ISNUMBER(N82),N82,0)-IF(ISNUMBER(O82),O82,0)+IF(ISNUMBER(P82),P82,0),2),"")</f>
        <v/>
      </c>
      <c r="S82" s="9" t="str">
        <f aca="false">IF(R82="","",ROUND(L82-R82,2))</f>
        <v/>
      </c>
      <c r="T82" s="8" t="str">
        <f aca="false">IF(A82="","",IF(S82="","BYPASS",IF(ABS(S82)&lt;=Summary!$B$2,"PASS","FAIL")))</f>
        <v/>
      </c>
      <c r="U82" s="8" t="str">
        <f aca="false">IF(T82="BYPASS",IF(NOT(ISNUMBER(Q82)),"PreV_ETB missing","End_tr_balance missing"),IF(T82="FAIL",IF(AND(ISNUMBER(K82),ISNUMBER(L82),ABS(L82-(K82-IF(ISNUMBER(N82),N82,0)-IF(ISNUMBER(O82),O82,0)+IF(ISNUMBER(P82),P82,0)))&lt;=Summary!$B$2),"Passes using beginning_balance - PreV_ETB differs from beginning_balance",IF(AND(ISNUMBER(O82),O82&lt;0,ABS(L82-(Q82-IF(ISNUMBER(N82),N82,0)+IF(ISNUMBER(P82),P82,0)))&lt;=Summary!$B$2),"Negative realized loss not applied - check sign",IF(R82&lt;0,"Principal paid exceeds prior balance",IF(AND(L82&gt;Q82,NOT(ISNUMBER(P82))),"Balance increased but no Deferred_interest reported",IF(L82&gt;R82,"Reported balance higher than expected (missing increase/OC build)","Reported balance lower than expected (missing decrease)"))))),""))</f>
        <v/>
      </c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9"/>
      <c r="L83" s="9"/>
      <c r="M83" s="9"/>
      <c r="N83" s="9"/>
      <c r="O83" s="9"/>
      <c r="P83" s="9"/>
      <c r="Q83" s="9"/>
      <c r="R83" s="9" t="str">
        <f aca="false">IF(AND(A83&lt;&gt;"",ISNUMBER(Q83),ISNUMBER(L83)),ROUND(Q83-IF(ISNUMBER(N83),N83,0)-IF(ISNUMBER(O83),O83,0)+IF(ISNUMBER(P83),P83,0),2),"")</f>
        <v/>
      </c>
      <c r="S83" s="9" t="str">
        <f aca="false">IF(R83="","",ROUND(L83-R83,2))</f>
        <v/>
      </c>
      <c r="T83" s="8" t="str">
        <f aca="false">IF(A83="","",IF(S83="","BYPASS",IF(ABS(S83)&lt;=Summary!$B$2,"PASS","FAIL")))</f>
        <v/>
      </c>
      <c r="U83" s="8" t="str">
        <f aca="false">IF(T83="BYPASS",IF(NOT(ISNUMBER(Q83)),"PreV_ETB missing","End_tr_balance missing"),IF(T83="FAIL",IF(AND(ISNUMBER(K83),ISNUMBER(L83),ABS(L83-(K83-IF(ISNUMBER(N83),N83,0)-IF(ISNUMBER(O83),O83,0)+IF(ISNUMBER(P83),P83,0)))&lt;=Summary!$B$2),"Passes using beginning_balance - PreV_ETB differs from beginning_balance",IF(AND(ISNUMBER(O83),O83&lt;0,ABS(L83-(Q83-IF(ISNUMBER(N83),N83,0)+IF(ISNUMBER(P83),P83,0)))&lt;=Summary!$B$2),"Negative realized loss not applied - check sign",IF(R83&lt;0,"Principal paid exceeds prior balance",IF(AND(L83&gt;Q83,NOT(ISNUMBER(P83))),"Balance increased but no Deferred_interest reported",IF(L83&gt;R83,"Reported balance higher than expected (missing increase/OC build)","Reported balance lower than expected (missing decrease)"))))),""))</f>
        <v/>
      </c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9"/>
      <c r="L84" s="9"/>
      <c r="M84" s="9"/>
      <c r="N84" s="9"/>
      <c r="O84" s="9"/>
      <c r="P84" s="9"/>
      <c r="Q84" s="9"/>
      <c r="R84" s="9" t="str">
        <f aca="false">IF(AND(A84&lt;&gt;"",ISNUMBER(Q84),ISNUMBER(L84)),ROUND(Q84-IF(ISNUMBER(N84),N84,0)-IF(ISNUMBER(O84),O84,0)+IF(ISNUMBER(P84),P84,0),2),"")</f>
        <v/>
      </c>
      <c r="S84" s="9" t="str">
        <f aca="false">IF(R84="","",ROUND(L84-R84,2))</f>
        <v/>
      </c>
      <c r="T84" s="8" t="str">
        <f aca="false">IF(A84="","",IF(S84="","BYPASS",IF(ABS(S84)&lt;=Summary!$B$2,"PASS","FAIL")))</f>
        <v/>
      </c>
      <c r="U84" s="8" t="str">
        <f aca="false">IF(T84="BYPASS",IF(NOT(ISNUMBER(Q84)),"PreV_ETB missing","End_tr_balance missing"),IF(T84="FAIL",IF(AND(ISNUMBER(K84),ISNUMBER(L84),ABS(L84-(K84-IF(ISNUMBER(N84),N84,0)-IF(ISNUMBER(O84),O84,0)+IF(ISNUMBER(P84),P84,0)))&lt;=Summary!$B$2),"Passes using beginning_balance - PreV_ETB differs from beginning_balance",IF(AND(ISNUMBER(O84),O84&lt;0,ABS(L84-(Q84-IF(ISNUMBER(N84),N84,0)+IF(ISNUMBER(P84),P84,0)))&lt;=Summary!$B$2),"Negative realized loss not applied - check sign",IF(R84&lt;0,"Principal paid exceeds prior balance",IF(AND(L84&gt;Q84,NOT(ISNUMBER(P84))),"Balance increased but no Deferred_interest reported",IF(L84&gt;R84,"Reported balance higher than expected (missing increase/OC build)","Reported balance lower than expected (missing decrease)"))))),""))</f>
        <v/>
      </c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9"/>
      <c r="L85" s="9"/>
      <c r="M85" s="9"/>
      <c r="N85" s="9"/>
      <c r="O85" s="9"/>
      <c r="P85" s="9"/>
      <c r="Q85" s="9"/>
      <c r="R85" s="9" t="str">
        <f aca="false">IF(AND(A85&lt;&gt;"",ISNUMBER(Q85),ISNUMBER(L85)),ROUND(Q85-IF(ISNUMBER(N85),N85,0)-IF(ISNUMBER(O85),O85,0)+IF(ISNUMBER(P85),P85,0),2),"")</f>
        <v/>
      </c>
      <c r="S85" s="9" t="str">
        <f aca="false">IF(R85="","",ROUND(L85-R85,2))</f>
        <v/>
      </c>
      <c r="T85" s="8" t="str">
        <f aca="false">IF(A85="","",IF(S85="","BYPASS",IF(ABS(S85)&lt;=Summary!$B$2,"PASS","FAIL")))</f>
        <v/>
      </c>
      <c r="U85" s="8" t="str">
        <f aca="false">IF(T85="BYPASS",IF(NOT(ISNUMBER(Q85)),"PreV_ETB missing","End_tr_balance missing"),IF(T85="FAIL",IF(AND(ISNUMBER(K85),ISNUMBER(L85),ABS(L85-(K85-IF(ISNUMBER(N85),N85,0)-IF(ISNUMBER(O85),O85,0)+IF(ISNUMBER(P85),P85,0)))&lt;=Summary!$B$2),"Passes using beginning_balance - PreV_ETB differs from beginning_balance",IF(AND(ISNUMBER(O85),O85&lt;0,ABS(L85-(Q85-IF(ISNUMBER(N85),N85,0)+IF(ISNUMBER(P85),P85,0)))&lt;=Summary!$B$2),"Negative realized loss not applied - check sign",IF(R85&lt;0,"Principal paid exceeds prior balance",IF(AND(L85&gt;Q85,NOT(ISNUMBER(P85))),"Balance increased but no Deferred_interest reported",IF(L85&gt;R85,"Reported balance higher than expected (missing increase/OC build)","Reported balance lower than expected (missing decrease)"))))),""))</f>
        <v/>
      </c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9"/>
      <c r="L86" s="9"/>
      <c r="M86" s="9"/>
      <c r="N86" s="9"/>
      <c r="O86" s="9"/>
      <c r="P86" s="9"/>
      <c r="Q86" s="9"/>
      <c r="R86" s="9" t="str">
        <f aca="false">IF(AND(A86&lt;&gt;"",ISNUMBER(Q86),ISNUMBER(L86)),ROUND(Q86-IF(ISNUMBER(N86),N86,0)-IF(ISNUMBER(O86),O86,0)+IF(ISNUMBER(P86),P86,0),2),"")</f>
        <v/>
      </c>
      <c r="S86" s="9" t="str">
        <f aca="false">IF(R86="","",ROUND(L86-R86,2))</f>
        <v/>
      </c>
      <c r="T86" s="8" t="str">
        <f aca="false">IF(A86="","",IF(S86="","BYPASS",IF(ABS(S86)&lt;=Summary!$B$2,"PASS","FAIL")))</f>
        <v/>
      </c>
      <c r="U86" s="8" t="str">
        <f aca="false">IF(T86="BYPASS",IF(NOT(ISNUMBER(Q86)),"PreV_ETB missing","End_tr_balance missing"),IF(T86="FAIL",IF(AND(ISNUMBER(K86),ISNUMBER(L86),ABS(L86-(K86-IF(ISNUMBER(N86),N86,0)-IF(ISNUMBER(O86),O86,0)+IF(ISNUMBER(P86),P86,0)))&lt;=Summary!$B$2),"Passes using beginning_balance - PreV_ETB differs from beginning_balance",IF(AND(ISNUMBER(O86),O86&lt;0,ABS(L86-(Q86-IF(ISNUMBER(N86),N86,0)+IF(ISNUMBER(P86),P86,0)))&lt;=Summary!$B$2),"Negative realized loss not applied - check sign",IF(R86&lt;0,"Principal paid exceeds prior balance",IF(AND(L86&gt;Q86,NOT(ISNUMBER(P86))),"Balance increased but no Deferred_interest reported",IF(L86&gt;R86,"Reported balance higher than expected (missing increase/OC build)","Reported balance lower than expected (missing decrease)"))))),""))</f>
        <v/>
      </c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9"/>
      <c r="L87" s="9"/>
      <c r="M87" s="9"/>
      <c r="N87" s="9"/>
      <c r="O87" s="9"/>
      <c r="P87" s="9"/>
      <c r="Q87" s="9"/>
      <c r="R87" s="9" t="str">
        <f aca="false">IF(AND(A87&lt;&gt;"",ISNUMBER(Q87),ISNUMBER(L87)),ROUND(Q87-IF(ISNUMBER(N87),N87,0)-IF(ISNUMBER(O87),O87,0)+IF(ISNUMBER(P87),P87,0),2),"")</f>
        <v/>
      </c>
      <c r="S87" s="9" t="str">
        <f aca="false">IF(R87="","",ROUND(L87-R87,2))</f>
        <v/>
      </c>
      <c r="T87" s="8" t="str">
        <f aca="false">IF(A87="","",IF(S87="","BYPASS",IF(ABS(S87)&lt;=Summary!$B$2,"PASS","FAIL")))</f>
        <v/>
      </c>
      <c r="U87" s="8" t="str">
        <f aca="false">IF(T87="BYPASS",IF(NOT(ISNUMBER(Q87)),"PreV_ETB missing","End_tr_balance missing"),IF(T87="FAIL",IF(AND(ISNUMBER(K87),ISNUMBER(L87),ABS(L87-(K87-IF(ISNUMBER(N87),N87,0)-IF(ISNUMBER(O87),O87,0)+IF(ISNUMBER(P87),P87,0)))&lt;=Summary!$B$2),"Passes using beginning_balance - PreV_ETB differs from beginning_balance",IF(AND(ISNUMBER(O87),O87&lt;0,ABS(L87-(Q87-IF(ISNUMBER(N87),N87,0)+IF(ISNUMBER(P87),P87,0)))&lt;=Summary!$B$2),"Negative realized loss not applied - check sign",IF(R87&lt;0,"Principal paid exceeds prior balance",IF(AND(L87&gt;Q87,NOT(ISNUMBER(P87))),"Balance increased but no Deferred_interest reported",IF(L87&gt;R87,"Reported balance higher than expected (missing increase/OC build)","Reported balance lower than expected (missing decrease)"))))),""))</f>
        <v/>
      </c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9"/>
      <c r="L88" s="9"/>
      <c r="M88" s="9"/>
      <c r="N88" s="9"/>
      <c r="O88" s="9"/>
      <c r="P88" s="9"/>
      <c r="Q88" s="9"/>
      <c r="R88" s="9" t="str">
        <f aca="false">IF(AND(A88&lt;&gt;"",ISNUMBER(Q88),ISNUMBER(L88)),ROUND(Q88-IF(ISNUMBER(N88),N88,0)-IF(ISNUMBER(O88),O88,0)+IF(ISNUMBER(P88),P88,0),2),"")</f>
        <v/>
      </c>
      <c r="S88" s="9" t="str">
        <f aca="false">IF(R88="","",ROUND(L88-R88,2))</f>
        <v/>
      </c>
      <c r="T88" s="8" t="str">
        <f aca="false">IF(A88="","",IF(S88="","BYPASS",IF(ABS(S88)&lt;=Summary!$B$2,"PASS","FAIL")))</f>
        <v/>
      </c>
      <c r="U88" s="8" t="str">
        <f aca="false">IF(T88="BYPASS",IF(NOT(ISNUMBER(Q88)),"PreV_ETB missing","End_tr_balance missing"),IF(T88="FAIL",IF(AND(ISNUMBER(K88),ISNUMBER(L88),ABS(L88-(K88-IF(ISNUMBER(N88),N88,0)-IF(ISNUMBER(O88),O88,0)+IF(ISNUMBER(P88),P88,0)))&lt;=Summary!$B$2),"Passes using beginning_balance - PreV_ETB differs from beginning_balance",IF(AND(ISNUMBER(O88),O88&lt;0,ABS(L88-(Q88-IF(ISNUMBER(N88),N88,0)+IF(ISNUMBER(P88),P88,0)))&lt;=Summary!$B$2),"Negative realized loss not applied - check sign",IF(R88&lt;0,"Principal paid exceeds prior balance",IF(AND(L88&gt;Q88,NOT(ISNUMBER(P88))),"Balance increased but no Deferred_interest reported",IF(L88&gt;R88,"Reported balance higher than expected (missing increase/OC build)","Reported balance lower than expected (missing decrease)"))))),""))</f>
        <v/>
      </c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9"/>
      <c r="L89" s="9"/>
      <c r="M89" s="9"/>
      <c r="N89" s="9"/>
      <c r="O89" s="9"/>
      <c r="P89" s="9"/>
      <c r="Q89" s="9"/>
      <c r="R89" s="9" t="str">
        <f aca="false">IF(AND(A89&lt;&gt;"",ISNUMBER(Q89),ISNUMBER(L89)),ROUND(Q89-IF(ISNUMBER(N89),N89,0)-IF(ISNUMBER(O89),O89,0)+IF(ISNUMBER(P89),P89,0),2),"")</f>
        <v/>
      </c>
      <c r="S89" s="9" t="str">
        <f aca="false">IF(R89="","",ROUND(L89-R89,2))</f>
        <v/>
      </c>
      <c r="T89" s="8" t="str">
        <f aca="false">IF(A89="","",IF(S89="","BYPASS",IF(ABS(S89)&lt;=Summary!$B$2,"PASS","FAIL")))</f>
        <v/>
      </c>
      <c r="U89" s="8" t="str">
        <f aca="false">IF(T89="BYPASS",IF(NOT(ISNUMBER(Q89)),"PreV_ETB missing","End_tr_balance missing"),IF(T89="FAIL",IF(AND(ISNUMBER(K89),ISNUMBER(L89),ABS(L89-(K89-IF(ISNUMBER(N89),N89,0)-IF(ISNUMBER(O89),O89,0)+IF(ISNUMBER(P89),P89,0)))&lt;=Summary!$B$2),"Passes using beginning_balance - PreV_ETB differs from beginning_balance",IF(AND(ISNUMBER(O89),O89&lt;0,ABS(L89-(Q89-IF(ISNUMBER(N89),N89,0)+IF(ISNUMBER(P89),P89,0)))&lt;=Summary!$B$2),"Negative realized loss not applied - check sign",IF(R89&lt;0,"Principal paid exceeds prior balance",IF(AND(L89&gt;Q89,NOT(ISNUMBER(P89))),"Balance increased but no Deferred_interest reported",IF(L89&gt;R89,"Reported balance higher than expected (missing increase/OC build)","Reported balance lower than expected (missing decrease)"))))),""))</f>
        <v/>
      </c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9"/>
      <c r="L90" s="9"/>
      <c r="M90" s="9"/>
      <c r="N90" s="9"/>
      <c r="O90" s="9"/>
      <c r="P90" s="9"/>
      <c r="Q90" s="9"/>
      <c r="R90" s="9" t="str">
        <f aca="false">IF(AND(A90&lt;&gt;"",ISNUMBER(Q90),ISNUMBER(L90)),ROUND(Q90-IF(ISNUMBER(N90),N90,0)-IF(ISNUMBER(O90),O90,0)+IF(ISNUMBER(P90),P90,0),2),"")</f>
        <v/>
      </c>
      <c r="S90" s="9" t="str">
        <f aca="false">IF(R90="","",ROUND(L90-R90,2))</f>
        <v/>
      </c>
      <c r="T90" s="8" t="str">
        <f aca="false">IF(A90="","",IF(S90="","BYPASS",IF(ABS(S90)&lt;=Summary!$B$2,"PASS","FAIL")))</f>
        <v/>
      </c>
      <c r="U90" s="8" t="str">
        <f aca="false">IF(T90="BYPASS",IF(NOT(ISNUMBER(Q90)),"PreV_ETB missing","End_tr_balance missing"),IF(T90="FAIL",IF(AND(ISNUMBER(K90),ISNUMBER(L90),ABS(L90-(K90-IF(ISNUMBER(N90),N90,0)-IF(ISNUMBER(O90),O90,0)+IF(ISNUMBER(P90),P90,0)))&lt;=Summary!$B$2),"Passes using beginning_balance - PreV_ETB differs from beginning_balance",IF(AND(ISNUMBER(O90),O90&lt;0,ABS(L90-(Q90-IF(ISNUMBER(N90),N90,0)+IF(ISNUMBER(P90),P90,0)))&lt;=Summary!$B$2),"Negative realized loss not applied - check sign",IF(R90&lt;0,"Principal paid exceeds prior balance",IF(AND(L90&gt;Q90,NOT(ISNUMBER(P90))),"Balance increased but no Deferred_interest reported",IF(L90&gt;R90,"Reported balance higher than expected (missing increase/OC build)","Reported balance lower than expected (missing decrease)"))))),""))</f>
        <v/>
      </c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9"/>
      <c r="L91" s="9"/>
      <c r="M91" s="9"/>
      <c r="N91" s="9"/>
      <c r="O91" s="9"/>
      <c r="P91" s="9"/>
      <c r="Q91" s="9"/>
      <c r="R91" s="9" t="str">
        <f aca="false">IF(AND(A91&lt;&gt;"",ISNUMBER(Q91),ISNUMBER(L91)),ROUND(Q91-IF(ISNUMBER(N91),N91,0)-IF(ISNUMBER(O91),O91,0)+IF(ISNUMBER(P91),P91,0),2),"")</f>
        <v/>
      </c>
      <c r="S91" s="9" t="str">
        <f aca="false">IF(R91="","",ROUND(L91-R91,2))</f>
        <v/>
      </c>
      <c r="T91" s="8" t="str">
        <f aca="false">IF(A91="","",IF(S91="","BYPASS",IF(ABS(S91)&lt;=Summary!$B$2,"PASS","FAIL")))</f>
        <v/>
      </c>
      <c r="U91" s="8" t="str">
        <f aca="false">IF(T91="BYPASS",IF(NOT(ISNUMBER(Q91)),"PreV_ETB missing","End_tr_balance missing"),IF(T91="FAIL",IF(AND(ISNUMBER(K91),ISNUMBER(L91),ABS(L91-(K91-IF(ISNUMBER(N91),N91,0)-IF(ISNUMBER(O91),O91,0)+IF(ISNUMBER(P91),P91,0)))&lt;=Summary!$B$2),"Passes using beginning_balance - PreV_ETB differs from beginning_balance",IF(AND(ISNUMBER(O91),O91&lt;0,ABS(L91-(Q91-IF(ISNUMBER(N91),N91,0)+IF(ISNUMBER(P91),P91,0)))&lt;=Summary!$B$2),"Negative realized loss not applied - check sign",IF(R91&lt;0,"Principal paid exceeds prior balance",IF(AND(L91&gt;Q91,NOT(ISNUMBER(P91))),"Balance increased but no Deferred_interest reported",IF(L91&gt;R91,"Reported balance higher than expected (missing increase/OC build)","Reported balance lower than expected (missing decrease)"))))),""))</f>
        <v/>
      </c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9"/>
      <c r="L92" s="9"/>
      <c r="M92" s="9"/>
      <c r="N92" s="9"/>
      <c r="O92" s="9"/>
      <c r="P92" s="9"/>
      <c r="Q92" s="9"/>
      <c r="R92" s="9" t="str">
        <f aca="false">IF(AND(A92&lt;&gt;"",ISNUMBER(Q92),ISNUMBER(L92)),ROUND(Q92-IF(ISNUMBER(N92),N92,0)-IF(ISNUMBER(O92),O92,0)+IF(ISNUMBER(P92),P92,0),2),"")</f>
        <v/>
      </c>
      <c r="S92" s="9" t="str">
        <f aca="false">IF(R92="","",ROUND(L92-R92,2))</f>
        <v/>
      </c>
      <c r="T92" s="8" t="str">
        <f aca="false">IF(A92="","",IF(S92="","BYPASS",IF(ABS(S92)&lt;=Summary!$B$2,"PASS","FAIL")))</f>
        <v/>
      </c>
      <c r="U92" s="8" t="str">
        <f aca="false">IF(T92="BYPASS",IF(NOT(ISNUMBER(Q92)),"PreV_ETB missing","End_tr_balance missing"),IF(T92="FAIL",IF(AND(ISNUMBER(K92),ISNUMBER(L92),ABS(L92-(K92-IF(ISNUMBER(N92),N92,0)-IF(ISNUMBER(O92),O92,0)+IF(ISNUMBER(P92),P92,0)))&lt;=Summary!$B$2),"Passes using beginning_balance - PreV_ETB differs from beginning_balance",IF(AND(ISNUMBER(O92),O92&lt;0,ABS(L92-(Q92-IF(ISNUMBER(N92),N92,0)+IF(ISNUMBER(P92),P92,0)))&lt;=Summary!$B$2),"Negative realized loss not applied - check sign",IF(R92&lt;0,"Principal paid exceeds prior balance",IF(AND(L92&gt;Q92,NOT(ISNUMBER(P92))),"Balance increased but no Deferred_interest reported",IF(L92&gt;R92,"Reported balance higher than expected (missing increase/OC build)","Reported balance lower than expected (missing decrease)"))))),""))</f>
        <v/>
      </c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9"/>
      <c r="L93" s="9"/>
      <c r="M93" s="9"/>
      <c r="N93" s="9"/>
      <c r="O93" s="9"/>
      <c r="P93" s="9"/>
      <c r="Q93" s="9"/>
      <c r="R93" s="9" t="str">
        <f aca="false">IF(AND(A93&lt;&gt;"",ISNUMBER(Q93),ISNUMBER(L93)),ROUND(Q93-IF(ISNUMBER(N93),N93,0)-IF(ISNUMBER(O93),O93,0)+IF(ISNUMBER(P93),P93,0),2),"")</f>
        <v/>
      </c>
      <c r="S93" s="9" t="str">
        <f aca="false">IF(R93="","",ROUND(L93-R93,2))</f>
        <v/>
      </c>
      <c r="T93" s="8" t="str">
        <f aca="false">IF(A93="","",IF(S93="","BYPASS",IF(ABS(S93)&lt;=Summary!$B$2,"PASS","FAIL")))</f>
        <v/>
      </c>
      <c r="U93" s="8" t="str">
        <f aca="false">IF(T93="BYPASS",IF(NOT(ISNUMBER(Q93)),"PreV_ETB missing","End_tr_balance missing"),IF(T93="FAIL",IF(AND(ISNUMBER(K93),ISNUMBER(L93),ABS(L93-(K93-IF(ISNUMBER(N93),N93,0)-IF(ISNUMBER(O93),O93,0)+IF(ISNUMBER(P93),P93,0)))&lt;=Summary!$B$2),"Passes using beginning_balance - PreV_ETB differs from beginning_balance",IF(AND(ISNUMBER(O93),O93&lt;0,ABS(L93-(Q93-IF(ISNUMBER(N93),N93,0)+IF(ISNUMBER(P93),P93,0)))&lt;=Summary!$B$2),"Negative realized loss not applied - check sign",IF(R93&lt;0,"Principal paid exceeds prior balance",IF(AND(L93&gt;Q93,NOT(ISNUMBER(P93))),"Balance increased but no Deferred_interest reported",IF(L93&gt;R93,"Reported balance higher than expected (missing increase/OC build)","Reported balance lower than expected (missing decrease)"))))),""))</f>
        <v/>
      </c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9"/>
      <c r="L94" s="9"/>
      <c r="M94" s="9"/>
      <c r="N94" s="9"/>
      <c r="O94" s="9"/>
      <c r="P94" s="9"/>
      <c r="Q94" s="9"/>
      <c r="R94" s="9" t="str">
        <f aca="false">IF(AND(A94&lt;&gt;"",ISNUMBER(Q94),ISNUMBER(L94)),ROUND(Q94-IF(ISNUMBER(N94),N94,0)-IF(ISNUMBER(O94),O94,0)+IF(ISNUMBER(P94),P94,0),2),"")</f>
        <v/>
      </c>
      <c r="S94" s="9" t="str">
        <f aca="false">IF(R94="","",ROUND(L94-R94,2))</f>
        <v/>
      </c>
      <c r="T94" s="8" t="str">
        <f aca="false">IF(A94="","",IF(S94="","BYPASS",IF(ABS(S94)&lt;=Summary!$B$2,"PASS","FAIL")))</f>
        <v/>
      </c>
      <c r="U94" s="8" t="str">
        <f aca="false">IF(T94="BYPASS",IF(NOT(ISNUMBER(Q94)),"PreV_ETB missing","End_tr_balance missing"),IF(T94="FAIL",IF(AND(ISNUMBER(K94),ISNUMBER(L94),ABS(L94-(K94-IF(ISNUMBER(N94),N94,0)-IF(ISNUMBER(O94),O94,0)+IF(ISNUMBER(P94),P94,0)))&lt;=Summary!$B$2),"Passes using beginning_balance - PreV_ETB differs from beginning_balance",IF(AND(ISNUMBER(O94),O94&lt;0,ABS(L94-(Q94-IF(ISNUMBER(N94),N94,0)+IF(ISNUMBER(P94),P94,0)))&lt;=Summary!$B$2),"Negative realized loss not applied - check sign",IF(R94&lt;0,"Principal paid exceeds prior balance",IF(AND(L94&gt;Q94,NOT(ISNUMBER(P94))),"Balance increased but no Deferred_interest reported",IF(L94&gt;R94,"Reported balance higher than expected (missing increase/OC build)","Reported balance lower than expected (missing decrease)"))))),""))</f>
        <v/>
      </c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9"/>
      <c r="L95" s="9"/>
      <c r="M95" s="9"/>
      <c r="N95" s="9"/>
      <c r="O95" s="9"/>
      <c r="P95" s="9"/>
      <c r="Q95" s="9"/>
      <c r="R95" s="9" t="str">
        <f aca="false">IF(AND(A95&lt;&gt;"",ISNUMBER(Q95),ISNUMBER(L95)),ROUND(Q95-IF(ISNUMBER(N95),N95,0)-IF(ISNUMBER(O95),O95,0)+IF(ISNUMBER(P95),P95,0),2),"")</f>
        <v/>
      </c>
      <c r="S95" s="9" t="str">
        <f aca="false">IF(R95="","",ROUND(L95-R95,2))</f>
        <v/>
      </c>
      <c r="T95" s="8" t="str">
        <f aca="false">IF(A95="","",IF(S95="","BYPASS",IF(ABS(S95)&lt;=Summary!$B$2,"PASS","FAIL")))</f>
        <v/>
      </c>
      <c r="U95" s="8" t="str">
        <f aca="false">IF(T95="BYPASS",IF(NOT(ISNUMBER(Q95)),"PreV_ETB missing","End_tr_balance missing"),IF(T95="FAIL",IF(AND(ISNUMBER(K95),ISNUMBER(L95),ABS(L95-(K95-IF(ISNUMBER(N95),N95,0)-IF(ISNUMBER(O95),O95,0)+IF(ISNUMBER(P95),P95,0)))&lt;=Summary!$B$2),"Passes using beginning_balance - PreV_ETB differs from beginning_balance",IF(AND(ISNUMBER(O95),O95&lt;0,ABS(L95-(Q95-IF(ISNUMBER(N95),N95,0)+IF(ISNUMBER(P95),P95,0)))&lt;=Summary!$B$2),"Negative realized loss not applied - check sign",IF(R95&lt;0,"Principal paid exceeds prior balance",IF(AND(L95&gt;Q95,NOT(ISNUMBER(P95))),"Balance increased but no Deferred_interest reported",IF(L95&gt;R95,"Reported balance higher than expected (missing increase/OC build)","Reported balance lower than expected (missing decrease)"))))),""))</f>
        <v/>
      </c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9"/>
      <c r="L96" s="9"/>
      <c r="M96" s="9"/>
      <c r="N96" s="9"/>
      <c r="O96" s="9"/>
      <c r="P96" s="9"/>
      <c r="Q96" s="9"/>
      <c r="R96" s="9" t="str">
        <f aca="false">IF(AND(A96&lt;&gt;"",ISNUMBER(Q96),ISNUMBER(L96)),ROUND(Q96-IF(ISNUMBER(N96),N96,0)-IF(ISNUMBER(O96),O96,0)+IF(ISNUMBER(P96),P96,0),2),"")</f>
        <v/>
      </c>
      <c r="S96" s="9" t="str">
        <f aca="false">IF(R96="","",ROUND(L96-R96,2))</f>
        <v/>
      </c>
      <c r="T96" s="8" t="str">
        <f aca="false">IF(A96="","",IF(S96="","BYPASS",IF(ABS(S96)&lt;=Summary!$B$2,"PASS","FAIL")))</f>
        <v/>
      </c>
      <c r="U96" s="8" t="str">
        <f aca="false">IF(T96="BYPASS",IF(NOT(ISNUMBER(Q96)),"PreV_ETB missing","End_tr_balance missing"),IF(T96="FAIL",IF(AND(ISNUMBER(K96),ISNUMBER(L96),ABS(L96-(K96-IF(ISNUMBER(N96),N96,0)-IF(ISNUMBER(O96),O96,0)+IF(ISNUMBER(P96),P96,0)))&lt;=Summary!$B$2),"Passes using beginning_balance - PreV_ETB differs from beginning_balance",IF(AND(ISNUMBER(O96),O96&lt;0,ABS(L96-(Q96-IF(ISNUMBER(N96),N96,0)+IF(ISNUMBER(P96),P96,0)))&lt;=Summary!$B$2),"Negative realized loss not applied - check sign",IF(R96&lt;0,"Principal paid exceeds prior balance",IF(AND(L96&gt;Q96,NOT(ISNUMBER(P96))),"Balance increased but no Deferred_interest reported",IF(L96&gt;R96,"Reported balance higher than expected (missing increase/OC build)","Reported balance lower than expected (missing decrease)"))))),""))</f>
        <v/>
      </c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9"/>
      <c r="L97" s="9"/>
      <c r="M97" s="9"/>
      <c r="N97" s="9"/>
      <c r="O97" s="9"/>
      <c r="P97" s="9"/>
      <c r="Q97" s="9"/>
      <c r="R97" s="9" t="str">
        <f aca="false">IF(AND(A97&lt;&gt;"",ISNUMBER(Q97),ISNUMBER(L97)),ROUND(Q97-IF(ISNUMBER(N97),N97,0)-IF(ISNUMBER(O97),O97,0)+IF(ISNUMBER(P97),P97,0),2),"")</f>
        <v/>
      </c>
      <c r="S97" s="9" t="str">
        <f aca="false">IF(R97="","",ROUND(L97-R97,2))</f>
        <v/>
      </c>
      <c r="T97" s="8" t="str">
        <f aca="false">IF(A97="","",IF(S97="","BYPASS",IF(ABS(S97)&lt;=Summary!$B$2,"PASS","FAIL")))</f>
        <v/>
      </c>
      <c r="U97" s="8" t="str">
        <f aca="false">IF(T97="BYPASS",IF(NOT(ISNUMBER(Q97)),"PreV_ETB missing","End_tr_balance missing"),IF(T97="FAIL",IF(AND(ISNUMBER(K97),ISNUMBER(L97),ABS(L97-(K97-IF(ISNUMBER(N97),N97,0)-IF(ISNUMBER(O97),O97,0)+IF(ISNUMBER(P97),P97,0)))&lt;=Summary!$B$2),"Passes using beginning_balance - PreV_ETB differs from beginning_balance",IF(AND(ISNUMBER(O97),O97&lt;0,ABS(L97-(Q97-IF(ISNUMBER(N97),N97,0)+IF(ISNUMBER(P97),P97,0)))&lt;=Summary!$B$2),"Negative realized loss not applied - check sign",IF(R97&lt;0,"Principal paid exceeds prior balance",IF(AND(L97&gt;Q97,NOT(ISNUMBER(P97))),"Balance increased but no Deferred_interest reported",IF(L97&gt;R97,"Reported balance higher than expected (missing increase/OC build)","Reported balance lower than expected (missing decrease)"))))),""))</f>
        <v/>
      </c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9"/>
      <c r="L98" s="9"/>
      <c r="M98" s="9"/>
      <c r="N98" s="9"/>
      <c r="O98" s="9"/>
      <c r="P98" s="9"/>
      <c r="Q98" s="9"/>
      <c r="R98" s="9" t="str">
        <f aca="false">IF(AND(A98&lt;&gt;"",ISNUMBER(Q98),ISNUMBER(L98)),ROUND(Q98-IF(ISNUMBER(N98),N98,0)-IF(ISNUMBER(O98),O98,0)+IF(ISNUMBER(P98),P98,0),2),"")</f>
        <v/>
      </c>
      <c r="S98" s="9" t="str">
        <f aca="false">IF(R98="","",ROUND(L98-R98,2))</f>
        <v/>
      </c>
      <c r="T98" s="8" t="str">
        <f aca="false">IF(A98="","",IF(S98="","BYPASS",IF(ABS(S98)&lt;=Summary!$B$2,"PASS","FAIL")))</f>
        <v/>
      </c>
      <c r="U98" s="8" t="str">
        <f aca="false">IF(T98="BYPASS",IF(NOT(ISNUMBER(Q98)),"PreV_ETB missing","End_tr_balance missing"),IF(T98="FAIL",IF(AND(ISNUMBER(K98),ISNUMBER(L98),ABS(L98-(K98-IF(ISNUMBER(N98),N98,0)-IF(ISNUMBER(O98),O98,0)+IF(ISNUMBER(P98),P98,0)))&lt;=Summary!$B$2),"Passes using beginning_balance - PreV_ETB differs from beginning_balance",IF(AND(ISNUMBER(O98),O98&lt;0,ABS(L98-(Q98-IF(ISNUMBER(N98),N98,0)+IF(ISNUMBER(P98),P98,0)))&lt;=Summary!$B$2),"Negative realized loss not applied - check sign",IF(R98&lt;0,"Principal paid exceeds prior balance",IF(AND(L98&gt;Q98,NOT(ISNUMBER(P98))),"Balance increased but no Deferred_interest reported",IF(L98&gt;R98,"Reported balance higher than expected (missing increase/OC build)","Reported balance lower than expected (missing decrease)"))))),""))</f>
        <v/>
      </c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9"/>
      <c r="L99" s="9"/>
      <c r="M99" s="9"/>
      <c r="N99" s="9"/>
      <c r="O99" s="9"/>
      <c r="P99" s="9"/>
      <c r="Q99" s="9"/>
      <c r="R99" s="9" t="str">
        <f aca="false">IF(AND(A99&lt;&gt;"",ISNUMBER(Q99),ISNUMBER(L99)),ROUND(Q99-IF(ISNUMBER(N99),N99,0)-IF(ISNUMBER(O99),O99,0)+IF(ISNUMBER(P99),P99,0),2),"")</f>
        <v/>
      </c>
      <c r="S99" s="9" t="str">
        <f aca="false">IF(R99="","",ROUND(L99-R99,2))</f>
        <v/>
      </c>
      <c r="T99" s="8" t="str">
        <f aca="false">IF(A99="","",IF(S99="","BYPASS",IF(ABS(S99)&lt;=Summary!$B$2,"PASS","FAIL")))</f>
        <v/>
      </c>
      <c r="U99" s="8" t="str">
        <f aca="false">IF(T99="BYPASS",IF(NOT(ISNUMBER(Q99)),"PreV_ETB missing","End_tr_balance missing"),IF(T99="FAIL",IF(AND(ISNUMBER(K99),ISNUMBER(L99),ABS(L99-(K99-IF(ISNUMBER(N99),N99,0)-IF(ISNUMBER(O99),O99,0)+IF(ISNUMBER(P99),P99,0)))&lt;=Summary!$B$2),"Passes using beginning_balance - PreV_ETB differs from beginning_balance",IF(AND(ISNUMBER(O99),O99&lt;0,ABS(L99-(Q99-IF(ISNUMBER(N99),N99,0)+IF(ISNUMBER(P99),P99,0)))&lt;=Summary!$B$2),"Negative realized loss not applied - check sign",IF(R99&lt;0,"Principal paid exceeds prior balance",IF(AND(L99&gt;Q99,NOT(ISNUMBER(P99))),"Balance increased but no Deferred_interest reported",IF(L99&gt;R99,"Reported balance higher than expected (missing increase/OC build)","Reported balance lower than expected (missing decrease)"))))),""))</f>
        <v/>
      </c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9"/>
      <c r="L100" s="9"/>
      <c r="M100" s="9"/>
      <c r="N100" s="9"/>
      <c r="O100" s="9"/>
      <c r="P100" s="9"/>
      <c r="Q100" s="9"/>
      <c r="R100" s="9" t="str">
        <f aca="false">IF(AND(A100&lt;&gt;"",ISNUMBER(Q100),ISNUMBER(L100)),ROUND(Q100-IF(ISNUMBER(N100),N100,0)-IF(ISNUMBER(O100),O100,0)+IF(ISNUMBER(P100),P100,0),2),"")</f>
        <v/>
      </c>
      <c r="S100" s="9" t="str">
        <f aca="false">IF(R100="","",ROUND(L100-R100,2))</f>
        <v/>
      </c>
      <c r="T100" s="8" t="str">
        <f aca="false">IF(A100="","",IF(S100="","BYPASS",IF(ABS(S100)&lt;=Summary!$B$2,"PASS","FAIL")))</f>
        <v/>
      </c>
      <c r="U100" s="8" t="str">
        <f aca="false">IF(T100="BYPASS",IF(NOT(ISNUMBER(Q100)),"PreV_ETB missing","End_tr_balance missing"),IF(T100="FAIL",IF(AND(ISNUMBER(K100),ISNUMBER(L100),ABS(L100-(K100-IF(ISNUMBER(N100),N100,0)-IF(ISNUMBER(O100),O100,0)+IF(ISNUMBER(P100),P100,0)))&lt;=Summary!$B$2),"Passes using beginning_balance - PreV_ETB differs from beginning_balance",IF(AND(ISNUMBER(O100),O100&lt;0,ABS(L100-(Q100-IF(ISNUMBER(N100),N100,0)+IF(ISNUMBER(P100),P100,0)))&lt;=Summary!$B$2),"Negative realized loss not applied - check sign",IF(R100&lt;0,"Principal paid exceeds prior balance",IF(AND(L100&gt;Q100,NOT(ISNUMBER(P100))),"Balance increased but no Deferred_interest reported",IF(L100&gt;R100,"Reported balance higher than expected (missing increase/OC build)","Reported balance lower than expected (missing decrease)"))))),""))</f>
        <v/>
      </c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9"/>
      <c r="L101" s="9"/>
      <c r="M101" s="9"/>
      <c r="N101" s="9"/>
      <c r="O101" s="9"/>
      <c r="P101" s="9"/>
      <c r="Q101" s="9"/>
      <c r="R101" s="9" t="str">
        <f aca="false">IF(AND(A101&lt;&gt;"",ISNUMBER(Q101),ISNUMBER(L101)),ROUND(Q101-IF(ISNUMBER(N101),N101,0)-IF(ISNUMBER(O101),O101,0)+IF(ISNUMBER(P101),P101,0),2),"")</f>
        <v/>
      </c>
      <c r="S101" s="9" t="str">
        <f aca="false">IF(R101="","",ROUND(L101-R101,2))</f>
        <v/>
      </c>
      <c r="T101" s="8" t="str">
        <f aca="false">IF(A101="","",IF(S101="","BYPASS",IF(ABS(S101)&lt;=Summary!$B$2,"PASS","FAIL")))</f>
        <v/>
      </c>
      <c r="U101" s="8" t="str">
        <f aca="false">IF(T101="BYPASS",IF(NOT(ISNUMBER(Q101)),"PreV_ETB missing","End_tr_balance missing"),IF(T101="FAIL",IF(AND(ISNUMBER(K101),ISNUMBER(L101),ABS(L101-(K101-IF(ISNUMBER(N101),N101,0)-IF(ISNUMBER(O101),O101,0)+IF(ISNUMBER(P101),P101,0)))&lt;=Summary!$B$2),"Passes using beginning_balance - PreV_ETB differs from beginning_balance",IF(AND(ISNUMBER(O101),O101&lt;0,ABS(L101-(Q101-IF(ISNUMBER(N101),N101,0)+IF(ISNUMBER(P101),P101,0)))&lt;=Summary!$B$2),"Negative realized loss not applied - check sign",IF(R101&lt;0,"Principal paid exceeds prior balance",IF(AND(L101&gt;Q101,NOT(ISNUMBER(P101))),"Balance increased but no Deferred_interest reported",IF(L101&gt;R101,"Reported balance higher than expected (missing increase/OC build)","Reported balance lower than expected (missing decrease)"))))),""))</f>
        <v/>
      </c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9"/>
      <c r="L102" s="9"/>
      <c r="M102" s="9"/>
      <c r="N102" s="9"/>
      <c r="O102" s="9"/>
      <c r="P102" s="9"/>
      <c r="Q102" s="9"/>
      <c r="R102" s="9" t="str">
        <f aca="false">IF(AND(A102&lt;&gt;"",ISNUMBER(Q102),ISNUMBER(L102)),ROUND(Q102-IF(ISNUMBER(N102),N102,0)-IF(ISNUMBER(O102),O102,0)+IF(ISNUMBER(P102),P102,0),2),"")</f>
        <v/>
      </c>
      <c r="S102" s="9" t="str">
        <f aca="false">IF(R102="","",ROUND(L102-R102,2))</f>
        <v/>
      </c>
      <c r="T102" s="8" t="str">
        <f aca="false">IF(A102="","",IF(S102="","BYPASS",IF(ABS(S102)&lt;=Summary!$B$2,"PASS","FAIL")))</f>
        <v/>
      </c>
      <c r="U102" s="8" t="str">
        <f aca="false">IF(T102="BYPASS",IF(NOT(ISNUMBER(Q102)),"PreV_ETB missing","End_tr_balance missing"),IF(T102="FAIL",IF(AND(ISNUMBER(K102),ISNUMBER(L102),ABS(L102-(K102-IF(ISNUMBER(N102),N102,0)-IF(ISNUMBER(O102),O102,0)+IF(ISNUMBER(P102),P102,0)))&lt;=Summary!$B$2),"Passes using beginning_balance - PreV_ETB differs from beginning_balance",IF(AND(ISNUMBER(O102),O102&lt;0,ABS(L102-(Q102-IF(ISNUMBER(N102),N102,0)+IF(ISNUMBER(P102),P102,0)))&lt;=Summary!$B$2),"Negative realized loss not applied - check sign",IF(R102&lt;0,"Principal paid exceeds prior balance",IF(AND(L102&gt;Q102,NOT(ISNUMBER(P102))),"Balance increased but no Deferred_interest reported",IF(L102&gt;R102,"Reported balance higher than expected (missing increase/OC build)","Reported balance lower than expected (missing decrease)"))))),""))</f>
        <v/>
      </c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9"/>
      <c r="L103" s="9"/>
      <c r="M103" s="9"/>
      <c r="N103" s="9"/>
      <c r="O103" s="9"/>
      <c r="P103" s="9"/>
      <c r="Q103" s="9"/>
      <c r="R103" s="9" t="str">
        <f aca="false">IF(AND(A103&lt;&gt;"",ISNUMBER(Q103),ISNUMBER(L103)),ROUND(Q103-IF(ISNUMBER(N103),N103,0)-IF(ISNUMBER(O103),O103,0)+IF(ISNUMBER(P103),P103,0),2),"")</f>
        <v/>
      </c>
      <c r="S103" s="9" t="str">
        <f aca="false">IF(R103="","",ROUND(L103-R103,2))</f>
        <v/>
      </c>
      <c r="T103" s="8" t="str">
        <f aca="false">IF(A103="","",IF(S103="","BYPASS",IF(ABS(S103)&lt;=Summary!$B$2,"PASS","FAIL")))</f>
        <v/>
      </c>
      <c r="U103" s="8" t="str">
        <f aca="false">IF(T103="BYPASS",IF(NOT(ISNUMBER(Q103)),"PreV_ETB missing","End_tr_balance missing"),IF(T103="FAIL",IF(AND(ISNUMBER(K103),ISNUMBER(L103),ABS(L103-(K103-IF(ISNUMBER(N103),N103,0)-IF(ISNUMBER(O103),O103,0)+IF(ISNUMBER(P103),P103,0)))&lt;=Summary!$B$2),"Passes using beginning_balance - PreV_ETB differs from beginning_balance",IF(AND(ISNUMBER(O103),O103&lt;0,ABS(L103-(Q103-IF(ISNUMBER(N103),N103,0)+IF(ISNUMBER(P103),P103,0)))&lt;=Summary!$B$2),"Negative realized loss not applied - check sign",IF(R103&lt;0,"Principal paid exceeds prior balance",IF(AND(L103&gt;Q103,NOT(ISNUMBER(P103))),"Balance increased but no Deferred_interest reported",IF(L103&gt;R103,"Reported balance higher than expected (missing increase/OC build)","Reported balance lower than expected (missing decrease)"))))),""))</f>
        <v/>
      </c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9"/>
      <c r="L104" s="9"/>
      <c r="M104" s="9"/>
      <c r="N104" s="9"/>
      <c r="O104" s="9"/>
      <c r="P104" s="9"/>
      <c r="Q104" s="9"/>
      <c r="R104" s="9" t="str">
        <f aca="false">IF(AND(A104&lt;&gt;"",ISNUMBER(Q104),ISNUMBER(L104)),ROUND(Q104-IF(ISNUMBER(N104),N104,0)-IF(ISNUMBER(O104),O104,0)+IF(ISNUMBER(P104),P104,0),2),"")</f>
        <v/>
      </c>
      <c r="S104" s="9" t="str">
        <f aca="false">IF(R104="","",ROUND(L104-R104,2))</f>
        <v/>
      </c>
      <c r="T104" s="8" t="str">
        <f aca="false">IF(A104="","",IF(S104="","BYPASS",IF(ABS(S104)&lt;=Summary!$B$2,"PASS","FAIL")))</f>
        <v/>
      </c>
      <c r="U104" s="8" t="str">
        <f aca="false">IF(T104="BYPASS",IF(NOT(ISNUMBER(Q104)),"PreV_ETB missing","End_tr_balance missing"),IF(T104="FAIL",IF(AND(ISNUMBER(K104),ISNUMBER(L104),ABS(L104-(K104-IF(ISNUMBER(N104),N104,0)-IF(ISNUMBER(O104),O104,0)+IF(ISNUMBER(P104),P104,0)))&lt;=Summary!$B$2),"Passes using beginning_balance - PreV_ETB differs from beginning_balance",IF(AND(ISNUMBER(O104),O104&lt;0,ABS(L104-(Q104-IF(ISNUMBER(N104),N104,0)+IF(ISNUMBER(P104),P104,0)))&lt;=Summary!$B$2),"Negative realized loss not applied - check sign",IF(R104&lt;0,"Principal paid exceeds prior balance",IF(AND(L104&gt;Q104,NOT(ISNUMBER(P104))),"Balance increased but no Deferred_interest reported",IF(L104&gt;R104,"Reported balance higher than expected (missing increase/OC build)","Reported balance lower than expected (missing decrease)"))))),""))</f>
        <v/>
      </c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9"/>
      <c r="L105" s="9"/>
      <c r="M105" s="9"/>
      <c r="N105" s="9"/>
      <c r="O105" s="9"/>
      <c r="P105" s="9"/>
      <c r="Q105" s="9"/>
      <c r="R105" s="9" t="str">
        <f aca="false">IF(AND(A105&lt;&gt;"",ISNUMBER(Q105),ISNUMBER(L105)),ROUND(Q105-IF(ISNUMBER(N105),N105,0)-IF(ISNUMBER(O105),O105,0)+IF(ISNUMBER(P105),P105,0),2),"")</f>
        <v/>
      </c>
      <c r="S105" s="9" t="str">
        <f aca="false">IF(R105="","",ROUND(L105-R105,2))</f>
        <v/>
      </c>
      <c r="T105" s="8" t="str">
        <f aca="false">IF(A105="","",IF(S105="","BYPASS",IF(ABS(S105)&lt;=Summary!$B$2,"PASS","FAIL")))</f>
        <v/>
      </c>
      <c r="U105" s="8" t="str">
        <f aca="false">IF(T105="BYPASS",IF(NOT(ISNUMBER(Q105)),"PreV_ETB missing","End_tr_balance missing"),IF(T105="FAIL",IF(AND(ISNUMBER(K105),ISNUMBER(L105),ABS(L105-(K105-IF(ISNUMBER(N105),N105,0)-IF(ISNUMBER(O105),O105,0)+IF(ISNUMBER(P105),P105,0)))&lt;=Summary!$B$2),"Passes using beginning_balance - PreV_ETB differs from beginning_balance",IF(AND(ISNUMBER(O105),O105&lt;0,ABS(L105-(Q105-IF(ISNUMBER(N105),N105,0)+IF(ISNUMBER(P105),P105,0)))&lt;=Summary!$B$2),"Negative realized loss not applied - check sign",IF(R105&lt;0,"Principal paid exceeds prior balance",IF(AND(L105&gt;Q105,NOT(ISNUMBER(P105))),"Balance increased but no Deferred_interest reported",IF(L105&gt;R105,"Reported balance higher than expected (missing increase/OC build)","Reported balance lower than expected (missing decrease)"))))),""))</f>
        <v/>
      </c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9"/>
      <c r="L106" s="9"/>
      <c r="M106" s="9"/>
      <c r="N106" s="9"/>
      <c r="O106" s="9"/>
      <c r="P106" s="9"/>
      <c r="Q106" s="9"/>
      <c r="R106" s="9" t="str">
        <f aca="false">IF(AND(A106&lt;&gt;"",ISNUMBER(Q106),ISNUMBER(L106)),ROUND(Q106-IF(ISNUMBER(N106),N106,0)-IF(ISNUMBER(O106),O106,0)+IF(ISNUMBER(P106),P106,0),2),"")</f>
        <v/>
      </c>
      <c r="S106" s="9" t="str">
        <f aca="false">IF(R106="","",ROUND(L106-R106,2))</f>
        <v/>
      </c>
      <c r="T106" s="8" t="str">
        <f aca="false">IF(A106="","",IF(S106="","BYPASS",IF(ABS(S106)&lt;=Summary!$B$2,"PASS","FAIL")))</f>
        <v/>
      </c>
      <c r="U106" s="8" t="str">
        <f aca="false">IF(T106="BYPASS",IF(NOT(ISNUMBER(Q106)),"PreV_ETB missing","End_tr_balance missing"),IF(T106="FAIL",IF(AND(ISNUMBER(K106),ISNUMBER(L106),ABS(L106-(K106-IF(ISNUMBER(N106),N106,0)-IF(ISNUMBER(O106),O106,0)+IF(ISNUMBER(P106),P106,0)))&lt;=Summary!$B$2),"Passes using beginning_balance - PreV_ETB differs from beginning_balance",IF(AND(ISNUMBER(O106),O106&lt;0,ABS(L106-(Q106-IF(ISNUMBER(N106),N106,0)+IF(ISNUMBER(P106),P106,0)))&lt;=Summary!$B$2),"Negative realized loss not applied - check sign",IF(R106&lt;0,"Principal paid exceeds prior balance",IF(AND(L106&gt;Q106,NOT(ISNUMBER(P106))),"Balance increased but no Deferred_interest reported",IF(L106&gt;R106,"Reported balance higher than expected (missing increase/OC build)","Reported balance lower than expected (missing decrease)"))))),""))</f>
        <v/>
      </c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9"/>
      <c r="L107" s="9"/>
      <c r="M107" s="9"/>
      <c r="N107" s="9"/>
      <c r="O107" s="9"/>
      <c r="P107" s="9"/>
      <c r="Q107" s="9"/>
      <c r="R107" s="9" t="str">
        <f aca="false">IF(AND(A107&lt;&gt;"",ISNUMBER(Q107),ISNUMBER(L107)),ROUND(Q107-IF(ISNUMBER(N107),N107,0)-IF(ISNUMBER(O107),O107,0)+IF(ISNUMBER(P107),P107,0),2),"")</f>
        <v/>
      </c>
      <c r="S107" s="9" t="str">
        <f aca="false">IF(R107="","",ROUND(L107-R107,2))</f>
        <v/>
      </c>
      <c r="T107" s="8" t="str">
        <f aca="false">IF(A107="","",IF(S107="","BYPASS",IF(ABS(S107)&lt;=Summary!$B$2,"PASS","FAIL")))</f>
        <v/>
      </c>
      <c r="U107" s="8" t="str">
        <f aca="false">IF(T107="BYPASS",IF(NOT(ISNUMBER(Q107)),"PreV_ETB missing","End_tr_balance missing"),IF(T107="FAIL",IF(AND(ISNUMBER(K107),ISNUMBER(L107),ABS(L107-(K107-IF(ISNUMBER(N107),N107,0)-IF(ISNUMBER(O107),O107,0)+IF(ISNUMBER(P107),P107,0)))&lt;=Summary!$B$2),"Passes using beginning_balance - PreV_ETB differs from beginning_balance",IF(AND(ISNUMBER(O107),O107&lt;0,ABS(L107-(Q107-IF(ISNUMBER(N107),N107,0)+IF(ISNUMBER(P107),P107,0)))&lt;=Summary!$B$2),"Negative realized loss not applied - check sign",IF(R107&lt;0,"Principal paid exceeds prior balance",IF(AND(L107&gt;Q107,NOT(ISNUMBER(P107))),"Balance increased but no Deferred_interest reported",IF(L107&gt;R107,"Reported balance higher than expected (missing increase/OC build)","Reported balance lower than expected (missing decrease)"))))),""))</f>
        <v/>
      </c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9"/>
      <c r="L108" s="9"/>
      <c r="M108" s="9"/>
      <c r="N108" s="9"/>
      <c r="O108" s="9"/>
      <c r="P108" s="9"/>
      <c r="Q108" s="9"/>
      <c r="R108" s="9" t="str">
        <f aca="false">IF(AND(A108&lt;&gt;"",ISNUMBER(Q108),ISNUMBER(L108)),ROUND(Q108-IF(ISNUMBER(N108),N108,0)-IF(ISNUMBER(O108),O108,0)+IF(ISNUMBER(P108),P108,0),2),"")</f>
        <v/>
      </c>
      <c r="S108" s="9" t="str">
        <f aca="false">IF(R108="","",ROUND(L108-R108,2))</f>
        <v/>
      </c>
      <c r="T108" s="8" t="str">
        <f aca="false">IF(A108="","",IF(S108="","BYPASS",IF(ABS(S108)&lt;=Summary!$B$2,"PASS","FAIL")))</f>
        <v/>
      </c>
      <c r="U108" s="8" t="str">
        <f aca="false">IF(T108="BYPASS",IF(NOT(ISNUMBER(Q108)),"PreV_ETB missing","End_tr_balance missing"),IF(T108="FAIL",IF(AND(ISNUMBER(K108),ISNUMBER(L108),ABS(L108-(K108-IF(ISNUMBER(N108),N108,0)-IF(ISNUMBER(O108),O108,0)+IF(ISNUMBER(P108),P108,0)))&lt;=Summary!$B$2),"Passes using beginning_balance - PreV_ETB differs from beginning_balance",IF(AND(ISNUMBER(O108),O108&lt;0,ABS(L108-(Q108-IF(ISNUMBER(N108),N108,0)+IF(ISNUMBER(P108),P108,0)))&lt;=Summary!$B$2),"Negative realized loss not applied - check sign",IF(R108&lt;0,"Principal paid exceeds prior balance",IF(AND(L108&gt;Q108,NOT(ISNUMBER(P108))),"Balance increased but no Deferred_interest reported",IF(L108&gt;R108,"Reported balance higher than expected (missing increase/OC build)","Reported balance lower than expected (missing decrease)"))))),""))</f>
        <v/>
      </c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9"/>
      <c r="L109" s="9"/>
      <c r="M109" s="9"/>
      <c r="N109" s="9"/>
      <c r="O109" s="9"/>
      <c r="P109" s="9"/>
      <c r="Q109" s="9"/>
      <c r="R109" s="9" t="str">
        <f aca="false">IF(AND(A109&lt;&gt;"",ISNUMBER(Q109),ISNUMBER(L109)),ROUND(Q109-IF(ISNUMBER(N109),N109,0)-IF(ISNUMBER(O109),O109,0)+IF(ISNUMBER(P109),P109,0),2),"")</f>
        <v/>
      </c>
      <c r="S109" s="9" t="str">
        <f aca="false">IF(R109="","",ROUND(L109-R109,2))</f>
        <v/>
      </c>
      <c r="T109" s="8" t="str">
        <f aca="false">IF(A109="","",IF(S109="","BYPASS",IF(ABS(S109)&lt;=Summary!$B$2,"PASS","FAIL")))</f>
        <v/>
      </c>
      <c r="U109" s="8" t="str">
        <f aca="false">IF(T109="BYPASS",IF(NOT(ISNUMBER(Q109)),"PreV_ETB missing","End_tr_balance missing"),IF(T109="FAIL",IF(AND(ISNUMBER(K109),ISNUMBER(L109),ABS(L109-(K109-IF(ISNUMBER(N109),N109,0)-IF(ISNUMBER(O109),O109,0)+IF(ISNUMBER(P109),P109,0)))&lt;=Summary!$B$2),"Passes using beginning_balance - PreV_ETB differs from beginning_balance",IF(AND(ISNUMBER(O109),O109&lt;0,ABS(L109-(Q109-IF(ISNUMBER(N109),N109,0)+IF(ISNUMBER(P109),P109,0)))&lt;=Summary!$B$2),"Negative realized loss not applied - check sign",IF(R109&lt;0,"Principal paid exceeds prior balance",IF(AND(L109&gt;Q109,NOT(ISNUMBER(P109))),"Balance increased but no Deferred_interest reported",IF(L109&gt;R109,"Reported balance higher than expected (missing increase/OC build)","Reported balance lower than expected (missing decrease)"))))),""))</f>
        <v/>
      </c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9"/>
      <c r="L110" s="9"/>
      <c r="M110" s="9"/>
      <c r="N110" s="9"/>
      <c r="O110" s="9"/>
      <c r="P110" s="9"/>
      <c r="Q110" s="9"/>
      <c r="R110" s="9" t="str">
        <f aca="false">IF(AND(A110&lt;&gt;"",ISNUMBER(Q110),ISNUMBER(L110)),ROUND(Q110-IF(ISNUMBER(N110),N110,0)-IF(ISNUMBER(O110),O110,0)+IF(ISNUMBER(P110),P110,0),2),"")</f>
        <v/>
      </c>
      <c r="S110" s="9" t="str">
        <f aca="false">IF(R110="","",ROUND(L110-R110,2))</f>
        <v/>
      </c>
      <c r="T110" s="8" t="str">
        <f aca="false">IF(A110="","",IF(S110="","BYPASS",IF(ABS(S110)&lt;=Summary!$B$2,"PASS","FAIL")))</f>
        <v/>
      </c>
      <c r="U110" s="8" t="str">
        <f aca="false">IF(T110="BYPASS",IF(NOT(ISNUMBER(Q110)),"PreV_ETB missing","End_tr_balance missing"),IF(T110="FAIL",IF(AND(ISNUMBER(K110),ISNUMBER(L110),ABS(L110-(K110-IF(ISNUMBER(N110),N110,0)-IF(ISNUMBER(O110),O110,0)+IF(ISNUMBER(P110),P110,0)))&lt;=Summary!$B$2),"Passes using beginning_balance - PreV_ETB differs from beginning_balance",IF(AND(ISNUMBER(O110),O110&lt;0,ABS(L110-(Q110-IF(ISNUMBER(N110),N110,0)+IF(ISNUMBER(P110),P110,0)))&lt;=Summary!$B$2),"Negative realized loss not applied - check sign",IF(R110&lt;0,"Principal paid exceeds prior balance",IF(AND(L110&gt;Q110,NOT(ISNUMBER(P110))),"Balance increased but no Deferred_interest reported",IF(L110&gt;R110,"Reported balance higher than expected (missing increase/OC build)","Reported balance lower than expected (missing decrease)"))))),""))</f>
        <v/>
      </c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9"/>
      <c r="L111" s="9"/>
      <c r="M111" s="9"/>
      <c r="N111" s="9"/>
      <c r="O111" s="9"/>
      <c r="P111" s="9"/>
      <c r="Q111" s="9"/>
      <c r="R111" s="9" t="str">
        <f aca="false">IF(AND(A111&lt;&gt;"",ISNUMBER(Q111),ISNUMBER(L111)),ROUND(Q111-IF(ISNUMBER(N111),N111,0)-IF(ISNUMBER(O111),O111,0)+IF(ISNUMBER(P111),P111,0),2),"")</f>
        <v/>
      </c>
      <c r="S111" s="9" t="str">
        <f aca="false">IF(R111="","",ROUND(L111-R111,2))</f>
        <v/>
      </c>
      <c r="T111" s="8" t="str">
        <f aca="false">IF(A111="","",IF(S111="","BYPASS",IF(ABS(S111)&lt;=Summary!$B$2,"PASS","FAIL")))</f>
        <v/>
      </c>
      <c r="U111" s="8" t="str">
        <f aca="false">IF(T111="BYPASS",IF(NOT(ISNUMBER(Q111)),"PreV_ETB missing","End_tr_balance missing"),IF(T111="FAIL",IF(AND(ISNUMBER(K111),ISNUMBER(L111),ABS(L111-(K111-IF(ISNUMBER(N111),N111,0)-IF(ISNUMBER(O111),O111,0)+IF(ISNUMBER(P111),P111,0)))&lt;=Summary!$B$2),"Passes using beginning_balance - PreV_ETB differs from beginning_balance",IF(AND(ISNUMBER(O111),O111&lt;0,ABS(L111-(Q111-IF(ISNUMBER(N111),N111,0)+IF(ISNUMBER(P111),P111,0)))&lt;=Summary!$B$2),"Negative realized loss not applied - check sign",IF(R111&lt;0,"Principal paid exceeds prior balance",IF(AND(L111&gt;Q111,NOT(ISNUMBER(P111))),"Balance increased but no Deferred_interest reported",IF(L111&gt;R111,"Reported balance higher than expected (missing increase/OC build)","Reported balance lower than expected (missing decrease)"))))),""))</f>
        <v/>
      </c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9"/>
      <c r="L112" s="9"/>
      <c r="M112" s="9"/>
      <c r="N112" s="9"/>
      <c r="O112" s="9"/>
      <c r="P112" s="9"/>
      <c r="Q112" s="9"/>
      <c r="R112" s="9" t="str">
        <f aca="false">IF(AND(A112&lt;&gt;"",ISNUMBER(Q112),ISNUMBER(L112)),ROUND(Q112-IF(ISNUMBER(N112),N112,0)-IF(ISNUMBER(O112),O112,0)+IF(ISNUMBER(P112),P112,0),2),"")</f>
        <v/>
      </c>
      <c r="S112" s="9" t="str">
        <f aca="false">IF(R112="","",ROUND(L112-R112,2))</f>
        <v/>
      </c>
      <c r="T112" s="8" t="str">
        <f aca="false">IF(A112="","",IF(S112="","BYPASS",IF(ABS(S112)&lt;=Summary!$B$2,"PASS","FAIL")))</f>
        <v/>
      </c>
      <c r="U112" s="8" t="str">
        <f aca="false">IF(T112="BYPASS",IF(NOT(ISNUMBER(Q112)),"PreV_ETB missing","End_tr_balance missing"),IF(T112="FAIL",IF(AND(ISNUMBER(K112),ISNUMBER(L112),ABS(L112-(K112-IF(ISNUMBER(N112),N112,0)-IF(ISNUMBER(O112),O112,0)+IF(ISNUMBER(P112),P112,0)))&lt;=Summary!$B$2),"Passes using beginning_balance - PreV_ETB differs from beginning_balance",IF(AND(ISNUMBER(O112),O112&lt;0,ABS(L112-(Q112-IF(ISNUMBER(N112),N112,0)+IF(ISNUMBER(P112),P112,0)))&lt;=Summary!$B$2),"Negative realized loss not applied - check sign",IF(R112&lt;0,"Principal paid exceeds prior balance",IF(AND(L112&gt;Q112,NOT(ISNUMBER(P112))),"Balance increased but no Deferred_interest reported",IF(L112&gt;R112,"Reported balance higher than expected (missing increase/OC build)","Reported balance lower than expected (missing decrease)"))))),""))</f>
        <v/>
      </c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9"/>
      <c r="L113" s="9"/>
      <c r="M113" s="9"/>
      <c r="N113" s="9"/>
      <c r="O113" s="9"/>
      <c r="P113" s="9"/>
      <c r="Q113" s="9"/>
      <c r="R113" s="9" t="str">
        <f aca="false">IF(AND(A113&lt;&gt;"",ISNUMBER(Q113),ISNUMBER(L113)),ROUND(Q113-IF(ISNUMBER(N113),N113,0)-IF(ISNUMBER(O113),O113,0)+IF(ISNUMBER(P113),P113,0),2),"")</f>
        <v/>
      </c>
      <c r="S113" s="9" t="str">
        <f aca="false">IF(R113="","",ROUND(L113-R113,2))</f>
        <v/>
      </c>
      <c r="T113" s="8" t="str">
        <f aca="false">IF(A113="","",IF(S113="","BYPASS",IF(ABS(S113)&lt;=Summary!$B$2,"PASS","FAIL")))</f>
        <v/>
      </c>
      <c r="U113" s="8" t="str">
        <f aca="false">IF(T113="BYPASS",IF(NOT(ISNUMBER(Q113)),"PreV_ETB missing","End_tr_balance missing"),IF(T113="FAIL",IF(AND(ISNUMBER(K113),ISNUMBER(L113),ABS(L113-(K113-IF(ISNUMBER(N113),N113,0)-IF(ISNUMBER(O113),O113,0)+IF(ISNUMBER(P113),P113,0)))&lt;=Summary!$B$2),"Passes using beginning_balance - PreV_ETB differs from beginning_balance",IF(AND(ISNUMBER(O113),O113&lt;0,ABS(L113-(Q113-IF(ISNUMBER(N113),N113,0)+IF(ISNUMBER(P113),P113,0)))&lt;=Summary!$B$2),"Negative realized loss not applied - check sign",IF(R113&lt;0,"Principal paid exceeds prior balance",IF(AND(L113&gt;Q113,NOT(ISNUMBER(P113))),"Balance increased but no Deferred_interest reported",IF(L113&gt;R113,"Reported balance higher than expected (missing increase/OC build)","Reported balance lower than expected (missing decrease)"))))),""))</f>
        <v/>
      </c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9"/>
      <c r="L114" s="9"/>
      <c r="M114" s="9"/>
      <c r="N114" s="9"/>
      <c r="O114" s="9"/>
      <c r="P114" s="9"/>
      <c r="Q114" s="9"/>
      <c r="R114" s="9" t="str">
        <f aca="false">IF(AND(A114&lt;&gt;"",ISNUMBER(Q114),ISNUMBER(L114)),ROUND(Q114-IF(ISNUMBER(N114),N114,0)-IF(ISNUMBER(O114),O114,0)+IF(ISNUMBER(P114),P114,0),2),"")</f>
        <v/>
      </c>
      <c r="S114" s="9" t="str">
        <f aca="false">IF(R114="","",ROUND(L114-R114,2))</f>
        <v/>
      </c>
      <c r="T114" s="8" t="str">
        <f aca="false">IF(A114="","",IF(S114="","BYPASS",IF(ABS(S114)&lt;=Summary!$B$2,"PASS","FAIL")))</f>
        <v/>
      </c>
      <c r="U114" s="8" t="str">
        <f aca="false">IF(T114="BYPASS",IF(NOT(ISNUMBER(Q114)),"PreV_ETB missing","End_tr_balance missing"),IF(T114="FAIL",IF(AND(ISNUMBER(K114),ISNUMBER(L114),ABS(L114-(K114-IF(ISNUMBER(N114),N114,0)-IF(ISNUMBER(O114),O114,0)+IF(ISNUMBER(P114),P114,0)))&lt;=Summary!$B$2),"Passes using beginning_balance - PreV_ETB differs from beginning_balance",IF(AND(ISNUMBER(O114),O114&lt;0,ABS(L114-(Q114-IF(ISNUMBER(N114),N114,0)+IF(ISNUMBER(P114),P114,0)))&lt;=Summary!$B$2),"Negative realized loss not applied - check sign",IF(R114&lt;0,"Principal paid exceeds prior balance",IF(AND(L114&gt;Q114,NOT(ISNUMBER(P114))),"Balance increased but no Deferred_interest reported",IF(L114&gt;R114,"Reported balance higher than expected (missing increase/OC build)","Reported balance lower than expected (missing decrease)"))))),""))</f>
        <v/>
      </c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9"/>
      <c r="L115" s="9"/>
      <c r="M115" s="9"/>
      <c r="N115" s="9"/>
      <c r="O115" s="9"/>
      <c r="P115" s="9"/>
      <c r="Q115" s="9"/>
      <c r="R115" s="9" t="str">
        <f aca="false">IF(AND(A115&lt;&gt;"",ISNUMBER(Q115),ISNUMBER(L115)),ROUND(Q115-IF(ISNUMBER(N115),N115,0)-IF(ISNUMBER(O115),O115,0)+IF(ISNUMBER(P115),P115,0),2),"")</f>
        <v/>
      </c>
      <c r="S115" s="9" t="str">
        <f aca="false">IF(R115="","",ROUND(L115-R115,2))</f>
        <v/>
      </c>
      <c r="T115" s="8" t="str">
        <f aca="false">IF(A115="","",IF(S115="","BYPASS",IF(ABS(S115)&lt;=Summary!$B$2,"PASS","FAIL")))</f>
        <v/>
      </c>
      <c r="U115" s="8" t="str">
        <f aca="false">IF(T115="BYPASS",IF(NOT(ISNUMBER(Q115)),"PreV_ETB missing","End_tr_balance missing"),IF(T115="FAIL",IF(AND(ISNUMBER(K115),ISNUMBER(L115),ABS(L115-(K115-IF(ISNUMBER(N115),N115,0)-IF(ISNUMBER(O115),O115,0)+IF(ISNUMBER(P115),P115,0)))&lt;=Summary!$B$2),"Passes using beginning_balance - PreV_ETB differs from beginning_balance",IF(AND(ISNUMBER(O115),O115&lt;0,ABS(L115-(Q115-IF(ISNUMBER(N115),N115,0)+IF(ISNUMBER(P115),P115,0)))&lt;=Summary!$B$2),"Negative realized loss not applied - check sign",IF(R115&lt;0,"Principal paid exceeds prior balance",IF(AND(L115&gt;Q115,NOT(ISNUMBER(P115))),"Balance increased but no Deferred_interest reported",IF(L115&gt;R115,"Reported balance higher than expected (missing increase/OC build)","Reported balance lower than expected (missing decrease)"))))),""))</f>
        <v/>
      </c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9"/>
      <c r="L116" s="9"/>
      <c r="M116" s="9"/>
      <c r="N116" s="9"/>
      <c r="O116" s="9"/>
      <c r="P116" s="9"/>
      <c r="Q116" s="9"/>
      <c r="R116" s="9" t="str">
        <f aca="false">IF(AND(A116&lt;&gt;"",ISNUMBER(Q116),ISNUMBER(L116)),ROUND(Q116-IF(ISNUMBER(N116),N116,0)-IF(ISNUMBER(O116),O116,0)+IF(ISNUMBER(P116),P116,0),2),"")</f>
        <v/>
      </c>
      <c r="S116" s="9" t="str">
        <f aca="false">IF(R116="","",ROUND(L116-R116,2))</f>
        <v/>
      </c>
      <c r="T116" s="8" t="str">
        <f aca="false">IF(A116="","",IF(S116="","BYPASS",IF(ABS(S116)&lt;=Summary!$B$2,"PASS","FAIL")))</f>
        <v/>
      </c>
      <c r="U116" s="8" t="str">
        <f aca="false">IF(T116="BYPASS",IF(NOT(ISNUMBER(Q116)),"PreV_ETB missing","End_tr_balance missing"),IF(T116="FAIL",IF(AND(ISNUMBER(K116),ISNUMBER(L116),ABS(L116-(K116-IF(ISNUMBER(N116),N116,0)-IF(ISNUMBER(O116),O116,0)+IF(ISNUMBER(P116),P116,0)))&lt;=Summary!$B$2),"Passes using beginning_balance - PreV_ETB differs from beginning_balance",IF(AND(ISNUMBER(O116),O116&lt;0,ABS(L116-(Q116-IF(ISNUMBER(N116),N116,0)+IF(ISNUMBER(P116),P116,0)))&lt;=Summary!$B$2),"Negative realized loss not applied - check sign",IF(R116&lt;0,"Principal paid exceeds prior balance",IF(AND(L116&gt;Q116,NOT(ISNUMBER(P116))),"Balance increased but no Deferred_interest reported",IF(L116&gt;R116,"Reported balance higher than expected (missing increase/OC build)","Reported balance lower than expected (missing decrease)"))))),""))</f>
        <v/>
      </c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9"/>
      <c r="L117" s="9"/>
      <c r="M117" s="9"/>
      <c r="N117" s="9"/>
      <c r="O117" s="9"/>
      <c r="P117" s="9"/>
      <c r="Q117" s="9"/>
      <c r="R117" s="9" t="str">
        <f aca="false">IF(AND(A117&lt;&gt;"",ISNUMBER(Q117),ISNUMBER(L117)),ROUND(Q117-IF(ISNUMBER(N117),N117,0)-IF(ISNUMBER(O117),O117,0)+IF(ISNUMBER(P117),P117,0),2),"")</f>
        <v/>
      </c>
      <c r="S117" s="9" t="str">
        <f aca="false">IF(R117="","",ROUND(L117-R117,2))</f>
        <v/>
      </c>
      <c r="T117" s="8" t="str">
        <f aca="false">IF(A117="","",IF(S117="","BYPASS",IF(ABS(S117)&lt;=Summary!$B$2,"PASS","FAIL")))</f>
        <v/>
      </c>
      <c r="U117" s="8" t="str">
        <f aca="false">IF(T117="BYPASS",IF(NOT(ISNUMBER(Q117)),"PreV_ETB missing","End_tr_balance missing"),IF(T117="FAIL",IF(AND(ISNUMBER(K117),ISNUMBER(L117),ABS(L117-(K117-IF(ISNUMBER(N117),N117,0)-IF(ISNUMBER(O117),O117,0)+IF(ISNUMBER(P117),P117,0)))&lt;=Summary!$B$2),"Passes using beginning_balance - PreV_ETB differs from beginning_balance",IF(AND(ISNUMBER(O117),O117&lt;0,ABS(L117-(Q117-IF(ISNUMBER(N117),N117,0)+IF(ISNUMBER(P117),P117,0)))&lt;=Summary!$B$2),"Negative realized loss not applied - check sign",IF(R117&lt;0,"Principal paid exceeds prior balance",IF(AND(L117&gt;Q117,NOT(ISNUMBER(P117))),"Balance increased but no Deferred_interest reported",IF(L117&gt;R117,"Reported balance higher than expected (missing increase/OC build)","Reported balance lower than expected (missing decrease)"))))),""))</f>
        <v/>
      </c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9"/>
      <c r="L118" s="9"/>
      <c r="M118" s="9"/>
      <c r="N118" s="9"/>
      <c r="O118" s="9"/>
      <c r="P118" s="9"/>
      <c r="Q118" s="9"/>
      <c r="R118" s="9" t="str">
        <f aca="false">IF(AND(A118&lt;&gt;"",ISNUMBER(Q118),ISNUMBER(L118)),ROUND(Q118-IF(ISNUMBER(N118),N118,0)-IF(ISNUMBER(O118),O118,0)+IF(ISNUMBER(P118),P118,0),2),"")</f>
        <v/>
      </c>
      <c r="S118" s="9" t="str">
        <f aca="false">IF(R118="","",ROUND(L118-R118,2))</f>
        <v/>
      </c>
      <c r="T118" s="8" t="str">
        <f aca="false">IF(A118="","",IF(S118="","BYPASS",IF(ABS(S118)&lt;=Summary!$B$2,"PASS","FAIL")))</f>
        <v/>
      </c>
      <c r="U118" s="8" t="str">
        <f aca="false">IF(T118="BYPASS",IF(NOT(ISNUMBER(Q118)),"PreV_ETB missing","End_tr_balance missing"),IF(T118="FAIL",IF(AND(ISNUMBER(K118),ISNUMBER(L118),ABS(L118-(K118-IF(ISNUMBER(N118),N118,0)-IF(ISNUMBER(O118),O118,0)+IF(ISNUMBER(P118),P118,0)))&lt;=Summary!$B$2),"Passes using beginning_balance - PreV_ETB differs from beginning_balance",IF(AND(ISNUMBER(O118),O118&lt;0,ABS(L118-(Q118-IF(ISNUMBER(N118),N118,0)+IF(ISNUMBER(P118),P118,0)))&lt;=Summary!$B$2),"Negative realized loss not applied - check sign",IF(R118&lt;0,"Principal paid exceeds prior balance",IF(AND(L118&gt;Q118,NOT(ISNUMBER(P118))),"Balance increased but no Deferred_interest reported",IF(L118&gt;R118,"Reported balance higher than expected (missing increase/OC build)","Reported balance lower than expected (missing decrease)"))))),""))</f>
        <v/>
      </c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9"/>
      <c r="L119" s="9"/>
      <c r="M119" s="9"/>
      <c r="N119" s="9"/>
      <c r="O119" s="9"/>
      <c r="P119" s="9"/>
      <c r="Q119" s="9"/>
      <c r="R119" s="9" t="str">
        <f aca="false">IF(AND(A119&lt;&gt;"",ISNUMBER(Q119),ISNUMBER(L119)),ROUND(Q119-IF(ISNUMBER(N119),N119,0)-IF(ISNUMBER(O119),O119,0)+IF(ISNUMBER(P119),P119,0),2),"")</f>
        <v/>
      </c>
      <c r="S119" s="9" t="str">
        <f aca="false">IF(R119="","",ROUND(L119-R119,2))</f>
        <v/>
      </c>
      <c r="T119" s="8" t="str">
        <f aca="false">IF(A119="","",IF(S119="","BYPASS",IF(ABS(S119)&lt;=Summary!$B$2,"PASS","FAIL")))</f>
        <v/>
      </c>
      <c r="U119" s="8" t="str">
        <f aca="false">IF(T119="BYPASS",IF(NOT(ISNUMBER(Q119)),"PreV_ETB missing","End_tr_balance missing"),IF(T119="FAIL",IF(AND(ISNUMBER(K119),ISNUMBER(L119),ABS(L119-(K119-IF(ISNUMBER(N119),N119,0)-IF(ISNUMBER(O119),O119,0)+IF(ISNUMBER(P119),P119,0)))&lt;=Summary!$B$2),"Passes using beginning_balance - PreV_ETB differs from beginning_balance",IF(AND(ISNUMBER(O119),O119&lt;0,ABS(L119-(Q119-IF(ISNUMBER(N119),N119,0)+IF(ISNUMBER(P119),P119,0)))&lt;=Summary!$B$2),"Negative realized loss not applied - check sign",IF(R119&lt;0,"Principal paid exceeds prior balance",IF(AND(L119&gt;Q119,NOT(ISNUMBER(P119))),"Balance increased but no Deferred_interest reported",IF(L119&gt;R119,"Reported balance higher than expected (missing increase/OC build)","Reported balance lower than expected (missing decrease)"))))),""))</f>
        <v/>
      </c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9"/>
      <c r="L120" s="9"/>
      <c r="M120" s="9"/>
      <c r="N120" s="9"/>
      <c r="O120" s="9"/>
      <c r="P120" s="9"/>
      <c r="Q120" s="9"/>
      <c r="R120" s="9" t="str">
        <f aca="false">IF(AND(A120&lt;&gt;"",ISNUMBER(Q120),ISNUMBER(L120)),ROUND(Q120-IF(ISNUMBER(N120),N120,0)-IF(ISNUMBER(O120),O120,0)+IF(ISNUMBER(P120),P120,0),2),"")</f>
        <v/>
      </c>
      <c r="S120" s="9" t="str">
        <f aca="false">IF(R120="","",ROUND(L120-R120,2))</f>
        <v/>
      </c>
      <c r="T120" s="8" t="str">
        <f aca="false">IF(A120="","",IF(S120="","BYPASS",IF(ABS(S120)&lt;=Summary!$B$2,"PASS","FAIL")))</f>
        <v/>
      </c>
      <c r="U120" s="8" t="str">
        <f aca="false">IF(T120="BYPASS",IF(NOT(ISNUMBER(Q120)),"PreV_ETB missing","End_tr_balance missing"),IF(T120="FAIL",IF(AND(ISNUMBER(K120),ISNUMBER(L120),ABS(L120-(K120-IF(ISNUMBER(N120),N120,0)-IF(ISNUMBER(O120),O120,0)+IF(ISNUMBER(P120),P120,0)))&lt;=Summary!$B$2),"Passes using beginning_balance - PreV_ETB differs from beginning_balance",IF(AND(ISNUMBER(O120),O120&lt;0,ABS(L120-(Q120-IF(ISNUMBER(N120),N120,0)+IF(ISNUMBER(P120),P120,0)))&lt;=Summary!$B$2),"Negative realized loss not applied - check sign",IF(R120&lt;0,"Principal paid exceeds prior balance",IF(AND(L120&gt;Q120,NOT(ISNUMBER(P120))),"Balance increased but no Deferred_interest reported",IF(L120&gt;R120,"Reported balance higher than expected (missing increase/OC build)","Reported balance lower than expected (missing decrease)"))))),""))</f>
        <v/>
      </c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9"/>
      <c r="L121" s="9"/>
      <c r="M121" s="9"/>
      <c r="N121" s="9"/>
      <c r="O121" s="9"/>
      <c r="P121" s="9"/>
      <c r="Q121" s="9"/>
      <c r="R121" s="9" t="str">
        <f aca="false">IF(AND(A121&lt;&gt;"",ISNUMBER(Q121),ISNUMBER(L121)),ROUND(Q121-IF(ISNUMBER(N121),N121,0)-IF(ISNUMBER(O121),O121,0)+IF(ISNUMBER(P121),P121,0),2),"")</f>
        <v/>
      </c>
      <c r="S121" s="9" t="str">
        <f aca="false">IF(R121="","",ROUND(L121-R121,2))</f>
        <v/>
      </c>
      <c r="T121" s="8" t="str">
        <f aca="false">IF(A121="","",IF(S121="","BYPASS",IF(ABS(S121)&lt;=Summary!$B$2,"PASS","FAIL")))</f>
        <v/>
      </c>
      <c r="U121" s="8" t="str">
        <f aca="false">IF(T121="BYPASS",IF(NOT(ISNUMBER(Q121)),"PreV_ETB missing","End_tr_balance missing"),IF(T121="FAIL",IF(AND(ISNUMBER(K121),ISNUMBER(L121),ABS(L121-(K121-IF(ISNUMBER(N121),N121,0)-IF(ISNUMBER(O121),O121,0)+IF(ISNUMBER(P121),P121,0)))&lt;=Summary!$B$2),"Passes using beginning_balance - PreV_ETB differs from beginning_balance",IF(AND(ISNUMBER(O121),O121&lt;0,ABS(L121-(Q121-IF(ISNUMBER(N121),N121,0)+IF(ISNUMBER(P121),P121,0)))&lt;=Summary!$B$2),"Negative realized loss not applied - check sign",IF(R121&lt;0,"Principal paid exceeds prior balance",IF(AND(L121&gt;Q121,NOT(ISNUMBER(P121))),"Balance increased but no Deferred_interest reported",IF(L121&gt;R121,"Reported balance higher than expected (missing increase/OC build)","Reported balance lower than expected (missing decrease)"))))),""))</f>
        <v/>
      </c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9"/>
      <c r="L122" s="9"/>
      <c r="M122" s="9"/>
      <c r="N122" s="9"/>
      <c r="O122" s="9"/>
      <c r="P122" s="9"/>
      <c r="Q122" s="9"/>
      <c r="R122" s="9" t="str">
        <f aca="false">IF(AND(A122&lt;&gt;"",ISNUMBER(Q122),ISNUMBER(L122)),ROUND(Q122-IF(ISNUMBER(N122),N122,0)-IF(ISNUMBER(O122),O122,0)+IF(ISNUMBER(P122),P122,0),2),"")</f>
        <v/>
      </c>
      <c r="S122" s="9" t="str">
        <f aca="false">IF(R122="","",ROUND(L122-R122,2))</f>
        <v/>
      </c>
      <c r="T122" s="8" t="str">
        <f aca="false">IF(A122="","",IF(S122="","BYPASS",IF(ABS(S122)&lt;=Summary!$B$2,"PASS","FAIL")))</f>
        <v/>
      </c>
      <c r="U122" s="8" t="str">
        <f aca="false">IF(T122="BYPASS",IF(NOT(ISNUMBER(Q122)),"PreV_ETB missing","End_tr_balance missing"),IF(T122="FAIL",IF(AND(ISNUMBER(K122),ISNUMBER(L122),ABS(L122-(K122-IF(ISNUMBER(N122),N122,0)-IF(ISNUMBER(O122),O122,0)+IF(ISNUMBER(P122),P122,0)))&lt;=Summary!$B$2),"Passes using beginning_balance - PreV_ETB differs from beginning_balance",IF(AND(ISNUMBER(O122),O122&lt;0,ABS(L122-(Q122-IF(ISNUMBER(N122),N122,0)+IF(ISNUMBER(P122),P122,0)))&lt;=Summary!$B$2),"Negative realized loss not applied - check sign",IF(R122&lt;0,"Principal paid exceeds prior balance",IF(AND(L122&gt;Q122,NOT(ISNUMBER(P122))),"Balance increased but no Deferred_interest reported",IF(L122&gt;R122,"Reported balance higher than expected (missing increase/OC build)","Reported balance lower than expected (missing decrease)"))))),""))</f>
        <v/>
      </c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9"/>
      <c r="L123" s="9"/>
      <c r="M123" s="9"/>
      <c r="N123" s="9"/>
      <c r="O123" s="9"/>
      <c r="P123" s="9"/>
      <c r="Q123" s="9"/>
      <c r="R123" s="9" t="str">
        <f aca="false">IF(AND(A123&lt;&gt;"",ISNUMBER(Q123),ISNUMBER(L123)),ROUND(Q123-IF(ISNUMBER(N123),N123,0)-IF(ISNUMBER(O123),O123,0)+IF(ISNUMBER(P123),P123,0),2),"")</f>
        <v/>
      </c>
      <c r="S123" s="9" t="str">
        <f aca="false">IF(R123="","",ROUND(L123-R123,2))</f>
        <v/>
      </c>
      <c r="T123" s="8" t="str">
        <f aca="false">IF(A123="","",IF(S123="","BYPASS",IF(ABS(S123)&lt;=Summary!$B$2,"PASS","FAIL")))</f>
        <v/>
      </c>
      <c r="U123" s="8" t="str">
        <f aca="false">IF(T123="BYPASS",IF(NOT(ISNUMBER(Q123)),"PreV_ETB missing","End_tr_balance missing"),IF(T123="FAIL",IF(AND(ISNUMBER(K123),ISNUMBER(L123),ABS(L123-(K123-IF(ISNUMBER(N123),N123,0)-IF(ISNUMBER(O123),O123,0)+IF(ISNUMBER(P123),P123,0)))&lt;=Summary!$B$2),"Passes using beginning_balance - PreV_ETB differs from beginning_balance",IF(AND(ISNUMBER(O123),O123&lt;0,ABS(L123-(Q123-IF(ISNUMBER(N123),N123,0)+IF(ISNUMBER(P123),P123,0)))&lt;=Summary!$B$2),"Negative realized loss not applied - check sign",IF(R123&lt;0,"Principal paid exceeds prior balance",IF(AND(L123&gt;Q123,NOT(ISNUMBER(P123))),"Balance increased but no Deferred_interest reported",IF(L123&gt;R123,"Reported balance higher than expected (missing increase/OC build)","Reported balance lower than expected (missing decrease)"))))),""))</f>
        <v/>
      </c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9"/>
      <c r="L124" s="9"/>
      <c r="M124" s="9"/>
      <c r="N124" s="9"/>
      <c r="O124" s="9"/>
      <c r="P124" s="9"/>
      <c r="Q124" s="9"/>
      <c r="R124" s="9" t="str">
        <f aca="false">IF(AND(A124&lt;&gt;"",ISNUMBER(Q124),ISNUMBER(L124)),ROUND(Q124-IF(ISNUMBER(N124),N124,0)-IF(ISNUMBER(O124),O124,0)+IF(ISNUMBER(P124),P124,0),2),"")</f>
        <v/>
      </c>
      <c r="S124" s="9" t="str">
        <f aca="false">IF(R124="","",ROUND(L124-R124,2))</f>
        <v/>
      </c>
      <c r="T124" s="8" t="str">
        <f aca="false">IF(A124="","",IF(S124="","BYPASS",IF(ABS(S124)&lt;=Summary!$B$2,"PASS","FAIL")))</f>
        <v/>
      </c>
      <c r="U124" s="8" t="str">
        <f aca="false">IF(T124="BYPASS",IF(NOT(ISNUMBER(Q124)),"PreV_ETB missing","End_tr_balance missing"),IF(T124="FAIL",IF(AND(ISNUMBER(K124),ISNUMBER(L124),ABS(L124-(K124-IF(ISNUMBER(N124),N124,0)-IF(ISNUMBER(O124),O124,0)+IF(ISNUMBER(P124),P124,0)))&lt;=Summary!$B$2),"Passes using beginning_balance - PreV_ETB differs from beginning_balance",IF(AND(ISNUMBER(O124),O124&lt;0,ABS(L124-(Q124-IF(ISNUMBER(N124),N124,0)+IF(ISNUMBER(P124),P124,0)))&lt;=Summary!$B$2),"Negative realized loss not applied - check sign",IF(R124&lt;0,"Principal paid exceeds prior balance",IF(AND(L124&gt;Q124,NOT(ISNUMBER(P124))),"Balance increased but no Deferred_interest reported",IF(L124&gt;R124,"Reported balance higher than expected (missing increase/OC build)","Reported balance lower than expected (missing decrease)"))))),""))</f>
        <v/>
      </c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9"/>
      <c r="L125" s="9"/>
      <c r="M125" s="9"/>
      <c r="N125" s="9"/>
      <c r="O125" s="9"/>
      <c r="P125" s="9"/>
      <c r="Q125" s="9"/>
      <c r="R125" s="9" t="str">
        <f aca="false">IF(AND(A125&lt;&gt;"",ISNUMBER(Q125),ISNUMBER(L125)),ROUND(Q125-IF(ISNUMBER(N125),N125,0)-IF(ISNUMBER(O125),O125,0)+IF(ISNUMBER(P125),P125,0),2),"")</f>
        <v/>
      </c>
      <c r="S125" s="9" t="str">
        <f aca="false">IF(R125="","",ROUND(L125-R125,2))</f>
        <v/>
      </c>
      <c r="T125" s="8" t="str">
        <f aca="false">IF(A125="","",IF(S125="","BYPASS",IF(ABS(S125)&lt;=Summary!$B$2,"PASS","FAIL")))</f>
        <v/>
      </c>
      <c r="U125" s="8" t="str">
        <f aca="false">IF(T125="BYPASS",IF(NOT(ISNUMBER(Q125)),"PreV_ETB missing","End_tr_balance missing"),IF(T125="FAIL",IF(AND(ISNUMBER(K125),ISNUMBER(L125),ABS(L125-(K125-IF(ISNUMBER(N125),N125,0)-IF(ISNUMBER(O125),O125,0)+IF(ISNUMBER(P125),P125,0)))&lt;=Summary!$B$2),"Passes using beginning_balance - PreV_ETB differs from beginning_balance",IF(AND(ISNUMBER(O125),O125&lt;0,ABS(L125-(Q125-IF(ISNUMBER(N125),N125,0)+IF(ISNUMBER(P125),P125,0)))&lt;=Summary!$B$2),"Negative realized loss not applied - check sign",IF(R125&lt;0,"Principal paid exceeds prior balance",IF(AND(L125&gt;Q125,NOT(ISNUMBER(P125))),"Balance increased but no Deferred_interest reported",IF(L125&gt;R125,"Reported balance higher than expected (missing increase/OC build)","Reported balance lower than expected (missing decrease)"))))),""))</f>
        <v/>
      </c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9"/>
      <c r="L126" s="9"/>
      <c r="M126" s="9"/>
      <c r="N126" s="9"/>
      <c r="O126" s="9"/>
      <c r="P126" s="9"/>
      <c r="Q126" s="9"/>
      <c r="R126" s="9" t="str">
        <f aca="false">IF(AND(A126&lt;&gt;"",ISNUMBER(Q126),ISNUMBER(L126)),ROUND(Q126-IF(ISNUMBER(N126),N126,0)-IF(ISNUMBER(O126),O126,0)+IF(ISNUMBER(P126),P126,0),2),"")</f>
        <v/>
      </c>
      <c r="S126" s="9" t="str">
        <f aca="false">IF(R126="","",ROUND(L126-R126,2))</f>
        <v/>
      </c>
      <c r="T126" s="8" t="str">
        <f aca="false">IF(A126="","",IF(S126="","BYPASS",IF(ABS(S126)&lt;=Summary!$B$2,"PASS","FAIL")))</f>
        <v/>
      </c>
      <c r="U126" s="8" t="str">
        <f aca="false">IF(T126="BYPASS",IF(NOT(ISNUMBER(Q126)),"PreV_ETB missing","End_tr_balance missing"),IF(T126="FAIL",IF(AND(ISNUMBER(K126),ISNUMBER(L126),ABS(L126-(K126-IF(ISNUMBER(N126),N126,0)-IF(ISNUMBER(O126),O126,0)+IF(ISNUMBER(P126),P126,0)))&lt;=Summary!$B$2),"Passes using beginning_balance - PreV_ETB differs from beginning_balance",IF(AND(ISNUMBER(O126),O126&lt;0,ABS(L126-(Q126-IF(ISNUMBER(N126),N126,0)+IF(ISNUMBER(P126),P126,0)))&lt;=Summary!$B$2),"Negative realized loss not applied - check sign",IF(R126&lt;0,"Principal paid exceeds prior balance",IF(AND(L126&gt;Q126,NOT(ISNUMBER(P126))),"Balance increased but no Deferred_interest reported",IF(L126&gt;R126,"Reported balance higher than expected (missing increase/OC build)","Reported balance lower than expected (missing decrease)"))))),""))</f>
        <v/>
      </c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9"/>
      <c r="L127" s="9"/>
      <c r="M127" s="9"/>
      <c r="N127" s="9"/>
      <c r="O127" s="9"/>
      <c r="P127" s="9"/>
      <c r="Q127" s="9"/>
      <c r="R127" s="9" t="str">
        <f aca="false">IF(AND(A127&lt;&gt;"",ISNUMBER(Q127),ISNUMBER(L127)),ROUND(Q127-IF(ISNUMBER(N127),N127,0)-IF(ISNUMBER(O127),O127,0)+IF(ISNUMBER(P127),P127,0),2),"")</f>
        <v/>
      </c>
      <c r="S127" s="9" t="str">
        <f aca="false">IF(R127="","",ROUND(L127-R127,2))</f>
        <v/>
      </c>
      <c r="T127" s="8" t="str">
        <f aca="false">IF(A127="","",IF(S127="","BYPASS",IF(ABS(S127)&lt;=Summary!$B$2,"PASS","FAIL")))</f>
        <v/>
      </c>
      <c r="U127" s="8" t="str">
        <f aca="false">IF(T127="BYPASS",IF(NOT(ISNUMBER(Q127)),"PreV_ETB missing","End_tr_balance missing"),IF(T127="FAIL",IF(AND(ISNUMBER(K127),ISNUMBER(L127),ABS(L127-(K127-IF(ISNUMBER(N127),N127,0)-IF(ISNUMBER(O127),O127,0)+IF(ISNUMBER(P127),P127,0)))&lt;=Summary!$B$2),"Passes using beginning_balance - PreV_ETB differs from beginning_balance",IF(AND(ISNUMBER(O127),O127&lt;0,ABS(L127-(Q127-IF(ISNUMBER(N127),N127,0)+IF(ISNUMBER(P127),P127,0)))&lt;=Summary!$B$2),"Negative realized loss not applied - check sign",IF(R127&lt;0,"Principal paid exceeds prior balance",IF(AND(L127&gt;Q127,NOT(ISNUMBER(P127))),"Balance increased but no Deferred_interest reported",IF(L127&gt;R127,"Reported balance higher than expected (missing increase/OC build)","Reported balance lower than expected (missing decrease)"))))),""))</f>
        <v/>
      </c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9"/>
      <c r="L128" s="9"/>
      <c r="M128" s="9"/>
      <c r="N128" s="9"/>
      <c r="O128" s="9"/>
      <c r="P128" s="9"/>
      <c r="Q128" s="9"/>
      <c r="R128" s="9" t="str">
        <f aca="false">IF(AND(A128&lt;&gt;"",ISNUMBER(Q128),ISNUMBER(L128)),ROUND(Q128-IF(ISNUMBER(N128),N128,0)-IF(ISNUMBER(O128),O128,0)+IF(ISNUMBER(P128),P128,0),2),"")</f>
        <v/>
      </c>
      <c r="S128" s="9" t="str">
        <f aca="false">IF(R128="","",ROUND(L128-R128,2))</f>
        <v/>
      </c>
      <c r="T128" s="8" t="str">
        <f aca="false">IF(A128="","",IF(S128="","BYPASS",IF(ABS(S128)&lt;=Summary!$B$2,"PASS","FAIL")))</f>
        <v/>
      </c>
      <c r="U128" s="8" t="str">
        <f aca="false">IF(T128="BYPASS",IF(NOT(ISNUMBER(Q128)),"PreV_ETB missing","End_tr_balance missing"),IF(T128="FAIL",IF(AND(ISNUMBER(K128),ISNUMBER(L128),ABS(L128-(K128-IF(ISNUMBER(N128),N128,0)-IF(ISNUMBER(O128),O128,0)+IF(ISNUMBER(P128),P128,0)))&lt;=Summary!$B$2),"Passes using beginning_balance - PreV_ETB differs from beginning_balance",IF(AND(ISNUMBER(O128),O128&lt;0,ABS(L128-(Q128-IF(ISNUMBER(N128),N128,0)+IF(ISNUMBER(P128),P128,0)))&lt;=Summary!$B$2),"Negative realized loss not applied - check sign",IF(R128&lt;0,"Principal paid exceeds prior balance",IF(AND(L128&gt;Q128,NOT(ISNUMBER(P128))),"Balance increased but no Deferred_interest reported",IF(L128&gt;R128,"Reported balance higher than expected (missing increase/OC build)","Reported balance lower than expected (missing decrease)"))))),""))</f>
        <v/>
      </c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9"/>
      <c r="L129" s="9"/>
      <c r="M129" s="9"/>
      <c r="N129" s="9"/>
      <c r="O129" s="9"/>
      <c r="P129" s="9"/>
      <c r="Q129" s="9"/>
      <c r="R129" s="9" t="str">
        <f aca="false">IF(AND(A129&lt;&gt;"",ISNUMBER(Q129),ISNUMBER(L129)),ROUND(Q129-IF(ISNUMBER(N129),N129,0)-IF(ISNUMBER(O129),O129,0)+IF(ISNUMBER(P129),P129,0),2),"")</f>
        <v/>
      </c>
      <c r="S129" s="9" t="str">
        <f aca="false">IF(R129="","",ROUND(L129-R129,2))</f>
        <v/>
      </c>
      <c r="T129" s="8" t="str">
        <f aca="false">IF(A129="","",IF(S129="","BYPASS",IF(ABS(S129)&lt;=Summary!$B$2,"PASS","FAIL")))</f>
        <v/>
      </c>
      <c r="U129" s="8" t="str">
        <f aca="false">IF(T129="BYPASS",IF(NOT(ISNUMBER(Q129)),"PreV_ETB missing","End_tr_balance missing"),IF(T129="FAIL",IF(AND(ISNUMBER(K129),ISNUMBER(L129),ABS(L129-(K129-IF(ISNUMBER(N129),N129,0)-IF(ISNUMBER(O129),O129,0)+IF(ISNUMBER(P129),P129,0)))&lt;=Summary!$B$2),"Passes using beginning_balance - PreV_ETB differs from beginning_balance",IF(AND(ISNUMBER(O129),O129&lt;0,ABS(L129-(Q129-IF(ISNUMBER(N129),N129,0)+IF(ISNUMBER(P129),P129,0)))&lt;=Summary!$B$2),"Negative realized loss not applied - check sign",IF(R129&lt;0,"Principal paid exceeds prior balance",IF(AND(L129&gt;Q129,NOT(ISNUMBER(P129))),"Balance increased but no Deferred_interest reported",IF(L129&gt;R129,"Reported balance higher than expected (missing increase/OC build)","Reported balance lower than expected (missing decrease)"))))),""))</f>
        <v/>
      </c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9"/>
      <c r="L130" s="9"/>
      <c r="M130" s="9"/>
      <c r="N130" s="9"/>
      <c r="O130" s="9"/>
      <c r="P130" s="9"/>
      <c r="Q130" s="9"/>
      <c r="R130" s="9" t="str">
        <f aca="false">IF(AND(A130&lt;&gt;"",ISNUMBER(Q130),ISNUMBER(L130)),ROUND(Q130-IF(ISNUMBER(N130),N130,0)-IF(ISNUMBER(O130),O130,0)+IF(ISNUMBER(P130),P130,0),2),"")</f>
        <v/>
      </c>
      <c r="S130" s="9" t="str">
        <f aca="false">IF(R130="","",ROUND(L130-R130,2))</f>
        <v/>
      </c>
      <c r="T130" s="8" t="str">
        <f aca="false">IF(A130="","",IF(S130="","BYPASS",IF(ABS(S130)&lt;=Summary!$B$2,"PASS","FAIL")))</f>
        <v/>
      </c>
      <c r="U130" s="8" t="str">
        <f aca="false">IF(T130="BYPASS",IF(NOT(ISNUMBER(Q130)),"PreV_ETB missing","End_tr_balance missing"),IF(T130="FAIL",IF(AND(ISNUMBER(K130),ISNUMBER(L130),ABS(L130-(K130-IF(ISNUMBER(N130),N130,0)-IF(ISNUMBER(O130),O130,0)+IF(ISNUMBER(P130),P130,0)))&lt;=Summary!$B$2),"Passes using beginning_balance - PreV_ETB differs from beginning_balance",IF(AND(ISNUMBER(O130),O130&lt;0,ABS(L130-(Q130-IF(ISNUMBER(N130),N130,0)+IF(ISNUMBER(P130),P130,0)))&lt;=Summary!$B$2),"Negative realized loss not applied - check sign",IF(R130&lt;0,"Principal paid exceeds prior balance",IF(AND(L130&gt;Q130,NOT(ISNUMBER(P130))),"Balance increased but no Deferred_interest reported",IF(L130&gt;R130,"Reported balance higher than expected (missing increase/OC build)","Reported balance lower than expected (missing decrease)"))))),""))</f>
        <v/>
      </c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9"/>
      <c r="L131" s="9"/>
      <c r="M131" s="9"/>
      <c r="N131" s="9"/>
      <c r="O131" s="9"/>
      <c r="P131" s="9"/>
      <c r="Q131" s="9"/>
      <c r="R131" s="9" t="str">
        <f aca="false">IF(AND(A131&lt;&gt;"",ISNUMBER(Q131),ISNUMBER(L131)),ROUND(Q131-IF(ISNUMBER(N131),N131,0)-IF(ISNUMBER(O131),O131,0)+IF(ISNUMBER(P131),P131,0),2),"")</f>
        <v/>
      </c>
      <c r="S131" s="9" t="str">
        <f aca="false">IF(R131="","",ROUND(L131-R131,2))</f>
        <v/>
      </c>
      <c r="T131" s="8" t="str">
        <f aca="false">IF(A131="","",IF(S131="","BYPASS",IF(ABS(S131)&lt;=Summary!$B$2,"PASS","FAIL")))</f>
        <v/>
      </c>
      <c r="U131" s="8" t="str">
        <f aca="false">IF(T131="BYPASS",IF(NOT(ISNUMBER(Q131)),"PreV_ETB missing","End_tr_balance missing"),IF(T131="FAIL",IF(AND(ISNUMBER(K131),ISNUMBER(L131),ABS(L131-(K131-IF(ISNUMBER(N131),N131,0)-IF(ISNUMBER(O131),O131,0)+IF(ISNUMBER(P131),P131,0)))&lt;=Summary!$B$2),"Passes using beginning_balance - PreV_ETB differs from beginning_balance",IF(AND(ISNUMBER(O131),O131&lt;0,ABS(L131-(Q131-IF(ISNUMBER(N131),N131,0)+IF(ISNUMBER(P131),P131,0)))&lt;=Summary!$B$2),"Negative realized loss not applied - check sign",IF(R131&lt;0,"Principal paid exceeds prior balance",IF(AND(L131&gt;Q131,NOT(ISNUMBER(P131))),"Balance increased but no Deferred_interest reported",IF(L131&gt;R131,"Reported balance higher than expected (missing increase/OC build)","Reported balance lower than expected (missing decrease)"))))),""))</f>
        <v/>
      </c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9"/>
      <c r="L132" s="9"/>
      <c r="M132" s="9"/>
      <c r="N132" s="9"/>
      <c r="O132" s="9"/>
      <c r="P132" s="9"/>
      <c r="Q132" s="9"/>
      <c r="R132" s="9" t="str">
        <f aca="false">IF(AND(A132&lt;&gt;"",ISNUMBER(Q132),ISNUMBER(L132)),ROUND(Q132-IF(ISNUMBER(N132),N132,0)-IF(ISNUMBER(O132),O132,0)+IF(ISNUMBER(P132),P132,0),2),"")</f>
        <v/>
      </c>
      <c r="S132" s="9" t="str">
        <f aca="false">IF(R132="","",ROUND(L132-R132,2))</f>
        <v/>
      </c>
      <c r="T132" s="8" t="str">
        <f aca="false">IF(A132="","",IF(S132="","BYPASS",IF(ABS(S132)&lt;=Summary!$B$2,"PASS","FAIL")))</f>
        <v/>
      </c>
      <c r="U132" s="8" t="str">
        <f aca="false">IF(T132="BYPASS",IF(NOT(ISNUMBER(Q132)),"PreV_ETB missing","End_tr_balance missing"),IF(T132="FAIL",IF(AND(ISNUMBER(K132),ISNUMBER(L132),ABS(L132-(K132-IF(ISNUMBER(N132),N132,0)-IF(ISNUMBER(O132),O132,0)+IF(ISNUMBER(P132),P132,0)))&lt;=Summary!$B$2),"Passes using beginning_balance - PreV_ETB differs from beginning_balance",IF(AND(ISNUMBER(O132),O132&lt;0,ABS(L132-(Q132-IF(ISNUMBER(N132),N132,0)+IF(ISNUMBER(P132),P132,0)))&lt;=Summary!$B$2),"Negative realized loss not applied - check sign",IF(R132&lt;0,"Principal paid exceeds prior balance",IF(AND(L132&gt;Q132,NOT(ISNUMBER(P132))),"Balance increased but no Deferred_interest reported",IF(L132&gt;R132,"Reported balance higher than expected (missing increase/OC build)","Reported balance lower than expected (missing decrease)"))))),""))</f>
        <v/>
      </c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9"/>
      <c r="L133" s="9"/>
      <c r="M133" s="9"/>
      <c r="N133" s="9"/>
      <c r="O133" s="9"/>
      <c r="P133" s="9"/>
      <c r="Q133" s="9"/>
      <c r="R133" s="9" t="str">
        <f aca="false">IF(AND(A133&lt;&gt;"",ISNUMBER(Q133),ISNUMBER(L133)),ROUND(Q133-IF(ISNUMBER(N133),N133,0)-IF(ISNUMBER(O133),O133,0)+IF(ISNUMBER(P133),P133,0),2),"")</f>
        <v/>
      </c>
      <c r="S133" s="9" t="str">
        <f aca="false">IF(R133="","",ROUND(L133-R133,2))</f>
        <v/>
      </c>
      <c r="T133" s="8" t="str">
        <f aca="false">IF(A133="","",IF(S133="","BYPASS",IF(ABS(S133)&lt;=Summary!$B$2,"PASS","FAIL")))</f>
        <v/>
      </c>
      <c r="U133" s="8" t="str">
        <f aca="false">IF(T133="BYPASS",IF(NOT(ISNUMBER(Q133)),"PreV_ETB missing","End_tr_balance missing"),IF(T133="FAIL",IF(AND(ISNUMBER(K133),ISNUMBER(L133),ABS(L133-(K133-IF(ISNUMBER(N133),N133,0)-IF(ISNUMBER(O133),O133,0)+IF(ISNUMBER(P133),P133,0)))&lt;=Summary!$B$2),"Passes using beginning_balance - PreV_ETB differs from beginning_balance",IF(AND(ISNUMBER(O133),O133&lt;0,ABS(L133-(Q133-IF(ISNUMBER(N133),N133,0)+IF(ISNUMBER(P133),P133,0)))&lt;=Summary!$B$2),"Negative realized loss not applied - check sign",IF(R133&lt;0,"Principal paid exceeds prior balance",IF(AND(L133&gt;Q133,NOT(ISNUMBER(P133))),"Balance increased but no Deferred_interest reported",IF(L133&gt;R133,"Reported balance higher than expected (missing increase/OC build)","Reported balance lower than expected (missing decrease)"))))),""))</f>
        <v/>
      </c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9"/>
      <c r="L134" s="9"/>
      <c r="M134" s="9"/>
      <c r="N134" s="9"/>
      <c r="O134" s="9"/>
      <c r="P134" s="9"/>
      <c r="Q134" s="9"/>
      <c r="R134" s="9" t="str">
        <f aca="false">IF(AND(A134&lt;&gt;"",ISNUMBER(Q134),ISNUMBER(L134)),ROUND(Q134-IF(ISNUMBER(N134),N134,0)-IF(ISNUMBER(O134),O134,0)+IF(ISNUMBER(P134),P134,0),2),"")</f>
        <v/>
      </c>
      <c r="S134" s="9" t="str">
        <f aca="false">IF(R134="","",ROUND(L134-R134,2))</f>
        <v/>
      </c>
      <c r="T134" s="8" t="str">
        <f aca="false">IF(A134="","",IF(S134="","BYPASS",IF(ABS(S134)&lt;=Summary!$B$2,"PASS","FAIL")))</f>
        <v/>
      </c>
      <c r="U134" s="8" t="str">
        <f aca="false">IF(T134="BYPASS",IF(NOT(ISNUMBER(Q134)),"PreV_ETB missing","End_tr_balance missing"),IF(T134="FAIL",IF(AND(ISNUMBER(K134),ISNUMBER(L134),ABS(L134-(K134-IF(ISNUMBER(N134),N134,0)-IF(ISNUMBER(O134),O134,0)+IF(ISNUMBER(P134),P134,0)))&lt;=Summary!$B$2),"Passes using beginning_balance - PreV_ETB differs from beginning_balance",IF(AND(ISNUMBER(O134),O134&lt;0,ABS(L134-(Q134-IF(ISNUMBER(N134),N134,0)+IF(ISNUMBER(P134),P134,0)))&lt;=Summary!$B$2),"Negative realized loss not applied - check sign",IF(R134&lt;0,"Principal paid exceeds prior balance",IF(AND(L134&gt;Q134,NOT(ISNUMBER(P134))),"Balance increased but no Deferred_interest reported",IF(L134&gt;R134,"Reported balance higher than expected (missing increase/OC build)","Reported balance lower than expected (missing decrease)"))))),""))</f>
        <v/>
      </c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9"/>
      <c r="L135" s="9"/>
      <c r="M135" s="9"/>
      <c r="N135" s="9"/>
      <c r="O135" s="9"/>
      <c r="P135" s="9"/>
      <c r="Q135" s="9"/>
      <c r="R135" s="9" t="str">
        <f aca="false">IF(AND(A135&lt;&gt;"",ISNUMBER(Q135),ISNUMBER(L135)),ROUND(Q135-IF(ISNUMBER(N135),N135,0)-IF(ISNUMBER(O135),O135,0)+IF(ISNUMBER(P135),P135,0),2),"")</f>
        <v/>
      </c>
      <c r="S135" s="9" t="str">
        <f aca="false">IF(R135="","",ROUND(L135-R135,2))</f>
        <v/>
      </c>
      <c r="T135" s="8" t="str">
        <f aca="false">IF(A135="","",IF(S135="","BYPASS",IF(ABS(S135)&lt;=Summary!$B$2,"PASS","FAIL")))</f>
        <v/>
      </c>
      <c r="U135" s="8" t="str">
        <f aca="false">IF(T135="BYPASS",IF(NOT(ISNUMBER(Q135)),"PreV_ETB missing","End_tr_balance missing"),IF(T135="FAIL",IF(AND(ISNUMBER(K135),ISNUMBER(L135),ABS(L135-(K135-IF(ISNUMBER(N135),N135,0)-IF(ISNUMBER(O135),O135,0)+IF(ISNUMBER(P135),P135,0)))&lt;=Summary!$B$2),"Passes using beginning_balance - PreV_ETB differs from beginning_balance",IF(AND(ISNUMBER(O135),O135&lt;0,ABS(L135-(Q135-IF(ISNUMBER(N135),N135,0)+IF(ISNUMBER(P135),P135,0)))&lt;=Summary!$B$2),"Negative realized loss not applied - check sign",IF(R135&lt;0,"Principal paid exceeds prior balance",IF(AND(L135&gt;Q135,NOT(ISNUMBER(P135))),"Balance increased but no Deferred_interest reported",IF(L135&gt;R135,"Reported balance higher than expected (missing increase/OC build)","Reported balance lower than expected (missing decrease)"))))),""))</f>
        <v/>
      </c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9"/>
      <c r="L136" s="9"/>
      <c r="M136" s="9"/>
      <c r="N136" s="9"/>
      <c r="O136" s="9"/>
      <c r="P136" s="9"/>
      <c r="Q136" s="9"/>
      <c r="R136" s="9" t="str">
        <f aca="false">IF(AND(A136&lt;&gt;"",ISNUMBER(Q136),ISNUMBER(L136)),ROUND(Q136-IF(ISNUMBER(N136),N136,0)-IF(ISNUMBER(O136),O136,0)+IF(ISNUMBER(P136),P136,0),2),"")</f>
        <v/>
      </c>
      <c r="S136" s="9" t="str">
        <f aca="false">IF(R136="","",ROUND(L136-R136,2))</f>
        <v/>
      </c>
      <c r="T136" s="8" t="str">
        <f aca="false">IF(A136="","",IF(S136="","BYPASS",IF(ABS(S136)&lt;=Summary!$B$2,"PASS","FAIL")))</f>
        <v/>
      </c>
      <c r="U136" s="8" t="str">
        <f aca="false">IF(T136="BYPASS",IF(NOT(ISNUMBER(Q136)),"PreV_ETB missing","End_tr_balance missing"),IF(T136="FAIL",IF(AND(ISNUMBER(K136),ISNUMBER(L136),ABS(L136-(K136-IF(ISNUMBER(N136),N136,0)-IF(ISNUMBER(O136),O136,0)+IF(ISNUMBER(P136),P136,0)))&lt;=Summary!$B$2),"Passes using beginning_balance - PreV_ETB differs from beginning_balance",IF(AND(ISNUMBER(O136),O136&lt;0,ABS(L136-(Q136-IF(ISNUMBER(N136),N136,0)+IF(ISNUMBER(P136),P136,0)))&lt;=Summary!$B$2),"Negative realized loss not applied - check sign",IF(R136&lt;0,"Principal paid exceeds prior balance",IF(AND(L136&gt;Q136,NOT(ISNUMBER(P136))),"Balance increased but no Deferred_interest reported",IF(L136&gt;R136,"Reported balance higher than expected (missing increase/OC build)","Reported balance lower than expected (missing decrease)"))))),""))</f>
        <v/>
      </c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9"/>
      <c r="L137" s="9"/>
      <c r="M137" s="9"/>
      <c r="N137" s="9"/>
      <c r="O137" s="9"/>
      <c r="P137" s="9"/>
      <c r="Q137" s="9"/>
      <c r="R137" s="9" t="str">
        <f aca="false">IF(AND(A137&lt;&gt;"",ISNUMBER(Q137),ISNUMBER(L137)),ROUND(Q137-IF(ISNUMBER(N137),N137,0)-IF(ISNUMBER(O137),O137,0)+IF(ISNUMBER(P137),P137,0),2),"")</f>
        <v/>
      </c>
      <c r="S137" s="9" t="str">
        <f aca="false">IF(R137="","",ROUND(L137-R137,2))</f>
        <v/>
      </c>
      <c r="T137" s="8" t="str">
        <f aca="false">IF(A137="","",IF(S137="","BYPASS",IF(ABS(S137)&lt;=Summary!$B$2,"PASS","FAIL")))</f>
        <v/>
      </c>
      <c r="U137" s="8" t="str">
        <f aca="false">IF(T137="BYPASS",IF(NOT(ISNUMBER(Q137)),"PreV_ETB missing","End_tr_balance missing"),IF(T137="FAIL",IF(AND(ISNUMBER(K137),ISNUMBER(L137),ABS(L137-(K137-IF(ISNUMBER(N137),N137,0)-IF(ISNUMBER(O137),O137,0)+IF(ISNUMBER(P137),P137,0)))&lt;=Summary!$B$2),"Passes using beginning_balance - PreV_ETB differs from beginning_balance",IF(AND(ISNUMBER(O137),O137&lt;0,ABS(L137-(Q137-IF(ISNUMBER(N137),N137,0)+IF(ISNUMBER(P137),P137,0)))&lt;=Summary!$B$2),"Negative realized loss not applied - check sign",IF(R137&lt;0,"Principal paid exceeds prior balance",IF(AND(L137&gt;Q137,NOT(ISNUMBER(P137))),"Balance increased but no Deferred_interest reported",IF(L137&gt;R137,"Reported balance higher than expected (missing increase/OC build)","Reported balance lower than expected (missing decrease)"))))),""))</f>
        <v/>
      </c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9"/>
      <c r="L138" s="9"/>
      <c r="M138" s="9"/>
      <c r="N138" s="9"/>
      <c r="O138" s="9"/>
      <c r="P138" s="9"/>
      <c r="Q138" s="9"/>
      <c r="R138" s="9" t="str">
        <f aca="false">IF(AND(A138&lt;&gt;"",ISNUMBER(Q138),ISNUMBER(L138)),ROUND(Q138-IF(ISNUMBER(N138),N138,0)-IF(ISNUMBER(O138),O138,0)+IF(ISNUMBER(P138),P138,0),2),"")</f>
        <v/>
      </c>
      <c r="S138" s="9" t="str">
        <f aca="false">IF(R138="","",ROUND(L138-R138,2))</f>
        <v/>
      </c>
      <c r="T138" s="8" t="str">
        <f aca="false">IF(A138="","",IF(S138="","BYPASS",IF(ABS(S138)&lt;=Summary!$B$2,"PASS","FAIL")))</f>
        <v/>
      </c>
      <c r="U138" s="8" t="str">
        <f aca="false">IF(T138="BYPASS",IF(NOT(ISNUMBER(Q138)),"PreV_ETB missing","End_tr_balance missing"),IF(T138="FAIL",IF(AND(ISNUMBER(K138),ISNUMBER(L138),ABS(L138-(K138-IF(ISNUMBER(N138),N138,0)-IF(ISNUMBER(O138),O138,0)+IF(ISNUMBER(P138),P138,0)))&lt;=Summary!$B$2),"Passes using beginning_balance - PreV_ETB differs from beginning_balance",IF(AND(ISNUMBER(O138),O138&lt;0,ABS(L138-(Q138-IF(ISNUMBER(N138),N138,0)+IF(ISNUMBER(P138),P138,0)))&lt;=Summary!$B$2),"Negative realized loss not applied - check sign",IF(R138&lt;0,"Principal paid exceeds prior balance",IF(AND(L138&gt;Q138,NOT(ISNUMBER(P138))),"Balance increased but no Deferred_interest reported",IF(L138&gt;R138,"Reported balance higher than expected (missing increase/OC build)","Reported balance lower than expected (missing decrease)"))))),""))</f>
        <v/>
      </c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9"/>
      <c r="L139" s="9"/>
      <c r="M139" s="9"/>
      <c r="N139" s="9"/>
      <c r="O139" s="9"/>
      <c r="P139" s="9"/>
      <c r="Q139" s="9"/>
      <c r="R139" s="9" t="str">
        <f aca="false">IF(AND(A139&lt;&gt;"",ISNUMBER(Q139),ISNUMBER(L139)),ROUND(Q139-IF(ISNUMBER(N139),N139,0)-IF(ISNUMBER(O139),O139,0)+IF(ISNUMBER(P139),P139,0),2),"")</f>
        <v/>
      </c>
      <c r="S139" s="9" t="str">
        <f aca="false">IF(R139="","",ROUND(L139-R139,2))</f>
        <v/>
      </c>
      <c r="T139" s="8" t="str">
        <f aca="false">IF(A139="","",IF(S139="","BYPASS",IF(ABS(S139)&lt;=Summary!$B$2,"PASS","FAIL")))</f>
        <v/>
      </c>
      <c r="U139" s="8" t="str">
        <f aca="false">IF(T139="BYPASS",IF(NOT(ISNUMBER(Q139)),"PreV_ETB missing","End_tr_balance missing"),IF(T139="FAIL",IF(AND(ISNUMBER(K139),ISNUMBER(L139),ABS(L139-(K139-IF(ISNUMBER(N139),N139,0)-IF(ISNUMBER(O139),O139,0)+IF(ISNUMBER(P139),P139,0)))&lt;=Summary!$B$2),"Passes using beginning_balance - PreV_ETB differs from beginning_balance",IF(AND(ISNUMBER(O139),O139&lt;0,ABS(L139-(Q139-IF(ISNUMBER(N139),N139,0)+IF(ISNUMBER(P139),P139,0)))&lt;=Summary!$B$2),"Negative realized loss not applied - check sign",IF(R139&lt;0,"Principal paid exceeds prior balance",IF(AND(L139&gt;Q139,NOT(ISNUMBER(P139))),"Balance increased but no Deferred_interest reported",IF(L139&gt;R139,"Reported balance higher than expected (missing increase/OC build)","Reported balance lower than expected (missing decrease)"))))),""))</f>
        <v/>
      </c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9"/>
      <c r="L140" s="9"/>
      <c r="M140" s="9"/>
      <c r="N140" s="9"/>
      <c r="O140" s="9"/>
      <c r="P140" s="9"/>
      <c r="Q140" s="9"/>
      <c r="R140" s="9" t="str">
        <f aca="false">IF(AND(A140&lt;&gt;"",ISNUMBER(Q140),ISNUMBER(L140)),ROUND(Q140-IF(ISNUMBER(N140),N140,0)-IF(ISNUMBER(O140),O140,0)+IF(ISNUMBER(P140),P140,0),2),"")</f>
        <v/>
      </c>
      <c r="S140" s="9" t="str">
        <f aca="false">IF(R140="","",ROUND(L140-R140,2))</f>
        <v/>
      </c>
      <c r="T140" s="8" t="str">
        <f aca="false">IF(A140="","",IF(S140="","BYPASS",IF(ABS(S140)&lt;=Summary!$B$2,"PASS","FAIL")))</f>
        <v/>
      </c>
      <c r="U140" s="8" t="str">
        <f aca="false">IF(T140="BYPASS",IF(NOT(ISNUMBER(Q140)),"PreV_ETB missing","End_tr_balance missing"),IF(T140="FAIL",IF(AND(ISNUMBER(K140),ISNUMBER(L140),ABS(L140-(K140-IF(ISNUMBER(N140),N140,0)-IF(ISNUMBER(O140),O140,0)+IF(ISNUMBER(P140),P140,0)))&lt;=Summary!$B$2),"Passes using beginning_balance - PreV_ETB differs from beginning_balance",IF(AND(ISNUMBER(O140),O140&lt;0,ABS(L140-(Q140-IF(ISNUMBER(N140),N140,0)+IF(ISNUMBER(P140),P140,0)))&lt;=Summary!$B$2),"Negative realized loss not applied - check sign",IF(R140&lt;0,"Principal paid exceeds prior balance",IF(AND(L140&gt;Q140,NOT(ISNUMBER(P140))),"Balance increased but no Deferred_interest reported",IF(L140&gt;R140,"Reported balance higher than expected (missing increase/OC build)","Reported balance lower than expected (missing decrease)"))))),""))</f>
        <v/>
      </c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9"/>
      <c r="L141" s="9"/>
      <c r="M141" s="9"/>
      <c r="N141" s="9"/>
      <c r="O141" s="9"/>
      <c r="P141" s="9"/>
      <c r="Q141" s="9"/>
      <c r="R141" s="9" t="str">
        <f aca="false">IF(AND(A141&lt;&gt;"",ISNUMBER(Q141),ISNUMBER(L141)),ROUND(Q141-IF(ISNUMBER(N141),N141,0)-IF(ISNUMBER(O141),O141,0)+IF(ISNUMBER(P141),P141,0),2),"")</f>
        <v/>
      </c>
      <c r="S141" s="9" t="str">
        <f aca="false">IF(R141="","",ROUND(L141-R141,2))</f>
        <v/>
      </c>
      <c r="T141" s="8" t="str">
        <f aca="false">IF(A141="","",IF(S141="","BYPASS",IF(ABS(S141)&lt;=Summary!$B$2,"PASS","FAIL")))</f>
        <v/>
      </c>
      <c r="U141" s="8" t="str">
        <f aca="false">IF(T141="BYPASS",IF(NOT(ISNUMBER(Q141)),"PreV_ETB missing","End_tr_balance missing"),IF(T141="FAIL",IF(AND(ISNUMBER(K141),ISNUMBER(L141),ABS(L141-(K141-IF(ISNUMBER(N141),N141,0)-IF(ISNUMBER(O141),O141,0)+IF(ISNUMBER(P141),P141,0)))&lt;=Summary!$B$2),"Passes using beginning_balance - PreV_ETB differs from beginning_balance",IF(AND(ISNUMBER(O141),O141&lt;0,ABS(L141-(Q141-IF(ISNUMBER(N141),N141,0)+IF(ISNUMBER(P141),P141,0)))&lt;=Summary!$B$2),"Negative realized loss not applied - check sign",IF(R141&lt;0,"Principal paid exceeds prior balance",IF(AND(L141&gt;Q141,NOT(ISNUMBER(P141))),"Balance increased but no Deferred_interest reported",IF(L141&gt;R141,"Reported balance higher than expected (missing increase/OC build)","Reported balance lower than expected (missing decrease)"))))),""))</f>
        <v/>
      </c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9"/>
      <c r="L142" s="9"/>
      <c r="M142" s="9"/>
      <c r="N142" s="9"/>
      <c r="O142" s="9"/>
      <c r="P142" s="9"/>
      <c r="Q142" s="9"/>
      <c r="R142" s="9" t="str">
        <f aca="false">IF(AND(A142&lt;&gt;"",ISNUMBER(Q142),ISNUMBER(L142)),ROUND(Q142-IF(ISNUMBER(N142),N142,0)-IF(ISNUMBER(O142),O142,0)+IF(ISNUMBER(P142),P142,0),2),"")</f>
        <v/>
      </c>
      <c r="S142" s="9" t="str">
        <f aca="false">IF(R142="","",ROUND(L142-R142,2))</f>
        <v/>
      </c>
      <c r="T142" s="8" t="str">
        <f aca="false">IF(A142="","",IF(S142="","BYPASS",IF(ABS(S142)&lt;=Summary!$B$2,"PASS","FAIL")))</f>
        <v/>
      </c>
      <c r="U142" s="8" t="str">
        <f aca="false">IF(T142="BYPASS",IF(NOT(ISNUMBER(Q142)),"PreV_ETB missing","End_tr_balance missing"),IF(T142="FAIL",IF(AND(ISNUMBER(K142),ISNUMBER(L142),ABS(L142-(K142-IF(ISNUMBER(N142),N142,0)-IF(ISNUMBER(O142),O142,0)+IF(ISNUMBER(P142),P142,0)))&lt;=Summary!$B$2),"Passes using beginning_balance - PreV_ETB differs from beginning_balance",IF(AND(ISNUMBER(O142),O142&lt;0,ABS(L142-(Q142-IF(ISNUMBER(N142),N142,0)+IF(ISNUMBER(P142),P142,0)))&lt;=Summary!$B$2),"Negative realized loss not applied - check sign",IF(R142&lt;0,"Principal paid exceeds prior balance",IF(AND(L142&gt;Q142,NOT(ISNUMBER(P142))),"Balance increased but no Deferred_interest reported",IF(L142&gt;R142,"Reported balance higher than expected (missing increase/OC build)","Reported balance lower than expected (missing decrease)"))))),""))</f>
        <v/>
      </c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9"/>
      <c r="L143" s="9"/>
      <c r="M143" s="9"/>
      <c r="N143" s="9"/>
      <c r="O143" s="9"/>
      <c r="P143" s="9"/>
      <c r="Q143" s="9"/>
      <c r="R143" s="9" t="str">
        <f aca="false">IF(AND(A143&lt;&gt;"",ISNUMBER(Q143),ISNUMBER(L143)),ROUND(Q143-IF(ISNUMBER(N143),N143,0)-IF(ISNUMBER(O143),O143,0)+IF(ISNUMBER(P143),P143,0),2),"")</f>
        <v/>
      </c>
      <c r="S143" s="9" t="str">
        <f aca="false">IF(R143="","",ROUND(L143-R143,2))</f>
        <v/>
      </c>
      <c r="T143" s="8" t="str">
        <f aca="false">IF(A143="","",IF(S143="","BYPASS",IF(ABS(S143)&lt;=Summary!$B$2,"PASS","FAIL")))</f>
        <v/>
      </c>
      <c r="U143" s="8" t="str">
        <f aca="false">IF(T143="BYPASS",IF(NOT(ISNUMBER(Q143)),"PreV_ETB missing","End_tr_balance missing"),IF(T143="FAIL",IF(AND(ISNUMBER(K143),ISNUMBER(L143),ABS(L143-(K143-IF(ISNUMBER(N143),N143,0)-IF(ISNUMBER(O143),O143,0)+IF(ISNUMBER(P143),P143,0)))&lt;=Summary!$B$2),"Passes using beginning_balance - PreV_ETB differs from beginning_balance",IF(AND(ISNUMBER(O143),O143&lt;0,ABS(L143-(Q143-IF(ISNUMBER(N143),N143,0)+IF(ISNUMBER(P143),P143,0)))&lt;=Summary!$B$2),"Negative realized loss not applied - check sign",IF(R143&lt;0,"Principal paid exceeds prior balance",IF(AND(L143&gt;Q143,NOT(ISNUMBER(P143))),"Balance increased but no Deferred_interest reported",IF(L143&gt;R143,"Reported balance higher than expected (missing increase/OC build)","Reported balance lower than expected (missing decrease)"))))),""))</f>
        <v/>
      </c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9"/>
      <c r="L144" s="9"/>
      <c r="M144" s="9"/>
      <c r="N144" s="9"/>
      <c r="O144" s="9"/>
      <c r="P144" s="9"/>
      <c r="Q144" s="9"/>
      <c r="R144" s="9" t="str">
        <f aca="false">IF(AND(A144&lt;&gt;"",ISNUMBER(Q144),ISNUMBER(L144)),ROUND(Q144-IF(ISNUMBER(N144),N144,0)-IF(ISNUMBER(O144),O144,0)+IF(ISNUMBER(P144),P144,0),2),"")</f>
        <v/>
      </c>
      <c r="S144" s="9" t="str">
        <f aca="false">IF(R144="","",ROUND(L144-R144,2))</f>
        <v/>
      </c>
      <c r="T144" s="8" t="str">
        <f aca="false">IF(A144="","",IF(S144="","BYPASS",IF(ABS(S144)&lt;=Summary!$B$2,"PASS","FAIL")))</f>
        <v/>
      </c>
      <c r="U144" s="8" t="str">
        <f aca="false">IF(T144="BYPASS",IF(NOT(ISNUMBER(Q144)),"PreV_ETB missing","End_tr_balance missing"),IF(T144="FAIL",IF(AND(ISNUMBER(K144),ISNUMBER(L144),ABS(L144-(K144-IF(ISNUMBER(N144),N144,0)-IF(ISNUMBER(O144),O144,0)+IF(ISNUMBER(P144),P144,0)))&lt;=Summary!$B$2),"Passes using beginning_balance - PreV_ETB differs from beginning_balance",IF(AND(ISNUMBER(O144),O144&lt;0,ABS(L144-(Q144-IF(ISNUMBER(N144),N144,0)+IF(ISNUMBER(P144),P144,0)))&lt;=Summary!$B$2),"Negative realized loss not applied - check sign",IF(R144&lt;0,"Principal paid exceeds prior balance",IF(AND(L144&gt;Q144,NOT(ISNUMBER(P144))),"Balance increased but no Deferred_interest reported",IF(L144&gt;R144,"Reported balance higher than expected (missing increase/OC build)","Reported balance lower than expected (missing decrease)"))))),""))</f>
        <v/>
      </c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9"/>
      <c r="L145" s="9"/>
      <c r="M145" s="9"/>
      <c r="N145" s="9"/>
      <c r="O145" s="9"/>
      <c r="P145" s="9"/>
      <c r="Q145" s="9"/>
      <c r="R145" s="9" t="str">
        <f aca="false">IF(AND(A145&lt;&gt;"",ISNUMBER(Q145),ISNUMBER(L145)),ROUND(Q145-IF(ISNUMBER(N145),N145,0)-IF(ISNUMBER(O145),O145,0)+IF(ISNUMBER(P145),P145,0),2),"")</f>
        <v/>
      </c>
      <c r="S145" s="9" t="str">
        <f aca="false">IF(R145="","",ROUND(L145-R145,2))</f>
        <v/>
      </c>
      <c r="T145" s="8" t="str">
        <f aca="false">IF(A145="","",IF(S145="","BYPASS",IF(ABS(S145)&lt;=Summary!$B$2,"PASS","FAIL")))</f>
        <v/>
      </c>
      <c r="U145" s="8" t="str">
        <f aca="false">IF(T145="BYPASS",IF(NOT(ISNUMBER(Q145)),"PreV_ETB missing","End_tr_balance missing"),IF(T145="FAIL",IF(AND(ISNUMBER(K145),ISNUMBER(L145),ABS(L145-(K145-IF(ISNUMBER(N145),N145,0)-IF(ISNUMBER(O145),O145,0)+IF(ISNUMBER(P145),P145,0)))&lt;=Summary!$B$2),"Passes using beginning_balance - PreV_ETB differs from beginning_balance",IF(AND(ISNUMBER(O145),O145&lt;0,ABS(L145-(Q145-IF(ISNUMBER(N145),N145,0)+IF(ISNUMBER(P145),P145,0)))&lt;=Summary!$B$2),"Negative realized loss not applied - check sign",IF(R145&lt;0,"Principal paid exceeds prior balance",IF(AND(L145&gt;Q145,NOT(ISNUMBER(P145))),"Balance increased but no Deferred_interest reported",IF(L145&gt;R145,"Reported balance higher than expected (missing increase/OC build)","Reported balance lower than expected (missing decrease)"))))),""))</f>
        <v/>
      </c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9"/>
      <c r="L146" s="9"/>
      <c r="M146" s="9"/>
      <c r="N146" s="9"/>
      <c r="O146" s="9"/>
      <c r="P146" s="9"/>
      <c r="Q146" s="9"/>
      <c r="R146" s="9" t="str">
        <f aca="false">IF(AND(A146&lt;&gt;"",ISNUMBER(Q146),ISNUMBER(L146)),ROUND(Q146-IF(ISNUMBER(N146),N146,0)-IF(ISNUMBER(O146),O146,0)+IF(ISNUMBER(P146),P146,0),2),"")</f>
        <v/>
      </c>
      <c r="S146" s="9" t="str">
        <f aca="false">IF(R146="","",ROUND(L146-R146,2))</f>
        <v/>
      </c>
      <c r="T146" s="8" t="str">
        <f aca="false">IF(A146="","",IF(S146="","BYPASS",IF(ABS(S146)&lt;=Summary!$B$2,"PASS","FAIL")))</f>
        <v/>
      </c>
      <c r="U146" s="8" t="str">
        <f aca="false">IF(T146="BYPASS",IF(NOT(ISNUMBER(Q146)),"PreV_ETB missing","End_tr_balance missing"),IF(T146="FAIL",IF(AND(ISNUMBER(K146),ISNUMBER(L146),ABS(L146-(K146-IF(ISNUMBER(N146),N146,0)-IF(ISNUMBER(O146),O146,0)+IF(ISNUMBER(P146),P146,0)))&lt;=Summary!$B$2),"Passes using beginning_balance - PreV_ETB differs from beginning_balance",IF(AND(ISNUMBER(O146),O146&lt;0,ABS(L146-(Q146-IF(ISNUMBER(N146),N146,0)+IF(ISNUMBER(P146),P146,0)))&lt;=Summary!$B$2),"Negative realized loss not applied - check sign",IF(R146&lt;0,"Principal paid exceeds prior balance",IF(AND(L146&gt;Q146,NOT(ISNUMBER(P146))),"Balance increased but no Deferred_interest reported",IF(L146&gt;R146,"Reported balance higher than expected (missing increase/OC build)","Reported balance lower than expected (missing decrease)"))))),""))</f>
        <v/>
      </c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9"/>
      <c r="L147" s="9"/>
      <c r="M147" s="9"/>
      <c r="N147" s="9"/>
      <c r="O147" s="9"/>
      <c r="P147" s="9"/>
      <c r="Q147" s="9"/>
      <c r="R147" s="9" t="str">
        <f aca="false">IF(AND(A147&lt;&gt;"",ISNUMBER(Q147),ISNUMBER(L147)),ROUND(Q147-IF(ISNUMBER(N147),N147,0)-IF(ISNUMBER(O147),O147,0)+IF(ISNUMBER(P147),P147,0),2),"")</f>
        <v/>
      </c>
      <c r="S147" s="9" t="str">
        <f aca="false">IF(R147="","",ROUND(L147-R147,2))</f>
        <v/>
      </c>
      <c r="T147" s="8" t="str">
        <f aca="false">IF(A147="","",IF(S147="","BYPASS",IF(ABS(S147)&lt;=Summary!$B$2,"PASS","FAIL")))</f>
        <v/>
      </c>
      <c r="U147" s="8" t="str">
        <f aca="false">IF(T147="BYPASS",IF(NOT(ISNUMBER(Q147)),"PreV_ETB missing","End_tr_balance missing"),IF(T147="FAIL",IF(AND(ISNUMBER(K147),ISNUMBER(L147),ABS(L147-(K147-IF(ISNUMBER(N147),N147,0)-IF(ISNUMBER(O147),O147,0)+IF(ISNUMBER(P147),P147,0)))&lt;=Summary!$B$2),"Passes using beginning_balance - PreV_ETB differs from beginning_balance",IF(AND(ISNUMBER(O147),O147&lt;0,ABS(L147-(Q147-IF(ISNUMBER(N147),N147,0)+IF(ISNUMBER(P147),P147,0)))&lt;=Summary!$B$2),"Negative realized loss not applied - check sign",IF(R147&lt;0,"Principal paid exceeds prior balance",IF(AND(L147&gt;Q147,NOT(ISNUMBER(P147))),"Balance increased but no Deferred_interest reported",IF(L147&gt;R147,"Reported balance higher than expected (missing increase/OC build)","Reported balance lower than expected (missing decrease)"))))),""))</f>
        <v/>
      </c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9"/>
      <c r="L148" s="9"/>
      <c r="M148" s="9"/>
      <c r="N148" s="9"/>
      <c r="O148" s="9"/>
      <c r="P148" s="9"/>
      <c r="Q148" s="9"/>
      <c r="R148" s="9" t="str">
        <f aca="false">IF(AND(A148&lt;&gt;"",ISNUMBER(Q148),ISNUMBER(L148)),ROUND(Q148-IF(ISNUMBER(N148),N148,0)-IF(ISNUMBER(O148),O148,0)+IF(ISNUMBER(P148),P148,0),2),"")</f>
        <v/>
      </c>
      <c r="S148" s="9" t="str">
        <f aca="false">IF(R148="","",ROUND(L148-R148,2))</f>
        <v/>
      </c>
      <c r="T148" s="8" t="str">
        <f aca="false">IF(A148="","",IF(S148="","BYPASS",IF(ABS(S148)&lt;=Summary!$B$2,"PASS","FAIL")))</f>
        <v/>
      </c>
      <c r="U148" s="8" t="str">
        <f aca="false">IF(T148="BYPASS",IF(NOT(ISNUMBER(Q148)),"PreV_ETB missing","End_tr_balance missing"),IF(T148="FAIL",IF(AND(ISNUMBER(K148),ISNUMBER(L148),ABS(L148-(K148-IF(ISNUMBER(N148),N148,0)-IF(ISNUMBER(O148),O148,0)+IF(ISNUMBER(P148),P148,0)))&lt;=Summary!$B$2),"Passes using beginning_balance - PreV_ETB differs from beginning_balance",IF(AND(ISNUMBER(O148),O148&lt;0,ABS(L148-(Q148-IF(ISNUMBER(N148),N148,0)+IF(ISNUMBER(P148),P148,0)))&lt;=Summary!$B$2),"Negative realized loss not applied - check sign",IF(R148&lt;0,"Principal paid exceeds prior balance",IF(AND(L148&gt;Q148,NOT(ISNUMBER(P148))),"Balance increased but no Deferred_interest reported",IF(L148&gt;R148,"Reported balance higher than expected (missing increase/OC build)","Reported balance lower than expected (missing decrease)"))))),""))</f>
        <v/>
      </c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9"/>
      <c r="L149" s="9"/>
      <c r="M149" s="9"/>
      <c r="N149" s="9"/>
      <c r="O149" s="9"/>
      <c r="P149" s="9"/>
      <c r="Q149" s="9"/>
      <c r="R149" s="9" t="str">
        <f aca="false">IF(AND(A149&lt;&gt;"",ISNUMBER(Q149),ISNUMBER(L149)),ROUND(Q149-IF(ISNUMBER(N149),N149,0)-IF(ISNUMBER(O149),O149,0)+IF(ISNUMBER(P149),P149,0),2),"")</f>
        <v/>
      </c>
      <c r="S149" s="9" t="str">
        <f aca="false">IF(R149="","",ROUND(L149-R149,2))</f>
        <v/>
      </c>
      <c r="T149" s="8" t="str">
        <f aca="false">IF(A149="","",IF(S149="","BYPASS",IF(ABS(S149)&lt;=Summary!$B$2,"PASS","FAIL")))</f>
        <v/>
      </c>
      <c r="U149" s="8" t="str">
        <f aca="false">IF(T149="BYPASS",IF(NOT(ISNUMBER(Q149)),"PreV_ETB missing","End_tr_balance missing"),IF(T149="FAIL",IF(AND(ISNUMBER(K149),ISNUMBER(L149),ABS(L149-(K149-IF(ISNUMBER(N149),N149,0)-IF(ISNUMBER(O149),O149,0)+IF(ISNUMBER(P149),P149,0)))&lt;=Summary!$B$2),"Passes using beginning_balance - PreV_ETB differs from beginning_balance",IF(AND(ISNUMBER(O149),O149&lt;0,ABS(L149-(Q149-IF(ISNUMBER(N149),N149,0)+IF(ISNUMBER(P149),P149,0)))&lt;=Summary!$B$2),"Negative realized loss not applied - check sign",IF(R149&lt;0,"Principal paid exceeds prior balance",IF(AND(L149&gt;Q149,NOT(ISNUMBER(P149))),"Balance increased but no Deferred_interest reported",IF(L149&gt;R149,"Reported balance higher than expected (missing increase/OC build)","Reported balance lower than expected (missing decrease)"))))),""))</f>
        <v/>
      </c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9"/>
      <c r="L150" s="9"/>
      <c r="M150" s="9"/>
      <c r="N150" s="9"/>
      <c r="O150" s="9"/>
      <c r="P150" s="9"/>
      <c r="Q150" s="9"/>
      <c r="R150" s="9" t="str">
        <f aca="false">IF(AND(A150&lt;&gt;"",ISNUMBER(Q150),ISNUMBER(L150)),ROUND(Q150-IF(ISNUMBER(N150),N150,0)-IF(ISNUMBER(O150),O150,0)+IF(ISNUMBER(P150),P150,0),2),"")</f>
        <v/>
      </c>
      <c r="S150" s="9" t="str">
        <f aca="false">IF(R150="","",ROUND(L150-R150,2))</f>
        <v/>
      </c>
      <c r="T150" s="8" t="str">
        <f aca="false">IF(A150="","",IF(S150="","BYPASS",IF(ABS(S150)&lt;=Summary!$B$2,"PASS","FAIL")))</f>
        <v/>
      </c>
      <c r="U150" s="8" t="str">
        <f aca="false">IF(T150="BYPASS",IF(NOT(ISNUMBER(Q150)),"PreV_ETB missing","End_tr_balance missing"),IF(T150="FAIL",IF(AND(ISNUMBER(K150),ISNUMBER(L150),ABS(L150-(K150-IF(ISNUMBER(N150),N150,0)-IF(ISNUMBER(O150),O150,0)+IF(ISNUMBER(P150),P150,0)))&lt;=Summary!$B$2),"Passes using beginning_balance - PreV_ETB differs from beginning_balance",IF(AND(ISNUMBER(O150),O150&lt;0,ABS(L150-(Q150-IF(ISNUMBER(N150),N150,0)+IF(ISNUMBER(P150),P150,0)))&lt;=Summary!$B$2),"Negative realized loss not applied - check sign",IF(R150&lt;0,"Principal paid exceeds prior balance",IF(AND(L150&gt;Q150,NOT(ISNUMBER(P150))),"Balance increased but no Deferred_interest reported",IF(L150&gt;R150,"Reported balance higher than expected (missing increase/OC build)","Reported balance lower than expected (missing decrease)"))))),""))</f>
        <v/>
      </c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9"/>
      <c r="L151" s="9"/>
      <c r="M151" s="9"/>
      <c r="N151" s="9"/>
      <c r="O151" s="9"/>
      <c r="P151" s="9"/>
      <c r="Q151" s="9"/>
      <c r="R151" s="9" t="str">
        <f aca="false">IF(AND(A151&lt;&gt;"",ISNUMBER(Q151),ISNUMBER(L151)),ROUND(Q151-IF(ISNUMBER(N151),N151,0)-IF(ISNUMBER(O151),O151,0)+IF(ISNUMBER(P151),P151,0),2),"")</f>
        <v/>
      </c>
      <c r="S151" s="9" t="str">
        <f aca="false">IF(R151="","",ROUND(L151-R151,2))</f>
        <v/>
      </c>
      <c r="T151" s="8" t="str">
        <f aca="false">IF(A151="","",IF(S151="","BYPASS",IF(ABS(S151)&lt;=Summary!$B$2,"PASS","FAIL")))</f>
        <v/>
      </c>
      <c r="U151" s="8" t="str">
        <f aca="false">IF(T151="BYPASS",IF(NOT(ISNUMBER(Q151)),"PreV_ETB missing","End_tr_balance missing"),IF(T151="FAIL",IF(AND(ISNUMBER(K151),ISNUMBER(L151),ABS(L151-(K151-IF(ISNUMBER(N151),N151,0)-IF(ISNUMBER(O151),O151,0)+IF(ISNUMBER(P151),P151,0)))&lt;=Summary!$B$2),"Passes using beginning_balance - PreV_ETB differs from beginning_balance",IF(AND(ISNUMBER(O151),O151&lt;0,ABS(L151-(Q151-IF(ISNUMBER(N151),N151,0)+IF(ISNUMBER(P151),P151,0)))&lt;=Summary!$B$2),"Negative realized loss not applied - check sign",IF(R151&lt;0,"Principal paid exceeds prior balance",IF(AND(L151&gt;Q151,NOT(ISNUMBER(P151))),"Balance increased but no Deferred_interest reported",IF(L151&gt;R151,"Reported balance higher than expected (missing increase/OC build)","Reported balance lower than expected (missing decrease)"))))),""))</f>
        <v/>
      </c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9"/>
      <c r="L152" s="9"/>
      <c r="M152" s="9"/>
      <c r="N152" s="9"/>
      <c r="O152" s="9"/>
      <c r="P152" s="9"/>
      <c r="Q152" s="9"/>
      <c r="R152" s="9" t="str">
        <f aca="false">IF(AND(A152&lt;&gt;"",ISNUMBER(Q152),ISNUMBER(L152)),ROUND(Q152-IF(ISNUMBER(N152),N152,0)-IF(ISNUMBER(O152),O152,0)+IF(ISNUMBER(P152),P152,0),2),"")</f>
        <v/>
      </c>
      <c r="S152" s="9" t="str">
        <f aca="false">IF(R152="","",ROUND(L152-R152,2))</f>
        <v/>
      </c>
      <c r="T152" s="8" t="str">
        <f aca="false">IF(A152="","",IF(S152="","BYPASS",IF(ABS(S152)&lt;=Summary!$B$2,"PASS","FAIL")))</f>
        <v/>
      </c>
      <c r="U152" s="8" t="str">
        <f aca="false">IF(T152="BYPASS",IF(NOT(ISNUMBER(Q152)),"PreV_ETB missing","End_tr_balance missing"),IF(T152="FAIL",IF(AND(ISNUMBER(K152),ISNUMBER(L152),ABS(L152-(K152-IF(ISNUMBER(N152),N152,0)-IF(ISNUMBER(O152),O152,0)+IF(ISNUMBER(P152),P152,0)))&lt;=Summary!$B$2),"Passes using beginning_balance - PreV_ETB differs from beginning_balance",IF(AND(ISNUMBER(O152),O152&lt;0,ABS(L152-(Q152-IF(ISNUMBER(N152),N152,0)+IF(ISNUMBER(P152),P152,0)))&lt;=Summary!$B$2),"Negative realized loss not applied - check sign",IF(R152&lt;0,"Principal paid exceeds prior balance",IF(AND(L152&gt;Q152,NOT(ISNUMBER(P152))),"Balance increased but no Deferred_interest reported",IF(L152&gt;R152,"Reported balance higher than expected (missing increase/OC build)","Reported balance lower than expected (missing decrease)"))))),""))</f>
        <v/>
      </c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9"/>
      <c r="L153" s="9"/>
      <c r="M153" s="9"/>
      <c r="N153" s="9"/>
      <c r="O153" s="9"/>
      <c r="P153" s="9"/>
      <c r="Q153" s="9"/>
      <c r="R153" s="9" t="str">
        <f aca="false">IF(AND(A153&lt;&gt;"",ISNUMBER(Q153),ISNUMBER(L153)),ROUND(Q153-IF(ISNUMBER(N153),N153,0)-IF(ISNUMBER(O153),O153,0)+IF(ISNUMBER(P153),P153,0),2),"")</f>
        <v/>
      </c>
      <c r="S153" s="9" t="str">
        <f aca="false">IF(R153="","",ROUND(L153-R153,2))</f>
        <v/>
      </c>
      <c r="T153" s="8" t="str">
        <f aca="false">IF(A153="","",IF(S153="","BYPASS",IF(ABS(S153)&lt;=Summary!$B$2,"PASS","FAIL")))</f>
        <v/>
      </c>
      <c r="U153" s="8" t="str">
        <f aca="false">IF(T153="BYPASS",IF(NOT(ISNUMBER(Q153)),"PreV_ETB missing","End_tr_balance missing"),IF(T153="FAIL",IF(AND(ISNUMBER(K153),ISNUMBER(L153),ABS(L153-(K153-IF(ISNUMBER(N153),N153,0)-IF(ISNUMBER(O153),O153,0)+IF(ISNUMBER(P153),P153,0)))&lt;=Summary!$B$2),"Passes using beginning_balance - PreV_ETB differs from beginning_balance",IF(AND(ISNUMBER(O153),O153&lt;0,ABS(L153-(Q153-IF(ISNUMBER(N153),N153,0)+IF(ISNUMBER(P153),P153,0)))&lt;=Summary!$B$2),"Negative realized loss not applied - check sign",IF(R153&lt;0,"Principal paid exceeds prior balance",IF(AND(L153&gt;Q153,NOT(ISNUMBER(P153))),"Balance increased but no Deferred_interest reported",IF(L153&gt;R153,"Reported balance higher than expected (missing increase/OC build)","Reported balance lower than expected (missing decrease)"))))),""))</f>
        <v/>
      </c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9"/>
      <c r="L154" s="9"/>
      <c r="M154" s="9"/>
      <c r="N154" s="9"/>
      <c r="O154" s="9"/>
      <c r="P154" s="9"/>
      <c r="Q154" s="9"/>
      <c r="R154" s="9" t="str">
        <f aca="false">IF(AND(A154&lt;&gt;"",ISNUMBER(Q154),ISNUMBER(L154)),ROUND(Q154-IF(ISNUMBER(N154),N154,0)-IF(ISNUMBER(O154),O154,0)+IF(ISNUMBER(P154),P154,0),2),"")</f>
        <v/>
      </c>
      <c r="S154" s="9" t="str">
        <f aca="false">IF(R154="","",ROUND(L154-R154,2))</f>
        <v/>
      </c>
      <c r="T154" s="8" t="str">
        <f aca="false">IF(A154="","",IF(S154="","BYPASS",IF(ABS(S154)&lt;=Summary!$B$2,"PASS","FAIL")))</f>
        <v/>
      </c>
      <c r="U154" s="8" t="str">
        <f aca="false">IF(T154="BYPASS",IF(NOT(ISNUMBER(Q154)),"PreV_ETB missing","End_tr_balance missing"),IF(T154="FAIL",IF(AND(ISNUMBER(K154),ISNUMBER(L154),ABS(L154-(K154-IF(ISNUMBER(N154),N154,0)-IF(ISNUMBER(O154),O154,0)+IF(ISNUMBER(P154),P154,0)))&lt;=Summary!$B$2),"Passes using beginning_balance - PreV_ETB differs from beginning_balance",IF(AND(ISNUMBER(O154),O154&lt;0,ABS(L154-(Q154-IF(ISNUMBER(N154),N154,0)+IF(ISNUMBER(P154),P154,0)))&lt;=Summary!$B$2),"Negative realized loss not applied - check sign",IF(R154&lt;0,"Principal paid exceeds prior balance",IF(AND(L154&gt;Q154,NOT(ISNUMBER(P154))),"Balance increased but no Deferred_interest reported",IF(L154&gt;R154,"Reported balance higher than expected (missing increase/OC build)","Reported balance lower than expected (missing decrease)"))))),""))</f>
        <v/>
      </c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9"/>
      <c r="L155" s="9"/>
      <c r="M155" s="9"/>
      <c r="N155" s="9"/>
      <c r="O155" s="9"/>
      <c r="P155" s="9"/>
      <c r="Q155" s="9"/>
      <c r="R155" s="9" t="str">
        <f aca="false">IF(AND(A155&lt;&gt;"",ISNUMBER(Q155),ISNUMBER(L155)),ROUND(Q155-IF(ISNUMBER(N155),N155,0)-IF(ISNUMBER(O155),O155,0)+IF(ISNUMBER(P155),P155,0),2),"")</f>
        <v/>
      </c>
      <c r="S155" s="9" t="str">
        <f aca="false">IF(R155="","",ROUND(L155-R155,2))</f>
        <v/>
      </c>
      <c r="T155" s="8" t="str">
        <f aca="false">IF(A155="","",IF(S155="","BYPASS",IF(ABS(S155)&lt;=Summary!$B$2,"PASS","FAIL")))</f>
        <v/>
      </c>
      <c r="U155" s="8" t="str">
        <f aca="false">IF(T155="BYPASS",IF(NOT(ISNUMBER(Q155)),"PreV_ETB missing","End_tr_balance missing"),IF(T155="FAIL",IF(AND(ISNUMBER(K155),ISNUMBER(L155),ABS(L155-(K155-IF(ISNUMBER(N155),N155,0)-IF(ISNUMBER(O155),O155,0)+IF(ISNUMBER(P155),P155,0)))&lt;=Summary!$B$2),"Passes using beginning_balance - PreV_ETB differs from beginning_balance",IF(AND(ISNUMBER(O155),O155&lt;0,ABS(L155-(Q155-IF(ISNUMBER(N155),N155,0)+IF(ISNUMBER(P155),P155,0)))&lt;=Summary!$B$2),"Negative realized loss not applied - check sign",IF(R155&lt;0,"Principal paid exceeds prior balance",IF(AND(L155&gt;Q155,NOT(ISNUMBER(P155))),"Balance increased but no Deferred_interest reported",IF(L155&gt;R155,"Reported balance higher than expected (missing increase/OC build)","Reported balance lower than expected (missing decrease)"))))),""))</f>
        <v/>
      </c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9"/>
      <c r="L156" s="9"/>
      <c r="M156" s="9"/>
      <c r="N156" s="9"/>
      <c r="O156" s="9"/>
      <c r="P156" s="9"/>
      <c r="Q156" s="9"/>
      <c r="R156" s="9" t="str">
        <f aca="false">IF(AND(A156&lt;&gt;"",ISNUMBER(Q156),ISNUMBER(L156)),ROUND(Q156-IF(ISNUMBER(N156),N156,0)-IF(ISNUMBER(O156),O156,0)+IF(ISNUMBER(P156),P156,0),2),"")</f>
        <v/>
      </c>
      <c r="S156" s="9" t="str">
        <f aca="false">IF(R156="","",ROUND(L156-R156,2))</f>
        <v/>
      </c>
      <c r="T156" s="8" t="str">
        <f aca="false">IF(A156="","",IF(S156="","BYPASS",IF(ABS(S156)&lt;=Summary!$B$2,"PASS","FAIL")))</f>
        <v/>
      </c>
      <c r="U156" s="8" t="str">
        <f aca="false">IF(T156="BYPASS",IF(NOT(ISNUMBER(Q156)),"PreV_ETB missing","End_tr_balance missing"),IF(T156="FAIL",IF(AND(ISNUMBER(K156),ISNUMBER(L156),ABS(L156-(K156-IF(ISNUMBER(N156),N156,0)-IF(ISNUMBER(O156),O156,0)+IF(ISNUMBER(P156),P156,0)))&lt;=Summary!$B$2),"Passes using beginning_balance - PreV_ETB differs from beginning_balance",IF(AND(ISNUMBER(O156),O156&lt;0,ABS(L156-(Q156-IF(ISNUMBER(N156),N156,0)+IF(ISNUMBER(P156),P156,0)))&lt;=Summary!$B$2),"Negative realized loss not applied - check sign",IF(R156&lt;0,"Principal paid exceeds prior balance",IF(AND(L156&gt;Q156,NOT(ISNUMBER(P156))),"Balance increased but no Deferred_interest reported",IF(L156&gt;R156,"Reported balance higher than expected (missing increase/OC build)","Reported balance lower than expected (missing decrease)"))))),""))</f>
        <v/>
      </c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9"/>
      <c r="L157" s="9"/>
      <c r="M157" s="9"/>
      <c r="N157" s="9"/>
      <c r="O157" s="9"/>
      <c r="P157" s="9"/>
      <c r="Q157" s="9"/>
      <c r="R157" s="9" t="str">
        <f aca="false">IF(AND(A157&lt;&gt;"",ISNUMBER(Q157),ISNUMBER(L157)),ROUND(Q157-IF(ISNUMBER(N157),N157,0)-IF(ISNUMBER(O157),O157,0)+IF(ISNUMBER(P157),P157,0),2),"")</f>
        <v/>
      </c>
      <c r="S157" s="9" t="str">
        <f aca="false">IF(R157="","",ROUND(L157-R157,2))</f>
        <v/>
      </c>
      <c r="T157" s="8" t="str">
        <f aca="false">IF(A157="","",IF(S157="","BYPASS",IF(ABS(S157)&lt;=Summary!$B$2,"PASS","FAIL")))</f>
        <v/>
      </c>
      <c r="U157" s="8" t="str">
        <f aca="false">IF(T157="BYPASS",IF(NOT(ISNUMBER(Q157)),"PreV_ETB missing","End_tr_balance missing"),IF(T157="FAIL",IF(AND(ISNUMBER(K157),ISNUMBER(L157),ABS(L157-(K157-IF(ISNUMBER(N157),N157,0)-IF(ISNUMBER(O157),O157,0)+IF(ISNUMBER(P157),P157,0)))&lt;=Summary!$B$2),"Passes using beginning_balance - PreV_ETB differs from beginning_balance",IF(AND(ISNUMBER(O157),O157&lt;0,ABS(L157-(Q157-IF(ISNUMBER(N157),N157,0)+IF(ISNUMBER(P157),P157,0)))&lt;=Summary!$B$2),"Negative realized loss not applied - check sign",IF(R157&lt;0,"Principal paid exceeds prior balance",IF(AND(L157&gt;Q157,NOT(ISNUMBER(P157))),"Balance increased but no Deferred_interest reported",IF(L157&gt;R157,"Reported balance higher than expected (missing increase/OC build)","Reported balance lower than expected (missing decrease)"))))),""))</f>
        <v/>
      </c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9"/>
      <c r="L158" s="9"/>
      <c r="M158" s="9"/>
      <c r="N158" s="9"/>
      <c r="O158" s="9"/>
      <c r="P158" s="9"/>
      <c r="Q158" s="9"/>
      <c r="R158" s="9" t="str">
        <f aca="false">IF(AND(A158&lt;&gt;"",ISNUMBER(Q158),ISNUMBER(L158)),ROUND(Q158-IF(ISNUMBER(N158),N158,0)-IF(ISNUMBER(O158),O158,0)+IF(ISNUMBER(P158),P158,0),2),"")</f>
        <v/>
      </c>
      <c r="S158" s="9" t="str">
        <f aca="false">IF(R158="","",ROUND(L158-R158,2))</f>
        <v/>
      </c>
      <c r="T158" s="8" t="str">
        <f aca="false">IF(A158="","",IF(S158="","BYPASS",IF(ABS(S158)&lt;=Summary!$B$2,"PASS","FAIL")))</f>
        <v/>
      </c>
      <c r="U158" s="8" t="str">
        <f aca="false">IF(T158="BYPASS",IF(NOT(ISNUMBER(Q158)),"PreV_ETB missing","End_tr_balance missing"),IF(T158="FAIL",IF(AND(ISNUMBER(K158),ISNUMBER(L158),ABS(L158-(K158-IF(ISNUMBER(N158),N158,0)-IF(ISNUMBER(O158),O158,0)+IF(ISNUMBER(P158),P158,0)))&lt;=Summary!$B$2),"Passes using beginning_balance - PreV_ETB differs from beginning_balance",IF(AND(ISNUMBER(O158),O158&lt;0,ABS(L158-(Q158-IF(ISNUMBER(N158),N158,0)+IF(ISNUMBER(P158),P158,0)))&lt;=Summary!$B$2),"Negative realized loss not applied - check sign",IF(R158&lt;0,"Principal paid exceeds prior balance",IF(AND(L158&gt;Q158,NOT(ISNUMBER(P158))),"Balance increased but no Deferred_interest reported",IF(L158&gt;R158,"Reported balance higher than expected (missing increase/OC build)","Reported balance lower than expected (missing decrease)"))))),""))</f>
        <v/>
      </c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9"/>
      <c r="L159" s="9"/>
      <c r="M159" s="9"/>
      <c r="N159" s="9"/>
      <c r="O159" s="9"/>
      <c r="P159" s="9"/>
      <c r="Q159" s="9"/>
      <c r="R159" s="9" t="str">
        <f aca="false">IF(AND(A159&lt;&gt;"",ISNUMBER(Q159),ISNUMBER(L159)),ROUND(Q159-IF(ISNUMBER(N159),N159,0)-IF(ISNUMBER(O159),O159,0)+IF(ISNUMBER(P159),P159,0),2),"")</f>
        <v/>
      </c>
      <c r="S159" s="9" t="str">
        <f aca="false">IF(R159="","",ROUND(L159-R159,2))</f>
        <v/>
      </c>
      <c r="T159" s="8" t="str">
        <f aca="false">IF(A159="","",IF(S159="","BYPASS",IF(ABS(S159)&lt;=Summary!$B$2,"PASS","FAIL")))</f>
        <v/>
      </c>
      <c r="U159" s="8" t="str">
        <f aca="false">IF(T159="BYPASS",IF(NOT(ISNUMBER(Q159)),"PreV_ETB missing","End_tr_balance missing"),IF(T159="FAIL",IF(AND(ISNUMBER(K159),ISNUMBER(L159),ABS(L159-(K159-IF(ISNUMBER(N159),N159,0)-IF(ISNUMBER(O159),O159,0)+IF(ISNUMBER(P159),P159,0)))&lt;=Summary!$B$2),"Passes using beginning_balance - PreV_ETB differs from beginning_balance",IF(AND(ISNUMBER(O159),O159&lt;0,ABS(L159-(Q159-IF(ISNUMBER(N159),N159,0)+IF(ISNUMBER(P159),P159,0)))&lt;=Summary!$B$2),"Negative realized loss not applied - check sign",IF(R159&lt;0,"Principal paid exceeds prior balance",IF(AND(L159&gt;Q159,NOT(ISNUMBER(P159))),"Balance increased but no Deferred_interest reported",IF(L159&gt;R159,"Reported balance higher than expected (missing increase/OC build)","Reported balance lower than expected (missing decrease)"))))),""))</f>
        <v/>
      </c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9"/>
      <c r="L160" s="9"/>
      <c r="M160" s="9"/>
      <c r="N160" s="9"/>
      <c r="O160" s="9"/>
      <c r="P160" s="9"/>
      <c r="Q160" s="9"/>
      <c r="R160" s="9" t="str">
        <f aca="false">IF(AND(A160&lt;&gt;"",ISNUMBER(Q160),ISNUMBER(L160)),ROUND(Q160-IF(ISNUMBER(N160),N160,0)-IF(ISNUMBER(O160),O160,0)+IF(ISNUMBER(P160),P160,0),2),"")</f>
        <v/>
      </c>
      <c r="S160" s="9" t="str">
        <f aca="false">IF(R160="","",ROUND(L160-R160,2))</f>
        <v/>
      </c>
      <c r="T160" s="8" t="str">
        <f aca="false">IF(A160="","",IF(S160="","BYPASS",IF(ABS(S160)&lt;=Summary!$B$2,"PASS","FAIL")))</f>
        <v/>
      </c>
      <c r="U160" s="8" t="str">
        <f aca="false">IF(T160="BYPASS",IF(NOT(ISNUMBER(Q160)),"PreV_ETB missing","End_tr_balance missing"),IF(T160="FAIL",IF(AND(ISNUMBER(K160),ISNUMBER(L160),ABS(L160-(K160-IF(ISNUMBER(N160),N160,0)-IF(ISNUMBER(O160),O160,0)+IF(ISNUMBER(P160),P160,0)))&lt;=Summary!$B$2),"Passes using beginning_balance - PreV_ETB differs from beginning_balance",IF(AND(ISNUMBER(O160),O160&lt;0,ABS(L160-(Q160-IF(ISNUMBER(N160),N160,0)+IF(ISNUMBER(P160),P160,0)))&lt;=Summary!$B$2),"Negative realized loss not applied - check sign",IF(R160&lt;0,"Principal paid exceeds prior balance",IF(AND(L160&gt;Q160,NOT(ISNUMBER(P160))),"Balance increased but no Deferred_interest reported",IF(L160&gt;R160,"Reported balance higher than expected (missing increase/OC build)","Reported balance lower than expected (missing decrease)"))))),""))</f>
        <v/>
      </c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9"/>
      <c r="L161" s="9"/>
      <c r="M161" s="9"/>
      <c r="N161" s="9"/>
      <c r="O161" s="9"/>
      <c r="P161" s="9"/>
      <c r="Q161" s="9"/>
      <c r="R161" s="9" t="str">
        <f aca="false">IF(AND(A161&lt;&gt;"",ISNUMBER(Q161),ISNUMBER(L161)),ROUND(Q161-IF(ISNUMBER(N161),N161,0)-IF(ISNUMBER(O161),O161,0)+IF(ISNUMBER(P161),P161,0),2),"")</f>
        <v/>
      </c>
      <c r="S161" s="9" t="str">
        <f aca="false">IF(R161="","",ROUND(L161-R161,2))</f>
        <v/>
      </c>
      <c r="T161" s="8" t="str">
        <f aca="false">IF(A161="","",IF(S161="","BYPASS",IF(ABS(S161)&lt;=Summary!$B$2,"PASS","FAIL")))</f>
        <v/>
      </c>
      <c r="U161" s="8" t="str">
        <f aca="false">IF(T161="BYPASS",IF(NOT(ISNUMBER(Q161)),"PreV_ETB missing","End_tr_balance missing"),IF(T161="FAIL",IF(AND(ISNUMBER(K161),ISNUMBER(L161),ABS(L161-(K161-IF(ISNUMBER(N161),N161,0)-IF(ISNUMBER(O161),O161,0)+IF(ISNUMBER(P161),P161,0)))&lt;=Summary!$B$2),"Passes using beginning_balance - PreV_ETB differs from beginning_balance",IF(AND(ISNUMBER(O161),O161&lt;0,ABS(L161-(Q161-IF(ISNUMBER(N161),N161,0)+IF(ISNUMBER(P161),P161,0)))&lt;=Summary!$B$2),"Negative realized loss not applied - check sign",IF(R161&lt;0,"Principal paid exceeds prior balance",IF(AND(L161&gt;Q161,NOT(ISNUMBER(P161))),"Balance increased but no Deferred_interest reported",IF(L161&gt;R161,"Reported balance higher than expected (missing increase/OC build)","Reported balance lower than expected (missing decrease)"))))),""))</f>
        <v/>
      </c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9"/>
      <c r="L162" s="9"/>
      <c r="M162" s="9"/>
      <c r="N162" s="9"/>
      <c r="O162" s="9"/>
      <c r="P162" s="9"/>
      <c r="Q162" s="9"/>
      <c r="R162" s="9" t="str">
        <f aca="false">IF(AND(A162&lt;&gt;"",ISNUMBER(Q162),ISNUMBER(L162)),ROUND(Q162-IF(ISNUMBER(N162),N162,0)-IF(ISNUMBER(O162),O162,0)+IF(ISNUMBER(P162),P162,0),2),"")</f>
        <v/>
      </c>
      <c r="S162" s="9" t="str">
        <f aca="false">IF(R162="","",ROUND(L162-R162,2))</f>
        <v/>
      </c>
      <c r="T162" s="8" t="str">
        <f aca="false">IF(A162="","",IF(S162="","BYPASS",IF(ABS(S162)&lt;=Summary!$B$2,"PASS","FAIL")))</f>
        <v/>
      </c>
      <c r="U162" s="8" t="str">
        <f aca="false">IF(T162="BYPASS",IF(NOT(ISNUMBER(Q162)),"PreV_ETB missing","End_tr_balance missing"),IF(T162="FAIL",IF(AND(ISNUMBER(K162),ISNUMBER(L162),ABS(L162-(K162-IF(ISNUMBER(N162),N162,0)-IF(ISNUMBER(O162),O162,0)+IF(ISNUMBER(P162),P162,0)))&lt;=Summary!$B$2),"Passes using beginning_balance - PreV_ETB differs from beginning_balance",IF(AND(ISNUMBER(O162),O162&lt;0,ABS(L162-(Q162-IF(ISNUMBER(N162),N162,0)+IF(ISNUMBER(P162),P162,0)))&lt;=Summary!$B$2),"Negative realized loss not applied - check sign",IF(R162&lt;0,"Principal paid exceeds prior balance",IF(AND(L162&gt;Q162,NOT(ISNUMBER(P162))),"Balance increased but no Deferred_interest reported",IF(L162&gt;R162,"Reported balance higher than expected (missing increase/OC build)","Reported balance lower than expected (missing decrease)"))))),""))</f>
        <v/>
      </c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9"/>
      <c r="L163" s="9"/>
      <c r="M163" s="9"/>
      <c r="N163" s="9"/>
      <c r="O163" s="9"/>
      <c r="P163" s="9"/>
      <c r="Q163" s="9"/>
      <c r="R163" s="9" t="str">
        <f aca="false">IF(AND(A163&lt;&gt;"",ISNUMBER(Q163),ISNUMBER(L163)),ROUND(Q163-IF(ISNUMBER(N163),N163,0)-IF(ISNUMBER(O163),O163,0)+IF(ISNUMBER(P163),P163,0),2),"")</f>
        <v/>
      </c>
      <c r="S163" s="9" t="str">
        <f aca="false">IF(R163="","",ROUND(L163-R163,2))</f>
        <v/>
      </c>
      <c r="T163" s="8" t="str">
        <f aca="false">IF(A163="","",IF(S163="","BYPASS",IF(ABS(S163)&lt;=Summary!$B$2,"PASS","FAIL")))</f>
        <v/>
      </c>
      <c r="U163" s="8" t="str">
        <f aca="false">IF(T163="BYPASS",IF(NOT(ISNUMBER(Q163)),"PreV_ETB missing","End_tr_balance missing"),IF(T163="FAIL",IF(AND(ISNUMBER(K163),ISNUMBER(L163),ABS(L163-(K163-IF(ISNUMBER(N163),N163,0)-IF(ISNUMBER(O163),O163,0)+IF(ISNUMBER(P163),P163,0)))&lt;=Summary!$B$2),"Passes using beginning_balance - PreV_ETB differs from beginning_balance",IF(AND(ISNUMBER(O163),O163&lt;0,ABS(L163-(Q163-IF(ISNUMBER(N163),N163,0)+IF(ISNUMBER(P163),P163,0)))&lt;=Summary!$B$2),"Negative realized loss not applied - check sign",IF(R163&lt;0,"Principal paid exceeds prior balance",IF(AND(L163&gt;Q163,NOT(ISNUMBER(P163))),"Balance increased but no Deferred_interest reported",IF(L163&gt;R163,"Reported balance higher than expected (missing increase/OC build)","Reported balance lower than expected (missing decrease)"))))),""))</f>
        <v/>
      </c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9"/>
      <c r="L164" s="9"/>
      <c r="M164" s="9"/>
      <c r="N164" s="9"/>
      <c r="O164" s="9"/>
      <c r="P164" s="9"/>
      <c r="Q164" s="9"/>
      <c r="R164" s="9" t="str">
        <f aca="false">IF(AND(A164&lt;&gt;"",ISNUMBER(Q164),ISNUMBER(L164)),ROUND(Q164-IF(ISNUMBER(N164),N164,0)-IF(ISNUMBER(O164),O164,0)+IF(ISNUMBER(P164),P164,0),2),"")</f>
        <v/>
      </c>
      <c r="S164" s="9" t="str">
        <f aca="false">IF(R164="","",ROUND(L164-R164,2))</f>
        <v/>
      </c>
      <c r="T164" s="8" t="str">
        <f aca="false">IF(A164="","",IF(S164="","BYPASS",IF(ABS(S164)&lt;=Summary!$B$2,"PASS","FAIL")))</f>
        <v/>
      </c>
      <c r="U164" s="8" t="str">
        <f aca="false">IF(T164="BYPASS",IF(NOT(ISNUMBER(Q164)),"PreV_ETB missing","End_tr_balance missing"),IF(T164="FAIL",IF(AND(ISNUMBER(K164),ISNUMBER(L164),ABS(L164-(K164-IF(ISNUMBER(N164),N164,0)-IF(ISNUMBER(O164),O164,0)+IF(ISNUMBER(P164),P164,0)))&lt;=Summary!$B$2),"Passes using beginning_balance - PreV_ETB differs from beginning_balance",IF(AND(ISNUMBER(O164),O164&lt;0,ABS(L164-(Q164-IF(ISNUMBER(N164),N164,0)+IF(ISNUMBER(P164),P164,0)))&lt;=Summary!$B$2),"Negative realized loss not applied - check sign",IF(R164&lt;0,"Principal paid exceeds prior balance",IF(AND(L164&gt;Q164,NOT(ISNUMBER(P164))),"Balance increased but no Deferred_interest reported",IF(L164&gt;R164,"Reported balance higher than expected (missing increase/OC build)","Reported balance lower than expected (missing decrease)"))))),""))</f>
        <v/>
      </c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9"/>
      <c r="L165" s="9"/>
      <c r="M165" s="9"/>
      <c r="N165" s="9"/>
      <c r="O165" s="9"/>
      <c r="P165" s="9"/>
      <c r="Q165" s="9"/>
      <c r="R165" s="9" t="str">
        <f aca="false">IF(AND(A165&lt;&gt;"",ISNUMBER(Q165),ISNUMBER(L165)),ROUND(Q165-IF(ISNUMBER(N165),N165,0)-IF(ISNUMBER(O165),O165,0)+IF(ISNUMBER(P165),P165,0),2),"")</f>
        <v/>
      </c>
      <c r="S165" s="9" t="str">
        <f aca="false">IF(R165="","",ROUND(L165-R165,2))</f>
        <v/>
      </c>
      <c r="T165" s="8" t="str">
        <f aca="false">IF(A165="","",IF(S165="","BYPASS",IF(ABS(S165)&lt;=Summary!$B$2,"PASS","FAIL")))</f>
        <v/>
      </c>
      <c r="U165" s="8" t="str">
        <f aca="false">IF(T165="BYPASS",IF(NOT(ISNUMBER(Q165)),"PreV_ETB missing","End_tr_balance missing"),IF(T165="FAIL",IF(AND(ISNUMBER(K165),ISNUMBER(L165),ABS(L165-(K165-IF(ISNUMBER(N165),N165,0)-IF(ISNUMBER(O165),O165,0)+IF(ISNUMBER(P165),P165,0)))&lt;=Summary!$B$2),"Passes using beginning_balance - PreV_ETB differs from beginning_balance",IF(AND(ISNUMBER(O165),O165&lt;0,ABS(L165-(Q165-IF(ISNUMBER(N165),N165,0)+IF(ISNUMBER(P165),P165,0)))&lt;=Summary!$B$2),"Negative realized loss not applied - check sign",IF(R165&lt;0,"Principal paid exceeds prior balance",IF(AND(L165&gt;Q165,NOT(ISNUMBER(P165))),"Balance increased but no Deferred_interest reported",IF(L165&gt;R165,"Reported balance higher than expected (missing increase/OC build)","Reported balance lower than expected (missing decrease)"))))),""))</f>
        <v/>
      </c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9"/>
      <c r="L166" s="9"/>
      <c r="M166" s="9"/>
      <c r="N166" s="9"/>
      <c r="O166" s="9"/>
      <c r="P166" s="9"/>
      <c r="Q166" s="9"/>
      <c r="R166" s="9" t="str">
        <f aca="false">IF(AND(A166&lt;&gt;"",ISNUMBER(Q166),ISNUMBER(L166)),ROUND(Q166-IF(ISNUMBER(N166),N166,0)-IF(ISNUMBER(O166),O166,0)+IF(ISNUMBER(P166),P166,0),2),"")</f>
        <v/>
      </c>
      <c r="S166" s="9" t="str">
        <f aca="false">IF(R166="","",ROUND(L166-R166,2))</f>
        <v/>
      </c>
      <c r="T166" s="8" t="str">
        <f aca="false">IF(A166="","",IF(S166="","BYPASS",IF(ABS(S166)&lt;=Summary!$B$2,"PASS","FAIL")))</f>
        <v/>
      </c>
      <c r="U166" s="8" t="str">
        <f aca="false">IF(T166="BYPASS",IF(NOT(ISNUMBER(Q166)),"PreV_ETB missing","End_tr_balance missing"),IF(T166="FAIL",IF(AND(ISNUMBER(K166),ISNUMBER(L166),ABS(L166-(K166-IF(ISNUMBER(N166),N166,0)-IF(ISNUMBER(O166),O166,0)+IF(ISNUMBER(P166),P166,0)))&lt;=Summary!$B$2),"Passes using beginning_balance - PreV_ETB differs from beginning_balance",IF(AND(ISNUMBER(O166),O166&lt;0,ABS(L166-(Q166-IF(ISNUMBER(N166),N166,0)+IF(ISNUMBER(P166),P166,0)))&lt;=Summary!$B$2),"Negative realized loss not applied - check sign",IF(R166&lt;0,"Principal paid exceeds prior balance",IF(AND(L166&gt;Q166,NOT(ISNUMBER(P166))),"Balance increased but no Deferred_interest reported",IF(L166&gt;R166,"Reported balance higher than expected (missing increase/OC build)","Reported balance lower than expected (missing decrease)"))))),""))</f>
        <v/>
      </c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9"/>
      <c r="L167" s="9"/>
      <c r="M167" s="9"/>
      <c r="N167" s="9"/>
      <c r="O167" s="9"/>
      <c r="P167" s="9"/>
      <c r="Q167" s="9"/>
      <c r="R167" s="9" t="str">
        <f aca="false">IF(AND(A167&lt;&gt;"",ISNUMBER(Q167),ISNUMBER(L167)),ROUND(Q167-IF(ISNUMBER(N167),N167,0)-IF(ISNUMBER(O167),O167,0)+IF(ISNUMBER(P167),P167,0),2),"")</f>
        <v/>
      </c>
      <c r="S167" s="9" t="str">
        <f aca="false">IF(R167="","",ROUND(L167-R167,2))</f>
        <v/>
      </c>
      <c r="T167" s="8" t="str">
        <f aca="false">IF(A167="","",IF(S167="","BYPASS",IF(ABS(S167)&lt;=Summary!$B$2,"PASS","FAIL")))</f>
        <v/>
      </c>
      <c r="U167" s="8" t="str">
        <f aca="false">IF(T167="BYPASS",IF(NOT(ISNUMBER(Q167)),"PreV_ETB missing","End_tr_balance missing"),IF(T167="FAIL",IF(AND(ISNUMBER(K167),ISNUMBER(L167),ABS(L167-(K167-IF(ISNUMBER(N167),N167,0)-IF(ISNUMBER(O167),O167,0)+IF(ISNUMBER(P167),P167,0)))&lt;=Summary!$B$2),"Passes using beginning_balance - PreV_ETB differs from beginning_balance",IF(AND(ISNUMBER(O167),O167&lt;0,ABS(L167-(Q167-IF(ISNUMBER(N167),N167,0)+IF(ISNUMBER(P167),P167,0)))&lt;=Summary!$B$2),"Negative realized loss not applied - check sign",IF(R167&lt;0,"Principal paid exceeds prior balance",IF(AND(L167&gt;Q167,NOT(ISNUMBER(P167))),"Balance increased but no Deferred_interest reported",IF(L167&gt;R167,"Reported balance higher than expected (missing increase/OC build)","Reported balance lower than expected (missing decrease)"))))),""))</f>
        <v/>
      </c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9"/>
      <c r="L168" s="9"/>
      <c r="M168" s="9"/>
      <c r="N168" s="9"/>
      <c r="O168" s="9"/>
      <c r="P168" s="9"/>
      <c r="Q168" s="9"/>
      <c r="R168" s="9" t="str">
        <f aca="false">IF(AND(A168&lt;&gt;"",ISNUMBER(Q168),ISNUMBER(L168)),ROUND(Q168-IF(ISNUMBER(N168),N168,0)-IF(ISNUMBER(O168),O168,0)+IF(ISNUMBER(P168),P168,0),2),"")</f>
        <v/>
      </c>
      <c r="S168" s="9" t="str">
        <f aca="false">IF(R168="","",ROUND(L168-R168,2))</f>
        <v/>
      </c>
      <c r="T168" s="8" t="str">
        <f aca="false">IF(A168="","",IF(S168="","BYPASS",IF(ABS(S168)&lt;=Summary!$B$2,"PASS","FAIL")))</f>
        <v/>
      </c>
      <c r="U168" s="8" t="str">
        <f aca="false">IF(T168="BYPASS",IF(NOT(ISNUMBER(Q168)),"PreV_ETB missing","End_tr_balance missing"),IF(T168="FAIL",IF(AND(ISNUMBER(K168),ISNUMBER(L168),ABS(L168-(K168-IF(ISNUMBER(N168),N168,0)-IF(ISNUMBER(O168),O168,0)+IF(ISNUMBER(P168),P168,0)))&lt;=Summary!$B$2),"Passes using beginning_balance - PreV_ETB differs from beginning_balance",IF(AND(ISNUMBER(O168),O168&lt;0,ABS(L168-(Q168-IF(ISNUMBER(N168),N168,0)+IF(ISNUMBER(P168),P168,0)))&lt;=Summary!$B$2),"Negative realized loss not applied - check sign",IF(R168&lt;0,"Principal paid exceeds prior balance",IF(AND(L168&gt;Q168,NOT(ISNUMBER(P168))),"Balance increased but no Deferred_interest reported",IF(L168&gt;R168,"Reported balance higher than expected (missing increase/OC build)","Reported balance lower than expected (missing decrease)"))))),""))</f>
        <v/>
      </c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9"/>
      <c r="L169" s="9"/>
      <c r="M169" s="9"/>
      <c r="N169" s="9"/>
      <c r="O169" s="9"/>
      <c r="P169" s="9"/>
      <c r="Q169" s="9"/>
      <c r="R169" s="9" t="str">
        <f aca="false">IF(AND(A169&lt;&gt;"",ISNUMBER(Q169),ISNUMBER(L169)),ROUND(Q169-IF(ISNUMBER(N169),N169,0)-IF(ISNUMBER(O169),O169,0)+IF(ISNUMBER(P169),P169,0),2),"")</f>
        <v/>
      </c>
      <c r="S169" s="9" t="str">
        <f aca="false">IF(R169="","",ROUND(L169-R169,2))</f>
        <v/>
      </c>
      <c r="T169" s="8" t="str">
        <f aca="false">IF(A169="","",IF(S169="","BYPASS",IF(ABS(S169)&lt;=Summary!$B$2,"PASS","FAIL")))</f>
        <v/>
      </c>
      <c r="U169" s="8" t="str">
        <f aca="false">IF(T169="BYPASS",IF(NOT(ISNUMBER(Q169)),"PreV_ETB missing","End_tr_balance missing"),IF(T169="FAIL",IF(AND(ISNUMBER(K169),ISNUMBER(L169),ABS(L169-(K169-IF(ISNUMBER(N169),N169,0)-IF(ISNUMBER(O169),O169,0)+IF(ISNUMBER(P169),P169,0)))&lt;=Summary!$B$2),"Passes using beginning_balance - PreV_ETB differs from beginning_balance",IF(AND(ISNUMBER(O169),O169&lt;0,ABS(L169-(Q169-IF(ISNUMBER(N169),N169,0)+IF(ISNUMBER(P169),P169,0)))&lt;=Summary!$B$2),"Negative realized loss not applied - check sign",IF(R169&lt;0,"Principal paid exceeds prior balance",IF(AND(L169&gt;Q169,NOT(ISNUMBER(P169))),"Balance increased but no Deferred_interest reported",IF(L169&gt;R169,"Reported balance higher than expected (missing increase/OC build)","Reported balance lower than expected (missing decrease)"))))),""))</f>
        <v/>
      </c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9"/>
      <c r="L170" s="9"/>
      <c r="M170" s="9"/>
      <c r="N170" s="9"/>
      <c r="O170" s="9"/>
      <c r="P170" s="9"/>
      <c r="Q170" s="9"/>
      <c r="R170" s="9" t="str">
        <f aca="false">IF(AND(A170&lt;&gt;"",ISNUMBER(Q170),ISNUMBER(L170)),ROUND(Q170-IF(ISNUMBER(N170),N170,0)-IF(ISNUMBER(O170),O170,0)+IF(ISNUMBER(P170),P170,0),2),"")</f>
        <v/>
      </c>
      <c r="S170" s="9" t="str">
        <f aca="false">IF(R170="","",ROUND(L170-R170,2))</f>
        <v/>
      </c>
      <c r="T170" s="8" t="str">
        <f aca="false">IF(A170="","",IF(S170="","BYPASS",IF(ABS(S170)&lt;=Summary!$B$2,"PASS","FAIL")))</f>
        <v/>
      </c>
      <c r="U170" s="8" t="str">
        <f aca="false">IF(T170="BYPASS",IF(NOT(ISNUMBER(Q170)),"PreV_ETB missing","End_tr_balance missing"),IF(T170="FAIL",IF(AND(ISNUMBER(K170),ISNUMBER(L170),ABS(L170-(K170-IF(ISNUMBER(N170),N170,0)-IF(ISNUMBER(O170),O170,0)+IF(ISNUMBER(P170),P170,0)))&lt;=Summary!$B$2),"Passes using beginning_balance - PreV_ETB differs from beginning_balance",IF(AND(ISNUMBER(O170),O170&lt;0,ABS(L170-(Q170-IF(ISNUMBER(N170),N170,0)+IF(ISNUMBER(P170),P170,0)))&lt;=Summary!$B$2),"Negative realized loss not applied - check sign",IF(R170&lt;0,"Principal paid exceeds prior balance",IF(AND(L170&gt;Q170,NOT(ISNUMBER(P170))),"Balance increased but no Deferred_interest reported",IF(L170&gt;R170,"Reported balance higher than expected (missing increase/OC build)","Reported balance lower than expected (missing decrease)"))))),""))</f>
        <v/>
      </c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9"/>
      <c r="L171" s="9"/>
      <c r="M171" s="9"/>
      <c r="N171" s="9"/>
      <c r="O171" s="9"/>
      <c r="P171" s="9"/>
      <c r="Q171" s="9"/>
      <c r="R171" s="9" t="str">
        <f aca="false">IF(AND(A171&lt;&gt;"",ISNUMBER(Q171),ISNUMBER(L171)),ROUND(Q171-IF(ISNUMBER(N171),N171,0)-IF(ISNUMBER(O171),O171,0)+IF(ISNUMBER(P171),P171,0),2),"")</f>
        <v/>
      </c>
      <c r="S171" s="9" t="str">
        <f aca="false">IF(R171="","",ROUND(L171-R171,2))</f>
        <v/>
      </c>
      <c r="T171" s="8" t="str">
        <f aca="false">IF(A171="","",IF(S171="","BYPASS",IF(ABS(S171)&lt;=Summary!$B$2,"PASS","FAIL")))</f>
        <v/>
      </c>
      <c r="U171" s="8" t="str">
        <f aca="false">IF(T171="BYPASS",IF(NOT(ISNUMBER(Q171)),"PreV_ETB missing","End_tr_balance missing"),IF(T171="FAIL",IF(AND(ISNUMBER(K171),ISNUMBER(L171),ABS(L171-(K171-IF(ISNUMBER(N171),N171,0)-IF(ISNUMBER(O171),O171,0)+IF(ISNUMBER(P171),P171,0)))&lt;=Summary!$B$2),"Passes using beginning_balance - PreV_ETB differs from beginning_balance",IF(AND(ISNUMBER(O171),O171&lt;0,ABS(L171-(Q171-IF(ISNUMBER(N171),N171,0)+IF(ISNUMBER(P171),P171,0)))&lt;=Summary!$B$2),"Negative realized loss not applied - check sign",IF(R171&lt;0,"Principal paid exceeds prior balance",IF(AND(L171&gt;Q171,NOT(ISNUMBER(P171))),"Balance increased but no Deferred_interest reported",IF(L171&gt;R171,"Reported balance higher than expected (missing increase/OC build)","Reported balance lower than expected (missing decrease)"))))),""))</f>
        <v/>
      </c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9"/>
      <c r="L172" s="9"/>
      <c r="M172" s="9"/>
      <c r="N172" s="9"/>
      <c r="O172" s="9"/>
      <c r="P172" s="9"/>
      <c r="Q172" s="9"/>
      <c r="R172" s="9" t="str">
        <f aca="false">IF(AND(A172&lt;&gt;"",ISNUMBER(Q172),ISNUMBER(L172)),ROUND(Q172-IF(ISNUMBER(N172),N172,0)-IF(ISNUMBER(O172),O172,0)+IF(ISNUMBER(P172),P172,0),2),"")</f>
        <v/>
      </c>
      <c r="S172" s="9" t="str">
        <f aca="false">IF(R172="","",ROUND(L172-R172,2))</f>
        <v/>
      </c>
      <c r="T172" s="8" t="str">
        <f aca="false">IF(A172="","",IF(S172="","BYPASS",IF(ABS(S172)&lt;=Summary!$B$2,"PASS","FAIL")))</f>
        <v/>
      </c>
      <c r="U172" s="8" t="str">
        <f aca="false">IF(T172="BYPASS",IF(NOT(ISNUMBER(Q172)),"PreV_ETB missing","End_tr_balance missing"),IF(T172="FAIL",IF(AND(ISNUMBER(K172),ISNUMBER(L172),ABS(L172-(K172-IF(ISNUMBER(N172),N172,0)-IF(ISNUMBER(O172),O172,0)+IF(ISNUMBER(P172),P172,0)))&lt;=Summary!$B$2),"Passes using beginning_balance - PreV_ETB differs from beginning_balance",IF(AND(ISNUMBER(O172),O172&lt;0,ABS(L172-(Q172-IF(ISNUMBER(N172),N172,0)+IF(ISNUMBER(P172),P172,0)))&lt;=Summary!$B$2),"Negative realized loss not applied - check sign",IF(R172&lt;0,"Principal paid exceeds prior balance",IF(AND(L172&gt;Q172,NOT(ISNUMBER(P172))),"Balance increased but no Deferred_interest reported",IF(L172&gt;R172,"Reported balance higher than expected (missing increase/OC build)","Reported balance lower than expected (missing decrease)"))))),""))</f>
        <v/>
      </c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9"/>
      <c r="L173" s="9"/>
      <c r="M173" s="9"/>
      <c r="N173" s="9"/>
      <c r="O173" s="9"/>
      <c r="P173" s="9"/>
      <c r="Q173" s="9"/>
      <c r="R173" s="9" t="str">
        <f aca="false">IF(AND(A173&lt;&gt;"",ISNUMBER(Q173),ISNUMBER(L173)),ROUND(Q173-IF(ISNUMBER(N173),N173,0)-IF(ISNUMBER(O173),O173,0)+IF(ISNUMBER(P173),P173,0),2),"")</f>
        <v/>
      </c>
      <c r="S173" s="9" t="str">
        <f aca="false">IF(R173="","",ROUND(L173-R173,2))</f>
        <v/>
      </c>
      <c r="T173" s="8" t="str">
        <f aca="false">IF(A173="","",IF(S173="","BYPASS",IF(ABS(S173)&lt;=Summary!$B$2,"PASS","FAIL")))</f>
        <v/>
      </c>
      <c r="U173" s="8" t="str">
        <f aca="false">IF(T173="BYPASS",IF(NOT(ISNUMBER(Q173)),"PreV_ETB missing","End_tr_balance missing"),IF(T173="FAIL",IF(AND(ISNUMBER(K173),ISNUMBER(L173),ABS(L173-(K173-IF(ISNUMBER(N173),N173,0)-IF(ISNUMBER(O173),O173,0)+IF(ISNUMBER(P173),P173,0)))&lt;=Summary!$B$2),"Passes using beginning_balance - PreV_ETB differs from beginning_balance",IF(AND(ISNUMBER(O173),O173&lt;0,ABS(L173-(Q173-IF(ISNUMBER(N173),N173,0)+IF(ISNUMBER(P173),P173,0)))&lt;=Summary!$B$2),"Negative realized loss not applied - check sign",IF(R173&lt;0,"Principal paid exceeds prior balance",IF(AND(L173&gt;Q173,NOT(ISNUMBER(P173))),"Balance increased but no Deferred_interest reported",IF(L173&gt;R173,"Reported balance higher than expected (missing increase/OC build)","Reported balance lower than expected (missing decrease)"))))),""))</f>
        <v/>
      </c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9"/>
      <c r="L174" s="9"/>
      <c r="M174" s="9"/>
      <c r="N174" s="9"/>
      <c r="O174" s="9"/>
      <c r="P174" s="9"/>
      <c r="Q174" s="9"/>
      <c r="R174" s="9" t="str">
        <f aca="false">IF(AND(A174&lt;&gt;"",ISNUMBER(Q174),ISNUMBER(L174)),ROUND(Q174-IF(ISNUMBER(N174),N174,0)-IF(ISNUMBER(O174),O174,0)+IF(ISNUMBER(P174),P174,0),2),"")</f>
        <v/>
      </c>
      <c r="S174" s="9" t="str">
        <f aca="false">IF(R174="","",ROUND(L174-R174,2))</f>
        <v/>
      </c>
      <c r="T174" s="8" t="str">
        <f aca="false">IF(A174="","",IF(S174="","BYPASS",IF(ABS(S174)&lt;=Summary!$B$2,"PASS","FAIL")))</f>
        <v/>
      </c>
      <c r="U174" s="8" t="str">
        <f aca="false">IF(T174="BYPASS",IF(NOT(ISNUMBER(Q174)),"PreV_ETB missing","End_tr_balance missing"),IF(T174="FAIL",IF(AND(ISNUMBER(K174),ISNUMBER(L174),ABS(L174-(K174-IF(ISNUMBER(N174),N174,0)-IF(ISNUMBER(O174),O174,0)+IF(ISNUMBER(P174),P174,0)))&lt;=Summary!$B$2),"Passes using beginning_balance - PreV_ETB differs from beginning_balance",IF(AND(ISNUMBER(O174),O174&lt;0,ABS(L174-(Q174-IF(ISNUMBER(N174),N174,0)+IF(ISNUMBER(P174),P174,0)))&lt;=Summary!$B$2),"Negative realized loss not applied - check sign",IF(R174&lt;0,"Principal paid exceeds prior balance",IF(AND(L174&gt;Q174,NOT(ISNUMBER(P174))),"Balance increased but no Deferred_interest reported",IF(L174&gt;R174,"Reported balance higher than expected (missing increase/OC build)","Reported balance lower than expected (missing decrease)"))))),""))</f>
        <v/>
      </c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9"/>
      <c r="L175" s="9"/>
      <c r="M175" s="9"/>
      <c r="N175" s="9"/>
      <c r="O175" s="9"/>
      <c r="P175" s="9"/>
      <c r="Q175" s="9"/>
      <c r="R175" s="9" t="str">
        <f aca="false">IF(AND(A175&lt;&gt;"",ISNUMBER(Q175),ISNUMBER(L175)),ROUND(Q175-IF(ISNUMBER(N175),N175,0)-IF(ISNUMBER(O175),O175,0)+IF(ISNUMBER(P175),P175,0),2),"")</f>
        <v/>
      </c>
      <c r="S175" s="9" t="str">
        <f aca="false">IF(R175="","",ROUND(L175-R175,2))</f>
        <v/>
      </c>
      <c r="T175" s="8" t="str">
        <f aca="false">IF(A175="","",IF(S175="","BYPASS",IF(ABS(S175)&lt;=Summary!$B$2,"PASS","FAIL")))</f>
        <v/>
      </c>
      <c r="U175" s="8" t="str">
        <f aca="false">IF(T175="BYPASS",IF(NOT(ISNUMBER(Q175)),"PreV_ETB missing","End_tr_balance missing"),IF(T175="FAIL",IF(AND(ISNUMBER(K175),ISNUMBER(L175),ABS(L175-(K175-IF(ISNUMBER(N175),N175,0)-IF(ISNUMBER(O175),O175,0)+IF(ISNUMBER(P175),P175,0)))&lt;=Summary!$B$2),"Passes using beginning_balance - PreV_ETB differs from beginning_balance",IF(AND(ISNUMBER(O175),O175&lt;0,ABS(L175-(Q175-IF(ISNUMBER(N175),N175,0)+IF(ISNUMBER(P175),P175,0)))&lt;=Summary!$B$2),"Negative realized loss not applied - check sign",IF(R175&lt;0,"Principal paid exceeds prior balance",IF(AND(L175&gt;Q175,NOT(ISNUMBER(P175))),"Balance increased but no Deferred_interest reported",IF(L175&gt;R175,"Reported balance higher than expected (missing increase/OC build)","Reported balance lower than expected (missing decrease)"))))),""))</f>
        <v/>
      </c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9"/>
      <c r="L176" s="9"/>
      <c r="M176" s="9"/>
      <c r="N176" s="9"/>
      <c r="O176" s="9"/>
      <c r="P176" s="9"/>
      <c r="Q176" s="9"/>
      <c r="R176" s="9" t="str">
        <f aca="false">IF(AND(A176&lt;&gt;"",ISNUMBER(Q176),ISNUMBER(L176)),ROUND(Q176-IF(ISNUMBER(N176),N176,0)-IF(ISNUMBER(O176),O176,0)+IF(ISNUMBER(P176),P176,0),2),"")</f>
        <v/>
      </c>
      <c r="S176" s="9" t="str">
        <f aca="false">IF(R176="","",ROUND(L176-R176,2))</f>
        <v/>
      </c>
      <c r="T176" s="8" t="str">
        <f aca="false">IF(A176="","",IF(S176="","BYPASS",IF(ABS(S176)&lt;=Summary!$B$2,"PASS","FAIL")))</f>
        <v/>
      </c>
      <c r="U176" s="8" t="str">
        <f aca="false">IF(T176="BYPASS",IF(NOT(ISNUMBER(Q176)),"PreV_ETB missing","End_tr_balance missing"),IF(T176="FAIL",IF(AND(ISNUMBER(K176),ISNUMBER(L176),ABS(L176-(K176-IF(ISNUMBER(N176),N176,0)-IF(ISNUMBER(O176),O176,0)+IF(ISNUMBER(P176),P176,0)))&lt;=Summary!$B$2),"Passes using beginning_balance - PreV_ETB differs from beginning_balance",IF(AND(ISNUMBER(O176),O176&lt;0,ABS(L176-(Q176-IF(ISNUMBER(N176),N176,0)+IF(ISNUMBER(P176),P176,0)))&lt;=Summary!$B$2),"Negative realized loss not applied - check sign",IF(R176&lt;0,"Principal paid exceeds prior balance",IF(AND(L176&gt;Q176,NOT(ISNUMBER(P176))),"Balance increased but no Deferred_interest reported",IF(L176&gt;R176,"Reported balance higher than expected (missing increase/OC build)","Reported balance lower than expected (missing decrease)"))))),""))</f>
        <v/>
      </c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9"/>
      <c r="L177" s="9"/>
      <c r="M177" s="9"/>
      <c r="N177" s="9"/>
      <c r="O177" s="9"/>
      <c r="P177" s="9"/>
      <c r="Q177" s="9"/>
      <c r="R177" s="9" t="str">
        <f aca="false">IF(AND(A177&lt;&gt;"",ISNUMBER(Q177),ISNUMBER(L177)),ROUND(Q177-IF(ISNUMBER(N177),N177,0)-IF(ISNUMBER(O177),O177,0)+IF(ISNUMBER(P177),P177,0),2),"")</f>
        <v/>
      </c>
      <c r="S177" s="9" t="str">
        <f aca="false">IF(R177="","",ROUND(L177-R177,2))</f>
        <v/>
      </c>
      <c r="T177" s="8" t="str">
        <f aca="false">IF(A177="","",IF(S177="","BYPASS",IF(ABS(S177)&lt;=Summary!$B$2,"PASS","FAIL")))</f>
        <v/>
      </c>
      <c r="U177" s="8" t="str">
        <f aca="false">IF(T177="BYPASS",IF(NOT(ISNUMBER(Q177)),"PreV_ETB missing","End_tr_balance missing"),IF(T177="FAIL",IF(AND(ISNUMBER(K177),ISNUMBER(L177),ABS(L177-(K177-IF(ISNUMBER(N177),N177,0)-IF(ISNUMBER(O177),O177,0)+IF(ISNUMBER(P177),P177,0)))&lt;=Summary!$B$2),"Passes using beginning_balance - PreV_ETB differs from beginning_balance",IF(AND(ISNUMBER(O177),O177&lt;0,ABS(L177-(Q177-IF(ISNUMBER(N177),N177,0)+IF(ISNUMBER(P177),P177,0)))&lt;=Summary!$B$2),"Negative realized loss not applied - check sign",IF(R177&lt;0,"Principal paid exceeds prior balance",IF(AND(L177&gt;Q177,NOT(ISNUMBER(P177))),"Balance increased but no Deferred_interest reported",IF(L177&gt;R177,"Reported balance higher than expected (missing increase/OC build)","Reported balance lower than expected (missing decrease)"))))),""))</f>
        <v/>
      </c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9"/>
      <c r="L178" s="9"/>
      <c r="M178" s="9"/>
      <c r="N178" s="9"/>
      <c r="O178" s="9"/>
      <c r="P178" s="9"/>
      <c r="Q178" s="9"/>
      <c r="R178" s="9" t="str">
        <f aca="false">IF(AND(A178&lt;&gt;"",ISNUMBER(Q178),ISNUMBER(L178)),ROUND(Q178-IF(ISNUMBER(N178),N178,0)-IF(ISNUMBER(O178),O178,0)+IF(ISNUMBER(P178),P178,0),2),"")</f>
        <v/>
      </c>
      <c r="S178" s="9" t="str">
        <f aca="false">IF(R178="","",ROUND(L178-R178,2))</f>
        <v/>
      </c>
      <c r="T178" s="8" t="str">
        <f aca="false">IF(A178="","",IF(S178="","BYPASS",IF(ABS(S178)&lt;=Summary!$B$2,"PASS","FAIL")))</f>
        <v/>
      </c>
      <c r="U178" s="8" t="str">
        <f aca="false">IF(T178="BYPASS",IF(NOT(ISNUMBER(Q178)),"PreV_ETB missing","End_tr_balance missing"),IF(T178="FAIL",IF(AND(ISNUMBER(K178),ISNUMBER(L178),ABS(L178-(K178-IF(ISNUMBER(N178),N178,0)-IF(ISNUMBER(O178),O178,0)+IF(ISNUMBER(P178),P178,0)))&lt;=Summary!$B$2),"Passes using beginning_balance - PreV_ETB differs from beginning_balance",IF(AND(ISNUMBER(O178),O178&lt;0,ABS(L178-(Q178-IF(ISNUMBER(N178),N178,0)+IF(ISNUMBER(P178),P178,0)))&lt;=Summary!$B$2),"Negative realized loss not applied - check sign",IF(R178&lt;0,"Principal paid exceeds prior balance",IF(AND(L178&gt;Q178,NOT(ISNUMBER(P178))),"Balance increased but no Deferred_interest reported",IF(L178&gt;R178,"Reported balance higher than expected (missing increase/OC build)","Reported balance lower than expected (missing decrease)"))))),""))</f>
        <v/>
      </c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9"/>
      <c r="L179" s="9"/>
      <c r="M179" s="9"/>
      <c r="N179" s="9"/>
      <c r="O179" s="9"/>
      <c r="P179" s="9"/>
      <c r="Q179" s="9"/>
      <c r="R179" s="9" t="str">
        <f aca="false">IF(AND(A179&lt;&gt;"",ISNUMBER(Q179),ISNUMBER(L179)),ROUND(Q179-IF(ISNUMBER(N179),N179,0)-IF(ISNUMBER(O179),O179,0)+IF(ISNUMBER(P179),P179,0),2),"")</f>
        <v/>
      </c>
      <c r="S179" s="9" t="str">
        <f aca="false">IF(R179="","",ROUND(L179-R179,2))</f>
        <v/>
      </c>
      <c r="T179" s="8" t="str">
        <f aca="false">IF(A179="","",IF(S179="","BYPASS",IF(ABS(S179)&lt;=Summary!$B$2,"PASS","FAIL")))</f>
        <v/>
      </c>
      <c r="U179" s="8" t="str">
        <f aca="false">IF(T179="BYPASS",IF(NOT(ISNUMBER(Q179)),"PreV_ETB missing","End_tr_balance missing"),IF(T179="FAIL",IF(AND(ISNUMBER(K179),ISNUMBER(L179),ABS(L179-(K179-IF(ISNUMBER(N179),N179,0)-IF(ISNUMBER(O179),O179,0)+IF(ISNUMBER(P179),P179,0)))&lt;=Summary!$B$2),"Passes using beginning_balance - PreV_ETB differs from beginning_balance",IF(AND(ISNUMBER(O179),O179&lt;0,ABS(L179-(Q179-IF(ISNUMBER(N179),N179,0)+IF(ISNUMBER(P179),P179,0)))&lt;=Summary!$B$2),"Negative realized loss not applied - check sign",IF(R179&lt;0,"Principal paid exceeds prior balance",IF(AND(L179&gt;Q179,NOT(ISNUMBER(P179))),"Balance increased but no Deferred_interest reported",IF(L179&gt;R179,"Reported balance higher than expected (missing increase/OC build)","Reported balance lower than expected (missing decrease)"))))),""))</f>
        <v/>
      </c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9"/>
      <c r="L180" s="9"/>
      <c r="M180" s="9"/>
      <c r="N180" s="9"/>
      <c r="O180" s="9"/>
      <c r="P180" s="9"/>
      <c r="Q180" s="9"/>
      <c r="R180" s="9" t="str">
        <f aca="false">IF(AND(A180&lt;&gt;"",ISNUMBER(Q180),ISNUMBER(L180)),ROUND(Q180-IF(ISNUMBER(N180),N180,0)-IF(ISNUMBER(O180),O180,0)+IF(ISNUMBER(P180),P180,0),2),"")</f>
        <v/>
      </c>
      <c r="S180" s="9" t="str">
        <f aca="false">IF(R180="","",ROUND(L180-R180,2))</f>
        <v/>
      </c>
      <c r="T180" s="8" t="str">
        <f aca="false">IF(A180="","",IF(S180="","BYPASS",IF(ABS(S180)&lt;=Summary!$B$2,"PASS","FAIL")))</f>
        <v/>
      </c>
      <c r="U180" s="8" t="str">
        <f aca="false">IF(T180="BYPASS",IF(NOT(ISNUMBER(Q180)),"PreV_ETB missing","End_tr_balance missing"),IF(T180="FAIL",IF(AND(ISNUMBER(K180),ISNUMBER(L180),ABS(L180-(K180-IF(ISNUMBER(N180),N180,0)-IF(ISNUMBER(O180),O180,0)+IF(ISNUMBER(P180),P180,0)))&lt;=Summary!$B$2),"Passes using beginning_balance - PreV_ETB differs from beginning_balance",IF(AND(ISNUMBER(O180),O180&lt;0,ABS(L180-(Q180-IF(ISNUMBER(N180),N180,0)+IF(ISNUMBER(P180),P180,0)))&lt;=Summary!$B$2),"Negative realized loss not applied - check sign",IF(R180&lt;0,"Principal paid exceeds prior balance",IF(AND(L180&gt;Q180,NOT(ISNUMBER(P180))),"Balance increased but no Deferred_interest reported",IF(L180&gt;R180,"Reported balance higher than expected (missing increase/OC build)","Reported balance lower than expected (missing decrease)"))))),""))</f>
        <v/>
      </c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9"/>
      <c r="L181" s="9"/>
      <c r="M181" s="9"/>
      <c r="N181" s="9"/>
      <c r="O181" s="9"/>
      <c r="P181" s="9"/>
      <c r="Q181" s="9"/>
      <c r="R181" s="9" t="str">
        <f aca="false">IF(AND(A181&lt;&gt;"",ISNUMBER(Q181),ISNUMBER(L181)),ROUND(Q181-IF(ISNUMBER(N181),N181,0)-IF(ISNUMBER(O181),O181,0)+IF(ISNUMBER(P181),P181,0),2),"")</f>
        <v/>
      </c>
      <c r="S181" s="9" t="str">
        <f aca="false">IF(R181="","",ROUND(L181-R181,2))</f>
        <v/>
      </c>
      <c r="T181" s="8" t="str">
        <f aca="false">IF(A181="","",IF(S181="","BYPASS",IF(ABS(S181)&lt;=Summary!$B$2,"PASS","FAIL")))</f>
        <v/>
      </c>
      <c r="U181" s="8" t="str">
        <f aca="false">IF(T181="BYPASS",IF(NOT(ISNUMBER(Q181)),"PreV_ETB missing","End_tr_balance missing"),IF(T181="FAIL",IF(AND(ISNUMBER(K181),ISNUMBER(L181),ABS(L181-(K181-IF(ISNUMBER(N181),N181,0)-IF(ISNUMBER(O181),O181,0)+IF(ISNUMBER(P181),P181,0)))&lt;=Summary!$B$2),"Passes using beginning_balance - PreV_ETB differs from beginning_balance",IF(AND(ISNUMBER(O181),O181&lt;0,ABS(L181-(Q181-IF(ISNUMBER(N181),N181,0)+IF(ISNUMBER(P181),P181,0)))&lt;=Summary!$B$2),"Negative realized loss not applied - check sign",IF(R181&lt;0,"Principal paid exceeds prior balance",IF(AND(L181&gt;Q181,NOT(ISNUMBER(P181))),"Balance increased but no Deferred_interest reported",IF(L181&gt;R181,"Reported balance higher than expected (missing increase/OC build)","Reported balance lower than expected (missing decrease)"))))),""))</f>
        <v/>
      </c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9"/>
      <c r="L182" s="9"/>
      <c r="M182" s="9"/>
      <c r="N182" s="9"/>
      <c r="O182" s="9"/>
      <c r="P182" s="9"/>
      <c r="Q182" s="9"/>
      <c r="R182" s="9" t="str">
        <f aca="false">IF(AND(A182&lt;&gt;"",ISNUMBER(Q182),ISNUMBER(L182)),ROUND(Q182-IF(ISNUMBER(N182),N182,0)-IF(ISNUMBER(O182),O182,0)+IF(ISNUMBER(P182),P182,0),2),"")</f>
        <v/>
      </c>
      <c r="S182" s="9" t="str">
        <f aca="false">IF(R182="","",ROUND(L182-R182,2))</f>
        <v/>
      </c>
      <c r="T182" s="8" t="str">
        <f aca="false">IF(A182="","",IF(S182="","BYPASS",IF(ABS(S182)&lt;=Summary!$B$2,"PASS","FAIL")))</f>
        <v/>
      </c>
      <c r="U182" s="8" t="str">
        <f aca="false">IF(T182="BYPASS",IF(NOT(ISNUMBER(Q182)),"PreV_ETB missing","End_tr_balance missing"),IF(T182="FAIL",IF(AND(ISNUMBER(K182),ISNUMBER(L182),ABS(L182-(K182-IF(ISNUMBER(N182),N182,0)-IF(ISNUMBER(O182),O182,0)+IF(ISNUMBER(P182),P182,0)))&lt;=Summary!$B$2),"Passes using beginning_balance - PreV_ETB differs from beginning_balance",IF(AND(ISNUMBER(O182),O182&lt;0,ABS(L182-(Q182-IF(ISNUMBER(N182),N182,0)+IF(ISNUMBER(P182),P182,0)))&lt;=Summary!$B$2),"Negative realized loss not applied - check sign",IF(R182&lt;0,"Principal paid exceeds prior balance",IF(AND(L182&gt;Q182,NOT(ISNUMBER(P182))),"Balance increased but no Deferred_interest reported",IF(L182&gt;R182,"Reported balance higher than expected (missing increase/OC build)","Reported balance lower than expected (missing decrease)"))))),""))</f>
        <v/>
      </c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9"/>
      <c r="L183" s="9"/>
      <c r="M183" s="9"/>
      <c r="N183" s="9"/>
      <c r="O183" s="9"/>
      <c r="P183" s="9"/>
      <c r="Q183" s="9"/>
      <c r="R183" s="9" t="str">
        <f aca="false">IF(AND(A183&lt;&gt;"",ISNUMBER(Q183),ISNUMBER(L183)),ROUND(Q183-IF(ISNUMBER(N183),N183,0)-IF(ISNUMBER(O183),O183,0)+IF(ISNUMBER(P183),P183,0),2),"")</f>
        <v/>
      </c>
      <c r="S183" s="9" t="str">
        <f aca="false">IF(R183="","",ROUND(L183-R183,2))</f>
        <v/>
      </c>
      <c r="T183" s="8" t="str">
        <f aca="false">IF(A183="","",IF(S183="","BYPASS",IF(ABS(S183)&lt;=Summary!$B$2,"PASS","FAIL")))</f>
        <v/>
      </c>
      <c r="U183" s="8" t="str">
        <f aca="false">IF(T183="BYPASS",IF(NOT(ISNUMBER(Q183)),"PreV_ETB missing","End_tr_balance missing"),IF(T183="FAIL",IF(AND(ISNUMBER(K183),ISNUMBER(L183),ABS(L183-(K183-IF(ISNUMBER(N183),N183,0)-IF(ISNUMBER(O183),O183,0)+IF(ISNUMBER(P183),P183,0)))&lt;=Summary!$B$2),"Passes using beginning_balance - PreV_ETB differs from beginning_balance",IF(AND(ISNUMBER(O183),O183&lt;0,ABS(L183-(Q183-IF(ISNUMBER(N183),N183,0)+IF(ISNUMBER(P183),P183,0)))&lt;=Summary!$B$2),"Negative realized loss not applied - check sign",IF(R183&lt;0,"Principal paid exceeds prior balance",IF(AND(L183&gt;Q183,NOT(ISNUMBER(P183))),"Balance increased but no Deferred_interest reported",IF(L183&gt;R183,"Reported balance higher than expected (missing increase/OC build)","Reported balance lower than expected (missing decrease)"))))),""))</f>
        <v/>
      </c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9"/>
      <c r="L184" s="9"/>
      <c r="M184" s="9"/>
      <c r="N184" s="9"/>
      <c r="O184" s="9"/>
      <c r="P184" s="9"/>
      <c r="Q184" s="9"/>
      <c r="R184" s="9" t="str">
        <f aca="false">IF(AND(A184&lt;&gt;"",ISNUMBER(Q184),ISNUMBER(L184)),ROUND(Q184-IF(ISNUMBER(N184),N184,0)-IF(ISNUMBER(O184),O184,0)+IF(ISNUMBER(P184),P184,0),2),"")</f>
        <v/>
      </c>
      <c r="S184" s="9" t="str">
        <f aca="false">IF(R184="","",ROUND(L184-R184,2))</f>
        <v/>
      </c>
      <c r="T184" s="8" t="str">
        <f aca="false">IF(A184="","",IF(S184="","BYPASS",IF(ABS(S184)&lt;=Summary!$B$2,"PASS","FAIL")))</f>
        <v/>
      </c>
      <c r="U184" s="8" t="str">
        <f aca="false">IF(T184="BYPASS",IF(NOT(ISNUMBER(Q184)),"PreV_ETB missing","End_tr_balance missing"),IF(T184="FAIL",IF(AND(ISNUMBER(K184),ISNUMBER(L184),ABS(L184-(K184-IF(ISNUMBER(N184),N184,0)-IF(ISNUMBER(O184),O184,0)+IF(ISNUMBER(P184),P184,0)))&lt;=Summary!$B$2),"Passes using beginning_balance - PreV_ETB differs from beginning_balance",IF(AND(ISNUMBER(O184),O184&lt;0,ABS(L184-(Q184-IF(ISNUMBER(N184),N184,0)+IF(ISNUMBER(P184),P184,0)))&lt;=Summary!$B$2),"Negative realized loss not applied - check sign",IF(R184&lt;0,"Principal paid exceeds prior balance",IF(AND(L184&gt;Q184,NOT(ISNUMBER(P184))),"Balance increased but no Deferred_interest reported",IF(L184&gt;R184,"Reported balance higher than expected (missing increase/OC build)","Reported balance lower than expected (missing decrease)"))))),""))</f>
        <v/>
      </c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9"/>
      <c r="L185" s="9"/>
      <c r="M185" s="9"/>
      <c r="N185" s="9"/>
      <c r="O185" s="9"/>
      <c r="P185" s="9"/>
      <c r="Q185" s="9"/>
      <c r="R185" s="9" t="str">
        <f aca="false">IF(AND(A185&lt;&gt;"",ISNUMBER(Q185),ISNUMBER(L185)),ROUND(Q185-IF(ISNUMBER(N185),N185,0)-IF(ISNUMBER(O185),O185,0)+IF(ISNUMBER(P185),P185,0),2),"")</f>
        <v/>
      </c>
      <c r="S185" s="9" t="str">
        <f aca="false">IF(R185="","",ROUND(L185-R185,2))</f>
        <v/>
      </c>
      <c r="T185" s="8" t="str">
        <f aca="false">IF(A185="","",IF(S185="","BYPASS",IF(ABS(S185)&lt;=Summary!$B$2,"PASS","FAIL")))</f>
        <v/>
      </c>
      <c r="U185" s="8" t="str">
        <f aca="false">IF(T185="BYPASS",IF(NOT(ISNUMBER(Q185)),"PreV_ETB missing","End_tr_balance missing"),IF(T185="FAIL",IF(AND(ISNUMBER(K185),ISNUMBER(L185),ABS(L185-(K185-IF(ISNUMBER(N185),N185,0)-IF(ISNUMBER(O185),O185,0)+IF(ISNUMBER(P185),P185,0)))&lt;=Summary!$B$2),"Passes using beginning_balance - PreV_ETB differs from beginning_balance",IF(AND(ISNUMBER(O185),O185&lt;0,ABS(L185-(Q185-IF(ISNUMBER(N185),N185,0)+IF(ISNUMBER(P185),P185,0)))&lt;=Summary!$B$2),"Negative realized loss not applied - check sign",IF(R185&lt;0,"Principal paid exceeds prior balance",IF(AND(L185&gt;Q185,NOT(ISNUMBER(P185))),"Balance increased but no Deferred_interest reported",IF(L185&gt;R185,"Reported balance higher than expected (missing increase/OC build)","Reported balance lower than expected (missing decrease)"))))),""))</f>
        <v/>
      </c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9"/>
      <c r="L186" s="9"/>
      <c r="M186" s="9"/>
      <c r="N186" s="9"/>
      <c r="O186" s="9"/>
      <c r="P186" s="9"/>
      <c r="Q186" s="9"/>
      <c r="R186" s="9" t="str">
        <f aca="false">IF(AND(A186&lt;&gt;"",ISNUMBER(Q186),ISNUMBER(L186)),ROUND(Q186-IF(ISNUMBER(N186),N186,0)-IF(ISNUMBER(O186),O186,0)+IF(ISNUMBER(P186),P186,0),2),"")</f>
        <v/>
      </c>
      <c r="S186" s="9" t="str">
        <f aca="false">IF(R186="","",ROUND(L186-R186,2))</f>
        <v/>
      </c>
      <c r="T186" s="8" t="str">
        <f aca="false">IF(A186="","",IF(S186="","BYPASS",IF(ABS(S186)&lt;=Summary!$B$2,"PASS","FAIL")))</f>
        <v/>
      </c>
      <c r="U186" s="8" t="str">
        <f aca="false">IF(T186="BYPASS",IF(NOT(ISNUMBER(Q186)),"PreV_ETB missing","End_tr_balance missing"),IF(T186="FAIL",IF(AND(ISNUMBER(K186),ISNUMBER(L186),ABS(L186-(K186-IF(ISNUMBER(N186),N186,0)-IF(ISNUMBER(O186),O186,0)+IF(ISNUMBER(P186),P186,0)))&lt;=Summary!$B$2),"Passes using beginning_balance - PreV_ETB differs from beginning_balance",IF(AND(ISNUMBER(O186),O186&lt;0,ABS(L186-(Q186-IF(ISNUMBER(N186),N186,0)+IF(ISNUMBER(P186),P186,0)))&lt;=Summary!$B$2),"Negative realized loss not applied - check sign",IF(R186&lt;0,"Principal paid exceeds prior balance",IF(AND(L186&gt;Q186,NOT(ISNUMBER(P186))),"Balance increased but no Deferred_interest reported",IF(L186&gt;R186,"Reported balance higher than expected (missing increase/OC build)","Reported balance lower than expected (missing decrease)"))))),""))</f>
        <v/>
      </c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9"/>
      <c r="L187" s="9"/>
      <c r="M187" s="9"/>
      <c r="N187" s="9"/>
      <c r="O187" s="9"/>
      <c r="P187" s="9"/>
      <c r="Q187" s="9"/>
      <c r="R187" s="9" t="str">
        <f aca="false">IF(AND(A187&lt;&gt;"",ISNUMBER(Q187),ISNUMBER(L187)),ROUND(Q187-IF(ISNUMBER(N187),N187,0)-IF(ISNUMBER(O187),O187,0)+IF(ISNUMBER(P187),P187,0),2),"")</f>
        <v/>
      </c>
      <c r="S187" s="9" t="str">
        <f aca="false">IF(R187="","",ROUND(L187-R187,2))</f>
        <v/>
      </c>
      <c r="T187" s="8" t="str">
        <f aca="false">IF(A187="","",IF(S187="","BYPASS",IF(ABS(S187)&lt;=Summary!$B$2,"PASS","FAIL")))</f>
        <v/>
      </c>
      <c r="U187" s="8" t="str">
        <f aca="false">IF(T187="BYPASS",IF(NOT(ISNUMBER(Q187)),"PreV_ETB missing","End_tr_balance missing"),IF(T187="FAIL",IF(AND(ISNUMBER(K187),ISNUMBER(L187),ABS(L187-(K187-IF(ISNUMBER(N187),N187,0)-IF(ISNUMBER(O187),O187,0)+IF(ISNUMBER(P187),P187,0)))&lt;=Summary!$B$2),"Passes using beginning_balance - PreV_ETB differs from beginning_balance",IF(AND(ISNUMBER(O187),O187&lt;0,ABS(L187-(Q187-IF(ISNUMBER(N187),N187,0)+IF(ISNUMBER(P187),P187,0)))&lt;=Summary!$B$2),"Negative realized loss not applied - check sign",IF(R187&lt;0,"Principal paid exceeds prior balance",IF(AND(L187&gt;Q187,NOT(ISNUMBER(P187))),"Balance increased but no Deferred_interest reported",IF(L187&gt;R187,"Reported balance higher than expected (missing increase/OC build)","Reported balance lower than expected (missing decrease)"))))),""))</f>
        <v/>
      </c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9"/>
      <c r="L188" s="9"/>
      <c r="M188" s="9"/>
      <c r="N188" s="9"/>
      <c r="O188" s="9"/>
      <c r="P188" s="9"/>
      <c r="Q188" s="9"/>
      <c r="R188" s="9" t="str">
        <f aca="false">IF(AND(A188&lt;&gt;"",ISNUMBER(Q188),ISNUMBER(L188)),ROUND(Q188-IF(ISNUMBER(N188),N188,0)-IF(ISNUMBER(O188),O188,0)+IF(ISNUMBER(P188),P188,0),2),"")</f>
        <v/>
      </c>
      <c r="S188" s="9" t="str">
        <f aca="false">IF(R188="","",ROUND(L188-R188,2))</f>
        <v/>
      </c>
      <c r="T188" s="8" t="str">
        <f aca="false">IF(A188="","",IF(S188="","BYPASS",IF(ABS(S188)&lt;=Summary!$B$2,"PASS","FAIL")))</f>
        <v/>
      </c>
      <c r="U188" s="8" t="str">
        <f aca="false">IF(T188="BYPASS",IF(NOT(ISNUMBER(Q188)),"PreV_ETB missing","End_tr_balance missing"),IF(T188="FAIL",IF(AND(ISNUMBER(K188),ISNUMBER(L188),ABS(L188-(K188-IF(ISNUMBER(N188),N188,0)-IF(ISNUMBER(O188),O188,0)+IF(ISNUMBER(P188),P188,0)))&lt;=Summary!$B$2),"Passes using beginning_balance - PreV_ETB differs from beginning_balance",IF(AND(ISNUMBER(O188),O188&lt;0,ABS(L188-(Q188-IF(ISNUMBER(N188),N188,0)+IF(ISNUMBER(P188),P188,0)))&lt;=Summary!$B$2),"Negative realized loss not applied - check sign",IF(R188&lt;0,"Principal paid exceeds prior balance",IF(AND(L188&gt;Q188,NOT(ISNUMBER(P188))),"Balance increased but no Deferred_interest reported",IF(L188&gt;R188,"Reported balance higher than expected (missing increase/OC build)","Reported balance lower than expected (missing decrease)"))))),""))</f>
        <v/>
      </c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9"/>
      <c r="L189" s="9"/>
      <c r="M189" s="9"/>
      <c r="N189" s="9"/>
      <c r="O189" s="9"/>
      <c r="P189" s="9"/>
      <c r="Q189" s="9"/>
      <c r="R189" s="9" t="str">
        <f aca="false">IF(AND(A189&lt;&gt;"",ISNUMBER(Q189),ISNUMBER(L189)),ROUND(Q189-IF(ISNUMBER(N189),N189,0)-IF(ISNUMBER(O189),O189,0)+IF(ISNUMBER(P189),P189,0),2),"")</f>
        <v/>
      </c>
      <c r="S189" s="9" t="str">
        <f aca="false">IF(R189="","",ROUND(L189-R189,2))</f>
        <v/>
      </c>
      <c r="T189" s="8" t="str">
        <f aca="false">IF(A189="","",IF(S189="","BYPASS",IF(ABS(S189)&lt;=Summary!$B$2,"PASS","FAIL")))</f>
        <v/>
      </c>
      <c r="U189" s="8" t="str">
        <f aca="false">IF(T189="BYPASS",IF(NOT(ISNUMBER(Q189)),"PreV_ETB missing","End_tr_balance missing"),IF(T189="FAIL",IF(AND(ISNUMBER(K189),ISNUMBER(L189),ABS(L189-(K189-IF(ISNUMBER(N189),N189,0)-IF(ISNUMBER(O189),O189,0)+IF(ISNUMBER(P189),P189,0)))&lt;=Summary!$B$2),"Passes using beginning_balance - PreV_ETB differs from beginning_balance",IF(AND(ISNUMBER(O189),O189&lt;0,ABS(L189-(Q189-IF(ISNUMBER(N189),N189,0)+IF(ISNUMBER(P189),P189,0)))&lt;=Summary!$B$2),"Negative realized loss not applied - check sign",IF(R189&lt;0,"Principal paid exceeds prior balance",IF(AND(L189&gt;Q189,NOT(ISNUMBER(P189))),"Balance increased but no Deferred_interest reported",IF(L189&gt;R189,"Reported balance higher than expected (missing increase/OC build)","Reported balance lower than expected (missing decrease)"))))),""))</f>
        <v/>
      </c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9"/>
      <c r="L190" s="9"/>
      <c r="M190" s="9"/>
      <c r="N190" s="9"/>
      <c r="O190" s="9"/>
      <c r="P190" s="9"/>
      <c r="Q190" s="9"/>
      <c r="R190" s="9" t="str">
        <f aca="false">IF(AND(A190&lt;&gt;"",ISNUMBER(Q190),ISNUMBER(L190)),ROUND(Q190-IF(ISNUMBER(N190),N190,0)-IF(ISNUMBER(O190),O190,0)+IF(ISNUMBER(P190),P190,0),2),"")</f>
        <v/>
      </c>
      <c r="S190" s="9" t="str">
        <f aca="false">IF(R190="","",ROUND(L190-R190,2))</f>
        <v/>
      </c>
      <c r="T190" s="8" t="str">
        <f aca="false">IF(A190="","",IF(S190="","BYPASS",IF(ABS(S190)&lt;=Summary!$B$2,"PASS","FAIL")))</f>
        <v/>
      </c>
      <c r="U190" s="8" t="str">
        <f aca="false">IF(T190="BYPASS",IF(NOT(ISNUMBER(Q190)),"PreV_ETB missing","End_tr_balance missing"),IF(T190="FAIL",IF(AND(ISNUMBER(K190),ISNUMBER(L190),ABS(L190-(K190-IF(ISNUMBER(N190),N190,0)-IF(ISNUMBER(O190),O190,0)+IF(ISNUMBER(P190),P190,0)))&lt;=Summary!$B$2),"Passes using beginning_balance - PreV_ETB differs from beginning_balance",IF(AND(ISNUMBER(O190),O190&lt;0,ABS(L190-(Q190-IF(ISNUMBER(N190),N190,0)+IF(ISNUMBER(P190),P190,0)))&lt;=Summary!$B$2),"Negative realized loss not applied - check sign",IF(R190&lt;0,"Principal paid exceeds prior balance",IF(AND(L190&gt;Q190,NOT(ISNUMBER(P190))),"Balance increased but no Deferred_interest reported",IF(L190&gt;R190,"Reported balance higher than expected (missing increase/OC build)","Reported balance lower than expected (missing decrease)"))))),""))</f>
        <v/>
      </c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9"/>
      <c r="L191" s="9"/>
      <c r="M191" s="9"/>
      <c r="N191" s="9"/>
      <c r="O191" s="9"/>
      <c r="P191" s="9"/>
      <c r="Q191" s="9"/>
      <c r="R191" s="9" t="str">
        <f aca="false">IF(AND(A191&lt;&gt;"",ISNUMBER(Q191),ISNUMBER(L191)),ROUND(Q191-IF(ISNUMBER(N191),N191,0)-IF(ISNUMBER(O191),O191,0)+IF(ISNUMBER(P191),P191,0),2),"")</f>
        <v/>
      </c>
      <c r="S191" s="9" t="str">
        <f aca="false">IF(R191="","",ROUND(L191-R191,2))</f>
        <v/>
      </c>
      <c r="T191" s="8" t="str">
        <f aca="false">IF(A191="","",IF(S191="","BYPASS",IF(ABS(S191)&lt;=Summary!$B$2,"PASS","FAIL")))</f>
        <v/>
      </c>
      <c r="U191" s="8" t="str">
        <f aca="false">IF(T191="BYPASS",IF(NOT(ISNUMBER(Q191)),"PreV_ETB missing","End_tr_balance missing"),IF(T191="FAIL",IF(AND(ISNUMBER(K191),ISNUMBER(L191),ABS(L191-(K191-IF(ISNUMBER(N191),N191,0)-IF(ISNUMBER(O191),O191,0)+IF(ISNUMBER(P191),P191,0)))&lt;=Summary!$B$2),"Passes using beginning_balance - PreV_ETB differs from beginning_balance",IF(AND(ISNUMBER(O191),O191&lt;0,ABS(L191-(Q191-IF(ISNUMBER(N191),N191,0)+IF(ISNUMBER(P191),P191,0)))&lt;=Summary!$B$2),"Negative realized loss not applied - check sign",IF(R191&lt;0,"Principal paid exceeds prior balance",IF(AND(L191&gt;Q191,NOT(ISNUMBER(P191))),"Balance increased but no Deferred_interest reported",IF(L191&gt;R191,"Reported balance higher than expected (missing increase/OC build)","Reported balance lower than expected (missing decrease)"))))),""))</f>
        <v/>
      </c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9"/>
      <c r="L192" s="9"/>
      <c r="M192" s="9"/>
      <c r="N192" s="9"/>
      <c r="O192" s="9"/>
      <c r="P192" s="9"/>
      <c r="Q192" s="9"/>
      <c r="R192" s="9" t="str">
        <f aca="false">IF(AND(A192&lt;&gt;"",ISNUMBER(Q192),ISNUMBER(L192)),ROUND(Q192-IF(ISNUMBER(N192),N192,0)-IF(ISNUMBER(O192),O192,0)+IF(ISNUMBER(P192),P192,0),2),"")</f>
        <v/>
      </c>
      <c r="S192" s="9" t="str">
        <f aca="false">IF(R192="","",ROUND(L192-R192,2))</f>
        <v/>
      </c>
      <c r="T192" s="8" t="str">
        <f aca="false">IF(A192="","",IF(S192="","BYPASS",IF(ABS(S192)&lt;=Summary!$B$2,"PASS","FAIL")))</f>
        <v/>
      </c>
      <c r="U192" s="8" t="str">
        <f aca="false">IF(T192="BYPASS",IF(NOT(ISNUMBER(Q192)),"PreV_ETB missing","End_tr_balance missing"),IF(T192="FAIL",IF(AND(ISNUMBER(K192),ISNUMBER(L192),ABS(L192-(K192-IF(ISNUMBER(N192),N192,0)-IF(ISNUMBER(O192),O192,0)+IF(ISNUMBER(P192),P192,0)))&lt;=Summary!$B$2),"Passes using beginning_balance - PreV_ETB differs from beginning_balance",IF(AND(ISNUMBER(O192),O192&lt;0,ABS(L192-(Q192-IF(ISNUMBER(N192),N192,0)+IF(ISNUMBER(P192),P192,0)))&lt;=Summary!$B$2),"Negative realized loss not applied - check sign",IF(R192&lt;0,"Principal paid exceeds prior balance",IF(AND(L192&gt;Q192,NOT(ISNUMBER(P192))),"Balance increased but no Deferred_interest reported",IF(L192&gt;R192,"Reported balance higher than expected (missing increase/OC build)","Reported balance lower than expected (missing decrease)"))))),""))</f>
        <v/>
      </c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9"/>
      <c r="L193" s="9"/>
      <c r="M193" s="9"/>
      <c r="N193" s="9"/>
      <c r="O193" s="9"/>
      <c r="P193" s="9"/>
      <c r="Q193" s="9"/>
      <c r="R193" s="9" t="str">
        <f aca="false">IF(AND(A193&lt;&gt;"",ISNUMBER(Q193),ISNUMBER(L193)),ROUND(Q193-IF(ISNUMBER(N193),N193,0)-IF(ISNUMBER(O193),O193,0)+IF(ISNUMBER(P193),P193,0),2),"")</f>
        <v/>
      </c>
      <c r="S193" s="9" t="str">
        <f aca="false">IF(R193="","",ROUND(L193-R193,2))</f>
        <v/>
      </c>
      <c r="T193" s="8" t="str">
        <f aca="false">IF(A193="","",IF(S193="","BYPASS",IF(ABS(S193)&lt;=Summary!$B$2,"PASS","FAIL")))</f>
        <v/>
      </c>
      <c r="U193" s="8" t="str">
        <f aca="false">IF(T193="BYPASS",IF(NOT(ISNUMBER(Q193)),"PreV_ETB missing","End_tr_balance missing"),IF(T193="FAIL",IF(AND(ISNUMBER(K193),ISNUMBER(L193),ABS(L193-(K193-IF(ISNUMBER(N193),N193,0)-IF(ISNUMBER(O193),O193,0)+IF(ISNUMBER(P193),P193,0)))&lt;=Summary!$B$2),"Passes using beginning_balance - PreV_ETB differs from beginning_balance",IF(AND(ISNUMBER(O193),O193&lt;0,ABS(L193-(Q193-IF(ISNUMBER(N193),N193,0)+IF(ISNUMBER(P193),P193,0)))&lt;=Summary!$B$2),"Negative realized loss not applied - check sign",IF(R193&lt;0,"Principal paid exceeds prior balance",IF(AND(L193&gt;Q193,NOT(ISNUMBER(P193))),"Balance increased but no Deferred_interest reported",IF(L193&gt;R193,"Reported balance higher than expected (missing increase/OC build)","Reported balance lower than expected (missing decrease)"))))),""))</f>
        <v/>
      </c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9"/>
      <c r="L194" s="9"/>
      <c r="M194" s="9"/>
      <c r="N194" s="9"/>
      <c r="O194" s="9"/>
      <c r="P194" s="9"/>
      <c r="Q194" s="9"/>
      <c r="R194" s="9" t="str">
        <f aca="false">IF(AND(A194&lt;&gt;"",ISNUMBER(Q194),ISNUMBER(L194)),ROUND(Q194-IF(ISNUMBER(N194),N194,0)-IF(ISNUMBER(O194),O194,0)+IF(ISNUMBER(P194),P194,0),2),"")</f>
        <v/>
      </c>
      <c r="S194" s="9" t="str">
        <f aca="false">IF(R194="","",ROUND(L194-R194,2))</f>
        <v/>
      </c>
      <c r="T194" s="8" t="str">
        <f aca="false">IF(A194="","",IF(S194="","BYPASS",IF(ABS(S194)&lt;=Summary!$B$2,"PASS","FAIL")))</f>
        <v/>
      </c>
      <c r="U194" s="8" t="str">
        <f aca="false">IF(T194="BYPASS",IF(NOT(ISNUMBER(Q194)),"PreV_ETB missing","End_tr_balance missing"),IF(T194="FAIL",IF(AND(ISNUMBER(K194),ISNUMBER(L194),ABS(L194-(K194-IF(ISNUMBER(N194),N194,0)-IF(ISNUMBER(O194),O194,0)+IF(ISNUMBER(P194),P194,0)))&lt;=Summary!$B$2),"Passes using beginning_balance - PreV_ETB differs from beginning_balance",IF(AND(ISNUMBER(O194),O194&lt;0,ABS(L194-(Q194-IF(ISNUMBER(N194),N194,0)+IF(ISNUMBER(P194),P194,0)))&lt;=Summary!$B$2),"Negative realized loss not applied - check sign",IF(R194&lt;0,"Principal paid exceeds prior balance",IF(AND(L194&gt;Q194,NOT(ISNUMBER(P194))),"Balance increased but no Deferred_interest reported",IF(L194&gt;R194,"Reported balance higher than expected (missing increase/OC build)","Reported balance lower than expected (missing decrease)"))))),""))</f>
        <v/>
      </c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9"/>
      <c r="L195" s="9"/>
      <c r="M195" s="9"/>
      <c r="N195" s="9"/>
      <c r="O195" s="9"/>
      <c r="P195" s="9"/>
      <c r="Q195" s="9"/>
      <c r="R195" s="9" t="str">
        <f aca="false">IF(AND(A195&lt;&gt;"",ISNUMBER(Q195),ISNUMBER(L195)),ROUND(Q195-IF(ISNUMBER(N195),N195,0)-IF(ISNUMBER(O195),O195,0)+IF(ISNUMBER(P195),P195,0),2),"")</f>
        <v/>
      </c>
      <c r="S195" s="9" t="str">
        <f aca="false">IF(R195="","",ROUND(L195-R195,2))</f>
        <v/>
      </c>
      <c r="T195" s="8" t="str">
        <f aca="false">IF(A195="","",IF(S195="","BYPASS",IF(ABS(S195)&lt;=Summary!$B$2,"PASS","FAIL")))</f>
        <v/>
      </c>
      <c r="U195" s="8" t="str">
        <f aca="false">IF(T195="BYPASS",IF(NOT(ISNUMBER(Q195)),"PreV_ETB missing","End_tr_balance missing"),IF(T195="FAIL",IF(AND(ISNUMBER(K195),ISNUMBER(L195),ABS(L195-(K195-IF(ISNUMBER(N195),N195,0)-IF(ISNUMBER(O195),O195,0)+IF(ISNUMBER(P195),P195,0)))&lt;=Summary!$B$2),"Passes using beginning_balance - PreV_ETB differs from beginning_balance",IF(AND(ISNUMBER(O195),O195&lt;0,ABS(L195-(Q195-IF(ISNUMBER(N195),N195,0)+IF(ISNUMBER(P195),P195,0)))&lt;=Summary!$B$2),"Negative realized loss not applied - check sign",IF(R195&lt;0,"Principal paid exceeds prior balance",IF(AND(L195&gt;Q195,NOT(ISNUMBER(P195))),"Balance increased but no Deferred_interest reported",IF(L195&gt;R195,"Reported balance higher than expected (missing increase/OC build)","Reported balance lower than expected (missing decrease)"))))),""))</f>
        <v/>
      </c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9"/>
      <c r="L196" s="9"/>
      <c r="M196" s="9"/>
      <c r="N196" s="9"/>
      <c r="O196" s="9"/>
      <c r="P196" s="9"/>
      <c r="Q196" s="9"/>
      <c r="R196" s="9" t="str">
        <f aca="false">IF(AND(A196&lt;&gt;"",ISNUMBER(Q196),ISNUMBER(L196)),ROUND(Q196-IF(ISNUMBER(N196),N196,0)-IF(ISNUMBER(O196),O196,0)+IF(ISNUMBER(P196),P196,0),2),"")</f>
        <v/>
      </c>
      <c r="S196" s="9" t="str">
        <f aca="false">IF(R196="","",ROUND(L196-R196,2))</f>
        <v/>
      </c>
      <c r="T196" s="8" t="str">
        <f aca="false">IF(A196="","",IF(S196="","BYPASS",IF(ABS(S196)&lt;=Summary!$B$2,"PASS","FAIL")))</f>
        <v/>
      </c>
      <c r="U196" s="8" t="str">
        <f aca="false">IF(T196="BYPASS",IF(NOT(ISNUMBER(Q196)),"PreV_ETB missing","End_tr_balance missing"),IF(T196="FAIL",IF(AND(ISNUMBER(K196),ISNUMBER(L196),ABS(L196-(K196-IF(ISNUMBER(N196),N196,0)-IF(ISNUMBER(O196),O196,0)+IF(ISNUMBER(P196),P196,0)))&lt;=Summary!$B$2),"Passes using beginning_balance - PreV_ETB differs from beginning_balance",IF(AND(ISNUMBER(O196),O196&lt;0,ABS(L196-(Q196-IF(ISNUMBER(N196),N196,0)+IF(ISNUMBER(P196),P196,0)))&lt;=Summary!$B$2),"Negative realized loss not applied - check sign",IF(R196&lt;0,"Principal paid exceeds prior balance",IF(AND(L196&gt;Q196,NOT(ISNUMBER(P196))),"Balance increased but no Deferred_interest reported",IF(L196&gt;R196,"Reported balance higher than expected (missing increase/OC build)","Reported balance lower than expected (missing decrease)"))))),""))</f>
        <v/>
      </c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9"/>
      <c r="L197" s="9"/>
      <c r="M197" s="9"/>
      <c r="N197" s="9"/>
      <c r="O197" s="9"/>
      <c r="P197" s="9"/>
      <c r="Q197" s="9"/>
      <c r="R197" s="9" t="str">
        <f aca="false">IF(AND(A197&lt;&gt;"",ISNUMBER(Q197),ISNUMBER(L197)),ROUND(Q197-IF(ISNUMBER(N197),N197,0)-IF(ISNUMBER(O197),O197,0)+IF(ISNUMBER(P197),P197,0),2),"")</f>
        <v/>
      </c>
      <c r="S197" s="9" t="str">
        <f aca="false">IF(R197="","",ROUND(L197-R197,2))</f>
        <v/>
      </c>
      <c r="T197" s="8" t="str">
        <f aca="false">IF(A197="","",IF(S197="","BYPASS",IF(ABS(S197)&lt;=Summary!$B$2,"PASS","FAIL")))</f>
        <v/>
      </c>
      <c r="U197" s="8" t="str">
        <f aca="false">IF(T197="BYPASS",IF(NOT(ISNUMBER(Q197)),"PreV_ETB missing","End_tr_balance missing"),IF(T197="FAIL",IF(AND(ISNUMBER(K197),ISNUMBER(L197),ABS(L197-(K197-IF(ISNUMBER(N197),N197,0)-IF(ISNUMBER(O197),O197,0)+IF(ISNUMBER(P197),P197,0)))&lt;=Summary!$B$2),"Passes using beginning_balance - PreV_ETB differs from beginning_balance",IF(AND(ISNUMBER(O197),O197&lt;0,ABS(L197-(Q197-IF(ISNUMBER(N197),N197,0)+IF(ISNUMBER(P197),P197,0)))&lt;=Summary!$B$2),"Negative realized loss not applied - check sign",IF(R197&lt;0,"Principal paid exceeds prior balance",IF(AND(L197&gt;Q197,NOT(ISNUMBER(P197))),"Balance increased but no Deferred_interest reported",IF(L197&gt;R197,"Reported balance higher than expected (missing increase/OC build)","Reported balance lower than expected (missing decrease)"))))),""))</f>
        <v/>
      </c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9"/>
      <c r="L198" s="9"/>
      <c r="M198" s="9"/>
      <c r="N198" s="9"/>
      <c r="O198" s="9"/>
      <c r="P198" s="9"/>
      <c r="Q198" s="9"/>
      <c r="R198" s="9" t="str">
        <f aca="false">IF(AND(A198&lt;&gt;"",ISNUMBER(Q198),ISNUMBER(L198)),ROUND(Q198-IF(ISNUMBER(N198),N198,0)-IF(ISNUMBER(O198),O198,0)+IF(ISNUMBER(P198),P198,0),2),"")</f>
        <v/>
      </c>
      <c r="S198" s="9" t="str">
        <f aca="false">IF(R198="","",ROUND(L198-R198,2))</f>
        <v/>
      </c>
      <c r="T198" s="8" t="str">
        <f aca="false">IF(A198="","",IF(S198="","BYPASS",IF(ABS(S198)&lt;=Summary!$B$2,"PASS","FAIL")))</f>
        <v/>
      </c>
      <c r="U198" s="8" t="str">
        <f aca="false">IF(T198="BYPASS",IF(NOT(ISNUMBER(Q198)),"PreV_ETB missing","End_tr_balance missing"),IF(T198="FAIL",IF(AND(ISNUMBER(K198),ISNUMBER(L198),ABS(L198-(K198-IF(ISNUMBER(N198),N198,0)-IF(ISNUMBER(O198),O198,0)+IF(ISNUMBER(P198),P198,0)))&lt;=Summary!$B$2),"Passes using beginning_balance - PreV_ETB differs from beginning_balance",IF(AND(ISNUMBER(O198),O198&lt;0,ABS(L198-(Q198-IF(ISNUMBER(N198),N198,0)+IF(ISNUMBER(P198),P198,0)))&lt;=Summary!$B$2),"Negative realized loss not applied - check sign",IF(R198&lt;0,"Principal paid exceeds prior balance",IF(AND(L198&gt;Q198,NOT(ISNUMBER(P198))),"Balance increased but no Deferred_interest reported",IF(L198&gt;R198,"Reported balance higher than expected (missing increase/OC build)","Reported balance lower than expected (missing decrease)"))))),""))</f>
        <v/>
      </c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9"/>
      <c r="L199" s="9"/>
      <c r="M199" s="9"/>
      <c r="N199" s="9"/>
      <c r="O199" s="9"/>
      <c r="P199" s="9"/>
      <c r="Q199" s="9"/>
      <c r="R199" s="9" t="str">
        <f aca="false">IF(AND(A199&lt;&gt;"",ISNUMBER(Q199),ISNUMBER(L199)),ROUND(Q199-IF(ISNUMBER(N199),N199,0)-IF(ISNUMBER(O199),O199,0)+IF(ISNUMBER(P199),P199,0),2),"")</f>
        <v/>
      </c>
      <c r="S199" s="9" t="str">
        <f aca="false">IF(R199="","",ROUND(L199-R199,2))</f>
        <v/>
      </c>
      <c r="T199" s="8" t="str">
        <f aca="false">IF(A199="","",IF(S199="","BYPASS",IF(ABS(S199)&lt;=Summary!$B$2,"PASS","FAIL")))</f>
        <v/>
      </c>
      <c r="U199" s="8" t="str">
        <f aca="false">IF(T199="BYPASS",IF(NOT(ISNUMBER(Q199)),"PreV_ETB missing","End_tr_balance missing"),IF(T199="FAIL",IF(AND(ISNUMBER(K199),ISNUMBER(L199),ABS(L199-(K199-IF(ISNUMBER(N199),N199,0)-IF(ISNUMBER(O199),O199,0)+IF(ISNUMBER(P199),P199,0)))&lt;=Summary!$B$2),"Passes using beginning_balance - PreV_ETB differs from beginning_balance",IF(AND(ISNUMBER(O199),O199&lt;0,ABS(L199-(Q199-IF(ISNUMBER(N199),N199,0)+IF(ISNUMBER(P199),P199,0)))&lt;=Summary!$B$2),"Negative realized loss not applied - check sign",IF(R199&lt;0,"Principal paid exceeds prior balance",IF(AND(L199&gt;Q199,NOT(ISNUMBER(P199))),"Balance increased but no Deferred_interest reported",IF(L199&gt;R199,"Reported balance higher than expected (missing increase/OC build)","Reported balance lower than expected (missing decrease)"))))),""))</f>
        <v/>
      </c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9"/>
      <c r="L200" s="9"/>
      <c r="M200" s="9"/>
      <c r="N200" s="9"/>
      <c r="O200" s="9"/>
      <c r="P200" s="9"/>
      <c r="Q200" s="9"/>
      <c r="R200" s="9" t="str">
        <f aca="false">IF(AND(A200&lt;&gt;"",ISNUMBER(Q200),ISNUMBER(L200)),ROUND(Q200-IF(ISNUMBER(N200),N200,0)-IF(ISNUMBER(O200),O200,0)+IF(ISNUMBER(P200),P200,0),2),"")</f>
        <v/>
      </c>
      <c r="S200" s="9" t="str">
        <f aca="false">IF(R200="","",ROUND(L200-R200,2))</f>
        <v/>
      </c>
      <c r="T200" s="8" t="str">
        <f aca="false">IF(A200="","",IF(S200="","BYPASS",IF(ABS(S200)&lt;=Summary!$B$2,"PASS","FAIL")))</f>
        <v/>
      </c>
      <c r="U200" s="8" t="str">
        <f aca="false">IF(T200="BYPASS",IF(NOT(ISNUMBER(Q200)),"PreV_ETB missing","End_tr_balance missing"),IF(T200="FAIL",IF(AND(ISNUMBER(K200),ISNUMBER(L200),ABS(L200-(K200-IF(ISNUMBER(N200),N200,0)-IF(ISNUMBER(O200),O200,0)+IF(ISNUMBER(P200),P200,0)))&lt;=Summary!$B$2),"Passes using beginning_balance - PreV_ETB differs from beginning_balance",IF(AND(ISNUMBER(O200),O200&lt;0,ABS(L200-(Q200-IF(ISNUMBER(N200),N200,0)+IF(ISNUMBER(P200),P200,0)))&lt;=Summary!$B$2),"Negative realized loss not applied - check sign",IF(R200&lt;0,"Principal paid exceeds prior balance",IF(AND(L200&gt;Q200,NOT(ISNUMBER(P200))),"Balance increased but no Deferred_interest reported",IF(L200&gt;R200,"Reported balance higher than expected (missing increase/OC build)","Reported balance lower than expected (missing decrease)"))))),""))</f>
        <v/>
      </c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9"/>
      <c r="L201" s="9"/>
      <c r="M201" s="9"/>
      <c r="N201" s="9"/>
      <c r="O201" s="9"/>
      <c r="P201" s="9"/>
      <c r="Q201" s="9"/>
      <c r="R201" s="9" t="str">
        <f aca="false">IF(AND(A201&lt;&gt;"",ISNUMBER(Q201),ISNUMBER(L201)),ROUND(Q201-IF(ISNUMBER(N201),N201,0)-IF(ISNUMBER(O201),O201,0)+IF(ISNUMBER(P201),P201,0),2),"")</f>
        <v/>
      </c>
      <c r="S201" s="9" t="str">
        <f aca="false">IF(R201="","",ROUND(L201-R201,2))</f>
        <v/>
      </c>
      <c r="T201" s="8" t="str">
        <f aca="false">IF(A201="","",IF(S201="","BYPASS",IF(ABS(S201)&lt;=Summary!$B$2,"PASS","FAIL")))</f>
        <v/>
      </c>
      <c r="U201" s="8" t="str">
        <f aca="false">IF(T201="BYPASS",IF(NOT(ISNUMBER(Q201)),"PreV_ETB missing","End_tr_balance missing"),IF(T201="FAIL",IF(AND(ISNUMBER(K201),ISNUMBER(L201),ABS(L201-(K201-IF(ISNUMBER(N201),N201,0)-IF(ISNUMBER(O201),O201,0)+IF(ISNUMBER(P201),P201,0)))&lt;=Summary!$B$2),"Passes using beginning_balance - PreV_ETB differs from beginning_balance",IF(AND(ISNUMBER(O201),O201&lt;0,ABS(L201-(Q201-IF(ISNUMBER(N201),N201,0)+IF(ISNUMBER(P201),P201,0)))&lt;=Summary!$B$2),"Negative realized loss not applied - check sign",IF(R201&lt;0,"Principal paid exceeds prior balance",IF(AND(L201&gt;Q201,NOT(ISNUMBER(P201))),"Balance increased but no Deferred_interest reported",IF(L201&gt;R201,"Reported balance higher than expected (missing increase/OC build)","Reported balance lower than expected (missing decrease)"))))),""))</f>
        <v/>
      </c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9"/>
      <c r="L202" s="9"/>
      <c r="M202" s="9"/>
      <c r="N202" s="9"/>
      <c r="O202" s="9"/>
      <c r="P202" s="9"/>
      <c r="Q202" s="9"/>
      <c r="R202" s="9" t="str">
        <f aca="false">IF(AND(A202&lt;&gt;"",ISNUMBER(Q202),ISNUMBER(L202)),ROUND(Q202-IF(ISNUMBER(N202),N202,0)-IF(ISNUMBER(O202),O202,0)+IF(ISNUMBER(P202),P202,0),2),"")</f>
        <v/>
      </c>
      <c r="S202" s="9" t="str">
        <f aca="false">IF(R202="","",ROUND(L202-R202,2))</f>
        <v/>
      </c>
      <c r="T202" s="8" t="str">
        <f aca="false">IF(A202="","",IF(S202="","BYPASS",IF(ABS(S202)&lt;=Summary!$B$2,"PASS","FAIL")))</f>
        <v/>
      </c>
      <c r="U202" s="8" t="str">
        <f aca="false">IF(T202="BYPASS",IF(NOT(ISNUMBER(Q202)),"PreV_ETB missing","End_tr_balance missing"),IF(T202="FAIL",IF(AND(ISNUMBER(K202),ISNUMBER(L202),ABS(L202-(K202-IF(ISNUMBER(N202),N202,0)-IF(ISNUMBER(O202),O202,0)+IF(ISNUMBER(P202),P202,0)))&lt;=Summary!$B$2),"Passes using beginning_balance - PreV_ETB differs from beginning_balance",IF(AND(ISNUMBER(O202),O202&lt;0,ABS(L202-(Q202-IF(ISNUMBER(N202),N202,0)+IF(ISNUMBER(P202),P202,0)))&lt;=Summary!$B$2),"Negative realized loss not applied - check sign",IF(R202&lt;0,"Principal paid exceeds prior balance",IF(AND(L202&gt;Q202,NOT(ISNUMBER(P202))),"Balance increased but no Deferred_interest reported",IF(L202&gt;R202,"Reported balance higher than expected (missing increase/OC build)","Reported balance lower than expected (missing decrease)"))))),""))</f>
        <v/>
      </c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9"/>
      <c r="L203" s="9"/>
      <c r="M203" s="9"/>
      <c r="N203" s="9"/>
      <c r="O203" s="9"/>
      <c r="P203" s="9"/>
      <c r="Q203" s="9"/>
      <c r="R203" s="9" t="str">
        <f aca="false">IF(AND(A203&lt;&gt;"",ISNUMBER(Q203),ISNUMBER(L203)),ROUND(Q203-IF(ISNUMBER(N203),N203,0)-IF(ISNUMBER(O203),O203,0)+IF(ISNUMBER(P203),P203,0),2),"")</f>
        <v/>
      </c>
      <c r="S203" s="9" t="str">
        <f aca="false">IF(R203="","",ROUND(L203-R203,2))</f>
        <v/>
      </c>
      <c r="T203" s="8" t="str">
        <f aca="false">IF(A203="","",IF(S203="","BYPASS",IF(ABS(S203)&lt;=Summary!$B$2,"PASS","FAIL")))</f>
        <v/>
      </c>
      <c r="U203" s="8" t="str">
        <f aca="false">IF(T203="BYPASS",IF(NOT(ISNUMBER(Q203)),"PreV_ETB missing","End_tr_balance missing"),IF(T203="FAIL",IF(AND(ISNUMBER(K203),ISNUMBER(L203),ABS(L203-(K203-IF(ISNUMBER(N203),N203,0)-IF(ISNUMBER(O203),O203,0)+IF(ISNUMBER(P203),P203,0)))&lt;=Summary!$B$2),"Passes using beginning_balance - PreV_ETB differs from beginning_balance",IF(AND(ISNUMBER(O203),O203&lt;0,ABS(L203-(Q203-IF(ISNUMBER(N203),N203,0)+IF(ISNUMBER(P203),P203,0)))&lt;=Summary!$B$2),"Negative realized loss not applied - check sign",IF(R203&lt;0,"Principal paid exceeds prior balance",IF(AND(L203&gt;Q203,NOT(ISNUMBER(P203))),"Balance increased but no Deferred_interest reported",IF(L203&gt;R203,"Reported balance higher than expected (missing increase/OC build)","Reported balance lower than expected (missing decrease)"))))),""))</f>
        <v/>
      </c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9"/>
      <c r="L204" s="9"/>
      <c r="M204" s="9"/>
      <c r="N204" s="9"/>
      <c r="O204" s="9"/>
      <c r="P204" s="9"/>
      <c r="Q204" s="9"/>
      <c r="R204" s="9" t="str">
        <f aca="false">IF(AND(A204&lt;&gt;"",ISNUMBER(Q204),ISNUMBER(L204)),ROUND(Q204-IF(ISNUMBER(N204),N204,0)-IF(ISNUMBER(O204),O204,0)+IF(ISNUMBER(P204),P204,0),2),"")</f>
        <v/>
      </c>
      <c r="S204" s="9" t="str">
        <f aca="false">IF(R204="","",ROUND(L204-R204,2))</f>
        <v/>
      </c>
      <c r="T204" s="8" t="str">
        <f aca="false">IF(A204="","",IF(S204="","BYPASS",IF(ABS(S204)&lt;=Summary!$B$2,"PASS","FAIL")))</f>
        <v/>
      </c>
      <c r="U204" s="8" t="str">
        <f aca="false">IF(T204="BYPASS",IF(NOT(ISNUMBER(Q204)),"PreV_ETB missing","End_tr_balance missing"),IF(T204="FAIL",IF(AND(ISNUMBER(K204),ISNUMBER(L204),ABS(L204-(K204-IF(ISNUMBER(N204),N204,0)-IF(ISNUMBER(O204),O204,0)+IF(ISNUMBER(P204),P204,0)))&lt;=Summary!$B$2),"Passes using beginning_balance - PreV_ETB differs from beginning_balance",IF(AND(ISNUMBER(O204),O204&lt;0,ABS(L204-(Q204-IF(ISNUMBER(N204),N204,0)+IF(ISNUMBER(P204),P204,0)))&lt;=Summary!$B$2),"Negative realized loss not applied - check sign",IF(R204&lt;0,"Principal paid exceeds prior balance",IF(AND(L204&gt;Q204,NOT(ISNUMBER(P204))),"Balance increased but no Deferred_interest reported",IF(L204&gt;R204,"Reported balance higher than expected (missing increase/OC build)","Reported balance lower than expected (missing decrease)"))))),""))</f>
        <v/>
      </c>
    </row>
    <row r="205" customFormat="false" ht="15" hidden="false" customHeight="fals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9"/>
      <c r="L205" s="9"/>
      <c r="M205" s="9"/>
      <c r="N205" s="9"/>
      <c r="O205" s="9"/>
      <c r="P205" s="9"/>
      <c r="Q205" s="9"/>
      <c r="R205" s="9" t="str">
        <f aca="false">IF(AND(A205&lt;&gt;"",ISNUMBER(Q205),ISNUMBER(L205)),ROUND(Q205-IF(ISNUMBER(N205),N205,0)-IF(ISNUMBER(O205),O205,0)+IF(ISNUMBER(P205),P205,0),2),"")</f>
        <v/>
      </c>
      <c r="S205" s="9" t="str">
        <f aca="false">IF(R205="","",ROUND(L205-R205,2))</f>
        <v/>
      </c>
      <c r="T205" s="8" t="str">
        <f aca="false">IF(A205="","",IF(S205="","BYPASS",IF(ABS(S205)&lt;=Summary!$B$2,"PASS","FAIL")))</f>
        <v/>
      </c>
      <c r="U205" s="8" t="str">
        <f aca="false">IF(T205="BYPASS",IF(NOT(ISNUMBER(Q205)),"PreV_ETB missing","End_tr_balance missing"),IF(T205="FAIL",IF(AND(ISNUMBER(K205),ISNUMBER(L205),ABS(L205-(K205-IF(ISNUMBER(N205),N205,0)-IF(ISNUMBER(O205),O205,0)+IF(ISNUMBER(P205),P205,0)))&lt;=Summary!$B$2),"Passes using beginning_balance - PreV_ETB differs from beginning_balance",IF(AND(ISNUMBER(O205),O205&lt;0,ABS(L205-(Q205-IF(ISNUMBER(N205),N205,0)+IF(ISNUMBER(P205),P205,0)))&lt;=Summary!$B$2),"Negative realized loss not applied - check sign",IF(R205&lt;0,"Principal paid exceeds prior balance",IF(AND(L205&gt;Q205,NOT(ISNUMBER(P205))),"Balance increased but no Deferred_interest reported",IF(L205&gt;R205,"Reported balance higher than expected (missing increase/OC build)","Reported balance lower than expected (missing decrease)"))))),""))</f>
        <v/>
      </c>
    </row>
    <row r="206" customFormat="false" ht="15" hidden="false" customHeight="fals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9"/>
      <c r="L206" s="9"/>
      <c r="M206" s="9"/>
      <c r="N206" s="9"/>
      <c r="O206" s="9"/>
      <c r="P206" s="9"/>
      <c r="Q206" s="9"/>
      <c r="R206" s="9" t="str">
        <f aca="false">IF(AND(A206&lt;&gt;"",ISNUMBER(Q206),ISNUMBER(L206)),ROUND(Q206-IF(ISNUMBER(N206),N206,0)-IF(ISNUMBER(O206),O206,0)+IF(ISNUMBER(P206),P206,0),2),"")</f>
        <v/>
      </c>
      <c r="S206" s="9" t="str">
        <f aca="false">IF(R206="","",ROUND(L206-R206,2))</f>
        <v/>
      </c>
      <c r="T206" s="8" t="str">
        <f aca="false">IF(A206="","",IF(S206="","BYPASS",IF(ABS(S206)&lt;=Summary!$B$2,"PASS","FAIL")))</f>
        <v/>
      </c>
      <c r="U206" s="8" t="str">
        <f aca="false">IF(T206="BYPASS",IF(NOT(ISNUMBER(Q206)),"PreV_ETB missing","End_tr_balance missing"),IF(T206="FAIL",IF(AND(ISNUMBER(K206),ISNUMBER(L206),ABS(L206-(K206-IF(ISNUMBER(N206),N206,0)-IF(ISNUMBER(O206),O206,0)+IF(ISNUMBER(P206),P206,0)))&lt;=Summary!$B$2),"Passes using beginning_balance - PreV_ETB differs from beginning_balance",IF(AND(ISNUMBER(O206),O206&lt;0,ABS(L206-(Q206-IF(ISNUMBER(N206),N206,0)+IF(ISNUMBER(P206),P206,0)))&lt;=Summary!$B$2),"Negative realized loss not applied - check sign",IF(R206&lt;0,"Principal paid exceeds prior balance",IF(AND(L206&gt;Q206,NOT(ISNUMBER(P206))),"Balance increased but no Deferred_interest reported",IF(L206&gt;R206,"Reported balance higher than expected (missing increase/OC build)","Reported balance lower than expected (missing decrease)"))))),""))</f>
        <v/>
      </c>
    </row>
    <row r="207" customFormat="false" ht="15" hidden="false" customHeight="fals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9"/>
      <c r="L207" s="9"/>
      <c r="M207" s="9"/>
      <c r="N207" s="9"/>
      <c r="O207" s="9"/>
      <c r="P207" s="9"/>
      <c r="Q207" s="9"/>
      <c r="R207" s="9" t="str">
        <f aca="false">IF(AND(A207&lt;&gt;"",ISNUMBER(Q207),ISNUMBER(L207)),ROUND(Q207-IF(ISNUMBER(N207),N207,0)-IF(ISNUMBER(O207),O207,0)+IF(ISNUMBER(P207),P207,0),2),"")</f>
        <v/>
      </c>
      <c r="S207" s="9" t="str">
        <f aca="false">IF(R207="","",ROUND(L207-R207,2))</f>
        <v/>
      </c>
      <c r="T207" s="8" t="str">
        <f aca="false">IF(A207="","",IF(S207="","BYPASS",IF(ABS(S207)&lt;=Summary!$B$2,"PASS","FAIL")))</f>
        <v/>
      </c>
      <c r="U207" s="8" t="str">
        <f aca="false">IF(T207="BYPASS",IF(NOT(ISNUMBER(Q207)),"PreV_ETB missing","End_tr_balance missing"),IF(T207="FAIL",IF(AND(ISNUMBER(K207),ISNUMBER(L207),ABS(L207-(K207-IF(ISNUMBER(N207),N207,0)-IF(ISNUMBER(O207),O207,0)+IF(ISNUMBER(P207),P207,0)))&lt;=Summary!$B$2),"Passes using beginning_balance - PreV_ETB differs from beginning_balance",IF(AND(ISNUMBER(O207),O207&lt;0,ABS(L207-(Q207-IF(ISNUMBER(N207),N207,0)+IF(ISNUMBER(P207),P207,0)))&lt;=Summary!$B$2),"Negative realized loss not applied - check sign",IF(R207&lt;0,"Principal paid exceeds prior balance",IF(AND(L207&gt;Q207,NOT(ISNUMBER(P207))),"Balance increased but no Deferred_interest reported",IF(L207&gt;R207,"Reported balance higher than expected (missing increase/OC build)","Reported balance lower than expected (missing decrease)"))))),""))</f>
        <v/>
      </c>
    </row>
    <row r="208" customFormat="false" ht="15" hidden="false" customHeight="fals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9"/>
      <c r="L208" s="9"/>
      <c r="M208" s="9"/>
      <c r="N208" s="9"/>
      <c r="O208" s="9"/>
      <c r="P208" s="9"/>
      <c r="Q208" s="9"/>
      <c r="R208" s="9" t="str">
        <f aca="false">IF(AND(A208&lt;&gt;"",ISNUMBER(Q208),ISNUMBER(L208)),ROUND(Q208-IF(ISNUMBER(N208),N208,0)-IF(ISNUMBER(O208),O208,0)+IF(ISNUMBER(P208),P208,0),2),"")</f>
        <v/>
      </c>
      <c r="S208" s="9" t="str">
        <f aca="false">IF(R208="","",ROUND(L208-R208,2))</f>
        <v/>
      </c>
      <c r="T208" s="8" t="str">
        <f aca="false">IF(A208="","",IF(S208="","BYPASS",IF(ABS(S208)&lt;=Summary!$B$2,"PASS","FAIL")))</f>
        <v/>
      </c>
      <c r="U208" s="8" t="str">
        <f aca="false">IF(T208="BYPASS",IF(NOT(ISNUMBER(Q208)),"PreV_ETB missing","End_tr_balance missing"),IF(T208="FAIL",IF(AND(ISNUMBER(K208),ISNUMBER(L208),ABS(L208-(K208-IF(ISNUMBER(N208),N208,0)-IF(ISNUMBER(O208),O208,0)+IF(ISNUMBER(P208),P208,0)))&lt;=Summary!$B$2),"Passes using beginning_balance - PreV_ETB differs from beginning_balance",IF(AND(ISNUMBER(O208),O208&lt;0,ABS(L208-(Q208-IF(ISNUMBER(N208),N208,0)+IF(ISNUMBER(P208),P208,0)))&lt;=Summary!$B$2),"Negative realized loss not applied - check sign",IF(R208&lt;0,"Principal paid exceeds prior balance",IF(AND(L208&gt;Q208,NOT(ISNUMBER(P208))),"Balance increased but no Deferred_interest reported",IF(L208&gt;R208,"Reported balance higher than expected (missing increase/OC build)","Reported balance lower than expected (missing decrease)"))))),""))</f>
        <v/>
      </c>
    </row>
    <row r="209" customFormat="false" ht="15" hidden="false" customHeight="fals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9"/>
      <c r="L209" s="9"/>
      <c r="M209" s="9"/>
      <c r="N209" s="9"/>
      <c r="O209" s="9"/>
      <c r="P209" s="9"/>
      <c r="Q209" s="9"/>
      <c r="R209" s="9" t="str">
        <f aca="false">IF(AND(A209&lt;&gt;"",ISNUMBER(Q209),ISNUMBER(L209)),ROUND(Q209-IF(ISNUMBER(N209),N209,0)-IF(ISNUMBER(O209),O209,0)+IF(ISNUMBER(P209),P209,0),2),"")</f>
        <v/>
      </c>
      <c r="S209" s="9" t="str">
        <f aca="false">IF(R209="","",ROUND(L209-R209,2))</f>
        <v/>
      </c>
      <c r="T209" s="8" t="str">
        <f aca="false">IF(A209="","",IF(S209="","BYPASS",IF(ABS(S209)&lt;=Summary!$B$2,"PASS","FAIL")))</f>
        <v/>
      </c>
      <c r="U209" s="8" t="str">
        <f aca="false">IF(T209="BYPASS",IF(NOT(ISNUMBER(Q209)),"PreV_ETB missing","End_tr_balance missing"),IF(T209="FAIL",IF(AND(ISNUMBER(K209),ISNUMBER(L209),ABS(L209-(K209-IF(ISNUMBER(N209),N209,0)-IF(ISNUMBER(O209),O209,0)+IF(ISNUMBER(P209),P209,0)))&lt;=Summary!$B$2),"Passes using beginning_balance - PreV_ETB differs from beginning_balance",IF(AND(ISNUMBER(O209),O209&lt;0,ABS(L209-(Q209-IF(ISNUMBER(N209),N209,0)+IF(ISNUMBER(P209),P209,0)))&lt;=Summary!$B$2),"Negative realized loss not applied - check sign",IF(R209&lt;0,"Principal paid exceeds prior balance",IF(AND(L209&gt;Q209,NOT(ISNUMBER(P209))),"Balance increased but no Deferred_interest reported",IF(L209&gt;R209,"Reported balance higher than expected (missing increase/OC build)","Reported balance lower than expected (missing decrease)"))))),""))</f>
        <v/>
      </c>
    </row>
    <row r="210" customFormat="false" ht="15" hidden="false" customHeight="fals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9"/>
      <c r="L210" s="9"/>
      <c r="M210" s="9"/>
      <c r="N210" s="9"/>
      <c r="O210" s="9"/>
      <c r="P210" s="9"/>
      <c r="Q210" s="9"/>
      <c r="R210" s="9" t="str">
        <f aca="false">IF(AND(A210&lt;&gt;"",ISNUMBER(Q210),ISNUMBER(L210)),ROUND(Q210-IF(ISNUMBER(N210),N210,0)-IF(ISNUMBER(O210),O210,0)+IF(ISNUMBER(P210),P210,0),2),"")</f>
        <v/>
      </c>
      <c r="S210" s="9" t="str">
        <f aca="false">IF(R210="","",ROUND(L210-R210,2))</f>
        <v/>
      </c>
      <c r="T210" s="8" t="str">
        <f aca="false">IF(A210="","",IF(S210="","BYPASS",IF(ABS(S210)&lt;=Summary!$B$2,"PASS","FAIL")))</f>
        <v/>
      </c>
      <c r="U210" s="8" t="str">
        <f aca="false">IF(T210="BYPASS",IF(NOT(ISNUMBER(Q210)),"PreV_ETB missing","End_tr_balance missing"),IF(T210="FAIL",IF(AND(ISNUMBER(K210),ISNUMBER(L210),ABS(L210-(K210-IF(ISNUMBER(N210),N210,0)-IF(ISNUMBER(O210),O210,0)+IF(ISNUMBER(P210),P210,0)))&lt;=Summary!$B$2),"Passes using beginning_balance - PreV_ETB differs from beginning_balance",IF(AND(ISNUMBER(O210),O210&lt;0,ABS(L210-(Q210-IF(ISNUMBER(N210),N210,0)+IF(ISNUMBER(P210),P210,0)))&lt;=Summary!$B$2),"Negative realized loss not applied - check sign",IF(R210&lt;0,"Principal paid exceeds prior balance",IF(AND(L210&gt;Q210,NOT(ISNUMBER(P210))),"Balance increased but no Deferred_interest reported",IF(L210&gt;R210,"Reported balance higher than expected (missing increase/OC build)","Reported balance lower than expected (missing decrease)"))))),""))</f>
        <v/>
      </c>
    </row>
    <row r="211" customFormat="false" ht="15" hidden="false" customHeight="fals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9"/>
      <c r="L211" s="9"/>
      <c r="M211" s="9"/>
      <c r="N211" s="9"/>
      <c r="O211" s="9"/>
      <c r="P211" s="9"/>
      <c r="Q211" s="9"/>
      <c r="R211" s="9" t="str">
        <f aca="false">IF(AND(A211&lt;&gt;"",ISNUMBER(Q211),ISNUMBER(L211)),ROUND(Q211-IF(ISNUMBER(N211),N211,0)-IF(ISNUMBER(O211),O211,0)+IF(ISNUMBER(P211),P211,0),2),"")</f>
        <v/>
      </c>
      <c r="S211" s="9" t="str">
        <f aca="false">IF(R211="","",ROUND(L211-R211,2))</f>
        <v/>
      </c>
      <c r="T211" s="8" t="str">
        <f aca="false">IF(A211="","",IF(S211="","BYPASS",IF(ABS(S211)&lt;=Summary!$B$2,"PASS","FAIL")))</f>
        <v/>
      </c>
      <c r="U211" s="8" t="str">
        <f aca="false">IF(T211="BYPASS",IF(NOT(ISNUMBER(Q211)),"PreV_ETB missing","End_tr_balance missing"),IF(T211="FAIL",IF(AND(ISNUMBER(K211),ISNUMBER(L211),ABS(L211-(K211-IF(ISNUMBER(N211),N211,0)-IF(ISNUMBER(O211),O211,0)+IF(ISNUMBER(P211),P211,0)))&lt;=Summary!$B$2),"Passes using beginning_balance - PreV_ETB differs from beginning_balance",IF(AND(ISNUMBER(O211),O211&lt;0,ABS(L211-(Q211-IF(ISNUMBER(N211),N211,0)+IF(ISNUMBER(P211),P211,0)))&lt;=Summary!$B$2),"Negative realized loss not applied - check sign",IF(R211&lt;0,"Principal paid exceeds prior balance",IF(AND(L211&gt;Q211,NOT(ISNUMBER(P211))),"Balance increased but no Deferred_interest reported",IF(L211&gt;R211,"Reported balance higher than expected (missing increase/OC build)","Reported balance lower than expected (missing decrease)"))))),""))</f>
        <v/>
      </c>
    </row>
    <row r="212" customFormat="false" ht="15" hidden="false" customHeight="fals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9"/>
      <c r="L212" s="9"/>
      <c r="M212" s="9"/>
      <c r="N212" s="9"/>
      <c r="O212" s="9"/>
      <c r="P212" s="9"/>
      <c r="Q212" s="9"/>
      <c r="R212" s="9" t="str">
        <f aca="false">IF(AND(A212&lt;&gt;"",ISNUMBER(Q212),ISNUMBER(L212)),ROUND(Q212-IF(ISNUMBER(N212),N212,0)-IF(ISNUMBER(O212),O212,0)+IF(ISNUMBER(P212),P212,0),2),"")</f>
        <v/>
      </c>
      <c r="S212" s="9" t="str">
        <f aca="false">IF(R212="","",ROUND(L212-R212,2))</f>
        <v/>
      </c>
      <c r="T212" s="8" t="str">
        <f aca="false">IF(A212="","",IF(S212="","BYPASS",IF(ABS(S212)&lt;=Summary!$B$2,"PASS","FAIL")))</f>
        <v/>
      </c>
      <c r="U212" s="8" t="str">
        <f aca="false">IF(T212="BYPASS",IF(NOT(ISNUMBER(Q212)),"PreV_ETB missing","End_tr_balance missing"),IF(T212="FAIL",IF(AND(ISNUMBER(K212),ISNUMBER(L212),ABS(L212-(K212-IF(ISNUMBER(N212),N212,0)-IF(ISNUMBER(O212),O212,0)+IF(ISNUMBER(P212),P212,0)))&lt;=Summary!$B$2),"Passes using beginning_balance - PreV_ETB differs from beginning_balance",IF(AND(ISNUMBER(O212),O212&lt;0,ABS(L212-(Q212-IF(ISNUMBER(N212),N212,0)+IF(ISNUMBER(P212),P212,0)))&lt;=Summary!$B$2),"Negative realized loss not applied - check sign",IF(R212&lt;0,"Principal paid exceeds prior balance",IF(AND(L212&gt;Q212,NOT(ISNUMBER(P212))),"Balance increased but no Deferred_interest reported",IF(L212&gt;R212,"Reported balance higher than expected (missing increase/OC build)","Reported balance lower than expected (missing decrease)"))))),""))</f>
        <v/>
      </c>
    </row>
    <row r="213" customFormat="false" ht="15" hidden="false" customHeight="fals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9"/>
      <c r="L213" s="9"/>
      <c r="M213" s="9"/>
      <c r="N213" s="9"/>
      <c r="O213" s="9"/>
      <c r="P213" s="9"/>
      <c r="Q213" s="9"/>
      <c r="R213" s="9" t="str">
        <f aca="false">IF(AND(A213&lt;&gt;"",ISNUMBER(Q213),ISNUMBER(L213)),ROUND(Q213-IF(ISNUMBER(N213),N213,0)-IF(ISNUMBER(O213),O213,0)+IF(ISNUMBER(P213),P213,0),2),"")</f>
        <v/>
      </c>
      <c r="S213" s="9" t="str">
        <f aca="false">IF(R213="","",ROUND(L213-R213,2))</f>
        <v/>
      </c>
      <c r="T213" s="8" t="str">
        <f aca="false">IF(A213="","",IF(S213="","BYPASS",IF(ABS(S213)&lt;=Summary!$B$2,"PASS","FAIL")))</f>
        <v/>
      </c>
      <c r="U213" s="8" t="str">
        <f aca="false">IF(T213="BYPASS",IF(NOT(ISNUMBER(Q213)),"PreV_ETB missing","End_tr_balance missing"),IF(T213="FAIL",IF(AND(ISNUMBER(K213),ISNUMBER(L213),ABS(L213-(K213-IF(ISNUMBER(N213),N213,0)-IF(ISNUMBER(O213),O213,0)+IF(ISNUMBER(P213),P213,0)))&lt;=Summary!$B$2),"Passes using beginning_balance - PreV_ETB differs from beginning_balance",IF(AND(ISNUMBER(O213),O213&lt;0,ABS(L213-(Q213-IF(ISNUMBER(N213),N213,0)+IF(ISNUMBER(P213),P213,0)))&lt;=Summary!$B$2),"Negative realized loss not applied - check sign",IF(R213&lt;0,"Principal paid exceeds prior balance",IF(AND(L213&gt;Q213,NOT(ISNUMBER(P213))),"Balance increased but no Deferred_interest reported",IF(L213&gt;R213,"Reported balance higher than expected (missing increase/OC build)","Reported balance lower than expected (missing decrease)"))))),""))</f>
        <v/>
      </c>
    </row>
    <row r="214" customFormat="false" ht="15" hidden="false" customHeight="fals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9"/>
      <c r="L214" s="9"/>
      <c r="M214" s="9"/>
      <c r="N214" s="9"/>
      <c r="O214" s="9"/>
      <c r="P214" s="9"/>
      <c r="Q214" s="9"/>
      <c r="R214" s="9" t="str">
        <f aca="false">IF(AND(A214&lt;&gt;"",ISNUMBER(Q214),ISNUMBER(L214)),ROUND(Q214-IF(ISNUMBER(N214),N214,0)-IF(ISNUMBER(O214),O214,0)+IF(ISNUMBER(P214),P214,0),2),"")</f>
        <v/>
      </c>
      <c r="S214" s="9" t="str">
        <f aca="false">IF(R214="","",ROUND(L214-R214,2))</f>
        <v/>
      </c>
      <c r="T214" s="8" t="str">
        <f aca="false">IF(A214="","",IF(S214="","BYPASS",IF(ABS(S214)&lt;=Summary!$B$2,"PASS","FAIL")))</f>
        <v/>
      </c>
      <c r="U214" s="8" t="str">
        <f aca="false">IF(T214="BYPASS",IF(NOT(ISNUMBER(Q214)),"PreV_ETB missing","End_tr_balance missing"),IF(T214="FAIL",IF(AND(ISNUMBER(K214),ISNUMBER(L214),ABS(L214-(K214-IF(ISNUMBER(N214),N214,0)-IF(ISNUMBER(O214),O214,0)+IF(ISNUMBER(P214),P214,0)))&lt;=Summary!$B$2),"Passes using beginning_balance - PreV_ETB differs from beginning_balance",IF(AND(ISNUMBER(O214),O214&lt;0,ABS(L214-(Q214-IF(ISNUMBER(N214),N214,0)+IF(ISNUMBER(P214),P214,0)))&lt;=Summary!$B$2),"Negative realized loss not applied - check sign",IF(R214&lt;0,"Principal paid exceeds prior balance",IF(AND(L214&gt;Q214,NOT(ISNUMBER(P214))),"Balance increased but no Deferred_interest reported",IF(L214&gt;R214,"Reported balance higher than expected (missing increase/OC build)","Reported balance lower than expected (missing decrease)"))))),""))</f>
        <v/>
      </c>
    </row>
    <row r="215" customFormat="false" ht="15" hidden="false" customHeight="fals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9"/>
      <c r="L215" s="9"/>
      <c r="M215" s="9"/>
      <c r="N215" s="9"/>
      <c r="O215" s="9"/>
      <c r="P215" s="9"/>
      <c r="Q215" s="9"/>
      <c r="R215" s="9" t="str">
        <f aca="false">IF(AND(A215&lt;&gt;"",ISNUMBER(Q215),ISNUMBER(L215)),ROUND(Q215-IF(ISNUMBER(N215),N215,0)-IF(ISNUMBER(O215),O215,0)+IF(ISNUMBER(P215),P215,0),2),"")</f>
        <v/>
      </c>
      <c r="S215" s="9" t="str">
        <f aca="false">IF(R215="","",ROUND(L215-R215,2))</f>
        <v/>
      </c>
      <c r="T215" s="8" t="str">
        <f aca="false">IF(A215="","",IF(S215="","BYPASS",IF(ABS(S215)&lt;=Summary!$B$2,"PASS","FAIL")))</f>
        <v/>
      </c>
      <c r="U215" s="8" t="str">
        <f aca="false">IF(T215="BYPASS",IF(NOT(ISNUMBER(Q215)),"PreV_ETB missing","End_tr_balance missing"),IF(T215="FAIL",IF(AND(ISNUMBER(K215),ISNUMBER(L215),ABS(L215-(K215-IF(ISNUMBER(N215),N215,0)-IF(ISNUMBER(O215),O215,0)+IF(ISNUMBER(P215),P215,0)))&lt;=Summary!$B$2),"Passes using beginning_balance - PreV_ETB differs from beginning_balance",IF(AND(ISNUMBER(O215),O215&lt;0,ABS(L215-(Q215-IF(ISNUMBER(N215),N215,0)+IF(ISNUMBER(P215),P215,0)))&lt;=Summary!$B$2),"Negative realized loss not applied - check sign",IF(R215&lt;0,"Principal paid exceeds prior balance",IF(AND(L215&gt;Q215,NOT(ISNUMBER(P215))),"Balance increased but no Deferred_interest reported",IF(L215&gt;R215,"Reported balance higher than expected (missing increase/OC build)","Reported balance lower than expected (missing decrease)"))))),""))</f>
        <v/>
      </c>
    </row>
    <row r="216" customFormat="false" ht="15" hidden="false" customHeight="fals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9"/>
      <c r="L216" s="9"/>
      <c r="M216" s="9"/>
      <c r="N216" s="9"/>
      <c r="O216" s="9"/>
      <c r="P216" s="9"/>
      <c r="Q216" s="9"/>
      <c r="R216" s="9" t="str">
        <f aca="false">IF(AND(A216&lt;&gt;"",ISNUMBER(Q216),ISNUMBER(L216)),ROUND(Q216-IF(ISNUMBER(N216),N216,0)-IF(ISNUMBER(O216),O216,0)+IF(ISNUMBER(P216),P216,0),2),"")</f>
        <v/>
      </c>
      <c r="S216" s="9" t="str">
        <f aca="false">IF(R216="","",ROUND(L216-R216,2))</f>
        <v/>
      </c>
      <c r="T216" s="8" t="str">
        <f aca="false">IF(A216="","",IF(S216="","BYPASS",IF(ABS(S216)&lt;=Summary!$B$2,"PASS","FAIL")))</f>
        <v/>
      </c>
      <c r="U216" s="8" t="str">
        <f aca="false">IF(T216="BYPASS",IF(NOT(ISNUMBER(Q216)),"PreV_ETB missing","End_tr_balance missing"),IF(T216="FAIL",IF(AND(ISNUMBER(K216),ISNUMBER(L216),ABS(L216-(K216-IF(ISNUMBER(N216),N216,0)-IF(ISNUMBER(O216),O216,0)+IF(ISNUMBER(P216),P216,0)))&lt;=Summary!$B$2),"Passes using beginning_balance - PreV_ETB differs from beginning_balance",IF(AND(ISNUMBER(O216),O216&lt;0,ABS(L216-(Q216-IF(ISNUMBER(N216),N216,0)+IF(ISNUMBER(P216),P216,0)))&lt;=Summary!$B$2),"Negative realized loss not applied - check sign",IF(R216&lt;0,"Principal paid exceeds prior balance",IF(AND(L216&gt;Q216,NOT(ISNUMBER(P216))),"Balance increased but no Deferred_interest reported",IF(L216&gt;R216,"Reported balance higher than expected (missing increase/OC build)","Reported balance lower than expected (missing decrease)"))))),""))</f>
        <v/>
      </c>
    </row>
    <row r="217" customFormat="false" ht="15" hidden="false" customHeight="fals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9"/>
      <c r="L217" s="9"/>
      <c r="M217" s="9"/>
      <c r="N217" s="9"/>
      <c r="O217" s="9"/>
      <c r="P217" s="9"/>
      <c r="Q217" s="9"/>
      <c r="R217" s="9" t="str">
        <f aca="false">IF(AND(A217&lt;&gt;"",ISNUMBER(Q217),ISNUMBER(L217)),ROUND(Q217-IF(ISNUMBER(N217),N217,0)-IF(ISNUMBER(O217),O217,0)+IF(ISNUMBER(P217),P217,0),2),"")</f>
        <v/>
      </c>
      <c r="S217" s="9" t="str">
        <f aca="false">IF(R217="","",ROUND(L217-R217,2))</f>
        <v/>
      </c>
      <c r="T217" s="8" t="str">
        <f aca="false">IF(A217="","",IF(S217="","BYPASS",IF(ABS(S217)&lt;=Summary!$B$2,"PASS","FAIL")))</f>
        <v/>
      </c>
      <c r="U217" s="8" t="str">
        <f aca="false">IF(T217="BYPASS",IF(NOT(ISNUMBER(Q217)),"PreV_ETB missing","End_tr_balance missing"),IF(T217="FAIL",IF(AND(ISNUMBER(K217),ISNUMBER(L217),ABS(L217-(K217-IF(ISNUMBER(N217),N217,0)-IF(ISNUMBER(O217),O217,0)+IF(ISNUMBER(P217),P217,0)))&lt;=Summary!$B$2),"Passes using beginning_balance - PreV_ETB differs from beginning_balance",IF(AND(ISNUMBER(O217),O217&lt;0,ABS(L217-(Q217-IF(ISNUMBER(N217),N217,0)+IF(ISNUMBER(P217),P217,0)))&lt;=Summary!$B$2),"Negative realized loss not applied - check sign",IF(R217&lt;0,"Principal paid exceeds prior balance",IF(AND(L217&gt;Q217,NOT(ISNUMBER(P217))),"Balance increased but no Deferred_interest reported",IF(L217&gt;R217,"Reported balance higher than expected (missing increase/OC build)","Reported balance lower than expected (missing decrease)"))))),""))</f>
        <v/>
      </c>
    </row>
    <row r="218" customFormat="false" ht="15" hidden="false" customHeight="fals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9"/>
      <c r="L218" s="9"/>
      <c r="M218" s="9"/>
      <c r="N218" s="9"/>
      <c r="O218" s="9"/>
      <c r="P218" s="9"/>
      <c r="Q218" s="9"/>
      <c r="R218" s="9" t="str">
        <f aca="false">IF(AND(A218&lt;&gt;"",ISNUMBER(Q218),ISNUMBER(L218)),ROUND(Q218-IF(ISNUMBER(N218),N218,0)-IF(ISNUMBER(O218),O218,0)+IF(ISNUMBER(P218),P218,0),2),"")</f>
        <v/>
      </c>
      <c r="S218" s="9" t="str">
        <f aca="false">IF(R218="","",ROUND(L218-R218,2))</f>
        <v/>
      </c>
      <c r="T218" s="8" t="str">
        <f aca="false">IF(A218="","",IF(S218="","BYPASS",IF(ABS(S218)&lt;=Summary!$B$2,"PASS","FAIL")))</f>
        <v/>
      </c>
      <c r="U218" s="8" t="str">
        <f aca="false">IF(T218="BYPASS",IF(NOT(ISNUMBER(Q218)),"PreV_ETB missing","End_tr_balance missing"),IF(T218="FAIL",IF(AND(ISNUMBER(K218),ISNUMBER(L218),ABS(L218-(K218-IF(ISNUMBER(N218),N218,0)-IF(ISNUMBER(O218),O218,0)+IF(ISNUMBER(P218),P218,0)))&lt;=Summary!$B$2),"Passes using beginning_balance - PreV_ETB differs from beginning_balance",IF(AND(ISNUMBER(O218),O218&lt;0,ABS(L218-(Q218-IF(ISNUMBER(N218),N218,0)+IF(ISNUMBER(P218),P218,0)))&lt;=Summary!$B$2),"Negative realized loss not applied - check sign",IF(R218&lt;0,"Principal paid exceeds prior balance",IF(AND(L218&gt;Q218,NOT(ISNUMBER(P218))),"Balance increased but no Deferred_interest reported",IF(L218&gt;R218,"Reported balance higher than expected (missing increase/OC build)","Reported balance lower than expected (missing decrease)"))))),""))</f>
        <v/>
      </c>
    </row>
    <row r="219" customFormat="false" ht="15" hidden="false" customHeight="fals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9"/>
      <c r="L219" s="9"/>
      <c r="M219" s="9"/>
      <c r="N219" s="9"/>
      <c r="O219" s="9"/>
      <c r="P219" s="9"/>
      <c r="Q219" s="9"/>
      <c r="R219" s="9" t="str">
        <f aca="false">IF(AND(A219&lt;&gt;"",ISNUMBER(Q219),ISNUMBER(L219)),ROUND(Q219-IF(ISNUMBER(N219),N219,0)-IF(ISNUMBER(O219),O219,0)+IF(ISNUMBER(P219),P219,0),2),"")</f>
        <v/>
      </c>
      <c r="S219" s="9" t="str">
        <f aca="false">IF(R219="","",ROUND(L219-R219,2))</f>
        <v/>
      </c>
      <c r="T219" s="8" t="str">
        <f aca="false">IF(A219="","",IF(S219="","BYPASS",IF(ABS(S219)&lt;=Summary!$B$2,"PASS","FAIL")))</f>
        <v/>
      </c>
      <c r="U219" s="8" t="str">
        <f aca="false">IF(T219="BYPASS",IF(NOT(ISNUMBER(Q219)),"PreV_ETB missing","End_tr_balance missing"),IF(T219="FAIL",IF(AND(ISNUMBER(K219),ISNUMBER(L219),ABS(L219-(K219-IF(ISNUMBER(N219),N219,0)-IF(ISNUMBER(O219),O219,0)+IF(ISNUMBER(P219),P219,0)))&lt;=Summary!$B$2),"Passes using beginning_balance - PreV_ETB differs from beginning_balance",IF(AND(ISNUMBER(O219),O219&lt;0,ABS(L219-(Q219-IF(ISNUMBER(N219),N219,0)+IF(ISNUMBER(P219),P219,0)))&lt;=Summary!$B$2),"Negative realized loss not applied - check sign",IF(R219&lt;0,"Principal paid exceeds prior balance",IF(AND(L219&gt;Q219,NOT(ISNUMBER(P219))),"Balance increased but no Deferred_interest reported",IF(L219&gt;R219,"Reported balance higher than expected (missing increase/OC build)","Reported balance lower than expected (missing decrease)"))))),""))</f>
        <v/>
      </c>
    </row>
    <row r="220" customFormat="false" ht="15" hidden="false" customHeight="fals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9"/>
      <c r="L220" s="9"/>
      <c r="M220" s="9"/>
      <c r="N220" s="9"/>
      <c r="O220" s="9"/>
      <c r="P220" s="9"/>
      <c r="Q220" s="9"/>
      <c r="R220" s="9" t="str">
        <f aca="false">IF(AND(A220&lt;&gt;"",ISNUMBER(Q220),ISNUMBER(L220)),ROUND(Q220-IF(ISNUMBER(N220),N220,0)-IF(ISNUMBER(O220),O220,0)+IF(ISNUMBER(P220),P220,0),2),"")</f>
        <v/>
      </c>
      <c r="S220" s="9" t="str">
        <f aca="false">IF(R220="","",ROUND(L220-R220,2))</f>
        <v/>
      </c>
      <c r="T220" s="8" t="str">
        <f aca="false">IF(A220="","",IF(S220="","BYPASS",IF(ABS(S220)&lt;=Summary!$B$2,"PASS","FAIL")))</f>
        <v/>
      </c>
      <c r="U220" s="8" t="str">
        <f aca="false">IF(T220="BYPASS",IF(NOT(ISNUMBER(Q220)),"PreV_ETB missing","End_tr_balance missing"),IF(T220="FAIL",IF(AND(ISNUMBER(K220),ISNUMBER(L220),ABS(L220-(K220-IF(ISNUMBER(N220),N220,0)-IF(ISNUMBER(O220),O220,0)+IF(ISNUMBER(P220),P220,0)))&lt;=Summary!$B$2),"Passes using beginning_balance - PreV_ETB differs from beginning_balance",IF(AND(ISNUMBER(O220),O220&lt;0,ABS(L220-(Q220-IF(ISNUMBER(N220),N220,0)+IF(ISNUMBER(P220),P220,0)))&lt;=Summary!$B$2),"Negative realized loss not applied - check sign",IF(R220&lt;0,"Principal paid exceeds prior balance",IF(AND(L220&gt;Q220,NOT(ISNUMBER(P220))),"Balance increased but no Deferred_interest reported",IF(L220&gt;R220,"Reported balance higher than expected (missing increase/OC build)","Reported balance lower than expected (missing decrease)"))))),""))</f>
        <v/>
      </c>
    </row>
    <row r="221" customFormat="false" ht="15" hidden="false" customHeight="fals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9"/>
      <c r="L221" s="9"/>
      <c r="M221" s="9"/>
      <c r="N221" s="9"/>
      <c r="O221" s="9"/>
      <c r="P221" s="9"/>
      <c r="Q221" s="9"/>
      <c r="R221" s="9" t="str">
        <f aca="false">IF(AND(A221&lt;&gt;"",ISNUMBER(Q221),ISNUMBER(L221)),ROUND(Q221-IF(ISNUMBER(N221),N221,0)-IF(ISNUMBER(O221),O221,0)+IF(ISNUMBER(P221),P221,0),2),"")</f>
        <v/>
      </c>
      <c r="S221" s="9" t="str">
        <f aca="false">IF(R221="","",ROUND(L221-R221,2))</f>
        <v/>
      </c>
      <c r="T221" s="8" t="str">
        <f aca="false">IF(A221="","",IF(S221="","BYPASS",IF(ABS(S221)&lt;=Summary!$B$2,"PASS","FAIL")))</f>
        <v/>
      </c>
      <c r="U221" s="8" t="str">
        <f aca="false">IF(T221="BYPASS",IF(NOT(ISNUMBER(Q221)),"PreV_ETB missing","End_tr_balance missing"),IF(T221="FAIL",IF(AND(ISNUMBER(K221),ISNUMBER(L221),ABS(L221-(K221-IF(ISNUMBER(N221),N221,0)-IF(ISNUMBER(O221),O221,0)+IF(ISNUMBER(P221),P221,0)))&lt;=Summary!$B$2),"Passes using beginning_balance - PreV_ETB differs from beginning_balance",IF(AND(ISNUMBER(O221),O221&lt;0,ABS(L221-(Q221-IF(ISNUMBER(N221),N221,0)+IF(ISNUMBER(P221),P221,0)))&lt;=Summary!$B$2),"Negative realized loss not applied - check sign",IF(R221&lt;0,"Principal paid exceeds prior balance",IF(AND(L221&gt;Q221,NOT(ISNUMBER(P221))),"Balance increased but no Deferred_interest reported",IF(L221&gt;R221,"Reported balance higher than expected (missing increase/OC build)","Reported balance lower than expected (missing decrease)"))))),""))</f>
        <v/>
      </c>
    </row>
    <row r="222" customFormat="false" ht="15" hidden="false" customHeight="fals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9"/>
      <c r="L222" s="9"/>
      <c r="M222" s="9"/>
      <c r="N222" s="9"/>
      <c r="O222" s="9"/>
      <c r="P222" s="9"/>
      <c r="Q222" s="9"/>
      <c r="R222" s="9" t="str">
        <f aca="false">IF(AND(A222&lt;&gt;"",ISNUMBER(Q222),ISNUMBER(L222)),ROUND(Q222-IF(ISNUMBER(N222),N222,0)-IF(ISNUMBER(O222),O222,0)+IF(ISNUMBER(P222),P222,0),2),"")</f>
        <v/>
      </c>
      <c r="S222" s="9" t="str">
        <f aca="false">IF(R222="","",ROUND(L222-R222,2))</f>
        <v/>
      </c>
      <c r="T222" s="8" t="str">
        <f aca="false">IF(A222="","",IF(S222="","BYPASS",IF(ABS(S222)&lt;=Summary!$B$2,"PASS","FAIL")))</f>
        <v/>
      </c>
      <c r="U222" s="8" t="str">
        <f aca="false">IF(T222="BYPASS",IF(NOT(ISNUMBER(Q222)),"PreV_ETB missing","End_tr_balance missing"),IF(T222="FAIL",IF(AND(ISNUMBER(K222),ISNUMBER(L222),ABS(L222-(K222-IF(ISNUMBER(N222),N222,0)-IF(ISNUMBER(O222),O222,0)+IF(ISNUMBER(P222),P222,0)))&lt;=Summary!$B$2),"Passes using beginning_balance - PreV_ETB differs from beginning_balance",IF(AND(ISNUMBER(O222),O222&lt;0,ABS(L222-(Q222-IF(ISNUMBER(N222),N222,0)+IF(ISNUMBER(P222),P222,0)))&lt;=Summary!$B$2),"Negative realized loss not applied - check sign",IF(R222&lt;0,"Principal paid exceeds prior balance",IF(AND(L222&gt;Q222,NOT(ISNUMBER(P222))),"Balance increased but no Deferred_interest reported",IF(L222&gt;R222,"Reported balance higher than expected (missing increase/OC build)","Reported balance lower than expected (missing decrease)"))))),""))</f>
        <v/>
      </c>
    </row>
    <row r="223" customFormat="false" ht="15" hidden="false" customHeight="fals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9"/>
      <c r="L223" s="9"/>
      <c r="M223" s="9"/>
      <c r="N223" s="9"/>
      <c r="O223" s="9"/>
      <c r="P223" s="9"/>
      <c r="Q223" s="9"/>
      <c r="R223" s="9" t="str">
        <f aca="false">IF(AND(A223&lt;&gt;"",ISNUMBER(Q223),ISNUMBER(L223)),ROUND(Q223-IF(ISNUMBER(N223),N223,0)-IF(ISNUMBER(O223),O223,0)+IF(ISNUMBER(P223),P223,0),2),"")</f>
        <v/>
      </c>
      <c r="S223" s="9" t="str">
        <f aca="false">IF(R223="","",ROUND(L223-R223,2))</f>
        <v/>
      </c>
      <c r="T223" s="8" t="str">
        <f aca="false">IF(A223="","",IF(S223="","BYPASS",IF(ABS(S223)&lt;=Summary!$B$2,"PASS","FAIL")))</f>
        <v/>
      </c>
      <c r="U223" s="8" t="str">
        <f aca="false">IF(T223="BYPASS",IF(NOT(ISNUMBER(Q223)),"PreV_ETB missing","End_tr_balance missing"),IF(T223="FAIL",IF(AND(ISNUMBER(K223),ISNUMBER(L223),ABS(L223-(K223-IF(ISNUMBER(N223),N223,0)-IF(ISNUMBER(O223),O223,0)+IF(ISNUMBER(P223),P223,0)))&lt;=Summary!$B$2),"Passes using beginning_balance - PreV_ETB differs from beginning_balance",IF(AND(ISNUMBER(O223),O223&lt;0,ABS(L223-(Q223-IF(ISNUMBER(N223),N223,0)+IF(ISNUMBER(P223),P223,0)))&lt;=Summary!$B$2),"Negative realized loss not applied - check sign",IF(R223&lt;0,"Principal paid exceeds prior balance",IF(AND(L223&gt;Q223,NOT(ISNUMBER(P223))),"Balance increased but no Deferred_interest reported",IF(L223&gt;R223,"Reported balance higher than expected (missing increase/OC build)","Reported balance lower than expected (missing decrease)"))))),""))</f>
        <v/>
      </c>
    </row>
    <row r="224" customFormat="false" ht="15" hidden="false" customHeight="fals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9"/>
      <c r="L224" s="9"/>
      <c r="M224" s="9"/>
      <c r="N224" s="9"/>
      <c r="O224" s="9"/>
      <c r="P224" s="9"/>
      <c r="Q224" s="9"/>
      <c r="R224" s="9" t="str">
        <f aca="false">IF(AND(A224&lt;&gt;"",ISNUMBER(Q224),ISNUMBER(L224)),ROUND(Q224-IF(ISNUMBER(N224),N224,0)-IF(ISNUMBER(O224),O224,0)+IF(ISNUMBER(P224),P224,0),2),"")</f>
        <v/>
      </c>
      <c r="S224" s="9" t="str">
        <f aca="false">IF(R224="","",ROUND(L224-R224,2))</f>
        <v/>
      </c>
      <c r="T224" s="8" t="str">
        <f aca="false">IF(A224="","",IF(S224="","BYPASS",IF(ABS(S224)&lt;=Summary!$B$2,"PASS","FAIL")))</f>
        <v/>
      </c>
      <c r="U224" s="8" t="str">
        <f aca="false">IF(T224="BYPASS",IF(NOT(ISNUMBER(Q224)),"PreV_ETB missing","End_tr_balance missing"),IF(T224="FAIL",IF(AND(ISNUMBER(K224),ISNUMBER(L224),ABS(L224-(K224-IF(ISNUMBER(N224),N224,0)-IF(ISNUMBER(O224),O224,0)+IF(ISNUMBER(P224),P224,0)))&lt;=Summary!$B$2),"Passes using beginning_balance - PreV_ETB differs from beginning_balance",IF(AND(ISNUMBER(O224),O224&lt;0,ABS(L224-(Q224-IF(ISNUMBER(N224),N224,0)+IF(ISNUMBER(P224),P224,0)))&lt;=Summary!$B$2),"Negative realized loss not applied - check sign",IF(R224&lt;0,"Principal paid exceeds prior balance",IF(AND(L224&gt;Q224,NOT(ISNUMBER(P224))),"Balance increased but no Deferred_interest reported",IF(L224&gt;R224,"Reported balance higher than expected (missing increase/OC build)","Reported balance lower than expected (missing decrease)"))))),""))</f>
        <v/>
      </c>
    </row>
    <row r="225" customFormat="false" ht="15" hidden="false" customHeight="fals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9"/>
      <c r="L225" s="9"/>
      <c r="M225" s="9"/>
      <c r="N225" s="9"/>
      <c r="O225" s="9"/>
      <c r="P225" s="9"/>
      <c r="Q225" s="9"/>
      <c r="R225" s="9" t="str">
        <f aca="false">IF(AND(A225&lt;&gt;"",ISNUMBER(Q225),ISNUMBER(L225)),ROUND(Q225-IF(ISNUMBER(N225),N225,0)-IF(ISNUMBER(O225),O225,0)+IF(ISNUMBER(P225),P225,0),2),"")</f>
        <v/>
      </c>
      <c r="S225" s="9" t="str">
        <f aca="false">IF(R225="","",ROUND(L225-R225,2))</f>
        <v/>
      </c>
      <c r="T225" s="8" t="str">
        <f aca="false">IF(A225="","",IF(S225="","BYPASS",IF(ABS(S225)&lt;=Summary!$B$2,"PASS","FAIL")))</f>
        <v/>
      </c>
      <c r="U225" s="8" t="str">
        <f aca="false">IF(T225="BYPASS",IF(NOT(ISNUMBER(Q225)),"PreV_ETB missing","End_tr_balance missing"),IF(T225="FAIL",IF(AND(ISNUMBER(K225),ISNUMBER(L225),ABS(L225-(K225-IF(ISNUMBER(N225),N225,0)-IF(ISNUMBER(O225),O225,0)+IF(ISNUMBER(P225),P225,0)))&lt;=Summary!$B$2),"Passes using beginning_balance - PreV_ETB differs from beginning_balance",IF(AND(ISNUMBER(O225),O225&lt;0,ABS(L225-(Q225-IF(ISNUMBER(N225),N225,0)+IF(ISNUMBER(P225),P225,0)))&lt;=Summary!$B$2),"Negative realized loss not applied - check sign",IF(R225&lt;0,"Principal paid exceeds prior balance",IF(AND(L225&gt;Q225,NOT(ISNUMBER(P225))),"Balance increased but no Deferred_interest reported",IF(L225&gt;R225,"Reported balance higher than expected (missing increase/OC build)","Reported balance lower than expected (missing decrease)"))))),""))</f>
        <v/>
      </c>
    </row>
    <row r="226" customFormat="false" ht="15" hidden="false" customHeight="fals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9"/>
      <c r="L226" s="9"/>
      <c r="M226" s="9"/>
      <c r="N226" s="9"/>
      <c r="O226" s="9"/>
      <c r="P226" s="9"/>
      <c r="Q226" s="9"/>
      <c r="R226" s="9" t="str">
        <f aca="false">IF(AND(A226&lt;&gt;"",ISNUMBER(Q226),ISNUMBER(L226)),ROUND(Q226-IF(ISNUMBER(N226),N226,0)-IF(ISNUMBER(O226),O226,0)+IF(ISNUMBER(P226),P226,0),2),"")</f>
        <v/>
      </c>
      <c r="S226" s="9" t="str">
        <f aca="false">IF(R226="","",ROUND(L226-R226,2))</f>
        <v/>
      </c>
      <c r="T226" s="8" t="str">
        <f aca="false">IF(A226="","",IF(S226="","BYPASS",IF(ABS(S226)&lt;=Summary!$B$2,"PASS","FAIL")))</f>
        <v/>
      </c>
      <c r="U226" s="8" t="str">
        <f aca="false">IF(T226="BYPASS",IF(NOT(ISNUMBER(Q226)),"PreV_ETB missing","End_tr_balance missing"),IF(T226="FAIL",IF(AND(ISNUMBER(K226),ISNUMBER(L226),ABS(L226-(K226-IF(ISNUMBER(N226),N226,0)-IF(ISNUMBER(O226),O226,0)+IF(ISNUMBER(P226),P226,0)))&lt;=Summary!$B$2),"Passes using beginning_balance - PreV_ETB differs from beginning_balance",IF(AND(ISNUMBER(O226),O226&lt;0,ABS(L226-(Q226-IF(ISNUMBER(N226),N226,0)+IF(ISNUMBER(P226),P226,0)))&lt;=Summary!$B$2),"Negative realized loss not applied - check sign",IF(R226&lt;0,"Principal paid exceeds prior balance",IF(AND(L226&gt;Q226,NOT(ISNUMBER(P226))),"Balance increased but no Deferred_interest reported",IF(L226&gt;R226,"Reported balance higher than expected (missing increase/OC build)","Reported balance lower than expected (missing decrease)"))))),""))</f>
        <v/>
      </c>
    </row>
    <row r="227" customFormat="false" ht="15" hidden="false" customHeight="fals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9"/>
      <c r="L227" s="9"/>
      <c r="M227" s="9"/>
      <c r="N227" s="9"/>
      <c r="O227" s="9"/>
      <c r="P227" s="9"/>
      <c r="Q227" s="9"/>
      <c r="R227" s="9" t="str">
        <f aca="false">IF(AND(A227&lt;&gt;"",ISNUMBER(Q227),ISNUMBER(L227)),ROUND(Q227-IF(ISNUMBER(N227),N227,0)-IF(ISNUMBER(O227),O227,0)+IF(ISNUMBER(P227),P227,0),2),"")</f>
        <v/>
      </c>
      <c r="S227" s="9" t="str">
        <f aca="false">IF(R227="","",ROUND(L227-R227,2))</f>
        <v/>
      </c>
      <c r="T227" s="8" t="str">
        <f aca="false">IF(A227="","",IF(S227="","BYPASS",IF(ABS(S227)&lt;=Summary!$B$2,"PASS","FAIL")))</f>
        <v/>
      </c>
      <c r="U227" s="8" t="str">
        <f aca="false">IF(T227="BYPASS",IF(NOT(ISNUMBER(Q227)),"PreV_ETB missing","End_tr_balance missing"),IF(T227="FAIL",IF(AND(ISNUMBER(K227),ISNUMBER(L227),ABS(L227-(K227-IF(ISNUMBER(N227),N227,0)-IF(ISNUMBER(O227),O227,0)+IF(ISNUMBER(P227),P227,0)))&lt;=Summary!$B$2),"Passes using beginning_balance - PreV_ETB differs from beginning_balance",IF(AND(ISNUMBER(O227),O227&lt;0,ABS(L227-(Q227-IF(ISNUMBER(N227),N227,0)+IF(ISNUMBER(P227),P227,0)))&lt;=Summary!$B$2),"Negative realized loss not applied - check sign",IF(R227&lt;0,"Principal paid exceeds prior balance",IF(AND(L227&gt;Q227,NOT(ISNUMBER(P227))),"Balance increased but no Deferred_interest reported",IF(L227&gt;R227,"Reported balance higher than expected (missing increase/OC build)","Reported balance lower than expected (missing decrease)"))))),""))</f>
        <v/>
      </c>
    </row>
    <row r="228" customFormat="false" ht="15" hidden="false" customHeight="fals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9"/>
      <c r="L228" s="9"/>
      <c r="M228" s="9"/>
      <c r="N228" s="9"/>
      <c r="O228" s="9"/>
      <c r="P228" s="9"/>
      <c r="Q228" s="9"/>
      <c r="R228" s="9" t="str">
        <f aca="false">IF(AND(A228&lt;&gt;"",ISNUMBER(Q228),ISNUMBER(L228)),ROUND(Q228-IF(ISNUMBER(N228),N228,0)-IF(ISNUMBER(O228),O228,0)+IF(ISNUMBER(P228),P228,0),2),"")</f>
        <v/>
      </c>
      <c r="S228" s="9" t="str">
        <f aca="false">IF(R228="","",ROUND(L228-R228,2))</f>
        <v/>
      </c>
      <c r="T228" s="8" t="str">
        <f aca="false">IF(A228="","",IF(S228="","BYPASS",IF(ABS(S228)&lt;=Summary!$B$2,"PASS","FAIL")))</f>
        <v/>
      </c>
      <c r="U228" s="8" t="str">
        <f aca="false">IF(T228="BYPASS",IF(NOT(ISNUMBER(Q228)),"PreV_ETB missing","End_tr_balance missing"),IF(T228="FAIL",IF(AND(ISNUMBER(K228),ISNUMBER(L228),ABS(L228-(K228-IF(ISNUMBER(N228),N228,0)-IF(ISNUMBER(O228),O228,0)+IF(ISNUMBER(P228),P228,0)))&lt;=Summary!$B$2),"Passes using beginning_balance - PreV_ETB differs from beginning_balance",IF(AND(ISNUMBER(O228),O228&lt;0,ABS(L228-(Q228-IF(ISNUMBER(N228),N228,0)+IF(ISNUMBER(P228),P228,0)))&lt;=Summary!$B$2),"Negative realized loss not applied - check sign",IF(R228&lt;0,"Principal paid exceeds prior balance",IF(AND(L228&gt;Q228,NOT(ISNUMBER(P228))),"Balance increased but no Deferred_interest reported",IF(L228&gt;R228,"Reported balance higher than expected (missing increase/OC build)","Reported balance lower than expected (missing decrease)"))))),""))</f>
        <v/>
      </c>
    </row>
    <row r="229" customFormat="false" ht="15" hidden="false" customHeight="fals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9"/>
      <c r="L229" s="9"/>
      <c r="M229" s="9"/>
      <c r="N229" s="9"/>
      <c r="O229" s="9"/>
      <c r="P229" s="9"/>
      <c r="Q229" s="9"/>
      <c r="R229" s="9" t="str">
        <f aca="false">IF(AND(A229&lt;&gt;"",ISNUMBER(Q229),ISNUMBER(L229)),ROUND(Q229-IF(ISNUMBER(N229),N229,0)-IF(ISNUMBER(O229),O229,0)+IF(ISNUMBER(P229),P229,0),2),"")</f>
        <v/>
      </c>
      <c r="S229" s="9" t="str">
        <f aca="false">IF(R229="","",ROUND(L229-R229,2))</f>
        <v/>
      </c>
      <c r="T229" s="8" t="str">
        <f aca="false">IF(A229="","",IF(S229="","BYPASS",IF(ABS(S229)&lt;=Summary!$B$2,"PASS","FAIL")))</f>
        <v/>
      </c>
      <c r="U229" s="8" t="str">
        <f aca="false">IF(T229="BYPASS",IF(NOT(ISNUMBER(Q229)),"PreV_ETB missing","End_tr_balance missing"),IF(T229="FAIL",IF(AND(ISNUMBER(K229),ISNUMBER(L229),ABS(L229-(K229-IF(ISNUMBER(N229),N229,0)-IF(ISNUMBER(O229),O229,0)+IF(ISNUMBER(P229),P229,0)))&lt;=Summary!$B$2),"Passes using beginning_balance - PreV_ETB differs from beginning_balance",IF(AND(ISNUMBER(O229),O229&lt;0,ABS(L229-(Q229-IF(ISNUMBER(N229),N229,0)+IF(ISNUMBER(P229),P229,0)))&lt;=Summary!$B$2),"Negative realized loss not applied - check sign",IF(R229&lt;0,"Principal paid exceeds prior balance",IF(AND(L229&gt;Q229,NOT(ISNUMBER(P229))),"Balance increased but no Deferred_interest reported",IF(L229&gt;R229,"Reported balance higher than expected (missing increase/OC build)","Reported balance lower than expected (missing decrease)"))))),""))</f>
        <v/>
      </c>
    </row>
    <row r="230" customFormat="false" ht="15" hidden="false" customHeight="fals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9"/>
      <c r="L230" s="9"/>
      <c r="M230" s="9"/>
      <c r="N230" s="9"/>
      <c r="O230" s="9"/>
      <c r="P230" s="9"/>
      <c r="Q230" s="9"/>
      <c r="R230" s="9" t="str">
        <f aca="false">IF(AND(A230&lt;&gt;"",ISNUMBER(Q230),ISNUMBER(L230)),ROUND(Q230-IF(ISNUMBER(N230),N230,0)-IF(ISNUMBER(O230),O230,0)+IF(ISNUMBER(P230),P230,0),2),"")</f>
        <v/>
      </c>
      <c r="S230" s="9" t="str">
        <f aca="false">IF(R230="","",ROUND(L230-R230,2))</f>
        <v/>
      </c>
      <c r="T230" s="8" t="str">
        <f aca="false">IF(A230="","",IF(S230="","BYPASS",IF(ABS(S230)&lt;=Summary!$B$2,"PASS","FAIL")))</f>
        <v/>
      </c>
      <c r="U230" s="8" t="str">
        <f aca="false">IF(T230="BYPASS",IF(NOT(ISNUMBER(Q230)),"PreV_ETB missing","End_tr_balance missing"),IF(T230="FAIL",IF(AND(ISNUMBER(K230),ISNUMBER(L230),ABS(L230-(K230-IF(ISNUMBER(N230),N230,0)-IF(ISNUMBER(O230),O230,0)+IF(ISNUMBER(P230),P230,0)))&lt;=Summary!$B$2),"Passes using beginning_balance - PreV_ETB differs from beginning_balance",IF(AND(ISNUMBER(O230),O230&lt;0,ABS(L230-(Q230-IF(ISNUMBER(N230),N230,0)+IF(ISNUMBER(P230),P230,0)))&lt;=Summary!$B$2),"Negative realized loss not applied - check sign",IF(R230&lt;0,"Principal paid exceeds prior balance",IF(AND(L230&gt;Q230,NOT(ISNUMBER(P230))),"Balance increased but no Deferred_interest reported",IF(L230&gt;R230,"Reported balance higher than expected (missing increase/OC build)","Reported balance lower than expected (missing decrease)"))))),""))</f>
        <v/>
      </c>
    </row>
    <row r="231" customFormat="false" ht="15" hidden="false" customHeight="fals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9"/>
      <c r="L231" s="9"/>
      <c r="M231" s="9"/>
      <c r="N231" s="9"/>
      <c r="O231" s="9"/>
      <c r="P231" s="9"/>
      <c r="Q231" s="9"/>
      <c r="R231" s="9" t="str">
        <f aca="false">IF(AND(A231&lt;&gt;"",ISNUMBER(Q231),ISNUMBER(L231)),ROUND(Q231-IF(ISNUMBER(N231),N231,0)-IF(ISNUMBER(O231),O231,0)+IF(ISNUMBER(P231),P231,0),2),"")</f>
        <v/>
      </c>
      <c r="S231" s="9" t="str">
        <f aca="false">IF(R231="","",ROUND(L231-R231,2))</f>
        <v/>
      </c>
      <c r="T231" s="8" t="str">
        <f aca="false">IF(A231="","",IF(S231="","BYPASS",IF(ABS(S231)&lt;=Summary!$B$2,"PASS","FAIL")))</f>
        <v/>
      </c>
      <c r="U231" s="8" t="str">
        <f aca="false">IF(T231="BYPASS",IF(NOT(ISNUMBER(Q231)),"PreV_ETB missing","End_tr_balance missing"),IF(T231="FAIL",IF(AND(ISNUMBER(K231),ISNUMBER(L231),ABS(L231-(K231-IF(ISNUMBER(N231),N231,0)-IF(ISNUMBER(O231),O231,0)+IF(ISNUMBER(P231),P231,0)))&lt;=Summary!$B$2),"Passes using beginning_balance - PreV_ETB differs from beginning_balance",IF(AND(ISNUMBER(O231),O231&lt;0,ABS(L231-(Q231-IF(ISNUMBER(N231),N231,0)+IF(ISNUMBER(P231),P231,0)))&lt;=Summary!$B$2),"Negative realized loss not applied - check sign",IF(R231&lt;0,"Principal paid exceeds prior balance",IF(AND(L231&gt;Q231,NOT(ISNUMBER(P231))),"Balance increased but no Deferred_interest reported",IF(L231&gt;R231,"Reported balance higher than expected (missing increase/OC build)","Reported balance lower than expected (missing decrease)"))))),""))</f>
        <v/>
      </c>
    </row>
    <row r="232" customFormat="false" ht="15" hidden="false" customHeight="fals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9"/>
      <c r="L232" s="9"/>
      <c r="M232" s="9"/>
      <c r="N232" s="9"/>
      <c r="O232" s="9"/>
      <c r="P232" s="9"/>
      <c r="Q232" s="9"/>
      <c r="R232" s="9" t="str">
        <f aca="false">IF(AND(A232&lt;&gt;"",ISNUMBER(Q232),ISNUMBER(L232)),ROUND(Q232-IF(ISNUMBER(N232),N232,0)-IF(ISNUMBER(O232),O232,0)+IF(ISNUMBER(P232),P232,0),2),"")</f>
        <v/>
      </c>
      <c r="S232" s="9" t="str">
        <f aca="false">IF(R232="","",ROUND(L232-R232,2))</f>
        <v/>
      </c>
      <c r="T232" s="8" t="str">
        <f aca="false">IF(A232="","",IF(S232="","BYPASS",IF(ABS(S232)&lt;=Summary!$B$2,"PASS","FAIL")))</f>
        <v/>
      </c>
      <c r="U232" s="8" t="str">
        <f aca="false">IF(T232="BYPASS",IF(NOT(ISNUMBER(Q232)),"PreV_ETB missing","End_tr_balance missing"),IF(T232="FAIL",IF(AND(ISNUMBER(K232),ISNUMBER(L232),ABS(L232-(K232-IF(ISNUMBER(N232),N232,0)-IF(ISNUMBER(O232),O232,0)+IF(ISNUMBER(P232),P232,0)))&lt;=Summary!$B$2),"Passes using beginning_balance - PreV_ETB differs from beginning_balance",IF(AND(ISNUMBER(O232),O232&lt;0,ABS(L232-(Q232-IF(ISNUMBER(N232),N232,0)+IF(ISNUMBER(P232),P232,0)))&lt;=Summary!$B$2),"Negative realized loss not applied - check sign",IF(R232&lt;0,"Principal paid exceeds prior balance",IF(AND(L232&gt;Q232,NOT(ISNUMBER(P232))),"Balance increased but no Deferred_interest reported",IF(L232&gt;R232,"Reported balance higher than expected (missing increase/OC build)","Reported balance lower than expected (missing decrease)"))))),""))</f>
        <v/>
      </c>
    </row>
    <row r="233" customFormat="false" ht="15" hidden="false" customHeight="fals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9"/>
      <c r="L233" s="9"/>
      <c r="M233" s="9"/>
      <c r="N233" s="9"/>
      <c r="O233" s="9"/>
      <c r="P233" s="9"/>
      <c r="Q233" s="9"/>
      <c r="R233" s="9" t="str">
        <f aca="false">IF(AND(A233&lt;&gt;"",ISNUMBER(Q233),ISNUMBER(L233)),ROUND(Q233-IF(ISNUMBER(N233),N233,0)-IF(ISNUMBER(O233),O233,0)+IF(ISNUMBER(P233),P233,0),2),"")</f>
        <v/>
      </c>
      <c r="S233" s="9" t="str">
        <f aca="false">IF(R233="","",ROUND(L233-R233,2))</f>
        <v/>
      </c>
      <c r="T233" s="8" t="str">
        <f aca="false">IF(A233="","",IF(S233="","BYPASS",IF(ABS(S233)&lt;=Summary!$B$2,"PASS","FAIL")))</f>
        <v/>
      </c>
      <c r="U233" s="8" t="str">
        <f aca="false">IF(T233="BYPASS",IF(NOT(ISNUMBER(Q233)),"PreV_ETB missing","End_tr_balance missing"),IF(T233="FAIL",IF(AND(ISNUMBER(K233),ISNUMBER(L233),ABS(L233-(K233-IF(ISNUMBER(N233),N233,0)-IF(ISNUMBER(O233),O233,0)+IF(ISNUMBER(P233),P233,0)))&lt;=Summary!$B$2),"Passes using beginning_balance - PreV_ETB differs from beginning_balance",IF(AND(ISNUMBER(O233),O233&lt;0,ABS(L233-(Q233-IF(ISNUMBER(N233),N233,0)+IF(ISNUMBER(P233),P233,0)))&lt;=Summary!$B$2),"Negative realized loss not applied - check sign",IF(R233&lt;0,"Principal paid exceeds prior balance",IF(AND(L233&gt;Q233,NOT(ISNUMBER(P233))),"Balance increased but no Deferred_interest reported",IF(L233&gt;R233,"Reported balance higher than expected (missing increase/OC build)","Reported balance lower than expected (missing decrease)"))))),""))</f>
        <v/>
      </c>
    </row>
    <row r="234" customFormat="false" ht="15" hidden="false" customHeight="fals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9"/>
      <c r="L234" s="9"/>
      <c r="M234" s="9"/>
      <c r="N234" s="9"/>
      <c r="O234" s="9"/>
      <c r="P234" s="9"/>
      <c r="Q234" s="9"/>
      <c r="R234" s="9" t="str">
        <f aca="false">IF(AND(A234&lt;&gt;"",ISNUMBER(Q234),ISNUMBER(L234)),ROUND(Q234-IF(ISNUMBER(N234),N234,0)-IF(ISNUMBER(O234),O234,0)+IF(ISNUMBER(P234),P234,0),2),"")</f>
        <v/>
      </c>
      <c r="S234" s="9" t="str">
        <f aca="false">IF(R234="","",ROUND(L234-R234,2))</f>
        <v/>
      </c>
      <c r="T234" s="8" t="str">
        <f aca="false">IF(A234="","",IF(S234="","BYPASS",IF(ABS(S234)&lt;=Summary!$B$2,"PASS","FAIL")))</f>
        <v/>
      </c>
      <c r="U234" s="8" t="str">
        <f aca="false">IF(T234="BYPASS",IF(NOT(ISNUMBER(Q234)),"PreV_ETB missing","End_tr_balance missing"),IF(T234="FAIL",IF(AND(ISNUMBER(K234),ISNUMBER(L234),ABS(L234-(K234-IF(ISNUMBER(N234),N234,0)-IF(ISNUMBER(O234),O234,0)+IF(ISNUMBER(P234),P234,0)))&lt;=Summary!$B$2),"Passes using beginning_balance - PreV_ETB differs from beginning_balance",IF(AND(ISNUMBER(O234),O234&lt;0,ABS(L234-(Q234-IF(ISNUMBER(N234),N234,0)+IF(ISNUMBER(P234),P234,0)))&lt;=Summary!$B$2),"Negative realized loss not applied - check sign",IF(R234&lt;0,"Principal paid exceeds prior balance",IF(AND(L234&gt;Q234,NOT(ISNUMBER(P234))),"Balance increased but no Deferred_interest reported",IF(L234&gt;R234,"Reported balance higher than expected (missing increase/OC build)","Reported balance lower than expected (missing decrease)"))))),""))</f>
        <v/>
      </c>
    </row>
    <row r="235" customFormat="false" ht="15" hidden="false" customHeight="fals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9"/>
      <c r="L235" s="9"/>
      <c r="M235" s="9"/>
      <c r="N235" s="9"/>
      <c r="O235" s="9"/>
      <c r="P235" s="9"/>
      <c r="Q235" s="9"/>
      <c r="R235" s="9" t="str">
        <f aca="false">IF(AND(A235&lt;&gt;"",ISNUMBER(Q235),ISNUMBER(L235)),ROUND(Q235-IF(ISNUMBER(N235),N235,0)-IF(ISNUMBER(O235),O235,0)+IF(ISNUMBER(P235),P235,0),2),"")</f>
        <v/>
      </c>
      <c r="S235" s="9" t="str">
        <f aca="false">IF(R235="","",ROUND(L235-R235,2))</f>
        <v/>
      </c>
      <c r="T235" s="8" t="str">
        <f aca="false">IF(A235="","",IF(S235="","BYPASS",IF(ABS(S235)&lt;=Summary!$B$2,"PASS","FAIL")))</f>
        <v/>
      </c>
      <c r="U235" s="8" t="str">
        <f aca="false">IF(T235="BYPASS",IF(NOT(ISNUMBER(Q235)),"PreV_ETB missing","End_tr_balance missing"),IF(T235="FAIL",IF(AND(ISNUMBER(K235),ISNUMBER(L235),ABS(L235-(K235-IF(ISNUMBER(N235),N235,0)-IF(ISNUMBER(O235),O235,0)+IF(ISNUMBER(P235),P235,0)))&lt;=Summary!$B$2),"Passes using beginning_balance - PreV_ETB differs from beginning_balance",IF(AND(ISNUMBER(O235),O235&lt;0,ABS(L235-(Q235-IF(ISNUMBER(N235),N235,0)+IF(ISNUMBER(P235),P235,0)))&lt;=Summary!$B$2),"Negative realized loss not applied - check sign",IF(R235&lt;0,"Principal paid exceeds prior balance",IF(AND(L235&gt;Q235,NOT(ISNUMBER(P235))),"Balance increased but no Deferred_interest reported",IF(L235&gt;R235,"Reported balance higher than expected (missing increase/OC build)","Reported balance lower than expected (missing decrease)"))))),""))</f>
        <v/>
      </c>
    </row>
    <row r="236" customFormat="false" ht="15" hidden="false" customHeight="fals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9"/>
      <c r="L236" s="9"/>
      <c r="M236" s="9"/>
      <c r="N236" s="9"/>
      <c r="O236" s="9"/>
      <c r="P236" s="9"/>
      <c r="Q236" s="9"/>
      <c r="R236" s="9" t="str">
        <f aca="false">IF(AND(A236&lt;&gt;"",ISNUMBER(Q236),ISNUMBER(L236)),ROUND(Q236-IF(ISNUMBER(N236),N236,0)-IF(ISNUMBER(O236),O236,0)+IF(ISNUMBER(P236),P236,0),2),"")</f>
        <v/>
      </c>
      <c r="S236" s="9" t="str">
        <f aca="false">IF(R236="","",ROUND(L236-R236,2))</f>
        <v/>
      </c>
      <c r="T236" s="8" t="str">
        <f aca="false">IF(A236="","",IF(S236="","BYPASS",IF(ABS(S236)&lt;=Summary!$B$2,"PASS","FAIL")))</f>
        <v/>
      </c>
      <c r="U236" s="8" t="str">
        <f aca="false">IF(T236="BYPASS",IF(NOT(ISNUMBER(Q236)),"PreV_ETB missing","End_tr_balance missing"),IF(T236="FAIL",IF(AND(ISNUMBER(K236),ISNUMBER(L236),ABS(L236-(K236-IF(ISNUMBER(N236),N236,0)-IF(ISNUMBER(O236),O236,0)+IF(ISNUMBER(P236),P236,0)))&lt;=Summary!$B$2),"Passes using beginning_balance - PreV_ETB differs from beginning_balance",IF(AND(ISNUMBER(O236),O236&lt;0,ABS(L236-(Q236-IF(ISNUMBER(N236),N236,0)+IF(ISNUMBER(P236),P236,0)))&lt;=Summary!$B$2),"Negative realized loss not applied - check sign",IF(R236&lt;0,"Principal paid exceeds prior balance",IF(AND(L236&gt;Q236,NOT(ISNUMBER(P236))),"Balance increased but no Deferred_interest reported",IF(L236&gt;R236,"Reported balance higher than expected (missing increase/OC build)","Reported balance lower than expected (missing decrease)"))))),""))</f>
        <v/>
      </c>
    </row>
    <row r="237" customFormat="false" ht="15" hidden="false" customHeight="fals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9"/>
      <c r="L237" s="9"/>
      <c r="M237" s="9"/>
      <c r="N237" s="9"/>
      <c r="O237" s="9"/>
      <c r="P237" s="9"/>
      <c r="Q237" s="9"/>
      <c r="R237" s="9" t="str">
        <f aca="false">IF(AND(A237&lt;&gt;"",ISNUMBER(Q237),ISNUMBER(L237)),ROUND(Q237-IF(ISNUMBER(N237),N237,0)-IF(ISNUMBER(O237),O237,0)+IF(ISNUMBER(P237),P237,0),2),"")</f>
        <v/>
      </c>
      <c r="S237" s="9" t="str">
        <f aca="false">IF(R237="","",ROUND(L237-R237,2))</f>
        <v/>
      </c>
      <c r="T237" s="8" t="str">
        <f aca="false">IF(A237="","",IF(S237="","BYPASS",IF(ABS(S237)&lt;=Summary!$B$2,"PASS","FAIL")))</f>
        <v/>
      </c>
      <c r="U237" s="8" t="str">
        <f aca="false">IF(T237="BYPASS",IF(NOT(ISNUMBER(Q237)),"PreV_ETB missing","End_tr_balance missing"),IF(T237="FAIL",IF(AND(ISNUMBER(K237),ISNUMBER(L237),ABS(L237-(K237-IF(ISNUMBER(N237),N237,0)-IF(ISNUMBER(O237),O237,0)+IF(ISNUMBER(P237),P237,0)))&lt;=Summary!$B$2),"Passes using beginning_balance - PreV_ETB differs from beginning_balance",IF(AND(ISNUMBER(O237),O237&lt;0,ABS(L237-(Q237-IF(ISNUMBER(N237),N237,0)+IF(ISNUMBER(P237),P237,0)))&lt;=Summary!$B$2),"Negative realized loss not applied - check sign",IF(R237&lt;0,"Principal paid exceeds prior balance",IF(AND(L237&gt;Q237,NOT(ISNUMBER(P237))),"Balance increased but no Deferred_interest reported",IF(L237&gt;R237,"Reported balance higher than expected (missing increase/OC build)","Reported balance lower than expected (missing decrease)"))))),""))</f>
        <v/>
      </c>
    </row>
    <row r="238" customFormat="false" ht="15" hidden="false" customHeight="fals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9"/>
      <c r="L238" s="9"/>
      <c r="M238" s="9"/>
      <c r="N238" s="9"/>
      <c r="O238" s="9"/>
      <c r="P238" s="9"/>
      <c r="Q238" s="9"/>
      <c r="R238" s="9" t="str">
        <f aca="false">IF(AND(A238&lt;&gt;"",ISNUMBER(Q238),ISNUMBER(L238)),ROUND(Q238-IF(ISNUMBER(N238),N238,0)-IF(ISNUMBER(O238),O238,0)+IF(ISNUMBER(P238),P238,0),2),"")</f>
        <v/>
      </c>
      <c r="S238" s="9" t="str">
        <f aca="false">IF(R238="","",ROUND(L238-R238,2))</f>
        <v/>
      </c>
      <c r="T238" s="8" t="str">
        <f aca="false">IF(A238="","",IF(S238="","BYPASS",IF(ABS(S238)&lt;=Summary!$B$2,"PASS","FAIL")))</f>
        <v/>
      </c>
      <c r="U238" s="8" t="str">
        <f aca="false">IF(T238="BYPASS",IF(NOT(ISNUMBER(Q238)),"PreV_ETB missing","End_tr_balance missing"),IF(T238="FAIL",IF(AND(ISNUMBER(K238),ISNUMBER(L238),ABS(L238-(K238-IF(ISNUMBER(N238),N238,0)-IF(ISNUMBER(O238),O238,0)+IF(ISNUMBER(P238),P238,0)))&lt;=Summary!$B$2),"Passes using beginning_balance - PreV_ETB differs from beginning_balance",IF(AND(ISNUMBER(O238),O238&lt;0,ABS(L238-(Q238-IF(ISNUMBER(N238),N238,0)+IF(ISNUMBER(P238),P238,0)))&lt;=Summary!$B$2),"Negative realized loss not applied - check sign",IF(R238&lt;0,"Principal paid exceeds prior balance",IF(AND(L238&gt;Q238,NOT(ISNUMBER(P238))),"Balance increased but no Deferred_interest reported",IF(L238&gt;R238,"Reported balance higher than expected (missing increase/OC build)","Reported balance lower than expected (missing decrease)"))))),""))</f>
        <v/>
      </c>
    </row>
    <row r="239" customFormat="false" ht="15" hidden="false" customHeight="fals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9"/>
      <c r="L239" s="9"/>
      <c r="M239" s="9"/>
      <c r="N239" s="9"/>
      <c r="O239" s="9"/>
      <c r="P239" s="9"/>
      <c r="Q239" s="9"/>
      <c r="R239" s="9" t="str">
        <f aca="false">IF(AND(A239&lt;&gt;"",ISNUMBER(Q239),ISNUMBER(L239)),ROUND(Q239-IF(ISNUMBER(N239),N239,0)-IF(ISNUMBER(O239),O239,0)+IF(ISNUMBER(P239),P239,0),2),"")</f>
        <v/>
      </c>
      <c r="S239" s="9" t="str">
        <f aca="false">IF(R239="","",ROUND(L239-R239,2))</f>
        <v/>
      </c>
      <c r="T239" s="8" t="str">
        <f aca="false">IF(A239="","",IF(S239="","BYPASS",IF(ABS(S239)&lt;=Summary!$B$2,"PASS","FAIL")))</f>
        <v/>
      </c>
      <c r="U239" s="8" t="str">
        <f aca="false">IF(T239="BYPASS",IF(NOT(ISNUMBER(Q239)),"PreV_ETB missing","End_tr_balance missing"),IF(T239="FAIL",IF(AND(ISNUMBER(K239),ISNUMBER(L239),ABS(L239-(K239-IF(ISNUMBER(N239),N239,0)-IF(ISNUMBER(O239),O239,0)+IF(ISNUMBER(P239),P239,0)))&lt;=Summary!$B$2),"Passes using beginning_balance - PreV_ETB differs from beginning_balance",IF(AND(ISNUMBER(O239),O239&lt;0,ABS(L239-(Q239-IF(ISNUMBER(N239),N239,0)+IF(ISNUMBER(P239),P239,0)))&lt;=Summary!$B$2),"Negative realized loss not applied - check sign",IF(R239&lt;0,"Principal paid exceeds prior balance",IF(AND(L239&gt;Q239,NOT(ISNUMBER(P239))),"Balance increased but no Deferred_interest reported",IF(L239&gt;R239,"Reported balance higher than expected (missing increase/OC build)","Reported balance lower than expected (missing decrease)"))))),""))</f>
        <v/>
      </c>
    </row>
    <row r="240" customFormat="false" ht="15" hidden="false" customHeight="fals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9"/>
      <c r="L240" s="9"/>
      <c r="M240" s="9"/>
      <c r="N240" s="9"/>
      <c r="O240" s="9"/>
      <c r="P240" s="9"/>
      <c r="Q240" s="9"/>
      <c r="R240" s="9" t="str">
        <f aca="false">IF(AND(A240&lt;&gt;"",ISNUMBER(Q240),ISNUMBER(L240)),ROUND(Q240-IF(ISNUMBER(N240),N240,0)-IF(ISNUMBER(O240),O240,0)+IF(ISNUMBER(P240),P240,0),2),"")</f>
        <v/>
      </c>
      <c r="S240" s="9" t="str">
        <f aca="false">IF(R240="","",ROUND(L240-R240,2))</f>
        <v/>
      </c>
      <c r="T240" s="8" t="str">
        <f aca="false">IF(A240="","",IF(S240="","BYPASS",IF(ABS(S240)&lt;=Summary!$B$2,"PASS","FAIL")))</f>
        <v/>
      </c>
      <c r="U240" s="8" t="str">
        <f aca="false">IF(T240="BYPASS",IF(NOT(ISNUMBER(Q240)),"PreV_ETB missing","End_tr_balance missing"),IF(T240="FAIL",IF(AND(ISNUMBER(K240),ISNUMBER(L240),ABS(L240-(K240-IF(ISNUMBER(N240),N240,0)-IF(ISNUMBER(O240),O240,0)+IF(ISNUMBER(P240),P240,0)))&lt;=Summary!$B$2),"Passes using beginning_balance - PreV_ETB differs from beginning_balance",IF(AND(ISNUMBER(O240),O240&lt;0,ABS(L240-(Q240-IF(ISNUMBER(N240),N240,0)+IF(ISNUMBER(P240),P240,0)))&lt;=Summary!$B$2),"Negative realized loss not applied - check sign",IF(R240&lt;0,"Principal paid exceeds prior balance",IF(AND(L240&gt;Q240,NOT(ISNUMBER(P240))),"Balance increased but no Deferred_interest reported",IF(L240&gt;R240,"Reported balance higher than expected (missing increase/OC build)","Reported balance lower than expected (missing decrease)"))))),""))</f>
        <v/>
      </c>
    </row>
    <row r="241" customFormat="false" ht="15" hidden="false" customHeight="fals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9"/>
      <c r="L241" s="9"/>
      <c r="M241" s="9"/>
      <c r="N241" s="9"/>
      <c r="O241" s="9"/>
      <c r="P241" s="9"/>
      <c r="Q241" s="9"/>
      <c r="R241" s="9" t="str">
        <f aca="false">IF(AND(A241&lt;&gt;"",ISNUMBER(Q241),ISNUMBER(L241)),ROUND(Q241-IF(ISNUMBER(N241),N241,0)-IF(ISNUMBER(O241),O241,0)+IF(ISNUMBER(P241),P241,0),2),"")</f>
        <v/>
      </c>
      <c r="S241" s="9" t="str">
        <f aca="false">IF(R241="","",ROUND(L241-R241,2))</f>
        <v/>
      </c>
      <c r="T241" s="8" t="str">
        <f aca="false">IF(A241="","",IF(S241="","BYPASS",IF(ABS(S241)&lt;=Summary!$B$2,"PASS","FAIL")))</f>
        <v/>
      </c>
      <c r="U241" s="8" t="str">
        <f aca="false">IF(T241="BYPASS",IF(NOT(ISNUMBER(Q241)),"PreV_ETB missing","End_tr_balance missing"),IF(T241="FAIL",IF(AND(ISNUMBER(K241),ISNUMBER(L241),ABS(L241-(K241-IF(ISNUMBER(N241),N241,0)-IF(ISNUMBER(O241),O241,0)+IF(ISNUMBER(P241),P241,0)))&lt;=Summary!$B$2),"Passes using beginning_balance - PreV_ETB differs from beginning_balance",IF(AND(ISNUMBER(O241),O241&lt;0,ABS(L241-(Q241-IF(ISNUMBER(N241),N241,0)+IF(ISNUMBER(P241),P241,0)))&lt;=Summary!$B$2),"Negative realized loss not applied - check sign",IF(R241&lt;0,"Principal paid exceeds prior balance",IF(AND(L241&gt;Q241,NOT(ISNUMBER(P241))),"Balance increased but no Deferred_interest reported",IF(L241&gt;R241,"Reported balance higher than expected (missing increase/OC build)","Reported balance lower than expected (missing decrease)"))))),""))</f>
        <v/>
      </c>
    </row>
    <row r="242" customFormat="false" ht="15" hidden="false" customHeight="fals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9"/>
      <c r="L242" s="9"/>
      <c r="M242" s="9"/>
      <c r="N242" s="9"/>
      <c r="O242" s="9"/>
      <c r="P242" s="9"/>
      <c r="Q242" s="9"/>
      <c r="R242" s="9" t="str">
        <f aca="false">IF(AND(A242&lt;&gt;"",ISNUMBER(Q242),ISNUMBER(L242)),ROUND(Q242-IF(ISNUMBER(N242),N242,0)-IF(ISNUMBER(O242),O242,0)+IF(ISNUMBER(P242),P242,0),2),"")</f>
        <v/>
      </c>
      <c r="S242" s="9" t="str">
        <f aca="false">IF(R242="","",ROUND(L242-R242,2))</f>
        <v/>
      </c>
      <c r="T242" s="8" t="str">
        <f aca="false">IF(A242="","",IF(S242="","BYPASS",IF(ABS(S242)&lt;=Summary!$B$2,"PASS","FAIL")))</f>
        <v/>
      </c>
      <c r="U242" s="8" t="str">
        <f aca="false">IF(T242="BYPASS",IF(NOT(ISNUMBER(Q242)),"PreV_ETB missing","End_tr_balance missing"),IF(T242="FAIL",IF(AND(ISNUMBER(K242),ISNUMBER(L242),ABS(L242-(K242-IF(ISNUMBER(N242),N242,0)-IF(ISNUMBER(O242),O242,0)+IF(ISNUMBER(P242),P242,0)))&lt;=Summary!$B$2),"Passes using beginning_balance - PreV_ETB differs from beginning_balance",IF(AND(ISNUMBER(O242),O242&lt;0,ABS(L242-(Q242-IF(ISNUMBER(N242),N242,0)+IF(ISNUMBER(P242),P242,0)))&lt;=Summary!$B$2),"Negative realized loss not applied - check sign",IF(R242&lt;0,"Principal paid exceeds prior balance",IF(AND(L242&gt;Q242,NOT(ISNUMBER(P242))),"Balance increased but no Deferred_interest reported",IF(L242&gt;R242,"Reported balance higher than expected (missing increase/OC build)","Reported balance lower than expected (missing decrease)"))))),""))</f>
        <v/>
      </c>
    </row>
    <row r="243" customFormat="false" ht="15" hidden="false" customHeight="fals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9"/>
      <c r="L243" s="9"/>
      <c r="M243" s="9"/>
      <c r="N243" s="9"/>
      <c r="O243" s="9"/>
      <c r="P243" s="9"/>
      <c r="Q243" s="9"/>
      <c r="R243" s="9" t="str">
        <f aca="false">IF(AND(A243&lt;&gt;"",ISNUMBER(Q243),ISNUMBER(L243)),ROUND(Q243-IF(ISNUMBER(N243),N243,0)-IF(ISNUMBER(O243),O243,0)+IF(ISNUMBER(P243),P243,0),2),"")</f>
        <v/>
      </c>
      <c r="S243" s="9" t="str">
        <f aca="false">IF(R243="","",ROUND(L243-R243,2))</f>
        <v/>
      </c>
      <c r="T243" s="8" t="str">
        <f aca="false">IF(A243="","",IF(S243="","BYPASS",IF(ABS(S243)&lt;=Summary!$B$2,"PASS","FAIL")))</f>
        <v/>
      </c>
      <c r="U243" s="8" t="str">
        <f aca="false">IF(T243="BYPASS",IF(NOT(ISNUMBER(Q243)),"PreV_ETB missing","End_tr_balance missing"),IF(T243="FAIL",IF(AND(ISNUMBER(K243),ISNUMBER(L243),ABS(L243-(K243-IF(ISNUMBER(N243),N243,0)-IF(ISNUMBER(O243),O243,0)+IF(ISNUMBER(P243),P243,0)))&lt;=Summary!$B$2),"Passes using beginning_balance - PreV_ETB differs from beginning_balance",IF(AND(ISNUMBER(O243),O243&lt;0,ABS(L243-(Q243-IF(ISNUMBER(N243),N243,0)+IF(ISNUMBER(P243),P243,0)))&lt;=Summary!$B$2),"Negative realized loss not applied - check sign",IF(R243&lt;0,"Principal paid exceeds prior balance",IF(AND(L243&gt;Q243,NOT(ISNUMBER(P243))),"Balance increased but no Deferred_interest reported",IF(L243&gt;R243,"Reported balance higher than expected (missing increase/OC build)","Reported balance lower than expected (missing decrease)"))))),""))</f>
        <v/>
      </c>
    </row>
    <row r="244" customFormat="false" ht="15" hidden="false" customHeight="fals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9"/>
      <c r="L244" s="9"/>
      <c r="M244" s="9"/>
      <c r="N244" s="9"/>
      <c r="O244" s="9"/>
      <c r="P244" s="9"/>
      <c r="Q244" s="9"/>
      <c r="R244" s="9" t="str">
        <f aca="false">IF(AND(A244&lt;&gt;"",ISNUMBER(Q244),ISNUMBER(L244)),ROUND(Q244-IF(ISNUMBER(N244),N244,0)-IF(ISNUMBER(O244),O244,0)+IF(ISNUMBER(P244),P244,0),2),"")</f>
        <v/>
      </c>
      <c r="S244" s="9" t="str">
        <f aca="false">IF(R244="","",ROUND(L244-R244,2))</f>
        <v/>
      </c>
      <c r="T244" s="8" t="str">
        <f aca="false">IF(A244="","",IF(S244="","BYPASS",IF(ABS(S244)&lt;=Summary!$B$2,"PASS","FAIL")))</f>
        <v/>
      </c>
      <c r="U244" s="8" t="str">
        <f aca="false">IF(T244="BYPASS",IF(NOT(ISNUMBER(Q244)),"PreV_ETB missing","End_tr_balance missing"),IF(T244="FAIL",IF(AND(ISNUMBER(K244),ISNUMBER(L244),ABS(L244-(K244-IF(ISNUMBER(N244),N244,0)-IF(ISNUMBER(O244),O244,0)+IF(ISNUMBER(P244),P244,0)))&lt;=Summary!$B$2),"Passes using beginning_balance - PreV_ETB differs from beginning_balance",IF(AND(ISNUMBER(O244),O244&lt;0,ABS(L244-(Q244-IF(ISNUMBER(N244),N244,0)+IF(ISNUMBER(P244),P244,0)))&lt;=Summary!$B$2),"Negative realized loss not applied - check sign",IF(R244&lt;0,"Principal paid exceeds prior balance",IF(AND(L244&gt;Q244,NOT(ISNUMBER(P244))),"Balance increased but no Deferred_interest reported",IF(L244&gt;R244,"Reported balance higher than expected (missing increase/OC build)","Reported balance lower than expected (missing decrease)"))))),""))</f>
        <v/>
      </c>
    </row>
    <row r="245" customFormat="false" ht="15" hidden="false" customHeight="fals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9"/>
      <c r="L245" s="9"/>
      <c r="M245" s="9"/>
      <c r="N245" s="9"/>
      <c r="O245" s="9"/>
      <c r="P245" s="9"/>
      <c r="Q245" s="9"/>
      <c r="R245" s="9" t="str">
        <f aca="false">IF(AND(A245&lt;&gt;"",ISNUMBER(Q245),ISNUMBER(L245)),ROUND(Q245-IF(ISNUMBER(N245),N245,0)-IF(ISNUMBER(O245),O245,0)+IF(ISNUMBER(P245),P245,0),2),"")</f>
        <v/>
      </c>
      <c r="S245" s="9" t="str">
        <f aca="false">IF(R245="","",ROUND(L245-R245,2))</f>
        <v/>
      </c>
      <c r="T245" s="8" t="str">
        <f aca="false">IF(A245="","",IF(S245="","BYPASS",IF(ABS(S245)&lt;=Summary!$B$2,"PASS","FAIL")))</f>
        <v/>
      </c>
      <c r="U245" s="8" t="str">
        <f aca="false">IF(T245="BYPASS",IF(NOT(ISNUMBER(Q245)),"PreV_ETB missing","End_tr_balance missing"),IF(T245="FAIL",IF(AND(ISNUMBER(K245),ISNUMBER(L245),ABS(L245-(K245-IF(ISNUMBER(N245),N245,0)-IF(ISNUMBER(O245),O245,0)+IF(ISNUMBER(P245),P245,0)))&lt;=Summary!$B$2),"Passes using beginning_balance - PreV_ETB differs from beginning_balance",IF(AND(ISNUMBER(O245),O245&lt;0,ABS(L245-(Q245-IF(ISNUMBER(N245),N245,0)+IF(ISNUMBER(P245),P245,0)))&lt;=Summary!$B$2),"Negative realized loss not applied - check sign",IF(R245&lt;0,"Principal paid exceeds prior balance",IF(AND(L245&gt;Q245,NOT(ISNUMBER(P245))),"Balance increased but no Deferred_interest reported",IF(L245&gt;R245,"Reported balance higher than expected (missing increase/OC build)","Reported balance lower than expected (missing decrease)"))))),""))</f>
        <v/>
      </c>
    </row>
    <row r="246" customFormat="false" ht="15" hidden="false" customHeight="fals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9"/>
      <c r="L246" s="9"/>
      <c r="M246" s="9"/>
      <c r="N246" s="9"/>
      <c r="O246" s="9"/>
      <c r="P246" s="9"/>
      <c r="Q246" s="9"/>
      <c r="R246" s="9" t="str">
        <f aca="false">IF(AND(A246&lt;&gt;"",ISNUMBER(Q246),ISNUMBER(L246)),ROUND(Q246-IF(ISNUMBER(N246),N246,0)-IF(ISNUMBER(O246),O246,0)+IF(ISNUMBER(P246),P246,0),2),"")</f>
        <v/>
      </c>
      <c r="S246" s="9" t="str">
        <f aca="false">IF(R246="","",ROUND(L246-R246,2))</f>
        <v/>
      </c>
      <c r="T246" s="8" t="str">
        <f aca="false">IF(A246="","",IF(S246="","BYPASS",IF(ABS(S246)&lt;=Summary!$B$2,"PASS","FAIL")))</f>
        <v/>
      </c>
      <c r="U246" s="8" t="str">
        <f aca="false">IF(T246="BYPASS",IF(NOT(ISNUMBER(Q246)),"PreV_ETB missing","End_tr_balance missing"),IF(T246="FAIL",IF(AND(ISNUMBER(K246),ISNUMBER(L246),ABS(L246-(K246-IF(ISNUMBER(N246),N246,0)-IF(ISNUMBER(O246),O246,0)+IF(ISNUMBER(P246),P246,0)))&lt;=Summary!$B$2),"Passes using beginning_balance - PreV_ETB differs from beginning_balance",IF(AND(ISNUMBER(O246),O246&lt;0,ABS(L246-(Q246-IF(ISNUMBER(N246),N246,0)+IF(ISNUMBER(P246),P246,0)))&lt;=Summary!$B$2),"Negative realized loss not applied - check sign",IF(R246&lt;0,"Principal paid exceeds prior balance",IF(AND(L246&gt;Q246,NOT(ISNUMBER(P246))),"Balance increased but no Deferred_interest reported",IF(L246&gt;R246,"Reported balance higher than expected (missing increase/OC build)","Reported balance lower than expected (missing decrease)"))))),""))</f>
        <v/>
      </c>
    </row>
    <row r="247" customFormat="false" ht="15" hidden="false" customHeight="fals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9"/>
      <c r="L247" s="9"/>
      <c r="M247" s="9"/>
      <c r="N247" s="9"/>
      <c r="O247" s="9"/>
      <c r="P247" s="9"/>
      <c r="Q247" s="9"/>
      <c r="R247" s="9" t="str">
        <f aca="false">IF(AND(A247&lt;&gt;"",ISNUMBER(Q247),ISNUMBER(L247)),ROUND(Q247-IF(ISNUMBER(N247),N247,0)-IF(ISNUMBER(O247),O247,0)+IF(ISNUMBER(P247),P247,0),2),"")</f>
        <v/>
      </c>
      <c r="S247" s="9" t="str">
        <f aca="false">IF(R247="","",ROUND(L247-R247,2))</f>
        <v/>
      </c>
      <c r="T247" s="8" t="str">
        <f aca="false">IF(A247="","",IF(S247="","BYPASS",IF(ABS(S247)&lt;=Summary!$B$2,"PASS","FAIL")))</f>
        <v/>
      </c>
      <c r="U247" s="8" t="str">
        <f aca="false">IF(T247="BYPASS",IF(NOT(ISNUMBER(Q247)),"PreV_ETB missing","End_tr_balance missing"),IF(T247="FAIL",IF(AND(ISNUMBER(K247),ISNUMBER(L247),ABS(L247-(K247-IF(ISNUMBER(N247),N247,0)-IF(ISNUMBER(O247),O247,0)+IF(ISNUMBER(P247),P247,0)))&lt;=Summary!$B$2),"Passes using beginning_balance - PreV_ETB differs from beginning_balance",IF(AND(ISNUMBER(O247),O247&lt;0,ABS(L247-(Q247-IF(ISNUMBER(N247),N247,0)+IF(ISNUMBER(P247),P247,0)))&lt;=Summary!$B$2),"Negative realized loss not applied - check sign",IF(R247&lt;0,"Principal paid exceeds prior balance",IF(AND(L247&gt;Q247,NOT(ISNUMBER(P247))),"Balance increased but no Deferred_interest reported",IF(L247&gt;R247,"Reported balance higher than expected (missing increase/OC build)","Reported balance lower than expected (missing decrease)"))))),""))</f>
        <v/>
      </c>
    </row>
    <row r="248" customFormat="false" ht="15" hidden="false" customHeight="fals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9"/>
      <c r="L248" s="9"/>
      <c r="M248" s="9"/>
      <c r="N248" s="9"/>
      <c r="O248" s="9"/>
      <c r="P248" s="9"/>
      <c r="Q248" s="9"/>
      <c r="R248" s="9" t="str">
        <f aca="false">IF(AND(A248&lt;&gt;"",ISNUMBER(Q248),ISNUMBER(L248)),ROUND(Q248-IF(ISNUMBER(N248),N248,0)-IF(ISNUMBER(O248),O248,0)+IF(ISNUMBER(P248),P248,0),2),"")</f>
        <v/>
      </c>
      <c r="S248" s="9" t="str">
        <f aca="false">IF(R248="","",ROUND(L248-R248,2))</f>
        <v/>
      </c>
      <c r="T248" s="8" t="str">
        <f aca="false">IF(A248="","",IF(S248="","BYPASS",IF(ABS(S248)&lt;=Summary!$B$2,"PASS","FAIL")))</f>
        <v/>
      </c>
      <c r="U248" s="8" t="str">
        <f aca="false">IF(T248="BYPASS",IF(NOT(ISNUMBER(Q248)),"PreV_ETB missing","End_tr_balance missing"),IF(T248="FAIL",IF(AND(ISNUMBER(K248),ISNUMBER(L248),ABS(L248-(K248-IF(ISNUMBER(N248),N248,0)-IF(ISNUMBER(O248),O248,0)+IF(ISNUMBER(P248),P248,0)))&lt;=Summary!$B$2),"Passes using beginning_balance - PreV_ETB differs from beginning_balance",IF(AND(ISNUMBER(O248),O248&lt;0,ABS(L248-(Q248-IF(ISNUMBER(N248),N248,0)+IF(ISNUMBER(P248),P248,0)))&lt;=Summary!$B$2),"Negative realized loss not applied - check sign",IF(R248&lt;0,"Principal paid exceeds prior balance",IF(AND(L248&gt;Q248,NOT(ISNUMBER(P248))),"Balance increased but no Deferred_interest reported",IF(L248&gt;R248,"Reported balance higher than expected (missing increase/OC build)","Reported balance lower than expected (missing decrease)"))))),""))</f>
        <v/>
      </c>
    </row>
    <row r="249" customFormat="false" ht="15" hidden="false" customHeight="fals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9"/>
      <c r="L249" s="9"/>
      <c r="M249" s="9"/>
      <c r="N249" s="9"/>
      <c r="O249" s="9"/>
      <c r="P249" s="9"/>
      <c r="Q249" s="9"/>
      <c r="R249" s="9" t="str">
        <f aca="false">IF(AND(A249&lt;&gt;"",ISNUMBER(Q249),ISNUMBER(L249)),ROUND(Q249-IF(ISNUMBER(N249),N249,0)-IF(ISNUMBER(O249),O249,0)+IF(ISNUMBER(P249),P249,0),2),"")</f>
        <v/>
      </c>
      <c r="S249" s="9" t="str">
        <f aca="false">IF(R249="","",ROUND(L249-R249,2))</f>
        <v/>
      </c>
      <c r="T249" s="8" t="str">
        <f aca="false">IF(A249="","",IF(S249="","BYPASS",IF(ABS(S249)&lt;=Summary!$B$2,"PASS","FAIL")))</f>
        <v/>
      </c>
      <c r="U249" s="8" t="str">
        <f aca="false">IF(T249="BYPASS",IF(NOT(ISNUMBER(Q249)),"PreV_ETB missing","End_tr_balance missing"),IF(T249="FAIL",IF(AND(ISNUMBER(K249),ISNUMBER(L249),ABS(L249-(K249-IF(ISNUMBER(N249),N249,0)-IF(ISNUMBER(O249),O249,0)+IF(ISNUMBER(P249),P249,0)))&lt;=Summary!$B$2),"Passes using beginning_balance - PreV_ETB differs from beginning_balance",IF(AND(ISNUMBER(O249),O249&lt;0,ABS(L249-(Q249-IF(ISNUMBER(N249),N249,0)+IF(ISNUMBER(P249),P249,0)))&lt;=Summary!$B$2),"Negative realized loss not applied - check sign",IF(R249&lt;0,"Principal paid exceeds prior balance",IF(AND(L249&gt;Q249,NOT(ISNUMBER(P249))),"Balance increased but no Deferred_interest reported",IF(L249&gt;R249,"Reported balance higher than expected (missing increase/OC build)","Reported balance lower than expected (missing decrease)"))))),""))</f>
        <v/>
      </c>
    </row>
    <row r="250" customFormat="false" ht="15" hidden="false" customHeight="fals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9"/>
      <c r="L250" s="9"/>
      <c r="M250" s="9"/>
      <c r="N250" s="9"/>
      <c r="O250" s="9"/>
      <c r="P250" s="9"/>
      <c r="Q250" s="9"/>
      <c r="R250" s="9" t="str">
        <f aca="false">IF(AND(A250&lt;&gt;"",ISNUMBER(Q250),ISNUMBER(L250)),ROUND(Q250-IF(ISNUMBER(N250),N250,0)-IF(ISNUMBER(O250),O250,0)+IF(ISNUMBER(P250),P250,0),2),"")</f>
        <v/>
      </c>
      <c r="S250" s="9" t="str">
        <f aca="false">IF(R250="","",ROUND(L250-R250,2))</f>
        <v/>
      </c>
      <c r="T250" s="8" t="str">
        <f aca="false">IF(A250="","",IF(S250="","BYPASS",IF(ABS(S250)&lt;=Summary!$B$2,"PASS","FAIL")))</f>
        <v/>
      </c>
      <c r="U250" s="8" t="str">
        <f aca="false">IF(T250="BYPASS",IF(NOT(ISNUMBER(Q250)),"PreV_ETB missing","End_tr_balance missing"),IF(T250="FAIL",IF(AND(ISNUMBER(K250),ISNUMBER(L250),ABS(L250-(K250-IF(ISNUMBER(N250),N250,0)-IF(ISNUMBER(O250),O250,0)+IF(ISNUMBER(P250),P250,0)))&lt;=Summary!$B$2),"Passes using beginning_balance - PreV_ETB differs from beginning_balance",IF(AND(ISNUMBER(O250),O250&lt;0,ABS(L250-(Q250-IF(ISNUMBER(N250),N250,0)+IF(ISNUMBER(P250),P250,0)))&lt;=Summary!$B$2),"Negative realized loss not applied - check sign",IF(R250&lt;0,"Principal paid exceeds prior balance",IF(AND(L250&gt;Q250,NOT(ISNUMBER(P250))),"Balance increased but no Deferred_interest reported",IF(L250&gt;R250,"Reported balance higher than expected (missing increase/OC build)","Reported balance lower than expected (missing decrease)"))))),""))</f>
        <v/>
      </c>
    </row>
    <row r="251" customFormat="false" ht="15" hidden="false" customHeight="fals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9"/>
      <c r="L251" s="9"/>
      <c r="M251" s="9"/>
      <c r="N251" s="9"/>
      <c r="O251" s="9"/>
      <c r="P251" s="9"/>
      <c r="Q251" s="9"/>
      <c r="R251" s="9" t="str">
        <f aca="false">IF(AND(A251&lt;&gt;"",ISNUMBER(Q251),ISNUMBER(L251)),ROUND(Q251-IF(ISNUMBER(N251),N251,0)-IF(ISNUMBER(O251),O251,0)+IF(ISNUMBER(P251),P251,0),2),"")</f>
        <v/>
      </c>
      <c r="S251" s="9" t="str">
        <f aca="false">IF(R251="","",ROUND(L251-R251,2))</f>
        <v/>
      </c>
      <c r="T251" s="8" t="str">
        <f aca="false">IF(A251="","",IF(S251="","BYPASS",IF(ABS(S251)&lt;=Summary!$B$2,"PASS","FAIL")))</f>
        <v/>
      </c>
      <c r="U251" s="8" t="str">
        <f aca="false">IF(T251="BYPASS",IF(NOT(ISNUMBER(Q251)),"PreV_ETB missing","End_tr_balance missing"),IF(T251="FAIL",IF(AND(ISNUMBER(K251),ISNUMBER(L251),ABS(L251-(K251-IF(ISNUMBER(N251),N251,0)-IF(ISNUMBER(O251),O251,0)+IF(ISNUMBER(P251),P251,0)))&lt;=Summary!$B$2),"Passes using beginning_balance - PreV_ETB differs from beginning_balance",IF(AND(ISNUMBER(O251),O251&lt;0,ABS(L251-(Q251-IF(ISNUMBER(N251),N251,0)+IF(ISNUMBER(P251),P251,0)))&lt;=Summary!$B$2),"Negative realized loss not applied - check sign",IF(R251&lt;0,"Principal paid exceeds prior balance",IF(AND(L251&gt;Q251,NOT(ISNUMBER(P251))),"Balance increased but no Deferred_interest reported",IF(L251&gt;R251,"Reported balance higher than expected (missing increase/OC build)","Reported balance lower than expected (missing decrease)"))))),""))</f>
        <v/>
      </c>
    </row>
    <row r="252" customFormat="false" ht="15" hidden="false" customHeight="fals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9"/>
      <c r="L252" s="9"/>
      <c r="M252" s="9"/>
      <c r="N252" s="9"/>
      <c r="O252" s="9"/>
      <c r="P252" s="9"/>
      <c r="Q252" s="9"/>
      <c r="R252" s="9" t="str">
        <f aca="false">IF(AND(A252&lt;&gt;"",ISNUMBER(Q252),ISNUMBER(L252)),ROUND(Q252-IF(ISNUMBER(N252),N252,0)-IF(ISNUMBER(O252),O252,0)+IF(ISNUMBER(P252),P252,0),2),"")</f>
        <v/>
      </c>
      <c r="S252" s="9" t="str">
        <f aca="false">IF(R252="","",ROUND(L252-R252,2))</f>
        <v/>
      </c>
      <c r="T252" s="8" t="str">
        <f aca="false">IF(A252="","",IF(S252="","BYPASS",IF(ABS(S252)&lt;=Summary!$B$2,"PASS","FAIL")))</f>
        <v/>
      </c>
      <c r="U252" s="8" t="str">
        <f aca="false">IF(T252="BYPASS",IF(NOT(ISNUMBER(Q252)),"PreV_ETB missing","End_tr_balance missing"),IF(T252="FAIL",IF(AND(ISNUMBER(K252),ISNUMBER(L252),ABS(L252-(K252-IF(ISNUMBER(N252),N252,0)-IF(ISNUMBER(O252),O252,0)+IF(ISNUMBER(P252),P252,0)))&lt;=Summary!$B$2),"Passes using beginning_balance - PreV_ETB differs from beginning_balance",IF(AND(ISNUMBER(O252),O252&lt;0,ABS(L252-(Q252-IF(ISNUMBER(N252),N252,0)+IF(ISNUMBER(P252),P252,0)))&lt;=Summary!$B$2),"Negative realized loss not applied - check sign",IF(R252&lt;0,"Principal paid exceeds prior balance",IF(AND(L252&gt;Q252,NOT(ISNUMBER(P252))),"Balance increased but no Deferred_interest reported",IF(L252&gt;R252,"Reported balance higher than expected (missing increase/OC build)","Reported balance lower than expected (missing decrease)"))))),""))</f>
        <v/>
      </c>
    </row>
    <row r="253" customFormat="false" ht="15" hidden="false" customHeight="fals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9"/>
      <c r="L253" s="9"/>
      <c r="M253" s="9"/>
      <c r="N253" s="9"/>
      <c r="O253" s="9"/>
      <c r="P253" s="9"/>
      <c r="Q253" s="9"/>
      <c r="R253" s="9" t="str">
        <f aca="false">IF(AND(A253&lt;&gt;"",ISNUMBER(Q253),ISNUMBER(L253)),ROUND(Q253-IF(ISNUMBER(N253),N253,0)-IF(ISNUMBER(O253),O253,0)+IF(ISNUMBER(P253),P253,0),2),"")</f>
        <v/>
      </c>
      <c r="S253" s="9" t="str">
        <f aca="false">IF(R253="","",ROUND(L253-R253,2))</f>
        <v/>
      </c>
      <c r="T253" s="8" t="str">
        <f aca="false">IF(A253="","",IF(S253="","BYPASS",IF(ABS(S253)&lt;=Summary!$B$2,"PASS","FAIL")))</f>
        <v/>
      </c>
      <c r="U253" s="8" t="str">
        <f aca="false">IF(T253="BYPASS",IF(NOT(ISNUMBER(Q253)),"PreV_ETB missing","End_tr_balance missing"),IF(T253="FAIL",IF(AND(ISNUMBER(K253),ISNUMBER(L253),ABS(L253-(K253-IF(ISNUMBER(N253),N253,0)-IF(ISNUMBER(O253),O253,0)+IF(ISNUMBER(P253),P253,0)))&lt;=Summary!$B$2),"Passes using beginning_balance - PreV_ETB differs from beginning_balance",IF(AND(ISNUMBER(O253),O253&lt;0,ABS(L253-(Q253-IF(ISNUMBER(N253),N253,0)+IF(ISNUMBER(P253),P253,0)))&lt;=Summary!$B$2),"Negative realized loss not applied - check sign",IF(R253&lt;0,"Principal paid exceeds prior balance",IF(AND(L253&gt;Q253,NOT(ISNUMBER(P253))),"Balance increased but no Deferred_interest reported",IF(L253&gt;R253,"Reported balance higher than expected (missing increase/OC build)","Reported balance lower than expected (missing decrease)"))))),""))</f>
        <v/>
      </c>
    </row>
    <row r="254" customFormat="false" ht="15" hidden="false" customHeight="fals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9"/>
      <c r="L254" s="9"/>
      <c r="M254" s="9"/>
      <c r="N254" s="9"/>
      <c r="O254" s="9"/>
      <c r="P254" s="9"/>
      <c r="Q254" s="9"/>
      <c r="R254" s="9" t="str">
        <f aca="false">IF(AND(A254&lt;&gt;"",ISNUMBER(Q254),ISNUMBER(L254)),ROUND(Q254-IF(ISNUMBER(N254),N254,0)-IF(ISNUMBER(O254),O254,0)+IF(ISNUMBER(P254),P254,0),2),"")</f>
        <v/>
      </c>
      <c r="S254" s="9" t="str">
        <f aca="false">IF(R254="","",ROUND(L254-R254,2))</f>
        <v/>
      </c>
      <c r="T254" s="8" t="str">
        <f aca="false">IF(A254="","",IF(S254="","BYPASS",IF(ABS(S254)&lt;=Summary!$B$2,"PASS","FAIL")))</f>
        <v/>
      </c>
      <c r="U254" s="8" t="str">
        <f aca="false">IF(T254="BYPASS",IF(NOT(ISNUMBER(Q254)),"PreV_ETB missing","End_tr_balance missing"),IF(T254="FAIL",IF(AND(ISNUMBER(K254),ISNUMBER(L254),ABS(L254-(K254-IF(ISNUMBER(N254),N254,0)-IF(ISNUMBER(O254),O254,0)+IF(ISNUMBER(P254),P254,0)))&lt;=Summary!$B$2),"Passes using beginning_balance - PreV_ETB differs from beginning_balance",IF(AND(ISNUMBER(O254),O254&lt;0,ABS(L254-(Q254-IF(ISNUMBER(N254),N254,0)+IF(ISNUMBER(P254),P254,0)))&lt;=Summary!$B$2),"Negative realized loss not applied - check sign",IF(R254&lt;0,"Principal paid exceeds prior balance",IF(AND(L254&gt;Q254,NOT(ISNUMBER(P254))),"Balance increased but no Deferred_interest reported",IF(L254&gt;R254,"Reported balance higher than expected (missing increase/OC build)","Reported balance lower than expected (missing decrease)"))))),""))</f>
        <v/>
      </c>
    </row>
    <row r="255" customFormat="false" ht="15" hidden="false" customHeight="fals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9"/>
      <c r="L255" s="9"/>
      <c r="M255" s="9"/>
      <c r="N255" s="9"/>
      <c r="O255" s="9"/>
      <c r="P255" s="9"/>
      <c r="Q255" s="9"/>
      <c r="R255" s="9" t="str">
        <f aca="false">IF(AND(A255&lt;&gt;"",ISNUMBER(Q255),ISNUMBER(L255)),ROUND(Q255-IF(ISNUMBER(N255),N255,0)-IF(ISNUMBER(O255),O255,0)+IF(ISNUMBER(P255),P255,0),2),"")</f>
        <v/>
      </c>
      <c r="S255" s="9" t="str">
        <f aca="false">IF(R255="","",ROUND(L255-R255,2))</f>
        <v/>
      </c>
      <c r="T255" s="8" t="str">
        <f aca="false">IF(A255="","",IF(S255="","BYPASS",IF(ABS(S255)&lt;=Summary!$B$2,"PASS","FAIL")))</f>
        <v/>
      </c>
      <c r="U255" s="8" t="str">
        <f aca="false">IF(T255="BYPASS",IF(NOT(ISNUMBER(Q255)),"PreV_ETB missing","End_tr_balance missing"),IF(T255="FAIL",IF(AND(ISNUMBER(K255),ISNUMBER(L255),ABS(L255-(K255-IF(ISNUMBER(N255),N255,0)-IF(ISNUMBER(O255),O255,0)+IF(ISNUMBER(P255),P255,0)))&lt;=Summary!$B$2),"Passes using beginning_balance - PreV_ETB differs from beginning_balance",IF(AND(ISNUMBER(O255),O255&lt;0,ABS(L255-(Q255-IF(ISNUMBER(N255),N255,0)+IF(ISNUMBER(P255),P255,0)))&lt;=Summary!$B$2),"Negative realized loss not applied - check sign",IF(R255&lt;0,"Principal paid exceeds prior balance",IF(AND(L255&gt;Q255,NOT(ISNUMBER(P255))),"Balance increased but no Deferred_interest reported",IF(L255&gt;R255,"Reported balance higher than expected (missing increase/OC build)","Reported balance lower than expected (missing decrease)"))))),""))</f>
        <v/>
      </c>
    </row>
    <row r="256" customFormat="false" ht="15" hidden="false" customHeight="fals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9"/>
      <c r="L256" s="9"/>
      <c r="M256" s="9"/>
      <c r="N256" s="9"/>
      <c r="O256" s="9"/>
      <c r="P256" s="9"/>
      <c r="Q256" s="9"/>
      <c r="R256" s="9" t="str">
        <f aca="false">IF(AND(A256&lt;&gt;"",ISNUMBER(Q256),ISNUMBER(L256)),ROUND(Q256-IF(ISNUMBER(N256),N256,0)-IF(ISNUMBER(O256),O256,0)+IF(ISNUMBER(P256),P256,0),2),"")</f>
        <v/>
      </c>
      <c r="S256" s="9" t="str">
        <f aca="false">IF(R256="","",ROUND(L256-R256,2))</f>
        <v/>
      </c>
      <c r="T256" s="8" t="str">
        <f aca="false">IF(A256="","",IF(S256="","BYPASS",IF(ABS(S256)&lt;=Summary!$B$2,"PASS","FAIL")))</f>
        <v/>
      </c>
      <c r="U256" s="8" t="str">
        <f aca="false">IF(T256="BYPASS",IF(NOT(ISNUMBER(Q256)),"PreV_ETB missing","End_tr_balance missing"),IF(T256="FAIL",IF(AND(ISNUMBER(K256),ISNUMBER(L256),ABS(L256-(K256-IF(ISNUMBER(N256),N256,0)-IF(ISNUMBER(O256),O256,0)+IF(ISNUMBER(P256),P256,0)))&lt;=Summary!$B$2),"Passes using beginning_balance - PreV_ETB differs from beginning_balance",IF(AND(ISNUMBER(O256),O256&lt;0,ABS(L256-(Q256-IF(ISNUMBER(N256),N256,0)+IF(ISNUMBER(P256),P256,0)))&lt;=Summary!$B$2),"Negative realized loss not applied - check sign",IF(R256&lt;0,"Principal paid exceeds prior balance",IF(AND(L256&gt;Q256,NOT(ISNUMBER(P256))),"Balance increased but no Deferred_interest reported",IF(L256&gt;R256,"Reported balance higher than expected (missing increase/OC build)","Reported balance lower than expected (missing decrease)"))))),""))</f>
        <v/>
      </c>
    </row>
    <row r="257" customFormat="false" ht="15" hidden="false" customHeight="fals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9"/>
      <c r="L257" s="9"/>
      <c r="M257" s="9"/>
      <c r="N257" s="9"/>
      <c r="O257" s="9"/>
      <c r="P257" s="9"/>
      <c r="Q257" s="9"/>
      <c r="R257" s="9" t="str">
        <f aca="false">IF(AND(A257&lt;&gt;"",ISNUMBER(Q257),ISNUMBER(L257)),ROUND(Q257-IF(ISNUMBER(N257),N257,0)-IF(ISNUMBER(O257),O257,0)+IF(ISNUMBER(P257),P257,0),2),"")</f>
        <v/>
      </c>
      <c r="S257" s="9" t="str">
        <f aca="false">IF(R257="","",ROUND(L257-R257,2))</f>
        <v/>
      </c>
      <c r="T257" s="8" t="str">
        <f aca="false">IF(A257="","",IF(S257="","BYPASS",IF(ABS(S257)&lt;=Summary!$B$2,"PASS","FAIL")))</f>
        <v/>
      </c>
      <c r="U257" s="8" t="str">
        <f aca="false">IF(T257="BYPASS",IF(NOT(ISNUMBER(Q257)),"PreV_ETB missing","End_tr_balance missing"),IF(T257="FAIL",IF(AND(ISNUMBER(K257),ISNUMBER(L257),ABS(L257-(K257-IF(ISNUMBER(N257),N257,0)-IF(ISNUMBER(O257),O257,0)+IF(ISNUMBER(P257),P257,0)))&lt;=Summary!$B$2),"Passes using beginning_balance - PreV_ETB differs from beginning_balance",IF(AND(ISNUMBER(O257),O257&lt;0,ABS(L257-(Q257-IF(ISNUMBER(N257),N257,0)+IF(ISNUMBER(P257),P257,0)))&lt;=Summary!$B$2),"Negative realized loss not applied - check sign",IF(R257&lt;0,"Principal paid exceeds prior balance",IF(AND(L257&gt;Q257,NOT(ISNUMBER(P257))),"Balance increased but no Deferred_interest reported",IF(L257&gt;R257,"Reported balance higher than expected (missing increase/OC build)","Reported balance lower than expected (missing decrease)"))))),""))</f>
        <v/>
      </c>
    </row>
    <row r="258" customFormat="false" ht="15" hidden="false" customHeight="fals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9"/>
      <c r="L258" s="9"/>
      <c r="M258" s="9"/>
      <c r="N258" s="9"/>
      <c r="O258" s="9"/>
      <c r="P258" s="9"/>
      <c r="Q258" s="9"/>
      <c r="R258" s="9" t="str">
        <f aca="false">IF(AND(A258&lt;&gt;"",ISNUMBER(Q258),ISNUMBER(L258)),ROUND(Q258-IF(ISNUMBER(N258),N258,0)-IF(ISNUMBER(O258),O258,0)+IF(ISNUMBER(P258),P258,0),2),"")</f>
        <v/>
      </c>
      <c r="S258" s="9" t="str">
        <f aca="false">IF(R258="","",ROUND(L258-R258,2))</f>
        <v/>
      </c>
      <c r="T258" s="8" t="str">
        <f aca="false">IF(A258="","",IF(S258="","BYPASS",IF(ABS(S258)&lt;=Summary!$B$2,"PASS","FAIL")))</f>
        <v/>
      </c>
      <c r="U258" s="8" t="str">
        <f aca="false">IF(T258="BYPASS",IF(NOT(ISNUMBER(Q258)),"PreV_ETB missing","End_tr_balance missing"),IF(T258="FAIL",IF(AND(ISNUMBER(K258),ISNUMBER(L258),ABS(L258-(K258-IF(ISNUMBER(N258),N258,0)-IF(ISNUMBER(O258),O258,0)+IF(ISNUMBER(P258),P258,0)))&lt;=Summary!$B$2),"Passes using beginning_balance - PreV_ETB differs from beginning_balance",IF(AND(ISNUMBER(O258),O258&lt;0,ABS(L258-(Q258-IF(ISNUMBER(N258),N258,0)+IF(ISNUMBER(P258),P258,0)))&lt;=Summary!$B$2),"Negative realized loss not applied - check sign",IF(R258&lt;0,"Principal paid exceeds prior balance",IF(AND(L258&gt;Q258,NOT(ISNUMBER(P258))),"Balance increased but no Deferred_interest reported",IF(L258&gt;R258,"Reported balance higher than expected (missing increase/OC build)","Reported balance lower than expected (missing decrease)"))))),""))</f>
        <v/>
      </c>
    </row>
    <row r="259" customFormat="false" ht="15" hidden="false" customHeight="fals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9"/>
      <c r="L259" s="9"/>
      <c r="M259" s="9"/>
      <c r="N259" s="9"/>
      <c r="O259" s="9"/>
      <c r="P259" s="9"/>
      <c r="Q259" s="9"/>
      <c r="R259" s="9" t="str">
        <f aca="false">IF(AND(A259&lt;&gt;"",ISNUMBER(Q259),ISNUMBER(L259)),ROUND(Q259-IF(ISNUMBER(N259),N259,0)-IF(ISNUMBER(O259),O259,0)+IF(ISNUMBER(P259),P259,0),2),"")</f>
        <v/>
      </c>
      <c r="S259" s="9" t="str">
        <f aca="false">IF(R259="","",ROUND(L259-R259,2))</f>
        <v/>
      </c>
      <c r="T259" s="8" t="str">
        <f aca="false">IF(A259="","",IF(S259="","BYPASS",IF(ABS(S259)&lt;=Summary!$B$2,"PASS","FAIL")))</f>
        <v/>
      </c>
      <c r="U259" s="8" t="str">
        <f aca="false">IF(T259="BYPASS",IF(NOT(ISNUMBER(Q259)),"PreV_ETB missing","End_tr_balance missing"),IF(T259="FAIL",IF(AND(ISNUMBER(K259),ISNUMBER(L259),ABS(L259-(K259-IF(ISNUMBER(N259),N259,0)-IF(ISNUMBER(O259),O259,0)+IF(ISNUMBER(P259),P259,0)))&lt;=Summary!$B$2),"Passes using beginning_balance - PreV_ETB differs from beginning_balance",IF(AND(ISNUMBER(O259),O259&lt;0,ABS(L259-(Q259-IF(ISNUMBER(N259),N259,0)+IF(ISNUMBER(P259),P259,0)))&lt;=Summary!$B$2),"Negative realized loss not applied - check sign",IF(R259&lt;0,"Principal paid exceeds prior balance",IF(AND(L259&gt;Q259,NOT(ISNUMBER(P259))),"Balance increased but no Deferred_interest reported",IF(L259&gt;R259,"Reported balance higher than expected (missing increase/OC build)","Reported balance lower than expected (missing decrease)"))))),""))</f>
        <v/>
      </c>
    </row>
    <row r="260" customFormat="false" ht="15" hidden="false" customHeight="fals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9"/>
      <c r="L260" s="9"/>
      <c r="M260" s="9"/>
      <c r="N260" s="9"/>
      <c r="O260" s="9"/>
      <c r="P260" s="9"/>
      <c r="Q260" s="9"/>
      <c r="R260" s="9" t="str">
        <f aca="false">IF(AND(A260&lt;&gt;"",ISNUMBER(Q260),ISNUMBER(L260)),ROUND(Q260-IF(ISNUMBER(N260),N260,0)-IF(ISNUMBER(O260),O260,0)+IF(ISNUMBER(P260),P260,0),2),"")</f>
        <v/>
      </c>
      <c r="S260" s="9" t="str">
        <f aca="false">IF(R260="","",ROUND(L260-R260,2))</f>
        <v/>
      </c>
      <c r="T260" s="8" t="str">
        <f aca="false">IF(A260="","",IF(S260="","BYPASS",IF(ABS(S260)&lt;=Summary!$B$2,"PASS","FAIL")))</f>
        <v/>
      </c>
      <c r="U260" s="8" t="str">
        <f aca="false">IF(T260="BYPASS",IF(NOT(ISNUMBER(Q260)),"PreV_ETB missing","End_tr_balance missing"),IF(T260="FAIL",IF(AND(ISNUMBER(K260),ISNUMBER(L260),ABS(L260-(K260-IF(ISNUMBER(N260),N260,0)-IF(ISNUMBER(O260),O260,0)+IF(ISNUMBER(P260),P260,0)))&lt;=Summary!$B$2),"Passes using beginning_balance - PreV_ETB differs from beginning_balance",IF(AND(ISNUMBER(O260),O260&lt;0,ABS(L260-(Q260-IF(ISNUMBER(N260),N260,0)+IF(ISNUMBER(P260),P260,0)))&lt;=Summary!$B$2),"Negative realized loss not applied - check sign",IF(R260&lt;0,"Principal paid exceeds prior balance",IF(AND(L260&gt;Q260,NOT(ISNUMBER(P260))),"Balance increased but no Deferred_interest reported",IF(L260&gt;R260,"Reported balance higher than expected (missing increase/OC build)","Reported balance lower than expected (missing decrease)"))))),""))</f>
        <v/>
      </c>
    </row>
    <row r="261" customFormat="false" ht="15" hidden="false" customHeight="fals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9"/>
      <c r="L261" s="9"/>
      <c r="M261" s="9"/>
      <c r="N261" s="9"/>
      <c r="O261" s="9"/>
      <c r="P261" s="9"/>
      <c r="Q261" s="9"/>
      <c r="R261" s="9" t="str">
        <f aca="false">IF(AND(A261&lt;&gt;"",ISNUMBER(Q261),ISNUMBER(L261)),ROUND(Q261-IF(ISNUMBER(N261),N261,0)-IF(ISNUMBER(O261),O261,0)+IF(ISNUMBER(P261),P261,0),2),"")</f>
        <v/>
      </c>
      <c r="S261" s="9" t="str">
        <f aca="false">IF(R261="","",ROUND(L261-R261,2))</f>
        <v/>
      </c>
      <c r="T261" s="8" t="str">
        <f aca="false">IF(A261="","",IF(S261="","BYPASS",IF(ABS(S261)&lt;=Summary!$B$2,"PASS","FAIL")))</f>
        <v/>
      </c>
      <c r="U261" s="8" t="str">
        <f aca="false">IF(T261="BYPASS",IF(NOT(ISNUMBER(Q261)),"PreV_ETB missing","End_tr_balance missing"),IF(T261="FAIL",IF(AND(ISNUMBER(K261),ISNUMBER(L261),ABS(L261-(K261-IF(ISNUMBER(N261),N261,0)-IF(ISNUMBER(O261),O261,0)+IF(ISNUMBER(P261),P261,0)))&lt;=Summary!$B$2),"Passes using beginning_balance - PreV_ETB differs from beginning_balance",IF(AND(ISNUMBER(O261),O261&lt;0,ABS(L261-(Q261-IF(ISNUMBER(N261),N261,0)+IF(ISNUMBER(P261),P261,0)))&lt;=Summary!$B$2),"Negative realized loss not applied - check sign",IF(R261&lt;0,"Principal paid exceeds prior balance",IF(AND(L261&gt;Q261,NOT(ISNUMBER(P261))),"Balance increased but no Deferred_interest reported",IF(L261&gt;R261,"Reported balance higher than expected (missing increase/OC build)","Reported balance lower than expected (missing decrease)"))))),""))</f>
        <v/>
      </c>
    </row>
    <row r="262" customFormat="false" ht="15" hidden="false" customHeight="fals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9"/>
      <c r="L262" s="9"/>
      <c r="M262" s="9"/>
      <c r="N262" s="9"/>
      <c r="O262" s="9"/>
      <c r="P262" s="9"/>
      <c r="Q262" s="9"/>
      <c r="R262" s="9" t="str">
        <f aca="false">IF(AND(A262&lt;&gt;"",ISNUMBER(Q262),ISNUMBER(L262)),ROUND(Q262-IF(ISNUMBER(N262),N262,0)-IF(ISNUMBER(O262),O262,0)+IF(ISNUMBER(P262),P262,0),2),"")</f>
        <v/>
      </c>
      <c r="S262" s="9" t="str">
        <f aca="false">IF(R262="","",ROUND(L262-R262,2))</f>
        <v/>
      </c>
      <c r="T262" s="8" t="str">
        <f aca="false">IF(A262="","",IF(S262="","BYPASS",IF(ABS(S262)&lt;=Summary!$B$2,"PASS","FAIL")))</f>
        <v/>
      </c>
      <c r="U262" s="8" t="str">
        <f aca="false">IF(T262="BYPASS",IF(NOT(ISNUMBER(Q262)),"PreV_ETB missing","End_tr_balance missing"),IF(T262="FAIL",IF(AND(ISNUMBER(K262),ISNUMBER(L262),ABS(L262-(K262-IF(ISNUMBER(N262),N262,0)-IF(ISNUMBER(O262),O262,0)+IF(ISNUMBER(P262),P262,0)))&lt;=Summary!$B$2),"Passes using beginning_balance - PreV_ETB differs from beginning_balance",IF(AND(ISNUMBER(O262),O262&lt;0,ABS(L262-(Q262-IF(ISNUMBER(N262),N262,0)+IF(ISNUMBER(P262),P262,0)))&lt;=Summary!$B$2),"Negative realized loss not applied - check sign",IF(R262&lt;0,"Principal paid exceeds prior balance",IF(AND(L262&gt;Q262,NOT(ISNUMBER(P262))),"Balance increased but no Deferred_interest reported",IF(L262&gt;R262,"Reported balance higher than expected (missing increase/OC build)","Reported balance lower than expected (missing decrease)"))))),""))</f>
        <v/>
      </c>
    </row>
    <row r="263" customFormat="false" ht="15" hidden="false" customHeight="fals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9"/>
      <c r="L263" s="9"/>
      <c r="M263" s="9"/>
      <c r="N263" s="9"/>
      <c r="O263" s="9"/>
      <c r="P263" s="9"/>
      <c r="Q263" s="9"/>
      <c r="R263" s="9" t="str">
        <f aca="false">IF(AND(A263&lt;&gt;"",ISNUMBER(Q263),ISNUMBER(L263)),ROUND(Q263-IF(ISNUMBER(N263),N263,0)-IF(ISNUMBER(O263),O263,0)+IF(ISNUMBER(P263),P263,0),2),"")</f>
        <v/>
      </c>
      <c r="S263" s="9" t="str">
        <f aca="false">IF(R263="","",ROUND(L263-R263,2))</f>
        <v/>
      </c>
      <c r="T263" s="8" t="str">
        <f aca="false">IF(A263="","",IF(S263="","BYPASS",IF(ABS(S263)&lt;=Summary!$B$2,"PASS","FAIL")))</f>
        <v/>
      </c>
      <c r="U263" s="8" t="str">
        <f aca="false">IF(T263="BYPASS",IF(NOT(ISNUMBER(Q263)),"PreV_ETB missing","End_tr_balance missing"),IF(T263="FAIL",IF(AND(ISNUMBER(K263),ISNUMBER(L263),ABS(L263-(K263-IF(ISNUMBER(N263),N263,0)-IF(ISNUMBER(O263),O263,0)+IF(ISNUMBER(P263),P263,0)))&lt;=Summary!$B$2),"Passes using beginning_balance - PreV_ETB differs from beginning_balance",IF(AND(ISNUMBER(O263),O263&lt;0,ABS(L263-(Q263-IF(ISNUMBER(N263),N263,0)+IF(ISNUMBER(P263),P263,0)))&lt;=Summary!$B$2),"Negative realized loss not applied - check sign",IF(R263&lt;0,"Principal paid exceeds prior balance",IF(AND(L263&gt;Q263,NOT(ISNUMBER(P263))),"Balance increased but no Deferred_interest reported",IF(L263&gt;R263,"Reported balance higher than expected (missing increase/OC build)","Reported balance lower than expected (missing decrease)"))))),""))</f>
        <v/>
      </c>
    </row>
    <row r="264" customFormat="false" ht="15" hidden="false" customHeight="fals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9"/>
      <c r="L264" s="9"/>
      <c r="M264" s="9"/>
      <c r="N264" s="9"/>
      <c r="O264" s="9"/>
      <c r="P264" s="9"/>
      <c r="Q264" s="9"/>
      <c r="R264" s="9" t="str">
        <f aca="false">IF(AND(A264&lt;&gt;"",ISNUMBER(Q264),ISNUMBER(L264)),ROUND(Q264-IF(ISNUMBER(N264),N264,0)-IF(ISNUMBER(O264),O264,0)+IF(ISNUMBER(P264),P264,0),2),"")</f>
        <v/>
      </c>
      <c r="S264" s="9" t="str">
        <f aca="false">IF(R264="","",ROUND(L264-R264,2))</f>
        <v/>
      </c>
      <c r="T264" s="8" t="str">
        <f aca="false">IF(A264="","",IF(S264="","BYPASS",IF(ABS(S264)&lt;=Summary!$B$2,"PASS","FAIL")))</f>
        <v/>
      </c>
      <c r="U264" s="8" t="str">
        <f aca="false">IF(T264="BYPASS",IF(NOT(ISNUMBER(Q264)),"PreV_ETB missing","End_tr_balance missing"),IF(T264="FAIL",IF(AND(ISNUMBER(K264),ISNUMBER(L264),ABS(L264-(K264-IF(ISNUMBER(N264),N264,0)-IF(ISNUMBER(O264),O264,0)+IF(ISNUMBER(P264),P264,0)))&lt;=Summary!$B$2),"Passes using beginning_balance - PreV_ETB differs from beginning_balance",IF(AND(ISNUMBER(O264),O264&lt;0,ABS(L264-(Q264-IF(ISNUMBER(N264),N264,0)+IF(ISNUMBER(P264),P264,0)))&lt;=Summary!$B$2),"Negative realized loss not applied - check sign",IF(R264&lt;0,"Principal paid exceeds prior balance",IF(AND(L264&gt;Q264,NOT(ISNUMBER(P264))),"Balance increased but no Deferred_interest reported",IF(L264&gt;R264,"Reported balance higher than expected (missing increase/OC build)","Reported balance lower than expected (missing decrease)"))))),""))</f>
        <v/>
      </c>
    </row>
    <row r="265" customFormat="false" ht="15" hidden="false" customHeight="fals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9"/>
      <c r="L265" s="9"/>
      <c r="M265" s="9"/>
      <c r="N265" s="9"/>
      <c r="O265" s="9"/>
      <c r="P265" s="9"/>
      <c r="Q265" s="9"/>
      <c r="R265" s="9" t="str">
        <f aca="false">IF(AND(A265&lt;&gt;"",ISNUMBER(Q265),ISNUMBER(L265)),ROUND(Q265-IF(ISNUMBER(N265),N265,0)-IF(ISNUMBER(O265),O265,0)+IF(ISNUMBER(P265),P265,0),2),"")</f>
        <v/>
      </c>
      <c r="S265" s="9" t="str">
        <f aca="false">IF(R265="","",ROUND(L265-R265,2))</f>
        <v/>
      </c>
      <c r="T265" s="8" t="str">
        <f aca="false">IF(A265="","",IF(S265="","BYPASS",IF(ABS(S265)&lt;=Summary!$B$2,"PASS","FAIL")))</f>
        <v/>
      </c>
      <c r="U265" s="8" t="str">
        <f aca="false">IF(T265="BYPASS",IF(NOT(ISNUMBER(Q265)),"PreV_ETB missing","End_tr_balance missing"),IF(T265="FAIL",IF(AND(ISNUMBER(K265),ISNUMBER(L265),ABS(L265-(K265-IF(ISNUMBER(N265),N265,0)-IF(ISNUMBER(O265),O265,0)+IF(ISNUMBER(P265),P265,0)))&lt;=Summary!$B$2),"Passes using beginning_balance - PreV_ETB differs from beginning_balance",IF(AND(ISNUMBER(O265),O265&lt;0,ABS(L265-(Q265-IF(ISNUMBER(N265),N265,0)+IF(ISNUMBER(P265),P265,0)))&lt;=Summary!$B$2),"Negative realized loss not applied - check sign",IF(R265&lt;0,"Principal paid exceeds prior balance",IF(AND(L265&gt;Q265,NOT(ISNUMBER(P265))),"Balance increased but no Deferred_interest reported",IF(L265&gt;R265,"Reported balance higher than expected (missing increase/OC build)","Reported balance lower than expected (missing decrease)"))))),""))</f>
        <v/>
      </c>
    </row>
    <row r="266" customFormat="false" ht="15" hidden="false" customHeight="fals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9"/>
      <c r="L266" s="9"/>
      <c r="M266" s="9"/>
      <c r="N266" s="9"/>
      <c r="O266" s="9"/>
      <c r="P266" s="9"/>
      <c r="Q266" s="9"/>
      <c r="R266" s="9" t="str">
        <f aca="false">IF(AND(A266&lt;&gt;"",ISNUMBER(Q266),ISNUMBER(L266)),ROUND(Q266-IF(ISNUMBER(N266),N266,0)-IF(ISNUMBER(O266),O266,0)+IF(ISNUMBER(P266),P266,0),2),"")</f>
        <v/>
      </c>
      <c r="S266" s="9" t="str">
        <f aca="false">IF(R266="","",ROUND(L266-R266,2))</f>
        <v/>
      </c>
      <c r="T266" s="8" t="str">
        <f aca="false">IF(A266="","",IF(S266="","BYPASS",IF(ABS(S266)&lt;=Summary!$B$2,"PASS","FAIL")))</f>
        <v/>
      </c>
      <c r="U266" s="8" t="str">
        <f aca="false">IF(T266="BYPASS",IF(NOT(ISNUMBER(Q266)),"PreV_ETB missing","End_tr_balance missing"),IF(T266="FAIL",IF(AND(ISNUMBER(K266),ISNUMBER(L266),ABS(L266-(K266-IF(ISNUMBER(N266),N266,0)-IF(ISNUMBER(O266),O266,0)+IF(ISNUMBER(P266),P266,0)))&lt;=Summary!$B$2),"Passes using beginning_balance - PreV_ETB differs from beginning_balance",IF(AND(ISNUMBER(O266),O266&lt;0,ABS(L266-(Q266-IF(ISNUMBER(N266),N266,0)+IF(ISNUMBER(P266),P266,0)))&lt;=Summary!$B$2),"Negative realized loss not applied - check sign",IF(R266&lt;0,"Principal paid exceeds prior balance",IF(AND(L266&gt;Q266,NOT(ISNUMBER(P266))),"Balance increased but no Deferred_interest reported",IF(L266&gt;R266,"Reported balance higher than expected (missing increase/OC build)","Reported balance lower than expected (missing decrease)"))))),""))</f>
        <v/>
      </c>
    </row>
    <row r="267" customFormat="false" ht="15" hidden="false" customHeight="fals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9"/>
      <c r="L267" s="9"/>
      <c r="M267" s="9"/>
      <c r="N267" s="9"/>
      <c r="O267" s="9"/>
      <c r="P267" s="9"/>
      <c r="Q267" s="9"/>
      <c r="R267" s="9" t="str">
        <f aca="false">IF(AND(A267&lt;&gt;"",ISNUMBER(Q267),ISNUMBER(L267)),ROUND(Q267-IF(ISNUMBER(N267),N267,0)-IF(ISNUMBER(O267),O267,0)+IF(ISNUMBER(P267),P267,0),2),"")</f>
        <v/>
      </c>
      <c r="S267" s="9" t="str">
        <f aca="false">IF(R267="","",ROUND(L267-R267,2))</f>
        <v/>
      </c>
      <c r="T267" s="8" t="str">
        <f aca="false">IF(A267="","",IF(S267="","BYPASS",IF(ABS(S267)&lt;=Summary!$B$2,"PASS","FAIL")))</f>
        <v/>
      </c>
      <c r="U267" s="8" t="str">
        <f aca="false">IF(T267="BYPASS",IF(NOT(ISNUMBER(Q267)),"PreV_ETB missing","End_tr_balance missing"),IF(T267="FAIL",IF(AND(ISNUMBER(K267),ISNUMBER(L267),ABS(L267-(K267-IF(ISNUMBER(N267),N267,0)-IF(ISNUMBER(O267),O267,0)+IF(ISNUMBER(P267),P267,0)))&lt;=Summary!$B$2),"Passes using beginning_balance - PreV_ETB differs from beginning_balance",IF(AND(ISNUMBER(O267),O267&lt;0,ABS(L267-(Q267-IF(ISNUMBER(N267),N267,0)+IF(ISNUMBER(P267),P267,0)))&lt;=Summary!$B$2),"Negative realized loss not applied - check sign",IF(R267&lt;0,"Principal paid exceeds prior balance",IF(AND(L267&gt;Q267,NOT(ISNUMBER(P267))),"Balance increased but no Deferred_interest reported",IF(L267&gt;R267,"Reported balance higher than expected (missing increase/OC build)","Reported balance lower than expected (missing decrease)"))))),""))</f>
        <v/>
      </c>
    </row>
    <row r="268" customFormat="false" ht="15" hidden="false" customHeight="fals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9"/>
      <c r="L268" s="9"/>
      <c r="M268" s="9"/>
      <c r="N268" s="9"/>
      <c r="O268" s="9"/>
      <c r="P268" s="9"/>
      <c r="Q268" s="9"/>
      <c r="R268" s="9" t="str">
        <f aca="false">IF(AND(A268&lt;&gt;"",ISNUMBER(Q268),ISNUMBER(L268)),ROUND(Q268-IF(ISNUMBER(N268),N268,0)-IF(ISNUMBER(O268),O268,0)+IF(ISNUMBER(P268),P268,0),2),"")</f>
        <v/>
      </c>
      <c r="S268" s="9" t="str">
        <f aca="false">IF(R268="","",ROUND(L268-R268,2))</f>
        <v/>
      </c>
      <c r="T268" s="8" t="str">
        <f aca="false">IF(A268="","",IF(S268="","BYPASS",IF(ABS(S268)&lt;=Summary!$B$2,"PASS","FAIL")))</f>
        <v/>
      </c>
      <c r="U268" s="8" t="str">
        <f aca="false">IF(T268="BYPASS",IF(NOT(ISNUMBER(Q268)),"PreV_ETB missing","End_tr_balance missing"),IF(T268="FAIL",IF(AND(ISNUMBER(K268),ISNUMBER(L268),ABS(L268-(K268-IF(ISNUMBER(N268),N268,0)-IF(ISNUMBER(O268),O268,0)+IF(ISNUMBER(P268),P268,0)))&lt;=Summary!$B$2),"Passes using beginning_balance - PreV_ETB differs from beginning_balance",IF(AND(ISNUMBER(O268),O268&lt;0,ABS(L268-(Q268-IF(ISNUMBER(N268),N268,0)+IF(ISNUMBER(P268),P268,0)))&lt;=Summary!$B$2),"Negative realized loss not applied - check sign",IF(R268&lt;0,"Principal paid exceeds prior balance",IF(AND(L268&gt;Q268,NOT(ISNUMBER(P268))),"Balance increased but no Deferred_interest reported",IF(L268&gt;R268,"Reported balance higher than expected (missing increase/OC build)","Reported balance lower than expected (missing decrease)"))))),""))</f>
        <v/>
      </c>
    </row>
    <row r="269" customFormat="false" ht="15" hidden="false" customHeight="fals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9"/>
      <c r="L269" s="9"/>
      <c r="M269" s="9"/>
      <c r="N269" s="9"/>
      <c r="O269" s="9"/>
      <c r="P269" s="9"/>
      <c r="Q269" s="9"/>
      <c r="R269" s="9" t="str">
        <f aca="false">IF(AND(A269&lt;&gt;"",ISNUMBER(Q269),ISNUMBER(L269)),ROUND(Q269-IF(ISNUMBER(N269),N269,0)-IF(ISNUMBER(O269),O269,0)+IF(ISNUMBER(P269),P269,0),2),"")</f>
        <v/>
      </c>
      <c r="S269" s="9" t="str">
        <f aca="false">IF(R269="","",ROUND(L269-R269,2))</f>
        <v/>
      </c>
      <c r="T269" s="8" t="str">
        <f aca="false">IF(A269="","",IF(S269="","BYPASS",IF(ABS(S269)&lt;=Summary!$B$2,"PASS","FAIL")))</f>
        <v/>
      </c>
      <c r="U269" s="8" t="str">
        <f aca="false">IF(T269="BYPASS",IF(NOT(ISNUMBER(Q269)),"PreV_ETB missing","End_tr_balance missing"),IF(T269="FAIL",IF(AND(ISNUMBER(K269),ISNUMBER(L269),ABS(L269-(K269-IF(ISNUMBER(N269),N269,0)-IF(ISNUMBER(O269),O269,0)+IF(ISNUMBER(P269),P269,0)))&lt;=Summary!$B$2),"Passes using beginning_balance - PreV_ETB differs from beginning_balance",IF(AND(ISNUMBER(O269),O269&lt;0,ABS(L269-(Q269-IF(ISNUMBER(N269),N269,0)+IF(ISNUMBER(P269),P269,0)))&lt;=Summary!$B$2),"Negative realized loss not applied - check sign",IF(R269&lt;0,"Principal paid exceeds prior balance",IF(AND(L269&gt;Q269,NOT(ISNUMBER(P269))),"Balance increased but no Deferred_interest reported",IF(L269&gt;R269,"Reported balance higher than expected (missing increase/OC build)","Reported balance lower than expected (missing decrease)"))))),""))</f>
        <v/>
      </c>
    </row>
    <row r="270" customFormat="false" ht="15" hidden="false" customHeight="fals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9"/>
      <c r="L270" s="9"/>
      <c r="M270" s="9"/>
      <c r="N270" s="9"/>
      <c r="O270" s="9"/>
      <c r="P270" s="9"/>
      <c r="Q270" s="9"/>
      <c r="R270" s="9" t="str">
        <f aca="false">IF(AND(A270&lt;&gt;"",ISNUMBER(Q270),ISNUMBER(L270)),ROUND(Q270-IF(ISNUMBER(N270),N270,0)-IF(ISNUMBER(O270),O270,0)+IF(ISNUMBER(P270),P270,0),2),"")</f>
        <v/>
      </c>
      <c r="S270" s="9" t="str">
        <f aca="false">IF(R270="","",ROUND(L270-R270,2))</f>
        <v/>
      </c>
      <c r="T270" s="8" t="str">
        <f aca="false">IF(A270="","",IF(S270="","BYPASS",IF(ABS(S270)&lt;=Summary!$B$2,"PASS","FAIL")))</f>
        <v/>
      </c>
      <c r="U270" s="8" t="str">
        <f aca="false">IF(T270="BYPASS",IF(NOT(ISNUMBER(Q270)),"PreV_ETB missing","End_tr_balance missing"),IF(T270="FAIL",IF(AND(ISNUMBER(K270),ISNUMBER(L270),ABS(L270-(K270-IF(ISNUMBER(N270),N270,0)-IF(ISNUMBER(O270),O270,0)+IF(ISNUMBER(P270),P270,0)))&lt;=Summary!$B$2),"Passes using beginning_balance - PreV_ETB differs from beginning_balance",IF(AND(ISNUMBER(O270),O270&lt;0,ABS(L270-(Q270-IF(ISNUMBER(N270),N270,0)+IF(ISNUMBER(P270),P270,0)))&lt;=Summary!$B$2),"Negative realized loss not applied - check sign",IF(R270&lt;0,"Principal paid exceeds prior balance",IF(AND(L270&gt;Q270,NOT(ISNUMBER(P270))),"Balance increased but no Deferred_interest reported",IF(L270&gt;R270,"Reported balance higher than expected (missing increase/OC build)","Reported balance lower than expected (missing decrease)"))))),""))</f>
        <v/>
      </c>
    </row>
    <row r="271" customFormat="false" ht="15" hidden="false" customHeight="fals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9"/>
      <c r="L271" s="9"/>
      <c r="M271" s="9"/>
      <c r="N271" s="9"/>
      <c r="O271" s="9"/>
      <c r="P271" s="9"/>
      <c r="Q271" s="9"/>
      <c r="R271" s="9" t="str">
        <f aca="false">IF(AND(A271&lt;&gt;"",ISNUMBER(Q271),ISNUMBER(L271)),ROUND(Q271-IF(ISNUMBER(N271),N271,0)-IF(ISNUMBER(O271),O271,0)+IF(ISNUMBER(P271),P271,0),2),"")</f>
        <v/>
      </c>
      <c r="S271" s="9" t="str">
        <f aca="false">IF(R271="","",ROUND(L271-R271,2))</f>
        <v/>
      </c>
      <c r="T271" s="8" t="str">
        <f aca="false">IF(A271="","",IF(S271="","BYPASS",IF(ABS(S271)&lt;=Summary!$B$2,"PASS","FAIL")))</f>
        <v/>
      </c>
      <c r="U271" s="8" t="str">
        <f aca="false">IF(T271="BYPASS",IF(NOT(ISNUMBER(Q271)),"PreV_ETB missing","End_tr_balance missing"),IF(T271="FAIL",IF(AND(ISNUMBER(K271),ISNUMBER(L271),ABS(L271-(K271-IF(ISNUMBER(N271),N271,0)-IF(ISNUMBER(O271),O271,0)+IF(ISNUMBER(P271),P271,0)))&lt;=Summary!$B$2),"Passes using beginning_balance - PreV_ETB differs from beginning_balance",IF(AND(ISNUMBER(O271),O271&lt;0,ABS(L271-(Q271-IF(ISNUMBER(N271),N271,0)+IF(ISNUMBER(P271),P271,0)))&lt;=Summary!$B$2),"Negative realized loss not applied - check sign",IF(R271&lt;0,"Principal paid exceeds prior balance",IF(AND(L271&gt;Q271,NOT(ISNUMBER(P271))),"Balance increased but no Deferred_interest reported",IF(L271&gt;R271,"Reported balance higher than expected (missing increase/OC build)","Reported balance lower than expected (missing decrease)"))))),""))</f>
        <v/>
      </c>
    </row>
    <row r="272" customFormat="false" ht="15" hidden="false" customHeight="fals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9"/>
      <c r="L272" s="9"/>
      <c r="M272" s="9"/>
      <c r="N272" s="9"/>
      <c r="O272" s="9"/>
      <c r="P272" s="9"/>
      <c r="Q272" s="9"/>
      <c r="R272" s="9" t="str">
        <f aca="false">IF(AND(A272&lt;&gt;"",ISNUMBER(Q272),ISNUMBER(L272)),ROUND(Q272-IF(ISNUMBER(N272),N272,0)-IF(ISNUMBER(O272),O272,0)+IF(ISNUMBER(P272),P272,0),2),"")</f>
        <v/>
      </c>
      <c r="S272" s="9" t="str">
        <f aca="false">IF(R272="","",ROUND(L272-R272,2))</f>
        <v/>
      </c>
      <c r="T272" s="8" t="str">
        <f aca="false">IF(A272="","",IF(S272="","BYPASS",IF(ABS(S272)&lt;=Summary!$B$2,"PASS","FAIL")))</f>
        <v/>
      </c>
      <c r="U272" s="8" t="str">
        <f aca="false">IF(T272="BYPASS",IF(NOT(ISNUMBER(Q272)),"PreV_ETB missing","End_tr_balance missing"),IF(T272="FAIL",IF(AND(ISNUMBER(K272),ISNUMBER(L272),ABS(L272-(K272-IF(ISNUMBER(N272),N272,0)-IF(ISNUMBER(O272),O272,0)+IF(ISNUMBER(P272),P272,0)))&lt;=Summary!$B$2),"Passes using beginning_balance - PreV_ETB differs from beginning_balance",IF(AND(ISNUMBER(O272),O272&lt;0,ABS(L272-(Q272-IF(ISNUMBER(N272),N272,0)+IF(ISNUMBER(P272),P272,0)))&lt;=Summary!$B$2),"Negative realized loss not applied - check sign",IF(R272&lt;0,"Principal paid exceeds prior balance",IF(AND(L272&gt;Q272,NOT(ISNUMBER(P272))),"Balance increased but no Deferred_interest reported",IF(L272&gt;R272,"Reported balance higher than expected (missing increase/OC build)","Reported balance lower than expected (missing decrease)"))))),""))</f>
        <v/>
      </c>
    </row>
    <row r="273" customFormat="false" ht="15" hidden="false" customHeight="fals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9"/>
      <c r="L273" s="9"/>
      <c r="M273" s="9"/>
      <c r="N273" s="9"/>
      <c r="O273" s="9"/>
      <c r="P273" s="9"/>
      <c r="Q273" s="9"/>
      <c r="R273" s="9" t="str">
        <f aca="false">IF(AND(A273&lt;&gt;"",ISNUMBER(Q273),ISNUMBER(L273)),ROUND(Q273-IF(ISNUMBER(N273),N273,0)-IF(ISNUMBER(O273),O273,0)+IF(ISNUMBER(P273),P273,0),2),"")</f>
        <v/>
      </c>
      <c r="S273" s="9" t="str">
        <f aca="false">IF(R273="","",ROUND(L273-R273,2))</f>
        <v/>
      </c>
      <c r="T273" s="8" t="str">
        <f aca="false">IF(A273="","",IF(S273="","BYPASS",IF(ABS(S273)&lt;=Summary!$B$2,"PASS","FAIL")))</f>
        <v/>
      </c>
      <c r="U273" s="8" t="str">
        <f aca="false">IF(T273="BYPASS",IF(NOT(ISNUMBER(Q273)),"PreV_ETB missing","End_tr_balance missing"),IF(T273="FAIL",IF(AND(ISNUMBER(K273),ISNUMBER(L273),ABS(L273-(K273-IF(ISNUMBER(N273),N273,0)-IF(ISNUMBER(O273),O273,0)+IF(ISNUMBER(P273),P273,0)))&lt;=Summary!$B$2),"Passes using beginning_balance - PreV_ETB differs from beginning_balance",IF(AND(ISNUMBER(O273),O273&lt;0,ABS(L273-(Q273-IF(ISNUMBER(N273),N273,0)+IF(ISNUMBER(P273),P273,0)))&lt;=Summary!$B$2),"Negative realized loss not applied - check sign",IF(R273&lt;0,"Principal paid exceeds prior balance",IF(AND(L273&gt;Q273,NOT(ISNUMBER(P273))),"Balance increased but no Deferred_interest reported",IF(L273&gt;R273,"Reported balance higher than expected (missing increase/OC build)","Reported balance lower than expected (missing decrease)"))))),""))</f>
        <v/>
      </c>
    </row>
    <row r="274" customFormat="false" ht="15" hidden="false" customHeight="fals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9"/>
      <c r="L274" s="9"/>
      <c r="M274" s="9"/>
      <c r="N274" s="9"/>
      <c r="O274" s="9"/>
      <c r="P274" s="9"/>
      <c r="Q274" s="9"/>
      <c r="R274" s="9" t="str">
        <f aca="false">IF(AND(A274&lt;&gt;"",ISNUMBER(Q274),ISNUMBER(L274)),ROUND(Q274-IF(ISNUMBER(N274),N274,0)-IF(ISNUMBER(O274),O274,0)+IF(ISNUMBER(P274),P274,0),2),"")</f>
        <v/>
      </c>
      <c r="S274" s="9" t="str">
        <f aca="false">IF(R274="","",ROUND(L274-R274,2))</f>
        <v/>
      </c>
      <c r="T274" s="8" t="str">
        <f aca="false">IF(A274="","",IF(S274="","BYPASS",IF(ABS(S274)&lt;=Summary!$B$2,"PASS","FAIL")))</f>
        <v/>
      </c>
      <c r="U274" s="8" t="str">
        <f aca="false">IF(T274="BYPASS",IF(NOT(ISNUMBER(Q274)),"PreV_ETB missing","End_tr_balance missing"),IF(T274="FAIL",IF(AND(ISNUMBER(K274),ISNUMBER(L274),ABS(L274-(K274-IF(ISNUMBER(N274),N274,0)-IF(ISNUMBER(O274),O274,0)+IF(ISNUMBER(P274),P274,0)))&lt;=Summary!$B$2),"Passes using beginning_balance - PreV_ETB differs from beginning_balance",IF(AND(ISNUMBER(O274),O274&lt;0,ABS(L274-(Q274-IF(ISNUMBER(N274),N274,0)+IF(ISNUMBER(P274),P274,0)))&lt;=Summary!$B$2),"Negative realized loss not applied - check sign",IF(R274&lt;0,"Principal paid exceeds prior balance",IF(AND(L274&gt;Q274,NOT(ISNUMBER(P274))),"Balance increased but no Deferred_interest reported",IF(L274&gt;R274,"Reported balance higher than expected (missing increase/OC build)","Reported balance lower than expected (missing decrease)"))))),""))</f>
        <v/>
      </c>
    </row>
    <row r="275" customFormat="false" ht="15" hidden="false" customHeight="fals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9"/>
      <c r="L275" s="9"/>
      <c r="M275" s="9"/>
      <c r="N275" s="9"/>
      <c r="O275" s="9"/>
      <c r="P275" s="9"/>
      <c r="Q275" s="9"/>
      <c r="R275" s="9" t="str">
        <f aca="false">IF(AND(A275&lt;&gt;"",ISNUMBER(Q275),ISNUMBER(L275)),ROUND(Q275-IF(ISNUMBER(N275),N275,0)-IF(ISNUMBER(O275),O275,0)+IF(ISNUMBER(P275),P275,0),2),"")</f>
        <v/>
      </c>
      <c r="S275" s="9" t="str">
        <f aca="false">IF(R275="","",ROUND(L275-R275,2))</f>
        <v/>
      </c>
      <c r="T275" s="8" t="str">
        <f aca="false">IF(A275="","",IF(S275="","BYPASS",IF(ABS(S275)&lt;=Summary!$B$2,"PASS","FAIL")))</f>
        <v/>
      </c>
      <c r="U275" s="8" t="str">
        <f aca="false">IF(T275="BYPASS",IF(NOT(ISNUMBER(Q275)),"PreV_ETB missing","End_tr_balance missing"),IF(T275="FAIL",IF(AND(ISNUMBER(K275),ISNUMBER(L275),ABS(L275-(K275-IF(ISNUMBER(N275),N275,0)-IF(ISNUMBER(O275),O275,0)+IF(ISNUMBER(P275),P275,0)))&lt;=Summary!$B$2),"Passes using beginning_balance - PreV_ETB differs from beginning_balance",IF(AND(ISNUMBER(O275),O275&lt;0,ABS(L275-(Q275-IF(ISNUMBER(N275),N275,0)+IF(ISNUMBER(P275),P275,0)))&lt;=Summary!$B$2),"Negative realized loss not applied - check sign",IF(R275&lt;0,"Principal paid exceeds prior balance",IF(AND(L275&gt;Q275,NOT(ISNUMBER(P275))),"Balance increased but no Deferred_interest reported",IF(L275&gt;R275,"Reported balance higher than expected (missing increase/OC build)","Reported balance lower than expected (missing decrease)"))))),""))</f>
        <v/>
      </c>
    </row>
    <row r="276" customFormat="false" ht="15" hidden="false" customHeight="fals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9"/>
      <c r="L276" s="9"/>
      <c r="M276" s="9"/>
      <c r="N276" s="9"/>
      <c r="O276" s="9"/>
      <c r="P276" s="9"/>
      <c r="Q276" s="9"/>
      <c r="R276" s="9" t="str">
        <f aca="false">IF(AND(A276&lt;&gt;"",ISNUMBER(Q276),ISNUMBER(L276)),ROUND(Q276-IF(ISNUMBER(N276),N276,0)-IF(ISNUMBER(O276),O276,0)+IF(ISNUMBER(P276),P276,0),2),"")</f>
        <v/>
      </c>
      <c r="S276" s="9" t="str">
        <f aca="false">IF(R276="","",ROUND(L276-R276,2))</f>
        <v/>
      </c>
      <c r="T276" s="8" t="str">
        <f aca="false">IF(A276="","",IF(S276="","BYPASS",IF(ABS(S276)&lt;=Summary!$B$2,"PASS","FAIL")))</f>
        <v/>
      </c>
      <c r="U276" s="8" t="str">
        <f aca="false">IF(T276="BYPASS",IF(NOT(ISNUMBER(Q276)),"PreV_ETB missing","End_tr_balance missing"),IF(T276="FAIL",IF(AND(ISNUMBER(K276),ISNUMBER(L276),ABS(L276-(K276-IF(ISNUMBER(N276),N276,0)-IF(ISNUMBER(O276),O276,0)+IF(ISNUMBER(P276),P276,0)))&lt;=Summary!$B$2),"Passes using beginning_balance - PreV_ETB differs from beginning_balance",IF(AND(ISNUMBER(O276),O276&lt;0,ABS(L276-(Q276-IF(ISNUMBER(N276),N276,0)+IF(ISNUMBER(P276),P276,0)))&lt;=Summary!$B$2),"Negative realized loss not applied - check sign",IF(R276&lt;0,"Principal paid exceeds prior balance",IF(AND(L276&gt;Q276,NOT(ISNUMBER(P276))),"Balance increased but no Deferred_interest reported",IF(L276&gt;R276,"Reported balance higher than expected (missing increase/OC build)","Reported balance lower than expected (missing decrease)"))))),""))</f>
        <v/>
      </c>
    </row>
    <row r="277" customFormat="false" ht="15" hidden="false" customHeight="fals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9"/>
      <c r="L277" s="9"/>
      <c r="M277" s="9"/>
      <c r="N277" s="9"/>
      <c r="O277" s="9"/>
      <c r="P277" s="9"/>
      <c r="Q277" s="9"/>
      <c r="R277" s="9" t="str">
        <f aca="false">IF(AND(A277&lt;&gt;"",ISNUMBER(Q277),ISNUMBER(L277)),ROUND(Q277-IF(ISNUMBER(N277),N277,0)-IF(ISNUMBER(O277),O277,0)+IF(ISNUMBER(P277),P277,0),2),"")</f>
        <v/>
      </c>
      <c r="S277" s="9" t="str">
        <f aca="false">IF(R277="","",ROUND(L277-R277,2))</f>
        <v/>
      </c>
      <c r="T277" s="8" t="str">
        <f aca="false">IF(A277="","",IF(S277="","BYPASS",IF(ABS(S277)&lt;=Summary!$B$2,"PASS","FAIL")))</f>
        <v/>
      </c>
      <c r="U277" s="8" t="str">
        <f aca="false">IF(T277="BYPASS",IF(NOT(ISNUMBER(Q277)),"PreV_ETB missing","End_tr_balance missing"),IF(T277="FAIL",IF(AND(ISNUMBER(K277),ISNUMBER(L277),ABS(L277-(K277-IF(ISNUMBER(N277),N277,0)-IF(ISNUMBER(O277),O277,0)+IF(ISNUMBER(P277),P277,0)))&lt;=Summary!$B$2),"Passes using beginning_balance - PreV_ETB differs from beginning_balance",IF(AND(ISNUMBER(O277),O277&lt;0,ABS(L277-(Q277-IF(ISNUMBER(N277),N277,0)+IF(ISNUMBER(P277),P277,0)))&lt;=Summary!$B$2),"Negative realized loss not applied - check sign",IF(R277&lt;0,"Principal paid exceeds prior balance",IF(AND(L277&gt;Q277,NOT(ISNUMBER(P277))),"Balance increased but no Deferred_interest reported",IF(L277&gt;R277,"Reported balance higher than expected (missing increase/OC build)","Reported balance lower than expected (missing decrease)"))))),""))</f>
        <v/>
      </c>
    </row>
    <row r="278" customFormat="false" ht="15" hidden="false" customHeight="fals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9"/>
      <c r="L278" s="9"/>
      <c r="M278" s="9"/>
      <c r="N278" s="9"/>
      <c r="O278" s="9"/>
      <c r="P278" s="9"/>
      <c r="Q278" s="9"/>
      <c r="R278" s="9" t="str">
        <f aca="false">IF(AND(A278&lt;&gt;"",ISNUMBER(Q278),ISNUMBER(L278)),ROUND(Q278-IF(ISNUMBER(N278),N278,0)-IF(ISNUMBER(O278),O278,0)+IF(ISNUMBER(P278),P278,0),2),"")</f>
        <v/>
      </c>
      <c r="S278" s="9" t="str">
        <f aca="false">IF(R278="","",ROUND(L278-R278,2))</f>
        <v/>
      </c>
      <c r="T278" s="8" t="str">
        <f aca="false">IF(A278="","",IF(S278="","BYPASS",IF(ABS(S278)&lt;=Summary!$B$2,"PASS","FAIL")))</f>
        <v/>
      </c>
      <c r="U278" s="8" t="str">
        <f aca="false">IF(T278="BYPASS",IF(NOT(ISNUMBER(Q278)),"PreV_ETB missing","End_tr_balance missing"),IF(T278="FAIL",IF(AND(ISNUMBER(K278),ISNUMBER(L278),ABS(L278-(K278-IF(ISNUMBER(N278),N278,0)-IF(ISNUMBER(O278),O278,0)+IF(ISNUMBER(P278),P278,0)))&lt;=Summary!$B$2),"Passes using beginning_balance - PreV_ETB differs from beginning_balance",IF(AND(ISNUMBER(O278),O278&lt;0,ABS(L278-(Q278-IF(ISNUMBER(N278),N278,0)+IF(ISNUMBER(P278),P278,0)))&lt;=Summary!$B$2),"Negative realized loss not applied - check sign",IF(R278&lt;0,"Principal paid exceeds prior balance",IF(AND(L278&gt;Q278,NOT(ISNUMBER(P278))),"Balance increased but no Deferred_interest reported",IF(L278&gt;R278,"Reported balance higher than expected (missing increase/OC build)","Reported balance lower than expected (missing decrease)"))))),""))</f>
        <v/>
      </c>
    </row>
    <row r="279" customFormat="false" ht="15" hidden="false" customHeight="fals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9"/>
      <c r="L279" s="9"/>
      <c r="M279" s="9"/>
      <c r="N279" s="9"/>
      <c r="O279" s="9"/>
      <c r="P279" s="9"/>
      <c r="Q279" s="9"/>
      <c r="R279" s="9" t="str">
        <f aca="false">IF(AND(A279&lt;&gt;"",ISNUMBER(Q279),ISNUMBER(L279)),ROUND(Q279-IF(ISNUMBER(N279),N279,0)-IF(ISNUMBER(O279),O279,0)+IF(ISNUMBER(P279),P279,0),2),"")</f>
        <v/>
      </c>
      <c r="S279" s="9" t="str">
        <f aca="false">IF(R279="","",ROUND(L279-R279,2))</f>
        <v/>
      </c>
      <c r="T279" s="8" t="str">
        <f aca="false">IF(A279="","",IF(S279="","BYPASS",IF(ABS(S279)&lt;=Summary!$B$2,"PASS","FAIL")))</f>
        <v/>
      </c>
      <c r="U279" s="8" t="str">
        <f aca="false">IF(T279="BYPASS",IF(NOT(ISNUMBER(Q279)),"PreV_ETB missing","End_tr_balance missing"),IF(T279="FAIL",IF(AND(ISNUMBER(K279),ISNUMBER(L279),ABS(L279-(K279-IF(ISNUMBER(N279),N279,0)-IF(ISNUMBER(O279),O279,0)+IF(ISNUMBER(P279),P279,0)))&lt;=Summary!$B$2),"Passes using beginning_balance - PreV_ETB differs from beginning_balance",IF(AND(ISNUMBER(O279),O279&lt;0,ABS(L279-(Q279-IF(ISNUMBER(N279),N279,0)+IF(ISNUMBER(P279),P279,0)))&lt;=Summary!$B$2),"Negative realized loss not applied - check sign",IF(R279&lt;0,"Principal paid exceeds prior balance",IF(AND(L279&gt;Q279,NOT(ISNUMBER(P279))),"Balance increased but no Deferred_interest reported",IF(L279&gt;R279,"Reported balance higher than expected (missing increase/OC build)","Reported balance lower than expected (missing decrease)"))))),""))</f>
        <v/>
      </c>
    </row>
    <row r="280" customFormat="false" ht="15" hidden="false" customHeight="fals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9"/>
      <c r="L280" s="9"/>
      <c r="M280" s="9"/>
      <c r="N280" s="9"/>
      <c r="O280" s="9"/>
      <c r="P280" s="9"/>
      <c r="Q280" s="9"/>
      <c r="R280" s="9" t="str">
        <f aca="false">IF(AND(A280&lt;&gt;"",ISNUMBER(Q280),ISNUMBER(L280)),ROUND(Q280-IF(ISNUMBER(N280),N280,0)-IF(ISNUMBER(O280),O280,0)+IF(ISNUMBER(P280),P280,0),2),"")</f>
        <v/>
      </c>
      <c r="S280" s="9" t="str">
        <f aca="false">IF(R280="","",ROUND(L280-R280,2))</f>
        <v/>
      </c>
      <c r="T280" s="8" t="str">
        <f aca="false">IF(A280="","",IF(S280="","BYPASS",IF(ABS(S280)&lt;=Summary!$B$2,"PASS","FAIL")))</f>
        <v/>
      </c>
      <c r="U280" s="8" t="str">
        <f aca="false">IF(T280="BYPASS",IF(NOT(ISNUMBER(Q280)),"PreV_ETB missing","End_tr_balance missing"),IF(T280="FAIL",IF(AND(ISNUMBER(K280),ISNUMBER(L280),ABS(L280-(K280-IF(ISNUMBER(N280),N280,0)-IF(ISNUMBER(O280),O280,0)+IF(ISNUMBER(P280),P280,0)))&lt;=Summary!$B$2),"Passes using beginning_balance - PreV_ETB differs from beginning_balance",IF(AND(ISNUMBER(O280),O280&lt;0,ABS(L280-(Q280-IF(ISNUMBER(N280),N280,0)+IF(ISNUMBER(P280),P280,0)))&lt;=Summary!$B$2),"Negative realized loss not applied - check sign",IF(R280&lt;0,"Principal paid exceeds prior balance",IF(AND(L280&gt;Q280,NOT(ISNUMBER(P280))),"Balance increased but no Deferred_interest reported",IF(L280&gt;R280,"Reported balance higher than expected (missing increase/OC build)","Reported balance lower than expected (missing decrease)"))))),""))</f>
        <v/>
      </c>
    </row>
    <row r="281" customFormat="false" ht="15" hidden="false" customHeight="fals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9"/>
      <c r="L281" s="9"/>
      <c r="M281" s="9"/>
      <c r="N281" s="9"/>
      <c r="O281" s="9"/>
      <c r="P281" s="9"/>
      <c r="Q281" s="9"/>
      <c r="R281" s="9" t="str">
        <f aca="false">IF(AND(A281&lt;&gt;"",ISNUMBER(Q281),ISNUMBER(L281)),ROUND(Q281-IF(ISNUMBER(N281),N281,0)-IF(ISNUMBER(O281),O281,0)+IF(ISNUMBER(P281),P281,0),2),"")</f>
        <v/>
      </c>
      <c r="S281" s="9" t="str">
        <f aca="false">IF(R281="","",ROUND(L281-R281,2))</f>
        <v/>
      </c>
      <c r="T281" s="8" t="str">
        <f aca="false">IF(A281="","",IF(S281="","BYPASS",IF(ABS(S281)&lt;=Summary!$B$2,"PASS","FAIL")))</f>
        <v/>
      </c>
      <c r="U281" s="8" t="str">
        <f aca="false">IF(T281="BYPASS",IF(NOT(ISNUMBER(Q281)),"PreV_ETB missing","End_tr_balance missing"),IF(T281="FAIL",IF(AND(ISNUMBER(K281),ISNUMBER(L281),ABS(L281-(K281-IF(ISNUMBER(N281),N281,0)-IF(ISNUMBER(O281),O281,0)+IF(ISNUMBER(P281),P281,0)))&lt;=Summary!$B$2),"Passes using beginning_balance - PreV_ETB differs from beginning_balance",IF(AND(ISNUMBER(O281),O281&lt;0,ABS(L281-(Q281-IF(ISNUMBER(N281),N281,0)+IF(ISNUMBER(P281),P281,0)))&lt;=Summary!$B$2),"Negative realized loss not applied - check sign",IF(R281&lt;0,"Principal paid exceeds prior balance",IF(AND(L281&gt;Q281,NOT(ISNUMBER(P281))),"Balance increased but no Deferred_interest reported",IF(L281&gt;R281,"Reported balance higher than expected (missing increase/OC build)","Reported balance lower than expected (missing decrease)"))))),""))</f>
        <v/>
      </c>
    </row>
    <row r="282" customFormat="false" ht="15" hidden="false" customHeight="fals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9"/>
      <c r="L282" s="9"/>
      <c r="M282" s="9"/>
      <c r="N282" s="9"/>
      <c r="O282" s="9"/>
      <c r="P282" s="9"/>
      <c r="Q282" s="9"/>
      <c r="R282" s="9" t="str">
        <f aca="false">IF(AND(A282&lt;&gt;"",ISNUMBER(Q282),ISNUMBER(L282)),ROUND(Q282-IF(ISNUMBER(N282),N282,0)-IF(ISNUMBER(O282),O282,0)+IF(ISNUMBER(P282),P282,0),2),"")</f>
        <v/>
      </c>
      <c r="S282" s="9" t="str">
        <f aca="false">IF(R282="","",ROUND(L282-R282,2))</f>
        <v/>
      </c>
      <c r="T282" s="8" t="str">
        <f aca="false">IF(A282="","",IF(S282="","BYPASS",IF(ABS(S282)&lt;=Summary!$B$2,"PASS","FAIL")))</f>
        <v/>
      </c>
      <c r="U282" s="8" t="str">
        <f aca="false">IF(T282="BYPASS",IF(NOT(ISNUMBER(Q282)),"PreV_ETB missing","End_tr_balance missing"),IF(T282="FAIL",IF(AND(ISNUMBER(K282),ISNUMBER(L282),ABS(L282-(K282-IF(ISNUMBER(N282),N282,0)-IF(ISNUMBER(O282),O282,0)+IF(ISNUMBER(P282),P282,0)))&lt;=Summary!$B$2),"Passes using beginning_balance - PreV_ETB differs from beginning_balance",IF(AND(ISNUMBER(O282),O282&lt;0,ABS(L282-(Q282-IF(ISNUMBER(N282),N282,0)+IF(ISNUMBER(P282),P282,0)))&lt;=Summary!$B$2),"Negative realized loss not applied - check sign",IF(R282&lt;0,"Principal paid exceeds prior balance",IF(AND(L282&gt;Q282,NOT(ISNUMBER(P282))),"Balance increased but no Deferred_interest reported",IF(L282&gt;R282,"Reported balance higher than expected (missing increase/OC build)","Reported balance lower than expected (missing decrease)"))))),""))</f>
        <v/>
      </c>
    </row>
    <row r="283" customFormat="false" ht="15" hidden="false" customHeight="fals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9"/>
      <c r="L283" s="9"/>
      <c r="M283" s="9"/>
      <c r="N283" s="9"/>
      <c r="O283" s="9"/>
      <c r="P283" s="9"/>
      <c r="Q283" s="9"/>
      <c r="R283" s="9" t="str">
        <f aca="false">IF(AND(A283&lt;&gt;"",ISNUMBER(Q283),ISNUMBER(L283)),ROUND(Q283-IF(ISNUMBER(N283),N283,0)-IF(ISNUMBER(O283),O283,0)+IF(ISNUMBER(P283),P283,0),2),"")</f>
        <v/>
      </c>
      <c r="S283" s="9" t="str">
        <f aca="false">IF(R283="","",ROUND(L283-R283,2))</f>
        <v/>
      </c>
      <c r="T283" s="8" t="str">
        <f aca="false">IF(A283="","",IF(S283="","BYPASS",IF(ABS(S283)&lt;=Summary!$B$2,"PASS","FAIL")))</f>
        <v/>
      </c>
      <c r="U283" s="8" t="str">
        <f aca="false">IF(T283="BYPASS",IF(NOT(ISNUMBER(Q283)),"PreV_ETB missing","End_tr_balance missing"),IF(T283="FAIL",IF(AND(ISNUMBER(K283),ISNUMBER(L283),ABS(L283-(K283-IF(ISNUMBER(N283),N283,0)-IF(ISNUMBER(O283),O283,0)+IF(ISNUMBER(P283),P283,0)))&lt;=Summary!$B$2),"Passes using beginning_balance - PreV_ETB differs from beginning_balance",IF(AND(ISNUMBER(O283),O283&lt;0,ABS(L283-(Q283-IF(ISNUMBER(N283),N283,0)+IF(ISNUMBER(P283),P283,0)))&lt;=Summary!$B$2),"Negative realized loss not applied - check sign",IF(R283&lt;0,"Principal paid exceeds prior balance",IF(AND(L283&gt;Q283,NOT(ISNUMBER(P283))),"Balance increased but no Deferred_interest reported",IF(L283&gt;R283,"Reported balance higher than expected (missing increase/OC build)","Reported balance lower than expected (missing decrease)"))))),""))</f>
        <v/>
      </c>
    </row>
    <row r="284" customFormat="false" ht="15" hidden="false" customHeight="fals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9"/>
      <c r="L284" s="9"/>
      <c r="M284" s="9"/>
      <c r="N284" s="9"/>
      <c r="O284" s="9"/>
      <c r="P284" s="9"/>
      <c r="Q284" s="9"/>
      <c r="R284" s="9" t="str">
        <f aca="false">IF(AND(A284&lt;&gt;"",ISNUMBER(Q284),ISNUMBER(L284)),ROUND(Q284-IF(ISNUMBER(N284),N284,0)-IF(ISNUMBER(O284),O284,0)+IF(ISNUMBER(P284),P284,0),2),"")</f>
        <v/>
      </c>
      <c r="S284" s="9" t="str">
        <f aca="false">IF(R284="","",ROUND(L284-R284,2))</f>
        <v/>
      </c>
      <c r="T284" s="8" t="str">
        <f aca="false">IF(A284="","",IF(S284="","BYPASS",IF(ABS(S284)&lt;=Summary!$B$2,"PASS","FAIL")))</f>
        <v/>
      </c>
      <c r="U284" s="8" t="str">
        <f aca="false">IF(T284="BYPASS",IF(NOT(ISNUMBER(Q284)),"PreV_ETB missing","End_tr_balance missing"),IF(T284="FAIL",IF(AND(ISNUMBER(K284),ISNUMBER(L284),ABS(L284-(K284-IF(ISNUMBER(N284),N284,0)-IF(ISNUMBER(O284),O284,0)+IF(ISNUMBER(P284),P284,0)))&lt;=Summary!$B$2),"Passes using beginning_balance - PreV_ETB differs from beginning_balance",IF(AND(ISNUMBER(O284),O284&lt;0,ABS(L284-(Q284-IF(ISNUMBER(N284),N284,0)+IF(ISNUMBER(P284),P284,0)))&lt;=Summary!$B$2),"Negative realized loss not applied - check sign",IF(R284&lt;0,"Principal paid exceeds prior balance",IF(AND(L284&gt;Q284,NOT(ISNUMBER(P284))),"Balance increased but no Deferred_interest reported",IF(L284&gt;R284,"Reported balance higher than expected (missing increase/OC build)","Reported balance lower than expected (missing decrease)"))))),""))</f>
        <v/>
      </c>
    </row>
    <row r="285" customFormat="false" ht="15" hidden="false" customHeight="fals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9"/>
      <c r="L285" s="9"/>
      <c r="M285" s="9"/>
      <c r="N285" s="9"/>
      <c r="O285" s="9"/>
      <c r="P285" s="9"/>
      <c r="Q285" s="9"/>
      <c r="R285" s="9" t="str">
        <f aca="false">IF(AND(A285&lt;&gt;"",ISNUMBER(Q285),ISNUMBER(L285)),ROUND(Q285-IF(ISNUMBER(N285),N285,0)-IF(ISNUMBER(O285),O285,0)+IF(ISNUMBER(P285),P285,0),2),"")</f>
        <v/>
      </c>
      <c r="S285" s="9" t="str">
        <f aca="false">IF(R285="","",ROUND(L285-R285,2))</f>
        <v/>
      </c>
      <c r="T285" s="8" t="str">
        <f aca="false">IF(A285="","",IF(S285="","BYPASS",IF(ABS(S285)&lt;=Summary!$B$2,"PASS","FAIL")))</f>
        <v/>
      </c>
      <c r="U285" s="8" t="str">
        <f aca="false">IF(T285="BYPASS",IF(NOT(ISNUMBER(Q285)),"PreV_ETB missing","End_tr_balance missing"),IF(T285="FAIL",IF(AND(ISNUMBER(K285),ISNUMBER(L285),ABS(L285-(K285-IF(ISNUMBER(N285),N285,0)-IF(ISNUMBER(O285),O285,0)+IF(ISNUMBER(P285),P285,0)))&lt;=Summary!$B$2),"Passes using beginning_balance - PreV_ETB differs from beginning_balance",IF(AND(ISNUMBER(O285),O285&lt;0,ABS(L285-(Q285-IF(ISNUMBER(N285),N285,0)+IF(ISNUMBER(P285),P285,0)))&lt;=Summary!$B$2),"Negative realized loss not applied - check sign",IF(R285&lt;0,"Principal paid exceeds prior balance",IF(AND(L285&gt;Q285,NOT(ISNUMBER(P285))),"Balance increased but no Deferred_interest reported",IF(L285&gt;R285,"Reported balance higher than expected (missing increase/OC build)","Reported balance lower than expected (missing decrease)"))))),""))</f>
        <v/>
      </c>
    </row>
    <row r="286" customFormat="false" ht="15" hidden="false" customHeight="fals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9"/>
      <c r="L286" s="9"/>
      <c r="M286" s="9"/>
      <c r="N286" s="9"/>
      <c r="O286" s="9"/>
      <c r="P286" s="9"/>
      <c r="Q286" s="9"/>
      <c r="R286" s="9" t="str">
        <f aca="false">IF(AND(A286&lt;&gt;"",ISNUMBER(Q286),ISNUMBER(L286)),ROUND(Q286-IF(ISNUMBER(N286),N286,0)-IF(ISNUMBER(O286),O286,0)+IF(ISNUMBER(P286),P286,0),2),"")</f>
        <v/>
      </c>
      <c r="S286" s="9" t="str">
        <f aca="false">IF(R286="","",ROUND(L286-R286,2))</f>
        <v/>
      </c>
      <c r="T286" s="8" t="str">
        <f aca="false">IF(A286="","",IF(S286="","BYPASS",IF(ABS(S286)&lt;=Summary!$B$2,"PASS","FAIL")))</f>
        <v/>
      </c>
      <c r="U286" s="8" t="str">
        <f aca="false">IF(T286="BYPASS",IF(NOT(ISNUMBER(Q286)),"PreV_ETB missing","End_tr_balance missing"),IF(T286="FAIL",IF(AND(ISNUMBER(K286),ISNUMBER(L286),ABS(L286-(K286-IF(ISNUMBER(N286),N286,0)-IF(ISNUMBER(O286),O286,0)+IF(ISNUMBER(P286),P286,0)))&lt;=Summary!$B$2),"Passes using beginning_balance - PreV_ETB differs from beginning_balance",IF(AND(ISNUMBER(O286),O286&lt;0,ABS(L286-(Q286-IF(ISNUMBER(N286),N286,0)+IF(ISNUMBER(P286),P286,0)))&lt;=Summary!$B$2),"Negative realized loss not applied - check sign",IF(R286&lt;0,"Principal paid exceeds prior balance",IF(AND(L286&gt;Q286,NOT(ISNUMBER(P286))),"Balance increased but no Deferred_interest reported",IF(L286&gt;R286,"Reported balance higher than expected (missing increase/OC build)","Reported balance lower than expected (missing decrease)"))))),""))</f>
        <v/>
      </c>
    </row>
    <row r="287" customFormat="false" ht="15" hidden="false" customHeight="fals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9"/>
      <c r="L287" s="9"/>
      <c r="M287" s="9"/>
      <c r="N287" s="9"/>
      <c r="O287" s="9"/>
      <c r="P287" s="9"/>
      <c r="Q287" s="9"/>
      <c r="R287" s="9" t="str">
        <f aca="false">IF(AND(A287&lt;&gt;"",ISNUMBER(Q287),ISNUMBER(L287)),ROUND(Q287-IF(ISNUMBER(N287),N287,0)-IF(ISNUMBER(O287),O287,0)+IF(ISNUMBER(P287),P287,0),2),"")</f>
        <v/>
      </c>
      <c r="S287" s="9" t="str">
        <f aca="false">IF(R287="","",ROUND(L287-R287,2))</f>
        <v/>
      </c>
      <c r="T287" s="8" t="str">
        <f aca="false">IF(A287="","",IF(S287="","BYPASS",IF(ABS(S287)&lt;=Summary!$B$2,"PASS","FAIL")))</f>
        <v/>
      </c>
      <c r="U287" s="8" t="str">
        <f aca="false">IF(T287="BYPASS",IF(NOT(ISNUMBER(Q287)),"PreV_ETB missing","End_tr_balance missing"),IF(T287="FAIL",IF(AND(ISNUMBER(K287),ISNUMBER(L287),ABS(L287-(K287-IF(ISNUMBER(N287),N287,0)-IF(ISNUMBER(O287),O287,0)+IF(ISNUMBER(P287),P287,0)))&lt;=Summary!$B$2),"Passes using beginning_balance - PreV_ETB differs from beginning_balance",IF(AND(ISNUMBER(O287),O287&lt;0,ABS(L287-(Q287-IF(ISNUMBER(N287),N287,0)+IF(ISNUMBER(P287),P287,0)))&lt;=Summary!$B$2),"Negative realized loss not applied - check sign",IF(R287&lt;0,"Principal paid exceeds prior balance",IF(AND(L287&gt;Q287,NOT(ISNUMBER(P287))),"Balance increased but no Deferred_interest reported",IF(L287&gt;R287,"Reported balance higher than expected (missing increase/OC build)","Reported balance lower than expected (missing decrease)"))))),""))</f>
        <v/>
      </c>
    </row>
    <row r="288" customFormat="false" ht="15" hidden="false" customHeight="fals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9"/>
      <c r="L288" s="9"/>
      <c r="M288" s="9"/>
      <c r="N288" s="9"/>
      <c r="O288" s="9"/>
      <c r="P288" s="9"/>
      <c r="Q288" s="9"/>
      <c r="R288" s="9" t="str">
        <f aca="false">IF(AND(A288&lt;&gt;"",ISNUMBER(Q288),ISNUMBER(L288)),ROUND(Q288-IF(ISNUMBER(N288),N288,0)-IF(ISNUMBER(O288),O288,0)+IF(ISNUMBER(P288),P288,0),2),"")</f>
        <v/>
      </c>
      <c r="S288" s="9" t="str">
        <f aca="false">IF(R288="","",ROUND(L288-R288,2))</f>
        <v/>
      </c>
      <c r="T288" s="8" t="str">
        <f aca="false">IF(A288="","",IF(S288="","BYPASS",IF(ABS(S288)&lt;=Summary!$B$2,"PASS","FAIL")))</f>
        <v/>
      </c>
      <c r="U288" s="8" t="str">
        <f aca="false">IF(T288="BYPASS",IF(NOT(ISNUMBER(Q288)),"PreV_ETB missing","End_tr_balance missing"),IF(T288="FAIL",IF(AND(ISNUMBER(K288),ISNUMBER(L288),ABS(L288-(K288-IF(ISNUMBER(N288),N288,0)-IF(ISNUMBER(O288),O288,0)+IF(ISNUMBER(P288),P288,0)))&lt;=Summary!$B$2),"Passes using beginning_balance - PreV_ETB differs from beginning_balance",IF(AND(ISNUMBER(O288),O288&lt;0,ABS(L288-(Q288-IF(ISNUMBER(N288),N288,0)+IF(ISNUMBER(P288),P288,0)))&lt;=Summary!$B$2),"Negative realized loss not applied - check sign",IF(R288&lt;0,"Principal paid exceeds prior balance",IF(AND(L288&gt;Q288,NOT(ISNUMBER(P288))),"Balance increased but no Deferred_interest reported",IF(L288&gt;R288,"Reported balance higher than expected (missing increase/OC build)","Reported balance lower than expected (missing decrease)"))))),""))</f>
        <v/>
      </c>
    </row>
    <row r="289" customFormat="false" ht="15" hidden="false" customHeight="fals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9"/>
      <c r="L289" s="9"/>
      <c r="M289" s="9"/>
      <c r="N289" s="9"/>
      <c r="O289" s="9"/>
      <c r="P289" s="9"/>
      <c r="Q289" s="9"/>
      <c r="R289" s="9" t="str">
        <f aca="false">IF(AND(A289&lt;&gt;"",ISNUMBER(Q289),ISNUMBER(L289)),ROUND(Q289-IF(ISNUMBER(N289),N289,0)-IF(ISNUMBER(O289),O289,0)+IF(ISNUMBER(P289),P289,0),2),"")</f>
        <v/>
      </c>
      <c r="S289" s="9" t="str">
        <f aca="false">IF(R289="","",ROUND(L289-R289,2))</f>
        <v/>
      </c>
      <c r="T289" s="8" t="str">
        <f aca="false">IF(A289="","",IF(S289="","BYPASS",IF(ABS(S289)&lt;=Summary!$B$2,"PASS","FAIL")))</f>
        <v/>
      </c>
      <c r="U289" s="8" t="str">
        <f aca="false">IF(T289="BYPASS",IF(NOT(ISNUMBER(Q289)),"PreV_ETB missing","End_tr_balance missing"),IF(T289="FAIL",IF(AND(ISNUMBER(K289),ISNUMBER(L289),ABS(L289-(K289-IF(ISNUMBER(N289),N289,0)-IF(ISNUMBER(O289),O289,0)+IF(ISNUMBER(P289),P289,0)))&lt;=Summary!$B$2),"Passes using beginning_balance - PreV_ETB differs from beginning_balance",IF(AND(ISNUMBER(O289),O289&lt;0,ABS(L289-(Q289-IF(ISNUMBER(N289),N289,0)+IF(ISNUMBER(P289),P289,0)))&lt;=Summary!$B$2),"Negative realized loss not applied - check sign",IF(R289&lt;0,"Principal paid exceeds prior balance",IF(AND(L289&gt;Q289,NOT(ISNUMBER(P289))),"Balance increased but no Deferred_interest reported",IF(L289&gt;R289,"Reported balance higher than expected (missing increase/OC build)","Reported balance lower than expected (missing decrease)"))))),""))</f>
        <v/>
      </c>
    </row>
    <row r="290" customFormat="false" ht="15" hidden="false" customHeight="fals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9"/>
      <c r="L290" s="9"/>
      <c r="M290" s="9"/>
      <c r="N290" s="9"/>
      <c r="O290" s="9"/>
      <c r="P290" s="9"/>
      <c r="Q290" s="9"/>
      <c r="R290" s="9" t="str">
        <f aca="false">IF(AND(A290&lt;&gt;"",ISNUMBER(Q290),ISNUMBER(L290)),ROUND(Q290-IF(ISNUMBER(N290),N290,0)-IF(ISNUMBER(O290),O290,0)+IF(ISNUMBER(P290),P290,0),2),"")</f>
        <v/>
      </c>
      <c r="S290" s="9" t="str">
        <f aca="false">IF(R290="","",ROUND(L290-R290,2))</f>
        <v/>
      </c>
      <c r="T290" s="8" t="str">
        <f aca="false">IF(A290="","",IF(S290="","BYPASS",IF(ABS(S290)&lt;=Summary!$B$2,"PASS","FAIL")))</f>
        <v/>
      </c>
      <c r="U290" s="8" t="str">
        <f aca="false">IF(T290="BYPASS",IF(NOT(ISNUMBER(Q290)),"PreV_ETB missing","End_tr_balance missing"),IF(T290="FAIL",IF(AND(ISNUMBER(K290),ISNUMBER(L290),ABS(L290-(K290-IF(ISNUMBER(N290),N290,0)-IF(ISNUMBER(O290),O290,0)+IF(ISNUMBER(P290),P290,0)))&lt;=Summary!$B$2),"Passes using beginning_balance - PreV_ETB differs from beginning_balance",IF(AND(ISNUMBER(O290),O290&lt;0,ABS(L290-(Q290-IF(ISNUMBER(N290),N290,0)+IF(ISNUMBER(P290),P290,0)))&lt;=Summary!$B$2),"Negative realized loss not applied - check sign",IF(R290&lt;0,"Principal paid exceeds prior balance",IF(AND(L290&gt;Q290,NOT(ISNUMBER(P290))),"Balance increased but no Deferred_interest reported",IF(L290&gt;R290,"Reported balance higher than expected (missing increase/OC build)","Reported balance lower than expected (missing decrease)"))))),""))</f>
        <v/>
      </c>
    </row>
    <row r="291" customFormat="false" ht="15" hidden="false" customHeight="fals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9"/>
      <c r="L291" s="9"/>
      <c r="M291" s="9"/>
      <c r="N291" s="9"/>
      <c r="O291" s="9"/>
      <c r="P291" s="9"/>
      <c r="Q291" s="9"/>
      <c r="R291" s="9" t="str">
        <f aca="false">IF(AND(A291&lt;&gt;"",ISNUMBER(Q291),ISNUMBER(L291)),ROUND(Q291-IF(ISNUMBER(N291),N291,0)-IF(ISNUMBER(O291),O291,0)+IF(ISNUMBER(P291),P291,0),2),"")</f>
        <v/>
      </c>
      <c r="S291" s="9" t="str">
        <f aca="false">IF(R291="","",ROUND(L291-R291,2))</f>
        <v/>
      </c>
      <c r="T291" s="8" t="str">
        <f aca="false">IF(A291="","",IF(S291="","BYPASS",IF(ABS(S291)&lt;=Summary!$B$2,"PASS","FAIL")))</f>
        <v/>
      </c>
      <c r="U291" s="8" t="str">
        <f aca="false">IF(T291="BYPASS",IF(NOT(ISNUMBER(Q291)),"PreV_ETB missing","End_tr_balance missing"),IF(T291="FAIL",IF(AND(ISNUMBER(K291),ISNUMBER(L291),ABS(L291-(K291-IF(ISNUMBER(N291),N291,0)-IF(ISNUMBER(O291),O291,0)+IF(ISNUMBER(P291),P291,0)))&lt;=Summary!$B$2),"Passes using beginning_balance - PreV_ETB differs from beginning_balance",IF(AND(ISNUMBER(O291),O291&lt;0,ABS(L291-(Q291-IF(ISNUMBER(N291),N291,0)+IF(ISNUMBER(P291),P291,0)))&lt;=Summary!$B$2),"Negative realized loss not applied - check sign",IF(R291&lt;0,"Principal paid exceeds prior balance",IF(AND(L291&gt;Q291,NOT(ISNUMBER(P291))),"Balance increased but no Deferred_interest reported",IF(L291&gt;R291,"Reported balance higher than expected (missing increase/OC build)","Reported balance lower than expected (missing decrease)"))))),""))</f>
        <v/>
      </c>
    </row>
    <row r="292" customFormat="false" ht="15" hidden="false" customHeight="fals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9"/>
      <c r="L292" s="9"/>
      <c r="M292" s="9"/>
      <c r="N292" s="9"/>
      <c r="O292" s="9"/>
      <c r="P292" s="9"/>
      <c r="Q292" s="9"/>
      <c r="R292" s="9" t="str">
        <f aca="false">IF(AND(A292&lt;&gt;"",ISNUMBER(Q292),ISNUMBER(L292)),ROUND(Q292-IF(ISNUMBER(N292),N292,0)-IF(ISNUMBER(O292),O292,0)+IF(ISNUMBER(P292),P292,0),2),"")</f>
        <v/>
      </c>
      <c r="S292" s="9" t="str">
        <f aca="false">IF(R292="","",ROUND(L292-R292,2))</f>
        <v/>
      </c>
      <c r="T292" s="8" t="str">
        <f aca="false">IF(A292="","",IF(S292="","BYPASS",IF(ABS(S292)&lt;=Summary!$B$2,"PASS","FAIL")))</f>
        <v/>
      </c>
      <c r="U292" s="8" t="str">
        <f aca="false">IF(T292="BYPASS",IF(NOT(ISNUMBER(Q292)),"PreV_ETB missing","End_tr_balance missing"),IF(T292="FAIL",IF(AND(ISNUMBER(K292),ISNUMBER(L292),ABS(L292-(K292-IF(ISNUMBER(N292),N292,0)-IF(ISNUMBER(O292),O292,0)+IF(ISNUMBER(P292),P292,0)))&lt;=Summary!$B$2),"Passes using beginning_balance - PreV_ETB differs from beginning_balance",IF(AND(ISNUMBER(O292),O292&lt;0,ABS(L292-(Q292-IF(ISNUMBER(N292),N292,0)+IF(ISNUMBER(P292),P292,0)))&lt;=Summary!$B$2),"Negative realized loss not applied - check sign",IF(R292&lt;0,"Principal paid exceeds prior balance",IF(AND(L292&gt;Q292,NOT(ISNUMBER(P292))),"Balance increased but no Deferred_interest reported",IF(L292&gt;R292,"Reported balance higher than expected (missing increase/OC build)","Reported balance lower than expected (missing decrease)"))))),""))</f>
        <v/>
      </c>
    </row>
    <row r="293" customFormat="false" ht="15" hidden="false" customHeight="fals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9"/>
      <c r="L293" s="9"/>
      <c r="M293" s="9"/>
      <c r="N293" s="9"/>
      <c r="O293" s="9"/>
      <c r="P293" s="9"/>
      <c r="Q293" s="9"/>
      <c r="R293" s="9" t="str">
        <f aca="false">IF(AND(A293&lt;&gt;"",ISNUMBER(Q293),ISNUMBER(L293)),ROUND(Q293-IF(ISNUMBER(N293),N293,0)-IF(ISNUMBER(O293),O293,0)+IF(ISNUMBER(P293),P293,0),2),"")</f>
        <v/>
      </c>
      <c r="S293" s="9" t="str">
        <f aca="false">IF(R293="","",ROUND(L293-R293,2))</f>
        <v/>
      </c>
      <c r="T293" s="8" t="str">
        <f aca="false">IF(A293="","",IF(S293="","BYPASS",IF(ABS(S293)&lt;=Summary!$B$2,"PASS","FAIL")))</f>
        <v/>
      </c>
      <c r="U293" s="8" t="str">
        <f aca="false">IF(T293="BYPASS",IF(NOT(ISNUMBER(Q293)),"PreV_ETB missing","End_tr_balance missing"),IF(T293="FAIL",IF(AND(ISNUMBER(K293),ISNUMBER(L293),ABS(L293-(K293-IF(ISNUMBER(N293),N293,0)-IF(ISNUMBER(O293),O293,0)+IF(ISNUMBER(P293),P293,0)))&lt;=Summary!$B$2),"Passes using beginning_balance - PreV_ETB differs from beginning_balance",IF(AND(ISNUMBER(O293),O293&lt;0,ABS(L293-(Q293-IF(ISNUMBER(N293),N293,0)+IF(ISNUMBER(P293),P293,0)))&lt;=Summary!$B$2),"Negative realized loss not applied - check sign",IF(R293&lt;0,"Principal paid exceeds prior balance",IF(AND(L293&gt;Q293,NOT(ISNUMBER(P293))),"Balance increased but no Deferred_interest reported",IF(L293&gt;R293,"Reported balance higher than expected (missing increase/OC build)","Reported balance lower than expected (missing decrease)"))))),""))</f>
        <v/>
      </c>
    </row>
    <row r="294" customFormat="false" ht="15" hidden="false" customHeight="fals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9"/>
      <c r="L294" s="9"/>
      <c r="M294" s="9"/>
      <c r="N294" s="9"/>
      <c r="O294" s="9"/>
      <c r="P294" s="9"/>
      <c r="Q294" s="9"/>
      <c r="R294" s="9" t="str">
        <f aca="false">IF(AND(A294&lt;&gt;"",ISNUMBER(Q294),ISNUMBER(L294)),ROUND(Q294-IF(ISNUMBER(N294),N294,0)-IF(ISNUMBER(O294),O294,0)+IF(ISNUMBER(P294),P294,0),2),"")</f>
        <v/>
      </c>
      <c r="S294" s="9" t="str">
        <f aca="false">IF(R294="","",ROUND(L294-R294,2))</f>
        <v/>
      </c>
      <c r="T294" s="8" t="str">
        <f aca="false">IF(A294="","",IF(S294="","BYPASS",IF(ABS(S294)&lt;=Summary!$B$2,"PASS","FAIL")))</f>
        <v/>
      </c>
      <c r="U294" s="8" t="str">
        <f aca="false">IF(T294="BYPASS",IF(NOT(ISNUMBER(Q294)),"PreV_ETB missing","End_tr_balance missing"),IF(T294="FAIL",IF(AND(ISNUMBER(K294),ISNUMBER(L294),ABS(L294-(K294-IF(ISNUMBER(N294),N294,0)-IF(ISNUMBER(O294),O294,0)+IF(ISNUMBER(P294),P294,0)))&lt;=Summary!$B$2),"Passes using beginning_balance - PreV_ETB differs from beginning_balance",IF(AND(ISNUMBER(O294),O294&lt;0,ABS(L294-(Q294-IF(ISNUMBER(N294),N294,0)+IF(ISNUMBER(P294),P294,0)))&lt;=Summary!$B$2),"Negative realized loss not applied - check sign",IF(R294&lt;0,"Principal paid exceeds prior balance",IF(AND(L294&gt;Q294,NOT(ISNUMBER(P294))),"Balance increased but no Deferred_interest reported",IF(L294&gt;R294,"Reported balance higher than expected (missing increase/OC build)","Reported balance lower than expected (missing decrease)"))))),""))</f>
        <v/>
      </c>
    </row>
    <row r="295" customFormat="false" ht="15" hidden="false" customHeight="fals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9"/>
      <c r="L295" s="9"/>
      <c r="M295" s="9"/>
      <c r="N295" s="9"/>
      <c r="O295" s="9"/>
      <c r="P295" s="9"/>
      <c r="Q295" s="9"/>
      <c r="R295" s="9" t="str">
        <f aca="false">IF(AND(A295&lt;&gt;"",ISNUMBER(Q295),ISNUMBER(L295)),ROUND(Q295-IF(ISNUMBER(N295),N295,0)-IF(ISNUMBER(O295),O295,0)+IF(ISNUMBER(P295),P295,0),2),"")</f>
        <v/>
      </c>
      <c r="S295" s="9" t="str">
        <f aca="false">IF(R295="","",ROUND(L295-R295,2))</f>
        <v/>
      </c>
      <c r="T295" s="8" t="str">
        <f aca="false">IF(A295="","",IF(S295="","BYPASS",IF(ABS(S295)&lt;=Summary!$B$2,"PASS","FAIL")))</f>
        <v/>
      </c>
      <c r="U295" s="8" t="str">
        <f aca="false">IF(T295="BYPASS",IF(NOT(ISNUMBER(Q295)),"PreV_ETB missing","End_tr_balance missing"),IF(T295="FAIL",IF(AND(ISNUMBER(K295),ISNUMBER(L295),ABS(L295-(K295-IF(ISNUMBER(N295),N295,0)-IF(ISNUMBER(O295),O295,0)+IF(ISNUMBER(P295),P295,0)))&lt;=Summary!$B$2),"Passes using beginning_balance - PreV_ETB differs from beginning_balance",IF(AND(ISNUMBER(O295),O295&lt;0,ABS(L295-(Q295-IF(ISNUMBER(N295),N295,0)+IF(ISNUMBER(P295),P295,0)))&lt;=Summary!$B$2),"Negative realized loss not applied - check sign",IF(R295&lt;0,"Principal paid exceeds prior balance",IF(AND(L295&gt;Q295,NOT(ISNUMBER(P295))),"Balance increased but no Deferred_interest reported",IF(L295&gt;R295,"Reported balance higher than expected (missing increase/OC build)","Reported balance lower than expected (missing decrease)"))))),""))</f>
        <v/>
      </c>
    </row>
    <row r="296" customFormat="false" ht="15" hidden="false" customHeight="fals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9"/>
      <c r="L296" s="9"/>
      <c r="M296" s="9"/>
      <c r="N296" s="9"/>
      <c r="O296" s="9"/>
      <c r="P296" s="9"/>
      <c r="Q296" s="9"/>
      <c r="R296" s="9" t="str">
        <f aca="false">IF(AND(A296&lt;&gt;"",ISNUMBER(Q296),ISNUMBER(L296)),ROUND(Q296-IF(ISNUMBER(N296),N296,0)-IF(ISNUMBER(O296),O296,0)+IF(ISNUMBER(P296),P296,0),2),"")</f>
        <v/>
      </c>
      <c r="S296" s="9" t="str">
        <f aca="false">IF(R296="","",ROUND(L296-R296,2))</f>
        <v/>
      </c>
      <c r="T296" s="8" t="str">
        <f aca="false">IF(A296="","",IF(S296="","BYPASS",IF(ABS(S296)&lt;=Summary!$B$2,"PASS","FAIL")))</f>
        <v/>
      </c>
      <c r="U296" s="8" t="str">
        <f aca="false">IF(T296="BYPASS",IF(NOT(ISNUMBER(Q296)),"PreV_ETB missing","End_tr_balance missing"),IF(T296="FAIL",IF(AND(ISNUMBER(K296),ISNUMBER(L296),ABS(L296-(K296-IF(ISNUMBER(N296),N296,0)-IF(ISNUMBER(O296),O296,0)+IF(ISNUMBER(P296),P296,0)))&lt;=Summary!$B$2),"Passes using beginning_balance - PreV_ETB differs from beginning_balance",IF(AND(ISNUMBER(O296),O296&lt;0,ABS(L296-(Q296-IF(ISNUMBER(N296),N296,0)+IF(ISNUMBER(P296),P296,0)))&lt;=Summary!$B$2),"Negative realized loss not applied - check sign",IF(R296&lt;0,"Principal paid exceeds prior balance",IF(AND(L296&gt;Q296,NOT(ISNUMBER(P296))),"Balance increased but no Deferred_interest reported",IF(L296&gt;R296,"Reported balance higher than expected (missing increase/OC build)","Reported balance lower than expected (missing decrease)"))))),""))</f>
        <v/>
      </c>
    </row>
    <row r="297" customFormat="false" ht="15" hidden="false" customHeight="fals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9"/>
      <c r="L297" s="9"/>
      <c r="M297" s="9"/>
      <c r="N297" s="9"/>
      <c r="O297" s="9"/>
      <c r="P297" s="9"/>
      <c r="Q297" s="9"/>
      <c r="R297" s="9" t="str">
        <f aca="false">IF(AND(A297&lt;&gt;"",ISNUMBER(Q297),ISNUMBER(L297)),ROUND(Q297-IF(ISNUMBER(N297),N297,0)-IF(ISNUMBER(O297),O297,0)+IF(ISNUMBER(P297),P297,0),2),"")</f>
        <v/>
      </c>
      <c r="S297" s="9" t="str">
        <f aca="false">IF(R297="","",ROUND(L297-R297,2))</f>
        <v/>
      </c>
      <c r="T297" s="8" t="str">
        <f aca="false">IF(A297="","",IF(S297="","BYPASS",IF(ABS(S297)&lt;=Summary!$B$2,"PASS","FAIL")))</f>
        <v/>
      </c>
      <c r="U297" s="8" t="str">
        <f aca="false">IF(T297="BYPASS",IF(NOT(ISNUMBER(Q297)),"PreV_ETB missing","End_tr_balance missing"),IF(T297="FAIL",IF(AND(ISNUMBER(K297),ISNUMBER(L297),ABS(L297-(K297-IF(ISNUMBER(N297),N297,0)-IF(ISNUMBER(O297),O297,0)+IF(ISNUMBER(P297),P297,0)))&lt;=Summary!$B$2),"Passes using beginning_balance - PreV_ETB differs from beginning_balance",IF(AND(ISNUMBER(O297),O297&lt;0,ABS(L297-(Q297-IF(ISNUMBER(N297),N297,0)+IF(ISNUMBER(P297),P297,0)))&lt;=Summary!$B$2),"Negative realized loss not applied - check sign",IF(R297&lt;0,"Principal paid exceeds prior balance",IF(AND(L297&gt;Q297,NOT(ISNUMBER(P297))),"Balance increased but no Deferred_interest reported",IF(L297&gt;R297,"Reported balance higher than expected (missing increase/OC build)","Reported balance lower than expected (missing decrease)"))))),""))</f>
        <v/>
      </c>
    </row>
    <row r="298" customFormat="false" ht="15" hidden="false" customHeight="fals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9"/>
      <c r="L298" s="9"/>
      <c r="M298" s="9"/>
      <c r="N298" s="9"/>
      <c r="O298" s="9"/>
      <c r="P298" s="9"/>
      <c r="Q298" s="9"/>
      <c r="R298" s="9" t="str">
        <f aca="false">IF(AND(A298&lt;&gt;"",ISNUMBER(Q298),ISNUMBER(L298)),ROUND(Q298-IF(ISNUMBER(N298),N298,0)-IF(ISNUMBER(O298),O298,0)+IF(ISNUMBER(P298),P298,0),2),"")</f>
        <v/>
      </c>
      <c r="S298" s="9" t="str">
        <f aca="false">IF(R298="","",ROUND(L298-R298,2))</f>
        <v/>
      </c>
      <c r="T298" s="8" t="str">
        <f aca="false">IF(A298="","",IF(S298="","BYPASS",IF(ABS(S298)&lt;=Summary!$B$2,"PASS","FAIL")))</f>
        <v/>
      </c>
      <c r="U298" s="8" t="str">
        <f aca="false">IF(T298="BYPASS",IF(NOT(ISNUMBER(Q298)),"PreV_ETB missing","End_tr_balance missing"),IF(T298="FAIL",IF(AND(ISNUMBER(K298),ISNUMBER(L298),ABS(L298-(K298-IF(ISNUMBER(N298),N298,0)-IF(ISNUMBER(O298),O298,0)+IF(ISNUMBER(P298),P298,0)))&lt;=Summary!$B$2),"Passes using beginning_balance - PreV_ETB differs from beginning_balance",IF(AND(ISNUMBER(O298),O298&lt;0,ABS(L298-(Q298-IF(ISNUMBER(N298),N298,0)+IF(ISNUMBER(P298),P298,0)))&lt;=Summary!$B$2),"Negative realized loss not applied - check sign",IF(R298&lt;0,"Principal paid exceeds prior balance",IF(AND(L298&gt;Q298,NOT(ISNUMBER(P298))),"Balance increased but no Deferred_interest reported",IF(L298&gt;R298,"Reported balance higher than expected (missing increase/OC build)","Reported balance lower than expected (missing decrease)"))))),""))</f>
        <v/>
      </c>
    </row>
    <row r="299" customFormat="false" ht="15" hidden="false" customHeight="fals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9"/>
      <c r="L299" s="9"/>
      <c r="M299" s="9"/>
      <c r="N299" s="9"/>
      <c r="O299" s="9"/>
      <c r="P299" s="9"/>
      <c r="Q299" s="9"/>
      <c r="R299" s="9" t="str">
        <f aca="false">IF(AND(A299&lt;&gt;"",ISNUMBER(Q299),ISNUMBER(L299)),ROUND(Q299-IF(ISNUMBER(N299),N299,0)-IF(ISNUMBER(O299),O299,0)+IF(ISNUMBER(P299),P299,0),2),"")</f>
        <v/>
      </c>
      <c r="S299" s="9" t="str">
        <f aca="false">IF(R299="","",ROUND(L299-R299,2))</f>
        <v/>
      </c>
      <c r="T299" s="8" t="str">
        <f aca="false">IF(A299="","",IF(S299="","BYPASS",IF(ABS(S299)&lt;=Summary!$B$2,"PASS","FAIL")))</f>
        <v/>
      </c>
      <c r="U299" s="8" t="str">
        <f aca="false">IF(T299="BYPASS",IF(NOT(ISNUMBER(Q299)),"PreV_ETB missing","End_tr_balance missing"),IF(T299="FAIL",IF(AND(ISNUMBER(K299),ISNUMBER(L299),ABS(L299-(K299-IF(ISNUMBER(N299),N299,0)-IF(ISNUMBER(O299),O299,0)+IF(ISNUMBER(P299),P299,0)))&lt;=Summary!$B$2),"Passes using beginning_balance - PreV_ETB differs from beginning_balance",IF(AND(ISNUMBER(O299),O299&lt;0,ABS(L299-(Q299-IF(ISNUMBER(N299),N299,0)+IF(ISNUMBER(P299),P299,0)))&lt;=Summary!$B$2),"Negative realized loss not applied - check sign",IF(R299&lt;0,"Principal paid exceeds prior balance",IF(AND(L299&gt;Q299,NOT(ISNUMBER(P299))),"Balance increased but no Deferred_interest reported",IF(L299&gt;R299,"Reported balance higher than expected (missing increase/OC build)","Reported balance lower than expected (missing decrease)"))))),""))</f>
        <v/>
      </c>
    </row>
    <row r="300" customFormat="false" ht="15" hidden="false" customHeight="fals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9"/>
      <c r="L300" s="9"/>
      <c r="M300" s="9"/>
      <c r="N300" s="9"/>
      <c r="O300" s="9"/>
      <c r="P300" s="9"/>
      <c r="Q300" s="9"/>
      <c r="R300" s="9" t="str">
        <f aca="false">IF(AND(A300&lt;&gt;"",ISNUMBER(Q300),ISNUMBER(L300)),ROUND(Q300-IF(ISNUMBER(N300),N300,0)-IF(ISNUMBER(O300),O300,0)+IF(ISNUMBER(P300),P300,0),2),"")</f>
        <v/>
      </c>
      <c r="S300" s="9" t="str">
        <f aca="false">IF(R300="","",ROUND(L300-R300,2))</f>
        <v/>
      </c>
      <c r="T300" s="8" t="str">
        <f aca="false">IF(A300="","",IF(S300="","BYPASS",IF(ABS(S300)&lt;=Summary!$B$2,"PASS","FAIL")))</f>
        <v/>
      </c>
      <c r="U300" s="8" t="str">
        <f aca="false">IF(T300="BYPASS",IF(NOT(ISNUMBER(Q300)),"PreV_ETB missing","End_tr_balance missing"),IF(T300="FAIL",IF(AND(ISNUMBER(K300),ISNUMBER(L300),ABS(L300-(K300-IF(ISNUMBER(N300),N300,0)-IF(ISNUMBER(O300),O300,0)+IF(ISNUMBER(P300),P300,0)))&lt;=Summary!$B$2),"Passes using beginning_balance - PreV_ETB differs from beginning_balance",IF(AND(ISNUMBER(O300),O300&lt;0,ABS(L300-(Q300-IF(ISNUMBER(N300),N300,0)+IF(ISNUMBER(P300),P300,0)))&lt;=Summary!$B$2),"Negative realized loss not applied - check sign",IF(R300&lt;0,"Principal paid exceeds prior balance",IF(AND(L300&gt;Q300,NOT(ISNUMBER(P300))),"Balance increased but no Deferred_interest reported",IF(L300&gt;R300,"Reported balance higher than expected (missing increase/OC build)","Reported balance lower than expected (missing decrease)"))))),""))</f>
        <v/>
      </c>
    </row>
    <row r="301" customFormat="false" ht="15" hidden="false" customHeight="fals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9"/>
      <c r="L301" s="9"/>
      <c r="M301" s="9"/>
      <c r="N301" s="9"/>
      <c r="O301" s="9"/>
      <c r="P301" s="9"/>
      <c r="Q301" s="9"/>
      <c r="R301" s="9" t="str">
        <f aca="false">IF(AND(A301&lt;&gt;"",ISNUMBER(Q301),ISNUMBER(L301)),ROUND(Q301-IF(ISNUMBER(N301),N301,0)-IF(ISNUMBER(O301),O301,0)+IF(ISNUMBER(P301),P301,0),2),"")</f>
        <v/>
      </c>
      <c r="S301" s="9" t="str">
        <f aca="false">IF(R301="","",ROUND(L301-R301,2))</f>
        <v/>
      </c>
      <c r="T301" s="8" t="str">
        <f aca="false">IF(A301="","",IF(S301="","BYPASS",IF(ABS(S301)&lt;=Summary!$B$2,"PASS","FAIL")))</f>
        <v/>
      </c>
      <c r="U301" s="8" t="str">
        <f aca="false">IF(T301="BYPASS",IF(NOT(ISNUMBER(Q301)),"PreV_ETB missing","End_tr_balance missing"),IF(T301="FAIL",IF(AND(ISNUMBER(K301),ISNUMBER(L301),ABS(L301-(K301-IF(ISNUMBER(N301),N301,0)-IF(ISNUMBER(O301),O301,0)+IF(ISNUMBER(P301),P301,0)))&lt;=Summary!$B$2),"Passes using beginning_balance - PreV_ETB differs from beginning_balance",IF(AND(ISNUMBER(O301),O301&lt;0,ABS(L301-(Q301-IF(ISNUMBER(N301),N301,0)+IF(ISNUMBER(P301),P301,0)))&lt;=Summary!$B$2),"Negative realized loss not applied - check sign",IF(R301&lt;0,"Principal paid exceeds prior balance",IF(AND(L301&gt;Q301,NOT(ISNUMBER(P301))),"Balance increased but no Deferred_interest reported",IF(L301&gt;R301,"Reported balance higher than expected (missing increase/OC build)","Reported balance lower than expected (missing decrease)"))))),""))</f>
        <v/>
      </c>
    </row>
    <row r="302" customFormat="false" ht="15" hidden="false" customHeight="fals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9"/>
      <c r="L302" s="9"/>
      <c r="M302" s="9"/>
      <c r="N302" s="9"/>
      <c r="O302" s="9"/>
      <c r="P302" s="9"/>
      <c r="Q302" s="9"/>
      <c r="R302" s="9" t="str">
        <f aca="false">IF(AND(A302&lt;&gt;"",ISNUMBER(Q302),ISNUMBER(L302)),ROUND(Q302-IF(ISNUMBER(N302),N302,0)-IF(ISNUMBER(O302),O302,0)+IF(ISNUMBER(P302),P302,0),2),"")</f>
        <v/>
      </c>
      <c r="S302" s="9" t="str">
        <f aca="false">IF(R302="","",ROUND(L302-R302,2))</f>
        <v/>
      </c>
      <c r="T302" s="8" t="str">
        <f aca="false">IF(A302="","",IF(S302="","BYPASS",IF(ABS(S302)&lt;=Summary!$B$2,"PASS","FAIL")))</f>
        <v/>
      </c>
      <c r="U302" s="8" t="str">
        <f aca="false">IF(T302="BYPASS",IF(NOT(ISNUMBER(Q302)),"PreV_ETB missing","End_tr_balance missing"),IF(T302="FAIL",IF(AND(ISNUMBER(K302),ISNUMBER(L302),ABS(L302-(K302-IF(ISNUMBER(N302),N302,0)-IF(ISNUMBER(O302),O302,0)+IF(ISNUMBER(P302),P302,0)))&lt;=Summary!$B$2),"Passes using beginning_balance - PreV_ETB differs from beginning_balance",IF(AND(ISNUMBER(O302),O302&lt;0,ABS(L302-(Q302-IF(ISNUMBER(N302),N302,0)+IF(ISNUMBER(P302),P302,0)))&lt;=Summary!$B$2),"Negative realized loss not applied - check sign",IF(R302&lt;0,"Principal paid exceeds prior balance",IF(AND(L302&gt;Q302,NOT(ISNUMBER(P302))),"Balance increased but no Deferred_interest reported",IF(L302&gt;R302,"Reported balance higher than expected (missing increase/OC build)","Reported balance lower than expected (missing decrease)"))))),""))</f>
        <v/>
      </c>
    </row>
    <row r="303" customFormat="false" ht="15" hidden="false" customHeight="fals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9"/>
      <c r="L303" s="9"/>
      <c r="M303" s="9"/>
      <c r="N303" s="9"/>
      <c r="O303" s="9"/>
      <c r="P303" s="9"/>
      <c r="Q303" s="9"/>
      <c r="R303" s="9" t="str">
        <f aca="false">IF(AND(A303&lt;&gt;"",ISNUMBER(Q303),ISNUMBER(L303)),ROUND(Q303-IF(ISNUMBER(N303),N303,0)-IF(ISNUMBER(O303),O303,0)+IF(ISNUMBER(P303),P303,0),2),"")</f>
        <v/>
      </c>
      <c r="S303" s="9" t="str">
        <f aca="false">IF(R303="","",ROUND(L303-R303,2))</f>
        <v/>
      </c>
      <c r="T303" s="8" t="str">
        <f aca="false">IF(A303="","",IF(S303="","BYPASS",IF(ABS(S303)&lt;=Summary!$B$2,"PASS","FAIL")))</f>
        <v/>
      </c>
      <c r="U303" s="8" t="str">
        <f aca="false">IF(T303="BYPASS",IF(NOT(ISNUMBER(Q303)),"PreV_ETB missing","End_tr_balance missing"),IF(T303="FAIL",IF(AND(ISNUMBER(K303),ISNUMBER(L303),ABS(L303-(K303-IF(ISNUMBER(N303),N303,0)-IF(ISNUMBER(O303),O303,0)+IF(ISNUMBER(P303),P303,0)))&lt;=Summary!$B$2),"Passes using beginning_balance - PreV_ETB differs from beginning_balance",IF(AND(ISNUMBER(O303),O303&lt;0,ABS(L303-(Q303-IF(ISNUMBER(N303),N303,0)+IF(ISNUMBER(P303),P303,0)))&lt;=Summary!$B$2),"Negative realized loss not applied - check sign",IF(R303&lt;0,"Principal paid exceeds prior balance",IF(AND(L303&gt;Q303,NOT(ISNUMBER(P303))),"Balance increased but no Deferred_interest reported",IF(L303&gt;R303,"Reported balance higher than expected (missing increase/OC build)","Reported balance lower than expected (missing decrease)"))))),""))</f>
        <v/>
      </c>
    </row>
    <row r="304" customFormat="false" ht="15" hidden="false" customHeight="fals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9"/>
      <c r="L304" s="9"/>
      <c r="M304" s="9"/>
      <c r="N304" s="9"/>
      <c r="O304" s="9"/>
      <c r="P304" s="9"/>
      <c r="Q304" s="9"/>
      <c r="R304" s="9" t="str">
        <f aca="false">IF(AND(A304&lt;&gt;"",ISNUMBER(Q304),ISNUMBER(L304)),ROUND(Q304-IF(ISNUMBER(N304),N304,0)-IF(ISNUMBER(O304),O304,0)+IF(ISNUMBER(P304),P304,0),2),"")</f>
        <v/>
      </c>
      <c r="S304" s="9" t="str">
        <f aca="false">IF(R304="","",ROUND(L304-R304,2))</f>
        <v/>
      </c>
      <c r="T304" s="8" t="str">
        <f aca="false">IF(A304="","",IF(S304="","BYPASS",IF(ABS(S304)&lt;=Summary!$B$2,"PASS","FAIL")))</f>
        <v/>
      </c>
      <c r="U304" s="8" t="str">
        <f aca="false">IF(T304="BYPASS",IF(NOT(ISNUMBER(Q304)),"PreV_ETB missing","End_tr_balance missing"),IF(T304="FAIL",IF(AND(ISNUMBER(K304),ISNUMBER(L304),ABS(L304-(K304-IF(ISNUMBER(N304),N304,0)-IF(ISNUMBER(O304),O304,0)+IF(ISNUMBER(P304),P304,0)))&lt;=Summary!$B$2),"Passes using beginning_balance - PreV_ETB differs from beginning_balance",IF(AND(ISNUMBER(O304),O304&lt;0,ABS(L304-(Q304-IF(ISNUMBER(N304),N304,0)+IF(ISNUMBER(P304),P304,0)))&lt;=Summary!$B$2),"Negative realized loss not applied - check sign",IF(R304&lt;0,"Principal paid exceeds prior balance",IF(AND(L304&gt;Q304,NOT(ISNUMBER(P304))),"Balance increased but no Deferred_interest reported",IF(L304&gt;R304,"Reported balance higher than expected (missing increase/OC build)","Reported balance lower than expected (missing decrease)"))))),""))</f>
        <v/>
      </c>
    </row>
    <row r="305" customFormat="false" ht="15" hidden="false" customHeight="fals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9"/>
      <c r="L305" s="9"/>
      <c r="M305" s="9"/>
      <c r="N305" s="9"/>
      <c r="O305" s="9"/>
      <c r="P305" s="9"/>
      <c r="Q305" s="9"/>
      <c r="R305" s="9" t="str">
        <f aca="false">IF(AND(A305&lt;&gt;"",ISNUMBER(Q305),ISNUMBER(L305)),ROUND(Q305-IF(ISNUMBER(N305),N305,0)-IF(ISNUMBER(O305),O305,0)+IF(ISNUMBER(P305),P305,0),2),"")</f>
        <v/>
      </c>
      <c r="S305" s="9" t="str">
        <f aca="false">IF(R305="","",ROUND(L305-R305,2))</f>
        <v/>
      </c>
      <c r="T305" s="8" t="str">
        <f aca="false">IF(A305="","",IF(S305="","BYPASS",IF(ABS(S305)&lt;=Summary!$B$2,"PASS","FAIL")))</f>
        <v/>
      </c>
      <c r="U305" s="8" t="str">
        <f aca="false">IF(T305="BYPASS",IF(NOT(ISNUMBER(Q305)),"PreV_ETB missing","End_tr_balance missing"),IF(T305="FAIL",IF(AND(ISNUMBER(K305),ISNUMBER(L305),ABS(L305-(K305-IF(ISNUMBER(N305),N305,0)-IF(ISNUMBER(O305),O305,0)+IF(ISNUMBER(P305),P305,0)))&lt;=Summary!$B$2),"Passes using beginning_balance - PreV_ETB differs from beginning_balance",IF(AND(ISNUMBER(O305),O305&lt;0,ABS(L305-(Q305-IF(ISNUMBER(N305),N305,0)+IF(ISNUMBER(P305),P305,0)))&lt;=Summary!$B$2),"Negative realized loss not applied - check sign",IF(R305&lt;0,"Principal paid exceeds prior balance",IF(AND(L305&gt;Q305,NOT(ISNUMBER(P305))),"Balance increased but no Deferred_interest reported",IF(L305&gt;R305,"Reported balance higher than expected (missing increase/OC build)","Reported balance lower than expected (missing decrease)"))))),""))</f>
        <v/>
      </c>
    </row>
    <row r="306" customFormat="false" ht="15" hidden="false" customHeight="fals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9"/>
      <c r="L306" s="9"/>
      <c r="M306" s="9"/>
      <c r="N306" s="9"/>
      <c r="O306" s="9"/>
      <c r="P306" s="9"/>
      <c r="Q306" s="9"/>
      <c r="R306" s="9" t="str">
        <f aca="false">IF(AND(A306&lt;&gt;"",ISNUMBER(Q306),ISNUMBER(L306)),ROUND(Q306-IF(ISNUMBER(N306),N306,0)-IF(ISNUMBER(O306),O306,0)+IF(ISNUMBER(P306),P306,0),2),"")</f>
        <v/>
      </c>
      <c r="S306" s="9" t="str">
        <f aca="false">IF(R306="","",ROUND(L306-R306,2))</f>
        <v/>
      </c>
      <c r="T306" s="8" t="str">
        <f aca="false">IF(A306="","",IF(S306="","BYPASS",IF(ABS(S306)&lt;=Summary!$B$2,"PASS","FAIL")))</f>
        <v/>
      </c>
      <c r="U306" s="8" t="str">
        <f aca="false">IF(T306="BYPASS",IF(NOT(ISNUMBER(Q306)),"PreV_ETB missing","End_tr_balance missing"),IF(T306="FAIL",IF(AND(ISNUMBER(K306),ISNUMBER(L306),ABS(L306-(K306-IF(ISNUMBER(N306),N306,0)-IF(ISNUMBER(O306),O306,0)+IF(ISNUMBER(P306),P306,0)))&lt;=Summary!$B$2),"Passes using beginning_balance - PreV_ETB differs from beginning_balance",IF(AND(ISNUMBER(O306),O306&lt;0,ABS(L306-(Q306-IF(ISNUMBER(N306),N306,0)+IF(ISNUMBER(P306),P306,0)))&lt;=Summary!$B$2),"Negative realized loss not applied - check sign",IF(R306&lt;0,"Principal paid exceeds prior balance",IF(AND(L306&gt;Q306,NOT(ISNUMBER(P306))),"Balance increased but no Deferred_interest reported",IF(L306&gt;R306,"Reported balance higher than expected (missing increase/OC build)","Reported balance lower than expected (missing decrease)"))))),""))</f>
        <v/>
      </c>
    </row>
    <row r="307" customFormat="false" ht="15" hidden="false" customHeight="fals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9"/>
      <c r="L307" s="9"/>
      <c r="M307" s="9"/>
      <c r="N307" s="9"/>
      <c r="O307" s="9"/>
      <c r="P307" s="9"/>
      <c r="Q307" s="9"/>
      <c r="R307" s="9" t="str">
        <f aca="false">IF(AND(A307&lt;&gt;"",ISNUMBER(Q307),ISNUMBER(L307)),ROUND(Q307-IF(ISNUMBER(N307),N307,0)-IF(ISNUMBER(O307),O307,0)+IF(ISNUMBER(P307),P307,0),2),"")</f>
        <v/>
      </c>
      <c r="S307" s="9" t="str">
        <f aca="false">IF(R307="","",ROUND(L307-R307,2))</f>
        <v/>
      </c>
      <c r="T307" s="8" t="str">
        <f aca="false">IF(A307="","",IF(S307="","BYPASS",IF(ABS(S307)&lt;=Summary!$B$2,"PASS","FAIL")))</f>
        <v/>
      </c>
      <c r="U307" s="8" t="str">
        <f aca="false">IF(T307="BYPASS",IF(NOT(ISNUMBER(Q307)),"PreV_ETB missing","End_tr_balance missing"),IF(T307="FAIL",IF(AND(ISNUMBER(K307),ISNUMBER(L307),ABS(L307-(K307-IF(ISNUMBER(N307),N307,0)-IF(ISNUMBER(O307),O307,0)+IF(ISNUMBER(P307),P307,0)))&lt;=Summary!$B$2),"Passes using beginning_balance - PreV_ETB differs from beginning_balance",IF(AND(ISNUMBER(O307),O307&lt;0,ABS(L307-(Q307-IF(ISNUMBER(N307),N307,0)+IF(ISNUMBER(P307),P307,0)))&lt;=Summary!$B$2),"Negative realized loss not applied - check sign",IF(R307&lt;0,"Principal paid exceeds prior balance",IF(AND(L307&gt;Q307,NOT(ISNUMBER(P307))),"Balance increased but no Deferred_interest reported",IF(L307&gt;R307,"Reported balance higher than expected (missing increase/OC build)","Reported balance lower than expected (missing decrease)"))))),""))</f>
        <v/>
      </c>
    </row>
    <row r="308" customFormat="false" ht="15" hidden="false" customHeight="fals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9"/>
      <c r="L308" s="9"/>
      <c r="M308" s="9"/>
      <c r="N308" s="9"/>
      <c r="O308" s="9"/>
      <c r="P308" s="9"/>
      <c r="Q308" s="9"/>
      <c r="R308" s="9" t="str">
        <f aca="false">IF(AND(A308&lt;&gt;"",ISNUMBER(Q308),ISNUMBER(L308)),ROUND(Q308-IF(ISNUMBER(N308),N308,0)-IF(ISNUMBER(O308),O308,0)+IF(ISNUMBER(P308),P308,0),2),"")</f>
        <v/>
      </c>
      <c r="S308" s="9" t="str">
        <f aca="false">IF(R308="","",ROUND(L308-R308,2))</f>
        <v/>
      </c>
      <c r="T308" s="8" t="str">
        <f aca="false">IF(A308="","",IF(S308="","BYPASS",IF(ABS(S308)&lt;=Summary!$B$2,"PASS","FAIL")))</f>
        <v/>
      </c>
      <c r="U308" s="8" t="str">
        <f aca="false">IF(T308="BYPASS",IF(NOT(ISNUMBER(Q308)),"PreV_ETB missing","End_tr_balance missing"),IF(T308="FAIL",IF(AND(ISNUMBER(K308),ISNUMBER(L308),ABS(L308-(K308-IF(ISNUMBER(N308),N308,0)-IF(ISNUMBER(O308),O308,0)+IF(ISNUMBER(P308),P308,0)))&lt;=Summary!$B$2),"Passes using beginning_balance - PreV_ETB differs from beginning_balance",IF(AND(ISNUMBER(O308),O308&lt;0,ABS(L308-(Q308-IF(ISNUMBER(N308),N308,0)+IF(ISNUMBER(P308),P308,0)))&lt;=Summary!$B$2),"Negative realized loss not applied - check sign",IF(R308&lt;0,"Principal paid exceeds prior balance",IF(AND(L308&gt;Q308,NOT(ISNUMBER(P308))),"Balance increased but no Deferred_interest reported",IF(L308&gt;R308,"Reported balance higher than expected (missing increase/OC build)","Reported balance lower than expected (missing decrease)"))))),""))</f>
        <v/>
      </c>
    </row>
    <row r="309" customFormat="false" ht="15" hidden="false" customHeight="fals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9"/>
      <c r="L309" s="9"/>
      <c r="M309" s="9"/>
      <c r="N309" s="9"/>
      <c r="O309" s="9"/>
      <c r="P309" s="9"/>
      <c r="Q309" s="9"/>
      <c r="R309" s="9" t="str">
        <f aca="false">IF(AND(A309&lt;&gt;"",ISNUMBER(Q309),ISNUMBER(L309)),ROUND(Q309-IF(ISNUMBER(N309),N309,0)-IF(ISNUMBER(O309),O309,0)+IF(ISNUMBER(P309),P309,0),2),"")</f>
        <v/>
      </c>
      <c r="S309" s="9" t="str">
        <f aca="false">IF(R309="","",ROUND(L309-R309,2))</f>
        <v/>
      </c>
      <c r="T309" s="8" t="str">
        <f aca="false">IF(A309="","",IF(S309="","BYPASS",IF(ABS(S309)&lt;=Summary!$B$2,"PASS","FAIL")))</f>
        <v/>
      </c>
      <c r="U309" s="8" t="str">
        <f aca="false">IF(T309="BYPASS",IF(NOT(ISNUMBER(Q309)),"PreV_ETB missing","End_tr_balance missing"),IF(T309="FAIL",IF(AND(ISNUMBER(K309),ISNUMBER(L309),ABS(L309-(K309-IF(ISNUMBER(N309),N309,0)-IF(ISNUMBER(O309),O309,0)+IF(ISNUMBER(P309),P309,0)))&lt;=Summary!$B$2),"Passes using beginning_balance - PreV_ETB differs from beginning_balance",IF(AND(ISNUMBER(O309),O309&lt;0,ABS(L309-(Q309-IF(ISNUMBER(N309),N309,0)+IF(ISNUMBER(P309),P309,0)))&lt;=Summary!$B$2),"Negative realized loss not applied - check sign",IF(R309&lt;0,"Principal paid exceeds prior balance",IF(AND(L309&gt;Q309,NOT(ISNUMBER(P309))),"Balance increased but no Deferred_interest reported",IF(L309&gt;R309,"Reported balance higher than expected (missing increase/OC build)","Reported balance lower than expected (missing decrease)"))))),""))</f>
        <v/>
      </c>
    </row>
    <row r="310" customFormat="false" ht="15" hidden="false" customHeight="fals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9"/>
      <c r="L310" s="9"/>
      <c r="M310" s="9"/>
      <c r="N310" s="9"/>
      <c r="O310" s="9"/>
      <c r="P310" s="9"/>
      <c r="Q310" s="9"/>
      <c r="R310" s="9" t="str">
        <f aca="false">IF(AND(A310&lt;&gt;"",ISNUMBER(Q310),ISNUMBER(L310)),ROUND(Q310-IF(ISNUMBER(N310),N310,0)-IF(ISNUMBER(O310),O310,0)+IF(ISNUMBER(P310),P310,0),2),"")</f>
        <v/>
      </c>
      <c r="S310" s="9" t="str">
        <f aca="false">IF(R310="","",ROUND(L310-R310,2))</f>
        <v/>
      </c>
      <c r="T310" s="8" t="str">
        <f aca="false">IF(A310="","",IF(S310="","BYPASS",IF(ABS(S310)&lt;=Summary!$B$2,"PASS","FAIL")))</f>
        <v/>
      </c>
      <c r="U310" s="8" t="str">
        <f aca="false">IF(T310="BYPASS",IF(NOT(ISNUMBER(Q310)),"PreV_ETB missing","End_tr_balance missing"),IF(T310="FAIL",IF(AND(ISNUMBER(K310),ISNUMBER(L310),ABS(L310-(K310-IF(ISNUMBER(N310),N310,0)-IF(ISNUMBER(O310),O310,0)+IF(ISNUMBER(P310),P310,0)))&lt;=Summary!$B$2),"Passes using beginning_balance - PreV_ETB differs from beginning_balance",IF(AND(ISNUMBER(O310),O310&lt;0,ABS(L310-(Q310-IF(ISNUMBER(N310),N310,0)+IF(ISNUMBER(P310),P310,0)))&lt;=Summary!$B$2),"Negative realized loss not applied - check sign",IF(R310&lt;0,"Principal paid exceeds prior balance",IF(AND(L310&gt;Q310,NOT(ISNUMBER(P310))),"Balance increased but no Deferred_interest reported",IF(L310&gt;R310,"Reported balance higher than expected (missing increase/OC build)","Reported balance lower than expected (missing decrease)"))))),""))</f>
        <v/>
      </c>
    </row>
    <row r="311" customFormat="false" ht="15" hidden="false" customHeight="fals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9"/>
      <c r="L311" s="9"/>
      <c r="M311" s="9"/>
      <c r="N311" s="9"/>
      <c r="O311" s="9"/>
      <c r="P311" s="9"/>
      <c r="Q311" s="9"/>
      <c r="R311" s="9" t="str">
        <f aca="false">IF(AND(A311&lt;&gt;"",ISNUMBER(Q311),ISNUMBER(L311)),ROUND(Q311-IF(ISNUMBER(N311),N311,0)-IF(ISNUMBER(O311),O311,0)+IF(ISNUMBER(P311),P311,0),2),"")</f>
        <v/>
      </c>
      <c r="S311" s="9" t="str">
        <f aca="false">IF(R311="","",ROUND(L311-R311,2))</f>
        <v/>
      </c>
      <c r="T311" s="8" t="str">
        <f aca="false">IF(A311="","",IF(S311="","BYPASS",IF(ABS(S311)&lt;=Summary!$B$2,"PASS","FAIL")))</f>
        <v/>
      </c>
      <c r="U311" s="8" t="str">
        <f aca="false">IF(T311="BYPASS",IF(NOT(ISNUMBER(Q311)),"PreV_ETB missing","End_tr_balance missing"),IF(T311="FAIL",IF(AND(ISNUMBER(K311),ISNUMBER(L311),ABS(L311-(K311-IF(ISNUMBER(N311),N311,0)-IF(ISNUMBER(O311),O311,0)+IF(ISNUMBER(P311),P311,0)))&lt;=Summary!$B$2),"Passes using beginning_balance - PreV_ETB differs from beginning_balance",IF(AND(ISNUMBER(O311),O311&lt;0,ABS(L311-(Q311-IF(ISNUMBER(N311),N311,0)+IF(ISNUMBER(P311),P311,0)))&lt;=Summary!$B$2),"Negative realized loss not applied - check sign",IF(R311&lt;0,"Principal paid exceeds prior balance",IF(AND(L311&gt;Q311,NOT(ISNUMBER(P311))),"Balance increased but no Deferred_interest reported",IF(L311&gt;R311,"Reported balance higher than expected (missing increase/OC build)","Reported balance lower than expected (missing decrease)"))))),""))</f>
        <v/>
      </c>
    </row>
    <row r="312" customFormat="false" ht="15" hidden="false" customHeight="fals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9"/>
      <c r="L312" s="9"/>
      <c r="M312" s="9"/>
      <c r="N312" s="9"/>
      <c r="O312" s="9"/>
      <c r="P312" s="9"/>
      <c r="Q312" s="9"/>
      <c r="R312" s="9" t="str">
        <f aca="false">IF(AND(A312&lt;&gt;"",ISNUMBER(Q312),ISNUMBER(L312)),ROUND(Q312-IF(ISNUMBER(N312),N312,0)-IF(ISNUMBER(O312),O312,0)+IF(ISNUMBER(P312),P312,0),2),"")</f>
        <v/>
      </c>
      <c r="S312" s="9" t="str">
        <f aca="false">IF(R312="","",ROUND(L312-R312,2))</f>
        <v/>
      </c>
      <c r="T312" s="8" t="str">
        <f aca="false">IF(A312="","",IF(S312="","BYPASS",IF(ABS(S312)&lt;=Summary!$B$2,"PASS","FAIL")))</f>
        <v/>
      </c>
      <c r="U312" s="8" t="str">
        <f aca="false">IF(T312="BYPASS",IF(NOT(ISNUMBER(Q312)),"PreV_ETB missing","End_tr_balance missing"),IF(T312="FAIL",IF(AND(ISNUMBER(K312),ISNUMBER(L312),ABS(L312-(K312-IF(ISNUMBER(N312),N312,0)-IF(ISNUMBER(O312),O312,0)+IF(ISNUMBER(P312),P312,0)))&lt;=Summary!$B$2),"Passes using beginning_balance - PreV_ETB differs from beginning_balance",IF(AND(ISNUMBER(O312),O312&lt;0,ABS(L312-(Q312-IF(ISNUMBER(N312),N312,0)+IF(ISNUMBER(P312),P312,0)))&lt;=Summary!$B$2),"Negative realized loss not applied - check sign",IF(R312&lt;0,"Principal paid exceeds prior balance",IF(AND(L312&gt;Q312,NOT(ISNUMBER(P312))),"Balance increased but no Deferred_interest reported",IF(L312&gt;R312,"Reported balance higher than expected (missing increase/OC build)","Reported balance lower than expected (missing decrease)"))))),""))</f>
        <v/>
      </c>
    </row>
    <row r="313" customFormat="false" ht="15" hidden="false" customHeight="fals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9"/>
      <c r="L313" s="9"/>
      <c r="M313" s="9"/>
      <c r="N313" s="9"/>
      <c r="O313" s="9"/>
      <c r="P313" s="9"/>
      <c r="Q313" s="9"/>
      <c r="R313" s="9" t="str">
        <f aca="false">IF(AND(A313&lt;&gt;"",ISNUMBER(Q313),ISNUMBER(L313)),ROUND(Q313-IF(ISNUMBER(N313),N313,0)-IF(ISNUMBER(O313),O313,0)+IF(ISNUMBER(P313),P313,0),2),"")</f>
        <v/>
      </c>
      <c r="S313" s="9" t="str">
        <f aca="false">IF(R313="","",ROUND(L313-R313,2))</f>
        <v/>
      </c>
      <c r="T313" s="8" t="str">
        <f aca="false">IF(A313="","",IF(S313="","BYPASS",IF(ABS(S313)&lt;=Summary!$B$2,"PASS","FAIL")))</f>
        <v/>
      </c>
      <c r="U313" s="8" t="str">
        <f aca="false">IF(T313="BYPASS",IF(NOT(ISNUMBER(Q313)),"PreV_ETB missing","End_tr_balance missing"),IF(T313="FAIL",IF(AND(ISNUMBER(K313),ISNUMBER(L313),ABS(L313-(K313-IF(ISNUMBER(N313),N313,0)-IF(ISNUMBER(O313),O313,0)+IF(ISNUMBER(P313),P313,0)))&lt;=Summary!$B$2),"Passes using beginning_balance - PreV_ETB differs from beginning_balance",IF(AND(ISNUMBER(O313),O313&lt;0,ABS(L313-(Q313-IF(ISNUMBER(N313),N313,0)+IF(ISNUMBER(P313),P313,0)))&lt;=Summary!$B$2),"Negative realized loss not applied - check sign",IF(R313&lt;0,"Principal paid exceeds prior balance",IF(AND(L313&gt;Q313,NOT(ISNUMBER(P313))),"Balance increased but no Deferred_interest reported",IF(L313&gt;R313,"Reported balance higher than expected (missing increase/OC build)","Reported balance lower than expected (missing decrease)"))))),""))</f>
        <v/>
      </c>
    </row>
    <row r="314" customFormat="false" ht="15" hidden="false" customHeight="fals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9"/>
      <c r="L314" s="9"/>
      <c r="M314" s="9"/>
      <c r="N314" s="9"/>
      <c r="O314" s="9"/>
      <c r="P314" s="9"/>
      <c r="Q314" s="9"/>
      <c r="R314" s="9" t="str">
        <f aca="false">IF(AND(A314&lt;&gt;"",ISNUMBER(Q314),ISNUMBER(L314)),ROUND(Q314-IF(ISNUMBER(N314),N314,0)-IF(ISNUMBER(O314),O314,0)+IF(ISNUMBER(P314),P314,0),2),"")</f>
        <v/>
      </c>
      <c r="S314" s="9" t="str">
        <f aca="false">IF(R314="","",ROUND(L314-R314,2))</f>
        <v/>
      </c>
      <c r="T314" s="8" t="str">
        <f aca="false">IF(A314="","",IF(S314="","BYPASS",IF(ABS(S314)&lt;=Summary!$B$2,"PASS","FAIL")))</f>
        <v/>
      </c>
      <c r="U314" s="8" t="str">
        <f aca="false">IF(T314="BYPASS",IF(NOT(ISNUMBER(Q314)),"PreV_ETB missing","End_tr_balance missing"),IF(T314="FAIL",IF(AND(ISNUMBER(K314),ISNUMBER(L314),ABS(L314-(K314-IF(ISNUMBER(N314),N314,0)-IF(ISNUMBER(O314),O314,0)+IF(ISNUMBER(P314),P314,0)))&lt;=Summary!$B$2),"Passes using beginning_balance - PreV_ETB differs from beginning_balance",IF(AND(ISNUMBER(O314),O314&lt;0,ABS(L314-(Q314-IF(ISNUMBER(N314),N314,0)+IF(ISNUMBER(P314),P314,0)))&lt;=Summary!$B$2),"Negative realized loss not applied - check sign",IF(R314&lt;0,"Principal paid exceeds prior balance",IF(AND(L314&gt;Q314,NOT(ISNUMBER(P314))),"Balance increased but no Deferred_interest reported",IF(L314&gt;R314,"Reported balance higher than expected (missing increase/OC build)","Reported balance lower than expected (missing decrease)"))))),""))</f>
        <v/>
      </c>
    </row>
    <row r="315" customFormat="false" ht="15" hidden="false" customHeight="fals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9"/>
      <c r="L315" s="9"/>
      <c r="M315" s="9"/>
      <c r="N315" s="9"/>
      <c r="O315" s="9"/>
      <c r="P315" s="9"/>
      <c r="Q315" s="9"/>
      <c r="R315" s="9" t="str">
        <f aca="false">IF(AND(A315&lt;&gt;"",ISNUMBER(Q315),ISNUMBER(L315)),ROUND(Q315-IF(ISNUMBER(N315),N315,0)-IF(ISNUMBER(O315),O315,0)+IF(ISNUMBER(P315),P315,0),2),"")</f>
        <v/>
      </c>
      <c r="S315" s="9" t="str">
        <f aca="false">IF(R315="","",ROUND(L315-R315,2))</f>
        <v/>
      </c>
      <c r="T315" s="8" t="str">
        <f aca="false">IF(A315="","",IF(S315="","BYPASS",IF(ABS(S315)&lt;=Summary!$B$2,"PASS","FAIL")))</f>
        <v/>
      </c>
      <c r="U315" s="8" t="str">
        <f aca="false">IF(T315="BYPASS",IF(NOT(ISNUMBER(Q315)),"PreV_ETB missing","End_tr_balance missing"),IF(T315="FAIL",IF(AND(ISNUMBER(K315),ISNUMBER(L315),ABS(L315-(K315-IF(ISNUMBER(N315),N315,0)-IF(ISNUMBER(O315),O315,0)+IF(ISNUMBER(P315),P315,0)))&lt;=Summary!$B$2),"Passes using beginning_balance - PreV_ETB differs from beginning_balance",IF(AND(ISNUMBER(O315),O315&lt;0,ABS(L315-(Q315-IF(ISNUMBER(N315),N315,0)+IF(ISNUMBER(P315),P315,0)))&lt;=Summary!$B$2),"Negative realized loss not applied - check sign",IF(R315&lt;0,"Principal paid exceeds prior balance",IF(AND(L315&gt;Q315,NOT(ISNUMBER(P315))),"Balance increased but no Deferred_interest reported",IF(L315&gt;R315,"Reported balance higher than expected (missing increase/OC build)","Reported balance lower than expected (missing decrease)"))))),""))</f>
        <v/>
      </c>
    </row>
    <row r="316" customFormat="false" ht="15" hidden="false" customHeight="fals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9"/>
      <c r="L316" s="9"/>
      <c r="M316" s="9"/>
      <c r="N316" s="9"/>
      <c r="O316" s="9"/>
      <c r="P316" s="9"/>
      <c r="Q316" s="9"/>
      <c r="R316" s="9" t="str">
        <f aca="false">IF(AND(A316&lt;&gt;"",ISNUMBER(Q316),ISNUMBER(L316)),ROUND(Q316-IF(ISNUMBER(N316),N316,0)-IF(ISNUMBER(O316),O316,0)+IF(ISNUMBER(P316),P316,0),2),"")</f>
        <v/>
      </c>
      <c r="S316" s="9" t="str">
        <f aca="false">IF(R316="","",ROUND(L316-R316,2))</f>
        <v/>
      </c>
      <c r="T316" s="8" t="str">
        <f aca="false">IF(A316="","",IF(S316="","BYPASS",IF(ABS(S316)&lt;=Summary!$B$2,"PASS","FAIL")))</f>
        <v/>
      </c>
      <c r="U316" s="8" t="str">
        <f aca="false">IF(T316="BYPASS",IF(NOT(ISNUMBER(Q316)),"PreV_ETB missing","End_tr_balance missing"),IF(T316="FAIL",IF(AND(ISNUMBER(K316),ISNUMBER(L316),ABS(L316-(K316-IF(ISNUMBER(N316),N316,0)-IF(ISNUMBER(O316),O316,0)+IF(ISNUMBER(P316),P316,0)))&lt;=Summary!$B$2),"Passes using beginning_balance - PreV_ETB differs from beginning_balance",IF(AND(ISNUMBER(O316),O316&lt;0,ABS(L316-(Q316-IF(ISNUMBER(N316),N316,0)+IF(ISNUMBER(P316),P316,0)))&lt;=Summary!$B$2),"Negative realized loss not applied - check sign",IF(R316&lt;0,"Principal paid exceeds prior balance",IF(AND(L316&gt;Q316,NOT(ISNUMBER(P316))),"Balance increased but no Deferred_interest reported",IF(L316&gt;R316,"Reported balance higher than expected (missing increase/OC build)","Reported balance lower than expected (missing decrease)"))))),""))</f>
        <v/>
      </c>
    </row>
    <row r="317" customFormat="false" ht="15" hidden="false" customHeight="fals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9"/>
      <c r="L317" s="9"/>
      <c r="M317" s="9"/>
      <c r="N317" s="9"/>
      <c r="O317" s="9"/>
      <c r="P317" s="9"/>
      <c r="Q317" s="9"/>
      <c r="R317" s="9" t="str">
        <f aca="false">IF(AND(A317&lt;&gt;"",ISNUMBER(Q317),ISNUMBER(L317)),ROUND(Q317-IF(ISNUMBER(N317),N317,0)-IF(ISNUMBER(O317),O317,0)+IF(ISNUMBER(P317),P317,0),2),"")</f>
        <v/>
      </c>
      <c r="S317" s="9" t="str">
        <f aca="false">IF(R317="","",ROUND(L317-R317,2))</f>
        <v/>
      </c>
      <c r="T317" s="8" t="str">
        <f aca="false">IF(A317="","",IF(S317="","BYPASS",IF(ABS(S317)&lt;=Summary!$B$2,"PASS","FAIL")))</f>
        <v/>
      </c>
      <c r="U317" s="8" t="str">
        <f aca="false">IF(T317="BYPASS",IF(NOT(ISNUMBER(Q317)),"PreV_ETB missing","End_tr_balance missing"),IF(T317="FAIL",IF(AND(ISNUMBER(K317),ISNUMBER(L317),ABS(L317-(K317-IF(ISNUMBER(N317),N317,0)-IF(ISNUMBER(O317),O317,0)+IF(ISNUMBER(P317),P317,0)))&lt;=Summary!$B$2),"Passes using beginning_balance - PreV_ETB differs from beginning_balance",IF(AND(ISNUMBER(O317),O317&lt;0,ABS(L317-(Q317-IF(ISNUMBER(N317),N317,0)+IF(ISNUMBER(P317),P317,0)))&lt;=Summary!$B$2),"Negative realized loss not applied - check sign",IF(R317&lt;0,"Principal paid exceeds prior balance",IF(AND(L317&gt;Q317,NOT(ISNUMBER(P317))),"Balance increased but no Deferred_interest reported",IF(L317&gt;R317,"Reported balance higher than expected (missing increase/OC build)","Reported balance lower than expected (missing decrease)"))))),""))</f>
        <v/>
      </c>
    </row>
    <row r="318" customFormat="false" ht="15" hidden="false" customHeight="fals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9"/>
      <c r="L318" s="9"/>
      <c r="M318" s="9"/>
      <c r="N318" s="9"/>
      <c r="O318" s="9"/>
      <c r="P318" s="9"/>
      <c r="Q318" s="9"/>
      <c r="R318" s="9" t="str">
        <f aca="false">IF(AND(A318&lt;&gt;"",ISNUMBER(Q318),ISNUMBER(L318)),ROUND(Q318-IF(ISNUMBER(N318),N318,0)-IF(ISNUMBER(O318),O318,0)+IF(ISNUMBER(P318),P318,0),2),"")</f>
        <v/>
      </c>
      <c r="S318" s="9" t="str">
        <f aca="false">IF(R318="","",ROUND(L318-R318,2))</f>
        <v/>
      </c>
      <c r="T318" s="8" t="str">
        <f aca="false">IF(A318="","",IF(S318="","BYPASS",IF(ABS(S318)&lt;=Summary!$B$2,"PASS","FAIL")))</f>
        <v/>
      </c>
      <c r="U318" s="8" t="str">
        <f aca="false">IF(T318="BYPASS",IF(NOT(ISNUMBER(Q318)),"PreV_ETB missing","End_tr_balance missing"),IF(T318="FAIL",IF(AND(ISNUMBER(K318),ISNUMBER(L318),ABS(L318-(K318-IF(ISNUMBER(N318),N318,0)-IF(ISNUMBER(O318),O318,0)+IF(ISNUMBER(P318),P318,0)))&lt;=Summary!$B$2),"Passes using beginning_balance - PreV_ETB differs from beginning_balance",IF(AND(ISNUMBER(O318),O318&lt;0,ABS(L318-(Q318-IF(ISNUMBER(N318),N318,0)+IF(ISNUMBER(P318),P318,0)))&lt;=Summary!$B$2),"Negative realized loss not applied - check sign",IF(R318&lt;0,"Principal paid exceeds prior balance",IF(AND(L318&gt;Q318,NOT(ISNUMBER(P318))),"Balance increased but no Deferred_interest reported",IF(L318&gt;R318,"Reported balance higher than expected (missing increase/OC build)","Reported balance lower than expected (missing decrease)"))))),""))</f>
        <v/>
      </c>
    </row>
    <row r="319" customFormat="false" ht="15" hidden="false" customHeight="fals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9"/>
      <c r="L319" s="9"/>
      <c r="M319" s="9"/>
      <c r="N319" s="9"/>
      <c r="O319" s="9"/>
      <c r="P319" s="9"/>
      <c r="Q319" s="9"/>
      <c r="R319" s="9" t="str">
        <f aca="false">IF(AND(A319&lt;&gt;"",ISNUMBER(Q319),ISNUMBER(L319)),ROUND(Q319-IF(ISNUMBER(N319),N319,0)-IF(ISNUMBER(O319),O319,0)+IF(ISNUMBER(P319),P319,0),2),"")</f>
        <v/>
      </c>
      <c r="S319" s="9" t="str">
        <f aca="false">IF(R319="","",ROUND(L319-R319,2))</f>
        <v/>
      </c>
      <c r="T319" s="8" t="str">
        <f aca="false">IF(A319="","",IF(S319="","BYPASS",IF(ABS(S319)&lt;=Summary!$B$2,"PASS","FAIL")))</f>
        <v/>
      </c>
      <c r="U319" s="8" t="str">
        <f aca="false">IF(T319="BYPASS",IF(NOT(ISNUMBER(Q319)),"PreV_ETB missing","End_tr_balance missing"),IF(T319="FAIL",IF(AND(ISNUMBER(K319),ISNUMBER(L319),ABS(L319-(K319-IF(ISNUMBER(N319),N319,0)-IF(ISNUMBER(O319),O319,0)+IF(ISNUMBER(P319),P319,0)))&lt;=Summary!$B$2),"Passes using beginning_balance - PreV_ETB differs from beginning_balance",IF(AND(ISNUMBER(O319),O319&lt;0,ABS(L319-(Q319-IF(ISNUMBER(N319),N319,0)+IF(ISNUMBER(P319),P319,0)))&lt;=Summary!$B$2),"Negative realized loss not applied - check sign",IF(R319&lt;0,"Principal paid exceeds prior balance",IF(AND(L319&gt;Q319,NOT(ISNUMBER(P319))),"Balance increased but no Deferred_interest reported",IF(L319&gt;R319,"Reported balance higher than expected (missing increase/OC build)","Reported balance lower than expected (missing decrease)"))))),""))</f>
        <v/>
      </c>
    </row>
    <row r="320" customFormat="false" ht="15" hidden="false" customHeight="fals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9"/>
      <c r="L320" s="9"/>
      <c r="M320" s="9"/>
      <c r="N320" s="9"/>
      <c r="O320" s="9"/>
      <c r="P320" s="9"/>
      <c r="Q320" s="9"/>
      <c r="R320" s="9" t="str">
        <f aca="false">IF(AND(A320&lt;&gt;"",ISNUMBER(Q320),ISNUMBER(L320)),ROUND(Q320-IF(ISNUMBER(N320),N320,0)-IF(ISNUMBER(O320),O320,0)+IF(ISNUMBER(P320),P320,0),2),"")</f>
        <v/>
      </c>
      <c r="S320" s="9" t="str">
        <f aca="false">IF(R320="","",ROUND(L320-R320,2))</f>
        <v/>
      </c>
      <c r="T320" s="8" t="str">
        <f aca="false">IF(A320="","",IF(S320="","BYPASS",IF(ABS(S320)&lt;=Summary!$B$2,"PASS","FAIL")))</f>
        <v/>
      </c>
      <c r="U320" s="8" t="str">
        <f aca="false">IF(T320="BYPASS",IF(NOT(ISNUMBER(Q320)),"PreV_ETB missing","End_tr_balance missing"),IF(T320="FAIL",IF(AND(ISNUMBER(K320),ISNUMBER(L320),ABS(L320-(K320-IF(ISNUMBER(N320),N320,0)-IF(ISNUMBER(O320),O320,0)+IF(ISNUMBER(P320),P320,0)))&lt;=Summary!$B$2),"Passes using beginning_balance - PreV_ETB differs from beginning_balance",IF(AND(ISNUMBER(O320),O320&lt;0,ABS(L320-(Q320-IF(ISNUMBER(N320),N320,0)+IF(ISNUMBER(P320),P320,0)))&lt;=Summary!$B$2),"Negative realized loss not applied - check sign",IF(R320&lt;0,"Principal paid exceeds prior balance",IF(AND(L320&gt;Q320,NOT(ISNUMBER(P320))),"Balance increased but no Deferred_interest reported",IF(L320&gt;R320,"Reported balance higher than expected (missing increase/OC build)","Reported balance lower than expected (missing decrease)"))))),""))</f>
        <v/>
      </c>
    </row>
    <row r="321" customFormat="false" ht="15" hidden="false" customHeight="fals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9"/>
      <c r="L321" s="9"/>
      <c r="M321" s="9"/>
      <c r="N321" s="9"/>
      <c r="O321" s="9"/>
      <c r="P321" s="9"/>
      <c r="Q321" s="9"/>
      <c r="R321" s="9" t="str">
        <f aca="false">IF(AND(A321&lt;&gt;"",ISNUMBER(Q321),ISNUMBER(L321)),ROUND(Q321-IF(ISNUMBER(N321),N321,0)-IF(ISNUMBER(O321),O321,0)+IF(ISNUMBER(P321),P321,0),2),"")</f>
        <v/>
      </c>
      <c r="S321" s="9" t="str">
        <f aca="false">IF(R321="","",ROUND(L321-R321,2))</f>
        <v/>
      </c>
      <c r="T321" s="8" t="str">
        <f aca="false">IF(A321="","",IF(S321="","BYPASS",IF(ABS(S321)&lt;=Summary!$B$2,"PASS","FAIL")))</f>
        <v/>
      </c>
      <c r="U321" s="8" t="str">
        <f aca="false">IF(T321="BYPASS",IF(NOT(ISNUMBER(Q321)),"PreV_ETB missing","End_tr_balance missing"),IF(T321="FAIL",IF(AND(ISNUMBER(K321),ISNUMBER(L321),ABS(L321-(K321-IF(ISNUMBER(N321),N321,0)-IF(ISNUMBER(O321),O321,0)+IF(ISNUMBER(P321),P321,0)))&lt;=Summary!$B$2),"Passes using beginning_balance - PreV_ETB differs from beginning_balance",IF(AND(ISNUMBER(O321),O321&lt;0,ABS(L321-(Q321-IF(ISNUMBER(N321),N321,0)+IF(ISNUMBER(P321),P321,0)))&lt;=Summary!$B$2),"Negative realized loss not applied - check sign",IF(R321&lt;0,"Principal paid exceeds prior balance",IF(AND(L321&gt;Q321,NOT(ISNUMBER(P321))),"Balance increased but no Deferred_interest reported",IF(L321&gt;R321,"Reported balance higher than expected (missing increase/OC build)","Reported balance lower than expected (missing decrease)"))))),""))</f>
        <v/>
      </c>
    </row>
    <row r="322" customFormat="false" ht="15" hidden="false" customHeight="fals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9"/>
      <c r="L322" s="9"/>
      <c r="M322" s="9"/>
      <c r="N322" s="9"/>
      <c r="O322" s="9"/>
      <c r="P322" s="9"/>
      <c r="Q322" s="9"/>
      <c r="R322" s="9" t="str">
        <f aca="false">IF(AND(A322&lt;&gt;"",ISNUMBER(Q322),ISNUMBER(L322)),ROUND(Q322-IF(ISNUMBER(N322),N322,0)-IF(ISNUMBER(O322),O322,0)+IF(ISNUMBER(P322),P322,0),2),"")</f>
        <v/>
      </c>
      <c r="S322" s="9" t="str">
        <f aca="false">IF(R322="","",ROUND(L322-R322,2))</f>
        <v/>
      </c>
      <c r="T322" s="8" t="str">
        <f aca="false">IF(A322="","",IF(S322="","BYPASS",IF(ABS(S322)&lt;=Summary!$B$2,"PASS","FAIL")))</f>
        <v/>
      </c>
      <c r="U322" s="8" t="str">
        <f aca="false">IF(T322="BYPASS",IF(NOT(ISNUMBER(Q322)),"PreV_ETB missing","End_tr_balance missing"),IF(T322="FAIL",IF(AND(ISNUMBER(K322),ISNUMBER(L322),ABS(L322-(K322-IF(ISNUMBER(N322),N322,0)-IF(ISNUMBER(O322),O322,0)+IF(ISNUMBER(P322),P322,0)))&lt;=Summary!$B$2),"Passes using beginning_balance - PreV_ETB differs from beginning_balance",IF(AND(ISNUMBER(O322),O322&lt;0,ABS(L322-(Q322-IF(ISNUMBER(N322),N322,0)+IF(ISNUMBER(P322),P322,0)))&lt;=Summary!$B$2),"Negative realized loss not applied - check sign",IF(R322&lt;0,"Principal paid exceeds prior balance",IF(AND(L322&gt;Q322,NOT(ISNUMBER(P322))),"Balance increased but no Deferred_interest reported",IF(L322&gt;R322,"Reported balance higher than expected (missing increase/OC build)","Reported balance lower than expected (missing decrease)"))))),""))</f>
        <v/>
      </c>
    </row>
    <row r="323" customFormat="false" ht="15" hidden="false" customHeight="fals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9"/>
      <c r="L323" s="9"/>
      <c r="M323" s="9"/>
      <c r="N323" s="9"/>
      <c r="O323" s="9"/>
      <c r="P323" s="9"/>
      <c r="Q323" s="9"/>
      <c r="R323" s="9" t="str">
        <f aca="false">IF(AND(A323&lt;&gt;"",ISNUMBER(Q323),ISNUMBER(L323)),ROUND(Q323-IF(ISNUMBER(N323),N323,0)-IF(ISNUMBER(O323),O323,0)+IF(ISNUMBER(P323),P323,0),2),"")</f>
        <v/>
      </c>
      <c r="S323" s="9" t="str">
        <f aca="false">IF(R323="","",ROUND(L323-R323,2))</f>
        <v/>
      </c>
      <c r="T323" s="8" t="str">
        <f aca="false">IF(A323="","",IF(S323="","BYPASS",IF(ABS(S323)&lt;=Summary!$B$2,"PASS","FAIL")))</f>
        <v/>
      </c>
      <c r="U323" s="8" t="str">
        <f aca="false">IF(T323="BYPASS",IF(NOT(ISNUMBER(Q323)),"PreV_ETB missing","End_tr_balance missing"),IF(T323="FAIL",IF(AND(ISNUMBER(K323),ISNUMBER(L323),ABS(L323-(K323-IF(ISNUMBER(N323),N323,0)-IF(ISNUMBER(O323),O323,0)+IF(ISNUMBER(P323),P323,0)))&lt;=Summary!$B$2),"Passes using beginning_balance - PreV_ETB differs from beginning_balance",IF(AND(ISNUMBER(O323),O323&lt;0,ABS(L323-(Q323-IF(ISNUMBER(N323),N323,0)+IF(ISNUMBER(P323),P323,0)))&lt;=Summary!$B$2),"Negative realized loss not applied - check sign",IF(R323&lt;0,"Principal paid exceeds prior balance",IF(AND(L323&gt;Q323,NOT(ISNUMBER(P323))),"Balance increased but no Deferred_interest reported",IF(L323&gt;R323,"Reported balance higher than expected (missing increase/OC build)","Reported balance lower than expected (missing decrease)"))))),""))</f>
        <v/>
      </c>
    </row>
    <row r="324" customFormat="false" ht="15" hidden="false" customHeight="fals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9"/>
      <c r="L324" s="9"/>
      <c r="M324" s="9"/>
      <c r="N324" s="9"/>
      <c r="O324" s="9"/>
      <c r="P324" s="9"/>
      <c r="Q324" s="9"/>
      <c r="R324" s="9" t="str">
        <f aca="false">IF(AND(A324&lt;&gt;"",ISNUMBER(Q324),ISNUMBER(L324)),ROUND(Q324-IF(ISNUMBER(N324),N324,0)-IF(ISNUMBER(O324),O324,0)+IF(ISNUMBER(P324),P324,0),2),"")</f>
        <v/>
      </c>
      <c r="S324" s="9" t="str">
        <f aca="false">IF(R324="","",ROUND(L324-R324,2))</f>
        <v/>
      </c>
      <c r="T324" s="8" t="str">
        <f aca="false">IF(A324="","",IF(S324="","BYPASS",IF(ABS(S324)&lt;=Summary!$B$2,"PASS","FAIL")))</f>
        <v/>
      </c>
      <c r="U324" s="8" t="str">
        <f aca="false">IF(T324="BYPASS",IF(NOT(ISNUMBER(Q324)),"PreV_ETB missing","End_tr_balance missing"),IF(T324="FAIL",IF(AND(ISNUMBER(K324),ISNUMBER(L324),ABS(L324-(K324-IF(ISNUMBER(N324),N324,0)-IF(ISNUMBER(O324),O324,0)+IF(ISNUMBER(P324),P324,0)))&lt;=Summary!$B$2),"Passes using beginning_balance - PreV_ETB differs from beginning_balance",IF(AND(ISNUMBER(O324),O324&lt;0,ABS(L324-(Q324-IF(ISNUMBER(N324),N324,0)+IF(ISNUMBER(P324),P324,0)))&lt;=Summary!$B$2),"Negative realized loss not applied - check sign",IF(R324&lt;0,"Principal paid exceeds prior balance",IF(AND(L324&gt;Q324,NOT(ISNUMBER(P324))),"Balance increased but no Deferred_interest reported",IF(L324&gt;R324,"Reported balance higher than expected (missing increase/OC build)","Reported balance lower than expected (missing decrease)"))))),""))</f>
        <v/>
      </c>
    </row>
    <row r="325" customFormat="false" ht="15" hidden="false" customHeight="fals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9"/>
      <c r="L325" s="9"/>
      <c r="M325" s="9"/>
      <c r="N325" s="9"/>
      <c r="O325" s="9"/>
      <c r="P325" s="9"/>
      <c r="Q325" s="9"/>
      <c r="R325" s="9" t="str">
        <f aca="false">IF(AND(A325&lt;&gt;"",ISNUMBER(Q325),ISNUMBER(L325)),ROUND(Q325-IF(ISNUMBER(N325),N325,0)-IF(ISNUMBER(O325),O325,0)+IF(ISNUMBER(P325),P325,0),2),"")</f>
        <v/>
      </c>
      <c r="S325" s="9" t="str">
        <f aca="false">IF(R325="","",ROUND(L325-R325,2))</f>
        <v/>
      </c>
      <c r="T325" s="8" t="str">
        <f aca="false">IF(A325="","",IF(S325="","BYPASS",IF(ABS(S325)&lt;=Summary!$B$2,"PASS","FAIL")))</f>
        <v/>
      </c>
      <c r="U325" s="8" t="str">
        <f aca="false">IF(T325="BYPASS",IF(NOT(ISNUMBER(Q325)),"PreV_ETB missing","End_tr_balance missing"),IF(T325="FAIL",IF(AND(ISNUMBER(K325),ISNUMBER(L325),ABS(L325-(K325-IF(ISNUMBER(N325),N325,0)-IF(ISNUMBER(O325),O325,0)+IF(ISNUMBER(P325),P325,0)))&lt;=Summary!$B$2),"Passes using beginning_balance - PreV_ETB differs from beginning_balance",IF(AND(ISNUMBER(O325),O325&lt;0,ABS(L325-(Q325-IF(ISNUMBER(N325),N325,0)+IF(ISNUMBER(P325),P325,0)))&lt;=Summary!$B$2),"Negative realized loss not applied - check sign",IF(R325&lt;0,"Principal paid exceeds prior balance",IF(AND(L325&gt;Q325,NOT(ISNUMBER(P325))),"Balance increased but no Deferred_interest reported",IF(L325&gt;R325,"Reported balance higher than expected (missing increase/OC build)","Reported balance lower than expected (missing decrease)"))))),""))</f>
        <v/>
      </c>
    </row>
    <row r="326" customFormat="false" ht="15" hidden="false" customHeight="fals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9"/>
      <c r="L326" s="9"/>
      <c r="M326" s="9"/>
      <c r="N326" s="9"/>
      <c r="O326" s="9"/>
      <c r="P326" s="9"/>
      <c r="Q326" s="9"/>
      <c r="R326" s="9" t="str">
        <f aca="false">IF(AND(A326&lt;&gt;"",ISNUMBER(Q326),ISNUMBER(L326)),ROUND(Q326-IF(ISNUMBER(N326),N326,0)-IF(ISNUMBER(O326),O326,0)+IF(ISNUMBER(P326),P326,0),2),"")</f>
        <v/>
      </c>
      <c r="S326" s="9" t="str">
        <f aca="false">IF(R326="","",ROUND(L326-R326,2))</f>
        <v/>
      </c>
      <c r="T326" s="8" t="str">
        <f aca="false">IF(A326="","",IF(S326="","BYPASS",IF(ABS(S326)&lt;=Summary!$B$2,"PASS","FAIL")))</f>
        <v/>
      </c>
      <c r="U326" s="8" t="str">
        <f aca="false">IF(T326="BYPASS",IF(NOT(ISNUMBER(Q326)),"PreV_ETB missing","End_tr_balance missing"),IF(T326="FAIL",IF(AND(ISNUMBER(K326),ISNUMBER(L326),ABS(L326-(K326-IF(ISNUMBER(N326),N326,0)-IF(ISNUMBER(O326),O326,0)+IF(ISNUMBER(P326),P326,0)))&lt;=Summary!$B$2),"Passes using beginning_balance - PreV_ETB differs from beginning_balance",IF(AND(ISNUMBER(O326),O326&lt;0,ABS(L326-(Q326-IF(ISNUMBER(N326),N326,0)+IF(ISNUMBER(P326),P326,0)))&lt;=Summary!$B$2),"Negative realized loss not applied - check sign",IF(R326&lt;0,"Principal paid exceeds prior balance",IF(AND(L326&gt;Q326,NOT(ISNUMBER(P326))),"Balance increased but no Deferred_interest reported",IF(L326&gt;R326,"Reported balance higher than expected (missing increase/OC build)","Reported balance lower than expected (missing decrease)"))))),""))</f>
        <v/>
      </c>
    </row>
    <row r="327" customFormat="false" ht="15" hidden="false" customHeight="fals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9"/>
      <c r="L327" s="9"/>
      <c r="M327" s="9"/>
      <c r="N327" s="9"/>
      <c r="O327" s="9"/>
      <c r="P327" s="9"/>
      <c r="Q327" s="9"/>
      <c r="R327" s="9" t="str">
        <f aca="false">IF(AND(A327&lt;&gt;"",ISNUMBER(Q327),ISNUMBER(L327)),ROUND(Q327-IF(ISNUMBER(N327),N327,0)-IF(ISNUMBER(O327),O327,0)+IF(ISNUMBER(P327),P327,0),2),"")</f>
        <v/>
      </c>
      <c r="S327" s="9" t="str">
        <f aca="false">IF(R327="","",ROUND(L327-R327,2))</f>
        <v/>
      </c>
      <c r="T327" s="8" t="str">
        <f aca="false">IF(A327="","",IF(S327="","BYPASS",IF(ABS(S327)&lt;=Summary!$B$2,"PASS","FAIL")))</f>
        <v/>
      </c>
      <c r="U327" s="8" t="str">
        <f aca="false">IF(T327="BYPASS",IF(NOT(ISNUMBER(Q327)),"PreV_ETB missing","End_tr_balance missing"),IF(T327="FAIL",IF(AND(ISNUMBER(K327),ISNUMBER(L327),ABS(L327-(K327-IF(ISNUMBER(N327),N327,0)-IF(ISNUMBER(O327),O327,0)+IF(ISNUMBER(P327),P327,0)))&lt;=Summary!$B$2),"Passes using beginning_balance - PreV_ETB differs from beginning_balance",IF(AND(ISNUMBER(O327),O327&lt;0,ABS(L327-(Q327-IF(ISNUMBER(N327),N327,0)+IF(ISNUMBER(P327),P327,0)))&lt;=Summary!$B$2),"Negative realized loss not applied - check sign",IF(R327&lt;0,"Principal paid exceeds prior balance",IF(AND(L327&gt;Q327,NOT(ISNUMBER(P327))),"Balance increased but no Deferred_interest reported",IF(L327&gt;R327,"Reported balance higher than expected (missing increase/OC build)","Reported balance lower than expected (missing decrease)"))))),""))</f>
        <v/>
      </c>
    </row>
    <row r="328" customFormat="false" ht="15" hidden="false" customHeight="fals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9"/>
      <c r="L328" s="9"/>
      <c r="M328" s="9"/>
      <c r="N328" s="9"/>
      <c r="O328" s="9"/>
      <c r="P328" s="9"/>
      <c r="Q328" s="9"/>
      <c r="R328" s="9" t="str">
        <f aca="false">IF(AND(A328&lt;&gt;"",ISNUMBER(Q328),ISNUMBER(L328)),ROUND(Q328-IF(ISNUMBER(N328),N328,0)-IF(ISNUMBER(O328),O328,0)+IF(ISNUMBER(P328),P328,0),2),"")</f>
        <v/>
      </c>
      <c r="S328" s="9" t="str">
        <f aca="false">IF(R328="","",ROUND(L328-R328,2))</f>
        <v/>
      </c>
      <c r="T328" s="8" t="str">
        <f aca="false">IF(A328="","",IF(S328="","BYPASS",IF(ABS(S328)&lt;=Summary!$B$2,"PASS","FAIL")))</f>
        <v/>
      </c>
      <c r="U328" s="8" t="str">
        <f aca="false">IF(T328="BYPASS",IF(NOT(ISNUMBER(Q328)),"PreV_ETB missing","End_tr_balance missing"),IF(T328="FAIL",IF(AND(ISNUMBER(K328),ISNUMBER(L328),ABS(L328-(K328-IF(ISNUMBER(N328),N328,0)-IF(ISNUMBER(O328),O328,0)+IF(ISNUMBER(P328),P328,0)))&lt;=Summary!$B$2),"Passes using beginning_balance - PreV_ETB differs from beginning_balance",IF(AND(ISNUMBER(O328),O328&lt;0,ABS(L328-(Q328-IF(ISNUMBER(N328),N328,0)+IF(ISNUMBER(P328),P328,0)))&lt;=Summary!$B$2),"Negative realized loss not applied - check sign",IF(R328&lt;0,"Principal paid exceeds prior balance",IF(AND(L328&gt;Q328,NOT(ISNUMBER(P328))),"Balance increased but no Deferred_interest reported",IF(L328&gt;R328,"Reported balance higher than expected (missing increase/OC build)","Reported balance lower than expected (missing decrease)"))))),""))</f>
        <v/>
      </c>
    </row>
    <row r="329" customFormat="false" ht="15" hidden="false" customHeight="fals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9"/>
      <c r="L329" s="9"/>
      <c r="M329" s="9"/>
      <c r="N329" s="9"/>
      <c r="O329" s="9"/>
      <c r="P329" s="9"/>
      <c r="Q329" s="9"/>
      <c r="R329" s="9" t="str">
        <f aca="false">IF(AND(A329&lt;&gt;"",ISNUMBER(Q329),ISNUMBER(L329)),ROUND(Q329-IF(ISNUMBER(N329),N329,0)-IF(ISNUMBER(O329),O329,0)+IF(ISNUMBER(P329),P329,0),2),"")</f>
        <v/>
      </c>
      <c r="S329" s="9" t="str">
        <f aca="false">IF(R329="","",ROUND(L329-R329,2))</f>
        <v/>
      </c>
      <c r="T329" s="8" t="str">
        <f aca="false">IF(A329="","",IF(S329="","BYPASS",IF(ABS(S329)&lt;=Summary!$B$2,"PASS","FAIL")))</f>
        <v/>
      </c>
      <c r="U329" s="8" t="str">
        <f aca="false">IF(T329="BYPASS",IF(NOT(ISNUMBER(Q329)),"PreV_ETB missing","End_tr_balance missing"),IF(T329="FAIL",IF(AND(ISNUMBER(K329),ISNUMBER(L329),ABS(L329-(K329-IF(ISNUMBER(N329),N329,0)-IF(ISNUMBER(O329),O329,0)+IF(ISNUMBER(P329),P329,0)))&lt;=Summary!$B$2),"Passes using beginning_balance - PreV_ETB differs from beginning_balance",IF(AND(ISNUMBER(O329),O329&lt;0,ABS(L329-(Q329-IF(ISNUMBER(N329),N329,0)+IF(ISNUMBER(P329),P329,0)))&lt;=Summary!$B$2),"Negative realized loss not applied - check sign",IF(R329&lt;0,"Principal paid exceeds prior balance",IF(AND(L329&gt;Q329,NOT(ISNUMBER(P329))),"Balance increased but no Deferred_interest reported",IF(L329&gt;R329,"Reported balance higher than expected (missing increase/OC build)","Reported balance lower than expected (missing decrease)"))))),""))</f>
        <v/>
      </c>
    </row>
    <row r="330" customFormat="false" ht="15" hidden="false" customHeight="fals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9"/>
      <c r="L330" s="9"/>
      <c r="M330" s="9"/>
      <c r="N330" s="9"/>
      <c r="O330" s="9"/>
      <c r="P330" s="9"/>
      <c r="Q330" s="9"/>
      <c r="R330" s="9" t="str">
        <f aca="false">IF(AND(A330&lt;&gt;"",ISNUMBER(Q330),ISNUMBER(L330)),ROUND(Q330-IF(ISNUMBER(N330),N330,0)-IF(ISNUMBER(O330),O330,0)+IF(ISNUMBER(P330),P330,0),2),"")</f>
        <v/>
      </c>
      <c r="S330" s="9" t="str">
        <f aca="false">IF(R330="","",ROUND(L330-R330,2))</f>
        <v/>
      </c>
      <c r="T330" s="8" t="str">
        <f aca="false">IF(A330="","",IF(S330="","BYPASS",IF(ABS(S330)&lt;=Summary!$B$2,"PASS","FAIL")))</f>
        <v/>
      </c>
      <c r="U330" s="8" t="str">
        <f aca="false">IF(T330="BYPASS",IF(NOT(ISNUMBER(Q330)),"PreV_ETB missing","End_tr_balance missing"),IF(T330="FAIL",IF(AND(ISNUMBER(K330),ISNUMBER(L330),ABS(L330-(K330-IF(ISNUMBER(N330),N330,0)-IF(ISNUMBER(O330),O330,0)+IF(ISNUMBER(P330),P330,0)))&lt;=Summary!$B$2),"Passes using beginning_balance - PreV_ETB differs from beginning_balance",IF(AND(ISNUMBER(O330),O330&lt;0,ABS(L330-(Q330-IF(ISNUMBER(N330),N330,0)+IF(ISNUMBER(P330),P330,0)))&lt;=Summary!$B$2),"Negative realized loss not applied - check sign",IF(R330&lt;0,"Principal paid exceeds prior balance",IF(AND(L330&gt;Q330,NOT(ISNUMBER(P330))),"Balance increased but no Deferred_interest reported",IF(L330&gt;R330,"Reported balance higher than expected (missing increase/OC build)","Reported balance lower than expected (missing decrease)"))))),""))</f>
        <v/>
      </c>
    </row>
    <row r="331" customFormat="false" ht="15" hidden="false" customHeight="fals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9"/>
      <c r="L331" s="9"/>
      <c r="M331" s="9"/>
      <c r="N331" s="9"/>
      <c r="O331" s="9"/>
      <c r="P331" s="9"/>
      <c r="Q331" s="9"/>
      <c r="R331" s="9" t="str">
        <f aca="false">IF(AND(A331&lt;&gt;"",ISNUMBER(Q331),ISNUMBER(L331)),ROUND(Q331-IF(ISNUMBER(N331),N331,0)-IF(ISNUMBER(O331),O331,0)+IF(ISNUMBER(P331),P331,0),2),"")</f>
        <v/>
      </c>
      <c r="S331" s="9" t="str">
        <f aca="false">IF(R331="","",ROUND(L331-R331,2))</f>
        <v/>
      </c>
      <c r="T331" s="8" t="str">
        <f aca="false">IF(A331="","",IF(S331="","BYPASS",IF(ABS(S331)&lt;=Summary!$B$2,"PASS","FAIL")))</f>
        <v/>
      </c>
      <c r="U331" s="8" t="str">
        <f aca="false">IF(T331="BYPASS",IF(NOT(ISNUMBER(Q331)),"PreV_ETB missing","End_tr_balance missing"),IF(T331="FAIL",IF(AND(ISNUMBER(K331),ISNUMBER(L331),ABS(L331-(K331-IF(ISNUMBER(N331),N331,0)-IF(ISNUMBER(O331),O331,0)+IF(ISNUMBER(P331),P331,0)))&lt;=Summary!$B$2),"Passes using beginning_balance - PreV_ETB differs from beginning_balance",IF(AND(ISNUMBER(O331),O331&lt;0,ABS(L331-(Q331-IF(ISNUMBER(N331),N331,0)+IF(ISNUMBER(P331),P331,0)))&lt;=Summary!$B$2),"Negative realized loss not applied - check sign",IF(R331&lt;0,"Principal paid exceeds prior balance",IF(AND(L331&gt;Q331,NOT(ISNUMBER(P331))),"Balance increased but no Deferred_interest reported",IF(L331&gt;R331,"Reported balance higher than expected (missing increase/OC build)","Reported balance lower than expected (missing decrease)"))))),""))</f>
        <v/>
      </c>
    </row>
    <row r="332" customFormat="false" ht="15" hidden="false" customHeight="fals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9"/>
      <c r="L332" s="9"/>
      <c r="M332" s="9"/>
      <c r="N332" s="9"/>
      <c r="O332" s="9"/>
      <c r="P332" s="9"/>
      <c r="Q332" s="9"/>
      <c r="R332" s="9" t="str">
        <f aca="false">IF(AND(A332&lt;&gt;"",ISNUMBER(Q332),ISNUMBER(L332)),ROUND(Q332-IF(ISNUMBER(N332),N332,0)-IF(ISNUMBER(O332),O332,0)+IF(ISNUMBER(P332),P332,0),2),"")</f>
        <v/>
      </c>
      <c r="S332" s="9" t="str">
        <f aca="false">IF(R332="","",ROUND(L332-R332,2))</f>
        <v/>
      </c>
      <c r="T332" s="8" t="str">
        <f aca="false">IF(A332="","",IF(S332="","BYPASS",IF(ABS(S332)&lt;=Summary!$B$2,"PASS","FAIL")))</f>
        <v/>
      </c>
      <c r="U332" s="8" t="str">
        <f aca="false">IF(T332="BYPASS",IF(NOT(ISNUMBER(Q332)),"PreV_ETB missing","End_tr_balance missing"),IF(T332="FAIL",IF(AND(ISNUMBER(K332),ISNUMBER(L332),ABS(L332-(K332-IF(ISNUMBER(N332),N332,0)-IF(ISNUMBER(O332),O332,0)+IF(ISNUMBER(P332),P332,0)))&lt;=Summary!$B$2),"Passes using beginning_balance - PreV_ETB differs from beginning_balance",IF(AND(ISNUMBER(O332),O332&lt;0,ABS(L332-(Q332-IF(ISNUMBER(N332),N332,0)+IF(ISNUMBER(P332),P332,0)))&lt;=Summary!$B$2),"Negative realized loss not applied - check sign",IF(R332&lt;0,"Principal paid exceeds prior balance",IF(AND(L332&gt;Q332,NOT(ISNUMBER(P332))),"Balance increased but no Deferred_interest reported",IF(L332&gt;R332,"Reported balance higher than expected (missing increase/OC build)","Reported balance lower than expected (missing decrease)"))))),""))</f>
        <v/>
      </c>
    </row>
    <row r="333" customFormat="false" ht="15" hidden="false" customHeight="fals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9"/>
      <c r="L333" s="9"/>
      <c r="M333" s="9"/>
      <c r="N333" s="9"/>
      <c r="O333" s="9"/>
      <c r="P333" s="9"/>
      <c r="Q333" s="9"/>
      <c r="R333" s="9" t="str">
        <f aca="false">IF(AND(A333&lt;&gt;"",ISNUMBER(Q333),ISNUMBER(L333)),ROUND(Q333-IF(ISNUMBER(N333),N333,0)-IF(ISNUMBER(O333),O333,0)+IF(ISNUMBER(P333),P333,0),2),"")</f>
        <v/>
      </c>
      <c r="S333" s="9" t="str">
        <f aca="false">IF(R333="","",ROUND(L333-R333,2))</f>
        <v/>
      </c>
      <c r="T333" s="8" t="str">
        <f aca="false">IF(A333="","",IF(S333="","BYPASS",IF(ABS(S333)&lt;=Summary!$B$2,"PASS","FAIL")))</f>
        <v/>
      </c>
      <c r="U333" s="8" t="str">
        <f aca="false">IF(T333="BYPASS",IF(NOT(ISNUMBER(Q333)),"PreV_ETB missing","End_tr_balance missing"),IF(T333="FAIL",IF(AND(ISNUMBER(K333),ISNUMBER(L333),ABS(L333-(K333-IF(ISNUMBER(N333),N333,0)-IF(ISNUMBER(O333),O333,0)+IF(ISNUMBER(P333),P333,0)))&lt;=Summary!$B$2),"Passes using beginning_balance - PreV_ETB differs from beginning_balance",IF(AND(ISNUMBER(O333),O333&lt;0,ABS(L333-(Q333-IF(ISNUMBER(N333),N333,0)+IF(ISNUMBER(P333),P333,0)))&lt;=Summary!$B$2),"Negative realized loss not applied - check sign",IF(R333&lt;0,"Principal paid exceeds prior balance",IF(AND(L333&gt;Q333,NOT(ISNUMBER(P333))),"Balance increased but no Deferred_interest reported",IF(L333&gt;R333,"Reported balance higher than expected (missing increase/OC build)","Reported balance lower than expected (missing decrease)"))))),""))</f>
        <v/>
      </c>
    </row>
    <row r="334" customFormat="false" ht="15" hidden="false" customHeight="fals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9"/>
      <c r="L334" s="9"/>
      <c r="M334" s="9"/>
      <c r="N334" s="9"/>
      <c r="O334" s="9"/>
      <c r="P334" s="9"/>
      <c r="Q334" s="9"/>
      <c r="R334" s="9" t="str">
        <f aca="false">IF(AND(A334&lt;&gt;"",ISNUMBER(Q334),ISNUMBER(L334)),ROUND(Q334-IF(ISNUMBER(N334),N334,0)-IF(ISNUMBER(O334),O334,0)+IF(ISNUMBER(P334),P334,0),2),"")</f>
        <v/>
      </c>
      <c r="S334" s="9" t="str">
        <f aca="false">IF(R334="","",ROUND(L334-R334,2))</f>
        <v/>
      </c>
      <c r="T334" s="8" t="str">
        <f aca="false">IF(A334="","",IF(S334="","BYPASS",IF(ABS(S334)&lt;=Summary!$B$2,"PASS","FAIL")))</f>
        <v/>
      </c>
      <c r="U334" s="8" t="str">
        <f aca="false">IF(T334="BYPASS",IF(NOT(ISNUMBER(Q334)),"PreV_ETB missing","End_tr_balance missing"),IF(T334="FAIL",IF(AND(ISNUMBER(K334),ISNUMBER(L334),ABS(L334-(K334-IF(ISNUMBER(N334),N334,0)-IF(ISNUMBER(O334),O334,0)+IF(ISNUMBER(P334),P334,0)))&lt;=Summary!$B$2),"Passes using beginning_balance - PreV_ETB differs from beginning_balance",IF(AND(ISNUMBER(O334),O334&lt;0,ABS(L334-(Q334-IF(ISNUMBER(N334),N334,0)+IF(ISNUMBER(P334),P334,0)))&lt;=Summary!$B$2),"Negative realized loss not applied - check sign",IF(R334&lt;0,"Principal paid exceeds prior balance",IF(AND(L334&gt;Q334,NOT(ISNUMBER(P334))),"Balance increased but no Deferred_interest reported",IF(L334&gt;R334,"Reported balance higher than expected (missing increase/OC build)","Reported balance lower than expected (missing decrease)"))))),""))</f>
        <v/>
      </c>
    </row>
    <row r="335" customFormat="false" ht="15" hidden="false" customHeight="fals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9"/>
      <c r="L335" s="9"/>
      <c r="M335" s="9"/>
      <c r="N335" s="9"/>
      <c r="O335" s="9"/>
      <c r="P335" s="9"/>
      <c r="Q335" s="9"/>
      <c r="R335" s="9" t="str">
        <f aca="false">IF(AND(A335&lt;&gt;"",ISNUMBER(Q335),ISNUMBER(L335)),ROUND(Q335-IF(ISNUMBER(N335),N335,0)-IF(ISNUMBER(O335),O335,0)+IF(ISNUMBER(P335),P335,0),2),"")</f>
        <v/>
      </c>
      <c r="S335" s="9" t="str">
        <f aca="false">IF(R335="","",ROUND(L335-R335,2))</f>
        <v/>
      </c>
      <c r="T335" s="8" t="str">
        <f aca="false">IF(A335="","",IF(S335="","BYPASS",IF(ABS(S335)&lt;=Summary!$B$2,"PASS","FAIL")))</f>
        <v/>
      </c>
      <c r="U335" s="8" t="str">
        <f aca="false">IF(T335="BYPASS",IF(NOT(ISNUMBER(Q335)),"PreV_ETB missing","End_tr_balance missing"),IF(T335="FAIL",IF(AND(ISNUMBER(K335),ISNUMBER(L335),ABS(L335-(K335-IF(ISNUMBER(N335),N335,0)-IF(ISNUMBER(O335),O335,0)+IF(ISNUMBER(P335),P335,0)))&lt;=Summary!$B$2),"Passes using beginning_balance - PreV_ETB differs from beginning_balance",IF(AND(ISNUMBER(O335),O335&lt;0,ABS(L335-(Q335-IF(ISNUMBER(N335),N335,0)+IF(ISNUMBER(P335),P335,0)))&lt;=Summary!$B$2),"Negative realized loss not applied - check sign",IF(R335&lt;0,"Principal paid exceeds prior balance",IF(AND(L335&gt;Q335,NOT(ISNUMBER(P335))),"Balance increased but no Deferred_interest reported",IF(L335&gt;R335,"Reported balance higher than expected (missing increase/OC build)","Reported balance lower than expected (missing decrease)"))))),""))</f>
        <v/>
      </c>
    </row>
    <row r="336" customFormat="false" ht="15" hidden="false" customHeight="fals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9"/>
      <c r="L336" s="9"/>
      <c r="M336" s="9"/>
      <c r="N336" s="9"/>
      <c r="O336" s="9"/>
      <c r="P336" s="9"/>
      <c r="Q336" s="9"/>
      <c r="R336" s="9" t="str">
        <f aca="false">IF(AND(A336&lt;&gt;"",ISNUMBER(Q336),ISNUMBER(L336)),ROUND(Q336-IF(ISNUMBER(N336),N336,0)-IF(ISNUMBER(O336),O336,0)+IF(ISNUMBER(P336),P336,0),2),"")</f>
        <v/>
      </c>
      <c r="S336" s="9" t="str">
        <f aca="false">IF(R336="","",ROUND(L336-R336,2))</f>
        <v/>
      </c>
      <c r="T336" s="8" t="str">
        <f aca="false">IF(A336="","",IF(S336="","BYPASS",IF(ABS(S336)&lt;=Summary!$B$2,"PASS","FAIL")))</f>
        <v/>
      </c>
      <c r="U336" s="8" t="str">
        <f aca="false">IF(T336="BYPASS",IF(NOT(ISNUMBER(Q336)),"PreV_ETB missing","End_tr_balance missing"),IF(T336="FAIL",IF(AND(ISNUMBER(K336),ISNUMBER(L336),ABS(L336-(K336-IF(ISNUMBER(N336),N336,0)-IF(ISNUMBER(O336),O336,0)+IF(ISNUMBER(P336),P336,0)))&lt;=Summary!$B$2),"Passes using beginning_balance - PreV_ETB differs from beginning_balance",IF(AND(ISNUMBER(O336),O336&lt;0,ABS(L336-(Q336-IF(ISNUMBER(N336),N336,0)+IF(ISNUMBER(P336),P336,0)))&lt;=Summary!$B$2),"Negative realized loss not applied - check sign",IF(R336&lt;0,"Principal paid exceeds prior balance",IF(AND(L336&gt;Q336,NOT(ISNUMBER(P336))),"Balance increased but no Deferred_interest reported",IF(L336&gt;R336,"Reported balance higher than expected (missing increase/OC build)","Reported balance lower than expected (missing decrease)"))))),""))</f>
        <v/>
      </c>
    </row>
    <row r="337" customFormat="false" ht="15" hidden="false" customHeight="fals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9"/>
      <c r="L337" s="9"/>
      <c r="M337" s="9"/>
      <c r="N337" s="9"/>
      <c r="O337" s="9"/>
      <c r="P337" s="9"/>
      <c r="Q337" s="9"/>
      <c r="R337" s="9" t="str">
        <f aca="false">IF(AND(A337&lt;&gt;"",ISNUMBER(Q337),ISNUMBER(L337)),ROUND(Q337-IF(ISNUMBER(N337),N337,0)-IF(ISNUMBER(O337),O337,0)+IF(ISNUMBER(P337),P337,0),2),"")</f>
        <v/>
      </c>
      <c r="S337" s="9" t="str">
        <f aca="false">IF(R337="","",ROUND(L337-R337,2))</f>
        <v/>
      </c>
      <c r="T337" s="8" t="str">
        <f aca="false">IF(A337="","",IF(S337="","BYPASS",IF(ABS(S337)&lt;=Summary!$B$2,"PASS","FAIL")))</f>
        <v/>
      </c>
      <c r="U337" s="8" t="str">
        <f aca="false">IF(T337="BYPASS",IF(NOT(ISNUMBER(Q337)),"PreV_ETB missing","End_tr_balance missing"),IF(T337="FAIL",IF(AND(ISNUMBER(K337),ISNUMBER(L337),ABS(L337-(K337-IF(ISNUMBER(N337),N337,0)-IF(ISNUMBER(O337),O337,0)+IF(ISNUMBER(P337),P337,0)))&lt;=Summary!$B$2),"Passes using beginning_balance - PreV_ETB differs from beginning_balance",IF(AND(ISNUMBER(O337),O337&lt;0,ABS(L337-(Q337-IF(ISNUMBER(N337),N337,0)+IF(ISNUMBER(P337),P337,0)))&lt;=Summary!$B$2),"Negative realized loss not applied - check sign",IF(R337&lt;0,"Principal paid exceeds prior balance",IF(AND(L337&gt;Q337,NOT(ISNUMBER(P337))),"Balance increased but no Deferred_interest reported",IF(L337&gt;R337,"Reported balance higher than expected (missing increase/OC build)","Reported balance lower than expected (missing decrease)"))))),""))</f>
        <v/>
      </c>
    </row>
    <row r="338" customFormat="false" ht="15" hidden="false" customHeight="fals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9"/>
      <c r="L338" s="9"/>
      <c r="M338" s="9"/>
      <c r="N338" s="9"/>
      <c r="O338" s="9"/>
      <c r="P338" s="9"/>
      <c r="Q338" s="9"/>
      <c r="R338" s="9" t="str">
        <f aca="false">IF(AND(A338&lt;&gt;"",ISNUMBER(Q338),ISNUMBER(L338)),ROUND(Q338-IF(ISNUMBER(N338),N338,0)-IF(ISNUMBER(O338),O338,0)+IF(ISNUMBER(P338),P338,0),2),"")</f>
        <v/>
      </c>
      <c r="S338" s="9" t="str">
        <f aca="false">IF(R338="","",ROUND(L338-R338,2))</f>
        <v/>
      </c>
      <c r="T338" s="8" t="str">
        <f aca="false">IF(A338="","",IF(S338="","BYPASS",IF(ABS(S338)&lt;=Summary!$B$2,"PASS","FAIL")))</f>
        <v/>
      </c>
      <c r="U338" s="8" t="str">
        <f aca="false">IF(T338="BYPASS",IF(NOT(ISNUMBER(Q338)),"PreV_ETB missing","End_tr_balance missing"),IF(T338="FAIL",IF(AND(ISNUMBER(K338),ISNUMBER(L338),ABS(L338-(K338-IF(ISNUMBER(N338),N338,0)-IF(ISNUMBER(O338),O338,0)+IF(ISNUMBER(P338),P338,0)))&lt;=Summary!$B$2),"Passes using beginning_balance - PreV_ETB differs from beginning_balance",IF(AND(ISNUMBER(O338),O338&lt;0,ABS(L338-(Q338-IF(ISNUMBER(N338),N338,0)+IF(ISNUMBER(P338),P338,0)))&lt;=Summary!$B$2),"Negative realized loss not applied - check sign",IF(R338&lt;0,"Principal paid exceeds prior balance",IF(AND(L338&gt;Q338,NOT(ISNUMBER(P338))),"Balance increased but no Deferred_interest reported",IF(L338&gt;R338,"Reported balance higher than expected (missing increase/OC build)","Reported balance lower than expected (missing decrease)"))))),""))</f>
        <v/>
      </c>
    </row>
    <row r="339" customFormat="false" ht="15" hidden="false" customHeight="fals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9"/>
      <c r="L339" s="9"/>
      <c r="M339" s="9"/>
      <c r="N339" s="9"/>
      <c r="O339" s="9"/>
      <c r="P339" s="9"/>
      <c r="Q339" s="9"/>
      <c r="R339" s="9" t="str">
        <f aca="false">IF(AND(A339&lt;&gt;"",ISNUMBER(Q339),ISNUMBER(L339)),ROUND(Q339-IF(ISNUMBER(N339),N339,0)-IF(ISNUMBER(O339),O339,0)+IF(ISNUMBER(P339),P339,0),2),"")</f>
        <v/>
      </c>
      <c r="S339" s="9" t="str">
        <f aca="false">IF(R339="","",ROUND(L339-R339,2))</f>
        <v/>
      </c>
      <c r="T339" s="8" t="str">
        <f aca="false">IF(A339="","",IF(S339="","BYPASS",IF(ABS(S339)&lt;=Summary!$B$2,"PASS","FAIL")))</f>
        <v/>
      </c>
      <c r="U339" s="8" t="str">
        <f aca="false">IF(T339="BYPASS",IF(NOT(ISNUMBER(Q339)),"PreV_ETB missing","End_tr_balance missing"),IF(T339="FAIL",IF(AND(ISNUMBER(K339),ISNUMBER(L339),ABS(L339-(K339-IF(ISNUMBER(N339),N339,0)-IF(ISNUMBER(O339),O339,0)+IF(ISNUMBER(P339),P339,0)))&lt;=Summary!$B$2),"Passes using beginning_balance - PreV_ETB differs from beginning_balance",IF(AND(ISNUMBER(O339),O339&lt;0,ABS(L339-(Q339-IF(ISNUMBER(N339),N339,0)+IF(ISNUMBER(P339),P339,0)))&lt;=Summary!$B$2),"Negative realized loss not applied - check sign",IF(R339&lt;0,"Principal paid exceeds prior balance",IF(AND(L339&gt;Q339,NOT(ISNUMBER(P339))),"Balance increased but no Deferred_interest reported",IF(L339&gt;R339,"Reported balance higher than expected (missing increase/OC build)","Reported balance lower than expected (missing decrease)"))))),""))</f>
        <v/>
      </c>
    </row>
    <row r="340" customFormat="false" ht="15" hidden="false" customHeight="fals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9"/>
      <c r="L340" s="9"/>
      <c r="M340" s="9"/>
      <c r="N340" s="9"/>
      <c r="O340" s="9"/>
      <c r="P340" s="9"/>
      <c r="Q340" s="9"/>
      <c r="R340" s="9" t="str">
        <f aca="false">IF(AND(A340&lt;&gt;"",ISNUMBER(Q340),ISNUMBER(L340)),ROUND(Q340-IF(ISNUMBER(N340),N340,0)-IF(ISNUMBER(O340),O340,0)+IF(ISNUMBER(P340),P340,0),2),"")</f>
        <v/>
      </c>
      <c r="S340" s="9" t="str">
        <f aca="false">IF(R340="","",ROUND(L340-R340,2))</f>
        <v/>
      </c>
      <c r="T340" s="8" t="str">
        <f aca="false">IF(A340="","",IF(S340="","BYPASS",IF(ABS(S340)&lt;=Summary!$B$2,"PASS","FAIL")))</f>
        <v/>
      </c>
      <c r="U340" s="8" t="str">
        <f aca="false">IF(T340="BYPASS",IF(NOT(ISNUMBER(Q340)),"PreV_ETB missing","End_tr_balance missing"),IF(T340="FAIL",IF(AND(ISNUMBER(K340),ISNUMBER(L340),ABS(L340-(K340-IF(ISNUMBER(N340),N340,0)-IF(ISNUMBER(O340),O340,0)+IF(ISNUMBER(P340),P340,0)))&lt;=Summary!$B$2),"Passes using beginning_balance - PreV_ETB differs from beginning_balance",IF(AND(ISNUMBER(O340),O340&lt;0,ABS(L340-(Q340-IF(ISNUMBER(N340),N340,0)+IF(ISNUMBER(P340),P340,0)))&lt;=Summary!$B$2),"Negative realized loss not applied - check sign",IF(R340&lt;0,"Principal paid exceeds prior balance",IF(AND(L340&gt;Q340,NOT(ISNUMBER(P340))),"Balance increased but no Deferred_interest reported",IF(L340&gt;R340,"Reported balance higher than expected (missing increase/OC build)","Reported balance lower than expected (missing decrease)"))))),""))</f>
        <v/>
      </c>
    </row>
    <row r="341" customFormat="false" ht="15" hidden="false" customHeight="fals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9"/>
      <c r="L341" s="9"/>
      <c r="M341" s="9"/>
      <c r="N341" s="9"/>
      <c r="O341" s="9"/>
      <c r="P341" s="9"/>
      <c r="Q341" s="9"/>
      <c r="R341" s="9" t="str">
        <f aca="false">IF(AND(A341&lt;&gt;"",ISNUMBER(Q341),ISNUMBER(L341)),ROUND(Q341-IF(ISNUMBER(N341),N341,0)-IF(ISNUMBER(O341),O341,0)+IF(ISNUMBER(P341),P341,0),2),"")</f>
        <v/>
      </c>
      <c r="S341" s="9" t="str">
        <f aca="false">IF(R341="","",ROUND(L341-R341,2))</f>
        <v/>
      </c>
      <c r="T341" s="8" t="str">
        <f aca="false">IF(A341="","",IF(S341="","BYPASS",IF(ABS(S341)&lt;=Summary!$B$2,"PASS","FAIL")))</f>
        <v/>
      </c>
      <c r="U341" s="8" t="str">
        <f aca="false">IF(T341="BYPASS",IF(NOT(ISNUMBER(Q341)),"PreV_ETB missing","End_tr_balance missing"),IF(T341="FAIL",IF(AND(ISNUMBER(K341),ISNUMBER(L341),ABS(L341-(K341-IF(ISNUMBER(N341),N341,0)-IF(ISNUMBER(O341),O341,0)+IF(ISNUMBER(P341),P341,0)))&lt;=Summary!$B$2),"Passes using beginning_balance - PreV_ETB differs from beginning_balance",IF(AND(ISNUMBER(O341),O341&lt;0,ABS(L341-(Q341-IF(ISNUMBER(N341),N341,0)+IF(ISNUMBER(P341),P341,0)))&lt;=Summary!$B$2),"Negative realized loss not applied - check sign",IF(R341&lt;0,"Principal paid exceeds prior balance",IF(AND(L341&gt;Q341,NOT(ISNUMBER(P341))),"Balance increased but no Deferred_interest reported",IF(L341&gt;R341,"Reported balance higher than expected (missing increase/OC build)","Reported balance lower than expected (missing decrease)"))))),""))</f>
        <v/>
      </c>
    </row>
    <row r="342" customFormat="false" ht="15" hidden="false" customHeight="fals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9"/>
      <c r="L342" s="9"/>
      <c r="M342" s="9"/>
      <c r="N342" s="9"/>
      <c r="O342" s="9"/>
      <c r="P342" s="9"/>
      <c r="Q342" s="9"/>
      <c r="R342" s="9" t="str">
        <f aca="false">IF(AND(A342&lt;&gt;"",ISNUMBER(Q342),ISNUMBER(L342)),ROUND(Q342-IF(ISNUMBER(N342),N342,0)-IF(ISNUMBER(O342),O342,0)+IF(ISNUMBER(P342),P342,0),2),"")</f>
        <v/>
      </c>
      <c r="S342" s="9" t="str">
        <f aca="false">IF(R342="","",ROUND(L342-R342,2))</f>
        <v/>
      </c>
      <c r="T342" s="8" t="str">
        <f aca="false">IF(A342="","",IF(S342="","BYPASS",IF(ABS(S342)&lt;=Summary!$B$2,"PASS","FAIL")))</f>
        <v/>
      </c>
      <c r="U342" s="8" t="str">
        <f aca="false">IF(T342="BYPASS",IF(NOT(ISNUMBER(Q342)),"PreV_ETB missing","End_tr_balance missing"),IF(T342="FAIL",IF(AND(ISNUMBER(K342),ISNUMBER(L342),ABS(L342-(K342-IF(ISNUMBER(N342),N342,0)-IF(ISNUMBER(O342),O342,0)+IF(ISNUMBER(P342),P342,0)))&lt;=Summary!$B$2),"Passes using beginning_balance - PreV_ETB differs from beginning_balance",IF(AND(ISNUMBER(O342),O342&lt;0,ABS(L342-(Q342-IF(ISNUMBER(N342),N342,0)+IF(ISNUMBER(P342),P342,0)))&lt;=Summary!$B$2),"Negative realized loss not applied - check sign",IF(R342&lt;0,"Principal paid exceeds prior balance",IF(AND(L342&gt;Q342,NOT(ISNUMBER(P342))),"Balance increased but no Deferred_interest reported",IF(L342&gt;R342,"Reported balance higher than expected (missing increase/OC build)","Reported balance lower than expected (missing decrease)"))))),""))</f>
        <v/>
      </c>
    </row>
    <row r="343" customFormat="false" ht="15" hidden="false" customHeight="fals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9"/>
      <c r="L343" s="9"/>
      <c r="M343" s="9"/>
      <c r="N343" s="9"/>
      <c r="O343" s="9"/>
      <c r="P343" s="9"/>
      <c r="Q343" s="9"/>
      <c r="R343" s="9" t="str">
        <f aca="false">IF(AND(A343&lt;&gt;"",ISNUMBER(Q343),ISNUMBER(L343)),ROUND(Q343-IF(ISNUMBER(N343),N343,0)-IF(ISNUMBER(O343),O343,0)+IF(ISNUMBER(P343),P343,0),2),"")</f>
        <v/>
      </c>
      <c r="S343" s="9" t="str">
        <f aca="false">IF(R343="","",ROUND(L343-R343,2))</f>
        <v/>
      </c>
      <c r="T343" s="8" t="str">
        <f aca="false">IF(A343="","",IF(S343="","BYPASS",IF(ABS(S343)&lt;=Summary!$B$2,"PASS","FAIL")))</f>
        <v/>
      </c>
      <c r="U343" s="8" t="str">
        <f aca="false">IF(T343="BYPASS",IF(NOT(ISNUMBER(Q343)),"PreV_ETB missing","End_tr_balance missing"),IF(T343="FAIL",IF(AND(ISNUMBER(K343),ISNUMBER(L343),ABS(L343-(K343-IF(ISNUMBER(N343),N343,0)-IF(ISNUMBER(O343),O343,0)+IF(ISNUMBER(P343),P343,0)))&lt;=Summary!$B$2),"Passes using beginning_balance - PreV_ETB differs from beginning_balance",IF(AND(ISNUMBER(O343),O343&lt;0,ABS(L343-(Q343-IF(ISNUMBER(N343),N343,0)+IF(ISNUMBER(P343),P343,0)))&lt;=Summary!$B$2),"Negative realized loss not applied - check sign",IF(R343&lt;0,"Principal paid exceeds prior balance",IF(AND(L343&gt;Q343,NOT(ISNUMBER(P343))),"Balance increased but no Deferred_interest reported",IF(L343&gt;R343,"Reported balance higher than expected (missing increase/OC build)","Reported balance lower than expected (missing decrease)"))))),""))</f>
        <v/>
      </c>
    </row>
    <row r="344" customFormat="false" ht="15" hidden="false" customHeight="fals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9"/>
      <c r="L344" s="9"/>
      <c r="M344" s="9"/>
      <c r="N344" s="9"/>
      <c r="O344" s="9"/>
      <c r="P344" s="9"/>
      <c r="Q344" s="9"/>
      <c r="R344" s="9" t="str">
        <f aca="false">IF(AND(A344&lt;&gt;"",ISNUMBER(Q344),ISNUMBER(L344)),ROUND(Q344-IF(ISNUMBER(N344),N344,0)-IF(ISNUMBER(O344),O344,0)+IF(ISNUMBER(P344),P344,0),2),"")</f>
        <v/>
      </c>
      <c r="S344" s="9" t="str">
        <f aca="false">IF(R344="","",ROUND(L344-R344,2))</f>
        <v/>
      </c>
      <c r="T344" s="8" t="str">
        <f aca="false">IF(A344="","",IF(S344="","BYPASS",IF(ABS(S344)&lt;=Summary!$B$2,"PASS","FAIL")))</f>
        <v/>
      </c>
      <c r="U344" s="8" t="str">
        <f aca="false">IF(T344="BYPASS",IF(NOT(ISNUMBER(Q344)),"PreV_ETB missing","End_tr_balance missing"),IF(T344="FAIL",IF(AND(ISNUMBER(K344),ISNUMBER(L344),ABS(L344-(K344-IF(ISNUMBER(N344),N344,0)-IF(ISNUMBER(O344),O344,0)+IF(ISNUMBER(P344),P344,0)))&lt;=Summary!$B$2),"Passes using beginning_balance - PreV_ETB differs from beginning_balance",IF(AND(ISNUMBER(O344),O344&lt;0,ABS(L344-(Q344-IF(ISNUMBER(N344),N344,0)+IF(ISNUMBER(P344),P344,0)))&lt;=Summary!$B$2),"Negative realized loss not applied - check sign",IF(R344&lt;0,"Principal paid exceeds prior balance",IF(AND(L344&gt;Q344,NOT(ISNUMBER(P344))),"Balance increased but no Deferred_interest reported",IF(L344&gt;R344,"Reported balance higher than expected (missing increase/OC build)","Reported balance lower than expected (missing decrease)"))))),""))</f>
        <v/>
      </c>
    </row>
    <row r="345" customFormat="false" ht="15" hidden="false" customHeight="fals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9"/>
      <c r="L345" s="9"/>
      <c r="M345" s="9"/>
      <c r="N345" s="9"/>
      <c r="O345" s="9"/>
      <c r="P345" s="9"/>
      <c r="Q345" s="9"/>
      <c r="R345" s="9" t="str">
        <f aca="false">IF(AND(A345&lt;&gt;"",ISNUMBER(Q345),ISNUMBER(L345)),ROUND(Q345-IF(ISNUMBER(N345),N345,0)-IF(ISNUMBER(O345),O345,0)+IF(ISNUMBER(P345),P345,0),2),"")</f>
        <v/>
      </c>
      <c r="S345" s="9" t="str">
        <f aca="false">IF(R345="","",ROUND(L345-R345,2))</f>
        <v/>
      </c>
      <c r="T345" s="8" t="str">
        <f aca="false">IF(A345="","",IF(S345="","BYPASS",IF(ABS(S345)&lt;=Summary!$B$2,"PASS","FAIL")))</f>
        <v/>
      </c>
      <c r="U345" s="8" t="str">
        <f aca="false">IF(T345="BYPASS",IF(NOT(ISNUMBER(Q345)),"PreV_ETB missing","End_tr_balance missing"),IF(T345="FAIL",IF(AND(ISNUMBER(K345),ISNUMBER(L345),ABS(L345-(K345-IF(ISNUMBER(N345),N345,0)-IF(ISNUMBER(O345),O345,0)+IF(ISNUMBER(P345),P345,0)))&lt;=Summary!$B$2),"Passes using beginning_balance - PreV_ETB differs from beginning_balance",IF(AND(ISNUMBER(O345),O345&lt;0,ABS(L345-(Q345-IF(ISNUMBER(N345),N345,0)+IF(ISNUMBER(P345),P345,0)))&lt;=Summary!$B$2),"Negative realized loss not applied - check sign",IF(R345&lt;0,"Principal paid exceeds prior balance",IF(AND(L345&gt;Q345,NOT(ISNUMBER(P345))),"Balance increased but no Deferred_interest reported",IF(L345&gt;R345,"Reported balance higher than expected (missing increase/OC build)","Reported balance lower than expected (missing decrease)"))))),""))</f>
        <v/>
      </c>
    </row>
    <row r="346" customFormat="false" ht="15" hidden="false" customHeight="fals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9"/>
      <c r="L346" s="9"/>
      <c r="M346" s="9"/>
      <c r="N346" s="9"/>
      <c r="O346" s="9"/>
      <c r="P346" s="9"/>
      <c r="Q346" s="9"/>
      <c r="R346" s="9" t="str">
        <f aca="false">IF(AND(A346&lt;&gt;"",ISNUMBER(Q346),ISNUMBER(L346)),ROUND(Q346-IF(ISNUMBER(N346),N346,0)-IF(ISNUMBER(O346),O346,0)+IF(ISNUMBER(P346),P346,0),2),"")</f>
        <v/>
      </c>
      <c r="S346" s="9" t="str">
        <f aca="false">IF(R346="","",ROUND(L346-R346,2))</f>
        <v/>
      </c>
      <c r="T346" s="8" t="str">
        <f aca="false">IF(A346="","",IF(S346="","BYPASS",IF(ABS(S346)&lt;=Summary!$B$2,"PASS","FAIL")))</f>
        <v/>
      </c>
      <c r="U346" s="8" t="str">
        <f aca="false">IF(T346="BYPASS",IF(NOT(ISNUMBER(Q346)),"PreV_ETB missing","End_tr_balance missing"),IF(T346="FAIL",IF(AND(ISNUMBER(K346),ISNUMBER(L346),ABS(L346-(K346-IF(ISNUMBER(N346),N346,0)-IF(ISNUMBER(O346),O346,0)+IF(ISNUMBER(P346),P346,0)))&lt;=Summary!$B$2),"Passes using beginning_balance - PreV_ETB differs from beginning_balance",IF(AND(ISNUMBER(O346),O346&lt;0,ABS(L346-(Q346-IF(ISNUMBER(N346),N346,0)+IF(ISNUMBER(P346),P346,0)))&lt;=Summary!$B$2),"Negative realized loss not applied - check sign",IF(R346&lt;0,"Principal paid exceeds prior balance",IF(AND(L346&gt;Q346,NOT(ISNUMBER(P346))),"Balance increased but no Deferred_interest reported",IF(L346&gt;R346,"Reported balance higher than expected (missing increase/OC build)","Reported balance lower than expected (missing decrease)"))))),""))</f>
        <v/>
      </c>
    </row>
    <row r="347" customFormat="false" ht="15" hidden="false" customHeight="fals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9"/>
      <c r="L347" s="9"/>
      <c r="M347" s="9"/>
      <c r="N347" s="9"/>
      <c r="O347" s="9"/>
      <c r="P347" s="9"/>
      <c r="Q347" s="9"/>
      <c r="R347" s="9" t="str">
        <f aca="false">IF(AND(A347&lt;&gt;"",ISNUMBER(Q347),ISNUMBER(L347)),ROUND(Q347-IF(ISNUMBER(N347),N347,0)-IF(ISNUMBER(O347),O347,0)+IF(ISNUMBER(P347),P347,0),2),"")</f>
        <v/>
      </c>
      <c r="S347" s="9" t="str">
        <f aca="false">IF(R347="","",ROUND(L347-R347,2))</f>
        <v/>
      </c>
      <c r="T347" s="8" t="str">
        <f aca="false">IF(A347="","",IF(S347="","BYPASS",IF(ABS(S347)&lt;=Summary!$B$2,"PASS","FAIL")))</f>
        <v/>
      </c>
      <c r="U347" s="8" t="str">
        <f aca="false">IF(T347="BYPASS",IF(NOT(ISNUMBER(Q347)),"PreV_ETB missing","End_tr_balance missing"),IF(T347="FAIL",IF(AND(ISNUMBER(K347),ISNUMBER(L347),ABS(L347-(K347-IF(ISNUMBER(N347),N347,0)-IF(ISNUMBER(O347),O347,0)+IF(ISNUMBER(P347),P347,0)))&lt;=Summary!$B$2),"Passes using beginning_balance - PreV_ETB differs from beginning_balance",IF(AND(ISNUMBER(O347),O347&lt;0,ABS(L347-(Q347-IF(ISNUMBER(N347),N347,0)+IF(ISNUMBER(P347),P347,0)))&lt;=Summary!$B$2),"Negative realized loss not applied - check sign",IF(R347&lt;0,"Principal paid exceeds prior balance",IF(AND(L347&gt;Q347,NOT(ISNUMBER(P347))),"Balance increased but no Deferred_interest reported",IF(L347&gt;R347,"Reported balance higher than expected (missing increase/OC build)","Reported balance lower than expected (missing decrease)"))))),""))</f>
        <v/>
      </c>
    </row>
    <row r="348" customFormat="false" ht="15" hidden="false" customHeight="fals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9"/>
      <c r="L348" s="9"/>
      <c r="M348" s="9"/>
      <c r="N348" s="9"/>
      <c r="O348" s="9"/>
      <c r="P348" s="9"/>
      <c r="Q348" s="9"/>
      <c r="R348" s="9" t="str">
        <f aca="false">IF(AND(A348&lt;&gt;"",ISNUMBER(Q348),ISNUMBER(L348)),ROUND(Q348-IF(ISNUMBER(N348),N348,0)-IF(ISNUMBER(O348),O348,0)+IF(ISNUMBER(P348),P348,0),2),"")</f>
        <v/>
      </c>
      <c r="S348" s="9" t="str">
        <f aca="false">IF(R348="","",ROUND(L348-R348,2))</f>
        <v/>
      </c>
      <c r="T348" s="8" t="str">
        <f aca="false">IF(A348="","",IF(S348="","BYPASS",IF(ABS(S348)&lt;=Summary!$B$2,"PASS","FAIL")))</f>
        <v/>
      </c>
      <c r="U348" s="8" t="str">
        <f aca="false">IF(T348="BYPASS",IF(NOT(ISNUMBER(Q348)),"PreV_ETB missing","End_tr_balance missing"),IF(T348="FAIL",IF(AND(ISNUMBER(K348),ISNUMBER(L348),ABS(L348-(K348-IF(ISNUMBER(N348),N348,0)-IF(ISNUMBER(O348),O348,0)+IF(ISNUMBER(P348),P348,0)))&lt;=Summary!$B$2),"Passes using beginning_balance - PreV_ETB differs from beginning_balance",IF(AND(ISNUMBER(O348),O348&lt;0,ABS(L348-(Q348-IF(ISNUMBER(N348),N348,0)+IF(ISNUMBER(P348),P348,0)))&lt;=Summary!$B$2),"Negative realized loss not applied - check sign",IF(R348&lt;0,"Principal paid exceeds prior balance",IF(AND(L348&gt;Q348,NOT(ISNUMBER(P348))),"Balance increased but no Deferred_interest reported",IF(L348&gt;R348,"Reported balance higher than expected (missing increase/OC build)","Reported balance lower than expected (missing decrease)"))))),""))</f>
        <v/>
      </c>
    </row>
    <row r="349" customFormat="false" ht="15" hidden="false" customHeight="fals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9"/>
      <c r="L349" s="9"/>
      <c r="M349" s="9"/>
      <c r="N349" s="9"/>
      <c r="O349" s="9"/>
      <c r="P349" s="9"/>
      <c r="Q349" s="9"/>
      <c r="R349" s="9" t="str">
        <f aca="false">IF(AND(A349&lt;&gt;"",ISNUMBER(Q349),ISNUMBER(L349)),ROUND(Q349-IF(ISNUMBER(N349),N349,0)-IF(ISNUMBER(O349),O349,0)+IF(ISNUMBER(P349),P349,0),2),"")</f>
        <v/>
      </c>
      <c r="S349" s="9" t="str">
        <f aca="false">IF(R349="","",ROUND(L349-R349,2))</f>
        <v/>
      </c>
      <c r="T349" s="8" t="str">
        <f aca="false">IF(A349="","",IF(S349="","BYPASS",IF(ABS(S349)&lt;=Summary!$B$2,"PASS","FAIL")))</f>
        <v/>
      </c>
      <c r="U349" s="8" t="str">
        <f aca="false">IF(T349="BYPASS",IF(NOT(ISNUMBER(Q349)),"PreV_ETB missing","End_tr_balance missing"),IF(T349="FAIL",IF(AND(ISNUMBER(K349),ISNUMBER(L349),ABS(L349-(K349-IF(ISNUMBER(N349),N349,0)-IF(ISNUMBER(O349),O349,0)+IF(ISNUMBER(P349),P349,0)))&lt;=Summary!$B$2),"Passes using beginning_balance - PreV_ETB differs from beginning_balance",IF(AND(ISNUMBER(O349),O349&lt;0,ABS(L349-(Q349-IF(ISNUMBER(N349),N349,0)+IF(ISNUMBER(P349),P349,0)))&lt;=Summary!$B$2),"Negative realized loss not applied - check sign",IF(R349&lt;0,"Principal paid exceeds prior balance",IF(AND(L349&gt;Q349,NOT(ISNUMBER(P349))),"Balance increased but no Deferred_interest reported",IF(L349&gt;R349,"Reported balance higher than expected (missing increase/OC build)","Reported balance lower than expected (missing decrease)"))))),""))</f>
        <v/>
      </c>
    </row>
    <row r="350" customFormat="false" ht="15" hidden="false" customHeight="fals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9"/>
      <c r="L350" s="9"/>
      <c r="M350" s="9"/>
      <c r="N350" s="9"/>
      <c r="O350" s="9"/>
      <c r="P350" s="9"/>
      <c r="Q350" s="9"/>
      <c r="R350" s="9" t="str">
        <f aca="false">IF(AND(A350&lt;&gt;"",ISNUMBER(Q350),ISNUMBER(L350)),ROUND(Q350-IF(ISNUMBER(N350),N350,0)-IF(ISNUMBER(O350),O350,0)+IF(ISNUMBER(P350),P350,0),2),"")</f>
        <v/>
      </c>
      <c r="S350" s="9" t="str">
        <f aca="false">IF(R350="","",ROUND(L350-R350,2))</f>
        <v/>
      </c>
      <c r="T350" s="8" t="str">
        <f aca="false">IF(A350="","",IF(S350="","BYPASS",IF(ABS(S350)&lt;=Summary!$B$2,"PASS","FAIL")))</f>
        <v/>
      </c>
      <c r="U350" s="8" t="str">
        <f aca="false">IF(T350="BYPASS",IF(NOT(ISNUMBER(Q350)),"PreV_ETB missing","End_tr_balance missing"),IF(T350="FAIL",IF(AND(ISNUMBER(K350),ISNUMBER(L350),ABS(L350-(K350-IF(ISNUMBER(N350),N350,0)-IF(ISNUMBER(O350),O350,0)+IF(ISNUMBER(P350),P350,0)))&lt;=Summary!$B$2),"Passes using beginning_balance - PreV_ETB differs from beginning_balance",IF(AND(ISNUMBER(O350),O350&lt;0,ABS(L350-(Q350-IF(ISNUMBER(N350),N350,0)+IF(ISNUMBER(P350),P350,0)))&lt;=Summary!$B$2),"Negative realized loss not applied - check sign",IF(R350&lt;0,"Principal paid exceeds prior balance",IF(AND(L350&gt;Q350,NOT(ISNUMBER(P350))),"Balance increased but no Deferred_interest reported",IF(L350&gt;R350,"Reported balance higher than expected (missing increase/OC build)","Reported balance lower than expected (missing decrease)"))))),""))</f>
        <v/>
      </c>
    </row>
    <row r="351" customFormat="false" ht="15" hidden="false" customHeight="fals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9"/>
      <c r="L351" s="9"/>
      <c r="M351" s="9"/>
      <c r="N351" s="9"/>
      <c r="O351" s="9"/>
      <c r="P351" s="9"/>
      <c r="Q351" s="9"/>
      <c r="R351" s="9" t="str">
        <f aca="false">IF(AND(A351&lt;&gt;"",ISNUMBER(Q351),ISNUMBER(L351)),ROUND(Q351-IF(ISNUMBER(N351),N351,0)-IF(ISNUMBER(O351),O351,0)+IF(ISNUMBER(P351),P351,0),2),"")</f>
        <v/>
      </c>
      <c r="S351" s="9" t="str">
        <f aca="false">IF(R351="","",ROUND(L351-R351,2))</f>
        <v/>
      </c>
      <c r="T351" s="8" t="str">
        <f aca="false">IF(A351="","",IF(S351="","BYPASS",IF(ABS(S351)&lt;=Summary!$B$2,"PASS","FAIL")))</f>
        <v/>
      </c>
      <c r="U351" s="8" t="str">
        <f aca="false">IF(T351="BYPASS",IF(NOT(ISNUMBER(Q351)),"PreV_ETB missing","End_tr_balance missing"),IF(T351="FAIL",IF(AND(ISNUMBER(K351),ISNUMBER(L351),ABS(L351-(K351-IF(ISNUMBER(N351),N351,0)-IF(ISNUMBER(O351),O351,0)+IF(ISNUMBER(P351),P351,0)))&lt;=Summary!$B$2),"Passes using beginning_balance - PreV_ETB differs from beginning_balance",IF(AND(ISNUMBER(O351),O351&lt;0,ABS(L351-(Q351-IF(ISNUMBER(N351),N351,0)+IF(ISNUMBER(P351),P351,0)))&lt;=Summary!$B$2),"Negative realized loss not applied - check sign",IF(R351&lt;0,"Principal paid exceeds prior balance",IF(AND(L351&gt;Q351,NOT(ISNUMBER(P351))),"Balance increased but no Deferred_interest reported",IF(L351&gt;R351,"Reported balance higher than expected (missing increase/OC build)","Reported balance lower than expected (missing decrease)"))))),""))</f>
        <v/>
      </c>
    </row>
    <row r="352" customFormat="false" ht="15" hidden="false" customHeight="fals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9"/>
      <c r="L352" s="9"/>
      <c r="M352" s="9"/>
      <c r="N352" s="9"/>
      <c r="O352" s="9"/>
      <c r="P352" s="9"/>
      <c r="Q352" s="9"/>
      <c r="R352" s="9" t="str">
        <f aca="false">IF(AND(A352&lt;&gt;"",ISNUMBER(Q352),ISNUMBER(L352)),ROUND(Q352-IF(ISNUMBER(N352),N352,0)-IF(ISNUMBER(O352),O352,0)+IF(ISNUMBER(P352),P352,0),2),"")</f>
        <v/>
      </c>
      <c r="S352" s="9" t="str">
        <f aca="false">IF(R352="","",ROUND(L352-R352,2))</f>
        <v/>
      </c>
      <c r="T352" s="8" t="str">
        <f aca="false">IF(A352="","",IF(S352="","BYPASS",IF(ABS(S352)&lt;=Summary!$B$2,"PASS","FAIL")))</f>
        <v/>
      </c>
      <c r="U352" s="8" t="str">
        <f aca="false">IF(T352="BYPASS",IF(NOT(ISNUMBER(Q352)),"PreV_ETB missing","End_tr_balance missing"),IF(T352="FAIL",IF(AND(ISNUMBER(K352),ISNUMBER(L352),ABS(L352-(K352-IF(ISNUMBER(N352),N352,0)-IF(ISNUMBER(O352),O352,0)+IF(ISNUMBER(P352),P352,0)))&lt;=Summary!$B$2),"Passes using beginning_balance - PreV_ETB differs from beginning_balance",IF(AND(ISNUMBER(O352),O352&lt;0,ABS(L352-(Q352-IF(ISNUMBER(N352),N352,0)+IF(ISNUMBER(P352),P352,0)))&lt;=Summary!$B$2),"Negative realized loss not applied - check sign",IF(R352&lt;0,"Principal paid exceeds prior balance",IF(AND(L352&gt;Q352,NOT(ISNUMBER(P352))),"Balance increased but no Deferred_interest reported",IF(L352&gt;R352,"Reported balance higher than expected (missing increase/OC build)","Reported balance lower than expected (missing decrease)"))))),""))</f>
        <v/>
      </c>
    </row>
    <row r="353" customFormat="false" ht="15" hidden="false" customHeight="fals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9"/>
      <c r="L353" s="9"/>
      <c r="M353" s="9"/>
      <c r="N353" s="9"/>
      <c r="O353" s="9"/>
      <c r="P353" s="9"/>
      <c r="Q353" s="9"/>
      <c r="R353" s="9" t="str">
        <f aca="false">IF(AND(A353&lt;&gt;"",ISNUMBER(Q353),ISNUMBER(L353)),ROUND(Q353-IF(ISNUMBER(N353),N353,0)-IF(ISNUMBER(O353),O353,0)+IF(ISNUMBER(P353),P353,0),2),"")</f>
        <v/>
      </c>
      <c r="S353" s="9" t="str">
        <f aca="false">IF(R353="","",ROUND(L353-R353,2))</f>
        <v/>
      </c>
      <c r="T353" s="8" t="str">
        <f aca="false">IF(A353="","",IF(S353="","BYPASS",IF(ABS(S353)&lt;=Summary!$B$2,"PASS","FAIL")))</f>
        <v/>
      </c>
      <c r="U353" s="8" t="str">
        <f aca="false">IF(T353="BYPASS",IF(NOT(ISNUMBER(Q353)),"PreV_ETB missing","End_tr_balance missing"),IF(T353="FAIL",IF(AND(ISNUMBER(K353),ISNUMBER(L353),ABS(L353-(K353-IF(ISNUMBER(N353),N353,0)-IF(ISNUMBER(O353),O353,0)+IF(ISNUMBER(P353),P353,0)))&lt;=Summary!$B$2),"Passes using beginning_balance - PreV_ETB differs from beginning_balance",IF(AND(ISNUMBER(O353),O353&lt;0,ABS(L353-(Q353-IF(ISNUMBER(N353),N353,0)+IF(ISNUMBER(P353),P353,0)))&lt;=Summary!$B$2),"Negative realized loss not applied - check sign",IF(R353&lt;0,"Principal paid exceeds prior balance",IF(AND(L353&gt;Q353,NOT(ISNUMBER(P353))),"Balance increased but no Deferred_interest reported",IF(L353&gt;R353,"Reported balance higher than expected (missing increase/OC build)","Reported balance lower than expected (missing decrease)"))))),""))</f>
        <v/>
      </c>
    </row>
    <row r="354" customFormat="false" ht="15" hidden="false" customHeight="fals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9"/>
      <c r="L354" s="9"/>
      <c r="M354" s="9"/>
      <c r="N354" s="9"/>
      <c r="O354" s="9"/>
      <c r="P354" s="9"/>
      <c r="Q354" s="9"/>
      <c r="R354" s="9" t="str">
        <f aca="false">IF(AND(A354&lt;&gt;"",ISNUMBER(Q354),ISNUMBER(L354)),ROUND(Q354-IF(ISNUMBER(N354),N354,0)-IF(ISNUMBER(O354),O354,0)+IF(ISNUMBER(P354),P354,0),2),"")</f>
        <v/>
      </c>
      <c r="S354" s="9" t="str">
        <f aca="false">IF(R354="","",ROUND(L354-R354,2))</f>
        <v/>
      </c>
      <c r="T354" s="8" t="str">
        <f aca="false">IF(A354="","",IF(S354="","BYPASS",IF(ABS(S354)&lt;=Summary!$B$2,"PASS","FAIL")))</f>
        <v/>
      </c>
      <c r="U354" s="8" t="str">
        <f aca="false">IF(T354="BYPASS",IF(NOT(ISNUMBER(Q354)),"PreV_ETB missing","End_tr_balance missing"),IF(T354="FAIL",IF(AND(ISNUMBER(K354),ISNUMBER(L354),ABS(L354-(K354-IF(ISNUMBER(N354),N354,0)-IF(ISNUMBER(O354),O354,0)+IF(ISNUMBER(P354),P354,0)))&lt;=Summary!$B$2),"Passes using beginning_balance - PreV_ETB differs from beginning_balance",IF(AND(ISNUMBER(O354),O354&lt;0,ABS(L354-(Q354-IF(ISNUMBER(N354),N354,0)+IF(ISNUMBER(P354),P354,0)))&lt;=Summary!$B$2),"Negative realized loss not applied - check sign",IF(R354&lt;0,"Principal paid exceeds prior balance",IF(AND(L354&gt;Q354,NOT(ISNUMBER(P354))),"Balance increased but no Deferred_interest reported",IF(L354&gt;R354,"Reported balance higher than expected (missing increase/OC build)","Reported balance lower than expected (missing decrease)"))))),""))</f>
        <v/>
      </c>
    </row>
    <row r="355" customFormat="false" ht="15" hidden="false" customHeight="fals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9"/>
      <c r="L355" s="9"/>
      <c r="M355" s="9"/>
      <c r="N355" s="9"/>
      <c r="O355" s="9"/>
      <c r="P355" s="9"/>
      <c r="Q355" s="9"/>
      <c r="R355" s="9" t="str">
        <f aca="false">IF(AND(A355&lt;&gt;"",ISNUMBER(Q355),ISNUMBER(L355)),ROUND(Q355-IF(ISNUMBER(N355),N355,0)-IF(ISNUMBER(O355),O355,0)+IF(ISNUMBER(P355),P355,0),2),"")</f>
        <v/>
      </c>
      <c r="S355" s="9" t="str">
        <f aca="false">IF(R355="","",ROUND(L355-R355,2))</f>
        <v/>
      </c>
      <c r="T355" s="8" t="str">
        <f aca="false">IF(A355="","",IF(S355="","BYPASS",IF(ABS(S355)&lt;=Summary!$B$2,"PASS","FAIL")))</f>
        <v/>
      </c>
      <c r="U355" s="8" t="str">
        <f aca="false">IF(T355="BYPASS",IF(NOT(ISNUMBER(Q355)),"PreV_ETB missing","End_tr_balance missing"),IF(T355="FAIL",IF(AND(ISNUMBER(K355),ISNUMBER(L355),ABS(L355-(K355-IF(ISNUMBER(N355),N355,0)-IF(ISNUMBER(O355),O355,0)+IF(ISNUMBER(P355),P355,0)))&lt;=Summary!$B$2),"Passes using beginning_balance - PreV_ETB differs from beginning_balance",IF(AND(ISNUMBER(O355),O355&lt;0,ABS(L355-(Q355-IF(ISNUMBER(N355),N355,0)+IF(ISNUMBER(P355),P355,0)))&lt;=Summary!$B$2),"Negative realized loss not applied - check sign",IF(R355&lt;0,"Principal paid exceeds prior balance",IF(AND(L355&gt;Q355,NOT(ISNUMBER(P355))),"Balance increased but no Deferred_interest reported",IF(L355&gt;R355,"Reported balance higher than expected (missing increase/OC build)","Reported balance lower than expected (missing decrease)"))))),""))</f>
        <v/>
      </c>
    </row>
    <row r="356" customFormat="false" ht="15" hidden="false" customHeight="fals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9"/>
      <c r="L356" s="9"/>
      <c r="M356" s="9"/>
      <c r="N356" s="9"/>
      <c r="O356" s="9"/>
      <c r="P356" s="9"/>
      <c r="Q356" s="9"/>
      <c r="R356" s="9" t="str">
        <f aca="false">IF(AND(A356&lt;&gt;"",ISNUMBER(Q356),ISNUMBER(L356)),ROUND(Q356-IF(ISNUMBER(N356),N356,0)-IF(ISNUMBER(O356),O356,0)+IF(ISNUMBER(P356),P356,0),2),"")</f>
        <v/>
      </c>
      <c r="S356" s="9" t="str">
        <f aca="false">IF(R356="","",ROUND(L356-R356,2))</f>
        <v/>
      </c>
      <c r="T356" s="8" t="str">
        <f aca="false">IF(A356="","",IF(S356="","BYPASS",IF(ABS(S356)&lt;=Summary!$B$2,"PASS","FAIL")))</f>
        <v/>
      </c>
      <c r="U356" s="8" t="str">
        <f aca="false">IF(T356="BYPASS",IF(NOT(ISNUMBER(Q356)),"PreV_ETB missing","End_tr_balance missing"),IF(T356="FAIL",IF(AND(ISNUMBER(K356),ISNUMBER(L356),ABS(L356-(K356-IF(ISNUMBER(N356),N356,0)-IF(ISNUMBER(O356),O356,0)+IF(ISNUMBER(P356),P356,0)))&lt;=Summary!$B$2),"Passes using beginning_balance - PreV_ETB differs from beginning_balance",IF(AND(ISNUMBER(O356),O356&lt;0,ABS(L356-(Q356-IF(ISNUMBER(N356),N356,0)+IF(ISNUMBER(P356),P356,0)))&lt;=Summary!$B$2),"Negative realized loss not applied - check sign",IF(R356&lt;0,"Principal paid exceeds prior balance",IF(AND(L356&gt;Q356,NOT(ISNUMBER(P356))),"Balance increased but no Deferred_interest reported",IF(L356&gt;R356,"Reported balance higher than expected (missing increase/OC build)","Reported balance lower than expected (missing decrease)"))))),""))</f>
        <v/>
      </c>
    </row>
    <row r="357" customFormat="false" ht="15" hidden="false" customHeight="fals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9"/>
      <c r="L357" s="9"/>
      <c r="M357" s="9"/>
      <c r="N357" s="9"/>
      <c r="O357" s="9"/>
      <c r="P357" s="9"/>
      <c r="Q357" s="9"/>
      <c r="R357" s="9" t="str">
        <f aca="false">IF(AND(A357&lt;&gt;"",ISNUMBER(Q357),ISNUMBER(L357)),ROUND(Q357-IF(ISNUMBER(N357),N357,0)-IF(ISNUMBER(O357),O357,0)+IF(ISNUMBER(P357),P357,0),2),"")</f>
        <v/>
      </c>
      <c r="S357" s="9" t="str">
        <f aca="false">IF(R357="","",ROUND(L357-R357,2))</f>
        <v/>
      </c>
      <c r="T357" s="8" t="str">
        <f aca="false">IF(A357="","",IF(S357="","BYPASS",IF(ABS(S357)&lt;=Summary!$B$2,"PASS","FAIL")))</f>
        <v/>
      </c>
      <c r="U357" s="8" t="str">
        <f aca="false">IF(T357="BYPASS",IF(NOT(ISNUMBER(Q357)),"PreV_ETB missing","End_tr_balance missing"),IF(T357="FAIL",IF(AND(ISNUMBER(K357),ISNUMBER(L357),ABS(L357-(K357-IF(ISNUMBER(N357),N357,0)-IF(ISNUMBER(O357),O357,0)+IF(ISNUMBER(P357),P357,0)))&lt;=Summary!$B$2),"Passes using beginning_balance - PreV_ETB differs from beginning_balance",IF(AND(ISNUMBER(O357),O357&lt;0,ABS(L357-(Q357-IF(ISNUMBER(N357),N357,0)+IF(ISNUMBER(P357),P357,0)))&lt;=Summary!$B$2),"Negative realized loss not applied - check sign",IF(R357&lt;0,"Principal paid exceeds prior balance",IF(AND(L357&gt;Q357,NOT(ISNUMBER(P357))),"Balance increased but no Deferred_interest reported",IF(L357&gt;R357,"Reported balance higher than expected (missing increase/OC build)","Reported balance lower than expected (missing decrease)"))))),""))</f>
        <v/>
      </c>
    </row>
    <row r="358" customFormat="false" ht="15" hidden="false" customHeight="fals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9"/>
      <c r="L358" s="9"/>
      <c r="M358" s="9"/>
      <c r="N358" s="9"/>
      <c r="O358" s="9"/>
      <c r="P358" s="9"/>
      <c r="Q358" s="9"/>
      <c r="R358" s="9" t="str">
        <f aca="false">IF(AND(A358&lt;&gt;"",ISNUMBER(Q358),ISNUMBER(L358)),ROUND(Q358-IF(ISNUMBER(N358),N358,0)-IF(ISNUMBER(O358),O358,0)+IF(ISNUMBER(P358),P358,0),2),"")</f>
        <v/>
      </c>
      <c r="S358" s="9" t="str">
        <f aca="false">IF(R358="","",ROUND(L358-R358,2))</f>
        <v/>
      </c>
      <c r="T358" s="8" t="str">
        <f aca="false">IF(A358="","",IF(S358="","BYPASS",IF(ABS(S358)&lt;=Summary!$B$2,"PASS","FAIL")))</f>
        <v/>
      </c>
      <c r="U358" s="8" t="str">
        <f aca="false">IF(T358="BYPASS",IF(NOT(ISNUMBER(Q358)),"PreV_ETB missing","End_tr_balance missing"),IF(T358="FAIL",IF(AND(ISNUMBER(K358),ISNUMBER(L358),ABS(L358-(K358-IF(ISNUMBER(N358),N358,0)-IF(ISNUMBER(O358),O358,0)+IF(ISNUMBER(P358),P358,0)))&lt;=Summary!$B$2),"Passes using beginning_balance - PreV_ETB differs from beginning_balance",IF(AND(ISNUMBER(O358),O358&lt;0,ABS(L358-(Q358-IF(ISNUMBER(N358),N358,0)+IF(ISNUMBER(P358),P358,0)))&lt;=Summary!$B$2),"Negative realized loss not applied - check sign",IF(R358&lt;0,"Principal paid exceeds prior balance",IF(AND(L358&gt;Q358,NOT(ISNUMBER(P358))),"Balance increased but no Deferred_interest reported",IF(L358&gt;R358,"Reported balance higher than expected (missing increase/OC build)","Reported balance lower than expected (missing decrease)"))))),""))</f>
        <v/>
      </c>
    </row>
    <row r="359" customFormat="false" ht="15" hidden="false" customHeight="fals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9"/>
      <c r="L359" s="9"/>
      <c r="M359" s="9"/>
      <c r="N359" s="9"/>
      <c r="O359" s="9"/>
      <c r="P359" s="9"/>
      <c r="Q359" s="9"/>
      <c r="R359" s="9" t="str">
        <f aca="false">IF(AND(A359&lt;&gt;"",ISNUMBER(Q359),ISNUMBER(L359)),ROUND(Q359-IF(ISNUMBER(N359),N359,0)-IF(ISNUMBER(O359),O359,0)+IF(ISNUMBER(P359),P359,0),2),"")</f>
        <v/>
      </c>
      <c r="S359" s="9" t="str">
        <f aca="false">IF(R359="","",ROUND(L359-R359,2))</f>
        <v/>
      </c>
      <c r="T359" s="8" t="str">
        <f aca="false">IF(A359="","",IF(S359="","BYPASS",IF(ABS(S359)&lt;=Summary!$B$2,"PASS","FAIL")))</f>
        <v/>
      </c>
      <c r="U359" s="8" t="str">
        <f aca="false">IF(T359="BYPASS",IF(NOT(ISNUMBER(Q359)),"PreV_ETB missing","End_tr_balance missing"),IF(T359="FAIL",IF(AND(ISNUMBER(K359),ISNUMBER(L359),ABS(L359-(K359-IF(ISNUMBER(N359),N359,0)-IF(ISNUMBER(O359),O359,0)+IF(ISNUMBER(P359),P359,0)))&lt;=Summary!$B$2),"Passes using beginning_balance - PreV_ETB differs from beginning_balance",IF(AND(ISNUMBER(O359),O359&lt;0,ABS(L359-(Q359-IF(ISNUMBER(N359),N359,0)+IF(ISNUMBER(P359),P359,0)))&lt;=Summary!$B$2),"Negative realized loss not applied - check sign",IF(R359&lt;0,"Principal paid exceeds prior balance",IF(AND(L359&gt;Q359,NOT(ISNUMBER(P359))),"Balance increased but no Deferred_interest reported",IF(L359&gt;R359,"Reported balance higher than expected (missing increase/OC build)","Reported balance lower than expected (missing decrease)"))))),""))</f>
        <v/>
      </c>
    </row>
    <row r="360" customFormat="false" ht="15" hidden="false" customHeight="fals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9"/>
      <c r="L360" s="9"/>
      <c r="M360" s="9"/>
      <c r="N360" s="9"/>
      <c r="O360" s="9"/>
      <c r="P360" s="9"/>
      <c r="Q360" s="9"/>
      <c r="R360" s="9" t="str">
        <f aca="false">IF(AND(A360&lt;&gt;"",ISNUMBER(Q360),ISNUMBER(L360)),ROUND(Q360-IF(ISNUMBER(N360),N360,0)-IF(ISNUMBER(O360),O360,0)+IF(ISNUMBER(P360),P360,0),2),"")</f>
        <v/>
      </c>
      <c r="S360" s="9" t="str">
        <f aca="false">IF(R360="","",ROUND(L360-R360,2))</f>
        <v/>
      </c>
      <c r="T360" s="8" t="str">
        <f aca="false">IF(A360="","",IF(S360="","BYPASS",IF(ABS(S360)&lt;=Summary!$B$2,"PASS","FAIL")))</f>
        <v/>
      </c>
      <c r="U360" s="8" t="str">
        <f aca="false">IF(T360="BYPASS",IF(NOT(ISNUMBER(Q360)),"PreV_ETB missing","End_tr_balance missing"),IF(T360="FAIL",IF(AND(ISNUMBER(K360),ISNUMBER(L360),ABS(L360-(K360-IF(ISNUMBER(N360),N360,0)-IF(ISNUMBER(O360),O360,0)+IF(ISNUMBER(P360),P360,0)))&lt;=Summary!$B$2),"Passes using beginning_balance - PreV_ETB differs from beginning_balance",IF(AND(ISNUMBER(O360),O360&lt;0,ABS(L360-(Q360-IF(ISNUMBER(N360),N360,0)+IF(ISNUMBER(P360),P360,0)))&lt;=Summary!$B$2),"Negative realized loss not applied - check sign",IF(R360&lt;0,"Principal paid exceeds prior balance",IF(AND(L360&gt;Q360,NOT(ISNUMBER(P360))),"Balance increased but no Deferred_interest reported",IF(L360&gt;R360,"Reported balance higher than expected (missing increase/OC build)","Reported balance lower than expected (missing decrease)"))))),""))</f>
        <v/>
      </c>
    </row>
    <row r="361" customFormat="false" ht="15" hidden="false" customHeight="fals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9"/>
      <c r="L361" s="9"/>
      <c r="M361" s="9"/>
      <c r="N361" s="9"/>
      <c r="O361" s="9"/>
      <c r="P361" s="9"/>
      <c r="Q361" s="9"/>
      <c r="R361" s="9" t="str">
        <f aca="false">IF(AND(A361&lt;&gt;"",ISNUMBER(Q361),ISNUMBER(L361)),ROUND(Q361-IF(ISNUMBER(N361),N361,0)-IF(ISNUMBER(O361),O361,0)+IF(ISNUMBER(P361),P361,0),2),"")</f>
        <v/>
      </c>
      <c r="S361" s="9" t="str">
        <f aca="false">IF(R361="","",ROUND(L361-R361,2))</f>
        <v/>
      </c>
      <c r="T361" s="8" t="str">
        <f aca="false">IF(A361="","",IF(S361="","BYPASS",IF(ABS(S361)&lt;=Summary!$B$2,"PASS","FAIL")))</f>
        <v/>
      </c>
      <c r="U361" s="8" t="str">
        <f aca="false">IF(T361="BYPASS",IF(NOT(ISNUMBER(Q361)),"PreV_ETB missing","End_tr_balance missing"),IF(T361="FAIL",IF(AND(ISNUMBER(K361),ISNUMBER(L361),ABS(L361-(K361-IF(ISNUMBER(N361),N361,0)-IF(ISNUMBER(O361),O361,0)+IF(ISNUMBER(P361),P361,0)))&lt;=Summary!$B$2),"Passes using beginning_balance - PreV_ETB differs from beginning_balance",IF(AND(ISNUMBER(O361),O361&lt;0,ABS(L361-(Q361-IF(ISNUMBER(N361),N361,0)+IF(ISNUMBER(P361),P361,0)))&lt;=Summary!$B$2),"Negative realized loss not applied - check sign",IF(R361&lt;0,"Principal paid exceeds prior balance",IF(AND(L361&gt;Q361,NOT(ISNUMBER(P361))),"Balance increased but no Deferred_interest reported",IF(L361&gt;R361,"Reported balance higher than expected (missing increase/OC build)","Reported balance lower than expected (missing decrease)"))))),""))</f>
        <v/>
      </c>
    </row>
    <row r="362" customFormat="false" ht="15" hidden="false" customHeight="fals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9"/>
      <c r="L362" s="9"/>
      <c r="M362" s="9"/>
      <c r="N362" s="9"/>
      <c r="O362" s="9"/>
      <c r="P362" s="9"/>
      <c r="Q362" s="9"/>
      <c r="R362" s="9" t="str">
        <f aca="false">IF(AND(A362&lt;&gt;"",ISNUMBER(Q362),ISNUMBER(L362)),ROUND(Q362-IF(ISNUMBER(N362),N362,0)-IF(ISNUMBER(O362),O362,0)+IF(ISNUMBER(P362),P362,0),2),"")</f>
        <v/>
      </c>
      <c r="S362" s="9" t="str">
        <f aca="false">IF(R362="","",ROUND(L362-R362,2))</f>
        <v/>
      </c>
      <c r="T362" s="8" t="str">
        <f aca="false">IF(A362="","",IF(S362="","BYPASS",IF(ABS(S362)&lt;=Summary!$B$2,"PASS","FAIL")))</f>
        <v/>
      </c>
      <c r="U362" s="8" t="str">
        <f aca="false">IF(T362="BYPASS",IF(NOT(ISNUMBER(Q362)),"PreV_ETB missing","End_tr_balance missing"),IF(T362="FAIL",IF(AND(ISNUMBER(K362),ISNUMBER(L362),ABS(L362-(K362-IF(ISNUMBER(N362),N362,0)-IF(ISNUMBER(O362),O362,0)+IF(ISNUMBER(P362),P362,0)))&lt;=Summary!$B$2),"Passes using beginning_balance - PreV_ETB differs from beginning_balance",IF(AND(ISNUMBER(O362),O362&lt;0,ABS(L362-(Q362-IF(ISNUMBER(N362),N362,0)+IF(ISNUMBER(P362),P362,0)))&lt;=Summary!$B$2),"Negative realized loss not applied - check sign",IF(R362&lt;0,"Principal paid exceeds prior balance",IF(AND(L362&gt;Q362,NOT(ISNUMBER(P362))),"Balance increased but no Deferred_interest reported",IF(L362&gt;R362,"Reported balance higher than expected (missing increase/OC build)","Reported balance lower than expected (missing decrease)"))))),""))</f>
        <v/>
      </c>
    </row>
    <row r="363" customFormat="false" ht="15" hidden="false" customHeight="fals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9"/>
      <c r="L363" s="9"/>
      <c r="M363" s="9"/>
      <c r="N363" s="9"/>
      <c r="O363" s="9"/>
      <c r="P363" s="9"/>
      <c r="Q363" s="9"/>
      <c r="R363" s="9" t="str">
        <f aca="false">IF(AND(A363&lt;&gt;"",ISNUMBER(Q363),ISNUMBER(L363)),ROUND(Q363-IF(ISNUMBER(N363),N363,0)-IF(ISNUMBER(O363),O363,0)+IF(ISNUMBER(P363),P363,0),2),"")</f>
        <v/>
      </c>
      <c r="S363" s="9" t="str">
        <f aca="false">IF(R363="","",ROUND(L363-R363,2))</f>
        <v/>
      </c>
      <c r="T363" s="8" t="str">
        <f aca="false">IF(A363="","",IF(S363="","BYPASS",IF(ABS(S363)&lt;=Summary!$B$2,"PASS","FAIL")))</f>
        <v/>
      </c>
      <c r="U363" s="8" t="str">
        <f aca="false">IF(T363="BYPASS",IF(NOT(ISNUMBER(Q363)),"PreV_ETB missing","End_tr_balance missing"),IF(T363="FAIL",IF(AND(ISNUMBER(K363),ISNUMBER(L363),ABS(L363-(K363-IF(ISNUMBER(N363),N363,0)-IF(ISNUMBER(O363),O363,0)+IF(ISNUMBER(P363),P363,0)))&lt;=Summary!$B$2),"Passes using beginning_balance - PreV_ETB differs from beginning_balance",IF(AND(ISNUMBER(O363),O363&lt;0,ABS(L363-(Q363-IF(ISNUMBER(N363),N363,0)+IF(ISNUMBER(P363),P363,0)))&lt;=Summary!$B$2),"Negative realized loss not applied - check sign",IF(R363&lt;0,"Principal paid exceeds prior balance",IF(AND(L363&gt;Q363,NOT(ISNUMBER(P363))),"Balance increased but no Deferred_interest reported",IF(L363&gt;R363,"Reported balance higher than expected (missing increase/OC build)","Reported balance lower than expected (missing decrease)"))))),""))</f>
        <v/>
      </c>
    </row>
    <row r="364" customFormat="false" ht="15" hidden="false" customHeight="fals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9"/>
      <c r="L364" s="9"/>
      <c r="M364" s="9"/>
      <c r="N364" s="9"/>
      <c r="O364" s="9"/>
      <c r="P364" s="9"/>
      <c r="Q364" s="9"/>
      <c r="R364" s="9" t="str">
        <f aca="false">IF(AND(A364&lt;&gt;"",ISNUMBER(Q364),ISNUMBER(L364)),ROUND(Q364-IF(ISNUMBER(N364),N364,0)-IF(ISNUMBER(O364),O364,0)+IF(ISNUMBER(P364),P364,0),2),"")</f>
        <v/>
      </c>
      <c r="S364" s="9" t="str">
        <f aca="false">IF(R364="","",ROUND(L364-R364,2))</f>
        <v/>
      </c>
      <c r="T364" s="8" t="str">
        <f aca="false">IF(A364="","",IF(S364="","BYPASS",IF(ABS(S364)&lt;=Summary!$B$2,"PASS","FAIL")))</f>
        <v/>
      </c>
      <c r="U364" s="8" t="str">
        <f aca="false">IF(T364="BYPASS",IF(NOT(ISNUMBER(Q364)),"PreV_ETB missing","End_tr_balance missing"),IF(T364="FAIL",IF(AND(ISNUMBER(K364),ISNUMBER(L364),ABS(L364-(K364-IF(ISNUMBER(N364),N364,0)-IF(ISNUMBER(O364),O364,0)+IF(ISNUMBER(P364),P364,0)))&lt;=Summary!$B$2),"Passes using beginning_balance - PreV_ETB differs from beginning_balance",IF(AND(ISNUMBER(O364),O364&lt;0,ABS(L364-(Q364-IF(ISNUMBER(N364),N364,0)+IF(ISNUMBER(P364),P364,0)))&lt;=Summary!$B$2),"Negative realized loss not applied - check sign",IF(R364&lt;0,"Principal paid exceeds prior balance",IF(AND(L364&gt;Q364,NOT(ISNUMBER(P364))),"Balance increased but no Deferred_interest reported",IF(L364&gt;R364,"Reported balance higher than expected (missing increase/OC build)","Reported balance lower than expected (missing decrease)"))))),""))</f>
        <v/>
      </c>
    </row>
    <row r="365" customFormat="false" ht="15" hidden="false" customHeight="fals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9"/>
      <c r="L365" s="9"/>
      <c r="M365" s="9"/>
      <c r="N365" s="9"/>
      <c r="O365" s="9"/>
      <c r="P365" s="9"/>
      <c r="Q365" s="9"/>
      <c r="R365" s="9" t="str">
        <f aca="false">IF(AND(A365&lt;&gt;"",ISNUMBER(Q365),ISNUMBER(L365)),ROUND(Q365-IF(ISNUMBER(N365),N365,0)-IF(ISNUMBER(O365),O365,0)+IF(ISNUMBER(P365),P365,0),2),"")</f>
        <v/>
      </c>
      <c r="S365" s="9" t="str">
        <f aca="false">IF(R365="","",ROUND(L365-R365,2))</f>
        <v/>
      </c>
      <c r="T365" s="8" t="str">
        <f aca="false">IF(A365="","",IF(S365="","BYPASS",IF(ABS(S365)&lt;=Summary!$B$2,"PASS","FAIL")))</f>
        <v/>
      </c>
      <c r="U365" s="8" t="str">
        <f aca="false">IF(T365="BYPASS",IF(NOT(ISNUMBER(Q365)),"PreV_ETB missing","End_tr_balance missing"),IF(T365="FAIL",IF(AND(ISNUMBER(K365),ISNUMBER(L365),ABS(L365-(K365-IF(ISNUMBER(N365),N365,0)-IF(ISNUMBER(O365),O365,0)+IF(ISNUMBER(P365),P365,0)))&lt;=Summary!$B$2),"Passes using beginning_balance - PreV_ETB differs from beginning_balance",IF(AND(ISNUMBER(O365),O365&lt;0,ABS(L365-(Q365-IF(ISNUMBER(N365),N365,0)+IF(ISNUMBER(P365),P365,0)))&lt;=Summary!$B$2),"Negative realized loss not applied - check sign",IF(R365&lt;0,"Principal paid exceeds prior balance",IF(AND(L365&gt;Q365,NOT(ISNUMBER(P365))),"Balance increased but no Deferred_interest reported",IF(L365&gt;R365,"Reported balance higher than expected (missing increase/OC build)","Reported balance lower than expected (missing decrease)"))))),""))</f>
        <v/>
      </c>
    </row>
    <row r="366" customFormat="false" ht="15" hidden="false" customHeight="fals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9"/>
      <c r="L366" s="9"/>
      <c r="M366" s="9"/>
      <c r="N366" s="9"/>
      <c r="O366" s="9"/>
      <c r="P366" s="9"/>
      <c r="Q366" s="9"/>
      <c r="R366" s="9" t="str">
        <f aca="false">IF(AND(A366&lt;&gt;"",ISNUMBER(Q366),ISNUMBER(L366)),ROUND(Q366-IF(ISNUMBER(N366),N366,0)-IF(ISNUMBER(O366),O366,0)+IF(ISNUMBER(P366),P366,0),2),"")</f>
        <v/>
      </c>
      <c r="S366" s="9" t="str">
        <f aca="false">IF(R366="","",ROUND(L366-R366,2))</f>
        <v/>
      </c>
      <c r="T366" s="8" t="str">
        <f aca="false">IF(A366="","",IF(S366="","BYPASS",IF(ABS(S366)&lt;=Summary!$B$2,"PASS","FAIL")))</f>
        <v/>
      </c>
      <c r="U366" s="8" t="str">
        <f aca="false">IF(T366="BYPASS",IF(NOT(ISNUMBER(Q366)),"PreV_ETB missing","End_tr_balance missing"),IF(T366="FAIL",IF(AND(ISNUMBER(K366),ISNUMBER(L366),ABS(L366-(K366-IF(ISNUMBER(N366),N366,0)-IF(ISNUMBER(O366),O366,0)+IF(ISNUMBER(P366),P366,0)))&lt;=Summary!$B$2),"Passes using beginning_balance - PreV_ETB differs from beginning_balance",IF(AND(ISNUMBER(O366),O366&lt;0,ABS(L366-(Q366-IF(ISNUMBER(N366),N366,0)+IF(ISNUMBER(P366),P366,0)))&lt;=Summary!$B$2),"Negative realized loss not applied - check sign",IF(R366&lt;0,"Principal paid exceeds prior balance",IF(AND(L366&gt;Q366,NOT(ISNUMBER(P366))),"Balance increased but no Deferred_interest reported",IF(L366&gt;R366,"Reported balance higher than expected (missing increase/OC build)","Reported balance lower than expected (missing decrease)"))))),""))</f>
        <v/>
      </c>
    </row>
    <row r="367" customFormat="false" ht="15" hidden="false" customHeight="fals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9"/>
      <c r="L367" s="9"/>
      <c r="M367" s="9"/>
      <c r="N367" s="9"/>
      <c r="O367" s="9"/>
      <c r="P367" s="9"/>
      <c r="Q367" s="9"/>
      <c r="R367" s="9" t="str">
        <f aca="false">IF(AND(A367&lt;&gt;"",ISNUMBER(Q367),ISNUMBER(L367)),ROUND(Q367-IF(ISNUMBER(N367),N367,0)-IF(ISNUMBER(O367),O367,0)+IF(ISNUMBER(P367),P367,0),2),"")</f>
        <v/>
      </c>
      <c r="S367" s="9" t="str">
        <f aca="false">IF(R367="","",ROUND(L367-R367,2))</f>
        <v/>
      </c>
      <c r="T367" s="8" t="str">
        <f aca="false">IF(A367="","",IF(S367="","BYPASS",IF(ABS(S367)&lt;=Summary!$B$2,"PASS","FAIL")))</f>
        <v/>
      </c>
      <c r="U367" s="8" t="str">
        <f aca="false">IF(T367="BYPASS",IF(NOT(ISNUMBER(Q367)),"PreV_ETB missing","End_tr_balance missing"),IF(T367="FAIL",IF(AND(ISNUMBER(K367),ISNUMBER(L367),ABS(L367-(K367-IF(ISNUMBER(N367),N367,0)-IF(ISNUMBER(O367),O367,0)+IF(ISNUMBER(P367),P367,0)))&lt;=Summary!$B$2),"Passes using beginning_balance - PreV_ETB differs from beginning_balance",IF(AND(ISNUMBER(O367),O367&lt;0,ABS(L367-(Q367-IF(ISNUMBER(N367),N367,0)+IF(ISNUMBER(P367),P367,0)))&lt;=Summary!$B$2),"Negative realized loss not applied - check sign",IF(R367&lt;0,"Principal paid exceeds prior balance",IF(AND(L367&gt;Q367,NOT(ISNUMBER(P367))),"Balance increased but no Deferred_interest reported",IF(L367&gt;R367,"Reported balance higher than expected (missing increase/OC build)","Reported balance lower than expected (missing decrease)"))))),""))</f>
        <v/>
      </c>
    </row>
    <row r="368" customFormat="false" ht="15" hidden="false" customHeight="fals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9"/>
      <c r="L368" s="9"/>
      <c r="M368" s="9"/>
      <c r="N368" s="9"/>
      <c r="O368" s="9"/>
      <c r="P368" s="9"/>
      <c r="Q368" s="9"/>
      <c r="R368" s="9" t="str">
        <f aca="false">IF(AND(A368&lt;&gt;"",ISNUMBER(Q368),ISNUMBER(L368)),ROUND(Q368-IF(ISNUMBER(N368),N368,0)-IF(ISNUMBER(O368),O368,0)+IF(ISNUMBER(P368),P368,0),2),"")</f>
        <v/>
      </c>
      <c r="S368" s="9" t="str">
        <f aca="false">IF(R368="","",ROUND(L368-R368,2))</f>
        <v/>
      </c>
      <c r="T368" s="8" t="str">
        <f aca="false">IF(A368="","",IF(S368="","BYPASS",IF(ABS(S368)&lt;=Summary!$B$2,"PASS","FAIL")))</f>
        <v/>
      </c>
      <c r="U368" s="8" t="str">
        <f aca="false">IF(T368="BYPASS",IF(NOT(ISNUMBER(Q368)),"PreV_ETB missing","End_tr_balance missing"),IF(T368="FAIL",IF(AND(ISNUMBER(K368),ISNUMBER(L368),ABS(L368-(K368-IF(ISNUMBER(N368),N368,0)-IF(ISNUMBER(O368),O368,0)+IF(ISNUMBER(P368),P368,0)))&lt;=Summary!$B$2),"Passes using beginning_balance - PreV_ETB differs from beginning_balance",IF(AND(ISNUMBER(O368),O368&lt;0,ABS(L368-(Q368-IF(ISNUMBER(N368),N368,0)+IF(ISNUMBER(P368),P368,0)))&lt;=Summary!$B$2),"Negative realized loss not applied - check sign",IF(R368&lt;0,"Principal paid exceeds prior balance",IF(AND(L368&gt;Q368,NOT(ISNUMBER(P368))),"Balance increased but no Deferred_interest reported",IF(L368&gt;R368,"Reported balance higher than expected (missing increase/OC build)","Reported balance lower than expected (missing decrease)"))))),""))</f>
        <v/>
      </c>
    </row>
    <row r="369" customFormat="false" ht="15" hidden="false" customHeight="fals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9"/>
      <c r="L369" s="9"/>
      <c r="M369" s="9"/>
      <c r="N369" s="9"/>
      <c r="O369" s="9"/>
      <c r="P369" s="9"/>
      <c r="Q369" s="9"/>
      <c r="R369" s="9" t="str">
        <f aca="false">IF(AND(A369&lt;&gt;"",ISNUMBER(Q369),ISNUMBER(L369)),ROUND(Q369-IF(ISNUMBER(N369),N369,0)-IF(ISNUMBER(O369),O369,0)+IF(ISNUMBER(P369),P369,0),2),"")</f>
        <v/>
      </c>
      <c r="S369" s="9" t="str">
        <f aca="false">IF(R369="","",ROUND(L369-R369,2))</f>
        <v/>
      </c>
      <c r="T369" s="8" t="str">
        <f aca="false">IF(A369="","",IF(S369="","BYPASS",IF(ABS(S369)&lt;=Summary!$B$2,"PASS","FAIL")))</f>
        <v/>
      </c>
      <c r="U369" s="8" t="str">
        <f aca="false">IF(T369="BYPASS",IF(NOT(ISNUMBER(Q369)),"PreV_ETB missing","End_tr_balance missing"),IF(T369="FAIL",IF(AND(ISNUMBER(K369),ISNUMBER(L369),ABS(L369-(K369-IF(ISNUMBER(N369),N369,0)-IF(ISNUMBER(O369),O369,0)+IF(ISNUMBER(P369),P369,0)))&lt;=Summary!$B$2),"Passes using beginning_balance - PreV_ETB differs from beginning_balance",IF(AND(ISNUMBER(O369),O369&lt;0,ABS(L369-(Q369-IF(ISNUMBER(N369),N369,0)+IF(ISNUMBER(P369),P369,0)))&lt;=Summary!$B$2),"Negative realized loss not applied - check sign",IF(R369&lt;0,"Principal paid exceeds prior balance",IF(AND(L369&gt;Q369,NOT(ISNUMBER(P369))),"Balance increased but no Deferred_interest reported",IF(L369&gt;R369,"Reported balance higher than expected (missing increase/OC build)","Reported balance lower than expected (missing decrease)"))))),""))</f>
        <v/>
      </c>
    </row>
    <row r="370" customFormat="false" ht="15" hidden="false" customHeight="fals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9"/>
      <c r="L370" s="9"/>
      <c r="M370" s="9"/>
      <c r="N370" s="9"/>
      <c r="O370" s="9"/>
      <c r="P370" s="9"/>
      <c r="Q370" s="9"/>
      <c r="R370" s="9" t="str">
        <f aca="false">IF(AND(A370&lt;&gt;"",ISNUMBER(Q370),ISNUMBER(L370)),ROUND(Q370-IF(ISNUMBER(N370),N370,0)-IF(ISNUMBER(O370),O370,0)+IF(ISNUMBER(P370),P370,0),2),"")</f>
        <v/>
      </c>
      <c r="S370" s="9" t="str">
        <f aca="false">IF(R370="","",ROUND(L370-R370,2))</f>
        <v/>
      </c>
      <c r="T370" s="8" t="str">
        <f aca="false">IF(A370="","",IF(S370="","BYPASS",IF(ABS(S370)&lt;=Summary!$B$2,"PASS","FAIL")))</f>
        <v/>
      </c>
      <c r="U370" s="8" t="str">
        <f aca="false">IF(T370="BYPASS",IF(NOT(ISNUMBER(Q370)),"PreV_ETB missing","End_tr_balance missing"),IF(T370="FAIL",IF(AND(ISNUMBER(K370),ISNUMBER(L370),ABS(L370-(K370-IF(ISNUMBER(N370),N370,0)-IF(ISNUMBER(O370),O370,0)+IF(ISNUMBER(P370),P370,0)))&lt;=Summary!$B$2),"Passes using beginning_balance - PreV_ETB differs from beginning_balance",IF(AND(ISNUMBER(O370),O370&lt;0,ABS(L370-(Q370-IF(ISNUMBER(N370),N370,0)+IF(ISNUMBER(P370),P370,0)))&lt;=Summary!$B$2),"Negative realized loss not applied - check sign",IF(R370&lt;0,"Principal paid exceeds prior balance",IF(AND(L370&gt;Q370,NOT(ISNUMBER(P370))),"Balance increased but no Deferred_interest reported",IF(L370&gt;R370,"Reported balance higher than expected (missing increase/OC build)","Reported balance lower than expected (missing decrease)"))))),""))</f>
        <v/>
      </c>
    </row>
    <row r="371" customFormat="false" ht="15" hidden="false" customHeight="fals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9"/>
      <c r="L371" s="9"/>
      <c r="M371" s="9"/>
      <c r="N371" s="9"/>
      <c r="O371" s="9"/>
      <c r="P371" s="9"/>
      <c r="Q371" s="9"/>
      <c r="R371" s="9" t="str">
        <f aca="false">IF(AND(A371&lt;&gt;"",ISNUMBER(Q371),ISNUMBER(L371)),ROUND(Q371-IF(ISNUMBER(N371),N371,0)-IF(ISNUMBER(O371),O371,0)+IF(ISNUMBER(P371),P371,0),2),"")</f>
        <v/>
      </c>
      <c r="S371" s="9" t="str">
        <f aca="false">IF(R371="","",ROUND(L371-R371,2))</f>
        <v/>
      </c>
      <c r="T371" s="8" t="str">
        <f aca="false">IF(A371="","",IF(S371="","BYPASS",IF(ABS(S371)&lt;=Summary!$B$2,"PASS","FAIL")))</f>
        <v/>
      </c>
      <c r="U371" s="8" t="str">
        <f aca="false">IF(T371="BYPASS",IF(NOT(ISNUMBER(Q371)),"PreV_ETB missing","End_tr_balance missing"),IF(T371="FAIL",IF(AND(ISNUMBER(K371),ISNUMBER(L371),ABS(L371-(K371-IF(ISNUMBER(N371),N371,0)-IF(ISNUMBER(O371),O371,0)+IF(ISNUMBER(P371),P371,0)))&lt;=Summary!$B$2),"Passes using beginning_balance - PreV_ETB differs from beginning_balance",IF(AND(ISNUMBER(O371),O371&lt;0,ABS(L371-(Q371-IF(ISNUMBER(N371),N371,0)+IF(ISNUMBER(P371),P371,0)))&lt;=Summary!$B$2),"Negative realized loss not applied - check sign",IF(R371&lt;0,"Principal paid exceeds prior balance",IF(AND(L371&gt;Q371,NOT(ISNUMBER(P371))),"Balance increased but no Deferred_interest reported",IF(L371&gt;R371,"Reported balance higher than expected (missing increase/OC build)","Reported balance lower than expected (missing decrease)"))))),""))</f>
        <v/>
      </c>
    </row>
    <row r="372" customFormat="false" ht="15" hidden="false" customHeight="fals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9"/>
      <c r="L372" s="9"/>
      <c r="M372" s="9"/>
      <c r="N372" s="9"/>
      <c r="O372" s="9"/>
      <c r="P372" s="9"/>
      <c r="Q372" s="9"/>
      <c r="R372" s="9" t="str">
        <f aca="false">IF(AND(A372&lt;&gt;"",ISNUMBER(Q372),ISNUMBER(L372)),ROUND(Q372-IF(ISNUMBER(N372),N372,0)-IF(ISNUMBER(O372),O372,0)+IF(ISNUMBER(P372),P372,0),2),"")</f>
        <v/>
      </c>
      <c r="S372" s="9" t="str">
        <f aca="false">IF(R372="","",ROUND(L372-R372,2))</f>
        <v/>
      </c>
      <c r="T372" s="8" t="str">
        <f aca="false">IF(A372="","",IF(S372="","BYPASS",IF(ABS(S372)&lt;=Summary!$B$2,"PASS","FAIL")))</f>
        <v/>
      </c>
      <c r="U372" s="8" t="str">
        <f aca="false">IF(T372="BYPASS",IF(NOT(ISNUMBER(Q372)),"PreV_ETB missing","End_tr_balance missing"),IF(T372="FAIL",IF(AND(ISNUMBER(K372),ISNUMBER(L372),ABS(L372-(K372-IF(ISNUMBER(N372),N372,0)-IF(ISNUMBER(O372),O372,0)+IF(ISNUMBER(P372),P372,0)))&lt;=Summary!$B$2),"Passes using beginning_balance - PreV_ETB differs from beginning_balance",IF(AND(ISNUMBER(O372),O372&lt;0,ABS(L372-(Q372-IF(ISNUMBER(N372),N372,0)+IF(ISNUMBER(P372),P372,0)))&lt;=Summary!$B$2),"Negative realized loss not applied - check sign",IF(R372&lt;0,"Principal paid exceeds prior balance",IF(AND(L372&gt;Q372,NOT(ISNUMBER(P372))),"Balance increased but no Deferred_interest reported",IF(L372&gt;R372,"Reported balance higher than expected (missing increase/OC build)","Reported balance lower than expected (missing decrease)"))))),""))</f>
        <v/>
      </c>
    </row>
    <row r="373" customFormat="false" ht="15" hidden="false" customHeight="fals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9"/>
      <c r="L373" s="9"/>
      <c r="M373" s="9"/>
      <c r="N373" s="9"/>
      <c r="O373" s="9"/>
      <c r="P373" s="9"/>
      <c r="Q373" s="9"/>
      <c r="R373" s="9" t="str">
        <f aca="false">IF(AND(A373&lt;&gt;"",ISNUMBER(Q373),ISNUMBER(L373)),ROUND(Q373-IF(ISNUMBER(N373),N373,0)-IF(ISNUMBER(O373),O373,0)+IF(ISNUMBER(P373),P373,0),2),"")</f>
        <v/>
      </c>
      <c r="S373" s="9" t="str">
        <f aca="false">IF(R373="","",ROUND(L373-R373,2))</f>
        <v/>
      </c>
      <c r="T373" s="8" t="str">
        <f aca="false">IF(A373="","",IF(S373="","BYPASS",IF(ABS(S373)&lt;=Summary!$B$2,"PASS","FAIL")))</f>
        <v/>
      </c>
      <c r="U373" s="8" t="str">
        <f aca="false">IF(T373="BYPASS",IF(NOT(ISNUMBER(Q373)),"PreV_ETB missing","End_tr_balance missing"),IF(T373="FAIL",IF(AND(ISNUMBER(K373),ISNUMBER(L373),ABS(L373-(K373-IF(ISNUMBER(N373),N373,0)-IF(ISNUMBER(O373),O373,0)+IF(ISNUMBER(P373),P373,0)))&lt;=Summary!$B$2),"Passes using beginning_balance - PreV_ETB differs from beginning_balance",IF(AND(ISNUMBER(O373),O373&lt;0,ABS(L373-(Q373-IF(ISNUMBER(N373),N373,0)+IF(ISNUMBER(P373),P373,0)))&lt;=Summary!$B$2),"Negative realized loss not applied - check sign",IF(R373&lt;0,"Principal paid exceeds prior balance",IF(AND(L373&gt;Q373,NOT(ISNUMBER(P373))),"Balance increased but no Deferred_interest reported",IF(L373&gt;R373,"Reported balance higher than expected (missing increase/OC build)","Reported balance lower than expected (missing decrease)"))))),""))</f>
        <v/>
      </c>
    </row>
    <row r="374" customFormat="false" ht="15" hidden="false" customHeight="fals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9"/>
      <c r="L374" s="9"/>
      <c r="M374" s="9"/>
      <c r="N374" s="9"/>
      <c r="O374" s="9"/>
      <c r="P374" s="9"/>
      <c r="Q374" s="9"/>
      <c r="R374" s="9" t="str">
        <f aca="false">IF(AND(A374&lt;&gt;"",ISNUMBER(Q374),ISNUMBER(L374)),ROUND(Q374-IF(ISNUMBER(N374),N374,0)-IF(ISNUMBER(O374),O374,0)+IF(ISNUMBER(P374),P374,0),2),"")</f>
        <v/>
      </c>
      <c r="S374" s="9" t="str">
        <f aca="false">IF(R374="","",ROUND(L374-R374,2))</f>
        <v/>
      </c>
      <c r="T374" s="8" t="str">
        <f aca="false">IF(A374="","",IF(S374="","BYPASS",IF(ABS(S374)&lt;=Summary!$B$2,"PASS","FAIL")))</f>
        <v/>
      </c>
      <c r="U374" s="8" t="str">
        <f aca="false">IF(T374="BYPASS",IF(NOT(ISNUMBER(Q374)),"PreV_ETB missing","End_tr_balance missing"),IF(T374="FAIL",IF(AND(ISNUMBER(K374),ISNUMBER(L374),ABS(L374-(K374-IF(ISNUMBER(N374),N374,0)-IF(ISNUMBER(O374),O374,0)+IF(ISNUMBER(P374),P374,0)))&lt;=Summary!$B$2),"Passes using beginning_balance - PreV_ETB differs from beginning_balance",IF(AND(ISNUMBER(O374),O374&lt;0,ABS(L374-(Q374-IF(ISNUMBER(N374),N374,0)+IF(ISNUMBER(P374),P374,0)))&lt;=Summary!$B$2),"Negative realized loss not applied - check sign",IF(R374&lt;0,"Principal paid exceeds prior balance",IF(AND(L374&gt;Q374,NOT(ISNUMBER(P374))),"Balance increased but no Deferred_interest reported",IF(L374&gt;R374,"Reported balance higher than expected (missing increase/OC build)","Reported balance lower than expected (missing decrease)"))))),""))</f>
        <v/>
      </c>
    </row>
    <row r="375" customFormat="false" ht="15" hidden="false" customHeight="fals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9"/>
      <c r="L375" s="9"/>
      <c r="M375" s="9"/>
      <c r="N375" s="9"/>
      <c r="O375" s="9"/>
      <c r="P375" s="9"/>
      <c r="Q375" s="9"/>
      <c r="R375" s="9" t="str">
        <f aca="false">IF(AND(A375&lt;&gt;"",ISNUMBER(Q375),ISNUMBER(L375)),ROUND(Q375-IF(ISNUMBER(N375),N375,0)-IF(ISNUMBER(O375),O375,0)+IF(ISNUMBER(P375),P375,0),2),"")</f>
        <v/>
      </c>
      <c r="S375" s="9" t="str">
        <f aca="false">IF(R375="","",ROUND(L375-R375,2))</f>
        <v/>
      </c>
      <c r="T375" s="8" t="str">
        <f aca="false">IF(A375="","",IF(S375="","BYPASS",IF(ABS(S375)&lt;=Summary!$B$2,"PASS","FAIL")))</f>
        <v/>
      </c>
      <c r="U375" s="8" t="str">
        <f aca="false">IF(T375="BYPASS",IF(NOT(ISNUMBER(Q375)),"PreV_ETB missing","End_tr_balance missing"),IF(T375="FAIL",IF(AND(ISNUMBER(K375),ISNUMBER(L375),ABS(L375-(K375-IF(ISNUMBER(N375),N375,0)-IF(ISNUMBER(O375),O375,0)+IF(ISNUMBER(P375),P375,0)))&lt;=Summary!$B$2),"Passes using beginning_balance - PreV_ETB differs from beginning_balance",IF(AND(ISNUMBER(O375),O375&lt;0,ABS(L375-(Q375-IF(ISNUMBER(N375),N375,0)+IF(ISNUMBER(P375),P375,0)))&lt;=Summary!$B$2),"Negative realized loss not applied - check sign",IF(R375&lt;0,"Principal paid exceeds prior balance",IF(AND(L375&gt;Q375,NOT(ISNUMBER(P375))),"Balance increased but no Deferred_interest reported",IF(L375&gt;R375,"Reported balance higher than expected (missing increase/OC build)","Reported balance lower than expected (missing decrease)"))))),""))</f>
        <v/>
      </c>
    </row>
    <row r="376" customFormat="false" ht="15" hidden="false" customHeight="fals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9"/>
      <c r="L376" s="9"/>
      <c r="M376" s="9"/>
      <c r="N376" s="9"/>
      <c r="O376" s="9"/>
      <c r="P376" s="9"/>
      <c r="Q376" s="9"/>
      <c r="R376" s="9" t="str">
        <f aca="false">IF(AND(A376&lt;&gt;"",ISNUMBER(Q376),ISNUMBER(L376)),ROUND(Q376-IF(ISNUMBER(N376),N376,0)-IF(ISNUMBER(O376),O376,0)+IF(ISNUMBER(P376),P376,0),2),"")</f>
        <v/>
      </c>
      <c r="S376" s="9" t="str">
        <f aca="false">IF(R376="","",ROUND(L376-R376,2))</f>
        <v/>
      </c>
      <c r="T376" s="8" t="str">
        <f aca="false">IF(A376="","",IF(S376="","BYPASS",IF(ABS(S376)&lt;=Summary!$B$2,"PASS","FAIL")))</f>
        <v/>
      </c>
      <c r="U376" s="8" t="str">
        <f aca="false">IF(T376="BYPASS",IF(NOT(ISNUMBER(Q376)),"PreV_ETB missing","End_tr_balance missing"),IF(T376="FAIL",IF(AND(ISNUMBER(K376),ISNUMBER(L376),ABS(L376-(K376-IF(ISNUMBER(N376),N376,0)-IF(ISNUMBER(O376),O376,0)+IF(ISNUMBER(P376),P376,0)))&lt;=Summary!$B$2),"Passes using beginning_balance - PreV_ETB differs from beginning_balance",IF(AND(ISNUMBER(O376),O376&lt;0,ABS(L376-(Q376-IF(ISNUMBER(N376),N376,0)+IF(ISNUMBER(P376),P376,0)))&lt;=Summary!$B$2),"Negative realized loss not applied - check sign",IF(R376&lt;0,"Principal paid exceeds prior balance",IF(AND(L376&gt;Q376,NOT(ISNUMBER(P376))),"Balance increased but no Deferred_interest reported",IF(L376&gt;R376,"Reported balance higher than expected (missing increase/OC build)","Reported balance lower than expected (missing decrease)"))))),""))</f>
        <v/>
      </c>
    </row>
    <row r="377" customFormat="false" ht="15" hidden="false" customHeight="fals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9"/>
      <c r="L377" s="9"/>
      <c r="M377" s="9"/>
      <c r="N377" s="9"/>
      <c r="O377" s="9"/>
      <c r="P377" s="9"/>
      <c r="Q377" s="9"/>
      <c r="R377" s="9" t="str">
        <f aca="false">IF(AND(A377&lt;&gt;"",ISNUMBER(Q377),ISNUMBER(L377)),ROUND(Q377-IF(ISNUMBER(N377),N377,0)-IF(ISNUMBER(O377),O377,0)+IF(ISNUMBER(P377),P377,0),2),"")</f>
        <v/>
      </c>
      <c r="S377" s="9" t="str">
        <f aca="false">IF(R377="","",ROUND(L377-R377,2))</f>
        <v/>
      </c>
      <c r="T377" s="8" t="str">
        <f aca="false">IF(A377="","",IF(S377="","BYPASS",IF(ABS(S377)&lt;=Summary!$B$2,"PASS","FAIL")))</f>
        <v/>
      </c>
      <c r="U377" s="8" t="str">
        <f aca="false">IF(T377="BYPASS",IF(NOT(ISNUMBER(Q377)),"PreV_ETB missing","End_tr_balance missing"),IF(T377="FAIL",IF(AND(ISNUMBER(K377),ISNUMBER(L377),ABS(L377-(K377-IF(ISNUMBER(N377),N377,0)-IF(ISNUMBER(O377),O377,0)+IF(ISNUMBER(P377),P377,0)))&lt;=Summary!$B$2),"Passes using beginning_balance - PreV_ETB differs from beginning_balance",IF(AND(ISNUMBER(O377),O377&lt;0,ABS(L377-(Q377-IF(ISNUMBER(N377),N377,0)+IF(ISNUMBER(P377),P377,0)))&lt;=Summary!$B$2),"Negative realized loss not applied - check sign",IF(R377&lt;0,"Principal paid exceeds prior balance",IF(AND(L377&gt;Q377,NOT(ISNUMBER(P377))),"Balance increased but no Deferred_interest reported",IF(L377&gt;R377,"Reported balance higher than expected (missing increase/OC build)","Reported balance lower than expected (missing decrease)"))))),""))</f>
        <v/>
      </c>
    </row>
    <row r="378" customFormat="false" ht="15" hidden="false" customHeight="fals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9"/>
      <c r="L378" s="9"/>
      <c r="M378" s="9"/>
      <c r="N378" s="9"/>
      <c r="O378" s="9"/>
      <c r="P378" s="9"/>
      <c r="Q378" s="9"/>
      <c r="R378" s="9" t="str">
        <f aca="false">IF(AND(A378&lt;&gt;"",ISNUMBER(Q378),ISNUMBER(L378)),ROUND(Q378-IF(ISNUMBER(N378),N378,0)-IF(ISNUMBER(O378),O378,0)+IF(ISNUMBER(P378),P378,0),2),"")</f>
        <v/>
      </c>
      <c r="S378" s="9" t="str">
        <f aca="false">IF(R378="","",ROUND(L378-R378,2))</f>
        <v/>
      </c>
      <c r="T378" s="8" t="str">
        <f aca="false">IF(A378="","",IF(S378="","BYPASS",IF(ABS(S378)&lt;=Summary!$B$2,"PASS","FAIL")))</f>
        <v/>
      </c>
      <c r="U378" s="8" t="str">
        <f aca="false">IF(T378="BYPASS",IF(NOT(ISNUMBER(Q378)),"PreV_ETB missing","End_tr_balance missing"),IF(T378="FAIL",IF(AND(ISNUMBER(K378),ISNUMBER(L378),ABS(L378-(K378-IF(ISNUMBER(N378),N378,0)-IF(ISNUMBER(O378),O378,0)+IF(ISNUMBER(P378),P378,0)))&lt;=Summary!$B$2),"Passes using beginning_balance - PreV_ETB differs from beginning_balance",IF(AND(ISNUMBER(O378),O378&lt;0,ABS(L378-(Q378-IF(ISNUMBER(N378),N378,0)+IF(ISNUMBER(P378),P378,0)))&lt;=Summary!$B$2),"Negative realized loss not applied - check sign",IF(R378&lt;0,"Principal paid exceeds prior balance",IF(AND(L378&gt;Q378,NOT(ISNUMBER(P378))),"Balance increased but no Deferred_interest reported",IF(L378&gt;R378,"Reported balance higher than expected (missing increase/OC build)","Reported balance lower than expected (missing decrease)"))))),""))</f>
        <v/>
      </c>
    </row>
    <row r="379" customFormat="false" ht="15" hidden="false" customHeight="fals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9"/>
      <c r="L379" s="9"/>
      <c r="M379" s="9"/>
      <c r="N379" s="9"/>
      <c r="O379" s="9"/>
      <c r="P379" s="9"/>
      <c r="Q379" s="9"/>
      <c r="R379" s="9" t="str">
        <f aca="false">IF(AND(A379&lt;&gt;"",ISNUMBER(Q379),ISNUMBER(L379)),ROUND(Q379-IF(ISNUMBER(N379),N379,0)-IF(ISNUMBER(O379),O379,0)+IF(ISNUMBER(P379),P379,0),2),"")</f>
        <v/>
      </c>
      <c r="S379" s="9" t="str">
        <f aca="false">IF(R379="","",ROUND(L379-R379,2))</f>
        <v/>
      </c>
      <c r="T379" s="8" t="str">
        <f aca="false">IF(A379="","",IF(S379="","BYPASS",IF(ABS(S379)&lt;=Summary!$B$2,"PASS","FAIL")))</f>
        <v/>
      </c>
      <c r="U379" s="8" t="str">
        <f aca="false">IF(T379="BYPASS",IF(NOT(ISNUMBER(Q379)),"PreV_ETB missing","End_tr_balance missing"),IF(T379="FAIL",IF(AND(ISNUMBER(K379),ISNUMBER(L379),ABS(L379-(K379-IF(ISNUMBER(N379),N379,0)-IF(ISNUMBER(O379),O379,0)+IF(ISNUMBER(P379),P379,0)))&lt;=Summary!$B$2),"Passes using beginning_balance - PreV_ETB differs from beginning_balance",IF(AND(ISNUMBER(O379),O379&lt;0,ABS(L379-(Q379-IF(ISNUMBER(N379),N379,0)+IF(ISNUMBER(P379),P379,0)))&lt;=Summary!$B$2),"Negative realized loss not applied - check sign",IF(R379&lt;0,"Principal paid exceeds prior balance",IF(AND(L379&gt;Q379,NOT(ISNUMBER(P379))),"Balance increased but no Deferred_interest reported",IF(L379&gt;R379,"Reported balance higher than expected (missing increase/OC build)","Reported balance lower than expected (missing decrease)"))))),""))</f>
        <v/>
      </c>
    </row>
    <row r="380" customFormat="false" ht="15" hidden="false" customHeight="fals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9"/>
      <c r="L380" s="9"/>
      <c r="M380" s="9"/>
      <c r="N380" s="9"/>
      <c r="O380" s="9"/>
      <c r="P380" s="9"/>
      <c r="Q380" s="9"/>
      <c r="R380" s="9" t="str">
        <f aca="false">IF(AND(A380&lt;&gt;"",ISNUMBER(Q380),ISNUMBER(L380)),ROUND(Q380-IF(ISNUMBER(N380),N380,0)-IF(ISNUMBER(O380),O380,0)+IF(ISNUMBER(P380),P380,0),2),"")</f>
        <v/>
      </c>
      <c r="S380" s="9" t="str">
        <f aca="false">IF(R380="","",ROUND(L380-R380,2))</f>
        <v/>
      </c>
      <c r="T380" s="8" t="str">
        <f aca="false">IF(A380="","",IF(S380="","BYPASS",IF(ABS(S380)&lt;=Summary!$B$2,"PASS","FAIL")))</f>
        <v/>
      </c>
      <c r="U380" s="8" t="str">
        <f aca="false">IF(T380="BYPASS",IF(NOT(ISNUMBER(Q380)),"PreV_ETB missing","End_tr_balance missing"),IF(T380="FAIL",IF(AND(ISNUMBER(K380),ISNUMBER(L380),ABS(L380-(K380-IF(ISNUMBER(N380),N380,0)-IF(ISNUMBER(O380),O380,0)+IF(ISNUMBER(P380),P380,0)))&lt;=Summary!$B$2),"Passes using beginning_balance - PreV_ETB differs from beginning_balance",IF(AND(ISNUMBER(O380),O380&lt;0,ABS(L380-(Q380-IF(ISNUMBER(N380),N380,0)+IF(ISNUMBER(P380),P380,0)))&lt;=Summary!$B$2),"Negative realized loss not applied - check sign",IF(R380&lt;0,"Principal paid exceeds prior balance",IF(AND(L380&gt;Q380,NOT(ISNUMBER(P380))),"Balance increased but no Deferred_interest reported",IF(L380&gt;R380,"Reported balance higher than expected (missing increase/OC build)","Reported balance lower than expected (missing decrease)"))))),""))</f>
        <v/>
      </c>
    </row>
    <row r="381" customFormat="false" ht="15" hidden="false" customHeight="fals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9"/>
      <c r="L381" s="9"/>
      <c r="M381" s="9"/>
      <c r="N381" s="9"/>
      <c r="O381" s="9"/>
      <c r="P381" s="9"/>
      <c r="Q381" s="9"/>
      <c r="R381" s="9" t="str">
        <f aca="false">IF(AND(A381&lt;&gt;"",ISNUMBER(Q381),ISNUMBER(L381)),ROUND(Q381-IF(ISNUMBER(N381),N381,0)-IF(ISNUMBER(O381),O381,0)+IF(ISNUMBER(P381),P381,0),2),"")</f>
        <v/>
      </c>
      <c r="S381" s="9" t="str">
        <f aca="false">IF(R381="","",ROUND(L381-R381,2))</f>
        <v/>
      </c>
      <c r="T381" s="8" t="str">
        <f aca="false">IF(A381="","",IF(S381="","BYPASS",IF(ABS(S381)&lt;=Summary!$B$2,"PASS","FAIL")))</f>
        <v/>
      </c>
      <c r="U381" s="8" t="str">
        <f aca="false">IF(T381="BYPASS",IF(NOT(ISNUMBER(Q381)),"PreV_ETB missing","End_tr_balance missing"),IF(T381="FAIL",IF(AND(ISNUMBER(K381),ISNUMBER(L381),ABS(L381-(K381-IF(ISNUMBER(N381),N381,0)-IF(ISNUMBER(O381),O381,0)+IF(ISNUMBER(P381),P381,0)))&lt;=Summary!$B$2),"Passes using beginning_balance - PreV_ETB differs from beginning_balance",IF(AND(ISNUMBER(O381),O381&lt;0,ABS(L381-(Q381-IF(ISNUMBER(N381),N381,0)+IF(ISNUMBER(P381),P381,0)))&lt;=Summary!$B$2),"Negative realized loss not applied - check sign",IF(R381&lt;0,"Principal paid exceeds prior balance",IF(AND(L381&gt;Q381,NOT(ISNUMBER(P381))),"Balance increased but no Deferred_interest reported",IF(L381&gt;R381,"Reported balance higher than expected (missing increase/OC build)","Reported balance lower than expected (missing decrease)"))))),""))</f>
        <v/>
      </c>
    </row>
    <row r="382" customFormat="false" ht="15" hidden="false" customHeight="fals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9"/>
      <c r="L382" s="9"/>
      <c r="M382" s="9"/>
      <c r="N382" s="9"/>
      <c r="O382" s="9"/>
      <c r="P382" s="9"/>
      <c r="Q382" s="9"/>
      <c r="R382" s="9" t="str">
        <f aca="false">IF(AND(A382&lt;&gt;"",ISNUMBER(Q382),ISNUMBER(L382)),ROUND(Q382-IF(ISNUMBER(N382),N382,0)-IF(ISNUMBER(O382),O382,0)+IF(ISNUMBER(P382),P382,0),2),"")</f>
        <v/>
      </c>
      <c r="S382" s="9" t="str">
        <f aca="false">IF(R382="","",ROUND(L382-R382,2))</f>
        <v/>
      </c>
      <c r="T382" s="8" t="str">
        <f aca="false">IF(A382="","",IF(S382="","BYPASS",IF(ABS(S382)&lt;=Summary!$B$2,"PASS","FAIL")))</f>
        <v/>
      </c>
      <c r="U382" s="8" t="str">
        <f aca="false">IF(T382="BYPASS",IF(NOT(ISNUMBER(Q382)),"PreV_ETB missing","End_tr_balance missing"),IF(T382="FAIL",IF(AND(ISNUMBER(K382),ISNUMBER(L382),ABS(L382-(K382-IF(ISNUMBER(N382),N382,0)-IF(ISNUMBER(O382),O382,0)+IF(ISNUMBER(P382),P382,0)))&lt;=Summary!$B$2),"Passes using beginning_balance - PreV_ETB differs from beginning_balance",IF(AND(ISNUMBER(O382),O382&lt;0,ABS(L382-(Q382-IF(ISNUMBER(N382),N382,0)+IF(ISNUMBER(P382),P382,0)))&lt;=Summary!$B$2),"Negative realized loss not applied - check sign",IF(R382&lt;0,"Principal paid exceeds prior balance",IF(AND(L382&gt;Q382,NOT(ISNUMBER(P382))),"Balance increased but no Deferred_interest reported",IF(L382&gt;R382,"Reported balance higher than expected (missing increase/OC build)","Reported balance lower than expected (missing decrease)"))))),""))</f>
        <v/>
      </c>
    </row>
    <row r="383" customFormat="false" ht="15" hidden="false" customHeight="fals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9"/>
      <c r="L383" s="9"/>
      <c r="M383" s="9"/>
      <c r="N383" s="9"/>
      <c r="O383" s="9"/>
      <c r="P383" s="9"/>
      <c r="Q383" s="9"/>
      <c r="R383" s="9" t="str">
        <f aca="false">IF(AND(A383&lt;&gt;"",ISNUMBER(Q383),ISNUMBER(L383)),ROUND(Q383-IF(ISNUMBER(N383),N383,0)-IF(ISNUMBER(O383),O383,0)+IF(ISNUMBER(P383),P383,0),2),"")</f>
        <v/>
      </c>
      <c r="S383" s="9" t="str">
        <f aca="false">IF(R383="","",ROUND(L383-R383,2))</f>
        <v/>
      </c>
      <c r="T383" s="8" t="str">
        <f aca="false">IF(A383="","",IF(S383="","BYPASS",IF(ABS(S383)&lt;=Summary!$B$2,"PASS","FAIL")))</f>
        <v/>
      </c>
      <c r="U383" s="8" t="str">
        <f aca="false">IF(T383="BYPASS",IF(NOT(ISNUMBER(Q383)),"PreV_ETB missing","End_tr_balance missing"),IF(T383="FAIL",IF(AND(ISNUMBER(K383),ISNUMBER(L383),ABS(L383-(K383-IF(ISNUMBER(N383),N383,0)-IF(ISNUMBER(O383),O383,0)+IF(ISNUMBER(P383),P383,0)))&lt;=Summary!$B$2),"Passes using beginning_balance - PreV_ETB differs from beginning_balance",IF(AND(ISNUMBER(O383),O383&lt;0,ABS(L383-(Q383-IF(ISNUMBER(N383),N383,0)+IF(ISNUMBER(P383),P383,0)))&lt;=Summary!$B$2),"Negative realized loss not applied - check sign",IF(R383&lt;0,"Principal paid exceeds prior balance",IF(AND(L383&gt;Q383,NOT(ISNUMBER(P383))),"Balance increased but no Deferred_interest reported",IF(L383&gt;R383,"Reported balance higher than expected (missing increase/OC build)","Reported balance lower than expected (missing decrease)"))))),""))</f>
        <v/>
      </c>
    </row>
    <row r="384" customFormat="false" ht="15" hidden="false" customHeight="fals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9"/>
      <c r="L384" s="9"/>
      <c r="M384" s="9"/>
      <c r="N384" s="9"/>
      <c r="O384" s="9"/>
      <c r="P384" s="9"/>
      <c r="Q384" s="9"/>
      <c r="R384" s="9" t="str">
        <f aca="false">IF(AND(A384&lt;&gt;"",ISNUMBER(Q384),ISNUMBER(L384)),ROUND(Q384-IF(ISNUMBER(N384),N384,0)-IF(ISNUMBER(O384),O384,0)+IF(ISNUMBER(P384),P384,0),2),"")</f>
        <v/>
      </c>
      <c r="S384" s="9" t="str">
        <f aca="false">IF(R384="","",ROUND(L384-R384,2))</f>
        <v/>
      </c>
      <c r="T384" s="8" t="str">
        <f aca="false">IF(A384="","",IF(S384="","BYPASS",IF(ABS(S384)&lt;=Summary!$B$2,"PASS","FAIL")))</f>
        <v/>
      </c>
      <c r="U384" s="8" t="str">
        <f aca="false">IF(T384="BYPASS",IF(NOT(ISNUMBER(Q384)),"PreV_ETB missing","End_tr_balance missing"),IF(T384="FAIL",IF(AND(ISNUMBER(K384),ISNUMBER(L384),ABS(L384-(K384-IF(ISNUMBER(N384),N384,0)-IF(ISNUMBER(O384),O384,0)+IF(ISNUMBER(P384),P384,0)))&lt;=Summary!$B$2),"Passes using beginning_balance - PreV_ETB differs from beginning_balance",IF(AND(ISNUMBER(O384),O384&lt;0,ABS(L384-(Q384-IF(ISNUMBER(N384),N384,0)+IF(ISNUMBER(P384),P384,0)))&lt;=Summary!$B$2),"Negative realized loss not applied - check sign",IF(R384&lt;0,"Principal paid exceeds prior balance",IF(AND(L384&gt;Q384,NOT(ISNUMBER(P384))),"Balance increased but no Deferred_interest reported",IF(L384&gt;R384,"Reported balance higher than expected (missing increase/OC build)","Reported balance lower than expected (missing decrease)"))))),""))</f>
        <v/>
      </c>
    </row>
    <row r="385" customFormat="false" ht="15" hidden="false" customHeight="fals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9"/>
      <c r="L385" s="9"/>
      <c r="M385" s="9"/>
      <c r="N385" s="9"/>
      <c r="O385" s="9"/>
      <c r="P385" s="9"/>
      <c r="Q385" s="9"/>
      <c r="R385" s="9" t="str">
        <f aca="false">IF(AND(A385&lt;&gt;"",ISNUMBER(Q385),ISNUMBER(L385)),ROUND(Q385-IF(ISNUMBER(N385),N385,0)-IF(ISNUMBER(O385),O385,0)+IF(ISNUMBER(P385),P385,0),2),"")</f>
        <v/>
      </c>
      <c r="S385" s="9" t="str">
        <f aca="false">IF(R385="","",ROUND(L385-R385,2))</f>
        <v/>
      </c>
      <c r="T385" s="8" t="str">
        <f aca="false">IF(A385="","",IF(S385="","BYPASS",IF(ABS(S385)&lt;=Summary!$B$2,"PASS","FAIL")))</f>
        <v/>
      </c>
      <c r="U385" s="8" t="str">
        <f aca="false">IF(T385="BYPASS",IF(NOT(ISNUMBER(Q385)),"PreV_ETB missing","End_tr_balance missing"),IF(T385="FAIL",IF(AND(ISNUMBER(K385),ISNUMBER(L385),ABS(L385-(K385-IF(ISNUMBER(N385),N385,0)-IF(ISNUMBER(O385),O385,0)+IF(ISNUMBER(P385),P385,0)))&lt;=Summary!$B$2),"Passes using beginning_balance - PreV_ETB differs from beginning_balance",IF(AND(ISNUMBER(O385),O385&lt;0,ABS(L385-(Q385-IF(ISNUMBER(N385),N385,0)+IF(ISNUMBER(P385),P385,0)))&lt;=Summary!$B$2),"Negative realized loss not applied - check sign",IF(R385&lt;0,"Principal paid exceeds prior balance",IF(AND(L385&gt;Q385,NOT(ISNUMBER(P385))),"Balance increased but no Deferred_interest reported",IF(L385&gt;R385,"Reported balance higher than expected (missing increase/OC build)","Reported balance lower than expected (missing decrease)"))))),""))</f>
        <v/>
      </c>
    </row>
    <row r="386" customFormat="false" ht="15" hidden="false" customHeight="fals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9"/>
      <c r="L386" s="9"/>
      <c r="M386" s="9"/>
      <c r="N386" s="9"/>
      <c r="O386" s="9"/>
      <c r="P386" s="9"/>
      <c r="Q386" s="9"/>
      <c r="R386" s="9" t="str">
        <f aca="false">IF(AND(A386&lt;&gt;"",ISNUMBER(Q386),ISNUMBER(L386)),ROUND(Q386-IF(ISNUMBER(N386),N386,0)-IF(ISNUMBER(O386),O386,0)+IF(ISNUMBER(P386),P386,0),2),"")</f>
        <v/>
      </c>
      <c r="S386" s="9" t="str">
        <f aca="false">IF(R386="","",ROUND(L386-R386,2))</f>
        <v/>
      </c>
      <c r="T386" s="8" t="str">
        <f aca="false">IF(A386="","",IF(S386="","BYPASS",IF(ABS(S386)&lt;=Summary!$B$2,"PASS","FAIL")))</f>
        <v/>
      </c>
      <c r="U386" s="8" t="str">
        <f aca="false">IF(T386="BYPASS",IF(NOT(ISNUMBER(Q386)),"PreV_ETB missing","End_tr_balance missing"),IF(T386="FAIL",IF(AND(ISNUMBER(K386),ISNUMBER(L386),ABS(L386-(K386-IF(ISNUMBER(N386),N386,0)-IF(ISNUMBER(O386),O386,0)+IF(ISNUMBER(P386),P386,0)))&lt;=Summary!$B$2),"Passes using beginning_balance - PreV_ETB differs from beginning_balance",IF(AND(ISNUMBER(O386),O386&lt;0,ABS(L386-(Q386-IF(ISNUMBER(N386),N386,0)+IF(ISNUMBER(P386),P386,0)))&lt;=Summary!$B$2),"Negative realized loss not applied - check sign",IF(R386&lt;0,"Principal paid exceeds prior balance",IF(AND(L386&gt;Q386,NOT(ISNUMBER(P386))),"Balance increased but no Deferred_interest reported",IF(L386&gt;R386,"Reported balance higher than expected (missing increase/OC build)","Reported balance lower than expected (missing decrease)"))))),""))</f>
        <v/>
      </c>
    </row>
    <row r="387" customFormat="false" ht="15" hidden="false" customHeight="fals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9"/>
      <c r="L387" s="9"/>
      <c r="M387" s="9"/>
      <c r="N387" s="9"/>
      <c r="O387" s="9"/>
      <c r="P387" s="9"/>
      <c r="Q387" s="9"/>
      <c r="R387" s="9" t="str">
        <f aca="false">IF(AND(A387&lt;&gt;"",ISNUMBER(Q387),ISNUMBER(L387)),ROUND(Q387-IF(ISNUMBER(N387),N387,0)-IF(ISNUMBER(O387),O387,0)+IF(ISNUMBER(P387),P387,0),2),"")</f>
        <v/>
      </c>
      <c r="S387" s="9" t="str">
        <f aca="false">IF(R387="","",ROUND(L387-R387,2))</f>
        <v/>
      </c>
      <c r="T387" s="8" t="str">
        <f aca="false">IF(A387="","",IF(S387="","BYPASS",IF(ABS(S387)&lt;=Summary!$B$2,"PASS","FAIL")))</f>
        <v/>
      </c>
      <c r="U387" s="8" t="str">
        <f aca="false">IF(T387="BYPASS",IF(NOT(ISNUMBER(Q387)),"PreV_ETB missing","End_tr_balance missing"),IF(T387="FAIL",IF(AND(ISNUMBER(K387),ISNUMBER(L387),ABS(L387-(K387-IF(ISNUMBER(N387),N387,0)-IF(ISNUMBER(O387),O387,0)+IF(ISNUMBER(P387),P387,0)))&lt;=Summary!$B$2),"Passes using beginning_balance - PreV_ETB differs from beginning_balance",IF(AND(ISNUMBER(O387),O387&lt;0,ABS(L387-(Q387-IF(ISNUMBER(N387),N387,0)+IF(ISNUMBER(P387),P387,0)))&lt;=Summary!$B$2),"Negative realized loss not applied - check sign",IF(R387&lt;0,"Principal paid exceeds prior balance",IF(AND(L387&gt;Q387,NOT(ISNUMBER(P387))),"Balance increased but no Deferred_interest reported",IF(L387&gt;R387,"Reported balance higher than expected (missing increase/OC build)","Reported balance lower than expected (missing decrease)"))))),""))</f>
        <v/>
      </c>
    </row>
    <row r="388" customFormat="false" ht="15" hidden="false" customHeight="fals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9"/>
      <c r="L388" s="9"/>
      <c r="M388" s="9"/>
      <c r="N388" s="9"/>
      <c r="O388" s="9"/>
      <c r="P388" s="9"/>
      <c r="Q388" s="9"/>
      <c r="R388" s="9" t="str">
        <f aca="false">IF(AND(A388&lt;&gt;"",ISNUMBER(Q388),ISNUMBER(L388)),ROUND(Q388-IF(ISNUMBER(N388),N388,0)-IF(ISNUMBER(O388),O388,0)+IF(ISNUMBER(P388),P388,0),2),"")</f>
        <v/>
      </c>
      <c r="S388" s="9" t="str">
        <f aca="false">IF(R388="","",ROUND(L388-R388,2))</f>
        <v/>
      </c>
      <c r="T388" s="8" t="str">
        <f aca="false">IF(A388="","",IF(S388="","BYPASS",IF(ABS(S388)&lt;=Summary!$B$2,"PASS","FAIL")))</f>
        <v/>
      </c>
      <c r="U388" s="8" t="str">
        <f aca="false">IF(T388="BYPASS",IF(NOT(ISNUMBER(Q388)),"PreV_ETB missing","End_tr_balance missing"),IF(T388="FAIL",IF(AND(ISNUMBER(K388),ISNUMBER(L388),ABS(L388-(K388-IF(ISNUMBER(N388),N388,0)-IF(ISNUMBER(O388),O388,0)+IF(ISNUMBER(P388),P388,0)))&lt;=Summary!$B$2),"Passes using beginning_balance - PreV_ETB differs from beginning_balance",IF(AND(ISNUMBER(O388),O388&lt;0,ABS(L388-(Q388-IF(ISNUMBER(N388),N388,0)+IF(ISNUMBER(P388),P388,0)))&lt;=Summary!$B$2),"Negative realized loss not applied - check sign",IF(R388&lt;0,"Principal paid exceeds prior balance",IF(AND(L388&gt;Q388,NOT(ISNUMBER(P388))),"Balance increased but no Deferred_interest reported",IF(L388&gt;R388,"Reported balance higher than expected (missing increase/OC build)","Reported balance lower than expected (missing decrease)"))))),""))</f>
        <v/>
      </c>
    </row>
    <row r="389" customFormat="false" ht="15" hidden="false" customHeight="fals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9"/>
      <c r="L389" s="9"/>
      <c r="M389" s="9"/>
      <c r="N389" s="9"/>
      <c r="O389" s="9"/>
      <c r="P389" s="9"/>
      <c r="Q389" s="9"/>
      <c r="R389" s="9" t="str">
        <f aca="false">IF(AND(A389&lt;&gt;"",ISNUMBER(Q389),ISNUMBER(L389)),ROUND(Q389-IF(ISNUMBER(N389),N389,0)-IF(ISNUMBER(O389),O389,0)+IF(ISNUMBER(P389),P389,0),2),"")</f>
        <v/>
      </c>
      <c r="S389" s="9" t="str">
        <f aca="false">IF(R389="","",ROUND(L389-R389,2))</f>
        <v/>
      </c>
      <c r="T389" s="8" t="str">
        <f aca="false">IF(A389="","",IF(S389="","BYPASS",IF(ABS(S389)&lt;=Summary!$B$2,"PASS","FAIL")))</f>
        <v/>
      </c>
      <c r="U389" s="8" t="str">
        <f aca="false">IF(T389="BYPASS",IF(NOT(ISNUMBER(Q389)),"PreV_ETB missing","End_tr_balance missing"),IF(T389="FAIL",IF(AND(ISNUMBER(K389),ISNUMBER(L389),ABS(L389-(K389-IF(ISNUMBER(N389),N389,0)-IF(ISNUMBER(O389),O389,0)+IF(ISNUMBER(P389),P389,0)))&lt;=Summary!$B$2),"Passes using beginning_balance - PreV_ETB differs from beginning_balance",IF(AND(ISNUMBER(O389),O389&lt;0,ABS(L389-(Q389-IF(ISNUMBER(N389),N389,0)+IF(ISNUMBER(P389),P389,0)))&lt;=Summary!$B$2),"Negative realized loss not applied - check sign",IF(R389&lt;0,"Principal paid exceeds prior balance",IF(AND(L389&gt;Q389,NOT(ISNUMBER(P389))),"Balance increased but no Deferred_interest reported",IF(L389&gt;R389,"Reported balance higher than expected (missing increase/OC build)","Reported balance lower than expected (missing decrease)"))))),""))</f>
        <v/>
      </c>
    </row>
    <row r="390" customFormat="false" ht="15" hidden="false" customHeight="fals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9"/>
      <c r="L390" s="9"/>
      <c r="M390" s="9"/>
      <c r="N390" s="9"/>
      <c r="O390" s="9"/>
      <c r="P390" s="9"/>
      <c r="Q390" s="9"/>
      <c r="R390" s="9" t="str">
        <f aca="false">IF(AND(A390&lt;&gt;"",ISNUMBER(Q390),ISNUMBER(L390)),ROUND(Q390-IF(ISNUMBER(N390),N390,0)-IF(ISNUMBER(O390),O390,0)+IF(ISNUMBER(P390),P390,0),2),"")</f>
        <v/>
      </c>
      <c r="S390" s="9" t="str">
        <f aca="false">IF(R390="","",ROUND(L390-R390,2))</f>
        <v/>
      </c>
      <c r="T390" s="8" t="str">
        <f aca="false">IF(A390="","",IF(S390="","BYPASS",IF(ABS(S390)&lt;=Summary!$B$2,"PASS","FAIL")))</f>
        <v/>
      </c>
      <c r="U390" s="8" t="str">
        <f aca="false">IF(T390="BYPASS",IF(NOT(ISNUMBER(Q390)),"PreV_ETB missing","End_tr_balance missing"),IF(T390="FAIL",IF(AND(ISNUMBER(K390),ISNUMBER(L390),ABS(L390-(K390-IF(ISNUMBER(N390),N390,0)-IF(ISNUMBER(O390),O390,0)+IF(ISNUMBER(P390),P390,0)))&lt;=Summary!$B$2),"Passes using beginning_balance - PreV_ETB differs from beginning_balance",IF(AND(ISNUMBER(O390),O390&lt;0,ABS(L390-(Q390-IF(ISNUMBER(N390),N390,0)+IF(ISNUMBER(P390),P390,0)))&lt;=Summary!$B$2),"Negative realized loss not applied - check sign",IF(R390&lt;0,"Principal paid exceeds prior balance",IF(AND(L390&gt;Q390,NOT(ISNUMBER(P390))),"Balance increased but no Deferred_interest reported",IF(L390&gt;R390,"Reported balance higher than expected (missing increase/OC build)","Reported balance lower than expected (missing decrease)"))))),""))</f>
        <v/>
      </c>
    </row>
    <row r="391" customFormat="false" ht="15" hidden="false" customHeight="fals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9"/>
      <c r="L391" s="9"/>
      <c r="M391" s="9"/>
      <c r="N391" s="9"/>
      <c r="O391" s="9"/>
      <c r="P391" s="9"/>
      <c r="Q391" s="9"/>
      <c r="R391" s="9" t="str">
        <f aca="false">IF(AND(A391&lt;&gt;"",ISNUMBER(Q391),ISNUMBER(L391)),ROUND(Q391-IF(ISNUMBER(N391),N391,0)-IF(ISNUMBER(O391),O391,0)+IF(ISNUMBER(P391),P391,0),2),"")</f>
        <v/>
      </c>
      <c r="S391" s="9" t="str">
        <f aca="false">IF(R391="","",ROUND(L391-R391,2))</f>
        <v/>
      </c>
      <c r="T391" s="8" t="str">
        <f aca="false">IF(A391="","",IF(S391="","BYPASS",IF(ABS(S391)&lt;=Summary!$B$2,"PASS","FAIL")))</f>
        <v/>
      </c>
      <c r="U391" s="8" t="str">
        <f aca="false">IF(T391="BYPASS",IF(NOT(ISNUMBER(Q391)),"PreV_ETB missing","End_tr_balance missing"),IF(T391="FAIL",IF(AND(ISNUMBER(K391),ISNUMBER(L391),ABS(L391-(K391-IF(ISNUMBER(N391),N391,0)-IF(ISNUMBER(O391),O391,0)+IF(ISNUMBER(P391),P391,0)))&lt;=Summary!$B$2),"Passes using beginning_balance - PreV_ETB differs from beginning_balance",IF(AND(ISNUMBER(O391),O391&lt;0,ABS(L391-(Q391-IF(ISNUMBER(N391),N391,0)+IF(ISNUMBER(P391),P391,0)))&lt;=Summary!$B$2),"Negative realized loss not applied - check sign",IF(R391&lt;0,"Principal paid exceeds prior balance",IF(AND(L391&gt;Q391,NOT(ISNUMBER(P391))),"Balance increased but no Deferred_interest reported",IF(L391&gt;R391,"Reported balance higher than expected (missing increase/OC build)","Reported balance lower than expected (missing decrease)"))))),""))</f>
        <v/>
      </c>
    </row>
    <row r="392" customFormat="false" ht="15" hidden="false" customHeight="fals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9"/>
      <c r="L392" s="9"/>
      <c r="M392" s="9"/>
      <c r="N392" s="9"/>
      <c r="O392" s="9"/>
      <c r="P392" s="9"/>
      <c r="Q392" s="9"/>
      <c r="R392" s="9" t="str">
        <f aca="false">IF(AND(A392&lt;&gt;"",ISNUMBER(Q392),ISNUMBER(L392)),ROUND(Q392-IF(ISNUMBER(N392),N392,0)-IF(ISNUMBER(O392),O392,0)+IF(ISNUMBER(P392),P392,0),2),"")</f>
        <v/>
      </c>
      <c r="S392" s="9" t="str">
        <f aca="false">IF(R392="","",ROUND(L392-R392,2))</f>
        <v/>
      </c>
      <c r="T392" s="8" t="str">
        <f aca="false">IF(A392="","",IF(S392="","BYPASS",IF(ABS(S392)&lt;=Summary!$B$2,"PASS","FAIL")))</f>
        <v/>
      </c>
      <c r="U392" s="8" t="str">
        <f aca="false">IF(T392="BYPASS",IF(NOT(ISNUMBER(Q392)),"PreV_ETB missing","End_tr_balance missing"),IF(T392="FAIL",IF(AND(ISNUMBER(K392),ISNUMBER(L392),ABS(L392-(K392-IF(ISNUMBER(N392),N392,0)-IF(ISNUMBER(O392),O392,0)+IF(ISNUMBER(P392),P392,0)))&lt;=Summary!$B$2),"Passes using beginning_balance - PreV_ETB differs from beginning_balance",IF(AND(ISNUMBER(O392),O392&lt;0,ABS(L392-(Q392-IF(ISNUMBER(N392),N392,0)+IF(ISNUMBER(P392),P392,0)))&lt;=Summary!$B$2),"Negative realized loss not applied - check sign",IF(R392&lt;0,"Principal paid exceeds prior balance",IF(AND(L392&gt;Q392,NOT(ISNUMBER(P392))),"Balance increased but no Deferred_interest reported",IF(L392&gt;R392,"Reported balance higher than expected (missing increase/OC build)","Reported balance lower than expected (missing decrease)"))))),""))</f>
        <v/>
      </c>
    </row>
    <row r="393" customFormat="false" ht="15" hidden="false" customHeight="fals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9"/>
      <c r="L393" s="9"/>
      <c r="M393" s="9"/>
      <c r="N393" s="9"/>
      <c r="O393" s="9"/>
      <c r="P393" s="9"/>
      <c r="Q393" s="9"/>
      <c r="R393" s="9" t="str">
        <f aca="false">IF(AND(A393&lt;&gt;"",ISNUMBER(Q393),ISNUMBER(L393)),ROUND(Q393-IF(ISNUMBER(N393),N393,0)-IF(ISNUMBER(O393),O393,0)+IF(ISNUMBER(P393),P393,0),2),"")</f>
        <v/>
      </c>
      <c r="S393" s="9" t="str">
        <f aca="false">IF(R393="","",ROUND(L393-R393,2))</f>
        <v/>
      </c>
      <c r="T393" s="8" t="str">
        <f aca="false">IF(A393="","",IF(S393="","BYPASS",IF(ABS(S393)&lt;=Summary!$B$2,"PASS","FAIL")))</f>
        <v/>
      </c>
      <c r="U393" s="8" t="str">
        <f aca="false">IF(T393="BYPASS",IF(NOT(ISNUMBER(Q393)),"PreV_ETB missing","End_tr_balance missing"),IF(T393="FAIL",IF(AND(ISNUMBER(K393),ISNUMBER(L393),ABS(L393-(K393-IF(ISNUMBER(N393),N393,0)-IF(ISNUMBER(O393),O393,0)+IF(ISNUMBER(P393),P393,0)))&lt;=Summary!$B$2),"Passes using beginning_balance - PreV_ETB differs from beginning_balance",IF(AND(ISNUMBER(O393),O393&lt;0,ABS(L393-(Q393-IF(ISNUMBER(N393),N393,0)+IF(ISNUMBER(P393),P393,0)))&lt;=Summary!$B$2),"Negative realized loss not applied - check sign",IF(R393&lt;0,"Principal paid exceeds prior balance",IF(AND(L393&gt;Q393,NOT(ISNUMBER(P393))),"Balance increased but no Deferred_interest reported",IF(L393&gt;R393,"Reported balance higher than expected (missing increase/OC build)","Reported balance lower than expected (missing decrease)"))))),""))</f>
        <v/>
      </c>
    </row>
    <row r="394" customFormat="false" ht="15" hidden="false" customHeight="fals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9"/>
      <c r="L394" s="9"/>
      <c r="M394" s="9"/>
      <c r="N394" s="9"/>
      <c r="O394" s="9"/>
      <c r="P394" s="9"/>
      <c r="Q394" s="9"/>
      <c r="R394" s="9" t="str">
        <f aca="false">IF(AND(A394&lt;&gt;"",ISNUMBER(Q394),ISNUMBER(L394)),ROUND(Q394-IF(ISNUMBER(N394),N394,0)-IF(ISNUMBER(O394),O394,0)+IF(ISNUMBER(P394),P394,0),2),"")</f>
        <v/>
      </c>
      <c r="S394" s="9" t="str">
        <f aca="false">IF(R394="","",ROUND(L394-R394,2))</f>
        <v/>
      </c>
      <c r="T394" s="8" t="str">
        <f aca="false">IF(A394="","",IF(S394="","BYPASS",IF(ABS(S394)&lt;=Summary!$B$2,"PASS","FAIL")))</f>
        <v/>
      </c>
      <c r="U394" s="8" t="str">
        <f aca="false">IF(T394="BYPASS",IF(NOT(ISNUMBER(Q394)),"PreV_ETB missing","End_tr_balance missing"),IF(T394="FAIL",IF(AND(ISNUMBER(K394),ISNUMBER(L394),ABS(L394-(K394-IF(ISNUMBER(N394),N394,0)-IF(ISNUMBER(O394),O394,0)+IF(ISNUMBER(P394),P394,0)))&lt;=Summary!$B$2),"Passes using beginning_balance - PreV_ETB differs from beginning_balance",IF(AND(ISNUMBER(O394),O394&lt;0,ABS(L394-(Q394-IF(ISNUMBER(N394),N394,0)+IF(ISNUMBER(P394),P394,0)))&lt;=Summary!$B$2),"Negative realized loss not applied - check sign",IF(R394&lt;0,"Principal paid exceeds prior balance",IF(AND(L394&gt;Q394,NOT(ISNUMBER(P394))),"Balance increased but no Deferred_interest reported",IF(L394&gt;R394,"Reported balance higher than expected (missing increase/OC build)","Reported balance lower than expected (missing decrease)"))))),""))</f>
        <v/>
      </c>
    </row>
    <row r="395" customFormat="false" ht="15" hidden="false" customHeight="fals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9"/>
      <c r="L395" s="9"/>
      <c r="M395" s="9"/>
      <c r="N395" s="9"/>
      <c r="O395" s="9"/>
      <c r="P395" s="9"/>
      <c r="Q395" s="9"/>
      <c r="R395" s="9" t="str">
        <f aca="false">IF(AND(A395&lt;&gt;"",ISNUMBER(Q395),ISNUMBER(L395)),ROUND(Q395-IF(ISNUMBER(N395),N395,0)-IF(ISNUMBER(O395),O395,0)+IF(ISNUMBER(P395),P395,0),2),"")</f>
        <v/>
      </c>
      <c r="S395" s="9" t="str">
        <f aca="false">IF(R395="","",ROUND(L395-R395,2))</f>
        <v/>
      </c>
      <c r="T395" s="8" t="str">
        <f aca="false">IF(A395="","",IF(S395="","BYPASS",IF(ABS(S395)&lt;=Summary!$B$2,"PASS","FAIL")))</f>
        <v/>
      </c>
      <c r="U395" s="8" t="str">
        <f aca="false">IF(T395="BYPASS",IF(NOT(ISNUMBER(Q395)),"PreV_ETB missing","End_tr_balance missing"),IF(T395="FAIL",IF(AND(ISNUMBER(K395),ISNUMBER(L395),ABS(L395-(K395-IF(ISNUMBER(N395),N395,0)-IF(ISNUMBER(O395),O395,0)+IF(ISNUMBER(P395),P395,0)))&lt;=Summary!$B$2),"Passes using beginning_balance - PreV_ETB differs from beginning_balance",IF(AND(ISNUMBER(O395),O395&lt;0,ABS(L395-(Q395-IF(ISNUMBER(N395),N395,0)+IF(ISNUMBER(P395),P395,0)))&lt;=Summary!$B$2),"Negative realized loss not applied - check sign",IF(R395&lt;0,"Principal paid exceeds prior balance",IF(AND(L395&gt;Q395,NOT(ISNUMBER(P395))),"Balance increased but no Deferred_interest reported",IF(L395&gt;R395,"Reported balance higher than expected (missing increase/OC build)","Reported balance lower than expected (missing decrease)"))))),""))</f>
        <v/>
      </c>
    </row>
    <row r="396" customFormat="false" ht="15" hidden="false" customHeight="fals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9"/>
      <c r="L396" s="9"/>
      <c r="M396" s="9"/>
      <c r="N396" s="9"/>
      <c r="O396" s="9"/>
      <c r="P396" s="9"/>
      <c r="Q396" s="9"/>
      <c r="R396" s="9" t="str">
        <f aca="false">IF(AND(A396&lt;&gt;"",ISNUMBER(Q396),ISNUMBER(L396)),ROUND(Q396-IF(ISNUMBER(N396),N396,0)-IF(ISNUMBER(O396),O396,0)+IF(ISNUMBER(P396),P396,0),2),"")</f>
        <v/>
      </c>
      <c r="S396" s="9" t="str">
        <f aca="false">IF(R396="","",ROUND(L396-R396,2))</f>
        <v/>
      </c>
      <c r="T396" s="8" t="str">
        <f aca="false">IF(A396="","",IF(S396="","BYPASS",IF(ABS(S396)&lt;=Summary!$B$2,"PASS","FAIL")))</f>
        <v/>
      </c>
      <c r="U396" s="8" t="str">
        <f aca="false">IF(T396="BYPASS",IF(NOT(ISNUMBER(Q396)),"PreV_ETB missing","End_tr_balance missing"),IF(T396="FAIL",IF(AND(ISNUMBER(K396),ISNUMBER(L396),ABS(L396-(K396-IF(ISNUMBER(N396),N396,0)-IF(ISNUMBER(O396),O396,0)+IF(ISNUMBER(P396),P396,0)))&lt;=Summary!$B$2),"Passes using beginning_balance - PreV_ETB differs from beginning_balance",IF(AND(ISNUMBER(O396),O396&lt;0,ABS(L396-(Q396-IF(ISNUMBER(N396),N396,0)+IF(ISNUMBER(P396),P396,0)))&lt;=Summary!$B$2),"Negative realized loss not applied - check sign",IF(R396&lt;0,"Principal paid exceeds prior balance",IF(AND(L396&gt;Q396,NOT(ISNUMBER(P396))),"Balance increased but no Deferred_interest reported",IF(L396&gt;R396,"Reported balance higher than expected (missing increase/OC build)","Reported balance lower than expected (missing decrease)"))))),""))</f>
        <v/>
      </c>
    </row>
    <row r="397" customFormat="false" ht="15" hidden="false" customHeight="fals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9"/>
      <c r="L397" s="9"/>
      <c r="M397" s="9"/>
      <c r="N397" s="9"/>
      <c r="O397" s="9"/>
      <c r="P397" s="9"/>
      <c r="Q397" s="9"/>
      <c r="R397" s="9" t="str">
        <f aca="false">IF(AND(A397&lt;&gt;"",ISNUMBER(Q397),ISNUMBER(L397)),ROUND(Q397-IF(ISNUMBER(N397),N397,0)-IF(ISNUMBER(O397),O397,0)+IF(ISNUMBER(P397),P397,0),2),"")</f>
        <v/>
      </c>
      <c r="S397" s="9" t="str">
        <f aca="false">IF(R397="","",ROUND(L397-R397,2))</f>
        <v/>
      </c>
      <c r="T397" s="8" t="str">
        <f aca="false">IF(A397="","",IF(S397="","BYPASS",IF(ABS(S397)&lt;=Summary!$B$2,"PASS","FAIL")))</f>
        <v/>
      </c>
      <c r="U397" s="8" t="str">
        <f aca="false">IF(T397="BYPASS",IF(NOT(ISNUMBER(Q397)),"PreV_ETB missing","End_tr_balance missing"),IF(T397="FAIL",IF(AND(ISNUMBER(K397),ISNUMBER(L397),ABS(L397-(K397-IF(ISNUMBER(N397),N397,0)-IF(ISNUMBER(O397),O397,0)+IF(ISNUMBER(P397),P397,0)))&lt;=Summary!$B$2),"Passes using beginning_balance - PreV_ETB differs from beginning_balance",IF(AND(ISNUMBER(O397),O397&lt;0,ABS(L397-(Q397-IF(ISNUMBER(N397),N397,0)+IF(ISNUMBER(P397),P397,0)))&lt;=Summary!$B$2),"Negative realized loss not applied - check sign",IF(R397&lt;0,"Principal paid exceeds prior balance",IF(AND(L397&gt;Q397,NOT(ISNUMBER(P397))),"Balance increased but no Deferred_interest reported",IF(L397&gt;R397,"Reported balance higher than expected (missing increase/OC build)","Reported balance lower than expected (missing decrease)"))))),""))</f>
        <v/>
      </c>
    </row>
    <row r="398" customFormat="false" ht="15" hidden="false" customHeight="fals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9"/>
      <c r="L398" s="9"/>
      <c r="M398" s="9"/>
      <c r="N398" s="9"/>
      <c r="O398" s="9"/>
      <c r="P398" s="9"/>
      <c r="Q398" s="9"/>
      <c r="R398" s="9" t="str">
        <f aca="false">IF(AND(A398&lt;&gt;"",ISNUMBER(Q398),ISNUMBER(L398)),ROUND(Q398-IF(ISNUMBER(N398),N398,0)-IF(ISNUMBER(O398),O398,0)+IF(ISNUMBER(P398),P398,0),2),"")</f>
        <v/>
      </c>
      <c r="S398" s="9" t="str">
        <f aca="false">IF(R398="","",ROUND(L398-R398,2))</f>
        <v/>
      </c>
      <c r="T398" s="8" t="str">
        <f aca="false">IF(A398="","",IF(S398="","BYPASS",IF(ABS(S398)&lt;=Summary!$B$2,"PASS","FAIL")))</f>
        <v/>
      </c>
      <c r="U398" s="8" t="str">
        <f aca="false">IF(T398="BYPASS",IF(NOT(ISNUMBER(Q398)),"PreV_ETB missing","End_tr_balance missing"),IF(T398="FAIL",IF(AND(ISNUMBER(K398),ISNUMBER(L398),ABS(L398-(K398-IF(ISNUMBER(N398),N398,0)-IF(ISNUMBER(O398),O398,0)+IF(ISNUMBER(P398),P398,0)))&lt;=Summary!$B$2),"Passes using beginning_balance - PreV_ETB differs from beginning_balance",IF(AND(ISNUMBER(O398),O398&lt;0,ABS(L398-(Q398-IF(ISNUMBER(N398),N398,0)+IF(ISNUMBER(P398),P398,0)))&lt;=Summary!$B$2),"Negative realized loss not applied - check sign",IF(R398&lt;0,"Principal paid exceeds prior balance",IF(AND(L398&gt;Q398,NOT(ISNUMBER(P398))),"Balance increased but no Deferred_interest reported",IF(L398&gt;R398,"Reported balance higher than expected (missing increase/OC build)","Reported balance lower than expected (missing decrease)"))))),""))</f>
        <v/>
      </c>
    </row>
    <row r="399" customFormat="false" ht="15" hidden="false" customHeight="fals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9"/>
      <c r="L399" s="9"/>
      <c r="M399" s="9"/>
      <c r="N399" s="9"/>
      <c r="O399" s="9"/>
      <c r="P399" s="9"/>
      <c r="Q399" s="9"/>
      <c r="R399" s="9" t="str">
        <f aca="false">IF(AND(A399&lt;&gt;"",ISNUMBER(Q399),ISNUMBER(L399)),ROUND(Q399-IF(ISNUMBER(N399),N399,0)-IF(ISNUMBER(O399),O399,0)+IF(ISNUMBER(P399),P399,0),2),"")</f>
        <v/>
      </c>
      <c r="S399" s="9" t="str">
        <f aca="false">IF(R399="","",ROUND(L399-R399,2))</f>
        <v/>
      </c>
      <c r="T399" s="8" t="str">
        <f aca="false">IF(A399="","",IF(S399="","BYPASS",IF(ABS(S399)&lt;=Summary!$B$2,"PASS","FAIL")))</f>
        <v/>
      </c>
      <c r="U399" s="8" t="str">
        <f aca="false">IF(T399="BYPASS",IF(NOT(ISNUMBER(Q399)),"PreV_ETB missing","End_tr_balance missing"),IF(T399="FAIL",IF(AND(ISNUMBER(K399),ISNUMBER(L399),ABS(L399-(K399-IF(ISNUMBER(N399),N399,0)-IF(ISNUMBER(O399),O399,0)+IF(ISNUMBER(P399),P399,0)))&lt;=Summary!$B$2),"Passes using beginning_balance - PreV_ETB differs from beginning_balance",IF(AND(ISNUMBER(O399),O399&lt;0,ABS(L399-(Q399-IF(ISNUMBER(N399),N399,0)+IF(ISNUMBER(P399),P399,0)))&lt;=Summary!$B$2),"Negative realized loss not applied - check sign",IF(R399&lt;0,"Principal paid exceeds prior balance",IF(AND(L399&gt;Q399,NOT(ISNUMBER(P399))),"Balance increased but no Deferred_interest reported",IF(L399&gt;R399,"Reported balance higher than expected (missing increase/OC build)","Reported balance lower than expected (missing decrease)"))))),""))</f>
        <v/>
      </c>
    </row>
    <row r="400" customFormat="false" ht="15" hidden="false" customHeight="fals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9"/>
      <c r="L400" s="9"/>
      <c r="M400" s="9"/>
      <c r="N400" s="9"/>
      <c r="O400" s="9"/>
      <c r="P400" s="9"/>
      <c r="Q400" s="9"/>
      <c r="R400" s="9" t="str">
        <f aca="false">IF(AND(A400&lt;&gt;"",ISNUMBER(Q400),ISNUMBER(L400)),ROUND(Q400-IF(ISNUMBER(N400),N400,0)-IF(ISNUMBER(O400),O400,0)+IF(ISNUMBER(P400),P400,0),2),"")</f>
        <v/>
      </c>
      <c r="S400" s="9" t="str">
        <f aca="false">IF(R400="","",ROUND(L400-R400,2))</f>
        <v/>
      </c>
      <c r="T400" s="8" t="str">
        <f aca="false">IF(A400="","",IF(S400="","BYPASS",IF(ABS(S400)&lt;=Summary!$B$2,"PASS","FAIL")))</f>
        <v/>
      </c>
      <c r="U400" s="8" t="str">
        <f aca="false">IF(T400="BYPASS",IF(NOT(ISNUMBER(Q400)),"PreV_ETB missing","End_tr_balance missing"),IF(T400="FAIL",IF(AND(ISNUMBER(K400),ISNUMBER(L400),ABS(L400-(K400-IF(ISNUMBER(N400),N400,0)-IF(ISNUMBER(O400),O400,0)+IF(ISNUMBER(P400),P400,0)))&lt;=Summary!$B$2),"Passes using beginning_balance - PreV_ETB differs from beginning_balance",IF(AND(ISNUMBER(O400),O400&lt;0,ABS(L400-(Q400-IF(ISNUMBER(N400),N400,0)+IF(ISNUMBER(P400),P400,0)))&lt;=Summary!$B$2),"Negative realized loss not applied - check sign",IF(R400&lt;0,"Principal paid exceeds prior balance",IF(AND(L400&gt;Q400,NOT(ISNUMBER(P400))),"Balance increased but no Deferred_interest reported",IF(L400&gt;R400,"Reported balance higher than expected (missing increase/OC build)","Reported balance lower than expected (missing decrease)"))))),""))</f>
        <v/>
      </c>
    </row>
    <row r="401" customFormat="false" ht="15" hidden="false" customHeight="fals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9"/>
      <c r="L401" s="9"/>
      <c r="M401" s="9"/>
      <c r="N401" s="9"/>
      <c r="O401" s="9"/>
      <c r="P401" s="9"/>
      <c r="Q401" s="9"/>
      <c r="R401" s="9" t="str">
        <f aca="false">IF(AND(A401&lt;&gt;"",ISNUMBER(Q401),ISNUMBER(L401)),ROUND(Q401-IF(ISNUMBER(N401),N401,0)-IF(ISNUMBER(O401),O401,0)+IF(ISNUMBER(P401),P401,0),2),"")</f>
        <v/>
      </c>
      <c r="S401" s="9" t="str">
        <f aca="false">IF(R401="","",ROUND(L401-R401,2))</f>
        <v/>
      </c>
      <c r="T401" s="8" t="str">
        <f aca="false">IF(A401="","",IF(S401="","BYPASS",IF(ABS(S401)&lt;=Summary!$B$2,"PASS","FAIL")))</f>
        <v/>
      </c>
      <c r="U401" s="8" t="str">
        <f aca="false">IF(T401="BYPASS",IF(NOT(ISNUMBER(Q401)),"PreV_ETB missing","End_tr_balance missing"),IF(T401="FAIL",IF(AND(ISNUMBER(K401),ISNUMBER(L401),ABS(L401-(K401-IF(ISNUMBER(N401),N401,0)-IF(ISNUMBER(O401),O401,0)+IF(ISNUMBER(P401),P401,0)))&lt;=Summary!$B$2),"Passes using beginning_balance - PreV_ETB differs from beginning_balance",IF(AND(ISNUMBER(O401),O401&lt;0,ABS(L401-(Q401-IF(ISNUMBER(N401),N401,0)+IF(ISNUMBER(P401),P401,0)))&lt;=Summary!$B$2),"Negative realized loss not applied - check sign",IF(R401&lt;0,"Principal paid exceeds prior balance",IF(AND(L401&gt;Q401,NOT(ISNUMBER(P401))),"Balance increased but no Deferred_interest reported",IF(L401&gt;R401,"Reported balance higher than expected (missing increase/OC build)","Reported balance lower than expected (missing decrease)"))))),""))</f>
        <v/>
      </c>
    </row>
    <row r="402" customFormat="false" ht="15" hidden="false" customHeight="fals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9"/>
      <c r="L402" s="9"/>
      <c r="M402" s="9"/>
      <c r="N402" s="9"/>
      <c r="O402" s="9"/>
      <c r="P402" s="9"/>
      <c r="Q402" s="9"/>
      <c r="R402" s="9" t="str">
        <f aca="false">IF(AND(A402&lt;&gt;"",ISNUMBER(Q402),ISNUMBER(L402)),ROUND(Q402-IF(ISNUMBER(N402),N402,0)-IF(ISNUMBER(O402),O402,0)+IF(ISNUMBER(P402),P402,0),2),"")</f>
        <v/>
      </c>
      <c r="S402" s="9" t="str">
        <f aca="false">IF(R402="","",ROUND(L402-R402,2))</f>
        <v/>
      </c>
      <c r="T402" s="8" t="str">
        <f aca="false">IF(A402="","",IF(S402="","BYPASS",IF(ABS(S402)&lt;=Summary!$B$2,"PASS","FAIL")))</f>
        <v/>
      </c>
      <c r="U402" s="8" t="str">
        <f aca="false">IF(T402="BYPASS",IF(NOT(ISNUMBER(Q402)),"PreV_ETB missing","End_tr_balance missing"),IF(T402="FAIL",IF(AND(ISNUMBER(K402),ISNUMBER(L402),ABS(L402-(K402-IF(ISNUMBER(N402),N402,0)-IF(ISNUMBER(O402),O402,0)+IF(ISNUMBER(P402),P402,0)))&lt;=Summary!$B$2),"Passes using beginning_balance - PreV_ETB differs from beginning_balance",IF(AND(ISNUMBER(O402),O402&lt;0,ABS(L402-(Q402-IF(ISNUMBER(N402),N402,0)+IF(ISNUMBER(P402),P402,0)))&lt;=Summary!$B$2),"Negative realized loss not applied - check sign",IF(R402&lt;0,"Principal paid exceeds prior balance",IF(AND(L402&gt;Q402,NOT(ISNUMBER(P402))),"Balance increased but no Deferred_interest reported",IF(L402&gt;R402,"Reported balance higher than expected (missing increase/OC build)","Reported balance lower than expected (missing decrease)"))))),""))</f>
        <v/>
      </c>
    </row>
    <row r="403" customFormat="false" ht="15" hidden="false" customHeight="fals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9"/>
      <c r="L403" s="9"/>
      <c r="M403" s="9"/>
      <c r="N403" s="9"/>
      <c r="O403" s="9"/>
      <c r="P403" s="9"/>
      <c r="Q403" s="9"/>
      <c r="R403" s="9" t="str">
        <f aca="false">IF(AND(A403&lt;&gt;"",ISNUMBER(Q403),ISNUMBER(L403)),ROUND(Q403-IF(ISNUMBER(N403),N403,0)-IF(ISNUMBER(O403),O403,0)+IF(ISNUMBER(P403),P403,0),2),"")</f>
        <v/>
      </c>
      <c r="S403" s="9" t="str">
        <f aca="false">IF(R403="","",ROUND(L403-R403,2))</f>
        <v/>
      </c>
      <c r="T403" s="8" t="str">
        <f aca="false">IF(A403="","",IF(S403="","BYPASS",IF(ABS(S403)&lt;=Summary!$B$2,"PASS","FAIL")))</f>
        <v/>
      </c>
      <c r="U403" s="8" t="str">
        <f aca="false">IF(T403="BYPASS",IF(NOT(ISNUMBER(Q403)),"PreV_ETB missing","End_tr_balance missing"),IF(T403="FAIL",IF(AND(ISNUMBER(K403),ISNUMBER(L403),ABS(L403-(K403-IF(ISNUMBER(N403),N403,0)-IF(ISNUMBER(O403),O403,0)+IF(ISNUMBER(P403),P403,0)))&lt;=Summary!$B$2),"Passes using beginning_balance - PreV_ETB differs from beginning_balance",IF(AND(ISNUMBER(O403),O403&lt;0,ABS(L403-(Q403-IF(ISNUMBER(N403),N403,0)+IF(ISNUMBER(P403),P403,0)))&lt;=Summary!$B$2),"Negative realized loss not applied - check sign",IF(R403&lt;0,"Principal paid exceeds prior balance",IF(AND(L403&gt;Q403,NOT(ISNUMBER(P403))),"Balance increased but no Deferred_interest reported",IF(L403&gt;R403,"Reported balance higher than expected (missing increase/OC build)","Reported balance lower than expected (missing decrease)"))))),""))</f>
        <v/>
      </c>
    </row>
    <row r="404" customFormat="false" ht="15" hidden="false" customHeight="fals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9"/>
      <c r="L404" s="9"/>
      <c r="M404" s="9"/>
      <c r="N404" s="9"/>
      <c r="O404" s="9"/>
      <c r="P404" s="9"/>
      <c r="Q404" s="9"/>
      <c r="R404" s="9" t="str">
        <f aca="false">IF(AND(A404&lt;&gt;"",ISNUMBER(Q404),ISNUMBER(L404)),ROUND(Q404-IF(ISNUMBER(N404),N404,0)-IF(ISNUMBER(O404),O404,0)+IF(ISNUMBER(P404),P404,0),2),"")</f>
        <v/>
      </c>
      <c r="S404" s="9" t="str">
        <f aca="false">IF(R404="","",ROUND(L404-R404,2))</f>
        <v/>
      </c>
      <c r="T404" s="8" t="str">
        <f aca="false">IF(A404="","",IF(S404="","BYPASS",IF(ABS(S404)&lt;=Summary!$B$2,"PASS","FAIL")))</f>
        <v/>
      </c>
      <c r="U404" s="8" t="str">
        <f aca="false">IF(T404="BYPASS",IF(NOT(ISNUMBER(Q404)),"PreV_ETB missing","End_tr_balance missing"),IF(T404="FAIL",IF(AND(ISNUMBER(K404),ISNUMBER(L404),ABS(L404-(K404-IF(ISNUMBER(N404),N404,0)-IF(ISNUMBER(O404),O404,0)+IF(ISNUMBER(P404),P404,0)))&lt;=Summary!$B$2),"Passes using beginning_balance - PreV_ETB differs from beginning_balance",IF(AND(ISNUMBER(O404),O404&lt;0,ABS(L404-(Q404-IF(ISNUMBER(N404),N404,0)+IF(ISNUMBER(P404),P404,0)))&lt;=Summary!$B$2),"Negative realized loss not applied - check sign",IF(R404&lt;0,"Principal paid exceeds prior balance",IF(AND(L404&gt;Q404,NOT(ISNUMBER(P404))),"Balance increased but no Deferred_interest reported",IF(L404&gt;R404,"Reported balance higher than expected (missing increase/OC build)","Reported balance lower than expected (missing decrease)"))))),""))</f>
        <v/>
      </c>
    </row>
    <row r="405" customFormat="false" ht="15" hidden="false" customHeight="fals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9"/>
      <c r="L405" s="9"/>
      <c r="M405" s="9"/>
      <c r="N405" s="9"/>
      <c r="O405" s="9"/>
      <c r="P405" s="9"/>
      <c r="Q405" s="9"/>
      <c r="R405" s="9" t="str">
        <f aca="false">IF(AND(A405&lt;&gt;"",ISNUMBER(Q405),ISNUMBER(L405)),ROUND(Q405-IF(ISNUMBER(N405),N405,0)-IF(ISNUMBER(O405),O405,0)+IF(ISNUMBER(P405),P405,0),2),"")</f>
        <v/>
      </c>
      <c r="S405" s="9" t="str">
        <f aca="false">IF(R405="","",ROUND(L405-R405,2))</f>
        <v/>
      </c>
      <c r="T405" s="8" t="str">
        <f aca="false">IF(A405="","",IF(S405="","BYPASS",IF(ABS(S405)&lt;=Summary!$B$2,"PASS","FAIL")))</f>
        <v/>
      </c>
      <c r="U405" s="8" t="str">
        <f aca="false">IF(T405="BYPASS",IF(NOT(ISNUMBER(Q405)),"PreV_ETB missing","End_tr_balance missing"),IF(T405="FAIL",IF(AND(ISNUMBER(K405),ISNUMBER(L405),ABS(L405-(K405-IF(ISNUMBER(N405),N405,0)-IF(ISNUMBER(O405),O405,0)+IF(ISNUMBER(P405),P405,0)))&lt;=Summary!$B$2),"Passes using beginning_balance - PreV_ETB differs from beginning_balance",IF(AND(ISNUMBER(O405),O405&lt;0,ABS(L405-(Q405-IF(ISNUMBER(N405),N405,0)+IF(ISNUMBER(P405),P405,0)))&lt;=Summary!$B$2),"Negative realized loss not applied - check sign",IF(R405&lt;0,"Principal paid exceeds prior balance",IF(AND(L405&gt;Q405,NOT(ISNUMBER(P405))),"Balance increased but no Deferred_interest reported",IF(L405&gt;R405,"Reported balance higher than expected (missing increase/OC build)","Reported balance lower than expected (missing decrease)"))))),""))</f>
        <v/>
      </c>
    </row>
    <row r="406" customFormat="false" ht="15" hidden="false" customHeight="fals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9"/>
      <c r="L406" s="9"/>
      <c r="M406" s="9"/>
      <c r="N406" s="9"/>
      <c r="O406" s="9"/>
      <c r="P406" s="9"/>
      <c r="Q406" s="9"/>
      <c r="R406" s="9" t="str">
        <f aca="false">IF(AND(A406&lt;&gt;"",ISNUMBER(Q406),ISNUMBER(L406)),ROUND(Q406-IF(ISNUMBER(N406),N406,0)-IF(ISNUMBER(O406),O406,0)+IF(ISNUMBER(P406),P406,0),2),"")</f>
        <v/>
      </c>
      <c r="S406" s="9" t="str">
        <f aca="false">IF(R406="","",ROUND(L406-R406,2))</f>
        <v/>
      </c>
      <c r="T406" s="8" t="str">
        <f aca="false">IF(A406="","",IF(S406="","BYPASS",IF(ABS(S406)&lt;=Summary!$B$2,"PASS","FAIL")))</f>
        <v/>
      </c>
      <c r="U406" s="8" t="str">
        <f aca="false">IF(T406="BYPASS",IF(NOT(ISNUMBER(Q406)),"PreV_ETB missing","End_tr_balance missing"),IF(T406="FAIL",IF(AND(ISNUMBER(K406),ISNUMBER(L406),ABS(L406-(K406-IF(ISNUMBER(N406),N406,0)-IF(ISNUMBER(O406),O406,0)+IF(ISNUMBER(P406),P406,0)))&lt;=Summary!$B$2),"Passes using beginning_balance - PreV_ETB differs from beginning_balance",IF(AND(ISNUMBER(O406),O406&lt;0,ABS(L406-(Q406-IF(ISNUMBER(N406),N406,0)+IF(ISNUMBER(P406),P406,0)))&lt;=Summary!$B$2),"Negative realized loss not applied - check sign",IF(R406&lt;0,"Principal paid exceeds prior balance",IF(AND(L406&gt;Q406,NOT(ISNUMBER(P406))),"Balance increased but no Deferred_interest reported",IF(L406&gt;R406,"Reported balance higher than expected (missing increase/OC build)","Reported balance lower than expected (missing decrease)"))))),""))</f>
        <v/>
      </c>
    </row>
    <row r="407" customFormat="false" ht="15" hidden="false" customHeight="fals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9"/>
      <c r="L407" s="9"/>
      <c r="M407" s="9"/>
      <c r="N407" s="9"/>
      <c r="O407" s="9"/>
      <c r="P407" s="9"/>
      <c r="Q407" s="9"/>
      <c r="R407" s="9" t="str">
        <f aca="false">IF(AND(A407&lt;&gt;"",ISNUMBER(Q407),ISNUMBER(L407)),ROUND(Q407-IF(ISNUMBER(N407),N407,0)-IF(ISNUMBER(O407),O407,0)+IF(ISNUMBER(P407),P407,0),2),"")</f>
        <v/>
      </c>
      <c r="S407" s="9" t="str">
        <f aca="false">IF(R407="","",ROUND(L407-R407,2))</f>
        <v/>
      </c>
      <c r="T407" s="8" t="str">
        <f aca="false">IF(A407="","",IF(S407="","BYPASS",IF(ABS(S407)&lt;=Summary!$B$2,"PASS","FAIL")))</f>
        <v/>
      </c>
      <c r="U407" s="8" t="str">
        <f aca="false">IF(T407="BYPASS",IF(NOT(ISNUMBER(Q407)),"PreV_ETB missing","End_tr_balance missing"),IF(T407="FAIL",IF(AND(ISNUMBER(K407),ISNUMBER(L407),ABS(L407-(K407-IF(ISNUMBER(N407),N407,0)-IF(ISNUMBER(O407),O407,0)+IF(ISNUMBER(P407),P407,0)))&lt;=Summary!$B$2),"Passes using beginning_balance - PreV_ETB differs from beginning_balance",IF(AND(ISNUMBER(O407),O407&lt;0,ABS(L407-(Q407-IF(ISNUMBER(N407),N407,0)+IF(ISNUMBER(P407),P407,0)))&lt;=Summary!$B$2),"Negative realized loss not applied - check sign",IF(R407&lt;0,"Principal paid exceeds prior balance",IF(AND(L407&gt;Q407,NOT(ISNUMBER(P407))),"Balance increased but no Deferred_interest reported",IF(L407&gt;R407,"Reported balance higher than expected (missing increase/OC build)","Reported balance lower than expected (missing decrease)"))))),""))</f>
        <v/>
      </c>
    </row>
    <row r="408" customFormat="false" ht="15" hidden="false" customHeight="fals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9"/>
      <c r="L408" s="9"/>
      <c r="M408" s="9"/>
      <c r="N408" s="9"/>
      <c r="O408" s="9"/>
      <c r="P408" s="9"/>
      <c r="Q408" s="9"/>
      <c r="R408" s="9" t="str">
        <f aca="false">IF(AND(A408&lt;&gt;"",ISNUMBER(Q408),ISNUMBER(L408)),ROUND(Q408-IF(ISNUMBER(N408),N408,0)-IF(ISNUMBER(O408),O408,0)+IF(ISNUMBER(P408),P408,0),2),"")</f>
        <v/>
      </c>
      <c r="S408" s="9" t="str">
        <f aca="false">IF(R408="","",ROUND(L408-R408,2))</f>
        <v/>
      </c>
      <c r="T408" s="8" t="str">
        <f aca="false">IF(A408="","",IF(S408="","BYPASS",IF(ABS(S408)&lt;=Summary!$B$2,"PASS","FAIL")))</f>
        <v/>
      </c>
      <c r="U408" s="8" t="str">
        <f aca="false">IF(T408="BYPASS",IF(NOT(ISNUMBER(Q408)),"PreV_ETB missing","End_tr_balance missing"),IF(T408="FAIL",IF(AND(ISNUMBER(K408),ISNUMBER(L408),ABS(L408-(K408-IF(ISNUMBER(N408),N408,0)-IF(ISNUMBER(O408),O408,0)+IF(ISNUMBER(P408),P408,0)))&lt;=Summary!$B$2),"Passes using beginning_balance - PreV_ETB differs from beginning_balance",IF(AND(ISNUMBER(O408),O408&lt;0,ABS(L408-(Q408-IF(ISNUMBER(N408),N408,0)+IF(ISNUMBER(P408),P408,0)))&lt;=Summary!$B$2),"Negative realized loss not applied - check sign",IF(R408&lt;0,"Principal paid exceeds prior balance",IF(AND(L408&gt;Q408,NOT(ISNUMBER(P408))),"Balance increased but no Deferred_interest reported",IF(L408&gt;R408,"Reported balance higher than expected (missing increase/OC build)","Reported balance lower than expected (missing decrease)"))))),""))</f>
        <v/>
      </c>
    </row>
    <row r="409" customFormat="false" ht="15" hidden="false" customHeight="fals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9"/>
      <c r="L409" s="9"/>
      <c r="M409" s="9"/>
      <c r="N409" s="9"/>
      <c r="O409" s="9"/>
      <c r="P409" s="9"/>
      <c r="Q409" s="9"/>
      <c r="R409" s="9" t="str">
        <f aca="false">IF(AND(A409&lt;&gt;"",ISNUMBER(Q409),ISNUMBER(L409)),ROUND(Q409-IF(ISNUMBER(N409),N409,0)-IF(ISNUMBER(O409),O409,0)+IF(ISNUMBER(P409),P409,0),2),"")</f>
        <v/>
      </c>
      <c r="S409" s="9" t="str">
        <f aca="false">IF(R409="","",ROUND(L409-R409,2))</f>
        <v/>
      </c>
      <c r="T409" s="8" t="str">
        <f aca="false">IF(A409="","",IF(S409="","BYPASS",IF(ABS(S409)&lt;=Summary!$B$2,"PASS","FAIL")))</f>
        <v/>
      </c>
      <c r="U409" s="8" t="str">
        <f aca="false">IF(T409="BYPASS",IF(NOT(ISNUMBER(Q409)),"PreV_ETB missing","End_tr_balance missing"),IF(T409="FAIL",IF(AND(ISNUMBER(K409),ISNUMBER(L409),ABS(L409-(K409-IF(ISNUMBER(N409),N409,0)-IF(ISNUMBER(O409),O409,0)+IF(ISNUMBER(P409),P409,0)))&lt;=Summary!$B$2),"Passes using beginning_balance - PreV_ETB differs from beginning_balance",IF(AND(ISNUMBER(O409),O409&lt;0,ABS(L409-(Q409-IF(ISNUMBER(N409),N409,0)+IF(ISNUMBER(P409),P409,0)))&lt;=Summary!$B$2),"Negative realized loss not applied - check sign",IF(R409&lt;0,"Principal paid exceeds prior balance",IF(AND(L409&gt;Q409,NOT(ISNUMBER(P409))),"Balance increased but no Deferred_interest reported",IF(L409&gt;R409,"Reported balance higher than expected (missing increase/OC build)","Reported balance lower than expected (missing decrease)"))))),""))</f>
        <v/>
      </c>
    </row>
    <row r="410" customFormat="false" ht="15" hidden="false" customHeight="fals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9"/>
      <c r="L410" s="9"/>
      <c r="M410" s="9"/>
      <c r="N410" s="9"/>
      <c r="O410" s="9"/>
      <c r="P410" s="9"/>
      <c r="Q410" s="9"/>
      <c r="R410" s="9" t="str">
        <f aca="false">IF(AND(A410&lt;&gt;"",ISNUMBER(Q410),ISNUMBER(L410)),ROUND(Q410-IF(ISNUMBER(N410),N410,0)-IF(ISNUMBER(O410),O410,0)+IF(ISNUMBER(P410),P410,0),2),"")</f>
        <v/>
      </c>
      <c r="S410" s="9" t="str">
        <f aca="false">IF(R410="","",ROUND(L410-R410,2))</f>
        <v/>
      </c>
      <c r="T410" s="8" t="str">
        <f aca="false">IF(A410="","",IF(S410="","BYPASS",IF(ABS(S410)&lt;=Summary!$B$2,"PASS","FAIL")))</f>
        <v/>
      </c>
      <c r="U410" s="8" t="str">
        <f aca="false">IF(T410="BYPASS",IF(NOT(ISNUMBER(Q410)),"PreV_ETB missing","End_tr_balance missing"),IF(T410="FAIL",IF(AND(ISNUMBER(K410),ISNUMBER(L410),ABS(L410-(K410-IF(ISNUMBER(N410),N410,0)-IF(ISNUMBER(O410),O410,0)+IF(ISNUMBER(P410),P410,0)))&lt;=Summary!$B$2),"Passes using beginning_balance - PreV_ETB differs from beginning_balance",IF(AND(ISNUMBER(O410),O410&lt;0,ABS(L410-(Q410-IF(ISNUMBER(N410),N410,0)+IF(ISNUMBER(P410),P410,0)))&lt;=Summary!$B$2),"Negative realized loss not applied - check sign",IF(R410&lt;0,"Principal paid exceeds prior balance",IF(AND(L410&gt;Q410,NOT(ISNUMBER(P410))),"Balance increased but no Deferred_interest reported",IF(L410&gt;R410,"Reported balance higher than expected (missing increase/OC build)","Reported balance lower than expected (missing decrease)"))))),""))</f>
        <v/>
      </c>
    </row>
    <row r="411" customFormat="false" ht="15" hidden="false" customHeight="fals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9"/>
      <c r="L411" s="9"/>
      <c r="M411" s="9"/>
      <c r="N411" s="9"/>
      <c r="O411" s="9"/>
      <c r="P411" s="9"/>
      <c r="Q411" s="9"/>
      <c r="R411" s="9" t="str">
        <f aca="false">IF(AND(A411&lt;&gt;"",ISNUMBER(Q411),ISNUMBER(L411)),ROUND(Q411-IF(ISNUMBER(N411),N411,0)-IF(ISNUMBER(O411),O411,0)+IF(ISNUMBER(P411),P411,0),2),"")</f>
        <v/>
      </c>
      <c r="S411" s="9" t="str">
        <f aca="false">IF(R411="","",ROUND(L411-R411,2))</f>
        <v/>
      </c>
      <c r="T411" s="8" t="str">
        <f aca="false">IF(A411="","",IF(S411="","BYPASS",IF(ABS(S411)&lt;=Summary!$B$2,"PASS","FAIL")))</f>
        <v/>
      </c>
      <c r="U411" s="8" t="str">
        <f aca="false">IF(T411="BYPASS",IF(NOT(ISNUMBER(Q411)),"PreV_ETB missing","End_tr_balance missing"),IF(T411="FAIL",IF(AND(ISNUMBER(K411),ISNUMBER(L411),ABS(L411-(K411-IF(ISNUMBER(N411),N411,0)-IF(ISNUMBER(O411),O411,0)+IF(ISNUMBER(P411),P411,0)))&lt;=Summary!$B$2),"Passes using beginning_balance - PreV_ETB differs from beginning_balance",IF(AND(ISNUMBER(O411),O411&lt;0,ABS(L411-(Q411-IF(ISNUMBER(N411),N411,0)+IF(ISNUMBER(P411),P411,0)))&lt;=Summary!$B$2),"Negative realized loss not applied - check sign",IF(R411&lt;0,"Principal paid exceeds prior balance",IF(AND(L411&gt;Q411,NOT(ISNUMBER(P411))),"Balance increased but no Deferred_interest reported",IF(L411&gt;R411,"Reported balance higher than expected (missing increase/OC build)","Reported balance lower than expected (missing decrease)"))))),""))</f>
        <v/>
      </c>
    </row>
    <row r="412" customFormat="false" ht="15" hidden="false" customHeight="fals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9"/>
      <c r="L412" s="9"/>
      <c r="M412" s="9"/>
      <c r="N412" s="9"/>
      <c r="O412" s="9"/>
      <c r="P412" s="9"/>
      <c r="Q412" s="9"/>
      <c r="R412" s="9" t="str">
        <f aca="false">IF(AND(A412&lt;&gt;"",ISNUMBER(Q412),ISNUMBER(L412)),ROUND(Q412-IF(ISNUMBER(N412),N412,0)-IF(ISNUMBER(O412),O412,0)+IF(ISNUMBER(P412),P412,0),2),"")</f>
        <v/>
      </c>
      <c r="S412" s="9" t="str">
        <f aca="false">IF(R412="","",ROUND(L412-R412,2))</f>
        <v/>
      </c>
      <c r="T412" s="8" t="str">
        <f aca="false">IF(A412="","",IF(S412="","BYPASS",IF(ABS(S412)&lt;=Summary!$B$2,"PASS","FAIL")))</f>
        <v/>
      </c>
      <c r="U412" s="8" t="str">
        <f aca="false">IF(T412="BYPASS",IF(NOT(ISNUMBER(Q412)),"PreV_ETB missing","End_tr_balance missing"),IF(T412="FAIL",IF(AND(ISNUMBER(K412),ISNUMBER(L412),ABS(L412-(K412-IF(ISNUMBER(N412),N412,0)-IF(ISNUMBER(O412),O412,0)+IF(ISNUMBER(P412),P412,0)))&lt;=Summary!$B$2),"Passes using beginning_balance - PreV_ETB differs from beginning_balance",IF(AND(ISNUMBER(O412),O412&lt;0,ABS(L412-(Q412-IF(ISNUMBER(N412),N412,0)+IF(ISNUMBER(P412),P412,0)))&lt;=Summary!$B$2),"Negative realized loss not applied - check sign",IF(R412&lt;0,"Principal paid exceeds prior balance",IF(AND(L412&gt;Q412,NOT(ISNUMBER(P412))),"Balance increased but no Deferred_interest reported",IF(L412&gt;R412,"Reported balance higher than expected (missing increase/OC build)","Reported balance lower than expected (missing decrease)"))))),""))</f>
        <v/>
      </c>
    </row>
    <row r="413" customFormat="false" ht="15" hidden="false" customHeight="fals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9"/>
      <c r="L413" s="9"/>
      <c r="M413" s="9"/>
      <c r="N413" s="9"/>
      <c r="O413" s="9"/>
      <c r="P413" s="9"/>
      <c r="Q413" s="9"/>
      <c r="R413" s="9" t="str">
        <f aca="false">IF(AND(A413&lt;&gt;"",ISNUMBER(Q413),ISNUMBER(L413)),ROUND(Q413-IF(ISNUMBER(N413),N413,0)-IF(ISNUMBER(O413),O413,0)+IF(ISNUMBER(P413),P413,0),2),"")</f>
        <v/>
      </c>
      <c r="S413" s="9" t="str">
        <f aca="false">IF(R413="","",ROUND(L413-R413,2))</f>
        <v/>
      </c>
      <c r="T413" s="8" t="str">
        <f aca="false">IF(A413="","",IF(S413="","BYPASS",IF(ABS(S413)&lt;=Summary!$B$2,"PASS","FAIL")))</f>
        <v/>
      </c>
      <c r="U413" s="8" t="str">
        <f aca="false">IF(T413="BYPASS",IF(NOT(ISNUMBER(Q413)),"PreV_ETB missing","End_tr_balance missing"),IF(T413="FAIL",IF(AND(ISNUMBER(K413),ISNUMBER(L413),ABS(L413-(K413-IF(ISNUMBER(N413),N413,0)-IF(ISNUMBER(O413),O413,0)+IF(ISNUMBER(P413),P413,0)))&lt;=Summary!$B$2),"Passes using beginning_balance - PreV_ETB differs from beginning_balance",IF(AND(ISNUMBER(O413),O413&lt;0,ABS(L413-(Q413-IF(ISNUMBER(N413),N413,0)+IF(ISNUMBER(P413),P413,0)))&lt;=Summary!$B$2),"Negative realized loss not applied - check sign",IF(R413&lt;0,"Principal paid exceeds prior balance",IF(AND(L413&gt;Q413,NOT(ISNUMBER(P413))),"Balance increased but no Deferred_interest reported",IF(L413&gt;R413,"Reported balance higher than expected (missing increase/OC build)","Reported balance lower than expected (missing decrease)"))))),""))</f>
        <v/>
      </c>
    </row>
    <row r="414" customFormat="false" ht="15" hidden="false" customHeight="fals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9"/>
      <c r="L414" s="9"/>
      <c r="M414" s="9"/>
      <c r="N414" s="9"/>
      <c r="O414" s="9"/>
      <c r="P414" s="9"/>
      <c r="Q414" s="9"/>
      <c r="R414" s="9" t="str">
        <f aca="false">IF(AND(A414&lt;&gt;"",ISNUMBER(Q414),ISNUMBER(L414)),ROUND(Q414-IF(ISNUMBER(N414),N414,0)-IF(ISNUMBER(O414),O414,0)+IF(ISNUMBER(P414),P414,0),2),"")</f>
        <v/>
      </c>
      <c r="S414" s="9" t="str">
        <f aca="false">IF(R414="","",ROUND(L414-R414,2))</f>
        <v/>
      </c>
      <c r="T414" s="8" t="str">
        <f aca="false">IF(A414="","",IF(S414="","BYPASS",IF(ABS(S414)&lt;=Summary!$B$2,"PASS","FAIL")))</f>
        <v/>
      </c>
      <c r="U414" s="8" t="str">
        <f aca="false">IF(T414="BYPASS",IF(NOT(ISNUMBER(Q414)),"PreV_ETB missing","End_tr_balance missing"),IF(T414="FAIL",IF(AND(ISNUMBER(K414),ISNUMBER(L414),ABS(L414-(K414-IF(ISNUMBER(N414),N414,0)-IF(ISNUMBER(O414),O414,0)+IF(ISNUMBER(P414),P414,0)))&lt;=Summary!$B$2),"Passes using beginning_balance - PreV_ETB differs from beginning_balance",IF(AND(ISNUMBER(O414),O414&lt;0,ABS(L414-(Q414-IF(ISNUMBER(N414),N414,0)+IF(ISNUMBER(P414),P414,0)))&lt;=Summary!$B$2),"Negative realized loss not applied - check sign",IF(R414&lt;0,"Principal paid exceeds prior balance",IF(AND(L414&gt;Q414,NOT(ISNUMBER(P414))),"Balance increased but no Deferred_interest reported",IF(L414&gt;R414,"Reported balance higher than expected (missing increase/OC build)","Reported balance lower than expected (missing decrease)"))))),""))</f>
        <v/>
      </c>
    </row>
    <row r="415" customFormat="false" ht="15" hidden="false" customHeight="fals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9"/>
      <c r="L415" s="9"/>
      <c r="M415" s="9"/>
      <c r="N415" s="9"/>
      <c r="O415" s="9"/>
      <c r="P415" s="9"/>
      <c r="Q415" s="9"/>
      <c r="R415" s="9" t="str">
        <f aca="false">IF(AND(A415&lt;&gt;"",ISNUMBER(Q415),ISNUMBER(L415)),ROUND(Q415-IF(ISNUMBER(N415),N415,0)-IF(ISNUMBER(O415),O415,0)+IF(ISNUMBER(P415),P415,0),2),"")</f>
        <v/>
      </c>
      <c r="S415" s="9" t="str">
        <f aca="false">IF(R415="","",ROUND(L415-R415,2))</f>
        <v/>
      </c>
      <c r="T415" s="8" t="str">
        <f aca="false">IF(A415="","",IF(S415="","BYPASS",IF(ABS(S415)&lt;=Summary!$B$2,"PASS","FAIL")))</f>
        <v/>
      </c>
      <c r="U415" s="8" t="str">
        <f aca="false">IF(T415="BYPASS",IF(NOT(ISNUMBER(Q415)),"PreV_ETB missing","End_tr_balance missing"),IF(T415="FAIL",IF(AND(ISNUMBER(K415),ISNUMBER(L415),ABS(L415-(K415-IF(ISNUMBER(N415),N415,0)-IF(ISNUMBER(O415),O415,0)+IF(ISNUMBER(P415),P415,0)))&lt;=Summary!$B$2),"Passes using beginning_balance - PreV_ETB differs from beginning_balance",IF(AND(ISNUMBER(O415),O415&lt;0,ABS(L415-(Q415-IF(ISNUMBER(N415),N415,0)+IF(ISNUMBER(P415),P415,0)))&lt;=Summary!$B$2),"Negative realized loss not applied - check sign",IF(R415&lt;0,"Principal paid exceeds prior balance",IF(AND(L415&gt;Q415,NOT(ISNUMBER(P415))),"Balance increased but no Deferred_interest reported",IF(L415&gt;R415,"Reported balance higher than expected (missing increase/OC build)","Reported balance lower than expected (missing decrease)"))))),""))</f>
        <v/>
      </c>
    </row>
    <row r="416" customFormat="false" ht="15" hidden="false" customHeight="fals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9"/>
      <c r="L416" s="9"/>
      <c r="M416" s="9"/>
      <c r="N416" s="9"/>
      <c r="O416" s="9"/>
      <c r="P416" s="9"/>
      <c r="Q416" s="9"/>
      <c r="R416" s="9" t="str">
        <f aca="false">IF(AND(A416&lt;&gt;"",ISNUMBER(Q416),ISNUMBER(L416)),ROUND(Q416-IF(ISNUMBER(N416),N416,0)-IF(ISNUMBER(O416),O416,0)+IF(ISNUMBER(P416),P416,0),2),"")</f>
        <v/>
      </c>
      <c r="S416" s="9" t="str">
        <f aca="false">IF(R416="","",ROUND(L416-R416,2))</f>
        <v/>
      </c>
      <c r="T416" s="8" t="str">
        <f aca="false">IF(A416="","",IF(S416="","BYPASS",IF(ABS(S416)&lt;=Summary!$B$2,"PASS","FAIL")))</f>
        <v/>
      </c>
      <c r="U416" s="8" t="str">
        <f aca="false">IF(T416="BYPASS",IF(NOT(ISNUMBER(Q416)),"PreV_ETB missing","End_tr_balance missing"),IF(T416="FAIL",IF(AND(ISNUMBER(K416),ISNUMBER(L416),ABS(L416-(K416-IF(ISNUMBER(N416),N416,0)-IF(ISNUMBER(O416),O416,0)+IF(ISNUMBER(P416),P416,0)))&lt;=Summary!$B$2),"Passes using beginning_balance - PreV_ETB differs from beginning_balance",IF(AND(ISNUMBER(O416),O416&lt;0,ABS(L416-(Q416-IF(ISNUMBER(N416),N416,0)+IF(ISNUMBER(P416),P416,0)))&lt;=Summary!$B$2),"Negative realized loss not applied - check sign",IF(R416&lt;0,"Principal paid exceeds prior balance",IF(AND(L416&gt;Q416,NOT(ISNUMBER(P416))),"Balance increased but no Deferred_interest reported",IF(L416&gt;R416,"Reported balance higher than expected (missing increase/OC build)","Reported balance lower than expected (missing decrease)"))))),""))</f>
        <v/>
      </c>
    </row>
    <row r="417" customFormat="false" ht="15" hidden="false" customHeight="fals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9"/>
      <c r="L417" s="9"/>
      <c r="M417" s="9"/>
      <c r="N417" s="9"/>
      <c r="O417" s="9"/>
      <c r="P417" s="9"/>
      <c r="Q417" s="9"/>
      <c r="R417" s="9" t="str">
        <f aca="false">IF(AND(A417&lt;&gt;"",ISNUMBER(Q417),ISNUMBER(L417)),ROUND(Q417-IF(ISNUMBER(N417),N417,0)-IF(ISNUMBER(O417),O417,0)+IF(ISNUMBER(P417),P417,0),2),"")</f>
        <v/>
      </c>
      <c r="S417" s="9" t="str">
        <f aca="false">IF(R417="","",ROUND(L417-R417,2))</f>
        <v/>
      </c>
      <c r="T417" s="8" t="str">
        <f aca="false">IF(A417="","",IF(S417="","BYPASS",IF(ABS(S417)&lt;=Summary!$B$2,"PASS","FAIL")))</f>
        <v/>
      </c>
      <c r="U417" s="8" t="str">
        <f aca="false">IF(T417="BYPASS",IF(NOT(ISNUMBER(Q417)),"PreV_ETB missing","End_tr_balance missing"),IF(T417="FAIL",IF(AND(ISNUMBER(K417),ISNUMBER(L417),ABS(L417-(K417-IF(ISNUMBER(N417),N417,0)-IF(ISNUMBER(O417),O417,0)+IF(ISNUMBER(P417),P417,0)))&lt;=Summary!$B$2),"Passes using beginning_balance - PreV_ETB differs from beginning_balance",IF(AND(ISNUMBER(O417),O417&lt;0,ABS(L417-(Q417-IF(ISNUMBER(N417),N417,0)+IF(ISNUMBER(P417),P417,0)))&lt;=Summary!$B$2),"Negative realized loss not applied - check sign",IF(R417&lt;0,"Principal paid exceeds prior balance",IF(AND(L417&gt;Q417,NOT(ISNUMBER(P417))),"Balance increased but no Deferred_interest reported",IF(L417&gt;R417,"Reported balance higher than expected (missing increase/OC build)","Reported balance lower than expected (missing decrease)"))))),""))</f>
        <v/>
      </c>
    </row>
    <row r="418" customFormat="false" ht="15" hidden="false" customHeight="fals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9"/>
      <c r="L418" s="9"/>
      <c r="M418" s="9"/>
      <c r="N418" s="9"/>
      <c r="O418" s="9"/>
      <c r="P418" s="9"/>
      <c r="Q418" s="9"/>
      <c r="R418" s="9" t="str">
        <f aca="false">IF(AND(A418&lt;&gt;"",ISNUMBER(Q418),ISNUMBER(L418)),ROUND(Q418-IF(ISNUMBER(N418),N418,0)-IF(ISNUMBER(O418),O418,0)+IF(ISNUMBER(P418),P418,0),2),"")</f>
        <v/>
      </c>
      <c r="S418" s="9" t="str">
        <f aca="false">IF(R418="","",ROUND(L418-R418,2))</f>
        <v/>
      </c>
      <c r="T418" s="8" t="str">
        <f aca="false">IF(A418="","",IF(S418="","BYPASS",IF(ABS(S418)&lt;=Summary!$B$2,"PASS","FAIL")))</f>
        <v/>
      </c>
      <c r="U418" s="8" t="str">
        <f aca="false">IF(T418="BYPASS",IF(NOT(ISNUMBER(Q418)),"PreV_ETB missing","End_tr_balance missing"),IF(T418="FAIL",IF(AND(ISNUMBER(K418),ISNUMBER(L418),ABS(L418-(K418-IF(ISNUMBER(N418),N418,0)-IF(ISNUMBER(O418),O418,0)+IF(ISNUMBER(P418),P418,0)))&lt;=Summary!$B$2),"Passes using beginning_balance - PreV_ETB differs from beginning_balance",IF(AND(ISNUMBER(O418),O418&lt;0,ABS(L418-(Q418-IF(ISNUMBER(N418),N418,0)+IF(ISNUMBER(P418),P418,0)))&lt;=Summary!$B$2),"Negative realized loss not applied - check sign",IF(R418&lt;0,"Principal paid exceeds prior balance",IF(AND(L418&gt;Q418,NOT(ISNUMBER(P418))),"Balance increased but no Deferred_interest reported",IF(L418&gt;R418,"Reported balance higher than expected (missing increase/OC build)","Reported balance lower than expected (missing decrease)"))))),""))</f>
        <v/>
      </c>
    </row>
    <row r="419" customFormat="false" ht="15" hidden="false" customHeight="fals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9"/>
      <c r="L419" s="9"/>
      <c r="M419" s="9"/>
      <c r="N419" s="9"/>
      <c r="O419" s="9"/>
      <c r="P419" s="9"/>
      <c r="Q419" s="9"/>
      <c r="R419" s="9" t="str">
        <f aca="false">IF(AND(A419&lt;&gt;"",ISNUMBER(Q419),ISNUMBER(L419)),ROUND(Q419-IF(ISNUMBER(N419),N419,0)-IF(ISNUMBER(O419),O419,0)+IF(ISNUMBER(P419),P419,0),2),"")</f>
        <v/>
      </c>
      <c r="S419" s="9" t="str">
        <f aca="false">IF(R419="","",ROUND(L419-R419,2))</f>
        <v/>
      </c>
      <c r="T419" s="8" t="str">
        <f aca="false">IF(A419="","",IF(S419="","BYPASS",IF(ABS(S419)&lt;=Summary!$B$2,"PASS","FAIL")))</f>
        <v/>
      </c>
      <c r="U419" s="8" t="str">
        <f aca="false">IF(T419="BYPASS",IF(NOT(ISNUMBER(Q419)),"PreV_ETB missing","End_tr_balance missing"),IF(T419="FAIL",IF(AND(ISNUMBER(K419),ISNUMBER(L419),ABS(L419-(K419-IF(ISNUMBER(N419),N419,0)-IF(ISNUMBER(O419),O419,0)+IF(ISNUMBER(P419),P419,0)))&lt;=Summary!$B$2),"Passes using beginning_balance - PreV_ETB differs from beginning_balance",IF(AND(ISNUMBER(O419),O419&lt;0,ABS(L419-(Q419-IF(ISNUMBER(N419),N419,0)+IF(ISNUMBER(P419),P419,0)))&lt;=Summary!$B$2),"Negative realized loss not applied - check sign",IF(R419&lt;0,"Principal paid exceeds prior balance",IF(AND(L419&gt;Q419,NOT(ISNUMBER(P419))),"Balance increased but no Deferred_interest reported",IF(L419&gt;R419,"Reported balance higher than expected (missing increase/OC build)","Reported balance lower than expected (missing decrease)"))))),""))</f>
        <v/>
      </c>
    </row>
    <row r="420" customFormat="false" ht="15" hidden="false" customHeight="fals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9"/>
      <c r="L420" s="9"/>
      <c r="M420" s="9"/>
      <c r="N420" s="9"/>
      <c r="O420" s="9"/>
      <c r="P420" s="9"/>
      <c r="Q420" s="9"/>
      <c r="R420" s="9" t="str">
        <f aca="false">IF(AND(A420&lt;&gt;"",ISNUMBER(Q420),ISNUMBER(L420)),ROUND(Q420-IF(ISNUMBER(N420),N420,0)-IF(ISNUMBER(O420),O420,0)+IF(ISNUMBER(P420),P420,0),2),"")</f>
        <v/>
      </c>
      <c r="S420" s="9" t="str">
        <f aca="false">IF(R420="","",ROUND(L420-R420,2))</f>
        <v/>
      </c>
      <c r="T420" s="8" t="str">
        <f aca="false">IF(A420="","",IF(S420="","BYPASS",IF(ABS(S420)&lt;=Summary!$B$2,"PASS","FAIL")))</f>
        <v/>
      </c>
      <c r="U420" s="8" t="str">
        <f aca="false">IF(T420="BYPASS",IF(NOT(ISNUMBER(Q420)),"PreV_ETB missing","End_tr_balance missing"),IF(T420="FAIL",IF(AND(ISNUMBER(K420),ISNUMBER(L420),ABS(L420-(K420-IF(ISNUMBER(N420),N420,0)-IF(ISNUMBER(O420),O420,0)+IF(ISNUMBER(P420),P420,0)))&lt;=Summary!$B$2),"Passes using beginning_balance - PreV_ETB differs from beginning_balance",IF(AND(ISNUMBER(O420),O420&lt;0,ABS(L420-(Q420-IF(ISNUMBER(N420),N420,0)+IF(ISNUMBER(P420),P420,0)))&lt;=Summary!$B$2),"Negative realized loss not applied - check sign",IF(R420&lt;0,"Principal paid exceeds prior balance",IF(AND(L420&gt;Q420,NOT(ISNUMBER(P420))),"Balance increased but no Deferred_interest reported",IF(L420&gt;R420,"Reported balance higher than expected (missing increase/OC build)","Reported balance lower than expected (missing decrease)"))))),""))</f>
        <v/>
      </c>
    </row>
    <row r="421" customFormat="false" ht="15" hidden="false" customHeight="fals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9"/>
      <c r="L421" s="9"/>
      <c r="M421" s="9"/>
      <c r="N421" s="9"/>
      <c r="O421" s="9"/>
      <c r="P421" s="9"/>
      <c r="Q421" s="9"/>
      <c r="R421" s="9" t="str">
        <f aca="false">IF(AND(A421&lt;&gt;"",ISNUMBER(Q421),ISNUMBER(L421)),ROUND(Q421-IF(ISNUMBER(N421),N421,0)-IF(ISNUMBER(O421),O421,0)+IF(ISNUMBER(P421),P421,0),2),"")</f>
        <v/>
      </c>
      <c r="S421" s="9" t="str">
        <f aca="false">IF(R421="","",ROUND(L421-R421,2))</f>
        <v/>
      </c>
      <c r="T421" s="8" t="str">
        <f aca="false">IF(A421="","",IF(S421="","BYPASS",IF(ABS(S421)&lt;=Summary!$B$2,"PASS","FAIL")))</f>
        <v/>
      </c>
      <c r="U421" s="8" t="str">
        <f aca="false">IF(T421="BYPASS",IF(NOT(ISNUMBER(Q421)),"PreV_ETB missing","End_tr_balance missing"),IF(T421="FAIL",IF(AND(ISNUMBER(K421),ISNUMBER(L421),ABS(L421-(K421-IF(ISNUMBER(N421),N421,0)-IF(ISNUMBER(O421),O421,0)+IF(ISNUMBER(P421),P421,0)))&lt;=Summary!$B$2),"Passes using beginning_balance - PreV_ETB differs from beginning_balance",IF(AND(ISNUMBER(O421),O421&lt;0,ABS(L421-(Q421-IF(ISNUMBER(N421),N421,0)+IF(ISNUMBER(P421),P421,0)))&lt;=Summary!$B$2),"Negative realized loss not applied - check sign",IF(R421&lt;0,"Principal paid exceeds prior balance",IF(AND(L421&gt;Q421,NOT(ISNUMBER(P421))),"Balance increased but no Deferred_interest reported",IF(L421&gt;R421,"Reported balance higher than expected (missing increase/OC build)","Reported balance lower than expected (missing decrease)"))))),""))</f>
        <v/>
      </c>
    </row>
    <row r="422" customFormat="false" ht="15" hidden="false" customHeight="fals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9"/>
      <c r="L422" s="9"/>
      <c r="M422" s="9"/>
      <c r="N422" s="9"/>
      <c r="O422" s="9"/>
      <c r="P422" s="9"/>
      <c r="Q422" s="9"/>
      <c r="R422" s="9" t="str">
        <f aca="false">IF(AND(A422&lt;&gt;"",ISNUMBER(Q422),ISNUMBER(L422)),ROUND(Q422-IF(ISNUMBER(N422),N422,0)-IF(ISNUMBER(O422),O422,0)+IF(ISNUMBER(P422),P422,0),2),"")</f>
        <v/>
      </c>
      <c r="S422" s="9" t="str">
        <f aca="false">IF(R422="","",ROUND(L422-R422,2))</f>
        <v/>
      </c>
      <c r="T422" s="8" t="str">
        <f aca="false">IF(A422="","",IF(S422="","BYPASS",IF(ABS(S422)&lt;=Summary!$B$2,"PASS","FAIL")))</f>
        <v/>
      </c>
      <c r="U422" s="8" t="str">
        <f aca="false">IF(T422="BYPASS",IF(NOT(ISNUMBER(Q422)),"PreV_ETB missing","End_tr_balance missing"),IF(T422="FAIL",IF(AND(ISNUMBER(K422),ISNUMBER(L422),ABS(L422-(K422-IF(ISNUMBER(N422),N422,0)-IF(ISNUMBER(O422),O422,0)+IF(ISNUMBER(P422),P422,0)))&lt;=Summary!$B$2),"Passes using beginning_balance - PreV_ETB differs from beginning_balance",IF(AND(ISNUMBER(O422),O422&lt;0,ABS(L422-(Q422-IF(ISNUMBER(N422),N422,0)+IF(ISNUMBER(P422),P422,0)))&lt;=Summary!$B$2),"Negative realized loss not applied - check sign",IF(R422&lt;0,"Principal paid exceeds prior balance",IF(AND(L422&gt;Q422,NOT(ISNUMBER(P422))),"Balance increased but no Deferred_interest reported",IF(L422&gt;R422,"Reported balance higher than expected (missing increase/OC build)","Reported balance lower than expected (missing decrease)"))))),""))</f>
        <v/>
      </c>
    </row>
    <row r="423" customFormat="false" ht="15" hidden="false" customHeight="fals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9"/>
      <c r="L423" s="9"/>
      <c r="M423" s="9"/>
      <c r="N423" s="9"/>
      <c r="O423" s="9"/>
      <c r="P423" s="9"/>
      <c r="Q423" s="9"/>
      <c r="R423" s="9" t="str">
        <f aca="false">IF(AND(A423&lt;&gt;"",ISNUMBER(Q423),ISNUMBER(L423)),ROUND(Q423-IF(ISNUMBER(N423),N423,0)-IF(ISNUMBER(O423),O423,0)+IF(ISNUMBER(P423),P423,0),2),"")</f>
        <v/>
      </c>
      <c r="S423" s="9" t="str">
        <f aca="false">IF(R423="","",ROUND(L423-R423,2))</f>
        <v/>
      </c>
      <c r="T423" s="8" t="str">
        <f aca="false">IF(A423="","",IF(S423="","BYPASS",IF(ABS(S423)&lt;=Summary!$B$2,"PASS","FAIL")))</f>
        <v/>
      </c>
      <c r="U423" s="8" t="str">
        <f aca="false">IF(T423="BYPASS",IF(NOT(ISNUMBER(Q423)),"PreV_ETB missing","End_tr_balance missing"),IF(T423="FAIL",IF(AND(ISNUMBER(K423),ISNUMBER(L423),ABS(L423-(K423-IF(ISNUMBER(N423),N423,0)-IF(ISNUMBER(O423),O423,0)+IF(ISNUMBER(P423),P423,0)))&lt;=Summary!$B$2),"Passes using beginning_balance - PreV_ETB differs from beginning_balance",IF(AND(ISNUMBER(O423),O423&lt;0,ABS(L423-(Q423-IF(ISNUMBER(N423),N423,0)+IF(ISNUMBER(P423),P423,0)))&lt;=Summary!$B$2),"Negative realized loss not applied - check sign",IF(R423&lt;0,"Principal paid exceeds prior balance",IF(AND(L423&gt;Q423,NOT(ISNUMBER(P423))),"Balance increased but no Deferred_interest reported",IF(L423&gt;R423,"Reported balance higher than expected (missing increase/OC build)","Reported balance lower than expected (missing decrease)"))))),""))</f>
        <v/>
      </c>
    </row>
    <row r="424" customFormat="false" ht="15" hidden="false" customHeight="fals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9"/>
      <c r="L424" s="9"/>
      <c r="M424" s="9"/>
      <c r="N424" s="9"/>
      <c r="O424" s="9"/>
      <c r="P424" s="9"/>
      <c r="Q424" s="9"/>
      <c r="R424" s="9" t="str">
        <f aca="false">IF(AND(A424&lt;&gt;"",ISNUMBER(Q424),ISNUMBER(L424)),ROUND(Q424-IF(ISNUMBER(N424),N424,0)-IF(ISNUMBER(O424),O424,0)+IF(ISNUMBER(P424),P424,0),2),"")</f>
        <v/>
      </c>
      <c r="S424" s="9" t="str">
        <f aca="false">IF(R424="","",ROUND(L424-R424,2))</f>
        <v/>
      </c>
      <c r="T424" s="8" t="str">
        <f aca="false">IF(A424="","",IF(S424="","BYPASS",IF(ABS(S424)&lt;=Summary!$B$2,"PASS","FAIL")))</f>
        <v/>
      </c>
      <c r="U424" s="8" t="str">
        <f aca="false">IF(T424="BYPASS",IF(NOT(ISNUMBER(Q424)),"PreV_ETB missing","End_tr_balance missing"),IF(T424="FAIL",IF(AND(ISNUMBER(K424),ISNUMBER(L424),ABS(L424-(K424-IF(ISNUMBER(N424),N424,0)-IF(ISNUMBER(O424),O424,0)+IF(ISNUMBER(P424),P424,0)))&lt;=Summary!$B$2),"Passes using beginning_balance - PreV_ETB differs from beginning_balance",IF(AND(ISNUMBER(O424),O424&lt;0,ABS(L424-(Q424-IF(ISNUMBER(N424),N424,0)+IF(ISNUMBER(P424),P424,0)))&lt;=Summary!$B$2),"Negative realized loss not applied - check sign",IF(R424&lt;0,"Principal paid exceeds prior balance",IF(AND(L424&gt;Q424,NOT(ISNUMBER(P424))),"Balance increased but no Deferred_interest reported",IF(L424&gt;R424,"Reported balance higher than expected (missing increase/OC build)","Reported balance lower than expected (missing decrease)"))))),""))</f>
        <v/>
      </c>
    </row>
    <row r="425" customFormat="false" ht="15" hidden="false" customHeight="fals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9"/>
      <c r="L425" s="9"/>
      <c r="M425" s="9"/>
      <c r="N425" s="9"/>
      <c r="O425" s="9"/>
      <c r="P425" s="9"/>
      <c r="Q425" s="9"/>
      <c r="R425" s="9" t="str">
        <f aca="false">IF(AND(A425&lt;&gt;"",ISNUMBER(Q425),ISNUMBER(L425)),ROUND(Q425-IF(ISNUMBER(N425),N425,0)-IF(ISNUMBER(O425),O425,0)+IF(ISNUMBER(P425),P425,0),2),"")</f>
        <v/>
      </c>
      <c r="S425" s="9" t="str">
        <f aca="false">IF(R425="","",ROUND(L425-R425,2))</f>
        <v/>
      </c>
      <c r="T425" s="8" t="str">
        <f aca="false">IF(A425="","",IF(S425="","BYPASS",IF(ABS(S425)&lt;=Summary!$B$2,"PASS","FAIL")))</f>
        <v/>
      </c>
      <c r="U425" s="8" t="str">
        <f aca="false">IF(T425="BYPASS",IF(NOT(ISNUMBER(Q425)),"PreV_ETB missing","End_tr_balance missing"),IF(T425="FAIL",IF(AND(ISNUMBER(K425),ISNUMBER(L425),ABS(L425-(K425-IF(ISNUMBER(N425),N425,0)-IF(ISNUMBER(O425),O425,0)+IF(ISNUMBER(P425),P425,0)))&lt;=Summary!$B$2),"Passes using beginning_balance - PreV_ETB differs from beginning_balance",IF(AND(ISNUMBER(O425),O425&lt;0,ABS(L425-(Q425-IF(ISNUMBER(N425),N425,0)+IF(ISNUMBER(P425),P425,0)))&lt;=Summary!$B$2),"Negative realized loss not applied - check sign",IF(R425&lt;0,"Principal paid exceeds prior balance",IF(AND(L425&gt;Q425,NOT(ISNUMBER(P425))),"Balance increased but no Deferred_interest reported",IF(L425&gt;R425,"Reported balance higher than expected (missing increase/OC build)","Reported balance lower than expected (missing decrease)"))))),""))</f>
        <v/>
      </c>
    </row>
    <row r="426" customFormat="false" ht="15" hidden="false" customHeight="fals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9"/>
      <c r="L426" s="9"/>
      <c r="M426" s="9"/>
      <c r="N426" s="9"/>
      <c r="O426" s="9"/>
      <c r="P426" s="9"/>
      <c r="Q426" s="9"/>
      <c r="R426" s="9" t="str">
        <f aca="false">IF(AND(A426&lt;&gt;"",ISNUMBER(Q426),ISNUMBER(L426)),ROUND(Q426-IF(ISNUMBER(N426),N426,0)-IF(ISNUMBER(O426),O426,0)+IF(ISNUMBER(P426),P426,0),2),"")</f>
        <v/>
      </c>
      <c r="S426" s="9" t="str">
        <f aca="false">IF(R426="","",ROUND(L426-R426,2))</f>
        <v/>
      </c>
      <c r="T426" s="8" t="str">
        <f aca="false">IF(A426="","",IF(S426="","BYPASS",IF(ABS(S426)&lt;=Summary!$B$2,"PASS","FAIL")))</f>
        <v/>
      </c>
      <c r="U426" s="8" t="str">
        <f aca="false">IF(T426="BYPASS",IF(NOT(ISNUMBER(Q426)),"PreV_ETB missing","End_tr_balance missing"),IF(T426="FAIL",IF(AND(ISNUMBER(K426),ISNUMBER(L426),ABS(L426-(K426-IF(ISNUMBER(N426),N426,0)-IF(ISNUMBER(O426),O426,0)+IF(ISNUMBER(P426),P426,0)))&lt;=Summary!$B$2),"Passes using beginning_balance - PreV_ETB differs from beginning_balance",IF(AND(ISNUMBER(O426),O426&lt;0,ABS(L426-(Q426-IF(ISNUMBER(N426),N426,0)+IF(ISNUMBER(P426),P426,0)))&lt;=Summary!$B$2),"Negative realized loss not applied - check sign",IF(R426&lt;0,"Principal paid exceeds prior balance",IF(AND(L426&gt;Q426,NOT(ISNUMBER(P426))),"Balance increased but no Deferred_interest reported",IF(L426&gt;R426,"Reported balance higher than expected (missing increase/OC build)","Reported balance lower than expected (missing decrease)"))))),""))</f>
        <v/>
      </c>
    </row>
    <row r="427" customFormat="false" ht="15" hidden="false" customHeight="fals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9"/>
      <c r="L427" s="9"/>
      <c r="M427" s="9"/>
      <c r="N427" s="9"/>
      <c r="O427" s="9"/>
      <c r="P427" s="9"/>
      <c r="Q427" s="9"/>
      <c r="R427" s="9" t="str">
        <f aca="false">IF(AND(A427&lt;&gt;"",ISNUMBER(Q427),ISNUMBER(L427)),ROUND(Q427-IF(ISNUMBER(N427),N427,0)-IF(ISNUMBER(O427),O427,0)+IF(ISNUMBER(P427),P427,0),2),"")</f>
        <v/>
      </c>
      <c r="S427" s="9" t="str">
        <f aca="false">IF(R427="","",ROUND(L427-R427,2))</f>
        <v/>
      </c>
      <c r="T427" s="8" t="str">
        <f aca="false">IF(A427="","",IF(S427="","BYPASS",IF(ABS(S427)&lt;=Summary!$B$2,"PASS","FAIL")))</f>
        <v/>
      </c>
      <c r="U427" s="8" t="str">
        <f aca="false">IF(T427="BYPASS",IF(NOT(ISNUMBER(Q427)),"PreV_ETB missing","End_tr_balance missing"),IF(T427="FAIL",IF(AND(ISNUMBER(K427),ISNUMBER(L427),ABS(L427-(K427-IF(ISNUMBER(N427),N427,0)-IF(ISNUMBER(O427),O427,0)+IF(ISNUMBER(P427),P427,0)))&lt;=Summary!$B$2),"Passes using beginning_balance - PreV_ETB differs from beginning_balance",IF(AND(ISNUMBER(O427),O427&lt;0,ABS(L427-(Q427-IF(ISNUMBER(N427),N427,0)+IF(ISNUMBER(P427),P427,0)))&lt;=Summary!$B$2),"Negative realized loss not applied - check sign",IF(R427&lt;0,"Principal paid exceeds prior balance",IF(AND(L427&gt;Q427,NOT(ISNUMBER(P427))),"Balance increased but no Deferred_interest reported",IF(L427&gt;R427,"Reported balance higher than expected (missing increase/OC build)","Reported balance lower than expected (missing decrease)"))))),""))</f>
        <v/>
      </c>
    </row>
    <row r="428" customFormat="false" ht="15" hidden="false" customHeight="fals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9"/>
      <c r="L428" s="9"/>
      <c r="M428" s="9"/>
      <c r="N428" s="9"/>
      <c r="O428" s="9"/>
      <c r="P428" s="9"/>
      <c r="Q428" s="9"/>
      <c r="R428" s="9" t="str">
        <f aca="false">IF(AND(A428&lt;&gt;"",ISNUMBER(Q428),ISNUMBER(L428)),ROUND(Q428-IF(ISNUMBER(N428),N428,0)-IF(ISNUMBER(O428),O428,0)+IF(ISNUMBER(P428),P428,0),2),"")</f>
        <v/>
      </c>
      <c r="S428" s="9" t="str">
        <f aca="false">IF(R428="","",ROUND(L428-R428,2))</f>
        <v/>
      </c>
      <c r="T428" s="8" t="str">
        <f aca="false">IF(A428="","",IF(S428="","BYPASS",IF(ABS(S428)&lt;=Summary!$B$2,"PASS","FAIL")))</f>
        <v/>
      </c>
      <c r="U428" s="8" t="str">
        <f aca="false">IF(T428="BYPASS",IF(NOT(ISNUMBER(Q428)),"PreV_ETB missing","End_tr_balance missing"),IF(T428="FAIL",IF(AND(ISNUMBER(K428),ISNUMBER(L428),ABS(L428-(K428-IF(ISNUMBER(N428),N428,0)-IF(ISNUMBER(O428),O428,0)+IF(ISNUMBER(P428),P428,0)))&lt;=Summary!$B$2),"Passes using beginning_balance - PreV_ETB differs from beginning_balance",IF(AND(ISNUMBER(O428),O428&lt;0,ABS(L428-(Q428-IF(ISNUMBER(N428),N428,0)+IF(ISNUMBER(P428),P428,0)))&lt;=Summary!$B$2),"Negative realized loss not applied - check sign",IF(R428&lt;0,"Principal paid exceeds prior balance",IF(AND(L428&gt;Q428,NOT(ISNUMBER(P428))),"Balance increased but no Deferred_interest reported",IF(L428&gt;R428,"Reported balance higher than expected (missing increase/OC build)","Reported balance lower than expected (missing decrease)"))))),""))</f>
        <v/>
      </c>
    </row>
    <row r="429" customFormat="false" ht="15" hidden="false" customHeight="fals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9"/>
      <c r="L429" s="9"/>
      <c r="M429" s="9"/>
      <c r="N429" s="9"/>
      <c r="O429" s="9"/>
      <c r="P429" s="9"/>
      <c r="Q429" s="9"/>
      <c r="R429" s="9" t="str">
        <f aca="false">IF(AND(A429&lt;&gt;"",ISNUMBER(Q429),ISNUMBER(L429)),ROUND(Q429-IF(ISNUMBER(N429),N429,0)-IF(ISNUMBER(O429),O429,0)+IF(ISNUMBER(P429),P429,0),2),"")</f>
        <v/>
      </c>
      <c r="S429" s="9" t="str">
        <f aca="false">IF(R429="","",ROUND(L429-R429,2))</f>
        <v/>
      </c>
      <c r="T429" s="8" t="str">
        <f aca="false">IF(A429="","",IF(S429="","BYPASS",IF(ABS(S429)&lt;=Summary!$B$2,"PASS","FAIL")))</f>
        <v/>
      </c>
      <c r="U429" s="8" t="str">
        <f aca="false">IF(T429="BYPASS",IF(NOT(ISNUMBER(Q429)),"PreV_ETB missing","End_tr_balance missing"),IF(T429="FAIL",IF(AND(ISNUMBER(K429),ISNUMBER(L429),ABS(L429-(K429-IF(ISNUMBER(N429),N429,0)-IF(ISNUMBER(O429),O429,0)+IF(ISNUMBER(P429),P429,0)))&lt;=Summary!$B$2),"Passes using beginning_balance - PreV_ETB differs from beginning_balance",IF(AND(ISNUMBER(O429),O429&lt;0,ABS(L429-(Q429-IF(ISNUMBER(N429),N429,0)+IF(ISNUMBER(P429),P429,0)))&lt;=Summary!$B$2),"Negative realized loss not applied - check sign",IF(R429&lt;0,"Principal paid exceeds prior balance",IF(AND(L429&gt;Q429,NOT(ISNUMBER(P429))),"Balance increased but no Deferred_interest reported",IF(L429&gt;R429,"Reported balance higher than expected (missing increase/OC build)","Reported balance lower than expected (missing decrease)"))))),""))</f>
        <v/>
      </c>
    </row>
    <row r="430" customFormat="false" ht="15" hidden="false" customHeight="fals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9"/>
      <c r="L430" s="9"/>
      <c r="M430" s="9"/>
      <c r="N430" s="9"/>
      <c r="O430" s="9"/>
      <c r="P430" s="9"/>
      <c r="Q430" s="9"/>
      <c r="R430" s="9" t="str">
        <f aca="false">IF(AND(A430&lt;&gt;"",ISNUMBER(Q430),ISNUMBER(L430)),ROUND(Q430-IF(ISNUMBER(N430),N430,0)-IF(ISNUMBER(O430),O430,0)+IF(ISNUMBER(P430),P430,0),2),"")</f>
        <v/>
      </c>
      <c r="S430" s="9" t="str">
        <f aca="false">IF(R430="","",ROUND(L430-R430,2))</f>
        <v/>
      </c>
      <c r="T430" s="8" t="str">
        <f aca="false">IF(A430="","",IF(S430="","BYPASS",IF(ABS(S430)&lt;=Summary!$B$2,"PASS","FAIL")))</f>
        <v/>
      </c>
      <c r="U430" s="8" t="str">
        <f aca="false">IF(T430="BYPASS",IF(NOT(ISNUMBER(Q430)),"PreV_ETB missing","End_tr_balance missing"),IF(T430="FAIL",IF(AND(ISNUMBER(K430),ISNUMBER(L430),ABS(L430-(K430-IF(ISNUMBER(N430),N430,0)-IF(ISNUMBER(O430),O430,0)+IF(ISNUMBER(P430),P430,0)))&lt;=Summary!$B$2),"Passes using beginning_balance - PreV_ETB differs from beginning_balance",IF(AND(ISNUMBER(O430),O430&lt;0,ABS(L430-(Q430-IF(ISNUMBER(N430),N430,0)+IF(ISNUMBER(P430),P430,0)))&lt;=Summary!$B$2),"Negative realized loss not applied - check sign",IF(R430&lt;0,"Principal paid exceeds prior balance",IF(AND(L430&gt;Q430,NOT(ISNUMBER(P430))),"Balance increased but no Deferred_interest reported",IF(L430&gt;R430,"Reported balance higher than expected (missing increase/OC build)","Reported balance lower than expected (missing decrease)"))))),""))</f>
        <v/>
      </c>
    </row>
    <row r="431" customFormat="false" ht="15" hidden="false" customHeight="fals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9"/>
      <c r="L431" s="9"/>
      <c r="M431" s="9"/>
      <c r="N431" s="9"/>
      <c r="O431" s="9"/>
      <c r="P431" s="9"/>
      <c r="Q431" s="9"/>
      <c r="R431" s="9" t="str">
        <f aca="false">IF(AND(A431&lt;&gt;"",ISNUMBER(Q431),ISNUMBER(L431)),ROUND(Q431-IF(ISNUMBER(N431),N431,0)-IF(ISNUMBER(O431),O431,0)+IF(ISNUMBER(P431),P431,0),2),"")</f>
        <v/>
      </c>
      <c r="S431" s="9" t="str">
        <f aca="false">IF(R431="","",ROUND(L431-R431,2))</f>
        <v/>
      </c>
      <c r="T431" s="8" t="str">
        <f aca="false">IF(A431="","",IF(S431="","BYPASS",IF(ABS(S431)&lt;=Summary!$B$2,"PASS","FAIL")))</f>
        <v/>
      </c>
      <c r="U431" s="8" t="str">
        <f aca="false">IF(T431="BYPASS",IF(NOT(ISNUMBER(Q431)),"PreV_ETB missing","End_tr_balance missing"),IF(T431="FAIL",IF(AND(ISNUMBER(K431),ISNUMBER(L431),ABS(L431-(K431-IF(ISNUMBER(N431),N431,0)-IF(ISNUMBER(O431),O431,0)+IF(ISNUMBER(P431),P431,0)))&lt;=Summary!$B$2),"Passes using beginning_balance - PreV_ETB differs from beginning_balance",IF(AND(ISNUMBER(O431),O431&lt;0,ABS(L431-(Q431-IF(ISNUMBER(N431),N431,0)+IF(ISNUMBER(P431),P431,0)))&lt;=Summary!$B$2),"Negative realized loss not applied - check sign",IF(R431&lt;0,"Principal paid exceeds prior balance",IF(AND(L431&gt;Q431,NOT(ISNUMBER(P431))),"Balance increased but no Deferred_interest reported",IF(L431&gt;R431,"Reported balance higher than expected (missing increase/OC build)","Reported balance lower than expected (missing decrease)"))))),""))</f>
        <v/>
      </c>
    </row>
    <row r="432" customFormat="false" ht="15" hidden="false" customHeight="fals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9"/>
      <c r="L432" s="9"/>
      <c r="M432" s="9"/>
      <c r="N432" s="9"/>
      <c r="O432" s="9"/>
      <c r="P432" s="9"/>
      <c r="Q432" s="9"/>
      <c r="R432" s="9" t="str">
        <f aca="false">IF(AND(A432&lt;&gt;"",ISNUMBER(Q432),ISNUMBER(L432)),ROUND(Q432-IF(ISNUMBER(N432),N432,0)-IF(ISNUMBER(O432),O432,0)+IF(ISNUMBER(P432),P432,0),2),"")</f>
        <v/>
      </c>
      <c r="S432" s="9" t="str">
        <f aca="false">IF(R432="","",ROUND(L432-R432,2))</f>
        <v/>
      </c>
      <c r="T432" s="8" t="str">
        <f aca="false">IF(A432="","",IF(S432="","BYPASS",IF(ABS(S432)&lt;=Summary!$B$2,"PASS","FAIL")))</f>
        <v/>
      </c>
      <c r="U432" s="8" t="str">
        <f aca="false">IF(T432="BYPASS",IF(NOT(ISNUMBER(Q432)),"PreV_ETB missing","End_tr_balance missing"),IF(T432="FAIL",IF(AND(ISNUMBER(K432),ISNUMBER(L432),ABS(L432-(K432-IF(ISNUMBER(N432),N432,0)-IF(ISNUMBER(O432),O432,0)+IF(ISNUMBER(P432),P432,0)))&lt;=Summary!$B$2),"Passes using beginning_balance - PreV_ETB differs from beginning_balance",IF(AND(ISNUMBER(O432),O432&lt;0,ABS(L432-(Q432-IF(ISNUMBER(N432),N432,0)+IF(ISNUMBER(P432),P432,0)))&lt;=Summary!$B$2),"Negative realized loss not applied - check sign",IF(R432&lt;0,"Principal paid exceeds prior balance",IF(AND(L432&gt;Q432,NOT(ISNUMBER(P432))),"Balance increased but no Deferred_interest reported",IF(L432&gt;R432,"Reported balance higher than expected (missing increase/OC build)","Reported balance lower than expected (missing decrease)"))))),""))</f>
        <v/>
      </c>
    </row>
    <row r="433" customFormat="false" ht="15" hidden="false" customHeight="fals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9"/>
      <c r="L433" s="9"/>
      <c r="M433" s="9"/>
      <c r="N433" s="9"/>
      <c r="O433" s="9"/>
      <c r="P433" s="9"/>
      <c r="Q433" s="9"/>
      <c r="R433" s="9" t="str">
        <f aca="false">IF(AND(A433&lt;&gt;"",ISNUMBER(Q433),ISNUMBER(L433)),ROUND(Q433-IF(ISNUMBER(N433),N433,0)-IF(ISNUMBER(O433),O433,0)+IF(ISNUMBER(P433),P433,0),2),"")</f>
        <v/>
      </c>
      <c r="S433" s="9" t="str">
        <f aca="false">IF(R433="","",ROUND(L433-R433,2))</f>
        <v/>
      </c>
      <c r="T433" s="8" t="str">
        <f aca="false">IF(A433="","",IF(S433="","BYPASS",IF(ABS(S433)&lt;=Summary!$B$2,"PASS","FAIL")))</f>
        <v/>
      </c>
      <c r="U433" s="8" t="str">
        <f aca="false">IF(T433="BYPASS",IF(NOT(ISNUMBER(Q433)),"PreV_ETB missing","End_tr_balance missing"),IF(T433="FAIL",IF(AND(ISNUMBER(K433),ISNUMBER(L433),ABS(L433-(K433-IF(ISNUMBER(N433),N433,0)-IF(ISNUMBER(O433),O433,0)+IF(ISNUMBER(P433),P433,0)))&lt;=Summary!$B$2),"Passes using beginning_balance - PreV_ETB differs from beginning_balance",IF(AND(ISNUMBER(O433),O433&lt;0,ABS(L433-(Q433-IF(ISNUMBER(N433),N433,0)+IF(ISNUMBER(P433),P433,0)))&lt;=Summary!$B$2),"Negative realized loss not applied - check sign",IF(R433&lt;0,"Principal paid exceeds prior balance",IF(AND(L433&gt;Q433,NOT(ISNUMBER(P433))),"Balance increased but no Deferred_interest reported",IF(L433&gt;R433,"Reported balance higher than expected (missing increase/OC build)","Reported balance lower than expected (missing decrease)"))))),""))</f>
        <v/>
      </c>
    </row>
    <row r="434" customFormat="false" ht="15" hidden="false" customHeight="fals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9"/>
      <c r="L434" s="9"/>
      <c r="M434" s="9"/>
      <c r="N434" s="9"/>
      <c r="O434" s="9"/>
      <c r="P434" s="9"/>
      <c r="Q434" s="9"/>
      <c r="R434" s="9" t="str">
        <f aca="false">IF(AND(A434&lt;&gt;"",ISNUMBER(Q434),ISNUMBER(L434)),ROUND(Q434-IF(ISNUMBER(N434),N434,0)-IF(ISNUMBER(O434),O434,0)+IF(ISNUMBER(P434),P434,0),2),"")</f>
        <v/>
      </c>
      <c r="S434" s="9" t="str">
        <f aca="false">IF(R434="","",ROUND(L434-R434,2))</f>
        <v/>
      </c>
      <c r="T434" s="8" t="str">
        <f aca="false">IF(A434="","",IF(S434="","BYPASS",IF(ABS(S434)&lt;=Summary!$B$2,"PASS","FAIL")))</f>
        <v/>
      </c>
      <c r="U434" s="8" t="str">
        <f aca="false">IF(T434="BYPASS",IF(NOT(ISNUMBER(Q434)),"PreV_ETB missing","End_tr_balance missing"),IF(T434="FAIL",IF(AND(ISNUMBER(K434),ISNUMBER(L434),ABS(L434-(K434-IF(ISNUMBER(N434),N434,0)-IF(ISNUMBER(O434),O434,0)+IF(ISNUMBER(P434),P434,0)))&lt;=Summary!$B$2),"Passes using beginning_balance - PreV_ETB differs from beginning_balance",IF(AND(ISNUMBER(O434),O434&lt;0,ABS(L434-(Q434-IF(ISNUMBER(N434),N434,0)+IF(ISNUMBER(P434),P434,0)))&lt;=Summary!$B$2),"Negative realized loss not applied - check sign",IF(R434&lt;0,"Principal paid exceeds prior balance",IF(AND(L434&gt;Q434,NOT(ISNUMBER(P434))),"Balance increased but no Deferred_interest reported",IF(L434&gt;R434,"Reported balance higher than expected (missing increase/OC build)","Reported balance lower than expected (missing decrease)"))))),""))</f>
        <v/>
      </c>
    </row>
    <row r="435" customFormat="false" ht="15" hidden="false" customHeight="fals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9"/>
      <c r="L435" s="9"/>
      <c r="M435" s="9"/>
      <c r="N435" s="9"/>
      <c r="O435" s="9"/>
      <c r="P435" s="9"/>
      <c r="Q435" s="9"/>
      <c r="R435" s="9" t="str">
        <f aca="false">IF(AND(A435&lt;&gt;"",ISNUMBER(Q435),ISNUMBER(L435)),ROUND(Q435-IF(ISNUMBER(N435),N435,0)-IF(ISNUMBER(O435),O435,0)+IF(ISNUMBER(P435),P435,0),2),"")</f>
        <v/>
      </c>
      <c r="S435" s="9" t="str">
        <f aca="false">IF(R435="","",ROUND(L435-R435,2))</f>
        <v/>
      </c>
      <c r="T435" s="8" t="str">
        <f aca="false">IF(A435="","",IF(S435="","BYPASS",IF(ABS(S435)&lt;=Summary!$B$2,"PASS","FAIL")))</f>
        <v/>
      </c>
      <c r="U435" s="8" t="str">
        <f aca="false">IF(T435="BYPASS",IF(NOT(ISNUMBER(Q435)),"PreV_ETB missing","End_tr_balance missing"),IF(T435="FAIL",IF(AND(ISNUMBER(K435),ISNUMBER(L435),ABS(L435-(K435-IF(ISNUMBER(N435),N435,0)-IF(ISNUMBER(O435),O435,0)+IF(ISNUMBER(P435),P435,0)))&lt;=Summary!$B$2),"Passes using beginning_balance - PreV_ETB differs from beginning_balance",IF(AND(ISNUMBER(O435),O435&lt;0,ABS(L435-(Q435-IF(ISNUMBER(N435),N435,0)+IF(ISNUMBER(P435),P435,0)))&lt;=Summary!$B$2),"Negative realized loss not applied - check sign",IF(R435&lt;0,"Principal paid exceeds prior balance",IF(AND(L435&gt;Q435,NOT(ISNUMBER(P435))),"Balance increased but no Deferred_interest reported",IF(L435&gt;R435,"Reported balance higher than expected (missing increase/OC build)","Reported balance lower than expected (missing decrease)"))))),""))</f>
        <v/>
      </c>
    </row>
    <row r="436" customFormat="false" ht="15" hidden="false" customHeight="fals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9"/>
      <c r="L436" s="9"/>
      <c r="M436" s="9"/>
      <c r="N436" s="9"/>
      <c r="O436" s="9"/>
      <c r="P436" s="9"/>
      <c r="Q436" s="9"/>
      <c r="R436" s="9" t="str">
        <f aca="false">IF(AND(A436&lt;&gt;"",ISNUMBER(Q436),ISNUMBER(L436)),ROUND(Q436-IF(ISNUMBER(N436),N436,0)-IF(ISNUMBER(O436),O436,0)+IF(ISNUMBER(P436),P436,0),2),"")</f>
        <v/>
      </c>
      <c r="S436" s="9" t="str">
        <f aca="false">IF(R436="","",ROUND(L436-R436,2))</f>
        <v/>
      </c>
      <c r="T436" s="8" t="str">
        <f aca="false">IF(A436="","",IF(S436="","BYPASS",IF(ABS(S436)&lt;=Summary!$B$2,"PASS","FAIL")))</f>
        <v/>
      </c>
      <c r="U436" s="8" t="str">
        <f aca="false">IF(T436="BYPASS",IF(NOT(ISNUMBER(Q436)),"PreV_ETB missing","End_tr_balance missing"),IF(T436="FAIL",IF(AND(ISNUMBER(K436),ISNUMBER(L436),ABS(L436-(K436-IF(ISNUMBER(N436),N436,0)-IF(ISNUMBER(O436),O436,0)+IF(ISNUMBER(P436),P436,0)))&lt;=Summary!$B$2),"Passes using beginning_balance - PreV_ETB differs from beginning_balance",IF(AND(ISNUMBER(O436),O436&lt;0,ABS(L436-(Q436-IF(ISNUMBER(N436),N436,0)+IF(ISNUMBER(P436),P436,0)))&lt;=Summary!$B$2),"Negative realized loss not applied - check sign",IF(R436&lt;0,"Principal paid exceeds prior balance",IF(AND(L436&gt;Q436,NOT(ISNUMBER(P436))),"Balance increased but no Deferred_interest reported",IF(L436&gt;R436,"Reported balance higher than expected (missing increase/OC build)","Reported balance lower than expected (missing decrease)"))))),""))</f>
        <v/>
      </c>
    </row>
    <row r="437" customFormat="false" ht="15" hidden="false" customHeight="fals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9"/>
      <c r="L437" s="9"/>
      <c r="M437" s="9"/>
      <c r="N437" s="9"/>
      <c r="O437" s="9"/>
      <c r="P437" s="9"/>
      <c r="Q437" s="9"/>
      <c r="R437" s="9" t="str">
        <f aca="false">IF(AND(A437&lt;&gt;"",ISNUMBER(Q437),ISNUMBER(L437)),ROUND(Q437-IF(ISNUMBER(N437),N437,0)-IF(ISNUMBER(O437),O437,0)+IF(ISNUMBER(P437),P437,0),2),"")</f>
        <v/>
      </c>
      <c r="S437" s="9" t="str">
        <f aca="false">IF(R437="","",ROUND(L437-R437,2))</f>
        <v/>
      </c>
      <c r="T437" s="8" t="str">
        <f aca="false">IF(A437="","",IF(S437="","BYPASS",IF(ABS(S437)&lt;=Summary!$B$2,"PASS","FAIL")))</f>
        <v/>
      </c>
      <c r="U437" s="8" t="str">
        <f aca="false">IF(T437="BYPASS",IF(NOT(ISNUMBER(Q437)),"PreV_ETB missing","End_tr_balance missing"),IF(T437="FAIL",IF(AND(ISNUMBER(K437),ISNUMBER(L437),ABS(L437-(K437-IF(ISNUMBER(N437),N437,0)-IF(ISNUMBER(O437),O437,0)+IF(ISNUMBER(P437),P437,0)))&lt;=Summary!$B$2),"Passes using beginning_balance - PreV_ETB differs from beginning_balance",IF(AND(ISNUMBER(O437),O437&lt;0,ABS(L437-(Q437-IF(ISNUMBER(N437),N437,0)+IF(ISNUMBER(P437),P437,0)))&lt;=Summary!$B$2),"Negative realized loss not applied - check sign",IF(R437&lt;0,"Principal paid exceeds prior balance",IF(AND(L437&gt;Q437,NOT(ISNUMBER(P437))),"Balance increased but no Deferred_interest reported",IF(L437&gt;R437,"Reported balance higher than expected (missing increase/OC build)","Reported balance lower than expected (missing decrease)"))))),""))</f>
        <v/>
      </c>
    </row>
    <row r="438" customFormat="false" ht="15" hidden="false" customHeight="fals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9"/>
      <c r="L438" s="9"/>
      <c r="M438" s="9"/>
      <c r="N438" s="9"/>
      <c r="O438" s="9"/>
      <c r="P438" s="9"/>
      <c r="Q438" s="9"/>
      <c r="R438" s="9" t="str">
        <f aca="false">IF(AND(A438&lt;&gt;"",ISNUMBER(Q438),ISNUMBER(L438)),ROUND(Q438-IF(ISNUMBER(N438),N438,0)-IF(ISNUMBER(O438),O438,0)+IF(ISNUMBER(P438),P438,0),2),"")</f>
        <v/>
      </c>
      <c r="S438" s="9" t="str">
        <f aca="false">IF(R438="","",ROUND(L438-R438,2))</f>
        <v/>
      </c>
      <c r="T438" s="8" t="str">
        <f aca="false">IF(A438="","",IF(S438="","BYPASS",IF(ABS(S438)&lt;=Summary!$B$2,"PASS","FAIL")))</f>
        <v/>
      </c>
      <c r="U438" s="8" t="str">
        <f aca="false">IF(T438="BYPASS",IF(NOT(ISNUMBER(Q438)),"PreV_ETB missing","End_tr_balance missing"),IF(T438="FAIL",IF(AND(ISNUMBER(K438),ISNUMBER(L438),ABS(L438-(K438-IF(ISNUMBER(N438),N438,0)-IF(ISNUMBER(O438),O438,0)+IF(ISNUMBER(P438),P438,0)))&lt;=Summary!$B$2),"Passes using beginning_balance - PreV_ETB differs from beginning_balance",IF(AND(ISNUMBER(O438),O438&lt;0,ABS(L438-(Q438-IF(ISNUMBER(N438),N438,0)+IF(ISNUMBER(P438),P438,0)))&lt;=Summary!$B$2),"Negative realized loss not applied - check sign",IF(R438&lt;0,"Principal paid exceeds prior balance",IF(AND(L438&gt;Q438,NOT(ISNUMBER(P438))),"Balance increased but no Deferred_interest reported",IF(L438&gt;R438,"Reported balance higher than expected (missing increase/OC build)","Reported balance lower than expected (missing decrease)"))))),""))</f>
        <v/>
      </c>
    </row>
    <row r="439" customFormat="false" ht="15" hidden="false" customHeight="fals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9"/>
      <c r="L439" s="9"/>
      <c r="M439" s="9"/>
      <c r="N439" s="9"/>
      <c r="O439" s="9"/>
      <c r="P439" s="9"/>
      <c r="Q439" s="9"/>
      <c r="R439" s="9" t="str">
        <f aca="false">IF(AND(A439&lt;&gt;"",ISNUMBER(Q439),ISNUMBER(L439)),ROUND(Q439-IF(ISNUMBER(N439),N439,0)-IF(ISNUMBER(O439),O439,0)+IF(ISNUMBER(P439),P439,0),2),"")</f>
        <v/>
      </c>
      <c r="S439" s="9" t="str">
        <f aca="false">IF(R439="","",ROUND(L439-R439,2))</f>
        <v/>
      </c>
      <c r="T439" s="8" t="str">
        <f aca="false">IF(A439="","",IF(S439="","BYPASS",IF(ABS(S439)&lt;=Summary!$B$2,"PASS","FAIL")))</f>
        <v/>
      </c>
      <c r="U439" s="8" t="str">
        <f aca="false">IF(T439="BYPASS",IF(NOT(ISNUMBER(Q439)),"PreV_ETB missing","End_tr_balance missing"),IF(T439="FAIL",IF(AND(ISNUMBER(K439),ISNUMBER(L439),ABS(L439-(K439-IF(ISNUMBER(N439),N439,0)-IF(ISNUMBER(O439),O439,0)+IF(ISNUMBER(P439),P439,0)))&lt;=Summary!$B$2),"Passes using beginning_balance - PreV_ETB differs from beginning_balance",IF(AND(ISNUMBER(O439),O439&lt;0,ABS(L439-(Q439-IF(ISNUMBER(N439),N439,0)+IF(ISNUMBER(P439),P439,0)))&lt;=Summary!$B$2),"Negative realized loss not applied - check sign",IF(R439&lt;0,"Principal paid exceeds prior balance",IF(AND(L439&gt;Q439,NOT(ISNUMBER(P439))),"Balance increased but no Deferred_interest reported",IF(L439&gt;R439,"Reported balance higher than expected (missing increase/OC build)","Reported balance lower than expected (missing decrease)"))))),""))</f>
        <v/>
      </c>
    </row>
    <row r="440" customFormat="false" ht="15" hidden="false" customHeight="fals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9"/>
      <c r="L440" s="9"/>
      <c r="M440" s="9"/>
      <c r="N440" s="9"/>
      <c r="O440" s="9"/>
      <c r="P440" s="9"/>
      <c r="Q440" s="9"/>
      <c r="R440" s="9" t="str">
        <f aca="false">IF(AND(A440&lt;&gt;"",ISNUMBER(Q440),ISNUMBER(L440)),ROUND(Q440-IF(ISNUMBER(N440),N440,0)-IF(ISNUMBER(O440),O440,0)+IF(ISNUMBER(P440),P440,0),2),"")</f>
        <v/>
      </c>
      <c r="S440" s="9" t="str">
        <f aca="false">IF(R440="","",ROUND(L440-R440,2))</f>
        <v/>
      </c>
      <c r="T440" s="8" t="str">
        <f aca="false">IF(A440="","",IF(S440="","BYPASS",IF(ABS(S440)&lt;=Summary!$B$2,"PASS","FAIL")))</f>
        <v/>
      </c>
      <c r="U440" s="8" t="str">
        <f aca="false">IF(T440="BYPASS",IF(NOT(ISNUMBER(Q440)),"PreV_ETB missing","End_tr_balance missing"),IF(T440="FAIL",IF(AND(ISNUMBER(K440),ISNUMBER(L440),ABS(L440-(K440-IF(ISNUMBER(N440),N440,0)-IF(ISNUMBER(O440),O440,0)+IF(ISNUMBER(P440),P440,0)))&lt;=Summary!$B$2),"Passes using beginning_balance - PreV_ETB differs from beginning_balance",IF(AND(ISNUMBER(O440),O440&lt;0,ABS(L440-(Q440-IF(ISNUMBER(N440),N440,0)+IF(ISNUMBER(P440),P440,0)))&lt;=Summary!$B$2),"Negative realized loss not applied - check sign",IF(R440&lt;0,"Principal paid exceeds prior balance",IF(AND(L440&gt;Q440,NOT(ISNUMBER(P440))),"Balance increased but no Deferred_interest reported",IF(L440&gt;R440,"Reported balance higher than expected (missing increase/OC build)","Reported balance lower than expected (missing decrease)"))))),""))</f>
        <v/>
      </c>
    </row>
    <row r="441" customFormat="false" ht="15" hidden="false" customHeight="fals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9"/>
      <c r="L441" s="9"/>
      <c r="M441" s="9"/>
      <c r="N441" s="9"/>
      <c r="O441" s="9"/>
      <c r="P441" s="9"/>
      <c r="Q441" s="9"/>
      <c r="R441" s="9" t="str">
        <f aca="false">IF(AND(A441&lt;&gt;"",ISNUMBER(Q441),ISNUMBER(L441)),ROUND(Q441-IF(ISNUMBER(N441),N441,0)-IF(ISNUMBER(O441),O441,0)+IF(ISNUMBER(P441),P441,0),2),"")</f>
        <v/>
      </c>
      <c r="S441" s="9" t="str">
        <f aca="false">IF(R441="","",ROUND(L441-R441,2))</f>
        <v/>
      </c>
      <c r="T441" s="8" t="str">
        <f aca="false">IF(A441="","",IF(S441="","BYPASS",IF(ABS(S441)&lt;=Summary!$B$2,"PASS","FAIL")))</f>
        <v/>
      </c>
      <c r="U441" s="8" t="str">
        <f aca="false">IF(T441="BYPASS",IF(NOT(ISNUMBER(Q441)),"PreV_ETB missing","End_tr_balance missing"),IF(T441="FAIL",IF(AND(ISNUMBER(K441),ISNUMBER(L441),ABS(L441-(K441-IF(ISNUMBER(N441),N441,0)-IF(ISNUMBER(O441),O441,0)+IF(ISNUMBER(P441),P441,0)))&lt;=Summary!$B$2),"Passes using beginning_balance - PreV_ETB differs from beginning_balance",IF(AND(ISNUMBER(O441),O441&lt;0,ABS(L441-(Q441-IF(ISNUMBER(N441),N441,0)+IF(ISNUMBER(P441),P441,0)))&lt;=Summary!$B$2),"Negative realized loss not applied - check sign",IF(R441&lt;0,"Principal paid exceeds prior balance",IF(AND(L441&gt;Q441,NOT(ISNUMBER(P441))),"Balance increased but no Deferred_interest reported",IF(L441&gt;R441,"Reported balance higher than expected (missing increase/OC build)","Reported balance lower than expected (missing decrease)"))))),""))</f>
        <v/>
      </c>
    </row>
    <row r="442" customFormat="false" ht="15" hidden="false" customHeight="fals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9"/>
      <c r="L442" s="9"/>
      <c r="M442" s="9"/>
      <c r="N442" s="9"/>
      <c r="O442" s="9"/>
      <c r="P442" s="9"/>
      <c r="Q442" s="9"/>
      <c r="R442" s="9" t="str">
        <f aca="false">IF(AND(A442&lt;&gt;"",ISNUMBER(Q442),ISNUMBER(L442)),ROUND(Q442-IF(ISNUMBER(N442),N442,0)-IF(ISNUMBER(O442),O442,0)+IF(ISNUMBER(P442),P442,0),2),"")</f>
        <v/>
      </c>
      <c r="S442" s="9" t="str">
        <f aca="false">IF(R442="","",ROUND(L442-R442,2))</f>
        <v/>
      </c>
      <c r="T442" s="8" t="str">
        <f aca="false">IF(A442="","",IF(S442="","BYPASS",IF(ABS(S442)&lt;=Summary!$B$2,"PASS","FAIL")))</f>
        <v/>
      </c>
      <c r="U442" s="8" t="str">
        <f aca="false">IF(T442="BYPASS",IF(NOT(ISNUMBER(Q442)),"PreV_ETB missing","End_tr_balance missing"),IF(T442="FAIL",IF(AND(ISNUMBER(K442),ISNUMBER(L442),ABS(L442-(K442-IF(ISNUMBER(N442),N442,0)-IF(ISNUMBER(O442),O442,0)+IF(ISNUMBER(P442),P442,0)))&lt;=Summary!$B$2),"Passes using beginning_balance - PreV_ETB differs from beginning_balance",IF(AND(ISNUMBER(O442),O442&lt;0,ABS(L442-(Q442-IF(ISNUMBER(N442),N442,0)+IF(ISNUMBER(P442),P442,0)))&lt;=Summary!$B$2),"Negative realized loss not applied - check sign",IF(R442&lt;0,"Principal paid exceeds prior balance",IF(AND(L442&gt;Q442,NOT(ISNUMBER(P442))),"Balance increased but no Deferred_interest reported",IF(L442&gt;R442,"Reported balance higher than expected (missing increase/OC build)","Reported balance lower than expected (missing decrease)"))))),""))</f>
        <v/>
      </c>
    </row>
    <row r="443" customFormat="false" ht="15" hidden="false" customHeight="fals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9"/>
      <c r="L443" s="9"/>
      <c r="M443" s="9"/>
      <c r="N443" s="9"/>
      <c r="O443" s="9"/>
      <c r="P443" s="9"/>
      <c r="Q443" s="9"/>
      <c r="R443" s="9" t="str">
        <f aca="false">IF(AND(A443&lt;&gt;"",ISNUMBER(Q443),ISNUMBER(L443)),ROUND(Q443-IF(ISNUMBER(N443),N443,0)-IF(ISNUMBER(O443),O443,0)+IF(ISNUMBER(P443),P443,0),2),"")</f>
        <v/>
      </c>
      <c r="S443" s="9" t="str">
        <f aca="false">IF(R443="","",ROUND(L443-R443,2))</f>
        <v/>
      </c>
      <c r="T443" s="8" t="str">
        <f aca="false">IF(A443="","",IF(S443="","BYPASS",IF(ABS(S443)&lt;=Summary!$B$2,"PASS","FAIL")))</f>
        <v/>
      </c>
      <c r="U443" s="8" t="str">
        <f aca="false">IF(T443="BYPASS",IF(NOT(ISNUMBER(Q443)),"PreV_ETB missing","End_tr_balance missing"),IF(T443="FAIL",IF(AND(ISNUMBER(K443),ISNUMBER(L443),ABS(L443-(K443-IF(ISNUMBER(N443),N443,0)-IF(ISNUMBER(O443),O443,0)+IF(ISNUMBER(P443),P443,0)))&lt;=Summary!$B$2),"Passes using beginning_balance - PreV_ETB differs from beginning_balance",IF(AND(ISNUMBER(O443),O443&lt;0,ABS(L443-(Q443-IF(ISNUMBER(N443),N443,0)+IF(ISNUMBER(P443),P443,0)))&lt;=Summary!$B$2),"Negative realized loss not applied - check sign",IF(R443&lt;0,"Principal paid exceeds prior balance",IF(AND(L443&gt;Q443,NOT(ISNUMBER(P443))),"Balance increased but no Deferred_interest reported",IF(L443&gt;R443,"Reported balance higher than expected (missing increase/OC build)","Reported balance lower than expected (missing decrease)"))))),""))</f>
        <v/>
      </c>
    </row>
    <row r="444" customFormat="false" ht="15" hidden="false" customHeight="fals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9"/>
      <c r="L444" s="9"/>
      <c r="M444" s="9"/>
      <c r="N444" s="9"/>
      <c r="O444" s="9"/>
      <c r="P444" s="9"/>
      <c r="Q444" s="9"/>
      <c r="R444" s="9" t="str">
        <f aca="false">IF(AND(A444&lt;&gt;"",ISNUMBER(Q444),ISNUMBER(L444)),ROUND(Q444-IF(ISNUMBER(N444),N444,0)-IF(ISNUMBER(O444),O444,0)+IF(ISNUMBER(P444),P444,0),2),"")</f>
        <v/>
      </c>
      <c r="S444" s="9" t="str">
        <f aca="false">IF(R444="","",ROUND(L444-R444,2))</f>
        <v/>
      </c>
      <c r="T444" s="8" t="str">
        <f aca="false">IF(A444="","",IF(S444="","BYPASS",IF(ABS(S444)&lt;=Summary!$B$2,"PASS","FAIL")))</f>
        <v/>
      </c>
      <c r="U444" s="8" t="str">
        <f aca="false">IF(T444="BYPASS",IF(NOT(ISNUMBER(Q444)),"PreV_ETB missing","End_tr_balance missing"),IF(T444="FAIL",IF(AND(ISNUMBER(K444),ISNUMBER(L444),ABS(L444-(K444-IF(ISNUMBER(N444),N444,0)-IF(ISNUMBER(O444),O444,0)+IF(ISNUMBER(P444),P444,0)))&lt;=Summary!$B$2),"Passes using beginning_balance - PreV_ETB differs from beginning_balance",IF(AND(ISNUMBER(O444),O444&lt;0,ABS(L444-(Q444-IF(ISNUMBER(N444),N444,0)+IF(ISNUMBER(P444),P444,0)))&lt;=Summary!$B$2),"Negative realized loss not applied - check sign",IF(R444&lt;0,"Principal paid exceeds prior balance",IF(AND(L444&gt;Q444,NOT(ISNUMBER(P444))),"Balance increased but no Deferred_interest reported",IF(L444&gt;R444,"Reported balance higher than expected (missing increase/OC build)","Reported balance lower than expected (missing decrease)"))))),""))</f>
        <v/>
      </c>
    </row>
    <row r="445" customFormat="false" ht="15" hidden="false" customHeight="fals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9"/>
      <c r="L445" s="9"/>
      <c r="M445" s="9"/>
      <c r="N445" s="9"/>
      <c r="O445" s="9"/>
      <c r="P445" s="9"/>
      <c r="Q445" s="9"/>
      <c r="R445" s="9" t="str">
        <f aca="false">IF(AND(A445&lt;&gt;"",ISNUMBER(Q445),ISNUMBER(L445)),ROUND(Q445-IF(ISNUMBER(N445),N445,0)-IF(ISNUMBER(O445),O445,0)+IF(ISNUMBER(P445),P445,0),2),"")</f>
        <v/>
      </c>
      <c r="S445" s="9" t="str">
        <f aca="false">IF(R445="","",ROUND(L445-R445,2))</f>
        <v/>
      </c>
      <c r="T445" s="8" t="str">
        <f aca="false">IF(A445="","",IF(S445="","BYPASS",IF(ABS(S445)&lt;=Summary!$B$2,"PASS","FAIL")))</f>
        <v/>
      </c>
      <c r="U445" s="8" t="str">
        <f aca="false">IF(T445="BYPASS",IF(NOT(ISNUMBER(Q445)),"PreV_ETB missing","End_tr_balance missing"),IF(T445="FAIL",IF(AND(ISNUMBER(K445),ISNUMBER(L445),ABS(L445-(K445-IF(ISNUMBER(N445),N445,0)-IF(ISNUMBER(O445),O445,0)+IF(ISNUMBER(P445),P445,0)))&lt;=Summary!$B$2),"Passes using beginning_balance - PreV_ETB differs from beginning_balance",IF(AND(ISNUMBER(O445),O445&lt;0,ABS(L445-(Q445-IF(ISNUMBER(N445),N445,0)+IF(ISNUMBER(P445),P445,0)))&lt;=Summary!$B$2),"Negative realized loss not applied - check sign",IF(R445&lt;0,"Principal paid exceeds prior balance",IF(AND(L445&gt;Q445,NOT(ISNUMBER(P445))),"Balance increased but no Deferred_interest reported",IF(L445&gt;R445,"Reported balance higher than expected (missing increase/OC build)","Reported balance lower than expected (missing decrease)"))))),""))</f>
        <v/>
      </c>
    </row>
    <row r="446" customFormat="false" ht="15" hidden="false" customHeight="fals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9"/>
      <c r="L446" s="9"/>
      <c r="M446" s="9"/>
      <c r="N446" s="9"/>
      <c r="O446" s="9"/>
      <c r="P446" s="9"/>
      <c r="Q446" s="9"/>
      <c r="R446" s="9" t="str">
        <f aca="false">IF(AND(A446&lt;&gt;"",ISNUMBER(Q446),ISNUMBER(L446)),ROUND(Q446-IF(ISNUMBER(N446),N446,0)-IF(ISNUMBER(O446),O446,0)+IF(ISNUMBER(P446),P446,0),2),"")</f>
        <v/>
      </c>
      <c r="S446" s="9" t="str">
        <f aca="false">IF(R446="","",ROUND(L446-R446,2))</f>
        <v/>
      </c>
      <c r="T446" s="8" t="str">
        <f aca="false">IF(A446="","",IF(S446="","BYPASS",IF(ABS(S446)&lt;=Summary!$B$2,"PASS","FAIL")))</f>
        <v/>
      </c>
      <c r="U446" s="8" t="str">
        <f aca="false">IF(T446="BYPASS",IF(NOT(ISNUMBER(Q446)),"PreV_ETB missing","End_tr_balance missing"),IF(T446="FAIL",IF(AND(ISNUMBER(K446),ISNUMBER(L446),ABS(L446-(K446-IF(ISNUMBER(N446),N446,0)-IF(ISNUMBER(O446),O446,0)+IF(ISNUMBER(P446),P446,0)))&lt;=Summary!$B$2),"Passes using beginning_balance - PreV_ETB differs from beginning_balance",IF(AND(ISNUMBER(O446),O446&lt;0,ABS(L446-(Q446-IF(ISNUMBER(N446),N446,0)+IF(ISNUMBER(P446),P446,0)))&lt;=Summary!$B$2),"Negative realized loss not applied - check sign",IF(R446&lt;0,"Principal paid exceeds prior balance",IF(AND(L446&gt;Q446,NOT(ISNUMBER(P446))),"Balance increased but no Deferred_interest reported",IF(L446&gt;R446,"Reported balance higher than expected (missing increase/OC build)","Reported balance lower than expected (missing decrease)"))))),""))</f>
        <v/>
      </c>
    </row>
    <row r="447" customFormat="false" ht="15" hidden="false" customHeight="fals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9"/>
      <c r="L447" s="9"/>
      <c r="M447" s="9"/>
      <c r="N447" s="9"/>
      <c r="O447" s="9"/>
      <c r="P447" s="9"/>
      <c r="Q447" s="9"/>
      <c r="R447" s="9" t="str">
        <f aca="false">IF(AND(A447&lt;&gt;"",ISNUMBER(Q447),ISNUMBER(L447)),ROUND(Q447-IF(ISNUMBER(N447),N447,0)-IF(ISNUMBER(O447),O447,0)+IF(ISNUMBER(P447),P447,0),2),"")</f>
        <v/>
      </c>
      <c r="S447" s="9" t="str">
        <f aca="false">IF(R447="","",ROUND(L447-R447,2))</f>
        <v/>
      </c>
      <c r="T447" s="8" t="str">
        <f aca="false">IF(A447="","",IF(S447="","BYPASS",IF(ABS(S447)&lt;=Summary!$B$2,"PASS","FAIL")))</f>
        <v/>
      </c>
      <c r="U447" s="8" t="str">
        <f aca="false">IF(T447="BYPASS",IF(NOT(ISNUMBER(Q447)),"PreV_ETB missing","End_tr_balance missing"),IF(T447="FAIL",IF(AND(ISNUMBER(K447),ISNUMBER(L447),ABS(L447-(K447-IF(ISNUMBER(N447),N447,0)-IF(ISNUMBER(O447),O447,0)+IF(ISNUMBER(P447),P447,0)))&lt;=Summary!$B$2),"Passes using beginning_balance - PreV_ETB differs from beginning_balance",IF(AND(ISNUMBER(O447),O447&lt;0,ABS(L447-(Q447-IF(ISNUMBER(N447),N447,0)+IF(ISNUMBER(P447),P447,0)))&lt;=Summary!$B$2),"Negative realized loss not applied - check sign",IF(R447&lt;0,"Principal paid exceeds prior balance",IF(AND(L447&gt;Q447,NOT(ISNUMBER(P447))),"Balance increased but no Deferred_interest reported",IF(L447&gt;R447,"Reported balance higher than expected (missing increase/OC build)","Reported balance lower than expected (missing decrease)"))))),""))</f>
        <v/>
      </c>
    </row>
    <row r="448" customFormat="false" ht="15" hidden="false" customHeight="fals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9"/>
      <c r="L448" s="9"/>
      <c r="M448" s="9"/>
      <c r="N448" s="9"/>
      <c r="O448" s="9"/>
      <c r="P448" s="9"/>
      <c r="Q448" s="9"/>
      <c r="R448" s="9" t="str">
        <f aca="false">IF(AND(A448&lt;&gt;"",ISNUMBER(Q448),ISNUMBER(L448)),ROUND(Q448-IF(ISNUMBER(N448),N448,0)-IF(ISNUMBER(O448),O448,0)+IF(ISNUMBER(P448),P448,0),2),"")</f>
        <v/>
      </c>
      <c r="S448" s="9" t="str">
        <f aca="false">IF(R448="","",ROUND(L448-R448,2))</f>
        <v/>
      </c>
      <c r="T448" s="8" t="str">
        <f aca="false">IF(A448="","",IF(S448="","BYPASS",IF(ABS(S448)&lt;=Summary!$B$2,"PASS","FAIL")))</f>
        <v/>
      </c>
      <c r="U448" s="8" t="str">
        <f aca="false">IF(T448="BYPASS",IF(NOT(ISNUMBER(Q448)),"PreV_ETB missing","End_tr_balance missing"),IF(T448="FAIL",IF(AND(ISNUMBER(K448),ISNUMBER(L448),ABS(L448-(K448-IF(ISNUMBER(N448),N448,0)-IF(ISNUMBER(O448),O448,0)+IF(ISNUMBER(P448),P448,0)))&lt;=Summary!$B$2),"Passes using beginning_balance - PreV_ETB differs from beginning_balance",IF(AND(ISNUMBER(O448),O448&lt;0,ABS(L448-(Q448-IF(ISNUMBER(N448),N448,0)+IF(ISNUMBER(P448),P448,0)))&lt;=Summary!$B$2),"Negative realized loss not applied - check sign",IF(R448&lt;0,"Principal paid exceeds prior balance",IF(AND(L448&gt;Q448,NOT(ISNUMBER(P448))),"Balance increased but no Deferred_interest reported",IF(L448&gt;R448,"Reported balance higher than expected (missing increase/OC build)","Reported balance lower than expected (missing decrease)"))))),""))</f>
        <v/>
      </c>
    </row>
    <row r="449" customFormat="false" ht="15" hidden="false" customHeight="fals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9"/>
      <c r="L449" s="9"/>
      <c r="M449" s="9"/>
      <c r="N449" s="9"/>
      <c r="O449" s="9"/>
      <c r="P449" s="9"/>
      <c r="Q449" s="9"/>
      <c r="R449" s="9" t="str">
        <f aca="false">IF(AND(A449&lt;&gt;"",ISNUMBER(Q449),ISNUMBER(L449)),ROUND(Q449-IF(ISNUMBER(N449),N449,0)-IF(ISNUMBER(O449),O449,0)+IF(ISNUMBER(P449),P449,0),2),"")</f>
        <v/>
      </c>
      <c r="S449" s="9" t="str">
        <f aca="false">IF(R449="","",ROUND(L449-R449,2))</f>
        <v/>
      </c>
      <c r="T449" s="8" t="str">
        <f aca="false">IF(A449="","",IF(S449="","BYPASS",IF(ABS(S449)&lt;=Summary!$B$2,"PASS","FAIL")))</f>
        <v/>
      </c>
      <c r="U449" s="8" t="str">
        <f aca="false">IF(T449="BYPASS",IF(NOT(ISNUMBER(Q449)),"PreV_ETB missing","End_tr_balance missing"),IF(T449="FAIL",IF(AND(ISNUMBER(K449),ISNUMBER(L449),ABS(L449-(K449-IF(ISNUMBER(N449),N449,0)-IF(ISNUMBER(O449),O449,0)+IF(ISNUMBER(P449),P449,0)))&lt;=Summary!$B$2),"Passes using beginning_balance - PreV_ETB differs from beginning_balance",IF(AND(ISNUMBER(O449),O449&lt;0,ABS(L449-(Q449-IF(ISNUMBER(N449),N449,0)+IF(ISNUMBER(P449),P449,0)))&lt;=Summary!$B$2),"Negative realized loss not applied - check sign",IF(R449&lt;0,"Principal paid exceeds prior balance",IF(AND(L449&gt;Q449,NOT(ISNUMBER(P449))),"Balance increased but no Deferred_interest reported",IF(L449&gt;R449,"Reported balance higher than expected (missing increase/OC build)","Reported balance lower than expected (missing decrease)"))))),""))</f>
        <v/>
      </c>
    </row>
    <row r="450" customFormat="false" ht="15" hidden="false" customHeight="fals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9"/>
      <c r="L450" s="9"/>
      <c r="M450" s="9"/>
      <c r="N450" s="9"/>
      <c r="O450" s="9"/>
      <c r="P450" s="9"/>
      <c r="Q450" s="9"/>
      <c r="R450" s="9" t="str">
        <f aca="false">IF(AND(A450&lt;&gt;"",ISNUMBER(Q450),ISNUMBER(L450)),ROUND(Q450-IF(ISNUMBER(N450),N450,0)-IF(ISNUMBER(O450),O450,0)+IF(ISNUMBER(P450),P450,0),2),"")</f>
        <v/>
      </c>
      <c r="S450" s="9" t="str">
        <f aca="false">IF(R450="","",ROUND(L450-R450,2))</f>
        <v/>
      </c>
      <c r="T450" s="8" t="str">
        <f aca="false">IF(A450="","",IF(S450="","BYPASS",IF(ABS(S450)&lt;=Summary!$B$2,"PASS","FAIL")))</f>
        <v/>
      </c>
      <c r="U450" s="8" t="str">
        <f aca="false">IF(T450="BYPASS",IF(NOT(ISNUMBER(Q450)),"PreV_ETB missing","End_tr_balance missing"),IF(T450="FAIL",IF(AND(ISNUMBER(K450),ISNUMBER(L450),ABS(L450-(K450-IF(ISNUMBER(N450),N450,0)-IF(ISNUMBER(O450),O450,0)+IF(ISNUMBER(P450),P450,0)))&lt;=Summary!$B$2),"Passes using beginning_balance - PreV_ETB differs from beginning_balance",IF(AND(ISNUMBER(O450),O450&lt;0,ABS(L450-(Q450-IF(ISNUMBER(N450),N450,0)+IF(ISNUMBER(P450),P450,0)))&lt;=Summary!$B$2),"Negative realized loss not applied - check sign",IF(R450&lt;0,"Principal paid exceeds prior balance",IF(AND(L450&gt;Q450,NOT(ISNUMBER(P450))),"Balance increased but no Deferred_interest reported",IF(L450&gt;R450,"Reported balance higher than expected (missing increase/OC build)","Reported balance lower than expected (missing decrease)"))))),""))</f>
        <v/>
      </c>
    </row>
    <row r="451" customFormat="false" ht="15" hidden="false" customHeight="fals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9"/>
      <c r="L451" s="9"/>
      <c r="M451" s="9"/>
      <c r="N451" s="9"/>
      <c r="O451" s="9"/>
      <c r="P451" s="9"/>
      <c r="Q451" s="9"/>
      <c r="R451" s="9" t="str">
        <f aca="false">IF(AND(A451&lt;&gt;"",ISNUMBER(Q451),ISNUMBER(L451)),ROUND(Q451-IF(ISNUMBER(N451),N451,0)-IF(ISNUMBER(O451),O451,0)+IF(ISNUMBER(P451),P451,0),2),"")</f>
        <v/>
      </c>
      <c r="S451" s="9" t="str">
        <f aca="false">IF(R451="","",ROUND(L451-R451,2))</f>
        <v/>
      </c>
      <c r="T451" s="8" t="str">
        <f aca="false">IF(A451="","",IF(S451="","BYPASS",IF(ABS(S451)&lt;=Summary!$B$2,"PASS","FAIL")))</f>
        <v/>
      </c>
      <c r="U451" s="8" t="str">
        <f aca="false">IF(T451="BYPASS",IF(NOT(ISNUMBER(Q451)),"PreV_ETB missing","End_tr_balance missing"),IF(T451="FAIL",IF(AND(ISNUMBER(K451),ISNUMBER(L451),ABS(L451-(K451-IF(ISNUMBER(N451),N451,0)-IF(ISNUMBER(O451),O451,0)+IF(ISNUMBER(P451),P451,0)))&lt;=Summary!$B$2),"Passes using beginning_balance - PreV_ETB differs from beginning_balance",IF(AND(ISNUMBER(O451),O451&lt;0,ABS(L451-(Q451-IF(ISNUMBER(N451),N451,0)+IF(ISNUMBER(P451),P451,0)))&lt;=Summary!$B$2),"Negative realized loss not applied - check sign",IF(R451&lt;0,"Principal paid exceeds prior balance",IF(AND(L451&gt;Q451,NOT(ISNUMBER(P451))),"Balance increased but no Deferred_interest reported",IF(L451&gt;R451,"Reported balance higher than expected (missing increase/OC build)","Reported balance lower than expected (missing decrease)"))))),""))</f>
        <v/>
      </c>
    </row>
    <row r="452" customFormat="false" ht="15" hidden="false" customHeight="fals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9"/>
      <c r="L452" s="9"/>
      <c r="M452" s="9"/>
      <c r="N452" s="9"/>
      <c r="O452" s="9"/>
      <c r="P452" s="9"/>
      <c r="Q452" s="9"/>
      <c r="R452" s="9" t="str">
        <f aca="false">IF(AND(A452&lt;&gt;"",ISNUMBER(Q452),ISNUMBER(L452)),ROUND(Q452-IF(ISNUMBER(N452),N452,0)-IF(ISNUMBER(O452),O452,0)+IF(ISNUMBER(P452),P452,0),2),"")</f>
        <v/>
      </c>
      <c r="S452" s="9" t="str">
        <f aca="false">IF(R452="","",ROUND(L452-R452,2))</f>
        <v/>
      </c>
      <c r="T452" s="8" t="str">
        <f aca="false">IF(A452="","",IF(S452="","BYPASS",IF(ABS(S452)&lt;=Summary!$B$2,"PASS","FAIL")))</f>
        <v/>
      </c>
      <c r="U452" s="8" t="str">
        <f aca="false">IF(T452="BYPASS",IF(NOT(ISNUMBER(Q452)),"PreV_ETB missing","End_tr_balance missing"),IF(T452="FAIL",IF(AND(ISNUMBER(K452),ISNUMBER(L452),ABS(L452-(K452-IF(ISNUMBER(N452),N452,0)-IF(ISNUMBER(O452),O452,0)+IF(ISNUMBER(P452),P452,0)))&lt;=Summary!$B$2),"Passes using beginning_balance - PreV_ETB differs from beginning_balance",IF(AND(ISNUMBER(O452),O452&lt;0,ABS(L452-(Q452-IF(ISNUMBER(N452),N452,0)+IF(ISNUMBER(P452),P452,0)))&lt;=Summary!$B$2),"Negative realized loss not applied - check sign",IF(R452&lt;0,"Principal paid exceeds prior balance",IF(AND(L452&gt;Q452,NOT(ISNUMBER(P452))),"Balance increased but no Deferred_interest reported",IF(L452&gt;R452,"Reported balance higher than expected (missing increase/OC build)","Reported balance lower than expected (missing decrease)"))))),""))</f>
        <v/>
      </c>
    </row>
    <row r="453" customFormat="false" ht="15" hidden="false" customHeight="fals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9"/>
      <c r="L453" s="9"/>
      <c r="M453" s="9"/>
      <c r="N453" s="9"/>
      <c r="O453" s="9"/>
      <c r="P453" s="9"/>
      <c r="Q453" s="9"/>
      <c r="R453" s="9" t="str">
        <f aca="false">IF(AND(A453&lt;&gt;"",ISNUMBER(Q453),ISNUMBER(L453)),ROUND(Q453-IF(ISNUMBER(N453),N453,0)-IF(ISNUMBER(O453),O453,0)+IF(ISNUMBER(P453),P453,0),2),"")</f>
        <v/>
      </c>
      <c r="S453" s="9" t="str">
        <f aca="false">IF(R453="","",ROUND(L453-R453,2))</f>
        <v/>
      </c>
      <c r="T453" s="8" t="str">
        <f aca="false">IF(A453="","",IF(S453="","BYPASS",IF(ABS(S453)&lt;=Summary!$B$2,"PASS","FAIL")))</f>
        <v/>
      </c>
      <c r="U453" s="8" t="str">
        <f aca="false">IF(T453="BYPASS",IF(NOT(ISNUMBER(Q453)),"PreV_ETB missing","End_tr_balance missing"),IF(T453="FAIL",IF(AND(ISNUMBER(K453),ISNUMBER(L453),ABS(L453-(K453-IF(ISNUMBER(N453),N453,0)-IF(ISNUMBER(O453),O453,0)+IF(ISNUMBER(P453),P453,0)))&lt;=Summary!$B$2),"Passes using beginning_balance - PreV_ETB differs from beginning_balance",IF(AND(ISNUMBER(O453),O453&lt;0,ABS(L453-(Q453-IF(ISNUMBER(N453),N453,0)+IF(ISNUMBER(P453),P453,0)))&lt;=Summary!$B$2),"Negative realized loss not applied - check sign",IF(R453&lt;0,"Principal paid exceeds prior balance",IF(AND(L453&gt;Q453,NOT(ISNUMBER(P453))),"Balance increased but no Deferred_interest reported",IF(L453&gt;R453,"Reported balance higher than expected (missing increase/OC build)","Reported balance lower than expected (missing decrease)"))))),""))</f>
        <v/>
      </c>
    </row>
    <row r="454" customFormat="false" ht="15" hidden="false" customHeight="fals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9"/>
      <c r="L454" s="9"/>
      <c r="M454" s="9"/>
      <c r="N454" s="9"/>
      <c r="O454" s="9"/>
      <c r="P454" s="9"/>
      <c r="Q454" s="9"/>
      <c r="R454" s="9" t="str">
        <f aca="false">IF(AND(A454&lt;&gt;"",ISNUMBER(Q454),ISNUMBER(L454)),ROUND(Q454-IF(ISNUMBER(N454),N454,0)-IF(ISNUMBER(O454),O454,0)+IF(ISNUMBER(P454),P454,0),2),"")</f>
        <v/>
      </c>
      <c r="S454" s="9" t="str">
        <f aca="false">IF(R454="","",ROUND(L454-R454,2))</f>
        <v/>
      </c>
      <c r="T454" s="8" t="str">
        <f aca="false">IF(A454="","",IF(S454="","BYPASS",IF(ABS(S454)&lt;=Summary!$B$2,"PASS","FAIL")))</f>
        <v/>
      </c>
      <c r="U454" s="8" t="str">
        <f aca="false">IF(T454="BYPASS",IF(NOT(ISNUMBER(Q454)),"PreV_ETB missing","End_tr_balance missing"),IF(T454="FAIL",IF(AND(ISNUMBER(K454),ISNUMBER(L454),ABS(L454-(K454-IF(ISNUMBER(N454),N454,0)-IF(ISNUMBER(O454),O454,0)+IF(ISNUMBER(P454),P454,0)))&lt;=Summary!$B$2),"Passes using beginning_balance - PreV_ETB differs from beginning_balance",IF(AND(ISNUMBER(O454),O454&lt;0,ABS(L454-(Q454-IF(ISNUMBER(N454),N454,0)+IF(ISNUMBER(P454),P454,0)))&lt;=Summary!$B$2),"Negative realized loss not applied - check sign",IF(R454&lt;0,"Principal paid exceeds prior balance",IF(AND(L454&gt;Q454,NOT(ISNUMBER(P454))),"Balance increased but no Deferred_interest reported",IF(L454&gt;R454,"Reported balance higher than expected (missing increase/OC build)","Reported balance lower than expected (missing decrease)"))))),""))</f>
        <v/>
      </c>
    </row>
    <row r="455" customFormat="false" ht="15" hidden="false" customHeight="fals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9"/>
      <c r="L455" s="9"/>
      <c r="M455" s="9"/>
      <c r="N455" s="9"/>
      <c r="O455" s="9"/>
      <c r="P455" s="9"/>
      <c r="Q455" s="9"/>
      <c r="R455" s="9" t="str">
        <f aca="false">IF(AND(A455&lt;&gt;"",ISNUMBER(Q455),ISNUMBER(L455)),ROUND(Q455-IF(ISNUMBER(N455),N455,0)-IF(ISNUMBER(O455),O455,0)+IF(ISNUMBER(P455),P455,0),2),"")</f>
        <v/>
      </c>
      <c r="S455" s="9" t="str">
        <f aca="false">IF(R455="","",ROUND(L455-R455,2))</f>
        <v/>
      </c>
      <c r="T455" s="8" t="str">
        <f aca="false">IF(A455="","",IF(S455="","BYPASS",IF(ABS(S455)&lt;=Summary!$B$2,"PASS","FAIL")))</f>
        <v/>
      </c>
      <c r="U455" s="8" t="str">
        <f aca="false">IF(T455="BYPASS",IF(NOT(ISNUMBER(Q455)),"PreV_ETB missing","End_tr_balance missing"),IF(T455="FAIL",IF(AND(ISNUMBER(K455),ISNUMBER(L455),ABS(L455-(K455-IF(ISNUMBER(N455),N455,0)-IF(ISNUMBER(O455),O455,0)+IF(ISNUMBER(P455),P455,0)))&lt;=Summary!$B$2),"Passes using beginning_balance - PreV_ETB differs from beginning_balance",IF(AND(ISNUMBER(O455),O455&lt;0,ABS(L455-(Q455-IF(ISNUMBER(N455),N455,0)+IF(ISNUMBER(P455),P455,0)))&lt;=Summary!$B$2),"Negative realized loss not applied - check sign",IF(R455&lt;0,"Principal paid exceeds prior balance",IF(AND(L455&gt;Q455,NOT(ISNUMBER(P455))),"Balance increased but no Deferred_interest reported",IF(L455&gt;R455,"Reported balance higher than expected (missing increase/OC build)","Reported balance lower than expected (missing decrease)"))))),""))</f>
        <v/>
      </c>
    </row>
    <row r="456" customFormat="false" ht="15" hidden="false" customHeight="fals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9"/>
      <c r="L456" s="9"/>
      <c r="M456" s="9"/>
      <c r="N456" s="9"/>
      <c r="O456" s="9"/>
      <c r="P456" s="9"/>
      <c r="Q456" s="9"/>
      <c r="R456" s="9" t="str">
        <f aca="false">IF(AND(A456&lt;&gt;"",ISNUMBER(Q456),ISNUMBER(L456)),ROUND(Q456-IF(ISNUMBER(N456),N456,0)-IF(ISNUMBER(O456),O456,0)+IF(ISNUMBER(P456),P456,0),2),"")</f>
        <v/>
      </c>
      <c r="S456" s="9" t="str">
        <f aca="false">IF(R456="","",ROUND(L456-R456,2))</f>
        <v/>
      </c>
      <c r="T456" s="8" t="str">
        <f aca="false">IF(A456="","",IF(S456="","BYPASS",IF(ABS(S456)&lt;=Summary!$B$2,"PASS","FAIL")))</f>
        <v/>
      </c>
      <c r="U456" s="8" t="str">
        <f aca="false">IF(T456="BYPASS",IF(NOT(ISNUMBER(Q456)),"PreV_ETB missing","End_tr_balance missing"),IF(T456="FAIL",IF(AND(ISNUMBER(K456),ISNUMBER(L456),ABS(L456-(K456-IF(ISNUMBER(N456),N456,0)-IF(ISNUMBER(O456),O456,0)+IF(ISNUMBER(P456),P456,0)))&lt;=Summary!$B$2),"Passes using beginning_balance - PreV_ETB differs from beginning_balance",IF(AND(ISNUMBER(O456),O456&lt;0,ABS(L456-(Q456-IF(ISNUMBER(N456),N456,0)+IF(ISNUMBER(P456),P456,0)))&lt;=Summary!$B$2),"Negative realized loss not applied - check sign",IF(R456&lt;0,"Principal paid exceeds prior balance",IF(AND(L456&gt;Q456,NOT(ISNUMBER(P456))),"Balance increased but no Deferred_interest reported",IF(L456&gt;R456,"Reported balance higher than expected (missing increase/OC build)","Reported balance lower than expected (missing decrease)"))))),""))</f>
        <v/>
      </c>
    </row>
    <row r="457" customFormat="false" ht="15" hidden="false" customHeight="fals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9"/>
      <c r="L457" s="9"/>
      <c r="M457" s="9"/>
      <c r="N457" s="9"/>
      <c r="O457" s="9"/>
      <c r="P457" s="9"/>
      <c r="Q457" s="9"/>
      <c r="R457" s="9" t="str">
        <f aca="false">IF(AND(A457&lt;&gt;"",ISNUMBER(Q457),ISNUMBER(L457)),ROUND(Q457-IF(ISNUMBER(N457),N457,0)-IF(ISNUMBER(O457),O457,0)+IF(ISNUMBER(P457),P457,0),2),"")</f>
        <v/>
      </c>
      <c r="S457" s="9" t="str">
        <f aca="false">IF(R457="","",ROUND(L457-R457,2))</f>
        <v/>
      </c>
      <c r="T457" s="8" t="str">
        <f aca="false">IF(A457="","",IF(S457="","BYPASS",IF(ABS(S457)&lt;=Summary!$B$2,"PASS","FAIL")))</f>
        <v/>
      </c>
      <c r="U457" s="8" t="str">
        <f aca="false">IF(T457="BYPASS",IF(NOT(ISNUMBER(Q457)),"PreV_ETB missing","End_tr_balance missing"),IF(T457="FAIL",IF(AND(ISNUMBER(K457),ISNUMBER(L457),ABS(L457-(K457-IF(ISNUMBER(N457),N457,0)-IF(ISNUMBER(O457),O457,0)+IF(ISNUMBER(P457),P457,0)))&lt;=Summary!$B$2),"Passes using beginning_balance - PreV_ETB differs from beginning_balance",IF(AND(ISNUMBER(O457),O457&lt;0,ABS(L457-(Q457-IF(ISNUMBER(N457),N457,0)+IF(ISNUMBER(P457),P457,0)))&lt;=Summary!$B$2),"Negative realized loss not applied - check sign",IF(R457&lt;0,"Principal paid exceeds prior balance",IF(AND(L457&gt;Q457,NOT(ISNUMBER(P457))),"Balance increased but no Deferred_interest reported",IF(L457&gt;R457,"Reported balance higher than expected (missing increase/OC build)","Reported balance lower than expected (missing decrease)"))))),""))</f>
        <v/>
      </c>
    </row>
    <row r="458" customFormat="false" ht="15" hidden="false" customHeight="fals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9"/>
      <c r="L458" s="9"/>
      <c r="M458" s="9"/>
      <c r="N458" s="9"/>
      <c r="O458" s="9"/>
      <c r="P458" s="9"/>
      <c r="Q458" s="9"/>
      <c r="R458" s="9" t="str">
        <f aca="false">IF(AND(A458&lt;&gt;"",ISNUMBER(Q458),ISNUMBER(L458)),ROUND(Q458-IF(ISNUMBER(N458),N458,0)-IF(ISNUMBER(O458),O458,0)+IF(ISNUMBER(P458),P458,0),2),"")</f>
        <v/>
      </c>
      <c r="S458" s="9" t="str">
        <f aca="false">IF(R458="","",ROUND(L458-R458,2))</f>
        <v/>
      </c>
      <c r="T458" s="8" t="str">
        <f aca="false">IF(A458="","",IF(S458="","BYPASS",IF(ABS(S458)&lt;=Summary!$B$2,"PASS","FAIL")))</f>
        <v/>
      </c>
      <c r="U458" s="8" t="str">
        <f aca="false">IF(T458="BYPASS",IF(NOT(ISNUMBER(Q458)),"PreV_ETB missing","End_tr_balance missing"),IF(T458="FAIL",IF(AND(ISNUMBER(K458),ISNUMBER(L458),ABS(L458-(K458-IF(ISNUMBER(N458),N458,0)-IF(ISNUMBER(O458),O458,0)+IF(ISNUMBER(P458),P458,0)))&lt;=Summary!$B$2),"Passes using beginning_balance - PreV_ETB differs from beginning_balance",IF(AND(ISNUMBER(O458),O458&lt;0,ABS(L458-(Q458-IF(ISNUMBER(N458),N458,0)+IF(ISNUMBER(P458),P458,0)))&lt;=Summary!$B$2),"Negative realized loss not applied - check sign",IF(R458&lt;0,"Principal paid exceeds prior balance",IF(AND(L458&gt;Q458,NOT(ISNUMBER(P458))),"Balance increased but no Deferred_interest reported",IF(L458&gt;R458,"Reported balance higher than expected (missing increase/OC build)","Reported balance lower than expected (missing decrease)"))))),""))</f>
        <v/>
      </c>
    </row>
    <row r="459" customFormat="false" ht="15" hidden="false" customHeight="fals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9"/>
      <c r="L459" s="9"/>
      <c r="M459" s="9"/>
      <c r="N459" s="9"/>
      <c r="O459" s="9"/>
      <c r="P459" s="9"/>
      <c r="Q459" s="9"/>
      <c r="R459" s="9" t="str">
        <f aca="false">IF(AND(A459&lt;&gt;"",ISNUMBER(Q459),ISNUMBER(L459)),ROUND(Q459-IF(ISNUMBER(N459),N459,0)-IF(ISNUMBER(O459),O459,0)+IF(ISNUMBER(P459),P459,0),2),"")</f>
        <v/>
      </c>
      <c r="S459" s="9" t="str">
        <f aca="false">IF(R459="","",ROUND(L459-R459,2))</f>
        <v/>
      </c>
      <c r="T459" s="8" t="str">
        <f aca="false">IF(A459="","",IF(S459="","BYPASS",IF(ABS(S459)&lt;=Summary!$B$2,"PASS","FAIL")))</f>
        <v/>
      </c>
      <c r="U459" s="8" t="str">
        <f aca="false">IF(T459="BYPASS",IF(NOT(ISNUMBER(Q459)),"PreV_ETB missing","End_tr_balance missing"),IF(T459="FAIL",IF(AND(ISNUMBER(K459),ISNUMBER(L459),ABS(L459-(K459-IF(ISNUMBER(N459),N459,0)-IF(ISNUMBER(O459),O459,0)+IF(ISNUMBER(P459),P459,0)))&lt;=Summary!$B$2),"Passes using beginning_balance - PreV_ETB differs from beginning_balance",IF(AND(ISNUMBER(O459),O459&lt;0,ABS(L459-(Q459-IF(ISNUMBER(N459),N459,0)+IF(ISNUMBER(P459),P459,0)))&lt;=Summary!$B$2),"Negative realized loss not applied - check sign",IF(R459&lt;0,"Principal paid exceeds prior balance",IF(AND(L459&gt;Q459,NOT(ISNUMBER(P459))),"Balance increased but no Deferred_interest reported",IF(L459&gt;R459,"Reported balance higher than expected (missing increase/OC build)","Reported balance lower than expected (missing decrease)"))))),""))</f>
        <v/>
      </c>
    </row>
    <row r="460" customFormat="false" ht="15" hidden="false" customHeight="fals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9"/>
      <c r="L460" s="9"/>
      <c r="M460" s="9"/>
      <c r="N460" s="9"/>
      <c r="O460" s="9"/>
      <c r="P460" s="9"/>
      <c r="Q460" s="9"/>
      <c r="R460" s="9" t="str">
        <f aca="false">IF(AND(A460&lt;&gt;"",ISNUMBER(Q460),ISNUMBER(L460)),ROUND(Q460-IF(ISNUMBER(N460),N460,0)-IF(ISNUMBER(O460),O460,0)+IF(ISNUMBER(P460),P460,0),2),"")</f>
        <v/>
      </c>
      <c r="S460" s="9" t="str">
        <f aca="false">IF(R460="","",ROUND(L460-R460,2))</f>
        <v/>
      </c>
      <c r="T460" s="8" t="str">
        <f aca="false">IF(A460="","",IF(S460="","BYPASS",IF(ABS(S460)&lt;=Summary!$B$2,"PASS","FAIL")))</f>
        <v/>
      </c>
      <c r="U460" s="8" t="str">
        <f aca="false">IF(T460="BYPASS",IF(NOT(ISNUMBER(Q460)),"PreV_ETB missing","End_tr_balance missing"),IF(T460="FAIL",IF(AND(ISNUMBER(K460),ISNUMBER(L460),ABS(L460-(K460-IF(ISNUMBER(N460),N460,0)-IF(ISNUMBER(O460),O460,0)+IF(ISNUMBER(P460),P460,0)))&lt;=Summary!$B$2),"Passes using beginning_balance - PreV_ETB differs from beginning_balance",IF(AND(ISNUMBER(O460),O460&lt;0,ABS(L460-(Q460-IF(ISNUMBER(N460),N460,0)+IF(ISNUMBER(P460),P460,0)))&lt;=Summary!$B$2),"Negative realized loss not applied - check sign",IF(R460&lt;0,"Principal paid exceeds prior balance",IF(AND(L460&gt;Q460,NOT(ISNUMBER(P460))),"Balance increased but no Deferred_interest reported",IF(L460&gt;R460,"Reported balance higher than expected (missing increase/OC build)","Reported balance lower than expected (missing decrease)"))))),""))</f>
        <v/>
      </c>
    </row>
    <row r="461" customFormat="false" ht="15" hidden="false" customHeight="fals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9"/>
      <c r="L461" s="9"/>
      <c r="M461" s="9"/>
      <c r="N461" s="9"/>
      <c r="O461" s="9"/>
      <c r="P461" s="9"/>
      <c r="Q461" s="9"/>
      <c r="R461" s="9" t="str">
        <f aca="false">IF(AND(A461&lt;&gt;"",ISNUMBER(Q461),ISNUMBER(L461)),ROUND(Q461-IF(ISNUMBER(N461),N461,0)-IF(ISNUMBER(O461),O461,0)+IF(ISNUMBER(P461),P461,0),2),"")</f>
        <v/>
      </c>
      <c r="S461" s="9" t="str">
        <f aca="false">IF(R461="","",ROUND(L461-R461,2))</f>
        <v/>
      </c>
      <c r="T461" s="8" t="str">
        <f aca="false">IF(A461="","",IF(S461="","BYPASS",IF(ABS(S461)&lt;=Summary!$B$2,"PASS","FAIL")))</f>
        <v/>
      </c>
      <c r="U461" s="8" t="str">
        <f aca="false">IF(T461="BYPASS",IF(NOT(ISNUMBER(Q461)),"PreV_ETB missing","End_tr_balance missing"),IF(T461="FAIL",IF(AND(ISNUMBER(K461),ISNUMBER(L461),ABS(L461-(K461-IF(ISNUMBER(N461),N461,0)-IF(ISNUMBER(O461),O461,0)+IF(ISNUMBER(P461),P461,0)))&lt;=Summary!$B$2),"Passes using beginning_balance - PreV_ETB differs from beginning_balance",IF(AND(ISNUMBER(O461),O461&lt;0,ABS(L461-(Q461-IF(ISNUMBER(N461),N461,0)+IF(ISNUMBER(P461),P461,0)))&lt;=Summary!$B$2),"Negative realized loss not applied - check sign",IF(R461&lt;0,"Principal paid exceeds prior balance",IF(AND(L461&gt;Q461,NOT(ISNUMBER(P461))),"Balance increased but no Deferred_interest reported",IF(L461&gt;R461,"Reported balance higher than expected (missing increase/OC build)","Reported balance lower than expected (missing decrease)"))))),""))</f>
        <v/>
      </c>
    </row>
    <row r="462" customFormat="false" ht="15" hidden="false" customHeight="fals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9"/>
      <c r="L462" s="9"/>
      <c r="M462" s="9"/>
      <c r="N462" s="9"/>
      <c r="O462" s="9"/>
      <c r="P462" s="9"/>
      <c r="Q462" s="9"/>
      <c r="R462" s="9" t="str">
        <f aca="false">IF(AND(A462&lt;&gt;"",ISNUMBER(Q462),ISNUMBER(L462)),ROUND(Q462-IF(ISNUMBER(N462),N462,0)-IF(ISNUMBER(O462),O462,0)+IF(ISNUMBER(P462),P462,0),2),"")</f>
        <v/>
      </c>
      <c r="S462" s="9" t="str">
        <f aca="false">IF(R462="","",ROUND(L462-R462,2))</f>
        <v/>
      </c>
      <c r="T462" s="8" t="str">
        <f aca="false">IF(A462="","",IF(S462="","BYPASS",IF(ABS(S462)&lt;=Summary!$B$2,"PASS","FAIL")))</f>
        <v/>
      </c>
      <c r="U462" s="8" t="str">
        <f aca="false">IF(T462="BYPASS",IF(NOT(ISNUMBER(Q462)),"PreV_ETB missing","End_tr_balance missing"),IF(T462="FAIL",IF(AND(ISNUMBER(K462),ISNUMBER(L462),ABS(L462-(K462-IF(ISNUMBER(N462),N462,0)-IF(ISNUMBER(O462),O462,0)+IF(ISNUMBER(P462),P462,0)))&lt;=Summary!$B$2),"Passes using beginning_balance - PreV_ETB differs from beginning_balance",IF(AND(ISNUMBER(O462),O462&lt;0,ABS(L462-(Q462-IF(ISNUMBER(N462),N462,0)+IF(ISNUMBER(P462),P462,0)))&lt;=Summary!$B$2),"Negative realized loss not applied - check sign",IF(R462&lt;0,"Principal paid exceeds prior balance",IF(AND(L462&gt;Q462,NOT(ISNUMBER(P462))),"Balance increased but no Deferred_interest reported",IF(L462&gt;R462,"Reported balance higher than expected (missing increase/OC build)","Reported balance lower than expected (missing decrease)"))))),""))</f>
        <v/>
      </c>
    </row>
    <row r="463" customFormat="false" ht="15" hidden="false" customHeight="fals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9"/>
      <c r="L463" s="9"/>
      <c r="M463" s="9"/>
      <c r="N463" s="9"/>
      <c r="O463" s="9"/>
      <c r="P463" s="9"/>
      <c r="Q463" s="9"/>
      <c r="R463" s="9" t="str">
        <f aca="false">IF(AND(A463&lt;&gt;"",ISNUMBER(Q463),ISNUMBER(L463)),ROUND(Q463-IF(ISNUMBER(N463),N463,0)-IF(ISNUMBER(O463),O463,0)+IF(ISNUMBER(P463),P463,0),2),"")</f>
        <v/>
      </c>
      <c r="S463" s="9" t="str">
        <f aca="false">IF(R463="","",ROUND(L463-R463,2))</f>
        <v/>
      </c>
      <c r="T463" s="8" t="str">
        <f aca="false">IF(A463="","",IF(S463="","BYPASS",IF(ABS(S463)&lt;=Summary!$B$2,"PASS","FAIL")))</f>
        <v/>
      </c>
      <c r="U463" s="8" t="str">
        <f aca="false">IF(T463="BYPASS",IF(NOT(ISNUMBER(Q463)),"PreV_ETB missing","End_tr_balance missing"),IF(T463="FAIL",IF(AND(ISNUMBER(K463),ISNUMBER(L463),ABS(L463-(K463-IF(ISNUMBER(N463),N463,0)-IF(ISNUMBER(O463),O463,0)+IF(ISNUMBER(P463),P463,0)))&lt;=Summary!$B$2),"Passes using beginning_balance - PreV_ETB differs from beginning_balance",IF(AND(ISNUMBER(O463),O463&lt;0,ABS(L463-(Q463-IF(ISNUMBER(N463),N463,0)+IF(ISNUMBER(P463),P463,0)))&lt;=Summary!$B$2),"Negative realized loss not applied - check sign",IF(R463&lt;0,"Principal paid exceeds prior balance",IF(AND(L463&gt;Q463,NOT(ISNUMBER(P463))),"Balance increased but no Deferred_interest reported",IF(L463&gt;R463,"Reported balance higher than expected (missing increase/OC build)","Reported balance lower than expected (missing decrease)"))))),""))</f>
        <v/>
      </c>
    </row>
    <row r="464" customFormat="false" ht="15" hidden="false" customHeight="fals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9"/>
      <c r="L464" s="9"/>
      <c r="M464" s="9"/>
      <c r="N464" s="9"/>
      <c r="O464" s="9"/>
      <c r="P464" s="9"/>
      <c r="Q464" s="9"/>
      <c r="R464" s="9" t="str">
        <f aca="false">IF(AND(A464&lt;&gt;"",ISNUMBER(Q464),ISNUMBER(L464)),ROUND(Q464-IF(ISNUMBER(N464),N464,0)-IF(ISNUMBER(O464),O464,0)+IF(ISNUMBER(P464),P464,0),2),"")</f>
        <v/>
      </c>
      <c r="S464" s="9" t="str">
        <f aca="false">IF(R464="","",ROUND(L464-R464,2))</f>
        <v/>
      </c>
      <c r="T464" s="8" t="str">
        <f aca="false">IF(A464="","",IF(S464="","BYPASS",IF(ABS(S464)&lt;=Summary!$B$2,"PASS","FAIL")))</f>
        <v/>
      </c>
      <c r="U464" s="8" t="str">
        <f aca="false">IF(T464="BYPASS",IF(NOT(ISNUMBER(Q464)),"PreV_ETB missing","End_tr_balance missing"),IF(T464="FAIL",IF(AND(ISNUMBER(K464),ISNUMBER(L464),ABS(L464-(K464-IF(ISNUMBER(N464),N464,0)-IF(ISNUMBER(O464),O464,0)+IF(ISNUMBER(P464),P464,0)))&lt;=Summary!$B$2),"Passes using beginning_balance - PreV_ETB differs from beginning_balance",IF(AND(ISNUMBER(O464),O464&lt;0,ABS(L464-(Q464-IF(ISNUMBER(N464),N464,0)+IF(ISNUMBER(P464),P464,0)))&lt;=Summary!$B$2),"Negative realized loss not applied - check sign",IF(R464&lt;0,"Principal paid exceeds prior balance",IF(AND(L464&gt;Q464,NOT(ISNUMBER(P464))),"Balance increased but no Deferred_interest reported",IF(L464&gt;R464,"Reported balance higher than expected (missing increase/OC build)","Reported balance lower than expected (missing decrease)"))))),""))</f>
        <v/>
      </c>
    </row>
    <row r="465" customFormat="false" ht="15" hidden="false" customHeight="fals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9"/>
      <c r="L465" s="9"/>
      <c r="M465" s="9"/>
      <c r="N465" s="9"/>
      <c r="O465" s="9"/>
      <c r="P465" s="9"/>
      <c r="Q465" s="9"/>
      <c r="R465" s="9" t="str">
        <f aca="false">IF(AND(A465&lt;&gt;"",ISNUMBER(Q465),ISNUMBER(L465)),ROUND(Q465-IF(ISNUMBER(N465),N465,0)-IF(ISNUMBER(O465),O465,0)+IF(ISNUMBER(P465),P465,0),2),"")</f>
        <v/>
      </c>
      <c r="S465" s="9" t="str">
        <f aca="false">IF(R465="","",ROUND(L465-R465,2))</f>
        <v/>
      </c>
      <c r="T465" s="8" t="str">
        <f aca="false">IF(A465="","",IF(S465="","BYPASS",IF(ABS(S465)&lt;=Summary!$B$2,"PASS","FAIL")))</f>
        <v/>
      </c>
      <c r="U465" s="8" t="str">
        <f aca="false">IF(T465="BYPASS",IF(NOT(ISNUMBER(Q465)),"PreV_ETB missing","End_tr_balance missing"),IF(T465="FAIL",IF(AND(ISNUMBER(K465),ISNUMBER(L465),ABS(L465-(K465-IF(ISNUMBER(N465),N465,0)-IF(ISNUMBER(O465),O465,0)+IF(ISNUMBER(P465),P465,0)))&lt;=Summary!$B$2),"Passes using beginning_balance - PreV_ETB differs from beginning_balance",IF(AND(ISNUMBER(O465),O465&lt;0,ABS(L465-(Q465-IF(ISNUMBER(N465),N465,0)+IF(ISNUMBER(P465),P465,0)))&lt;=Summary!$B$2),"Negative realized loss not applied - check sign",IF(R465&lt;0,"Principal paid exceeds prior balance",IF(AND(L465&gt;Q465,NOT(ISNUMBER(P465))),"Balance increased but no Deferred_interest reported",IF(L465&gt;R465,"Reported balance higher than expected (missing increase/OC build)","Reported balance lower than expected (missing decrease)"))))),""))</f>
        <v/>
      </c>
    </row>
    <row r="466" customFormat="false" ht="15" hidden="false" customHeight="fals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9"/>
      <c r="L466" s="9"/>
      <c r="M466" s="9"/>
      <c r="N466" s="9"/>
      <c r="O466" s="9"/>
      <c r="P466" s="9"/>
      <c r="Q466" s="9"/>
      <c r="R466" s="9" t="str">
        <f aca="false">IF(AND(A466&lt;&gt;"",ISNUMBER(Q466),ISNUMBER(L466)),ROUND(Q466-IF(ISNUMBER(N466),N466,0)-IF(ISNUMBER(O466),O466,0)+IF(ISNUMBER(P466),P466,0),2),"")</f>
        <v/>
      </c>
      <c r="S466" s="9" t="str">
        <f aca="false">IF(R466="","",ROUND(L466-R466,2))</f>
        <v/>
      </c>
      <c r="T466" s="8" t="str">
        <f aca="false">IF(A466="","",IF(S466="","BYPASS",IF(ABS(S466)&lt;=Summary!$B$2,"PASS","FAIL")))</f>
        <v/>
      </c>
      <c r="U466" s="8" t="str">
        <f aca="false">IF(T466="BYPASS",IF(NOT(ISNUMBER(Q466)),"PreV_ETB missing","End_tr_balance missing"),IF(T466="FAIL",IF(AND(ISNUMBER(K466),ISNUMBER(L466),ABS(L466-(K466-IF(ISNUMBER(N466),N466,0)-IF(ISNUMBER(O466),O466,0)+IF(ISNUMBER(P466),P466,0)))&lt;=Summary!$B$2),"Passes using beginning_balance - PreV_ETB differs from beginning_balance",IF(AND(ISNUMBER(O466),O466&lt;0,ABS(L466-(Q466-IF(ISNUMBER(N466),N466,0)+IF(ISNUMBER(P466),P466,0)))&lt;=Summary!$B$2),"Negative realized loss not applied - check sign",IF(R466&lt;0,"Principal paid exceeds prior balance",IF(AND(L466&gt;Q466,NOT(ISNUMBER(P466))),"Balance increased but no Deferred_interest reported",IF(L466&gt;R466,"Reported balance higher than expected (missing increase/OC build)","Reported balance lower than expected (missing decrease)"))))),""))</f>
        <v/>
      </c>
    </row>
    <row r="467" customFormat="false" ht="15" hidden="false" customHeight="fals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9"/>
      <c r="L467" s="9"/>
      <c r="M467" s="9"/>
      <c r="N467" s="9"/>
      <c r="O467" s="9"/>
      <c r="P467" s="9"/>
      <c r="Q467" s="9"/>
      <c r="R467" s="9" t="str">
        <f aca="false">IF(AND(A467&lt;&gt;"",ISNUMBER(Q467),ISNUMBER(L467)),ROUND(Q467-IF(ISNUMBER(N467),N467,0)-IF(ISNUMBER(O467),O467,0)+IF(ISNUMBER(P467),P467,0),2),"")</f>
        <v/>
      </c>
      <c r="S467" s="9" t="str">
        <f aca="false">IF(R467="","",ROUND(L467-R467,2))</f>
        <v/>
      </c>
      <c r="T467" s="8" t="str">
        <f aca="false">IF(A467="","",IF(S467="","BYPASS",IF(ABS(S467)&lt;=Summary!$B$2,"PASS","FAIL")))</f>
        <v/>
      </c>
      <c r="U467" s="8" t="str">
        <f aca="false">IF(T467="BYPASS",IF(NOT(ISNUMBER(Q467)),"PreV_ETB missing","End_tr_balance missing"),IF(T467="FAIL",IF(AND(ISNUMBER(K467),ISNUMBER(L467),ABS(L467-(K467-IF(ISNUMBER(N467),N467,0)-IF(ISNUMBER(O467),O467,0)+IF(ISNUMBER(P467),P467,0)))&lt;=Summary!$B$2),"Passes using beginning_balance - PreV_ETB differs from beginning_balance",IF(AND(ISNUMBER(O467),O467&lt;0,ABS(L467-(Q467-IF(ISNUMBER(N467),N467,0)+IF(ISNUMBER(P467),P467,0)))&lt;=Summary!$B$2),"Negative realized loss not applied - check sign",IF(R467&lt;0,"Principal paid exceeds prior balance",IF(AND(L467&gt;Q467,NOT(ISNUMBER(P467))),"Balance increased but no Deferred_interest reported",IF(L467&gt;R467,"Reported balance higher than expected (missing increase/OC build)","Reported balance lower than expected (missing decrease)"))))),""))</f>
        <v/>
      </c>
    </row>
    <row r="468" customFormat="false" ht="15" hidden="false" customHeight="fals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9"/>
      <c r="L468" s="9"/>
      <c r="M468" s="9"/>
      <c r="N468" s="9"/>
      <c r="O468" s="9"/>
      <c r="P468" s="9"/>
      <c r="Q468" s="9"/>
      <c r="R468" s="9" t="str">
        <f aca="false">IF(AND(A468&lt;&gt;"",ISNUMBER(Q468),ISNUMBER(L468)),ROUND(Q468-IF(ISNUMBER(N468),N468,0)-IF(ISNUMBER(O468),O468,0)+IF(ISNUMBER(P468),P468,0),2),"")</f>
        <v/>
      </c>
      <c r="S468" s="9" t="str">
        <f aca="false">IF(R468="","",ROUND(L468-R468,2))</f>
        <v/>
      </c>
      <c r="T468" s="8" t="str">
        <f aca="false">IF(A468="","",IF(S468="","BYPASS",IF(ABS(S468)&lt;=Summary!$B$2,"PASS","FAIL")))</f>
        <v/>
      </c>
      <c r="U468" s="8" t="str">
        <f aca="false">IF(T468="BYPASS",IF(NOT(ISNUMBER(Q468)),"PreV_ETB missing","End_tr_balance missing"),IF(T468="FAIL",IF(AND(ISNUMBER(K468),ISNUMBER(L468),ABS(L468-(K468-IF(ISNUMBER(N468),N468,0)-IF(ISNUMBER(O468),O468,0)+IF(ISNUMBER(P468),P468,0)))&lt;=Summary!$B$2),"Passes using beginning_balance - PreV_ETB differs from beginning_balance",IF(AND(ISNUMBER(O468),O468&lt;0,ABS(L468-(Q468-IF(ISNUMBER(N468),N468,0)+IF(ISNUMBER(P468),P468,0)))&lt;=Summary!$B$2),"Negative realized loss not applied - check sign",IF(R468&lt;0,"Principal paid exceeds prior balance",IF(AND(L468&gt;Q468,NOT(ISNUMBER(P468))),"Balance increased but no Deferred_interest reported",IF(L468&gt;R468,"Reported balance higher than expected (missing increase/OC build)","Reported balance lower than expected (missing decrease)"))))),""))</f>
        <v/>
      </c>
    </row>
    <row r="469" customFormat="false" ht="15" hidden="false" customHeight="fals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9"/>
      <c r="L469" s="9"/>
      <c r="M469" s="9"/>
      <c r="N469" s="9"/>
      <c r="O469" s="9"/>
      <c r="P469" s="9"/>
      <c r="Q469" s="9"/>
      <c r="R469" s="9" t="str">
        <f aca="false">IF(AND(A469&lt;&gt;"",ISNUMBER(Q469),ISNUMBER(L469)),ROUND(Q469-IF(ISNUMBER(N469),N469,0)-IF(ISNUMBER(O469),O469,0)+IF(ISNUMBER(P469),P469,0),2),"")</f>
        <v/>
      </c>
      <c r="S469" s="9" t="str">
        <f aca="false">IF(R469="","",ROUND(L469-R469,2))</f>
        <v/>
      </c>
      <c r="T469" s="8" t="str">
        <f aca="false">IF(A469="","",IF(S469="","BYPASS",IF(ABS(S469)&lt;=Summary!$B$2,"PASS","FAIL")))</f>
        <v/>
      </c>
      <c r="U469" s="8" t="str">
        <f aca="false">IF(T469="BYPASS",IF(NOT(ISNUMBER(Q469)),"PreV_ETB missing","End_tr_balance missing"),IF(T469="FAIL",IF(AND(ISNUMBER(K469),ISNUMBER(L469),ABS(L469-(K469-IF(ISNUMBER(N469),N469,0)-IF(ISNUMBER(O469),O469,0)+IF(ISNUMBER(P469),P469,0)))&lt;=Summary!$B$2),"Passes using beginning_balance - PreV_ETB differs from beginning_balance",IF(AND(ISNUMBER(O469),O469&lt;0,ABS(L469-(Q469-IF(ISNUMBER(N469),N469,0)+IF(ISNUMBER(P469),P469,0)))&lt;=Summary!$B$2),"Negative realized loss not applied - check sign",IF(R469&lt;0,"Principal paid exceeds prior balance",IF(AND(L469&gt;Q469,NOT(ISNUMBER(P469))),"Balance increased but no Deferred_interest reported",IF(L469&gt;R469,"Reported balance higher than expected (missing increase/OC build)","Reported balance lower than expected (missing decrease)"))))),""))</f>
        <v/>
      </c>
    </row>
    <row r="470" customFormat="false" ht="15" hidden="false" customHeight="fals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9"/>
      <c r="L470" s="9"/>
      <c r="M470" s="9"/>
      <c r="N470" s="9"/>
      <c r="O470" s="9"/>
      <c r="P470" s="9"/>
      <c r="Q470" s="9"/>
      <c r="R470" s="9" t="str">
        <f aca="false">IF(AND(A470&lt;&gt;"",ISNUMBER(Q470),ISNUMBER(L470)),ROUND(Q470-IF(ISNUMBER(N470),N470,0)-IF(ISNUMBER(O470),O470,0)+IF(ISNUMBER(P470),P470,0),2),"")</f>
        <v/>
      </c>
      <c r="S470" s="9" t="str">
        <f aca="false">IF(R470="","",ROUND(L470-R470,2))</f>
        <v/>
      </c>
      <c r="T470" s="8" t="str">
        <f aca="false">IF(A470="","",IF(S470="","BYPASS",IF(ABS(S470)&lt;=Summary!$B$2,"PASS","FAIL")))</f>
        <v/>
      </c>
      <c r="U470" s="8" t="str">
        <f aca="false">IF(T470="BYPASS",IF(NOT(ISNUMBER(Q470)),"PreV_ETB missing","End_tr_balance missing"),IF(T470="FAIL",IF(AND(ISNUMBER(K470),ISNUMBER(L470),ABS(L470-(K470-IF(ISNUMBER(N470),N470,0)-IF(ISNUMBER(O470),O470,0)+IF(ISNUMBER(P470),P470,0)))&lt;=Summary!$B$2),"Passes using beginning_balance - PreV_ETB differs from beginning_balance",IF(AND(ISNUMBER(O470),O470&lt;0,ABS(L470-(Q470-IF(ISNUMBER(N470),N470,0)+IF(ISNUMBER(P470),P470,0)))&lt;=Summary!$B$2),"Negative realized loss not applied - check sign",IF(R470&lt;0,"Principal paid exceeds prior balance",IF(AND(L470&gt;Q470,NOT(ISNUMBER(P470))),"Balance increased but no Deferred_interest reported",IF(L470&gt;R470,"Reported balance higher than expected (missing increase/OC build)","Reported balance lower than expected (missing decrease)"))))),""))</f>
        <v/>
      </c>
    </row>
    <row r="471" customFormat="false" ht="15" hidden="false" customHeight="fals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9"/>
      <c r="L471" s="9"/>
      <c r="M471" s="9"/>
      <c r="N471" s="9"/>
      <c r="O471" s="9"/>
      <c r="P471" s="9"/>
      <c r="Q471" s="9"/>
      <c r="R471" s="9" t="str">
        <f aca="false">IF(AND(A471&lt;&gt;"",ISNUMBER(Q471),ISNUMBER(L471)),ROUND(Q471-IF(ISNUMBER(N471),N471,0)-IF(ISNUMBER(O471),O471,0)+IF(ISNUMBER(P471),P471,0),2),"")</f>
        <v/>
      </c>
      <c r="S471" s="9" t="str">
        <f aca="false">IF(R471="","",ROUND(L471-R471,2))</f>
        <v/>
      </c>
      <c r="T471" s="8" t="str">
        <f aca="false">IF(A471="","",IF(S471="","BYPASS",IF(ABS(S471)&lt;=Summary!$B$2,"PASS","FAIL")))</f>
        <v/>
      </c>
      <c r="U471" s="8" t="str">
        <f aca="false">IF(T471="BYPASS",IF(NOT(ISNUMBER(Q471)),"PreV_ETB missing","End_tr_balance missing"),IF(T471="FAIL",IF(AND(ISNUMBER(K471),ISNUMBER(L471),ABS(L471-(K471-IF(ISNUMBER(N471),N471,0)-IF(ISNUMBER(O471),O471,0)+IF(ISNUMBER(P471),P471,0)))&lt;=Summary!$B$2),"Passes using beginning_balance - PreV_ETB differs from beginning_balance",IF(AND(ISNUMBER(O471),O471&lt;0,ABS(L471-(Q471-IF(ISNUMBER(N471),N471,0)+IF(ISNUMBER(P471),P471,0)))&lt;=Summary!$B$2),"Negative realized loss not applied - check sign",IF(R471&lt;0,"Principal paid exceeds prior balance",IF(AND(L471&gt;Q471,NOT(ISNUMBER(P471))),"Balance increased but no Deferred_interest reported",IF(L471&gt;R471,"Reported balance higher than expected (missing increase/OC build)","Reported balance lower than expected (missing decrease)"))))),""))</f>
        <v/>
      </c>
    </row>
    <row r="472" customFormat="false" ht="15" hidden="false" customHeight="fals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9"/>
      <c r="L472" s="9"/>
      <c r="M472" s="9"/>
      <c r="N472" s="9"/>
      <c r="O472" s="9"/>
      <c r="P472" s="9"/>
      <c r="Q472" s="9"/>
      <c r="R472" s="9" t="str">
        <f aca="false">IF(AND(A472&lt;&gt;"",ISNUMBER(Q472),ISNUMBER(L472)),ROUND(Q472-IF(ISNUMBER(N472),N472,0)-IF(ISNUMBER(O472),O472,0)+IF(ISNUMBER(P472),P472,0),2),"")</f>
        <v/>
      </c>
      <c r="S472" s="9" t="str">
        <f aca="false">IF(R472="","",ROUND(L472-R472,2))</f>
        <v/>
      </c>
      <c r="T472" s="8" t="str">
        <f aca="false">IF(A472="","",IF(S472="","BYPASS",IF(ABS(S472)&lt;=Summary!$B$2,"PASS","FAIL")))</f>
        <v/>
      </c>
      <c r="U472" s="8" t="str">
        <f aca="false">IF(T472="BYPASS",IF(NOT(ISNUMBER(Q472)),"PreV_ETB missing","End_tr_balance missing"),IF(T472="FAIL",IF(AND(ISNUMBER(K472),ISNUMBER(L472),ABS(L472-(K472-IF(ISNUMBER(N472),N472,0)-IF(ISNUMBER(O472),O472,0)+IF(ISNUMBER(P472),P472,0)))&lt;=Summary!$B$2),"Passes using beginning_balance - PreV_ETB differs from beginning_balance",IF(AND(ISNUMBER(O472),O472&lt;0,ABS(L472-(Q472-IF(ISNUMBER(N472),N472,0)+IF(ISNUMBER(P472),P472,0)))&lt;=Summary!$B$2),"Negative realized loss not applied - check sign",IF(R472&lt;0,"Principal paid exceeds prior balance",IF(AND(L472&gt;Q472,NOT(ISNUMBER(P472))),"Balance increased but no Deferred_interest reported",IF(L472&gt;R472,"Reported balance higher than expected (missing increase/OC build)","Reported balance lower than expected (missing decrease)"))))),""))</f>
        <v/>
      </c>
    </row>
    <row r="473" customFormat="false" ht="15" hidden="false" customHeight="fals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9"/>
      <c r="L473" s="9"/>
      <c r="M473" s="9"/>
      <c r="N473" s="9"/>
      <c r="O473" s="9"/>
      <c r="P473" s="9"/>
      <c r="Q473" s="9"/>
      <c r="R473" s="9" t="str">
        <f aca="false">IF(AND(A473&lt;&gt;"",ISNUMBER(Q473),ISNUMBER(L473)),ROUND(Q473-IF(ISNUMBER(N473),N473,0)-IF(ISNUMBER(O473),O473,0)+IF(ISNUMBER(P473),P473,0),2),"")</f>
        <v/>
      </c>
      <c r="S473" s="9" t="str">
        <f aca="false">IF(R473="","",ROUND(L473-R473,2))</f>
        <v/>
      </c>
      <c r="T473" s="8" t="str">
        <f aca="false">IF(A473="","",IF(S473="","BYPASS",IF(ABS(S473)&lt;=Summary!$B$2,"PASS","FAIL")))</f>
        <v/>
      </c>
      <c r="U473" s="8" t="str">
        <f aca="false">IF(T473="BYPASS",IF(NOT(ISNUMBER(Q473)),"PreV_ETB missing","End_tr_balance missing"),IF(T473="FAIL",IF(AND(ISNUMBER(K473),ISNUMBER(L473),ABS(L473-(K473-IF(ISNUMBER(N473),N473,0)-IF(ISNUMBER(O473),O473,0)+IF(ISNUMBER(P473),P473,0)))&lt;=Summary!$B$2),"Passes using beginning_balance - PreV_ETB differs from beginning_balance",IF(AND(ISNUMBER(O473),O473&lt;0,ABS(L473-(Q473-IF(ISNUMBER(N473),N473,0)+IF(ISNUMBER(P473),P473,0)))&lt;=Summary!$B$2),"Negative realized loss not applied - check sign",IF(R473&lt;0,"Principal paid exceeds prior balance",IF(AND(L473&gt;Q473,NOT(ISNUMBER(P473))),"Balance increased but no Deferred_interest reported",IF(L473&gt;R473,"Reported balance higher than expected (missing increase/OC build)","Reported balance lower than expected (missing decrease)"))))),""))</f>
        <v/>
      </c>
    </row>
    <row r="474" customFormat="false" ht="15" hidden="false" customHeight="fals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9"/>
      <c r="L474" s="9"/>
      <c r="M474" s="9"/>
      <c r="N474" s="9"/>
      <c r="O474" s="9"/>
      <c r="P474" s="9"/>
      <c r="Q474" s="9"/>
      <c r="R474" s="9" t="str">
        <f aca="false">IF(AND(A474&lt;&gt;"",ISNUMBER(Q474),ISNUMBER(L474)),ROUND(Q474-IF(ISNUMBER(N474),N474,0)-IF(ISNUMBER(O474),O474,0)+IF(ISNUMBER(P474),P474,0),2),"")</f>
        <v/>
      </c>
      <c r="S474" s="9" t="str">
        <f aca="false">IF(R474="","",ROUND(L474-R474,2))</f>
        <v/>
      </c>
      <c r="T474" s="8" t="str">
        <f aca="false">IF(A474="","",IF(S474="","BYPASS",IF(ABS(S474)&lt;=Summary!$B$2,"PASS","FAIL")))</f>
        <v/>
      </c>
      <c r="U474" s="8" t="str">
        <f aca="false">IF(T474="BYPASS",IF(NOT(ISNUMBER(Q474)),"PreV_ETB missing","End_tr_balance missing"),IF(T474="FAIL",IF(AND(ISNUMBER(K474),ISNUMBER(L474),ABS(L474-(K474-IF(ISNUMBER(N474),N474,0)-IF(ISNUMBER(O474),O474,0)+IF(ISNUMBER(P474),P474,0)))&lt;=Summary!$B$2),"Passes using beginning_balance - PreV_ETB differs from beginning_balance",IF(AND(ISNUMBER(O474),O474&lt;0,ABS(L474-(Q474-IF(ISNUMBER(N474),N474,0)+IF(ISNUMBER(P474),P474,0)))&lt;=Summary!$B$2),"Negative realized loss not applied - check sign",IF(R474&lt;0,"Principal paid exceeds prior balance",IF(AND(L474&gt;Q474,NOT(ISNUMBER(P474))),"Balance increased but no Deferred_interest reported",IF(L474&gt;R474,"Reported balance higher than expected (missing increase/OC build)","Reported balance lower than expected (missing decrease)"))))),""))</f>
        <v/>
      </c>
    </row>
    <row r="475" customFormat="false" ht="15" hidden="false" customHeight="fals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9"/>
      <c r="L475" s="9"/>
      <c r="M475" s="9"/>
      <c r="N475" s="9"/>
      <c r="O475" s="9"/>
      <c r="P475" s="9"/>
      <c r="Q475" s="9"/>
      <c r="R475" s="9" t="str">
        <f aca="false">IF(AND(A475&lt;&gt;"",ISNUMBER(Q475),ISNUMBER(L475)),ROUND(Q475-IF(ISNUMBER(N475),N475,0)-IF(ISNUMBER(O475),O475,0)+IF(ISNUMBER(P475),P475,0),2),"")</f>
        <v/>
      </c>
      <c r="S475" s="9" t="str">
        <f aca="false">IF(R475="","",ROUND(L475-R475,2))</f>
        <v/>
      </c>
      <c r="T475" s="8" t="str">
        <f aca="false">IF(A475="","",IF(S475="","BYPASS",IF(ABS(S475)&lt;=Summary!$B$2,"PASS","FAIL")))</f>
        <v/>
      </c>
      <c r="U475" s="8" t="str">
        <f aca="false">IF(T475="BYPASS",IF(NOT(ISNUMBER(Q475)),"PreV_ETB missing","End_tr_balance missing"),IF(T475="FAIL",IF(AND(ISNUMBER(K475),ISNUMBER(L475),ABS(L475-(K475-IF(ISNUMBER(N475),N475,0)-IF(ISNUMBER(O475),O475,0)+IF(ISNUMBER(P475),P475,0)))&lt;=Summary!$B$2),"Passes using beginning_balance - PreV_ETB differs from beginning_balance",IF(AND(ISNUMBER(O475),O475&lt;0,ABS(L475-(Q475-IF(ISNUMBER(N475),N475,0)+IF(ISNUMBER(P475),P475,0)))&lt;=Summary!$B$2),"Negative realized loss not applied - check sign",IF(R475&lt;0,"Principal paid exceeds prior balance",IF(AND(L475&gt;Q475,NOT(ISNUMBER(P475))),"Balance increased but no Deferred_interest reported",IF(L475&gt;R475,"Reported balance higher than expected (missing increase/OC build)","Reported balance lower than expected (missing decrease)"))))),""))</f>
        <v/>
      </c>
    </row>
    <row r="476" customFormat="false" ht="15" hidden="false" customHeight="fals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9"/>
      <c r="L476" s="9"/>
      <c r="M476" s="9"/>
      <c r="N476" s="9"/>
      <c r="O476" s="9"/>
      <c r="P476" s="9"/>
      <c r="Q476" s="9"/>
      <c r="R476" s="9" t="str">
        <f aca="false">IF(AND(A476&lt;&gt;"",ISNUMBER(Q476),ISNUMBER(L476)),ROUND(Q476-IF(ISNUMBER(N476),N476,0)-IF(ISNUMBER(O476),O476,0)+IF(ISNUMBER(P476),P476,0),2),"")</f>
        <v/>
      </c>
      <c r="S476" s="9" t="str">
        <f aca="false">IF(R476="","",ROUND(L476-R476,2))</f>
        <v/>
      </c>
      <c r="T476" s="8" t="str">
        <f aca="false">IF(A476="","",IF(S476="","BYPASS",IF(ABS(S476)&lt;=Summary!$B$2,"PASS","FAIL")))</f>
        <v/>
      </c>
      <c r="U476" s="8" t="str">
        <f aca="false">IF(T476="BYPASS",IF(NOT(ISNUMBER(Q476)),"PreV_ETB missing","End_tr_balance missing"),IF(T476="FAIL",IF(AND(ISNUMBER(K476),ISNUMBER(L476),ABS(L476-(K476-IF(ISNUMBER(N476),N476,0)-IF(ISNUMBER(O476),O476,0)+IF(ISNUMBER(P476),P476,0)))&lt;=Summary!$B$2),"Passes using beginning_balance - PreV_ETB differs from beginning_balance",IF(AND(ISNUMBER(O476),O476&lt;0,ABS(L476-(Q476-IF(ISNUMBER(N476),N476,0)+IF(ISNUMBER(P476),P476,0)))&lt;=Summary!$B$2),"Negative realized loss not applied - check sign",IF(R476&lt;0,"Principal paid exceeds prior balance",IF(AND(L476&gt;Q476,NOT(ISNUMBER(P476))),"Balance increased but no Deferred_interest reported",IF(L476&gt;R476,"Reported balance higher than expected (missing increase/OC build)","Reported balance lower than expected (missing decrease)"))))),""))</f>
        <v/>
      </c>
    </row>
    <row r="477" customFormat="false" ht="15" hidden="false" customHeight="fals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9"/>
      <c r="L477" s="9"/>
      <c r="M477" s="9"/>
      <c r="N477" s="9"/>
      <c r="O477" s="9"/>
      <c r="P477" s="9"/>
      <c r="Q477" s="9"/>
      <c r="R477" s="9" t="str">
        <f aca="false">IF(AND(A477&lt;&gt;"",ISNUMBER(Q477),ISNUMBER(L477)),ROUND(Q477-IF(ISNUMBER(N477),N477,0)-IF(ISNUMBER(O477),O477,0)+IF(ISNUMBER(P477),P477,0),2),"")</f>
        <v/>
      </c>
      <c r="S477" s="9" t="str">
        <f aca="false">IF(R477="","",ROUND(L477-R477,2))</f>
        <v/>
      </c>
      <c r="T477" s="8" t="str">
        <f aca="false">IF(A477="","",IF(S477="","BYPASS",IF(ABS(S477)&lt;=Summary!$B$2,"PASS","FAIL")))</f>
        <v/>
      </c>
      <c r="U477" s="8" t="str">
        <f aca="false">IF(T477="BYPASS",IF(NOT(ISNUMBER(Q477)),"PreV_ETB missing","End_tr_balance missing"),IF(T477="FAIL",IF(AND(ISNUMBER(K477),ISNUMBER(L477),ABS(L477-(K477-IF(ISNUMBER(N477),N477,0)-IF(ISNUMBER(O477),O477,0)+IF(ISNUMBER(P477),P477,0)))&lt;=Summary!$B$2),"Passes using beginning_balance - PreV_ETB differs from beginning_balance",IF(AND(ISNUMBER(O477),O477&lt;0,ABS(L477-(Q477-IF(ISNUMBER(N477),N477,0)+IF(ISNUMBER(P477),P477,0)))&lt;=Summary!$B$2),"Negative realized loss not applied - check sign",IF(R477&lt;0,"Principal paid exceeds prior balance",IF(AND(L477&gt;Q477,NOT(ISNUMBER(P477))),"Balance increased but no Deferred_interest reported",IF(L477&gt;R477,"Reported balance higher than expected (missing increase/OC build)","Reported balance lower than expected (missing decrease)"))))),""))</f>
        <v/>
      </c>
    </row>
    <row r="478" customFormat="false" ht="15" hidden="false" customHeight="fals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9"/>
      <c r="L478" s="9"/>
      <c r="M478" s="9"/>
      <c r="N478" s="9"/>
      <c r="O478" s="9"/>
      <c r="P478" s="9"/>
      <c r="Q478" s="9"/>
      <c r="R478" s="9" t="str">
        <f aca="false">IF(AND(A478&lt;&gt;"",ISNUMBER(Q478),ISNUMBER(L478)),ROUND(Q478-IF(ISNUMBER(N478),N478,0)-IF(ISNUMBER(O478),O478,0)+IF(ISNUMBER(P478),P478,0),2),"")</f>
        <v/>
      </c>
      <c r="S478" s="9" t="str">
        <f aca="false">IF(R478="","",ROUND(L478-R478,2))</f>
        <v/>
      </c>
      <c r="T478" s="8" t="str">
        <f aca="false">IF(A478="","",IF(S478="","BYPASS",IF(ABS(S478)&lt;=Summary!$B$2,"PASS","FAIL")))</f>
        <v/>
      </c>
      <c r="U478" s="8" t="str">
        <f aca="false">IF(T478="BYPASS",IF(NOT(ISNUMBER(Q478)),"PreV_ETB missing","End_tr_balance missing"),IF(T478="FAIL",IF(AND(ISNUMBER(K478),ISNUMBER(L478),ABS(L478-(K478-IF(ISNUMBER(N478),N478,0)-IF(ISNUMBER(O478),O478,0)+IF(ISNUMBER(P478),P478,0)))&lt;=Summary!$B$2),"Passes using beginning_balance - PreV_ETB differs from beginning_balance",IF(AND(ISNUMBER(O478),O478&lt;0,ABS(L478-(Q478-IF(ISNUMBER(N478),N478,0)+IF(ISNUMBER(P478),P478,0)))&lt;=Summary!$B$2),"Negative realized loss not applied - check sign",IF(R478&lt;0,"Principal paid exceeds prior balance",IF(AND(L478&gt;Q478,NOT(ISNUMBER(P478))),"Balance increased but no Deferred_interest reported",IF(L478&gt;R478,"Reported balance higher than expected (missing increase/OC build)","Reported balance lower than expected (missing decrease)"))))),""))</f>
        <v/>
      </c>
    </row>
    <row r="479" customFormat="false" ht="15" hidden="false" customHeight="fals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9"/>
      <c r="L479" s="9"/>
      <c r="M479" s="9"/>
      <c r="N479" s="9"/>
      <c r="O479" s="9"/>
      <c r="P479" s="9"/>
      <c r="Q479" s="9"/>
      <c r="R479" s="9" t="str">
        <f aca="false">IF(AND(A479&lt;&gt;"",ISNUMBER(Q479),ISNUMBER(L479)),ROUND(Q479-IF(ISNUMBER(N479),N479,0)-IF(ISNUMBER(O479),O479,0)+IF(ISNUMBER(P479),P479,0),2),"")</f>
        <v/>
      </c>
      <c r="S479" s="9" t="str">
        <f aca="false">IF(R479="","",ROUND(L479-R479,2))</f>
        <v/>
      </c>
      <c r="T479" s="8" t="str">
        <f aca="false">IF(A479="","",IF(S479="","BYPASS",IF(ABS(S479)&lt;=Summary!$B$2,"PASS","FAIL")))</f>
        <v/>
      </c>
      <c r="U479" s="8" t="str">
        <f aca="false">IF(T479="BYPASS",IF(NOT(ISNUMBER(Q479)),"PreV_ETB missing","End_tr_balance missing"),IF(T479="FAIL",IF(AND(ISNUMBER(K479),ISNUMBER(L479),ABS(L479-(K479-IF(ISNUMBER(N479),N479,0)-IF(ISNUMBER(O479),O479,0)+IF(ISNUMBER(P479),P479,0)))&lt;=Summary!$B$2),"Passes using beginning_balance - PreV_ETB differs from beginning_balance",IF(AND(ISNUMBER(O479),O479&lt;0,ABS(L479-(Q479-IF(ISNUMBER(N479),N479,0)+IF(ISNUMBER(P479),P479,0)))&lt;=Summary!$B$2),"Negative realized loss not applied - check sign",IF(R479&lt;0,"Principal paid exceeds prior balance",IF(AND(L479&gt;Q479,NOT(ISNUMBER(P479))),"Balance increased but no Deferred_interest reported",IF(L479&gt;R479,"Reported balance higher than expected (missing increase/OC build)","Reported balance lower than expected (missing decrease)"))))),""))</f>
        <v/>
      </c>
    </row>
    <row r="480" customFormat="false" ht="15" hidden="false" customHeight="fals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9"/>
      <c r="L480" s="9"/>
      <c r="M480" s="9"/>
      <c r="N480" s="9"/>
      <c r="O480" s="9"/>
      <c r="P480" s="9"/>
      <c r="Q480" s="9"/>
      <c r="R480" s="9" t="str">
        <f aca="false">IF(AND(A480&lt;&gt;"",ISNUMBER(Q480),ISNUMBER(L480)),ROUND(Q480-IF(ISNUMBER(N480),N480,0)-IF(ISNUMBER(O480),O480,0)+IF(ISNUMBER(P480),P480,0),2),"")</f>
        <v/>
      </c>
      <c r="S480" s="9" t="str">
        <f aca="false">IF(R480="","",ROUND(L480-R480,2))</f>
        <v/>
      </c>
      <c r="T480" s="8" t="str">
        <f aca="false">IF(A480="","",IF(S480="","BYPASS",IF(ABS(S480)&lt;=Summary!$B$2,"PASS","FAIL")))</f>
        <v/>
      </c>
      <c r="U480" s="8" t="str">
        <f aca="false">IF(T480="BYPASS",IF(NOT(ISNUMBER(Q480)),"PreV_ETB missing","End_tr_balance missing"),IF(T480="FAIL",IF(AND(ISNUMBER(K480),ISNUMBER(L480),ABS(L480-(K480-IF(ISNUMBER(N480),N480,0)-IF(ISNUMBER(O480),O480,0)+IF(ISNUMBER(P480),P480,0)))&lt;=Summary!$B$2),"Passes using beginning_balance - PreV_ETB differs from beginning_balance",IF(AND(ISNUMBER(O480),O480&lt;0,ABS(L480-(Q480-IF(ISNUMBER(N480),N480,0)+IF(ISNUMBER(P480),P480,0)))&lt;=Summary!$B$2),"Negative realized loss not applied - check sign",IF(R480&lt;0,"Principal paid exceeds prior balance",IF(AND(L480&gt;Q480,NOT(ISNUMBER(P480))),"Balance increased but no Deferred_interest reported",IF(L480&gt;R480,"Reported balance higher than expected (missing increase/OC build)","Reported balance lower than expected (missing decrease)"))))),""))</f>
        <v/>
      </c>
    </row>
    <row r="481" customFormat="false" ht="15" hidden="false" customHeight="fals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9"/>
      <c r="L481" s="9"/>
      <c r="M481" s="9"/>
      <c r="N481" s="9"/>
      <c r="O481" s="9"/>
      <c r="P481" s="9"/>
      <c r="Q481" s="9"/>
      <c r="R481" s="9" t="str">
        <f aca="false">IF(AND(A481&lt;&gt;"",ISNUMBER(Q481),ISNUMBER(L481)),ROUND(Q481-IF(ISNUMBER(N481),N481,0)-IF(ISNUMBER(O481),O481,0)+IF(ISNUMBER(P481),P481,0),2),"")</f>
        <v/>
      </c>
      <c r="S481" s="9" t="str">
        <f aca="false">IF(R481="","",ROUND(L481-R481,2))</f>
        <v/>
      </c>
      <c r="T481" s="8" t="str">
        <f aca="false">IF(A481="","",IF(S481="","BYPASS",IF(ABS(S481)&lt;=Summary!$B$2,"PASS","FAIL")))</f>
        <v/>
      </c>
      <c r="U481" s="8" t="str">
        <f aca="false">IF(T481="BYPASS",IF(NOT(ISNUMBER(Q481)),"PreV_ETB missing","End_tr_balance missing"),IF(T481="FAIL",IF(AND(ISNUMBER(K481),ISNUMBER(L481),ABS(L481-(K481-IF(ISNUMBER(N481),N481,0)-IF(ISNUMBER(O481),O481,0)+IF(ISNUMBER(P481),P481,0)))&lt;=Summary!$B$2),"Passes using beginning_balance - PreV_ETB differs from beginning_balance",IF(AND(ISNUMBER(O481),O481&lt;0,ABS(L481-(Q481-IF(ISNUMBER(N481),N481,0)+IF(ISNUMBER(P481),P481,0)))&lt;=Summary!$B$2),"Negative realized loss not applied - check sign",IF(R481&lt;0,"Principal paid exceeds prior balance",IF(AND(L481&gt;Q481,NOT(ISNUMBER(P481))),"Balance increased but no Deferred_interest reported",IF(L481&gt;R481,"Reported balance higher than expected (missing increase/OC build)","Reported balance lower than expected (missing decrease)"))))),""))</f>
        <v/>
      </c>
    </row>
    <row r="482" customFormat="false" ht="15" hidden="false" customHeight="fals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9"/>
      <c r="L482" s="9"/>
      <c r="M482" s="9"/>
      <c r="N482" s="9"/>
      <c r="O482" s="9"/>
      <c r="P482" s="9"/>
      <c r="Q482" s="9"/>
      <c r="R482" s="9" t="str">
        <f aca="false">IF(AND(A482&lt;&gt;"",ISNUMBER(Q482),ISNUMBER(L482)),ROUND(Q482-IF(ISNUMBER(N482),N482,0)-IF(ISNUMBER(O482),O482,0)+IF(ISNUMBER(P482),P482,0),2),"")</f>
        <v/>
      </c>
      <c r="S482" s="9" t="str">
        <f aca="false">IF(R482="","",ROUND(L482-R482,2))</f>
        <v/>
      </c>
      <c r="T482" s="8" t="str">
        <f aca="false">IF(A482="","",IF(S482="","BYPASS",IF(ABS(S482)&lt;=Summary!$B$2,"PASS","FAIL")))</f>
        <v/>
      </c>
      <c r="U482" s="8" t="str">
        <f aca="false">IF(T482="BYPASS",IF(NOT(ISNUMBER(Q482)),"PreV_ETB missing","End_tr_balance missing"),IF(T482="FAIL",IF(AND(ISNUMBER(K482),ISNUMBER(L482),ABS(L482-(K482-IF(ISNUMBER(N482),N482,0)-IF(ISNUMBER(O482),O482,0)+IF(ISNUMBER(P482),P482,0)))&lt;=Summary!$B$2),"Passes using beginning_balance - PreV_ETB differs from beginning_balance",IF(AND(ISNUMBER(O482),O482&lt;0,ABS(L482-(Q482-IF(ISNUMBER(N482),N482,0)+IF(ISNUMBER(P482),P482,0)))&lt;=Summary!$B$2),"Negative realized loss not applied - check sign",IF(R482&lt;0,"Principal paid exceeds prior balance",IF(AND(L482&gt;Q482,NOT(ISNUMBER(P482))),"Balance increased but no Deferred_interest reported",IF(L482&gt;R482,"Reported balance higher than expected (missing increase/OC build)","Reported balance lower than expected (missing decrease)"))))),""))</f>
        <v/>
      </c>
    </row>
    <row r="483" customFormat="false" ht="15" hidden="false" customHeight="fals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9"/>
      <c r="L483" s="9"/>
      <c r="M483" s="9"/>
      <c r="N483" s="9"/>
      <c r="O483" s="9"/>
      <c r="P483" s="9"/>
      <c r="Q483" s="9"/>
      <c r="R483" s="9" t="str">
        <f aca="false">IF(AND(A483&lt;&gt;"",ISNUMBER(Q483),ISNUMBER(L483)),ROUND(Q483-IF(ISNUMBER(N483),N483,0)-IF(ISNUMBER(O483),O483,0)+IF(ISNUMBER(P483),P483,0),2),"")</f>
        <v/>
      </c>
      <c r="S483" s="9" t="str">
        <f aca="false">IF(R483="","",ROUND(L483-R483,2))</f>
        <v/>
      </c>
      <c r="T483" s="8" t="str">
        <f aca="false">IF(A483="","",IF(S483="","BYPASS",IF(ABS(S483)&lt;=Summary!$B$2,"PASS","FAIL")))</f>
        <v/>
      </c>
      <c r="U483" s="8" t="str">
        <f aca="false">IF(T483="BYPASS",IF(NOT(ISNUMBER(Q483)),"PreV_ETB missing","End_tr_balance missing"),IF(T483="FAIL",IF(AND(ISNUMBER(K483),ISNUMBER(L483),ABS(L483-(K483-IF(ISNUMBER(N483),N483,0)-IF(ISNUMBER(O483),O483,0)+IF(ISNUMBER(P483),P483,0)))&lt;=Summary!$B$2),"Passes using beginning_balance - PreV_ETB differs from beginning_balance",IF(AND(ISNUMBER(O483),O483&lt;0,ABS(L483-(Q483-IF(ISNUMBER(N483),N483,0)+IF(ISNUMBER(P483),P483,0)))&lt;=Summary!$B$2),"Negative realized loss not applied - check sign",IF(R483&lt;0,"Principal paid exceeds prior balance",IF(AND(L483&gt;Q483,NOT(ISNUMBER(P483))),"Balance increased but no Deferred_interest reported",IF(L483&gt;R483,"Reported balance higher than expected (missing increase/OC build)","Reported balance lower than expected (missing decrease)"))))),""))</f>
        <v/>
      </c>
    </row>
    <row r="484" customFormat="false" ht="15" hidden="false" customHeight="fals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9"/>
      <c r="L484" s="9"/>
      <c r="M484" s="9"/>
      <c r="N484" s="9"/>
      <c r="O484" s="9"/>
      <c r="P484" s="9"/>
      <c r="Q484" s="9"/>
      <c r="R484" s="9" t="str">
        <f aca="false">IF(AND(A484&lt;&gt;"",ISNUMBER(Q484),ISNUMBER(L484)),ROUND(Q484-IF(ISNUMBER(N484),N484,0)-IF(ISNUMBER(O484),O484,0)+IF(ISNUMBER(P484),P484,0),2),"")</f>
        <v/>
      </c>
      <c r="S484" s="9" t="str">
        <f aca="false">IF(R484="","",ROUND(L484-R484,2))</f>
        <v/>
      </c>
      <c r="T484" s="8" t="str">
        <f aca="false">IF(A484="","",IF(S484="","BYPASS",IF(ABS(S484)&lt;=Summary!$B$2,"PASS","FAIL")))</f>
        <v/>
      </c>
      <c r="U484" s="8" t="str">
        <f aca="false">IF(T484="BYPASS",IF(NOT(ISNUMBER(Q484)),"PreV_ETB missing","End_tr_balance missing"),IF(T484="FAIL",IF(AND(ISNUMBER(K484),ISNUMBER(L484),ABS(L484-(K484-IF(ISNUMBER(N484),N484,0)-IF(ISNUMBER(O484),O484,0)+IF(ISNUMBER(P484),P484,0)))&lt;=Summary!$B$2),"Passes using beginning_balance - PreV_ETB differs from beginning_balance",IF(AND(ISNUMBER(O484),O484&lt;0,ABS(L484-(Q484-IF(ISNUMBER(N484),N484,0)+IF(ISNUMBER(P484),P484,0)))&lt;=Summary!$B$2),"Negative realized loss not applied - check sign",IF(R484&lt;0,"Principal paid exceeds prior balance",IF(AND(L484&gt;Q484,NOT(ISNUMBER(P484))),"Balance increased but no Deferred_interest reported",IF(L484&gt;R484,"Reported balance higher than expected (missing increase/OC build)","Reported balance lower than expected (missing decrease)"))))),""))</f>
        <v/>
      </c>
    </row>
    <row r="485" customFormat="false" ht="15" hidden="false" customHeight="fals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9"/>
      <c r="L485" s="9"/>
      <c r="M485" s="9"/>
      <c r="N485" s="9"/>
      <c r="O485" s="9"/>
      <c r="P485" s="9"/>
      <c r="Q485" s="9"/>
      <c r="R485" s="9" t="str">
        <f aca="false">IF(AND(A485&lt;&gt;"",ISNUMBER(Q485),ISNUMBER(L485)),ROUND(Q485-IF(ISNUMBER(N485),N485,0)-IF(ISNUMBER(O485),O485,0)+IF(ISNUMBER(P485),P485,0),2),"")</f>
        <v/>
      </c>
      <c r="S485" s="9" t="str">
        <f aca="false">IF(R485="","",ROUND(L485-R485,2))</f>
        <v/>
      </c>
      <c r="T485" s="8" t="str">
        <f aca="false">IF(A485="","",IF(S485="","BYPASS",IF(ABS(S485)&lt;=Summary!$B$2,"PASS","FAIL")))</f>
        <v/>
      </c>
      <c r="U485" s="8" t="str">
        <f aca="false">IF(T485="BYPASS",IF(NOT(ISNUMBER(Q485)),"PreV_ETB missing","End_tr_balance missing"),IF(T485="FAIL",IF(AND(ISNUMBER(K485),ISNUMBER(L485),ABS(L485-(K485-IF(ISNUMBER(N485),N485,0)-IF(ISNUMBER(O485),O485,0)+IF(ISNUMBER(P485),P485,0)))&lt;=Summary!$B$2),"Passes using beginning_balance - PreV_ETB differs from beginning_balance",IF(AND(ISNUMBER(O485),O485&lt;0,ABS(L485-(Q485-IF(ISNUMBER(N485),N485,0)+IF(ISNUMBER(P485),P485,0)))&lt;=Summary!$B$2),"Negative realized loss not applied - check sign",IF(R485&lt;0,"Principal paid exceeds prior balance",IF(AND(L485&gt;Q485,NOT(ISNUMBER(P485))),"Balance increased but no Deferred_interest reported",IF(L485&gt;R485,"Reported balance higher than expected (missing increase/OC build)","Reported balance lower than expected (missing decrease)"))))),""))</f>
        <v/>
      </c>
    </row>
    <row r="486" customFormat="false" ht="15" hidden="false" customHeight="fals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9"/>
      <c r="L486" s="9"/>
      <c r="M486" s="9"/>
      <c r="N486" s="9"/>
      <c r="O486" s="9"/>
      <c r="P486" s="9"/>
      <c r="Q486" s="9"/>
      <c r="R486" s="9" t="str">
        <f aca="false">IF(AND(A486&lt;&gt;"",ISNUMBER(Q486),ISNUMBER(L486)),ROUND(Q486-IF(ISNUMBER(N486),N486,0)-IF(ISNUMBER(O486),O486,0)+IF(ISNUMBER(P486),P486,0),2),"")</f>
        <v/>
      </c>
      <c r="S486" s="9" t="str">
        <f aca="false">IF(R486="","",ROUND(L486-R486,2))</f>
        <v/>
      </c>
      <c r="T486" s="8" t="str">
        <f aca="false">IF(A486="","",IF(S486="","BYPASS",IF(ABS(S486)&lt;=Summary!$B$2,"PASS","FAIL")))</f>
        <v/>
      </c>
      <c r="U486" s="8" t="str">
        <f aca="false">IF(T486="BYPASS",IF(NOT(ISNUMBER(Q486)),"PreV_ETB missing","End_tr_balance missing"),IF(T486="FAIL",IF(AND(ISNUMBER(K486),ISNUMBER(L486),ABS(L486-(K486-IF(ISNUMBER(N486),N486,0)-IF(ISNUMBER(O486),O486,0)+IF(ISNUMBER(P486),P486,0)))&lt;=Summary!$B$2),"Passes using beginning_balance - PreV_ETB differs from beginning_balance",IF(AND(ISNUMBER(O486),O486&lt;0,ABS(L486-(Q486-IF(ISNUMBER(N486),N486,0)+IF(ISNUMBER(P486),P486,0)))&lt;=Summary!$B$2),"Negative realized loss not applied - check sign",IF(R486&lt;0,"Principal paid exceeds prior balance",IF(AND(L486&gt;Q486,NOT(ISNUMBER(P486))),"Balance increased but no Deferred_interest reported",IF(L486&gt;R486,"Reported balance higher than expected (missing increase/OC build)","Reported balance lower than expected (missing decrease)"))))),""))</f>
        <v/>
      </c>
    </row>
    <row r="487" customFormat="false" ht="15" hidden="false" customHeight="fals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9"/>
      <c r="L487" s="9"/>
      <c r="M487" s="9"/>
      <c r="N487" s="9"/>
      <c r="O487" s="9"/>
      <c r="P487" s="9"/>
      <c r="Q487" s="9"/>
      <c r="R487" s="9" t="str">
        <f aca="false">IF(AND(A487&lt;&gt;"",ISNUMBER(Q487),ISNUMBER(L487)),ROUND(Q487-IF(ISNUMBER(N487),N487,0)-IF(ISNUMBER(O487),O487,0)+IF(ISNUMBER(P487),P487,0),2),"")</f>
        <v/>
      </c>
      <c r="S487" s="9" t="str">
        <f aca="false">IF(R487="","",ROUND(L487-R487,2))</f>
        <v/>
      </c>
      <c r="T487" s="8" t="str">
        <f aca="false">IF(A487="","",IF(S487="","BYPASS",IF(ABS(S487)&lt;=Summary!$B$2,"PASS","FAIL")))</f>
        <v/>
      </c>
      <c r="U487" s="8" t="str">
        <f aca="false">IF(T487="BYPASS",IF(NOT(ISNUMBER(Q487)),"PreV_ETB missing","End_tr_balance missing"),IF(T487="FAIL",IF(AND(ISNUMBER(K487),ISNUMBER(L487),ABS(L487-(K487-IF(ISNUMBER(N487),N487,0)-IF(ISNUMBER(O487),O487,0)+IF(ISNUMBER(P487),P487,0)))&lt;=Summary!$B$2),"Passes using beginning_balance - PreV_ETB differs from beginning_balance",IF(AND(ISNUMBER(O487),O487&lt;0,ABS(L487-(Q487-IF(ISNUMBER(N487),N487,0)+IF(ISNUMBER(P487),P487,0)))&lt;=Summary!$B$2),"Negative realized loss not applied - check sign",IF(R487&lt;0,"Principal paid exceeds prior balance",IF(AND(L487&gt;Q487,NOT(ISNUMBER(P487))),"Balance increased but no Deferred_interest reported",IF(L487&gt;R487,"Reported balance higher than expected (missing increase/OC build)","Reported balance lower than expected (missing decrease)"))))),""))</f>
        <v/>
      </c>
    </row>
    <row r="488" customFormat="false" ht="15" hidden="false" customHeight="fals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9"/>
      <c r="L488" s="9"/>
      <c r="M488" s="9"/>
      <c r="N488" s="9"/>
      <c r="O488" s="9"/>
      <c r="P488" s="9"/>
      <c r="Q488" s="9"/>
      <c r="R488" s="9" t="str">
        <f aca="false">IF(AND(A488&lt;&gt;"",ISNUMBER(Q488),ISNUMBER(L488)),ROUND(Q488-IF(ISNUMBER(N488),N488,0)-IF(ISNUMBER(O488),O488,0)+IF(ISNUMBER(P488),P488,0),2),"")</f>
        <v/>
      </c>
      <c r="S488" s="9" t="str">
        <f aca="false">IF(R488="","",ROUND(L488-R488,2))</f>
        <v/>
      </c>
      <c r="T488" s="8" t="str">
        <f aca="false">IF(A488="","",IF(S488="","BYPASS",IF(ABS(S488)&lt;=Summary!$B$2,"PASS","FAIL")))</f>
        <v/>
      </c>
      <c r="U488" s="8" t="str">
        <f aca="false">IF(T488="BYPASS",IF(NOT(ISNUMBER(Q488)),"PreV_ETB missing","End_tr_balance missing"),IF(T488="FAIL",IF(AND(ISNUMBER(K488),ISNUMBER(L488),ABS(L488-(K488-IF(ISNUMBER(N488),N488,0)-IF(ISNUMBER(O488),O488,0)+IF(ISNUMBER(P488),P488,0)))&lt;=Summary!$B$2),"Passes using beginning_balance - PreV_ETB differs from beginning_balance",IF(AND(ISNUMBER(O488),O488&lt;0,ABS(L488-(Q488-IF(ISNUMBER(N488),N488,0)+IF(ISNUMBER(P488),P488,0)))&lt;=Summary!$B$2),"Negative realized loss not applied - check sign",IF(R488&lt;0,"Principal paid exceeds prior balance",IF(AND(L488&gt;Q488,NOT(ISNUMBER(P488))),"Balance increased but no Deferred_interest reported",IF(L488&gt;R488,"Reported balance higher than expected (missing increase/OC build)","Reported balance lower than expected (missing decrease)"))))),""))</f>
        <v/>
      </c>
    </row>
    <row r="489" customFormat="false" ht="15" hidden="false" customHeight="fals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9"/>
      <c r="L489" s="9"/>
      <c r="M489" s="9"/>
      <c r="N489" s="9"/>
      <c r="O489" s="9"/>
      <c r="P489" s="9"/>
      <c r="Q489" s="9"/>
      <c r="R489" s="9" t="str">
        <f aca="false">IF(AND(A489&lt;&gt;"",ISNUMBER(Q489),ISNUMBER(L489)),ROUND(Q489-IF(ISNUMBER(N489),N489,0)-IF(ISNUMBER(O489),O489,0)+IF(ISNUMBER(P489),P489,0),2),"")</f>
        <v/>
      </c>
      <c r="S489" s="9" t="str">
        <f aca="false">IF(R489="","",ROUND(L489-R489,2))</f>
        <v/>
      </c>
      <c r="T489" s="8" t="str">
        <f aca="false">IF(A489="","",IF(S489="","BYPASS",IF(ABS(S489)&lt;=Summary!$B$2,"PASS","FAIL")))</f>
        <v/>
      </c>
      <c r="U489" s="8" t="str">
        <f aca="false">IF(T489="BYPASS",IF(NOT(ISNUMBER(Q489)),"PreV_ETB missing","End_tr_balance missing"),IF(T489="FAIL",IF(AND(ISNUMBER(K489),ISNUMBER(L489),ABS(L489-(K489-IF(ISNUMBER(N489),N489,0)-IF(ISNUMBER(O489),O489,0)+IF(ISNUMBER(P489),P489,0)))&lt;=Summary!$B$2),"Passes using beginning_balance - PreV_ETB differs from beginning_balance",IF(AND(ISNUMBER(O489),O489&lt;0,ABS(L489-(Q489-IF(ISNUMBER(N489),N489,0)+IF(ISNUMBER(P489),P489,0)))&lt;=Summary!$B$2),"Negative realized loss not applied - check sign",IF(R489&lt;0,"Principal paid exceeds prior balance",IF(AND(L489&gt;Q489,NOT(ISNUMBER(P489))),"Balance increased but no Deferred_interest reported",IF(L489&gt;R489,"Reported balance higher than expected (missing increase/OC build)","Reported balance lower than expected (missing decrease)"))))),""))</f>
        <v/>
      </c>
    </row>
    <row r="490" customFormat="false" ht="15" hidden="false" customHeight="fals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9"/>
      <c r="L490" s="9"/>
      <c r="M490" s="9"/>
      <c r="N490" s="9"/>
      <c r="O490" s="9"/>
      <c r="P490" s="9"/>
      <c r="Q490" s="9"/>
      <c r="R490" s="9" t="str">
        <f aca="false">IF(AND(A490&lt;&gt;"",ISNUMBER(Q490),ISNUMBER(L490)),ROUND(Q490-IF(ISNUMBER(N490),N490,0)-IF(ISNUMBER(O490),O490,0)+IF(ISNUMBER(P490),P490,0),2),"")</f>
        <v/>
      </c>
      <c r="S490" s="9" t="str">
        <f aca="false">IF(R490="","",ROUND(L490-R490,2))</f>
        <v/>
      </c>
      <c r="T490" s="8" t="str">
        <f aca="false">IF(A490="","",IF(S490="","BYPASS",IF(ABS(S490)&lt;=Summary!$B$2,"PASS","FAIL")))</f>
        <v/>
      </c>
      <c r="U490" s="8" t="str">
        <f aca="false">IF(T490="BYPASS",IF(NOT(ISNUMBER(Q490)),"PreV_ETB missing","End_tr_balance missing"),IF(T490="FAIL",IF(AND(ISNUMBER(K490),ISNUMBER(L490),ABS(L490-(K490-IF(ISNUMBER(N490),N490,0)-IF(ISNUMBER(O490),O490,0)+IF(ISNUMBER(P490),P490,0)))&lt;=Summary!$B$2),"Passes using beginning_balance - PreV_ETB differs from beginning_balance",IF(AND(ISNUMBER(O490),O490&lt;0,ABS(L490-(Q490-IF(ISNUMBER(N490),N490,0)+IF(ISNUMBER(P490),P490,0)))&lt;=Summary!$B$2),"Negative realized loss not applied - check sign",IF(R490&lt;0,"Principal paid exceeds prior balance",IF(AND(L490&gt;Q490,NOT(ISNUMBER(P490))),"Balance increased but no Deferred_interest reported",IF(L490&gt;R490,"Reported balance higher than expected (missing increase/OC build)","Reported balance lower than expected (missing decrease)"))))),""))</f>
        <v/>
      </c>
    </row>
    <row r="491" customFormat="false" ht="15" hidden="false" customHeight="fals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9"/>
      <c r="L491" s="9"/>
      <c r="M491" s="9"/>
      <c r="N491" s="9"/>
      <c r="O491" s="9"/>
      <c r="P491" s="9"/>
      <c r="Q491" s="9"/>
      <c r="R491" s="9" t="str">
        <f aca="false">IF(AND(A491&lt;&gt;"",ISNUMBER(Q491),ISNUMBER(L491)),ROUND(Q491-IF(ISNUMBER(N491),N491,0)-IF(ISNUMBER(O491),O491,0)+IF(ISNUMBER(P491),P491,0),2),"")</f>
        <v/>
      </c>
      <c r="S491" s="9" t="str">
        <f aca="false">IF(R491="","",ROUND(L491-R491,2))</f>
        <v/>
      </c>
      <c r="T491" s="8" t="str">
        <f aca="false">IF(A491="","",IF(S491="","BYPASS",IF(ABS(S491)&lt;=Summary!$B$2,"PASS","FAIL")))</f>
        <v/>
      </c>
      <c r="U491" s="8" t="str">
        <f aca="false">IF(T491="BYPASS",IF(NOT(ISNUMBER(Q491)),"PreV_ETB missing","End_tr_balance missing"),IF(T491="FAIL",IF(AND(ISNUMBER(K491),ISNUMBER(L491),ABS(L491-(K491-IF(ISNUMBER(N491),N491,0)-IF(ISNUMBER(O491),O491,0)+IF(ISNUMBER(P491),P491,0)))&lt;=Summary!$B$2),"Passes using beginning_balance - PreV_ETB differs from beginning_balance",IF(AND(ISNUMBER(O491),O491&lt;0,ABS(L491-(Q491-IF(ISNUMBER(N491),N491,0)+IF(ISNUMBER(P491),P491,0)))&lt;=Summary!$B$2),"Negative realized loss not applied - check sign",IF(R491&lt;0,"Principal paid exceeds prior balance",IF(AND(L491&gt;Q491,NOT(ISNUMBER(P491))),"Balance increased but no Deferred_interest reported",IF(L491&gt;R491,"Reported balance higher than expected (missing increase/OC build)","Reported balance lower than expected (missing decrease)"))))),""))</f>
        <v/>
      </c>
    </row>
    <row r="492" customFormat="false" ht="15" hidden="false" customHeight="fals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9"/>
      <c r="L492" s="9"/>
      <c r="M492" s="9"/>
      <c r="N492" s="9"/>
      <c r="O492" s="9"/>
      <c r="P492" s="9"/>
      <c r="Q492" s="9"/>
      <c r="R492" s="9" t="str">
        <f aca="false">IF(AND(A492&lt;&gt;"",ISNUMBER(Q492),ISNUMBER(L492)),ROUND(Q492-IF(ISNUMBER(N492),N492,0)-IF(ISNUMBER(O492),O492,0)+IF(ISNUMBER(P492),P492,0),2),"")</f>
        <v/>
      </c>
      <c r="S492" s="9" t="str">
        <f aca="false">IF(R492="","",ROUND(L492-R492,2))</f>
        <v/>
      </c>
      <c r="T492" s="8" t="str">
        <f aca="false">IF(A492="","",IF(S492="","BYPASS",IF(ABS(S492)&lt;=Summary!$B$2,"PASS","FAIL")))</f>
        <v/>
      </c>
      <c r="U492" s="8" t="str">
        <f aca="false">IF(T492="BYPASS",IF(NOT(ISNUMBER(Q492)),"PreV_ETB missing","End_tr_balance missing"),IF(T492="FAIL",IF(AND(ISNUMBER(K492),ISNUMBER(L492),ABS(L492-(K492-IF(ISNUMBER(N492),N492,0)-IF(ISNUMBER(O492),O492,0)+IF(ISNUMBER(P492),P492,0)))&lt;=Summary!$B$2),"Passes using beginning_balance - PreV_ETB differs from beginning_balance",IF(AND(ISNUMBER(O492),O492&lt;0,ABS(L492-(Q492-IF(ISNUMBER(N492),N492,0)+IF(ISNUMBER(P492),P492,0)))&lt;=Summary!$B$2),"Negative realized loss not applied - check sign",IF(R492&lt;0,"Principal paid exceeds prior balance",IF(AND(L492&gt;Q492,NOT(ISNUMBER(P492))),"Balance increased but no Deferred_interest reported",IF(L492&gt;R492,"Reported balance higher than expected (missing increase/OC build)","Reported balance lower than expected (missing decrease)"))))),""))</f>
        <v/>
      </c>
    </row>
    <row r="493" customFormat="false" ht="15" hidden="false" customHeight="fals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9"/>
      <c r="L493" s="9"/>
      <c r="M493" s="9"/>
      <c r="N493" s="9"/>
      <c r="O493" s="9"/>
      <c r="P493" s="9"/>
      <c r="Q493" s="9"/>
      <c r="R493" s="9" t="str">
        <f aca="false">IF(AND(A493&lt;&gt;"",ISNUMBER(Q493),ISNUMBER(L493)),ROUND(Q493-IF(ISNUMBER(N493),N493,0)-IF(ISNUMBER(O493),O493,0)+IF(ISNUMBER(P493),P493,0),2),"")</f>
        <v/>
      </c>
      <c r="S493" s="9" t="str">
        <f aca="false">IF(R493="","",ROUND(L493-R493,2))</f>
        <v/>
      </c>
      <c r="T493" s="8" t="str">
        <f aca="false">IF(A493="","",IF(S493="","BYPASS",IF(ABS(S493)&lt;=Summary!$B$2,"PASS","FAIL")))</f>
        <v/>
      </c>
      <c r="U493" s="8" t="str">
        <f aca="false">IF(T493="BYPASS",IF(NOT(ISNUMBER(Q493)),"PreV_ETB missing","End_tr_balance missing"),IF(T493="FAIL",IF(AND(ISNUMBER(K493),ISNUMBER(L493),ABS(L493-(K493-IF(ISNUMBER(N493),N493,0)-IF(ISNUMBER(O493),O493,0)+IF(ISNUMBER(P493),P493,0)))&lt;=Summary!$B$2),"Passes using beginning_balance - PreV_ETB differs from beginning_balance",IF(AND(ISNUMBER(O493),O493&lt;0,ABS(L493-(Q493-IF(ISNUMBER(N493),N493,0)+IF(ISNUMBER(P493),P493,0)))&lt;=Summary!$B$2),"Negative realized loss not applied - check sign",IF(R493&lt;0,"Principal paid exceeds prior balance",IF(AND(L493&gt;Q493,NOT(ISNUMBER(P493))),"Balance increased but no Deferred_interest reported",IF(L493&gt;R493,"Reported balance higher than expected (missing increase/OC build)","Reported balance lower than expected (missing decrease)"))))),""))</f>
        <v/>
      </c>
    </row>
    <row r="494" customFormat="false" ht="15" hidden="false" customHeight="fals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9"/>
      <c r="L494" s="9"/>
      <c r="M494" s="9"/>
      <c r="N494" s="9"/>
      <c r="O494" s="9"/>
      <c r="P494" s="9"/>
      <c r="Q494" s="9"/>
      <c r="R494" s="9" t="str">
        <f aca="false">IF(AND(A494&lt;&gt;"",ISNUMBER(Q494),ISNUMBER(L494)),ROUND(Q494-IF(ISNUMBER(N494),N494,0)-IF(ISNUMBER(O494),O494,0)+IF(ISNUMBER(P494),P494,0),2),"")</f>
        <v/>
      </c>
      <c r="S494" s="9" t="str">
        <f aca="false">IF(R494="","",ROUND(L494-R494,2))</f>
        <v/>
      </c>
      <c r="T494" s="8" t="str">
        <f aca="false">IF(A494="","",IF(S494="","BYPASS",IF(ABS(S494)&lt;=Summary!$B$2,"PASS","FAIL")))</f>
        <v/>
      </c>
      <c r="U494" s="8" t="str">
        <f aca="false">IF(T494="BYPASS",IF(NOT(ISNUMBER(Q494)),"PreV_ETB missing","End_tr_balance missing"),IF(T494="FAIL",IF(AND(ISNUMBER(K494),ISNUMBER(L494),ABS(L494-(K494-IF(ISNUMBER(N494),N494,0)-IF(ISNUMBER(O494),O494,0)+IF(ISNUMBER(P494),P494,0)))&lt;=Summary!$B$2),"Passes using beginning_balance - PreV_ETB differs from beginning_balance",IF(AND(ISNUMBER(O494),O494&lt;0,ABS(L494-(Q494-IF(ISNUMBER(N494),N494,0)+IF(ISNUMBER(P494),P494,0)))&lt;=Summary!$B$2),"Negative realized loss not applied - check sign",IF(R494&lt;0,"Principal paid exceeds prior balance",IF(AND(L494&gt;Q494,NOT(ISNUMBER(P494))),"Balance increased but no Deferred_interest reported",IF(L494&gt;R494,"Reported balance higher than expected (missing increase/OC build)","Reported balance lower than expected (missing decrease)"))))),""))</f>
        <v/>
      </c>
    </row>
    <row r="495" customFormat="false" ht="15" hidden="false" customHeight="fals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9"/>
      <c r="L495" s="9"/>
      <c r="M495" s="9"/>
      <c r="N495" s="9"/>
      <c r="O495" s="9"/>
      <c r="P495" s="9"/>
      <c r="Q495" s="9"/>
      <c r="R495" s="9" t="str">
        <f aca="false">IF(AND(A495&lt;&gt;"",ISNUMBER(Q495),ISNUMBER(L495)),ROUND(Q495-IF(ISNUMBER(N495),N495,0)-IF(ISNUMBER(O495),O495,0)+IF(ISNUMBER(P495),P495,0),2),"")</f>
        <v/>
      </c>
      <c r="S495" s="9" t="str">
        <f aca="false">IF(R495="","",ROUND(L495-R495,2))</f>
        <v/>
      </c>
      <c r="T495" s="8" t="str">
        <f aca="false">IF(A495="","",IF(S495="","BYPASS",IF(ABS(S495)&lt;=Summary!$B$2,"PASS","FAIL")))</f>
        <v/>
      </c>
      <c r="U495" s="8" t="str">
        <f aca="false">IF(T495="BYPASS",IF(NOT(ISNUMBER(Q495)),"PreV_ETB missing","End_tr_balance missing"),IF(T495="FAIL",IF(AND(ISNUMBER(K495),ISNUMBER(L495),ABS(L495-(K495-IF(ISNUMBER(N495),N495,0)-IF(ISNUMBER(O495),O495,0)+IF(ISNUMBER(P495),P495,0)))&lt;=Summary!$B$2),"Passes using beginning_balance - PreV_ETB differs from beginning_balance",IF(AND(ISNUMBER(O495),O495&lt;0,ABS(L495-(Q495-IF(ISNUMBER(N495),N495,0)+IF(ISNUMBER(P495),P495,0)))&lt;=Summary!$B$2),"Negative realized loss not applied - check sign",IF(R495&lt;0,"Principal paid exceeds prior balance",IF(AND(L495&gt;Q495,NOT(ISNUMBER(P495))),"Balance increased but no Deferred_interest reported",IF(L495&gt;R495,"Reported balance higher than expected (missing increase/OC build)","Reported balance lower than expected (missing decrease)"))))),""))</f>
        <v/>
      </c>
    </row>
    <row r="496" customFormat="false" ht="15" hidden="false" customHeight="fals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9"/>
      <c r="L496" s="9"/>
      <c r="M496" s="9"/>
      <c r="N496" s="9"/>
      <c r="O496" s="9"/>
      <c r="P496" s="9"/>
      <c r="Q496" s="9"/>
      <c r="R496" s="9" t="str">
        <f aca="false">IF(AND(A496&lt;&gt;"",ISNUMBER(Q496),ISNUMBER(L496)),ROUND(Q496-IF(ISNUMBER(N496),N496,0)-IF(ISNUMBER(O496),O496,0)+IF(ISNUMBER(P496),P496,0),2),"")</f>
        <v/>
      </c>
      <c r="S496" s="9" t="str">
        <f aca="false">IF(R496="","",ROUND(L496-R496,2))</f>
        <v/>
      </c>
      <c r="T496" s="8" t="str">
        <f aca="false">IF(A496="","",IF(S496="","BYPASS",IF(ABS(S496)&lt;=Summary!$B$2,"PASS","FAIL")))</f>
        <v/>
      </c>
      <c r="U496" s="8" t="str">
        <f aca="false">IF(T496="BYPASS",IF(NOT(ISNUMBER(Q496)),"PreV_ETB missing","End_tr_balance missing"),IF(T496="FAIL",IF(AND(ISNUMBER(K496),ISNUMBER(L496),ABS(L496-(K496-IF(ISNUMBER(N496),N496,0)-IF(ISNUMBER(O496),O496,0)+IF(ISNUMBER(P496),P496,0)))&lt;=Summary!$B$2),"Passes using beginning_balance - PreV_ETB differs from beginning_balance",IF(AND(ISNUMBER(O496),O496&lt;0,ABS(L496-(Q496-IF(ISNUMBER(N496),N496,0)+IF(ISNUMBER(P496),P496,0)))&lt;=Summary!$B$2),"Negative realized loss not applied - check sign",IF(R496&lt;0,"Principal paid exceeds prior balance",IF(AND(L496&gt;Q496,NOT(ISNUMBER(P496))),"Balance increased but no Deferred_interest reported",IF(L496&gt;R496,"Reported balance higher than expected (missing increase/OC build)","Reported balance lower than expected (missing decrease)"))))),""))</f>
        <v/>
      </c>
    </row>
    <row r="497" customFormat="false" ht="15" hidden="false" customHeight="fals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9"/>
      <c r="L497" s="9"/>
      <c r="M497" s="9"/>
      <c r="N497" s="9"/>
      <c r="O497" s="9"/>
      <c r="P497" s="9"/>
      <c r="Q497" s="9"/>
      <c r="R497" s="9" t="str">
        <f aca="false">IF(AND(A497&lt;&gt;"",ISNUMBER(Q497),ISNUMBER(L497)),ROUND(Q497-IF(ISNUMBER(N497),N497,0)-IF(ISNUMBER(O497),O497,0)+IF(ISNUMBER(P497),P497,0),2),"")</f>
        <v/>
      </c>
      <c r="S497" s="9" t="str">
        <f aca="false">IF(R497="","",ROUND(L497-R497,2))</f>
        <v/>
      </c>
      <c r="T497" s="8" t="str">
        <f aca="false">IF(A497="","",IF(S497="","BYPASS",IF(ABS(S497)&lt;=Summary!$B$2,"PASS","FAIL")))</f>
        <v/>
      </c>
      <c r="U497" s="8" t="str">
        <f aca="false">IF(T497="BYPASS",IF(NOT(ISNUMBER(Q497)),"PreV_ETB missing","End_tr_balance missing"),IF(T497="FAIL",IF(AND(ISNUMBER(K497),ISNUMBER(L497),ABS(L497-(K497-IF(ISNUMBER(N497),N497,0)-IF(ISNUMBER(O497),O497,0)+IF(ISNUMBER(P497),P497,0)))&lt;=Summary!$B$2),"Passes using beginning_balance - PreV_ETB differs from beginning_balance",IF(AND(ISNUMBER(O497),O497&lt;0,ABS(L497-(Q497-IF(ISNUMBER(N497),N497,0)+IF(ISNUMBER(P497),P497,0)))&lt;=Summary!$B$2),"Negative realized loss not applied - check sign",IF(R497&lt;0,"Principal paid exceeds prior balance",IF(AND(L497&gt;Q497,NOT(ISNUMBER(P497))),"Balance increased but no Deferred_interest reported",IF(L497&gt;R497,"Reported balance higher than expected (missing increase/OC build)","Reported balance lower than expected (missing decrease)"))))),""))</f>
        <v/>
      </c>
    </row>
    <row r="498" customFormat="false" ht="15" hidden="false" customHeight="fals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9"/>
      <c r="L498" s="9"/>
      <c r="M498" s="9"/>
      <c r="N498" s="9"/>
      <c r="O498" s="9"/>
      <c r="P498" s="9"/>
      <c r="Q498" s="9"/>
      <c r="R498" s="9" t="str">
        <f aca="false">IF(AND(A498&lt;&gt;"",ISNUMBER(Q498),ISNUMBER(L498)),ROUND(Q498-IF(ISNUMBER(N498),N498,0)-IF(ISNUMBER(O498),O498,0)+IF(ISNUMBER(P498),P498,0),2),"")</f>
        <v/>
      </c>
      <c r="S498" s="9" t="str">
        <f aca="false">IF(R498="","",ROUND(L498-R498,2))</f>
        <v/>
      </c>
      <c r="T498" s="8" t="str">
        <f aca="false">IF(A498="","",IF(S498="","BYPASS",IF(ABS(S498)&lt;=Summary!$B$2,"PASS","FAIL")))</f>
        <v/>
      </c>
      <c r="U498" s="8" t="str">
        <f aca="false">IF(T498="BYPASS",IF(NOT(ISNUMBER(Q498)),"PreV_ETB missing","End_tr_balance missing"),IF(T498="FAIL",IF(AND(ISNUMBER(K498),ISNUMBER(L498),ABS(L498-(K498-IF(ISNUMBER(N498),N498,0)-IF(ISNUMBER(O498),O498,0)+IF(ISNUMBER(P498),P498,0)))&lt;=Summary!$B$2),"Passes using beginning_balance - PreV_ETB differs from beginning_balance",IF(AND(ISNUMBER(O498),O498&lt;0,ABS(L498-(Q498-IF(ISNUMBER(N498),N498,0)+IF(ISNUMBER(P498),P498,0)))&lt;=Summary!$B$2),"Negative realized loss not applied - check sign",IF(R498&lt;0,"Principal paid exceeds prior balance",IF(AND(L498&gt;Q498,NOT(ISNUMBER(P498))),"Balance increased but no Deferred_interest reported",IF(L498&gt;R498,"Reported balance higher than expected (missing increase/OC build)","Reported balance lower than expected (missing decrease)"))))),""))</f>
        <v/>
      </c>
    </row>
    <row r="499" customFormat="false" ht="15" hidden="false" customHeight="fals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9"/>
      <c r="L499" s="9"/>
      <c r="M499" s="9"/>
      <c r="N499" s="9"/>
      <c r="O499" s="9"/>
      <c r="P499" s="9"/>
      <c r="Q499" s="9"/>
      <c r="R499" s="9" t="str">
        <f aca="false">IF(AND(A499&lt;&gt;"",ISNUMBER(Q499),ISNUMBER(L499)),ROUND(Q499-IF(ISNUMBER(N499),N499,0)-IF(ISNUMBER(O499),O499,0)+IF(ISNUMBER(P499),P499,0),2),"")</f>
        <v/>
      </c>
      <c r="S499" s="9" t="str">
        <f aca="false">IF(R499="","",ROUND(L499-R499,2))</f>
        <v/>
      </c>
      <c r="T499" s="8" t="str">
        <f aca="false">IF(A499="","",IF(S499="","BYPASS",IF(ABS(S499)&lt;=Summary!$B$2,"PASS","FAIL")))</f>
        <v/>
      </c>
      <c r="U499" s="8" t="str">
        <f aca="false">IF(T499="BYPASS",IF(NOT(ISNUMBER(Q499)),"PreV_ETB missing","End_tr_balance missing"),IF(T499="FAIL",IF(AND(ISNUMBER(K499),ISNUMBER(L499),ABS(L499-(K499-IF(ISNUMBER(N499),N499,0)-IF(ISNUMBER(O499),O499,0)+IF(ISNUMBER(P499),P499,0)))&lt;=Summary!$B$2),"Passes using beginning_balance - PreV_ETB differs from beginning_balance",IF(AND(ISNUMBER(O499),O499&lt;0,ABS(L499-(Q499-IF(ISNUMBER(N499),N499,0)+IF(ISNUMBER(P499),P499,0)))&lt;=Summary!$B$2),"Negative realized loss not applied - check sign",IF(R499&lt;0,"Principal paid exceeds prior balance",IF(AND(L499&gt;Q499,NOT(ISNUMBER(P499))),"Balance increased but no Deferred_interest reported",IF(L499&gt;R499,"Reported balance higher than expected (missing increase/OC build)","Reported balance lower than expected (missing decrease)"))))),""))</f>
        <v/>
      </c>
    </row>
    <row r="500" customFormat="false" ht="15" hidden="false" customHeight="fals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9"/>
      <c r="L500" s="9"/>
      <c r="M500" s="9"/>
      <c r="N500" s="9"/>
      <c r="O500" s="9"/>
      <c r="P500" s="9"/>
      <c r="Q500" s="9"/>
      <c r="R500" s="9" t="str">
        <f aca="false">IF(AND(A500&lt;&gt;"",ISNUMBER(Q500),ISNUMBER(L500)),ROUND(Q500-IF(ISNUMBER(N500),N500,0)-IF(ISNUMBER(O500),O500,0)+IF(ISNUMBER(P500),P500,0),2),"")</f>
        <v/>
      </c>
      <c r="S500" s="9" t="str">
        <f aca="false">IF(R500="","",ROUND(L500-R500,2))</f>
        <v/>
      </c>
      <c r="T500" s="8" t="str">
        <f aca="false">IF(A500="","",IF(S500="","BYPASS",IF(ABS(S500)&lt;=Summary!$B$2,"PASS","FAIL")))</f>
        <v/>
      </c>
      <c r="U500" s="8" t="str">
        <f aca="false">IF(T500="BYPASS",IF(NOT(ISNUMBER(Q500)),"PreV_ETB missing","End_tr_balance missing"),IF(T500="FAIL",IF(AND(ISNUMBER(K500),ISNUMBER(L500),ABS(L500-(K500-IF(ISNUMBER(N500),N500,0)-IF(ISNUMBER(O500),O500,0)+IF(ISNUMBER(P500),P500,0)))&lt;=Summary!$B$2),"Passes using beginning_balance - PreV_ETB differs from beginning_balance",IF(AND(ISNUMBER(O500),O500&lt;0,ABS(L500-(Q500-IF(ISNUMBER(N500),N500,0)+IF(ISNUMBER(P500),P500,0)))&lt;=Summary!$B$2),"Negative realized loss not applied - check sign",IF(R500&lt;0,"Principal paid exceeds prior balance",IF(AND(L500&gt;Q500,NOT(ISNUMBER(P500))),"Balance increased but no Deferred_interest reported",IF(L500&gt;R500,"Reported balance higher than expected (missing increase/OC build)","Reported balance lower than expected (missing decrease)"))))),""))</f>
        <v/>
      </c>
    </row>
    <row r="501" customFormat="false" ht="15" hidden="false" customHeight="fals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9"/>
      <c r="L501" s="9"/>
      <c r="M501" s="9"/>
      <c r="N501" s="9"/>
      <c r="O501" s="9"/>
      <c r="P501" s="9"/>
      <c r="Q501" s="9"/>
      <c r="R501" s="9" t="str">
        <f aca="false">IF(AND(A501&lt;&gt;"",ISNUMBER(Q501),ISNUMBER(L501)),ROUND(Q501-IF(ISNUMBER(N501),N501,0)-IF(ISNUMBER(O501),O501,0)+IF(ISNUMBER(P501),P501,0),2),"")</f>
        <v/>
      </c>
      <c r="S501" s="9" t="str">
        <f aca="false">IF(R501="","",ROUND(L501-R501,2))</f>
        <v/>
      </c>
      <c r="T501" s="8" t="str">
        <f aca="false">IF(A501="","",IF(S501="","BYPASS",IF(ABS(S501)&lt;=Summary!$B$2,"PASS","FAIL")))</f>
        <v/>
      </c>
      <c r="U501" s="8" t="str">
        <f aca="false">IF(T501="BYPASS",IF(NOT(ISNUMBER(Q501)),"PreV_ETB missing","End_tr_balance missing"),IF(T501="FAIL",IF(AND(ISNUMBER(K501),ISNUMBER(L501),ABS(L501-(K501-IF(ISNUMBER(N501),N501,0)-IF(ISNUMBER(O501),O501,0)+IF(ISNUMBER(P501),P501,0)))&lt;=Summary!$B$2),"Passes using beginning_balance - PreV_ETB differs from beginning_balance",IF(AND(ISNUMBER(O501),O501&lt;0,ABS(L501-(Q501-IF(ISNUMBER(N501),N501,0)+IF(ISNUMBER(P501),P501,0)))&lt;=Summary!$B$2),"Negative realized loss not applied - check sign",IF(R501&lt;0,"Principal paid exceeds prior balance",IF(AND(L501&gt;Q501,NOT(ISNUMBER(P501))),"Balance increased but no Deferred_interest reported",IF(L501&gt;R501,"Reported balance higher than expected (missing increase/OC build)","Reported balance lower than expected (missing decrease)"))))),""))</f>
        <v/>
      </c>
    </row>
    <row r="502" customFormat="false" ht="15" hidden="false" customHeight="false" outlineLevel="0" collapsed="false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9"/>
      <c r="L502" s="9"/>
      <c r="M502" s="9"/>
      <c r="N502" s="9"/>
      <c r="O502" s="9"/>
      <c r="P502" s="9"/>
      <c r="Q502" s="9"/>
      <c r="R502" s="9" t="str">
        <f aca="false">IF(AND(A502&lt;&gt;"",ISNUMBER(Q502),ISNUMBER(L502)),ROUND(Q502-IF(ISNUMBER(N502),N502,0)-IF(ISNUMBER(O502),O502,0)+IF(ISNUMBER(P502),P502,0),2),"")</f>
        <v/>
      </c>
      <c r="S502" s="9" t="str">
        <f aca="false">IF(R502="","",ROUND(L502-R502,2))</f>
        <v/>
      </c>
      <c r="T502" s="8" t="str">
        <f aca="false">IF(A502="","",IF(S502="","BYPASS",IF(ABS(S502)&lt;=Summary!$B$2,"PASS","FAIL")))</f>
        <v/>
      </c>
      <c r="U502" s="8" t="str">
        <f aca="false">IF(T502="BYPASS",IF(NOT(ISNUMBER(Q502)),"PreV_ETB missing","End_tr_balance missing"),IF(T502="FAIL",IF(AND(ISNUMBER(K502),ISNUMBER(L502),ABS(L502-(K502-IF(ISNUMBER(N502),N502,0)-IF(ISNUMBER(O502),O502,0)+IF(ISNUMBER(P502),P502,0)))&lt;=Summary!$B$2),"Passes using beginning_balance - PreV_ETB differs from beginning_balance",IF(AND(ISNUMBER(O502),O502&lt;0,ABS(L502-(Q502-IF(ISNUMBER(N502),N502,0)+IF(ISNUMBER(P502),P502,0)))&lt;=Summary!$B$2),"Negative realized loss not applied - check sign",IF(R502&lt;0,"Principal paid exceeds prior balance",IF(AND(L502&gt;Q502,NOT(ISNUMBER(P502))),"Balance increased but no Deferred_interest reported",IF(L502&gt;R502,"Reported balance higher than expected (missing increase/OC build)","Reported balance lower than expected (missing decrease)"))))),""))</f>
        <v/>
      </c>
    </row>
    <row r="503" customFormat="false" ht="15" hidden="false" customHeight="false" outlineLevel="0" collapsed="false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9"/>
      <c r="L503" s="9"/>
      <c r="M503" s="9"/>
      <c r="N503" s="9"/>
      <c r="O503" s="9"/>
      <c r="P503" s="9"/>
      <c r="Q503" s="9"/>
      <c r="R503" s="9" t="str">
        <f aca="false">IF(AND(A503&lt;&gt;"",ISNUMBER(Q503),ISNUMBER(L503)),ROUND(Q503-IF(ISNUMBER(N503),N503,0)-IF(ISNUMBER(O503),O503,0)+IF(ISNUMBER(P503),P503,0),2),"")</f>
        <v/>
      </c>
      <c r="S503" s="9" t="str">
        <f aca="false">IF(R503="","",ROUND(L503-R503,2))</f>
        <v/>
      </c>
      <c r="T503" s="8" t="str">
        <f aca="false">IF(A503="","",IF(S503="","BYPASS",IF(ABS(S503)&lt;=Summary!$B$2,"PASS","FAIL")))</f>
        <v/>
      </c>
      <c r="U503" s="8" t="str">
        <f aca="false">IF(T503="BYPASS",IF(NOT(ISNUMBER(Q503)),"PreV_ETB missing","End_tr_balance missing"),IF(T503="FAIL",IF(AND(ISNUMBER(K503),ISNUMBER(L503),ABS(L503-(K503-IF(ISNUMBER(N503),N503,0)-IF(ISNUMBER(O503),O503,0)+IF(ISNUMBER(P503),P503,0)))&lt;=Summary!$B$2),"Passes using beginning_balance - PreV_ETB differs from beginning_balance",IF(AND(ISNUMBER(O503),O503&lt;0,ABS(L503-(Q503-IF(ISNUMBER(N503),N503,0)+IF(ISNUMBER(P503),P503,0)))&lt;=Summary!$B$2),"Negative realized loss not applied - check sign",IF(R503&lt;0,"Principal paid exceeds prior balance",IF(AND(L503&gt;Q503,NOT(ISNUMBER(P503))),"Balance increased but no Deferred_interest reported",IF(L503&gt;R503,"Reported balance higher than expected (missing increase/OC build)","Reported balance lower than expected (missing decrease)"))))),""))</f>
        <v/>
      </c>
    </row>
    <row r="504" customFormat="false" ht="15" hidden="false" customHeight="false" outlineLevel="0" collapsed="false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9"/>
      <c r="L504" s="9"/>
      <c r="M504" s="9"/>
      <c r="N504" s="9"/>
      <c r="O504" s="9"/>
      <c r="P504" s="9"/>
      <c r="Q504" s="9"/>
      <c r="R504" s="9" t="str">
        <f aca="false">IF(AND(A504&lt;&gt;"",ISNUMBER(Q504),ISNUMBER(L504)),ROUND(Q504-IF(ISNUMBER(N504),N504,0)-IF(ISNUMBER(O504),O504,0)+IF(ISNUMBER(P504),P504,0),2),"")</f>
        <v/>
      </c>
      <c r="S504" s="9" t="str">
        <f aca="false">IF(R504="","",ROUND(L504-R504,2))</f>
        <v/>
      </c>
      <c r="T504" s="8" t="str">
        <f aca="false">IF(A504="","",IF(S504="","BYPASS",IF(ABS(S504)&lt;=Summary!$B$2,"PASS","FAIL")))</f>
        <v/>
      </c>
      <c r="U504" s="8" t="str">
        <f aca="false">IF(T504="BYPASS",IF(NOT(ISNUMBER(Q504)),"PreV_ETB missing","End_tr_balance missing"),IF(T504="FAIL",IF(AND(ISNUMBER(K504),ISNUMBER(L504),ABS(L504-(K504-IF(ISNUMBER(N504),N504,0)-IF(ISNUMBER(O504),O504,0)+IF(ISNUMBER(P504),P504,0)))&lt;=Summary!$B$2),"Passes using beginning_balance - PreV_ETB differs from beginning_balance",IF(AND(ISNUMBER(O504),O504&lt;0,ABS(L504-(Q504-IF(ISNUMBER(N504),N504,0)+IF(ISNUMBER(P504),P504,0)))&lt;=Summary!$B$2),"Negative realized loss not applied - check sign",IF(R504&lt;0,"Principal paid exceeds prior balance",IF(AND(L504&gt;Q504,NOT(ISNUMBER(P504))),"Balance increased but no Deferred_interest reported",IF(L504&gt;R504,"Reported balance higher than expected (missing increase/OC build)","Reported balance lower than expected (missing decrease)"))))),""))</f>
        <v/>
      </c>
    </row>
    <row r="505" customFormat="false" ht="15" hidden="false" customHeight="false" outlineLevel="0" collapsed="false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9"/>
      <c r="L505" s="9"/>
      <c r="M505" s="9"/>
      <c r="N505" s="9"/>
      <c r="O505" s="9"/>
      <c r="P505" s="9"/>
      <c r="Q505" s="9"/>
      <c r="R505" s="9" t="str">
        <f aca="false">IF(AND(A505&lt;&gt;"",ISNUMBER(Q505),ISNUMBER(L505)),ROUND(Q505-IF(ISNUMBER(N505),N505,0)-IF(ISNUMBER(O505),O505,0)+IF(ISNUMBER(P505),P505,0),2),"")</f>
        <v/>
      </c>
      <c r="S505" s="9" t="str">
        <f aca="false">IF(R505="","",ROUND(L505-R505,2))</f>
        <v/>
      </c>
      <c r="T505" s="8" t="str">
        <f aca="false">IF(A505="","",IF(S505="","BYPASS",IF(ABS(S505)&lt;=Summary!$B$2,"PASS","FAIL")))</f>
        <v/>
      </c>
      <c r="U505" s="8" t="str">
        <f aca="false">IF(T505="BYPASS",IF(NOT(ISNUMBER(Q505)),"PreV_ETB missing","End_tr_balance missing"),IF(T505="FAIL",IF(AND(ISNUMBER(K505),ISNUMBER(L505),ABS(L505-(K505-IF(ISNUMBER(N505),N505,0)-IF(ISNUMBER(O505),O505,0)+IF(ISNUMBER(P505),P505,0)))&lt;=Summary!$B$2),"Passes using beginning_balance - PreV_ETB differs from beginning_balance",IF(AND(ISNUMBER(O505),O505&lt;0,ABS(L505-(Q505-IF(ISNUMBER(N505),N505,0)+IF(ISNUMBER(P505),P505,0)))&lt;=Summary!$B$2),"Negative realized loss not applied - check sign",IF(R505&lt;0,"Principal paid exceeds prior balance",IF(AND(L505&gt;Q505,NOT(ISNUMBER(P505))),"Balance increased but no Deferred_interest reported",IF(L505&gt;R505,"Reported balance higher than expected (missing increase/OC build)","Reported balance lower than expected (missing decrease)"))))),""))</f>
        <v/>
      </c>
    </row>
    <row r="506" customFormat="false" ht="15" hidden="false" customHeight="false" outlineLevel="0" collapsed="false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9"/>
      <c r="L506" s="9"/>
      <c r="M506" s="9"/>
      <c r="N506" s="9"/>
      <c r="O506" s="9"/>
      <c r="P506" s="9"/>
      <c r="Q506" s="9"/>
      <c r="R506" s="9" t="str">
        <f aca="false">IF(AND(A506&lt;&gt;"",ISNUMBER(Q506),ISNUMBER(L506)),ROUND(Q506-IF(ISNUMBER(N506),N506,0)-IF(ISNUMBER(O506),O506,0)+IF(ISNUMBER(P506),P506,0),2),"")</f>
        <v/>
      </c>
      <c r="S506" s="9" t="str">
        <f aca="false">IF(R506="","",ROUND(L506-R506,2))</f>
        <v/>
      </c>
      <c r="T506" s="8" t="str">
        <f aca="false">IF(A506="","",IF(S506="","BYPASS",IF(ABS(S506)&lt;=Summary!$B$2,"PASS","FAIL")))</f>
        <v/>
      </c>
      <c r="U506" s="8" t="str">
        <f aca="false">IF(T506="BYPASS",IF(NOT(ISNUMBER(Q506)),"PreV_ETB missing","End_tr_balance missing"),IF(T506="FAIL",IF(AND(ISNUMBER(K506),ISNUMBER(L506),ABS(L506-(K506-IF(ISNUMBER(N506),N506,0)-IF(ISNUMBER(O506),O506,0)+IF(ISNUMBER(P506),P506,0)))&lt;=Summary!$B$2),"Passes using beginning_balance - PreV_ETB differs from beginning_balance",IF(AND(ISNUMBER(O506),O506&lt;0,ABS(L506-(Q506-IF(ISNUMBER(N506),N506,0)+IF(ISNUMBER(P506),P506,0)))&lt;=Summary!$B$2),"Negative realized loss not applied - check sign",IF(R506&lt;0,"Principal paid exceeds prior balance",IF(AND(L506&gt;Q506,NOT(ISNUMBER(P506))),"Balance increased but no Deferred_interest reported",IF(L506&gt;R506,"Reported balance higher than expected (missing increase/OC build)","Reported balance lower than expected (missing decrease)"))))),""))</f>
        <v/>
      </c>
    </row>
    <row r="507" customFormat="false" ht="15" hidden="false" customHeight="false" outlineLevel="0" collapsed="false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9"/>
      <c r="L507" s="9"/>
      <c r="M507" s="9"/>
      <c r="N507" s="9"/>
      <c r="O507" s="9"/>
      <c r="P507" s="9"/>
      <c r="Q507" s="9"/>
      <c r="R507" s="9" t="str">
        <f aca="false">IF(AND(A507&lt;&gt;"",ISNUMBER(Q507),ISNUMBER(L507)),ROUND(Q507-IF(ISNUMBER(N507),N507,0)-IF(ISNUMBER(O507),O507,0)+IF(ISNUMBER(P507),P507,0),2),"")</f>
        <v/>
      </c>
      <c r="S507" s="9" t="str">
        <f aca="false">IF(R507="","",ROUND(L507-R507,2))</f>
        <v/>
      </c>
      <c r="T507" s="8" t="str">
        <f aca="false">IF(A507="","",IF(S507="","BYPASS",IF(ABS(S507)&lt;=Summary!$B$2,"PASS","FAIL")))</f>
        <v/>
      </c>
      <c r="U507" s="8" t="str">
        <f aca="false">IF(T507="BYPASS",IF(NOT(ISNUMBER(Q507)),"PreV_ETB missing","End_tr_balance missing"),IF(T507="FAIL",IF(AND(ISNUMBER(K507),ISNUMBER(L507),ABS(L507-(K507-IF(ISNUMBER(N507),N507,0)-IF(ISNUMBER(O507),O507,0)+IF(ISNUMBER(P507),P507,0)))&lt;=Summary!$B$2),"Passes using beginning_balance - PreV_ETB differs from beginning_balance",IF(AND(ISNUMBER(O507),O507&lt;0,ABS(L507-(Q507-IF(ISNUMBER(N507),N507,0)+IF(ISNUMBER(P507),P507,0)))&lt;=Summary!$B$2),"Negative realized loss not applied - check sign",IF(R507&lt;0,"Principal paid exceeds prior balance",IF(AND(L507&gt;Q507,NOT(ISNUMBER(P507))),"Balance increased but no Deferred_interest reported",IF(L507&gt;R507,"Reported balance higher than expected (missing increase/OC build)","Reported balance lower than expected (missing decrease)"))))),""))</f>
        <v/>
      </c>
    </row>
    <row r="508" customFormat="false" ht="15" hidden="false" customHeight="false" outlineLevel="0" collapsed="false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9"/>
      <c r="L508" s="9"/>
      <c r="M508" s="9"/>
      <c r="N508" s="9"/>
      <c r="O508" s="9"/>
      <c r="P508" s="9"/>
      <c r="Q508" s="9"/>
      <c r="R508" s="9" t="str">
        <f aca="false">IF(AND(A508&lt;&gt;"",ISNUMBER(Q508),ISNUMBER(L508)),ROUND(Q508-IF(ISNUMBER(N508),N508,0)-IF(ISNUMBER(O508),O508,0)+IF(ISNUMBER(P508),P508,0),2),"")</f>
        <v/>
      </c>
      <c r="S508" s="9" t="str">
        <f aca="false">IF(R508="","",ROUND(L508-R508,2))</f>
        <v/>
      </c>
      <c r="T508" s="8" t="str">
        <f aca="false">IF(A508="","",IF(S508="","BYPASS",IF(ABS(S508)&lt;=Summary!$B$2,"PASS","FAIL")))</f>
        <v/>
      </c>
      <c r="U508" s="8" t="str">
        <f aca="false">IF(T508="BYPASS",IF(NOT(ISNUMBER(Q508)),"PreV_ETB missing","End_tr_balance missing"),IF(T508="FAIL",IF(AND(ISNUMBER(K508),ISNUMBER(L508),ABS(L508-(K508-IF(ISNUMBER(N508),N508,0)-IF(ISNUMBER(O508),O508,0)+IF(ISNUMBER(P508),P508,0)))&lt;=Summary!$B$2),"Passes using beginning_balance - PreV_ETB differs from beginning_balance",IF(AND(ISNUMBER(O508),O508&lt;0,ABS(L508-(Q508-IF(ISNUMBER(N508),N508,0)+IF(ISNUMBER(P508),P508,0)))&lt;=Summary!$B$2),"Negative realized loss not applied - check sign",IF(R508&lt;0,"Principal paid exceeds prior balance",IF(AND(L508&gt;Q508,NOT(ISNUMBER(P508))),"Balance increased but no Deferred_interest reported",IF(L508&gt;R508,"Reported balance higher than expected (missing increase/OC build)","Reported balance lower than expected (missing decrease)"))))),""))</f>
        <v/>
      </c>
    </row>
    <row r="509" customFormat="false" ht="15" hidden="false" customHeight="false" outlineLevel="0" collapsed="false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9"/>
      <c r="L509" s="9"/>
      <c r="M509" s="9"/>
      <c r="N509" s="9"/>
      <c r="O509" s="9"/>
      <c r="P509" s="9"/>
      <c r="Q509" s="9"/>
      <c r="R509" s="9" t="str">
        <f aca="false">IF(AND(A509&lt;&gt;"",ISNUMBER(Q509),ISNUMBER(L509)),ROUND(Q509-IF(ISNUMBER(N509),N509,0)-IF(ISNUMBER(O509),O509,0)+IF(ISNUMBER(P509),P509,0),2),"")</f>
        <v/>
      </c>
      <c r="S509" s="9" t="str">
        <f aca="false">IF(R509="","",ROUND(L509-R509,2))</f>
        <v/>
      </c>
      <c r="T509" s="8" t="str">
        <f aca="false">IF(A509="","",IF(S509="","BYPASS",IF(ABS(S509)&lt;=Summary!$B$2,"PASS","FAIL")))</f>
        <v/>
      </c>
      <c r="U509" s="8" t="str">
        <f aca="false">IF(T509="BYPASS",IF(NOT(ISNUMBER(Q509)),"PreV_ETB missing","End_tr_balance missing"),IF(T509="FAIL",IF(AND(ISNUMBER(K509),ISNUMBER(L509),ABS(L509-(K509-IF(ISNUMBER(N509),N509,0)-IF(ISNUMBER(O509),O509,0)+IF(ISNUMBER(P509),P509,0)))&lt;=Summary!$B$2),"Passes using beginning_balance - PreV_ETB differs from beginning_balance",IF(AND(ISNUMBER(O509),O509&lt;0,ABS(L509-(Q509-IF(ISNUMBER(N509),N509,0)+IF(ISNUMBER(P509),P509,0)))&lt;=Summary!$B$2),"Negative realized loss not applied - check sign",IF(R509&lt;0,"Principal paid exceeds prior balance",IF(AND(L509&gt;Q509,NOT(ISNUMBER(P509))),"Balance increased but no Deferred_interest reported",IF(L509&gt;R509,"Reported balance higher than expected (missing increase/OC build)","Reported balance lower than expected (missing decrease)"))))),""))</f>
        <v/>
      </c>
    </row>
    <row r="510" customFormat="false" ht="15" hidden="false" customHeight="false" outlineLevel="0" collapsed="false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9"/>
      <c r="L510" s="9"/>
      <c r="M510" s="9"/>
      <c r="N510" s="9"/>
      <c r="O510" s="9"/>
      <c r="P510" s="9"/>
      <c r="Q510" s="9"/>
      <c r="R510" s="9" t="str">
        <f aca="false">IF(AND(A510&lt;&gt;"",ISNUMBER(Q510),ISNUMBER(L510)),ROUND(Q510-IF(ISNUMBER(N510),N510,0)-IF(ISNUMBER(O510),O510,0)+IF(ISNUMBER(P510),P510,0),2),"")</f>
        <v/>
      </c>
      <c r="S510" s="9" t="str">
        <f aca="false">IF(R510="","",ROUND(L510-R510,2))</f>
        <v/>
      </c>
      <c r="T510" s="8" t="str">
        <f aca="false">IF(A510="","",IF(S510="","BYPASS",IF(ABS(S510)&lt;=Summary!$B$2,"PASS","FAIL")))</f>
        <v/>
      </c>
      <c r="U510" s="8" t="str">
        <f aca="false">IF(T510="BYPASS",IF(NOT(ISNUMBER(Q510)),"PreV_ETB missing","End_tr_balance missing"),IF(T510="FAIL",IF(AND(ISNUMBER(K510),ISNUMBER(L510),ABS(L510-(K510-IF(ISNUMBER(N510),N510,0)-IF(ISNUMBER(O510),O510,0)+IF(ISNUMBER(P510),P510,0)))&lt;=Summary!$B$2),"Passes using beginning_balance - PreV_ETB differs from beginning_balance",IF(AND(ISNUMBER(O510),O510&lt;0,ABS(L510-(Q510-IF(ISNUMBER(N510),N510,0)+IF(ISNUMBER(P510),P510,0)))&lt;=Summary!$B$2),"Negative realized loss not applied - check sign",IF(R510&lt;0,"Principal paid exceeds prior balance",IF(AND(L510&gt;Q510,NOT(ISNUMBER(P510))),"Balance increased but no Deferred_interest reported",IF(L510&gt;R510,"Reported balance higher than expected (missing increase/OC build)","Reported balance lower than expected (missing decrease)"))))),""))</f>
        <v/>
      </c>
    </row>
    <row r="511" customFormat="false" ht="15" hidden="false" customHeight="false" outlineLevel="0" collapsed="false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9"/>
      <c r="L511" s="9"/>
      <c r="M511" s="9"/>
      <c r="N511" s="9"/>
      <c r="O511" s="9"/>
      <c r="P511" s="9"/>
      <c r="Q511" s="9"/>
      <c r="R511" s="9" t="str">
        <f aca="false">IF(AND(A511&lt;&gt;"",ISNUMBER(Q511),ISNUMBER(L511)),ROUND(Q511-IF(ISNUMBER(N511),N511,0)-IF(ISNUMBER(O511),O511,0)+IF(ISNUMBER(P511),P511,0),2),"")</f>
        <v/>
      </c>
      <c r="S511" s="9" t="str">
        <f aca="false">IF(R511="","",ROUND(L511-R511,2))</f>
        <v/>
      </c>
      <c r="T511" s="8" t="str">
        <f aca="false">IF(A511="","",IF(S511="","BYPASS",IF(ABS(S511)&lt;=Summary!$B$2,"PASS","FAIL")))</f>
        <v/>
      </c>
      <c r="U511" s="8" t="str">
        <f aca="false">IF(T511="BYPASS",IF(NOT(ISNUMBER(Q511)),"PreV_ETB missing","End_tr_balance missing"),IF(T511="FAIL",IF(AND(ISNUMBER(K511),ISNUMBER(L511),ABS(L511-(K511-IF(ISNUMBER(N511),N511,0)-IF(ISNUMBER(O511),O511,0)+IF(ISNUMBER(P511),P511,0)))&lt;=Summary!$B$2),"Passes using beginning_balance - PreV_ETB differs from beginning_balance",IF(AND(ISNUMBER(O511),O511&lt;0,ABS(L511-(Q511-IF(ISNUMBER(N511),N511,0)+IF(ISNUMBER(P511),P511,0)))&lt;=Summary!$B$2),"Negative realized loss not applied - check sign",IF(R511&lt;0,"Principal paid exceeds prior balance",IF(AND(L511&gt;Q511,NOT(ISNUMBER(P511))),"Balance increased but no Deferred_interest reported",IF(L511&gt;R511,"Reported balance higher than expected (missing increase/OC build)","Reported balance lower than expected (missing decrease)"))))),""))</f>
        <v/>
      </c>
    </row>
    <row r="512" customFormat="false" ht="15" hidden="false" customHeight="false" outlineLevel="0" collapsed="false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9"/>
      <c r="L512" s="9"/>
      <c r="M512" s="9"/>
      <c r="N512" s="9"/>
      <c r="O512" s="9"/>
      <c r="P512" s="9"/>
      <c r="Q512" s="9"/>
      <c r="R512" s="9" t="str">
        <f aca="false">IF(AND(A512&lt;&gt;"",ISNUMBER(Q512),ISNUMBER(L512)),ROUND(Q512-IF(ISNUMBER(N512),N512,0)-IF(ISNUMBER(O512),O512,0)+IF(ISNUMBER(P512),P512,0),2),"")</f>
        <v/>
      </c>
      <c r="S512" s="9" t="str">
        <f aca="false">IF(R512="","",ROUND(L512-R512,2))</f>
        <v/>
      </c>
      <c r="T512" s="8" t="str">
        <f aca="false">IF(A512="","",IF(S512="","BYPASS",IF(ABS(S512)&lt;=Summary!$B$2,"PASS","FAIL")))</f>
        <v/>
      </c>
      <c r="U512" s="8" t="str">
        <f aca="false">IF(T512="BYPASS",IF(NOT(ISNUMBER(Q512)),"PreV_ETB missing","End_tr_balance missing"),IF(T512="FAIL",IF(AND(ISNUMBER(K512),ISNUMBER(L512),ABS(L512-(K512-IF(ISNUMBER(N512),N512,0)-IF(ISNUMBER(O512),O512,0)+IF(ISNUMBER(P512),P512,0)))&lt;=Summary!$B$2),"Passes using beginning_balance - PreV_ETB differs from beginning_balance",IF(AND(ISNUMBER(O512),O512&lt;0,ABS(L512-(Q512-IF(ISNUMBER(N512),N512,0)+IF(ISNUMBER(P512),P512,0)))&lt;=Summary!$B$2),"Negative realized loss not applied - check sign",IF(R512&lt;0,"Principal paid exceeds prior balance",IF(AND(L512&gt;Q512,NOT(ISNUMBER(P512))),"Balance increased but no Deferred_interest reported",IF(L512&gt;R512,"Reported balance higher than expected (missing increase/OC build)","Reported balance lower than expected (missing decrease)"))))),""))</f>
        <v/>
      </c>
    </row>
    <row r="513" customFormat="false" ht="15" hidden="false" customHeight="false" outlineLevel="0" collapsed="false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9"/>
      <c r="L513" s="9"/>
      <c r="M513" s="9"/>
      <c r="N513" s="9"/>
      <c r="O513" s="9"/>
      <c r="P513" s="9"/>
      <c r="Q513" s="9"/>
      <c r="R513" s="9" t="str">
        <f aca="false">IF(AND(A513&lt;&gt;"",ISNUMBER(Q513),ISNUMBER(L513)),ROUND(Q513-IF(ISNUMBER(N513),N513,0)-IF(ISNUMBER(O513),O513,0)+IF(ISNUMBER(P513),P513,0),2),"")</f>
        <v/>
      </c>
      <c r="S513" s="9" t="str">
        <f aca="false">IF(R513="","",ROUND(L513-R513,2))</f>
        <v/>
      </c>
      <c r="T513" s="8" t="str">
        <f aca="false">IF(A513="","",IF(S513="","BYPASS",IF(ABS(S513)&lt;=Summary!$B$2,"PASS","FAIL")))</f>
        <v/>
      </c>
      <c r="U513" s="8" t="str">
        <f aca="false">IF(T513="BYPASS",IF(NOT(ISNUMBER(Q513)),"PreV_ETB missing","End_tr_balance missing"),IF(T513="FAIL",IF(AND(ISNUMBER(K513),ISNUMBER(L513),ABS(L513-(K513-IF(ISNUMBER(N513),N513,0)-IF(ISNUMBER(O513),O513,0)+IF(ISNUMBER(P513),P513,0)))&lt;=Summary!$B$2),"Passes using beginning_balance - PreV_ETB differs from beginning_balance",IF(AND(ISNUMBER(O513),O513&lt;0,ABS(L513-(Q513-IF(ISNUMBER(N513),N513,0)+IF(ISNUMBER(P513),P513,0)))&lt;=Summary!$B$2),"Negative realized loss not applied - check sign",IF(R513&lt;0,"Principal paid exceeds prior balance",IF(AND(L513&gt;Q513,NOT(ISNUMBER(P513))),"Balance increased but no Deferred_interest reported",IF(L513&gt;R513,"Reported balance higher than expected (missing increase/OC build)","Reported balance lower than expected (missing decrease)"))))),""))</f>
        <v/>
      </c>
    </row>
    <row r="514" customFormat="false" ht="15" hidden="false" customHeight="false" outlineLevel="0" collapsed="false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9"/>
      <c r="L514" s="9"/>
      <c r="M514" s="9"/>
      <c r="N514" s="9"/>
      <c r="O514" s="9"/>
      <c r="P514" s="9"/>
      <c r="Q514" s="9"/>
      <c r="R514" s="9" t="str">
        <f aca="false">IF(AND(A514&lt;&gt;"",ISNUMBER(Q514),ISNUMBER(L514)),ROUND(Q514-IF(ISNUMBER(N514),N514,0)-IF(ISNUMBER(O514),O514,0)+IF(ISNUMBER(P514),P514,0),2),"")</f>
        <v/>
      </c>
      <c r="S514" s="9" t="str">
        <f aca="false">IF(R514="","",ROUND(L514-R514,2))</f>
        <v/>
      </c>
      <c r="T514" s="8" t="str">
        <f aca="false">IF(A514="","",IF(S514="","BYPASS",IF(ABS(S514)&lt;=Summary!$B$2,"PASS","FAIL")))</f>
        <v/>
      </c>
      <c r="U514" s="8" t="str">
        <f aca="false">IF(T514="BYPASS",IF(NOT(ISNUMBER(Q514)),"PreV_ETB missing","End_tr_balance missing"),IF(T514="FAIL",IF(AND(ISNUMBER(K514),ISNUMBER(L514),ABS(L514-(K514-IF(ISNUMBER(N514),N514,0)-IF(ISNUMBER(O514),O514,0)+IF(ISNUMBER(P514),P514,0)))&lt;=Summary!$B$2),"Passes using beginning_balance - PreV_ETB differs from beginning_balance",IF(AND(ISNUMBER(O514),O514&lt;0,ABS(L514-(Q514-IF(ISNUMBER(N514),N514,0)+IF(ISNUMBER(P514),P514,0)))&lt;=Summary!$B$2),"Negative realized loss not applied - check sign",IF(R514&lt;0,"Principal paid exceeds prior balance",IF(AND(L514&gt;Q514,NOT(ISNUMBER(P514))),"Balance increased but no Deferred_interest reported",IF(L514&gt;R514,"Reported balance higher than expected (missing increase/OC build)","Reported balance lower than expected (missing decrease)"))))),""))</f>
        <v/>
      </c>
    </row>
    <row r="515" customFormat="false" ht="15" hidden="false" customHeight="false" outlineLevel="0" collapsed="false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9"/>
      <c r="L515" s="9"/>
      <c r="M515" s="9"/>
      <c r="N515" s="9"/>
      <c r="O515" s="9"/>
      <c r="P515" s="9"/>
      <c r="Q515" s="9"/>
      <c r="R515" s="9" t="str">
        <f aca="false">IF(AND(A515&lt;&gt;"",ISNUMBER(Q515),ISNUMBER(L515)),ROUND(Q515-IF(ISNUMBER(N515),N515,0)-IF(ISNUMBER(O515),O515,0)+IF(ISNUMBER(P515),P515,0),2),"")</f>
        <v/>
      </c>
      <c r="S515" s="9" t="str">
        <f aca="false">IF(R515="","",ROUND(L515-R515,2))</f>
        <v/>
      </c>
      <c r="T515" s="8" t="str">
        <f aca="false">IF(A515="","",IF(S515="","BYPASS",IF(ABS(S515)&lt;=Summary!$B$2,"PASS","FAIL")))</f>
        <v/>
      </c>
      <c r="U515" s="8" t="str">
        <f aca="false">IF(T515="BYPASS",IF(NOT(ISNUMBER(Q515)),"PreV_ETB missing","End_tr_balance missing"),IF(T515="FAIL",IF(AND(ISNUMBER(K515),ISNUMBER(L515),ABS(L515-(K515-IF(ISNUMBER(N515),N515,0)-IF(ISNUMBER(O515),O515,0)+IF(ISNUMBER(P515),P515,0)))&lt;=Summary!$B$2),"Passes using beginning_balance - PreV_ETB differs from beginning_balance",IF(AND(ISNUMBER(O515),O515&lt;0,ABS(L515-(Q515-IF(ISNUMBER(N515),N515,0)+IF(ISNUMBER(P515),P515,0)))&lt;=Summary!$B$2),"Negative realized loss not applied - check sign",IF(R515&lt;0,"Principal paid exceeds prior balance",IF(AND(L515&gt;Q515,NOT(ISNUMBER(P515))),"Balance increased but no Deferred_interest reported",IF(L515&gt;R515,"Reported balance higher than expected (missing increase/OC build)","Reported balance lower than expected (missing decrease)"))))),""))</f>
        <v/>
      </c>
    </row>
    <row r="516" customFormat="false" ht="15" hidden="false" customHeight="false" outlineLevel="0" collapsed="false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9"/>
      <c r="L516" s="9"/>
      <c r="M516" s="9"/>
      <c r="N516" s="9"/>
      <c r="O516" s="9"/>
      <c r="P516" s="9"/>
      <c r="Q516" s="9"/>
      <c r="R516" s="9" t="str">
        <f aca="false">IF(AND(A516&lt;&gt;"",ISNUMBER(Q516),ISNUMBER(L516)),ROUND(Q516-IF(ISNUMBER(N516),N516,0)-IF(ISNUMBER(O516),O516,0)+IF(ISNUMBER(P516),P516,0),2),"")</f>
        <v/>
      </c>
      <c r="S516" s="9" t="str">
        <f aca="false">IF(R516="","",ROUND(L516-R516,2))</f>
        <v/>
      </c>
      <c r="T516" s="8" t="str">
        <f aca="false">IF(A516="","",IF(S516="","BYPASS",IF(ABS(S516)&lt;=Summary!$B$2,"PASS","FAIL")))</f>
        <v/>
      </c>
      <c r="U516" s="8" t="str">
        <f aca="false">IF(T516="BYPASS",IF(NOT(ISNUMBER(Q516)),"PreV_ETB missing","End_tr_balance missing"),IF(T516="FAIL",IF(AND(ISNUMBER(K516),ISNUMBER(L516),ABS(L516-(K516-IF(ISNUMBER(N516),N516,0)-IF(ISNUMBER(O516),O516,0)+IF(ISNUMBER(P516),P516,0)))&lt;=Summary!$B$2),"Passes using beginning_balance - PreV_ETB differs from beginning_balance",IF(AND(ISNUMBER(O516),O516&lt;0,ABS(L516-(Q516-IF(ISNUMBER(N516),N516,0)+IF(ISNUMBER(P516),P516,0)))&lt;=Summary!$B$2),"Negative realized loss not applied - check sign",IF(R516&lt;0,"Principal paid exceeds prior balance",IF(AND(L516&gt;Q516,NOT(ISNUMBER(P516))),"Balance increased but no Deferred_interest reported",IF(L516&gt;R516,"Reported balance higher than expected (missing increase/OC build)","Reported balance lower than expected (missing decrease)"))))),""))</f>
        <v/>
      </c>
    </row>
    <row r="517" customFormat="false" ht="15" hidden="false" customHeight="false" outlineLevel="0" collapsed="false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9"/>
      <c r="L517" s="9"/>
      <c r="M517" s="9"/>
      <c r="N517" s="9"/>
      <c r="O517" s="9"/>
      <c r="P517" s="9"/>
      <c r="Q517" s="9"/>
      <c r="R517" s="9" t="str">
        <f aca="false">IF(AND(A517&lt;&gt;"",ISNUMBER(Q517),ISNUMBER(L517)),ROUND(Q517-IF(ISNUMBER(N517),N517,0)-IF(ISNUMBER(O517),O517,0)+IF(ISNUMBER(P517),P517,0),2),"")</f>
        <v/>
      </c>
      <c r="S517" s="9" t="str">
        <f aca="false">IF(R517="","",ROUND(L517-R517,2))</f>
        <v/>
      </c>
      <c r="T517" s="8" t="str">
        <f aca="false">IF(A517="","",IF(S517="","BYPASS",IF(ABS(S517)&lt;=Summary!$B$2,"PASS","FAIL")))</f>
        <v/>
      </c>
      <c r="U517" s="8" t="str">
        <f aca="false">IF(T517="BYPASS",IF(NOT(ISNUMBER(Q517)),"PreV_ETB missing","End_tr_balance missing"),IF(T517="FAIL",IF(AND(ISNUMBER(K517),ISNUMBER(L517),ABS(L517-(K517-IF(ISNUMBER(N517),N517,0)-IF(ISNUMBER(O517),O517,0)+IF(ISNUMBER(P517),P517,0)))&lt;=Summary!$B$2),"Passes using beginning_balance - PreV_ETB differs from beginning_balance",IF(AND(ISNUMBER(O517),O517&lt;0,ABS(L517-(Q517-IF(ISNUMBER(N517),N517,0)+IF(ISNUMBER(P517),P517,0)))&lt;=Summary!$B$2),"Negative realized loss not applied - check sign",IF(R517&lt;0,"Principal paid exceeds prior balance",IF(AND(L517&gt;Q517,NOT(ISNUMBER(P517))),"Balance increased but no Deferred_interest reported",IF(L517&gt;R517,"Reported balance higher than expected (missing increase/OC build)","Reported balance lower than expected (missing decrease)"))))),""))</f>
        <v/>
      </c>
    </row>
    <row r="518" customFormat="false" ht="15" hidden="false" customHeight="false" outlineLevel="0" collapsed="false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9"/>
      <c r="L518" s="9"/>
      <c r="M518" s="9"/>
      <c r="N518" s="9"/>
      <c r="O518" s="9"/>
      <c r="P518" s="9"/>
      <c r="Q518" s="9"/>
      <c r="R518" s="9" t="str">
        <f aca="false">IF(AND(A518&lt;&gt;"",ISNUMBER(Q518),ISNUMBER(L518)),ROUND(Q518-IF(ISNUMBER(N518),N518,0)-IF(ISNUMBER(O518),O518,0)+IF(ISNUMBER(P518),P518,0),2),"")</f>
        <v/>
      </c>
      <c r="S518" s="9" t="str">
        <f aca="false">IF(R518="","",ROUND(L518-R518,2))</f>
        <v/>
      </c>
      <c r="T518" s="8" t="str">
        <f aca="false">IF(A518="","",IF(S518="","BYPASS",IF(ABS(S518)&lt;=Summary!$B$2,"PASS","FAIL")))</f>
        <v/>
      </c>
      <c r="U518" s="8" t="str">
        <f aca="false">IF(T518="BYPASS",IF(NOT(ISNUMBER(Q518)),"PreV_ETB missing","End_tr_balance missing"),IF(T518="FAIL",IF(AND(ISNUMBER(K518),ISNUMBER(L518),ABS(L518-(K518-IF(ISNUMBER(N518),N518,0)-IF(ISNUMBER(O518),O518,0)+IF(ISNUMBER(P518),P518,0)))&lt;=Summary!$B$2),"Passes using beginning_balance - PreV_ETB differs from beginning_balance",IF(AND(ISNUMBER(O518),O518&lt;0,ABS(L518-(Q518-IF(ISNUMBER(N518),N518,0)+IF(ISNUMBER(P518),P518,0)))&lt;=Summary!$B$2),"Negative realized loss not applied - check sign",IF(R518&lt;0,"Principal paid exceeds prior balance",IF(AND(L518&gt;Q518,NOT(ISNUMBER(P518))),"Balance increased but no Deferred_interest reported",IF(L518&gt;R518,"Reported balance higher than expected (missing increase/OC build)","Reported balance lower than expected (missing decrease)"))))),""))</f>
        <v/>
      </c>
    </row>
    <row r="519" customFormat="false" ht="15" hidden="false" customHeight="false" outlineLevel="0" collapsed="false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9"/>
      <c r="L519" s="9"/>
      <c r="M519" s="9"/>
      <c r="N519" s="9"/>
      <c r="O519" s="9"/>
      <c r="P519" s="9"/>
      <c r="Q519" s="9"/>
      <c r="R519" s="9" t="str">
        <f aca="false">IF(AND(A519&lt;&gt;"",ISNUMBER(Q519),ISNUMBER(L519)),ROUND(Q519-IF(ISNUMBER(N519),N519,0)-IF(ISNUMBER(O519),O519,0)+IF(ISNUMBER(P519),P519,0),2),"")</f>
        <v/>
      </c>
      <c r="S519" s="9" t="str">
        <f aca="false">IF(R519="","",ROUND(L519-R519,2))</f>
        <v/>
      </c>
      <c r="T519" s="8" t="str">
        <f aca="false">IF(A519="","",IF(S519="","BYPASS",IF(ABS(S519)&lt;=Summary!$B$2,"PASS","FAIL")))</f>
        <v/>
      </c>
      <c r="U519" s="8" t="str">
        <f aca="false">IF(T519="BYPASS",IF(NOT(ISNUMBER(Q519)),"PreV_ETB missing","End_tr_balance missing"),IF(T519="FAIL",IF(AND(ISNUMBER(K519),ISNUMBER(L519),ABS(L519-(K519-IF(ISNUMBER(N519),N519,0)-IF(ISNUMBER(O519),O519,0)+IF(ISNUMBER(P519),P519,0)))&lt;=Summary!$B$2),"Passes using beginning_balance - PreV_ETB differs from beginning_balance",IF(AND(ISNUMBER(O519),O519&lt;0,ABS(L519-(Q519-IF(ISNUMBER(N519),N519,0)+IF(ISNUMBER(P519),P519,0)))&lt;=Summary!$B$2),"Negative realized loss not applied - check sign",IF(R519&lt;0,"Principal paid exceeds prior balance",IF(AND(L519&gt;Q519,NOT(ISNUMBER(P519))),"Balance increased but no Deferred_interest reported",IF(L519&gt;R519,"Reported balance higher than expected (missing increase/OC build)","Reported balance lower than expected (missing decrease)"))))),""))</f>
        <v/>
      </c>
    </row>
    <row r="520" customFormat="false" ht="15" hidden="false" customHeight="false" outlineLevel="0" collapsed="false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9"/>
      <c r="L520" s="9"/>
      <c r="M520" s="9"/>
      <c r="N520" s="9"/>
      <c r="O520" s="9"/>
      <c r="P520" s="9"/>
      <c r="Q520" s="9"/>
      <c r="R520" s="9" t="str">
        <f aca="false">IF(AND(A520&lt;&gt;"",ISNUMBER(Q520),ISNUMBER(L520)),ROUND(Q520-IF(ISNUMBER(N520),N520,0)-IF(ISNUMBER(O520),O520,0)+IF(ISNUMBER(P520),P520,0),2),"")</f>
        <v/>
      </c>
      <c r="S520" s="9" t="str">
        <f aca="false">IF(R520="","",ROUND(L520-R520,2))</f>
        <v/>
      </c>
      <c r="T520" s="8" t="str">
        <f aca="false">IF(A520="","",IF(S520="","BYPASS",IF(ABS(S520)&lt;=Summary!$B$2,"PASS","FAIL")))</f>
        <v/>
      </c>
      <c r="U520" s="8" t="str">
        <f aca="false">IF(T520="BYPASS",IF(NOT(ISNUMBER(Q520)),"PreV_ETB missing","End_tr_balance missing"),IF(T520="FAIL",IF(AND(ISNUMBER(K520),ISNUMBER(L520),ABS(L520-(K520-IF(ISNUMBER(N520),N520,0)-IF(ISNUMBER(O520),O520,0)+IF(ISNUMBER(P520),P520,0)))&lt;=Summary!$B$2),"Passes using beginning_balance - PreV_ETB differs from beginning_balance",IF(AND(ISNUMBER(O520),O520&lt;0,ABS(L520-(Q520-IF(ISNUMBER(N520),N520,0)+IF(ISNUMBER(P520),P520,0)))&lt;=Summary!$B$2),"Negative realized loss not applied - check sign",IF(R520&lt;0,"Principal paid exceeds prior balance",IF(AND(L520&gt;Q520,NOT(ISNUMBER(P520))),"Balance increased but no Deferred_interest reported",IF(L520&gt;R520,"Reported balance higher than expected (missing increase/OC build)","Reported balance lower than expected (missing decrease)"))))),""))</f>
        <v/>
      </c>
    </row>
    <row r="521" customFormat="false" ht="15" hidden="false" customHeight="false" outlineLevel="0" collapsed="false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9"/>
      <c r="L521" s="9"/>
      <c r="M521" s="9"/>
      <c r="N521" s="9"/>
      <c r="O521" s="9"/>
      <c r="P521" s="9"/>
      <c r="Q521" s="9"/>
      <c r="R521" s="9" t="str">
        <f aca="false">IF(AND(A521&lt;&gt;"",ISNUMBER(Q521),ISNUMBER(L521)),ROUND(Q521-IF(ISNUMBER(N521),N521,0)-IF(ISNUMBER(O521),O521,0)+IF(ISNUMBER(P521),P521,0),2),"")</f>
        <v/>
      </c>
      <c r="S521" s="9" t="str">
        <f aca="false">IF(R521="","",ROUND(L521-R521,2))</f>
        <v/>
      </c>
      <c r="T521" s="8" t="str">
        <f aca="false">IF(A521="","",IF(S521="","BYPASS",IF(ABS(S521)&lt;=Summary!$B$2,"PASS","FAIL")))</f>
        <v/>
      </c>
      <c r="U521" s="8" t="str">
        <f aca="false">IF(T521="BYPASS",IF(NOT(ISNUMBER(Q521)),"PreV_ETB missing","End_tr_balance missing"),IF(T521="FAIL",IF(AND(ISNUMBER(K521),ISNUMBER(L521),ABS(L521-(K521-IF(ISNUMBER(N521),N521,0)-IF(ISNUMBER(O521),O521,0)+IF(ISNUMBER(P521),P521,0)))&lt;=Summary!$B$2),"Passes using beginning_balance - PreV_ETB differs from beginning_balance",IF(AND(ISNUMBER(O521),O521&lt;0,ABS(L521-(Q521-IF(ISNUMBER(N521),N521,0)+IF(ISNUMBER(P521),P521,0)))&lt;=Summary!$B$2),"Negative realized loss not applied - check sign",IF(R521&lt;0,"Principal paid exceeds prior balance",IF(AND(L521&gt;Q521,NOT(ISNUMBER(P521))),"Balance increased but no Deferred_interest reported",IF(L521&gt;R521,"Reported balance higher than expected (missing increase/OC build)","Reported balance lower than expected (missing decrease)"))))),""))</f>
        <v/>
      </c>
    </row>
    <row r="522" customFormat="false" ht="15" hidden="false" customHeight="false" outlineLevel="0" collapsed="false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9"/>
      <c r="L522" s="9"/>
      <c r="M522" s="9"/>
      <c r="N522" s="9"/>
      <c r="O522" s="9"/>
      <c r="P522" s="9"/>
      <c r="Q522" s="9"/>
      <c r="R522" s="9" t="str">
        <f aca="false">IF(AND(A522&lt;&gt;"",ISNUMBER(Q522),ISNUMBER(L522)),ROUND(Q522-IF(ISNUMBER(N522),N522,0)-IF(ISNUMBER(O522),O522,0)+IF(ISNUMBER(P522),P522,0),2),"")</f>
        <v/>
      </c>
      <c r="S522" s="9" t="str">
        <f aca="false">IF(R522="","",ROUND(L522-R522,2))</f>
        <v/>
      </c>
      <c r="T522" s="8" t="str">
        <f aca="false">IF(A522="","",IF(S522="","BYPASS",IF(ABS(S522)&lt;=Summary!$B$2,"PASS","FAIL")))</f>
        <v/>
      </c>
      <c r="U522" s="8" t="str">
        <f aca="false">IF(T522="BYPASS",IF(NOT(ISNUMBER(Q522)),"PreV_ETB missing","End_tr_balance missing"),IF(T522="FAIL",IF(AND(ISNUMBER(K522),ISNUMBER(L522),ABS(L522-(K522-IF(ISNUMBER(N522),N522,0)-IF(ISNUMBER(O522),O522,0)+IF(ISNUMBER(P522),P522,0)))&lt;=Summary!$B$2),"Passes using beginning_balance - PreV_ETB differs from beginning_balance",IF(AND(ISNUMBER(O522),O522&lt;0,ABS(L522-(Q522-IF(ISNUMBER(N522),N522,0)+IF(ISNUMBER(P522),P522,0)))&lt;=Summary!$B$2),"Negative realized loss not applied - check sign",IF(R522&lt;0,"Principal paid exceeds prior balance",IF(AND(L522&gt;Q522,NOT(ISNUMBER(P522))),"Balance increased but no Deferred_interest reported",IF(L522&gt;R522,"Reported balance higher than expected (missing increase/OC build)","Reported balance lower than expected (missing decrease)"))))),""))</f>
        <v/>
      </c>
    </row>
    <row r="523" customFormat="false" ht="15" hidden="false" customHeight="false" outlineLevel="0" collapsed="false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9"/>
      <c r="L523" s="9"/>
      <c r="M523" s="9"/>
      <c r="N523" s="9"/>
      <c r="O523" s="9"/>
      <c r="P523" s="9"/>
      <c r="Q523" s="9"/>
      <c r="R523" s="9" t="str">
        <f aca="false">IF(AND(A523&lt;&gt;"",ISNUMBER(Q523),ISNUMBER(L523)),ROUND(Q523-IF(ISNUMBER(N523),N523,0)-IF(ISNUMBER(O523),O523,0)+IF(ISNUMBER(P523),P523,0),2),"")</f>
        <v/>
      </c>
      <c r="S523" s="9" t="str">
        <f aca="false">IF(R523="","",ROUND(L523-R523,2))</f>
        <v/>
      </c>
      <c r="T523" s="8" t="str">
        <f aca="false">IF(A523="","",IF(S523="","BYPASS",IF(ABS(S523)&lt;=Summary!$B$2,"PASS","FAIL")))</f>
        <v/>
      </c>
      <c r="U523" s="8" t="str">
        <f aca="false">IF(T523="BYPASS",IF(NOT(ISNUMBER(Q523)),"PreV_ETB missing","End_tr_balance missing"),IF(T523="FAIL",IF(AND(ISNUMBER(K523),ISNUMBER(L523),ABS(L523-(K523-IF(ISNUMBER(N523),N523,0)-IF(ISNUMBER(O523),O523,0)+IF(ISNUMBER(P523),P523,0)))&lt;=Summary!$B$2),"Passes using beginning_balance - PreV_ETB differs from beginning_balance",IF(AND(ISNUMBER(O523),O523&lt;0,ABS(L523-(Q523-IF(ISNUMBER(N523),N523,0)+IF(ISNUMBER(P523),P523,0)))&lt;=Summary!$B$2),"Negative realized loss not applied - check sign",IF(R523&lt;0,"Principal paid exceeds prior balance",IF(AND(L523&gt;Q523,NOT(ISNUMBER(P523))),"Balance increased but no Deferred_interest reported",IF(L523&gt;R523,"Reported balance higher than expected (missing increase/OC build)","Reported balance lower than expected (missing decrease)"))))),""))</f>
        <v/>
      </c>
    </row>
    <row r="524" customFormat="false" ht="15" hidden="false" customHeight="false" outlineLevel="0" collapsed="false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9"/>
      <c r="L524" s="9"/>
      <c r="M524" s="9"/>
      <c r="N524" s="9"/>
      <c r="O524" s="9"/>
      <c r="P524" s="9"/>
      <c r="Q524" s="9"/>
      <c r="R524" s="9" t="str">
        <f aca="false">IF(AND(A524&lt;&gt;"",ISNUMBER(Q524),ISNUMBER(L524)),ROUND(Q524-IF(ISNUMBER(N524),N524,0)-IF(ISNUMBER(O524),O524,0)+IF(ISNUMBER(P524),P524,0),2),"")</f>
        <v/>
      </c>
      <c r="S524" s="9" t="str">
        <f aca="false">IF(R524="","",ROUND(L524-R524,2))</f>
        <v/>
      </c>
      <c r="T524" s="8" t="str">
        <f aca="false">IF(A524="","",IF(S524="","BYPASS",IF(ABS(S524)&lt;=Summary!$B$2,"PASS","FAIL")))</f>
        <v/>
      </c>
      <c r="U524" s="8" t="str">
        <f aca="false">IF(T524="BYPASS",IF(NOT(ISNUMBER(Q524)),"PreV_ETB missing","End_tr_balance missing"),IF(T524="FAIL",IF(AND(ISNUMBER(K524),ISNUMBER(L524),ABS(L524-(K524-IF(ISNUMBER(N524),N524,0)-IF(ISNUMBER(O524),O524,0)+IF(ISNUMBER(P524),P524,0)))&lt;=Summary!$B$2),"Passes using beginning_balance - PreV_ETB differs from beginning_balance",IF(AND(ISNUMBER(O524),O524&lt;0,ABS(L524-(Q524-IF(ISNUMBER(N524),N524,0)+IF(ISNUMBER(P524),P524,0)))&lt;=Summary!$B$2),"Negative realized loss not applied - check sign",IF(R524&lt;0,"Principal paid exceeds prior balance",IF(AND(L524&gt;Q524,NOT(ISNUMBER(P524))),"Balance increased but no Deferred_interest reported",IF(L524&gt;R524,"Reported balance higher than expected (missing increase/OC build)","Reported balance lower than expected (missing decrease)"))))),""))</f>
        <v/>
      </c>
    </row>
    <row r="525" customFormat="false" ht="15" hidden="false" customHeight="false" outlineLevel="0" collapsed="false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9"/>
      <c r="L525" s="9"/>
      <c r="M525" s="9"/>
      <c r="N525" s="9"/>
      <c r="O525" s="9"/>
      <c r="P525" s="9"/>
      <c r="Q525" s="9"/>
      <c r="R525" s="9" t="str">
        <f aca="false">IF(AND(A525&lt;&gt;"",ISNUMBER(Q525),ISNUMBER(L525)),ROUND(Q525-IF(ISNUMBER(N525),N525,0)-IF(ISNUMBER(O525),O525,0)+IF(ISNUMBER(P525),P525,0),2),"")</f>
        <v/>
      </c>
      <c r="S525" s="9" t="str">
        <f aca="false">IF(R525="","",ROUND(L525-R525,2))</f>
        <v/>
      </c>
      <c r="T525" s="8" t="str">
        <f aca="false">IF(A525="","",IF(S525="","BYPASS",IF(ABS(S525)&lt;=Summary!$B$2,"PASS","FAIL")))</f>
        <v/>
      </c>
      <c r="U525" s="8" t="str">
        <f aca="false">IF(T525="BYPASS",IF(NOT(ISNUMBER(Q525)),"PreV_ETB missing","End_tr_balance missing"),IF(T525="FAIL",IF(AND(ISNUMBER(K525),ISNUMBER(L525),ABS(L525-(K525-IF(ISNUMBER(N525),N525,0)-IF(ISNUMBER(O525),O525,0)+IF(ISNUMBER(P525),P525,0)))&lt;=Summary!$B$2),"Passes using beginning_balance - PreV_ETB differs from beginning_balance",IF(AND(ISNUMBER(O525),O525&lt;0,ABS(L525-(Q525-IF(ISNUMBER(N525),N525,0)+IF(ISNUMBER(P525),P525,0)))&lt;=Summary!$B$2),"Negative realized loss not applied - check sign",IF(R525&lt;0,"Principal paid exceeds prior balance",IF(AND(L525&gt;Q525,NOT(ISNUMBER(P525))),"Balance increased but no Deferred_interest reported",IF(L525&gt;R525,"Reported balance higher than expected (missing increase/OC build)","Reported balance lower than expected (missing decrease)"))))),""))</f>
        <v/>
      </c>
    </row>
    <row r="526" customFormat="false" ht="15" hidden="false" customHeight="false" outlineLevel="0" collapsed="false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9"/>
      <c r="L526" s="9"/>
      <c r="M526" s="9"/>
      <c r="N526" s="9"/>
      <c r="O526" s="9"/>
      <c r="P526" s="9"/>
      <c r="Q526" s="9"/>
      <c r="R526" s="9" t="str">
        <f aca="false">IF(AND(A526&lt;&gt;"",ISNUMBER(Q526),ISNUMBER(L526)),ROUND(Q526-IF(ISNUMBER(N526),N526,0)-IF(ISNUMBER(O526),O526,0)+IF(ISNUMBER(P526),P526,0),2),"")</f>
        <v/>
      </c>
      <c r="S526" s="9" t="str">
        <f aca="false">IF(R526="","",ROUND(L526-R526,2))</f>
        <v/>
      </c>
      <c r="T526" s="8" t="str">
        <f aca="false">IF(A526="","",IF(S526="","BYPASS",IF(ABS(S526)&lt;=Summary!$B$2,"PASS","FAIL")))</f>
        <v/>
      </c>
      <c r="U526" s="8" t="str">
        <f aca="false">IF(T526="BYPASS",IF(NOT(ISNUMBER(Q526)),"PreV_ETB missing","End_tr_balance missing"),IF(T526="FAIL",IF(AND(ISNUMBER(K526),ISNUMBER(L526),ABS(L526-(K526-IF(ISNUMBER(N526),N526,0)-IF(ISNUMBER(O526),O526,0)+IF(ISNUMBER(P526),P526,0)))&lt;=Summary!$B$2),"Passes using beginning_balance - PreV_ETB differs from beginning_balance",IF(AND(ISNUMBER(O526),O526&lt;0,ABS(L526-(Q526-IF(ISNUMBER(N526),N526,0)+IF(ISNUMBER(P526),P526,0)))&lt;=Summary!$B$2),"Negative realized loss not applied - check sign",IF(R526&lt;0,"Principal paid exceeds prior balance",IF(AND(L526&gt;Q526,NOT(ISNUMBER(P526))),"Balance increased but no Deferred_interest reported",IF(L526&gt;R526,"Reported balance higher than expected (missing increase/OC build)","Reported balance lower than expected (missing decrease)"))))),""))</f>
        <v/>
      </c>
    </row>
    <row r="527" customFormat="false" ht="15" hidden="false" customHeight="false" outlineLevel="0" collapsed="false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9"/>
      <c r="L527" s="9"/>
      <c r="M527" s="9"/>
      <c r="N527" s="9"/>
      <c r="O527" s="9"/>
      <c r="P527" s="9"/>
      <c r="Q527" s="9"/>
      <c r="R527" s="9" t="str">
        <f aca="false">IF(AND(A527&lt;&gt;"",ISNUMBER(Q527),ISNUMBER(L527)),ROUND(Q527-IF(ISNUMBER(N527),N527,0)-IF(ISNUMBER(O527),O527,0)+IF(ISNUMBER(P527),P527,0),2),"")</f>
        <v/>
      </c>
      <c r="S527" s="9" t="str">
        <f aca="false">IF(R527="","",ROUND(L527-R527,2))</f>
        <v/>
      </c>
      <c r="T527" s="8" t="str">
        <f aca="false">IF(A527="","",IF(S527="","BYPASS",IF(ABS(S527)&lt;=Summary!$B$2,"PASS","FAIL")))</f>
        <v/>
      </c>
      <c r="U527" s="8" t="str">
        <f aca="false">IF(T527="BYPASS",IF(NOT(ISNUMBER(Q527)),"PreV_ETB missing","End_tr_balance missing"),IF(T527="FAIL",IF(AND(ISNUMBER(K527),ISNUMBER(L527),ABS(L527-(K527-IF(ISNUMBER(N527),N527,0)-IF(ISNUMBER(O527),O527,0)+IF(ISNUMBER(P527),P527,0)))&lt;=Summary!$B$2),"Passes using beginning_balance - PreV_ETB differs from beginning_balance",IF(AND(ISNUMBER(O527),O527&lt;0,ABS(L527-(Q527-IF(ISNUMBER(N527),N527,0)+IF(ISNUMBER(P527),P527,0)))&lt;=Summary!$B$2),"Negative realized loss not applied - check sign",IF(R527&lt;0,"Principal paid exceeds prior balance",IF(AND(L527&gt;Q527,NOT(ISNUMBER(P527))),"Balance increased but no Deferred_interest reported",IF(L527&gt;R527,"Reported balance higher than expected (missing increase/OC build)","Reported balance lower than expected (missing decrease)"))))),""))</f>
        <v/>
      </c>
    </row>
    <row r="528" customFormat="false" ht="15" hidden="false" customHeight="false" outlineLevel="0" collapsed="false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9"/>
      <c r="L528" s="9"/>
      <c r="M528" s="9"/>
      <c r="N528" s="9"/>
      <c r="O528" s="9"/>
      <c r="P528" s="9"/>
      <c r="Q528" s="9"/>
      <c r="R528" s="9" t="str">
        <f aca="false">IF(AND(A528&lt;&gt;"",ISNUMBER(Q528),ISNUMBER(L528)),ROUND(Q528-IF(ISNUMBER(N528),N528,0)-IF(ISNUMBER(O528),O528,0)+IF(ISNUMBER(P528),P528,0),2),"")</f>
        <v/>
      </c>
      <c r="S528" s="9" t="str">
        <f aca="false">IF(R528="","",ROUND(L528-R528,2))</f>
        <v/>
      </c>
      <c r="T528" s="8" t="str">
        <f aca="false">IF(A528="","",IF(S528="","BYPASS",IF(ABS(S528)&lt;=Summary!$B$2,"PASS","FAIL")))</f>
        <v/>
      </c>
      <c r="U528" s="8" t="str">
        <f aca="false">IF(T528="BYPASS",IF(NOT(ISNUMBER(Q528)),"PreV_ETB missing","End_tr_balance missing"),IF(T528="FAIL",IF(AND(ISNUMBER(K528),ISNUMBER(L528),ABS(L528-(K528-IF(ISNUMBER(N528),N528,0)-IF(ISNUMBER(O528),O528,0)+IF(ISNUMBER(P528),P528,0)))&lt;=Summary!$B$2),"Passes using beginning_balance - PreV_ETB differs from beginning_balance",IF(AND(ISNUMBER(O528),O528&lt;0,ABS(L528-(Q528-IF(ISNUMBER(N528),N528,0)+IF(ISNUMBER(P528),P528,0)))&lt;=Summary!$B$2),"Negative realized loss not applied - check sign",IF(R528&lt;0,"Principal paid exceeds prior balance",IF(AND(L528&gt;Q528,NOT(ISNUMBER(P528))),"Balance increased but no Deferred_interest reported",IF(L528&gt;R528,"Reported balance higher than expected (missing increase/OC build)","Reported balance lower than expected (missing decrease)"))))),""))</f>
        <v/>
      </c>
    </row>
    <row r="529" customFormat="false" ht="15" hidden="false" customHeight="false" outlineLevel="0" collapsed="false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9"/>
      <c r="L529" s="9"/>
      <c r="M529" s="9"/>
      <c r="N529" s="9"/>
      <c r="O529" s="9"/>
      <c r="P529" s="9"/>
      <c r="Q529" s="9"/>
      <c r="R529" s="9" t="str">
        <f aca="false">IF(AND(A529&lt;&gt;"",ISNUMBER(Q529),ISNUMBER(L529)),ROUND(Q529-IF(ISNUMBER(N529),N529,0)-IF(ISNUMBER(O529),O529,0)+IF(ISNUMBER(P529),P529,0),2),"")</f>
        <v/>
      </c>
      <c r="S529" s="9" t="str">
        <f aca="false">IF(R529="","",ROUND(L529-R529,2))</f>
        <v/>
      </c>
      <c r="T529" s="8" t="str">
        <f aca="false">IF(A529="","",IF(S529="","BYPASS",IF(ABS(S529)&lt;=Summary!$B$2,"PASS","FAIL")))</f>
        <v/>
      </c>
      <c r="U529" s="8" t="str">
        <f aca="false">IF(T529="BYPASS",IF(NOT(ISNUMBER(Q529)),"PreV_ETB missing","End_tr_balance missing"),IF(T529="FAIL",IF(AND(ISNUMBER(K529),ISNUMBER(L529),ABS(L529-(K529-IF(ISNUMBER(N529),N529,0)-IF(ISNUMBER(O529),O529,0)+IF(ISNUMBER(P529),P529,0)))&lt;=Summary!$B$2),"Passes using beginning_balance - PreV_ETB differs from beginning_balance",IF(AND(ISNUMBER(O529),O529&lt;0,ABS(L529-(Q529-IF(ISNUMBER(N529),N529,0)+IF(ISNUMBER(P529),P529,0)))&lt;=Summary!$B$2),"Negative realized loss not applied - check sign",IF(R529&lt;0,"Principal paid exceeds prior balance",IF(AND(L529&gt;Q529,NOT(ISNUMBER(P529))),"Balance increased but no Deferred_interest reported",IF(L529&gt;R529,"Reported balance higher than expected (missing increase/OC build)","Reported balance lower than expected (missing decrease)"))))),""))</f>
        <v/>
      </c>
    </row>
    <row r="530" customFormat="false" ht="15" hidden="false" customHeight="false" outlineLevel="0" collapsed="false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9"/>
      <c r="L530" s="9"/>
      <c r="M530" s="9"/>
      <c r="N530" s="9"/>
      <c r="O530" s="9"/>
      <c r="P530" s="9"/>
      <c r="Q530" s="9"/>
      <c r="R530" s="9" t="str">
        <f aca="false">IF(AND(A530&lt;&gt;"",ISNUMBER(Q530),ISNUMBER(L530)),ROUND(Q530-IF(ISNUMBER(N530),N530,0)-IF(ISNUMBER(O530),O530,0)+IF(ISNUMBER(P530),P530,0),2),"")</f>
        <v/>
      </c>
      <c r="S530" s="9" t="str">
        <f aca="false">IF(R530="","",ROUND(L530-R530,2))</f>
        <v/>
      </c>
      <c r="T530" s="8" t="str">
        <f aca="false">IF(A530="","",IF(S530="","BYPASS",IF(ABS(S530)&lt;=Summary!$B$2,"PASS","FAIL")))</f>
        <v/>
      </c>
      <c r="U530" s="8" t="str">
        <f aca="false">IF(T530="BYPASS",IF(NOT(ISNUMBER(Q530)),"PreV_ETB missing","End_tr_balance missing"),IF(T530="FAIL",IF(AND(ISNUMBER(K530),ISNUMBER(L530),ABS(L530-(K530-IF(ISNUMBER(N530),N530,0)-IF(ISNUMBER(O530),O530,0)+IF(ISNUMBER(P530),P530,0)))&lt;=Summary!$B$2),"Passes using beginning_balance - PreV_ETB differs from beginning_balance",IF(AND(ISNUMBER(O530),O530&lt;0,ABS(L530-(Q530-IF(ISNUMBER(N530),N530,0)+IF(ISNUMBER(P530),P530,0)))&lt;=Summary!$B$2),"Negative realized loss not applied - check sign",IF(R530&lt;0,"Principal paid exceeds prior balance",IF(AND(L530&gt;Q530,NOT(ISNUMBER(P530))),"Balance increased but no Deferred_interest reported",IF(L530&gt;R530,"Reported balance higher than expected (missing increase/OC build)","Reported balance lower than expected (missing decrease)"))))),""))</f>
        <v/>
      </c>
    </row>
    <row r="531" customFormat="false" ht="15" hidden="false" customHeight="false" outlineLevel="0" collapsed="false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9"/>
      <c r="L531" s="9"/>
      <c r="M531" s="9"/>
      <c r="N531" s="9"/>
      <c r="O531" s="9"/>
      <c r="P531" s="9"/>
      <c r="Q531" s="9"/>
      <c r="R531" s="9" t="str">
        <f aca="false">IF(AND(A531&lt;&gt;"",ISNUMBER(Q531),ISNUMBER(L531)),ROUND(Q531-IF(ISNUMBER(N531),N531,0)-IF(ISNUMBER(O531),O531,0)+IF(ISNUMBER(P531),P531,0),2),"")</f>
        <v/>
      </c>
      <c r="S531" s="9" t="str">
        <f aca="false">IF(R531="","",ROUND(L531-R531,2))</f>
        <v/>
      </c>
      <c r="T531" s="8" t="str">
        <f aca="false">IF(A531="","",IF(S531="","BYPASS",IF(ABS(S531)&lt;=Summary!$B$2,"PASS","FAIL")))</f>
        <v/>
      </c>
      <c r="U531" s="8" t="str">
        <f aca="false">IF(T531="BYPASS",IF(NOT(ISNUMBER(Q531)),"PreV_ETB missing","End_tr_balance missing"),IF(T531="FAIL",IF(AND(ISNUMBER(K531),ISNUMBER(L531),ABS(L531-(K531-IF(ISNUMBER(N531),N531,0)-IF(ISNUMBER(O531),O531,0)+IF(ISNUMBER(P531),P531,0)))&lt;=Summary!$B$2),"Passes using beginning_balance - PreV_ETB differs from beginning_balance",IF(AND(ISNUMBER(O531),O531&lt;0,ABS(L531-(Q531-IF(ISNUMBER(N531),N531,0)+IF(ISNUMBER(P531),P531,0)))&lt;=Summary!$B$2),"Negative realized loss not applied - check sign",IF(R531&lt;0,"Principal paid exceeds prior balance",IF(AND(L531&gt;Q531,NOT(ISNUMBER(P531))),"Balance increased but no Deferred_interest reported",IF(L531&gt;R531,"Reported balance higher than expected (missing increase/OC build)","Reported balance lower than expected (missing decrease)"))))),""))</f>
        <v/>
      </c>
    </row>
    <row r="532" customFormat="false" ht="15" hidden="false" customHeight="false" outlineLevel="0" collapsed="false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9"/>
      <c r="L532" s="9"/>
      <c r="M532" s="9"/>
      <c r="N532" s="9"/>
      <c r="O532" s="9"/>
      <c r="P532" s="9"/>
      <c r="Q532" s="9"/>
      <c r="R532" s="9" t="str">
        <f aca="false">IF(AND(A532&lt;&gt;"",ISNUMBER(Q532),ISNUMBER(L532)),ROUND(Q532-IF(ISNUMBER(N532),N532,0)-IF(ISNUMBER(O532),O532,0)+IF(ISNUMBER(P532),P532,0),2),"")</f>
        <v/>
      </c>
      <c r="S532" s="9" t="str">
        <f aca="false">IF(R532="","",ROUND(L532-R532,2))</f>
        <v/>
      </c>
      <c r="T532" s="8" t="str">
        <f aca="false">IF(A532="","",IF(S532="","BYPASS",IF(ABS(S532)&lt;=Summary!$B$2,"PASS","FAIL")))</f>
        <v/>
      </c>
      <c r="U532" s="8" t="str">
        <f aca="false">IF(T532="BYPASS",IF(NOT(ISNUMBER(Q532)),"PreV_ETB missing","End_tr_balance missing"),IF(T532="FAIL",IF(AND(ISNUMBER(K532),ISNUMBER(L532),ABS(L532-(K532-IF(ISNUMBER(N532),N532,0)-IF(ISNUMBER(O532),O532,0)+IF(ISNUMBER(P532),P532,0)))&lt;=Summary!$B$2),"Passes using beginning_balance - PreV_ETB differs from beginning_balance",IF(AND(ISNUMBER(O532),O532&lt;0,ABS(L532-(Q532-IF(ISNUMBER(N532),N532,0)+IF(ISNUMBER(P532),P532,0)))&lt;=Summary!$B$2),"Negative realized loss not applied - check sign",IF(R532&lt;0,"Principal paid exceeds prior balance",IF(AND(L532&gt;Q532,NOT(ISNUMBER(P532))),"Balance increased but no Deferred_interest reported",IF(L532&gt;R532,"Reported balance higher than expected (missing increase/OC build)","Reported balance lower than expected (missing decrease)"))))),""))</f>
        <v/>
      </c>
    </row>
    <row r="533" customFormat="false" ht="15" hidden="false" customHeight="false" outlineLevel="0" collapsed="false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9"/>
      <c r="L533" s="9"/>
      <c r="M533" s="9"/>
      <c r="N533" s="9"/>
      <c r="O533" s="9"/>
      <c r="P533" s="9"/>
      <c r="Q533" s="9"/>
      <c r="R533" s="9" t="str">
        <f aca="false">IF(AND(A533&lt;&gt;"",ISNUMBER(Q533),ISNUMBER(L533)),ROUND(Q533-IF(ISNUMBER(N533),N533,0)-IF(ISNUMBER(O533),O533,0)+IF(ISNUMBER(P533),P533,0),2),"")</f>
        <v/>
      </c>
      <c r="S533" s="9" t="str">
        <f aca="false">IF(R533="","",ROUND(L533-R533,2))</f>
        <v/>
      </c>
      <c r="T533" s="8" t="str">
        <f aca="false">IF(A533="","",IF(S533="","BYPASS",IF(ABS(S533)&lt;=Summary!$B$2,"PASS","FAIL")))</f>
        <v/>
      </c>
      <c r="U533" s="8" t="str">
        <f aca="false">IF(T533="BYPASS",IF(NOT(ISNUMBER(Q533)),"PreV_ETB missing","End_tr_balance missing"),IF(T533="FAIL",IF(AND(ISNUMBER(K533),ISNUMBER(L533),ABS(L533-(K533-IF(ISNUMBER(N533),N533,0)-IF(ISNUMBER(O533),O533,0)+IF(ISNUMBER(P533),P533,0)))&lt;=Summary!$B$2),"Passes using beginning_balance - PreV_ETB differs from beginning_balance",IF(AND(ISNUMBER(O533),O533&lt;0,ABS(L533-(Q533-IF(ISNUMBER(N533),N533,0)+IF(ISNUMBER(P533),P533,0)))&lt;=Summary!$B$2),"Negative realized loss not applied - check sign",IF(R533&lt;0,"Principal paid exceeds prior balance",IF(AND(L533&gt;Q533,NOT(ISNUMBER(P533))),"Balance increased but no Deferred_interest reported",IF(L533&gt;R533,"Reported balance higher than expected (missing increase/OC build)","Reported balance lower than expected (missing decrease)"))))),""))</f>
        <v/>
      </c>
    </row>
    <row r="534" customFormat="false" ht="15" hidden="false" customHeight="false" outlineLevel="0" collapsed="false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9"/>
      <c r="L534" s="9"/>
      <c r="M534" s="9"/>
      <c r="N534" s="9"/>
      <c r="O534" s="9"/>
      <c r="P534" s="9"/>
      <c r="Q534" s="9"/>
      <c r="R534" s="9" t="str">
        <f aca="false">IF(AND(A534&lt;&gt;"",ISNUMBER(Q534),ISNUMBER(L534)),ROUND(Q534-IF(ISNUMBER(N534),N534,0)-IF(ISNUMBER(O534),O534,0)+IF(ISNUMBER(P534),P534,0),2),"")</f>
        <v/>
      </c>
      <c r="S534" s="9" t="str">
        <f aca="false">IF(R534="","",ROUND(L534-R534,2))</f>
        <v/>
      </c>
      <c r="T534" s="8" t="str">
        <f aca="false">IF(A534="","",IF(S534="","BYPASS",IF(ABS(S534)&lt;=Summary!$B$2,"PASS","FAIL")))</f>
        <v/>
      </c>
      <c r="U534" s="8" t="str">
        <f aca="false">IF(T534="BYPASS",IF(NOT(ISNUMBER(Q534)),"PreV_ETB missing","End_tr_balance missing"),IF(T534="FAIL",IF(AND(ISNUMBER(K534),ISNUMBER(L534),ABS(L534-(K534-IF(ISNUMBER(N534),N534,0)-IF(ISNUMBER(O534),O534,0)+IF(ISNUMBER(P534),P534,0)))&lt;=Summary!$B$2),"Passes using beginning_balance - PreV_ETB differs from beginning_balance",IF(AND(ISNUMBER(O534),O534&lt;0,ABS(L534-(Q534-IF(ISNUMBER(N534),N534,0)+IF(ISNUMBER(P534),P534,0)))&lt;=Summary!$B$2),"Negative realized loss not applied - check sign",IF(R534&lt;0,"Principal paid exceeds prior balance",IF(AND(L534&gt;Q534,NOT(ISNUMBER(P534))),"Balance increased but no Deferred_interest reported",IF(L534&gt;R534,"Reported balance higher than expected (missing increase/OC build)","Reported balance lower than expected (missing decrease)"))))),""))</f>
        <v/>
      </c>
    </row>
    <row r="535" customFormat="false" ht="15" hidden="false" customHeight="false" outlineLevel="0" collapsed="false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9"/>
      <c r="L535" s="9"/>
      <c r="M535" s="9"/>
      <c r="N535" s="9"/>
      <c r="O535" s="9"/>
      <c r="P535" s="9"/>
      <c r="Q535" s="9"/>
      <c r="R535" s="9" t="str">
        <f aca="false">IF(AND(A535&lt;&gt;"",ISNUMBER(Q535),ISNUMBER(L535)),ROUND(Q535-IF(ISNUMBER(N535),N535,0)-IF(ISNUMBER(O535),O535,0)+IF(ISNUMBER(P535),P535,0),2),"")</f>
        <v/>
      </c>
      <c r="S535" s="9" t="str">
        <f aca="false">IF(R535="","",ROUND(L535-R535,2))</f>
        <v/>
      </c>
      <c r="T535" s="8" t="str">
        <f aca="false">IF(A535="","",IF(S535="","BYPASS",IF(ABS(S535)&lt;=Summary!$B$2,"PASS","FAIL")))</f>
        <v/>
      </c>
      <c r="U535" s="8" t="str">
        <f aca="false">IF(T535="BYPASS",IF(NOT(ISNUMBER(Q535)),"PreV_ETB missing","End_tr_balance missing"),IF(T535="FAIL",IF(AND(ISNUMBER(K535),ISNUMBER(L535),ABS(L535-(K535-IF(ISNUMBER(N535),N535,0)-IF(ISNUMBER(O535),O535,0)+IF(ISNUMBER(P535),P535,0)))&lt;=Summary!$B$2),"Passes using beginning_balance - PreV_ETB differs from beginning_balance",IF(AND(ISNUMBER(O535),O535&lt;0,ABS(L535-(Q535-IF(ISNUMBER(N535),N535,0)+IF(ISNUMBER(P535),P535,0)))&lt;=Summary!$B$2),"Negative realized loss not applied - check sign",IF(R535&lt;0,"Principal paid exceeds prior balance",IF(AND(L535&gt;Q535,NOT(ISNUMBER(P535))),"Balance increased but no Deferred_interest reported",IF(L535&gt;R535,"Reported balance higher than expected (missing increase/OC build)","Reported balance lower than expected (missing decrease)"))))),""))</f>
        <v/>
      </c>
    </row>
    <row r="536" customFormat="false" ht="15" hidden="false" customHeight="false" outlineLevel="0" collapsed="false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9"/>
      <c r="L536" s="9"/>
      <c r="M536" s="9"/>
      <c r="N536" s="9"/>
      <c r="O536" s="9"/>
      <c r="P536" s="9"/>
      <c r="Q536" s="9"/>
      <c r="R536" s="9" t="str">
        <f aca="false">IF(AND(A536&lt;&gt;"",ISNUMBER(Q536),ISNUMBER(L536)),ROUND(Q536-IF(ISNUMBER(N536),N536,0)-IF(ISNUMBER(O536),O536,0)+IF(ISNUMBER(P536),P536,0),2),"")</f>
        <v/>
      </c>
      <c r="S536" s="9" t="str">
        <f aca="false">IF(R536="","",ROUND(L536-R536,2))</f>
        <v/>
      </c>
      <c r="T536" s="8" t="str">
        <f aca="false">IF(A536="","",IF(S536="","BYPASS",IF(ABS(S536)&lt;=Summary!$B$2,"PASS","FAIL")))</f>
        <v/>
      </c>
      <c r="U536" s="8" t="str">
        <f aca="false">IF(T536="BYPASS",IF(NOT(ISNUMBER(Q536)),"PreV_ETB missing","End_tr_balance missing"),IF(T536="FAIL",IF(AND(ISNUMBER(K536),ISNUMBER(L536),ABS(L536-(K536-IF(ISNUMBER(N536),N536,0)-IF(ISNUMBER(O536),O536,0)+IF(ISNUMBER(P536),P536,0)))&lt;=Summary!$B$2),"Passes using beginning_balance - PreV_ETB differs from beginning_balance",IF(AND(ISNUMBER(O536),O536&lt;0,ABS(L536-(Q536-IF(ISNUMBER(N536),N536,0)+IF(ISNUMBER(P536),P536,0)))&lt;=Summary!$B$2),"Negative realized loss not applied - check sign",IF(R536&lt;0,"Principal paid exceeds prior balance",IF(AND(L536&gt;Q536,NOT(ISNUMBER(P536))),"Balance increased but no Deferred_interest reported",IF(L536&gt;R536,"Reported balance higher than expected (missing increase/OC build)","Reported balance lower than expected (missing decrease)"))))),""))</f>
        <v/>
      </c>
    </row>
    <row r="537" customFormat="false" ht="15" hidden="false" customHeight="false" outlineLevel="0" collapsed="false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9"/>
      <c r="L537" s="9"/>
      <c r="M537" s="9"/>
      <c r="N537" s="9"/>
      <c r="O537" s="9"/>
      <c r="P537" s="9"/>
      <c r="Q537" s="9"/>
      <c r="R537" s="9" t="str">
        <f aca="false">IF(AND(A537&lt;&gt;"",ISNUMBER(Q537),ISNUMBER(L537)),ROUND(Q537-IF(ISNUMBER(N537),N537,0)-IF(ISNUMBER(O537),O537,0)+IF(ISNUMBER(P537),P537,0),2),"")</f>
        <v/>
      </c>
      <c r="S537" s="9" t="str">
        <f aca="false">IF(R537="","",ROUND(L537-R537,2))</f>
        <v/>
      </c>
      <c r="T537" s="8" t="str">
        <f aca="false">IF(A537="","",IF(S537="","BYPASS",IF(ABS(S537)&lt;=Summary!$B$2,"PASS","FAIL")))</f>
        <v/>
      </c>
      <c r="U537" s="8" t="str">
        <f aca="false">IF(T537="BYPASS",IF(NOT(ISNUMBER(Q537)),"PreV_ETB missing","End_tr_balance missing"),IF(T537="FAIL",IF(AND(ISNUMBER(K537),ISNUMBER(L537),ABS(L537-(K537-IF(ISNUMBER(N537),N537,0)-IF(ISNUMBER(O537),O537,0)+IF(ISNUMBER(P537),P537,0)))&lt;=Summary!$B$2),"Passes using beginning_balance - PreV_ETB differs from beginning_balance",IF(AND(ISNUMBER(O537),O537&lt;0,ABS(L537-(Q537-IF(ISNUMBER(N537),N537,0)+IF(ISNUMBER(P537),P537,0)))&lt;=Summary!$B$2),"Negative realized loss not applied - check sign",IF(R537&lt;0,"Principal paid exceeds prior balance",IF(AND(L537&gt;Q537,NOT(ISNUMBER(P537))),"Balance increased but no Deferred_interest reported",IF(L537&gt;R537,"Reported balance higher than expected (missing increase/OC build)","Reported balance lower than expected (missing decrease)"))))),""))</f>
        <v/>
      </c>
    </row>
    <row r="538" customFormat="false" ht="15" hidden="false" customHeight="false" outlineLevel="0" collapsed="false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9"/>
      <c r="L538" s="9"/>
      <c r="M538" s="9"/>
      <c r="N538" s="9"/>
      <c r="O538" s="9"/>
      <c r="P538" s="9"/>
      <c r="Q538" s="9"/>
      <c r="R538" s="9" t="str">
        <f aca="false">IF(AND(A538&lt;&gt;"",ISNUMBER(Q538),ISNUMBER(L538)),ROUND(Q538-IF(ISNUMBER(N538),N538,0)-IF(ISNUMBER(O538),O538,0)+IF(ISNUMBER(P538),P538,0),2),"")</f>
        <v/>
      </c>
      <c r="S538" s="9" t="str">
        <f aca="false">IF(R538="","",ROUND(L538-R538,2))</f>
        <v/>
      </c>
      <c r="T538" s="8" t="str">
        <f aca="false">IF(A538="","",IF(S538="","BYPASS",IF(ABS(S538)&lt;=Summary!$B$2,"PASS","FAIL")))</f>
        <v/>
      </c>
      <c r="U538" s="8" t="str">
        <f aca="false">IF(T538="BYPASS",IF(NOT(ISNUMBER(Q538)),"PreV_ETB missing","End_tr_balance missing"),IF(T538="FAIL",IF(AND(ISNUMBER(K538),ISNUMBER(L538),ABS(L538-(K538-IF(ISNUMBER(N538),N538,0)-IF(ISNUMBER(O538),O538,0)+IF(ISNUMBER(P538),P538,0)))&lt;=Summary!$B$2),"Passes using beginning_balance - PreV_ETB differs from beginning_balance",IF(AND(ISNUMBER(O538),O538&lt;0,ABS(L538-(Q538-IF(ISNUMBER(N538),N538,0)+IF(ISNUMBER(P538),P538,0)))&lt;=Summary!$B$2),"Negative realized loss not applied - check sign",IF(R538&lt;0,"Principal paid exceeds prior balance",IF(AND(L538&gt;Q538,NOT(ISNUMBER(P538))),"Balance increased but no Deferred_interest reported",IF(L538&gt;R538,"Reported balance higher than expected (missing increase/OC build)","Reported balance lower than expected (missing decrease)"))))),""))</f>
        <v/>
      </c>
    </row>
    <row r="539" customFormat="false" ht="15" hidden="false" customHeight="false" outlineLevel="0" collapsed="false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9"/>
      <c r="L539" s="9"/>
      <c r="M539" s="9"/>
      <c r="N539" s="9"/>
      <c r="O539" s="9"/>
      <c r="P539" s="9"/>
      <c r="Q539" s="9"/>
      <c r="R539" s="9" t="str">
        <f aca="false">IF(AND(A539&lt;&gt;"",ISNUMBER(Q539),ISNUMBER(L539)),ROUND(Q539-IF(ISNUMBER(N539),N539,0)-IF(ISNUMBER(O539),O539,0)+IF(ISNUMBER(P539),P539,0),2),"")</f>
        <v/>
      </c>
      <c r="S539" s="9" t="str">
        <f aca="false">IF(R539="","",ROUND(L539-R539,2))</f>
        <v/>
      </c>
      <c r="T539" s="8" t="str">
        <f aca="false">IF(A539="","",IF(S539="","BYPASS",IF(ABS(S539)&lt;=Summary!$B$2,"PASS","FAIL")))</f>
        <v/>
      </c>
      <c r="U539" s="8" t="str">
        <f aca="false">IF(T539="BYPASS",IF(NOT(ISNUMBER(Q539)),"PreV_ETB missing","End_tr_balance missing"),IF(T539="FAIL",IF(AND(ISNUMBER(K539),ISNUMBER(L539),ABS(L539-(K539-IF(ISNUMBER(N539),N539,0)-IF(ISNUMBER(O539),O539,0)+IF(ISNUMBER(P539),P539,0)))&lt;=Summary!$B$2),"Passes using beginning_balance - PreV_ETB differs from beginning_balance",IF(AND(ISNUMBER(O539),O539&lt;0,ABS(L539-(Q539-IF(ISNUMBER(N539),N539,0)+IF(ISNUMBER(P539),P539,0)))&lt;=Summary!$B$2),"Negative realized loss not applied - check sign",IF(R539&lt;0,"Principal paid exceeds prior balance",IF(AND(L539&gt;Q539,NOT(ISNUMBER(P539))),"Balance increased but no Deferred_interest reported",IF(L539&gt;R539,"Reported balance higher than expected (missing increase/OC build)","Reported balance lower than expected (missing decrease)"))))),""))</f>
        <v/>
      </c>
    </row>
    <row r="540" customFormat="false" ht="15" hidden="false" customHeight="false" outlineLevel="0" collapsed="false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9"/>
      <c r="L540" s="9"/>
      <c r="M540" s="9"/>
      <c r="N540" s="9"/>
      <c r="O540" s="9"/>
      <c r="P540" s="9"/>
      <c r="Q540" s="9"/>
      <c r="R540" s="9" t="str">
        <f aca="false">IF(AND(A540&lt;&gt;"",ISNUMBER(Q540),ISNUMBER(L540)),ROUND(Q540-IF(ISNUMBER(N540),N540,0)-IF(ISNUMBER(O540),O540,0)+IF(ISNUMBER(P540),P540,0),2),"")</f>
        <v/>
      </c>
      <c r="S540" s="9" t="str">
        <f aca="false">IF(R540="","",ROUND(L540-R540,2))</f>
        <v/>
      </c>
      <c r="T540" s="8" t="str">
        <f aca="false">IF(A540="","",IF(S540="","BYPASS",IF(ABS(S540)&lt;=Summary!$B$2,"PASS","FAIL")))</f>
        <v/>
      </c>
      <c r="U540" s="8" t="str">
        <f aca="false">IF(T540="BYPASS",IF(NOT(ISNUMBER(Q540)),"PreV_ETB missing","End_tr_balance missing"),IF(T540="FAIL",IF(AND(ISNUMBER(K540),ISNUMBER(L540),ABS(L540-(K540-IF(ISNUMBER(N540),N540,0)-IF(ISNUMBER(O540),O540,0)+IF(ISNUMBER(P540),P540,0)))&lt;=Summary!$B$2),"Passes using beginning_balance - PreV_ETB differs from beginning_balance",IF(AND(ISNUMBER(O540),O540&lt;0,ABS(L540-(Q540-IF(ISNUMBER(N540),N540,0)+IF(ISNUMBER(P540),P540,0)))&lt;=Summary!$B$2),"Negative realized loss not applied - check sign",IF(R540&lt;0,"Principal paid exceeds prior balance",IF(AND(L540&gt;Q540,NOT(ISNUMBER(P540))),"Balance increased but no Deferred_interest reported",IF(L540&gt;R540,"Reported balance higher than expected (missing increase/OC build)","Reported balance lower than expected (missing decrease)"))))),""))</f>
        <v/>
      </c>
    </row>
    <row r="541" customFormat="false" ht="15" hidden="false" customHeight="false" outlineLevel="0" collapsed="false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9"/>
      <c r="L541" s="9"/>
      <c r="M541" s="9"/>
      <c r="N541" s="9"/>
      <c r="O541" s="9"/>
      <c r="P541" s="9"/>
      <c r="Q541" s="9"/>
      <c r="R541" s="9" t="str">
        <f aca="false">IF(AND(A541&lt;&gt;"",ISNUMBER(Q541),ISNUMBER(L541)),ROUND(Q541-IF(ISNUMBER(N541),N541,0)-IF(ISNUMBER(O541),O541,0)+IF(ISNUMBER(P541),P541,0),2),"")</f>
        <v/>
      </c>
      <c r="S541" s="9" t="str">
        <f aca="false">IF(R541="","",ROUND(L541-R541,2))</f>
        <v/>
      </c>
      <c r="T541" s="8" t="str">
        <f aca="false">IF(A541="","",IF(S541="","BYPASS",IF(ABS(S541)&lt;=Summary!$B$2,"PASS","FAIL")))</f>
        <v/>
      </c>
      <c r="U541" s="8" t="str">
        <f aca="false">IF(T541="BYPASS",IF(NOT(ISNUMBER(Q541)),"PreV_ETB missing","End_tr_balance missing"),IF(T541="FAIL",IF(AND(ISNUMBER(K541),ISNUMBER(L541),ABS(L541-(K541-IF(ISNUMBER(N541),N541,0)-IF(ISNUMBER(O541),O541,0)+IF(ISNUMBER(P541),P541,0)))&lt;=Summary!$B$2),"Passes using beginning_balance - PreV_ETB differs from beginning_balance",IF(AND(ISNUMBER(O541),O541&lt;0,ABS(L541-(Q541-IF(ISNUMBER(N541),N541,0)+IF(ISNUMBER(P541),P541,0)))&lt;=Summary!$B$2),"Negative realized loss not applied - check sign",IF(R541&lt;0,"Principal paid exceeds prior balance",IF(AND(L541&gt;Q541,NOT(ISNUMBER(P541))),"Balance increased but no Deferred_interest reported",IF(L541&gt;R541,"Reported balance higher than expected (missing increase/OC build)","Reported balance lower than expected (missing decrease)"))))),""))</f>
        <v/>
      </c>
    </row>
    <row r="542" customFormat="false" ht="15" hidden="false" customHeight="false" outlineLevel="0" collapsed="false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9"/>
      <c r="L542" s="9"/>
      <c r="M542" s="9"/>
      <c r="N542" s="9"/>
      <c r="O542" s="9"/>
      <c r="P542" s="9"/>
      <c r="Q542" s="9"/>
      <c r="R542" s="9" t="str">
        <f aca="false">IF(AND(A542&lt;&gt;"",ISNUMBER(Q542),ISNUMBER(L542)),ROUND(Q542-IF(ISNUMBER(N542),N542,0)-IF(ISNUMBER(O542),O542,0)+IF(ISNUMBER(P542),P542,0),2),"")</f>
        <v/>
      </c>
      <c r="S542" s="9" t="str">
        <f aca="false">IF(R542="","",ROUND(L542-R542,2))</f>
        <v/>
      </c>
      <c r="T542" s="8" t="str">
        <f aca="false">IF(A542="","",IF(S542="","BYPASS",IF(ABS(S542)&lt;=Summary!$B$2,"PASS","FAIL")))</f>
        <v/>
      </c>
      <c r="U542" s="8" t="str">
        <f aca="false">IF(T542="BYPASS",IF(NOT(ISNUMBER(Q542)),"PreV_ETB missing","End_tr_balance missing"),IF(T542="FAIL",IF(AND(ISNUMBER(K542),ISNUMBER(L542),ABS(L542-(K542-IF(ISNUMBER(N542),N542,0)-IF(ISNUMBER(O542),O542,0)+IF(ISNUMBER(P542),P542,0)))&lt;=Summary!$B$2),"Passes using beginning_balance - PreV_ETB differs from beginning_balance",IF(AND(ISNUMBER(O542),O542&lt;0,ABS(L542-(Q542-IF(ISNUMBER(N542),N542,0)+IF(ISNUMBER(P542),P542,0)))&lt;=Summary!$B$2),"Negative realized loss not applied - check sign",IF(R542&lt;0,"Principal paid exceeds prior balance",IF(AND(L542&gt;Q542,NOT(ISNUMBER(P542))),"Balance increased but no Deferred_interest reported",IF(L542&gt;R542,"Reported balance higher than expected (missing increase/OC build)","Reported balance lower than expected (missing decrease)"))))),""))</f>
        <v/>
      </c>
    </row>
    <row r="543" customFormat="false" ht="15" hidden="false" customHeight="false" outlineLevel="0" collapsed="false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9"/>
      <c r="L543" s="9"/>
      <c r="M543" s="9"/>
      <c r="N543" s="9"/>
      <c r="O543" s="9"/>
      <c r="P543" s="9"/>
      <c r="Q543" s="9"/>
      <c r="R543" s="9" t="str">
        <f aca="false">IF(AND(A543&lt;&gt;"",ISNUMBER(Q543),ISNUMBER(L543)),ROUND(Q543-IF(ISNUMBER(N543),N543,0)-IF(ISNUMBER(O543),O543,0)+IF(ISNUMBER(P543),P543,0),2),"")</f>
        <v/>
      </c>
      <c r="S543" s="9" t="str">
        <f aca="false">IF(R543="","",ROUND(L543-R543,2))</f>
        <v/>
      </c>
      <c r="T543" s="8" t="str">
        <f aca="false">IF(A543="","",IF(S543="","BYPASS",IF(ABS(S543)&lt;=Summary!$B$2,"PASS","FAIL")))</f>
        <v/>
      </c>
      <c r="U543" s="8" t="str">
        <f aca="false">IF(T543="BYPASS",IF(NOT(ISNUMBER(Q543)),"PreV_ETB missing","End_tr_balance missing"),IF(T543="FAIL",IF(AND(ISNUMBER(K543),ISNUMBER(L543),ABS(L543-(K543-IF(ISNUMBER(N543),N543,0)-IF(ISNUMBER(O543),O543,0)+IF(ISNUMBER(P543),P543,0)))&lt;=Summary!$B$2),"Passes using beginning_balance - PreV_ETB differs from beginning_balance",IF(AND(ISNUMBER(O543),O543&lt;0,ABS(L543-(Q543-IF(ISNUMBER(N543),N543,0)+IF(ISNUMBER(P543),P543,0)))&lt;=Summary!$B$2),"Negative realized loss not applied - check sign",IF(R543&lt;0,"Principal paid exceeds prior balance",IF(AND(L543&gt;Q543,NOT(ISNUMBER(P543))),"Balance increased but no Deferred_interest reported",IF(L543&gt;R543,"Reported balance higher than expected (missing increase/OC build)","Reported balance lower than expected (missing decrease)"))))),""))</f>
        <v/>
      </c>
    </row>
    <row r="544" customFormat="false" ht="15" hidden="false" customHeight="false" outlineLevel="0" collapsed="false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9"/>
      <c r="L544" s="9"/>
      <c r="M544" s="9"/>
      <c r="N544" s="9"/>
      <c r="O544" s="9"/>
      <c r="P544" s="9"/>
      <c r="Q544" s="9"/>
      <c r="R544" s="9" t="str">
        <f aca="false">IF(AND(A544&lt;&gt;"",ISNUMBER(Q544),ISNUMBER(L544)),ROUND(Q544-IF(ISNUMBER(N544),N544,0)-IF(ISNUMBER(O544),O544,0)+IF(ISNUMBER(P544),P544,0),2),"")</f>
        <v/>
      </c>
      <c r="S544" s="9" t="str">
        <f aca="false">IF(R544="","",ROUND(L544-R544,2))</f>
        <v/>
      </c>
      <c r="T544" s="8" t="str">
        <f aca="false">IF(A544="","",IF(S544="","BYPASS",IF(ABS(S544)&lt;=Summary!$B$2,"PASS","FAIL")))</f>
        <v/>
      </c>
      <c r="U544" s="8" t="str">
        <f aca="false">IF(T544="BYPASS",IF(NOT(ISNUMBER(Q544)),"PreV_ETB missing","End_tr_balance missing"),IF(T544="FAIL",IF(AND(ISNUMBER(K544),ISNUMBER(L544),ABS(L544-(K544-IF(ISNUMBER(N544),N544,0)-IF(ISNUMBER(O544),O544,0)+IF(ISNUMBER(P544),P544,0)))&lt;=Summary!$B$2),"Passes using beginning_balance - PreV_ETB differs from beginning_balance",IF(AND(ISNUMBER(O544),O544&lt;0,ABS(L544-(Q544-IF(ISNUMBER(N544),N544,0)+IF(ISNUMBER(P544),P544,0)))&lt;=Summary!$B$2),"Negative realized loss not applied - check sign",IF(R544&lt;0,"Principal paid exceeds prior balance",IF(AND(L544&gt;Q544,NOT(ISNUMBER(P544))),"Balance increased but no Deferred_interest reported",IF(L544&gt;R544,"Reported balance higher than expected (missing increase/OC build)","Reported balance lower than expected (missing decrease)"))))),""))</f>
        <v/>
      </c>
    </row>
    <row r="545" customFormat="false" ht="15" hidden="false" customHeight="false" outlineLevel="0" collapsed="false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9"/>
      <c r="L545" s="9"/>
      <c r="M545" s="9"/>
      <c r="N545" s="9"/>
      <c r="O545" s="9"/>
      <c r="P545" s="9"/>
      <c r="Q545" s="9"/>
      <c r="R545" s="9" t="str">
        <f aca="false">IF(AND(A545&lt;&gt;"",ISNUMBER(Q545),ISNUMBER(L545)),ROUND(Q545-IF(ISNUMBER(N545),N545,0)-IF(ISNUMBER(O545),O545,0)+IF(ISNUMBER(P545),P545,0),2),"")</f>
        <v/>
      </c>
      <c r="S545" s="9" t="str">
        <f aca="false">IF(R545="","",ROUND(L545-R545,2))</f>
        <v/>
      </c>
      <c r="T545" s="8" t="str">
        <f aca="false">IF(A545="","",IF(S545="","BYPASS",IF(ABS(S545)&lt;=Summary!$B$2,"PASS","FAIL")))</f>
        <v/>
      </c>
      <c r="U545" s="8" t="str">
        <f aca="false">IF(T545="BYPASS",IF(NOT(ISNUMBER(Q545)),"PreV_ETB missing","End_tr_balance missing"),IF(T545="FAIL",IF(AND(ISNUMBER(K545),ISNUMBER(L545),ABS(L545-(K545-IF(ISNUMBER(N545),N545,0)-IF(ISNUMBER(O545),O545,0)+IF(ISNUMBER(P545),P545,0)))&lt;=Summary!$B$2),"Passes using beginning_balance - PreV_ETB differs from beginning_balance",IF(AND(ISNUMBER(O545),O545&lt;0,ABS(L545-(Q545-IF(ISNUMBER(N545),N545,0)+IF(ISNUMBER(P545),P545,0)))&lt;=Summary!$B$2),"Negative realized loss not applied - check sign",IF(R545&lt;0,"Principal paid exceeds prior balance",IF(AND(L545&gt;Q545,NOT(ISNUMBER(P545))),"Balance increased but no Deferred_interest reported",IF(L545&gt;R545,"Reported balance higher than expected (missing increase/OC build)","Reported balance lower than expected (missing decrease)"))))),""))</f>
        <v/>
      </c>
    </row>
    <row r="546" customFormat="false" ht="15" hidden="false" customHeight="false" outlineLevel="0" collapsed="false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9"/>
      <c r="L546" s="9"/>
      <c r="M546" s="9"/>
      <c r="N546" s="9"/>
      <c r="O546" s="9"/>
      <c r="P546" s="9"/>
      <c r="Q546" s="9"/>
      <c r="R546" s="9" t="str">
        <f aca="false">IF(AND(A546&lt;&gt;"",ISNUMBER(Q546),ISNUMBER(L546)),ROUND(Q546-IF(ISNUMBER(N546),N546,0)-IF(ISNUMBER(O546),O546,0)+IF(ISNUMBER(P546),P546,0),2),"")</f>
        <v/>
      </c>
      <c r="S546" s="9" t="str">
        <f aca="false">IF(R546="","",ROUND(L546-R546,2))</f>
        <v/>
      </c>
      <c r="T546" s="8" t="str">
        <f aca="false">IF(A546="","",IF(S546="","BYPASS",IF(ABS(S546)&lt;=Summary!$B$2,"PASS","FAIL")))</f>
        <v/>
      </c>
      <c r="U546" s="8" t="str">
        <f aca="false">IF(T546="BYPASS",IF(NOT(ISNUMBER(Q546)),"PreV_ETB missing","End_tr_balance missing"),IF(T546="FAIL",IF(AND(ISNUMBER(K546),ISNUMBER(L546),ABS(L546-(K546-IF(ISNUMBER(N546),N546,0)-IF(ISNUMBER(O546),O546,0)+IF(ISNUMBER(P546),P546,0)))&lt;=Summary!$B$2),"Passes using beginning_balance - PreV_ETB differs from beginning_balance",IF(AND(ISNUMBER(O546),O546&lt;0,ABS(L546-(Q546-IF(ISNUMBER(N546),N546,0)+IF(ISNUMBER(P546),P546,0)))&lt;=Summary!$B$2),"Negative realized loss not applied - check sign",IF(R546&lt;0,"Principal paid exceeds prior balance",IF(AND(L546&gt;Q546,NOT(ISNUMBER(P546))),"Balance increased but no Deferred_interest reported",IF(L546&gt;R546,"Reported balance higher than expected (missing increase/OC build)","Reported balance lower than expected (missing decrease)"))))),""))</f>
        <v/>
      </c>
    </row>
    <row r="547" customFormat="false" ht="15" hidden="false" customHeight="false" outlineLevel="0" collapsed="false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9"/>
      <c r="L547" s="9"/>
      <c r="M547" s="9"/>
      <c r="N547" s="9"/>
      <c r="O547" s="9"/>
      <c r="P547" s="9"/>
      <c r="Q547" s="9"/>
      <c r="R547" s="9" t="str">
        <f aca="false">IF(AND(A547&lt;&gt;"",ISNUMBER(Q547),ISNUMBER(L547)),ROUND(Q547-IF(ISNUMBER(N547),N547,0)-IF(ISNUMBER(O547),O547,0)+IF(ISNUMBER(P547),P547,0),2),"")</f>
        <v/>
      </c>
      <c r="S547" s="9" t="str">
        <f aca="false">IF(R547="","",ROUND(L547-R547,2))</f>
        <v/>
      </c>
      <c r="T547" s="8" t="str">
        <f aca="false">IF(A547="","",IF(S547="","BYPASS",IF(ABS(S547)&lt;=Summary!$B$2,"PASS","FAIL")))</f>
        <v/>
      </c>
      <c r="U547" s="8" t="str">
        <f aca="false">IF(T547="BYPASS",IF(NOT(ISNUMBER(Q547)),"PreV_ETB missing","End_tr_balance missing"),IF(T547="FAIL",IF(AND(ISNUMBER(K547),ISNUMBER(L547),ABS(L547-(K547-IF(ISNUMBER(N547),N547,0)-IF(ISNUMBER(O547),O547,0)+IF(ISNUMBER(P547),P547,0)))&lt;=Summary!$B$2),"Passes using beginning_balance - PreV_ETB differs from beginning_balance",IF(AND(ISNUMBER(O547),O547&lt;0,ABS(L547-(Q547-IF(ISNUMBER(N547),N547,0)+IF(ISNUMBER(P547),P547,0)))&lt;=Summary!$B$2),"Negative realized loss not applied - check sign",IF(R547&lt;0,"Principal paid exceeds prior balance",IF(AND(L547&gt;Q547,NOT(ISNUMBER(P547))),"Balance increased but no Deferred_interest reported",IF(L547&gt;R547,"Reported balance higher than expected (missing increase/OC build)","Reported balance lower than expected (missing decrease)"))))),""))</f>
        <v/>
      </c>
    </row>
    <row r="548" customFormat="false" ht="15" hidden="false" customHeight="false" outlineLevel="0" collapsed="false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9"/>
      <c r="L548" s="9"/>
      <c r="M548" s="9"/>
      <c r="N548" s="9"/>
      <c r="O548" s="9"/>
      <c r="P548" s="9"/>
      <c r="Q548" s="9"/>
      <c r="R548" s="9" t="str">
        <f aca="false">IF(AND(A548&lt;&gt;"",ISNUMBER(Q548),ISNUMBER(L548)),ROUND(Q548-IF(ISNUMBER(N548),N548,0)-IF(ISNUMBER(O548),O548,0)+IF(ISNUMBER(P548),P548,0),2),"")</f>
        <v/>
      </c>
      <c r="S548" s="9" t="str">
        <f aca="false">IF(R548="","",ROUND(L548-R548,2))</f>
        <v/>
      </c>
      <c r="T548" s="8" t="str">
        <f aca="false">IF(A548="","",IF(S548="","BYPASS",IF(ABS(S548)&lt;=Summary!$B$2,"PASS","FAIL")))</f>
        <v/>
      </c>
      <c r="U548" s="8" t="str">
        <f aca="false">IF(T548="BYPASS",IF(NOT(ISNUMBER(Q548)),"PreV_ETB missing","End_tr_balance missing"),IF(T548="FAIL",IF(AND(ISNUMBER(K548),ISNUMBER(L548),ABS(L548-(K548-IF(ISNUMBER(N548),N548,0)-IF(ISNUMBER(O548),O548,0)+IF(ISNUMBER(P548),P548,0)))&lt;=Summary!$B$2),"Passes using beginning_balance - PreV_ETB differs from beginning_balance",IF(AND(ISNUMBER(O548),O548&lt;0,ABS(L548-(Q548-IF(ISNUMBER(N548),N548,0)+IF(ISNUMBER(P548),P548,0)))&lt;=Summary!$B$2),"Negative realized loss not applied - check sign",IF(R548&lt;0,"Principal paid exceeds prior balance",IF(AND(L548&gt;Q548,NOT(ISNUMBER(P548))),"Balance increased but no Deferred_interest reported",IF(L548&gt;R548,"Reported balance higher than expected (missing increase/OC build)","Reported balance lower than expected (missing decrease)"))))),""))</f>
        <v/>
      </c>
    </row>
    <row r="549" customFormat="false" ht="15" hidden="false" customHeight="false" outlineLevel="0" collapsed="false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9"/>
      <c r="L549" s="9"/>
      <c r="M549" s="9"/>
      <c r="N549" s="9"/>
      <c r="O549" s="9"/>
      <c r="P549" s="9"/>
      <c r="Q549" s="9"/>
      <c r="R549" s="9" t="str">
        <f aca="false">IF(AND(A549&lt;&gt;"",ISNUMBER(Q549),ISNUMBER(L549)),ROUND(Q549-IF(ISNUMBER(N549),N549,0)-IF(ISNUMBER(O549),O549,0)+IF(ISNUMBER(P549),P549,0),2),"")</f>
        <v/>
      </c>
      <c r="S549" s="9" t="str">
        <f aca="false">IF(R549="","",ROUND(L549-R549,2))</f>
        <v/>
      </c>
      <c r="T549" s="8" t="str">
        <f aca="false">IF(A549="","",IF(S549="","BYPASS",IF(ABS(S549)&lt;=Summary!$B$2,"PASS","FAIL")))</f>
        <v/>
      </c>
      <c r="U549" s="8" t="str">
        <f aca="false">IF(T549="BYPASS",IF(NOT(ISNUMBER(Q549)),"PreV_ETB missing","End_tr_balance missing"),IF(T549="FAIL",IF(AND(ISNUMBER(K549),ISNUMBER(L549),ABS(L549-(K549-IF(ISNUMBER(N549),N549,0)-IF(ISNUMBER(O549),O549,0)+IF(ISNUMBER(P549),P549,0)))&lt;=Summary!$B$2),"Passes using beginning_balance - PreV_ETB differs from beginning_balance",IF(AND(ISNUMBER(O549),O549&lt;0,ABS(L549-(Q549-IF(ISNUMBER(N549),N549,0)+IF(ISNUMBER(P549),P549,0)))&lt;=Summary!$B$2),"Negative realized loss not applied - check sign",IF(R549&lt;0,"Principal paid exceeds prior balance",IF(AND(L549&gt;Q549,NOT(ISNUMBER(P549))),"Balance increased but no Deferred_interest reported",IF(L549&gt;R549,"Reported balance higher than expected (missing increase/OC build)","Reported balance lower than expected (missing decrease)"))))),""))</f>
        <v/>
      </c>
    </row>
    <row r="550" customFormat="false" ht="15" hidden="false" customHeight="false" outlineLevel="0" collapsed="false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9"/>
      <c r="L550" s="9"/>
      <c r="M550" s="9"/>
      <c r="N550" s="9"/>
      <c r="O550" s="9"/>
      <c r="P550" s="9"/>
      <c r="Q550" s="9"/>
      <c r="R550" s="9" t="str">
        <f aca="false">IF(AND(A550&lt;&gt;"",ISNUMBER(Q550),ISNUMBER(L550)),ROUND(Q550-IF(ISNUMBER(N550),N550,0)-IF(ISNUMBER(O550),O550,0)+IF(ISNUMBER(P550),P550,0),2),"")</f>
        <v/>
      </c>
      <c r="S550" s="9" t="str">
        <f aca="false">IF(R550="","",ROUND(L550-R550,2))</f>
        <v/>
      </c>
      <c r="T550" s="8" t="str">
        <f aca="false">IF(A550="","",IF(S550="","BYPASS",IF(ABS(S550)&lt;=Summary!$B$2,"PASS","FAIL")))</f>
        <v/>
      </c>
      <c r="U550" s="8" t="str">
        <f aca="false">IF(T550="BYPASS",IF(NOT(ISNUMBER(Q550)),"PreV_ETB missing","End_tr_balance missing"),IF(T550="FAIL",IF(AND(ISNUMBER(K550),ISNUMBER(L550),ABS(L550-(K550-IF(ISNUMBER(N550),N550,0)-IF(ISNUMBER(O550),O550,0)+IF(ISNUMBER(P550),P550,0)))&lt;=Summary!$B$2),"Passes using beginning_balance - PreV_ETB differs from beginning_balance",IF(AND(ISNUMBER(O550),O550&lt;0,ABS(L550-(Q550-IF(ISNUMBER(N550),N550,0)+IF(ISNUMBER(P550),P550,0)))&lt;=Summary!$B$2),"Negative realized loss not applied - check sign",IF(R550&lt;0,"Principal paid exceeds prior balance",IF(AND(L550&gt;Q550,NOT(ISNUMBER(P550))),"Balance increased but no Deferred_interest reported",IF(L550&gt;R550,"Reported balance higher than expected (missing increase/OC build)","Reported balance lower than expected (missing decrease)"))))),""))</f>
        <v/>
      </c>
    </row>
    <row r="551" customFormat="false" ht="15" hidden="false" customHeight="false" outlineLevel="0" collapsed="false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9"/>
      <c r="L551" s="9"/>
      <c r="M551" s="9"/>
      <c r="N551" s="9"/>
      <c r="O551" s="9"/>
      <c r="P551" s="9"/>
      <c r="Q551" s="9"/>
      <c r="R551" s="9" t="str">
        <f aca="false">IF(AND(A551&lt;&gt;"",ISNUMBER(Q551),ISNUMBER(L551)),ROUND(Q551-IF(ISNUMBER(N551),N551,0)-IF(ISNUMBER(O551),O551,0)+IF(ISNUMBER(P551),P551,0),2),"")</f>
        <v/>
      </c>
      <c r="S551" s="9" t="str">
        <f aca="false">IF(R551="","",ROUND(L551-R551,2))</f>
        <v/>
      </c>
      <c r="T551" s="8" t="str">
        <f aca="false">IF(A551="","",IF(S551="","BYPASS",IF(ABS(S551)&lt;=Summary!$B$2,"PASS","FAIL")))</f>
        <v/>
      </c>
      <c r="U551" s="8" t="str">
        <f aca="false">IF(T551="BYPASS",IF(NOT(ISNUMBER(Q551)),"PreV_ETB missing","End_tr_balance missing"),IF(T551="FAIL",IF(AND(ISNUMBER(K551),ISNUMBER(L551),ABS(L551-(K551-IF(ISNUMBER(N551),N551,0)-IF(ISNUMBER(O551),O551,0)+IF(ISNUMBER(P551),P551,0)))&lt;=Summary!$B$2),"Passes using beginning_balance - PreV_ETB differs from beginning_balance",IF(AND(ISNUMBER(O551),O551&lt;0,ABS(L551-(Q551-IF(ISNUMBER(N551),N551,0)+IF(ISNUMBER(P551),P551,0)))&lt;=Summary!$B$2),"Negative realized loss not applied - check sign",IF(R551&lt;0,"Principal paid exceeds prior balance",IF(AND(L551&gt;Q551,NOT(ISNUMBER(P551))),"Balance increased but no Deferred_interest reported",IF(L551&gt;R551,"Reported balance higher than expected (missing increase/OC build)","Reported balance lower than expected (missing decrease)"))))),""))</f>
        <v/>
      </c>
    </row>
    <row r="552" customFormat="false" ht="15" hidden="false" customHeight="false" outlineLevel="0" collapsed="false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9"/>
      <c r="L552" s="9"/>
      <c r="M552" s="9"/>
      <c r="N552" s="9"/>
      <c r="O552" s="9"/>
      <c r="P552" s="9"/>
      <c r="Q552" s="9"/>
      <c r="R552" s="9" t="str">
        <f aca="false">IF(AND(A552&lt;&gt;"",ISNUMBER(Q552),ISNUMBER(L552)),ROUND(Q552-IF(ISNUMBER(N552),N552,0)-IF(ISNUMBER(O552),O552,0)+IF(ISNUMBER(P552),P552,0),2),"")</f>
        <v/>
      </c>
      <c r="S552" s="9" t="str">
        <f aca="false">IF(R552="","",ROUND(L552-R552,2))</f>
        <v/>
      </c>
      <c r="T552" s="8" t="str">
        <f aca="false">IF(A552="","",IF(S552="","BYPASS",IF(ABS(S552)&lt;=Summary!$B$2,"PASS","FAIL")))</f>
        <v/>
      </c>
      <c r="U552" s="8" t="str">
        <f aca="false">IF(T552="BYPASS",IF(NOT(ISNUMBER(Q552)),"PreV_ETB missing","End_tr_balance missing"),IF(T552="FAIL",IF(AND(ISNUMBER(K552),ISNUMBER(L552),ABS(L552-(K552-IF(ISNUMBER(N552),N552,0)-IF(ISNUMBER(O552),O552,0)+IF(ISNUMBER(P552),P552,0)))&lt;=Summary!$B$2),"Passes using beginning_balance - PreV_ETB differs from beginning_balance",IF(AND(ISNUMBER(O552),O552&lt;0,ABS(L552-(Q552-IF(ISNUMBER(N552),N552,0)+IF(ISNUMBER(P552),P552,0)))&lt;=Summary!$B$2),"Negative realized loss not applied - check sign",IF(R552&lt;0,"Principal paid exceeds prior balance",IF(AND(L552&gt;Q552,NOT(ISNUMBER(P552))),"Balance increased but no Deferred_interest reported",IF(L552&gt;R552,"Reported balance higher than expected (missing increase/OC build)","Reported balance lower than expected (missing decrease)"))))),""))</f>
        <v/>
      </c>
    </row>
    <row r="553" customFormat="false" ht="15" hidden="false" customHeight="false" outlineLevel="0" collapsed="false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9"/>
      <c r="L553" s="9"/>
      <c r="M553" s="9"/>
      <c r="N553" s="9"/>
      <c r="O553" s="9"/>
      <c r="P553" s="9"/>
      <c r="Q553" s="9"/>
      <c r="R553" s="9" t="str">
        <f aca="false">IF(AND(A553&lt;&gt;"",ISNUMBER(Q553),ISNUMBER(L553)),ROUND(Q553-IF(ISNUMBER(N553),N553,0)-IF(ISNUMBER(O553),O553,0)+IF(ISNUMBER(P553),P553,0),2),"")</f>
        <v/>
      </c>
      <c r="S553" s="9" t="str">
        <f aca="false">IF(R553="","",ROUND(L553-R553,2))</f>
        <v/>
      </c>
      <c r="T553" s="8" t="str">
        <f aca="false">IF(A553="","",IF(S553="","BYPASS",IF(ABS(S553)&lt;=Summary!$B$2,"PASS","FAIL")))</f>
        <v/>
      </c>
      <c r="U553" s="8" t="str">
        <f aca="false">IF(T553="BYPASS",IF(NOT(ISNUMBER(Q553)),"PreV_ETB missing","End_tr_balance missing"),IF(T553="FAIL",IF(AND(ISNUMBER(K553),ISNUMBER(L553),ABS(L553-(K553-IF(ISNUMBER(N553),N553,0)-IF(ISNUMBER(O553),O553,0)+IF(ISNUMBER(P553),P553,0)))&lt;=Summary!$B$2),"Passes using beginning_balance - PreV_ETB differs from beginning_balance",IF(AND(ISNUMBER(O553),O553&lt;0,ABS(L553-(Q553-IF(ISNUMBER(N553),N553,0)+IF(ISNUMBER(P553),P553,0)))&lt;=Summary!$B$2),"Negative realized loss not applied - check sign",IF(R553&lt;0,"Principal paid exceeds prior balance",IF(AND(L553&gt;Q553,NOT(ISNUMBER(P553))),"Balance increased but no Deferred_interest reported",IF(L553&gt;R553,"Reported balance higher than expected (missing increase/OC build)","Reported balance lower than expected (missing decrease)"))))),""))</f>
        <v/>
      </c>
    </row>
    <row r="554" customFormat="false" ht="15" hidden="false" customHeight="false" outlineLevel="0" collapsed="false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9"/>
      <c r="L554" s="9"/>
      <c r="M554" s="9"/>
      <c r="N554" s="9"/>
      <c r="O554" s="9"/>
      <c r="P554" s="9"/>
      <c r="Q554" s="9"/>
      <c r="R554" s="9" t="str">
        <f aca="false">IF(AND(A554&lt;&gt;"",ISNUMBER(Q554),ISNUMBER(L554)),ROUND(Q554-IF(ISNUMBER(N554),N554,0)-IF(ISNUMBER(O554),O554,0)+IF(ISNUMBER(P554),P554,0),2),"")</f>
        <v/>
      </c>
      <c r="S554" s="9" t="str">
        <f aca="false">IF(R554="","",ROUND(L554-R554,2))</f>
        <v/>
      </c>
      <c r="T554" s="8" t="str">
        <f aca="false">IF(A554="","",IF(S554="","BYPASS",IF(ABS(S554)&lt;=Summary!$B$2,"PASS","FAIL")))</f>
        <v/>
      </c>
      <c r="U554" s="8" t="str">
        <f aca="false">IF(T554="BYPASS",IF(NOT(ISNUMBER(Q554)),"PreV_ETB missing","End_tr_balance missing"),IF(T554="FAIL",IF(AND(ISNUMBER(K554),ISNUMBER(L554),ABS(L554-(K554-IF(ISNUMBER(N554),N554,0)-IF(ISNUMBER(O554),O554,0)+IF(ISNUMBER(P554),P554,0)))&lt;=Summary!$B$2),"Passes using beginning_balance - PreV_ETB differs from beginning_balance",IF(AND(ISNUMBER(O554),O554&lt;0,ABS(L554-(Q554-IF(ISNUMBER(N554),N554,0)+IF(ISNUMBER(P554),P554,0)))&lt;=Summary!$B$2),"Negative realized loss not applied - check sign",IF(R554&lt;0,"Principal paid exceeds prior balance",IF(AND(L554&gt;Q554,NOT(ISNUMBER(P554))),"Balance increased but no Deferred_interest reported",IF(L554&gt;R554,"Reported balance higher than expected (missing increase/OC build)","Reported balance lower than expected (missing decrease)"))))),""))</f>
        <v/>
      </c>
    </row>
    <row r="555" customFormat="false" ht="15" hidden="false" customHeight="false" outlineLevel="0" collapsed="false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9"/>
      <c r="L555" s="9"/>
      <c r="M555" s="9"/>
      <c r="N555" s="9"/>
      <c r="O555" s="9"/>
      <c r="P555" s="9"/>
      <c r="Q555" s="9"/>
      <c r="R555" s="9" t="str">
        <f aca="false">IF(AND(A555&lt;&gt;"",ISNUMBER(Q555),ISNUMBER(L555)),ROUND(Q555-IF(ISNUMBER(N555),N555,0)-IF(ISNUMBER(O555),O555,0)+IF(ISNUMBER(P555),P555,0),2),"")</f>
        <v/>
      </c>
      <c r="S555" s="9" t="str">
        <f aca="false">IF(R555="","",ROUND(L555-R555,2))</f>
        <v/>
      </c>
      <c r="T555" s="8" t="str">
        <f aca="false">IF(A555="","",IF(S555="","BYPASS",IF(ABS(S555)&lt;=Summary!$B$2,"PASS","FAIL")))</f>
        <v/>
      </c>
      <c r="U555" s="8" t="str">
        <f aca="false">IF(T555="BYPASS",IF(NOT(ISNUMBER(Q555)),"PreV_ETB missing","End_tr_balance missing"),IF(T555="FAIL",IF(AND(ISNUMBER(K555),ISNUMBER(L555),ABS(L555-(K555-IF(ISNUMBER(N555),N555,0)-IF(ISNUMBER(O555),O555,0)+IF(ISNUMBER(P555),P555,0)))&lt;=Summary!$B$2),"Passes using beginning_balance - PreV_ETB differs from beginning_balance",IF(AND(ISNUMBER(O555),O555&lt;0,ABS(L555-(Q555-IF(ISNUMBER(N555),N555,0)+IF(ISNUMBER(P555),P555,0)))&lt;=Summary!$B$2),"Negative realized loss not applied - check sign",IF(R555&lt;0,"Principal paid exceeds prior balance",IF(AND(L555&gt;Q555,NOT(ISNUMBER(P555))),"Balance increased but no Deferred_interest reported",IF(L555&gt;R555,"Reported balance higher than expected (missing increase/OC build)","Reported balance lower than expected (missing decrease)"))))),""))</f>
        <v/>
      </c>
    </row>
    <row r="556" customFormat="false" ht="15" hidden="false" customHeight="false" outlineLevel="0" collapsed="false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9"/>
      <c r="L556" s="9"/>
      <c r="M556" s="9"/>
      <c r="N556" s="9"/>
      <c r="O556" s="9"/>
      <c r="P556" s="9"/>
      <c r="Q556" s="9"/>
      <c r="R556" s="9" t="str">
        <f aca="false">IF(AND(A556&lt;&gt;"",ISNUMBER(Q556),ISNUMBER(L556)),ROUND(Q556-IF(ISNUMBER(N556),N556,0)-IF(ISNUMBER(O556),O556,0)+IF(ISNUMBER(P556),P556,0),2),"")</f>
        <v/>
      </c>
      <c r="S556" s="9" t="str">
        <f aca="false">IF(R556="","",ROUND(L556-R556,2))</f>
        <v/>
      </c>
      <c r="T556" s="8" t="str">
        <f aca="false">IF(A556="","",IF(S556="","BYPASS",IF(ABS(S556)&lt;=Summary!$B$2,"PASS","FAIL")))</f>
        <v/>
      </c>
      <c r="U556" s="8" t="str">
        <f aca="false">IF(T556="BYPASS",IF(NOT(ISNUMBER(Q556)),"PreV_ETB missing","End_tr_balance missing"),IF(T556="FAIL",IF(AND(ISNUMBER(K556),ISNUMBER(L556),ABS(L556-(K556-IF(ISNUMBER(N556),N556,0)-IF(ISNUMBER(O556),O556,0)+IF(ISNUMBER(P556),P556,0)))&lt;=Summary!$B$2),"Passes using beginning_balance - PreV_ETB differs from beginning_balance",IF(AND(ISNUMBER(O556),O556&lt;0,ABS(L556-(Q556-IF(ISNUMBER(N556),N556,0)+IF(ISNUMBER(P556),P556,0)))&lt;=Summary!$B$2),"Negative realized loss not applied - check sign",IF(R556&lt;0,"Principal paid exceeds prior balance",IF(AND(L556&gt;Q556,NOT(ISNUMBER(P556))),"Balance increased but no Deferred_interest reported",IF(L556&gt;R556,"Reported balance higher than expected (missing increase/OC build)","Reported balance lower than expected (missing decrease)"))))),""))</f>
        <v/>
      </c>
    </row>
    <row r="557" customFormat="false" ht="15" hidden="false" customHeight="false" outlineLevel="0" collapsed="false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9"/>
      <c r="L557" s="9"/>
      <c r="M557" s="9"/>
      <c r="N557" s="9"/>
      <c r="O557" s="9"/>
      <c r="P557" s="9"/>
      <c r="Q557" s="9"/>
      <c r="R557" s="9" t="str">
        <f aca="false">IF(AND(A557&lt;&gt;"",ISNUMBER(Q557),ISNUMBER(L557)),ROUND(Q557-IF(ISNUMBER(N557),N557,0)-IF(ISNUMBER(O557),O557,0)+IF(ISNUMBER(P557),P557,0),2),"")</f>
        <v/>
      </c>
      <c r="S557" s="9" t="str">
        <f aca="false">IF(R557="","",ROUND(L557-R557,2))</f>
        <v/>
      </c>
      <c r="T557" s="8" t="str">
        <f aca="false">IF(A557="","",IF(S557="","BYPASS",IF(ABS(S557)&lt;=Summary!$B$2,"PASS","FAIL")))</f>
        <v/>
      </c>
      <c r="U557" s="8" t="str">
        <f aca="false">IF(T557="BYPASS",IF(NOT(ISNUMBER(Q557)),"PreV_ETB missing","End_tr_balance missing"),IF(T557="FAIL",IF(AND(ISNUMBER(K557),ISNUMBER(L557),ABS(L557-(K557-IF(ISNUMBER(N557),N557,0)-IF(ISNUMBER(O557),O557,0)+IF(ISNUMBER(P557),P557,0)))&lt;=Summary!$B$2),"Passes using beginning_balance - PreV_ETB differs from beginning_balance",IF(AND(ISNUMBER(O557),O557&lt;0,ABS(L557-(Q557-IF(ISNUMBER(N557),N557,0)+IF(ISNUMBER(P557),P557,0)))&lt;=Summary!$B$2),"Negative realized loss not applied - check sign",IF(R557&lt;0,"Principal paid exceeds prior balance",IF(AND(L557&gt;Q557,NOT(ISNUMBER(P557))),"Balance increased but no Deferred_interest reported",IF(L557&gt;R557,"Reported balance higher than expected (missing increase/OC build)","Reported balance lower than expected (missing decrease)"))))),""))</f>
        <v/>
      </c>
    </row>
    <row r="558" customFormat="false" ht="15" hidden="false" customHeight="false" outlineLevel="0" collapsed="false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9"/>
      <c r="L558" s="9"/>
      <c r="M558" s="9"/>
      <c r="N558" s="9"/>
      <c r="O558" s="9"/>
      <c r="P558" s="9"/>
      <c r="Q558" s="9"/>
      <c r="R558" s="9" t="str">
        <f aca="false">IF(AND(A558&lt;&gt;"",ISNUMBER(Q558),ISNUMBER(L558)),ROUND(Q558-IF(ISNUMBER(N558),N558,0)-IF(ISNUMBER(O558),O558,0)+IF(ISNUMBER(P558),P558,0),2),"")</f>
        <v/>
      </c>
      <c r="S558" s="9" t="str">
        <f aca="false">IF(R558="","",ROUND(L558-R558,2))</f>
        <v/>
      </c>
      <c r="T558" s="8" t="str">
        <f aca="false">IF(A558="","",IF(S558="","BYPASS",IF(ABS(S558)&lt;=Summary!$B$2,"PASS","FAIL")))</f>
        <v/>
      </c>
      <c r="U558" s="8" t="str">
        <f aca="false">IF(T558="BYPASS",IF(NOT(ISNUMBER(Q558)),"PreV_ETB missing","End_tr_balance missing"),IF(T558="FAIL",IF(AND(ISNUMBER(K558),ISNUMBER(L558),ABS(L558-(K558-IF(ISNUMBER(N558),N558,0)-IF(ISNUMBER(O558),O558,0)+IF(ISNUMBER(P558),P558,0)))&lt;=Summary!$B$2),"Passes using beginning_balance - PreV_ETB differs from beginning_balance",IF(AND(ISNUMBER(O558),O558&lt;0,ABS(L558-(Q558-IF(ISNUMBER(N558),N558,0)+IF(ISNUMBER(P558),P558,0)))&lt;=Summary!$B$2),"Negative realized loss not applied - check sign",IF(R558&lt;0,"Principal paid exceeds prior balance",IF(AND(L558&gt;Q558,NOT(ISNUMBER(P558))),"Balance increased but no Deferred_interest reported",IF(L558&gt;R558,"Reported balance higher than expected (missing increase/OC build)","Reported balance lower than expected (missing decrease)"))))),""))</f>
        <v/>
      </c>
    </row>
    <row r="559" customFormat="false" ht="15" hidden="false" customHeight="false" outlineLevel="0" collapsed="false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9"/>
      <c r="L559" s="9"/>
      <c r="M559" s="9"/>
      <c r="N559" s="9"/>
      <c r="O559" s="9"/>
      <c r="P559" s="9"/>
      <c r="Q559" s="9"/>
      <c r="R559" s="9" t="str">
        <f aca="false">IF(AND(A559&lt;&gt;"",ISNUMBER(Q559),ISNUMBER(L559)),ROUND(Q559-IF(ISNUMBER(N559),N559,0)-IF(ISNUMBER(O559),O559,0)+IF(ISNUMBER(P559),P559,0),2),"")</f>
        <v/>
      </c>
      <c r="S559" s="9" t="str">
        <f aca="false">IF(R559="","",ROUND(L559-R559,2))</f>
        <v/>
      </c>
      <c r="T559" s="8" t="str">
        <f aca="false">IF(A559="","",IF(S559="","BYPASS",IF(ABS(S559)&lt;=Summary!$B$2,"PASS","FAIL")))</f>
        <v/>
      </c>
      <c r="U559" s="8" t="str">
        <f aca="false">IF(T559="BYPASS",IF(NOT(ISNUMBER(Q559)),"PreV_ETB missing","End_tr_balance missing"),IF(T559="FAIL",IF(AND(ISNUMBER(K559),ISNUMBER(L559),ABS(L559-(K559-IF(ISNUMBER(N559),N559,0)-IF(ISNUMBER(O559),O559,0)+IF(ISNUMBER(P559),P559,0)))&lt;=Summary!$B$2),"Passes using beginning_balance - PreV_ETB differs from beginning_balance",IF(AND(ISNUMBER(O559),O559&lt;0,ABS(L559-(Q559-IF(ISNUMBER(N559),N559,0)+IF(ISNUMBER(P559),P559,0)))&lt;=Summary!$B$2),"Negative realized loss not applied - check sign",IF(R559&lt;0,"Principal paid exceeds prior balance",IF(AND(L559&gt;Q559,NOT(ISNUMBER(P559))),"Balance increased but no Deferred_interest reported",IF(L559&gt;R559,"Reported balance higher than expected (missing increase/OC build)","Reported balance lower than expected (missing decrease)"))))),""))</f>
        <v/>
      </c>
    </row>
    <row r="560" customFormat="false" ht="15" hidden="false" customHeight="false" outlineLevel="0" collapsed="false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9"/>
      <c r="L560" s="9"/>
      <c r="M560" s="9"/>
      <c r="N560" s="9"/>
      <c r="O560" s="9"/>
      <c r="P560" s="9"/>
      <c r="Q560" s="9"/>
      <c r="R560" s="9" t="str">
        <f aca="false">IF(AND(A560&lt;&gt;"",ISNUMBER(Q560),ISNUMBER(L560)),ROUND(Q560-IF(ISNUMBER(N560),N560,0)-IF(ISNUMBER(O560),O560,0)+IF(ISNUMBER(P560),P560,0),2),"")</f>
        <v/>
      </c>
      <c r="S560" s="9" t="str">
        <f aca="false">IF(R560="","",ROUND(L560-R560,2))</f>
        <v/>
      </c>
      <c r="T560" s="8" t="str">
        <f aca="false">IF(A560="","",IF(S560="","BYPASS",IF(ABS(S560)&lt;=Summary!$B$2,"PASS","FAIL")))</f>
        <v/>
      </c>
      <c r="U560" s="8" t="str">
        <f aca="false">IF(T560="BYPASS",IF(NOT(ISNUMBER(Q560)),"PreV_ETB missing","End_tr_balance missing"),IF(T560="FAIL",IF(AND(ISNUMBER(K560),ISNUMBER(L560),ABS(L560-(K560-IF(ISNUMBER(N560),N560,0)-IF(ISNUMBER(O560),O560,0)+IF(ISNUMBER(P560),P560,0)))&lt;=Summary!$B$2),"Passes using beginning_balance - PreV_ETB differs from beginning_balance",IF(AND(ISNUMBER(O560),O560&lt;0,ABS(L560-(Q560-IF(ISNUMBER(N560),N560,0)+IF(ISNUMBER(P560),P560,0)))&lt;=Summary!$B$2),"Negative realized loss not applied - check sign",IF(R560&lt;0,"Principal paid exceeds prior balance",IF(AND(L560&gt;Q560,NOT(ISNUMBER(P560))),"Balance increased but no Deferred_interest reported",IF(L560&gt;R560,"Reported balance higher than expected (missing increase/OC build)","Reported balance lower than expected (missing decrease)"))))),""))</f>
        <v/>
      </c>
    </row>
    <row r="561" customFormat="false" ht="15" hidden="false" customHeight="false" outlineLevel="0" collapsed="false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9"/>
      <c r="L561" s="9"/>
      <c r="M561" s="9"/>
      <c r="N561" s="9"/>
      <c r="O561" s="9"/>
      <c r="P561" s="9"/>
      <c r="Q561" s="9"/>
      <c r="R561" s="9" t="str">
        <f aca="false">IF(AND(A561&lt;&gt;"",ISNUMBER(Q561),ISNUMBER(L561)),ROUND(Q561-IF(ISNUMBER(N561),N561,0)-IF(ISNUMBER(O561),O561,0)+IF(ISNUMBER(P561),P561,0),2),"")</f>
        <v/>
      </c>
      <c r="S561" s="9" t="str">
        <f aca="false">IF(R561="","",ROUND(L561-R561,2))</f>
        <v/>
      </c>
      <c r="T561" s="8" t="str">
        <f aca="false">IF(A561="","",IF(S561="","BYPASS",IF(ABS(S561)&lt;=Summary!$B$2,"PASS","FAIL")))</f>
        <v/>
      </c>
      <c r="U561" s="8" t="str">
        <f aca="false">IF(T561="BYPASS",IF(NOT(ISNUMBER(Q561)),"PreV_ETB missing","End_tr_balance missing"),IF(T561="FAIL",IF(AND(ISNUMBER(K561),ISNUMBER(L561),ABS(L561-(K561-IF(ISNUMBER(N561),N561,0)-IF(ISNUMBER(O561),O561,0)+IF(ISNUMBER(P561),P561,0)))&lt;=Summary!$B$2),"Passes using beginning_balance - PreV_ETB differs from beginning_balance",IF(AND(ISNUMBER(O561),O561&lt;0,ABS(L561-(Q561-IF(ISNUMBER(N561),N561,0)+IF(ISNUMBER(P561),P561,0)))&lt;=Summary!$B$2),"Negative realized loss not applied - check sign",IF(R561&lt;0,"Principal paid exceeds prior balance",IF(AND(L561&gt;Q561,NOT(ISNUMBER(P561))),"Balance increased but no Deferred_interest reported",IF(L561&gt;R561,"Reported balance higher than expected (missing increase/OC build)","Reported balance lower than expected (missing decrease)"))))),""))</f>
        <v/>
      </c>
    </row>
    <row r="562" customFormat="false" ht="15" hidden="false" customHeight="false" outlineLevel="0" collapsed="false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9"/>
      <c r="L562" s="9"/>
      <c r="M562" s="9"/>
      <c r="N562" s="9"/>
      <c r="O562" s="9"/>
      <c r="P562" s="9"/>
      <c r="Q562" s="9"/>
      <c r="R562" s="9" t="str">
        <f aca="false">IF(AND(A562&lt;&gt;"",ISNUMBER(Q562),ISNUMBER(L562)),ROUND(Q562-IF(ISNUMBER(N562),N562,0)-IF(ISNUMBER(O562),O562,0)+IF(ISNUMBER(P562),P562,0),2),"")</f>
        <v/>
      </c>
      <c r="S562" s="9" t="str">
        <f aca="false">IF(R562="","",ROUND(L562-R562,2))</f>
        <v/>
      </c>
      <c r="T562" s="8" t="str">
        <f aca="false">IF(A562="","",IF(S562="","BYPASS",IF(ABS(S562)&lt;=Summary!$B$2,"PASS","FAIL")))</f>
        <v/>
      </c>
      <c r="U562" s="8" t="str">
        <f aca="false">IF(T562="BYPASS",IF(NOT(ISNUMBER(Q562)),"PreV_ETB missing","End_tr_balance missing"),IF(T562="FAIL",IF(AND(ISNUMBER(K562),ISNUMBER(L562),ABS(L562-(K562-IF(ISNUMBER(N562),N562,0)-IF(ISNUMBER(O562),O562,0)+IF(ISNUMBER(P562),P562,0)))&lt;=Summary!$B$2),"Passes using beginning_balance - PreV_ETB differs from beginning_balance",IF(AND(ISNUMBER(O562),O562&lt;0,ABS(L562-(Q562-IF(ISNUMBER(N562),N562,0)+IF(ISNUMBER(P562),P562,0)))&lt;=Summary!$B$2),"Negative realized loss not applied - check sign",IF(R562&lt;0,"Principal paid exceeds prior balance",IF(AND(L562&gt;Q562,NOT(ISNUMBER(P562))),"Balance increased but no Deferred_interest reported",IF(L562&gt;R562,"Reported balance higher than expected (missing increase/OC build)","Reported balance lower than expected (missing decrease)"))))),""))</f>
        <v/>
      </c>
    </row>
    <row r="563" customFormat="false" ht="15" hidden="false" customHeight="false" outlineLevel="0" collapsed="false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9"/>
      <c r="L563" s="9"/>
      <c r="M563" s="9"/>
      <c r="N563" s="9"/>
      <c r="O563" s="9"/>
      <c r="P563" s="9"/>
      <c r="Q563" s="9"/>
      <c r="R563" s="9" t="str">
        <f aca="false">IF(AND(A563&lt;&gt;"",ISNUMBER(Q563),ISNUMBER(L563)),ROUND(Q563-IF(ISNUMBER(N563),N563,0)-IF(ISNUMBER(O563),O563,0)+IF(ISNUMBER(P563),P563,0),2),"")</f>
        <v/>
      </c>
      <c r="S563" s="9" t="str">
        <f aca="false">IF(R563="","",ROUND(L563-R563,2))</f>
        <v/>
      </c>
      <c r="T563" s="8" t="str">
        <f aca="false">IF(A563="","",IF(S563="","BYPASS",IF(ABS(S563)&lt;=Summary!$B$2,"PASS","FAIL")))</f>
        <v/>
      </c>
      <c r="U563" s="8" t="str">
        <f aca="false">IF(T563="BYPASS",IF(NOT(ISNUMBER(Q563)),"PreV_ETB missing","End_tr_balance missing"),IF(T563="FAIL",IF(AND(ISNUMBER(K563),ISNUMBER(L563),ABS(L563-(K563-IF(ISNUMBER(N563),N563,0)-IF(ISNUMBER(O563),O563,0)+IF(ISNUMBER(P563),P563,0)))&lt;=Summary!$B$2),"Passes using beginning_balance - PreV_ETB differs from beginning_balance",IF(AND(ISNUMBER(O563),O563&lt;0,ABS(L563-(Q563-IF(ISNUMBER(N563),N563,0)+IF(ISNUMBER(P563),P563,0)))&lt;=Summary!$B$2),"Negative realized loss not applied - check sign",IF(R563&lt;0,"Principal paid exceeds prior balance",IF(AND(L563&gt;Q563,NOT(ISNUMBER(P563))),"Balance increased but no Deferred_interest reported",IF(L563&gt;R563,"Reported balance higher than expected (missing increase/OC build)","Reported balance lower than expected (missing decrease)"))))),""))</f>
        <v/>
      </c>
    </row>
    <row r="564" customFormat="false" ht="15" hidden="false" customHeight="false" outlineLevel="0" collapsed="false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9"/>
      <c r="L564" s="9"/>
      <c r="M564" s="9"/>
      <c r="N564" s="9"/>
      <c r="O564" s="9"/>
      <c r="P564" s="9"/>
      <c r="Q564" s="9"/>
      <c r="R564" s="9" t="str">
        <f aca="false">IF(AND(A564&lt;&gt;"",ISNUMBER(Q564),ISNUMBER(L564)),ROUND(Q564-IF(ISNUMBER(N564),N564,0)-IF(ISNUMBER(O564),O564,0)+IF(ISNUMBER(P564),P564,0),2),"")</f>
        <v/>
      </c>
      <c r="S564" s="9" t="str">
        <f aca="false">IF(R564="","",ROUND(L564-R564,2))</f>
        <v/>
      </c>
      <c r="T564" s="8" t="str">
        <f aca="false">IF(A564="","",IF(S564="","BYPASS",IF(ABS(S564)&lt;=Summary!$B$2,"PASS","FAIL")))</f>
        <v/>
      </c>
      <c r="U564" s="8" t="str">
        <f aca="false">IF(T564="BYPASS",IF(NOT(ISNUMBER(Q564)),"PreV_ETB missing","End_tr_balance missing"),IF(T564="FAIL",IF(AND(ISNUMBER(K564),ISNUMBER(L564),ABS(L564-(K564-IF(ISNUMBER(N564),N564,0)-IF(ISNUMBER(O564),O564,0)+IF(ISNUMBER(P564),P564,0)))&lt;=Summary!$B$2),"Passes using beginning_balance - PreV_ETB differs from beginning_balance",IF(AND(ISNUMBER(O564),O564&lt;0,ABS(L564-(Q564-IF(ISNUMBER(N564),N564,0)+IF(ISNUMBER(P564),P564,0)))&lt;=Summary!$B$2),"Negative realized loss not applied - check sign",IF(R564&lt;0,"Principal paid exceeds prior balance",IF(AND(L564&gt;Q564,NOT(ISNUMBER(P564))),"Balance increased but no Deferred_interest reported",IF(L564&gt;R564,"Reported balance higher than expected (missing increase/OC build)","Reported balance lower than expected (missing decrease)"))))),""))</f>
        <v/>
      </c>
    </row>
    <row r="565" customFormat="false" ht="15" hidden="false" customHeight="false" outlineLevel="0" collapsed="false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9"/>
      <c r="L565" s="9"/>
      <c r="M565" s="9"/>
      <c r="N565" s="9"/>
      <c r="O565" s="9"/>
      <c r="P565" s="9"/>
      <c r="Q565" s="9"/>
      <c r="R565" s="9" t="str">
        <f aca="false">IF(AND(A565&lt;&gt;"",ISNUMBER(Q565),ISNUMBER(L565)),ROUND(Q565-IF(ISNUMBER(N565),N565,0)-IF(ISNUMBER(O565),O565,0)+IF(ISNUMBER(P565),P565,0),2),"")</f>
        <v/>
      </c>
      <c r="S565" s="9" t="str">
        <f aca="false">IF(R565="","",ROUND(L565-R565,2))</f>
        <v/>
      </c>
      <c r="T565" s="8" t="str">
        <f aca="false">IF(A565="","",IF(S565="","BYPASS",IF(ABS(S565)&lt;=Summary!$B$2,"PASS","FAIL")))</f>
        <v/>
      </c>
      <c r="U565" s="8" t="str">
        <f aca="false">IF(T565="BYPASS",IF(NOT(ISNUMBER(Q565)),"PreV_ETB missing","End_tr_balance missing"),IF(T565="FAIL",IF(AND(ISNUMBER(K565),ISNUMBER(L565),ABS(L565-(K565-IF(ISNUMBER(N565),N565,0)-IF(ISNUMBER(O565),O565,0)+IF(ISNUMBER(P565),P565,0)))&lt;=Summary!$B$2),"Passes using beginning_balance - PreV_ETB differs from beginning_balance",IF(AND(ISNUMBER(O565),O565&lt;0,ABS(L565-(Q565-IF(ISNUMBER(N565),N565,0)+IF(ISNUMBER(P565),P565,0)))&lt;=Summary!$B$2),"Negative realized loss not applied - check sign",IF(R565&lt;0,"Principal paid exceeds prior balance",IF(AND(L565&gt;Q565,NOT(ISNUMBER(P565))),"Balance increased but no Deferred_interest reported",IF(L565&gt;R565,"Reported balance higher than expected (missing increase/OC build)","Reported balance lower than expected (missing decrease)"))))),""))</f>
        <v/>
      </c>
    </row>
    <row r="566" customFormat="false" ht="15" hidden="false" customHeight="false" outlineLevel="0" collapsed="false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9"/>
      <c r="L566" s="9"/>
      <c r="M566" s="9"/>
      <c r="N566" s="9"/>
      <c r="O566" s="9"/>
      <c r="P566" s="9"/>
      <c r="Q566" s="9"/>
      <c r="R566" s="9" t="str">
        <f aca="false">IF(AND(A566&lt;&gt;"",ISNUMBER(Q566),ISNUMBER(L566)),ROUND(Q566-IF(ISNUMBER(N566),N566,0)-IF(ISNUMBER(O566),O566,0)+IF(ISNUMBER(P566),P566,0),2),"")</f>
        <v/>
      </c>
      <c r="S566" s="9" t="str">
        <f aca="false">IF(R566="","",ROUND(L566-R566,2))</f>
        <v/>
      </c>
      <c r="T566" s="8" t="str">
        <f aca="false">IF(A566="","",IF(S566="","BYPASS",IF(ABS(S566)&lt;=Summary!$B$2,"PASS","FAIL")))</f>
        <v/>
      </c>
      <c r="U566" s="8" t="str">
        <f aca="false">IF(T566="BYPASS",IF(NOT(ISNUMBER(Q566)),"PreV_ETB missing","End_tr_balance missing"),IF(T566="FAIL",IF(AND(ISNUMBER(K566),ISNUMBER(L566),ABS(L566-(K566-IF(ISNUMBER(N566),N566,0)-IF(ISNUMBER(O566),O566,0)+IF(ISNUMBER(P566),P566,0)))&lt;=Summary!$B$2),"Passes using beginning_balance - PreV_ETB differs from beginning_balance",IF(AND(ISNUMBER(O566),O566&lt;0,ABS(L566-(Q566-IF(ISNUMBER(N566),N566,0)+IF(ISNUMBER(P566),P566,0)))&lt;=Summary!$B$2),"Negative realized loss not applied - check sign",IF(R566&lt;0,"Principal paid exceeds prior balance",IF(AND(L566&gt;Q566,NOT(ISNUMBER(P566))),"Balance increased but no Deferred_interest reported",IF(L566&gt;R566,"Reported balance higher than expected (missing increase/OC build)","Reported balance lower than expected (missing decrease)"))))),""))</f>
        <v/>
      </c>
    </row>
    <row r="567" customFormat="false" ht="15" hidden="false" customHeight="false" outlineLevel="0" collapsed="false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9"/>
      <c r="L567" s="9"/>
      <c r="M567" s="9"/>
      <c r="N567" s="9"/>
      <c r="O567" s="9"/>
      <c r="P567" s="9"/>
      <c r="Q567" s="9"/>
      <c r="R567" s="9" t="str">
        <f aca="false">IF(AND(A567&lt;&gt;"",ISNUMBER(Q567),ISNUMBER(L567)),ROUND(Q567-IF(ISNUMBER(N567),N567,0)-IF(ISNUMBER(O567),O567,0)+IF(ISNUMBER(P567),P567,0),2),"")</f>
        <v/>
      </c>
      <c r="S567" s="9" t="str">
        <f aca="false">IF(R567="","",ROUND(L567-R567,2))</f>
        <v/>
      </c>
      <c r="T567" s="8" t="str">
        <f aca="false">IF(A567="","",IF(S567="","BYPASS",IF(ABS(S567)&lt;=Summary!$B$2,"PASS","FAIL")))</f>
        <v/>
      </c>
      <c r="U567" s="8" t="str">
        <f aca="false">IF(T567="BYPASS",IF(NOT(ISNUMBER(Q567)),"PreV_ETB missing","End_tr_balance missing"),IF(T567="FAIL",IF(AND(ISNUMBER(K567),ISNUMBER(L567),ABS(L567-(K567-IF(ISNUMBER(N567),N567,0)-IF(ISNUMBER(O567),O567,0)+IF(ISNUMBER(P567),P567,0)))&lt;=Summary!$B$2),"Passes using beginning_balance - PreV_ETB differs from beginning_balance",IF(AND(ISNUMBER(O567),O567&lt;0,ABS(L567-(Q567-IF(ISNUMBER(N567),N567,0)+IF(ISNUMBER(P567),P567,0)))&lt;=Summary!$B$2),"Negative realized loss not applied - check sign",IF(R567&lt;0,"Principal paid exceeds prior balance",IF(AND(L567&gt;Q567,NOT(ISNUMBER(P567))),"Balance increased but no Deferred_interest reported",IF(L567&gt;R567,"Reported balance higher than expected (missing increase/OC build)","Reported balance lower than expected (missing decrease)"))))),""))</f>
        <v/>
      </c>
    </row>
    <row r="568" customFormat="false" ht="15" hidden="false" customHeight="false" outlineLevel="0" collapsed="false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9"/>
      <c r="L568" s="9"/>
      <c r="M568" s="9"/>
      <c r="N568" s="9"/>
      <c r="O568" s="9"/>
      <c r="P568" s="9"/>
      <c r="Q568" s="9"/>
      <c r="R568" s="9" t="str">
        <f aca="false">IF(AND(A568&lt;&gt;"",ISNUMBER(Q568),ISNUMBER(L568)),ROUND(Q568-IF(ISNUMBER(N568),N568,0)-IF(ISNUMBER(O568),O568,0)+IF(ISNUMBER(P568),P568,0),2),"")</f>
        <v/>
      </c>
      <c r="S568" s="9" t="str">
        <f aca="false">IF(R568="","",ROUND(L568-R568,2))</f>
        <v/>
      </c>
      <c r="T568" s="8" t="str">
        <f aca="false">IF(A568="","",IF(S568="","BYPASS",IF(ABS(S568)&lt;=Summary!$B$2,"PASS","FAIL")))</f>
        <v/>
      </c>
      <c r="U568" s="8" t="str">
        <f aca="false">IF(T568="BYPASS",IF(NOT(ISNUMBER(Q568)),"PreV_ETB missing","End_tr_balance missing"),IF(T568="FAIL",IF(AND(ISNUMBER(K568),ISNUMBER(L568),ABS(L568-(K568-IF(ISNUMBER(N568),N568,0)-IF(ISNUMBER(O568),O568,0)+IF(ISNUMBER(P568),P568,0)))&lt;=Summary!$B$2),"Passes using beginning_balance - PreV_ETB differs from beginning_balance",IF(AND(ISNUMBER(O568),O568&lt;0,ABS(L568-(Q568-IF(ISNUMBER(N568),N568,0)+IF(ISNUMBER(P568),P568,0)))&lt;=Summary!$B$2),"Negative realized loss not applied - check sign",IF(R568&lt;0,"Principal paid exceeds prior balance",IF(AND(L568&gt;Q568,NOT(ISNUMBER(P568))),"Balance increased but no Deferred_interest reported",IF(L568&gt;R568,"Reported balance higher than expected (missing increase/OC build)","Reported balance lower than expected (missing decrease)"))))),""))</f>
        <v/>
      </c>
    </row>
    <row r="569" customFormat="false" ht="15" hidden="false" customHeight="false" outlineLevel="0" collapsed="false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9"/>
      <c r="L569" s="9"/>
      <c r="M569" s="9"/>
      <c r="N569" s="9"/>
      <c r="O569" s="9"/>
      <c r="P569" s="9"/>
      <c r="Q569" s="9"/>
      <c r="R569" s="9" t="str">
        <f aca="false">IF(AND(A569&lt;&gt;"",ISNUMBER(Q569),ISNUMBER(L569)),ROUND(Q569-IF(ISNUMBER(N569),N569,0)-IF(ISNUMBER(O569),O569,0)+IF(ISNUMBER(P569),P569,0),2),"")</f>
        <v/>
      </c>
      <c r="S569" s="9" t="str">
        <f aca="false">IF(R569="","",ROUND(L569-R569,2))</f>
        <v/>
      </c>
      <c r="T569" s="8" t="str">
        <f aca="false">IF(A569="","",IF(S569="","BYPASS",IF(ABS(S569)&lt;=Summary!$B$2,"PASS","FAIL")))</f>
        <v/>
      </c>
      <c r="U569" s="8" t="str">
        <f aca="false">IF(T569="BYPASS",IF(NOT(ISNUMBER(Q569)),"PreV_ETB missing","End_tr_balance missing"),IF(T569="FAIL",IF(AND(ISNUMBER(K569),ISNUMBER(L569),ABS(L569-(K569-IF(ISNUMBER(N569),N569,0)-IF(ISNUMBER(O569),O569,0)+IF(ISNUMBER(P569),P569,0)))&lt;=Summary!$B$2),"Passes using beginning_balance - PreV_ETB differs from beginning_balance",IF(AND(ISNUMBER(O569),O569&lt;0,ABS(L569-(Q569-IF(ISNUMBER(N569),N569,0)+IF(ISNUMBER(P569),P569,0)))&lt;=Summary!$B$2),"Negative realized loss not applied - check sign",IF(R569&lt;0,"Principal paid exceeds prior balance",IF(AND(L569&gt;Q569,NOT(ISNUMBER(P569))),"Balance increased but no Deferred_interest reported",IF(L569&gt;R569,"Reported balance higher than expected (missing increase/OC build)","Reported balance lower than expected (missing decrease)"))))),""))</f>
        <v/>
      </c>
    </row>
    <row r="570" customFormat="false" ht="15" hidden="false" customHeight="false" outlineLevel="0" collapsed="false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9"/>
      <c r="L570" s="9"/>
      <c r="M570" s="9"/>
      <c r="N570" s="9"/>
      <c r="O570" s="9"/>
      <c r="P570" s="9"/>
      <c r="Q570" s="9"/>
      <c r="R570" s="9" t="str">
        <f aca="false">IF(AND(A570&lt;&gt;"",ISNUMBER(Q570),ISNUMBER(L570)),ROUND(Q570-IF(ISNUMBER(N570),N570,0)-IF(ISNUMBER(O570),O570,0)+IF(ISNUMBER(P570),P570,0),2),"")</f>
        <v/>
      </c>
      <c r="S570" s="9" t="str">
        <f aca="false">IF(R570="","",ROUND(L570-R570,2))</f>
        <v/>
      </c>
      <c r="T570" s="8" t="str">
        <f aca="false">IF(A570="","",IF(S570="","BYPASS",IF(ABS(S570)&lt;=Summary!$B$2,"PASS","FAIL")))</f>
        <v/>
      </c>
      <c r="U570" s="8" t="str">
        <f aca="false">IF(T570="BYPASS",IF(NOT(ISNUMBER(Q570)),"PreV_ETB missing","End_tr_balance missing"),IF(T570="FAIL",IF(AND(ISNUMBER(K570),ISNUMBER(L570),ABS(L570-(K570-IF(ISNUMBER(N570),N570,0)-IF(ISNUMBER(O570),O570,0)+IF(ISNUMBER(P570),P570,0)))&lt;=Summary!$B$2),"Passes using beginning_balance - PreV_ETB differs from beginning_balance",IF(AND(ISNUMBER(O570),O570&lt;0,ABS(L570-(Q570-IF(ISNUMBER(N570),N570,0)+IF(ISNUMBER(P570),P570,0)))&lt;=Summary!$B$2),"Negative realized loss not applied - check sign",IF(R570&lt;0,"Principal paid exceeds prior balance",IF(AND(L570&gt;Q570,NOT(ISNUMBER(P570))),"Balance increased but no Deferred_interest reported",IF(L570&gt;R570,"Reported balance higher than expected (missing increase/OC build)","Reported balance lower than expected (missing decrease)"))))),""))</f>
        <v/>
      </c>
    </row>
    <row r="571" customFormat="false" ht="15" hidden="false" customHeight="false" outlineLevel="0" collapsed="false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9"/>
      <c r="L571" s="9"/>
      <c r="M571" s="9"/>
      <c r="N571" s="9"/>
      <c r="O571" s="9"/>
      <c r="P571" s="9"/>
      <c r="Q571" s="9"/>
      <c r="R571" s="9" t="str">
        <f aca="false">IF(AND(A571&lt;&gt;"",ISNUMBER(Q571),ISNUMBER(L571)),ROUND(Q571-IF(ISNUMBER(N571),N571,0)-IF(ISNUMBER(O571),O571,0)+IF(ISNUMBER(P571),P571,0),2),"")</f>
        <v/>
      </c>
      <c r="S571" s="9" t="str">
        <f aca="false">IF(R571="","",ROUND(L571-R571,2))</f>
        <v/>
      </c>
      <c r="T571" s="8" t="str">
        <f aca="false">IF(A571="","",IF(S571="","BYPASS",IF(ABS(S571)&lt;=Summary!$B$2,"PASS","FAIL")))</f>
        <v/>
      </c>
      <c r="U571" s="8" t="str">
        <f aca="false">IF(T571="BYPASS",IF(NOT(ISNUMBER(Q571)),"PreV_ETB missing","End_tr_balance missing"),IF(T571="FAIL",IF(AND(ISNUMBER(K571),ISNUMBER(L571),ABS(L571-(K571-IF(ISNUMBER(N571),N571,0)-IF(ISNUMBER(O571),O571,0)+IF(ISNUMBER(P571),P571,0)))&lt;=Summary!$B$2),"Passes using beginning_balance - PreV_ETB differs from beginning_balance",IF(AND(ISNUMBER(O571),O571&lt;0,ABS(L571-(Q571-IF(ISNUMBER(N571),N571,0)+IF(ISNUMBER(P571),P571,0)))&lt;=Summary!$B$2),"Negative realized loss not applied - check sign",IF(R571&lt;0,"Principal paid exceeds prior balance",IF(AND(L571&gt;Q571,NOT(ISNUMBER(P571))),"Balance increased but no Deferred_interest reported",IF(L571&gt;R571,"Reported balance higher than expected (missing increase/OC build)","Reported balance lower than expected (missing decrease)"))))),""))</f>
        <v/>
      </c>
    </row>
    <row r="572" customFormat="false" ht="15" hidden="false" customHeight="false" outlineLevel="0" collapsed="false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9"/>
      <c r="L572" s="9"/>
      <c r="M572" s="9"/>
      <c r="N572" s="9"/>
      <c r="O572" s="9"/>
      <c r="P572" s="9"/>
      <c r="Q572" s="9"/>
      <c r="R572" s="9" t="str">
        <f aca="false">IF(AND(A572&lt;&gt;"",ISNUMBER(Q572),ISNUMBER(L572)),ROUND(Q572-IF(ISNUMBER(N572),N572,0)-IF(ISNUMBER(O572),O572,0)+IF(ISNUMBER(P572),P572,0),2),"")</f>
        <v/>
      </c>
      <c r="S572" s="9" t="str">
        <f aca="false">IF(R572="","",ROUND(L572-R572,2))</f>
        <v/>
      </c>
      <c r="T572" s="8" t="str">
        <f aca="false">IF(A572="","",IF(S572="","BYPASS",IF(ABS(S572)&lt;=Summary!$B$2,"PASS","FAIL")))</f>
        <v/>
      </c>
      <c r="U572" s="8" t="str">
        <f aca="false">IF(T572="BYPASS",IF(NOT(ISNUMBER(Q572)),"PreV_ETB missing","End_tr_balance missing"),IF(T572="FAIL",IF(AND(ISNUMBER(K572),ISNUMBER(L572),ABS(L572-(K572-IF(ISNUMBER(N572),N572,0)-IF(ISNUMBER(O572),O572,0)+IF(ISNUMBER(P572),P572,0)))&lt;=Summary!$B$2),"Passes using beginning_balance - PreV_ETB differs from beginning_balance",IF(AND(ISNUMBER(O572),O572&lt;0,ABS(L572-(Q572-IF(ISNUMBER(N572),N572,0)+IF(ISNUMBER(P572),P572,0)))&lt;=Summary!$B$2),"Negative realized loss not applied - check sign",IF(R572&lt;0,"Principal paid exceeds prior balance",IF(AND(L572&gt;Q572,NOT(ISNUMBER(P572))),"Balance increased but no Deferred_interest reported",IF(L572&gt;R572,"Reported balance higher than expected (missing increase/OC build)","Reported balance lower than expected (missing decrease)"))))),""))</f>
        <v/>
      </c>
    </row>
    <row r="573" customFormat="false" ht="15" hidden="false" customHeight="false" outlineLevel="0" collapsed="false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9"/>
      <c r="L573" s="9"/>
      <c r="M573" s="9"/>
      <c r="N573" s="9"/>
      <c r="O573" s="9"/>
      <c r="P573" s="9"/>
      <c r="Q573" s="9"/>
      <c r="R573" s="9" t="str">
        <f aca="false">IF(AND(A573&lt;&gt;"",ISNUMBER(Q573),ISNUMBER(L573)),ROUND(Q573-IF(ISNUMBER(N573),N573,0)-IF(ISNUMBER(O573),O573,0)+IF(ISNUMBER(P573),P573,0),2),"")</f>
        <v/>
      </c>
      <c r="S573" s="9" t="str">
        <f aca="false">IF(R573="","",ROUND(L573-R573,2))</f>
        <v/>
      </c>
      <c r="T573" s="8" t="str">
        <f aca="false">IF(A573="","",IF(S573="","BYPASS",IF(ABS(S573)&lt;=Summary!$B$2,"PASS","FAIL")))</f>
        <v/>
      </c>
      <c r="U573" s="8" t="str">
        <f aca="false">IF(T573="BYPASS",IF(NOT(ISNUMBER(Q573)),"PreV_ETB missing","End_tr_balance missing"),IF(T573="FAIL",IF(AND(ISNUMBER(K573),ISNUMBER(L573),ABS(L573-(K573-IF(ISNUMBER(N573),N573,0)-IF(ISNUMBER(O573),O573,0)+IF(ISNUMBER(P573),P573,0)))&lt;=Summary!$B$2),"Passes using beginning_balance - PreV_ETB differs from beginning_balance",IF(AND(ISNUMBER(O573),O573&lt;0,ABS(L573-(Q573-IF(ISNUMBER(N573),N573,0)+IF(ISNUMBER(P573),P573,0)))&lt;=Summary!$B$2),"Negative realized loss not applied - check sign",IF(R573&lt;0,"Principal paid exceeds prior balance",IF(AND(L573&gt;Q573,NOT(ISNUMBER(P573))),"Balance increased but no Deferred_interest reported",IF(L573&gt;R573,"Reported balance higher than expected (missing increase/OC build)","Reported balance lower than expected (missing decrease)"))))),""))</f>
        <v/>
      </c>
    </row>
    <row r="574" customFormat="false" ht="15" hidden="false" customHeight="false" outlineLevel="0" collapsed="false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9"/>
      <c r="L574" s="9"/>
      <c r="M574" s="9"/>
      <c r="N574" s="9"/>
      <c r="O574" s="9"/>
      <c r="P574" s="9"/>
      <c r="Q574" s="9"/>
      <c r="R574" s="9" t="str">
        <f aca="false">IF(AND(A574&lt;&gt;"",ISNUMBER(Q574),ISNUMBER(L574)),ROUND(Q574-IF(ISNUMBER(N574),N574,0)-IF(ISNUMBER(O574),O574,0)+IF(ISNUMBER(P574),P574,0),2),"")</f>
        <v/>
      </c>
      <c r="S574" s="9" t="str">
        <f aca="false">IF(R574="","",ROUND(L574-R574,2))</f>
        <v/>
      </c>
      <c r="T574" s="8" t="str">
        <f aca="false">IF(A574="","",IF(S574="","BYPASS",IF(ABS(S574)&lt;=Summary!$B$2,"PASS","FAIL")))</f>
        <v/>
      </c>
      <c r="U574" s="8" t="str">
        <f aca="false">IF(T574="BYPASS",IF(NOT(ISNUMBER(Q574)),"PreV_ETB missing","End_tr_balance missing"),IF(T574="FAIL",IF(AND(ISNUMBER(K574),ISNUMBER(L574),ABS(L574-(K574-IF(ISNUMBER(N574),N574,0)-IF(ISNUMBER(O574),O574,0)+IF(ISNUMBER(P574),P574,0)))&lt;=Summary!$B$2),"Passes using beginning_balance - PreV_ETB differs from beginning_balance",IF(AND(ISNUMBER(O574),O574&lt;0,ABS(L574-(Q574-IF(ISNUMBER(N574),N574,0)+IF(ISNUMBER(P574),P574,0)))&lt;=Summary!$B$2),"Negative realized loss not applied - check sign",IF(R574&lt;0,"Principal paid exceeds prior balance",IF(AND(L574&gt;Q574,NOT(ISNUMBER(P574))),"Balance increased but no Deferred_interest reported",IF(L574&gt;R574,"Reported balance higher than expected (missing increase/OC build)","Reported balance lower than expected (missing decrease)"))))),""))</f>
        <v/>
      </c>
    </row>
    <row r="575" customFormat="false" ht="15" hidden="false" customHeight="false" outlineLevel="0" collapsed="false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9"/>
      <c r="L575" s="9"/>
      <c r="M575" s="9"/>
      <c r="N575" s="9"/>
      <c r="O575" s="9"/>
      <c r="P575" s="9"/>
      <c r="Q575" s="9"/>
      <c r="R575" s="9" t="str">
        <f aca="false">IF(AND(A575&lt;&gt;"",ISNUMBER(Q575),ISNUMBER(L575)),ROUND(Q575-IF(ISNUMBER(N575),N575,0)-IF(ISNUMBER(O575),O575,0)+IF(ISNUMBER(P575),P575,0),2),"")</f>
        <v/>
      </c>
      <c r="S575" s="9" t="str">
        <f aca="false">IF(R575="","",ROUND(L575-R575,2))</f>
        <v/>
      </c>
      <c r="T575" s="8" t="str">
        <f aca="false">IF(A575="","",IF(S575="","BYPASS",IF(ABS(S575)&lt;=Summary!$B$2,"PASS","FAIL")))</f>
        <v/>
      </c>
      <c r="U575" s="8" t="str">
        <f aca="false">IF(T575="BYPASS",IF(NOT(ISNUMBER(Q575)),"PreV_ETB missing","End_tr_balance missing"),IF(T575="FAIL",IF(AND(ISNUMBER(K575),ISNUMBER(L575),ABS(L575-(K575-IF(ISNUMBER(N575),N575,0)-IF(ISNUMBER(O575),O575,0)+IF(ISNUMBER(P575),P575,0)))&lt;=Summary!$B$2),"Passes using beginning_balance - PreV_ETB differs from beginning_balance",IF(AND(ISNUMBER(O575),O575&lt;0,ABS(L575-(Q575-IF(ISNUMBER(N575),N575,0)+IF(ISNUMBER(P575),P575,0)))&lt;=Summary!$B$2),"Negative realized loss not applied - check sign",IF(R575&lt;0,"Principal paid exceeds prior balance",IF(AND(L575&gt;Q575,NOT(ISNUMBER(P575))),"Balance increased but no Deferred_interest reported",IF(L575&gt;R575,"Reported balance higher than expected (missing increase/OC build)","Reported balance lower than expected (missing decrease)"))))),""))</f>
        <v/>
      </c>
    </row>
    <row r="576" customFormat="false" ht="15" hidden="false" customHeight="false" outlineLevel="0" collapsed="false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9"/>
      <c r="L576" s="9"/>
      <c r="M576" s="9"/>
      <c r="N576" s="9"/>
      <c r="O576" s="9"/>
      <c r="P576" s="9"/>
      <c r="Q576" s="9"/>
      <c r="R576" s="9" t="str">
        <f aca="false">IF(AND(A576&lt;&gt;"",ISNUMBER(Q576),ISNUMBER(L576)),ROUND(Q576-IF(ISNUMBER(N576),N576,0)-IF(ISNUMBER(O576),O576,0)+IF(ISNUMBER(P576),P576,0),2),"")</f>
        <v/>
      </c>
      <c r="S576" s="9" t="str">
        <f aca="false">IF(R576="","",ROUND(L576-R576,2))</f>
        <v/>
      </c>
      <c r="T576" s="8" t="str">
        <f aca="false">IF(A576="","",IF(S576="","BYPASS",IF(ABS(S576)&lt;=Summary!$B$2,"PASS","FAIL")))</f>
        <v/>
      </c>
      <c r="U576" s="8" t="str">
        <f aca="false">IF(T576="BYPASS",IF(NOT(ISNUMBER(Q576)),"PreV_ETB missing","End_tr_balance missing"),IF(T576="FAIL",IF(AND(ISNUMBER(K576),ISNUMBER(L576),ABS(L576-(K576-IF(ISNUMBER(N576),N576,0)-IF(ISNUMBER(O576),O576,0)+IF(ISNUMBER(P576),P576,0)))&lt;=Summary!$B$2),"Passes using beginning_balance - PreV_ETB differs from beginning_balance",IF(AND(ISNUMBER(O576),O576&lt;0,ABS(L576-(Q576-IF(ISNUMBER(N576),N576,0)+IF(ISNUMBER(P576),P576,0)))&lt;=Summary!$B$2),"Negative realized loss not applied - check sign",IF(R576&lt;0,"Principal paid exceeds prior balance",IF(AND(L576&gt;Q576,NOT(ISNUMBER(P576))),"Balance increased but no Deferred_interest reported",IF(L576&gt;R576,"Reported balance higher than expected (missing increase/OC build)","Reported balance lower than expected (missing decrease)"))))),""))</f>
        <v/>
      </c>
    </row>
    <row r="577" customFormat="false" ht="15" hidden="false" customHeight="false" outlineLevel="0" collapsed="false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9"/>
      <c r="L577" s="9"/>
      <c r="M577" s="9"/>
      <c r="N577" s="9"/>
      <c r="O577" s="9"/>
      <c r="P577" s="9"/>
      <c r="Q577" s="9"/>
      <c r="R577" s="9" t="str">
        <f aca="false">IF(AND(A577&lt;&gt;"",ISNUMBER(Q577),ISNUMBER(L577)),ROUND(Q577-IF(ISNUMBER(N577),N577,0)-IF(ISNUMBER(O577),O577,0)+IF(ISNUMBER(P577),P577,0),2),"")</f>
        <v/>
      </c>
      <c r="S577" s="9" t="str">
        <f aca="false">IF(R577="","",ROUND(L577-R577,2))</f>
        <v/>
      </c>
      <c r="T577" s="8" t="str">
        <f aca="false">IF(A577="","",IF(S577="","BYPASS",IF(ABS(S577)&lt;=Summary!$B$2,"PASS","FAIL")))</f>
        <v/>
      </c>
      <c r="U577" s="8" t="str">
        <f aca="false">IF(T577="BYPASS",IF(NOT(ISNUMBER(Q577)),"PreV_ETB missing","End_tr_balance missing"),IF(T577="FAIL",IF(AND(ISNUMBER(K577),ISNUMBER(L577),ABS(L577-(K577-IF(ISNUMBER(N577),N577,0)-IF(ISNUMBER(O577),O577,0)+IF(ISNUMBER(P577),P577,0)))&lt;=Summary!$B$2),"Passes using beginning_balance - PreV_ETB differs from beginning_balance",IF(AND(ISNUMBER(O577),O577&lt;0,ABS(L577-(Q577-IF(ISNUMBER(N577),N577,0)+IF(ISNUMBER(P577),P577,0)))&lt;=Summary!$B$2),"Negative realized loss not applied - check sign",IF(R577&lt;0,"Principal paid exceeds prior balance",IF(AND(L577&gt;Q577,NOT(ISNUMBER(P577))),"Balance increased but no Deferred_interest reported",IF(L577&gt;R577,"Reported balance higher than expected (missing increase/OC build)","Reported balance lower than expected (missing decrease)"))))),""))</f>
        <v/>
      </c>
    </row>
    <row r="578" customFormat="false" ht="15" hidden="false" customHeight="false" outlineLevel="0" collapsed="false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9"/>
      <c r="L578" s="9"/>
      <c r="M578" s="9"/>
      <c r="N578" s="9"/>
      <c r="O578" s="9"/>
      <c r="P578" s="9"/>
      <c r="Q578" s="9"/>
      <c r="R578" s="9" t="str">
        <f aca="false">IF(AND(A578&lt;&gt;"",ISNUMBER(Q578),ISNUMBER(L578)),ROUND(Q578-IF(ISNUMBER(N578),N578,0)-IF(ISNUMBER(O578),O578,0)+IF(ISNUMBER(P578),P578,0),2),"")</f>
        <v/>
      </c>
      <c r="S578" s="9" t="str">
        <f aca="false">IF(R578="","",ROUND(L578-R578,2))</f>
        <v/>
      </c>
      <c r="T578" s="8" t="str">
        <f aca="false">IF(A578="","",IF(S578="","BYPASS",IF(ABS(S578)&lt;=Summary!$B$2,"PASS","FAIL")))</f>
        <v/>
      </c>
      <c r="U578" s="8" t="str">
        <f aca="false">IF(T578="BYPASS",IF(NOT(ISNUMBER(Q578)),"PreV_ETB missing","End_tr_balance missing"),IF(T578="FAIL",IF(AND(ISNUMBER(K578),ISNUMBER(L578),ABS(L578-(K578-IF(ISNUMBER(N578),N578,0)-IF(ISNUMBER(O578),O578,0)+IF(ISNUMBER(P578),P578,0)))&lt;=Summary!$B$2),"Passes using beginning_balance - PreV_ETB differs from beginning_balance",IF(AND(ISNUMBER(O578),O578&lt;0,ABS(L578-(Q578-IF(ISNUMBER(N578),N578,0)+IF(ISNUMBER(P578),P578,0)))&lt;=Summary!$B$2),"Negative realized loss not applied - check sign",IF(R578&lt;0,"Principal paid exceeds prior balance",IF(AND(L578&gt;Q578,NOT(ISNUMBER(P578))),"Balance increased but no Deferred_interest reported",IF(L578&gt;R578,"Reported balance higher than expected (missing increase/OC build)","Reported balance lower than expected (missing decrease)"))))),""))</f>
        <v/>
      </c>
    </row>
    <row r="579" customFormat="false" ht="15" hidden="false" customHeight="false" outlineLevel="0" collapsed="false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9"/>
      <c r="L579" s="9"/>
      <c r="M579" s="9"/>
      <c r="N579" s="9"/>
      <c r="O579" s="9"/>
      <c r="P579" s="9"/>
      <c r="Q579" s="9"/>
      <c r="R579" s="9" t="str">
        <f aca="false">IF(AND(A579&lt;&gt;"",ISNUMBER(Q579),ISNUMBER(L579)),ROUND(Q579-IF(ISNUMBER(N579),N579,0)-IF(ISNUMBER(O579),O579,0)+IF(ISNUMBER(P579),P579,0),2),"")</f>
        <v/>
      </c>
      <c r="S579" s="9" t="str">
        <f aca="false">IF(R579="","",ROUND(L579-R579,2))</f>
        <v/>
      </c>
      <c r="T579" s="8" t="str">
        <f aca="false">IF(A579="","",IF(S579="","BYPASS",IF(ABS(S579)&lt;=Summary!$B$2,"PASS","FAIL")))</f>
        <v/>
      </c>
      <c r="U579" s="8" t="str">
        <f aca="false">IF(T579="BYPASS",IF(NOT(ISNUMBER(Q579)),"PreV_ETB missing","End_tr_balance missing"),IF(T579="FAIL",IF(AND(ISNUMBER(K579),ISNUMBER(L579),ABS(L579-(K579-IF(ISNUMBER(N579),N579,0)-IF(ISNUMBER(O579),O579,0)+IF(ISNUMBER(P579),P579,0)))&lt;=Summary!$B$2),"Passes using beginning_balance - PreV_ETB differs from beginning_balance",IF(AND(ISNUMBER(O579),O579&lt;0,ABS(L579-(Q579-IF(ISNUMBER(N579),N579,0)+IF(ISNUMBER(P579),P579,0)))&lt;=Summary!$B$2),"Negative realized loss not applied - check sign",IF(R579&lt;0,"Principal paid exceeds prior balance",IF(AND(L579&gt;Q579,NOT(ISNUMBER(P579))),"Balance increased but no Deferred_interest reported",IF(L579&gt;R579,"Reported balance higher than expected (missing increase/OC build)","Reported balance lower than expected (missing decrease)"))))),""))</f>
        <v/>
      </c>
    </row>
    <row r="580" customFormat="false" ht="15" hidden="false" customHeight="false" outlineLevel="0" collapsed="false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9"/>
      <c r="L580" s="9"/>
      <c r="M580" s="9"/>
      <c r="N580" s="9"/>
      <c r="O580" s="9"/>
      <c r="P580" s="9"/>
      <c r="Q580" s="9"/>
      <c r="R580" s="9" t="str">
        <f aca="false">IF(AND(A580&lt;&gt;"",ISNUMBER(Q580),ISNUMBER(L580)),ROUND(Q580-IF(ISNUMBER(N580),N580,0)-IF(ISNUMBER(O580),O580,0)+IF(ISNUMBER(P580),P580,0),2),"")</f>
        <v/>
      </c>
      <c r="S580" s="9" t="str">
        <f aca="false">IF(R580="","",ROUND(L580-R580,2))</f>
        <v/>
      </c>
      <c r="T580" s="8" t="str">
        <f aca="false">IF(A580="","",IF(S580="","BYPASS",IF(ABS(S580)&lt;=Summary!$B$2,"PASS","FAIL")))</f>
        <v/>
      </c>
      <c r="U580" s="8" t="str">
        <f aca="false">IF(T580="BYPASS",IF(NOT(ISNUMBER(Q580)),"PreV_ETB missing","End_tr_balance missing"),IF(T580="FAIL",IF(AND(ISNUMBER(K580),ISNUMBER(L580),ABS(L580-(K580-IF(ISNUMBER(N580),N580,0)-IF(ISNUMBER(O580),O580,0)+IF(ISNUMBER(P580),P580,0)))&lt;=Summary!$B$2),"Passes using beginning_balance - PreV_ETB differs from beginning_balance",IF(AND(ISNUMBER(O580),O580&lt;0,ABS(L580-(Q580-IF(ISNUMBER(N580),N580,0)+IF(ISNUMBER(P580),P580,0)))&lt;=Summary!$B$2),"Negative realized loss not applied - check sign",IF(R580&lt;0,"Principal paid exceeds prior balance",IF(AND(L580&gt;Q580,NOT(ISNUMBER(P580))),"Balance increased but no Deferred_interest reported",IF(L580&gt;R580,"Reported balance higher than expected (missing increase/OC build)","Reported balance lower than expected (missing decrease)"))))),""))</f>
        <v/>
      </c>
    </row>
    <row r="581" customFormat="false" ht="15" hidden="false" customHeight="false" outlineLevel="0" collapsed="false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9"/>
      <c r="L581" s="9"/>
      <c r="M581" s="9"/>
      <c r="N581" s="9"/>
      <c r="O581" s="9"/>
      <c r="P581" s="9"/>
      <c r="Q581" s="9"/>
      <c r="R581" s="9" t="str">
        <f aca="false">IF(AND(A581&lt;&gt;"",ISNUMBER(Q581),ISNUMBER(L581)),ROUND(Q581-IF(ISNUMBER(N581),N581,0)-IF(ISNUMBER(O581),O581,0)+IF(ISNUMBER(P581),P581,0),2),"")</f>
        <v/>
      </c>
      <c r="S581" s="9" t="str">
        <f aca="false">IF(R581="","",ROUND(L581-R581,2))</f>
        <v/>
      </c>
      <c r="T581" s="8" t="str">
        <f aca="false">IF(A581="","",IF(S581="","BYPASS",IF(ABS(S581)&lt;=Summary!$B$2,"PASS","FAIL")))</f>
        <v/>
      </c>
      <c r="U581" s="8" t="str">
        <f aca="false">IF(T581="BYPASS",IF(NOT(ISNUMBER(Q581)),"PreV_ETB missing","End_tr_balance missing"),IF(T581="FAIL",IF(AND(ISNUMBER(K581),ISNUMBER(L581),ABS(L581-(K581-IF(ISNUMBER(N581),N581,0)-IF(ISNUMBER(O581),O581,0)+IF(ISNUMBER(P581),P581,0)))&lt;=Summary!$B$2),"Passes using beginning_balance - PreV_ETB differs from beginning_balance",IF(AND(ISNUMBER(O581),O581&lt;0,ABS(L581-(Q581-IF(ISNUMBER(N581),N581,0)+IF(ISNUMBER(P581),P581,0)))&lt;=Summary!$B$2),"Negative realized loss not applied - check sign",IF(R581&lt;0,"Principal paid exceeds prior balance",IF(AND(L581&gt;Q581,NOT(ISNUMBER(P581))),"Balance increased but no Deferred_interest reported",IF(L581&gt;R581,"Reported balance higher than expected (missing increase/OC build)","Reported balance lower than expected (missing decrease)"))))),""))</f>
        <v/>
      </c>
    </row>
    <row r="582" customFormat="false" ht="15" hidden="false" customHeight="false" outlineLevel="0" collapsed="false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9"/>
      <c r="L582" s="9"/>
      <c r="M582" s="9"/>
      <c r="N582" s="9"/>
      <c r="O582" s="9"/>
      <c r="P582" s="9"/>
      <c r="Q582" s="9"/>
      <c r="R582" s="9" t="str">
        <f aca="false">IF(AND(A582&lt;&gt;"",ISNUMBER(Q582),ISNUMBER(L582)),ROUND(Q582-IF(ISNUMBER(N582),N582,0)-IF(ISNUMBER(O582),O582,0)+IF(ISNUMBER(P582),P582,0),2),"")</f>
        <v/>
      </c>
      <c r="S582" s="9" t="str">
        <f aca="false">IF(R582="","",ROUND(L582-R582,2))</f>
        <v/>
      </c>
      <c r="T582" s="8" t="str">
        <f aca="false">IF(A582="","",IF(S582="","BYPASS",IF(ABS(S582)&lt;=Summary!$B$2,"PASS","FAIL")))</f>
        <v/>
      </c>
      <c r="U582" s="8" t="str">
        <f aca="false">IF(T582="BYPASS",IF(NOT(ISNUMBER(Q582)),"PreV_ETB missing","End_tr_balance missing"),IF(T582="FAIL",IF(AND(ISNUMBER(K582),ISNUMBER(L582),ABS(L582-(K582-IF(ISNUMBER(N582),N582,0)-IF(ISNUMBER(O582),O582,0)+IF(ISNUMBER(P582),P582,0)))&lt;=Summary!$B$2),"Passes using beginning_balance - PreV_ETB differs from beginning_balance",IF(AND(ISNUMBER(O582),O582&lt;0,ABS(L582-(Q582-IF(ISNUMBER(N582),N582,0)+IF(ISNUMBER(P582),P582,0)))&lt;=Summary!$B$2),"Negative realized loss not applied - check sign",IF(R582&lt;0,"Principal paid exceeds prior balance",IF(AND(L582&gt;Q582,NOT(ISNUMBER(P582))),"Balance increased but no Deferred_interest reported",IF(L582&gt;R582,"Reported balance higher than expected (missing increase/OC build)","Reported balance lower than expected (missing decrease)"))))),""))</f>
        <v/>
      </c>
    </row>
    <row r="583" customFormat="false" ht="15" hidden="false" customHeight="false" outlineLevel="0" collapsed="false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9"/>
      <c r="L583" s="9"/>
      <c r="M583" s="9"/>
      <c r="N583" s="9"/>
      <c r="O583" s="9"/>
      <c r="P583" s="9"/>
      <c r="Q583" s="9"/>
      <c r="R583" s="9" t="str">
        <f aca="false">IF(AND(A583&lt;&gt;"",ISNUMBER(Q583),ISNUMBER(L583)),ROUND(Q583-IF(ISNUMBER(N583),N583,0)-IF(ISNUMBER(O583),O583,0)+IF(ISNUMBER(P583),P583,0),2),"")</f>
        <v/>
      </c>
      <c r="S583" s="9" t="str">
        <f aca="false">IF(R583="","",ROUND(L583-R583,2))</f>
        <v/>
      </c>
      <c r="T583" s="8" t="str">
        <f aca="false">IF(A583="","",IF(S583="","BYPASS",IF(ABS(S583)&lt;=Summary!$B$2,"PASS","FAIL")))</f>
        <v/>
      </c>
      <c r="U583" s="8" t="str">
        <f aca="false">IF(T583="BYPASS",IF(NOT(ISNUMBER(Q583)),"PreV_ETB missing","End_tr_balance missing"),IF(T583="FAIL",IF(AND(ISNUMBER(K583),ISNUMBER(L583),ABS(L583-(K583-IF(ISNUMBER(N583),N583,0)-IF(ISNUMBER(O583),O583,0)+IF(ISNUMBER(P583),P583,0)))&lt;=Summary!$B$2),"Passes using beginning_balance - PreV_ETB differs from beginning_balance",IF(AND(ISNUMBER(O583),O583&lt;0,ABS(L583-(Q583-IF(ISNUMBER(N583),N583,0)+IF(ISNUMBER(P583),P583,0)))&lt;=Summary!$B$2),"Negative realized loss not applied - check sign",IF(R583&lt;0,"Principal paid exceeds prior balance",IF(AND(L583&gt;Q583,NOT(ISNUMBER(P583))),"Balance increased but no Deferred_interest reported",IF(L583&gt;R583,"Reported balance higher than expected (missing increase/OC build)","Reported balance lower than expected (missing decrease)"))))),""))</f>
        <v/>
      </c>
    </row>
    <row r="584" customFormat="false" ht="15" hidden="false" customHeight="false" outlineLevel="0" collapsed="false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9"/>
      <c r="L584" s="9"/>
      <c r="M584" s="9"/>
      <c r="N584" s="9"/>
      <c r="O584" s="9"/>
      <c r="P584" s="9"/>
      <c r="Q584" s="9"/>
      <c r="R584" s="9" t="str">
        <f aca="false">IF(AND(A584&lt;&gt;"",ISNUMBER(Q584),ISNUMBER(L584)),ROUND(Q584-IF(ISNUMBER(N584),N584,0)-IF(ISNUMBER(O584),O584,0)+IF(ISNUMBER(P584),P584,0),2),"")</f>
        <v/>
      </c>
      <c r="S584" s="9" t="str">
        <f aca="false">IF(R584="","",ROUND(L584-R584,2))</f>
        <v/>
      </c>
      <c r="T584" s="8" t="str">
        <f aca="false">IF(A584="","",IF(S584="","BYPASS",IF(ABS(S584)&lt;=Summary!$B$2,"PASS","FAIL")))</f>
        <v/>
      </c>
      <c r="U584" s="8" t="str">
        <f aca="false">IF(T584="BYPASS",IF(NOT(ISNUMBER(Q584)),"PreV_ETB missing","End_tr_balance missing"),IF(T584="FAIL",IF(AND(ISNUMBER(K584),ISNUMBER(L584),ABS(L584-(K584-IF(ISNUMBER(N584),N584,0)-IF(ISNUMBER(O584),O584,0)+IF(ISNUMBER(P584),P584,0)))&lt;=Summary!$B$2),"Passes using beginning_balance - PreV_ETB differs from beginning_balance",IF(AND(ISNUMBER(O584),O584&lt;0,ABS(L584-(Q584-IF(ISNUMBER(N584),N584,0)+IF(ISNUMBER(P584),P584,0)))&lt;=Summary!$B$2),"Negative realized loss not applied - check sign",IF(R584&lt;0,"Principal paid exceeds prior balance",IF(AND(L584&gt;Q584,NOT(ISNUMBER(P584))),"Balance increased but no Deferred_interest reported",IF(L584&gt;R584,"Reported balance higher than expected (missing increase/OC build)","Reported balance lower than expected (missing decrease)"))))),""))</f>
        <v/>
      </c>
    </row>
    <row r="585" customFormat="false" ht="15" hidden="false" customHeight="false" outlineLevel="0" collapsed="false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9"/>
      <c r="L585" s="9"/>
      <c r="M585" s="9"/>
      <c r="N585" s="9"/>
      <c r="O585" s="9"/>
      <c r="P585" s="9"/>
      <c r="Q585" s="9"/>
      <c r="R585" s="9" t="str">
        <f aca="false">IF(AND(A585&lt;&gt;"",ISNUMBER(Q585),ISNUMBER(L585)),ROUND(Q585-IF(ISNUMBER(N585),N585,0)-IF(ISNUMBER(O585),O585,0)+IF(ISNUMBER(P585),P585,0),2),"")</f>
        <v/>
      </c>
      <c r="S585" s="9" t="str">
        <f aca="false">IF(R585="","",ROUND(L585-R585,2))</f>
        <v/>
      </c>
      <c r="T585" s="8" t="str">
        <f aca="false">IF(A585="","",IF(S585="","BYPASS",IF(ABS(S585)&lt;=Summary!$B$2,"PASS","FAIL")))</f>
        <v/>
      </c>
      <c r="U585" s="8" t="str">
        <f aca="false">IF(T585="BYPASS",IF(NOT(ISNUMBER(Q585)),"PreV_ETB missing","End_tr_balance missing"),IF(T585="FAIL",IF(AND(ISNUMBER(K585),ISNUMBER(L585),ABS(L585-(K585-IF(ISNUMBER(N585),N585,0)-IF(ISNUMBER(O585),O585,0)+IF(ISNUMBER(P585),P585,0)))&lt;=Summary!$B$2),"Passes using beginning_balance - PreV_ETB differs from beginning_balance",IF(AND(ISNUMBER(O585),O585&lt;0,ABS(L585-(Q585-IF(ISNUMBER(N585),N585,0)+IF(ISNUMBER(P585),P585,0)))&lt;=Summary!$B$2),"Negative realized loss not applied - check sign",IF(R585&lt;0,"Principal paid exceeds prior balance",IF(AND(L585&gt;Q585,NOT(ISNUMBER(P585))),"Balance increased but no Deferred_interest reported",IF(L585&gt;R585,"Reported balance higher than expected (missing increase/OC build)","Reported balance lower than expected (missing decrease)"))))),""))</f>
        <v/>
      </c>
    </row>
    <row r="586" customFormat="false" ht="15" hidden="false" customHeight="false" outlineLevel="0" collapsed="false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9"/>
      <c r="L586" s="9"/>
      <c r="M586" s="9"/>
      <c r="N586" s="9"/>
      <c r="O586" s="9"/>
      <c r="P586" s="9"/>
      <c r="Q586" s="9"/>
      <c r="R586" s="9" t="str">
        <f aca="false">IF(AND(A586&lt;&gt;"",ISNUMBER(Q586),ISNUMBER(L586)),ROUND(Q586-IF(ISNUMBER(N586),N586,0)-IF(ISNUMBER(O586),O586,0)+IF(ISNUMBER(P586),P586,0),2),"")</f>
        <v/>
      </c>
      <c r="S586" s="9" t="str">
        <f aca="false">IF(R586="","",ROUND(L586-R586,2))</f>
        <v/>
      </c>
      <c r="T586" s="8" t="str">
        <f aca="false">IF(A586="","",IF(S586="","BYPASS",IF(ABS(S586)&lt;=Summary!$B$2,"PASS","FAIL")))</f>
        <v/>
      </c>
      <c r="U586" s="8" t="str">
        <f aca="false">IF(T586="BYPASS",IF(NOT(ISNUMBER(Q586)),"PreV_ETB missing","End_tr_balance missing"),IF(T586="FAIL",IF(AND(ISNUMBER(K586),ISNUMBER(L586),ABS(L586-(K586-IF(ISNUMBER(N586),N586,0)-IF(ISNUMBER(O586),O586,0)+IF(ISNUMBER(P586),P586,0)))&lt;=Summary!$B$2),"Passes using beginning_balance - PreV_ETB differs from beginning_balance",IF(AND(ISNUMBER(O586),O586&lt;0,ABS(L586-(Q586-IF(ISNUMBER(N586),N586,0)+IF(ISNUMBER(P586),P586,0)))&lt;=Summary!$B$2),"Negative realized loss not applied - check sign",IF(R586&lt;0,"Principal paid exceeds prior balance",IF(AND(L586&gt;Q586,NOT(ISNUMBER(P586))),"Balance increased but no Deferred_interest reported",IF(L586&gt;R586,"Reported balance higher than expected (missing increase/OC build)","Reported balance lower than expected (missing decrease)"))))),""))</f>
        <v/>
      </c>
    </row>
    <row r="587" customFormat="false" ht="15" hidden="false" customHeight="false" outlineLevel="0" collapsed="false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9"/>
      <c r="L587" s="9"/>
      <c r="M587" s="9"/>
      <c r="N587" s="9"/>
      <c r="O587" s="9"/>
      <c r="P587" s="9"/>
      <c r="Q587" s="9"/>
      <c r="R587" s="9" t="str">
        <f aca="false">IF(AND(A587&lt;&gt;"",ISNUMBER(Q587),ISNUMBER(L587)),ROUND(Q587-IF(ISNUMBER(N587),N587,0)-IF(ISNUMBER(O587),O587,0)+IF(ISNUMBER(P587),P587,0),2),"")</f>
        <v/>
      </c>
      <c r="S587" s="9" t="str">
        <f aca="false">IF(R587="","",ROUND(L587-R587,2))</f>
        <v/>
      </c>
      <c r="T587" s="8" t="str">
        <f aca="false">IF(A587="","",IF(S587="","BYPASS",IF(ABS(S587)&lt;=Summary!$B$2,"PASS","FAIL")))</f>
        <v/>
      </c>
      <c r="U587" s="8" t="str">
        <f aca="false">IF(T587="BYPASS",IF(NOT(ISNUMBER(Q587)),"PreV_ETB missing","End_tr_balance missing"),IF(T587="FAIL",IF(AND(ISNUMBER(K587),ISNUMBER(L587),ABS(L587-(K587-IF(ISNUMBER(N587),N587,0)-IF(ISNUMBER(O587),O587,0)+IF(ISNUMBER(P587),P587,0)))&lt;=Summary!$B$2),"Passes using beginning_balance - PreV_ETB differs from beginning_balance",IF(AND(ISNUMBER(O587),O587&lt;0,ABS(L587-(Q587-IF(ISNUMBER(N587),N587,0)+IF(ISNUMBER(P587),P587,0)))&lt;=Summary!$B$2),"Negative realized loss not applied - check sign",IF(R587&lt;0,"Principal paid exceeds prior balance",IF(AND(L587&gt;Q587,NOT(ISNUMBER(P587))),"Balance increased but no Deferred_interest reported",IF(L587&gt;R587,"Reported balance higher than expected (missing increase/OC build)","Reported balance lower than expected (missing decrease)"))))),""))</f>
        <v/>
      </c>
    </row>
    <row r="588" customFormat="false" ht="15" hidden="false" customHeight="false" outlineLevel="0" collapsed="false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9"/>
      <c r="L588" s="9"/>
      <c r="M588" s="9"/>
      <c r="N588" s="9"/>
      <c r="O588" s="9"/>
      <c r="P588" s="9"/>
      <c r="Q588" s="9"/>
      <c r="R588" s="9" t="str">
        <f aca="false">IF(AND(A588&lt;&gt;"",ISNUMBER(Q588),ISNUMBER(L588)),ROUND(Q588-IF(ISNUMBER(N588),N588,0)-IF(ISNUMBER(O588),O588,0)+IF(ISNUMBER(P588),P588,0),2),"")</f>
        <v/>
      </c>
      <c r="S588" s="9" t="str">
        <f aca="false">IF(R588="","",ROUND(L588-R588,2))</f>
        <v/>
      </c>
      <c r="T588" s="8" t="str">
        <f aca="false">IF(A588="","",IF(S588="","BYPASS",IF(ABS(S588)&lt;=Summary!$B$2,"PASS","FAIL")))</f>
        <v/>
      </c>
      <c r="U588" s="8" t="str">
        <f aca="false">IF(T588="BYPASS",IF(NOT(ISNUMBER(Q588)),"PreV_ETB missing","End_tr_balance missing"),IF(T588="FAIL",IF(AND(ISNUMBER(K588),ISNUMBER(L588),ABS(L588-(K588-IF(ISNUMBER(N588),N588,0)-IF(ISNUMBER(O588),O588,0)+IF(ISNUMBER(P588),P588,0)))&lt;=Summary!$B$2),"Passes using beginning_balance - PreV_ETB differs from beginning_balance",IF(AND(ISNUMBER(O588),O588&lt;0,ABS(L588-(Q588-IF(ISNUMBER(N588),N588,0)+IF(ISNUMBER(P588),P588,0)))&lt;=Summary!$B$2),"Negative realized loss not applied - check sign",IF(R588&lt;0,"Principal paid exceeds prior balance",IF(AND(L588&gt;Q588,NOT(ISNUMBER(P588))),"Balance increased but no Deferred_interest reported",IF(L588&gt;R588,"Reported balance higher than expected (missing increase/OC build)","Reported balance lower than expected (missing decrease)"))))),""))</f>
        <v/>
      </c>
    </row>
    <row r="589" customFormat="false" ht="15" hidden="false" customHeight="false" outlineLevel="0" collapsed="false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9"/>
      <c r="L589" s="9"/>
      <c r="M589" s="9"/>
      <c r="N589" s="9"/>
      <c r="O589" s="9"/>
      <c r="P589" s="9"/>
      <c r="Q589" s="9"/>
      <c r="R589" s="9" t="str">
        <f aca="false">IF(AND(A589&lt;&gt;"",ISNUMBER(Q589),ISNUMBER(L589)),ROUND(Q589-IF(ISNUMBER(N589),N589,0)-IF(ISNUMBER(O589),O589,0)+IF(ISNUMBER(P589),P589,0),2),"")</f>
        <v/>
      </c>
      <c r="S589" s="9" t="str">
        <f aca="false">IF(R589="","",ROUND(L589-R589,2))</f>
        <v/>
      </c>
      <c r="T589" s="8" t="str">
        <f aca="false">IF(A589="","",IF(S589="","BYPASS",IF(ABS(S589)&lt;=Summary!$B$2,"PASS","FAIL")))</f>
        <v/>
      </c>
      <c r="U589" s="8" t="str">
        <f aca="false">IF(T589="BYPASS",IF(NOT(ISNUMBER(Q589)),"PreV_ETB missing","End_tr_balance missing"),IF(T589="FAIL",IF(AND(ISNUMBER(K589),ISNUMBER(L589),ABS(L589-(K589-IF(ISNUMBER(N589),N589,0)-IF(ISNUMBER(O589),O589,0)+IF(ISNUMBER(P589),P589,0)))&lt;=Summary!$B$2),"Passes using beginning_balance - PreV_ETB differs from beginning_balance",IF(AND(ISNUMBER(O589),O589&lt;0,ABS(L589-(Q589-IF(ISNUMBER(N589),N589,0)+IF(ISNUMBER(P589),P589,0)))&lt;=Summary!$B$2),"Negative realized loss not applied - check sign",IF(R589&lt;0,"Principal paid exceeds prior balance",IF(AND(L589&gt;Q589,NOT(ISNUMBER(P589))),"Balance increased but no Deferred_interest reported",IF(L589&gt;R589,"Reported balance higher than expected (missing increase/OC build)","Reported balance lower than expected (missing decrease)"))))),""))</f>
        <v/>
      </c>
    </row>
    <row r="590" customFormat="false" ht="15" hidden="false" customHeight="false" outlineLevel="0" collapsed="false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9"/>
      <c r="L590" s="9"/>
      <c r="M590" s="9"/>
      <c r="N590" s="9"/>
      <c r="O590" s="9"/>
      <c r="P590" s="9"/>
      <c r="Q590" s="9"/>
      <c r="R590" s="9" t="str">
        <f aca="false">IF(AND(A590&lt;&gt;"",ISNUMBER(Q590),ISNUMBER(L590)),ROUND(Q590-IF(ISNUMBER(N590),N590,0)-IF(ISNUMBER(O590),O590,0)+IF(ISNUMBER(P590),P590,0),2),"")</f>
        <v/>
      </c>
      <c r="S590" s="9" t="str">
        <f aca="false">IF(R590="","",ROUND(L590-R590,2))</f>
        <v/>
      </c>
      <c r="T590" s="8" t="str">
        <f aca="false">IF(A590="","",IF(S590="","BYPASS",IF(ABS(S590)&lt;=Summary!$B$2,"PASS","FAIL")))</f>
        <v/>
      </c>
      <c r="U590" s="8" t="str">
        <f aca="false">IF(T590="BYPASS",IF(NOT(ISNUMBER(Q590)),"PreV_ETB missing","End_tr_balance missing"),IF(T590="FAIL",IF(AND(ISNUMBER(K590),ISNUMBER(L590),ABS(L590-(K590-IF(ISNUMBER(N590),N590,0)-IF(ISNUMBER(O590),O590,0)+IF(ISNUMBER(P590),P590,0)))&lt;=Summary!$B$2),"Passes using beginning_balance - PreV_ETB differs from beginning_balance",IF(AND(ISNUMBER(O590),O590&lt;0,ABS(L590-(Q590-IF(ISNUMBER(N590),N590,0)+IF(ISNUMBER(P590),P590,0)))&lt;=Summary!$B$2),"Negative realized loss not applied - check sign",IF(R590&lt;0,"Principal paid exceeds prior balance",IF(AND(L590&gt;Q590,NOT(ISNUMBER(P590))),"Balance increased but no Deferred_interest reported",IF(L590&gt;R590,"Reported balance higher than expected (missing increase/OC build)","Reported balance lower than expected (missing decrease)"))))),""))</f>
        <v/>
      </c>
    </row>
    <row r="591" customFormat="false" ht="15" hidden="false" customHeight="false" outlineLevel="0" collapsed="false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9"/>
      <c r="L591" s="9"/>
      <c r="M591" s="9"/>
      <c r="N591" s="9"/>
      <c r="O591" s="9"/>
      <c r="P591" s="9"/>
      <c r="Q591" s="9"/>
      <c r="R591" s="9" t="str">
        <f aca="false">IF(AND(A591&lt;&gt;"",ISNUMBER(Q591),ISNUMBER(L591)),ROUND(Q591-IF(ISNUMBER(N591),N591,0)-IF(ISNUMBER(O591),O591,0)+IF(ISNUMBER(P591),P591,0),2),"")</f>
        <v/>
      </c>
      <c r="S591" s="9" t="str">
        <f aca="false">IF(R591="","",ROUND(L591-R591,2))</f>
        <v/>
      </c>
      <c r="T591" s="8" t="str">
        <f aca="false">IF(A591="","",IF(S591="","BYPASS",IF(ABS(S591)&lt;=Summary!$B$2,"PASS","FAIL")))</f>
        <v/>
      </c>
      <c r="U591" s="8" t="str">
        <f aca="false">IF(T591="BYPASS",IF(NOT(ISNUMBER(Q591)),"PreV_ETB missing","End_tr_balance missing"),IF(T591="FAIL",IF(AND(ISNUMBER(K591),ISNUMBER(L591),ABS(L591-(K591-IF(ISNUMBER(N591),N591,0)-IF(ISNUMBER(O591),O591,0)+IF(ISNUMBER(P591),P591,0)))&lt;=Summary!$B$2),"Passes using beginning_balance - PreV_ETB differs from beginning_balance",IF(AND(ISNUMBER(O591),O591&lt;0,ABS(L591-(Q591-IF(ISNUMBER(N591),N591,0)+IF(ISNUMBER(P591),P591,0)))&lt;=Summary!$B$2),"Negative realized loss not applied - check sign",IF(R591&lt;0,"Principal paid exceeds prior balance",IF(AND(L591&gt;Q591,NOT(ISNUMBER(P591))),"Balance increased but no Deferred_interest reported",IF(L591&gt;R591,"Reported balance higher than expected (missing increase/OC build)","Reported balance lower than expected (missing decrease)"))))),""))</f>
        <v/>
      </c>
    </row>
    <row r="592" customFormat="false" ht="15" hidden="false" customHeight="false" outlineLevel="0" collapsed="false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9"/>
      <c r="L592" s="9"/>
      <c r="M592" s="9"/>
      <c r="N592" s="9"/>
      <c r="O592" s="9"/>
      <c r="P592" s="9"/>
      <c r="Q592" s="9"/>
      <c r="R592" s="9" t="str">
        <f aca="false">IF(AND(A592&lt;&gt;"",ISNUMBER(Q592),ISNUMBER(L592)),ROUND(Q592-IF(ISNUMBER(N592),N592,0)-IF(ISNUMBER(O592),O592,0)+IF(ISNUMBER(P592),P592,0),2),"")</f>
        <v/>
      </c>
      <c r="S592" s="9" t="str">
        <f aca="false">IF(R592="","",ROUND(L592-R592,2))</f>
        <v/>
      </c>
      <c r="T592" s="8" t="str">
        <f aca="false">IF(A592="","",IF(S592="","BYPASS",IF(ABS(S592)&lt;=Summary!$B$2,"PASS","FAIL")))</f>
        <v/>
      </c>
      <c r="U592" s="8" t="str">
        <f aca="false">IF(T592="BYPASS",IF(NOT(ISNUMBER(Q592)),"PreV_ETB missing","End_tr_balance missing"),IF(T592="FAIL",IF(AND(ISNUMBER(K592),ISNUMBER(L592),ABS(L592-(K592-IF(ISNUMBER(N592),N592,0)-IF(ISNUMBER(O592),O592,0)+IF(ISNUMBER(P592),P592,0)))&lt;=Summary!$B$2),"Passes using beginning_balance - PreV_ETB differs from beginning_balance",IF(AND(ISNUMBER(O592),O592&lt;0,ABS(L592-(Q592-IF(ISNUMBER(N592),N592,0)+IF(ISNUMBER(P592),P592,0)))&lt;=Summary!$B$2),"Negative realized loss not applied - check sign",IF(R592&lt;0,"Principal paid exceeds prior balance",IF(AND(L592&gt;Q592,NOT(ISNUMBER(P592))),"Balance increased but no Deferred_interest reported",IF(L592&gt;R592,"Reported balance higher than expected (missing increase/OC build)","Reported balance lower than expected (missing decrease)"))))),""))</f>
        <v/>
      </c>
    </row>
    <row r="593" customFormat="false" ht="15" hidden="false" customHeight="false" outlineLevel="0" collapsed="false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9"/>
      <c r="L593" s="9"/>
      <c r="M593" s="9"/>
      <c r="N593" s="9"/>
      <c r="O593" s="9"/>
      <c r="P593" s="9"/>
      <c r="Q593" s="9"/>
      <c r="R593" s="9" t="str">
        <f aca="false">IF(AND(A593&lt;&gt;"",ISNUMBER(Q593),ISNUMBER(L593)),ROUND(Q593-IF(ISNUMBER(N593),N593,0)-IF(ISNUMBER(O593),O593,0)+IF(ISNUMBER(P593),P593,0),2),"")</f>
        <v/>
      </c>
      <c r="S593" s="9" t="str">
        <f aca="false">IF(R593="","",ROUND(L593-R593,2))</f>
        <v/>
      </c>
      <c r="T593" s="8" t="str">
        <f aca="false">IF(A593="","",IF(S593="","BYPASS",IF(ABS(S593)&lt;=Summary!$B$2,"PASS","FAIL")))</f>
        <v/>
      </c>
      <c r="U593" s="8" t="str">
        <f aca="false">IF(T593="BYPASS",IF(NOT(ISNUMBER(Q593)),"PreV_ETB missing","End_tr_balance missing"),IF(T593="FAIL",IF(AND(ISNUMBER(K593),ISNUMBER(L593),ABS(L593-(K593-IF(ISNUMBER(N593),N593,0)-IF(ISNUMBER(O593),O593,0)+IF(ISNUMBER(P593),P593,0)))&lt;=Summary!$B$2),"Passes using beginning_balance - PreV_ETB differs from beginning_balance",IF(AND(ISNUMBER(O593),O593&lt;0,ABS(L593-(Q593-IF(ISNUMBER(N593),N593,0)+IF(ISNUMBER(P593),P593,0)))&lt;=Summary!$B$2),"Negative realized loss not applied - check sign",IF(R593&lt;0,"Principal paid exceeds prior balance",IF(AND(L593&gt;Q593,NOT(ISNUMBER(P593))),"Balance increased but no Deferred_interest reported",IF(L593&gt;R593,"Reported balance higher than expected (missing increase/OC build)","Reported balance lower than expected (missing decrease)"))))),""))</f>
        <v/>
      </c>
    </row>
    <row r="594" customFormat="false" ht="15" hidden="false" customHeight="false" outlineLevel="0" collapsed="false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9"/>
      <c r="L594" s="9"/>
      <c r="M594" s="9"/>
      <c r="N594" s="9"/>
      <c r="O594" s="9"/>
      <c r="P594" s="9"/>
      <c r="Q594" s="9"/>
      <c r="R594" s="9" t="str">
        <f aca="false">IF(AND(A594&lt;&gt;"",ISNUMBER(Q594),ISNUMBER(L594)),ROUND(Q594-IF(ISNUMBER(N594),N594,0)-IF(ISNUMBER(O594),O594,0)+IF(ISNUMBER(P594),P594,0),2),"")</f>
        <v/>
      </c>
      <c r="S594" s="9" t="str">
        <f aca="false">IF(R594="","",ROUND(L594-R594,2))</f>
        <v/>
      </c>
      <c r="T594" s="8" t="str">
        <f aca="false">IF(A594="","",IF(S594="","BYPASS",IF(ABS(S594)&lt;=Summary!$B$2,"PASS","FAIL")))</f>
        <v/>
      </c>
      <c r="U594" s="8" t="str">
        <f aca="false">IF(T594="BYPASS",IF(NOT(ISNUMBER(Q594)),"PreV_ETB missing","End_tr_balance missing"),IF(T594="FAIL",IF(AND(ISNUMBER(K594),ISNUMBER(L594),ABS(L594-(K594-IF(ISNUMBER(N594),N594,0)-IF(ISNUMBER(O594),O594,0)+IF(ISNUMBER(P594),P594,0)))&lt;=Summary!$B$2),"Passes using beginning_balance - PreV_ETB differs from beginning_balance",IF(AND(ISNUMBER(O594),O594&lt;0,ABS(L594-(Q594-IF(ISNUMBER(N594),N594,0)+IF(ISNUMBER(P594),P594,0)))&lt;=Summary!$B$2),"Negative realized loss not applied - check sign",IF(R594&lt;0,"Principal paid exceeds prior balance",IF(AND(L594&gt;Q594,NOT(ISNUMBER(P594))),"Balance increased but no Deferred_interest reported",IF(L594&gt;R594,"Reported balance higher than expected (missing increase/OC build)","Reported balance lower than expected (missing decrease)"))))),""))</f>
        <v/>
      </c>
    </row>
    <row r="595" customFormat="false" ht="15" hidden="false" customHeight="false" outlineLevel="0" collapsed="false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9"/>
      <c r="L595" s="9"/>
      <c r="M595" s="9"/>
      <c r="N595" s="9"/>
      <c r="O595" s="9"/>
      <c r="P595" s="9"/>
      <c r="Q595" s="9"/>
      <c r="R595" s="9" t="str">
        <f aca="false">IF(AND(A595&lt;&gt;"",ISNUMBER(Q595),ISNUMBER(L595)),ROUND(Q595-IF(ISNUMBER(N595),N595,0)-IF(ISNUMBER(O595),O595,0)+IF(ISNUMBER(P595),P595,0),2),"")</f>
        <v/>
      </c>
      <c r="S595" s="9" t="str">
        <f aca="false">IF(R595="","",ROUND(L595-R595,2))</f>
        <v/>
      </c>
      <c r="T595" s="8" t="str">
        <f aca="false">IF(A595="","",IF(S595="","BYPASS",IF(ABS(S595)&lt;=Summary!$B$2,"PASS","FAIL")))</f>
        <v/>
      </c>
      <c r="U595" s="8" t="str">
        <f aca="false">IF(T595="BYPASS",IF(NOT(ISNUMBER(Q595)),"PreV_ETB missing","End_tr_balance missing"),IF(T595="FAIL",IF(AND(ISNUMBER(K595),ISNUMBER(L595),ABS(L595-(K595-IF(ISNUMBER(N595),N595,0)-IF(ISNUMBER(O595),O595,0)+IF(ISNUMBER(P595),P595,0)))&lt;=Summary!$B$2),"Passes using beginning_balance - PreV_ETB differs from beginning_balance",IF(AND(ISNUMBER(O595),O595&lt;0,ABS(L595-(Q595-IF(ISNUMBER(N595),N595,0)+IF(ISNUMBER(P595),P595,0)))&lt;=Summary!$B$2),"Negative realized loss not applied - check sign",IF(R595&lt;0,"Principal paid exceeds prior balance",IF(AND(L595&gt;Q595,NOT(ISNUMBER(P595))),"Balance increased but no Deferred_interest reported",IF(L595&gt;R595,"Reported balance higher than expected (missing increase/OC build)","Reported balance lower than expected (missing decrease)"))))),""))</f>
        <v/>
      </c>
    </row>
    <row r="596" customFormat="false" ht="15" hidden="false" customHeight="false" outlineLevel="0" collapsed="false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9"/>
      <c r="L596" s="9"/>
      <c r="M596" s="9"/>
      <c r="N596" s="9"/>
      <c r="O596" s="9"/>
      <c r="P596" s="9"/>
      <c r="Q596" s="9"/>
      <c r="R596" s="9" t="str">
        <f aca="false">IF(AND(A596&lt;&gt;"",ISNUMBER(Q596),ISNUMBER(L596)),ROUND(Q596-IF(ISNUMBER(N596),N596,0)-IF(ISNUMBER(O596),O596,0)+IF(ISNUMBER(P596),P596,0),2),"")</f>
        <v/>
      </c>
      <c r="S596" s="9" t="str">
        <f aca="false">IF(R596="","",ROUND(L596-R596,2))</f>
        <v/>
      </c>
      <c r="T596" s="8" t="str">
        <f aca="false">IF(A596="","",IF(S596="","BYPASS",IF(ABS(S596)&lt;=Summary!$B$2,"PASS","FAIL")))</f>
        <v/>
      </c>
      <c r="U596" s="8" t="str">
        <f aca="false">IF(T596="BYPASS",IF(NOT(ISNUMBER(Q596)),"PreV_ETB missing","End_tr_balance missing"),IF(T596="FAIL",IF(AND(ISNUMBER(K596),ISNUMBER(L596),ABS(L596-(K596-IF(ISNUMBER(N596),N596,0)-IF(ISNUMBER(O596),O596,0)+IF(ISNUMBER(P596),P596,0)))&lt;=Summary!$B$2),"Passes using beginning_balance - PreV_ETB differs from beginning_balance",IF(AND(ISNUMBER(O596),O596&lt;0,ABS(L596-(Q596-IF(ISNUMBER(N596),N596,0)+IF(ISNUMBER(P596),P596,0)))&lt;=Summary!$B$2),"Negative realized loss not applied - check sign",IF(R596&lt;0,"Principal paid exceeds prior balance",IF(AND(L596&gt;Q596,NOT(ISNUMBER(P596))),"Balance increased but no Deferred_interest reported",IF(L596&gt;R596,"Reported balance higher than expected (missing increase/OC build)","Reported balance lower than expected (missing decrease)"))))),""))</f>
        <v/>
      </c>
    </row>
    <row r="597" customFormat="false" ht="15" hidden="false" customHeight="false" outlineLevel="0" collapsed="false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9"/>
      <c r="L597" s="9"/>
      <c r="M597" s="9"/>
      <c r="N597" s="9"/>
      <c r="O597" s="9"/>
      <c r="P597" s="9"/>
      <c r="Q597" s="9"/>
      <c r="R597" s="9" t="str">
        <f aca="false">IF(AND(A597&lt;&gt;"",ISNUMBER(Q597),ISNUMBER(L597)),ROUND(Q597-IF(ISNUMBER(N597),N597,0)-IF(ISNUMBER(O597),O597,0)+IF(ISNUMBER(P597),P597,0),2),"")</f>
        <v/>
      </c>
      <c r="S597" s="9" t="str">
        <f aca="false">IF(R597="","",ROUND(L597-R597,2))</f>
        <v/>
      </c>
      <c r="T597" s="8" t="str">
        <f aca="false">IF(A597="","",IF(S597="","BYPASS",IF(ABS(S597)&lt;=Summary!$B$2,"PASS","FAIL")))</f>
        <v/>
      </c>
      <c r="U597" s="8" t="str">
        <f aca="false">IF(T597="BYPASS",IF(NOT(ISNUMBER(Q597)),"PreV_ETB missing","End_tr_balance missing"),IF(T597="FAIL",IF(AND(ISNUMBER(K597),ISNUMBER(L597),ABS(L597-(K597-IF(ISNUMBER(N597),N597,0)-IF(ISNUMBER(O597),O597,0)+IF(ISNUMBER(P597),P597,0)))&lt;=Summary!$B$2),"Passes using beginning_balance - PreV_ETB differs from beginning_balance",IF(AND(ISNUMBER(O597),O597&lt;0,ABS(L597-(Q597-IF(ISNUMBER(N597),N597,0)+IF(ISNUMBER(P597),P597,0)))&lt;=Summary!$B$2),"Negative realized loss not applied - check sign",IF(R597&lt;0,"Principal paid exceeds prior balance",IF(AND(L597&gt;Q597,NOT(ISNUMBER(P597))),"Balance increased but no Deferred_interest reported",IF(L597&gt;R597,"Reported balance higher than expected (missing increase/OC build)","Reported balance lower than expected (missing decrease)"))))),""))</f>
        <v/>
      </c>
    </row>
    <row r="598" customFormat="false" ht="15" hidden="false" customHeight="false" outlineLevel="0" collapsed="false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9"/>
      <c r="L598" s="9"/>
      <c r="M598" s="9"/>
      <c r="N598" s="9"/>
      <c r="O598" s="9"/>
      <c r="P598" s="9"/>
      <c r="Q598" s="9"/>
      <c r="R598" s="9" t="str">
        <f aca="false">IF(AND(A598&lt;&gt;"",ISNUMBER(Q598),ISNUMBER(L598)),ROUND(Q598-IF(ISNUMBER(N598),N598,0)-IF(ISNUMBER(O598),O598,0)+IF(ISNUMBER(P598),P598,0),2),"")</f>
        <v/>
      </c>
      <c r="S598" s="9" t="str">
        <f aca="false">IF(R598="","",ROUND(L598-R598,2))</f>
        <v/>
      </c>
      <c r="T598" s="8" t="str">
        <f aca="false">IF(A598="","",IF(S598="","BYPASS",IF(ABS(S598)&lt;=Summary!$B$2,"PASS","FAIL")))</f>
        <v/>
      </c>
      <c r="U598" s="8" t="str">
        <f aca="false">IF(T598="BYPASS",IF(NOT(ISNUMBER(Q598)),"PreV_ETB missing","End_tr_balance missing"),IF(T598="FAIL",IF(AND(ISNUMBER(K598),ISNUMBER(L598),ABS(L598-(K598-IF(ISNUMBER(N598),N598,0)-IF(ISNUMBER(O598),O598,0)+IF(ISNUMBER(P598),P598,0)))&lt;=Summary!$B$2),"Passes using beginning_balance - PreV_ETB differs from beginning_balance",IF(AND(ISNUMBER(O598),O598&lt;0,ABS(L598-(Q598-IF(ISNUMBER(N598),N598,0)+IF(ISNUMBER(P598),P598,0)))&lt;=Summary!$B$2),"Negative realized loss not applied - check sign",IF(R598&lt;0,"Principal paid exceeds prior balance",IF(AND(L598&gt;Q598,NOT(ISNUMBER(P598))),"Balance increased but no Deferred_interest reported",IF(L598&gt;R598,"Reported balance higher than expected (missing increase/OC build)","Reported balance lower than expected (missing decrease)"))))),""))</f>
        <v/>
      </c>
    </row>
    <row r="599" customFormat="false" ht="15" hidden="false" customHeight="false" outlineLevel="0" collapsed="false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9"/>
      <c r="L599" s="9"/>
      <c r="M599" s="9"/>
      <c r="N599" s="9"/>
      <c r="O599" s="9"/>
      <c r="P599" s="9"/>
      <c r="Q599" s="9"/>
      <c r="R599" s="9" t="str">
        <f aca="false">IF(AND(A599&lt;&gt;"",ISNUMBER(Q599),ISNUMBER(L599)),ROUND(Q599-IF(ISNUMBER(N599),N599,0)-IF(ISNUMBER(O599),O599,0)+IF(ISNUMBER(P599),P599,0),2),"")</f>
        <v/>
      </c>
      <c r="S599" s="9" t="str">
        <f aca="false">IF(R599="","",ROUND(L599-R599,2))</f>
        <v/>
      </c>
      <c r="T599" s="8" t="str">
        <f aca="false">IF(A599="","",IF(S599="","BYPASS",IF(ABS(S599)&lt;=Summary!$B$2,"PASS","FAIL")))</f>
        <v/>
      </c>
      <c r="U599" s="8" t="str">
        <f aca="false">IF(T599="BYPASS",IF(NOT(ISNUMBER(Q599)),"PreV_ETB missing","End_tr_balance missing"),IF(T599="FAIL",IF(AND(ISNUMBER(K599),ISNUMBER(L599),ABS(L599-(K599-IF(ISNUMBER(N599),N599,0)-IF(ISNUMBER(O599),O599,0)+IF(ISNUMBER(P599),P599,0)))&lt;=Summary!$B$2),"Passes using beginning_balance - PreV_ETB differs from beginning_balance",IF(AND(ISNUMBER(O599),O599&lt;0,ABS(L599-(Q599-IF(ISNUMBER(N599),N599,0)+IF(ISNUMBER(P599),P599,0)))&lt;=Summary!$B$2),"Negative realized loss not applied - check sign",IF(R599&lt;0,"Principal paid exceeds prior balance",IF(AND(L599&gt;Q599,NOT(ISNUMBER(P599))),"Balance increased but no Deferred_interest reported",IF(L599&gt;R599,"Reported balance higher than expected (missing increase/OC build)","Reported balance lower than expected (missing decrease)"))))),""))</f>
        <v/>
      </c>
    </row>
    <row r="600" customFormat="false" ht="15" hidden="false" customHeight="false" outlineLevel="0" collapsed="false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9"/>
      <c r="L600" s="9"/>
      <c r="M600" s="9"/>
      <c r="N600" s="9"/>
      <c r="O600" s="9"/>
      <c r="P600" s="9"/>
      <c r="Q600" s="9"/>
      <c r="R600" s="9" t="str">
        <f aca="false">IF(AND(A600&lt;&gt;"",ISNUMBER(Q600),ISNUMBER(L600)),ROUND(Q600-IF(ISNUMBER(N600),N600,0)-IF(ISNUMBER(O600),O600,0)+IF(ISNUMBER(P600),P600,0),2),"")</f>
        <v/>
      </c>
      <c r="S600" s="9" t="str">
        <f aca="false">IF(R600="","",ROUND(L600-R600,2))</f>
        <v/>
      </c>
      <c r="T600" s="8" t="str">
        <f aca="false">IF(A600="","",IF(S600="","BYPASS",IF(ABS(S600)&lt;=Summary!$B$2,"PASS","FAIL")))</f>
        <v/>
      </c>
      <c r="U600" s="8" t="str">
        <f aca="false">IF(T600="BYPASS",IF(NOT(ISNUMBER(Q600)),"PreV_ETB missing","End_tr_balance missing"),IF(T600="FAIL",IF(AND(ISNUMBER(K600),ISNUMBER(L600),ABS(L600-(K600-IF(ISNUMBER(N600),N600,0)-IF(ISNUMBER(O600),O600,0)+IF(ISNUMBER(P600),P600,0)))&lt;=Summary!$B$2),"Passes using beginning_balance - PreV_ETB differs from beginning_balance",IF(AND(ISNUMBER(O600),O600&lt;0,ABS(L600-(Q600-IF(ISNUMBER(N600),N600,0)+IF(ISNUMBER(P600),P600,0)))&lt;=Summary!$B$2),"Negative realized loss not applied - check sign",IF(R600&lt;0,"Principal paid exceeds prior balance",IF(AND(L600&gt;Q600,NOT(ISNUMBER(P600))),"Balance increased but no Deferred_interest reported",IF(L600&gt;R600,"Reported balance higher than expected (missing increase/OC build)","Reported balance lower than expected (missing decrease)"))))),""))</f>
        <v/>
      </c>
    </row>
    <row r="601" customFormat="false" ht="15" hidden="false" customHeight="false" outlineLevel="0" collapsed="false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9"/>
      <c r="L601" s="9"/>
      <c r="M601" s="9"/>
      <c r="N601" s="9"/>
      <c r="O601" s="9"/>
      <c r="P601" s="9"/>
      <c r="Q601" s="9"/>
      <c r="R601" s="9" t="str">
        <f aca="false">IF(AND(A601&lt;&gt;"",ISNUMBER(Q601),ISNUMBER(L601)),ROUND(Q601-IF(ISNUMBER(N601),N601,0)-IF(ISNUMBER(O601),O601,0)+IF(ISNUMBER(P601),P601,0),2),"")</f>
        <v/>
      </c>
      <c r="S601" s="9" t="str">
        <f aca="false">IF(R601="","",ROUND(L601-R601,2))</f>
        <v/>
      </c>
      <c r="T601" s="8" t="str">
        <f aca="false">IF(A601="","",IF(S601="","BYPASS",IF(ABS(S601)&lt;=Summary!$B$2,"PASS","FAIL")))</f>
        <v/>
      </c>
      <c r="U601" s="8" t="str">
        <f aca="false">IF(T601="BYPASS",IF(NOT(ISNUMBER(Q601)),"PreV_ETB missing","End_tr_balance missing"),IF(T601="FAIL",IF(AND(ISNUMBER(K601),ISNUMBER(L601),ABS(L601-(K601-IF(ISNUMBER(N601),N601,0)-IF(ISNUMBER(O601),O601,0)+IF(ISNUMBER(P601),P601,0)))&lt;=Summary!$B$2),"Passes using beginning_balance - PreV_ETB differs from beginning_balance",IF(AND(ISNUMBER(O601),O601&lt;0,ABS(L601-(Q601-IF(ISNUMBER(N601),N601,0)+IF(ISNUMBER(P601),P601,0)))&lt;=Summary!$B$2),"Negative realized loss not applied - check sign",IF(R601&lt;0,"Principal paid exceeds prior balance",IF(AND(L601&gt;Q601,NOT(ISNUMBER(P601))),"Balance increased but no Deferred_interest reported",IF(L601&gt;R601,"Reported balance higher than expected (missing increase/OC build)","Reported balance lower than expected (missing decrease)"))))),""))</f>
        <v/>
      </c>
    </row>
    <row r="602" customFormat="false" ht="15" hidden="false" customHeight="false" outlineLevel="0" collapsed="false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9"/>
      <c r="L602" s="9"/>
      <c r="M602" s="9"/>
      <c r="N602" s="9"/>
      <c r="O602" s="9"/>
      <c r="P602" s="9"/>
      <c r="Q602" s="9"/>
      <c r="R602" s="9" t="str">
        <f aca="false">IF(AND(A602&lt;&gt;"",ISNUMBER(Q602),ISNUMBER(L602)),ROUND(Q602-IF(ISNUMBER(N602),N602,0)-IF(ISNUMBER(O602),O602,0)+IF(ISNUMBER(P602),P602,0),2),"")</f>
        <v/>
      </c>
      <c r="S602" s="9" t="str">
        <f aca="false">IF(R602="","",ROUND(L602-R602,2))</f>
        <v/>
      </c>
      <c r="T602" s="8" t="str">
        <f aca="false">IF(A602="","",IF(S602="","BYPASS",IF(ABS(S602)&lt;=Summary!$B$2,"PASS","FAIL")))</f>
        <v/>
      </c>
      <c r="U602" s="8" t="str">
        <f aca="false">IF(T602="BYPASS",IF(NOT(ISNUMBER(Q602)),"PreV_ETB missing","End_tr_balance missing"),IF(T602="FAIL",IF(AND(ISNUMBER(K602),ISNUMBER(L602),ABS(L602-(K602-IF(ISNUMBER(N602),N602,0)-IF(ISNUMBER(O602),O602,0)+IF(ISNUMBER(P602),P602,0)))&lt;=Summary!$B$2),"Passes using beginning_balance - PreV_ETB differs from beginning_balance",IF(AND(ISNUMBER(O602),O602&lt;0,ABS(L602-(Q602-IF(ISNUMBER(N602),N602,0)+IF(ISNUMBER(P602),P602,0)))&lt;=Summary!$B$2),"Negative realized loss not applied - check sign",IF(R602&lt;0,"Principal paid exceeds prior balance",IF(AND(L602&gt;Q602,NOT(ISNUMBER(P602))),"Balance increased but no Deferred_interest reported",IF(L602&gt;R602,"Reported balance higher than expected (missing increase/OC build)","Reported balance lower than expected (missing decrease)"))))),""))</f>
        <v/>
      </c>
    </row>
    <row r="603" customFormat="false" ht="15" hidden="false" customHeight="false" outlineLevel="0" collapsed="false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9"/>
      <c r="L603" s="9"/>
      <c r="M603" s="9"/>
      <c r="N603" s="9"/>
      <c r="O603" s="9"/>
      <c r="P603" s="9"/>
      <c r="Q603" s="9"/>
      <c r="R603" s="9" t="str">
        <f aca="false">IF(AND(A603&lt;&gt;"",ISNUMBER(Q603),ISNUMBER(L603)),ROUND(Q603-IF(ISNUMBER(N603),N603,0)-IF(ISNUMBER(O603),O603,0)+IF(ISNUMBER(P603),P603,0),2),"")</f>
        <v/>
      </c>
      <c r="S603" s="9" t="str">
        <f aca="false">IF(R603="","",ROUND(L603-R603,2))</f>
        <v/>
      </c>
      <c r="T603" s="8" t="str">
        <f aca="false">IF(A603="","",IF(S603="","BYPASS",IF(ABS(S603)&lt;=Summary!$B$2,"PASS","FAIL")))</f>
        <v/>
      </c>
      <c r="U603" s="8" t="str">
        <f aca="false">IF(T603="BYPASS",IF(NOT(ISNUMBER(Q603)),"PreV_ETB missing","End_tr_balance missing"),IF(T603="FAIL",IF(AND(ISNUMBER(K603),ISNUMBER(L603),ABS(L603-(K603-IF(ISNUMBER(N603),N603,0)-IF(ISNUMBER(O603),O603,0)+IF(ISNUMBER(P603),P603,0)))&lt;=Summary!$B$2),"Passes using beginning_balance - PreV_ETB differs from beginning_balance",IF(AND(ISNUMBER(O603),O603&lt;0,ABS(L603-(Q603-IF(ISNUMBER(N603),N603,0)+IF(ISNUMBER(P603),P603,0)))&lt;=Summary!$B$2),"Negative realized loss not applied - check sign",IF(R603&lt;0,"Principal paid exceeds prior balance",IF(AND(L603&gt;Q603,NOT(ISNUMBER(P603))),"Balance increased but no Deferred_interest reported",IF(L603&gt;R603,"Reported balance higher than expected (missing increase/OC build)","Reported balance lower than expected (missing decrease)"))))),""))</f>
        <v/>
      </c>
    </row>
    <row r="604" customFormat="false" ht="15" hidden="false" customHeight="false" outlineLevel="0" collapsed="false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9"/>
      <c r="L604" s="9"/>
      <c r="M604" s="9"/>
      <c r="N604" s="9"/>
      <c r="O604" s="9"/>
      <c r="P604" s="9"/>
      <c r="Q604" s="9"/>
      <c r="R604" s="9" t="str">
        <f aca="false">IF(AND(A604&lt;&gt;"",ISNUMBER(Q604),ISNUMBER(L604)),ROUND(Q604-IF(ISNUMBER(N604),N604,0)-IF(ISNUMBER(O604),O604,0)+IF(ISNUMBER(P604),P604,0),2),"")</f>
        <v/>
      </c>
      <c r="S604" s="9" t="str">
        <f aca="false">IF(R604="","",ROUND(L604-R604,2))</f>
        <v/>
      </c>
      <c r="T604" s="8" t="str">
        <f aca="false">IF(A604="","",IF(S604="","BYPASS",IF(ABS(S604)&lt;=Summary!$B$2,"PASS","FAIL")))</f>
        <v/>
      </c>
      <c r="U604" s="8" t="str">
        <f aca="false">IF(T604="BYPASS",IF(NOT(ISNUMBER(Q604)),"PreV_ETB missing","End_tr_balance missing"),IF(T604="FAIL",IF(AND(ISNUMBER(K604),ISNUMBER(L604),ABS(L604-(K604-IF(ISNUMBER(N604),N604,0)-IF(ISNUMBER(O604),O604,0)+IF(ISNUMBER(P604),P604,0)))&lt;=Summary!$B$2),"Passes using beginning_balance - PreV_ETB differs from beginning_balance",IF(AND(ISNUMBER(O604),O604&lt;0,ABS(L604-(Q604-IF(ISNUMBER(N604),N604,0)+IF(ISNUMBER(P604),P604,0)))&lt;=Summary!$B$2),"Negative realized loss not applied - check sign",IF(R604&lt;0,"Principal paid exceeds prior balance",IF(AND(L604&gt;Q604,NOT(ISNUMBER(P604))),"Balance increased but no Deferred_interest reported",IF(L604&gt;R604,"Reported balance higher than expected (missing increase/OC build)","Reported balance lower than expected (missing decrease)"))))),""))</f>
        <v/>
      </c>
    </row>
    <row r="605" customFormat="false" ht="15" hidden="false" customHeight="false" outlineLevel="0" collapsed="false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9"/>
      <c r="L605" s="9"/>
      <c r="M605" s="9"/>
      <c r="N605" s="9"/>
      <c r="O605" s="9"/>
      <c r="P605" s="9"/>
      <c r="Q605" s="9"/>
      <c r="R605" s="9" t="str">
        <f aca="false">IF(AND(A605&lt;&gt;"",ISNUMBER(Q605),ISNUMBER(L605)),ROUND(Q605-IF(ISNUMBER(N605),N605,0)-IF(ISNUMBER(O605),O605,0)+IF(ISNUMBER(P605),P605,0),2),"")</f>
        <v/>
      </c>
      <c r="S605" s="9" t="str">
        <f aca="false">IF(R605="","",ROUND(L605-R605,2))</f>
        <v/>
      </c>
      <c r="T605" s="8" t="str">
        <f aca="false">IF(A605="","",IF(S605="","BYPASS",IF(ABS(S605)&lt;=Summary!$B$2,"PASS","FAIL")))</f>
        <v/>
      </c>
      <c r="U605" s="8" t="str">
        <f aca="false">IF(T605="BYPASS",IF(NOT(ISNUMBER(Q605)),"PreV_ETB missing","End_tr_balance missing"),IF(T605="FAIL",IF(AND(ISNUMBER(K605),ISNUMBER(L605),ABS(L605-(K605-IF(ISNUMBER(N605),N605,0)-IF(ISNUMBER(O605),O605,0)+IF(ISNUMBER(P605),P605,0)))&lt;=Summary!$B$2),"Passes using beginning_balance - PreV_ETB differs from beginning_balance",IF(AND(ISNUMBER(O605),O605&lt;0,ABS(L605-(Q605-IF(ISNUMBER(N605),N605,0)+IF(ISNUMBER(P605),P605,0)))&lt;=Summary!$B$2),"Negative realized loss not applied - check sign",IF(R605&lt;0,"Principal paid exceeds prior balance",IF(AND(L605&gt;Q605,NOT(ISNUMBER(P605))),"Balance increased but no Deferred_interest reported",IF(L605&gt;R605,"Reported balance higher than expected (missing increase/OC build)","Reported balance lower than expected (missing decrease)"))))),""))</f>
        <v/>
      </c>
    </row>
    <row r="606" customFormat="false" ht="15" hidden="false" customHeight="false" outlineLevel="0" collapsed="false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9"/>
      <c r="L606" s="9"/>
      <c r="M606" s="9"/>
      <c r="N606" s="9"/>
      <c r="O606" s="9"/>
      <c r="P606" s="9"/>
      <c r="Q606" s="9"/>
      <c r="R606" s="9" t="str">
        <f aca="false">IF(AND(A606&lt;&gt;"",ISNUMBER(Q606),ISNUMBER(L606)),ROUND(Q606-IF(ISNUMBER(N606),N606,0)-IF(ISNUMBER(O606),O606,0)+IF(ISNUMBER(P606),P606,0),2),"")</f>
        <v/>
      </c>
      <c r="S606" s="9" t="str">
        <f aca="false">IF(R606="","",ROUND(L606-R606,2))</f>
        <v/>
      </c>
      <c r="T606" s="8" t="str">
        <f aca="false">IF(A606="","",IF(S606="","BYPASS",IF(ABS(S606)&lt;=Summary!$B$2,"PASS","FAIL")))</f>
        <v/>
      </c>
      <c r="U606" s="8" t="str">
        <f aca="false">IF(T606="BYPASS",IF(NOT(ISNUMBER(Q606)),"PreV_ETB missing","End_tr_balance missing"),IF(T606="FAIL",IF(AND(ISNUMBER(K606),ISNUMBER(L606),ABS(L606-(K606-IF(ISNUMBER(N606),N606,0)-IF(ISNUMBER(O606),O606,0)+IF(ISNUMBER(P606),P606,0)))&lt;=Summary!$B$2),"Passes using beginning_balance - PreV_ETB differs from beginning_balance",IF(AND(ISNUMBER(O606),O606&lt;0,ABS(L606-(Q606-IF(ISNUMBER(N606),N606,0)+IF(ISNUMBER(P606),P606,0)))&lt;=Summary!$B$2),"Negative realized loss not applied - check sign",IF(R606&lt;0,"Principal paid exceeds prior balance",IF(AND(L606&gt;Q606,NOT(ISNUMBER(P606))),"Balance increased but no Deferred_interest reported",IF(L606&gt;R606,"Reported balance higher than expected (missing increase/OC build)","Reported balance lower than expected (missing decrease)"))))),""))</f>
        <v/>
      </c>
    </row>
    <row r="607" customFormat="false" ht="15" hidden="false" customHeight="false" outlineLevel="0" collapsed="false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9"/>
      <c r="L607" s="9"/>
      <c r="M607" s="9"/>
      <c r="N607" s="9"/>
      <c r="O607" s="9"/>
      <c r="P607" s="9"/>
      <c r="Q607" s="9"/>
      <c r="R607" s="9" t="str">
        <f aca="false">IF(AND(A607&lt;&gt;"",ISNUMBER(Q607),ISNUMBER(L607)),ROUND(Q607-IF(ISNUMBER(N607),N607,0)-IF(ISNUMBER(O607),O607,0)+IF(ISNUMBER(P607),P607,0),2),"")</f>
        <v/>
      </c>
      <c r="S607" s="9" t="str">
        <f aca="false">IF(R607="","",ROUND(L607-R607,2))</f>
        <v/>
      </c>
      <c r="T607" s="8" t="str">
        <f aca="false">IF(A607="","",IF(S607="","BYPASS",IF(ABS(S607)&lt;=Summary!$B$2,"PASS","FAIL")))</f>
        <v/>
      </c>
      <c r="U607" s="8" t="str">
        <f aca="false">IF(T607="BYPASS",IF(NOT(ISNUMBER(Q607)),"PreV_ETB missing","End_tr_balance missing"),IF(T607="FAIL",IF(AND(ISNUMBER(K607),ISNUMBER(L607),ABS(L607-(K607-IF(ISNUMBER(N607),N607,0)-IF(ISNUMBER(O607),O607,0)+IF(ISNUMBER(P607),P607,0)))&lt;=Summary!$B$2),"Passes using beginning_balance - PreV_ETB differs from beginning_balance",IF(AND(ISNUMBER(O607),O607&lt;0,ABS(L607-(Q607-IF(ISNUMBER(N607),N607,0)+IF(ISNUMBER(P607),P607,0)))&lt;=Summary!$B$2),"Negative realized loss not applied - check sign",IF(R607&lt;0,"Principal paid exceeds prior balance",IF(AND(L607&gt;Q607,NOT(ISNUMBER(P607))),"Balance increased but no Deferred_interest reported",IF(L607&gt;R607,"Reported balance higher than expected (missing increase/OC build)","Reported balance lower than expected (missing decrease)"))))),""))</f>
        <v/>
      </c>
    </row>
    <row r="608" customFormat="false" ht="15" hidden="false" customHeight="false" outlineLevel="0" collapsed="false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9"/>
      <c r="L608" s="9"/>
      <c r="M608" s="9"/>
      <c r="N608" s="9"/>
      <c r="O608" s="9"/>
      <c r="P608" s="9"/>
      <c r="Q608" s="9"/>
      <c r="R608" s="9" t="str">
        <f aca="false">IF(AND(A608&lt;&gt;"",ISNUMBER(Q608),ISNUMBER(L608)),ROUND(Q608-IF(ISNUMBER(N608),N608,0)-IF(ISNUMBER(O608),O608,0)+IF(ISNUMBER(P608),P608,0),2),"")</f>
        <v/>
      </c>
      <c r="S608" s="9" t="str">
        <f aca="false">IF(R608="","",ROUND(L608-R608,2))</f>
        <v/>
      </c>
      <c r="T608" s="8" t="str">
        <f aca="false">IF(A608="","",IF(S608="","BYPASS",IF(ABS(S608)&lt;=Summary!$B$2,"PASS","FAIL")))</f>
        <v/>
      </c>
      <c r="U608" s="8" t="str">
        <f aca="false">IF(T608="BYPASS",IF(NOT(ISNUMBER(Q608)),"PreV_ETB missing","End_tr_balance missing"),IF(T608="FAIL",IF(AND(ISNUMBER(K608),ISNUMBER(L608),ABS(L608-(K608-IF(ISNUMBER(N608),N608,0)-IF(ISNUMBER(O608),O608,0)+IF(ISNUMBER(P608),P608,0)))&lt;=Summary!$B$2),"Passes using beginning_balance - PreV_ETB differs from beginning_balance",IF(AND(ISNUMBER(O608),O608&lt;0,ABS(L608-(Q608-IF(ISNUMBER(N608),N608,0)+IF(ISNUMBER(P608),P608,0)))&lt;=Summary!$B$2),"Negative realized loss not applied - check sign",IF(R608&lt;0,"Principal paid exceeds prior balance",IF(AND(L608&gt;Q608,NOT(ISNUMBER(P608))),"Balance increased but no Deferred_interest reported",IF(L608&gt;R608,"Reported balance higher than expected (missing increase/OC build)","Reported balance lower than expected (missing decrease)"))))),""))</f>
        <v/>
      </c>
    </row>
    <row r="609" customFormat="false" ht="15" hidden="false" customHeight="false" outlineLevel="0" collapsed="false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9"/>
      <c r="L609" s="9"/>
      <c r="M609" s="9"/>
      <c r="N609" s="9"/>
      <c r="O609" s="9"/>
      <c r="P609" s="9"/>
      <c r="Q609" s="9"/>
      <c r="R609" s="9" t="str">
        <f aca="false">IF(AND(A609&lt;&gt;"",ISNUMBER(Q609),ISNUMBER(L609)),ROUND(Q609-IF(ISNUMBER(N609),N609,0)-IF(ISNUMBER(O609),O609,0)+IF(ISNUMBER(P609),P609,0),2),"")</f>
        <v/>
      </c>
      <c r="S609" s="9" t="str">
        <f aca="false">IF(R609="","",ROUND(L609-R609,2))</f>
        <v/>
      </c>
      <c r="T609" s="8" t="str">
        <f aca="false">IF(A609="","",IF(S609="","BYPASS",IF(ABS(S609)&lt;=Summary!$B$2,"PASS","FAIL")))</f>
        <v/>
      </c>
      <c r="U609" s="8" t="str">
        <f aca="false">IF(T609="BYPASS",IF(NOT(ISNUMBER(Q609)),"PreV_ETB missing","End_tr_balance missing"),IF(T609="FAIL",IF(AND(ISNUMBER(K609),ISNUMBER(L609),ABS(L609-(K609-IF(ISNUMBER(N609),N609,0)-IF(ISNUMBER(O609),O609,0)+IF(ISNUMBER(P609),P609,0)))&lt;=Summary!$B$2),"Passes using beginning_balance - PreV_ETB differs from beginning_balance",IF(AND(ISNUMBER(O609),O609&lt;0,ABS(L609-(Q609-IF(ISNUMBER(N609),N609,0)+IF(ISNUMBER(P609),P609,0)))&lt;=Summary!$B$2),"Negative realized loss not applied - check sign",IF(R609&lt;0,"Principal paid exceeds prior balance",IF(AND(L609&gt;Q609,NOT(ISNUMBER(P609))),"Balance increased but no Deferred_interest reported",IF(L609&gt;R609,"Reported balance higher than expected (missing increase/OC build)","Reported balance lower than expected (missing decrease)"))))),""))</f>
        <v/>
      </c>
    </row>
    <row r="610" customFormat="false" ht="15" hidden="false" customHeight="false" outlineLevel="0" collapsed="false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9"/>
      <c r="L610" s="9"/>
      <c r="M610" s="9"/>
      <c r="N610" s="9"/>
      <c r="O610" s="9"/>
      <c r="P610" s="9"/>
      <c r="Q610" s="9"/>
      <c r="R610" s="9" t="str">
        <f aca="false">IF(AND(A610&lt;&gt;"",ISNUMBER(Q610),ISNUMBER(L610)),ROUND(Q610-IF(ISNUMBER(N610),N610,0)-IF(ISNUMBER(O610),O610,0)+IF(ISNUMBER(P610),P610,0),2),"")</f>
        <v/>
      </c>
      <c r="S610" s="9" t="str">
        <f aca="false">IF(R610="","",ROUND(L610-R610,2))</f>
        <v/>
      </c>
      <c r="T610" s="8" t="str">
        <f aca="false">IF(A610="","",IF(S610="","BYPASS",IF(ABS(S610)&lt;=Summary!$B$2,"PASS","FAIL")))</f>
        <v/>
      </c>
      <c r="U610" s="8" t="str">
        <f aca="false">IF(T610="BYPASS",IF(NOT(ISNUMBER(Q610)),"PreV_ETB missing","End_tr_balance missing"),IF(T610="FAIL",IF(AND(ISNUMBER(K610),ISNUMBER(L610),ABS(L610-(K610-IF(ISNUMBER(N610),N610,0)-IF(ISNUMBER(O610),O610,0)+IF(ISNUMBER(P610),P610,0)))&lt;=Summary!$B$2),"Passes using beginning_balance - PreV_ETB differs from beginning_balance",IF(AND(ISNUMBER(O610),O610&lt;0,ABS(L610-(Q610-IF(ISNUMBER(N610),N610,0)+IF(ISNUMBER(P610),P610,0)))&lt;=Summary!$B$2),"Negative realized loss not applied - check sign",IF(R610&lt;0,"Principal paid exceeds prior balance",IF(AND(L610&gt;Q610,NOT(ISNUMBER(P610))),"Balance increased but no Deferred_interest reported",IF(L610&gt;R610,"Reported balance higher than expected (missing increase/OC build)","Reported balance lower than expected (missing decrease)"))))),""))</f>
        <v/>
      </c>
    </row>
    <row r="611" customFormat="false" ht="15" hidden="false" customHeight="false" outlineLevel="0" collapsed="false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9"/>
      <c r="L611" s="9"/>
      <c r="M611" s="9"/>
      <c r="N611" s="9"/>
      <c r="O611" s="9"/>
      <c r="P611" s="9"/>
      <c r="Q611" s="9"/>
      <c r="R611" s="9" t="str">
        <f aca="false">IF(AND(A611&lt;&gt;"",ISNUMBER(Q611),ISNUMBER(L611)),ROUND(Q611-IF(ISNUMBER(N611),N611,0)-IF(ISNUMBER(O611),O611,0)+IF(ISNUMBER(P611),P611,0),2),"")</f>
        <v/>
      </c>
      <c r="S611" s="9" t="str">
        <f aca="false">IF(R611="","",ROUND(L611-R611,2))</f>
        <v/>
      </c>
      <c r="T611" s="8" t="str">
        <f aca="false">IF(A611="","",IF(S611="","BYPASS",IF(ABS(S611)&lt;=Summary!$B$2,"PASS","FAIL")))</f>
        <v/>
      </c>
      <c r="U611" s="8" t="str">
        <f aca="false">IF(T611="BYPASS",IF(NOT(ISNUMBER(Q611)),"PreV_ETB missing","End_tr_balance missing"),IF(T611="FAIL",IF(AND(ISNUMBER(K611),ISNUMBER(L611),ABS(L611-(K611-IF(ISNUMBER(N611),N611,0)-IF(ISNUMBER(O611),O611,0)+IF(ISNUMBER(P611),P611,0)))&lt;=Summary!$B$2),"Passes using beginning_balance - PreV_ETB differs from beginning_balance",IF(AND(ISNUMBER(O611),O611&lt;0,ABS(L611-(Q611-IF(ISNUMBER(N611),N611,0)+IF(ISNUMBER(P611),P611,0)))&lt;=Summary!$B$2),"Negative realized loss not applied - check sign",IF(R611&lt;0,"Principal paid exceeds prior balance",IF(AND(L611&gt;Q611,NOT(ISNUMBER(P611))),"Balance increased but no Deferred_interest reported",IF(L611&gt;R611,"Reported balance higher than expected (missing increase/OC build)","Reported balance lower than expected (missing decrease)"))))),""))</f>
        <v/>
      </c>
    </row>
    <row r="612" customFormat="false" ht="15" hidden="false" customHeight="false" outlineLevel="0" collapsed="false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9"/>
      <c r="L612" s="9"/>
      <c r="M612" s="9"/>
      <c r="N612" s="9"/>
      <c r="O612" s="9"/>
      <c r="P612" s="9"/>
      <c r="Q612" s="9"/>
      <c r="R612" s="9" t="str">
        <f aca="false">IF(AND(A612&lt;&gt;"",ISNUMBER(Q612),ISNUMBER(L612)),ROUND(Q612-IF(ISNUMBER(N612),N612,0)-IF(ISNUMBER(O612),O612,0)+IF(ISNUMBER(P612),P612,0),2),"")</f>
        <v/>
      </c>
      <c r="S612" s="9" t="str">
        <f aca="false">IF(R612="","",ROUND(L612-R612,2))</f>
        <v/>
      </c>
      <c r="T612" s="8" t="str">
        <f aca="false">IF(A612="","",IF(S612="","BYPASS",IF(ABS(S612)&lt;=Summary!$B$2,"PASS","FAIL")))</f>
        <v/>
      </c>
      <c r="U612" s="8" t="str">
        <f aca="false">IF(T612="BYPASS",IF(NOT(ISNUMBER(Q612)),"PreV_ETB missing","End_tr_balance missing"),IF(T612="FAIL",IF(AND(ISNUMBER(K612),ISNUMBER(L612),ABS(L612-(K612-IF(ISNUMBER(N612),N612,0)-IF(ISNUMBER(O612),O612,0)+IF(ISNUMBER(P612),P612,0)))&lt;=Summary!$B$2),"Passes using beginning_balance - PreV_ETB differs from beginning_balance",IF(AND(ISNUMBER(O612),O612&lt;0,ABS(L612-(Q612-IF(ISNUMBER(N612),N612,0)+IF(ISNUMBER(P612),P612,0)))&lt;=Summary!$B$2),"Negative realized loss not applied - check sign",IF(R612&lt;0,"Principal paid exceeds prior balance",IF(AND(L612&gt;Q612,NOT(ISNUMBER(P612))),"Balance increased but no Deferred_interest reported",IF(L612&gt;R612,"Reported balance higher than expected (missing increase/OC build)","Reported balance lower than expected (missing decrease)"))))),""))</f>
        <v/>
      </c>
    </row>
    <row r="613" customFormat="false" ht="15" hidden="false" customHeight="false" outlineLevel="0" collapsed="false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9"/>
      <c r="L613" s="9"/>
      <c r="M613" s="9"/>
      <c r="N613" s="9"/>
      <c r="O613" s="9"/>
      <c r="P613" s="9"/>
      <c r="Q613" s="9"/>
      <c r="R613" s="9" t="str">
        <f aca="false">IF(AND(A613&lt;&gt;"",ISNUMBER(Q613),ISNUMBER(L613)),ROUND(Q613-IF(ISNUMBER(N613),N613,0)-IF(ISNUMBER(O613),O613,0)+IF(ISNUMBER(P613),P613,0),2),"")</f>
        <v/>
      </c>
      <c r="S613" s="9" t="str">
        <f aca="false">IF(R613="","",ROUND(L613-R613,2))</f>
        <v/>
      </c>
      <c r="T613" s="8" t="str">
        <f aca="false">IF(A613="","",IF(S613="","BYPASS",IF(ABS(S613)&lt;=Summary!$B$2,"PASS","FAIL")))</f>
        <v/>
      </c>
      <c r="U613" s="8" t="str">
        <f aca="false">IF(T613="BYPASS",IF(NOT(ISNUMBER(Q613)),"PreV_ETB missing","End_tr_balance missing"),IF(T613="FAIL",IF(AND(ISNUMBER(K613),ISNUMBER(L613),ABS(L613-(K613-IF(ISNUMBER(N613),N613,0)-IF(ISNUMBER(O613),O613,0)+IF(ISNUMBER(P613),P613,0)))&lt;=Summary!$B$2),"Passes using beginning_balance - PreV_ETB differs from beginning_balance",IF(AND(ISNUMBER(O613),O613&lt;0,ABS(L613-(Q613-IF(ISNUMBER(N613),N613,0)+IF(ISNUMBER(P613),P613,0)))&lt;=Summary!$B$2),"Negative realized loss not applied - check sign",IF(R613&lt;0,"Principal paid exceeds prior balance",IF(AND(L613&gt;Q613,NOT(ISNUMBER(P613))),"Balance increased but no Deferred_interest reported",IF(L613&gt;R613,"Reported balance higher than expected (missing increase/OC build)","Reported balance lower than expected (missing decrease)"))))),""))</f>
        <v/>
      </c>
    </row>
    <row r="614" customFormat="false" ht="15" hidden="false" customHeight="false" outlineLevel="0" collapsed="false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9"/>
      <c r="L614" s="9"/>
      <c r="M614" s="9"/>
      <c r="N614" s="9"/>
      <c r="O614" s="9"/>
      <c r="P614" s="9"/>
      <c r="Q614" s="9"/>
      <c r="R614" s="9" t="str">
        <f aca="false">IF(AND(A614&lt;&gt;"",ISNUMBER(Q614),ISNUMBER(L614)),ROUND(Q614-IF(ISNUMBER(N614),N614,0)-IF(ISNUMBER(O614),O614,0)+IF(ISNUMBER(P614),P614,0),2),"")</f>
        <v/>
      </c>
      <c r="S614" s="9" t="str">
        <f aca="false">IF(R614="","",ROUND(L614-R614,2))</f>
        <v/>
      </c>
      <c r="T614" s="8" t="str">
        <f aca="false">IF(A614="","",IF(S614="","BYPASS",IF(ABS(S614)&lt;=Summary!$B$2,"PASS","FAIL")))</f>
        <v/>
      </c>
      <c r="U614" s="8" t="str">
        <f aca="false">IF(T614="BYPASS",IF(NOT(ISNUMBER(Q614)),"PreV_ETB missing","End_tr_balance missing"),IF(T614="FAIL",IF(AND(ISNUMBER(K614),ISNUMBER(L614),ABS(L614-(K614-IF(ISNUMBER(N614),N614,0)-IF(ISNUMBER(O614),O614,0)+IF(ISNUMBER(P614),P614,0)))&lt;=Summary!$B$2),"Passes using beginning_balance - PreV_ETB differs from beginning_balance",IF(AND(ISNUMBER(O614),O614&lt;0,ABS(L614-(Q614-IF(ISNUMBER(N614),N614,0)+IF(ISNUMBER(P614),P614,0)))&lt;=Summary!$B$2),"Negative realized loss not applied - check sign",IF(R614&lt;0,"Principal paid exceeds prior balance",IF(AND(L614&gt;Q614,NOT(ISNUMBER(P614))),"Balance increased but no Deferred_interest reported",IF(L614&gt;R614,"Reported balance higher than expected (missing increase/OC build)","Reported balance lower than expected (missing decrease)"))))),""))</f>
        <v/>
      </c>
    </row>
    <row r="615" customFormat="false" ht="15" hidden="false" customHeight="false" outlineLevel="0" collapsed="false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9"/>
      <c r="L615" s="9"/>
      <c r="M615" s="9"/>
      <c r="N615" s="9"/>
      <c r="O615" s="9"/>
      <c r="P615" s="9"/>
      <c r="Q615" s="9"/>
      <c r="R615" s="9" t="str">
        <f aca="false">IF(AND(A615&lt;&gt;"",ISNUMBER(Q615),ISNUMBER(L615)),ROUND(Q615-IF(ISNUMBER(N615),N615,0)-IF(ISNUMBER(O615),O615,0)+IF(ISNUMBER(P615),P615,0),2),"")</f>
        <v/>
      </c>
      <c r="S615" s="9" t="str">
        <f aca="false">IF(R615="","",ROUND(L615-R615,2))</f>
        <v/>
      </c>
      <c r="T615" s="8" t="str">
        <f aca="false">IF(A615="","",IF(S615="","BYPASS",IF(ABS(S615)&lt;=Summary!$B$2,"PASS","FAIL")))</f>
        <v/>
      </c>
      <c r="U615" s="8" t="str">
        <f aca="false">IF(T615="BYPASS",IF(NOT(ISNUMBER(Q615)),"PreV_ETB missing","End_tr_balance missing"),IF(T615="FAIL",IF(AND(ISNUMBER(K615),ISNUMBER(L615),ABS(L615-(K615-IF(ISNUMBER(N615),N615,0)-IF(ISNUMBER(O615),O615,0)+IF(ISNUMBER(P615),P615,0)))&lt;=Summary!$B$2),"Passes using beginning_balance - PreV_ETB differs from beginning_balance",IF(AND(ISNUMBER(O615),O615&lt;0,ABS(L615-(Q615-IF(ISNUMBER(N615),N615,0)+IF(ISNUMBER(P615),P615,0)))&lt;=Summary!$B$2),"Negative realized loss not applied - check sign",IF(R615&lt;0,"Principal paid exceeds prior balance",IF(AND(L615&gt;Q615,NOT(ISNUMBER(P615))),"Balance increased but no Deferred_interest reported",IF(L615&gt;R615,"Reported balance higher than expected (missing increase/OC build)","Reported balance lower than expected (missing decrease)"))))),""))</f>
        <v/>
      </c>
    </row>
    <row r="616" customFormat="false" ht="15" hidden="false" customHeight="false" outlineLevel="0" collapsed="false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9"/>
      <c r="L616" s="9"/>
      <c r="M616" s="9"/>
      <c r="N616" s="9"/>
      <c r="O616" s="9"/>
      <c r="P616" s="9"/>
      <c r="Q616" s="9"/>
      <c r="R616" s="9" t="str">
        <f aca="false">IF(AND(A616&lt;&gt;"",ISNUMBER(Q616),ISNUMBER(L616)),ROUND(Q616-IF(ISNUMBER(N616),N616,0)-IF(ISNUMBER(O616),O616,0)+IF(ISNUMBER(P616),P616,0),2),"")</f>
        <v/>
      </c>
      <c r="S616" s="9" t="str">
        <f aca="false">IF(R616="","",ROUND(L616-R616,2))</f>
        <v/>
      </c>
      <c r="T616" s="8" t="str">
        <f aca="false">IF(A616="","",IF(S616="","BYPASS",IF(ABS(S616)&lt;=Summary!$B$2,"PASS","FAIL")))</f>
        <v/>
      </c>
      <c r="U616" s="8" t="str">
        <f aca="false">IF(T616="BYPASS",IF(NOT(ISNUMBER(Q616)),"PreV_ETB missing","End_tr_balance missing"),IF(T616="FAIL",IF(AND(ISNUMBER(K616),ISNUMBER(L616),ABS(L616-(K616-IF(ISNUMBER(N616),N616,0)-IF(ISNUMBER(O616),O616,0)+IF(ISNUMBER(P616),P616,0)))&lt;=Summary!$B$2),"Passes using beginning_balance - PreV_ETB differs from beginning_balance",IF(AND(ISNUMBER(O616),O616&lt;0,ABS(L616-(Q616-IF(ISNUMBER(N616),N616,0)+IF(ISNUMBER(P616),P616,0)))&lt;=Summary!$B$2),"Negative realized loss not applied - check sign",IF(R616&lt;0,"Principal paid exceeds prior balance",IF(AND(L616&gt;Q616,NOT(ISNUMBER(P616))),"Balance increased but no Deferred_interest reported",IF(L616&gt;R616,"Reported balance higher than expected (missing increase/OC build)","Reported balance lower than expected (missing decrease)"))))),""))</f>
        <v/>
      </c>
    </row>
    <row r="617" customFormat="false" ht="15" hidden="false" customHeight="false" outlineLevel="0" collapsed="false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9"/>
      <c r="L617" s="9"/>
      <c r="M617" s="9"/>
      <c r="N617" s="9"/>
      <c r="O617" s="9"/>
      <c r="P617" s="9"/>
      <c r="Q617" s="9"/>
      <c r="R617" s="9" t="str">
        <f aca="false">IF(AND(A617&lt;&gt;"",ISNUMBER(Q617),ISNUMBER(L617)),ROUND(Q617-IF(ISNUMBER(N617),N617,0)-IF(ISNUMBER(O617),O617,0)+IF(ISNUMBER(P617),P617,0),2),"")</f>
        <v/>
      </c>
      <c r="S617" s="9" t="str">
        <f aca="false">IF(R617="","",ROUND(L617-R617,2))</f>
        <v/>
      </c>
      <c r="T617" s="8" t="str">
        <f aca="false">IF(A617="","",IF(S617="","BYPASS",IF(ABS(S617)&lt;=Summary!$B$2,"PASS","FAIL")))</f>
        <v/>
      </c>
      <c r="U617" s="8" t="str">
        <f aca="false">IF(T617="BYPASS",IF(NOT(ISNUMBER(Q617)),"PreV_ETB missing","End_tr_balance missing"),IF(T617="FAIL",IF(AND(ISNUMBER(K617),ISNUMBER(L617),ABS(L617-(K617-IF(ISNUMBER(N617),N617,0)-IF(ISNUMBER(O617),O617,0)+IF(ISNUMBER(P617),P617,0)))&lt;=Summary!$B$2),"Passes using beginning_balance - PreV_ETB differs from beginning_balance",IF(AND(ISNUMBER(O617),O617&lt;0,ABS(L617-(Q617-IF(ISNUMBER(N617),N617,0)+IF(ISNUMBER(P617),P617,0)))&lt;=Summary!$B$2),"Negative realized loss not applied - check sign",IF(R617&lt;0,"Principal paid exceeds prior balance",IF(AND(L617&gt;Q617,NOT(ISNUMBER(P617))),"Balance increased but no Deferred_interest reported",IF(L617&gt;R617,"Reported balance higher than expected (missing increase/OC build)","Reported balance lower than expected (missing decrease)"))))),""))</f>
        <v/>
      </c>
    </row>
    <row r="618" customFormat="false" ht="15" hidden="false" customHeight="false" outlineLevel="0" collapsed="false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9"/>
      <c r="L618" s="9"/>
      <c r="M618" s="9"/>
      <c r="N618" s="9"/>
      <c r="O618" s="9"/>
      <c r="P618" s="9"/>
      <c r="Q618" s="9"/>
      <c r="R618" s="9" t="str">
        <f aca="false">IF(AND(A618&lt;&gt;"",ISNUMBER(Q618),ISNUMBER(L618)),ROUND(Q618-IF(ISNUMBER(N618),N618,0)-IF(ISNUMBER(O618),O618,0)+IF(ISNUMBER(P618),P618,0),2),"")</f>
        <v/>
      </c>
      <c r="S618" s="9" t="str">
        <f aca="false">IF(R618="","",ROUND(L618-R618,2))</f>
        <v/>
      </c>
      <c r="T618" s="8" t="str">
        <f aca="false">IF(A618="","",IF(S618="","BYPASS",IF(ABS(S618)&lt;=Summary!$B$2,"PASS","FAIL")))</f>
        <v/>
      </c>
      <c r="U618" s="8" t="str">
        <f aca="false">IF(T618="BYPASS",IF(NOT(ISNUMBER(Q618)),"PreV_ETB missing","End_tr_balance missing"),IF(T618="FAIL",IF(AND(ISNUMBER(K618),ISNUMBER(L618),ABS(L618-(K618-IF(ISNUMBER(N618),N618,0)-IF(ISNUMBER(O618),O618,0)+IF(ISNUMBER(P618),P618,0)))&lt;=Summary!$B$2),"Passes using beginning_balance - PreV_ETB differs from beginning_balance",IF(AND(ISNUMBER(O618),O618&lt;0,ABS(L618-(Q618-IF(ISNUMBER(N618),N618,0)+IF(ISNUMBER(P618),P618,0)))&lt;=Summary!$B$2),"Negative realized loss not applied - check sign",IF(R618&lt;0,"Principal paid exceeds prior balance",IF(AND(L618&gt;Q618,NOT(ISNUMBER(P618))),"Balance increased but no Deferred_interest reported",IF(L618&gt;R618,"Reported balance higher than expected (missing increase/OC build)","Reported balance lower than expected (missing decrease)"))))),""))</f>
        <v/>
      </c>
    </row>
    <row r="619" customFormat="false" ht="15" hidden="false" customHeight="false" outlineLevel="0" collapsed="false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9"/>
      <c r="L619" s="9"/>
      <c r="M619" s="9"/>
      <c r="N619" s="9"/>
      <c r="O619" s="9"/>
      <c r="P619" s="9"/>
      <c r="Q619" s="9"/>
      <c r="R619" s="9" t="str">
        <f aca="false">IF(AND(A619&lt;&gt;"",ISNUMBER(Q619),ISNUMBER(L619)),ROUND(Q619-IF(ISNUMBER(N619),N619,0)-IF(ISNUMBER(O619),O619,0)+IF(ISNUMBER(P619),P619,0),2),"")</f>
        <v/>
      </c>
      <c r="S619" s="9" t="str">
        <f aca="false">IF(R619="","",ROUND(L619-R619,2))</f>
        <v/>
      </c>
      <c r="T619" s="8" t="str">
        <f aca="false">IF(A619="","",IF(S619="","BYPASS",IF(ABS(S619)&lt;=Summary!$B$2,"PASS","FAIL")))</f>
        <v/>
      </c>
      <c r="U619" s="8" t="str">
        <f aca="false">IF(T619="BYPASS",IF(NOT(ISNUMBER(Q619)),"PreV_ETB missing","End_tr_balance missing"),IF(T619="FAIL",IF(AND(ISNUMBER(K619),ISNUMBER(L619),ABS(L619-(K619-IF(ISNUMBER(N619),N619,0)-IF(ISNUMBER(O619),O619,0)+IF(ISNUMBER(P619),P619,0)))&lt;=Summary!$B$2),"Passes using beginning_balance - PreV_ETB differs from beginning_balance",IF(AND(ISNUMBER(O619),O619&lt;0,ABS(L619-(Q619-IF(ISNUMBER(N619),N619,0)+IF(ISNUMBER(P619),P619,0)))&lt;=Summary!$B$2),"Negative realized loss not applied - check sign",IF(R619&lt;0,"Principal paid exceeds prior balance",IF(AND(L619&gt;Q619,NOT(ISNUMBER(P619))),"Balance increased but no Deferred_interest reported",IF(L619&gt;R619,"Reported balance higher than expected (missing increase/OC build)","Reported balance lower than expected (missing decrease)"))))),""))</f>
        <v/>
      </c>
    </row>
    <row r="620" customFormat="false" ht="15" hidden="false" customHeight="false" outlineLevel="0" collapsed="false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9"/>
      <c r="L620" s="9"/>
      <c r="M620" s="9"/>
      <c r="N620" s="9"/>
      <c r="O620" s="9"/>
      <c r="P620" s="9"/>
      <c r="Q620" s="9"/>
      <c r="R620" s="9" t="str">
        <f aca="false">IF(AND(A620&lt;&gt;"",ISNUMBER(Q620),ISNUMBER(L620)),ROUND(Q620-IF(ISNUMBER(N620),N620,0)-IF(ISNUMBER(O620),O620,0)+IF(ISNUMBER(P620),P620,0),2),"")</f>
        <v/>
      </c>
      <c r="S620" s="9" t="str">
        <f aca="false">IF(R620="","",ROUND(L620-R620,2))</f>
        <v/>
      </c>
      <c r="T620" s="8" t="str">
        <f aca="false">IF(A620="","",IF(S620="","BYPASS",IF(ABS(S620)&lt;=Summary!$B$2,"PASS","FAIL")))</f>
        <v/>
      </c>
      <c r="U620" s="8" t="str">
        <f aca="false">IF(T620="BYPASS",IF(NOT(ISNUMBER(Q620)),"PreV_ETB missing","End_tr_balance missing"),IF(T620="FAIL",IF(AND(ISNUMBER(K620),ISNUMBER(L620),ABS(L620-(K620-IF(ISNUMBER(N620),N620,0)-IF(ISNUMBER(O620),O620,0)+IF(ISNUMBER(P620),P620,0)))&lt;=Summary!$B$2),"Passes using beginning_balance - PreV_ETB differs from beginning_balance",IF(AND(ISNUMBER(O620),O620&lt;0,ABS(L620-(Q620-IF(ISNUMBER(N620),N620,0)+IF(ISNUMBER(P620),P620,0)))&lt;=Summary!$B$2),"Negative realized loss not applied - check sign",IF(R620&lt;0,"Principal paid exceeds prior balance",IF(AND(L620&gt;Q620,NOT(ISNUMBER(P620))),"Balance increased but no Deferred_interest reported",IF(L620&gt;R620,"Reported balance higher than expected (missing increase/OC build)","Reported balance lower than expected (missing decrease)"))))),""))</f>
        <v/>
      </c>
    </row>
    <row r="621" customFormat="false" ht="15" hidden="false" customHeight="false" outlineLevel="0" collapsed="false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9"/>
      <c r="L621" s="9"/>
      <c r="M621" s="9"/>
      <c r="N621" s="9"/>
      <c r="O621" s="9"/>
      <c r="P621" s="9"/>
      <c r="Q621" s="9"/>
      <c r="R621" s="9" t="str">
        <f aca="false">IF(AND(A621&lt;&gt;"",ISNUMBER(Q621),ISNUMBER(L621)),ROUND(Q621-IF(ISNUMBER(N621),N621,0)-IF(ISNUMBER(O621),O621,0)+IF(ISNUMBER(P621),P621,0),2),"")</f>
        <v/>
      </c>
      <c r="S621" s="9" t="str">
        <f aca="false">IF(R621="","",ROUND(L621-R621,2))</f>
        <v/>
      </c>
      <c r="T621" s="8" t="str">
        <f aca="false">IF(A621="","",IF(S621="","BYPASS",IF(ABS(S621)&lt;=Summary!$B$2,"PASS","FAIL")))</f>
        <v/>
      </c>
      <c r="U621" s="8" t="str">
        <f aca="false">IF(T621="BYPASS",IF(NOT(ISNUMBER(Q621)),"PreV_ETB missing","End_tr_balance missing"),IF(T621="FAIL",IF(AND(ISNUMBER(K621),ISNUMBER(L621),ABS(L621-(K621-IF(ISNUMBER(N621),N621,0)-IF(ISNUMBER(O621),O621,0)+IF(ISNUMBER(P621),P621,0)))&lt;=Summary!$B$2),"Passes using beginning_balance - PreV_ETB differs from beginning_balance",IF(AND(ISNUMBER(O621),O621&lt;0,ABS(L621-(Q621-IF(ISNUMBER(N621),N621,0)+IF(ISNUMBER(P621),P621,0)))&lt;=Summary!$B$2),"Negative realized loss not applied - check sign",IF(R621&lt;0,"Principal paid exceeds prior balance",IF(AND(L621&gt;Q621,NOT(ISNUMBER(P621))),"Balance increased but no Deferred_interest reported",IF(L621&gt;R621,"Reported balance higher than expected (missing increase/OC build)","Reported balance lower than expected (missing decrease)"))))),""))</f>
        <v/>
      </c>
    </row>
    <row r="622" customFormat="false" ht="15" hidden="false" customHeight="false" outlineLevel="0" collapsed="false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9"/>
      <c r="L622" s="9"/>
      <c r="M622" s="9"/>
      <c r="N622" s="9"/>
      <c r="O622" s="9"/>
      <c r="P622" s="9"/>
      <c r="Q622" s="9"/>
      <c r="R622" s="9" t="str">
        <f aca="false">IF(AND(A622&lt;&gt;"",ISNUMBER(Q622),ISNUMBER(L622)),ROUND(Q622-IF(ISNUMBER(N622),N622,0)-IF(ISNUMBER(O622),O622,0)+IF(ISNUMBER(P622),P622,0),2),"")</f>
        <v/>
      </c>
      <c r="S622" s="9" t="str">
        <f aca="false">IF(R622="","",ROUND(L622-R622,2))</f>
        <v/>
      </c>
      <c r="T622" s="8" t="str">
        <f aca="false">IF(A622="","",IF(S622="","BYPASS",IF(ABS(S622)&lt;=Summary!$B$2,"PASS","FAIL")))</f>
        <v/>
      </c>
      <c r="U622" s="8" t="str">
        <f aca="false">IF(T622="BYPASS",IF(NOT(ISNUMBER(Q622)),"PreV_ETB missing","End_tr_balance missing"),IF(T622="FAIL",IF(AND(ISNUMBER(K622),ISNUMBER(L622),ABS(L622-(K622-IF(ISNUMBER(N622),N622,0)-IF(ISNUMBER(O622),O622,0)+IF(ISNUMBER(P622),P622,0)))&lt;=Summary!$B$2),"Passes using beginning_balance - PreV_ETB differs from beginning_balance",IF(AND(ISNUMBER(O622),O622&lt;0,ABS(L622-(Q622-IF(ISNUMBER(N622),N622,0)+IF(ISNUMBER(P622),P622,0)))&lt;=Summary!$B$2),"Negative realized loss not applied - check sign",IF(R622&lt;0,"Principal paid exceeds prior balance",IF(AND(L622&gt;Q622,NOT(ISNUMBER(P622))),"Balance increased but no Deferred_interest reported",IF(L622&gt;R622,"Reported balance higher than expected (missing increase/OC build)","Reported balance lower than expected (missing decrease)"))))),""))</f>
        <v/>
      </c>
    </row>
    <row r="623" customFormat="false" ht="15" hidden="false" customHeight="false" outlineLevel="0" collapsed="false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9"/>
      <c r="L623" s="9"/>
      <c r="M623" s="9"/>
      <c r="N623" s="9"/>
      <c r="O623" s="9"/>
      <c r="P623" s="9"/>
      <c r="Q623" s="9"/>
      <c r="R623" s="9" t="str">
        <f aca="false">IF(AND(A623&lt;&gt;"",ISNUMBER(Q623),ISNUMBER(L623)),ROUND(Q623-IF(ISNUMBER(N623),N623,0)-IF(ISNUMBER(O623),O623,0)+IF(ISNUMBER(P623),P623,0),2),"")</f>
        <v/>
      </c>
      <c r="S623" s="9" t="str">
        <f aca="false">IF(R623="","",ROUND(L623-R623,2))</f>
        <v/>
      </c>
      <c r="T623" s="8" t="str">
        <f aca="false">IF(A623="","",IF(S623="","BYPASS",IF(ABS(S623)&lt;=Summary!$B$2,"PASS","FAIL")))</f>
        <v/>
      </c>
      <c r="U623" s="8" t="str">
        <f aca="false">IF(T623="BYPASS",IF(NOT(ISNUMBER(Q623)),"PreV_ETB missing","End_tr_balance missing"),IF(T623="FAIL",IF(AND(ISNUMBER(K623),ISNUMBER(L623),ABS(L623-(K623-IF(ISNUMBER(N623),N623,0)-IF(ISNUMBER(O623),O623,0)+IF(ISNUMBER(P623),P623,0)))&lt;=Summary!$B$2),"Passes using beginning_balance - PreV_ETB differs from beginning_balance",IF(AND(ISNUMBER(O623),O623&lt;0,ABS(L623-(Q623-IF(ISNUMBER(N623),N623,0)+IF(ISNUMBER(P623),P623,0)))&lt;=Summary!$B$2),"Negative realized loss not applied - check sign",IF(R623&lt;0,"Principal paid exceeds prior balance",IF(AND(L623&gt;Q623,NOT(ISNUMBER(P623))),"Balance increased but no Deferred_interest reported",IF(L623&gt;R623,"Reported balance higher than expected (missing increase/OC build)","Reported balance lower than expected (missing decrease)"))))),""))</f>
        <v/>
      </c>
    </row>
    <row r="624" customFormat="false" ht="15" hidden="false" customHeight="false" outlineLevel="0" collapsed="false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9"/>
      <c r="L624" s="9"/>
      <c r="M624" s="9"/>
      <c r="N624" s="9"/>
      <c r="O624" s="9"/>
      <c r="P624" s="9"/>
      <c r="Q624" s="9"/>
      <c r="R624" s="9" t="str">
        <f aca="false">IF(AND(A624&lt;&gt;"",ISNUMBER(Q624),ISNUMBER(L624)),ROUND(Q624-IF(ISNUMBER(N624),N624,0)-IF(ISNUMBER(O624),O624,0)+IF(ISNUMBER(P624),P624,0),2),"")</f>
        <v/>
      </c>
      <c r="S624" s="9" t="str">
        <f aca="false">IF(R624="","",ROUND(L624-R624,2))</f>
        <v/>
      </c>
      <c r="T624" s="8" t="str">
        <f aca="false">IF(A624="","",IF(S624="","BYPASS",IF(ABS(S624)&lt;=Summary!$B$2,"PASS","FAIL")))</f>
        <v/>
      </c>
      <c r="U624" s="8" t="str">
        <f aca="false">IF(T624="BYPASS",IF(NOT(ISNUMBER(Q624)),"PreV_ETB missing","End_tr_balance missing"),IF(T624="FAIL",IF(AND(ISNUMBER(K624),ISNUMBER(L624),ABS(L624-(K624-IF(ISNUMBER(N624),N624,0)-IF(ISNUMBER(O624),O624,0)+IF(ISNUMBER(P624),P624,0)))&lt;=Summary!$B$2),"Passes using beginning_balance - PreV_ETB differs from beginning_balance",IF(AND(ISNUMBER(O624),O624&lt;0,ABS(L624-(Q624-IF(ISNUMBER(N624),N624,0)+IF(ISNUMBER(P624),P624,0)))&lt;=Summary!$B$2),"Negative realized loss not applied - check sign",IF(R624&lt;0,"Principal paid exceeds prior balance",IF(AND(L624&gt;Q624,NOT(ISNUMBER(P624))),"Balance increased but no Deferred_interest reported",IF(L624&gt;R624,"Reported balance higher than expected (missing increase/OC build)","Reported balance lower than expected (missing decrease)"))))),""))</f>
        <v/>
      </c>
    </row>
    <row r="625" customFormat="false" ht="15" hidden="false" customHeight="false" outlineLevel="0" collapsed="false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9"/>
      <c r="L625" s="9"/>
      <c r="M625" s="9"/>
      <c r="N625" s="9"/>
      <c r="O625" s="9"/>
      <c r="P625" s="9"/>
      <c r="Q625" s="9"/>
      <c r="R625" s="9" t="str">
        <f aca="false">IF(AND(A625&lt;&gt;"",ISNUMBER(Q625),ISNUMBER(L625)),ROUND(Q625-IF(ISNUMBER(N625),N625,0)-IF(ISNUMBER(O625),O625,0)+IF(ISNUMBER(P625),P625,0),2),"")</f>
        <v/>
      </c>
      <c r="S625" s="9" t="str">
        <f aca="false">IF(R625="","",ROUND(L625-R625,2))</f>
        <v/>
      </c>
      <c r="T625" s="8" t="str">
        <f aca="false">IF(A625="","",IF(S625="","BYPASS",IF(ABS(S625)&lt;=Summary!$B$2,"PASS","FAIL")))</f>
        <v/>
      </c>
      <c r="U625" s="8" t="str">
        <f aca="false">IF(T625="BYPASS",IF(NOT(ISNUMBER(Q625)),"PreV_ETB missing","End_tr_balance missing"),IF(T625="FAIL",IF(AND(ISNUMBER(K625),ISNUMBER(L625),ABS(L625-(K625-IF(ISNUMBER(N625),N625,0)-IF(ISNUMBER(O625),O625,0)+IF(ISNUMBER(P625),P625,0)))&lt;=Summary!$B$2),"Passes using beginning_balance - PreV_ETB differs from beginning_balance",IF(AND(ISNUMBER(O625),O625&lt;0,ABS(L625-(Q625-IF(ISNUMBER(N625),N625,0)+IF(ISNUMBER(P625),P625,0)))&lt;=Summary!$B$2),"Negative realized loss not applied - check sign",IF(R625&lt;0,"Principal paid exceeds prior balance",IF(AND(L625&gt;Q625,NOT(ISNUMBER(P625))),"Balance increased but no Deferred_interest reported",IF(L625&gt;R625,"Reported balance higher than expected (missing increase/OC build)","Reported balance lower than expected (missing decrease)"))))),""))</f>
        <v/>
      </c>
    </row>
    <row r="626" customFormat="false" ht="15" hidden="false" customHeight="false" outlineLevel="0" collapsed="false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9"/>
      <c r="L626" s="9"/>
      <c r="M626" s="9"/>
      <c r="N626" s="9"/>
      <c r="O626" s="9"/>
      <c r="P626" s="9"/>
      <c r="Q626" s="9"/>
      <c r="R626" s="9" t="str">
        <f aca="false">IF(AND(A626&lt;&gt;"",ISNUMBER(Q626),ISNUMBER(L626)),ROUND(Q626-IF(ISNUMBER(N626),N626,0)-IF(ISNUMBER(O626),O626,0)+IF(ISNUMBER(P626),P626,0),2),"")</f>
        <v/>
      </c>
      <c r="S626" s="9" t="str">
        <f aca="false">IF(R626="","",ROUND(L626-R626,2))</f>
        <v/>
      </c>
      <c r="T626" s="8" t="str">
        <f aca="false">IF(A626="","",IF(S626="","BYPASS",IF(ABS(S626)&lt;=Summary!$B$2,"PASS","FAIL")))</f>
        <v/>
      </c>
      <c r="U626" s="8" t="str">
        <f aca="false">IF(T626="BYPASS",IF(NOT(ISNUMBER(Q626)),"PreV_ETB missing","End_tr_balance missing"),IF(T626="FAIL",IF(AND(ISNUMBER(K626),ISNUMBER(L626),ABS(L626-(K626-IF(ISNUMBER(N626),N626,0)-IF(ISNUMBER(O626),O626,0)+IF(ISNUMBER(P626),P626,0)))&lt;=Summary!$B$2),"Passes using beginning_balance - PreV_ETB differs from beginning_balance",IF(AND(ISNUMBER(O626),O626&lt;0,ABS(L626-(Q626-IF(ISNUMBER(N626),N626,0)+IF(ISNUMBER(P626),P626,0)))&lt;=Summary!$B$2),"Negative realized loss not applied - check sign",IF(R626&lt;0,"Principal paid exceeds prior balance",IF(AND(L626&gt;Q626,NOT(ISNUMBER(P626))),"Balance increased but no Deferred_interest reported",IF(L626&gt;R626,"Reported balance higher than expected (missing increase/OC build)","Reported balance lower than expected (missing decrease)"))))),""))</f>
        <v/>
      </c>
    </row>
    <row r="627" customFormat="false" ht="15" hidden="false" customHeight="false" outlineLevel="0" collapsed="false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9"/>
      <c r="L627" s="9"/>
      <c r="M627" s="9"/>
      <c r="N627" s="9"/>
      <c r="O627" s="9"/>
      <c r="P627" s="9"/>
      <c r="Q627" s="9"/>
      <c r="R627" s="9" t="str">
        <f aca="false">IF(AND(A627&lt;&gt;"",ISNUMBER(Q627),ISNUMBER(L627)),ROUND(Q627-IF(ISNUMBER(N627),N627,0)-IF(ISNUMBER(O627),O627,0)+IF(ISNUMBER(P627),P627,0),2),"")</f>
        <v/>
      </c>
      <c r="S627" s="9" t="str">
        <f aca="false">IF(R627="","",ROUND(L627-R627,2))</f>
        <v/>
      </c>
      <c r="T627" s="8" t="str">
        <f aca="false">IF(A627="","",IF(S627="","BYPASS",IF(ABS(S627)&lt;=Summary!$B$2,"PASS","FAIL")))</f>
        <v/>
      </c>
      <c r="U627" s="8" t="str">
        <f aca="false">IF(T627="BYPASS",IF(NOT(ISNUMBER(Q627)),"PreV_ETB missing","End_tr_balance missing"),IF(T627="FAIL",IF(AND(ISNUMBER(K627),ISNUMBER(L627),ABS(L627-(K627-IF(ISNUMBER(N627),N627,0)-IF(ISNUMBER(O627),O627,0)+IF(ISNUMBER(P627),P627,0)))&lt;=Summary!$B$2),"Passes using beginning_balance - PreV_ETB differs from beginning_balance",IF(AND(ISNUMBER(O627),O627&lt;0,ABS(L627-(Q627-IF(ISNUMBER(N627),N627,0)+IF(ISNUMBER(P627),P627,0)))&lt;=Summary!$B$2),"Negative realized loss not applied - check sign",IF(R627&lt;0,"Principal paid exceeds prior balance",IF(AND(L627&gt;Q627,NOT(ISNUMBER(P627))),"Balance increased but no Deferred_interest reported",IF(L627&gt;R627,"Reported balance higher than expected (missing increase/OC build)","Reported balance lower than expected (missing decrease)"))))),""))</f>
        <v/>
      </c>
    </row>
    <row r="628" customFormat="false" ht="15" hidden="false" customHeight="false" outlineLevel="0" collapsed="false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9"/>
      <c r="L628" s="9"/>
      <c r="M628" s="9"/>
      <c r="N628" s="9"/>
      <c r="O628" s="9"/>
      <c r="P628" s="9"/>
      <c r="Q628" s="9"/>
      <c r="R628" s="9" t="str">
        <f aca="false">IF(AND(A628&lt;&gt;"",ISNUMBER(Q628),ISNUMBER(L628)),ROUND(Q628-IF(ISNUMBER(N628),N628,0)-IF(ISNUMBER(O628),O628,0)+IF(ISNUMBER(P628),P628,0),2),"")</f>
        <v/>
      </c>
      <c r="S628" s="9" t="str">
        <f aca="false">IF(R628="","",ROUND(L628-R628,2))</f>
        <v/>
      </c>
      <c r="T628" s="8" t="str">
        <f aca="false">IF(A628="","",IF(S628="","BYPASS",IF(ABS(S628)&lt;=Summary!$B$2,"PASS","FAIL")))</f>
        <v/>
      </c>
      <c r="U628" s="8" t="str">
        <f aca="false">IF(T628="BYPASS",IF(NOT(ISNUMBER(Q628)),"PreV_ETB missing","End_tr_balance missing"),IF(T628="FAIL",IF(AND(ISNUMBER(K628),ISNUMBER(L628),ABS(L628-(K628-IF(ISNUMBER(N628),N628,0)-IF(ISNUMBER(O628),O628,0)+IF(ISNUMBER(P628),P628,0)))&lt;=Summary!$B$2),"Passes using beginning_balance - PreV_ETB differs from beginning_balance",IF(AND(ISNUMBER(O628),O628&lt;0,ABS(L628-(Q628-IF(ISNUMBER(N628),N628,0)+IF(ISNUMBER(P628),P628,0)))&lt;=Summary!$B$2),"Negative realized loss not applied - check sign",IF(R628&lt;0,"Principal paid exceeds prior balance",IF(AND(L628&gt;Q628,NOT(ISNUMBER(P628))),"Balance increased but no Deferred_interest reported",IF(L628&gt;R628,"Reported balance higher than expected (missing increase/OC build)","Reported balance lower than expected (missing decrease)"))))),""))</f>
        <v/>
      </c>
    </row>
    <row r="629" customFormat="false" ht="15" hidden="false" customHeight="false" outlineLevel="0" collapsed="false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9"/>
      <c r="L629" s="9"/>
      <c r="M629" s="9"/>
      <c r="N629" s="9"/>
      <c r="O629" s="9"/>
      <c r="P629" s="9"/>
      <c r="Q629" s="9"/>
      <c r="R629" s="9" t="str">
        <f aca="false">IF(AND(A629&lt;&gt;"",ISNUMBER(Q629),ISNUMBER(L629)),ROUND(Q629-IF(ISNUMBER(N629),N629,0)-IF(ISNUMBER(O629),O629,0)+IF(ISNUMBER(P629),P629,0),2),"")</f>
        <v/>
      </c>
      <c r="S629" s="9" t="str">
        <f aca="false">IF(R629="","",ROUND(L629-R629,2))</f>
        <v/>
      </c>
      <c r="T629" s="8" t="str">
        <f aca="false">IF(A629="","",IF(S629="","BYPASS",IF(ABS(S629)&lt;=Summary!$B$2,"PASS","FAIL")))</f>
        <v/>
      </c>
      <c r="U629" s="8" t="str">
        <f aca="false">IF(T629="BYPASS",IF(NOT(ISNUMBER(Q629)),"PreV_ETB missing","End_tr_balance missing"),IF(T629="FAIL",IF(AND(ISNUMBER(K629),ISNUMBER(L629),ABS(L629-(K629-IF(ISNUMBER(N629),N629,0)-IF(ISNUMBER(O629),O629,0)+IF(ISNUMBER(P629),P629,0)))&lt;=Summary!$B$2),"Passes using beginning_balance - PreV_ETB differs from beginning_balance",IF(AND(ISNUMBER(O629),O629&lt;0,ABS(L629-(Q629-IF(ISNUMBER(N629),N629,0)+IF(ISNUMBER(P629),P629,0)))&lt;=Summary!$B$2),"Negative realized loss not applied - check sign",IF(R629&lt;0,"Principal paid exceeds prior balance",IF(AND(L629&gt;Q629,NOT(ISNUMBER(P629))),"Balance increased but no Deferred_interest reported",IF(L629&gt;R629,"Reported balance higher than expected (missing increase/OC build)","Reported balance lower than expected (missing decrease)"))))),""))</f>
        <v/>
      </c>
    </row>
    <row r="630" customFormat="false" ht="15" hidden="false" customHeight="false" outlineLevel="0" collapsed="false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9"/>
      <c r="L630" s="9"/>
      <c r="M630" s="9"/>
      <c r="N630" s="9"/>
      <c r="O630" s="9"/>
      <c r="P630" s="9"/>
      <c r="Q630" s="9"/>
      <c r="R630" s="9" t="str">
        <f aca="false">IF(AND(A630&lt;&gt;"",ISNUMBER(Q630),ISNUMBER(L630)),ROUND(Q630-IF(ISNUMBER(N630),N630,0)-IF(ISNUMBER(O630),O630,0)+IF(ISNUMBER(P630),P630,0),2),"")</f>
        <v/>
      </c>
      <c r="S630" s="9" t="str">
        <f aca="false">IF(R630="","",ROUND(L630-R630,2))</f>
        <v/>
      </c>
      <c r="T630" s="8" t="str">
        <f aca="false">IF(A630="","",IF(S630="","BYPASS",IF(ABS(S630)&lt;=Summary!$B$2,"PASS","FAIL")))</f>
        <v/>
      </c>
      <c r="U630" s="8" t="str">
        <f aca="false">IF(T630="BYPASS",IF(NOT(ISNUMBER(Q630)),"PreV_ETB missing","End_tr_balance missing"),IF(T630="FAIL",IF(AND(ISNUMBER(K630),ISNUMBER(L630),ABS(L630-(K630-IF(ISNUMBER(N630),N630,0)-IF(ISNUMBER(O630),O630,0)+IF(ISNUMBER(P630),P630,0)))&lt;=Summary!$B$2),"Passes using beginning_balance - PreV_ETB differs from beginning_balance",IF(AND(ISNUMBER(O630),O630&lt;0,ABS(L630-(Q630-IF(ISNUMBER(N630),N630,0)+IF(ISNUMBER(P630),P630,0)))&lt;=Summary!$B$2),"Negative realized loss not applied - check sign",IF(R630&lt;0,"Principal paid exceeds prior balance",IF(AND(L630&gt;Q630,NOT(ISNUMBER(P630))),"Balance increased but no Deferred_interest reported",IF(L630&gt;R630,"Reported balance higher than expected (missing increase/OC build)","Reported balance lower than expected (missing decrease)"))))),""))</f>
        <v/>
      </c>
    </row>
    <row r="631" customFormat="false" ht="15" hidden="false" customHeight="false" outlineLevel="0" collapsed="false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9"/>
      <c r="L631" s="9"/>
      <c r="M631" s="9"/>
      <c r="N631" s="9"/>
      <c r="O631" s="9"/>
      <c r="P631" s="9"/>
      <c r="Q631" s="9"/>
      <c r="R631" s="9" t="str">
        <f aca="false">IF(AND(A631&lt;&gt;"",ISNUMBER(Q631),ISNUMBER(L631)),ROUND(Q631-IF(ISNUMBER(N631),N631,0)-IF(ISNUMBER(O631),O631,0)+IF(ISNUMBER(P631),P631,0),2),"")</f>
        <v/>
      </c>
      <c r="S631" s="9" t="str">
        <f aca="false">IF(R631="","",ROUND(L631-R631,2))</f>
        <v/>
      </c>
      <c r="T631" s="8" t="str">
        <f aca="false">IF(A631="","",IF(S631="","BYPASS",IF(ABS(S631)&lt;=Summary!$B$2,"PASS","FAIL")))</f>
        <v/>
      </c>
      <c r="U631" s="8" t="str">
        <f aca="false">IF(T631="BYPASS",IF(NOT(ISNUMBER(Q631)),"PreV_ETB missing","End_tr_balance missing"),IF(T631="FAIL",IF(AND(ISNUMBER(K631),ISNUMBER(L631),ABS(L631-(K631-IF(ISNUMBER(N631),N631,0)-IF(ISNUMBER(O631),O631,0)+IF(ISNUMBER(P631),P631,0)))&lt;=Summary!$B$2),"Passes using beginning_balance - PreV_ETB differs from beginning_balance",IF(AND(ISNUMBER(O631),O631&lt;0,ABS(L631-(Q631-IF(ISNUMBER(N631),N631,0)+IF(ISNUMBER(P631),P631,0)))&lt;=Summary!$B$2),"Negative realized loss not applied - check sign",IF(R631&lt;0,"Principal paid exceeds prior balance",IF(AND(L631&gt;Q631,NOT(ISNUMBER(P631))),"Balance increased but no Deferred_interest reported",IF(L631&gt;R631,"Reported balance higher than expected (missing increase/OC build)","Reported balance lower than expected (missing decrease)"))))),""))</f>
        <v/>
      </c>
    </row>
    <row r="632" customFormat="false" ht="15" hidden="false" customHeight="false" outlineLevel="0" collapsed="false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9"/>
      <c r="L632" s="9"/>
      <c r="M632" s="9"/>
      <c r="N632" s="9"/>
      <c r="O632" s="9"/>
      <c r="P632" s="9"/>
      <c r="Q632" s="9"/>
      <c r="R632" s="9" t="str">
        <f aca="false">IF(AND(A632&lt;&gt;"",ISNUMBER(Q632),ISNUMBER(L632)),ROUND(Q632-IF(ISNUMBER(N632),N632,0)-IF(ISNUMBER(O632),O632,0)+IF(ISNUMBER(P632),P632,0),2),"")</f>
        <v/>
      </c>
      <c r="S632" s="9" t="str">
        <f aca="false">IF(R632="","",ROUND(L632-R632,2))</f>
        <v/>
      </c>
      <c r="T632" s="8" t="str">
        <f aca="false">IF(A632="","",IF(S632="","BYPASS",IF(ABS(S632)&lt;=Summary!$B$2,"PASS","FAIL")))</f>
        <v/>
      </c>
      <c r="U632" s="8" t="str">
        <f aca="false">IF(T632="BYPASS",IF(NOT(ISNUMBER(Q632)),"PreV_ETB missing","End_tr_balance missing"),IF(T632="FAIL",IF(AND(ISNUMBER(K632),ISNUMBER(L632),ABS(L632-(K632-IF(ISNUMBER(N632),N632,0)-IF(ISNUMBER(O632),O632,0)+IF(ISNUMBER(P632),P632,0)))&lt;=Summary!$B$2),"Passes using beginning_balance - PreV_ETB differs from beginning_balance",IF(AND(ISNUMBER(O632),O632&lt;0,ABS(L632-(Q632-IF(ISNUMBER(N632),N632,0)+IF(ISNUMBER(P632),P632,0)))&lt;=Summary!$B$2),"Negative realized loss not applied - check sign",IF(R632&lt;0,"Principal paid exceeds prior balance",IF(AND(L632&gt;Q632,NOT(ISNUMBER(P632))),"Balance increased but no Deferred_interest reported",IF(L632&gt;R632,"Reported balance higher than expected (missing increase/OC build)","Reported balance lower than expected (missing decrease)"))))),""))</f>
        <v/>
      </c>
    </row>
    <row r="633" customFormat="false" ht="15" hidden="false" customHeight="false" outlineLevel="0" collapsed="false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9"/>
      <c r="L633" s="9"/>
      <c r="M633" s="9"/>
      <c r="N633" s="9"/>
      <c r="O633" s="9"/>
      <c r="P633" s="9"/>
      <c r="Q633" s="9"/>
      <c r="R633" s="9" t="str">
        <f aca="false">IF(AND(A633&lt;&gt;"",ISNUMBER(Q633),ISNUMBER(L633)),ROUND(Q633-IF(ISNUMBER(N633),N633,0)-IF(ISNUMBER(O633),O633,0)+IF(ISNUMBER(P633),P633,0),2),"")</f>
        <v/>
      </c>
      <c r="S633" s="9" t="str">
        <f aca="false">IF(R633="","",ROUND(L633-R633,2))</f>
        <v/>
      </c>
      <c r="T633" s="8" t="str">
        <f aca="false">IF(A633="","",IF(S633="","BYPASS",IF(ABS(S633)&lt;=Summary!$B$2,"PASS","FAIL")))</f>
        <v/>
      </c>
      <c r="U633" s="8" t="str">
        <f aca="false">IF(T633="BYPASS",IF(NOT(ISNUMBER(Q633)),"PreV_ETB missing","End_tr_balance missing"),IF(T633="FAIL",IF(AND(ISNUMBER(K633),ISNUMBER(L633),ABS(L633-(K633-IF(ISNUMBER(N633),N633,0)-IF(ISNUMBER(O633),O633,0)+IF(ISNUMBER(P633),P633,0)))&lt;=Summary!$B$2),"Passes using beginning_balance - PreV_ETB differs from beginning_balance",IF(AND(ISNUMBER(O633),O633&lt;0,ABS(L633-(Q633-IF(ISNUMBER(N633),N633,0)+IF(ISNUMBER(P633),P633,0)))&lt;=Summary!$B$2),"Negative realized loss not applied - check sign",IF(R633&lt;0,"Principal paid exceeds prior balance",IF(AND(L633&gt;Q633,NOT(ISNUMBER(P633))),"Balance increased but no Deferred_interest reported",IF(L633&gt;R633,"Reported balance higher than expected (missing increase/OC build)","Reported balance lower than expected (missing decrease)"))))),""))</f>
        <v/>
      </c>
    </row>
    <row r="634" customFormat="false" ht="15" hidden="false" customHeight="false" outlineLevel="0" collapsed="false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9"/>
      <c r="L634" s="9"/>
      <c r="M634" s="9"/>
      <c r="N634" s="9"/>
      <c r="O634" s="9"/>
      <c r="P634" s="9"/>
      <c r="Q634" s="9"/>
      <c r="R634" s="9" t="str">
        <f aca="false">IF(AND(A634&lt;&gt;"",ISNUMBER(Q634),ISNUMBER(L634)),ROUND(Q634-IF(ISNUMBER(N634),N634,0)-IF(ISNUMBER(O634),O634,0)+IF(ISNUMBER(P634),P634,0),2),"")</f>
        <v/>
      </c>
      <c r="S634" s="9" t="str">
        <f aca="false">IF(R634="","",ROUND(L634-R634,2))</f>
        <v/>
      </c>
      <c r="T634" s="8" t="str">
        <f aca="false">IF(A634="","",IF(S634="","BYPASS",IF(ABS(S634)&lt;=Summary!$B$2,"PASS","FAIL")))</f>
        <v/>
      </c>
      <c r="U634" s="8" t="str">
        <f aca="false">IF(T634="BYPASS",IF(NOT(ISNUMBER(Q634)),"PreV_ETB missing","End_tr_balance missing"),IF(T634="FAIL",IF(AND(ISNUMBER(K634),ISNUMBER(L634),ABS(L634-(K634-IF(ISNUMBER(N634),N634,0)-IF(ISNUMBER(O634),O634,0)+IF(ISNUMBER(P634),P634,0)))&lt;=Summary!$B$2),"Passes using beginning_balance - PreV_ETB differs from beginning_balance",IF(AND(ISNUMBER(O634),O634&lt;0,ABS(L634-(Q634-IF(ISNUMBER(N634),N634,0)+IF(ISNUMBER(P634),P634,0)))&lt;=Summary!$B$2),"Negative realized loss not applied - check sign",IF(R634&lt;0,"Principal paid exceeds prior balance",IF(AND(L634&gt;Q634,NOT(ISNUMBER(P634))),"Balance increased but no Deferred_interest reported",IF(L634&gt;R634,"Reported balance higher than expected (missing increase/OC build)","Reported balance lower than expected (missing decrease)"))))),""))</f>
        <v/>
      </c>
    </row>
    <row r="635" customFormat="false" ht="15" hidden="false" customHeight="false" outlineLevel="0" collapsed="false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9"/>
      <c r="L635" s="9"/>
      <c r="M635" s="9"/>
      <c r="N635" s="9"/>
      <c r="O635" s="9"/>
      <c r="P635" s="9"/>
      <c r="Q635" s="9"/>
      <c r="R635" s="9" t="str">
        <f aca="false">IF(AND(A635&lt;&gt;"",ISNUMBER(Q635),ISNUMBER(L635)),ROUND(Q635-IF(ISNUMBER(N635),N635,0)-IF(ISNUMBER(O635),O635,0)+IF(ISNUMBER(P635),P635,0),2),"")</f>
        <v/>
      </c>
      <c r="S635" s="9" t="str">
        <f aca="false">IF(R635="","",ROUND(L635-R635,2))</f>
        <v/>
      </c>
      <c r="T635" s="8" t="str">
        <f aca="false">IF(A635="","",IF(S635="","BYPASS",IF(ABS(S635)&lt;=Summary!$B$2,"PASS","FAIL")))</f>
        <v/>
      </c>
      <c r="U635" s="8" t="str">
        <f aca="false">IF(T635="BYPASS",IF(NOT(ISNUMBER(Q635)),"PreV_ETB missing","End_tr_balance missing"),IF(T635="FAIL",IF(AND(ISNUMBER(K635),ISNUMBER(L635),ABS(L635-(K635-IF(ISNUMBER(N635),N635,0)-IF(ISNUMBER(O635),O635,0)+IF(ISNUMBER(P635),P635,0)))&lt;=Summary!$B$2),"Passes using beginning_balance - PreV_ETB differs from beginning_balance",IF(AND(ISNUMBER(O635),O635&lt;0,ABS(L635-(Q635-IF(ISNUMBER(N635),N635,0)+IF(ISNUMBER(P635),P635,0)))&lt;=Summary!$B$2),"Negative realized loss not applied - check sign",IF(R635&lt;0,"Principal paid exceeds prior balance",IF(AND(L635&gt;Q635,NOT(ISNUMBER(P635))),"Balance increased but no Deferred_interest reported",IF(L635&gt;R635,"Reported balance higher than expected (missing increase/OC build)","Reported balance lower than expected (missing decrease)"))))),""))</f>
        <v/>
      </c>
    </row>
    <row r="636" customFormat="false" ht="15" hidden="false" customHeight="false" outlineLevel="0" collapsed="false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9"/>
      <c r="L636" s="9"/>
      <c r="M636" s="9"/>
      <c r="N636" s="9"/>
      <c r="O636" s="9"/>
      <c r="P636" s="9"/>
      <c r="Q636" s="9"/>
      <c r="R636" s="9" t="str">
        <f aca="false">IF(AND(A636&lt;&gt;"",ISNUMBER(Q636),ISNUMBER(L636)),ROUND(Q636-IF(ISNUMBER(N636),N636,0)-IF(ISNUMBER(O636),O636,0)+IF(ISNUMBER(P636),P636,0),2),"")</f>
        <v/>
      </c>
      <c r="S636" s="9" t="str">
        <f aca="false">IF(R636="","",ROUND(L636-R636,2))</f>
        <v/>
      </c>
      <c r="T636" s="8" t="str">
        <f aca="false">IF(A636="","",IF(S636="","BYPASS",IF(ABS(S636)&lt;=Summary!$B$2,"PASS","FAIL")))</f>
        <v/>
      </c>
      <c r="U636" s="8" t="str">
        <f aca="false">IF(T636="BYPASS",IF(NOT(ISNUMBER(Q636)),"PreV_ETB missing","End_tr_balance missing"),IF(T636="FAIL",IF(AND(ISNUMBER(K636),ISNUMBER(L636),ABS(L636-(K636-IF(ISNUMBER(N636),N636,0)-IF(ISNUMBER(O636),O636,0)+IF(ISNUMBER(P636),P636,0)))&lt;=Summary!$B$2),"Passes using beginning_balance - PreV_ETB differs from beginning_balance",IF(AND(ISNUMBER(O636),O636&lt;0,ABS(L636-(Q636-IF(ISNUMBER(N636),N636,0)+IF(ISNUMBER(P636),P636,0)))&lt;=Summary!$B$2),"Negative realized loss not applied - check sign",IF(R636&lt;0,"Principal paid exceeds prior balance",IF(AND(L636&gt;Q636,NOT(ISNUMBER(P636))),"Balance increased but no Deferred_interest reported",IF(L636&gt;R636,"Reported balance higher than expected (missing increase/OC build)","Reported balance lower than expected (missing decrease)"))))),""))</f>
        <v/>
      </c>
    </row>
    <row r="637" customFormat="false" ht="15" hidden="false" customHeight="false" outlineLevel="0" collapsed="false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9"/>
      <c r="L637" s="9"/>
      <c r="M637" s="9"/>
      <c r="N637" s="9"/>
      <c r="O637" s="9"/>
      <c r="P637" s="9"/>
      <c r="Q637" s="9"/>
      <c r="R637" s="9" t="str">
        <f aca="false">IF(AND(A637&lt;&gt;"",ISNUMBER(Q637),ISNUMBER(L637)),ROUND(Q637-IF(ISNUMBER(N637),N637,0)-IF(ISNUMBER(O637),O637,0)+IF(ISNUMBER(P637),P637,0),2),"")</f>
        <v/>
      </c>
      <c r="S637" s="9" t="str">
        <f aca="false">IF(R637="","",ROUND(L637-R637,2))</f>
        <v/>
      </c>
      <c r="T637" s="8" t="str">
        <f aca="false">IF(A637="","",IF(S637="","BYPASS",IF(ABS(S637)&lt;=Summary!$B$2,"PASS","FAIL")))</f>
        <v/>
      </c>
      <c r="U637" s="8" t="str">
        <f aca="false">IF(T637="BYPASS",IF(NOT(ISNUMBER(Q637)),"PreV_ETB missing","End_tr_balance missing"),IF(T637="FAIL",IF(AND(ISNUMBER(K637),ISNUMBER(L637),ABS(L637-(K637-IF(ISNUMBER(N637),N637,0)-IF(ISNUMBER(O637),O637,0)+IF(ISNUMBER(P637),P637,0)))&lt;=Summary!$B$2),"Passes using beginning_balance - PreV_ETB differs from beginning_balance",IF(AND(ISNUMBER(O637),O637&lt;0,ABS(L637-(Q637-IF(ISNUMBER(N637),N637,0)+IF(ISNUMBER(P637),P637,0)))&lt;=Summary!$B$2),"Negative realized loss not applied - check sign",IF(R637&lt;0,"Principal paid exceeds prior balance",IF(AND(L637&gt;Q637,NOT(ISNUMBER(P637))),"Balance increased but no Deferred_interest reported",IF(L637&gt;R637,"Reported balance higher than expected (missing increase/OC build)","Reported balance lower than expected (missing decrease)"))))),""))</f>
        <v/>
      </c>
    </row>
    <row r="638" customFormat="false" ht="15" hidden="false" customHeight="false" outlineLevel="0" collapsed="false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9"/>
      <c r="L638" s="9"/>
      <c r="M638" s="9"/>
      <c r="N638" s="9"/>
      <c r="O638" s="9"/>
      <c r="P638" s="9"/>
      <c r="Q638" s="9"/>
      <c r="R638" s="9" t="str">
        <f aca="false">IF(AND(A638&lt;&gt;"",ISNUMBER(Q638),ISNUMBER(L638)),ROUND(Q638-IF(ISNUMBER(N638),N638,0)-IF(ISNUMBER(O638),O638,0)+IF(ISNUMBER(P638),P638,0),2),"")</f>
        <v/>
      </c>
      <c r="S638" s="9" t="str">
        <f aca="false">IF(R638="","",ROUND(L638-R638,2))</f>
        <v/>
      </c>
      <c r="T638" s="8" t="str">
        <f aca="false">IF(A638="","",IF(S638="","BYPASS",IF(ABS(S638)&lt;=Summary!$B$2,"PASS","FAIL")))</f>
        <v/>
      </c>
      <c r="U638" s="8" t="str">
        <f aca="false">IF(T638="BYPASS",IF(NOT(ISNUMBER(Q638)),"PreV_ETB missing","End_tr_balance missing"),IF(T638="FAIL",IF(AND(ISNUMBER(K638),ISNUMBER(L638),ABS(L638-(K638-IF(ISNUMBER(N638),N638,0)-IF(ISNUMBER(O638),O638,0)+IF(ISNUMBER(P638),P638,0)))&lt;=Summary!$B$2),"Passes using beginning_balance - PreV_ETB differs from beginning_balance",IF(AND(ISNUMBER(O638),O638&lt;0,ABS(L638-(Q638-IF(ISNUMBER(N638),N638,0)+IF(ISNUMBER(P638),P638,0)))&lt;=Summary!$B$2),"Negative realized loss not applied - check sign",IF(R638&lt;0,"Principal paid exceeds prior balance",IF(AND(L638&gt;Q638,NOT(ISNUMBER(P638))),"Balance increased but no Deferred_interest reported",IF(L638&gt;R638,"Reported balance higher than expected (missing increase/OC build)","Reported balance lower than expected (missing decrease)"))))),""))</f>
        <v/>
      </c>
    </row>
    <row r="639" customFormat="false" ht="15" hidden="false" customHeight="false" outlineLevel="0" collapsed="false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9"/>
      <c r="L639" s="9"/>
      <c r="M639" s="9"/>
      <c r="N639" s="9"/>
      <c r="O639" s="9"/>
      <c r="P639" s="9"/>
      <c r="Q639" s="9"/>
      <c r="R639" s="9" t="str">
        <f aca="false">IF(AND(A639&lt;&gt;"",ISNUMBER(Q639),ISNUMBER(L639)),ROUND(Q639-IF(ISNUMBER(N639),N639,0)-IF(ISNUMBER(O639),O639,0)+IF(ISNUMBER(P639),P639,0),2),"")</f>
        <v/>
      </c>
      <c r="S639" s="9" t="str">
        <f aca="false">IF(R639="","",ROUND(L639-R639,2))</f>
        <v/>
      </c>
      <c r="T639" s="8" t="str">
        <f aca="false">IF(A639="","",IF(S639="","BYPASS",IF(ABS(S639)&lt;=Summary!$B$2,"PASS","FAIL")))</f>
        <v/>
      </c>
      <c r="U639" s="8" t="str">
        <f aca="false">IF(T639="BYPASS",IF(NOT(ISNUMBER(Q639)),"PreV_ETB missing","End_tr_balance missing"),IF(T639="FAIL",IF(AND(ISNUMBER(K639),ISNUMBER(L639),ABS(L639-(K639-IF(ISNUMBER(N639),N639,0)-IF(ISNUMBER(O639),O639,0)+IF(ISNUMBER(P639),P639,0)))&lt;=Summary!$B$2),"Passes using beginning_balance - PreV_ETB differs from beginning_balance",IF(AND(ISNUMBER(O639),O639&lt;0,ABS(L639-(Q639-IF(ISNUMBER(N639),N639,0)+IF(ISNUMBER(P639),P639,0)))&lt;=Summary!$B$2),"Negative realized loss not applied - check sign",IF(R639&lt;0,"Principal paid exceeds prior balance",IF(AND(L639&gt;Q639,NOT(ISNUMBER(P639))),"Balance increased but no Deferred_interest reported",IF(L639&gt;R639,"Reported balance higher than expected (missing increase/OC build)","Reported balance lower than expected (missing decrease)"))))),""))</f>
        <v/>
      </c>
    </row>
    <row r="640" customFormat="false" ht="15" hidden="false" customHeight="false" outlineLevel="0" collapsed="false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9"/>
      <c r="L640" s="9"/>
      <c r="M640" s="9"/>
      <c r="N640" s="9"/>
      <c r="O640" s="9"/>
      <c r="P640" s="9"/>
      <c r="Q640" s="9"/>
      <c r="R640" s="9" t="str">
        <f aca="false">IF(AND(A640&lt;&gt;"",ISNUMBER(Q640),ISNUMBER(L640)),ROUND(Q640-IF(ISNUMBER(N640),N640,0)-IF(ISNUMBER(O640),O640,0)+IF(ISNUMBER(P640),P640,0),2),"")</f>
        <v/>
      </c>
      <c r="S640" s="9" t="str">
        <f aca="false">IF(R640="","",ROUND(L640-R640,2))</f>
        <v/>
      </c>
      <c r="T640" s="8" t="str">
        <f aca="false">IF(A640="","",IF(S640="","BYPASS",IF(ABS(S640)&lt;=Summary!$B$2,"PASS","FAIL")))</f>
        <v/>
      </c>
      <c r="U640" s="8" t="str">
        <f aca="false">IF(T640="BYPASS",IF(NOT(ISNUMBER(Q640)),"PreV_ETB missing","End_tr_balance missing"),IF(T640="FAIL",IF(AND(ISNUMBER(K640),ISNUMBER(L640),ABS(L640-(K640-IF(ISNUMBER(N640),N640,0)-IF(ISNUMBER(O640),O640,0)+IF(ISNUMBER(P640),P640,0)))&lt;=Summary!$B$2),"Passes using beginning_balance - PreV_ETB differs from beginning_balance",IF(AND(ISNUMBER(O640),O640&lt;0,ABS(L640-(Q640-IF(ISNUMBER(N640),N640,0)+IF(ISNUMBER(P640),P640,0)))&lt;=Summary!$B$2),"Negative realized loss not applied - check sign",IF(R640&lt;0,"Principal paid exceeds prior balance",IF(AND(L640&gt;Q640,NOT(ISNUMBER(P640))),"Balance increased but no Deferred_interest reported",IF(L640&gt;R640,"Reported balance higher than expected (missing increase/OC build)","Reported balance lower than expected (missing decrease)"))))),""))</f>
        <v/>
      </c>
    </row>
    <row r="641" customFormat="false" ht="15" hidden="false" customHeight="false" outlineLevel="0" collapsed="false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9"/>
      <c r="L641" s="9"/>
      <c r="M641" s="9"/>
      <c r="N641" s="9"/>
      <c r="O641" s="9"/>
      <c r="P641" s="9"/>
      <c r="Q641" s="9"/>
      <c r="R641" s="9" t="str">
        <f aca="false">IF(AND(A641&lt;&gt;"",ISNUMBER(Q641),ISNUMBER(L641)),ROUND(Q641-IF(ISNUMBER(N641),N641,0)-IF(ISNUMBER(O641),O641,0)+IF(ISNUMBER(P641),P641,0),2),"")</f>
        <v/>
      </c>
      <c r="S641" s="9" t="str">
        <f aca="false">IF(R641="","",ROUND(L641-R641,2))</f>
        <v/>
      </c>
      <c r="T641" s="8" t="str">
        <f aca="false">IF(A641="","",IF(S641="","BYPASS",IF(ABS(S641)&lt;=Summary!$B$2,"PASS","FAIL")))</f>
        <v/>
      </c>
      <c r="U641" s="8" t="str">
        <f aca="false">IF(T641="BYPASS",IF(NOT(ISNUMBER(Q641)),"PreV_ETB missing","End_tr_balance missing"),IF(T641="FAIL",IF(AND(ISNUMBER(K641),ISNUMBER(L641),ABS(L641-(K641-IF(ISNUMBER(N641),N641,0)-IF(ISNUMBER(O641),O641,0)+IF(ISNUMBER(P641),P641,0)))&lt;=Summary!$B$2),"Passes using beginning_balance - PreV_ETB differs from beginning_balance",IF(AND(ISNUMBER(O641),O641&lt;0,ABS(L641-(Q641-IF(ISNUMBER(N641),N641,0)+IF(ISNUMBER(P641),P641,0)))&lt;=Summary!$B$2),"Negative realized loss not applied - check sign",IF(R641&lt;0,"Principal paid exceeds prior balance",IF(AND(L641&gt;Q641,NOT(ISNUMBER(P641))),"Balance increased but no Deferred_interest reported",IF(L641&gt;R641,"Reported balance higher than expected (missing increase/OC build)","Reported balance lower than expected (missing decrease)"))))),""))</f>
        <v/>
      </c>
    </row>
    <row r="642" customFormat="false" ht="15" hidden="false" customHeight="false" outlineLevel="0" collapsed="false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9"/>
      <c r="L642" s="9"/>
      <c r="M642" s="9"/>
      <c r="N642" s="9"/>
      <c r="O642" s="9"/>
      <c r="P642" s="9"/>
      <c r="Q642" s="9"/>
      <c r="R642" s="9" t="str">
        <f aca="false">IF(AND(A642&lt;&gt;"",ISNUMBER(Q642),ISNUMBER(L642)),ROUND(Q642-IF(ISNUMBER(N642),N642,0)-IF(ISNUMBER(O642),O642,0)+IF(ISNUMBER(P642),P642,0),2),"")</f>
        <v/>
      </c>
      <c r="S642" s="9" t="str">
        <f aca="false">IF(R642="","",ROUND(L642-R642,2))</f>
        <v/>
      </c>
      <c r="T642" s="8" t="str">
        <f aca="false">IF(A642="","",IF(S642="","BYPASS",IF(ABS(S642)&lt;=Summary!$B$2,"PASS","FAIL")))</f>
        <v/>
      </c>
      <c r="U642" s="8" t="str">
        <f aca="false">IF(T642="BYPASS",IF(NOT(ISNUMBER(Q642)),"PreV_ETB missing","End_tr_balance missing"),IF(T642="FAIL",IF(AND(ISNUMBER(K642),ISNUMBER(L642),ABS(L642-(K642-IF(ISNUMBER(N642),N642,0)-IF(ISNUMBER(O642),O642,0)+IF(ISNUMBER(P642),P642,0)))&lt;=Summary!$B$2),"Passes using beginning_balance - PreV_ETB differs from beginning_balance",IF(AND(ISNUMBER(O642),O642&lt;0,ABS(L642-(Q642-IF(ISNUMBER(N642),N642,0)+IF(ISNUMBER(P642),P642,0)))&lt;=Summary!$B$2),"Negative realized loss not applied - check sign",IF(R642&lt;0,"Principal paid exceeds prior balance",IF(AND(L642&gt;Q642,NOT(ISNUMBER(P642))),"Balance increased but no Deferred_interest reported",IF(L642&gt;R642,"Reported balance higher than expected (missing increase/OC build)","Reported balance lower than expected (missing decrease)"))))),""))</f>
        <v/>
      </c>
    </row>
    <row r="643" customFormat="false" ht="15" hidden="false" customHeight="false" outlineLevel="0" collapsed="false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9"/>
      <c r="L643" s="9"/>
      <c r="M643" s="9"/>
      <c r="N643" s="9"/>
      <c r="O643" s="9"/>
      <c r="P643" s="9"/>
      <c r="Q643" s="9"/>
      <c r="R643" s="9" t="str">
        <f aca="false">IF(AND(A643&lt;&gt;"",ISNUMBER(Q643),ISNUMBER(L643)),ROUND(Q643-IF(ISNUMBER(N643),N643,0)-IF(ISNUMBER(O643),O643,0)+IF(ISNUMBER(P643),P643,0),2),"")</f>
        <v/>
      </c>
      <c r="S643" s="9" t="str">
        <f aca="false">IF(R643="","",ROUND(L643-R643,2))</f>
        <v/>
      </c>
      <c r="T643" s="8" t="str">
        <f aca="false">IF(A643="","",IF(S643="","BYPASS",IF(ABS(S643)&lt;=Summary!$B$2,"PASS","FAIL")))</f>
        <v/>
      </c>
      <c r="U643" s="8" t="str">
        <f aca="false">IF(T643="BYPASS",IF(NOT(ISNUMBER(Q643)),"PreV_ETB missing","End_tr_balance missing"),IF(T643="FAIL",IF(AND(ISNUMBER(K643),ISNUMBER(L643),ABS(L643-(K643-IF(ISNUMBER(N643),N643,0)-IF(ISNUMBER(O643),O643,0)+IF(ISNUMBER(P643),P643,0)))&lt;=Summary!$B$2),"Passes using beginning_balance - PreV_ETB differs from beginning_balance",IF(AND(ISNUMBER(O643),O643&lt;0,ABS(L643-(Q643-IF(ISNUMBER(N643),N643,0)+IF(ISNUMBER(P643),P643,0)))&lt;=Summary!$B$2),"Negative realized loss not applied - check sign",IF(R643&lt;0,"Principal paid exceeds prior balance",IF(AND(L643&gt;Q643,NOT(ISNUMBER(P643))),"Balance increased but no Deferred_interest reported",IF(L643&gt;R643,"Reported balance higher than expected (missing increase/OC build)","Reported balance lower than expected (missing decrease)"))))),""))</f>
        <v/>
      </c>
    </row>
    <row r="644" customFormat="false" ht="15" hidden="false" customHeight="false" outlineLevel="0" collapsed="false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9"/>
      <c r="L644" s="9"/>
      <c r="M644" s="9"/>
      <c r="N644" s="9"/>
      <c r="O644" s="9"/>
      <c r="P644" s="9"/>
      <c r="Q644" s="9"/>
      <c r="R644" s="9" t="str">
        <f aca="false">IF(AND(A644&lt;&gt;"",ISNUMBER(Q644),ISNUMBER(L644)),ROUND(Q644-IF(ISNUMBER(N644),N644,0)-IF(ISNUMBER(O644),O644,0)+IF(ISNUMBER(P644),P644,0),2),"")</f>
        <v/>
      </c>
      <c r="S644" s="9" t="str">
        <f aca="false">IF(R644="","",ROUND(L644-R644,2))</f>
        <v/>
      </c>
      <c r="T644" s="8" t="str">
        <f aca="false">IF(A644="","",IF(S644="","BYPASS",IF(ABS(S644)&lt;=Summary!$B$2,"PASS","FAIL")))</f>
        <v/>
      </c>
      <c r="U644" s="8" t="str">
        <f aca="false">IF(T644="BYPASS",IF(NOT(ISNUMBER(Q644)),"PreV_ETB missing","End_tr_balance missing"),IF(T644="FAIL",IF(AND(ISNUMBER(K644),ISNUMBER(L644),ABS(L644-(K644-IF(ISNUMBER(N644),N644,0)-IF(ISNUMBER(O644),O644,0)+IF(ISNUMBER(P644),P644,0)))&lt;=Summary!$B$2),"Passes using beginning_balance - PreV_ETB differs from beginning_balance",IF(AND(ISNUMBER(O644),O644&lt;0,ABS(L644-(Q644-IF(ISNUMBER(N644),N644,0)+IF(ISNUMBER(P644),P644,0)))&lt;=Summary!$B$2),"Negative realized loss not applied - check sign",IF(R644&lt;0,"Principal paid exceeds prior balance",IF(AND(L644&gt;Q644,NOT(ISNUMBER(P644))),"Balance increased but no Deferred_interest reported",IF(L644&gt;R644,"Reported balance higher than expected (missing increase/OC build)","Reported balance lower than expected (missing decrease)"))))),""))</f>
        <v/>
      </c>
    </row>
    <row r="645" customFormat="false" ht="15" hidden="false" customHeight="false" outlineLevel="0" collapsed="false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9"/>
      <c r="L645" s="9"/>
      <c r="M645" s="9"/>
      <c r="N645" s="9"/>
      <c r="O645" s="9"/>
      <c r="P645" s="9"/>
      <c r="Q645" s="9"/>
      <c r="R645" s="9" t="str">
        <f aca="false">IF(AND(A645&lt;&gt;"",ISNUMBER(Q645),ISNUMBER(L645)),ROUND(Q645-IF(ISNUMBER(N645),N645,0)-IF(ISNUMBER(O645),O645,0)+IF(ISNUMBER(P645),P645,0),2),"")</f>
        <v/>
      </c>
      <c r="S645" s="9" t="str">
        <f aca="false">IF(R645="","",ROUND(L645-R645,2))</f>
        <v/>
      </c>
      <c r="T645" s="8" t="str">
        <f aca="false">IF(A645="","",IF(S645="","BYPASS",IF(ABS(S645)&lt;=Summary!$B$2,"PASS","FAIL")))</f>
        <v/>
      </c>
      <c r="U645" s="8" t="str">
        <f aca="false">IF(T645="BYPASS",IF(NOT(ISNUMBER(Q645)),"PreV_ETB missing","End_tr_balance missing"),IF(T645="FAIL",IF(AND(ISNUMBER(K645),ISNUMBER(L645),ABS(L645-(K645-IF(ISNUMBER(N645),N645,0)-IF(ISNUMBER(O645),O645,0)+IF(ISNUMBER(P645),P645,0)))&lt;=Summary!$B$2),"Passes using beginning_balance - PreV_ETB differs from beginning_balance",IF(AND(ISNUMBER(O645),O645&lt;0,ABS(L645-(Q645-IF(ISNUMBER(N645),N645,0)+IF(ISNUMBER(P645),P645,0)))&lt;=Summary!$B$2),"Negative realized loss not applied - check sign",IF(R645&lt;0,"Principal paid exceeds prior balance",IF(AND(L645&gt;Q645,NOT(ISNUMBER(P645))),"Balance increased but no Deferred_interest reported",IF(L645&gt;R645,"Reported balance higher than expected (missing increase/OC build)","Reported balance lower than expected (missing decrease)"))))),""))</f>
        <v/>
      </c>
    </row>
    <row r="646" customFormat="false" ht="15" hidden="false" customHeight="false" outlineLevel="0" collapsed="false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9"/>
      <c r="L646" s="9"/>
      <c r="M646" s="9"/>
      <c r="N646" s="9"/>
      <c r="O646" s="9"/>
      <c r="P646" s="9"/>
      <c r="Q646" s="9"/>
      <c r="R646" s="9" t="str">
        <f aca="false">IF(AND(A646&lt;&gt;"",ISNUMBER(Q646),ISNUMBER(L646)),ROUND(Q646-IF(ISNUMBER(N646),N646,0)-IF(ISNUMBER(O646),O646,0)+IF(ISNUMBER(P646),P646,0),2),"")</f>
        <v/>
      </c>
      <c r="S646" s="9" t="str">
        <f aca="false">IF(R646="","",ROUND(L646-R646,2))</f>
        <v/>
      </c>
      <c r="T646" s="8" t="str">
        <f aca="false">IF(A646="","",IF(S646="","BYPASS",IF(ABS(S646)&lt;=Summary!$B$2,"PASS","FAIL")))</f>
        <v/>
      </c>
      <c r="U646" s="8" t="str">
        <f aca="false">IF(T646="BYPASS",IF(NOT(ISNUMBER(Q646)),"PreV_ETB missing","End_tr_balance missing"),IF(T646="FAIL",IF(AND(ISNUMBER(K646),ISNUMBER(L646),ABS(L646-(K646-IF(ISNUMBER(N646),N646,0)-IF(ISNUMBER(O646),O646,0)+IF(ISNUMBER(P646),P646,0)))&lt;=Summary!$B$2),"Passes using beginning_balance - PreV_ETB differs from beginning_balance",IF(AND(ISNUMBER(O646),O646&lt;0,ABS(L646-(Q646-IF(ISNUMBER(N646),N646,0)+IF(ISNUMBER(P646),P646,0)))&lt;=Summary!$B$2),"Negative realized loss not applied - check sign",IF(R646&lt;0,"Principal paid exceeds prior balance",IF(AND(L646&gt;Q646,NOT(ISNUMBER(P646))),"Balance increased but no Deferred_interest reported",IF(L646&gt;R646,"Reported balance higher than expected (missing increase/OC build)","Reported balance lower than expected (missing decrease)"))))),""))</f>
        <v/>
      </c>
    </row>
    <row r="647" customFormat="false" ht="15" hidden="false" customHeight="false" outlineLevel="0" collapsed="false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9"/>
      <c r="L647" s="9"/>
      <c r="M647" s="9"/>
      <c r="N647" s="9"/>
      <c r="O647" s="9"/>
      <c r="P647" s="9"/>
      <c r="Q647" s="9"/>
      <c r="R647" s="9" t="str">
        <f aca="false">IF(AND(A647&lt;&gt;"",ISNUMBER(Q647),ISNUMBER(L647)),ROUND(Q647-IF(ISNUMBER(N647),N647,0)-IF(ISNUMBER(O647),O647,0)+IF(ISNUMBER(P647),P647,0),2),"")</f>
        <v/>
      </c>
      <c r="S647" s="9" t="str">
        <f aca="false">IF(R647="","",ROUND(L647-R647,2))</f>
        <v/>
      </c>
      <c r="T647" s="8" t="str">
        <f aca="false">IF(A647="","",IF(S647="","BYPASS",IF(ABS(S647)&lt;=Summary!$B$2,"PASS","FAIL")))</f>
        <v/>
      </c>
      <c r="U647" s="8" t="str">
        <f aca="false">IF(T647="BYPASS",IF(NOT(ISNUMBER(Q647)),"PreV_ETB missing","End_tr_balance missing"),IF(T647="FAIL",IF(AND(ISNUMBER(K647),ISNUMBER(L647),ABS(L647-(K647-IF(ISNUMBER(N647),N647,0)-IF(ISNUMBER(O647),O647,0)+IF(ISNUMBER(P647),P647,0)))&lt;=Summary!$B$2),"Passes using beginning_balance - PreV_ETB differs from beginning_balance",IF(AND(ISNUMBER(O647),O647&lt;0,ABS(L647-(Q647-IF(ISNUMBER(N647),N647,0)+IF(ISNUMBER(P647),P647,0)))&lt;=Summary!$B$2),"Negative realized loss not applied - check sign",IF(R647&lt;0,"Principal paid exceeds prior balance",IF(AND(L647&gt;Q647,NOT(ISNUMBER(P647))),"Balance increased but no Deferred_interest reported",IF(L647&gt;R647,"Reported balance higher than expected (missing increase/OC build)","Reported balance lower than expected (missing decrease)"))))),""))</f>
        <v/>
      </c>
    </row>
    <row r="648" customFormat="false" ht="15" hidden="false" customHeight="false" outlineLevel="0" collapsed="false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9"/>
      <c r="L648" s="9"/>
      <c r="M648" s="9"/>
      <c r="N648" s="9"/>
      <c r="O648" s="9"/>
      <c r="P648" s="9"/>
      <c r="Q648" s="9"/>
      <c r="R648" s="9" t="str">
        <f aca="false">IF(AND(A648&lt;&gt;"",ISNUMBER(Q648),ISNUMBER(L648)),ROUND(Q648-IF(ISNUMBER(N648),N648,0)-IF(ISNUMBER(O648),O648,0)+IF(ISNUMBER(P648),P648,0),2),"")</f>
        <v/>
      </c>
      <c r="S648" s="9" t="str">
        <f aca="false">IF(R648="","",ROUND(L648-R648,2))</f>
        <v/>
      </c>
      <c r="T648" s="8" t="str">
        <f aca="false">IF(A648="","",IF(S648="","BYPASS",IF(ABS(S648)&lt;=Summary!$B$2,"PASS","FAIL")))</f>
        <v/>
      </c>
      <c r="U648" s="8" t="str">
        <f aca="false">IF(T648="BYPASS",IF(NOT(ISNUMBER(Q648)),"PreV_ETB missing","End_tr_balance missing"),IF(T648="FAIL",IF(AND(ISNUMBER(K648),ISNUMBER(L648),ABS(L648-(K648-IF(ISNUMBER(N648),N648,0)-IF(ISNUMBER(O648),O648,0)+IF(ISNUMBER(P648),P648,0)))&lt;=Summary!$B$2),"Passes using beginning_balance - PreV_ETB differs from beginning_balance",IF(AND(ISNUMBER(O648),O648&lt;0,ABS(L648-(Q648-IF(ISNUMBER(N648),N648,0)+IF(ISNUMBER(P648),P648,0)))&lt;=Summary!$B$2),"Negative realized loss not applied - check sign",IF(R648&lt;0,"Principal paid exceeds prior balance",IF(AND(L648&gt;Q648,NOT(ISNUMBER(P648))),"Balance increased but no Deferred_interest reported",IF(L648&gt;R648,"Reported balance higher than expected (missing increase/OC build)","Reported balance lower than expected (missing decrease)"))))),""))</f>
        <v/>
      </c>
    </row>
    <row r="649" customFormat="false" ht="15" hidden="false" customHeight="false" outlineLevel="0" collapsed="false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9"/>
      <c r="L649" s="9"/>
      <c r="M649" s="9"/>
      <c r="N649" s="9"/>
      <c r="O649" s="9"/>
      <c r="P649" s="9"/>
      <c r="Q649" s="9"/>
      <c r="R649" s="9" t="str">
        <f aca="false">IF(AND(A649&lt;&gt;"",ISNUMBER(Q649),ISNUMBER(L649)),ROUND(Q649-IF(ISNUMBER(N649),N649,0)-IF(ISNUMBER(O649),O649,0)+IF(ISNUMBER(P649),P649,0),2),"")</f>
        <v/>
      </c>
      <c r="S649" s="9" t="str">
        <f aca="false">IF(R649="","",ROUND(L649-R649,2))</f>
        <v/>
      </c>
      <c r="T649" s="8" t="str">
        <f aca="false">IF(A649="","",IF(S649="","BYPASS",IF(ABS(S649)&lt;=Summary!$B$2,"PASS","FAIL")))</f>
        <v/>
      </c>
      <c r="U649" s="8" t="str">
        <f aca="false">IF(T649="BYPASS",IF(NOT(ISNUMBER(Q649)),"PreV_ETB missing","End_tr_balance missing"),IF(T649="FAIL",IF(AND(ISNUMBER(K649),ISNUMBER(L649),ABS(L649-(K649-IF(ISNUMBER(N649),N649,0)-IF(ISNUMBER(O649),O649,0)+IF(ISNUMBER(P649),P649,0)))&lt;=Summary!$B$2),"Passes using beginning_balance - PreV_ETB differs from beginning_balance",IF(AND(ISNUMBER(O649),O649&lt;0,ABS(L649-(Q649-IF(ISNUMBER(N649),N649,0)+IF(ISNUMBER(P649),P649,0)))&lt;=Summary!$B$2),"Negative realized loss not applied - check sign",IF(R649&lt;0,"Principal paid exceeds prior balance",IF(AND(L649&gt;Q649,NOT(ISNUMBER(P649))),"Balance increased but no Deferred_interest reported",IF(L649&gt;R649,"Reported balance higher than expected (missing increase/OC build)","Reported balance lower than expected (missing decrease)"))))),""))</f>
        <v/>
      </c>
    </row>
    <row r="650" customFormat="false" ht="15" hidden="false" customHeight="false" outlineLevel="0" collapsed="false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9"/>
      <c r="L650" s="9"/>
      <c r="M650" s="9"/>
      <c r="N650" s="9"/>
      <c r="O650" s="9"/>
      <c r="P650" s="9"/>
      <c r="Q650" s="9"/>
      <c r="R650" s="9" t="str">
        <f aca="false">IF(AND(A650&lt;&gt;"",ISNUMBER(Q650),ISNUMBER(L650)),ROUND(Q650-IF(ISNUMBER(N650),N650,0)-IF(ISNUMBER(O650),O650,0)+IF(ISNUMBER(P650),P650,0),2),"")</f>
        <v/>
      </c>
      <c r="S650" s="9" t="str">
        <f aca="false">IF(R650="","",ROUND(L650-R650,2))</f>
        <v/>
      </c>
      <c r="T650" s="8" t="str">
        <f aca="false">IF(A650="","",IF(S650="","BYPASS",IF(ABS(S650)&lt;=Summary!$B$2,"PASS","FAIL")))</f>
        <v/>
      </c>
      <c r="U650" s="8" t="str">
        <f aca="false">IF(T650="BYPASS",IF(NOT(ISNUMBER(Q650)),"PreV_ETB missing","End_tr_balance missing"),IF(T650="FAIL",IF(AND(ISNUMBER(K650),ISNUMBER(L650),ABS(L650-(K650-IF(ISNUMBER(N650),N650,0)-IF(ISNUMBER(O650),O650,0)+IF(ISNUMBER(P650),P650,0)))&lt;=Summary!$B$2),"Passes using beginning_balance - PreV_ETB differs from beginning_balance",IF(AND(ISNUMBER(O650),O650&lt;0,ABS(L650-(Q650-IF(ISNUMBER(N650),N650,0)+IF(ISNUMBER(P650),P650,0)))&lt;=Summary!$B$2),"Negative realized loss not applied - check sign",IF(R650&lt;0,"Principal paid exceeds prior balance",IF(AND(L650&gt;Q650,NOT(ISNUMBER(P650))),"Balance increased but no Deferred_interest reported",IF(L650&gt;R650,"Reported balance higher than expected (missing increase/OC build)","Reported balance lower than expected (missing decrease)"))))),""))</f>
        <v/>
      </c>
    </row>
    <row r="651" customFormat="false" ht="15" hidden="false" customHeight="false" outlineLevel="0" collapsed="false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9"/>
      <c r="L651" s="9"/>
      <c r="M651" s="9"/>
      <c r="N651" s="9"/>
      <c r="O651" s="9"/>
      <c r="P651" s="9"/>
      <c r="Q651" s="9"/>
      <c r="R651" s="9" t="str">
        <f aca="false">IF(AND(A651&lt;&gt;"",ISNUMBER(Q651),ISNUMBER(L651)),ROUND(Q651-IF(ISNUMBER(N651),N651,0)-IF(ISNUMBER(O651),O651,0)+IF(ISNUMBER(P651),P651,0),2),"")</f>
        <v/>
      </c>
      <c r="S651" s="9" t="str">
        <f aca="false">IF(R651="","",ROUND(L651-R651,2))</f>
        <v/>
      </c>
      <c r="T651" s="8" t="str">
        <f aca="false">IF(A651="","",IF(S651="","BYPASS",IF(ABS(S651)&lt;=Summary!$B$2,"PASS","FAIL")))</f>
        <v/>
      </c>
      <c r="U651" s="8" t="str">
        <f aca="false">IF(T651="BYPASS",IF(NOT(ISNUMBER(Q651)),"PreV_ETB missing","End_tr_balance missing"),IF(T651="FAIL",IF(AND(ISNUMBER(K651),ISNUMBER(L651),ABS(L651-(K651-IF(ISNUMBER(N651),N651,0)-IF(ISNUMBER(O651),O651,0)+IF(ISNUMBER(P651),P651,0)))&lt;=Summary!$B$2),"Passes using beginning_balance - PreV_ETB differs from beginning_balance",IF(AND(ISNUMBER(O651),O651&lt;0,ABS(L651-(Q651-IF(ISNUMBER(N651),N651,0)+IF(ISNUMBER(P651),P651,0)))&lt;=Summary!$B$2),"Negative realized loss not applied - check sign",IF(R651&lt;0,"Principal paid exceeds prior balance",IF(AND(L651&gt;Q651,NOT(ISNUMBER(P651))),"Balance increased but no Deferred_interest reported",IF(L651&gt;R651,"Reported balance higher than expected (missing increase/OC build)","Reported balance lower than expected (missing decrease)"))))),""))</f>
        <v/>
      </c>
    </row>
    <row r="652" customFormat="false" ht="15" hidden="false" customHeight="false" outlineLevel="0" collapsed="false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9"/>
      <c r="L652" s="9"/>
      <c r="M652" s="9"/>
      <c r="N652" s="9"/>
      <c r="O652" s="9"/>
      <c r="P652" s="9"/>
      <c r="Q652" s="9"/>
      <c r="R652" s="9" t="str">
        <f aca="false">IF(AND(A652&lt;&gt;"",ISNUMBER(Q652),ISNUMBER(L652)),ROUND(Q652-IF(ISNUMBER(N652),N652,0)-IF(ISNUMBER(O652),O652,0)+IF(ISNUMBER(P652),P652,0),2),"")</f>
        <v/>
      </c>
      <c r="S652" s="9" t="str">
        <f aca="false">IF(R652="","",ROUND(L652-R652,2))</f>
        <v/>
      </c>
      <c r="T652" s="8" t="str">
        <f aca="false">IF(A652="","",IF(S652="","BYPASS",IF(ABS(S652)&lt;=Summary!$B$2,"PASS","FAIL")))</f>
        <v/>
      </c>
      <c r="U652" s="8" t="str">
        <f aca="false">IF(T652="BYPASS",IF(NOT(ISNUMBER(Q652)),"PreV_ETB missing","End_tr_balance missing"),IF(T652="FAIL",IF(AND(ISNUMBER(K652),ISNUMBER(L652),ABS(L652-(K652-IF(ISNUMBER(N652),N652,0)-IF(ISNUMBER(O652),O652,0)+IF(ISNUMBER(P652),P652,0)))&lt;=Summary!$B$2),"Passes using beginning_balance - PreV_ETB differs from beginning_balance",IF(AND(ISNUMBER(O652),O652&lt;0,ABS(L652-(Q652-IF(ISNUMBER(N652),N652,0)+IF(ISNUMBER(P652),P652,0)))&lt;=Summary!$B$2),"Negative realized loss not applied - check sign",IF(R652&lt;0,"Principal paid exceeds prior balance",IF(AND(L652&gt;Q652,NOT(ISNUMBER(P652))),"Balance increased but no Deferred_interest reported",IF(L652&gt;R652,"Reported balance higher than expected (missing increase/OC build)","Reported balance lower than expected (missing decrease)"))))),""))</f>
        <v/>
      </c>
    </row>
    <row r="653" customFormat="false" ht="15" hidden="false" customHeight="false" outlineLevel="0" collapsed="false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9"/>
      <c r="L653" s="9"/>
      <c r="M653" s="9"/>
      <c r="N653" s="9"/>
      <c r="O653" s="9"/>
      <c r="P653" s="9"/>
      <c r="Q653" s="9"/>
      <c r="R653" s="9" t="str">
        <f aca="false">IF(AND(A653&lt;&gt;"",ISNUMBER(Q653),ISNUMBER(L653)),ROUND(Q653-IF(ISNUMBER(N653),N653,0)-IF(ISNUMBER(O653),O653,0)+IF(ISNUMBER(P653),P653,0),2),"")</f>
        <v/>
      </c>
      <c r="S653" s="9" t="str">
        <f aca="false">IF(R653="","",ROUND(L653-R653,2))</f>
        <v/>
      </c>
      <c r="T653" s="8" t="str">
        <f aca="false">IF(A653="","",IF(S653="","BYPASS",IF(ABS(S653)&lt;=Summary!$B$2,"PASS","FAIL")))</f>
        <v/>
      </c>
      <c r="U653" s="8" t="str">
        <f aca="false">IF(T653="BYPASS",IF(NOT(ISNUMBER(Q653)),"PreV_ETB missing","End_tr_balance missing"),IF(T653="FAIL",IF(AND(ISNUMBER(K653),ISNUMBER(L653),ABS(L653-(K653-IF(ISNUMBER(N653),N653,0)-IF(ISNUMBER(O653),O653,0)+IF(ISNUMBER(P653),P653,0)))&lt;=Summary!$B$2),"Passes using beginning_balance - PreV_ETB differs from beginning_balance",IF(AND(ISNUMBER(O653),O653&lt;0,ABS(L653-(Q653-IF(ISNUMBER(N653),N653,0)+IF(ISNUMBER(P653),P653,0)))&lt;=Summary!$B$2),"Negative realized loss not applied - check sign",IF(R653&lt;0,"Principal paid exceeds prior balance",IF(AND(L653&gt;Q653,NOT(ISNUMBER(P653))),"Balance increased but no Deferred_interest reported",IF(L653&gt;R653,"Reported balance higher than expected (missing increase/OC build)","Reported balance lower than expected (missing decrease)"))))),""))</f>
        <v/>
      </c>
    </row>
    <row r="654" customFormat="false" ht="15" hidden="false" customHeight="false" outlineLevel="0" collapsed="false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9"/>
      <c r="L654" s="9"/>
      <c r="M654" s="9"/>
      <c r="N654" s="9"/>
      <c r="O654" s="9"/>
      <c r="P654" s="9"/>
      <c r="Q654" s="9"/>
      <c r="R654" s="9" t="str">
        <f aca="false">IF(AND(A654&lt;&gt;"",ISNUMBER(Q654),ISNUMBER(L654)),ROUND(Q654-IF(ISNUMBER(N654),N654,0)-IF(ISNUMBER(O654),O654,0)+IF(ISNUMBER(P654),P654,0),2),"")</f>
        <v/>
      </c>
      <c r="S654" s="9" t="str">
        <f aca="false">IF(R654="","",ROUND(L654-R654,2))</f>
        <v/>
      </c>
      <c r="T654" s="8" t="str">
        <f aca="false">IF(A654="","",IF(S654="","BYPASS",IF(ABS(S654)&lt;=Summary!$B$2,"PASS","FAIL")))</f>
        <v/>
      </c>
      <c r="U654" s="8" t="str">
        <f aca="false">IF(T654="BYPASS",IF(NOT(ISNUMBER(Q654)),"PreV_ETB missing","End_tr_balance missing"),IF(T654="FAIL",IF(AND(ISNUMBER(K654),ISNUMBER(L654),ABS(L654-(K654-IF(ISNUMBER(N654),N654,0)-IF(ISNUMBER(O654),O654,0)+IF(ISNUMBER(P654),P654,0)))&lt;=Summary!$B$2),"Passes using beginning_balance - PreV_ETB differs from beginning_balance",IF(AND(ISNUMBER(O654),O654&lt;0,ABS(L654-(Q654-IF(ISNUMBER(N654),N654,0)+IF(ISNUMBER(P654),P654,0)))&lt;=Summary!$B$2),"Negative realized loss not applied - check sign",IF(R654&lt;0,"Principal paid exceeds prior balance",IF(AND(L654&gt;Q654,NOT(ISNUMBER(P654))),"Balance increased but no Deferred_interest reported",IF(L654&gt;R654,"Reported balance higher than expected (missing increase/OC build)","Reported balance lower than expected (missing decrease)"))))),""))</f>
        <v/>
      </c>
    </row>
    <row r="655" customFormat="false" ht="15" hidden="false" customHeight="false" outlineLevel="0" collapsed="false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9"/>
      <c r="L655" s="9"/>
      <c r="M655" s="9"/>
      <c r="N655" s="9"/>
      <c r="O655" s="9"/>
      <c r="P655" s="9"/>
      <c r="Q655" s="9"/>
      <c r="R655" s="9" t="str">
        <f aca="false">IF(AND(A655&lt;&gt;"",ISNUMBER(Q655),ISNUMBER(L655)),ROUND(Q655-IF(ISNUMBER(N655),N655,0)-IF(ISNUMBER(O655),O655,0)+IF(ISNUMBER(P655),P655,0),2),"")</f>
        <v/>
      </c>
      <c r="S655" s="9" t="str">
        <f aca="false">IF(R655="","",ROUND(L655-R655,2))</f>
        <v/>
      </c>
      <c r="T655" s="8" t="str">
        <f aca="false">IF(A655="","",IF(S655="","BYPASS",IF(ABS(S655)&lt;=Summary!$B$2,"PASS","FAIL")))</f>
        <v/>
      </c>
      <c r="U655" s="8" t="str">
        <f aca="false">IF(T655="BYPASS",IF(NOT(ISNUMBER(Q655)),"PreV_ETB missing","End_tr_balance missing"),IF(T655="FAIL",IF(AND(ISNUMBER(K655),ISNUMBER(L655),ABS(L655-(K655-IF(ISNUMBER(N655),N655,0)-IF(ISNUMBER(O655),O655,0)+IF(ISNUMBER(P655),P655,0)))&lt;=Summary!$B$2),"Passes using beginning_balance - PreV_ETB differs from beginning_balance",IF(AND(ISNUMBER(O655),O655&lt;0,ABS(L655-(Q655-IF(ISNUMBER(N655),N655,0)+IF(ISNUMBER(P655),P655,0)))&lt;=Summary!$B$2),"Negative realized loss not applied - check sign",IF(R655&lt;0,"Principal paid exceeds prior balance",IF(AND(L655&gt;Q655,NOT(ISNUMBER(P655))),"Balance increased but no Deferred_interest reported",IF(L655&gt;R655,"Reported balance higher than expected (missing increase/OC build)","Reported balance lower than expected (missing decrease)"))))),""))</f>
        <v/>
      </c>
    </row>
    <row r="656" customFormat="false" ht="15" hidden="false" customHeight="false" outlineLevel="0" collapsed="false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9"/>
      <c r="L656" s="9"/>
      <c r="M656" s="9"/>
      <c r="N656" s="9"/>
      <c r="O656" s="9"/>
      <c r="P656" s="9"/>
      <c r="Q656" s="9"/>
      <c r="R656" s="9" t="str">
        <f aca="false">IF(AND(A656&lt;&gt;"",ISNUMBER(Q656),ISNUMBER(L656)),ROUND(Q656-IF(ISNUMBER(N656),N656,0)-IF(ISNUMBER(O656),O656,0)+IF(ISNUMBER(P656),P656,0),2),"")</f>
        <v/>
      </c>
      <c r="S656" s="9" t="str">
        <f aca="false">IF(R656="","",ROUND(L656-R656,2))</f>
        <v/>
      </c>
      <c r="T656" s="8" t="str">
        <f aca="false">IF(A656="","",IF(S656="","BYPASS",IF(ABS(S656)&lt;=Summary!$B$2,"PASS","FAIL")))</f>
        <v/>
      </c>
      <c r="U656" s="8" t="str">
        <f aca="false">IF(T656="BYPASS",IF(NOT(ISNUMBER(Q656)),"PreV_ETB missing","End_tr_balance missing"),IF(T656="FAIL",IF(AND(ISNUMBER(K656),ISNUMBER(L656),ABS(L656-(K656-IF(ISNUMBER(N656),N656,0)-IF(ISNUMBER(O656),O656,0)+IF(ISNUMBER(P656),P656,0)))&lt;=Summary!$B$2),"Passes using beginning_balance - PreV_ETB differs from beginning_balance",IF(AND(ISNUMBER(O656),O656&lt;0,ABS(L656-(Q656-IF(ISNUMBER(N656),N656,0)+IF(ISNUMBER(P656),P656,0)))&lt;=Summary!$B$2),"Negative realized loss not applied - check sign",IF(R656&lt;0,"Principal paid exceeds prior balance",IF(AND(L656&gt;Q656,NOT(ISNUMBER(P656))),"Balance increased but no Deferred_interest reported",IF(L656&gt;R656,"Reported balance higher than expected (missing increase/OC build)","Reported balance lower than expected (missing decrease)"))))),""))</f>
        <v/>
      </c>
    </row>
    <row r="657" customFormat="false" ht="15" hidden="false" customHeight="false" outlineLevel="0" collapsed="false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9"/>
      <c r="L657" s="9"/>
      <c r="M657" s="9"/>
      <c r="N657" s="9"/>
      <c r="O657" s="9"/>
      <c r="P657" s="9"/>
      <c r="Q657" s="9"/>
      <c r="R657" s="9" t="str">
        <f aca="false">IF(AND(A657&lt;&gt;"",ISNUMBER(Q657),ISNUMBER(L657)),ROUND(Q657-IF(ISNUMBER(N657),N657,0)-IF(ISNUMBER(O657),O657,0)+IF(ISNUMBER(P657),P657,0),2),"")</f>
        <v/>
      </c>
      <c r="S657" s="9" t="str">
        <f aca="false">IF(R657="","",ROUND(L657-R657,2))</f>
        <v/>
      </c>
      <c r="T657" s="8" t="str">
        <f aca="false">IF(A657="","",IF(S657="","BYPASS",IF(ABS(S657)&lt;=Summary!$B$2,"PASS","FAIL")))</f>
        <v/>
      </c>
      <c r="U657" s="8" t="str">
        <f aca="false">IF(T657="BYPASS",IF(NOT(ISNUMBER(Q657)),"PreV_ETB missing","End_tr_balance missing"),IF(T657="FAIL",IF(AND(ISNUMBER(K657),ISNUMBER(L657),ABS(L657-(K657-IF(ISNUMBER(N657),N657,0)-IF(ISNUMBER(O657),O657,0)+IF(ISNUMBER(P657),P657,0)))&lt;=Summary!$B$2),"Passes using beginning_balance - PreV_ETB differs from beginning_balance",IF(AND(ISNUMBER(O657),O657&lt;0,ABS(L657-(Q657-IF(ISNUMBER(N657),N657,0)+IF(ISNUMBER(P657),P657,0)))&lt;=Summary!$B$2),"Negative realized loss not applied - check sign",IF(R657&lt;0,"Principal paid exceeds prior balance",IF(AND(L657&gt;Q657,NOT(ISNUMBER(P657))),"Balance increased but no Deferred_interest reported",IF(L657&gt;R657,"Reported balance higher than expected (missing increase/OC build)","Reported balance lower than expected (missing decrease)"))))),""))</f>
        <v/>
      </c>
    </row>
    <row r="658" customFormat="false" ht="15" hidden="false" customHeight="false" outlineLevel="0" collapsed="false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9"/>
      <c r="L658" s="9"/>
      <c r="M658" s="9"/>
      <c r="N658" s="9"/>
      <c r="O658" s="9"/>
      <c r="P658" s="9"/>
      <c r="Q658" s="9"/>
      <c r="R658" s="9" t="str">
        <f aca="false">IF(AND(A658&lt;&gt;"",ISNUMBER(Q658),ISNUMBER(L658)),ROUND(Q658-IF(ISNUMBER(N658),N658,0)-IF(ISNUMBER(O658),O658,0)+IF(ISNUMBER(P658),P658,0),2),"")</f>
        <v/>
      </c>
      <c r="S658" s="9" t="str">
        <f aca="false">IF(R658="","",ROUND(L658-R658,2))</f>
        <v/>
      </c>
      <c r="T658" s="8" t="str">
        <f aca="false">IF(A658="","",IF(S658="","BYPASS",IF(ABS(S658)&lt;=Summary!$B$2,"PASS","FAIL")))</f>
        <v/>
      </c>
      <c r="U658" s="8" t="str">
        <f aca="false">IF(T658="BYPASS",IF(NOT(ISNUMBER(Q658)),"PreV_ETB missing","End_tr_balance missing"),IF(T658="FAIL",IF(AND(ISNUMBER(K658),ISNUMBER(L658),ABS(L658-(K658-IF(ISNUMBER(N658),N658,0)-IF(ISNUMBER(O658),O658,0)+IF(ISNUMBER(P658),P658,0)))&lt;=Summary!$B$2),"Passes using beginning_balance - PreV_ETB differs from beginning_balance",IF(AND(ISNUMBER(O658),O658&lt;0,ABS(L658-(Q658-IF(ISNUMBER(N658),N658,0)+IF(ISNUMBER(P658),P658,0)))&lt;=Summary!$B$2),"Negative realized loss not applied - check sign",IF(R658&lt;0,"Principal paid exceeds prior balance",IF(AND(L658&gt;Q658,NOT(ISNUMBER(P658))),"Balance increased but no Deferred_interest reported",IF(L658&gt;R658,"Reported balance higher than expected (missing increase/OC build)","Reported balance lower than expected (missing decrease)"))))),""))</f>
        <v/>
      </c>
    </row>
    <row r="659" customFormat="false" ht="15" hidden="false" customHeight="false" outlineLevel="0" collapsed="false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9"/>
      <c r="L659" s="9"/>
      <c r="M659" s="9"/>
      <c r="N659" s="9"/>
      <c r="O659" s="9"/>
      <c r="P659" s="9"/>
      <c r="Q659" s="9"/>
      <c r="R659" s="9" t="str">
        <f aca="false">IF(AND(A659&lt;&gt;"",ISNUMBER(Q659),ISNUMBER(L659)),ROUND(Q659-IF(ISNUMBER(N659),N659,0)-IF(ISNUMBER(O659),O659,0)+IF(ISNUMBER(P659),P659,0),2),"")</f>
        <v/>
      </c>
      <c r="S659" s="9" t="str">
        <f aca="false">IF(R659="","",ROUND(L659-R659,2))</f>
        <v/>
      </c>
      <c r="T659" s="8" t="str">
        <f aca="false">IF(A659="","",IF(S659="","BYPASS",IF(ABS(S659)&lt;=Summary!$B$2,"PASS","FAIL")))</f>
        <v/>
      </c>
      <c r="U659" s="8" t="str">
        <f aca="false">IF(T659="BYPASS",IF(NOT(ISNUMBER(Q659)),"PreV_ETB missing","End_tr_balance missing"),IF(T659="FAIL",IF(AND(ISNUMBER(K659),ISNUMBER(L659),ABS(L659-(K659-IF(ISNUMBER(N659),N659,0)-IF(ISNUMBER(O659),O659,0)+IF(ISNUMBER(P659),P659,0)))&lt;=Summary!$B$2),"Passes using beginning_balance - PreV_ETB differs from beginning_balance",IF(AND(ISNUMBER(O659),O659&lt;0,ABS(L659-(Q659-IF(ISNUMBER(N659),N659,0)+IF(ISNUMBER(P659),P659,0)))&lt;=Summary!$B$2),"Negative realized loss not applied - check sign",IF(R659&lt;0,"Principal paid exceeds prior balance",IF(AND(L659&gt;Q659,NOT(ISNUMBER(P659))),"Balance increased but no Deferred_interest reported",IF(L659&gt;R659,"Reported balance higher than expected (missing increase/OC build)","Reported balance lower than expected (missing decrease)"))))),""))</f>
        <v/>
      </c>
    </row>
    <row r="660" customFormat="false" ht="15" hidden="false" customHeight="false" outlineLevel="0" collapsed="false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9"/>
      <c r="L660" s="9"/>
      <c r="M660" s="9"/>
      <c r="N660" s="9"/>
      <c r="O660" s="9"/>
      <c r="P660" s="9"/>
      <c r="Q660" s="9"/>
      <c r="R660" s="9" t="str">
        <f aca="false">IF(AND(A660&lt;&gt;"",ISNUMBER(Q660),ISNUMBER(L660)),ROUND(Q660-IF(ISNUMBER(N660),N660,0)-IF(ISNUMBER(O660),O660,0)+IF(ISNUMBER(P660),P660,0),2),"")</f>
        <v/>
      </c>
      <c r="S660" s="9" t="str">
        <f aca="false">IF(R660="","",ROUND(L660-R660,2))</f>
        <v/>
      </c>
      <c r="T660" s="8" t="str">
        <f aca="false">IF(A660="","",IF(S660="","BYPASS",IF(ABS(S660)&lt;=Summary!$B$2,"PASS","FAIL")))</f>
        <v/>
      </c>
      <c r="U660" s="8" t="str">
        <f aca="false">IF(T660="BYPASS",IF(NOT(ISNUMBER(Q660)),"PreV_ETB missing","End_tr_balance missing"),IF(T660="FAIL",IF(AND(ISNUMBER(K660),ISNUMBER(L660),ABS(L660-(K660-IF(ISNUMBER(N660),N660,0)-IF(ISNUMBER(O660),O660,0)+IF(ISNUMBER(P660),P660,0)))&lt;=Summary!$B$2),"Passes using beginning_balance - PreV_ETB differs from beginning_balance",IF(AND(ISNUMBER(O660),O660&lt;0,ABS(L660-(Q660-IF(ISNUMBER(N660),N660,0)+IF(ISNUMBER(P660),P660,0)))&lt;=Summary!$B$2),"Negative realized loss not applied - check sign",IF(R660&lt;0,"Principal paid exceeds prior balance",IF(AND(L660&gt;Q660,NOT(ISNUMBER(P660))),"Balance increased but no Deferred_interest reported",IF(L660&gt;R660,"Reported balance higher than expected (missing increase/OC build)","Reported balance lower than expected (missing decrease)"))))),""))</f>
        <v/>
      </c>
    </row>
    <row r="661" customFormat="false" ht="15" hidden="false" customHeight="false" outlineLevel="0" collapsed="false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9"/>
      <c r="L661" s="9"/>
      <c r="M661" s="9"/>
      <c r="N661" s="9"/>
      <c r="O661" s="9"/>
      <c r="P661" s="9"/>
      <c r="Q661" s="9"/>
      <c r="R661" s="9" t="str">
        <f aca="false">IF(AND(A661&lt;&gt;"",ISNUMBER(Q661),ISNUMBER(L661)),ROUND(Q661-IF(ISNUMBER(N661),N661,0)-IF(ISNUMBER(O661),O661,0)+IF(ISNUMBER(P661),P661,0),2),"")</f>
        <v/>
      </c>
      <c r="S661" s="9" t="str">
        <f aca="false">IF(R661="","",ROUND(L661-R661,2))</f>
        <v/>
      </c>
      <c r="T661" s="8" t="str">
        <f aca="false">IF(A661="","",IF(S661="","BYPASS",IF(ABS(S661)&lt;=Summary!$B$2,"PASS","FAIL")))</f>
        <v/>
      </c>
      <c r="U661" s="8" t="str">
        <f aca="false">IF(T661="BYPASS",IF(NOT(ISNUMBER(Q661)),"PreV_ETB missing","End_tr_balance missing"),IF(T661="FAIL",IF(AND(ISNUMBER(K661),ISNUMBER(L661),ABS(L661-(K661-IF(ISNUMBER(N661),N661,0)-IF(ISNUMBER(O661),O661,0)+IF(ISNUMBER(P661),P661,0)))&lt;=Summary!$B$2),"Passes using beginning_balance - PreV_ETB differs from beginning_balance",IF(AND(ISNUMBER(O661),O661&lt;0,ABS(L661-(Q661-IF(ISNUMBER(N661),N661,0)+IF(ISNUMBER(P661),P661,0)))&lt;=Summary!$B$2),"Negative realized loss not applied - check sign",IF(R661&lt;0,"Principal paid exceeds prior balance",IF(AND(L661&gt;Q661,NOT(ISNUMBER(P661))),"Balance increased but no Deferred_interest reported",IF(L661&gt;R661,"Reported balance higher than expected (missing increase/OC build)","Reported balance lower than expected (missing decrease)"))))),""))</f>
        <v/>
      </c>
    </row>
    <row r="662" customFormat="false" ht="15" hidden="false" customHeight="false" outlineLevel="0" collapsed="false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9"/>
      <c r="L662" s="9"/>
      <c r="M662" s="9"/>
      <c r="N662" s="9"/>
      <c r="O662" s="9"/>
      <c r="P662" s="9"/>
      <c r="Q662" s="9"/>
      <c r="R662" s="9" t="str">
        <f aca="false">IF(AND(A662&lt;&gt;"",ISNUMBER(Q662),ISNUMBER(L662)),ROUND(Q662-IF(ISNUMBER(N662),N662,0)-IF(ISNUMBER(O662),O662,0)+IF(ISNUMBER(P662),P662,0),2),"")</f>
        <v/>
      </c>
      <c r="S662" s="9" t="str">
        <f aca="false">IF(R662="","",ROUND(L662-R662,2))</f>
        <v/>
      </c>
      <c r="T662" s="8" t="str">
        <f aca="false">IF(A662="","",IF(S662="","BYPASS",IF(ABS(S662)&lt;=Summary!$B$2,"PASS","FAIL")))</f>
        <v/>
      </c>
      <c r="U662" s="8" t="str">
        <f aca="false">IF(T662="BYPASS",IF(NOT(ISNUMBER(Q662)),"PreV_ETB missing","End_tr_balance missing"),IF(T662="FAIL",IF(AND(ISNUMBER(K662),ISNUMBER(L662),ABS(L662-(K662-IF(ISNUMBER(N662),N662,0)-IF(ISNUMBER(O662),O662,0)+IF(ISNUMBER(P662),P662,0)))&lt;=Summary!$B$2),"Passes using beginning_balance - PreV_ETB differs from beginning_balance",IF(AND(ISNUMBER(O662),O662&lt;0,ABS(L662-(Q662-IF(ISNUMBER(N662),N662,0)+IF(ISNUMBER(P662),P662,0)))&lt;=Summary!$B$2),"Negative realized loss not applied - check sign",IF(R662&lt;0,"Principal paid exceeds prior balance",IF(AND(L662&gt;Q662,NOT(ISNUMBER(P662))),"Balance increased but no Deferred_interest reported",IF(L662&gt;R662,"Reported balance higher than expected (missing increase/OC build)","Reported balance lower than expected (missing decrease)"))))),""))</f>
        <v/>
      </c>
    </row>
    <row r="663" customFormat="false" ht="15" hidden="false" customHeight="false" outlineLevel="0" collapsed="false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9"/>
      <c r="L663" s="9"/>
      <c r="M663" s="9"/>
      <c r="N663" s="9"/>
      <c r="O663" s="9"/>
      <c r="P663" s="9"/>
      <c r="Q663" s="9"/>
      <c r="R663" s="9" t="str">
        <f aca="false">IF(AND(A663&lt;&gt;"",ISNUMBER(Q663),ISNUMBER(L663)),ROUND(Q663-IF(ISNUMBER(N663),N663,0)-IF(ISNUMBER(O663),O663,0)+IF(ISNUMBER(P663),P663,0),2),"")</f>
        <v/>
      </c>
      <c r="S663" s="9" t="str">
        <f aca="false">IF(R663="","",ROUND(L663-R663,2))</f>
        <v/>
      </c>
      <c r="T663" s="8" t="str">
        <f aca="false">IF(A663="","",IF(S663="","BYPASS",IF(ABS(S663)&lt;=Summary!$B$2,"PASS","FAIL")))</f>
        <v/>
      </c>
      <c r="U663" s="8" t="str">
        <f aca="false">IF(T663="BYPASS",IF(NOT(ISNUMBER(Q663)),"PreV_ETB missing","End_tr_balance missing"),IF(T663="FAIL",IF(AND(ISNUMBER(K663),ISNUMBER(L663),ABS(L663-(K663-IF(ISNUMBER(N663),N663,0)-IF(ISNUMBER(O663),O663,0)+IF(ISNUMBER(P663),P663,0)))&lt;=Summary!$B$2),"Passes using beginning_balance - PreV_ETB differs from beginning_balance",IF(AND(ISNUMBER(O663),O663&lt;0,ABS(L663-(Q663-IF(ISNUMBER(N663),N663,0)+IF(ISNUMBER(P663),P663,0)))&lt;=Summary!$B$2),"Negative realized loss not applied - check sign",IF(R663&lt;0,"Principal paid exceeds prior balance",IF(AND(L663&gt;Q663,NOT(ISNUMBER(P663))),"Balance increased but no Deferred_interest reported",IF(L663&gt;R663,"Reported balance higher than expected (missing increase/OC build)","Reported balance lower than expected (missing decrease)"))))),""))</f>
        <v/>
      </c>
    </row>
    <row r="664" customFormat="false" ht="15" hidden="false" customHeight="false" outlineLevel="0" collapsed="false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9"/>
      <c r="L664" s="9"/>
      <c r="M664" s="9"/>
      <c r="N664" s="9"/>
      <c r="O664" s="9"/>
      <c r="P664" s="9"/>
      <c r="Q664" s="9"/>
      <c r="R664" s="9" t="str">
        <f aca="false">IF(AND(A664&lt;&gt;"",ISNUMBER(Q664),ISNUMBER(L664)),ROUND(Q664-IF(ISNUMBER(N664),N664,0)-IF(ISNUMBER(O664),O664,0)+IF(ISNUMBER(P664),P664,0),2),"")</f>
        <v/>
      </c>
      <c r="S664" s="9" t="str">
        <f aca="false">IF(R664="","",ROUND(L664-R664,2))</f>
        <v/>
      </c>
      <c r="T664" s="8" t="str">
        <f aca="false">IF(A664="","",IF(S664="","BYPASS",IF(ABS(S664)&lt;=Summary!$B$2,"PASS","FAIL")))</f>
        <v/>
      </c>
      <c r="U664" s="8" t="str">
        <f aca="false">IF(T664="BYPASS",IF(NOT(ISNUMBER(Q664)),"PreV_ETB missing","End_tr_balance missing"),IF(T664="FAIL",IF(AND(ISNUMBER(K664),ISNUMBER(L664),ABS(L664-(K664-IF(ISNUMBER(N664),N664,0)-IF(ISNUMBER(O664),O664,0)+IF(ISNUMBER(P664),P664,0)))&lt;=Summary!$B$2),"Passes using beginning_balance - PreV_ETB differs from beginning_balance",IF(AND(ISNUMBER(O664),O664&lt;0,ABS(L664-(Q664-IF(ISNUMBER(N664),N664,0)+IF(ISNUMBER(P664),P664,0)))&lt;=Summary!$B$2),"Negative realized loss not applied - check sign",IF(R664&lt;0,"Principal paid exceeds prior balance",IF(AND(L664&gt;Q664,NOT(ISNUMBER(P664))),"Balance increased but no Deferred_interest reported",IF(L664&gt;R664,"Reported balance higher than expected (missing increase/OC build)","Reported balance lower than expected (missing decrease)"))))),""))</f>
        <v/>
      </c>
    </row>
    <row r="665" customFormat="false" ht="15" hidden="false" customHeight="false" outlineLevel="0" collapsed="false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9"/>
      <c r="L665" s="9"/>
      <c r="M665" s="9"/>
      <c r="N665" s="9"/>
      <c r="O665" s="9"/>
      <c r="P665" s="9"/>
      <c r="Q665" s="9"/>
      <c r="R665" s="9" t="str">
        <f aca="false">IF(AND(A665&lt;&gt;"",ISNUMBER(Q665),ISNUMBER(L665)),ROUND(Q665-IF(ISNUMBER(N665),N665,0)-IF(ISNUMBER(O665),O665,0)+IF(ISNUMBER(P665),P665,0),2),"")</f>
        <v/>
      </c>
      <c r="S665" s="9" t="str">
        <f aca="false">IF(R665="","",ROUND(L665-R665,2))</f>
        <v/>
      </c>
      <c r="T665" s="8" t="str">
        <f aca="false">IF(A665="","",IF(S665="","BYPASS",IF(ABS(S665)&lt;=Summary!$B$2,"PASS","FAIL")))</f>
        <v/>
      </c>
      <c r="U665" s="8" t="str">
        <f aca="false">IF(T665="BYPASS",IF(NOT(ISNUMBER(Q665)),"PreV_ETB missing","End_tr_balance missing"),IF(T665="FAIL",IF(AND(ISNUMBER(K665),ISNUMBER(L665),ABS(L665-(K665-IF(ISNUMBER(N665),N665,0)-IF(ISNUMBER(O665),O665,0)+IF(ISNUMBER(P665),P665,0)))&lt;=Summary!$B$2),"Passes using beginning_balance - PreV_ETB differs from beginning_balance",IF(AND(ISNUMBER(O665),O665&lt;0,ABS(L665-(Q665-IF(ISNUMBER(N665),N665,0)+IF(ISNUMBER(P665),P665,0)))&lt;=Summary!$B$2),"Negative realized loss not applied - check sign",IF(R665&lt;0,"Principal paid exceeds prior balance",IF(AND(L665&gt;Q665,NOT(ISNUMBER(P665))),"Balance increased but no Deferred_interest reported",IF(L665&gt;R665,"Reported balance higher than expected (missing increase/OC build)","Reported balance lower than expected (missing decrease)"))))),""))</f>
        <v/>
      </c>
    </row>
    <row r="666" customFormat="false" ht="15" hidden="false" customHeight="false" outlineLevel="0" collapsed="false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9"/>
      <c r="L666" s="9"/>
      <c r="M666" s="9"/>
      <c r="N666" s="9"/>
      <c r="O666" s="9"/>
      <c r="P666" s="9"/>
      <c r="Q666" s="9"/>
      <c r="R666" s="9" t="str">
        <f aca="false">IF(AND(A666&lt;&gt;"",ISNUMBER(Q666),ISNUMBER(L666)),ROUND(Q666-IF(ISNUMBER(N666),N666,0)-IF(ISNUMBER(O666),O666,0)+IF(ISNUMBER(P666),P666,0),2),"")</f>
        <v/>
      </c>
      <c r="S666" s="9" t="str">
        <f aca="false">IF(R666="","",ROUND(L666-R666,2))</f>
        <v/>
      </c>
      <c r="T666" s="8" t="str">
        <f aca="false">IF(A666="","",IF(S666="","BYPASS",IF(ABS(S666)&lt;=Summary!$B$2,"PASS","FAIL")))</f>
        <v/>
      </c>
      <c r="U666" s="8" t="str">
        <f aca="false">IF(T666="BYPASS",IF(NOT(ISNUMBER(Q666)),"PreV_ETB missing","End_tr_balance missing"),IF(T666="FAIL",IF(AND(ISNUMBER(K666),ISNUMBER(L666),ABS(L666-(K666-IF(ISNUMBER(N666),N666,0)-IF(ISNUMBER(O666),O666,0)+IF(ISNUMBER(P666),P666,0)))&lt;=Summary!$B$2),"Passes using beginning_balance - PreV_ETB differs from beginning_balance",IF(AND(ISNUMBER(O666),O666&lt;0,ABS(L666-(Q666-IF(ISNUMBER(N666),N666,0)+IF(ISNUMBER(P666),P666,0)))&lt;=Summary!$B$2),"Negative realized loss not applied - check sign",IF(R666&lt;0,"Principal paid exceeds prior balance",IF(AND(L666&gt;Q666,NOT(ISNUMBER(P666))),"Balance increased but no Deferred_interest reported",IF(L666&gt;R666,"Reported balance higher than expected (missing increase/OC build)","Reported balance lower than expected (missing decrease)"))))),""))</f>
        <v/>
      </c>
    </row>
    <row r="667" customFormat="false" ht="15" hidden="false" customHeight="false" outlineLevel="0" collapsed="false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9"/>
      <c r="L667" s="9"/>
      <c r="M667" s="9"/>
      <c r="N667" s="9"/>
      <c r="O667" s="9"/>
      <c r="P667" s="9"/>
      <c r="Q667" s="9"/>
      <c r="R667" s="9" t="str">
        <f aca="false">IF(AND(A667&lt;&gt;"",ISNUMBER(Q667),ISNUMBER(L667)),ROUND(Q667-IF(ISNUMBER(N667),N667,0)-IF(ISNUMBER(O667),O667,0)+IF(ISNUMBER(P667),P667,0),2),"")</f>
        <v/>
      </c>
      <c r="S667" s="9" t="str">
        <f aca="false">IF(R667="","",ROUND(L667-R667,2))</f>
        <v/>
      </c>
      <c r="T667" s="8" t="str">
        <f aca="false">IF(A667="","",IF(S667="","BYPASS",IF(ABS(S667)&lt;=Summary!$B$2,"PASS","FAIL")))</f>
        <v/>
      </c>
      <c r="U667" s="8" t="str">
        <f aca="false">IF(T667="BYPASS",IF(NOT(ISNUMBER(Q667)),"PreV_ETB missing","End_tr_balance missing"),IF(T667="FAIL",IF(AND(ISNUMBER(K667),ISNUMBER(L667),ABS(L667-(K667-IF(ISNUMBER(N667),N667,0)-IF(ISNUMBER(O667),O667,0)+IF(ISNUMBER(P667),P667,0)))&lt;=Summary!$B$2),"Passes using beginning_balance - PreV_ETB differs from beginning_balance",IF(AND(ISNUMBER(O667),O667&lt;0,ABS(L667-(Q667-IF(ISNUMBER(N667),N667,0)+IF(ISNUMBER(P667),P667,0)))&lt;=Summary!$B$2),"Negative realized loss not applied - check sign",IF(R667&lt;0,"Principal paid exceeds prior balance",IF(AND(L667&gt;Q667,NOT(ISNUMBER(P667))),"Balance increased but no Deferred_interest reported",IF(L667&gt;R667,"Reported balance higher than expected (missing increase/OC build)","Reported balance lower than expected (missing decrease)"))))),""))</f>
        <v/>
      </c>
    </row>
    <row r="668" customFormat="false" ht="15" hidden="false" customHeight="false" outlineLevel="0" collapsed="false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9"/>
      <c r="L668" s="9"/>
      <c r="M668" s="9"/>
      <c r="N668" s="9"/>
      <c r="O668" s="9"/>
      <c r="P668" s="9"/>
      <c r="Q668" s="9"/>
      <c r="R668" s="9" t="str">
        <f aca="false">IF(AND(A668&lt;&gt;"",ISNUMBER(Q668),ISNUMBER(L668)),ROUND(Q668-IF(ISNUMBER(N668),N668,0)-IF(ISNUMBER(O668),O668,0)+IF(ISNUMBER(P668),P668,0),2),"")</f>
        <v/>
      </c>
      <c r="S668" s="9" t="str">
        <f aca="false">IF(R668="","",ROUND(L668-R668,2))</f>
        <v/>
      </c>
      <c r="T668" s="8" t="str">
        <f aca="false">IF(A668="","",IF(S668="","BYPASS",IF(ABS(S668)&lt;=Summary!$B$2,"PASS","FAIL")))</f>
        <v/>
      </c>
      <c r="U668" s="8" t="str">
        <f aca="false">IF(T668="BYPASS",IF(NOT(ISNUMBER(Q668)),"PreV_ETB missing","End_tr_balance missing"),IF(T668="FAIL",IF(AND(ISNUMBER(K668),ISNUMBER(L668),ABS(L668-(K668-IF(ISNUMBER(N668),N668,0)-IF(ISNUMBER(O668),O668,0)+IF(ISNUMBER(P668),P668,0)))&lt;=Summary!$B$2),"Passes using beginning_balance - PreV_ETB differs from beginning_balance",IF(AND(ISNUMBER(O668),O668&lt;0,ABS(L668-(Q668-IF(ISNUMBER(N668),N668,0)+IF(ISNUMBER(P668),P668,0)))&lt;=Summary!$B$2),"Negative realized loss not applied - check sign",IF(R668&lt;0,"Principal paid exceeds prior balance",IF(AND(L668&gt;Q668,NOT(ISNUMBER(P668))),"Balance increased but no Deferred_interest reported",IF(L668&gt;R668,"Reported balance higher than expected (missing increase/OC build)","Reported balance lower than expected (missing decrease)"))))),""))</f>
        <v/>
      </c>
    </row>
    <row r="669" customFormat="false" ht="15" hidden="false" customHeight="false" outlineLevel="0" collapsed="false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9"/>
      <c r="L669" s="9"/>
      <c r="M669" s="9"/>
      <c r="N669" s="9"/>
      <c r="O669" s="9"/>
      <c r="P669" s="9"/>
      <c r="Q669" s="9"/>
      <c r="R669" s="9" t="str">
        <f aca="false">IF(AND(A669&lt;&gt;"",ISNUMBER(Q669),ISNUMBER(L669)),ROUND(Q669-IF(ISNUMBER(N669),N669,0)-IF(ISNUMBER(O669),O669,0)+IF(ISNUMBER(P669),P669,0),2),"")</f>
        <v/>
      </c>
      <c r="S669" s="9" t="str">
        <f aca="false">IF(R669="","",ROUND(L669-R669,2))</f>
        <v/>
      </c>
      <c r="T669" s="8" t="str">
        <f aca="false">IF(A669="","",IF(S669="","BYPASS",IF(ABS(S669)&lt;=Summary!$B$2,"PASS","FAIL")))</f>
        <v/>
      </c>
      <c r="U669" s="8" t="str">
        <f aca="false">IF(T669="BYPASS",IF(NOT(ISNUMBER(Q669)),"PreV_ETB missing","End_tr_balance missing"),IF(T669="FAIL",IF(AND(ISNUMBER(K669),ISNUMBER(L669),ABS(L669-(K669-IF(ISNUMBER(N669),N669,0)-IF(ISNUMBER(O669),O669,0)+IF(ISNUMBER(P669),P669,0)))&lt;=Summary!$B$2),"Passes using beginning_balance - PreV_ETB differs from beginning_balance",IF(AND(ISNUMBER(O669),O669&lt;0,ABS(L669-(Q669-IF(ISNUMBER(N669),N669,0)+IF(ISNUMBER(P669),P669,0)))&lt;=Summary!$B$2),"Negative realized loss not applied - check sign",IF(R669&lt;0,"Principal paid exceeds prior balance",IF(AND(L669&gt;Q669,NOT(ISNUMBER(P669))),"Balance increased but no Deferred_interest reported",IF(L669&gt;R669,"Reported balance higher than expected (missing increase/OC build)","Reported balance lower than expected (missing decrease)"))))),""))</f>
        <v/>
      </c>
    </row>
    <row r="670" customFormat="false" ht="15" hidden="false" customHeight="false" outlineLevel="0" collapsed="false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9"/>
      <c r="L670" s="9"/>
      <c r="M670" s="9"/>
      <c r="N670" s="9"/>
      <c r="O670" s="9"/>
      <c r="P670" s="9"/>
      <c r="Q670" s="9"/>
      <c r="R670" s="9" t="str">
        <f aca="false">IF(AND(A670&lt;&gt;"",ISNUMBER(Q670),ISNUMBER(L670)),ROUND(Q670-IF(ISNUMBER(N670),N670,0)-IF(ISNUMBER(O670),O670,0)+IF(ISNUMBER(P670),P670,0),2),"")</f>
        <v/>
      </c>
      <c r="S670" s="9" t="str">
        <f aca="false">IF(R670="","",ROUND(L670-R670,2))</f>
        <v/>
      </c>
      <c r="T670" s="8" t="str">
        <f aca="false">IF(A670="","",IF(S670="","BYPASS",IF(ABS(S670)&lt;=Summary!$B$2,"PASS","FAIL")))</f>
        <v/>
      </c>
      <c r="U670" s="8" t="str">
        <f aca="false">IF(T670="BYPASS",IF(NOT(ISNUMBER(Q670)),"PreV_ETB missing","End_tr_balance missing"),IF(T670="FAIL",IF(AND(ISNUMBER(K670),ISNUMBER(L670),ABS(L670-(K670-IF(ISNUMBER(N670),N670,0)-IF(ISNUMBER(O670),O670,0)+IF(ISNUMBER(P670),P670,0)))&lt;=Summary!$B$2),"Passes using beginning_balance - PreV_ETB differs from beginning_balance",IF(AND(ISNUMBER(O670),O670&lt;0,ABS(L670-(Q670-IF(ISNUMBER(N670),N670,0)+IF(ISNUMBER(P670),P670,0)))&lt;=Summary!$B$2),"Negative realized loss not applied - check sign",IF(R670&lt;0,"Principal paid exceeds prior balance",IF(AND(L670&gt;Q670,NOT(ISNUMBER(P670))),"Balance increased but no Deferred_interest reported",IF(L670&gt;R670,"Reported balance higher than expected (missing increase/OC build)","Reported balance lower than expected (missing decrease)"))))),""))</f>
        <v/>
      </c>
    </row>
    <row r="671" customFormat="false" ht="15" hidden="false" customHeight="false" outlineLevel="0" collapsed="false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9"/>
      <c r="L671" s="9"/>
      <c r="M671" s="9"/>
      <c r="N671" s="9"/>
      <c r="O671" s="9"/>
      <c r="P671" s="9"/>
      <c r="Q671" s="9"/>
      <c r="R671" s="9" t="str">
        <f aca="false">IF(AND(A671&lt;&gt;"",ISNUMBER(Q671),ISNUMBER(L671)),ROUND(Q671-IF(ISNUMBER(N671),N671,0)-IF(ISNUMBER(O671),O671,0)+IF(ISNUMBER(P671),P671,0),2),"")</f>
        <v/>
      </c>
      <c r="S671" s="9" t="str">
        <f aca="false">IF(R671="","",ROUND(L671-R671,2))</f>
        <v/>
      </c>
      <c r="T671" s="8" t="str">
        <f aca="false">IF(A671="","",IF(S671="","BYPASS",IF(ABS(S671)&lt;=Summary!$B$2,"PASS","FAIL")))</f>
        <v/>
      </c>
      <c r="U671" s="8" t="str">
        <f aca="false">IF(T671="BYPASS",IF(NOT(ISNUMBER(Q671)),"PreV_ETB missing","End_tr_balance missing"),IF(T671="FAIL",IF(AND(ISNUMBER(K671),ISNUMBER(L671),ABS(L671-(K671-IF(ISNUMBER(N671),N671,0)-IF(ISNUMBER(O671),O671,0)+IF(ISNUMBER(P671),P671,0)))&lt;=Summary!$B$2),"Passes using beginning_balance - PreV_ETB differs from beginning_balance",IF(AND(ISNUMBER(O671),O671&lt;0,ABS(L671-(Q671-IF(ISNUMBER(N671),N671,0)+IF(ISNUMBER(P671),P671,0)))&lt;=Summary!$B$2),"Negative realized loss not applied - check sign",IF(R671&lt;0,"Principal paid exceeds prior balance",IF(AND(L671&gt;Q671,NOT(ISNUMBER(P671))),"Balance increased but no Deferred_interest reported",IF(L671&gt;R671,"Reported balance higher than expected (missing increase/OC build)","Reported balance lower than expected (missing decrease)"))))),""))</f>
        <v/>
      </c>
    </row>
    <row r="672" customFormat="false" ht="15" hidden="false" customHeight="false" outlineLevel="0" collapsed="false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9"/>
      <c r="L672" s="9"/>
      <c r="M672" s="9"/>
      <c r="N672" s="9"/>
      <c r="O672" s="9"/>
      <c r="P672" s="9"/>
      <c r="Q672" s="9"/>
      <c r="R672" s="9" t="str">
        <f aca="false">IF(AND(A672&lt;&gt;"",ISNUMBER(Q672),ISNUMBER(L672)),ROUND(Q672-IF(ISNUMBER(N672),N672,0)-IF(ISNUMBER(O672),O672,0)+IF(ISNUMBER(P672),P672,0),2),"")</f>
        <v/>
      </c>
      <c r="S672" s="9" t="str">
        <f aca="false">IF(R672="","",ROUND(L672-R672,2))</f>
        <v/>
      </c>
      <c r="T672" s="8" t="str">
        <f aca="false">IF(A672="","",IF(S672="","BYPASS",IF(ABS(S672)&lt;=Summary!$B$2,"PASS","FAIL")))</f>
        <v/>
      </c>
      <c r="U672" s="8" t="str">
        <f aca="false">IF(T672="BYPASS",IF(NOT(ISNUMBER(Q672)),"PreV_ETB missing","End_tr_balance missing"),IF(T672="FAIL",IF(AND(ISNUMBER(K672),ISNUMBER(L672),ABS(L672-(K672-IF(ISNUMBER(N672),N672,0)-IF(ISNUMBER(O672),O672,0)+IF(ISNUMBER(P672),P672,0)))&lt;=Summary!$B$2),"Passes using beginning_balance - PreV_ETB differs from beginning_balance",IF(AND(ISNUMBER(O672),O672&lt;0,ABS(L672-(Q672-IF(ISNUMBER(N672),N672,0)+IF(ISNUMBER(P672),P672,0)))&lt;=Summary!$B$2),"Negative realized loss not applied - check sign",IF(R672&lt;0,"Principal paid exceeds prior balance",IF(AND(L672&gt;Q672,NOT(ISNUMBER(P672))),"Balance increased but no Deferred_interest reported",IF(L672&gt;R672,"Reported balance higher than expected (missing increase/OC build)","Reported balance lower than expected (missing decrease)"))))),""))</f>
        <v/>
      </c>
    </row>
    <row r="673" customFormat="false" ht="15" hidden="false" customHeight="false" outlineLevel="0" collapsed="false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9"/>
      <c r="L673" s="9"/>
      <c r="M673" s="9"/>
      <c r="N673" s="9"/>
      <c r="O673" s="9"/>
      <c r="P673" s="9"/>
      <c r="Q673" s="9"/>
      <c r="R673" s="9" t="str">
        <f aca="false">IF(AND(A673&lt;&gt;"",ISNUMBER(Q673),ISNUMBER(L673)),ROUND(Q673-IF(ISNUMBER(N673),N673,0)-IF(ISNUMBER(O673),O673,0)+IF(ISNUMBER(P673),P673,0),2),"")</f>
        <v/>
      </c>
      <c r="S673" s="9" t="str">
        <f aca="false">IF(R673="","",ROUND(L673-R673,2))</f>
        <v/>
      </c>
      <c r="T673" s="8" t="str">
        <f aca="false">IF(A673="","",IF(S673="","BYPASS",IF(ABS(S673)&lt;=Summary!$B$2,"PASS","FAIL")))</f>
        <v/>
      </c>
      <c r="U673" s="8" t="str">
        <f aca="false">IF(T673="BYPASS",IF(NOT(ISNUMBER(Q673)),"PreV_ETB missing","End_tr_balance missing"),IF(T673="FAIL",IF(AND(ISNUMBER(K673),ISNUMBER(L673),ABS(L673-(K673-IF(ISNUMBER(N673),N673,0)-IF(ISNUMBER(O673),O673,0)+IF(ISNUMBER(P673),P673,0)))&lt;=Summary!$B$2),"Passes using beginning_balance - PreV_ETB differs from beginning_balance",IF(AND(ISNUMBER(O673),O673&lt;0,ABS(L673-(Q673-IF(ISNUMBER(N673),N673,0)+IF(ISNUMBER(P673),P673,0)))&lt;=Summary!$B$2),"Negative realized loss not applied - check sign",IF(R673&lt;0,"Principal paid exceeds prior balance",IF(AND(L673&gt;Q673,NOT(ISNUMBER(P673))),"Balance increased but no Deferred_interest reported",IF(L673&gt;R673,"Reported balance higher than expected (missing increase/OC build)","Reported balance lower than expected (missing decrease)"))))),""))</f>
        <v/>
      </c>
    </row>
    <row r="674" customFormat="false" ht="15" hidden="false" customHeight="false" outlineLevel="0" collapsed="false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9"/>
      <c r="L674" s="9"/>
      <c r="M674" s="9"/>
      <c r="N674" s="9"/>
      <c r="O674" s="9"/>
      <c r="P674" s="9"/>
      <c r="Q674" s="9"/>
      <c r="R674" s="9" t="str">
        <f aca="false">IF(AND(A674&lt;&gt;"",ISNUMBER(Q674),ISNUMBER(L674)),ROUND(Q674-IF(ISNUMBER(N674),N674,0)-IF(ISNUMBER(O674),O674,0)+IF(ISNUMBER(P674),P674,0),2),"")</f>
        <v/>
      </c>
      <c r="S674" s="9" t="str">
        <f aca="false">IF(R674="","",ROUND(L674-R674,2))</f>
        <v/>
      </c>
      <c r="T674" s="8" t="str">
        <f aca="false">IF(A674="","",IF(S674="","BYPASS",IF(ABS(S674)&lt;=Summary!$B$2,"PASS","FAIL")))</f>
        <v/>
      </c>
      <c r="U674" s="8" t="str">
        <f aca="false">IF(T674="BYPASS",IF(NOT(ISNUMBER(Q674)),"PreV_ETB missing","End_tr_balance missing"),IF(T674="FAIL",IF(AND(ISNUMBER(K674),ISNUMBER(L674),ABS(L674-(K674-IF(ISNUMBER(N674),N674,0)-IF(ISNUMBER(O674),O674,0)+IF(ISNUMBER(P674),P674,0)))&lt;=Summary!$B$2),"Passes using beginning_balance - PreV_ETB differs from beginning_balance",IF(AND(ISNUMBER(O674),O674&lt;0,ABS(L674-(Q674-IF(ISNUMBER(N674),N674,0)+IF(ISNUMBER(P674),P674,0)))&lt;=Summary!$B$2),"Negative realized loss not applied - check sign",IF(R674&lt;0,"Principal paid exceeds prior balance",IF(AND(L674&gt;Q674,NOT(ISNUMBER(P674))),"Balance increased but no Deferred_interest reported",IF(L674&gt;R674,"Reported balance higher than expected (missing increase/OC build)","Reported balance lower than expected (missing decrease)"))))),""))</f>
        <v/>
      </c>
    </row>
    <row r="675" customFormat="false" ht="15" hidden="false" customHeight="false" outlineLevel="0" collapsed="false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9"/>
      <c r="L675" s="9"/>
      <c r="M675" s="9"/>
      <c r="N675" s="9"/>
      <c r="O675" s="9"/>
      <c r="P675" s="9"/>
      <c r="Q675" s="9"/>
      <c r="R675" s="9" t="str">
        <f aca="false">IF(AND(A675&lt;&gt;"",ISNUMBER(Q675),ISNUMBER(L675)),ROUND(Q675-IF(ISNUMBER(N675),N675,0)-IF(ISNUMBER(O675),O675,0)+IF(ISNUMBER(P675),P675,0),2),"")</f>
        <v/>
      </c>
      <c r="S675" s="9" t="str">
        <f aca="false">IF(R675="","",ROUND(L675-R675,2))</f>
        <v/>
      </c>
      <c r="T675" s="8" t="str">
        <f aca="false">IF(A675="","",IF(S675="","BYPASS",IF(ABS(S675)&lt;=Summary!$B$2,"PASS","FAIL")))</f>
        <v/>
      </c>
      <c r="U675" s="8" t="str">
        <f aca="false">IF(T675="BYPASS",IF(NOT(ISNUMBER(Q675)),"PreV_ETB missing","End_tr_balance missing"),IF(T675="FAIL",IF(AND(ISNUMBER(K675),ISNUMBER(L675),ABS(L675-(K675-IF(ISNUMBER(N675),N675,0)-IF(ISNUMBER(O675),O675,0)+IF(ISNUMBER(P675),P675,0)))&lt;=Summary!$B$2),"Passes using beginning_balance - PreV_ETB differs from beginning_balance",IF(AND(ISNUMBER(O675),O675&lt;0,ABS(L675-(Q675-IF(ISNUMBER(N675),N675,0)+IF(ISNUMBER(P675),P675,0)))&lt;=Summary!$B$2),"Negative realized loss not applied - check sign",IF(R675&lt;0,"Principal paid exceeds prior balance",IF(AND(L675&gt;Q675,NOT(ISNUMBER(P675))),"Balance increased but no Deferred_interest reported",IF(L675&gt;R675,"Reported balance higher than expected (missing increase/OC build)","Reported balance lower than expected (missing decrease)"))))),""))</f>
        <v/>
      </c>
    </row>
    <row r="676" customFormat="false" ht="15" hidden="false" customHeight="false" outlineLevel="0" collapsed="false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9"/>
      <c r="L676" s="9"/>
      <c r="M676" s="9"/>
      <c r="N676" s="9"/>
      <c r="O676" s="9"/>
      <c r="P676" s="9"/>
      <c r="Q676" s="9"/>
      <c r="R676" s="9" t="str">
        <f aca="false">IF(AND(A676&lt;&gt;"",ISNUMBER(Q676),ISNUMBER(L676)),ROUND(Q676-IF(ISNUMBER(N676),N676,0)-IF(ISNUMBER(O676),O676,0)+IF(ISNUMBER(P676),P676,0),2),"")</f>
        <v/>
      </c>
      <c r="S676" s="9" t="str">
        <f aca="false">IF(R676="","",ROUND(L676-R676,2))</f>
        <v/>
      </c>
      <c r="T676" s="8" t="str">
        <f aca="false">IF(A676="","",IF(S676="","BYPASS",IF(ABS(S676)&lt;=Summary!$B$2,"PASS","FAIL")))</f>
        <v/>
      </c>
      <c r="U676" s="8" t="str">
        <f aca="false">IF(T676="BYPASS",IF(NOT(ISNUMBER(Q676)),"PreV_ETB missing","End_tr_balance missing"),IF(T676="FAIL",IF(AND(ISNUMBER(K676),ISNUMBER(L676),ABS(L676-(K676-IF(ISNUMBER(N676),N676,0)-IF(ISNUMBER(O676),O676,0)+IF(ISNUMBER(P676),P676,0)))&lt;=Summary!$B$2),"Passes using beginning_balance - PreV_ETB differs from beginning_balance",IF(AND(ISNUMBER(O676),O676&lt;0,ABS(L676-(Q676-IF(ISNUMBER(N676),N676,0)+IF(ISNUMBER(P676),P676,0)))&lt;=Summary!$B$2),"Negative realized loss not applied - check sign",IF(R676&lt;0,"Principal paid exceeds prior balance",IF(AND(L676&gt;Q676,NOT(ISNUMBER(P676))),"Balance increased but no Deferred_interest reported",IF(L676&gt;R676,"Reported balance higher than expected (missing increase/OC build)","Reported balance lower than expected (missing decrease)"))))),""))</f>
        <v/>
      </c>
    </row>
    <row r="677" customFormat="false" ht="15" hidden="false" customHeight="false" outlineLevel="0" collapsed="false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9"/>
      <c r="L677" s="9"/>
      <c r="M677" s="9"/>
      <c r="N677" s="9"/>
      <c r="O677" s="9"/>
      <c r="P677" s="9"/>
      <c r="Q677" s="9"/>
      <c r="R677" s="9" t="str">
        <f aca="false">IF(AND(A677&lt;&gt;"",ISNUMBER(Q677),ISNUMBER(L677)),ROUND(Q677-IF(ISNUMBER(N677),N677,0)-IF(ISNUMBER(O677),O677,0)+IF(ISNUMBER(P677),P677,0),2),"")</f>
        <v/>
      </c>
      <c r="S677" s="9" t="str">
        <f aca="false">IF(R677="","",ROUND(L677-R677,2))</f>
        <v/>
      </c>
      <c r="T677" s="8" t="str">
        <f aca="false">IF(A677="","",IF(S677="","BYPASS",IF(ABS(S677)&lt;=Summary!$B$2,"PASS","FAIL")))</f>
        <v/>
      </c>
      <c r="U677" s="8" t="str">
        <f aca="false">IF(T677="BYPASS",IF(NOT(ISNUMBER(Q677)),"PreV_ETB missing","End_tr_balance missing"),IF(T677="FAIL",IF(AND(ISNUMBER(K677),ISNUMBER(L677),ABS(L677-(K677-IF(ISNUMBER(N677),N677,0)-IF(ISNUMBER(O677),O677,0)+IF(ISNUMBER(P677),P677,0)))&lt;=Summary!$B$2),"Passes using beginning_balance - PreV_ETB differs from beginning_balance",IF(AND(ISNUMBER(O677),O677&lt;0,ABS(L677-(Q677-IF(ISNUMBER(N677),N677,0)+IF(ISNUMBER(P677),P677,0)))&lt;=Summary!$B$2),"Negative realized loss not applied - check sign",IF(R677&lt;0,"Principal paid exceeds prior balance",IF(AND(L677&gt;Q677,NOT(ISNUMBER(P677))),"Balance increased but no Deferred_interest reported",IF(L677&gt;R677,"Reported balance higher than expected (missing increase/OC build)","Reported balance lower than expected (missing decrease)"))))),""))</f>
        <v/>
      </c>
    </row>
    <row r="678" customFormat="false" ht="15" hidden="false" customHeight="false" outlineLevel="0" collapsed="false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9"/>
      <c r="L678" s="9"/>
      <c r="M678" s="9"/>
      <c r="N678" s="9"/>
      <c r="O678" s="9"/>
      <c r="P678" s="9"/>
      <c r="Q678" s="9"/>
      <c r="R678" s="9" t="str">
        <f aca="false">IF(AND(A678&lt;&gt;"",ISNUMBER(Q678),ISNUMBER(L678)),ROUND(Q678-IF(ISNUMBER(N678),N678,0)-IF(ISNUMBER(O678),O678,0)+IF(ISNUMBER(P678),P678,0),2),"")</f>
        <v/>
      </c>
      <c r="S678" s="9" t="str">
        <f aca="false">IF(R678="","",ROUND(L678-R678,2))</f>
        <v/>
      </c>
      <c r="T678" s="8" t="str">
        <f aca="false">IF(A678="","",IF(S678="","BYPASS",IF(ABS(S678)&lt;=Summary!$B$2,"PASS","FAIL")))</f>
        <v/>
      </c>
      <c r="U678" s="8" t="str">
        <f aca="false">IF(T678="BYPASS",IF(NOT(ISNUMBER(Q678)),"PreV_ETB missing","End_tr_balance missing"),IF(T678="FAIL",IF(AND(ISNUMBER(K678),ISNUMBER(L678),ABS(L678-(K678-IF(ISNUMBER(N678),N678,0)-IF(ISNUMBER(O678),O678,0)+IF(ISNUMBER(P678),P678,0)))&lt;=Summary!$B$2),"Passes using beginning_balance - PreV_ETB differs from beginning_balance",IF(AND(ISNUMBER(O678),O678&lt;0,ABS(L678-(Q678-IF(ISNUMBER(N678),N678,0)+IF(ISNUMBER(P678),P678,0)))&lt;=Summary!$B$2),"Negative realized loss not applied - check sign",IF(R678&lt;0,"Principal paid exceeds prior balance",IF(AND(L678&gt;Q678,NOT(ISNUMBER(P678))),"Balance increased but no Deferred_interest reported",IF(L678&gt;R678,"Reported balance higher than expected (missing increase/OC build)","Reported balance lower than expected (missing decrease)"))))),""))</f>
        <v/>
      </c>
    </row>
    <row r="679" customFormat="false" ht="15" hidden="false" customHeight="false" outlineLevel="0" collapsed="false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9"/>
      <c r="L679" s="9"/>
      <c r="M679" s="9"/>
      <c r="N679" s="9"/>
      <c r="O679" s="9"/>
      <c r="P679" s="9"/>
      <c r="Q679" s="9"/>
      <c r="R679" s="9" t="str">
        <f aca="false">IF(AND(A679&lt;&gt;"",ISNUMBER(Q679),ISNUMBER(L679)),ROUND(Q679-IF(ISNUMBER(N679),N679,0)-IF(ISNUMBER(O679),O679,0)+IF(ISNUMBER(P679),P679,0),2),"")</f>
        <v/>
      </c>
      <c r="S679" s="9" t="str">
        <f aca="false">IF(R679="","",ROUND(L679-R679,2))</f>
        <v/>
      </c>
      <c r="T679" s="8" t="str">
        <f aca="false">IF(A679="","",IF(S679="","BYPASS",IF(ABS(S679)&lt;=Summary!$B$2,"PASS","FAIL")))</f>
        <v/>
      </c>
      <c r="U679" s="8" t="str">
        <f aca="false">IF(T679="BYPASS",IF(NOT(ISNUMBER(Q679)),"PreV_ETB missing","End_tr_balance missing"),IF(T679="FAIL",IF(AND(ISNUMBER(K679),ISNUMBER(L679),ABS(L679-(K679-IF(ISNUMBER(N679),N679,0)-IF(ISNUMBER(O679),O679,0)+IF(ISNUMBER(P679),P679,0)))&lt;=Summary!$B$2),"Passes using beginning_balance - PreV_ETB differs from beginning_balance",IF(AND(ISNUMBER(O679),O679&lt;0,ABS(L679-(Q679-IF(ISNUMBER(N679),N679,0)+IF(ISNUMBER(P679),P679,0)))&lt;=Summary!$B$2),"Negative realized loss not applied - check sign",IF(R679&lt;0,"Principal paid exceeds prior balance",IF(AND(L679&gt;Q679,NOT(ISNUMBER(P679))),"Balance increased but no Deferred_interest reported",IF(L679&gt;R679,"Reported balance higher than expected (missing increase/OC build)","Reported balance lower than expected (missing decrease)"))))),""))</f>
        <v/>
      </c>
    </row>
    <row r="680" customFormat="false" ht="15" hidden="false" customHeight="false" outlineLevel="0" collapsed="false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9"/>
      <c r="L680" s="9"/>
      <c r="M680" s="9"/>
      <c r="N680" s="9"/>
      <c r="O680" s="9"/>
      <c r="P680" s="9"/>
      <c r="Q680" s="9"/>
      <c r="R680" s="9" t="str">
        <f aca="false">IF(AND(A680&lt;&gt;"",ISNUMBER(Q680),ISNUMBER(L680)),ROUND(Q680-IF(ISNUMBER(N680),N680,0)-IF(ISNUMBER(O680),O680,0)+IF(ISNUMBER(P680),P680,0),2),"")</f>
        <v/>
      </c>
      <c r="S680" s="9" t="str">
        <f aca="false">IF(R680="","",ROUND(L680-R680,2))</f>
        <v/>
      </c>
      <c r="T680" s="8" t="str">
        <f aca="false">IF(A680="","",IF(S680="","BYPASS",IF(ABS(S680)&lt;=Summary!$B$2,"PASS","FAIL")))</f>
        <v/>
      </c>
      <c r="U680" s="8" t="str">
        <f aca="false">IF(T680="BYPASS",IF(NOT(ISNUMBER(Q680)),"PreV_ETB missing","End_tr_balance missing"),IF(T680="FAIL",IF(AND(ISNUMBER(K680),ISNUMBER(L680),ABS(L680-(K680-IF(ISNUMBER(N680),N680,0)-IF(ISNUMBER(O680),O680,0)+IF(ISNUMBER(P680),P680,0)))&lt;=Summary!$B$2),"Passes using beginning_balance - PreV_ETB differs from beginning_balance",IF(AND(ISNUMBER(O680),O680&lt;0,ABS(L680-(Q680-IF(ISNUMBER(N680),N680,0)+IF(ISNUMBER(P680),P680,0)))&lt;=Summary!$B$2),"Negative realized loss not applied - check sign",IF(R680&lt;0,"Principal paid exceeds prior balance",IF(AND(L680&gt;Q680,NOT(ISNUMBER(P680))),"Balance increased but no Deferred_interest reported",IF(L680&gt;R680,"Reported balance higher than expected (missing increase/OC build)","Reported balance lower than expected (missing decrease)"))))),""))</f>
        <v/>
      </c>
    </row>
    <row r="681" customFormat="false" ht="15" hidden="false" customHeight="false" outlineLevel="0" collapsed="false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9"/>
      <c r="L681" s="9"/>
      <c r="M681" s="9"/>
      <c r="N681" s="9"/>
      <c r="O681" s="9"/>
      <c r="P681" s="9"/>
      <c r="Q681" s="9"/>
      <c r="R681" s="9" t="str">
        <f aca="false">IF(AND(A681&lt;&gt;"",ISNUMBER(Q681),ISNUMBER(L681)),ROUND(Q681-IF(ISNUMBER(N681),N681,0)-IF(ISNUMBER(O681),O681,0)+IF(ISNUMBER(P681),P681,0),2),"")</f>
        <v/>
      </c>
      <c r="S681" s="9" t="str">
        <f aca="false">IF(R681="","",ROUND(L681-R681,2))</f>
        <v/>
      </c>
      <c r="T681" s="8" t="str">
        <f aca="false">IF(A681="","",IF(S681="","BYPASS",IF(ABS(S681)&lt;=Summary!$B$2,"PASS","FAIL")))</f>
        <v/>
      </c>
      <c r="U681" s="8" t="str">
        <f aca="false">IF(T681="BYPASS",IF(NOT(ISNUMBER(Q681)),"PreV_ETB missing","End_tr_balance missing"),IF(T681="FAIL",IF(AND(ISNUMBER(K681),ISNUMBER(L681),ABS(L681-(K681-IF(ISNUMBER(N681),N681,0)-IF(ISNUMBER(O681),O681,0)+IF(ISNUMBER(P681),P681,0)))&lt;=Summary!$B$2),"Passes using beginning_balance - PreV_ETB differs from beginning_balance",IF(AND(ISNUMBER(O681),O681&lt;0,ABS(L681-(Q681-IF(ISNUMBER(N681),N681,0)+IF(ISNUMBER(P681),P681,0)))&lt;=Summary!$B$2),"Negative realized loss not applied - check sign",IF(R681&lt;0,"Principal paid exceeds prior balance",IF(AND(L681&gt;Q681,NOT(ISNUMBER(P681))),"Balance increased but no Deferred_interest reported",IF(L681&gt;R681,"Reported balance higher than expected (missing increase/OC build)","Reported balance lower than expected (missing decrease)"))))),""))</f>
        <v/>
      </c>
    </row>
    <row r="682" customFormat="false" ht="15" hidden="false" customHeight="false" outlineLevel="0" collapsed="false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9"/>
      <c r="L682" s="9"/>
      <c r="M682" s="9"/>
      <c r="N682" s="9"/>
      <c r="O682" s="9"/>
      <c r="P682" s="9"/>
      <c r="Q682" s="9"/>
      <c r="R682" s="9" t="str">
        <f aca="false">IF(AND(A682&lt;&gt;"",ISNUMBER(Q682),ISNUMBER(L682)),ROUND(Q682-IF(ISNUMBER(N682),N682,0)-IF(ISNUMBER(O682),O682,0)+IF(ISNUMBER(P682),P682,0),2),"")</f>
        <v/>
      </c>
      <c r="S682" s="9" t="str">
        <f aca="false">IF(R682="","",ROUND(L682-R682,2))</f>
        <v/>
      </c>
      <c r="T682" s="8" t="str">
        <f aca="false">IF(A682="","",IF(S682="","BYPASS",IF(ABS(S682)&lt;=Summary!$B$2,"PASS","FAIL")))</f>
        <v/>
      </c>
      <c r="U682" s="8" t="str">
        <f aca="false">IF(T682="BYPASS",IF(NOT(ISNUMBER(Q682)),"PreV_ETB missing","End_tr_balance missing"),IF(T682="FAIL",IF(AND(ISNUMBER(K682),ISNUMBER(L682),ABS(L682-(K682-IF(ISNUMBER(N682),N682,0)-IF(ISNUMBER(O682),O682,0)+IF(ISNUMBER(P682),P682,0)))&lt;=Summary!$B$2),"Passes using beginning_balance - PreV_ETB differs from beginning_balance",IF(AND(ISNUMBER(O682),O682&lt;0,ABS(L682-(Q682-IF(ISNUMBER(N682),N682,0)+IF(ISNUMBER(P682),P682,0)))&lt;=Summary!$B$2),"Negative realized loss not applied - check sign",IF(R682&lt;0,"Principal paid exceeds prior balance",IF(AND(L682&gt;Q682,NOT(ISNUMBER(P682))),"Balance increased but no Deferred_interest reported",IF(L682&gt;R682,"Reported balance higher than expected (missing increase/OC build)","Reported balance lower than expected (missing decrease)"))))),""))</f>
        <v/>
      </c>
    </row>
    <row r="683" customFormat="false" ht="15" hidden="false" customHeight="false" outlineLevel="0" collapsed="false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9"/>
      <c r="L683" s="9"/>
      <c r="M683" s="9"/>
      <c r="N683" s="9"/>
      <c r="O683" s="9"/>
      <c r="P683" s="9"/>
      <c r="Q683" s="9"/>
      <c r="R683" s="9" t="str">
        <f aca="false">IF(AND(A683&lt;&gt;"",ISNUMBER(Q683),ISNUMBER(L683)),ROUND(Q683-IF(ISNUMBER(N683),N683,0)-IF(ISNUMBER(O683),O683,0)+IF(ISNUMBER(P683),P683,0),2),"")</f>
        <v/>
      </c>
      <c r="S683" s="9" t="str">
        <f aca="false">IF(R683="","",ROUND(L683-R683,2))</f>
        <v/>
      </c>
      <c r="T683" s="8" t="str">
        <f aca="false">IF(A683="","",IF(S683="","BYPASS",IF(ABS(S683)&lt;=Summary!$B$2,"PASS","FAIL")))</f>
        <v/>
      </c>
      <c r="U683" s="8" t="str">
        <f aca="false">IF(T683="BYPASS",IF(NOT(ISNUMBER(Q683)),"PreV_ETB missing","End_tr_balance missing"),IF(T683="FAIL",IF(AND(ISNUMBER(K683),ISNUMBER(L683),ABS(L683-(K683-IF(ISNUMBER(N683),N683,0)-IF(ISNUMBER(O683),O683,0)+IF(ISNUMBER(P683),P683,0)))&lt;=Summary!$B$2),"Passes using beginning_balance - PreV_ETB differs from beginning_balance",IF(AND(ISNUMBER(O683),O683&lt;0,ABS(L683-(Q683-IF(ISNUMBER(N683),N683,0)+IF(ISNUMBER(P683),P683,0)))&lt;=Summary!$B$2),"Negative realized loss not applied - check sign",IF(R683&lt;0,"Principal paid exceeds prior balance",IF(AND(L683&gt;Q683,NOT(ISNUMBER(P683))),"Balance increased but no Deferred_interest reported",IF(L683&gt;R683,"Reported balance higher than expected (missing increase/OC build)","Reported balance lower than expected (missing decrease)"))))),""))</f>
        <v/>
      </c>
    </row>
    <row r="684" customFormat="false" ht="15" hidden="false" customHeight="false" outlineLevel="0" collapsed="false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9"/>
      <c r="L684" s="9"/>
      <c r="M684" s="9"/>
      <c r="N684" s="9"/>
      <c r="O684" s="9"/>
      <c r="P684" s="9"/>
      <c r="Q684" s="9"/>
      <c r="R684" s="9" t="str">
        <f aca="false">IF(AND(A684&lt;&gt;"",ISNUMBER(Q684),ISNUMBER(L684)),ROUND(Q684-IF(ISNUMBER(N684),N684,0)-IF(ISNUMBER(O684),O684,0)+IF(ISNUMBER(P684),P684,0),2),"")</f>
        <v/>
      </c>
      <c r="S684" s="9" t="str">
        <f aca="false">IF(R684="","",ROUND(L684-R684,2))</f>
        <v/>
      </c>
      <c r="T684" s="8" t="str">
        <f aca="false">IF(A684="","",IF(S684="","BYPASS",IF(ABS(S684)&lt;=Summary!$B$2,"PASS","FAIL")))</f>
        <v/>
      </c>
      <c r="U684" s="8" t="str">
        <f aca="false">IF(T684="BYPASS",IF(NOT(ISNUMBER(Q684)),"PreV_ETB missing","End_tr_balance missing"),IF(T684="FAIL",IF(AND(ISNUMBER(K684),ISNUMBER(L684),ABS(L684-(K684-IF(ISNUMBER(N684),N684,0)-IF(ISNUMBER(O684),O684,0)+IF(ISNUMBER(P684),P684,0)))&lt;=Summary!$B$2),"Passes using beginning_balance - PreV_ETB differs from beginning_balance",IF(AND(ISNUMBER(O684),O684&lt;0,ABS(L684-(Q684-IF(ISNUMBER(N684),N684,0)+IF(ISNUMBER(P684),P684,0)))&lt;=Summary!$B$2),"Negative realized loss not applied - check sign",IF(R684&lt;0,"Principal paid exceeds prior balance",IF(AND(L684&gt;Q684,NOT(ISNUMBER(P684))),"Balance increased but no Deferred_interest reported",IF(L684&gt;R684,"Reported balance higher than expected (missing increase/OC build)","Reported balance lower than expected (missing decrease)"))))),""))</f>
        <v/>
      </c>
    </row>
    <row r="685" customFormat="false" ht="15" hidden="false" customHeight="false" outlineLevel="0" collapsed="false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9"/>
      <c r="L685" s="9"/>
      <c r="M685" s="9"/>
      <c r="N685" s="9"/>
      <c r="O685" s="9"/>
      <c r="P685" s="9"/>
      <c r="Q685" s="9"/>
      <c r="R685" s="9" t="str">
        <f aca="false">IF(AND(A685&lt;&gt;"",ISNUMBER(Q685),ISNUMBER(L685)),ROUND(Q685-IF(ISNUMBER(N685),N685,0)-IF(ISNUMBER(O685),O685,0)+IF(ISNUMBER(P685),P685,0),2),"")</f>
        <v/>
      </c>
      <c r="S685" s="9" t="str">
        <f aca="false">IF(R685="","",ROUND(L685-R685,2))</f>
        <v/>
      </c>
      <c r="T685" s="8" t="str">
        <f aca="false">IF(A685="","",IF(S685="","BYPASS",IF(ABS(S685)&lt;=Summary!$B$2,"PASS","FAIL")))</f>
        <v/>
      </c>
      <c r="U685" s="8" t="str">
        <f aca="false">IF(T685="BYPASS",IF(NOT(ISNUMBER(Q685)),"PreV_ETB missing","End_tr_balance missing"),IF(T685="FAIL",IF(AND(ISNUMBER(K685),ISNUMBER(L685),ABS(L685-(K685-IF(ISNUMBER(N685),N685,0)-IF(ISNUMBER(O685),O685,0)+IF(ISNUMBER(P685),P685,0)))&lt;=Summary!$B$2),"Passes using beginning_balance - PreV_ETB differs from beginning_balance",IF(AND(ISNUMBER(O685),O685&lt;0,ABS(L685-(Q685-IF(ISNUMBER(N685),N685,0)+IF(ISNUMBER(P685),P685,0)))&lt;=Summary!$B$2),"Negative realized loss not applied - check sign",IF(R685&lt;0,"Principal paid exceeds prior balance",IF(AND(L685&gt;Q685,NOT(ISNUMBER(P685))),"Balance increased but no Deferred_interest reported",IF(L685&gt;R685,"Reported balance higher than expected (missing increase/OC build)","Reported balance lower than expected (missing decrease)"))))),""))</f>
        <v/>
      </c>
    </row>
    <row r="686" customFormat="false" ht="15" hidden="false" customHeight="false" outlineLevel="0" collapsed="false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9"/>
      <c r="L686" s="9"/>
      <c r="M686" s="9"/>
      <c r="N686" s="9"/>
      <c r="O686" s="9"/>
      <c r="P686" s="9"/>
      <c r="Q686" s="9"/>
      <c r="R686" s="9" t="str">
        <f aca="false">IF(AND(A686&lt;&gt;"",ISNUMBER(Q686),ISNUMBER(L686)),ROUND(Q686-IF(ISNUMBER(N686),N686,0)-IF(ISNUMBER(O686),O686,0)+IF(ISNUMBER(P686),P686,0),2),"")</f>
        <v/>
      </c>
      <c r="S686" s="9" t="str">
        <f aca="false">IF(R686="","",ROUND(L686-R686,2))</f>
        <v/>
      </c>
      <c r="T686" s="8" t="str">
        <f aca="false">IF(A686="","",IF(S686="","BYPASS",IF(ABS(S686)&lt;=Summary!$B$2,"PASS","FAIL")))</f>
        <v/>
      </c>
      <c r="U686" s="8" t="str">
        <f aca="false">IF(T686="BYPASS",IF(NOT(ISNUMBER(Q686)),"PreV_ETB missing","End_tr_balance missing"),IF(T686="FAIL",IF(AND(ISNUMBER(K686),ISNUMBER(L686),ABS(L686-(K686-IF(ISNUMBER(N686),N686,0)-IF(ISNUMBER(O686),O686,0)+IF(ISNUMBER(P686),P686,0)))&lt;=Summary!$B$2),"Passes using beginning_balance - PreV_ETB differs from beginning_balance",IF(AND(ISNUMBER(O686),O686&lt;0,ABS(L686-(Q686-IF(ISNUMBER(N686),N686,0)+IF(ISNUMBER(P686),P686,0)))&lt;=Summary!$B$2),"Negative realized loss not applied - check sign",IF(R686&lt;0,"Principal paid exceeds prior balance",IF(AND(L686&gt;Q686,NOT(ISNUMBER(P686))),"Balance increased but no Deferred_interest reported",IF(L686&gt;R686,"Reported balance higher than expected (missing increase/OC build)","Reported balance lower than expected (missing decrease)"))))),""))</f>
        <v/>
      </c>
    </row>
    <row r="687" customFormat="false" ht="15" hidden="false" customHeight="false" outlineLevel="0" collapsed="false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9"/>
      <c r="L687" s="9"/>
      <c r="M687" s="9"/>
      <c r="N687" s="9"/>
      <c r="O687" s="9"/>
      <c r="P687" s="9"/>
      <c r="Q687" s="9"/>
      <c r="R687" s="9" t="str">
        <f aca="false">IF(AND(A687&lt;&gt;"",ISNUMBER(Q687),ISNUMBER(L687)),ROUND(Q687-IF(ISNUMBER(N687),N687,0)-IF(ISNUMBER(O687),O687,0)+IF(ISNUMBER(P687),P687,0),2),"")</f>
        <v/>
      </c>
      <c r="S687" s="9" t="str">
        <f aca="false">IF(R687="","",ROUND(L687-R687,2))</f>
        <v/>
      </c>
      <c r="T687" s="8" t="str">
        <f aca="false">IF(A687="","",IF(S687="","BYPASS",IF(ABS(S687)&lt;=Summary!$B$2,"PASS","FAIL")))</f>
        <v/>
      </c>
      <c r="U687" s="8" t="str">
        <f aca="false">IF(T687="BYPASS",IF(NOT(ISNUMBER(Q687)),"PreV_ETB missing","End_tr_balance missing"),IF(T687="FAIL",IF(AND(ISNUMBER(K687),ISNUMBER(L687),ABS(L687-(K687-IF(ISNUMBER(N687),N687,0)-IF(ISNUMBER(O687),O687,0)+IF(ISNUMBER(P687),P687,0)))&lt;=Summary!$B$2),"Passes using beginning_balance - PreV_ETB differs from beginning_balance",IF(AND(ISNUMBER(O687),O687&lt;0,ABS(L687-(Q687-IF(ISNUMBER(N687),N687,0)+IF(ISNUMBER(P687),P687,0)))&lt;=Summary!$B$2),"Negative realized loss not applied - check sign",IF(R687&lt;0,"Principal paid exceeds prior balance",IF(AND(L687&gt;Q687,NOT(ISNUMBER(P687))),"Balance increased but no Deferred_interest reported",IF(L687&gt;R687,"Reported balance higher than expected (missing increase/OC build)","Reported balance lower than expected (missing decrease)"))))),""))</f>
        <v/>
      </c>
    </row>
    <row r="688" customFormat="false" ht="15" hidden="false" customHeight="false" outlineLevel="0" collapsed="false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9"/>
      <c r="L688" s="9"/>
      <c r="M688" s="9"/>
      <c r="N688" s="9"/>
      <c r="O688" s="9"/>
      <c r="P688" s="9"/>
      <c r="Q688" s="9"/>
      <c r="R688" s="9" t="str">
        <f aca="false">IF(AND(A688&lt;&gt;"",ISNUMBER(Q688),ISNUMBER(L688)),ROUND(Q688-IF(ISNUMBER(N688),N688,0)-IF(ISNUMBER(O688),O688,0)+IF(ISNUMBER(P688),P688,0),2),"")</f>
        <v/>
      </c>
      <c r="S688" s="9" t="str">
        <f aca="false">IF(R688="","",ROUND(L688-R688,2))</f>
        <v/>
      </c>
      <c r="T688" s="8" t="str">
        <f aca="false">IF(A688="","",IF(S688="","BYPASS",IF(ABS(S688)&lt;=Summary!$B$2,"PASS","FAIL")))</f>
        <v/>
      </c>
      <c r="U688" s="8" t="str">
        <f aca="false">IF(T688="BYPASS",IF(NOT(ISNUMBER(Q688)),"PreV_ETB missing","End_tr_balance missing"),IF(T688="FAIL",IF(AND(ISNUMBER(K688),ISNUMBER(L688),ABS(L688-(K688-IF(ISNUMBER(N688),N688,0)-IF(ISNUMBER(O688),O688,0)+IF(ISNUMBER(P688),P688,0)))&lt;=Summary!$B$2),"Passes using beginning_balance - PreV_ETB differs from beginning_balance",IF(AND(ISNUMBER(O688),O688&lt;0,ABS(L688-(Q688-IF(ISNUMBER(N688),N688,0)+IF(ISNUMBER(P688),P688,0)))&lt;=Summary!$B$2),"Negative realized loss not applied - check sign",IF(R688&lt;0,"Principal paid exceeds prior balance",IF(AND(L688&gt;Q688,NOT(ISNUMBER(P688))),"Balance increased but no Deferred_interest reported",IF(L688&gt;R688,"Reported balance higher than expected (missing increase/OC build)","Reported balance lower than expected (missing decrease)"))))),""))</f>
        <v/>
      </c>
    </row>
    <row r="689" customFormat="false" ht="15" hidden="false" customHeight="false" outlineLevel="0" collapsed="false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9"/>
      <c r="L689" s="9"/>
      <c r="M689" s="9"/>
      <c r="N689" s="9"/>
      <c r="O689" s="9"/>
      <c r="P689" s="9"/>
      <c r="Q689" s="9"/>
      <c r="R689" s="9" t="str">
        <f aca="false">IF(AND(A689&lt;&gt;"",ISNUMBER(Q689),ISNUMBER(L689)),ROUND(Q689-IF(ISNUMBER(N689),N689,0)-IF(ISNUMBER(O689),O689,0)+IF(ISNUMBER(P689),P689,0),2),"")</f>
        <v/>
      </c>
      <c r="S689" s="9" t="str">
        <f aca="false">IF(R689="","",ROUND(L689-R689,2))</f>
        <v/>
      </c>
      <c r="T689" s="8" t="str">
        <f aca="false">IF(A689="","",IF(S689="","BYPASS",IF(ABS(S689)&lt;=Summary!$B$2,"PASS","FAIL")))</f>
        <v/>
      </c>
      <c r="U689" s="8" t="str">
        <f aca="false">IF(T689="BYPASS",IF(NOT(ISNUMBER(Q689)),"PreV_ETB missing","End_tr_balance missing"),IF(T689="FAIL",IF(AND(ISNUMBER(K689),ISNUMBER(L689),ABS(L689-(K689-IF(ISNUMBER(N689),N689,0)-IF(ISNUMBER(O689),O689,0)+IF(ISNUMBER(P689),P689,0)))&lt;=Summary!$B$2),"Passes using beginning_balance - PreV_ETB differs from beginning_balance",IF(AND(ISNUMBER(O689),O689&lt;0,ABS(L689-(Q689-IF(ISNUMBER(N689),N689,0)+IF(ISNUMBER(P689),P689,0)))&lt;=Summary!$B$2),"Negative realized loss not applied - check sign",IF(R689&lt;0,"Principal paid exceeds prior balance",IF(AND(L689&gt;Q689,NOT(ISNUMBER(P689))),"Balance increased but no Deferred_interest reported",IF(L689&gt;R689,"Reported balance higher than expected (missing increase/OC build)","Reported balance lower than expected (missing decrease)"))))),""))</f>
        <v/>
      </c>
    </row>
    <row r="690" customFormat="false" ht="15" hidden="false" customHeight="false" outlineLevel="0" collapsed="false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9"/>
      <c r="L690" s="9"/>
      <c r="M690" s="9"/>
      <c r="N690" s="9"/>
      <c r="O690" s="9"/>
      <c r="P690" s="9"/>
      <c r="Q690" s="9"/>
      <c r="R690" s="9" t="str">
        <f aca="false">IF(AND(A690&lt;&gt;"",ISNUMBER(Q690),ISNUMBER(L690)),ROUND(Q690-IF(ISNUMBER(N690),N690,0)-IF(ISNUMBER(O690),O690,0)+IF(ISNUMBER(P690),P690,0),2),"")</f>
        <v/>
      </c>
      <c r="S690" s="9" t="str">
        <f aca="false">IF(R690="","",ROUND(L690-R690,2))</f>
        <v/>
      </c>
      <c r="T690" s="8" t="str">
        <f aca="false">IF(A690="","",IF(S690="","BYPASS",IF(ABS(S690)&lt;=Summary!$B$2,"PASS","FAIL")))</f>
        <v/>
      </c>
      <c r="U690" s="8" t="str">
        <f aca="false">IF(T690="BYPASS",IF(NOT(ISNUMBER(Q690)),"PreV_ETB missing","End_tr_balance missing"),IF(T690="FAIL",IF(AND(ISNUMBER(K690),ISNUMBER(L690),ABS(L690-(K690-IF(ISNUMBER(N690),N690,0)-IF(ISNUMBER(O690),O690,0)+IF(ISNUMBER(P690),P690,0)))&lt;=Summary!$B$2),"Passes using beginning_balance - PreV_ETB differs from beginning_balance",IF(AND(ISNUMBER(O690),O690&lt;0,ABS(L690-(Q690-IF(ISNUMBER(N690),N690,0)+IF(ISNUMBER(P690),P690,0)))&lt;=Summary!$B$2),"Negative realized loss not applied - check sign",IF(R690&lt;0,"Principal paid exceeds prior balance",IF(AND(L690&gt;Q690,NOT(ISNUMBER(P690))),"Balance increased but no Deferred_interest reported",IF(L690&gt;R690,"Reported balance higher than expected (missing increase/OC build)","Reported balance lower than expected (missing decrease)"))))),""))</f>
        <v/>
      </c>
    </row>
    <row r="691" customFormat="false" ht="15" hidden="false" customHeight="false" outlineLevel="0" collapsed="false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9"/>
      <c r="L691" s="9"/>
      <c r="M691" s="9"/>
      <c r="N691" s="9"/>
      <c r="O691" s="9"/>
      <c r="P691" s="9"/>
      <c r="Q691" s="9"/>
      <c r="R691" s="9" t="str">
        <f aca="false">IF(AND(A691&lt;&gt;"",ISNUMBER(Q691),ISNUMBER(L691)),ROUND(Q691-IF(ISNUMBER(N691),N691,0)-IF(ISNUMBER(O691),O691,0)+IF(ISNUMBER(P691),P691,0),2),"")</f>
        <v/>
      </c>
      <c r="S691" s="9" t="str">
        <f aca="false">IF(R691="","",ROUND(L691-R691,2))</f>
        <v/>
      </c>
      <c r="T691" s="8" t="str">
        <f aca="false">IF(A691="","",IF(S691="","BYPASS",IF(ABS(S691)&lt;=Summary!$B$2,"PASS","FAIL")))</f>
        <v/>
      </c>
      <c r="U691" s="8" t="str">
        <f aca="false">IF(T691="BYPASS",IF(NOT(ISNUMBER(Q691)),"PreV_ETB missing","End_tr_balance missing"),IF(T691="FAIL",IF(AND(ISNUMBER(K691),ISNUMBER(L691),ABS(L691-(K691-IF(ISNUMBER(N691),N691,0)-IF(ISNUMBER(O691),O691,0)+IF(ISNUMBER(P691),P691,0)))&lt;=Summary!$B$2),"Passes using beginning_balance - PreV_ETB differs from beginning_balance",IF(AND(ISNUMBER(O691),O691&lt;0,ABS(L691-(Q691-IF(ISNUMBER(N691),N691,0)+IF(ISNUMBER(P691),P691,0)))&lt;=Summary!$B$2),"Negative realized loss not applied - check sign",IF(R691&lt;0,"Principal paid exceeds prior balance",IF(AND(L691&gt;Q691,NOT(ISNUMBER(P691))),"Balance increased but no Deferred_interest reported",IF(L691&gt;R691,"Reported balance higher than expected (missing increase/OC build)","Reported balance lower than expected (missing decrease)"))))),""))</f>
        <v/>
      </c>
    </row>
    <row r="692" customFormat="false" ht="15" hidden="false" customHeight="false" outlineLevel="0" collapsed="false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9"/>
      <c r="L692" s="9"/>
      <c r="M692" s="9"/>
      <c r="N692" s="9"/>
      <c r="O692" s="9"/>
      <c r="P692" s="9"/>
      <c r="Q692" s="9"/>
      <c r="R692" s="9" t="str">
        <f aca="false">IF(AND(A692&lt;&gt;"",ISNUMBER(Q692),ISNUMBER(L692)),ROUND(Q692-IF(ISNUMBER(N692),N692,0)-IF(ISNUMBER(O692),O692,0)+IF(ISNUMBER(P692),P692,0),2),"")</f>
        <v/>
      </c>
      <c r="S692" s="9" t="str">
        <f aca="false">IF(R692="","",ROUND(L692-R692,2))</f>
        <v/>
      </c>
      <c r="T692" s="8" t="str">
        <f aca="false">IF(A692="","",IF(S692="","BYPASS",IF(ABS(S692)&lt;=Summary!$B$2,"PASS","FAIL")))</f>
        <v/>
      </c>
      <c r="U692" s="8" t="str">
        <f aca="false">IF(T692="BYPASS",IF(NOT(ISNUMBER(Q692)),"PreV_ETB missing","End_tr_balance missing"),IF(T692="FAIL",IF(AND(ISNUMBER(K692),ISNUMBER(L692),ABS(L692-(K692-IF(ISNUMBER(N692),N692,0)-IF(ISNUMBER(O692),O692,0)+IF(ISNUMBER(P692),P692,0)))&lt;=Summary!$B$2),"Passes using beginning_balance - PreV_ETB differs from beginning_balance",IF(AND(ISNUMBER(O692),O692&lt;0,ABS(L692-(Q692-IF(ISNUMBER(N692),N692,0)+IF(ISNUMBER(P692),P692,0)))&lt;=Summary!$B$2),"Negative realized loss not applied - check sign",IF(R692&lt;0,"Principal paid exceeds prior balance",IF(AND(L692&gt;Q692,NOT(ISNUMBER(P692))),"Balance increased but no Deferred_interest reported",IF(L692&gt;R692,"Reported balance higher than expected (missing increase/OC build)","Reported balance lower than expected (missing decrease)"))))),""))</f>
        <v/>
      </c>
    </row>
    <row r="693" customFormat="false" ht="15" hidden="false" customHeight="false" outlineLevel="0" collapsed="false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9"/>
      <c r="L693" s="9"/>
      <c r="M693" s="9"/>
      <c r="N693" s="9"/>
      <c r="O693" s="9"/>
      <c r="P693" s="9"/>
      <c r="Q693" s="9"/>
      <c r="R693" s="9" t="str">
        <f aca="false">IF(AND(A693&lt;&gt;"",ISNUMBER(Q693),ISNUMBER(L693)),ROUND(Q693-IF(ISNUMBER(N693),N693,0)-IF(ISNUMBER(O693),O693,0)+IF(ISNUMBER(P693),P693,0),2),"")</f>
        <v/>
      </c>
      <c r="S693" s="9" t="str">
        <f aca="false">IF(R693="","",ROUND(L693-R693,2))</f>
        <v/>
      </c>
      <c r="T693" s="8" t="str">
        <f aca="false">IF(A693="","",IF(S693="","BYPASS",IF(ABS(S693)&lt;=Summary!$B$2,"PASS","FAIL")))</f>
        <v/>
      </c>
      <c r="U693" s="8" t="str">
        <f aca="false">IF(T693="BYPASS",IF(NOT(ISNUMBER(Q693)),"PreV_ETB missing","End_tr_balance missing"),IF(T693="FAIL",IF(AND(ISNUMBER(K693),ISNUMBER(L693),ABS(L693-(K693-IF(ISNUMBER(N693),N693,0)-IF(ISNUMBER(O693),O693,0)+IF(ISNUMBER(P693),P693,0)))&lt;=Summary!$B$2),"Passes using beginning_balance - PreV_ETB differs from beginning_balance",IF(AND(ISNUMBER(O693),O693&lt;0,ABS(L693-(Q693-IF(ISNUMBER(N693),N693,0)+IF(ISNUMBER(P693),P693,0)))&lt;=Summary!$B$2),"Negative realized loss not applied - check sign",IF(R693&lt;0,"Principal paid exceeds prior balance",IF(AND(L693&gt;Q693,NOT(ISNUMBER(P693))),"Balance increased but no Deferred_interest reported",IF(L693&gt;R693,"Reported balance higher than expected (missing increase/OC build)","Reported balance lower than expected (missing decrease)"))))),""))</f>
        <v/>
      </c>
    </row>
    <row r="694" customFormat="false" ht="15" hidden="false" customHeight="false" outlineLevel="0" collapsed="false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9"/>
      <c r="L694" s="9"/>
      <c r="M694" s="9"/>
      <c r="N694" s="9"/>
      <c r="O694" s="9"/>
      <c r="P694" s="9"/>
      <c r="Q694" s="9"/>
      <c r="R694" s="9" t="str">
        <f aca="false">IF(AND(A694&lt;&gt;"",ISNUMBER(Q694),ISNUMBER(L694)),ROUND(Q694-IF(ISNUMBER(N694),N694,0)-IF(ISNUMBER(O694),O694,0)+IF(ISNUMBER(P694),P694,0),2),"")</f>
        <v/>
      </c>
      <c r="S694" s="9" t="str">
        <f aca="false">IF(R694="","",ROUND(L694-R694,2))</f>
        <v/>
      </c>
      <c r="T694" s="8" t="str">
        <f aca="false">IF(A694="","",IF(S694="","BYPASS",IF(ABS(S694)&lt;=Summary!$B$2,"PASS","FAIL")))</f>
        <v/>
      </c>
      <c r="U694" s="8" t="str">
        <f aca="false">IF(T694="BYPASS",IF(NOT(ISNUMBER(Q694)),"PreV_ETB missing","End_tr_balance missing"),IF(T694="FAIL",IF(AND(ISNUMBER(K694),ISNUMBER(L694),ABS(L694-(K694-IF(ISNUMBER(N694),N694,0)-IF(ISNUMBER(O694),O694,0)+IF(ISNUMBER(P694),P694,0)))&lt;=Summary!$B$2),"Passes using beginning_balance - PreV_ETB differs from beginning_balance",IF(AND(ISNUMBER(O694),O694&lt;0,ABS(L694-(Q694-IF(ISNUMBER(N694),N694,0)+IF(ISNUMBER(P694),P694,0)))&lt;=Summary!$B$2),"Negative realized loss not applied - check sign",IF(R694&lt;0,"Principal paid exceeds prior balance",IF(AND(L694&gt;Q694,NOT(ISNUMBER(P694))),"Balance increased but no Deferred_interest reported",IF(L694&gt;R694,"Reported balance higher than expected (missing increase/OC build)","Reported balance lower than expected (missing decrease)"))))),""))</f>
        <v/>
      </c>
    </row>
    <row r="695" customFormat="false" ht="15" hidden="false" customHeight="false" outlineLevel="0" collapsed="false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9"/>
      <c r="L695" s="9"/>
      <c r="M695" s="9"/>
      <c r="N695" s="9"/>
      <c r="O695" s="9"/>
      <c r="P695" s="9"/>
      <c r="Q695" s="9"/>
      <c r="R695" s="9" t="str">
        <f aca="false">IF(AND(A695&lt;&gt;"",ISNUMBER(Q695),ISNUMBER(L695)),ROUND(Q695-IF(ISNUMBER(N695),N695,0)-IF(ISNUMBER(O695),O695,0)+IF(ISNUMBER(P695),P695,0),2),"")</f>
        <v/>
      </c>
      <c r="S695" s="9" t="str">
        <f aca="false">IF(R695="","",ROUND(L695-R695,2))</f>
        <v/>
      </c>
      <c r="T695" s="8" t="str">
        <f aca="false">IF(A695="","",IF(S695="","BYPASS",IF(ABS(S695)&lt;=Summary!$B$2,"PASS","FAIL")))</f>
        <v/>
      </c>
      <c r="U695" s="8" t="str">
        <f aca="false">IF(T695="BYPASS",IF(NOT(ISNUMBER(Q695)),"PreV_ETB missing","End_tr_balance missing"),IF(T695="FAIL",IF(AND(ISNUMBER(K695),ISNUMBER(L695),ABS(L695-(K695-IF(ISNUMBER(N695),N695,0)-IF(ISNUMBER(O695),O695,0)+IF(ISNUMBER(P695),P695,0)))&lt;=Summary!$B$2),"Passes using beginning_balance - PreV_ETB differs from beginning_balance",IF(AND(ISNUMBER(O695),O695&lt;0,ABS(L695-(Q695-IF(ISNUMBER(N695),N695,0)+IF(ISNUMBER(P695),P695,0)))&lt;=Summary!$B$2),"Negative realized loss not applied - check sign",IF(R695&lt;0,"Principal paid exceeds prior balance",IF(AND(L695&gt;Q695,NOT(ISNUMBER(P695))),"Balance increased but no Deferred_interest reported",IF(L695&gt;R695,"Reported balance higher than expected (missing increase/OC build)","Reported balance lower than expected (missing decrease)"))))),""))</f>
        <v/>
      </c>
    </row>
    <row r="696" customFormat="false" ht="15" hidden="false" customHeight="false" outlineLevel="0" collapsed="false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9"/>
      <c r="L696" s="9"/>
      <c r="M696" s="9"/>
      <c r="N696" s="9"/>
      <c r="O696" s="9"/>
      <c r="P696" s="9"/>
      <c r="Q696" s="9"/>
      <c r="R696" s="9" t="str">
        <f aca="false">IF(AND(A696&lt;&gt;"",ISNUMBER(Q696),ISNUMBER(L696)),ROUND(Q696-IF(ISNUMBER(N696),N696,0)-IF(ISNUMBER(O696),O696,0)+IF(ISNUMBER(P696),P696,0),2),"")</f>
        <v/>
      </c>
      <c r="S696" s="9" t="str">
        <f aca="false">IF(R696="","",ROUND(L696-R696,2))</f>
        <v/>
      </c>
      <c r="T696" s="8" t="str">
        <f aca="false">IF(A696="","",IF(S696="","BYPASS",IF(ABS(S696)&lt;=Summary!$B$2,"PASS","FAIL")))</f>
        <v/>
      </c>
      <c r="U696" s="8" t="str">
        <f aca="false">IF(T696="BYPASS",IF(NOT(ISNUMBER(Q696)),"PreV_ETB missing","End_tr_balance missing"),IF(T696="FAIL",IF(AND(ISNUMBER(K696),ISNUMBER(L696),ABS(L696-(K696-IF(ISNUMBER(N696),N696,0)-IF(ISNUMBER(O696),O696,0)+IF(ISNUMBER(P696),P696,0)))&lt;=Summary!$B$2),"Passes using beginning_balance - PreV_ETB differs from beginning_balance",IF(AND(ISNUMBER(O696),O696&lt;0,ABS(L696-(Q696-IF(ISNUMBER(N696),N696,0)+IF(ISNUMBER(P696),P696,0)))&lt;=Summary!$B$2),"Negative realized loss not applied - check sign",IF(R696&lt;0,"Principal paid exceeds prior balance",IF(AND(L696&gt;Q696,NOT(ISNUMBER(P696))),"Balance increased but no Deferred_interest reported",IF(L696&gt;R696,"Reported balance higher than expected (missing increase/OC build)","Reported balance lower than expected (missing decrease)"))))),""))</f>
        <v/>
      </c>
    </row>
    <row r="697" customFormat="false" ht="15" hidden="false" customHeight="false" outlineLevel="0" collapsed="false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9"/>
      <c r="L697" s="9"/>
      <c r="M697" s="9"/>
      <c r="N697" s="9"/>
      <c r="O697" s="9"/>
      <c r="P697" s="9"/>
      <c r="Q697" s="9"/>
      <c r="R697" s="9" t="str">
        <f aca="false">IF(AND(A697&lt;&gt;"",ISNUMBER(Q697),ISNUMBER(L697)),ROUND(Q697-IF(ISNUMBER(N697),N697,0)-IF(ISNUMBER(O697),O697,0)+IF(ISNUMBER(P697),P697,0),2),"")</f>
        <v/>
      </c>
      <c r="S697" s="9" t="str">
        <f aca="false">IF(R697="","",ROUND(L697-R697,2))</f>
        <v/>
      </c>
      <c r="T697" s="8" t="str">
        <f aca="false">IF(A697="","",IF(S697="","BYPASS",IF(ABS(S697)&lt;=Summary!$B$2,"PASS","FAIL")))</f>
        <v/>
      </c>
      <c r="U697" s="8" t="str">
        <f aca="false">IF(T697="BYPASS",IF(NOT(ISNUMBER(Q697)),"PreV_ETB missing","End_tr_balance missing"),IF(T697="FAIL",IF(AND(ISNUMBER(K697),ISNUMBER(L697),ABS(L697-(K697-IF(ISNUMBER(N697),N697,0)-IF(ISNUMBER(O697),O697,0)+IF(ISNUMBER(P697),P697,0)))&lt;=Summary!$B$2),"Passes using beginning_balance - PreV_ETB differs from beginning_balance",IF(AND(ISNUMBER(O697),O697&lt;0,ABS(L697-(Q697-IF(ISNUMBER(N697),N697,0)+IF(ISNUMBER(P697),P697,0)))&lt;=Summary!$B$2),"Negative realized loss not applied - check sign",IF(R697&lt;0,"Principal paid exceeds prior balance",IF(AND(L697&gt;Q697,NOT(ISNUMBER(P697))),"Balance increased but no Deferred_interest reported",IF(L697&gt;R697,"Reported balance higher than expected (missing increase/OC build)","Reported balance lower than expected (missing decrease)"))))),""))</f>
        <v/>
      </c>
    </row>
    <row r="698" customFormat="false" ht="15" hidden="false" customHeight="false" outlineLevel="0" collapsed="false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9"/>
      <c r="L698" s="9"/>
      <c r="M698" s="9"/>
      <c r="N698" s="9"/>
      <c r="O698" s="9"/>
      <c r="P698" s="9"/>
      <c r="Q698" s="9"/>
      <c r="R698" s="9" t="str">
        <f aca="false">IF(AND(A698&lt;&gt;"",ISNUMBER(Q698),ISNUMBER(L698)),ROUND(Q698-IF(ISNUMBER(N698),N698,0)-IF(ISNUMBER(O698),O698,0)+IF(ISNUMBER(P698),P698,0),2),"")</f>
        <v/>
      </c>
      <c r="S698" s="9" t="str">
        <f aca="false">IF(R698="","",ROUND(L698-R698,2))</f>
        <v/>
      </c>
      <c r="T698" s="8" t="str">
        <f aca="false">IF(A698="","",IF(S698="","BYPASS",IF(ABS(S698)&lt;=Summary!$B$2,"PASS","FAIL")))</f>
        <v/>
      </c>
      <c r="U698" s="8" t="str">
        <f aca="false">IF(T698="BYPASS",IF(NOT(ISNUMBER(Q698)),"PreV_ETB missing","End_tr_balance missing"),IF(T698="FAIL",IF(AND(ISNUMBER(K698),ISNUMBER(L698),ABS(L698-(K698-IF(ISNUMBER(N698),N698,0)-IF(ISNUMBER(O698),O698,0)+IF(ISNUMBER(P698),P698,0)))&lt;=Summary!$B$2),"Passes using beginning_balance - PreV_ETB differs from beginning_balance",IF(AND(ISNUMBER(O698),O698&lt;0,ABS(L698-(Q698-IF(ISNUMBER(N698),N698,0)+IF(ISNUMBER(P698),P698,0)))&lt;=Summary!$B$2),"Negative realized loss not applied - check sign",IF(R698&lt;0,"Principal paid exceeds prior balance",IF(AND(L698&gt;Q698,NOT(ISNUMBER(P698))),"Balance increased but no Deferred_interest reported",IF(L698&gt;R698,"Reported balance higher than expected (missing increase/OC build)","Reported balance lower than expected (missing decrease)"))))),""))</f>
        <v/>
      </c>
    </row>
    <row r="699" customFormat="false" ht="15" hidden="false" customHeight="false" outlineLevel="0" collapsed="false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9"/>
      <c r="L699" s="9"/>
      <c r="M699" s="9"/>
      <c r="N699" s="9"/>
      <c r="O699" s="9"/>
      <c r="P699" s="9"/>
      <c r="Q699" s="9"/>
      <c r="R699" s="9" t="str">
        <f aca="false">IF(AND(A699&lt;&gt;"",ISNUMBER(Q699),ISNUMBER(L699)),ROUND(Q699-IF(ISNUMBER(N699),N699,0)-IF(ISNUMBER(O699),O699,0)+IF(ISNUMBER(P699),P699,0),2),"")</f>
        <v/>
      </c>
      <c r="S699" s="9" t="str">
        <f aca="false">IF(R699="","",ROUND(L699-R699,2))</f>
        <v/>
      </c>
      <c r="T699" s="8" t="str">
        <f aca="false">IF(A699="","",IF(S699="","BYPASS",IF(ABS(S699)&lt;=Summary!$B$2,"PASS","FAIL")))</f>
        <v/>
      </c>
      <c r="U699" s="8" t="str">
        <f aca="false">IF(T699="BYPASS",IF(NOT(ISNUMBER(Q699)),"PreV_ETB missing","End_tr_balance missing"),IF(T699="FAIL",IF(AND(ISNUMBER(K699),ISNUMBER(L699),ABS(L699-(K699-IF(ISNUMBER(N699),N699,0)-IF(ISNUMBER(O699),O699,0)+IF(ISNUMBER(P699),P699,0)))&lt;=Summary!$B$2),"Passes using beginning_balance - PreV_ETB differs from beginning_balance",IF(AND(ISNUMBER(O699),O699&lt;0,ABS(L699-(Q699-IF(ISNUMBER(N699),N699,0)+IF(ISNUMBER(P699),P699,0)))&lt;=Summary!$B$2),"Negative realized loss not applied - check sign",IF(R699&lt;0,"Principal paid exceeds prior balance",IF(AND(L699&gt;Q699,NOT(ISNUMBER(P699))),"Balance increased but no Deferred_interest reported",IF(L699&gt;R699,"Reported balance higher than expected (missing increase/OC build)","Reported balance lower than expected (missing decrease)"))))),""))</f>
        <v/>
      </c>
    </row>
    <row r="700" customFormat="false" ht="15" hidden="false" customHeight="false" outlineLevel="0" collapsed="false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9"/>
      <c r="L700" s="9"/>
      <c r="M700" s="9"/>
      <c r="N700" s="9"/>
      <c r="O700" s="9"/>
      <c r="P700" s="9"/>
      <c r="Q700" s="9"/>
      <c r="R700" s="9" t="str">
        <f aca="false">IF(AND(A700&lt;&gt;"",ISNUMBER(Q700),ISNUMBER(L700)),ROUND(Q700-IF(ISNUMBER(N700),N700,0)-IF(ISNUMBER(O700),O700,0)+IF(ISNUMBER(P700),P700,0),2),"")</f>
        <v/>
      </c>
      <c r="S700" s="9" t="str">
        <f aca="false">IF(R700="","",ROUND(L700-R700,2))</f>
        <v/>
      </c>
      <c r="T700" s="8" t="str">
        <f aca="false">IF(A700="","",IF(S700="","BYPASS",IF(ABS(S700)&lt;=Summary!$B$2,"PASS","FAIL")))</f>
        <v/>
      </c>
      <c r="U700" s="8" t="str">
        <f aca="false">IF(T700="BYPASS",IF(NOT(ISNUMBER(Q700)),"PreV_ETB missing","End_tr_balance missing"),IF(T700="FAIL",IF(AND(ISNUMBER(K700),ISNUMBER(L700),ABS(L700-(K700-IF(ISNUMBER(N700),N700,0)-IF(ISNUMBER(O700),O700,0)+IF(ISNUMBER(P700),P700,0)))&lt;=Summary!$B$2),"Passes using beginning_balance - PreV_ETB differs from beginning_balance",IF(AND(ISNUMBER(O700),O700&lt;0,ABS(L700-(Q700-IF(ISNUMBER(N700),N700,0)+IF(ISNUMBER(P700),P700,0)))&lt;=Summary!$B$2),"Negative realized loss not applied - check sign",IF(R700&lt;0,"Principal paid exceeds prior balance",IF(AND(L700&gt;Q700,NOT(ISNUMBER(P700))),"Balance increased but no Deferred_interest reported",IF(L700&gt;R700,"Reported balance higher than expected (missing increase/OC build)","Reported balance lower than expected (missing decrease)"))))),""))</f>
        <v/>
      </c>
    </row>
    <row r="701" customFormat="false" ht="15" hidden="false" customHeight="false" outlineLevel="0" collapsed="false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9"/>
      <c r="L701" s="9"/>
      <c r="M701" s="9"/>
      <c r="N701" s="9"/>
      <c r="O701" s="9"/>
      <c r="P701" s="9"/>
      <c r="Q701" s="9"/>
      <c r="R701" s="9" t="str">
        <f aca="false">IF(AND(A701&lt;&gt;"",ISNUMBER(Q701),ISNUMBER(L701)),ROUND(Q701-IF(ISNUMBER(N701),N701,0)-IF(ISNUMBER(O701),O701,0)+IF(ISNUMBER(P701),P701,0),2),"")</f>
        <v/>
      </c>
      <c r="S701" s="9" t="str">
        <f aca="false">IF(R701="","",ROUND(L701-R701,2))</f>
        <v/>
      </c>
      <c r="T701" s="8" t="str">
        <f aca="false">IF(A701="","",IF(S701="","BYPASS",IF(ABS(S701)&lt;=Summary!$B$2,"PASS","FAIL")))</f>
        <v/>
      </c>
      <c r="U701" s="8" t="str">
        <f aca="false">IF(T701="BYPASS",IF(NOT(ISNUMBER(Q701)),"PreV_ETB missing","End_tr_balance missing"),IF(T701="FAIL",IF(AND(ISNUMBER(K701),ISNUMBER(L701),ABS(L701-(K701-IF(ISNUMBER(N701),N701,0)-IF(ISNUMBER(O701),O701,0)+IF(ISNUMBER(P701),P701,0)))&lt;=Summary!$B$2),"Passes using beginning_balance - PreV_ETB differs from beginning_balance",IF(AND(ISNUMBER(O701),O701&lt;0,ABS(L701-(Q701-IF(ISNUMBER(N701),N701,0)+IF(ISNUMBER(P701),P701,0)))&lt;=Summary!$B$2),"Negative realized loss not applied - check sign",IF(R701&lt;0,"Principal paid exceeds prior balance",IF(AND(L701&gt;Q701,NOT(ISNUMBER(P701))),"Balance increased but no Deferred_interest reported",IF(L701&gt;R701,"Reported balance higher than expected (missing increase/OC build)","Reported balance lower than expected (missing decrease)"))))),""))</f>
        <v/>
      </c>
    </row>
    <row r="702" customFormat="false" ht="15" hidden="false" customHeight="false" outlineLevel="0" collapsed="false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9"/>
      <c r="L702" s="9"/>
      <c r="M702" s="9"/>
      <c r="N702" s="9"/>
      <c r="O702" s="9"/>
      <c r="P702" s="9"/>
      <c r="Q702" s="9"/>
      <c r="R702" s="9" t="str">
        <f aca="false">IF(AND(A702&lt;&gt;"",ISNUMBER(Q702),ISNUMBER(L702)),ROUND(Q702-IF(ISNUMBER(N702),N702,0)-IF(ISNUMBER(O702),O702,0)+IF(ISNUMBER(P702),P702,0),2),"")</f>
        <v/>
      </c>
      <c r="S702" s="9" t="str">
        <f aca="false">IF(R702="","",ROUND(L702-R702,2))</f>
        <v/>
      </c>
      <c r="T702" s="8" t="str">
        <f aca="false">IF(A702="","",IF(S702="","BYPASS",IF(ABS(S702)&lt;=Summary!$B$2,"PASS","FAIL")))</f>
        <v/>
      </c>
      <c r="U702" s="8" t="str">
        <f aca="false">IF(T702="BYPASS",IF(NOT(ISNUMBER(Q702)),"PreV_ETB missing","End_tr_balance missing"),IF(T702="FAIL",IF(AND(ISNUMBER(K702),ISNUMBER(L702),ABS(L702-(K702-IF(ISNUMBER(N702),N702,0)-IF(ISNUMBER(O702),O702,0)+IF(ISNUMBER(P702),P702,0)))&lt;=Summary!$B$2),"Passes using beginning_balance - PreV_ETB differs from beginning_balance",IF(AND(ISNUMBER(O702),O702&lt;0,ABS(L702-(Q702-IF(ISNUMBER(N702),N702,0)+IF(ISNUMBER(P702),P702,0)))&lt;=Summary!$B$2),"Negative realized loss not applied - check sign",IF(R702&lt;0,"Principal paid exceeds prior balance",IF(AND(L702&gt;Q702,NOT(ISNUMBER(P702))),"Balance increased but no Deferred_interest reported",IF(L702&gt;R702,"Reported balance higher than expected (missing increase/OC build)","Reported balance lower than expected (missing decrease)"))))),""))</f>
        <v/>
      </c>
    </row>
    <row r="703" customFormat="false" ht="15" hidden="false" customHeight="false" outlineLevel="0" collapsed="false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9"/>
      <c r="L703" s="9"/>
      <c r="M703" s="9"/>
      <c r="N703" s="9"/>
      <c r="O703" s="9"/>
      <c r="P703" s="9"/>
      <c r="Q703" s="9"/>
      <c r="R703" s="9" t="str">
        <f aca="false">IF(AND(A703&lt;&gt;"",ISNUMBER(Q703),ISNUMBER(L703)),ROUND(Q703-IF(ISNUMBER(N703),N703,0)-IF(ISNUMBER(O703),O703,0)+IF(ISNUMBER(P703),P703,0),2),"")</f>
        <v/>
      </c>
      <c r="S703" s="9" t="str">
        <f aca="false">IF(R703="","",ROUND(L703-R703,2))</f>
        <v/>
      </c>
      <c r="T703" s="8" t="str">
        <f aca="false">IF(A703="","",IF(S703="","BYPASS",IF(ABS(S703)&lt;=Summary!$B$2,"PASS","FAIL")))</f>
        <v/>
      </c>
      <c r="U703" s="8" t="str">
        <f aca="false">IF(T703="BYPASS",IF(NOT(ISNUMBER(Q703)),"PreV_ETB missing","End_tr_balance missing"),IF(T703="FAIL",IF(AND(ISNUMBER(K703),ISNUMBER(L703),ABS(L703-(K703-IF(ISNUMBER(N703),N703,0)-IF(ISNUMBER(O703),O703,0)+IF(ISNUMBER(P703),P703,0)))&lt;=Summary!$B$2),"Passes using beginning_balance - PreV_ETB differs from beginning_balance",IF(AND(ISNUMBER(O703),O703&lt;0,ABS(L703-(Q703-IF(ISNUMBER(N703),N703,0)+IF(ISNUMBER(P703),P703,0)))&lt;=Summary!$B$2),"Negative realized loss not applied - check sign",IF(R703&lt;0,"Principal paid exceeds prior balance",IF(AND(L703&gt;Q703,NOT(ISNUMBER(P703))),"Balance increased but no Deferred_interest reported",IF(L703&gt;R703,"Reported balance higher than expected (missing increase/OC build)","Reported balance lower than expected (missing decrease)"))))),""))</f>
        <v/>
      </c>
    </row>
    <row r="704" customFormat="false" ht="15" hidden="false" customHeight="false" outlineLevel="0" collapsed="false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9"/>
      <c r="L704" s="9"/>
      <c r="M704" s="9"/>
      <c r="N704" s="9"/>
      <c r="O704" s="9"/>
      <c r="P704" s="9"/>
      <c r="Q704" s="9"/>
      <c r="R704" s="9" t="str">
        <f aca="false">IF(AND(A704&lt;&gt;"",ISNUMBER(Q704),ISNUMBER(L704)),ROUND(Q704-IF(ISNUMBER(N704),N704,0)-IF(ISNUMBER(O704),O704,0)+IF(ISNUMBER(P704),P704,0),2),"")</f>
        <v/>
      </c>
      <c r="S704" s="9" t="str">
        <f aca="false">IF(R704="","",ROUND(L704-R704,2))</f>
        <v/>
      </c>
      <c r="T704" s="8" t="str">
        <f aca="false">IF(A704="","",IF(S704="","BYPASS",IF(ABS(S704)&lt;=Summary!$B$2,"PASS","FAIL")))</f>
        <v/>
      </c>
      <c r="U704" s="8" t="str">
        <f aca="false">IF(T704="BYPASS",IF(NOT(ISNUMBER(Q704)),"PreV_ETB missing","End_tr_balance missing"),IF(T704="FAIL",IF(AND(ISNUMBER(K704),ISNUMBER(L704),ABS(L704-(K704-IF(ISNUMBER(N704),N704,0)-IF(ISNUMBER(O704),O704,0)+IF(ISNUMBER(P704),P704,0)))&lt;=Summary!$B$2),"Passes using beginning_balance - PreV_ETB differs from beginning_balance",IF(AND(ISNUMBER(O704),O704&lt;0,ABS(L704-(Q704-IF(ISNUMBER(N704),N704,0)+IF(ISNUMBER(P704),P704,0)))&lt;=Summary!$B$2),"Negative realized loss not applied - check sign",IF(R704&lt;0,"Principal paid exceeds prior balance",IF(AND(L704&gt;Q704,NOT(ISNUMBER(P704))),"Balance increased but no Deferred_interest reported",IF(L704&gt;R704,"Reported balance higher than expected (missing increase/OC build)","Reported balance lower than expected (missing decrease)"))))),""))</f>
        <v/>
      </c>
    </row>
    <row r="705" customFormat="false" ht="15" hidden="false" customHeight="false" outlineLevel="0" collapsed="false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9"/>
      <c r="L705" s="9"/>
      <c r="M705" s="9"/>
      <c r="N705" s="9"/>
      <c r="O705" s="9"/>
      <c r="P705" s="9"/>
      <c r="Q705" s="9"/>
      <c r="R705" s="9" t="str">
        <f aca="false">IF(AND(A705&lt;&gt;"",ISNUMBER(Q705),ISNUMBER(L705)),ROUND(Q705-IF(ISNUMBER(N705),N705,0)-IF(ISNUMBER(O705),O705,0)+IF(ISNUMBER(P705),P705,0),2),"")</f>
        <v/>
      </c>
      <c r="S705" s="9" t="str">
        <f aca="false">IF(R705="","",ROUND(L705-R705,2))</f>
        <v/>
      </c>
      <c r="T705" s="8" t="str">
        <f aca="false">IF(A705="","",IF(S705="","BYPASS",IF(ABS(S705)&lt;=Summary!$B$2,"PASS","FAIL")))</f>
        <v/>
      </c>
      <c r="U705" s="8" t="str">
        <f aca="false">IF(T705="BYPASS",IF(NOT(ISNUMBER(Q705)),"PreV_ETB missing","End_tr_balance missing"),IF(T705="FAIL",IF(AND(ISNUMBER(K705),ISNUMBER(L705),ABS(L705-(K705-IF(ISNUMBER(N705),N705,0)-IF(ISNUMBER(O705),O705,0)+IF(ISNUMBER(P705),P705,0)))&lt;=Summary!$B$2),"Passes using beginning_balance - PreV_ETB differs from beginning_balance",IF(AND(ISNUMBER(O705),O705&lt;0,ABS(L705-(Q705-IF(ISNUMBER(N705),N705,0)+IF(ISNUMBER(P705),P705,0)))&lt;=Summary!$B$2),"Negative realized loss not applied - check sign",IF(R705&lt;0,"Principal paid exceeds prior balance",IF(AND(L705&gt;Q705,NOT(ISNUMBER(P705))),"Balance increased but no Deferred_interest reported",IF(L705&gt;R705,"Reported balance higher than expected (missing increase/OC build)","Reported balance lower than expected (missing decrease)"))))),""))</f>
        <v/>
      </c>
    </row>
    <row r="706" customFormat="false" ht="15" hidden="false" customHeight="false" outlineLevel="0" collapsed="false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9"/>
      <c r="L706" s="9"/>
      <c r="M706" s="9"/>
      <c r="N706" s="9"/>
      <c r="O706" s="9"/>
      <c r="P706" s="9"/>
      <c r="Q706" s="9"/>
      <c r="R706" s="9" t="str">
        <f aca="false">IF(AND(A706&lt;&gt;"",ISNUMBER(Q706),ISNUMBER(L706)),ROUND(Q706-IF(ISNUMBER(N706),N706,0)-IF(ISNUMBER(O706),O706,0)+IF(ISNUMBER(P706),P706,0),2),"")</f>
        <v/>
      </c>
      <c r="S706" s="9" t="str">
        <f aca="false">IF(R706="","",ROUND(L706-R706,2))</f>
        <v/>
      </c>
      <c r="T706" s="8" t="str">
        <f aca="false">IF(A706="","",IF(S706="","BYPASS",IF(ABS(S706)&lt;=Summary!$B$2,"PASS","FAIL")))</f>
        <v/>
      </c>
      <c r="U706" s="8" t="str">
        <f aca="false">IF(T706="BYPASS",IF(NOT(ISNUMBER(Q706)),"PreV_ETB missing","End_tr_balance missing"),IF(T706="FAIL",IF(AND(ISNUMBER(K706),ISNUMBER(L706),ABS(L706-(K706-IF(ISNUMBER(N706),N706,0)-IF(ISNUMBER(O706),O706,0)+IF(ISNUMBER(P706),P706,0)))&lt;=Summary!$B$2),"Passes using beginning_balance - PreV_ETB differs from beginning_balance",IF(AND(ISNUMBER(O706),O706&lt;0,ABS(L706-(Q706-IF(ISNUMBER(N706),N706,0)+IF(ISNUMBER(P706),P706,0)))&lt;=Summary!$B$2),"Negative realized loss not applied - check sign",IF(R706&lt;0,"Principal paid exceeds prior balance",IF(AND(L706&gt;Q706,NOT(ISNUMBER(P706))),"Balance increased but no Deferred_interest reported",IF(L706&gt;R706,"Reported balance higher than expected (missing increase/OC build)","Reported balance lower than expected (missing decrease)"))))),""))</f>
        <v/>
      </c>
    </row>
    <row r="707" customFormat="false" ht="15" hidden="false" customHeight="false" outlineLevel="0" collapsed="false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9"/>
      <c r="L707" s="9"/>
      <c r="M707" s="9"/>
      <c r="N707" s="9"/>
      <c r="O707" s="9"/>
      <c r="P707" s="9"/>
      <c r="Q707" s="9"/>
      <c r="R707" s="9" t="str">
        <f aca="false">IF(AND(A707&lt;&gt;"",ISNUMBER(Q707),ISNUMBER(L707)),ROUND(Q707-IF(ISNUMBER(N707),N707,0)-IF(ISNUMBER(O707),O707,0)+IF(ISNUMBER(P707),P707,0),2),"")</f>
        <v/>
      </c>
      <c r="S707" s="9" t="str">
        <f aca="false">IF(R707="","",ROUND(L707-R707,2))</f>
        <v/>
      </c>
      <c r="T707" s="8" t="str">
        <f aca="false">IF(A707="","",IF(S707="","BYPASS",IF(ABS(S707)&lt;=Summary!$B$2,"PASS","FAIL")))</f>
        <v/>
      </c>
      <c r="U707" s="8" t="str">
        <f aca="false">IF(T707="BYPASS",IF(NOT(ISNUMBER(Q707)),"PreV_ETB missing","End_tr_balance missing"),IF(T707="FAIL",IF(AND(ISNUMBER(K707),ISNUMBER(L707),ABS(L707-(K707-IF(ISNUMBER(N707),N707,0)-IF(ISNUMBER(O707),O707,0)+IF(ISNUMBER(P707),P707,0)))&lt;=Summary!$B$2),"Passes using beginning_balance - PreV_ETB differs from beginning_balance",IF(AND(ISNUMBER(O707),O707&lt;0,ABS(L707-(Q707-IF(ISNUMBER(N707),N707,0)+IF(ISNUMBER(P707),P707,0)))&lt;=Summary!$B$2),"Negative realized loss not applied - check sign",IF(R707&lt;0,"Principal paid exceeds prior balance",IF(AND(L707&gt;Q707,NOT(ISNUMBER(P707))),"Balance increased but no Deferred_interest reported",IF(L707&gt;R707,"Reported balance higher than expected (missing increase/OC build)","Reported balance lower than expected (missing decrease)"))))),""))</f>
        <v/>
      </c>
    </row>
    <row r="708" customFormat="false" ht="15" hidden="false" customHeight="false" outlineLevel="0" collapsed="false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9"/>
      <c r="L708" s="9"/>
      <c r="M708" s="9"/>
      <c r="N708" s="9"/>
      <c r="O708" s="9"/>
      <c r="P708" s="9"/>
      <c r="Q708" s="9"/>
      <c r="R708" s="9" t="str">
        <f aca="false">IF(AND(A708&lt;&gt;"",ISNUMBER(Q708),ISNUMBER(L708)),ROUND(Q708-IF(ISNUMBER(N708),N708,0)-IF(ISNUMBER(O708),O708,0)+IF(ISNUMBER(P708),P708,0),2),"")</f>
        <v/>
      </c>
      <c r="S708" s="9" t="str">
        <f aca="false">IF(R708="","",ROUND(L708-R708,2))</f>
        <v/>
      </c>
      <c r="T708" s="8" t="str">
        <f aca="false">IF(A708="","",IF(S708="","BYPASS",IF(ABS(S708)&lt;=Summary!$B$2,"PASS","FAIL")))</f>
        <v/>
      </c>
      <c r="U708" s="8" t="str">
        <f aca="false">IF(T708="BYPASS",IF(NOT(ISNUMBER(Q708)),"PreV_ETB missing","End_tr_balance missing"),IF(T708="FAIL",IF(AND(ISNUMBER(K708),ISNUMBER(L708),ABS(L708-(K708-IF(ISNUMBER(N708),N708,0)-IF(ISNUMBER(O708),O708,0)+IF(ISNUMBER(P708),P708,0)))&lt;=Summary!$B$2),"Passes using beginning_balance - PreV_ETB differs from beginning_balance",IF(AND(ISNUMBER(O708),O708&lt;0,ABS(L708-(Q708-IF(ISNUMBER(N708),N708,0)+IF(ISNUMBER(P708),P708,0)))&lt;=Summary!$B$2),"Negative realized loss not applied - check sign",IF(R708&lt;0,"Principal paid exceeds prior balance",IF(AND(L708&gt;Q708,NOT(ISNUMBER(P708))),"Balance increased but no Deferred_interest reported",IF(L708&gt;R708,"Reported balance higher than expected (missing increase/OC build)","Reported balance lower than expected (missing decrease)"))))),""))</f>
        <v/>
      </c>
    </row>
    <row r="709" customFormat="false" ht="15" hidden="false" customHeight="false" outlineLevel="0" collapsed="false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9"/>
      <c r="L709" s="9"/>
      <c r="M709" s="9"/>
      <c r="N709" s="9"/>
      <c r="O709" s="9"/>
      <c r="P709" s="9"/>
      <c r="Q709" s="9"/>
      <c r="R709" s="9" t="str">
        <f aca="false">IF(AND(A709&lt;&gt;"",ISNUMBER(Q709),ISNUMBER(L709)),ROUND(Q709-IF(ISNUMBER(N709),N709,0)-IF(ISNUMBER(O709),O709,0)+IF(ISNUMBER(P709),P709,0),2),"")</f>
        <v/>
      </c>
      <c r="S709" s="9" t="str">
        <f aca="false">IF(R709="","",ROUND(L709-R709,2))</f>
        <v/>
      </c>
      <c r="T709" s="8" t="str">
        <f aca="false">IF(A709="","",IF(S709="","BYPASS",IF(ABS(S709)&lt;=Summary!$B$2,"PASS","FAIL")))</f>
        <v/>
      </c>
      <c r="U709" s="8" t="str">
        <f aca="false">IF(T709="BYPASS",IF(NOT(ISNUMBER(Q709)),"PreV_ETB missing","End_tr_balance missing"),IF(T709="FAIL",IF(AND(ISNUMBER(K709),ISNUMBER(L709),ABS(L709-(K709-IF(ISNUMBER(N709),N709,0)-IF(ISNUMBER(O709),O709,0)+IF(ISNUMBER(P709),P709,0)))&lt;=Summary!$B$2),"Passes using beginning_balance - PreV_ETB differs from beginning_balance",IF(AND(ISNUMBER(O709),O709&lt;0,ABS(L709-(Q709-IF(ISNUMBER(N709),N709,0)+IF(ISNUMBER(P709),P709,0)))&lt;=Summary!$B$2),"Negative realized loss not applied - check sign",IF(R709&lt;0,"Principal paid exceeds prior balance",IF(AND(L709&gt;Q709,NOT(ISNUMBER(P709))),"Balance increased but no Deferred_interest reported",IF(L709&gt;R709,"Reported balance higher than expected (missing increase/OC build)","Reported balance lower than expected (missing decrease)"))))),""))</f>
        <v/>
      </c>
    </row>
    <row r="710" customFormat="false" ht="15" hidden="false" customHeight="false" outlineLevel="0" collapsed="false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9"/>
      <c r="L710" s="9"/>
      <c r="M710" s="9"/>
      <c r="N710" s="9"/>
      <c r="O710" s="9"/>
      <c r="P710" s="9"/>
      <c r="Q710" s="9"/>
      <c r="R710" s="9" t="str">
        <f aca="false">IF(AND(A710&lt;&gt;"",ISNUMBER(Q710),ISNUMBER(L710)),ROUND(Q710-IF(ISNUMBER(N710),N710,0)-IF(ISNUMBER(O710),O710,0)+IF(ISNUMBER(P710),P710,0),2),"")</f>
        <v/>
      </c>
      <c r="S710" s="9" t="str">
        <f aca="false">IF(R710="","",ROUND(L710-R710,2))</f>
        <v/>
      </c>
      <c r="T710" s="8" t="str">
        <f aca="false">IF(A710="","",IF(S710="","BYPASS",IF(ABS(S710)&lt;=Summary!$B$2,"PASS","FAIL")))</f>
        <v/>
      </c>
      <c r="U710" s="8" t="str">
        <f aca="false">IF(T710="BYPASS",IF(NOT(ISNUMBER(Q710)),"PreV_ETB missing","End_tr_balance missing"),IF(T710="FAIL",IF(AND(ISNUMBER(K710),ISNUMBER(L710),ABS(L710-(K710-IF(ISNUMBER(N710),N710,0)-IF(ISNUMBER(O710),O710,0)+IF(ISNUMBER(P710),P710,0)))&lt;=Summary!$B$2),"Passes using beginning_balance - PreV_ETB differs from beginning_balance",IF(AND(ISNUMBER(O710),O710&lt;0,ABS(L710-(Q710-IF(ISNUMBER(N710),N710,0)+IF(ISNUMBER(P710),P710,0)))&lt;=Summary!$B$2),"Negative realized loss not applied - check sign",IF(R710&lt;0,"Principal paid exceeds prior balance",IF(AND(L710&gt;Q710,NOT(ISNUMBER(P710))),"Balance increased but no Deferred_interest reported",IF(L710&gt;R710,"Reported balance higher than expected (missing increase/OC build)","Reported balance lower than expected (missing decrease)"))))),""))</f>
        <v/>
      </c>
    </row>
    <row r="711" customFormat="false" ht="15" hidden="false" customHeight="false" outlineLevel="0" collapsed="false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9"/>
      <c r="L711" s="9"/>
      <c r="M711" s="9"/>
      <c r="N711" s="9"/>
      <c r="O711" s="9"/>
      <c r="P711" s="9"/>
      <c r="Q711" s="9"/>
      <c r="R711" s="9" t="str">
        <f aca="false">IF(AND(A711&lt;&gt;"",ISNUMBER(Q711),ISNUMBER(L711)),ROUND(Q711-IF(ISNUMBER(N711),N711,0)-IF(ISNUMBER(O711),O711,0)+IF(ISNUMBER(P711),P711,0),2),"")</f>
        <v/>
      </c>
      <c r="S711" s="9" t="str">
        <f aca="false">IF(R711="","",ROUND(L711-R711,2))</f>
        <v/>
      </c>
      <c r="T711" s="8" t="str">
        <f aca="false">IF(A711="","",IF(S711="","BYPASS",IF(ABS(S711)&lt;=Summary!$B$2,"PASS","FAIL")))</f>
        <v/>
      </c>
      <c r="U711" s="8" t="str">
        <f aca="false">IF(T711="BYPASS",IF(NOT(ISNUMBER(Q711)),"PreV_ETB missing","End_tr_balance missing"),IF(T711="FAIL",IF(AND(ISNUMBER(K711),ISNUMBER(L711),ABS(L711-(K711-IF(ISNUMBER(N711),N711,0)-IF(ISNUMBER(O711),O711,0)+IF(ISNUMBER(P711),P711,0)))&lt;=Summary!$B$2),"Passes using beginning_balance - PreV_ETB differs from beginning_balance",IF(AND(ISNUMBER(O711),O711&lt;0,ABS(L711-(Q711-IF(ISNUMBER(N711),N711,0)+IF(ISNUMBER(P711),P711,0)))&lt;=Summary!$B$2),"Negative realized loss not applied - check sign",IF(R711&lt;0,"Principal paid exceeds prior balance",IF(AND(L711&gt;Q711,NOT(ISNUMBER(P711))),"Balance increased but no Deferred_interest reported",IF(L711&gt;R711,"Reported balance higher than expected (missing increase/OC build)","Reported balance lower than expected (missing decrease)"))))),""))</f>
        <v/>
      </c>
    </row>
    <row r="712" customFormat="false" ht="15" hidden="false" customHeight="false" outlineLevel="0" collapsed="false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9"/>
      <c r="L712" s="9"/>
      <c r="M712" s="9"/>
      <c r="N712" s="9"/>
      <c r="O712" s="9"/>
      <c r="P712" s="9"/>
      <c r="Q712" s="9"/>
      <c r="R712" s="9" t="str">
        <f aca="false">IF(AND(A712&lt;&gt;"",ISNUMBER(Q712),ISNUMBER(L712)),ROUND(Q712-IF(ISNUMBER(N712),N712,0)-IF(ISNUMBER(O712),O712,0)+IF(ISNUMBER(P712),P712,0),2),"")</f>
        <v/>
      </c>
      <c r="S712" s="9" t="str">
        <f aca="false">IF(R712="","",ROUND(L712-R712,2))</f>
        <v/>
      </c>
      <c r="T712" s="8" t="str">
        <f aca="false">IF(A712="","",IF(S712="","BYPASS",IF(ABS(S712)&lt;=Summary!$B$2,"PASS","FAIL")))</f>
        <v/>
      </c>
      <c r="U712" s="8" t="str">
        <f aca="false">IF(T712="BYPASS",IF(NOT(ISNUMBER(Q712)),"PreV_ETB missing","End_tr_balance missing"),IF(T712="FAIL",IF(AND(ISNUMBER(K712),ISNUMBER(L712),ABS(L712-(K712-IF(ISNUMBER(N712),N712,0)-IF(ISNUMBER(O712),O712,0)+IF(ISNUMBER(P712),P712,0)))&lt;=Summary!$B$2),"Passes using beginning_balance - PreV_ETB differs from beginning_balance",IF(AND(ISNUMBER(O712),O712&lt;0,ABS(L712-(Q712-IF(ISNUMBER(N712),N712,0)+IF(ISNUMBER(P712),P712,0)))&lt;=Summary!$B$2),"Negative realized loss not applied - check sign",IF(R712&lt;0,"Principal paid exceeds prior balance",IF(AND(L712&gt;Q712,NOT(ISNUMBER(P712))),"Balance increased but no Deferred_interest reported",IF(L712&gt;R712,"Reported balance higher than expected (missing increase/OC build)","Reported balance lower than expected (missing decrease)"))))),""))</f>
        <v/>
      </c>
    </row>
    <row r="713" customFormat="false" ht="15" hidden="false" customHeight="false" outlineLevel="0" collapsed="false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9"/>
      <c r="L713" s="9"/>
      <c r="M713" s="9"/>
      <c r="N713" s="9"/>
      <c r="O713" s="9"/>
      <c r="P713" s="9"/>
      <c r="Q713" s="9"/>
      <c r="R713" s="9" t="str">
        <f aca="false">IF(AND(A713&lt;&gt;"",ISNUMBER(Q713),ISNUMBER(L713)),ROUND(Q713-IF(ISNUMBER(N713),N713,0)-IF(ISNUMBER(O713),O713,0)+IF(ISNUMBER(P713),P713,0),2),"")</f>
        <v/>
      </c>
      <c r="S713" s="9" t="str">
        <f aca="false">IF(R713="","",ROUND(L713-R713,2))</f>
        <v/>
      </c>
      <c r="T713" s="8" t="str">
        <f aca="false">IF(A713="","",IF(S713="","BYPASS",IF(ABS(S713)&lt;=Summary!$B$2,"PASS","FAIL")))</f>
        <v/>
      </c>
      <c r="U713" s="8" t="str">
        <f aca="false">IF(T713="BYPASS",IF(NOT(ISNUMBER(Q713)),"PreV_ETB missing","End_tr_balance missing"),IF(T713="FAIL",IF(AND(ISNUMBER(K713),ISNUMBER(L713),ABS(L713-(K713-IF(ISNUMBER(N713),N713,0)-IF(ISNUMBER(O713),O713,0)+IF(ISNUMBER(P713),P713,0)))&lt;=Summary!$B$2),"Passes using beginning_balance - PreV_ETB differs from beginning_balance",IF(AND(ISNUMBER(O713),O713&lt;0,ABS(L713-(Q713-IF(ISNUMBER(N713),N713,0)+IF(ISNUMBER(P713),P713,0)))&lt;=Summary!$B$2),"Negative realized loss not applied - check sign",IF(R713&lt;0,"Principal paid exceeds prior balance",IF(AND(L713&gt;Q713,NOT(ISNUMBER(P713))),"Balance increased but no Deferred_interest reported",IF(L713&gt;R713,"Reported balance higher than expected (missing increase/OC build)","Reported balance lower than expected (missing decrease)"))))),""))</f>
        <v/>
      </c>
    </row>
    <row r="714" customFormat="false" ht="15" hidden="false" customHeight="false" outlineLevel="0" collapsed="false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9"/>
      <c r="L714" s="9"/>
      <c r="M714" s="9"/>
      <c r="N714" s="9"/>
      <c r="O714" s="9"/>
      <c r="P714" s="9"/>
      <c r="Q714" s="9"/>
      <c r="R714" s="9" t="str">
        <f aca="false">IF(AND(A714&lt;&gt;"",ISNUMBER(Q714),ISNUMBER(L714)),ROUND(Q714-IF(ISNUMBER(N714),N714,0)-IF(ISNUMBER(O714),O714,0)+IF(ISNUMBER(P714),P714,0),2),"")</f>
        <v/>
      </c>
      <c r="S714" s="9" t="str">
        <f aca="false">IF(R714="","",ROUND(L714-R714,2))</f>
        <v/>
      </c>
      <c r="T714" s="8" t="str">
        <f aca="false">IF(A714="","",IF(S714="","BYPASS",IF(ABS(S714)&lt;=Summary!$B$2,"PASS","FAIL")))</f>
        <v/>
      </c>
      <c r="U714" s="8" t="str">
        <f aca="false">IF(T714="BYPASS",IF(NOT(ISNUMBER(Q714)),"PreV_ETB missing","End_tr_balance missing"),IF(T714="FAIL",IF(AND(ISNUMBER(K714),ISNUMBER(L714),ABS(L714-(K714-IF(ISNUMBER(N714),N714,0)-IF(ISNUMBER(O714),O714,0)+IF(ISNUMBER(P714),P714,0)))&lt;=Summary!$B$2),"Passes using beginning_balance - PreV_ETB differs from beginning_balance",IF(AND(ISNUMBER(O714),O714&lt;0,ABS(L714-(Q714-IF(ISNUMBER(N714),N714,0)+IF(ISNUMBER(P714),P714,0)))&lt;=Summary!$B$2),"Negative realized loss not applied - check sign",IF(R714&lt;0,"Principal paid exceeds prior balance",IF(AND(L714&gt;Q714,NOT(ISNUMBER(P714))),"Balance increased but no Deferred_interest reported",IF(L714&gt;R714,"Reported balance higher than expected (missing increase/OC build)","Reported balance lower than expected (missing decrease)"))))),""))</f>
        <v/>
      </c>
    </row>
    <row r="715" customFormat="false" ht="15" hidden="false" customHeight="false" outlineLevel="0" collapsed="false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9"/>
      <c r="L715" s="9"/>
      <c r="M715" s="9"/>
      <c r="N715" s="9"/>
      <c r="O715" s="9"/>
      <c r="P715" s="9"/>
      <c r="Q715" s="9"/>
      <c r="R715" s="9" t="str">
        <f aca="false">IF(AND(A715&lt;&gt;"",ISNUMBER(Q715),ISNUMBER(L715)),ROUND(Q715-IF(ISNUMBER(N715),N715,0)-IF(ISNUMBER(O715),O715,0)+IF(ISNUMBER(P715),P715,0),2),"")</f>
        <v/>
      </c>
      <c r="S715" s="9" t="str">
        <f aca="false">IF(R715="","",ROUND(L715-R715,2))</f>
        <v/>
      </c>
      <c r="T715" s="8" t="str">
        <f aca="false">IF(A715="","",IF(S715="","BYPASS",IF(ABS(S715)&lt;=Summary!$B$2,"PASS","FAIL")))</f>
        <v/>
      </c>
      <c r="U715" s="8" t="str">
        <f aca="false">IF(T715="BYPASS",IF(NOT(ISNUMBER(Q715)),"PreV_ETB missing","End_tr_balance missing"),IF(T715="FAIL",IF(AND(ISNUMBER(K715),ISNUMBER(L715),ABS(L715-(K715-IF(ISNUMBER(N715),N715,0)-IF(ISNUMBER(O715),O715,0)+IF(ISNUMBER(P715),P715,0)))&lt;=Summary!$B$2),"Passes using beginning_balance - PreV_ETB differs from beginning_balance",IF(AND(ISNUMBER(O715),O715&lt;0,ABS(L715-(Q715-IF(ISNUMBER(N715),N715,0)+IF(ISNUMBER(P715),P715,0)))&lt;=Summary!$B$2),"Negative realized loss not applied - check sign",IF(R715&lt;0,"Principal paid exceeds prior balance",IF(AND(L715&gt;Q715,NOT(ISNUMBER(P715))),"Balance increased but no Deferred_interest reported",IF(L715&gt;R715,"Reported balance higher than expected (missing increase/OC build)","Reported balance lower than expected (missing decrease)"))))),""))</f>
        <v/>
      </c>
    </row>
    <row r="716" customFormat="false" ht="15" hidden="false" customHeight="false" outlineLevel="0" collapsed="false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9"/>
      <c r="L716" s="9"/>
      <c r="M716" s="9"/>
      <c r="N716" s="9"/>
      <c r="O716" s="9"/>
      <c r="P716" s="9"/>
      <c r="Q716" s="9"/>
      <c r="R716" s="9" t="str">
        <f aca="false">IF(AND(A716&lt;&gt;"",ISNUMBER(Q716),ISNUMBER(L716)),ROUND(Q716-IF(ISNUMBER(N716),N716,0)-IF(ISNUMBER(O716),O716,0)+IF(ISNUMBER(P716),P716,0),2),"")</f>
        <v/>
      </c>
      <c r="S716" s="9" t="str">
        <f aca="false">IF(R716="","",ROUND(L716-R716,2))</f>
        <v/>
      </c>
      <c r="T716" s="8" t="str">
        <f aca="false">IF(A716="","",IF(S716="","BYPASS",IF(ABS(S716)&lt;=Summary!$B$2,"PASS","FAIL")))</f>
        <v/>
      </c>
      <c r="U716" s="8" t="str">
        <f aca="false">IF(T716="BYPASS",IF(NOT(ISNUMBER(Q716)),"PreV_ETB missing","End_tr_balance missing"),IF(T716="FAIL",IF(AND(ISNUMBER(K716),ISNUMBER(L716),ABS(L716-(K716-IF(ISNUMBER(N716),N716,0)-IF(ISNUMBER(O716),O716,0)+IF(ISNUMBER(P716),P716,0)))&lt;=Summary!$B$2),"Passes using beginning_balance - PreV_ETB differs from beginning_balance",IF(AND(ISNUMBER(O716),O716&lt;0,ABS(L716-(Q716-IF(ISNUMBER(N716),N716,0)+IF(ISNUMBER(P716),P716,0)))&lt;=Summary!$B$2),"Negative realized loss not applied - check sign",IF(R716&lt;0,"Principal paid exceeds prior balance",IF(AND(L716&gt;Q716,NOT(ISNUMBER(P716))),"Balance increased but no Deferred_interest reported",IF(L716&gt;R716,"Reported balance higher than expected (missing increase/OC build)","Reported balance lower than expected (missing decrease)"))))),""))</f>
        <v/>
      </c>
    </row>
    <row r="717" customFormat="false" ht="15" hidden="false" customHeight="false" outlineLevel="0" collapsed="false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9"/>
      <c r="L717" s="9"/>
      <c r="M717" s="9"/>
      <c r="N717" s="9"/>
      <c r="O717" s="9"/>
      <c r="P717" s="9"/>
      <c r="Q717" s="9"/>
      <c r="R717" s="9" t="str">
        <f aca="false">IF(AND(A717&lt;&gt;"",ISNUMBER(Q717),ISNUMBER(L717)),ROUND(Q717-IF(ISNUMBER(N717),N717,0)-IF(ISNUMBER(O717),O717,0)+IF(ISNUMBER(P717),P717,0),2),"")</f>
        <v/>
      </c>
      <c r="S717" s="9" t="str">
        <f aca="false">IF(R717="","",ROUND(L717-R717,2))</f>
        <v/>
      </c>
      <c r="T717" s="8" t="str">
        <f aca="false">IF(A717="","",IF(S717="","BYPASS",IF(ABS(S717)&lt;=Summary!$B$2,"PASS","FAIL")))</f>
        <v/>
      </c>
      <c r="U717" s="8" t="str">
        <f aca="false">IF(T717="BYPASS",IF(NOT(ISNUMBER(Q717)),"PreV_ETB missing","End_tr_balance missing"),IF(T717="FAIL",IF(AND(ISNUMBER(K717),ISNUMBER(L717),ABS(L717-(K717-IF(ISNUMBER(N717),N717,0)-IF(ISNUMBER(O717),O717,0)+IF(ISNUMBER(P717),P717,0)))&lt;=Summary!$B$2),"Passes using beginning_balance - PreV_ETB differs from beginning_balance",IF(AND(ISNUMBER(O717),O717&lt;0,ABS(L717-(Q717-IF(ISNUMBER(N717),N717,0)+IF(ISNUMBER(P717),P717,0)))&lt;=Summary!$B$2),"Negative realized loss not applied - check sign",IF(R717&lt;0,"Principal paid exceeds prior balance",IF(AND(L717&gt;Q717,NOT(ISNUMBER(P717))),"Balance increased but no Deferred_interest reported",IF(L717&gt;R717,"Reported balance higher than expected (missing increase/OC build)","Reported balance lower than expected (missing decrease)"))))),""))</f>
        <v/>
      </c>
    </row>
    <row r="718" customFormat="false" ht="15" hidden="false" customHeight="false" outlineLevel="0" collapsed="false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9"/>
      <c r="L718" s="9"/>
      <c r="M718" s="9"/>
      <c r="N718" s="9"/>
      <c r="O718" s="9"/>
      <c r="P718" s="9"/>
      <c r="Q718" s="9"/>
      <c r="R718" s="9" t="str">
        <f aca="false">IF(AND(A718&lt;&gt;"",ISNUMBER(Q718),ISNUMBER(L718)),ROUND(Q718-IF(ISNUMBER(N718),N718,0)-IF(ISNUMBER(O718),O718,0)+IF(ISNUMBER(P718),P718,0),2),"")</f>
        <v/>
      </c>
      <c r="S718" s="9" t="str">
        <f aca="false">IF(R718="","",ROUND(L718-R718,2))</f>
        <v/>
      </c>
      <c r="T718" s="8" t="str">
        <f aca="false">IF(A718="","",IF(S718="","BYPASS",IF(ABS(S718)&lt;=Summary!$B$2,"PASS","FAIL")))</f>
        <v/>
      </c>
      <c r="U718" s="8" t="str">
        <f aca="false">IF(T718="BYPASS",IF(NOT(ISNUMBER(Q718)),"PreV_ETB missing","End_tr_balance missing"),IF(T718="FAIL",IF(AND(ISNUMBER(K718),ISNUMBER(L718),ABS(L718-(K718-IF(ISNUMBER(N718),N718,0)-IF(ISNUMBER(O718),O718,0)+IF(ISNUMBER(P718),P718,0)))&lt;=Summary!$B$2),"Passes using beginning_balance - PreV_ETB differs from beginning_balance",IF(AND(ISNUMBER(O718),O718&lt;0,ABS(L718-(Q718-IF(ISNUMBER(N718),N718,0)+IF(ISNUMBER(P718),P718,0)))&lt;=Summary!$B$2),"Negative realized loss not applied - check sign",IF(R718&lt;0,"Principal paid exceeds prior balance",IF(AND(L718&gt;Q718,NOT(ISNUMBER(P718))),"Balance increased but no Deferred_interest reported",IF(L718&gt;R718,"Reported balance higher than expected (missing increase/OC build)","Reported balance lower than expected (missing decrease)"))))),""))</f>
        <v/>
      </c>
    </row>
    <row r="719" customFormat="false" ht="15" hidden="false" customHeight="false" outlineLevel="0" collapsed="false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9"/>
      <c r="L719" s="9"/>
      <c r="M719" s="9"/>
      <c r="N719" s="9"/>
      <c r="O719" s="9"/>
      <c r="P719" s="9"/>
      <c r="Q719" s="9"/>
      <c r="R719" s="9" t="str">
        <f aca="false">IF(AND(A719&lt;&gt;"",ISNUMBER(Q719),ISNUMBER(L719)),ROUND(Q719-IF(ISNUMBER(N719),N719,0)-IF(ISNUMBER(O719),O719,0)+IF(ISNUMBER(P719),P719,0),2),"")</f>
        <v/>
      </c>
      <c r="S719" s="9" t="str">
        <f aca="false">IF(R719="","",ROUND(L719-R719,2))</f>
        <v/>
      </c>
      <c r="T719" s="8" t="str">
        <f aca="false">IF(A719="","",IF(S719="","BYPASS",IF(ABS(S719)&lt;=Summary!$B$2,"PASS","FAIL")))</f>
        <v/>
      </c>
      <c r="U719" s="8" t="str">
        <f aca="false">IF(T719="BYPASS",IF(NOT(ISNUMBER(Q719)),"PreV_ETB missing","End_tr_balance missing"),IF(T719="FAIL",IF(AND(ISNUMBER(K719),ISNUMBER(L719),ABS(L719-(K719-IF(ISNUMBER(N719),N719,0)-IF(ISNUMBER(O719),O719,0)+IF(ISNUMBER(P719),P719,0)))&lt;=Summary!$B$2),"Passes using beginning_balance - PreV_ETB differs from beginning_balance",IF(AND(ISNUMBER(O719),O719&lt;0,ABS(L719-(Q719-IF(ISNUMBER(N719),N719,0)+IF(ISNUMBER(P719),P719,0)))&lt;=Summary!$B$2),"Negative realized loss not applied - check sign",IF(R719&lt;0,"Principal paid exceeds prior balance",IF(AND(L719&gt;Q719,NOT(ISNUMBER(P719))),"Balance increased but no Deferred_interest reported",IF(L719&gt;R719,"Reported balance higher than expected (missing increase/OC build)","Reported balance lower than expected (missing decrease)"))))),""))</f>
        <v/>
      </c>
    </row>
    <row r="720" customFormat="false" ht="15" hidden="false" customHeight="false" outlineLevel="0" collapsed="false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9"/>
      <c r="L720" s="9"/>
      <c r="M720" s="9"/>
      <c r="N720" s="9"/>
      <c r="O720" s="9"/>
      <c r="P720" s="9"/>
      <c r="Q720" s="9"/>
      <c r="R720" s="9" t="str">
        <f aca="false">IF(AND(A720&lt;&gt;"",ISNUMBER(Q720),ISNUMBER(L720)),ROUND(Q720-IF(ISNUMBER(N720),N720,0)-IF(ISNUMBER(O720),O720,0)+IF(ISNUMBER(P720),P720,0),2),"")</f>
        <v/>
      </c>
      <c r="S720" s="9" t="str">
        <f aca="false">IF(R720="","",ROUND(L720-R720,2))</f>
        <v/>
      </c>
      <c r="T720" s="8" t="str">
        <f aca="false">IF(A720="","",IF(S720="","BYPASS",IF(ABS(S720)&lt;=Summary!$B$2,"PASS","FAIL")))</f>
        <v/>
      </c>
      <c r="U720" s="8" t="str">
        <f aca="false">IF(T720="BYPASS",IF(NOT(ISNUMBER(Q720)),"PreV_ETB missing","End_tr_balance missing"),IF(T720="FAIL",IF(AND(ISNUMBER(K720),ISNUMBER(L720),ABS(L720-(K720-IF(ISNUMBER(N720),N720,0)-IF(ISNUMBER(O720),O720,0)+IF(ISNUMBER(P720),P720,0)))&lt;=Summary!$B$2),"Passes using beginning_balance - PreV_ETB differs from beginning_balance",IF(AND(ISNUMBER(O720),O720&lt;0,ABS(L720-(Q720-IF(ISNUMBER(N720),N720,0)+IF(ISNUMBER(P720),P720,0)))&lt;=Summary!$B$2),"Negative realized loss not applied - check sign",IF(R720&lt;0,"Principal paid exceeds prior balance",IF(AND(L720&gt;Q720,NOT(ISNUMBER(P720))),"Balance increased but no Deferred_interest reported",IF(L720&gt;R720,"Reported balance higher than expected (missing increase/OC build)","Reported balance lower than expected (missing decrease)"))))),""))</f>
        <v/>
      </c>
    </row>
    <row r="721" customFormat="false" ht="15" hidden="false" customHeight="false" outlineLevel="0" collapsed="false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9"/>
      <c r="L721" s="9"/>
      <c r="M721" s="9"/>
      <c r="N721" s="9"/>
      <c r="O721" s="9"/>
      <c r="P721" s="9"/>
      <c r="Q721" s="9"/>
      <c r="R721" s="9" t="str">
        <f aca="false">IF(AND(A721&lt;&gt;"",ISNUMBER(Q721),ISNUMBER(L721)),ROUND(Q721-IF(ISNUMBER(N721),N721,0)-IF(ISNUMBER(O721),O721,0)+IF(ISNUMBER(P721),P721,0),2),"")</f>
        <v/>
      </c>
      <c r="S721" s="9" t="str">
        <f aca="false">IF(R721="","",ROUND(L721-R721,2))</f>
        <v/>
      </c>
      <c r="T721" s="8" t="str">
        <f aca="false">IF(A721="","",IF(S721="","BYPASS",IF(ABS(S721)&lt;=Summary!$B$2,"PASS","FAIL")))</f>
        <v/>
      </c>
      <c r="U721" s="8" t="str">
        <f aca="false">IF(T721="BYPASS",IF(NOT(ISNUMBER(Q721)),"PreV_ETB missing","End_tr_balance missing"),IF(T721="FAIL",IF(AND(ISNUMBER(K721),ISNUMBER(L721),ABS(L721-(K721-IF(ISNUMBER(N721),N721,0)-IF(ISNUMBER(O721),O721,0)+IF(ISNUMBER(P721),P721,0)))&lt;=Summary!$B$2),"Passes using beginning_balance - PreV_ETB differs from beginning_balance",IF(AND(ISNUMBER(O721),O721&lt;0,ABS(L721-(Q721-IF(ISNUMBER(N721),N721,0)+IF(ISNUMBER(P721),P721,0)))&lt;=Summary!$B$2),"Negative realized loss not applied - check sign",IF(R721&lt;0,"Principal paid exceeds prior balance",IF(AND(L721&gt;Q721,NOT(ISNUMBER(P721))),"Balance increased but no Deferred_interest reported",IF(L721&gt;R721,"Reported balance higher than expected (missing increase/OC build)","Reported balance lower than expected (missing decrease)"))))),""))</f>
        <v/>
      </c>
    </row>
    <row r="722" customFormat="false" ht="15" hidden="false" customHeight="false" outlineLevel="0" collapsed="false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9"/>
      <c r="L722" s="9"/>
      <c r="M722" s="9"/>
      <c r="N722" s="9"/>
      <c r="O722" s="9"/>
      <c r="P722" s="9"/>
      <c r="Q722" s="9"/>
      <c r="R722" s="9" t="str">
        <f aca="false">IF(AND(A722&lt;&gt;"",ISNUMBER(Q722),ISNUMBER(L722)),ROUND(Q722-IF(ISNUMBER(N722),N722,0)-IF(ISNUMBER(O722),O722,0)+IF(ISNUMBER(P722),P722,0),2),"")</f>
        <v/>
      </c>
      <c r="S722" s="9" t="str">
        <f aca="false">IF(R722="","",ROUND(L722-R722,2))</f>
        <v/>
      </c>
      <c r="T722" s="8" t="str">
        <f aca="false">IF(A722="","",IF(S722="","BYPASS",IF(ABS(S722)&lt;=Summary!$B$2,"PASS","FAIL")))</f>
        <v/>
      </c>
      <c r="U722" s="8" t="str">
        <f aca="false">IF(T722="BYPASS",IF(NOT(ISNUMBER(Q722)),"PreV_ETB missing","End_tr_balance missing"),IF(T722="FAIL",IF(AND(ISNUMBER(K722),ISNUMBER(L722),ABS(L722-(K722-IF(ISNUMBER(N722),N722,0)-IF(ISNUMBER(O722),O722,0)+IF(ISNUMBER(P722),P722,0)))&lt;=Summary!$B$2),"Passes using beginning_balance - PreV_ETB differs from beginning_balance",IF(AND(ISNUMBER(O722),O722&lt;0,ABS(L722-(Q722-IF(ISNUMBER(N722),N722,0)+IF(ISNUMBER(P722),P722,0)))&lt;=Summary!$B$2),"Negative realized loss not applied - check sign",IF(R722&lt;0,"Principal paid exceeds prior balance",IF(AND(L722&gt;Q722,NOT(ISNUMBER(P722))),"Balance increased but no Deferred_interest reported",IF(L722&gt;R722,"Reported balance higher than expected (missing increase/OC build)","Reported balance lower than expected (missing decrease)"))))),""))</f>
        <v/>
      </c>
    </row>
    <row r="723" customFormat="false" ht="15" hidden="false" customHeight="false" outlineLevel="0" collapsed="false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9"/>
      <c r="L723" s="9"/>
      <c r="M723" s="9"/>
      <c r="N723" s="9"/>
      <c r="O723" s="9"/>
      <c r="P723" s="9"/>
      <c r="Q723" s="9"/>
      <c r="R723" s="9" t="str">
        <f aca="false">IF(AND(A723&lt;&gt;"",ISNUMBER(Q723),ISNUMBER(L723)),ROUND(Q723-IF(ISNUMBER(N723),N723,0)-IF(ISNUMBER(O723),O723,0)+IF(ISNUMBER(P723),P723,0),2),"")</f>
        <v/>
      </c>
      <c r="S723" s="9" t="str">
        <f aca="false">IF(R723="","",ROUND(L723-R723,2))</f>
        <v/>
      </c>
      <c r="T723" s="8" t="str">
        <f aca="false">IF(A723="","",IF(S723="","BYPASS",IF(ABS(S723)&lt;=Summary!$B$2,"PASS","FAIL")))</f>
        <v/>
      </c>
      <c r="U723" s="8" t="str">
        <f aca="false">IF(T723="BYPASS",IF(NOT(ISNUMBER(Q723)),"PreV_ETB missing","End_tr_balance missing"),IF(T723="FAIL",IF(AND(ISNUMBER(K723),ISNUMBER(L723),ABS(L723-(K723-IF(ISNUMBER(N723),N723,0)-IF(ISNUMBER(O723),O723,0)+IF(ISNUMBER(P723),P723,0)))&lt;=Summary!$B$2),"Passes using beginning_balance - PreV_ETB differs from beginning_balance",IF(AND(ISNUMBER(O723),O723&lt;0,ABS(L723-(Q723-IF(ISNUMBER(N723),N723,0)+IF(ISNUMBER(P723),P723,0)))&lt;=Summary!$B$2),"Negative realized loss not applied - check sign",IF(R723&lt;0,"Principal paid exceeds prior balance",IF(AND(L723&gt;Q723,NOT(ISNUMBER(P723))),"Balance increased but no Deferred_interest reported",IF(L723&gt;R723,"Reported balance higher than expected (missing increase/OC build)","Reported balance lower than expected (missing decrease)"))))),""))</f>
        <v/>
      </c>
    </row>
    <row r="724" customFormat="false" ht="15" hidden="false" customHeight="false" outlineLevel="0" collapsed="false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9"/>
      <c r="L724" s="9"/>
      <c r="M724" s="9"/>
      <c r="N724" s="9"/>
      <c r="O724" s="9"/>
      <c r="P724" s="9"/>
      <c r="Q724" s="9"/>
      <c r="R724" s="9" t="str">
        <f aca="false">IF(AND(A724&lt;&gt;"",ISNUMBER(Q724),ISNUMBER(L724)),ROUND(Q724-IF(ISNUMBER(N724),N724,0)-IF(ISNUMBER(O724),O724,0)+IF(ISNUMBER(P724),P724,0),2),"")</f>
        <v/>
      </c>
      <c r="S724" s="9" t="str">
        <f aca="false">IF(R724="","",ROUND(L724-R724,2))</f>
        <v/>
      </c>
      <c r="T724" s="8" t="str">
        <f aca="false">IF(A724="","",IF(S724="","BYPASS",IF(ABS(S724)&lt;=Summary!$B$2,"PASS","FAIL")))</f>
        <v/>
      </c>
      <c r="U724" s="8" t="str">
        <f aca="false">IF(T724="BYPASS",IF(NOT(ISNUMBER(Q724)),"PreV_ETB missing","End_tr_balance missing"),IF(T724="FAIL",IF(AND(ISNUMBER(K724),ISNUMBER(L724),ABS(L724-(K724-IF(ISNUMBER(N724),N724,0)-IF(ISNUMBER(O724),O724,0)+IF(ISNUMBER(P724),P724,0)))&lt;=Summary!$B$2),"Passes using beginning_balance - PreV_ETB differs from beginning_balance",IF(AND(ISNUMBER(O724),O724&lt;0,ABS(L724-(Q724-IF(ISNUMBER(N724),N724,0)+IF(ISNUMBER(P724),P724,0)))&lt;=Summary!$B$2),"Negative realized loss not applied - check sign",IF(R724&lt;0,"Principal paid exceeds prior balance",IF(AND(L724&gt;Q724,NOT(ISNUMBER(P724))),"Balance increased but no Deferred_interest reported",IF(L724&gt;R724,"Reported balance higher than expected (missing increase/OC build)","Reported balance lower than expected (missing decrease)"))))),""))</f>
        <v/>
      </c>
    </row>
    <row r="725" customFormat="false" ht="15" hidden="false" customHeight="false" outlineLevel="0" collapsed="false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9"/>
      <c r="L725" s="9"/>
      <c r="M725" s="9"/>
      <c r="N725" s="9"/>
      <c r="O725" s="9"/>
      <c r="P725" s="9"/>
      <c r="Q725" s="9"/>
      <c r="R725" s="9" t="str">
        <f aca="false">IF(AND(A725&lt;&gt;"",ISNUMBER(Q725),ISNUMBER(L725)),ROUND(Q725-IF(ISNUMBER(N725),N725,0)-IF(ISNUMBER(O725),O725,0)+IF(ISNUMBER(P725),P725,0),2),"")</f>
        <v/>
      </c>
      <c r="S725" s="9" t="str">
        <f aca="false">IF(R725="","",ROUND(L725-R725,2))</f>
        <v/>
      </c>
      <c r="T725" s="8" t="str">
        <f aca="false">IF(A725="","",IF(S725="","BYPASS",IF(ABS(S725)&lt;=Summary!$B$2,"PASS","FAIL")))</f>
        <v/>
      </c>
      <c r="U725" s="8" t="str">
        <f aca="false">IF(T725="BYPASS",IF(NOT(ISNUMBER(Q725)),"PreV_ETB missing","End_tr_balance missing"),IF(T725="FAIL",IF(AND(ISNUMBER(K725),ISNUMBER(L725),ABS(L725-(K725-IF(ISNUMBER(N725),N725,0)-IF(ISNUMBER(O725),O725,0)+IF(ISNUMBER(P725),P725,0)))&lt;=Summary!$B$2),"Passes using beginning_balance - PreV_ETB differs from beginning_balance",IF(AND(ISNUMBER(O725),O725&lt;0,ABS(L725-(Q725-IF(ISNUMBER(N725),N725,0)+IF(ISNUMBER(P725),P725,0)))&lt;=Summary!$B$2),"Negative realized loss not applied - check sign",IF(R725&lt;0,"Principal paid exceeds prior balance",IF(AND(L725&gt;Q725,NOT(ISNUMBER(P725))),"Balance increased but no Deferred_interest reported",IF(L725&gt;R725,"Reported balance higher than expected (missing increase/OC build)","Reported balance lower than expected (missing decrease)"))))),""))</f>
        <v/>
      </c>
    </row>
    <row r="726" customFormat="false" ht="15" hidden="false" customHeight="false" outlineLevel="0" collapsed="false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9"/>
      <c r="L726" s="9"/>
      <c r="M726" s="9"/>
      <c r="N726" s="9"/>
      <c r="O726" s="9"/>
      <c r="P726" s="9"/>
      <c r="Q726" s="9"/>
      <c r="R726" s="9" t="str">
        <f aca="false">IF(AND(A726&lt;&gt;"",ISNUMBER(Q726),ISNUMBER(L726)),ROUND(Q726-IF(ISNUMBER(N726),N726,0)-IF(ISNUMBER(O726),O726,0)+IF(ISNUMBER(P726),P726,0),2),"")</f>
        <v/>
      </c>
      <c r="S726" s="9" t="str">
        <f aca="false">IF(R726="","",ROUND(L726-R726,2))</f>
        <v/>
      </c>
      <c r="T726" s="8" t="str">
        <f aca="false">IF(A726="","",IF(S726="","BYPASS",IF(ABS(S726)&lt;=Summary!$B$2,"PASS","FAIL")))</f>
        <v/>
      </c>
      <c r="U726" s="8" t="str">
        <f aca="false">IF(T726="BYPASS",IF(NOT(ISNUMBER(Q726)),"PreV_ETB missing","End_tr_balance missing"),IF(T726="FAIL",IF(AND(ISNUMBER(K726),ISNUMBER(L726),ABS(L726-(K726-IF(ISNUMBER(N726),N726,0)-IF(ISNUMBER(O726),O726,0)+IF(ISNUMBER(P726),P726,0)))&lt;=Summary!$B$2),"Passes using beginning_balance - PreV_ETB differs from beginning_balance",IF(AND(ISNUMBER(O726),O726&lt;0,ABS(L726-(Q726-IF(ISNUMBER(N726),N726,0)+IF(ISNUMBER(P726),P726,0)))&lt;=Summary!$B$2),"Negative realized loss not applied - check sign",IF(R726&lt;0,"Principal paid exceeds prior balance",IF(AND(L726&gt;Q726,NOT(ISNUMBER(P726))),"Balance increased but no Deferred_interest reported",IF(L726&gt;R726,"Reported balance higher than expected (missing increase/OC build)","Reported balance lower than expected (missing decrease)"))))),""))</f>
        <v/>
      </c>
    </row>
    <row r="727" customFormat="false" ht="15" hidden="false" customHeight="false" outlineLevel="0" collapsed="false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9"/>
      <c r="L727" s="9"/>
      <c r="M727" s="9"/>
      <c r="N727" s="9"/>
      <c r="O727" s="9"/>
      <c r="P727" s="9"/>
      <c r="Q727" s="9"/>
      <c r="R727" s="9" t="str">
        <f aca="false">IF(AND(A727&lt;&gt;"",ISNUMBER(Q727),ISNUMBER(L727)),ROUND(Q727-IF(ISNUMBER(N727),N727,0)-IF(ISNUMBER(O727),O727,0)+IF(ISNUMBER(P727),P727,0),2),"")</f>
        <v/>
      </c>
      <c r="S727" s="9" t="str">
        <f aca="false">IF(R727="","",ROUND(L727-R727,2))</f>
        <v/>
      </c>
      <c r="T727" s="8" t="str">
        <f aca="false">IF(A727="","",IF(S727="","BYPASS",IF(ABS(S727)&lt;=Summary!$B$2,"PASS","FAIL")))</f>
        <v/>
      </c>
      <c r="U727" s="8" t="str">
        <f aca="false">IF(T727="BYPASS",IF(NOT(ISNUMBER(Q727)),"PreV_ETB missing","End_tr_balance missing"),IF(T727="FAIL",IF(AND(ISNUMBER(K727),ISNUMBER(L727),ABS(L727-(K727-IF(ISNUMBER(N727),N727,0)-IF(ISNUMBER(O727),O727,0)+IF(ISNUMBER(P727),P727,0)))&lt;=Summary!$B$2),"Passes using beginning_balance - PreV_ETB differs from beginning_balance",IF(AND(ISNUMBER(O727),O727&lt;0,ABS(L727-(Q727-IF(ISNUMBER(N727),N727,0)+IF(ISNUMBER(P727),P727,0)))&lt;=Summary!$B$2),"Negative realized loss not applied - check sign",IF(R727&lt;0,"Principal paid exceeds prior balance",IF(AND(L727&gt;Q727,NOT(ISNUMBER(P727))),"Balance increased but no Deferred_interest reported",IF(L727&gt;R727,"Reported balance higher than expected (missing increase/OC build)","Reported balance lower than expected (missing decrease)"))))),""))</f>
        <v/>
      </c>
    </row>
    <row r="728" customFormat="false" ht="15" hidden="false" customHeight="false" outlineLevel="0" collapsed="false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9"/>
      <c r="L728" s="9"/>
      <c r="M728" s="9"/>
      <c r="N728" s="9"/>
      <c r="O728" s="9"/>
      <c r="P728" s="9"/>
      <c r="Q728" s="9"/>
      <c r="R728" s="9" t="str">
        <f aca="false">IF(AND(A728&lt;&gt;"",ISNUMBER(Q728),ISNUMBER(L728)),ROUND(Q728-IF(ISNUMBER(N728),N728,0)-IF(ISNUMBER(O728),O728,0)+IF(ISNUMBER(P728),P728,0),2),"")</f>
        <v/>
      </c>
      <c r="S728" s="9" t="str">
        <f aca="false">IF(R728="","",ROUND(L728-R728,2))</f>
        <v/>
      </c>
      <c r="T728" s="8" t="str">
        <f aca="false">IF(A728="","",IF(S728="","BYPASS",IF(ABS(S728)&lt;=Summary!$B$2,"PASS","FAIL")))</f>
        <v/>
      </c>
      <c r="U728" s="8" t="str">
        <f aca="false">IF(T728="BYPASS",IF(NOT(ISNUMBER(Q728)),"PreV_ETB missing","End_tr_balance missing"),IF(T728="FAIL",IF(AND(ISNUMBER(K728),ISNUMBER(L728),ABS(L728-(K728-IF(ISNUMBER(N728),N728,0)-IF(ISNUMBER(O728),O728,0)+IF(ISNUMBER(P728),P728,0)))&lt;=Summary!$B$2),"Passes using beginning_balance - PreV_ETB differs from beginning_balance",IF(AND(ISNUMBER(O728),O728&lt;0,ABS(L728-(Q728-IF(ISNUMBER(N728),N728,0)+IF(ISNUMBER(P728),P728,0)))&lt;=Summary!$B$2),"Negative realized loss not applied - check sign",IF(R728&lt;0,"Principal paid exceeds prior balance",IF(AND(L728&gt;Q728,NOT(ISNUMBER(P728))),"Balance increased but no Deferred_interest reported",IF(L728&gt;R728,"Reported balance higher than expected (missing increase/OC build)","Reported balance lower than expected (missing decrease)"))))),""))</f>
        <v/>
      </c>
    </row>
    <row r="729" customFormat="false" ht="15" hidden="false" customHeight="false" outlineLevel="0" collapsed="false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9"/>
      <c r="L729" s="9"/>
      <c r="M729" s="9"/>
      <c r="N729" s="9"/>
      <c r="O729" s="9"/>
      <c r="P729" s="9"/>
      <c r="Q729" s="9"/>
      <c r="R729" s="9" t="str">
        <f aca="false">IF(AND(A729&lt;&gt;"",ISNUMBER(Q729),ISNUMBER(L729)),ROUND(Q729-IF(ISNUMBER(N729),N729,0)-IF(ISNUMBER(O729),O729,0)+IF(ISNUMBER(P729),P729,0),2),"")</f>
        <v/>
      </c>
      <c r="S729" s="9" t="str">
        <f aca="false">IF(R729="","",ROUND(L729-R729,2))</f>
        <v/>
      </c>
      <c r="T729" s="8" t="str">
        <f aca="false">IF(A729="","",IF(S729="","BYPASS",IF(ABS(S729)&lt;=Summary!$B$2,"PASS","FAIL")))</f>
        <v/>
      </c>
      <c r="U729" s="8" t="str">
        <f aca="false">IF(T729="BYPASS",IF(NOT(ISNUMBER(Q729)),"PreV_ETB missing","End_tr_balance missing"),IF(T729="FAIL",IF(AND(ISNUMBER(K729),ISNUMBER(L729),ABS(L729-(K729-IF(ISNUMBER(N729),N729,0)-IF(ISNUMBER(O729),O729,0)+IF(ISNUMBER(P729),P729,0)))&lt;=Summary!$B$2),"Passes using beginning_balance - PreV_ETB differs from beginning_balance",IF(AND(ISNUMBER(O729),O729&lt;0,ABS(L729-(Q729-IF(ISNUMBER(N729),N729,0)+IF(ISNUMBER(P729),P729,0)))&lt;=Summary!$B$2),"Negative realized loss not applied - check sign",IF(R729&lt;0,"Principal paid exceeds prior balance",IF(AND(L729&gt;Q729,NOT(ISNUMBER(P729))),"Balance increased but no Deferred_interest reported",IF(L729&gt;R729,"Reported balance higher than expected (missing increase/OC build)","Reported balance lower than expected (missing decrease)"))))),""))</f>
        <v/>
      </c>
    </row>
    <row r="730" customFormat="false" ht="15" hidden="false" customHeight="false" outlineLevel="0" collapsed="false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9"/>
      <c r="L730" s="9"/>
      <c r="M730" s="9"/>
      <c r="N730" s="9"/>
      <c r="O730" s="9"/>
      <c r="P730" s="9"/>
      <c r="Q730" s="9"/>
      <c r="R730" s="9" t="str">
        <f aca="false">IF(AND(A730&lt;&gt;"",ISNUMBER(Q730),ISNUMBER(L730)),ROUND(Q730-IF(ISNUMBER(N730),N730,0)-IF(ISNUMBER(O730),O730,0)+IF(ISNUMBER(P730),P730,0),2),"")</f>
        <v/>
      </c>
      <c r="S730" s="9" t="str">
        <f aca="false">IF(R730="","",ROUND(L730-R730,2))</f>
        <v/>
      </c>
      <c r="T730" s="8" t="str">
        <f aca="false">IF(A730="","",IF(S730="","BYPASS",IF(ABS(S730)&lt;=Summary!$B$2,"PASS","FAIL")))</f>
        <v/>
      </c>
      <c r="U730" s="8" t="str">
        <f aca="false">IF(T730="BYPASS",IF(NOT(ISNUMBER(Q730)),"PreV_ETB missing","End_tr_balance missing"),IF(T730="FAIL",IF(AND(ISNUMBER(K730),ISNUMBER(L730),ABS(L730-(K730-IF(ISNUMBER(N730),N730,0)-IF(ISNUMBER(O730),O730,0)+IF(ISNUMBER(P730),P730,0)))&lt;=Summary!$B$2),"Passes using beginning_balance - PreV_ETB differs from beginning_balance",IF(AND(ISNUMBER(O730),O730&lt;0,ABS(L730-(Q730-IF(ISNUMBER(N730),N730,0)+IF(ISNUMBER(P730),P730,0)))&lt;=Summary!$B$2),"Negative realized loss not applied - check sign",IF(R730&lt;0,"Principal paid exceeds prior balance",IF(AND(L730&gt;Q730,NOT(ISNUMBER(P730))),"Balance increased but no Deferred_interest reported",IF(L730&gt;R730,"Reported balance higher than expected (missing increase/OC build)","Reported balance lower than expected (missing decrease)"))))),""))</f>
        <v/>
      </c>
    </row>
    <row r="731" customFormat="false" ht="15" hidden="false" customHeight="false" outlineLevel="0" collapsed="false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9"/>
      <c r="L731" s="9"/>
      <c r="M731" s="9"/>
      <c r="N731" s="9"/>
      <c r="O731" s="9"/>
      <c r="P731" s="9"/>
      <c r="Q731" s="9"/>
      <c r="R731" s="9" t="str">
        <f aca="false">IF(AND(A731&lt;&gt;"",ISNUMBER(Q731),ISNUMBER(L731)),ROUND(Q731-IF(ISNUMBER(N731),N731,0)-IF(ISNUMBER(O731),O731,0)+IF(ISNUMBER(P731),P731,0),2),"")</f>
        <v/>
      </c>
      <c r="S731" s="9" t="str">
        <f aca="false">IF(R731="","",ROUND(L731-R731,2))</f>
        <v/>
      </c>
      <c r="T731" s="8" t="str">
        <f aca="false">IF(A731="","",IF(S731="","BYPASS",IF(ABS(S731)&lt;=Summary!$B$2,"PASS","FAIL")))</f>
        <v/>
      </c>
      <c r="U731" s="8" t="str">
        <f aca="false">IF(T731="BYPASS",IF(NOT(ISNUMBER(Q731)),"PreV_ETB missing","End_tr_balance missing"),IF(T731="FAIL",IF(AND(ISNUMBER(K731),ISNUMBER(L731),ABS(L731-(K731-IF(ISNUMBER(N731),N731,0)-IF(ISNUMBER(O731),O731,0)+IF(ISNUMBER(P731),P731,0)))&lt;=Summary!$B$2),"Passes using beginning_balance - PreV_ETB differs from beginning_balance",IF(AND(ISNUMBER(O731),O731&lt;0,ABS(L731-(Q731-IF(ISNUMBER(N731),N731,0)+IF(ISNUMBER(P731),P731,0)))&lt;=Summary!$B$2),"Negative realized loss not applied - check sign",IF(R731&lt;0,"Principal paid exceeds prior balance",IF(AND(L731&gt;Q731,NOT(ISNUMBER(P731))),"Balance increased but no Deferred_interest reported",IF(L731&gt;R731,"Reported balance higher than expected (missing increase/OC build)","Reported balance lower than expected (missing decrease)"))))),""))</f>
        <v/>
      </c>
    </row>
    <row r="732" customFormat="false" ht="15" hidden="false" customHeight="false" outlineLevel="0" collapsed="false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9"/>
      <c r="L732" s="9"/>
      <c r="M732" s="9"/>
      <c r="N732" s="9"/>
      <c r="O732" s="9"/>
      <c r="P732" s="9"/>
      <c r="Q732" s="9"/>
      <c r="R732" s="9" t="str">
        <f aca="false">IF(AND(A732&lt;&gt;"",ISNUMBER(Q732),ISNUMBER(L732)),ROUND(Q732-IF(ISNUMBER(N732),N732,0)-IF(ISNUMBER(O732),O732,0)+IF(ISNUMBER(P732),P732,0),2),"")</f>
        <v/>
      </c>
      <c r="S732" s="9" t="str">
        <f aca="false">IF(R732="","",ROUND(L732-R732,2))</f>
        <v/>
      </c>
      <c r="T732" s="8" t="str">
        <f aca="false">IF(A732="","",IF(S732="","BYPASS",IF(ABS(S732)&lt;=Summary!$B$2,"PASS","FAIL")))</f>
        <v/>
      </c>
      <c r="U732" s="8" t="str">
        <f aca="false">IF(T732="BYPASS",IF(NOT(ISNUMBER(Q732)),"PreV_ETB missing","End_tr_balance missing"),IF(T732="FAIL",IF(AND(ISNUMBER(K732),ISNUMBER(L732),ABS(L732-(K732-IF(ISNUMBER(N732),N732,0)-IF(ISNUMBER(O732),O732,0)+IF(ISNUMBER(P732),P732,0)))&lt;=Summary!$B$2),"Passes using beginning_balance - PreV_ETB differs from beginning_balance",IF(AND(ISNUMBER(O732),O732&lt;0,ABS(L732-(Q732-IF(ISNUMBER(N732),N732,0)+IF(ISNUMBER(P732),P732,0)))&lt;=Summary!$B$2),"Negative realized loss not applied - check sign",IF(R732&lt;0,"Principal paid exceeds prior balance",IF(AND(L732&gt;Q732,NOT(ISNUMBER(P732))),"Balance increased but no Deferred_interest reported",IF(L732&gt;R732,"Reported balance higher than expected (missing increase/OC build)","Reported balance lower than expected (missing decrease)"))))),""))</f>
        <v/>
      </c>
    </row>
    <row r="733" customFormat="false" ht="15" hidden="false" customHeight="false" outlineLevel="0" collapsed="false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9"/>
      <c r="L733" s="9"/>
      <c r="M733" s="9"/>
      <c r="N733" s="9"/>
      <c r="O733" s="9"/>
      <c r="P733" s="9"/>
      <c r="Q733" s="9"/>
      <c r="R733" s="9" t="str">
        <f aca="false">IF(AND(A733&lt;&gt;"",ISNUMBER(Q733),ISNUMBER(L733)),ROUND(Q733-IF(ISNUMBER(N733),N733,0)-IF(ISNUMBER(O733),O733,0)+IF(ISNUMBER(P733),P733,0),2),"")</f>
        <v/>
      </c>
      <c r="S733" s="9" t="str">
        <f aca="false">IF(R733="","",ROUND(L733-R733,2))</f>
        <v/>
      </c>
      <c r="T733" s="8" t="str">
        <f aca="false">IF(A733="","",IF(S733="","BYPASS",IF(ABS(S733)&lt;=Summary!$B$2,"PASS","FAIL")))</f>
        <v/>
      </c>
      <c r="U733" s="8" t="str">
        <f aca="false">IF(T733="BYPASS",IF(NOT(ISNUMBER(Q733)),"PreV_ETB missing","End_tr_balance missing"),IF(T733="FAIL",IF(AND(ISNUMBER(K733),ISNUMBER(L733),ABS(L733-(K733-IF(ISNUMBER(N733),N733,0)-IF(ISNUMBER(O733),O733,0)+IF(ISNUMBER(P733),P733,0)))&lt;=Summary!$B$2),"Passes using beginning_balance - PreV_ETB differs from beginning_balance",IF(AND(ISNUMBER(O733),O733&lt;0,ABS(L733-(Q733-IF(ISNUMBER(N733),N733,0)+IF(ISNUMBER(P733),P733,0)))&lt;=Summary!$B$2),"Negative realized loss not applied - check sign",IF(R733&lt;0,"Principal paid exceeds prior balance",IF(AND(L733&gt;Q733,NOT(ISNUMBER(P733))),"Balance increased but no Deferred_interest reported",IF(L733&gt;R733,"Reported balance higher than expected (missing increase/OC build)","Reported balance lower than expected (missing decrease)"))))),""))</f>
        <v/>
      </c>
    </row>
    <row r="734" customFormat="false" ht="15" hidden="false" customHeight="false" outlineLevel="0" collapsed="false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9"/>
      <c r="L734" s="9"/>
      <c r="M734" s="9"/>
      <c r="N734" s="9"/>
      <c r="O734" s="9"/>
      <c r="P734" s="9"/>
      <c r="Q734" s="9"/>
      <c r="R734" s="9" t="str">
        <f aca="false">IF(AND(A734&lt;&gt;"",ISNUMBER(Q734),ISNUMBER(L734)),ROUND(Q734-IF(ISNUMBER(N734),N734,0)-IF(ISNUMBER(O734),O734,0)+IF(ISNUMBER(P734),P734,0),2),"")</f>
        <v/>
      </c>
      <c r="S734" s="9" t="str">
        <f aca="false">IF(R734="","",ROUND(L734-R734,2))</f>
        <v/>
      </c>
      <c r="T734" s="8" t="str">
        <f aca="false">IF(A734="","",IF(S734="","BYPASS",IF(ABS(S734)&lt;=Summary!$B$2,"PASS","FAIL")))</f>
        <v/>
      </c>
      <c r="U734" s="8" t="str">
        <f aca="false">IF(T734="BYPASS",IF(NOT(ISNUMBER(Q734)),"PreV_ETB missing","End_tr_balance missing"),IF(T734="FAIL",IF(AND(ISNUMBER(K734),ISNUMBER(L734),ABS(L734-(K734-IF(ISNUMBER(N734),N734,0)-IF(ISNUMBER(O734),O734,0)+IF(ISNUMBER(P734),P734,0)))&lt;=Summary!$B$2),"Passes using beginning_balance - PreV_ETB differs from beginning_balance",IF(AND(ISNUMBER(O734),O734&lt;0,ABS(L734-(Q734-IF(ISNUMBER(N734),N734,0)+IF(ISNUMBER(P734),P734,0)))&lt;=Summary!$B$2),"Negative realized loss not applied - check sign",IF(R734&lt;0,"Principal paid exceeds prior balance",IF(AND(L734&gt;Q734,NOT(ISNUMBER(P734))),"Balance increased but no Deferred_interest reported",IF(L734&gt;R734,"Reported balance higher than expected (missing increase/OC build)","Reported balance lower than expected (missing decrease)"))))),""))</f>
        <v/>
      </c>
    </row>
    <row r="735" customFormat="false" ht="15" hidden="false" customHeight="false" outlineLevel="0" collapsed="false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9"/>
      <c r="L735" s="9"/>
      <c r="M735" s="9"/>
      <c r="N735" s="9"/>
      <c r="O735" s="9"/>
      <c r="P735" s="9"/>
      <c r="Q735" s="9"/>
      <c r="R735" s="9" t="str">
        <f aca="false">IF(AND(A735&lt;&gt;"",ISNUMBER(Q735),ISNUMBER(L735)),ROUND(Q735-IF(ISNUMBER(N735),N735,0)-IF(ISNUMBER(O735),O735,0)+IF(ISNUMBER(P735),P735,0),2),"")</f>
        <v/>
      </c>
      <c r="S735" s="9" t="str">
        <f aca="false">IF(R735="","",ROUND(L735-R735,2))</f>
        <v/>
      </c>
      <c r="T735" s="8" t="str">
        <f aca="false">IF(A735="","",IF(S735="","BYPASS",IF(ABS(S735)&lt;=Summary!$B$2,"PASS","FAIL")))</f>
        <v/>
      </c>
      <c r="U735" s="8" t="str">
        <f aca="false">IF(T735="BYPASS",IF(NOT(ISNUMBER(Q735)),"PreV_ETB missing","End_tr_balance missing"),IF(T735="FAIL",IF(AND(ISNUMBER(K735),ISNUMBER(L735),ABS(L735-(K735-IF(ISNUMBER(N735),N735,0)-IF(ISNUMBER(O735),O735,0)+IF(ISNUMBER(P735),P735,0)))&lt;=Summary!$B$2),"Passes using beginning_balance - PreV_ETB differs from beginning_balance",IF(AND(ISNUMBER(O735),O735&lt;0,ABS(L735-(Q735-IF(ISNUMBER(N735),N735,0)+IF(ISNUMBER(P735),P735,0)))&lt;=Summary!$B$2),"Negative realized loss not applied - check sign",IF(R735&lt;0,"Principal paid exceeds prior balance",IF(AND(L735&gt;Q735,NOT(ISNUMBER(P735))),"Balance increased but no Deferred_interest reported",IF(L735&gt;R735,"Reported balance higher than expected (missing increase/OC build)","Reported balance lower than expected (missing decrease)"))))),""))</f>
        <v/>
      </c>
    </row>
    <row r="736" customFormat="false" ht="15" hidden="false" customHeight="false" outlineLevel="0" collapsed="false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9"/>
      <c r="L736" s="9"/>
      <c r="M736" s="9"/>
      <c r="N736" s="9"/>
      <c r="O736" s="9"/>
      <c r="P736" s="9"/>
      <c r="Q736" s="9"/>
      <c r="R736" s="9" t="str">
        <f aca="false">IF(AND(A736&lt;&gt;"",ISNUMBER(Q736),ISNUMBER(L736)),ROUND(Q736-IF(ISNUMBER(N736),N736,0)-IF(ISNUMBER(O736),O736,0)+IF(ISNUMBER(P736),P736,0),2),"")</f>
        <v/>
      </c>
      <c r="S736" s="9" t="str">
        <f aca="false">IF(R736="","",ROUND(L736-R736,2))</f>
        <v/>
      </c>
      <c r="T736" s="8" t="str">
        <f aca="false">IF(A736="","",IF(S736="","BYPASS",IF(ABS(S736)&lt;=Summary!$B$2,"PASS","FAIL")))</f>
        <v/>
      </c>
      <c r="U736" s="8" t="str">
        <f aca="false">IF(T736="BYPASS",IF(NOT(ISNUMBER(Q736)),"PreV_ETB missing","End_tr_balance missing"),IF(T736="FAIL",IF(AND(ISNUMBER(K736),ISNUMBER(L736),ABS(L736-(K736-IF(ISNUMBER(N736),N736,0)-IF(ISNUMBER(O736),O736,0)+IF(ISNUMBER(P736),P736,0)))&lt;=Summary!$B$2),"Passes using beginning_balance - PreV_ETB differs from beginning_balance",IF(AND(ISNUMBER(O736),O736&lt;0,ABS(L736-(Q736-IF(ISNUMBER(N736),N736,0)+IF(ISNUMBER(P736),P736,0)))&lt;=Summary!$B$2),"Negative realized loss not applied - check sign",IF(R736&lt;0,"Principal paid exceeds prior balance",IF(AND(L736&gt;Q736,NOT(ISNUMBER(P736))),"Balance increased but no Deferred_interest reported",IF(L736&gt;R736,"Reported balance higher than expected (missing increase/OC build)","Reported balance lower than expected (missing decrease)"))))),""))</f>
        <v/>
      </c>
    </row>
    <row r="737" customFormat="false" ht="15" hidden="false" customHeight="false" outlineLevel="0" collapsed="false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9"/>
      <c r="L737" s="9"/>
      <c r="M737" s="9"/>
      <c r="N737" s="9"/>
      <c r="O737" s="9"/>
      <c r="P737" s="9"/>
      <c r="Q737" s="9"/>
      <c r="R737" s="9" t="str">
        <f aca="false">IF(AND(A737&lt;&gt;"",ISNUMBER(Q737),ISNUMBER(L737)),ROUND(Q737-IF(ISNUMBER(N737),N737,0)-IF(ISNUMBER(O737),O737,0)+IF(ISNUMBER(P737),P737,0),2),"")</f>
        <v/>
      </c>
      <c r="S737" s="9" t="str">
        <f aca="false">IF(R737="","",ROUND(L737-R737,2))</f>
        <v/>
      </c>
      <c r="T737" s="8" t="str">
        <f aca="false">IF(A737="","",IF(S737="","BYPASS",IF(ABS(S737)&lt;=Summary!$B$2,"PASS","FAIL")))</f>
        <v/>
      </c>
      <c r="U737" s="8" t="str">
        <f aca="false">IF(T737="BYPASS",IF(NOT(ISNUMBER(Q737)),"PreV_ETB missing","End_tr_balance missing"),IF(T737="FAIL",IF(AND(ISNUMBER(K737),ISNUMBER(L737),ABS(L737-(K737-IF(ISNUMBER(N737),N737,0)-IF(ISNUMBER(O737),O737,0)+IF(ISNUMBER(P737),P737,0)))&lt;=Summary!$B$2),"Passes using beginning_balance - PreV_ETB differs from beginning_balance",IF(AND(ISNUMBER(O737),O737&lt;0,ABS(L737-(Q737-IF(ISNUMBER(N737),N737,0)+IF(ISNUMBER(P737),P737,0)))&lt;=Summary!$B$2),"Negative realized loss not applied - check sign",IF(R737&lt;0,"Principal paid exceeds prior balance",IF(AND(L737&gt;Q737,NOT(ISNUMBER(P737))),"Balance increased but no Deferred_interest reported",IF(L737&gt;R737,"Reported balance higher than expected (missing increase/OC build)","Reported balance lower than expected (missing decrease)"))))),""))</f>
        <v/>
      </c>
    </row>
    <row r="738" customFormat="false" ht="15" hidden="false" customHeight="false" outlineLevel="0" collapsed="false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9"/>
      <c r="L738" s="9"/>
      <c r="M738" s="9"/>
      <c r="N738" s="9"/>
      <c r="O738" s="9"/>
      <c r="P738" s="9"/>
      <c r="Q738" s="9"/>
      <c r="R738" s="9" t="str">
        <f aca="false">IF(AND(A738&lt;&gt;"",ISNUMBER(Q738),ISNUMBER(L738)),ROUND(Q738-IF(ISNUMBER(N738),N738,0)-IF(ISNUMBER(O738),O738,0)+IF(ISNUMBER(P738),P738,0),2),"")</f>
        <v/>
      </c>
      <c r="S738" s="9" t="str">
        <f aca="false">IF(R738="","",ROUND(L738-R738,2))</f>
        <v/>
      </c>
      <c r="T738" s="8" t="str">
        <f aca="false">IF(A738="","",IF(S738="","BYPASS",IF(ABS(S738)&lt;=Summary!$B$2,"PASS","FAIL")))</f>
        <v/>
      </c>
      <c r="U738" s="8" t="str">
        <f aca="false">IF(T738="BYPASS",IF(NOT(ISNUMBER(Q738)),"PreV_ETB missing","End_tr_balance missing"),IF(T738="FAIL",IF(AND(ISNUMBER(K738),ISNUMBER(L738),ABS(L738-(K738-IF(ISNUMBER(N738),N738,0)-IF(ISNUMBER(O738),O738,0)+IF(ISNUMBER(P738),P738,0)))&lt;=Summary!$B$2),"Passes using beginning_balance - PreV_ETB differs from beginning_balance",IF(AND(ISNUMBER(O738),O738&lt;0,ABS(L738-(Q738-IF(ISNUMBER(N738),N738,0)+IF(ISNUMBER(P738),P738,0)))&lt;=Summary!$B$2),"Negative realized loss not applied - check sign",IF(R738&lt;0,"Principal paid exceeds prior balance",IF(AND(L738&gt;Q738,NOT(ISNUMBER(P738))),"Balance increased but no Deferred_interest reported",IF(L738&gt;R738,"Reported balance higher than expected (missing increase/OC build)","Reported balance lower than expected (missing decrease)"))))),""))</f>
        <v/>
      </c>
    </row>
    <row r="739" customFormat="false" ht="15" hidden="false" customHeight="false" outlineLevel="0" collapsed="false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9"/>
      <c r="L739" s="9"/>
      <c r="M739" s="9"/>
      <c r="N739" s="9"/>
      <c r="O739" s="9"/>
      <c r="P739" s="9"/>
      <c r="Q739" s="9"/>
      <c r="R739" s="9" t="str">
        <f aca="false">IF(AND(A739&lt;&gt;"",ISNUMBER(Q739),ISNUMBER(L739)),ROUND(Q739-IF(ISNUMBER(N739),N739,0)-IF(ISNUMBER(O739),O739,0)+IF(ISNUMBER(P739),P739,0),2),"")</f>
        <v/>
      </c>
      <c r="S739" s="9" t="str">
        <f aca="false">IF(R739="","",ROUND(L739-R739,2))</f>
        <v/>
      </c>
      <c r="T739" s="8" t="str">
        <f aca="false">IF(A739="","",IF(S739="","BYPASS",IF(ABS(S739)&lt;=Summary!$B$2,"PASS","FAIL")))</f>
        <v/>
      </c>
      <c r="U739" s="8" t="str">
        <f aca="false">IF(T739="BYPASS",IF(NOT(ISNUMBER(Q739)),"PreV_ETB missing","End_tr_balance missing"),IF(T739="FAIL",IF(AND(ISNUMBER(K739),ISNUMBER(L739),ABS(L739-(K739-IF(ISNUMBER(N739),N739,0)-IF(ISNUMBER(O739),O739,0)+IF(ISNUMBER(P739),P739,0)))&lt;=Summary!$B$2),"Passes using beginning_balance - PreV_ETB differs from beginning_balance",IF(AND(ISNUMBER(O739),O739&lt;0,ABS(L739-(Q739-IF(ISNUMBER(N739),N739,0)+IF(ISNUMBER(P739),P739,0)))&lt;=Summary!$B$2),"Negative realized loss not applied - check sign",IF(R739&lt;0,"Principal paid exceeds prior balance",IF(AND(L739&gt;Q739,NOT(ISNUMBER(P739))),"Balance increased but no Deferred_interest reported",IF(L739&gt;R739,"Reported balance higher than expected (missing increase/OC build)","Reported balance lower than expected (missing decrease)"))))),""))</f>
        <v/>
      </c>
    </row>
    <row r="740" customFormat="false" ht="15" hidden="false" customHeight="false" outlineLevel="0" collapsed="false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9"/>
      <c r="L740" s="9"/>
      <c r="M740" s="9"/>
      <c r="N740" s="9"/>
      <c r="O740" s="9"/>
      <c r="P740" s="9"/>
      <c r="Q740" s="9"/>
      <c r="R740" s="9" t="str">
        <f aca="false">IF(AND(A740&lt;&gt;"",ISNUMBER(Q740),ISNUMBER(L740)),ROUND(Q740-IF(ISNUMBER(N740),N740,0)-IF(ISNUMBER(O740),O740,0)+IF(ISNUMBER(P740),P740,0),2),"")</f>
        <v/>
      </c>
      <c r="S740" s="9" t="str">
        <f aca="false">IF(R740="","",ROUND(L740-R740,2))</f>
        <v/>
      </c>
      <c r="T740" s="8" t="str">
        <f aca="false">IF(A740="","",IF(S740="","BYPASS",IF(ABS(S740)&lt;=Summary!$B$2,"PASS","FAIL")))</f>
        <v/>
      </c>
      <c r="U740" s="8" t="str">
        <f aca="false">IF(T740="BYPASS",IF(NOT(ISNUMBER(Q740)),"PreV_ETB missing","End_tr_balance missing"),IF(T740="FAIL",IF(AND(ISNUMBER(K740),ISNUMBER(L740),ABS(L740-(K740-IF(ISNUMBER(N740),N740,0)-IF(ISNUMBER(O740),O740,0)+IF(ISNUMBER(P740),P740,0)))&lt;=Summary!$B$2),"Passes using beginning_balance - PreV_ETB differs from beginning_balance",IF(AND(ISNUMBER(O740),O740&lt;0,ABS(L740-(Q740-IF(ISNUMBER(N740),N740,0)+IF(ISNUMBER(P740),P740,0)))&lt;=Summary!$B$2),"Negative realized loss not applied - check sign",IF(R740&lt;0,"Principal paid exceeds prior balance",IF(AND(L740&gt;Q740,NOT(ISNUMBER(P740))),"Balance increased but no Deferred_interest reported",IF(L740&gt;R740,"Reported balance higher than expected (missing increase/OC build)","Reported balance lower than expected (missing decrease)"))))),""))</f>
        <v/>
      </c>
    </row>
    <row r="741" customFormat="false" ht="15" hidden="false" customHeight="false" outlineLevel="0" collapsed="false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9"/>
      <c r="L741" s="9"/>
      <c r="M741" s="9"/>
      <c r="N741" s="9"/>
      <c r="O741" s="9"/>
      <c r="P741" s="9"/>
      <c r="Q741" s="9"/>
      <c r="R741" s="9" t="str">
        <f aca="false">IF(AND(A741&lt;&gt;"",ISNUMBER(Q741),ISNUMBER(L741)),ROUND(Q741-IF(ISNUMBER(N741),N741,0)-IF(ISNUMBER(O741),O741,0)+IF(ISNUMBER(P741),P741,0),2),"")</f>
        <v/>
      </c>
      <c r="S741" s="9" t="str">
        <f aca="false">IF(R741="","",ROUND(L741-R741,2))</f>
        <v/>
      </c>
      <c r="T741" s="8" t="str">
        <f aca="false">IF(A741="","",IF(S741="","BYPASS",IF(ABS(S741)&lt;=Summary!$B$2,"PASS","FAIL")))</f>
        <v/>
      </c>
      <c r="U741" s="8" t="str">
        <f aca="false">IF(T741="BYPASS",IF(NOT(ISNUMBER(Q741)),"PreV_ETB missing","End_tr_balance missing"),IF(T741="FAIL",IF(AND(ISNUMBER(K741),ISNUMBER(L741),ABS(L741-(K741-IF(ISNUMBER(N741),N741,0)-IF(ISNUMBER(O741),O741,0)+IF(ISNUMBER(P741),P741,0)))&lt;=Summary!$B$2),"Passes using beginning_balance - PreV_ETB differs from beginning_balance",IF(AND(ISNUMBER(O741),O741&lt;0,ABS(L741-(Q741-IF(ISNUMBER(N741),N741,0)+IF(ISNUMBER(P741),P741,0)))&lt;=Summary!$B$2),"Negative realized loss not applied - check sign",IF(R741&lt;0,"Principal paid exceeds prior balance",IF(AND(L741&gt;Q741,NOT(ISNUMBER(P741))),"Balance increased but no Deferred_interest reported",IF(L741&gt;R741,"Reported balance higher than expected (missing increase/OC build)","Reported balance lower than expected (missing decrease)"))))),""))</f>
        <v/>
      </c>
    </row>
    <row r="742" customFormat="false" ht="15" hidden="false" customHeight="false" outlineLevel="0" collapsed="false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9"/>
      <c r="L742" s="9"/>
      <c r="M742" s="9"/>
      <c r="N742" s="9"/>
      <c r="O742" s="9"/>
      <c r="P742" s="9"/>
      <c r="Q742" s="9"/>
      <c r="R742" s="9" t="str">
        <f aca="false">IF(AND(A742&lt;&gt;"",ISNUMBER(Q742),ISNUMBER(L742)),ROUND(Q742-IF(ISNUMBER(N742),N742,0)-IF(ISNUMBER(O742),O742,0)+IF(ISNUMBER(P742),P742,0),2),"")</f>
        <v/>
      </c>
      <c r="S742" s="9" t="str">
        <f aca="false">IF(R742="","",ROUND(L742-R742,2))</f>
        <v/>
      </c>
      <c r="T742" s="8" t="str">
        <f aca="false">IF(A742="","",IF(S742="","BYPASS",IF(ABS(S742)&lt;=Summary!$B$2,"PASS","FAIL")))</f>
        <v/>
      </c>
      <c r="U742" s="8" t="str">
        <f aca="false">IF(T742="BYPASS",IF(NOT(ISNUMBER(Q742)),"PreV_ETB missing","End_tr_balance missing"),IF(T742="FAIL",IF(AND(ISNUMBER(K742),ISNUMBER(L742),ABS(L742-(K742-IF(ISNUMBER(N742),N742,0)-IF(ISNUMBER(O742),O742,0)+IF(ISNUMBER(P742),P742,0)))&lt;=Summary!$B$2),"Passes using beginning_balance - PreV_ETB differs from beginning_balance",IF(AND(ISNUMBER(O742),O742&lt;0,ABS(L742-(Q742-IF(ISNUMBER(N742),N742,0)+IF(ISNUMBER(P742),P742,0)))&lt;=Summary!$B$2),"Negative realized loss not applied - check sign",IF(R742&lt;0,"Principal paid exceeds prior balance",IF(AND(L742&gt;Q742,NOT(ISNUMBER(P742))),"Balance increased but no Deferred_interest reported",IF(L742&gt;R742,"Reported balance higher than expected (missing increase/OC build)","Reported balance lower than expected (missing decrease)"))))),""))</f>
        <v/>
      </c>
    </row>
    <row r="743" customFormat="false" ht="15" hidden="false" customHeight="false" outlineLevel="0" collapsed="false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9"/>
      <c r="L743" s="9"/>
      <c r="M743" s="9"/>
      <c r="N743" s="9"/>
      <c r="O743" s="9"/>
      <c r="P743" s="9"/>
      <c r="Q743" s="9"/>
      <c r="R743" s="9" t="str">
        <f aca="false">IF(AND(A743&lt;&gt;"",ISNUMBER(Q743),ISNUMBER(L743)),ROUND(Q743-IF(ISNUMBER(N743),N743,0)-IF(ISNUMBER(O743),O743,0)+IF(ISNUMBER(P743),P743,0),2),"")</f>
        <v/>
      </c>
      <c r="S743" s="9" t="str">
        <f aca="false">IF(R743="","",ROUND(L743-R743,2))</f>
        <v/>
      </c>
      <c r="T743" s="8" t="str">
        <f aca="false">IF(A743="","",IF(S743="","BYPASS",IF(ABS(S743)&lt;=Summary!$B$2,"PASS","FAIL")))</f>
        <v/>
      </c>
      <c r="U743" s="8" t="str">
        <f aca="false">IF(T743="BYPASS",IF(NOT(ISNUMBER(Q743)),"PreV_ETB missing","End_tr_balance missing"),IF(T743="FAIL",IF(AND(ISNUMBER(K743),ISNUMBER(L743),ABS(L743-(K743-IF(ISNUMBER(N743),N743,0)-IF(ISNUMBER(O743),O743,0)+IF(ISNUMBER(P743),P743,0)))&lt;=Summary!$B$2),"Passes using beginning_balance - PreV_ETB differs from beginning_balance",IF(AND(ISNUMBER(O743),O743&lt;0,ABS(L743-(Q743-IF(ISNUMBER(N743),N743,0)+IF(ISNUMBER(P743),P743,0)))&lt;=Summary!$B$2),"Negative realized loss not applied - check sign",IF(R743&lt;0,"Principal paid exceeds prior balance",IF(AND(L743&gt;Q743,NOT(ISNUMBER(P743))),"Balance increased but no Deferred_interest reported",IF(L743&gt;R743,"Reported balance higher than expected (missing increase/OC build)","Reported balance lower than expected (missing decrease)"))))),""))</f>
        <v/>
      </c>
    </row>
    <row r="744" customFormat="false" ht="15" hidden="false" customHeight="false" outlineLevel="0" collapsed="false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9"/>
      <c r="L744" s="9"/>
      <c r="M744" s="9"/>
      <c r="N744" s="9"/>
      <c r="O744" s="9"/>
      <c r="P744" s="9"/>
      <c r="Q744" s="9"/>
      <c r="R744" s="9" t="str">
        <f aca="false">IF(AND(A744&lt;&gt;"",ISNUMBER(Q744),ISNUMBER(L744)),ROUND(Q744-IF(ISNUMBER(N744),N744,0)-IF(ISNUMBER(O744),O744,0)+IF(ISNUMBER(P744),P744,0),2),"")</f>
        <v/>
      </c>
      <c r="S744" s="9" t="str">
        <f aca="false">IF(R744="","",ROUND(L744-R744,2))</f>
        <v/>
      </c>
      <c r="T744" s="8" t="str">
        <f aca="false">IF(A744="","",IF(S744="","BYPASS",IF(ABS(S744)&lt;=Summary!$B$2,"PASS","FAIL")))</f>
        <v/>
      </c>
      <c r="U744" s="8" t="str">
        <f aca="false">IF(T744="BYPASS",IF(NOT(ISNUMBER(Q744)),"PreV_ETB missing","End_tr_balance missing"),IF(T744="FAIL",IF(AND(ISNUMBER(K744),ISNUMBER(L744),ABS(L744-(K744-IF(ISNUMBER(N744),N744,0)-IF(ISNUMBER(O744),O744,0)+IF(ISNUMBER(P744),P744,0)))&lt;=Summary!$B$2),"Passes using beginning_balance - PreV_ETB differs from beginning_balance",IF(AND(ISNUMBER(O744),O744&lt;0,ABS(L744-(Q744-IF(ISNUMBER(N744),N744,0)+IF(ISNUMBER(P744),P744,0)))&lt;=Summary!$B$2),"Negative realized loss not applied - check sign",IF(R744&lt;0,"Principal paid exceeds prior balance",IF(AND(L744&gt;Q744,NOT(ISNUMBER(P744))),"Balance increased but no Deferred_interest reported",IF(L744&gt;R744,"Reported balance higher than expected (missing increase/OC build)","Reported balance lower than expected (missing decrease)"))))),""))</f>
        <v/>
      </c>
    </row>
    <row r="745" customFormat="false" ht="15" hidden="false" customHeight="false" outlineLevel="0" collapsed="false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9"/>
      <c r="L745" s="9"/>
      <c r="M745" s="9"/>
      <c r="N745" s="9"/>
      <c r="O745" s="9"/>
      <c r="P745" s="9"/>
      <c r="Q745" s="9"/>
      <c r="R745" s="9" t="str">
        <f aca="false">IF(AND(A745&lt;&gt;"",ISNUMBER(Q745),ISNUMBER(L745)),ROUND(Q745-IF(ISNUMBER(N745),N745,0)-IF(ISNUMBER(O745),O745,0)+IF(ISNUMBER(P745),P745,0),2),"")</f>
        <v/>
      </c>
      <c r="S745" s="9" t="str">
        <f aca="false">IF(R745="","",ROUND(L745-R745,2))</f>
        <v/>
      </c>
      <c r="T745" s="8" t="str">
        <f aca="false">IF(A745="","",IF(S745="","BYPASS",IF(ABS(S745)&lt;=Summary!$B$2,"PASS","FAIL")))</f>
        <v/>
      </c>
      <c r="U745" s="8" t="str">
        <f aca="false">IF(T745="BYPASS",IF(NOT(ISNUMBER(Q745)),"PreV_ETB missing","End_tr_balance missing"),IF(T745="FAIL",IF(AND(ISNUMBER(K745),ISNUMBER(L745),ABS(L745-(K745-IF(ISNUMBER(N745),N745,0)-IF(ISNUMBER(O745),O745,0)+IF(ISNUMBER(P745),P745,0)))&lt;=Summary!$B$2),"Passes using beginning_balance - PreV_ETB differs from beginning_balance",IF(AND(ISNUMBER(O745),O745&lt;0,ABS(L745-(Q745-IF(ISNUMBER(N745),N745,0)+IF(ISNUMBER(P745),P745,0)))&lt;=Summary!$B$2),"Negative realized loss not applied - check sign",IF(R745&lt;0,"Principal paid exceeds prior balance",IF(AND(L745&gt;Q745,NOT(ISNUMBER(P745))),"Balance increased but no Deferred_interest reported",IF(L745&gt;R745,"Reported balance higher than expected (missing increase/OC build)","Reported balance lower than expected (missing decrease)"))))),""))</f>
        <v/>
      </c>
    </row>
    <row r="746" customFormat="false" ht="15" hidden="false" customHeight="false" outlineLevel="0" collapsed="false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9"/>
      <c r="L746" s="9"/>
      <c r="M746" s="9"/>
      <c r="N746" s="9"/>
      <c r="O746" s="9"/>
      <c r="P746" s="9"/>
      <c r="Q746" s="9"/>
      <c r="R746" s="9" t="str">
        <f aca="false">IF(AND(A746&lt;&gt;"",ISNUMBER(Q746),ISNUMBER(L746)),ROUND(Q746-IF(ISNUMBER(N746),N746,0)-IF(ISNUMBER(O746),O746,0)+IF(ISNUMBER(P746),P746,0),2),"")</f>
        <v/>
      </c>
      <c r="S746" s="9" t="str">
        <f aca="false">IF(R746="","",ROUND(L746-R746,2))</f>
        <v/>
      </c>
      <c r="T746" s="8" t="str">
        <f aca="false">IF(A746="","",IF(S746="","BYPASS",IF(ABS(S746)&lt;=Summary!$B$2,"PASS","FAIL")))</f>
        <v/>
      </c>
      <c r="U746" s="8" t="str">
        <f aca="false">IF(T746="BYPASS",IF(NOT(ISNUMBER(Q746)),"PreV_ETB missing","End_tr_balance missing"),IF(T746="FAIL",IF(AND(ISNUMBER(K746),ISNUMBER(L746),ABS(L746-(K746-IF(ISNUMBER(N746),N746,0)-IF(ISNUMBER(O746),O746,0)+IF(ISNUMBER(P746),P746,0)))&lt;=Summary!$B$2),"Passes using beginning_balance - PreV_ETB differs from beginning_balance",IF(AND(ISNUMBER(O746),O746&lt;0,ABS(L746-(Q746-IF(ISNUMBER(N746),N746,0)+IF(ISNUMBER(P746),P746,0)))&lt;=Summary!$B$2),"Negative realized loss not applied - check sign",IF(R746&lt;0,"Principal paid exceeds prior balance",IF(AND(L746&gt;Q746,NOT(ISNUMBER(P746))),"Balance increased but no Deferred_interest reported",IF(L746&gt;R746,"Reported balance higher than expected (missing increase/OC build)","Reported balance lower than expected (missing decrease)"))))),""))</f>
        <v/>
      </c>
    </row>
    <row r="747" customFormat="false" ht="15" hidden="false" customHeight="false" outlineLevel="0" collapsed="false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9"/>
      <c r="L747" s="9"/>
      <c r="M747" s="9"/>
      <c r="N747" s="9"/>
      <c r="O747" s="9"/>
      <c r="P747" s="9"/>
      <c r="Q747" s="9"/>
      <c r="R747" s="9" t="str">
        <f aca="false">IF(AND(A747&lt;&gt;"",ISNUMBER(Q747),ISNUMBER(L747)),ROUND(Q747-IF(ISNUMBER(N747),N747,0)-IF(ISNUMBER(O747),O747,0)+IF(ISNUMBER(P747),P747,0),2),"")</f>
        <v/>
      </c>
      <c r="S747" s="9" t="str">
        <f aca="false">IF(R747="","",ROUND(L747-R747,2))</f>
        <v/>
      </c>
      <c r="T747" s="8" t="str">
        <f aca="false">IF(A747="","",IF(S747="","BYPASS",IF(ABS(S747)&lt;=Summary!$B$2,"PASS","FAIL")))</f>
        <v/>
      </c>
      <c r="U747" s="8" t="str">
        <f aca="false">IF(T747="BYPASS",IF(NOT(ISNUMBER(Q747)),"PreV_ETB missing","End_tr_balance missing"),IF(T747="FAIL",IF(AND(ISNUMBER(K747),ISNUMBER(L747),ABS(L747-(K747-IF(ISNUMBER(N747),N747,0)-IF(ISNUMBER(O747),O747,0)+IF(ISNUMBER(P747),P747,0)))&lt;=Summary!$B$2),"Passes using beginning_balance - PreV_ETB differs from beginning_balance",IF(AND(ISNUMBER(O747),O747&lt;0,ABS(L747-(Q747-IF(ISNUMBER(N747),N747,0)+IF(ISNUMBER(P747),P747,0)))&lt;=Summary!$B$2),"Negative realized loss not applied - check sign",IF(R747&lt;0,"Principal paid exceeds prior balance",IF(AND(L747&gt;Q747,NOT(ISNUMBER(P747))),"Balance increased but no Deferred_interest reported",IF(L747&gt;R747,"Reported balance higher than expected (missing increase/OC build)","Reported balance lower than expected (missing decrease)"))))),""))</f>
        <v/>
      </c>
    </row>
    <row r="748" customFormat="false" ht="15" hidden="false" customHeight="false" outlineLevel="0" collapsed="false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9"/>
      <c r="L748" s="9"/>
      <c r="M748" s="9"/>
      <c r="N748" s="9"/>
      <c r="O748" s="9"/>
      <c r="P748" s="9"/>
      <c r="Q748" s="9"/>
      <c r="R748" s="9" t="str">
        <f aca="false">IF(AND(A748&lt;&gt;"",ISNUMBER(Q748),ISNUMBER(L748)),ROUND(Q748-IF(ISNUMBER(N748),N748,0)-IF(ISNUMBER(O748),O748,0)+IF(ISNUMBER(P748),P748,0),2),"")</f>
        <v/>
      </c>
      <c r="S748" s="9" t="str">
        <f aca="false">IF(R748="","",ROUND(L748-R748,2))</f>
        <v/>
      </c>
      <c r="T748" s="8" t="str">
        <f aca="false">IF(A748="","",IF(S748="","BYPASS",IF(ABS(S748)&lt;=Summary!$B$2,"PASS","FAIL")))</f>
        <v/>
      </c>
      <c r="U748" s="8" t="str">
        <f aca="false">IF(T748="BYPASS",IF(NOT(ISNUMBER(Q748)),"PreV_ETB missing","End_tr_balance missing"),IF(T748="FAIL",IF(AND(ISNUMBER(K748),ISNUMBER(L748),ABS(L748-(K748-IF(ISNUMBER(N748),N748,0)-IF(ISNUMBER(O748),O748,0)+IF(ISNUMBER(P748),P748,0)))&lt;=Summary!$B$2),"Passes using beginning_balance - PreV_ETB differs from beginning_balance",IF(AND(ISNUMBER(O748),O748&lt;0,ABS(L748-(Q748-IF(ISNUMBER(N748),N748,0)+IF(ISNUMBER(P748),P748,0)))&lt;=Summary!$B$2),"Negative realized loss not applied - check sign",IF(R748&lt;0,"Principal paid exceeds prior balance",IF(AND(L748&gt;Q748,NOT(ISNUMBER(P748))),"Balance increased but no Deferred_interest reported",IF(L748&gt;R748,"Reported balance higher than expected (missing increase/OC build)","Reported balance lower than expected (missing decrease)"))))),""))</f>
        <v/>
      </c>
    </row>
    <row r="749" customFormat="false" ht="15" hidden="false" customHeight="false" outlineLevel="0" collapsed="false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9"/>
      <c r="L749" s="9"/>
      <c r="M749" s="9"/>
      <c r="N749" s="9"/>
      <c r="O749" s="9"/>
      <c r="P749" s="9"/>
      <c r="Q749" s="9"/>
      <c r="R749" s="9" t="str">
        <f aca="false">IF(AND(A749&lt;&gt;"",ISNUMBER(Q749),ISNUMBER(L749)),ROUND(Q749-IF(ISNUMBER(N749),N749,0)-IF(ISNUMBER(O749),O749,0)+IF(ISNUMBER(P749),P749,0),2),"")</f>
        <v/>
      </c>
      <c r="S749" s="9" t="str">
        <f aca="false">IF(R749="","",ROUND(L749-R749,2))</f>
        <v/>
      </c>
      <c r="T749" s="8" t="str">
        <f aca="false">IF(A749="","",IF(S749="","BYPASS",IF(ABS(S749)&lt;=Summary!$B$2,"PASS","FAIL")))</f>
        <v/>
      </c>
      <c r="U749" s="8" t="str">
        <f aca="false">IF(T749="BYPASS",IF(NOT(ISNUMBER(Q749)),"PreV_ETB missing","End_tr_balance missing"),IF(T749="FAIL",IF(AND(ISNUMBER(K749),ISNUMBER(L749),ABS(L749-(K749-IF(ISNUMBER(N749),N749,0)-IF(ISNUMBER(O749),O749,0)+IF(ISNUMBER(P749),P749,0)))&lt;=Summary!$B$2),"Passes using beginning_balance - PreV_ETB differs from beginning_balance",IF(AND(ISNUMBER(O749),O749&lt;0,ABS(L749-(Q749-IF(ISNUMBER(N749),N749,0)+IF(ISNUMBER(P749),P749,0)))&lt;=Summary!$B$2),"Negative realized loss not applied - check sign",IF(R749&lt;0,"Principal paid exceeds prior balance",IF(AND(L749&gt;Q749,NOT(ISNUMBER(P749))),"Balance increased but no Deferred_interest reported",IF(L749&gt;R749,"Reported balance higher than expected (missing increase/OC build)","Reported balance lower than expected (missing decrease)"))))),""))</f>
        <v/>
      </c>
    </row>
    <row r="750" customFormat="false" ht="15" hidden="false" customHeight="false" outlineLevel="0" collapsed="false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9"/>
      <c r="L750" s="9"/>
      <c r="M750" s="9"/>
      <c r="N750" s="9"/>
      <c r="O750" s="9"/>
      <c r="P750" s="9"/>
      <c r="Q750" s="9"/>
      <c r="R750" s="9" t="str">
        <f aca="false">IF(AND(A750&lt;&gt;"",ISNUMBER(Q750),ISNUMBER(L750)),ROUND(Q750-IF(ISNUMBER(N750),N750,0)-IF(ISNUMBER(O750),O750,0)+IF(ISNUMBER(P750),P750,0),2),"")</f>
        <v/>
      </c>
      <c r="S750" s="9" t="str">
        <f aca="false">IF(R750="","",ROUND(L750-R750,2))</f>
        <v/>
      </c>
      <c r="T750" s="8" t="str">
        <f aca="false">IF(A750="","",IF(S750="","BYPASS",IF(ABS(S750)&lt;=Summary!$B$2,"PASS","FAIL")))</f>
        <v/>
      </c>
      <c r="U750" s="8" t="str">
        <f aca="false">IF(T750="BYPASS",IF(NOT(ISNUMBER(Q750)),"PreV_ETB missing","End_tr_balance missing"),IF(T750="FAIL",IF(AND(ISNUMBER(K750),ISNUMBER(L750),ABS(L750-(K750-IF(ISNUMBER(N750),N750,0)-IF(ISNUMBER(O750),O750,0)+IF(ISNUMBER(P750),P750,0)))&lt;=Summary!$B$2),"Passes using beginning_balance - PreV_ETB differs from beginning_balance",IF(AND(ISNUMBER(O750),O750&lt;0,ABS(L750-(Q750-IF(ISNUMBER(N750),N750,0)+IF(ISNUMBER(P750),P750,0)))&lt;=Summary!$B$2),"Negative realized loss not applied - check sign",IF(R750&lt;0,"Principal paid exceeds prior balance",IF(AND(L750&gt;Q750,NOT(ISNUMBER(P750))),"Balance increased but no Deferred_interest reported",IF(L750&gt;R750,"Reported balance higher than expected (missing increase/OC build)","Reported balance lower than expected (missing decrease)"))))),""))</f>
        <v/>
      </c>
    </row>
    <row r="751" customFormat="false" ht="15" hidden="false" customHeight="false" outlineLevel="0" collapsed="false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9"/>
      <c r="L751" s="9"/>
      <c r="M751" s="9"/>
      <c r="N751" s="9"/>
      <c r="O751" s="9"/>
      <c r="P751" s="9"/>
      <c r="Q751" s="9"/>
      <c r="R751" s="9" t="str">
        <f aca="false">IF(AND(A751&lt;&gt;"",ISNUMBER(Q751),ISNUMBER(L751)),ROUND(Q751-IF(ISNUMBER(N751),N751,0)-IF(ISNUMBER(O751),O751,0)+IF(ISNUMBER(P751),P751,0),2),"")</f>
        <v/>
      </c>
      <c r="S751" s="9" t="str">
        <f aca="false">IF(R751="","",ROUND(L751-R751,2))</f>
        <v/>
      </c>
      <c r="T751" s="8" t="str">
        <f aca="false">IF(A751="","",IF(S751="","BYPASS",IF(ABS(S751)&lt;=Summary!$B$2,"PASS","FAIL")))</f>
        <v/>
      </c>
      <c r="U751" s="8" t="str">
        <f aca="false">IF(T751="BYPASS",IF(NOT(ISNUMBER(Q751)),"PreV_ETB missing","End_tr_balance missing"),IF(T751="FAIL",IF(AND(ISNUMBER(K751),ISNUMBER(L751),ABS(L751-(K751-IF(ISNUMBER(N751),N751,0)-IF(ISNUMBER(O751),O751,0)+IF(ISNUMBER(P751),P751,0)))&lt;=Summary!$B$2),"Passes using beginning_balance - PreV_ETB differs from beginning_balance",IF(AND(ISNUMBER(O751),O751&lt;0,ABS(L751-(Q751-IF(ISNUMBER(N751),N751,0)+IF(ISNUMBER(P751),P751,0)))&lt;=Summary!$B$2),"Negative realized loss not applied - check sign",IF(R751&lt;0,"Principal paid exceeds prior balance",IF(AND(L751&gt;Q751,NOT(ISNUMBER(P751))),"Balance increased but no Deferred_interest reported",IF(L751&gt;R751,"Reported balance higher than expected (missing increase/OC build)","Reported balance lower than expected (missing decrease)"))))),""))</f>
        <v/>
      </c>
    </row>
    <row r="752" customFormat="false" ht="15" hidden="false" customHeight="false" outlineLevel="0" collapsed="false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9"/>
      <c r="L752" s="9"/>
      <c r="M752" s="9"/>
      <c r="N752" s="9"/>
      <c r="O752" s="9"/>
      <c r="P752" s="9"/>
      <c r="Q752" s="9"/>
      <c r="R752" s="9" t="str">
        <f aca="false">IF(AND(A752&lt;&gt;"",ISNUMBER(Q752),ISNUMBER(L752)),ROUND(Q752-IF(ISNUMBER(N752),N752,0)-IF(ISNUMBER(O752),O752,0)+IF(ISNUMBER(P752),P752,0),2),"")</f>
        <v/>
      </c>
      <c r="S752" s="9" t="str">
        <f aca="false">IF(R752="","",ROUND(L752-R752,2))</f>
        <v/>
      </c>
      <c r="T752" s="8" t="str">
        <f aca="false">IF(A752="","",IF(S752="","BYPASS",IF(ABS(S752)&lt;=Summary!$B$2,"PASS","FAIL")))</f>
        <v/>
      </c>
      <c r="U752" s="8" t="str">
        <f aca="false">IF(T752="BYPASS",IF(NOT(ISNUMBER(Q752)),"PreV_ETB missing","End_tr_balance missing"),IF(T752="FAIL",IF(AND(ISNUMBER(K752),ISNUMBER(L752),ABS(L752-(K752-IF(ISNUMBER(N752),N752,0)-IF(ISNUMBER(O752),O752,0)+IF(ISNUMBER(P752),P752,0)))&lt;=Summary!$B$2),"Passes using beginning_balance - PreV_ETB differs from beginning_balance",IF(AND(ISNUMBER(O752),O752&lt;0,ABS(L752-(Q752-IF(ISNUMBER(N752),N752,0)+IF(ISNUMBER(P752),P752,0)))&lt;=Summary!$B$2),"Negative realized loss not applied - check sign",IF(R752&lt;0,"Principal paid exceeds prior balance",IF(AND(L752&gt;Q752,NOT(ISNUMBER(P752))),"Balance increased but no Deferred_interest reported",IF(L752&gt;R752,"Reported balance higher than expected (missing increase/OC build)","Reported balance lower than expected (missing decrease)"))))),""))</f>
        <v/>
      </c>
    </row>
    <row r="753" customFormat="false" ht="15" hidden="false" customHeight="false" outlineLevel="0" collapsed="false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9"/>
      <c r="L753" s="9"/>
      <c r="M753" s="9"/>
      <c r="N753" s="9"/>
      <c r="O753" s="9"/>
      <c r="P753" s="9"/>
      <c r="Q753" s="9"/>
      <c r="R753" s="9" t="str">
        <f aca="false">IF(AND(A753&lt;&gt;"",ISNUMBER(Q753),ISNUMBER(L753)),ROUND(Q753-IF(ISNUMBER(N753),N753,0)-IF(ISNUMBER(O753),O753,0)+IF(ISNUMBER(P753),P753,0),2),"")</f>
        <v/>
      </c>
      <c r="S753" s="9" t="str">
        <f aca="false">IF(R753="","",ROUND(L753-R753,2))</f>
        <v/>
      </c>
      <c r="T753" s="8" t="str">
        <f aca="false">IF(A753="","",IF(S753="","BYPASS",IF(ABS(S753)&lt;=Summary!$B$2,"PASS","FAIL")))</f>
        <v/>
      </c>
      <c r="U753" s="8" t="str">
        <f aca="false">IF(T753="BYPASS",IF(NOT(ISNUMBER(Q753)),"PreV_ETB missing","End_tr_balance missing"),IF(T753="FAIL",IF(AND(ISNUMBER(K753),ISNUMBER(L753),ABS(L753-(K753-IF(ISNUMBER(N753),N753,0)-IF(ISNUMBER(O753),O753,0)+IF(ISNUMBER(P753),P753,0)))&lt;=Summary!$B$2),"Passes using beginning_balance - PreV_ETB differs from beginning_balance",IF(AND(ISNUMBER(O753),O753&lt;0,ABS(L753-(Q753-IF(ISNUMBER(N753),N753,0)+IF(ISNUMBER(P753),P753,0)))&lt;=Summary!$B$2),"Negative realized loss not applied - check sign",IF(R753&lt;0,"Principal paid exceeds prior balance",IF(AND(L753&gt;Q753,NOT(ISNUMBER(P753))),"Balance increased but no Deferred_interest reported",IF(L753&gt;R753,"Reported balance higher than expected (missing increase/OC build)","Reported balance lower than expected (missing decrease)"))))),""))</f>
        <v/>
      </c>
    </row>
    <row r="754" customFormat="false" ht="15" hidden="false" customHeight="false" outlineLevel="0" collapsed="false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9"/>
      <c r="L754" s="9"/>
      <c r="M754" s="9"/>
      <c r="N754" s="9"/>
      <c r="O754" s="9"/>
      <c r="P754" s="9"/>
      <c r="Q754" s="9"/>
      <c r="R754" s="9" t="str">
        <f aca="false">IF(AND(A754&lt;&gt;"",ISNUMBER(Q754),ISNUMBER(L754)),ROUND(Q754-IF(ISNUMBER(N754),N754,0)-IF(ISNUMBER(O754),O754,0)+IF(ISNUMBER(P754),P754,0),2),"")</f>
        <v/>
      </c>
      <c r="S754" s="9" t="str">
        <f aca="false">IF(R754="","",ROUND(L754-R754,2))</f>
        <v/>
      </c>
      <c r="T754" s="8" t="str">
        <f aca="false">IF(A754="","",IF(S754="","BYPASS",IF(ABS(S754)&lt;=Summary!$B$2,"PASS","FAIL")))</f>
        <v/>
      </c>
      <c r="U754" s="8" t="str">
        <f aca="false">IF(T754="BYPASS",IF(NOT(ISNUMBER(Q754)),"PreV_ETB missing","End_tr_balance missing"),IF(T754="FAIL",IF(AND(ISNUMBER(K754),ISNUMBER(L754),ABS(L754-(K754-IF(ISNUMBER(N754),N754,0)-IF(ISNUMBER(O754),O754,0)+IF(ISNUMBER(P754),P754,0)))&lt;=Summary!$B$2),"Passes using beginning_balance - PreV_ETB differs from beginning_balance",IF(AND(ISNUMBER(O754),O754&lt;0,ABS(L754-(Q754-IF(ISNUMBER(N754),N754,0)+IF(ISNUMBER(P754),P754,0)))&lt;=Summary!$B$2),"Negative realized loss not applied - check sign",IF(R754&lt;0,"Principal paid exceeds prior balance",IF(AND(L754&gt;Q754,NOT(ISNUMBER(P754))),"Balance increased but no Deferred_interest reported",IF(L754&gt;R754,"Reported balance higher than expected (missing increase/OC build)","Reported balance lower than expected (missing decrease)"))))),""))</f>
        <v/>
      </c>
    </row>
    <row r="755" customFormat="false" ht="15" hidden="false" customHeight="false" outlineLevel="0" collapsed="false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9"/>
      <c r="L755" s="9"/>
      <c r="M755" s="9"/>
      <c r="N755" s="9"/>
      <c r="O755" s="9"/>
      <c r="P755" s="9"/>
      <c r="Q755" s="9"/>
      <c r="R755" s="9" t="str">
        <f aca="false">IF(AND(A755&lt;&gt;"",ISNUMBER(Q755),ISNUMBER(L755)),ROUND(Q755-IF(ISNUMBER(N755),N755,0)-IF(ISNUMBER(O755),O755,0)+IF(ISNUMBER(P755),P755,0),2),"")</f>
        <v/>
      </c>
      <c r="S755" s="9" t="str">
        <f aca="false">IF(R755="","",ROUND(L755-R755,2))</f>
        <v/>
      </c>
      <c r="T755" s="8" t="str">
        <f aca="false">IF(A755="","",IF(S755="","BYPASS",IF(ABS(S755)&lt;=Summary!$B$2,"PASS","FAIL")))</f>
        <v/>
      </c>
      <c r="U755" s="8" t="str">
        <f aca="false">IF(T755="BYPASS",IF(NOT(ISNUMBER(Q755)),"PreV_ETB missing","End_tr_balance missing"),IF(T755="FAIL",IF(AND(ISNUMBER(K755),ISNUMBER(L755),ABS(L755-(K755-IF(ISNUMBER(N755),N755,0)-IF(ISNUMBER(O755),O755,0)+IF(ISNUMBER(P755),P755,0)))&lt;=Summary!$B$2),"Passes using beginning_balance - PreV_ETB differs from beginning_balance",IF(AND(ISNUMBER(O755),O755&lt;0,ABS(L755-(Q755-IF(ISNUMBER(N755),N755,0)+IF(ISNUMBER(P755),P755,0)))&lt;=Summary!$B$2),"Negative realized loss not applied - check sign",IF(R755&lt;0,"Principal paid exceeds prior balance",IF(AND(L755&gt;Q755,NOT(ISNUMBER(P755))),"Balance increased but no Deferred_interest reported",IF(L755&gt;R755,"Reported balance higher than expected (missing increase/OC build)","Reported balance lower than expected (missing decrease)"))))),""))</f>
        <v/>
      </c>
    </row>
    <row r="756" customFormat="false" ht="15" hidden="false" customHeight="false" outlineLevel="0" collapsed="false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9"/>
      <c r="L756" s="9"/>
      <c r="M756" s="9"/>
      <c r="N756" s="9"/>
      <c r="O756" s="9"/>
      <c r="P756" s="9"/>
      <c r="Q756" s="9"/>
      <c r="R756" s="9" t="str">
        <f aca="false">IF(AND(A756&lt;&gt;"",ISNUMBER(Q756),ISNUMBER(L756)),ROUND(Q756-IF(ISNUMBER(N756),N756,0)-IF(ISNUMBER(O756),O756,0)+IF(ISNUMBER(P756),P756,0),2),"")</f>
        <v/>
      </c>
      <c r="S756" s="9" t="str">
        <f aca="false">IF(R756="","",ROUND(L756-R756,2))</f>
        <v/>
      </c>
      <c r="T756" s="8" t="str">
        <f aca="false">IF(A756="","",IF(S756="","BYPASS",IF(ABS(S756)&lt;=Summary!$B$2,"PASS","FAIL")))</f>
        <v/>
      </c>
      <c r="U756" s="8" t="str">
        <f aca="false">IF(T756="BYPASS",IF(NOT(ISNUMBER(Q756)),"PreV_ETB missing","End_tr_balance missing"),IF(T756="FAIL",IF(AND(ISNUMBER(K756),ISNUMBER(L756),ABS(L756-(K756-IF(ISNUMBER(N756),N756,0)-IF(ISNUMBER(O756),O756,0)+IF(ISNUMBER(P756),P756,0)))&lt;=Summary!$B$2),"Passes using beginning_balance - PreV_ETB differs from beginning_balance",IF(AND(ISNUMBER(O756),O756&lt;0,ABS(L756-(Q756-IF(ISNUMBER(N756),N756,0)+IF(ISNUMBER(P756),P756,0)))&lt;=Summary!$B$2),"Negative realized loss not applied - check sign",IF(R756&lt;0,"Principal paid exceeds prior balance",IF(AND(L756&gt;Q756,NOT(ISNUMBER(P756))),"Balance increased but no Deferred_interest reported",IF(L756&gt;R756,"Reported balance higher than expected (missing increase/OC build)","Reported balance lower than expected (missing decrease)"))))),""))</f>
        <v/>
      </c>
    </row>
    <row r="757" customFormat="false" ht="15" hidden="false" customHeight="false" outlineLevel="0" collapsed="false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9"/>
      <c r="L757" s="9"/>
      <c r="M757" s="9"/>
      <c r="N757" s="9"/>
      <c r="O757" s="9"/>
      <c r="P757" s="9"/>
      <c r="Q757" s="9"/>
      <c r="R757" s="9" t="str">
        <f aca="false">IF(AND(A757&lt;&gt;"",ISNUMBER(Q757),ISNUMBER(L757)),ROUND(Q757-IF(ISNUMBER(N757),N757,0)-IF(ISNUMBER(O757),O757,0)+IF(ISNUMBER(P757),P757,0),2),"")</f>
        <v/>
      </c>
      <c r="S757" s="9" t="str">
        <f aca="false">IF(R757="","",ROUND(L757-R757,2))</f>
        <v/>
      </c>
      <c r="T757" s="8" t="str">
        <f aca="false">IF(A757="","",IF(S757="","BYPASS",IF(ABS(S757)&lt;=Summary!$B$2,"PASS","FAIL")))</f>
        <v/>
      </c>
      <c r="U757" s="8" t="str">
        <f aca="false">IF(T757="BYPASS",IF(NOT(ISNUMBER(Q757)),"PreV_ETB missing","End_tr_balance missing"),IF(T757="FAIL",IF(AND(ISNUMBER(K757),ISNUMBER(L757),ABS(L757-(K757-IF(ISNUMBER(N757),N757,0)-IF(ISNUMBER(O757),O757,0)+IF(ISNUMBER(P757),P757,0)))&lt;=Summary!$B$2),"Passes using beginning_balance - PreV_ETB differs from beginning_balance",IF(AND(ISNUMBER(O757),O757&lt;0,ABS(L757-(Q757-IF(ISNUMBER(N757),N757,0)+IF(ISNUMBER(P757),P757,0)))&lt;=Summary!$B$2),"Negative realized loss not applied - check sign",IF(R757&lt;0,"Principal paid exceeds prior balance",IF(AND(L757&gt;Q757,NOT(ISNUMBER(P757))),"Balance increased but no Deferred_interest reported",IF(L757&gt;R757,"Reported balance higher than expected (missing increase/OC build)","Reported balance lower than expected (missing decrease)"))))),""))</f>
        <v/>
      </c>
    </row>
    <row r="758" customFormat="false" ht="15" hidden="false" customHeight="false" outlineLevel="0" collapsed="false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9"/>
      <c r="L758" s="9"/>
      <c r="M758" s="9"/>
      <c r="N758" s="9"/>
      <c r="O758" s="9"/>
      <c r="P758" s="9"/>
      <c r="Q758" s="9"/>
      <c r="R758" s="9" t="str">
        <f aca="false">IF(AND(A758&lt;&gt;"",ISNUMBER(Q758),ISNUMBER(L758)),ROUND(Q758-IF(ISNUMBER(N758),N758,0)-IF(ISNUMBER(O758),O758,0)+IF(ISNUMBER(P758),P758,0),2),"")</f>
        <v/>
      </c>
      <c r="S758" s="9" t="str">
        <f aca="false">IF(R758="","",ROUND(L758-R758,2))</f>
        <v/>
      </c>
      <c r="T758" s="8" t="str">
        <f aca="false">IF(A758="","",IF(S758="","BYPASS",IF(ABS(S758)&lt;=Summary!$B$2,"PASS","FAIL")))</f>
        <v/>
      </c>
      <c r="U758" s="8" t="str">
        <f aca="false">IF(T758="BYPASS",IF(NOT(ISNUMBER(Q758)),"PreV_ETB missing","End_tr_balance missing"),IF(T758="FAIL",IF(AND(ISNUMBER(K758),ISNUMBER(L758),ABS(L758-(K758-IF(ISNUMBER(N758),N758,0)-IF(ISNUMBER(O758),O758,0)+IF(ISNUMBER(P758),P758,0)))&lt;=Summary!$B$2),"Passes using beginning_balance - PreV_ETB differs from beginning_balance",IF(AND(ISNUMBER(O758),O758&lt;0,ABS(L758-(Q758-IF(ISNUMBER(N758),N758,0)+IF(ISNUMBER(P758),P758,0)))&lt;=Summary!$B$2),"Negative realized loss not applied - check sign",IF(R758&lt;0,"Principal paid exceeds prior balance",IF(AND(L758&gt;Q758,NOT(ISNUMBER(P758))),"Balance increased but no Deferred_interest reported",IF(L758&gt;R758,"Reported balance higher than expected (missing increase/OC build)","Reported balance lower than expected (missing decrease)"))))),""))</f>
        <v/>
      </c>
    </row>
    <row r="759" customFormat="false" ht="15" hidden="false" customHeight="false" outlineLevel="0" collapsed="false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9"/>
      <c r="L759" s="9"/>
      <c r="M759" s="9"/>
      <c r="N759" s="9"/>
      <c r="O759" s="9"/>
      <c r="P759" s="9"/>
      <c r="Q759" s="9"/>
      <c r="R759" s="9" t="str">
        <f aca="false">IF(AND(A759&lt;&gt;"",ISNUMBER(Q759),ISNUMBER(L759)),ROUND(Q759-IF(ISNUMBER(N759),N759,0)-IF(ISNUMBER(O759),O759,0)+IF(ISNUMBER(P759),P759,0),2),"")</f>
        <v/>
      </c>
      <c r="S759" s="9" t="str">
        <f aca="false">IF(R759="","",ROUND(L759-R759,2))</f>
        <v/>
      </c>
      <c r="T759" s="8" t="str">
        <f aca="false">IF(A759="","",IF(S759="","BYPASS",IF(ABS(S759)&lt;=Summary!$B$2,"PASS","FAIL")))</f>
        <v/>
      </c>
      <c r="U759" s="8" t="str">
        <f aca="false">IF(T759="BYPASS",IF(NOT(ISNUMBER(Q759)),"PreV_ETB missing","End_tr_balance missing"),IF(T759="FAIL",IF(AND(ISNUMBER(K759),ISNUMBER(L759),ABS(L759-(K759-IF(ISNUMBER(N759),N759,0)-IF(ISNUMBER(O759),O759,0)+IF(ISNUMBER(P759),P759,0)))&lt;=Summary!$B$2),"Passes using beginning_balance - PreV_ETB differs from beginning_balance",IF(AND(ISNUMBER(O759),O759&lt;0,ABS(L759-(Q759-IF(ISNUMBER(N759),N759,0)+IF(ISNUMBER(P759),P759,0)))&lt;=Summary!$B$2),"Negative realized loss not applied - check sign",IF(R759&lt;0,"Principal paid exceeds prior balance",IF(AND(L759&gt;Q759,NOT(ISNUMBER(P759))),"Balance increased but no Deferred_interest reported",IF(L759&gt;R759,"Reported balance higher than expected (missing increase/OC build)","Reported balance lower than expected (missing decrease)"))))),""))</f>
        <v/>
      </c>
    </row>
    <row r="760" customFormat="false" ht="15" hidden="false" customHeight="false" outlineLevel="0" collapsed="false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9"/>
      <c r="L760" s="9"/>
      <c r="M760" s="9"/>
      <c r="N760" s="9"/>
      <c r="O760" s="9"/>
      <c r="P760" s="9"/>
      <c r="Q760" s="9"/>
      <c r="R760" s="9" t="str">
        <f aca="false">IF(AND(A760&lt;&gt;"",ISNUMBER(Q760),ISNUMBER(L760)),ROUND(Q760-IF(ISNUMBER(N760),N760,0)-IF(ISNUMBER(O760),O760,0)+IF(ISNUMBER(P760),P760,0),2),"")</f>
        <v/>
      </c>
      <c r="S760" s="9" t="str">
        <f aca="false">IF(R760="","",ROUND(L760-R760,2))</f>
        <v/>
      </c>
      <c r="T760" s="8" t="str">
        <f aca="false">IF(A760="","",IF(S760="","BYPASS",IF(ABS(S760)&lt;=Summary!$B$2,"PASS","FAIL")))</f>
        <v/>
      </c>
      <c r="U760" s="8" t="str">
        <f aca="false">IF(T760="BYPASS",IF(NOT(ISNUMBER(Q760)),"PreV_ETB missing","End_tr_balance missing"),IF(T760="FAIL",IF(AND(ISNUMBER(K760),ISNUMBER(L760),ABS(L760-(K760-IF(ISNUMBER(N760),N760,0)-IF(ISNUMBER(O760),O760,0)+IF(ISNUMBER(P760),P760,0)))&lt;=Summary!$B$2),"Passes using beginning_balance - PreV_ETB differs from beginning_balance",IF(AND(ISNUMBER(O760),O760&lt;0,ABS(L760-(Q760-IF(ISNUMBER(N760),N760,0)+IF(ISNUMBER(P760),P760,0)))&lt;=Summary!$B$2),"Negative realized loss not applied - check sign",IF(R760&lt;0,"Principal paid exceeds prior balance",IF(AND(L760&gt;Q760,NOT(ISNUMBER(P760))),"Balance increased but no Deferred_interest reported",IF(L760&gt;R760,"Reported balance higher than expected (missing increase/OC build)","Reported balance lower than expected (missing decrease)"))))),""))</f>
        <v/>
      </c>
    </row>
    <row r="761" customFormat="false" ht="15" hidden="false" customHeight="false" outlineLevel="0" collapsed="false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9"/>
      <c r="L761" s="9"/>
      <c r="M761" s="9"/>
      <c r="N761" s="9"/>
      <c r="O761" s="9"/>
      <c r="P761" s="9"/>
      <c r="Q761" s="9"/>
      <c r="R761" s="9" t="str">
        <f aca="false">IF(AND(A761&lt;&gt;"",ISNUMBER(Q761),ISNUMBER(L761)),ROUND(Q761-IF(ISNUMBER(N761),N761,0)-IF(ISNUMBER(O761),O761,0)+IF(ISNUMBER(P761),P761,0),2),"")</f>
        <v/>
      </c>
      <c r="S761" s="9" t="str">
        <f aca="false">IF(R761="","",ROUND(L761-R761,2))</f>
        <v/>
      </c>
      <c r="T761" s="8" t="str">
        <f aca="false">IF(A761="","",IF(S761="","BYPASS",IF(ABS(S761)&lt;=Summary!$B$2,"PASS","FAIL")))</f>
        <v/>
      </c>
      <c r="U761" s="8" t="str">
        <f aca="false">IF(T761="BYPASS",IF(NOT(ISNUMBER(Q761)),"PreV_ETB missing","End_tr_balance missing"),IF(T761="FAIL",IF(AND(ISNUMBER(K761),ISNUMBER(L761),ABS(L761-(K761-IF(ISNUMBER(N761),N761,0)-IF(ISNUMBER(O761),O761,0)+IF(ISNUMBER(P761),P761,0)))&lt;=Summary!$B$2),"Passes using beginning_balance - PreV_ETB differs from beginning_balance",IF(AND(ISNUMBER(O761),O761&lt;0,ABS(L761-(Q761-IF(ISNUMBER(N761),N761,0)+IF(ISNUMBER(P761),P761,0)))&lt;=Summary!$B$2),"Negative realized loss not applied - check sign",IF(R761&lt;0,"Principal paid exceeds prior balance",IF(AND(L761&gt;Q761,NOT(ISNUMBER(P761))),"Balance increased but no Deferred_interest reported",IF(L761&gt;R761,"Reported balance higher than expected (missing increase/OC build)","Reported balance lower than expected (missing decrease)"))))),""))</f>
        <v/>
      </c>
    </row>
    <row r="762" customFormat="false" ht="15" hidden="false" customHeight="false" outlineLevel="0" collapsed="false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9"/>
      <c r="L762" s="9"/>
      <c r="M762" s="9"/>
      <c r="N762" s="9"/>
      <c r="O762" s="9"/>
      <c r="P762" s="9"/>
      <c r="Q762" s="9"/>
      <c r="R762" s="9" t="str">
        <f aca="false">IF(AND(A762&lt;&gt;"",ISNUMBER(Q762),ISNUMBER(L762)),ROUND(Q762-IF(ISNUMBER(N762),N762,0)-IF(ISNUMBER(O762),O762,0)+IF(ISNUMBER(P762),P762,0),2),"")</f>
        <v/>
      </c>
      <c r="S762" s="9" t="str">
        <f aca="false">IF(R762="","",ROUND(L762-R762,2))</f>
        <v/>
      </c>
      <c r="T762" s="8" t="str">
        <f aca="false">IF(A762="","",IF(S762="","BYPASS",IF(ABS(S762)&lt;=Summary!$B$2,"PASS","FAIL")))</f>
        <v/>
      </c>
      <c r="U762" s="8" t="str">
        <f aca="false">IF(T762="BYPASS",IF(NOT(ISNUMBER(Q762)),"PreV_ETB missing","End_tr_balance missing"),IF(T762="FAIL",IF(AND(ISNUMBER(K762),ISNUMBER(L762),ABS(L762-(K762-IF(ISNUMBER(N762),N762,0)-IF(ISNUMBER(O762),O762,0)+IF(ISNUMBER(P762),P762,0)))&lt;=Summary!$B$2),"Passes using beginning_balance - PreV_ETB differs from beginning_balance",IF(AND(ISNUMBER(O762),O762&lt;0,ABS(L762-(Q762-IF(ISNUMBER(N762),N762,0)+IF(ISNUMBER(P762),P762,0)))&lt;=Summary!$B$2),"Negative realized loss not applied - check sign",IF(R762&lt;0,"Principal paid exceeds prior balance",IF(AND(L762&gt;Q762,NOT(ISNUMBER(P762))),"Balance increased but no Deferred_interest reported",IF(L762&gt;R762,"Reported balance higher than expected (missing increase/OC build)","Reported balance lower than expected (missing decrease)"))))),""))</f>
        <v/>
      </c>
    </row>
    <row r="763" customFormat="false" ht="15" hidden="false" customHeight="false" outlineLevel="0" collapsed="false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9"/>
      <c r="L763" s="9"/>
      <c r="M763" s="9"/>
      <c r="N763" s="9"/>
      <c r="O763" s="9"/>
      <c r="P763" s="9"/>
      <c r="Q763" s="9"/>
      <c r="R763" s="9" t="str">
        <f aca="false">IF(AND(A763&lt;&gt;"",ISNUMBER(Q763),ISNUMBER(L763)),ROUND(Q763-IF(ISNUMBER(N763),N763,0)-IF(ISNUMBER(O763),O763,0)+IF(ISNUMBER(P763),P763,0),2),"")</f>
        <v/>
      </c>
      <c r="S763" s="9" t="str">
        <f aca="false">IF(R763="","",ROUND(L763-R763,2))</f>
        <v/>
      </c>
      <c r="T763" s="8" t="str">
        <f aca="false">IF(A763="","",IF(S763="","BYPASS",IF(ABS(S763)&lt;=Summary!$B$2,"PASS","FAIL")))</f>
        <v/>
      </c>
      <c r="U763" s="8" t="str">
        <f aca="false">IF(T763="BYPASS",IF(NOT(ISNUMBER(Q763)),"PreV_ETB missing","End_tr_balance missing"),IF(T763="FAIL",IF(AND(ISNUMBER(K763),ISNUMBER(L763),ABS(L763-(K763-IF(ISNUMBER(N763),N763,0)-IF(ISNUMBER(O763),O763,0)+IF(ISNUMBER(P763),P763,0)))&lt;=Summary!$B$2),"Passes using beginning_balance - PreV_ETB differs from beginning_balance",IF(AND(ISNUMBER(O763),O763&lt;0,ABS(L763-(Q763-IF(ISNUMBER(N763),N763,0)+IF(ISNUMBER(P763),P763,0)))&lt;=Summary!$B$2),"Negative realized loss not applied - check sign",IF(R763&lt;0,"Principal paid exceeds prior balance",IF(AND(L763&gt;Q763,NOT(ISNUMBER(P763))),"Balance increased but no Deferred_interest reported",IF(L763&gt;R763,"Reported balance higher than expected (missing increase/OC build)","Reported balance lower than expected (missing decrease)"))))),""))</f>
        <v/>
      </c>
    </row>
    <row r="764" customFormat="false" ht="15" hidden="false" customHeight="false" outlineLevel="0" collapsed="false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9"/>
      <c r="L764" s="9"/>
      <c r="M764" s="9"/>
      <c r="N764" s="9"/>
      <c r="O764" s="9"/>
      <c r="P764" s="9"/>
      <c r="Q764" s="9"/>
      <c r="R764" s="9" t="str">
        <f aca="false">IF(AND(A764&lt;&gt;"",ISNUMBER(Q764),ISNUMBER(L764)),ROUND(Q764-IF(ISNUMBER(N764),N764,0)-IF(ISNUMBER(O764),O764,0)+IF(ISNUMBER(P764),P764,0),2),"")</f>
        <v/>
      </c>
      <c r="S764" s="9" t="str">
        <f aca="false">IF(R764="","",ROUND(L764-R764,2))</f>
        <v/>
      </c>
      <c r="T764" s="8" t="str">
        <f aca="false">IF(A764="","",IF(S764="","BYPASS",IF(ABS(S764)&lt;=Summary!$B$2,"PASS","FAIL")))</f>
        <v/>
      </c>
      <c r="U764" s="8" t="str">
        <f aca="false">IF(T764="BYPASS",IF(NOT(ISNUMBER(Q764)),"PreV_ETB missing","End_tr_balance missing"),IF(T764="FAIL",IF(AND(ISNUMBER(K764),ISNUMBER(L764),ABS(L764-(K764-IF(ISNUMBER(N764),N764,0)-IF(ISNUMBER(O764),O764,0)+IF(ISNUMBER(P764),P764,0)))&lt;=Summary!$B$2),"Passes using beginning_balance - PreV_ETB differs from beginning_balance",IF(AND(ISNUMBER(O764),O764&lt;0,ABS(L764-(Q764-IF(ISNUMBER(N764),N764,0)+IF(ISNUMBER(P764),P764,0)))&lt;=Summary!$B$2),"Negative realized loss not applied - check sign",IF(R764&lt;0,"Principal paid exceeds prior balance",IF(AND(L764&gt;Q764,NOT(ISNUMBER(P764))),"Balance increased but no Deferred_interest reported",IF(L764&gt;R764,"Reported balance higher than expected (missing increase/OC build)","Reported balance lower than expected (missing decrease)"))))),""))</f>
        <v/>
      </c>
    </row>
    <row r="765" customFormat="false" ht="15" hidden="false" customHeight="false" outlineLevel="0" collapsed="false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9"/>
      <c r="L765" s="9"/>
      <c r="M765" s="9"/>
      <c r="N765" s="9"/>
      <c r="O765" s="9"/>
      <c r="P765" s="9"/>
      <c r="Q765" s="9"/>
      <c r="R765" s="9" t="str">
        <f aca="false">IF(AND(A765&lt;&gt;"",ISNUMBER(Q765),ISNUMBER(L765)),ROUND(Q765-IF(ISNUMBER(N765),N765,0)-IF(ISNUMBER(O765),O765,0)+IF(ISNUMBER(P765),P765,0),2),"")</f>
        <v/>
      </c>
      <c r="S765" s="9" t="str">
        <f aca="false">IF(R765="","",ROUND(L765-R765,2))</f>
        <v/>
      </c>
      <c r="T765" s="8" t="str">
        <f aca="false">IF(A765="","",IF(S765="","BYPASS",IF(ABS(S765)&lt;=Summary!$B$2,"PASS","FAIL")))</f>
        <v/>
      </c>
      <c r="U765" s="8" t="str">
        <f aca="false">IF(T765="BYPASS",IF(NOT(ISNUMBER(Q765)),"PreV_ETB missing","End_tr_balance missing"),IF(T765="FAIL",IF(AND(ISNUMBER(K765),ISNUMBER(L765),ABS(L765-(K765-IF(ISNUMBER(N765),N765,0)-IF(ISNUMBER(O765),O765,0)+IF(ISNUMBER(P765),P765,0)))&lt;=Summary!$B$2),"Passes using beginning_balance - PreV_ETB differs from beginning_balance",IF(AND(ISNUMBER(O765),O765&lt;0,ABS(L765-(Q765-IF(ISNUMBER(N765),N765,0)+IF(ISNUMBER(P765),P765,0)))&lt;=Summary!$B$2),"Negative realized loss not applied - check sign",IF(R765&lt;0,"Principal paid exceeds prior balance",IF(AND(L765&gt;Q765,NOT(ISNUMBER(P765))),"Balance increased but no Deferred_interest reported",IF(L765&gt;R765,"Reported balance higher than expected (missing increase/OC build)","Reported balance lower than expected (missing decrease)"))))),""))</f>
        <v/>
      </c>
    </row>
    <row r="766" customFormat="false" ht="15" hidden="false" customHeight="false" outlineLevel="0" collapsed="false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9"/>
      <c r="L766" s="9"/>
      <c r="M766" s="9"/>
      <c r="N766" s="9"/>
      <c r="O766" s="9"/>
      <c r="P766" s="9"/>
      <c r="Q766" s="9"/>
      <c r="R766" s="9" t="str">
        <f aca="false">IF(AND(A766&lt;&gt;"",ISNUMBER(Q766),ISNUMBER(L766)),ROUND(Q766-IF(ISNUMBER(N766),N766,0)-IF(ISNUMBER(O766),O766,0)+IF(ISNUMBER(P766),P766,0),2),"")</f>
        <v/>
      </c>
      <c r="S766" s="9" t="str">
        <f aca="false">IF(R766="","",ROUND(L766-R766,2))</f>
        <v/>
      </c>
      <c r="T766" s="8" t="str">
        <f aca="false">IF(A766="","",IF(S766="","BYPASS",IF(ABS(S766)&lt;=Summary!$B$2,"PASS","FAIL")))</f>
        <v/>
      </c>
      <c r="U766" s="8" t="str">
        <f aca="false">IF(T766="BYPASS",IF(NOT(ISNUMBER(Q766)),"PreV_ETB missing","End_tr_balance missing"),IF(T766="FAIL",IF(AND(ISNUMBER(K766),ISNUMBER(L766),ABS(L766-(K766-IF(ISNUMBER(N766),N766,0)-IF(ISNUMBER(O766),O766,0)+IF(ISNUMBER(P766),P766,0)))&lt;=Summary!$B$2),"Passes using beginning_balance - PreV_ETB differs from beginning_balance",IF(AND(ISNUMBER(O766),O766&lt;0,ABS(L766-(Q766-IF(ISNUMBER(N766),N766,0)+IF(ISNUMBER(P766),P766,0)))&lt;=Summary!$B$2),"Negative realized loss not applied - check sign",IF(R766&lt;0,"Principal paid exceeds prior balance",IF(AND(L766&gt;Q766,NOT(ISNUMBER(P766))),"Balance increased but no Deferred_interest reported",IF(L766&gt;R766,"Reported balance higher than expected (missing increase/OC build)","Reported balance lower than expected (missing decrease)"))))),""))</f>
        <v/>
      </c>
    </row>
    <row r="767" customFormat="false" ht="15" hidden="false" customHeight="false" outlineLevel="0" collapsed="false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9"/>
      <c r="L767" s="9"/>
      <c r="M767" s="9"/>
      <c r="N767" s="9"/>
      <c r="O767" s="9"/>
      <c r="P767" s="9"/>
      <c r="Q767" s="9"/>
      <c r="R767" s="9" t="str">
        <f aca="false">IF(AND(A767&lt;&gt;"",ISNUMBER(Q767),ISNUMBER(L767)),ROUND(Q767-IF(ISNUMBER(N767),N767,0)-IF(ISNUMBER(O767),O767,0)+IF(ISNUMBER(P767),P767,0),2),"")</f>
        <v/>
      </c>
      <c r="S767" s="9" t="str">
        <f aca="false">IF(R767="","",ROUND(L767-R767,2))</f>
        <v/>
      </c>
      <c r="T767" s="8" t="str">
        <f aca="false">IF(A767="","",IF(S767="","BYPASS",IF(ABS(S767)&lt;=Summary!$B$2,"PASS","FAIL")))</f>
        <v/>
      </c>
      <c r="U767" s="8" t="str">
        <f aca="false">IF(T767="BYPASS",IF(NOT(ISNUMBER(Q767)),"PreV_ETB missing","End_tr_balance missing"),IF(T767="FAIL",IF(AND(ISNUMBER(K767),ISNUMBER(L767),ABS(L767-(K767-IF(ISNUMBER(N767),N767,0)-IF(ISNUMBER(O767),O767,0)+IF(ISNUMBER(P767),P767,0)))&lt;=Summary!$B$2),"Passes using beginning_balance - PreV_ETB differs from beginning_balance",IF(AND(ISNUMBER(O767),O767&lt;0,ABS(L767-(Q767-IF(ISNUMBER(N767),N767,0)+IF(ISNUMBER(P767),P767,0)))&lt;=Summary!$B$2),"Negative realized loss not applied - check sign",IF(R767&lt;0,"Principal paid exceeds prior balance",IF(AND(L767&gt;Q767,NOT(ISNUMBER(P767))),"Balance increased but no Deferred_interest reported",IF(L767&gt;R767,"Reported balance higher than expected (missing increase/OC build)","Reported balance lower than expected (missing decrease)"))))),""))</f>
        <v/>
      </c>
    </row>
    <row r="768" customFormat="false" ht="15" hidden="false" customHeight="false" outlineLevel="0" collapsed="false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9"/>
      <c r="L768" s="9"/>
      <c r="M768" s="9"/>
      <c r="N768" s="9"/>
      <c r="O768" s="9"/>
      <c r="P768" s="9"/>
      <c r="Q768" s="9"/>
      <c r="R768" s="9" t="str">
        <f aca="false">IF(AND(A768&lt;&gt;"",ISNUMBER(Q768),ISNUMBER(L768)),ROUND(Q768-IF(ISNUMBER(N768),N768,0)-IF(ISNUMBER(O768),O768,0)+IF(ISNUMBER(P768),P768,0),2),"")</f>
        <v/>
      </c>
      <c r="S768" s="9" t="str">
        <f aca="false">IF(R768="","",ROUND(L768-R768,2))</f>
        <v/>
      </c>
      <c r="T768" s="8" t="str">
        <f aca="false">IF(A768="","",IF(S768="","BYPASS",IF(ABS(S768)&lt;=Summary!$B$2,"PASS","FAIL")))</f>
        <v/>
      </c>
      <c r="U768" s="8" t="str">
        <f aca="false">IF(T768="BYPASS",IF(NOT(ISNUMBER(Q768)),"PreV_ETB missing","End_tr_balance missing"),IF(T768="FAIL",IF(AND(ISNUMBER(K768),ISNUMBER(L768),ABS(L768-(K768-IF(ISNUMBER(N768),N768,0)-IF(ISNUMBER(O768),O768,0)+IF(ISNUMBER(P768),P768,0)))&lt;=Summary!$B$2),"Passes using beginning_balance - PreV_ETB differs from beginning_balance",IF(AND(ISNUMBER(O768),O768&lt;0,ABS(L768-(Q768-IF(ISNUMBER(N768),N768,0)+IF(ISNUMBER(P768),P768,0)))&lt;=Summary!$B$2),"Negative realized loss not applied - check sign",IF(R768&lt;0,"Principal paid exceeds prior balance",IF(AND(L768&gt;Q768,NOT(ISNUMBER(P768))),"Balance increased but no Deferred_interest reported",IF(L768&gt;R768,"Reported balance higher than expected (missing increase/OC build)","Reported balance lower than expected (missing decrease)"))))),""))</f>
        <v/>
      </c>
    </row>
    <row r="769" customFormat="false" ht="15" hidden="false" customHeight="false" outlineLevel="0" collapsed="false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9"/>
      <c r="L769" s="9"/>
      <c r="M769" s="9"/>
      <c r="N769" s="9"/>
      <c r="O769" s="9"/>
      <c r="P769" s="9"/>
      <c r="Q769" s="9"/>
      <c r="R769" s="9" t="str">
        <f aca="false">IF(AND(A769&lt;&gt;"",ISNUMBER(Q769),ISNUMBER(L769)),ROUND(Q769-IF(ISNUMBER(N769),N769,0)-IF(ISNUMBER(O769),O769,0)+IF(ISNUMBER(P769),P769,0),2),"")</f>
        <v/>
      </c>
      <c r="S769" s="9" t="str">
        <f aca="false">IF(R769="","",ROUND(L769-R769,2))</f>
        <v/>
      </c>
      <c r="T769" s="8" t="str">
        <f aca="false">IF(A769="","",IF(S769="","BYPASS",IF(ABS(S769)&lt;=Summary!$B$2,"PASS","FAIL")))</f>
        <v/>
      </c>
      <c r="U769" s="8" t="str">
        <f aca="false">IF(T769="BYPASS",IF(NOT(ISNUMBER(Q769)),"PreV_ETB missing","End_tr_balance missing"),IF(T769="FAIL",IF(AND(ISNUMBER(K769),ISNUMBER(L769),ABS(L769-(K769-IF(ISNUMBER(N769),N769,0)-IF(ISNUMBER(O769),O769,0)+IF(ISNUMBER(P769),P769,0)))&lt;=Summary!$B$2),"Passes using beginning_balance - PreV_ETB differs from beginning_balance",IF(AND(ISNUMBER(O769),O769&lt;0,ABS(L769-(Q769-IF(ISNUMBER(N769),N769,0)+IF(ISNUMBER(P769),P769,0)))&lt;=Summary!$B$2),"Negative realized loss not applied - check sign",IF(R769&lt;0,"Principal paid exceeds prior balance",IF(AND(L769&gt;Q769,NOT(ISNUMBER(P769))),"Balance increased but no Deferred_interest reported",IF(L769&gt;R769,"Reported balance higher than expected (missing increase/OC build)","Reported balance lower than expected (missing decrease)"))))),""))</f>
        <v/>
      </c>
    </row>
    <row r="770" customFormat="false" ht="15" hidden="false" customHeight="false" outlineLevel="0" collapsed="false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9"/>
      <c r="L770" s="9"/>
      <c r="M770" s="9"/>
      <c r="N770" s="9"/>
      <c r="O770" s="9"/>
      <c r="P770" s="9"/>
      <c r="Q770" s="9"/>
      <c r="R770" s="9" t="str">
        <f aca="false">IF(AND(A770&lt;&gt;"",ISNUMBER(Q770),ISNUMBER(L770)),ROUND(Q770-IF(ISNUMBER(N770),N770,0)-IF(ISNUMBER(O770),O770,0)+IF(ISNUMBER(P770),P770,0),2),"")</f>
        <v/>
      </c>
      <c r="S770" s="9" t="str">
        <f aca="false">IF(R770="","",ROUND(L770-R770,2))</f>
        <v/>
      </c>
      <c r="T770" s="8" t="str">
        <f aca="false">IF(A770="","",IF(S770="","BYPASS",IF(ABS(S770)&lt;=Summary!$B$2,"PASS","FAIL")))</f>
        <v/>
      </c>
      <c r="U770" s="8" t="str">
        <f aca="false">IF(T770="BYPASS",IF(NOT(ISNUMBER(Q770)),"PreV_ETB missing","End_tr_balance missing"),IF(T770="FAIL",IF(AND(ISNUMBER(K770),ISNUMBER(L770),ABS(L770-(K770-IF(ISNUMBER(N770),N770,0)-IF(ISNUMBER(O770),O770,0)+IF(ISNUMBER(P770),P770,0)))&lt;=Summary!$B$2),"Passes using beginning_balance - PreV_ETB differs from beginning_balance",IF(AND(ISNUMBER(O770),O770&lt;0,ABS(L770-(Q770-IF(ISNUMBER(N770),N770,0)+IF(ISNUMBER(P770),P770,0)))&lt;=Summary!$B$2),"Negative realized loss not applied - check sign",IF(R770&lt;0,"Principal paid exceeds prior balance",IF(AND(L770&gt;Q770,NOT(ISNUMBER(P770))),"Balance increased but no Deferred_interest reported",IF(L770&gt;R770,"Reported balance higher than expected (missing increase/OC build)","Reported balance lower than expected (missing decrease)"))))),""))</f>
        <v/>
      </c>
    </row>
    <row r="771" customFormat="false" ht="15" hidden="false" customHeight="false" outlineLevel="0" collapsed="false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9"/>
      <c r="L771" s="9"/>
      <c r="M771" s="9"/>
      <c r="N771" s="9"/>
      <c r="O771" s="9"/>
      <c r="P771" s="9"/>
      <c r="Q771" s="9"/>
      <c r="R771" s="9" t="str">
        <f aca="false">IF(AND(A771&lt;&gt;"",ISNUMBER(Q771),ISNUMBER(L771)),ROUND(Q771-IF(ISNUMBER(N771),N771,0)-IF(ISNUMBER(O771),O771,0)+IF(ISNUMBER(P771),P771,0),2),"")</f>
        <v/>
      </c>
      <c r="S771" s="9" t="str">
        <f aca="false">IF(R771="","",ROUND(L771-R771,2))</f>
        <v/>
      </c>
      <c r="T771" s="8" t="str">
        <f aca="false">IF(A771="","",IF(S771="","BYPASS",IF(ABS(S771)&lt;=Summary!$B$2,"PASS","FAIL")))</f>
        <v/>
      </c>
      <c r="U771" s="8" t="str">
        <f aca="false">IF(T771="BYPASS",IF(NOT(ISNUMBER(Q771)),"PreV_ETB missing","End_tr_balance missing"),IF(T771="FAIL",IF(AND(ISNUMBER(K771),ISNUMBER(L771),ABS(L771-(K771-IF(ISNUMBER(N771),N771,0)-IF(ISNUMBER(O771),O771,0)+IF(ISNUMBER(P771),P771,0)))&lt;=Summary!$B$2),"Passes using beginning_balance - PreV_ETB differs from beginning_balance",IF(AND(ISNUMBER(O771),O771&lt;0,ABS(L771-(Q771-IF(ISNUMBER(N771),N771,0)+IF(ISNUMBER(P771),P771,0)))&lt;=Summary!$B$2),"Negative realized loss not applied - check sign",IF(R771&lt;0,"Principal paid exceeds prior balance",IF(AND(L771&gt;Q771,NOT(ISNUMBER(P771))),"Balance increased but no Deferred_interest reported",IF(L771&gt;R771,"Reported balance higher than expected (missing increase/OC build)","Reported balance lower than expected (missing decrease)"))))),""))</f>
        <v/>
      </c>
    </row>
    <row r="772" customFormat="false" ht="15" hidden="false" customHeight="false" outlineLevel="0" collapsed="false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9"/>
      <c r="L772" s="9"/>
      <c r="M772" s="9"/>
      <c r="N772" s="9"/>
      <c r="O772" s="9"/>
      <c r="P772" s="9"/>
      <c r="Q772" s="9"/>
      <c r="R772" s="9" t="str">
        <f aca="false">IF(AND(A772&lt;&gt;"",ISNUMBER(Q772),ISNUMBER(L772)),ROUND(Q772-IF(ISNUMBER(N772),N772,0)-IF(ISNUMBER(O772),O772,0)+IF(ISNUMBER(P772),P772,0),2),"")</f>
        <v/>
      </c>
      <c r="S772" s="9" t="str">
        <f aca="false">IF(R772="","",ROUND(L772-R772,2))</f>
        <v/>
      </c>
      <c r="T772" s="8" t="str">
        <f aca="false">IF(A772="","",IF(S772="","BYPASS",IF(ABS(S772)&lt;=Summary!$B$2,"PASS","FAIL")))</f>
        <v/>
      </c>
      <c r="U772" s="8" t="str">
        <f aca="false">IF(T772="BYPASS",IF(NOT(ISNUMBER(Q772)),"PreV_ETB missing","End_tr_balance missing"),IF(T772="FAIL",IF(AND(ISNUMBER(K772),ISNUMBER(L772),ABS(L772-(K772-IF(ISNUMBER(N772),N772,0)-IF(ISNUMBER(O772),O772,0)+IF(ISNUMBER(P772),P772,0)))&lt;=Summary!$B$2),"Passes using beginning_balance - PreV_ETB differs from beginning_balance",IF(AND(ISNUMBER(O772),O772&lt;0,ABS(L772-(Q772-IF(ISNUMBER(N772),N772,0)+IF(ISNUMBER(P772),P772,0)))&lt;=Summary!$B$2),"Negative realized loss not applied - check sign",IF(R772&lt;0,"Principal paid exceeds prior balance",IF(AND(L772&gt;Q772,NOT(ISNUMBER(P772))),"Balance increased but no Deferred_interest reported",IF(L772&gt;R772,"Reported balance higher than expected (missing increase/OC build)","Reported balance lower than expected (missing decrease)"))))),""))</f>
        <v/>
      </c>
    </row>
    <row r="773" customFormat="false" ht="15" hidden="false" customHeight="false" outlineLevel="0" collapsed="false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9"/>
      <c r="L773" s="9"/>
      <c r="M773" s="9"/>
      <c r="N773" s="9"/>
      <c r="O773" s="9"/>
      <c r="P773" s="9"/>
      <c r="Q773" s="9"/>
      <c r="R773" s="9" t="str">
        <f aca="false">IF(AND(A773&lt;&gt;"",ISNUMBER(Q773),ISNUMBER(L773)),ROUND(Q773-IF(ISNUMBER(N773),N773,0)-IF(ISNUMBER(O773),O773,0)+IF(ISNUMBER(P773),P773,0),2),"")</f>
        <v/>
      </c>
      <c r="S773" s="9" t="str">
        <f aca="false">IF(R773="","",ROUND(L773-R773,2))</f>
        <v/>
      </c>
      <c r="T773" s="8" t="str">
        <f aca="false">IF(A773="","",IF(S773="","BYPASS",IF(ABS(S773)&lt;=Summary!$B$2,"PASS","FAIL")))</f>
        <v/>
      </c>
      <c r="U773" s="8" t="str">
        <f aca="false">IF(T773="BYPASS",IF(NOT(ISNUMBER(Q773)),"PreV_ETB missing","End_tr_balance missing"),IF(T773="FAIL",IF(AND(ISNUMBER(K773),ISNUMBER(L773),ABS(L773-(K773-IF(ISNUMBER(N773),N773,0)-IF(ISNUMBER(O773),O773,0)+IF(ISNUMBER(P773),P773,0)))&lt;=Summary!$B$2),"Passes using beginning_balance - PreV_ETB differs from beginning_balance",IF(AND(ISNUMBER(O773),O773&lt;0,ABS(L773-(Q773-IF(ISNUMBER(N773),N773,0)+IF(ISNUMBER(P773),P773,0)))&lt;=Summary!$B$2),"Negative realized loss not applied - check sign",IF(R773&lt;0,"Principal paid exceeds prior balance",IF(AND(L773&gt;Q773,NOT(ISNUMBER(P773))),"Balance increased but no Deferred_interest reported",IF(L773&gt;R773,"Reported balance higher than expected (missing increase/OC build)","Reported balance lower than expected (missing decrease)"))))),""))</f>
        <v/>
      </c>
    </row>
    <row r="774" customFormat="false" ht="15" hidden="false" customHeight="false" outlineLevel="0" collapsed="false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9"/>
      <c r="L774" s="9"/>
      <c r="M774" s="9"/>
      <c r="N774" s="9"/>
      <c r="O774" s="9"/>
      <c r="P774" s="9"/>
      <c r="Q774" s="9"/>
      <c r="R774" s="9" t="str">
        <f aca="false">IF(AND(A774&lt;&gt;"",ISNUMBER(Q774),ISNUMBER(L774)),ROUND(Q774-IF(ISNUMBER(N774),N774,0)-IF(ISNUMBER(O774),O774,0)+IF(ISNUMBER(P774),P774,0),2),"")</f>
        <v/>
      </c>
      <c r="S774" s="9" t="str">
        <f aca="false">IF(R774="","",ROUND(L774-R774,2))</f>
        <v/>
      </c>
      <c r="T774" s="8" t="str">
        <f aca="false">IF(A774="","",IF(S774="","BYPASS",IF(ABS(S774)&lt;=Summary!$B$2,"PASS","FAIL")))</f>
        <v/>
      </c>
      <c r="U774" s="8" t="str">
        <f aca="false">IF(T774="BYPASS",IF(NOT(ISNUMBER(Q774)),"PreV_ETB missing","End_tr_balance missing"),IF(T774="FAIL",IF(AND(ISNUMBER(K774),ISNUMBER(L774),ABS(L774-(K774-IF(ISNUMBER(N774),N774,0)-IF(ISNUMBER(O774),O774,0)+IF(ISNUMBER(P774),P774,0)))&lt;=Summary!$B$2),"Passes using beginning_balance - PreV_ETB differs from beginning_balance",IF(AND(ISNUMBER(O774),O774&lt;0,ABS(L774-(Q774-IF(ISNUMBER(N774),N774,0)+IF(ISNUMBER(P774),P774,0)))&lt;=Summary!$B$2),"Negative realized loss not applied - check sign",IF(R774&lt;0,"Principal paid exceeds prior balance",IF(AND(L774&gt;Q774,NOT(ISNUMBER(P774))),"Balance increased but no Deferred_interest reported",IF(L774&gt;R774,"Reported balance higher than expected (missing increase/OC build)","Reported balance lower than expected (missing decrease)"))))),""))</f>
        <v/>
      </c>
    </row>
    <row r="775" customFormat="false" ht="15" hidden="false" customHeight="false" outlineLevel="0" collapsed="false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9"/>
      <c r="L775" s="9"/>
      <c r="M775" s="9"/>
      <c r="N775" s="9"/>
      <c r="O775" s="9"/>
      <c r="P775" s="9"/>
      <c r="Q775" s="9"/>
      <c r="R775" s="9" t="str">
        <f aca="false">IF(AND(A775&lt;&gt;"",ISNUMBER(Q775),ISNUMBER(L775)),ROUND(Q775-IF(ISNUMBER(N775),N775,0)-IF(ISNUMBER(O775),O775,0)+IF(ISNUMBER(P775),P775,0),2),"")</f>
        <v/>
      </c>
      <c r="S775" s="9" t="str">
        <f aca="false">IF(R775="","",ROUND(L775-R775,2))</f>
        <v/>
      </c>
      <c r="T775" s="8" t="str">
        <f aca="false">IF(A775="","",IF(S775="","BYPASS",IF(ABS(S775)&lt;=Summary!$B$2,"PASS","FAIL")))</f>
        <v/>
      </c>
      <c r="U775" s="8" t="str">
        <f aca="false">IF(T775="BYPASS",IF(NOT(ISNUMBER(Q775)),"PreV_ETB missing","End_tr_balance missing"),IF(T775="FAIL",IF(AND(ISNUMBER(K775),ISNUMBER(L775),ABS(L775-(K775-IF(ISNUMBER(N775),N775,0)-IF(ISNUMBER(O775),O775,0)+IF(ISNUMBER(P775),P775,0)))&lt;=Summary!$B$2),"Passes using beginning_balance - PreV_ETB differs from beginning_balance",IF(AND(ISNUMBER(O775),O775&lt;0,ABS(L775-(Q775-IF(ISNUMBER(N775),N775,0)+IF(ISNUMBER(P775),P775,0)))&lt;=Summary!$B$2),"Negative realized loss not applied - check sign",IF(R775&lt;0,"Principal paid exceeds prior balance",IF(AND(L775&gt;Q775,NOT(ISNUMBER(P775))),"Balance increased but no Deferred_interest reported",IF(L775&gt;R775,"Reported balance higher than expected (missing increase/OC build)","Reported balance lower than expected (missing decrease)"))))),""))</f>
        <v/>
      </c>
    </row>
    <row r="776" customFormat="false" ht="15" hidden="false" customHeight="false" outlineLevel="0" collapsed="false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9"/>
      <c r="L776" s="9"/>
      <c r="M776" s="9"/>
      <c r="N776" s="9"/>
      <c r="O776" s="9"/>
      <c r="P776" s="9"/>
      <c r="Q776" s="9"/>
      <c r="R776" s="9" t="str">
        <f aca="false">IF(AND(A776&lt;&gt;"",ISNUMBER(Q776),ISNUMBER(L776)),ROUND(Q776-IF(ISNUMBER(N776),N776,0)-IF(ISNUMBER(O776),O776,0)+IF(ISNUMBER(P776),P776,0),2),"")</f>
        <v/>
      </c>
      <c r="S776" s="9" t="str">
        <f aca="false">IF(R776="","",ROUND(L776-R776,2))</f>
        <v/>
      </c>
      <c r="T776" s="8" t="str">
        <f aca="false">IF(A776="","",IF(S776="","BYPASS",IF(ABS(S776)&lt;=Summary!$B$2,"PASS","FAIL")))</f>
        <v/>
      </c>
      <c r="U776" s="8" t="str">
        <f aca="false">IF(T776="BYPASS",IF(NOT(ISNUMBER(Q776)),"PreV_ETB missing","End_tr_balance missing"),IF(T776="FAIL",IF(AND(ISNUMBER(K776),ISNUMBER(L776),ABS(L776-(K776-IF(ISNUMBER(N776),N776,0)-IF(ISNUMBER(O776),O776,0)+IF(ISNUMBER(P776),P776,0)))&lt;=Summary!$B$2),"Passes using beginning_balance - PreV_ETB differs from beginning_balance",IF(AND(ISNUMBER(O776),O776&lt;0,ABS(L776-(Q776-IF(ISNUMBER(N776),N776,0)+IF(ISNUMBER(P776),P776,0)))&lt;=Summary!$B$2),"Negative realized loss not applied - check sign",IF(R776&lt;0,"Principal paid exceeds prior balance",IF(AND(L776&gt;Q776,NOT(ISNUMBER(P776))),"Balance increased but no Deferred_interest reported",IF(L776&gt;R776,"Reported balance higher than expected (missing increase/OC build)","Reported balance lower than expected (missing decrease)"))))),""))</f>
        <v/>
      </c>
    </row>
    <row r="777" customFormat="false" ht="15" hidden="false" customHeight="false" outlineLevel="0" collapsed="false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9"/>
      <c r="L777" s="9"/>
      <c r="M777" s="9"/>
      <c r="N777" s="9"/>
      <c r="O777" s="9"/>
      <c r="P777" s="9"/>
      <c r="Q777" s="9"/>
      <c r="R777" s="9" t="str">
        <f aca="false">IF(AND(A777&lt;&gt;"",ISNUMBER(Q777),ISNUMBER(L777)),ROUND(Q777-IF(ISNUMBER(N777),N777,0)-IF(ISNUMBER(O777),O777,0)+IF(ISNUMBER(P777),P777,0),2),"")</f>
        <v/>
      </c>
      <c r="S777" s="9" t="str">
        <f aca="false">IF(R777="","",ROUND(L777-R777,2))</f>
        <v/>
      </c>
      <c r="T777" s="8" t="str">
        <f aca="false">IF(A777="","",IF(S777="","BYPASS",IF(ABS(S777)&lt;=Summary!$B$2,"PASS","FAIL")))</f>
        <v/>
      </c>
      <c r="U777" s="8" t="str">
        <f aca="false">IF(T777="BYPASS",IF(NOT(ISNUMBER(Q777)),"PreV_ETB missing","End_tr_balance missing"),IF(T777="FAIL",IF(AND(ISNUMBER(K777),ISNUMBER(L777),ABS(L777-(K777-IF(ISNUMBER(N777),N777,0)-IF(ISNUMBER(O777),O777,0)+IF(ISNUMBER(P777),P777,0)))&lt;=Summary!$B$2),"Passes using beginning_balance - PreV_ETB differs from beginning_balance",IF(AND(ISNUMBER(O777),O777&lt;0,ABS(L777-(Q777-IF(ISNUMBER(N777),N777,0)+IF(ISNUMBER(P777),P777,0)))&lt;=Summary!$B$2),"Negative realized loss not applied - check sign",IF(R777&lt;0,"Principal paid exceeds prior balance",IF(AND(L777&gt;Q777,NOT(ISNUMBER(P777))),"Balance increased but no Deferred_interest reported",IF(L777&gt;R777,"Reported balance higher than expected (missing increase/OC build)","Reported balance lower than expected (missing decrease)"))))),""))</f>
        <v/>
      </c>
    </row>
    <row r="778" customFormat="false" ht="15" hidden="false" customHeight="false" outlineLevel="0" collapsed="false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9"/>
      <c r="L778" s="9"/>
      <c r="M778" s="9"/>
      <c r="N778" s="9"/>
      <c r="O778" s="9"/>
      <c r="P778" s="9"/>
      <c r="Q778" s="9"/>
      <c r="R778" s="9" t="str">
        <f aca="false">IF(AND(A778&lt;&gt;"",ISNUMBER(Q778),ISNUMBER(L778)),ROUND(Q778-IF(ISNUMBER(N778),N778,0)-IF(ISNUMBER(O778),O778,0)+IF(ISNUMBER(P778),P778,0),2),"")</f>
        <v/>
      </c>
      <c r="S778" s="9" t="str">
        <f aca="false">IF(R778="","",ROUND(L778-R778,2))</f>
        <v/>
      </c>
      <c r="T778" s="8" t="str">
        <f aca="false">IF(A778="","",IF(S778="","BYPASS",IF(ABS(S778)&lt;=Summary!$B$2,"PASS","FAIL")))</f>
        <v/>
      </c>
      <c r="U778" s="8" t="str">
        <f aca="false">IF(T778="BYPASS",IF(NOT(ISNUMBER(Q778)),"PreV_ETB missing","End_tr_balance missing"),IF(T778="FAIL",IF(AND(ISNUMBER(K778),ISNUMBER(L778),ABS(L778-(K778-IF(ISNUMBER(N778),N778,0)-IF(ISNUMBER(O778),O778,0)+IF(ISNUMBER(P778),P778,0)))&lt;=Summary!$B$2),"Passes using beginning_balance - PreV_ETB differs from beginning_balance",IF(AND(ISNUMBER(O778),O778&lt;0,ABS(L778-(Q778-IF(ISNUMBER(N778),N778,0)+IF(ISNUMBER(P778),P778,0)))&lt;=Summary!$B$2),"Negative realized loss not applied - check sign",IF(R778&lt;0,"Principal paid exceeds prior balance",IF(AND(L778&gt;Q778,NOT(ISNUMBER(P778))),"Balance increased but no Deferred_interest reported",IF(L778&gt;R778,"Reported balance higher than expected (missing increase/OC build)","Reported balance lower than expected (missing decrease)"))))),""))</f>
        <v/>
      </c>
    </row>
    <row r="779" customFormat="false" ht="15" hidden="false" customHeight="false" outlineLevel="0" collapsed="false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9"/>
      <c r="L779" s="9"/>
      <c r="M779" s="9"/>
      <c r="N779" s="9"/>
      <c r="O779" s="9"/>
      <c r="P779" s="9"/>
      <c r="Q779" s="9"/>
      <c r="R779" s="9" t="str">
        <f aca="false">IF(AND(A779&lt;&gt;"",ISNUMBER(Q779),ISNUMBER(L779)),ROUND(Q779-IF(ISNUMBER(N779),N779,0)-IF(ISNUMBER(O779),O779,0)+IF(ISNUMBER(P779),P779,0),2),"")</f>
        <v/>
      </c>
      <c r="S779" s="9" t="str">
        <f aca="false">IF(R779="","",ROUND(L779-R779,2))</f>
        <v/>
      </c>
      <c r="T779" s="8" t="str">
        <f aca="false">IF(A779="","",IF(S779="","BYPASS",IF(ABS(S779)&lt;=Summary!$B$2,"PASS","FAIL")))</f>
        <v/>
      </c>
      <c r="U779" s="8" t="str">
        <f aca="false">IF(T779="BYPASS",IF(NOT(ISNUMBER(Q779)),"PreV_ETB missing","End_tr_balance missing"),IF(T779="FAIL",IF(AND(ISNUMBER(K779),ISNUMBER(L779),ABS(L779-(K779-IF(ISNUMBER(N779),N779,0)-IF(ISNUMBER(O779),O779,0)+IF(ISNUMBER(P779),P779,0)))&lt;=Summary!$B$2),"Passes using beginning_balance - PreV_ETB differs from beginning_balance",IF(AND(ISNUMBER(O779),O779&lt;0,ABS(L779-(Q779-IF(ISNUMBER(N779),N779,0)+IF(ISNUMBER(P779),P779,0)))&lt;=Summary!$B$2),"Negative realized loss not applied - check sign",IF(R779&lt;0,"Principal paid exceeds prior balance",IF(AND(L779&gt;Q779,NOT(ISNUMBER(P779))),"Balance increased but no Deferred_interest reported",IF(L779&gt;R779,"Reported balance higher than expected (missing increase/OC build)","Reported balance lower than expected (missing decrease)"))))),""))</f>
        <v/>
      </c>
    </row>
    <row r="780" customFormat="false" ht="15" hidden="false" customHeight="false" outlineLevel="0" collapsed="false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9"/>
      <c r="L780" s="9"/>
      <c r="M780" s="9"/>
      <c r="N780" s="9"/>
      <c r="O780" s="9"/>
      <c r="P780" s="9"/>
      <c r="Q780" s="9"/>
      <c r="R780" s="9" t="str">
        <f aca="false">IF(AND(A780&lt;&gt;"",ISNUMBER(Q780),ISNUMBER(L780)),ROUND(Q780-IF(ISNUMBER(N780),N780,0)-IF(ISNUMBER(O780),O780,0)+IF(ISNUMBER(P780),P780,0),2),"")</f>
        <v/>
      </c>
      <c r="S780" s="9" t="str">
        <f aca="false">IF(R780="","",ROUND(L780-R780,2))</f>
        <v/>
      </c>
      <c r="T780" s="8" t="str">
        <f aca="false">IF(A780="","",IF(S780="","BYPASS",IF(ABS(S780)&lt;=Summary!$B$2,"PASS","FAIL")))</f>
        <v/>
      </c>
      <c r="U780" s="8" t="str">
        <f aca="false">IF(T780="BYPASS",IF(NOT(ISNUMBER(Q780)),"PreV_ETB missing","End_tr_balance missing"),IF(T780="FAIL",IF(AND(ISNUMBER(K780),ISNUMBER(L780),ABS(L780-(K780-IF(ISNUMBER(N780),N780,0)-IF(ISNUMBER(O780),O780,0)+IF(ISNUMBER(P780),P780,0)))&lt;=Summary!$B$2),"Passes using beginning_balance - PreV_ETB differs from beginning_balance",IF(AND(ISNUMBER(O780),O780&lt;0,ABS(L780-(Q780-IF(ISNUMBER(N780),N780,0)+IF(ISNUMBER(P780),P780,0)))&lt;=Summary!$B$2),"Negative realized loss not applied - check sign",IF(R780&lt;0,"Principal paid exceeds prior balance",IF(AND(L780&gt;Q780,NOT(ISNUMBER(P780))),"Balance increased but no Deferred_interest reported",IF(L780&gt;R780,"Reported balance higher than expected (missing increase/OC build)","Reported balance lower than expected (missing decrease)"))))),""))</f>
        <v/>
      </c>
    </row>
    <row r="781" customFormat="false" ht="15" hidden="false" customHeight="false" outlineLevel="0" collapsed="false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9"/>
      <c r="L781" s="9"/>
      <c r="M781" s="9"/>
      <c r="N781" s="9"/>
      <c r="O781" s="9"/>
      <c r="P781" s="9"/>
      <c r="Q781" s="9"/>
      <c r="R781" s="9" t="str">
        <f aca="false">IF(AND(A781&lt;&gt;"",ISNUMBER(Q781),ISNUMBER(L781)),ROUND(Q781-IF(ISNUMBER(N781),N781,0)-IF(ISNUMBER(O781),O781,0)+IF(ISNUMBER(P781),P781,0),2),"")</f>
        <v/>
      </c>
      <c r="S781" s="9" t="str">
        <f aca="false">IF(R781="","",ROUND(L781-R781,2))</f>
        <v/>
      </c>
      <c r="T781" s="8" t="str">
        <f aca="false">IF(A781="","",IF(S781="","BYPASS",IF(ABS(S781)&lt;=Summary!$B$2,"PASS","FAIL")))</f>
        <v/>
      </c>
      <c r="U781" s="8" t="str">
        <f aca="false">IF(T781="BYPASS",IF(NOT(ISNUMBER(Q781)),"PreV_ETB missing","End_tr_balance missing"),IF(T781="FAIL",IF(AND(ISNUMBER(K781),ISNUMBER(L781),ABS(L781-(K781-IF(ISNUMBER(N781),N781,0)-IF(ISNUMBER(O781),O781,0)+IF(ISNUMBER(P781),P781,0)))&lt;=Summary!$B$2),"Passes using beginning_balance - PreV_ETB differs from beginning_balance",IF(AND(ISNUMBER(O781),O781&lt;0,ABS(L781-(Q781-IF(ISNUMBER(N781),N781,0)+IF(ISNUMBER(P781),P781,0)))&lt;=Summary!$B$2),"Negative realized loss not applied - check sign",IF(R781&lt;0,"Principal paid exceeds prior balance",IF(AND(L781&gt;Q781,NOT(ISNUMBER(P781))),"Balance increased but no Deferred_interest reported",IF(L781&gt;R781,"Reported balance higher than expected (missing increase/OC build)","Reported balance lower than expected (missing decrease)"))))),""))</f>
        <v/>
      </c>
    </row>
    <row r="782" customFormat="false" ht="15" hidden="false" customHeight="false" outlineLevel="0" collapsed="false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9"/>
      <c r="L782" s="9"/>
      <c r="M782" s="9"/>
      <c r="N782" s="9"/>
      <c r="O782" s="9"/>
      <c r="P782" s="9"/>
      <c r="Q782" s="9"/>
      <c r="R782" s="9" t="str">
        <f aca="false">IF(AND(A782&lt;&gt;"",ISNUMBER(Q782),ISNUMBER(L782)),ROUND(Q782-IF(ISNUMBER(N782),N782,0)-IF(ISNUMBER(O782),O782,0)+IF(ISNUMBER(P782),P782,0),2),"")</f>
        <v/>
      </c>
      <c r="S782" s="9" t="str">
        <f aca="false">IF(R782="","",ROUND(L782-R782,2))</f>
        <v/>
      </c>
      <c r="T782" s="8" t="str">
        <f aca="false">IF(A782="","",IF(S782="","BYPASS",IF(ABS(S782)&lt;=Summary!$B$2,"PASS","FAIL")))</f>
        <v/>
      </c>
      <c r="U782" s="8" t="str">
        <f aca="false">IF(T782="BYPASS",IF(NOT(ISNUMBER(Q782)),"PreV_ETB missing","End_tr_balance missing"),IF(T782="FAIL",IF(AND(ISNUMBER(K782),ISNUMBER(L782),ABS(L782-(K782-IF(ISNUMBER(N782),N782,0)-IF(ISNUMBER(O782),O782,0)+IF(ISNUMBER(P782),P782,0)))&lt;=Summary!$B$2),"Passes using beginning_balance - PreV_ETB differs from beginning_balance",IF(AND(ISNUMBER(O782),O782&lt;0,ABS(L782-(Q782-IF(ISNUMBER(N782),N782,0)+IF(ISNUMBER(P782),P782,0)))&lt;=Summary!$B$2),"Negative realized loss not applied - check sign",IF(R782&lt;0,"Principal paid exceeds prior balance",IF(AND(L782&gt;Q782,NOT(ISNUMBER(P782))),"Balance increased but no Deferred_interest reported",IF(L782&gt;R782,"Reported balance higher than expected (missing increase/OC build)","Reported balance lower than expected (missing decrease)"))))),""))</f>
        <v/>
      </c>
    </row>
    <row r="783" customFormat="false" ht="15" hidden="false" customHeight="false" outlineLevel="0" collapsed="false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9"/>
      <c r="L783" s="9"/>
      <c r="M783" s="9"/>
      <c r="N783" s="9"/>
      <c r="O783" s="9"/>
      <c r="P783" s="9"/>
      <c r="Q783" s="9"/>
      <c r="R783" s="9" t="str">
        <f aca="false">IF(AND(A783&lt;&gt;"",ISNUMBER(Q783),ISNUMBER(L783)),ROUND(Q783-IF(ISNUMBER(N783),N783,0)-IF(ISNUMBER(O783),O783,0)+IF(ISNUMBER(P783),P783,0),2),"")</f>
        <v/>
      </c>
      <c r="S783" s="9" t="str">
        <f aca="false">IF(R783="","",ROUND(L783-R783,2))</f>
        <v/>
      </c>
      <c r="T783" s="8" t="str">
        <f aca="false">IF(A783="","",IF(S783="","BYPASS",IF(ABS(S783)&lt;=Summary!$B$2,"PASS","FAIL")))</f>
        <v/>
      </c>
      <c r="U783" s="8" t="str">
        <f aca="false">IF(T783="BYPASS",IF(NOT(ISNUMBER(Q783)),"PreV_ETB missing","End_tr_balance missing"),IF(T783="FAIL",IF(AND(ISNUMBER(K783),ISNUMBER(L783),ABS(L783-(K783-IF(ISNUMBER(N783),N783,0)-IF(ISNUMBER(O783),O783,0)+IF(ISNUMBER(P783),P783,0)))&lt;=Summary!$B$2),"Passes using beginning_balance - PreV_ETB differs from beginning_balance",IF(AND(ISNUMBER(O783),O783&lt;0,ABS(L783-(Q783-IF(ISNUMBER(N783),N783,0)+IF(ISNUMBER(P783),P783,0)))&lt;=Summary!$B$2),"Negative realized loss not applied - check sign",IF(R783&lt;0,"Principal paid exceeds prior balance",IF(AND(L783&gt;Q783,NOT(ISNUMBER(P783))),"Balance increased but no Deferred_interest reported",IF(L783&gt;R783,"Reported balance higher than expected (missing increase/OC build)","Reported balance lower than expected (missing decrease)"))))),""))</f>
        <v/>
      </c>
    </row>
    <row r="784" customFormat="false" ht="15" hidden="false" customHeight="false" outlineLevel="0" collapsed="false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9"/>
      <c r="L784" s="9"/>
      <c r="M784" s="9"/>
      <c r="N784" s="9"/>
      <c r="O784" s="9"/>
      <c r="P784" s="9"/>
      <c r="Q784" s="9"/>
      <c r="R784" s="9" t="str">
        <f aca="false">IF(AND(A784&lt;&gt;"",ISNUMBER(Q784),ISNUMBER(L784)),ROUND(Q784-IF(ISNUMBER(N784),N784,0)-IF(ISNUMBER(O784),O784,0)+IF(ISNUMBER(P784),P784,0),2),"")</f>
        <v/>
      </c>
      <c r="S784" s="9" t="str">
        <f aca="false">IF(R784="","",ROUND(L784-R784,2))</f>
        <v/>
      </c>
      <c r="T784" s="8" t="str">
        <f aca="false">IF(A784="","",IF(S784="","BYPASS",IF(ABS(S784)&lt;=Summary!$B$2,"PASS","FAIL")))</f>
        <v/>
      </c>
      <c r="U784" s="8" t="str">
        <f aca="false">IF(T784="BYPASS",IF(NOT(ISNUMBER(Q784)),"PreV_ETB missing","End_tr_balance missing"),IF(T784="FAIL",IF(AND(ISNUMBER(K784),ISNUMBER(L784),ABS(L784-(K784-IF(ISNUMBER(N784),N784,0)-IF(ISNUMBER(O784),O784,0)+IF(ISNUMBER(P784),P784,0)))&lt;=Summary!$B$2),"Passes using beginning_balance - PreV_ETB differs from beginning_balance",IF(AND(ISNUMBER(O784),O784&lt;0,ABS(L784-(Q784-IF(ISNUMBER(N784),N784,0)+IF(ISNUMBER(P784),P784,0)))&lt;=Summary!$B$2),"Negative realized loss not applied - check sign",IF(R784&lt;0,"Principal paid exceeds prior balance",IF(AND(L784&gt;Q784,NOT(ISNUMBER(P784))),"Balance increased but no Deferred_interest reported",IF(L784&gt;R784,"Reported balance higher than expected (missing increase/OC build)","Reported balance lower than expected (missing decrease)"))))),""))</f>
        <v/>
      </c>
    </row>
    <row r="785" customFormat="false" ht="15" hidden="false" customHeight="false" outlineLevel="0" collapsed="false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9"/>
      <c r="L785" s="9"/>
      <c r="M785" s="9"/>
      <c r="N785" s="9"/>
      <c r="O785" s="9"/>
      <c r="P785" s="9"/>
      <c r="Q785" s="9"/>
      <c r="R785" s="9" t="str">
        <f aca="false">IF(AND(A785&lt;&gt;"",ISNUMBER(Q785),ISNUMBER(L785)),ROUND(Q785-IF(ISNUMBER(N785),N785,0)-IF(ISNUMBER(O785),O785,0)+IF(ISNUMBER(P785),P785,0),2),"")</f>
        <v/>
      </c>
      <c r="S785" s="9" t="str">
        <f aca="false">IF(R785="","",ROUND(L785-R785,2))</f>
        <v/>
      </c>
      <c r="T785" s="8" t="str">
        <f aca="false">IF(A785="","",IF(S785="","BYPASS",IF(ABS(S785)&lt;=Summary!$B$2,"PASS","FAIL")))</f>
        <v/>
      </c>
      <c r="U785" s="8" t="str">
        <f aca="false">IF(T785="BYPASS",IF(NOT(ISNUMBER(Q785)),"PreV_ETB missing","End_tr_balance missing"),IF(T785="FAIL",IF(AND(ISNUMBER(K785),ISNUMBER(L785),ABS(L785-(K785-IF(ISNUMBER(N785),N785,0)-IF(ISNUMBER(O785),O785,0)+IF(ISNUMBER(P785),P785,0)))&lt;=Summary!$B$2),"Passes using beginning_balance - PreV_ETB differs from beginning_balance",IF(AND(ISNUMBER(O785),O785&lt;0,ABS(L785-(Q785-IF(ISNUMBER(N785),N785,0)+IF(ISNUMBER(P785),P785,0)))&lt;=Summary!$B$2),"Negative realized loss not applied - check sign",IF(R785&lt;0,"Principal paid exceeds prior balance",IF(AND(L785&gt;Q785,NOT(ISNUMBER(P785))),"Balance increased but no Deferred_interest reported",IF(L785&gt;R785,"Reported balance higher than expected (missing increase/OC build)","Reported balance lower than expected (missing decrease)"))))),""))</f>
        <v/>
      </c>
    </row>
    <row r="786" customFormat="false" ht="15" hidden="false" customHeight="false" outlineLevel="0" collapsed="false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9"/>
      <c r="L786" s="9"/>
      <c r="M786" s="9"/>
      <c r="N786" s="9"/>
      <c r="O786" s="9"/>
      <c r="P786" s="9"/>
      <c r="Q786" s="9"/>
      <c r="R786" s="9" t="str">
        <f aca="false">IF(AND(A786&lt;&gt;"",ISNUMBER(Q786),ISNUMBER(L786)),ROUND(Q786-IF(ISNUMBER(N786),N786,0)-IF(ISNUMBER(O786),O786,0)+IF(ISNUMBER(P786),P786,0),2),"")</f>
        <v/>
      </c>
      <c r="S786" s="9" t="str">
        <f aca="false">IF(R786="","",ROUND(L786-R786,2))</f>
        <v/>
      </c>
      <c r="T786" s="8" t="str">
        <f aca="false">IF(A786="","",IF(S786="","BYPASS",IF(ABS(S786)&lt;=Summary!$B$2,"PASS","FAIL")))</f>
        <v/>
      </c>
      <c r="U786" s="8" t="str">
        <f aca="false">IF(T786="BYPASS",IF(NOT(ISNUMBER(Q786)),"PreV_ETB missing","End_tr_balance missing"),IF(T786="FAIL",IF(AND(ISNUMBER(K786),ISNUMBER(L786),ABS(L786-(K786-IF(ISNUMBER(N786),N786,0)-IF(ISNUMBER(O786),O786,0)+IF(ISNUMBER(P786),P786,0)))&lt;=Summary!$B$2),"Passes using beginning_balance - PreV_ETB differs from beginning_balance",IF(AND(ISNUMBER(O786),O786&lt;0,ABS(L786-(Q786-IF(ISNUMBER(N786),N786,0)+IF(ISNUMBER(P786),P786,0)))&lt;=Summary!$B$2),"Negative realized loss not applied - check sign",IF(R786&lt;0,"Principal paid exceeds prior balance",IF(AND(L786&gt;Q786,NOT(ISNUMBER(P786))),"Balance increased but no Deferred_interest reported",IF(L786&gt;R786,"Reported balance higher than expected (missing increase/OC build)","Reported balance lower than expected (missing decrease)"))))),""))</f>
        <v/>
      </c>
    </row>
    <row r="787" customFormat="false" ht="15" hidden="false" customHeight="false" outlineLevel="0" collapsed="false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9"/>
      <c r="L787" s="9"/>
      <c r="M787" s="9"/>
      <c r="N787" s="9"/>
      <c r="O787" s="9"/>
      <c r="P787" s="9"/>
      <c r="Q787" s="9"/>
      <c r="R787" s="9" t="str">
        <f aca="false">IF(AND(A787&lt;&gt;"",ISNUMBER(Q787),ISNUMBER(L787)),ROUND(Q787-IF(ISNUMBER(N787),N787,0)-IF(ISNUMBER(O787),O787,0)+IF(ISNUMBER(P787),P787,0),2),"")</f>
        <v/>
      </c>
      <c r="S787" s="9" t="str">
        <f aca="false">IF(R787="","",ROUND(L787-R787,2))</f>
        <v/>
      </c>
      <c r="T787" s="8" t="str">
        <f aca="false">IF(A787="","",IF(S787="","BYPASS",IF(ABS(S787)&lt;=Summary!$B$2,"PASS","FAIL")))</f>
        <v/>
      </c>
      <c r="U787" s="8" t="str">
        <f aca="false">IF(T787="BYPASS",IF(NOT(ISNUMBER(Q787)),"PreV_ETB missing","End_tr_balance missing"),IF(T787="FAIL",IF(AND(ISNUMBER(K787),ISNUMBER(L787),ABS(L787-(K787-IF(ISNUMBER(N787),N787,0)-IF(ISNUMBER(O787),O787,0)+IF(ISNUMBER(P787),P787,0)))&lt;=Summary!$B$2),"Passes using beginning_balance - PreV_ETB differs from beginning_balance",IF(AND(ISNUMBER(O787),O787&lt;0,ABS(L787-(Q787-IF(ISNUMBER(N787),N787,0)+IF(ISNUMBER(P787),P787,0)))&lt;=Summary!$B$2),"Negative realized loss not applied - check sign",IF(R787&lt;0,"Principal paid exceeds prior balance",IF(AND(L787&gt;Q787,NOT(ISNUMBER(P787))),"Balance increased but no Deferred_interest reported",IF(L787&gt;R787,"Reported balance higher than expected (missing increase/OC build)","Reported balance lower than expected (missing decrease)"))))),""))</f>
        <v/>
      </c>
    </row>
    <row r="788" customFormat="false" ht="15" hidden="false" customHeight="false" outlineLevel="0" collapsed="false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9"/>
      <c r="L788" s="9"/>
      <c r="M788" s="9"/>
      <c r="N788" s="9"/>
      <c r="O788" s="9"/>
      <c r="P788" s="9"/>
      <c r="Q788" s="9"/>
      <c r="R788" s="9" t="str">
        <f aca="false">IF(AND(A788&lt;&gt;"",ISNUMBER(Q788),ISNUMBER(L788)),ROUND(Q788-IF(ISNUMBER(N788),N788,0)-IF(ISNUMBER(O788),O788,0)+IF(ISNUMBER(P788),P788,0),2),"")</f>
        <v/>
      </c>
      <c r="S788" s="9" t="str">
        <f aca="false">IF(R788="","",ROUND(L788-R788,2))</f>
        <v/>
      </c>
      <c r="T788" s="8" t="str">
        <f aca="false">IF(A788="","",IF(S788="","BYPASS",IF(ABS(S788)&lt;=Summary!$B$2,"PASS","FAIL")))</f>
        <v/>
      </c>
      <c r="U788" s="8" t="str">
        <f aca="false">IF(T788="BYPASS",IF(NOT(ISNUMBER(Q788)),"PreV_ETB missing","End_tr_balance missing"),IF(T788="FAIL",IF(AND(ISNUMBER(K788),ISNUMBER(L788),ABS(L788-(K788-IF(ISNUMBER(N788),N788,0)-IF(ISNUMBER(O788),O788,0)+IF(ISNUMBER(P788),P788,0)))&lt;=Summary!$B$2),"Passes using beginning_balance - PreV_ETB differs from beginning_balance",IF(AND(ISNUMBER(O788),O788&lt;0,ABS(L788-(Q788-IF(ISNUMBER(N788),N788,0)+IF(ISNUMBER(P788),P788,0)))&lt;=Summary!$B$2),"Negative realized loss not applied - check sign",IF(R788&lt;0,"Principal paid exceeds prior balance",IF(AND(L788&gt;Q788,NOT(ISNUMBER(P788))),"Balance increased but no Deferred_interest reported",IF(L788&gt;R788,"Reported balance higher than expected (missing increase/OC build)","Reported balance lower than expected (missing decrease)"))))),""))</f>
        <v/>
      </c>
    </row>
    <row r="789" customFormat="false" ht="15" hidden="false" customHeight="false" outlineLevel="0" collapsed="false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9"/>
      <c r="L789" s="9"/>
      <c r="M789" s="9"/>
      <c r="N789" s="9"/>
      <c r="O789" s="9"/>
      <c r="P789" s="9"/>
      <c r="Q789" s="9"/>
      <c r="R789" s="9" t="str">
        <f aca="false">IF(AND(A789&lt;&gt;"",ISNUMBER(Q789),ISNUMBER(L789)),ROUND(Q789-IF(ISNUMBER(N789),N789,0)-IF(ISNUMBER(O789),O789,0)+IF(ISNUMBER(P789),P789,0),2),"")</f>
        <v/>
      </c>
      <c r="S789" s="9" t="str">
        <f aca="false">IF(R789="","",ROUND(L789-R789,2))</f>
        <v/>
      </c>
      <c r="T789" s="8" t="str">
        <f aca="false">IF(A789="","",IF(S789="","BYPASS",IF(ABS(S789)&lt;=Summary!$B$2,"PASS","FAIL")))</f>
        <v/>
      </c>
      <c r="U789" s="8" t="str">
        <f aca="false">IF(T789="BYPASS",IF(NOT(ISNUMBER(Q789)),"PreV_ETB missing","End_tr_balance missing"),IF(T789="FAIL",IF(AND(ISNUMBER(K789),ISNUMBER(L789),ABS(L789-(K789-IF(ISNUMBER(N789),N789,0)-IF(ISNUMBER(O789),O789,0)+IF(ISNUMBER(P789),P789,0)))&lt;=Summary!$B$2),"Passes using beginning_balance - PreV_ETB differs from beginning_balance",IF(AND(ISNUMBER(O789),O789&lt;0,ABS(L789-(Q789-IF(ISNUMBER(N789),N789,0)+IF(ISNUMBER(P789),P789,0)))&lt;=Summary!$B$2),"Negative realized loss not applied - check sign",IF(R789&lt;0,"Principal paid exceeds prior balance",IF(AND(L789&gt;Q789,NOT(ISNUMBER(P789))),"Balance increased but no Deferred_interest reported",IF(L789&gt;R789,"Reported balance higher than expected (missing increase/OC build)","Reported balance lower than expected (missing decrease)"))))),""))</f>
        <v/>
      </c>
    </row>
    <row r="790" customFormat="false" ht="15" hidden="false" customHeight="false" outlineLevel="0" collapsed="false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9"/>
      <c r="L790" s="9"/>
      <c r="M790" s="9"/>
      <c r="N790" s="9"/>
      <c r="O790" s="9"/>
      <c r="P790" s="9"/>
      <c r="Q790" s="9"/>
      <c r="R790" s="9" t="str">
        <f aca="false">IF(AND(A790&lt;&gt;"",ISNUMBER(Q790),ISNUMBER(L790)),ROUND(Q790-IF(ISNUMBER(N790),N790,0)-IF(ISNUMBER(O790),O790,0)+IF(ISNUMBER(P790),P790,0),2),"")</f>
        <v/>
      </c>
      <c r="S790" s="9" t="str">
        <f aca="false">IF(R790="","",ROUND(L790-R790,2))</f>
        <v/>
      </c>
      <c r="T790" s="8" t="str">
        <f aca="false">IF(A790="","",IF(S790="","BYPASS",IF(ABS(S790)&lt;=Summary!$B$2,"PASS","FAIL")))</f>
        <v/>
      </c>
      <c r="U790" s="8" t="str">
        <f aca="false">IF(T790="BYPASS",IF(NOT(ISNUMBER(Q790)),"PreV_ETB missing","End_tr_balance missing"),IF(T790="FAIL",IF(AND(ISNUMBER(K790),ISNUMBER(L790),ABS(L790-(K790-IF(ISNUMBER(N790),N790,0)-IF(ISNUMBER(O790),O790,0)+IF(ISNUMBER(P790),P790,0)))&lt;=Summary!$B$2),"Passes using beginning_balance - PreV_ETB differs from beginning_balance",IF(AND(ISNUMBER(O790),O790&lt;0,ABS(L790-(Q790-IF(ISNUMBER(N790),N790,0)+IF(ISNUMBER(P790),P790,0)))&lt;=Summary!$B$2),"Negative realized loss not applied - check sign",IF(R790&lt;0,"Principal paid exceeds prior balance",IF(AND(L790&gt;Q790,NOT(ISNUMBER(P790))),"Balance increased but no Deferred_interest reported",IF(L790&gt;R790,"Reported balance higher than expected (missing increase/OC build)","Reported balance lower than expected (missing decrease)"))))),""))</f>
        <v/>
      </c>
    </row>
    <row r="791" customFormat="false" ht="15" hidden="false" customHeight="false" outlineLevel="0" collapsed="false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9"/>
      <c r="L791" s="9"/>
      <c r="M791" s="9"/>
      <c r="N791" s="9"/>
      <c r="O791" s="9"/>
      <c r="P791" s="9"/>
      <c r="Q791" s="9"/>
      <c r="R791" s="9" t="str">
        <f aca="false">IF(AND(A791&lt;&gt;"",ISNUMBER(Q791),ISNUMBER(L791)),ROUND(Q791-IF(ISNUMBER(N791),N791,0)-IF(ISNUMBER(O791),O791,0)+IF(ISNUMBER(P791),P791,0),2),"")</f>
        <v/>
      </c>
      <c r="S791" s="9" t="str">
        <f aca="false">IF(R791="","",ROUND(L791-R791,2))</f>
        <v/>
      </c>
      <c r="T791" s="8" t="str">
        <f aca="false">IF(A791="","",IF(S791="","BYPASS",IF(ABS(S791)&lt;=Summary!$B$2,"PASS","FAIL")))</f>
        <v/>
      </c>
      <c r="U791" s="8" t="str">
        <f aca="false">IF(T791="BYPASS",IF(NOT(ISNUMBER(Q791)),"PreV_ETB missing","End_tr_balance missing"),IF(T791="FAIL",IF(AND(ISNUMBER(K791),ISNUMBER(L791),ABS(L791-(K791-IF(ISNUMBER(N791),N791,0)-IF(ISNUMBER(O791),O791,0)+IF(ISNUMBER(P791),P791,0)))&lt;=Summary!$B$2),"Passes using beginning_balance - PreV_ETB differs from beginning_balance",IF(AND(ISNUMBER(O791),O791&lt;0,ABS(L791-(Q791-IF(ISNUMBER(N791),N791,0)+IF(ISNUMBER(P791),P791,0)))&lt;=Summary!$B$2),"Negative realized loss not applied - check sign",IF(R791&lt;0,"Principal paid exceeds prior balance",IF(AND(L791&gt;Q791,NOT(ISNUMBER(P791))),"Balance increased but no Deferred_interest reported",IF(L791&gt;R791,"Reported balance higher than expected (missing increase/OC build)","Reported balance lower than expected (missing decrease)"))))),""))</f>
        <v/>
      </c>
    </row>
    <row r="792" customFormat="false" ht="15" hidden="false" customHeight="false" outlineLevel="0" collapsed="false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9"/>
      <c r="L792" s="9"/>
      <c r="M792" s="9"/>
      <c r="N792" s="9"/>
      <c r="O792" s="9"/>
      <c r="P792" s="9"/>
      <c r="Q792" s="9"/>
      <c r="R792" s="9" t="str">
        <f aca="false">IF(AND(A792&lt;&gt;"",ISNUMBER(Q792),ISNUMBER(L792)),ROUND(Q792-IF(ISNUMBER(N792),N792,0)-IF(ISNUMBER(O792),O792,0)+IF(ISNUMBER(P792),P792,0),2),"")</f>
        <v/>
      </c>
      <c r="S792" s="9" t="str">
        <f aca="false">IF(R792="","",ROUND(L792-R792,2))</f>
        <v/>
      </c>
      <c r="T792" s="8" t="str">
        <f aca="false">IF(A792="","",IF(S792="","BYPASS",IF(ABS(S792)&lt;=Summary!$B$2,"PASS","FAIL")))</f>
        <v/>
      </c>
      <c r="U792" s="8" t="str">
        <f aca="false">IF(T792="BYPASS",IF(NOT(ISNUMBER(Q792)),"PreV_ETB missing","End_tr_balance missing"),IF(T792="FAIL",IF(AND(ISNUMBER(K792),ISNUMBER(L792),ABS(L792-(K792-IF(ISNUMBER(N792),N792,0)-IF(ISNUMBER(O792),O792,0)+IF(ISNUMBER(P792),P792,0)))&lt;=Summary!$B$2),"Passes using beginning_balance - PreV_ETB differs from beginning_balance",IF(AND(ISNUMBER(O792),O792&lt;0,ABS(L792-(Q792-IF(ISNUMBER(N792),N792,0)+IF(ISNUMBER(P792),P792,0)))&lt;=Summary!$B$2),"Negative realized loss not applied - check sign",IF(R792&lt;0,"Principal paid exceeds prior balance",IF(AND(L792&gt;Q792,NOT(ISNUMBER(P792))),"Balance increased but no Deferred_interest reported",IF(L792&gt;R792,"Reported balance higher than expected (missing increase/OC build)","Reported balance lower than expected (missing decrease)"))))),""))</f>
        <v/>
      </c>
    </row>
    <row r="793" customFormat="false" ht="15" hidden="false" customHeight="false" outlineLevel="0" collapsed="false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9"/>
      <c r="L793" s="9"/>
      <c r="M793" s="9"/>
      <c r="N793" s="9"/>
      <c r="O793" s="9"/>
      <c r="P793" s="9"/>
      <c r="Q793" s="9"/>
      <c r="R793" s="9" t="str">
        <f aca="false">IF(AND(A793&lt;&gt;"",ISNUMBER(Q793),ISNUMBER(L793)),ROUND(Q793-IF(ISNUMBER(N793),N793,0)-IF(ISNUMBER(O793),O793,0)+IF(ISNUMBER(P793),P793,0),2),"")</f>
        <v/>
      </c>
      <c r="S793" s="9" t="str">
        <f aca="false">IF(R793="","",ROUND(L793-R793,2))</f>
        <v/>
      </c>
      <c r="T793" s="8" t="str">
        <f aca="false">IF(A793="","",IF(S793="","BYPASS",IF(ABS(S793)&lt;=Summary!$B$2,"PASS","FAIL")))</f>
        <v/>
      </c>
      <c r="U793" s="8" t="str">
        <f aca="false">IF(T793="BYPASS",IF(NOT(ISNUMBER(Q793)),"PreV_ETB missing","End_tr_balance missing"),IF(T793="FAIL",IF(AND(ISNUMBER(K793),ISNUMBER(L793),ABS(L793-(K793-IF(ISNUMBER(N793),N793,0)-IF(ISNUMBER(O793),O793,0)+IF(ISNUMBER(P793),P793,0)))&lt;=Summary!$B$2),"Passes using beginning_balance - PreV_ETB differs from beginning_balance",IF(AND(ISNUMBER(O793),O793&lt;0,ABS(L793-(Q793-IF(ISNUMBER(N793),N793,0)+IF(ISNUMBER(P793),P793,0)))&lt;=Summary!$B$2),"Negative realized loss not applied - check sign",IF(R793&lt;0,"Principal paid exceeds prior balance",IF(AND(L793&gt;Q793,NOT(ISNUMBER(P793))),"Balance increased but no Deferred_interest reported",IF(L793&gt;R793,"Reported balance higher than expected (missing increase/OC build)","Reported balance lower than expected (missing decrease)"))))),""))</f>
        <v/>
      </c>
    </row>
    <row r="794" customFormat="false" ht="15" hidden="false" customHeight="false" outlineLevel="0" collapsed="false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9"/>
      <c r="L794" s="9"/>
      <c r="M794" s="9"/>
      <c r="N794" s="9"/>
      <c r="O794" s="9"/>
      <c r="P794" s="9"/>
      <c r="Q794" s="9"/>
      <c r="R794" s="9" t="str">
        <f aca="false">IF(AND(A794&lt;&gt;"",ISNUMBER(Q794),ISNUMBER(L794)),ROUND(Q794-IF(ISNUMBER(N794),N794,0)-IF(ISNUMBER(O794),O794,0)+IF(ISNUMBER(P794),P794,0),2),"")</f>
        <v/>
      </c>
      <c r="S794" s="9" t="str">
        <f aca="false">IF(R794="","",ROUND(L794-R794,2))</f>
        <v/>
      </c>
      <c r="T794" s="8" t="str">
        <f aca="false">IF(A794="","",IF(S794="","BYPASS",IF(ABS(S794)&lt;=Summary!$B$2,"PASS","FAIL")))</f>
        <v/>
      </c>
      <c r="U794" s="8" t="str">
        <f aca="false">IF(T794="BYPASS",IF(NOT(ISNUMBER(Q794)),"PreV_ETB missing","End_tr_balance missing"),IF(T794="FAIL",IF(AND(ISNUMBER(K794),ISNUMBER(L794),ABS(L794-(K794-IF(ISNUMBER(N794),N794,0)-IF(ISNUMBER(O794),O794,0)+IF(ISNUMBER(P794),P794,0)))&lt;=Summary!$B$2),"Passes using beginning_balance - PreV_ETB differs from beginning_balance",IF(AND(ISNUMBER(O794),O794&lt;0,ABS(L794-(Q794-IF(ISNUMBER(N794),N794,0)+IF(ISNUMBER(P794),P794,0)))&lt;=Summary!$B$2),"Negative realized loss not applied - check sign",IF(R794&lt;0,"Principal paid exceeds prior balance",IF(AND(L794&gt;Q794,NOT(ISNUMBER(P794))),"Balance increased but no Deferred_interest reported",IF(L794&gt;R794,"Reported balance higher than expected (missing increase/OC build)","Reported balance lower than expected (missing decrease)"))))),""))</f>
        <v/>
      </c>
    </row>
    <row r="795" customFormat="false" ht="15" hidden="false" customHeight="false" outlineLevel="0" collapsed="false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9"/>
      <c r="L795" s="9"/>
      <c r="M795" s="9"/>
      <c r="N795" s="9"/>
      <c r="O795" s="9"/>
      <c r="P795" s="9"/>
      <c r="Q795" s="9"/>
      <c r="R795" s="9" t="str">
        <f aca="false">IF(AND(A795&lt;&gt;"",ISNUMBER(Q795),ISNUMBER(L795)),ROUND(Q795-IF(ISNUMBER(N795),N795,0)-IF(ISNUMBER(O795),O795,0)+IF(ISNUMBER(P795),P795,0),2),"")</f>
        <v/>
      </c>
      <c r="S795" s="9" t="str">
        <f aca="false">IF(R795="","",ROUND(L795-R795,2))</f>
        <v/>
      </c>
      <c r="T795" s="8" t="str">
        <f aca="false">IF(A795="","",IF(S795="","BYPASS",IF(ABS(S795)&lt;=Summary!$B$2,"PASS","FAIL")))</f>
        <v/>
      </c>
      <c r="U795" s="8" t="str">
        <f aca="false">IF(T795="BYPASS",IF(NOT(ISNUMBER(Q795)),"PreV_ETB missing","End_tr_balance missing"),IF(T795="FAIL",IF(AND(ISNUMBER(K795),ISNUMBER(L795),ABS(L795-(K795-IF(ISNUMBER(N795),N795,0)-IF(ISNUMBER(O795),O795,0)+IF(ISNUMBER(P795),P795,0)))&lt;=Summary!$B$2),"Passes using beginning_balance - PreV_ETB differs from beginning_balance",IF(AND(ISNUMBER(O795),O795&lt;0,ABS(L795-(Q795-IF(ISNUMBER(N795),N795,0)+IF(ISNUMBER(P795),P795,0)))&lt;=Summary!$B$2),"Negative realized loss not applied - check sign",IF(R795&lt;0,"Principal paid exceeds prior balance",IF(AND(L795&gt;Q795,NOT(ISNUMBER(P795))),"Balance increased but no Deferred_interest reported",IF(L795&gt;R795,"Reported balance higher than expected (missing increase/OC build)","Reported balance lower than expected (missing decrease)"))))),""))</f>
        <v/>
      </c>
    </row>
    <row r="796" customFormat="false" ht="15" hidden="false" customHeight="false" outlineLevel="0" collapsed="false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9"/>
      <c r="L796" s="9"/>
      <c r="M796" s="9"/>
      <c r="N796" s="9"/>
      <c r="O796" s="9"/>
      <c r="P796" s="9"/>
      <c r="Q796" s="9"/>
      <c r="R796" s="9" t="str">
        <f aca="false">IF(AND(A796&lt;&gt;"",ISNUMBER(Q796),ISNUMBER(L796)),ROUND(Q796-IF(ISNUMBER(N796),N796,0)-IF(ISNUMBER(O796),O796,0)+IF(ISNUMBER(P796),P796,0),2),"")</f>
        <v/>
      </c>
      <c r="S796" s="9" t="str">
        <f aca="false">IF(R796="","",ROUND(L796-R796,2))</f>
        <v/>
      </c>
      <c r="T796" s="8" t="str">
        <f aca="false">IF(A796="","",IF(S796="","BYPASS",IF(ABS(S796)&lt;=Summary!$B$2,"PASS","FAIL")))</f>
        <v/>
      </c>
      <c r="U796" s="8" t="str">
        <f aca="false">IF(T796="BYPASS",IF(NOT(ISNUMBER(Q796)),"PreV_ETB missing","End_tr_balance missing"),IF(T796="FAIL",IF(AND(ISNUMBER(K796),ISNUMBER(L796),ABS(L796-(K796-IF(ISNUMBER(N796),N796,0)-IF(ISNUMBER(O796),O796,0)+IF(ISNUMBER(P796),P796,0)))&lt;=Summary!$B$2),"Passes using beginning_balance - PreV_ETB differs from beginning_balance",IF(AND(ISNUMBER(O796),O796&lt;0,ABS(L796-(Q796-IF(ISNUMBER(N796),N796,0)+IF(ISNUMBER(P796),P796,0)))&lt;=Summary!$B$2),"Negative realized loss not applied - check sign",IF(R796&lt;0,"Principal paid exceeds prior balance",IF(AND(L796&gt;Q796,NOT(ISNUMBER(P796))),"Balance increased but no Deferred_interest reported",IF(L796&gt;R796,"Reported balance higher than expected (missing increase/OC build)","Reported balance lower than expected (missing decrease)"))))),""))</f>
        <v/>
      </c>
    </row>
    <row r="797" customFormat="false" ht="15" hidden="false" customHeight="false" outlineLevel="0" collapsed="false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9"/>
      <c r="L797" s="9"/>
      <c r="M797" s="9"/>
      <c r="N797" s="9"/>
      <c r="O797" s="9"/>
      <c r="P797" s="9"/>
      <c r="Q797" s="9"/>
      <c r="R797" s="9" t="str">
        <f aca="false">IF(AND(A797&lt;&gt;"",ISNUMBER(Q797),ISNUMBER(L797)),ROUND(Q797-IF(ISNUMBER(N797),N797,0)-IF(ISNUMBER(O797),O797,0)+IF(ISNUMBER(P797),P797,0),2),"")</f>
        <v/>
      </c>
      <c r="S797" s="9" t="str">
        <f aca="false">IF(R797="","",ROUND(L797-R797,2))</f>
        <v/>
      </c>
      <c r="T797" s="8" t="str">
        <f aca="false">IF(A797="","",IF(S797="","BYPASS",IF(ABS(S797)&lt;=Summary!$B$2,"PASS","FAIL")))</f>
        <v/>
      </c>
      <c r="U797" s="8" t="str">
        <f aca="false">IF(T797="BYPASS",IF(NOT(ISNUMBER(Q797)),"PreV_ETB missing","End_tr_balance missing"),IF(T797="FAIL",IF(AND(ISNUMBER(K797),ISNUMBER(L797),ABS(L797-(K797-IF(ISNUMBER(N797),N797,0)-IF(ISNUMBER(O797),O797,0)+IF(ISNUMBER(P797),P797,0)))&lt;=Summary!$B$2),"Passes using beginning_balance - PreV_ETB differs from beginning_balance",IF(AND(ISNUMBER(O797),O797&lt;0,ABS(L797-(Q797-IF(ISNUMBER(N797),N797,0)+IF(ISNUMBER(P797),P797,0)))&lt;=Summary!$B$2),"Negative realized loss not applied - check sign",IF(R797&lt;0,"Principal paid exceeds prior balance",IF(AND(L797&gt;Q797,NOT(ISNUMBER(P797))),"Balance increased but no Deferred_interest reported",IF(L797&gt;R797,"Reported balance higher than expected (missing increase/OC build)","Reported balance lower than expected (missing decrease)"))))),""))</f>
        <v/>
      </c>
    </row>
    <row r="798" customFormat="false" ht="15" hidden="false" customHeight="false" outlineLevel="0" collapsed="false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9"/>
      <c r="L798" s="9"/>
      <c r="M798" s="9"/>
      <c r="N798" s="9"/>
      <c r="O798" s="9"/>
      <c r="P798" s="9"/>
      <c r="Q798" s="9"/>
      <c r="R798" s="9" t="str">
        <f aca="false">IF(AND(A798&lt;&gt;"",ISNUMBER(Q798),ISNUMBER(L798)),ROUND(Q798-IF(ISNUMBER(N798),N798,0)-IF(ISNUMBER(O798),O798,0)+IF(ISNUMBER(P798),P798,0),2),"")</f>
        <v/>
      </c>
      <c r="S798" s="9" t="str">
        <f aca="false">IF(R798="","",ROUND(L798-R798,2))</f>
        <v/>
      </c>
      <c r="T798" s="8" t="str">
        <f aca="false">IF(A798="","",IF(S798="","BYPASS",IF(ABS(S798)&lt;=Summary!$B$2,"PASS","FAIL")))</f>
        <v/>
      </c>
      <c r="U798" s="8" t="str">
        <f aca="false">IF(T798="BYPASS",IF(NOT(ISNUMBER(Q798)),"PreV_ETB missing","End_tr_balance missing"),IF(T798="FAIL",IF(AND(ISNUMBER(K798),ISNUMBER(L798),ABS(L798-(K798-IF(ISNUMBER(N798),N798,0)-IF(ISNUMBER(O798),O798,0)+IF(ISNUMBER(P798),P798,0)))&lt;=Summary!$B$2),"Passes using beginning_balance - PreV_ETB differs from beginning_balance",IF(AND(ISNUMBER(O798),O798&lt;0,ABS(L798-(Q798-IF(ISNUMBER(N798),N798,0)+IF(ISNUMBER(P798),P798,0)))&lt;=Summary!$B$2),"Negative realized loss not applied - check sign",IF(R798&lt;0,"Principal paid exceeds prior balance",IF(AND(L798&gt;Q798,NOT(ISNUMBER(P798))),"Balance increased but no Deferred_interest reported",IF(L798&gt;R798,"Reported balance higher than expected (missing increase/OC build)","Reported balance lower than expected (missing decrease)"))))),""))</f>
        <v/>
      </c>
    </row>
    <row r="799" customFormat="false" ht="15" hidden="false" customHeight="false" outlineLevel="0" collapsed="false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9"/>
      <c r="L799" s="9"/>
      <c r="M799" s="9"/>
      <c r="N799" s="9"/>
      <c r="O799" s="9"/>
      <c r="P799" s="9"/>
      <c r="Q799" s="9"/>
      <c r="R799" s="9" t="str">
        <f aca="false">IF(AND(A799&lt;&gt;"",ISNUMBER(Q799),ISNUMBER(L799)),ROUND(Q799-IF(ISNUMBER(N799),N799,0)-IF(ISNUMBER(O799),O799,0)+IF(ISNUMBER(P799),P799,0),2),"")</f>
        <v/>
      </c>
      <c r="S799" s="9" t="str">
        <f aca="false">IF(R799="","",ROUND(L799-R799,2))</f>
        <v/>
      </c>
      <c r="T799" s="8" t="str">
        <f aca="false">IF(A799="","",IF(S799="","BYPASS",IF(ABS(S799)&lt;=Summary!$B$2,"PASS","FAIL")))</f>
        <v/>
      </c>
      <c r="U799" s="8" t="str">
        <f aca="false">IF(T799="BYPASS",IF(NOT(ISNUMBER(Q799)),"PreV_ETB missing","End_tr_balance missing"),IF(T799="FAIL",IF(AND(ISNUMBER(K799),ISNUMBER(L799),ABS(L799-(K799-IF(ISNUMBER(N799),N799,0)-IF(ISNUMBER(O799),O799,0)+IF(ISNUMBER(P799),P799,0)))&lt;=Summary!$B$2),"Passes using beginning_balance - PreV_ETB differs from beginning_balance",IF(AND(ISNUMBER(O799),O799&lt;0,ABS(L799-(Q799-IF(ISNUMBER(N799),N799,0)+IF(ISNUMBER(P799),P799,0)))&lt;=Summary!$B$2),"Negative realized loss not applied - check sign",IF(R799&lt;0,"Principal paid exceeds prior balance",IF(AND(L799&gt;Q799,NOT(ISNUMBER(P799))),"Balance increased but no Deferred_interest reported",IF(L799&gt;R799,"Reported balance higher than expected (missing increase/OC build)","Reported balance lower than expected (missing decrease)"))))),""))</f>
        <v/>
      </c>
    </row>
    <row r="800" customFormat="false" ht="15" hidden="false" customHeight="false" outlineLevel="0" collapsed="false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9"/>
      <c r="L800" s="9"/>
      <c r="M800" s="9"/>
      <c r="N800" s="9"/>
      <c r="O800" s="9"/>
      <c r="P800" s="9"/>
      <c r="Q800" s="9"/>
      <c r="R800" s="9" t="str">
        <f aca="false">IF(AND(A800&lt;&gt;"",ISNUMBER(Q800),ISNUMBER(L800)),ROUND(Q800-IF(ISNUMBER(N800),N800,0)-IF(ISNUMBER(O800),O800,0)+IF(ISNUMBER(P800),P800,0),2),"")</f>
        <v/>
      </c>
      <c r="S800" s="9" t="str">
        <f aca="false">IF(R800="","",ROUND(L800-R800,2))</f>
        <v/>
      </c>
      <c r="T800" s="8" t="str">
        <f aca="false">IF(A800="","",IF(S800="","BYPASS",IF(ABS(S800)&lt;=Summary!$B$2,"PASS","FAIL")))</f>
        <v/>
      </c>
      <c r="U800" s="8" t="str">
        <f aca="false">IF(T800="BYPASS",IF(NOT(ISNUMBER(Q800)),"PreV_ETB missing","End_tr_balance missing"),IF(T800="FAIL",IF(AND(ISNUMBER(K800),ISNUMBER(L800),ABS(L800-(K800-IF(ISNUMBER(N800),N800,0)-IF(ISNUMBER(O800),O800,0)+IF(ISNUMBER(P800),P800,0)))&lt;=Summary!$B$2),"Passes using beginning_balance - PreV_ETB differs from beginning_balance",IF(AND(ISNUMBER(O800),O800&lt;0,ABS(L800-(Q800-IF(ISNUMBER(N800),N800,0)+IF(ISNUMBER(P800),P800,0)))&lt;=Summary!$B$2),"Negative realized loss not applied - check sign",IF(R800&lt;0,"Principal paid exceeds prior balance",IF(AND(L800&gt;Q800,NOT(ISNUMBER(P800))),"Balance increased but no Deferred_interest reported",IF(L800&gt;R800,"Reported balance higher than expected (missing increase/OC build)","Reported balance lower than expected (missing decrease)"))))),""))</f>
        <v/>
      </c>
    </row>
    <row r="801" customFormat="false" ht="15" hidden="false" customHeight="false" outlineLevel="0" collapsed="false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9"/>
      <c r="L801" s="9"/>
      <c r="M801" s="9"/>
      <c r="N801" s="9"/>
      <c r="O801" s="9"/>
      <c r="P801" s="9"/>
      <c r="Q801" s="9"/>
      <c r="R801" s="9" t="str">
        <f aca="false">IF(AND(A801&lt;&gt;"",ISNUMBER(Q801),ISNUMBER(L801)),ROUND(Q801-IF(ISNUMBER(N801),N801,0)-IF(ISNUMBER(O801),O801,0)+IF(ISNUMBER(P801),P801,0),2),"")</f>
        <v/>
      </c>
      <c r="S801" s="9" t="str">
        <f aca="false">IF(R801="","",ROUND(L801-R801,2))</f>
        <v/>
      </c>
      <c r="T801" s="8" t="str">
        <f aca="false">IF(A801="","",IF(S801="","BYPASS",IF(ABS(S801)&lt;=Summary!$B$2,"PASS","FAIL")))</f>
        <v/>
      </c>
      <c r="U801" s="8" t="str">
        <f aca="false">IF(T801="BYPASS",IF(NOT(ISNUMBER(Q801)),"PreV_ETB missing","End_tr_balance missing"),IF(T801="FAIL",IF(AND(ISNUMBER(K801),ISNUMBER(L801),ABS(L801-(K801-IF(ISNUMBER(N801),N801,0)-IF(ISNUMBER(O801),O801,0)+IF(ISNUMBER(P801),P801,0)))&lt;=Summary!$B$2),"Passes using beginning_balance - PreV_ETB differs from beginning_balance",IF(AND(ISNUMBER(O801),O801&lt;0,ABS(L801-(Q801-IF(ISNUMBER(N801),N801,0)+IF(ISNUMBER(P801),P801,0)))&lt;=Summary!$B$2),"Negative realized loss not applied - check sign",IF(R801&lt;0,"Principal paid exceeds prior balance",IF(AND(L801&gt;Q801,NOT(ISNUMBER(P801))),"Balance increased but no Deferred_interest reported",IF(L801&gt;R801,"Reported balance higher than expected (missing increase/OC build)","Reported balance lower than expected (missing decrease)"))))),""))</f>
        <v/>
      </c>
    </row>
    <row r="802" customFormat="false" ht="15" hidden="false" customHeight="false" outlineLevel="0" collapsed="false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9"/>
      <c r="L802" s="9"/>
      <c r="M802" s="9"/>
      <c r="N802" s="9"/>
      <c r="O802" s="9"/>
      <c r="P802" s="9"/>
      <c r="Q802" s="9"/>
      <c r="R802" s="9" t="str">
        <f aca="false">IF(AND(A802&lt;&gt;"",ISNUMBER(Q802),ISNUMBER(L802)),ROUND(Q802-IF(ISNUMBER(N802),N802,0)-IF(ISNUMBER(O802),O802,0)+IF(ISNUMBER(P802),P802,0),2),"")</f>
        <v/>
      </c>
      <c r="S802" s="9" t="str">
        <f aca="false">IF(R802="","",ROUND(L802-R802,2))</f>
        <v/>
      </c>
      <c r="T802" s="8" t="str">
        <f aca="false">IF(A802="","",IF(S802="","BYPASS",IF(ABS(S802)&lt;=Summary!$B$2,"PASS","FAIL")))</f>
        <v/>
      </c>
      <c r="U802" s="8" t="str">
        <f aca="false">IF(T802="BYPASS",IF(NOT(ISNUMBER(Q802)),"PreV_ETB missing","End_tr_balance missing"),IF(T802="FAIL",IF(AND(ISNUMBER(K802),ISNUMBER(L802),ABS(L802-(K802-IF(ISNUMBER(N802),N802,0)-IF(ISNUMBER(O802),O802,0)+IF(ISNUMBER(P802),P802,0)))&lt;=Summary!$B$2),"Passes using beginning_balance - PreV_ETB differs from beginning_balance",IF(AND(ISNUMBER(O802),O802&lt;0,ABS(L802-(Q802-IF(ISNUMBER(N802),N802,0)+IF(ISNUMBER(P802),P802,0)))&lt;=Summary!$B$2),"Negative realized loss not applied - check sign",IF(R802&lt;0,"Principal paid exceeds prior balance",IF(AND(L802&gt;Q802,NOT(ISNUMBER(P802))),"Balance increased but no Deferred_interest reported",IF(L802&gt;R802,"Reported balance higher than expected (missing increase/OC build)","Reported balance lower than expected (missing decrease)"))))),""))</f>
        <v/>
      </c>
    </row>
    <row r="803" customFormat="false" ht="15" hidden="false" customHeight="false" outlineLevel="0" collapsed="false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9"/>
      <c r="L803" s="9"/>
      <c r="M803" s="9"/>
      <c r="N803" s="9"/>
      <c r="O803" s="9"/>
      <c r="P803" s="9"/>
      <c r="Q803" s="9"/>
      <c r="R803" s="9" t="str">
        <f aca="false">IF(AND(A803&lt;&gt;"",ISNUMBER(Q803),ISNUMBER(L803)),ROUND(Q803-IF(ISNUMBER(N803),N803,0)-IF(ISNUMBER(O803),O803,0)+IF(ISNUMBER(P803),P803,0),2),"")</f>
        <v/>
      </c>
      <c r="S803" s="9" t="str">
        <f aca="false">IF(R803="","",ROUND(L803-R803,2))</f>
        <v/>
      </c>
      <c r="T803" s="8" t="str">
        <f aca="false">IF(A803="","",IF(S803="","BYPASS",IF(ABS(S803)&lt;=Summary!$B$2,"PASS","FAIL")))</f>
        <v/>
      </c>
      <c r="U803" s="8" t="str">
        <f aca="false">IF(T803="BYPASS",IF(NOT(ISNUMBER(Q803)),"PreV_ETB missing","End_tr_balance missing"),IF(T803="FAIL",IF(AND(ISNUMBER(K803),ISNUMBER(L803),ABS(L803-(K803-IF(ISNUMBER(N803),N803,0)-IF(ISNUMBER(O803),O803,0)+IF(ISNUMBER(P803),P803,0)))&lt;=Summary!$B$2),"Passes using beginning_balance - PreV_ETB differs from beginning_balance",IF(AND(ISNUMBER(O803),O803&lt;0,ABS(L803-(Q803-IF(ISNUMBER(N803),N803,0)+IF(ISNUMBER(P803),P803,0)))&lt;=Summary!$B$2),"Negative realized loss not applied - check sign",IF(R803&lt;0,"Principal paid exceeds prior balance",IF(AND(L803&gt;Q803,NOT(ISNUMBER(P803))),"Balance increased but no Deferred_interest reported",IF(L803&gt;R803,"Reported balance higher than expected (missing increase/OC build)","Reported balance lower than expected (missing decrease)"))))),""))</f>
        <v/>
      </c>
    </row>
    <row r="804" customFormat="false" ht="15" hidden="false" customHeight="false" outlineLevel="0" collapsed="false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9"/>
      <c r="L804" s="9"/>
      <c r="M804" s="9"/>
      <c r="N804" s="9"/>
      <c r="O804" s="9"/>
      <c r="P804" s="9"/>
      <c r="Q804" s="9"/>
      <c r="R804" s="9" t="str">
        <f aca="false">IF(AND(A804&lt;&gt;"",ISNUMBER(Q804),ISNUMBER(L804)),ROUND(Q804-IF(ISNUMBER(N804),N804,0)-IF(ISNUMBER(O804),O804,0)+IF(ISNUMBER(P804),P804,0),2),"")</f>
        <v/>
      </c>
      <c r="S804" s="9" t="str">
        <f aca="false">IF(R804="","",ROUND(L804-R804,2))</f>
        <v/>
      </c>
      <c r="T804" s="8" t="str">
        <f aca="false">IF(A804="","",IF(S804="","BYPASS",IF(ABS(S804)&lt;=Summary!$B$2,"PASS","FAIL")))</f>
        <v/>
      </c>
      <c r="U804" s="8" t="str">
        <f aca="false">IF(T804="BYPASS",IF(NOT(ISNUMBER(Q804)),"PreV_ETB missing","End_tr_balance missing"),IF(T804="FAIL",IF(AND(ISNUMBER(K804),ISNUMBER(L804),ABS(L804-(K804-IF(ISNUMBER(N804),N804,0)-IF(ISNUMBER(O804),O804,0)+IF(ISNUMBER(P804),P804,0)))&lt;=Summary!$B$2),"Passes using beginning_balance - PreV_ETB differs from beginning_balance",IF(AND(ISNUMBER(O804),O804&lt;0,ABS(L804-(Q804-IF(ISNUMBER(N804),N804,0)+IF(ISNUMBER(P804),P804,0)))&lt;=Summary!$B$2),"Negative realized loss not applied - check sign",IF(R804&lt;0,"Principal paid exceeds prior balance",IF(AND(L804&gt;Q804,NOT(ISNUMBER(P804))),"Balance increased but no Deferred_interest reported",IF(L804&gt;R804,"Reported balance higher than expected (missing increase/OC build)","Reported balance lower than expected (missing decrease)"))))),""))</f>
        <v/>
      </c>
    </row>
    <row r="805" customFormat="false" ht="15" hidden="false" customHeight="false" outlineLevel="0" collapsed="false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9"/>
      <c r="L805" s="9"/>
      <c r="M805" s="9"/>
      <c r="N805" s="9"/>
      <c r="O805" s="9"/>
      <c r="P805" s="9"/>
      <c r="Q805" s="9"/>
      <c r="R805" s="9" t="str">
        <f aca="false">IF(AND(A805&lt;&gt;"",ISNUMBER(Q805),ISNUMBER(L805)),ROUND(Q805-IF(ISNUMBER(N805),N805,0)-IF(ISNUMBER(O805),O805,0)+IF(ISNUMBER(P805),P805,0),2),"")</f>
        <v/>
      </c>
      <c r="S805" s="9" t="str">
        <f aca="false">IF(R805="","",ROUND(L805-R805,2))</f>
        <v/>
      </c>
      <c r="T805" s="8" t="str">
        <f aca="false">IF(A805="","",IF(S805="","BYPASS",IF(ABS(S805)&lt;=Summary!$B$2,"PASS","FAIL")))</f>
        <v/>
      </c>
      <c r="U805" s="8" t="str">
        <f aca="false">IF(T805="BYPASS",IF(NOT(ISNUMBER(Q805)),"PreV_ETB missing","End_tr_balance missing"),IF(T805="FAIL",IF(AND(ISNUMBER(K805),ISNUMBER(L805),ABS(L805-(K805-IF(ISNUMBER(N805),N805,0)-IF(ISNUMBER(O805),O805,0)+IF(ISNUMBER(P805),P805,0)))&lt;=Summary!$B$2),"Passes using beginning_balance - PreV_ETB differs from beginning_balance",IF(AND(ISNUMBER(O805),O805&lt;0,ABS(L805-(Q805-IF(ISNUMBER(N805),N805,0)+IF(ISNUMBER(P805),P805,0)))&lt;=Summary!$B$2),"Negative realized loss not applied - check sign",IF(R805&lt;0,"Principal paid exceeds prior balance",IF(AND(L805&gt;Q805,NOT(ISNUMBER(P805))),"Balance increased but no Deferred_interest reported",IF(L805&gt;R805,"Reported balance higher than expected (missing increase/OC build)","Reported balance lower than expected (missing decrease)"))))),""))</f>
        <v/>
      </c>
    </row>
    <row r="806" customFormat="false" ht="15" hidden="false" customHeight="false" outlineLevel="0" collapsed="false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9"/>
      <c r="L806" s="9"/>
      <c r="M806" s="9"/>
      <c r="N806" s="9"/>
      <c r="O806" s="9"/>
      <c r="P806" s="9"/>
      <c r="Q806" s="9"/>
      <c r="R806" s="9" t="str">
        <f aca="false">IF(AND(A806&lt;&gt;"",ISNUMBER(Q806),ISNUMBER(L806)),ROUND(Q806-IF(ISNUMBER(N806),N806,0)-IF(ISNUMBER(O806),O806,0)+IF(ISNUMBER(P806),P806,0),2),"")</f>
        <v/>
      </c>
      <c r="S806" s="9" t="str">
        <f aca="false">IF(R806="","",ROUND(L806-R806,2))</f>
        <v/>
      </c>
      <c r="T806" s="8" t="str">
        <f aca="false">IF(A806="","",IF(S806="","BYPASS",IF(ABS(S806)&lt;=Summary!$B$2,"PASS","FAIL")))</f>
        <v/>
      </c>
      <c r="U806" s="8" t="str">
        <f aca="false">IF(T806="BYPASS",IF(NOT(ISNUMBER(Q806)),"PreV_ETB missing","End_tr_balance missing"),IF(T806="FAIL",IF(AND(ISNUMBER(K806),ISNUMBER(L806),ABS(L806-(K806-IF(ISNUMBER(N806),N806,0)-IF(ISNUMBER(O806),O806,0)+IF(ISNUMBER(P806),P806,0)))&lt;=Summary!$B$2),"Passes using beginning_balance - PreV_ETB differs from beginning_balance",IF(AND(ISNUMBER(O806),O806&lt;0,ABS(L806-(Q806-IF(ISNUMBER(N806),N806,0)+IF(ISNUMBER(P806),P806,0)))&lt;=Summary!$B$2),"Negative realized loss not applied - check sign",IF(R806&lt;0,"Principal paid exceeds prior balance",IF(AND(L806&gt;Q806,NOT(ISNUMBER(P806))),"Balance increased but no Deferred_interest reported",IF(L806&gt;R806,"Reported balance higher than expected (missing increase/OC build)","Reported balance lower than expected (missing decrease)"))))),""))</f>
        <v/>
      </c>
    </row>
    <row r="807" customFormat="false" ht="15" hidden="false" customHeight="false" outlineLevel="0" collapsed="false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9"/>
      <c r="L807" s="9"/>
      <c r="M807" s="9"/>
      <c r="N807" s="9"/>
      <c r="O807" s="9"/>
      <c r="P807" s="9"/>
      <c r="Q807" s="9"/>
      <c r="R807" s="9" t="str">
        <f aca="false">IF(AND(A807&lt;&gt;"",ISNUMBER(Q807),ISNUMBER(L807)),ROUND(Q807-IF(ISNUMBER(N807),N807,0)-IF(ISNUMBER(O807),O807,0)+IF(ISNUMBER(P807),P807,0),2),"")</f>
        <v/>
      </c>
      <c r="S807" s="9" t="str">
        <f aca="false">IF(R807="","",ROUND(L807-R807,2))</f>
        <v/>
      </c>
      <c r="T807" s="8" t="str">
        <f aca="false">IF(A807="","",IF(S807="","BYPASS",IF(ABS(S807)&lt;=Summary!$B$2,"PASS","FAIL")))</f>
        <v/>
      </c>
      <c r="U807" s="8" t="str">
        <f aca="false">IF(T807="BYPASS",IF(NOT(ISNUMBER(Q807)),"PreV_ETB missing","End_tr_balance missing"),IF(T807="FAIL",IF(AND(ISNUMBER(K807),ISNUMBER(L807),ABS(L807-(K807-IF(ISNUMBER(N807),N807,0)-IF(ISNUMBER(O807),O807,0)+IF(ISNUMBER(P807),P807,0)))&lt;=Summary!$B$2),"Passes using beginning_balance - PreV_ETB differs from beginning_balance",IF(AND(ISNUMBER(O807),O807&lt;0,ABS(L807-(Q807-IF(ISNUMBER(N807),N807,0)+IF(ISNUMBER(P807),P807,0)))&lt;=Summary!$B$2),"Negative realized loss not applied - check sign",IF(R807&lt;0,"Principal paid exceeds prior balance",IF(AND(L807&gt;Q807,NOT(ISNUMBER(P807))),"Balance increased but no Deferred_interest reported",IF(L807&gt;R807,"Reported balance higher than expected (missing increase/OC build)","Reported balance lower than expected (missing decrease)"))))),""))</f>
        <v/>
      </c>
    </row>
    <row r="808" customFormat="false" ht="15" hidden="false" customHeight="false" outlineLevel="0" collapsed="false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9"/>
      <c r="L808" s="9"/>
      <c r="M808" s="9"/>
      <c r="N808" s="9"/>
      <c r="O808" s="9"/>
      <c r="P808" s="9"/>
      <c r="Q808" s="9"/>
      <c r="R808" s="9" t="str">
        <f aca="false">IF(AND(A808&lt;&gt;"",ISNUMBER(Q808),ISNUMBER(L808)),ROUND(Q808-IF(ISNUMBER(N808),N808,0)-IF(ISNUMBER(O808),O808,0)+IF(ISNUMBER(P808),P808,0),2),"")</f>
        <v/>
      </c>
      <c r="S808" s="9" t="str">
        <f aca="false">IF(R808="","",ROUND(L808-R808,2))</f>
        <v/>
      </c>
      <c r="T808" s="8" t="str">
        <f aca="false">IF(A808="","",IF(S808="","BYPASS",IF(ABS(S808)&lt;=Summary!$B$2,"PASS","FAIL")))</f>
        <v/>
      </c>
      <c r="U808" s="8" t="str">
        <f aca="false">IF(T808="BYPASS",IF(NOT(ISNUMBER(Q808)),"PreV_ETB missing","End_tr_balance missing"),IF(T808="FAIL",IF(AND(ISNUMBER(K808),ISNUMBER(L808),ABS(L808-(K808-IF(ISNUMBER(N808),N808,0)-IF(ISNUMBER(O808),O808,0)+IF(ISNUMBER(P808),P808,0)))&lt;=Summary!$B$2),"Passes using beginning_balance - PreV_ETB differs from beginning_balance",IF(AND(ISNUMBER(O808),O808&lt;0,ABS(L808-(Q808-IF(ISNUMBER(N808),N808,0)+IF(ISNUMBER(P808),P808,0)))&lt;=Summary!$B$2),"Negative realized loss not applied - check sign",IF(R808&lt;0,"Principal paid exceeds prior balance",IF(AND(L808&gt;Q808,NOT(ISNUMBER(P808))),"Balance increased but no Deferred_interest reported",IF(L808&gt;R808,"Reported balance higher than expected (missing increase/OC build)","Reported balance lower than expected (missing decrease)"))))),""))</f>
        <v/>
      </c>
    </row>
    <row r="809" customFormat="false" ht="15" hidden="false" customHeight="false" outlineLevel="0" collapsed="false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9"/>
      <c r="L809" s="9"/>
      <c r="M809" s="9"/>
      <c r="N809" s="9"/>
      <c r="O809" s="9"/>
      <c r="P809" s="9"/>
      <c r="Q809" s="9"/>
      <c r="R809" s="9" t="str">
        <f aca="false">IF(AND(A809&lt;&gt;"",ISNUMBER(Q809),ISNUMBER(L809)),ROUND(Q809-IF(ISNUMBER(N809),N809,0)-IF(ISNUMBER(O809),O809,0)+IF(ISNUMBER(P809),P809,0),2),"")</f>
        <v/>
      </c>
      <c r="S809" s="9" t="str">
        <f aca="false">IF(R809="","",ROUND(L809-R809,2))</f>
        <v/>
      </c>
      <c r="T809" s="8" t="str">
        <f aca="false">IF(A809="","",IF(S809="","BYPASS",IF(ABS(S809)&lt;=Summary!$B$2,"PASS","FAIL")))</f>
        <v/>
      </c>
      <c r="U809" s="8" t="str">
        <f aca="false">IF(T809="BYPASS",IF(NOT(ISNUMBER(Q809)),"PreV_ETB missing","End_tr_balance missing"),IF(T809="FAIL",IF(AND(ISNUMBER(K809),ISNUMBER(L809),ABS(L809-(K809-IF(ISNUMBER(N809),N809,0)-IF(ISNUMBER(O809),O809,0)+IF(ISNUMBER(P809),P809,0)))&lt;=Summary!$B$2),"Passes using beginning_balance - PreV_ETB differs from beginning_balance",IF(AND(ISNUMBER(O809),O809&lt;0,ABS(L809-(Q809-IF(ISNUMBER(N809),N809,0)+IF(ISNUMBER(P809),P809,0)))&lt;=Summary!$B$2),"Negative realized loss not applied - check sign",IF(R809&lt;0,"Principal paid exceeds prior balance",IF(AND(L809&gt;Q809,NOT(ISNUMBER(P809))),"Balance increased but no Deferred_interest reported",IF(L809&gt;R809,"Reported balance higher than expected (missing increase/OC build)","Reported balance lower than expected (missing decrease)"))))),""))</f>
        <v/>
      </c>
    </row>
    <row r="810" customFormat="false" ht="15" hidden="false" customHeight="false" outlineLevel="0" collapsed="false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9"/>
      <c r="L810" s="9"/>
      <c r="M810" s="9"/>
      <c r="N810" s="9"/>
      <c r="O810" s="9"/>
      <c r="P810" s="9"/>
      <c r="Q810" s="9"/>
      <c r="R810" s="9" t="str">
        <f aca="false">IF(AND(A810&lt;&gt;"",ISNUMBER(Q810),ISNUMBER(L810)),ROUND(Q810-IF(ISNUMBER(N810),N810,0)-IF(ISNUMBER(O810),O810,0)+IF(ISNUMBER(P810),P810,0),2),"")</f>
        <v/>
      </c>
      <c r="S810" s="9" t="str">
        <f aca="false">IF(R810="","",ROUND(L810-R810,2))</f>
        <v/>
      </c>
      <c r="T810" s="8" t="str">
        <f aca="false">IF(A810="","",IF(S810="","BYPASS",IF(ABS(S810)&lt;=Summary!$B$2,"PASS","FAIL")))</f>
        <v/>
      </c>
      <c r="U810" s="8" t="str">
        <f aca="false">IF(T810="BYPASS",IF(NOT(ISNUMBER(Q810)),"PreV_ETB missing","End_tr_balance missing"),IF(T810="FAIL",IF(AND(ISNUMBER(K810),ISNUMBER(L810),ABS(L810-(K810-IF(ISNUMBER(N810),N810,0)-IF(ISNUMBER(O810),O810,0)+IF(ISNUMBER(P810),P810,0)))&lt;=Summary!$B$2),"Passes using beginning_balance - PreV_ETB differs from beginning_balance",IF(AND(ISNUMBER(O810),O810&lt;0,ABS(L810-(Q810-IF(ISNUMBER(N810),N810,0)+IF(ISNUMBER(P810),P810,0)))&lt;=Summary!$B$2),"Negative realized loss not applied - check sign",IF(R810&lt;0,"Principal paid exceeds prior balance",IF(AND(L810&gt;Q810,NOT(ISNUMBER(P810))),"Balance increased but no Deferred_interest reported",IF(L810&gt;R810,"Reported balance higher than expected (missing increase/OC build)","Reported balance lower than expected (missing decrease)"))))),""))</f>
        <v/>
      </c>
    </row>
    <row r="811" customFormat="false" ht="15" hidden="false" customHeight="false" outlineLevel="0" collapsed="false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9"/>
      <c r="L811" s="9"/>
      <c r="M811" s="9"/>
      <c r="N811" s="9"/>
      <c r="O811" s="9"/>
      <c r="P811" s="9"/>
      <c r="Q811" s="9"/>
      <c r="R811" s="9" t="str">
        <f aca="false">IF(AND(A811&lt;&gt;"",ISNUMBER(Q811),ISNUMBER(L811)),ROUND(Q811-IF(ISNUMBER(N811),N811,0)-IF(ISNUMBER(O811),O811,0)+IF(ISNUMBER(P811),P811,0),2),"")</f>
        <v/>
      </c>
      <c r="S811" s="9" t="str">
        <f aca="false">IF(R811="","",ROUND(L811-R811,2))</f>
        <v/>
      </c>
      <c r="T811" s="8" t="str">
        <f aca="false">IF(A811="","",IF(S811="","BYPASS",IF(ABS(S811)&lt;=Summary!$B$2,"PASS","FAIL")))</f>
        <v/>
      </c>
      <c r="U811" s="8" t="str">
        <f aca="false">IF(T811="BYPASS",IF(NOT(ISNUMBER(Q811)),"PreV_ETB missing","End_tr_balance missing"),IF(T811="FAIL",IF(AND(ISNUMBER(K811),ISNUMBER(L811),ABS(L811-(K811-IF(ISNUMBER(N811),N811,0)-IF(ISNUMBER(O811),O811,0)+IF(ISNUMBER(P811),P811,0)))&lt;=Summary!$B$2),"Passes using beginning_balance - PreV_ETB differs from beginning_balance",IF(AND(ISNUMBER(O811),O811&lt;0,ABS(L811-(Q811-IF(ISNUMBER(N811),N811,0)+IF(ISNUMBER(P811),P811,0)))&lt;=Summary!$B$2),"Negative realized loss not applied - check sign",IF(R811&lt;0,"Principal paid exceeds prior balance",IF(AND(L811&gt;Q811,NOT(ISNUMBER(P811))),"Balance increased but no Deferred_interest reported",IF(L811&gt;R811,"Reported balance higher than expected (missing increase/OC build)","Reported balance lower than expected (missing decrease)"))))),""))</f>
        <v/>
      </c>
    </row>
    <row r="812" customFormat="false" ht="15" hidden="false" customHeight="false" outlineLevel="0" collapsed="false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9"/>
      <c r="L812" s="9"/>
      <c r="M812" s="9"/>
      <c r="N812" s="9"/>
      <c r="O812" s="9"/>
      <c r="P812" s="9"/>
      <c r="Q812" s="9"/>
      <c r="R812" s="9" t="str">
        <f aca="false">IF(AND(A812&lt;&gt;"",ISNUMBER(Q812),ISNUMBER(L812)),ROUND(Q812-IF(ISNUMBER(N812),N812,0)-IF(ISNUMBER(O812),O812,0)+IF(ISNUMBER(P812),P812,0),2),"")</f>
        <v/>
      </c>
      <c r="S812" s="9" t="str">
        <f aca="false">IF(R812="","",ROUND(L812-R812,2))</f>
        <v/>
      </c>
      <c r="T812" s="8" t="str">
        <f aca="false">IF(A812="","",IF(S812="","BYPASS",IF(ABS(S812)&lt;=Summary!$B$2,"PASS","FAIL")))</f>
        <v/>
      </c>
      <c r="U812" s="8" t="str">
        <f aca="false">IF(T812="BYPASS",IF(NOT(ISNUMBER(Q812)),"PreV_ETB missing","End_tr_balance missing"),IF(T812="FAIL",IF(AND(ISNUMBER(K812),ISNUMBER(L812),ABS(L812-(K812-IF(ISNUMBER(N812),N812,0)-IF(ISNUMBER(O812),O812,0)+IF(ISNUMBER(P812),P812,0)))&lt;=Summary!$B$2),"Passes using beginning_balance - PreV_ETB differs from beginning_balance",IF(AND(ISNUMBER(O812),O812&lt;0,ABS(L812-(Q812-IF(ISNUMBER(N812),N812,0)+IF(ISNUMBER(P812),P812,0)))&lt;=Summary!$B$2),"Negative realized loss not applied - check sign",IF(R812&lt;0,"Principal paid exceeds prior balance",IF(AND(L812&gt;Q812,NOT(ISNUMBER(P812))),"Balance increased but no Deferred_interest reported",IF(L812&gt;R812,"Reported balance higher than expected (missing increase/OC build)","Reported balance lower than expected (missing decrease)"))))),""))</f>
        <v/>
      </c>
    </row>
    <row r="813" customFormat="false" ht="15" hidden="false" customHeight="false" outlineLevel="0" collapsed="false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9"/>
      <c r="L813" s="9"/>
      <c r="M813" s="9"/>
      <c r="N813" s="9"/>
      <c r="O813" s="9"/>
      <c r="P813" s="9"/>
      <c r="Q813" s="9"/>
      <c r="R813" s="9" t="str">
        <f aca="false">IF(AND(A813&lt;&gt;"",ISNUMBER(Q813),ISNUMBER(L813)),ROUND(Q813-IF(ISNUMBER(N813),N813,0)-IF(ISNUMBER(O813),O813,0)+IF(ISNUMBER(P813),P813,0),2),"")</f>
        <v/>
      </c>
      <c r="S813" s="9" t="str">
        <f aca="false">IF(R813="","",ROUND(L813-R813,2))</f>
        <v/>
      </c>
      <c r="T813" s="8" t="str">
        <f aca="false">IF(A813="","",IF(S813="","BYPASS",IF(ABS(S813)&lt;=Summary!$B$2,"PASS","FAIL")))</f>
        <v/>
      </c>
      <c r="U813" s="8" t="str">
        <f aca="false">IF(T813="BYPASS",IF(NOT(ISNUMBER(Q813)),"PreV_ETB missing","End_tr_balance missing"),IF(T813="FAIL",IF(AND(ISNUMBER(K813),ISNUMBER(L813),ABS(L813-(K813-IF(ISNUMBER(N813),N813,0)-IF(ISNUMBER(O813),O813,0)+IF(ISNUMBER(P813),P813,0)))&lt;=Summary!$B$2),"Passes using beginning_balance - PreV_ETB differs from beginning_balance",IF(AND(ISNUMBER(O813),O813&lt;0,ABS(L813-(Q813-IF(ISNUMBER(N813),N813,0)+IF(ISNUMBER(P813),P813,0)))&lt;=Summary!$B$2),"Negative realized loss not applied - check sign",IF(R813&lt;0,"Principal paid exceeds prior balance",IF(AND(L813&gt;Q813,NOT(ISNUMBER(P813))),"Balance increased but no Deferred_interest reported",IF(L813&gt;R813,"Reported balance higher than expected (missing increase/OC build)","Reported balance lower than expected (missing decrease)"))))),""))</f>
        <v/>
      </c>
    </row>
    <row r="814" customFormat="false" ht="15" hidden="false" customHeight="false" outlineLevel="0" collapsed="false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9"/>
      <c r="L814" s="9"/>
      <c r="M814" s="9"/>
      <c r="N814" s="9"/>
      <c r="O814" s="9"/>
      <c r="P814" s="9"/>
      <c r="Q814" s="9"/>
      <c r="R814" s="9" t="str">
        <f aca="false">IF(AND(A814&lt;&gt;"",ISNUMBER(Q814),ISNUMBER(L814)),ROUND(Q814-IF(ISNUMBER(N814),N814,0)-IF(ISNUMBER(O814),O814,0)+IF(ISNUMBER(P814),P814,0),2),"")</f>
        <v/>
      </c>
      <c r="S814" s="9" t="str">
        <f aca="false">IF(R814="","",ROUND(L814-R814,2))</f>
        <v/>
      </c>
      <c r="T814" s="8" t="str">
        <f aca="false">IF(A814="","",IF(S814="","BYPASS",IF(ABS(S814)&lt;=Summary!$B$2,"PASS","FAIL")))</f>
        <v/>
      </c>
      <c r="U814" s="8" t="str">
        <f aca="false">IF(T814="BYPASS",IF(NOT(ISNUMBER(Q814)),"PreV_ETB missing","End_tr_balance missing"),IF(T814="FAIL",IF(AND(ISNUMBER(K814),ISNUMBER(L814),ABS(L814-(K814-IF(ISNUMBER(N814),N814,0)-IF(ISNUMBER(O814),O814,0)+IF(ISNUMBER(P814),P814,0)))&lt;=Summary!$B$2),"Passes using beginning_balance - PreV_ETB differs from beginning_balance",IF(AND(ISNUMBER(O814),O814&lt;0,ABS(L814-(Q814-IF(ISNUMBER(N814),N814,0)+IF(ISNUMBER(P814),P814,0)))&lt;=Summary!$B$2),"Negative realized loss not applied - check sign",IF(R814&lt;0,"Principal paid exceeds prior balance",IF(AND(L814&gt;Q814,NOT(ISNUMBER(P814))),"Balance increased but no Deferred_interest reported",IF(L814&gt;R814,"Reported balance higher than expected (missing increase/OC build)","Reported balance lower than expected (missing decrease)"))))),""))</f>
        <v/>
      </c>
    </row>
    <row r="815" customFormat="false" ht="15" hidden="false" customHeight="false" outlineLevel="0" collapsed="false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9"/>
      <c r="L815" s="9"/>
      <c r="M815" s="9"/>
      <c r="N815" s="9"/>
      <c r="O815" s="9"/>
      <c r="P815" s="9"/>
      <c r="Q815" s="9"/>
      <c r="R815" s="9" t="str">
        <f aca="false">IF(AND(A815&lt;&gt;"",ISNUMBER(Q815),ISNUMBER(L815)),ROUND(Q815-IF(ISNUMBER(N815),N815,0)-IF(ISNUMBER(O815),O815,0)+IF(ISNUMBER(P815),P815,0),2),"")</f>
        <v/>
      </c>
      <c r="S815" s="9" t="str">
        <f aca="false">IF(R815="","",ROUND(L815-R815,2))</f>
        <v/>
      </c>
      <c r="T815" s="8" t="str">
        <f aca="false">IF(A815="","",IF(S815="","BYPASS",IF(ABS(S815)&lt;=Summary!$B$2,"PASS","FAIL")))</f>
        <v/>
      </c>
      <c r="U815" s="8" t="str">
        <f aca="false">IF(T815="BYPASS",IF(NOT(ISNUMBER(Q815)),"PreV_ETB missing","End_tr_balance missing"),IF(T815="FAIL",IF(AND(ISNUMBER(K815),ISNUMBER(L815),ABS(L815-(K815-IF(ISNUMBER(N815),N815,0)-IF(ISNUMBER(O815),O815,0)+IF(ISNUMBER(P815),P815,0)))&lt;=Summary!$B$2),"Passes using beginning_balance - PreV_ETB differs from beginning_balance",IF(AND(ISNUMBER(O815),O815&lt;0,ABS(L815-(Q815-IF(ISNUMBER(N815),N815,0)+IF(ISNUMBER(P815),P815,0)))&lt;=Summary!$B$2),"Negative realized loss not applied - check sign",IF(R815&lt;0,"Principal paid exceeds prior balance",IF(AND(L815&gt;Q815,NOT(ISNUMBER(P815))),"Balance increased but no Deferred_interest reported",IF(L815&gt;R815,"Reported balance higher than expected (missing increase/OC build)","Reported balance lower than expected (missing decrease)"))))),""))</f>
        <v/>
      </c>
    </row>
    <row r="816" customFormat="false" ht="15" hidden="false" customHeight="false" outlineLevel="0" collapsed="false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9"/>
      <c r="L816" s="9"/>
      <c r="M816" s="9"/>
      <c r="N816" s="9"/>
      <c r="O816" s="9"/>
      <c r="P816" s="9"/>
      <c r="Q816" s="9"/>
      <c r="R816" s="9" t="str">
        <f aca="false">IF(AND(A816&lt;&gt;"",ISNUMBER(Q816),ISNUMBER(L816)),ROUND(Q816-IF(ISNUMBER(N816),N816,0)-IF(ISNUMBER(O816),O816,0)+IF(ISNUMBER(P816),P816,0),2),"")</f>
        <v/>
      </c>
      <c r="S816" s="9" t="str">
        <f aca="false">IF(R816="","",ROUND(L816-R816,2))</f>
        <v/>
      </c>
      <c r="T816" s="8" t="str">
        <f aca="false">IF(A816="","",IF(S816="","BYPASS",IF(ABS(S816)&lt;=Summary!$B$2,"PASS","FAIL")))</f>
        <v/>
      </c>
      <c r="U816" s="8" t="str">
        <f aca="false">IF(T816="BYPASS",IF(NOT(ISNUMBER(Q816)),"PreV_ETB missing","End_tr_balance missing"),IF(T816="FAIL",IF(AND(ISNUMBER(K816),ISNUMBER(L816),ABS(L816-(K816-IF(ISNUMBER(N816),N816,0)-IF(ISNUMBER(O816),O816,0)+IF(ISNUMBER(P816),P816,0)))&lt;=Summary!$B$2),"Passes using beginning_balance - PreV_ETB differs from beginning_balance",IF(AND(ISNUMBER(O816),O816&lt;0,ABS(L816-(Q816-IF(ISNUMBER(N816),N816,0)+IF(ISNUMBER(P816),P816,0)))&lt;=Summary!$B$2),"Negative realized loss not applied - check sign",IF(R816&lt;0,"Principal paid exceeds prior balance",IF(AND(L816&gt;Q816,NOT(ISNUMBER(P816))),"Balance increased but no Deferred_interest reported",IF(L816&gt;R816,"Reported balance higher than expected (missing increase/OC build)","Reported balance lower than expected (missing decrease)"))))),""))</f>
        <v/>
      </c>
    </row>
    <row r="817" customFormat="false" ht="15" hidden="false" customHeight="false" outlineLevel="0" collapsed="false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9"/>
      <c r="L817" s="9"/>
      <c r="M817" s="9"/>
      <c r="N817" s="9"/>
      <c r="O817" s="9"/>
      <c r="P817" s="9"/>
      <c r="Q817" s="9"/>
      <c r="R817" s="9" t="str">
        <f aca="false">IF(AND(A817&lt;&gt;"",ISNUMBER(Q817),ISNUMBER(L817)),ROUND(Q817-IF(ISNUMBER(N817),N817,0)-IF(ISNUMBER(O817),O817,0)+IF(ISNUMBER(P817),P817,0),2),"")</f>
        <v/>
      </c>
      <c r="S817" s="9" t="str">
        <f aca="false">IF(R817="","",ROUND(L817-R817,2))</f>
        <v/>
      </c>
      <c r="T817" s="8" t="str">
        <f aca="false">IF(A817="","",IF(S817="","BYPASS",IF(ABS(S817)&lt;=Summary!$B$2,"PASS","FAIL")))</f>
        <v/>
      </c>
      <c r="U817" s="8" t="str">
        <f aca="false">IF(T817="BYPASS",IF(NOT(ISNUMBER(Q817)),"PreV_ETB missing","End_tr_balance missing"),IF(T817="FAIL",IF(AND(ISNUMBER(K817),ISNUMBER(L817),ABS(L817-(K817-IF(ISNUMBER(N817),N817,0)-IF(ISNUMBER(O817),O817,0)+IF(ISNUMBER(P817),P817,0)))&lt;=Summary!$B$2),"Passes using beginning_balance - PreV_ETB differs from beginning_balance",IF(AND(ISNUMBER(O817),O817&lt;0,ABS(L817-(Q817-IF(ISNUMBER(N817),N817,0)+IF(ISNUMBER(P817),P817,0)))&lt;=Summary!$B$2),"Negative realized loss not applied - check sign",IF(R817&lt;0,"Principal paid exceeds prior balance",IF(AND(L817&gt;Q817,NOT(ISNUMBER(P817))),"Balance increased but no Deferred_interest reported",IF(L817&gt;R817,"Reported balance higher than expected (missing increase/OC build)","Reported balance lower than expected (missing decrease)"))))),""))</f>
        <v/>
      </c>
    </row>
    <row r="818" customFormat="false" ht="15" hidden="false" customHeight="false" outlineLevel="0" collapsed="false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9"/>
      <c r="L818" s="9"/>
      <c r="M818" s="9"/>
      <c r="N818" s="9"/>
      <c r="O818" s="9"/>
      <c r="P818" s="9"/>
      <c r="Q818" s="9"/>
      <c r="R818" s="9" t="str">
        <f aca="false">IF(AND(A818&lt;&gt;"",ISNUMBER(Q818),ISNUMBER(L818)),ROUND(Q818-IF(ISNUMBER(N818),N818,0)-IF(ISNUMBER(O818),O818,0)+IF(ISNUMBER(P818),P818,0),2),"")</f>
        <v/>
      </c>
      <c r="S818" s="9" t="str">
        <f aca="false">IF(R818="","",ROUND(L818-R818,2))</f>
        <v/>
      </c>
      <c r="T818" s="8" t="str">
        <f aca="false">IF(A818="","",IF(S818="","BYPASS",IF(ABS(S818)&lt;=Summary!$B$2,"PASS","FAIL")))</f>
        <v/>
      </c>
      <c r="U818" s="8" t="str">
        <f aca="false">IF(T818="BYPASS",IF(NOT(ISNUMBER(Q818)),"PreV_ETB missing","End_tr_balance missing"),IF(T818="FAIL",IF(AND(ISNUMBER(K818),ISNUMBER(L818),ABS(L818-(K818-IF(ISNUMBER(N818),N818,0)-IF(ISNUMBER(O818),O818,0)+IF(ISNUMBER(P818),P818,0)))&lt;=Summary!$B$2),"Passes using beginning_balance - PreV_ETB differs from beginning_balance",IF(AND(ISNUMBER(O818),O818&lt;0,ABS(L818-(Q818-IF(ISNUMBER(N818),N818,0)+IF(ISNUMBER(P818),P818,0)))&lt;=Summary!$B$2),"Negative realized loss not applied - check sign",IF(R818&lt;0,"Principal paid exceeds prior balance",IF(AND(L818&gt;Q818,NOT(ISNUMBER(P818))),"Balance increased but no Deferred_interest reported",IF(L818&gt;R818,"Reported balance higher than expected (missing increase/OC build)","Reported balance lower than expected (missing decrease)"))))),""))</f>
        <v/>
      </c>
    </row>
    <row r="819" customFormat="false" ht="15" hidden="false" customHeight="false" outlineLevel="0" collapsed="false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9"/>
      <c r="L819" s="9"/>
      <c r="M819" s="9"/>
      <c r="N819" s="9"/>
      <c r="O819" s="9"/>
      <c r="P819" s="9"/>
      <c r="Q819" s="9"/>
      <c r="R819" s="9" t="str">
        <f aca="false">IF(AND(A819&lt;&gt;"",ISNUMBER(Q819),ISNUMBER(L819)),ROUND(Q819-IF(ISNUMBER(N819),N819,0)-IF(ISNUMBER(O819),O819,0)+IF(ISNUMBER(P819),P819,0),2),"")</f>
        <v/>
      </c>
      <c r="S819" s="9" t="str">
        <f aca="false">IF(R819="","",ROUND(L819-R819,2))</f>
        <v/>
      </c>
      <c r="T819" s="8" t="str">
        <f aca="false">IF(A819="","",IF(S819="","BYPASS",IF(ABS(S819)&lt;=Summary!$B$2,"PASS","FAIL")))</f>
        <v/>
      </c>
      <c r="U819" s="8" t="str">
        <f aca="false">IF(T819="BYPASS",IF(NOT(ISNUMBER(Q819)),"PreV_ETB missing","End_tr_balance missing"),IF(T819="FAIL",IF(AND(ISNUMBER(K819),ISNUMBER(L819),ABS(L819-(K819-IF(ISNUMBER(N819),N819,0)-IF(ISNUMBER(O819),O819,0)+IF(ISNUMBER(P819),P819,0)))&lt;=Summary!$B$2),"Passes using beginning_balance - PreV_ETB differs from beginning_balance",IF(AND(ISNUMBER(O819),O819&lt;0,ABS(L819-(Q819-IF(ISNUMBER(N819),N819,0)+IF(ISNUMBER(P819),P819,0)))&lt;=Summary!$B$2),"Negative realized loss not applied - check sign",IF(R819&lt;0,"Principal paid exceeds prior balance",IF(AND(L819&gt;Q819,NOT(ISNUMBER(P819))),"Balance increased but no Deferred_interest reported",IF(L819&gt;R819,"Reported balance higher than expected (missing increase/OC build)","Reported balance lower than expected (missing decrease)"))))),""))</f>
        <v/>
      </c>
    </row>
    <row r="820" customFormat="false" ht="15" hidden="false" customHeight="false" outlineLevel="0" collapsed="false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9"/>
      <c r="L820" s="9"/>
      <c r="M820" s="9"/>
      <c r="N820" s="9"/>
      <c r="O820" s="9"/>
      <c r="P820" s="9"/>
      <c r="Q820" s="9"/>
      <c r="R820" s="9" t="str">
        <f aca="false">IF(AND(A820&lt;&gt;"",ISNUMBER(Q820),ISNUMBER(L820)),ROUND(Q820-IF(ISNUMBER(N820),N820,0)-IF(ISNUMBER(O820),O820,0)+IF(ISNUMBER(P820),P820,0),2),"")</f>
        <v/>
      </c>
      <c r="S820" s="9" t="str">
        <f aca="false">IF(R820="","",ROUND(L820-R820,2))</f>
        <v/>
      </c>
      <c r="T820" s="8" t="str">
        <f aca="false">IF(A820="","",IF(S820="","BYPASS",IF(ABS(S820)&lt;=Summary!$B$2,"PASS","FAIL")))</f>
        <v/>
      </c>
      <c r="U820" s="8" t="str">
        <f aca="false">IF(T820="BYPASS",IF(NOT(ISNUMBER(Q820)),"PreV_ETB missing","End_tr_balance missing"),IF(T820="FAIL",IF(AND(ISNUMBER(K820),ISNUMBER(L820),ABS(L820-(K820-IF(ISNUMBER(N820),N820,0)-IF(ISNUMBER(O820),O820,0)+IF(ISNUMBER(P820),P820,0)))&lt;=Summary!$B$2),"Passes using beginning_balance - PreV_ETB differs from beginning_balance",IF(AND(ISNUMBER(O820),O820&lt;0,ABS(L820-(Q820-IF(ISNUMBER(N820),N820,0)+IF(ISNUMBER(P820),P820,0)))&lt;=Summary!$B$2),"Negative realized loss not applied - check sign",IF(R820&lt;0,"Principal paid exceeds prior balance",IF(AND(L820&gt;Q820,NOT(ISNUMBER(P820))),"Balance increased but no Deferred_interest reported",IF(L820&gt;R820,"Reported balance higher than expected (missing increase/OC build)","Reported balance lower than expected (missing decrease)"))))),""))</f>
        <v/>
      </c>
    </row>
    <row r="821" customFormat="false" ht="15" hidden="false" customHeight="false" outlineLevel="0" collapsed="false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9"/>
      <c r="L821" s="9"/>
      <c r="M821" s="9"/>
      <c r="N821" s="9"/>
      <c r="O821" s="9"/>
      <c r="P821" s="9"/>
      <c r="Q821" s="9"/>
      <c r="R821" s="9" t="str">
        <f aca="false">IF(AND(A821&lt;&gt;"",ISNUMBER(Q821),ISNUMBER(L821)),ROUND(Q821-IF(ISNUMBER(N821),N821,0)-IF(ISNUMBER(O821),O821,0)+IF(ISNUMBER(P821),P821,0),2),"")</f>
        <v/>
      </c>
      <c r="S821" s="9" t="str">
        <f aca="false">IF(R821="","",ROUND(L821-R821,2))</f>
        <v/>
      </c>
      <c r="T821" s="8" t="str">
        <f aca="false">IF(A821="","",IF(S821="","BYPASS",IF(ABS(S821)&lt;=Summary!$B$2,"PASS","FAIL")))</f>
        <v/>
      </c>
      <c r="U821" s="8" t="str">
        <f aca="false">IF(T821="BYPASS",IF(NOT(ISNUMBER(Q821)),"PreV_ETB missing","End_tr_balance missing"),IF(T821="FAIL",IF(AND(ISNUMBER(K821),ISNUMBER(L821),ABS(L821-(K821-IF(ISNUMBER(N821),N821,0)-IF(ISNUMBER(O821),O821,0)+IF(ISNUMBER(P821),P821,0)))&lt;=Summary!$B$2),"Passes using beginning_balance - PreV_ETB differs from beginning_balance",IF(AND(ISNUMBER(O821),O821&lt;0,ABS(L821-(Q821-IF(ISNUMBER(N821),N821,0)+IF(ISNUMBER(P821),P821,0)))&lt;=Summary!$B$2),"Negative realized loss not applied - check sign",IF(R821&lt;0,"Principal paid exceeds prior balance",IF(AND(L821&gt;Q821,NOT(ISNUMBER(P821))),"Balance increased but no Deferred_interest reported",IF(L821&gt;R821,"Reported balance higher than expected (missing increase/OC build)","Reported balance lower than expected (missing decrease)"))))),""))</f>
        <v/>
      </c>
    </row>
    <row r="822" customFormat="false" ht="15" hidden="false" customHeight="false" outlineLevel="0" collapsed="false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9"/>
      <c r="L822" s="9"/>
      <c r="M822" s="9"/>
      <c r="N822" s="9"/>
      <c r="O822" s="9"/>
      <c r="P822" s="9"/>
      <c r="Q822" s="9"/>
      <c r="R822" s="9" t="str">
        <f aca="false">IF(AND(A822&lt;&gt;"",ISNUMBER(Q822),ISNUMBER(L822)),ROUND(Q822-IF(ISNUMBER(N822),N822,0)-IF(ISNUMBER(O822),O822,0)+IF(ISNUMBER(P822),P822,0),2),"")</f>
        <v/>
      </c>
      <c r="S822" s="9" t="str">
        <f aca="false">IF(R822="","",ROUND(L822-R822,2))</f>
        <v/>
      </c>
      <c r="T822" s="8" t="str">
        <f aca="false">IF(A822="","",IF(S822="","BYPASS",IF(ABS(S822)&lt;=Summary!$B$2,"PASS","FAIL")))</f>
        <v/>
      </c>
      <c r="U822" s="8" t="str">
        <f aca="false">IF(T822="BYPASS",IF(NOT(ISNUMBER(Q822)),"PreV_ETB missing","End_tr_balance missing"),IF(T822="FAIL",IF(AND(ISNUMBER(K822),ISNUMBER(L822),ABS(L822-(K822-IF(ISNUMBER(N822),N822,0)-IF(ISNUMBER(O822),O822,0)+IF(ISNUMBER(P822),P822,0)))&lt;=Summary!$B$2),"Passes using beginning_balance - PreV_ETB differs from beginning_balance",IF(AND(ISNUMBER(O822),O822&lt;0,ABS(L822-(Q822-IF(ISNUMBER(N822),N822,0)+IF(ISNUMBER(P822),P822,0)))&lt;=Summary!$B$2),"Negative realized loss not applied - check sign",IF(R822&lt;0,"Principal paid exceeds prior balance",IF(AND(L822&gt;Q822,NOT(ISNUMBER(P822))),"Balance increased but no Deferred_interest reported",IF(L822&gt;R822,"Reported balance higher than expected (missing increase/OC build)","Reported balance lower than expected (missing decrease)"))))),""))</f>
        <v/>
      </c>
    </row>
    <row r="823" customFormat="false" ht="15" hidden="false" customHeight="false" outlineLevel="0" collapsed="false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9"/>
      <c r="L823" s="9"/>
      <c r="M823" s="9"/>
      <c r="N823" s="9"/>
      <c r="O823" s="9"/>
      <c r="P823" s="9"/>
      <c r="Q823" s="9"/>
      <c r="R823" s="9" t="str">
        <f aca="false">IF(AND(A823&lt;&gt;"",ISNUMBER(Q823),ISNUMBER(L823)),ROUND(Q823-IF(ISNUMBER(N823),N823,0)-IF(ISNUMBER(O823),O823,0)+IF(ISNUMBER(P823),P823,0),2),"")</f>
        <v/>
      </c>
      <c r="S823" s="9" t="str">
        <f aca="false">IF(R823="","",ROUND(L823-R823,2))</f>
        <v/>
      </c>
      <c r="T823" s="8" t="str">
        <f aca="false">IF(A823="","",IF(S823="","BYPASS",IF(ABS(S823)&lt;=Summary!$B$2,"PASS","FAIL")))</f>
        <v/>
      </c>
      <c r="U823" s="8" t="str">
        <f aca="false">IF(T823="BYPASS",IF(NOT(ISNUMBER(Q823)),"PreV_ETB missing","End_tr_balance missing"),IF(T823="FAIL",IF(AND(ISNUMBER(K823),ISNUMBER(L823),ABS(L823-(K823-IF(ISNUMBER(N823),N823,0)-IF(ISNUMBER(O823),O823,0)+IF(ISNUMBER(P823),P823,0)))&lt;=Summary!$B$2),"Passes using beginning_balance - PreV_ETB differs from beginning_balance",IF(AND(ISNUMBER(O823),O823&lt;0,ABS(L823-(Q823-IF(ISNUMBER(N823),N823,0)+IF(ISNUMBER(P823),P823,0)))&lt;=Summary!$B$2),"Negative realized loss not applied - check sign",IF(R823&lt;0,"Principal paid exceeds prior balance",IF(AND(L823&gt;Q823,NOT(ISNUMBER(P823))),"Balance increased but no Deferred_interest reported",IF(L823&gt;R823,"Reported balance higher than expected (missing increase/OC build)","Reported balance lower than expected (missing decrease)"))))),""))</f>
        <v/>
      </c>
    </row>
    <row r="824" customFormat="false" ht="15" hidden="false" customHeight="false" outlineLevel="0" collapsed="false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9"/>
      <c r="L824" s="9"/>
      <c r="M824" s="9"/>
      <c r="N824" s="9"/>
      <c r="O824" s="9"/>
      <c r="P824" s="9"/>
      <c r="Q824" s="9"/>
      <c r="R824" s="9" t="str">
        <f aca="false">IF(AND(A824&lt;&gt;"",ISNUMBER(Q824),ISNUMBER(L824)),ROUND(Q824-IF(ISNUMBER(N824),N824,0)-IF(ISNUMBER(O824),O824,0)+IF(ISNUMBER(P824),P824,0),2),"")</f>
        <v/>
      </c>
      <c r="S824" s="9" t="str">
        <f aca="false">IF(R824="","",ROUND(L824-R824,2))</f>
        <v/>
      </c>
      <c r="T824" s="8" t="str">
        <f aca="false">IF(A824="","",IF(S824="","BYPASS",IF(ABS(S824)&lt;=Summary!$B$2,"PASS","FAIL")))</f>
        <v/>
      </c>
      <c r="U824" s="8" t="str">
        <f aca="false">IF(T824="BYPASS",IF(NOT(ISNUMBER(Q824)),"PreV_ETB missing","End_tr_balance missing"),IF(T824="FAIL",IF(AND(ISNUMBER(K824),ISNUMBER(L824),ABS(L824-(K824-IF(ISNUMBER(N824),N824,0)-IF(ISNUMBER(O824),O824,0)+IF(ISNUMBER(P824),P824,0)))&lt;=Summary!$B$2),"Passes using beginning_balance - PreV_ETB differs from beginning_balance",IF(AND(ISNUMBER(O824),O824&lt;0,ABS(L824-(Q824-IF(ISNUMBER(N824),N824,0)+IF(ISNUMBER(P824),P824,0)))&lt;=Summary!$B$2),"Negative realized loss not applied - check sign",IF(R824&lt;0,"Principal paid exceeds prior balance",IF(AND(L824&gt;Q824,NOT(ISNUMBER(P824))),"Balance increased but no Deferred_interest reported",IF(L824&gt;R824,"Reported balance higher than expected (missing increase/OC build)","Reported balance lower than expected (missing decrease)"))))),""))</f>
        <v/>
      </c>
    </row>
    <row r="825" customFormat="false" ht="15" hidden="false" customHeight="false" outlineLevel="0" collapsed="false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9"/>
      <c r="L825" s="9"/>
      <c r="M825" s="9"/>
      <c r="N825" s="9"/>
      <c r="O825" s="9"/>
      <c r="P825" s="9"/>
      <c r="Q825" s="9"/>
      <c r="R825" s="9" t="str">
        <f aca="false">IF(AND(A825&lt;&gt;"",ISNUMBER(Q825),ISNUMBER(L825)),ROUND(Q825-IF(ISNUMBER(N825),N825,0)-IF(ISNUMBER(O825),O825,0)+IF(ISNUMBER(P825),P825,0),2),"")</f>
        <v/>
      </c>
      <c r="S825" s="9" t="str">
        <f aca="false">IF(R825="","",ROUND(L825-R825,2))</f>
        <v/>
      </c>
      <c r="T825" s="8" t="str">
        <f aca="false">IF(A825="","",IF(S825="","BYPASS",IF(ABS(S825)&lt;=Summary!$B$2,"PASS","FAIL")))</f>
        <v/>
      </c>
      <c r="U825" s="8" t="str">
        <f aca="false">IF(T825="BYPASS",IF(NOT(ISNUMBER(Q825)),"PreV_ETB missing","End_tr_balance missing"),IF(T825="FAIL",IF(AND(ISNUMBER(K825),ISNUMBER(L825),ABS(L825-(K825-IF(ISNUMBER(N825),N825,0)-IF(ISNUMBER(O825),O825,0)+IF(ISNUMBER(P825),P825,0)))&lt;=Summary!$B$2),"Passes using beginning_balance - PreV_ETB differs from beginning_balance",IF(AND(ISNUMBER(O825),O825&lt;0,ABS(L825-(Q825-IF(ISNUMBER(N825),N825,0)+IF(ISNUMBER(P825),P825,0)))&lt;=Summary!$B$2),"Negative realized loss not applied - check sign",IF(R825&lt;0,"Principal paid exceeds prior balance",IF(AND(L825&gt;Q825,NOT(ISNUMBER(P825))),"Balance increased but no Deferred_interest reported",IF(L825&gt;R825,"Reported balance higher than expected (missing increase/OC build)","Reported balance lower than expected (missing decrease)"))))),""))</f>
        <v/>
      </c>
    </row>
    <row r="826" customFormat="false" ht="15" hidden="false" customHeight="false" outlineLevel="0" collapsed="false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9"/>
      <c r="L826" s="9"/>
      <c r="M826" s="9"/>
      <c r="N826" s="9"/>
      <c r="O826" s="9"/>
      <c r="P826" s="9"/>
      <c r="Q826" s="9"/>
      <c r="R826" s="9" t="str">
        <f aca="false">IF(AND(A826&lt;&gt;"",ISNUMBER(Q826),ISNUMBER(L826)),ROUND(Q826-IF(ISNUMBER(N826),N826,0)-IF(ISNUMBER(O826),O826,0)+IF(ISNUMBER(P826),P826,0),2),"")</f>
        <v/>
      </c>
      <c r="S826" s="9" t="str">
        <f aca="false">IF(R826="","",ROUND(L826-R826,2))</f>
        <v/>
      </c>
      <c r="T826" s="8" t="str">
        <f aca="false">IF(A826="","",IF(S826="","BYPASS",IF(ABS(S826)&lt;=Summary!$B$2,"PASS","FAIL")))</f>
        <v/>
      </c>
      <c r="U826" s="8" t="str">
        <f aca="false">IF(T826="BYPASS",IF(NOT(ISNUMBER(Q826)),"PreV_ETB missing","End_tr_balance missing"),IF(T826="FAIL",IF(AND(ISNUMBER(K826),ISNUMBER(L826),ABS(L826-(K826-IF(ISNUMBER(N826),N826,0)-IF(ISNUMBER(O826),O826,0)+IF(ISNUMBER(P826),P826,0)))&lt;=Summary!$B$2),"Passes using beginning_balance - PreV_ETB differs from beginning_balance",IF(AND(ISNUMBER(O826),O826&lt;0,ABS(L826-(Q826-IF(ISNUMBER(N826),N826,0)+IF(ISNUMBER(P826),P826,0)))&lt;=Summary!$B$2),"Negative realized loss not applied - check sign",IF(R826&lt;0,"Principal paid exceeds prior balance",IF(AND(L826&gt;Q826,NOT(ISNUMBER(P826))),"Balance increased but no Deferred_interest reported",IF(L826&gt;R826,"Reported balance higher than expected (missing increase/OC build)","Reported balance lower than expected (missing decrease)"))))),""))</f>
        <v/>
      </c>
    </row>
    <row r="827" customFormat="false" ht="15" hidden="false" customHeight="false" outlineLevel="0" collapsed="false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9"/>
      <c r="L827" s="9"/>
      <c r="M827" s="9"/>
      <c r="N827" s="9"/>
      <c r="O827" s="9"/>
      <c r="P827" s="9"/>
      <c r="Q827" s="9"/>
      <c r="R827" s="9" t="str">
        <f aca="false">IF(AND(A827&lt;&gt;"",ISNUMBER(Q827),ISNUMBER(L827)),ROUND(Q827-IF(ISNUMBER(N827),N827,0)-IF(ISNUMBER(O827),O827,0)+IF(ISNUMBER(P827),P827,0),2),"")</f>
        <v/>
      </c>
      <c r="S827" s="9" t="str">
        <f aca="false">IF(R827="","",ROUND(L827-R827,2))</f>
        <v/>
      </c>
      <c r="T827" s="8" t="str">
        <f aca="false">IF(A827="","",IF(S827="","BYPASS",IF(ABS(S827)&lt;=Summary!$B$2,"PASS","FAIL")))</f>
        <v/>
      </c>
      <c r="U827" s="8" t="str">
        <f aca="false">IF(T827="BYPASS",IF(NOT(ISNUMBER(Q827)),"PreV_ETB missing","End_tr_balance missing"),IF(T827="FAIL",IF(AND(ISNUMBER(K827),ISNUMBER(L827),ABS(L827-(K827-IF(ISNUMBER(N827),N827,0)-IF(ISNUMBER(O827),O827,0)+IF(ISNUMBER(P827),P827,0)))&lt;=Summary!$B$2),"Passes using beginning_balance - PreV_ETB differs from beginning_balance",IF(AND(ISNUMBER(O827),O827&lt;0,ABS(L827-(Q827-IF(ISNUMBER(N827),N827,0)+IF(ISNUMBER(P827),P827,0)))&lt;=Summary!$B$2),"Negative realized loss not applied - check sign",IF(R827&lt;0,"Principal paid exceeds prior balance",IF(AND(L827&gt;Q827,NOT(ISNUMBER(P827))),"Balance increased but no Deferred_interest reported",IF(L827&gt;R827,"Reported balance higher than expected (missing increase/OC build)","Reported balance lower than expected (missing decrease)"))))),""))</f>
        <v/>
      </c>
    </row>
    <row r="828" customFormat="false" ht="15" hidden="false" customHeight="false" outlineLevel="0" collapsed="false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9"/>
      <c r="L828" s="9"/>
      <c r="M828" s="9"/>
      <c r="N828" s="9"/>
      <c r="O828" s="9"/>
      <c r="P828" s="9"/>
      <c r="Q828" s="9"/>
      <c r="R828" s="9" t="str">
        <f aca="false">IF(AND(A828&lt;&gt;"",ISNUMBER(Q828),ISNUMBER(L828)),ROUND(Q828-IF(ISNUMBER(N828),N828,0)-IF(ISNUMBER(O828),O828,0)+IF(ISNUMBER(P828),P828,0),2),"")</f>
        <v/>
      </c>
      <c r="S828" s="9" t="str">
        <f aca="false">IF(R828="","",ROUND(L828-R828,2))</f>
        <v/>
      </c>
      <c r="T828" s="8" t="str">
        <f aca="false">IF(A828="","",IF(S828="","BYPASS",IF(ABS(S828)&lt;=Summary!$B$2,"PASS","FAIL")))</f>
        <v/>
      </c>
      <c r="U828" s="8" t="str">
        <f aca="false">IF(T828="BYPASS",IF(NOT(ISNUMBER(Q828)),"PreV_ETB missing","End_tr_balance missing"),IF(T828="FAIL",IF(AND(ISNUMBER(K828),ISNUMBER(L828),ABS(L828-(K828-IF(ISNUMBER(N828),N828,0)-IF(ISNUMBER(O828),O828,0)+IF(ISNUMBER(P828),P828,0)))&lt;=Summary!$B$2),"Passes using beginning_balance - PreV_ETB differs from beginning_balance",IF(AND(ISNUMBER(O828),O828&lt;0,ABS(L828-(Q828-IF(ISNUMBER(N828),N828,0)+IF(ISNUMBER(P828),P828,0)))&lt;=Summary!$B$2),"Negative realized loss not applied - check sign",IF(R828&lt;0,"Principal paid exceeds prior balance",IF(AND(L828&gt;Q828,NOT(ISNUMBER(P828))),"Balance increased but no Deferred_interest reported",IF(L828&gt;R828,"Reported balance higher than expected (missing increase/OC build)","Reported balance lower than expected (missing decrease)"))))),""))</f>
        <v/>
      </c>
    </row>
    <row r="829" customFormat="false" ht="15" hidden="false" customHeight="false" outlineLevel="0" collapsed="false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9"/>
      <c r="L829" s="9"/>
      <c r="M829" s="9"/>
      <c r="N829" s="9"/>
      <c r="O829" s="9"/>
      <c r="P829" s="9"/>
      <c r="Q829" s="9"/>
      <c r="R829" s="9" t="str">
        <f aca="false">IF(AND(A829&lt;&gt;"",ISNUMBER(Q829),ISNUMBER(L829)),ROUND(Q829-IF(ISNUMBER(N829),N829,0)-IF(ISNUMBER(O829),O829,0)+IF(ISNUMBER(P829),P829,0),2),"")</f>
        <v/>
      </c>
      <c r="S829" s="9" t="str">
        <f aca="false">IF(R829="","",ROUND(L829-R829,2))</f>
        <v/>
      </c>
      <c r="T829" s="8" t="str">
        <f aca="false">IF(A829="","",IF(S829="","BYPASS",IF(ABS(S829)&lt;=Summary!$B$2,"PASS","FAIL")))</f>
        <v/>
      </c>
      <c r="U829" s="8" t="str">
        <f aca="false">IF(T829="BYPASS",IF(NOT(ISNUMBER(Q829)),"PreV_ETB missing","End_tr_balance missing"),IF(T829="FAIL",IF(AND(ISNUMBER(K829),ISNUMBER(L829),ABS(L829-(K829-IF(ISNUMBER(N829),N829,0)-IF(ISNUMBER(O829),O829,0)+IF(ISNUMBER(P829),P829,0)))&lt;=Summary!$B$2),"Passes using beginning_balance - PreV_ETB differs from beginning_balance",IF(AND(ISNUMBER(O829),O829&lt;0,ABS(L829-(Q829-IF(ISNUMBER(N829),N829,0)+IF(ISNUMBER(P829),P829,0)))&lt;=Summary!$B$2),"Negative realized loss not applied - check sign",IF(R829&lt;0,"Principal paid exceeds prior balance",IF(AND(L829&gt;Q829,NOT(ISNUMBER(P829))),"Balance increased but no Deferred_interest reported",IF(L829&gt;R829,"Reported balance higher than expected (missing increase/OC build)","Reported balance lower than expected (missing decrease)"))))),""))</f>
        <v/>
      </c>
    </row>
    <row r="830" customFormat="false" ht="15" hidden="false" customHeight="false" outlineLevel="0" collapsed="false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9"/>
      <c r="L830" s="9"/>
      <c r="M830" s="9"/>
      <c r="N830" s="9"/>
      <c r="O830" s="9"/>
      <c r="P830" s="9"/>
      <c r="Q830" s="9"/>
      <c r="R830" s="9" t="str">
        <f aca="false">IF(AND(A830&lt;&gt;"",ISNUMBER(Q830),ISNUMBER(L830)),ROUND(Q830-IF(ISNUMBER(N830),N830,0)-IF(ISNUMBER(O830),O830,0)+IF(ISNUMBER(P830),P830,0),2),"")</f>
        <v/>
      </c>
      <c r="S830" s="9" t="str">
        <f aca="false">IF(R830="","",ROUND(L830-R830,2))</f>
        <v/>
      </c>
      <c r="T830" s="8" t="str">
        <f aca="false">IF(A830="","",IF(S830="","BYPASS",IF(ABS(S830)&lt;=Summary!$B$2,"PASS","FAIL")))</f>
        <v/>
      </c>
      <c r="U830" s="8" t="str">
        <f aca="false">IF(T830="BYPASS",IF(NOT(ISNUMBER(Q830)),"PreV_ETB missing","End_tr_balance missing"),IF(T830="FAIL",IF(AND(ISNUMBER(K830),ISNUMBER(L830),ABS(L830-(K830-IF(ISNUMBER(N830),N830,0)-IF(ISNUMBER(O830),O830,0)+IF(ISNUMBER(P830),P830,0)))&lt;=Summary!$B$2),"Passes using beginning_balance - PreV_ETB differs from beginning_balance",IF(AND(ISNUMBER(O830),O830&lt;0,ABS(L830-(Q830-IF(ISNUMBER(N830),N830,0)+IF(ISNUMBER(P830),P830,0)))&lt;=Summary!$B$2),"Negative realized loss not applied - check sign",IF(R830&lt;0,"Principal paid exceeds prior balance",IF(AND(L830&gt;Q830,NOT(ISNUMBER(P830))),"Balance increased but no Deferred_interest reported",IF(L830&gt;R830,"Reported balance higher than expected (missing increase/OC build)","Reported balance lower than expected (missing decrease)"))))),""))</f>
        <v/>
      </c>
    </row>
    <row r="831" customFormat="false" ht="15" hidden="false" customHeight="false" outlineLevel="0" collapsed="false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9"/>
      <c r="L831" s="9"/>
      <c r="M831" s="9"/>
      <c r="N831" s="9"/>
      <c r="O831" s="9"/>
      <c r="P831" s="9"/>
      <c r="Q831" s="9"/>
      <c r="R831" s="9" t="str">
        <f aca="false">IF(AND(A831&lt;&gt;"",ISNUMBER(Q831),ISNUMBER(L831)),ROUND(Q831-IF(ISNUMBER(N831),N831,0)-IF(ISNUMBER(O831),O831,0)+IF(ISNUMBER(P831),P831,0),2),"")</f>
        <v/>
      </c>
      <c r="S831" s="9" t="str">
        <f aca="false">IF(R831="","",ROUND(L831-R831,2))</f>
        <v/>
      </c>
      <c r="T831" s="8" t="str">
        <f aca="false">IF(A831="","",IF(S831="","BYPASS",IF(ABS(S831)&lt;=Summary!$B$2,"PASS","FAIL")))</f>
        <v/>
      </c>
      <c r="U831" s="8" t="str">
        <f aca="false">IF(T831="BYPASS",IF(NOT(ISNUMBER(Q831)),"PreV_ETB missing","End_tr_balance missing"),IF(T831="FAIL",IF(AND(ISNUMBER(K831),ISNUMBER(L831),ABS(L831-(K831-IF(ISNUMBER(N831),N831,0)-IF(ISNUMBER(O831),O831,0)+IF(ISNUMBER(P831),P831,0)))&lt;=Summary!$B$2),"Passes using beginning_balance - PreV_ETB differs from beginning_balance",IF(AND(ISNUMBER(O831),O831&lt;0,ABS(L831-(Q831-IF(ISNUMBER(N831),N831,0)+IF(ISNUMBER(P831),P831,0)))&lt;=Summary!$B$2),"Negative realized loss not applied - check sign",IF(R831&lt;0,"Principal paid exceeds prior balance",IF(AND(L831&gt;Q831,NOT(ISNUMBER(P831))),"Balance increased but no Deferred_interest reported",IF(L831&gt;R831,"Reported balance higher than expected (missing increase/OC build)","Reported balance lower than expected (missing decrease)"))))),""))</f>
        <v/>
      </c>
    </row>
    <row r="832" customFormat="false" ht="15" hidden="false" customHeight="false" outlineLevel="0" collapsed="false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9"/>
      <c r="L832" s="9"/>
      <c r="M832" s="9"/>
      <c r="N832" s="9"/>
      <c r="O832" s="9"/>
      <c r="P832" s="9"/>
      <c r="Q832" s="9"/>
      <c r="R832" s="9" t="str">
        <f aca="false">IF(AND(A832&lt;&gt;"",ISNUMBER(Q832),ISNUMBER(L832)),ROUND(Q832-IF(ISNUMBER(N832),N832,0)-IF(ISNUMBER(O832),O832,0)+IF(ISNUMBER(P832),P832,0),2),"")</f>
        <v/>
      </c>
      <c r="S832" s="9" t="str">
        <f aca="false">IF(R832="","",ROUND(L832-R832,2))</f>
        <v/>
      </c>
      <c r="T832" s="8" t="str">
        <f aca="false">IF(A832="","",IF(S832="","BYPASS",IF(ABS(S832)&lt;=Summary!$B$2,"PASS","FAIL")))</f>
        <v/>
      </c>
      <c r="U832" s="8" t="str">
        <f aca="false">IF(T832="BYPASS",IF(NOT(ISNUMBER(Q832)),"PreV_ETB missing","End_tr_balance missing"),IF(T832="FAIL",IF(AND(ISNUMBER(K832),ISNUMBER(L832),ABS(L832-(K832-IF(ISNUMBER(N832),N832,0)-IF(ISNUMBER(O832),O832,0)+IF(ISNUMBER(P832),P832,0)))&lt;=Summary!$B$2),"Passes using beginning_balance - PreV_ETB differs from beginning_balance",IF(AND(ISNUMBER(O832),O832&lt;0,ABS(L832-(Q832-IF(ISNUMBER(N832),N832,0)+IF(ISNUMBER(P832),P832,0)))&lt;=Summary!$B$2),"Negative realized loss not applied - check sign",IF(R832&lt;0,"Principal paid exceeds prior balance",IF(AND(L832&gt;Q832,NOT(ISNUMBER(P832))),"Balance increased but no Deferred_interest reported",IF(L832&gt;R832,"Reported balance higher than expected (missing increase/OC build)","Reported balance lower than expected (missing decrease)"))))),""))</f>
        <v/>
      </c>
    </row>
    <row r="833" customFormat="false" ht="15" hidden="false" customHeight="false" outlineLevel="0" collapsed="false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9"/>
      <c r="L833" s="9"/>
      <c r="M833" s="9"/>
      <c r="N833" s="9"/>
      <c r="O833" s="9"/>
      <c r="P833" s="9"/>
      <c r="Q833" s="9"/>
      <c r="R833" s="9" t="str">
        <f aca="false">IF(AND(A833&lt;&gt;"",ISNUMBER(Q833),ISNUMBER(L833)),ROUND(Q833-IF(ISNUMBER(N833),N833,0)-IF(ISNUMBER(O833),O833,0)+IF(ISNUMBER(P833),P833,0),2),"")</f>
        <v/>
      </c>
      <c r="S833" s="9" t="str">
        <f aca="false">IF(R833="","",ROUND(L833-R833,2))</f>
        <v/>
      </c>
      <c r="T833" s="8" t="str">
        <f aca="false">IF(A833="","",IF(S833="","BYPASS",IF(ABS(S833)&lt;=Summary!$B$2,"PASS","FAIL")))</f>
        <v/>
      </c>
      <c r="U833" s="8" t="str">
        <f aca="false">IF(T833="BYPASS",IF(NOT(ISNUMBER(Q833)),"PreV_ETB missing","End_tr_balance missing"),IF(T833="FAIL",IF(AND(ISNUMBER(K833),ISNUMBER(L833),ABS(L833-(K833-IF(ISNUMBER(N833),N833,0)-IF(ISNUMBER(O833),O833,0)+IF(ISNUMBER(P833),P833,0)))&lt;=Summary!$B$2),"Passes using beginning_balance - PreV_ETB differs from beginning_balance",IF(AND(ISNUMBER(O833),O833&lt;0,ABS(L833-(Q833-IF(ISNUMBER(N833),N833,0)+IF(ISNUMBER(P833),P833,0)))&lt;=Summary!$B$2),"Negative realized loss not applied - check sign",IF(R833&lt;0,"Principal paid exceeds prior balance",IF(AND(L833&gt;Q833,NOT(ISNUMBER(P833))),"Balance increased but no Deferred_interest reported",IF(L833&gt;R833,"Reported balance higher than expected (missing increase/OC build)","Reported balance lower than expected (missing decrease)"))))),""))</f>
        <v/>
      </c>
    </row>
    <row r="834" customFormat="false" ht="15" hidden="false" customHeight="false" outlineLevel="0" collapsed="false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9"/>
      <c r="L834" s="9"/>
      <c r="M834" s="9"/>
      <c r="N834" s="9"/>
      <c r="O834" s="9"/>
      <c r="P834" s="9"/>
      <c r="Q834" s="9"/>
      <c r="R834" s="9" t="str">
        <f aca="false">IF(AND(A834&lt;&gt;"",ISNUMBER(Q834),ISNUMBER(L834)),ROUND(Q834-IF(ISNUMBER(N834),N834,0)-IF(ISNUMBER(O834),O834,0)+IF(ISNUMBER(P834),P834,0),2),"")</f>
        <v/>
      </c>
      <c r="S834" s="9" t="str">
        <f aca="false">IF(R834="","",ROUND(L834-R834,2))</f>
        <v/>
      </c>
      <c r="T834" s="8" t="str">
        <f aca="false">IF(A834="","",IF(S834="","BYPASS",IF(ABS(S834)&lt;=Summary!$B$2,"PASS","FAIL")))</f>
        <v/>
      </c>
      <c r="U834" s="8" t="str">
        <f aca="false">IF(T834="BYPASS",IF(NOT(ISNUMBER(Q834)),"PreV_ETB missing","End_tr_balance missing"),IF(T834="FAIL",IF(AND(ISNUMBER(K834),ISNUMBER(L834),ABS(L834-(K834-IF(ISNUMBER(N834),N834,0)-IF(ISNUMBER(O834),O834,0)+IF(ISNUMBER(P834),P834,0)))&lt;=Summary!$B$2),"Passes using beginning_balance - PreV_ETB differs from beginning_balance",IF(AND(ISNUMBER(O834),O834&lt;0,ABS(L834-(Q834-IF(ISNUMBER(N834),N834,0)+IF(ISNUMBER(P834),P834,0)))&lt;=Summary!$B$2),"Negative realized loss not applied - check sign",IF(R834&lt;0,"Principal paid exceeds prior balance",IF(AND(L834&gt;Q834,NOT(ISNUMBER(P834))),"Balance increased but no Deferred_interest reported",IF(L834&gt;R834,"Reported balance higher than expected (missing increase/OC build)","Reported balance lower than expected (missing decrease)"))))),""))</f>
        <v/>
      </c>
    </row>
    <row r="835" customFormat="false" ht="15" hidden="false" customHeight="false" outlineLevel="0" collapsed="false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9"/>
      <c r="L835" s="9"/>
      <c r="M835" s="9"/>
      <c r="N835" s="9"/>
      <c r="O835" s="9"/>
      <c r="P835" s="9"/>
      <c r="Q835" s="9"/>
      <c r="R835" s="9" t="str">
        <f aca="false">IF(AND(A835&lt;&gt;"",ISNUMBER(Q835),ISNUMBER(L835)),ROUND(Q835-IF(ISNUMBER(N835),N835,0)-IF(ISNUMBER(O835),O835,0)+IF(ISNUMBER(P835),P835,0),2),"")</f>
        <v/>
      </c>
      <c r="S835" s="9" t="str">
        <f aca="false">IF(R835="","",ROUND(L835-R835,2))</f>
        <v/>
      </c>
      <c r="T835" s="8" t="str">
        <f aca="false">IF(A835="","",IF(S835="","BYPASS",IF(ABS(S835)&lt;=Summary!$B$2,"PASS","FAIL")))</f>
        <v/>
      </c>
      <c r="U835" s="8" t="str">
        <f aca="false">IF(T835="BYPASS",IF(NOT(ISNUMBER(Q835)),"PreV_ETB missing","End_tr_balance missing"),IF(T835="FAIL",IF(AND(ISNUMBER(K835),ISNUMBER(L835),ABS(L835-(K835-IF(ISNUMBER(N835),N835,0)-IF(ISNUMBER(O835),O835,0)+IF(ISNUMBER(P835),P835,0)))&lt;=Summary!$B$2),"Passes using beginning_balance - PreV_ETB differs from beginning_balance",IF(AND(ISNUMBER(O835),O835&lt;0,ABS(L835-(Q835-IF(ISNUMBER(N835),N835,0)+IF(ISNUMBER(P835),P835,0)))&lt;=Summary!$B$2),"Negative realized loss not applied - check sign",IF(R835&lt;0,"Principal paid exceeds prior balance",IF(AND(L835&gt;Q835,NOT(ISNUMBER(P835))),"Balance increased but no Deferred_interest reported",IF(L835&gt;R835,"Reported balance higher than expected (missing increase/OC build)","Reported balance lower than expected (missing decrease)"))))),""))</f>
        <v/>
      </c>
    </row>
    <row r="836" customFormat="false" ht="15" hidden="false" customHeight="false" outlineLevel="0" collapsed="false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9"/>
      <c r="L836" s="9"/>
      <c r="M836" s="9"/>
      <c r="N836" s="9"/>
      <c r="O836" s="9"/>
      <c r="P836" s="9"/>
      <c r="Q836" s="9"/>
      <c r="R836" s="9" t="str">
        <f aca="false">IF(AND(A836&lt;&gt;"",ISNUMBER(Q836),ISNUMBER(L836)),ROUND(Q836-IF(ISNUMBER(N836),N836,0)-IF(ISNUMBER(O836),O836,0)+IF(ISNUMBER(P836),P836,0),2),"")</f>
        <v/>
      </c>
      <c r="S836" s="9" t="str">
        <f aca="false">IF(R836="","",ROUND(L836-R836,2))</f>
        <v/>
      </c>
      <c r="T836" s="8" t="str">
        <f aca="false">IF(A836="","",IF(S836="","BYPASS",IF(ABS(S836)&lt;=Summary!$B$2,"PASS","FAIL")))</f>
        <v/>
      </c>
      <c r="U836" s="8" t="str">
        <f aca="false">IF(T836="BYPASS",IF(NOT(ISNUMBER(Q836)),"PreV_ETB missing","End_tr_balance missing"),IF(T836="FAIL",IF(AND(ISNUMBER(K836),ISNUMBER(L836),ABS(L836-(K836-IF(ISNUMBER(N836),N836,0)-IF(ISNUMBER(O836),O836,0)+IF(ISNUMBER(P836),P836,0)))&lt;=Summary!$B$2),"Passes using beginning_balance - PreV_ETB differs from beginning_balance",IF(AND(ISNUMBER(O836),O836&lt;0,ABS(L836-(Q836-IF(ISNUMBER(N836),N836,0)+IF(ISNUMBER(P836),P836,0)))&lt;=Summary!$B$2),"Negative realized loss not applied - check sign",IF(R836&lt;0,"Principal paid exceeds prior balance",IF(AND(L836&gt;Q836,NOT(ISNUMBER(P836))),"Balance increased but no Deferred_interest reported",IF(L836&gt;R836,"Reported balance higher than expected (missing increase/OC build)","Reported balance lower than expected (missing decrease)"))))),""))</f>
        <v/>
      </c>
    </row>
    <row r="837" customFormat="false" ht="15" hidden="false" customHeight="false" outlineLevel="0" collapsed="false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9"/>
      <c r="L837" s="9"/>
      <c r="M837" s="9"/>
      <c r="N837" s="9"/>
      <c r="O837" s="9"/>
      <c r="P837" s="9"/>
      <c r="Q837" s="9"/>
      <c r="R837" s="9" t="str">
        <f aca="false">IF(AND(A837&lt;&gt;"",ISNUMBER(Q837),ISNUMBER(L837)),ROUND(Q837-IF(ISNUMBER(N837),N837,0)-IF(ISNUMBER(O837),O837,0)+IF(ISNUMBER(P837),P837,0),2),"")</f>
        <v/>
      </c>
      <c r="S837" s="9" t="str">
        <f aca="false">IF(R837="","",ROUND(L837-R837,2))</f>
        <v/>
      </c>
      <c r="T837" s="8" t="str">
        <f aca="false">IF(A837="","",IF(S837="","BYPASS",IF(ABS(S837)&lt;=Summary!$B$2,"PASS","FAIL")))</f>
        <v/>
      </c>
      <c r="U837" s="8" t="str">
        <f aca="false">IF(T837="BYPASS",IF(NOT(ISNUMBER(Q837)),"PreV_ETB missing","End_tr_balance missing"),IF(T837="FAIL",IF(AND(ISNUMBER(K837),ISNUMBER(L837),ABS(L837-(K837-IF(ISNUMBER(N837),N837,0)-IF(ISNUMBER(O837),O837,0)+IF(ISNUMBER(P837),P837,0)))&lt;=Summary!$B$2),"Passes using beginning_balance - PreV_ETB differs from beginning_balance",IF(AND(ISNUMBER(O837),O837&lt;0,ABS(L837-(Q837-IF(ISNUMBER(N837),N837,0)+IF(ISNUMBER(P837),P837,0)))&lt;=Summary!$B$2),"Negative realized loss not applied - check sign",IF(R837&lt;0,"Principal paid exceeds prior balance",IF(AND(L837&gt;Q837,NOT(ISNUMBER(P837))),"Balance increased but no Deferred_interest reported",IF(L837&gt;R837,"Reported balance higher than expected (missing increase/OC build)","Reported balance lower than expected (missing decrease)"))))),""))</f>
        <v/>
      </c>
    </row>
    <row r="838" customFormat="false" ht="15" hidden="false" customHeight="false" outlineLevel="0" collapsed="false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9"/>
      <c r="L838" s="9"/>
      <c r="M838" s="9"/>
      <c r="N838" s="9"/>
      <c r="O838" s="9"/>
      <c r="P838" s="9"/>
      <c r="Q838" s="9"/>
      <c r="R838" s="9" t="str">
        <f aca="false">IF(AND(A838&lt;&gt;"",ISNUMBER(Q838),ISNUMBER(L838)),ROUND(Q838-IF(ISNUMBER(N838),N838,0)-IF(ISNUMBER(O838),O838,0)+IF(ISNUMBER(P838),P838,0),2),"")</f>
        <v/>
      </c>
      <c r="S838" s="9" t="str">
        <f aca="false">IF(R838="","",ROUND(L838-R838,2))</f>
        <v/>
      </c>
      <c r="T838" s="8" t="str">
        <f aca="false">IF(A838="","",IF(S838="","BYPASS",IF(ABS(S838)&lt;=Summary!$B$2,"PASS","FAIL")))</f>
        <v/>
      </c>
      <c r="U838" s="8" t="str">
        <f aca="false">IF(T838="BYPASS",IF(NOT(ISNUMBER(Q838)),"PreV_ETB missing","End_tr_balance missing"),IF(T838="FAIL",IF(AND(ISNUMBER(K838),ISNUMBER(L838),ABS(L838-(K838-IF(ISNUMBER(N838),N838,0)-IF(ISNUMBER(O838),O838,0)+IF(ISNUMBER(P838),P838,0)))&lt;=Summary!$B$2),"Passes using beginning_balance - PreV_ETB differs from beginning_balance",IF(AND(ISNUMBER(O838),O838&lt;0,ABS(L838-(Q838-IF(ISNUMBER(N838),N838,0)+IF(ISNUMBER(P838),P838,0)))&lt;=Summary!$B$2),"Negative realized loss not applied - check sign",IF(R838&lt;0,"Principal paid exceeds prior balance",IF(AND(L838&gt;Q838,NOT(ISNUMBER(P838))),"Balance increased but no Deferred_interest reported",IF(L838&gt;R838,"Reported balance higher than expected (missing increase/OC build)","Reported balance lower than expected (missing decrease)"))))),""))</f>
        <v/>
      </c>
    </row>
    <row r="839" customFormat="false" ht="15" hidden="false" customHeight="false" outlineLevel="0" collapsed="false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9"/>
      <c r="L839" s="9"/>
      <c r="M839" s="9"/>
      <c r="N839" s="9"/>
      <c r="O839" s="9"/>
      <c r="P839" s="9"/>
      <c r="Q839" s="9"/>
      <c r="R839" s="9" t="str">
        <f aca="false">IF(AND(A839&lt;&gt;"",ISNUMBER(Q839),ISNUMBER(L839)),ROUND(Q839-IF(ISNUMBER(N839),N839,0)-IF(ISNUMBER(O839),O839,0)+IF(ISNUMBER(P839),P839,0),2),"")</f>
        <v/>
      </c>
      <c r="S839" s="9" t="str">
        <f aca="false">IF(R839="","",ROUND(L839-R839,2))</f>
        <v/>
      </c>
      <c r="T839" s="8" t="str">
        <f aca="false">IF(A839="","",IF(S839="","BYPASS",IF(ABS(S839)&lt;=Summary!$B$2,"PASS","FAIL")))</f>
        <v/>
      </c>
      <c r="U839" s="8" t="str">
        <f aca="false">IF(T839="BYPASS",IF(NOT(ISNUMBER(Q839)),"PreV_ETB missing","End_tr_balance missing"),IF(T839="FAIL",IF(AND(ISNUMBER(K839),ISNUMBER(L839),ABS(L839-(K839-IF(ISNUMBER(N839),N839,0)-IF(ISNUMBER(O839),O839,0)+IF(ISNUMBER(P839),P839,0)))&lt;=Summary!$B$2),"Passes using beginning_balance - PreV_ETB differs from beginning_balance",IF(AND(ISNUMBER(O839),O839&lt;0,ABS(L839-(Q839-IF(ISNUMBER(N839),N839,0)+IF(ISNUMBER(P839),P839,0)))&lt;=Summary!$B$2),"Negative realized loss not applied - check sign",IF(R839&lt;0,"Principal paid exceeds prior balance",IF(AND(L839&gt;Q839,NOT(ISNUMBER(P839))),"Balance increased but no Deferred_interest reported",IF(L839&gt;R839,"Reported balance higher than expected (missing increase/OC build)","Reported balance lower than expected (missing decrease)"))))),""))</f>
        <v/>
      </c>
    </row>
    <row r="840" customFormat="false" ht="15" hidden="false" customHeight="false" outlineLevel="0" collapsed="false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9"/>
      <c r="L840" s="9"/>
      <c r="M840" s="9"/>
      <c r="N840" s="9"/>
      <c r="O840" s="9"/>
      <c r="P840" s="9"/>
      <c r="Q840" s="9"/>
      <c r="R840" s="9" t="str">
        <f aca="false">IF(AND(A840&lt;&gt;"",ISNUMBER(Q840),ISNUMBER(L840)),ROUND(Q840-IF(ISNUMBER(N840),N840,0)-IF(ISNUMBER(O840),O840,0)+IF(ISNUMBER(P840),P840,0),2),"")</f>
        <v/>
      </c>
      <c r="S840" s="9" t="str">
        <f aca="false">IF(R840="","",ROUND(L840-R840,2))</f>
        <v/>
      </c>
      <c r="T840" s="8" t="str">
        <f aca="false">IF(A840="","",IF(S840="","BYPASS",IF(ABS(S840)&lt;=Summary!$B$2,"PASS","FAIL")))</f>
        <v/>
      </c>
      <c r="U840" s="8" t="str">
        <f aca="false">IF(T840="BYPASS",IF(NOT(ISNUMBER(Q840)),"PreV_ETB missing","End_tr_balance missing"),IF(T840="FAIL",IF(AND(ISNUMBER(K840),ISNUMBER(L840),ABS(L840-(K840-IF(ISNUMBER(N840),N840,0)-IF(ISNUMBER(O840),O840,0)+IF(ISNUMBER(P840),P840,0)))&lt;=Summary!$B$2),"Passes using beginning_balance - PreV_ETB differs from beginning_balance",IF(AND(ISNUMBER(O840),O840&lt;0,ABS(L840-(Q840-IF(ISNUMBER(N840),N840,0)+IF(ISNUMBER(P840),P840,0)))&lt;=Summary!$B$2),"Negative realized loss not applied - check sign",IF(R840&lt;0,"Principal paid exceeds prior balance",IF(AND(L840&gt;Q840,NOT(ISNUMBER(P840))),"Balance increased but no Deferred_interest reported",IF(L840&gt;R840,"Reported balance higher than expected (missing increase/OC build)","Reported balance lower than expected (missing decrease)"))))),""))</f>
        <v/>
      </c>
    </row>
    <row r="841" customFormat="false" ht="15" hidden="false" customHeight="false" outlineLevel="0" collapsed="false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9"/>
      <c r="L841" s="9"/>
      <c r="M841" s="9"/>
      <c r="N841" s="9"/>
      <c r="O841" s="9"/>
      <c r="P841" s="9"/>
      <c r="Q841" s="9"/>
      <c r="R841" s="9" t="str">
        <f aca="false">IF(AND(A841&lt;&gt;"",ISNUMBER(Q841),ISNUMBER(L841)),ROUND(Q841-IF(ISNUMBER(N841),N841,0)-IF(ISNUMBER(O841),O841,0)+IF(ISNUMBER(P841),P841,0),2),"")</f>
        <v/>
      </c>
      <c r="S841" s="9" t="str">
        <f aca="false">IF(R841="","",ROUND(L841-R841,2))</f>
        <v/>
      </c>
      <c r="T841" s="8" t="str">
        <f aca="false">IF(A841="","",IF(S841="","BYPASS",IF(ABS(S841)&lt;=Summary!$B$2,"PASS","FAIL")))</f>
        <v/>
      </c>
      <c r="U841" s="8" t="str">
        <f aca="false">IF(T841="BYPASS",IF(NOT(ISNUMBER(Q841)),"PreV_ETB missing","End_tr_balance missing"),IF(T841="FAIL",IF(AND(ISNUMBER(K841),ISNUMBER(L841),ABS(L841-(K841-IF(ISNUMBER(N841),N841,0)-IF(ISNUMBER(O841),O841,0)+IF(ISNUMBER(P841),P841,0)))&lt;=Summary!$B$2),"Passes using beginning_balance - PreV_ETB differs from beginning_balance",IF(AND(ISNUMBER(O841),O841&lt;0,ABS(L841-(Q841-IF(ISNUMBER(N841),N841,0)+IF(ISNUMBER(P841),P841,0)))&lt;=Summary!$B$2),"Negative realized loss not applied - check sign",IF(R841&lt;0,"Principal paid exceeds prior balance",IF(AND(L841&gt;Q841,NOT(ISNUMBER(P841))),"Balance increased but no Deferred_interest reported",IF(L841&gt;R841,"Reported balance higher than expected (missing increase/OC build)","Reported balance lower than expected (missing decrease)"))))),""))</f>
        <v/>
      </c>
    </row>
    <row r="842" customFormat="false" ht="15" hidden="false" customHeight="false" outlineLevel="0" collapsed="false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9"/>
      <c r="L842" s="9"/>
      <c r="M842" s="9"/>
      <c r="N842" s="9"/>
      <c r="O842" s="9"/>
      <c r="P842" s="9"/>
      <c r="Q842" s="9"/>
      <c r="R842" s="9" t="str">
        <f aca="false">IF(AND(A842&lt;&gt;"",ISNUMBER(Q842),ISNUMBER(L842)),ROUND(Q842-IF(ISNUMBER(N842),N842,0)-IF(ISNUMBER(O842),O842,0)+IF(ISNUMBER(P842),P842,0),2),"")</f>
        <v/>
      </c>
      <c r="S842" s="9" t="str">
        <f aca="false">IF(R842="","",ROUND(L842-R842,2))</f>
        <v/>
      </c>
      <c r="T842" s="8" t="str">
        <f aca="false">IF(A842="","",IF(S842="","BYPASS",IF(ABS(S842)&lt;=Summary!$B$2,"PASS","FAIL")))</f>
        <v/>
      </c>
      <c r="U842" s="8" t="str">
        <f aca="false">IF(T842="BYPASS",IF(NOT(ISNUMBER(Q842)),"PreV_ETB missing","End_tr_balance missing"),IF(T842="FAIL",IF(AND(ISNUMBER(K842),ISNUMBER(L842),ABS(L842-(K842-IF(ISNUMBER(N842),N842,0)-IF(ISNUMBER(O842),O842,0)+IF(ISNUMBER(P842),P842,0)))&lt;=Summary!$B$2),"Passes using beginning_balance - PreV_ETB differs from beginning_balance",IF(AND(ISNUMBER(O842),O842&lt;0,ABS(L842-(Q842-IF(ISNUMBER(N842),N842,0)+IF(ISNUMBER(P842),P842,0)))&lt;=Summary!$B$2),"Negative realized loss not applied - check sign",IF(R842&lt;0,"Principal paid exceeds prior balance",IF(AND(L842&gt;Q842,NOT(ISNUMBER(P842))),"Balance increased but no Deferred_interest reported",IF(L842&gt;R842,"Reported balance higher than expected (missing increase/OC build)","Reported balance lower than expected (missing decrease)"))))),""))</f>
        <v/>
      </c>
    </row>
    <row r="843" customFormat="false" ht="15" hidden="false" customHeight="false" outlineLevel="0" collapsed="false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9"/>
      <c r="L843" s="9"/>
      <c r="M843" s="9"/>
      <c r="N843" s="9"/>
      <c r="O843" s="9"/>
      <c r="P843" s="9"/>
      <c r="Q843" s="9"/>
      <c r="R843" s="9" t="str">
        <f aca="false">IF(AND(A843&lt;&gt;"",ISNUMBER(Q843),ISNUMBER(L843)),ROUND(Q843-IF(ISNUMBER(N843),N843,0)-IF(ISNUMBER(O843),O843,0)+IF(ISNUMBER(P843),P843,0),2),"")</f>
        <v/>
      </c>
      <c r="S843" s="9" t="str">
        <f aca="false">IF(R843="","",ROUND(L843-R843,2))</f>
        <v/>
      </c>
      <c r="T843" s="8" t="str">
        <f aca="false">IF(A843="","",IF(S843="","BYPASS",IF(ABS(S843)&lt;=Summary!$B$2,"PASS","FAIL")))</f>
        <v/>
      </c>
      <c r="U843" s="8" t="str">
        <f aca="false">IF(T843="BYPASS",IF(NOT(ISNUMBER(Q843)),"PreV_ETB missing","End_tr_balance missing"),IF(T843="FAIL",IF(AND(ISNUMBER(K843),ISNUMBER(L843),ABS(L843-(K843-IF(ISNUMBER(N843),N843,0)-IF(ISNUMBER(O843),O843,0)+IF(ISNUMBER(P843),P843,0)))&lt;=Summary!$B$2),"Passes using beginning_balance - PreV_ETB differs from beginning_balance",IF(AND(ISNUMBER(O843),O843&lt;0,ABS(L843-(Q843-IF(ISNUMBER(N843),N843,0)+IF(ISNUMBER(P843),P843,0)))&lt;=Summary!$B$2),"Negative realized loss not applied - check sign",IF(R843&lt;0,"Principal paid exceeds prior balance",IF(AND(L843&gt;Q843,NOT(ISNUMBER(P843))),"Balance increased but no Deferred_interest reported",IF(L843&gt;R843,"Reported balance higher than expected (missing increase/OC build)","Reported balance lower than expected (missing decrease)"))))),""))</f>
        <v/>
      </c>
    </row>
    <row r="844" customFormat="false" ht="15" hidden="false" customHeight="false" outlineLevel="0" collapsed="false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9"/>
      <c r="L844" s="9"/>
      <c r="M844" s="9"/>
      <c r="N844" s="9"/>
      <c r="O844" s="9"/>
      <c r="P844" s="9"/>
      <c r="Q844" s="9"/>
      <c r="R844" s="9" t="str">
        <f aca="false">IF(AND(A844&lt;&gt;"",ISNUMBER(Q844),ISNUMBER(L844)),ROUND(Q844-IF(ISNUMBER(N844),N844,0)-IF(ISNUMBER(O844),O844,0)+IF(ISNUMBER(P844),P844,0),2),"")</f>
        <v/>
      </c>
      <c r="S844" s="9" t="str">
        <f aca="false">IF(R844="","",ROUND(L844-R844,2))</f>
        <v/>
      </c>
      <c r="T844" s="8" t="str">
        <f aca="false">IF(A844="","",IF(S844="","BYPASS",IF(ABS(S844)&lt;=Summary!$B$2,"PASS","FAIL")))</f>
        <v/>
      </c>
      <c r="U844" s="8" t="str">
        <f aca="false">IF(T844="BYPASS",IF(NOT(ISNUMBER(Q844)),"PreV_ETB missing","End_tr_balance missing"),IF(T844="FAIL",IF(AND(ISNUMBER(K844),ISNUMBER(L844),ABS(L844-(K844-IF(ISNUMBER(N844),N844,0)-IF(ISNUMBER(O844),O844,0)+IF(ISNUMBER(P844),P844,0)))&lt;=Summary!$B$2),"Passes using beginning_balance - PreV_ETB differs from beginning_balance",IF(AND(ISNUMBER(O844),O844&lt;0,ABS(L844-(Q844-IF(ISNUMBER(N844),N844,0)+IF(ISNUMBER(P844),P844,0)))&lt;=Summary!$B$2),"Negative realized loss not applied - check sign",IF(R844&lt;0,"Principal paid exceeds prior balance",IF(AND(L844&gt;Q844,NOT(ISNUMBER(P844))),"Balance increased but no Deferred_interest reported",IF(L844&gt;R844,"Reported balance higher than expected (missing increase/OC build)","Reported balance lower than expected (missing decrease)"))))),""))</f>
        <v/>
      </c>
    </row>
    <row r="845" customFormat="false" ht="15" hidden="false" customHeight="false" outlineLevel="0" collapsed="false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9"/>
      <c r="L845" s="9"/>
      <c r="M845" s="9"/>
      <c r="N845" s="9"/>
      <c r="O845" s="9"/>
      <c r="P845" s="9"/>
      <c r="Q845" s="9"/>
      <c r="R845" s="9" t="str">
        <f aca="false">IF(AND(A845&lt;&gt;"",ISNUMBER(Q845),ISNUMBER(L845)),ROUND(Q845-IF(ISNUMBER(N845),N845,0)-IF(ISNUMBER(O845),O845,0)+IF(ISNUMBER(P845),P845,0),2),"")</f>
        <v/>
      </c>
      <c r="S845" s="9" t="str">
        <f aca="false">IF(R845="","",ROUND(L845-R845,2))</f>
        <v/>
      </c>
      <c r="T845" s="8" t="str">
        <f aca="false">IF(A845="","",IF(S845="","BYPASS",IF(ABS(S845)&lt;=Summary!$B$2,"PASS","FAIL")))</f>
        <v/>
      </c>
      <c r="U845" s="8" t="str">
        <f aca="false">IF(T845="BYPASS",IF(NOT(ISNUMBER(Q845)),"PreV_ETB missing","End_tr_balance missing"),IF(T845="FAIL",IF(AND(ISNUMBER(K845),ISNUMBER(L845),ABS(L845-(K845-IF(ISNUMBER(N845),N845,0)-IF(ISNUMBER(O845),O845,0)+IF(ISNUMBER(P845),P845,0)))&lt;=Summary!$B$2),"Passes using beginning_balance - PreV_ETB differs from beginning_balance",IF(AND(ISNUMBER(O845),O845&lt;0,ABS(L845-(Q845-IF(ISNUMBER(N845),N845,0)+IF(ISNUMBER(P845),P845,0)))&lt;=Summary!$B$2),"Negative realized loss not applied - check sign",IF(R845&lt;0,"Principal paid exceeds prior balance",IF(AND(L845&gt;Q845,NOT(ISNUMBER(P845))),"Balance increased but no Deferred_interest reported",IF(L845&gt;R845,"Reported balance higher than expected (missing increase/OC build)","Reported balance lower than expected (missing decrease)"))))),""))</f>
        <v/>
      </c>
    </row>
    <row r="846" customFormat="false" ht="15" hidden="false" customHeight="false" outlineLevel="0" collapsed="false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9"/>
      <c r="L846" s="9"/>
      <c r="M846" s="9"/>
      <c r="N846" s="9"/>
      <c r="O846" s="9"/>
      <c r="P846" s="9"/>
      <c r="Q846" s="9"/>
      <c r="R846" s="9" t="str">
        <f aca="false">IF(AND(A846&lt;&gt;"",ISNUMBER(Q846),ISNUMBER(L846)),ROUND(Q846-IF(ISNUMBER(N846),N846,0)-IF(ISNUMBER(O846),O846,0)+IF(ISNUMBER(P846),P846,0),2),"")</f>
        <v/>
      </c>
      <c r="S846" s="9" t="str">
        <f aca="false">IF(R846="","",ROUND(L846-R846,2))</f>
        <v/>
      </c>
      <c r="T846" s="8" t="str">
        <f aca="false">IF(A846="","",IF(S846="","BYPASS",IF(ABS(S846)&lt;=Summary!$B$2,"PASS","FAIL")))</f>
        <v/>
      </c>
      <c r="U846" s="8" t="str">
        <f aca="false">IF(T846="BYPASS",IF(NOT(ISNUMBER(Q846)),"PreV_ETB missing","End_tr_balance missing"),IF(T846="FAIL",IF(AND(ISNUMBER(K846),ISNUMBER(L846),ABS(L846-(K846-IF(ISNUMBER(N846),N846,0)-IF(ISNUMBER(O846),O846,0)+IF(ISNUMBER(P846),P846,0)))&lt;=Summary!$B$2),"Passes using beginning_balance - PreV_ETB differs from beginning_balance",IF(AND(ISNUMBER(O846),O846&lt;0,ABS(L846-(Q846-IF(ISNUMBER(N846),N846,0)+IF(ISNUMBER(P846),P846,0)))&lt;=Summary!$B$2),"Negative realized loss not applied - check sign",IF(R846&lt;0,"Principal paid exceeds prior balance",IF(AND(L846&gt;Q846,NOT(ISNUMBER(P846))),"Balance increased but no Deferred_interest reported",IF(L846&gt;R846,"Reported balance higher than expected (missing increase/OC build)","Reported balance lower than expected (missing decrease)"))))),""))</f>
        <v/>
      </c>
    </row>
    <row r="847" customFormat="false" ht="15" hidden="false" customHeight="false" outlineLevel="0" collapsed="false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9"/>
      <c r="L847" s="9"/>
      <c r="M847" s="9"/>
      <c r="N847" s="9"/>
      <c r="O847" s="9"/>
      <c r="P847" s="9"/>
      <c r="Q847" s="9"/>
      <c r="R847" s="9" t="str">
        <f aca="false">IF(AND(A847&lt;&gt;"",ISNUMBER(Q847),ISNUMBER(L847)),ROUND(Q847-IF(ISNUMBER(N847),N847,0)-IF(ISNUMBER(O847),O847,0)+IF(ISNUMBER(P847),P847,0),2),"")</f>
        <v/>
      </c>
      <c r="S847" s="9" t="str">
        <f aca="false">IF(R847="","",ROUND(L847-R847,2))</f>
        <v/>
      </c>
      <c r="T847" s="8" t="str">
        <f aca="false">IF(A847="","",IF(S847="","BYPASS",IF(ABS(S847)&lt;=Summary!$B$2,"PASS","FAIL")))</f>
        <v/>
      </c>
      <c r="U847" s="8" t="str">
        <f aca="false">IF(T847="BYPASS",IF(NOT(ISNUMBER(Q847)),"PreV_ETB missing","End_tr_balance missing"),IF(T847="FAIL",IF(AND(ISNUMBER(K847),ISNUMBER(L847),ABS(L847-(K847-IF(ISNUMBER(N847),N847,0)-IF(ISNUMBER(O847),O847,0)+IF(ISNUMBER(P847),P847,0)))&lt;=Summary!$B$2),"Passes using beginning_balance - PreV_ETB differs from beginning_balance",IF(AND(ISNUMBER(O847),O847&lt;0,ABS(L847-(Q847-IF(ISNUMBER(N847),N847,0)+IF(ISNUMBER(P847),P847,0)))&lt;=Summary!$B$2),"Negative realized loss not applied - check sign",IF(R847&lt;0,"Principal paid exceeds prior balance",IF(AND(L847&gt;Q847,NOT(ISNUMBER(P847))),"Balance increased but no Deferred_interest reported",IF(L847&gt;R847,"Reported balance higher than expected (missing increase/OC build)","Reported balance lower than expected (missing decrease)"))))),""))</f>
        <v/>
      </c>
    </row>
    <row r="848" customFormat="false" ht="15" hidden="false" customHeight="false" outlineLevel="0" collapsed="false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9"/>
      <c r="L848" s="9"/>
      <c r="M848" s="9"/>
      <c r="N848" s="9"/>
      <c r="O848" s="9"/>
      <c r="P848" s="9"/>
      <c r="Q848" s="9"/>
      <c r="R848" s="9" t="str">
        <f aca="false">IF(AND(A848&lt;&gt;"",ISNUMBER(Q848),ISNUMBER(L848)),ROUND(Q848-IF(ISNUMBER(N848),N848,0)-IF(ISNUMBER(O848),O848,0)+IF(ISNUMBER(P848),P848,0),2),"")</f>
        <v/>
      </c>
      <c r="S848" s="9" t="str">
        <f aca="false">IF(R848="","",ROUND(L848-R848,2))</f>
        <v/>
      </c>
      <c r="T848" s="8" t="str">
        <f aca="false">IF(A848="","",IF(S848="","BYPASS",IF(ABS(S848)&lt;=Summary!$B$2,"PASS","FAIL")))</f>
        <v/>
      </c>
      <c r="U848" s="8" t="str">
        <f aca="false">IF(T848="BYPASS",IF(NOT(ISNUMBER(Q848)),"PreV_ETB missing","End_tr_balance missing"),IF(T848="FAIL",IF(AND(ISNUMBER(K848),ISNUMBER(L848),ABS(L848-(K848-IF(ISNUMBER(N848),N848,0)-IF(ISNUMBER(O848),O848,0)+IF(ISNUMBER(P848),P848,0)))&lt;=Summary!$B$2),"Passes using beginning_balance - PreV_ETB differs from beginning_balance",IF(AND(ISNUMBER(O848),O848&lt;0,ABS(L848-(Q848-IF(ISNUMBER(N848),N848,0)+IF(ISNUMBER(P848),P848,0)))&lt;=Summary!$B$2),"Negative realized loss not applied - check sign",IF(R848&lt;0,"Principal paid exceeds prior balance",IF(AND(L848&gt;Q848,NOT(ISNUMBER(P848))),"Balance increased but no Deferred_interest reported",IF(L848&gt;R848,"Reported balance higher than expected (missing increase/OC build)","Reported balance lower than expected (missing decrease)"))))),""))</f>
        <v/>
      </c>
    </row>
    <row r="849" customFormat="false" ht="15" hidden="false" customHeight="false" outlineLevel="0" collapsed="false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9"/>
      <c r="L849" s="9"/>
      <c r="M849" s="9"/>
      <c r="N849" s="9"/>
      <c r="O849" s="9"/>
      <c r="P849" s="9"/>
      <c r="Q849" s="9"/>
      <c r="R849" s="9" t="str">
        <f aca="false">IF(AND(A849&lt;&gt;"",ISNUMBER(Q849),ISNUMBER(L849)),ROUND(Q849-IF(ISNUMBER(N849),N849,0)-IF(ISNUMBER(O849),O849,0)+IF(ISNUMBER(P849),P849,0),2),"")</f>
        <v/>
      </c>
      <c r="S849" s="9" t="str">
        <f aca="false">IF(R849="","",ROUND(L849-R849,2))</f>
        <v/>
      </c>
      <c r="T849" s="8" t="str">
        <f aca="false">IF(A849="","",IF(S849="","BYPASS",IF(ABS(S849)&lt;=Summary!$B$2,"PASS","FAIL")))</f>
        <v/>
      </c>
      <c r="U849" s="8" t="str">
        <f aca="false">IF(T849="BYPASS",IF(NOT(ISNUMBER(Q849)),"PreV_ETB missing","End_tr_balance missing"),IF(T849="FAIL",IF(AND(ISNUMBER(K849),ISNUMBER(L849),ABS(L849-(K849-IF(ISNUMBER(N849),N849,0)-IF(ISNUMBER(O849),O849,0)+IF(ISNUMBER(P849),P849,0)))&lt;=Summary!$B$2),"Passes using beginning_balance - PreV_ETB differs from beginning_balance",IF(AND(ISNUMBER(O849),O849&lt;0,ABS(L849-(Q849-IF(ISNUMBER(N849),N849,0)+IF(ISNUMBER(P849),P849,0)))&lt;=Summary!$B$2),"Negative realized loss not applied - check sign",IF(R849&lt;0,"Principal paid exceeds prior balance",IF(AND(L849&gt;Q849,NOT(ISNUMBER(P849))),"Balance increased but no Deferred_interest reported",IF(L849&gt;R849,"Reported balance higher than expected (missing increase/OC build)","Reported balance lower than expected (missing decrease)"))))),""))</f>
        <v/>
      </c>
    </row>
    <row r="850" customFormat="false" ht="15" hidden="false" customHeight="false" outlineLevel="0" collapsed="false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9"/>
      <c r="L850" s="9"/>
      <c r="M850" s="9"/>
      <c r="N850" s="9"/>
      <c r="O850" s="9"/>
      <c r="P850" s="9"/>
      <c r="Q850" s="9"/>
      <c r="R850" s="9" t="str">
        <f aca="false">IF(AND(A850&lt;&gt;"",ISNUMBER(Q850),ISNUMBER(L850)),ROUND(Q850-IF(ISNUMBER(N850),N850,0)-IF(ISNUMBER(O850),O850,0)+IF(ISNUMBER(P850),P850,0),2),"")</f>
        <v/>
      </c>
      <c r="S850" s="9" t="str">
        <f aca="false">IF(R850="","",ROUND(L850-R850,2))</f>
        <v/>
      </c>
      <c r="T850" s="8" t="str">
        <f aca="false">IF(A850="","",IF(S850="","BYPASS",IF(ABS(S850)&lt;=Summary!$B$2,"PASS","FAIL")))</f>
        <v/>
      </c>
      <c r="U850" s="8" t="str">
        <f aca="false">IF(T850="BYPASS",IF(NOT(ISNUMBER(Q850)),"PreV_ETB missing","End_tr_balance missing"),IF(T850="FAIL",IF(AND(ISNUMBER(K850),ISNUMBER(L850),ABS(L850-(K850-IF(ISNUMBER(N850),N850,0)-IF(ISNUMBER(O850),O850,0)+IF(ISNUMBER(P850),P850,0)))&lt;=Summary!$B$2),"Passes using beginning_balance - PreV_ETB differs from beginning_balance",IF(AND(ISNUMBER(O850),O850&lt;0,ABS(L850-(Q850-IF(ISNUMBER(N850),N850,0)+IF(ISNUMBER(P850),P850,0)))&lt;=Summary!$B$2),"Negative realized loss not applied - check sign",IF(R850&lt;0,"Principal paid exceeds prior balance",IF(AND(L850&gt;Q850,NOT(ISNUMBER(P850))),"Balance increased but no Deferred_interest reported",IF(L850&gt;R850,"Reported balance higher than expected (missing increase/OC build)","Reported balance lower than expected (missing decrease)"))))),""))</f>
        <v/>
      </c>
    </row>
    <row r="851" customFormat="false" ht="15" hidden="false" customHeight="false" outlineLevel="0" collapsed="false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9"/>
      <c r="L851" s="9"/>
      <c r="M851" s="9"/>
      <c r="N851" s="9"/>
      <c r="O851" s="9"/>
      <c r="P851" s="9"/>
      <c r="Q851" s="9"/>
      <c r="R851" s="9" t="str">
        <f aca="false">IF(AND(A851&lt;&gt;"",ISNUMBER(Q851),ISNUMBER(L851)),ROUND(Q851-IF(ISNUMBER(N851),N851,0)-IF(ISNUMBER(O851),O851,0)+IF(ISNUMBER(P851),P851,0),2),"")</f>
        <v/>
      </c>
      <c r="S851" s="9" t="str">
        <f aca="false">IF(R851="","",ROUND(L851-R851,2))</f>
        <v/>
      </c>
      <c r="T851" s="8" t="str">
        <f aca="false">IF(A851="","",IF(S851="","BYPASS",IF(ABS(S851)&lt;=Summary!$B$2,"PASS","FAIL")))</f>
        <v/>
      </c>
      <c r="U851" s="8" t="str">
        <f aca="false">IF(T851="BYPASS",IF(NOT(ISNUMBER(Q851)),"PreV_ETB missing","End_tr_balance missing"),IF(T851="FAIL",IF(AND(ISNUMBER(K851),ISNUMBER(L851),ABS(L851-(K851-IF(ISNUMBER(N851),N851,0)-IF(ISNUMBER(O851),O851,0)+IF(ISNUMBER(P851),P851,0)))&lt;=Summary!$B$2),"Passes using beginning_balance - PreV_ETB differs from beginning_balance",IF(AND(ISNUMBER(O851),O851&lt;0,ABS(L851-(Q851-IF(ISNUMBER(N851),N851,0)+IF(ISNUMBER(P851),P851,0)))&lt;=Summary!$B$2),"Negative realized loss not applied - check sign",IF(R851&lt;0,"Principal paid exceeds prior balance",IF(AND(L851&gt;Q851,NOT(ISNUMBER(P851))),"Balance increased but no Deferred_interest reported",IF(L851&gt;R851,"Reported balance higher than expected (missing increase/OC build)","Reported balance lower than expected (missing decrease)"))))),""))</f>
        <v/>
      </c>
    </row>
    <row r="852" customFormat="false" ht="15" hidden="false" customHeight="false" outlineLevel="0" collapsed="false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9"/>
      <c r="L852" s="9"/>
      <c r="M852" s="9"/>
      <c r="N852" s="9"/>
      <c r="O852" s="9"/>
      <c r="P852" s="9"/>
      <c r="Q852" s="9"/>
      <c r="R852" s="9" t="str">
        <f aca="false">IF(AND(A852&lt;&gt;"",ISNUMBER(Q852),ISNUMBER(L852)),ROUND(Q852-IF(ISNUMBER(N852),N852,0)-IF(ISNUMBER(O852),O852,0)+IF(ISNUMBER(P852),P852,0),2),"")</f>
        <v/>
      </c>
      <c r="S852" s="9" t="str">
        <f aca="false">IF(R852="","",ROUND(L852-R852,2))</f>
        <v/>
      </c>
      <c r="T852" s="8" t="str">
        <f aca="false">IF(A852="","",IF(S852="","BYPASS",IF(ABS(S852)&lt;=Summary!$B$2,"PASS","FAIL")))</f>
        <v/>
      </c>
      <c r="U852" s="8" t="str">
        <f aca="false">IF(T852="BYPASS",IF(NOT(ISNUMBER(Q852)),"PreV_ETB missing","End_tr_balance missing"),IF(T852="FAIL",IF(AND(ISNUMBER(K852),ISNUMBER(L852),ABS(L852-(K852-IF(ISNUMBER(N852),N852,0)-IF(ISNUMBER(O852),O852,0)+IF(ISNUMBER(P852),P852,0)))&lt;=Summary!$B$2),"Passes using beginning_balance - PreV_ETB differs from beginning_balance",IF(AND(ISNUMBER(O852),O852&lt;0,ABS(L852-(Q852-IF(ISNUMBER(N852),N852,0)+IF(ISNUMBER(P852),P852,0)))&lt;=Summary!$B$2),"Negative realized loss not applied - check sign",IF(R852&lt;0,"Principal paid exceeds prior balance",IF(AND(L852&gt;Q852,NOT(ISNUMBER(P852))),"Balance increased but no Deferred_interest reported",IF(L852&gt;R852,"Reported balance higher than expected (missing increase/OC build)","Reported balance lower than expected (missing decrease)"))))),""))</f>
        <v/>
      </c>
    </row>
    <row r="853" customFormat="false" ht="15" hidden="false" customHeight="false" outlineLevel="0" collapsed="false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9"/>
      <c r="L853" s="9"/>
      <c r="M853" s="9"/>
      <c r="N853" s="9"/>
      <c r="O853" s="9"/>
      <c r="P853" s="9"/>
      <c r="Q853" s="9"/>
      <c r="R853" s="9" t="str">
        <f aca="false">IF(AND(A853&lt;&gt;"",ISNUMBER(Q853),ISNUMBER(L853)),ROUND(Q853-IF(ISNUMBER(N853),N853,0)-IF(ISNUMBER(O853),O853,0)+IF(ISNUMBER(P853),P853,0),2),"")</f>
        <v/>
      </c>
      <c r="S853" s="9" t="str">
        <f aca="false">IF(R853="","",ROUND(L853-R853,2))</f>
        <v/>
      </c>
      <c r="T853" s="8" t="str">
        <f aca="false">IF(A853="","",IF(S853="","BYPASS",IF(ABS(S853)&lt;=Summary!$B$2,"PASS","FAIL")))</f>
        <v/>
      </c>
      <c r="U853" s="8" t="str">
        <f aca="false">IF(T853="BYPASS",IF(NOT(ISNUMBER(Q853)),"PreV_ETB missing","End_tr_balance missing"),IF(T853="FAIL",IF(AND(ISNUMBER(K853),ISNUMBER(L853),ABS(L853-(K853-IF(ISNUMBER(N853),N853,0)-IF(ISNUMBER(O853),O853,0)+IF(ISNUMBER(P853),P853,0)))&lt;=Summary!$B$2),"Passes using beginning_balance - PreV_ETB differs from beginning_balance",IF(AND(ISNUMBER(O853),O853&lt;0,ABS(L853-(Q853-IF(ISNUMBER(N853),N853,0)+IF(ISNUMBER(P853),P853,0)))&lt;=Summary!$B$2),"Negative realized loss not applied - check sign",IF(R853&lt;0,"Principal paid exceeds prior balance",IF(AND(L853&gt;Q853,NOT(ISNUMBER(P853))),"Balance increased but no Deferred_interest reported",IF(L853&gt;R853,"Reported balance higher than expected (missing increase/OC build)","Reported balance lower than expected (missing decrease)"))))),""))</f>
        <v/>
      </c>
    </row>
    <row r="854" customFormat="false" ht="15" hidden="false" customHeight="false" outlineLevel="0" collapsed="false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9"/>
      <c r="L854" s="9"/>
      <c r="M854" s="9"/>
      <c r="N854" s="9"/>
      <c r="O854" s="9"/>
      <c r="P854" s="9"/>
      <c r="Q854" s="9"/>
      <c r="R854" s="9" t="str">
        <f aca="false">IF(AND(A854&lt;&gt;"",ISNUMBER(Q854),ISNUMBER(L854)),ROUND(Q854-IF(ISNUMBER(N854),N854,0)-IF(ISNUMBER(O854),O854,0)+IF(ISNUMBER(P854),P854,0),2),"")</f>
        <v/>
      </c>
      <c r="S854" s="9" t="str">
        <f aca="false">IF(R854="","",ROUND(L854-R854,2))</f>
        <v/>
      </c>
      <c r="T854" s="8" t="str">
        <f aca="false">IF(A854="","",IF(S854="","BYPASS",IF(ABS(S854)&lt;=Summary!$B$2,"PASS","FAIL")))</f>
        <v/>
      </c>
      <c r="U854" s="8" t="str">
        <f aca="false">IF(T854="BYPASS",IF(NOT(ISNUMBER(Q854)),"PreV_ETB missing","End_tr_balance missing"),IF(T854="FAIL",IF(AND(ISNUMBER(K854),ISNUMBER(L854),ABS(L854-(K854-IF(ISNUMBER(N854),N854,0)-IF(ISNUMBER(O854),O854,0)+IF(ISNUMBER(P854),P854,0)))&lt;=Summary!$B$2),"Passes using beginning_balance - PreV_ETB differs from beginning_balance",IF(AND(ISNUMBER(O854),O854&lt;0,ABS(L854-(Q854-IF(ISNUMBER(N854),N854,0)+IF(ISNUMBER(P854),P854,0)))&lt;=Summary!$B$2),"Negative realized loss not applied - check sign",IF(R854&lt;0,"Principal paid exceeds prior balance",IF(AND(L854&gt;Q854,NOT(ISNUMBER(P854))),"Balance increased but no Deferred_interest reported",IF(L854&gt;R854,"Reported balance higher than expected (missing increase/OC build)","Reported balance lower than expected (missing decrease)"))))),""))</f>
        <v/>
      </c>
    </row>
    <row r="855" customFormat="false" ht="15" hidden="false" customHeight="false" outlineLevel="0" collapsed="false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9"/>
      <c r="L855" s="9"/>
      <c r="M855" s="9"/>
      <c r="N855" s="9"/>
      <c r="O855" s="9"/>
      <c r="P855" s="9"/>
      <c r="Q855" s="9"/>
      <c r="R855" s="9" t="str">
        <f aca="false">IF(AND(A855&lt;&gt;"",ISNUMBER(Q855),ISNUMBER(L855)),ROUND(Q855-IF(ISNUMBER(N855),N855,0)-IF(ISNUMBER(O855),O855,0)+IF(ISNUMBER(P855),P855,0),2),"")</f>
        <v/>
      </c>
      <c r="S855" s="9" t="str">
        <f aca="false">IF(R855="","",ROUND(L855-R855,2))</f>
        <v/>
      </c>
      <c r="T855" s="8" t="str">
        <f aca="false">IF(A855="","",IF(S855="","BYPASS",IF(ABS(S855)&lt;=Summary!$B$2,"PASS","FAIL")))</f>
        <v/>
      </c>
      <c r="U855" s="8" t="str">
        <f aca="false">IF(T855="BYPASS",IF(NOT(ISNUMBER(Q855)),"PreV_ETB missing","End_tr_balance missing"),IF(T855="FAIL",IF(AND(ISNUMBER(K855),ISNUMBER(L855),ABS(L855-(K855-IF(ISNUMBER(N855),N855,0)-IF(ISNUMBER(O855),O855,0)+IF(ISNUMBER(P855),P855,0)))&lt;=Summary!$B$2),"Passes using beginning_balance - PreV_ETB differs from beginning_balance",IF(AND(ISNUMBER(O855),O855&lt;0,ABS(L855-(Q855-IF(ISNUMBER(N855),N855,0)+IF(ISNUMBER(P855),P855,0)))&lt;=Summary!$B$2),"Negative realized loss not applied - check sign",IF(R855&lt;0,"Principal paid exceeds prior balance",IF(AND(L855&gt;Q855,NOT(ISNUMBER(P855))),"Balance increased but no Deferred_interest reported",IF(L855&gt;R855,"Reported balance higher than expected (missing increase/OC build)","Reported balance lower than expected (missing decrease)"))))),""))</f>
        <v/>
      </c>
    </row>
    <row r="856" customFormat="false" ht="15" hidden="false" customHeight="false" outlineLevel="0" collapsed="false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9"/>
      <c r="L856" s="9"/>
      <c r="M856" s="9"/>
      <c r="N856" s="9"/>
      <c r="O856" s="9"/>
      <c r="P856" s="9"/>
      <c r="Q856" s="9"/>
      <c r="R856" s="9" t="str">
        <f aca="false">IF(AND(A856&lt;&gt;"",ISNUMBER(Q856),ISNUMBER(L856)),ROUND(Q856-IF(ISNUMBER(N856),N856,0)-IF(ISNUMBER(O856),O856,0)+IF(ISNUMBER(P856),P856,0),2),"")</f>
        <v/>
      </c>
      <c r="S856" s="9" t="str">
        <f aca="false">IF(R856="","",ROUND(L856-R856,2))</f>
        <v/>
      </c>
      <c r="T856" s="8" t="str">
        <f aca="false">IF(A856="","",IF(S856="","BYPASS",IF(ABS(S856)&lt;=Summary!$B$2,"PASS","FAIL")))</f>
        <v/>
      </c>
      <c r="U856" s="8" t="str">
        <f aca="false">IF(T856="BYPASS",IF(NOT(ISNUMBER(Q856)),"PreV_ETB missing","End_tr_balance missing"),IF(T856="FAIL",IF(AND(ISNUMBER(K856),ISNUMBER(L856),ABS(L856-(K856-IF(ISNUMBER(N856),N856,0)-IF(ISNUMBER(O856),O856,0)+IF(ISNUMBER(P856),P856,0)))&lt;=Summary!$B$2),"Passes using beginning_balance - PreV_ETB differs from beginning_balance",IF(AND(ISNUMBER(O856),O856&lt;0,ABS(L856-(Q856-IF(ISNUMBER(N856),N856,0)+IF(ISNUMBER(P856),P856,0)))&lt;=Summary!$B$2),"Negative realized loss not applied - check sign",IF(R856&lt;0,"Principal paid exceeds prior balance",IF(AND(L856&gt;Q856,NOT(ISNUMBER(P856))),"Balance increased but no Deferred_interest reported",IF(L856&gt;R856,"Reported balance higher than expected (missing increase/OC build)","Reported balance lower than expected (missing decrease)"))))),""))</f>
        <v/>
      </c>
    </row>
    <row r="857" customFormat="false" ht="15" hidden="false" customHeight="false" outlineLevel="0" collapsed="false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9"/>
      <c r="L857" s="9"/>
      <c r="M857" s="9"/>
      <c r="N857" s="9"/>
      <c r="O857" s="9"/>
      <c r="P857" s="9"/>
      <c r="Q857" s="9"/>
      <c r="R857" s="9" t="str">
        <f aca="false">IF(AND(A857&lt;&gt;"",ISNUMBER(Q857),ISNUMBER(L857)),ROUND(Q857-IF(ISNUMBER(N857),N857,0)-IF(ISNUMBER(O857),O857,0)+IF(ISNUMBER(P857),P857,0),2),"")</f>
        <v/>
      </c>
      <c r="S857" s="9" t="str">
        <f aca="false">IF(R857="","",ROUND(L857-R857,2))</f>
        <v/>
      </c>
      <c r="T857" s="8" t="str">
        <f aca="false">IF(A857="","",IF(S857="","BYPASS",IF(ABS(S857)&lt;=Summary!$B$2,"PASS","FAIL")))</f>
        <v/>
      </c>
      <c r="U857" s="8" t="str">
        <f aca="false">IF(T857="BYPASS",IF(NOT(ISNUMBER(Q857)),"PreV_ETB missing","End_tr_balance missing"),IF(T857="FAIL",IF(AND(ISNUMBER(K857),ISNUMBER(L857),ABS(L857-(K857-IF(ISNUMBER(N857),N857,0)-IF(ISNUMBER(O857),O857,0)+IF(ISNUMBER(P857),P857,0)))&lt;=Summary!$B$2),"Passes using beginning_balance - PreV_ETB differs from beginning_balance",IF(AND(ISNUMBER(O857),O857&lt;0,ABS(L857-(Q857-IF(ISNUMBER(N857),N857,0)+IF(ISNUMBER(P857),P857,0)))&lt;=Summary!$B$2),"Negative realized loss not applied - check sign",IF(R857&lt;0,"Principal paid exceeds prior balance",IF(AND(L857&gt;Q857,NOT(ISNUMBER(P857))),"Balance increased but no Deferred_interest reported",IF(L857&gt;R857,"Reported balance higher than expected (missing increase/OC build)","Reported balance lower than expected (missing decrease)"))))),""))</f>
        <v/>
      </c>
    </row>
    <row r="858" customFormat="false" ht="15" hidden="false" customHeight="false" outlineLevel="0" collapsed="false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9"/>
      <c r="L858" s="9"/>
      <c r="M858" s="9"/>
      <c r="N858" s="9"/>
      <c r="O858" s="9"/>
      <c r="P858" s="9"/>
      <c r="Q858" s="9"/>
      <c r="R858" s="9" t="str">
        <f aca="false">IF(AND(A858&lt;&gt;"",ISNUMBER(Q858),ISNUMBER(L858)),ROUND(Q858-IF(ISNUMBER(N858),N858,0)-IF(ISNUMBER(O858),O858,0)+IF(ISNUMBER(P858),P858,0),2),"")</f>
        <v/>
      </c>
      <c r="S858" s="9" t="str">
        <f aca="false">IF(R858="","",ROUND(L858-R858,2))</f>
        <v/>
      </c>
      <c r="T858" s="8" t="str">
        <f aca="false">IF(A858="","",IF(S858="","BYPASS",IF(ABS(S858)&lt;=Summary!$B$2,"PASS","FAIL")))</f>
        <v/>
      </c>
      <c r="U858" s="8" t="str">
        <f aca="false">IF(T858="BYPASS",IF(NOT(ISNUMBER(Q858)),"PreV_ETB missing","End_tr_balance missing"),IF(T858="FAIL",IF(AND(ISNUMBER(K858),ISNUMBER(L858),ABS(L858-(K858-IF(ISNUMBER(N858),N858,0)-IF(ISNUMBER(O858),O858,0)+IF(ISNUMBER(P858),P858,0)))&lt;=Summary!$B$2),"Passes using beginning_balance - PreV_ETB differs from beginning_balance",IF(AND(ISNUMBER(O858),O858&lt;0,ABS(L858-(Q858-IF(ISNUMBER(N858),N858,0)+IF(ISNUMBER(P858),P858,0)))&lt;=Summary!$B$2),"Negative realized loss not applied - check sign",IF(R858&lt;0,"Principal paid exceeds prior balance",IF(AND(L858&gt;Q858,NOT(ISNUMBER(P858))),"Balance increased but no Deferred_interest reported",IF(L858&gt;R858,"Reported balance higher than expected (missing increase/OC build)","Reported balance lower than expected (missing decrease)"))))),""))</f>
        <v/>
      </c>
    </row>
    <row r="859" customFormat="false" ht="15" hidden="false" customHeight="false" outlineLevel="0" collapsed="false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9"/>
      <c r="L859" s="9"/>
      <c r="M859" s="9"/>
      <c r="N859" s="9"/>
      <c r="O859" s="9"/>
      <c r="P859" s="9"/>
      <c r="Q859" s="9"/>
      <c r="R859" s="9" t="str">
        <f aca="false">IF(AND(A859&lt;&gt;"",ISNUMBER(Q859),ISNUMBER(L859)),ROUND(Q859-IF(ISNUMBER(N859),N859,0)-IF(ISNUMBER(O859),O859,0)+IF(ISNUMBER(P859),P859,0),2),"")</f>
        <v/>
      </c>
      <c r="S859" s="9" t="str">
        <f aca="false">IF(R859="","",ROUND(L859-R859,2))</f>
        <v/>
      </c>
      <c r="T859" s="8" t="str">
        <f aca="false">IF(A859="","",IF(S859="","BYPASS",IF(ABS(S859)&lt;=Summary!$B$2,"PASS","FAIL")))</f>
        <v/>
      </c>
      <c r="U859" s="8" t="str">
        <f aca="false">IF(T859="BYPASS",IF(NOT(ISNUMBER(Q859)),"PreV_ETB missing","End_tr_balance missing"),IF(T859="FAIL",IF(AND(ISNUMBER(K859),ISNUMBER(L859),ABS(L859-(K859-IF(ISNUMBER(N859),N859,0)-IF(ISNUMBER(O859),O859,0)+IF(ISNUMBER(P859),P859,0)))&lt;=Summary!$B$2),"Passes using beginning_balance - PreV_ETB differs from beginning_balance",IF(AND(ISNUMBER(O859),O859&lt;0,ABS(L859-(Q859-IF(ISNUMBER(N859),N859,0)+IF(ISNUMBER(P859),P859,0)))&lt;=Summary!$B$2),"Negative realized loss not applied - check sign",IF(R859&lt;0,"Principal paid exceeds prior balance",IF(AND(L859&gt;Q859,NOT(ISNUMBER(P859))),"Balance increased but no Deferred_interest reported",IF(L859&gt;R859,"Reported balance higher than expected (missing increase/OC build)","Reported balance lower than expected (missing decrease)"))))),""))</f>
        <v/>
      </c>
    </row>
    <row r="860" customFormat="false" ht="15" hidden="false" customHeight="false" outlineLevel="0" collapsed="false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9"/>
      <c r="L860" s="9"/>
      <c r="M860" s="9"/>
      <c r="N860" s="9"/>
      <c r="O860" s="9"/>
      <c r="P860" s="9"/>
      <c r="Q860" s="9"/>
      <c r="R860" s="9" t="str">
        <f aca="false">IF(AND(A860&lt;&gt;"",ISNUMBER(Q860),ISNUMBER(L860)),ROUND(Q860-IF(ISNUMBER(N860),N860,0)-IF(ISNUMBER(O860),O860,0)+IF(ISNUMBER(P860),P860,0),2),"")</f>
        <v/>
      </c>
      <c r="S860" s="9" t="str">
        <f aca="false">IF(R860="","",ROUND(L860-R860,2))</f>
        <v/>
      </c>
      <c r="T860" s="8" t="str">
        <f aca="false">IF(A860="","",IF(S860="","BYPASS",IF(ABS(S860)&lt;=Summary!$B$2,"PASS","FAIL")))</f>
        <v/>
      </c>
      <c r="U860" s="8" t="str">
        <f aca="false">IF(T860="BYPASS",IF(NOT(ISNUMBER(Q860)),"PreV_ETB missing","End_tr_balance missing"),IF(T860="FAIL",IF(AND(ISNUMBER(K860),ISNUMBER(L860),ABS(L860-(K860-IF(ISNUMBER(N860),N860,0)-IF(ISNUMBER(O860),O860,0)+IF(ISNUMBER(P860),P860,0)))&lt;=Summary!$B$2),"Passes using beginning_balance - PreV_ETB differs from beginning_balance",IF(AND(ISNUMBER(O860),O860&lt;0,ABS(L860-(Q860-IF(ISNUMBER(N860),N860,0)+IF(ISNUMBER(P860),P860,0)))&lt;=Summary!$B$2),"Negative realized loss not applied - check sign",IF(R860&lt;0,"Principal paid exceeds prior balance",IF(AND(L860&gt;Q860,NOT(ISNUMBER(P860))),"Balance increased but no Deferred_interest reported",IF(L860&gt;R860,"Reported balance higher than expected (missing increase/OC build)","Reported balance lower than expected (missing decrease)"))))),""))</f>
        <v/>
      </c>
    </row>
    <row r="861" customFormat="false" ht="15" hidden="false" customHeight="false" outlineLevel="0" collapsed="false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9"/>
      <c r="L861" s="9"/>
      <c r="M861" s="9"/>
      <c r="N861" s="9"/>
      <c r="O861" s="9"/>
      <c r="P861" s="9"/>
      <c r="Q861" s="9"/>
      <c r="R861" s="9" t="str">
        <f aca="false">IF(AND(A861&lt;&gt;"",ISNUMBER(Q861),ISNUMBER(L861)),ROUND(Q861-IF(ISNUMBER(N861),N861,0)-IF(ISNUMBER(O861),O861,0)+IF(ISNUMBER(P861),P861,0),2),"")</f>
        <v/>
      </c>
      <c r="S861" s="9" t="str">
        <f aca="false">IF(R861="","",ROUND(L861-R861,2))</f>
        <v/>
      </c>
      <c r="T861" s="8" t="str">
        <f aca="false">IF(A861="","",IF(S861="","BYPASS",IF(ABS(S861)&lt;=Summary!$B$2,"PASS","FAIL")))</f>
        <v/>
      </c>
      <c r="U861" s="8" t="str">
        <f aca="false">IF(T861="BYPASS",IF(NOT(ISNUMBER(Q861)),"PreV_ETB missing","End_tr_balance missing"),IF(T861="FAIL",IF(AND(ISNUMBER(K861),ISNUMBER(L861),ABS(L861-(K861-IF(ISNUMBER(N861),N861,0)-IF(ISNUMBER(O861),O861,0)+IF(ISNUMBER(P861),P861,0)))&lt;=Summary!$B$2),"Passes using beginning_balance - PreV_ETB differs from beginning_balance",IF(AND(ISNUMBER(O861),O861&lt;0,ABS(L861-(Q861-IF(ISNUMBER(N861),N861,0)+IF(ISNUMBER(P861),P861,0)))&lt;=Summary!$B$2),"Negative realized loss not applied - check sign",IF(R861&lt;0,"Principal paid exceeds prior balance",IF(AND(L861&gt;Q861,NOT(ISNUMBER(P861))),"Balance increased but no Deferred_interest reported",IF(L861&gt;R861,"Reported balance higher than expected (missing increase/OC build)","Reported balance lower than expected (missing decrease)"))))),""))</f>
        <v/>
      </c>
    </row>
    <row r="862" customFormat="false" ht="15" hidden="false" customHeight="false" outlineLevel="0" collapsed="false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9"/>
      <c r="L862" s="9"/>
      <c r="M862" s="9"/>
      <c r="N862" s="9"/>
      <c r="O862" s="9"/>
      <c r="P862" s="9"/>
      <c r="Q862" s="9"/>
      <c r="R862" s="9" t="str">
        <f aca="false">IF(AND(A862&lt;&gt;"",ISNUMBER(Q862),ISNUMBER(L862)),ROUND(Q862-IF(ISNUMBER(N862),N862,0)-IF(ISNUMBER(O862),O862,0)+IF(ISNUMBER(P862),P862,0),2),"")</f>
        <v/>
      </c>
      <c r="S862" s="9" t="str">
        <f aca="false">IF(R862="","",ROUND(L862-R862,2))</f>
        <v/>
      </c>
      <c r="T862" s="8" t="str">
        <f aca="false">IF(A862="","",IF(S862="","BYPASS",IF(ABS(S862)&lt;=Summary!$B$2,"PASS","FAIL")))</f>
        <v/>
      </c>
      <c r="U862" s="8" t="str">
        <f aca="false">IF(T862="BYPASS",IF(NOT(ISNUMBER(Q862)),"PreV_ETB missing","End_tr_balance missing"),IF(T862="FAIL",IF(AND(ISNUMBER(K862),ISNUMBER(L862),ABS(L862-(K862-IF(ISNUMBER(N862),N862,0)-IF(ISNUMBER(O862),O862,0)+IF(ISNUMBER(P862),P862,0)))&lt;=Summary!$B$2),"Passes using beginning_balance - PreV_ETB differs from beginning_balance",IF(AND(ISNUMBER(O862),O862&lt;0,ABS(L862-(Q862-IF(ISNUMBER(N862),N862,0)+IF(ISNUMBER(P862),P862,0)))&lt;=Summary!$B$2),"Negative realized loss not applied - check sign",IF(R862&lt;0,"Principal paid exceeds prior balance",IF(AND(L862&gt;Q862,NOT(ISNUMBER(P862))),"Balance increased but no Deferred_interest reported",IF(L862&gt;R862,"Reported balance higher than expected (missing increase/OC build)","Reported balance lower than expected (missing decrease)"))))),""))</f>
        <v/>
      </c>
    </row>
    <row r="863" customFormat="false" ht="15" hidden="false" customHeight="false" outlineLevel="0" collapsed="false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9"/>
      <c r="L863" s="9"/>
      <c r="M863" s="9"/>
      <c r="N863" s="9"/>
      <c r="O863" s="9"/>
      <c r="P863" s="9"/>
      <c r="Q863" s="9"/>
      <c r="R863" s="9" t="str">
        <f aca="false">IF(AND(A863&lt;&gt;"",ISNUMBER(Q863),ISNUMBER(L863)),ROUND(Q863-IF(ISNUMBER(N863),N863,0)-IF(ISNUMBER(O863),O863,0)+IF(ISNUMBER(P863),P863,0),2),"")</f>
        <v/>
      </c>
      <c r="S863" s="9" t="str">
        <f aca="false">IF(R863="","",ROUND(L863-R863,2))</f>
        <v/>
      </c>
      <c r="T863" s="8" t="str">
        <f aca="false">IF(A863="","",IF(S863="","BYPASS",IF(ABS(S863)&lt;=Summary!$B$2,"PASS","FAIL")))</f>
        <v/>
      </c>
      <c r="U863" s="8" t="str">
        <f aca="false">IF(T863="BYPASS",IF(NOT(ISNUMBER(Q863)),"PreV_ETB missing","End_tr_balance missing"),IF(T863="FAIL",IF(AND(ISNUMBER(K863),ISNUMBER(L863),ABS(L863-(K863-IF(ISNUMBER(N863),N863,0)-IF(ISNUMBER(O863),O863,0)+IF(ISNUMBER(P863),P863,0)))&lt;=Summary!$B$2),"Passes using beginning_balance - PreV_ETB differs from beginning_balance",IF(AND(ISNUMBER(O863),O863&lt;0,ABS(L863-(Q863-IF(ISNUMBER(N863),N863,0)+IF(ISNUMBER(P863),P863,0)))&lt;=Summary!$B$2),"Negative realized loss not applied - check sign",IF(R863&lt;0,"Principal paid exceeds prior balance",IF(AND(L863&gt;Q863,NOT(ISNUMBER(P863))),"Balance increased but no Deferred_interest reported",IF(L863&gt;R863,"Reported balance higher than expected (missing increase/OC build)","Reported balance lower than expected (missing decrease)"))))),""))</f>
        <v/>
      </c>
    </row>
    <row r="864" customFormat="false" ht="15" hidden="false" customHeight="false" outlineLevel="0" collapsed="false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9"/>
      <c r="L864" s="9"/>
      <c r="M864" s="9"/>
      <c r="N864" s="9"/>
      <c r="O864" s="9"/>
      <c r="P864" s="9"/>
      <c r="Q864" s="9"/>
      <c r="R864" s="9" t="str">
        <f aca="false">IF(AND(A864&lt;&gt;"",ISNUMBER(Q864),ISNUMBER(L864)),ROUND(Q864-IF(ISNUMBER(N864),N864,0)-IF(ISNUMBER(O864),O864,0)+IF(ISNUMBER(P864),P864,0),2),"")</f>
        <v/>
      </c>
      <c r="S864" s="9" t="str">
        <f aca="false">IF(R864="","",ROUND(L864-R864,2))</f>
        <v/>
      </c>
      <c r="T864" s="8" t="str">
        <f aca="false">IF(A864="","",IF(S864="","BYPASS",IF(ABS(S864)&lt;=Summary!$B$2,"PASS","FAIL")))</f>
        <v/>
      </c>
      <c r="U864" s="8" t="str">
        <f aca="false">IF(T864="BYPASS",IF(NOT(ISNUMBER(Q864)),"PreV_ETB missing","End_tr_balance missing"),IF(T864="FAIL",IF(AND(ISNUMBER(K864),ISNUMBER(L864),ABS(L864-(K864-IF(ISNUMBER(N864),N864,0)-IF(ISNUMBER(O864),O864,0)+IF(ISNUMBER(P864),P864,0)))&lt;=Summary!$B$2),"Passes using beginning_balance - PreV_ETB differs from beginning_balance",IF(AND(ISNUMBER(O864),O864&lt;0,ABS(L864-(Q864-IF(ISNUMBER(N864),N864,0)+IF(ISNUMBER(P864),P864,0)))&lt;=Summary!$B$2),"Negative realized loss not applied - check sign",IF(R864&lt;0,"Principal paid exceeds prior balance",IF(AND(L864&gt;Q864,NOT(ISNUMBER(P864))),"Balance increased but no Deferred_interest reported",IF(L864&gt;R864,"Reported balance higher than expected (missing increase/OC build)","Reported balance lower than expected (missing decrease)"))))),""))</f>
        <v/>
      </c>
    </row>
    <row r="865" customFormat="false" ht="15" hidden="false" customHeight="false" outlineLevel="0" collapsed="false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9"/>
      <c r="L865" s="9"/>
      <c r="M865" s="9"/>
      <c r="N865" s="9"/>
      <c r="O865" s="9"/>
      <c r="P865" s="9"/>
      <c r="Q865" s="9"/>
      <c r="R865" s="9" t="str">
        <f aca="false">IF(AND(A865&lt;&gt;"",ISNUMBER(Q865),ISNUMBER(L865)),ROUND(Q865-IF(ISNUMBER(N865),N865,0)-IF(ISNUMBER(O865),O865,0)+IF(ISNUMBER(P865),P865,0),2),"")</f>
        <v/>
      </c>
      <c r="S865" s="9" t="str">
        <f aca="false">IF(R865="","",ROUND(L865-R865,2))</f>
        <v/>
      </c>
      <c r="T865" s="8" t="str">
        <f aca="false">IF(A865="","",IF(S865="","BYPASS",IF(ABS(S865)&lt;=Summary!$B$2,"PASS","FAIL")))</f>
        <v/>
      </c>
      <c r="U865" s="8" t="str">
        <f aca="false">IF(T865="BYPASS",IF(NOT(ISNUMBER(Q865)),"PreV_ETB missing","End_tr_balance missing"),IF(T865="FAIL",IF(AND(ISNUMBER(K865),ISNUMBER(L865),ABS(L865-(K865-IF(ISNUMBER(N865),N865,0)-IF(ISNUMBER(O865),O865,0)+IF(ISNUMBER(P865),P865,0)))&lt;=Summary!$B$2),"Passes using beginning_balance - PreV_ETB differs from beginning_balance",IF(AND(ISNUMBER(O865),O865&lt;0,ABS(L865-(Q865-IF(ISNUMBER(N865),N865,0)+IF(ISNUMBER(P865),P865,0)))&lt;=Summary!$B$2),"Negative realized loss not applied - check sign",IF(R865&lt;0,"Principal paid exceeds prior balance",IF(AND(L865&gt;Q865,NOT(ISNUMBER(P865))),"Balance increased but no Deferred_interest reported",IF(L865&gt;R865,"Reported balance higher than expected (missing increase/OC build)","Reported balance lower than expected (missing decrease)"))))),""))</f>
        <v/>
      </c>
    </row>
    <row r="866" customFormat="false" ht="15" hidden="false" customHeight="false" outlineLevel="0" collapsed="false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9"/>
      <c r="L866" s="9"/>
      <c r="M866" s="9"/>
      <c r="N866" s="9"/>
      <c r="O866" s="9"/>
      <c r="P866" s="9"/>
      <c r="Q866" s="9"/>
      <c r="R866" s="9" t="str">
        <f aca="false">IF(AND(A866&lt;&gt;"",ISNUMBER(Q866),ISNUMBER(L866)),ROUND(Q866-IF(ISNUMBER(N866),N866,0)-IF(ISNUMBER(O866),O866,0)+IF(ISNUMBER(P866),P866,0),2),"")</f>
        <v/>
      </c>
      <c r="S866" s="9" t="str">
        <f aca="false">IF(R866="","",ROUND(L866-R866,2))</f>
        <v/>
      </c>
      <c r="T866" s="8" t="str">
        <f aca="false">IF(A866="","",IF(S866="","BYPASS",IF(ABS(S866)&lt;=Summary!$B$2,"PASS","FAIL")))</f>
        <v/>
      </c>
      <c r="U866" s="8" t="str">
        <f aca="false">IF(T866="BYPASS",IF(NOT(ISNUMBER(Q866)),"PreV_ETB missing","End_tr_balance missing"),IF(T866="FAIL",IF(AND(ISNUMBER(K866),ISNUMBER(L866),ABS(L866-(K866-IF(ISNUMBER(N866),N866,0)-IF(ISNUMBER(O866),O866,0)+IF(ISNUMBER(P866),P866,0)))&lt;=Summary!$B$2),"Passes using beginning_balance - PreV_ETB differs from beginning_balance",IF(AND(ISNUMBER(O866),O866&lt;0,ABS(L866-(Q866-IF(ISNUMBER(N866),N866,0)+IF(ISNUMBER(P866),P866,0)))&lt;=Summary!$B$2),"Negative realized loss not applied - check sign",IF(R866&lt;0,"Principal paid exceeds prior balance",IF(AND(L866&gt;Q866,NOT(ISNUMBER(P866))),"Balance increased but no Deferred_interest reported",IF(L866&gt;R866,"Reported balance higher than expected (missing increase/OC build)","Reported balance lower than expected (missing decrease)"))))),""))</f>
        <v/>
      </c>
    </row>
    <row r="867" customFormat="false" ht="15" hidden="false" customHeight="false" outlineLevel="0" collapsed="false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9"/>
      <c r="L867" s="9"/>
      <c r="M867" s="9"/>
      <c r="N867" s="9"/>
      <c r="O867" s="9"/>
      <c r="P867" s="9"/>
      <c r="Q867" s="9"/>
      <c r="R867" s="9" t="str">
        <f aca="false">IF(AND(A867&lt;&gt;"",ISNUMBER(Q867),ISNUMBER(L867)),ROUND(Q867-IF(ISNUMBER(N867),N867,0)-IF(ISNUMBER(O867),O867,0)+IF(ISNUMBER(P867),P867,0),2),"")</f>
        <v/>
      </c>
      <c r="S867" s="9" t="str">
        <f aca="false">IF(R867="","",ROUND(L867-R867,2))</f>
        <v/>
      </c>
      <c r="T867" s="8" t="str">
        <f aca="false">IF(A867="","",IF(S867="","BYPASS",IF(ABS(S867)&lt;=Summary!$B$2,"PASS","FAIL")))</f>
        <v/>
      </c>
      <c r="U867" s="8" t="str">
        <f aca="false">IF(T867="BYPASS",IF(NOT(ISNUMBER(Q867)),"PreV_ETB missing","End_tr_balance missing"),IF(T867="FAIL",IF(AND(ISNUMBER(K867),ISNUMBER(L867),ABS(L867-(K867-IF(ISNUMBER(N867),N867,0)-IF(ISNUMBER(O867),O867,0)+IF(ISNUMBER(P867),P867,0)))&lt;=Summary!$B$2),"Passes using beginning_balance - PreV_ETB differs from beginning_balance",IF(AND(ISNUMBER(O867),O867&lt;0,ABS(L867-(Q867-IF(ISNUMBER(N867),N867,0)+IF(ISNUMBER(P867),P867,0)))&lt;=Summary!$B$2),"Negative realized loss not applied - check sign",IF(R867&lt;0,"Principal paid exceeds prior balance",IF(AND(L867&gt;Q867,NOT(ISNUMBER(P867))),"Balance increased but no Deferred_interest reported",IF(L867&gt;R867,"Reported balance higher than expected (missing increase/OC build)","Reported balance lower than expected (missing decrease)"))))),""))</f>
        <v/>
      </c>
    </row>
    <row r="868" customFormat="false" ht="15" hidden="false" customHeight="false" outlineLevel="0" collapsed="false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9"/>
      <c r="L868" s="9"/>
      <c r="M868" s="9"/>
      <c r="N868" s="9"/>
      <c r="O868" s="9"/>
      <c r="P868" s="9"/>
      <c r="Q868" s="9"/>
      <c r="R868" s="9" t="str">
        <f aca="false">IF(AND(A868&lt;&gt;"",ISNUMBER(Q868),ISNUMBER(L868)),ROUND(Q868-IF(ISNUMBER(N868),N868,0)-IF(ISNUMBER(O868),O868,0)+IF(ISNUMBER(P868),P868,0),2),"")</f>
        <v/>
      </c>
      <c r="S868" s="9" t="str">
        <f aca="false">IF(R868="","",ROUND(L868-R868,2))</f>
        <v/>
      </c>
      <c r="T868" s="8" t="str">
        <f aca="false">IF(A868="","",IF(S868="","BYPASS",IF(ABS(S868)&lt;=Summary!$B$2,"PASS","FAIL")))</f>
        <v/>
      </c>
      <c r="U868" s="8" t="str">
        <f aca="false">IF(T868="BYPASS",IF(NOT(ISNUMBER(Q868)),"PreV_ETB missing","End_tr_balance missing"),IF(T868="FAIL",IF(AND(ISNUMBER(K868),ISNUMBER(L868),ABS(L868-(K868-IF(ISNUMBER(N868),N868,0)-IF(ISNUMBER(O868),O868,0)+IF(ISNUMBER(P868),P868,0)))&lt;=Summary!$B$2),"Passes using beginning_balance - PreV_ETB differs from beginning_balance",IF(AND(ISNUMBER(O868),O868&lt;0,ABS(L868-(Q868-IF(ISNUMBER(N868),N868,0)+IF(ISNUMBER(P868),P868,0)))&lt;=Summary!$B$2),"Negative realized loss not applied - check sign",IF(R868&lt;0,"Principal paid exceeds prior balance",IF(AND(L868&gt;Q868,NOT(ISNUMBER(P868))),"Balance increased but no Deferred_interest reported",IF(L868&gt;R868,"Reported balance higher than expected (missing increase/OC build)","Reported balance lower than expected (missing decrease)"))))),""))</f>
        <v/>
      </c>
    </row>
    <row r="869" customFormat="false" ht="15" hidden="false" customHeight="false" outlineLevel="0" collapsed="false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9"/>
      <c r="L869" s="9"/>
      <c r="M869" s="9"/>
      <c r="N869" s="9"/>
      <c r="O869" s="9"/>
      <c r="P869" s="9"/>
      <c r="Q869" s="9"/>
      <c r="R869" s="9" t="str">
        <f aca="false">IF(AND(A869&lt;&gt;"",ISNUMBER(Q869),ISNUMBER(L869)),ROUND(Q869-IF(ISNUMBER(N869),N869,0)-IF(ISNUMBER(O869),O869,0)+IF(ISNUMBER(P869),P869,0),2),"")</f>
        <v/>
      </c>
      <c r="S869" s="9" t="str">
        <f aca="false">IF(R869="","",ROUND(L869-R869,2))</f>
        <v/>
      </c>
      <c r="T869" s="8" t="str">
        <f aca="false">IF(A869="","",IF(S869="","BYPASS",IF(ABS(S869)&lt;=Summary!$B$2,"PASS","FAIL")))</f>
        <v/>
      </c>
      <c r="U869" s="8" t="str">
        <f aca="false">IF(T869="BYPASS",IF(NOT(ISNUMBER(Q869)),"PreV_ETB missing","End_tr_balance missing"),IF(T869="FAIL",IF(AND(ISNUMBER(K869),ISNUMBER(L869),ABS(L869-(K869-IF(ISNUMBER(N869),N869,0)-IF(ISNUMBER(O869),O869,0)+IF(ISNUMBER(P869),P869,0)))&lt;=Summary!$B$2),"Passes using beginning_balance - PreV_ETB differs from beginning_balance",IF(AND(ISNUMBER(O869),O869&lt;0,ABS(L869-(Q869-IF(ISNUMBER(N869),N869,0)+IF(ISNUMBER(P869),P869,0)))&lt;=Summary!$B$2),"Negative realized loss not applied - check sign",IF(R869&lt;0,"Principal paid exceeds prior balance",IF(AND(L869&gt;Q869,NOT(ISNUMBER(P869))),"Balance increased but no Deferred_interest reported",IF(L869&gt;R869,"Reported balance higher than expected (missing increase/OC build)","Reported balance lower than expected (missing decrease)"))))),""))</f>
        <v/>
      </c>
    </row>
    <row r="870" customFormat="false" ht="15" hidden="false" customHeight="false" outlineLevel="0" collapsed="false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9"/>
      <c r="L870" s="9"/>
      <c r="M870" s="9"/>
      <c r="N870" s="9"/>
      <c r="O870" s="9"/>
      <c r="P870" s="9"/>
      <c r="Q870" s="9"/>
      <c r="R870" s="9" t="str">
        <f aca="false">IF(AND(A870&lt;&gt;"",ISNUMBER(Q870),ISNUMBER(L870)),ROUND(Q870-IF(ISNUMBER(N870),N870,0)-IF(ISNUMBER(O870),O870,0)+IF(ISNUMBER(P870),P870,0),2),"")</f>
        <v/>
      </c>
      <c r="S870" s="9" t="str">
        <f aca="false">IF(R870="","",ROUND(L870-R870,2))</f>
        <v/>
      </c>
      <c r="T870" s="8" t="str">
        <f aca="false">IF(A870="","",IF(S870="","BYPASS",IF(ABS(S870)&lt;=Summary!$B$2,"PASS","FAIL")))</f>
        <v/>
      </c>
      <c r="U870" s="8" t="str">
        <f aca="false">IF(T870="BYPASS",IF(NOT(ISNUMBER(Q870)),"PreV_ETB missing","End_tr_balance missing"),IF(T870="FAIL",IF(AND(ISNUMBER(K870),ISNUMBER(L870),ABS(L870-(K870-IF(ISNUMBER(N870),N870,0)-IF(ISNUMBER(O870),O870,0)+IF(ISNUMBER(P870),P870,0)))&lt;=Summary!$B$2),"Passes using beginning_balance - PreV_ETB differs from beginning_balance",IF(AND(ISNUMBER(O870),O870&lt;0,ABS(L870-(Q870-IF(ISNUMBER(N870),N870,0)+IF(ISNUMBER(P870),P870,0)))&lt;=Summary!$B$2),"Negative realized loss not applied - check sign",IF(R870&lt;0,"Principal paid exceeds prior balance",IF(AND(L870&gt;Q870,NOT(ISNUMBER(P870))),"Balance increased but no Deferred_interest reported",IF(L870&gt;R870,"Reported balance higher than expected (missing increase/OC build)","Reported balance lower than expected (missing decrease)"))))),""))</f>
        <v/>
      </c>
    </row>
    <row r="871" customFormat="false" ht="15" hidden="false" customHeight="false" outlineLevel="0" collapsed="false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9"/>
      <c r="L871" s="9"/>
      <c r="M871" s="9"/>
      <c r="N871" s="9"/>
      <c r="O871" s="9"/>
      <c r="P871" s="9"/>
      <c r="Q871" s="9"/>
      <c r="R871" s="9" t="str">
        <f aca="false">IF(AND(A871&lt;&gt;"",ISNUMBER(Q871),ISNUMBER(L871)),ROUND(Q871-IF(ISNUMBER(N871),N871,0)-IF(ISNUMBER(O871),O871,0)+IF(ISNUMBER(P871),P871,0),2),"")</f>
        <v/>
      </c>
      <c r="S871" s="9" t="str">
        <f aca="false">IF(R871="","",ROUND(L871-R871,2))</f>
        <v/>
      </c>
      <c r="T871" s="8" t="str">
        <f aca="false">IF(A871="","",IF(S871="","BYPASS",IF(ABS(S871)&lt;=Summary!$B$2,"PASS","FAIL")))</f>
        <v/>
      </c>
      <c r="U871" s="8" t="str">
        <f aca="false">IF(T871="BYPASS",IF(NOT(ISNUMBER(Q871)),"PreV_ETB missing","End_tr_balance missing"),IF(T871="FAIL",IF(AND(ISNUMBER(K871),ISNUMBER(L871),ABS(L871-(K871-IF(ISNUMBER(N871),N871,0)-IF(ISNUMBER(O871),O871,0)+IF(ISNUMBER(P871),P871,0)))&lt;=Summary!$B$2),"Passes using beginning_balance - PreV_ETB differs from beginning_balance",IF(AND(ISNUMBER(O871),O871&lt;0,ABS(L871-(Q871-IF(ISNUMBER(N871),N871,0)+IF(ISNUMBER(P871),P871,0)))&lt;=Summary!$B$2),"Negative realized loss not applied - check sign",IF(R871&lt;0,"Principal paid exceeds prior balance",IF(AND(L871&gt;Q871,NOT(ISNUMBER(P871))),"Balance increased but no Deferred_interest reported",IF(L871&gt;R871,"Reported balance higher than expected (missing increase/OC build)","Reported balance lower than expected (missing decrease)"))))),""))</f>
        <v/>
      </c>
    </row>
    <row r="872" customFormat="false" ht="15" hidden="false" customHeight="false" outlineLevel="0" collapsed="false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9"/>
      <c r="L872" s="9"/>
      <c r="M872" s="9"/>
      <c r="N872" s="9"/>
      <c r="O872" s="9"/>
      <c r="P872" s="9"/>
      <c r="Q872" s="9"/>
      <c r="R872" s="9" t="str">
        <f aca="false">IF(AND(A872&lt;&gt;"",ISNUMBER(Q872),ISNUMBER(L872)),ROUND(Q872-IF(ISNUMBER(N872),N872,0)-IF(ISNUMBER(O872),O872,0)+IF(ISNUMBER(P872),P872,0),2),"")</f>
        <v/>
      </c>
      <c r="S872" s="9" t="str">
        <f aca="false">IF(R872="","",ROUND(L872-R872,2))</f>
        <v/>
      </c>
      <c r="T872" s="8" t="str">
        <f aca="false">IF(A872="","",IF(S872="","BYPASS",IF(ABS(S872)&lt;=Summary!$B$2,"PASS","FAIL")))</f>
        <v/>
      </c>
      <c r="U872" s="8" t="str">
        <f aca="false">IF(T872="BYPASS",IF(NOT(ISNUMBER(Q872)),"PreV_ETB missing","End_tr_balance missing"),IF(T872="FAIL",IF(AND(ISNUMBER(K872),ISNUMBER(L872),ABS(L872-(K872-IF(ISNUMBER(N872),N872,0)-IF(ISNUMBER(O872),O872,0)+IF(ISNUMBER(P872),P872,0)))&lt;=Summary!$B$2),"Passes using beginning_balance - PreV_ETB differs from beginning_balance",IF(AND(ISNUMBER(O872),O872&lt;0,ABS(L872-(Q872-IF(ISNUMBER(N872),N872,0)+IF(ISNUMBER(P872),P872,0)))&lt;=Summary!$B$2),"Negative realized loss not applied - check sign",IF(R872&lt;0,"Principal paid exceeds prior balance",IF(AND(L872&gt;Q872,NOT(ISNUMBER(P872))),"Balance increased but no Deferred_interest reported",IF(L872&gt;R872,"Reported balance higher than expected (missing increase/OC build)","Reported balance lower than expected (missing decrease)"))))),""))</f>
        <v/>
      </c>
    </row>
    <row r="873" customFormat="false" ht="15" hidden="false" customHeight="false" outlineLevel="0" collapsed="false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9"/>
      <c r="L873" s="9"/>
      <c r="M873" s="9"/>
      <c r="N873" s="9"/>
      <c r="O873" s="9"/>
      <c r="P873" s="9"/>
      <c r="Q873" s="9"/>
      <c r="R873" s="9" t="str">
        <f aca="false">IF(AND(A873&lt;&gt;"",ISNUMBER(Q873),ISNUMBER(L873)),ROUND(Q873-IF(ISNUMBER(N873),N873,0)-IF(ISNUMBER(O873),O873,0)+IF(ISNUMBER(P873),P873,0),2),"")</f>
        <v/>
      </c>
      <c r="S873" s="9" t="str">
        <f aca="false">IF(R873="","",ROUND(L873-R873,2))</f>
        <v/>
      </c>
      <c r="T873" s="8" t="str">
        <f aca="false">IF(A873="","",IF(S873="","BYPASS",IF(ABS(S873)&lt;=Summary!$B$2,"PASS","FAIL")))</f>
        <v/>
      </c>
      <c r="U873" s="8" t="str">
        <f aca="false">IF(T873="BYPASS",IF(NOT(ISNUMBER(Q873)),"PreV_ETB missing","End_tr_balance missing"),IF(T873="FAIL",IF(AND(ISNUMBER(K873),ISNUMBER(L873),ABS(L873-(K873-IF(ISNUMBER(N873),N873,0)-IF(ISNUMBER(O873),O873,0)+IF(ISNUMBER(P873),P873,0)))&lt;=Summary!$B$2),"Passes using beginning_balance - PreV_ETB differs from beginning_balance",IF(AND(ISNUMBER(O873),O873&lt;0,ABS(L873-(Q873-IF(ISNUMBER(N873),N873,0)+IF(ISNUMBER(P873),P873,0)))&lt;=Summary!$B$2),"Negative realized loss not applied - check sign",IF(R873&lt;0,"Principal paid exceeds prior balance",IF(AND(L873&gt;Q873,NOT(ISNUMBER(P873))),"Balance increased but no Deferred_interest reported",IF(L873&gt;R873,"Reported balance higher than expected (missing increase/OC build)","Reported balance lower than expected (missing decrease)"))))),""))</f>
        <v/>
      </c>
    </row>
    <row r="874" customFormat="false" ht="15" hidden="false" customHeight="false" outlineLevel="0" collapsed="false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9"/>
      <c r="L874" s="9"/>
      <c r="M874" s="9"/>
      <c r="N874" s="9"/>
      <c r="O874" s="9"/>
      <c r="P874" s="9"/>
      <c r="Q874" s="9"/>
      <c r="R874" s="9" t="str">
        <f aca="false">IF(AND(A874&lt;&gt;"",ISNUMBER(Q874),ISNUMBER(L874)),ROUND(Q874-IF(ISNUMBER(N874),N874,0)-IF(ISNUMBER(O874),O874,0)+IF(ISNUMBER(P874),P874,0),2),"")</f>
        <v/>
      </c>
      <c r="S874" s="9" t="str">
        <f aca="false">IF(R874="","",ROUND(L874-R874,2))</f>
        <v/>
      </c>
      <c r="T874" s="8" t="str">
        <f aca="false">IF(A874="","",IF(S874="","BYPASS",IF(ABS(S874)&lt;=Summary!$B$2,"PASS","FAIL")))</f>
        <v/>
      </c>
      <c r="U874" s="8" t="str">
        <f aca="false">IF(T874="BYPASS",IF(NOT(ISNUMBER(Q874)),"PreV_ETB missing","End_tr_balance missing"),IF(T874="FAIL",IF(AND(ISNUMBER(K874),ISNUMBER(L874),ABS(L874-(K874-IF(ISNUMBER(N874),N874,0)-IF(ISNUMBER(O874),O874,0)+IF(ISNUMBER(P874),P874,0)))&lt;=Summary!$B$2),"Passes using beginning_balance - PreV_ETB differs from beginning_balance",IF(AND(ISNUMBER(O874),O874&lt;0,ABS(L874-(Q874-IF(ISNUMBER(N874),N874,0)+IF(ISNUMBER(P874),P874,0)))&lt;=Summary!$B$2),"Negative realized loss not applied - check sign",IF(R874&lt;0,"Principal paid exceeds prior balance",IF(AND(L874&gt;Q874,NOT(ISNUMBER(P874))),"Balance increased but no Deferred_interest reported",IF(L874&gt;R874,"Reported balance higher than expected (missing increase/OC build)","Reported balance lower than expected (missing decrease)"))))),""))</f>
        <v/>
      </c>
    </row>
    <row r="875" customFormat="false" ht="15" hidden="false" customHeight="false" outlineLevel="0" collapsed="false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9"/>
      <c r="L875" s="9"/>
      <c r="M875" s="9"/>
      <c r="N875" s="9"/>
      <c r="O875" s="9"/>
      <c r="P875" s="9"/>
      <c r="Q875" s="9"/>
      <c r="R875" s="9" t="str">
        <f aca="false">IF(AND(A875&lt;&gt;"",ISNUMBER(Q875),ISNUMBER(L875)),ROUND(Q875-IF(ISNUMBER(N875),N875,0)-IF(ISNUMBER(O875),O875,0)+IF(ISNUMBER(P875),P875,0),2),"")</f>
        <v/>
      </c>
      <c r="S875" s="9" t="str">
        <f aca="false">IF(R875="","",ROUND(L875-R875,2))</f>
        <v/>
      </c>
      <c r="T875" s="8" t="str">
        <f aca="false">IF(A875="","",IF(S875="","BYPASS",IF(ABS(S875)&lt;=Summary!$B$2,"PASS","FAIL")))</f>
        <v/>
      </c>
      <c r="U875" s="8" t="str">
        <f aca="false">IF(T875="BYPASS",IF(NOT(ISNUMBER(Q875)),"PreV_ETB missing","End_tr_balance missing"),IF(T875="FAIL",IF(AND(ISNUMBER(K875),ISNUMBER(L875),ABS(L875-(K875-IF(ISNUMBER(N875),N875,0)-IF(ISNUMBER(O875),O875,0)+IF(ISNUMBER(P875),P875,0)))&lt;=Summary!$B$2),"Passes using beginning_balance - PreV_ETB differs from beginning_balance",IF(AND(ISNUMBER(O875),O875&lt;0,ABS(L875-(Q875-IF(ISNUMBER(N875),N875,0)+IF(ISNUMBER(P875),P875,0)))&lt;=Summary!$B$2),"Negative realized loss not applied - check sign",IF(R875&lt;0,"Principal paid exceeds prior balance",IF(AND(L875&gt;Q875,NOT(ISNUMBER(P875))),"Balance increased but no Deferred_interest reported",IF(L875&gt;R875,"Reported balance higher than expected (missing increase/OC build)","Reported balance lower than expected (missing decrease)"))))),""))</f>
        <v/>
      </c>
    </row>
    <row r="876" customFormat="false" ht="15" hidden="false" customHeight="false" outlineLevel="0" collapsed="false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9"/>
      <c r="L876" s="9"/>
      <c r="M876" s="9"/>
      <c r="N876" s="9"/>
      <c r="O876" s="9"/>
      <c r="P876" s="9"/>
      <c r="Q876" s="9"/>
      <c r="R876" s="9" t="str">
        <f aca="false">IF(AND(A876&lt;&gt;"",ISNUMBER(Q876),ISNUMBER(L876)),ROUND(Q876-IF(ISNUMBER(N876),N876,0)-IF(ISNUMBER(O876),O876,0)+IF(ISNUMBER(P876),P876,0),2),"")</f>
        <v/>
      </c>
      <c r="S876" s="9" t="str">
        <f aca="false">IF(R876="","",ROUND(L876-R876,2))</f>
        <v/>
      </c>
      <c r="T876" s="8" t="str">
        <f aca="false">IF(A876="","",IF(S876="","BYPASS",IF(ABS(S876)&lt;=Summary!$B$2,"PASS","FAIL")))</f>
        <v/>
      </c>
      <c r="U876" s="8" t="str">
        <f aca="false">IF(T876="BYPASS",IF(NOT(ISNUMBER(Q876)),"PreV_ETB missing","End_tr_balance missing"),IF(T876="FAIL",IF(AND(ISNUMBER(K876),ISNUMBER(L876),ABS(L876-(K876-IF(ISNUMBER(N876),N876,0)-IF(ISNUMBER(O876),O876,0)+IF(ISNUMBER(P876),P876,0)))&lt;=Summary!$B$2),"Passes using beginning_balance - PreV_ETB differs from beginning_balance",IF(AND(ISNUMBER(O876),O876&lt;0,ABS(L876-(Q876-IF(ISNUMBER(N876),N876,0)+IF(ISNUMBER(P876),P876,0)))&lt;=Summary!$B$2),"Negative realized loss not applied - check sign",IF(R876&lt;0,"Principal paid exceeds prior balance",IF(AND(L876&gt;Q876,NOT(ISNUMBER(P876))),"Balance increased but no Deferred_interest reported",IF(L876&gt;R876,"Reported balance higher than expected (missing increase/OC build)","Reported balance lower than expected (missing decrease)"))))),""))</f>
        <v/>
      </c>
    </row>
    <row r="877" customFormat="false" ht="15" hidden="false" customHeight="false" outlineLevel="0" collapsed="false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9"/>
      <c r="L877" s="9"/>
      <c r="M877" s="9"/>
      <c r="N877" s="9"/>
      <c r="O877" s="9"/>
      <c r="P877" s="9"/>
      <c r="Q877" s="9"/>
      <c r="R877" s="9" t="str">
        <f aca="false">IF(AND(A877&lt;&gt;"",ISNUMBER(Q877),ISNUMBER(L877)),ROUND(Q877-IF(ISNUMBER(N877),N877,0)-IF(ISNUMBER(O877),O877,0)+IF(ISNUMBER(P877),P877,0),2),"")</f>
        <v/>
      </c>
      <c r="S877" s="9" t="str">
        <f aca="false">IF(R877="","",ROUND(L877-R877,2))</f>
        <v/>
      </c>
      <c r="T877" s="8" t="str">
        <f aca="false">IF(A877="","",IF(S877="","BYPASS",IF(ABS(S877)&lt;=Summary!$B$2,"PASS","FAIL")))</f>
        <v/>
      </c>
      <c r="U877" s="8" t="str">
        <f aca="false">IF(T877="BYPASS",IF(NOT(ISNUMBER(Q877)),"PreV_ETB missing","End_tr_balance missing"),IF(T877="FAIL",IF(AND(ISNUMBER(K877),ISNUMBER(L877),ABS(L877-(K877-IF(ISNUMBER(N877),N877,0)-IF(ISNUMBER(O877),O877,0)+IF(ISNUMBER(P877),P877,0)))&lt;=Summary!$B$2),"Passes using beginning_balance - PreV_ETB differs from beginning_balance",IF(AND(ISNUMBER(O877),O877&lt;0,ABS(L877-(Q877-IF(ISNUMBER(N877),N877,0)+IF(ISNUMBER(P877),P877,0)))&lt;=Summary!$B$2),"Negative realized loss not applied - check sign",IF(R877&lt;0,"Principal paid exceeds prior balance",IF(AND(L877&gt;Q877,NOT(ISNUMBER(P877))),"Balance increased but no Deferred_interest reported",IF(L877&gt;R877,"Reported balance higher than expected (missing increase/OC build)","Reported balance lower than expected (missing decrease)"))))),""))</f>
        <v/>
      </c>
    </row>
    <row r="878" customFormat="false" ht="15" hidden="false" customHeight="false" outlineLevel="0" collapsed="false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9"/>
      <c r="L878" s="9"/>
      <c r="M878" s="9"/>
      <c r="N878" s="9"/>
      <c r="O878" s="9"/>
      <c r="P878" s="9"/>
      <c r="Q878" s="9"/>
      <c r="R878" s="9" t="str">
        <f aca="false">IF(AND(A878&lt;&gt;"",ISNUMBER(Q878),ISNUMBER(L878)),ROUND(Q878-IF(ISNUMBER(N878),N878,0)-IF(ISNUMBER(O878),O878,0)+IF(ISNUMBER(P878),P878,0),2),"")</f>
        <v/>
      </c>
      <c r="S878" s="9" t="str">
        <f aca="false">IF(R878="","",ROUND(L878-R878,2))</f>
        <v/>
      </c>
      <c r="T878" s="8" t="str">
        <f aca="false">IF(A878="","",IF(S878="","BYPASS",IF(ABS(S878)&lt;=Summary!$B$2,"PASS","FAIL")))</f>
        <v/>
      </c>
      <c r="U878" s="8" t="str">
        <f aca="false">IF(T878="BYPASS",IF(NOT(ISNUMBER(Q878)),"PreV_ETB missing","End_tr_balance missing"),IF(T878="FAIL",IF(AND(ISNUMBER(K878),ISNUMBER(L878),ABS(L878-(K878-IF(ISNUMBER(N878),N878,0)-IF(ISNUMBER(O878),O878,0)+IF(ISNUMBER(P878),P878,0)))&lt;=Summary!$B$2),"Passes using beginning_balance - PreV_ETB differs from beginning_balance",IF(AND(ISNUMBER(O878),O878&lt;0,ABS(L878-(Q878-IF(ISNUMBER(N878),N878,0)+IF(ISNUMBER(P878),P878,0)))&lt;=Summary!$B$2),"Negative realized loss not applied - check sign",IF(R878&lt;0,"Principal paid exceeds prior balance",IF(AND(L878&gt;Q878,NOT(ISNUMBER(P878))),"Balance increased but no Deferred_interest reported",IF(L878&gt;R878,"Reported balance higher than expected (missing increase/OC build)","Reported balance lower than expected (missing decrease)"))))),""))</f>
        <v/>
      </c>
    </row>
    <row r="879" customFormat="false" ht="15" hidden="false" customHeight="false" outlineLevel="0" collapsed="false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9"/>
      <c r="L879" s="9"/>
      <c r="M879" s="9"/>
      <c r="N879" s="9"/>
      <c r="O879" s="9"/>
      <c r="P879" s="9"/>
      <c r="Q879" s="9"/>
      <c r="R879" s="9" t="str">
        <f aca="false">IF(AND(A879&lt;&gt;"",ISNUMBER(Q879),ISNUMBER(L879)),ROUND(Q879-IF(ISNUMBER(N879),N879,0)-IF(ISNUMBER(O879),O879,0)+IF(ISNUMBER(P879),P879,0),2),"")</f>
        <v/>
      </c>
      <c r="S879" s="9" t="str">
        <f aca="false">IF(R879="","",ROUND(L879-R879,2))</f>
        <v/>
      </c>
      <c r="T879" s="8" t="str">
        <f aca="false">IF(A879="","",IF(S879="","BYPASS",IF(ABS(S879)&lt;=Summary!$B$2,"PASS","FAIL")))</f>
        <v/>
      </c>
      <c r="U879" s="8" t="str">
        <f aca="false">IF(T879="BYPASS",IF(NOT(ISNUMBER(Q879)),"PreV_ETB missing","End_tr_balance missing"),IF(T879="FAIL",IF(AND(ISNUMBER(K879),ISNUMBER(L879),ABS(L879-(K879-IF(ISNUMBER(N879),N879,0)-IF(ISNUMBER(O879),O879,0)+IF(ISNUMBER(P879),P879,0)))&lt;=Summary!$B$2),"Passes using beginning_balance - PreV_ETB differs from beginning_balance",IF(AND(ISNUMBER(O879),O879&lt;0,ABS(L879-(Q879-IF(ISNUMBER(N879),N879,0)+IF(ISNUMBER(P879),P879,0)))&lt;=Summary!$B$2),"Negative realized loss not applied - check sign",IF(R879&lt;0,"Principal paid exceeds prior balance",IF(AND(L879&gt;Q879,NOT(ISNUMBER(P879))),"Balance increased but no Deferred_interest reported",IF(L879&gt;R879,"Reported balance higher than expected (missing increase/OC build)","Reported balance lower than expected (missing decrease)"))))),""))</f>
        <v/>
      </c>
    </row>
    <row r="880" customFormat="false" ht="15" hidden="false" customHeight="false" outlineLevel="0" collapsed="false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9"/>
      <c r="L880" s="9"/>
      <c r="M880" s="9"/>
      <c r="N880" s="9"/>
      <c r="O880" s="9"/>
      <c r="P880" s="9"/>
      <c r="Q880" s="9"/>
      <c r="R880" s="9" t="str">
        <f aca="false">IF(AND(A880&lt;&gt;"",ISNUMBER(Q880),ISNUMBER(L880)),ROUND(Q880-IF(ISNUMBER(N880),N880,0)-IF(ISNUMBER(O880),O880,0)+IF(ISNUMBER(P880),P880,0),2),"")</f>
        <v/>
      </c>
      <c r="S880" s="9" t="str">
        <f aca="false">IF(R880="","",ROUND(L880-R880,2))</f>
        <v/>
      </c>
      <c r="T880" s="8" t="str">
        <f aca="false">IF(A880="","",IF(S880="","BYPASS",IF(ABS(S880)&lt;=Summary!$B$2,"PASS","FAIL")))</f>
        <v/>
      </c>
      <c r="U880" s="8" t="str">
        <f aca="false">IF(T880="BYPASS",IF(NOT(ISNUMBER(Q880)),"PreV_ETB missing","End_tr_balance missing"),IF(T880="FAIL",IF(AND(ISNUMBER(K880),ISNUMBER(L880),ABS(L880-(K880-IF(ISNUMBER(N880),N880,0)-IF(ISNUMBER(O880),O880,0)+IF(ISNUMBER(P880),P880,0)))&lt;=Summary!$B$2),"Passes using beginning_balance - PreV_ETB differs from beginning_balance",IF(AND(ISNUMBER(O880),O880&lt;0,ABS(L880-(Q880-IF(ISNUMBER(N880),N880,0)+IF(ISNUMBER(P880),P880,0)))&lt;=Summary!$B$2),"Negative realized loss not applied - check sign",IF(R880&lt;0,"Principal paid exceeds prior balance",IF(AND(L880&gt;Q880,NOT(ISNUMBER(P880))),"Balance increased but no Deferred_interest reported",IF(L880&gt;R880,"Reported balance higher than expected (missing increase/OC build)","Reported balance lower than expected (missing decrease)"))))),""))</f>
        <v/>
      </c>
    </row>
    <row r="881" customFormat="false" ht="15" hidden="false" customHeight="false" outlineLevel="0" collapsed="false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9"/>
      <c r="L881" s="9"/>
      <c r="M881" s="9"/>
      <c r="N881" s="9"/>
      <c r="O881" s="9"/>
      <c r="P881" s="9"/>
      <c r="Q881" s="9"/>
      <c r="R881" s="9" t="str">
        <f aca="false">IF(AND(A881&lt;&gt;"",ISNUMBER(Q881),ISNUMBER(L881)),ROUND(Q881-IF(ISNUMBER(N881),N881,0)-IF(ISNUMBER(O881),O881,0)+IF(ISNUMBER(P881),P881,0),2),"")</f>
        <v/>
      </c>
      <c r="S881" s="9" t="str">
        <f aca="false">IF(R881="","",ROUND(L881-R881,2))</f>
        <v/>
      </c>
      <c r="T881" s="8" t="str">
        <f aca="false">IF(A881="","",IF(S881="","BYPASS",IF(ABS(S881)&lt;=Summary!$B$2,"PASS","FAIL")))</f>
        <v/>
      </c>
      <c r="U881" s="8" t="str">
        <f aca="false">IF(T881="BYPASS",IF(NOT(ISNUMBER(Q881)),"PreV_ETB missing","End_tr_balance missing"),IF(T881="FAIL",IF(AND(ISNUMBER(K881),ISNUMBER(L881),ABS(L881-(K881-IF(ISNUMBER(N881),N881,0)-IF(ISNUMBER(O881),O881,0)+IF(ISNUMBER(P881),P881,0)))&lt;=Summary!$B$2),"Passes using beginning_balance - PreV_ETB differs from beginning_balance",IF(AND(ISNUMBER(O881),O881&lt;0,ABS(L881-(Q881-IF(ISNUMBER(N881),N881,0)+IF(ISNUMBER(P881),P881,0)))&lt;=Summary!$B$2),"Negative realized loss not applied - check sign",IF(R881&lt;0,"Principal paid exceeds prior balance",IF(AND(L881&gt;Q881,NOT(ISNUMBER(P881))),"Balance increased but no Deferred_interest reported",IF(L881&gt;R881,"Reported balance higher than expected (missing increase/OC build)","Reported balance lower than expected (missing decrease)"))))),""))</f>
        <v/>
      </c>
    </row>
    <row r="882" customFormat="false" ht="15" hidden="false" customHeight="false" outlineLevel="0" collapsed="false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9"/>
      <c r="L882" s="9"/>
      <c r="M882" s="9"/>
      <c r="N882" s="9"/>
      <c r="O882" s="9"/>
      <c r="P882" s="9"/>
      <c r="Q882" s="9"/>
      <c r="R882" s="9" t="str">
        <f aca="false">IF(AND(A882&lt;&gt;"",ISNUMBER(Q882),ISNUMBER(L882)),ROUND(Q882-IF(ISNUMBER(N882),N882,0)-IF(ISNUMBER(O882),O882,0)+IF(ISNUMBER(P882),P882,0),2),"")</f>
        <v/>
      </c>
      <c r="S882" s="9" t="str">
        <f aca="false">IF(R882="","",ROUND(L882-R882,2))</f>
        <v/>
      </c>
      <c r="T882" s="8" t="str">
        <f aca="false">IF(A882="","",IF(S882="","BYPASS",IF(ABS(S882)&lt;=Summary!$B$2,"PASS","FAIL")))</f>
        <v/>
      </c>
      <c r="U882" s="8" t="str">
        <f aca="false">IF(T882="BYPASS",IF(NOT(ISNUMBER(Q882)),"PreV_ETB missing","End_tr_balance missing"),IF(T882="FAIL",IF(AND(ISNUMBER(K882),ISNUMBER(L882),ABS(L882-(K882-IF(ISNUMBER(N882),N882,0)-IF(ISNUMBER(O882),O882,0)+IF(ISNUMBER(P882),P882,0)))&lt;=Summary!$B$2),"Passes using beginning_balance - PreV_ETB differs from beginning_balance",IF(AND(ISNUMBER(O882),O882&lt;0,ABS(L882-(Q882-IF(ISNUMBER(N882),N882,0)+IF(ISNUMBER(P882),P882,0)))&lt;=Summary!$B$2),"Negative realized loss not applied - check sign",IF(R882&lt;0,"Principal paid exceeds prior balance",IF(AND(L882&gt;Q882,NOT(ISNUMBER(P882))),"Balance increased but no Deferred_interest reported",IF(L882&gt;R882,"Reported balance higher than expected (missing increase/OC build)","Reported balance lower than expected (missing decrease)"))))),""))</f>
        <v/>
      </c>
    </row>
    <row r="883" customFormat="false" ht="15" hidden="false" customHeight="false" outlineLevel="0" collapsed="false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9"/>
      <c r="L883" s="9"/>
      <c r="M883" s="9"/>
      <c r="N883" s="9"/>
      <c r="O883" s="9"/>
      <c r="P883" s="9"/>
      <c r="Q883" s="9"/>
      <c r="R883" s="9" t="str">
        <f aca="false">IF(AND(A883&lt;&gt;"",ISNUMBER(Q883),ISNUMBER(L883)),ROUND(Q883-IF(ISNUMBER(N883),N883,0)-IF(ISNUMBER(O883),O883,0)+IF(ISNUMBER(P883),P883,0),2),"")</f>
        <v/>
      </c>
      <c r="S883" s="9" t="str">
        <f aca="false">IF(R883="","",ROUND(L883-R883,2))</f>
        <v/>
      </c>
      <c r="T883" s="8" t="str">
        <f aca="false">IF(A883="","",IF(S883="","BYPASS",IF(ABS(S883)&lt;=Summary!$B$2,"PASS","FAIL")))</f>
        <v/>
      </c>
      <c r="U883" s="8" t="str">
        <f aca="false">IF(T883="BYPASS",IF(NOT(ISNUMBER(Q883)),"PreV_ETB missing","End_tr_balance missing"),IF(T883="FAIL",IF(AND(ISNUMBER(K883),ISNUMBER(L883),ABS(L883-(K883-IF(ISNUMBER(N883),N883,0)-IF(ISNUMBER(O883),O883,0)+IF(ISNUMBER(P883),P883,0)))&lt;=Summary!$B$2),"Passes using beginning_balance - PreV_ETB differs from beginning_balance",IF(AND(ISNUMBER(O883),O883&lt;0,ABS(L883-(Q883-IF(ISNUMBER(N883),N883,0)+IF(ISNUMBER(P883),P883,0)))&lt;=Summary!$B$2),"Negative realized loss not applied - check sign",IF(R883&lt;0,"Principal paid exceeds prior balance",IF(AND(L883&gt;Q883,NOT(ISNUMBER(P883))),"Balance increased but no Deferred_interest reported",IF(L883&gt;R883,"Reported balance higher than expected (missing increase/OC build)","Reported balance lower than expected (missing decrease)"))))),""))</f>
        <v/>
      </c>
    </row>
    <row r="884" customFormat="false" ht="15" hidden="false" customHeight="false" outlineLevel="0" collapsed="false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9"/>
      <c r="L884" s="9"/>
      <c r="M884" s="9"/>
      <c r="N884" s="9"/>
      <c r="O884" s="9"/>
      <c r="P884" s="9"/>
      <c r="Q884" s="9"/>
      <c r="R884" s="9" t="str">
        <f aca="false">IF(AND(A884&lt;&gt;"",ISNUMBER(Q884),ISNUMBER(L884)),ROUND(Q884-IF(ISNUMBER(N884),N884,0)-IF(ISNUMBER(O884),O884,0)+IF(ISNUMBER(P884),P884,0),2),"")</f>
        <v/>
      </c>
      <c r="S884" s="9" t="str">
        <f aca="false">IF(R884="","",ROUND(L884-R884,2))</f>
        <v/>
      </c>
      <c r="T884" s="8" t="str">
        <f aca="false">IF(A884="","",IF(S884="","BYPASS",IF(ABS(S884)&lt;=Summary!$B$2,"PASS","FAIL")))</f>
        <v/>
      </c>
      <c r="U884" s="8" t="str">
        <f aca="false">IF(T884="BYPASS",IF(NOT(ISNUMBER(Q884)),"PreV_ETB missing","End_tr_balance missing"),IF(T884="FAIL",IF(AND(ISNUMBER(K884),ISNUMBER(L884),ABS(L884-(K884-IF(ISNUMBER(N884),N884,0)-IF(ISNUMBER(O884),O884,0)+IF(ISNUMBER(P884),P884,0)))&lt;=Summary!$B$2),"Passes using beginning_balance - PreV_ETB differs from beginning_balance",IF(AND(ISNUMBER(O884),O884&lt;0,ABS(L884-(Q884-IF(ISNUMBER(N884),N884,0)+IF(ISNUMBER(P884),P884,0)))&lt;=Summary!$B$2),"Negative realized loss not applied - check sign",IF(R884&lt;0,"Principal paid exceeds prior balance",IF(AND(L884&gt;Q884,NOT(ISNUMBER(P884))),"Balance increased but no Deferred_interest reported",IF(L884&gt;R884,"Reported balance higher than expected (missing increase/OC build)","Reported balance lower than expected (missing decrease)"))))),""))</f>
        <v/>
      </c>
    </row>
    <row r="885" customFormat="false" ht="15" hidden="false" customHeight="false" outlineLevel="0" collapsed="false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9"/>
      <c r="L885" s="9"/>
      <c r="M885" s="9"/>
      <c r="N885" s="9"/>
      <c r="O885" s="9"/>
      <c r="P885" s="9"/>
      <c r="Q885" s="9"/>
      <c r="R885" s="9" t="str">
        <f aca="false">IF(AND(A885&lt;&gt;"",ISNUMBER(Q885),ISNUMBER(L885)),ROUND(Q885-IF(ISNUMBER(N885),N885,0)-IF(ISNUMBER(O885),O885,0)+IF(ISNUMBER(P885),P885,0),2),"")</f>
        <v/>
      </c>
      <c r="S885" s="9" t="str">
        <f aca="false">IF(R885="","",ROUND(L885-R885,2))</f>
        <v/>
      </c>
      <c r="T885" s="8" t="str">
        <f aca="false">IF(A885="","",IF(S885="","BYPASS",IF(ABS(S885)&lt;=Summary!$B$2,"PASS","FAIL")))</f>
        <v/>
      </c>
      <c r="U885" s="8" t="str">
        <f aca="false">IF(T885="BYPASS",IF(NOT(ISNUMBER(Q885)),"PreV_ETB missing","End_tr_balance missing"),IF(T885="FAIL",IF(AND(ISNUMBER(K885),ISNUMBER(L885),ABS(L885-(K885-IF(ISNUMBER(N885),N885,0)-IF(ISNUMBER(O885),O885,0)+IF(ISNUMBER(P885),P885,0)))&lt;=Summary!$B$2),"Passes using beginning_balance - PreV_ETB differs from beginning_balance",IF(AND(ISNUMBER(O885),O885&lt;0,ABS(L885-(Q885-IF(ISNUMBER(N885),N885,0)+IF(ISNUMBER(P885),P885,0)))&lt;=Summary!$B$2),"Negative realized loss not applied - check sign",IF(R885&lt;0,"Principal paid exceeds prior balance",IF(AND(L885&gt;Q885,NOT(ISNUMBER(P885))),"Balance increased but no Deferred_interest reported",IF(L885&gt;R885,"Reported balance higher than expected (missing increase/OC build)","Reported balance lower than expected (missing decrease)"))))),""))</f>
        <v/>
      </c>
    </row>
    <row r="886" customFormat="false" ht="15" hidden="false" customHeight="false" outlineLevel="0" collapsed="false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9"/>
      <c r="L886" s="9"/>
      <c r="M886" s="9"/>
      <c r="N886" s="9"/>
      <c r="O886" s="9"/>
      <c r="P886" s="9"/>
      <c r="Q886" s="9"/>
      <c r="R886" s="9" t="str">
        <f aca="false">IF(AND(A886&lt;&gt;"",ISNUMBER(Q886),ISNUMBER(L886)),ROUND(Q886-IF(ISNUMBER(N886),N886,0)-IF(ISNUMBER(O886),O886,0)+IF(ISNUMBER(P886),P886,0),2),"")</f>
        <v/>
      </c>
      <c r="S886" s="9" t="str">
        <f aca="false">IF(R886="","",ROUND(L886-R886,2))</f>
        <v/>
      </c>
      <c r="T886" s="8" t="str">
        <f aca="false">IF(A886="","",IF(S886="","BYPASS",IF(ABS(S886)&lt;=Summary!$B$2,"PASS","FAIL")))</f>
        <v/>
      </c>
      <c r="U886" s="8" t="str">
        <f aca="false">IF(T886="BYPASS",IF(NOT(ISNUMBER(Q886)),"PreV_ETB missing","End_tr_balance missing"),IF(T886="FAIL",IF(AND(ISNUMBER(K886),ISNUMBER(L886),ABS(L886-(K886-IF(ISNUMBER(N886),N886,0)-IF(ISNUMBER(O886),O886,0)+IF(ISNUMBER(P886),P886,0)))&lt;=Summary!$B$2),"Passes using beginning_balance - PreV_ETB differs from beginning_balance",IF(AND(ISNUMBER(O886),O886&lt;0,ABS(L886-(Q886-IF(ISNUMBER(N886),N886,0)+IF(ISNUMBER(P886),P886,0)))&lt;=Summary!$B$2),"Negative realized loss not applied - check sign",IF(R886&lt;0,"Principal paid exceeds prior balance",IF(AND(L886&gt;Q886,NOT(ISNUMBER(P886))),"Balance increased but no Deferred_interest reported",IF(L886&gt;R886,"Reported balance higher than expected (missing increase/OC build)","Reported balance lower than expected (missing decrease)"))))),""))</f>
        <v/>
      </c>
    </row>
    <row r="887" customFormat="false" ht="15" hidden="false" customHeight="false" outlineLevel="0" collapsed="false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9"/>
      <c r="L887" s="9"/>
      <c r="M887" s="9"/>
      <c r="N887" s="9"/>
      <c r="O887" s="9"/>
      <c r="P887" s="9"/>
      <c r="Q887" s="9"/>
      <c r="R887" s="9" t="str">
        <f aca="false">IF(AND(A887&lt;&gt;"",ISNUMBER(Q887),ISNUMBER(L887)),ROUND(Q887-IF(ISNUMBER(N887),N887,0)-IF(ISNUMBER(O887),O887,0)+IF(ISNUMBER(P887),P887,0),2),"")</f>
        <v/>
      </c>
      <c r="S887" s="9" t="str">
        <f aca="false">IF(R887="","",ROUND(L887-R887,2))</f>
        <v/>
      </c>
      <c r="T887" s="8" t="str">
        <f aca="false">IF(A887="","",IF(S887="","BYPASS",IF(ABS(S887)&lt;=Summary!$B$2,"PASS","FAIL")))</f>
        <v/>
      </c>
      <c r="U887" s="8" t="str">
        <f aca="false">IF(T887="BYPASS",IF(NOT(ISNUMBER(Q887)),"PreV_ETB missing","End_tr_balance missing"),IF(T887="FAIL",IF(AND(ISNUMBER(K887),ISNUMBER(L887),ABS(L887-(K887-IF(ISNUMBER(N887),N887,0)-IF(ISNUMBER(O887),O887,0)+IF(ISNUMBER(P887),P887,0)))&lt;=Summary!$B$2),"Passes using beginning_balance - PreV_ETB differs from beginning_balance",IF(AND(ISNUMBER(O887),O887&lt;0,ABS(L887-(Q887-IF(ISNUMBER(N887),N887,0)+IF(ISNUMBER(P887),P887,0)))&lt;=Summary!$B$2),"Negative realized loss not applied - check sign",IF(R887&lt;0,"Principal paid exceeds prior balance",IF(AND(L887&gt;Q887,NOT(ISNUMBER(P887))),"Balance increased but no Deferred_interest reported",IF(L887&gt;R887,"Reported balance higher than expected (missing increase/OC build)","Reported balance lower than expected (missing decrease)"))))),""))</f>
        <v/>
      </c>
    </row>
    <row r="888" customFormat="false" ht="15" hidden="false" customHeight="false" outlineLevel="0" collapsed="false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9"/>
      <c r="L888" s="9"/>
      <c r="M888" s="9"/>
      <c r="N888" s="9"/>
      <c r="O888" s="9"/>
      <c r="P888" s="9"/>
      <c r="Q888" s="9"/>
      <c r="R888" s="9" t="str">
        <f aca="false">IF(AND(A888&lt;&gt;"",ISNUMBER(Q888),ISNUMBER(L888)),ROUND(Q888-IF(ISNUMBER(N888),N888,0)-IF(ISNUMBER(O888),O888,0)+IF(ISNUMBER(P888),P888,0),2),"")</f>
        <v/>
      </c>
      <c r="S888" s="9" t="str">
        <f aca="false">IF(R888="","",ROUND(L888-R888,2))</f>
        <v/>
      </c>
      <c r="T888" s="8" t="str">
        <f aca="false">IF(A888="","",IF(S888="","BYPASS",IF(ABS(S888)&lt;=Summary!$B$2,"PASS","FAIL")))</f>
        <v/>
      </c>
      <c r="U888" s="8" t="str">
        <f aca="false">IF(T888="BYPASS",IF(NOT(ISNUMBER(Q888)),"PreV_ETB missing","End_tr_balance missing"),IF(T888="FAIL",IF(AND(ISNUMBER(K888),ISNUMBER(L888),ABS(L888-(K888-IF(ISNUMBER(N888),N888,0)-IF(ISNUMBER(O888),O888,0)+IF(ISNUMBER(P888),P888,0)))&lt;=Summary!$B$2),"Passes using beginning_balance - PreV_ETB differs from beginning_balance",IF(AND(ISNUMBER(O888),O888&lt;0,ABS(L888-(Q888-IF(ISNUMBER(N888),N888,0)+IF(ISNUMBER(P888),P888,0)))&lt;=Summary!$B$2),"Negative realized loss not applied - check sign",IF(R888&lt;0,"Principal paid exceeds prior balance",IF(AND(L888&gt;Q888,NOT(ISNUMBER(P888))),"Balance increased but no Deferred_interest reported",IF(L888&gt;R888,"Reported balance higher than expected (missing increase/OC build)","Reported balance lower than expected (missing decrease)"))))),""))</f>
        <v/>
      </c>
    </row>
    <row r="889" customFormat="false" ht="15" hidden="false" customHeight="false" outlineLevel="0" collapsed="false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9"/>
      <c r="L889" s="9"/>
      <c r="M889" s="9"/>
      <c r="N889" s="9"/>
      <c r="O889" s="9"/>
      <c r="P889" s="9"/>
      <c r="Q889" s="9"/>
      <c r="R889" s="9" t="str">
        <f aca="false">IF(AND(A889&lt;&gt;"",ISNUMBER(Q889),ISNUMBER(L889)),ROUND(Q889-IF(ISNUMBER(N889),N889,0)-IF(ISNUMBER(O889),O889,0)+IF(ISNUMBER(P889),P889,0),2),"")</f>
        <v/>
      </c>
      <c r="S889" s="9" t="str">
        <f aca="false">IF(R889="","",ROUND(L889-R889,2))</f>
        <v/>
      </c>
      <c r="T889" s="8" t="str">
        <f aca="false">IF(A889="","",IF(S889="","BYPASS",IF(ABS(S889)&lt;=Summary!$B$2,"PASS","FAIL")))</f>
        <v/>
      </c>
      <c r="U889" s="8" t="str">
        <f aca="false">IF(T889="BYPASS",IF(NOT(ISNUMBER(Q889)),"PreV_ETB missing","End_tr_balance missing"),IF(T889="FAIL",IF(AND(ISNUMBER(K889),ISNUMBER(L889),ABS(L889-(K889-IF(ISNUMBER(N889),N889,0)-IF(ISNUMBER(O889),O889,0)+IF(ISNUMBER(P889),P889,0)))&lt;=Summary!$B$2),"Passes using beginning_balance - PreV_ETB differs from beginning_balance",IF(AND(ISNUMBER(O889),O889&lt;0,ABS(L889-(Q889-IF(ISNUMBER(N889),N889,0)+IF(ISNUMBER(P889),P889,0)))&lt;=Summary!$B$2),"Negative realized loss not applied - check sign",IF(R889&lt;0,"Principal paid exceeds prior balance",IF(AND(L889&gt;Q889,NOT(ISNUMBER(P889))),"Balance increased but no Deferred_interest reported",IF(L889&gt;R889,"Reported balance higher than expected (missing increase/OC build)","Reported balance lower than expected (missing decrease)"))))),""))</f>
        <v/>
      </c>
    </row>
    <row r="890" customFormat="false" ht="15" hidden="false" customHeight="false" outlineLevel="0" collapsed="false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9"/>
      <c r="L890" s="9"/>
      <c r="M890" s="9"/>
      <c r="N890" s="9"/>
      <c r="O890" s="9"/>
      <c r="P890" s="9"/>
      <c r="Q890" s="9"/>
      <c r="R890" s="9" t="str">
        <f aca="false">IF(AND(A890&lt;&gt;"",ISNUMBER(Q890),ISNUMBER(L890)),ROUND(Q890-IF(ISNUMBER(N890),N890,0)-IF(ISNUMBER(O890),O890,0)+IF(ISNUMBER(P890),P890,0),2),"")</f>
        <v/>
      </c>
      <c r="S890" s="9" t="str">
        <f aca="false">IF(R890="","",ROUND(L890-R890,2))</f>
        <v/>
      </c>
      <c r="T890" s="8" t="str">
        <f aca="false">IF(A890="","",IF(S890="","BYPASS",IF(ABS(S890)&lt;=Summary!$B$2,"PASS","FAIL")))</f>
        <v/>
      </c>
      <c r="U890" s="8" t="str">
        <f aca="false">IF(T890="BYPASS",IF(NOT(ISNUMBER(Q890)),"PreV_ETB missing","End_tr_balance missing"),IF(T890="FAIL",IF(AND(ISNUMBER(K890),ISNUMBER(L890),ABS(L890-(K890-IF(ISNUMBER(N890),N890,0)-IF(ISNUMBER(O890),O890,0)+IF(ISNUMBER(P890),P890,0)))&lt;=Summary!$B$2),"Passes using beginning_balance - PreV_ETB differs from beginning_balance",IF(AND(ISNUMBER(O890),O890&lt;0,ABS(L890-(Q890-IF(ISNUMBER(N890),N890,0)+IF(ISNUMBER(P890),P890,0)))&lt;=Summary!$B$2),"Negative realized loss not applied - check sign",IF(R890&lt;0,"Principal paid exceeds prior balance",IF(AND(L890&gt;Q890,NOT(ISNUMBER(P890))),"Balance increased but no Deferred_interest reported",IF(L890&gt;R890,"Reported balance higher than expected (missing increase/OC build)","Reported balance lower than expected (missing decrease)"))))),""))</f>
        <v/>
      </c>
    </row>
    <row r="891" customFormat="false" ht="15" hidden="false" customHeight="false" outlineLevel="0" collapsed="false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9"/>
      <c r="L891" s="9"/>
      <c r="M891" s="9"/>
      <c r="N891" s="9"/>
      <c r="O891" s="9"/>
      <c r="P891" s="9"/>
      <c r="Q891" s="9"/>
      <c r="R891" s="9" t="str">
        <f aca="false">IF(AND(A891&lt;&gt;"",ISNUMBER(Q891),ISNUMBER(L891)),ROUND(Q891-IF(ISNUMBER(N891),N891,0)-IF(ISNUMBER(O891),O891,0)+IF(ISNUMBER(P891),P891,0),2),"")</f>
        <v/>
      </c>
      <c r="S891" s="9" t="str">
        <f aca="false">IF(R891="","",ROUND(L891-R891,2))</f>
        <v/>
      </c>
      <c r="T891" s="8" t="str">
        <f aca="false">IF(A891="","",IF(S891="","BYPASS",IF(ABS(S891)&lt;=Summary!$B$2,"PASS","FAIL")))</f>
        <v/>
      </c>
      <c r="U891" s="8" t="str">
        <f aca="false">IF(T891="BYPASS",IF(NOT(ISNUMBER(Q891)),"PreV_ETB missing","End_tr_balance missing"),IF(T891="FAIL",IF(AND(ISNUMBER(K891),ISNUMBER(L891),ABS(L891-(K891-IF(ISNUMBER(N891),N891,0)-IF(ISNUMBER(O891),O891,0)+IF(ISNUMBER(P891),P891,0)))&lt;=Summary!$B$2),"Passes using beginning_balance - PreV_ETB differs from beginning_balance",IF(AND(ISNUMBER(O891),O891&lt;0,ABS(L891-(Q891-IF(ISNUMBER(N891),N891,0)+IF(ISNUMBER(P891),P891,0)))&lt;=Summary!$B$2),"Negative realized loss not applied - check sign",IF(R891&lt;0,"Principal paid exceeds prior balance",IF(AND(L891&gt;Q891,NOT(ISNUMBER(P891))),"Balance increased but no Deferred_interest reported",IF(L891&gt;R891,"Reported balance higher than expected (missing increase/OC build)","Reported balance lower than expected (missing decrease)"))))),""))</f>
        <v/>
      </c>
    </row>
    <row r="892" customFormat="false" ht="15" hidden="false" customHeight="false" outlineLevel="0" collapsed="false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9"/>
      <c r="L892" s="9"/>
      <c r="M892" s="9"/>
      <c r="N892" s="9"/>
      <c r="O892" s="9"/>
      <c r="P892" s="9"/>
      <c r="Q892" s="9"/>
      <c r="R892" s="9" t="str">
        <f aca="false">IF(AND(A892&lt;&gt;"",ISNUMBER(Q892),ISNUMBER(L892)),ROUND(Q892-IF(ISNUMBER(N892),N892,0)-IF(ISNUMBER(O892),O892,0)+IF(ISNUMBER(P892),P892,0),2),"")</f>
        <v/>
      </c>
      <c r="S892" s="9" t="str">
        <f aca="false">IF(R892="","",ROUND(L892-R892,2))</f>
        <v/>
      </c>
      <c r="T892" s="8" t="str">
        <f aca="false">IF(A892="","",IF(S892="","BYPASS",IF(ABS(S892)&lt;=Summary!$B$2,"PASS","FAIL")))</f>
        <v/>
      </c>
      <c r="U892" s="8" t="str">
        <f aca="false">IF(T892="BYPASS",IF(NOT(ISNUMBER(Q892)),"PreV_ETB missing","End_tr_balance missing"),IF(T892="FAIL",IF(AND(ISNUMBER(K892),ISNUMBER(L892),ABS(L892-(K892-IF(ISNUMBER(N892),N892,0)-IF(ISNUMBER(O892),O892,0)+IF(ISNUMBER(P892),P892,0)))&lt;=Summary!$B$2),"Passes using beginning_balance - PreV_ETB differs from beginning_balance",IF(AND(ISNUMBER(O892),O892&lt;0,ABS(L892-(Q892-IF(ISNUMBER(N892),N892,0)+IF(ISNUMBER(P892),P892,0)))&lt;=Summary!$B$2),"Negative realized loss not applied - check sign",IF(R892&lt;0,"Principal paid exceeds prior balance",IF(AND(L892&gt;Q892,NOT(ISNUMBER(P892))),"Balance increased but no Deferred_interest reported",IF(L892&gt;R892,"Reported balance higher than expected (missing increase/OC build)","Reported balance lower than expected (missing decrease)"))))),""))</f>
        <v/>
      </c>
    </row>
    <row r="893" customFormat="false" ht="15" hidden="false" customHeight="false" outlineLevel="0" collapsed="false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9"/>
      <c r="L893" s="9"/>
      <c r="M893" s="9"/>
      <c r="N893" s="9"/>
      <c r="O893" s="9"/>
      <c r="P893" s="9"/>
      <c r="Q893" s="9"/>
      <c r="R893" s="9" t="str">
        <f aca="false">IF(AND(A893&lt;&gt;"",ISNUMBER(Q893),ISNUMBER(L893)),ROUND(Q893-IF(ISNUMBER(N893),N893,0)-IF(ISNUMBER(O893),O893,0)+IF(ISNUMBER(P893),P893,0),2),"")</f>
        <v/>
      </c>
      <c r="S893" s="9" t="str">
        <f aca="false">IF(R893="","",ROUND(L893-R893,2))</f>
        <v/>
      </c>
      <c r="T893" s="8" t="str">
        <f aca="false">IF(A893="","",IF(S893="","BYPASS",IF(ABS(S893)&lt;=Summary!$B$2,"PASS","FAIL")))</f>
        <v/>
      </c>
      <c r="U893" s="8" t="str">
        <f aca="false">IF(T893="BYPASS",IF(NOT(ISNUMBER(Q893)),"PreV_ETB missing","End_tr_balance missing"),IF(T893="FAIL",IF(AND(ISNUMBER(K893),ISNUMBER(L893),ABS(L893-(K893-IF(ISNUMBER(N893),N893,0)-IF(ISNUMBER(O893),O893,0)+IF(ISNUMBER(P893),P893,0)))&lt;=Summary!$B$2),"Passes using beginning_balance - PreV_ETB differs from beginning_balance",IF(AND(ISNUMBER(O893),O893&lt;0,ABS(L893-(Q893-IF(ISNUMBER(N893),N893,0)+IF(ISNUMBER(P893),P893,0)))&lt;=Summary!$B$2),"Negative realized loss not applied - check sign",IF(R893&lt;0,"Principal paid exceeds prior balance",IF(AND(L893&gt;Q893,NOT(ISNUMBER(P893))),"Balance increased but no Deferred_interest reported",IF(L893&gt;R893,"Reported balance higher than expected (missing increase/OC build)","Reported balance lower than expected (missing decrease)"))))),""))</f>
        <v/>
      </c>
    </row>
    <row r="894" customFormat="false" ht="15" hidden="false" customHeight="false" outlineLevel="0" collapsed="false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9"/>
      <c r="L894" s="9"/>
      <c r="M894" s="9"/>
      <c r="N894" s="9"/>
      <c r="O894" s="9"/>
      <c r="P894" s="9"/>
      <c r="Q894" s="9"/>
      <c r="R894" s="9" t="str">
        <f aca="false">IF(AND(A894&lt;&gt;"",ISNUMBER(Q894),ISNUMBER(L894)),ROUND(Q894-IF(ISNUMBER(N894),N894,0)-IF(ISNUMBER(O894),O894,0)+IF(ISNUMBER(P894),P894,0),2),"")</f>
        <v/>
      </c>
      <c r="S894" s="9" t="str">
        <f aca="false">IF(R894="","",ROUND(L894-R894,2))</f>
        <v/>
      </c>
      <c r="T894" s="8" t="str">
        <f aca="false">IF(A894="","",IF(S894="","BYPASS",IF(ABS(S894)&lt;=Summary!$B$2,"PASS","FAIL")))</f>
        <v/>
      </c>
      <c r="U894" s="8" t="str">
        <f aca="false">IF(T894="BYPASS",IF(NOT(ISNUMBER(Q894)),"PreV_ETB missing","End_tr_balance missing"),IF(T894="FAIL",IF(AND(ISNUMBER(K894),ISNUMBER(L894),ABS(L894-(K894-IF(ISNUMBER(N894),N894,0)-IF(ISNUMBER(O894),O894,0)+IF(ISNUMBER(P894),P894,0)))&lt;=Summary!$B$2),"Passes using beginning_balance - PreV_ETB differs from beginning_balance",IF(AND(ISNUMBER(O894),O894&lt;0,ABS(L894-(Q894-IF(ISNUMBER(N894),N894,0)+IF(ISNUMBER(P894),P894,0)))&lt;=Summary!$B$2),"Negative realized loss not applied - check sign",IF(R894&lt;0,"Principal paid exceeds prior balance",IF(AND(L894&gt;Q894,NOT(ISNUMBER(P894))),"Balance increased but no Deferred_interest reported",IF(L894&gt;R894,"Reported balance higher than expected (missing increase/OC build)","Reported balance lower than expected (missing decrease)"))))),""))</f>
        <v/>
      </c>
    </row>
    <row r="895" customFormat="false" ht="15" hidden="false" customHeight="false" outlineLevel="0" collapsed="false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9"/>
      <c r="L895" s="9"/>
      <c r="M895" s="9"/>
      <c r="N895" s="9"/>
      <c r="O895" s="9"/>
      <c r="P895" s="9"/>
      <c r="Q895" s="9"/>
      <c r="R895" s="9" t="str">
        <f aca="false">IF(AND(A895&lt;&gt;"",ISNUMBER(Q895),ISNUMBER(L895)),ROUND(Q895-IF(ISNUMBER(N895),N895,0)-IF(ISNUMBER(O895),O895,0)+IF(ISNUMBER(P895),P895,0),2),"")</f>
        <v/>
      </c>
      <c r="S895" s="9" t="str">
        <f aca="false">IF(R895="","",ROUND(L895-R895,2))</f>
        <v/>
      </c>
      <c r="T895" s="8" t="str">
        <f aca="false">IF(A895="","",IF(S895="","BYPASS",IF(ABS(S895)&lt;=Summary!$B$2,"PASS","FAIL")))</f>
        <v/>
      </c>
      <c r="U895" s="8" t="str">
        <f aca="false">IF(T895="BYPASS",IF(NOT(ISNUMBER(Q895)),"PreV_ETB missing","End_tr_balance missing"),IF(T895="FAIL",IF(AND(ISNUMBER(K895),ISNUMBER(L895),ABS(L895-(K895-IF(ISNUMBER(N895),N895,0)-IF(ISNUMBER(O895),O895,0)+IF(ISNUMBER(P895),P895,0)))&lt;=Summary!$B$2),"Passes using beginning_balance - PreV_ETB differs from beginning_balance",IF(AND(ISNUMBER(O895),O895&lt;0,ABS(L895-(Q895-IF(ISNUMBER(N895),N895,0)+IF(ISNUMBER(P895),P895,0)))&lt;=Summary!$B$2),"Negative realized loss not applied - check sign",IF(R895&lt;0,"Principal paid exceeds prior balance",IF(AND(L895&gt;Q895,NOT(ISNUMBER(P895))),"Balance increased but no Deferred_interest reported",IF(L895&gt;R895,"Reported balance higher than expected (missing increase/OC build)","Reported balance lower than expected (missing decrease)"))))),""))</f>
        <v/>
      </c>
    </row>
    <row r="896" customFormat="false" ht="15" hidden="false" customHeight="false" outlineLevel="0" collapsed="false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9"/>
      <c r="L896" s="9"/>
      <c r="M896" s="9"/>
      <c r="N896" s="9"/>
      <c r="O896" s="9"/>
      <c r="P896" s="9"/>
      <c r="Q896" s="9"/>
      <c r="R896" s="9" t="str">
        <f aca="false">IF(AND(A896&lt;&gt;"",ISNUMBER(Q896),ISNUMBER(L896)),ROUND(Q896-IF(ISNUMBER(N896),N896,0)-IF(ISNUMBER(O896),O896,0)+IF(ISNUMBER(P896),P896,0),2),"")</f>
        <v/>
      </c>
      <c r="S896" s="9" t="str">
        <f aca="false">IF(R896="","",ROUND(L896-R896,2))</f>
        <v/>
      </c>
      <c r="T896" s="8" t="str">
        <f aca="false">IF(A896="","",IF(S896="","BYPASS",IF(ABS(S896)&lt;=Summary!$B$2,"PASS","FAIL")))</f>
        <v/>
      </c>
      <c r="U896" s="8" t="str">
        <f aca="false">IF(T896="BYPASS",IF(NOT(ISNUMBER(Q896)),"PreV_ETB missing","End_tr_balance missing"),IF(T896="FAIL",IF(AND(ISNUMBER(K896),ISNUMBER(L896),ABS(L896-(K896-IF(ISNUMBER(N896),N896,0)-IF(ISNUMBER(O896),O896,0)+IF(ISNUMBER(P896),P896,0)))&lt;=Summary!$B$2),"Passes using beginning_balance - PreV_ETB differs from beginning_balance",IF(AND(ISNUMBER(O896),O896&lt;0,ABS(L896-(Q896-IF(ISNUMBER(N896),N896,0)+IF(ISNUMBER(P896),P896,0)))&lt;=Summary!$B$2),"Negative realized loss not applied - check sign",IF(R896&lt;0,"Principal paid exceeds prior balance",IF(AND(L896&gt;Q896,NOT(ISNUMBER(P896))),"Balance increased but no Deferred_interest reported",IF(L896&gt;R896,"Reported balance higher than expected (missing increase/OC build)","Reported balance lower than expected (missing decrease)"))))),""))</f>
        <v/>
      </c>
    </row>
    <row r="897" customFormat="false" ht="15" hidden="false" customHeight="false" outlineLevel="0" collapsed="false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9"/>
      <c r="L897" s="9"/>
      <c r="M897" s="9"/>
      <c r="N897" s="9"/>
      <c r="O897" s="9"/>
      <c r="P897" s="9"/>
      <c r="Q897" s="9"/>
      <c r="R897" s="9" t="str">
        <f aca="false">IF(AND(A897&lt;&gt;"",ISNUMBER(Q897),ISNUMBER(L897)),ROUND(Q897-IF(ISNUMBER(N897),N897,0)-IF(ISNUMBER(O897),O897,0)+IF(ISNUMBER(P897),P897,0),2),"")</f>
        <v/>
      </c>
      <c r="S897" s="9" t="str">
        <f aca="false">IF(R897="","",ROUND(L897-R897,2))</f>
        <v/>
      </c>
      <c r="T897" s="8" t="str">
        <f aca="false">IF(A897="","",IF(S897="","BYPASS",IF(ABS(S897)&lt;=Summary!$B$2,"PASS","FAIL")))</f>
        <v/>
      </c>
      <c r="U897" s="8" t="str">
        <f aca="false">IF(T897="BYPASS",IF(NOT(ISNUMBER(Q897)),"PreV_ETB missing","End_tr_balance missing"),IF(T897="FAIL",IF(AND(ISNUMBER(K897),ISNUMBER(L897),ABS(L897-(K897-IF(ISNUMBER(N897),N897,0)-IF(ISNUMBER(O897),O897,0)+IF(ISNUMBER(P897),P897,0)))&lt;=Summary!$B$2),"Passes using beginning_balance - PreV_ETB differs from beginning_balance",IF(AND(ISNUMBER(O897),O897&lt;0,ABS(L897-(Q897-IF(ISNUMBER(N897),N897,0)+IF(ISNUMBER(P897),P897,0)))&lt;=Summary!$B$2),"Negative realized loss not applied - check sign",IF(R897&lt;0,"Principal paid exceeds prior balance",IF(AND(L897&gt;Q897,NOT(ISNUMBER(P897))),"Balance increased but no Deferred_interest reported",IF(L897&gt;R897,"Reported balance higher than expected (missing increase/OC build)","Reported balance lower than expected (missing decrease)"))))),""))</f>
        <v/>
      </c>
    </row>
    <row r="898" customFormat="false" ht="15" hidden="false" customHeight="false" outlineLevel="0" collapsed="false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9"/>
      <c r="L898" s="9"/>
      <c r="M898" s="9"/>
      <c r="N898" s="9"/>
      <c r="O898" s="9"/>
      <c r="P898" s="9"/>
      <c r="Q898" s="9"/>
      <c r="R898" s="9" t="str">
        <f aca="false">IF(AND(A898&lt;&gt;"",ISNUMBER(Q898),ISNUMBER(L898)),ROUND(Q898-IF(ISNUMBER(N898),N898,0)-IF(ISNUMBER(O898),O898,0)+IF(ISNUMBER(P898),P898,0),2),"")</f>
        <v/>
      </c>
      <c r="S898" s="9" t="str">
        <f aca="false">IF(R898="","",ROUND(L898-R898,2))</f>
        <v/>
      </c>
      <c r="T898" s="8" t="str">
        <f aca="false">IF(A898="","",IF(S898="","BYPASS",IF(ABS(S898)&lt;=Summary!$B$2,"PASS","FAIL")))</f>
        <v/>
      </c>
      <c r="U898" s="8" t="str">
        <f aca="false">IF(T898="BYPASS",IF(NOT(ISNUMBER(Q898)),"PreV_ETB missing","End_tr_balance missing"),IF(T898="FAIL",IF(AND(ISNUMBER(K898),ISNUMBER(L898),ABS(L898-(K898-IF(ISNUMBER(N898),N898,0)-IF(ISNUMBER(O898),O898,0)+IF(ISNUMBER(P898),P898,0)))&lt;=Summary!$B$2),"Passes using beginning_balance - PreV_ETB differs from beginning_balance",IF(AND(ISNUMBER(O898),O898&lt;0,ABS(L898-(Q898-IF(ISNUMBER(N898),N898,0)+IF(ISNUMBER(P898),P898,0)))&lt;=Summary!$B$2),"Negative realized loss not applied - check sign",IF(R898&lt;0,"Principal paid exceeds prior balance",IF(AND(L898&gt;Q898,NOT(ISNUMBER(P898))),"Balance increased but no Deferred_interest reported",IF(L898&gt;R898,"Reported balance higher than expected (missing increase/OC build)","Reported balance lower than expected (missing decrease)"))))),""))</f>
        <v/>
      </c>
    </row>
    <row r="899" customFormat="false" ht="15" hidden="false" customHeight="false" outlineLevel="0" collapsed="false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9"/>
      <c r="L899" s="9"/>
      <c r="M899" s="9"/>
      <c r="N899" s="9"/>
      <c r="O899" s="9"/>
      <c r="P899" s="9"/>
      <c r="Q899" s="9"/>
      <c r="R899" s="9" t="str">
        <f aca="false">IF(AND(A899&lt;&gt;"",ISNUMBER(Q899),ISNUMBER(L899)),ROUND(Q899-IF(ISNUMBER(N899),N899,0)-IF(ISNUMBER(O899),O899,0)+IF(ISNUMBER(P899),P899,0),2),"")</f>
        <v/>
      </c>
      <c r="S899" s="9" t="str">
        <f aca="false">IF(R899="","",ROUND(L899-R899,2))</f>
        <v/>
      </c>
      <c r="T899" s="8" t="str">
        <f aca="false">IF(A899="","",IF(S899="","BYPASS",IF(ABS(S899)&lt;=Summary!$B$2,"PASS","FAIL")))</f>
        <v/>
      </c>
      <c r="U899" s="8" t="str">
        <f aca="false">IF(T899="BYPASS",IF(NOT(ISNUMBER(Q899)),"PreV_ETB missing","End_tr_balance missing"),IF(T899="FAIL",IF(AND(ISNUMBER(K899),ISNUMBER(L899),ABS(L899-(K899-IF(ISNUMBER(N899),N899,0)-IF(ISNUMBER(O899),O899,0)+IF(ISNUMBER(P899),P899,0)))&lt;=Summary!$B$2),"Passes using beginning_balance - PreV_ETB differs from beginning_balance",IF(AND(ISNUMBER(O899),O899&lt;0,ABS(L899-(Q899-IF(ISNUMBER(N899),N899,0)+IF(ISNUMBER(P899),P899,0)))&lt;=Summary!$B$2),"Negative realized loss not applied - check sign",IF(R899&lt;0,"Principal paid exceeds prior balance",IF(AND(L899&gt;Q899,NOT(ISNUMBER(P899))),"Balance increased but no Deferred_interest reported",IF(L899&gt;R899,"Reported balance higher than expected (missing increase/OC build)","Reported balance lower than expected (missing decrease)"))))),""))</f>
        <v/>
      </c>
    </row>
    <row r="900" customFormat="false" ht="15" hidden="false" customHeight="false" outlineLevel="0" collapsed="false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9"/>
      <c r="L900" s="9"/>
      <c r="M900" s="9"/>
      <c r="N900" s="9"/>
      <c r="O900" s="9"/>
      <c r="P900" s="9"/>
      <c r="Q900" s="9"/>
      <c r="R900" s="9" t="str">
        <f aca="false">IF(AND(A900&lt;&gt;"",ISNUMBER(Q900),ISNUMBER(L900)),ROUND(Q900-IF(ISNUMBER(N900),N900,0)-IF(ISNUMBER(O900),O900,0)+IF(ISNUMBER(P900),P900,0),2),"")</f>
        <v/>
      </c>
      <c r="S900" s="9" t="str">
        <f aca="false">IF(R900="","",ROUND(L900-R900,2))</f>
        <v/>
      </c>
      <c r="T900" s="8" t="str">
        <f aca="false">IF(A900="","",IF(S900="","BYPASS",IF(ABS(S900)&lt;=Summary!$B$2,"PASS","FAIL")))</f>
        <v/>
      </c>
      <c r="U900" s="8" t="str">
        <f aca="false">IF(T900="BYPASS",IF(NOT(ISNUMBER(Q900)),"PreV_ETB missing","End_tr_balance missing"),IF(T900="FAIL",IF(AND(ISNUMBER(K900),ISNUMBER(L900),ABS(L900-(K900-IF(ISNUMBER(N900),N900,0)-IF(ISNUMBER(O900),O900,0)+IF(ISNUMBER(P900),P900,0)))&lt;=Summary!$B$2),"Passes using beginning_balance - PreV_ETB differs from beginning_balance",IF(AND(ISNUMBER(O900),O900&lt;0,ABS(L900-(Q900-IF(ISNUMBER(N900),N900,0)+IF(ISNUMBER(P900),P900,0)))&lt;=Summary!$B$2),"Negative realized loss not applied - check sign",IF(R900&lt;0,"Principal paid exceeds prior balance",IF(AND(L900&gt;Q900,NOT(ISNUMBER(P900))),"Balance increased but no Deferred_interest reported",IF(L900&gt;R900,"Reported balance higher than expected (missing increase/OC build)","Reported balance lower than expected (missing decrease)"))))),""))</f>
        <v/>
      </c>
    </row>
    <row r="901" customFormat="false" ht="15" hidden="false" customHeight="false" outlineLevel="0" collapsed="false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9"/>
      <c r="L901" s="9"/>
      <c r="M901" s="9"/>
      <c r="N901" s="9"/>
      <c r="O901" s="9"/>
      <c r="P901" s="9"/>
      <c r="Q901" s="9"/>
      <c r="R901" s="9" t="str">
        <f aca="false">IF(AND(A901&lt;&gt;"",ISNUMBER(Q901),ISNUMBER(L901)),ROUND(Q901-IF(ISNUMBER(N901),N901,0)-IF(ISNUMBER(O901),O901,0)+IF(ISNUMBER(P901),P901,0),2),"")</f>
        <v/>
      </c>
      <c r="S901" s="9" t="str">
        <f aca="false">IF(R901="","",ROUND(L901-R901,2))</f>
        <v/>
      </c>
      <c r="T901" s="8" t="str">
        <f aca="false">IF(A901="","",IF(S901="","BYPASS",IF(ABS(S901)&lt;=Summary!$B$2,"PASS","FAIL")))</f>
        <v/>
      </c>
      <c r="U901" s="8" t="str">
        <f aca="false">IF(T901="BYPASS",IF(NOT(ISNUMBER(Q901)),"PreV_ETB missing","End_tr_balance missing"),IF(T901="FAIL",IF(AND(ISNUMBER(K901),ISNUMBER(L901),ABS(L901-(K901-IF(ISNUMBER(N901),N901,0)-IF(ISNUMBER(O901),O901,0)+IF(ISNUMBER(P901),P901,0)))&lt;=Summary!$B$2),"Passes using beginning_balance - PreV_ETB differs from beginning_balance",IF(AND(ISNUMBER(O901),O901&lt;0,ABS(L901-(Q901-IF(ISNUMBER(N901),N901,0)+IF(ISNUMBER(P901),P901,0)))&lt;=Summary!$B$2),"Negative realized loss not applied - check sign",IF(R901&lt;0,"Principal paid exceeds prior balance",IF(AND(L901&gt;Q901,NOT(ISNUMBER(P901))),"Balance increased but no Deferred_interest reported",IF(L901&gt;R901,"Reported balance higher than expected (missing increase/OC build)","Reported balance lower than expected (missing decrease)"))))),""))</f>
        <v/>
      </c>
    </row>
    <row r="902" customFormat="false" ht="15" hidden="false" customHeight="false" outlineLevel="0" collapsed="false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9"/>
      <c r="L902" s="9"/>
      <c r="M902" s="9"/>
      <c r="N902" s="9"/>
      <c r="O902" s="9"/>
      <c r="P902" s="9"/>
      <c r="Q902" s="9"/>
      <c r="R902" s="9" t="str">
        <f aca="false">IF(AND(A902&lt;&gt;"",ISNUMBER(Q902),ISNUMBER(L902)),ROUND(Q902-IF(ISNUMBER(N902),N902,0)-IF(ISNUMBER(O902),O902,0)+IF(ISNUMBER(P902),P902,0),2),"")</f>
        <v/>
      </c>
      <c r="S902" s="9" t="str">
        <f aca="false">IF(R902="","",ROUND(L902-R902,2))</f>
        <v/>
      </c>
      <c r="T902" s="8" t="str">
        <f aca="false">IF(A902="","",IF(S902="","BYPASS",IF(ABS(S902)&lt;=Summary!$B$2,"PASS","FAIL")))</f>
        <v/>
      </c>
      <c r="U902" s="8" t="str">
        <f aca="false">IF(T902="BYPASS",IF(NOT(ISNUMBER(Q902)),"PreV_ETB missing","End_tr_balance missing"),IF(T902="FAIL",IF(AND(ISNUMBER(K902),ISNUMBER(L902),ABS(L902-(K902-IF(ISNUMBER(N902),N902,0)-IF(ISNUMBER(O902),O902,0)+IF(ISNUMBER(P902),P902,0)))&lt;=Summary!$B$2),"Passes using beginning_balance - PreV_ETB differs from beginning_balance",IF(AND(ISNUMBER(O902),O902&lt;0,ABS(L902-(Q902-IF(ISNUMBER(N902),N902,0)+IF(ISNUMBER(P902),P902,0)))&lt;=Summary!$B$2),"Negative realized loss not applied - check sign",IF(R902&lt;0,"Principal paid exceeds prior balance",IF(AND(L902&gt;Q902,NOT(ISNUMBER(P902))),"Balance increased but no Deferred_interest reported",IF(L902&gt;R902,"Reported balance higher than expected (missing increase/OC build)","Reported balance lower than expected (missing decrease)"))))),""))</f>
        <v/>
      </c>
    </row>
    <row r="903" customFormat="false" ht="15" hidden="false" customHeight="false" outlineLevel="0" collapsed="false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9"/>
      <c r="L903" s="9"/>
      <c r="M903" s="9"/>
      <c r="N903" s="9"/>
      <c r="O903" s="9"/>
      <c r="P903" s="9"/>
      <c r="Q903" s="9"/>
      <c r="R903" s="9" t="str">
        <f aca="false">IF(AND(A903&lt;&gt;"",ISNUMBER(Q903),ISNUMBER(L903)),ROUND(Q903-IF(ISNUMBER(N903),N903,0)-IF(ISNUMBER(O903),O903,0)+IF(ISNUMBER(P903),P903,0),2),"")</f>
        <v/>
      </c>
      <c r="S903" s="9" t="str">
        <f aca="false">IF(R903="","",ROUND(L903-R903,2))</f>
        <v/>
      </c>
      <c r="T903" s="8" t="str">
        <f aca="false">IF(A903="","",IF(S903="","BYPASS",IF(ABS(S903)&lt;=Summary!$B$2,"PASS","FAIL")))</f>
        <v/>
      </c>
      <c r="U903" s="8" t="str">
        <f aca="false">IF(T903="BYPASS",IF(NOT(ISNUMBER(Q903)),"PreV_ETB missing","End_tr_balance missing"),IF(T903="FAIL",IF(AND(ISNUMBER(K903),ISNUMBER(L903),ABS(L903-(K903-IF(ISNUMBER(N903),N903,0)-IF(ISNUMBER(O903),O903,0)+IF(ISNUMBER(P903),P903,0)))&lt;=Summary!$B$2),"Passes using beginning_balance - PreV_ETB differs from beginning_balance",IF(AND(ISNUMBER(O903),O903&lt;0,ABS(L903-(Q903-IF(ISNUMBER(N903),N903,0)+IF(ISNUMBER(P903),P903,0)))&lt;=Summary!$B$2),"Negative realized loss not applied - check sign",IF(R903&lt;0,"Principal paid exceeds prior balance",IF(AND(L903&gt;Q903,NOT(ISNUMBER(P903))),"Balance increased but no Deferred_interest reported",IF(L903&gt;R903,"Reported balance higher than expected (missing increase/OC build)","Reported balance lower than expected (missing decrease)"))))),""))</f>
        <v/>
      </c>
    </row>
    <row r="904" customFormat="false" ht="15" hidden="false" customHeight="false" outlineLevel="0" collapsed="false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9"/>
      <c r="L904" s="9"/>
      <c r="M904" s="9"/>
      <c r="N904" s="9"/>
      <c r="O904" s="9"/>
      <c r="P904" s="9"/>
      <c r="Q904" s="9"/>
      <c r="R904" s="9" t="str">
        <f aca="false">IF(AND(A904&lt;&gt;"",ISNUMBER(Q904),ISNUMBER(L904)),ROUND(Q904-IF(ISNUMBER(N904),N904,0)-IF(ISNUMBER(O904),O904,0)+IF(ISNUMBER(P904),P904,0),2),"")</f>
        <v/>
      </c>
      <c r="S904" s="9" t="str">
        <f aca="false">IF(R904="","",ROUND(L904-R904,2))</f>
        <v/>
      </c>
      <c r="T904" s="8" t="str">
        <f aca="false">IF(A904="","",IF(S904="","BYPASS",IF(ABS(S904)&lt;=Summary!$B$2,"PASS","FAIL")))</f>
        <v/>
      </c>
      <c r="U904" s="8" t="str">
        <f aca="false">IF(T904="BYPASS",IF(NOT(ISNUMBER(Q904)),"PreV_ETB missing","End_tr_balance missing"),IF(T904="FAIL",IF(AND(ISNUMBER(K904),ISNUMBER(L904),ABS(L904-(K904-IF(ISNUMBER(N904),N904,0)-IF(ISNUMBER(O904),O904,0)+IF(ISNUMBER(P904),P904,0)))&lt;=Summary!$B$2),"Passes using beginning_balance - PreV_ETB differs from beginning_balance",IF(AND(ISNUMBER(O904),O904&lt;0,ABS(L904-(Q904-IF(ISNUMBER(N904),N904,0)+IF(ISNUMBER(P904),P904,0)))&lt;=Summary!$B$2),"Negative realized loss not applied - check sign",IF(R904&lt;0,"Principal paid exceeds prior balance",IF(AND(L904&gt;Q904,NOT(ISNUMBER(P904))),"Balance increased but no Deferred_interest reported",IF(L904&gt;R904,"Reported balance higher than expected (missing increase/OC build)","Reported balance lower than expected (missing decrease)"))))),""))</f>
        <v/>
      </c>
    </row>
    <row r="905" customFormat="false" ht="15" hidden="false" customHeight="false" outlineLevel="0" collapsed="false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9"/>
      <c r="L905" s="9"/>
      <c r="M905" s="9"/>
      <c r="N905" s="9"/>
      <c r="O905" s="9"/>
      <c r="P905" s="9"/>
      <c r="Q905" s="9"/>
      <c r="R905" s="9" t="str">
        <f aca="false">IF(AND(A905&lt;&gt;"",ISNUMBER(Q905),ISNUMBER(L905)),ROUND(Q905-IF(ISNUMBER(N905),N905,0)-IF(ISNUMBER(O905),O905,0)+IF(ISNUMBER(P905),P905,0),2),"")</f>
        <v/>
      </c>
      <c r="S905" s="9" t="str">
        <f aca="false">IF(R905="","",ROUND(L905-R905,2))</f>
        <v/>
      </c>
      <c r="T905" s="8" t="str">
        <f aca="false">IF(A905="","",IF(S905="","BYPASS",IF(ABS(S905)&lt;=Summary!$B$2,"PASS","FAIL")))</f>
        <v/>
      </c>
      <c r="U905" s="8" t="str">
        <f aca="false">IF(T905="BYPASS",IF(NOT(ISNUMBER(Q905)),"PreV_ETB missing","End_tr_balance missing"),IF(T905="FAIL",IF(AND(ISNUMBER(K905),ISNUMBER(L905),ABS(L905-(K905-IF(ISNUMBER(N905),N905,0)-IF(ISNUMBER(O905),O905,0)+IF(ISNUMBER(P905),P905,0)))&lt;=Summary!$B$2),"Passes using beginning_balance - PreV_ETB differs from beginning_balance",IF(AND(ISNUMBER(O905),O905&lt;0,ABS(L905-(Q905-IF(ISNUMBER(N905),N905,0)+IF(ISNUMBER(P905),P905,0)))&lt;=Summary!$B$2),"Negative realized loss not applied - check sign",IF(R905&lt;0,"Principal paid exceeds prior balance",IF(AND(L905&gt;Q905,NOT(ISNUMBER(P905))),"Balance increased but no Deferred_interest reported",IF(L905&gt;R905,"Reported balance higher than expected (missing increase/OC build)","Reported balance lower than expected (missing decrease)"))))),""))</f>
        <v/>
      </c>
    </row>
    <row r="906" customFormat="false" ht="15" hidden="false" customHeight="false" outlineLevel="0" collapsed="false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9"/>
      <c r="L906" s="9"/>
      <c r="M906" s="9"/>
      <c r="N906" s="9"/>
      <c r="O906" s="9"/>
      <c r="P906" s="9"/>
      <c r="Q906" s="9"/>
      <c r="R906" s="9" t="str">
        <f aca="false">IF(AND(A906&lt;&gt;"",ISNUMBER(Q906),ISNUMBER(L906)),ROUND(Q906-IF(ISNUMBER(N906),N906,0)-IF(ISNUMBER(O906),O906,0)+IF(ISNUMBER(P906),P906,0),2),"")</f>
        <v/>
      </c>
      <c r="S906" s="9" t="str">
        <f aca="false">IF(R906="","",ROUND(L906-R906,2))</f>
        <v/>
      </c>
      <c r="T906" s="8" t="str">
        <f aca="false">IF(A906="","",IF(S906="","BYPASS",IF(ABS(S906)&lt;=Summary!$B$2,"PASS","FAIL")))</f>
        <v/>
      </c>
      <c r="U906" s="8" t="str">
        <f aca="false">IF(T906="BYPASS",IF(NOT(ISNUMBER(Q906)),"PreV_ETB missing","End_tr_balance missing"),IF(T906="FAIL",IF(AND(ISNUMBER(K906),ISNUMBER(L906),ABS(L906-(K906-IF(ISNUMBER(N906),N906,0)-IF(ISNUMBER(O906),O906,0)+IF(ISNUMBER(P906),P906,0)))&lt;=Summary!$B$2),"Passes using beginning_balance - PreV_ETB differs from beginning_balance",IF(AND(ISNUMBER(O906),O906&lt;0,ABS(L906-(Q906-IF(ISNUMBER(N906),N906,0)+IF(ISNUMBER(P906),P906,0)))&lt;=Summary!$B$2),"Negative realized loss not applied - check sign",IF(R906&lt;0,"Principal paid exceeds prior balance",IF(AND(L906&gt;Q906,NOT(ISNUMBER(P906))),"Balance increased but no Deferred_interest reported",IF(L906&gt;R906,"Reported balance higher than expected (missing increase/OC build)","Reported balance lower than expected (missing decrease)"))))),""))</f>
        <v/>
      </c>
    </row>
    <row r="907" customFormat="false" ht="15" hidden="false" customHeight="false" outlineLevel="0" collapsed="false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9"/>
      <c r="L907" s="9"/>
      <c r="M907" s="9"/>
      <c r="N907" s="9"/>
      <c r="O907" s="9"/>
      <c r="P907" s="9"/>
      <c r="Q907" s="9"/>
      <c r="R907" s="9" t="str">
        <f aca="false">IF(AND(A907&lt;&gt;"",ISNUMBER(Q907),ISNUMBER(L907)),ROUND(Q907-IF(ISNUMBER(N907),N907,0)-IF(ISNUMBER(O907),O907,0)+IF(ISNUMBER(P907),P907,0),2),"")</f>
        <v/>
      </c>
      <c r="S907" s="9" t="str">
        <f aca="false">IF(R907="","",ROUND(L907-R907,2))</f>
        <v/>
      </c>
      <c r="T907" s="8" t="str">
        <f aca="false">IF(A907="","",IF(S907="","BYPASS",IF(ABS(S907)&lt;=Summary!$B$2,"PASS","FAIL")))</f>
        <v/>
      </c>
      <c r="U907" s="8" t="str">
        <f aca="false">IF(T907="BYPASS",IF(NOT(ISNUMBER(Q907)),"PreV_ETB missing","End_tr_balance missing"),IF(T907="FAIL",IF(AND(ISNUMBER(K907),ISNUMBER(L907),ABS(L907-(K907-IF(ISNUMBER(N907),N907,0)-IF(ISNUMBER(O907),O907,0)+IF(ISNUMBER(P907),P907,0)))&lt;=Summary!$B$2),"Passes using beginning_balance - PreV_ETB differs from beginning_balance",IF(AND(ISNUMBER(O907),O907&lt;0,ABS(L907-(Q907-IF(ISNUMBER(N907),N907,0)+IF(ISNUMBER(P907),P907,0)))&lt;=Summary!$B$2),"Negative realized loss not applied - check sign",IF(R907&lt;0,"Principal paid exceeds prior balance",IF(AND(L907&gt;Q907,NOT(ISNUMBER(P907))),"Balance increased but no Deferred_interest reported",IF(L907&gt;R907,"Reported balance higher than expected (missing increase/OC build)","Reported balance lower than expected (missing decrease)"))))),""))</f>
        <v/>
      </c>
    </row>
    <row r="908" customFormat="false" ht="15" hidden="false" customHeight="false" outlineLevel="0" collapsed="false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9"/>
      <c r="L908" s="9"/>
      <c r="M908" s="9"/>
      <c r="N908" s="9"/>
      <c r="O908" s="9"/>
      <c r="P908" s="9"/>
      <c r="Q908" s="9"/>
      <c r="R908" s="9" t="str">
        <f aca="false">IF(AND(A908&lt;&gt;"",ISNUMBER(Q908),ISNUMBER(L908)),ROUND(Q908-IF(ISNUMBER(N908),N908,0)-IF(ISNUMBER(O908),O908,0)+IF(ISNUMBER(P908),P908,0),2),"")</f>
        <v/>
      </c>
      <c r="S908" s="9" t="str">
        <f aca="false">IF(R908="","",ROUND(L908-R908,2))</f>
        <v/>
      </c>
      <c r="T908" s="8" t="str">
        <f aca="false">IF(A908="","",IF(S908="","BYPASS",IF(ABS(S908)&lt;=Summary!$B$2,"PASS","FAIL")))</f>
        <v/>
      </c>
      <c r="U908" s="8" t="str">
        <f aca="false">IF(T908="BYPASS",IF(NOT(ISNUMBER(Q908)),"PreV_ETB missing","End_tr_balance missing"),IF(T908="FAIL",IF(AND(ISNUMBER(K908),ISNUMBER(L908),ABS(L908-(K908-IF(ISNUMBER(N908),N908,0)-IF(ISNUMBER(O908),O908,0)+IF(ISNUMBER(P908),P908,0)))&lt;=Summary!$B$2),"Passes using beginning_balance - PreV_ETB differs from beginning_balance",IF(AND(ISNUMBER(O908),O908&lt;0,ABS(L908-(Q908-IF(ISNUMBER(N908),N908,0)+IF(ISNUMBER(P908),P908,0)))&lt;=Summary!$B$2),"Negative realized loss not applied - check sign",IF(R908&lt;0,"Principal paid exceeds prior balance",IF(AND(L908&gt;Q908,NOT(ISNUMBER(P908))),"Balance increased but no Deferred_interest reported",IF(L908&gt;R908,"Reported balance higher than expected (missing increase/OC build)","Reported balance lower than expected (missing decrease)"))))),""))</f>
        <v/>
      </c>
    </row>
    <row r="909" customFormat="false" ht="15" hidden="false" customHeight="false" outlineLevel="0" collapsed="false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9"/>
      <c r="L909" s="9"/>
      <c r="M909" s="9"/>
      <c r="N909" s="9"/>
      <c r="O909" s="9"/>
      <c r="P909" s="9"/>
      <c r="Q909" s="9"/>
      <c r="R909" s="9" t="str">
        <f aca="false">IF(AND(A909&lt;&gt;"",ISNUMBER(Q909),ISNUMBER(L909)),ROUND(Q909-IF(ISNUMBER(N909),N909,0)-IF(ISNUMBER(O909),O909,0)+IF(ISNUMBER(P909),P909,0),2),"")</f>
        <v/>
      </c>
      <c r="S909" s="9" t="str">
        <f aca="false">IF(R909="","",ROUND(L909-R909,2))</f>
        <v/>
      </c>
      <c r="T909" s="8" t="str">
        <f aca="false">IF(A909="","",IF(S909="","BYPASS",IF(ABS(S909)&lt;=Summary!$B$2,"PASS","FAIL")))</f>
        <v/>
      </c>
      <c r="U909" s="8" t="str">
        <f aca="false">IF(T909="BYPASS",IF(NOT(ISNUMBER(Q909)),"PreV_ETB missing","End_tr_balance missing"),IF(T909="FAIL",IF(AND(ISNUMBER(K909),ISNUMBER(L909),ABS(L909-(K909-IF(ISNUMBER(N909),N909,0)-IF(ISNUMBER(O909),O909,0)+IF(ISNUMBER(P909),P909,0)))&lt;=Summary!$B$2),"Passes using beginning_balance - PreV_ETB differs from beginning_balance",IF(AND(ISNUMBER(O909),O909&lt;0,ABS(L909-(Q909-IF(ISNUMBER(N909),N909,0)+IF(ISNUMBER(P909),P909,0)))&lt;=Summary!$B$2),"Negative realized loss not applied - check sign",IF(R909&lt;0,"Principal paid exceeds prior balance",IF(AND(L909&gt;Q909,NOT(ISNUMBER(P909))),"Balance increased but no Deferred_interest reported",IF(L909&gt;R909,"Reported balance higher than expected (missing increase/OC build)","Reported balance lower than expected (missing decrease)"))))),""))</f>
        <v/>
      </c>
    </row>
    <row r="910" customFormat="false" ht="15" hidden="false" customHeight="false" outlineLevel="0" collapsed="false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9"/>
      <c r="L910" s="9"/>
      <c r="M910" s="9"/>
      <c r="N910" s="9"/>
      <c r="O910" s="9"/>
      <c r="P910" s="9"/>
      <c r="Q910" s="9"/>
      <c r="R910" s="9" t="str">
        <f aca="false">IF(AND(A910&lt;&gt;"",ISNUMBER(Q910),ISNUMBER(L910)),ROUND(Q910-IF(ISNUMBER(N910),N910,0)-IF(ISNUMBER(O910),O910,0)+IF(ISNUMBER(P910),P910,0),2),"")</f>
        <v/>
      </c>
      <c r="S910" s="9" t="str">
        <f aca="false">IF(R910="","",ROUND(L910-R910,2))</f>
        <v/>
      </c>
      <c r="T910" s="8" t="str">
        <f aca="false">IF(A910="","",IF(S910="","BYPASS",IF(ABS(S910)&lt;=Summary!$B$2,"PASS","FAIL")))</f>
        <v/>
      </c>
      <c r="U910" s="8" t="str">
        <f aca="false">IF(T910="BYPASS",IF(NOT(ISNUMBER(Q910)),"PreV_ETB missing","End_tr_balance missing"),IF(T910="FAIL",IF(AND(ISNUMBER(K910),ISNUMBER(L910),ABS(L910-(K910-IF(ISNUMBER(N910),N910,0)-IF(ISNUMBER(O910),O910,0)+IF(ISNUMBER(P910),P910,0)))&lt;=Summary!$B$2),"Passes using beginning_balance - PreV_ETB differs from beginning_balance",IF(AND(ISNUMBER(O910),O910&lt;0,ABS(L910-(Q910-IF(ISNUMBER(N910),N910,0)+IF(ISNUMBER(P910),P910,0)))&lt;=Summary!$B$2),"Negative realized loss not applied - check sign",IF(R910&lt;0,"Principal paid exceeds prior balance",IF(AND(L910&gt;Q910,NOT(ISNUMBER(P910))),"Balance increased but no Deferred_interest reported",IF(L910&gt;R910,"Reported balance higher than expected (missing increase/OC build)","Reported balance lower than expected (missing decrease)"))))),""))</f>
        <v/>
      </c>
    </row>
    <row r="911" customFormat="false" ht="15" hidden="false" customHeight="false" outlineLevel="0" collapsed="false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9"/>
      <c r="L911" s="9"/>
      <c r="M911" s="9"/>
      <c r="N911" s="9"/>
      <c r="O911" s="9"/>
      <c r="P911" s="9"/>
      <c r="Q911" s="9"/>
      <c r="R911" s="9" t="str">
        <f aca="false">IF(AND(A911&lt;&gt;"",ISNUMBER(Q911),ISNUMBER(L911)),ROUND(Q911-IF(ISNUMBER(N911),N911,0)-IF(ISNUMBER(O911),O911,0)+IF(ISNUMBER(P911),P911,0),2),"")</f>
        <v/>
      </c>
      <c r="S911" s="9" t="str">
        <f aca="false">IF(R911="","",ROUND(L911-R911,2))</f>
        <v/>
      </c>
      <c r="T911" s="8" t="str">
        <f aca="false">IF(A911="","",IF(S911="","BYPASS",IF(ABS(S911)&lt;=Summary!$B$2,"PASS","FAIL")))</f>
        <v/>
      </c>
      <c r="U911" s="8" t="str">
        <f aca="false">IF(T911="BYPASS",IF(NOT(ISNUMBER(Q911)),"PreV_ETB missing","End_tr_balance missing"),IF(T911="FAIL",IF(AND(ISNUMBER(K911),ISNUMBER(L911),ABS(L911-(K911-IF(ISNUMBER(N911),N911,0)-IF(ISNUMBER(O911),O911,0)+IF(ISNUMBER(P911),P911,0)))&lt;=Summary!$B$2),"Passes using beginning_balance - PreV_ETB differs from beginning_balance",IF(AND(ISNUMBER(O911),O911&lt;0,ABS(L911-(Q911-IF(ISNUMBER(N911),N911,0)+IF(ISNUMBER(P911),P911,0)))&lt;=Summary!$B$2),"Negative realized loss not applied - check sign",IF(R911&lt;0,"Principal paid exceeds prior balance",IF(AND(L911&gt;Q911,NOT(ISNUMBER(P911))),"Balance increased but no Deferred_interest reported",IF(L911&gt;R911,"Reported balance higher than expected (missing increase/OC build)","Reported balance lower than expected (missing decrease)"))))),""))</f>
        <v/>
      </c>
    </row>
    <row r="912" customFormat="false" ht="15" hidden="false" customHeight="false" outlineLevel="0" collapsed="false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9"/>
      <c r="L912" s="9"/>
      <c r="M912" s="9"/>
      <c r="N912" s="9"/>
      <c r="O912" s="9"/>
      <c r="P912" s="9"/>
      <c r="Q912" s="9"/>
      <c r="R912" s="9" t="str">
        <f aca="false">IF(AND(A912&lt;&gt;"",ISNUMBER(Q912),ISNUMBER(L912)),ROUND(Q912-IF(ISNUMBER(N912),N912,0)-IF(ISNUMBER(O912),O912,0)+IF(ISNUMBER(P912),P912,0),2),"")</f>
        <v/>
      </c>
      <c r="S912" s="9" t="str">
        <f aca="false">IF(R912="","",ROUND(L912-R912,2))</f>
        <v/>
      </c>
      <c r="T912" s="8" t="str">
        <f aca="false">IF(A912="","",IF(S912="","BYPASS",IF(ABS(S912)&lt;=Summary!$B$2,"PASS","FAIL")))</f>
        <v/>
      </c>
      <c r="U912" s="8" t="str">
        <f aca="false">IF(T912="BYPASS",IF(NOT(ISNUMBER(Q912)),"PreV_ETB missing","End_tr_balance missing"),IF(T912="FAIL",IF(AND(ISNUMBER(K912),ISNUMBER(L912),ABS(L912-(K912-IF(ISNUMBER(N912),N912,0)-IF(ISNUMBER(O912),O912,0)+IF(ISNUMBER(P912),P912,0)))&lt;=Summary!$B$2),"Passes using beginning_balance - PreV_ETB differs from beginning_balance",IF(AND(ISNUMBER(O912),O912&lt;0,ABS(L912-(Q912-IF(ISNUMBER(N912),N912,0)+IF(ISNUMBER(P912),P912,0)))&lt;=Summary!$B$2),"Negative realized loss not applied - check sign",IF(R912&lt;0,"Principal paid exceeds prior balance",IF(AND(L912&gt;Q912,NOT(ISNUMBER(P912))),"Balance increased but no Deferred_interest reported",IF(L912&gt;R912,"Reported balance higher than expected (missing increase/OC build)","Reported balance lower than expected (missing decrease)"))))),""))</f>
        <v/>
      </c>
    </row>
    <row r="913" customFormat="false" ht="15" hidden="false" customHeight="false" outlineLevel="0" collapsed="false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9"/>
      <c r="L913" s="9"/>
      <c r="M913" s="9"/>
      <c r="N913" s="9"/>
      <c r="O913" s="9"/>
      <c r="P913" s="9"/>
      <c r="Q913" s="9"/>
      <c r="R913" s="9" t="str">
        <f aca="false">IF(AND(A913&lt;&gt;"",ISNUMBER(Q913),ISNUMBER(L913)),ROUND(Q913-IF(ISNUMBER(N913),N913,0)-IF(ISNUMBER(O913),O913,0)+IF(ISNUMBER(P913),P913,0),2),"")</f>
        <v/>
      </c>
      <c r="S913" s="9" t="str">
        <f aca="false">IF(R913="","",ROUND(L913-R913,2))</f>
        <v/>
      </c>
      <c r="T913" s="8" t="str">
        <f aca="false">IF(A913="","",IF(S913="","BYPASS",IF(ABS(S913)&lt;=Summary!$B$2,"PASS","FAIL")))</f>
        <v/>
      </c>
      <c r="U913" s="8" t="str">
        <f aca="false">IF(T913="BYPASS",IF(NOT(ISNUMBER(Q913)),"PreV_ETB missing","End_tr_balance missing"),IF(T913="FAIL",IF(AND(ISNUMBER(K913),ISNUMBER(L913),ABS(L913-(K913-IF(ISNUMBER(N913),N913,0)-IF(ISNUMBER(O913),O913,0)+IF(ISNUMBER(P913),P913,0)))&lt;=Summary!$B$2),"Passes using beginning_balance - PreV_ETB differs from beginning_balance",IF(AND(ISNUMBER(O913),O913&lt;0,ABS(L913-(Q913-IF(ISNUMBER(N913),N913,0)+IF(ISNUMBER(P913),P913,0)))&lt;=Summary!$B$2),"Negative realized loss not applied - check sign",IF(R913&lt;0,"Principal paid exceeds prior balance",IF(AND(L913&gt;Q913,NOT(ISNUMBER(P913))),"Balance increased but no Deferred_interest reported",IF(L913&gt;R913,"Reported balance higher than expected (missing increase/OC build)","Reported balance lower than expected (missing decrease)"))))),""))</f>
        <v/>
      </c>
    </row>
    <row r="914" customFormat="false" ht="15" hidden="false" customHeight="false" outlineLevel="0" collapsed="false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9"/>
      <c r="L914" s="9"/>
      <c r="M914" s="9"/>
      <c r="N914" s="9"/>
      <c r="O914" s="9"/>
      <c r="P914" s="9"/>
      <c r="Q914" s="9"/>
      <c r="R914" s="9" t="str">
        <f aca="false">IF(AND(A914&lt;&gt;"",ISNUMBER(Q914),ISNUMBER(L914)),ROUND(Q914-IF(ISNUMBER(N914),N914,0)-IF(ISNUMBER(O914),O914,0)+IF(ISNUMBER(P914),P914,0),2),"")</f>
        <v/>
      </c>
      <c r="S914" s="9" t="str">
        <f aca="false">IF(R914="","",ROUND(L914-R914,2))</f>
        <v/>
      </c>
      <c r="T914" s="8" t="str">
        <f aca="false">IF(A914="","",IF(S914="","BYPASS",IF(ABS(S914)&lt;=Summary!$B$2,"PASS","FAIL")))</f>
        <v/>
      </c>
      <c r="U914" s="8" t="str">
        <f aca="false">IF(T914="BYPASS",IF(NOT(ISNUMBER(Q914)),"PreV_ETB missing","End_tr_balance missing"),IF(T914="FAIL",IF(AND(ISNUMBER(K914),ISNUMBER(L914),ABS(L914-(K914-IF(ISNUMBER(N914),N914,0)-IF(ISNUMBER(O914),O914,0)+IF(ISNUMBER(P914),P914,0)))&lt;=Summary!$B$2),"Passes using beginning_balance - PreV_ETB differs from beginning_balance",IF(AND(ISNUMBER(O914),O914&lt;0,ABS(L914-(Q914-IF(ISNUMBER(N914),N914,0)+IF(ISNUMBER(P914),P914,0)))&lt;=Summary!$B$2),"Negative realized loss not applied - check sign",IF(R914&lt;0,"Principal paid exceeds prior balance",IF(AND(L914&gt;Q914,NOT(ISNUMBER(P914))),"Balance increased but no Deferred_interest reported",IF(L914&gt;R914,"Reported balance higher than expected (missing increase/OC build)","Reported balance lower than expected (missing decrease)"))))),""))</f>
        <v/>
      </c>
    </row>
    <row r="915" customFormat="false" ht="15" hidden="false" customHeight="false" outlineLevel="0" collapsed="false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9"/>
      <c r="L915" s="9"/>
      <c r="M915" s="9"/>
      <c r="N915" s="9"/>
      <c r="O915" s="9"/>
      <c r="P915" s="9"/>
      <c r="Q915" s="9"/>
      <c r="R915" s="9" t="str">
        <f aca="false">IF(AND(A915&lt;&gt;"",ISNUMBER(Q915),ISNUMBER(L915)),ROUND(Q915-IF(ISNUMBER(N915),N915,0)-IF(ISNUMBER(O915),O915,0)+IF(ISNUMBER(P915),P915,0),2),"")</f>
        <v/>
      </c>
      <c r="S915" s="9" t="str">
        <f aca="false">IF(R915="","",ROUND(L915-R915,2))</f>
        <v/>
      </c>
      <c r="T915" s="8" t="str">
        <f aca="false">IF(A915="","",IF(S915="","BYPASS",IF(ABS(S915)&lt;=Summary!$B$2,"PASS","FAIL")))</f>
        <v/>
      </c>
      <c r="U915" s="8" t="str">
        <f aca="false">IF(T915="BYPASS",IF(NOT(ISNUMBER(Q915)),"PreV_ETB missing","End_tr_balance missing"),IF(T915="FAIL",IF(AND(ISNUMBER(K915),ISNUMBER(L915),ABS(L915-(K915-IF(ISNUMBER(N915),N915,0)-IF(ISNUMBER(O915),O915,0)+IF(ISNUMBER(P915),P915,0)))&lt;=Summary!$B$2),"Passes using beginning_balance - PreV_ETB differs from beginning_balance",IF(AND(ISNUMBER(O915),O915&lt;0,ABS(L915-(Q915-IF(ISNUMBER(N915),N915,0)+IF(ISNUMBER(P915),P915,0)))&lt;=Summary!$B$2),"Negative realized loss not applied - check sign",IF(R915&lt;0,"Principal paid exceeds prior balance",IF(AND(L915&gt;Q915,NOT(ISNUMBER(P915))),"Balance increased but no Deferred_interest reported",IF(L915&gt;R915,"Reported balance higher than expected (missing increase/OC build)","Reported balance lower than expected (missing decrease)"))))),""))</f>
        <v/>
      </c>
    </row>
    <row r="916" customFormat="false" ht="15" hidden="false" customHeight="false" outlineLevel="0" collapsed="false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9"/>
      <c r="L916" s="9"/>
      <c r="M916" s="9"/>
      <c r="N916" s="9"/>
      <c r="O916" s="9"/>
      <c r="P916" s="9"/>
      <c r="Q916" s="9"/>
      <c r="R916" s="9" t="str">
        <f aca="false">IF(AND(A916&lt;&gt;"",ISNUMBER(Q916),ISNUMBER(L916)),ROUND(Q916-IF(ISNUMBER(N916),N916,0)-IF(ISNUMBER(O916),O916,0)+IF(ISNUMBER(P916),P916,0),2),"")</f>
        <v/>
      </c>
      <c r="S916" s="9" t="str">
        <f aca="false">IF(R916="","",ROUND(L916-R916,2))</f>
        <v/>
      </c>
      <c r="T916" s="8" t="str">
        <f aca="false">IF(A916="","",IF(S916="","BYPASS",IF(ABS(S916)&lt;=Summary!$B$2,"PASS","FAIL")))</f>
        <v/>
      </c>
      <c r="U916" s="8" t="str">
        <f aca="false">IF(T916="BYPASS",IF(NOT(ISNUMBER(Q916)),"PreV_ETB missing","End_tr_balance missing"),IF(T916="FAIL",IF(AND(ISNUMBER(K916),ISNUMBER(L916),ABS(L916-(K916-IF(ISNUMBER(N916),N916,0)-IF(ISNUMBER(O916),O916,0)+IF(ISNUMBER(P916),P916,0)))&lt;=Summary!$B$2),"Passes using beginning_balance - PreV_ETB differs from beginning_balance",IF(AND(ISNUMBER(O916),O916&lt;0,ABS(L916-(Q916-IF(ISNUMBER(N916),N916,0)+IF(ISNUMBER(P916),P916,0)))&lt;=Summary!$B$2),"Negative realized loss not applied - check sign",IF(R916&lt;0,"Principal paid exceeds prior balance",IF(AND(L916&gt;Q916,NOT(ISNUMBER(P916))),"Balance increased but no Deferred_interest reported",IF(L916&gt;R916,"Reported balance higher than expected (missing increase/OC build)","Reported balance lower than expected (missing decrease)"))))),""))</f>
        <v/>
      </c>
    </row>
    <row r="917" customFormat="false" ht="15" hidden="false" customHeight="false" outlineLevel="0" collapsed="false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9"/>
      <c r="L917" s="9"/>
      <c r="M917" s="9"/>
      <c r="N917" s="9"/>
      <c r="O917" s="9"/>
      <c r="P917" s="9"/>
      <c r="Q917" s="9"/>
      <c r="R917" s="9" t="str">
        <f aca="false">IF(AND(A917&lt;&gt;"",ISNUMBER(Q917),ISNUMBER(L917)),ROUND(Q917-IF(ISNUMBER(N917),N917,0)-IF(ISNUMBER(O917),O917,0)+IF(ISNUMBER(P917),P917,0),2),"")</f>
        <v/>
      </c>
      <c r="S917" s="9" t="str">
        <f aca="false">IF(R917="","",ROUND(L917-R917,2))</f>
        <v/>
      </c>
      <c r="T917" s="8" t="str">
        <f aca="false">IF(A917="","",IF(S917="","BYPASS",IF(ABS(S917)&lt;=Summary!$B$2,"PASS","FAIL")))</f>
        <v/>
      </c>
      <c r="U917" s="8" t="str">
        <f aca="false">IF(T917="BYPASS",IF(NOT(ISNUMBER(Q917)),"PreV_ETB missing","End_tr_balance missing"),IF(T917="FAIL",IF(AND(ISNUMBER(K917),ISNUMBER(L917),ABS(L917-(K917-IF(ISNUMBER(N917),N917,0)-IF(ISNUMBER(O917),O917,0)+IF(ISNUMBER(P917),P917,0)))&lt;=Summary!$B$2),"Passes using beginning_balance - PreV_ETB differs from beginning_balance",IF(AND(ISNUMBER(O917),O917&lt;0,ABS(L917-(Q917-IF(ISNUMBER(N917),N917,0)+IF(ISNUMBER(P917),P917,0)))&lt;=Summary!$B$2),"Negative realized loss not applied - check sign",IF(R917&lt;0,"Principal paid exceeds prior balance",IF(AND(L917&gt;Q917,NOT(ISNUMBER(P917))),"Balance increased but no Deferred_interest reported",IF(L917&gt;R917,"Reported balance higher than expected (missing increase/OC build)","Reported balance lower than expected (missing decrease)"))))),""))</f>
        <v/>
      </c>
    </row>
    <row r="918" customFormat="false" ht="15" hidden="false" customHeight="false" outlineLevel="0" collapsed="false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9"/>
      <c r="L918" s="9"/>
      <c r="M918" s="9"/>
      <c r="N918" s="9"/>
      <c r="O918" s="9"/>
      <c r="P918" s="9"/>
      <c r="Q918" s="9"/>
      <c r="R918" s="9" t="str">
        <f aca="false">IF(AND(A918&lt;&gt;"",ISNUMBER(Q918),ISNUMBER(L918)),ROUND(Q918-IF(ISNUMBER(N918),N918,0)-IF(ISNUMBER(O918),O918,0)+IF(ISNUMBER(P918),P918,0),2),"")</f>
        <v/>
      </c>
      <c r="S918" s="9" t="str">
        <f aca="false">IF(R918="","",ROUND(L918-R918,2))</f>
        <v/>
      </c>
      <c r="T918" s="8" t="str">
        <f aca="false">IF(A918="","",IF(S918="","BYPASS",IF(ABS(S918)&lt;=Summary!$B$2,"PASS","FAIL")))</f>
        <v/>
      </c>
      <c r="U918" s="8" t="str">
        <f aca="false">IF(T918="BYPASS",IF(NOT(ISNUMBER(Q918)),"PreV_ETB missing","End_tr_balance missing"),IF(T918="FAIL",IF(AND(ISNUMBER(K918),ISNUMBER(L918),ABS(L918-(K918-IF(ISNUMBER(N918),N918,0)-IF(ISNUMBER(O918),O918,0)+IF(ISNUMBER(P918),P918,0)))&lt;=Summary!$B$2),"Passes using beginning_balance - PreV_ETB differs from beginning_balance",IF(AND(ISNUMBER(O918),O918&lt;0,ABS(L918-(Q918-IF(ISNUMBER(N918),N918,0)+IF(ISNUMBER(P918),P918,0)))&lt;=Summary!$B$2),"Negative realized loss not applied - check sign",IF(R918&lt;0,"Principal paid exceeds prior balance",IF(AND(L918&gt;Q918,NOT(ISNUMBER(P918))),"Balance increased but no Deferred_interest reported",IF(L918&gt;R918,"Reported balance higher than expected (missing increase/OC build)","Reported balance lower than expected (missing decrease)"))))),""))</f>
        <v/>
      </c>
    </row>
    <row r="919" customFormat="false" ht="15" hidden="false" customHeight="false" outlineLevel="0" collapsed="false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9"/>
      <c r="L919" s="9"/>
      <c r="M919" s="9"/>
      <c r="N919" s="9"/>
      <c r="O919" s="9"/>
      <c r="P919" s="9"/>
      <c r="Q919" s="9"/>
      <c r="R919" s="9" t="str">
        <f aca="false">IF(AND(A919&lt;&gt;"",ISNUMBER(Q919),ISNUMBER(L919)),ROUND(Q919-IF(ISNUMBER(N919),N919,0)-IF(ISNUMBER(O919),O919,0)+IF(ISNUMBER(P919),P919,0),2),"")</f>
        <v/>
      </c>
      <c r="S919" s="9" t="str">
        <f aca="false">IF(R919="","",ROUND(L919-R919,2))</f>
        <v/>
      </c>
      <c r="T919" s="8" t="str">
        <f aca="false">IF(A919="","",IF(S919="","BYPASS",IF(ABS(S919)&lt;=Summary!$B$2,"PASS","FAIL")))</f>
        <v/>
      </c>
      <c r="U919" s="8" t="str">
        <f aca="false">IF(T919="BYPASS",IF(NOT(ISNUMBER(Q919)),"PreV_ETB missing","End_tr_balance missing"),IF(T919="FAIL",IF(AND(ISNUMBER(K919),ISNUMBER(L919),ABS(L919-(K919-IF(ISNUMBER(N919),N919,0)-IF(ISNUMBER(O919),O919,0)+IF(ISNUMBER(P919),P919,0)))&lt;=Summary!$B$2),"Passes using beginning_balance - PreV_ETB differs from beginning_balance",IF(AND(ISNUMBER(O919),O919&lt;0,ABS(L919-(Q919-IF(ISNUMBER(N919),N919,0)+IF(ISNUMBER(P919),P919,0)))&lt;=Summary!$B$2),"Negative realized loss not applied - check sign",IF(R919&lt;0,"Principal paid exceeds prior balance",IF(AND(L919&gt;Q919,NOT(ISNUMBER(P919))),"Balance increased but no Deferred_interest reported",IF(L919&gt;R919,"Reported balance higher than expected (missing increase/OC build)","Reported balance lower than expected (missing decrease)"))))),""))</f>
        <v/>
      </c>
    </row>
    <row r="920" customFormat="false" ht="15" hidden="false" customHeight="false" outlineLevel="0" collapsed="false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9"/>
      <c r="L920" s="9"/>
      <c r="M920" s="9"/>
      <c r="N920" s="9"/>
      <c r="O920" s="9"/>
      <c r="P920" s="9"/>
      <c r="Q920" s="9"/>
      <c r="R920" s="9" t="str">
        <f aca="false">IF(AND(A920&lt;&gt;"",ISNUMBER(Q920),ISNUMBER(L920)),ROUND(Q920-IF(ISNUMBER(N920),N920,0)-IF(ISNUMBER(O920),O920,0)+IF(ISNUMBER(P920),P920,0),2),"")</f>
        <v/>
      </c>
      <c r="S920" s="9" t="str">
        <f aca="false">IF(R920="","",ROUND(L920-R920,2))</f>
        <v/>
      </c>
      <c r="T920" s="8" t="str">
        <f aca="false">IF(A920="","",IF(S920="","BYPASS",IF(ABS(S920)&lt;=Summary!$B$2,"PASS","FAIL")))</f>
        <v/>
      </c>
      <c r="U920" s="8" t="str">
        <f aca="false">IF(T920="BYPASS",IF(NOT(ISNUMBER(Q920)),"PreV_ETB missing","End_tr_balance missing"),IF(T920="FAIL",IF(AND(ISNUMBER(K920),ISNUMBER(L920),ABS(L920-(K920-IF(ISNUMBER(N920),N920,0)-IF(ISNUMBER(O920),O920,0)+IF(ISNUMBER(P920),P920,0)))&lt;=Summary!$B$2),"Passes using beginning_balance - PreV_ETB differs from beginning_balance",IF(AND(ISNUMBER(O920),O920&lt;0,ABS(L920-(Q920-IF(ISNUMBER(N920),N920,0)+IF(ISNUMBER(P920),P920,0)))&lt;=Summary!$B$2),"Negative realized loss not applied - check sign",IF(R920&lt;0,"Principal paid exceeds prior balance",IF(AND(L920&gt;Q920,NOT(ISNUMBER(P920))),"Balance increased but no Deferred_interest reported",IF(L920&gt;R920,"Reported balance higher than expected (missing increase/OC build)","Reported balance lower than expected (missing decrease)"))))),""))</f>
        <v/>
      </c>
    </row>
    <row r="921" customFormat="false" ht="15" hidden="false" customHeight="false" outlineLevel="0" collapsed="false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9"/>
      <c r="L921" s="9"/>
      <c r="M921" s="9"/>
      <c r="N921" s="9"/>
      <c r="O921" s="9"/>
      <c r="P921" s="9"/>
      <c r="Q921" s="9"/>
      <c r="R921" s="9" t="str">
        <f aca="false">IF(AND(A921&lt;&gt;"",ISNUMBER(Q921),ISNUMBER(L921)),ROUND(Q921-IF(ISNUMBER(N921),N921,0)-IF(ISNUMBER(O921),O921,0)+IF(ISNUMBER(P921),P921,0),2),"")</f>
        <v/>
      </c>
      <c r="S921" s="9" t="str">
        <f aca="false">IF(R921="","",ROUND(L921-R921,2))</f>
        <v/>
      </c>
      <c r="T921" s="8" t="str">
        <f aca="false">IF(A921="","",IF(S921="","BYPASS",IF(ABS(S921)&lt;=Summary!$B$2,"PASS","FAIL")))</f>
        <v/>
      </c>
      <c r="U921" s="8" t="str">
        <f aca="false">IF(T921="BYPASS",IF(NOT(ISNUMBER(Q921)),"PreV_ETB missing","End_tr_balance missing"),IF(T921="FAIL",IF(AND(ISNUMBER(K921),ISNUMBER(L921),ABS(L921-(K921-IF(ISNUMBER(N921),N921,0)-IF(ISNUMBER(O921),O921,0)+IF(ISNUMBER(P921),P921,0)))&lt;=Summary!$B$2),"Passes using beginning_balance - PreV_ETB differs from beginning_balance",IF(AND(ISNUMBER(O921),O921&lt;0,ABS(L921-(Q921-IF(ISNUMBER(N921),N921,0)+IF(ISNUMBER(P921),P921,0)))&lt;=Summary!$B$2),"Negative realized loss not applied - check sign",IF(R921&lt;0,"Principal paid exceeds prior balance",IF(AND(L921&gt;Q921,NOT(ISNUMBER(P921))),"Balance increased but no Deferred_interest reported",IF(L921&gt;R921,"Reported balance higher than expected (missing increase/OC build)","Reported balance lower than expected (missing decrease)"))))),""))</f>
        <v/>
      </c>
    </row>
    <row r="922" customFormat="false" ht="15" hidden="false" customHeight="false" outlineLevel="0" collapsed="false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9"/>
      <c r="L922" s="9"/>
      <c r="M922" s="9"/>
      <c r="N922" s="9"/>
      <c r="O922" s="9"/>
      <c r="P922" s="9"/>
      <c r="Q922" s="9"/>
      <c r="R922" s="9" t="str">
        <f aca="false">IF(AND(A922&lt;&gt;"",ISNUMBER(Q922),ISNUMBER(L922)),ROUND(Q922-IF(ISNUMBER(N922),N922,0)-IF(ISNUMBER(O922),O922,0)+IF(ISNUMBER(P922),P922,0),2),"")</f>
        <v/>
      </c>
      <c r="S922" s="9" t="str">
        <f aca="false">IF(R922="","",ROUND(L922-R922,2))</f>
        <v/>
      </c>
      <c r="T922" s="8" t="str">
        <f aca="false">IF(A922="","",IF(S922="","BYPASS",IF(ABS(S922)&lt;=Summary!$B$2,"PASS","FAIL")))</f>
        <v/>
      </c>
      <c r="U922" s="8" t="str">
        <f aca="false">IF(T922="BYPASS",IF(NOT(ISNUMBER(Q922)),"PreV_ETB missing","End_tr_balance missing"),IF(T922="FAIL",IF(AND(ISNUMBER(K922),ISNUMBER(L922),ABS(L922-(K922-IF(ISNUMBER(N922),N922,0)-IF(ISNUMBER(O922),O922,0)+IF(ISNUMBER(P922),P922,0)))&lt;=Summary!$B$2),"Passes using beginning_balance - PreV_ETB differs from beginning_balance",IF(AND(ISNUMBER(O922),O922&lt;0,ABS(L922-(Q922-IF(ISNUMBER(N922),N922,0)+IF(ISNUMBER(P922),P922,0)))&lt;=Summary!$B$2),"Negative realized loss not applied - check sign",IF(R922&lt;0,"Principal paid exceeds prior balance",IF(AND(L922&gt;Q922,NOT(ISNUMBER(P922))),"Balance increased but no Deferred_interest reported",IF(L922&gt;R922,"Reported balance higher than expected (missing increase/OC build)","Reported balance lower than expected (missing decrease)"))))),""))</f>
        <v/>
      </c>
    </row>
    <row r="923" customFormat="false" ht="15" hidden="false" customHeight="false" outlineLevel="0" collapsed="false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9"/>
      <c r="L923" s="9"/>
      <c r="M923" s="9"/>
      <c r="N923" s="9"/>
      <c r="O923" s="9"/>
      <c r="P923" s="9"/>
      <c r="Q923" s="9"/>
      <c r="R923" s="9" t="str">
        <f aca="false">IF(AND(A923&lt;&gt;"",ISNUMBER(Q923),ISNUMBER(L923)),ROUND(Q923-IF(ISNUMBER(N923),N923,0)-IF(ISNUMBER(O923),O923,0)+IF(ISNUMBER(P923),P923,0),2),"")</f>
        <v/>
      </c>
      <c r="S923" s="9" t="str">
        <f aca="false">IF(R923="","",ROUND(L923-R923,2))</f>
        <v/>
      </c>
      <c r="T923" s="8" t="str">
        <f aca="false">IF(A923="","",IF(S923="","BYPASS",IF(ABS(S923)&lt;=Summary!$B$2,"PASS","FAIL")))</f>
        <v/>
      </c>
      <c r="U923" s="8" t="str">
        <f aca="false">IF(T923="BYPASS",IF(NOT(ISNUMBER(Q923)),"PreV_ETB missing","End_tr_balance missing"),IF(T923="FAIL",IF(AND(ISNUMBER(K923),ISNUMBER(L923),ABS(L923-(K923-IF(ISNUMBER(N923),N923,0)-IF(ISNUMBER(O923),O923,0)+IF(ISNUMBER(P923),P923,0)))&lt;=Summary!$B$2),"Passes using beginning_balance - PreV_ETB differs from beginning_balance",IF(AND(ISNUMBER(O923),O923&lt;0,ABS(L923-(Q923-IF(ISNUMBER(N923),N923,0)+IF(ISNUMBER(P923),P923,0)))&lt;=Summary!$B$2),"Negative realized loss not applied - check sign",IF(R923&lt;0,"Principal paid exceeds prior balance",IF(AND(L923&gt;Q923,NOT(ISNUMBER(P923))),"Balance increased but no Deferred_interest reported",IF(L923&gt;R923,"Reported balance higher than expected (missing increase/OC build)","Reported balance lower than expected (missing decrease)"))))),""))</f>
        <v/>
      </c>
    </row>
    <row r="924" customFormat="false" ht="15" hidden="false" customHeight="false" outlineLevel="0" collapsed="false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9"/>
      <c r="L924" s="9"/>
      <c r="M924" s="9"/>
      <c r="N924" s="9"/>
      <c r="O924" s="9"/>
      <c r="P924" s="9"/>
      <c r="Q924" s="9"/>
      <c r="R924" s="9" t="str">
        <f aca="false">IF(AND(A924&lt;&gt;"",ISNUMBER(Q924),ISNUMBER(L924)),ROUND(Q924-IF(ISNUMBER(N924),N924,0)-IF(ISNUMBER(O924),O924,0)+IF(ISNUMBER(P924),P924,0),2),"")</f>
        <v/>
      </c>
      <c r="S924" s="9" t="str">
        <f aca="false">IF(R924="","",ROUND(L924-R924,2))</f>
        <v/>
      </c>
      <c r="T924" s="8" t="str">
        <f aca="false">IF(A924="","",IF(S924="","BYPASS",IF(ABS(S924)&lt;=Summary!$B$2,"PASS","FAIL")))</f>
        <v/>
      </c>
      <c r="U924" s="8" t="str">
        <f aca="false">IF(T924="BYPASS",IF(NOT(ISNUMBER(Q924)),"PreV_ETB missing","End_tr_balance missing"),IF(T924="FAIL",IF(AND(ISNUMBER(K924),ISNUMBER(L924),ABS(L924-(K924-IF(ISNUMBER(N924),N924,0)-IF(ISNUMBER(O924),O924,0)+IF(ISNUMBER(P924),P924,0)))&lt;=Summary!$B$2),"Passes using beginning_balance - PreV_ETB differs from beginning_balance",IF(AND(ISNUMBER(O924),O924&lt;0,ABS(L924-(Q924-IF(ISNUMBER(N924),N924,0)+IF(ISNUMBER(P924),P924,0)))&lt;=Summary!$B$2),"Negative realized loss not applied - check sign",IF(R924&lt;0,"Principal paid exceeds prior balance",IF(AND(L924&gt;Q924,NOT(ISNUMBER(P924))),"Balance increased but no Deferred_interest reported",IF(L924&gt;R924,"Reported balance higher than expected (missing increase/OC build)","Reported balance lower than expected (missing decrease)"))))),""))</f>
        <v/>
      </c>
    </row>
    <row r="925" customFormat="false" ht="15" hidden="false" customHeight="false" outlineLevel="0" collapsed="false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9"/>
      <c r="L925" s="9"/>
      <c r="M925" s="9"/>
      <c r="N925" s="9"/>
      <c r="O925" s="9"/>
      <c r="P925" s="9"/>
      <c r="Q925" s="9"/>
      <c r="R925" s="9" t="str">
        <f aca="false">IF(AND(A925&lt;&gt;"",ISNUMBER(Q925),ISNUMBER(L925)),ROUND(Q925-IF(ISNUMBER(N925),N925,0)-IF(ISNUMBER(O925),O925,0)+IF(ISNUMBER(P925),P925,0),2),"")</f>
        <v/>
      </c>
      <c r="S925" s="9" t="str">
        <f aca="false">IF(R925="","",ROUND(L925-R925,2))</f>
        <v/>
      </c>
      <c r="T925" s="8" t="str">
        <f aca="false">IF(A925="","",IF(S925="","BYPASS",IF(ABS(S925)&lt;=Summary!$B$2,"PASS","FAIL")))</f>
        <v/>
      </c>
      <c r="U925" s="8" t="str">
        <f aca="false">IF(T925="BYPASS",IF(NOT(ISNUMBER(Q925)),"PreV_ETB missing","End_tr_balance missing"),IF(T925="FAIL",IF(AND(ISNUMBER(K925),ISNUMBER(L925),ABS(L925-(K925-IF(ISNUMBER(N925),N925,0)-IF(ISNUMBER(O925),O925,0)+IF(ISNUMBER(P925),P925,0)))&lt;=Summary!$B$2),"Passes using beginning_balance - PreV_ETB differs from beginning_balance",IF(AND(ISNUMBER(O925),O925&lt;0,ABS(L925-(Q925-IF(ISNUMBER(N925),N925,0)+IF(ISNUMBER(P925),P925,0)))&lt;=Summary!$B$2),"Negative realized loss not applied - check sign",IF(R925&lt;0,"Principal paid exceeds prior balance",IF(AND(L925&gt;Q925,NOT(ISNUMBER(P925))),"Balance increased but no Deferred_interest reported",IF(L925&gt;R925,"Reported balance higher than expected (missing increase/OC build)","Reported balance lower than expected (missing decrease)"))))),""))</f>
        <v/>
      </c>
    </row>
    <row r="926" customFormat="false" ht="15" hidden="false" customHeight="false" outlineLevel="0" collapsed="false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9"/>
      <c r="L926" s="9"/>
      <c r="M926" s="9"/>
      <c r="N926" s="9"/>
      <c r="O926" s="9"/>
      <c r="P926" s="9"/>
      <c r="Q926" s="9"/>
      <c r="R926" s="9" t="str">
        <f aca="false">IF(AND(A926&lt;&gt;"",ISNUMBER(Q926),ISNUMBER(L926)),ROUND(Q926-IF(ISNUMBER(N926),N926,0)-IF(ISNUMBER(O926),O926,0)+IF(ISNUMBER(P926),P926,0),2),"")</f>
        <v/>
      </c>
      <c r="S926" s="9" t="str">
        <f aca="false">IF(R926="","",ROUND(L926-R926,2))</f>
        <v/>
      </c>
      <c r="T926" s="8" t="str">
        <f aca="false">IF(A926="","",IF(S926="","BYPASS",IF(ABS(S926)&lt;=Summary!$B$2,"PASS","FAIL")))</f>
        <v/>
      </c>
      <c r="U926" s="8" t="str">
        <f aca="false">IF(T926="BYPASS",IF(NOT(ISNUMBER(Q926)),"PreV_ETB missing","End_tr_balance missing"),IF(T926="FAIL",IF(AND(ISNUMBER(K926),ISNUMBER(L926),ABS(L926-(K926-IF(ISNUMBER(N926),N926,0)-IF(ISNUMBER(O926),O926,0)+IF(ISNUMBER(P926),P926,0)))&lt;=Summary!$B$2),"Passes using beginning_balance - PreV_ETB differs from beginning_balance",IF(AND(ISNUMBER(O926),O926&lt;0,ABS(L926-(Q926-IF(ISNUMBER(N926),N926,0)+IF(ISNUMBER(P926),P926,0)))&lt;=Summary!$B$2),"Negative realized loss not applied - check sign",IF(R926&lt;0,"Principal paid exceeds prior balance",IF(AND(L926&gt;Q926,NOT(ISNUMBER(P926))),"Balance increased but no Deferred_interest reported",IF(L926&gt;R926,"Reported balance higher than expected (missing increase/OC build)","Reported balance lower than expected (missing decrease)"))))),""))</f>
        <v/>
      </c>
    </row>
    <row r="927" customFormat="false" ht="15" hidden="false" customHeight="false" outlineLevel="0" collapsed="false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9"/>
      <c r="L927" s="9"/>
      <c r="M927" s="9"/>
      <c r="N927" s="9"/>
      <c r="O927" s="9"/>
      <c r="P927" s="9"/>
      <c r="Q927" s="9"/>
      <c r="R927" s="9" t="str">
        <f aca="false">IF(AND(A927&lt;&gt;"",ISNUMBER(Q927),ISNUMBER(L927)),ROUND(Q927-IF(ISNUMBER(N927),N927,0)-IF(ISNUMBER(O927),O927,0)+IF(ISNUMBER(P927),P927,0),2),"")</f>
        <v/>
      </c>
      <c r="S927" s="9" t="str">
        <f aca="false">IF(R927="","",ROUND(L927-R927,2))</f>
        <v/>
      </c>
      <c r="T927" s="8" t="str">
        <f aca="false">IF(A927="","",IF(S927="","BYPASS",IF(ABS(S927)&lt;=Summary!$B$2,"PASS","FAIL")))</f>
        <v/>
      </c>
      <c r="U927" s="8" t="str">
        <f aca="false">IF(T927="BYPASS",IF(NOT(ISNUMBER(Q927)),"PreV_ETB missing","End_tr_balance missing"),IF(T927="FAIL",IF(AND(ISNUMBER(K927),ISNUMBER(L927),ABS(L927-(K927-IF(ISNUMBER(N927),N927,0)-IF(ISNUMBER(O927),O927,0)+IF(ISNUMBER(P927),P927,0)))&lt;=Summary!$B$2),"Passes using beginning_balance - PreV_ETB differs from beginning_balance",IF(AND(ISNUMBER(O927),O927&lt;0,ABS(L927-(Q927-IF(ISNUMBER(N927),N927,0)+IF(ISNUMBER(P927),P927,0)))&lt;=Summary!$B$2),"Negative realized loss not applied - check sign",IF(R927&lt;0,"Principal paid exceeds prior balance",IF(AND(L927&gt;Q927,NOT(ISNUMBER(P927))),"Balance increased but no Deferred_interest reported",IF(L927&gt;R927,"Reported balance higher than expected (missing increase/OC build)","Reported balance lower than expected (missing decrease)"))))),""))</f>
        <v/>
      </c>
    </row>
    <row r="928" customFormat="false" ht="15" hidden="false" customHeight="false" outlineLevel="0" collapsed="false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9"/>
      <c r="L928" s="9"/>
      <c r="M928" s="9"/>
      <c r="N928" s="9"/>
      <c r="O928" s="9"/>
      <c r="P928" s="9"/>
      <c r="Q928" s="9"/>
      <c r="R928" s="9" t="str">
        <f aca="false">IF(AND(A928&lt;&gt;"",ISNUMBER(Q928),ISNUMBER(L928)),ROUND(Q928-IF(ISNUMBER(N928),N928,0)-IF(ISNUMBER(O928),O928,0)+IF(ISNUMBER(P928),P928,0),2),"")</f>
        <v/>
      </c>
      <c r="S928" s="9" t="str">
        <f aca="false">IF(R928="","",ROUND(L928-R928,2))</f>
        <v/>
      </c>
      <c r="T928" s="8" t="str">
        <f aca="false">IF(A928="","",IF(S928="","BYPASS",IF(ABS(S928)&lt;=Summary!$B$2,"PASS","FAIL")))</f>
        <v/>
      </c>
      <c r="U928" s="8" t="str">
        <f aca="false">IF(T928="BYPASS",IF(NOT(ISNUMBER(Q928)),"PreV_ETB missing","End_tr_balance missing"),IF(T928="FAIL",IF(AND(ISNUMBER(K928),ISNUMBER(L928),ABS(L928-(K928-IF(ISNUMBER(N928),N928,0)-IF(ISNUMBER(O928),O928,0)+IF(ISNUMBER(P928),P928,0)))&lt;=Summary!$B$2),"Passes using beginning_balance - PreV_ETB differs from beginning_balance",IF(AND(ISNUMBER(O928),O928&lt;0,ABS(L928-(Q928-IF(ISNUMBER(N928),N928,0)+IF(ISNUMBER(P928),P928,0)))&lt;=Summary!$B$2),"Negative realized loss not applied - check sign",IF(R928&lt;0,"Principal paid exceeds prior balance",IF(AND(L928&gt;Q928,NOT(ISNUMBER(P928))),"Balance increased but no Deferred_interest reported",IF(L928&gt;R928,"Reported balance higher than expected (missing increase/OC build)","Reported balance lower than expected (missing decrease)"))))),""))</f>
        <v/>
      </c>
    </row>
    <row r="929" customFormat="false" ht="15" hidden="false" customHeight="false" outlineLevel="0" collapsed="false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9"/>
      <c r="L929" s="9"/>
      <c r="M929" s="9"/>
      <c r="N929" s="9"/>
      <c r="O929" s="9"/>
      <c r="P929" s="9"/>
      <c r="Q929" s="9"/>
      <c r="R929" s="9" t="str">
        <f aca="false">IF(AND(A929&lt;&gt;"",ISNUMBER(Q929),ISNUMBER(L929)),ROUND(Q929-IF(ISNUMBER(N929),N929,0)-IF(ISNUMBER(O929),O929,0)+IF(ISNUMBER(P929),P929,0),2),"")</f>
        <v/>
      </c>
      <c r="S929" s="9" t="str">
        <f aca="false">IF(R929="","",ROUND(L929-R929,2))</f>
        <v/>
      </c>
      <c r="T929" s="8" t="str">
        <f aca="false">IF(A929="","",IF(S929="","BYPASS",IF(ABS(S929)&lt;=Summary!$B$2,"PASS","FAIL")))</f>
        <v/>
      </c>
      <c r="U929" s="8" t="str">
        <f aca="false">IF(T929="BYPASS",IF(NOT(ISNUMBER(Q929)),"PreV_ETB missing","End_tr_balance missing"),IF(T929="FAIL",IF(AND(ISNUMBER(K929),ISNUMBER(L929),ABS(L929-(K929-IF(ISNUMBER(N929),N929,0)-IF(ISNUMBER(O929),O929,0)+IF(ISNUMBER(P929),P929,0)))&lt;=Summary!$B$2),"Passes using beginning_balance - PreV_ETB differs from beginning_balance",IF(AND(ISNUMBER(O929),O929&lt;0,ABS(L929-(Q929-IF(ISNUMBER(N929),N929,0)+IF(ISNUMBER(P929),P929,0)))&lt;=Summary!$B$2),"Negative realized loss not applied - check sign",IF(R929&lt;0,"Principal paid exceeds prior balance",IF(AND(L929&gt;Q929,NOT(ISNUMBER(P929))),"Balance increased but no Deferred_interest reported",IF(L929&gt;R929,"Reported balance higher than expected (missing increase/OC build)","Reported balance lower than expected (missing decrease)"))))),""))</f>
        <v/>
      </c>
    </row>
    <row r="930" customFormat="false" ht="15" hidden="false" customHeight="false" outlineLevel="0" collapsed="false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9"/>
      <c r="L930" s="9"/>
      <c r="M930" s="9"/>
      <c r="N930" s="9"/>
      <c r="O930" s="9"/>
      <c r="P930" s="9"/>
      <c r="Q930" s="9"/>
      <c r="R930" s="9" t="str">
        <f aca="false">IF(AND(A930&lt;&gt;"",ISNUMBER(Q930),ISNUMBER(L930)),ROUND(Q930-IF(ISNUMBER(N930),N930,0)-IF(ISNUMBER(O930),O930,0)+IF(ISNUMBER(P930),P930,0),2),"")</f>
        <v/>
      </c>
      <c r="S930" s="9" t="str">
        <f aca="false">IF(R930="","",ROUND(L930-R930,2))</f>
        <v/>
      </c>
      <c r="T930" s="8" t="str">
        <f aca="false">IF(A930="","",IF(S930="","BYPASS",IF(ABS(S930)&lt;=Summary!$B$2,"PASS","FAIL")))</f>
        <v/>
      </c>
      <c r="U930" s="8" t="str">
        <f aca="false">IF(T930="BYPASS",IF(NOT(ISNUMBER(Q930)),"PreV_ETB missing","End_tr_balance missing"),IF(T930="FAIL",IF(AND(ISNUMBER(K930),ISNUMBER(L930),ABS(L930-(K930-IF(ISNUMBER(N930),N930,0)-IF(ISNUMBER(O930),O930,0)+IF(ISNUMBER(P930),P930,0)))&lt;=Summary!$B$2),"Passes using beginning_balance - PreV_ETB differs from beginning_balance",IF(AND(ISNUMBER(O930),O930&lt;0,ABS(L930-(Q930-IF(ISNUMBER(N930),N930,0)+IF(ISNUMBER(P930),P930,0)))&lt;=Summary!$B$2),"Negative realized loss not applied - check sign",IF(R930&lt;0,"Principal paid exceeds prior balance",IF(AND(L930&gt;Q930,NOT(ISNUMBER(P930))),"Balance increased but no Deferred_interest reported",IF(L930&gt;R930,"Reported balance higher than expected (missing increase/OC build)","Reported balance lower than expected (missing decrease)"))))),""))</f>
        <v/>
      </c>
    </row>
    <row r="931" customFormat="false" ht="15" hidden="false" customHeight="false" outlineLevel="0" collapsed="false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9"/>
      <c r="L931" s="9"/>
      <c r="M931" s="9"/>
      <c r="N931" s="9"/>
      <c r="O931" s="9"/>
      <c r="P931" s="9"/>
      <c r="Q931" s="9"/>
      <c r="R931" s="9" t="str">
        <f aca="false">IF(AND(A931&lt;&gt;"",ISNUMBER(Q931),ISNUMBER(L931)),ROUND(Q931-IF(ISNUMBER(N931),N931,0)-IF(ISNUMBER(O931),O931,0)+IF(ISNUMBER(P931),P931,0),2),"")</f>
        <v/>
      </c>
      <c r="S931" s="9" t="str">
        <f aca="false">IF(R931="","",ROUND(L931-R931,2))</f>
        <v/>
      </c>
      <c r="T931" s="8" t="str">
        <f aca="false">IF(A931="","",IF(S931="","BYPASS",IF(ABS(S931)&lt;=Summary!$B$2,"PASS","FAIL")))</f>
        <v/>
      </c>
      <c r="U931" s="8" t="str">
        <f aca="false">IF(T931="BYPASS",IF(NOT(ISNUMBER(Q931)),"PreV_ETB missing","End_tr_balance missing"),IF(T931="FAIL",IF(AND(ISNUMBER(K931),ISNUMBER(L931),ABS(L931-(K931-IF(ISNUMBER(N931),N931,0)-IF(ISNUMBER(O931),O931,0)+IF(ISNUMBER(P931),P931,0)))&lt;=Summary!$B$2),"Passes using beginning_balance - PreV_ETB differs from beginning_balance",IF(AND(ISNUMBER(O931),O931&lt;0,ABS(L931-(Q931-IF(ISNUMBER(N931),N931,0)+IF(ISNUMBER(P931),P931,0)))&lt;=Summary!$B$2),"Negative realized loss not applied - check sign",IF(R931&lt;0,"Principal paid exceeds prior balance",IF(AND(L931&gt;Q931,NOT(ISNUMBER(P931))),"Balance increased but no Deferred_interest reported",IF(L931&gt;R931,"Reported balance higher than expected (missing increase/OC build)","Reported balance lower than expected (missing decrease)"))))),""))</f>
        <v/>
      </c>
    </row>
    <row r="932" customFormat="false" ht="15" hidden="false" customHeight="false" outlineLevel="0" collapsed="false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9"/>
      <c r="L932" s="9"/>
      <c r="M932" s="9"/>
      <c r="N932" s="9"/>
      <c r="O932" s="9"/>
      <c r="P932" s="9"/>
      <c r="Q932" s="9"/>
      <c r="R932" s="9" t="str">
        <f aca="false">IF(AND(A932&lt;&gt;"",ISNUMBER(Q932),ISNUMBER(L932)),ROUND(Q932-IF(ISNUMBER(N932),N932,0)-IF(ISNUMBER(O932),O932,0)+IF(ISNUMBER(P932),P932,0),2),"")</f>
        <v/>
      </c>
      <c r="S932" s="9" t="str">
        <f aca="false">IF(R932="","",ROUND(L932-R932,2))</f>
        <v/>
      </c>
      <c r="T932" s="8" t="str">
        <f aca="false">IF(A932="","",IF(S932="","BYPASS",IF(ABS(S932)&lt;=Summary!$B$2,"PASS","FAIL")))</f>
        <v/>
      </c>
      <c r="U932" s="8" t="str">
        <f aca="false">IF(T932="BYPASS",IF(NOT(ISNUMBER(Q932)),"PreV_ETB missing","End_tr_balance missing"),IF(T932="FAIL",IF(AND(ISNUMBER(K932),ISNUMBER(L932),ABS(L932-(K932-IF(ISNUMBER(N932),N932,0)-IF(ISNUMBER(O932),O932,0)+IF(ISNUMBER(P932),P932,0)))&lt;=Summary!$B$2),"Passes using beginning_balance - PreV_ETB differs from beginning_balance",IF(AND(ISNUMBER(O932),O932&lt;0,ABS(L932-(Q932-IF(ISNUMBER(N932),N932,0)+IF(ISNUMBER(P932),P932,0)))&lt;=Summary!$B$2),"Negative realized loss not applied - check sign",IF(R932&lt;0,"Principal paid exceeds prior balance",IF(AND(L932&gt;Q932,NOT(ISNUMBER(P932))),"Balance increased but no Deferred_interest reported",IF(L932&gt;R932,"Reported balance higher than expected (missing increase/OC build)","Reported balance lower than expected (missing decrease)"))))),""))</f>
        <v/>
      </c>
    </row>
    <row r="933" customFormat="false" ht="15" hidden="false" customHeight="false" outlineLevel="0" collapsed="false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9"/>
      <c r="L933" s="9"/>
      <c r="M933" s="9"/>
      <c r="N933" s="9"/>
      <c r="O933" s="9"/>
      <c r="P933" s="9"/>
      <c r="Q933" s="9"/>
      <c r="R933" s="9" t="str">
        <f aca="false">IF(AND(A933&lt;&gt;"",ISNUMBER(Q933),ISNUMBER(L933)),ROUND(Q933-IF(ISNUMBER(N933),N933,0)-IF(ISNUMBER(O933),O933,0)+IF(ISNUMBER(P933),P933,0),2),"")</f>
        <v/>
      </c>
      <c r="S933" s="9" t="str">
        <f aca="false">IF(R933="","",ROUND(L933-R933,2))</f>
        <v/>
      </c>
      <c r="T933" s="8" t="str">
        <f aca="false">IF(A933="","",IF(S933="","BYPASS",IF(ABS(S933)&lt;=Summary!$B$2,"PASS","FAIL")))</f>
        <v/>
      </c>
      <c r="U933" s="8" t="str">
        <f aca="false">IF(T933="BYPASS",IF(NOT(ISNUMBER(Q933)),"PreV_ETB missing","End_tr_balance missing"),IF(T933="FAIL",IF(AND(ISNUMBER(K933),ISNUMBER(L933),ABS(L933-(K933-IF(ISNUMBER(N933),N933,0)-IF(ISNUMBER(O933),O933,0)+IF(ISNUMBER(P933),P933,0)))&lt;=Summary!$B$2),"Passes using beginning_balance - PreV_ETB differs from beginning_balance",IF(AND(ISNUMBER(O933),O933&lt;0,ABS(L933-(Q933-IF(ISNUMBER(N933),N933,0)+IF(ISNUMBER(P933),P933,0)))&lt;=Summary!$B$2),"Negative realized loss not applied - check sign",IF(R933&lt;0,"Principal paid exceeds prior balance",IF(AND(L933&gt;Q933,NOT(ISNUMBER(P933))),"Balance increased but no Deferred_interest reported",IF(L933&gt;R933,"Reported balance higher than expected (missing increase/OC build)","Reported balance lower than expected (missing decrease)"))))),""))</f>
        <v/>
      </c>
    </row>
    <row r="934" customFormat="false" ht="15" hidden="false" customHeight="false" outlineLevel="0" collapsed="false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9"/>
      <c r="L934" s="9"/>
      <c r="M934" s="9"/>
      <c r="N934" s="9"/>
      <c r="O934" s="9"/>
      <c r="P934" s="9"/>
      <c r="Q934" s="9"/>
      <c r="R934" s="9" t="str">
        <f aca="false">IF(AND(A934&lt;&gt;"",ISNUMBER(Q934),ISNUMBER(L934)),ROUND(Q934-IF(ISNUMBER(N934),N934,0)-IF(ISNUMBER(O934),O934,0)+IF(ISNUMBER(P934),P934,0),2),"")</f>
        <v/>
      </c>
      <c r="S934" s="9" t="str">
        <f aca="false">IF(R934="","",ROUND(L934-R934,2))</f>
        <v/>
      </c>
      <c r="T934" s="8" t="str">
        <f aca="false">IF(A934="","",IF(S934="","BYPASS",IF(ABS(S934)&lt;=Summary!$B$2,"PASS","FAIL")))</f>
        <v/>
      </c>
      <c r="U934" s="8" t="str">
        <f aca="false">IF(T934="BYPASS",IF(NOT(ISNUMBER(Q934)),"PreV_ETB missing","End_tr_balance missing"),IF(T934="FAIL",IF(AND(ISNUMBER(K934),ISNUMBER(L934),ABS(L934-(K934-IF(ISNUMBER(N934),N934,0)-IF(ISNUMBER(O934),O934,0)+IF(ISNUMBER(P934),P934,0)))&lt;=Summary!$B$2),"Passes using beginning_balance - PreV_ETB differs from beginning_balance",IF(AND(ISNUMBER(O934),O934&lt;0,ABS(L934-(Q934-IF(ISNUMBER(N934),N934,0)+IF(ISNUMBER(P934),P934,0)))&lt;=Summary!$B$2),"Negative realized loss not applied - check sign",IF(R934&lt;0,"Principal paid exceeds prior balance",IF(AND(L934&gt;Q934,NOT(ISNUMBER(P934))),"Balance increased but no Deferred_interest reported",IF(L934&gt;R934,"Reported balance higher than expected (missing increase/OC build)","Reported balance lower than expected (missing decrease)"))))),""))</f>
        <v/>
      </c>
    </row>
    <row r="935" customFormat="false" ht="15" hidden="false" customHeight="false" outlineLevel="0" collapsed="false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9"/>
      <c r="L935" s="9"/>
      <c r="M935" s="9"/>
      <c r="N935" s="9"/>
      <c r="O935" s="9"/>
      <c r="P935" s="9"/>
      <c r="Q935" s="9"/>
      <c r="R935" s="9" t="str">
        <f aca="false">IF(AND(A935&lt;&gt;"",ISNUMBER(Q935),ISNUMBER(L935)),ROUND(Q935-IF(ISNUMBER(N935),N935,0)-IF(ISNUMBER(O935),O935,0)+IF(ISNUMBER(P935),P935,0),2),"")</f>
        <v/>
      </c>
      <c r="S935" s="9" t="str">
        <f aca="false">IF(R935="","",ROUND(L935-R935,2))</f>
        <v/>
      </c>
      <c r="T935" s="8" t="str">
        <f aca="false">IF(A935="","",IF(S935="","BYPASS",IF(ABS(S935)&lt;=Summary!$B$2,"PASS","FAIL")))</f>
        <v/>
      </c>
      <c r="U935" s="8" t="str">
        <f aca="false">IF(T935="BYPASS",IF(NOT(ISNUMBER(Q935)),"PreV_ETB missing","End_tr_balance missing"),IF(T935="FAIL",IF(AND(ISNUMBER(K935),ISNUMBER(L935),ABS(L935-(K935-IF(ISNUMBER(N935),N935,0)-IF(ISNUMBER(O935),O935,0)+IF(ISNUMBER(P935),P935,0)))&lt;=Summary!$B$2),"Passes using beginning_balance - PreV_ETB differs from beginning_balance",IF(AND(ISNUMBER(O935),O935&lt;0,ABS(L935-(Q935-IF(ISNUMBER(N935),N935,0)+IF(ISNUMBER(P935),P935,0)))&lt;=Summary!$B$2),"Negative realized loss not applied - check sign",IF(R935&lt;0,"Principal paid exceeds prior balance",IF(AND(L935&gt;Q935,NOT(ISNUMBER(P935))),"Balance increased but no Deferred_interest reported",IF(L935&gt;R935,"Reported balance higher than expected (missing increase/OC build)","Reported balance lower than expected (missing decrease)"))))),""))</f>
        <v/>
      </c>
    </row>
    <row r="936" customFormat="false" ht="15" hidden="false" customHeight="false" outlineLevel="0" collapsed="false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9"/>
      <c r="L936" s="9"/>
      <c r="M936" s="9"/>
      <c r="N936" s="9"/>
      <c r="O936" s="9"/>
      <c r="P936" s="9"/>
      <c r="Q936" s="9"/>
      <c r="R936" s="9" t="str">
        <f aca="false">IF(AND(A936&lt;&gt;"",ISNUMBER(Q936),ISNUMBER(L936)),ROUND(Q936-IF(ISNUMBER(N936),N936,0)-IF(ISNUMBER(O936),O936,0)+IF(ISNUMBER(P936),P936,0),2),"")</f>
        <v/>
      </c>
      <c r="S936" s="9" t="str">
        <f aca="false">IF(R936="","",ROUND(L936-R936,2))</f>
        <v/>
      </c>
      <c r="T936" s="8" t="str">
        <f aca="false">IF(A936="","",IF(S936="","BYPASS",IF(ABS(S936)&lt;=Summary!$B$2,"PASS","FAIL")))</f>
        <v/>
      </c>
      <c r="U936" s="8" t="str">
        <f aca="false">IF(T936="BYPASS",IF(NOT(ISNUMBER(Q936)),"PreV_ETB missing","End_tr_balance missing"),IF(T936="FAIL",IF(AND(ISNUMBER(K936),ISNUMBER(L936),ABS(L936-(K936-IF(ISNUMBER(N936),N936,0)-IF(ISNUMBER(O936),O936,0)+IF(ISNUMBER(P936),P936,0)))&lt;=Summary!$B$2),"Passes using beginning_balance - PreV_ETB differs from beginning_balance",IF(AND(ISNUMBER(O936),O936&lt;0,ABS(L936-(Q936-IF(ISNUMBER(N936),N936,0)+IF(ISNUMBER(P936),P936,0)))&lt;=Summary!$B$2),"Negative realized loss not applied - check sign",IF(R936&lt;0,"Principal paid exceeds prior balance",IF(AND(L936&gt;Q936,NOT(ISNUMBER(P936))),"Balance increased but no Deferred_interest reported",IF(L936&gt;R936,"Reported balance higher than expected (missing increase/OC build)","Reported balance lower than expected (missing decrease)"))))),""))</f>
        <v/>
      </c>
    </row>
    <row r="937" customFormat="false" ht="15" hidden="false" customHeight="false" outlineLevel="0" collapsed="false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9"/>
      <c r="L937" s="9"/>
      <c r="M937" s="9"/>
      <c r="N937" s="9"/>
      <c r="O937" s="9"/>
      <c r="P937" s="9"/>
      <c r="Q937" s="9"/>
      <c r="R937" s="9" t="str">
        <f aca="false">IF(AND(A937&lt;&gt;"",ISNUMBER(Q937),ISNUMBER(L937)),ROUND(Q937-IF(ISNUMBER(N937),N937,0)-IF(ISNUMBER(O937),O937,0)+IF(ISNUMBER(P937),P937,0),2),"")</f>
        <v/>
      </c>
      <c r="S937" s="9" t="str">
        <f aca="false">IF(R937="","",ROUND(L937-R937,2))</f>
        <v/>
      </c>
      <c r="T937" s="8" t="str">
        <f aca="false">IF(A937="","",IF(S937="","BYPASS",IF(ABS(S937)&lt;=Summary!$B$2,"PASS","FAIL")))</f>
        <v/>
      </c>
      <c r="U937" s="8" t="str">
        <f aca="false">IF(T937="BYPASS",IF(NOT(ISNUMBER(Q937)),"PreV_ETB missing","End_tr_balance missing"),IF(T937="FAIL",IF(AND(ISNUMBER(K937),ISNUMBER(L937),ABS(L937-(K937-IF(ISNUMBER(N937),N937,0)-IF(ISNUMBER(O937),O937,0)+IF(ISNUMBER(P937),P937,0)))&lt;=Summary!$B$2),"Passes using beginning_balance - PreV_ETB differs from beginning_balance",IF(AND(ISNUMBER(O937),O937&lt;0,ABS(L937-(Q937-IF(ISNUMBER(N937),N937,0)+IF(ISNUMBER(P937),P937,0)))&lt;=Summary!$B$2),"Negative realized loss not applied - check sign",IF(R937&lt;0,"Principal paid exceeds prior balance",IF(AND(L937&gt;Q937,NOT(ISNUMBER(P937))),"Balance increased but no Deferred_interest reported",IF(L937&gt;R937,"Reported balance higher than expected (missing increase/OC build)","Reported balance lower than expected (missing decrease)"))))),""))</f>
        <v/>
      </c>
    </row>
    <row r="938" customFormat="false" ht="15" hidden="false" customHeight="false" outlineLevel="0" collapsed="false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9"/>
      <c r="L938" s="9"/>
      <c r="M938" s="9"/>
      <c r="N938" s="9"/>
      <c r="O938" s="9"/>
      <c r="P938" s="9"/>
      <c r="Q938" s="9"/>
      <c r="R938" s="9" t="str">
        <f aca="false">IF(AND(A938&lt;&gt;"",ISNUMBER(Q938),ISNUMBER(L938)),ROUND(Q938-IF(ISNUMBER(N938),N938,0)-IF(ISNUMBER(O938),O938,0)+IF(ISNUMBER(P938),P938,0),2),"")</f>
        <v/>
      </c>
      <c r="S938" s="9" t="str">
        <f aca="false">IF(R938="","",ROUND(L938-R938,2))</f>
        <v/>
      </c>
      <c r="T938" s="8" t="str">
        <f aca="false">IF(A938="","",IF(S938="","BYPASS",IF(ABS(S938)&lt;=Summary!$B$2,"PASS","FAIL")))</f>
        <v/>
      </c>
      <c r="U938" s="8" t="str">
        <f aca="false">IF(T938="BYPASS",IF(NOT(ISNUMBER(Q938)),"PreV_ETB missing","End_tr_balance missing"),IF(T938="FAIL",IF(AND(ISNUMBER(K938),ISNUMBER(L938),ABS(L938-(K938-IF(ISNUMBER(N938),N938,0)-IF(ISNUMBER(O938),O938,0)+IF(ISNUMBER(P938),P938,0)))&lt;=Summary!$B$2),"Passes using beginning_balance - PreV_ETB differs from beginning_balance",IF(AND(ISNUMBER(O938),O938&lt;0,ABS(L938-(Q938-IF(ISNUMBER(N938),N938,0)+IF(ISNUMBER(P938),P938,0)))&lt;=Summary!$B$2),"Negative realized loss not applied - check sign",IF(R938&lt;0,"Principal paid exceeds prior balance",IF(AND(L938&gt;Q938,NOT(ISNUMBER(P938))),"Balance increased but no Deferred_interest reported",IF(L938&gt;R938,"Reported balance higher than expected (missing increase/OC build)","Reported balance lower than expected (missing decrease)"))))),""))</f>
        <v/>
      </c>
    </row>
    <row r="939" customFormat="false" ht="15" hidden="false" customHeight="false" outlineLevel="0" collapsed="false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9"/>
      <c r="L939" s="9"/>
      <c r="M939" s="9"/>
      <c r="N939" s="9"/>
      <c r="O939" s="9"/>
      <c r="P939" s="9"/>
      <c r="Q939" s="9"/>
      <c r="R939" s="9" t="str">
        <f aca="false">IF(AND(A939&lt;&gt;"",ISNUMBER(Q939),ISNUMBER(L939)),ROUND(Q939-IF(ISNUMBER(N939),N939,0)-IF(ISNUMBER(O939),O939,0)+IF(ISNUMBER(P939),P939,0),2),"")</f>
        <v/>
      </c>
      <c r="S939" s="9" t="str">
        <f aca="false">IF(R939="","",ROUND(L939-R939,2))</f>
        <v/>
      </c>
      <c r="T939" s="8" t="str">
        <f aca="false">IF(A939="","",IF(S939="","BYPASS",IF(ABS(S939)&lt;=Summary!$B$2,"PASS","FAIL")))</f>
        <v/>
      </c>
      <c r="U939" s="8" t="str">
        <f aca="false">IF(T939="BYPASS",IF(NOT(ISNUMBER(Q939)),"PreV_ETB missing","End_tr_balance missing"),IF(T939="FAIL",IF(AND(ISNUMBER(K939),ISNUMBER(L939),ABS(L939-(K939-IF(ISNUMBER(N939),N939,0)-IF(ISNUMBER(O939),O939,0)+IF(ISNUMBER(P939),P939,0)))&lt;=Summary!$B$2),"Passes using beginning_balance - PreV_ETB differs from beginning_balance",IF(AND(ISNUMBER(O939),O939&lt;0,ABS(L939-(Q939-IF(ISNUMBER(N939),N939,0)+IF(ISNUMBER(P939),P939,0)))&lt;=Summary!$B$2),"Negative realized loss not applied - check sign",IF(R939&lt;0,"Principal paid exceeds prior balance",IF(AND(L939&gt;Q939,NOT(ISNUMBER(P939))),"Balance increased but no Deferred_interest reported",IF(L939&gt;R939,"Reported balance higher than expected (missing increase/OC build)","Reported balance lower than expected (missing decrease)"))))),""))</f>
        <v/>
      </c>
    </row>
    <row r="940" customFormat="false" ht="15" hidden="false" customHeight="false" outlineLevel="0" collapsed="false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9"/>
      <c r="L940" s="9"/>
      <c r="M940" s="9"/>
      <c r="N940" s="9"/>
      <c r="O940" s="9"/>
      <c r="P940" s="9"/>
      <c r="Q940" s="9"/>
      <c r="R940" s="9" t="str">
        <f aca="false">IF(AND(A940&lt;&gt;"",ISNUMBER(Q940),ISNUMBER(L940)),ROUND(Q940-IF(ISNUMBER(N940),N940,0)-IF(ISNUMBER(O940),O940,0)+IF(ISNUMBER(P940),P940,0),2),"")</f>
        <v/>
      </c>
      <c r="S940" s="9" t="str">
        <f aca="false">IF(R940="","",ROUND(L940-R940,2))</f>
        <v/>
      </c>
      <c r="T940" s="8" t="str">
        <f aca="false">IF(A940="","",IF(S940="","BYPASS",IF(ABS(S940)&lt;=Summary!$B$2,"PASS","FAIL")))</f>
        <v/>
      </c>
      <c r="U940" s="8" t="str">
        <f aca="false">IF(T940="BYPASS",IF(NOT(ISNUMBER(Q940)),"PreV_ETB missing","End_tr_balance missing"),IF(T940="FAIL",IF(AND(ISNUMBER(K940),ISNUMBER(L940),ABS(L940-(K940-IF(ISNUMBER(N940),N940,0)-IF(ISNUMBER(O940),O940,0)+IF(ISNUMBER(P940),P940,0)))&lt;=Summary!$B$2),"Passes using beginning_balance - PreV_ETB differs from beginning_balance",IF(AND(ISNUMBER(O940),O940&lt;0,ABS(L940-(Q940-IF(ISNUMBER(N940),N940,0)+IF(ISNUMBER(P940),P940,0)))&lt;=Summary!$B$2),"Negative realized loss not applied - check sign",IF(R940&lt;0,"Principal paid exceeds prior balance",IF(AND(L940&gt;Q940,NOT(ISNUMBER(P940))),"Balance increased but no Deferred_interest reported",IF(L940&gt;R940,"Reported balance higher than expected (missing increase/OC build)","Reported balance lower than expected (missing decrease)"))))),""))</f>
        <v/>
      </c>
    </row>
    <row r="941" customFormat="false" ht="15" hidden="false" customHeight="false" outlineLevel="0" collapsed="false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9"/>
      <c r="L941" s="9"/>
      <c r="M941" s="9"/>
      <c r="N941" s="9"/>
      <c r="O941" s="9"/>
      <c r="P941" s="9"/>
      <c r="Q941" s="9"/>
      <c r="R941" s="9" t="str">
        <f aca="false">IF(AND(A941&lt;&gt;"",ISNUMBER(Q941),ISNUMBER(L941)),ROUND(Q941-IF(ISNUMBER(N941),N941,0)-IF(ISNUMBER(O941),O941,0)+IF(ISNUMBER(P941),P941,0),2),"")</f>
        <v/>
      </c>
      <c r="S941" s="9" t="str">
        <f aca="false">IF(R941="","",ROUND(L941-R941,2))</f>
        <v/>
      </c>
      <c r="T941" s="8" t="str">
        <f aca="false">IF(A941="","",IF(S941="","BYPASS",IF(ABS(S941)&lt;=Summary!$B$2,"PASS","FAIL")))</f>
        <v/>
      </c>
      <c r="U941" s="8" t="str">
        <f aca="false">IF(T941="BYPASS",IF(NOT(ISNUMBER(Q941)),"PreV_ETB missing","End_tr_balance missing"),IF(T941="FAIL",IF(AND(ISNUMBER(K941),ISNUMBER(L941),ABS(L941-(K941-IF(ISNUMBER(N941),N941,0)-IF(ISNUMBER(O941),O941,0)+IF(ISNUMBER(P941),P941,0)))&lt;=Summary!$B$2),"Passes using beginning_balance - PreV_ETB differs from beginning_balance",IF(AND(ISNUMBER(O941),O941&lt;0,ABS(L941-(Q941-IF(ISNUMBER(N941),N941,0)+IF(ISNUMBER(P941),P941,0)))&lt;=Summary!$B$2),"Negative realized loss not applied - check sign",IF(R941&lt;0,"Principal paid exceeds prior balance",IF(AND(L941&gt;Q941,NOT(ISNUMBER(P941))),"Balance increased but no Deferred_interest reported",IF(L941&gt;R941,"Reported balance higher than expected (missing increase/OC build)","Reported balance lower than expected (missing decrease)"))))),""))</f>
        <v/>
      </c>
    </row>
    <row r="942" customFormat="false" ht="15" hidden="false" customHeight="false" outlineLevel="0" collapsed="false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9"/>
      <c r="L942" s="9"/>
      <c r="M942" s="9"/>
      <c r="N942" s="9"/>
      <c r="O942" s="9"/>
      <c r="P942" s="9"/>
      <c r="Q942" s="9"/>
      <c r="R942" s="9" t="str">
        <f aca="false">IF(AND(A942&lt;&gt;"",ISNUMBER(Q942),ISNUMBER(L942)),ROUND(Q942-IF(ISNUMBER(N942),N942,0)-IF(ISNUMBER(O942),O942,0)+IF(ISNUMBER(P942),P942,0),2),"")</f>
        <v/>
      </c>
      <c r="S942" s="9" t="str">
        <f aca="false">IF(R942="","",ROUND(L942-R942,2))</f>
        <v/>
      </c>
      <c r="T942" s="8" t="str">
        <f aca="false">IF(A942="","",IF(S942="","BYPASS",IF(ABS(S942)&lt;=Summary!$B$2,"PASS","FAIL")))</f>
        <v/>
      </c>
      <c r="U942" s="8" t="str">
        <f aca="false">IF(T942="BYPASS",IF(NOT(ISNUMBER(Q942)),"PreV_ETB missing","End_tr_balance missing"),IF(T942="FAIL",IF(AND(ISNUMBER(K942),ISNUMBER(L942),ABS(L942-(K942-IF(ISNUMBER(N942),N942,0)-IF(ISNUMBER(O942),O942,0)+IF(ISNUMBER(P942),P942,0)))&lt;=Summary!$B$2),"Passes using beginning_balance - PreV_ETB differs from beginning_balance",IF(AND(ISNUMBER(O942),O942&lt;0,ABS(L942-(Q942-IF(ISNUMBER(N942),N942,0)+IF(ISNUMBER(P942),P942,0)))&lt;=Summary!$B$2),"Negative realized loss not applied - check sign",IF(R942&lt;0,"Principal paid exceeds prior balance",IF(AND(L942&gt;Q942,NOT(ISNUMBER(P942))),"Balance increased but no Deferred_interest reported",IF(L942&gt;R942,"Reported balance higher than expected (missing increase/OC build)","Reported balance lower than expected (missing decrease)"))))),""))</f>
        <v/>
      </c>
    </row>
    <row r="943" customFormat="false" ht="15" hidden="false" customHeight="false" outlineLevel="0" collapsed="false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9"/>
      <c r="L943" s="9"/>
      <c r="M943" s="9"/>
      <c r="N943" s="9"/>
      <c r="O943" s="9"/>
      <c r="P943" s="9"/>
      <c r="Q943" s="9"/>
      <c r="R943" s="9" t="str">
        <f aca="false">IF(AND(A943&lt;&gt;"",ISNUMBER(Q943),ISNUMBER(L943)),ROUND(Q943-IF(ISNUMBER(N943),N943,0)-IF(ISNUMBER(O943),O943,0)+IF(ISNUMBER(P943),P943,0),2),"")</f>
        <v/>
      </c>
      <c r="S943" s="9" t="str">
        <f aca="false">IF(R943="","",ROUND(L943-R943,2))</f>
        <v/>
      </c>
      <c r="T943" s="8" t="str">
        <f aca="false">IF(A943="","",IF(S943="","BYPASS",IF(ABS(S943)&lt;=Summary!$B$2,"PASS","FAIL")))</f>
        <v/>
      </c>
      <c r="U943" s="8" t="str">
        <f aca="false">IF(T943="BYPASS",IF(NOT(ISNUMBER(Q943)),"PreV_ETB missing","End_tr_balance missing"),IF(T943="FAIL",IF(AND(ISNUMBER(K943),ISNUMBER(L943),ABS(L943-(K943-IF(ISNUMBER(N943),N943,0)-IF(ISNUMBER(O943),O943,0)+IF(ISNUMBER(P943),P943,0)))&lt;=Summary!$B$2),"Passes using beginning_balance - PreV_ETB differs from beginning_balance",IF(AND(ISNUMBER(O943),O943&lt;0,ABS(L943-(Q943-IF(ISNUMBER(N943),N943,0)+IF(ISNUMBER(P943),P943,0)))&lt;=Summary!$B$2),"Negative realized loss not applied - check sign",IF(R943&lt;0,"Principal paid exceeds prior balance",IF(AND(L943&gt;Q943,NOT(ISNUMBER(P943))),"Balance increased but no Deferred_interest reported",IF(L943&gt;R943,"Reported balance higher than expected (missing increase/OC build)","Reported balance lower than expected (missing decrease)"))))),""))</f>
        <v/>
      </c>
    </row>
    <row r="944" customFormat="false" ht="15" hidden="false" customHeight="false" outlineLevel="0" collapsed="false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9"/>
      <c r="L944" s="9"/>
      <c r="M944" s="9"/>
      <c r="N944" s="9"/>
      <c r="O944" s="9"/>
      <c r="P944" s="9"/>
      <c r="Q944" s="9"/>
      <c r="R944" s="9" t="str">
        <f aca="false">IF(AND(A944&lt;&gt;"",ISNUMBER(Q944),ISNUMBER(L944)),ROUND(Q944-IF(ISNUMBER(N944),N944,0)-IF(ISNUMBER(O944),O944,0)+IF(ISNUMBER(P944),P944,0),2),"")</f>
        <v/>
      </c>
      <c r="S944" s="9" t="str">
        <f aca="false">IF(R944="","",ROUND(L944-R944,2))</f>
        <v/>
      </c>
      <c r="T944" s="8" t="str">
        <f aca="false">IF(A944="","",IF(S944="","BYPASS",IF(ABS(S944)&lt;=Summary!$B$2,"PASS","FAIL")))</f>
        <v/>
      </c>
      <c r="U944" s="8" t="str">
        <f aca="false">IF(T944="BYPASS",IF(NOT(ISNUMBER(Q944)),"PreV_ETB missing","End_tr_balance missing"),IF(T944="FAIL",IF(AND(ISNUMBER(K944),ISNUMBER(L944),ABS(L944-(K944-IF(ISNUMBER(N944),N944,0)-IF(ISNUMBER(O944),O944,0)+IF(ISNUMBER(P944),P944,0)))&lt;=Summary!$B$2),"Passes using beginning_balance - PreV_ETB differs from beginning_balance",IF(AND(ISNUMBER(O944),O944&lt;0,ABS(L944-(Q944-IF(ISNUMBER(N944),N944,0)+IF(ISNUMBER(P944),P944,0)))&lt;=Summary!$B$2),"Negative realized loss not applied - check sign",IF(R944&lt;0,"Principal paid exceeds prior balance",IF(AND(L944&gt;Q944,NOT(ISNUMBER(P944))),"Balance increased but no Deferred_interest reported",IF(L944&gt;R944,"Reported balance higher than expected (missing increase/OC build)","Reported balance lower than expected (missing decrease)"))))),""))</f>
        <v/>
      </c>
    </row>
    <row r="945" customFormat="false" ht="15" hidden="false" customHeight="false" outlineLevel="0" collapsed="false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9"/>
      <c r="L945" s="9"/>
      <c r="M945" s="9"/>
      <c r="N945" s="9"/>
      <c r="O945" s="9"/>
      <c r="P945" s="9"/>
      <c r="Q945" s="9"/>
      <c r="R945" s="9" t="str">
        <f aca="false">IF(AND(A945&lt;&gt;"",ISNUMBER(Q945),ISNUMBER(L945)),ROUND(Q945-IF(ISNUMBER(N945),N945,0)-IF(ISNUMBER(O945),O945,0)+IF(ISNUMBER(P945),P945,0),2),"")</f>
        <v/>
      </c>
      <c r="S945" s="9" t="str">
        <f aca="false">IF(R945="","",ROUND(L945-R945,2))</f>
        <v/>
      </c>
      <c r="T945" s="8" t="str">
        <f aca="false">IF(A945="","",IF(S945="","BYPASS",IF(ABS(S945)&lt;=Summary!$B$2,"PASS","FAIL")))</f>
        <v/>
      </c>
      <c r="U945" s="8" t="str">
        <f aca="false">IF(T945="BYPASS",IF(NOT(ISNUMBER(Q945)),"PreV_ETB missing","End_tr_balance missing"),IF(T945="FAIL",IF(AND(ISNUMBER(K945),ISNUMBER(L945),ABS(L945-(K945-IF(ISNUMBER(N945),N945,0)-IF(ISNUMBER(O945),O945,0)+IF(ISNUMBER(P945),P945,0)))&lt;=Summary!$B$2),"Passes using beginning_balance - PreV_ETB differs from beginning_balance",IF(AND(ISNUMBER(O945),O945&lt;0,ABS(L945-(Q945-IF(ISNUMBER(N945),N945,0)+IF(ISNUMBER(P945),P945,0)))&lt;=Summary!$B$2),"Negative realized loss not applied - check sign",IF(R945&lt;0,"Principal paid exceeds prior balance",IF(AND(L945&gt;Q945,NOT(ISNUMBER(P945))),"Balance increased but no Deferred_interest reported",IF(L945&gt;R945,"Reported balance higher than expected (missing increase/OC build)","Reported balance lower than expected (missing decrease)"))))),""))</f>
        <v/>
      </c>
    </row>
    <row r="946" customFormat="false" ht="15" hidden="false" customHeight="false" outlineLevel="0" collapsed="false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9"/>
      <c r="L946" s="9"/>
      <c r="M946" s="9"/>
      <c r="N946" s="9"/>
      <c r="O946" s="9"/>
      <c r="P946" s="9"/>
      <c r="Q946" s="9"/>
      <c r="R946" s="9" t="str">
        <f aca="false">IF(AND(A946&lt;&gt;"",ISNUMBER(Q946),ISNUMBER(L946)),ROUND(Q946-IF(ISNUMBER(N946),N946,0)-IF(ISNUMBER(O946),O946,0)+IF(ISNUMBER(P946),P946,0),2),"")</f>
        <v/>
      </c>
      <c r="S946" s="9" t="str">
        <f aca="false">IF(R946="","",ROUND(L946-R946,2))</f>
        <v/>
      </c>
      <c r="T946" s="8" t="str">
        <f aca="false">IF(A946="","",IF(S946="","BYPASS",IF(ABS(S946)&lt;=Summary!$B$2,"PASS","FAIL")))</f>
        <v/>
      </c>
      <c r="U946" s="8" t="str">
        <f aca="false">IF(T946="BYPASS",IF(NOT(ISNUMBER(Q946)),"PreV_ETB missing","End_tr_balance missing"),IF(T946="FAIL",IF(AND(ISNUMBER(K946),ISNUMBER(L946),ABS(L946-(K946-IF(ISNUMBER(N946),N946,0)-IF(ISNUMBER(O946),O946,0)+IF(ISNUMBER(P946),P946,0)))&lt;=Summary!$B$2),"Passes using beginning_balance - PreV_ETB differs from beginning_balance",IF(AND(ISNUMBER(O946),O946&lt;0,ABS(L946-(Q946-IF(ISNUMBER(N946),N946,0)+IF(ISNUMBER(P946),P946,0)))&lt;=Summary!$B$2),"Negative realized loss not applied - check sign",IF(R946&lt;0,"Principal paid exceeds prior balance",IF(AND(L946&gt;Q946,NOT(ISNUMBER(P946))),"Balance increased but no Deferred_interest reported",IF(L946&gt;R946,"Reported balance higher than expected (missing increase/OC build)","Reported balance lower than expected (missing decrease)"))))),""))</f>
        <v/>
      </c>
    </row>
    <row r="947" customFormat="false" ht="15" hidden="false" customHeight="false" outlineLevel="0" collapsed="false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9"/>
      <c r="L947" s="9"/>
      <c r="M947" s="9"/>
      <c r="N947" s="9"/>
      <c r="O947" s="9"/>
      <c r="P947" s="9"/>
      <c r="Q947" s="9"/>
      <c r="R947" s="9" t="str">
        <f aca="false">IF(AND(A947&lt;&gt;"",ISNUMBER(Q947),ISNUMBER(L947)),ROUND(Q947-IF(ISNUMBER(N947),N947,0)-IF(ISNUMBER(O947),O947,0)+IF(ISNUMBER(P947),P947,0),2),"")</f>
        <v/>
      </c>
      <c r="S947" s="9" t="str">
        <f aca="false">IF(R947="","",ROUND(L947-R947,2))</f>
        <v/>
      </c>
      <c r="T947" s="8" t="str">
        <f aca="false">IF(A947="","",IF(S947="","BYPASS",IF(ABS(S947)&lt;=Summary!$B$2,"PASS","FAIL")))</f>
        <v/>
      </c>
      <c r="U947" s="8" t="str">
        <f aca="false">IF(T947="BYPASS",IF(NOT(ISNUMBER(Q947)),"PreV_ETB missing","End_tr_balance missing"),IF(T947="FAIL",IF(AND(ISNUMBER(K947),ISNUMBER(L947),ABS(L947-(K947-IF(ISNUMBER(N947),N947,0)-IF(ISNUMBER(O947),O947,0)+IF(ISNUMBER(P947),P947,0)))&lt;=Summary!$B$2),"Passes using beginning_balance - PreV_ETB differs from beginning_balance",IF(AND(ISNUMBER(O947),O947&lt;0,ABS(L947-(Q947-IF(ISNUMBER(N947),N947,0)+IF(ISNUMBER(P947),P947,0)))&lt;=Summary!$B$2),"Negative realized loss not applied - check sign",IF(R947&lt;0,"Principal paid exceeds prior balance",IF(AND(L947&gt;Q947,NOT(ISNUMBER(P947))),"Balance increased but no Deferred_interest reported",IF(L947&gt;R947,"Reported balance higher than expected (missing increase/OC build)","Reported balance lower than expected (missing decrease)"))))),""))</f>
        <v/>
      </c>
    </row>
    <row r="948" customFormat="false" ht="15" hidden="false" customHeight="false" outlineLevel="0" collapsed="false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9"/>
      <c r="L948" s="9"/>
      <c r="M948" s="9"/>
      <c r="N948" s="9"/>
      <c r="O948" s="9"/>
      <c r="P948" s="9"/>
      <c r="Q948" s="9"/>
      <c r="R948" s="9" t="str">
        <f aca="false">IF(AND(A948&lt;&gt;"",ISNUMBER(Q948),ISNUMBER(L948)),ROUND(Q948-IF(ISNUMBER(N948),N948,0)-IF(ISNUMBER(O948),O948,0)+IF(ISNUMBER(P948),P948,0),2),"")</f>
        <v/>
      </c>
      <c r="S948" s="9" t="str">
        <f aca="false">IF(R948="","",ROUND(L948-R948,2))</f>
        <v/>
      </c>
      <c r="T948" s="8" t="str">
        <f aca="false">IF(A948="","",IF(S948="","BYPASS",IF(ABS(S948)&lt;=Summary!$B$2,"PASS","FAIL")))</f>
        <v/>
      </c>
      <c r="U948" s="8" t="str">
        <f aca="false">IF(T948="BYPASS",IF(NOT(ISNUMBER(Q948)),"PreV_ETB missing","End_tr_balance missing"),IF(T948="FAIL",IF(AND(ISNUMBER(K948),ISNUMBER(L948),ABS(L948-(K948-IF(ISNUMBER(N948),N948,0)-IF(ISNUMBER(O948),O948,0)+IF(ISNUMBER(P948),P948,0)))&lt;=Summary!$B$2),"Passes using beginning_balance - PreV_ETB differs from beginning_balance",IF(AND(ISNUMBER(O948),O948&lt;0,ABS(L948-(Q948-IF(ISNUMBER(N948),N948,0)+IF(ISNUMBER(P948),P948,0)))&lt;=Summary!$B$2),"Negative realized loss not applied - check sign",IF(R948&lt;0,"Principal paid exceeds prior balance",IF(AND(L948&gt;Q948,NOT(ISNUMBER(P948))),"Balance increased but no Deferred_interest reported",IF(L948&gt;R948,"Reported balance higher than expected (missing increase/OC build)","Reported balance lower than expected (missing decrease)"))))),""))</f>
        <v/>
      </c>
    </row>
    <row r="949" customFormat="false" ht="15" hidden="false" customHeight="false" outlineLevel="0" collapsed="false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9"/>
      <c r="L949" s="9"/>
      <c r="M949" s="9"/>
      <c r="N949" s="9"/>
      <c r="O949" s="9"/>
      <c r="P949" s="9"/>
      <c r="Q949" s="9"/>
      <c r="R949" s="9" t="str">
        <f aca="false">IF(AND(A949&lt;&gt;"",ISNUMBER(Q949),ISNUMBER(L949)),ROUND(Q949-IF(ISNUMBER(N949),N949,0)-IF(ISNUMBER(O949),O949,0)+IF(ISNUMBER(P949),P949,0),2),"")</f>
        <v/>
      </c>
      <c r="S949" s="9" t="str">
        <f aca="false">IF(R949="","",ROUND(L949-R949,2))</f>
        <v/>
      </c>
      <c r="T949" s="8" t="str">
        <f aca="false">IF(A949="","",IF(S949="","BYPASS",IF(ABS(S949)&lt;=Summary!$B$2,"PASS","FAIL")))</f>
        <v/>
      </c>
      <c r="U949" s="8" t="str">
        <f aca="false">IF(T949="BYPASS",IF(NOT(ISNUMBER(Q949)),"PreV_ETB missing","End_tr_balance missing"),IF(T949="FAIL",IF(AND(ISNUMBER(K949),ISNUMBER(L949),ABS(L949-(K949-IF(ISNUMBER(N949),N949,0)-IF(ISNUMBER(O949),O949,0)+IF(ISNUMBER(P949),P949,0)))&lt;=Summary!$B$2),"Passes using beginning_balance - PreV_ETB differs from beginning_balance",IF(AND(ISNUMBER(O949),O949&lt;0,ABS(L949-(Q949-IF(ISNUMBER(N949),N949,0)+IF(ISNUMBER(P949),P949,0)))&lt;=Summary!$B$2),"Negative realized loss not applied - check sign",IF(R949&lt;0,"Principal paid exceeds prior balance",IF(AND(L949&gt;Q949,NOT(ISNUMBER(P949))),"Balance increased but no Deferred_interest reported",IF(L949&gt;R949,"Reported balance higher than expected (missing increase/OC build)","Reported balance lower than expected (missing decrease)"))))),""))</f>
        <v/>
      </c>
    </row>
    <row r="950" customFormat="false" ht="15" hidden="false" customHeight="false" outlineLevel="0" collapsed="false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9"/>
      <c r="L950" s="9"/>
      <c r="M950" s="9"/>
      <c r="N950" s="9"/>
      <c r="O950" s="9"/>
      <c r="P950" s="9"/>
      <c r="Q950" s="9"/>
      <c r="R950" s="9" t="str">
        <f aca="false">IF(AND(A950&lt;&gt;"",ISNUMBER(Q950),ISNUMBER(L950)),ROUND(Q950-IF(ISNUMBER(N950),N950,0)-IF(ISNUMBER(O950),O950,0)+IF(ISNUMBER(P950),P950,0),2),"")</f>
        <v/>
      </c>
      <c r="S950" s="9" t="str">
        <f aca="false">IF(R950="","",ROUND(L950-R950,2))</f>
        <v/>
      </c>
      <c r="T950" s="8" t="str">
        <f aca="false">IF(A950="","",IF(S950="","BYPASS",IF(ABS(S950)&lt;=Summary!$B$2,"PASS","FAIL")))</f>
        <v/>
      </c>
      <c r="U950" s="8" t="str">
        <f aca="false">IF(T950="BYPASS",IF(NOT(ISNUMBER(Q950)),"PreV_ETB missing","End_tr_balance missing"),IF(T950="FAIL",IF(AND(ISNUMBER(K950),ISNUMBER(L950),ABS(L950-(K950-IF(ISNUMBER(N950),N950,0)-IF(ISNUMBER(O950),O950,0)+IF(ISNUMBER(P950),P950,0)))&lt;=Summary!$B$2),"Passes using beginning_balance - PreV_ETB differs from beginning_balance",IF(AND(ISNUMBER(O950),O950&lt;0,ABS(L950-(Q950-IF(ISNUMBER(N950),N950,0)+IF(ISNUMBER(P950),P950,0)))&lt;=Summary!$B$2),"Negative realized loss not applied - check sign",IF(R950&lt;0,"Principal paid exceeds prior balance",IF(AND(L950&gt;Q950,NOT(ISNUMBER(P950))),"Balance increased but no Deferred_interest reported",IF(L950&gt;R950,"Reported balance higher than expected (missing increase/OC build)","Reported balance lower than expected (missing decrease)"))))),""))</f>
        <v/>
      </c>
    </row>
    <row r="951" customFormat="false" ht="15" hidden="false" customHeight="false" outlineLevel="0" collapsed="false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9"/>
      <c r="L951" s="9"/>
      <c r="M951" s="9"/>
      <c r="N951" s="9"/>
      <c r="O951" s="9"/>
      <c r="P951" s="9"/>
      <c r="Q951" s="9"/>
      <c r="R951" s="9" t="str">
        <f aca="false">IF(AND(A951&lt;&gt;"",ISNUMBER(Q951),ISNUMBER(L951)),ROUND(Q951-IF(ISNUMBER(N951),N951,0)-IF(ISNUMBER(O951),O951,0)+IF(ISNUMBER(P951),P951,0),2),"")</f>
        <v/>
      </c>
      <c r="S951" s="9" t="str">
        <f aca="false">IF(R951="","",ROUND(L951-R951,2))</f>
        <v/>
      </c>
      <c r="T951" s="8" t="str">
        <f aca="false">IF(A951="","",IF(S951="","BYPASS",IF(ABS(S951)&lt;=Summary!$B$2,"PASS","FAIL")))</f>
        <v/>
      </c>
      <c r="U951" s="8" t="str">
        <f aca="false">IF(T951="BYPASS",IF(NOT(ISNUMBER(Q951)),"PreV_ETB missing","End_tr_balance missing"),IF(T951="FAIL",IF(AND(ISNUMBER(K951),ISNUMBER(L951),ABS(L951-(K951-IF(ISNUMBER(N951),N951,0)-IF(ISNUMBER(O951),O951,0)+IF(ISNUMBER(P951),P951,0)))&lt;=Summary!$B$2),"Passes using beginning_balance - PreV_ETB differs from beginning_balance",IF(AND(ISNUMBER(O951),O951&lt;0,ABS(L951-(Q951-IF(ISNUMBER(N951),N951,0)+IF(ISNUMBER(P951),P951,0)))&lt;=Summary!$B$2),"Negative realized loss not applied - check sign",IF(R951&lt;0,"Principal paid exceeds prior balance",IF(AND(L951&gt;Q951,NOT(ISNUMBER(P951))),"Balance increased but no Deferred_interest reported",IF(L951&gt;R951,"Reported balance higher than expected (missing increase/OC build)","Reported balance lower than expected (missing decrease)"))))),""))</f>
        <v/>
      </c>
    </row>
    <row r="952" customFormat="false" ht="15" hidden="false" customHeight="false" outlineLevel="0" collapsed="false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9"/>
      <c r="L952" s="9"/>
      <c r="M952" s="9"/>
      <c r="N952" s="9"/>
      <c r="O952" s="9"/>
      <c r="P952" s="9"/>
      <c r="Q952" s="9"/>
      <c r="R952" s="9" t="str">
        <f aca="false">IF(AND(A952&lt;&gt;"",ISNUMBER(Q952),ISNUMBER(L952)),ROUND(Q952-IF(ISNUMBER(N952),N952,0)-IF(ISNUMBER(O952),O952,0)+IF(ISNUMBER(P952),P952,0),2),"")</f>
        <v/>
      </c>
      <c r="S952" s="9" t="str">
        <f aca="false">IF(R952="","",ROUND(L952-R952,2))</f>
        <v/>
      </c>
      <c r="T952" s="8" t="str">
        <f aca="false">IF(A952="","",IF(S952="","BYPASS",IF(ABS(S952)&lt;=Summary!$B$2,"PASS","FAIL")))</f>
        <v/>
      </c>
      <c r="U952" s="8" t="str">
        <f aca="false">IF(T952="BYPASS",IF(NOT(ISNUMBER(Q952)),"PreV_ETB missing","End_tr_balance missing"),IF(T952="FAIL",IF(AND(ISNUMBER(K952),ISNUMBER(L952),ABS(L952-(K952-IF(ISNUMBER(N952),N952,0)-IF(ISNUMBER(O952),O952,0)+IF(ISNUMBER(P952),P952,0)))&lt;=Summary!$B$2),"Passes using beginning_balance - PreV_ETB differs from beginning_balance",IF(AND(ISNUMBER(O952),O952&lt;0,ABS(L952-(Q952-IF(ISNUMBER(N952),N952,0)+IF(ISNUMBER(P952),P952,0)))&lt;=Summary!$B$2),"Negative realized loss not applied - check sign",IF(R952&lt;0,"Principal paid exceeds prior balance",IF(AND(L952&gt;Q952,NOT(ISNUMBER(P952))),"Balance increased but no Deferred_interest reported",IF(L952&gt;R952,"Reported balance higher than expected (missing increase/OC build)","Reported balance lower than expected (missing decrease)"))))),""))</f>
        <v/>
      </c>
    </row>
    <row r="953" customFormat="false" ht="15" hidden="false" customHeight="false" outlineLevel="0" collapsed="false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9"/>
      <c r="L953" s="9"/>
      <c r="M953" s="9"/>
      <c r="N953" s="9"/>
      <c r="O953" s="9"/>
      <c r="P953" s="9"/>
      <c r="Q953" s="9"/>
      <c r="R953" s="9" t="str">
        <f aca="false">IF(AND(A953&lt;&gt;"",ISNUMBER(Q953),ISNUMBER(L953)),ROUND(Q953-IF(ISNUMBER(N953),N953,0)-IF(ISNUMBER(O953),O953,0)+IF(ISNUMBER(P953),P953,0),2),"")</f>
        <v/>
      </c>
      <c r="S953" s="9" t="str">
        <f aca="false">IF(R953="","",ROUND(L953-R953,2))</f>
        <v/>
      </c>
      <c r="T953" s="8" t="str">
        <f aca="false">IF(A953="","",IF(S953="","BYPASS",IF(ABS(S953)&lt;=Summary!$B$2,"PASS","FAIL")))</f>
        <v/>
      </c>
      <c r="U953" s="8" t="str">
        <f aca="false">IF(T953="BYPASS",IF(NOT(ISNUMBER(Q953)),"PreV_ETB missing","End_tr_balance missing"),IF(T953="FAIL",IF(AND(ISNUMBER(K953),ISNUMBER(L953),ABS(L953-(K953-IF(ISNUMBER(N953),N953,0)-IF(ISNUMBER(O953),O953,0)+IF(ISNUMBER(P953),P953,0)))&lt;=Summary!$B$2),"Passes using beginning_balance - PreV_ETB differs from beginning_balance",IF(AND(ISNUMBER(O953),O953&lt;0,ABS(L953-(Q953-IF(ISNUMBER(N953),N953,0)+IF(ISNUMBER(P953),P953,0)))&lt;=Summary!$B$2),"Negative realized loss not applied - check sign",IF(R953&lt;0,"Principal paid exceeds prior balance",IF(AND(L953&gt;Q953,NOT(ISNUMBER(P953))),"Balance increased but no Deferred_interest reported",IF(L953&gt;R953,"Reported balance higher than expected (missing increase/OC build)","Reported balance lower than expected (missing decrease)"))))),""))</f>
        <v/>
      </c>
    </row>
    <row r="954" customFormat="false" ht="15" hidden="false" customHeight="false" outlineLevel="0" collapsed="false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9"/>
      <c r="L954" s="9"/>
      <c r="M954" s="9"/>
      <c r="N954" s="9"/>
      <c r="O954" s="9"/>
      <c r="P954" s="9"/>
      <c r="Q954" s="9"/>
      <c r="R954" s="9" t="str">
        <f aca="false">IF(AND(A954&lt;&gt;"",ISNUMBER(Q954),ISNUMBER(L954)),ROUND(Q954-IF(ISNUMBER(N954),N954,0)-IF(ISNUMBER(O954),O954,0)+IF(ISNUMBER(P954),P954,0),2),"")</f>
        <v/>
      </c>
      <c r="S954" s="9" t="str">
        <f aca="false">IF(R954="","",ROUND(L954-R954,2))</f>
        <v/>
      </c>
      <c r="T954" s="8" t="str">
        <f aca="false">IF(A954="","",IF(S954="","BYPASS",IF(ABS(S954)&lt;=Summary!$B$2,"PASS","FAIL")))</f>
        <v/>
      </c>
      <c r="U954" s="8" t="str">
        <f aca="false">IF(T954="BYPASS",IF(NOT(ISNUMBER(Q954)),"PreV_ETB missing","End_tr_balance missing"),IF(T954="FAIL",IF(AND(ISNUMBER(K954),ISNUMBER(L954),ABS(L954-(K954-IF(ISNUMBER(N954),N954,0)-IF(ISNUMBER(O954),O954,0)+IF(ISNUMBER(P954),P954,0)))&lt;=Summary!$B$2),"Passes using beginning_balance - PreV_ETB differs from beginning_balance",IF(AND(ISNUMBER(O954),O954&lt;0,ABS(L954-(Q954-IF(ISNUMBER(N954),N954,0)+IF(ISNUMBER(P954),P954,0)))&lt;=Summary!$B$2),"Negative realized loss not applied - check sign",IF(R954&lt;0,"Principal paid exceeds prior balance",IF(AND(L954&gt;Q954,NOT(ISNUMBER(P954))),"Balance increased but no Deferred_interest reported",IF(L954&gt;R954,"Reported balance higher than expected (missing increase/OC build)","Reported balance lower than expected (missing decrease)"))))),""))</f>
        <v/>
      </c>
    </row>
    <row r="955" customFormat="false" ht="15" hidden="false" customHeight="false" outlineLevel="0" collapsed="false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9"/>
      <c r="L955" s="9"/>
      <c r="M955" s="9"/>
      <c r="N955" s="9"/>
      <c r="O955" s="9"/>
      <c r="P955" s="9"/>
      <c r="Q955" s="9"/>
      <c r="R955" s="9" t="str">
        <f aca="false">IF(AND(A955&lt;&gt;"",ISNUMBER(Q955),ISNUMBER(L955)),ROUND(Q955-IF(ISNUMBER(N955),N955,0)-IF(ISNUMBER(O955),O955,0)+IF(ISNUMBER(P955),P955,0),2),"")</f>
        <v/>
      </c>
      <c r="S955" s="9" t="str">
        <f aca="false">IF(R955="","",ROUND(L955-R955,2))</f>
        <v/>
      </c>
      <c r="T955" s="8" t="str">
        <f aca="false">IF(A955="","",IF(S955="","BYPASS",IF(ABS(S955)&lt;=Summary!$B$2,"PASS","FAIL")))</f>
        <v/>
      </c>
      <c r="U955" s="8" t="str">
        <f aca="false">IF(T955="BYPASS",IF(NOT(ISNUMBER(Q955)),"PreV_ETB missing","End_tr_balance missing"),IF(T955="FAIL",IF(AND(ISNUMBER(K955),ISNUMBER(L955),ABS(L955-(K955-IF(ISNUMBER(N955),N955,0)-IF(ISNUMBER(O955),O955,0)+IF(ISNUMBER(P955),P955,0)))&lt;=Summary!$B$2),"Passes using beginning_balance - PreV_ETB differs from beginning_balance",IF(AND(ISNUMBER(O955),O955&lt;0,ABS(L955-(Q955-IF(ISNUMBER(N955),N955,0)+IF(ISNUMBER(P955),P955,0)))&lt;=Summary!$B$2),"Negative realized loss not applied - check sign",IF(R955&lt;0,"Principal paid exceeds prior balance",IF(AND(L955&gt;Q955,NOT(ISNUMBER(P955))),"Balance increased but no Deferred_interest reported",IF(L955&gt;R955,"Reported balance higher than expected (missing increase/OC build)","Reported balance lower than expected (missing decrease)"))))),""))</f>
        <v/>
      </c>
    </row>
    <row r="956" customFormat="false" ht="15" hidden="false" customHeight="false" outlineLevel="0" collapsed="false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9"/>
      <c r="L956" s="9"/>
      <c r="M956" s="9"/>
      <c r="N956" s="9"/>
      <c r="O956" s="9"/>
      <c r="P956" s="9"/>
      <c r="Q956" s="9"/>
      <c r="R956" s="9" t="str">
        <f aca="false">IF(AND(A956&lt;&gt;"",ISNUMBER(Q956),ISNUMBER(L956)),ROUND(Q956-IF(ISNUMBER(N956),N956,0)-IF(ISNUMBER(O956),O956,0)+IF(ISNUMBER(P956),P956,0),2),"")</f>
        <v/>
      </c>
      <c r="S956" s="9" t="str">
        <f aca="false">IF(R956="","",ROUND(L956-R956,2))</f>
        <v/>
      </c>
      <c r="T956" s="8" t="str">
        <f aca="false">IF(A956="","",IF(S956="","BYPASS",IF(ABS(S956)&lt;=Summary!$B$2,"PASS","FAIL")))</f>
        <v/>
      </c>
      <c r="U956" s="8" t="str">
        <f aca="false">IF(T956="BYPASS",IF(NOT(ISNUMBER(Q956)),"PreV_ETB missing","End_tr_balance missing"),IF(T956="FAIL",IF(AND(ISNUMBER(K956),ISNUMBER(L956),ABS(L956-(K956-IF(ISNUMBER(N956),N956,0)-IF(ISNUMBER(O956),O956,0)+IF(ISNUMBER(P956),P956,0)))&lt;=Summary!$B$2),"Passes using beginning_balance - PreV_ETB differs from beginning_balance",IF(AND(ISNUMBER(O956),O956&lt;0,ABS(L956-(Q956-IF(ISNUMBER(N956),N956,0)+IF(ISNUMBER(P956),P956,0)))&lt;=Summary!$B$2),"Negative realized loss not applied - check sign",IF(R956&lt;0,"Principal paid exceeds prior balance",IF(AND(L956&gt;Q956,NOT(ISNUMBER(P956))),"Balance increased but no Deferred_interest reported",IF(L956&gt;R956,"Reported balance higher than expected (missing increase/OC build)","Reported balance lower than expected (missing decrease)"))))),""))</f>
        <v/>
      </c>
    </row>
    <row r="957" customFormat="false" ht="15" hidden="false" customHeight="false" outlineLevel="0" collapsed="false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9"/>
      <c r="L957" s="9"/>
      <c r="M957" s="9"/>
      <c r="N957" s="9"/>
      <c r="O957" s="9"/>
      <c r="P957" s="9"/>
      <c r="Q957" s="9"/>
      <c r="R957" s="9" t="str">
        <f aca="false">IF(AND(A957&lt;&gt;"",ISNUMBER(Q957),ISNUMBER(L957)),ROUND(Q957-IF(ISNUMBER(N957),N957,0)-IF(ISNUMBER(O957),O957,0)+IF(ISNUMBER(P957),P957,0),2),"")</f>
        <v/>
      </c>
      <c r="S957" s="9" t="str">
        <f aca="false">IF(R957="","",ROUND(L957-R957,2))</f>
        <v/>
      </c>
      <c r="T957" s="8" t="str">
        <f aca="false">IF(A957="","",IF(S957="","BYPASS",IF(ABS(S957)&lt;=Summary!$B$2,"PASS","FAIL")))</f>
        <v/>
      </c>
      <c r="U957" s="8" t="str">
        <f aca="false">IF(T957="BYPASS",IF(NOT(ISNUMBER(Q957)),"PreV_ETB missing","End_tr_balance missing"),IF(T957="FAIL",IF(AND(ISNUMBER(K957),ISNUMBER(L957),ABS(L957-(K957-IF(ISNUMBER(N957),N957,0)-IF(ISNUMBER(O957),O957,0)+IF(ISNUMBER(P957),P957,0)))&lt;=Summary!$B$2),"Passes using beginning_balance - PreV_ETB differs from beginning_balance",IF(AND(ISNUMBER(O957),O957&lt;0,ABS(L957-(Q957-IF(ISNUMBER(N957),N957,0)+IF(ISNUMBER(P957),P957,0)))&lt;=Summary!$B$2),"Negative realized loss not applied - check sign",IF(R957&lt;0,"Principal paid exceeds prior balance",IF(AND(L957&gt;Q957,NOT(ISNUMBER(P957))),"Balance increased but no Deferred_interest reported",IF(L957&gt;R957,"Reported balance higher than expected (missing increase/OC build)","Reported balance lower than expected (missing decrease)"))))),""))</f>
        <v/>
      </c>
    </row>
    <row r="958" customFormat="false" ht="15" hidden="false" customHeight="false" outlineLevel="0" collapsed="false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9"/>
      <c r="L958" s="9"/>
      <c r="M958" s="9"/>
      <c r="N958" s="9"/>
      <c r="O958" s="9"/>
      <c r="P958" s="9"/>
      <c r="Q958" s="9"/>
      <c r="R958" s="9" t="str">
        <f aca="false">IF(AND(A958&lt;&gt;"",ISNUMBER(Q958),ISNUMBER(L958)),ROUND(Q958-IF(ISNUMBER(N958),N958,0)-IF(ISNUMBER(O958),O958,0)+IF(ISNUMBER(P958),P958,0),2),"")</f>
        <v/>
      </c>
      <c r="S958" s="9" t="str">
        <f aca="false">IF(R958="","",ROUND(L958-R958,2))</f>
        <v/>
      </c>
      <c r="T958" s="8" t="str">
        <f aca="false">IF(A958="","",IF(S958="","BYPASS",IF(ABS(S958)&lt;=Summary!$B$2,"PASS","FAIL")))</f>
        <v/>
      </c>
      <c r="U958" s="8" t="str">
        <f aca="false">IF(T958="BYPASS",IF(NOT(ISNUMBER(Q958)),"PreV_ETB missing","End_tr_balance missing"),IF(T958="FAIL",IF(AND(ISNUMBER(K958),ISNUMBER(L958),ABS(L958-(K958-IF(ISNUMBER(N958),N958,0)-IF(ISNUMBER(O958),O958,0)+IF(ISNUMBER(P958),P958,0)))&lt;=Summary!$B$2),"Passes using beginning_balance - PreV_ETB differs from beginning_balance",IF(AND(ISNUMBER(O958),O958&lt;0,ABS(L958-(Q958-IF(ISNUMBER(N958),N958,0)+IF(ISNUMBER(P958),P958,0)))&lt;=Summary!$B$2),"Negative realized loss not applied - check sign",IF(R958&lt;0,"Principal paid exceeds prior balance",IF(AND(L958&gt;Q958,NOT(ISNUMBER(P958))),"Balance increased but no Deferred_interest reported",IF(L958&gt;R958,"Reported balance higher than expected (missing increase/OC build)","Reported balance lower than expected (missing decrease)"))))),""))</f>
        <v/>
      </c>
    </row>
    <row r="959" customFormat="false" ht="15" hidden="false" customHeight="false" outlineLevel="0" collapsed="false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9"/>
      <c r="L959" s="9"/>
      <c r="M959" s="9"/>
      <c r="N959" s="9"/>
      <c r="O959" s="9"/>
      <c r="P959" s="9"/>
      <c r="Q959" s="9"/>
      <c r="R959" s="9" t="str">
        <f aca="false">IF(AND(A959&lt;&gt;"",ISNUMBER(Q959),ISNUMBER(L959)),ROUND(Q959-IF(ISNUMBER(N959),N959,0)-IF(ISNUMBER(O959),O959,0)+IF(ISNUMBER(P959),P959,0),2),"")</f>
        <v/>
      </c>
      <c r="S959" s="9" t="str">
        <f aca="false">IF(R959="","",ROUND(L959-R959,2))</f>
        <v/>
      </c>
      <c r="T959" s="8" t="str">
        <f aca="false">IF(A959="","",IF(S959="","BYPASS",IF(ABS(S959)&lt;=Summary!$B$2,"PASS","FAIL")))</f>
        <v/>
      </c>
      <c r="U959" s="8" t="str">
        <f aca="false">IF(T959="BYPASS",IF(NOT(ISNUMBER(Q959)),"PreV_ETB missing","End_tr_balance missing"),IF(T959="FAIL",IF(AND(ISNUMBER(K959),ISNUMBER(L959),ABS(L959-(K959-IF(ISNUMBER(N959),N959,0)-IF(ISNUMBER(O959),O959,0)+IF(ISNUMBER(P959),P959,0)))&lt;=Summary!$B$2),"Passes using beginning_balance - PreV_ETB differs from beginning_balance",IF(AND(ISNUMBER(O959),O959&lt;0,ABS(L959-(Q959-IF(ISNUMBER(N959),N959,0)+IF(ISNUMBER(P959),P959,0)))&lt;=Summary!$B$2),"Negative realized loss not applied - check sign",IF(R959&lt;0,"Principal paid exceeds prior balance",IF(AND(L959&gt;Q959,NOT(ISNUMBER(P959))),"Balance increased but no Deferred_interest reported",IF(L959&gt;R959,"Reported balance higher than expected (missing increase/OC build)","Reported balance lower than expected (missing decrease)"))))),""))</f>
        <v/>
      </c>
    </row>
    <row r="960" customFormat="false" ht="15" hidden="false" customHeight="false" outlineLevel="0" collapsed="false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9"/>
      <c r="L960" s="9"/>
      <c r="M960" s="9"/>
      <c r="N960" s="9"/>
      <c r="O960" s="9"/>
      <c r="P960" s="9"/>
      <c r="Q960" s="9"/>
      <c r="R960" s="9" t="str">
        <f aca="false">IF(AND(A960&lt;&gt;"",ISNUMBER(Q960),ISNUMBER(L960)),ROUND(Q960-IF(ISNUMBER(N960),N960,0)-IF(ISNUMBER(O960),O960,0)+IF(ISNUMBER(P960),P960,0),2),"")</f>
        <v/>
      </c>
      <c r="S960" s="9" t="str">
        <f aca="false">IF(R960="","",ROUND(L960-R960,2))</f>
        <v/>
      </c>
      <c r="T960" s="8" t="str">
        <f aca="false">IF(A960="","",IF(S960="","BYPASS",IF(ABS(S960)&lt;=Summary!$B$2,"PASS","FAIL")))</f>
        <v/>
      </c>
      <c r="U960" s="8" t="str">
        <f aca="false">IF(T960="BYPASS",IF(NOT(ISNUMBER(Q960)),"PreV_ETB missing","End_tr_balance missing"),IF(T960="FAIL",IF(AND(ISNUMBER(K960),ISNUMBER(L960),ABS(L960-(K960-IF(ISNUMBER(N960),N960,0)-IF(ISNUMBER(O960),O960,0)+IF(ISNUMBER(P960),P960,0)))&lt;=Summary!$B$2),"Passes using beginning_balance - PreV_ETB differs from beginning_balance",IF(AND(ISNUMBER(O960),O960&lt;0,ABS(L960-(Q960-IF(ISNUMBER(N960),N960,0)+IF(ISNUMBER(P960),P960,0)))&lt;=Summary!$B$2),"Negative realized loss not applied - check sign",IF(R960&lt;0,"Principal paid exceeds prior balance",IF(AND(L960&gt;Q960,NOT(ISNUMBER(P960))),"Balance increased but no Deferred_interest reported",IF(L960&gt;R960,"Reported balance higher than expected (missing increase/OC build)","Reported balance lower than expected (missing decrease)"))))),""))</f>
        <v/>
      </c>
    </row>
    <row r="961" customFormat="false" ht="15" hidden="false" customHeight="false" outlineLevel="0" collapsed="false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9"/>
      <c r="L961" s="9"/>
      <c r="M961" s="9"/>
      <c r="N961" s="9"/>
      <c r="O961" s="9"/>
      <c r="P961" s="9"/>
      <c r="Q961" s="9"/>
      <c r="R961" s="9" t="str">
        <f aca="false">IF(AND(A961&lt;&gt;"",ISNUMBER(Q961),ISNUMBER(L961)),ROUND(Q961-IF(ISNUMBER(N961),N961,0)-IF(ISNUMBER(O961),O961,0)+IF(ISNUMBER(P961),P961,0),2),"")</f>
        <v/>
      </c>
      <c r="S961" s="9" t="str">
        <f aca="false">IF(R961="","",ROUND(L961-R961,2))</f>
        <v/>
      </c>
      <c r="T961" s="8" t="str">
        <f aca="false">IF(A961="","",IF(S961="","BYPASS",IF(ABS(S961)&lt;=Summary!$B$2,"PASS","FAIL")))</f>
        <v/>
      </c>
      <c r="U961" s="8" t="str">
        <f aca="false">IF(T961="BYPASS",IF(NOT(ISNUMBER(Q961)),"PreV_ETB missing","End_tr_balance missing"),IF(T961="FAIL",IF(AND(ISNUMBER(K961),ISNUMBER(L961),ABS(L961-(K961-IF(ISNUMBER(N961),N961,0)-IF(ISNUMBER(O961),O961,0)+IF(ISNUMBER(P961),P961,0)))&lt;=Summary!$B$2),"Passes using beginning_balance - PreV_ETB differs from beginning_balance",IF(AND(ISNUMBER(O961),O961&lt;0,ABS(L961-(Q961-IF(ISNUMBER(N961),N961,0)+IF(ISNUMBER(P961),P961,0)))&lt;=Summary!$B$2),"Negative realized loss not applied - check sign",IF(R961&lt;0,"Principal paid exceeds prior balance",IF(AND(L961&gt;Q961,NOT(ISNUMBER(P961))),"Balance increased but no Deferred_interest reported",IF(L961&gt;R961,"Reported balance higher than expected (missing increase/OC build)","Reported balance lower than expected (missing decrease)"))))),""))</f>
        <v/>
      </c>
    </row>
    <row r="962" customFormat="false" ht="15" hidden="false" customHeight="false" outlineLevel="0" collapsed="false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9"/>
      <c r="L962" s="9"/>
      <c r="M962" s="9"/>
      <c r="N962" s="9"/>
      <c r="O962" s="9"/>
      <c r="P962" s="9"/>
      <c r="Q962" s="9"/>
      <c r="R962" s="9" t="str">
        <f aca="false">IF(AND(A962&lt;&gt;"",ISNUMBER(Q962),ISNUMBER(L962)),ROUND(Q962-IF(ISNUMBER(N962),N962,0)-IF(ISNUMBER(O962),O962,0)+IF(ISNUMBER(P962),P962,0),2),"")</f>
        <v/>
      </c>
      <c r="S962" s="9" t="str">
        <f aca="false">IF(R962="","",ROUND(L962-R962,2))</f>
        <v/>
      </c>
      <c r="T962" s="8" t="str">
        <f aca="false">IF(A962="","",IF(S962="","BYPASS",IF(ABS(S962)&lt;=Summary!$B$2,"PASS","FAIL")))</f>
        <v/>
      </c>
      <c r="U962" s="8" t="str">
        <f aca="false">IF(T962="BYPASS",IF(NOT(ISNUMBER(Q962)),"PreV_ETB missing","End_tr_balance missing"),IF(T962="FAIL",IF(AND(ISNUMBER(K962),ISNUMBER(L962),ABS(L962-(K962-IF(ISNUMBER(N962),N962,0)-IF(ISNUMBER(O962),O962,0)+IF(ISNUMBER(P962),P962,0)))&lt;=Summary!$B$2),"Passes using beginning_balance - PreV_ETB differs from beginning_balance",IF(AND(ISNUMBER(O962),O962&lt;0,ABS(L962-(Q962-IF(ISNUMBER(N962),N962,0)+IF(ISNUMBER(P962),P962,0)))&lt;=Summary!$B$2),"Negative realized loss not applied - check sign",IF(R962&lt;0,"Principal paid exceeds prior balance",IF(AND(L962&gt;Q962,NOT(ISNUMBER(P962))),"Balance increased but no Deferred_interest reported",IF(L962&gt;R962,"Reported balance higher than expected (missing increase/OC build)","Reported balance lower than expected (missing decrease)"))))),""))</f>
        <v/>
      </c>
    </row>
    <row r="963" customFormat="false" ht="15" hidden="false" customHeight="false" outlineLevel="0" collapsed="false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9"/>
      <c r="L963" s="9"/>
      <c r="M963" s="9"/>
      <c r="N963" s="9"/>
      <c r="O963" s="9"/>
      <c r="P963" s="9"/>
      <c r="Q963" s="9"/>
      <c r="R963" s="9" t="str">
        <f aca="false">IF(AND(A963&lt;&gt;"",ISNUMBER(Q963),ISNUMBER(L963)),ROUND(Q963-IF(ISNUMBER(N963),N963,0)-IF(ISNUMBER(O963),O963,0)+IF(ISNUMBER(P963),P963,0),2),"")</f>
        <v/>
      </c>
      <c r="S963" s="9" t="str">
        <f aca="false">IF(R963="","",ROUND(L963-R963,2))</f>
        <v/>
      </c>
      <c r="T963" s="8" t="str">
        <f aca="false">IF(A963="","",IF(S963="","BYPASS",IF(ABS(S963)&lt;=Summary!$B$2,"PASS","FAIL")))</f>
        <v/>
      </c>
      <c r="U963" s="8" t="str">
        <f aca="false">IF(T963="BYPASS",IF(NOT(ISNUMBER(Q963)),"PreV_ETB missing","End_tr_balance missing"),IF(T963="FAIL",IF(AND(ISNUMBER(K963),ISNUMBER(L963),ABS(L963-(K963-IF(ISNUMBER(N963),N963,0)-IF(ISNUMBER(O963),O963,0)+IF(ISNUMBER(P963),P963,0)))&lt;=Summary!$B$2),"Passes using beginning_balance - PreV_ETB differs from beginning_balance",IF(AND(ISNUMBER(O963),O963&lt;0,ABS(L963-(Q963-IF(ISNUMBER(N963),N963,0)+IF(ISNUMBER(P963),P963,0)))&lt;=Summary!$B$2),"Negative realized loss not applied - check sign",IF(R963&lt;0,"Principal paid exceeds prior balance",IF(AND(L963&gt;Q963,NOT(ISNUMBER(P963))),"Balance increased but no Deferred_interest reported",IF(L963&gt;R963,"Reported balance higher than expected (missing increase/OC build)","Reported balance lower than expected (missing decrease)"))))),""))</f>
        <v/>
      </c>
    </row>
    <row r="964" customFormat="false" ht="15" hidden="false" customHeight="false" outlineLevel="0" collapsed="false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9"/>
      <c r="L964" s="9"/>
      <c r="M964" s="9"/>
      <c r="N964" s="9"/>
      <c r="O964" s="9"/>
      <c r="P964" s="9"/>
      <c r="Q964" s="9"/>
      <c r="R964" s="9" t="str">
        <f aca="false">IF(AND(A964&lt;&gt;"",ISNUMBER(Q964),ISNUMBER(L964)),ROUND(Q964-IF(ISNUMBER(N964),N964,0)-IF(ISNUMBER(O964),O964,0)+IF(ISNUMBER(P964),P964,0),2),"")</f>
        <v/>
      </c>
      <c r="S964" s="9" t="str">
        <f aca="false">IF(R964="","",ROUND(L964-R964,2))</f>
        <v/>
      </c>
      <c r="T964" s="8" t="str">
        <f aca="false">IF(A964="","",IF(S964="","BYPASS",IF(ABS(S964)&lt;=Summary!$B$2,"PASS","FAIL")))</f>
        <v/>
      </c>
      <c r="U964" s="8" t="str">
        <f aca="false">IF(T964="BYPASS",IF(NOT(ISNUMBER(Q964)),"PreV_ETB missing","End_tr_balance missing"),IF(T964="FAIL",IF(AND(ISNUMBER(K964),ISNUMBER(L964),ABS(L964-(K964-IF(ISNUMBER(N964),N964,0)-IF(ISNUMBER(O964),O964,0)+IF(ISNUMBER(P964),P964,0)))&lt;=Summary!$B$2),"Passes using beginning_balance - PreV_ETB differs from beginning_balance",IF(AND(ISNUMBER(O964),O964&lt;0,ABS(L964-(Q964-IF(ISNUMBER(N964),N964,0)+IF(ISNUMBER(P964),P964,0)))&lt;=Summary!$B$2),"Negative realized loss not applied - check sign",IF(R964&lt;0,"Principal paid exceeds prior balance",IF(AND(L964&gt;Q964,NOT(ISNUMBER(P964))),"Balance increased but no Deferred_interest reported",IF(L964&gt;R964,"Reported balance higher than expected (missing increase/OC build)","Reported balance lower than expected (missing decrease)"))))),""))</f>
        <v/>
      </c>
    </row>
    <row r="965" customFormat="false" ht="15" hidden="false" customHeight="false" outlineLevel="0" collapsed="false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9"/>
      <c r="L965" s="9"/>
      <c r="M965" s="9"/>
      <c r="N965" s="9"/>
      <c r="O965" s="9"/>
      <c r="P965" s="9"/>
      <c r="Q965" s="9"/>
      <c r="R965" s="9" t="str">
        <f aca="false">IF(AND(A965&lt;&gt;"",ISNUMBER(Q965),ISNUMBER(L965)),ROUND(Q965-IF(ISNUMBER(N965),N965,0)-IF(ISNUMBER(O965),O965,0)+IF(ISNUMBER(P965),P965,0),2),"")</f>
        <v/>
      </c>
      <c r="S965" s="9" t="str">
        <f aca="false">IF(R965="","",ROUND(L965-R965,2))</f>
        <v/>
      </c>
      <c r="T965" s="8" t="str">
        <f aca="false">IF(A965="","",IF(S965="","BYPASS",IF(ABS(S965)&lt;=Summary!$B$2,"PASS","FAIL")))</f>
        <v/>
      </c>
      <c r="U965" s="8" t="str">
        <f aca="false">IF(T965="BYPASS",IF(NOT(ISNUMBER(Q965)),"PreV_ETB missing","End_tr_balance missing"),IF(T965="FAIL",IF(AND(ISNUMBER(K965),ISNUMBER(L965),ABS(L965-(K965-IF(ISNUMBER(N965),N965,0)-IF(ISNUMBER(O965),O965,0)+IF(ISNUMBER(P965),P965,0)))&lt;=Summary!$B$2),"Passes using beginning_balance - PreV_ETB differs from beginning_balance",IF(AND(ISNUMBER(O965),O965&lt;0,ABS(L965-(Q965-IF(ISNUMBER(N965),N965,0)+IF(ISNUMBER(P965),P965,0)))&lt;=Summary!$B$2),"Negative realized loss not applied - check sign",IF(R965&lt;0,"Principal paid exceeds prior balance",IF(AND(L965&gt;Q965,NOT(ISNUMBER(P965))),"Balance increased but no Deferred_interest reported",IF(L965&gt;R965,"Reported balance higher than expected (missing increase/OC build)","Reported balance lower than expected (missing decrease)"))))),""))</f>
        <v/>
      </c>
    </row>
    <row r="966" customFormat="false" ht="15" hidden="false" customHeight="false" outlineLevel="0" collapsed="false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9"/>
      <c r="L966" s="9"/>
      <c r="M966" s="9"/>
      <c r="N966" s="9"/>
      <c r="O966" s="9"/>
      <c r="P966" s="9"/>
      <c r="Q966" s="9"/>
      <c r="R966" s="9" t="str">
        <f aca="false">IF(AND(A966&lt;&gt;"",ISNUMBER(Q966),ISNUMBER(L966)),ROUND(Q966-IF(ISNUMBER(N966),N966,0)-IF(ISNUMBER(O966),O966,0)+IF(ISNUMBER(P966),P966,0),2),"")</f>
        <v/>
      </c>
      <c r="S966" s="9" t="str">
        <f aca="false">IF(R966="","",ROUND(L966-R966,2))</f>
        <v/>
      </c>
      <c r="T966" s="8" t="str">
        <f aca="false">IF(A966="","",IF(S966="","BYPASS",IF(ABS(S966)&lt;=Summary!$B$2,"PASS","FAIL")))</f>
        <v/>
      </c>
      <c r="U966" s="8" t="str">
        <f aca="false">IF(T966="BYPASS",IF(NOT(ISNUMBER(Q966)),"PreV_ETB missing","End_tr_balance missing"),IF(T966="FAIL",IF(AND(ISNUMBER(K966),ISNUMBER(L966),ABS(L966-(K966-IF(ISNUMBER(N966),N966,0)-IF(ISNUMBER(O966),O966,0)+IF(ISNUMBER(P966),P966,0)))&lt;=Summary!$B$2),"Passes using beginning_balance - PreV_ETB differs from beginning_balance",IF(AND(ISNUMBER(O966),O966&lt;0,ABS(L966-(Q966-IF(ISNUMBER(N966),N966,0)+IF(ISNUMBER(P966),P966,0)))&lt;=Summary!$B$2),"Negative realized loss not applied - check sign",IF(R966&lt;0,"Principal paid exceeds prior balance",IF(AND(L966&gt;Q966,NOT(ISNUMBER(P966))),"Balance increased but no Deferred_interest reported",IF(L966&gt;R966,"Reported balance higher than expected (missing increase/OC build)","Reported balance lower than expected (missing decrease)"))))),""))</f>
        <v/>
      </c>
    </row>
    <row r="967" customFormat="false" ht="15" hidden="false" customHeight="false" outlineLevel="0" collapsed="false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9"/>
      <c r="L967" s="9"/>
      <c r="M967" s="9"/>
      <c r="N967" s="9"/>
      <c r="O967" s="9"/>
      <c r="P967" s="9"/>
      <c r="Q967" s="9"/>
      <c r="R967" s="9" t="str">
        <f aca="false">IF(AND(A967&lt;&gt;"",ISNUMBER(Q967),ISNUMBER(L967)),ROUND(Q967-IF(ISNUMBER(N967),N967,0)-IF(ISNUMBER(O967),O967,0)+IF(ISNUMBER(P967),P967,0),2),"")</f>
        <v/>
      </c>
      <c r="S967" s="9" t="str">
        <f aca="false">IF(R967="","",ROUND(L967-R967,2))</f>
        <v/>
      </c>
      <c r="T967" s="8" t="str">
        <f aca="false">IF(A967="","",IF(S967="","BYPASS",IF(ABS(S967)&lt;=Summary!$B$2,"PASS","FAIL")))</f>
        <v/>
      </c>
      <c r="U967" s="8" t="str">
        <f aca="false">IF(T967="BYPASS",IF(NOT(ISNUMBER(Q967)),"PreV_ETB missing","End_tr_balance missing"),IF(T967="FAIL",IF(AND(ISNUMBER(K967),ISNUMBER(L967),ABS(L967-(K967-IF(ISNUMBER(N967),N967,0)-IF(ISNUMBER(O967),O967,0)+IF(ISNUMBER(P967),P967,0)))&lt;=Summary!$B$2),"Passes using beginning_balance - PreV_ETB differs from beginning_balance",IF(AND(ISNUMBER(O967),O967&lt;0,ABS(L967-(Q967-IF(ISNUMBER(N967),N967,0)+IF(ISNUMBER(P967),P967,0)))&lt;=Summary!$B$2),"Negative realized loss not applied - check sign",IF(R967&lt;0,"Principal paid exceeds prior balance",IF(AND(L967&gt;Q967,NOT(ISNUMBER(P967))),"Balance increased but no Deferred_interest reported",IF(L967&gt;R967,"Reported balance higher than expected (missing increase/OC build)","Reported balance lower than expected (missing decrease)"))))),""))</f>
        <v/>
      </c>
    </row>
    <row r="968" customFormat="false" ht="15" hidden="false" customHeight="false" outlineLevel="0" collapsed="false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9"/>
      <c r="L968" s="9"/>
      <c r="M968" s="9"/>
      <c r="N968" s="9"/>
      <c r="O968" s="9"/>
      <c r="P968" s="9"/>
      <c r="Q968" s="9"/>
      <c r="R968" s="9" t="str">
        <f aca="false">IF(AND(A968&lt;&gt;"",ISNUMBER(Q968),ISNUMBER(L968)),ROUND(Q968-IF(ISNUMBER(N968),N968,0)-IF(ISNUMBER(O968),O968,0)+IF(ISNUMBER(P968),P968,0),2),"")</f>
        <v/>
      </c>
      <c r="S968" s="9" t="str">
        <f aca="false">IF(R968="","",ROUND(L968-R968,2))</f>
        <v/>
      </c>
      <c r="T968" s="8" t="str">
        <f aca="false">IF(A968="","",IF(S968="","BYPASS",IF(ABS(S968)&lt;=Summary!$B$2,"PASS","FAIL")))</f>
        <v/>
      </c>
      <c r="U968" s="8" t="str">
        <f aca="false">IF(T968="BYPASS",IF(NOT(ISNUMBER(Q968)),"PreV_ETB missing","End_tr_balance missing"),IF(T968="FAIL",IF(AND(ISNUMBER(K968),ISNUMBER(L968),ABS(L968-(K968-IF(ISNUMBER(N968),N968,0)-IF(ISNUMBER(O968),O968,0)+IF(ISNUMBER(P968),P968,0)))&lt;=Summary!$B$2),"Passes using beginning_balance - PreV_ETB differs from beginning_balance",IF(AND(ISNUMBER(O968),O968&lt;0,ABS(L968-(Q968-IF(ISNUMBER(N968),N968,0)+IF(ISNUMBER(P968),P968,0)))&lt;=Summary!$B$2),"Negative realized loss not applied - check sign",IF(R968&lt;0,"Principal paid exceeds prior balance",IF(AND(L968&gt;Q968,NOT(ISNUMBER(P968))),"Balance increased but no Deferred_interest reported",IF(L968&gt;R968,"Reported balance higher than expected (missing increase/OC build)","Reported balance lower than expected (missing decrease)"))))),""))</f>
        <v/>
      </c>
    </row>
    <row r="969" customFormat="false" ht="15" hidden="false" customHeight="false" outlineLevel="0" collapsed="false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9"/>
      <c r="L969" s="9"/>
      <c r="M969" s="9"/>
      <c r="N969" s="9"/>
      <c r="O969" s="9"/>
      <c r="P969" s="9"/>
      <c r="Q969" s="9"/>
      <c r="R969" s="9" t="str">
        <f aca="false">IF(AND(A969&lt;&gt;"",ISNUMBER(Q969),ISNUMBER(L969)),ROUND(Q969-IF(ISNUMBER(N969),N969,0)-IF(ISNUMBER(O969),O969,0)+IF(ISNUMBER(P969),P969,0),2),"")</f>
        <v/>
      </c>
      <c r="S969" s="9" t="str">
        <f aca="false">IF(R969="","",ROUND(L969-R969,2))</f>
        <v/>
      </c>
      <c r="T969" s="8" t="str">
        <f aca="false">IF(A969="","",IF(S969="","BYPASS",IF(ABS(S969)&lt;=Summary!$B$2,"PASS","FAIL")))</f>
        <v/>
      </c>
      <c r="U969" s="8" t="str">
        <f aca="false">IF(T969="BYPASS",IF(NOT(ISNUMBER(Q969)),"PreV_ETB missing","End_tr_balance missing"),IF(T969="FAIL",IF(AND(ISNUMBER(K969),ISNUMBER(L969),ABS(L969-(K969-IF(ISNUMBER(N969),N969,0)-IF(ISNUMBER(O969),O969,0)+IF(ISNUMBER(P969),P969,0)))&lt;=Summary!$B$2),"Passes using beginning_balance - PreV_ETB differs from beginning_balance",IF(AND(ISNUMBER(O969),O969&lt;0,ABS(L969-(Q969-IF(ISNUMBER(N969),N969,0)+IF(ISNUMBER(P969),P969,0)))&lt;=Summary!$B$2),"Negative realized loss not applied - check sign",IF(R969&lt;0,"Principal paid exceeds prior balance",IF(AND(L969&gt;Q969,NOT(ISNUMBER(P969))),"Balance increased but no Deferred_interest reported",IF(L969&gt;R969,"Reported balance higher than expected (missing increase/OC build)","Reported balance lower than expected (missing decrease)"))))),""))</f>
        <v/>
      </c>
    </row>
    <row r="970" customFormat="false" ht="15" hidden="false" customHeight="false" outlineLevel="0" collapsed="false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9"/>
      <c r="L970" s="9"/>
      <c r="M970" s="9"/>
      <c r="N970" s="9"/>
      <c r="O970" s="9"/>
      <c r="P970" s="9"/>
      <c r="Q970" s="9"/>
      <c r="R970" s="9" t="str">
        <f aca="false">IF(AND(A970&lt;&gt;"",ISNUMBER(Q970),ISNUMBER(L970)),ROUND(Q970-IF(ISNUMBER(N970),N970,0)-IF(ISNUMBER(O970),O970,0)+IF(ISNUMBER(P970),P970,0),2),"")</f>
        <v/>
      </c>
      <c r="S970" s="9" t="str">
        <f aca="false">IF(R970="","",ROUND(L970-R970,2))</f>
        <v/>
      </c>
      <c r="T970" s="8" t="str">
        <f aca="false">IF(A970="","",IF(S970="","BYPASS",IF(ABS(S970)&lt;=Summary!$B$2,"PASS","FAIL")))</f>
        <v/>
      </c>
      <c r="U970" s="8" t="str">
        <f aca="false">IF(T970="BYPASS",IF(NOT(ISNUMBER(Q970)),"PreV_ETB missing","End_tr_balance missing"),IF(T970="FAIL",IF(AND(ISNUMBER(K970),ISNUMBER(L970),ABS(L970-(K970-IF(ISNUMBER(N970),N970,0)-IF(ISNUMBER(O970),O970,0)+IF(ISNUMBER(P970),P970,0)))&lt;=Summary!$B$2),"Passes using beginning_balance - PreV_ETB differs from beginning_balance",IF(AND(ISNUMBER(O970),O970&lt;0,ABS(L970-(Q970-IF(ISNUMBER(N970),N970,0)+IF(ISNUMBER(P970),P970,0)))&lt;=Summary!$B$2),"Negative realized loss not applied - check sign",IF(R970&lt;0,"Principal paid exceeds prior balance",IF(AND(L970&gt;Q970,NOT(ISNUMBER(P970))),"Balance increased but no Deferred_interest reported",IF(L970&gt;R970,"Reported balance higher than expected (missing increase/OC build)","Reported balance lower than expected (missing decrease)"))))),""))</f>
        <v/>
      </c>
    </row>
    <row r="971" customFormat="false" ht="15" hidden="false" customHeight="false" outlineLevel="0" collapsed="false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9"/>
      <c r="L971" s="9"/>
      <c r="M971" s="9"/>
      <c r="N971" s="9"/>
      <c r="O971" s="9"/>
      <c r="P971" s="9"/>
      <c r="Q971" s="9"/>
      <c r="R971" s="9" t="str">
        <f aca="false">IF(AND(A971&lt;&gt;"",ISNUMBER(Q971),ISNUMBER(L971)),ROUND(Q971-IF(ISNUMBER(N971),N971,0)-IF(ISNUMBER(O971),O971,0)+IF(ISNUMBER(P971),P971,0),2),"")</f>
        <v/>
      </c>
      <c r="S971" s="9" t="str">
        <f aca="false">IF(R971="","",ROUND(L971-R971,2))</f>
        <v/>
      </c>
      <c r="T971" s="8" t="str">
        <f aca="false">IF(A971="","",IF(S971="","BYPASS",IF(ABS(S971)&lt;=Summary!$B$2,"PASS","FAIL")))</f>
        <v/>
      </c>
      <c r="U971" s="8" t="str">
        <f aca="false">IF(T971="BYPASS",IF(NOT(ISNUMBER(Q971)),"PreV_ETB missing","End_tr_balance missing"),IF(T971="FAIL",IF(AND(ISNUMBER(K971),ISNUMBER(L971),ABS(L971-(K971-IF(ISNUMBER(N971),N971,0)-IF(ISNUMBER(O971),O971,0)+IF(ISNUMBER(P971),P971,0)))&lt;=Summary!$B$2),"Passes using beginning_balance - PreV_ETB differs from beginning_balance",IF(AND(ISNUMBER(O971),O971&lt;0,ABS(L971-(Q971-IF(ISNUMBER(N971),N971,0)+IF(ISNUMBER(P971),P971,0)))&lt;=Summary!$B$2),"Negative realized loss not applied - check sign",IF(R971&lt;0,"Principal paid exceeds prior balance",IF(AND(L971&gt;Q971,NOT(ISNUMBER(P971))),"Balance increased but no Deferred_interest reported",IF(L971&gt;R971,"Reported balance higher than expected (missing increase/OC build)","Reported balance lower than expected (missing decrease)"))))),""))</f>
        <v/>
      </c>
    </row>
    <row r="972" customFormat="false" ht="15" hidden="false" customHeight="false" outlineLevel="0" collapsed="false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9"/>
      <c r="L972" s="9"/>
      <c r="M972" s="9"/>
      <c r="N972" s="9"/>
      <c r="O972" s="9"/>
      <c r="P972" s="9"/>
      <c r="Q972" s="9"/>
      <c r="R972" s="9" t="str">
        <f aca="false">IF(AND(A972&lt;&gt;"",ISNUMBER(Q972),ISNUMBER(L972)),ROUND(Q972-IF(ISNUMBER(N972),N972,0)-IF(ISNUMBER(O972),O972,0)+IF(ISNUMBER(P972),P972,0),2),"")</f>
        <v/>
      </c>
      <c r="S972" s="9" t="str">
        <f aca="false">IF(R972="","",ROUND(L972-R972,2))</f>
        <v/>
      </c>
      <c r="T972" s="8" t="str">
        <f aca="false">IF(A972="","",IF(S972="","BYPASS",IF(ABS(S972)&lt;=Summary!$B$2,"PASS","FAIL")))</f>
        <v/>
      </c>
      <c r="U972" s="8" t="str">
        <f aca="false">IF(T972="BYPASS",IF(NOT(ISNUMBER(Q972)),"PreV_ETB missing","End_tr_balance missing"),IF(T972="FAIL",IF(AND(ISNUMBER(K972),ISNUMBER(L972),ABS(L972-(K972-IF(ISNUMBER(N972),N972,0)-IF(ISNUMBER(O972),O972,0)+IF(ISNUMBER(P972),P972,0)))&lt;=Summary!$B$2),"Passes using beginning_balance - PreV_ETB differs from beginning_balance",IF(AND(ISNUMBER(O972),O972&lt;0,ABS(L972-(Q972-IF(ISNUMBER(N972),N972,0)+IF(ISNUMBER(P972),P972,0)))&lt;=Summary!$B$2),"Negative realized loss not applied - check sign",IF(R972&lt;0,"Principal paid exceeds prior balance",IF(AND(L972&gt;Q972,NOT(ISNUMBER(P972))),"Balance increased but no Deferred_interest reported",IF(L972&gt;R972,"Reported balance higher than expected (missing increase/OC build)","Reported balance lower than expected (missing decrease)"))))),""))</f>
        <v/>
      </c>
    </row>
    <row r="973" customFormat="false" ht="15" hidden="false" customHeight="false" outlineLevel="0" collapsed="false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9"/>
      <c r="L973" s="9"/>
      <c r="M973" s="9"/>
      <c r="N973" s="9"/>
      <c r="O973" s="9"/>
      <c r="P973" s="9"/>
      <c r="Q973" s="9"/>
      <c r="R973" s="9" t="str">
        <f aca="false">IF(AND(A973&lt;&gt;"",ISNUMBER(Q973),ISNUMBER(L973)),ROUND(Q973-IF(ISNUMBER(N973),N973,0)-IF(ISNUMBER(O973),O973,0)+IF(ISNUMBER(P973),P973,0),2),"")</f>
        <v/>
      </c>
      <c r="S973" s="9" t="str">
        <f aca="false">IF(R973="","",ROUND(L973-R973,2))</f>
        <v/>
      </c>
      <c r="T973" s="8" t="str">
        <f aca="false">IF(A973="","",IF(S973="","BYPASS",IF(ABS(S973)&lt;=Summary!$B$2,"PASS","FAIL")))</f>
        <v/>
      </c>
      <c r="U973" s="8" t="str">
        <f aca="false">IF(T973="BYPASS",IF(NOT(ISNUMBER(Q973)),"PreV_ETB missing","End_tr_balance missing"),IF(T973="FAIL",IF(AND(ISNUMBER(K973),ISNUMBER(L973),ABS(L973-(K973-IF(ISNUMBER(N973),N973,0)-IF(ISNUMBER(O973),O973,0)+IF(ISNUMBER(P973),P973,0)))&lt;=Summary!$B$2),"Passes using beginning_balance - PreV_ETB differs from beginning_balance",IF(AND(ISNUMBER(O973),O973&lt;0,ABS(L973-(Q973-IF(ISNUMBER(N973),N973,0)+IF(ISNUMBER(P973),P973,0)))&lt;=Summary!$B$2),"Negative realized loss not applied - check sign",IF(R973&lt;0,"Principal paid exceeds prior balance",IF(AND(L973&gt;Q973,NOT(ISNUMBER(P973))),"Balance increased but no Deferred_interest reported",IF(L973&gt;R973,"Reported balance higher than expected (missing increase/OC build)","Reported balance lower than expected (missing decrease)"))))),""))</f>
        <v/>
      </c>
    </row>
    <row r="974" customFormat="false" ht="15" hidden="false" customHeight="false" outlineLevel="0" collapsed="false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9"/>
      <c r="L974" s="9"/>
      <c r="M974" s="9"/>
      <c r="N974" s="9"/>
      <c r="O974" s="9"/>
      <c r="P974" s="9"/>
      <c r="Q974" s="9"/>
      <c r="R974" s="9" t="str">
        <f aca="false">IF(AND(A974&lt;&gt;"",ISNUMBER(Q974),ISNUMBER(L974)),ROUND(Q974-IF(ISNUMBER(N974),N974,0)-IF(ISNUMBER(O974),O974,0)+IF(ISNUMBER(P974),P974,0),2),"")</f>
        <v/>
      </c>
      <c r="S974" s="9" t="str">
        <f aca="false">IF(R974="","",ROUND(L974-R974,2))</f>
        <v/>
      </c>
      <c r="T974" s="8" t="str">
        <f aca="false">IF(A974="","",IF(S974="","BYPASS",IF(ABS(S974)&lt;=Summary!$B$2,"PASS","FAIL")))</f>
        <v/>
      </c>
      <c r="U974" s="8" t="str">
        <f aca="false">IF(T974="BYPASS",IF(NOT(ISNUMBER(Q974)),"PreV_ETB missing","End_tr_balance missing"),IF(T974="FAIL",IF(AND(ISNUMBER(K974),ISNUMBER(L974),ABS(L974-(K974-IF(ISNUMBER(N974),N974,0)-IF(ISNUMBER(O974),O974,0)+IF(ISNUMBER(P974),P974,0)))&lt;=Summary!$B$2),"Passes using beginning_balance - PreV_ETB differs from beginning_balance",IF(AND(ISNUMBER(O974),O974&lt;0,ABS(L974-(Q974-IF(ISNUMBER(N974),N974,0)+IF(ISNUMBER(P974),P974,0)))&lt;=Summary!$B$2),"Negative realized loss not applied - check sign",IF(R974&lt;0,"Principal paid exceeds prior balance",IF(AND(L974&gt;Q974,NOT(ISNUMBER(P974))),"Balance increased but no Deferred_interest reported",IF(L974&gt;R974,"Reported balance higher than expected (missing increase/OC build)","Reported balance lower than expected (missing decrease)"))))),""))</f>
        <v/>
      </c>
    </row>
    <row r="975" customFormat="false" ht="15" hidden="false" customHeight="false" outlineLevel="0" collapsed="false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9"/>
      <c r="L975" s="9"/>
      <c r="M975" s="9"/>
      <c r="N975" s="9"/>
      <c r="O975" s="9"/>
      <c r="P975" s="9"/>
      <c r="Q975" s="9"/>
      <c r="R975" s="9" t="str">
        <f aca="false">IF(AND(A975&lt;&gt;"",ISNUMBER(Q975),ISNUMBER(L975)),ROUND(Q975-IF(ISNUMBER(N975),N975,0)-IF(ISNUMBER(O975),O975,0)+IF(ISNUMBER(P975),P975,0),2),"")</f>
        <v/>
      </c>
      <c r="S975" s="9" t="str">
        <f aca="false">IF(R975="","",ROUND(L975-R975,2))</f>
        <v/>
      </c>
      <c r="T975" s="8" t="str">
        <f aca="false">IF(A975="","",IF(S975="","BYPASS",IF(ABS(S975)&lt;=Summary!$B$2,"PASS","FAIL")))</f>
        <v/>
      </c>
      <c r="U975" s="8" t="str">
        <f aca="false">IF(T975="BYPASS",IF(NOT(ISNUMBER(Q975)),"PreV_ETB missing","End_tr_balance missing"),IF(T975="FAIL",IF(AND(ISNUMBER(K975),ISNUMBER(L975),ABS(L975-(K975-IF(ISNUMBER(N975),N975,0)-IF(ISNUMBER(O975),O975,0)+IF(ISNUMBER(P975),P975,0)))&lt;=Summary!$B$2),"Passes using beginning_balance - PreV_ETB differs from beginning_balance",IF(AND(ISNUMBER(O975),O975&lt;0,ABS(L975-(Q975-IF(ISNUMBER(N975),N975,0)+IF(ISNUMBER(P975),P975,0)))&lt;=Summary!$B$2),"Negative realized loss not applied - check sign",IF(R975&lt;0,"Principal paid exceeds prior balance",IF(AND(L975&gt;Q975,NOT(ISNUMBER(P975))),"Balance increased but no Deferred_interest reported",IF(L975&gt;R975,"Reported balance higher than expected (missing increase/OC build)","Reported balance lower than expected (missing decrease)"))))),""))</f>
        <v/>
      </c>
    </row>
    <row r="976" customFormat="false" ht="15" hidden="false" customHeight="false" outlineLevel="0" collapsed="false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9"/>
      <c r="L976" s="9"/>
      <c r="M976" s="9"/>
      <c r="N976" s="9"/>
      <c r="O976" s="9"/>
      <c r="P976" s="9"/>
      <c r="Q976" s="9"/>
      <c r="R976" s="9" t="str">
        <f aca="false">IF(AND(A976&lt;&gt;"",ISNUMBER(Q976),ISNUMBER(L976)),ROUND(Q976-IF(ISNUMBER(N976),N976,0)-IF(ISNUMBER(O976),O976,0)+IF(ISNUMBER(P976),P976,0),2),"")</f>
        <v/>
      </c>
      <c r="S976" s="9" t="str">
        <f aca="false">IF(R976="","",ROUND(L976-R976,2))</f>
        <v/>
      </c>
      <c r="T976" s="8" t="str">
        <f aca="false">IF(A976="","",IF(S976="","BYPASS",IF(ABS(S976)&lt;=Summary!$B$2,"PASS","FAIL")))</f>
        <v/>
      </c>
      <c r="U976" s="8" t="str">
        <f aca="false">IF(T976="BYPASS",IF(NOT(ISNUMBER(Q976)),"PreV_ETB missing","End_tr_balance missing"),IF(T976="FAIL",IF(AND(ISNUMBER(K976),ISNUMBER(L976),ABS(L976-(K976-IF(ISNUMBER(N976),N976,0)-IF(ISNUMBER(O976),O976,0)+IF(ISNUMBER(P976),P976,0)))&lt;=Summary!$B$2),"Passes using beginning_balance - PreV_ETB differs from beginning_balance",IF(AND(ISNUMBER(O976),O976&lt;0,ABS(L976-(Q976-IF(ISNUMBER(N976),N976,0)+IF(ISNUMBER(P976),P976,0)))&lt;=Summary!$B$2),"Negative realized loss not applied - check sign",IF(R976&lt;0,"Principal paid exceeds prior balance",IF(AND(L976&gt;Q976,NOT(ISNUMBER(P976))),"Balance increased but no Deferred_interest reported",IF(L976&gt;R976,"Reported balance higher than expected (missing increase/OC build)","Reported balance lower than expected (missing decrease)"))))),""))</f>
        <v/>
      </c>
    </row>
    <row r="977" customFormat="false" ht="15" hidden="false" customHeight="false" outlineLevel="0" collapsed="false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9"/>
      <c r="L977" s="9"/>
      <c r="M977" s="9"/>
      <c r="N977" s="9"/>
      <c r="O977" s="9"/>
      <c r="P977" s="9"/>
      <c r="Q977" s="9"/>
      <c r="R977" s="9" t="str">
        <f aca="false">IF(AND(A977&lt;&gt;"",ISNUMBER(Q977),ISNUMBER(L977)),ROUND(Q977-IF(ISNUMBER(N977),N977,0)-IF(ISNUMBER(O977),O977,0)+IF(ISNUMBER(P977),P977,0),2),"")</f>
        <v/>
      </c>
      <c r="S977" s="9" t="str">
        <f aca="false">IF(R977="","",ROUND(L977-R977,2))</f>
        <v/>
      </c>
      <c r="T977" s="8" t="str">
        <f aca="false">IF(A977="","",IF(S977="","BYPASS",IF(ABS(S977)&lt;=Summary!$B$2,"PASS","FAIL")))</f>
        <v/>
      </c>
      <c r="U977" s="8" t="str">
        <f aca="false">IF(T977="BYPASS",IF(NOT(ISNUMBER(Q977)),"PreV_ETB missing","End_tr_balance missing"),IF(T977="FAIL",IF(AND(ISNUMBER(K977),ISNUMBER(L977),ABS(L977-(K977-IF(ISNUMBER(N977),N977,0)-IF(ISNUMBER(O977),O977,0)+IF(ISNUMBER(P977),P977,0)))&lt;=Summary!$B$2),"Passes using beginning_balance - PreV_ETB differs from beginning_balance",IF(AND(ISNUMBER(O977),O977&lt;0,ABS(L977-(Q977-IF(ISNUMBER(N977),N977,0)+IF(ISNUMBER(P977),P977,0)))&lt;=Summary!$B$2),"Negative realized loss not applied - check sign",IF(R977&lt;0,"Principal paid exceeds prior balance",IF(AND(L977&gt;Q977,NOT(ISNUMBER(P977))),"Balance increased but no Deferred_interest reported",IF(L977&gt;R977,"Reported balance higher than expected (missing increase/OC build)","Reported balance lower than expected (missing decrease)"))))),""))</f>
        <v/>
      </c>
    </row>
    <row r="978" customFormat="false" ht="15" hidden="false" customHeight="false" outlineLevel="0" collapsed="false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9"/>
      <c r="L978" s="9"/>
      <c r="M978" s="9"/>
      <c r="N978" s="9"/>
      <c r="O978" s="9"/>
      <c r="P978" s="9"/>
      <c r="Q978" s="9"/>
      <c r="R978" s="9" t="str">
        <f aca="false">IF(AND(A978&lt;&gt;"",ISNUMBER(Q978),ISNUMBER(L978)),ROUND(Q978-IF(ISNUMBER(N978),N978,0)-IF(ISNUMBER(O978),O978,0)+IF(ISNUMBER(P978),P978,0),2),"")</f>
        <v/>
      </c>
      <c r="S978" s="9" t="str">
        <f aca="false">IF(R978="","",ROUND(L978-R978,2))</f>
        <v/>
      </c>
      <c r="T978" s="8" t="str">
        <f aca="false">IF(A978="","",IF(S978="","BYPASS",IF(ABS(S978)&lt;=Summary!$B$2,"PASS","FAIL")))</f>
        <v/>
      </c>
      <c r="U978" s="8" t="str">
        <f aca="false">IF(T978="BYPASS",IF(NOT(ISNUMBER(Q978)),"PreV_ETB missing","End_tr_balance missing"),IF(T978="FAIL",IF(AND(ISNUMBER(K978),ISNUMBER(L978),ABS(L978-(K978-IF(ISNUMBER(N978),N978,0)-IF(ISNUMBER(O978),O978,0)+IF(ISNUMBER(P978),P978,0)))&lt;=Summary!$B$2),"Passes using beginning_balance - PreV_ETB differs from beginning_balance",IF(AND(ISNUMBER(O978),O978&lt;0,ABS(L978-(Q978-IF(ISNUMBER(N978),N978,0)+IF(ISNUMBER(P978),P978,0)))&lt;=Summary!$B$2),"Negative realized loss not applied - check sign",IF(R978&lt;0,"Principal paid exceeds prior balance",IF(AND(L978&gt;Q978,NOT(ISNUMBER(P978))),"Balance increased but no Deferred_interest reported",IF(L978&gt;R978,"Reported balance higher than expected (missing increase/OC build)","Reported balance lower than expected (missing decrease)"))))),""))</f>
        <v/>
      </c>
    </row>
    <row r="979" customFormat="false" ht="15" hidden="false" customHeight="false" outlineLevel="0" collapsed="false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9"/>
      <c r="L979" s="9"/>
      <c r="M979" s="9"/>
      <c r="N979" s="9"/>
      <c r="O979" s="9"/>
      <c r="P979" s="9"/>
      <c r="Q979" s="9"/>
      <c r="R979" s="9" t="str">
        <f aca="false">IF(AND(A979&lt;&gt;"",ISNUMBER(Q979),ISNUMBER(L979)),ROUND(Q979-IF(ISNUMBER(N979),N979,0)-IF(ISNUMBER(O979),O979,0)+IF(ISNUMBER(P979),P979,0),2),"")</f>
        <v/>
      </c>
      <c r="S979" s="9" t="str">
        <f aca="false">IF(R979="","",ROUND(L979-R979,2))</f>
        <v/>
      </c>
      <c r="T979" s="8" t="str">
        <f aca="false">IF(A979="","",IF(S979="","BYPASS",IF(ABS(S979)&lt;=Summary!$B$2,"PASS","FAIL")))</f>
        <v/>
      </c>
      <c r="U979" s="8" t="str">
        <f aca="false">IF(T979="BYPASS",IF(NOT(ISNUMBER(Q979)),"PreV_ETB missing","End_tr_balance missing"),IF(T979="FAIL",IF(AND(ISNUMBER(K979),ISNUMBER(L979),ABS(L979-(K979-IF(ISNUMBER(N979),N979,0)-IF(ISNUMBER(O979),O979,0)+IF(ISNUMBER(P979),P979,0)))&lt;=Summary!$B$2),"Passes using beginning_balance - PreV_ETB differs from beginning_balance",IF(AND(ISNUMBER(O979),O979&lt;0,ABS(L979-(Q979-IF(ISNUMBER(N979),N979,0)+IF(ISNUMBER(P979),P979,0)))&lt;=Summary!$B$2),"Negative realized loss not applied - check sign",IF(R979&lt;0,"Principal paid exceeds prior balance",IF(AND(L979&gt;Q979,NOT(ISNUMBER(P979))),"Balance increased but no Deferred_interest reported",IF(L979&gt;R979,"Reported balance higher than expected (missing increase/OC build)","Reported balance lower than expected (missing decrease)"))))),""))</f>
        <v/>
      </c>
    </row>
    <row r="980" customFormat="false" ht="15" hidden="false" customHeight="false" outlineLevel="0" collapsed="false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9"/>
      <c r="L980" s="9"/>
      <c r="M980" s="9"/>
      <c r="N980" s="9"/>
      <c r="O980" s="9"/>
      <c r="P980" s="9"/>
      <c r="Q980" s="9"/>
      <c r="R980" s="9" t="str">
        <f aca="false">IF(AND(A980&lt;&gt;"",ISNUMBER(Q980),ISNUMBER(L980)),ROUND(Q980-IF(ISNUMBER(N980),N980,0)-IF(ISNUMBER(O980),O980,0)+IF(ISNUMBER(P980),P980,0),2),"")</f>
        <v/>
      </c>
      <c r="S980" s="9" t="str">
        <f aca="false">IF(R980="","",ROUND(L980-R980,2))</f>
        <v/>
      </c>
      <c r="T980" s="8" t="str">
        <f aca="false">IF(A980="","",IF(S980="","BYPASS",IF(ABS(S980)&lt;=Summary!$B$2,"PASS","FAIL")))</f>
        <v/>
      </c>
      <c r="U980" s="8" t="str">
        <f aca="false">IF(T980="BYPASS",IF(NOT(ISNUMBER(Q980)),"PreV_ETB missing","End_tr_balance missing"),IF(T980="FAIL",IF(AND(ISNUMBER(K980),ISNUMBER(L980),ABS(L980-(K980-IF(ISNUMBER(N980),N980,0)-IF(ISNUMBER(O980),O980,0)+IF(ISNUMBER(P980),P980,0)))&lt;=Summary!$B$2),"Passes using beginning_balance - PreV_ETB differs from beginning_balance",IF(AND(ISNUMBER(O980),O980&lt;0,ABS(L980-(Q980-IF(ISNUMBER(N980),N980,0)+IF(ISNUMBER(P980),P980,0)))&lt;=Summary!$B$2),"Negative realized loss not applied - check sign",IF(R980&lt;0,"Principal paid exceeds prior balance",IF(AND(L980&gt;Q980,NOT(ISNUMBER(P980))),"Balance increased but no Deferred_interest reported",IF(L980&gt;R980,"Reported balance higher than expected (missing increase/OC build)","Reported balance lower than expected (missing decrease)"))))),""))</f>
        <v/>
      </c>
    </row>
    <row r="981" customFormat="false" ht="15" hidden="false" customHeight="false" outlineLevel="0" collapsed="false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9"/>
      <c r="L981" s="9"/>
      <c r="M981" s="9"/>
      <c r="N981" s="9"/>
      <c r="O981" s="9"/>
      <c r="P981" s="9"/>
      <c r="Q981" s="9"/>
      <c r="R981" s="9" t="str">
        <f aca="false">IF(AND(A981&lt;&gt;"",ISNUMBER(Q981),ISNUMBER(L981)),ROUND(Q981-IF(ISNUMBER(N981),N981,0)-IF(ISNUMBER(O981),O981,0)+IF(ISNUMBER(P981),P981,0),2),"")</f>
        <v/>
      </c>
      <c r="S981" s="9" t="str">
        <f aca="false">IF(R981="","",ROUND(L981-R981,2))</f>
        <v/>
      </c>
      <c r="T981" s="8" t="str">
        <f aca="false">IF(A981="","",IF(S981="","BYPASS",IF(ABS(S981)&lt;=Summary!$B$2,"PASS","FAIL")))</f>
        <v/>
      </c>
      <c r="U981" s="8" t="str">
        <f aca="false">IF(T981="BYPASS",IF(NOT(ISNUMBER(Q981)),"PreV_ETB missing","End_tr_balance missing"),IF(T981="FAIL",IF(AND(ISNUMBER(K981),ISNUMBER(L981),ABS(L981-(K981-IF(ISNUMBER(N981),N981,0)-IF(ISNUMBER(O981),O981,0)+IF(ISNUMBER(P981),P981,0)))&lt;=Summary!$B$2),"Passes using beginning_balance - PreV_ETB differs from beginning_balance",IF(AND(ISNUMBER(O981),O981&lt;0,ABS(L981-(Q981-IF(ISNUMBER(N981),N981,0)+IF(ISNUMBER(P981),P981,0)))&lt;=Summary!$B$2),"Negative realized loss not applied - check sign",IF(R981&lt;0,"Principal paid exceeds prior balance",IF(AND(L981&gt;Q981,NOT(ISNUMBER(P981))),"Balance increased but no Deferred_interest reported",IF(L981&gt;R981,"Reported balance higher than expected (missing increase/OC build)","Reported balance lower than expected (missing decrease)"))))),""))</f>
        <v/>
      </c>
    </row>
    <row r="982" customFormat="false" ht="15" hidden="false" customHeight="false" outlineLevel="0" collapsed="false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9"/>
      <c r="L982" s="9"/>
      <c r="M982" s="9"/>
      <c r="N982" s="9"/>
      <c r="O982" s="9"/>
      <c r="P982" s="9"/>
      <c r="Q982" s="9"/>
      <c r="R982" s="9" t="str">
        <f aca="false">IF(AND(A982&lt;&gt;"",ISNUMBER(Q982),ISNUMBER(L982)),ROUND(Q982-IF(ISNUMBER(N982),N982,0)-IF(ISNUMBER(O982),O982,0)+IF(ISNUMBER(P982),P982,0),2),"")</f>
        <v/>
      </c>
      <c r="S982" s="9" t="str">
        <f aca="false">IF(R982="","",ROUND(L982-R982,2))</f>
        <v/>
      </c>
      <c r="T982" s="8" t="str">
        <f aca="false">IF(A982="","",IF(S982="","BYPASS",IF(ABS(S982)&lt;=Summary!$B$2,"PASS","FAIL")))</f>
        <v/>
      </c>
      <c r="U982" s="8" t="str">
        <f aca="false">IF(T982="BYPASS",IF(NOT(ISNUMBER(Q982)),"PreV_ETB missing","End_tr_balance missing"),IF(T982="FAIL",IF(AND(ISNUMBER(K982),ISNUMBER(L982),ABS(L982-(K982-IF(ISNUMBER(N982),N982,0)-IF(ISNUMBER(O982),O982,0)+IF(ISNUMBER(P982),P982,0)))&lt;=Summary!$B$2),"Passes using beginning_balance - PreV_ETB differs from beginning_balance",IF(AND(ISNUMBER(O982),O982&lt;0,ABS(L982-(Q982-IF(ISNUMBER(N982),N982,0)+IF(ISNUMBER(P982),P982,0)))&lt;=Summary!$B$2),"Negative realized loss not applied - check sign",IF(R982&lt;0,"Principal paid exceeds prior balance",IF(AND(L982&gt;Q982,NOT(ISNUMBER(P982))),"Balance increased but no Deferred_interest reported",IF(L982&gt;R982,"Reported balance higher than expected (missing increase/OC build)","Reported balance lower than expected (missing decrease)"))))),""))</f>
        <v/>
      </c>
    </row>
    <row r="983" customFormat="false" ht="15" hidden="false" customHeight="false" outlineLevel="0" collapsed="false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9"/>
      <c r="L983" s="9"/>
      <c r="M983" s="9"/>
      <c r="N983" s="9"/>
      <c r="O983" s="9"/>
      <c r="P983" s="9"/>
      <c r="Q983" s="9"/>
      <c r="R983" s="9" t="str">
        <f aca="false">IF(AND(A983&lt;&gt;"",ISNUMBER(Q983),ISNUMBER(L983)),ROUND(Q983-IF(ISNUMBER(N983),N983,0)-IF(ISNUMBER(O983),O983,0)+IF(ISNUMBER(P983),P983,0),2),"")</f>
        <v/>
      </c>
      <c r="S983" s="9" t="str">
        <f aca="false">IF(R983="","",ROUND(L983-R983,2))</f>
        <v/>
      </c>
      <c r="T983" s="8" t="str">
        <f aca="false">IF(A983="","",IF(S983="","BYPASS",IF(ABS(S983)&lt;=Summary!$B$2,"PASS","FAIL")))</f>
        <v/>
      </c>
      <c r="U983" s="8" t="str">
        <f aca="false">IF(T983="BYPASS",IF(NOT(ISNUMBER(Q983)),"PreV_ETB missing","End_tr_balance missing"),IF(T983="FAIL",IF(AND(ISNUMBER(K983),ISNUMBER(L983),ABS(L983-(K983-IF(ISNUMBER(N983),N983,0)-IF(ISNUMBER(O983),O983,0)+IF(ISNUMBER(P983),P983,0)))&lt;=Summary!$B$2),"Passes using beginning_balance - PreV_ETB differs from beginning_balance",IF(AND(ISNUMBER(O983),O983&lt;0,ABS(L983-(Q983-IF(ISNUMBER(N983),N983,0)+IF(ISNUMBER(P983),P983,0)))&lt;=Summary!$B$2),"Negative realized loss not applied - check sign",IF(R983&lt;0,"Principal paid exceeds prior balance",IF(AND(L983&gt;Q983,NOT(ISNUMBER(P983))),"Balance increased but no Deferred_interest reported",IF(L983&gt;R983,"Reported balance higher than expected (missing increase/OC build)","Reported balance lower than expected (missing decrease)"))))),""))</f>
        <v/>
      </c>
    </row>
    <row r="984" customFormat="false" ht="15" hidden="false" customHeight="false" outlineLevel="0" collapsed="false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9"/>
      <c r="L984" s="9"/>
      <c r="M984" s="9"/>
      <c r="N984" s="9"/>
      <c r="O984" s="9"/>
      <c r="P984" s="9"/>
      <c r="Q984" s="9"/>
      <c r="R984" s="9" t="str">
        <f aca="false">IF(AND(A984&lt;&gt;"",ISNUMBER(Q984),ISNUMBER(L984)),ROUND(Q984-IF(ISNUMBER(N984),N984,0)-IF(ISNUMBER(O984),O984,0)+IF(ISNUMBER(P984),P984,0),2),"")</f>
        <v/>
      </c>
      <c r="S984" s="9" t="str">
        <f aca="false">IF(R984="","",ROUND(L984-R984,2))</f>
        <v/>
      </c>
      <c r="T984" s="8" t="str">
        <f aca="false">IF(A984="","",IF(S984="","BYPASS",IF(ABS(S984)&lt;=Summary!$B$2,"PASS","FAIL")))</f>
        <v/>
      </c>
      <c r="U984" s="8" t="str">
        <f aca="false">IF(T984="BYPASS",IF(NOT(ISNUMBER(Q984)),"PreV_ETB missing","End_tr_balance missing"),IF(T984="FAIL",IF(AND(ISNUMBER(K984),ISNUMBER(L984),ABS(L984-(K984-IF(ISNUMBER(N984),N984,0)-IF(ISNUMBER(O984),O984,0)+IF(ISNUMBER(P984),P984,0)))&lt;=Summary!$B$2),"Passes using beginning_balance - PreV_ETB differs from beginning_balance",IF(AND(ISNUMBER(O984),O984&lt;0,ABS(L984-(Q984-IF(ISNUMBER(N984),N984,0)+IF(ISNUMBER(P984),P984,0)))&lt;=Summary!$B$2),"Negative realized loss not applied - check sign",IF(R984&lt;0,"Principal paid exceeds prior balance",IF(AND(L984&gt;Q984,NOT(ISNUMBER(P984))),"Balance increased but no Deferred_interest reported",IF(L984&gt;R984,"Reported balance higher than expected (missing increase/OC build)","Reported balance lower than expected (missing decrease)"))))),""))</f>
        <v/>
      </c>
    </row>
    <row r="985" customFormat="false" ht="15" hidden="false" customHeight="false" outlineLevel="0" collapsed="false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9"/>
      <c r="L985" s="9"/>
      <c r="M985" s="9"/>
      <c r="N985" s="9"/>
      <c r="O985" s="9"/>
      <c r="P985" s="9"/>
      <c r="Q985" s="9"/>
      <c r="R985" s="9" t="str">
        <f aca="false">IF(AND(A985&lt;&gt;"",ISNUMBER(Q985),ISNUMBER(L985)),ROUND(Q985-IF(ISNUMBER(N985),N985,0)-IF(ISNUMBER(O985),O985,0)+IF(ISNUMBER(P985),P985,0),2),"")</f>
        <v/>
      </c>
      <c r="S985" s="9" t="str">
        <f aca="false">IF(R985="","",ROUND(L985-R985,2))</f>
        <v/>
      </c>
      <c r="T985" s="8" t="str">
        <f aca="false">IF(A985="","",IF(S985="","BYPASS",IF(ABS(S985)&lt;=Summary!$B$2,"PASS","FAIL")))</f>
        <v/>
      </c>
      <c r="U985" s="8" t="str">
        <f aca="false">IF(T985="BYPASS",IF(NOT(ISNUMBER(Q985)),"PreV_ETB missing","End_tr_balance missing"),IF(T985="FAIL",IF(AND(ISNUMBER(K985),ISNUMBER(L985),ABS(L985-(K985-IF(ISNUMBER(N985),N985,0)-IF(ISNUMBER(O985),O985,0)+IF(ISNUMBER(P985),P985,0)))&lt;=Summary!$B$2),"Passes using beginning_balance - PreV_ETB differs from beginning_balance",IF(AND(ISNUMBER(O985),O985&lt;0,ABS(L985-(Q985-IF(ISNUMBER(N985),N985,0)+IF(ISNUMBER(P985),P985,0)))&lt;=Summary!$B$2),"Negative realized loss not applied - check sign",IF(R985&lt;0,"Principal paid exceeds prior balance",IF(AND(L985&gt;Q985,NOT(ISNUMBER(P985))),"Balance increased but no Deferred_interest reported",IF(L985&gt;R985,"Reported balance higher than expected (missing increase/OC build)","Reported balance lower than expected (missing decrease)"))))),""))</f>
        <v/>
      </c>
    </row>
    <row r="986" customFormat="false" ht="15" hidden="false" customHeight="false" outlineLevel="0" collapsed="false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9"/>
      <c r="L986" s="9"/>
      <c r="M986" s="9"/>
      <c r="N986" s="9"/>
      <c r="O986" s="9"/>
      <c r="P986" s="9"/>
      <c r="Q986" s="9"/>
      <c r="R986" s="9" t="str">
        <f aca="false">IF(AND(A986&lt;&gt;"",ISNUMBER(Q986),ISNUMBER(L986)),ROUND(Q986-IF(ISNUMBER(N986),N986,0)-IF(ISNUMBER(O986),O986,0)+IF(ISNUMBER(P986),P986,0),2),"")</f>
        <v/>
      </c>
      <c r="S986" s="9" t="str">
        <f aca="false">IF(R986="","",ROUND(L986-R986,2))</f>
        <v/>
      </c>
      <c r="T986" s="8" t="str">
        <f aca="false">IF(A986="","",IF(S986="","BYPASS",IF(ABS(S986)&lt;=Summary!$B$2,"PASS","FAIL")))</f>
        <v/>
      </c>
      <c r="U986" s="8" t="str">
        <f aca="false">IF(T986="BYPASS",IF(NOT(ISNUMBER(Q986)),"PreV_ETB missing","End_tr_balance missing"),IF(T986="FAIL",IF(AND(ISNUMBER(K986),ISNUMBER(L986),ABS(L986-(K986-IF(ISNUMBER(N986),N986,0)-IF(ISNUMBER(O986),O986,0)+IF(ISNUMBER(P986),P986,0)))&lt;=Summary!$B$2),"Passes using beginning_balance - PreV_ETB differs from beginning_balance",IF(AND(ISNUMBER(O986),O986&lt;0,ABS(L986-(Q986-IF(ISNUMBER(N986),N986,0)+IF(ISNUMBER(P986),P986,0)))&lt;=Summary!$B$2),"Negative realized loss not applied - check sign",IF(R986&lt;0,"Principal paid exceeds prior balance",IF(AND(L986&gt;Q986,NOT(ISNUMBER(P986))),"Balance increased but no Deferred_interest reported",IF(L986&gt;R986,"Reported balance higher than expected (missing increase/OC build)","Reported balance lower than expected (missing decrease)"))))),""))</f>
        <v/>
      </c>
    </row>
    <row r="987" customFormat="false" ht="15" hidden="false" customHeight="false" outlineLevel="0" collapsed="false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9"/>
      <c r="L987" s="9"/>
      <c r="M987" s="9"/>
      <c r="N987" s="9"/>
      <c r="O987" s="9"/>
      <c r="P987" s="9"/>
      <c r="Q987" s="9"/>
      <c r="R987" s="9" t="str">
        <f aca="false">IF(AND(A987&lt;&gt;"",ISNUMBER(Q987),ISNUMBER(L987)),ROUND(Q987-IF(ISNUMBER(N987),N987,0)-IF(ISNUMBER(O987),O987,0)+IF(ISNUMBER(P987),P987,0),2),"")</f>
        <v/>
      </c>
      <c r="S987" s="9" t="str">
        <f aca="false">IF(R987="","",ROUND(L987-R987,2))</f>
        <v/>
      </c>
      <c r="T987" s="8" t="str">
        <f aca="false">IF(A987="","",IF(S987="","BYPASS",IF(ABS(S987)&lt;=Summary!$B$2,"PASS","FAIL")))</f>
        <v/>
      </c>
      <c r="U987" s="8" t="str">
        <f aca="false">IF(T987="BYPASS",IF(NOT(ISNUMBER(Q987)),"PreV_ETB missing","End_tr_balance missing"),IF(T987="FAIL",IF(AND(ISNUMBER(K987),ISNUMBER(L987),ABS(L987-(K987-IF(ISNUMBER(N987),N987,0)-IF(ISNUMBER(O987),O987,0)+IF(ISNUMBER(P987),P987,0)))&lt;=Summary!$B$2),"Passes using beginning_balance - PreV_ETB differs from beginning_balance",IF(AND(ISNUMBER(O987),O987&lt;0,ABS(L987-(Q987-IF(ISNUMBER(N987),N987,0)+IF(ISNUMBER(P987),P987,0)))&lt;=Summary!$B$2),"Negative realized loss not applied - check sign",IF(R987&lt;0,"Principal paid exceeds prior balance",IF(AND(L987&gt;Q987,NOT(ISNUMBER(P987))),"Balance increased but no Deferred_interest reported",IF(L987&gt;R987,"Reported balance higher than expected (missing increase/OC build)","Reported balance lower than expected (missing decrease)"))))),""))</f>
        <v/>
      </c>
    </row>
    <row r="988" customFormat="false" ht="15" hidden="false" customHeight="false" outlineLevel="0" collapsed="false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9"/>
      <c r="L988" s="9"/>
      <c r="M988" s="9"/>
      <c r="N988" s="9"/>
      <c r="O988" s="9"/>
      <c r="P988" s="9"/>
      <c r="Q988" s="9"/>
      <c r="R988" s="9" t="str">
        <f aca="false">IF(AND(A988&lt;&gt;"",ISNUMBER(Q988),ISNUMBER(L988)),ROUND(Q988-IF(ISNUMBER(N988),N988,0)-IF(ISNUMBER(O988),O988,0)+IF(ISNUMBER(P988),P988,0),2),"")</f>
        <v/>
      </c>
      <c r="S988" s="9" t="str">
        <f aca="false">IF(R988="","",ROUND(L988-R988,2))</f>
        <v/>
      </c>
      <c r="T988" s="8" t="str">
        <f aca="false">IF(A988="","",IF(S988="","BYPASS",IF(ABS(S988)&lt;=Summary!$B$2,"PASS","FAIL")))</f>
        <v/>
      </c>
      <c r="U988" s="8" t="str">
        <f aca="false">IF(T988="BYPASS",IF(NOT(ISNUMBER(Q988)),"PreV_ETB missing","End_tr_balance missing"),IF(T988="FAIL",IF(AND(ISNUMBER(K988),ISNUMBER(L988),ABS(L988-(K988-IF(ISNUMBER(N988),N988,0)-IF(ISNUMBER(O988),O988,0)+IF(ISNUMBER(P988),P988,0)))&lt;=Summary!$B$2),"Passes using beginning_balance - PreV_ETB differs from beginning_balance",IF(AND(ISNUMBER(O988),O988&lt;0,ABS(L988-(Q988-IF(ISNUMBER(N988),N988,0)+IF(ISNUMBER(P988),P988,0)))&lt;=Summary!$B$2),"Negative realized loss not applied - check sign",IF(R988&lt;0,"Principal paid exceeds prior balance",IF(AND(L988&gt;Q988,NOT(ISNUMBER(P988))),"Balance increased but no Deferred_interest reported",IF(L988&gt;R988,"Reported balance higher than expected (missing increase/OC build)","Reported balance lower than expected (missing decrease)"))))),""))</f>
        <v/>
      </c>
    </row>
    <row r="989" customFormat="false" ht="15" hidden="false" customHeight="false" outlineLevel="0" collapsed="false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9"/>
      <c r="L989" s="9"/>
      <c r="M989" s="9"/>
      <c r="N989" s="9"/>
      <c r="O989" s="9"/>
      <c r="P989" s="9"/>
      <c r="Q989" s="9"/>
      <c r="R989" s="9" t="str">
        <f aca="false">IF(AND(A989&lt;&gt;"",ISNUMBER(Q989),ISNUMBER(L989)),ROUND(Q989-IF(ISNUMBER(N989),N989,0)-IF(ISNUMBER(O989),O989,0)+IF(ISNUMBER(P989),P989,0),2),"")</f>
        <v/>
      </c>
      <c r="S989" s="9" t="str">
        <f aca="false">IF(R989="","",ROUND(L989-R989,2))</f>
        <v/>
      </c>
      <c r="T989" s="8" t="str">
        <f aca="false">IF(A989="","",IF(S989="","BYPASS",IF(ABS(S989)&lt;=Summary!$B$2,"PASS","FAIL")))</f>
        <v/>
      </c>
      <c r="U989" s="8" t="str">
        <f aca="false">IF(T989="BYPASS",IF(NOT(ISNUMBER(Q989)),"PreV_ETB missing","End_tr_balance missing"),IF(T989="FAIL",IF(AND(ISNUMBER(K989),ISNUMBER(L989),ABS(L989-(K989-IF(ISNUMBER(N989),N989,0)-IF(ISNUMBER(O989),O989,0)+IF(ISNUMBER(P989),P989,0)))&lt;=Summary!$B$2),"Passes using beginning_balance - PreV_ETB differs from beginning_balance",IF(AND(ISNUMBER(O989),O989&lt;0,ABS(L989-(Q989-IF(ISNUMBER(N989),N989,0)+IF(ISNUMBER(P989),P989,0)))&lt;=Summary!$B$2),"Negative realized loss not applied - check sign",IF(R989&lt;0,"Principal paid exceeds prior balance",IF(AND(L989&gt;Q989,NOT(ISNUMBER(P989))),"Balance increased but no Deferred_interest reported",IF(L989&gt;R989,"Reported balance higher than expected (missing increase/OC build)","Reported balance lower than expected (missing decrease)"))))),""))</f>
        <v/>
      </c>
    </row>
    <row r="990" customFormat="false" ht="15" hidden="false" customHeight="false" outlineLevel="0" collapsed="false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9"/>
      <c r="L990" s="9"/>
      <c r="M990" s="9"/>
      <c r="N990" s="9"/>
      <c r="O990" s="9"/>
      <c r="P990" s="9"/>
      <c r="Q990" s="9"/>
      <c r="R990" s="9" t="str">
        <f aca="false">IF(AND(A990&lt;&gt;"",ISNUMBER(Q990),ISNUMBER(L990)),ROUND(Q990-IF(ISNUMBER(N990),N990,0)-IF(ISNUMBER(O990),O990,0)+IF(ISNUMBER(P990),P990,0),2),"")</f>
        <v/>
      </c>
      <c r="S990" s="9" t="str">
        <f aca="false">IF(R990="","",ROUND(L990-R990,2))</f>
        <v/>
      </c>
      <c r="T990" s="8" t="str">
        <f aca="false">IF(A990="","",IF(S990="","BYPASS",IF(ABS(S990)&lt;=Summary!$B$2,"PASS","FAIL")))</f>
        <v/>
      </c>
      <c r="U990" s="8" t="str">
        <f aca="false">IF(T990="BYPASS",IF(NOT(ISNUMBER(Q990)),"PreV_ETB missing","End_tr_balance missing"),IF(T990="FAIL",IF(AND(ISNUMBER(K990),ISNUMBER(L990),ABS(L990-(K990-IF(ISNUMBER(N990),N990,0)-IF(ISNUMBER(O990),O990,0)+IF(ISNUMBER(P990),P990,0)))&lt;=Summary!$B$2),"Passes using beginning_balance - PreV_ETB differs from beginning_balance",IF(AND(ISNUMBER(O990),O990&lt;0,ABS(L990-(Q990-IF(ISNUMBER(N990),N990,0)+IF(ISNUMBER(P990),P990,0)))&lt;=Summary!$B$2),"Negative realized loss not applied - check sign",IF(R990&lt;0,"Principal paid exceeds prior balance",IF(AND(L990&gt;Q990,NOT(ISNUMBER(P990))),"Balance increased but no Deferred_interest reported",IF(L990&gt;R990,"Reported balance higher than expected (missing increase/OC build)","Reported balance lower than expected (missing decrease)"))))),""))</f>
        <v/>
      </c>
    </row>
    <row r="991" customFormat="false" ht="15" hidden="false" customHeight="false" outlineLevel="0" collapsed="false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9"/>
      <c r="L991" s="9"/>
      <c r="M991" s="9"/>
      <c r="N991" s="9"/>
      <c r="O991" s="9"/>
      <c r="P991" s="9"/>
      <c r="Q991" s="9"/>
      <c r="R991" s="9" t="str">
        <f aca="false">IF(AND(A991&lt;&gt;"",ISNUMBER(Q991),ISNUMBER(L991)),ROUND(Q991-IF(ISNUMBER(N991),N991,0)-IF(ISNUMBER(O991),O991,0)+IF(ISNUMBER(P991),P991,0),2),"")</f>
        <v/>
      </c>
      <c r="S991" s="9" t="str">
        <f aca="false">IF(R991="","",ROUND(L991-R991,2))</f>
        <v/>
      </c>
      <c r="T991" s="8" t="str">
        <f aca="false">IF(A991="","",IF(S991="","BYPASS",IF(ABS(S991)&lt;=Summary!$B$2,"PASS","FAIL")))</f>
        <v/>
      </c>
      <c r="U991" s="8" t="str">
        <f aca="false">IF(T991="BYPASS",IF(NOT(ISNUMBER(Q991)),"PreV_ETB missing","End_tr_balance missing"),IF(T991="FAIL",IF(AND(ISNUMBER(K991),ISNUMBER(L991),ABS(L991-(K991-IF(ISNUMBER(N991),N991,0)-IF(ISNUMBER(O991),O991,0)+IF(ISNUMBER(P991),P991,0)))&lt;=Summary!$B$2),"Passes using beginning_balance - PreV_ETB differs from beginning_balance",IF(AND(ISNUMBER(O991),O991&lt;0,ABS(L991-(Q991-IF(ISNUMBER(N991),N991,0)+IF(ISNUMBER(P991),P991,0)))&lt;=Summary!$B$2),"Negative realized loss not applied - check sign",IF(R991&lt;0,"Principal paid exceeds prior balance",IF(AND(L991&gt;Q991,NOT(ISNUMBER(P991))),"Balance increased but no Deferred_interest reported",IF(L991&gt;R991,"Reported balance higher than expected (missing increase/OC build)","Reported balance lower than expected (missing decrease)"))))),""))</f>
        <v/>
      </c>
    </row>
    <row r="992" customFormat="false" ht="15" hidden="false" customHeight="false" outlineLevel="0" collapsed="false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9"/>
      <c r="L992" s="9"/>
      <c r="M992" s="9"/>
      <c r="N992" s="9"/>
      <c r="O992" s="9"/>
      <c r="P992" s="9"/>
      <c r="Q992" s="9"/>
      <c r="R992" s="9" t="str">
        <f aca="false">IF(AND(A992&lt;&gt;"",ISNUMBER(Q992),ISNUMBER(L992)),ROUND(Q992-IF(ISNUMBER(N992),N992,0)-IF(ISNUMBER(O992),O992,0)+IF(ISNUMBER(P992),P992,0),2),"")</f>
        <v/>
      </c>
      <c r="S992" s="9" t="str">
        <f aca="false">IF(R992="","",ROUND(L992-R992,2))</f>
        <v/>
      </c>
      <c r="T992" s="8" t="str">
        <f aca="false">IF(A992="","",IF(S992="","BYPASS",IF(ABS(S992)&lt;=Summary!$B$2,"PASS","FAIL")))</f>
        <v/>
      </c>
      <c r="U992" s="8" t="str">
        <f aca="false">IF(T992="BYPASS",IF(NOT(ISNUMBER(Q992)),"PreV_ETB missing","End_tr_balance missing"),IF(T992="FAIL",IF(AND(ISNUMBER(K992),ISNUMBER(L992),ABS(L992-(K992-IF(ISNUMBER(N992),N992,0)-IF(ISNUMBER(O992),O992,0)+IF(ISNUMBER(P992),P992,0)))&lt;=Summary!$B$2),"Passes using beginning_balance - PreV_ETB differs from beginning_balance",IF(AND(ISNUMBER(O992),O992&lt;0,ABS(L992-(Q992-IF(ISNUMBER(N992),N992,0)+IF(ISNUMBER(P992),P992,0)))&lt;=Summary!$B$2),"Negative realized loss not applied - check sign",IF(R992&lt;0,"Principal paid exceeds prior balance",IF(AND(L992&gt;Q992,NOT(ISNUMBER(P992))),"Balance increased but no Deferred_interest reported",IF(L992&gt;R992,"Reported balance higher than expected (missing increase/OC build)","Reported balance lower than expected (missing decrease)"))))),""))</f>
        <v/>
      </c>
    </row>
    <row r="993" customFormat="false" ht="15" hidden="false" customHeight="false" outlineLevel="0" collapsed="false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9"/>
      <c r="L993" s="9"/>
      <c r="M993" s="9"/>
      <c r="N993" s="9"/>
      <c r="O993" s="9"/>
      <c r="P993" s="9"/>
      <c r="Q993" s="9"/>
      <c r="R993" s="9" t="str">
        <f aca="false">IF(AND(A993&lt;&gt;"",ISNUMBER(Q993),ISNUMBER(L993)),ROUND(Q993-IF(ISNUMBER(N993),N993,0)-IF(ISNUMBER(O993),O993,0)+IF(ISNUMBER(P993),P993,0),2),"")</f>
        <v/>
      </c>
      <c r="S993" s="9" t="str">
        <f aca="false">IF(R993="","",ROUND(L993-R993,2))</f>
        <v/>
      </c>
      <c r="T993" s="8" t="str">
        <f aca="false">IF(A993="","",IF(S993="","BYPASS",IF(ABS(S993)&lt;=Summary!$B$2,"PASS","FAIL")))</f>
        <v/>
      </c>
      <c r="U993" s="8" t="str">
        <f aca="false">IF(T993="BYPASS",IF(NOT(ISNUMBER(Q993)),"PreV_ETB missing","End_tr_balance missing"),IF(T993="FAIL",IF(AND(ISNUMBER(K993),ISNUMBER(L993),ABS(L993-(K993-IF(ISNUMBER(N993),N993,0)-IF(ISNUMBER(O993),O993,0)+IF(ISNUMBER(P993),P993,0)))&lt;=Summary!$B$2),"Passes using beginning_balance - PreV_ETB differs from beginning_balance",IF(AND(ISNUMBER(O993),O993&lt;0,ABS(L993-(Q993-IF(ISNUMBER(N993),N993,0)+IF(ISNUMBER(P993),P993,0)))&lt;=Summary!$B$2),"Negative realized loss not applied - check sign",IF(R993&lt;0,"Principal paid exceeds prior balance",IF(AND(L993&gt;Q993,NOT(ISNUMBER(P993))),"Balance increased but no Deferred_interest reported",IF(L993&gt;R993,"Reported balance higher than expected (missing increase/OC build)","Reported balance lower than expected (missing decrease)"))))),""))</f>
        <v/>
      </c>
    </row>
    <row r="994" customFormat="false" ht="15" hidden="false" customHeight="false" outlineLevel="0" collapsed="false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9"/>
      <c r="L994" s="9"/>
      <c r="M994" s="9"/>
      <c r="N994" s="9"/>
      <c r="O994" s="9"/>
      <c r="P994" s="9"/>
      <c r="Q994" s="9"/>
      <c r="R994" s="9" t="str">
        <f aca="false">IF(AND(A994&lt;&gt;"",ISNUMBER(Q994),ISNUMBER(L994)),ROUND(Q994-IF(ISNUMBER(N994),N994,0)-IF(ISNUMBER(O994),O994,0)+IF(ISNUMBER(P994),P994,0),2),"")</f>
        <v/>
      </c>
      <c r="S994" s="9" t="str">
        <f aca="false">IF(R994="","",ROUND(L994-R994,2))</f>
        <v/>
      </c>
      <c r="T994" s="8" t="str">
        <f aca="false">IF(A994="","",IF(S994="","BYPASS",IF(ABS(S994)&lt;=Summary!$B$2,"PASS","FAIL")))</f>
        <v/>
      </c>
      <c r="U994" s="8" t="str">
        <f aca="false">IF(T994="BYPASS",IF(NOT(ISNUMBER(Q994)),"PreV_ETB missing","End_tr_balance missing"),IF(T994="FAIL",IF(AND(ISNUMBER(K994),ISNUMBER(L994),ABS(L994-(K994-IF(ISNUMBER(N994),N994,0)-IF(ISNUMBER(O994),O994,0)+IF(ISNUMBER(P994),P994,0)))&lt;=Summary!$B$2),"Passes using beginning_balance - PreV_ETB differs from beginning_balance",IF(AND(ISNUMBER(O994),O994&lt;0,ABS(L994-(Q994-IF(ISNUMBER(N994),N994,0)+IF(ISNUMBER(P994),P994,0)))&lt;=Summary!$B$2),"Negative realized loss not applied - check sign",IF(R994&lt;0,"Principal paid exceeds prior balance",IF(AND(L994&gt;Q994,NOT(ISNUMBER(P994))),"Balance increased but no Deferred_interest reported",IF(L994&gt;R994,"Reported balance higher than expected (missing increase/OC build)","Reported balance lower than expected (missing decrease)"))))),""))</f>
        <v/>
      </c>
    </row>
    <row r="995" customFormat="false" ht="15" hidden="false" customHeight="false" outlineLevel="0" collapsed="false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9"/>
      <c r="L995" s="9"/>
      <c r="M995" s="9"/>
      <c r="N995" s="9"/>
      <c r="O995" s="9"/>
      <c r="P995" s="9"/>
      <c r="Q995" s="9"/>
      <c r="R995" s="9" t="str">
        <f aca="false">IF(AND(A995&lt;&gt;"",ISNUMBER(Q995),ISNUMBER(L995)),ROUND(Q995-IF(ISNUMBER(N995),N995,0)-IF(ISNUMBER(O995),O995,0)+IF(ISNUMBER(P995),P995,0),2),"")</f>
        <v/>
      </c>
      <c r="S995" s="9" t="str">
        <f aca="false">IF(R995="","",ROUND(L995-R995,2))</f>
        <v/>
      </c>
      <c r="T995" s="8" t="str">
        <f aca="false">IF(A995="","",IF(S995="","BYPASS",IF(ABS(S995)&lt;=Summary!$B$2,"PASS","FAIL")))</f>
        <v/>
      </c>
      <c r="U995" s="8" t="str">
        <f aca="false">IF(T995="BYPASS",IF(NOT(ISNUMBER(Q995)),"PreV_ETB missing","End_tr_balance missing"),IF(T995="FAIL",IF(AND(ISNUMBER(K995),ISNUMBER(L995),ABS(L995-(K995-IF(ISNUMBER(N995),N995,0)-IF(ISNUMBER(O995),O995,0)+IF(ISNUMBER(P995),P995,0)))&lt;=Summary!$B$2),"Passes using beginning_balance - PreV_ETB differs from beginning_balance",IF(AND(ISNUMBER(O995),O995&lt;0,ABS(L995-(Q995-IF(ISNUMBER(N995),N995,0)+IF(ISNUMBER(P995),P995,0)))&lt;=Summary!$B$2),"Negative realized loss not applied - check sign",IF(R995&lt;0,"Principal paid exceeds prior balance",IF(AND(L995&gt;Q995,NOT(ISNUMBER(P995))),"Balance increased but no Deferred_interest reported",IF(L995&gt;R995,"Reported balance higher than expected (missing increase/OC build)","Reported balance lower than expected (missing decrease)"))))),""))</f>
        <v/>
      </c>
    </row>
    <row r="996" customFormat="false" ht="15" hidden="false" customHeight="false" outlineLevel="0" collapsed="false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9"/>
      <c r="L996" s="9"/>
      <c r="M996" s="9"/>
      <c r="N996" s="9"/>
      <c r="O996" s="9"/>
      <c r="P996" s="9"/>
      <c r="Q996" s="9"/>
      <c r="R996" s="9" t="str">
        <f aca="false">IF(AND(A996&lt;&gt;"",ISNUMBER(Q996),ISNUMBER(L996)),ROUND(Q996-IF(ISNUMBER(N996),N996,0)-IF(ISNUMBER(O996),O996,0)+IF(ISNUMBER(P996),P996,0),2),"")</f>
        <v/>
      </c>
      <c r="S996" s="9" t="str">
        <f aca="false">IF(R996="","",ROUND(L996-R996,2))</f>
        <v/>
      </c>
      <c r="T996" s="8" t="str">
        <f aca="false">IF(A996="","",IF(S996="","BYPASS",IF(ABS(S996)&lt;=Summary!$B$2,"PASS","FAIL")))</f>
        <v/>
      </c>
      <c r="U996" s="8" t="str">
        <f aca="false">IF(T996="BYPASS",IF(NOT(ISNUMBER(Q996)),"PreV_ETB missing","End_tr_balance missing"),IF(T996="FAIL",IF(AND(ISNUMBER(K996),ISNUMBER(L996),ABS(L996-(K996-IF(ISNUMBER(N996),N996,0)-IF(ISNUMBER(O996),O996,0)+IF(ISNUMBER(P996),P996,0)))&lt;=Summary!$B$2),"Passes using beginning_balance - PreV_ETB differs from beginning_balance",IF(AND(ISNUMBER(O996),O996&lt;0,ABS(L996-(Q996-IF(ISNUMBER(N996),N996,0)+IF(ISNUMBER(P996),P996,0)))&lt;=Summary!$B$2),"Negative realized loss not applied - check sign",IF(R996&lt;0,"Principal paid exceeds prior balance",IF(AND(L996&gt;Q996,NOT(ISNUMBER(P996))),"Balance increased but no Deferred_interest reported",IF(L996&gt;R996,"Reported balance higher than expected (missing increase/OC build)","Reported balance lower than expected (missing decrease)"))))),""))</f>
        <v/>
      </c>
    </row>
    <row r="997" customFormat="false" ht="15" hidden="false" customHeight="false" outlineLevel="0" collapsed="false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9"/>
      <c r="L997" s="9"/>
      <c r="M997" s="9"/>
      <c r="N997" s="9"/>
      <c r="O997" s="9"/>
      <c r="P997" s="9"/>
      <c r="Q997" s="9"/>
      <c r="R997" s="9" t="str">
        <f aca="false">IF(AND(A997&lt;&gt;"",ISNUMBER(Q997),ISNUMBER(L997)),ROUND(Q997-IF(ISNUMBER(N997),N997,0)-IF(ISNUMBER(O997),O997,0)+IF(ISNUMBER(P997),P997,0),2),"")</f>
        <v/>
      </c>
      <c r="S997" s="9" t="str">
        <f aca="false">IF(R997="","",ROUND(L997-R997,2))</f>
        <v/>
      </c>
      <c r="T997" s="8" t="str">
        <f aca="false">IF(A997="","",IF(S997="","BYPASS",IF(ABS(S997)&lt;=Summary!$B$2,"PASS","FAIL")))</f>
        <v/>
      </c>
      <c r="U997" s="8" t="str">
        <f aca="false">IF(T997="BYPASS",IF(NOT(ISNUMBER(Q997)),"PreV_ETB missing","End_tr_balance missing"),IF(T997="FAIL",IF(AND(ISNUMBER(K997),ISNUMBER(L997),ABS(L997-(K997-IF(ISNUMBER(N997),N997,0)-IF(ISNUMBER(O997),O997,0)+IF(ISNUMBER(P997),P997,0)))&lt;=Summary!$B$2),"Passes using beginning_balance - PreV_ETB differs from beginning_balance",IF(AND(ISNUMBER(O997),O997&lt;0,ABS(L997-(Q997-IF(ISNUMBER(N997),N997,0)+IF(ISNUMBER(P997),P997,0)))&lt;=Summary!$B$2),"Negative realized loss not applied - check sign",IF(R997&lt;0,"Principal paid exceeds prior balance",IF(AND(L997&gt;Q997,NOT(ISNUMBER(P997))),"Balance increased but no Deferred_interest reported",IF(L997&gt;R997,"Reported balance higher than expected (missing increase/OC build)","Reported balance lower than expected (missing decrease)"))))),""))</f>
        <v/>
      </c>
    </row>
    <row r="998" customFormat="false" ht="15" hidden="false" customHeight="false" outlineLevel="0" collapsed="false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9"/>
      <c r="L998" s="9"/>
      <c r="M998" s="9"/>
      <c r="N998" s="9"/>
      <c r="O998" s="9"/>
      <c r="P998" s="9"/>
      <c r="Q998" s="9"/>
      <c r="R998" s="9" t="str">
        <f aca="false">IF(AND(A998&lt;&gt;"",ISNUMBER(Q998),ISNUMBER(L998)),ROUND(Q998-IF(ISNUMBER(N998),N998,0)-IF(ISNUMBER(O998),O998,0)+IF(ISNUMBER(P998),P998,0),2),"")</f>
        <v/>
      </c>
      <c r="S998" s="9" t="str">
        <f aca="false">IF(R998="","",ROUND(L998-R998,2))</f>
        <v/>
      </c>
      <c r="T998" s="8" t="str">
        <f aca="false">IF(A998="","",IF(S998="","BYPASS",IF(ABS(S998)&lt;=Summary!$B$2,"PASS","FAIL")))</f>
        <v/>
      </c>
      <c r="U998" s="8" t="str">
        <f aca="false">IF(T998="BYPASS",IF(NOT(ISNUMBER(Q998)),"PreV_ETB missing","End_tr_balance missing"),IF(T998="FAIL",IF(AND(ISNUMBER(K998),ISNUMBER(L998),ABS(L998-(K998-IF(ISNUMBER(N998),N998,0)-IF(ISNUMBER(O998),O998,0)+IF(ISNUMBER(P998),P998,0)))&lt;=Summary!$B$2),"Passes using beginning_balance - PreV_ETB differs from beginning_balance",IF(AND(ISNUMBER(O998),O998&lt;0,ABS(L998-(Q998-IF(ISNUMBER(N998),N998,0)+IF(ISNUMBER(P998),P998,0)))&lt;=Summary!$B$2),"Negative realized loss not applied - check sign",IF(R998&lt;0,"Principal paid exceeds prior balance",IF(AND(L998&gt;Q998,NOT(ISNUMBER(P998))),"Balance increased but no Deferred_interest reported",IF(L998&gt;R998,"Reported balance higher than expected (missing increase/OC build)","Reported balance lower than expected (missing decrease)"))))),""))</f>
        <v/>
      </c>
    </row>
    <row r="999" customFormat="false" ht="15" hidden="false" customHeight="false" outlineLevel="0" collapsed="false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9"/>
      <c r="L999" s="9"/>
      <c r="M999" s="9"/>
      <c r="N999" s="9"/>
      <c r="O999" s="9"/>
      <c r="P999" s="9"/>
      <c r="Q999" s="9"/>
      <c r="R999" s="9" t="str">
        <f aca="false">IF(AND(A999&lt;&gt;"",ISNUMBER(Q999),ISNUMBER(L999)),ROUND(Q999-IF(ISNUMBER(N999),N999,0)-IF(ISNUMBER(O999),O999,0)+IF(ISNUMBER(P999),P999,0),2),"")</f>
        <v/>
      </c>
      <c r="S999" s="9" t="str">
        <f aca="false">IF(R999="","",ROUND(L999-R999,2))</f>
        <v/>
      </c>
      <c r="T999" s="8" t="str">
        <f aca="false">IF(A999="","",IF(S999="","BYPASS",IF(ABS(S999)&lt;=Summary!$B$2,"PASS","FAIL")))</f>
        <v/>
      </c>
      <c r="U999" s="8" t="str">
        <f aca="false">IF(T999="BYPASS",IF(NOT(ISNUMBER(Q999)),"PreV_ETB missing","End_tr_balance missing"),IF(T999="FAIL",IF(AND(ISNUMBER(K999),ISNUMBER(L999),ABS(L999-(K999-IF(ISNUMBER(N999),N999,0)-IF(ISNUMBER(O999),O999,0)+IF(ISNUMBER(P999),P999,0)))&lt;=Summary!$B$2),"Passes using beginning_balance - PreV_ETB differs from beginning_balance",IF(AND(ISNUMBER(O999),O999&lt;0,ABS(L999-(Q999-IF(ISNUMBER(N999),N999,0)+IF(ISNUMBER(P999),P999,0)))&lt;=Summary!$B$2),"Negative realized loss not applied - check sign",IF(R999&lt;0,"Principal paid exceeds prior balance",IF(AND(L999&gt;Q999,NOT(ISNUMBER(P999))),"Balance increased but no Deferred_interest reported",IF(L999&gt;R999,"Reported balance higher than expected (missing increase/OC build)","Reported balance lower than expected (missing decrease)"))))),""))</f>
        <v/>
      </c>
    </row>
    <row r="1000" customFormat="false" ht="15" hidden="false" customHeight="false" outlineLevel="0" collapsed="false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9"/>
      <c r="L1000" s="9"/>
      <c r="M1000" s="9"/>
      <c r="N1000" s="9"/>
      <c r="O1000" s="9"/>
      <c r="P1000" s="9"/>
      <c r="Q1000" s="9"/>
      <c r="R1000" s="9" t="str">
        <f aca="false">IF(AND(A1000&lt;&gt;"",ISNUMBER(Q1000),ISNUMBER(L1000)),ROUND(Q1000-IF(ISNUMBER(N1000),N1000,0)-IF(ISNUMBER(O1000),O1000,0)+IF(ISNUMBER(P1000),P1000,0),2),"")</f>
        <v/>
      </c>
      <c r="S1000" s="9" t="str">
        <f aca="false">IF(R1000="","",ROUND(L1000-R1000,2))</f>
        <v/>
      </c>
      <c r="T1000" s="8" t="str">
        <f aca="false">IF(A1000="","",IF(S1000="","BYPASS",IF(ABS(S1000)&lt;=Summary!$B$2,"PASS","FAIL")))</f>
        <v/>
      </c>
      <c r="U1000" s="8" t="str">
        <f aca="false">IF(T1000="BYPASS",IF(NOT(ISNUMBER(Q1000)),"PreV_ETB missing","End_tr_balance missing"),IF(T1000="FAIL",IF(AND(ISNUMBER(K1000),ISNUMBER(L1000),ABS(L1000-(K1000-IF(ISNUMBER(N1000),N1000,0)-IF(ISNUMBER(O1000),O1000,0)+IF(ISNUMBER(P1000),P1000,0)))&lt;=Summary!$B$2),"Passes using beginning_balance - PreV_ETB differs from beginning_balance",IF(AND(ISNUMBER(O1000),O1000&lt;0,ABS(L1000-(Q1000-IF(ISNUMBER(N1000),N1000,0)+IF(ISNUMBER(P1000),P1000,0)))&lt;=Summary!$B$2),"Negative realized loss not applied - check sign",IF(R1000&lt;0,"Principal paid exceeds prior balance",IF(AND(L1000&gt;Q1000,NOT(ISNUMBER(P1000))),"Balance increased but no Deferred_interest reported",IF(L1000&gt;R1000,"Reported balance higher than expected (missing increase/OC build)","Reported balance lower than expected (missing decrease)"))))),""))</f>
        <v/>
      </c>
    </row>
    <row r="1001" customFormat="false" ht="15" hidden="false" customHeight="false" outlineLevel="0" collapsed="false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9"/>
      <c r="L1001" s="9"/>
      <c r="M1001" s="9"/>
      <c r="N1001" s="9"/>
      <c r="O1001" s="9"/>
      <c r="P1001" s="9"/>
      <c r="Q1001" s="9"/>
      <c r="R1001" s="9" t="str">
        <f aca="false">IF(AND(A1001&lt;&gt;"",ISNUMBER(Q1001),ISNUMBER(L1001)),ROUND(Q1001-IF(ISNUMBER(N1001),N1001,0)-IF(ISNUMBER(O1001),O1001,0)+IF(ISNUMBER(P1001),P1001,0),2),"")</f>
        <v/>
      </c>
      <c r="S1001" s="9" t="str">
        <f aca="false">IF(R1001="","",ROUND(L1001-R1001,2))</f>
        <v/>
      </c>
      <c r="T1001" s="8" t="str">
        <f aca="false">IF(A1001="","",IF(S1001="","BYPASS",IF(ABS(S1001)&lt;=Summary!$B$2,"PASS","FAIL")))</f>
        <v/>
      </c>
      <c r="U1001" s="8" t="str">
        <f aca="false">IF(T1001="BYPASS",IF(NOT(ISNUMBER(Q1001)),"PreV_ETB missing","End_tr_balance missing"),IF(T1001="FAIL",IF(AND(ISNUMBER(K1001),ISNUMBER(L1001),ABS(L1001-(K1001-IF(ISNUMBER(N1001),N1001,0)-IF(ISNUMBER(O1001),O1001,0)+IF(ISNUMBER(P1001),P1001,0)))&lt;=Summary!$B$2),"Passes using beginning_balance - PreV_ETB differs from beginning_balance",IF(AND(ISNUMBER(O1001),O1001&lt;0,ABS(L1001-(Q1001-IF(ISNUMBER(N1001),N1001,0)+IF(ISNUMBER(P1001),P1001,0)))&lt;=Summary!$B$2),"Negative realized loss not applied - check sign",IF(R1001&lt;0,"Principal paid exceeds prior balance",IF(AND(L1001&gt;Q1001,NOT(ISNUMBER(P1001))),"Balance increased but no Deferred_interest reported",IF(L1001&gt;R1001,"Reported balance higher than expected (missing increase/OC build)","Reported balance lower than expected (missing decrease)"))))),""))</f>
        <v/>
      </c>
    </row>
    <row r="1002" customFormat="false" ht="15" hidden="false" customHeight="false" outlineLevel="0" collapsed="false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9"/>
      <c r="L1002" s="9"/>
      <c r="M1002" s="9"/>
      <c r="N1002" s="9"/>
      <c r="O1002" s="9"/>
      <c r="P1002" s="9"/>
      <c r="Q1002" s="9"/>
      <c r="R1002" s="9" t="str">
        <f aca="false">IF(AND(A1002&lt;&gt;"",ISNUMBER(Q1002),ISNUMBER(L1002)),ROUND(Q1002-IF(ISNUMBER(N1002),N1002,0)-IF(ISNUMBER(O1002),O1002,0)+IF(ISNUMBER(P1002),P1002,0),2),"")</f>
        <v/>
      </c>
      <c r="S1002" s="9" t="str">
        <f aca="false">IF(R1002="","",ROUND(L1002-R1002,2))</f>
        <v/>
      </c>
      <c r="T1002" s="8" t="str">
        <f aca="false">IF(A1002="","",IF(S1002="","BYPASS",IF(ABS(S1002)&lt;=Summary!$B$2,"PASS","FAIL")))</f>
        <v/>
      </c>
      <c r="U1002" s="8" t="str">
        <f aca="false">IF(T1002="BYPASS",IF(NOT(ISNUMBER(Q1002)),"PreV_ETB missing","End_tr_balance missing"),IF(T1002="FAIL",IF(AND(ISNUMBER(K1002),ISNUMBER(L1002),ABS(L1002-(K1002-IF(ISNUMBER(N1002),N1002,0)-IF(ISNUMBER(O1002),O1002,0)+IF(ISNUMBER(P1002),P1002,0)))&lt;=Summary!$B$2),"Passes using beginning_balance - PreV_ETB differs from beginning_balance",IF(AND(ISNUMBER(O1002),O1002&lt;0,ABS(L1002-(Q1002-IF(ISNUMBER(N1002),N1002,0)+IF(ISNUMBER(P1002),P1002,0)))&lt;=Summary!$B$2),"Negative realized loss not applied - check sign",IF(R1002&lt;0,"Principal paid exceeds prior balance",IF(AND(L1002&gt;Q1002,NOT(ISNUMBER(P1002))),"Balance increased but no Deferred_interest reported",IF(L1002&gt;R1002,"Reported balance higher than expected (missing increase/OC build)","Reported balance lower than expected (missing decrease)"))))),""))</f>
        <v/>
      </c>
    </row>
    <row r="1003" customFormat="false" ht="15" hidden="false" customHeight="false" outlineLevel="0" collapsed="false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9"/>
      <c r="L1003" s="9"/>
      <c r="M1003" s="9"/>
      <c r="N1003" s="9"/>
      <c r="O1003" s="9"/>
      <c r="P1003" s="9"/>
      <c r="Q1003" s="9"/>
      <c r="R1003" s="9" t="str">
        <f aca="false">IF(AND(A1003&lt;&gt;"",ISNUMBER(Q1003),ISNUMBER(L1003)),ROUND(Q1003-IF(ISNUMBER(N1003),N1003,0)-IF(ISNUMBER(O1003),O1003,0)+IF(ISNUMBER(P1003),P1003,0),2),"")</f>
        <v/>
      </c>
      <c r="S1003" s="9" t="str">
        <f aca="false">IF(R1003="","",ROUND(L1003-R1003,2))</f>
        <v/>
      </c>
      <c r="T1003" s="8" t="str">
        <f aca="false">IF(A1003="","",IF(S1003="","BYPASS",IF(ABS(S1003)&lt;=Summary!$B$2,"PASS","FAIL")))</f>
        <v/>
      </c>
      <c r="U1003" s="8" t="str">
        <f aca="false">IF(T1003="BYPASS",IF(NOT(ISNUMBER(Q1003)),"PreV_ETB missing","End_tr_balance missing"),IF(T1003="FAIL",IF(AND(ISNUMBER(K1003),ISNUMBER(L1003),ABS(L1003-(K1003-IF(ISNUMBER(N1003),N1003,0)-IF(ISNUMBER(O1003),O1003,0)+IF(ISNUMBER(P1003),P1003,0)))&lt;=Summary!$B$2),"Passes using beginning_balance - PreV_ETB differs from beginning_balance",IF(AND(ISNUMBER(O1003),O1003&lt;0,ABS(L1003-(Q1003-IF(ISNUMBER(N1003),N1003,0)+IF(ISNUMBER(P1003),P1003,0)))&lt;=Summary!$B$2),"Negative realized loss not applied - check sign",IF(R1003&lt;0,"Principal paid exceeds prior balance",IF(AND(L1003&gt;Q1003,NOT(ISNUMBER(P1003))),"Balance increased but no Deferred_interest reported",IF(L1003&gt;R1003,"Reported balance higher than expected (missing increase/OC build)","Reported balance lower than expected (missing decrease)"))))),""))</f>
        <v/>
      </c>
    </row>
    <row r="1004" customFormat="false" ht="15" hidden="false" customHeight="false" outlineLevel="0" collapsed="false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9"/>
      <c r="L1004" s="9"/>
      <c r="M1004" s="9"/>
      <c r="N1004" s="9"/>
      <c r="O1004" s="9"/>
      <c r="P1004" s="9"/>
      <c r="Q1004" s="9"/>
      <c r="R1004" s="9" t="str">
        <f aca="false">IF(AND(A1004&lt;&gt;"",ISNUMBER(Q1004),ISNUMBER(L1004)),ROUND(Q1004-IF(ISNUMBER(N1004),N1004,0)-IF(ISNUMBER(O1004),O1004,0)+IF(ISNUMBER(P1004),P1004,0),2),"")</f>
        <v/>
      </c>
      <c r="S1004" s="9" t="str">
        <f aca="false">IF(R1004="","",ROUND(L1004-R1004,2))</f>
        <v/>
      </c>
      <c r="T1004" s="8" t="str">
        <f aca="false">IF(A1004="","",IF(S1004="","BYPASS",IF(ABS(S1004)&lt;=Summary!$B$2,"PASS","FAIL")))</f>
        <v/>
      </c>
      <c r="U1004" s="8" t="str">
        <f aca="false">IF(T1004="BYPASS",IF(NOT(ISNUMBER(Q1004)),"PreV_ETB missing","End_tr_balance missing"),IF(T1004="FAIL",IF(AND(ISNUMBER(K1004),ISNUMBER(L1004),ABS(L1004-(K1004-IF(ISNUMBER(N1004),N1004,0)-IF(ISNUMBER(O1004),O1004,0)+IF(ISNUMBER(P1004),P1004,0)))&lt;=Summary!$B$2),"Passes using beginning_balance - PreV_ETB differs from beginning_balance",IF(AND(ISNUMBER(O1004),O1004&lt;0,ABS(L1004-(Q1004-IF(ISNUMBER(N1004),N1004,0)+IF(ISNUMBER(P1004),P1004,0)))&lt;=Summary!$B$2),"Negative realized loss not applied - check sign",IF(R1004&lt;0,"Principal paid exceeds prior balance",IF(AND(L1004&gt;Q1004,NOT(ISNUMBER(P1004))),"Balance increased but no Deferred_interest reported",IF(L1004&gt;R1004,"Reported balance higher than expected (missing increase/OC build)","Reported balance lower than expected (missing decrease)"))))),""))</f>
        <v/>
      </c>
    </row>
    <row r="1005" customFormat="false" ht="15" hidden="false" customHeight="false" outlineLevel="0" collapsed="false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9"/>
      <c r="L1005" s="9"/>
      <c r="M1005" s="9"/>
      <c r="N1005" s="9"/>
      <c r="O1005" s="9"/>
      <c r="P1005" s="9"/>
      <c r="Q1005" s="9"/>
      <c r="R1005" s="9" t="str">
        <f aca="false">IF(AND(A1005&lt;&gt;"",ISNUMBER(Q1005),ISNUMBER(L1005)),ROUND(Q1005-IF(ISNUMBER(N1005),N1005,0)-IF(ISNUMBER(O1005),O1005,0)+IF(ISNUMBER(P1005),P1005,0),2),"")</f>
        <v/>
      </c>
      <c r="S1005" s="9" t="str">
        <f aca="false">IF(R1005="","",ROUND(L1005-R1005,2))</f>
        <v/>
      </c>
      <c r="T1005" s="8" t="str">
        <f aca="false">IF(A1005="","",IF(S1005="","BYPASS",IF(ABS(S1005)&lt;=Summary!$B$2,"PASS","FAIL")))</f>
        <v/>
      </c>
      <c r="U1005" s="8" t="str">
        <f aca="false">IF(T1005="BYPASS",IF(NOT(ISNUMBER(Q1005)),"PreV_ETB missing","End_tr_balance missing"),IF(T1005="FAIL",IF(AND(ISNUMBER(K1005),ISNUMBER(L1005),ABS(L1005-(K1005-IF(ISNUMBER(N1005),N1005,0)-IF(ISNUMBER(O1005),O1005,0)+IF(ISNUMBER(P1005),P1005,0)))&lt;=Summary!$B$2),"Passes using beginning_balance - PreV_ETB differs from beginning_balance",IF(AND(ISNUMBER(O1005),O1005&lt;0,ABS(L1005-(Q1005-IF(ISNUMBER(N1005),N1005,0)+IF(ISNUMBER(P1005),P1005,0)))&lt;=Summary!$B$2),"Negative realized loss not applied - check sign",IF(R1005&lt;0,"Principal paid exceeds prior balance",IF(AND(L1005&gt;Q1005,NOT(ISNUMBER(P1005))),"Balance increased but no Deferred_interest reported",IF(L1005&gt;R1005,"Reported balance higher than expected (missing increase/OC build)","Reported balance lower than expected (missing decrease)"))))),""))</f>
        <v/>
      </c>
    </row>
    <row r="1006" customFormat="false" ht="15" hidden="false" customHeight="false" outlineLevel="0" collapsed="false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9"/>
      <c r="L1006" s="9"/>
      <c r="M1006" s="9"/>
      <c r="N1006" s="9"/>
      <c r="O1006" s="9"/>
      <c r="P1006" s="9"/>
      <c r="Q1006" s="9"/>
      <c r="R1006" s="9" t="str">
        <f aca="false">IF(AND(A1006&lt;&gt;"",ISNUMBER(Q1006),ISNUMBER(L1006)),ROUND(Q1006-IF(ISNUMBER(N1006),N1006,0)-IF(ISNUMBER(O1006),O1006,0)+IF(ISNUMBER(P1006),P1006,0),2),"")</f>
        <v/>
      </c>
      <c r="S1006" s="9" t="str">
        <f aca="false">IF(R1006="","",ROUND(L1006-R1006,2))</f>
        <v/>
      </c>
      <c r="T1006" s="8" t="str">
        <f aca="false">IF(A1006="","",IF(S1006="","BYPASS",IF(ABS(S1006)&lt;=Summary!$B$2,"PASS","FAIL")))</f>
        <v/>
      </c>
      <c r="U1006" s="8" t="str">
        <f aca="false">IF(T1006="BYPASS",IF(NOT(ISNUMBER(Q1006)),"PreV_ETB missing","End_tr_balance missing"),IF(T1006="FAIL",IF(AND(ISNUMBER(K1006),ISNUMBER(L1006),ABS(L1006-(K1006-IF(ISNUMBER(N1006),N1006,0)-IF(ISNUMBER(O1006),O1006,0)+IF(ISNUMBER(P1006),P1006,0)))&lt;=Summary!$B$2),"Passes using beginning_balance - PreV_ETB differs from beginning_balance",IF(AND(ISNUMBER(O1006),O1006&lt;0,ABS(L1006-(Q1006-IF(ISNUMBER(N1006),N1006,0)+IF(ISNUMBER(P1006),P1006,0)))&lt;=Summary!$B$2),"Negative realized loss not applied - check sign",IF(R1006&lt;0,"Principal paid exceeds prior balance",IF(AND(L1006&gt;Q1006,NOT(ISNUMBER(P1006))),"Balance increased but no Deferred_interest reported",IF(L1006&gt;R1006,"Reported balance higher than expected (missing increase/OC build)","Reported balance lower than expected (missing decrease)"))))),""))</f>
        <v/>
      </c>
    </row>
    <row r="1007" customFormat="false" ht="15" hidden="false" customHeight="false" outlineLevel="0" collapsed="false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9"/>
      <c r="L1007" s="9"/>
      <c r="M1007" s="9"/>
      <c r="N1007" s="9"/>
      <c r="O1007" s="9"/>
      <c r="P1007" s="9"/>
      <c r="Q1007" s="9"/>
      <c r="R1007" s="9" t="str">
        <f aca="false">IF(AND(A1007&lt;&gt;"",ISNUMBER(Q1007),ISNUMBER(L1007)),ROUND(Q1007-IF(ISNUMBER(N1007),N1007,0)-IF(ISNUMBER(O1007),O1007,0)+IF(ISNUMBER(P1007),P1007,0),2),"")</f>
        <v/>
      </c>
      <c r="S1007" s="9" t="str">
        <f aca="false">IF(R1007="","",ROUND(L1007-R1007,2))</f>
        <v/>
      </c>
      <c r="T1007" s="8" t="str">
        <f aca="false">IF(A1007="","",IF(S1007="","BYPASS",IF(ABS(S1007)&lt;=Summary!$B$2,"PASS","FAIL")))</f>
        <v/>
      </c>
      <c r="U1007" s="8" t="str">
        <f aca="false">IF(T1007="BYPASS",IF(NOT(ISNUMBER(Q1007)),"PreV_ETB missing","End_tr_balance missing"),IF(T1007="FAIL",IF(AND(ISNUMBER(K1007),ISNUMBER(L1007),ABS(L1007-(K1007-IF(ISNUMBER(N1007),N1007,0)-IF(ISNUMBER(O1007),O1007,0)+IF(ISNUMBER(P1007),P1007,0)))&lt;=Summary!$B$2),"Passes using beginning_balance - PreV_ETB differs from beginning_balance",IF(AND(ISNUMBER(O1007),O1007&lt;0,ABS(L1007-(Q1007-IF(ISNUMBER(N1007),N1007,0)+IF(ISNUMBER(P1007),P1007,0)))&lt;=Summary!$B$2),"Negative realized loss not applied - check sign",IF(R1007&lt;0,"Principal paid exceeds prior balance",IF(AND(L1007&gt;Q1007,NOT(ISNUMBER(P1007))),"Balance increased but no Deferred_interest reported",IF(L1007&gt;R1007,"Reported balance higher than expected (missing increase/OC build)","Reported balance lower than expected (missing decrease)"))))),""))</f>
        <v/>
      </c>
    </row>
    <row r="1008" customFormat="false" ht="15" hidden="false" customHeight="false" outlineLevel="0" collapsed="false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9"/>
      <c r="L1008" s="9"/>
      <c r="M1008" s="9"/>
      <c r="N1008" s="9"/>
      <c r="O1008" s="9"/>
      <c r="P1008" s="9"/>
      <c r="Q1008" s="9"/>
      <c r="R1008" s="9" t="str">
        <f aca="false">IF(AND(A1008&lt;&gt;"",ISNUMBER(Q1008),ISNUMBER(L1008)),ROUND(Q1008-IF(ISNUMBER(N1008),N1008,0)-IF(ISNUMBER(O1008),O1008,0)+IF(ISNUMBER(P1008),P1008,0),2),"")</f>
        <v/>
      </c>
      <c r="S1008" s="9" t="str">
        <f aca="false">IF(R1008="","",ROUND(L1008-R1008,2))</f>
        <v/>
      </c>
      <c r="T1008" s="8" t="str">
        <f aca="false">IF(A1008="","",IF(S1008="","BYPASS",IF(ABS(S1008)&lt;=Summary!$B$2,"PASS","FAIL")))</f>
        <v/>
      </c>
      <c r="U1008" s="8" t="str">
        <f aca="false">IF(T1008="BYPASS",IF(NOT(ISNUMBER(Q1008)),"PreV_ETB missing","End_tr_balance missing"),IF(T1008="FAIL",IF(AND(ISNUMBER(K1008),ISNUMBER(L1008),ABS(L1008-(K1008-IF(ISNUMBER(N1008),N1008,0)-IF(ISNUMBER(O1008),O1008,0)+IF(ISNUMBER(P1008),P1008,0)))&lt;=Summary!$B$2),"Passes using beginning_balance - PreV_ETB differs from beginning_balance",IF(AND(ISNUMBER(O1008),O1008&lt;0,ABS(L1008-(Q1008-IF(ISNUMBER(N1008),N1008,0)+IF(ISNUMBER(P1008),P1008,0)))&lt;=Summary!$B$2),"Negative realized loss not applied - check sign",IF(R1008&lt;0,"Principal paid exceeds prior balance",IF(AND(L1008&gt;Q1008,NOT(ISNUMBER(P1008))),"Balance increased but no Deferred_interest reported",IF(L1008&gt;R1008,"Reported balance higher than expected (missing increase/OC build)","Reported balance lower than expected (missing decrease)"))))),""))</f>
        <v/>
      </c>
    </row>
    <row r="1009" customFormat="false" ht="15" hidden="false" customHeight="false" outlineLevel="0" collapsed="false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9"/>
      <c r="L1009" s="9"/>
      <c r="M1009" s="9"/>
      <c r="N1009" s="9"/>
      <c r="O1009" s="9"/>
      <c r="P1009" s="9"/>
      <c r="Q1009" s="9"/>
      <c r="R1009" s="9" t="str">
        <f aca="false">IF(AND(A1009&lt;&gt;"",ISNUMBER(Q1009),ISNUMBER(L1009)),ROUND(Q1009-IF(ISNUMBER(N1009),N1009,0)-IF(ISNUMBER(O1009),O1009,0)+IF(ISNUMBER(P1009),P1009,0),2),"")</f>
        <v/>
      </c>
      <c r="S1009" s="9" t="str">
        <f aca="false">IF(R1009="","",ROUND(L1009-R1009,2))</f>
        <v/>
      </c>
      <c r="T1009" s="8" t="str">
        <f aca="false">IF(A1009="","",IF(S1009="","BYPASS",IF(ABS(S1009)&lt;=Summary!$B$2,"PASS","FAIL")))</f>
        <v/>
      </c>
      <c r="U1009" s="8" t="str">
        <f aca="false">IF(T1009="BYPASS",IF(NOT(ISNUMBER(Q1009)),"PreV_ETB missing","End_tr_balance missing"),IF(T1009="FAIL",IF(AND(ISNUMBER(K1009),ISNUMBER(L1009),ABS(L1009-(K1009-IF(ISNUMBER(N1009),N1009,0)-IF(ISNUMBER(O1009),O1009,0)+IF(ISNUMBER(P1009),P1009,0)))&lt;=Summary!$B$2),"Passes using beginning_balance - PreV_ETB differs from beginning_balance",IF(AND(ISNUMBER(O1009),O1009&lt;0,ABS(L1009-(Q1009-IF(ISNUMBER(N1009),N1009,0)+IF(ISNUMBER(P1009),P1009,0)))&lt;=Summary!$B$2),"Negative realized loss not applied - check sign",IF(R1009&lt;0,"Principal paid exceeds prior balance",IF(AND(L1009&gt;Q1009,NOT(ISNUMBER(P1009))),"Balance increased but no Deferred_interest reported",IF(L1009&gt;R1009,"Reported balance higher than expected (missing increase/OC build)","Reported balance lower than expected (missing decrease)"))))),""))</f>
        <v/>
      </c>
    </row>
    <row r="1010" customFormat="false" ht="15" hidden="false" customHeight="false" outlineLevel="0" collapsed="false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9"/>
      <c r="L1010" s="9"/>
      <c r="M1010" s="9"/>
      <c r="N1010" s="9"/>
      <c r="O1010" s="9"/>
      <c r="P1010" s="9"/>
      <c r="Q1010" s="9"/>
      <c r="R1010" s="9" t="str">
        <f aca="false">IF(AND(A1010&lt;&gt;"",ISNUMBER(Q1010),ISNUMBER(L1010)),ROUND(Q1010-IF(ISNUMBER(N1010),N1010,0)-IF(ISNUMBER(O1010),O1010,0)+IF(ISNUMBER(P1010),P1010,0),2),"")</f>
        <v/>
      </c>
      <c r="S1010" s="9" t="str">
        <f aca="false">IF(R1010="","",ROUND(L1010-R1010,2))</f>
        <v/>
      </c>
      <c r="T1010" s="8" t="str">
        <f aca="false">IF(A1010="","",IF(S1010="","BYPASS",IF(ABS(S1010)&lt;=Summary!$B$2,"PASS","FAIL")))</f>
        <v/>
      </c>
      <c r="U1010" s="8" t="str">
        <f aca="false">IF(T1010="BYPASS",IF(NOT(ISNUMBER(Q1010)),"PreV_ETB missing","End_tr_balance missing"),IF(T1010="FAIL",IF(AND(ISNUMBER(K1010),ISNUMBER(L1010),ABS(L1010-(K1010-IF(ISNUMBER(N1010),N1010,0)-IF(ISNUMBER(O1010),O1010,0)+IF(ISNUMBER(P1010),P1010,0)))&lt;=Summary!$B$2),"Passes using beginning_balance - PreV_ETB differs from beginning_balance",IF(AND(ISNUMBER(O1010),O1010&lt;0,ABS(L1010-(Q1010-IF(ISNUMBER(N1010),N1010,0)+IF(ISNUMBER(P1010),P1010,0)))&lt;=Summary!$B$2),"Negative realized loss not applied - check sign",IF(R1010&lt;0,"Principal paid exceeds prior balance",IF(AND(L1010&gt;Q1010,NOT(ISNUMBER(P1010))),"Balance increased but no Deferred_interest reported",IF(L1010&gt;R1010,"Reported balance higher than expected (missing increase/OC build)","Reported balance lower than expected (missing decrease)"))))),""))</f>
        <v/>
      </c>
    </row>
    <row r="1011" customFormat="false" ht="15" hidden="false" customHeight="false" outlineLevel="0" collapsed="false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9"/>
      <c r="L1011" s="9"/>
      <c r="M1011" s="9"/>
      <c r="N1011" s="9"/>
      <c r="O1011" s="9"/>
      <c r="P1011" s="9"/>
      <c r="Q1011" s="9"/>
      <c r="R1011" s="9" t="str">
        <f aca="false">IF(AND(A1011&lt;&gt;"",ISNUMBER(Q1011),ISNUMBER(L1011)),ROUND(Q1011-IF(ISNUMBER(N1011),N1011,0)-IF(ISNUMBER(O1011),O1011,0)+IF(ISNUMBER(P1011),P1011,0),2),"")</f>
        <v/>
      </c>
      <c r="S1011" s="9" t="str">
        <f aca="false">IF(R1011="","",ROUND(L1011-R1011,2))</f>
        <v/>
      </c>
      <c r="T1011" s="8" t="str">
        <f aca="false">IF(A1011="","",IF(S1011="","BYPASS",IF(ABS(S1011)&lt;=Summary!$B$2,"PASS","FAIL")))</f>
        <v/>
      </c>
      <c r="U1011" s="8" t="str">
        <f aca="false">IF(T1011="BYPASS",IF(NOT(ISNUMBER(Q1011)),"PreV_ETB missing","End_tr_balance missing"),IF(T1011="FAIL",IF(AND(ISNUMBER(K1011),ISNUMBER(L1011),ABS(L1011-(K1011-IF(ISNUMBER(N1011),N1011,0)-IF(ISNUMBER(O1011),O1011,0)+IF(ISNUMBER(P1011),P1011,0)))&lt;=Summary!$B$2),"Passes using beginning_balance - PreV_ETB differs from beginning_balance",IF(AND(ISNUMBER(O1011),O1011&lt;0,ABS(L1011-(Q1011-IF(ISNUMBER(N1011),N1011,0)+IF(ISNUMBER(P1011),P1011,0)))&lt;=Summary!$B$2),"Negative realized loss not applied - check sign",IF(R1011&lt;0,"Principal paid exceeds prior balance",IF(AND(L1011&gt;Q1011,NOT(ISNUMBER(P1011))),"Balance increased but no Deferred_interest reported",IF(L1011&gt;R1011,"Reported balance higher than expected (missing increase/OC build)","Reported balance lower than expected (missing decrease)"))))),""))</f>
        <v/>
      </c>
    </row>
    <row r="1012" customFormat="false" ht="15" hidden="false" customHeight="false" outlineLevel="0" collapsed="false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9"/>
      <c r="L1012" s="9"/>
      <c r="M1012" s="9"/>
      <c r="N1012" s="9"/>
      <c r="O1012" s="9"/>
      <c r="P1012" s="9"/>
      <c r="Q1012" s="9"/>
      <c r="R1012" s="9" t="str">
        <f aca="false">IF(AND(A1012&lt;&gt;"",ISNUMBER(Q1012),ISNUMBER(L1012)),ROUND(Q1012-IF(ISNUMBER(N1012),N1012,0)-IF(ISNUMBER(O1012),O1012,0)+IF(ISNUMBER(P1012),P1012,0),2),"")</f>
        <v/>
      </c>
      <c r="S1012" s="9" t="str">
        <f aca="false">IF(R1012="","",ROUND(L1012-R1012,2))</f>
        <v/>
      </c>
      <c r="T1012" s="8" t="str">
        <f aca="false">IF(A1012="","",IF(S1012="","BYPASS",IF(ABS(S1012)&lt;=Summary!$B$2,"PASS","FAIL")))</f>
        <v/>
      </c>
      <c r="U1012" s="8" t="str">
        <f aca="false">IF(T1012="BYPASS",IF(NOT(ISNUMBER(Q1012)),"PreV_ETB missing","End_tr_balance missing"),IF(T1012="FAIL",IF(AND(ISNUMBER(K1012),ISNUMBER(L1012),ABS(L1012-(K1012-IF(ISNUMBER(N1012),N1012,0)-IF(ISNUMBER(O1012),O1012,0)+IF(ISNUMBER(P1012),P1012,0)))&lt;=Summary!$B$2),"Passes using beginning_balance - PreV_ETB differs from beginning_balance",IF(AND(ISNUMBER(O1012),O1012&lt;0,ABS(L1012-(Q1012-IF(ISNUMBER(N1012),N1012,0)+IF(ISNUMBER(P1012),P1012,0)))&lt;=Summary!$B$2),"Negative realized loss not applied - check sign",IF(R1012&lt;0,"Principal paid exceeds prior balance",IF(AND(L1012&gt;Q1012,NOT(ISNUMBER(P1012))),"Balance increased but no Deferred_interest reported",IF(L1012&gt;R1012,"Reported balance higher than expected (missing increase/OC build)","Reported balance lower than expected (missing decrease)"))))),""))</f>
        <v/>
      </c>
    </row>
    <row r="1013" customFormat="false" ht="15" hidden="false" customHeight="false" outlineLevel="0" collapsed="false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9"/>
      <c r="L1013" s="9"/>
      <c r="M1013" s="9"/>
      <c r="N1013" s="9"/>
      <c r="O1013" s="9"/>
      <c r="P1013" s="9"/>
      <c r="Q1013" s="9"/>
      <c r="R1013" s="9" t="str">
        <f aca="false">IF(AND(A1013&lt;&gt;"",ISNUMBER(Q1013),ISNUMBER(L1013)),ROUND(Q1013-IF(ISNUMBER(N1013),N1013,0)-IF(ISNUMBER(O1013),O1013,0)+IF(ISNUMBER(P1013),P1013,0),2),"")</f>
        <v/>
      </c>
      <c r="S1013" s="9" t="str">
        <f aca="false">IF(R1013="","",ROUND(L1013-R1013,2))</f>
        <v/>
      </c>
      <c r="T1013" s="8" t="str">
        <f aca="false">IF(A1013="","",IF(S1013="","BYPASS",IF(ABS(S1013)&lt;=Summary!$B$2,"PASS","FAIL")))</f>
        <v/>
      </c>
      <c r="U1013" s="8" t="str">
        <f aca="false">IF(T1013="BYPASS",IF(NOT(ISNUMBER(Q1013)),"PreV_ETB missing","End_tr_balance missing"),IF(T1013="FAIL",IF(AND(ISNUMBER(K1013),ISNUMBER(L1013),ABS(L1013-(K1013-IF(ISNUMBER(N1013),N1013,0)-IF(ISNUMBER(O1013),O1013,0)+IF(ISNUMBER(P1013),P1013,0)))&lt;=Summary!$B$2),"Passes using beginning_balance - PreV_ETB differs from beginning_balance",IF(AND(ISNUMBER(O1013),O1013&lt;0,ABS(L1013-(Q1013-IF(ISNUMBER(N1013),N1013,0)+IF(ISNUMBER(P1013),P1013,0)))&lt;=Summary!$B$2),"Negative realized loss not applied - check sign",IF(R1013&lt;0,"Principal paid exceeds prior balance",IF(AND(L1013&gt;Q1013,NOT(ISNUMBER(P1013))),"Balance increased but no Deferred_interest reported",IF(L1013&gt;R1013,"Reported balance higher than expected (missing increase/OC build)","Reported balance lower than expected (missing decrease)"))))),""))</f>
        <v/>
      </c>
    </row>
    <row r="1014" customFormat="false" ht="15" hidden="false" customHeight="false" outlineLevel="0" collapsed="false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9"/>
      <c r="L1014" s="9"/>
      <c r="M1014" s="9"/>
      <c r="N1014" s="9"/>
      <c r="O1014" s="9"/>
      <c r="P1014" s="9"/>
      <c r="Q1014" s="9"/>
      <c r="R1014" s="9" t="str">
        <f aca="false">IF(AND(A1014&lt;&gt;"",ISNUMBER(Q1014),ISNUMBER(L1014)),ROUND(Q1014-IF(ISNUMBER(N1014),N1014,0)-IF(ISNUMBER(O1014),O1014,0)+IF(ISNUMBER(P1014),P1014,0),2),"")</f>
        <v/>
      </c>
      <c r="S1014" s="9" t="str">
        <f aca="false">IF(R1014="","",ROUND(L1014-R1014,2))</f>
        <v/>
      </c>
      <c r="T1014" s="8" t="str">
        <f aca="false">IF(A1014="","",IF(S1014="","BYPASS",IF(ABS(S1014)&lt;=Summary!$B$2,"PASS","FAIL")))</f>
        <v/>
      </c>
      <c r="U1014" s="8" t="str">
        <f aca="false">IF(T1014="BYPASS",IF(NOT(ISNUMBER(Q1014)),"PreV_ETB missing","End_tr_balance missing"),IF(T1014="FAIL",IF(AND(ISNUMBER(K1014),ISNUMBER(L1014),ABS(L1014-(K1014-IF(ISNUMBER(N1014),N1014,0)-IF(ISNUMBER(O1014),O1014,0)+IF(ISNUMBER(P1014),P1014,0)))&lt;=Summary!$B$2),"Passes using beginning_balance - PreV_ETB differs from beginning_balance",IF(AND(ISNUMBER(O1014),O1014&lt;0,ABS(L1014-(Q1014-IF(ISNUMBER(N1014),N1014,0)+IF(ISNUMBER(P1014),P1014,0)))&lt;=Summary!$B$2),"Negative realized loss not applied - check sign",IF(R1014&lt;0,"Principal paid exceeds prior balance",IF(AND(L1014&gt;Q1014,NOT(ISNUMBER(P1014))),"Balance increased but no Deferred_interest reported",IF(L1014&gt;R1014,"Reported balance higher than expected (missing increase/OC build)","Reported balance lower than expected (missing decrease)"))))),""))</f>
        <v/>
      </c>
    </row>
    <row r="1015" customFormat="false" ht="15" hidden="false" customHeight="false" outlineLevel="0" collapsed="false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9"/>
      <c r="L1015" s="9"/>
      <c r="M1015" s="9"/>
      <c r="N1015" s="9"/>
      <c r="O1015" s="9"/>
      <c r="P1015" s="9"/>
      <c r="Q1015" s="9"/>
      <c r="R1015" s="9" t="str">
        <f aca="false">IF(AND(A1015&lt;&gt;"",ISNUMBER(Q1015),ISNUMBER(L1015)),ROUND(Q1015-IF(ISNUMBER(N1015),N1015,0)-IF(ISNUMBER(O1015),O1015,0)+IF(ISNUMBER(P1015),P1015,0),2),"")</f>
        <v/>
      </c>
      <c r="S1015" s="9" t="str">
        <f aca="false">IF(R1015="","",ROUND(L1015-R1015,2))</f>
        <v/>
      </c>
      <c r="T1015" s="8" t="str">
        <f aca="false">IF(A1015="","",IF(S1015="","BYPASS",IF(ABS(S1015)&lt;=Summary!$B$2,"PASS","FAIL")))</f>
        <v/>
      </c>
      <c r="U1015" s="8" t="str">
        <f aca="false">IF(T1015="BYPASS",IF(NOT(ISNUMBER(Q1015)),"PreV_ETB missing","End_tr_balance missing"),IF(T1015="FAIL",IF(AND(ISNUMBER(K1015),ISNUMBER(L1015),ABS(L1015-(K1015-IF(ISNUMBER(N1015),N1015,0)-IF(ISNUMBER(O1015),O1015,0)+IF(ISNUMBER(P1015),P1015,0)))&lt;=Summary!$B$2),"Passes using beginning_balance - PreV_ETB differs from beginning_balance",IF(AND(ISNUMBER(O1015),O1015&lt;0,ABS(L1015-(Q1015-IF(ISNUMBER(N1015),N1015,0)+IF(ISNUMBER(P1015),P1015,0)))&lt;=Summary!$B$2),"Negative realized loss not applied - check sign",IF(R1015&lt;0,"Principal paid exceeds prior balance",IF(AND(L1015&gt;Q1015,NOT(ISNUMBER(P1015))),"Balance increased but no Deferred_interest reported",IF(L1015&gt;R1015,"Reported balance higher than expected (missing increase/OC build)","Reported balance lower than expected (missing decrease)"))))),""))</f>
        <v/>
      </c>
    </row>
    <row r="1016" customFormat="false" ht="15" hidden="false" customHeight="false" outlineLevel="0" collapsed="false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9"/>
      <c r="L1016" s="9"/>
      <c r="M1016" s="9"/>
      <c r="N1016" s="9"/>
      <c r="O1016" s="9"/>
      <c r="P1016" s="9"/>
      <c r="Q1016" s="9"/>
      <c r="R1016" s="9" t="str">
        <f aca="false">IF(AND(A1016&lt;&gt;"",ISNUMBER(Q1016),ISNUMBER(L1016)),ROUND(Q1016-IF(ISNUMBER(N1016),N1016,0)-IF(ISNUMBER(O1016),O1016,0)+IF(ISNUMBER(P1016),P1016,0),2),"")</f>
        <v/>
      </c>
      <c r="S1016" s="9" t="str">
        <f aca="false">IF(R1016="","",ROUND(L1016-R1016,2))</f>
        <v/>
      </c>
      <c r="T1016" s="8" t="str">
        <f aca="false">IF(A1016="","",IF(S1016="","BYPASS",IF(ABS(S1016)&lt;=Summary!$B$2,"PASS","FAIL")))</f>
        <v/>
      </c>
      <c r="U1016" s="8" t="str">
        <f aca="false">IF(T1016="BYPASS",IF(NOT(ISNUMBER(Q1016)),"PreV_ETB missing","End_tr_balance missing"),IF(T1016="FAIL",IF(AND(ISNUMBER(K1016),ISNUMBER(L1016),ABS(L1016-(K1016-IF(ISNUMBER(N1016),N1016,0)-IF(ISNUMBER(O1016),O1016,0)+IF(ISNUMBER(P1016),P1016,0)))&lt;=Summary!$B$2),"Passes using beginning_balance - PreV_ETB differs from beginning_balance",IF(AND(ISNUMBER(O1016),O1016&lt;0,ABS(L1016-(Q1016-IF(ISNUMBER(N1016),N1016,0)+IF(ISNUMBER(P1016),P1016,0)))&lt;=Summary!$B$2),"Negative realized loss not applied - check sign",IF(R1016&lt;0,"Principal paid exceeds prior balance",IF(AND(L1016&gt;Q1016,NOT(ISNUMBER(P1016))),"Balance increased but no Deferred_interest reported",IF(L1016&gt;R1016,"Reported balance higher than expected (missing increase/OC build)","Reported balance lower than expected (missing decrease)"))))),""))</f>
        <v/>
      </c>
    </row>
    <row r="1017" customFormat="false" ht="15" hidden="false" customHeight="false" outlineLevel="0" collapsed="false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9"/>
      <c r="L1017" s="9"/>
      <c r="M1017" s="9"/>
      <c r="N1017" s="9"/>
      <c r="O1017" s="9"/>
      <c r="P1017" s="9"/>
      <c r="Q1017" s="9"/>
      <c r="R1017" s="9" t="str">
        <f aca="false">IF(AND(A1017&lt;&gt;"",ISNUMBER(Q1017),ISNUMBER(L1017)),ROUND(Q1017-IF(ISNUMBER(N1017),N1017,0)-IF(ISNUMBER(O1017),O1017,0)+IF(ISNUMBER(P1017),P1017,0),2),"")</f>
        <v/>
      </c>
      <c r="S1017" s="9" t="str">
        <f aca="false">IF(R1017="","",ROUND(L1017-R1017,2))</f>
        <v/>
      </c>
      <c r="T1017" s="8" t="str">
        <f aca="false">IF(A1017="","",IF(S1017="","BYPASS",IF(ABS(S1017)&lt;=Summary!$B$2,"PASS","FAIL")))</f>
        <v/>
      </c>
      <c r="U1017" s="8" t="str">
        <f aca="false">IF(T1017="BYPASS",IF(NOT(ISNUMBER(Q1017)),"PreV_ETB missing","End_tr_balance missing"),IF(T1017="FAIL",IF(AND(ISNUMBER(K1017),ISNUMBER(L1017),ABS(L1017-(K1017-IF(ISNUMBER(N1017),N1017,0)-IF(ISNUMBER(O1017),O1017,0)+IF(ISNUMBER(P1017),P1017,0)))&lt;=Summary!$B$2),"Passes using beginning_balance - PreV_ETB differs from beginning_balance",IF(AND(ISNUMBER(O1017),O1017&lt;0,ABS(L1017-(Q1017-IF(ISNUMBER(N1017),N1017,0)+IF(ISNUMBER(P1017),P1017,0)))&lt;=Summary!$B$2),"Negative realized loss not applied - check sign",IF(R1017&lt;0,"Principal paid exceeds prior balance",IF(AND(L1017&gt;Q1017,NOT(ISNUMBER(P1017))),"Balance increased but no Deferred_interest reported",IF(L1017&gt;R1017,"Reported balance higher than expected (missing increase/OC build)","Reported balance lower than expected (missing decrease)"))))),""))</f>
        <v/>
      </c>
    </row>
    <row r="1018" customFormat="false" ht="15" hidden="false" customHeight="false" outlineLevel="0" collapsed="false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9"/>
      <c r="L1018" s="9"/>
      <c r="M1018" s="9"/>
      <c r="N1018" s="9"/>
      <c r="O1018" s="9"/>
      <c r="P1018" s="9"/>
      <c r="Q1018" s="9"/>
      <c r="R1018" s="9" t="str">
        <f aca="false">IF(AND(A1018&lt;&gt;"",ISNUMBER(Q1018),ISNUMBER(L1018)),ROUND(Q1018-IF(ISNUMBER(N1018),N1018,0)-IF(ISNUMBER(O1018),O1018,0)+IF(ISNUMBER(P1018),P1018,0),2),"")</f>
        <v/>
      </c>
      <c r="S1018" s="9" t="str">
        <f aca="false">IF(R1018="","",ROUND(L1018-R1018,2))</f>
        <v/>
      </c>
      <c r="T1018" s="8" t="str">
        <f aca="false">IF(A1018="","",IF(S1018="","BYPASS",IF(ABS(S1018)&lt;=Summary!$B$2,"PASS","FAIL")))</f>
        <v/>
      </c>
      <c r="U1018" s="8" t="str">
        <f aca="false">IF(T1018="BYPASS",IF(NOT(ISNUMBER(Q1018)),"PreV_ETB missing","End_tr_balance missing"),IF(T1018="FAIL",IF(AND(ISNUMBER(K1018),ISNUMBER(L1018),ABS(L1018-(K1018-IF(ISNUMBER(N1018),N1018,0)-IF(ISNUMBER(O1018),O1018,0)+IF(ISNUMBER(P1018),P1018,0)))&lt;=Summary!$B$2),"Passes using beginning_balance - PreV_ETB differs from beginning_balance",IF(AND(ISNUMBER(O1018),O1018&lt;0,ABS(L1018-(Q1018-IF(ISNUMBER(N1018),N1018,0)+IF(ISNUMBER(P1018),P1018,0)))&lt;=Summary!$B$2),"Negative realized loss not applied - check sign",IF(R1018&lt;0,"Principal paid exceeds prior balance",IF(AND(L1018&gt;Q1018,NOT(ISNUMBER(P1018))),"Balance increased but no Deferred_interest reported",IF(L1018&gt;R1018,"Reported balance higher than expected (missing increase/OC build)","Reported balance lower than expected (missing decrease)"))))),""))</f>
        <v/>
      </c>
    </row>
    <row r="1019" customFormat="false" ht="15" hidden="false" customHeight="false" outlineLevel="0" collapsed="false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9"/>
      <c r="L1019" s="9"/>
      <c r="M1019" s="9"/>
      <c r="N1019" s="9"/>
      <c r="O1019" s="9"/>
      <c r="P1019" s="9"/>
      <c r="Q1019" s="9"/>
      <c r="R1019" s="9" t="str">
        <f aca="false">IF(AND(A1019&lt;&gt;"",ISNUMBER(Q1019),ISNUMBER(L1019)),ROUND(Q1019-IF(ISNUMBER(N1019),N1019,0)-IF(ISNUMBER(O1019),O1019,0)+IF(ISNUMBER(P1019),P1019,0),2),"")</f>
        <v/>
      </c>
      <c r="S1019" s="9" t="str">
        <f aca="false">IF(R1019="","",ROUND(L1019-R1019,2))</f>
        <v/>
      </c>
      <c r="T1019" s="8" t="str">
        <f aca="false">IF(A1019="","",IF(S1019="","BYPASS",IF(ABS(S1019)&lt;=Summary!$B$2,"PASS","FAIL")))</f>
        <v/>
      </c>
      <c r="U1019" s="8" t="str">
        <f aca="false">IF(T1019="BYPASS",IF(NOT(ISNUMBER(Q1019)),"PreV_ETB missing","End_tr_balance missing"),IF(T1019="FAIL",IF(AND(ISNUMBER(K1019),ISNUMBER(L1019),ABS(L1019-(K1019-IF(ISNUMBER(N1019),N1019,0)-IF(ISNUMBER(O1019),O1019,0)+IF(ISNUMBER(P1019),P1019,0)))&lt;=Summary!$B$2),"Passes using beginning_balance - PreV_ETB differs from beginning_balance",IF(AND(ISNUMBER(O1019),O1019&lt;0,ABS(L1019-(Q1019-IF(ISNUMBER(N1019),N1019,0)+IF(ISNUMBER(P1019),P1019,0)))&lt;=Summary!$B$2),"Negative realized loss not applied - check sign",IF(R1019&lt;0,"Principal paid exceeds prior balance",IF(AND(L1019&gt;Q1019,NOT(ISNUMBER(P1019))),"Balance increased but no Deferred_interest reported",IF(L1019&gt;R1019,"Reported balance higher than expected (missing increase/OC build)","Reported balance lower than expected (missing decrease)"))))),""))</f>
        <v/>
      </c>
    </row>
    <row r="1020" customFormat="false" ht="15" hidden="false" customHeight="false" outlineLevel="0" collapsed="false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9"/>
      <c r="L1020" s="9"/>
      <c r="M1020" s="9"/>
      <c r="N1020" s="9"/>
      <c r="O1020" s="9"/>
      <c r="P1020" s="9"/>
      <c r="Q1020" s="9"/>
      <c r="R1020" s="9" t="str">
        <f aca="false">IF(AND(A1020&lt;&gt;"",ISNUMBER(Q1020),ISNUMBER(L1020)),ROUND(Q1020-IF(ISNUMBER(N1020),N1020,0)-IF(ISNUMBER(O1020),O1020,0)+IF(ISNUMBER(P1020),P1020,0),2),"")</f>
        <v/>
      </c>
      <c r="S1020" s="9" t="str">
        <f aca="false">IF(R1020="","",ROUND(L1020-R1020,2))</f>
        <v/>
      </c>
      <c r="T1020" s="8" t="str">
        <f aca="false">IF(A1020="","",IF(S1020="","BYPASS",IF(ABS(S1020)&lt;=Summary!$B$2,"PASS","FAIL")))</f>
        <v/>
      </c>
      <c r="U1020" s="8" t="str">
        <f aca="false">IF(T1020="BYPASS",IF(NOT(ISNUMBER(Q1020)),"PreV_ETB missing","End_tr_balance missing"),IF(T1020="FAIL",IF(AND(ISNUMBER(K1020),ISNUMBER(L1020),ABS(L1020-(K1020-IF(ISNUMBER(N1020),N1020,0)-IF(ISNUMBER(O1020),O1020,0)+IF(ISNUMBER(P1020),P1020,0)))&lt;=Summary!$B$2),"Passes using beginning_balance - PreV_ETB differs from beginning_balance",IF(AND(ISNUMBER(O1020),O1020&lt;0,ABS(L1020-(Q1020-IF(ISNUMBER(N1020),N1020,0)+IF(ISNUMBER(P1020),P1020,0)))&lt;=Summary!$B$2),"Negative realized loss not applied - check sign",IF(R1020&lt;0,"Principal paid exceeds prior balance",IF(AND(L1020&gt;Q1020,NOT(ISNUMBER(P1020))),"Balance increased but no Deferred_interest reported",IF(L1020&gt;R1020,"Reported balance higher than expected (missing increase/OC build)","Reported balance lower than expected (missing decrease)"))))),""))</f>
        <v/>
      </c>
    </row>
    <row r="1021" customFormat="false" ht="15" hidden="false" customHeight="false" outlineLevel="0" collapsed="false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9"/>
      <c r="L1021" s="9"/>
      <c r="M1021" s="9"/>
      <c r="N1021" s="9"/>
      <c r="O1021" s="9"/>
      <c r="P1021" s="9"/>
      <c r="Q1021" s="9"/>
      <c r="R1021" s="9" t="str">
        <f aca="false">IF(AND(A1021&lt;&gt;"",ISNUMBER(Q1021),ISNUMBER(L1021)),ROUND(Q1021-IF(ISNUMBER(N1021),N1021,0)-IF(ISNUMBER(O1021),O1021,0)+IF(ISNUMBER(P1021),P1021,0),2),"")</f>
        <v/>
      </c>
      <c r="S1021" s="9" t="str">
        <f aca="false">IF(R1021="","",ROUND(L1021-R1021,2))</f>
        <v/>
      </c>
      <c r="T1021" s="8" t="str">
        <f aca="false">IF(A1021="","",IF(S1021="","BYPASS",IF(ABS(S1021)&lt;=Summary!$B$2,"PASS","FAIL")))</f>
        <v/>
      </c>
      <c r="U1021" s="8" t="str">
        <f aca="false">IF(T1021="BYPASS",IF(NOT(ISNUMBER(Q1021)),"PreV_ETB missing","End_tr_balance missing"),IF(T1021="FAIL",IF(AND(ISNUMBER(K1021),ISNUMBER(L1021),ABS(L1021-(K1021-IF(ISNUMBER(N1021),N1021,0)-IF(ISNUMBER(O1021),O1021,0)+IF(ISNUMBER(P1021),P1021,0)))&lt;=Summary!$B$2),"Passes using beginning_balance - PreV_ETB differs from beginning_balance",IF(AND(ISNUMBER(O1021),O1021&lt;0,ABS(L1021-(Q1021-IF(ISNUMBER(N1021),N1021,0)+IF(ISNUMBER(P1021),P1021,0)))&lt;=Summary!$B$2),"Negative realized loss not applied - check sign",IF(R1021&lt;0,"Principal paid exceeds prior balance",IF(AND(L1021&gt;Q1021,NOT(ISNUMBER(P1021))),"Balance increased but no Deferred_interest reported",IF(L1021&gt;R1021,"Reported balance higher than expected (missing increase/OC build)","Reported balance lower than expected (missing decrease)"))))),""))</f>
        <v/>
      </c>
    </row>
    <row r="1022" customFormat="false" ht="15" hidden="false" customHeight="false" outlineLevel="0" collapsed="false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9"/>
      <c r="L1022" s="9"/>
      <c r="M1022" s="9"/>
      <c r="N1022" s="9"/>
      <c r="O1022" s="9"/>
      <c r="P1022" s="9"/>
      <c r="Q1022" s="9"/>
      <c r="R1022" s="9" t="str">
        <f aca="false">IF(AND(A1022&lt;&gt;"",ISNUMBER(Q1022),ISNUMBER(L1022)),ROUND(Q1022-IF(ISNUMBER(N1022),N1022,0)-IF(ISNUMBER(O1022),O1022,0)+IF(ISNUMBER(P1022),P1022,0),2),"")</f>
        <v/>
      </c>
      <c r="S1022" s="9" t="str">
        <f aca="false">IF(R1022="","",ROUND(L1022-R1022,2))</f>
        <v/>
      </c>
      <c r="T1022" s="8" t="str">
        <f aca="false">IF(A1022="","",IF(S1022="","BYPASS",IF(ABS(S1022)&lt;=Summary!$B$2,"PASS","FAIL")))</f>
        <v/>
      </c>
      <c r="U1022" s="8" t="str">
        <f aca="false">IF(T1022="BYPASS",IF(NOT(ISNUMBER(Q1022)),"PreV_ETB missing","End_tr_balance missing"),IF(T1022="FAIL",IF(AND(ISNUMBER(K1022),ISNUMBER(L1022),ABS(L1022-(K1022-IF(ISNUMBER(N1022),N1022,0)-IF(ISNUMBER(O1022),O1022,0)+IF(ISNUMBER(P1022),P1022,0)))&lt;=Summary!$B$2),"Passes using beginning_balance - PreV_ETB differs from beginning_balance",IF(AND(ISNUMBER(O1022),O1022&lt;0,ABS(L1022-(Q1022-IF(ISNUMBER(N1022),N1022,0)+IF(ISNUMBER(P1022),P1022,0)))&lt;=Summary!$B$2),"Negative realized loss not applied - check sign",IF(R1022&lt;0,"Principal paid exceeds prior balance",IF(AND(L1022&gt;Q1022,NOT(ISNUMBER(P1022))),"Balance increased but no Deferred_interest reported",IF(L1022&gt;R1022,"Reported balance higher than expected (missing increase/OC build)","Reported balance lower than expected (missing decrease)"))))),""))</f>
        <v/>
      </c>
    </row>
    <row r="1023" customFormat="false" ht="15" hidden="false" customHeight="false" outlineLevel="0" collapsed="false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9"/>
      <c r="L1023" s="9"/>
      <c r="M1023" s="9"/>
      <c r="N1023" s="9"/>
      <c r="O1023" s="9"/>
      <c r="P1023" s="9"/>
      <c r="Q1023" s="9"/>
      <c r="R1023" s="9" t="str">
        <f aca="false">IF(AND(A1023&lt;&gt;"",ISNUMBER(Q1023),ISNUMBER(L1023)),ROUND(Q1023-IF(ISNUMBER(N1023),N1023,0)-IF(ISNUMBER(O1023),O1023,0)+IF(ISNUMBER(P1023),P1023,0),2),"")</f>
        <v/>
      </c>
      <c r="S1023" s="9" t="str">
        <f aca="false">IF(R1023="","",ROUND(L1023-R1023,2))</f>
        <v/>
      </c>
      <c r="T1023" s="8" t="str">
        <f aca="false">IF(A1023="","",IF(S1023="","BYPASS",IF(ABS(S1023)&lt;=Summary!$B$2,"PASS","FAIL")))</f>
        <v/>
      </c>
      <c r="U1023" s="8" t="str">
        <f aca="false">IF(T1023="BYPASS",IF(NOT(ISNUMBER(Q1023)),"PreV_ETB missing","End_tr_balance missing"),IF(T1023="FAIL",IF(AND(ISNUMBER(K1023),ISNUMBER(L1023),ABS(L1023-(K1023-IF(ISNUMBER(N1023),N1023,0)-IF(ISNUMBER(O1023),O1023,0)+IF(ISNUMBER(P1023),P1023,0)))&lt;=Summary!$B$2),"Passes using beginning_balance - PreV_ETB differs from beginning_balance",IF(AND(ISNUMBER(O1023),O1023&lt;0,ABS(L1023-(Q1023-IF(ISNUMBER(N1023),N1023,0)+IF(ISNUMBER(P1023),P1023,0)))&lt;=Summary!$B$2),"Negative realized loss not applied - check sign",IF(R1023&lt;0,"Principal paid exceeds prior balance",IF(AND(L1023&gt;Q1023,NOT(ISNUMBER(P1023))),"Balance increased but no Deferred_interest reported",IF(L1023&gt;R1023,"Reported balance higher than expected (missing increase/OC build)","Reported balance lower than expected (missing decrease)"))))),""))</f>
        <v/>
      </c>
    </row>
    <row r="1024" customFormat="false" ht="15" hidden="false" customHeight="false" outlineLevel="0" collapsed="false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9"/>
      <c r="L1024" s="9"/>
      <c r="M1024" s="9"/>
      <c r="N1024" s="9"/>
      <c r="O1024" s="9"/>
      <c r="P1024" s="9"/>
      <c r="Q1024" s="9"/>
      <c r="R1024" s="9" t="str">
        <f aca="false">IF(AND(A1024&lt;&gt;"",ISNUMBER(Q1024),ISNUMBER(L1024)),ROUND(Q1024-IF(ISNUMBER(N1024),N1024,0)-IF(ISNUMBER(O1024),O1024,0)+IF(ISNUMBER(P1024),P1024,0),2),"")</f>
        <v/>
      </c>
      <c r="S1024" s="9" t="str">
        <f aca="false">IF(R1024="","",ROUND(L1024-R1024,2))</f>
        <v/>
      </c>
      <c r="T1024" s="8" t="str">
        <f aca="false">IF(A1024="","",IF(S1024="","BYPASS",IF(ABS(S1024)&lt;=Summary!$B$2,"PASS","FAIL")))</f>
        <v/>
      </c>
      <c r="U1024" s="8" t="str">
        <f aca="false">IF(T1024="BYPASS",IF(NOT(ISNUMBER(Q1024)),"PreV_ETB missing","End_tr_balance missing"),IF(T1024="FAIL",IF(AND(ISNUMBER(K1024),ISNUMBER(L1024),ABS(L1024-(K1024-IF(ISNUMBER(N1024),N1024,0)-IF(ISNUMBER(O1024),O1024,0)+IF(ISNUMBER(P1024),P1024,0)))&lt;=Summary!$B$2),"Passes using beginning_balance - PreV_ETB differs from beginning_balance",IF(AND(ISNUMBER(O1024),O1024&lt;0,ABS(L1024-(Q1024-IF(ISNUMBER(N1024),N1024,0)+IF(ISNUMBER(P1024),P1024,0)))&lt;=Summary!$B$2),"Negative realized loss not applied - check sign",IF(R1024&lt;0,"Principal paid exceeds prior balance",IF(AND(L1024&gt;Q1024,NOT(ISNUMBER(P1024))),"Balance increased but no Deferred_interest reported",IF(L1024&gt;R1024,"Reported balance higher than expected (missing increase/OC build)","Reported balance lower than expected (missing decrease)"))))),""))</f>
        <v/>
      </c>
    </row>
    <row r="1025" customFormat="false" ht="15" hidden="false" customHeight="false" outlineLevel="0" collapsed="false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9"/>
      <c r="L1025" s="9"/>
      <c r="M1025" s="9"/>
      <c r="N1025" s="9"/>
      <c r="O1025" s="9"/>
      <c r="P1025" s="9"/>
      <c r="Q1025" s="9"/>
      <c r="R1025" s="9" t="str">
        <f aca="false">IF(AND(A1025&lt;&gt;"",ISNUMBER(Q1025),ISNUMBER(L1025)),ROUND(Q1025-IF(ISNUMBER(N1025),N1025,0)-IF(ISNUMBER(O1025),O1025,0)+IF(ISNUMBER(P1025),P1025,0),2),"")</f>
        <v/>
      </c>
      <c r="S1025" s="9" t="str">
        <f aca="false">IF(R1025="","",ROUND(L1025-R1025,2))</f>
        <v/>
      </c>
      <c r="T1025" s="8" t="str">
        <f aca="false">IF(A1025="","",IF(S1025="","BYPASS",IF(ABS(S1025)&lt;=Summary!$B$2,"PASS","FAIL")))</f>
        <v/>
      </c>
      <c r="U1025" s="8" t="str">
        <f aca="false">IF(T1025="BYPASS",IF(NOT(ISNUMBER(Q1025)),"PreV_ETB missing","End_tr_balance missing"),IF(T1025="FAIL",IF(AND(ISNUMBER(K1025),ISNUMBER(L1025),ABS(L1025-(K1025-IF(ISNUMBER(N1025),N1025,0)-IF(ISNUMBER(O1025),O1025,0)+IF(ISNUMBER(P1025),P1025,0)))&lt;=Summary!$B$2),"Passes using beginning_balance - PreV_ETB differs from beginning_balance",IF(AND(ISNUMBER(O1025),O1025&lt;0,ABS(L1025-(Q1025-IF(ISNUMBER(N1025),N1025,0)+IF(ISNUMBER(P1025),P1025,0)))&lt;=Summary!$B$2),"Negative realized loss not applied - check sign",IF(R1025&lt;0,"Principal paid exceeds prior balance",IF(AND(L1025&gt;Q1025,NOT(ISNUMBER(P1025))),"Balance increased but no Deferred_interest reported",IF(L1025&gt;R1025,"Reported balance higher than expected (missing increase/OC build)","Reported balance lower than expected (missing decrease)"))))),""))</f>
        <v/>
      </c>
    </row>
    <row r="1026" customFormat="false" ht="15" hidden="false" customHeight="false" outlineLevel="0" collapsed="false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9"/>
      <c r="L1026" s="9"/>
      <c r="M1026" s="9"/>
      <c r="N1026" s="9"/>
      <c r="O1026" s="9"/>
      <c r="P1026" s="9"/>
      <c r="Q1026" s="9"/>
      <c r="R1026" s="9" t="str">
        <f aca="false">IF(AND(A1026&lt;&gt;"",ISNUMBER(Q1026),ISNUMBER(L1026)),ROUND(Q1026-IF(ISNUMBER(N1026),N1026,0)-IF(ISNUMBER(O1026),O1026,0)+IF(ISNUMBER(P1026),P1026,0),2),"")</f>
        <v/>
      </c>
      <c r="S1026" s="9" t="str">
        <f aca="false">IF(R1026="","",ROUND(L1026-R1026,2))</f>
        <v/>
      </c>
      <c r="T1026" s="8" t="str">
        <f aca="false">IF(A1026="","",IF(S1026="","BYPASS",IF(ABS(S1026)&lt;=Summary!$B$2,"PASS","FAIL")))</f>
        <v/>
      </c>
      <c r="U1026" s="8" t="str">
        <f aca="false">IF(T1026="BYPASS",IF(NOT(ISNUMBER(Q1026)),"PreV_ETB missing","End_tr_balance missing"),IF(T1026="FAIL",IF(AND(ISNUMBER(K1026),ISNUMBER(L1026),ABS(L1026-(K1026-IF(ISNUMBER(N1026),N1026,0)-IF(ISNUMBER(O1026),O1026,0)+IF(ISNUMBER(P1026),P1026,0)))&lt;=Summary!$B$2),"Passes using beginning_balance - PreV_ETB differs from beginning_balance",IF(AND(ISNUMBER(O1026),O1026&lt;0,ABS(L1026-(Q1026-IF(ISNUMBER(N1026),N1026,0)+IF(ISNUMBER(P1026),P1026,0)))&lt;=Summary!$B$2),"Negative realized loss not applied - check sign",IF(R1026&lt;0,"Principal paid exceeds prior balance",IF(AND(L1026&gt;Q1026,NOT(ISNUMBER(P1026))),"Balance increased but no Deferred_interest reported",IF(L1026&gt;R1026,"Reported balance higher than expected (missing increase/OC build)","Reported balance lower than expected (missing decrease)"))))),""))</f>
        <v/>
      </c>
    </row>
    <row r="1027" customFormat="false" ht="15" hidden="false" customHeight="false" outlineLevel="0" collapsed="false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9"/>
      <c r="L1027" s="9"/>
      <c r="M1027" s="9"/>
      <c r="N1027" s="9"/>
      <c r="O1027" s="9"/>
      <c r="P1027" s="9"/>
      <c r="Q1027" s="9"/>
      <c r="R1027" s="9" t="str">
        <f aca="false">IF(AND(A1027&lt;&gt;"",ISNUMBER(Q1027),ISNUMBER(L1027)),ROUND(Q1027-IF(ISNUMBER(N1027),N1027,0)-IF(ISNUMBER(O1027),O1027,0)+IF(ISNUMBER(P1027),P1027,0),2),"")</f>
        <v/>
      </c>
      <c r="S1027" s="9" t="str">
        <f aca="false">IF(R1027="","",ROUND(L1027-R1027,2))</f>
        <v/>
      </c>
      <c r="T1027" s="8" t="str">
        <f aca="false">IF(A1027="","",IF(S1027="","BYPASS",IF(ABS(S1027)&lt;=Summary!$B$2,"PASS","FAIL")))</f>
        <v/>
      </c>
      <c r="U1027" s="8" t="str">
        <f aca="false">IF(T1027="BYPASS",IF(NOT(ISNUMBER(Q1027)),"PreV_ETB missing","End_tr_balance missing"),IF(T1027="FAIL",IF(AND(ISNUMBER(K1027),ISNUMBER(L1027),ABS(L1027-(K1027-IF(ISNUMBER(N1027),N1027,0)-IF(ISNUMBER(O1027),O1027,0)+IF(ISNUMBER(P1027),P1027,0)))&lt;=Summary!$B$2),"Passes using beginning_balance - PreV_ETB differs from beginning_balance",IF(AND(ISNUMBER(O1027),O1027&lt;0,ABS(L1027-(Q1027-IF(ISNUMBER(N1027),N1027,0)+IF(ISNUMBER(P1027),P1027,0)))&lt;=Summary!$B$2),"Negative realized loss not applied - check sign",IF(R1027&lt;0,"Principal paid exceeds prior balance",IF(AND(L1027&gt;Q1027,NOT(ISNUMBER(P1027))),"Balance increased but no Deferred_interest reported",IF(L1027&gt;R1027,"Reported balance higher than expected (missing increase/OC build)","Reported balance lower than expected (missing decrease)"))))),""))</f>
        <v/>
      </c>
    </row>
    <row r="1028" customFormat="false" ht="15" hidden="false" customHeight="false" outlineLevel="0" collapsed="false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9"/>
      <c r="L1028" s="9"/>
      <c r="M1028" s="9"/>
      <c r="N1028" s="9"/>
      <c r="O1028" s="9"/>
      <c r="P1028" s="9"/>
      <c r="Q1028" s="9"/>
      <c r="R1028" s="9" t="str">
        <f aca="false">IF(AND(A1028&lt;&gt;"",ISNUMBER(Q1028),ISNUMBER(L1028)),ROUND(Q1028-IF(ISNUMBER(N1028),N1028,0)-IF(ISNUMBER(O1028),O1028,0)+IF(ISNUMBER(P1028),P1028,0),2),"")</f>
        <v/>
      </c>
      <c r="S1028" s="9" t="str">
        <f aca="false">IF(R1028="","",ROUND(L1028-R1028,2))</f>
        <v/>
      </c>
      <c r="T1028" s="8" t="str">
        <f aca="false">IF(A1028="","",IF(S1028="","BYPASS",IF(ABS(S1028)&lt;=Summary!$B$2,"PASS","FAIL")))</f>
        <v/>
      </c>
      <c r="U1028" s="8" t="str">
        <f aca="false">IF(T1028="BYPASS",IF(NOT(ISNUMBER(Q1028)),"PreV_ETB missing","End_tr_balance missing"),IF(T1028="FAIL",IF(AND(ISNUMBER(K1028),ISNUMBER(L1028),ABS(L1028-(K1028-IF(ISNUMBER(N1028),N1028,0)-IF(ISNUMBER(O1028),O1028,0)+IF(ISNUMBER(P1028),P1028,0)))&lt;=Summary!$B$2),"Passes using beginning_balance - PreV_ETB differs from beginning_balance",IF(AND(ISNUMBER(O1028),O1028&lt;0,ABS(L1028-(Q1028-IF(ISNUMBER(N1028),N1028,0)+IF(ISNUMBER(P1028),P1028,0)))&lt;=Summary!$B$2),"Negative realized loss not applied - check sign",IF(R1028&lt;0,"Principal paid exceeds prior balance",IF(AND(L1028&gt;Q1028,NOT(ISNUMBER(P1028))),"Balance increased but no Deferred_interest reported",IF(L1028&gt;R1028,"Reported balance higher than expected (missing increase/OC build)","Reported balance lower than expected (missing decrease)"))))),""))</f>
        <v/>
      </c>
    </row>
    <row r="1029" customFormat="false" ht="15" hidden="false" customHeight="false" outlineLevel="0" collapsed="false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9"/>
      <c r="L1029" s="9"/>
      <c r="M1029" s="9"/>
      <c r="N1029" s="9"/>
      <c r="O1029" s="9"/>
      <c r="P1029" s="9"/>
      <c r="Q1029" s="9"/>
      <c r="R1029" s="9" t="str">
        <f aca="false">IF(AND(A1029&lt;&gt;"",ISNUMBER(Q1029),ISNUMBER(L1029)),ROUND(Q1029-IF(ISNUMBER(N1029),N1029,0)-IF(ISNUMBER(O1029),O1029,0)+IF(ISNUMBER(P1029),P1029,0),2),"")</f>
        <v/>
      </c>
      <c r="S1029" s="9" t="str">
        <f aca="false">IF(R1029="","",ROUND(L1029-R1029,2))</f>
        <v/>
      </c>
      <c r="T1029" s="8" t="str">
        <f aca="false">IF(A1029="","",IF(S1029="","BYPASS",IF(ABS(S1029)&lt;=Summary!$B$2,"PASS","FAIL")))</f>
        <v/>
      </c>
      <c r="U1029" s="8" t="str">
        <f aca="false">IF(T1029="BYPASS",IF(NOT(ISNUMBER(Q1029)),"PreV_ETB missing","End_tr_balance missing"),IF(T1029="FAIL",IF(AND(ISNUMBER(K1029),ISNUMBER(L1029),ABS(L1029-(K1029-IF(ISNUMBER(N1029),N1029,0)-IF(ISNUMBER(O1029),O1029,0)+IF(ISNUMBER(P1029),P1029,0)))&lt;=Summary!$B$2),"Passes using beginning_balance - PreV_ETB differs from beginning_balance",IF(AND(ISNUMBER(O1029),O1029&lt;0,ABS(L1029-(Q1029-IF(ISNUMBER(N1029),N1029,0)+IF(ISNUMBER(P1029),P1029,0)))&lt;=Summary!$B$2),"Negative realized loss not applied - check sign",IF(R1029&lt;0,"Principal paid exceeds prior balance",IF(AND(L1029&gt;Q1029,NOT(ISNUMBER(P1029))),"Balance increased but no Deferred_interest reported",IF(L1029&gt;R1029,"Reported balance higher than expected (missing increase/OC build)","Reported balance lower than expected (missing decrease)"))))),""))</f>
        <v/>
      </c>
    </row>
    <row r="1030" customFormat="false" ht="15" hidden="false" customHeight="false" outlineLevel="0" collapsed="false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9"/>
      <c r="L1030" s="9"/>
      <c r="M1030" s="9"/>
      <c r="N1030" s="9"/>
      <c r="O1030" s="9"/>
      <c r="P1030" s="9"/>
      <c r="Q1030" s="9"/>
      <c r="R1030" s="9" t="str">
        <f aca="false">IF(AND(A1030&lt;&gt;"",ISNUMBER(Q1030),ISNUMBER(L1030)),ROUND(Q1030-IF(ISNUMBER(N1030),N1030,0)-IF(ISNUMBER(O1030),O1030,0)+IF(ISNUMBER(P1030),P1030,0),2),"")</f>
        <v/>
      </c>
      <c r="S1030" s="9" t="str">
        <f aca="false">IF(R1030="","",ROUND(L1030-R1030,2))</f>
        <v/>
      </c>
      <c r="T1030" s="8" t="str">
        <f aca="false">IF(A1030="","",IF(S1030="","BYPASS",IF(ABS(S1030)&lt;=Summary!$B$2,"PASS","FAIL")))</f>
        <v/>
      </c>
      <c r="U1030" s="8" t="str">
        <f aca="false">IF(T1030="BYPASS",IF(NOT(ISNUMBER(Q1030)),"PreV_ETB missing","End_tr_balance missing"),IF(T1030="FAIL",IF(AND(ISNUMBER(K1030),ISNUMBER(L1030),ABS(L1030-(K1030-IF(ISNUMBER(N1030),N1030,0)-IF(ISNUMBER(O1030),O1030,0)+IF(ISNUMBER(P1030),P1030,0)))&lt;=Summary!$B$2),"Passes using beginning_balance - PreV_ETB differs from beginning_balance",IF(AND(ISNUMBER(O1030),O1030&lt;0,ABS(L1030-(Q1030-IF(ISNUMBER(N1030),N1030,0)+IF(ISNUMBER(P1030),P1030,0)))&lt;=Summary!$B$2),"Negative realized loss not applied - check sign",IF(R1030&lt;0,"Principal paid exceeds prior balance",IF(AND(L1030&gt;Q1030,NOT(ISNUMBER(P1030))),"Balance increased but no Deferred_interest reported",IF(L1030&gt;R1030,"Reported balance higher than expected (missing increase/OC build)","Reported balance lower than expected (missing decrease)"))))),""))</f>
        <v/>
      </c>
    </row>
    <row r="1031" customFormat="false" ht="15" hidden="false" customHeight="false" outlineLevel="0" collapsed="false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9"/>
      <c r="L1031" s="9"/>
      <c r="M1031" s="9"/>
      <c r="N1031" s="9"/>
      <c r="O1031" s="9"/>
      <c r="P1031" s="9"/>
      <c r="Q1031" s="9"/>
      <c r="R1031" s="9" t="str">
        <f aca="false">IF(AND(A1031&lt;&gt;"",ISNUMBER(Q1031),ISNUMBER(L1031)),ROUND(Q1031-IF(ISNUMBER(N1031),N1031,0)-IF(ISNUMBER(O1031),O1031,0)+IF(ISNUMBER(P1031),P1031,0),2),"")</f>
        <v/>
      </c>
      <c r="S1031" s="9" t="str">
        <f aca="false">IF(R1031="","",ROUND(L1031-R1031,2))</f>
        <v/>
      </c>
      <c r="T1031" s="8" t="str">
        <f aca="false">IF(A1031="","",IF(S1031="","BYPASS",IF(ABS(S1031)&lt;=Summary!$B$2,"PASS","FAIL")))</f>
        <v/>
      </c>
      <c r="U1031" s="8" t="str">
        <f aca="false">IF(T1031="BYPASS",IF(NOT(ISNUMBER(Q1031)),"PreV_ETB missing","End_tr_balance missing"),IF(T1031="FAIL",IF(AND(ISNUMBER(K1031),ISNUMBER(L1031),ABS(L1031-(K1031-IF(ISNUMBER(N1031),N1031,0)-IF(ISNUMBER(O1031),O1031,0)+IF(ISNUMBER(P1031),P1031,0)))&lt;=Summary!$B$2),"Passes using beginning_balance - PreV_ETB differs from beginning_balance",IF(AND(ISNUMBER(O1031),O1031&lt;0,ABS(L1031-(Q1031-IF(ISNUMBER(N1031),N1031,0)+IF(ISNUMBER(P1031),P1031,0)))&lt;=Summary!$B$2),"Negative realized loss not applied - check sign",IF(R1031&lt;0,"Principal paid exceeds prior balance",IF(AND(L1031&gt;Q1031,NOT(ISNUMBER(P1031))),"Balance increased but no Deferred_interest reported",IF(L1031&gt;R1031,"Reported balance higher than expected (missing increase/OC build)","Reported balance lower than expected (missing decrease)"))))),""))</f>
        <v/>
      </c>
    </row>
    <row r="1032" customFormat="false" ht="15" hidden="false" customHeight="false" outlineLevel="0" collapsed="false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9"/>
      <c r="L1032" s="9"/>
      <c r="M1032" s="9"/>
      <c r="N1032" s="9"/>
      <c r="O1032" s="9"/>
      <c r="P1032" s="9"/>
      <c r="Q1032" s="9"/>
      <c r="R1032" s="9" t="str">
        <f aca="false">IF(AND(A1032&lt;&gt;"",ISNUMBER(Q1032),ISNUMBER(L1032)),ROUND(Q1032-IF(ISNUMBER(N1032),N1032,0)-IF(ISNUMBER(O1032),O1032,0)+IF(ISNUMBER(P1032),P1032,0),2),"")</f>
        <v/>
      </c>
      <c r="S1032" s="9" t="str">
        <f aca="false">IF(R1032="","",ROUND(L1032-R1032,2))</f>
        <v/>
      </c>
      <c r="T1032" s="8" t="str">
        <f aca="false">IF(A1032="","",IF(S1032="","BYPASS",IF(ABS(S1032)&lt;=Summary!$B$2,"PASS","FAIL")))</f>
        <v/>
      </c>
      <c r="U1032" s="8" t="str">
        <f aca="false">IF(T1032="BYPASS",IF(NOT(ISNUMBER(Q1032)),"PreV_ETB missing","End_tr_balance missing"),IF(T1032="FAIL",IF(AND(ISNUMBER(K1032),ISNUMBER(L1032),ABS(L1032-(K1032-IF(ISNUMBER(N1032),N1032,0)-IF(ISNUMBER(O1032),O1032,0)+IF(ISNUMBER(P1032),P1032,0)))&lt;=Summary!$B$2),"Passes using beginning_balance - PreV_ETB differs from beginning_balance",IF(AND(ISNUMBER(O1032),O1032&lt;0,ABS(L1032-(Q1032-IF(ISNUMBER(N1032),N1032,0)+IF(ISNUMBER(P1032),P1032,0)))&lt;=Summary!$B$2),"Negative realized loss not applied - check sign",IF(R1032&lt;0,"Principal paid exceeds prior balance",IF(AND(L1032&gt;Q1032,NOT(ISNUMBER(P1032))),"Balance increased but no Deferred_interest reported",IF(L1032&gt;R1032,"Reported balance higher than expected (missing increase/OC build)","Reported balance lower than expected (missing decrease)"))))),""))</f>
        <v/>
      </c>
    </row>
    <row r="1033" customFormat="false" ht="15" hidden="false" customHeight="false" outlineLevel="0" collapsed="false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9"/>
      <c r="L1033" s="9"/>
      <c r="M1033" s="9"/>
      <c r="N1033" s="9"/>
      <c r="O1033" s="9"/>
      <c r="P1033" s="9"/>
      <c r="Q1033" s="9"/>
      <c r="R1033" s="9" t="str">
        <f aca="false">IF(AND(A1033&lt;&gt;"",ISNUMBER(Q1033),ISNUMBER(L1033)),ROUND(Q1033-IF(ISNUMBER(N1033),N1033,0)-IF(ISNUMBER(O1033),O1033,0)+IF(ISNUMBER(P1033),P1033,0),2),"")</f>
        <v/>
      </c>
      <c r="S1033" s="9" t="str">
        <f aca="false">IF(R1033="","",ROUND(L1033-R1033,2))</f>
        <v/>
      </c>
      <c r="T1033" s="8" t="str">
        <f aca="false">IF(A1033="","",IF(S1033="","BYPASS",IF(ABS(S1033)&lt;=Summary!$B$2,"PASS","FAIL")))</f>
        <v/>
      </c>
      <c r="U1033" s="8" t="str">
        <f aca="false">IF(T1033="BYPASS",IF(NOT(ISNUMBER(Q1033)),"PreV_ETB missing","End_tr_balance missing"),IF(T1033="FAIL",IF(AND(ISNUMBER(K1033),ISNUMBER(L1033),ABS(L1033-(K1033-IF(ISNUMBER(N1033),N1033,0)-IF(ISNUMBER(O1033),O1033,0)+IF(ISNUMBER(P1033),P1033,0)))&lt;=Summary!$B$2),"Passes using beginning_balance - PreV_ETB differs from beginning_balance",IF(AND(ISNUMBER(O1033),O1033&lt;0,ABS(L1033-(Q1033-IF(ISNUMBER(N1033),N1033,0)+IF(ISNUMBER(P1033),P1033,0)))&lt;=Summary!$B$2),"Negative realized loss not applied - check sign",IF(R1033&lt;0,"Principal paid exceeds prior balance",IF(AND(L1033&gt;Q1033,NOT(ISNUMBER(P1033))),"Balance increased but no Deferred_interest reported",IF(L1033&gt;R1033,"Reported balance higher than expected (missing increase/OC build)","Reported balance lower than expected (missing decrease)"))))),""))</f>
        <v/>
      </c>
    </row>
    <row r="1034" customFormat="false" ht="15" hidden="false" customHeight="false" outlineLevel="0" collapsed="false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9"/>
      <c r="L1034" s="9"/>
      <c r="M1034" s="9"/>
      <c r="N1034" s="9"/>
      <c r="O1034" s="9"/>
      <c r="P1034" s="9"/>
      <c r="Q1034" s="9"/>
      <c r="R1034" s="9" t="str">
        <f aca="false">IF(AND(A1034&lt;&gt;"",ISNUMBER(Q1034),ISNUMBER(L1034)),ROUND(Q1034-IF(ISNUMBER(N1034),N1034,0)-IF(ISNUMBER(O1034),O1034,0)+IF(ISNUMBER(P1034),P1034,0),2),"")</f>
        <v/>
      </c>
      <c r="S1034" s="9" t="str">
        <f aca="false">IF(R1034="","",ROUND(L1034-R1034,2))</f>
        <v/>
      </c>
      <c r="T1034" s="8" t="str">
        <f aca="false">IF(A1034="","",IF(S1034="","BYPASS",IF(ABS(S1034)&lt;=Summary!$B$2,"PASS","FAIL")))</f>
        <v/>
      </c>
      <c r="U1034" s="8" t="str">
        <f aca="false">IF(T1034="BYPASS",IF(NOT(ISNUMBER(Q1034)),"PreV_ETB missing","End_tr_balance missing"),IF(T1034="FAIL",IF(AND(ISNUMBER(K1034),ISNUMBER(L1034),ABS(L1034-(K1034-IF(ISNUMBER(N1034),N1034,0)-IF(ISNUMBER(O1034),O1034,0)+IF(ISNUMBER(P1034),P1034,0)))&lt;=Summary!$B$2),"Passes using beginning_balance - PreV_ETB differs from beginning_balance",IF(AND(ISNUMBER(O1034),O1034&lt;0,ABS(L1034-(Q1034-IF(ISNUMBER(N1034),N1034,0)+IF(ISNUMBER(P1034),P1034,0)))&lt;=Summary!$B$2),"Negative realized loss not applied - check sign",IF(R1034&lt;0,"Principal paid exceeds prior balance",IF(AND(L1034&gt;Q1034,NOT(ISNUMBER(P1034))),"Balance increased but no Deferred_interest reported",IF(L1034&gt;R1034,"Reported balance higher than expected (missing increase/OC build)","Reported balance lower than expected (missing decrease)"))))),""))</f>
        <v/>
      </c>
    </row>
    <row r="1035" customFormat="false" ht="15" hidden="false" customHeight="false" outlineLevel="0" collapsed="false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9"/>
      <c r="L1035" s="9"/>
      <c r="M1035" s="9"/>
      <c r="N1035" s="9"/>
      <c r="O1035" s="9"/>
      <c r="P1035" s="9"/>
      <c r="Q1035" s="9"/>
      <c r="R1035" s="9" t="str">
        <f aca="false">IF(AND(A1035&lt;&gt;"",ISNUMBER(Q1035),ISNUMBER(L1035)),ROUND(Q1035-IF(ISNUMBER(N1035),N1035,0)-IF(ISNUMBER(O1035),O1035,0)+IF(ISNUMBER(P1035),P1035,0),2),"")</f>
        <v/>
      </c>
      <c r="S1035" s="9" t="str">
        <f aca="false">IF(R1035="","",ROUND(L1035-R1035,2))</f>
        <v/>
      </c>
      <c r="T1035" s="8" t="str">
        <f aca="false">IF(A1035="","",IF(S1035="","BYPASS",IF(ABS(S1035)&lt;=Summary!$B$2,"PASS","FAIL")))</f>
        <v/>
      </c>
      <c r="U1035" s="8" t="str">
        <f aca="false">IF(T1035="BYPASS",IF(NOT(ISNUMBER(Q1035)),"PreV_ETB missing","End_tr_balance missing"),IF(T1035="FAIL",IF(AND(ISNUMBER(K1035),ISNUMBER(L1035),ABS(L1035-(K1035-IF(ISNUMBER(N1035),N1035,0)-IF(ISNUMBER(O1035),O1035,0)+IF(ISNUMBER(P1035),P1035,0)))&lt;=Summary!$B$2),"Passes using beginning_balance - PreV_ETB differs from beginning_balance",IF(AND(ISNUMBER(O1035),O1035&lt;0,ABS(L1035-(Q1035-IF(ISNUMBER(N1035),N1035,0)+IF(ISNUMBER(P1035),P1035,0)))&lt;=Summary!$B$2),"Negative realized loss not applied - check sign",IF(R1035&lt;0,"Principal paid exceeds prior balance",IF(AND(L1035&gt;Q1035,NOT(ISNUMBER(P1035))),"Balance increased but no Deferred_interest reported",IF(L1035&gt;R1035,"Reported balance higher than expected (missing increase/OC build)","Reported balance lower than expected (missing decrease)"))))),""))</f>
        <v/>
      </c>
    </row>
    <row r="1036" customFormat="false" ht="15" hidden="false" customHeight="false" outlineLevel="0" collapsed="false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9"/>
      <c r="L1036" s="9"/>
      <c r="M1036" s="9"/>
      <c r="N1036" s="9"/>
      <c r="O1036" s="9"/>
      <c r="P1036" s="9"/>
      <c r="Q1036" s="9"/>
      <c r="R1036" s="9" t="str">
        <f aca="false">IF(AND(A1036&lt;&gt;"",ISNUMBER(Q1036),ISNUMBER(L1036)),ROUND(Q1036-IF(ISNUMBER(N1036),N1036,0)-IF(ISNUMBER(O1036),O1036,0)+IF(ISNUMBER(P1036),P1036,0),2),"")</f>
        <v/>
      </c>
      <c r="S1036" s="9" t="str">
        <f aca="false">IF(R1036="","",ROUND(L1036-R1036,2))</f>
        <v/>
      </c>
      <c r="T1036" s="8" t="str">
        <f aca="false">IF(A1036="","",IF(S1036="","BYPASS",IF(ABS(S1036)&lt;=Summary!$B$2,"PASS","FAIL")))</f>
        <v/>
      </c>
      <c r="U1036" s="8" t="str">
        <f aca="false">IF(T1036="BYPASS",IF(NOT(ISNUMBER(Q1036)),"PreV_ETB missing","End_tr_balance missing"),IF(T1036="FAIL",IF(AND(ISNUMBER(K1036),ISNUMBER(L1036),ABS(L1036-(K1036-IF(ISNUMBER(N1036),N1036,0)-IF(ISNUMBER(O1036),O1036,0)+IF(ISNUMBER(P1036),P1036,0)))&lt;=Summary!$B$2),"Passes using beginning_balance - PreV_ETB differs from beginning_balance",IF(AND(ISNUMBER(O1036),O1036&lt;0,ABS(L1036-(Q1036-IF(ISNUMBER(N1036),N1036,0)+IF(ISNUMBER(P1036),P1036,0)))&lt;=Summary!$B$2),"Negative realized loss not applied - check sign",IF(R1036&lt;0,"Principal paid exceeds prior balance",IF(AND(L1036&gt;Q1036,NOT(ISNUMBER(P1036))),"Balance increased but no Deferred_interest reported",IF(L1036&gt;R1036,"Reported balance higher than expected (missing increase/OC build)","Reported balance lower than expected (missing decrease)"))))),""))</f>
        <v/>
      </c>
    </row>
    <row r="1037" customFormat="false" ht="15" hidden="false" customHeight="false" outlineLevel="0" collapsed="false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9"/>
      <c r="L1037" s="9"/>
      <c r="M1037" s="9"/>
      <c r="N1037" s="9"/>
      <c r="O1037" s="9"/>
      <c r="P1037" s="9"/>
      <c r="Q1037" s="9"/>
      <c r="R1037" s="9" t="str">
        <f aca="false">IF(AND(A1037&lt;&gt;"",ISNUMBER(Q1037),ISNUMBER(L1037)),ROUND(Q1037-IF(ISNUMBER(N1037),N1037,0)-IF(ISNUMBER(O1037),O1037,0)+IF(ISNUMBER(P1037),P1037,0),2),"")</f>
        <v/>
      </c>
      <c r="S1037" s="9" t="str">
        <f aca="false">IF(R1037="","",ROUND(L1037-R1037,2))</f>
        <v/>
      </c>
      <c r="T1037" s="8" t="str">
        <f aca="false">IF(A1037="","",IF(S1037="","BYPASS",IF(ABS(S1037)&lt;=Summary!$B$2,"PASS","FAIL")))</f>
        <v/>
      </c>
      <c r="U1037" s="8" t="str">
        <f aca="false">IF(T1037="BYPASS",IF(NOT(ISNUMBER(Q1037)),"PreV_ETB missing","End_tr_balance missing"),IF(T1037="FAIL",IF(AND(ISNUMBER(K1037),ISNUMBER(L1037),ABS(L1037-(K1037-IF(ISNUMBER(N1037),N1037,0)-IF(ISNUMBER(O1037),O1037,0)+IF(ISNUMBER(P1037),P1037,0)))&lt;=Summary!$B$2),"Passes using beginning_balance - PreV_ETB differs from beginning_balance",IF(AND(ISNUMBER(O1037),O1037&lt;0,ABS(L1037-(Q1037-IF(ISNUMBER(N1037),N1037,0)+IF(ISNUMBER(P1037),P1037,0)))&lt;=Summary!$B$2),"Negative realized loss not applied - check sign",IF(R1037&lt;0,"Principal paid exceeds prior balance",IF(AND(L1037&gt;Q1037,NOT(ISNUMBER(P1037))),"Balance increased but no Deferred_interest reported",IF(L1037&gt;R1037,"Reported balance higher than expected (missing increase/OC build)","Reported balance lower than expected (missing decrease)"))))),""))</f>
        <v/>
      </c>
    </row>
    <row r="1038" customFormat="false" ht="15" hidden="false" customHeight="false" outlineLevel="0" collapsed="false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9"/>
      <c r="L1038" s="9"/>
      <c r="M1038" s="9"/>
      <c r="N1038" s="9"/>
      <c r="O1038" s="9"/>
      <c r="P1038" s="9"/>
      <c r="Q1038" s="9"/>
      <c r="R1038" s="9" t="str">
        <f aca="false">IF(AND(A1038&lt;&gt;"",ISNUMBER(Q1038),ISNUMBER(L1038)),ROUND(Q1038-IF(ISNUMBER(N1038),N1038,0)-IF(ISNUMBER(O1038),O1038,0)+IF(ISNUMBER(P1038),P1038,0),2),"")</f>
        <v/>
      </c>
      <c r="S1038" s="9" t="str">
        <f aca="false">IF(R1038="","",ROUND(L1038-R1038,2))</f>
        <v/>
      </c>
      <c r="T1038" s="8" t="str">
        <f aca="false">IF(A1038="","",IF(S1038="","BYPASS",IF(ABS(S1038)&lt;=Summary!$B$2,"PASS","FAIL")))</f>
        <v/>
      </c>
      <c r="U1038" s="8" t="str">
        <f aca="false">IF(T1038="BYPASS",IF(NOT(ISNUMBER(Q1038)),"PreV_ETB missing","End_tr_balance missing"),IF(T1038="FAIL",IF(AND(ISNUMBER(K1038),ISNUMBER(L1038),ABS(L1038-(K1038-IF(ISNUMBER(N1038),N1038,0)-IF(ISNUMBER(O1038),O1038,0)+IF(ISNUMBER(P1038),P1038,0)))&lt;=Summary!$B$2),"Passes using beginning_balance - PreV_ETB differs from beginning_balance",IF(AND(ISNUMBER(O1038),O1038&lt;0,ABS(L1038-(Q1038-IF(ISNUMBER(N1038),N1038,0)+IF(ISNUMBER(P1038),P1038,0)))&lt;=Summary!$B$2),"Negative realized loss not applied - check sign",IF(R1038&lt;0,"Principal paid exceeds prior balance",IF(AND(L1038&gt;Q1038,NOT(ISNUMBER(P1038))),"Balance increased but no Deferred_interest reported",IF(L1038&gt;R1038,"Reported balance higher than expected (missing increase/OC build)","Reported balance lower than expected (missing decrease)"))))),""))</f>
        <v/>
      </c>
    </row>
    <row r="1039" customFormat="false" ht="15" hidden="false" customHeight="false" outlineLevel="0" collapsed="false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9"/>
      <c r="L1039" s="9"/>
      <c r="M1039" s="9"/>
      <c r="N1039" s="9"/>
      <c r="O1039" s="9"/>
      <c r="P1039" s="9"/>
      <c r="Q1039" s="9"/>
      <c r="R1039" s="9" t="str">
        <f aca="false">IF(AND(A1039&lt;&gt;"",ISNUMBER(Q1039),ISNUMBER(L1039)),ROUND(Q1039-IF(ISNUMBER(N1039),N1039,0)-IF(ISNUMBER(O1039),O1039,0)+IF(ISNUMBER(P1039),P1039,0),2),"")</f>
        <v/>
      </c>
      <c r="S1039" s="9" t="str">
        <f aca="false">IF(R1039="","",ROUND(L1039-R1039,2))</f>
        <v/>
      </c>
      <c r="T1039" s="8" t="str">
        <f aca="false">IF(A1039="","",IF(S1039="","BYPASS",IF(ABS(S1039)&lt;=Summary!$B$2,"PASS","FAIL")))</f>
        <v/>
      </c>
      <c r="U1039" s="8" t="str">
        <f aca="false">IF(T1039="BYPASS",IF(NOT(ISNUMBER(Q1039)),"PreV_ETB missing","End_tr_balance missing"),IF(T1039="FAIL",IF(AND(ISNUMBER(K1039),ISNUMBER(L1039),ABS(L1039-(K1039-IF(ISNUMBER(N1039),N1039,0)-IF(ISNUMBER(O1039),O1039,0)+IF(ISNUMBER(P1039),P1039,0)))&lt;=Summary!$B$2),"Passes using beginning_balance - PreV_ETB differs from beginning_balance",IF(AND(ISNUMBER(O1039),O1039&lt;0,ABS(L1039-(Q1039-IF(ISNUMBER(N1039),N1039,0)+IF(ISNUMBER(P1039),P1039,0)))&lt;=Summary!$B$2),"Negative realized loss not applied - check sign",IF(R1039&lt;0,"Principal paid exceeds prior balance",IF(AND(L1039&gt;Q1039,NOT(ISNUMBER(P1039))),"Balance increased but no Deferred_interest reported",IF(L1039&gt;R1039,"Reported balance higher than expected (missing increase/OC build)","Reported balance lower than expected (missing decrease)"))))),""))</f>
        <v/>
      </c>
    </row>
    <row r="1040" customFormat="false" ht="15" hidden="false" customHeight="false" outlineLevel="0" collapsed="false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9"/>
      <c r="L1040" s="9"/>
      <c r="M1040" s="9"/>
      <c r="N1040" s="9"/>
      <c r="O1040" s="9"/>
      <c r="P1040" s="9"/>
      <c r="Q1040" s="9"/>
      <c r="R1040" s="9" t="str">
        <f aca="false">IF(AND(A1040&lt;&gt;"",ISNUMBER(Q1040),ISNUMBER(L1040)),ROUND(Q1040-IF(ISNUMBER(N1040),N1040,0)-IF(ISNUMBER(O1040),O1040,0)+IF(ISNUMBER(P1040),P1040,0),2),"")</f>
        <v/>
      </c>
      <c r="S1040" s="9" t="str">
        <f aca="false">IF(R1040="","",ROUND(L1040-R1040,2))</f>
        <v/>
      </c>
      <c r="T1040" s="8" t="str">
        <f aca="false">IF(A1040="","",IF(S1040="","BYPASS",IF(ABS(S1040)&lt;=Summary!$B$2,"PASS","FAIL")))</f>
        <v/>
      </c>
      <c r="U1040" s="8" t="str">
        <f aca="false">IF(T1040="BYPASS",IF(NOT(ISNUMBER(Q1040)),"PreV_ETB missing","End_tr_balance missing"),IF(T1040="FAIL",IF(AND(ISNUMBER(K1040),ISNUMBER(L1040),ABS(L1040-(K1040-IF(ISNUMBER(N1040),N1040,0)-IF(ISNUMBER(O1040),O1040,0)+IF(ISNUMBER(P1040),P1040,0)))&lt;=Summary!$B$2),"Passes using beginning_balance - PreV_ETB differs from beginning_balance",IF(AND(ISNUMBER(O1040),O1040&lt;0,ABS(L1040-(Q1040-IF(ISNUMBER(N1040),N1040,0)+IF(ISNUMBER(P1040),P1040,0)))&lt;=Summary!$B$2),"Negative realized loss not applied - check sign",IF(R1040&lt;0,"Principal paid exceeds prior balance",IF(AND(L1040&gt;Q1040,NOT(ISNUMBER(P1040))),"Balance increased but no Deferred_interest reported",IF(L1040&gt;R1040,"Reported balance higher than expected (missing increase/OC build)","Reported balance lower than expected (missing decrease)"))))),""))</f>
        <v/>
      </c>
    </row>
    <row r="1041" customFormat="false" ht="15" hidden="false" customHeight="false" outlineLevel="0" collapsed="false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9"/>
      <c r="L1041" s="9"/>
      <c r="M1041" s="9"/>
      <c r="N1041" s="9"/>
      <c r="O1041" s="9"/>
      <c r="P1041" s="9"/>
      <c r="Q1041" s="9"/>
      <c r="R1041" s="9" t="str">
        <f aca="false">IF(AND(A1041&lt;&gt;"",ISNUMBER(Q1041),ISNUMBER(L1041)),ROUND(Q1041-IF(ISNUMBER(N1041),N1041,0)-IF(ISNUMBER(O1041),O1041,0)+IF(ISNUMBER(P1041),P1041,0),2),"")</f>
        <v/>
      </c>
      <c r="S1041" s="9" t="str">
        <f aca="false">IF(R1041="","",ROUND(L1041-R1041,2))</f>
        <v/>
      </c>
      <c r="T1041" s="8" t="str">
        <f aca="false">IF(A1041="","",IF(S1041="","BYPASS",IF(ABS(S1041)&lt;=Summary!$B$2,"PASS","FAIL")))</f>
        <v/>
      </c>
      <c r="U1041" s="8" t="str">
        <f aca="false">IF(T1041="BYPASS",IF(NOT(ISNUMBER(Q1041)),"PreV_ETB missing","End_tr_balance missing"),IF(T1041="FAIL",IF(AND(ISNUMBER(K1041),ISNUMBER(L1041),ABS(L1041-(K1041-IF(ISNUMBER(N1041),N1041,0)-IF(ISNUMBER(O1041),O1041,0)+IF(ISNUMBER(P1041),P1041,0)))&lt;=Summary!$B$2),"Passes using beginning_balance - PreV_ETB differs from beginning_balance",IF(AND(ISNUMBER(O1041),O1041&lt;0,ABS(L1041-(Q1041-IF(ISNUMBER(N1041),N1041,0)+IF(ISNUMBER(P1041),P1041,0)))&lt;=Summary!$B$2),"Negative realized loss not applied - check sign",IF(R1041&lt;0,"Principal paid exceeds prior balance",IF(AND(L1041&gt;Q1041,NOT(ISNUMBER(P1041))),"Balance increased but no Deferred_interest reported",IF(L1041&gt;R1041,"Reported balance higher than expected (missing increase/OC build)","Reported balance lower than expected (missing decrease)"))))),""))</f>
        <v/>
      </c>
    </row>
    <row r="1042" customFormat="false" ht="15" hidden="false" customHeight="false" outlineLevel="0" collapsed="false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9"/>
      <c r="L1042" s="9"/>
      <c r="M1042" s="9"/>
      <c r="N1042" s="9"/>
      <c r="O1042" s="9"/>
      <c r="P1042" s="9"/>
      <c r="Q1042" s="9"/>
      <c r="R1042" s="9" t="str">
        <f aca="false">IF(AND(A1042&lt;&gt;"",ISNUMBER(Q1042),ISNUMBER(L1042)),ROUND(Q1042-IF(ISNUMBER(N1042),N1042,0)-IF(ISNUMBER(O1042),O1042,0)+IF(ISNUMBER(P1042),P1042,0),2),"")</f>
        <v/>
      </c>
      <c r="S1042" s="9" t="str">
        <f aca="false">IF(R1042="","",ROUND(L1042-R1042,2))</f>
        <v/>
      </c>
      <c r="T1042" s="8" t="str">
        <f aca="false">IF(A1042="","",IF(S1042="","BYPASS",IF(ABS(S1042)&lt;=Summary!$B$2,"PASS","FAIL")))</f>
        <v/>
      </c>
      <c r="U1042" s="8" t="str">
        <f aca="false">IF(T1042="BYPASS",IF(NOT(ISNUMBER(Q1042)),"PreV_ETB missing","End_tr_balance missing"),IF(T1042="FAIL",IF(AND(ISNUMBER(K1042),ISNUMBER(L1042),ABS(L1042-(K1042-IF(ISNUMBER(N1042),N1042,0)-IF(ISNUMBER(O1042),O1042,0)+IF(ISNUMBER(P1042),P1042,0)))&lt;=Summary!$B$2),"Passes using beginning_balance - PreV_ETB differs from beginning_balance",IF(AND(ISNUMBER(O1042),O1042&lt;0,ABS(L1042-(Q1042-IF(ISNUMBER(N1042),N1042,0)+IF(ISNUMBER(P1042),P1042,0)))&lt;=Summary!$B$2),"Negative realized loss not applied - check sign",IF(R1042&lt;0,"Principal paid exceeds prior balance",IF(AND(L1042&gt;Q1042,NOT(ISNUMBER(P1042))),"Balance increased but no Deferred_interest reported",IF(L1042&gt;R1042,"Reported balance higher than expected (missing increase/OC build)","Reported balance lower than expected (missing decrease)"))))),""))</f>
        <v/>
      </c>
    </row>
    <row r="1043" customFormat="false" ht="15" hidden="false" customHeight="false" outlineLevel="0" collapsed="false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9"/>
      <c r="L1043" s="9"/>
      <c r="M1043" s="9"/>
      <c r="N1043" s="9"/>
      <c r="O1043" s="9"/>
      <c r="P1043" s="9"/>
      <c r="Q1043" s="9"/>
      <c r="R1043" s="9" t="str">
        <f aca="false">IF(AND(A1043&lt;&gt;"",ISNUMBER(Q1043),ISNUMBER(L1043)),ROUND(Q1043-IF(ISNUMBER(N1043),N1043,0)-IF(ISNUMBER(O1043),O1043,0)+IF(ISNUMBER(P1043),P1043,0),2),"")</f>
        <v/>
      </c>
      <c r="S1043" s="9" t="str">
        <f aca="false">IF(R1043="","",ROUND(L1043-R1043,2))</f>
        <v/>
      </c>
      <c r="T1043" s="8" t="str">
        <f aca="false">IF(A1043="","",IF(S1043="","BYPASS",IF(ABS(S1043)&lt;=Summary!$B$2,"PASS","FAIL")))</f>
        <v/>
      </c>
      <c r="U1043" s="8" t="str">
        <f aca="false">IF(T1043="BYPASS",IF(NOT(ISNUMBER(Q1043)),"PreV_ETB missing","End_tr_balance missing"),IF(T1043="FAIL",IF(AND(ISNUMBER(K1043),ISNUMBER(L1043),ABS(L1043-(K1043-IF(ISNUMBER(N1043),N1043,0)-IF(ISNUMBER(O1043),O1043,0)+IF(ISNUMBER(P1043),P1043,0)))&lt;=Summary!$B$2),"Passes using beginning_balance - PreV_ETB differs from beginning_balance",IF(AND(ISNUMBER(O1043),O1043&lt;0,ABS(L1043-(Q1043-IF(ISNUMBER(N1043),N1043,0)+IF(ISNUMBER(P1043),P1043,0)))&lt;=Summary!$B$2),"Negative realized loss not applied - check sign",IF(R1043&lt;0,"Principal paid exceeds prior balance",IF(AND(L1043&gt;Q1043,NOT(ISNUMBER(P1043))),"Balance increased but no Deferred_interest reported",IF(L1043&gt;R1043,"Reported balance higher than expected (missing increase/OC build)","Reported balance lower than expected (missing decrease)"))))),""))</f>
        <v/>
      </c>
    </row>
    <row r="1044" customFormat="false" ht="15" hidden="false" customHeight="false" outlineLevel="0" collapsed="false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9"/>
      <c r="L1044" s="9"/>
      <c r="M1044" s="9"/>
      <c r="N1044" s="9"/>
      <c r="O1044" s="9"/>
      <c r="P1044" s="9"/>
      <c r="Q1044" s="9"/>
      <c r="R1044" s="9" t="str">
        <f aca="false">IF(AND(A1044&lt;&gt;"",ISNUMBER(Q1044),ISNUMBER(L1044)),ROUND(Q1044-IF(ISNUMBER(N1044),N1044,0)-IF(ISNUMBER(O1044),O1044,0)+IF(ISNUMBER(P1044),P1044,0),2),"")</f>
        <v/>
      </c>
      <c r="S1044" s="9" t="str">
        <f aca="false">IF(R1044="","",ROUND(L1044-R1044,2))</f>
        <v/>
      </c>
      <c r="T1044" s="8" t="str">
        <f aca="false">IF(A1044="","",IF(S1044="","BYPASS",IF(ABS(S1044)&lt;=Summary!$B$2,"PASS","FAIL")))</f>
        <v/>
      </c>
      <c r="U1044" s="8" t="str">
        <f aca="false">IF(T1044="BYPASS",IF(NOT(ISNUMBER(Q1044)),"PreV_ETB missing","End_tr_balance missing"),IF(T1044="FAIL",IF(AND(ISNUMBER(K1044),ISNUMBER(L1044),ABS(L1044-(K1044-IF(ISNUMBER(N1044),N1044,0)-IF(ISNUMBER(O1044),O1044,0)+IF(ISNUMBER(P1044),P1044,0)))&lt;=Summary!$B$2),"Passes using beginning_balance - PreV_ETB differs from beginning_balance",IF(AND(ISNUMBER(O1044),O1044&lt;0,ABS(L1044-(Q1044-IF(ISNUMBER(N1044),N1044,0)+IF(ISNUMBER(P1044),P1044,0)))&lt;=Summary!$B$2),"Negative realized loss not applied - check sign",IF(R1044&lt;0,"Principal paid exceeds prior balance",IF(AND(L1044&gt;Q1044,NOT(ISNUMBER(P1044))),"Balance increased but no Deferred_interest reported",IF(L1044&gt;R1044,"Reported balance higher than expected (missing increase/OC build)","Reported balance lower than expected (missing decrease)"))))),""))</f>
        <v/>
      </c>
    </row>
    <row r="1045" customFormat="false" ht="15" hidden="false" customHeight="false" outlineLevel="0" collapsed="false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9"/>
      <c r="L1045" s="9"/>
      <c r="M1045" s="9"/>
      <c r="N1045" s="9"/>
      <c r="O1045" s="9"/>
      <c r="P1045" s="9"/>
      <c r="Q1045" s="9"/>
      <c r="R1045" s="9" t="str">
        <f aca="false">IF(AND(A1045&lt;&gt;"",ISNUMBER(Q1045),ISNUMBER(L1045)),ROUND(Q1045-IF(ISNUMBER(N1045),N1045,0)-IF(ISNUMBER(O1045),O1045,0)+IF(ISNUMBER(P1045),P1045,0),2),"")</f>
        <v/>
      </c>
      <c r="S1045" s="9" t="str">
        <f aca="false">IF(R1045="","",ROUND(L1045-R1045,2))</f>
        <v/>
      </c>
      <c r="T1045" s="8" t="str">
        <f aca="false">IF(A1045="","",IF(S1045="","BYPASS",IF(ABS(S1045)&lt;=Summary!$B$2,"PASS","FAIL")))</f>
        <v/>
      </c>
      <c r="U1045" s="8" t="str">
        <f aca="false">IF(T1045="BYPASS",IF(NOT(ISNUMBER(Q1045)),"PreV_ETB missing","End_tr_balance missing"),IF(T1045="FAIL",IF(AND(ISNUMBER(K1045),ISNUMBER(L1045),ABS(L1045-(K1045-IF(ISNUMBER(N1045),N1045,0)-IF(ISNUMBER(O1045),O1045,0)+IF(ISNUMBER(P1045),P1045,0)))&lt;=Summary!$B$2),"Passes using beginning_balance - PreV_ETB differs from beginning_balance",IF(AND(ISNUMBER(O1045),O1045&lt;0,ABS(L1045-(Q1045-IF(ISNUMBER(N1045),N1045,0)+IF(ISNUMBER(P1045),P1045,0)))&lt;=Summary!$B$2),"Negative realized loss not applied - check sign",IF(R1045&lt;0,"Principal paid exceeds prior balance",IF(AND(L1045&gt;Q1045,NOT(ISNUMBER(P1045))),"Balance increased but no Deferred_interest reported",IF(L1045&gt;R1045,"Reported balance higher than expected (missing increase/OC build)","Reported balance lower than expected (missing decrease)"))))),""))</f>
        <v/>
      </c>
    </row>
    <row r="1046" customFormat="false" ht="15" hidden="false" customHeight="false" outlineLevel="0" collapsed="false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9"/>
      <c r="L1046" s="9"/>
      <c r="M1046" s="9"/>
      <c r="N1046" s="9"/>
      <c r="O1046" s="9"/>
      <c r="P1046" s="9"/>
      <c r="Q1046" s="9"/>
      <c r="R1046" s="9" t="str">
        <f aca="false">IF(AND(A1046&lt;&gt;"",ISNUMBER(Q1046),ISNUMBER(L1046)),ROUND(Q1046-IF(ISNUMBER(N1046),N1046,0)-IF(ISNUMBER(O1046),O1046,0)+IF(ISNUMBER(P1046),P1046,0),2),"")</f>
        <v/>
      </c>
      <c r="S1046" s="9" t="str">
        <f aca="false">IF(R1046="","",ROUND(L1046-R1046,2))</f>
        <v/>
      </c>
      <c r="T1046" s="8" t="str">
        <f aca="false">IF(A1046="","",IF(S1046="","BYPASS",IF(ABS(S1046)&lt;=Summary!$B$2,"PASS","FAIL")))</f>
        <v/>
      </c>
      <c r="U1046" s="8" t="str">
        <f aca="false">IF(T1046="BYPASS",IF(NOT(ISNUMBER(Q1046)),"PreV_ETB missing","End_tr_balance missing"),IF(T1046="FAIL",IF(AND(ISNUMBER(K1046),ISNUMBER(L1046),ABS(L1046-(K1046-IF(ISNUMBER(N1046),N1046,0)-IF(ISNUMBER(O1046),O1046,0)+IF(ISNUMBER(P1046),P1046,0)))&lt;=Summary!$B$2),"Passes using beginning_balance - PreV_ETB differs from beginning_balance",IF(AND(ISNUMBER(O1046),O1046&lt;0,ABS(L1046-(Q1046-IF(ISNUMBER(N1046),N1046,0)+IF(ISNUMBER(P1046),P1046,0)))&lt;=Summary!$B$2),"Negative realized loss not applied - check sign",IF(R1046&lt;0,"Principal paid exceeds prior balance",IF(AND(L1046&gt;Q1046,NOT(ISNUMBER(P1046))),"Balance increased but no Deferred_interest reported",IF(L1046&gt;R1046,"Reported balance higher than expected (missing increase/OC build)","Reported balance lower than expected (missing decrease)"))))),""))</f>
        <v/>
      </c>
    </row>
    <row r="1047" customFormat="false" ht="15" hidden="false" customHeight="false" outlineLevel="0" collapsed="false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9"/>
      <c r="L1047" s="9"/>
      <c r="M1047" s="9"/>
      <c r="N1047" s="9"/>
      <c r="O1047" s="9"/>
      <c r="P1047" s="9"/>
      <c r="Q1047" s="9"/>
      <c r="R1047" s="9" t="str">
        <f aca="false">IF(AND(A1047&lt;&gt;"",ISNUMBER(Q1047),ISNUMBER(L1047)),ROUND(Q1047-IF(ISNUMBER(N1047),N1047,0)-IF(ISNUMBER(O1047),O1047,0)+IF(ISNUMBER(P1047),P1047,0),2),"")</f>
        <v/>
      </c>
      <c r="S1047" s="9" t="str">
        <f aca="false">IF(R1047="","",ROUND(L1047-R1047,2))</f>
        <v/>
      </c>
      <c r="T1047" s="8" t="str">
        <f aca="false">IF(A1047="","",IF(S1047="","BYPASS",IF(ABS(S1047)&lt;=Summary!$B$2,"PASS","FAIL")))</f>
        <v/>
      </c>
      <c r="U1047" s="8" t="str">
        <f aca="false">IF(T1047="BYPASS",IF(NOT(ISNUMBER(Q1047)),"PreV_ETB missing","End_tr_balance missing"),IF(T1047="FAIL",IF(AND(ISNUMBER(K1047),ISNUMBER(L1047),ABS(L1047-(K1047-IF(ISNUMBER(N1047),N1047,0)-IF(ISNUMBER(O1047),O1047,0)+IF(ISNUMBER(P1047),P1047,0)))&lt;=Summary!$B$2),"Passes using beginning_balance - PreV_ETB differs from beginning_balance",IF(AND(ISNUMBER(O1047),O1047&lt;0,ABS(L1047-(Q1047-IF(ISNUMBER(N1047),N1047,0)+IF(ISNUMBER(P1047),P1047,0)))&lt;=Summary!$B$2),"Negative realized loss not applied - check sign",IF(R1047&lt;0,"Principal paid exceeds prior balance",IF(AND(L1047&gt;Q1047,NOT(ISNUMBER(P1047))),"Balance increased but no Deferred_interest reported",IF(L1047&gt;R1047,"Reported balance higher than expected (missing increase/OC build)","Reported balance lower than expected (missing decrease)"))))),""))</f>
        <v/>
      </c>
    </row>
    <row r="1048" customFormat="false" ht="15" hidden="false" customHeight="false" outlineLevel="0" collapsed="false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9"/>
      <c r="L1048" s="9"/>
      <c r="M1048" s="9"/>
      <c r="N1048" s="9"/>
      <c r="O1048" s="9"/>
      <c r="P1048" s="9"/>
      <c r="Q1048" s="9"/>
      <c r="R1048" s="9" t="str">
        <f aca="false">IF(AND(A1048&lt;&gt;"",ISNUMBER(Q1048),ISNUMBER(L1048)),ROUND(Q1048-IF(ISNUMBER(N1048),N1048,0)-IF(ISNUMBER(O1048),O1048,0)+IF(ISNUMBER(P1048),P1048,0),2),"")</f>
        <v/>
      </c>
      <c r="S1048" s="9" t="str">
        <f aca="false">IF(R1048="","",ROUND(L1048-R1048,2))</f>
        <v/>
      </c>
      <c r="T1048" s="8" t="str">
        <f aca="false">IF(A1048="","",IF(S1048="","BYPASS",IF(ABS(S1048)&lt;=Summary!$B$2,"PASS","FAIL")))</f>
        <v/>
      </c>
      <c r="U1048" s="8" t="str">
        <f aca="false">IF(T1048="BYPASS",IF(NOT(ISNUMBER(Q1048)),"PreV_ETB missing","End_tr_balance missing"),IF(T1048="FAIL",IF(AND(ISNUMBER(K1048),ISNUMBER(L1048),ABS(L1048-(K1048-IF(ISNUMBER(N1048),N1048,0)-IF(ISNUMBER(O1048),O1048,0)+IF(ISNUMBER(P1048),P1048,0)))&lt;=Summary!$B$2),"Passes using beginning_balance - PreV_ETB differs from beginning_balance",IF(AND(ISNUMBER(O1048),O1048&lt;0,ABS(L1048-(Q1048-IF(ISNUMBER(N1048),N1048,0)+IF(ISNUMBER(P1048),P1048,0)))&lt;=Summary!$B$2),"Negative realized loss not applied - check sign",IF(R1048&lt;0,"Principal paid exceeds prior balance",IF(AND(L1048&gt;Q1048,NOT(ISNUMBER(P1048))),"Balance increased but no Deferred_interest reported",IF(L1048&gt;R1048,"Reported balance higher than expected (missing increase/OC build)","Reported balance lower than expected (missing decrease)"))))),""))</f>
        <v/>
      </c>
    </row>
    <row r="1049" customFormat="false" ht="15" hidden="false" customHeight="false" outlineLevel="0" collapsed="false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9"/>
      <c r="L1049" s="9"/>
      <c r="M1049" s="9"/>
      <c r="N1049" s="9"/>
      <c r="O1049" s="9"/>
      <c r="P1049" s="9"/>
      <c r="Q1049" s="9"/>
      <c r="R1049" s="9" t="str">
        <f aca="false">IF(AND(A1049&lt;&gt;"",ISNUMBER(Q1049),ISNUMBER(L1049)),ROUND(Q1049-IF(ISNUMBER(N1049),N1049,0)-IF(ISNUMBER(O1049),O1049,0)+IF(ISNUMBER(P1049),P1049,0),2),"")</f>
        <v/>
      </c>
      <c r="S1049" s="9" t="str">
        <f aca="false">IF(R1049="","",ROUND(L1049-R1049,2))</f>
        <v/>
      </c>
      <c r="T1049" s="8" t="str">
        <f aca="false">IF(A1049="","",IF(S1049="","BYPASS",IF(ABS(S1049)&lt;=Summary!$B$2,"PASS","FAIL")))</f>
        <v/>
      </c>
      <c r="U1049" s="8" t="str">
        <f aca="false">IF(T1049="BYPASS",IF(NOT(ISNUMBER(Q1049)),"PreV_ETB missing","End_tr_balance missing"),IF(T1049="FAIL",IF(AND(ISNUMBER(K1049),ISNUMBER(L1049),ABS(L1049-(K1049-IF(ISNUMBER(N1049),N1049,0)-IF(ISNUMBER(O1049),O1049,0)+IF(ISNUMBER(P1049),P1049,0)))&lt;=Summary!$B$2),"Passes using beginning_balance - PreV_ETB differs from beginning_balance",IF(AND(ISNUMBER(O1049),O1049&lt;0,ABS(L1049-(Q1049-IF(ISNUMBER(N1049),N1049,0)+IF(ISNUMBER(P1049),P1049,0)))&lt;=Summary!$B$2),"Negative realized loss not applied - check sign",IF(R1049&lt;0,"Principal paid exceeds prior balance",IF(AND(L1049&gt;Q1049,NOT(ISNUMBER(P1049))),"Balance increased but no Deferred_interest reported",IF(L1049&gt;R1049,"Reported balance higher than expected (missing increase/OC build)","Reported balance lower than expected (missing decrease)"))))),""))</f>
        <v/>
      </c>
    </row>
    <row r="1050" customFormat="false" ht="15" hidden="false" customHeight="false" outlineLevel="0" collapsed="false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9"/>
      <c r="L1050" s="9"/>
      <c r="M1050" s="9"/>
      <c r="N1050" s="9"/>
      <c r="O1050" s="9"/>
      <c r="P1050" s="9"/>
      <c r="Q1050" s="9"/>
      <c r="R1050" s="9" t="str">
        <f aca="false">IF(AND(A1050&lt;&gt;"",ISNUMBER(Q1050),ISNUMBER(L1050)),ROUND(Q1050-IF(ISNUMBER(N1050),N1050,0)-IF(ISNUMBER(O1050),O1050,0)+IF(ISNUMBER(P1050),P1050,0),2),"")</f>
        <v/>
      </c>
      <c r="S1050" s="9" t="str">
        <f aca="false">IF(R1050="","",ROUND(L1050-R1050,2))</f>
        <v/>
      </c>
      <c r="T1050" s="8" t="str">
        <f aca="false">IF(A1050="","",IF(S1050="","BYPASS",IF(ABS(S1050)&lt;=Summary!$B$2,"PASS","FAIL")))</f>
        <v/>
      </c>
      <c r="U1050" s="8" t="str">
        <f aca="false">IF(T1050="BYPASS",IF(NOT(ISNUMBER(Q1050)),"PreV_ETB missing","End_tr_balance missing"),IF(T1050="FAIL",IF(AND(ISNUMBER(K1050),ISNUMBER(L1050),ABS(L1050-(K1050-IF(ISNUMBER(N1050),N1050,0)-IF(ISNUMBER(O1050),O1050,0)+IF(ISNUMBER(P1050),P1050,0)))&lt;=Summary!$B$2),"Passes using beginning_balance - PreV_ETB differs from beginning_balance",IF(AND(ISNUMBER(O1050),O1050&lt;0,ABS(L1050-(Q1050-IF(ISNUMBER(N1050),N1050,0)+IF(ISNUMBER(P1050),P1050,0)))&lt;=Summary!$B$2),"Negative realized loss not applied - check sign",IF(R1050&lt;0,"Principal paid exceeds prior balance",IF(AND(L1050&gt;Q1050,NOT(ISNUMBER(P1050))),"Balance increased but no Deferred_interest reported",IF(L1050&gt;R1050,"Reported balance higher than expected (missing increase/OC build)","Reported balance lower than expected (missing decrease)"))))),""))</f>
        <v/>
      </c>
    </row>
    <row r="1051" customFormat="false" ht="15" hidden="false" customHeight="false" outlineLevel="0" collapsed="false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9"/>
      <c r="L1051" s="9"/>
      <c r="M1051" s="9"/>
      <c r="N1051" s="9"/>
      <c r="O1051" s="9"/>
      <c r="P1051" s="9"/>
      <c r="Q1051" s="9"/>
      <c r="R1051" s="9" t="str">
        <f aca="false">IF(AND(A1051&lt;&gt;"",ISNUMBER(Q1051),ISNUMBER(L1051)),ROUND(Q1051-IF(ISNUMBER(N1051),N1051,0)-IF(ISNUMBER(O1051),O1051,0)+IF(ISNUMBER(P1051),P1051,0),2),"")</f>
        <v/>
      </c>
      <c r="S1051" s="9" t="str">
        <f aca="false">IF(R1051="","",ROUND(L1051-R1051,2))</f>
        <v/>
      </c>
      <c r="T1051" s="8" t="str">
        <f aca="false">IF(A1051="","",IF(S1051="","BYPASS",IF(ABS(S1051)&lt;=Summary!$B$2,"PASS","FAIL")))</f>
        <v/>
      </c>
      <c r="U1051" s="8" t="str">
        <f aca="false">IF(T1051="BYPASS",IF(NOT(ISNUMBER(Q1051)),"PreV_ETB missing","End_tr_balance missing"),IF(T1051="FAIL",IF(AND(ISNUMBER(K1051),ISNUMBER(L1051),ABS(L1051-(K1051-IF(ISNUMBER(N1051),N1051,0)-IF(ISNUMBER(O1051),O1051,0)+IF(ISNUMBER(P1051),P1051,0)))&lt;=Summary!$B$2),"Passes using beginning_balance - PreV_ETB differs from beginning_balance",IF(AND(ISNUMBER(O1051),O1051&lt;0,ABS(L1051-(Q1051-IF(ISNUMBER(N1051),N1051,0)+IF(ISNUMBER(P1051),P1051,0)))&lt;=Summary!$B$2),"Negative realized loss not applied - check sign",IF(R1051&lt;0,"Principal paid exceeds prior balance",IF(AND(L1051&gt;Q1051,NOT(ISNUMBER(P1051))),"Balance increased but no Deferred_interest reported",IF(L1051&gt;R1051,"Reported balance higher than expected (missing increase/OC build)","Reported balance lower than expected (missing decrease)"))))),""))</f>
        <v/>
      </c>
    </row>
    <row r="1052" customFormat="false" ht="15" hidden="false" customHeight="false" outlineLevel="0" collapsed="false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9"/>
      <c r="L1052" s="9"/>
      <c r="M1052" s="9"/>
      <c r="N1052" s="9"/>
      <c r="O1052" s="9"/>
      <c r="P1052" s="9"/>
      <c r="Q1052" s="9"/>
      <c r="R1052" s="9" t="str">
        <f aca="false">IF(AND(A1052&lt;&gt;"",ISNUMBER(Q1052),ISNUMBER(L1052)),ROUND(Q1052-IF(ISNUMBER(N1052),N1052,0)-IF(ISNUMBER(O1052),O1052,0)+IF(ISNUMBER(P1052),P1052,0),2),"")</f>
        <v/>
      </c>
      <c r="S1052" s="9" t="str">
        <f aca="false">IF(R1052="","",ROUND(L1052-R1052,2))</f>
        <v/>
      </c>
      <c r="T1052" s="8" t="str">
        <f aca="false">IF(A1052="","",IF(S1052="","BYPASS",IF(ABS(S1052)&lt;=Summary!$B$2,"PASS","FAIL")))</f>
        <v/>
      </c>
      <c r="U1052" s="8" t="str">
        <f aca="false">IF(T1052="BYPASS",IF(NOT(ISNUMBER(Q1052)),"PreV_ETB missing","End_tr_balance missing"),IF(T1052="FAIL",IF(AND(ISNUMBER(K1052),ISNUMBER(L1052),ABS(L1052-(K1052-IF(ISNUMBER(N1052),N1052,0)-IF(ISNUMBER(O1052),O1052,0)+IF(ISNUMBER(P1052),P1052,0)))&lt;=Summary!$B$2),"Passes using beginning_balance - PreV_ETB differs from beginning_balance",IF(AND(ISNUMBER(O1052),O1052&lt;0,ABS(L1052-(Q1052-IF(ISNUMBER(N1052),N1052,0)+IF(ISNUMBER(P1052),P1052,0)))&lt;=Summary!$B$2),"Negative realized loss not applied - check sign",IF(R1052&lt;0,"Principal paid exceeds prior balance",IF(AND(L1052&gt;Q1052,NOT(ISNUMBER(P1052))),"Balance increased but no Deferred_interest reported",IF(L1052&gt;R1052,"Reported balance higher than expected (missing increase/OC build)","Reported balance lower than expected (missing decrease)"))))),""))</f>
        <v/>
      </c>
    </row>
    <row r="1053" customFormat="false" ht="15" hidden="false" customHeight="false" outlineLevel="0" collapsed="false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9"/>
      <c r="L1053" s="9"/>
      <c r="M1053" s="9"/>
      <c r="N1053" s="9"/>
      <c r="O1053" s="9"/>
      <c r="P1053" s="9"/>
      <c r="Q1053" s="9"/>
      <c r="R1053" s="9" t="str">
        <f aca="false">IF(AND(A1053&lt;&gt;"",ISNUMBER(Q1053),ISNUMBER(L1053)),ROUND(Q1053-IF(ISNUMBER(N1053),N1053,0)-IF(ISNUMBER(O1053),O1053,0)+IF(ISNUMBER(P1053),P1053,0),2),"")</f>
        <v/>
      </c>
      <c r="S1053" s="9" t="str">
        <f aca="false">IF(R1053="","",ROUND(L1053-R1053,2))</f>
        <v/>
      </c>
      <c r="T1053" s="8" t="str">
        <f aca="false">IF(A1053="","",IF(S1053="","BYPASS",IF(ABS(S1053)&lt;=Summary!$B$2,"PASS","FAIL")))</f>
        <v/>
      </c>
      <c r="U1053" s="8" t="str">
        <f aca="false">IF(T1053="BYPASS",IF(NOT(ISNUMBER(Q1053)),"PreV_ETB missing","End_tr_balance missing"),IF(T1053="FAIL",IF(AND(ISNUMBER(K1053),ISNUMBER(L1053),ABS(L1053-(K1053-IF(ISNUMBER(N1053),N1053,0)-IF(ISNUMBER(O1053),O1053,0)+IF(ISNUMBER(P1053),P1053,0)))&lt;=Summary!$B$2),"Passes using beginning_balance - PreV_ETB differs from beginning_balance",IF(AND(ISNUMBER(O1053),O1053&lt;0,ABS(L1053-(Q1053-IF(ISNUMBER(N1053),N1053,0)+IF(ISNUMBER(P1053),P1053,0)))&lt;=Summary!$B$2),"Negative realized loss not applied - check sign",IF(R1053&lt;0,"Principal paid exceeds prior balance",IF(AND(L1053&gt;Q1053,NOT(ISNUMBER(P1053))),"Balance increased but no Deferred_interest reported",IF(L1053&gt;R1053,"Reported balance higher than expected (missing increase/OC build)","Reported balance lower than expected (missing decrease)"))))),""))</f>
        <v/>
      </c>
    </row>
    <row r="1054" customFormat="false" ht="15" hidden="false" customHeight="false" outlineLevel="0" collapsed="false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9"/>
      <c r="L1054" s="9"/>
      <c r="M1054" s="9"/>
      <c r="N1054" s="9"/>
      <c r="O1054" s="9"/>
      <c r="P1054" s="9"/>
      <c r="Q1054" s="9"/>
      <c r="R1054" s="9" t="str">
        <f aca="false">IF(AND(A1054&lt;&gt;"",ISNUMBER(Q1054),ISNUMBER(L1054)),ROUND(Q1054-IF(ISNUMBER(N1054),N1054,0)-IF(ISNUMBER(O1054),O1054,0)+IF(ISNUMBER(P1054),P1054,0),2),"")</f>
        <v/>
      </c>
      <c r="S1054" s="9" t="str">
        <f aca="false">IF(R1054="","",ROUND(L1054-R1054,2))</f>
        <v/>
      </c>
      <c r="T1054" s="8" t="str">
        <f aca="false">IF(A1054="","",IF(S1054="","BYPASS",IF(ABS(S1054)&lt;=Summary!$B$2,"PASS","FAIL")))</f>
        <v/>
      </c>
      <c r="U1054" s="8" t="str">
        <f aca="false">IF(T1054="BYPASS",IF(NOT(ISNUMBER(Q1054)),"PreV_ETB missing","End_tr_balance missing"),IF(T1054="FAIL",IF(AND(ISNUMBER(K1054),ISNUMBER(L1054),ABS(L1054-(K1054-IF(ISNUMBER(N1054),N1054,0)-IF(ISNUMBER(O1054),O1054,0)+IF(ISNUMBER(P1054),P1054,0)))&lt;=Summary!$B$2),"Passes using beginning_balance - PreV_ETB differs from beginning_balance",IF(AND(ISNUMBER(O1054),O1054&lt;0,ABS(L1054-(Q1054-IF(ISNUMBER(N1054),N1054,0)+IF(ISNUMBER(P1054),P1054,0)))&lt;=Summary!$B$2),"Negative realized loss not applied - check sign",IF(R1054&lt;0,"Principal paid exceeds prior balance",IF(AND(L1054&gt;Q1054,NOT(ISNUMBER(P1054))),"Balance increased but no Deferred_interest reported",IF(L1054&gt;R1054,"Reported balance higher than expected (missing increase/OC build)","Reported balance lower than expected (missing decrease)"))))),""))</f>
        <v/>
      </c>
    </row>
    <row r="1055" customFormat="false" ht="15" hidden="false" customHeight="false" outlineLevel="0" collapsed="false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9"/>
      <c r="L1055" s="9"/>
      <c r="M1055" s="9"/>
      <c r="N1055" s="9"/>
      <c r="O1055" s="9"/>
      <c r="P1055" s="9"/>
      <c r="Q1055" s="9"/>
      <c r="R1055" s="9" t="str">
        <f aca="false">IF(AND(A1055&lt;&gt;"",ISNUMBER(Q1055),ISNUMBER(L1055)),ROUND(Q1055-IF(ISNUMBER(N1055),N1055,0)-IF(ISNUMBER(O1055),O1055,0)+IF(ISNUMBER(P1055),P1055,0),2),"")</f>
        <v/>
      </c>
      <c r="S1055" s="9" t="str">
        <f aca="false">IF(R1055="","",ROUND(L1055-R1055,2))</f>
        <v/>
      </c>
      <c r="T1055" s="8" t="str">
        <f aca="false">IF(A1055="","",IF(S1055="","BYPASS",IF(ABS(S1055)&lt;=Summary!$B$2,"PASS","FAIL")))</f>
        <v/>
      </c>
      <c r="U1055" s="8" t="str">
        <f aca="false">IF(T1055="BYPASS",IF(NOT(ISNUMBER(Q1055)),"PreV_ETB missing","End_tr_balance missing"),IF(T1055="FAIL",IF(AND(ISNUMBER(K1055),ISNUMBER(L1055),ABS(L1055-(K1055-IF(ISNUMBER(N1055),N1055,0)-IF(ISNUMBER(O1055),O1055,0)+IF(ISNUMBER(P1055),P1055,0)))&lt;=Summary!$B$2),"Passes using beginning_balance - PreV_ETB differs from beginning_balance",IF(AND(ISNUMBER(O1055),O1055&lt;0,ABS(L1055-(Q1055-IF(ISNUMBER(N1055),N1055,0)+IF(ISNUMBER(P1055),P1055,0)))&lt;=Summary!$B$2),"Negative realized loss not applied - check sign",IF(R1055&lt;0,"Principal paid exceeds prior balance",IF(AND(L1055&gt;Q1055,NOT(ISNUMBER(P1055))),"Balance increased but no Deferred_interest reported",IF(L1055&gt;R1055,"Reported balance higher than expected (missing increase/OC build)","Reported balance lower than expected (missing decrease)"))))),""))</f>
        <v/>
      </c>
    </row>
    <row r="1056" customFormat="false" ht="15" hidden="false" customHeight="false" outlineLevel="0" collapsed="false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9"/>
      <c r="L1056" s="9"/>
      <c r="M1056" s="9"/>
      <c r="N1056" s="9"/>
      <c r="O1056" s="9"/>
      <c r="P1056" s="9"/>
      <c r="Q1056" s="9"/>
      <c r="R1056" s="9" t="str">
        <f aca="false">IF(AND(A1056&lt;&gt;"",ISNUMBER(Q1056),ISNUMBER(L1056)),ROUND(Q1056-IF(ISNUMBER(N1056),N1056,0)-IF(ISNUMBER(O1056),O1056,0)+IF(ISNUMBER(P1056),P1056,0),2),"")</f>
        <v/>
      </c>
      <c r="S1056" s="9" t="str">
        <f aca="false">IF(R1056="","",ROUND(L1056-R1056,2))</f>
        <v/>
      </c>
      <c r="T1056" s="8" t="str">
        <f aca="false">IF(A1056="","",IF(S1056="","BYPASS",IF(ABS(S1056)&lt;=Summary!$B$2,"PASS","FAIL")))</f>
        <v/>
      </c>
      <c r="U1056" s="8" t="str">
        <f aca="false">IF(T1056="BYPASS",IF(NOT(ISNUMBER(Q1056)),"PreV_ETB missing","End_tr_balance missing"),IF(T1056="FAIL",IF(AND(ISNUMBER(K1056),ISNUMBER(L1056),ABS(L1056-(K1056-IF(ISNUMBER(N1056),N1056,0)-IF(ISNUMBER(O1056),O1056,0)+IF(ISNUMBER(P1056),P1056,0)))&lt;=Summary!$B$2),"Passes using beginning_balance - PreV_ETB differs from beginning_balance",IF(AND(ISNUMBER(O1056),O1056&lt;0,ABS(L1056-(Q1056-IF(ISNUMBER(N1056),N1056,0)+IF(ISNUMBER(P1056),P1056,0)))&lt;=Summary!$B$2),"Negative realized loss not applied - check sign",IF(R1056&lt;0,"Principal paid exceeds prior balance",IF(AND(L1056&gt;Q1056,NOT(ISNUMBER(P1056))),"Balance increased but no Deferred_interest reported",IF(L1056&gt;R1056,"Reported balance higher than expected (missing increase/OC build)","Reported balance lower than expected (missing decrease)"))))),""))</f>
        <v/>
      </c>
    </row>
    <row r="1057" customFormat="false" ht="15" hidden="false" customHeight="false" outlineLevel="0" collapsed="false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9"/>
      <c r="L1057" s="9"/>
      <c r="M1057" s="9"/>
      <c r="N1057" s="9"/>
      <c r="O1057" s="9"/>
      <c r="P1057" s="9"/>
      <c r="Q1057" s="9"/>
      <c r="R1057" s="9" t="str">
        <f aca="false">IF(AND(A1057&lt;&gt;"",ISNUMBER(Q1057),ISNUMBER(L1057)),ROUND(Q1057-IF(ISNUMBER(N1057),N1057,0)-IF(ISNUMBER(O1057),O1057,0)+IF(ISNUMBER(P1057),P1057,0),2),"")</f>
        <v/>
      </c>
      <c r="S1057" s="9" t="str">
        <f aca="false">IF(R1057="","",ROUND(L1057-R1057,2))</f>
        <v/>
      </c>
      <c r="T1057" s="8" t="str">
        <f aca="false">IF(A1057="","",IF(S1057="","BYPASS",IF(ABS(S1057)&lt;=Summary!$B$2,"PASS","FAIL")))</f>
        <v/>
      </c>
      <c r="U1057" s="8" t="str">
        <f aca="false">IF(T1057="BYPASS",IF(NOT(ISNUMBER(Q1057)),"PreV_ETB missing","End_tr_balance missing"),IF(T1057="FAIL",IF(AND(ISNUMBER(K1057),ISNUMBER(L1057),ABS(L1057-(K1057-IF(ISNUMBER(N1057),N1057,0)-IF(ISNUMBER(O1057),O1057,0)+IF(ISNUMBER(P1057),P1057,0)))&lt;=Summary!$B$2),"Passes using beginning_balance - PreV_ETB differs from beginning_balance",IF(AND(ISNUMBER(O1057),O1057&lt;0,ABS(L1057-(Q1057-IF(ISNUMBER(N1057),N1057,0)+IF(ISNUMBER(P1057),P1057,0)))&lt;=Summary!$B$2),"Negative realized loss not applied - check sign",IF(R1057&lt;0,"Principal paid exceeds prior balance",IF(AND(L1057&gt;Q1057,NOT(ISNUMBER(P1057))),"Balance increased but no Deferred_interest reported",IF(L1057&gt;R1057,"Reported balance higher than expected (missing increase/OC build)","Reported balance lower than expected (missing decrease)"))))),""))</f>
        <v/>
      </c>
    </row>
    <row r="1058" customFormat="false" ht="15" hidden="false" customHeight="false" outlineLevel="0" collapsed="false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9"/>
      <c r="L1058" s="9"/>
      <c r="M1058" s="9"/>
      <c r="N1058" s="9"/>
      <c r="O1058" s="9"/>
      <c r="P1058" s="9"/>
      <c r="Q1058" s="9"/>
      <c r="R1058" s="9" t="str">
        <f aca="false">IF(AND(A1058&lt;&gt;"",ISNUMBER(Q1058),ISNUMBER(L1058)),ROUND(Q1058-IF(ISNUMBER(N1058),N1058,0)-IF(ISNUMBER(O1058),O1058,0)+IF(ISNUMBER(P1058),P1058,0),2),"")</f>
        <v/>
      </c>
      <c r="S1058" s="9" t="str">
        <f aca="false">IF(R1058="","",ROUND(L1058-R1058,2))</f>
        <v/>
      </c>
      <c r="T1058" s="8" t="str">
        <f aca="false">IF(A1058="","",IF(S1058="","BYPASS",IF(ABS(S1058)&lt;=Summary!$B$2,"PASS","FAIL")))</f>
        <v/>
      </c>
      <c r="U1058" s="8" t="str">
        <f aca="false">IF(T1058="BYPASS",IF(NOT(ISNUMBER(Q1058)),"PreV_ETB missing","End_tr_balance missing"),IF(T1058="FAIL",IF(AND(ISNUMBER(K1058),ISNUMBER(L1058),ABS(L1058-(K1058-IF(ISNUMBER(N1058),N1058,0)-IF(ISNUMBER(O1058),O1058,0)+IF(ISNUMBER(P1058),P1058,0)))&lt;=Summary!$B$2),"Passes using beginning_balance - PreV_ETB differs from beginning_balance",IF(AND(ISNUMBER(O1058),O1058&lt;0,ABS(L1058-(Q1058-IF(ISNUMBER(N1058),N1058,0)+IF(ISNUMBER(P1058),P1058,0)))&lt;=Summary!$B$2),"Negative realized loss not applied - check sign",IF(R1058&lt;0,"Principal paid exceeds prior balance",IF(AND(L1058&gt;Q1058,NOT(ISNUMBER(P1058))),"Balance increased but no Deferred_interest reported",IF(L1058&gt;R1058,"Reported balance higher than expected (missing increase/OC build)","Reported balance lower than expected (missing decrease)"))))),""))</f>
        <v/>
      </c>
    </row>
    <row r="1059" customFormat="false" ht="15" hidden="false" customHeight="false" outlineLevel="0" collapsed="false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9"/>
      <c r="L1059" s="9"/>
      <c r="M1059" s="9"/>
      <c r="N1059" s="9"/>
      <c r="O1059" s="9"/>
      <c r="P1059" s="9"/>
      <c r="Q1059" s="9"/>
      <c r="R1059" s="9" t="str">
        <f aca="false">IF(AND(A1059&lt;&gt;"",ISNUMBER(Q1059),ISNUMBER(L1059)),ROUND(Q1059-IF(ISNUMBER(N1059),N1059,0)-IF(ISNUMBER(O1059),O1059,0)+IF(ISNUMBER(P1059),P1059,0),2),"")</f>
        <v/>
      </c>
      <c r="S1059" s="9" t="str">
        <f aca="false">IF(R1059="","",ROUND(L1059-R1059,2))</f>
        <v/>
      </c>
      <c r="T1059" s="8" t="str">
        <f aca="false">IF(A1059="","",IF(S1059="","BYPASS",IF(ABS(S1059)&lt;=Summary!$B$2,"PASS","FAIL")))</f>
        <v/>
      </c>
      <c r="U1059" s="8" t="str">
        <f aca="false">IF(T1059="BYPASS",IF(NOT(ISNUMBER(Q1059)),"PreV_ETB missing","End_tr_balance missing"),IF(T1059="FAIL",IF(AND(ISNUMBER(K1059),ISNUMBER(L1059),ABS(L1059-(K1059-IF(ISNUMBER(N1059),N1059,0)-IF(ISNUMBER(O1059),O1059,0)+IF(ISNUMBER(P1059),P1059,0)))&lt;=Summary!$B$2),"Passes using beginning_balance - PreV_ETB differs from beginning_balance",IF(AND(ISNUMBER(O1059),O1059&lt;0,ABS(L1059-(Q1059-IF(ISNUMBER(N1059),N1059,0)+IF(ISNUMBER(P1059),P1059,0)))&lt;=Summary!$B$2),"Negative realized loss not applied - check sign",IF(R1059&lt;0,"Principal paid exceeds prior balance",IF(AND(L1059&gt;Q1059,NOT(ISNUMBER(P1059))),"Balance increased but no Deferred_interest reported",IF(L1059&gt;R1059,"Reported balance higher than expected (missing increase/OC build)","Reported balance lower than expected (missing decrease)"))))),""))</f>
        <v/>
      </c>
    </row>
    <row r="1060" customFormat="false" ht="15" hidden="false" customHeight="false" outlineLevel="0" collapsed="false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9"/>
      <c r="L1060" s="9"/>
      <c r="M1060" s="9"/>
      <c r="N1060" s="9"/>
      <c r="O1060" s="9"/>
      <c r="P1060" s="9"/>
      <c r="Q1060" s="9"/>
      <c r="R1060" s="9" t="str">
        <f aca="false">IF(AND(A1060&lt;&gt;"",ISNUMBER(Q1060),ISNUMBER(L1060)),ROUND(Q1060-IF(ISNUMBER(N1060),N1060,0)-IF(ISNUMBER(O1060),O1060,0)+IF(ISNUMBER(P1060),P1060,0),2),"")</f>
        <v/>
      </c>
      <c r="S1060" s="9" t="str">
        <f aca="false">IF(R1060="","",ROUND(L1060-R1060,2))</f>
        <v/>
      </c>
      <c r="T1060" s="8" t="str">
        <f aca="false">IF(A1060="","",IF(S1060="","BYPASS",IF(ABS(S1060)&lt;=Summary!$B$2,"PASS","FAIL")))</f>
        <v/>
      </c>
      <c r="U1060" s="8" t="str">
        <f aca="false">IF(T1060="BYPASS",IF(NOT(ISNUMBER(Q1060)),"PreV_ETB missing","End_tr_balance missing"),IF(T1060="FAIL",IF(AND(ISNUMBER(K1060),ISNUMBER(L1060),ABS(L1060-(K1060-IF(ISNUMBER(N1060),N1060,0)-IF(ISNUMBER(O1060),O1060,0)+IF(ISNUMBER(P1060),P1060,0)))&lt;=Summary!$B$2),"Passes using beginning_balance - PreV_ETB differs from beginning_balance",IF(AND(ISNUMBER(O1060),O1060&lt;0,ABS(L1060-(Q1060-IF(ISNUMBER(N1060),N1060,0)+IF(ISNUMBER(P1060),P1060,0)))&lt;=Summary!$B$2),"Negative realized loss not applied - check sign",IF(R1060&lt;0,"Principal paid exceeds prior balance",IF(AND(L1060&gt;Q1060,NOT(ISNUMBER(P1060))),"Balance increased but no Deferred_interest reported",IF(L1060&gt;R1060,"Reported balance higher than expected (missing increase/OC build)","Reported balance lower than expected (missing decrease)"))))),""))</f>
        <v/>
      </c>
    </row>
    <row r="1061" customFormat="false" ht="15" hidden="false" customHeight="false" outlineLevel="0" collapsed="false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9"/>
      <c r="L1061" s="9"/>
      <c r="M1061" s="9"/>
      <c r="N1061" s="9"/>
      <c r="O1061" s="9"/>
      <c r="P1061" s="9"/>
      <c r="Q1061" s="9"/>
      <c r="R1061" s="9" t="str">
        <f aca="false">IF(AND(A1061&lt;&gt;"",ISNUMBER(Q1061),ISNUMBER(L1061)),ROUND(Q1061-IF(ISNUMBER(N1061),N1061,0)-IF(ISNUMBER(O1061),O1061,0)+IF(ISNUMBER(P1061),P1061,0),2),"")</f>
        <v/>
      </c>
      <c r="S1061" s="9" t="str">
        <f aca="false">IF(R1061="","",ROUND(L1061-R1061,2))</f>
        <v/>
      </c>
      <c r="T1061" s="8" t="str">
        <f aca="false">IF(A1061="","",IF(S1061="","BYPASS",IF(ABS(S1061)&lt;=Summary!$B$2,"PASS","FAIL")))</f>
        <v/>
      </c>
      <c r="U1061" s="8" t="str">
        <f aca="false">IF(T1061="BYPASS",IF(NOT(ISNUMBER(Q1061)),"PreV_ETB missing","End_tr_balance missing"),IF(T1061="FAIL",IF(AND(ISNUMBER(K1061),ISNUMBER(L1061),ABS(L1061-(K1061-IF(ISNUMBER(N1061),N1061,0)-IF(ISNUMBER(O1061),O1061,0)+IF(ISNUMBER(P1061),P1061,0)))&lt;=Summary!$B$2),"Passes using beginning_balance - PreV_ETB differs from beginning_balance",IF(AND(ISNUMBER(O1061),O1061&lt;0,ABS(L1061-(Q1061-IF(ISNUMBER(N1061),N1061,0)+IF(ISNUMBER(P1061),P1061,0)))&lt;=Summary!$B$2),"Negative realized loss not applied - check sign",IF(R1061&lt;0,"Principal paid exceeds prior balance",IF(AND(L1061&gt;Q1061,NOT(ISNUMBER(P1061))),"Balance increased but no Deferred_interest reported",IF(L1061&gt;R1061,"Reported balance higher than expected (missing increase/OC build)","Reported balance lower than expected (missing decrease)"))))),""))</f>
        <v/>
      </c>
    </row>
    <row r="1062" customFormat="false" ht="15" hidden="false" customHeight="false" outlineLevel="0" collapsed="false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9"/>
      <c r="L1062" s="9"/>
      <c r="M1062" s="9"/>
      <c r="N1062" s="9"/>
      <c r="O1062" s="9"/>
      <c r="P1062" s="9"/>
      <c r="Q1062" s="9"/>
      <c r="R1062" s="9" t="str">
        <f aca="false">IF(AND(A1062&lt;&gt;"",ISNUMBER(Q1062),ISNUMBER(L1062)),ROUND(Q1062-IF(ISNUMBER(N1062),N1062,0)-IF(ISNUMBER(O1062),O1062,0)+IF(ISNUMBER(P1062),P1062,0),2),"")</f>
        <v/>
      </c>
      <c r="S1062" s="9" t="str">
        <f aca="false">IF(R1062="","",ROUND(L1062-R1062,2))</f>
        <v/>
      </c>
      <c r="T1062" s="8" t="str">
        <f aca="false">IF(A1062="","",IF(S1062="","BYPASS",IF(ABS(S1062)&lt;=Summary!$B$2,"PASS","FAIL")))</f>
        <v/>
      </c>
      <c r="U1062" s="8" t="str">
        <f aca="false">IF(T1062="BYPASS",IF(NOT(ISNUMBER(Q1062)),"PreV_ETB missing","End_tr_balance missing"),IF(T1062="FAIL",IF(AND(ISNUMBER(K1062),ISNUMBER(L1062),ABS(L1062-(K1062-IF(ISNUMBER(N1062),N1062,0)-IF(ISNUMBER(O1062),O1062,0)+IF(ISNUMBER(P1062),P1062,0)))&lt;=Summary!$B$2),"Passes using beginning_balance - PreV_ETB differs from beginning_balance",IF(AND(ISNUMBER(O1062),O1062&lt;0,ABS(L1062-(Q1062-IF(ISNUMBER(N1062),N1062,0)+IF(ISNUMBER(P1062),P1062,0)))&lt;=Summary!$B$2),"Negative realized loss not applied - check sign",IF(R1062&lt;0,"Principal paid exceeds prior balance",IF(AND(L1062&gt;Q1062,NOT(ISNUMBER(P1062))),"Balance increased but no Deferred_interest reported",IF(L1062&gt;R1062,"Reported balance higher than expected (missing increase/OC build)","Reported balance lower than expected (missing decrease)"))))),""))</f>
        <v/>
      </c>
    </row>
    <row r="1063" customFormat="false" ht="15" hidden="false" customHeight="false" outlineLevel="0" collapsed="false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9"/>
      <c r="L1063" s="9"/>
      <c r="M1063" s="9"/>
      <c r="N1063" s="9"/>
      <c r="O1063" s="9"/>
      <c r="P1063" s="9"/>
      <c r="Q1063" s="9"/>
      <c r="R1063" s="9" t="str">
        <f aca="false">IF(AND(A1063&lt;&gt;"",ISNUMBER(Q1063),ISNUMBER(L1063)),ROUND(Q1063-IF(ISNUMBER(N1063),N1063,0)-IF(ISNUMBER(O1063),O1063,0)+IF(ISNUMBER(P1063),P1063,0),2),"")</f>
        <v/>
      </c>
      <c r="S1063" s="9" t="str">
        <f aca="false">IF(R1063="","",ROUND(L1063-R1063,2))</f>
        <v/>
      </c>
      <c r="T1063" s="8" t="str">
        <f aca="false">IF(A1063="","",IF(S1063="","BYPASS",IF(ABS(S1063)&lt;=Summary!$B$2,"PASS","FAIL")))</f>
        <v/>
      </c>
      <c r="U1063" s="8" t="str">
        <f aca="false">IF(T1063="BYPASS",IF(NOT(ISNUMBER(Q1063)),"PreV_ETB missing","End_tr_balance missing"),IF(T1063="FAIL",IF(AND(ISNUMBER(K1063),ISNUMBER(L1063),ABS(L1063-(K1063-IF(ISNUMBER(N1063),N1063,0)-IF(ISNUMBER(O1063),O1063,0)+IF(ISNUMBER(P1063),P1063,0)))&lt;=Summary!$B$2),"Passes using beginning_balance - PreV_ETB differs from beginning_balance",IF(AND(ISNUMBER(O1063),O1063&lt;0,ABS(L1063-(Q1063-IF(ISNUMBER(N1063),N1063,0)+IF(ISNUMBER(P1063),P1063,0)))&lt;=Summary!$B$2),"Negative realized loss not applied - check sign",IF(R1063&lt;0,"Principal paid exceeds prior balance",IF(AND(L1063&gt;Q1063,NOT(ISNUMBER(P1063))),"Balance increased but no Deferred_interest reported",IF(L1063&gt;R1063,"Reported balance higher than expected (missing increase/OC build)","Reported balance lower than expected (missing decrease)"))))),""))</f>
        <v/>
      </c>
    </row>
    <row r="1064" customFormat="false" ht="15" hidden="false" customHeight="false" outlineLevel="0" collapsed="false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9"/>
      <c r="L1064" s="9"/>
      <c r="M1064" s="9"/>
      <c r="N1064" s="9"/>
      <c r="O1064" s="9"/>
      <c r="P1064" s="9"/>
      <c r="Q1064" s="9"/>
      <c r="R1064" s="9" t="str">
        <f aca="false">IF(AND(A1064&lt;&gt;"",ISNUMBER(Q1064),ISNUMBER(L1064)),ROUND(Q1064-IF(ISNUMBER(N1064),N1064,0)-IF(ISNUMBER(O1064),O1064,0)+IF(ISNUMBER(P1064),P1064,0),2),"")</f>
        <v/>
      </c>
      <c r="S1064" s="9" t="str">
        <f aca="false">IF(R1064="","",ROUND(L1064-R1064,2))</f>
        <v/>
      </c>
      <c r="T1064" s="8" t="str">
        <f aca="false">IF(A1064="","",IF(S1064="","BYPASS",IF(ABS(S1064)&lt;=Summary!$B$2,"PASS","FAIL")))</f>
        <v/>
      </c>
      <c r="U1064" s="8" t="str">
        <f aca="false">IF(T1064="BYPASS",IF(NOT(ISNUMBER(Q1064)),"PreV_ETB missing","End_tr_balance missing"),IF(T1064="FAIL",IF(AND(ISNUMBER(K1064),ISNUMBER(L1064),ABS(L1064-(K1064-IF(ISNUMBER(N1064),N1064,0)-IF(ISNUMBER(O1064),O1064,0)+IF(ISNUMBER(P1064),P1064,0)))&lt;=Summary!$B$2),"Passes using beginning_balance - PreV_ETB differs from beginning_balance",IF(AND(ISNUMBER(O1064),O1064&lt;0,ABS(L1064-(Q1064-IF(ISNUMBER(N1064),N1064,0)+IF(ISNUMBER(P1064),P1064,0)))&lt;=Summary!$B$2),"Negative realized loss not applied - check sign",IF(R1064&lt;0,"Principal paid exceeds prior balance",IF(AND(L1064&gt;Q1064,NOT(ISNUMBER(P1064))),"Balance increased but no Deferred_interest reported",IF(L1064&gt;R1064,"Reported balance higher than expected (missing increase/OC build)","Reported balance lower than expected (missing decrease)"))))),""))</f>
        <v/>
      </c>
    </row>
    <row r="1065" customFormat="false" ht="15" hidden="false" customHeight="false" outlineLevel="0" collapsed="false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9"/>
      <c r="L1065" s="9"/>
      <c r="M1065" s="9"/>
      <c r="N1065" s="9"/>
      <c r="O1065" s="9"/>
      <c r="P1065" s="9"/>
      <c r="Q1065" s="9"/>
      <c r="R1065" s="9" t="str">
        <f aca="false">IF(AND(A1065&lt;&gt;"",ISNUMBER(Q1065),ISNUMBER(L1065)),ROUND(Q1065-IF(ISNUMBER(N1065),N1065,0)-IF(ISNUMBER(O1065),O1065,0)+IF(ISNUMBER(P1065),P1065,0),2),"")</f>
        <v/>
      </c>
      <c r="S1065" s="9" t="str">
        <f aca="false">IF(R1065="","",ROUND(L1065-R1065,2))</f>
        <v/>
      </c>
      <c r="T1065" s="8" t="str">
        <f aca="false">IF(A1065="","",IF(S1065="","BYPASS",IF(ABS(S1065)&lt;=Summary!$B$2,"PASS","FAIL")))</f>
        <v/>
      </c>
      <c r="U1065" s="8" t="str">
        <f aca="false">IF(T1065="BYPASS",IF(NOT(ISNUMBER(Q1065)),"PreV_ETB missing","End_tr_balance missing"),IF(T1065="FAIL",IF(AND(ISNUMBER(K1065),ISNUMBER(L1065),ABS(L1065-(K1065-IF(ISNUMBER(N1065),N1065,0)-IF(ISNUMBER(O1065),O1065,0)+IF(ISNUMBER(P1065),P1065,0)))&lt;=Summary!$B$2),"Passes using beginning_balance - PreV_ETB differs from beginning_balance",IF(AND(ISNUMBER(O1065),O1065&lt;0,ABS(L1065-(Q1065-IF(ISNUMBER(N1065),N1065,0)+IF(ISNUMBER(P1065),P1065,0)))&lt;=Summary!$B$2),"Negative realized loss not applied - check sign",IF(R1065&lt;0,"Principal paid exceeds prior balance",IF(AND(L1065&gt;Q1065,NOT(ISNUMBER(P1065))),"Balance increased but no Deferred_interest reported",IF(L1065&gt;R1065,"Reported balance higher than expected (missing increase/OC build)","Reported balance lower than expected (missing decrease)"))))),""))</f>
        <v/>
      </c>
    </row>
    <row r="1066" customFormat="false" ht="15" hidden="false" customHeight="false" outlineLevel="0" collapsed="false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9"/>
      <c r="L1066" s="9"/>
      <c r="M1066" s="9"/>
      <c r="N1066" s="9"/>
      <c r="O1066" s="9"/>
      <c r="P1066" s="9"/>
      <c r="Q1066" s="9"/>
      <c r="R1066" s="9" t="str">
        <f aca="false">IF(AND(A1066&lt;&gt;"",ISNUMBER(Q1066),ISNUMBER(L1066)),ROUND(Q1066-IF(ISNUMBER(N1066),N1066,0)-IF(ISNUMBER(O1066),O1066,0)+IF(ISNUMBER(P1066),P1066,0),2),"")</f>
        <v/>
      </c>
      <c r="S1066" s="9" t="str">
        <f aca="false">IF(R1066="","",ROUND(L1066-R1066,2))</f>
        <v/>
      </c>
      <c r="T1066" s="8" t="str">
        <f aca="false">IF(A1066="","",IF(S1066="","BYPASS",IF(ABS(S1066)&lt;=Summary!$B$2,"PASS","FAIL")))</f>
        <v/>
      </c>
      <c r="U1066" s="8" t="str">
        <f aca="false">IF(T1066="BYPASS",IF(NOT(ISNUMBER(Q1066)),"PreV_ETB missing","End_tr_balance missing"),IF(T1066="FAIL",IF(AND(ISNUMBER(K1066),ISNUMBER(L1066),ABS(L1066-(K1066-IF(ISNUMBER(N1066),N1066,0)-IF(ISNUMBER(O1066),O1066,0)+IF(ISNUMBER(P1066),P1066,0)))&lt;=Summary!$B$2),"Passes using beginning_balance - PreV_ETB differs from beginning_balance",IF(AND(ISNUMBER(O1066),O1066&lt;0,ABS(L1066-(Q1066-IF(ISNUMBER(N1066),N1066,0)+IF(ISNUMBER(P1066),P1066,0)))&lt;=Summary!$B$2),"Negative realized loss not applied - check sign",IF(R1066&lt;0,"Principal paid exceeds prior balance",IF(AND(L1066&gt;Q1066,NOT(ISNUMBER(P1066))),"Balance increased but no Deferred_interest reported",IF(L1066&gt;R1066,"Reported balance higher than expected (missing increase/OC build)","Reported balance lower than expected (missing decrease)"))))),""))</f>
        <v/>
      </c>
    </row>
    <row r="1067" customFormat="false" ht="15" hidden="false" customHeight="false" outlineLevel="0" collapsed="false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9"/>
      <c r="L1067" s="9"/>
      <c r="M1067" s="9"/>
      <c r="N1067" s="9"/>
      <c r="O1067" s="9"/>
      <c r="P1067" s="9"/>
      <c r="Q1067" s="9"/>
      <c r="R1067" s="9" t="str">
        <f aca="false">IF(AND(A1067&lt;&gt;"",ISNUMBER(Q1067),ISNUMBER(L1067)),ROUND(Q1067-IF(ISNUMBER(N1067),N1067,0)-IF(ISNUMBER(O1067),O1067,0)+IF(ISNUMBER(P1067),P1067,0),2),"")</f>
        <v/>
      </c>
      <c r="S1067" s="9" t="str">
        <f aca="false">IF(R1067="","",ROUND(L1067-R1067,2))</f>
        <v/>
      </c>
      <c r="T1067" s="8" t="str">
        <f aca="false">IF(A1067="","",IF(S1067="","BYPASS",IF(ABS(S1067)&lt;=Summary!$B$2,"PASS","FAIL")))</f>
        <v/>
      </c>
      <c r="U1067" s="8" t="str">
        <f aca="false">IF(T1067="BYPASS",IF(NOT(ISNUMBER(Q1067)),"PreV_ETB missing","End_tr_balance missing"),IF(T1067="FAIL",IF(AND(ISNUMBER(K1067),ISNUMBER(L1067),ABS(L1067-(K1067-IF(ISNUMBER(N1067),N1067,0)-IF(ISNUMBER(O1067),O1067,0)+IF(ISNUMBER(P1067),P1067,0)))&lt;=Summary!$B$2),"Passes using beginning_balance - PreV_ETB differs from beginning_balance",IF(AND(ISNUMBER(O1067),O1067&lt;0,ABS(L1067-(Q1067-IF(ISNUMBER(N1067),N1067,0)+IF(ISNUMBER(P1067),P1067,0)))&lt;=Summary!$B$2),"Negative realized loss not applied - check sign",IF(R1067&lt;0,"Principal paid exceeds prior balance",IF(AND(L1067&gt;Q1067,NOT(ISNUMBER(P1067))),"Balance increased but no Deferred_interest reported",IF(L1067&gt;R1067,"Reported balance higher than expected (missing increase/OC build)","Reported balance lower than expected (missing decrease)"))))),""))</f>
        <v/>
      </c>
    </row>
    <row r="1068" customFormat="false" ht="15" hidden="false" customHeight="false" outlineLevel="0" collapsed="false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9"/>
      <c r="L1068" s="9"/>
      <c r="M1068" s="9"/>
      <c r="N1068" s="9"/>
      <c r="O1068" s="9"/>
      <c r="P1068" s="9"/>
      <c r="Q1068" s="9"/>
      <c r="R1068" s="9" t="str">
        <f aca="false">IF(AND(A1068&lt;&gt;"",ISNUMBER(Q1068),ISNUMBER(L1068)),ROUND(Q1068-IF(ISNUMBER(N1068),N1068,0)-IF(ISNUMBER(O1068),O1068,0)+IF(ISNUMBER(P1068),P1068,0),2),"")</f>
        <v/>
      </c>
      <c r="S1068" s="9" t="str">
        <f aca="false">IF(R1068="","",ROUND(L1068-R1068,2))</f>
        <v/>
      </c>
      <c r="T1068" s="8" t="str">
        <f aca="false">IF(A1068="","",IF(S1068="","BYPASS",IF(ABS(S1068)&lt;=Summary!$B$2,"PASS","FAIL")))</f>
        <v/>
      </c>
      <c r="U1068" s="8" t="str">
        <f aca="false">IF(T1068="BYPASS",IF(NOT(ISNUMBER(Q1068)),"PreV_ETB missing","End_tr_balance missing"),IF(T1068="FAIL",IF(AND(ISNUMBER(K1068),ISNUMBER(L1068),ABS(L1068-(K1068-IF(ISNUMBER(N1068),N1068,0)-IF(ISNUMBER(O1068),O1068,0)+IF(ISNUMBER(P1068),P1068,0)))&lt;=Summary!$B$2),"Passes using beginning_balance - PreV_ETB differs from beginning_balance",IF(AND(ISNUMBER(O1068),O1068&lt;0,ABS(L1068-(Q1068-IF(ISNUMBER(N1068),N1068,0)+IF(ISNUMBER(P1068),P1068,0)))&lt;=Summary!$B$2),"Negative realized loss not applied - check sign",IF(R1068&lt;0,"Principal paid exceeds prior balance",IF(AND(L1068&gt;Q1068,NOT(ISNUMBER(P1068))),"Balance increased but no Deferred_interest reported",IF(L1068&gt;R1068,"Reported balance higher than expected (missing increase/OC build)","Reported balance lower than expected (missing decrease)"))))),""))</f>
        <v/>
      </c>
    </row>
    <row r="1069" customFormat="false" ht="15" hidden="false" customHeight="false" outlineLevel="0" collapsed="false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9"/>
      <c r="L1069" s="9"/>
      <c r="M1069" s="9"/>
      <c r="N1069" s="9"/>
      <c r="O1069" s="9"/>
      <c r="P1069" s="9"/>
      <c r="Q1069" s="9"/>
      <c r="R1069" s="9" t="str">
        <f aca="false">IF(AND(A1069&lt;&gt;"",ISNUMBER(Q1069),ISNUMBER(L1069)),ROUND(Q1069-IF(ISNUMBER(N1069),N1069,0)-IF(ISNUMBER(O1069),O1069,0)+IF(ISNUMBER(P1069),P1069,0),2),"")</f>
        <v/>
      </c>
      <c r="S1069" s="9" t="str">
        <f aca="false">IF(R1069="","",ROUND(L1069-R1069,2))</f>
        <v/>
      </c>
      <c r="T1069" s="8" t="str">
        <f aca="false">IF(A1069="","",IF(S1069="","BYPASS",IF(ABS(S1069)&lt;=Summary!$B$2,"PASS","FAIL")))</f>
        <v/>
      </c>
      <c r="U1069" s="8" t="str">
        <f aca="false">IF(T1069="BYPASS",IF(NOT(ISNUMBER(Q1069)),"PreV_ETB missing","End_tr_balance missing"),IF(T1069="FAIL",IF(AND(ISNUMBER(K1069),ISNUMBER(L1069),ABS(L1069-(K1069-IF(ISNUMBER(N1069),N1069,0)-IF(ISNUMBER(O1069),O1069,0)+IF(ISNUMBER(P1069),P1069,0)))&lt;=Summary!$B$2),"Passes using beginning_balance - PreV_ETB differs from beginning_balance",IF(AND(ISNUMBER(O1069),O1069&lt;0,ABS(L1069-(Q1069-IF(ISNUMBER(N1069),N1069,0)+IF(ISNUMBER(P1069),P1069,0)))&lt;=Summary!$B$2),"Negative realized loss not applied - check sign",IF(R1069&lt;0,"Principal paid exceeds prior balance",IF(AND(L1069&gt;Q1069,NOT(ISNUMBER(P1069))),"Balance increased but no Deferred_interest reported",IF(L1069&gt;R1069,"Reported balance higher than expected (missing increase/OC build)","Reported balance lower than expected (missing decrease)"))))),""))</f>
        <v/>
      </c>
    </row>
    <row r="1070" customFormat="false" ht="15" hidden="false" customHeight="false" outlineLevel="0" collapsed="false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9"/>
      <c r="L1070" s="9"/>
      <c r="M1070" s="9"/>
      <c r="N1070" s="9"/>
      <c r="O1070" s="9"/>
      <c r="P1070" s="9"/>
      <c r="Q1070" s="9"/>
      <c r="R1070" s="9" t="str">
        <f aca="false">IF(AND(A1070&lt;&gt;"",ISNUMBER(Q1070),ISNUMBER(L1070)),ROUND(Q1070-IF(ISNUMBER(N1070),N1070,0)-IF(ISNUMBER(O1070),O1070,0)+IF(ISNUMBER(P1070),P1070,0),2),"")</f>
        <v/>
      </c>
      <c r="S1070" s="9" t="str">
        <f aca="false">IF(R1070="","",ROUND(L1070-R1070,2))</f>
        <v/>
      </c>
      <c r="T1070" s="8" t="str">
        <f aca="false">IF(A1070="","",IF(S1070="","BYPASS",IF(ABS(S1070)&lt;=Summary!$B$2,"PASS","FAIL")))</f>
        <v/>
      </c>
      <c r="U1070" s="8" t="str">
        <f aca="false">IF(T1070="BYPASS",IF(NOT(ISNUMBER(Q1070)),"PreV_ETB missing","End_tr_balance missing"),IF(T1070="FAIL",IF(AND(ISNUMBER(K1070),ISNUMBER(L1070),ABS(L1070-(K1070-IF(ISNUMBER(N1070),N1070,0)-IF(ISNUMBER(O1070),O1070,0)+IF(ISNUMBER(P1070),P1070,0)))&lt;=Summary!$B$2),"Passes using beginning_balance - PreV_ETB differs from beginning_balance",IF(AND(ISNUMBER(O1070),O1070&lt;0,ABS(L1070-(Q1070-IF(ISNUMBER(N1070),N1070,0)+IF(ISNUMBER(P1070),P1070,0)))&lt;=Summary!$B$2),"Negative realized loss not applied - check sign",IF(R1070&lt;0,"Principal paid exceeds prior balance",IF(AND(L1070&gt;Q1070,NOT(ISNUMBER(P1070))),"Balance increased but no Deferred_interest reported",IF(L1070&gt;R1070,"Reported balance higher than expected (missing increase/OC build)","Reported balance lower than expected (missing decrease)"))))),""))</f>
        <v/>
      </c>
    </row>
    <row r="1071" customFormat="false" ht="15" hidden="false" customHeight="false" outlineLevel="0" collapsed="false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9"/>
      <c r="L1071" s="9"/>
      <c r="M1071" s="9"/>
      <c r="N1071" s="9"/>
      <c r="O1071" s="9"/>
      <c r="P1071" s="9"/>
      <c r="Q1071" s="9"/>
      <c r="R1071" s="9" t="str">
        <f aca="false">IF(AND(A1071&lt;&gt;"",ISNUMBER(Q1071),ISNUMBER(L1071)),ROUND(Q1071-IF(ISNUMBER(N1071),N1071,0)-IF(ISNUMBER(O1071),O1071,0)+IF(ISNUMBER(P1071),P1071,0),2),"")</f>
        <v/>
      </c>
      <c r="S1071" s="9" t="str">
        <f aca="false">IF(R1071="","",ROUND(L1071-R1071,2))</f>
        <v/>
      </c>
      <c r="T1071" s="8" t="str">
        <f aca="false">IF(A1071="","",IF(S1071="","BYPASS",IF(ABS(S1071)&lt;=Summary!$B$2,"PASS","FAIL")))</f>
        <v/>
      </c>
      <c r="U1071" s="8" t="str">
        <f aca="false">IF(T1071="BYPASS",IF(NOT(ISNUMBER(Q1071)),"PreV_ETB missing","End_tr_balance missing"),IF(T1071="FAIL",IF(AND(ISNUMBER(K1071),ISNUMBER(L1071),ABS(L1071-(K1071-IF(ISNUMBER(N1071),N1071,0)-IF(ISNUMBER(O1071),O1071,0)+IF(ISNUMBER(P1071),P1071,0)))&lt;=Summary!$B$2),"Passes using beginning_balance - PreV_ETB differs from beginning_balance",IF(AND(ISNUMBER(O1071),O1071&lt;0,ABS(L1071-(Q1071-IF(ISNUMBER(N1071),N1071,0)+IF(ISNUMBER(P1071),P1071,0)))&lt;=Summary!$B$2),"Negative realized loss not applied - check sign",IF(R1071&lt;0,"Principal paid exceeds prior balance",IF(AND(L1071&gt;Q1071,NOT(ISNUMBER(P1071))),"Balance increased but no Deferred_interest reported",IF(L1071&gt;R1071,"Reported balance higher than expected (missing increase/OC build)","Reported balance lower than expected (missing decrease)"))))),""))</f>
        <v/>
      </c>
    </row>
    <row r="1072" customFormat="false" ht="15" hidden="false" customHeight="false" outlineLevel="0" collapsed="false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9"/>
      <c r="L1072" s="9"/>
      <c r="M1072" s="9"/>
      <c r="N1072" s="9"/>
      <c r="O1072" s="9"/>
      <c r="P1072" s="9"/>
      <c r="Q1072" s="9"/>
      <c r="R1072" s="9" t="str">
        <f aca="false">IF(AND(A1072&lt;&gt;"",ISNUMBER(Q1072),ISNUMBER(L1072)),ROUND(Q1072-IF(ISNUMBER(N1072),N1072,0)-IF(ISNUMBER(O1072),O1072,0)+IF(ISNUMBER(P1072),P1072,0),2),"")</f>
        <v/>
      </c>
      <c r="S1072" s="9" t="str">
        <f aca="false">IF(R1072="","",ROUND(L1072-R1072,2))</f>
        <v/>
      </c>
      <c r="T1072" s="8" t="str">
        <f aca="false">IF(A1072="","",IF(S1072="","BYPASS",IF(ABS(S1072)&lt;=Summary!$B$2,"PASS","FAIL")))</f>
        <v/>
      </c>
      <c r="U1072" s="8" t="str">
        <f aca="false">IF(T1072="BYPASS",IF(NOT(ISNUMBER(Q1072)),"PreV_ETB missing","End_tr_balance missing"),IF(T1072="FAIL",IF(AND(ISNUMBER(K1072),ISNUMBER(L1072),ABS(L1072-(K1072-IF(ISNUMBER(N1072),N1072,0)-IF(ISNUMBER(O1072),O1072,0)+IF(ISNUMBER(P1072),P1072,0)))&lt;=Summary!$B$2),"Passes using beginning_balance - PreV_ETB differs from beginning_balance",IF(AND(ISNUMBER(O1072),O1072&lt;0,ABS(L1072-(Q1072-IF(ISNUMBER(N1072),N1072,0)+IF(ISNUMBER(P1072),P1072,0)))&lt;=Summary!$B$2),"Negative realized loss not applied - check sign",IF(R1072&lt;0,"Principal paid exceeds prior balance",IF(AND(L1072&gt;Q1072,NOT(ISNUMBER(P1072))),"Balance increased but no Deferred_interest reported",IF(L1072&gt;R1072,"Reported balance higher than expected (missing increase/OC build)","Reported balance lower than expected (missing decrease)"))))),""))</f>
        <v/>
      </c>
    </row>
    <row r="1073" customFormat="false" ht="15" hidden="false" customHeight="false" outlineLevel="0" collapsed="false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9"/>
      <c r="L1073" s="9"/>
      <c r="M1073" s="9"/>
      <c r="N1073" s="9"/>
      <c r="O1073" s="9"/>
      <c r="P1073" s="9"/>
      <c r="Q1073" s="9"/>
      <c r="R1073" s="9" t="str">
        <f aca="false">IF(AND(A1073&lt;&gt;"",ISNUMBER(Q1073),ISNUMBER(L1073)),ROUND(Q1073-IF(ISNUMBER(N1073),N1073,0)-IF(ISNUMBER(O1073),O1073,0)+IF(ISNUMBER(P1073),P1073,0),2),"")</f>
        <v/>
      </c>
      <c r="S1073" s="9" t="str">
        <f aca="false">IF(R1073="","",ROUND(L1073-R1073,2))</f>
        <v/>
      </c>
      <c r="T1073" s="8" t="str">
        <f aca="false">IF(A1073="","",IF(S1073="","BYPASS",IF(ABS(S1073)&lt;=Summary!$B$2,"PASS","FAIL")))</f>
        <v/>
      </c>
      <c r="U1073" s="8" t="str">
        <f aca="false">IF(T1073="BYPASS",IF(NOT(ISNUMBER(Q1073)),"PreV_ETB missing","End_tr_balance missing"),IF(T1073="FAIL",IF(AND(ISNUMBER(K1073),ISNUMBER(L1073),ABS(L1073-(K1073-IF(ISNUMBER(N1073),N1073,0)-IF(ISNUMBER(O1073),O1073,0)+IF(ISNUMBER(P1073),P1073,0)))&lt;=Summary!$B$2),"Passes using beginning_balance - PreV_ETB differs from beginning_balance",IF(AND(ISNUMBER(O1073),O1073&lt;0,ABS(L1073-(Q1073-IF(ISNUMBER(N1073),N1073,0)+IF(ISNUMBER(P1073),P1073,0)))&lt;=Summary!$B$2),"Negative realized loss not applied - check sign",IF(R1073&lt;0,"Principal paid exceeds prior balance",IF(AND(L1073&gt;Q1073,NOT(ISNUMBER(P1073))),"Balance increased but no Deferred_interest reported",IF(L1073&gt;R1073,"Reported balance higher than expected (missing increase/OC build)","Reported balance lower than expected (missing decrease)"))))),""))</f>
        <v/>
      </c>
    </row>
    <row r="1074" customFormat="false" ht="15" hidden="false" customHeight="false" outlineLevel="0" collapsed="false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9"/>
      <c r="L1074" s="9"/>
      <c r="M1074" s="9"/>
      <c r="N1074" s="9"/>
      <c r="O1074" s="9"/>
      <c r="P1074" s="9"/>
      <c r="Q1074" s="9"/>
      <c r="R1074" s="9" t="str">
        <f aca="false">IF(AND(A1074&lt;&gt;"",ISNUMBER(Q1074),ISNUMBER(L1074)),ROUND(Q1074-IF(ISNUMBER(N1074),N1074,0)-IF(ISNUMBER(O1074),O1074,0)+IF(ISNUMBER(P1074),P1074,0),2),"")</f>
        <v/>
      </c>
      <c r="S1074" s="9" t="str">
        <f aca="false">IF(R1074="","",ROUND(L1074-R1074,2))</f>
        <v/>
      </c>
      <c r="T1074" s="8" t="str">
        <f aca="false">IF(A1074="","",IF(S1074="","BYPASS",IF(ABS(S1074)&lt;=Summary!$B$2,"PASS","FAIL")))</f>
        <v/>
      </c>
      <c r="U1074" s="8" t="str">
        <f aca="false">IF(T1074="BYPASS",IF(NOT(ISNUMBER(Q1074)),"PreV_ETB missing","End_tr_balance missing"),IF(T1074="FAIL",IF(AND(ISNUMBER(K1074),ISNUMBER(L1074),ABS(L1074-(K1074-IF(ISNUMBER(N1074),N1074,0)-IF(ISNUMBER(O1074),O1074,0)+IF(ISNUMBER(P1074),P1074,0)))&lt;=Summary!$B$2),"Passes using beginning_balance - PreV_ETB differs from beginning_balance",IF(AND(ISNUMBER(O1074),O1074&lt;0,ABS(L1074-(Q1074-IF(ISNUMBER(N1074),N1074,0)+IF(ISNUMBER(P1074),P1074,0)))&lt;=Summary!$B$2),"Negative realized loss not applied - check sign",IF(R1074&lt;0,"Principal paid exceeds prior balance",IF(AND(L1074&gt;Q1074,NOT(ISNUMBER(P1074))),"Balance increased but no Deferred_interest reported",IF(L1074&gt;R1074,"Reported balance higher than expected (missing increase/OC build)","Reported balance lower than expected (missing decrease)"))))),""))</f>
        <v/>
      </c>
    </row>
    <row r="1075" customFormat="false" ht="15" hidden="false" customHeight="false" outlineLevel="0" collapsed="false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9"/>
      <c r="L1075" s="9"/>
      <c r="M1075" s="9"/>
      <c r="N1075" s="9"/>
      <c r="O1075" s="9"/>
      <c r="P1075" s="9"/>
      <c r="Q1075" s="9"/>
      <c r="R1075" s="9" t="str">
        <f aca="false">IF(AND(A1075&lt;&gt;"",ISNUMBER(Q1075),ISNUMBER(L1075)),ROUND(Q1075-IF(ISNUMBER(N1075),N1075,0)-IF(ISNUMBER(O1075),O1075,0)+IF(ISNUMBER(P1075),P1075,0),2),"")</f>
        <v/>
      </c>
      <c r="S1075" s="9" t="str">
        <f aca="false">IF(R1075="","",ROUND(L1075-R1075,2))</f>
        <v/>
      </c>
      <c r="T1075" s="8" t="str">
        <f aca="false">IF(A1075="","",IF(S1075="","BYPASS",IF(ABS(S1075)&lt;=Summary!$B$2,"PASS","FAIL")))</f>
        <v/>
      </c>
      <c r="U1075" s="8" t="str">
        <f aca="false">IF(T1075="BYPASS",IF(NOT(ISNUMBER(Q1075)),"PreV_ETB missing","End_tr_balance missing"),IF(T1075="FAIL",IF(AND(ISNUMBER(K1075),ISNUMBER(L1075),ABS(L1075-(K1075-IF(ISNUMBER(N1075),N1075,0)-IF(ISNUMBER(O1075),O1075,0)+IF(ISNUMBER(P1075),P1075,0)))&lt;=Summary!$B$2),"Passes using beginning_balance - PreV_ETB differs from beginning_balance",IF(AND(ISNUMBER(O1075),O1075&lt;0,ABS(L1075-(Q1075-IF(ISNUMBER(N1075),N1075,0)+IF(ISNUMBER(P1075),P1075,0)))&lt;=Summary!$B$2),"Negative realized loss not applied - check sign",IF(R1075&lt;0,"Principal paid exceeds prior balance",IF(AND(L1075&gt;Q1075,NOT(ISNUMBER(P1075))),"Balance increased but no Deferred_interest reported",IF(L1075&gt;R1075,"Reported balance higher than expected (missing increase/OC build)","Reported balance lower than expected (missing decrease)"))))),""))</f>
        <v/>
      </c>
    </row>
    <row r="1076" customFormat="false" ht="15" hidden="false" customHeight="false" outlineLevel="0" collapsed="false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9"/>
      <c r="L1076" s="9"/>
      <c r="M1076" s="9"/>
      <c r="N1076" s="9"/>
      <c r="O1076" s="9"/>
      <c r="P1076" s="9"/>
      <c r="Q1076" s="9"/>
      <c r="R1076" s="9" t="str">
        <f aca="false">IF(AND(A1076&lt;&gt;"",ISNUMBER(Q1076),ISNUMBER(L1076)),ROUND(Q1076-IF(ISNUMBER(N1076),N1076,0)-IF(ISNUMBER(O1076),O1076,0)+IF(ISNUMBER(P1076),P1076,0),2),"")</f>
        <v/>
      </c>
      <c r="S1076" s="9" t="str">
        <f aca="false">IF(R1076="","",ROUND(L1076-R1076,2))</f>
        <v/>
      </c>
      <c r="T1076" s="8" t="str">
        <f aca="false">IF(A1076="","",IF(S1076="","BYPASS",IF(ABS(S1076)&lt;=Summary!$B$2,"PASS","FAIL")))</f>
        <v/>
      </c>
      <c r="U1076" s="8" t="str">
        <f aca="false">IF(T1076="BYPASS",IF(NOT(ISNUMBER(Q1076)),"PreV_ETB missing","End_tr_balance missing"),IF(T1076="FAIL",IF(AND(ISNUMBER(K1076),ISNUMBER(L1076),ABS(L1076-(K1076-IF(ISNUMBER(N1076),N1076,0)-IF(ISNUMBER(O1076),O1076,0)+IF(ISNUMBER(P1076),P1076,0)))&lt;=Summary!$B$2),"Passes using beginning_balance - PreV_ETB differs from beginning_balance",IF(AND(ISNUMBER(O1076),O1076&lt;0,ABS(L1076-(Q1076-IF(ISNUMBER(N1076),N1076,0)+IF(ISNUMBER(P1076),P1076,0)))&lt;=Summary!$B$2),"Negative realized loss not applied - check sign",IF(R1076&lt;0,"Principal paid exceeds prior balance",IF(AND(L1076&gt;Q1076,NOT(ISNUMBER(P1076))),"Balance increased but no Deferred_interest reported",IF(L1076&gt;R1076,"Reported balance higher than expected (missing increase/OC build)","Reported balance lower than expected (missing decrease)"))))),""))</f>
        <v/>
      </c>
    </row>
    <row r="1077" customFormat="false" ht="15" hidden="false" customHeight="false" outlineLevel="0" collapsed="false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9"/>
      <c r="L1077" s="9"/>
      <c r="M1077" s="9"/>
      <c r="N1077" s="9"/>
      <c r="O1077" s="9"/>
      <c r="P1077" s="9"/>
      <c r="Q1077" s="9"/>
      <c r="R1077" s="9" t="str">
        <f aca="false">IF(AND(A1077&lt;&gt;"",ISNUMBER(Q1077),ISNUMBER(L1077)),ROUND(Q1077-IF(ISNUMBER(N1077),N1077,0)-IF(ISNUMBER(O1077),O1077,0)+IF(ISNUMBER(P1077),P1077,0),2),"")</f>
        <v/>
      </c>
      <c r="S1077" s="9" t="str">
        <f aca="false">IF(R1077="","",ROUND(L1077-R1077,2))</f>
        <v/>
      </c>
      <c r="T1077" s="8" t="str">
        <f aca="false">IF(A1077="","",IF(S1077="","BYPASS",IF(ABS(S1077)&lt;=Summary!$B$2,"PASS","FAIL")))</f>
        <v/>
      </c>
      <c r="U1077" s="8" t="str">
        <f aca="false">IF(T1077="BYPASS",IF(NOT(ISNUMBER(Q1077)),"PreV_ETB missing","End_tr_balance missing"),IF(T1077="FAIL",IF(AND(ISNUMBER(K1077),ISNUMBER(L1077),ABS(L1077-(K1077-IF(ISNUMBER(N1077),N1077,0)-IF(ISNUMBER(O1077),O1077,0)+IF(ISNUMBER(P1077),P1077,0)))&lt;=Summary!$B$2),"Passes using beginning_balance - PreV_ETB differs from beginning_balance",IF(AND(ISNUMBER(O1077),O1077&lt;0,ABS(L1077-(Q1077-IF(ISNUMBER(N1077),N1077,0)+IF(ISNUMBER(P1077),P1077,0)))&lt;=Summary!$B$2),"Negative realized loss not applied - check sign",IF(R1077&lt;0,"Principal paid exceeds prior balance",IF(AND(L1077&gt;Q1077,NOT(ISNUMBER(P1077))),"Balance increased but no Deferred_interest reported",IF(L1077&gt;R1077,"Reported balance higher than expected (missing increase/OC build)","Reported balance lower than expected (missing decrease)"))))),""))</f>
        <v/>
      </c>
    </row>
    <row r="1078" customFormat="false" ht="15" hidden="false" customHeight="false" outlineLevel="0" collapsed="false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9"/>
      <c r="L1078" s="9"/>
      <c r="M1078" s="9"/>
      <c r="N1078" s="9"/>
      <c r="O1078" s="9"/>
      <c r="P1078" s="9"/>
      <c r="Q1078" s="9"/>
      <c r="R1078" s="9" t="str">
        <f aca="false">IF(AND(A1078&lt;&gt;"",ISNUMBER(Q1078),ISNUMBER(L1078)),ROUND(Q1078-IF(ISNUMBER(N1078),N1078,0)-IF(ISNUMBER(O1078),O1078,0)+IF(ISNUMBER(P1078),P1078,0),2),"")</f>
        <v/>
      </c>
      <c r="S1078" s="9" t="str">
        <f aca="false">IF(R1078="","",ROUND(L1078-R1078,2))</f>
        <v/>
      </c>
      <c r="T1078" s="8" t="str">
        <f aca="false">IF(A1078="","",IF(S1078="","BYPASS",IF(ABS(S1078)&lt;=Summary!$B$2,"PASS","FAIL")))</f>
        <v/>
      </c>
      <c r="U1078" s="8" t="str">
        <f aca="false">IF(T1078="BYPASS",IF(NOT(ISNUMBER(Q1078)),"PreV_ETB missing","End_tr_balance missing"),IF(T1078="FAIL",IF(AND(ISNUMBER(K1078),ISNUMBER(L1078),ABS(L1078-(K1078-IF(ISNUMBER(N1078),N1078,0)-IF(ISNUMBER(O1078),O1078,0)+IF(ISNUMBER(P1078),P1078,0)))&lt;=Summary!$B$2),"Passes using beginning_balance - PreV_ETB differs from beginning_balance",IF(AND(ISNUMBER(O1078),O1078&lt;0,ABS(L1078-(Q1078-IF(ISNUMBER(N1078),N1078,0)+IF(ISNUMBER(P1078),P1078,0)))&lt;=Summary!$B$2),"Negative realized loss not applied - check sign",IF(R1078&lt;0,"Principal paid exceeds prior balance",IF(AND(L1078&gt;Q1078,NOT(ISNUMBER(P1078))),"Balance increased but no Deferred_interest reported",IF(L1078&gt;R1078,"Reported balance higher than expected (missing increase/OC build)","Reported balance lower than expected (missing decrease)"))))),""))</f>
        <v/>
      </c>
    </row>
    <row r="1079" customFormat="false" ht="15" hidden="false" customHeight="false" outlineLevel="0" collapsed="false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9"/>
      <c r="L1079" s="9"/>
      <c r="M1079" s="9"/>
      <c r="N1079" s="9"/>
      <c r="O1079" s="9"/>
      <c r="P1079" s="9"/>
      <c r="Q1079" s="9"/>
      <c r="R1079" s="9" t="str">
        <f aca="false">IF(AND(A1079&lt;&gt;"",ISNUMBER(Q1079),ISNUMBER(L1079)),ROUND(Q1079-IF(ISNUMBER(N1079),N1079,0)-IF(ISNUMBER(O1079),O1079,0)+IF(ISNUMBER(P1079),P1079,0),2),"")</f>
        <v/>
      </c>
      <c r="S1079" s="9" t="str">
        <f aca="false">IF(R1079="","",ROUND(L1079-R1079,2))</f>
        <v/>
      </c>
      <c r="T1079" s="8" t="str">
        <f aca="false">IF(A1079="","",IF(S1079="","BYPASS",IF(ABS(S1079)&lt;=Summary!$B$2,"PASS","FAIL")))</f>
        <v/>
      </c>
      <c r="U1079" s="8" t="str">
        <f aca="false">IF(T1079="BYPASS",IF(NOT(ISNUMBER(Q1079)),"PreV_ETB missing","End_tr_balance missing"),IF(T1079="FAIL",IF(AND(ISNUMBER(K1079),ISNUMBER(L1079),ABS(L1079-(K1079-IF(ISNUMBER(N1079),N1079,0)-IF(ISNUMBER(O1079),O1079,0)+IF(ISNUMBER(P1079),P1079,0)))&lt;=Summary!$B$2),"Passes using beginning_balance - PreV_ETB differs from beginning_balance",IF(AND(ISNUMBER(O1079),O1079&lt;0,ABS(L1079-(Q1079-IF(ISNUMBER(N1079),N1079,0)+IF(ISNUMBER(P1079),P1079,0)))&lt;=Summary!$B$2),"Negative realized loss not applied - check sign",IF(R1079&lt;0,"Principal paid exceeds prior balance",IF(AND(L1079&gt;Q1079,NOT(ISNUMBER(P1079))),"Balance increased but no Deferred_interest reported",IF(L1079&gt;R1079,"Reported balance higher than expected (missing increase/OC build)","Reported balance lower than expected (missing decrease)"))))),""))</f>
        <v/>
      </c>
    </row>
    <row r="1080" customFormat="false" ht="15" hidden="false" customHeight="false" outlineLevel="0" collapsed="false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9"/>
      <c r="L1080" s="9"/>
      <c r="M1080" s="9"/>
      <c r="N1080" s="9"/>
      <c r="O1080" s="9"/>
      <c r="P1080" s="9"/>
      <c r="Q1080" s="9"/>
      <c r="R1080" s="9" t="str">
        <f aca="false">IF(AND(A1080&lt;&gt;"",ISNUMBER(Q1080),ISNUMBER(L1080)),ROUND(Q1080-IF(ISNUMBER(N1080),N1080,0)-IF(ISNUMBER(O1080),O1080,0)+IF(ISNUMBER(P1080),P1080,0),2),"")</f>
        <v/>
      </c>
      <c r="S1080" s="9" t="str">
        <f aca="false">IF(R1080="","",ROUND(L1080-R1080,2))</f>
        <v/>
      </c>
      <c r="T1080" s="8" t="str">
        <f aca="false">IF(A1080="","",IF(S1080="","BYPASS",IF(ABS(S1080)&lt;=Summary!$B$2,"PASS","FAIL")))</f>
        <v/>
      </c>
      <c r="U1080" s="8" t="str">
        <f aca="false">IF(T1080="BYPASS",IF(NOT(ISNUMBER(Q1080)),"PreV_ETB missing","End_tr_balance missing"),IF(T1080="FAIL",IF(AND(ISNUMBER(K1080),ISNUMBER(L1080),ABS(L1080-(K1080-IF(ISNUMBER(N1080),N1080,0)-IF(ISNUMBER(O1080),O1080,0)+IF(ISNUMBER(P1080),P1080,0)))&lt;=Summary!$B$2),"Passes using beginning_balance - PreV_ETB differs from beginning_balance",IF(AND(ISNUMBER(O1080),O1080&lt;0,ABS(L1080-(Q1080-IF(ISNUMBER(N1080),N1080,0)+IF(ISNUMBER(P1080),P1080,0)))&lt;=Summary!$B$2),"Negative realized loss not applied - check sign",IF(R1080&lt;0,"Principal paid exceeds prior balance",IF(AND(L1080&gt;Q1080,NOT(ISNUMBER(P1080))),"Balance increased but no Deferred_interest reported",IF(L1080&gt;R1080,"Reported balance higher than expected (missing increase/OC build)","Reported balance lower than expected (missing decrease)"))))),""))</f>
        <v/>
      </c>
    </row>
    <row r="1081" customFormat="false" ht="15" hidden="false" customHeight="false" outlineLevel="0" collapsed="false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9"/>
      <c r="L1081" s="9"/>
      <c r="M1081" s="9"/>
      <c r="N1081" s="9"/>
      <c r="O1081" s="9"/>
      <c r="P1081" s="9"/>
      <c r="Q1081" s="9"/>
      <c r="R1081" s="9" t="str">
        <f aca="false">IF(AND(A1081&lt;&gt;"",ISNUMBER(Q1081),ISNUMBER(L1081)),ROUND(Q1081-IF(ISNUMBER(N1081),N1081,0)-IF(ISNUMBER(O1081),O1081,0)+IF(ISNUMBER(P1081),P1081,0),2),"")</f>
        <v/>
      </c>
      <c r="S1081" s="9" t="str">
        <f aca="false">IF(R1081="","",ROUND(L1081-R1081,2))</f>
        <v/>
      </c>
      <c r="T1081" s="8" t="str">
        <f aca="false">IF(A1081="","",IF(S1081="","BYPASS",IF(ABS(S1081)&lt;=Summary!$B$2,"PASS","FAIL")))</f>
        <v/>
      </c>
      <c r="U1081" s="8" t="str">
        <f aca="false">IF(T1081="BYPASS",IF(NOT(ISNUMBER(Q1081)),"PreV_ETB missing","End_tr_balance missing"),IF(T1081="FAIL",IF(AND(ISNUMBER(K1081),ISNUMBER(L1081),ABS(L1081-(K1081-IF(ISNUMBER(N1081),N1081,0)-IF(ISNUMBER(O1081),O1081,0)+IF(ISNUMBER(P1081),P1081,0)))&lt;=Summary!$B$2),"Passes using beginning_balance - PreV_ETB differs from beginning_balance",IF(AND(ISNUMBER(O1081),O1081&lt;0,ABS(L1081-(Q1081-IF(ISNUMBER(N1081),N1081,0)+IF(ISNUMBER(P1081),P1081,0)))&lt;=Summary!$B$2),"Negative realized loss not applied - check sign",IF(R1081&lt;0,"Principal paid exceeds prior balance",IF(AND(L1081&gt;Q1081,NOT(ISNUMBER(P1081))),"Balance increased but no Deferred_interest reported",IF(L1081&gt;R1081,"Reported balance higher than expected (missing increase/OC build)","Reported balance lower than expected (missing decrease)"))))),""))</f>
        <v/>
      </c>
    </row>
    <row r="1082" customFormat="false" ht="15" hidden="false" customHeight="false" outlineLevel="0" collapsed="false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9"/>
      <c r="L1082" s="9"/>
      <c r="M1082" s="9"/>
      <c r="N1082" s="9"/>
      <c r="O1082" s="9"/>
      <c r="P1082" s="9"/>
      <c r="Q1082" s="9"/>
      <c r="R1082" s="9" t="str">
        <f aca="false">IF(AND(A1082&lt;&gt;"",ISNUMBER(Q1082),ISNUMBER(L1082)),ROUND(Q1082-IF(ISNUMBER(N1082),N1082,0)-IF(ISNUMBER(O1082),O1082,0)+IF(ISNUMBER(P1082),P1082,0),2),"")</f>
        <v/>
      </c>
      <c r="S1082" s="9" t="str">
        <f aca="false">IF(R1082="","",ROUND(L1082-R1082,2))</f>
        <v/>
      </c>
      <c r="T1082" s="8" t="str">
        <f aca="false">IF(A1082="","",IF(S1082="","BYPASS",IF(ABS(S1082)&lt;=Summary!$B$2,"PASS","FAIL")))</f>
        <v/>
      </c>
      <c r="U1082" s="8" t="str">
        <f aca="false">IF(T1082="BYPASS",IF(NOT(ISNUMBER(Q1082)),"PreV_ETB missing","End_tr_balance missing"),IF(T1082="FAIL",IF(AND(ISNUMBER(K1082),ISNUMBER(L1082),ABS(L1082-(K1082-IF(ISNUMBER(N1082),N1082,0)-IF(ISNUMBER(O1082),O1082,0)+IF(ISNUMBER(P1082),P1082,0)))&lt;=Summary!$B$2),"Passes using beginning_balance - PreV_ETB differs from beginning_balance",IF(AND(ISNUMBER(O1082),O1082&lt;0,ABS(L1082-(Q1082-IF(ISNUMBER(N1082),N1082,0)+IF(ISNUMBER(P1082),P1082,0)))&lt;=Summary!$B$2),"Negative realized loss not applied - check sign",IF(R1082&lt;0,"Principal paid exceeds prior balance",IF(AND(L1082&gt;Q1082,NOT(ISNUMBER(P1082))),"Balance increased but no Deferred_interest reported",IF(L1082&gt;R1082,"Reported balance higher than expected (missing increase/OC build)","Reported balance lower than expected (missing decrease)"))))),""))</f>
        <v/>
      </c>
    </row>
    <row r="1083" customFormat="false" ht="15" hidden="false" customHeight="false" outlineLevel="0" collapsed="false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9"/>
      <c r="L1083" s="9"/>
      <c r="M1083" s="9"/>
      <c r="N1083" s="9"/>
      <c r="O1083" s="9"/>
      <c r="P1083" s="9"/>
      <c r="Q1083" s="9"/>
      <c r="R1083" s="9" t="str">
        <f aca="false">IF(AND(A1083&lt;&gt;"",ISNUMBER(Q1083),ISNUMBER(L1083)),ROUND(Q1083-IF(ISNUMBER(N1083),N1083,0)-IF(ISNUMBER(O1083),O1083,0)+IF(ISNUMBER(P1083),P1083,0),2),"")</f>
        <v/>
      </c>
      <c r="S1083" s="9" t="str">
        <f aca="false">IF(R1083="","",ROUND(L1083-R1083,2))</f>
        <v/>
      </c>
      <c r="T1083" s="8" t="str">
        <f aca="false">IF(A1083="","",IF(S1083="","BYPASS",IF(ABS(S1083)&lt;=Summary!$B$2,"PASS","FAIL")))</f>
        <v/>
      </c>
      <c r="U1083" s="8" t="str">
        <f aca="false">IF(T1083="BYPASS",IF(NOT(ISNUMBER(Q1083)),"PreV_ETB missing","End_tr_balance missing"),IF(T1083="FAIL",IF(AND(ISNUMBER(K1083),ISNUMBER(L1083),ABS(L1083-(K1083-IF(ISNUMBER(N1083),N1083,0)-IF(ISNUMBER(O1083),O1083,0)+IF(ISNUMBER(P1083),P1083,0)))&lt;=Summary!$B$2),"Passes using beginning_balance - PreV_ETB differs from beginning_balance",IF(AND(ISNUMBER(O1083),O1083&lt;0,ABS(L1083-(Q1083-IF(ISNUMBER(N1083),N1083,0)+IF(ISNUMBER(P1083),P1083,0)))&lt;=Summary!$B$2),"Negative realized loss not applied - check sign",IF(R1083&lt;0,"Principal paid exceeds prior balance",IF(AND(L1083&gt;Q1083,NOT(ISNUMBER(P1083))),"Balance increased but no Deferred_interest reported",IF(L1083&gt;R1083,"Reported balance higher than expected (missing increase/OC build)","Reported balance lower than expected (missing decrease)"))))),""))</f>
        <v/>
      </c>
    </row>
    <row r="1084" customFormat="false" ht="15" hidden="false" customHeight="false" outlineLevel="0" collapsed="false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9"/>
      <c r="L1084" s="9"/>
      <c r="M1084" s="9"/>
      <c r="N1084" s="9"/>
      <c r="O1084" s="9"/>
      <c r="P1084" s="9"/>
      <c r="Q1084" s="9"/>
      <c r="R1084" s="9" t="str">
        <f aca="false">IF(AND(A1084&lt;&gt;"",ISNUMBER(Q1084),ISNUMBER(L1084)),ROUND(Q1084-IF(ISNUMBER(N1084),N1084,0)-IF(ISNUMBER(O1084),O1084,0)+IF(ISNUMBER(P1084),P1084,0),2),"")</f>
        <v/>
      </c>
      <c r="S1084" s="9" t="str">
        <f aca="false">IF(R1084="","",ROUND(L1084-R1084,2))</f>
        <v/>
      </c>
      <c r="T1084" s="8" t="str">
        <f aca="false">IF(A1084="","",IF(S1084="","BYPASS",IF(ABS(S1084)&lt;=Summary!$B$2,"PASS","FAIL")))</f>
        <v/>
      </c>
      <c r="U1084" s="8" t="str">
        <f aca="false">IF(T1084="BYPASS",IF(NOT(ISNUMBER(Q1084)),"PreV_ETB missing","End_tr_balance missing"),IF(T1084="FAIL",IF(AND(ISNUMBER(K1084),ISNUMBER(L1084),ABS(L1084-(K1084-IF(ISNUMBER(N1084),N1084,0)-IF(ISNUMBER(O1084),O1084,0)+IF(ISNUMBER(P1084),P1084,0)))&lt;=Summary!$B$2),"Passes using beginning_balance - PreV_ETB differs from beginning_balance",IF(AND(ISNUMBER(O1084),O1084&lt;0,ABS(L1084-(Q1084-IF(ISNUMBER(N1084),N1084,0)+IF(ISNUMBER(P1084),P1084,0)))&lt;=Summary!$B$2),"Negative realized loss not applied - check sign",IF(R1084&lt;0,"Principal paid exceeds prior balance",IF(AND(L1084&gt;Q1084,NOT(ISNUMBER(P1084))),"Balance increased but no Deferred_interest reported",IF(L1084&gt;R1084,"Reported balance higher than expected (missing increase/OC build)","Reported balance lower than expected (missing decrease)"))))),""))</f>
        <v/>
      </c>
    </row>
    <row r="1085" customFormat="false" ht="15" hidden="false" customHeight="false" outlineLevel="0" collapsed="false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9"/>
      <c r="L1085" s="9"/>
      <c r="M1085" s="9"/>
      <c r="N1085" s="9"/>
      <c r="O1085" s="9"/>
      <c r="P1085" s="9"/>
      <c r="Q1085" s="9"/>
      <c r="R1085" s="9" t="str">
        <f aca="false">IF(AND(A1085&lt;&gt;"",ISNUMBER(Q1085),ISNUMBER(L1085)),ROUND(Q1085-IF(ISNUMBER(N1085),N1085,0)-IF(ISNUMBER(O1085),O1085,0)+IF(ISNUMBER(P1085),P1085,0),2),"")</f>
        <v/>
      </c>
      <c r="S1085" s="9" t="str">
        <f aca="false">IF(R1085="","",ROUND(L1085-R1085,2))</f>
        <v/>
      </c>
      <c r="T1085" s="8" t="str">
        <f aca="false">IF(A1085="","",IF(S1085="","BYPASS",IF(ABS(S1085)&lt;=Summary!$B$2,"PASS","FAIL")))</f>
        <v/>
      </c>
      <c r="U1085" s="8" t="str">
        <f aca="false">IF(T1085="BYPASS",IF(NOT(ISNUMBER(Q1085)),"PreV_ETB missing","End_tr_balance missing"),IF(T1085="FAIL",IF(AND(ISNUMBER(K1085),ISNUMBER(L1085),ABS(L1085-(K1085-IF(ISNUMBER(N1085),N1085,0)-IF(ISNUMBER(O1085),O1085,0)+IF(ISNUMBER(P1085),P1085,0)))&lt;=Summary!$B$2),"Passes using beginning_balance - PreV_ETB differs from beginning_balance",IF(AND(ISNUMBER(O1085),O1085&lt;0,ABS(L1085-(Q1085-IF(ISNUMBER(N1085),N1085,0)+IF(ISNUMBER(P1085),P1085,0)))&lt;=Summary!$B$2),"Negative realized loss not applied - check sign",IF(R1085&lt;0,"Principal paid exceeds prior balance",IF(AND(L1085&gt;Q1085,NOT(ISNUMBER(P1085))),"Balance increased but no Deferred_interest reported",IF(L1085&gt;R1085,"Reported balance higher than expected (missing increase/OC build)","Reported balance lower than expected (missing decrease)"))))),""))</f>
        <v/>
      </c>
    </row>
    <row r="1086" customFormat="false" ht="15" hidden="false" customHeight="false" outlineLevel="0" collapsed="false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9"/>
      <c r="L1086" s="9"/>
      <c r="M1086" s="9"/>
      <c r="N1086" s="9"/>
      <c r="O1086" s="9"/>
      <c r="P1086" s="9"/>
      <c r="Q1086" s="9"/>
      <c r="R1086" s="9" t="str">
        <f aca="false">IF(AND(A1086&lt;&gt;"",ISNUMBER(Q1086),ISNUMBER(L1086)),ROUND(Q1086-IF(ISNUMBER(N1086),N1086,0)-IF(ISNUMBER(O1086),O1086,0)+IF(ISNUMBER(P1086),P1086,0),2),"")</f>
        <v/>
      </c>
      <c r="S1086" s="9" t="str">
        <f aca="false">IF(R1086="","",ROUND(L1086-R1086,2))</f>
        <v/>
      </c>
      <c r="T1086" s="8" t="str">
        <f aca="false">IF(A1086="","",IF(S1086="","BYPASS",IF(ABS(S1086)&lt;=Summary!$B$2,"PASS","FAIL")))</f>
        <v/>
      </c>
      <c r="U1086" s="8" t="str">
        <f aca="false">IF(T1086="BYPASS",IF(NOT(ISNUMBER(Q1086)),"PreV_ETB missing","End_tr_balance missing"),IF(T1086="FAIL",IF(AND(ISNUMBER(K1086),ISNUMBER(L1086),ABS(L1086-(K1086-IF(ISNUMBER(N1086),N1086,0)-IF(ISNUMBER(O1086),O1086,0)+IF(ISNUMBER(P1086),P1086,0)))&lt;=Summary!$B$2),"Passes using beginning_balance - PreV_ETB differs from beginning_balance",IF(AND(ISNUMBER(O1086),O1086&lt;0,ABS(L1086-(Q1086-IF(ISNUMBER(N1086),N1086,0)+IF(ISNUMBER(P1086),P1086,0)))&lt;=Summary!$B$2),"Negative realized loss not applied - check sign",IF(R1086&lt;0,"Principal paid exceeds prior balance",IF(AND(L1086&gt;Q1086,NOT(ISNUMBER(P1086))),"Balance increased but no Deferred_interest reported",IF(L1086&gt;R1086,"Reported balance higher than expected (missing increase/OC build)","Reported balance lower than expected (missing decrease)"))))),""))</f>
        <v/>
      </c>
    </row>
    <row r="1087" customFormat="false" ht="15" hidden="false" customHeight="false" outlineLevel="0" collapsed="false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9"/>
      <c r="L1087" s="9"/>
      <c r="M1087" s="9"/>
      <c r="N1087" s="9"/>
      <c r="O1087" s="9"/>
      <c r="P1087" s="9"/>
      <c r="Q1087" s="9"/>
      <c r="R1087" s="9" t="str">
        <f aca="false">IF(AND(A1087&lt;&gt;"",ISNUMBER(Q1087),ISNUMBER(L1087)),ROUND(Q1087-IF(ISNUMBER(N1087),N1087,0)-IF(ISNUMBER(O1087),O1087,0)+IF(ISNUMBER(P1087),P1087,0),2),"")</f>
        <v/>
      </c>
      <c r="S1087" s="9" t="str">
        <f aca="false">IF(R1087="","",ROUND(L1087-R1087,2))</f>
        <v/>
      </c>
      <c r="T1087" s="8" t="str">
        <f aca="false">IF(A1087="","",IF(S1087="","BYPASS",IF(ABS(S1087)&lt;=Summary!$B$2,"PASS","FAIL")))</f>
        <v/>
      </c>
      <c r="U1087" s="8" t="str">
        <f aca="false">IF(T1087="BYPASS",IF(NOT(ISNUMBER(Q1087)),"PreV_ETB missing","End_tr_balance missing"),IF(T1087="FAIL",IF(AND(ISNUMBER(K1087),ISNUMBER(L1087),ABS(L1087-(K1087-IF(ISNUMBER(N1087),N1087,0)-IF(ISNUMBER(O1087),O1087,0)+IF(ISNUMBER(P1087),P1087,0)))&lt;=Summary!$B$2),"Passes using beginning_balance - PreV_ETB differs from beginning_balance",IF(AND(ISNUMBER(O1087),O1087&lt;0,ABS(L1087-(Q1087-IF(ISNUMBER(N1087),N1087,0)+IF(ISNUMBER(P1087),P1087,0)))&lt;=Summary!$B$2),"Negative realized loss not applied - check sign",IF(R1087&lt;0,"Principal paid exceeds prior balance",IF(AND(L1087&gt;Q1087,NOT(ISNUMBER(P1087))),"Balance increased but no Deferred_interest reported",IF(L1087&gt;R1087,"Reported balance higher than expected (missing increase/OC build)","Reported balance lower than expected (missing decrease)"))))),""))</f>
        <v/>
      </c>
    </row>
    <row r="1088" customFormat="false" ht="15" hidden="false" customHeight="false" outlineLevel="0" collapsed="false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9"/>
      <c r="L1088" s="9"/>
      <c r="M1088" s="9"/>
      <c r="N1088" s="9"/>
      <c r="O1088" s="9"/>
      <c r="P1088" s="9"/>
      <c r="Q1088" s="9"/>
      <c r="R1088" s="9" t="str">
        <f aca="false">IF(AND(A1088&lt;&gt;"",ISNUMBER(Q1088),ISNUMBER(L1088)),ROUND(Q1088-IF(ISNUMBER(N1088),N1088,0)-IF(ISNUMBER(O1088),O1088,0)+IF(ISNUMBER(P1088),P1088,0),2),"")</f>
        <v/>
      </c>
      <c r="S1088" s="9" t="str">
        <f aca="false">IF(R1088="","",ROUND(L1088-R1088,2))</f>
        <v/>
      </c>
      <c r="T1088" s="8" t="str">
        <f aca="false">IF(A1088="","",IF(S1088="","BYPASS",IF(ABS(S1088)&lt;=Summary!$B$2,"PASS","FAIL")))</f>
        <v/>
      </c>
      <c r="U1088" s="8" t="str">
        <f aca="false">IF(T1088="BYPASS",IF(NOT(ISNUMBER(Q1088)),"PreV_ETB missing","End_tr_balance missing"),IF(T1088="FAIL",IF(AND(ISNUMBER(K1088),ISNUMBER(L1088),ABS(L1088-(K1088-IF(ISNUMBER(N1088),N1088,0)-IF(ISNUMBER(O1088),O1088,0)+IF(ISNUMBER(P1088),P1088,0)))&lt;=Summary!$B$2),"Passes using beginning_balance - PreV_ETB differs from beginning_balance",IF(AND(ISNUMBER(O1088),O1088&lt;0,ABS(L1088-(Q1088-IF(ISNUMBER(N1088),N1088,0)+IF(ISNUMBER(P1088),P1088,0)))&lt;=Summary!$B$2),"Negative realized loss not applied - check sign",IF(R1088&lt;0,"Principal paid exceeds prior balance",IF(AND(L1088&gt;Q1088,NOT(ISNUMBER(P1088))),"Balance increased but no Deferred_interest reported",IF(L1088&gt;R1088,"Reported balance higher than expected (missing increase/OC build)","Reported balance lower than expected (missing decrease)"))))),""))</f>
        <v/>
      </c>
    </row>
    <row r="1089" customFormat="false" ht="15" hidden="false" customHeight="false" outlineLevel="0" collapsed="false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9"/>
      <c r="L1089" s="9"/>
      <c r="M1089" s="9"/>
      <c r="N1089" s="9"/>
      <c r="O1089" s="9"/>
      <c r="P1089" s="9"/>
      <c r="Q1089" s="9"/>
      <c r="R1089" s="9" t="str">
        <f aca="false">IF(AND(A1089&lt;&gt;"",ISNUMBER(Q1089),ISNUMBER(L1089)),ROUND(Q1089-IF(ISNUMBER(N1089),N1089,0)-IF(ISNUMBER(O1089),O1089,0)+IF(ISNUMBER(P1089),P1089,0),2),"")</f>
        <v/>
      </c>
      <c r="S1089" s="9" t="str">
        <f aca="false">IF(R1089="","",ROUND(L1089-R1089,2))</f>
        <v/>
      </c>
      <c r="T1089" s="8" t="str">
        <f aca="false">IF(A1089="","",IF(S1089="","BYPASS",IF(ABS(S1089)&lt;=Summary!$B$2,"PASS","FAIL")))</f>
        <v/>
      </c>
      <c r="U1089" s="8" t="str">
        <f aca="false">IF(T1089="BYPASS",IF(NOT(ISNUMBER(Q1089)),"PreV_ETB missing","End_tr_balance missing"),IF(T1089="FAIL",IF(AND(ISNUMBER(K1089),ISNUMBER(L1089),ABS(L1089-(K1089-IF(ISNUMBER(N1089),N1089,0)-IF(ISNUMBER(O1089),O1089,0)+IF(ISNUMBER(P1089),P1089,0)))&lt;=Summary!$B$2),"Passes using beginning_balance - PreV_ETB differs from beginning_balance",IF(AND(ISNUMBER(O1089),O1089&lt;0,ABS(L1089-(Q1089-IF(ISNUMBER(N1089),N1089,0)+IF(ISNUMBER(P1089),P1089,0)))&lt;=Summary!$B$2),"Negative realized loss not applied - check sign",IF(R1089&lt;0,"Principal paid exceeds prior balance",IF(AND(L1089&gt;Q1089,NOT(ISNUMBER(P1089))),"Balance increased but no Deferred_interest reported",IF(L1089&gt;R1089,"Reported balance higher than expected (missing increase/OC build)","Reported balance lower than expected (missing decrease)"))))),""))</f>
        <v/>
      </c>
    </row>
    <row r="1090" customFormat="false" ht="15" hidden="false" customHeight="false" outlineLevel="0" collapsed="false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9"/>
      <c r="L1090" s="9"/>
      <c r="M1090" s="9"/>
      <c r="N1090" s="9"/>
      <c r="O1090" s="9"/>
      <c r="P1090" s="9"/>
      <c r="Q1090" s="9"/>
      <c r="R1090" s="9" t="str">
        <f aca="false">IF(AND(A1090&lt;&gt;"",ISNUMBER(Q1090),ISNUMBER(L1090)),ROUND(Q1090-IF(ISNUMBER(N1090),N1090,0)-IF(ISNUMBER(O1090),O1090,0)+IF(ISNUMBER(P1090),P1090,0),2),"")</f>
        <v/>
      </c>
      <c r="S1090" s="9" t="str">
        <f aca="false">IF(R1090="","",ROUND(L1090-R1090,2))</f>
        <v/>
      </c>
      <c r="T1090" s="8" t="str">
        <f aca="false">IF(A1090="","",IF(S1090="","BYPASS",IF(ABS(S1090)&lt;=Summary!$B$2,"PASS","FAIL")))</f>
        <v/>
      </c>
      <c r="U1090" s="8" t="str">
        <f aca="false">IF(T1090="BYPASS",IF(NOT(ISNUMBER(Q1090)),"PreV_ETB missing","End_tr_balance missing"),IF(T1090="FAIL",IF(AND(ISNUMBER(K1090),ISNUMBER(L1090),ABS(L1090-(K1090-IF(ISNUMBER(N1090),N1090,0)-IF(ISNUMBER(O1090),O1090,0)+IF(ISNUMBER(P1090),P1090,0)))&lt;=Summary!$B$2),"Passes using beginning_balance - PreV_ETB differs from beginning_balance",IF(AND(ISNUMBER(O1090),O1090&lt;0,ABS(L1090-(Q1090-IF(ISNUMBER(N1090),N1090,0)+IF(ISNUMBER(P1090),P1090,0)))&lt;=Summary!$B$2),"Negative realized loss not applied - check sign",IF(R1090&lt;0,"Principal paid exceeds prior balance",IF(AND(L1090&gt;Q1090,NOT(ISNUMBER(P1090))),"Balance increased but no Deferred_interest reported",IF(L1090&gt;R1090,"Reported balance higher than expected (missing increase/OC build)","Reported balance lower than expected (missing decrease)"))))),""))</f>
        <v/>
      </c>
    </row>
    <row r="1091" customFormat="false" ht="15" hidden="false" customHeight="false" outlineLevel="0" collapsed="false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9"/>
      <c r="L1091" s="9"/>
      <c r="M1091" s="9"/>
      <c r="N1091" s="9"/>
      <c r="O1091" s="9"/>
      <c r="P1091" s="9"/>
      <c r="Q1091" s="9"/>
      <c r="R1091" s="9" t="str">
        <f aca="false">IF(AND(A1091&lt;&gt;"",ISNUMBER(Q1091),ISNUMBER(L1091)),ROUND(Q1091-IF(ISNUMBER(N1091),N1091,0)-IF(ISNUMBER(O1091),O1091,0)+IF(ISNUMBER(P1091),P1091,0),2),"")</f>
        <v/>
      </c>
      <c r="S1091" s="9" t="str">
        <f aca="false">IF(R1091="","",ROUND(L1091-R1091,2))</f>
        <v/>
      </c>
      <c r="T1091" s="8" t="str">
        <f aca="false">IF(A1091="","",IF(S1091="","BYPASS",IF(ABS(S1091)&lt;=Summary!$B$2,"PASS","FAIL")))</f>
        <v/>
      </c>
      <c r="U1091" s="8" t="str">
        <f aca="false">IF(T1091="BYPASS",IF(NOT(ISNUMBER(Q1091)),"PreV_ETB missing","End_tr_balance missing"),IF(T1091="FAIL",IF(AND(ISNUMBER(K1091),ISNUMBER(L1091),ABS(L1091-(K1091-IF(ISNUMBER(N1091),N1091,0)-IF(ISNUMBER(O1091),O1091,0)+IF(ISNUMBER(P1091),P1091,0)))&lt;=Summary!$B$2),"Passes using beginning_balance - PreV_ETB differs from beginning_balance",IF(AND(ISNUMBER(O1091),O1091&lt;0,ABS(L1091-(Q1091-IF(ISNUMBER(N1091),N1091,0)+IF(ISNUMBER(P1091),P1091,0)))&lt;=Summary!$B$2),"Negative realized loss not applied - check sign",IF(R1091&lt;0,"Principal paid exceeds prior balance",IF(AND(L1091&gt;Q1091,NOT(ISNUMBER(P1091))),"Balance increased but no Deferred_interest reported",IF(L1091&gt;R1091,"Reported balance higher than expected (missing increase/OC build)","Reported balance lower than expected (missing decrease)"))))),""))</f>
        <v/>
      </c>
    </row>
    <row r="1092" customFormat="false" ht="15" hidden="false" customHeight="false" outlineLevel="0" collapsed="false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9"/>
      <c r="L1092" s="9"/>
      <c r="M1092" s="9"/>
      <c r="N1092" s="9"/>
      <c r="O1092" s="9"/>
      <c r="P1092" s="9"/>
      <c r="Q1092" s="9"/>
      <c r="R1092" s="9" t="str">
        <f aca="false">IF(AND(A1092&lt;&gt;"",ISNUMBER(Q1092),ISNUMBER(L1092)),ROUND(Q1092-IF(ISNUMBER(N1092),N1092,0)-IF(ISNUMBER(O1092),O1092,0)+IF(ISNUMBER(P1092),P1092,0),2),"")</f>
        <v/>
      </c>
      <c r="S1092" s="9" t="str">
        <f aca="false">IF(R1092="","",ROUND(L1092-R1092,2))</f>
        <v/>
      </c>
      <c r="T1092" s="8" t="str">
        <f aca="false">IF(A1092="","",IF(S1092="","BYPASS",IF(ABS(S1092)&lt;=Summary!$B$2,"PASS","FAIL")))</f>
        <v/>
      </c>
      <c r="U1092" s="8" t="str">
        <f aca="false">IF(T1092="BYPASS",IF(NOT(ISNUMBER(Q1092)),"PreV_ETB missing","End_tr_balance missing"),IF(T1092="FAIL",IF(AND(ISNUMBER(K1092),ISNUMBER(L1092),ABS(L1092-(K1092-IF(ISNUMBER(N1092),N1092,0)-IF(ISNUMBER(O1092),O1092,0)+IF(ISNUMBER(P1092),P1092,0)))&lt;=Summary!$B$2),"Passes using beginning_balance - PreV_ETB differs from beginning_balance",IF(AND(ISNUMBER(O1092),O1092&lt;0,ABS(L1092-(Q1092-IF(ISNUMBER(N1092),N1092,0)+IF(ISNUMBER(P1092),P1092,0)))&lt;=Summary!$B$2),"Negative realized loss not applied - check sign",IF(R1092&lt;0,"Principal paid exceeds prior balance",IF(AND(L1092&gt;Q1092,NOT(ISNUMBER(P1092))),"Balance increased but no Deferred_interest reported",IF(L1092&gt;R1092,"Reported balance higher than expected (missing increase/OC build)","Reported balance lower than expected (missing decrease)"))))),""))</f>
        <v/>
      </c>
    </row>
    <row r="1093" customFormat="false" ht="15" hidden="false" customHeight="false" outlineLevel="0" collapsed="false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9"/>
      <c r="L1093" s="9"/>
      <c r="M1093" s="9"/>
      <c r="N1093" s="9"/>
      <c r="O1093" s="9"/>
      <c r="P1093" s="9"/>
      <c r="Q1093" s="9"/>
      <c r="R1093" s="9" t="str">
        <f aca="false">IF(AND(A1093&lt;&gt;"",ISNUMBER(Q1093),ISNUMBER(L1093)),ROUND(Q1093-IF(ISNUMBER(N1093),N1093,0)-IF(ISNUMBER(O1093),O1093,0)+IF(ISNUMBER(P1093),P1093,0),2),"")</f>
        <v/>
      </c>
      <c r="S1093" s="9" t="str">
        <f aca="false">IF(R1093="","",ROUND(L1093-R1093,2))</f>
        <v/>
      </c>
      <c r="T1093" s="8" t="str">
        <f aca="false">IF(A1093="","",IF(S1093="","BYPASS",IF(ABS(S1093)&lt;=Summary!$B$2,"PASS","FAIL")))</f>
        <v/>
      </c>
      <c r="U1093" s="8" t="str">
        <f aca="false">IF(T1093="BYPASS",IF(NOT(ISNUMBER(Q1093)),"PreV_ETB missing","End_tr_balance missing"),IF(T1093="FAIL",IF(AND(ISNUMBER(K1093),ISNUMBER(L1093),ABS(L1093-(K1093-IF(ISNUMBER(N1093),N1093,0)-IF(ISNUMBER(O1093),O1093,0)+IF(ISNUMBER(P1093),P1093,0)))&lt;=Summary!$B$2),"Passes using beginning_balance - PreV_ETB differs from beginning_balance",IF(AND(ISNUMBER(O1093),O1093&lt;0,ABS(L1093-(Q1093-IF(ISNUMBER(N1093),N1093,0)+IF(ISNUMBER(P1093),P1093,0)))&lt;=Summary!$B$2),"Negative realized loss not applied - check sign",IF(R1093&lt;0,"Principal paid exceeds prior balance",IF(AND(L1093&gt;Q1093,NOT(ISNUMBER(P1093))),"Balance increased but no Deferred_interest reported",IF(L1093&gt;R1093,"Reported balance higher than expected (missing increase/OC build)","Reported balance lower than expected (missing decrease)"))))),""))</f>
        <v/>
      </c>
    </row>
    <row r="1094" customFormat="false" ht="15" hidden="false" customHeight="false" outlineLevel="0" collapsed="false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9"/>
      <c r="L1094" s="9"/>
      <c r="M1094" s="9"/>
      <c r="N1094" s="9"/>
      <c r="O1094" s="9"/>
      <c r="P1094" s="9"/>
      <c r="Q1094" s="9"/>
      <c r="R1094" s="9" t="str">
        <f aca="false">IF(AND(A1094&lt;&gt;"",ISNUMBER(Q1094),ISNUMBER(L1094)),ROUND(Q1094-IF(ISNUMBER(N1094),N1094,0)-IF(ISNUMBER(O1094),O1094,0)+IF(ISNUMBER(P1094),P1094,0),2),"")</f>
        <v/>
      </c>
      <c r="S1094" s="9" t="str">
        <f aca="false">IF(R1094="","",ROUND(L1094-R1094,2))</f>
        <v/>
      </c>
      <c r="T1094" s="8" t="str">
        <f aca="false">IF(A1094="","",IF(S1094="","BYPASS",IF(ABS(S1094)&lt;=Summary!$B$2,"PASS","FAIL")))</f>
        <v/>
      </c>
      <c r="U1094" s="8" t="str">
        <f aca="false">IF(T1094="BYPASS",IF(NOT(ISNUMBER(Q1094)),"PreV_ETB missing","End_tr_balance missing"),IF(T1094="FAIL",IF(AND(ISNUMBER(K1094),ISNUMBER(L1094),ABS(L1094-(K1094-IF(ISNUMBER(N1094),N1094,0)-IF(ISNUMBER(O1094),O1094,0)+IF(ISNUMBER(P1094),P1094,0)))&lt;=Summary!$B$2),"Passes using beginning_balance - PreV_ETB differs from beginning_balance",IF(AND(ISNUMBER(O1094),O1094&lt;0,ABS(L1094-(Q1094-IF(ISNUMBER(N1094),N1094,0)+IF(ISNUMBER(P1094),P1094,0)))&lt;=Summary!$B$2),"Negative realized loss not applied - check sign",IF(R1094&lt;0,"Principal paid exceeds prior balance",IF(AND(L1094&gt;Q1094,NOT(ISNUMBER(P1094))),"Balance increased but no Deferred_interest reported",IF(L1094&gt;R1094,"Reported balance higher than expected (missing increase/OC build)","Reported balance lower than expected (missing decrease)"))))),""))</f>
        <v/>
      </c>
    </row>
    <row r="1095" customFormat="false" ht="15" hidden="false" customHeight="false" outlineLevel="0" collapsed="false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9"/>
      <c r="L1095" s="9"/>
      <c r="M1095" s="9"/>
      <c r="N1095" s="9"/>
      <c r="O1095" s="9"/>
      <c r="P1095" s="9"/>
      <c r="Q1095" s="9"/>
      <c r="R1095" s="9" t="str">
        <f aca="false">IF(AND(A1095&lt;&gt;"",ISNUMBER(Q1095),ISNUMBER(L1095)),ROUND(Q1095-IF(ISNUMBER(N1095),N1095,0)-IF(ISNUMBER(O1095),O1095,0)+IF(ISNUMBER(P1095),P1095,0),2),"")</f>
        <v/>
      </c>
      <c r="S1095" s="9" t="str">
        <f aca="false">IF(R1095="","",ROUND(L1095-R1095,2))</f>
        <v/>
      </c>
      <c r="T1095" s="8" t="str">
        <f aca="false">IF(A1095="","",IF(S1095="","BYPASS",IF(ABS(S1095)&lt;=Summary!$B$2,"PASS","FAIL")))</f>
        <v/>
      </c>
      <c r="U1095" s="8" t="str">
        <f aca="false">IF(T1095="BYPASS",IF(NOT(ISNUMBER(Q1095)),"PreV_ETB missing","End_tr_balance missing"),IF(T1095="FAIL",IF(AND(ISNUMBER(K1095),ISNUMBER(L1095),ABS(L1095-(K1095-IF(ISNUMBER(N1095),N1095,0)-IF(ISNUMBER(O1095),O1095,0)+IF(ISNUMBER(P1095),P1095,0)))&lt;=Summary!$B$2),"Passes using beginning_balance - PreV_ETB differs from beginning_balance",IF(AND(ISNUMBER(O1095),O1095&lt;0,ABS(L1095-(Q1095-IF(ISNUMBER(N1095),N1095,0)+IF(ISNUMBER(P1095),P1095,0)))&lt;=Summary!$B$2),"Negative realized loss not applied - check sign",IF(R1095&lt;0,"Principal paid exceeds prior balance",IF(AND(L1095&gt;Q1095,NOT(ISNUMBER(P1095))),"Balance increased but no Deferred_interest reported",IF(L1095&gt;R1095,"Reported balance higher than expected (missing increase/OC build)","Reported balance lower than expected (missing decrease)"))))),""))</f>
        <v/>
      </c>
    </row>
    <row r="1096" customFormat="false" ht="15" hidden="false" customHeight="false" outlineLevel="0" collapsed="false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9"/>
      <c r="L1096" s="9"/>
      <c r="M1096" s="9"/>
      <c r="N1096" s="9"/>
      <c r="O1096" s="9"/>
      <c r="P1096" s="9"/>
      <c r="Q1096" s="9"/>
      <c r="R1096" s="9" t="str">
        <f aca="false">IF(AND(A1096&lt;&gt;"",ISNUMBER(Q1096),ISNUMBER(L1096)),ROUND(Q1096-IF(ISNUMBER(N1096),N1096,0)-IF(ISNUMBER(O1096),O1096,0)+IF(ISNUMBER(P1096),P1096,0),2),"")</f>
        <v/>
      </c>
      <c r="S1096" s="9" t="str">
        <f aca="false">IF(R1096="","",ROUND(L1096-R1096,2))</f>
        <v/>
      </c>
      <c r="T1096" s="8" t="str">
        <f aca="false">IF(A1096="","",IF(S1096="","BYPASS",IF(ABS(S1096)&lt;=Summary!$B$2,"PASS","FAIL")))</f>
        <v/>
      </c>
      <c r="U1096" s="8" t="str">
        <f aca="false">IF(T1096="BYPASS",IF(NOT(ISNUMBER(Q1096)),"PreV_ETB missing","End_tr_balance missing"),IF(T1096="FAIL",IF(AND(ISNUMBER(K1096),ISNUMBER(L1096),ABS(L1096-(K1096-IF(ISNUMBER(N1096),N1096,0)-IF(ISNUMBER(O1096),O1096,0)+IF(ISNUMBER(P1096),P1096,0)))&lt;=Summary!$B$2),"Passes using beginning_balance - PreV_ETB differs from beginning_balance",IF(AND(ISNUMBER(O1096),O1096&lt;0,ABS(L1096-(Q1096-IF(ISNUMBER(N1096),N1096,0)+IF(ISNUMBER(P1096),P1096,0)))&lt;=Summary!$B$2),"Negative realized loss not applied - check sign",IF(R1096&lt;0,"Principal paid exceeds prior balance",IF(AND(L1096&gt;Q1096,NOT(ISNUMBER(P1096))),"Balance increased but no Deferred_interest reported",IF(L1096&gt;R1096,"Reported balance higher than expected (missing increase/OC build)","Reported balance lower than expected (missing decrease)"))))),""))</f>
        <v/>
      </c>
    </row>
    <row r="1097" customFormat="false" ht="15" hidden="false" customHeight="false" outlineLevel="0" collapsed="false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9"/>
      <c r="L1097" s="9"/>
      <c r="M1097" s="9"/>
      <c r="N1097" s="9"/>
      <c r="O1097" s="9"/>
      <c r="P1097" s="9"/>
      <c r="Q1097" s="9"/>
      <c r="R1097" s="9" t="str">
        <f aca="false">IF(AND(A1097&lt;&gt;"",ISNUMBER(Q1097),ISNUMBER(L1097)),ROUND(Q1097-IF(ISNUMBER(N1097),N1097,0)-IF(ISNUMBER(O1097),O1097,0)+IF(ISNUMBER(P1097),P1097,0),2),"")</f>
        <v/>
      </c>
      <c r="S1097" s="9" t="str">
        <f aca="false">IF(R1097="","",ROUND(L1097-R1097,2))</f>
        <v/>
      </c>
      <c r="T1097" s="8" t="str">
        <f aca="false">IF(A1097="","",IF(S1097="","BYPASS",IF(ABS(S1097)&lt;=Summary!$B$2,"PASS","FAIL")))</f>
        <v/>
      </c>
      <c r="U1097" s="8" t="str">
        <f aca="false">IF(T1097="BYPASS",IF(NOT(ISNUMBER(Q1097)),"PreV_ETB missing","End_tr_balance missing"),IF(T1097="FAIL",IF(AND(ISNUMBER(K1097),ISNUMBER(L1097),ABS(L1097-(K1097-IF(ISNUMBER(N1097),N1097,0)-IF(ISNUMBER(O1097),O1097,0)+IF(ISNUMBER(P1097),P1097,0)))&lt;=Summary!$B$2),"Passes using beginning_balance - PreV_ETB differs from beginning_balance",IF(AND(ISNUMBER(O1097),O1097&lt;0,ABS(L1097-(Q1097-IF(ISNUMBER(N1097),N1097,0)+IF(ISNUMBER(P1097),P1097,0)))&lt;=Summary!$B$2),"Negative realized loss not applied - check sign",IF(R1097&lt;0,"Principal paid exceeds prior balance",IF(AND(L1097&gt;Q1097,NOT(ISNUMBER(P1097))),"Balance increased but no Deferred_interest reported",IF(L1097&gt;R1097,"Reported balance higher than expected (missing increase/OC build)","Reported balance lower than expected (missing decrease)"))))),""))</f>
        <v/>
      </c>
    </row>
    <row r="1098" customFormat="false" ht="15" hidden="false" customHeight="false" outlineLevel="0" collapsed="false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9"/>
      <c r="L1098" s="9"/>
      <c r="M1098" s="9"/>
      <c r="N1098" s="9"/>
      <c r="O1098" s="9"/>
      <c r="P1098" s="9"/>
      <c r="Q1098" s="9"/>
      <c r="R1098" s="9" t="str">
        <f aca="false">IF(AND(A1098&lt;&gt;"",ISNUMBER(Q1098),ISNUMBER(L1098)),ROUND(Q1098-IF(ISNUMBER(N1098),N1098,0)-IF(ISNUMBER(O1098),O1098,0)+IF(ISNUMBER(P1098),P1098,0),2),"")</f>
        <v/>
      </c>
      <c r="S1098" s="9" t="str">
        <f aca="false">IF(R1098="","",ROUND(L1098-R1098,2))</f>
        <v/>
      </c>
      <c r="T1098" s="8" t="str">
        <f aca="false">IF(A1098="","",IF(S1098="","BYPASS",IF(ABS(S1098)&lt;=Summary!$B$2,"PASS","FAIL")))</f>
        <v/>
      </c>
      <c r="U1098" s="8" t="str">
        <f aca="false">IF(T1098="BYPASS",IF(NOT(ISNUMBER(Q1098)),"PreV_ETB missing","End_tr_balance missing"),IF(T1098="FAIL",IF(AND(ISNUMBER(K1098),ISNUMBER(L1098),ABS(L1098-(K1098-IF(ISNUMBER(N1098),N1098,0)-IF(ISNUMBER(O1098),O1098,0)+IF(ISNUMBER(P1098),P1098,0)))&lt;=Summary!$B$2),"Passes using beginning_balance - PreV_ETB differs from beginning_balance",IF(AND(ISNUMBER(O1098),O1098&lt;0,ABS(L1098-(Q1098-IF(ISNUMBER(N1098),N1098,0)+IF(ISNUMBER(P1098),P1098,0)))&lt;=Summary!$B$2),"Negative realized loss not applied - check sign",IF(R1098&lt;0,"Principal paid exceeds prior balance",IF(AND(L1098&gt;Q1098,NOT(ISNUMBER(P1098))),"Balance increased but no Deferred_interest reported",IF(L1098&gt;R1098,"Reported balance higher than expected (missing increase/OC build)","Reported balance lower than expected (missing decrease)"))))),""))</f>
        <v/>
      </c>
    </row>
    <row r="1099" customFormat="false" ht="15" hidden="false" customHeight="false" outlineLevel="0" collapsed="false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9"/>
      <c r="L1099" s="9"/>
      <c r="M1099" s="9"/>
      <c r="N1099" s="9"/>
      <c r="O1099" s="9"/>
      <c r="P1099" s="9"/>
      <c r="Q1099" s="9"/>
      <c r="R1099" s="9" t="str">
        <f aca="false">IF(AND(A1099&lt;&gt;"",ISNUMBER(Q1099),ISNUMBER(L1099)),ROUND(Q1099-IF(ISNUMBER(N1099),N1099,0)-IF(ISNUMBER(O1099),O1099,0)+IF(ISNUMBER(P1099),P1099,0),2),"")</f>
        <v/>
      </c>
      <c r="S1099" s="9" t="str">
        <f aca="false">IF(R1099="","",ROUND(L1099-R1099,2))</f>
        <v/>
      </c>
      <c r="T1099" s="8" t="str">
        <f aca="false">IF(A1099="","",IF(S1099="","BYPASS",IF(ABS(S1099)&lt;=Summary!$B$2,"PASS","FAIL")))</f>
        <v/>
      </c>
      <c r="U1099" s="8" t="str">
        <f aca="false">IF(T1099="BYPASS",IF(NOT(ISNUMBER(Q1099)),"PreV_ETB missing","End_tr_balance missing"),IF(T1099="FAIL",IF(AND(ISNUMBER(K1099),ISNUMBER(L1099),ABS(L1099-(K1099-IF(ISNUMBER(N1099),N1099,0)-IF(ISNUMBER(O1099),O1099,0)+IF(ISNUMBER(P1099),P1099,0)))&lt;=Summary!$B$2),"Passes using beginning_balance - PreV_ETB differs from beginning_balance",IF(AND(ISNUMBER(O1099),O1099&lt;0,ABS(L1099-(Q1099-IF(ISNUMBER(N1099),N1099,0)+IF(ISNUMBER(P1099),P1099,0)))&lt;=Summary!$B$2),"Negative realized loss not applied - check sign",IF(R1099&lt;0,"Principal paid exceeds prior balance",IF(AND(L1099&gt;Q1099,NOT(ISNUMBER(P1099))),"Balance increased but no Deferred_interest reported",IF(L1099&gt;R1099,"Reported balance higher than expected (missing increase/OC build)","Reported balance lower than expected (missing decrease)"))))),""))</f>
        <v/>
      </c>
    </row>
    <row r="1100" customFormat="false" ht="15" hidden="false" customHeight="false" outlineLevel="0" collapsed="false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9"/>
      <c r="L1100" s="9"/>
      <c r="M1100" s="9"/>
      <c r="N1100" s="9"/>
      <c r="O1100" s="9"/>
      <c r="P1100" s="9"/>
      <c r="Q1100" s="9"/>
      <c r="R1100" s="9" t="str">
        <f aca="false">IF(AND(A1100&lt;&gt;"",ISNUMBER(Q1100),ISNUMBER(L1100)),ROUND(Q1100-IF(ISNUMBER(N1100),N1100,0)-IF(ISNUMBER(O1100),O1100,0)+IF(ISNUMBER(P1100),P1100,0),2),"")</f>
        <v/>
      </c>
      <c r="S1100" s="9" t="str">
        <f aca="false">IF(R1100="","",ROUND(L1100-R1100,2))</f>
        <v/>
      </c>
      <c r="T1100" s="8" t="str">
        <f aca="false">IF(A1100="","",IF(S1100="","BYPASS",IF(ABS(S1100)&lt;=Summary!$B$2,"PASS","FAIL")))</f>
        <v/>
      </c>
      <c r="U1100" s="8" t="str">
        <f aca="false">IF(T1100="BYPASS",IF(NOT(ISNUMBER(Q1100)),"PreV_ETB missing","End_tr_balance missing"),IF(T1100="FAIL",IF(AND(ISNUMBER(K1100),ISNUMBER(L1100),ABS(L1100-(K1100-IF(ISNUMBER(N1100),N1100,0)-IF(ISNUMBER(O1100),O1100,0)+IF(ISNUMBER(P1100),P1100,0)))&lt;=Summary!$B$2),"Passes using beginning_balance - PreV_ETB differs from beginning_balance",IF(AND(ISNUMBER(O1100),O1100&lt;0,ABS(L1100-(Q1100-IF(ISNUMBER(N1100),N1100,0)+IF(ISNUMBER(P1100),P1100,0)))&lt;=Summary!$B$2),"Negative realized loss not applied - check sign",IF(R1100&lt;0,"Principal paid exceeds prior balance",IF(AND(L1100&gt;Q1100,NOT(ISNUMBER(P1100))),"Balance increased but no Deferred_interest reported",IF(L1100&gt;R1100,"Reported balance higher than expected (missing increase/OC build)","Reported balance lower than expected (missing decrease)"))))),""))</f>
        <v/>
      </c>
    </row>
    <row r="1101" customFormat="false" ht="15" hidden="false" customHeight="false" outlineLevel="0" collapsed="false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9"/>
      <c r="L1101" s="9"/>
      <c r="M1101" s="9"/>
      <c r="N1101" s="9"/>
      <c r="O1101" s="9"/>
      <c r="P1101" s="9"/>
      <c r="Q1101" s="9"/>
      <c r="R1101" s="9" t="str">
        <f aca="false">IF(AND(A1101&lt;&gt;"",ISNUMBER(Q1101),ISNUMBER(L1101)),ROUND(Q1101-IF(ISNUMBER(N1101),N1101,0)-IF(ISNUMBER(O1101),O1101,0)+IF(ISNUMBER(P1101),P1101,0),2),"")</f>
        <v/>
      </c>
      <c r="S1101" s="9" t="str">
        <f aca="false">IF(R1101="","",ROUND(L1101-R1101,2))</f>
        <v/>
      </c>
      <c r="T1101" s="8" t="str">
        <f aca="false">IF(A1101="","",IF(S1101="","BYPASS",IF(ABS(S1101)&lt;=Summary!$B$2,"PASS","FAIL")))</f>
        <v/>
      </c>
      <c r="U1101" s="8" t="str">
        <f aca="false">IF(T1101="BYPASS",IF(NOT(ISNUMBER(Q1101)),"PreV_ETB missing","End_tr_balance missing"),IF(T1101="FAIL",IF(AND(ISNUMBER(K1101),ISNUMBER(L1101),ABS(L1101-(K1101-IF(ISNUMBER(N1101),N1101,0)-IF(ISNUMBER(O1101),O1101,0)+IF(ISNUMBER(P1101),P1101,0)))&lt;=Summary!$B$2),"Passes using beginning_balance - PreV_ETB differs from beginning_balance",IF(AND(ISNUMBER(O1101),O1101&lt;0,ABS(L1101-(Q1101-IF(ISNUMBER(N1101),N1101,0)+IF(ISNUMBER(P1101),P1101,0)))&lt;=Summary!$B$2),"Negative realized loss not applied - check sign",IF(R1101&lt;0,"Principal paid exceeds prior balance",IF(AND(L1101&gt;Q1101,NOT(ISNUMBER(P1101))),"Balance increased but no Deferred_interest reported",IF(L1101&gt;R1101,"Reported balance higher than expected (missing increase/OC build)","Reported balance lower than expected (missing decrease)"))))),""))</f>
        <v/>
      </c>
    </row>
    <row r="1102" customFormat="false" ht="15" hidden="false" customHeight="false" outlineLevel="0" collapsed="false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9"/>
      <c r="L1102" s="9"/>
      <c r="M1102" s="9"/>
      <c r="N1102" s="9"/>
      <c r="O1102" s="9"/>
      <c r="P1102" s="9"/>
      <c r="Q1102" s="9"/>
      <c r="R1102" s="9" t="str">
        <f aca="false">IF(AND(A1102&lt;&gt;"",ISNUMBER(Q1102),ISNUMBER(L1102)),ROUND(Q1102-IF(ISNUMBER(N1102),N1102,0)-IF(ISNUMBER(O1102),O1102,0)+IF(ISNUMBER(P1102),P1102,0),2),"")</f>
        <v/>
      </c>
      <c r="S1102" s="9" t="str">
        <f aca="false">IF(R1102="","",ROUND(L1102-R1102,2))</f>
        <v/>
      </c>
      <c r="T1102" s="8" t="str">
        <f aca="false">IF(A1102="","",IF(S1102="","BYPASS",IF(ABS(S1102)&lt;=Summary!$B$2,"PASS","FAIL")))</f>
        <v/>
      </c>
      <c r="U1102" s="8" t="str">
        <f aca="false">IF(T1102="BYPASS",IF(NOT(ISNUMBER(Q1102)),"PreV_ETB missing","End_tr_balance missing"),IF(T1102="FAIL",IF(AND(ISNUMBER(K1102),ISNUMBER(L1102),ABS(L1102-(K1102-IF(ISNUMBER(N1102),N1102,0)-IF(ISNUMBER(O1102),O1102,0)+IF(ISNUMBER(P1102),P1102,0)))&lt;=Summary!$B$2),"Passes using beginning_balance - PreV_ETB differs from beginning_balance",IF(AND(ISNUMBER(O1102),O1102&lt;0,ABS(L1102-(Q1102-IF(ISNUMBER(N1102),N1102,0)+IF(ISNUMBER(P1102),P1102,0)))&lt;=Summary!$B$2),"Negative realized loss not applied - check sign",IF(R1102&lt;0,"Principal paid exceeds prior balance",IF(AND(L1102&gt;Q1102,NOT(ISNUMBER(P1102))),"Balance increased but no Deferred_interest reported",IF(L1102&gt;R1102,"Reported balance higher than expected (missing increase/OC build)","Reported balance lower than expected (missing decrease)"))))),""))</f>
        <v/>
      </c>
    </row>
    <row r="1103" customFormat="false" ht="15" hidden="false" customHeight="false" outlineLevel="0" collapsed="false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9"/>
      <c r="L1103" s="9"/>
      <c r="M1103" s="9"/>
      <c r="N1103" s="9"/>
      <c r="O1103" s="9"/>
      <c r="P1103" s="9"/>
      <c r="Q1103" s="9"/>
      <c r="R1103" s="9" t="str">
        <f aca="false">IF(AND(A1103&lt;&gt;"",ISNUMBER(Q1103),ISNUMBER(L1103)),ROUND(Q1103-IF(ISNUMBER(N1103),N1103,0)-IF(ISNUMBER(O1103),O1103,0)+IF(ISNUMBER(P1103),P1103,0),2),"")</f>
        <v/>
      </c>
      <c r="S1103" s="9" t="str">
        <f aca="false">IF(R1103="","",ROUND(L1103-R1103,2))</f>
        <v/>
      </c>
      <c r="T1103" s="8" t="str">
        <f aca="false">IF(A1103="","",IF(S1103="","BYPASS",IF(ABS(S1103)&lt;=Summary!$B$2,"PASS","FAIL")))</f>
        <v/>
      </c>
      <c r="U1103" s="8" t="str">
        <f aca="false">IF(T1103="BYPASS",IF(NOT(ISNUMBER(Q1103)),"PreV_ETB missing","End_tr_balance missing"),IF(T1103="FAIL",IF(AND(ISNUMBER(K1103),ISNUMBER(L1103),ABS(L1103-(K1103-IF(ISNUMBER(N1103),N1103,0)-IF(ISNUMBER(O1103),O1103,0)+IF(ISNUMBER(P1103),P1103,0)))&lt;=Summary!$B$2),"Passes using beginning_balance - PreV_ETB differs from beginning_balance",IF(AND(ISNUMBER(O1103),O1103&lt;0,ABS(L1103-(Q1103-IF(ISNUMBER(N1103),N1103,0)+IF(ISNUMBER(P1103),P1103,0)))&lt;=Summary!$B$2),"Negative realized loss not applied - check sign",IF(R1103&lt;0,"Principal paid exceeds prior balance",IF(AND(L1103&gt;Q1103,NOT(ISNUMBER(P1103))),"Balance increased but no Deferred_interest reported",IF(L1103&gt;R1103,"Reported balance higher than expected (missing increase/OC build)","Reported balance lower than expected (missing decrease)"))))),""))</f>
        <v/>
      </c>
    </row>
    <row r="1104" customFormat="false" ht="15" hidden="false" customHeight="false" outlineLevel="0" collapsed="false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9"/>
      <c r="L1104" s="9"/>
      <c r="M1104" s="9"/>
      <c r="N1104" s="9"/>
      <c r="O1104" s="9"/>
      <c r="P1104" s="9"/>
      <c r="Q1104" s="9"/>
      <c r="R1104" s="9" t="str">
        <f aca="false">IF(AND(A1104&lt;&gt;"",ISNUMBER(Q1104),ISNUMBER(L1104)),ROUND(Q1104-IF(ISNUMBER(N1104),N1104,0)-IF(ISNUMBER(O1104),O1104,0)+IF(ISNUMBER(P1104),P1104,0),2),"")</f>
        <v/>
      </c>
      <c r="S1104" s="9" t="str">
        <f aca="false">IF(R1104="","",ROUND(L1104-R1104,2))</f>
        <v/>
      </c>
      <c r="T1104" s="8" t="str">
        <f aca="false">IF(A1104="","",IF(S1104="","BYPASS",IF(ABS(S1104)&lt;=Summary!$B$2,"PASS","FAIL")))</f>
        <v/>
      </c>
      <c r="U1104" s="8" t="str">
        <f aca="false">IF(T1104="BYPASS",IF(NOT(ISNUMBER(Q1104)),"PreV_ETB missing","End_tr_balance missing"),IF(T1104="FAIL",IF(AND(ISNUMBER(K1104),ISNUMBER(L1104),ABS(L1104-(K1104-IF(ISNUMBER(N1104),N1104,0)-IF(ISNUMBER(O1104),O1104,0)+IF(ISNUMBER(P1104),P1104,0)))&lt;=Summary!$B$2),"Passes using beginning_balance - PreV_ETB differs from beginning_balance",IF(AND(ISNUMBER(O1104),O1104&lt;0,ABS(L1104-(Q1104-IF(ISNUMBER(N1104),N1104,0)+IF(ISNUMBER(P1104),P1104,0)))&lt;=Summary!$B$2),"Negative realized loss not applied - check sign",IF(R1104&lt;0,"Principal paid exceeds prior balance",IF(AND(L1104&gt;Q1104,NOT(ISNUMBER(P1104))),"Balance increased but no Deferred_interest reported",IF(L1104&gt;R1104,"Reported balance higher than expected (missing increase/OC build)","Reported balance lower than expected (missing decrease)"))))),""))</f>
        <v/>
      </c>
    </row>
    <row r="1105" customFormat="false" ht="15" hidden="false" customHeight="false" outlineLevel="0" collapsed="false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9"/>
      <c r="L1105" s="9"/>
      <c r="M1105" s="9"/>
      <c r="N1105" s="9"/>
      <c r="O1105" s="9"/>
      <c r="P1105" s="9"/>
      <c r="Q1105" s="9"/>
      <c r="R1105" s="9" t="str">
        <f aca="false">IF(AND(A1105&lt;&gt;"",ISNUMBER(Q1105),ISNUMBER(L1105)),ROUND(Q1105-IF(ISNUMBER(N1105),N1105,0)-IF(ISNUMBER(O1105),O1105,0)+IF(ISNUMBER(P1105),P1105,0),2),"")</f>
        <v/>
      </c>
      <c r="S1105" s="9" t="str">
        <f aca="false">IF(R1105="","",ROUND(L1105-R1105,2))</f>
        <v/>
      </c>
      <c r="T1105" s="8" t="str">
        <f aca="false">IF(A1105="","",IF(S1105="","BYPASS",IF(ABS(S1105)&lt;=Summary!$B$2,"PASS","FAIL")))</f>
        <v/>
      </c>
      <c r="U1105" s="8" t="str">
        <f aca="false">IF(T1105="BYPASS",IF(NOT(ISNUMBER(Q1105)),"PreV_ETB missing","End_tr_balance missing"),IF(T1105="FAIL",IF(AND(ISNUMBER(K1105),ISNUMBER(L1105),ABS(L1105-(K1105-IF(ISNUMBER(N1105),N1105,0)-IF(ISNUMBER(O1105),O1105,0)+IF(ISNUMBER(P1105),P1105,0)))&lt;=Summary!$B$2),"Passes using beginning_balance - PreV_ETB differs from beginning_balance",IF(AND(ISNUMBER(O1105),O1105&lt;0,ABS(L1105-(Q1105-IF(ISNUMBER(N1105),N1105,0)+IF(ISNUMBER(P1105),P1105,0)))&lt;=Summary!$B$2),"Negative realized loss not applied - check sign",IF(R1105&lt;0,"Principal paid exceeds prior balance",IF(AND(L1105&gt;Q1105,NOT(ISNUMBER(P1105))),"Balance increased but no Deferred_interest reported",IF(L1105&gt;R1105,"Reported balance higher than expected (missing increase/OC build)","Reported balance lower than expected (missing decrease)"))))),""))</f>
        <v/>
      </c>
    </row>
    <row r="1106" customFormat="false" ht="15" hidden="false" customHeight="false" outlineLevel="0" collapsed="false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9"/>
      <c r="L1106" s="9"/>
      <c r="M1106" s="9"/>
      <c r="N1106" s="9"/>
      <c r="O1106" s="9"/>
      <c r="P1106" s="9"/>
      <c r="Q1106" s="9"/>
      <c r="R1106" s="9" t="str">
        <f aca="false">IF(AND(A1106&lt;&gt;"",ISNUMBER(Q1106),ISNUMBER(L1106)),ROUND(Q1106-IF(ISNUMBER(N1106),N1106,0)-IF(ISNUMBER(O1106),O1106,0)+IF(ISNUMBER(P1106),P1106,0),2),"")</f>
        <v/>
      </c>
      <c r="S1106" s="9" t="str">
        <f aca="false">IF(R1106="","",ROUND(L1106-R1106,2))</f>
        <v/>
      </c>
      <c r="T1106" s="8" t="str">
        <f aca="false">IF(A1106="","",IF(S1106="","BYPASS",IF(ABS(S1106)&lt;=Summary!$B$2,"PASS","FAIL")))</f>
        <v/>
      </c>
      <c r="U1106" s="8" t="str">
        <f aca="false">IF(T1106="BYPASS",IF(NOT(ISNUMBER(Q1106)),"PreV_ETB missing","End_tr_balance missing"),IF(T1106="FAIL",IF(AND(ISNUMBER(K1106),ISNUMBER(L1106),ABS(L1106-(K1106-IF(ISNUMBER(N1106),N1106,0)-IF(ISNUMBER(O1106),O1106,0)+IF(ISNUMBER(P1106),P1106,0)))&lt;=Summary!$B$2),"Passes using beginning_balance - PreV_ETB differs from beginning_balance",IF(AND(ISNUMBER(O1106),O1106&lt;0,ABS(L1106-(Q1106-IF(ISNUMBER(N1106),N1106,0)+IF(ISNUMBER(P1106),P1106,0)))&lt;=Summary!$B$2),"Negative realized loss not applied - check sign",IF(R1106&lt;0,"Principal paid exceeds prior balance",IF(AND(L1106&gt;Q1106,NOT(ISNUMBER(P1106))),"Balance increased but no Deferred_interest reported",IF(L1106&gt;R1106,"Reported balance higher than expected (missing increase/OC build)","Reported balance lower than expected (missing decrease)"))))),""))</f>
        <v/>
      </c>
    </row>
    <row r="1107" customFormat="false" ht="15" hidden="false" customHeight="false" outlineLevel="0" collapsed="false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9"/>
      <c r="L1107" s="9"/>
      <c r="M1107" s="9"/>
      <c r="N1107" s="9"/>
      <c r="O1107" s="9"/>
      <c r="P1107" s="9"/>
      <c r="Q1107" s="9"/>
      <c r="R1107" s="9" t="str">
        <f aca="false">IF(AND(A1107&lt;&gt;"",ISNUMBER(Q1107),ISNUMBER(L1107)),ROUND(Q1107-IF(ISNUMBER(N1107),N1107,0)-IF(ISNUMBER(O1107),O1107,0)+IF(ISNUMBER(P1107),P1107,0),2),"")</f>
        <v/>
      </c>
      <c r="S1107" s="9" t="str">
        <f aca="false">IF(R1107="","",ROUND(L1107-R1107,2))</f>
        <v/>
      </c>
      <c r="T1107" s="8" t="str">
        <f aca="false">IF(A1107="","",IF(S1107="","BYPASS",IF(ABS(S1107)&lt;=Summary!$B$2,"PASS","FAIL")))</f>
        <v/>
      </c>
      <c r="U1107" s="8" t="str">
        <f aca="false">IF(T1107="BYPASS",IF(NOT(ISNUMBER(Q1107)),"PreV_ETB missing","End_tr_balance missing"),IF(T1107="FAIL",IF(AND(ISNUMBER(K1107),ISNUMBER(L1107),ABS(L1107-(K1107-IF(ISNUMBER(N1107),N1107,0)-IF(ISNUMBER(O1107),O1107,0)+IF(ISNUMBER(P1107),P1107,0)))&lt;=Summary!$B$2),"Passes using beginning_balance - PreV_ETB differs from beginning_balance",IF(AND(ISNUMBER(O1107),O1107&lt;0,ABS(L1107-(Q1107-IF(ISNUMBER(N1107),N1107,0)+IF(ISNUMBER(P1107),P1107,0)))&lt;=Summary!$B$2),"Negative realized loss not applied - check sign",IF(R1107&lt;0,"Principal paid exceeds prior balance",IF(AND(L1107&gt;Q1107,NOT(ISNUMBER(P1107))),"Balance increased but no Deferred_interest reported",IF(L1107&gt;R1107,"Reported balance higher than expected (missing increase/OC build)","Reported balance lower than expected (missing decrease)"))))),""))</f>
        <v/>
      </c>
    </row>
    <row r="1108" customFormat="false" ht="15" hidden="false" customHeight="false" outlineLevel="0" collapsed="false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9"/>
      <c r="L1108" s="9"/>
      <c r="M1108" s="9"/>
      <c r="N1108" s="9"/>
      <c r="O1108" s="9"/>
      <c r="P1108" s="9"/>
      <c r="Q1108" s="9"/>
      <c r="R1108" s="9" t="str">
        <f aca="false">IF(AND(A1108&lt;&gt;"",ISNUMBER(Q1108),ISNUMBER(L1108)),ROUND(Q1108-IF(ISNUMBER(N1108),N1108,0)-IF(ISNUMBER(O1108),O1108,0)+IF(ISNUMBER(P1108),P1108,0),2),"")</f>
        <v/>
      </c>
      <c r="S1108" s="9" t="str">
        <f aca="false">IF(R1108="","",ROUND(L1108-R1108,2))</f>
        <v/>
      </c>
      <c r="T1108" s="8" t="str">
        <f aca="false">IF(A1108="","",IF(S1108="","BYPASS",IF(ABS(S1108)&lt;=Summary!$B$2,"PASS","FAIL")))</f>
        <v/>
      </c>
      <c r="U1108" s="8" t="str">
        <f aca="false">IF(T1108="BYPASS",IF(NOT(ISNUMBER(Q1108)),"PreV_ETB missing","End_tr_balance missing"),IF(T1108="FAIL",IF(AND(ISNUMBER(K1108),ISNUMBER(L1108),ABS(L1108-(K1108-IF(ISNUMBER(N1108),N1108,0)-IF(ISNUMBER(O1108),O1108,0)+IF(ISNUMBER(P1108),P1108,0)))&lt;=Summary!$B$2),"Passes using beginning_balance - PreV_ETB differs from beginning_balance",IF(AND(ISNUMBER(O1108),O1108&lt;0,ABS(L1108-(Q1108-IF(ISNUMBER(N1108),N1108,0)+IF(ISNUMBER(P1108),P1108,0)))&lt;=Summary!$B$2),"Negative realized loss not applied - check sign",IF(R1108&lt;0,"Principal paid exceeds prior balance",IF(AND(L1108&gt;Q1108,NOT(ISNUMBER(P1108))),"Balance increased but no Deferred_interest reported",IF(L1108&gt;R1108,"Reported balance higher than expected (missing increase/OC build)","Reported balance lower than expected (missing decrease)"))))),""))</f>
        <v/>
      </c>
    </row>
    <row r="1109" customFormat="false" ht="15" hidden="false" customHeight="false" outlineLevel="0" collapsed="false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9"/>
      <c r="L1109" s="9"/>
      <c r="M1109" s="9"/>
      <c r="N1109" s="9"/>
      <c r="O1109" s="9"/>
      <c r="P1109" s="9"/>
      <c r="Q1109" s="9"/>
      <c r="R1109" s="9" t="str">
        <f aca="false">IF(AND(A1109&lt;&gt;"",ISNUMBER(Q1109),ISNUMBER(L1109)),ROUND(Q1109-IF(ISNUMBER(N1109),N1109,0)-IF(ISNUMBER(O1109),O1109,0)+IF(ISNUMBER(P1109),P1109,0),2),"")</f>
        <v/>
      </c>
      <c r="S1109" s="9" t="str">
        <f aca="false">IF(R1109="","",ROUND(L1109-R1109,2))</f>
        <v/>
      </c>
      <c r="T1109" s="8" t="str">
        <f aca="false">IF(A1109="","",IF(S1109="","BYPASS",IF(ABS(S1109)&lt;=Summary!$B$2,"PASS","FAIL")))</f>
        <v/>
      </c>
      <c r="U1109" s="8" t="str">
        <f aca="false">IF(T1109="BYPASS",IF(NOT(ISNUMBER(Q1109)),"PreV_ETB missing","End_tr_balance missing"),IF(T1109="FAIL",IF(AND(ISNUMBER(K1109),ISNUMBER(L1109),ABS(L1109-(K1109-IF(ISNUMBER(N1109),N1109,0)-IF(ISNUMBER(O1109),O1109,0)+IF(ISNUMBER(P1109),P1109,0)))&lt;=Summary!$B$2),"Passes using beginning_balance - PreV_ETB differs from beginning_balance",IF(AND(ISNUMBER(O1109),O1109&lt;0,ABS(L1109-(Q1109-IF(ISNUMBER(N1109),N1109,0)+IF(ISNUMBER(P1109),P1109,0)))&lt;=Summary!$B$2),"Negative realized loss not applied - check sign",IF(R1109&lt;0,"Principal paid exceeds prior balance",IF(AND(L1109&gt;Q1109,NOT(ISNUMBER(P1109))),"Balance increased but no Deferred_interest reported",IF(L1109&gt;R1109,"Reported balance higher than expected (missing increase/OC build)","Reported balance lower than expected (missing decrease)"))))),""))</f>
        <v/>
      </c>
    </row>
    <row r="1110" customFormat="false" ht="15" hidden="false" customHeight="false" outlineLevel="0" collapsed="false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9"/>
      <c r="L1110" s="9"/>
      <c r="M1110" s="9"/>
      <c r="N1110" s="9"/>
      <c r="O1110" s="9"/>
      <c r="P1110" s="9"/>
      <c r="Q1110" s="9"/>
      <c r="R1110" s="9" t="str">
        <f aca="false">IF(AND(A1110&lt;&gt;"",ISNUMBER(Q1110),ISNUMBER(L1110)),ROUND(Q1110-IF(ISNUMBER(N1110),N1110,0)-IF(ISNUMBER(O1110),O1110,0)+IF(ISNUMBER(P1110),P1110,0),2),"")</f>
        <v/>
      </c>
      <c r="S1110" s="9" t="str">
        <f aca="false">IF(R1110="","",ROUND(L1110-R1110,2))</f>
        <v/>
      </c>
      <c r="T1110" s="8" t="str">
        <f aca="false">IF(A1110="","",IF(S1110="","BYPASS",IF(ABS(S1110)&lt;=Summary!$B$2,"PASS","FAIL")))</f>
        <v/>
      </c>
      <c r="U1110" s="8" t="str">
        <f aca="false">IF(T1110="BYPASS",IF(NOT(ISNUMBER(Q1110)),"PreV_ETB missing","End_tr_balance missing"),IF(T1110="FAIL",IF(AND(ISNUMBER(K1110),ISNUMBER(L1110),ABS(L1110-(K1110-IF(ISNUMBER(N1110),N1110,0)-IF(ISNUMBER(O1110),O1110,0)+IF(ISNUMBER(P1110),P1110,0)))&lt;=Summary!$B$2),"Passes using beginning_balance - PreV_ETB differs from beginning_balance",IF(AND(ISNUMBER(O1110),O1110&lt;0,ABS(L1110-(Q1110-IF(ISNUMBER(N1110),N1110,0)+IF(ISNUMBER(P1110),P1110,0)))&lt;=Summary!$B$2),"Negative realized loss not applied - check sign",IF(R1110&lt;0,"Principal paid exceeds prior balance",IF(AND(L1110&gt;Q1110,NOT(ISNUMBER(P1110))),"Balance increased but no Deferred_interest reported",IF(L1110&gt;R1110,"Reported balance higher than expected (missing increase/OC build)","Reported balance lower than expected (missing decrease)"))))),""))</f>
        <v/>
      </c>
    </row>
    <row r="1111" customFormat="false" ht="15" hidden="false" customHeight="false" outlineLevel="0" collapsed="false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9"/>
      <c r="L1111" s="9"/>
      <c r="M1111" s="9"/>
      <c r="N1111" s="9"/>
      <c r="O1111" s="9"/>
      <c r="P1111" s="9"/>
      <c r="Q1111" s="9"/>
      <c r="R1111" s="9" t="str">
        <f aca="false">IF(AND(A1111&lt;&gt;"",ISNUMBER(Q1111),ISNUMBER(L1111)),ROUND(Q1111-IF(ISNUMBER(N1111),N1111,0)-IF(ISNUMBER(O1111),O1111,0)+IF(ISNUMBER(P1111),P1111,0),2),"")</f>
        <v/>
      </c>
      <c r="S1111" s="9" t="str">
        <f aca="false">IF(R1111="","",ROUND(L1111-R1111,2))</f>
        <v/>
      </c>
      <c r="T1111" s="8" t="str">
        <f aca="false">IF(A1111="","",IF(S1111="","BYPASS",IF(ABS(S1111)&lt;=Summary!$B$2,"PASS","FAIL")))</f>
        <v/>
      </c>
      <c r="U1111" s="8" t="str">
        <f aca="false">IF(T1111="BYPASS",IF(NOT(ISNUMBER(Q1111)),"PreV_ETB missing","End_tr_balance missing"),IF(T1111="FAIL",IF(AND(ISNUMBER(K1111),ISNUMBER(L1111),ABS(L1111-(K1111-IF(ISNUMBER(N1111),N1111,0)-IF(ISNUMBER(O1111),O1111,0)+IF(ISNUMBER(P1111),P1111,0)))&lt;=Summary!$B$2),"Passes using beginning_balance - PreV_ETB differs from beginning_balance",IF(AND(ISNUMBER(O1111),O1111&lt;0,ABS(L1111-(Q1111-IF(ISNUMBER(N1111),N1111,0)+IF(ISNUMBER(P1111),P1111,0)))&lt;=Summary!$B$2),"Negative realized loss not applied - check sign",IF(R1111&lt;0,"Principal paid exceeds prior balance",IF(AND(L1111&gt;Q1111,NOT(ISNUMBER(P1111))),"Balance increased but no Deferred_interest reported",IF(L1111&gt;R1111,"Reported balance higher than expected (missing increase/OC build)","Reported balance lower than expected (missing decrease)"))))),""))</f>
        <v/>
      </c>
    </row>
    <row r="1112" customFormat="false" ht="15" hidden="false" customHeight="false" outlineLevel="0" collapsed="false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9"/>
      <c r="L1112" s="9"/>
      <c r="M1112" s="9"/>
      <c r="N1112" s="9"/>
      <c r="O1112" s="9"/>
      <c r="P1112" s="9"/>
      <c r="Q1112" s="9"/>
      <c r="R1112" s="9" t="str">
        <f aca="false">IF(AND(A1112&lt;&gt;"",ISNUMBER(Q1112),ISNUMBER(L1112)),ROUND(Q1112-IF(ISNUMBER(N1112),N1112,0)-IF(ISNUMBER(O1112),O1112,0)+IF(ISNUMBER(P1112),P1112,0),2),"")</f>
        <v/>
      </c>
      <c r="S1112" s="9" t="str">
        <f aca="false">IF(R1112="","",ROUND(L1112-R1112,2))</f>
        <v/>
      </c>
      <c r="T1112" s="8" t="str">
        <f aca="false">IF(A1112="","",IF(S1112="","BYPASS",IF(ABS(S1112)&lt;=Summary!$B$2,"PASS","FAIL")))</f>
        <v/>
      </c>
      <c r="U1112" s="8" t="str">
        <f aca="false">IF(T1112="BYPASS",IF(NOT(ISNUMBER(Q1112)),"PreV_ETB missing","End_tr_balance missing"),IF(T1112="FAIL",IF(AND(ISNUMBER(K1112),ISNUMBER(L1112),ABS(L1112-(K1112-IF(ISNUMBER(N1112),N1112,0)-IF(ISNUMBER(O1112),O1112,0)+IF(ISNUMBER(P1112),P1112,0)))&lt;=Summary!$B$2),"Passes using beginning_balance - PreV_ETB differs from beginning_balance",IF(AND(ISNUMBER(O1112),O1112&lt;0,ABS(L1112-(Q1112-IF(ISNUMBER(N1112),N1112,0)+IF(ISNUMBER(P1112),P1112,0)))&lt;=Summary!$B$2),"Negative realized loss not applied - check sign",IF(R1112&lt;0,"Principal paid exceeds prior balance",IF(AND(L1112&gt;Q1112,NOT(ISNUMBER(P1112))),"Balance increased but no Deferred_interest reported",IF(L1112&gt;R1112,"Reported balance higher than expected (missing increase/OC build)","Reported balance lower than expected (missing decrease)"))))),""))</f>
        <v/>
      </c>
    </row>
    <row r="1113" customFormat="false" ht="15" hidden="false" customHeight="false" outlineLevel="0" collapsed="false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9"/>
      <c r="L1113" s="9"/>
      <c r="M1113" s="9"/>
      <c r="N1113" s="9"/>
      <c r="O1113" s="9"/>
      <c r="P1113" s="9"/>
      <c r="Q1113" s="9"/>
      <c r="R1113" s="9" t="str">
        <f aca="false">IF(AND(A1113&lt;&gt;"",ISNUMBER(Q1113),ISNUMBER(L1113)),ROUND(Q1113-IF(ISNUMBER(N1113),N1113,0)-IF(ISNUMBER(O1113),O1113,0)+IF(ISNUMBER(P1113),P1113,0),2),"")</f>
        <v/>
      </c>
      <c r="S1113" s="9" t="str">
        <f aca="false">IF(R1113="","",ROUND(L1113-R1113,2))</f>
        <v/>
      </c>
      <c r="T1113" s="8" t="str">
        <f aca="false">IF(A1113="","",IF(S1113="","BYPASS",IF(ABS(S1113)&lt;=Summary!$B$2,"PASS","FAIL")))</f>
        <v/>
      </c>
      <c r="U1113" s="8" t="str">
        <f aca="false">IF(T1113="BYPASS",IF(NOT(ISNUMBER(Q1113)),"PreV_ETB missing","End_tr_balance missing"),IF(T1113="FAIL",IF(AND(ISNUMBER(K1113),ISNUMBER(L1113),ABS(L1113-(K1113-IF(ISNUMBER(N1113),N1113,0)-IF(ISNUMBER(O1113),O1113,0)+IF(ISNUMBER(P1113),P1113,0)))&lt;=Summary!$B$2),"Passes using beginning_balance - PreV_ETB differs from beginning_balance",IF(AND(ISNUMBER(O1113),O1113&lt;0,ABS(L1113-(Q1113-IF(ISNUMBER(N1113),N1113,0)+IF(ISNUMBER(P1113),P1113,0)))&lt;=Summary!$B$2),"Negative realized loss not applied - check sign",IF(R1113&lt;0,"Principal paid exceeds prior balance",IF(AND(L1113&gt;Q1113,NOT(ISNUMBER(P1113))),"Balance increased but no Deferred_interest reported",IF(L1113&gt;R1113,"Reported balance higher than expected (missing increase/OC build)","Reported balance lower than expected (missing decrease)"))))),""))</f>
        <v/>
      </c>
    </row>
    <row r="1114" customFormat="false" ht="15" hidden="false" customHeight="false" outlineLevel="0" collapsed="false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9"/>
      <c r="L1114" s="9"/>
      <c r="M1114" s="9"/>
      <c r="N1114" s="9"/>
      <c r="O1114" s="9"/>
      <c r="P1114" s="9"/>
      <c r="Q1114" s="9"/>
      <c r="R1114" s="9" t="str">
        <f aca="false">IF(AND(A1114&lt;&gt;"",ISNUMBER(Q1114),ISNUMBER(L1114)),ROUND(Q1114-IF(ISNUMBER(N1114),N1114,0)-IF(ISNUMBER(O1114),O1114,0)+IF(ISNUMBER(P1114),P1114,0),2),"")</f>
        <v/>
      </c>
      <c r="S1114" s="9" t="str">
        <f aca="false">IF(R1114="","",ROUND(L1114-R1114,2))</f>
        <v/>
      </c>
      <c r="T1114" s="8" t="str">
        <f aca="false">IF(A1114="","",IF(S1114="","BYPASS",IF(ABS(S1114)&lt;=Summary!$B$2,"PASS","FAIL")))</f>
        <v/>
      </c>
      <c r="U1114" s="8" t="str">
        <f aca="false">IF(T1114="BYPASS",IF(NOT(ISNUMBER(Q1114)),"PreV_ETB missing","End_tr_balance missing"),IF(T1114="FAIL",IF(AND(ISNUMBER(K1114),ISNUMBER(L1114),ABS(L1114-(K1114-IF(ISNUMBER(N1114),N1114,0)-IF(ISNUMBER(O1114),O1114,0)+IF(ISNUMBER(P1114),P1114,0)))&lt;=Summary!$B$2),"Passes using beginning_balance - PreV_ETB differs from beginning_balance",IF(AND(ISNUMBER(O1114),O1114&lt;0,ABS(L1114-(Q1114-IF(ISNUMBER(N1114),N1114,0)+IF(ISNUMBER(P1114),P1114,0)))&lt;=Summary!$B$2),"Negative realized loss not applied - check sign",IF(R1114&lt;0,"Principal paid exceeds prior balance",IF(AND(L1114&gt;Q1114,NOT(ISNUMBER(P1114))),"Balance increased but no Deferred_interest reported",IF(L1114&gt;R1114,"Reported balance higher than expected (missing increase/OC build)","Reported balance lower than expected (missing decrease)"))))),""))</f>
        <v/>
      </c>
    </row>
    <row r="1115" customFormat="false" ht="15" hidden="false" customHeight="false" outlineLevel="0" collapsed="false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9"/>
      <c r="L1115" s="9"/>
      <c r="M1115" s="9"/>
      <c r="N1115" s="9"/>
      <c r="O1115" s="9"/>
      <c r="P1115" s="9"/>
      <c r="Q1115" s="9"/>
      <c r="R1115" s="9" t="str">
        <f aca="false">IF(AND(A1115&lt;&gt;"",ISNUMBER(Q1115),ISNUMBER(L1115)),ROUND(Q1115-IF(ISNUMBER(N1115),N1115,0)-IF(ISNUMBER(O1115),O1115,0)+IF(ISNUMBER(P1115),P1115,0),2),"")</f>
        <v/>
      </c>
      <c r="S1115" s="9" t="str">
        <f aca="false">IF(R1115="","",ROUND(L1115-R1115,2))</f>
        <v/>
      </c>
      <c r="T1115" s="8" t="str">
        <f aca="false">IF(A1115="","",IF(S1115="","BYPASS",IF(ABS(S1115)&lt;=Summary!$B$2,"PASS","FAIL")))</f>
        <v/>
      </c>
      <c r="U1115" s="8" t="str">
        <f aca="false">IF(T1115="BYPASS",IF(NOT(ISNUMBER(Q1115)),"PreV_ETB missing","End_tr_balance missing"),IF(T1115="FAIL",IF(AND(ISNUMBER(K1115),ISNUMBER(L1115),ABS(L1115-(K1115-IF(ISNUMBER(N1115),N1115,0)-IF(ISNUMBER(O1115),O1115,0)+IF(ISNUMBER(P1115),P1115,0)))&lt;=Summary!$B$2),"Passes using beginning_balance - PreV_ETB differs from beginning_balance",IF(AND(ISNUMBER(O1115),O1115&lt;0,ABS(L1115-(Q1115-IF(ISNUMBER(N1115),N1115,0)+IF(ISNUMBER(P1115),P1115,0)))&lt;=Summary!$B$2),"Negative realized loss not applied - check sign",IF(R1115&lt;0,"Principal paid exceeds prior balance",IF(AND(L1115&gt;Q1115,NOT(ISNUMBER(P1115))),"Balance increased but no Deferred_interest reported",IF(L1115&gt;R1115,"Reported balance higher than expected (missing increase/OC build)","Reported balance lower than expected (missing decrease)"))))),""))</f>
        <v/>
      </c>
    </row>
    <row r="1116" customFormat="false" ht="15" hidden="false" customHeight="false" outlineLevel="0" collapsed="false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9"/>
      <c r="L1116" s="9"/>
      <c r="M1116" s="9"/>
      <c r="N1116" s="9"/>
      <c r="O1116" s="9"/>
      <c r="P1116" s="9"/>
      <c r="Q1116" s="9"/>
      <c r="R1116" s="9" t="str">
        <f aca="false">IF(AND(A1116&lt;&gt;"",ISNUMBER(Q1116),ISNUMBER(L1116)),ROUND(Q1116-IF(ISNUMBER(N1116),N1116,0)-IF(ISNUMBER(O1116),O1116,0)+IF(ISNUMBER(P1116),P1116,0),2),"")</f>
        <v/>
      </c>
      <c r="S1116" s="9" t="str">
        <f aca="false">IF(R1116="","",ROUND(L1116-R1116,2))</f>
        <v/>
      </c>
      <c r="T1116" s="8" t="str">
        <f aca="false">IF(A1116="","",IF(S1116="","BYPASS",IF(ABS(S1116)&lt;=Summary!$B$2,"PASS","FAIL")))</f>
        <v/>
      </c>
      <c r="U1116" s="8" t="str">
        <f aca="false">IF(T1116="BYPASS",IF(NOT(ISNUMBER(Q1116)),"PreV_ETB missing","End_tr_balance missing"),IF(T1116="FAIL",IF(AND(ISNUMBER(K1116),ISNUMBER(L1116),ABS(L1116-(K1116-IF(ISNUMBER(N1116),N1116,0)-IF(ISNUMBER(O1116),O1116,0)+IF(ISNUMBER(P1116),P1116,0)))&lt;=Summary!$B$2),"Passes using beginning_balance - PreV_ETB differs from beginning_balance",IF(AND(ISNUMBER(O1116),O1116&lt;0,ABS(L1116-(Q1116-IF(ISNUMBER(N1116),N1116,0)+IF(ISNUMBER(P1116),P1116,0)))&lt;=Summary!$B$2),"Negative realized loss not applied - check sign",IF(R1116&lt;0,"Principal paid exceeds prior balance",IF(AND(L1116&gt;Q1116,NOT(ISNUMBER(P1116))),"Balance increased but no Deferred_interest reported",IF(L1116&gt;R1116,"Reported balance higher than expected (missing increase/OC build)","Reported balance lower than expected (missing decrease)"))))),""))</f>
        <v/>
      </c>
    </row>
    <row r="1117" customFormat="false" ht="15" hidden="false" customHeight="false" outlineLevel="0" collapsed="false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9"/>
      <c r="L1117" s="9"/>
      <c r="M1117" s="9"/>
      <c r="N1117" s="9"/>
      <c r="O1117" s="9"/>
      <c r="P1117" s="9"/>
      <c r="Q1117" s="9"/>
      <c r="R1117" s="9" t="str">
        <f aca="false">IF(AND(A1117&lt;&gt;"",ISNUMBER(Q1117),ISNUMBER(L1117)),ROUND(Q1117-IF(ISNUMBER(N1117),N1117,0)-IF(ISNUMBER(O1117),O1117,0)+IF(ISNUMBER(P1117),P1117,0),2),"")</f>
        <v/>
      </c>
      <c r="S1117" s="9" t="str">
        <f aca="false">IF(R1117="","",ROUND(L1117-R1117,2))</f>
        <v/>
      </c>
      <c r="T1117" s="8" t="str">
        <f aca="false">IF(A1117="","",IF(S1117="","BYPASS",IF(ABS(S1117)&lt;=Summary!$B$2,"PASS","FAIL")))</f>
        <v/>
      </c>
      <c r="U1117" s="8" t="str">
        <f aca="false">IF(T1117="BYPASS",IF(NOT(ISNUMBER(Q1117)),"PreV_ETB missing","End_tr_balance missing"),IF(T1117="FAIL",IF(AND(ISNUMBER(K1117),ISNUMBER(L1117),ABS(L1117-(K1117-IF(ISNUMBER(N1117),N1117,0)-IF(ISNUMBER(O1117),O1117,0)+IF(ISNUMBER(P1117),P1117,0)))&lt;=Summary!$B$2),"Passes using beginning_balance - PreV_ETB differs from beginning_balance",IF(AND(ISNUMBER(O1117),O1117&lt;0,ABS(L1117-(Q1117-IF(ISNUMBER(N1117),N1117,0)+IF(ISNUMBER(P1117),P1117,0)))&lt;=Summary!$B$2),"Negative realized loss not applied - check sign",IF(R1117&lt;0,"Principal paid exceeds prior balance",IF(AND(L1117&gt;Q1117,NOT(ISNUMBER(P1117))),"Balance increased but no Deferred_interest reported",IF(L1117&gt;R1117,"Reported balance higher than expected (missing increase/OC build)","Reported balance lower than expected (missing decrease)"))))),""))</f>
        <v/>
      </c>
    </row>
    <row r="1118" customFormat="false" ht="15" hidden="false" customHeight="false" outlineLevel="0" collapsed="false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9"/>
      <c r="L1118" s="9"/>
      <c r="M1118" s="9"/>
      <c r="N1118" s="9"/>
      <c r="O1118" s="9"/>
      <c r="P1118" s="9"/>
      <c r="Q1118" s="9"/>
      <c r="R1118" s="9" t="str">
        <f aca="false">IF(AND(A1118&lt;&gt;"",ISNUMBER(Q1118),ISNUMBER(L1118)),ROUND(Q1118-IF(ISNUMBER(N1118),N1118,0)-IF(ISNUMBER(O1118),O1118,0)+IF(ISNUMBER(P1118),P1118,0),2),"")</f>
        <v/>
      </c>
      <c r="S1118" s="9" t="str">
        <f aca="false">IF(R1118="","",ROUND(L1118-R1118,2))</f>
        <v/>
      </c>
      <c r="T1118" s="8" t="str">
        <f aca="false">IF(A1118="","",IF(S1118="","BYPASS",IF(ABS(S1118)&lt;=Summary!$B$2,"PASS","FAIL")))</f>
        <v/>
      </c>
      <c r="U1118" s="8" t="str">
        <f aca="false">IF(T1118="BYPASS",IF(NOT(ISNUMBER(Q1118)),"PreV_ETB missing","End_tr_balance missing"),IF(T1118="FAIL",IF(AND(ISNUMBER(K1118),ISNUMBER(L1118),ABS(L1118-(K1118-IF(ISNUMBER(N1118),N1118,0)-IF(ISNUMBER(O1118),O1118,0)+IF(ISNUMBER(P1118),P1118,0)))&lt;=Summary!$B$2),"Passes using beginning_balance - PreV_ETB differs from beginning_balance",IF(AND(ISNUMBER(O1118),O1118&lt;0,ABS(L1118-(Q1118-IF(ISNUMBER(N1118),N1118,0)+IF(ISNUMBER(P1118),P1118,0)))&lt;=Summary!$B$2),"Negative realized loss not applied - check sign",IF(R1118&lt;0,"Principal paid exceeds prior balance",IF(AND(L1118&gt;Q1118,NOT(ISNUMBER(P1118))),"Balance increased but no Deferred_interest reported",IF(L1118&gt;R1118,"Reported balance higher than expected (missing increase/OC build)","Reported balance lower than expected (missing decrease)"))))),""))</f>
        <v/>
      </c>
    </row>
    <row r="1119" customFormat="false" ht="15" hidden="false" customHeight="false" outlineLevel="0" collapsed="false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9"/>
      <c r="L1119" s="9"/>
      <c r="M1119" s="9"/>
      <c r="N1119" s="9"/>
      <c r="O1119" s="9"/>
      <c r="P1119" s="9"/>
      <c r="Q1119" s="9"/>
      <c r="R1119" s="9" t="str">
        <f aca="false">IF(AND(A1119&lt;&gt;"",ISNUMBER(Q1119),ISNUMBER(L1119)),ROUND(Q1119-IF(ISNUMBER(N1119),N1119,0)-IF(ISNUMBER(O1119),O1119,0)+IF(ISNUMBER(P1119),P1119,0),2),"")</f>
        <v/>
      </c>
      <c r="S1119" s="9" t="str">
        <f aca="false">IF(R1119="","",ROUND(L1119-R1119,2))</f>
        <v/>
      </c>
      <c r="T1119" s="8" t="str">
        <f aca="false">IF(A1119="","",IF(S1119="","BYPASS",IF(ABS(S1119)&lt;=Summary!$B$2,"PASS","FAIL")))</f>
        <v/>
      </c>
      <c r="U1119" s="8" t="str">
        <f aca="false">IF(T1119="BYPASS",IF(NOT(ISNUMBER(Q1119)),"PreV_ETB missing","End_tr_balance missing"),IF(T1119="FAIL",IF(AND(ISNUMBER(K1119),ISNUMBER(L1119),ABS(L1119-(K1119-IF(ISNUMBER(N1119),N1119,0)-IF(ISNUMBER(O1119),O1119,0)+IF(ISNUMBER(P1119),P1119,0)))&lt;=Summary!$B$2),"Passes using beginning_balance - PreV_ETB differs from beginning_balance",IF(AND(ISNUMBER(O1119),O1119&lt;0,ABS(L1119-(Q1119-IF(ISNUMBER(N1119),N1119,0)+IF(ISNUMBER(P1119),P1119,0)))&lt;=Summary!$B$2),"Negative realized loss not applied - check sign",IF(R1119&lt;0,"Principal paid exceeds prior balance",IF(AND(L1119&gt;Q1119,NOT(ISNUMBER(P1119))),"Balance increased but no Deferred_interest reported",IF(L1119&gt;R1119,"Reported balance higher than expected (missing increase/OC build)","Reported balance lower than expected (missing decrease)"))))),""))</f>
        <v/>
      </c>
    </row>
    <row r="1120" customFormat="false" ht="15" hidden="false" customHeight="false" outlineLevel="0" collapsed="false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9"/>
      <c r="L1120" s="9"/>
      <c r="M1120" s="9"/>
      <c r="N1120" s="9"/>
      <c r="O1120" s="9"/>
      <c r="P1120" s="9"/>
      <c r="Q1120" s="9"/>
      <c r="R1120" s="9" t="str">
        <f aca="false">IF(AND(A1120&lt;&gt;"",ISNUMBER(Q1120),ISNUMBER(L1120)),ROUND(Q1120-IF(ISNUMBER(N1120),N1120,0)-IF(ISNUMBER(O1120),O1120,0)+IF(ISNUMBER(P1120),P1120,0),2),"")</f>
        <v/>
      </c>
      <c r="S1120" s="9" t="str">
        <f aca="false">IF(R1120="","",ROUND(L1120-R1120,2))</f>
        <v/>
      </c>
      <c r="T1120" s="8" t="str">
        <f aca="false">IF(A1120="","",IF(S1120="","BYPASS",IF(ABS(S1120)&lt;=Summary!$B$2,"PASS","FAIL")))</f>
        <v/>
      </c>
      <c r="U1120" s="8" t="str">
        <f aca="false">IF(T1120="BYPASS",IF(NOT(ISNUMBER(Q1120)),"PreV_ETB missing","End_tr_balance missing"),IF(T1120="FAIL",IF(AND(ISNUMBER(K1120),ISNUMBER(L1120),ABS(L1120-(K1120-IF(ISNUMBER(N1120),N1120,0)-IF(ISNUMBER(O1120),O1120,0)+IF(ISNUMBER(P1120),P1120,0)))&lt;=Summary!$B$2),"Passes using beginning_balance - PreV_ETB differs from beginning_balance",IF(AND(ISNUMBER(O1120),O1120&lt;0,ABS(L1120-(Q1120-IF(ISNUMBER(N1120),N1120,0)+IF(ISNUMBER(P1120),P1120,0)))&lt;=Summary!$B$2),"Negative realized loss not applied - check sign",IF(R1120&lt;0,"Principal paid exceeds prior balance",IF(AND(L1120&gt;Q1120,NOT(ISNUMBER(P1120))),"Balance increased but no Deferred_interest reported",IF(L1120&gt;R1120,"Reported balance higher than expected (missing increase/OC build)","Reported balance lower than expected (missing decrease)"))))),""))</f>
        <v/>
      </c>
    </row>
    <row r="1121" customFormat="false" ht="15" hidden="false" customHeight="false" outlineLevel="0" collapsed="false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9"/>
      <c r="L1121" s="9"/>
      <c r="M1121" s="9"/>
      <c r="N1121" s="9"/>
      <c r="O1121" s="9"/>
      <c r="P1121" s="9"/>
      <c r="Q1121" s="9"/>
      <c r="R1121" s="9" t="str">
        <f aca="false">IF(AND(A1121&lt;&gt;"",ISNUMBER(Q1121),ISNUMBER(L1121)),ROUND(Q1121-IF(ISNUMBER(N1121),N1121,0)-IF(ISNUMBER(O1121),O1121,0)+IF(ISNUMBER(P1121),P1121,0),2),"")</f>
        <v/>
      </c>
      <c r="S1121" s="9" t="str">
        <f aca="false">IF(R1121="","",ROUND(L1121-R1121,2))</f>
        <v/>
      </c>
      <c r="T1121" s="8" t="str">
        <f aca="false">IF(A1121="","",IF(S1121="","BYPASS",IF(ABS(S1121)&lt;=Summary!$B$2,"PASS","FAIL")))</f>
        <v/>
      </c>
      <c r="U1121" s="8" t="str">
        <f aca="false">IF(T1121="BYPASS",IF(NOT(ISNUMBER(Q1121)),"PreV_ETB missing","End_tr_balance missing"),IF(T1121="FAIL",IF(AND(ISNUMBER(K1121),ISNUMBER(L1121),ABS(L1121-(K1121-IF(ISNUMBER(N1121),N1121,0)-IF(ISNUMBER(O1121),O1121,0)+IF(ISNUMBER(P1121),P1121,0)))&lt;=Summary!$B$2),"Passes using beginning_balance - PreV_ETB differs from beginning_balance",IF(AND(ISNUMBER(O1121),O1121&lt;0,ABS(L1121-(Q1121-IF(ISNUMBER(N1121),N1121,0)+IF(ISNUMBER(P1121),P1121,0)))&lt;=Summary!$B$2),"Negative realized loss not applied - check sign",IF(R1121&lt;0,"Principal paid exceeds prior balance",IF(AND(L1121&gt;Q1121,NOT(ISNUMBER(P1121))),"Balance increased but no Deferred_interest reported",IF(L1121&gt;R1121,"Reported balance higher than expected (missing increase/OC build)","Reported balance lower than expected (missing decrease)"))))),""))</f>
        <v/>
      </c>
    </row>
    <row r="1122" customFormat="false" ht="15" hidden="false" customHeight="false" outlineLevel="0" collapsed="false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9"/>
      <c r="L1122" s="9"/>
      <c r="M1122" s="9"/>
      <c r="N1122" s="9"/>
      <c r="O1122" s="9"/>
      <c r="P1122" s="9"/>
      <c r="Q1122" s="9"/>
      <c r="R1122" s="9" t="str">
        <f aca="false">IF(AND(A1122&lt;&gt;"",ISNUMBER(Q1122),ISNUMBER(L1122)),ROUND(Q1122-IF(ISNUMBER(N1122),N1122,0)-IF(ISNUMBER(O1122),O1122,0)+IF(ISNUMBER(P1122),P1122,0),2),"")</f>
        <v/>
      </c>
      <c r="S1122" s="9" t="str">
        <f aca="false">IF(R1122="","",ROUND(L1122-R1122,2))</f>
        <v/>
      </c>
      <c r="T1122" s="8" t="str">
        <f aca="false">IF(A1122="","",IF(S1122="","BYPASS",IF(ABS(S1122)&lt;=Summary!$B$2,"PASS","FAIL")))</f>
        <v/>
      </c>
      <c r="U1122" s="8" t="str">
        <f aca="false">IF(T1122="BYPASS",IF(NOT(ISNUMBER(Q1122)),"PreV_ETB missing","End_tr_balance missing"),IF(T1122="FAIL",IF(AND(ISNUMBER(K1122),ISNUMBER(L1122),ABS(L1122-(K1122-IF(ISNUMBER(N1122),N1122,0)-IF(ISNUMBER(O1122),O1122,0)+IF(ISNUMBER(P1122),P1122,0)))&lt;=Summary!$B$2),"Passes using beginning_balance - PreV_ETB differs from beginning_balance",IF(AND(ISNUMBER(O1122),O1122&lt;0,ABS(L1122-(Q1122-IF(ISNUMBER(N1122),N1122,0)+IF(ISNUMBER(P1122),P1122,0)))&lt;=Summary!$B$2),"Negative realized loss not applied - check sign",IF(R1122&lt;0,"Principal paid exceeds prior balance",IF(AND(L1122&gt;Q1122,NOT(ISNUMBER(P1122))),"Balance increased but no Deferred_interest reported",IF(L1122&gt;R1122,"Reported balance higher than expected (missing increase/OC build)","Reported balance lower than expected (missing decrease)"))))),""))</f>
        <v/>
      </c>
    </row>
    <row r="1123" customFormat="false" ht="15" hidden="false" customHeight="false" outlineLevel="0" collapsed="false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9"/>
      <c r="L1123" s="9"/>
      <c r="M1123" s="9"/>
      <c r="N1123" s="9"/>
      <c r="O1123" s="9"/>
      <c r="P1123" s="9"/>
      <c r="Q1123" s="9"/>
      <c r="R1123" s="9" t="str">
        <f aca="false">IF(AND(A1123&lt;&gt;"",ISNUMBER(Q1123),ISNUMBER(L1123)),ROUND(Q1123-IF(ISNUMBER(N1123),N1123,0)-IF(ISNUMBER(O1123),O1123,0)+IF(ISNUMBER(P1123),P1123,0),2),"")</f>
        <v/>
      </c>
      <c r="S1123" s="9" t="str">
        <f aca="false">IF(R1123="","",ROUND(L1123-R1123,2))</f>
        <v/>
      </c>
      <c r="T1123" s="8" t="str">
        <f aca="false">IF(A1123="","",IF(S1123="","BYPASS",IF(ABS(S1123)&lt;=Summary!$B$2,"PASS","FAIL")))</f>
        <v/>
      </c>
      <c r="U1123" s="8" t="str">
        <f aca="false">IF(T1123="BYPASS",IF(NOT(ISNUMBER(Q1123)),"PreV_ETB missing","End_tr_balance missing"),IF(T1123="FAIL",IF(AND(ISNUMBER(K1123),ISNUMBER(L1123),ABS(L1123-(K1123-IF(ISNUMBER(N1123),N1123,0)-IF(ISNUMBER(O1123),O1123,0)+IF(ISNUMBER(P1123),P1123,0)))&lt;=Summary!$B$2),"Passes using beginning_balance - PreV_ETB differs from beginning_balance",IF(AND(ISNUMBER(O1123),O1123&lt;0,ABS(L1123-(Q1123-IF(ISNUMBER(N1123),N1123,0)+IF(ISNUMBER(P1123),P1123,0)))&lt;=Summary!$B$2),"Negative realized loss not applied - check sign",IF(R1123&lt;0,"Principal paid exceeds prior balance",IF(AND(L1123&gt;Q1123,NOT(ISNUMBER(P1123))),"Balance increased but no Deferred_interest reported",IF(L1123&gt;R1123,"Reported balance higher than expected (missing increase/OC build)","Reported balance lower than expected (missing decrease)"))))),""))</f>
        <v/>
      </c>
    </row>
    <row r="1124" customFormat="false" ht="15" hidden="false" customHeight="false" outlineLevel="0" collapsed="false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9"/>
      <c r="L1124" s="9"/>
      <c r="M1124" s="9"/>
      <c r="N1124" s="9"/>
      <c r="O1124" s="9"/>
      <c r="P1124" s="9"/>
      <c r="Q1124" s="9"/>
      <c r="R1124" s="9" t="str">
        <f aca="false">IF(AND(A1124&lt;&gt;"",ISNUMBER(Q1124),ISNUMBER(L1124)),ROUND(Q1124-IF(ISNUMBER(N1124),N1124,0)-IF(ISNUMBER(O1124),O1124,0)+IF(ISNUMBER(P1124),P1124,0),2),"")</f>
        <v/>
      </c>
      <c r="S1124" s="9" t="str">
        <f aca="false">IF(R1124="","",ROUND(L1124-R1124,2))</f>
        <v/>
      </c>
      <c r="T1124" s="8" t="str">
        <f aca="false">IF(A1124="","",IF(S1124="","BYPASS",IF(ABS(S1124)&lt;=Summary!$B$2,"PASS","FAIL")))</f>
        <v/>
      </c>
      <c r="U1124" s="8" t="str">
        <f aca="false">IF(T1124="BYPASS",IF(NOT(ISNUMBER(Q1124)),"PreV_ETB missing","End_tr_balance missing"),IF(T1124="FAIL",IF(AND(ISNUMBER(K1124),ISNUMBER(L1124),ABS(L1124-(K1124-IF(ISNUMBER(N1124),N1124,0)-IF(ISNUMBER(O1124),O1124,0)+IF(ISNUMBER(P1124),P1124,0)))&lt;=Summary!$B$2),"Passes using beginning_balance - PreV_ETB differs from beginning_balance",IF(AND(ISNUMBER(O1124),O1124&lt;0,ABS(L1124-(Q1124-IF(ISNUMBER(N1124),N1124,0)+IF(ISNUMBER(P1124),P1124,0)))&lt;=Summary!$B$2),"Negative realized loss not applied - check sign",IF(R1124&lt;0,"Principal paid exceeds prior balance",IF(AND(L1124&gt;Q1124,NOT(ISNUMBER(P1124))),"Balance increased but no Deferred_interest reported",IF(L1124&gt;R1124,"Reported balance higher than expected (missing increase/OC build)","Reported balance lower than expected (missing decrease)"))))),""))</f>
        <v/>
      </c>
    </row>
    <row r="1125" customFormat="false" ht="15" hidden="false" customHeight="false" outlineLevel="0" collapsed="false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9"/>
      <c r="L1125" s="9"/>
      <c r="M1125" s="9"/>
      <c r="N1125" s="9"/>
      <c r="O1125" s="9"/>
      <c r="P1125" s="9"/>
      <c r="Q1125" s="9"/>
      <c r="R1125" s="9" t="str">
        <f aca="false">IF(AND(A1125&lt;&gt;"",ISNUMBER(Q1125),ISNUMBER(L1125)),ROUND(Q1125-IF(ISNUMBER(N1125),N1125,0)-IF(ISNUMBER(O1125),O1125,0)+IF(ISNUMBER(P1125),P1125,0),2),"")</f>
        <v/>
      </c>
      <c r="S1125" s="9" t="str">
        <f aca="false">IF(R1125="","",ROUND(L1125-R1125,2))</f>
        <v/>
      </c>
      <c r="T1125" s="8" t="str">
        <f aca="false">IF(A1125="","",IF(S1125="","BYPASS",IF(ABS(S1125)&lt;=Summary!$B$2,"PASS","FAIL")))</f>
        <v/>
      </c>
      <c r="U1125" s="8" t="str">
        <f aca="false">IF(T1125="BYPASS",IF(NOT(ISNUMBER(Q1125)),"PreV_ETB missing","End_tr_balance missing"),IF(T1125="FAIL",IF(AND(ISNUMBER(K1125),ISNUMBER(L1125),ABS(L1125-(K1125-IF(ISNUMBER(N1125),N1125,0)-IF(ISNUMBER(O1125),O1125,0)+IF(ISNUMBER(P1125),P1125,0)))&lt;=Summary!$B$2),"Passes using beginning_balance - PreV_ETB differs from beginning_balance",IF(AND(ISNUMBER(O1125),O1125&lt;0,ABS(L1125-(Q1125-IF(ISNUMBER(N1125),N1125,0)+IF(ISNUMBER(P1125),P1125,0)))&lt;=Summary!$B$2),"Negative realized loss not applied - check sign",IF(R1125&lt;0,"Principal paid exceeds prior balance",IF(AND(L1125&gt;Q1125,NOT(ISNUMBER(P1125))),"Balance increased but no Deferred_interest reported",IF(L1125&gt;R1125,"Reported balance higher than expected (missing increase/OC build)","Reported balance lower than expected (missing decrease)"))))),""))</f>
        <v/>
      </c>
    </row>
    <row r="1126" customFormat="false" ht="15" hidden="false" customHeight="false" outlineLevel="0" collapsed="false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9"/>
      <c r="L1126" s="9"/>
      <c r="M1126" s="9"/>
      <c r="N1126" s="9"/>
      <c r="O1126" s="9"/>
      <c r="P1126" s="9"/>
      <c r="Q1126" s="9"/>
      <c r="R1126" s="9" t="str">
        <f aca="false">IF(AND(A1126&lt;&gt;"",ISNUMBER(Q1126),ISNUMBER(L1126)),ROUND(Q1126-IF(ISNUMBER(N1126),N1126,0)-IF(ISNUMBER(O1126),O1126,0)+IF(ISNUMBER(P1126),P1126,0),2),"")</f>
        <v/>
      </c>
      <c r="S1126" s="9" t="str">
        <f aca="false">IF(R1126="","",ROUND(L1126-R1126,2))</f>
        <v/>
      </c>
      <c r="T1126" s="8" t="str">
        <f aca="false">IF(A1126="","",IF(S1126="","BYPASS",IF(ABS(S1126)&lt;=Summary!$B$2,"PASS","FAIL")))</f>
        <v/>
      </c>
      <c r="U1126" s="8" t="str">
        <f aca="false">IF(T1126="BYPASS",IF(NOT(ISNUMBER(Q1126)),"PreV_ETB missing","End_tr_balance missing"),IF(T1126="FAIL",IF(AND(ISNUMBER(K1126),ISNUMBER(L1126),ABS(L1126-(K1126-IF(ISNUMBER(N1126),N1126,0)-IF(ISNUMBER(O1126),O1126,0)+IF(ISNUMBER(P1126),P1126,0)))&lt;=Summary!$B$2),"Passes using beginning_balance - PreV_ETB differs from beginning_balance",IF(AND(ISNUMBER(O1126),O1126&lt;0,ABS(L1126-(Q1126-IF(ISNUMBER(N1126),N1126,0)+IF(ISNUMBER(P1126),P1126,0)))&lt;=Summary!$B$2),"Negative realized loss not applied - check sign",IF(R1126&lt;0,"Principal paid exceeds prior balance",IF(AND(L1126&gt;Q1126,NOT(ISNUMBER(P1126))),"Balance increased but no Deferred_interest reported",IF(L1126&gt;R1126,"Reported balance higher than expected (missing increase/OC build)","Reported balance lower than expected (missing decrease)"))))),""))</f>
        <v/>
      </c>
    </row>
    <row r="1127" customFormat="false" ht="15" hidden="false" customHeight="false" outlineLevel="0" collapsed="false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9"/>
      <c r="L1127" s="9"/>
      <c r="M1127" s="9"/>
      <c r="N1127" s="9"/>
      <c r="O1127" s="9"/>
      <c r="P1127" s="9"/>
      <c r="Q1127" s="9"/>
      <c r="R1127" s="9" t="str">
        <f aca="false">IF(AND(A1127&lt;&gt;"",ISNUMBER(Q1127),ISNUMBER(L1127)),ROUND(Q1127-IF(ISNUMBER(N1127),N1127,0)-IF(ISNUMBER(O1127),O1127,0)+IF(ISNUMBER(P1127),P1127,0),2),"")</f>
        <v/>
      </c>
      <c r="S1127" s="9" t="str">
        <f aca="false">IF(R1127="","",ROUND(L1127-R1127,2))</f>
        <v/>
      </c>
      <c r="T1127" s="8" t="str">
        <f aca="false">IF(A1127="","",IF(S1127="","BYPASS",IF(ABS(S1127)&lt;=Summary!$B$2,"PASS","FAIL")))</f>
        <v/>
      </c>
      <c r="U1127" s="8" t="str">
        <f aca="false">IF(T1127="BYPASS",IF(NOT(ISNUMBER(Q1127)),"PreV_ETB missing","End_tr_balance missing"),IF(T1127="FAIL",IF(AND(ISNUMBER(K1127),ISNUMBER(L1127),ABS(L1127-(K1127-IF(ISNUMBER(N1127),N1127,0)-IF(ISNUMBER(O1127),O1127,0)+IF(ISNUMBER(P1127),P1127,0)))&lt;=Summary!$B$2),"Passes using beginning_balance - PreV_ETB differs from beginning_balance",IF(AND(ISNUMBER(O1127),O1127&lt;0,ABS(L1127-(Q1127-IF(ISNUMBER(N1127),N1127,0)+IF(ISNUMBER(P1127),P1127,0)))&lt;=Summary!$B$2),"Negative realized loss not applied - check sign",IF(R1127&lt;0,"Principal paid exceeds prior balance",IF(AND(L1127&gt;Q1127,NOT(ISNUMBER(P1127))),"Balance increased but no Deferred_interest reported",IF(L1127&gt;R1127,"Reported balance higher than expected (missing increase/OC build)","Reported balance lower than expected (missing decrease)"))))),""))</f>
        <v/>
      </c>
    </row>
    <row r="1128" customFormat="false" ht="15" hidden="false" customHeight="false" outlineLevel="0" collapsed="false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9"/>
      <c r="L1128" s="9"/>
      <c r="M1128" s="9"/>
      <c r="N1128" s="9"/>
      <c r="O1128" s="9"/>
      <c r="P1128" s="9"/>
      <c r="Q1128" s="9"/>
      <c r="R1128" s="9" t="str">
        <f aca="false">IF(AND(A1128&lt;&gt;"",ISNUMBER(Q1128),ISNUMBER(L1128)),ROUND(Q1128-IF(ISNUMBER(N1128),N1128,0)-IF(ISNUMBER(O1128),O1128,0)+IF(ISNUMBER(P1128),P1128,0),2),"")</f>
        <v/>
      </c>
      <c r="S1128" s="9" t="str">
        <f aca="false">IF(R1128="","",ROUND(L1128-R1128,2))</f>
        <v/>
      </c>
      <c r="T1128" s="8" t="str">
        <f aca="false">IF(A1128="","",IF(S1128="","BYPASS",IF(ABS(S1128)&lt;=Summary!$B$2,"PASS","FAIL")))</f>
        <v/>
      </c>
      <c r="U1128" s="8" t="str">
        <f aca="false">IF(T1128="BYPASS",IF(NOT(ISNUMBER(Q1128)),"PreV_ETB missing","End_tr_balance missing"),IF(T1128="FAIL",IF(AND(ISNUMBER(K1128),ISNUMBER(L1128),ABS(L1128-(K1128-IF(ISNUMBER(N1128),N1128,0)-IF(ISNUMBER(O1128),O1128,0)+IF(ISNUMBER(P1128),P1128,0)))&lt;=Summary!$B$2),"Passes using beginning_balance - PreV_ETB differs from beginning_balance",IF(AND(ISNUMBER(O1128),O1128&lt;0,ABS(L1128-(Q1128-IF(ISNUMBER(N1128),N1128,0)+IF(ISNUMBER(P1128),P1128,0)))&lt;=Summary!$B$2),"Negative realized loss not applied - check sign",IF(R1128&lt;0,"Principal paid exceeds prior balance",IF(AND(L1128&gt;Q1128,NOT(ISNUMBER(P1128))),"Balance increased but no Deferred_interest reported",IF(L1128&gt;R1128,"Reported balance higher than expected (missing increase/OC build)","Reported balance lower than expected (missing decrease)"))))),""))</f>
        <v/>
      </c>
    </row>
    <row r="1129" customFormat="false" ht="15" hidden="false" customHeight="false" outlineLevel="0" collapsed="false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9"/>
      <c r="L1129" s="9"/>
      <c r="M1129" s="9"/>
      <c r="N1129" s="9"/>
      <c r="O1129" s="9"/>
      <c r="P1129" s="9"/>
      <c r="Q1129" s="9"/>
      <c r="R1129" s="9" t="str">
        <f aca="false">IF(AND(A1129&lt;&gt;"",ISNUMBER(Q1129),ISNUMBER(L1129)),ROUND(Q1129-IF(ISNUMBER(N1129),N1129,0)-IF(ISNUMBER(O1129),O1129,0)+IF(ISNUMBER(P1129),P1129,0),2),"")</f>
        <v/>
      </c>
      <c r="S1129" s="9" t="str">
        <f aca="false">IF(R1129="","",ROUND(L1129-R1129,2))</f>
        <v/>
      </c>
      <c r="T1129" s="8" t="str">
        <f aca="false">IF(A1129="","",IF(S1129="","BYPASS",IF(ABS(S1129)&lt;=Summary!$B$2,"PASS","FAIL")))</f>
        <v/>
      </c>
      <c r="U1129" s="8" t="str">
        <f aca="false">IF(T1129="BYPASS",IF(NOT(ISNUMBER(Q1129)),"PreV_ETB missing","End_tr_balance missing"),IF(T1129="FAIL",IF(AND(ISNUMBER(K1129),ISNUMBER(L1129),ABS(L1129-(K1129-IF(ISNUMBER(N1129),N1129,0)-IF(ISNUMBER(O1129),O1129,0)+IF(ISNUMBER(P1129),P1129,0)))&lt;=Summary!$B$2),"Passes using beginning_balance - PreV_ETB differs from beginning_balance",IF(AND(ISNUMBER(O1129),O1129&lt;0,ABS(L1129-(Q1129-IF(ISNUMBER(N1129),N1129,0)+IF(ISNUMBER(P1129),P1129,0)))&lt;=Summary!$B$2),"Negative realized loss not applied - check sign",IF(R1129&lt;0,"Principal paid exceeds prior balance",IF(AND(L1129&gt;Q1129,NOT(ISNUMBER(P1129))),"Balance increased but no Deferred_interest reported",IF(L1129&gt;R1129,"Reported balance higher than expected (missing increase/OC build)","Reported balance lower than expected (missing decrease)"))))),""))</f>
        <v/>
      </c>
    </row>
    <row r="1130" customFormat="false" ht="15" hidden="false" customHeight="false" outlineLevel="0" collapsed="false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9"/>
      <c r="L1130" s="9"/>
      <c r="M1130" s="9"/>
      <c r="N1130" s="9"/>
      <c r="O1130" s="9"/>
      <c r="P1130" s="9"/>
      <c r="Q1130" s="9"/>
      <c r="R1130" s="9" t="str">
        <f aca="false">IF(AND(A1130&lt;&gt;"",ISNUMBER(Q1130),ISNUMBER(L1130)),ROUND(Q1130-IF(ISNUMBER(N1130),N1130,0)-IF(ISNUMBER(O1130),O1130,0)+IF(ISNUMBER(P1130),P1130,0),2),"")</f>
        <v/>
      </c>
      <c r="S1130" s="9" t="str">
        <f aca="false">IF(R1130="","",ROUND(L1130-R1130,2))</f>
        <v/>
      </c>
      <c r="T1130" s="8" t="str">
        <f aca="false">IF(A1130="","",IF(S1130="","BYPASS",IF(ABS(S1130)&lt;=Summary!$B$2,"PASS","FAIL")))</f>
        <v/>
      </c>
      <c r="U1130" s="8" t="str">
        <f aca="false">IF(T1130="BYPASS",IF(NOT(ISNUMBER(Q1130)),"PreV_ETB missing","End_tr_balance missing"),IF(T1130="FAIL",IF(AND(ISNUMBER(K1130),ISNUMBER(L1130),ABS(L1130-(K1130-IF(ISNUMBER(N1130),N1130,0)-IF(ISNUMBER(O1130),O1130,0)+IF(ISNUMBER(P1130),P1130,0)))&lt;=Summary!$B$2),"Passes using beginning_balance - PreV_ETB differs from beginning_balance",IF(AND(ISNUMBER(O1130),O1130&lt;0,ABS(L1130-(Q1130-IF(ISNUMBER(N1130),N1130,0)+IF(ISNUMBER(P1130),P1130,0)))&lt;=Summary!$B$2),"Negative realized loss not applied - check sign",IF(R1130&lt;0,"Principal paid exceeds prior balance",IF(AND(L1130&gt;Q1130,NOT(ISNUMBER(P1130))),"Balance increased but no Deferred_interest reported",IF(L1130&gt;R1130,"Reported balance higher than expected (missing increase/OC build)","Reported balance lower than expected (missing decrease)"))))),""))</f>
        <v/>
      </c>
    </row>
    <row r="1131" customFormat="false" ht="15" hidden="false" customHeight="false" outlineLevel="0" collapsed="false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9"/>
      <c r="L1131" s="9"/>
      <c r="M1131" s="9"/>
      <c r="N1131" s="9"/>
      <c r="O1131" s="9"/>
      <c r="P1131" s="9"/>
      <c r="Q1131" s="9"/>
      <c r="R1131" s="9" t="str">
        <f aca="false">IF(AND(A1131&lt;&gt;"",ISNUMBER(Q1131),ISNUMBER(L1131)),ROUND(Q1131-IF(ISNUMBER(N1131),N1131,0)-IF(ISNUMBER(O1131),O1131,0)+IF(ISNUMBER(P1131),P1131,0),2),"")</f>
        <v/>
      </c>
      <c r="S1131" s="9" t="str">
        <f aca="false">IF(R1131="","",ROUND(L1131-R1131,2))</f>
        <v/>
      </c>
      <c r="T1131" s="8" t="str">
        <f aca="false">IF(A1131="","",IF(S1131="","BYPASS",IF(ABS(S1131)&lt;=Summary!$B$2,"PASS","FAIL")))</f>
        <v/>
      </c>
      <c r="U1131" s="8" t="str">
        <f aca="false">IF(T1131="BYPASS",IF(NOT(ISNUMBER(Q1131)),"PreV_ETB missing","End_tr_balance missing"),IF(T1131="FAIL",IF(AND(ISNUMBER(K1131),ISNUMBER(L1131),ABS(L1131-(K1131-IF(ISNUMBER(N1131),N1131,0)-IF(ISNUMBER(O1131),O1131,0)+IF(ISNUMBER(P1131),P1131,0)))&lt;=Summary!$B$2),"Passes using beginning_balance - PreV_ETB differs from beginning_balance",IF(AND(ISNUMBER(O1131),O1131&lt;0,ABS(L1131-(Q1131-IF(ISNUMBER(N1131),N1131,0)+IF(ISNUMBER(P1131),P1131,0)))&lt;=Summary!$B$2),"Negative realized loss not applied - check sign",IF(R1131&lt;0,"Principal paid exceeds prior balance",IF(AND(L1131&gt;Q1131,NOT(ISNUMBER(P1131))),"Balance increased but no Deferred_interest reported",IF(L1131&gt;R1131,"Reported balance higher than expected (missing increase/OC build)","Reported balance lower than expected (missing decrease)"))))),""))</f>
        <v/>
      </c>
    </row>
    <row r="1132" customFormat="false" ht="15" hidden="false" customHeight="false" outlineLevel="0" collapsed="false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9"/>
      <c r="L1132" s="9"/>
      <c r="M1132" s="9"/>
      <c r="N1132" s="9"/>
      <c r="O1132" s="9"/>
      <c r="P1132" s="9"/>
      <c r="Q1132" s="9"/>
      <c r="R1132" s="9" t="str">
        <f aca="false">IF(AND(A1132&lt;&gt;"",ISNUMBER(Q1132),ISNUMBER(L1132)),ROUND(Q1132-IF(ISNUMBER(N1132),N1132,0)-IF(ISNUMBER(O1132),O1132,0)+IF(ISNUMBER(P1132),P1132,0),2),"")</f>
        <v/>
      </c>
      <c r="S1132" s="9" t="str">
        <f aca="false">IF(R1132="","",ROUND(L1132-R1132,2))</f>
        <v/>
      </c>
      <c r="T1132" s="8" t="str">
        <f aca="false">IF(A1132="","",IF(S1132="","BYPASS",IF(ABS(S1132)&lt;=Summary!$B$2,"PASS","FAIL")))</f>
        <v/>
      </c>
      <c r="U1132" s="8" t="str">
        <f aca="false">IF(T1132="BYPASS",IF(NOT(ISNUMBER(Q1132)),"PreV_ETB missing","End_tr_balance missing"),IF(T1132="FAIL",IF(AND(ISNUMBER(K1132),ISNUMBER(L1132),ABS(L1132-(K1132-IF(ISNUMBER(N1132),N1132,0)-IF(ISNUMBER(O1132),O1132,0)+IF(ISNUMBER(P1132),P1132,0)))&lt;=Summary!$B$2),"Passes using beginning_balance - PreV_ETB differs from beginning_balance",IF(AND(ISNUMBER(O1132),O1132&lt;0,ABS(L1132-(Q1132-IF(ISNUMBER(N1132),N1132,0)+IF(ISNUMBER(P1132),P1132,0)))&lt;=Summary!$B$2),"Negative realized loss not applied - check sign",IF(R1132&lt;0,"Principal paid exceeds prior balance",IF(AND(L1132&gt;Q1132,NOT(ISNUMBER(P1132))),"Balance increased but no Deferred_interest reported",IF(L1132&gt;R1132,"Reported balance higher than expected (missing increase/OC build)","Reported balance lower than expected (missing decrease)"))))),""))</f>
        <v/>
      </c>
    </row>
    <row r="1133" customFormat="false" ht="15" hidden="false" customHeight="false" outlineLevel="0" collapsed="false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9"/>
      <c r="L1133" s="9"/>
      <c r="M1133" s="9"/>
      <c r="N1133" s="9"/>
      <c r="O1133" s="9"/>
      <c r="P1133" s="9"/>
      <c r="Q1133" s="9"/>
      <c r="R1133" s="9" t="str">
        <f aca="false">IF(AND(A1133&lt;&gt;"",ISNUMBER(Q1133),ISNUMBER(L1133)),ROUND(Q1133-IF(ISNUMBER(N1133),N1133,0)-IF(ISNUMBER(O1133),O1133,0)+IF(ISNUMBER(P1133),P1133,0),2),"")</f>
        <v/>
      </c>
      <c r="S1133" s="9" t="str">
        <f aca="false">IF(R1133="","",ROUND(L1133-R1133,2))</f>
        <v/>
      </c>
      <c r="T1133" s="8" t="str">
        <f aca="false">IF(A1133="","",IF(S1133="","BYPASS",IF(ABS(S1133)&lt;=Summary!$B$2,"PASS","FAIL")))</f>
        <v/>
      </c>
      <c r="U1133" s="8" t="str">
        <f aca="false">IF(T1133="BYPASS",IF(NOT(ISNUMBER(Q1133)),"PreV_ETB missing","End_tr_balance missing"),IF(T1133="FAIL",IF(AND(ISNUMBER(K1133),ISNUMBER(L1133),ABS(L1133-(K1133-IF(ISNUMBER(N1133),N1133,0)-IF(ISNUMBER(O1133),O1133,0)+IF(ISNUMBER(P1133),P1133,0)))&lt;=Summary!$B$2),"Passes using beginning_balance - PreV_ETB differs from beginning_balance",IF(AND(ISNUMBER(O1133),O1133&lt;0,ABS(L1133-(Q1133-IF(ISNUMBER(N1133),N1133,0)+IF(ISNUMBER(P1133),P1133,0)))&lt;=Summary!$B$2),"Negative realized loss not applied - check sign",IF(R1133&lt;0,"Principal paid exceeds prior balance",IF(AND(L1133&gt;Q1133,NOT(ISNUMBER(P1133))),"Balance increased but no Deferred_interest reported",IF(L1133&gt;R1133,"Reported balance higher than expected (missing increase/OC build)","Reported balance lower than expected (missing decrease)"))))),""))</f>
        <v/>
      </c>
    </row>
    <row r="1134" customFormat="false" ht="15" hidden="false" customHeight="false" outlineLevel="0" collapsed="false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9"/>
      <c r="L1134" s="9"/>
      <c r="M1134" s="9"/>
      <c r="N1134" s="9"/>
      <c r="O1134" s="9"/>
      <c r="P1134" s="9"/>
      <c r="Q1134" s="9"/>
      <c r="R1134" s="9" t="str">
        <f aca="false">IF(AND(A1134&lt;&gt;"",ISNUMBER(Q1134),ISNUMBER(L1134)),ROUND(Q1134-IF(ISNUMBER(N1134),N1134,0)-IF(ISNUMBER(O1134),O1134,0)+IF(ISNUMBER(P1134),P1134,0),2),"")</f>
        <v/>
      </c>
      <c r="S1134" s="9" t="str">
        <f aca="false">IF(R1134="","",ROUND(L1134-R1134,2))</f>
        <v/>
      </c>
      <c r="T1134" s="8" t="str">
        <f aca="false">IF(A1134="","",IF(S1134="","BYPASS",IF(ABS(S1134)&lt;=Summary!$B$2,"PASS","FAIL")))</f>
        <v/>
      </c>
      <c r="U1134" s="8" t="str">
        <f aca="false">IF(T1134="BYPASS",IF(NOT(ISNUMBER(Q1134)),"PreV_ETB missing","End_tr_balance missing"),IF(T1134="FAIL",IF(AND(ISNUMBER(K1134),ISNUMBER(L1134),ABS(L1134-(K1134-IF(ISNUMBER(N1134),N1134,0)-IF(ISNUMBER(O1134),O1134,0)+IF(ISNUMBER(P1134),P1134,0)))&lt;=Summary!$B$2),"Passes using beginning_balance - PreV_ETB differs from beginning_balance",IF(AND(ISNUMBER(O1134),O1134&lt;0,ABS(L1134-(Q1134-IF(ISNUMBER(N1134),N1134,0)+IF(ISNUMBER(P1134),P1134,0)))&lt;=Summary!$B$2),"Negative realized loss not applied - check sign",IF(R1134&lt;0,"Principal paid exceeds prior balance",IF(AND(L1134&gt;Q1134,NOT(ISNUMBER(P1134))),"Balance increased but no Deferred_interest reported",IF(L1134&gt;R1134,"Reported balance higher than expected (missing increase/OC build)","Reported balance lower than expected (missing decrease)"))))),""))</f>
        <v/>
      </c>
    </row>
    <row r="1135" customFormat="false" ht="15" hidden="false" customHeight="false" outlineLevel="0" collapsed="false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9"/>
      <c r="L1135" s="9"/>
      <c r="M1135" s="9"/>
      <c r="N1135" s="9"/>
      <c r="O1135" s="9"/>
      <c r="P1135" s="9"/>
      <c r="Q1135" s="9"/>
      <c r="R1135" s="9" t="str">
        <f aca="false">IF(AND(A1135&lt;&gt;"",ISNUMBER(Q1135),ISNUMBER(L1135)),ROUND(Q1135-IF(ISNUMBER(N1135),N1135,0)-IF(ISNUMBER(O1135),O1135,0)+IF(ISNUMBER(P1135),P1135,0),2),"")</f>
        <v/>
      </c>
      <c r="S1135" s="9" t="str">
        <f aca="false">IF(R1135="","",ROUND(L1135-R1135,2))</f>
        <v/>
      </c>
      <c r="T1135" s="8" t="str">
        <f aca="false">IF(A1135="","",IF(S1135="","BYPASS",IF(ABS(S1135)&lt;=Summary!$B$2,"PASS","FAIL")))</f>
        <v/>
      </c>
      <c r="U1135" s="8" t="str">
        <f aca="false">IF(T1135="BYPASS",IF(NOT(ISNUMBER(Q1135)),"PreV_ETB missing","End_tr_balance missing"),IF(T1135="FAIL",IF(AND(ISNUMBER(K1135),ISNUMBER(L1135),ABS(L1135-(K1135-IF(ISNUMBER(N1135),N1135,0)-IF(ISNUMBER(O1135),O1135,0)+IF(ISNUMBER(P1135),P1135,0)))&lt;=Summary!$B$2),"Passes using beginning_balance - PreV_ETB differs from beginning_balance",IF(AND(ISNUMBER(O1135),O1135&lt;0,ABS(L1135-(Q1135-IF(ISNUMBER(N1135),N1135,0)+IF(ISNUMBER(P1135),P1135,0)))&lt;=Summary!$B$2),"Negative realized loss not applied - check sign",IF(R1135&lt;0,"Principal paid exceeds prior balance",IF(AND(L1135&gt;Q1135,NOT(ISNUMBER(P1135))),"Balance increased but no Deferred_interest reported",IF(L1135&gt;R1135,"Reported balance higher than expected (missing increase/OC build)","Reported balance lower than expected (missing decrease)"))))),""))</f>
        <v/>
      </c>
    </row>
    <row r="1136" customFormat="false" ht="15" hidden="false" customHeight="false" outlineLevel="0" collapsed="false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9"/>
      <c r="L1136" s="9"/>
      <c r="M1136" s="9"/>
      <c r="N1136" s="9"/>
      <c r="O1136" s="9"/>
      <c r="P1136" s="9"/>
      <c r="Q1136" s="9"/>
      <c r="R1136" s="9" t="str">
        <f aca="false">IF(AND(A1136&lt;&gt;"",ISNUMBER(Q1136),ISNUMBER(L1136)),ROUND(Q1136-IF(ISNUMBER(N1136),N1136,0)-IF(ISNUMBER(O1136),O1136,0)+IF(ISNUMBER(P1136),P1136,0),2),"")</f>
        <v/>
      </c>
      <c r="S1136" s="9" t="str">
        <f aca="false">IF(R1136="","",ROUND(L1136-R1136,2))</f>
        <v/>
      </c>
      <c r="T1136" s="8" t="str">
        <f aca="false">IF(A1136="","",IF(S1136="","BYPASS",IF(ABS(S1136)&lt;=Summary!$B$2,"PASS","FAIL")))</f>
        <v/>
      </c>
      <c r="U1136" s="8" t="str">
        <f aca="false">IF(T1136="BYPASS",IF(NOT(ISNUMBER(Q1136)),"PreV_ETB missing","End_tr_balance missing"),IF(T1136="FAIL",IF(AND(ISNUMBER(K1136),ISNUMBER(L1136),ABS(L1136-(K1136-IF(ISNUMBER(N1136),N1136,0)-IF(ISNUMBER(O1136),O1136,0)+IF(ISNUMBER(P1136),P1136,0)))&lt;=Summary!$B$2),"Passes using beginning_balance - PreV_ETB differs from beginning_balance",IF(AND(ISNUMBER(O1136),O1136&lt;0,ABS(L1136-(Q1136-IF(ISNUMBER(N1136),N1136,0)+IF(ISNUMBER(P1136),P1136,0)))&lt;=Summary!$B$2),"Negative realized loss not applied - check sign",IF(R1136&lt;0,"Principal paid exceeds prior balance",IF(AND(L1136&gt;Q1136,NOT(ISNUMBER(P1136))),"Balance increased but no Deferred_interest reported",IF(L1136&gt;R1136,"Reported balance higher than expected (missing increase/OC build)","Reported balance lower than expected (missing decrease)"))))),""))</f>
        <v/>
      </c>
    </row>
    <row r="1137" customFormat="false" ht="15" hidden="false" customHeight="false" outlineLevel="0" collapsed="false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9"/>
      <c r="L1137" s="9"/>
      <c r="M1137" s="9"/>
      <c r="N1137" s="9"/>
      <c r="O1137" s="9"/>
      <c r="P1137" s="9"/>
      <c r="Q1137" s="9"/>
      <c r="R1137" s="9" t="str">
        <f aca="false">IF(AND(A1137&lt;&gt;"",ISNUMBER(Q1137),ISNUMBER(L1137)),ROUND(Q1137-IF(ISNUMBER(N1137),N1137,0)-IF(ISNUMBER(O1137),O1137,0)+IF(ISNUMBER(P1137),P1137,0),2),"")</f>
        <v/>
      </c>
      <c r="S1137" s="9" t="str">
        <f aca="false">IF(R1137="","",ROUND(L1137-R1137,2))</f>
        <v/>
      </c>
      <c r="T1137" s="8" t="str">
        <f aca="false">IF(A1137="","",IF(S1137="","BYPASS",IF(ABS(S1137)&lt;=Summary!$B$2,"PASS","FAIL")))</f>
        <v/>
      </c>
      <c r="U1137" s="8" t="str">
        <f aca="false">IF(T1137="BYPASS",IF(NOT(ISNUMBER(Q1137)),"PreV_ETB missing","End_tr_balance missing"),IF(T1137="FAIL",IF(AND(ISNUMBER(K1137),ISNUMBER(L1137),ABS(L1137-(K1137-IF(ISNUMBER(N1137),N1137,0)-IF(ISNUMBER(O1137),O1137,0)+IF(ISNUMBER(P1137),P1137,0)))&lt;=Summary!$B$2),"Passes using beginning_balance - PreV_ETB differs from beginning_balance",IF(AND(ISNUMBER(O1137),O1137&lt;0,ABS(L1137-(Q1137-IF(ISNUMBER(N1137),N1137,0)+IF(ISNUMBER(P1137),P1137,0)))&lt;=Summary!$B$2),"Negative realized loss not applied - check sign",IF(R1137&lt;0,"Principal paid exceeds prior balance",IF(AND(L1137&gt;Q1137,NOT(ISNUMBER(P1137))),"Balance increased but no Deferred_interest reported",IF(L1137&gt;R1137,"Reported balance higher than expected (missing increase/OC build)","Reported balance lower than expected (missing decrease)"))))),""))</f>
        <v/>
      </c>
    </row>
    <row r="1138" customFormat="false" ht="15" hidden="false" customHeight="false" outlineLevel="0" collapsed="false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9"/>
      <c r="L1138" s="9"/>
      <c r="M1138" s="9"/>
      <c r="N1138" s="9"/>
      <c r="O1138" s="9"/>
      <c r="P1138" s="9"/>
      <c r="Q1138" s="9"/>
      <c r="R1138" s="9" t="str">
        <f aca="false">IF(AND(A1138&lt;&gt;"",ISNUMBER(Q1138),ISNUMBER(L1138)),ROUND(Q1138-IF(ISNUMBER(N1138),N1138,0)-IF(ISNUMBER(O1138),O1138,0)+IF(ISNUMBER(P1138),P1138,0),2),"")</f>
        <v/>
      </c>
      <c r="S1138" s="9" t="str">
        <f aca="false">IF(R1138="","",ROUND(L1138-R1138,2))</f>
        <v/>
      </c>
      <c r="T1138" s="8" t="str">
        <f aca="false">IF(A1138="","",IF(S1138="","BYPASS",IF(ABS(S1138)&lt;=Summary!$B$2,"PASS","FAIL")))</f>
        <v/>
      </c>
      <c r="U1138" s="8" t="str">
        <f aca="false">IF(T1138="BYPASS",IF(NOT(ISNUMBER(Q1138)),"PreV_ETB missing","End_tr_balance missing"),IF(T1138="FAIL",IF(AND(ISNUMBER(K1138),ISNUMBER(L1138),ABS(L1138-(K1138-IF(ISNUMBER(N1138),N1138,0)-IF(ISNUMBER(O1138),O1138,0)+IF(ISNUMBER(P1138),P1138,0)))&lt;=Summary!$B$2),"Passes using beginning_balance - PreV_ETB differs from beginning_balance",IF(AND(ISNUMBER(O1138),O1138&lt;0,ABS(L1138-(Q1138-IF(ISNUMBER(N1138),N1138,0)+IF(ISNUMBER(P1138),P1138,0)))&lt;=Summary!$B$2),"Negative realized loss not applied - check sign",IF(R1138&lt;0,"Principal paid exceeds prior balance",IF(AND(L1138&gt;Q1138,NOT(ISNUMBER(P1138))),"Balance increased but no Deferred_interest reported",IF(L1138&gt;R1138,"Reported balance higher than expected (missing increase/OC build)","Reported balance lower than expected (missing decrease)"))))),""))</f>
        <v/>
      </c>
    </row>
    <row r="1139" customFormat="false" ht="15" hidden="false" customHeight="false" outlineLevel="0" collapsed="false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9"/>
      <c r="L1139" s="9"/>
      <c r="M1139" s="9"/>
      <c r="N1139" s="9"/>
      <c r="O1139" s="9"/>
      <c r="P1139" s="9"/>
      <c r="Q1139" s="9"/>
      <c r="R1139" s="9" t="str">
        <f aca="false">IF(AND(A1139&lt;&gt;"",ISNUMBER(Q1139),ISNUMBER(L1139)),ROUND(Q1139-IF(ISNUMBER(N1139),N1139,0)-IF(ISNUMBER(O1139),O1139,0)+IF(ISNUMBER(P1139),P1139,0),2),"")</f>
        <v/>
      </c>
      <c r="S1139" s="9" t="str">
        <f aca="false">IF(R1139="","",ROUND(L1139-R1139,2))</f>
        <v/>
      </c>
      <c r="T1139" s="8" t="str">
        <f aca="false">IF(A1139="","",IF(S1139="","BYPASS",IF(ABS(S1139)&lt;=Summary!$B$2,"PASS","FAIL")))</f>
        <v/>
      </c>
      <c r="U1139" s="8" t="str">
        <f aca="false">IF(T1139="BYPASS",IF(NOT(ISNUMBER(Q1139)),"PreV_ETB missing","End_tr_balance missing"),IF(T1139="FAIL",IF(AND(ISNUMBER(K1139),ISNUMBER(L1139),ABS(L1139-(K1139-IF(ISNUMBER(N1139),N1139,0)-IF(ISNUMBER(O1139),O1139,0)+IF(ISNUMBER(P1139),P1139,0)))&lt;=Summary!$B$2),"Passes using beginning_balance - PreV_ETB differs from beginning_balance",IF(AND(ISNUMBER(O1139),O1139&lt;0,ABS(L1139-(Q1139-IF(ISNUMBER(N1139),N1139,0)+IF(ISNUMBER(P1139),P1139,0)))&lt;=Summary!$B$2),"Negative realized loss not applied - check sign",IF(R1139&lt;0,"Principal paid exceeds prior balance",IF(AND(L1139&gt;Q1139,NOT(ISNUMBER(P1139))),"Balance increased but no Deferred_interest reported",IF(L1139&gt;R1139,"Reported balance higher than expected (missing increase/OC build)","Reported balance lower than expected (missing decrease)"))))),""))</f>
        <v/>
      </c>
    </row>
    <row r="1140" customFormat="false" ht="15" hidden="false" customHeight="false" outlineLevel="0" collapsed="false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9"/>
      <c r="L1140" s="9"/>
      <c r="M1140" s="9"/>
      <c r="N1140" s="9"/>
      <c r="O1140" s="9"/>
      <c r="P1140" s="9"/>
      <c r="Q1140" s="9"/>
      <c r="R1140" s="9" t="str">
        <f aca="false">IF(AND(A1140&lt;&gt;"",ISNUMBER(Q1140),ISNUMBER(L1140)),ROUND(Q1140-IF(ISNUMBER(N1140),N1140,0)-IF(ISNUMBER(O1140),O1140,0)+IF(ISNUMBER(P1140),P1140,0),2),"")</f>
        <v/>
      </c>
      <c r="S1140" s="9" t="str">
        <f aca="false">IF(R1140="","",ROUND(L1140-R1140,2))</f>
        <v/>
      </c>
      <c r="T1140" s="8" t="str">
        <f aca="false">IF(A1140="","",IF(S1140="","BYPASS",IF(ABS(S1140)&lt;=Summary!$B$2,"PASS","FAIL")))</f>
        <v/>
      </c>
      <c r="U1140" s="8" t="str">
        <f aca="false">IF(T1140="BYPASS",IF(NOT(ISNUMBER(Q1140)),"PreV_ETB missing","End_tr_balance missing"),IF(T1140="FAIL",IF(AND(ISNUMBER(K1140),ISNUMBER(L1140),ABS(L1140-(K1140-IF(ISNUMBER(N1140),N1140,0)-IF(ISNUMBER(O1140),O1140,0)+IF(ISNUMBER(P1140),P1140,0)))&lt;=Summary!$B$2),"Passes using beginning_balance - PreV_ETB differs from beginning_balance",IF(AND(ISNUMBER(O1140),O1140&lt;0,ABS(L1140-(Q1140-IF(ISNUMBER(N1140),N1140,0)+IF(ISNUMBER(P1140),P1140,0)))&lt;=Summary!$B$2),"Negative realized loss not applied - check sign",IF(R1140&lt;0,"Principal paid exceeds prior balance",IF(AND(L1140&gt;Q1140,NOT(ISNUMBER(P1140))),"Balance increased but no Deferred_interest reported",IF(L1140&gt;R1140,"Reported balance higher than expected (missing increase/OC build)","Reported balance lower than expected (missing decrease)"))))),""))</f>
        <v/>
      </c>
    </row>
    <row r="1141" customFormat="false" ht="15" hidden="false" customHeight="false" outlineLevel="0" collapsed="false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9"/>
      <c r="L1141" s="9"/>
      <c r="M1141" s="9"/>
      <c r="N1141" s="9"/>
      <c r="O1141" s="9"/>
      <c r="P1141" s="9"/>
      <c r="Q1141" s="9"/>
      <c r="R1141" s="9" t="str">
        <f aca="false">IF(AND(A1141&lt;&gt;"",ISNUMBER(Q1141),ISNUMBER(L1141)),ROUND(Q1141-IF(ISNUMBER(N1141),N1141,0)-IF(ISNUMBER(O1141),O1141,0)+IF(ISNUMBER(P1141),P1141,0),2),"")</f>
        <v/>
      </c>
      <c r="S1141" s="9" t="str">
        <f aca="false">IF(R1141="","",ROUND(L1141-R1141,2))</f>
        <v/>
      </c>
      <c r="T1141" s="8" t="str">
        <f aca="false">IF(A1141="","",IF(S1141="","BYPASS",IF(ABS(S1141)&lt;=Summary!$B$2,"PASS","FAIL")))</f>
        <v/>
      </c>
      <c r="U1141" s="8" t="str">
        <f aca="false">IF(T1141="BYPASS",IF(NOT(ISNUMBER(Q1141)),"PreV_ETB missing","End_tr_balance missing"),IF(T1141="FAIL",IF(AND(ISNUMBER(K1141),ISNUMBER(L1141),ABS(L1141-(K1141-IF(ISNUMBER(N1141),N1141,0)-IF(ISNUMBER(O1141),O1141,0)+IF(ISNUMBER(P1141),P1141,0)))&lt;=Summary!$B$2),"Passes using beginning_balance - PreV_ETB differs from beginning_balance",IF(AND(ISNUMBER(O1141),O1141&lt;0,ABS(L1141-(Q1141-IF(ISNUMBER(N1141),N1141,0)+IF(ISNUMBER(P1141),P1141,0)))&lt;=Summary!$B$2),"Negative realized loss not applied - check sign",IF(R1141&lt;0,"Principal paid exceeds prior balance",IF(AND(L1141&gt;Q1141,NOT(ISNUMBER(P1141))),"Balance increased but no Deferred_interest reported",IF(L1141&gt;R1141,"Reported balance higher than expected (missing increase/OC build)","Reported balance lower than expected (missing decrease)"))))),""))</f>
        <v/>
      </c>
    </row>
    <row r="1142" customFormat="false" ht="15" hidden="false" customHeight="false" outlineLevel="0" collapsed="false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9"/>
      <c r="L1142" s="9"/>
      <c r="M1142" s="9"/>
      <c r="N1142" s="9"/>
      <c r="O1142" s="9"/>
      <c r="P1142" s="9"/>
      <c r="Q1142" s="9"/>
      <c r="R1142" s="9" t="str">
        <f aca="false">IF(AND(A1142&lt;&gt;"",ISNUMBER(Q1142),ISNUMBER(L1142)),ROUND(Q1142-IF(ISNUMBER(N1142),N1142,0)-IF(ISNUMBER(O1142),O1142,0)+IF(ISNUMBER(P1142),P1142,0),2),"")</f>
        <v/>
      </c>
      <c r="S1142" s="9" t="str">
        <f aca="false">IF(R1142="","",ROUND(L1142-R1142,2))</f>
        <v/>
      </c>
      <c r="T1142" s="8" t="str">
        <f aca="false">IF(A1142="","",IF(S1142="","BYPASS",IF(ABS(S1142)&lt;=Summary!$B$2,"PASS","FAIL")))</f>
        <v/>
      </c>
      <c r="U1142" s="8" t="str">
        <f aca="false">IF(T1142="BYPASS",IF(NOT(ISNUMBER(Q1142)),"PreV_ETB missing","End_tr_balance missing"),IF(T1142="FAIL",IF(AND(ISNUMBER(K1142),ISNUMBER(L1142),ABS(L1142-(K1142-IF(ISNUMBER(N1142),N1142,0)-IF(ISNUMBER(O1142),O1142,0)+IF(ISNUMBER(P1142),P1142,0)))&lt;=Summary!$B$2),"Passes using beginning_balance - PreV_ETB differs from beginning_balance",IF(AND(ISNUMBER(O1142),O1142&lt;0,ABS(L1142-(Q1142-IF(ISNUMBER(N1142),N1142,0)+IF(ISNUMBER(P1142),P1142,0)))&lt;=Summary!$B$2),"Negative realized loss not applied - check sign",IF(R1142&lt;0,"Principal paid exceeds prior balance",IF(AND(L1142&gt;Q1142,NOT(ISNUMBER(P1142))),"Balance increased but no Deferred_interest reported",IF(L1142&gt;R1142,"Reported balance higher than expected (missing increase/OC build)","Reported balance lower than expected (missing decrease)"))))),""))</f>
        <v/>
      </c>
    </row>
    <row r="1143" customFormat="false" ht="15" hidden="false" customHeight="false" outlineLevel="0" collapsed="false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9"/>
      <c r="L1143" s="9"/>
      <c r="M1143" s="9"/>
      <c r="N1143" s="9"/>
      <c r="O1143" s="9"/>
      <c r="P1143" s="9"/>
      <c r="Q1143" s="9"/>
      <c r="R1143" s="9" t="str">
        <f aca="false">IF(AND(A1143&lt;&gt;"",ISNUMBER(Q1143),ISNUMBER(L1143)),ROUND(Q1143-IF(ISNUMBER(N1143),N1143,0)-IF(ISNUMBER(O1143),O1143,0)+IF(ISNUMBER(P1143),P1143,0),2),"")</f>
        <v/>
      </c>
      <c r="S1143" s="9" t="str">
        <f aca="false">IF(R1143="","",ROUND(L1143-R1143,2))</f>
        <v/>
      </c>
      <c r="T1143" s="8" t="str">
        <f aca="false">IF(A1143="","",IF(S1143="","BYPASS",IF(ABS(S1143)&lt;=Summary!$B$2,"PASS","FAIL")))</f>
        <v/>
      </c>
      <c r="U1143" s="8" t="str">
        <f aca="false">IF(T1143="BYPASS",IF(NOT(ISNUMBER(Q1143)),"PreV_ETB missing","End_tr_balance missing"),IF(T1143="FAIL",IF(AND(ISNUMBER(K1143),ISNUMBER(L1143),ABS(L1143-(K1143-IF(ISNUMBER(N1143),N1143,0)-IF(ISNUMBER(O1143),O1143,0)+IF(ISNUMBER(P1143),P1143,0)))&lt;=Summary!$B$2),"Passes using beginning_balance - PreV_ETB differs from beginning_balance",IF(AND(ISNUMBER(O1143),O1143&lt;0,ABS(L1143-(Q1143-IF(ISNUMBER(N1143),N1143,0)+IF(ISNUMBER(P1143),P1143,0)))&lt;=Summary!$B$2),"Negative realized loss not applied - check sign",IF(R1143&lt;0,"Principal paid exceeds prior balance",IF(AND(L1143&gt;Q1143,NOT(ISNUMBER(P1143))),"Balance increased but no Deferred_interest reported",IF(L1143&gt;R1143,"Reported balance higher than expected (missing increase/OC build)","Reported balance lower than expected (missing decrease)"))))),""))</f>
        <v/>
      </c>
    </row>
    <row r="1144" customFormat="false" ht="15" hidden="false" customHeight="false" outlineLevel="0" collapsed="false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9"/>
      <c r="L1144" s="9"/>
      <c r="M1144" s="9"/>
      <c r="N1144" s="9"/>
      <c r="O1144" s="9"/>
      <c r="P1144" s="9"/>
      <c r="Q1144" s="9"/>
      <c r="R1144" s="9" t="str">
        <f aca="false">IF(AND(A1144&lt;&gt;"",ISNUMBER(Q1144),ISNUMBER(L1144)),ROUND(Q1144-IF(ISNUMBER(N1144),N1144,0)-IF(ISNUMBER(O1144),O1144,0)+IF(ISNUMBER(P1144),P1144,0),2),"")</f>
        <v/>
      </c>
      <c r="S1144" s="9" t="str">
        <f aca="false">IF(R1144="","",ROUND(L1144-R1144,2))</f>
        <v/>
      </c>
      <c r="T1144" s="8" t="str">
        <f aca="false">IF(A1144="","",IF(S1144="","BYPASS",IF(ABS(S1144)&lt;=Summary!$B$2,"PASS","FAIL")))</f>
        <v/>
      </c>
      <c r="U1144" s="8" t="str">
        <f aca="false">IF(T1144="BYPASS",IF(NOT(ISNUMBER(Q1144)),"PreV_ETB missing","End_tr_balance missing"),IF(T1144="FAIL",IF(AND(ISNUMBER(K1144),ISNUMBER(L1144),ABS(L1144-(K1144-IF(ISNUMBER(N1144),N1144,0)-IF(ISNUMBER(O1144),O1144,0)+IF(ISNUMBER(P1144),P1144,0)))&lt;=Summary!$B$2),"Passes using beginning_balance - PreV_ETB differs from beginning_balance",IF(AND(ISNUMBER(O1144),O1144&lt;0,ABS(L1144-(Q1144-IF(ISNUMBER(N1144),N1144,0)+IF(ISNUMBER(P1144),P1144,0)))&lt;=Summary!$B$2),"Negative realized loss not applied - check sign",IF(R1144&lt;0,"Principal paid exceeds prior balance",IF(AND(L1144&gt;Q1144,NOT(ISNUMBER(P1144))),"Balance increased but no Deferred_interest reported",IF(L1144&gt;R1144,"Reported balance higher than expected (missing increase/OC build)","Reported balance lower than expected (missing decrease)"))))),""))</f>
        <v/>
      </c>
    </row>
    <row r="1145" customFormat="false" ht="15" hidden="false" customHeight="false" outlineLevel="0" collapsed="false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9"/>
      <c r="L1145" s="9"/>
      <c r="M1145" s="9"/>
      <c r="N1145" s="9"/>
      <c r="O1145" s="9"/>
      <c r="P1145" s="9"/>
      <c r="Q1145" s="9"/>
      <c r="R1145" s="9" t="str">
        <f aca="false">IF(AND(A1145&lt;&gt;"",ISNUMBER(Q1145),ISNUMBER(L1145)),ROUND(Q1145-IF(ISNUMBER(N1145),N1145,0)-IF(ISNUMBER(O1145),O1145,0)+IF(ISNUMBER(P1145),P1145,0),2),"")</f>
        <v/>
      </c>
      <c r="S1145" s="9" t="str">
        <f aca="false">IF(R1145="","",ROUND(L1145-R1145,2))</f>
        <v/>
      </c>
      <c r="T1145" s="8" t="str">
        <f aca="false">IF(A1145="","",IF(S1145="","BYPASS",IF(ABS(S1145)&lt;=Summary!$B$2,"PASS","FAIL")))</f>
        <v/>
      </c>
      <c r="U1145" s="8" t="str">
        <f aca="false">IF(T1145="BYPASS",IF(NOT(ISNUMBER(Q1145)),"PreV_ETB missing","End_tr_balance missing"),IF(T1145="FAIL",IF(AND(ISNUMBER(K1145),ISNUMBER(L1145),ABS(L1145-(K1145-IF(ISNUMBER(N1145),N1145,0)-IF(ISNUMBER(O1145),O1145,0)+IF(ISNUMBER(P1145),P1145,0)))&lt;=Summary!$B$2),"Passes using beginning_balance - PreV_ETB differs from beginning_balance",IF(AND(ISNUMBER(O1145),O1145&lt;0,ABS(L1145-(Q1145-IF(ISNUMBER(N1145),N1145,0)+IF(ISNUMBER(P1145),P1145,0)))&lt;=Summary!$B$2),"Negative realized loss not applied - check sign",IF(R1145&lt;0,"Principal paid exceeds prior balance",IF(AND(L1145&gt;Q1145,NOT(ISNUMBER(P1145))),"Balance increased but no Deferred_interest reported",IF(L1145&gt;R1145,"Reported balance higher than expected (missing increase/OC build)","Reported balance lower than expected (missing decrease)"))))),""))</f>
        <v/>
      </c>
    </row>
    <row r="1146" customFormat="false" ht="15" hidden="false" customHeight="false" outlineLevel="0" collapsed="false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9"/>
      <c r="L1146" s="9"/>
      <c r="M1146" s="9"/>
      <c r="N1146" s="9"/>
      <c r="O1146" s="9"/>
      <c r="P1146" s="9"/>
      <c r="Q1146" s="9"/>
      <c r="R1146" s="9" t="str">
        <f aca="false">IF(AND(A1146&lt;&gt;"",ISNUMBER(Q1146),ISNUMBER(L1146)),ROUND(Q1146-IF(ISNUMBER(N1146),N1146,0)-IF(ISNUMBER(O1146),O1146,0)+IF(ISNUMBER(P1146),P1146,0),2),"")</f>
        <v/>
      </c>
      <c r="S1146" s="9" t="str">
        <f aca="false">IF(R1146="","",ROUND(L1146-R1146,2))</f>
        <v/>
      </c>
      <c r="T1146" s="8" t="str">
        <f aca="false">IF(A1146="","",IF(S1146="","BYPASS",IF(ABS(S1146)&lt;=Summary!$B$2,"PASS","FAIL")))</f>
        <v/>
      </c>
      <c r="U1146" s="8" t="str">
        <f aca="false">IF(T1146="BYPASS",IF(NOT(ISNUMBER(Q1146)),"PreV_ETB missing","End_tr_balance missing"),IF(T1146="FAIL",IF(AND(ISNUMBER(K1146),ISNUMBER(L1146),ABS(L1146-(K1146-IF(ISNUMBER(N1146),N1146,0)-IF(ISNUMBER(O1146),O1146,0)+IF(ISNUMBER(P1146),P1146,0)))&lt;=Summary!$B$2),"Passes using beginning_balance - PreV_ETB differs from beginning_balance",IF(AND(ISNUMBER(O1146),O1146&lt;0,ABS(L1146-(Q1146-IF(ISNUMBER(N1146),N1146,0)+IF(ISNUMBER(P1146),P1146,0)))&lt;=Summary!$B$2),"Negative realized loss not applied - check sign",IF(R1146&lt;0,"Principal paid exceeds prior balance",IF(AND(L1146&gt;Q1146,NOT(ISNUMBER(P1146))),"Balance increased but no Deferred_interest reported",IF(L1146&gt;R1146,"Reported balance higher than expected (missing increase/OC build)","Reported balance lower than expected (missing decrease)"))))),""))</f>
        <v/>
      </c>
    </row>
    <row r="1147" customFormat="false" ht="15" hidden="false" customHeight="false" outlineLevel="0" collapsed="false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9"/>
      <c r="L1147" s="9"/>
      <c r="M1147" s="9"/>
      <c r="N1147" s="9"/>
      <c r="O1147" s="9"/>
      <c r="P1147" s="9"/>
      <c r="Q1147" s="9"/>
      <c r="R1147" s="9" t="str">
        <f aca="false">IF(AND(A1147&lt;&gt;"",ISNUMBER(Q1147),ISNUMBER(L1147)),ROUND(Q1147-IF(ISNUMBER(N1147),N1147,0)-IF(ISNUMBER(O1147),O1147,0)+IF(ISNUMBER(P1147),P1147,0),2),"")</f>
        <v/>
      </c>
      <c r="S1147" s="9" t="str">
        <f aca="false">IF(R1147="","",ROUND(L1147-R1147,2))</f>
        <v/>
      </c>
      <c r="T1147" s="8" t="str">
        <f aca="false">IF(A1147="","",IF(S1147="","BYPASS",IF(ABS(S1147)&lt;=Summary!$B$2,"PASS","FAIL")))</f>
        <v/>
      </c>
      <c r="U1147" s="8" t="str">
        <f aca="false">IF(T1147="BYPASS",IF(NOT(ISNUMBER(Q1147)),"PreV_ETB missing","End_tr_balance missing"),IF(T1147="FAIL",IF(AND(ISNUMBER(K1147),ISNUMBER(L1147),ABS(L1147-(K1147-IF(ISNUMBER(N1147),N1147,0)-IF(ISNUMBER(O1147),O1147,0)+IF(ISNUMBER(P1147),P1147,0)))&lt;=Summary!$B$2),"Passes using beginning_balance - PreV_ETB differs from beginning_balance",IF(AND(ISNUMBER(O1147),O1147&lt;0,ABS(L1147-(Q1147-IF(ISNUMBER(N1147),N1147,0)+IF(ISNUMBER(P1147),P1147,0)))&lt;=Summary!$B$2),"Negative realized loss not applied - check sign",IF(R1147&lt;0,"Principal paid exceeds prior balance",IF(AND(L1147&gt;Q1147,NOT(ISNUMBER(P1147))),"Balance increased but no Deferred_interest reported",IF(L1147&gt;R1147,"Reported balance higher than expected (missing increase/OC build)","Reported balance lower than expected (missing decrease)"))))),""))</f>
        <v/>
      </c>
    </row>
    <row r="1148" customFormat="false" ht="15" hidden="false" customHeight="false" outlineLevel="0" collapsed="false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9"/>
      <c r="L1148" s="9"/>
      <c r="M1148" s="9"/>
      <c r="N1148" s="9"/>
      <c r="O1148" s="9"/>
      <c r="P1148" s="9"/>
      <c r="Q1148" s="9"/>
      <c r="R1148" s="9" t="str">
        <f aca="false">IF(AND(A1148&lt;&gt;"",ISNUMBER(Q1148),ISNUMBER(L1148)),ROUND(Q1148-IF(ISNUMBER(N1148),N1148,0)-IF(ISNUMBER(O1148),O1148,0)+IF(ISNUMBER(P1148),P1148,0),2),"")</f>
        <v/>
      </c>
      <c r="S1148" s="9" t="str">
        <f aca="false">IF(R1148="","",ROUND(L1148-R1148,2))</f>
        <v/>
      </c>
      <c r="T1148" s="8" t="str">
        <f aca="false">IF(A1148="","",IF(S1148="","BYPASS",IF(ABS(S1148)&lt;=Summary!$B$2,"PASS","FAIL")))</f>
        <v/>
      </c>
      <c r="U1148" s="8" t="str">
        <f aca="false">IF(T1148="BYPASS",IF(NOT(ISNUMBER(Q1148)),"PreV_ETB missing","End_tr_balance missing"),IF(T1148="FAIL",IF(AND(ISNUMBER(K1148),ISNUMBER(L1148),ABS(L1148-(K1148-IF(ISNUMBER(N1148),N1148,0)-IF(ISNUMBER(O1148),O1148,0)+IF(ISNUMBER(P1148),P1148,0)))&lt;=Summary!$B$2),"Passes using beginning_balance - PreV_ETB differs from beginning_balance",IF(AND(ISNUMBER(O1148),O1148&lt;0,ABS(L1148-(Q1148-IF(ISNUMBER(N1148),N1148,0)+IF(ISNUMBER(P1148),P1148,0)))&lt;=Summary!$B$2),"Negative realized loss not applied - check sign",IF(R1148&lt;0,"Principal paid exceeds prior balance",IF(AND(L1148&gt;Q1148,NOT(ISNUMBER(P1148))),"Balance increased but no Deferred_interest reported",IF(L1148&gt;R1148,"Reported balance higher than expected (missing increase/OC build)","Reported balance lower than expected (missing decrease)"))))),""))</f>
        <v/>
      </c>
    </row>
    <row r="1149" customFormat="false" ht="15" hidden="false" customHeight="false" outlineLevel="0" collapsed="false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9"/>
      <c r="L1149" s="9"/>
      <c r="M1149" s="9"/>
      <c r="N1149" s="9"/>
      <c r="O1149" s="9"/>
      <c r="P1149" s="9"/>
      <c r="Q1149" s="9"/>
      <c r="R1149" s="9" t="str">
        <f aca="false">IF(AND(A1149&lt;&gt;"",ISNUMBER(Q1149),ISNUMBER(L1149)),ROUND(Q1149-IF(ISNUMBER(N1149),N1149,0)-IF(ISNUMBER(O1149),O1149,0)+IF(ISNUMBER(P1149),P1149,0),2),"")</f>
        <v/>
      </c>
      <c r="S1149" s="9" t="str">
        <f aca="false">IF(R1149="","",ROUND(L1149-R1149,2))</f>
        <v/>
      </c>
      <c r="T1149" s="8" t="str">
        <f aca="false">IF(A1149="","",IF(S1149="","BYPASS",IF(ABS(S1149)&lt;=Summary!$B$2,"PASS","FAIL")))</f>
        <v/>
      </c>
      <c r="U1149" s="8" t="str">
        <f aca="false">IF(T1149="BYPASS",IF(NOT(ISNUMBER(Q1149)),"PreV_ETB missing","End_tr_balance missing"),IF(T1149="FAIL",IF(AND(ISNUMBER(K1149),ISNUMBER(L1149),ABS(L1149-(K1149-IF(ISNUMBER(N1149),N1149,0)-IF(ISNUMBER(O1149),O1149,0)+IF(ISNUMBER(P1149),P1149,0)))&lt;=Summary!$B$2),"Passes using beginning_balance - PreV_ETB differs from beginning_balance",IF(AND(ISNUMBER(O1149),O1149&lt;0,ABS(L1149-(Q1149-IF(ISNUMBER(N1149),N1149,0)+IF(ISNUMBER(P1149),P1149,0)))&lt;=Summary!$B$2),"Negative realized loss not applied - check sign",IF(R1149&lt;0,"Principal paid exceeds prior balance",IF(AND(L1149&gt;Q1149,NOT(ISNUMBER(P1149))),"Balance increased but no Deferred_interest reported",IF(L1149&gt;R1149,"Reported balance higher than expected (missing increase/OC build)","Reported balance lower than expected (missing decrease)"))))),""))</f>
        <v/>
      </c>
    </row>
    <row r="1150" customFormat="false" ht="15" hidden="false" customHeight="false" outlineLevel="0" collapsed="false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9"/>
      <c r="L1150" s="9"/>
      <c r="M1150" s="9"/>
      <c r="N1150" s="9"/>
      <c r="O1150" s="9"/>
      <c r="P1150" s="9"/>
      <c r="Q1150" s="9"/>
      <c r="R1150" s="9" t="str">
        <f aca="false">IF(AND(A1150&lt;&gt;"",ISNUMBER(Q1150),ISNUMBER(L1150)),ROUND(Q1150-IF(ISNUMBER(N1150),N1150,0)-IF(ISNUMBER(O1150),O1150,0)+IF(ISNUMBER(P1150),P1150,0),2),"")</f>
        <v/>
      </c>
      <c r="S1150" s="9" t="str">
        <f aca="false">IF(R1150="","",ROUND(L1150-R1150,2))</f>
        <v/>
      </c>
      <c r="T1150" s="8" t="str">
        <f aca="false">IF(A1150="","",IF(S1150="","BYPASS",IF(ABS(S1150)&lt;=Summary!$B$2,"PASS","FAIL")))</f>
        <v/>
      </c>
      <c r="U1150" s="8" t="str">
        <f aca="false">IF(T1150="BYPASS",IF(NOT(ISNUMBER(Q1150)),"PreV_ETB missing","End_tr_balance missing"),IF(T1150="FAIL",IF(AND(ISNUMBER(K1150),ISNUMBER(L1150),ABS(L1150-(K1150-IF(ISNUMBER(N1150),N1150,0)-IF(ISNUMBER(O1150),O1150,0)+IF(ISNUMBER(P1150),P1150,0)))&lt;=Summary!$B$2),"Passes using beginning_balance - PreV_ETB differs from beginning_balance",IF(AND(ISNUMBER(O1150),O1150&lt;0,ABS(L1150-(Q1150-IF(ISNUMBER(N1150),N1150,0)+IF(ISNUMBER(P1150),P1150,0)))&lt;=Summary!$B$2),"Negative realized loss not applied - check sign",IF(R1150&lt;0,"Principal paid exceeds prior balance",IF(AND(L1150&gt;Q1150,NOT(ISNUMBER(P1150))),"Balance increased but no Deferred_interest reported",IF(L1150&gt;R1150,"Reported balance higher than expected (missing increase/OC build)","Reported balance lower than expected (missing decrease)"))))),""))</f>
        <v/>
      </c>
    </row>
    <row r="1151" customFormat="false" ht="15" hidden="false" customHeight="false" outlineLevel="0" collapsed="false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9"/>
      <c r="L1151" s="9"/>
      <c r="M1151" s="9"/>
      <c r="N1151" s="9"/>
      <c r="O1151" s="9"/>
      <c r="P1151" s="9"/>
      <c r="Q1151" s="9"/>
      <c r="R1151" s="9" t="str">
        <f aca="false">IF(AND(A1151&lt;&gt;"",ISNUMBER(Q1151),ISNUMBER(L1151)),ROUND(Q1151-IF(ISNUMBER(N1151),N1151,0)-IF(ISNUMBER(O1151),O1151,0)+IF(ISNUMBER(P1151),P1151,0),2),"")</f>
        <v/>
      </c>
      <c r="S1151" s="9" t="str">
        <f aca="false">IF(R1151="","",ROUND(L1151-R1151,2))</f>
        <v/>
      </c>
      <c r="T1151" s="8" t="str">
        <f aca="false">IF(A1151="","",IF(S1151="","BYPASS",IF(ABS(S1151)&lt;=Summary!$B$2,"PASS","FAIL")))</f>
        <v/>
      </c>
      <c r="U1151" s="8" t="str">
        <f aca="false">IF(T1151="BYPASS",IF(NOT(ISNUMBER(Q1151)),"PreV_ETB missing","End_tr_balance missing"),IF(T1151="FAIL",IF(AND(ISNUMBER(K1151),ISNUMBER(L1151),ABS(L1151-(K1151-IF(ISNUMBER(N1151),N1151,0)-IF(ISNUMBER(O1151),O1151,0)+IF(ISNUMBER(P1151),P1151,0)))&lt;=Summary!$B$2),"Passes using beginning_balance - PreV_ETB differs from beginning_balance",IF(AND(ISNUMBER(O1151),O1151&lt;0,ABS(L1151-(Q1151-IF(ISNUMBER(N1151),N1151,0)+IF(ISNUMBER(P1151),P1151,0)))&lt;=Summary!$B$2),"Negative realized loss not applied - check sign",IF(R1151&lt;0,"Principal paid exceeds prior balance",IF(AND(L1151&gt;Q1151,NOT(ISNUMBER(P1151))),"Balance increased but no Deferred_interest reported",IF(L1151&gt;R1151,"Reported balance higher than expected (missing increase/OC build)","Reported balance lower than expected (missing decrease)"))))),""))</f>
        <v/>
      </c>
    </row>
    <row r="1152" customFormat="false" ht="15" hidden="false" customHeight="false" outlineLevel="0" collapsed="false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9"/>
      <c r="L1152" s="9"/>
      <c r="M1152" s="9"/>
      <c r="N1152" s="9"/>
      <c r="O1152" s="9"/>
      <c r="P1152" s="9"/>
      <c r="Q1152" s="9"/>
      <c r="R1152" s="9" t="str">
        <f aca="false">IF(AND(A1152&lt;&gt;"",ISNUMBER(Q1152),ISNUMBER(L1152)),ROUND(Q1152-IF(ISNUMBER(N1152),N1152,0)-IF(ISNUMBER(O1152),O1152,0)+IF(ISNUMBER(P1152),P1152,0),2),"")</f>
        <v/>
      </c>
      <c r="S1152" s="9" t="str">
        <f aca="false">IF(R1152="","",ROUND(L1152-R1152,2))</f>
        <v/>
      </c>
      <c r="T1152" s="8" t="str">
        <f aca="false">IF(A1152="","",IF(S1152="","BYPASS",IF(ABS(S1152)&lt;=Summary!$B$2,"PASS","FAIL")))</f>
        <v/>
      </c>
      <c r="U1152" s="8" t="str">
        <f aca="false">IF(T1152="BYPASS",IF(NOT(ISNUMBER(Q1152)),"PreV_ETB missing","End_tr_balance missing"),IF(T1152="FAIL",IF(AND(ISNUMBER(K1152),ISNUMBER(L1152),ABS(L1152-(K1152-IF(ISNUMBER(N1152),N1152,0)-IF(ISNUMBER(O1152),O1152,0)+IF(ISNUMBER(P1152),P1152,0)))&lt;=Summary!$B$2),"Passes using beginning_balance - PreV_ETB differs from beginning_balance",IF(AND(ISNUMBER(O1152),O1152&lt;0,ABS(L1152-(Q1152-IF(ISNUMBER(N1152),N1152,0)+IF(ISNUMBER(P1152),P1152,0)))&lt;=Summary!$B$2),"Negative realized loss not applied - check sign",IF(R1152&lt;0,"Principal paid exceeds prior balance",IF(AND(L1152&gt;Q1152,NOT(ISNUMBER(P1152))),"Balance increased but no Deferred_interest reported",IF(L1152&gt;R1152,"Reported balance higher than expected (missing increase/OC build)","Reported balance lower than expected (missing decrease)"))))),""))</f>
        <v/>
      </c>
    </row>
    <row r="1153" customFormat="false" ht="15" hidden="false" customHeight="false" outlineLevel="0" collapsed="false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9"/>
      <c r="L1153" s="9"/>
      <c r="M1153" s="9"/>
      <c r="N1153" s="9"/>
      <c r="O1153" s="9"/>
      <c r="P1153" s="9"/>
      <c r="Q1153" s="9"/>
      <c r="R1153" s="9" t="str">
        <f aca="false">IF(AND(A1153&lt;&gt;"",ISNUMBER(Q1153),ISNUMBER(L1153)),ROUND(Q1153-IF(ISNUMBER(N1153),N1153,0)-IF(ISNUMBER(O1153),O1153,0)+IF(ISNUMBER(P1153),P1153,0),2),"")</f>
        <v/>
      </c>
      <c r="S1153" s="9" t="str">
        <f aca="false">IF(R1153="","",ROUND(L1153-R1153,2))</f>
        <v/>
      </c>
      <c r="T1153" s="8" t="str">
        <f aca="false">IF(A1153="","",IF(S1153="","BYPASS",IF(ABS(S1153)&lt;=Summary!$B$2,"PASS","FAIL")))</f>
        <v/>
      </c>
      <c r="U1153" s="8" t="str">
        <f aca="false">IF(T1153="BYPASS",IF(NOT(ISNUMBER(Q1153)),"PreV_ETB missing","End_tr_balance missing"),IF(T1153="FAIL",IF(AND(ISNUMBER(K1153),ISNUMBER(L1153),ABS(L1153-(K1153-IF(ISNUMBER(N1153),N1153,0)-IF(ISNUMBER(O1153),O1153,0)+IF(ISNUMBER(P1153),P1153,0)))&lt;=Summary!$B$2),"Passes using beginning_balance - PreV_ETB differs from beginning_balance",IF(AND(ISNUMBER(O1153),O1153&lt;0,ABS(L1153-(Q1153-IF(ISNUMBER(N1153),N1153,0)+IF(ISNUMBER(P1153),P1153,0)))&lt;=Summary!$B$2),"Negative realized loss not applied - check sign",IF(R1153&lt;0,"Principal paid exceeds prior balance",IF(AND(L1153&gt;Q1153,NOT(ISNUMBER(P1153))),"Balance increased but no Deferred_interest reported",IF(L1153&gt;R1153,"Reported balance higher than expected (missing increase/OC build)","Reported balance lower than expected (missing decrease)"))))),""))</f>
        <v/>
      </c>
    </row>
    <row r="1154" customFormat="false" ht="15" hidden="false" customHeight="false" outlineLevel="0" collapsed="false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9"/>
      <c r="L1154" s="9"/>
      <c r="M1154" s="9"/>
      <c r="N1154" s="9"/>
      <c r="O1154" s="9"/>
      <c r="P1154" s="9"/>
      <c r="Q1154" s="9"/>
      <c r="R1154" s="9" t="str">
        <f aca="false">IF(AND(A1154&lt;&gt;"",ISNUMBER(Q1154),ISNUMBER(L1154)),ROUND(Q1154-IF(ISNUMBER(N1154),N1154,0)-IF(ISNUMBER(O1154),O1154,0)+IF(ISNUMBER(P1154),P1154,0),2),"")</f>
        <v/>
      </c>
      <c r="S1154" s="9" t="str">
        <f aca="false">IF(R1154="","",ROUND(L1154-R1154,2))</f>
        <v/>
      </c>
      <c r="T1154" s="8" t="str">
        <f aca="false">IF(A1154="","",IF(S1154="","BYPASS",IF(ABS(S1154)&lt;=Summary!$B$2,"PASS","FAIL")))</f>
        <v/>
      </c>
      <c r="U1154" s="8" t="str">
        <f aca="false">IF(T1154="BYPASS",IF(NOT(ISNUMBER(Q1154)),"PreV_ETB missing","End_tr_balance missing"),IF(T1154="FAIL",IF(AND(ISNUMBER(K1154),ISNUMBER(L1154),ABS(L1154-(K1154-IF(ISNUMBER(N1154),N1154,0)-IF(ISNUMBER(O1154),O1154,0)+IF(ISNUMBER(P1154),P1154,0)))&lt;=Summary!$B$2),"Passes using beginning_balance - PreV_ETB differs from beginning_balance",IF(AND(ISNUMBER(O1154),O1154&lt;0,ABS(L1154-(Q1154-IF(ISNUMBER(N1154),N1154,0)+IF(ISNUMBER(P1154),P1154,0)))&lt;=Summary!$B$2),"Negative realized loss not applied - check sign",IF(R1154&lt;0,"Principal paid exceeds prior balance",IF(AND(L1154&gt;Q1154,NOT(ISNUMBER(P1154))),"Balance increased but no Deferred_interest reported",IF(L1154&gt;R1154,"Reported balance higher than expected (missing increase/OC build)","Reported balance lower than expected (missing decrease)"))))),""))</f>
        <v/>
      </c>
    </row>
    <row r="1155" customFormat="false" ht="15" hidden="false" customHeight="false" outlineLevel="0" collapsed="false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9"/>
      <c r="L1155" s="9"/>
      <c r="M1155" s="9"/>
      <c r="N1155" s="9"/>
      <c r="O1155" s="9"/>
      <c r="P1155" s="9"/>
      <c r="Q1155" s="9"/>
      <c r="R1155" s="9" t="str">
        <f aca="false">IF(AND(A1155&lt;&gt;"",ISNUMBER(Q1155),ISNUMBER(L1155)),ROUND(Q1155-IF(ISNUMBER(N1155),N1155,0)-IF(ISNUMBER(O1155),O1155,0)+IF(ISNUMBER(P1155),P1155,0),2),"")</f>
        <v/>
      </c>
      <c r="S1155" s="9" t="str">
        <f aca="false">IF(R1155="","",ROUND(L1155-R1155,2))</f>
        <v/>
      </c>
      <c r="T1155" s="8" t="str">
        <f aca="false">IF(A1155="","",IF(S1155="","BYPASS",IF(ABS(S1155)&lt;=Summary!$B$2,"PASS","FAIL")))</f>
        <v/>
      </c>
      <c r="U1155" s="8" t="str">
        <f aca="false">IF(T1155="BYPASS",IF(NOT(ISNUMBER(Q1155)),"PreV_ETB missing","End_tr_balance missing"),IF(T1155="FAIL",IF(AND(ISNUMBER(K1155),ISNUMBER(L1155),ABS(L1155-(K1155-IF(ISNUMBER(N1155),N1155,0)-IF(ISNUMBER(O1155),O1155,0)+IF(ISNUMBER(P1155),P1155,0)))&lt;=Summary!$B$2),"Passes using beginning_balance - PreV_ETB differs from beginning_balance",IF(AND(ISNUMBER(O1155),O1155&lt;0,ABS(L1155-(Q1155-IF(ISNUMBER(N1155),N1155,0)+IF(ISNUMBER(P1155),P1155,0)))&lt;=Summary!$B$2),"Negative realized loss not applied - check sign",IF(R1155&lt;0,"Principal paid exceeds prior balance",IF(AND(L1155&gt;Q1155,NOT(ISNUMBER(P1155))),"Balance increased but no Deferred_interest reported",IF(L1155&gt;R1155,"Reported balance higher than expected (missing increase/OC build)","Reported balance lower than expected (missing decrease)"))))),""))</f>
        <v/>
      </c>
    </row>
    <row r="1156" customFormat="false" ht="15" hidden="false" customHeight="false" outlineLevel="0" collapsed="false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9"/>
      <c r="L1156" s="9"/>
      <c r="M1156" s="9"/>
      <c r="N1156" s="9"/>
      <c r="O1156" s="9"/>
      <c r="P1156" s="9"/>
      <c r="Q1156" s="9"/>
      <c r="R1156" s="9" t="str">
        <f aca="false">IF(AND(A1156&lt;&gt;"",ISNUMBER(Q1156),ISNUMBER(L1156)),ROUND(Q1156-IF(ISNUMBER(N1156),N1156,0)-IF(ISNUMBER(O1156),O1156,0)+IF(ISNUMBER(P1156),P1156,0),2),"")</f>
        <v/>
      </c>
      <c r="S1156" s="9" t="str">
        <f aca="false">IF(R1156="","",ROUND(L1156-R1156,2))</f>
        <v/>
      </c>
      <c r="T1156" s="8" t="str">
        <f aca="false">IF(A1156="","",IF(S1156="","BYPASS",IF(ABS(S1156)&lt;=Summary!$B$2,"PASS","FAIL")))</f>
        <v/>
      </c>
      <c r="U1156" s="8" t="str">
        <f aca="false">IF(T1156="BYPASS",IF(NOT(ISNUMBER(Q1156)),"PreV_ETB missing","End_tr_balance missing"),IF(T1156="FAIL",IF(AND(ISNUMBER(K1156),ISNUMBER(L1156),ABS(L1156-(K1156-IF(ISNUMBER(N1156),N1156,0)-IF(ISNUMBER(O1156),O1156,0)+IF(ISNUMBER(P1156),P1156,0)))&lt;=Summary!$B$2),"Passes using beginning_balance - PreV_ETB differs from beginning_balance",IF(AND(ISNUMBER(O1156),O1156&lt;0,ABS(L1156-(Q1156-IF(ISNUMBER(N1156),N1156,0)+IF(ISNUMBER(P1156),P1156,0)))&lt;=Summary!$B$2),"Negative realized loss not applied - check sign",IF(R1156&lt;0,"Principal paid exceeds prior balance",IF(AND(L1156&gt;Q1156,NOT(ISNUMBER(P1156))),"Balance increased but no Deferred_interest reported",IF(L1156&gt;R1156,"Reported balance higher than expected (missing increase/OC build)","Reported balance lower than expected (missing decrease)"))))),""))</f>
        <v/>
      </c>
    </row>
    <row r="1157" customFormat="false" ht="15" hidden="false" customHeight="false" outlineLevel="0" collapsed="false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9"/>
      <c r="L1157" s="9"/>
      <c r="M1157" s="9"/>
      <c r="N1157" s="9"/>
      <c r="O1157" s="9"/>
      <c r="P1157" s="9"/>
      <c r="Q1157" s="9"/>
      <c r="R1157" s="9" t="str">
        <f aca="false">IF(AND(A1157&lt;&gt;"",ISNUMBER(Q1157),ISNUMBER(L1157)),ROUND(Q1157-IF(ISNUMBER(N1157),N1157,0)-IF(ISNUMBER(O1157),O1157,0)+IF(ISNUMBER(P1157),P1157,0),2),"")</f>
        <v/>
      </c>
      <c r="S1157" s="9" t="str">
        <f aca="false">IF(R1157="","",ROUND(L1157-R1157,2))</f>
        <v/>
      </c>
      <c r="T1157" s="8" t="str">
        <f aca="false">IF(A1157="","",IF(S1157="","BYPASS",IF(ABS(S1157)&lt;=Summary!$B$2,"PASS","FAIL")))</f>
        <v/>
      </c>
      <c r="U1157" s="8" t="str">
        <f aca="false">IF(T1157="BYPASS",IF(NOT(ISNUMBER(Q1157)),"PreV_ETB missing","End_tr_balance missing"),IF(T1157="FAIL",IF(AND(ISNUMBER(K1157),ISNUMBER(L1157),ABS(L1157-(K1157-IF(ISNUMBER(N1157),N1157,0)-IF(ISNUMBER(O1157),O1157,0)+IF(ISNUMBER(P1157),P1157,0)))&lt;=Summary!$B$2),"Passes using beginning_balance - PreV_ETB differs from beginning_balance",IF(AND(ISNUMBER(O1157),O1157&lt;0,ABS(L1157-(Q1157-IF(ISNUMBER(N1157),N1157,0)+IF(ISNUMBER(P1157),P1157,0)))&lt;=Summary!$B$2),"Negative realized loss not applied - check sign",IF(R1157&lt;0,"Principal paid exceeds prior balance",IF(AND(L1157&gt;Q1157,NOT(ISNUMBER(P1157))),"Balance increased but no Deferred_interest reported",IF(L1157&gt;R1157,"Reported balance higher than expected (missing increase/OC build)","Reported balance lower than expected (missing decrease)"))))),""))</f>
        <v/>
      </c>
    </row>
    <row r="1158" customFormat="false" ht="15" hidden="false" customHeight="false" outlineLevel="0" collapsed="false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9"/>
      <c r="L1158" s="9"/>
      <c r="M1158" s="9"/>
      <c r="N1158" s="9"/>
      <c r="O1158" s="9"/>
      <c r="P1158" s="9"/>
      <c r="Q1158" s="9"/>
      <c r="R1158" s="9" t="str">
        <f aca="false">IF(AND(A1158&lt;&gt;"",ISNUMBER(Q1158),ISNUMBER(L1158)),ROUND(Q1158-IF(ISNUMBER(N1158),N1158,0)-IF(ISNUMBER(O1158),O1158,0)+IF(ISNUMBER(P1158),P1158,0),2),"")</f>
        <v/>
      </c>
      <c r="S1158" s="9" t="str">
        <f aca="false">IF(R1158="","",ROUND(L1158-R1158,2))</f>
        <v/>
      </c>
      <c r="T1158" s="8" t="str">
        <f aca="false">IF(A1158="","",IF(S1158="","BYPASS",IF(ABS(S1158)&lt;=Summary!$B$2,"PASS","FAIL")))</f>
        <v/>
      </c>
      <c r="U1158" s="8" t="str">
        <f aca="false">IF(T1158="BYPASS",IF(NOT(ISNUMBER(Q1158)),"PreV_ETB missing","End_tr_balance missing"),IF(T1158="FAIL",IF(AND(ISNUMBER(K1158),ISNUMBER(L1158),ABS(L1158-(K1158-IF(ISNUMBER(N1158),N1158,0)-IF(ISNUMBER(O1158),O1158,0)+IF(ISNUMBER(P1158),P1158,0)))&lt;=Summary!$B$2),"Passes using beginning_balance - PreV_ETB differs from beginning_balance",IF(AND(ISNUMBER(O1158),O1158&lt;0,ABS(L1158-(Q1158-IF(ISNUMBER(N1158),N1158,0)+IF(ISNUMBER(P1158),P1158,0)))&lt;=Summary!$B$2),"Negative realized loss not applied - check sign",IF(R1158&lt;0,"Principal paid exceeds prior balance",IF(AND(L1158&gt;Q1158,NOT(ISNUMBER(P1158))),"Balance increased but no Deferred_interest reported",IF(L1158&gt;R1158,"Reported balance higher than expected (missing increase/OC build)","Reported balance lower than expected (missing decrease)"))))),""))</f>
        <v/>
      </c>
    </row>
    <row r="1159" customFormat="false" ht="15" hidden="false" customHeight="false" outlineLevel="0" collapsed="false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9"/>
      <c r="L1159" s="9"/>
      <c r="M1159" s="9"/>
      <c r="N1159" s="9"/>
      <c r="O1159" s="9"/>
      <c r="P1159" s="9"/>
      <c r="Q1159" s="9"/>
      <c r="R1159" s="9" t="str">
        <f aca="false">IF(AND(A1159&lt;&gt;"",ISNUMBER(Q1159),ISNUMBER(L1159)),ROUND(Q1159-IF(ISNUMBER(N1159),N1159,0)-IF(ISNUMBER(O1159),O1159,0)+IF(ISNUMBER(P1159),P1159,0),2),"")</f>
        <v/>
      </c>
      <c r="S1159" s="9" t="str">
        <f aca="false">IF(R1159="","",ROUND(L1159-R1159,2))</f>
        <v/>
      </c>
      <c r="T1159" s="8" t="str">
        <f aca="false">IF(A1159="","",IF(S1159="","BYPASS",IF(ABS(S1159)&lt;=Summary!$B$2,"PASS","FAIL")))</f>
        <v/>
      </c>
      <c r="U1159" s="8" t="str">
        <f aca="false">IF(T1159="BYPASS",IF(NOT(ISNUMBER(Q1159)),"PreV_ETB missing","End_tr_balance missing"),IF(T1159="FAIL",IF(AND(ISNUMBER(K1159),ISNUMBER(L1159),ABS(L1159-(K1159-IF(ISNUMBER(N1159),N1159,0)-IF(ISNUMBER(O1159),O1159,0)+IF(ISNUMBER(P1159),P1159,0)))&lt;=Summary!$B$2),"Passes using beginning_balance - PreV_ETB differs from beginning_balance",IF(AND(ISNUMBER(O1159),O1159&lt;0,ABS(L1159-(Q1159-IF(ISNUMBER(N1159),N1159,0)+IF(ISNUMBER(P1159),P1159,0)))&lt;=Summary!$B$2),"Negative realized loss not applied - check sign",IF(R1159&lt;0,"Principal paid exceeds prior balance",IF(AND(L1159&gt;Q1159,NOT(ISNUMBER(P1159))),"Balance increased but no Deferred_interest reported",IF(L1159&gt;R1159,"Reported balance higher than expected (missing increase/OC build)","Reported balance lower than expected (missing decrease)"))))),""))</f>
        <v/>
      </c>
    </row>
    <row r="1160" customFormat="false" ht="15" hidden="false" customHeight="false" outlineLevel="0" collapsed="false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9"/>
      <c r="L1160" s="9"/>
      <c r="M1160" s="9"/>
      <c r="N1160" s="9"/>
      <c r="O1160" s="9"/>
      <c r="P1160" s="9"/>
      <c r="Q1160" s="9"/>
      <c r="R1160" s="9" t="str">
        <f aca="false">IF(AND(A1160&lt;&gt;"",ISNUMBER(Q1160),ISNUMBER(L1160)),ROUND(Q1160-IF(ISNUMBER(N1160),N1160,0)-IF(ISNUMBER(O1160),O1160,0)+IF(ISNUMBER(P1160),P1160,0),2),"")</f>
        <v/>
      </c>
      <c r="S1160" s="9" t="str">
        <f aca="false">IF(R1160="","",ROUND(L1160-R1160,2))</f>
        <v/>
      </c>
      <c r="T1160" s="8" t="str">
        <f aca="false">IF(A1160="","",IF(S1160="","BYPASS",IF(ABS(S1160)&lt;=Summary!$B$2,"PASS","FAIL")))</f>
        <v/>
      </c>
      <c r="U1160" s="8" t="str">
        <f aca="false">IF(T1160="BYPASS",IF(NOT(ISNUMBER(Q1160)),"PreV_ETB missing","End_tr_balance missing"),IF(T1160="FAIL",IF(AND(ISNUMBER(K1160),ISNUMBER(L1160),ABS(L1160-(K1160-IF(ISNUMBER(N1160),N1160,0)-IF(ISNUMBER(O1160),O1160,0)+IF(ISNUMBER(P1160),P1160,0)))&lt;=Summary!$B$2),"Passes using beginning_balance - PreV_ETB differs from beginning_balance",IF(AND(ISNUMBER(O1160),O1160&lt;0,ABS(L1160-(Q1160-IF(ISNUMBER(N1160),N1160,0)+IF(ISNUMBER(P1160),P1160,0)))&lt;=Summary!$B$2),"Negative realized loss not applied - check sign",IF(R1160&lt;0,"Principal paid exceeds prior balance",IF(AND(L1160&gt;Q1160,NOT(ISNUMBER(P1160))),"Balance increased but no Deferred_interest reported",IF(L1160&gt;R1160,"Reported balance higher than expected (missing increase/OC build)","Reported balance lower than expected (missing decrease)"))))),""))</f>
        <v/>
      </c>
    </row>
    <row r="1161" customFormat="false" ht="15" hidden="false" customHeight="false" outlineLevel="0" collapsed="false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9"/>
      <c r="L1161" s="9"/>
      <c r="M1161" s="9"/>
      <c r="N1161" s="9"/>
      <c r="O1161" s="9"/>
      <c r="P1161" s="9"/>
      <c r="Q1161" s="9"/>
      <c r="R1161" s="9" t="str">
        <f aca="false">IF(AND(A1161&lt;&gt;"",ISNUMBER(Q1161),ISNUMBER(L1161)),ROUND(Q1161-IF(ISNUMBER(N1161),N1161,0)-IF(ISNUMBER(O1161),O1161,0)+IF(ISNUMBER(P1161),P1161,0),2),"")</f>
        <v/>
      </c>
      <c r="S1161" s="9" t="str">
        <f aca="false">IF(R1161="","",ROUND(L1161-R1161,2))</f>
        <v/>
      </c>
      <c r="T1161" s="8" t="str">
        <f aca="false">IF(A1161="","",IF(S1161="","BYPASS",IF(ABS(S1161)&lt;=Summary!$B$2,"PASS","FAIL")))</f>
        <v/>
      </c>
      <c r="U1161" s="8" t="str">
        <f aca="false">IF(T1161="BYPASS",IF(NOT(ISNUMBER(Q1161)),"PreV_ETB missing","End_tr_balance missing"),IF(T1161="FAIL",IF(AND(ISNUMBER(K1161),ISNUMBER(L1161),ABS(L1161-(K1161-IF(ISNUMBER(N1161),N1161,0)-IF(ISNUMBER(O1161),O1161,0)+IF(ISNUMBER(P1161),P1161,0)))&lt;=Summary!$B$2),"Passes using beginning_balance - PreV_ETB differs from beginning_balance",IF(AND(ISNUMBER(O1161),O1161&lt;0,ABS(L1161-(Q1161-IF(ISNUMBER(N1161),N1161,0)+IF(ISNUMBER(P1161),P1161,0)))&lt;=Summary!$B$2),"Negative realized loss not applied - check sign",IF(R1161&lt;0,"Principal paid exceeds prior balance",IF(AND(L1161&gt;Q1161,NOT(ISNUMBER(P1161))),"Balance increased but no Deferred_interest reported",IF(L1161&gt;R1161,"Reported balance higher than expected (missing increase/OC build)","Reported balance lower than expected (missing decrease)"))))),""))</f>
        <v/>
      </c>
    </row>
    <row r="1162" customFormat="false" ht="15" hidden="false" customHeight="false" outlineLevel="0" collapsed="false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9"/>
      <c r="L1162" s="9"/>
      <c r="M1162" s="9"/>
      <c r="N1162" s="9"/>
      <c r="O1162" s="9"/>
      <c r="P1162" s="9"/>
      <c r="Q1162" s="9"/>
      <c r="R1162" s="9" t="str">
        <f aca="false">IF(AND(A1162&lt;&gt;"",ISNUMBER(Q1162),ISNUMBER(L1162)),ROUND(Q1162-IF(ISNUMBER(N1162),N1162,0)-IF(ISNUMBER(O1162),O1162,0)+IF(ISNUMBER(P1162),P1162,0),2),"")</f>
        <v/>
      </c>
      <c r="S1162" s="9" t="str">
        <f aca="false">IF(R1162="","",ROUND(L1162-R1162,2))</f>
        <v/>
      </c>
      <c r="T1162" s="8" t="str">
        <f aca="false">IF(A1162="","",IF(S1162="","BYPASS",IF(ABS(S1162)&lt;=Summary!$B$2,"PASS","FAIL")))</f>
        <v/>
      </c>
      <c r="U1162" s="8" t="str">
        <f aca="false">IF(T1162="BYPASS",IF(NOT(ISNUMBER(Q1162)),"PreV_ETB missing","End_tr_balance missing"),IF(T1162="FAIL",IF(AND(ISNUMBER(K1162),ISNUMBER(L1162),ABS(L1162-(K1162-IF(ISNUMBER(N1162),N1162,0)-IF(ISNUMBER(O1162),O1162,0)+IF(ISNUMBER(P1162),P1162,0)))&lt;=Summary!$B$2),"Passes using beginning_balance - PreV_ETB differs from beginning_balance",IF(AND(ISNUMBER(O1162),O1162&lt;0,ABS(L1162-(Q1162-IF(ISNUMBER(N1162),N1162,0)+IF(ISNUMBER(P1162),P1162,0)))&lt;=Summary!$B$2),"Negative realized loss not applied - check sign",IF(R1162&lt;0,"Principal paid exceeds prior balance",IF(AND(L1162&gt;Q1162,NOT(ISNUMBER(P1162))),"Balance increased but no Deferred_interest reported",IF(L1162&gt;R1162,"Reported balance higher than expected (missing increase/OC build)","Reported balance lower than expected (missing decrease)"))))),""))</f>
        <v/>
      </c>
    </row>
    <row r="1163" customFormat="false" ht="15" hidden="false" customHeight="false" outlineLevel="0" collapsed="false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9"/>
      <c r="L1163" s="9"/>
      <c r="M1163" s="9"/>
      <c r="N1163" s="9"/>
      <c r="O1163" s="9"/>
      <c r="P1163" s="9"/>
      <c r="Q1163" s="9"/>
      <c r="R1163" s="9" t="str">
        <f aca="false">IF(AND(A1163&lt;&gt;"",ISNUMBER(Q1163),ISNUMBER(L1163)),ROUND(Q1163-IF(ISNUMBER(N1163),N1163,0)-IF(ISNUMBER(O1163),O1163,0)+IF(ISNUMBER(P1163),P1163,0),2),"")</f>
        <v/>
      </c>
      <c r="S1163" s="9" t="str">
        <f aca="false">IF(R1163="","",ROUND(L1163-R1163,2))</f>
        <v/>
      </c>
      <c r="T1163" s="8" t="str">
        <f aca="false">IF(A1163="","",IF(S1163="","BYPASS",IF(ABS(S1163)&lt;=Summary!$B$2,"PASS","FAIL")))</f>
        <v/>
      </c>
      <c r="U1163" s="8" t="str">
        <f aca="false">IF(T1163="BYPASS",IF(NOT(ISNUMBER(Q1163)),"PreV_ETB missing","End_tr_balance missing"),IF(T1163="FAIL",IF(AND(ISNUMBER(K1163),ISNUMBER(L1163),ABS(L1163-(K1163-IF(ISNUMBER(N1163),N1163,0)-IF(ISNUMBER(O1163),O1163,0)+IF(ISNUMBER(P1163),P1163,0)))&lt;=Summary!$B$2),"Passes using beginning_balance - PreV_ETB differs from beginning_balance",IF(AND(ISNUMBER(O1163),O1163&lt;0,ABS(L1163-(Q1163-IF(ISNUMBER(N1163),N1163,0)+IF(ISNUMBER(P1163),P1163,0)))&lt;=Summary!$B$2),"Negative realized loss not applied - check sign",IF(R1163&lt;0,"Principal paid exceeds prior balance",IF(AND(L1163&gt;Q1163,NOT(ISNUMBER(P1163))),"Balance increased but no Deferred_interest reported",IF(L1163&gt;R1163,"Reported balance higher than expected (missing increase/OC build)","Reported balance lower than expected (missing decrease)"))))),""))</f>
        <v/>
      </c>
    </row>
    <row r="1164" customFormat="false" ht="15" hidden="false" customHeight="false" outlineLevel="0" collapsed="false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9"/>
      <c r="L1164" s="9"/>
      <c r="M1164" s="9"/>
      <c r="N1164" s="9"/>
      <c r="O1164" s="9"/>
      <c r="P1164" s="9"/>
      <c r="Q1164" s="9"/>
      <c r="R1164" s="9" t="str">
        <f aca="false">IF(AND(A1164&lt;&gt;"",ISNUMBER(Q1164),ISNUMBER(L1164)),ROUND(Q1164-IF(ISNUMBER(N1164),N1164,0)-IF(ISNUMBER(O1164),O1164,0)+IF(ISNUMBER(P1164),P1164,0),2),"")</f>
        <v/>
      </c>
      <c r="S1164" s="9" t="str">
        <f aca="false">IF(R1164="","",ROUND(L1164-R1164,2))</f>
        <v/>
      </c>
      <c r="T1164" s="8" t="str">
        <f aca="false">IF(A1164="","",IF(S1164="","BYPASS",IF(ABS(S1164)&lt;=Summary!$B$2,"PASS","FAIL")))</f>
        <v/>
      </c>
      <c r="U1164" s="8" t="str">
        <f aca="false">IF(T1164="BYPASS",IF(NOT(ISNUMBER(Q1164)),"PreV_ETB missing","End_tr_balance missing"),IF(T1164="FAIL",IF(AND(ISNUMBER(K1164),ISNUMBER(L1164),ABS(L1164-(K1164-IF(ISNUMBER(N1164),N1164,0)-IF(ISNUMBER(O1164),O1164,0)+IF(ISNUMBER(P1164),P1164,0)))&lt;=Summary!$B$2),"Passes using beginning_balance - PreV_ETB differs from beginning_balance",IF(AND(ISNUMBER(O1164),O1164&lt;0,ABS(L1164-(Q1164-IF(ISNUMBER(N1164),N1164,0)+IF(ISNUMBER(P1164),P1164,0)))&lt;=Summary!$B$2),"Negative realized loss not applied - check sign",IF(R1164&lt;0,"Principal paid exceeds prior balance",IF(AND(L1164&gt;Q1164,NOT(ISNUMBER(P1164))),"Balance increased but no Deferred_interest reported",IF(L1164&gt;R1164,"Reported balance higher than expected (missing increase/OC build)","Reported balance lower than expected (missing decrease)"))))),""))</f>
        <v/>
      </c>
    </row>
    <row r="1165" customFormat="false" ht="15" hidden="false" customHeight="false" outlineLevel="0" collapsed="false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9"/>
      <c r="L1165" s="9"/>
      <c r="M1165" s="9"/>
      <c r="N1165" s="9"/>
      <c r="O1165" s="9"/>
      <c r="P1165" s="9"/>
      <c r="Q1165" s="9"/>
      <c r="R1165" s="9" t="str">
        <f aca="false">IF(AND(A1165&lt;&gt;"",ISNUMBER(Q1165),ISNUMBER(L1165)),ROUND(Q1165-IF(ISNUMBER(N1165),N1165,0)-IF(ISNUMBER(O1165),O1165,0)+IF(ISNUMBER(P1165),P1165,0),2),"")</f>
        <v/>
      </c>
      <c r="S1165" s="9" t="str">
        <f aca="false">IF(R1165="","",ROUND(L1165-R1165,2))</f>
        <v/>
      </c>
      <c r="T1165" s="8" t="str">
        <f aca="false">IF(A1165="","",IF(S1165="","BYPASS",IF(ABS(S1165)&lt;=Summary!$B$2,"PASS","FAIL")))</f>
        <v/>
      </c>
      <c r="U1165" s="8" t="str">
        <f aca="false">IF(T1165="BYPASS",IF(NOT(ISNUMBER(Q1165)),"PreV_ETB missing","End_tr_balance missing"),IF(T1165="FAIL",IF(AND(ISNUMBER(K1165),ISNUMBER(L1165),ABS(L1165-(K1165-IF(ISNUMBER(N1165),N1165,0)-IF(ISNUMBER(O1165),O1165,0)+IF(ISNUMBER(P1165),P1165,0)))&lt;=Summary!$B$2),"Passes using beginning_balance - PreV_ETB differs from beginning_balance",IF(AND(ISNUMBER(O1165),O1165&lt;0,ABS(L1165-(Q1165-IF(ISNUMBER(N1165),N1165,0)+IF(ISNUMBER(P1165),P1165,0)))&lt;=Summary!$B$2),"Negative realized loss not applied - check sign",IF(R1165&lt;0,"Principal paid exceeds prior balance",IF(AND(L1165&gt;Q1165,NOT(ISNUMBER(P1165))),"Balance increased but no Deferred_interest reported",IF(L1165&gt;R1165,"Reported balance higher than expected (missing increase/OC build)","Reported balance lower than expected (missing decrease)"))))),""))</f>
        <v/>
      </c>
    </row>
    <row r="1166" customFormat="false" ht="15" hidden="false" customHeight="false" outlineLevel="0" collapsed="false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9"/>
      <c r="L1166" s="9"/>
      <c r="M1166" s="9"/>
      <c r="N1166" s="9"/>
      <c r="O1166" s="9"/>
      <c r="P1166" s="9"/>
      <c r="Q1166" s="9"/>
      <c r="R1166" s="9" t="str">
        <f aca="false">IF(AND(A1166&lt;&gt;"",ISNUMBER(Q1166),ISNUMBER(L1166)),ROUND(Q1166-IF(ISNUMBER(N1166),N1166,0)-IF(ISNUMBER(O1166),O1166,0)+IF(ISNUMBER(P1166),P1166,0),2),"")</f>
        <v/>
      </c>
      <c r="S1166" s="9" t="str">
        <f aca="false">IF(R1166="","",ROUND(L1166-R1166,2))</f>
        <v/>
      </c>
      <c r="T1166" s="8" t="str">
        <f aca="false">IF(A1166="","",IF(S1166="","BYPASS",IF(ABS(S1166)&lt;=Summary!$B$2,"PASS","FAIL")))</f>
        <v/>
      </c>
      <c r="U1166" s="8" t="str">
        <f aca="false">IF(T1166="BYPASS",IF(NOT(ISNUMBER(Q1166)),"PreV_ETB missing","End_tr_balance missing"),IF(T1166="FAIL",IF(AND(ISNUMBER(K1166),ISNUMBER(L1166),ABS(L1166-(K1166-IF(ISNUMBER(N1166),N1166,0)-IF(ISNUMBER(O1166),O1166,0)+IF(ISNUMBER(P1166),P1166,0)))&lt;=Summary!$B$2),"Passes using beginning_balance - PreV_ETB differs from beginning_balance",IF(AND(ISNUMBER(O1166),O1166&lt;0,ABS(L1166-(Q1166-IF(ISNUMBER(N1166),N1166,0)+IF(ISNUMBER(P1166),P1166,0)))&lt;=Summary!$B$2),"Negative realized loss not applied - check sign",IF(R1166&lt;0,"Principal paid exceeds prior balance",IF(AND(L1166&gt;Q1166,NOT(ISNUMBER(P1166))),"Balance increased but no Deferred_interest reported",IF(L1166&gt;R1166,"Reported balance higher than expected (missing increase/OC build)","Reported balance lower than expected (missing decrease)"))))),""))</f>
        <v/>
      </c>
    </row>
    <row r="1167" customFormat="false" ht="15" hidden="false" customHeight="false" outlineLevel="0" collapsed="false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9"/>
      <c r="L1167" s="9"/>
      <c r="M1167" s="9"/>
      <c r="N1167" s="9"/>
      <c r="O1167" s="9"/>
      <c r="P1167" s="9"/>
      <c r="Q1167" s="9"/>
      <c r="R1167" s="9" t="str">
        <f aca="false">IF(AND(A1167&lt;&gt;"",ISNUMBER(Q1167),ISNUMBER(L1167)),ROUND(Q1167-IF(ISNUMBER(N1167),N1167,0)-IF(ISNUMBER(O1167),O1167,0)+IF(ISNUMBER(P1167),P1167,0),2),"")</f>
        <v/>
      </c>
      <c r="S1167" s="9" t="str">
        <f aca="false">IF(R1167="","",ROUND(L1167-R1167,2))</f>
        <v/>
      </c>
      <c r="T1167" s="8" t="str">
        <f aca="false">IF(A1167="","",IF(S1167="","BYPASS",IF(ABS(S1167)&lt;=Summary!$B$2,"PASS","FAIL")))</f>
        <v/>
      </c>
      <c r="U1167" s="8" t="str">
        <f aca="false">IF(T1167="BYPASS",IF(NOT(ISNUMBER(Q1167)),"PreV_ETB missing","End_tr_balance missing"),IF(T1167="FAIL",IF(AND(ISNUMBER(K1167),ISNUMBER(L1167),ABS(L1167-(K1167-IF(ISNUMBER(N1167),N1167,0)-IF(ISNUMBER(O1167),O1167,0)+IF(ISNUMBER(P1167),P1167,0)))&lt;=Summary!$B$2),"Passes using beginning_balance - PreV_ETB differs from beginning_balance",IF(AND(ISNUMBER(O1167),O1167&lt;0,ABS(L1167-(Q1167-IF(ISNUMBER(N1167),N1167,0)+IF(ISNUMBER(P1167),P1167,0)))&lt;=Summary!$B$2),"Negative realized loss not applied - check sign",IF(R1167&lt;0,"Principal paid exceeds prior balance",IF(AND(L1167&gt;Q1167,NOT(ISNUMBER(P1167))),"Balance increased but no Deferred_interest reported",IF(L1167&gt;R1167,"Reported balance higher than expected (missing increase/OC build)","Reported balance lower than expected (missing decrease)"))))),""))</f>
        <v/>
      </c>
    </row>
    <row r="1168" customFormat="false" ht="15" hidden="false" customHeight="false" outlineLevel="0" collapsed="false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9"/>
      <c r="L1168" s="9"/>
      <c r="M1168" s="9"/>
      <c r="N1168" s="9"/>
      <c r="O1168" s="9"/>
      <c r="P1168" s="9"/>
      <c r="Q1168" s="9"/>
      <c r="R1168" s="9" t="str">
        <f aca="false">IF(AND(A1168&lt;&gt;"",ISNUMBER(Q1168),ISNUMBER(L1168)),ROUND(Q1168-IF(ISNUMBER(N1168),N1168,0)-IF(ISNUMBER(O1168),O1168,0)+IF(ISNUMBER(P1168),P1168,0),2),"")</f>
        <v/>
      </c>
      <c r="S1168" s="9" t="str">
        <f aca="false">IF(R1168="","",ROUND(L1168-R1168,2))</f>
        <v/>
      </c>
      <c r="T1168" s="8" t="str">
        <f aca="false">IF(A1168="","",IF(S1168="","BYPASS",IF(ABS(S1168)&lt;=Summary!$B$2,"PASS","FAIL")))</f>
        <v/>
      </c>
      <c r="U1168" s="8" t="str">
        <f aca="false">IF(T1168="BYPASS",IF(NOT(ISNUMBER(Q1168)),"PreV_ETB missing","End_tr_balance missing"),IF(T1168="FAIL",IF(AND(ISNUMBER(K1168),ISNUMBER(L1168),ABS(L1168-(K1168-IF(ISNUMBER(N1168),N1168,0)-IF(ISNUMBER(O1168),O1168,0)+IF(ISNUMBER(P1168),P1168,0)))&lt;=Summary!$B$2),"Passes using beginning_balance - PreV_ETB differs from beginning_balance",IF(AND(ISNUMBER(O1168),O1168&lt;0,ABS(L1168-(Q1168-IF(ISNUMBER(N1168),N1168,0)+IF(ISNUMBER(P1168),P1168,0)))&lt;=Summary!$B$2),"Negative realized loss not applied - check sign",IF(R1168&lt;0,"Principal paid exceeds prior balance",IF(AND(L1168&gt;Q1168,NOT(ISNUMBER(P1168))),"Balance increased but no Deferred_interest reported",IF(L1168&gt;R1168,"Reported balance higher than expected (missing increase/OC build)","Reported balance lower than expected (missing decrease)"))))),""))</f>
        <v/>
      </c>
    </row>
    <row r="1169" customFormat="false" ht="15" hidden="false" customHeight="false" outlineLevel="0" collapsed="false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9"/>
      <c r="L1169" s="9"/>
      <c r="M1169" s="9"/>
      <c r="N1169" s="9"/>
      <c r="O1169" s="9"/>
      <c r="P1169" s="9"/>
      <c r="Q1169" s="9"/>
      <c r="R1169" s="9" t="str">
        <f aca="false">IF(AND(A1169&lt;&gt;"",ISNUMBER(Q1169),ISNUMBER(L1169)),ROUND(Q1169-IF(ISNUMBER(N1169),N1169,0)-IF(ISNUMBER(O1169),O1169,0)+IF(ISNUMBER(P1169),P1169,0),2),"")</f>
        <v/>
      </c>
      <c r="S1169" s="9" t="str">
        <f aca="false">IF(R1169="","",ROUND(L1169-R1169,2))</f>
        <v/>
      </c>
      <c r="T1169" s="8" t="str">
        <f aca="false">IF(A1169="","",IF(S1169="","BYPASS",IF(ABS(S1169)&lt;=Summary!$B$2,"PASS","FAIL")))</f>
        <v/>
      </c>
      <c r="U1169" s="8" t="str">
        <f aca="false">IF(T1169="BYPASS",IF(NOT(ISNUMBER(Q1169)),"PreV_ETB missing","End_tr_balance missing"),IF(T1169="FAIL",IF(AND(ISNUMBER(K1169),ISNUMBER(L1169),ABS(L1169-(K1169-IF(ISNUMBER(N1169),N1169,0)-IF(ISNUMBER(O1169),O1169,0)+IF(ISNUMBER(P1169),P1169,0)))&lt;=Summary!$B$2),"Passes using beginning_balance - PreV_ETB differs from beginning_balance",IF(AND(ISNUMBER(O1169),O1169&lt;0,ABS(L1169-(Q1169-IF(ISNUMBER(N1169),N1169,0)+IF(ISNUMBER(P1169),P1169,0)))&lt;=Summary!$B$2),"Negative realized loss not applied - check sign",IF(R1169&lt;0,"Principal paid exceeds prior balance",IF(AND(L1169&gt;Q1169,NOT(ISNUMBER(P1169))),"Balance increased but no Deferred_interest reported",IF(L1169&gt;R1169,"Reported balance higher than expected (missing increase/OC build)","Reported balance lower than expected (missing decrease)"))))),""))</f>
        <v/>
      </c>
    </row>
    <row r="1170" customFormat="false" ht="15" hidden="false" customHeight="false" outlineLevel="0" collapsed="false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9"/>
      <c r="L1170" s="9"/>
      <c r="M1170" s="9"/>
      <c r="N1170" s="9"/>
      <c r="O1170" s="9"/>
      <c r="P1170" s="9"/>
      <c r="Q1170" s="9"/>
      <c r="R1170" s="9" t="str">
        <f aca="false">IF(AND(A1170&lt;&gt;"",ISNUMBER(Q1170),ISNUMBER(L1170)),ROUND(Q1170-IF(ISNUMBER(N1170),N1170,0)-IF(ISNUMBER(O1170),O1170,0)+IF(ISNUMBER(P1170),P1170,0),2),"")</f>
        <v/>
      </c>
      <c r="S1170" s="9" t="str">
        <f aca="false">IF(R1170="","",ROUND(L1170-R1170,2))</f>
        <v/>
      </c>
      <c r="T1170" s="8" t="str">
        <f aca="false">IF(A1170="","",IF(S1170="","BYPASS",IF(ABS(S1170)&lt;=Summary!$B$2,"PASS","FAIL")))</f>
        <v/>
      </c>
      <c r="U1170" s="8" t="str">
        <f aca="false">IF(T1170="BYPASS",IF(NOT(ISNUMBER(Q1170)),"PreV_ETB missing","End_tr_balance missing"),IF(T1170="FAIL",IF(AND(ISNUMBER(K1170),ISNUMBER(L1170),ABS(L1170-(K1170-IF(ISNUMBER(N1170),N1170,0)-IF(ISNUMBER(O1170),O1170,0)+IF(ISNUMBER(P1170),P1170,0)))&lt;=Summary!$B$2),"Passes using beginning_balance - PreV_ETB differs from beginning_balance",IF(AND(ISNUMBER(O1170),O1170&lt;0,ABS(L1170-(Q1170-IF(ISNUMBER(N1170),N1170,0)+IF(ISNUMBER(P1170),P1170,0)))&lt;=Summary!$B$2),"Negative realized loss not applied - check sign",IF(R1170&lt;0,"Principal paid exceeds prior balance",IF(AND(L1170&gt;Q1170,NOT(ISNUMBER(P1170))),"Balance increased but no Deferred_interest reported",IF(L1170&gt;R1170,"Reported balance higher than expected (missing increase/OC build)","Reported balance lower than expected (missing decrease)"))))),""))</f>
        <v/>
      </c>
    </row>
    <row r="1171" customFormat="false" ht="15" hidden="false" customHeight="false" outlineLevel="0" collapsed="false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9"/>
      <c r="L1171" s="9"/>
      <c r="M1171" s="9"/>
      <c r="N1171" s="9"/>
      <c r="O1171" s="9"/>
      <c r="P1171" s="9"/>
      <c r="Q1171" s="9"/>
      <c r="R1171" s="9" t="str">
        <f aca="false">IF(AND(A1171&lt;&gt;"",ISNUMBER(Q1171),ISNUMBER(L1171)),ROUND(Q1171-IF(ISNUMBER(N1171),N1171,0)-IF(ISNUMBER(O1171),O1171,0)+IF(ISNUMBER(P1171),P1171,0),2),"")</f>
        <v/>
      </c>
      <c r="S1171" s="9" t="str">
        <f aca="false">IF(R1171="","",ROUND(L1171-R1171,2))</f>
        <v/>
      </c>
      <c r="T1171" s="8" t="str">
        <f aca="false">IF(A1171="","",IF(S1171="","BYPASS",IF(ABS(S1171)&lt;=Summary!$B$2,"PASS","FAIL")))</f>
        <v/>
      </c>
      <c r="U1171" s="8" t="str">
        <f aca="false">IF(T1171="BYPASS",IF(NOT(ISNUMBER(Q1171)),"PreV_ETB missing","End_tr_balance missing"),IF(T1171="FAIL",IF(AND(ISNUMBER(K1171),ISNUMBER(L1171),ABS(L1171-(K1171-IF(ISNUMBER(N1171),N1171,0)-IF(ISNUMBER(O1171),O1171,0)+IF(ISNUMBER(P1171),P1171,0)))&lt;=Summary!$B$2),"Passes using beginning_balance - PreV_ETB differs from beginning_balance",IF(AND(ISNUMBER(O1171),O1171&lt;0,ABS(L1171-(Q1171-IF(ISNUMBER(N1171),N1171,0)+IF(ISNUMBER(P1171),P1171,0)))&lt;=Summary!$B$2),"Negative realized loss not applied - check sign",IF(R1171&lt;0,"Principal paid exceeds prior balance",IF(AND(L1171&gt;Q1171,NOT(ISNUMBER(P1171))),"Balance increased but no Deferred_interest reported",IF(L1171&gt;R1171,"Reported balance higher than expected (missing increase/OC build)","Reported balance lower than expected (missing decrease)"))))),""))</f>
        <v/>
      </c>
    </row>
    <row r="1172" customFormat="false" ht="15" hidden="false" customHeight="false" outlineLevel="0" collapsed="false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9"/>
      <c r="L1172" s="9"/>
      <c r="M1172" s="9"/>
      <c r="N1172" s="9"/>
      <c r="O1172" s="9"/>
      <c r="P1172" s="9"/>
      <c r="Q1172" s="9"/>
      <c r="R1172" s="9" t="str">
        <f aca="false">IF(AND(A1172&lt;&gt;"",ISNUMBER(Q1172),ISNUMBER(L1172)),ROUND(Q1172-IF(ISNUMBER(N1172),N1172,0)-IF(ISNUMBER(O1172),O1172,0)+IF(ISNUMBER(P1172),P1172,0),2),"")</f>
        <v/>
      </c>
      <c r="S1172" s="9" t="str">
        <f aca="false">IF(R1172="","",ROUND(L1172-R1172,2))</f>
        <v/>
      </c>
      <c r="T1172" s="8" t="str">
        <f aca="false">IF(A1172="","",IF(S1172="","BYPASS",IF(ABS(S1172)&lt;=Summary!$B$2,"PASS","FAIL")))</f>
        <v/>
      </c>
      <c r="U1172" s="8" t="str">
        <f aca="false">IF(T1172="BYPASS",IF(NOT(ISNUMBER(Q1172)),"PreV_ETB missing","End_tr_balance missing"),IF(T1172="FAIL",IF(AND(ISNUMBER(K1172),ISNUMBER(L1172),ABS(L1172-(K1172-IF(ISNUMBER(N1172),N1172,0)-IF(ISNUMBER(O1172),O1172,0)+IF(ISNUMBER(P1172),P1172,0)))&lt;=Summary!$B$2),"Passes using beginning_balance - PreV_ETB differs from beginning_balance",IF(AND(ISNUMBER(O1172),O1172&lt;0,ABS(L1172-(Q1172-IF(ISNUMBER(N1172),N1172,0)+IF(ISNUMBER(P1172),P1172,0)))&lt;=Summary!$B$2),"Negative realized loss not applied - check sign",IF(R1172&lt;0,"Principal paid exceeds prior balance",IF(AND(L1172&gt;Q1172,NOT(ISNUMBER(P1172))),"Balance increased but no Deferred_interest reported",IF(L1172&gt;R1172,"Reported balance higher than expected (missing increase/OC build)","Reported balance lower than expected (missing decrease)"))))),""))</f>
        <v/>
      </c>
    </row>
    <row r="1173" customFormat="false" ht="15" hidden="false" customHeight="false" outlineLevel="0" collapsed="false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9"/>
      <c r="L1173" s="9"/>
      <c r="M1173" s="9"/>
      <c r="N1173" s="9"/>
      <c r="O1173" s="9"/>
      <c r="P1173" s="9"/>
      <c r="Q1173" s="9"/>
      <c r="R1173" s="9" t="str">
        <f aca="false">IF(AND(A1173&lt;&gt;"",ISNUMBER(Q1173),ISNUMBER(L1173)),ROUND(Q1173-IF(ISNUMBER(N1173),N1173,0)-IF(ISNUMBER(O1173),O1173,0)+IF(ISNUMBER(P1173),P1173,0),2),"")</f>
        <v/>
      </c>
      <c r="S1173" s="9" t="str">
        <f aca="false">IF(R1173="","",ROUND(L1173-R1173,2))</f>
        <v/>
      </c>
      <c r="T1173" s="8" t="str">
        <f aca="false">IF(A1173="","",IF(S1173="","BYPASS",IF(ABS(S1173)&lt;=Summary!$B$2,"PASS","FAIL")))</f>
        <v/>
      </c>
      <c r="U1173" s="8" t="str">
        <f aca="false">IF(T1173="BYPASS",IF(NOT(ISNUMBER(Q1173)),"PreV_ETB missing","End_tr_balance missing"),IF(T1173="FAIL",IF(AND(ISNUMBER(K1173),ISNUMBER(L1173),ABS(L1173-(K1173-IF(ISNUMBER(N1173),N1173,0)-IF(ISNUMBER(O1173),O1173,0)+IF(ISNUMBER(P1173),P1173,0)))&lt;=Summary!$B$2),"Passes using beginning_balance - PreV_ETB differs from beginning_balance",IF(AND(ISNUMBER(O1173),O1173&lt;0,ABS(L1173-(Q1173-IF(ISNUMBER(N1173),N1173,0)+IF(ISNUMBER(P1173),P1173,0)))&lt;=Summary!$B$2),"Negative realized loss not applied - check sign",IF(R1173&lt;0,"Principal paid exceeds prior balance",IF(AND(L1173&gt;Q1173,NOT(ISNUMBER(P1173))),"Balance increased but no Deferred_interest reported",IF(L1173&gt;R1173,"Reported balance higher than expected (missing increase/OC build)","Reported balance lower than expected (missing decrease)"))))),""))</f>
        <v/>
      </c>
    </row>
    <row r="1174" customFormat="false" ht="15" hidden="false" customHeight="false" outlineLevel="0" collapsed="false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9"/>
      <c r="L1174" s="9"/>
      <c r="M1174" s="9"/>
      <c r="N1174" s="9"/>
      <c r="O1174" s="9"/>
      <c r="P1174" s="9"/>
      <c r="Q1174" s="9"/>
      <c r="R1174" s="9" t="str">
        <f aca="false">IF(AND(A1174&lt;&gt;"",ISNUMBER(Q1174),ISNUMBER(L1174)),ROUND(Q1174-IF(ISNUMBER(N1174),N1174,0)-IF(ISNUMBER(O1174),O1174,0)+IF(ISNUMBER(P1174),P1174,0),2),"")</f>
        <v/>
      </c>
      <c r="S1174" s="9" t="str">
        <f aca="false">IF(R1174="","",ROUND(L1174-R1174,2))</f>
        <v/>
      </c>
      <c r="T1174" s="8" t="str">
        <f aca="false">IF(A1174="","",IF(S1174="","BYPASS",IF(ABS(S1174)&lt;=Summary!$B$2,"PASS","FAIL")))</f>
        <v/>
      </c>
      <c r="U1174" s="8" t="str">
        <f aca="false">IF(T1174="BYPASS",IF(NOT(ISNUMBER(Q1174)),"PreV_ETB missing","End_tr_balance missing"),IF(T1174="FAIL",IF(AND(ISNUMBER(K1174),ISNUMBER(L1174),ABS(L1174-(K1174-IF(ISNUMBER(N1174),N1174,0)-IF(ISNUMBER(O1174),O1174,0)+IF(ISNUMBER(P1174),P1174,0)))&lt;=Summary!$B$2),"Passes using beginning_balance - PreV_ETB differs from beginning_balance",IF(AND(ISNUMBER(O1174),O1174&lt;0,ABS(L1174-(Q1174-IF(ISNUMBER(N1174),N1174,0)+IF(ISNUMBER(P1174),P1174,0)))&lt;=Summary!$B$2),"Negative realized loss not applied - check sign",IF(R1174&lt;0,"Principal paid exceeds prior balance",IF(AND(L1174&gt;Q1174,NOT(ISNUMBER(P1174))),"Balance increased but no Deferred_interest reported",IF(L1174&gt;R1174,"Reported balance higher than expected (missing increase/OC build)","Reported balance lower than expected (missing decrease)"))))),""))</f>
        <v/>
      </c>
    </row>
    <row r="1175" customFormat="false" ht="15" hidden="false" customHeight="false" outlineLevel="0" collapsed="false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9"/>
      <c r="L1175" s="9"/>
      <c r="M1175" s="9"/>
      <c r="N1175" s="9"/>
      <c r="O1175" s="9"/>
      <c r="P1175" s="9"/>
      <c r="Q1175" s="9"/>
      <c r="R1175" s="9" t="str">
        <f aca="false">IF(AND(A1175&lt;&gt;"",ISNUMBER(Q1175),ISNUMBER(L1175)),ROUND(Q1175-IF(ISNUMBER(N1175),N1175,0)-IF(ISNUMBER(O1175),O1175,0)+IF(ISNUMBER(P1175),P1175,0),2),"")</f>
        <v/>
      </c>
      <c r="S1175" s="9" t="str">
        <f aca="false">IF(R1175="","",ROUND(L1175-R1175,2))</f>
        <v/>
      </c>
      <c r="T1175" s="8" t="str">
        <f aca="false">IF(A1175="","",IF(S1175="","BYPASS",IF(ABS(S1175)&lt;=Summary!$B$2,"PASS","FAIL")))</f>
        <v/>
      </c>
      <c r="U1175" s="8" t="str">
        <f aca="false">IF(T1175="BYPASS",IF(NOT(ISNUMBER(Q1175)),"PreV_ETB missing","End_tr_balance missing"),IF(T1175="FAIL",IF(AND(ISNUMBER(K1175),ISNUMBER(L1175),ABS(L1175-(K1175-IF(ISNUMBER(N1175),N1175,0)-IF(ISNUMBER(O1175),O1175,0)+IF(ISNUMBER(P1175),P1175,0)))&lt;=Summary!$B$2),"Passes using beginning_balance - PreV_ETB differs from beginning_balance",IF(AND(ISNUMBER(O1175),O1175&lt;0,ABS(L1175-(Q1175-IF(ISNUMBER(N1175),N1175,0)+IF(ISNUMBER(P1175),P1175,0)))&lt;=Summary!$B$2),"Negative realized loss not applied - check sign",IF(R1175&lt;0,"Principal paid exceeds prior balance",IF(AND(L1175&gt;Q1175,NOT(ISNUMBER(P1175))),"Balance increased but no Deferred_interest reported",IF(L1175&gt;R1175,"Reported balance higher than expected (missing increase/OC build)","Reported balance lower than expected (missing decrease)"))))),""))</f>
        <v/>
      </c>
    </row>
    <row r="1176" customFormat="false" ht="15" hidden="false" customHeight="false" outlineLevel="0" collapsed="false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9"/>
      <c r="L1176" s="9"/>
      <c r="M1176" s="9"/>
      <c r="N1176" s="9"/>
      <c r="O1176" s="9"/>
      <c r="P1176" s="9"/>
      <c r="Q1176" s="9"/>
      <c r="R1176" s="9" t="str">
        <f aca="false">IF(AND(A1176&lt;&gt;"",ISNUMBER(Q1176),ISNUMBER(L1176)),ROUND(Q1176-IF(ISNUMBER(N1176),N1176,0)-IF(ISNUMBER(O1176),O1176,0)+IF(ISNUMBER(P1176),P1176,0),2),"")</f>
        <v/>
      </c>
      <c r="S1176" s="9" t="str">
        <f aca="false">IF(R1176="","",ROUND(L1176-R1176,2))</f>
        <v/>
      </c>
      <c r="T1176" s="8" t="str">
        <f aca="false">IF(A1176="","",IF(S1176="","BYPASS",IF(ABS(S1176)&lt;=Summary!$B$2,"PASS","FAIL")))</f>
        <v/>
      </c>
      <c r="U1176" s="8" t="str">
        <f aca="false">IF(T1176="BYPASS",IF(NOT(ISNUMBER(Q1176)),"PreV_ETB missing","End_tr_balance missing"),IF(T1176="FAIL",IF(AND(ISNUMBER(K1176),ISNUMBER(L1176),ABS(L1176-(K1176-IF(ISNUMBER(N1176),N1176,0)-IF(ISNUMBER(O1176),O1176,0)+IF(ISNUMBER(P1176),P1176,0)))&lt;=Summary!$B$2),"Passes using beginning_balance - PreV_ETB differs from beginning_balance",IF(AND(ISNUMBER(O1176),O1176&lt;0,ABS(L1176-(Q1176-IF(ISNUMBER(N1176),N1176,0)+IF(ISNUMBER(P1176),P1176,0)))&lt;=Summary!$B$2),"Negative realized loss not applied - check sign",IF(R1176&lt;0,"Principal paid exceeds prior balance",IF(AND(L1176&gt;Q1176,NOT(ISNUMBER(P1176))),"Balance increased but no Deferred_interest reported",IF(L1176&gt;R1176,"Reported balance higher than expected (missing increase/OC build)","Reported balance lower than expected (missing decrease)"))))),""))</f>
        <v/>
      </c>
    </row>
    <row r="1177" customFormat="false" ht="15" hidden="false" customHeight="false" outlineLevel="0" collapsed="false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9"/>
      <c r="L1177" s="9"/>
      <c r="M1177" s="9"/>
      <c r="N1177" s="9"/>
      <c r="O1177" s="9"/>
      <c r="P1177" s="9"/>
      <c r="Q1177" s="9"/>
      <c r="R1177" s="9" t="str">
        <f aca="false">IF(AND(A1177&lt;&gt;"",ISNUMBER(Q1177),ISNUMBER(L1177)),ROUND(Q1177-IF(ISNUMBER(N1177),N1177,0)-IF(ISNUMBER(O1177),O1177,0)+IF(ISNUMBER(P1177),P1177,0),2),"")</f>
        <v/>
      </c>
      <c r="S1177" s="9" t="str">
        <f aca="false">IF(R1177="","",ROUND(L1177-R1177,2))</f>
        <v/>
      </c>
      <c r="T1177" s="8" t="str">
        <f aca="false">IF(A1177="","",IF(S1177="","BYPASS",IF(ABS(S1177)&lt;=Summary!$B$2,"PASS","FAIL")))</f>
        <v/>
      </c>
      <c r="U1177" s="8" t="str">
        <f aca="false">IF(T1177="BYPASS",IF(NOT(ISNUMBER(Q1177)),"PreV_ETB missing","End_tr_balance missing"),IF(T1177="FAIL",IF(AND(ISNUMBER(K1177),ISNUMBER(L1177),ABS(L1177-(K1177-IF(ISNUMBER(N1177),N1177,0)-IF(ISNUMBER(O1177),O1177,0)+IF(ISNUMBER(P1177),P1177,0)))&lt;=Summary!$B$2),"Passes using beginning_balance - PreV_ETB differs from beginning_balance",IF(AND(ISNUMBER(O1177),O1177&lt;0,ABS(L1177-(Q1177-IF(ISNUMBER(N1177),N1177,0)+IF(ISNUMBER(P1177),P1177,0)))&lt;=Summary!$B$2),"Negative realized loss not applied - check sign",IF(R1177&lt;0,"Principal paid exceeds prior balance",IF(AND(L1177&gt;Q1177,NOT(ISNUMBER(P1177))),"Balance increased but no Deferred_interest reported",IF(L1177&gt;R1177,"Reported balance higher than expected (missing increase/OC build)","Reported balance lower than expected (missing decrease)"))))),""))</f>
        <v/>
      </c>
    </row>
    <row r="1178" customFormat="false" ht="15" hidden="false" customHeight="false" outlineLevel="0" collapsed="false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9"/>
      <c r="L1178" s="9"/>
      <c r="M1178" s="9"/>
      <c r="N1178" s="9"/>
      <c r="O1178" s="9"/>
      <c r="P1178" s="9"/>
      <c r="Q1178" s="9"/>
      <c r="R1178" s="9" t="str">
        <f aca="false">IF(AND(A1178&lt;&gt;"",ISNUMBER(Q1178),ISNUMBER(L1178)),ROUND(Q1178-IF(ISNUMBER(N1178),N1178,0)-IF(ISNUMBER(O1178),O1178,0)+IF(ISNUMBER(P1178),P1178,0),2),"")</f>
        <v/>
      </c>
      <c r="S1178" s="9" t="str">
        <f aca="false">IF(R1178="","",ROUND(L1178-R1178,2))</f>
        <v/>
      </c>
      <c r="T1178" s="8" t="str">
        <f aca="false">IF(A1178="","",IF(S1178="","BYPASS",IF(ABS(S1178)&lt;=Summary!$B$2,"PASS","FAIL")))</f>
        <v/>
      </c>
      <c r="U1178" s="8" t="str">
        <f aca="false">IF(T1178="BYPASS",IF(NOT(ISNUMBER(Q1178)),"PreV_ETB missing","End_tr_balance missing"),IF(T1178="FAIL",IF(AND(ISNUMBER(K1178),ISNUMBER(L1178),ABS(L1178-(K1178-IF(ISNUMBER(N1178),N1178,0)-IF(ISNUMBER(O1178),O1178,0)+IF(ISNUMBER(P1178),P1178,0)))&lt;=Summary!$B$2),"Passes using beginning_balance - PreV_ETB differs from beginning_balance",IF(AND(ISNUMBER(O1178),O1178&lt;0,ABS(L1178-(Q1178-IF(ISNUMBER(N1178),N1178,0)+IF(ISNUMBER(P1178),P1178,0)))&lt;=Summary!$B$2),"Negative realized loss not applied - check sign",IF(R1178&lt;0,"Principal paid exceeds prior balance",IF(AND(L1178&gt;Q1178,NOT(ISNUMBER(P1178))),"Balance increased but no Deferred_interest reported",IF(L1178&gt;R1178,"Reported balance higher than expected (missing increase/OC build)","Reported balance lower than expected (missing decrease)"))))),""))</f>
        <v/>
      </c>
    </row>
    <row r="1179" customFormat="false" ht="15" hidden="false" customHeight="false" outlineLevel="0" collapsed="false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9"/>
      <c r="L1179" s="9"/>
      <c r="M1179" s="9"/>
      <c r="N1179" s="9"/>
      <c r="O1179" s="9"/>
      <c r="P1179" s="9"/>
      <c r="Q1179" s="9"/>
      <c r="R1179" s="9" t="str">
        <f aca="false">IF(AND(A1179&lt;&gt;"",ISNUMBER(Q1179),ISNUMBER(L1179)),ROUND(Q1179-IF(ISNUMBER(N1179),N1179,0)-IF(ISNUMBER(O1179),O1179,0)+IF(ISNUMBER(P1179),P1179,0),2),"")</f>
        <v/>
      </c>
      <c r="S1179" s="9" t="str">
        <f aca="false">IF(R1179="","",ROUND(L1179-R1179,2))</f>
        <v/>
      </c>
      <c r="T1179" s="8" t="str">
        <f aca="false">IF(A1179="","",IF(S1179="","BYPASS",IF(ABS(S1179)&lt;=Summary!$B$2,"PASS","FAIL")))</f>
        <v/>
      </c>
      <c r="U1179" s="8" t="str">
        <f aca="false">IF(T1179="BYPASS",IF(NOT(ISNUMBER(Q1179)),"PreV_ETB missing","End_tr_balance missing"),IF(T1179="FAIL",IF(AND(ISNUMBER(K1179),ISNUMBER(L1179),ABS(L1179-(K1179-IF(ISNUMBER(N1179),N1179,0)-IF(ISNUMBER(O1179),O1179,0)+IF(ISNUMBER(P1179),P1179,0)))&lt;=Summary!$B$2),"Passes using beginning_balance - PreV_ETB differs from beginning_balance",IF(AND(ISNUMBER(O1179),O1179&lt;0,ABS(L1179-(Q1179-IF(ISNUMBER(N1179),N1179,0)+IF(ISNUMBER(P1179),P1179,0)))&lt;=Summary!$B$2),"Negative realized loss not applied - check sign",IF(R1179&lt;0,"Principal paid exceeds prior balance",IF(AND(L1179&gt;Q1179,NOT(ISNUMBER(P1179))),"Balance increased but no Deferred_interest reported",IF(L1179&gt;R1179,"Reported balance higher than expected (missing increase/OC build)","Reported balance lower than expected (missing decrease)"))))),""))</f>
        <v/>
      </c>
    </row>
    <row r="1180" customFormat="false" ht="15" hidden="false" customHeight="false" outlineLevel="0" collapsed="false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9"/>
      <c r="L1180" s="9"/>
      <c r="M1180" s="9"/>
      <c r="N1180" s="9"/>
      <c r="O1180" s="9"/>
      <c r="P1180" s="9"/>
      <c r="Q1180" s="9"/>
      <c r="R1180" s="9" t="str">
        <f aca="false">IF(AND(A1180&lt;&gt;"",ISNUMBER(Q1180),ISNUMBER(L1180)),ROUND(Q1180-IF(ISNUMBER(N1180),N1180,0)-IF(ISNUMBER(O1180),O1180,0)+IF(ISNUMBER(P1180),P1180,0),2),"")</f>
        <v/>
      </c>
      <c r="S1180" s="9" t="str">
        <f aca="false">IF(R1180="","",ROUND(L1180-R1180,2))</f>
        <v/>
      </c>
      <c r="T1180" s="8" t="str">
        <f aca="false">IF(A1180="","",IF(S1180="","BYPASS",IF(ABS(S1180)&lt;=Summary!$B$2,"PASS","FAIL")))</f>
        <v/>
      </c>
      <c r="U1180" s="8" t="str">
        <f aca="false">IF(T1180="BYPASS",IF(NOT(ISNUMBER(Q1180)),"PreV_ETB missing","End_tr_balance missing"),IF(T1180="FAIL",IF(AND(ISNUMBER(K1180),ISNUMBER(L1180),ABS(L1180-(K1180-IF(ISNUMBER(N1180),N1180,0)-IF(ISNUMBER(O1180),O1180,0)+IF(ISNUMBER(P1180),P1180,0)))&lt;=Summary!$B$2),"Passes using beginning_balance - PreV_ETB differs from beginning_balance",IF(AND(ISNUMBER(O1180),O1180&lt;0,ABS(L1180-(Q1180-IF(ISNUMBER(N1180),N1180,0)+IF(ISNUMBER(P1180),P1180,0)))&lt;=Summary!$B$2),"Negative realized loss not applied - check sign",IF(R1180&lt;0,"Principal paid exceeds prior balance",IF(AND(L1180&gt;Q1180,NOT(ISNUMBER(P1180))),"Balance increased but no Deferred_interest reported",IF(L1180&gt;R1180,"Reported balance higher than expected (missing increase/OC build)","Reported balance lower than expected (missing decrease)"))))),""))</f>
        <v/>
      </c>
    </row>
    <row r="1181" customFormat="false" ht="15" hidden="false" customHeight="false" outlineLevel="0" collapsed="false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9"/>
      <c r="L1181" s="9"/>
      <c r="M1181" s="9"/>
      <c r="N1181" s="9"/>
      <c r="O1181" s="9"/>
      <c r="P1181" s="9"/>
      <c r="Q1181" s="9"/>
      <c r="R1181" s="9" t="str">
        <f aca="false">IF(AND(A1181&lt;&gt;"",ISNUMBER(Q1181),ISNUMBER(L1181)),ROUND(Q1181-IF(ISNUMBER(N1181),N1181,0)-IF(ISNUMBER(O1181),O1181,0)+IF(ISNUMBER(P1181),P1181,0),2),"")</f>
        <v/>
      </c>
      <c r="S1181" s="9" t="str">
        <f aca="false">IF(R1181="","",ROUND(L1181-R1181,2))</f>
        <v/>
      </c>
      <c r="T1181" s="8" t="str">
        <f aca="false">IF(A1181="","",IF(S1181="","BYPASS",IF(ABS(S1181)&lt;=Summary!$B$2,"PASS","FAIL")))</f>
        <v/>
      </c>
      <c r="U1181" s="8" t="str">
        <f aca="false">IF(T1181="BYPASS",IF(NOT(ISNUMBER(Q1181)),"PreV_ETB missing","End_tr_balance missing"),IF(T1181="FAIL",IF(AND(ISNUMBER(K1181),ISNUMBER(L1181),ABS(L1181-(K1181-IF(ISNUMBER(N1181),N1181,0)-IF(ISNUMBER(O1181),O1181,0)+IF(ISNUMBER(P1181),P1181,0)))&lt;=Summary!$B$2),"Passes using beginning_balance - PreV_ETB differs from beginning_balance",IF(AND(ISNUMBER(O1181),O1181&lt;0,ABS(L1181-(Q1181-IF(ISNUMBER(N1181),N1181,0)+IF(ISNUMBER(P1181),P1181,0)))&lt;=Summary!$B$2),"Negative realized loss not applied - check sign",IF(R1181&lt;0,"Principal paid exceeds prior balance",IF(AND(L1181&gt;Q1181,NOT(ISNUMBER(P1181))),"Balance increased but no Deferred_interest reported",IF(L1181&gt;R1181,"Reported balance higher than expected (missing increase/OC build)","Reported balance lower than expected (missing decrease)"))))),""))</f>
        <v/>
      </c>
    </row>
    <row r="1182" customFormat="false" ht="15" hidden="false" customHeight="false" outlineLevel="0" collapsed="false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9"/>
      <c r="L1182" s="9"/>
      <c r="M1182" s="9"/>
      <c r="N1182" s="9"/>
      <c r="O1182" s="9"/>
      <c r="P1182" s="9"/>
      <c r="Q1182" s="9"/>
      <c r="R1182" s="9" t="str">
        <f aca="false">IF(AND(A1182&lt;&gt;"",ISNUMBER(Q1182),ISNUMBER(L1182)),ROUND(Q1182-IF(ISNUMBER(N1182),N1182,0)-IF(ISNUMBER(O1182),O1182,0)+IF(ISNUMBER(P1182),P1182,0),2),"")</f>
        <v/>
      </c>
      <c r="S1182" s="9" t="str">
        <f aca="false">IF(R1182="","",ROUND(L1182-R1182,2))</f>
        <v/>
      </c>
      <c r="T1182" s="8" t="str">
        <f aca="false">IF(A1182="","",IF(S1182="","BYPASS",IF(ABS(S1182)&lt;=Summary!$B$2,"PASS","FAIL")))</f>
        <v/>
      </c>
      <c r="U1182" s="8" t="str">
        <f aca="false">IF(T1182="BYPASS",IF(NOT(ISNUMBER(Q1182)),"PreV_ETB missing","End_tr_balance missing"),IF(T1182="FAIL",IF(AND(ISNUMBER(K1182),ISNUMBER(L1182),ABS(L1182-(K1182-IF(ISNUMBER(N1182),N1182,0)-IF(ISNUMBER(O1182),O1182,0)+IF(ISNUMBER(P1182),P1182,0)))&lt;=Summary!$B$2),"Passes using beginning_balance - PreV_ETB differs from beginning_balance",IF(AND(ISNUMBER(O1182),O1182&lt;0,ABS(L1182-(Q1182-IF(ISNUMBER(N1182),N1182,0)+IF(ISNUMBER(P1182),P1182,0)))&lt;=Summary!$B$2),"Negative realized loss not applied - check sign",IF(R1182&lt;0,"Principal paid exceeds prior balance",IF(AND(L1182&gt;Q1182,NOT(ISNUMBER(P1182))),"Balance increased but no Deferred_interest reported",IF(L1182&gt;R1182,"Reported balance higher than expected (missing increase/OC build)","Reported balance lower than expected (missing decrease)"))))),""))</f>
        <v/>
      </c>
    </row>
    <row r="1183" customFormat="false" ht="15" hidden="false" customHeight="false" outlineLevel="0" collapsed="false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9"/>
      <c r="L1183" s="9"/>
      <c r="M1183" s="9"/>
      <c r="N1183" s="9"/>
      <c r="O1183" s="9"/>
      <c r="P1183" s="9"/>
      <c r="Q1183" s="9"/>
      <c r="R1183" s="9" t="str">
        <f aca="false">IF(AND(A1183&lt;&gt;"",ISNUMBER(Q1183),ISNUMBER(L1183)),ROUND(Q1183-IF(ISNUMBER(N1183),N1183,0)-IF(ISNUMBER(O1183),O1183,0)+IF(ISNUMBER(P1183),P1183,0),2),"")</f>
        <v/>
      </c>
      <c r="S1183" s="9" t="str">
        <f aca="false">IF(R1183="","",ROUND(L1183-R1183,2))</f>
        <v/>
      </c>
      <c r="T1183" s="8" t="str">
        <f aca="false">IF(A1183="","",IF(S1183="","BYPASS",IF(ABS(S1183)&lt;=Summary!$B$2,"PASS","FAIL")))</f>
        <v/>
      </c>
      <c r="U1183" s="8" t="str">
        <f aca="false">IF(T1183="BYPASS",IF(NOT(ISNUMBER(Q1183)),"PreV_ETB missing","End_tr_balance missing"),IF(T1183="FAIL",IF(AND(ISNUMBER(K1183),ISNUMBER(L1183),ABS(L1183-(K1183-IF(ISNUMBER(N1183),N1183,0)-IF(ISNUMBER(O1183),O1183,0)+IF(ISNUMBER(P1183),P1183,0)))&lt;=Summary!$B$2),"Passes using beginning_balance - PreV_ETB differs from beginning_balance",IF(AND(ISNUMBER(O1183),O1183&lt;0,ABS(L1183-(Q1183-IF(ISNUMBER(N1183),N1183,0)+IF(ISNUMBER(P1183),P1183,0)))&lt;=Summary!$B$2),"Negative realized loss not applied - check sign",IF(R1183&lt;0,"Principal paid exceeds prior balance",IF(AND(L1183&gt;Q1183,NOT(ISNUMBER(P1183))),"Balance increased but no Deferred_interest reported",IF(L1183&gt;R1183,"Reported balance higher than expected (missing increase/OC build)","Reported balance lower than expected (missing decrease)"))))),""))</f>
        <v/>
      </c>
    </row>
    <row r="1184" customFormat="false" ht="15" hidden="false" customHeight="false" outlineLevel="0" collapsed="false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9"/>
      <c r="L1184" s="9"/>
      <c r="M1184" s="9"/>
      <c r="N1184" s="9"/>
      <c r="O1184" s="9"/>
      <c r="P1184" s="9"/>
      <c r="Q1184" s="9"/>
      <c r="R1184" s="9" t="str">
        <f aca="false">IF(AND(A1184&lt;&gt;"",ISNUMBER(Q1184),ISNUMBER(L1184)),ROUND(Q1184-IF(ISNUMBER(N1184),N1184,0)-IF(ISNUMBER(O1184),O1184,0)+IF(ISNUMBER(P1184),P1184,0),2),"")</f>
        <v/>
      </c>
      <c r="S1184" s="9" t="str">
        <f aca="false">IF(R1184="","",ROUND(L1184-R1184,2))</f>
        <v/>
      </c>
      <c r="T1184" s="8" t="str">
        <f aca="false">IF(A1184="","",IF(S1184="","BYPASS",IF(ABS(S1184)&lt;=Summary!$B$2,"PASS","FAIL")))</f>
        <v/>
      </c>
      <c r="U1184" s="8" t="str">
        <f aca="false">IF(T1184="BYPASS",IF(NOT(ISNUMBER(Q1184)),"PreV_ETB missing","End_tr_balance missing"),IF(T1184="FAIL",IF(AND(ISNUMBER(K1184),ISNUMBER(L1184),ABS(L1184-(K1184-IF(ISNUMBER(N1184),N1184,0)-IF(ISNUMBER(O1184),O1184,0)+IF(ISNUMBER(P1184),P1184,0)))&lt;=Summary!$B$2),"Passes using beginning_balance - PreV_ETB differs from beginning_balance",IF(AND(ISNUMBER(O1184),O1184&lt;0,ABS(L1184-(Q1184-IF(ISNUMBER(N1184),N1184,0)+IF(ISNUMBER(P1184),P1184,0)))&lt;=Summary!$B$2),"Negative realized loss not applied - check sign",IF(R1184&lt;0,"Principal paid exceeds prior balance",IF(AND(L1184&gt;Q1184,NOT(ISNUMBER(P1184))),"Balance increased but no Deferred_interest reported",IF(L1184&gt;R1184,"Reported balance higher than expected (missing increase/OC build)","Reported balance lower than expected (missing decrease)"))))),""))</f>
        <v/>
      </c>
    </row>
    <row r="1185" customFormat="false" ht="15" hidden="false" customHeight="false" outlineLevel="0" collapsed="false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9"/>
      <c r="L1185" s="9"/>
      <c r="M1185" s="9"/>
      <c r="N1185" s="9"/>
      <c r="O1185" s="9"/>
      <c r="P1185" s="9"/>
      <c r="Q1185" s="9"/>
      <c r="R1185" s="9" t="str">
        <f aca="false">IF(AND(A1185&lt;&gt;"",ISNUMBER(Q1185),ISNUMBER(L1185)),ROUND(Q1185-IF(ISNUMBER(N1185),N1185,0)-IF(ISNUMBER(O1185),O1185,0)+IF(ISNUMBER(P1185),P1185,0),2),"")</f>
        <v/>
      </c>
      <c r="S1185" s="9" t="str">
        <f aca="false">IF(R1185="","",ROUND(L1185-R1185,2))</f>
        <v/>
      </c>
      <c r="T1185" s="8" t="str">
        <f aca="false">IF(A1185="","",IF(S1185="","BYPASS",IF(ABS(S1185)&lt;=Summary!$B$2,"PASS","FAIL")))</f>
        <v/>
      </c>
      <c r="U1185" s="8" t="str">
        <f aca="false">IF(T1185="BYPASS",IF(NOT(ISNUMBER(Q1185)),"PreV_ETB missing","End_tr_balance missing"),IF(T1185="FAIL",IF(AND(ISNUMBER(K1185),ISNUMBER(L1185),ABS(L1185-(K1185-IF(ISNUMBER(N1185),N1185,0)-IF(ISNUMBER(O1185),O1185,0)+IF(ISNUMBER(P1185),P1185,0)))&lt;=Summary!$B$2),"Passes using beginning_balance - PreV_ETB differs from beginning_balance",IF(AND(ISNUMBER(O1185),O1185&lt;0,ABS(L1185-(Q1185-IF(ISNUMBER(N1185),N1185,0)+IF(ISNUMBER(P1185),P1185,0)))&lt;=Summary!$B$2),"Negative realized loss not applied - check sign",IF(R1185&lt;0,"Principal paid exceeds prior balance",IF(AND(L1185&gt;Q1185,NOT(ISNUMBER(P1185))),"Balance increased but no Deferred_interest reported",IF(L1185&gt;R1185,"Reported balance higher than expected (missing increase/OC build)","Reported balance lower than expected (missing decrease)"))))),""))</f>
        <v/>
      </c>
    </row>
    <row r="1186" customFormat="false" ht="15" hidden="false" customHeight="false" outlineLevel="0" collapsed="false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9"/>
      <c r="L1186" s="9"/>
      <c r="M1186" s="9"/>
      <c r="N1186" s="9"/>
      <c r="O1186" s="9"/>
      <c r="P1186" s="9"/>
      <c r="Q1186" s="9"/>
      <c r="R1186" s="9" t="str">
        <f aca="false">IF(AND(A1186&lt;&gt;"",ISNUMBER(Q1186),ISNUMBER(L1186)),ROUND(Q1186-IF(ISNUMBER(N1186),N1186,0)-IF(ISNUMBER(O1186),O1186,0)+IF(ISNUMBER(P1186),P1186,0),2),"")</f>
        <v/>
      </c>
      <c r="S1186" s="9" t="str">
        <f aca="false">IF(R1186="","",ROUND(L1186-R1186,2))</f>
        <v/>
      </c>
      <c r="T1186" s="8" t="str">
        <f aca="false">IF(A1186="","",IF(S1186="","BYPASS",IF(ABS(S1186)&lt;=Summary!$B$2,"PASS","FAIL")))</f>
        <v/>
      </c>
      <c r="U1186" s="8" t="str">
        <f aca="false">IF(T1186="BYPASS",IF(NOT(ISNUMBER(Q1186)),"PreV_ETB missing","End_tr_balance missing"),IF(T1186="FAIL",IF(AND(ISNUMBER(K1186),ISNUMBER(L1186),ABS(L1186-(K1186-IF(ISNUMBER(N1186),N1186,0)-IF(ISNUMBER(O1186),O1186,0)+IF(ISNUMBER(P1186),P1186,0)))&lt;=Summary!$B$2),"Passes using beginning_balance - PreV_ETB differs from beginning_balance",IF(AND(ISNUMBER(O1186),O1186&lt;0,ABS(L1186-(Q1186-IF(ISNUMBER(N1186),N1186,0)+IF(ISNUMBER(P1186),P1186,0)))&lt;=Summary!$B$2),"Negative realized loss not applied - check sign",IF(R1186&lt;0,"Principal paid exceeds prior balance",IF(AND(L1186&gt;Q1186,NOT(ISNUMBER(P1186))),"Balance increased but no Deferred_interest reported",IF(L1186&gt;R1186,"Reported balance higher than expected (missing increase/OC build)","Reported balance lower than expected (missing decrease)"))))),""))</f>
        <v/>
      </c>
    </row>
    <row r="1187" customFormat="false" ht="15" hidden="false" customHeight="false" outlineLevel="0" collapsed="false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9"/>
      <c r="L1187" s="9"/>
      <c r="M1187" s="9"/>
      <c r="N1187" s="9"/>
      <c r="O1187" s="9"/>
      <c r="P1187" s="9"/>
      <c r="Q1187" s="9"/>
      <c r="R1187" s="9" t="str">
        <f aca="false">IF(AND(A1187&lt;&gt;"",ISNUMBER(Q1187),ISNUMBER(L1187)),ROUND(Q1187-IF(ISNUMBER(N1187),N1187,0)-IF(ISNUMBER(O1187),O1187,0)+IF(ISNUMBER(P1187),P1187,0),2),"")</f>
        <v/>
      </c>
      <c r="S1187" s="9" t="str">
        <f aca="false">IF(R1187="","",ROUND(L1187-R1187,2))</f>
        <v/>
      </c>
      <c r="T1187" s="8" t="str">
        <f aca="false">IF(A1187="","",IF(S1187="","BYPASS",IF(ABS(S1187)&lt;=Summary!$B$2,"PASS","FAIL")))</f>
        <v/>
      </c>
      <c r="U1187" s="8" t="str">
        <f aca="false">IF(T1187="BYPASS",IF(NOT(ISNUMBER(Q1187)),"PreV_ETB missing","End_tr_balance missing"),IF(T1187="FAIL",IF(AND(ISNUMBER(K1187),ISNUMBER(L1187),ABS(L1187-(K1187-IF(ISNUMBER(N1187),N1187,0)-IF(ISNUMBER(O1187),O1187,0)+IF(ISNUMBER(P1187),P1187,0)))&lt;=Summary!$B$2),"Passes using beginning_balance - PreV_ETB differs from beginning_balance",IF(AND(ISNUMBER(O1187),O1187&lt;0,ABS(L1187-(Q1187-IF(ISNUMBER(N1187),N1187,0)+IF(ISNUMBER(P1187),P1187,0)))&lt;=Summary!$B$2),"Negative realized loss not applied - check sign",IF(R1187&lt;0,"Principal paid exceeds prior balance",IF(AND(L1187&gt;Q1187,NOT(ISNUMBER(P1187))),"Balance increased but no Deferred_interest reported",IF(L1187&gt;R1187,"Reported balance higher than expected (missing increase/OC build)","Reported balance lower than expected (missing decrease)"))))),""))</f>
        <v/>
      </c>
    </row>
    <row r="1188" customFormat="false" ht="15" hidden="false" customHeight="false" outlineLevel="0" collapsed="false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9"/>
      <c r="L1188" s="9"/>
      <c r="M1188" s="9"/>
      <c r="N1188" s="9"/>
      <c r="O1188" s="9"/>
      <c r="P1188" s="9"/>
      <c r="Q1188" s="9"/>
      <c r="R1188" s="9" t="str">
        <f aca="false">IF(AND(A1188&lt;&gt;"",ISNUMBER(Q1188),ISNUMBER(L1188)),ROUND(Q1188-IF(ISNUMBER(N1188),N1188,0)-IF(ISNUMBER(O1188),O1188,0)+IF(ISNUMBER(P1188),P1188,0),2),"")</f>
        <v/>
      </c>
      <c r="S1188" s="9" t="str">
        <f aca="false">IF(R1188="","",ROUND(L1188-R1188,2))</f>
        <v/>
      </c>
      <c r="T1188" s="8" t="str">
        <f aca="false">IF(A1188="","",IF(S1188="","BYPASS",IF(ABS(S1188)&lt;=Summary!$B$2,"PASS","FAIL")))</f>
        <v/>
      </c>
      <c r="U1188" s="8" t="str">
        <f aca="false">IF(T1188="BYPASS",IF(NOT(ISNUMBER(Q1188)),"PreV_ETB missing","End_tr_balance missing"),IF(T1188="FAIL",IF(AND(ISNUMBER(K1188),ISNUMBER(L1188),ABS(L1188-(K1188-IF(ISNUMBER(N1188),N1188,0)-IF(ISNUMBER(O1188),O1188,0)+IF(ISNUMBER(P1188),P1188,0)))&lt;=Summary!$B$2),"Passes using beginning_balance - PreV_ETB differs from beginning_balance",IF(AND(ISNUMBER(O1188),O1188&lt;0,ABS(L1188-(Q1188-IF(ISNUMBER(N1188),N1188,0)+IF(ISNUMBER(P1188),P1188,0)))&lt;=Summary!$B$2),"Negative realized loss not applied - check sign",IF(R1188&lt;0,"Principal paid exceeds prior balance",IF(AND(L1188&gt;Q1188,NOT(ISNUMBER(P1188))),"Balance increased but no Deferred_interest reported",IF(L1188&gt;R1188,"Reported balance higher than expected (missing increase/OC build)","Reported balance lower than expected (missing decrease)"))))),""))</f>
        <v/>
      </c>
    </row>
    <row r="1189" customFormat="false" ht="15" hidden="false" customHeight="false" outlineLevel="0" collapsed="false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9"/>
      <c r="L1189" s="9"/>
      <c r="M1189" s="9"/>
      <c r="N1189" s="9"/>
      <c r="O1189" s="9"/>
      <c r="P1189" s="9"/>
      <c r="Q1189" s="9"/>
      <c r="R1189" s="9" t="str">
        <f aca="false">IF(AND(A1189&lt;&gt;"",ISNUMBER(Q1189),ISNUMBER(L1189)),ROUND(Q1189-IF(ISNUMBER(N1189),N1189,0)-IF(ISNUMBER(O1189),O1189,0)+IF(ISNUMBER(P1189),P1189,0),2),"")</f>
        <v/>
      </c>
      <c r="S1189" s="9" t="str">
        <f aca="false">IF(R1189="","",ROUND(L1189-R1189,2))</f>
        <v/>
      </c>
      <c r="T1189" s="8" t="str">
        <f aca="false">IF(A1189="","",IF(S1189="","BYPASS",IF(ABS(S1189)&lt;=Summary!$B$2,"PASS","FAIL")))</f>
        <v/>
      </c>
      <c r="U1189" s="8" t="str">
        <f aca="false">IF(T1189="BYPASS",IF(NOT(ISNUMBER(Q1189)),"PreV_ETB missing","End_tr_balance missing"),IF(T1189="FAIL",IF(AND(ISNUMBER(K1189),ISNUMBER(L1189),ABS(L1189-(K1189-IF(ISNUMBER(N1189),N1189,0)-IF(ISNUMBER(O1189),O1189,0)+IF(ISNUMBER(P1189),P1189,0)))&lt;=Summary!$B$2),"Passes using beginning_balance - PreV_ETB differs from beginning_balance",IF(AND(ISNUMBER(O1189),O1189&lt;0,ABS(L1189-(Q1189-IF(ISNUMBER(N1189),N1189,0)+IF(ISNUMBER(P1189),P1189,0)))&lt;=Summary!$B$2),"Negative realized loss not applied - check sign",IF(R1189&lt;0,"Principal paid exceeds prior balance",IF(AND(L1189&gt;Q1189,NOT(ISNUMBER(P1189))),"Balance increased but no Deferred_interest reported",IF(L1189&gt;R1189,"Reported balance higher than expected (missing increase/OC build)","Reported balance lower than expected (missing decrease)"))))),""))</f>
        <v/>
      </c>
    </row>
    <row r="1190" customFormat="false" ht="15" hidden="false" customHeight="false" outlineLevel="0" collapsed="false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9"/>
      <c r="L1190" s="9"/>
      <c r="M1190" s="9"/>
      <c r="N1190" s="9"/>
      <c r="O1190" s="9"/>
      <c r="P1190" s="9"/>
      <c r="Q1190" s="9"/>
      <c r="R1190" s="9" t="str">
        <f aca="false">IF(AND(A1190&lt;&gt;"",ISNUMBER(Q1190),ISNUMBER(L1190)),ROUND(Q1190-IF(ISNUMBER(N1190),N1190,0)-IF(ISNUMBER(O1190),O1190,0)+IF(ISNUMBER(P1190),P1190,0),2),"")</f>
        <v/>
      </c>
      <c r="S1190" s="9" t="str">
        <f aca="false">IF(R1190="","",ROUND(L1190-R1190,2))</f>
        <v/>
      </c>
      <c r="T1190" s="8" t="str">
        <f aca="false">IF(A1190="","",IF(S1190="","BYPASS",IF(ABS(S1190)&lt;=Summary!$B$2,"PASS","FAIL")))</f>
        <v/>
      </c>
      <c r="U1190" s="8" t="str">
        <f aca="false">IF(T1190="BYPASS",IF(NOT(ISNUMBER(Q1190)),"PreV_ETB missing","End_tr_balance missing"),IF(T1190="FAIL",IF(AND(ISNUMBER(K1190),ISNUMBER(L1190),ABS(L1190-(K1190-IF(ISNUMBER(N1190),N1190,0)-IF(ISNUMBER(O1190),O1190,0)+IF(ISNUMBER(P1190),P1190,0)))&lt;=Summary!$B$2),"Passes using beginning_balance - PreV_ETB differs from beginning_balance",IF(AND(ISNUMBER(O1190),O1190&lt;0,ABS(L1190-(Q1190-IF(ISNUMBER(N1190),N1190,0)+IF(ISNUMBER(P1190),P1190,0)))&lt;=Summary!$B$2),"Negative realized loss not applied - check sign",IF(R1190&lt;0,"Principal paid exceeds prior balance",IF(AND(L1190&gt;Q1190,NOT(ISNUMBER(P1190))),"Balance increased but no Deferred_interest reported",IF(L1190&gt;R1190,"Reported balance higher than expected (missing increase/OC build)","Reported balance lower than expected (missing decrease)"))))),""))</f>
        <v/>
      </c>
    </row>
    <row r="1191" customFormat="false" ht="15" hidden="false" customHeight="false" outlineLevel="0" collapsed="false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9"/>
      <c r="L1191" s="9"/>
      <c r="M1191" s="9"/>
      <c r="N1191" s="9"/>
      <c r="O1191" s="9"/>
      <c r="P1191" s="9"/>
      <c r="Q1191" s="9"/>
      <c r="R1191" s="9" t="str">
        <f aca="false">IF(AND(A1191&lt;&gt;"",ISNUMBER(Q1191),ISNUMBER(L1191)),ROUND(Q1191-IF(ISNUMBER(N1191),N1191,0)-IF(ISNUMBER(O1191),O1191,0)+IF(ISNUMBER(P1191),P1191,0),2),"")</f>
        <v/>
      </c>
      <c r="S1191" s="9" t="str">
        <f aca="false">IF(R1191="","",ROUND(L1191-R1191,2))</f>
        <v/>
      </c>
      <c r="T1191" s="8" t="str">
        <f aca="false">IF(A1191="","",IF(S1191="","BYPASS",IF(ABS(S1191)&lt;=Summary!$B$2,"PASS","FAIL")))</f>
        <v/>
      </c>
      <c r="U1191" s="8" t="str">
        <f aca="false">IF(T1191="BYPASS",IF(NOT(ISNUMBER(Q1191)),"PreV_ETB missing","End_tr_balance missing"),IF(T1191="FAIL",IF(AND(ISNUMBER(K1191),ISNUMBER(L1191),ABS(L1191-(K1191-IF(ISNUMBER(N1191),N1191,0)-IF(ISNUMBER(O1191),O1191,0)+IF(ISNUMBER(P1191),P1191,0)))&lt;=Summary!$B$2),"Passes using beginning_balance - PreV_ETB differs from beginning_balance",IF(AND(ISNUMBER(O1191),O1191&lt;0,ABS(L1191-(Q1191-IF(ISNUMBER(N1191),N1191,0)+IF(ISNUMBER(P1191),P1191,0)))&lt;=Summary!$B$2),"Negative realized loss not applied - check sign",IF(R1191&lt;0,"Principal paid exceeds prior balance",IF(AND(L1191&gt;Q1191,NOT(ISNUMBER(P1191))),"Balance increased but no Deferred_interest reported",IF(L1191&gt;R1191,"Reported balance higher than expected (missing increase/OC build)","Reported balance lower than expected (missing decrease)"))))),""))</f>
        <v/>
      </c>
    </row>
    <row r="1192" customFormat="false" ht="15" hidden="false" customHeight="false" outlineLevel="0" collapsed="false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9"/>
      <c r="L1192" s="9"/>
      <c r="M1192" s="9"/>
      <c r="N1192" s="9"/>
      <c r="O1192" s="9"/>
      <c r="P1192" s="9"/>
      <c r="Q1192" s="9"/>
      <c r="R1192" s="9" t="str">
        <f aca="false">IF(AND(A1192&lt;&gt;"",ISNUMBER(Q1192),ISNUMBER(L1192)),ROUND(Q1192-IF(ISNUMBER(N1192),N1192,0)-IF(ISNUMBER(O1192),O1192,0)+IF(ISNUMBER(P1192),P1192,0),2),"")</f>
        <v/>
      </c>
      <c r="S1192" s="9" t="str">
        <f aca="false">IF(R1192="","",ROUND(L1192-R1192,2))</f>
        <v/>
      </c>
      <c r="T1192" s="8" t="str">
        <f aca="false">IF(A1192="","",IF(S1192="","BYPASS",IF(ABS(S1192)&lt;=Summary!$B$2,"PASS","FAIL")))</f>
        <v/>
      </c>
      <c r="U1192" s="8" t="str">
        <f aca="false">IF(T1192="BYPASS",IF(NOT(ISNUMBER(Q1192)),"PreV_ETB missing","End_tr_balance missing"),IF(T1192="FAIL",IF(AND(ISNUMBER(K1192),ISNUMBER(L1192),ABS(L1192-(K1192-IF(ISNUMBER(N1192),N1192,0)-IF(ISNUMBER(O1192),O1192,0)+IF(ISNUMBER(P1192),P1192,0)))&lt;=Summary!$B$2),"Passes using beginning_balance - PreV_ETB differs from beginning_balance",IF(AND(ISNUMBER(O1192),O1192&lt;0,ABS(L1192-(Q1192-IF(ISNUMBER(N1192),N1192,0)+IF(ISNUMBER(P1192),P1192,0)))&lt;=Summary!$B$2),"Negative realized loss not applied - check sign",IF(R1192&lt;0,"Principal paid exceeds prior balance",IF(AND(L1192&gt;Q1192,NOT(ISNUMBER(P1192))),"Balance increased but no Deferred_interest reported",IF(L1192&gt;R1192,"Reported balance higher than expected (missing increase/OC build)","Reported balance lower than expected (missing decrease)"))))),""))</f>
        <v/>
      </c>
    </row>
    <row r="1193" customFormat="false" ht="15" hidden="false" customHeight="false" outlineLevel="0" collapsed="false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9"/>
      <c r="L1193" s="9"/>
      <c r="M1193" s="9"/>
      <c r="N1193" s="9"/>
      <c r="O1193" s="9"/>
      <c r="P1193" s="9"/>
      <c r="Q1193" s="9"/>
      <c r="R1193" s="9" t="str">
        <f aca="false">IF(AND(A1193&lt;&gt;"",ISNUMBER(Q1193),ISNUMBER(L1193)),ROUND(Q1193-IF(ISNUMBER(N1193),N1193,0)-IF(ISNUMBER(O1193),O1193,0)+IF(ISNUMBER(P1193),P1193,0),2),"")</f>
        <v/>
      </c>
      <c r="S1193" s="9" t="str">
        <f aca="false">IF(R1193="","",ROUND(L1193-R1193,2))</f>
        <v/>
      </c>
      <c r="T1193" s="8" t="str">
        <f aca="false">IF(A1193="","",IF(S1193="","BYPASS",IF(ABS(S1193)&lt;=Summary!$B$2,"PASS","FAIL")))</f>
        <v/>
      </c>
      <c r="U1193" s="8" t="str">
        <f aca="false">IF(T1193="BYPASS",IF(NOT(ISNUMBER(Q1193)),"PreV_ETB missing","End_tr_balance missing"),IF(T1193="FAIL",IF(AND(ISNUMBER(K1193),ISNUMBER(L1193),ABS(L1193-(K1193-IF(ISNUMBER(N1193),N1193,0)-IF(ISNUMBER(O1193),O1193,0)+IF(ISNUMBER(P1193),P1193,0)))&lt;=Summary!$B$2),"Passes using beginning_balance - PreV_ETB differs from beginning_balance",IF(AND(ISNUMBER(O1193),O1193&lt;0,ABS(L1193-(Q1193-IF(ISNUMBER(N1193),N1193,0)+IF(ISNUMBER(P1193),P1193,0)))&lt;=Summary!$B$2),"Negative realized loss not applied - check sign",IF(R1193&lt;0,"Principal paid exceeds prior balance",IF(AND(L1193&gt;Q1193,NOT(ISNUMBER(P1193))),"Balance increased but no Deferred_interest reported",IF(L1193&gt;R1193,"Reported balance higher than expected (missing increase/OC build)","Reported balance lower than expected (missing decrease)"))))),""))</f>
        <v/>
      </c>
    </row>
    <row r="1194" customFormat="false" ht="15" hidden="false" customHeight="false" outlineLevel="0" collapsed="false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9"/>
      <c r="L1194" s="9"/>
      <c r="M1194" s="9"/>
      <c r="N1194" s="9"/>
      <c r="O1194" s="9"/>
      <c r="P1194" s="9"/>
      <c r="Q1194" s="9"/>
      <c r="R1194" s="9" t="str">
        <f aca="false">IF(AND(A1194&lt;&gt;"",ISNUMBER(Q1194),ISNUMBER(L1194)),ROUND(Q1194-IF(ISNUMBER(N1194),N1194,0)-IF(ISNUMBER(O1194),O1194,0)+IF(ISNUMBER(P1194),P1194,0),2),"")</f>
        <v/>
      </c>
      <c r="S1194" s="9" t="str">
        <f aca="false">IF(R1194="","",ROUND(L1194-R1194,2))</f>
        <v/>
      </c>
      <c r="T1194" s="8" t="str">
        <f aca="false">IF(A1194="","",IF(S1194="","BYPASS",IF(ABS(S1194)&lt;=Summary!$B$2,"PASS","FAIL")))</f>
        <v/>
      </c>
      <c r="U1194" s="8" t="str">
        <f aca="false">IF(T1194="BYPASS",IF(NOT(ISNUMBER(Q1194)),"PreV_ETB missing","End_tr_balance missing"),IF(T1194="FAIL",IF(AND(ISNUMBER(K1194),ISNUMBER(L1194),ABS(L1194-(K1194-IF(ISNUMBER(N1194),N1194,0)-IF(ISNUMBER(O1194),O1194,0)+IF(ISNUMBER(P1194),P1194,0)))&lt;=Summary!$B$2),"Passes using beginning_balance - PreV_ETB differs from beginning_balance",IF(AND(ISNUMBER(O1194),O1194&lt;0,ABS(L1194-(Q1194-IF(ISNUMBER(N1194),N1194,0)+IF(ISNUMBER(P1194),P1194,0)))&lt;=Summary!$B$2),"Negative realized loss not applied - check sign",IF(R1194&lt;0,"Principal paid exceeds prior balance",IF(AND(L1194&gt;Q1194,NOT(ISNUMBER(P1194))),"Balance increased but no Deferred_interest reported",IF(L1194&gt;R1194,"Reported balance higher than expected (missing increase/OC build)","Reported balance lower than expected (missing decrease)"))))),""))</f>
        <v/>
      </c>
    </row>
    <row r="1195" customFormat="false" ht="15" hidden="false" customHeight="false" outlineLevel="0" collapsed="false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9"/>
      <c r="L1195" s="9"/>
      <c r="M1195" s="9"/>
      <c r="N1195" s="9"/>
      <c r="O1195" s="9"/>
      <c r="P1195" s="9"/>
      <c r="Q1195" s="9"/>
      <c r="R1195" s="9" t="str">
        <f aca="false">IF(AND(A1195&lt;&gt;"",ISNUMBER(Q1195),ISNUMBER(L1195)),ROUND(Q1195-IF(ISNUMBER(N1195),N1195,0)-IF(ISNUMBER(O1195),O1195,0)+IF(ISNUMBER(P1195),P1195,0),2),"")</f>
        <v/>
      </c>
      <c r="S1195" s="9" t="str">
        <f aca="false">IF(R1195="","",ROUND(L1195-R1195,2))</f>
        <v/>
      </c>
      <c r="T1195" s="8" t="str">
        <f aca="false">IF(A1195="","",IF(S1195="","BYPASS",IF(ABS(S1195)&lt;=Summary!$B$2,"PASS","FAIL")))</f>
        <v/>
      </c>
      <c r="U1195" s="8" t="str">
        <f aca="false">IF(T1195="BYPASS",IF(NOT(ISNUMBER(Q1195)),"PreV_ETB missing","End_tr_balance missing"),IF(T1195="FAIL",IF(AND(ISNUMBER(K1195),ISNUMBER(L1195),ABS(L1195-(K1195-IF(ISNUMBER(N1195),N1195,0)-IF(ISNUMBER(O1195),O1195,0)+IF(ISNUMBER(P1195),P1195,0)))&lt;=Summary!$B$2),"Passes using beginning_balance - PreV_ETB differs from beginning_balance",IF(AND(ISNUMBER(O1195),O1195&lt;0,ABS(L1195-(Q1195-IF(ISNUMBER(N1195),N1195,0)+IF(ISNUMBER(P1195),P1195,0)))&lt;=Summary!$B$2),"Negative realized loss not applied - check sign",IF(R1195&lt;0,"Principal paid exceeds prior balance",IF(AND(L1195&gt;Q1195,NOT(ISNUMBER(P1195))),"Balance increased but no Deferred_interest reported",IF(L1195&gt;R1195,"Reported balance higher than expected (missing increase/OC build)","Reported balance lower than expected (missing decrease)"))))),""))</f>
        <v/>
      </c>
    </row>
    <row r="1196" customFormat="false" ht="15" hidden="false" customHeight="false" outlineLevel="0" collapsed="false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9"/>
      <c r="L1196" s="9"/>
      <c r="M1196" s="9"/>
      <c r="N1196" s="9"/>
      <c r="O1196" s="9"/>
      <c r="P1196" s="9"/>
      <c r="Q1196" s="9"/>
      <c r="R1196" s="9" t="str">
        <f aca="false">IF(AND(A1196&lt;&gt;"",ISNUMBER(Q1196),ISNUMBER(L1196)),ROUND(Q1196-IF(ISNUMBER(N1196),N1196,0)-IF(ISNUMBER(O1196),O1196,0)+IF(ISNUMBER(P1196),P1196,0),2),"")</f>
        <v/>
      </c>
      <c r="S1196" s="9" t="str">
        <f aca="false">IF(R1196="","",ROUND(L1196-R1196,2))</f>
        <v/>
      </c>
      <c r="T1196" s="8" t="str">
        <f aca="false">IF(A1196="","",IF(S1196="","BYPASS",IF(ABS(S1196)&lt;=Summary!$B$2,"PASS","FAIL")))</f>
        <v/>
      </c>
      <c r="U1196" s="8" t="str">
        <f aca="false">IF(T1196="BYPASS",IF(NOT(ISNUMBER(Q1196)),"PreV_ETB missing","End_tr_balance missing"),IF(T1196="FAIL",IF(AND(ISNUMBER(K1196),ISNUMBER(L1196),ABS(L1196-(K1196-IF(ISNUMBER(N1196),N1196,0)-IF(ISNUMBER(O1196),O1196,0)+IF(ISNUMBER(P1196),P1196,0)))&lt;=Summary!$B$2),"Passes using beginning_balance - PreV_ETB differs from beginning_balance",IF(AND(ISNUMBER(O1196),O1196&lt;0,ABS(L1196-(Q1196-IF(ISNUMBER(N1196),N1196,0)+IF(ISNUMBER(P1196),P1196,0)))&lt;=Summary!$B$2),"Negative realized loss not applied - check sign",IF(R1196&lt;0,"Principal paid exceeds prior balance",IF(AND(L1196&gt;Q1196,NOT(ISNUMBER(P1196))),"Balance increased but no Deferred_interest reported",IF(L1196&gt;R1196,"Reported balance higher than expected (missing increase/OC build)","Reported balance lower than expected (missing decrease)"))))),""))</f>
        <v/>
      </c>
    </row>
    <row r="1197" customFormat="false" ht="15" hidden="false" customHeight="false" outlineLevel="0" collapsed="false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9"/>
      <c r="L1197" s="9"/>
      <c r="M1197" s="9"/>
      <c r="N1197" s="9"/>
      <c r="O1197" s="9"/>
      <c r="P1197" s="9"/>
      <c r="Q1197" s="9"/>
      <c r="R1197" s="9" t="str">
        <f aca="false">IF(AND(A1197&lt;&gt;"",ISNUMBER(Q1197),ISNUMBER(L1197)),ROUND(Q1197-IF(ISNUMBER(N1197),N1197,0)-IF(ISNUMBER(O1197),O1197,0)+IF(ISNUMBER(P1197),P1197,0),2),"")</f>
        <v/>
      </c>
      <c r="S1197" s="9" t="str">
        <f aca="false">IF(R1197="","",ROUND(L1197-R1197,2))</f>
        <v/>
      </c>
      <c r="T1197" s="8" t="str">
        <f aca="false">IF(A1197="","",IF(S1197="","BYPASS",IF(ABS(S1197)&lt;=Summary!$B$2,"PASS","FAIL")))</f>
        <v/>
      </c>
      <c r="U1197" s="8" t="str">
        <f aca="false">IF(T1197="BYPASS",IF(NOT(ISNUMBER(Q1197)),"PreV_ETB missing","End_tr_balance missing"),IF(T1197="FAIL",IF(AND(ISNUMBER(K1197),ISNUMBER(L1197),ABS(L1197-(K1197-IF(ISNUMBER(N1197),N1197,0)-IF(ISNUMBER(O1197),O1197,0)+IF(ISNUMBER(P1197),P1197,0)))&lt;=Summary!$B$2),"Passes using beginning_balance - PreV_ETB differs from beginning_balance",IF(AND(ISNUMBER(O1197),O1197&lt;0,ABS(L1197-(Q1197-IF(ISNUMBER(N1197),N1197,0)+IF(ISNUMBER(P1197),P1197,0)))&lt;=Summary!$B$2),"Negative realized loss not applied - check sign",IF(R1197&lt;0,"Principal paid exceeds prior balance",IF(AND(L1197&gt;Q1197,NOT(ISNUMBER(P1197))),"Balance increased but no Deferred_interest reported",IF(L1197&gt;R1197,"Reported balance higher than expected (missing increase/OC build)","Reported balance lower than expected (missing decrease)"))))),""))</f>
        <v/>
      </c>
    </row>
    <row r="1198" customFormat="false" ht="15" hidden="false" customHeight="false" outlineLevel="0" collapsed="false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9"/>
      <c r="L1198" s="9"/>
      <c r="M1198" s="9"/>
      <c r="N1198" s="9"/>
      <c r="O1198" s="9"/>
      <c r="P1198" s="9"/>
      <c r="Q1198" s="9"/>
      <c r="R1198" s="9" t="str">
        <f aca="false">IF(AND(A1198&lt;&gt;"",ISNUMBER(Q1198),ISNUMBER(L1198)),ROUND(Q1198-IF(ISNUMBER(N1198),N1198,0)-IF(ISNUMBER(O1198),O1198,0)+IF(ISNUMBER(P1198),P1198,0),2),"")</f>
        <v/>
      </c>
      <c r="S1198" s="9" t="str">
        <f aca="false">IF(R1198="","",ROUND(L1198-R1198,2))</f>
        <v/>
      </c>
      <c r="T1198" s="8" t="str">
        <f aca="false">IF(A1198="","",IF(S1198="","BYPASS",IF(ABS(S1198)&lt;=Summary!$B$2,"PASS","FAIL")))</f>
        <v/>
      </c>
      <c r="U1198" s="8" t="str">
        <f aca="false">IF(T1198="BYPASS",IF(NOT(ISNUMBER(Q1198)),"PreV_ETB missing","End_tr_balance missing"),IF(T1198="FAIL",IF(AND(ISNUMBER(K1198),ISNUMBER(L1198),ABS(L1198-(K1198-IF(ISNUMBER(N1198),N1198,0)-IF(ISNUMBER(O1198),O1198,0)+IF(ISNUMBER(P1198),P1198,0)))&lt;=Summary!$B$2),"Passes using beginning_balance - PreV_ETB differs from beginning_balance",IF(AND(ISNUMBER(O1198),O1198&lt;0,ABS(L1198-(Q1198-IF(ISNUMBER(N1198),N1198,0)+IF(ISNUMBER(P1198),P1198,0)))&lt;=Summary!$B$2),"Negative realized loss not applied - check sign",IF(R1198&lt;0,"Principal paid exceeds prior balance",IF(AND(L1198&gt;Q1198,NOT(ISNUMBER(P1198))),"Balance increased but no Deferred_interest reported",IF(L1198&gt;R1198,"Reported balance higher than expected (missing increase/OC build)","Reported balance lower than expected (missing decrease)"))))),""))</f>
        <v/>
      </c>
    </row>
    <row r="1199" customFormat="false" ht="15" hidden="false" customHeight="false" outlineLevel="0" collapsed="false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9"/>
      <c r="L1199" s="9"/>
      <c r="M1199" s="9"/>
      <c r="N1199" s="9"/>
      <c r="O1199" s="9"/>
      <c r="P1199" s="9"/>
      <c r="Q1199" s="9"/>
      <c r="R1199" s="9" t="str">
        <f aca="false">IF(AND(A1199&lt;&gt;"",ISNUMBER(Q1199),ISNUMBER(L1199)),ROUND(Q1199-IF(ISNUMBER(N1199),N1199,0)-IF(ISNUMBER(O1199),O1199,0)+IF(ISNUMBER(P1199),P1199,0),2),"")</f>
        <v/>
      </c>
      <c r="S1199" s="9" t="str">
        <f aca="false">IF(R1199="","",ROUND(L1199-R1199,2))</f>
        <v/>
      </c>
      <c r="T1199" s="8" t="str">
        <f aca="false">IF(A1199="","",IF(S1199="","BYPASS",IF(ABS(S1199)&lt;=Summary!$B$2,"PASS","FAIL")))</f>
        <v/>
      </c>
      <c r="U1199" s="8" t="str">
        <f aca="false">IF(T1199="BYPASS",IF(NOT(ISNUMBER(Q1199)),"PreV_ETB missing","End_tr_balance missing"),IF(T1199="FAIL",IF(AND(ISNUMBER(K1199),ISNUMBER(L1199),ABS(L1199-(K1199-IF(ISNUMBER(N1199),N1199,0)-IF(ISNUMBER(O1199),O1199,0)+IF(ISNUMBER(P1199),P1199,0)))&lt;=Summary!$B$2),"Passes using beginning_balance - PreV_ETB differs from beginning_balance",IF(AND(ISNUMBER(O1199),O1199&lt;0,ABS(L1199-(Q1199-IF(ISNUMBER(N1199),N1199,0)+IF(ISNUMBER(P1199),P1199,0)))&lt;=Summary!$B$2),"Negative realized loss not applied - check sign",IF(R1199&lt;0,"Principal paid exceeds prior balance",IF(AND(L1199&gt;Q1199,NOT(ISNUMBER(P1199))),"Balance increased but no Deferred_interest reported",IF(L1199&gt;R1199,"Reported balance higher than expected (missing increase/OC build)","Reported balance lower than expected (missing decrease)"))))),""))</f>
        <v/>
      </c>
    </row>
    <row r="1200" customFormat="false" ht="15" hidden="false" customHeight="false" outlineLevel="0" collapsed="false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9"/>
      <c r="L1200" s="9"/>
      <c r="M1200" s="9"/>
      <c r="N1200" s="9"/>
      <c r="O1200" s="9"/>
      <c r="P1200" s="9"/>
      <c r="Q1200" s="9"/>
      <c r="R1200" s="9" t="str">
        <f aca="false">IF(AND(A1200&lt;&gt;"",ISNUMBER(Q1200),ISNUMBER(L1200)),ROUND(Q1200-IF(ISNUMBER(N1200),N1200,0)-IF(ISNUMBER(O1200),O1200,0)+IF(ISNUMBER(P1200),P1200,0),2),"")</f>
        <v/>
      </c>
      <c r="S1200" s="9" t="str">
        <f aca="false">IF(R1200="","",ROUND(L1200-R1200,2))</f>
        <v/>
      </c>
      <c r="T1200" s="8" t="str">
        <f aca="false">IF(A1200="","",IF(S1200="","BYPASS",IF(ABS(S1200)&lt;=Summary!$B$2,"PASS","FAIL")))</f>
        <v/>
      </c>
      <c r="U1200" s="8" t="str">
        <f aca="false">IF(T1200="BYPASS",IF(NOT(ISNUMBER(Q1200)),"PreV_ETB missing","End_tr_balance missing"),IF(T1200="FAIL",IF(AND(ISNUMBER(K1200),ISNUMBER(L1200),ABS(L1200-(K1200-IF(ISNUMBER(N1200),N1200,0)-IF(ISNUMBER(O1200),O1200,0)+IF(ISNUMBER(P1200),P1200,0)))&lt;=Summary!$B$2),"Passes using beginning_balance - PreV_ETB differs from beginning_balance",IF(AND(ISNUMBER(O1200),O1200&lt;0,ABS(L1200-(Q1200-IF(ISNUMBER(N1200),N1200,0)+IF(ISNUMBER(P1200),P1200,0)))&lt;=Summary!$B$2),"Negative realized loss not applied - check sign",IF(R1200&lt;0,"Principal paid exceeds prior balance",IF(AND(L1200&gt;Q1200,NOT(ISNUMBER(P1200))),"Balance increased but no Deferred_interest reported",IF(L1200&gt;R1200,"Reported balance higher than expected (missing increase/OC build)","Reported balance lower than expected (missing decrease)"))))),""))</f>
        <v/>
      </c>
    </row>
    <row r="1201" customFormat="false" ht="15" hidden="false" customHeight="false" outlineLevel="0" collapsed="false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9"/>
      <c r="L1201" s="9"/>
      <c r="M1201" s="9"/>
      <c r="N1201" s="9"/>
      <c r="O1201" s="9"/>
      <c r="P1201" s="9"/>
      <c r="Q1201" s="9"/>
      <c r="R1201" s="9" t="str">
        <f aca="false">IF(AND(A1201&lt;&gt;"",ISNUMBER(Q1201),ISNUMBER(L1201)),ROUND(Q1201-IF(ISNUMBER(N1201),N1201,0)-IF(ISNUMBER(O1201),O1201,0)+IF(ISNUMBER(P1201),P1201,0),2),"")</f>
        <v/>
      </c>
      <c r="S1201" s="9" t="str">
        <f aca="false">IF(R1201="","",ROUND(L1201-R1201,2))</f>
        <v/>
      </c>
      <c r="T1201" s="8" t="str">
        <f aca="false">IF(A1201="","",IF(S1201="","BYPASS",IF(ABS(S1201)&lt;=Summary!$B$2,"PASS","FAIL")))</f>
        <v/>
      </c>
      <c r="U1201" s="8" t="str">
        <f aca="false">IF(T1201="BYPASS",IF(NOT(ISNUMBER(Q1201)),"PreV_ETB missing","End_tr_balance missing"),IF(T1201="FAIL",IF(AND(ISNUMBER(K1201),ISNUMBER(L1201),ABS(L1201-(K1201-IF(ISNUMBER(N1201),N1201,0)-IF(ISNUMBER(O1201),O1201,0)+IF(ISNUMBER(P1201),P1201,0)))&lt;=Summary!$B$2),"Passes using beginning_balance - PreV_ETB differs from beginning_balance",IF(AND(ISNUMBER(O1201),O1201&lt;0,ABS(L1201-(Q1201-IF(ISNUMBER(N1201),N1201,0)+IF(ISNUMBER(P1201),P1201,0)))&lt;=Summary!$B$2),"Negative realized loss not applied - check sign",IF(R1201&lt;0,"Principal paid exceeds prior balance",IF(AND(L1201&gt;Q1201,NOT(ISNUMBER(P1201))),"Balance increased but no Deferred_interest reported",IF(L1201&gt;R1201,"Reported balance higher than expected (missing increase/OC build)","Reported balance lower than expected (missing decrease)"))))),""))</f>
        <v/>
      </c>
    </row>
    <row r="1202" customFormat="false" ht="15" hidden="false" customHeight="false" outlineLevel="0" collapsed="false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9"/>
      <c r="L1202" s="9"/>
      <c r="M1202" s="9"/>
      <c r="N1202" s="9"/>
      <c r="O1202" s="9"/>
      <c r="P1202" s="9"/>
      <c r="Q1202" s="9"/>
      <c r="R1202" s="9" t="str">
        <f aca="false">IF(AND(A1202&lt;&gt;"",ISNUMBER(Q1202),ISNUMBER(L1202)),ROUND(Q1202-IF(ISNUMBER(N1202),N1202,0)-IF(ISNUMBER(O1202),O1202,0)+IF(ISNUMBER(P1202),P1202,0),2),"")</f>
        <v/>
      </c>
      <c r="S1202" s="9" t="str">
        <f aca="false">IF(R1202="","",ROUND(L1202-R1202,2))</f>
        <v/>
      </c>
      <c r="T1202" s="8" t="str">
        <f aca="false">IF(A1202="","",IF(S1202="","BYPASS",IF(ABS(S1202)&lt;=Summary!$B$2,"PASS","FAIL")))</f>
        <v/>
      </c>
      <c r="U1202" s="8" t="str">
        <f aca="false">IF(T1202="BYPASS",IF(NOT(ISNUMBER(Q1202)),"PreV_ETB missing","End_tr_balance missing"),IF(T1202="FAIL",IF(AND(ISNUMBER(K1202),ISNUMBER(L1202),ABS(L1202-(K1202-IF(ISNUMBER(N1202),N1202,0)-IF(ISNUMBER(O1202),O1202,0)+IF(ISNUMBER(P1202),P1202,0)))&lt;=Summary!$B$2),"Passes using beginning_balance - PreV_ETB differs from beginning_balance",IF(AND(ISNUMBER(O1202),O1202&lt;0,ABS(L1202-(Q1202-IF(ISNUMBER(N1202),N1202,0)+IF(ISNUMBER(P1202),P1202,0)))&lt;=Summary!$B$2),"Negative realized loss not applied - check sign",IF(R1202&lt;0,"Principal paid exceeds prior balance",IF(AND(L1202&gt;Q1202,NOT(ISNUMBER(P1202))),"Balance increased but no Deferred_interest reported",IF(L1202&gt;R1202,"Reported balance higher than expected (missing increase/OC build)","Reported balance lower than expected (missing decrease)"))))),""))</f>
        <v/>
      </c>
    </row>
    <row r="1203" customFormat="false" ht="15" hidden="false" customHeight="false" outlineLevel="0" collapsed="false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9"/>
      <c r="L1203" s="9"/>
      <c r="M1203" s="9"/>
      <c r="N1203" s="9"/>
      <c r="O1203" s="9"/>
      <c r="P1203" s="9"/>
      <c r="Q1203" s="9"/>
      <c r="R1203" s="9" t="str">
        <f aca="false">IF(AND(A1203&lt;&gt;"",ISNUMBER(Q1203),ISNUMBER(L1203)),ROUND(Q1203-IF(ISNUMBER(N1203),N1203,0)-IF(ISNUMBER(O1203),O1203,0)+IF(ISNUMBER(P1203),P1203,0),2),"")</f>
        <v/>
      </c>
      <c r="S1203" s="9" t="str">
        <f aca="false">IF(R1203="","",ROUND(L1203-R1203,2))</f>
        <v/>
      </c>
      <c r="T1203" s="8" t="str">
        <f aca="false">IF(A1203="","",IF(S1203="","BYPASS",IF(ABS(S1203)&lt;=Summary!$B$2,"PASS","FAIL")))</f>
        <v/>
      </c>
      <c r="U1203" s="8" t="str">
        <f aca="false">IF(T1203="BYPASS",IF(NOT(ISNUMBER(Q1203)),"PreV_ETB missing","End_tr_balance missing"),IF(T1203="FAIL",IF(AND(ISNUMBER(K1203),ISNUMBER(L1203),ABS(L1203-(K1203-IF(ISNUMBER(N1203),N1203,0)-IF(ISNUMBER(O1203),O1203,0)+IF(ISNUMBER(P1203),P1203,0)))&lt;=Summary!$B$2),"Passes using beginning_balance - PreV_ETB differs from beginning_balance",IF(AND(ISNUMBER(O1203),O1203&lt;0,ABS(L1203-(Q1203-IF(ISNUMBER(N1203),N1203,0)+IF(ISNUMBER(P1203),P1203,0)))&lt;=Summary!$B$2),"Negative realized loss not applied - check sign",IF(R1203&lt;0,"Principal paid exceeds prior balance",IF(AND(L1203&gt;Q1203,NOT(ISNUMBER(P1203))),"Balance increased but no Deferred_interest reported",IF(L1203&gt;R1203,"Reported balance higher than expected (missing increase/OC build)","Reported balance lower than expected (missing decrease)"))))),""))</f>
        <v/>
      </c>
    </row>
    <row r="1204" customFormat="false" ht="15" hidden="false" customHeight="false" outlineLevel="0" collapsed="false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9"/>
      <c r="L1204" s="9"/>
      <c r="M1204" s="9"/>
      <c r="N1204" s="9"/>
      <c r="O1204" s="9"/>
      <c r="P1204" s="9"/>
      <c r="Q1204" s="9"/>
      <c r="R1204" s="9" t="str">
        <f aca="false">IF(AND(A1204&lt;&gt;"",ISNUMBER(Q1204),ISNUMBER(L1204)),ROUND(Q1204-IF(ISNUMBER(N1204),N1204,0)-IF(ISNUMBER(O1204),O1204,0)+IF(ISNUMBER(P1204),P1204,0),2),"")</f>
        <v/>
      </c>
      <c r="S1204" s="9" t="str">
        <f aca="false">IF(R1204="","",ROUND(L1204-R1204,2))</f>
        <v/>
      </c>
      <c r="T1204" s="8" t="str">
        <f aca="false">IF(A1204="","",IF(S1204="","BYPASS",IF(ABS(S1204)&lt;=Summary!$B$2,"PASS","FAIL")))</f>
        <v/>
      </c>
      <c r="U1204" s="8" t="str">
        <f aca="false">IF(T1204="BYPASS",IF(NOT(ISNUMBER(Q1204)),"PreV_ETB missing","End_tr_balance missing"),IF(T1204="FAIL",IF(AND(ISNUMBER(K1204),ISNUMBER(L1204),ABS(L1204-(K1204-IF(ISNUMBER(N1204),N1204,0)-IF(ISNUMBER(O1204),O1204,0)+IF(ISNUMBER(P1204),P1204,0)))&lt;=Summary!$B$2),"Passes using beginning_balance - PreV_ETB differs from beginning_balance",IF(AND(ISNUMBER(O1204),O1204&lt;0,ABS(L1204-(Q1204-IF(ISNUMBER(N1204),N1204,0)+IF(ISNUMBER(P1204),P1204,0)))&lt;=Summary!$B$2),"Negative realized loss not applied - check sign",IF(R1204&lt;0,"Principal paid exceeds prior balance",IF(AND(L1204&gt;Q1204,NOT(ISNUMBER(P1204))),"Balance increased but no Deferred_interest reported",IF(L1204&gt;R1204,"Reported balance higher than expected (missing increase/OC build)","Reported balance lower than expected (missing decrease)"))))),""))</f>
        <v/>
      </c>
    </row>
    <row r="1205" customFormat="false" ht="15" hidden="false" customHeight="false" outlineLevel="0" collapsed="false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9"/>
      <c r="L1205" s="9"/>
      <c r="M1205" s="9"/>
      <c r="N1205" s="9"/>
      <c r="O1205" s="9"/>
      <c r="P1205" s="9"/>
      <c r="Q1205" s="9"/>
      <c r="R1205" s="9" t="str">
        <f aca="false">IF(AND(A1205&lt;&gt;"",ISNUMBER(Q1205),ISNUMBER(L1205)),ROUND(Q1205-IF(ISNUMBER(N1205),N1205,0)-IF(ISNUMBER(O1205),O1205,0)+IF(ISNUMBER(P1205),P1205,0),2),"")</f>
        <v/>
      </c>
      <c r="S1205" s="9" t="str">
        <f aca="false">IF(R1205="","",ROUND(L1205-R1205,2))</f>
        <v/>
      </c>
      <c r="T1205" s="8" t="str">
        <f aca="false">IF(A1205="","",IF(S1205="","BYPASS",IF(ABS(S1205)&lt;=Summary!$B$2,"PASS","FAIL")))</f>
        <v/>
      </c>
      <c r="U1205" s="8" t="str">
        <f aca="false">IF(T1205="BYPASS",IF(NOT(ISNUMBER(Q1205)),"PreV_ETB missing","End_tr_balance missing"),IF(T1205="FAIL",IF(AND(ISNUMBER(K1205),ISNUMBER(L1205),ABS(L1205-(K1205-IF(ISNUMBER(N1205),N1205,0)-IF(ISNUMBER(O1205),O1205,0)+IF(ISNUMBER(P1205),P1205,0)))&lt;=Summary!$B$2),"Passes using beginning_balance - PreV_ETB differs from beginning_balance",IF(AND(ISNUMBER(O1205),O1205&lt;0,ABS(L1205-(Q1205-IF(ISNUMBER(N1205),N1205,0)+IF(ISNUMBER(P1205),P1205,0)))&lt;=Summary!$B$2),"Negative realized loss not applied - check sign",IF(R1205&lt;0,"Principal paid exceeds prior balance",IF(AND(L1205&gt;Q1205,NOT(ISNUMBER(P1205))),"Balance increased but no Deferred_interest reported",IF(L1205&gt;R1205,"Reported balance higher than expected (missing increase/OC build)","Reported balance lower than expected (missing decrease)"))))),""))</f>
        <v/>
      </c>
    </row>
    <row r="1206" customFormat="false" ht="15" hidden="false" customHeight="false" outlineLevel="0" collapsed="false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9"/>
      <c r="L1206" s="9"/>
      <c r="M1206" s="9"/>
      <c r="N1206" s="9"/>
      <c r="O1206" s="9"/>
      <c r="P1206" s="9"/>
      <c r="Q1206" s="9"/>
      <c r="R1206" s="9" t="str">
        <f aca="false">IF(AND(A1206&lt;&gt;"",ISNUMBER(Q1206),ISNUMBER(L1206)),ROUND(Q1206-IF(ISNUMBER(N1206),N1206,0)-IF(ISNUMBER(O1206),O1206,0)+IF(ISNUMBER(P1206),P1206,0),2),"")</f>
        <v/>
      </c>
      <c r="S1206" s="9" t="str">
        <f aca="false">IF(R1206="","",ROUND(L1206-R1206,2))</f>
        <v/>
      </c>
      <c r="T1206" s="8" t="str">
        <f aca="false">IF(A1206="","",IF(S1206="","BYPASS",IF(ABS(S1206)&lt;=Summary!$B$2,"PASS","FAIL")))</f>
        <v/>
      </c>
      <c r="U1206" s="8" t="str">
        <f aca="false">IF(T1206="BYPASS",IF(NOT(ISNUMBER(Q1206)),"PreV_ETB missing","End_tr_balance missing"),IF(T1206="FAIL",IF(AND(ISNUMBER(K1206),ISNUMBER(L1206),ABS(L1206-(K1206-IF(ISNUMBER(N1206),N1206,0)-IF(ISNUMBER(O1206),O1206,0)+IF(ISNUMBER(P1206),P1206,0)))&lt;=Summary!$B$2),"Passes using beginning_balance - PreV_ETB differs from beginning_balance",IF(AND(ISNUMBER(O1206),O1206&lt;0,ABS(L1206-(Q1206-IF(ISNUMBER(N1206),N1206,0)+IF(ISNUMBER(P1206),P1206,0)))&lt;=Summary!$B$2),"Negative realized loss not applied - check sign",IF(R1206&lt;0,"Principal paid exceeds prior balance",IF(AND(L1206&gt;Q1206,NOT(ISNUMBER(P1206))),"Balance increased but no Deferred_interest reported",IF(L1206&gt;R1206,"Reported balance higher than expected (missing increase/OC build)","Reported balance lower than expected (missing decrease)"))))),""))</f>
        <v/>
      </c>
    </row>
    <row r="1207" customFormat="false" ht="15" hidden="false" customHeight="false" outlineLevel="0" collapsed="false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9"/>
      <c r="L1207" s="9"/>
      <c r="M1207" s="9"/>
      <c r="N1207" s="9"/>
      <c r="O1207" s="9"/>
      <c r="P1207" s="9"/>
      <c r="Q1207" s="9"/>
      <c r="R1207" s="9" t="str">
        <f aca="false">IF(AND(A1207&lt;&gt;"",ISNUMBER(Q1207),ISNUMBER(L1207)),ROUND(Q1207-IF(ISNUMBER(N1207),N1207,0)-IF(ISNUMBER(O1207),O1207,0)+IF(ISNUMBER(P1207),P1207,0),2),"")</f>
        <v/>
      </c>
      <c r="S1207" s="9" t="str">
        <f aca="false">IF(R1207="","",ROUND(L1207-R1207,2))</f>
        <v/>
      </c>
      <c r="T1207" s="8" t="str">
        <f aca="false">IF(A1207="","",IF(S1207="","BYPASS",IF(ABS(S1207)&lt;=Summary!$B$2,"PASS","FAIL")))</f>
        <v/>
      </c>
      <c r="U1207" s="8" t="str">
        <f aca="false">IF(T1207="BYPASS",IF(NOT(ISNUMBER(Q1207)),"PreV_ETB missing","End_tr_balance missing"),IF(T1207="FAIL",IF(AND(ISNUMBER(K1207),ISNUMBER(L1207),ABS(L1207-(K1207-IF(ISNUMBER(N1207),N1207,0)-IF(ISNUMBER(O1207),O1207,0)+IF(ISNUMBER(P1207),P1207,0)))&lt;=Summary!$B$2),"Passes using beginning_balance - PreV_ETB differs from beginning_balance",IF(AND(ISNUMBER(O1207),O1207&lt;0,ABS(L1207-(Q1207-IF(ISNUMBER(N1207),N1207,0)+IF(ISNUMBER(P1207),P1207,0)))&lt;=Summary!$B$2),"Negative realized loss not applied - check sign",IF(R1207&lt;0,"Principal paid exceeds prior balance",IF(AND(L1207&gt;Q1207,NOT(ISNUMBER(P1207))),"Balance increased but no Deferred_interest reported",IF(L1207&gt;R1207,"Reported balance higher than expected (missing increase/OC build)","Reported balance lower than expected (missing decrease)"))))),""))</f>
        <v/>
      </c>
    </row>
    <row r="1208" customFormat="false" ht="15" hidden="false" customHeight="false" outlineLevel="0" collapsed="false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9"/>
      <c r="L1208" s="9"/>
      <c r="M1208" s="9"/>
      <c r="N1208" s="9"/>
      <c r="O1208" s="9"/>
      <c r="P1208" s="9"/>
      <c r="Q1208" s="9"/>
      <c r="R1208" s="9" t="str">
        <f aca="false">IF(AND(A1208&lt;&gt;"",ISNUMBER(Q1208),ISNUMBER(L1208)),ROUND(Q1208-IF(ISNUMBER(N1208),N1208,0)-IF(ISNUMBER(O1208),O1208,0)+IF(ISNUMBER(P1208),P1208,0),2),"")</f>
        <v/>
      </c>
      <c r="S1208" s="9" t="str">
        <f aca="false">IF(R1208="","",ROUND(L1208-R1208,2))</f>
        <v/>
      </c>
      <c r="T1208" s="8" t="str">
        <f aca="false">IF(A1208="","",IF(S1208="","BYPASS",IF(ABS(S1208)&lt;=Summary!$B$2,"PASS","FAIL")))</f>
        <v/>
      </c>
      <c r="U1208" s="8" t="str">
        <f aca="false">IF(T1208="BYPASS",IF(NOT(ISNUMBER(Q1208)),"PreV_ETB missing","End_tr_balance missing"),IF(T1208="FAIL",IF(AND(ISNUMBER(K1208),ISNUMBER(L1208),ABS(L1208-(K1208-IF(ISNUMBER(N1208),N1208,0)-IF(ISNUMBER(O1208),O1208,0)+IF(ISNUMBER(P1208),P1208,0)))&lt;=Summary!$B$2),"Passes using beginning_balance - PreV_ETB differs from beginning_balance",IF(AND(ISNUMBER(O1208),O1208&lt;0,ABS(L1208-(Q1208-IF(ISNUMBER(N1208),N1208,0)+IF(ISNUMBER(P1208),P1208,0)))&lt;=Summary!$B$2),"Negative realized loss not applied - check sign",IF(R1208&lt;0,"Principal paid exceeds prior balance",IF(AND(L1208&gt;Q1208,NOT(ISNUMBER(P1208))),"Balance increased but no Deferred_interest reported",IF(L1208&gt;R1208,"Reported balance higher than expected (missing increase/OC build)","Reported balance lower than expected (missing decrease)"))))),""))</f>
        <v/>
      </c>
    </row>
    <row r="1209" customFormat="false" ht="15" hidden="false" customHeight="false" outlineLevel="0" collapsed="false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9"/>
      <c r="L1209" s="9"/>
      <c r="M1209" s="9"/>
      <c r="N1209" s="9"/>
      <c r="O1209" s="9"/>
      <c r="P1209" s="9"/>
      <c r="Q1209" s="9"/>
      <c r="R1209" s="9" t="str">
        <f aca="false">IF(AND(A1209&lt;&gt;"",ISNUMBER(Q1209),ISNUMBER(L1209)),ROUND(Q1209-IF(ISNUMBER(N1209),N1209,0)-IF(ISNUMBER(O1209),O1209,0)+IF(ISNUMBER(P1209),P1209,0),2),"")</f>
        <v/>
      </c>
      <c r="S1209" s="9" t="str">
        <f aca="false">IF(R1209="","",ROUND(L1209-R1209,2))</f>
        <v/>
      </c>
      <c r="T1209" s="8" t="str">
        <f aca="false">IF(A1209="","",IF(S1209="","BYPASS",IF(ABS(S1209)&lt;=Summary!$B$2,"PASS","FAIL")))</f>
        <v/>
      </c>
      <c r="U1209" s="8" t="str">
        <f aca="false">IF(T1209="BYPASS",IF(NOT(ISNUMBER(Q1209)),"PreV_ETB missing","End_tr_balance missing"),IF(T1209="FAIL",IF(AND(ISNUMBER(K1209),ISNUMBER(L1209),ABS(L1209-(K1209-IF(ISNUMBER(N1209),N1209,0)-IF(ISNUMBER(O1209),O1209,0)+IF(ISNUMBER(P1209),P1209,0)))&lt;=Summary!$B$2),"Passes using beginning_balance - PreV_ETB differs from beginning_balance",IF(AND(ISNUMBER(O1209),O1209&lt;0,ABS(L1209-(Q1209-IF(ISNUMBER(N1209),N1209,0)+IF(ISNUMBER(P1209),P1209,0)))&lt;=Summary!$B$2),"Negative realized loss not applied - check sign",IF(R1209&lt;0,"Principal paid exceeds prior balance",IF(AND(L1209&gt;Q1209,NOT(ISNUMBER(P1209))),"Balance increased but no Deferred_interest reported",IF(L1209&gt;R1209,"Reported balance higher than expected (missing increase/OC build)","Reported balance lower than expected (missing decrease)"))))),""))</f>
        <v/>
      </c>
    </row>
    <row r="1210" customFormat="false" ht="15" hidden="false" customHeight="false" outlineLevel="0" collapsed="false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9"/>
      <c r="L1210" s="9"/>
      <c r="M1210" s="9"/>
      <c r="N1210" s="9"/>
      <c r="O1210" s="9"/>
      <c r="P1210" s="9"/>
      <c r="Q1210" s="9"/>
      <c r="R1210" s="9" t="str">
        <f aca="false">IF(AND(A1210&lt;&gt;"",ISNUMBER(Q1210),ISNUMBER(L1210)),ROUND(Q1210-IF(ISNUMBER(N1210),N1210,0)-IF(ISNUMBER(O1210),O1210,0)+IF(ISNUMBER(P1210),P1210,0),2),"")</f>
        <v/>
      </c>
      <c r="S1210" s="9" t="str">
        <f aca="false">IF(R1210="","",ROUND(L1210-R1210,2))</f>
        <v/>
      </c>
      <c r="T1210" s="8" t="str">
        <f aca="false">IF(A1210="","",IF(S1210="","BYPASS",IF(ABS(S1210)&lt;=Summary!$B$2,"PASS","FAIL")))</f>
        <v/>
      </c>
      <c r="U1210" s="8" t="str">
        <f aca="false">IF(T1210="BYPASS",IF(NOT(ISNUMBER(Q1210)),"PreV_ETB missing","End_tr_balance missing"),IF(T1210="FAIL",IF(AND(ISNUMBER(K1210),ISNUMBER(L1210),ABS(L1210-(K1210-IF(ISNUMBER(N1210),N1210,0)-IF(ISNUMBER(O1210),O1210,0)+IF(ISNUMBER(P1210),P1210,0)))&lt;=Summary!$B$2),"Passes using beginning_balance - PreV_ETB differs from beginning_balance",IF(AND(ISNUMBER(O1210),O1210&lt;0,ABS(L1210-(Q1210-IF(ISNUMBER(N1210),N1210,0)+IF(ISNUMBER(P1210),P1210,0)))&lt;=Summary!$B$2),"Negative realized loss not applied - check sign",IF(R1210&lt;0,"Principal paid exceeds prior balance",IF(AND(L1210&gt;Q1210,NOT(ISNUMBER(P1210))),"Balance increased but no Deferred_interest reported",IF(L1210&gt;R1210,"Reported balance higher than expected (missing increase/OC build)","Reported balance lower than expected (missing decrease)"))))),""))</f>
        <v/>
      </c>
    </row>
    <row r="1211" customFormat="false" ht="15" hidden="false" customHeight="false" outlineLevel="0" collapsed="false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9"/>
      <c r="L1211" s="9"/>
      <c r="M1211" s="9"/>
      <c r="N1211" s="9"/>
      <c r="O1211" s="9"/>
      <c r="P1211" s="9"/>
      <c r="Q1211" s="9"/>
      <c r="R1211" s="9" t="str">
        <f aca="false">IF(AND(A1211&lt;&gt;"",ISNUMBER(Q1211),ISNUMBER(L1211)),ROUND(Q1211-IF(ISNUMBER(N1211),N1211,0)-IF(ISNUMBER(O1211),O1211,0)+IF(ISNUMBER(P1211),P1211,0),2),"")</f>
        <v/>
      </c>
      <c r="S1211" s="9" t="str">
        <f aca="false">IF(R1211="","",ROUND(L1211-R1211,2))</f>
        <v/>
      </c>
      <c r="T1211" s="8" t="str">
        <f aca="false">IF(A1211="","",IF(S1211="","BYPASS",IF(ABS(S1211)&lt;=Summary!$B$2,"PASS","FAIL")))</f>
        <v/>
      </c>
      <c r="U1211" s="8" t="str">
        <f aca="false">IF(T1211="BYPASS",IF(NOT(ISNUMBER(Q1211)),"PreV_ETB missing","End_tr_balance missing"),IF(T1211="FAIL",IF(AND(ISNUMBER(K1211),ISNUMBER(L1211),ABS(L1211-(K1211-IF(ISNUMBER(N1211),N1211,0)-IF(ISNUMBER(O1211),O1211,0)+IF(ISNUMBER(P1211),P1211,0)))&lt;=Summary!$B$2),"Passes using beginning_balance - PreV_ETB differs from beginning_balance",IF(AND(ISNUMBER(O1211),O1211&lt;0,ABS(L1211-(Q1211-IF(ISNUMBER(N1211),N1211,0)+IF(ISNUMBER(P1211),P1211,0)))&lt;=Summary!$B$2),"Negative realized loss not applied - check sign",IF(R1211&lt;0,"Principal paid exceeds prior balance",IF(AND(L1211&gt;Q1211,NOT(ISNUMBER(P1211))),"Balance increased but no Deferred_interest reported",IF(L1211&gt;R1211,"Reported balance higher than expected (missing increase/OC build)","Reported balance lower than expected (missing decrease)"))))),""))</f>
        <v/>
      </c>
    </row>
    <row r="1212" customFormat="false" ht="15" hidden="false" customHeight="false" outlineLevel="0" collapsed="false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9"/>
      <c r="L1212" s="9"/>
      <c r="M1212" s="9"/>
      <c r="N1212" s="9"/>
      <c r="O1212" s="9"/>
      <c r="P1212" s="9"/>
      <c r="Q1212" s="9"/>
      <c r="R1212" s="9" t="str">
        <f aca="false">IF(AND(A1212&lt;&gt;"",ISNUMBER(Q1212),ISNUMBER(L1212)),ROUND(Q1212-IF(ISNUMBER(N1212),N1212,0)-IF(ISNUMBER(O1212),O1212,0)+IF(ISNUMBER(P1212),P1212,0),2),"")</f>
        <v/>
      </c>
      <c r="S1212" s="9" t="str">
        <f aca="false">IF(R1212="","",ROUND(L1212-R1212,2))</f>
        <v/>
      </c>
      <c r="T1212" s="8" t="str">
        <f aca="false">IF(A1212="","",IF(S1212="","BYPASS",IF(ABS(S1212)&lt;=Summary!$B$2,"PASS","FAIL")))</f>
        <v/>
      </c>
      <c r="U1212" s="8" t="str">
        <f aca="false">IF(T1212="BYPASS",IF(NOT(ISNUMBER(Q1212)),"PreV_ETB missing","End_tr_balance missing"),IF(T1212="FAIL",IF(AND(ISNUMBER(K1212),ISNUMBER(L1212),ABS(L1212-(K1212-IF(ISNUMBER(N1212),N1212,0)-IF(ISNUMBER(O1212),O1212,0)+IF(ISNUMBER(P1212),P1212,0)))&lt;=Summary!$B$2),"Passes using beginning_balance - PreV_ETB differs from beginning_balance",IF(AND(ISNUMBER(O1212),O1212&lt;0,ABS(L1212-(Q1212-IF(ISNUMBER(N1212),N1212,0)+IF(ISNUMBER(P1212),P1212,0)))&lt;=Summary!$B$2),"Negative realized loss not applied - check sign",IF(R1212&lt;0,"Principal paid exceeds prior balance",IF(AND(L1212&gt;Q1212,NOT(ISNUMBER(P1212))),"Balance increased but no Deferred_interest reported",IF(L1212&gt;R1212,"Reported balance higher than expected (missing increase/OC build)","Reported balance lower than expected (missing decrease)"))))),""))</f>
        <v/>
      </c>
    </row>
    <row r="1213" customFormat="false" ht="15" hidden="false" customHeight="false" outlineLevel="0" collapsed="false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9"/>
      <c r="L1213" s="9"/>
      <c r="M1213" s="9"/>
      <c r="N1213" s="9"/>
      <c r="O1213" s="9"/>
      <c r="P1213" s="9"/>
      <c r="Q1213" s="9"/>
      <c r="R1213" s="9" t="str">
        <f aca="false">IF(AND(A1213&lt;&gt;"",ISNUMBER(Q1213),ISNUMBER(L1213)),ROUND(Q1213-IF(ISNUMBER(N1213),N1213,0)-IF(ISNUMBER(O1213),O1213,0)+IF(ISNUMBER(P1213),P1213,0),2),"")</f>
        <v/>
      </c>
      <c r="S1213" s="9" t="str">
        <f aca="false">IF(R1213="","",ROUND(L1213-R1213,2))</f>
        <v/>
      </c>
      <c r="T1213" s="8" t="str">
        <f aca="false">IF(A1213="","",IF(S1213="","BYPASS",IF(ABS(S1213)&lt;=Summary!$B$2,"PASS","FAIL")))</f>
        <v/>
      </c>
      <c r="U1213" s="8" t="str">
        <f aca="false">IF(T1213="BYPASS",IF(NOT(ISNUMBER(Q1213)),"PreV_ETB missing","End_tr_balance missing"),IF(T1213="FAIL",IF(AND(ISNUMBER(K1213),ISNUMBER(L1213),ABS(L1213-(K1213-IF(ISNUMBER(N1213),N1213,0)-IF(ISNUMBER(O1213),O1213,0)+IF(ISNUMBER(P1213),P1213,0)))&lt;=Summary!$B$2),"Passes using beginning_balance - PreV_ETB differs from beginning_balance",IF(AND(ISNUMBER(O1213),O1213&lt;0,ABS(L1213-(Q1213-IF(ISNUMBER(N1213),N1213,0)+IF(ISNUMBER(P1213),P1213,0)))&lt;=Summary!$B$2),"Negative realized loss not applied - check sign",IF(R1213&lt;0,"Principal paid exceeds prior balance",IF(AND(L1213&gt;Q1213,NOT(ISNUMBER(P1213))),"Balance increased but no Deferred_interest reported",IF(L1213&gt;R1213,"Reported balance higher than expected (missing increase/OC build)","Reported balance lower than expected (missing decrease)"))))),""))</f>
        <v/>
      </c>
    </row>
    <row r="1214" customFormat="false" ht="15" hidden="false" customHeight="false" outlineLevel="0" collapsed="false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9"/>
      <c r="L1214" s="9"/>
      <c r="M1214" s="9"/>
      <c r="N1214" s="9"/>
      <c r="O1214" s="9"/>
      <c r="P1214" s="9"/>
      <c r="Q1214" s="9"/>
      <c r="R1214" s="9" t="str">
        <f aca="false">IF(AND(A1214&lt;&gt;"",ISNUMBER(Q1214),ISNUMBER(L1214)),ROUND(Q1214-IF(ISNUMBER(N1214),N1214,0)-IF(ISNUMBER(O1214),O1214,0)+IF(ISNUMBER(P1214),P1214,0),2),"")</f>
        <v/>
      </c>
      <c r="S1214" s="9" t="str">
        <f aca="false">IF(R1214="","",ROUND(L1214-R1214,2))</f>
        <v/>
      </c>
      <c r="T1214" s="8" t="str">
        <f aca="false">IF(A1214="","",IF(S1214="","BYPASS",IF(ABS(S1214)&lt;=Summary!$B$2,"PASS","FAIL")))</f>
        <v/>
      </c>
      <c r="U1214" s="8" t="str">
        <f aca="false">IF(T1214="BYPASS",IF(NOT(ISNUMBER(Q1214)),"PreV_ETB missing","End_tr_balance missing"),IF(T1214="FAIL",IF(AND(ISNUMBER(K1214),ISNUMBER(L1214),ABS(L1214-(K1214-IF(ISNUMBER(N1214),N1214,0)-IF(ISNUMBER(O1214),O1214,0)+IF(ISNUMBER(P1214),P1214,0)))&lt;=Summary!$B$2),"Passes using beginning_balance - PreV_ETB differs from beginning_balance",IF(AND(ISNUMBER(O1214),O1214&lt;0,ABS(L1214-(Q1214-IF(ISNUMBER(N1214),N1214,0)+IF(ISNUMBER(P1214),P1214,0)))&lt;=Summary!$B$2),"Negative realized loss not applied - check sign",IF(R1214&lt;0,"Principal paid exceeds prior balance",IF(AND(L1214&gt;Q1214,NOT(ISNUMBER(P1214))),"Balance increased but no Deferred_interest reported",IF(L1214&gt;R1214,"Reported balance higher than expected (missing increase/OC build)","Reported balance lower than expected (missing decrease)"))))),""))</f>
        <v/>
      </c>
    </row>
    <row r="1215" customFormat="false" ht="15" hidden="false" customHeight="false" outlineLevel="0" collapsed="false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9"/>
      <c r="L1215" s="9"/>
      <c r="M1215" s="9"/>
      <c r="N1215" s="9"/>
      <c r="O1215" s="9"/>
      <c r="P1215" s="9"/>
      <c r="Q1215" s="9"/>
      <c r="R1215" s="9" t="str">
        <f aca="false">IF(AND(A1215&lt;&gt;"",ISNUMBER(Q1215),ISNUMBER(L1215)),ROUND(Q1215-IF(ISNUMBER(N1215),N1215,0)-IF(ISNUMBER(O1215),O1215,0)+IF(ISNUMBER(P1215),P1215,0),2),"")</f>
        <v/>
      </c>
      <c r="S1215" s="9" t="str">
        <f aca="false">IF(R1215="","",ROUND(L1215-R1215,2))</f>
        <v/>
      </c>
      <c r="T1215" s="8" t="str">
        <f aca="false">IF(A1215="","",IF(S1215="","BYPASS",IF(ABS(S1215)&lt;=Summary!$B$2,"PASS","FAIL")))</f>
        <v/>
      </c>
      <c r="U1215" s="8" t="str">
        <f aca="false">IF(T1215="BYPASS",IF(NOT(ISNUMBER(Q1215)),"PreV_ETB missing","End_tr_balance missing"),IF(T1215="FAIL",IF(AND(ISNUMBER(K1215),ISNUMBER(L1215),ABS(L1215-(K1215-IF(ISNUMBER(N1215),N1215,0)-IF(ISNUMBER(O1215),O1215,0)+IF(ISNUMBER(P1215),P1215,0)))&lt;=Summary!$B$2),"Passes using beginning_balance - PreV_ETB differs from beginning_balance",IF(AND(ISNUMBER(O1215),O1215&lt;0,ABS(L1215-(Q1215-IF(ISNUMBER(N1215),N1215,0)+IF(ISNUMBER(P1215),P1215,0)))&lt;=Summary!$B$2),"Negative realized loss not applied - check sign",IF(R1215&lt;0,"Principal paid exceeds prior balance",IF(AND(L1215&gt;Q1215,NOT(ISNUMBER(P1215))),"Balance increased but no Deferred_interest reported",IF(L1215&gt;R1215,"Reported balance higher than expected (missing increase/OC build)","Reported balance lower than expected (missing decrease)"))))),""))</f>
        <v/>
      </c>
    </row>
    <row r="1216" customFormat="false" ht="15" hidden="false" customHeight="false" outlineLevel="0" collapsed="false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9"/>
      <c r="L1216" s="9"/>
      <c r="M1216" s="9"/>
      <c r="N1216" s="9"/>
      <c r="O1216" s="9"/>
      <c r="P1216" s="9"/>
      <c r="Q1216" s="9"/>
      <c r="R1216" s="9" t="str">
        <f aca="false">IF(AND(A1216&lt;&gt;"",ISNUMBER(Q1216),ISNUMBER(L1216)),ROUND(Q1216-IF(ISNUMBER(N1216),N1216,0)-IF(ISNUMBER(O1216),O1216,0)+IF(ISNUMBER(P1216),P1216,0),2),"")</f>
        <v/>
      </c>
      <c r="S1216" s="9" t="str">
        <f aca="false">IF(R1216="","",ROUND(L1216-R1216,2))</f>
        <v/>
      </c>
      <c r="T1216" s="8" t="str">
        <f aca="false">IF(A1216="","",IF(S1216="","BYPASS",IF(ABS(S1216)&lt;=Summary!$B$2,"PASS","FAIL")))</f>
        <v/>
      </c>
      <c r="U1216" s="8" t="str">
        <f aca="false">IF(T1216="BYPASS",IF(NOT(ISNUMBER(Q1216)),"PreV_ETB missing","End_tr_balance missing"),IF(T1216="FAIL",IF(AND(ISNUMBER(K1216),ISNUMBER(L1216),ABS(L1216-(K1216-IF(ISNUMBER(N1216),N1216,0)-IF(ISNUMBER(O1216),O1216,0)+IF(ISNUMBER(P1216),P1216,0)))&lt;=Summary!$B$2),"Passes using beginning_balance - PreV_ETB differs from beginning_balance",IF(AND(ISNUMBER(O1216),O1216&lt;0,ABS(L1216-(Q1216-IF(ISNUMBER(N1216),N1216,0)+IF(ISNUMBER(P1216),P1216,0)))&lt;=Summary!$B$2),"Negative realized loss not applied - check sign",IF(R1216&lt;0,"Principal paid exceeds prior balance",IF(AND(L1216&gt;Q1216,NOT(ISNUMBER(P1216))),"Balance increased but no Deferred_interest reported",IF(L1216&gt;R1216,"Reported balance higher than expected (missing increase/OC build)","Reported balance lower than expected (missing decrease)"))))),""))</f>
        <v/>
      </c>
    </row>
    <row r="1217" customFormat="false" ht="15" hidden="false" customHeight="false" outlineLevel="0" collapsed="false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9"/>
      <c r="L1217" s="9"/>
      <c r="M1217" s="9"/>
      <c r="N1217" s="9"/>
      <c r="O1217" s="9"/>
      <c r="P1217" s="9"/>
      <c r="Q1217" s="9"/>
      <c r="R1217" s="9" t="str">
        <f aca="false">IF(AND(A1217&lt;&gt;"",ISNUMBER(Q1217),ISNUMBER(L1217)),ROUND(Q1217-IF(ISNUMBER(N1217),N1217,0)-IF(ISNUMBER(O1217),O1217,0)+IF(ISNUMBER(P1217),P1217,0),2),"")</f>
        <v/>
      </c>
      <c r="S1217" s="9" t="str">
        <f aca="false">IF(R1217="","",ROUND(L1217-R1217,2))</f>
        <v/>
      </c>
      <c r="T1217" s="8" t="str">
        <f aca="false">IF(A1217="","",IF(S1217="","BYPASS",IF(ABS(S1217)&lt;=Summary!$B$2,"PASS","FAIL")))</f>
        <v/>
      </c>
      <c r="U1217" s="8" t="str">
        <f aca="false">IF(T1217="BYPASS",IF(NOT(ISNUMBER(Q1217)),"PreV_ETB missing","End_tr_balance missing"),IF(T1217="FAIL",IF(AND(ISNUMBER(K1217),ISNUMBER(L1217),ABS(L1217-(K1217-IF(ISNUMBER(N1217),N1217,0)-IF(ISNUMBER(O1217),O1217,0)+IF(ISNUMBER(P1217),P1217,0)))&lt;=Summary!$B$2),"Passes using beginning_balance - PreV_ETB differs from beginning_balance",IF(AND(ISNUMBER(O1217),O1217&lt;0,ABS(L1217-(Q1217-IF(ISNUMBER(N1217),N1217,0)+IF(ISNUMBER(P1217),P1217,0)))&lt;=Summary!$B$2),"Negative realized loss not applied - check sign",IF(R1217&lt;0,"Principal paid exceeds prior balance",IF(AND(L1217&gt;Q1217,NOT(ISNUMBER(P1217))),"Balance increased but no Deferred_interest reported",IF(L1217&gt;R1217,"Reported balance higher than expected (missing increase/OC build)","Reported balance lower than expected (missing decrease)"))))),""))</f>
        <v/>
      </c>
    </row>
    <row r="1218" customFormat="false" ht="15" hidden="false" customHeight="false" outlineLevel="0" collapsed="false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9"/>
      <c r="L1218" s="9"/>
      <c r="M1218" s="9"/>
      <c r="N1218" s="9"/>
      <c r="O1218" s="9"/>
      <c r="P1218" s="9"/>
      <c r="Q1218" s="9"/>
      <c r="R1218" s="9" t="str">
        <f aca="false">IF(AND(A1218&lt;&gt;"",ISNUMBER(Q1218),ISNUMBER(L1218)),ROUND(Q1218-IF(ISNUMBER(N1218),N1218,0)-IF(ISNUMBER(O1218),O1218,0)+IF(ISNUMBER(P1218),P1218,0),2),"")</f>
        <v/>
      </c>
      <c r="S1218" s="9" t="str">
        <f aca="false">IF(R1218="","",ROUND(L1218-R1218,2))</f>
        <v/>
      </c>
      <c r="T1218" s="8" t="str">
        <f aca="false">IF(A1218="","",IF(S1218="","BYPASS",IF(ABS(S1218)&lt;=Summary!$B$2,"PASS","FAIL")))</f>
        <v/>
      </c>
      <c r="U1218" s="8" t="str">
        <f aca="false">IF(T1218="BYPASS",IF(NOT(ISNUMBER(Q1218)),"PreV_ETB missing","End_tr_balance missing"),IF(T1218="FAIL",IF(AND(ISNUMBER(K1218),ISNUMBER(L1218),ABS(L1218-(K1218-IF(ISNUMBER(N1218),N1218,0)-IF(ISNUMBER(O1218),O1218,0)+IF(ISNUMBER(P1218),P1218,0)))&lt;=Summary!$B$2),"Passes using beginning_balance - PreV_ETB differs from beginning_balance",IF(AND(ISNUMBER(O1218),O1218&lt;0,ABS(L1218-(Q1218-IF(ISNUMBER(N1218),N1218,0)+IF(ISNUMBER(P1218),P1218,0)))&lt;=Summary!$B$2),"Negative realized loss not applied - check sign",IF(R1218&lt;0,"Principal paid exceeds prior balance",IF(AND(L1218&gt;Q1218,NOT(ISNUMBER(P1218))),"Balance increased but no Deferred_interest reported",IF(L1218&gt;R1218,"Reported balance higher than expected (missing increase/OC build)","Reported balance lower than expected (missing decrease)"))))),""))</f>
        <v/>
      </c>
    </row>
    <row r="1219" customFormat="false" ht="15" hidden="false" customHeight="false" outlineLevel="0" collapsed="false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9"/>
      <c r="L1219" s="9"/>
      <c r="M1219" s="9"/>
      <c r="N1219" s="9"/>
      <c r="O1219" s="9"/>
      <c r="P1219" s="9"/>
      <c r="Q1219" s="9"/>
      <c r="R1219" s="9" t="str">
        <f aca="false">IF(AND(A1219&lt;&gt;"",ISNUMBER(Q1219),ISNUMBER(L1219)),ROUND(Q1219-IF(ISNUMBER(N1219),N1219,0)-IF(ISNUMBER(O1219),O1219,0)+IF(ISNUMBER(P1219),P1219,0),2),"")</f>
        <v/>
      </c>
      <c r="S1219" s="9" t="str">
        <f aca="false">IF(R1219="","",ROUND(L1219-R1219,2))</f>
        <v/>
      </c>
      <c r="T1219" s="8" t="str">
        <f aca="false">IF(A1219="","",IF(S1219="","BYPASS",IF(ABS(S1219)&lt;=Summary!$B$2,"PASS","FAIL")))</f>
        <v/>
      </c>
      <c r="U1219" s="8" t="str">
        <f aca="false">IF(T1219="BYPASS",IF(NOT(ISNUMBER(Q1219)),"PreV_ETB missing","End_tr_balance missing"),IF(T1219="FAIL",IF(AND(ISNUMBER(K1219),ISNUMBER(L1219),ABS(L1219-(K1219-IF(ISNUMBER(N1219),N1219,0)-IF(ISNUMBER(O1219),O1219,0)+IF(ISNUMBER(P1219),P1219,0)))&lt;=Summary!$B$2),"Passes using beginning_balance - PreV_ETB differs from beginning_balance",IF(AND(ISNUMBER(O1219),O1219&lt;0,ABS(L1219-(Q1219-IF(ISNUMBER(N1219),N1219,0)+IF(ISNUMBER(P1219),P1219,0)))&lt;=Summary!$B$2),"Negative realized loss not applied - check sign",IF(R1219&lt;0,"Principal paid exceeds prior balance",IF(AND(L1219&gt;Q1219,NOT(ISNUMBER(P1219))),"Balance increased but no Deferred_interest reported",IF(L1219&gt;R1219,"Reported balance higher than expected (missing increase/OC build)","Reported balance lower than expected (missing decrease)"))))),""))</f>
        <v/>
      </c>
    </row>
    <row r="1220" customFormat="false" ht="15" hidden="false" customHeight="false" outlineLevel="0" collapsed="false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9"/>
      <c r="L1220" s="9"/>
      <c r="M1220" s="9"/>
      <c r="N1220" s="9"/>
      <c r="O1220" s="9"/>
      <c r="P1220" s="9"/>
      <c r="Q1220" s="9"/>
      <c r="R1220" s="9" t="str">
        <f aca="false">IF(AND(A1220&lt;&gt;"",ISNUMBER(Q1220),ISNUMBER(L1220)),ROUND(Q1220-IF(ISNUMBER(N1220),N1220,0)-IF(ISNUMBER(O1220),O1220,0)+IF(ISNUMBER(P1220),P1220,0),2),"")</f>
        <v/>
      </c>
      <c r="S1220" s="9" t="str">
        <f aca="false">IF(R1220="","",ROUND(L1220-R1220,2))</f>
        <v/>
      </c>
      <c r="T1220" s="8" t="str">
        <f aca="false">IF(A1220="","",IF(S1220="","BYPASS",IF(ABS(S1220)&lt;=Summary!$B$2,"PASS","FAIL")))</f>
        <v/>
      </c>
      <c r="U1220" s="8" t="str">
        <f aca="false">IF(T1220="BYPASS",IF(NOT(ISNUMBER(Q1220)),"PreV_ETB missing","End_tr_balance missing"),IF(T1220="FAIL",IF(AND(ISNUMBER(K1220),ISNUMBER(L1220),ABS(L1220-(K1220-IF(ISNUMBER(N1220),N1220,0)-IF(ISNUMBER(O1220),O1220,0)+IF(ISNUMBER(P1220),P1220,0)))&lt;=Summary!$B$2),"Passes using beginning_balance - PreV_ETB differs from beginning_balance",IF(AND(ISNUMBER(O1220),O1220&lt;0,ABS(L1220-(Q1220-IF(ISNUMBER(N1220),N1220,0)+IF(ISNUMBER(P1220),P1220,0)))&lt;=Summary!$B$2),"Negative realized loss not applied - check sign",IF(R1220&lt;0,"Principal paid exceeds prior balance",IF(AND(L1220&gt;Q1220,NOT(ISNUMBER(P1220))),"Balance increased but no Deferred_interest reported",IF(L1220&gt;R1220,"Reported balance higher than expected (missing increase/OC build)","Reported balance lower than expected (missing decrease)"))))),""))</f>
        <v/>
      </c>
    </row>
    <row r="1221" customFormat="false" ht="15" hidden="false" customHeight="false" outlineLevel="0" collapsed="false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9"/>
      <c r="L1221" s="9"/>
      <c r="M1221" s="9"/>
      <c r="N1221" s="9"/>
      <c r="O1221" s="9"/>
      <c r="P1221" s="9"/>
      <c r="Q1221" s="9"/>
      <c r="R1221" s="9" t="str">
        <f aca="false">IF(AND(A1221&lt;&gt;"",ISNUMBER(Q1221),ISNUMBER(L1221)),ROUND(Q1221-IF(ISNUMBER(N1221),N1221,0)-IF(ISNUMBER(O1221),O1221,0)+IF(ISNUMBER(P1221),P1221,0),2),"")</f>
        <v/>
      </c>
      <c r="S1221" s="9" t="str">
        <f aca="false">IF(R1221="","",ROUND(L1221-R1221,2))</f>
        <v/>
      </c>
      <c r="T1221" s="8" t="str">
        <f aca="false">IF(A1221="","",IF(S1221="","BYPASS",IF(ABS(S1221)&lt;=Summary!$B$2,"PASS","FAIL")))</f>
        <v/>
      </c>
      <c r="U1221" s="8" t="str">
        <f aca="false">IF(T1221="BYPASS",IF(NOT(ISNUMBER(Q1221)),"PreV_ETB missing","End_tr_balance missing"),IF(T1221="FAIL",IF(AND(ISNUMBER(K1221),ISNUMBER(L1221),ABS(L1221-(K1221-IF(ISNUMBER(N1221),N1221,0)-IF(ISNUMBER(O1221),O1221,0)+IF(ISNUMBER(P1221),P1221,0)))&lt;=Summary!$B$2),"Passes using beginning_balance - PreV_ETB differs from beginning_balance",IF(AND(ISNUMBER(O1221),O1221&lt;0,ABS(L1221-(Q1221-IF(ISNUMBER(N1221),N1221,0)+IF(ISNUMBER(P1221),P1221,0)))&lt;=Summary!$B$2),"Negative realized loss not applied - check sign",IF(R1221&lt;0,"Principal paid exceeds prior balance",IF(AND(L1221&gt;Q1221,NOT(ISNUMBER(P1221))),"Balance increased but no Deferred_interest reported",IF(L1221&gt;R1221,"Reported balance higher than expected (missing increase/OC build)","Reported balance lower than expected (missing decrease)"))))),""))</f>
        <v/>
      </c>
    </row>
    <row r="1222" customFormat="false" ht="15" hidden="false" customHeight="false" outlineLevel="0" collapsed="false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9"/>
      <c r="L1222" s="9"/>
      <c r="M1222" s="9"/>
      <c r="N1222" s="9"/>
      <c r="O1222" s="9"/>
      <c r="P1222" s="9"/>
      <c r="Q1222" s="9"/>
      <c r="R1222" s="9" t="str">
        <f aca="false">IF(AND(A1222&lt;&gt;"",ISNUMBER(Q1222),ISNUMBER(L1222)),ROUND(Q1222-IF(ISNUMBER(N1222),N1222,0)-IF(ISNUMBER(O1222),O1222,0)+IF(ISNUMBER(P1222),P1222,0),2),"")</f>
        <v/>
      </c>
      <c r="S1222" s="9" t="str">
        <f aca="false">IF(R1222="","",ROUND(L1222-R1222,2))</f>
        <v/>
      </c>
      <c r="T1222" s="8" t="str">
        <f aca="false">IF(A1222="","",IF(S1222="","BYPASS",IF(ABS(S1222)&lt;=Summary!$B$2,"PASS","FAIL")))</f>
        <v/>
      </c>
      <c r="U1222" s="8" t="str">
        <f aca="false">IF(T1222="BYPASS",IF(NOT(ISNUMBER(Q1222)),"PreV_ETB missing","End_tr_balance missing"),IF(T1222="FAIL",IF(AND(ISNUMBER(K1222),ISNUMBER(L1222),ABS(L1222-(K1222-IF(ISNUMBER(N1222),N1222,0)-IF(ISNUMBER(O1222),O1222,0)+IF(ISNUMBER(P1222),P1222,0)))&lt;=Summary!$B$2),"Passes using beginning_balance - PreV_ETB differs from beginning_balance",IF(AND(ISNUMBER(O1222),O1222&lt;0,ABS(L1222-(Q1222-IF(ISNUMBER(N1222),N1222,0)+IF(ISNUMBER(P1222),P1222,0)))&lt;=Summary!$B$2),"Negative realized loss not applied - check sign",IF(R1222&lt;0,"Principal paid exceeds prior balance",IF(AND(L1222&gt;Q1222,NOT(ISNUMBER(P1222))),"Balance increased but no Deferred_interest reported",IF(L1222&gt;R1222,"Reported balance higher than expected (missing increase/OC build)","Reported balance lower than expected (missing decrease)"))))),""))</f>
        <v/>
      </c>
    </row>
    <row r="1223" customFormat="false" ht="15" hidden="false" customHeight="false" outlineLevel="0" collapsed="false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9"/>
      <c r="L1223" s="9"/>
      <c r="M1223" s="9"/>
      <c r="N1223" s="9"/>
      <c r="O1223" s="9"/>
      <c r="P1223" s="9"/>
      <c r="Q1223" s="9"/>
      <c r="R1223" s="9" t="str">
        <f aca="false">IF(AND(A1223&lt;&gt;"",ISNUMBER(Q1223),ISNUMBER(L1223)),ROUND(Q1223-IF(ISNUMBER(N1223),N1223,0)-IF(ISNUMBER(O1223),O1223,0)+IF(ISNUMBER(P1223),P1223,0),2),"")</f>
        <v/>
      </c>
      <c r="S1223" s="9" t="str">
        <f aca="false">IF(R1223="","",ROUND(L1223-R1223,2))</f>
        <v/>
      </c>
      <c r="T1223" s="8" t="str">
        <f aca="false">IF(A1223="","",IF(S1223="","BYPASS",IF(ABS(S1223)&lt;=Summary!$B$2,"PASS","FAIL")))</f>
        <v/>
      </c>
      <c r="U1223" s="8" t="str">
        <f aca="false">IF(T1223="BYPASS",IF(NOT(ISNUMBER(Q1223)),"PreV_ETB missing","End_tr_balance missing"),IF(T1223="FAIL",IF(AND(ISNUMBER(K1223),ISNUMBER(L1223),ABS(L1223-(K1223-IF(ISNUMBER(N1223),N1223,0)-IF(ISNUMBER(O1223),O1223,0)+IF(ISNUMBER(P1223),P1223,0)))&lt;=Summary!$B$2),"Passes using beginning_balance - PreV_ETB differs from beginning_balance",IF(AND(ISNUMBER(O1223),O1223&lt;0,ABS(L1223-(Q1223-IF(ISNUMBER(N1223),N1223,0)+IF(ISNUMBER(P1223),P1223,0)))&lt;=Summary!$B$2),"Negative realized loss not applied - check sign",IF(R1223&lt;0,"Principal paid exceeds prior balance",IF(AND(L1223&gt;Q1223,NOT(ISNUMBER(P1223))),"Balance increased but no Deferred_interest reported",IF(L1223&gt;R1223,"Reported balance higher than expected (missing increase/OC build)","Reported balance lower than expected (missing decrease)"))))),""))</f>
        <v/>
      </c>
    </row>
    <row r="1224" customFormat="false" ht="15" hidden="false" customHeight="false" outlineLevel="0" collapsed="false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9"/>
      <c r="L1224" s="9"/>
      <c r="M1224" s="9"/>
      <c r="N1224" s="9"/>
      <c r="O1224" s="9"/>
      <c r="P1224" s="9"/>
      <c r="Q1224" s="9"/>
      <c r="R1224" s="9" t="str">
        <f aca="false">IF(AND(A1224&lt;&gt;"",ISNUMBER(Q1224),ISNUMBER(L1224)),ROUND(Q1224-IF(ISNUMBER(N1224),N1224,0)-IF(ISNUMBER(O1224),O1224,0)+IF(ISNUMBER(P1224),P1224,0),2),"")</f>
        <v/>
      </c>
      <c r="S1224" s="9" t="str">
        <f aca="false">IF(R1224="","",ROUND(L1224-R1224,2))</f>
        <v/>
      </c>
      <c r="T1224" s="8" t="str">
        <f aca="false">IF(A1224="","",IF(S1224="","BYPASS",IF(ABS(S1224)&lt;=Summary!$B$2,"PASS","FAIL")))</f>
        <v/>
      </c>
      <c r="U1224" s="8" t="str">
        <f aca="false">IF(T1224="BYPASS",IF(NOT(ISNUMBER(Q1224)),"PreV_ETB missing","End_tr_balance missing"),IF(T1224="FAIL",IF(AND(ISNUMBER(K1224),ISNUMBER(L1224),ABS(L1224-(K1224-IF(ISNUMBER(N1224),N1224,0)-IF(ISNUMBER(O1224),O1224,0)+IF(ISNUMBER(P1224),P1224,0)))&lt;=Summary!$B$2),"Passes using beginning_balance - PreV_ETB differs from beginning_balance",IF(AND(ISNUMBER(O1224),O1224&lt;0,ABS(L1224-(Q1224-IF(ISNUMBER(N1224),N1224,0)+IF(ISNUMBER(P1224),P1224,0)))&lt;=Summary!$B$2),"Negative realized loss not applied - check sign",IF(R1224&lt;0,"Principal paid exceeds prior balance",IF(AND(L1224&gt;Q1224,NOT(ISNUMBER(P1224))),"Balance increased but no Deferred_interest reported",IF(L1224&gt;R1224,"Reported balance higher than expected (missing increase/OC build)","Reported balance lower than expected (missing decrease)"))))),""))</f>
        <v/>
      </c>
    </row>
    <row r="1225" customFormat="false" ht="15" hidden="false" customHeight="false" outlineLevel="0" collapsed="false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9"/>
      <c r="L1225" s="9"/>
      <c r="M1225" s="9"/>
      <c r="N1225" s="9"/>
      <c r="O1225" s="9"/>
      <c r="P1225" s="9"/>
      <c r="Q1225" s="9"/>
      <c r="R1225" s="9" t="str">
        <f aca="false">IF(AND(A1225&lt;&gt;"",ISNUMBER(Q1225),ISNUMBER(L1225)),ROUND(Q1225-IF(ISNUMBER(N1225),N1225,0)-IF(ISNUMBER(O1225),O1225,0)+IF(ISNUMBER(P1225),P1225,0),2),"")</f>
        <v/>
      </c>
      <c r="S1225" s="9" t="str">
        <f aca="false">IF(R1225="","",ROUND(L1225-R1225,2))</f>
        <v/>
      </c>
      <c r="T1225" s="8" t="str">
        <f aca="false">IF(A1225="","",IF(S1225="","BYPASS",IF(ABS(S1225)&lt;=Summary!$B$2,"PASS","FAIL")))</f>
        <v/>
      </c>
      <c r="U1225" s="8" t="str">
        <f aca="false">IF(T1225="BYPASS",IF(NOT(ISNUMBER(Q1225)),"PreV_ETB missing","End_tr_balance missing"),IF(T1225="FAIL",IF(AND(ISNUMBER(K1225),ISNUMBER(L1225),ABS(L1225-(K1225-IF(ISNUMBER(N1225),N1225,0)-IF(ISNUMBER(O1225),O1225,0)+IF(ISNUMBER(P1225),P1225,0)))&lt;=Summary!$B$2),"Passes using beginning_balance - PreV_ETB differs from beginning_balance",IF(AND(ISNUMBER(O1225),O1225&lt;0,ABS(L1225-(Q1225-IF(ISNUMBER(N1225),N1225,0)+IF(ISNUMBER(P1225),P1225,0)))&lt;=Summary!$B$2),"Negative realized loss not applied - check sign",IF(R1225&lt;0,"Principal paid exceeds prior balance",IF(AND(L1225&gt;Q1225,NOT(ISNUMBER(P1225))),"Balance increased but no Deferred_interest reported",IF(L1225&gt;R1225,"Reported balance higher than expected (missing increase/OC build)","Reported balance lower than expected (missing decrease)"))))),""))</f>
        <v/>
      </c>
    </row>
    <row r="1226" customFormat="false" ht="15" hidden="false" customHeight="false" outlineLevel="0" collapsed="false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9"/>
      <c r="L1226" s="9"/>
      <c r="M1226" s="9"/>
      <c r="N1226" s="9"/>
      <c r="O1226" s="9"/>
      <c r="P1226" s="9"/>
      <c r="Q1226" s="9"/>
      <c r="R1226" s="9" t="str">
        <f aca="false">IF(AND(A1226&lt;&gt;"",ISNUMBER(Q1226),ISNUMBER(L1226)),ROUND(Q1226-IF(ISNUMBER(N1226),N1226,0)-IF(ISNUMBER(O1226),O1226,0)+IF(ISNUMBER(P1226),P1226,0),2),"")</f>
        <v/>
      </c>
      <c r="S1226" s="9" t="str">
        <f aca="false">IF(R1226="","",ROUND(L1226-R1226,2))</f>
        <v/>
      </c>
      <c r="T1226" s="8" t="str">
        <f aca="false">IF(A1226="","",IF(S1226="","BYPASS",IF(ABS(S1226)&lt;=Summary!$B$2,"PASS","FAIL")))</f>
        <v/>
      </c>
      <c r="U1226" s="8" t="str">
        <f aca="false">IF(T1226="BYPASS",IF(NOT(ISNUMBER(Q1226)),"PreV_ETB missing","End_tr_balance missing"),IF(T1226="FAIL",IF(AND(ISNUMBER(K1226),ISNUMBER(L1226),ABS(L1226-(K1226-IF(ISNUMBER(N1226),N1226,0)-IF(ISNUMBER(O1226),O1226,0)+IF(ISNUMBER(P1226),P1226,0)))&lt;=Summary!$B$2),"Passes using beginning_balance - PreV_ETB differs from beginning_balance",IF(AND(ISNUMBER(O1226),O1226&lt;0,ABS(L1226-(Q1226-IF(ISNUMBER(N1226),N1226,0)+IF(ISNUMBER(P1226),P1226,0)))&lt;=Summary!$B$2),"Negative realized loss not applied - check sign",IF(R1226&lt;0,"Principal paid exceeds prior balance",IF(AND(L1226&gt;Q1226,NOT(ISNUMBER(P1226))),"Balance increased but no Deferred_interest reported",IF(L1226&gt;R1226,"Reported balance higher than expected (missing increase/OC build)","Reported balance lower than expected (missing decrease)"))))),""))</f>
        <v/>
      </c>
    </row>
    <row r="1227" customFormat="false" ht="15" hidden="false" customHeight="false" outlineLevel="0" collapsed="false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9"/>
      <c r="L1227" s="9"/>
      <c r="M1227" s="9"/>
      <c r="N1227" s="9"/>
      <c r="O1227" s="9"/>
      <c r="P1227" s="9"/>
      <c r="Q1227" s="9"/>
      <c r="R1227" s="9" t="str">
        <f aca="false">IF(AND(A1227&lt;&gt;"",ISNUMBER(Q1227),ISNUMBER(L1227)),ROUND(Q1227-IF(ISNUMBER(N1227),N1227,0)-IF(ISNUMBER(O1227),O1227,0)+IF(ISNUMBER(P1227),P1227,0),2),"")</f>
        <v/>
      </c>
      <c r="S1227" s="9" t="str">
        <f aca="false">IF(R1227="","",ROUND(L1227-R1227,2))</f>
        <v/>
      </c>
      <c r="T1227" s="8" t="str">
        <f aca="false">IF(A1227="","",IF(S1227="","BYPASS",IF(ABS(S1227)&lt;=Summary!$B$2,"PASS","FAIL")))</f>
        <v/>
      </c>
      <c r="U1227" s="8" t="str">
        <f aca="false">IF(T1227="BYPASS",IF(NOT(ISNUMBER(Q1227)),"PreV_ETB missing","End_tr_balance missing"),IF(T1227="FAIL",IF(AND(ISNUMBER(K1227),ISNUMBER(L1227),ABS(L1227-(K1227-IF(ISNUMBER(N1227),N1227,0)-IF(ISNUMBER(O1227),O1227,0)+IF(ISNUMBER(P1227),P1227,0)))&lt;=Summary!$B$2),"Passes using beginning_balance - PreV_ETB differs from beginning_balance",IF(AND(ISNUMBER(O1227),O1227&lt;0,ABS(L1227-(Q1227-IF(ISNUMBER(N1227),N1227,0)+IF(ISNUMBER(P1227),P1227,0)))&lt;=Summary!$B$2),"Negative realized loss not applied - check sign",IF(R1227&lt;0,"Principal paid exceeds prior balance",IF(AND(L1227&gt;Q1227,NOT(ISNUMBER(P1227))),"Balance increased but no Deferred_interest reported",IF(L1227&gt;R1227,"Reported balance higher than expected (missing increase/OC build)","Reported balance lower than expected (missing decrease)"))))),""))</f>
        <v/>
      </c>
    </row>
    <row r="1228" customFormat="false" ht="15" hidden="false" customHeight="false" outlineLevel="0" collapsed="false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9"/>
      <c r="L1228" s="9"/>
      <c r="M1228" s="9"/>
      <c r="N1228" s="9"/>
      <c r="O1228" s="9"/>
      <c r="P1228" s="9"/>
      <c r="Q1228" s="9"/>
      <c r="R1228" s="9" t="str">
        <f aca="false">IF(AND(A1228&lt;&gt;"",ISNUMBER(Q1228),ISNUMBER(L1228)),ROUND(Q1228-IF(ISNUMBER(N1228),N1228,0)-IF(ISNUMBER(O1228),O1228,0)+IF(ISNUMBER(P1228),P1228,0),2),"")</f>
        <v/>
      </c>
      <c r="S1228" s="9" t="str">
        <f aca="false">IF(R1228="","",ROUND(L1228-R1228,2))</f>
        <v/>
      </c>
      <c r="T1228" s="8" t="str">
        <f aca="false">IF(A1228="","",IF(S1228="","BYPASS",IF(ABS(S1228)&lt;=Summary!$B$2,"PASS","FAIL")))</f>
        <v/>
      </c>
      <c r="U1228" s="8" t="str">
        <f aca="false">IF(T1228="BYPASS",IF(NOT(ISNUMBER(Q1228)),"PreV_ETB missing","End_tr_balance missing"),IF(T1228="FAIL",IF(AND(ISNUMBER(K1228),ISNUMBER(L1228),ABS(L1228-(K1228-IF(ISNUMBER(N1228),N1228,0)-IF(ISNUMBER(O1228),O1228,0)+IF(ISNUMBER(P1228),P1228,0)))&lt;=Summary!$B$2),"Passes using beginning_balance - PreV_ETB differs from beginning_balance",IF(AND(ISNUMBER(O1228),O1228&lt;0,ABS(L1228-(Q1228-IF(ISNUMBER(N1228),N1228,0)+IF(ISNUMBER(P1228),P1228,0)))&lt;=Summary!$B$2),"Negative realized loss not applied - check sign",IF(R1228&lt;0,"Principal paid exceeds prior balance",IF(AND(L1228&gt;Q1228,NOT(ISNUMBER(P1228))),"Balance increased but no Deferred_interest reported",IF(L1228&gt;R1228,"Reported balance higher than expected (missing increase/OC build)","Reported balance lower than expected (missing decrease)"))))),""))</f>
        <v/>
      </c>
    </row>
    <row r="1229" customFormat="false" ht="15" hidden="false" customHeight="false" outlineLevel="0" collapsed="false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9"/>
      <c r="L1229" s="9"/>
      <c r="M1229" s="9"/>
      <c r="N1229" s="9"/>
      <c r="O1229" s="9"/>
      <c r="P1229" s="9"/>
      <c r="Q1229" s="9"/>
      <c r="R1229" s="9" t="str">
        <f aca="false">IF(AND(A1229&lt;&gt;"",ISNUMBER(Q1229),ISNUMBER(L1229)),ROUND(Q1229-IF(ISNUMBER(N1229),N1229,0)-IF(ISNUMBER(O1229),O1229,0)+IF(ISNUMBER(P1229),P1229,0),2),"")</f>
        <v/>
      </c>
      <c r="S1229" s="9" t="str">
        <f aca="false">IF(R1229="","",ROUND(L1229-R1229,2))</f>
        <v/>
      </c>
      <c r="T1229" s="8" t="str">
        <f aca="false">IF(A1229="","",IF(S1229="","BYPASS",IF(ABS(S1229)&lt;=Summary!$B$2,"PASS","FAIL")))</f>
        <v/>
      </c>
      <c r="U1229" s="8" t="str">
        <f aca="false">IF(T1229="BYPASS",IF(NOT(ISNUMBER(Q1229)),"PreV_ETB missing","End_tr_balance missing"),IF(T1229="FAIL",IF(AND(ISNUMBER(K1229),ISNUMBER(L1229),ABS(L1229-(K1229-IF(ISNUMBER(N1229),N1229,0)-IF(ISNUMBER(O1229),O1229,0)+IF(ISNUMBER(P1229),P1229,0)))&lt;=Summary!$B$2),"Passes using beginning_balance - PreV_ETB differs from beginning_balance",IF(AND(ISNUMBER(O1229),O1229&lt;0,ABS(L1229-(Q1229-IF(ISNUMBER(N1229),N1229,0)+IF(ISNUMBER(P1229),P1229,0)))&lt;=Summary!$B$2),"Negative realized loss not applied - check sign",IF(R1229&lt;0,"Principal paid exceeds prior balance",IF(AND(L1229&gt;Q1229,NOT(ISNUMBER(P1229))),"Balance increased but no Deferred_interest reported",IF(L1229&gt;R1229,"Reported balance higher than expected (missing increase/OC build)","Reported balance lower than expected (missing decrease)"))))),""))</f>
        <v/>
      </c>
    </row>
    <row r="1230" customFormat="false" ht="15" hidden="false" customHeight="false" outlineLevel="0" collapsed="false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9"/>
      <c r="L1230" s="9"/>
      <c r="M1230" s="9"/>
      <c r="N1230" s="9"/>
      <c r="O1230" s="9"/>
      <c r="P1230" s="9"/>
      <c r="Q1230" s="9"/>
      <c r="R1230" s="9" t="str">
        <f aca="false">IF(AND(A1230&lt;&gt;"",ISNUMBER(Q1230),ISNUMBER(L1230)),ROUND(Q1230-IF(ISNUMBER(N1230),N1230,0)-IF(ISNUMBER(O1230),O1230,0)+IF(ISNUMBER(P1230),P1230,0),2),"")</f>
        <v/>
      </c>
      <c r="S1230" s="9" t="str">
        <f aca="false">IF(R1230="","",ROUND(L1230-R1230,2))</f>
        <v/>
      </c>
      <c r="T1230" s="8" t="str">
        <f aca="false">IF(A1230="","",IF(S1230="","BYPASS",IF(ABS(S1230)&lt;=Summary!$B$2,"PASS","FAIL")))</f>
        <v/>
      </c>
      <c r="U1230" s="8" t="str">
        <f aca="false">IF(T1230="BYPASS",IF(NOT(ISNUMBER(Q1230)),"PreV_ETB missing","End_tr_balance missing"),IF(T1230="FAIL",IF(AND(ISNUMBER(K1230),ISNUMBER(L1230),ABS(L1230-(K1230-IF(ISNUMBER(N1230),N1230,0)-IF(ISNUMBER(O1230),O1230,0)+IF(ISNUMBER(P1230),P1230,0)))&lt;=Summary!$B$2),"Passes using beginning_balance - PreV_ETB differs from beginning_balance",IF(AND(ISNUMBER(O1230),O1230&lt;0,ABS(L1230-(Q1230-IF(ISNUMBER(N1230),N1230,0)+IF(ISNUMBER(P1230),P1230,0)))&lt;=Summary!$B$2),"Negative realized loss not applied - check sign",IF(R1230&lt;0,"Principal paid exceeds prior balance",IF(AND(L1230&gt;Q1230,NOT(ISNUMBER(P1230))),"Balance increased but no Deferred_interest reported",IF(L1230&gt;R1230,"Reported balance higher than expected (missing increase/OC build)","Reported balance lower than expected (missing decrease)"))))),""))</f>
        <v/>
      </c>
    </row>
    <row r="1231" customFormat="false" ht="15" hidden="false" customHeight="false" outlineLevel="0" collapsed="false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9"/>
      <c r="L1231" s="9"/>
      <c r="M1231" s="9"/>
      <c r="N1231" s="9"/>
      <c r="O1231" s="9"/>
      <c r="P1231" s="9"/>
      <c r="Q1231" s="9"/>
      <c r="R1231" s="9" t="str">
        <f aca="false">IF(AND(A1231&lt;&gt;"",ISNUMBER(Q1231),ISNUMBER(L1231)),ROUND(Q1231-IF(ISNUMBER(N1231),N1231,0)-IF(ISNUMBER(O1231),O1231,0)+IF(ISNUMBER(P1231),P1231,0),2),"")</f>
        <v/>
      </c>
      <c r="S1231" s="9" t="str">
        <f aca="false">IF(R1231="","",ROUND(L1231-R1231,2))</f>
        <v/>
      </c>
      <c r="T1231" s="8" t="str">
        <f aca="false">IF(A1231="","",IF(S1231="","BYPASS",IF(ABS(S1231)&lt;=Summary!$B$2,"PASS","FAIL")))</f>
        <v/>
      </c>
      <c r="U1231" s="8" t="str">
        <f aca="false">IF(T1231="BYPASS",IF(NOT(ISNUMBER(Q1231)),"PreV_ETB missing","End_tr_balance missing"),IF(T1231="FAIL",IF(AND(ISNUMBER(K1231),ISNUMBER(L1231),ABS(L1231-(K1231-IF(ISNUMBER(N1231),N1231,0)-IF(ISNUMBER(O1231),O1231,0)+IF(ISNUMBER(P1231),P1231,0)))&lt;=Summary!$B$2),"Passes using beginning_balance - PreV_ETB differs from beginning_balance",IF(AND(ISNUMBER(O1231),O1231&lt;0,ABS(L1231-(Q1231-IF(ISNUMBER(N1231),N1231,0)+IF(ISNUMBER(P1231),P1231,0)))&lt;=Summary!$B$2),"Negative realized loss not applied - check sign",IF(R1231&lt;0,"Principal paid exceeds prior balance",IF(AND(L1231&gt;Q1231,NOT(ISNUMBER(P1231))),"Balance increased but no Deferred_interest reported",IF(L1231&gt;R1231,"Reported balance higher than expected (missing increase/OC build)","Reported balance lower than expected (missing decrease)"))))),""))</f>
        <v/>
      </c>
    </row>
    <row r="1232" customFormat="false" ht="15" hidden="false" customHeight="false" outlineLevel="0" collapsed="false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9"/>
      <c r="L1232" s="9"/>
      <c r="M1232" s="9"/>
      <c r="N1232" s="9"/>
      <c r="O1232" s="9"/>
      <c r="P1232" s="9"/>
      <c r="Q1232" s="9"/>
      <c r="R1232" s="9" t="str">
        <f aca="false">IF(AND(A1232&lt;&gt;"",ISNUMBER(Q1232),ISNUMBER(L1232)),ROUND(Q1232-IF(ISNUMBER(N1232),N1232,0)-IF(ISNUMBER(O1232),O1232,0)+IF(ISNUMBER(P1232),P1232,0),2),"")</f>
        <v/>
      </c>
      <c r="S1232" s="9" t="str">
        <f aca="false">IF(R1232="","",ROUND(L1232-R1232,2))</f>
        <v/>
      </c>
      <c r="T1232" s="8" t="str">
        <f aca="false">IF(A1232="","",IF(S1232="","BYPASS",IF(ABS(S1232)&lt;=Summary!$B$2,"PASS","FAIL")))</f>
        <v/>
      </c>
      <c r="U1232" s="8" t="str">
        <f aca="false">IF(T1232="BYPASS",IF(NOT(ISNUMBER(Q1232)),"PreV_ETB missing","End_tr_balance missing"),IF(T1232="FAIL",IF(AND(ISNUMBER(K1232),ISNUMBER(L1232),ABS(L1232-(K1232-IF(ISNUMBER(N1232),N1232,0)-IF(ISNUMBER(O1232),O1232,0)+IF(ISNUMBER(P1232),P1232,0)))&lt;=Summary!$B$2),"Passes using beginning_balance - PreV_ETB differs from beginning_balance",IF(AND(ISNUMBER(O1232),O1232&lt;0,ABS(L1232-(Q1232-IF(ISNUMBER(N1232),N1232,0)+IF(ISNUMBER(P1232),P1232,0)))&lt;=Summary!$B$2),"Negative realized loss not applied - check sign",IF(R1232&lt;0,"Principal paid exceeds prior balance",IF(AND(L1232&gt;Q1232,NOT(ISNUMBER(P1232))),"Balance increased but no Deferred_interest reported",IF(L1232&gt;R1232,"Reported balance higher than expected (missing increase/OC build)","Reported balance lower than expected (missing decrease)"))))),""))</f>
        <v/>
      </c>
    </row>
    <row r="1233" customFormat="false" ht="15" hidden="false" customHeight="false" outlineLevel="0" collapsed="false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9"/>
      <c r="L1233" s="9"/>
      <c r="M1233" s="9"/>
      <c r="N1233" s="9"/>
      <c r="O1233" s="9"/>
      <c r="P1233" s="9"/>
      <c r="Q1233" s="9"/>
      <c r="R1233" s="9" t="str">
        <f aca="false">IF(AND(A1233&lt;&gt;"",ISNUMBER(Q1233),ISNUMBER(L1233)),ROUND(Q1233-IF(ISNUMBER(N1233),N1233,0)-IF(ISNUMBER(O1233),O1233,0)+IF(ISNUMBER(P1233),P1233,0),2),"")</f>
        <v/>
      </c>
      <c r="S1233" s="9" t="str">
        <f aca="false">IF(R1233="","",ROUND(L1233-R1233,2))</f>
        <v/>
      </c>
      <c r="T1233" s="8" t="str">
        <f aca="false">IF(A1233="","",IF(S1233="","BYPASS",IF(ABS(S1233)&lt;=Summary!$B$2,"PASS","FAIL")))</f>
        <v/>
      </c>
      <c r="U1233" s="8" t="str">
        <f aca="false">IF(T1233="BYPASS",IF(NOT(ISNUMBER(Q1233)),"PreV_ETB missing","End_tr_balance missing"),IF(T1233="FAIL",IF(AND(ISNUMBER(K1233),ISNUMBER(L1233),ABS(L1233-(K1233-IF(ISNUMBER(N1233),N1233,0)-IF(ISNUMBER(O1233),O1233,0)+IF(ISNUMBER(P1233),P1233,0)))&lt;=Summary!$B$2),"Passes using beginning_balance - PreV_ETB differs from beginning_balance",IF(AND(ISNUMBER(O1233),O1233&lt;0,ABS(L1233-(Q1233-IF(ISNUMBER(N1233),N1233,0)+IF(ISNUMBER(P1233),P1233,0)))&lt;=Summary!$B$2),"Negative realized loss not applied - check sign",IF(R1233&lt;0,"Principal paid exceeds prior balance",IF(AND(L1233&gt;Q1233,NOT(ISNUMBER(P1233))),"Balance increased but no Deferred_interest reported",IF(L1233&gt;R1233,"Reported balance higher than expected (missing increase/OC build)","Reported balance lower than expected (missing decrease)"))))),""))</f>
        <v/>
      </c>
    </row>
    <row r="1234" customFormat="false" ht="15" hidden="false" customHeight="false" outlineLevel="0" collapsed="false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9"/>
      <c r="L1234" s="9"/>
      <c r="M1234" s="9"/>
      <c r="N1234" s="9"/>
      <c r="O1234" s="9"/>
      <c r="P1234" s="9"/>
      <c r="Q1234" s="9"/>
      <c r="R1234" s="9" t="str">
        <f aca="false">IF(AND(A1234&lt;&gt;"",ISNUMBER(Q1234),ISNUMBER(L1234)),ROUND(Q1234-IF(ISNUMBER(N1234),N1234,0)-IF(ISNUMBER(O1234),O1234,0)+IF(ISNUMBER(P1234),P1234,0),2),"")</f>
        <v/>
      </c>
      <c r="S1234" s="9" t="str">
        <f aca="false">IF(R1234="","",ROUND(L1234-R1234,2))</f>
        <v/>
      </c>
      <c r="T1234" s="8" t="str">
        <f aca="false">IF(A1234="","",IF(S1234="","BYPASS",IF(ABS(S1234)&lt;=Summary!$B$2,"PASS","FAIL")))</f>
        <v/>
      </c>
      <c r="U1234" s="8" t="str">
        <f aca="false">IF(T1234="BYPASS",IF(NOT(ISNUMBER(Q1234)),"PreV_ETB missing","End_tr_balance missing"),IF(T1234="FAIL",IF(AND(ISNUMBER(K1234),ISNUMBER(L1234),ABS(L1234-(K1234-IF(ISNUMBER(N1234),N1234,0)-IF(ISNUMBER(O1234),O1234,0)+IF(ISNUMBER(P1234),P1234,0)))&lt;=Summary!$B$2),"Passes using beginning_balance - PreV_ETB differs from beginning_balance",IF(AND(ISNUMBER(O1234),O1234&lt;0,ABS(L1234-(Q1234-IF(ISNUMBER(N1234),N1234,0)+IF(ISNUMBER(P1234),P1234,0)))&lt;=Summary!$B$2),"Negative realized loss not applied - check sign",IF(R1234&lt;0,"Principal paid exceeds prior balance",IF(AND(L1234&gt;Q1234,NOT(ISNUMBER(P1234))),"Balance increased but no Deferred_interest reported",IF(L1234&gt;R1234,"Reported balance higher than expected (missing increase/OC build)","Reported balance lower than expected (missing decrease)"))))),""))</f>
        <v/>
      </c>
    </row>
    <row r="1235" customFormat="false" ht="15" hidden="false" customHeight="false" outlineLevel="0" collapsed="false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9"/>
      <c r="L1235" s="9"/>
      <c r="M1235" s="9"/>
      <c r="N1235" s="9"/>
      <c r="O1235" s="9"/>
      <c r="P1235" s="9"/>
      <c r="Q1235" s="9"/>
      <c r="R1235" s="9" t="str">
        <f aca="false">IF(AND(A1235&lt;&gt;"",ISNUMBER(Q1235),ISNUMBER(L1235)),ROUND(Q1235-IF(ISNUMBER(N1235),N1235,0)-IF(ISNUMBER(O1235),O1235,0)+IF(ISNUMBER(P1235),P1235,0),2),"")</f>
        <v/>
      </c>
      <c r="S1235" s="9" t="str">
        <f aca="false">IF(R1235="","",ROUND(L1235-R1235,2))</f>
        <v/>
      </c>
      <c r="T1235" s="8" t="str">
        <f aca="false">IF(A1235="","",IF(S1235="","BYPASS",IF(ABS(S1235)&lt;=Summary!$B$2,"PASS","FAIL")))</f>
        <v/>
      </c>
      <c r="U1235" s="8" t="str">
        <f aca="false">IF(T1235="BYPASS",IF(NOT(ISNUMBER(Q1235)),"PreV_ETB missing","End_tr_balance missing"),IF(T1235="FAIL",IF(AND(ISNUMBER(K1235),ISNUMBER(L1235),ABS(L1235-(K1235-IF(ISNUMBER(N1235),N1235,0)-IF(ISNUMBER(O1235),O1235,0)+IF(ISNUMBER(P1235),P1235,0)))&lt;=Summary!$B$2),"Passes using beginning_balance - PreV_ETB differs from beginning_balance",IF(AND(ISNUMBER(O1235),O1235&lt;0,ABS(L1235-(Q1235-IF(ISNUMBER(N1235),N1235,0)+IF(ISNUMBER(P1235),P1235,0)))&lt;=Summary!$B$2),"Negative realized loss not applied - check sign",IF(R1235&lt;0,"Principal paid exceeds prior balance",IF(AND(L1235&gt;Q1235,NOT(ISNUMBER(P1235))),"Balance increased but no Deferred_interest reported",IF(L1235&gt;R1235,"Reported balance higher than expected (missing increase/OC build)","Reported balance lower than expected (missing decrease)"))))),""))</f>
        <v/>
      </c>
    </row>
    <row r="1236" customFormat="false" ht="15" hidden="false" customHeight="false" outlineLevel="0" collapsed="false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9"/>
      <c r="L1236" s="9"/>
      <c r="M1236" s="9"/>
      <c r="N1236" s="9"/>
      <c r="O1236" s="9"/>
      <c r="P1236" s="9"/>
      <c r="Q1236" s="9"/>
      <c r="R1236" s="9" t="str">
        <f aca="false">IF(AND(A1236&lt;&gt;"",ISNUMBER(Q1236),ISNUMBER(L1236)),ROUND(Q1236-IF(ISNUMBER(N1236),N1236,0)-IF(ISNUMBER(O1236),O1236,0)+IF(ISNUMBER(P1236),P1236,0),2),"")</f>
        <v/>
      </c>
      <c r="S1236" s="9" t="str">
        <f aca="false">IF(R1236="","",ROUND(L1236-R1236,2))</f>
        <v/>
      </c>
      <c r="T1236" s="8" t="str">
        <f aca="false">IF(A1236="","",IF(S1236="","BYPASS",IF(ABS(S1236)&lt;=Summary!$B$2,"PASS","FAIL")))</f>
        <v/>
      </c>
      <c r="U1236" s="8" t="str">
        <f aca="false">IF(T1236="BYPASS",IF(NOT(ISNUMBER(Q1236)),"PreV_ETB missing","End_tr_balance missing"),IF(T1236="FAIL",IF(AND(ISNUMBER(K1236),ISNUMBER(L1236),ABS(L1236-(K1236-IF(ISNUMBER(N1236),N1236,0)-IF(ISNUMBER(O1236),O1236,0)+IF(ISNUMBER(P1236),P1236,0)))&lt;=Summary!$B$2),"Passes using beginning_balance - PreV_ETB differs from beginning_balance",IF(AND(ISNUMBER(O1236),O1236&lt;0,ABS(L1236-(Q1236-IF(ISNUMBER(N1236),N1236,0)+IF(ISNUMBER(P1236),P1236,0)))&lt;=Summary!$B$2),"Negative realized loss not applied - check sign",IF(R1236&lt;0,"Principal paid exceeds prior balance",IF(AND(L1236&gt;Q1236,NOT(ISNUMBER(P1236))),"Balance increased but no Deferred_interest reported",IF(L1236&gt;R1236,"Reported balance higher than expected (missing increase/OC build)","Reported balance lower than expected (missing decrease)"))))),""))</f>
        <v/>
      </c>
    </row>
    <row r="1237" customFormat="false" ht="15" hidden="false" customHeight="false" outlineLevel="0" collapsed="false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9"/>
      <c r="L1237" s="9"/>
      <c r="M1237" s="9"/>
      <c r="N1237" s="9"/>
      <c r="O1237" s="9"/>
      <c r="P1237" s="9"/>
      <c r="Q1237" s="9"/>
      <c r="R1237" s="9" t="str">
        <f aca="false">IF(AND(A1237&lt;&gt;"",ISNUMBER(Q1237),ISNUMBER(L1237)),ROUND(Q1237-IF(ISNUMBER(N1237),N1237,0)-IF(ISNUMBER(O1237),O1237,0)+IF(ISNUMBER(P1237),P1237,0),2),"")</f>
        <v/>
      </c>
      <c r="S1237" s="9" t="str">
        <f aca="false">IF(R1237="","",ROUND(L1237-R1237,2))</f>
        <v/>
      </c>
      <c r="T1237" s="8" t="str">
        <f aca="false">IF(A1237="","",IF(S1237="","BYPASS",IF(ABS(S1237)&lt;=Summary!$B$2,"PASS","FAIL")))</f>
        <v/>
      </c>
      <c r="U1237" s="8" t="str">
        <f aca="false">IF(T1237="BYPASS",IF(NOT(ISNUMBER(Q1237)),"PreV_ETB missing","End_tr_balance missing"),IF(T1237="FAIL",IF(AND(ISNUMBER(K1237),ISNUMBER(L1237),ABS(L1237-(K1237-IF(ISNUMBER(N1237),N1237,0)-IF(ISNUMBER(O1237),O1237,0)+IF(ISNUMBER(P1237),P1237,0)))&lt;=Summary!$B$2),"Passes using beginning_balance - PreV_ETB differs from beginning_balance",IF(AND(ISNUMBER(O1237),O1237&lt;0,ABS(L1237-(Q1237-IF(ISNUMBER(N1237),N1237,0)+IF(ISNUMBER(P1237),P1237,0)))&lt;=Summary!$B$2),"Negative realized loss not applied - check sign",IF(R1237&lt;0,"Principal paid exceeds prior balance",IF(AND(L1237&gt;Q1237,NOT(ISNUMBER(P1237))),"Balance increased but no Deferred_interest reported",IF(L1237&gt;R1237,"Reported balance higher than expected (missing increase/OC build)","Reported balance lower than expected (missing decrease)"))))),""))</f>
        <v/>
      </c>
    </row>
    <row r="1238" customFormat="false" ht="15" hidden="false" customHeight="false" outlineLevel="0" collapsed="false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9"/>
      <c r="L1238" s="9"/>
      <c r="M1238" s="9"/>
      <c r="N1238" s="9"/>
      <c r="O1238" s="9"/>
      <c r="P1238" s="9"/>
      <c r="Q1238" s="9"/>
      <c r="R1238" s="9" t="str">
        <f aca="false">IF(AND(A1238&lt;&gt;"",ISNUMBER(Q1238),ISNUMBER(L1238)),ROUND(Q1238-IF(ISNUMBER(N1238),N1238,0)-IF(ISNUMBER(O1238),O1238,0)+IF(ISNUMBER(P1238),P1238,0),2),"")</f>
        <v/>
      </c>
      <c r="S1238" s="9" t="str">
        <f aca="false">IF(R1238="","",ROUND(L1238-R1238,2))</f>
        <v/>
      </c>
      <c r="T1238" s="8" t="str">
        <f aca="false">IF(A1238="","",IF(S1238="","BYPASS",IF(ABS(S1238)&lt;=Summary!$B$2,"PASS","FAIL")))</f>
        <v/>
      </c>
      <c r="U1238" s="8" t="str">
        <f aca="false">IF(T1238="BYPASS",IF(NOT(ISNUMBER(Q1238)),"PreV_ETB missing","End_tr_balance missing"),IF(T1238="FAIL",IF(AND(ISNUMBER(K1238),ISNUMBER(L1238),ABS(L1238-(K1238-IF(ISNUMBER(N1238),N1238,0)-IF(ISNUMBER(O1238),O1238,0)+IF(ISNUMBER(P1238),P1238,0)))&lt;=Summary!$B$2),"Passes using beginning_balance - PreV_ETB differs from beginning_balance",IF(AND(ISNUMBER(O1238),O1238&lt;0,ABS(L1238-(Q1238-IF(ISNUMBER(N1238),N1238,0)+IF(ISNUMBER(P1238),P1238,0)))&lt;=Summary!$B$2),"Negative realized loss not applied - check sign",IF(R1238&lt;0,"Principal paid exceeds prior balance",IF(AND(L1238&gt;Q1238,NOT(ISNUMBER(P1238))),"Balance increased but no Deferred_interest reported",IF(L1238&gt;R1238,"Reported balance higher than expected (missing increase/OC build)","Reported balance lower than expected (missing decrease)"))))),""))</f>
        <v/>
      </c>
    </row>
    <row r="1239" customFormat="false" ht="15" hidden="false" customHeight="false" outlineLevel="0" collapsed="false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9"/>
      <c r="L1239" s="9"/>
      <c r="M1239" s="9"/>
      <c r="N1239" s="9"/>
      <c r="O1239" s="9"/>
      <c r="P1239" s="9"/>
      <c r="Q1239" s="9"/>
      <c r="R1239" s="9" t="str">
        <f aca="false">IF(AND(A1239&lt;&gt;"",ISNUMBER(Q1239),ISNUMBER(L1239)),ROUND(Q1239-IF(ISNUMBER(N1239),N1239,0)-IF(ISNUMBER(O1239),O1239,0)+IF(ISNUMBER(P1239),P1239,0),2),"")</f>
        <v/>
      </c>
      <c r="S1239" s="9" t="str">
        <f aca="false">IF(R1239="","",ROUND(L1239-R1239,2))</f>
        <v/>
      </c>
      <c r="T1239" s="8" t="str">
        <f aca="false">IF(A1239="","",IF(S1239="","BYPASS",IF(ABS(S1239)&lt;=Summary!$B$2,"PASS","FAIL")))</f>
        <v/>
      </c>
      <c r="U1239" s="8" t="str">
        <f aca="false">IF(T1239="BYPASS",IF(NOT(ISNUMBER(Q1239)),"PreV_ETB missing","End_tr_balance missing"),IF(T1239="FAIL",IF(AND(ISNUMBER(K1239),ISNUMBER(L1239),ABS(L1239-(K1239-IF(ISNUMBER(N1239),N1239,0)-IF(ISNUMBER(O1239),O1239,0)+IF(ISNUMBER(P1239),P1239,0)))&lt;=Summary!$B$2),"Passes using beginning_balance - PreV_ETB differs from beginning_balance",IF(AND(ISNUMBER(O1239),O1239&lt;0,ABS(L1239-(Q1239-IF(ISNUMBER(N1239),N1239,0)+IF(ISNUMBER(P1239),P1239,0)))&lt;=Summary!$B$2),"Negative realized loss not applied - check sign",IF(R1239&lt;0,"Principal paid exceeds prior balance",IF(AND(L1239&gt;Q1239,NOT(ISNUMBER(P1239))),"Balance increased but no Deferred_interest reported",IF(L1239&gt;R1239,"Reported balance higher than expected (missing increase/OC build)","Reported balance lower than expected (missing decrease)"))))),""))</f>
        <v/>
      </c>
    </row>
    <row r="1240" customFormat="false" ht="15" hidden="false" customHeight="false" outlineLevel="0" collapsed="false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9"/>
      <c r="L1240" s="9"/>
      <c r="M1240" s="9"/>
      <c r="N1240" s="9"/>
      <c r="O1240" s="9"/>
      <c r="P1240" s="9"/>
      <c r="Q1240" s="9"/>
      <c r="R1240" s="9" t="str">
        <f aca="false">IF(AND(A1240&lt;&gt;"",ISNUMBER(Q1240),ISNUMBER(L1240)),ROUND(Q1240-IF(ISNUMBER(N1240),N1240,0)-IF(ISNUMBER(O1240),O1240,0)+IF(ISNUMBER(P1240),P1240,0),2),"")</f>
        <v/>
      </c>
      <c r="S1240" s="9" t="str">
        <f aca="false">IF(R1240="","",ROUND(L1240-R1240,2))</f>
        <v/>
      </c>
      <c r="T1240" s="8" t="str">
        <f aca="false">IF(A1240="","",IF(S1240="","BYPASS",IF(ABS(S1240)&lt;=Summary!$B$2,"PASS","FAIL")))</f>
        <v/>
      </c>
      <c r="U1240" s="8" t="str">
        <f aca="false">IF(T1240="BYPASS",IF(NOT(ISNUMBER(Q1240)),"PreV_ETB missing","End_tr_balance missing"),IF(T1240="FAIL",IF(AND(ISNUMBER(K1240),ISNUMBER(L1240),ABS(L1240-(K1240-IF(ISNUMBER(N1240),N1240,0)-IF(ISNUMBER(O1240),O1240,0)+IF(ISNUMBER(P1240),P1240,0)))&lt;=Summary!$B$2),"Passes using beginning_balance - PreV_ETB differs from beginning_balance",IF(AND(ISNUMBER(O1240),O1240&lt;0,ABS(L1240-(Q1240-IF(ISNUMBER(N1240),N1240,0)+IF(ISNUMBER(P1240),P1240,0)))&lt;=Summary!$B$2),"Negative realized loss not applied - check sign",IF(R1240&lt;0,"Principal paid exceeds prior balance",IF(AND(L1240&gt;Q1240,NOT(ISNUMBER(P1240))),"Balance increased but no Deferred_interest reported",IF(L1240&gt;R1240,"Reported balance higher than expected (missing increase/OC build)","Reported balance lower than expected (missing decrease)"))))),""))</f>
        <v/>
      </c>
    </row>
    <row r="1241" customFormat="false" ht="15" hidden="false" customHeight="false" outlineLevel="0" collapsed="false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9"/>
      <c r="L1241" s="9"/>
      <c r="M1241" s="9"/>
      <c r="N1241" s="9"/>
      <c r="O1241" s="9"/>
      <c r="P1241" s="9"/>
      <c r="Q1241" s="9"/>
      <c r="R1241" s="9" t="str">
        <f aca="false">IF(AND(A1241&lt;&gt;"",ISNUMBER(Q1241),ISNUMBER(L1241)),ROUND(Q1241-IF(ISNUMBER(N1241),N1241,0)-IF(ISNUMBER(O1241),O1241,0)+IF(ISNUMBER(P1241),P1241,0),2),"")</f>
        <v/>
      </c>
      <c r="S1241" s="9" t="str">
        <f aca="false">IF(R1241="","",ROUND(L1241-R1241,2))</f>
        <v/>
      </c>
      <c r="T1241" s="8" t="str">
        <f aca="false">IF(A1241="","",IF(S1241="","BYPASS",IF(ABS(S1241)&lt;=Summary!$B$2,"PASS","FAIL")))</f>
        <v/>
      </c>
      <c r="U1241" s="8" t="str">
        <f aca="false">IF(T1241="BYPASS",IF(NOT(ISNUMBER(Q1241)),"PreV_ETB missing","End_tr_balance missing"),IF(T1241="FAIL",IF(AND(ISNUMBER(K1241),ISNUMBER(L1241),ABS(L1241-(K1241-IF(ISNUMBER(N1241),N1241,0)-IF(ISNUMBER(O1241),O1241,0)+IF(ISNUMBER(P1241),P1241,0)))&lt;=Summary!$B$2),"Passes using beginning_balance - PreV_ETB differs from beginning_balance",IF(AND(ISNUMBER(O1241),O1241&lt;0,ABS(L1241-(Q1241-IF(ISNUMBER(N1241),N1241,0)+IF(ISNUMBER(P1241),P1241,0)))&lt;=Summary!$B$2),"Negative realized loss not applied - check sign",IF(R1241&lt;0,"Principal paid exceeds prior balance",IF(AND(L1241&gt;Q1241,NOT(ISNUMBER(P1241))),"Balance increased but no Deferred_interest reported",IF(L1241&gt;R1241,"Reported balance higher than expected (missing increase/OC build)","Reported balance lower than expected (missing decrease)"))))),""))</f>
        <v/>
      </c>
    </row>
    <row r="1242" customFormat="false" ht="15" hidden="false" customHeight="false" outlineLevel="0" collapsed="false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9"/>
      <c r="L1242" s="9"/>
      <c r="M1242" s="9"/>
      <c r="N1242" s="9"/>
      <c r="O1242" s="9"/>
      <c r="P1242" s="9"/>
      <c r="Q1242" s="9"/>
      <c r="R1242" s="9" t="str">
        <f aca="false">IF(AND(A1242&lt;&gt;"",ISNUMBER(Q1242),ISNUMBER(L1242)),ROUND(Q1242-IF(ISNUMBER(N1242),N1242,0)-IF(ISNUMBER(O1242),O1242,0)+IF(ISNUMBER(P1242),P1242,0),2),"")</f>
        <v/>
      </c>
      <c r="S1242" s="9" t="str">
        <f aca="false">IF(R1242="","",ROUND(L1242-R1242,2))</f>
        <v/>
      </c>
      <c r="T1242" s="8" t="str">
        <f aca="false">IF(A1242="","",IF(S1242="","BYPASS",IF(ABS(S1242)&lt;=Summary!$B$2,"PASS","FAIL")))</f>
        <v/>
      </c>
      <c r="U1242" s="8" t="str">
        <f aca="false">IF(T1242="BYPASS",IF(NOT(ISNUMBER(Q1242)),"PreV_ETB missing","End_tr_balance missing"),IF(T1242="FAIL",IF(AND(ISNUMBER(K1242),ISNUMBER(L1242),ABS(L1242-(K1242-IF(ISNUMBER(N1242),N1242,0)-IF(ISNUMBER(O1242),O1242,0)+IF(ISNUMBER(P1242),P1242,0)))&lt;=Summary!$B$2),"Passes using beginning_balance - PreV_ETB differs from beginning_balance",IF(AND(ISNUMBER(O1242),O1242&lt;0,ABS(L1242-(Q1242-IF(ISNUMBER(N1242),N1242,0)+IF(ISNUMBER(P1242),P1242,0)))&lt;=Summary!$B$2),"Negative realized loss not applied - check sign",IF(R1242&lt;0,"Principal paid exceeds prior balance",IF(AND(L1242&gt;Q1242,NOT(ISNUMBER(P1242))),"Balance increased but no Deferred_interest reported",IF(L1242&gt;R1242,"Reported balance higher than expected (missing increase/OC build)","Reported balance lower than expected (missing decrease)"))))),""))</f>
        <v/>
      </c>
    </row>
    <row r="1243" customFormat="false" ht="15" hidden="false" customHeight="false" outlineLevel="0" collapsed="false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9"/>
      <c r="L1243" s="9"/>
      <c r="M1243" s="9"/>
      <c r="N1243" s="9"/>
      <c r="O1243" s="9"/>
      <c r="P1243" s="9"/>
      <c r="Q1243" s="9"/>
      <c r="R1243" s="9" t="str">
        <f aca="false">IF(AND(A1243&lt;&gt;"",ISNUMBER(Q1243),ISNUMBER(L1243)),ROUND(Q1243-IF(ISNUMBER(N1243),N1243,0)-IF(ISNUMBER(O1243),O1243,0)+IF(ISNUMBER(P1243),P1243,0),2),"")</f>
        <v/>
      </c>
      <c r="S1243" s="9" t="str">
        <f aca="false">IF(R1243="","",ROUND(L1243-R1243,2))</f>
        <v/>
      </c>
      <c r="T1243" s="8" t="str">
        <f aca="false">IF(A1243="","",IF(S1243="","BYPASS",IF(ABS(S1243)&lt;=Summary!$B$2,"PASS","FAIL")))</f>
        <v/>
      </c>
      <c r="U1243" s="8" t="str">
        <f aca="false">IF(T1243="BYPASS",IF(NOT(ISNUMBER(Q1243)),"PreV_ETB missing","End_tr_balance missing"),IF(T1243="FAIL",IF(AND(ISNUMBER(K1243),ISNUMBER(L1243),ABS(L1243-(K1243-IF(ISNUMBER(N1243),N1243,0)-IF(ISNUMBER(O1243),O1243,0)+IF(ISNUMBER(P1243),P1243,0)))&lt;=Summary!$B$2),"Passes using beginning_balance - PreV_ETB differs from beginning_balance",IF(AND(ISNUMBER(O1243),O1243&lt;0,ABS(L1243-(Q1243-IF(ISNUMBER(N1243),N1243,0)+IF(ISNUMBER(P1243),P1243,0)))&lt;=Summary!$B$2),"Negative realized loss not applied - check sign",IF(R1243&lt;0,"Principal paid exceeds prior balance",IF(AND(L1243&gt;Q1243,NOT(ISNUMBER(P1243))),"Balance increased but no Deferred_interest reported",IF(L1243&gt;R1243,"Reported balance higher than expected (missing increase/OC build)","Reported balance lower than expected (missing decrease)"))))),""))</f>
        <v/>
      </c>
    </row>
    <row r="1244" customFormat="false" ht="15" hidden="false" customHeight="false" outlineLevel="0" collapsed="false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9"/>
      <c r="L1244" s="9"/>
      <c r="M1244" s="9"/>
      <c r="N1244" s="9"/>
      <c r="O1244" s="9"/>
      <c r="P1244" s="9"/>
      <c r="Q1244" s="9"/>
      <c r="R1244" s="9" t="str">
        <f aca="false">IF(AND(A1244&lt;&gt;"",ISNUMBER(Q1244),ISNUMBER(L1244)),ROUND(Q1244-IF(ISNUMBER(N1244),N1244,0)-IF(ISNUMBER(O1244),O1244,0)+IF(ISNUMBER(P1244),P1244,0),2),"")</f>
        <v/>
      </c>
      <c r="S1244" s="9" t="str">
        <f aca="false">IF(R1244="","",ROUND(L1244-R1244,2))</f>
        <v/>
      </c>
      <c r="T1244" s="8" t="str">
        <f aca="false">IF(A1244="","",IF(S1244="","BYPASS",IF(ABS(S1244)&lt;=Summary!$B$2,"PASS","FAIL")))</f>
        <v/>
      </c>
      <c r="U1244" s="8" t="str">
        <f aca="false">IF(T1244="BYPASS",IF(NOT(ISNUMBER(Q1244)),"PreV_ETB missing","End_tr_balance missing"),IF(T1244="FAIL",IF(AND(ISNUMBER(K1244),ISNUMBER(L1244),ABS(L1244-(K1244-IF(ISNUMBER(N1244),N1244,0)-IF(ISNUMBER(O1244),O1244,0)+IF(ISNUMBER(P1244),P1244,0)))&lt;=Summary!$B$2),"Passes using beginning_balance - PreV_ETB differs from beginning_balance",IF(AND(ISNUMBER(O1244),O1244&lt;0,ABS(L1244-(Q1244-IF(ISNUMBER(N1244),N1244,0)+IF(ISNUMBER(P1244),P1244,0)))&lt;=Summary!$B$2),"Negative realized loss not applied - check sign",IF(R1244&lt;0,"Principal paid exceeds prior balance",IF(AND(L1244&gt;Q1244,NOT(ISNUMBER(P1244))),"Balance increased but no Deferred_interest reported",IF(L1244&gt;R1244,"Reported balance higher than expected (missing increase/OC build)","Reported balance lower than expected (missing decrease)"))))),""))</f>
        <v/>
      </c>
    </row>
    <row r="1245" customFormat="false" ht="15" hidden="false" customHeight="false" outlineLevel="0" collapsed="false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9"/>
      <c r="L1245" s="9"/>
      <c r="M1245" s="9"/>
      <c r="N1245" s="9"/>
      <c r="O1245" s="9"/>
      <c r="P1245" s="9"/>
      <c r="Q1245" s="9"/>
      <c r="R1245" s="9" t="str">
        <f aca="false">IF(AND(A1245&lt;&gt;"",ISNUMBER(Q1245),ISNUMBER(L1245)),ROUND(Q1245-IF(ISNUMBER(N1245),N1245,0)-IF(ISNUMBER(O1245),O1245,0)+IF(ISNUMBER(P1245),P1245,0),2),"")</f>
        <v/>
      </c>
      <c r="S1245" s="9" t="str">
        <f aca="false">IF(R1245="","",ROUND(L1245-R1245,2))</f>
        <v/>
      </c>
      <c r="T1245" s="8" t="str">
        <f aca="false">IF(A1245="","",IF(S1245="","BYPASS",IF(ABS(S1245)&lt;=Summary!$B$2,"PASS","FAIL")))</f>
        <v/>
      </c>
      <c r="U1245" s="8" t="str">
        <f aca="false">IF(T1245="BYPASS",IF(NOT(ISNUMBER(Q1245)),"PreV_ETB missing","End_tr_balance missing"),IF(T1245="FAIL",IF(AND(ISNUMBER(K1245),ISNUMBER(L1245),ABS(L1245-(K1245-IF(ISNUMBER(N1245),N1245,0)-IF(ISNUMBER(O1245),O1245,0)+IF(ISNUMBER(P1245),P1245,0)))&lt;=Summary!$B$2),"Passes using beginning_balance - PreV_ETB differs from beginning_balance",IF(AND(ISNUMBER(O1245),O1245&lt;0,ABS(L1245-(Q1245-IF(ISNUMBER(N1245),N1245,0)+IF(ISNUMBER(P1245),P1245,0)))&lt;=Summary!$B$2),"Negative realized loss not applied - check sign",IF(R1245&lt;0,"Principal paid exceeds prior balance",IF(AND(L1245&gt;Q1245,NOT(ISNUMBER(P1245))),"Balance increased but no Deferred_interest reported",IF(L1245&gt;R1245,"Reported balance higher than expected (missing increase/OC build)","Reported balance lower than expected (missing decrease)"))))),""))</f>
        <v/>
      </c>
    </row>
    <row r="1246" customFormat="false" ht="15" hidden="false" customHeight="false" outlineLevel="0" collapsed="false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9"/>
      <c r="L1246" s="9"/>
      <c r="M1246" s="9"/>
      <c r="N1246" s="9"/>
      <c r="O1246" s="9"/>
      <c r="P1246" s="9"/>
      <c r="Q1246" s="9"/>
      <c r="R1246" s="9" t="str">
        <f aca="false">IF(AND(A1246&lt;&gt;"",ISNUMBER(Q1246),ISNUMBER(L1246)),ROUND(Q1246-IF(ISNUMBER(N1246),N1246,0)-IF(ISNUMBER(O1246),O1246,0)+IF(ISNUMBER(P1246),P1246,0),2),"")</f>
        <v/>
      </c>
      <c r="S1246" s="9" t="str">
        <f aca="false">IF(R1246="","",ROUND(L1246-R1246,2))</f>
        <v/>
      </c>
      <c r="T1246" s="8" t="str">
        <f aca="false">IF(A1246="","",IF(S1246="","BYPASS",IF(ABS(S1246)&lt;=Summary!$B$2,"PASS","FAIL")))</f>
        <v/>
      </c>
      <c r="U1246" s="8" t="str">
        <f aca="false">IF(T1246="BYPASS",IF(NOT(ISNUMBER(Q1246)),"PreV_ETB missing","End_tr_balance missing"),IF(T1246="FAIL",IF(AND(ISNUMBER(K1246),ISNUMBER(L1246),ABS(L1246-(K1246-IF(ISNUMBER(N1246),N1246,0)-IF(ISNUMBER(O1246),O1246,0)+IF(ISNUMBER(P1246),P1246,0)))&lt;=Summary!$B$2),"Passes using beginning_balance - PreV_ETB differs from beginning_balance",IF(AND(ISNUMBER(O1246),O1246&lt;0,ABS(L1246-(Q1246-IF(ISNUMBER(N1246),N1246,0)+IF(ISNUMBER(P1246),P1246,0)))&lt;=Summary!$B$2),"Negative realized loss not applied - check sign",IF(R1246&lt;0,"Principal paid exceeds prior balance",IF(AND(L1246&gt;Q1246,NOT(ISNUMBER(P1246))),"Balance increased but no Deferred_interest reported",IF(L1246&gt;R1246,"Reported balance higher than expected (missing increase/OC build)","Reported balance lower than expected (missing decrease)"))))),""))</f>
        <v/>
      </c>
    </row>
    <row r="1247" customFormat="false" ht="15" hidden="false" customHeight="false" outlineLevel="0" collapsed="false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9"/>
      <c r="L1247" s="9"/>
      <c r="M1247" s="9"/>
      <c r="N1247" s="9"/>
      <c r="O1247" s="9"/>
      <c r="P1247" s="9"/>
      <c r="Q1247" s="9"/>
      <c r="R1247" s="9" t="str">
        <f aca="false">IF(AND(A1247&lt;&gt;"",ISNUMBER(Q1247),ISNUMBER(L1247)),ROUND(Q1247-IF(ISNUMBER(N1247),N1247,0)-IF(ISNUMBER(O1247),O1247,0)+IF(ISNUMBER(P1247),P1247,0),2),"")</f>
        <v/>
      </c>
      <c r="S1247" s="9" t="str">
        <f aca="false">IF(R1247="","",ROUND(L1247-R1247,2))</f>
        <v/>
      </c>
      <c r="T1247" s="8" t="str">
        <f aca="false">IF(A1247="","",IF(S1247="","BYPASS",IF(ABS(S1247)&lt;=Summary!$B$2,"PASS","FAIL")))</f>
        <v/>
      </c>
      <c r="U1247" s="8" t="str">
        <f aca="false">IF(T1247="BYPASS",IF(NOT(ISNUMBER(Q1247)),"PreV_ETB missing","End_tr_balance missing"),IF(T1247="FAIL",IF(AND(ISNUMBER(K1247),ISNUMBER(L1247),ABS(L1247-(K1247-IF(ISNUMBER(N1247),N1247,0)-IF(ISNUMBER(O1247),O1247,0)+IF(ISNUMBER(P1247),P1247,0)))&lt;=Summary!$B$2),"Passes using beginning_balance - PreV_ETB differs from beginning_balance",IF(AND(ISNUMBER(O1247),O1247&lt;0,ABS(L1247-(Q1247-IF(ISNUMBER(N1247),N1247,0)+IF(ISNUMBER(P1247),P1247,0)))&lt;=Summary!$B$2),"Negative realized loss not applied - check sign",IF(R1247&lt;0,"Principal paid exceeds prior balance",IF(AND(L1247&gt;Q1247,NOT(ISNUMBER(P1247))),"Balance increased but no Deferred_interest reported",IF(L1247&gt;R1247,"Reported balance higher than expected (missing increase/OC build)","Reported balance lower than expected (missing decrease)"))))),""))</f>
        <v/>
      </c>
    </row>
    <row r="1248" customFormat="false" ht="15" hidden="false" customHeight="false" outlineLevel="0" collapsed="false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9"/>
      <c r="L1248" s="9"/>
      <c r="M1248" s="9"/>
      <c r="N1248" s="9"/>
      <c r="O1248" s="9"/>
      <c r="P1248" s="9"/>
      <c r="Q1248" s="9"/>
      <c r="R1248" s="9" t="str">
        <f aca="false">IF(AND(A1248&lt;&gt;"",ISNUMBER(Q1248),ISNUMBER(L1248)),ROUND(Q1248-IF(ISNUMBER(N1248),N1248,0)-IF(ISNUMBER(O1248),O1248,0)+IF(ISNUMBER(P1248),P1248,0),2),"")</f>
        <v/>
      </c>
      <c r="S1248" s="9" t="str">
        <f aca="false">IF(R1248="","",ROUND(L1248-R1248,2))</f>
        <v/>
      </c>
      <c r="T1248" s="8" t="str">
        <f aca="false">IF(A1248="","",IF(S1248="","BYPASS",IF(ABS(S1248)&lt;=Summary!$B$2,"PASS","FAIL")))</f>
        <v/>
      </c>
      <c r="U1248" s="8" t="str">
        <f aca="false">IF(T1248="BYPASS",IF(NOT(ISNUMBER(Q1248)),"PreV_ETB missing","End_tr_balance missing"),IF(T1248="FAIL",IF(AND(ISNUMBER(K1248),ISNUMBER(L1248),ABS(L1248-(K1248-IF(ISNUMBER(N1248),N1248,0)-IF(ISNUMBER(O1248),O1248,0)+IF(ISNUMBER(P1248),P1248,0)))&lt;=Summary!$B$2),"Passes using beginning_balance - PreV_ETB differs from beginning_balance",IF(AND(ISNUMBER(O1248),O1248&lt;0,ABS(L1248-(Q1248-IF(ISNUMBER(N1248),N1248,0)+IF(ISNUMBER(P1248),P1248,0)))&lt;=Summary!$B$2),"Negative realized loss not applied - check sign",IF(R1248&lt;0,"Principal paid exceeds prior balance",IF(AND(L1248&gt;Q1248,NOT(ISNUMBER(P1248))),"Balance increased but no Deferred_interest reported",IF(L1248&gt;R1248,"Reported balance higher than expected (missing increase/OC build)","Reported balance lower than expected (missing decrease)"))))),""))</f>
        <v/>
      </c>
    </row>
    <row r="1249" customFormat="false" ht="15" hidden="false" customHeight="false" outlineLevel="0" collapsed="false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9"/>
      <c r="L1249" s="9"/>
      <c r="M1249" s="9"/>
      <c r="N1249" s="9"/>
      <c r="O1249" s="9"/>
      <c r="P1249" s="9"/>
      <c r="Q1249" s="9"/>
      <c r="R1249" s="9" t="str">
        <f aca="false">IF(AND(A1249&lt;&gt;"",ISNUMBER(Q1249),ISNUMBER(L1249)),ROUND(Q1249-IF(ISNUMBER(N1249),N1249,0)-IF(ISNUMBER(O1249),O1249,0)+IF(ISNUMBER(P1249),P1249,0),2),"")</f>
        <v/>
      </c>
      <c r="S1249" s="9" t="str">
        <f aca="false">IF(R1249="","",ROUND(L1249-R1249,2))</f>
        <v/>
      </c>
      <c r="T1249" s="8" t="str">
        <f aca="false">IF(A1249="","",IF(S1249="","BYPASS",IF(ABS(S1249)&lt;=Summary!$B$2,"PASS","FAIL")))</f>
        <v/>
      </c>
      <c r="U1249" s="8" t="str">
        <f aca="false">IF(T1249="BYPASS",IF(NOT(ISNUMBER(Q1249)),"PreV_ETB missing","End_tr_balance missing"),IF(T1249="FAIL",IF(AND(ISNUMBER(K1249),ISNUMBER(L1249),ABS(L1249-(K1249-IF(ISNUMBER(N1249),N1249,0)-IF(ISNUMBER(O1249),O1249,0)+IF(ISNUMBER(P1249),P1249,0)))&lt;=Summary!$B$2),"Passes using beginning_balance - PreV_ETB differs from beginning_balance",IF(AND(ISNUMBER(O1249),O1249&lt;0,ABS(L1249-(Q1249-IF(ISNUMBER(N1249),N1249,0)+IF(ISNUMBER(P1249),P1249,0)))&lt;=Summary!$B$2),"Negative realized loss not applied - check sign",IF(R1249&lt;0,"Principal paid exceeds prior balance",IF(AND(L1249&gt;Q1249,NOT(ISNUMBER(P1249))),"Balance increased but no Deferred_interest reported",IF(L1249&gt;R1249,"Reported balance higher than expected (missing increase/OC build)","Reported balance lower than expected (missing decrease)"))))),""))</f>
        <v/>
      </c>
    </row>
    <row r="1250" customFormat="false" ht="15" hidden="false" customHeight="false" outlineLevel="0" collapsed="false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9"/>
      <c r="L1250" s="9"/>
      <c r="M1250" s="9"/>
      <c r="N1250" s="9"/>
      <c r="O1250" s="9"/>
      <c r="P1250" s="9"/>
      <c r="Q1250" s="9"/>
      <c r="R1250" s="9" t="str">
        <f aca="false">IF(AND(A1250&lt;&gt;"",ISNUMBER(Q1250),ISNUMBER(L1250)),ROUND(Q1250-IF(ISNUMBER(N1250),N1250,0)-IF(ISNUMBER(O1250),O1250,0)+IF(ISNUMBER(P1250),P1250,0),2),"")</f>
        <v/>
      </c>
      <c r="S1250" s="9" t="str">
        <f aca="false">IF(R1250="","",ROUND(L1250-R1250,2))</f>
        <v/>
      </c>
      <c r="T1250" s="8" t="str">
        <f aca="false">IF(A1250="","",IF(S1250="","BYPASS",IF(ABS(S1250)&lt;=Summary!$B$2,"PASS","FAIL")))</f>
        <v/>
      </c>
      <c r="U1250" s="8" t="str">
        <f aca="false">IF(T1250="BYPASS",IF(NOT(ISNUMBER(Q1250)),"PreV_ETB missing","End_tr_balance missing"),IF(T1250="FAIL",IF(AND(ISNUMBER(K1250),ISNUMBER(L1250),ABS(L1250-(K1250-IF(ISNUMBER(N1250),N1250,0)-IF(ISNUMBER(O1250),O1250,0)+IF(ISNUMBER(P1250),P1250,0)))&lt;=Summary!$B$2),"Passes using beginning_balance - PreV_ETB differs from beginning_balance",IF(AND(ISNUMBER(O1250),O1250&lt;0,ABS(L1250-(Q1250-IF(ISNUMBER(N1250),N1250,0)+IF(ISNUMBER(P1250),P1250,0)))&lt;=Summary!$B$2),"Negative realized loss not applied - check sign",IF(R1250&lt;0,"Principal paid exceeds prior balance",IF(AND(L1250&gt;Q1250,NOT(ISNUMBER(P1250))),"Balance increased but no Deferred_interest reported",IF(L1250&gt;R1250,"Reported balance higher than expected (missing increase/OC build)","Reported balance lower than expected (missing decrease)"))))),""))</f>
        <v/>
      </c>
    </row>
    <row r="1251" customFormat="false" ht="15" hidden="false" customHeight="false" outlineLevel="0" collapsed="false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9"/>
      <c r="L1251" s="9"/>
      <c r="M1251" s="9"/>
      <c r="N1251" s="9"/>
      <c r="O1251" s="9"/>
      <c r="P1251" s="9"/>
      <c r="Q1251" s="9"/>
      <c r="R1251" s="9" t="str">
        <f aca="false">IF(AND(A1251&lt;&gt;"",ISNUMBER(Q1251),ISNUMBER(L1251)),ROUND(Q1251-IF(ISNUMBER(N1251),N1251,0)-IF(ISNUMBER(O1251),O1251,0)+IF(ISNUMBER(P1251),P1251,0),2),"")</f>
        <v/>
      </c>
      <c r="S1251" s="9" t="str">
        <f aca="false">IF(R1251="","",ROUND(L1251-R1251,2))</f>
        <v/>
      </c>
      <c r="T1251" s="8" t="str">
        <f aca="false">IF(A1251="","",IF(S1251="","BYPASS",IF(ABS(S1251)&lt;=Summary!$B$2,"PASS","FAIL")))</f>
        <v/>
      </c>
      <c r="U1251" s="8" t="str">
        <f aca="false">IF(T1251="BYPASS",IF(NOT(ISNUMBER(Q1251)),"PreV_ETB missing","End_tr_balance missing"),IF(T1251="FAIL",IF(AND(ISNUMBER(K1251),ISNUMBER(L1251),ABS(L1251-(K1251-IF(ISNUMBER(N1251),N1251,0)-IF(ISNUMBER(O1251),O1251,0)+IF(ISNUMBER(P1251),P1251,0)))&lt;=Summary!$B$2),"Passes using beginning_balance - PreV_ETB differs from beginning_balance",IF(AND(ISNUMBER(O1251),O1251&lt;0,ABS(L1251-(Q1251-IF(ISNUMBER(N1251),N1251,0)+IF(ISNUMBER(P1251),P1251,0)))&lt;=Summary!$B$2),"Negative realized loss not applied - check sign",IF(R1251&lt;0,"Principal paid exceeds prior balance",IF(AND(L1251&gt;Q1251,NOT(ISNUMBER(P1251))),"Balance increased but no Deferred_interest reported",IF(L1251&gt;R1251,"Reported balance higher than expected (missing increase/OC build)","Reported balance lower than expected (missing decrease)"))))),""))</f>
        <v/>
      </c>
    </row>
    <row r="1252" customFormat="false" ht="15" hidden="false" customHeight="false" outlineLevel="0" collapsed="false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9"/>
      <c r="L1252" s="9"/>
      <c r="M1252" s="9"/>
      <c r="N1252" s="9"/>
      <c r="O1252" s="9"/>
      <c r="P1252" s="9"/>
      <c r="Q1252" s="9"/>
      <c r="R1252" s="9" t="str">
        <f aca="false">IF(AND(A1252&lt;&gt;"",ISNUMBER(Q1252),ISNUMBER(L1252)),ROUND(Q1252-IF(ISNUMBER(N1252),N1252,0)-IF(ISNUMBER(O1252),O1252,0)+IF(ISNUMBER(P1252),P1252,0),2),"")</f>
        <v/>
      </c>
      <c r="S1252" s="9" t="str">
        <f aca="false">IF(R1252="","",ROUND(L1252-R1252,2))</f>
        <v/>
      </c>
      <c r="T1252" s="8" t="str">
        <f aca="false">IF(A1252="","",IF(S1252="","BYPASS",IF(ABS(S1252)&lt;=Summary!$B$2,"PASS","FAIL")))</f>
        <v/>
      </c>
      <c r="U1252" s="8" t="str">
        <f aca="false">IF(T1252="BYPASS",IF(NOT(ISNUMBER(Q1252)),"PreV_ETB missing","End_tr_balance missing"),IF(T1252="FAIL",IF(AND(ISNUMBER(K1252),ISNUMBER(L1252),ABS(L1252-(K1252-IF(ISNUMBER(N1252),N1252,0)-IF(ISNUMBER(O1252),O1252,0)+IF(ISNUMBER(P1252),P1252,0)))&lt;=Summary!$B$2),"Passes using beginning_balance - PreV_ETB differs from beginning_balance",IF(AND(ISNUMBER(O1252),O1252&lt;0,ABS(L1252-(Q1252-IF(ISNUMBER(N1252),N1252,0)+IF(ISNUMBER(P1252),P1252,0)))&lt;=Summary!$B$2),"Negative realized loss not applied - check sign",IF(R1252&lt;0,"Principal paid exceeds prior balance",IF(AND(L1252&gt;Q1252,NOT(ISNUMBER(P1252))),"Balance increased but no Deferred_interest reported",IF(L1252&gt;R1252,"Reported balance higher than expected (missing increase/OC build)","Reported balance lower than expected (missing decrease)"))))),""))</f>
        <v/>
      </c>
    </row>
    <row r="1253" customFormat="false" ht="15" hidden="false" customHeight="false" outlineLevel="0" collapsed="false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9"/>
      <c r="L1253" s="9"/>
      <c r="M1253" s="9"/>
      <c r="N1253" s="9"/>
      <c r="O1253" s="9"/>
      <c r="P1253" s="9"/>
      <c r="Q1253" s="9"/>
      <c r="R1253" s="9" t="str">
        <f aca="false">IF(AND(A1253&lt;&gt;"",ISNUMBER(Q1253),ISNUMBER(L1253)),ROUND(Q1253-IF(ISNUMBER(N1253),N1253,0)-IF(ISNUMBER(O1253),O1253,0)+IF(ISNUMBER(P1253),P1253,0),2),"")</f>
        <v/>
      </c>
      <c r="S1253" s="9" t="str">
        <f aca="false">IF(R1253="","",ROUND(L1253-R1253,2))</f>
        <v/>
      </c>
      <c r="T1253" s="8" t="str">
        <f aca="false">IF(A1253="","",IF(S1253="","BYPASS",IF(ABS(S1253)&lt;=Summary!$B$2,"PASS","FAIL")))</f>
        <v/>
      </c>
      <c r="U1253" s="8" t="str">
        <f aca="false">IF(T1253="BYPASS",IF(NOT(ISNUMBER(Q1253)),"PreV_ETB missing","End_tr_balance missing"),IF(T1253="FAIL",IF(AND(ISNUMBER(K1253),ISNUMBER(L1253),ABS(L1253-(K1253-IF(ISNUMBER(N1253),N1253,0)-IF(ISNUMBER(O1253),O1253,0)+IF(ISNUMBER(P1253),P1253,0)))&lt;=Summary!$B$2),"Passes using beginning_balance - PreV_ETB differs from beginning_balance",IF(AND(ISNUMBER(O1253),O1253&lt;0,ABS(L1253-(Q1253-IF(ISNUMBER(N1253),N1253,0)+IF(ISNUMBER(P1253),P1253,0)))&lt;=Summary!$B$2),"Negative realized loss not applied - check sign",IF(R1253&lt;0,"Principal paid exceeds prior balance",IF(AND(L1253&gt;Q1253,NOT(ISNUMBER(P1253))),"Balance increased but no Deferred_interest reported",IF(L1253&gt;R1253,"Reported balance higher than expected (missing increase/OC build)","Reported balance lower than expected (missing decrease)"))))),""))</f>
        <v/>
      </c>
    </row>
    <row r="1254" customFormat="false" ht="15" hidden="false" customHeight="false" outlineLevel="0" collapsed="false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9"/>
      <c r="L1254" s="9"/>
      <c r="M1254" s="9"/>
      <c r="N1254" s="9"/>
      <c r="O1254" s="9"/>
      <c r="P1254" s="9"/>
      <c r="Q1254" s="9"/>
      <c r="R1254" s="9" t="str">
        <f aca="false">IF(AND(A1254&lt;&gt;"",ISNUMBER(Q1254),ISNUMBER(L1254)),ROUND(Q1254-IF(ISNUMBER(N1254),N1254,0)-IF(ISNUMBER(O1254),O1254,0)+IF(ISNUMBER(P1254),P1254,0),2),"")</f>
        <v/>
      </c>
      <c r="S1254" s="9" t="str">
        <f aca="false">IF(R1254="","",ROUND(L1254-R1254,2))</f>
        <v/>
      </c>
      <c r="T1254" s="8" t="str">
        <f aca="false">IF(A1254="","",IF(S1254="","BYPASS",IF(ABS(S1254)&lt;=Summary!$B$2,"PASS","FAIL")))</f>
        <v/>
      </c>
      <c r="U1254" s="8" t="str">
        <f aca="false">IF(T1254="BYPASS",IF(NOT(ISNUMBER(Q1254)),"PreV_ETB missing","End_tr_balance missing"),IF(T1254="FAIL",IF(AND(ISNUMBER(K1254),ISNUMBER(L1254),ABS(L1254-(K1254-IF(ISNUMBER(N1254),N1254,0)-IF(ISNUMBER(O1254),O1254,0)+IF(ISNUMBER(P1254),P1254,0)))&lt;=Summary!$B$2),"Passes using beginning_balance - PreV_ETB differs from beginning_balance",IF(AND(ISNUMBER(O1254),O1254&lt;0,ABS(L1254-(Q1254-IF(ISNUMBER(N1254),N1254,0)+IF(ISNUMBER(P1254),P1254,0)))&lt;=Summary!$B$2),"Negative realized loss not applied - check sign",IF(R1254&lt;0,"Principal paid exceeds prior balance",IF(AND(L1254&gt;Q1254,NOT(ISNUMBER(P1254))),"Balance increased but no Deferred_interest reported",IF(L1254&gt;R1254,"Reported balance higher than expected (missing increase/OC build)","Reported balance lower than expected (missing decrease)"))))),""))</f>
        <v/>
      </c>
    </row>
    <row r="1255" customFormat="false" ht="15" hidden="false" customHeight="false" outlineLevel="0" collapsed="false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9"/>
      <c r="L1255" s="9"/>
      <c r="M1255" s="9"/>
      <c r="N1255" s="9"/>
      <c r="O1255" s="9"/>
      <c r="P1255" s="9"/>
      <c r="Q1255" s="9"/>
      <c r="R1255" s="9" t="str">
        <f aca="false">IF(AND(A1255&lt;&gt;"",ISNUMBER(Q1255),ISNUMBER(L1255)),ROUND(Q1255-IF(ISNUMBER(N1255),N1255,0)-IF(ISNUMBER(O1255),O1255,0)+IF(ISNUMBER(P1255),P1255,0),2),"")</f>
        <v/>
      </c>
      <c r="S1255" s="9" t="str">
        <f aca="false">IF(R1255="","",ROUND(L1255-R1255,2))</f>
        <v/>
      </c>
      <c r="T1255" s="8" t="str">
        <f aca="false">IF(A1255="","",IF(S1255="","BYPASS",IF(ABS(S1255)&lt;=Summary!$B$2,"PASS","FAIL")))</f>
        <v/>
      </c>
      <c r="U1255" s="8" t="str">
        <f aca="false">IF(T1255="BYPASS",IF(NOT(ISNUMBER(Q1255)),"PreV_ETB missing","End_tr_balance missing"),IF(T1255="FAIL",IF(AND(ISNUMBER(K1255),ISNUMBER(L1255),ABS(L1255-(K1255-IF(ISNUMBER(N1255),N1255,0)-IF(ISNUMBER(O1255),O1255,0)+IF(ISNUMBER(P1255),P1255,0)))&lt;=Summary!$B$2),"Passes using beginning_balance - PreV_ETB differs from beginning_balance",IF(AND(ISNUMBER(O1255),O1255&lt;0,ABS(L1255-(Q1255-IF(ISNUMBER(N1255),N1255,0)+IF(ISNUMBER(P1255),P1255,0)))&lt;=Summary!$B$2),"Negative realized loss not applied - check sign",IF(R1255&lt;0,"Principal paid exceeds prior balance",IF(AND(L1255&gt;Q1255,NOT(ISNUMBER(P1255))),"Balance increased but no Deferred_interest reported",IF(L1255&gt;R1255,"Reported balance higher than expected (missing increase/OC build)","Reported balance lower than expected (missing decrease)"))))),""))</f>
        <v/>
      </c>
    </row>
    <row r="1256" customFormat="false" ht="15" hidden="false" customHeight="false" outlineLevel="0" collapsed="false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9"/>
      <c r="L1256" s="9"/>
      <c r="M1256" s="9"/>
      <c r="N1256" s="9"/>
      <c r="O1256" s="9"/>
      <c r="P1256" s="9"/>
      <c r="Q1256" s="9"/>
      <c r="R1256" s="9" t="str">
        <f aca="false">IF(AND(A1256&lt;&gt;"",ISNUMBER(Q1256),ISNUMBER(L1256)),ROUND(Q1256-IF(ISNUMBER(N1256),N1256,0)-IF(ISNUMBER(O1256),O1256,0)+IF(ISNUMBER(P1256),P1256,0),2),"")</f>
        <v/>
      </c>
      <c r="S1256" s="9" t="str">
        <f aca="false">IF(R1256="","",ROUND(L1256-R1256,2))</f>
        <v/>
      </c>
      <c r="T1256" s="8" t="str">
        <f aca="false">IF(A1256="","",IF(S1256="","BYPASS",IF(ABS(S1256)&lt;=Summary!$B$2,"PASS","FAIL")))</f>
        <v/>
      </c>
      <c r="U1256" s="8" t="str">
        <f aca="false">IF(T1256="BYPASS",IF(NOT(ISNUMBER(Q1256)),"PreV_ETB missing","End_tr_balance missing"),IF(T1256="FAIL",IF(AND(ISNUMBER(K1256),ISNUMBER(L1256),ABS(L1256-(K1256-IF(ISNUMBER(N1256),N1256,0)-IF(ISNUMBER(O1256),O1256,0)+IF(ISNUMBER(P1256),P1256,0)))&lt;=Summary!$B$2),"Passes using beginning_balance - PreV_ETB differs from beginning_balance",IF(AND(ISNUMBER(O1256),O1256&lt;0,ABS(L1256-(Q1256-IF(ISNUMBER(N1256),N1256,0)+IF(ISNUMBER(P1256),P1256,0)))&lt;=Summary!$B$2),"Negative realized loss not applied - check sign",IF(R1256&lt;0,"Principal paid exceeds prior balance",IF(AND(L1256&gt;Q1256,NOT(ISNUMBER(P1256))),"Balance increased but no Deferred_interest reported",IF(L1256&gt;R1256,"Reported balance higher than expected (missing increase/OC build)","Reported balance lower than expected (missing decrease)"))))),""))</f>
        <v/>
      </c>
    </row>
    <row r="1257" customFormat="false" ht="15" hidden="false" customHeight="false" outlineLevel="0" collapsed="false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9"/>
      <c r="L1257" s="9"/>
      <c r="M1257" s="9"/>
      <c r="N1257" s="9"/>
      <c r="O1257" s="9"/>
      <c r="P1257" s="9"/>
      <c r="Q1257" s="9"/>
      <c r="R1257" s="9" t="str">
        <f aca="false">IF(AND(A1257&lt;&gt;"",ISNUMBER(Q1257),ISNUMBER(L1257)),ROUND(Q1257-IF(ISNUMBER(N1257),N1257,0)-IF(ISNUMBER(O1257),O1257,0)+IF(ISNUMBER(P1257),P1257,0),2),"")</f>
        <v/>
      </c>
      <c r="S1257" s="9" t="str">
        <f aca="false">IF(R1257="","",ROUND(L1257-R1257,2))</f>
        <v/>
      </c>
      <c r="T1257" s="8" t="str">
        <f aca="false">IF(A1257="","",IF(S1257="","BYPASS",IF(ABS(S1257)&lt;=Summary!$B$2,"PASS","FAIL")))</f>
        <v/>
      </c>
      <c r="U1257" s="8" t="str">
        <f aca="false">IF(T1257="BYPASS",IF(NOT(ISNUMBER(Q1257)),"PreV_ETB missing","End_tr_balance missing"),IF(T1257="FAIL",IF(AND(ISNUMBER(K1257),ISNUMBER(L1257),ABS(L1257-(K1257-IF(ISNUMBER(N1257),N1257,0)-IF(ISNUMBER(O1257),O1257,0)+IF(ISNUMBER(P1257),P1257,0)))&lt;=Summary!$B$2),"Passes using beginning_balance - PreV_ETB differs from beginning_balance",IF(AND(ISNUMBER(O1257),O1257&lt;0,ABS(L1257-(Q1257-IF(ISNUMBER(N1257),N1257,0)+IF(ISNUMBER(P1257),P1257,0)))&lt;=Summary!$B$2),"Negative realized loss not applied - check sign",IF(R1257&lt;0,"Principal paid exceeds prior balance",IF(AND(L1257&gt;Q1257,NOT(ISNUMBER(P1257))),"Balance increased but no Deferred_interest reported",IF(L1257&gt;R1257,"Reported balance higher than expected (missing increase/OC build)","Reported balance lower than expected (missing decrease)"))))),""))</f>
        <v/>
      </c>
    </row>
    <row r="1258" customFormat="false" ht="15" hidden="false" customHeight="false" outlineLevel="0" collapsed="false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9"/>
      <c r="L1258" s="9"/>
      <c r="M1258" s="9"/>
      <c r="N1258" s="9"/>
      <c r="O1258" s="9"/>
      <c r="P1258" s="9"/>
      <c r="Q1258" s="9"/>
      <c r="R1258" s="9" t="str">
        <f aca="false">IF(AND(A1258&lt;&gt;"",ISNUMBER(Q1258),ISNUMBER(L1258)),ROUND(Q1258-IF(ISNUMBER(N1258),N1258,0)-IF(ISNUMBER(O1258),O1258,0)+IF(ISNUMBER(P1258),P1258,0),2),"")</f>
        <v/>
      </c>
      <c r="S1258" s="9" t="str">
        <f aca="false">IF(R1258="","",ROUND(L1258-R1258,2))</f>
        <v/>
      </c>
      <c r="T1258" s="8" t="str">
        <f aca="false">IF(A1258="","",IF(S1258="","BYPASS",IF(ABS(S1258)&lt;=Summary!$B$2,"PASS","FAIL")))</f>
        <v/>
      </c>
      <c r="U1258" s="8" t="str">
        <f aca="false">IF(T1258="BYPASS",IF(NOT(ISNUMBER(Q1258)),"PreV_ETB missing","End_tr_balance missing"),IF(T1258="FAIL",IF(AND(ISNUMBER(K1258),ISNUMBER(L1258),ABS(L1258-(K1258-IF(ISNUMBER(N1258),N1258,0)-IF(ISNUMBER(O1258),O1258,0)+IF(ISNUMBER(P1258),P1258,0)))&lt;=Summary!$B$2),"Passes using beginning_balance - PreV_ETB differs from beginning_balance",IF(AND(ISNUMBER(O1258),O1258&lt;0,ABS(L1258-(Q1258-IF(ISNUMBER(N1258),N1258,0)+IF(ISNUMBER(P1258),P1258,0)))&lt;=Summary!$B$2),"Negative realized loss not applied - check sign",IF(R1258&lt;0,"Principal paid exceeds prior balance",IF(AND(L1258&gt;Q1258,NOT(ISNUMBER(P1258))),"Balance increased but no Deferred_interest reported",IF(L1258&gt;R1258,"Reported balance higher than expected (missing increase/OC build)","Reported balance lower than expected (missing decrease)"))))),""))</f>
        <v/>
      </c>
    </row>
    <row r="1259" customFormat="false" ht="15" hidden="false" customHeight="false" outlineLevel="0" collapsed="false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9"/>
      <c r="L1259" s="9"/>
      <c r="M1259" s="9"/>
      <c r="N1259" s="9"/>
      <c r="O1259" s="9"/>
      <c r="P1259" s="9"/>
      <c r="Q1259" s="9"/>
      <c r="R1259" s="9" t="str">
        <f aca="false">IF(AND(A1259&lt;&gt;"",ISNUMBER(Q1259),ISNUMBER(L1259)),ROUND(Q1259-IF(ISNUMBER(N1259),N1259,0)-IF(ISNUMBER(O1259),O1259,0)+IF(ISNUMBER(P1259),P1259,0),2),"")</f>
        <v/>
      </c>
      <c r="S1259" s="9" t="str">
        <f aca="false">IF(R1259="","",ROUND(L1259-R1259,2))</f>
        <v/>
      </c>
      <c r="T1259" s="8" t="str">
        <f aca="false">IF(A1259="","",IF(S1259="","BYPASS",IF(ABS(S1259)&lt;=Summary!$B$2,"PASS","FAIL")))</f>
        <v/>
      </c>
      <c r="U1259" s="8" t="str">
        <f aca="false">IF(T1259="BYPASS",IF(NOT(ISNUMBER(Q1259)),"PreV_ETB missing","End_tr_balance missing"),IF(T1259="FAIL",IF(AND(ISNUMBER(K1259),ISNUMBER(L1259),ABS(L1259-(K1259-IF(ISNUMBER(N1259),N1259,0)-IF(ISNUMBER(O1259),O1259,0)+IF(ISNUMBER(P1259),P1259,0)))&lt;=Summary!$B$2),"Passes using beginning_balance - PreV_ETB differs from beginning_balance",IF(AND(ISNUMBER(O1259),O1259&lt;0,ABS(L1259-(Q1259-IF(ISNUMBER(N1259),N1259,0)+IF(ISNUMBER(P1259),P1259,0)))&lt;=Summary!$B$2),"Negative realized loss not applied - check sign",IF(R1259&lt;0,"Principal paid exceeds prior balance",IF(AND(L1259&gt;Q1259,NOT(ISNUMBER(P1259))),"Balance increased but no Deferred_interest reported",IF(L1259&gt;R1259,"Reported balance higher than expected (missing increase/OC build)","Reported balance lower than expected (missing decrease)"))))),""))</f>
        <v/>
      </c>
    </row>
    <row r="1260" customFormat="false" ht="15" hidden="false" customHeight="false" outlineLevel="0" collapsed="false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9"/>
      <c r="L1260" s="9"/>
      <c r="M1260" s="9"/>
      <c r="N1260" s="9"/>
      <c r="O1260" s="9"/>
      <c r="P1260" s="9"/>
      <c r="Q1260" s="9"/>
      <c r="R1260" s="9" t="str">
        <f aca="false">IF(AND(A1260&lt;&gt;"",ISNUMBER(Q1260),ISNUMBER(L1260)),ROUND(Q1260-IF(ISNUMBER(N1260),N1260,0)-IF(ISNUMBER(O1260),O1260,0)+IF(ISNUMBER(P1260),P1260,0),2),"")</f>
        <v/>
      </c>
      <c r="S1260" s="9" t="str">
        <f aca="false">IF(R1260="","",ROUND(L1260-R1260,2))</f>
        <v/>
      </c>
      <c r="T1260" s="8" t="str">
        <f aca="false">IF(A1260="","",IF(S1260="","BYPASS",IF(ABS(S1260)&lt;=Summary!$B$2,"PASS","FAIL")))</f>
        <v/>
      </c>
      <c r="U1260" s="8" t="str">
        <f aca="false">IF(T1260="BYPASS",IF(NOT(ISNUMBER(Q1260)),"PreV_ETB missing","End_tr_balance missing"),IF(T1260="FAIL",IF(AND(ISNUMBER(K1260),ISNUMBER(L1260),ABS(L1260-(K1260-IF(ISNUMBER(N1260),N1260,0)-IF(ISNUMBER(O1260),O1260,0)+IF(ISNUMBER(P1260),P1260,0)))&lt;=Summary!$B$2),"Passes using beginning_balance - PreV_ETB differs from beginning_balance",IF(AND(ISNUMBER(O1260),O1260&lt;0,ABS(L1260-(Q1260-IF(ISNUMBER(N1260),N1260,0)+IF(ISNUMBER(P1260),P1260,0)))&lt;=Summary!$B$2),"Negative realized loss not applied - check sign",IF(R1260&lt;0,"Principal paid exceeds prior balance",IF(AND(L1260&gt;Q1260,NOT(ISNUMBER(P1260))),"Balance increased but no Deferred_interest reported",IF(L1260&gt;R1260,"Reported balance higher than expected (missing increase/OC build)","Reported balance lower than expected (missing decrease)"))))),""))</f>
        <v/>
      </c>
    </row>
    <row r="1261" customFormat="false" ht="15" hidden="false" customHeight="false" outlineLevel="0" collapsed="false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9"/>
      <c r="L1261" s="9"/>
      <c r="M1261" s="9"/>
      <c r="N1261" s="9"/>
      <c r="O1261" s="9"/>
      <c r="P1261" s="9"/>
      <c r="Q1261" s="9"/>
      <c r="R1261" s="9" t="str">
        <f aca="false">IF(AND(A1261&lt;&gt;"",ISNUMBER(Q1261),ISNUMBER(L1261)),ROUND(Q1261-IF(ISNUMBER(N1261),N1261,0)-IF(ISNUMBER(O1261),O1261,0)+IF(ISNUMBER(P1261),P1261,0),2),"")</f>
        <v/>
      </c>
      <c r="S1261" s="9" t="str">
        <f aca="false">IF(R1261="","",ROUND(L1261-R1261,2))</f>
        <v/>
      </c>
      <c r="T1261" s="8" t="str">
        <f aca="false">IF(A1261="","",IF(S1261="","BYPASS",IF(ABS(S1261)&lt;=Summary!$B$2,"PASS","FAIL")))</f>
        <v/>
      </c>
      <c r="U1261" s="8" t="str">
        <f aca="false">IF(T1261="BYPASS",IF(NOT(ISNUMBER(Q1261)),"PreV_ETB missing","End_tr_balance missing"),IF(T1261="FAIL",IF(AND(ISNUMBER(K1261),ISNUMBER(L1261),ABS(L1261-(K1261-IF(ISNUMBER(N1261),N1261,0)-IF(ISNUMBER(O1261),O1261,0)+IF(ISNUMBER(P1261),P1261,0)))&lt;=Summary!$B$2),"Passes using beginning_balance - PreV_ETB differs from beginning_balance",IF(AND(ISNUMBER(O1261),O1261&lt;0,ABS(L1261-(Q1261-IF(ISNUMBER(N1261),N1261,0)+IF(ISNUMBER(P1261),P1261,0)))&lt;=Summary!$B$2),"Negative realized loss not applied - check sign",IF(R1261&lt;0,"Principal paid exceeds prior balance",IF(AND(L1261&gt;Q1261,NOT(ISNUMBER(P1261))),"Balance increased but no Deferred_interest reported",IF(L1261&gt;R1261,"Reported balance higher than expected (missing increase/OC build)","Reported balance lower than expected (missing decrease)"))))),""))</f>
        <v/>
      </c>
    </row>
    <row r="1262" customFormat="false" ht="15" hidden="false" customHeight="false" outlineLevel="0" collapsed="false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9"/>
      <c r="L1262" s="9"/>
      <c r="M1262" s="9"/>
      <c r="N1262" s="9"/>
      <c r="O1262" s="9"/>
      <c r="P1262" s="9"/>
      <c r="Q1262" s="9"/>
      <c r="R1262" s="9" t="str">
        <f aca="false">IF(AND(A1262&lt;&gt;"",ISNUMBER(Q1262),ISNUMBER(L1262)),ROUND(Q1262-IF(ISNUMBER(N1262),N1262,0)-IF(ISNUMBER(O1262),O1262,0)+IF(ISNUMBER(P1262),P1262,0),2),"")</f>
        <v/>
      </c>
      <c r="S1262" s="9" t="str">
        <f aca="false">IF(R1262="","",ROUND(L1262-R1262,2))</f>
        <v/>
      </c>
      <c r="T1262" s="8" t="str">
        <f aca="false">IF(A1262="","",IF(S1262="","BYPASS",IF(ABS(S1262)&lt;=Summary!$B$2,"PASS","FAIL")))</f>
        <v/>
      </c>
      <c r="U1262" s="8" t="str">
        <f aca="false">IF(T1262="BYPASS",IF(NOT(ISNUMBER(Q1262)),"PreV_ETB missing","End_tr_balance missing"),IF(T1262="FAIL",IF(AND(ISNUMBER(K1262),ISNUMBER(L1262),ABS(L1262-(K1262-IF(ISNUMBER(N1262),N1262,0)-IF(ISNUMBER(O1262),O1262,0)+IF(ISNUMBER(P1262),P1262,0)))&lt;=Summary!$B$2),"Passes using beginning_balance - PreV_ETB differs from beginning_balance",IF(AND(ISNUMBER(O1262),O1262&lt;0,ABS(L1262-(Q1262-IF(ISNUMBER(N1262),N1262,0)+IF(ISNUMBER(P1262),P1262,0)))&lt;=Summary!$B$2),"Negative realized loss not applied - check sign",IF(R1262&lt;0,"Principal paid exceeds prior balance",IF(AND(L1262&gt;Q1262,NOT(ISNUMBER(P1262))),"Balance increased but no Deferred_interest reported",IF(L1262&gt;R1262,"Reported balance higher than expected (missing increase/OC build)","Reported balance lower than expected (missing decrease)"))))),""))</f>
        <v/>
      </c>
    </row>
    <row r="1263" customFormat="false" ht="15" hidden="false" customHeight="false" outlineLevel="0" collapsed="false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9"/>
      <c r="L1263" s="9"/>
      <c r="M1263" s="9"/>
      <c r="N1263" s="9"/>
      <c r="O1263" s="9"/>
      <c r="P1263" s="9"/>
      <c r="Q1263" s="9"/>
      <c r="R1263" s="9" t="str">
        <f aca="false">IF(AND(A1263&lt;&gt;"",ISNUMBER(Q1263),ISNUMBER(L1263)),ROUND(Q1263-IF(ISNUMBER(N1263),N1263,0)-IF(ISNUMBER(O1263),O1263,0)+IF(ISNUMBER(P1263),P1263,0),2),"")</f>
        <v/>
      </c>
      <c r="S1263" s="9" t="str">
        <f aca="false">IF(R1263="","",ROUND(L1263-R1263,2))</f>
        <v/>
      </c>
      <c r="T1263" s="8" t="str">
        <f aca="false">IF(A1263="","",IF(S1263="","BYPASS",IF(ABS(S1263)&lt;=Summary!$B$2,"PASS","FAIL")))</f>
        <v/>
      </c>
      <c r="U1263" s="8" t="str">
        <f aca="false">IF(T1263="BYPASS",IF(NOT(ISNUMBER(Q1263)),"PreV_ETB missing","End_tr_balance missing"),IF(T1263="FAIL",IF(AND(ISNUMBER(K1263),ISNUMBER(L1263),ABS(L1263-(K1263-IF(ISNUMBER(N1263),N1263,0)-IF(ISNUMBER(O1263),O1263,0)+IF(ISNUMBER(P1263),P1263,0)))&lt;=Summary!$B$2),"Passes using beginning_balance - PreV_ETB differs from beginning_balance",IF(AND(ISNUMBER(O1263),O1263&lt;0,ABS(L1263-(Q1263-IF(ISNUMBER(N1263),N1263,0)+IF(ISNUMBER(P1263),P1263,0)))&lt;=Summary!$B$2),"Negative realized loss not applied - check sign",IF(R1263&lt;0,"Principal paid exceeds prior balance",IF(AND(L1263&gt;Q1263,NOT(ISNUMBER(P1263))),"Balance increased but no Deferred_interest reported",IF(L1263&gt;R1263,"Reported balance higher than expected (missing increase/OC build)","Reported balance lower than expected (missing decrease)"))))),""))</f>
        <v/>
      </c>
    </row>
    <row r="1264" customFormat="false" ht="15" hidden="false" customHeight="false" outlineLevel="0" collapsed="false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9"/>
      <c r="L1264" s="9"/>
      <c r="M1264" s="9"/>
      <c r="N1264" s="9"/>
      <c r="O1264" s="9"/>
      <c r="P1264" s="9"/>
      <c r="Q1264" s="9"/>
      <c r="R1264" s="9" t="str">
        <f aca="false">IF(AND(A1264&lt;&gt;"",ISNUMBER(Q1264),ISNUMBER(L1264)),ROUND(Q1264-IF(ISNUMBER(N1264),N1264,0)-IF(ISNUMBER(O1264),O1264,0)+IF(ISNUMBER(P1264),P1264,0),2),"")</f>
        <v/>
      </c>
      <c r="S1264" s="9" t="str">
        <f aca="false">IF(R1264="","",ROUND(L1264-R1264,2))</f>
        <v/>
      </c>
      <c r="T1264" s="8" t="str">
        <f aca="false">IF(A1264="","",IF(S1264="","BYPASS",IF(ABS(S1264)&lt;=Summary!$B$2,"PASS","FAIL")))</f>
        <v/>
      </c>
      <c r="U1264" s="8" t="str">
        <f aca="false">IF(T1264="BYPASS",IF(NOT(ISNUMBER(Q1264)),"PreV_ETB missing","End_tr_balance missing"),IF(T1264="FAIL",IF(AND(ISNUMBER(K1264),ISNUMBER(L1264),ABS(L1264-(K1264-IF(ISNUMBER(N1264),N1264,0)-IF(ISNUMBER(O1264),O1264,0)+IF(ISNUMBER(P1264),P1264,0)))&lt;=Summary!$B$2),"Passes using beginning_balance - PreV_ETB differs from beginning_balance",IF(AND(ISNUMBER(O1264),O1264&lt;0,ABS(L1264-(Q1264-IF(ISNUMBER(N1264),N1264,0)+IF(ISNUMBER(P1264),P1264,0)))&lt;=Summary!$B$2),"Negative realized loss not applied - check sign",IF(R1264&lt;0,"Principal paid exceeds prior balance",IF(AND(L1264&gt;Q1264,NOT(ISNUMBER(P1264))),"Balance increased but no Deferred_interest reported",IF(L1264&gt;R1264,"Reported balance higher than expected (missing increase/OC build)","Reported balance lower than expected (missing decrease)"))))),""))</f>
        <v/>
      </c>
    </row>
    <row r="1265" customFormat="false" ht="15" hidden="false" customHeight="false" outlineLevel="0" collapsed="false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9"/>
      <c r="L1265" s="9"/>
      <c r="M1265" s="9"/>
      <c r="N1265" s="9"/>
      <c r="O1265" s="9"/>
      <c r="P1265" s="9"/>
      <c r="Q1265" s="9"/>
      <c r="R1265" s="9" t="str">
        <f aca="false">IF(AND(A1265&lt;&gt;"",ISNUMBER(Q1265),ISNUMBER(L1265)),ROUND(Q1265-IF(ISNUMBER(N1265),N1265,0)-IF(ISNUMBER(O1265),O1265,0)+IF(ISNUMBER(P1265),P1265,0),2),"")</f>
        <v/>
      </c>
      <c r="S1265" s="9" t="str">
        <f aca="false">IF(R1265="","",ROUND(L1265-R1265,2))</f>
        <v/>
      </c>
      <c r="T1265" s="8" t="str">
        <f aca="false">IF(A1265="","",IF(S1265="","BYPASS",IF(ABS(S1265)&lt;=Summary!$B$2,"PASS","FAIL")))</f>
        <v/>
      </c>
      <c r="U1265" s="8" t="str">
        <f aca="false">IF(T1265="BYPASS",IF(NOT(ISNUMBER(Q1265)),"PreV_ETB missing","End_tr_balance missing"),IF(T1265="FAIL",IF(AND(ISNUMBER(K1265),ISNUMBER(L1265),ABS(L1265-(K1265-IF(ISNUMBER(N1265),N1265,0)-IF(ISNUMBER(O1265),O1265,0)+IF(ISNUMBER(P1265),P1265,0)))&lt;=Summary!$B$2),"Passes using beginning_balance - PreV_ETB differs from beginning_balance",IF(AND(ISNUMBER(O1265),O1265&lt;0,ABS(L1265-(Q1265-IF(ISNUMBER(N1265),N1265,0)+IF(ISNUMBER(P1265),P1265,0)))&lt;=Summary!$B$2),"Negative realized loss not applied - check sign",IF(R1265&lt;0,"Principal paid exceeds prior balance",IF(AND(L1265&gt;Q1265,NOT(ISNUMBER(P1265))),"Balance increased but no Deferred_interest reported",IF(L1265&gt;R1265,"Reported balance higher than expected (missing increase/OC build)","Reported balance lower than expected (missing decrease)"))))),""))</f>
        <v/>
      </c>
    </row>
    <row r="1266" customFormat="false" ht="15" hidden="false" customHeight="false" outlineLevel="0" collapsed="false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9"/>
      <c r="L1266" s="9"/>
      <c r="M1266" s="9"/>
      <c r="N1266" s="9"/>
      <c r="O1266" s="9"/>
      <c r="P1266" s="9"/>
      <c r="Q1266" s="9"/>
      <c r="R1266" s="9" t="str">
        <f aca="false">IF(AND(A1266&lt;&gt;"",ISNUMBER(Q1266),ISNUMBER(L1266)),ROUND(Q1266-IF(ISNUMBER(N1266),N1266,0)-IF(ISNUMBER(O1266),O1266,0)+IF(ISNUMBER(P1266),P1266,0),2),"")</f>
        <v/>
      </c>
      <c r="S1266" s="9" t="str">
        <f aca="false">IF(R1266="","",ROUND(L1266-R1266,2))</f>
        <v/>
      </c>
      <c r="T1266" s="8" t="str">
        <f aca="false">IF(A1266="","",IF(S1266="","BYPASS",IF(ABS(S1266)&lt;=Summary!$B$2,"PASS","FAIL")))</f>
        <v/>
      </c>
      <c r="U1266" s="8" t="str">
        <f aca="false">IF(T1266="BYPASS",IF(NOT(ISNUMBER(Q1266)),"PreV_ETB missing","End_tr_balance missing"),IF(T1266="FAIL",IF(AND(ISNUMBER(K1266),ISNUMBER(L1266),ABS(L1266-(K1266-IF(ISNUMBER(N1266),N1266,0)-IF(ISNUMBER(O1266),O1266,0)+IF(ISNUMBER(P1266),P1266,0)))&lt;=Summary!$B$2),"Passes using beginning_balance - PreV_ETB differs from beginning_balance",IF(AND(ISNUMBER(O1266),O1266&lt;0,ABS(L1266-(Q1266-IF(ISNUMBER(N1266),N1266,0)+IF(ISNUMBER(P1266),P1266,0)))&lt;=Summary!$B$2),"Negative realized loss not applied - check sign",IF(R1266&lt;0,"Principal paid exceeds prior balance",IF(AND(L1266&gt;Q1266,NOT(ISNUMBER(P1266))),"Balance increased but no Deferred_interest reported",IF(L1266&gt;R1266,"Reported balance higher than expected (missing increase/OC build)","Reported balance lower than expected (missing decrease)"))))),""))</f>
        <v/>
      </c>
    </row>
    <row r="1267" customFormat="false" ht="15" hidden="false" customHeight="false" outlineLevel="0" collapsed="false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9"/>
      <c r="L1267" s="9"/>
      <c r="M1267" s="9"/>
      <c r="N1267" s="9"/>
      <c r="O1267" s="9"/>
      <c r="P1267" s="9"/>
      <c r="Q1267" s="9"/>
      <c r="R1267" s="9" t="str">
        <f aca="false">IF(AND(A1267&lt;&gt;"",ISNUMBER(Q1267),ISNUMBER(L1267)),ROUND(Q1267-IF(ISNUMBER(N1267),N1267,0)-IF(ISNUMBER(O1267),O1267,0)+IF(ISNUMBER(P1267),P1267,0),2),"")</f>
        <v/>
      </c>
      <c r="S1267" s="9" t="str">
        <f aca="false">IF(R1267="","",ROUND(L1267-R1267,2))</f>
        <v/>
      </c>
      <c r="T1267" s="8" t="str">
        <f aca="false">IF(A1267="","",IF(S1267="","BYPASS",IF(ABS(S1267)&lt;=Summary!$B$2,"PASS","FAIL")))</f>
        <v/>
      </c>
      <c r="U1267" s="8" t="str">
        <f aca="false">IF(T1267="BYPASS",IF(NOT(ISNUMBER(Q1267)),"PreV_ETB missing","End_tr_balance missing"),IF(T1267="FAIL",IF(AND(ISNUMBER(K1267),ISNUMBER(L1267),ABS(L1267-(K1267-IF(ISNUMBER(N1267),N1267,0)-IF(ISNUMBER(O1267),O1267,0)+IF(ISNUMBER(P1267),P1267,0)))&lt;=Summary!$B$2),"Passes using beginning_balance - PreV_ETB differs from beginning_balance",IF(AND(ISNUMBER(O1267),O1267&lt;0,ABS(L1267-(Q1267-IF(ISNUMBER(N1267),N1267,0)+IF(ISNUMBER(P1267),P1267,0)))&lt;=Summary!$B$2),"Negative realized loss not applied - check sign",IF(R1267&lt;0,"Principal paid exceeds prior balance",IF(AND(L1267&gt;Q1267,NOT(ISNUMBER(P1267))),"Balance increased but no Deferred_interest reported",IF(L1267&gt;R1267,"Reported balance higher than expected (missing increase/OC build)","Reported balance lower than expected (missing decrease)"))))),""))</f>
        <v/>
      </c>
    </row>
    <row r="1268" customFormat="false" ht="15" hidden="false" customHeight="false" outlineLevel="0" collapsed="false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9"/>
      <c r="L1268" s="9"/>
      <c r="M1268" s="9"/>
      <c r="N1268" s="9"/>
      <c r="O1268" s="9"/>
      <c r="P1268" s="9"/>
      <c r="Q1268" s="9"/>
      <c r="R1268" s="9" t="str">
        <f aca="false">IF(AND(A1268&lt;&gt;"",ISNUMBER(Q1268),ISNUMBER(L1268)),ROUND(Q1268-IF(ISNUMBER(N1268),N1268,0)-IF(ISNUMBER(O1268),O1268,0)+IF(ISNUMBER(P1268),P1268,0),2),"")</f>
        <v/>
      </c>
      <c r="S1268" s="9" t="str">
        <f aca="false">IF(R1268="","",ROUND(L1268-R1268,2))</f>
        <v/>
      </c>
      <c r="T1268" s="8" t="str">
        <f aca="false">IF(A1268="","",IF(S1268="","BYPASS",IF(ABS(S1268)&lt;=Summary!$B$2,"PASS","FAIL")))</f>
        <v/>
      </c>
      <c r="U1268" s="8" t="str">
        <f aca="false">IF(T1268="BYPASS",IF(NOT(ISNUMBER(Q1268)),"PreV_ETB missing","End_tr_balance missing"),IF(T1268="FAIL",IF(AND(ISNUMBER(K1268),ISNUMBER(L1268),ABS(L1268-(K1268-IF(ISNUMBER(N1268),N1268,0)-IF(ISNUMBER(O1268),O1268,0)+IF(ISNUMBER(P1268),P1268,0)))&lt;=Summary!$B$2),"Passes using beginning_balance - PreV_ETB differs from beginning_balance",IF(AND(ISNUMBER(O1268),O1268&lt;0,ABS(L1268-(Q1268-IF(ISNUMBER(N1268),N1268,0)+IF(ISNUMBER(P1268),P1268,0)))&lt;=Summary!$B$2),"Negative realized loss not applied - check sign",IF(R1268&lt;0,"Principal paid exceeds prior balance",IF(AND(L1268&gt;Q1268,NOT(ISNUMBER(P1268))),"Balance increased but no Deferred_interest reported",IF(L1268&gt;R1268,"Reported balance higher than expected (missing increase/OC build)","Reported balance lower than expected (missing decrease)"))))),""))</f>
        <v/>
      </c>
    </row>
    <row r="1269" customFormat="false" ht="15" hidden="false" customHeight="false" outlineLevel="0" collapsed="false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9"/>
      <c r="L1269" s="9"/>
      <c r="M1269" s="9"/>
      <c r="N1269" s="9"/>
      <c r="O1269" s="9"/>
      <c r="P1269" s="9"/>
      <c r="Q1269" s="9"/>
      <c r="R1269" s="9" t="str">
        <f aca="false">IF(AND(A1269&lt;&gt;"",ISNUMBER(Q1269),ISNUMBER(L1269)),ROUND(Q1269-IF(ISNUMBER(N1269),N1269,0)-IF(ISNUMBER(O1269),O1269,0)+IF(ISNUMBER(P1269),P1269,0),2),"")</f>
        <v/>
      </c>
      <c r="S1269" s="9" t="str">
        <f aca="false">IF(R1269="","",ROUND(L1269-R1269,2))</f>
        <v/>
      </c>
      <c r="T1269" s="8" t="str">
        <f aca="false">IF(A1269="","",IF(S1269="","BYPASS",IF(ABS(S1269)&lt;=Summary!$B$2,"PASS","FAIL")))</f>
        <v/>
      </c>
      <c r="U1269" s="8" t="str">
        <f aca="false">IF(T1269="BYPASS",IF(NOT(ISNUMBER(Q1269)),"PreV_ETB missing","End_tr_balance missing"),IF(T1269="FAIL",IF(AND(ISNUMBER(K1269),ISNUMBER(L1269),ABS(L1269-(K1269-IF(ISNUMBER(N1269),N1269,0)-IF(ISNUMBER(O1269),O1269,0)+IF(ISNUMBER(P1269),P1269,0)))&lt;=Summary!$B$2),"Passes using beginning_balance - PreV_ETB differs from beginning_balance",IF(AND(ISNUMBER(O1269),O1269&lt;0,ABS(L1269-(Q1269-IF(ISNUMBER(N1269),N1269,0)+IF(ISNUMBER(P1269),P1269,0)))&lt;=Summary!$B$2),"Negative realized loss not applied - check sign",IF(R1269&lt;0,"Principal paid exceeds prior balance",IF(AND(L1269&gt;Q1269,NOT(ISNUMBER(P1269))),"Balance increased but no Deferred_interest reported",IF(L1269&gt;R1269,"Reported balance higher than expected (missing increase/OC build)","Reported balance lower than expected (missing decrease)"))))),""))</f>
        <v/>
      </c>
    </row>
    <row r="1270" customFormat="false" ht="15" hidden="false" customHeight="false" outlineLevel="0" collapsed="false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9"/>
      <c r="L1270" s="9"/>
      <c r="M1270" s="9"/>
      <c r="N1270" s="9"/>
      <c r="O1270" s="9"/>
      <c r="P1270" s="9"/>
      <c r="Q1270" s="9"/>
      <c r="R1270" s="9" t="str">
        <f aca="false">IF(AND(A1270&lt;&gt;"",ISNUMBER(Q1270),ISNUMBER(L1270)),ROUND(Q1270-IF(ISNUMBER(N1270),N1270,0)-IF(ISNUMBER(O1270),O1270,0)+IF(ISNUMBER(P1270),P1270,0),2),"")</f>
        <v/>
      </c>
      <c r="S1270" s="9" t="str">
        <f aca="false">IF(R1270="","",ROUND(L1270-R1270,2))</f>
        <v/>
      </c>
      <c r="T1270" s="8" t="str">
        <f aca="false">IF(A1270="","",IF(S1270="","BYPASS",IF(ABS(S1270)&lt;=Summary!$B$2,"PASS","FAIL")))</f>
        <v/>
      </c>
      <c r="U1270" s="8" t="str">
        <f aca="false">IF(T1270="BYPASS",IF(NOT(ISNUMBER(Q1270)),"PreV_ETB missing","End_tr_balance missing"),IF(T1270="FAIL",IF(AND(ISNUMBER(K1270),ISNUMBER(L1270),ABS(L1270-(K1270-IF(ISNUMBER(N1270),N1270,0)-IF(ISNUMBER(O1270),O1270,0)+IF(ISNUMBER(P1270),P1270,0)))&lt;=Summary!$B$2),"Passes using beginning_balance - PreV_ETB differs from beginning_balance",IF(AND(ISNUMBER(O1270),O1270&lt;0,ABS(L1270-(Q1270-IF(ISNUMBER(N1270),N1270,0)+IF(ISNUMBER(P1270),P1270,0)))&lt;=Summary!$B$2),"Negative realized loss not applied - check sign",IF(R1270&lt;0,"Principal paid exceeds prior balance",IF(AND(L1270&gt;Q1270,NOT(ISNUMBER(P1270))),"Balance increased but no Deferred_interest reported",IF(L1270&gt;R1270,"Reported balance higher than expected (missing increase/OC build)","Reported balance lower than expected (missing decrease)"))))),""))</f>
        <v/>
      </c>
    </row>
    <row r="1271" customFormat="false" ht="15" hidden="false" customHeight="false" outlineLevel="0" collapsed="false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9"/>
      <c r="L1271" s="9"/>
      <c r="M1271" s="9"/>
      <c r="N1271" s="9"/>
      <c r="O1271" s="9"/>
      <c r="P1271" s="9"/>
      <c r="Q1271" s="9"/>
      <c r="R1271" s="9" t="str">
        <f aca="false">IF(AND(A1271&lt;&gt;"",ISNUMBER(Q1271),ISNUMBER(L1271)),ROUND(Q1271-IF(ISNUMBER(N1271),N1271,0)-IF(ISNUMBER(O1271),O1271,0)+IF(ISNUMBER(P1271),P1271,0),2),"")</f>
        <v/>
      </c>
      <c r="S1271" s="9" t="str">
        <f aca="false">IF(R1271="","",ROUND(L1271-R1271,2))</f>
        <v/>
      </c>
      <c r="T1271" s="8" t="str">
        <f aca="false">IF(A1271="","",IF(S1271="","BYPASS",IF(ABS(S1271)&lt;=Summary!$B$2,"PASS","FAIL")))</f>
        <v/>
      </c>
      <c r="U1271" s="8" t="str">
        <f aca="false">IF(T1271="BYPASS",IF(NOT(ISNUMBER(Q1271)),"PreV_ETB missing","End_tr_balance missing"),IF(T1271="FAIL",IF(AND(ISNUMBER(K1271),ISNUMBER(L1271),ABS(L1271-(K1271-IF(ISNUMBER(N1271),N1271,0)-IF(ISNUMBER(O1271),O1271,0)+IF(ISNUMBER(P1271),P1271,0)))&lt;=Summary!$B$2),"Passes using beginning_balance - PreV_ETB differs from beginning_balance",IF(AND(ISNUMBER(O1271),O1271&lt;0,ABS(L1271-(Q1271-IF(ISNUMBER(N1271),N1271,0)+IF(ISNUMBER(P1271),P1271,0)))&lt;=Summary!$B$2),"Negative realized loss not applied - check sign",IF(R1271&lt;0,"Principal paid exceeds prior balance",IF(AND(L1271&gt;Q1271,NOT(ISNUMBER(P1271))),"Balance increased but no Deferred_interest reported",IF(L1271&gt;R1271,"Reported balance higher than expected (missing increase/OC build)","Reported balance lower than expected (missing decrease)"))))),""))</f>
        <v/>
      </c>
    </row>
    <row r="1272" customFormat="false" ht="15" hidden="false" customHeight="false" outlineLevel="0" collapsed="false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9"/>
      <c r="L1272" s="9"/>
      <c r="M1272" s="9"/>
      <c r="N1272" s="9"/>
      <c r="O1272" s="9"/>
      <c r="P1272" s="9"/>
      <c r="Q1272" s="9"/>
      <c r="R1272" s="9" t="str">
        <f aca="false">IF(AND(A1272&lt;&gt;"",ISNUMBER(Q1272),ISNUMBER(L1272)),ROUND(Q1272-IF(ISNUMBER(N1272),N1272,0)-IF(ISNUMBER(O1272),O1272,0)+IF(ISNUMBER(P1272),P1272,0),2),"")</f>
        <v/>
      </c>
      <c r="S1272" s="9" t="str">
        <f aca="false">IF(R1272="","",ROUND(L1272-R1272,2))</f>
        <v/>
      </c>
      <c r="T1272" s="8" t="str">
        <f aca="false">IF(A1272="","",IF(S1272="","BYPASS",IF(ABS(S1272)&lt;=Summary!$B$2,"PASS","FAIL")))</f>
        <v/>
      </c>
      <c r="U1272" s="8" t="str">
        <f aca="false">IF(T1272="BYPASS",IF(NOT(ISNUMBER(Q1272)),"PreV_ETB missing","End_tr_balance missing"),IF(T1272="FAIL",IF(AND(ISNUMBER(K1272),ISNUMBER(L1272),ABS(L1272-(K1272-IF(ISNUMBER(N1272),N1272,0)-IF(ISNUMBER(O1272),O1272,0)+IF(ISNUMBER(P1272),P1272,0)))&lt;=Summary!$B$2),"Passes using beginning_balance - PreV_ETB differs from beginning_balance",IF(AND(ISNUMBER(O1272),O1272&lt;0,ABS(L1272-(Q1272-IF(ISNUMBER(N1272),N1272,0)+IF(ISNUMBER(P1272),P1272,0)))&lt;=Summary!$B$2),"Negative realized loss not applied - check sign",IF(R1272&lt;0,"Principal paid exceeds prior balance",IF(AND(L1272&gt;Q1272,NOT(ISNUMBER(P1272))),"Balance increased but no Deferred_interest reported",IF(L1272&gt;R1272,"Reported balance higher than expected (missing increase/OC build)","Reported balance lower than expected (missing decrease)"))))),""))</f>
        <v/>
      </c>
    </row>
    <row r="1273" customFormat="false" ht="15" hidden="false" customHeight="false" outlineLevel="0" collapsed="false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9"/>
      <c r="L1273" s="9"/>
      <c r="M1273" s="9"/>
      <c r="N1273" s="9"/>
      <c r="O1273" s="9"/>
      <c r="P1273" s="9"/>
      <c r="Q1273" s="9"/>
      <c r="R1273" s="9" t="str">
        <f aca="false">IF(AND(A1273&lt;&gt;"",ISNUMBER(Q1273),ISNUMBER(L1273)),ROUND(Q1273-IF(ISNUMBER(N1273),N1273,0)-IF(ISNUMBER(O1273),O1273,0)+IF(ISNUMBER(P1273),P1273,0),2),"")</f>
        <v/>
      </c>
      <c r="S1273" s="9" t="str">
        <f aca="false">IF(R1273="","",ROUND(L1273-R1273,2))</f>
        <v/>
      </c>
      <c r="T1273" s="8" t="str">
        <f aca="false">IF(A1273="","",IF(S1273="","BYPASS",IF(ABS(S1273)&lt;=Summary!$B$2,"PASS","FAIL")))</f>
        <v/>
      </c>
      <c r="U1273" s="8" t="str">
        <f aca="false">IF(T1273="BYPASS",IF(NOT(ISNUMBER(Q1273)),"PreV_ETB missing","End_tr_balance missing"),IF(T1273="FAIL",IF(AND(ISNUMBER(K1273),ISNUMBER(L1273),ABS(L1273-(K1273-IF(ISNUMBER(N1273),N1273,0)-IF(ISNUMBER(O1273),O1273,0)+IF(ISNUMBER(P1273),P1273,0)))&lt;=Summary!$B$2),"Passes using beginning_balance - PreV_ETB differs from beginning_balance",IF(AND(ISNUMBER(O1273),O1273&lt;0,ABS(L1273-(Q1273-IF(ISNUMBER(N1273),N1273,0)+IF(ISNUMBER(P1273),P1273,0)))&lt;=Summary!$B$2),"Negative realized loss not applied - check sign",IF(R1273&lt;0,"Principal paid exceeds prior balance",IF(AND(L1273&gt;Q1273,NOT(ISNUMBER(P1273))),"Balance increased but no Deferred_interest reported",IF(L1273&gt;R1273,"Reported balance higher than expected (missing increase/OC build)","Reported balance lower than expected (missing decrease)"))))),""))</f>
        <v/>
      </c>
    </row>
    <row r="1274" customFormat="false" ht="15" hidden="false" customHeight="false" outlineLevel="0" collapsed="false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9"/>
      <c r="L1274" s="9"/>
      <c r="M1274" s="9"/>
      <c r="N1274" s="9"/>
      <c r="O1274" s="9"/>
      <c r="P1274" s="9"/>
      <c r="Q1274" s="9"/>
      <c r="R1274" s="9" t="str">
        <f aca="false">IF(AND(A1274&lt;&gt;"",ISNUMBER(Q1274),ISNUMBER(L1274)),ROUND(Q1274-IF(ISNUMBER(N1274),N1274,0)-IF(ISNUMBER(O1274),O1274,0)+IF(ISNUMBER(P1274),P1274,0),2),"")</f>
        <v/>
      </c>
      <c r="S1274" s="9" t="str">
        <f aca="false">IF(R1274="","",ROUND(L1274-R1274,2))</f>
        <v/>
      </c>
      <c r="T1274" s="8" t="str">
        <f aca="false">IF(A1274="","",IF(S1274="","BYPASS",IF(ABS(S1274)&lt;=Summary!$B$2,"PASS","FAIL")))</f>
        <v/>
      </c>
      <c r="U1274" s="8" t="str">
        <f aca="false">IF(T1274="BYPASS",IF(NOT(ISNUMBER(Q1274)),"PreV_ETB missing","End_tr_balance missing"),IF(T1274="FAIL",IF(AND(ISNUMBER(K1274),ISNUMBER(L1274),ABS(L1274-(K1274-IF(ISNUMBER(N1274),N1274,0)-IF(ISNUMBER(O1274),O1274,0)+IF(ISNUMBER(P1274),P1274,0)))&lt;=Summary!$B$2),"Passes using beginning_balance - PreV_ETB differs from beginning_balance",IF(AND(ISNUMBER(O1274),O1274&lt;0,ABS(L1274-(Q1274-IF(ISNUMBER(N1274),N1274,0)+IF(ISNUMBER(P1274),P1274,0)))&lt;=Summary!$B$2),"Negative realized loss not applied - check sign",IF(R1274&lt;0,"Principal paid exceeds prior balance",IF(AND(L1274&gt;Q1274,NOT(ISNUMBER(P1274))),"Balance increased but no Deferred_interest reported",IF(L1274&gt;R1274,"Reported balance higher than expected (missing increase/OC build)","Reported balance lower than expected (missing decrease)"))))),""))</f>
        <v/>
      </c>
    </row>
    <row r="1275" customFormat="false" ht="15" hidden="false" customHeight="false" outlineLevel="0" collapsed="false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9"/>
      <c r="L1275" s="9"/>
      <c r="M1275" s="9"/>
      <c r="N1275" s="9"/>
      <c r="O1275" s="9"/>
      <c r="P1275" s="9"/>
      <c r="Q1275" s="9"/>
      <c r="R1275" s="9" t="str">
        <f aca="false">IF(AND(A1275&lt;&gt;"",ISNUMBER(Q1275),ISNUMBER(L1275)),ROUND(Q1275-IF(ISNUMBER(N1275),N1275,0)-IF(ISNUMBER(O1275),O1275,0)+IF(ISNUMBER(P1275),P1275,0),2),"")</f>
        <v/>
      </c>
      <c r="S1275" s="9" t="str">
        <f aca="false">IF(R1275="","",ROUND(L1275-R1275,2))</f>
        <v/>
      </c>
      <c r="T1275" s="8" t="str">
        <f aca="false">IF(A1275="","",IF(S1275="","BYPASS",IF(ABS(S1275)&lt;=Summary!$B$2,"PASS","FAIL")))</f>
        <v/>
      </c>
      <c r="U1275" s="8" t="str">
        <f aca="false">IF(T1275="BYPASS",IF(NOT(ISNUMBER(Q1275)),"PreV_ETB missing","End_tr_balance missing"),IF(T1275="FAIL",IF(AND(ISNUMBER(K1275),ISNUMBER(L1275),ABS(L1275-(K1275-IF(ISNUMBER(N1275),N1275,0)-IF(ISNUMBER(O1275),O1275,0)+IF(ISNUMBER(P1275),P1275,0)))&lt;=Summary!$B$2),"Passes using beginning_balance - PreV_ETB differs from beginning_balance",IF(AND(ISNUMBER(O1275),O1275&lt;0,ABS(L1275-(Q1275-IF(ISNUMBER(N1275),N1275,0)+IF(ISNUMBER(P1275),P1275,0)))&lt;=Summary!$B$2),"Negative realized loss not applied - check sign",IF(R1275&lt;0,"Principal paid exceeds prior balance",IF(AND(L1275&gt;Q1275,NOT(ISNUMBER(P1275))),"Balance increased but no Deferred_interest reported",IF(L1275&gt;R1275,"Reported balance higher than expected (missing increase/OC build)","Reported balance lower than expected (missing decrease)"))))),""))</f>
        <v/>
      </c>
    </row>
    <row r="1276" customFormat="false" ht="15" hidden="false" customHeight="false" outlineLevel="0" collapsed="false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9"/>
      <c r="L1276" s="9"/>
      <c r="M1276" s="9"/>
      <c r="N1276" s="9"/>
      <c r="O1276" s="9"/>
      <c r="P1276" s="9"/>
      <c r="Q1276" s="9"/>
      <c r="R1276" s="9" t="str">
        <f aca="false">IF(AND(A1276&lt;&gt;"",ISNUMBER(Q1276),ISNUMBER(L1276)),ROUND(Q1276-IF(ISNUMBER(N1276),N1276,0)-IF(ISNUMBER(O1276),O1276,0)+IF(ISNUMBER(P1276),P1276,0),2),"")</f>
        <v/>
      </c>
      <c r="S1276" s="9" t="str">
        <f aca="false">IF(R1276="","",ROUND(L1276-R1276,2))</f>
        <v/>
      </c>
      <c r="T1276" s="8" t="str">
        <f aca="false">IF(A1276="","",IF(S1276="","BYPASS",IF(ABS(S1276)&lt;=Summary!$B$2,"PASS","FAIL")))</f>
        <v/>
      </c>
      <c r="U1276" s="8" t="str">
        <f aca="false">IF(T1276="BYPASS",IF(NOT(ISNUMBER(Q1276)),"PreV_ETB missing","End_tr_balance missing"),IF(T1276="FAIL",IF(AND(ISNUMBER(K1276),ISNUMBER(L1276),ABS(L1276-(K1276-IF(ISNUMBER(N1276),N1276,0)-IF(ISNUMBER(O1276),O1276,0)+IF(ISNUMBER(P1276),P1276,0)))&lt;=Summary!$B$2),"Passes using beginning_balance - PreV_ETB differs from beginning_balance",IF(AND(ISNUMBER(O1276),O1276&lt;0,ABS(L1276-(Q1276-IF(ISNUMBER(N1276),N1276,0)+IF(ISNUMBER(P1276),P1276,0)))&lt;=Summary!$B$2),"Negative realized loss not applied - check sign",IF(R1276&lt;0,"Principal paid exceeds prior balance",IF(AND(L1276&gt;Q1276,NOT(ISNUMBER(P1276))),"Balance increased but no Deferred_interest reported",IF(L1276&gt;R1276,"Reported balance higher than expected (missing increase/OC build)","Reported balance lower than expected (missing decrease)"))))),""))</f>
        <v/>
      </c>
    </row>
    <row r="1277" customFormat="false" ht="15" hidden="false" customHeight="false" outlineLevel="0" collapsed="false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9"/>
      <c r="L1277" s="9"/>
      <c r="M1277" s="9"/>
      <c r="N1277" s="9"/>
      <c r="O1277" s="9"/>
      <c r="P1277" s="9"/>
      <c r="Q1277" s="9"/>
      <c r="R1277" s="9" t="str">
        <f aca="false">IF(AND(A1277&lt;&gt;"",ISNUMBER(Q1277),ISNUMBER(L1277)),ROUND(Q1277-IF(ISNUMBER(N1277),N1277,0)-IF(ISNUMBER(O1277),O1277,0)+IF(ISNUMBER(P1277),P1277,0),2),"")</f>
        <v/>
      </c>
      <c r="S1277" s="9" t="str">
        <f aca="false">IF(R1277="","",ROUND(L1277-R1277,2))</f>
        <v/>
      </c>
      <c r="T1277" s="8" t="str">
        <f aca="false">IF(A1277="","",IF(S1277="","BYPASS",IF(ABS(S1277)&lt;=Summary!$B$2,"PASS","FAIL")))</f>
        <v/>
      </c>
      <c r="U1277" s="8" t="str">
        <f aca="false">IF(T1277="BYPASS",IF(NOT(ISNUMBER(Q1277)),"PreV_ETB missing","End_tr_balance missing"),IF(T1277="FAIL",IF(AND(ISNUMBER(K1277),ISNUMBER(L1277),ABS(L1277-(K1277-IF(ISNUMBER(N1277),N1277,0)-IF(ISNUMBER(O1277),O1277,0)+IF(ISNUMBER(P1277),P1277,0)))&lt;=Summary!$B$2),"Passes using beginning_balance - PreV_ETB differs from beginning_balance",IF(AND(ISNUMBER(O1277),O1277&lt;0,ABS(L1277-(Q1277-IF(ISNUMBER(N1277),N1277,0)+IF(ISNUMBER(P1277),P1277,0)))&lt;=Summary!$B$2),"Negative realized loss not applied - check sign",IF(R1277&lt;0,"Principal paid exceeds prior balance",IF(AND(L1277&gt;Q1277,NOT(ISNUMBER(P1277))),"Balance increased but no Deferred_interest reported",IF(L1277&gt;R1277,"Reported balance higher than expected (missing increase/OC build)","Reported balance lower than expected (missing decrease)"))))),""))</f>
        <v/>
      </c>
    </row>
    <row r="1278" customFormat="false" ht="15" hidden="false" customHeight="false" outlineLevel="0" collapsed="false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9"/>
      <c r="L1278" s="9"/>
      <c r="M1278" s="9"/>
      <c r="N1278" s="9"/>
      <c r="O1278" s="9"/>
      <c r="P1278" s="9"/>
      <c r="Q1278" s="9"/>
      <c r="R1278" s="9" t="str">
        <f aca="false">IF(AND(A1278&lt;&gt;"",ISNUMBER(Q1278),ISNUMBER(L1278)),ROUND(Q1278-IF(ISNUMBER(N1278),N1278,0)-IF(ISNUMBER(O1278),O1278,0)+IF(ISNUMBER(P1278),P1278,0),2),"")</f>
        <v/>
      </c>
      <c r="S1278" s="9" t="str">
        <f aca="false">IF(R1278="","",ROUND(L1278-R1278,2))</f>
        <v/>
      </c>
      <c r="T1278" s="8" t="str">
        <f aca="false">IF(A1278="","",IF(S1278="","BYPASS",IF(ABS(S1278)&lt;=Summary!$B$2,"PASS","FAIL")))</f>
        <v/>
      </c>
      <c r="U1278" s="8" t="str">
        <f aca="false">IF(T1278="BYPASS",IF(NOT(ISNUMBER(Q1278)),"PreV_ETB missing","End_tr_balance missing"),IF(T1278="FAIL",IF(AND(ISNUMBER(K1278),ISNUMBER(L1278),ABS(L1278-(K1278-IF(ISNUMBER(N1278),N1278,0)-IF(ISNUMBER(O1278),O1278,0)+IF(ISNUMBER(P1278),P1278,0)))&lt;=Summary!$B$2),"Passes using beginning_balance - PreV_ETB differs from beginning_balance",IF(AND(ISNUMBER(O1278),O1278&lt;0,ABS(L1278-(Q1278-IF(ISNUMBER(N1278),N1278,0)+IF(ISNUMBER(P1278),P1278,0)))&lt;=Summary!$B$2),"Negative realized loss not applied - check sign",IF(R1278&lt;0,"Principal paid exceeds prior balance",IF(AND(L1278&gt;Q1278,NOT(ISNUMBER(P1278))),"Balance increased but no Deferred_interest reported",IF(L1278&gt;R1278,"Reported balance higher than expected (missing increase/OC build)","Reported balance lower than expected (missing decrease)"))))),""))</f>
        <v/>
      </c>
    </row>
    <row r="1279" customFormat="false" ht="15" hidden="false" customHeight="false" outlineLevel="0" collapsed="false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9"/>
      <c r="L1279" s="9"/>
      <c r="M1279" s="9"/>
      <c r="N1279" s="9"/>
      <c r="O1279" s="9"/>
      <c r="P1279" s="9"/>
      <c r="Q1279" s="9"/>
      <c r="R1279" s="9" t="str">
        <f aca="false">IF(AND(A1279&lt;&gt;"",ISNUMBER(Q1279),ISNUMBER(L1279)),ROUND(Q1279-IF(ISNUMBER(N1279),N1279,0)-IF(ISNUMBER(O1279),O1279,0)+IF(ISNUMBER(P1279),P1279,0),2),"")</f>
        <v/>
      </c>
      <c r="S1279" s="9" t="str">
        <f aca="false">IF(R1279="","",ROUND(L1279-R1279,2))</f>
        <v/>
      </c>
      <c r="T1279" s="8" t="str">
        <f aca="false">IF(A1279="","",IF(S1279="","BYPASS",IF(ABS(S1279)&lt;=Summary!$B$2,"PASS","FAIL")))</f>
        <v/>
      </c>
      <c r="U1279" s="8" t="str">
        <f aca="false">IF(T1279="BYPASS",IF(NOT(ISNUMBER(Q1279)),"PreV_ETB missing","End_tr_balance missing"),IF(T1279="FAIL",IF(AND(ISNUMBER(K1279),ISNUMBER(L1279),ABS(L1279-(K1279-IF(ISNUMBER(N1279),N1279,0)-IF(ISNUMBER(O1279),O1279,0)+IF(ISNUMBER(P1279),P1279,0)))&lt;=Summary!$B$2),"Passes using beginning_balance - PreV_ETB differs from beginning_balance",IF(AND(ISNUMBER(O1279),O1279&lt;0,ABS(L1279-(Q1279-IF(ISNUMBER(N1279),N1279,0)+IF(ISNUMBER(P1279),P1279,0)))&lt;=Summary!$B$2),"Negative realized loss not applied - check sign",IF(R1279&lt;0,"Principal paid exceeds prior balance",IF(AND(L1279&gt;Q1279,NOT(ISNUMBER(P1279))),"Balance increased but no Deferred_interest reported",IF(L1279&gt;R1279,"Reported balance higher than expected (missing increase/OC build)","Reported balance lower than expected (missing decrease)"))))),""))</f>
        <v/>
      </c>
    </row>
    <row r="1280" customFormat="false" ht="15" hidden="false" customHeight="false" outlineLevel="0" collapsed="false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9"/>
      <c r="L1280" s="9"/>
      <c r="M1280" s="9"/>
      <c r="N1280" s="9"/>
      <c r="O1280" s="9"/>
      <c r="P1280" s="9"/>
      <c r="Q1280" s="9"/>
      <c r="R1280" s="9" t="str">
        <f aca="false">IF(AND(A1280&lt;&gt;"",ISNUMBER(Q1280),ISNUMBER(L1280)),ROUND(Q1280-IF(ISNUMBER(N1280),N1280,0)-IF(ISNUMBER(O1280),O1280,0)+IF(ISNUMBER(P1280),P1280,0),2),"")</f>
        <v/>
      </c>
      <c r="S1280" s="9" t="str">
        <f aca="false">IF(R1280="","",ROUND(L1280-R1280,2))</f>
        <v/>
      </c>
      <c r="T1280" s="8" t="str">
        <f aca="false">IF(A1280="","",IF(S1280="","BYPASS",IF(ABS(S1280)&lt;=Summary!$B$2,"PASS","FAIL")))</f>
        <v/>
      </c>
      <c r="U1280" s="8" t="str">
        <f aca="false">IF(T1280="BYPASS",IF(NOT(ISNUMBER(Q1280)),"PreV_ETB missing","End_tr_balance missing"),IF(T1280="FAIL",IF(AND(ISNUMBER(K1280),ISNUMBER(L1280),ABS(L1280-(K1280-IF(ISNUMBER(N1280),N1280,0)-IF(ISNUMBER(O1280),O1280,0)+IF(ISNUMBER(P1280),P1280,0)))&lt;=Summary!$B$2),"Passes using beginning_balance - PreV_ETB differs from beginning_balance",IF(AND(ISNUMBER(O1280),O1280&lt;0,ABS(L1280-(Q1280-IF(ISNUMBER(N1280),N1280,0)+IF(ISNUMBER(P1280),P1280,0)))&lt;=Summary!$B$2),"Negative realized loss not applied - check sign",IF(R1280&lt;0,"Principal paid exceeds prior balance",IF(AND(L1280&gt;Q1280,NOT(ISNUMBER(P1280))),"Balance increased but no Deferred_interest reported",IF(L1280&gt;R1280,"Reported balance higher than expected (missing increase/OC build)","Reported balance lower than expected (missing decrease)"))))),""))</f>
        <v/>
      </c>
    </row>
    <row r="1281" customFormat="false" ht="15" hidden="false" customHeight="false" outlineLevel="0" collapsed="false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9"/>
      <c r="L1281" s="9"/>
      <c r="M1281" s="9"/>
      <c r="N1281" s="9"/>
      <c r="O1281" s="9"/>
      <c r="P1281" s="9"/>
      <c r="Q1281" s="9"/>
      <c r="R1281" s="9" t="str">
        <f aca="false">IF(AND(A1281&lt;&gt;"",ISNUMBER(Q1281),ISNUMBER(L1281)),ROUND(Q1281-IF(ISNUMBER(N1281),N1281,0)-IF(ISNUMBER(O1281),O1281,0)+IF(ISNUMBER(P1281),P1281,0),2),"")</f>
        <v/>
      </c>
      <c r="S1281" s="9" t="str">
        <f aca="false">IF(R1281="","",ROUND(L1281-R1281,2))</f>
        <v/>
      </c>
      <c r="T1281" s="8" t="str">
        <f aca="false">IF(A1281="","",IF(S1281="","BYPASS",IF(ABS(S1281)&lt;=Summary!$B$2,"PASS","FAIL")))</f>
        <v/>
      </c>
      <c r="U1281" s="8" t="str">
        <f aca="false">IF(T1281="BYPASS",IF(NOT(ISNUMBER(Q1281)),"PreV_ETB missing","End_tr_balance missing"),IF(T1281="FAIL",IF(AND(ISNUMBER(K1281),ISNUMBER(L1281),ABS(L1281-(K1281-IF(ISNUMBER(N1281),N1281,0)-IF(ISNUMBER(O1281),O1281,0)+IF(ISNUMBER(P1281),P1281,0)))&lt;=Summary!$B$2),"Passes using beginning_balance - PreV_ETB differs from beginning_balance",IF(AND(ISNUMBER(O1281),O1281&lt;0,ABS(L1281-(Q1281-IF(ISNUMBER(N1281),N1281,0)+IF(ISNUMBER(P1281),P1281,0)))&lt;=Summary!$B$2),"Negative realized loss not applied - check sign",IF(R1281&lt;0,"Principal paid exceeds prior balance",IF(AND(L1281&gt;Q1281,NOT(ISNUMBER(P1281))),"Balance increased but no Deferred_interest reported",IF(L1281&gt;R1281,"Reported balance higher than expected (missing increase/OC build)","Reported balance lower than expected (missing decrease)"))))),""))</f>
        <v/>
      </c>
    </row>
    <row r="1282" customFormat="false" ht="15" hidden="false" customHeight="false" outlineLevel="0" collapsed="false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9"/>
      <c r="L1282" s="9"/>
      <c r="M1282" s="9"/>
      <c r="N1282" s="9"/>
      <c r="O1282" s="9"/>
      <c r="P1282" s="9"/>
      <c r="Q1282" s="9"/>
      <c r="R1282" s="9" t="str">
        <f aca="false">IF(AND(A1282&lt;&gt;"",ISNUMBER(Q1282),ISNUMBER(L1282)),ROUND(Q1282-IF(ISNUMBER(N1282),N1282,0)-IF(ISNUMBER(O1282),O1282,0)+IF(ISNUMBER(P1282),P1282,0),2),"")</f>
        <v/>
      </c>
      <c r="S1282" s="9" t="str">
        <f aca="false">IF(R1282="","",ROUND(L1282-R1282,2))</f>
        <v/>
      </c>
      <c r="T1282" s="8" t="str">
        <f aca="false">IF(A1282="","",IF(S1282="","BYPASS",IF(ABS(S1282)&lt;=Summary!$B$2,"PASS","FAIL")))</f>
        <v/>
      </c>
      <c r="U1282" s="8" t="str">
        <f aca="false">IF(T1282="BYPASS",IF(NOT(ISNUMBER(Q1282)),"PreV_ETB missing","End_tr_balance missing"),IF(T1282="FAIL",IF(AND(ISNUMBER(K1282),ISNUMBER(L1282),ABS(L1282-(K1282-IF(ISNUMBER(N1282),N1282,0)-IF(ISNUMBER(O1282),O1282,0)+IF(ISNUMBER(P1282),P1282,0)))&lt;=Summary!$B$2),"Passes using beginning_balance - PreV_ETB differs from beginning_balance",IF(AND(ISNUMBER(O1282),O1282&lt;0,ABS(L1282-(Q1282-IF(ISNUMBER(N1282),N1282,0)+IF(ISNUMBER(P1282),P1282,0)))&lt;=Summary!$B$2),"Negative realized loss not applied - check sign",IF(R1282&lt;0,"Principal paid exceeds prior balance",IF(AND(L1282&gt;Q1282,NOT(ISNUMBER(P1282))),"Balance increased but no Deferred_interest reported",IF(L1282&gt;R1282,"Reported balance higher than expected (missing increase/OC build)","Reported balance lower than expected (missing decrease)"))))),""))</f>
        <v/>
      </c>
    </row>
    <row r="1283" customFormat="false" ht="15" hidden="false" customHeight="false" outlineLevel="0" collapsed="false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9"/>
      <c r="L1283" s="9"/>
      <c r="M1283" s="9"/>
      <c r="N1283" s="9"/>
      <c r="O1283" s="9"/>
      <c r="P1283" s="9"/>
      <c r="Q1283" s="9"/>
      <c r="R1283" s="9" t="str">
        <f aca="false">IF(AND(A1283&lt;&gt;"",ISNUMBER(Q1283),ISNUMBER(L1283)),ROUND(Q1283-IF(ISNUMBER(N1283),N1283,0)-IF(ISNUMBER(O1283),O1283,0)+IF(ISNUMBER(P1283),P1283,0),2),"")</f>
        <v/>
      </c>
      <c r="S1283" s="9" t="str">
        <f aca="false">IF(R1283="","",ROUND(L1283-R1283,2))</f>
        <v/>
      </c>
      <c r="T1283" s="8" t="str">
        <f aca="false">IF(A1283="","",IF(S1283="","BYPASS",IF(ABS(S1283)&lt;=Summary!$B$2,"PASS","FAIL")))</f>
        <v/>
      </c>
      <c r="U1283" s="8" t="str">
        <f aca="false">IF(T1283="BYPASS",IF(NOT(ISNUMBER(Q1283)),"PreV_ETB missing","End_tr_balance missing"),IF(T1283="FAIL",IF(AND(ISNUMBER(K1283),ISNUMBER(L1283),ABS(L1283-(K1283-IF(ISNUMBER(N1283),N1283,0)-IF(ISNUMBER(O1283),O1283,0)+IF(ISNUMBER(P1283),P1283,0)))&lt;=Summary!$B$2),"Passes using beginning_balance - PreV_ETB differs from beginning_balance",IF(AND(ISNUMBER(O1283),O1283&lt;0,ABS(L1283-(Q1283-IF(ISNUMBER(N1283),N1283,0)+IF(ISNUMBER(P1283),P1283,0)))&lt;=Summary!$B$2),"Negative realized loss not applied - check sign",IF(R1283&lt;0,"Principal paid exceeds prior balance",IF(AND(L1283&gt;Q1283,NOT(ISNUMBER(P1283))),"Balance increased but no Deferred_interest reported",IF(L1283&gt;R1283,"Reported balance higher than expected (missing increase/OC build)","Reported balance lower than expected (missing decrease)"))))),""))</f>
        <v/>
      </c>
    </row>
    <row r="1284" customFormat="false" ht="15" hidden="false" customHeight="false" outlineLevel="0" collapsed="false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9"/>
      <c r="L1284" s="9"/>
      <c r="M1284" s="9"/>
      <c r="N1284" s="9"/>
      <c r="O1284" s="9"/>
      <c r="P1284" s="9"/>
      <c r="Q1284" s="9"/>
      <c r="R1284" s="9" t="str">
        <f aca="false">IF(AND(A1284&lt;&gt;"",ISNUMBER(Q1284),ISNUMBER(L1284)),ROUND(Q1284-IF(ISNUMBER(N1284),N1284,0)-IF(ISNUMBER(O1284),O1284,0)+IF(ISNUMBER(P1284),P1284,0),2),"")</f>
        <v/>
      </c>
      <c r="S1284" s="9" t="str">
        <f aca="false">IF(R1284="","",ROUND(L1284-R1284,2))</f>
        <v/>
      </c>
      <c r="T1284" s="8" t="str">
        <f aca="false">IF(A1284="","",IF(S1284="","BYPASS",IF(ABS(S1284)&lt;=Summary!$B$2,"PASS","FAIL")))</f>
        <v/>
      </c>
      <c r="U1284" s="8" t="str">
        <f aca="false">IF(T1284="BYPASS",IF(NOT(ISNUMBER(Q1284)),"PreV_ETB missing","End_tr_balance missing"),IF(T1284="FAIL",IF(AND(ISNUMBER(K1284),ISNUMBER(L1284),ABS(L1284-(K1284-IF(ISNUMBER(N1284),N1284,0)-IF(ISNUMBER(O1284),O1284,0)+IF(ISNUMBER(P1284),P1284,0)))&lt;=Summary!$B$2),"Passes using beginning_balance - PreV_ETB differs from beginning_balance",IF(AND(ISNUMBER(O1284),O1284&lt;0,ABS(L1284-(Q1284-IF(ISNUMBER(N1284),N1284,0)+IF(ISNUMBER(P1284),P1284,0)))&lt;=Summary!$B$2),"Negative realized loss not applied - check sign",IF(R1284&lt;0,"Principal paid exceeds prior balance",IF(AND(L1284&gt;Q1284,NOT(ISNUMBER(P1284))),"Balance increased but no Deferred_interest reported",IF(L1284&gt;R1284,"Reported balance higher than expected (missing increase/OC build)","Reported balance lower than expected (missing decrease)"))))),""))</f>
        <v/>
      </c>
    </row>
    <row r="1285" customFormat="false" ht="15" hidden="false" customHeight="false" outlineLevel="0" collapsed="false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9"/>
      <c r="L1285" s="9"/>
      <c r="M1285" s="9"/>
      <c r="N1285" s="9"/>
      <c r="O1285" s="9"/>
      <c r="P1285" s="9"/>
      <c r="Q1285" s="9"/>
      <c r="R1285" s="9" t="str">
        <f aca="false">IF(AND(A1285&lt;&gt;"",ISNUMBER(Q1285),ISNUMBER(L1285)),ROUND(Q1285-IF(ISNUMBER(N1285),N1285,0)-IF(ISNUMBER(O1285),O1285,0)+IF(ISNUMBER(P1285),P1285,0),2),"")</f>
        <v/>
      </c>
      <c r="S1285" s="9" t="str">
        <f aca="false">IF(R1285="","",ROUND(L1285-R1285,2))</f>
        <v/>
      </c>
      <c r="T1285" s="8" t="str">
        <f aca="false">IF(A1285="","",IF(S1285="","BYPASS",IF(ABS(S1285)&lt;=Summary!$B$2,"PASS","FAIL")))</f>
        <v/>
      </c>
      <c r="U1285" s="8" t="str">
        <f aca="false">IF(T1285="BYPASS",IF(NOT(ISNUMBER(Q1285)),"PreV_ETB missing","End_tr_balance missing"),IF(T1285="FAIL",IF(AND(ISNUMBER(K1285),ISNUMBER(L1285),ABS(L1285-(K1285-IF(ISNUMBER(N1285),N1285,0)-IF(ISNUMBER(O1285),O1285,0)+IF(ISNUMBER(P1285),P1285,0)))&lt;=Summary!$B$2),"Passes using beginning_balance - PreV_ETB differs from beginning_balance",IF(AND(ISNUMBER(O1285),O1285&lt;0,ABS(L1285-(Q1285-IF(ISNUMBER(N1285),N1285,0)+IF(ISNUMBER(P1285),P1285,0)))&lt;=Summary!$B$2),"Negative realized loss not applied - check sign",IF(R1285&lt;0,"Principal paid exceeds prior balance",IF(AND(L1285&gt;Q1285,NOT(ISNUMBER(P1285))),"Balance increased but no Deferred_interest reported",IF(L1285&gt;R1285,"Reported balance higher than expected (missing increase/OC build)","Reported balance lower than expected (missing decrease)"))))),""))</f>
        <v/>
      </c>
    </row>
    <row r="1286" customFormat="false" ht="15" hidden="false" customHeight="false" outlineLevel="0" collapsed="false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9"/>
      <c r="L1286" s="9"/>
      <c r="M1286" s="9"/>
      <c r="N1286" s="9"/>
      <c r="O1286" s="9"/>
      <c r="P1286" s="9"/>
      <c r="Q1286" s="9"/>
      <c r="R1286" s="9" t="str">
        <f aca="false">IF(AND(A1286&lt;&gt;"",ISNUMBER(Q1286),ISNUMBER(L1286)),ROUND(Q1286-IF(ISNUMBER(N1286),N1286,0)-IF(ISNUMBER(O1286),O1286,0)+IF(ISNUMBER(P1286),P1286,0),2),"")</f>
        <v/>
      </c>
      <c r="S1286" s="9" t="str">
        <f aca="false">IF(R1286="","",ROUND(L1286-R1286,2))</f>
        <v/>
      </c>
      <c r="T1286" s="8" t="str">
        <f aca="false">IF(A1286="","",IF(S1286="","BYPASS",IF(ABS(S1286)&lt;=Summary!$B$2,"PASS","FAIL")))</f>
        <v/>
      </c>
      <c r="U1286" s="8" t="str">
        <f aca="false">IF(T1286="BYPASS",IF(NOT(ISNUMBER(Q1286)),"PreV_ETB missing","End_tr_balance missing"),IF(T1286="FAIL",IF(AND(ISNUMBER(K1286),ISNUMBER(L1286),ABS(L1286-(K1286-IF(ISNUMBER(N1286),N1286,0)-IF(ISNUMBER(O1286),O1286,0)+IF(ISNUMBER(P1286),P1286,0)))&lt;=Summary!$B$2),"Passes using beginning_balance - PreV_ETB differs from beginning_balance",IF(AND(ISNUMBER(O1286),O1286&lt;0,ABS(L1286-(Q1286-IF(ISNUMBER(N1286),N1286,0)+IF(ISNUMBER(P1286),P1286,0)))&lt;=Summary!$B$2),"Negative realized loss not applied - check sign",IF(R1286&lt;0,"Principal paid exceeds prior balance",IF(AND(L1286&gt;Q1286,NOT(ISNUMBER(P1286))),"Balance increased but no Deferred_interest reported",IF(L1286&gt;R1286,"Reported balance higher than expected (missing increase/OC build)","Reported balance lower than expected (missing decrease)"))))),""))</f>
        <v/>
      </c>
    </row>
    <row r="1287" customFormat="false" ht="15" hidden="false" customHeight="false" outlineLevel="0" collapsed="false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9"/>
      <c r="L1287" s="9"/>
      <c r="M1287" s="9"/>
      <c r="N1287" s="9"/>
      <c r="O1287" s="9"/>
      <c r="P1287" s="9"/>
      <c r="Q1287" s="9"/>
      <c r="R1287" s="9" t="str">
        <f aca="false">IF(AND(A1287&lt;&gt;"",ISNUMBER(Q1287),ISNUMBER(L1287)),ROUND(Q1287-IF(ISNUMBER(N1287),N1287,0)-IF(ISNUMBER(O1287),O1287,0)+IF(ISNUMBER(P1287),P1287,0),2),"")</f>
        <v/>
      </c>
      <c r="S1287" s="9" t="str">
        <f aca="false">IF(R1287="","",ROUND(L1287-R1287,2))</f>
        <v/>
      </c>
      <c r="T1287" s="8" t="str">
        <f aca="false">IF(A1287="","",IF(S1287="","BYPASS",IF(ABS(S1287)&lt;=Summary!$B$2,"PASS","FAIL")))</f>
        <v/>
      </c>
      <c r="U1287" s="8" t="str">
        <f aca="false">IF(T1287="BYPASS",IF(NOT(ISNUMBER(Q1287)),"PreV_ETB missing","End_tr_balance missing"),IF(T1287="FAIL",IF(AND(ISNUMBER(K1287),ISNUMBER(L1287),ABS(L1287-(K1287-IF(ISNUMBER(N1287),N1287,0)-IF(ISNUMBER(O1287),O1287,0)+IF(ISNUMBER(P1287),P1287,0)))&lt;=Summary!$B$2),"Passes using beginning_balance - PreV_ETB differs from beginning_balance",IF(AND(ISNUMBER(O1287),O1287&lt;0,ABS(L1287-(Q1287-IF(ISNUMBER(N1287),N1287,0)+IF(ISNUMBER(P1287),P1287,0)))&lt;=Summary!$B$2),"Negative realized loss not applied - check sign",IF(R1287&lt;0,"Principal paid exceeds prior balance",IF(AND(L1287&gt;Q1287,NOT(ISNUMBER(P1287))),"Balance increased but no Deferred_interest reported",IF(L1287&gt;R1287,"Reported balance higher than expected (missing increase/OC build)","Reported balance lower than expected (missing decrease)"))))),""))</f>
        <v/>
      </c>
    </row>
    <row r="1288" customFormat="false" ht="15" hidden="false" customHeight="false" outlineLevel="0" collapsed="false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9"/>
      <c r="L1288" s="9"/>
      <c r="M1288" s="9"/>
      <c r="N1288" s="9"/>
      <c r="O1288" s="9"/>
      <c r="P1288" s="9"/>
      <c r="Q1288" s="9"/>
      <c r="R1288" s="9" t="str">
        <f aca="false">IF(AND(A1288&lt;&gt;"",ISNUMBER(Q1288),ISNUMBER(L1288)),ROUND(Q1288-IF(ISNUMBER(N1288),N1288,0)-IF(ISNUMBER(O1288),O1288,0)+IF(ISNUMBER(P1288),P1288,0),2),"")</f>
        <v/>
      </c>
      <c r="S1288" s="9" t="str">
        <f aca="false">IF(R1288="","",ROUND(L1288-R1288,2))</f>
        <v/>
      </c>
      <c r="T1288" s="8" t="str">
        <f aca="false">IF(A1288="","",IF(S1288="","BYPASS",IF(ABS(S1288)&lt;=Summary!$B$2,"PASS","FAIL")))</f>
        <v/>
      </c>
      <c r="U1288" s="8" t="str">
        <f aca="false">IF(T1288="BYPASS",IF(NOT(ISNUMBER(Q1288)),"PreV_ETB missing","End_tr_balance missing"),IF(T1288="FAIL",IF(AND(ISNUMBER(K1288),ISNUMBER(L1288),ABS(L1288-(K1288-IF(ISNUMBER(N1288),N1288,0)-IF(ISNUMBER(O1288),O1288,0)+IF(ISNUMBER(P1288),P1288,0)))&lt;=Summary!$B$2),"Passes using beginning_balance - PreV_ETB differs from beginning_balance",IF(AND(ISNUMBER(O1288),O1288&lt;0,ABS(L1288-(Q1288-IF(ISNUMBER(N1288),N1288,0)+IF(ISNUMBER(P1288),P1288,0)))&lt;=Summary!$B$2),"Negative realized loss not applied - check sign",IF(R1288&lt;0,"Principal paid exceeds prior balance",IF(AND(L1288&gt;Q1288,NOT(ISNUMBER(P1288))),"Balance increased but no Deferred_interest reported",IF(L1288&gt;R1288,"Reported balance higher than expected (missing increase/OC build)","Reported balance lower than expected (missing decrease)"))))),""))</f>
        <v/>
      </c>
    </row>
    <row r="1289" customFormat="false" ht="15" hidden="false" customHeight="false" outlineLevel="0" collapsed="false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9"/>
      <c r="L1289" s="9"/>
      <c r="M1289" s="9"/>
      <c r="N1289" s="9"/>
      <c r="O1289" s="9"/>
      <c r="P1289" s="9"/>
      <c r="Q1289" s="9"/>
      <c r="R1289" s="9" t="str">
        <f aca="false">IF(AND(A1289&lt;&gt;"",ISNUMBER(Q1289),ISNUMBER(L1289)),ROUND(Q1289-IF(ISNUMBER(N1289),N1289,0)-IF(ISNUMBER(O1289),O1289,0)+IF(ISNUMBER(P1289),P1289,0),2),"")</f>
        <v/>
      </c>
      <c r="S1289" s="9" t="str">
        <f aca="false">IF(R1289="","",ROUND(L1289-R1289,2))</f>
        <v/>
      </c>
      <c r="T1289" s="8" t="str">
        <f aca="false">IF(A1289="","",IF(S1289="","BYPASS",IF(ABS(S1289)&lt;=Summary!$B$2,"PASS","FAIL")))</f>
        <v/>
      </c>
      <c r="U1289" s="8" t="str">
        <f aca="false">IF(T1289="BYPASS",IF(NOT(ISNUMBER(Q1289)),"PreV_ETB missing","End_tr_balance missing"),IF(T1289="FAIL",IF(AND(ISNUMBER(K1289),ISNUMBER(L1289),ABS(L1289-(K1289-IF(ISNUMBER(N1289),N1289,0)-IF(ISNUMBER(O1289),O1289,0)+IF(ISNUMBER(P1289),P1289,0)))&lt;=Summary!$B$2),"Passes using beginning_balance - PreV_ETB differs from beginning_balance",IF(AND(ISNUMBER(O1289),O1289&lt;0,ABS(L1289-(Q1289-IF(ISNUMBER(N1289),N1289,0)+IF(ISNUMBER(P1289),P1289,0)))&lt;=Summary!$B$2),"Negative realized loss not applied - check sign",IF(R1289&lt;0,"Principal paid exceeds prior balance",IF(AND(L1289&gt;Q1289,NOT(ISNUMBER(P1289))),"Balance increased but no Deferred_interest reported",IF(L1289&gt;R1289,"Reported balance higher than expected (missing increase/OC build)","Reported balance lower than expected (missing decrease)"))))),""))</f>
        <v/>
      </c>
    </row>
    <row r="1290" customFormat="false" ht="15" hidden="false" customHeight="false" outlineLevel="0" collapsed="false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9"/>
      <c r="L1290" s="9"/>
      <c r="M1290" s="9"/>
      <c r="N1290" s="9"/>
      <c r="O1290" s="9"/>
      <c r="P1290" s="9"/>
      <c r="Q1290" s="9"/>
      <c r="R1290" s="9" t="str">
        <f aca="false">IF(AND(A1290&lt;&gt;"",ISNUMBER(Q1290),ISNUMBER(L1290)),ROUND(Q1290-IF(ISNUMBER(N1290),N1290,0)-IF(ISNUMBER(O1290),O1290,0)+IF(ISNUMBER(P1290),P1290,0),2),"")</f>
        <v/>
      </c>
      <c r="S1290" s="9" t="str">
        <f aca="false">IF(R1290="","",ROUND(L1290-R1290,2))</f>
        <v/>
      </c>
      <c r="T1290" s="8" t="str">
        <f aca="false">IF(A1290="","",IF(S1290="","BYPASS",IF(ABS(S1290)&lt;=Summary!$B$2,"PASS","FAIL")))</f>
        <v/>
      </c>
      <c r="U1290" s="8" t="str">
        <f aca="false">IF(T1290="BYPASS",IF(NOT(ISNUMBER(Q1290)),"PreV_ETB missing","End_tr_balance missing"),IF(T1290="FAIL",IF(AND(ISNUMBER(K1290),ISNUMBER(L1290),ABS(L1290-(K1290-IF(ISNUMBER(N1290),N1290,0)-IF(ISNUMBER(O1290),O1290,0)+IF(ISNUMBER(P1290),P1290,0)))&lt;=Summary!$B$2),"Passes using beginning_balance - PreV_ETB differs from beginning_balance",IF(AND(ISNUMBER(O1290),O1290&lt;0,ABS(L1290-(Q1290-IF(ISNUMBER(N1290),N1290,0)+IF(ISNUMBER(P1290),P1290,0)))&lt;=Summary!$B$2),"Negative realized loss not applied - check sign",IF(R1290&lt;0,"Principal paid exceeds prior balance",IF(AND(L1290&gt;Q1290,NOT(ISNUMBER(P1290))),"Balance increased but no Deferred_interest reported",IF(L1290&gt;R1290,"Reported balance higher than expected (missing increase/OC build)","Reported balance lower than expected (missing decrease)"))))),""))</f>
        <v/>
      </c>
    </row>
    <row r="1291" customFormat="false" ht="15" hidden="false" customHeight="false" outlineLevel="0" collapsed="false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9"/>
      <c r="L1291" s="9"/>
      <c r="M1291" s="9"/>
      <c r="N1291" s="9"/>
      <c r="O1291" s="9"/>
      <c r="P1291" s="9"/>
      <c r="Q1291" s="9"/>
      <c r="R1291" s="9" t="str">
        <f aca="false">IF(AND(A1291&lt;&gt;"",ISNUMBER(Q1291),ISNUMBER(L1291)),ROUND(Q1291-IF(ISNUMBER(N1291),N1291,0)-IF(ISNUMBER(O1291),O1291,0)+IF(ISNUMBER(P1291),P1291,0),2),"")</f>
        <v/>
      </c>
      <c r="S1291" s="9" t="str">
        <f aca="false">IF(R1291="","",ROUND(L1291-R1291,2))</f>
        <v/>
      </c>
      <c r="T1291" s="8" t="str">
        <f aca="false">IF(A1291="","",IF(S1291="","BYPASS",IF(ABS(S1291)&lt;=Summary!$B$2,"PASS","FAIL")))</f>
        <v/>
      </c>
      <c r="U1291" s="8" t="str">
        <f aca="false">IF(T1291="BYPASS",IF(NOT(ISNUMBER(Q1291)),"PreV_ETB missing","End_tr_balance missing"),IF(T1291="FAIL",IF(AND(ISNUMBER(K1291),ISNUMBER(L1291),ABS(L1291-(K1291-IF(ISNUMBER(N1291),N1291,0)-IF(ISNUMBER(O1291),O1291,0)+IF(ISNUMBER(P1291),P1291,0)))&lt;=Summary!$B$2),"Passes using beginning_balance - PreV_ETB differs from beginning_balance",IF(AND(ISNUMBER(O1291),O1291&lt;0,ABS(L1291-(Q1291-IF(ISNUMBER(N1291),N1291,0)+IF(ISNUMBER(P1291),P1291,0)))&lt;=Summary!$B$2),"Negative realized loss not applied - check sign",IF(R1291&lt;0,"Principal paid exceeds prior balance",IF(AND(L1291&gt;Q1291,NOT(ISNUMBER(P1291))),"Balance increased but no Deferred_interest reported",IF(L1291&gt;R1291,"Reported balance higher than expected (missing increase/OC build)","Reported balance lower than expected (missing decrease)"))))),""))</f>
        <v/>
      </c>
    </row>
    <row r="1292" customFormat="false" ht="15" hidden="false" customHeight="false" outlineLevel="0" collapsed="false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9"/>
      <c r="L1292" s="9"/>
      <c r="M1292" s="9"/>
      <c r="N1292" s="9"/>
      <c r="O1292" s="9"/>
      <c r="P1292" s="9"/>
      <c r="Q1292" s="9"/>
      <c r="R1292" s="9" t="str">
        <f aca="false">IF(AND(A1292&lt;&gt;"",ISNUMBER(Q1292),ISNUMBER(L1292)),ROUND(Q1292-IF(ISNUMBER(N1292),N1292,0)-IF(ISNUMBER(O1292),O1292,0)+IF(ISNUMBER(P1292),P1292,0),2),"")</f>
        <v/>
      </c>
      <c r="S1292" s="9" t="str">
        <f aca="false">IF(R1292="","",ROUND(L1292-R1292,2))</f>
        <v/>
      </c>
      <c r="T1292" s="8" t="str">
        <f aca="false">IF(A1292="","",IF(S1292="","BYPASS",IF(ABS(S1292)&lt;=Summary!$B$2,"PASS","FAIL")))</f>
        <v/>
      </c>
      <c r="U1292" s="8" t="str">
        <f aca="false">IF(T1292="BYPASS",IF(NOT(ISNUMBER(Q1292)),"PreV_ETB missing","End_tr_balance missing"),IF(T1292="FAIL",IF(AND(ISNUMBER(K1292),ISNUMBER(L1292),ABS(L1292-(K1292-IF(ISNUMBER(N1292),N1292,0)-IF(ISNUMBER(O1292),O1292,0)+IF(ISNUMBER(P1292),P1292,0)))&lt;=Summary!$B$2),"Passes using beginning_balance - PreV_ETB differs from beginning_balance",IF(AND(ISNUMBER(O1292),O1292&lt;0,ABS(L1292-(Q1292-IF(ISNUMBER(N1292),N1292,0)+IF(ISNUMBER(P1292),P1292,0)))&lt;=Summary!$B$2),"Negative realized loss not applied - check sign",IF(R1292&lt;0,"Principal paid exceeds prior balance",IF(AND(L1292&gt;Q1292,NOT(ISNUMBER(P1292))),"Balance increased but no Deferred_interest reported",IF(L1292&gt;R1292,"Reported balance higher than expected (missing increase/OC build)","Reported balance lower than expected (missing decrease)"))))),""))</f>
        <v/>
      </c>
    </row>
    <row r="1293" customFormat="false" ht="15" hidden="false" customHeight="false" outlineLevel="0" collapsed="false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9"/>
      <c r="L1293" s="9"/>
      <c r="M1293" s="9"/>
      <c r="N1293" s="9"/>
      <c r="O1293" s="9"/>
      <c r="P1293" s="9"/>
      <c r="Q1293" s="9"/>
      <c r="R1293" s="9" t="str">
        <f aca="false">IF(AND(A1293&lt;&gt;"",ISNUMBER(Q1293),ISNUMBER(L1293)),ROUND(Q1293-IF(ISNUMBER(N1293),N1293,0)-IF(ISNUMBER(O1293),O1293,0)+IF(ISNUMBER(P1293),P1293,0),2),"")</f>
        <v/>
      </c>
      <c r="S1293" s="9" t="str">
        <f aca="false">IF(R1293="","",ROUND(L1293-R1293,2))</f>
        <v/>
      </c>
      <c r="T1293" s="8" t="str">
        <f aca="false">IF(A1293="","",IF(S1293="","BYPASS",IF(ABS(S1293)&lt;=Summary!$B$2,"PASS","FAIL")))</f>
        <v/>
      </c>
      <c r="U1293" s="8" t="str">
        <f aca="false">IF(T1293="BYPASS",IF(NOT(ISNUMBER(Q1293)),"PreV_ETB missing","End_tr_balance missing"),IF(T1293="FAIL",IF(AND(ISNUMBER(K1293),ISNUMBER(L1293),ABS(L1293-(K1293-IF(ISNUMBER(N1293),N1293,0)-IF(ISNUMBER(O1293),O1293,0)+IF(ISNUMBER(P1293),P1293,0)))&lt;=Summary!$B$2),"Passes using beginning_balance - PreV_ETB differs from beginning_balance",IF(AND(ISNUMBER(O1293),O1293&lt;0,ABS(L1293-(Q1293-IF(ISNUMBER(N1293),N1293,0)+IF(ISNUMBER(P1293),P1293,0)))&lt;=Summary!$B$2),"Negative realized loss not applied - check sign",IF(R1293&lt;0,"Principal paid exceeds prior balance",IF(AND(L1293&gt;Q1293,NOT(ISNUMBER(P1293))),"Balance increased but no Deferred_interest reported",IF(L1293&gt;R1293,"Reported balance higher than expected (missing increase/OC build)","Reported balance lower than expected (missing decrease)"))))),""))</f>
        <v/>
      </c>
    </row>
    <row r="1294" customFormat="false" ht="15" hidden="false" customHeight="false" outlineLevel="0" collapsed="false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9"/>
      <c r="L1294" s="9"/>
      <c r="M1294" s="9"/>
      <c r="N1294" s="9"/>
      <c r="O1294" s="9"/>
      <c r="P1294" s="9"/>
      <c r="Q1294" s="9"/>
      <c r="R1294" s="9" t="str">
        <f aca="false">IF(AND(A1294&lt;&gt;"",ISNUMBER(Q1294),ISNUMBER(L1294)),ROUND(Q1294-IF(ISNUMBER(N1294),N1294,0)-IF(ISNUMBER(O1294),O1294,0)+IF(ISNUMBER(P1294),P1294,0),2),"")</f>
        <v/>
      </c>
      <c r="S1294" s="9" t="str">
        <f aca="false">IF(R1294="","",ROUND(L1294-R1294,2))</f>
        <v/>
      </c>
      <c r="T1294" s="8" t="str">
        <f aca="false">IF(A1294="","",IF(S1294="","BYPASS",IF(ABS(S1294)&lt;=Summary!$B$2,"PASS","FAIL")))</f>
        <v/>
      </c>
      <c r="U1294" s="8" t="str">
        <f aca="false">IF(T1294="BYPASS",IF(NOT(ISNUMBER(Q1294)),"PreV_ETB missing","End_tr_balance missing"),IF(T1294="FAIL",IF(AND(ISNUMBER(K1294),ISNUMBER(L1294),ABS(L1294-(K1294-IF(ISNUMBER(N1294),N1294,0)-IF(ISNUMBER(O1294),O1294,0)+IF(ISNUMBER(P1294),P1294,0)))&lt;=Summary!$B$2),"Passes using beginning_balance - PreV_ETB differs from beginning_balance",IF(AND(ISNUMBER(O1294),O1294&lt;0,ABS(L1294-(Q1294-IF(ISNUMBER(N1294),N1294,0)+IF(ISNUMBER(P1294),P1294,0)))&lt;=Summary!$B$2),"Negative realized loss not applied - check sign",IF(R1294&lt;0,"Principal paid exceeds prior balance",IF(AND(L1294&gt;Q1294,NOT(ISNUMBER(P1294))),"Balance increased but no Deferred_interest reported",IF(L1294&gt;R1294,"Reported balance higher than expected (missing increase/OC build)","Reported balance lower than expected (missing decrease)"))))),""))</f>
        <v/>
      </c>
    </row>
    <row r="1295" customFormat="false" ht="15" hidden="false" customHeight="false" outlineLevel="0" collapsed="false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9"/>
      <c r="L1295" s="9"/>
      <c r="M1295" s="9"/>
      <c r="N1295" s="9"/>
      <c r="O1295" s="9"/>
      <c r="P1295" s="9"/>
      <c r="Q1295" s="9"/>
      <c r="R1295" s="9" t="str">
        <f aca="false">IF(AND(A1295&lt;&gt;"",ISNUMBER(Q1295),ISNUMBER(L1295)),ROUND(Q1295-IF(ISNUMBER(N1295),N1295,0)-IF(ISNUMBER(O1295),O1295,0)+IF(ISNUMBER(P1295),P1295,0),2),"")</f>
        <v/>
      </c>
      <c r="S1295" s="9" t="str">
        <f aca="false">IF(R1295="","",ROUND(L1295-R1295,2))</f>
        <v/>
      </c>
      <c r="T1295" s="8" t="str">
        <f aca="false">IF(A1295="","",IF(S1295="","BYPASS",IF(ABS(S1295)&lt;=Summary!$B$2,"PASS","FAIL")))</f>
        <v/>
      </c>
      <c r="U1295" s="8" t="str">
        <f aca="false">IF(T1295="BYPASS",IF(NOT(ISNUMBER(Q1295)),"PreV_ETB missing","End_tr_balance missing"),IF(T1295="FAIL",IF(AND(ISNUMBER(K1295),ISNUMBER(L1295),ABS(L1295-(K1295-IF(ISNUMBER(N1295),N1295,0)-IF(ISNUMBER(O1295),O1295,0)+IF(ISNUMBER(P1295),P1295,0)))&lt;=Summary!$B$2),"Passes using beginning_balance - PreV_ETB differs from beginning_balance",IF(AND(ISNUMBER(O1295),O1295&lt;0,ABS(L1295-(Q1295-IF(ISNUMBER(N1295),N1295,0)+IF(ISNUMBER(P1295),P1295,0)))&lt;=Summary!$B$2),"Negative realized loss not applied - check sign",IF(R1295&lt;0,"Principal paid exceeds prior balance",IF(AND(L1295&gt;Q1295,NOT(ISNUMBER(P1295))),"Balance increased but no Deferred_interest reported",IF(L1295&gt;R1295,"Reported balance higher than expected (missing increase/OC build)","Reported balance lower than expected (missing decrease)"))))),""))</f>
        <v/>
      </c>
    </row>
    <row r="1296" customFormat="false" ht="15" hidden="false" customHeight="false" outlineLevel="0" collapsed="false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9"/>
      <c r="L1296" s="9"/>
      <c r="M1296" s="9"/>
      <c r="N1296" s="9"/>
      <c r="O1296" s="9"/>
      <c r="P1296" s="9"/>
      <c r="Q1296" s="9"/>
      <c r="R1296" s="9" t="str">
        <f aca="false">IF(AND(A1296&lt;&gt;"",ISNUMBER(Q1296),ISNUMBER(L1296)),ROUND(Q1296-IF(ISNUMBER(N1296),N1296,0)-IF(ISNUMBER(O1296),O1296,0)+IF(ISNUMBER(P1296),P1296,0),2),"")</f>
        <v/>
      </c>
      <c r="S1296" s="9" t="str">
        <f aca="false">IF(R1296="","",ROUND(L1296-R1296,2))</f>
        <v/>
      </c>
      <c r="T1296" s="8" t="str">
        <f aca="false">IF(A1296="","",IF(S1296="","BYPASS",IF(ABS(S1296)&lt;=Summary!$B$2,"PASS","FAIL")))</f>
        <v/>
      </c>
      <c r="U1296" s="8" t="str">
        <f aca="false">IF(T1296="BYPASS",IF(NOT(ISNUMBER(Q1296)),"PreV_ETB missing","End_tr_balance missing"),IF(T1296="FAIL",IF(AND(ISNUMBER(K1296),ISNUMBER(L1296),ABS(L1296-(K1296-IF(ISNUMBER(N1296),N1296,0)-IF(ISNUMBER(O1296),O1296,0)+IF(ISNUMBER(P1296),P1296,0)))&lt;=Summary!$B$2),"Passes using beginning_balance - PreV_ETB differs from beginning_balance",IF(AND(ISNUMBER(O1296),O1296&lt;0,ABS(L1296-(Q1296-IF(ISNUMBER(N1296),N1296,0)+IF(ISNUMBER(P1296),P1296,0)))&lt;=Summary!$B$2),"Negative realized loss not applied - check sign",IF(R1296&lt;0,"Principal paid exceeds prior balance",IF(AND(L1296&gt;Q1296,NOT(ISNUMBER(P1296))),"Balance increased but no Deferred_interest reported",IF(L1296&gt;R1296,"Reported balance higher than expected (missing increase/OC build)","Reported balance lower than expected (missing decrease)"))))),""))</f>
        <v/>
      </c>
    </row>
    <row r="1297" customFormat="false" ht="15" hidden="false" customHeight="false" outlineLevel="0" collapsed="false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9"/>
      <c r="L1297" s="9"/>
      <c r="M1297" s="9"/>
      <c r="N1297" s="9"/>
      <c r="O1297" s="9"/>
      <c r="P1297" s="9"/>
      <c r="Q1297" s="9"/>
      <c r="R1297" s="9" t="str">
        <f aca="false">IF(AND(A1297&lt;&gt;"",ISNUMBER(Q1297),ISNUMBER(L1297)),ROUND(Q1297-IF(ISNUMBER(N1297),N1297,0)-IF(ISNUMBER(O1297),O1297,0)+IF(ISNUMBER(P1297),P1297,0),2),"")</f>
        <v/>
      </c>
      <c r="S1297" s="9" t="str">
        <f aca="false">IF(R1297="","",ROUND(L1297-R1297,2))</f>
        <v/>
      </c>
      <c r="T1297" s="8" t="str">
        <f aca="false">IF(A1297="","",IF(S1297="","BYPASS",IF(ABS(S1297)&lt;=Summary!$B$2,"PASS","FAIL")))</f>
        <v/>
      </c>
      <c r="U1297" s="8" t="str">
        <f aca="false">IF(T1297="BYPASS",IF(NOT(ISNUMBER(Q1297)),"PreV_ETB missing","End_tr_balance missing"),IF(T1297="FAIL",IF(AND(ISNUMBER(K1297),ISNUMBER(L1297),ABS(L1297-(K1297-IF(ISNUMBER(N1297),N1297,0)-IF(ISNUMBER(O1297),O1297,0)+IF(ISNUMBER(P1297),P1297,0)))&lt;=Summary!$B$2),"Passes using beginning_balance - PreV_ETB differs from beginning_balance",IF(AND(ISNUMBER(O1297),O1297&lt;0,ABS(L1297-(Q1297-IF(ISNUMBER(N1297),N1297,0)+IF(ISNUMBER(P1297),P1297,0)))&lt;=Summary!$B$2),"Negative realized loss not applied - check sign",IF(R1297&lt;0,"Principal paid exceeds prior balance",IF(AND(L1297&gt;Q1297,NOT(ISNUMBER(P1297))),"Balance increased but no Deferred_interest reported",IF(L1297&gt;R1297,"Reported balance higher than expected (missing increase/OC build)","Reported balance lower than expected (missing decrease)"))))),""))</f>
        <v/>
      </c>
    </row>
    <row r="1298" customFormat="false" ht="15" hidden="false" customHeight="false" outlineLevel="0" collapsed="false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9"/>
      <c r="L1298" s="9"/>
      <c r="M1298" s="9"/>
      <c r="N1298" s="9"/>
      <c r="O1298" s="9"/>
      <c r="P1298" s="9"/>
      <c r="Q1298" s="9"/>
      <c r="R1298" s="9" t="str">
        <f aca="false">IF(AND(A1298&lt;&gt;"",ISNUMBER(Q1298),ISNUMBER(L1298)),ROUND(Q1298-IF(ISNUMBER(N1298),N1298,0)-IF(ISNUMBER(O1298),O1298,0)+IF(ISNUMBER(P1298),P1298,0),2),"")</f>
        <v/>
      </c>
      <c r="S1298" s="9" t="str">
        <f aca="false">IF(R1298="","",ROUND(L1298-R1298,2))</f>
        <v/>
      </c>
      <c r="T1298" s="8" t="str">
        <f aca="false">IF(A1298="","",IF(S1298="","BYPASS",IF(ABS(S1298)&lt;=Summary!$B$2,"PASS","FAIL")))</f>
        <v/>
      </c>
      <c r="U1298" s="8" t="str">
        <f aca="false">IF(T1298="BYPASS",IF(NOT(ISNUMBER(Q1298)),"PreV_ETB missing","End_tr_balance missing"),IF(T1298="FAIL",IF(AND(ISNUMBER(K1298),ISNUMBER(L1298),ABS(L1298-(K1298-IF(ISNUMBER(N1298),N1298,0)-IF(ISNUMBER(O1298),O1298,0)+IF(ISNUMBER(P1298),P1298,0)))&lt;=Summary!$B$2),"Passes using beginning_balance - PreV_ETB differs from beginning_balance",IF(AND(ISNUMBER(O1298),O1298&lt;0,ABS(L1298-(Q1298-IF(ISNUMBER(N1298),N1298,0)+IF(ISNUMBER(P1298),P1298,0)))&lt;=Summary!$B$2),"Negative realized loss not applied - check sign",IF(R1298&lt;0,"Principal paid exceeds prior balance",IF(AND(L1298&gt;Q1298,NOT(ISNUMBER(P1298))),"Balance increased but no Deferred_interest reported",IF(L1298&gt;R1298,"Reported balance higher than expected (missing increase/OC build)","Reported balance lower than expected (missing decrease)"))))),""))</f>
        <v/>
      </c>
    </row>
    <row r="1299" customFormat="false" ht="15" hidden="false" customHeight="false" outlineLevel="0" collapsed="false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9"/>
      <c r="L1299" s="9"/>
      <c r="M1299" s="9"/>
      <c r="N1299" s="9"/>
      <c r="O1299" s="9"/>
      <c r="P1299" s="9"/>
      <c r="Q1299" s="9"/>
      <c r="R1299" s="9" t="str">
        <f aca="false">IF(AND(A1299&lt;&gt;"",ISNUMBER(Q1299),ISNUMBER(L1299)),ROUND(Q1299-IF(ISNUMBER(N1299),N1299,0)-IF(ISNUMBER(O1299),O1299,0)+IF(ISNUMBER(P1299),P1299,0),2),"")</f>
        <v/>
      </c>
      <c r="S1299" s="9" t="str">
        <f aca="false">IF(R1299="","",ROUND(L1299-R1299,2))</f>
        <v/>
      </c>
      <c r="T1299" s="8" t="str">
        <f aca="false">IF(A1299="","",IF(S1299="","BYPASS",IF(ABS(S1299)&lt;=Summary!$B$2,"PASS","FAIL")))</f>
        <v/>
      </c>
      <c r="U1299" s="8" t="str">
        <f aca="false">IF(T1299="BYPASS",IF(NOT(ISNUMBER(Q1299)),"PreV_ETB missing","End_tr_balance missing"),IF(T1299="FAIL",IF(AND(ISNUMBER(K1299),ISNUMBER(L1299),ABS(L1299-(K1299-IF(ISNUMBER(N1299),N1299,0)-IF(ISNUMBER(O1299),O1299,0)+IF(ISNUMBER(P1299),P1299,0)))&lt;=Summary!$B$2),"Passes using beginning_balance - PreV_ETB differs from beginning_balance",IF(AND(ISNUMBER(O1299),O1299&lt;0,ABS(L1299-(Q1299-IF(ISNUMBER(N1299),N1299,0)+IF(ISNUMBER(P1299),P1299,0)))&lt;=Summary!$B$2),"Negative realized loss not applied - check sign",IF(R1299&lt;0,"Principal paid exceeds prior balance",IF(AND(L1299&gt;Q1299,NOT(ISNUMBER(P1299))),"Balance increased but no Deferred_interest reported",IF(L1299&gt;R1299,"Reported balance higher than expected (missing increase/OC build)","Reported balance lower than expected (missing decrease)"))))),""))</f>
        <v/>
      </c>
    </row>
    <row r="1300" customFormat="false" ht="15" hidden="false" customHeight="false" outlineLevel="0" collapsed="false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9"/>
      <c r="L1300" s="9"/>
      <c r="M1300" s="9"/>
      <c r="N1300" s="9"/>
      <c r="O1300" s="9"/>
      <c r="P1300" s="9"/>
      <c r="Q1300" s="9"/>
      <c r="R1300" s="9" t="str">
        <f aca="false">IF(AND(A1300&lt;&gt;"",ISNUMBER(Q1300),ISNUMBER(L1300)),ROUND(Q1300-IF(ISNUMBER(N1300),N1300,0)-IF(ISNUMBER(O1300),O1300,0)+IF(ISNUMBER(P1300),P1300,0),2),"")</f>
        <v/>
      </c>
      <c r="S1300" s="9" t="str">
        <f aca="false">IF(R1300="","",ROUND(L1300-R1300,2))</f>
        <v/>
      </c>
      <c r="T1300" s="8" t="str">
        <f aca="false">IF(A1300="","",IF(S1300="","BYPASS",IF(ABS(S1300)&lt;=Summary!$B$2,"PASS","FAIL")))</f>
        <v/>
      </c>
      <c r="U1300" s="8" t="str">
        <f aca="false">IF(T1300="BYPASS",IF(NOT(ISNUMBER(Q1300)),"PreV_ETB missing","End_tr_balance missing"),IF(T1300="FAIL",IF(AND(ISNUMBER(K1300),ISNUMBER(L1300),ABS(L1300-(K1300-IF(ISNUMBER(N1300),N1300,0)-IF(ISNUMBER(O1300),O1300,0)+IF(ISNUMBER(P1300),P1300,0)))&lt;=Summary!$B$2),"Passes using beginning_balance - PreV_ETB differs from beginning_balance",IF(AND(ISNUMBER(O1300),O1300&lt;0,ABS(L1300-(Q1300-IF(ISNUMBER(N1300),N1300,0)+IF(ISNUMBER(P1300),P1300,0)))&lt;=Summary!$B$2),"Negative realized loss not applied - check sign",IF(R1300&lt;0,"Principal paid exceeds prior balance",IF(AND(L1300&gt;Q1300,NOT(ISNUMBER(P1300))),"Balance increased but no Deferred_interest reported",IF(L1300&gt;R1300,"Reported balance higher than expected (missing increase/OC build)","Reported balance lower than expected (missing decrease)"))))),""))</f>
        <v/>
      </c>
    </row>
    <row r="1301" customFormat="false" ht="15" hidden="false" customHeight="false" outlineLevel="0" collapsed="false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9"/>
      <c r="L1301" s="9"/>
      <c r="M1301" s="9"/>
      <c r="N1301" s="9"/>
      <c r="O1301" s="9"/>
      <c r="P1301" s="9"/>
      <c r="Q1301" s="9"/>
      <c r="R1301" s="9" t="str">
        <f aca="false">IF(AND(A1301&lt;&gt;"",ISNUMBER(Q1301),ISNUMBER(L1301)),ROUND(Q1301-IF(ISNUMBER(N1301),N1301,0)-IF(ISNUMBER(O1301),O1301,0)+IF(ISNUMBER(P1301),P1301,0),2),"")</f>
        <v/>
      </c>
      <c r="S1301" s="9" t="str">
        <f aca="false">IF(R1301="","",ROUND(L1301-R1301,2))</f>
        <v/>
      </c>
      <c r="T1301" s="8" t="str">
        <f aca="false">IF(A1301="","",IF(S1301="","BYPASS",IF(ABS(S1301)&lt;=Summary!$B$2,"PASS","FAIL")))</f>
        <v/>
      </c>
      <c r="U1301" s="8" t="str">
        <f aca="false">IF(T1301="BYPASS",IF(NOT(ISNUMBER(Q1301)),"PreV_ETB missing","End_tr_balance missing"),IF(T1301="FAIL",IF(AND(ISNUMBER(K1301),ISNUMBER(L1301),ABS(L1301-(K1301-IF(ISNUMBER(N1301),N1301,0)-IF(ISNUMBER(O1301),O1301,0)+IF(ISNUMBER(P1301),P1301,0)))&lt;=Summary!$B$2),"Passes using beginning_balance - PreV_ETB differs from beginning_balance",IF(AND(ISNUMBER(O1301),O1301&lt;0,ABS(L1301-(Q1301-IF(ISNUMBER(N1301),N1301,0)+IF(ISNUMBER(P1301),P1301,0)))&lt;=Summary!$B$2),"Negative realized loss not applied - check sign",IF(R1301&lt;0,"Principal paid exceeds prior balance",IF(AND(L1301&gt;Q1301,NOT(ISNUMBER(P1301))),"Balance increased but no Deferred_interest reported",IF(L1301&gt;R1301,"Reported balance higher than expected (missing increase/OC build)","Reported balance lower than expected (missing decrease)"))))),""))</f>
        <v/>
      </c>
    </row>
    <row r="1302" customFormat="false" ht="15" hidden="false" customHeight="false" outlineLevel="0" collapsed="false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9"/>
      <c r="L1302" s="9"/>
      <c r="M1302" s="9"/>
      <c r="N1302" s="9"/>
      <c r="O1302" s="9"/>
      <c r="P1302" s="9"/>
      <c r="Q1302" s="9"/>
      <c r="R1302" s="9" t="str">
        <f aca="false">IF(AND(A1302&lt;&gt;"",ISNUMBER(Q1302),ISNUMBER(L1302)),ROUND(Q1302-IF(ISNUMBER(N1302),N1302,0)-IF(ISNUMBER(O1302),O1302,0)+IF(ISNUMBER(P1302),P1302,0),2),"")</f>
        <v/>
      </c>
      <c r="S1302" s="9" t="str">
        <f aca="false">IF(R1302="","",ROUND(L1302-R1302,2))</f>
        <v/>
      </c>
      <c r="T1302" s="8" t="str">
        <f aca="false">IF(A1302="","",IF(S1302="","BYPASS",IF(ABS(S1302)&lt;=Summary!$B$2,"PASS","FAIL")))</f>
        <v/>
      </c>
      <c r="U1302" s="8" t="str">
        <f aca="false">IF(T1302="BYPASS",IF(NOT(ISNUMBER(Q1302)),"PreV_ETB missing","End_tr_balance missing"),IF(T1302="FAIL",IF(AND(ISNUMBER(K1302),ISNUMBER(L1302),ABS(L1302-(K1302-IF(ISNUMBER(N1302),N1302,0)-IF(ISNUMBER(O1302),O1302,0)+IF(ISNUMBER(P1302),P1302,0)))&lt;=Summary!$B$2),"Passes using beginning_balance - PreV_ETB differs from beginning_balance",IF(AND(ISNUMBER(O1302),O1302&lt;0,ABS(L1302-(Q1302-IF(ISNUMBER(N1302),N1302,0)+IF(ISNUMBER(P1302),P1302,0)))&lt;=Summary!$B$2),"Negative realized loss not applied - check sign",IF(R1302&lt;0,"Principal paid exceeds prior balance",IF(AND(L1302&gt;Q1302,NOT(ISNUMBER(P1302))),"Balance increased but no Deferred_interest reported",IF(L1302&gt;R1302,"Reported balance higher than expected (missing increase/OC build)","Reported balance lower than expected (missing decrease)"))))),""))</f>
        <v/>
      </c>
    </row>
    <row r="1303" customFormat="false" ht="15" hidden="false" customHeight="false" outlineLevel="0" collapsed="false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9"/>
      <c r="L1303" s="9"/>
      <c r="M1303" s="9"/>
      <c r="N1303" s="9"/>
      <c r="O1303" s="9"/>
      <c r="P1303" s="9"/>
      <c r="Q1303" s="9"/>
      <c r="R1303" s="9" t="str">
        <f aca="false">IF(AND(A1303&lt;&gt;"",ISNUMBER(Q1303),ISNUMBER(L1303)),ROUND(Q1303-IF(ISNUMBER(N1303),N1303,0)-IF(ISNUMBER(O1303),O1303,0)+IF(ISNUMBER(P1303),P1303,0),2),"")</f>
        <v/>
      </c>
      <c r="S1303" s="9" t="str">
        <f aca="false">IF(R1303="","",ROUND(L1303-R1303,2))</f>
        <v/>
      </c>
      <c r="T1303" s="8" t="str">
        <f aca="false">IF(A1303="","",IF(S1303="","BYPASS",IF(ABS(S1303)&lt;=Summary!$B$2,"PASS","FAIL")))</f>
        <v/>
      </c>
      <c r="U1303" s="8" t="str">
        <f aca="false">IF(T1303="BYPASS",IF(NOT(ISNUMBER(Q1303)),"PreV_ETB missing","End_tr_balance missing"),IF(T1303="FAIL",IF(AND(ISNUMBER(K1303),ISNUMBER(L1303),ABS(L1303-(K1303-IF(ISNUMBER(N1303),N1303,0)-IF(ISNUMBER(O1303),O1303,0)+IF(ISNUMBER(P1303),P1303,0)))&lt;=Summary!$B$2),"Passes using beginning_balance - PreV_ETB differs from beginning_balance",IF(AND(ISNUMBER(O1303),O1303&lt;0,ABS(L1303-(Q1303-IF(ISNUMBER(N1303),N1303,0)+IF(ISNUMBER(P1303),P1303,0)))&lt;=Summary!$B$2),"Negative realized loss not applied - check sign",IF(R1303&lt;0,"Principal paid exceeds prior balance",IF(AND(L1303&gt;Q1303,NOT(ISNUMBER(P1303))),"Balance increased but no Deferred_interest reported",IF(L1303&gt;R1303,"Reported balance higher than expected (missing increase/OC build)","Reported balance lower than expected (missing decrease)"))))),""))</f>
        <v/>
      </c>
    </row>
    <row r="1304" customFormat="false" ht="15" hidden="false" customHeight="false" outlineLevel="0" collapsed="false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9"/>
      <c r="L1304" s="9"/>
      <c r="M1304" s="9"/>
      <c r="N1304" s="9"/>
      <c r="O1304" s="9"/>
      <c r="P1304" s="9"/>
      <c r="Q1304" s="9"/>
      <c r="R1304" s="9" t="str">
        <f aca="false">IF(AND(A1304&lt;&gt;"",ISNUMBER(Q1304),ISNUMBER(L1304)),ROUND(Q1304-IF(ISNUMBER(N1304),N1304,0)-IF(ISNUMBER(O1304),O1304,0)+IF(ISNUMBER(P1304),P1304,0),2),"")</f>
        <v/>
      </c>
      <c r="S1304" s="9" t="str">
        <f aca="false">IF(R1304="","",ROUND(L1304-R1304,2))</f>
        <v/>
      </c>
      <c r="T1304" s="8" t="str">
        <f aca="false">IF(A1304="","",IF(S1304="","BYPASS",IF(ABS(S1304)&lt;=Summary!$B$2,"PASS","FAIL")))</f>
        <v/>
      </c>
      <c r="U1304" s="8" t="str">
        <f aca="false">IF(T1304="BYPASS",IF(NOT(ISNUMBER(Q1304)),"PreV_ETB missing","End_tr_balance missing"),IF(T1304="FAIL",IF(AND(ISNUMBER(K1304),ISNUMBER(L1304),ABS(L1304-(K1304-IF(ISNUMBER(N1304),N1304,0)-IF(ISNUMBER(O1304),O1304,0)+IF(ISNUMBER(P1304),P1304,0)))&lt;=Summary!$B$2),"Passes using beginning_balance - PreV_ETB differs from beginning_balance",IF(AND(ISNUMBER(O1304),O1304&lt;0,ABS(L1304-(Q1304-IF(ISNUMBER(N1304),N1304,0)+IF(ISNUMBER(P1304),P1304,0)))&lt;=Summary!$B$2),"Negative realized loss not applied - check sign",IF(R1304&lt;0,"Principal paid exceeds prior balance",IF(AND(L1304&gt;Q1304,NOT(ISNUMBER(P1304))),"Balance increased but no Deferred_interest reported",IF(L1304&gt;R1304,"Reported balance higher than expected (missing increase/OC build)","Reported balance lower than expected (missing decrease)"))))),""))</f>
        <v/>
      </c>
    </row>
    <row r="1305" customFormat="false" ht="15" hidden="false" customHeight="false" outlineLevel="0" collapsed="false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9"/>
      <c r="L1305" s="9"/>
      <c r="M1305" s="9"/>
      <c r="N1305" s="9"/>
      <c r="O1305" s="9"/>
      <c r="P1305" s="9"/>
      <c r="Q1305" s="9"/>
      <c r="R1305" s="9" t="str">
        <f aca="false">IF(AND(A1305&lt;&gt;"",ISNUMBER(Q1305),ISNUMBER(L1305)),ROUND(Q1305-IF(ISNUMBER(N1305),N1305,0)-IF(ISNUMBER(O1305),O1305,0)+IF(ISNUMBER(P1305),P1305,0),2),"")</f>
        <v/>
      </c>
      <c r="S1305" s="9" t="str">
        <f aca="false">IF(R1305="","",ROUND(L1305-R1305,2))</f>
        <v/>
      </c>
      <c r="T1305" s="8" t="str">
        <f aca="false">IF(A1305="","",IF(S1305="","BYPASS",IF(ABS(S1305)&lt;=Summary!$B$2,"PASS","FAIL")))</f>
        <v/>
      </c>
      <c r="U1305" s="8" t="str">
        <f aca="false">IF(T1305="BYPASS",IF(NOT(ISNUMBER(Q1305)),"PreV_ETB missing","End_tr_balance missing"),IF(T1305="FAIL",IF(AND(ISNUMBER(K1305),ISNUMBER(L1305),ABS(L1305-(K1305-IF(ISNUMBER(N1305),N1305,0)-IF(ISNUMBER(O1305),O1305,0)+IF(ISNUMBER(P1305),P1305,0)))&lt;=Summary!$B$2),"Passes using beginning_balance - PreV_ETB differs from beginning_balance",IF(AND(ISNUMBER(O1305),O1305&lt;0,ABS(L1305-(Q1305-IF(ISNUMBER(N1305),N1305,0)+IF(ISNUMBER(P1305),P1305,0)))&lt;=Summary!$B$2),"Negative realized loss not applied - check sign",IF(R1305&lt;0,"Principal paid exceeds prior balance",IF(AND(L1305&gt;Q1305,NOT(ISNUMBER(P1305))),"Balance increased but no Deferred_interest reported",IF(L1305&gt;R1305,"Reported balance higher than expected (missing increase/OC build)","Reported balance lower than expected (missing decrease)"))))),""))</f>
        <v/>
      </c>
    </row>
    <row r="1306" customFormat="false" ht="15" hidden="false" customHeight="false" outlineLevel="0" collapsed="false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9"/>
      <c r="L1306" s="9"/>
      <c r="M1306" s="9"/>
      <c r="N1306" s="9"/>
      <c r="O1306" s="9"/>
      <c r="P1306" s="9"/>
      <c r="Q1306" s="9"/>
      <c r="R1306" s="9" t="str">
        <f aca="false">IF(AND(A1306&lt;&gt;"",ISNUMBER(Q1306),ISNUMBER(L1306)),ROUND(Q1306-IF(ISNUMBER(N1306),N1306,0)-IF(ISNUMBER(O1306),O1306,0)+IF(ISNUMBER(P1306),P1306,0),2),"")</f>
        <v/>
      </c>
      <c r="S1306" s="9" t="str">
        <f aca="false">IF(R1306="","",ROUND(L1306-R1306,2))</f>
        <v/>
      </c>
      <c r="T1306" s="8" t="str">
        <f aca="false">IF(A1306="","",IF(S1306="","BYPASS",IF(ABS(S1306)&lt;=Summary!$B$2,"PASS","FAIL")))</f>
        <v/>
      </c>
      <c r="U1306" s="8" t="str">
        <f aca="false">IF(T1306="BYPASS",IF(NOT(ISNUMBER(Q1306)),"PreV_ETB missing","End_tr_balance missing"),IF(T1306="FAIL",IF(AND(ISNUMBER(K1306),ISNUMBER(L1306),ABS(L1306-(K1306-IF(ISNUMBER(N1306),N1306,0)-IF(ISNUMBER(O1306),O1306,0)+IF(ISNUMBER(P1306),P1306,0)))&lt;=Summary!$B$2),"Passes using beginning_balance - PreV_ETB differs from beginning_balance",IF(AND(ISNUMBER(O1306),O1306&lt;0,ABS(L1306-(Q1306-IF(ISNUMBER(N1306),N1306,0)+IF(ISNUMBER(P1306),P1306,0)))&lt;=Summary!$B$2),"Negative realized loss not applied - check sign",IF(R1306&lt;0,"Principal paid exceeds prior balance",IF(AND(L1306&gt;Q1306,NOT(ISNUMBER(P1306))),"Balance increased but no Deferred_interest reported",IF(L1306&gt;R1306,"Reported balance higher than expected (missing increase/OC build)","Reported balance lower than expected (missing decrease)"))))),""))</f>
        <v/>
      </c>
    </row>
    <row r="1307" customFormat="false" ht="15" hidden="false" customHeight="false" outlineLevel="0" collapsed="false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9"/>
      <c r="L1307" s="9"/>
      <c r="M1307" s="9"/>
      <c r="N1307" s="9"/>
      <c r="O1307" s="9"/>
      <c r="P1307" s="9"/>
      <c r="Q1307" s="9"/>
      <c r="R1307" s="9" t="str">
        <f aca="false">IF(AND(A1307&lt;&gt;"",ISNUMBER(Q1307),ISNUMBER(L1307)),ROUND(Q1307-IF(ISNUMBER(N1307),N1307,0)-IF(ISNUMBER(O1307),O1307,0)+IF(ISNUMBER(P1307),P1307,0),2),"")</f>
        <v/>
      </c>
      <c r="S1307" s="9" t="str">
        <f aca="false">IF(R1307="","",ROUND(L1307-R1307,2))</f>
        <v/>
      </c>
      <c r="T1307" s="8" t="str">
        <f aca="false">IF(A1307="","",IF(S1307="","BYPASS",IF(ABS(S1307)&lt;=Summary!$B$2,"PASS","FAIL")))</f>
        <v/>
      </c>
      <c r="U1307" s="8" t="str">
        <f aca="false">IF(T1307="BYPASS",IF(NOT(ISNUMBER(Q1307)),"PreV_ETB missing","End_tr_balance missing"),IF(T1307="FAIL",IF(AND(ISNUMBER(K1307),ISNUMBER(L1307),ABS(L1307-(K1307-IF(ISNUMBER(N1307),N1307,0)-IF(ISNUMBER(O1307),O1307,0)+IF(ISNUMBER(P1307),P1307,0)))&lt;=Summary!$B$2),"Passes using beginning_balance - PreV_ETB differs from beginning_balance",IF(AND(ISNUMBER(O1307),O1307&lt;0,ABS(L1307-(Q1307-IF(ISNUMBER(N1307),N1307,0)+IF(ISNUMBER(P1307),P1307,0)))&lt;=Summary!$B$2),"Negative realized loss not applied - check sign",IF(R1307&lt;0,"Principal paid exceeds prior balance",IF(AND(L1307&gt;Q1307,NOT(ISNUMBER(P1307))),"Balance increased but no Deferred_interest reported",IF(L1307&gt;R1307,"Reported balance higher than expected (missing increase/OC build)","Reported balance lower than expected (missing decrease)"))))),""))</f>
        <v/>
      </c>
    </row>
    <row r="1308" customFormat="false" ht="15" hidden="false" customHeight="false" outlineLevel="0" collapsed="false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9"/>
      <c r="L1308" s="9"/>
      <c r="M1308" s="9"/>
      <c r="N1308" s="9"/>
      <c r="O1308" s="9"/>
      <c r="P1308" s="9"/>
      <c r="Q1308" s="9"/>
      <c r="R1308" s="9" t="str">
        <f aca="false">IF(AND(A1308&lt;&gt;"",ISNUMBER(Q1308),ISNUMBER(L1308)),ROUND(Q1308-IF(ISNUMBER(N1308),N1308,0)-IF(ISNUMBER(O1308),O1308,0)+IF(ISNUMBER(P1308),P1308,0),2),"")</f>
        <v/>
      </c>
      <c r="S1308" s="9" t="str">
        <f aca="false">IF(R1308="","",ROUND(L1308-R1308,2))</f>
        <v/>
      </c>
      <c r="T1308" s="8" t="str">
        <f aca="false">IF(A1308="","",IF(S1308="","BYPASS",IF(ABS(S1308)&lt;=Summary!$B$2,"PASS","FAIL")))</f>
        <v/>
      </c>
      <c r="U1308" s="8" t="str">
        <f aca="false">IF(T1308="BYPASS",IF(NOT(ISNUMBER(Q1308)),"PreV_ETB missing","End_tr_balance missing"),IF(T1308="FAIL",IF(AND(ISNUMBER(K1308),ISNUMBER(L1308),ABS(L1308-(K1308-IF(ISNUMBER(N1308),N1308,0)-IF(ISNUMBER(O1308),O1308,0)+IF(ISNUMBER(P1308),P1308,0)))&lt;=Summary!$B$2),"Passes using beginning_balance - PreV_ETB differs from beginning_balance",IF(AND(ISNUMBER(O1308),O1308&lt;0,ABS(L1308-(Q1308-IF(ISNUMBER(N1308),N1308,0)+IF(ISNUMBER(P1308),P1308,0)))&lt;=Summary!$B$2),"Negative realized loss not applied - check sign",IF(R1308&lt;0,"Principal paid exceeds prior balance",IF(AND(L1308&gt;Q1308,NOT(ISNUMBER(P1308))),"Balance increased but no Deferred_interest reported",IF(L1308&gt;R1308,"Reported balance higher than expected (missing increase/OC build)","Reported balance lower than expected (missing decrease)"))))),""))</f>
        <v/>
      </c>
    </row>
    <row r="1309" customFormat="false" ht="15" hidden="false" customHeight="false" outlineLevel="0" collapsed="false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9"/>
      <c r="L1309" s="9"/>
      <c r="M1309" s="9"/>
      <c r="N1309" s="9"/>
      <c r="O1309" s="9"/>
      <c r="P1309" s="9"/>
      <c r="Q1309" s="9"/>
      <c r="R1309" s="9" t="str">
        <f aca="false">IF(AND(A1309&lt;&gt;"",ISNUMBER(Q1309),ISNUMBER(L1309)),ROUND(Q1309-IF(ISNUMBER(N1309),N1309,0)-IF(ISNUMBER(O1309),O1309,0)+IF(ISNUMBER(P1309),P1309,0),2),"")</f>
        <v/>
      </c>
      <c r="S1309" s="9" t="str">
        <f aca="false">IF(R1309="","",ROUND(L1309-R1309,2))</f>
        <v/>
      </c>
      <c r="T1309" s="8" t="str">
        <f aca="false">IF(A1309="","",IF(S1309="","BYPASS",IF(ABS(S1309)&lt;=Summary!$B$2,"PASS","FAIL")))</f>
        <v/>
      </c>
      <c r="U1309" s="8" t="str">
        <f aca="false">IF(T1309="BYPASS",IF(NOT(ISNUMBER(Q1309)),"PreV_ETB missing","End_tr_balance missing"),IF(T1309="FAIL",IF(AND(ISNUMBER(K1309),ISNUMBER(L1309),ABS(L1309-(K1309-IF(ISNUMBER(N1309),N1309,0)-IF(ISNUMBER(O1309),O1309,0)+IF(ISNUMBER(P1309),P1309,0)))&lt;=Summary!$B$2),"Passes using beginning_balance - PreV_ETB differs from beginning_balance",IF(AND(ISNUMBER(O1309),O1309&lt;0,ABS(L1309-(Q1309-IF(ISNUMBER(N1309),N1309,0)+IF(ISNUMBER(P1309),P1309,0)))&lt;=Summary!$B$2),"Negative realized loss not applied - check sign",IF(R1309&lt;0,"Principal paid exceeds prior balance",IF(AND(L1309&gt;Q1309,NOT(ISNUMBER(P1309))),"Balance increased but no Deferred_interest reported",IF(L1309&gt;R1309,"Reported balance higher than expected (missing increase/OC build)","Reported balance lower than expected (missing decrease)"))))),""))</f>
        <v/>
      </c>
    </row>
    <row r="1310" customFormat="false" ht="15" hidden="false" customHeight="false" outlineLevel="0" collapsed="false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9"/>
      <c r="L1310" s="9"/>
      <c r="M1310" s="9"/>
      <c r="N1310" s="9"/>
      <c r="O1310" s="9"/>
      <c r="P1310" s="9"/>
      <c r="Q1310" s="9"/>
      <c r="R1310" s="9" t="str">
        <f aca="false">IF(AND(A1310&lt;&gt;"",ISNUMBER(Q1310),ISNUMBER(L1310)),ROUND(Q1310-IF(ISNUMBER(N1310),N1310,0)-IF(ISNUMBER(O1310),O1310,0)+IF(ISNUMBER(P1310),P1310,0),2),"")</f>
        <v/>
      </c>
      <c r="S1310" s="9" t="str">
        <f aca="false">IF(R1310="","",ROUND(L1310-R1310,2))</f>
        <v/>
      </c>
      <c r="T1310" s="8" t="str">
        <f aca="false">IF(A1310="","",IF(S1310="","BYPASS",IF(ABS(S1310)&lt;=Summary!$B$2,"PASS","FAIL")))</f>
        <v/>
      </c>
      <c r="U1310" s="8" t="str">
        <f aca="false">IF(T1310="BYPASS",IF(NOT(ISNUMBER(Q1310)),"PreV_ETB missing","End_tr_balance missing"),IF(T1310="FAIL",IF(AND(ISNUMBER(K1310),ISNUMBER(L1310),ABS(L1310-(K1310-IF(ISNUMBER(N1310),N1310,0)-IF(ISNUMBER(O1310),O1310,0)+IF(ISNUMBER(P1310),P1310,0)))&lt;=Summary!$B$2),"Passes using beginning_balance - PreV_ETB differs from beginning_balance",IF(AND(ISNUMBER(O1310),O1310&lt;0,ABS(L1310-(Q1310-IF(ISNUMBER(N1310),N1310,0)+IF(ISNUMBER(P1310),P1310,0)))&lt;=Summary!$B$2),"Negative realized loss not applied - check sign",IF(R1310&lt;0,"Principal paid exceeds prior balance",IF(AND(L1310&gt;Q1310,NOT(ISNUMBER(P1310))),"Balance increased but no Deferred_interest reported",IF(L1310&gt;R1310,"Reported balance higher than expected (missing increase/OC build)","Reported balance lower than expected (missing decrease)"))))),""))</f>
        <v/>
      </c>
    </row>
    <row r="1311" customFormat="false" ht="15" hidden="false" customHeight="false" outlineLevel="0" collapsed="false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9"/>
      <c r="L1311" s="9"/>
      <c r="M1311" s="9"/>
      <c r="N1311" s="9"/>
      <c r="O1311" s="9"/>
      <c r="P1311" s="9"/>
      <c r="Q1311" s="9"/>
      <c r="R1311" s="9" t="str">
        <f aca="false">IF(AND(A1311&lt;&gt;"",ISNUMBER(Q1311),ISNUMBER(L1311)),ROUND(Q1311-IF(ISNUMBER(N1311),N1311,0)-IF(ISNUMBER(O1311),O1311,0)+IF(ISNUMBER(P1311),P1311,0),2),"")</f>
        <v/>
      </c>
      <c r="S1311" s="9" t="str">
        <f aca="false">IF(R1311="","",ROUND(L1311-R1311,2))</f>
        <v/>
      </c>
      <c r="T1311" s="8" t="str">
        <f aca="false">IF(A1311="","",IF(S1311="","BYPASS",IF(ABS(S1311)&lt;=Summary!$B$2,"PASS","FAIL")))</f>
        <v/>
      </c>
      <c r="U1311" s="8" t="str">
        <f aca="false">IF(T1311="BYPASS",IF(NOT(ISNUMBER(Q1311)),"PreV_ETB missing","End_tr_balance missing"),IF(T1311="FAIL",IF(AND(ISNUMBER(K1311),ISNUMBER(L1311),ABS(L1311-(K1311-IF(ISNUMBER(N1311),N1311,0)-IF(ISNUMBER(O1311),O1311,0)+IF(ISNUMBER(P1311),P1311,0)))&lt;=Summary!$B$2),"Passes using beginning_balance - PreV_ETB differs from beginning_balance",IF(AND(ISNUMBER(O1311),O1311&lt;0,ABS(L1311-(Q1311-IF(ISNUMBER(N1311),N1311,0)+IF(ISNUMBER(P1311),P1311,0)))&lt;=Summary!$B$2),"Negative realized loss not applied - check sign",IF(R1311&lt;0,"Principal paid exceeds prior balance",IF(AND(L1311&gt;Q1311,NOT(ISNUMBER(P1311))),"Balance increased but no Deferred_interest reported",IF(L1311&gt;R1311,"Reported balance higher than expected (missing increase/OC build)","Reported balance lower than expected (missing decrease)"))))),""))</f>
        <v/>
      </c>
    </row>
    <row r="1312" customFormat="false" ht="15" hidden="false" customHeight="false" outlineLevel="0" collapsed="false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9"/>
      <c r="L1312" s="9"/>
      <c r="M1312" s="9"/>
      <c r="N1312" s="9"/>
      <c r="O1312" s="9"/>
      <c r="P1312" s="9"/>
      <c r="Q1312" s="9"/>
      <c r="R1312" s="9" t="str">
        <f aca="false">IF(AND(A1312&lt;&gt;"",ISNUMBER(Q1312),ISNUMBER(L1312)),ROUND(Q1312-IF(ISNUMBER(N1312),N1312,0)-IF(ISNUMBER(O1312),O1312,0)+IF(ISNUMBER(P1312),P1312,0),2),"")</f>
        <v/>
      </c>
      <c r="S1312" s="9" t="str">
        <f aca="false">IF(R1312="","",ROUND(L1312-R1312,2))</f>
        <v/>
      </c>
      <c r="T1312" s="8" t="str">
        <f aca="false">IF(A1312="","",IF(S1312="","BYPASS",IF(ABS(S1312)&lt;=Summary!$B$2,"PASS","FAIL")))</f>
        <v/>
      </c>
      <c r="U1312" s="8" t="str">
        <f aca="false">IF(T1312="BYPASS",IF(NOT(ISNUMBER(Q1312)),"PreV_ETB missing","End_tr_balance missing"),IF(T1312="FAIL",IF(AND(ISNUMBER(K1312),ISNUMBER(L1312),ABS(L1312-(K1312-IF(ISNUMBER(N1312),N1312,0)-IF(ISNUMBER(O1312),O1312,0)+IF(ISNUMBER(P1312),P1312,0)))&lt;=Summary!$B$2),"Passes using beginning_balance - PreV_ETB differs from beginning_balance",IF(AND(ISNUMBER(O1312),O1312&lt;0,ABS(L1312-(Q1312-IF(ISNUMBER(N1312),N1312,0)+IF(ISNUMBER(P1312),P1312,0)))&lt;=Summary!$B$2),"Negative realized loss not applied - check sign",IF(R1312&lt;0,"Principal paid exceeds prior balance",IF(AND(L1312&gt;Q1312,NOT(ISNUMBER(P1312))),"Balance increased but no Deferred_interest reported",IF(L1312&gt;R1312,"Reported balance higher than expected (missing increase/OC build)","Reported balance lower than expected (missing decrease)"))))),""))</f>
        <v/>
      </c>
    </row>
    <row r="1313" customFormat="false" ht="15" hidden="false" customHeight="false" outlineLevel="0" collapsed="false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9"/>
      <c r="L1313" s="9"/>
      <c r="M1313" s="9"/>
      <c r="N1313" s="9"/>
      <c r="O1313" s="9"/>
      <c r="P1313" s="9"/>
      <c r="Q1313" s="9"/>
      <c r="R1313" s="9" t="str">
        <f aca="false">IF(AND(A1313&lt;&gt;"",ISNUMBER(Q1313),ISNUMBER(L1313)),ROUND(Q1313-IF(ISNUMBER(N1313),N1313,0)-IF(ISNUMBER(O1313),O1313,0)+IF(ISNUMBER(P1313),P1313,0),2),"")</f>
        <v/>
      </c>
      <c r="S1313" s="9" t="str">
        <f aca="false">IF(R1313="","",ROUND(L1313-R1313,2))</f>
        <v/>
      </c>
      <c r="T1313" s="8" t="str">
        <f aca="false">IF(A1313="","",IF(S1313="","BYPASS",IF(ABS(S1313)&lt;=Summary!$B$2,"PASS","FAIL")))</f>
        <v/>
      </c>
      <c r="U1313" s="8" t="str">
        <f aca="false">IF(T1313="BYPASS",IF(NOT(ISNUMBER(Q1313)),"PreV_ETB missing","End_tr_balance missing"),IF(T1313="FAIL",IF(AND(ISNUMBER(K1313),ISNUMBER(L1313),ABS(L1313-(K1313-IF(ISNUMBER(N1313),N1313,0)-IF(ISNUMBER(O1313),O1313,0)+IF(ISNUMBER(P1313),P1313,0)))&lt;=Summary!$B$2),"Passes using beginning_balance - PreV_ETB differs from beginning_balance",IF(AND(ISNUMBER(O1313),O1313&lt;0,ABS(L1313-(Q1313-IF(ISNUMBER(N1313),N1313,0)+IF(ISNUMBER(P1313),P1313,0)))&lt;=Summary!$B$2),"Negative realized loss not applied - check sign",IF(R1313&lt;0,"Principal paid exceeds prior balance",IF(AND(L1313&gt;Q1313,NOT(ISNUMBER(P1313))),"Balance increased but no Deferred_interest reported",IF(L1313&gt;R1313,"Reported balance higher than expected (missing increase/OC build)","Reported balance lower than expected (missing decrease)"))))),""))</f>
        <v/>
      </c>
    </row>
    <row r="1314" customFormat="false" ht="15" hidden="false" customHeight="false" outlineLevel="0" collapsed="false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9"/>
      <c r="L1314" s="9"/>
      <c r="M1314" s="9"/>
      <c r="N1314" s="9"/>
      <c r="O1314" s="9"/>
      <c r="P1314" s="9"/>
      <c r="Q1314" s="9"/>
      <c r="R1314" s="9" t="str">
        <f aca="false">IF(AND(A1314&lt;&gt;"",ISNUMBER(Q1314),ISNUMBER(L1314)),ROUND(Q1314-IF(ISNUMBER(N1314),N1314,0)-IF(ISNUMBER(O1314),O1314,0)+IF(ISNUMBER(P1314),P1314,0),2),"")</f>
        <v/>
      </c>
      <c r="S1314" s="9" t="str">
        <f aca="false">IF(R1314="","",ROUND(L1314-R1314,2))</f>
        <v/>
      </c>
      <c r="T1314" s="8" t="str">
        <f aca="false">IF(A1314="","",IF(S1314="","BYPASS",IF(ABS(S1314)&lt;=Summary!$B$2,"PASS","FAIL")))</f>
        <v/>
      </c>
      <c r="U1314" s="8" t="str">
        <f aca="false">IF(T1314="BYPASS",IF(NOT(ISNUMBER(Q1314)),"PreV_ETB missing","End_tr_balance missing"),IF(T1314="FAIL",IF(AND(ISNUMBER(K1314),ISNUMBER(L1314),ABS(L1314-(K1314-IF(ISNUMBER(N1314),N1314,0)-IF(ISNUMBER(O1314),O1314,0)+IF(ISNUMBER(P1314),P1314,0)))&lt;=Summary!$B$2),"Passes using beginning_balance - PreV_ETB differs from beginning_balance",IF(AND(ISNUMBER(O1314),O1314&lt;0,ABS(L1314-(Q1314-IF(ISNUMBER(N1314),N1314,0)+IF(ISNUMBER(P1314),P1314,0)))&lt;=Summary!$B$2),"Negative realized loss not applied - check sign",IF(R1314&lt;0,"Principal paid exceeds prior balance",IF(AND(L1314&gt;Q1314,NOT(ISNUMBER(P1314))),"Balance increased but no Deferred_interest reported",IF(L1314&gt;R1314,"Reported balance higher than expected (missing increase/OC build)","Reported balance lower than expected (missing decrease)"))))),""))</f>
        <v/>
      </c>
    </row>
    <row r="1315" customFormat="false" ht="15" hidden="false" customHeight="false" outlineLevel="0" collapsed="false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9"/>
      <c r="L1315" s="9"/>
      <c r="M1315" s="9"/>
      <c r="N1315" s="9"/>
      <c r="O1315" s="9"/>
      <c r="P1315" s="9"/>
      <c r="Q1315" s="9"/>
      <c r="R1315" s="9" t="str">
        <f aca="false">IF(AND(A1315&lt;&gt;"",ISNUMBER(Q1315),ISNUMBER(L1315)),ROUND(Q1315-IF(ISNUMBER(N1315),N1315,0)-IF(ISNUMBER(O1315),O1315,0)+IF(ISNUMBER(P1315),P1315,0),2),"")</f>
        <v/>
      </c>
      <c r="S1315" s="9" t="str">
        <f aca="false">IF(R1315="","",ROUND(L1315-R1315,2))</f>
        <v/>
      </c>
      <c r="T1315" s="8" t="str">
        <f aca="false">IF(A1315="","",IF(S1315="","BYPASS",IF(ABS(S1315)&lt;=Summary!$B$2,"PASS","FAIL")))</f>
        <v/>
      </c>
      <c r="U1315" s="8" t="str">
        <f aca="false">IF(T1315="BYPASS",IF(NOT(ISNUMBER(Q1315)),"PreV_ETB missing","End_tr_balance missing"),IF(T1315="FAIL",IF(AND(ISNUMBER(K1315),ISNUMBER(L1315),ABS(L1315-(K1315-IF(ISNUMBER(N1315),N1315,0)-IF(ISNUMBER(O1315),O1315,0)+IF(ISNUMBER(P1315),P1315,0)))&lt;=Summary!$B$2),"Passes using beginning_balance - PreV_ETB differs from beginning_balance",IF(AND(ISNUMBER(O1315),O1315&lt;0,ABS(L1315-(Q1315-IF(ISNUMBER(N1315),N1315,0)+IF(ISNUMBER(P1315),P1315,0)))&lt;=Summary!$B$2),"Negative realized loss not applied - check sign",IF(R1315&lt;0,"Principal paid exceeds prior balance",IF(AND(L1315&gt;Q1315,NOT(ISNUMBER(P1315))),"Balance increased but no Deferred_interest reported",IF(L1315&gt;R1315,"Reported balance higher than expected (missing increase/OC build)","Reported balance lower than expected (missing decrease)"))))),""))</f>
        <v/>
      </c>
    </row>
    <row r="1316" customFormat="false" ht="15" hidden="false" customHeight="false" outlineLevel="0" collapsed="false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9"/>
      <c r="L1316" s="9"/>
      <c r="M1316" s="9"/>
      <c r="N1316" s="9"/>
      <c r="O1316" s="9"/>
      <c r="P1316" s="9"/>
      <c r="Q1316" s="9"/>
      <c r="R1316" s="9" t="str">
        <f aca="false">IF(AND(A1316&lt;&gt;"",ISNUMBER(Q1316),ISNUMBER(L1316)),ROUND(Q1316-IF(ISNUMBER(N1316),N1316,0)-IF(ISNUMBER(O1316),O1316,0)+IF(ISNUMBER(P1316),P1316,0),2),"")</f>
        <v/>
      </c>
      <c r="S1316" s="9" t="str">
        <f aca="false">IF(R1316="","",ROUND(L1316-R1316,2))</f>
        <v/>
      </c>
      <c r="T1316" s="8" t="str">
        <f aca="false">IF(A1316="","",IF(S1316="","BYPASS",IF(ABS(S1316)&lt;=Summary!$B$2,"PASS","FAIL")))</f>
        <v/>
      </c>
      <c r="U1316" s="8" t="str">
        <f aca="false">IF(T1316="BYPASS",IF(NOT(ISNUMBER(Q1316)),"PreV_ETB missing","End_tr_balance missing"),IF(T1316="FAIL",IF(AND(ISNUMBER(K1316),ISNUMBER(L1316),ABS(L1316-(K1316-IF(ISNUMBER(N1316),N1316,0)-IF(ISNUMBER(O1316),O1316,0)+IF(ISNUMBER(P1316),P1316,0)))&lt;=Summary!$B$2),"Passes using beginning_balance - PreV_ETB differs from beginning_balance",IF(AND(ISNUMBER(O1316),O1316&lt;0,ABS(L1316-(Q1316-IF(ISNUMBER(N1316),N1316,0)+IF(ISNUMBER(P1316),P1316,0)))&lt;=Summary!$B$2),"Negative realized loss not applied - check sign",IF(R1316&lt;0,"Principal paid exceeds prior balance",IF(AND(L1316&gt;Q1316,NOT(ISNUMBER(P1316))),"Balance increased but no Deferred_interest reported",IF(L1316&gt;R1316,"Reported balance higher than expected (missing increase/OC build)","Reported balance lower than expected (missing decrease)"))))),""))</f>
        <v/>
      </c>
    </row>
    <row r="1317" customFormat="false" ht="15" hidden="false" customHeight="false" outlineLevel="0" collapsed="false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9"/>
      <c r="L1317" s="9"/>
      <c r="M1317" s="9"/>
      <c r="N1317" s="9"/>
      <c r="O1317" s="9"/>
      <c r="P1317" s="9"/>
      <c r="Q1317" s="9"/>
      <c r="R1317" s="9" t="str">
        <f aca="false">IF(AND(A1317&lt;&gt;"",ISNUMBER(Q1317),ISNUMBER(L1317)),ROUND(Q1317-IF(ISNUMBER(N1317),N1317,0)-IF(ISNUMBER(O1317),O1317,0)+IF(ISNUMBER(P1317),P1317,0),2),"")</f>
        <v/>
      </c>
      <c r="S1317" s="9" t="str">
        <f aca="false">IF(R1317="","",ROUND(L1317-R1317,2))</f>
        <v/>
      </c>
      <c r="T1317" s="8" t="str">
        <f aca="false">IF(A1317="","",IF(S1317="","BYPASS",IF(ABS(S1317)&lt;=Summary!$B$2,"PASS","FAIL")))</f>
        <v/>
      </c>
      <c r="U1317" s="8" t="str">
        <f aca="false">IF(T1317="BYPASS",IF(NOT(ISNUMBER(Q1317)),"PreV_ETB missing","End_tr_balance missing"),IF(T1317="FAIL",IF(AND(ISNUMBER(K1317),ISNUMBER(L1317),ABS(L1317-(K1317-IF(ISNUMBER(N1317),N1317,0)-IF(ISNUMBER(O1317),O1317,0)+IF(ISNUMBER(P1317),P1317,0)))&lt;=Summary!$B$2),"Passes using beginning_balance - PreV_ETB differs from beginning_balance",IF(AND(ISNUMBER(O1317),O1317&lt;0,ABS(L1317-(Q1317-IF(ISNUMBER(N1317),N1317,0)+IF(ISNUMBER(P1317),P1317,0)))&lt;=Summary!$B$2),"Negative realized loss not applied - check sign",IF(R1317&lt;0,"Principal paid exceeds prior balance",IF(AND(L1317&gt;Q1317,NOT(ISNUMBER(P1317))),"Balance increased but no Deferred_interest reported",IF(L1317&gt;R1317,"Reported balance higher than expected (missing increase/OC build)","Reported balance lower than expected (missing decrease)"))))),""))</f>
        <v/>
      </c>
    </row>
    <row r="1318" customFormat="false" ht="15" hidden="false" customHeight="false" outlineLevel="0" collapsed="false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9"/>
      <c r="L1318" s="9"/>
      <c r="M1318" s="9"/>
      <c r="N1318" s="9"/>
      <c r="O1318" s="9"/>
      <c r="P1318" s="9"/>
      <c r="Q1318" s="9"/>
      <c r="R1318" s="9" t="str">
        <f aca="false">IF(AND(A1318&lt;&gt;"",ISNUMBER(Q1318),ISNUMBER(L1318)),ROUND(Q1318-IF(ISNUMBER(N1318),N1318,0)-IF(ISNUMBER(O1318),O1318,0)+IF(ISNUMBER(P1318),P1318,0),2),"")</f>
        <v/>
      </c>
      <c r="S1318" s="9" t="str">
        <f aca="false">IF(R1318="","",ROUND(L1318-R1318,2))</f>
        <v/>
      </c>
      <c r="T1318" s="8" t="str">
        <f aca="false">IF(A1318="","",IF(S1318="","BYPASS",IF(ABS(S1318)&lt;=Summary!$B$2,"PASS","FAIL")))</f>
        <v/>
      </c>
      <c r="U1318" s="8" t="str">
        <f aca="false">IF(T1318="BYPASS",IF(NOT(ISNUMBER(Q1318)),"PreV_ETB missing","End_tr_balance missing"),IF(T1318="FAIL",IF(AND(ISNUMBER(K1318),ISNUMBER(L1318),ABS(L1318-(K1318-IF(ISNUMBER(N1318),N1318,0)-IF(ISNUMBER(O1318),O1318,0)+IF(ISNUMBER(P1318),P1318,0)))&lt;=Summary!$B$2),"Passes using beginning_balance - PreV_ETB differs from beginning_balance",IF(AND(ISNUMBER(O1318),O1318&lt;0,ABS(L1318-(Q1318-IF(ISNUMBER(N1318),N1318,0)+IF(ISNUMBER(P1318),P1318,0)))&lt;=Summary!$B$2),"Negative realized loss not applied - check sign",IF(R1318&lt;0,"Principal paid exceeds prior balance",IF(AND(L1318&gt;Q1318,NOT(ISNUMBER(P1318))),"Balance increased but no Deferred_interest reported",IF(L1318&gt;R1318,"Reported balance higher than expected (missing increase/OC build)","Reported balance lower than expected (missing decrease)"))))),""))</f>
        <v/>
      </c>
    </row>
    <row r="1319" customFormat="false" ht="15" hidden="false" customHeight="false" outlineLevel="0" collapsed="false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9"/>
      <c r="L1319" s="9"/>
      <c r="M1319" s="9"/>
      <c r="N1319" s="9"/>
      <c r="O1319" s="9"/>
      <c r="P1319" s="9"/>
      <c r="Q1319" s="9"/>
      <c r="R1319" s="9" t="str">
        <f aca="false">IF(AND(A1319&lt;&gt;"",ISNUMBER(Q1319),ISNUMBER(L1319)),ROUND(Q1319-IF(ISNUMBER(N1319),N1319,0)-IF(ISNUMBER(O1319),O1319,0)+IF(ISNUMBER(P1319),P1319,0),2),"")</f>
        <v/>
      </c>
      <c r="S1319" s="9" t="str">
        <f aca="false">IF(R1319="","",ROUND(L1319-R1319,2))</f>
        <v/>
      </c>
      <c r="T1319" s="8" t="str">
        <f aca="false">IF(A1319="","",IF(S1319="","BYPASS",IF(ABS(S1319)&lt;=Summary!$B$2,"PASS","FAIL")))</f>
        <v/>
      </c>
      <c r="U1319" s="8" t="str">
        <f aca="false">IF(T1319="BYPASS",IF(NOT(ISNUMBER(Q1319)),"PreV_ETB missing","End_tr_balance missing"),IF(T1319="FAIL",IF(AND(ISNUMBER(K1319),ISNUMBER(L1319),ABS(L1319-(K1319-IF(ISNUMBER(N1319),N1319,0)-IF(ISNUMBER(O1319),O1319,0)+IF(ISNUMBER(P1319),P1319,0)))&lt;=Summary!$B$2),"Passes using beginning_balance - PreV_ETB differs from beginning_balance",IF(AND(ISNUMBER(O1319),O1319&lt;0,ABS(L1319-(Q1319-IF(ISNUMBER(N1319),N1319,0)+IF(ISNUMBER(P1319),P1319,0)))&lt;=Summary!$B$2),"Negative realized loss not applied - check sign",IF(R1319&lt;0,"Principal paid exceeds prior balance",IF(AND(L1319&gt;Q1319,NOT(ISNUMBER(P1319))),"Balance increased but no Deferred_interest reported",IF(L1319&gt;R1319,"Reported balance higher than expected (missing increase/OC build)","Reported balance lower than expected (missing decrease)"))))),""))</f>
        <v/>
      </c>
    </row>
    <row r="1320" customFormat="false" ht="15" hidden="false" customHeight="false" outlineLevel="0" collapsed="false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9"/>
      <c r="L1320" s="9"/>
      <c r="M1320" s="9"/>
      <c r="N1320" s="9"/>
      <c r="O1320" s="9"/>
      <c r="P1320" s="9"/>
      <c r="Q1320" s="9"/>
      <c r="R1320" s="9" t="str">
        <f aca="false">IF(AND(A1320&lt;&gt;"",ISNUMBER(Q1320),ISNUMBER(L1320)),ROUND(Q1320-IF(ISNUMBER(N1320),N1320,0)-IF(ISNUMBER(O1320),O1320,0)+IF(ISNUMBER(P1320),P1320,0),2),"")</f>
        <v/>
      </c>
      <c r="S1320" s="9" t="str">
        <f aca="false">IF(R1320="","",ROUND(L1320-R1320,2))</f>
        <v/>
      </c>
      <c r="T1320" s="8" t="str">
        <f aca="false">IF(A1320="","",IF(S1320="","BYPASS",IF(ABS(S1320)&lt;=Summary!$B$2,"PASS","FAIL")))</f>
        <v/>
      </c>
      <c r="U1320" s="8" t="str">
        <f aca="false">IF(T1320="BYPASS",IF(NOT(ISNUMBER(Q1320)),"PreV_ETB missing","End_tr_balance missing"),IF(T1320="FAIL",IF(AND(ISNUMBER(K1320),ISNUMBER(L1320),ABS(L1320-(K1320-IF(ISNUMBER(N1320),N1320,0)-IF(ISNUMBER(O1320),O1320,0)+IF(ISNUMBER(P1320),P1320,0)))&lt;=Summary!$B$2),"Passes using beginning_balance - PreV_ETB differs from beginning_balance",IF(AND(ISNUMBER(O1320),O1320&lt;0,ABS(L1320-(Q1320-IF(ISNUMBER(N1320),N1320,0)+IF(ISNUMBER(P1320),P1320,0)))&lt;=Summary!$B$2),"Negative realized loss not applied - check sign",IF(R1320&lt;0,"Principal paid exceeds prior balance",IF(AND(L1320&gt;Q1320,NOT(ISNUMBER(P1320))),"Balance increased but no Deferred_interest reported",IF(L1320&gt;R1320,"Reported balance higher than expected (missing increase/OC build)","Reported balance lower than expected (missing decrease)"))))),""))</f>
        <v/>
      </c>
    </row>
    <row r="1321" customFormat="false" ht="15" hidden="false" customHeight="false" outlineLevel="0" collapsed="false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9"/>
      <c r="L1321" s="9"/>
      <c r="M1321" s="9"/>
      <c r="N1321" s="9"/>
      <c r="O1321" s="9"/>
      <c r="P1321" s="9"/>
      <c r="Q1321" s="9"/>
      <c r="R1321" s="9" t="str">
        <f aca="false">IF(AND(A1321&lt;&gt;"",ISNUMBER(Q1321),ISNUMBER(L1321)),ROUND(Q1321-IF(ISNUMBER(N1321),N1321,0)-IF(ISNUMBER(O1321),O1321,0)+IF(ISNUMBER(P1321),P1321,0),2),"")</f>
        <v/>
      </c>
      <c r="S1321" s="9" t="str">
        <f aca="false">IF(R1321="","",ROUND(L1321-R1321,2))</f>
        <v/>
      </c>
      <c r="T1321" s="8" t="str">
        <f aca="false">IF(A1321="","",IF(S1321="","BYPASS",IF(ABS(S1321)&lt;=Summary!$B$2,"PASS","FAIL")))</f>
        <v/>
      </c>
      <c r="U1321" s="8" t="str">
        <f aca="false">IF(T1321="BYPASS",IF(NOT(ISNUMBER(Q1321)),"PreV_ETB missing","End_tr_balance missing"),IF(T1321="FAIL",IF(AND(ISNUMBER(K1321),ISNUMBER(L1321),ABS(L1321-(K1321-IF(ISNUMBER(N1321),N1321,0)-IF(ISNUMBER(O1321),O1321,0)+IF(ISNUMBER(P1321),P1321,0)))&lt;=Summary!$B$2),"Passes using beginning_balance - PreV_ETB differs from beginning_balance",IF(AND(ISNUMBER(O1321),O1321&lt;0,ABS(L1321-(Q1321-IF(ISNUMBER(N1321),N1321,0)+IF(ISNUMBER(P1321),P1321,0)))&lt;=Summary!$B$2),"Negative realized loss not applied - check sign",IF(R1321&lt;0,"Principal paid exceeds prior balance",IF(AND(L1321&gt;Q1321,NOT(ISNUMBER(P1321))),"Balance increased but no Deferred_interest reported",IF(L1321&gt;R1321,"Reported balance higher than expected (missing increase/OC build)","Reported balance lower than expected (missing decrease)"))))),""))</f>
        <v/>
      </c>
    </row>
    <row r="1322" customFormat="false" ht="15" hidden="false" customHeight="false" outlineLevel="0" collapsed="false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9"/>
      <c r="L1322" s="9"/>
      <c r="M1322" s="9"/>
      <c r="N1322" s="9"/>
      <c r="O1322" s="9"/>
      <c r="P1322" s="9"/>
      <c r="Q1322" s="9"/>
      <c r="R1322" s="9" t="str">
        <f aca="false">IF(AND(A1322&lt;&gt;"",ISNUMBER(Q1322),ISNUMBER(L1322)),ROUND(Q1322-IF(ISNUMBER(N1322),N1322,0)-IF(ISNUMBER(O1322),O1322,0)+IF(ISNUMBER(P1322),P1322,0),2),"")</f>
        <v/>
      </c>
      <c r="S1322" s="9" t="str">
        <f aca="false">IF(R1322="","",ROUND(L1322-R1322,2))</f>
        <v/>
      </c>
      <c r="T1322" s="8" t="str">
        <f aca="false">IF(A1322="","",IF(S1322="","BYPASS",IF(ABS(S1322)&lt;=Summary!$B$2,"PASS","FAIL")))</f>
        <v/>
      </c>
      <c r="U1322" s="8" t="str">
        <f aca="false">IF(T1322="BYPASS",IF(NOT(ISNUMBER(Q1322)),"PreV_ETB missing","End_tr_balance missing"),IF(T1322="FAIL",IF(AND(ISNUMBER(K1322),ISNUMBER(L1322),ABS(L1322-(K1322-IF(ISNUMBER(N1322),N1322,0)-IF(ISNUMBER(O1322),O1322,0)+IF(ISNUMBER(P1322),P1322,0)))&lt;=Summary!$B$2),"Passes using beginning_balance - PreV_ETB differs from beginning_balance",IF(AND(ISNUMBER(O1322),O1322&lt;0,ABS(L1322-(Q1322-IF(ISNUMBER(N1322),N1322,0)+IF(ISNUMBER(P1322),P1322,0)))&lt;=Summary!$B$2),"Negative realized loss not applied - check sign",IF(R1322&lt;0,"Principal paid exceeds prior balance",IF(AND(L1322&gt;Q1322,NOT(ISNUMBER(P1322))),"Balance increased but no Deferred_interest reported",IF(L1322&gt;R1322,"Reported balance higher than expected (missing increase/OC build)","Reported balance lower than expected (missing decrease)"))))),""))</f>
        <v/>
      </c>
    </row>
    <row r="1323" customFormat="false" ht="15" hidden="false" customHeight="false" outlineLevel="0" collapsed="false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9"/>
      <c r="L1323" s="9"/>
      <c r="M1323" s="9"/>
      <c r="N1323" s="9"/>
      <c r="O1323" s="9"/>
      <c r="P1323" s="9"/>
      <c r="Q1323" s="9"/>
      <c r="R1323" s="9" t="str">
        <f aca="false">IF(AND(A1323&lt;&gt;"",ISNUMBER(Q1323),ISNUMBER(L1323)),ROUND(Q1323-IF(ISNUMBER(N1323),N1323,0)-IF(ISNUMBER(O1323),O1323,0)+IF(ISNUMBER(P1323),P1323,0),2),"")</f>
        <v/>
      </c>
      <c r="S1323" s="9" t="str">
        <f aca="false">IF(R1323="","",ROUND(L1323-R1323,2))</f>
        <v/>
      </c>
      <c r="T1323" s="8" t="str">
        <f aca="false">IF(A1323="","",IF(S1323="","BYPASS",IF(ABS(S1323)&lt;=Summary!$B$2,"PASS","FAIL")))</f>
        <v/>
      </c>
      <c r="U1323" s="8" t="str">
        <f aca="false">IF(T1323="BYPASS",IF(NOT(ISNUMBER(Q1323)),"PreV_ETB missing","End_tr_balance missing"),IF(T1323="FAIL",IF(AND(ISNUMBER(K1323),ISNUMBER(L1323),ABS(L1323-(K1323-IF(ISNUMBER(N1323),N1323,0)-IF(ISNUMBER(O1323),O1323,0)+IF(ISNUMBER(P1323),P1323,0)))&lt;=Summary!$B$2),"Passes using beginning_balance - PreV_ETB differs from beginning_balance",IF(AND(ISNUMBER(O1323),O1323&lt;0,ABS(L1323-(Q1323-IF(ISNUMBER(N1323),N1323,0)+IF(ISNUMBER(P1323),P1323,0)))&lt;=Summary!$B$2),"Negative realized loss not applied - check sign",IF(R1323&lt;0,"Principal paid exceeds prior balance",IF(AND(L1323&gt;Q1323,NOT(ISNUMBER(P1323))),"Balance increased but no Deferred_interest reported",IF(L1323&gt;R1323,"Reported balance higher than expected (missing increase/OC build)","Reported balance lower than expected (missing decrease)"))))),""))</f>
        <v/>
      </c>
    </row>
    <row r="1324" customFormat="false" ht="15" hidden="false" customHeight="false" outlineLevel="0" collapsed="false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9"/>
      <c r="L1324" s="9"/>
      <c r="M1324" s="9"/>
      <c r="N1324" s="9"/>
      <c r="O1324" s="9"/>
      <c r="P1324" s="9"/>
      <c r="Q1324" s="9"/>
      <c r="R1324" s="9" t="str">
        <f aca="false">IF(AND(A1324&lt;&gt;"",ISNUMBER(Q1324),ISNUMBER(L1324)),ROUND(Q1324-IF(ISNUMBER(N1324),N1324,0)-IF(ISNUMBER(O1324),O1324,0)+IF(ISNUMBER(P1324),P1324,0),2),"")</f>
        <v/>
      </c>
      <c r="S1324" s="9" t="str">
        <f aca="false">IF(R1324="","",ROUND(L1324-R1324,2))</f>
        <v/>
      </c>
      <c r="T1324" s="8" t="str">
        <f aca="false">IF(A1324="","",IF(S1324="","BYPASS",IF(ABS(S1324)&lt;=Summary!$B$2,"PASS","FAIL")))</f>
        <v/>
      </c>
      <c r="U1324" s="8" t="str">
        <f aca="false">IF(T1324="BYPASS",IF(NOT(ISNUMBER(Q1324)),"PreV_ETB missing","End_tr_balance missing"),IF(T1324="FAIL",IF(AND(ISNUMBER(K1324),ISNUMBER(L1324),ABS(L1324-(K1324-IF(ISNUMBER(N1324),N1324,0)-IF(ISNUMBER(O1324),O1324,0)+IF(ISNUMBER(P1324),P1324,0)))&lt;=Summary!$B$2),"Passes using beginning_balance - PreV_ETB differs from beginning_balance",IF(AND(ISNUMBER(O1324),O1324&lt;0,ABS(L1324-(Q1324-IF(ISNUMBER(N1324),N1324,0)+IF(ISNUMBER(P1324),P1324,0)))&lt;=Summary!$B$2),"Negative realized loss not applied - check sign",IF(R1324&lt;0,"Principal paid exceeds prior balance",IF(AND(L1324&gt;Q1324,NOT(ISNUMBER(P1324))),"Balance increased but no Deferred_interest reported",IF(L1324&gt;R1324,"Reported balance higher than expected (missing increase/OC build)","Reported balance lower than expected (missing decrease)"))))),""))</f>
        <v/>
      </c>
    </row>
    <row r="1325" customFormat="false" ht="15" hidden="false" customHeight="false" outlineLevel="0" collapsed="false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9"/>
      <c r="L1325" s="9"/>
      <c r="M1325" s="9"/>
      <c r="N1325" s="9"/>
      <c r="O1325" s="9"/>
      <c r="P1325" s="9"/>
      <c r="Q1325" s="9"/>
      <c r="R1325" s="9" t="str">
        <f aca="false">IF(AND(A1325&lt;&gt;"",ISNUMBER(Q1325),ISNUMBER(L1325)),ROUND(Q1325-IF(ISNUMBER(N1325),N1325,0)-IF(ISNUMBER(O1325),O1325,0)+IF(ISNUMBER(P1325),P1325,0),2),"")</f>
        <v/>
      </c>
      <c r="S1325" s="9" t="str">
        <f aca="false">IF(R1325="","",ROUND(L1325-R1325,2))</f>
        <v/>
      </c>
      <c r="T1325" s="8" t="str">
        <f aca="false">IF(A1325="","",IF(S1325="","BYPASS",IF(ABS(S1325)&lt;=Summary!$B$2,"PASS","FAIL")))</f>
        <v/>
      </c>
      <c r="U1325" s="8" t="str">
        <f aca="false">IF(T1325="BYPASS",IF(NOT(ISNUMBER(Q1325)),"PreV_ETB missing","End_tr_balance missing"),IF(T1325="FAIL",IF(AND(ISNUMBER(K1325),ISNUMBER(L1325),ABS(L1325-(K1325-IF(ISNUMBER(N1325),N1325,0)-IF(ISNUMBER(O1325),O1325,0)+IF(ISNUMBER(P1325),P1325,0)))&lt;=Summary!$B$2),"Passes using beginning_balance - PreV_ETB differs from beginning_balance",IF(AND(ISNUMBER(O1325),O1325&lt;0,ABS(L1325-(Q1325-IF(ISNUMBER(N1325),N1325,0)+IF(ISNUMBER(P1325),P1325,0)))&lt;=Summary!$B$2),"Negative realized loss not applied - check sign",IF(R1325&lt;0,"Principal paid exceeds prior balance",IF(AND(L1325&gt;Q1325,NOT(ISNUMBER(P1325))),"Balance increased but no Deferred_interest reported",IF(L1325&gt;R1325,"Reported balance higher than expected (missing increase/OC build)","Reported balance lower than expected (missing decrease)"))))),""))</f>
        <v/>
      </c>
    </row>
    <row r="1326" customFormat="false" ht="15" hidden="false" customHeight="false" outlineLevel="0" collapsed="false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9"/>
      <c r="L1326" s="9"/>
      <c r="M1326" s="9"/>
      <c r="N1326" s="9"/>
      <c r="O1326" s="9"/>
      <c r="P1326" s="9"/>
      <c r="Q1326" s="9"/>
      <c r="R1326" s="9" t="str">
        <f aca="false">IF(AND(A1326&lt;&gt;"",ISNUMBER(Q1326),ISNUMBER(L1326)),ROUND(Q1326-IF(ISNUMBER(N1326),N1326,0)-IF(ISNUMBER(O1326),O1326,0)+IF(ISNUMBER(P1326),P1326,0),2),"")</f>
        <v/>
      </c>
      <c r="S1326" s="9" t="str">
        <f aca="false">IF(R1326="","",ROUND(L1326-R1326,2))</f>
        <v/>
      </c>
      <c r="T1326" s="8" t="str">
        <f aca="false">IF(A1326="","",IF(S1326="","BYPASS",IF(ABS(S1326)&lt;=Summary!$B$2,"PASS","FAIL")))</f>
        <v/>
      </c>
      <c r="U1326" s="8" t="str">
        <f aca="false">IF(T1326="BYPASS",IF(NOT(ISNUMBER(Q1326)),"PreV_ETB missing","End_tr_balance missing"),IF(T1326="FAIL",IF(AND(ISNUMBER(K1326),ISNUMBER(L1326),ABS(L1326-(K1326-IF(ISNUMBER(N1326),N1326,0)-IF(ISNUMBER(O1326),O1326,0)+IF(ISNUMBER(P1326),P1326,0)))&lt;=Summary!$B$2),"Passes using beginning_balance - PreV_ETB differs from beginning_balance",IF(AND(ISNUMBER(O1326),O1326&lt;0,ABS(L1326-(Q1326-IF(ISNUMBER(N1326),N1326,0)+IF(ISNUMBER(P1326),P1326,0)))&lt;=Summary!$B$2),"Negative realized loss not applied - check sign",IF(R1326&lt;0,"Principal paid exceeds prior balance",IF(AND(L1326&gt;Q1326,NOT(ISNUMBER(P1326))),"Balance increased but no Deferred_interest reported",IF(L1326&gt;R1326,"Reported balance higher than expected (missing increase/OC build)","Reported balance lower than expected (missing decrease)"))))),""))</f>
        <v/>
      </c>
    </row>
    <row r="1327" customFormat="false" ht="15" hidden="false" customHeight="false" outlineLevel="0" collapsed="false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9"/>
      <c r="L1327" s="9"/>
      <c r="M1327" s="9"/>
      <c r="N1327" s="9"/>
      <c r="O1327" s="9"/>
      <c r="P1327" s="9"/>
      <c r="Q1327" s="9"/>
      <c r="R1327" s="9" t="str">
        <f aca="false">IF(AND(A1327&lt;&gt;"",ISNUMBER(Q1327),ISNUMBER(L1327)),ROUND(Q1327-IF(ISNUMBER(N1327),N1327,0)-IF(ISNUMBER(O1327),O1327,0)+IF(ISNUMBER(P1327),P1327,0),2),"")</f>
        <v/>
      </c>
      <c r="S1327" s="9" t="str">
        <f aca="false">IF(R1327="","",ROUND(L1327-R1327,2))</f>
        <v/>
      </c>
      <c r="T1327" s="8" t="str">
        <f aca="false">IF(A1327="","",IF(S1327="","BYPASS",IF(ABS(S1327)&lt;=Summary!$B$2,"PASS","FAIL")))</f>
        <v/>
      </c>
      <c r="U1327" s="8" t="str">
        <f aca="false">IF(T1327="BYPASS",IF(NOT(ISNUMBER(Q1327)),"PreV_ETB missing","End_tr_balance missing"),IF(T1327="FAIL",IF(AND(ISNUMBER(K1327),ISNUMBER(L1327),ABS(L1327-(K1327-IF(ISNUMBER(N1327),N1327,0)-IF(ISNUMBER(O1327),O1327,0)+IF(ISNUMBER(P1327),P1327,0)))&lt;=Summary!$B$2),"Passes using beginning_balance - PreV_ETB differs from beginning_balance",IF(AND(ISNUMBER(O1327),O1327&lt;0,ABS(L1327-(Q1327-IF(ISNUMBER(N1327),N1327,0)+IF(ISNUMBER(P1327),P1327,0)))&lt;=Summary!$B$2),"Negative realized loss not applied - check sign",IF(R1327&lt;0,"Principal paid exceeds prior balance",IF(AND(L1327&gt;Q1327,NOT(ISNUMBER(P1327))),"Balance increased but no Deferred_interest reported",IF(L1327&gt;R1327,"Reported balance higher than expected (missing increase/OC build)","Reported balance lower than expected (missing decrease)"))))),""))</f>
        <v/>
      </c>
    </row>
    <row r="1328" customFormat="false" ht="15" hidden="false" customHeight="false" outlineLevel="0" collapsed="false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9"/>
      <c r="L1328" s="9"/>
      <c r="M1328" s="9"/>
      <c r="N1328" s="9"/>
      <c r="O1328" s="9"/>
      <c r="P1328" s="9"/>
      <c r="Q1328" s="9"/>
      <c r="R1328" s="9" t="str">
        <f aca="false">IF(AND(A1328&lt;&gt;"",ISNUMBER(Q1328),ISNUMBER(L1328)),ROUND(Q1328-IF(ISNUMBER(N1328),N1328,0)-IF(ISNUMBER(O1328),O1328,0)+IF(ISNUMBER(P1328),P1328,0),2),"")</f>
        <v/>
      </c>
      <c r="S1328" s="9" t="str">
        <f aca="false">IF(R1328="","",ROUND(L1328-R1328,2))</f>
        <v/>
      </c>
      <c r="T1328" s="8" t="str">
        <f aca="false">IF(A1328="","",IF(S1328="","BYPASS",IF(ABS(S1328)&lt;=Summary!$B$2,"PASS","FAIL")))</f>
        <v/>
      </c>
      <c r="U1328" s="8" t="str">
        <f aca="false">IF(T1328="BYPASS",IF(NOT(ISNUMBER(Q1328)),"PreV_ETB missing","End_tr_balance missing"),IF(T1328="FAIL",IF(AND(ISNUMBER(K1328),ISNUMBER(L1328),ABS(L1328-(K1328-IF(ISNUMBER(N1328),N1328,0)-IF(ISNUMBER(O1328),O1328,0)+IF(ISNUMBER(P1328),P1328,0)))&lt;=Summary!$B$2),"Passes using beginning_balance - PreV_ETB differs from beginning_balance",IF(AND(ISNUMBER(O1328),O1328&lt;0,ABS(L1328-(Q1328-IF(ISNUMBER(N1328),N1328,0)+IF(ISNUMBER(P1328),P1328,0)))&lt;=Summary!$B$2),"Negative realized loss not applied - check sign",IF(R1328&lt;0,"Principal paid exceeds prior balance",IF(AND(L1328&gt;Q1328,NOT(ISNUMBER(P1328))),"Balance increased but no Deferred_interest reported",IF(L1328&gt;R1328,"Reported balance higher than expected (missing increase/OC build)","Reported balance lower than expected (missing decrease)"))))),""))</f>
        <v/>
      </c>
    </row>
    <row r="1329" customFormat="false" ht="15" hidden="false" customHeight="false" outlineLevel="0" collapsed="false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9"/>
      <c r="L1329" s="9"/>
      <c r="M1329" s="9"/>
      <c r="N1329" s="9"/>
      <c r="O1329" s="9"/>
      <c r="P1329" s="9"/>
      <c r="Q1329" s="9"/>
      <c r="R1329" s="9" t="str">
        <f aca="false">IF(AND(A1329&lt;&gt;"",ISNUMBER(Q1329),ISNUMBER(L1329)),ROUND(Q1329-IF(ISNUMBER(N1329),N1329,0)-IF(ISNUMBER(O1329),O1329,0)+IF(ISNUMBER(P1329),P1329,0),2),"")</f>
        <v/>
      </c>
      <c r="S1329" s="9" t="str">
        <f aca="false">IF(R1329="","",ROUND(L1329-R1329,2))</f>
        <v/>
      </c>
      <c r="T1329" s="8" t="str">
        <f aca="false">IF(A1329="","",IF(S1329="","BYPASS",IF(ABS(S1329)&lt;=Summary!$B$2,"PASS","FAIL")))</f>
        <v/>
      </c>
      <c r="U1329" s="8" t="str">
        <f aca="false">IF(T1329="BYPASS",IF(NOT(ISNUMBER(Q1329)),"PreV_ETB missing","End_tr_balance missing"),IF(T1329="FAIL",IF(AND(ISNUMBER(K1329),ISNUMBER(L1329),ABS(L1329-(K1329-IF(ISNUMBER(N1329),N1329,0)-IF(ISNUMBER(O1329),O1329,0)+IF(ISNUMBER(P1329),P1329,0)))&lt;=Summary!$B$2),"Passes using beginning_balance - PreV_ETB differs from beginning_balance",IF(AND(ISNUMBER(O1329),O1329&lt;0,ABS(L1329-(Q1329-IF(ISNUMBER(N1329),N1329,0)+IF(ISNUMBER(P1329),P1329,0)))&lt;=Summary!$B$2),"Negative realized loss not applied - check sign",IF(R1329&lt;0,"Principal paid exceeds prior balance",IF(AND(L1329&gt;Q1329,NOT(ISNUMBER(P1329))),"Balance increased but no Deferred_interest reported",IF(L1329&gt;R1329,"Reported balance higher than expected (missing increase/OC build)","Reported balance lower than expected (missing decrease)"))))),""))</f>
        <v/>
      </c>
    </row>
    <row r="1330" customFormat="false" ht="15" hidden="false" customHeight="false" outlineLevel="0" collapsed="false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9"/>
      <c r="L1330" s="9"/>
      <c r="M1330" s="9"/>
      <c r="N1330" s="9"/>
      <c r="O1330" s="9"/>
      <c r="P1330" s="9"/>
      <c r="Q1330" s="9"/>
      <c r="R1330" s="9" t="str">
        <f aca="false">IF(AND(A1330&lt;&gt;"",ISNUMBER(Q1330),ISNUMBER(L1330)),ROUND(Q1330-IF(ISNUMBER(N1330),N1330,0)-IF(ISNUMBER(O1330),O1330,0)+IF(ISNUMBER(P1330),P1330,0),2),"")</f>
        <v/>
      </c>
      <c r="S1330" s="9" t="str">
        <f aca="false">IF(R1330="","",ROUND(L1330-R1330,2))</f>
        <v/>
      </c>
      <c r="T1330" s="8" t="str">
        <f aca="false">IF(A1330="","",IF(S1330="","BYPASS",IF(ABS(S1330)&lt;=Summary!$B$2,"PASS","FAIL")))</f>
        <v/>
      </c>
      <c r="U1330" s="8" t="str">
        <f aca="false">IF(T1330="BYPASS",IF(NOT(ISNUMBER(Q1330)),"PreV_ETB missing","End_tr_balance missing"),IF(T1330="FAIL",IF(AND(ISNUMBER(K1330),ISNUMBER(L1330),ABS(L1330-(K1330-IF(ISNUMBER(N1330),N1330,0)-IF(ISNUMBER(O1330),O1330,0)+IF(ISNUMBER(P1330),P1330,0)))&lt;=Summary!$B$2),"Passes using beginning_balance - PreV_ETB differs from beginning_balance",IF(AND(ISNUMBER(O1330),O1330&lt;0,ABS(L1330-(Q1330-IF(ISNUMBER(N1330),N1330,0)+IF(ISNUMBER(P1330),P1330,0)))&lt;=Summary!$B$2),"Negative realized loss not applied - check sign",IF(R1330&lt;0,"Principal paid exceeds prior balance",IF(AND(L1330&gt;Q1330,NOT(ISNUMBER(P1330))),"Balance increased but no Deferred_interest reported",IF(L1330&gt;R1330,"Reported balance higher than expected (missing increase/OC build)","Reported balance lower than expected (missing decrease)"))))),""))</f>
        <v/>
      </c>
    </row>
    <row r="1331" customFormat="false" ht="15" hidden="false" customHeight="false" outlineLevel="0" collapsed="false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9"/>
      <c r="L1331" s="9"/>
      <c r="M1331" s="9"/>
      <c r="N1331" s="9"/>
      <c r="O1331" s="9"/>
      <c r="P1331" s="9"/>
      <c r="Q1331" s="9"/>
      <c r="R1331" s="9" t="str">
        <f aca="false">IF(AND(A1331&lt;&gt;"",ISNUMBER(Q1331),ISNUMBER(L1331)),ROUND(Q1331-IF(ISNUMBER(N1331),N1331,0)-IF(ISNUMBER(O1331),O1331,0)+IF(ISNUMBER(P1331),P1331,0),2),"")</f>
        <v/>
      </c>
      <c r="S1331" s="9" t="str">
        <f aca="false">IF(R1331="","",ROUND(L1331-R1331,2))</f>
        <v/>
      </c>
      <c r="T1331" s="8" t="str">
        <f aca="false">IF(A1331="","",IF(S1331="","BYPASS",IF(ABS(S1331)&lt;=Summary!$B$2,"PASS","FAIL")))</f>
        <v/>
      </c>
      <c r="U1331" s="8" t="str">
        <f aca="false">IF(T1331="BYPASS",IF(NOT(ISNUMBER(Q1331)),"PreV_ETB missing","End_tr_balance missing"),IF(T1331="FAIL",IF(AND(ISNUMBER(K1331),ISNUMBER(L1331),ABS(L1331-(K1331-IF(ISNUMBER(N1331),N1331,0)-IF(ISNUMBER(O1331),O1331,0)+IF(ISNUMBER(P1331),P1331,0)))&lt;=Summary!$B$2),"Passes using beginning_balance - PreV_ETB differs from beginning_balance",IF(AND(ISNUMBER(O1331),O1331&lt;0,ABS(L1331-(Q1331-IF(ISNUMBER(N1331),N1331,0)+IF(ISNUMBER(P1331),P1331,0)))&lt;=Summary!$B$2),"Negative realized loss not applied - check sign",IF(R1331&lt;0,"Principal paid exceeds prior balance",IF(AND(L1331&gt;Q1331,NOT(ISNUMBER(P1331))),"Balance increased but no Deferred_interest reported",IF(L1331&gt;R1331,"Reported balance higher than expected (missing increase/OC build)","Reported balance lower than expected (missing decrease)"))))),""))</f>
        <v/>
      </c>
    </row>
    <row r="1332" customFormat="false" ht="15" hidden="false" customHeight="false" outlineLevel="0" collapsed="false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9"/>
      <c r="L1332" s="9"/>
      <c r="M1332" s="9"/>
      <c r="N1332" s="9"/>
      <c r="O1332" s="9"/>
      <c r="P1332" s="9"/>
      <c r="Q1332" s="9"/>
      <c r="R1332" s="9" t="str">
        <f aca="false">IF(AND(A1332&lt;&gt;"",ISNUMBER(Q1332),ISNUMBER(L1332)),ROUND(Q1332-IF(ISNUMBER(N1332),N1332,0)-IF(ISNUMBER(O1332),O1332,0)+IF(ISNUMBER(P1332),P1332,0),2),"")</f>
        <v/>
      </c>
      <c r="S1332" s="9" t="str">
        <f aca="false">IF(R1332="","",ROUND(L1332-R1332,2))</f>
        <v/>
      </c>
      <c r="T1332" s="8" t="str">
        <f aca="false">IF(A1332="","",IF(S1332="","BYPASS",IF(ABS(S1332)&lt;=Summary!$B$2,"PASS","FAIL")))</f>
        <v/>
      </c>
      <c r="U1332" s="8" t="str">
        <f aca="false">IF(T1332="BYPASS",IF(NOT(ISNUMBER(Q1332)),"PreV_ETB missing","End_tr_balance missing"),IF(T1332="FAIL",IF(AND(ISNUMBER(K1332),ISNUMBER(L1332),ABS(L1332-(K1332-IF(ISNUMBER(N1332),N1332,0)-IF(ISNUMBER(O1332),O1332,0)+IF(ISNUMBER(P1332),P1332,0)))&lt;=Summary!$B$2),"Passes using beginning_balance - PreV_ETB differs from beginning_balance",IF(AND(ISNUMBER(O1332),O1332&lt;0,ABS(L1332-(Q1332-IF(ISNUMBER(N1332),N1332,0)+IF(ISNUMBER(P1332),P1332,0)))&lt;=Summary!$B$2),"Negative realized loss not applied - check sign",IF(R1332&lt;0,"Principal paid exceeds prior balance",IF(AND(L1332&gt;Q1332,NOT(ISNUMBER(P1332))),"Balance increased but no Deferred_interest reported",IF(L1332&gt;R1332,"Reported balance higher than expected (missing increase/OC build)","Reported balance lower than expected (missing decrease)"))))),""))</f>
        <v/>
      </c>
    </row>
    <row r="1333" customFormat="false" ht="15" hidden="false" customHeight="false" outlineLevel="0" collapsed="false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9"/>
      <c r="L1333" s="9"/>
      <c r="M1333" s="9"/>
      <c r="N1333" s="9"/>
      <c r="O1333" s="9"/>
      <c r="P1333" s="9"/>
      <c r="Q1333" s="9"/>
      <c r="R1333" s="9" t="str">
        <f aca="false">IF(AND(A1333&lt;&gt;"",ISNUMBER(Q1333),ISNUMBER(L1333)),ROUND(Q1333-IF(ISNUMBER(N1333),N1333,0)-IF(ISNUMBER(O1333),O1333,0)+IF(ISNUMBER(P1333),P1333,0),2),"")</f>
        <v/>
      </c>
      <c r="S1333" s="9" t="str">
        <f aca="false">IF(R1333="","",ROUND(L1333-R1333,2))</f>
        <v/>
      </c>
      <c r="T1333" s="8" t="str">
        <f aca="false">IF(A1333="","",IF(S1333="","BYPASS",IF(ABS(S1333)&lt;=Summary!$B$2,"PASS","FAIL")))</f>
        <v/>
      </c>
      <c r="U1333" s="8" t="str">
        <f aca="false">IF(T1333="BYPASS",IF(NOT(ISNUMBER(Q1333)),"PreV_ETB missing","End_tr_balance missing"),IF(T1333="FAIL",IF(AND(ISNUMBER(K1333),ISNUMBER(L1333),ABS(L1333-(K1333-IF(ISNUMBER(N1333),N1333,0)-IF(ISNUMBER(O1333),O1333,0)+IF(ISNUMBER(P1333),P1333,0)))&lt;=Summary!$B$2),"Passes using beginning_balance - PreV_ETB differs from beginning_balance",IF(AND(ISNUMBER(O1333),O1333&lt;0,ABS(L1333-(Q1333-IF(ISNUMBER(N1333),N1333,0)+IF(ISNUMBER(P1333),P1333,0)))&lt;=Summary!$B$2),"Negative realized loss not applied - check sign",IF(R1333&lt;0,"Principal paid exceeds prior balance",IF(AND(L1333&gt;Q1333,NOT(ISNUMBER(P1333))),"Balance increased but no Deferred_interest reported",IF(L1333&gt;R1333,"Reported balance higher than expected (missing increase/OC build)","Reported balance lower than expected (missing decrease)"))))),""))</f>
        <v/>
      </c>
    </row>
    <row r="1334" customFormat="false" ht="15" hidden="false" customHeight="false" outlineLevel="0" collapsed="false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9"/>
      <c r="L1334" s="9"/>
      <c r="M1334" s="9"/>
      <c r="N1334" s="9"/>
      <c r="O1334" s="9"/>
      <c r="P1334" s="9"/>
      <c r="Q1334" s="9"/>
      <c r="R1334" s="9" t="str">
        <f aca="false">IF(AND(A1334&lt;&gt;"",ISNUMBER(Q1334),ISNUMBER(L1334)),ROUND(Q1334-IF(ISNUMBER(N1334),N1334,0)-IF(ISNUMBER(O1334),O1334,0)+IF(ISNUMBER(P1334),P1334,0),2),"")</f>
        <v/>
      </c>
      <c r="S1334" s="9" t="str">
        <f aca="false">IF(R1334="","",ROUND(L1334-R1334,2))</f>
        <v/>
      </c>
      <c r="T1334" s="8" t="str">
        <f aca="false">IF(A1334="","",IF(S1334="","BYPASS",IF(ABS(S1334)&lt;=Summary!$B$2,"PASS","FAIL")))</f>
        <v/>
      </c>
      <c r="U1334" s="8" t="str">
        <f aca="false">IF(T1334="BYPASS",IF(NOT(ISNUMBER(Q1334)),"PreV_ETB missing","End_tr_balance missing"),IF(T1334="FAIL",IF(AND(ISNUMBER(K1334),ISNUMBER(L1334),ABS(L1334-(K1334-IF(ISNUMBER(N1334),N1334,0)-IF(ISNUMBER(O1334),O1334,0)+IF(ISNUMBER(P1334),P1334,0)))&lt;=Summary!$B$2),"Passes using beginning_balance - PreV_ETB differs from beginning_balance",IF(AND(ISNUMBER(O1334),O1334&lt;0,ABS(L1334-(Q1334-IF(ISNUMBER(N1334),N1334,0)+IF(ISNUMBER(P1334),P1334,0)))&lt;=Summary!$B$2),"Negative realized loss not applied - check sign",IF(R1334&lt;0,"Principal paid exceeds prior balance",IF(AND(L1334&gt;Q1334,NOT(ISNUMBER(P1334))),"Balance increased but no Deferred_interest reported",IF(L1334&gt;R1334,"Reported balance higher than expected (missing increase/OC build)","Reported balance lower than expected (missing decrease)"))))),""))</f>
        <v/>
      </c>
    </row>
    <row r="1335" customFormat="false" ht="15" hidden="false" customHeight="false" outlineLevel="0" collapsed="false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9"/>
      <c r="L1335" s="9"/>
      <c r="M1335" s="9"/>
      <c r="N1335" s="9"/>
      <c r="O1335" s="9"/>
      <c r="P1335" s="9"/>
      <c r="Q1335" s="9"/>
      <c r="R1335" s="9" t="str">
        <f aca="false">IF(AND(A1335&lt;&gt;"",ISNUMBER(Q1335),ISNUMBER(L1335)),ROUND(Q1335-IF(ISNUMBER(N1335),N1335,0)-IF(ISNUMBER(O1335),O1335,0)+IF(ISNUMBER(P1335),P1335,0),2),"")</f>
        <v/>
      </c>
      <c r="S1335" s="9" t="str">
        <f aca="false">IF(R1335="","",ROUND(L1335-R1335,2))</f>
        <v/>
      </c>
      <c r="T1335" s="8" t="str">
        <f aca="false">IF(A1335="","",IF(S1335="","BYPASS",IF(ABS(S1335)&lt;=Summary!$B$2,"PASS","FAIL")))</f>
        <v/>
      </c>
      <c r="U1335" s="8" t="str">
        <f aca="false">IF(T1335="BYPASS",IF(NOT(ISNUMBER(Q1335)),"PreV_ETB missing","End_tr_balance missing"),IF(T1335="FAIL",IF(AND(ISNUMBER(K1335),ISNUMBER(L1335),ABS(L1335-(K1335-IF(ISNUMBER(N1335),N1335,0)-IF(ISNUMBER(O1335),O1335,0)+IF(ISNUMBER(P1335),P1335,0)))&lt;=Summary!$B$2),"Passes using beginning_balance - PreV_ETB differs from beginning_balance",IF(AND(ISNUMBER(O1335),O1335&lt;0,ABS(L1335-(Q1335-IF(ISNUMBER(N1335),N1335,0)+IF(ISNUMBER(P1335),P1335,0)))&lt;=Summary!$B$2),"Negative realized loss not applied - check sign",IF(R1335&lt;0,"Principal paid exceeds prior balance",IF(AND(L1335&gt;Q1335,NOT(ISNUMBER(P1335))),"Balance increased but no Deferred_interest reported",IF(L1335&gt;R1335,"Reported balance higher than expected (missing increase/OC build)","Reported balance lower than expected (missing decrease)"))))),""))</f>
        <v/>
      </c>
    </row>
    <row r="1336" customFormat="false" ht="15" hidden="false" customHeight="false" outlineLevel="0" collapsed="false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9"/>
      <c r="L1336" s="9"/>
      <c r="M1336" s="9"/>
      <c r="N1336" s="9"/>
      <c r="O1336" s="9"/>
      <c r="P1336" s="9"/>
      <c r="Q1336" s="9"/>
      <c r="R1336" s="9" t="str">
        <f aca="false">IF(AND(A1336&lt;&gt;"",ISNUMBER(Q1336),ISNUMBER(L1336)),ROUND(Q1336-IF(ISNUMBER(N1336),N1336,0)-IF(ISNUMBER(O1336),O1336,0)+IF(ISNUMBER(P1336),P1336,0),2),"")</f>
        <v/>
      </c>
      <c r="S1336" s="9" t="str">
        <f aca="false">IF(R1336="","",ROUND(L1336-R1336,2))</f>
        <v/>
      </c>
      <c r="T1336" s="8" t="str">
        <f aca="false">IF(A1336="","",IF(S1336="","BYPASS",IF(ABS(S1336)&lt;=Summary!$B$2,"PASS","FAIL")))</f>
        <v/>
      </c>
      <c r="U1336" s="8" t="str">
        <f aca="false">IF(T1336="BYPASS",IF(NOT(ISNUMBER(Q1336)),"PreV_ETB missing","End_tr_balance missing"),IF(T1336="FAIL",IF(AND(ISNUMBER(K1336),ISNUMBER(L1336),ABS(L1336-(K1336-IF(ISNUMBER(N1336),N1336,0)-IF(ISNUMBER(O1336),O1336,0)+IF(ISNUMBER(P1336),P1336,0)))&lt;=Summary!$B$2),"Passes using beginning_balance - PreV_ETB differs from beginning_balance",IF(AND(ISNUMBER(O1336),O1336&lt;0,ABS(L1336-(Q1336-IF(ISNUMBER(N1336),N1336,0)+IF(ISNUMBER(P1336),P1336,0)))&lt;=Summary!$B$2),"Negative realized loss not applied - check sign",IF(R1336&lt;0,"Principal paid exceeds prior balance",IF(AND(L1336&gt;Q1336,NOT(ISNUMBER(P1336))),"Balance increased but no Deferred_interest reported",IF(L1336&gt;R1336,"Reported balance higher than expected (missing increase/OC build)","Reported balance lower than expected (missing decrease)"))))),""))</f>
        <v/>
      </c>
    </row>
    <row r="1337" customFormat="false" ht="15" hidden="false" customHeight="false" outlineLevel="0" collapsed="false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9"/>
      <c r="L1337" s="9"/>
      <c r="M1337" s="9"/>
      <c r="N1337" s="9"/>
      <c r="O1337" s="9"/>
      <c r="P1337" s="9"/>
      <c r="Q1337" s="9"/>
      <c r="R1337" s="9" t="str">
        <f aca="false">IF(AND(A1337&lt;&gt;"",ISNUMBER(Q1337),ISNUMBER(L1337)),ROUND(Q1337-IF(ISNUMBER(N1337),N1337,0)-IF(ISNUMBER(O1337),O1337,0)+IF(ISNUMBER(P1337),P1337,0),2),"")</f>
        <v/>
      </c>
      <c r="S1337" s="9" t="str">
        <f aca="false">IF(R1337="","",ROUND(L1337-R1337,2))</f>
        <v/>
      </c>
      <c r="T1337" s="8" t="str">
        <f aca="false">IF(A1337="","",IF(S1337="","BYPASS",IF(ABS(S1337)&lt;=Summary!$B$2,"PASS","FAIL")))</f>
        <v/>
      </c>
      <c r="U1337" s="8" t="str">
        <f aca="false">IF(T1337="BYPASS",IF(NOT(ISNUMBER(Q1337)),"PreV_ETB missing","End_tr_balance missing"),IF(T1337="FAIL",IF(AND(ISNUMBER(K1337),ISNUMBER(L1337),ABS(L1337-(K1337-IF(ISNUMBER(N1337),N1337,0)-IF(ISNUMBER(O1337),O1337,0)+IF(ISNUMBER(P1337),P1337,0)))&lt;=Summary!$B$2),"Passes using beginning_balance - PreV_ETB differs from beginning_balance",IF(AND(ISNUMBER(O1337),O1337&lt;0,ABS(L1337-(Q1337-IF(ISNUMBER(N1337),N1337,0)+IF(ISNUMBER(P1337),P1337,0)))&lt;=Summary!$B$2),"Negative realized loss not applied - check sign",IF(R1337&lt;0,"Principal paid exceeds prior balance",IF(AND(L1337&gt;Q1337,NOT(ISNUMBER(P1337))),"Balance increased but no Deferred_interest reported",IF(L1337&gt;R1337,"Reported balance higher than expected (missing increase/OC build)","Reported balance lower than expected (missing decrease)"))))),""))</f>
        <v/>
      </c>
    </row>
    <row r="1338" customFormat="false" ht="15" hidden="false" customHeight="false" outlineLevel="0" collapsed="false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9"/>
      <c r="L1338" s="9"/>
      <c r="M1338" s="9"/>
      <c r="N1338" s="9"/>
      <c r="O1338" s="9"/>
      <c r="P1338" s="9"/>
      <c r="Q1338" s="9"/>
      <c r="R1338" s="9" t="str">
        <f aca="false">IF(AND(A1338&lt;&gt;"",ISNUMBER(Q1338),ISNUMBER(L1338)),ROUND(Q1338-IF(ISNUMBER(N1338),N1338,0)-IF(ISNUMBER(O1338),O1338,0)+IF(ISNUMBER(P1338),P1338,0),2),"")</f>
        <v/>
      </c>
      <c r="S1338" s="9" t="str">
        <f aca="false">IF(R1338="","",ROUND(L1338-R1338,2))</f>
        <v/>
      </c>
      <c r="T1338" s="8" t="str">
        <f aca="false">IF(A1338="","",IF(S1338="","BYPASS",IF(ABS(S1338)&lt;=Summary!$B$2,"PASS","FAIL")))</f>
        <v/>
      </c>
      <c r="U1338" s="8" t="str">
        <f aca="false">IF(T1338="BYPASS",IF(NOT(ISNUMBER(Q1338)),"PreV_ETB missing","End_tr_balance missing"),IF(T1338="FAIL",IF(AND(ISNUMBER(K1338),ISNUMBER(L1338),ABS(L1338-(K1338-IF(ISNUMBER(N1338),N1338,0)-IF(ISNUMBER(O1338),O1338,0)+IF(ISNUMBER(P1338),P1338,0)))&lt;=Summary!$B$2),"Passes using beginning_balance - PreV_ETB differs from beginning_balance",IF(AND(ISNUMBER(O1338),O1338&lt;0,ABS(L1338-(Q1338-IF(ISNUMBER(N1338),N1338,0)+IF(ISNUMBER(P1338),P1338,0)))&lt;=Summary!$B$2),"Negative realized loss not applied - check sign",IF(R1338&lt;0,"Principal paid exceeds prior balance",IF(AND(L1338&gt;Q1338,NOT(ISNUMBER(P1338))),"Balance increased but no Deferred_interest reported",IF(L1338&gt;R1338,"Reported balance higher than expected (missing increase/OC build)","Reported balance lower than expected (missing decrease)"))))),""))</f>
        <v/>
      </c>
    </row>
    <row r="1339" customFormat="false" ht="15" hidden="false" customHeight="false" outlineLevel="0" collapsed="false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9"/>
      <c r="L1339" s="9"/>
      <c r="M1339" s="9"/>
      <c r="N1339" s="9"/>
      <c r="O1339" s="9"/>
      <c r="P1339" s="9"/>
      <c r="Q1339" s="9"/>
      <c r="R1339" s="9" t="str">
        <f aca="false">IF(AND(A1339&lt;&gt;"",ISNUMBER(Q1339),ISNUMBER(L1339)),ROUND(Q1339-IF(ISNUMBER(N1339),N1339,0)-IF(ISNUMBER(O1339),O1339,0)+IF(ISNUMBER(P1339),P1339,0),2),"")</f>
        <v/>
      </c>
      <c r="S1339" s="9" t="str">
        <f aca="false">IF(R1339="","",ROUND(L1339-R1339,2))</f>
        <v/>
      </c>
      <c r="T1339" s="8" t="str">
        <f aca="false">IF(A1339="","",IF(S1339="","BYPASS",IF(ABS(S1339)&lt;=Summary!$B$2,"PASS","FAIL")))</f>
        <v/>
      </c>
      <c r="U1339" s="8" t="str">
        <f aca="false">IF(T1339="BYPASS",IF(NOT(ISNUMBER(Q1339)),"PreV_ETB missing","End_tr_balance missing"),IF(T1339="FAIL",IF(AND(ISNUMBER(K1339),ISNUMBER(L1339),ABS(L1339-(K1339-IF(ISNUMBER(N1339),N1339,0)-IF(ISNUMBER(O1339),O1339,0)+IF(ISNUMBER(P1339),P1339,0)))&lt;=Summary!$B$2),"Passes using beginning_balance - PreV_ETB differs from beginning_balance",IF(AND(ISNUMBER(O1339),O1339&lt;0,ABS(L1339-(Q1339-IF(ISNUMBER(N1339),N1339,0)+IF(ISNUMBER(P1339),P1339,0)))&lt;=Summary!$B$2),"Negative realized loss not applied - check sign",IF(R1339&lt;0,"Principal paid exceeds prior balance",IF(AND(L1339&gt;Q1339,NOT(ISNUMBER(P1339))),"Balance increased but no Deferred_interest reported",IF(L1339&gt;R1339,"Reported balance higher than expected (missing increase/OC build)","Reported balance lower than expected (missing decrease)"))))),""))</f>
        <v/>
      </c>
    </row>
    <row r="1340" customFormat="false" ht="15" hidden="false" customHeight="false" outlineLevel="0" collapsed="false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9"/>
      <c r="L1340" s="9"/>
      <c r="M1340" s="9"/>
      <c r="N1340" s="9"/>
      <c r="O1340" s="9"/>
      <c r="P1340" s="9"/>
      <c r="Q1340" s="9"/>
      <c r="R1340" s="9" t="str">
        <f aca="false">IF(AND(A1340&lt;&gt;"",ISNUMBER(Q1340),ISNUMBER(L1340)),ROUND(Q1340-IF(ISNUMBER(N1340),N1340,0)-IF(ISNUMBER(O1340),O1340,0)+IF(ISNUMBER(P1340),P1340,0),2),"")</f>
        <v/>
      </c>
      <c r="S1340" s="9" t="str">
        <f aca="false">IF(R1340="","",ROUND(L1340-R1340,2))</f>
        <v/>
      </c>
      <c r="T1340" s="8" t="str">
        <f aca="false">IF(A1340="","",IF(S1340="","BYPASS",IF(ABS(S1340)&lt;=Summary!$B$2,"PASS","FAIL")))</f>
        <v/>
      </c>
      <c r="U1340" s="8" t="str">
        <f aca="false">IF(T1340="BYPASS",IF(NOT(ISNUMBER(Q1340)),"PreV_ETB missing","End_tr_balance missing"),IF(T1340="FAIL",IF(AND(ISNUMBER(K1340),ISNUMBER(L1340),ABS(L1340-(K1340-IF(ISNUMBER(N1340),N1340,0)-IF(ISNUMBER(O1340),O1340,0)+IF(ISNUMBER(P1340),P1340,0)))&lt;=Summary!$B$2),"Passes using beginning_balance - PreV_ETB differs from beginning_balance",IF(AND(ISNUMBER(O1340),O1340&lt;0,ABS(L1340-(Q1340-IF(ISNUMBER(N1340),N1340,0)+IF(ISNUMBER(P1340),P1340,0)))&lt;=Summary!$B$2),"Negative realized loss not applied - check sign",IF(R1340&lt;0,"Principal paid exceeds prior balance",IF(AND(L1340&gt;Q1340,NOT(ISNUMBER(P1340))),"Balance increased but no Deferred_interest reported",IF(L1340&gt;R1340,"Reported balance higher than expected (missing increase/OC build)","Reported balance lower than expected (missing decrease)"))))),""))</f>
        <v/>
      </c>
    </row>
    <row r="1341" customFormat="false" ht="15" hidden="false" customHeight="false" outlineLevel="0" collapsed="false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9"/>
      <c r="L1341" s="9"/>
      <c r="M1341" s="9"/>
      <c r="N1341" s="9"/>
      <c r="O1341" s="9"/>
      <c r="P1341" s="9"/>
      <c r="Q1341" s="9"/>
      <c r="R1341" s="9" t="str">
        <f aca="false">IF(AND(A1341&lt;&gt;"",ISNUMBER(Q1341),ISNUMBER(L1341)),ROUND(Q1341-IF(ISNUMBER(N1341),N1341,0)-IF(ISNUMBER(O1341),O1341,0)+IF(ISNUMBER(P1341),P1341,0),2),"")</f>
        <v/>
      </c>
      <c r="S1341" s="9" t="str">
        <f aca="false">IF(R1341="","",ROUND(L1341-R1341,2))</f>
        <v/>
      </c>
      <c r="T1341" s="8" t="str">
        <f aca="false">IF(A1341="","",IF(S1341="","BYPASS",IF(ABS(S1341)&lt;=Summary!$B$2,"PASS","FAIL")))</f>
        <v/>
      </c>
      <c r="U1341" s="8" t="str">
        <f aca="false">IF(T1341="BYPASS",IF(NOT(ISNUMBER(Q1341)),"PreV_ETB missing","End_tr_balance missing"),IF(T1341="FAIL",IF(AND(ISNUMBER(K1341),ISNUMBER(L1341),ABS(L1341-(K1341-IF(ISNUMBER(N1341),N1341,0)-IF(ISNUMBER(O1341),O1341,0)+IF(ISNUMBER(P1341),P1341,0)))&lt;=Summary!$B$2),"Passes using beginning_balance - PreV_ETB differs from beginning_balance",IF(AND(ISNUMBER(O1341),O1341&lt;0,ABS(L1341-(Q1341-IF(ISNUMBER(N1341),N1341,0)+IF(ISNUMBER(P1341),P1341,0)))&lt;=Summary!$B$2),"Negative realized loss not applied - check sign",IF(R1341&lt;0,"Principal paid exceeds prior balance",IF(AND(L1341&gt;Q1341,NOT(ISNUMBER(P1341))),"Balance increased but no Deferred_interest reported",IF(L1341&gt;R1341,"Reported balance higher than expected (missing increase/OC build)","Reported balance lower than expected (missing decrease)"))))),""))</f>
        <v/>
      </c>
    </row>
    <row r="1342" customFormat="false" ht="15" hidden="false" customHeight="false" outlineLevel="0" collapsed="false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9"/>
      <c r="L1342" s="9"/>
      <c r="M1342" s="9"/>
      <c r="N1342" s="9"/>
      <c r="O1342" s="9"/>
      <c r="P1342" s="9"/>
      <c r="Q1342" s="9"/>
      <c r="R1342" s="9" t="str">
        <f aca="false">IF(AND(A1342&lt;&gt;"",ISNUMBER(Q1342),ISNUMBER(L1342)),ROUND(Q1342-IF(ISNUMBER(N1342),N1342,0)-IF(ISNUMBER(O1342),O1342,0)+IF(ISNUMBER(P1342),P1342,0),2),"")</f>
        <v/>
      </c>
      <c r="S1342" s="9" t="str">
        <f aca="false">IF(R1342="","",ROUND(L1342-R1342,2))</f>
        <v/>
      </c>
      <c r="T1342" s="8" t="str">
        <f aca="false">IF(A1342="","",IF(S1342="","BYPASS",IF(ABS(S1342)&lt;=Summary!$B$2,"PASS","FAIL")))</f>
        <v/>
      </c>
      <c r="U1342" s="8" t="str">
        <f aca="false">IF(T1342="BYPASS",IF(NOT(ISNUMBER(Q1342)),"PreV_ETB missing","End_tr_balance missing"),IF(T1342="FAIL",IF(AND(ISNUMBER(K1342),ISNUMBER(L1342),ABS(L1342-(K1342-IF(ISNUMBER(N1342),N1342,0)-IF(ISNUMBER(O1342),O1342,0)+IF(ISNUMBER(P1342),P1342,0)))&lt;=Summary!$B$2),"Passes using beginning_balance - PreV_ETB differs from beginning_balance",IF(AND(ISNUMBER(O1342),O1342&lt;0,ABS(L1342-(Q1342-IF(ISNUMBER(N1342),N1342,0)+IF(ISNUMBER(P1342),P1342,0)))&lt;=Summary!$B$2),"Negative realized loss not applied - check sign",IF(R1342&lt;0,"Principal paid exceeds prior balance",IF(AND(L1342&gt;Q1342,NOT(ISNUMBER(P1342))),"Balance increased but no Deferred_interest reported",IF(L1342&gt;R1342,"Reported balance higher than expected (missing increase/OC build)","Reported balance lower than expected (missing decrease)"))))),""))</f>
        <v/>
      </c>
    </row>
    <row r="1343" customFormat="false" ht="15" hidden="false" customHeight="false" outlineLevel="0" collapsed="false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9"/>
      <c r="L1343" s="9"/>
      <c r="M1343" s="9"/>
      <c r="N1343" s="9"/>
      <c r="O1343" s="9"/>
      <c r="P1343" s="9"/>
      <c r="Q1343" s="9"/>
      <c r="R1343" s="9" t="str">
        <f aca="false">IF(AND(A1343&lt;&gt;"",ISNUMBER(Q1343),ISNUMBER(L1343)),ROUND(Q1343-IF(ISNUMBER(N1343),N1343,0)-IF(ISNUMBER(O1343),O1343,0)+IF(ISNUMBER(P1343),P1343,0),2),"")</f>
        <v/>
      </c>
      <c r="S1343" s="9" t="str">
        <f aca="false">IF(R1343="","",ROUND(L1343-R1343,2))</f>
        <v/>
      </c>
      <c r="T1343" s="8" t="str">
        <f aca="false">IF(A1343="","",IF(S1343="","BYPASS",IF(ABS(S1343)&lt;=Summary!$B$2,"PASS","FAIL")))</f>
        <v/>
      </c>
      <c r="U1343" s="8" t="str">
        <f aca="false">IF(T1343="BYPASS",IF(NOT(ISNUMBER(Q1343)),"PreV_ETB missing","End_tr_balance missing"),IF(T1343="FAIL",IF(AND(ISNUMBER(K1343),ISNUMBER(L1343),ABS(L1343-(K1343-IF(ISNUMBER(N1343),N1343,0)-IF(ISNUMBER(O1343),O1343,0)+IF(ISNUMBER(P1343),P1343,0)))&lt;=Summary!$B$2),"Passes using beginning_balance - PreV_ETB differs from beginning_balance",IF(AND(ISNUMBER(O1343),O1343&lt;0,ABS(L1343-(Q1343-IF(ISNUMBER(N1343),N1343,0)+IF(ISNUMBER(P1343),P1343,0)))&lt;=Summary!$B$2),"Negative realized loss not applied - check sign",IF(R1343&lt;0,"Principal paid exceeds prior balance",IF(AND(L1343&gt;Q1343,NOT(ISNUMBER(P1343))),"Balance increased but no Deferred_interest reported",IF(L1343&gt;R1343,"Reported balance higher than expected (missing increase/OC build)","Reported balance lower than expected (missing decrease)"))))),""))</f>
        <v/>
      </c>
    </row>
    <row r="1344" customFormat="false" ht="15" hidden="false" customHeight="false" outlineLevel="0" collapsed="false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9"/>
      <c r="L1344" s="9"/>
      <c r="M1344" s="9"/>
      <c r="N1344" s="9"/>
      <c r="O1344" s="9"/>
      <c r="P1344" s="9"/>
      <c r="Q1344" s="9"/>
      <c r="R1344" s="9" t="str">
        <f aca="false">IF(AND(A1344&lt;&gt;"",ISNUMBER(Q1344),ISNUMBER(L1344)),ROUND(Q1344-IF(ISNUMBER(N1344),N1344,0)-IF(ISNUMBER(O1344),O1344,0)+IF(ISNUMBER(P1344),P1344,0),2),"")</f>
        <v/>
      </c>
      <c r="S1344" s="9" t="str">
        <f aca="false">IF(R1344="","",ROUND(L1344-R1344,2))</f>
        <v/>
      </c>
      <c r="T1344" s="8" t="str">
        <f aca="false">IF(A1344="","",IF(S1344="","BYPASS",IF(ABS(S1344)&lt;=Summary!$B$2,"PASS","FAIL")))</f>
        <v/>
      </c>
      <c r="U1344" s="8" t="str">
        <f aca="false">IF(T1344="BYPASS",IF(NOT(ISNUMBER(Q1344)),"PreV_ETB missing","End_tr_balance missing"),IF(T1344="FAIL",IF(AND(ISNUMBER(K1344),ISNUMBER(L1344),ABS(L1344-(K1344-IF(ISNUMBER(N1344),N1344,0)-IF(ISNUMBER(O1344),O1344,0)+IF(ISNUMBER(P1344),P1344,0)))&lt;=Summary!$B$2),"Passes using beginning_balance - PreV_ETB differs from beginning_balance",IF(AND(ISNUMBER(O1344),O1344&lt;0,ABS(L1344-(Q1344-IF(ISNUMBER(N1344),N1344,0)+IF(ISNUMBER(P1344),P1344,0)))&lt;=Summary!$B$2),"Negative realized loss not applied - check sign",IF(R1344&lt;0,"Principal paid exceeds prior balance",IF(AND(L1344&gt;Q1344,NOT(ISNUMBER(P1344))),"Balance increased but no Deferred_interest reported",IF(L1344&gt;R1344,"Reported balance higher than expected (missing increase/OC build)","Reported balance lower than expected (missing decrease)"))))),""))</f>
        <v/>
      </c>
    </row>
    <row r="1345" customFormat="false" ht="15" hidden="false" customHeight="false" outlineLevel="0" collapsed="false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9"/>
      <c r="L1345" s="9"/>
      <c r="M1345" s="9"/>
      <c r="N1345" s="9"/>
      <c r="O1345" s="9"/>
      <c r="P1345" s="9"/>
      <c r="Q1345" s="9"/>
      <c r="R1345" s="9" t="str">
        <f aca="false">IF(AND(A1345&lt;&gt;"",ISNUMBER(Q1345),ISNUMBER(L1345)),ROUND(Q1345-IF(ISNUMBER(N1345),N1345,0)-IF(ISNUMBER(O1345),O1345,0)+IF(ISNUMBER(P1345),P1345,0),2),"")</f>
        <v/>
      </c>
      <c r="S1345" s="9" t="str">
        <f aca="false">IF(R1345="","",ROUND(L1345-R1345,2))</f>
        <v/>
      </c>
      <c r="T1345" s="8" t="str">
        <f aca="false">IF(A1345="","",IF(S1345="","BYPASS",IF(ABS(S1345)&lt;=Summary!$B$2,"PASS","FAIL")))</f>
        <v/>
      </c>
      <c r="U1345" s="8" t="str">
        <f aca="false">IF(T1345="BYPASS",IF(NOT(ISNUMBER(Q1345)),"PreV_ETB missing","End_tr_balance missing"),IF(T1345="FAIL",IF(AND(ISNUMBER(K1345),ISNUMBER(L1345),ABS(L1345-(K1345-IF(ISNUMBER(N1345),N1345,0)-IF(ISNUMBER(O1345),O1345,0)+IF(ISNUMBER(P1345),P1345,0)))&lt;=Summary!$B$2),"Passes using beginning_balance - PreV_ETB differs from beginning_balance",IF(AND(ISNUMBER(O1345),O1345&lt;0,ABS(L1345-(Q1345-IF(ISNUMBER(N1345),N1345,0)+IF(ISNUMBER(P1345),P1345,0)))&lt;=Summary!$B$2),"Negative realized loss not applied - check sign",IF(R1345&lt;0,"Principal paid exceeds prior balance",IF(AND(L1345&gt;Q1345,NOT(ISNUMBER(P1345))),"Balance increased but no Deferred_interest reported",IF(L1345&gt;R1345,"Reported balance higher than expected (missing increase/OC build)","Reported balance lower than expected (missing decrease)"))))),""))</f>
        <v/>
      </c>
    </row>
    <row r="1346" customFormat="false" ht="15" hidden="false" customHeight="false" outlineLevel="0" collapsed="false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9"/>
      <c r="L1346" s="9"/>
      <c r="M1346" s="9"/>
      <c r="N1346" s="9"/>
      <c r="O1346" s="9"/>
      <c r="P1346" s="9"/>
      <c r="Q1346" s="9"/>
      <c r="R1346" s="9" t="str">
        <f aca="false">IF(AND(A1346&lt;&gt;"",ISNUMBER(Q1346),ISNUMBER(L1346)),ROUND(Q1346-IF(ISNUMBER(N1346),N1346,0)-IF(ISNUMBER(O1346),O1346,0)+IF(ISNUMBER(P1346),P1346,0),2),"")</f>
        <v/>
      </c>
      <c r="S1346" s="9" t="str">
        <f aca="false">IF(R1346="","",ROUND(L1346-R1346,2))</f>
        <v/>
      </c>
      <c r="T1346" s="8" t="str">
        <f aca="false">IF(A1346="","",IF(S1346="","BYPASS",IF(ABS(S1346)&lt;=Summary!$B$2,"PASS","FAIL")))</f>
        <v/>
      </c>
      <c r="U1346" s="8" t="str">
        <f aca="false">IF(T1346="BYPASS",IF(NOT(ISNUMBER(Q1346)),"PreV_ETB missing","End_tr_balance missing"),IF(T1346="FAIL",IF(AND(ISNUMBER(K1346),ISNUMBER(L1346),ABS(L1346-(K1346-IF(ISNUMBER(N1346),N1346,0)-IF(ISNUMBER(O1346),O1346,0)+IF(ISNUMBER(P1346),P1346,0)))&lt;=Summary!$B$2),"Passes using beginning_balance - PreV_ETB differs from beginning_balance",IF(AND(ISNUMBER(O1346),O1346&lt;0,ABS(L1346-(Q1346-IF(ISNUMBER(N1346),N1346,0)+IF(ISNUMBER(P1346),P1346,0)))&lt;=Summary!$B$2),"Negative realized loss not applied - check sign",IF(R1346&lt;0,"Principal paid exceeds prior balance",IF(AND(L1346&gt;Q1346,NOT(ISNUMBER(P1346))),"Balance increased but no Deferred_interest reported",IF(L1346&gt;R1346,"Reported balance higher than expected (missing increase/OC build)","Reported balance lower than expected (missing decrease)"))))),""))</f>
        <v/>
      </c>
    </row>
    <row r="1347" customFormat="false" ht="15" hidden="false" customHeight="false" outlineLevel="0" collapsed="false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9"/>
      <c r="L1347" s="9"/>
      <c r="M1347" s="9"/>
      <c r="N1347" s="9"/>
      <c r="O1347" s="9"/>
      <c r="P1347" s="9"/>
      <c r="Q1347" s="9"/>
      <c r="R1347" s="9" t="str">
        <f aca="false">IF(AND(A1347&lt;&gt;"",ISNUMBER(Q1347),ISNUMBER(L1347)),ROUND(Q1347-IF(ISNUMBER(N1347),N1347,0)-IF(ISNUMBER(O1347),O1347,0)+IF(ISNUMBER(P1347),P1347,0),2),"")</f>
        <v/>
      </c>
      <c r="S1347" s="9" t="str">
        <f aca="false">IF(R1347="","",ROUND(L1347-R1347,2))</f>
        <v/>
      </c>
      <c r="T1347" s="8" t="str">
        <f aca="false">IF(A1347="","",IF(S1347="","BYPASS",IF(ABS(S1347)&lt;=Summary!$B$2,"PASS","FAIL")))</f>
        <v/>
      </c>
      <c r="U1347" s="8" t="str">
        <f aca="false">IF(T1347="BYPASS",IF(NOT(ISNUMBER(Q1347)),"PreV_ETB missing","End_tr_balance missing"),IF(T1347="FAIL",IF(AND(ISNUMBER(K1347),ISNUMBER(L1347),ABS(L1347-(K1347-IF(ISNUMBER(N1347),N1347,0)-IF(ISNUMBER(O1347),O1347,0)+IF(ISNUMBER(P1347),P1347,0)))&lt;=Summary!$B$2),"Passes using beginning_balance - PreV_ETB differs from beginning_balance",IF(AND(ISNUMBER(O1347),O1347&lt;0,ABS(L1347-(Q1347-IF(ISNUMBER(N1347),N1347,0)+IF(ISNUMBER(P1347),P1347,0)))&lt;=Summary!$B$2),"Negative realized loss not applied - check sign",IF(R1347&lt;0,"Principal paid exceeds prior balance",IF(AND(L1347&gt;Q1347,NOT(ISNUMBER(P1347))),"Balance increased but no Deferred_interest reported",IF(L1347&gt;R1347,"Reported balance higher than expected (missing increase/OC build)","Reported balance lower than expected (missing decrease)"))))),""))</f>
        <v/>
      </c>
    </row>
    <row r="1348" customFormat="false" ht="15" hidden="false" customHeight="false" outlineLevel="0" collapsed="false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9"/>
      <c r="L1348" s="9"/>
      <c r="M1348" s="9"/>
      <c r="N1348" s="9"/>
      <c r="O1348" s="9"/>
      <c r="P1348" s="9"/>
      <c r="Q1348" s="9"/>
      <c r="R1348" s="9" t="str">
        <f aca="false">IF(AND(A1348&lt;&gt;"",ISNUMBER(Q1348),ISNUMBER(L1348)),ROUND(Q1348-IF(ISNUMBER(N1348),N1348,0)-IF(ISNUMBER(O1348),O1348,0)+IF(ISNUMBER(P1348),P1348,0),2),"")</f>
        <v/>
      </c>
      <c r="S1348" s="9" t="str">
        <f aca="false">IF(R1348="","",ROUND(L1348-R1348,2))</f>
        <v/>
      </c>
      <c r="T1348" s="8" t="str">
        <f aca="false">IF(A1348="","",IF(S1348="","BYPASS",IF(ABS(S1348)&lt;=Summary!$B$2,"PASS","FAIL")))</f>
        <v/>
      </c>
      <c r="U1348" s="8" t="str">
        <f aca="false">IF(T1348="BYPASS",IF(NOT(ISNUMBER(Q1348)),"PreV_ETB missing","End_tr_balance missing"),IF(T1348="FAIL",IF(AND(ISNUMBER(K1348),ISNUMBER(L1348),ABS(L1348-(K1348-IF(ISNUMBER(N1348),N1348,0)-IF(ISNUMBER(O1348),O1348,0)+IF(ISNUMBER(P1348),P1348,0)))&lt;=Summary!$B$2),"Passes using beginning_balance - PreV_ETB differs from beginning_balance",IF(AND(ISNUMBER(O1348),O1348&lt;0,ABS(L1348-(Q1348-IF(ISNUMBER(N1348),N1348,0)+IF(ISNUMBER(P1348),P1348,0)))&lt;=Summary!$B$2),"Negative realized loss not applied - check sign",IF(R1348&lt;0,"Principal paid exceeds prior balance",IF(AND(L1348&gt;Q1348,NOT(ISNUMBER(P1348))),"Balance increased but no Deferred_interest reported",IF(L1348&gt;R1348,"Reported balance higher than expected (missing increase/OC build)","Reported balance lower than expected (missing decrease)"))))),""))</f>
        <v/>
      </c>
    </row>
    <row r="1349" customFormat="false" ht="15" hidden="false" customHeight="false" outlineLevel="0" collapsed="false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9"/>
      <c r="L1349" s="9"/>
      <c r="M1349" s="9"/>
      <c r="N1349" s="9"/>
      <c r="O1349" s="9"/>
      <c r="P1349" s="9"/>
      <c r="Q1349" s="9"/>
      <c r="R1349" s="9" t="str">
        <f aca="false">IF(AND(A1349&lt;&gt;"",ISNUMBER(Q1349),ISNUMBER(L1349)),ROUND(Q1349-IF(ISNUMBER(N1349),N1349,0)-IF(ISNUMBER(O1349),O1349,0)+IF(ISNUMBER(P1349),P1349,0),2),"")</f>
        <v/>
      </c>
      <c r="S1349" s="9" t="str">
        <f aca="false">IF(R1349="","",ROUND(L1349-R1349,2))</f>
        <v/>
      </c>
      <c r="T1349" s="8" t="str">
        <f aca="false">IF(A1349="","",IF(S1349="","BYPASS",IF(ABS(S1349)&lt;=Summary!$B$2,"PASS","FAIL")))</f>
        <v/>
      </c>
      <c r="U1349" s="8" t="str">
        <f aca="false">IF(T1349="BYPASS",IF(NOT(ISNUMBER(Q1349)),"PreV_ETB missing","End_tr_balance missing"),IF(T1349="FAIL",IF(AND(ISNUMBER(K1349),ISNUMBER(L1349),ABS(L1349-(K1349-IF(ISNUMBER(N1349),N1349,0)-IF(ISNUMBER(O1349),O1349,0)+IF(ISNUMBER(P1349),P1349,0)))&lt;=Summary!$B$2),"Passes using beginning_balance - PreV_ETB differs from beginning_balance",IF(AND(ISNUMBER(O1349),O1349&lt;0,ABS(L1349-(Q1349-IF(ISNUMBER(N1349),N1349,0)+IF(ISNUMBER(P1349),P1349,0)))&lt;=Summary!$B$2),"Negative realized loss not applied - check sign",IF(R1349&lt;0,"Principal paid exceeds prior balance",IF(AND(L1349&gt;Q1349,NOT(ISNUMBER(P1349))),"Balance increased but no Deferred_interest reported",IF(L1349&gt;R1349,"Reported balance higher than expected (missing increase/OC build)","Reported balance lower than expected (missing decrease)"))))),""))</f>
        <v/>
      </c>
    </row>
    <row r="1350" customFormat="false" ht="15" hidden="false" customHeight="false" outlineLevel="0" collapsed="false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9"/>
      <c r="L1350" s="9"/>
      <c r="M1350" s="9"/>
      <c r="N1350" s="9"/>
      <c r="O1350" s="9"/>
      <c r="P1350" s="9"/>
      <c r="Q1350" s="9"/>
      <c r="R1350" s="9" t="str">
        <f aca="false">IF(AND(A1350&lt;&gt;"",ISNUMBER(Q1350),ISNUMBER(L1350)),ROUND(Q1350-IF(ISNUMBER(N1350),N1350,0)-IF(ISNUMBER(O1350),O1350,0)+IF(ISNUMBER(P1350),P1350,0),2),"")</f>
        <v/>
      </c>
      <c r="S1350" s="9" t="str">
        <f aca="false">IF(R1350="","",ROUND(L1350-R1350,2))</f>
        <v/>
      </c>
      <c r="T1350" s="8" t="str">
        <f aca="false">IF(A1350="","",IF(S1350="","BYPASS",IF(ABS(S1350)&lt;=Summary!$B$2,"PASS","FAIL")))</f>
        <v/>
      </c>
      <c r="U1350" s="8" t="str">
        <f aca="false">IF(T1350="BYPASS",IF(NOT(ISNUMBER(Q1350)),"PreV_ETB missing","End_tr_balance missing"),IF(T1350="FAIL",IF(AND(ISNUMBER(K1350),ISNUMBER(L1350),ABS(L1350-(K1350-IF(ISNUMBER(N1350),N1350,0)-IF(ISNUMBER(O1350),O1350,0)+IF(ISNUMBER(P1350),P1350,0)))&lt;=Summary!$B$2),"Passes using beginning_balance - PreV_ETB differs from beginning_balance",IF(AND(ISNUMBER(O1350),O1350&lt;0,ABS(L1350-(Q1350-IF(ISNUMBER(N1350),N1350,0)+IF(ISNUMBER(P1350),P1350,0)))&lt;=Summary!$B$2),"Negative realized loss not applied - check sign",IF(R1350&lt;0,"Principal paid exceeds prior balance",IF(AND(L1350&gt;Q1350,NOT(ISNUMBER(P1350))),"Balance increased but no Deferred_interest reported",IF(L1350&gt;R1350,"Reported balance higher than expected (missing increase/OC build)","Reported balance lower than expected (missing decrease)"))))),""))</f>
        <v/>
      </c>
    </row>
    <row r="1351" customFormat="false" ht="15" hidden="false" customHeight="false" outlineLevel="0" collapsed="false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9"/>
      <c r="L1351" s="9"/>
      <c r="M1351" s="9"/>
      <c r="N1351" s="9"/>
      <c r="O1351" s="9"/>
      <c r="P1351" s="9"/>
      <c r="Q1351" s="9"/>
      <c r="R1351" s="9" t="str">
        <f aca="false">IF(AND(A1351&lt;&gt;"",ISNUMBER(Q1351),ISNUMBER(L1351)),ROUND(Q1351-IF(ISNUMBER(N1351),N1351,0)-IF(ISNUMBER(O1351),O1351,0)+IF(ISNUMBER(P1351),P1351,0),2),"")</f>
        <v/>
      </c>
      <c r="S1351" s="9" t="str">
        <f aca="false">IF(R1351="","",ROUND(L1351-R1351,2))</f>
        <v/>
      </c>
      <c r="T1351" s="8" t="str">
        <f aca="false">IF(A1351="","",IF(S1351="","BYPASS",IF(ABS(S1351)&lt;=Summary!$B$2,"PASS","FAIL")))</f>
        <v/>
      </c>
      <c r="U1351" s="8" t="str">
        <f aca="false">IF(T1351="BYPASS",IF(NOT(ISNUMBER(Q1351)),"PreV_ETB missing","End_tr_balance missing"),IF(T1351="FAIL",IF(AND(ISNUMBER(K1351),ISNUMBER(L1351),ABS(L1351-(K1351-IF(ISNUMBER(N1351),N1351,0)-IF(ISNUMBER(O1351),O1351,0)+IF(ISNUMBER(P1351),P1351,0)))&lt;=Summary!$B$2),"Passes using beginning_balance - PreV_ETB differs from beginning_balance",IF(AND(ISNUMBER(O1351),O1351&lt;0,ABS(L1351-(Q1351-IF(ISNUMBER(N1351),N1351,0)+IF(ISNUMBER(P1351),P1351,0)))&lt;=Summary!$B$2),"Negative realized loss not applied - check sign",IF(R1351&lt;0,"Principal paid exceeds prior balance",IF(AND(L1351&gt;Q1351,NOT(ISNUMBER(P1351))),"Balance increased but no Deferred_interest reported",IF(L1351&gt;R1351,"Reported balance higher than expected (missing increase/OC build)","Reported balance lower than expected (missing decrease)"))))),""))</f>
        <v/>
      </c>
    </row>
    <row r="1352" customFormat="false" ht="15" hidden="false" customHeight="false" outlineLevel="0" collapsed="false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9"/>
      <c r="L1352" s="9"/>
      <c r="M1352" s="9"/>
      <c r="N1352" s="9"/>
      <c r="O1352" s="9"/>
      <c r="P1352" s="9"/>
      <c r="Q1352" s="9"/>
      <c r="R1352" s="9" t="str">
        <f aca="false">IF(AND(A1352&lt;&gt;"",ISNUMBER(Q1352),ISNUMBER(L1352)),ROUND(Q1352-IF(ISNUMBER(N1352),N1352,0)-IF(ISNUMBER(O1352),O1352,0)+IF(ISNUMBER(P1352),P1352,0),2),"")</f>
        <v/>
      </c>
      <c r="S1352" s="9" t="str">
        <f aca="false">IF(R1352="","",ROUND(L1352-R1352,2))</f>
        <v/>
      </c>
      <c r="T1352" s="8" t="str">
        <f aca="false">IF(A1352="","",IF(S1352="","BYPASS",IF(ABS(S1352)&lt;=Summary!$B$2,"PASS","FAIL")))</f>
        <v/>
      </c>
      <c r="U1352" s="8" t="str">
        <f aca="false">IF(T1352="BYPASS",IF(NOT(ISNUMBER(Q1352)),"PreV_ETB missing","End_tr_balance missing"),IF(T1352="FAIL",IF(AND(ISNUMBER(K1352),ISNUMBER(L1352),ABS(L1352-(K1352-IF(ISNUMBER(N1352),N1352,0)-IF(ISNUMBER(O1352),O1352,0)+IF(ISNUMBER(P1352),P1352,0)))&lt;=Summary!$B$2),"Passes using beginning_balance - PreV_ETB differs from beginning_balance",IF(AND(ISNUMBER(O1352),O1352&lt;0,ABS(L1352-(Q1352-IF(ISNUMBER(N1352),N1352,0)+IF(ISNUMBER(P1352),P1352,0)))&lt;=Summary!$B$2),"Negative realized loss not applied - check sign",IF(R1352&lt;0,"Principal paid exceeds prior balance",IF(AND(L1352&gt;Q1352,NOT(ISNUMBER(P1352))),"Balance increased but no Deferred_interest reported",IF(L1352&gt;R1352,"Reported balance higher than expected (missing increase/OC build)","Reported balance lower than expected (missing decrease)"))))),""))</f>
        <v/>
      </c>
    </row>
    <row r="1353" customFormat="false" ht="15" hidden="false" customHeight="false" outlineLevel="0" collapsed="false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9"/>
      <c r="L1353" s="9"/>
      <c r="M1353" s="9"/>
      <c r="N1353" s="9"/>
      <c r="O1353" s="9"/>
      <c r="P1353" s="9"/>
      <c r="Q1353" s="9"/>
      <c r="R1353" s="9" t="str">
        <f aca="false">IF(AND(A1353&lt;&gt;"",ISNUMBER(Q1353),ISNUMBER(L1353)),ROUND(Q1353-IF(ISNUMBER(N1353),N1353,0)-IF(ISNUMBER(O1353),O1353,0)+IF(ISNUMBER(P1353),P1353,0),2),"")</f>
        <v/>
      </c>
      <c r="S1353" s="9" t="str">
        <f aca="false">IF(R1353="","",ROUND(L1353-R1353,2))</f>
        <v/>
      </c>
      <c r="T1353" s="8" t="str">
        <f aca="false">IF(A1353="","",IF(S1353="","BYPASS",IF(ABS(S1353)&lt;=Summary!$B$2,"PASS","FAIL")))</f>
        <v/>
      </c>
      <c r="U1353" s="8" t="str">
        <f aca="false">IF(T1353="BYPASS",IF(NOT(ISNUMBER(Q1353)),"PreV_ETB missing","End_tr_balance missing"),IF(T1353="FAIL",IF(AND(ISNUMBER(K1353),ISNUMBER(L1353),ABS(L1353-(K1353-IF(ISNUMBER(N1353),N1353,0)-IF(ISNUMBER(O1353),O1353,0)+IF(ISNUMBER(P1353),P1353,0)))&lt;=Summary!$B$2),"Passes using beginning_balance - PreV_ETB differs from beginning_balance",IF(AND(ISNUMBER(O1353),O1353&lt;0,ABS(L1353-(Q1353-IF(ISNUMBER(N1353),N1353,0)+IF(ISNUMBER(P1353),P1353,0)))&lt;=Summary!$B$2),"Negative realized loss not applied - check sign",IF(R1353&lt;0,"Principal paid exceeds prior balance",IF(AND(L1353&gt;Q1353,NOT(ISNUMBER(P1353))),"Balance increased but no Deferred_interest reported",IF(L1353&gt;R1353,"Reported balance higher than expected (missing increase/OC build)","Reported balance lower than expected (missing decrease)"))))),""))</f>
        <v/>
      </c>
    </row>
    <row r="1354" customFormat="false" ht="15" hidden="false" customHeight="false" outlineLevel="0" collapsed="false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9"/>
      <c r="L1354" s="9"/>
      <c r="M1354" s="9"/>
      <c r="N1354" s="9"/>
      <c r="O1354" s="9"/>
      <c r="P1354" s="9"/>
      <c r="Q1354" s="9"/>
      <c r="R1354" s="9" t="str">
        <f aca="false">IF(AND(A1354&lt;&gt;"",ISNUMBER(Q1354),ISNUMBER(L1354)),ROUND(Q1354-IF(ISNUMBER(N1354),N1354,0)-IF(ISNUMBER(O1354),O1354,0)+IF(ISNUMBER(P1354),P1354,0),2),"")</f>
        <v/>
      </c>
      <c r="S1354" s="9" t="str">
        <f aca="false">IF(R1354="","",ROUND(L1354-R1354,2))</f>
        <v/>
      </c>
      <c r="T1354" s="8" t="str">
        <f aca="false">IF(A1354="","",IF(S1354="","BYPASS",IF(ABS(S1354)&lt;=Summary!$B$2,"PASS","FAIL")))</f>
        <v/>
      </c>
      <c r="U1354" s="8" t="str">
        <f aca="false">IF(T1354="BYPASS",IF(NOT(ISNUMBER(Q1354)),"PreV_ETB missing","End_tr_balance missing"),IF(T1354="FAIL",IF(AND(ISNUMBER(K1354),ISNUMBER(L1354),ABS(L1354-(K1354-IF(ISNUMBER(N1354),N1354,0)-IF(ISNUMBER(O1354),O1354,0)+IF(ISNUMBER(P1354),P1354,0)))&lt;=Summary!$B$2),"Passes using beginning_balance - PreV_ETB differs from beginning_balance",IF(AND(ISNUMBER(O1354),O1354&lt;0,ABS(L1354-(Q1354-IF(ISNUMBER(N1354),N1354,0)+IF(ISNUMBER(P1354),P1354,0)))&lt;=Summary!$B$2),"Negative realized loss not applied - check sign",IF(R1354&lt;0,"Principal paid exceeds prior balance",IF(AND(L1354&gt;Q1354,NOT(ISNUMBER(P1354))),"Balance increased but no Deferred_interest reported",IF(L1354&gt;R1354,"Reported balance higher than expected (missing increase/OC build)","Reported balance lower than expected (missing decrease)"))))),""))</f>
        <v/>
      </c>
    </row>
    <row r="1355" customFormat="false" ht="15" hidden="false" customHeight="false" outlineLevel="0" collapsed="false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9"/>
      <c r="L1355" s="9"/>
      <c r="M1355" s="9"/>
      <c r="N1355" s="9"/>
      <c r="O1355" s="9"/>
      <c r="P1355" s="9"/>
      <c r="Q1355" s="9"/>
      <c r="R1355" s="9" t="str">
        <f aca="false">IF(AND(A1355&lt;&gt;"",ISNUMBER(Q1355),ISNUMBER(L1355)),ROUND(Q1355-IF(ISNUMBER(N1355),N1355,0)-IF(ISNUMBER(O1355),O1355,0)+IF(ISNUMBER(P1355),P1355,0),2),"")</f>
        <v/>
      </c>
      <c r="S1355" s="9" t="str">
        <f aca="false">IF(R1355="","",ROUND(L1355-R1355,2))</f>
        <v/>
      </c>
      <c r="T1355" s="8" t="str">
        <f aca="false">IF(A1355="","",IF(S1355="","BYPASS",IF(ABS(S1355)&lt;=Summary!$B$2,"PASS","FAIL")))</f>
        <v/>
      </c>
      <c r="U1355" s="8" t="str">
        <f aca="false">IF(T1355="BYPASS",IF(NOT(ISNUMBER(Q1355)),"PreV_ETB missing","End_tr_balance missing"),IF(T1355="FAIL",IF(AND(ISNUMBER(K1355),ISNUMBER(L1355),ABS(L1355-(K1355-IF(ISNUMBER(N1355),N1355,0)-IF(ISNUMBER(O1355),O1355,0)+IF(ISNUMBER(P1355),P1355,0)))&lt;=Summary!$B$2),"Passes using beginning_balance - PreV_ETB differs from beginning_balance",IF(AND(ISNUMBER(O1355),O1355&lt;0,ABS(L1355-(Q1355-IF(ISNUMBER(N1355),N1355,0)+IF(ISNUMBER(P1355),P1355,0)))&lt;=Summary!$B$2),"Negative realized loss not applied - check sign",IF(R1355&lt;0,"Principal paid exceeds prior balance",IF(AND(L1355&gt;Q1355,NOT(ISNUMBER(P1355))),"Balance increased but no Deferred_interest reported",IF(L1355&gt;R1355,"Reported balance higher than expected (missing increase/OC build)","Reported balance lower than expected (missing decrease)"))))),""))</f>
        <v/>
      </c>
    </row>
    <row r="1356" customFormat="false" ht="15" hidden="false" customHeight="false" outlineLevel="0" collapsed="false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9"/>
      <c r="L1356" s="9"/>
      <c r="M1356" s="9"/>
      <c r="N1356" s="9"/>
      <c r="O1356" s="9"/>
      <c r="P1356" s="9"/>
      <c r="Q1356" s="9"/>
      <c r="R1356" s="9" t="str">
        <f aca="false">IF(AND(A1356&lt;&gt;"",ISNUMBER(Q1356),ISNUMBER(L1356)),ROUND(Q1356-IF(ISNUMBER(N1356),N1356,0)-IF(ISNUMBER(O1356),O1356,0)+IF(ISNUMBER(P1356),P1356,0),2),"")</f>
        <v/>
      </c>
      <c r="S1356" s="9" t="str">
        <f aca="false">IF(R1356="","",ROUND(L1356-R1356,2))</f>
        <v/>
      </c>
      <c r="T1356" s="8" t="str">
        <f aca="false">IF(A1356="","",IF(S1356="","BYPASS",IF(ABS(S1356)&lt;=Summary!$B$2,"PASS","FAIL")))</f>
        <v/>
      </c>
      <c r="U1356" s="8" t="str">
        <f aca="false">IF(T1356="BYPASS",IF(NOT(ISNUMBER(Q1356)),"PreV_ETB missing","End_tr_balance missing"),IF(T1356="FAIL",IF(AND(ISNUMBER(K1356),ISNUMBER(L1356),ABS(L1356-(K1356-IF(ISNUMBER(N1356),N1356,0)-IF(ISNUMBER(O1356),O1356,0)+IF(ISNUMBER(P1356),P1356,0)))&lt;=Summary!$B$2),"Passes using beginning_balance - PreV_ETB differs from beginning_balance",IF(AND(ISNUMBER(O1356),O1356&lt;0,ABS(L1356-(Q1356-IF(ISNUMBER(N1356),N1356,0)+IF(ISNUMBER(P1356),P1356,0)))&lt;=Summary!$B$2),"Negative realized loss not applied - check sign",IF(R1356&lt;0,"Principal paid exceeds prior balance",IF(AND(L1356&gt;Q1356,NOT(ISNUMBER(P1356))),"Balance increased but no Deferred_interest reported",IF(L1356&gt;R1356,"Reported balance higher than expected (missing increase/OC build)","Reported balance lower than expected (missing decrease)"))))),""))</f>
        <v/>
      </c>
    </row>
    <row r="1357" customFormat="false" ht="15" hidden="false" customHeight="false" outlineLevel="0" collapsed="false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9"/>
      <c r="L1357" s="9"/>
      <c r="M1357" s="9"/>
      <c r="N1357" s="9"/>
      <c r="O1357" s="9"/>
      <c r="P1357" s="9"/>
      <c r="Q1357" s="9"/>
      <c r="R1357" s="9" t="str">
        <f aca="false">IF(AND(A1357&lt;&gt;"",ISNUMBER(Q1357),ISNUMBER(L1357)),ROUND(Q1357-IF(ISNUMBER(N1357),N1357,0)-IF(ISNUMBER(O1357),O1357,0)+IF(ISNUMBER(P1357),P1357,0),2),"")</f>
        <v/>
      </c>
      <c r="S1357" s="9" t="str">
        <f aca="false">IF(R1357="","",ROUND(L1357-R1357,2))</f>
        <v/>
      </c>
      <c r="T1357" s="8" t="str">
        <f aca="false">IF(A1357="","",IF(S1357="","BYPASS",IF(ABS(S1357)&lt;=Summary!$B$2,"PASS","FAIL")))</f>
        <v/>
      </c>
      <c r="U1357" s="8" t="str">
        <f aca="false">IF(T1357="BYPASS",IF(NOT(ISNUMBER(Q1357)),"PreV_ETB missing","End_tr_balance missing"),IF(T1357="FAIL",IF(AND(ISNUMBER(K1357),ISNUMBER(L1357),ABS(L1357-(K1357-IF(ISNUMBER(N1357),N1357,0)-IF(ISNUMBER(O1357),O1357,0)+IF(ISNUMBER(P1357),P1357,0)))&lt;=Summary!$B$2),"Passes using beginning_balance - PreV_ETB differs from beginning_balance",IF(AND(ISNUMBER(O1357),O1357&lt;0,ABS(L1357-(Q1357-IF(ISNUMBER(N1357),N1357,0)+IF(ISNUMBER(P1357),P1357,0)))&lt;=Summary!$B$2),"Negative realized loss not applied - check sign",IF(R1357&lt;0,"Principal paid exceeds prior balance",IF(AND(L1357&gt;Q1357,NOT(ISNUMBER(P1357))),"Balance increased but no Deferred_interest reported",IF(L1357&gt;R1357,"Reported balance higher than expected (missing increase/OC build)","Reported balance lower than expected (missing decrease)"))))),""))</f>
        <v/>
      </c>
    </row>
    <row r="1358" customFormat="false" ht="15" hidden="false" customHeight="false" outlineLevel="0" collapsed="false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9"/>
      <c r="L1358" s="9"/>
      <c r="M1358" s="9"/>
      <c r="N1358" s="9"/>
      <c r="O1358" s="9"/>
      <c r="P1358" s="9"/>
      <c r="Q1358" s="9"/>
      <c r="R1358" s="9" t="str">
        <f aca="false">IF(AND(A1358&lt;&gt;"",ISNUMBER(Q1358),ISNUMBER(L1358)),ROUND(Q1358-IF(ISNUMBER(N1358),N1358,0)-IF(ISNUMBER(O1358),O1358,0)+IF(ISNUMBER(P1358),P1358,0),2),"")</f>
        <v/>
      </c>
      <c r="S1358" s="9" t="str">
        <f aca="false">IF(R1358="","",ROUND(L1358-R1358,2))</f>
        <v/>
      </c>
      <c r="T1358" s="8" t="str">
        <f aca="false">IF(A1358="","",IF(S1358="","BYPASS",IF(ABS(S1358)&lt;=Summary!$B$2,"PASS","FAIL")))</f>
        <v/>
      </c>
      <c r="U1358" s="8" t="str">
        <f aca="false">IF(T1358="BYPASS",IF(NOT(ISNUMBER(Q1358)),"PreV_ETB missing","End_tr_balance missing"),IF(T1358="FAIL",IF(AND(ISNUMBER(K1358),ISNUMBER(L1358),ABS(L1358-(K1358-IF(ISNUMBER(N1358),N1358,0)-IF(ISNUMBER(O1358),O1358,0)+IF(ISNUMBER(P1358),P1358,0)))&lt;=Summary!$B$2),"Passes using beginning_balance - PreV_ETB differs from beginning_balance",IF(AND(ISNUMBER(O1358),O1358&lt;0,ABS(L1358-(Q1358-IF(ISNUMBER(N1358),N1358,0)+IF(ISNUMBER(P1358),P1358,0)))&lt;=Summary!$B$2),"Negative realized loss not applied - check sign",IF(R1358&lt;0,"Principal paid exceeds prior balance",IF(AND(L1358&gt;Q1358,NOT(ISNUMBER(P1358))),"Balance increased but no Deferred_interest reported",IF(L1358&gt;R1358,"Reported balance higher than expected (missing increase/OC build)","Reported balance lower than expected (missing decrease)"))))),""))</f>
        <v/>
      </c>
    </row>
    <row r="1359" customFormat="false" ht="15" hidden="false" customHeight="false" outlineLevel="0" collapsed="false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9"/>
      <c r="L1359" s="9"/>
      <c r="M1359" s="9"/>
      <c r="N1359" s="9"/>
      <c r="O1359" s="9"/>
      <c r="P1359" s="9"/>
      <c r="Q1359" s="9"/>
      <c r="R1359" s="9" t="str">
        <f aca="false">IF(AND(A1359&lt;&gt;"",ISNUMBER(Q1359),ISNUMBER(L1359)),ROUND(Q1359-IF(ISNUMBER(N1359),N1359,0)-IF(ISNUMBER(O1359),O1359,0)+IF(ISNUMBER(P1359),P1359,0),2),"")</f>
        <v/>
      </c>
      <c r="S1359" s="9" t="str">
        <f aca="false">IF(R1359="","",ROUND(L1359-R1359,2))</f>
        <v/>
      </c>
      <c r="T1359" s="8" t="str">
        <f aca="false">IF(A1359="","",IF(S1359="","BYPASS",IF(ABS(S1359)&lt;=Summary!$B$2,"PASS","FAIL")))</f>
        <v/>
      </c>
      <c r="U1359" s="8" t="str">
        <f aca="false">IF(T1359="BYPASS",IF(NOT(ISNUMBER(Q1359)),"PreV_ETB missing","End_tr_balance missing"),IF(T1359="FAIL",IF(AND(ISNUMBER(K1359),ISNUMBER(L1359),ABS(L1359-(K1359-IF(ISNUMBER(N1359),N1359,0)-IF(ISNUMBER(O1359),O1359,0)+IF(ISNUMBER(P1359),P1359,0)))&lt;=Summary!$B$2),"Passes using beginning_balance - PreV_ETB differs from beginning_balance",IF(AND(ISNUMBER(O1359),O1359&lt;0,ABS(L1359-(Q1359-IF(ISNUMBER(N1359),N1359,0)+IF(ISNUMBER(P1359),P1359,0)))&lt;=Summary!$B$2),"Negative realized loss not applied - check sign",IF(R1359&lt;0,"Principal paid exceeds prior balance",IF(AND(L1359&gt;Q1359,NOT(ISNUMBER(P1359))),"Balance increased but no Deferred_interest reported",IF(L1359&gt;R1359,"Reported balance higher than expected (missing increase/OC build)","Reported balance lower than expected (missing decrease)"))))),""))</f>
        <v/>
      </c>
    </row>
    <row r="1360" customFormat="false" ht="15" hidden="false" customHeight="false" outlineLevel="0" collapsed="false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9"/>
      <c r="L1360" s="9"/>
      <c r="M1360" s="9"/>
      <c r="N1360" s="9"/>
      <c r="O1360" s="9"/>
      <c r="P1360" s="9"/>
      <c r="Q1360" s="9"/>
      <c r="R1360" s="9" t="str">
        <f aca="false">IF(AND(A1360&lt;&gt;"",ISNUMBER(Q1360),ISNUMBER(L1360)),ROUND(Q1360-IF(ISNUMBER(N1360),N1360,0)-IF(ISNUMBER(O1360),O1360,0)+IF(ISNUMBER(P1360),P1360,0),2),"")</f>
        <v/>
      </c>
      <c r="S1360" s="9" t="str">
        <f aca="false">IF(R1360="","",ROUND(L1360-R1360,2))</f>
        <v/>
      </c>
      <c r="T1360" s="8" t="str">
        <f aca="false">IF(A1360="","",IF(S1360="","BYPASS",IF(ABS(S1360)&lt;=Summary!$B$2,"PASS","FAIL")))</f>
        <v/>
      </c>
      <c r="U1360" s="8" t="str">
        <f aca="false">IF(T1360="BYPASS",IF(NOT(ISNUMBER(Q1360)),"PreV_ETB missing","End_tr_balance missing"),IF(T1360="FAIL",IF(AND(ISNUMBER(K1360),ISNUMBER(L1360),ABS(L1360-(K1360-IF(ISNUMBER(N1360),N1360,0)-IF(ISNUMBER(O1360),O1360,0)+IF(ISNUMBER(P1360),P1360,0)))&lt;=Summary!$B$2),"Passes using beginning_balance - PreV_ETB differs from beginning_balance",IF(AND(ISNUMBER(O1360),O1360&lt;0,ABS(L1360-(Q1360-IF(ISNUMBER(N1360),N1360,0)+IF(ISNUMBER(P1360),P1360,0)))&lt;=Summary!$B$2),"Negative realized loss not applied - check sign",IF(R1360&lt;0,"Principal paid exceeds prior balance",IF(AND(L1360&gt;Q1360,NOT(ISNUMBER(P1360))),"Balance increased but no Deferred_interest reported",IF(L1360&gt;R1360,"Reported balance higher than expected (missing increase/OC build)","Reported balance lower than expected (missing decrease)"))))),""))</f>
        <v/>
      </c>
    </row>
    <row r="1361" customFormat="false" ht="15" hidden="false" customHeight="false" outlineLevel="0" collapsed="false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9"/>
      <c r="L1361" s="9"/>
      <c r="M1361" s="9"/>
      <c r="N1361" s="9"/>
      <c r="O1361" s="9"/>
      <c r="P1361" s="9"/>
      <c r="Q1361" s="9"/>
      <c r="R1361" s="9" t="str">
        <f aca="false">IF(AND(A1361&lt;&gt;"",ISNUMBER(Q1361),ISNUMBER(L1361)),ROUND(Q1361-IF(ISNUMBER(N1361),N1361,0)-IF(ISNUMBER(O1361),O1361,0)+IF(ISNUMBER(P1361),P1361,0),2),"")</f>
        <v/>
      </c>
      <c r="S1361" s="9" t="str">
        <f aca="false">IF(R1361="","",ROUND(L1361-R1361,2))</f>
        <v/>
      </c>
      <c r="T1361" s="8" t="str">
        <f aca="false">IF(A1361="","",IF(S1361="","BYPASS",IF(ABS(S1361)&lt;=Summary!$B$2,"PASS","FAIL")))</f>
        <v/>
      </c>
      <c r="U1361" s="8" t="str">
        <f aca="false">IF(T1361="BYPASS",IF(NOT(ISNUMBER(Q1361)),"PreV_ETB missing","End_tr_balance missing"),IF(T1361="FAIL",IF(AND(ISNUMBER(K1361),ISNUMBER(L1361),ABS(L1361-(K1361-IF(ISNUMBER(N1361),N1361,0)-IF(ISNUMBER(O1361),O1361,0)+IF(ISNUMBER(P1361),P1361,0)))&lt;=Summary!$B$2),"Passes using beginning_balance - PreV_ETB differs from beginning_balance",IF(AND(ISNUMBER(O1361),O1361&lt;0,ABS(L1361-(Q1361-IF(ISNUMBER(N1361),N1361,0)+IF(ISNUMBER(P1361),P1361,0)))&lt;=Summary!$B$2),"Negative realized loss not applied - check sign",IF(R1361&lt;0,"Principal paid exceeds prior balance",IF(AND(L1361&gt;Q1361,NOT(ISNUMBER(P1361))),"Balance increased but no Deferred_interest reported",IF(L1361&gt;R1361,"Reported balance higher than expected (missing increase/OC build)","Reported balance lower than expected (missing decrease)"))))),""))</f>
        <v/>
      </c>
    </row>
    <row r="1362" customFormat="false" ht="15" hidden="false" customHeight="false" outlineLevel="0" collapsed="false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9"/>
      <c r="L1362" s="9"/>
      <c r="M1362" s="9"/>
      <c r="N1362" s="9"/>
      <c r="O1362" s="9"/>
      <c r="P1362" s="9"/>
      <c r="Q1362" s="9"/>
      <c r="R1362" s="9" t="str">
        <f aca="false">IF(AND(A1362&lt;&gt;"",ISNUMBER(Q1362),ISNUMBER(L1362)),ROUND(Q1362-IF(ISNUMBER(N1362),N1362,0)-IF(ISNUMBER(O1362),O1362,0)+IF(ISNUMBER(P1362),P1362,0),2),"")</f>
        <v/>
      </c>
      <c r="S1362" s="9" t="str">
        <f aca="false">IF(R1362="","",ROUND(L1362-R1362,2))</f>
        <v/>
      </c>
      <c r="T1362" s="8" t="str">
        <f aca="false">IF(A1362="","",IF(S1362="","BYPASS",IF(ABS(S1362)&lt;=Summary!$B$2,"PASS","FAIL")))</f>
        <v/>
      </c>
      <c r="U1362" s="8" t="str">
        <f aca="false">IF(T1362="BYPASS",IF(NOT(ISNUMBER(Q1362)),"PreV_ETB missing","End_tr_balance missing"),IF(T1362="FAIL",IF(AND(ISNUMBER(K1362),ISNUMBER(L1362),ABS(L1362-(K1362-IF(ISNUMBER(N1362),N1362,0)-IF(ISNUMBER(O1362),O1362,0)+IF(ISNUMBER(P1362),P1362,0)))&lt;=Summary!$B$2),"Passes using beginning_balance - PreV_ETB differs from beginning_balance",IF(AND(ISNUMBER(O1362),O1362&lt;0,ABS(L1362-(Q1362-IF(ISNUMBER(N1362),N1362,0)+IF(ISNUMBER(P1362),P1362,0)))&lt;=Summary!$B$2),"Negative realized loss not applied - check sign",IF(R1362&lt;0,"Principal paid exceeds prior balance",IF(AND(L1362&gt;Q1362,NOT(ISNUMBER(P1362))),"Balance increased but no Deferred_interest reported",IF(L1362&gt;R1362,"Reported balance higher than expected (missing increase/OC build)","Reported balance lower than expected (missing decrease)"))))),""))</f>
        <v/>
      </c>
    </row>
    <row r="1363" customFormat="false" ht="15" hidden="false" customHeight="false" outlineLevel="0" collapsed="false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9"/>
      <c r="L1363" s="9"/>
      <c r="M1363" s="9"/>
      <c r="N1363" s="9"/>
      <c r="O1363" s="9"/>
      <c r="P1363" s="9"/>
      <c r="Q1363" s="9"/>
      <c r="R1363" s="9" t="str">
        <f aca="false">IF(AND(A1363&lt;&gt;"",ISNUMBER(Q1363),ISNUMBER(L1363)),ROUND(Q1363-IF(ISNUMBER(N1363),N1363,0)-IF(ISNUMBER(O1363),O1363,0)+IF(ISNUMBER(P1363),P1363,0),2),"")</f>
        <v/>
      </c>
      <c r="S1363" s="9" t="str">
        <f aca="false">IF(R1363="","",ROUND(L1363-R1363,2))</f>
        <v/>
      </c>
      <c r="T1363" s="8" t="str">
        <f aca="false">IF(A1363="","",IF(S1363="","BYPASS",IF(ABS(S1363)&lt;=Summary!$B$2,"PASS","FAIL")))</f>
        <v/>
      </c>
      <c r="U1363" s="8" t="str">
        <f aca="false">IF(T1363="BYPASS",IF(NOT(ISNUMBER(Q1363)),"PreV_ETB missing","End_tr_balance missing"),IF(T1363="FAIL",IF(AND(ISNUMBER(K1363),ISNUMBER(L1363),ABS(L1363-(K1363-IF(ISNUMBER(N1363),N1363,0)-IF(ISNUMBER(O1363),O1363,0)+IF(ISNUMBER(P1363),P1363,0)))&lt;=Summary!$B$2),"Passes using beginning_balance - PreV_ETB differs from beginning_balance",IF(AND(ISNUMBER(O1363),O1363&lt;0,ABS(L1363-(Q1363-IF(ISNUMBER(N1363),N1363,0)+IF(ISNUMBER(P1363),P1363,0)))&lt;=Summary!$B$2),"Negative realized loss not applied - check sign",IF(R1363&lt;0,"Principal paid exceeds prior balance",IF(AND(L1363&gt;Q1363,NOT(ISNUMBER(P1363))),"Balance increased but no Deferred_interest reported",IF(L1363&gt;R1363,"Reported balance higher than expected (missing increase/OC build)","Reported balance lower than expected (missing decrease)"))))),""))</f>
        <v/>
      </c>
    </row>
    <row r="1364" customFormat="false" ht="15" hidden="false" customHeight="false" outlineLevel="0" collapsed="false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9"/>
      <c r="L1364" s="9"/>
      <c r="M1364" s="9"/>
      <c r="N1364" s="9"/>
      <c r="O1364" s="9"/>
      <c r="P1364" s="9"/>
      <c r="Q1364" s="9"/>
      <c r="R1364" s="9" t="str">
        <f aca="false">IF(AND(A1364&lt;&gt;"",ISNUMBER(Q1364),ISNUMBER(L1364)),ROUND(Q1364-IF(ISNUMBER(N1364),N1364,0)-IF(ISNUMBER(O1364),O1364,0)+IF(ISNUMBER(P1364),P1364,0),2),"")</f>
        <v/>
      </c>
      <c r="S1364" s="9" t="str">
        <f aca="false">IF(R1364="","",ROUND(L1364-R1364,2))</f>
        <v/>
      </c>
      <c r="T1364" s="8" t="str">
        <f aca="false">IF(A1364="","",IF(S1364="","BYPASS",IF(ABS(S1364)&lt;=Summary!$B$2,"PASS","FAIL")))</f>
        <v/>
      </c>
      <c r="U1364" s="8" t="str">
        <f aca="false">IF(T1364="BYPASS",IF(NOT(ISNUMBER(Q1364)),"PreV_ETB missing","End_tr_balance missing"),IF(T1364="FAIL",IF(AND(ISNUMBER(K1364),ISNUMBER(L1364),ABS(L1364-(K1364-IF(ISNUMBER(N1364),N1364,0)-IF(ISNUMBER(O1364),O1364,0)+IF(ISNUMBER(P1364),P1364,0)))&lt;=Summary!$B$2),"Passes using beginning_balance - PreV_ETB differs from beginning_balance",IF(AND(ISNUMBER(O1364),O1364&lt;0,ABS(L1364-(Q1364-IF(ISNUMBER(N1364),N1364,0)+IF(ISNUMBER(P1364),P1364,0)))&lt;=Summary!$B$2),"Negative realized loss not applied - check sign",IF(R1364&lt;0,"Principal paid exceeds prior balance",IF(AND(L1364&gt;Q1364,NOT(ISNUMBER(P1364))),"Balance increased but no Deferred_interest reported",IF(L1364&gt;R1364,"Reported balance higher than expected (missing increase/OC build)","Reported balance lower than expected (missing decrease)"))))),""))</f>
        <v/>
      </c>
    </row>
    <row r="1365" customFormat="false" ht="15" hidden="false" customHeight="false" outlineLevel="0" collapsed="false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9"/>
      <c r="L1365" s="9"/>
      <c r="M1365" s="9"/>
      <c r="N1365" s="9"/>
      <c r="O1365" s="9"/>
      <c r="P1365" s="9"/>
      <c r="Q1365" s="9"/>
      <c r="R1365" s="9" t="str">
        <f aca="false">IF(AND(A1365&lt;&gt;"",ISNUMBER(Q1365),ISNUMBER(L1365)),ROUND(Q1365-IF(ISNUMBER(N1365),N1365,0)-IF(ISNUMBER(O1365),O1365,0)+IF(ISNUMBER(P1365),P1365,0),2),"")</f>
        <v/>
      </c>
      <c r="S1365" s="9" t="str">
        <f aca="false">IF(R1365="","",ROUND(L1365-R1365,2))</f>
        <v/>
      </c>
      <c r="T1365" s="8" t="str">
        <f aca="false">IF(A1365="","",IF(S1365="","BYPASS",IF(ABS(S1365)&lt;=Summary!$B$2,"PASS","FAIL")))</f>
        <v/>
      </c>
      <c r="U1365" s="8" t="str">
        <f aca="false">IF(T1365="BYPASS",IF(NOT(ISNUMBER(Q1365)),"PreV_ETB missing","End_tr_balance missing"),IF(T1365="FAIL",IF(AND(ISNUMBER(K1365),ISNUMBER(L1365),ABS(L1365-(K1365-IF(ISNUMBER(N1365),N1365,0)-IF(ISNUMBER(O1365),O1365,0)+IF(ISNUMBER(P1365),P1365,0)))&lt;=Summary!$B$2),"Passes using beginning_balance - PreV_ETB differs from beginning_balance",IF(AND(ISNUMBER(O1365),O1365&lt;0,ABS(L1365-(Q1365-IF(ISNUMBER(N1365),N1365,0)+IF(ISNUMBER(P1365),P1365,0)))&lt;=Summary!$B$2),"Negative realized loss not applied - check sign",IF(R1365&lt;0,"Principal paid exceeds prior balance",IF(AND(L1365&gt;Q1365,NOT(ISNUMBER(P1365))),"Balance increased but no Deferred_interest reported",IF(L1365&gt;R1365,"Reported balance higher than expected (missing increase/OC build)","Reported balance lower than expected (missing decrease)"))))),""))</f>
        <v/>
      </c>
    </row>
    <row r="1366" customFormat="false" ht="15" hidden="false" customHeight="false" outlineLevel="0" collapsed="false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9"/>
      <c r="L1366" s="9"/>
      <c r="M1366" s="9"/>
      <c r="N1366" s="9"/>
      <c r="O1366" s="9"/>
      <c r="P1366" s="9"/>
      <c r="Q1366" s="9"/>
      <c r="R1366" s="9" t="str">
        <f aca="false">IF(AND(A1366&lt;&gt;"",ISNUMBER(Q1366),ISNUMBER(L1366)),ROUND(Q1366-IF(ISNUMBER(N1366),N1366,0)-IF(ISNUMBER(O1366),O1366,0)+IF(ISNUMBER(P1366),P1366,0),2),"")</f>
        <v/>
      </c>
      <c r="S1366" s="9" t="str">
        <f aca="false">IF(R1366="","",ROUND(L1366-R1366,2))</f>
        <v/>
      </c>
      <c r="T1366" s="8" t="str">
        <f aca="false">IF(A1366="","",IF(S1366="","BYPASS",IF(ABS(S1366)&lt;=Summary!$B$2,"PASS","FAIL")))</f>
        <v/>
      </c>
      <c r="U1366" s="8" t="str">
        <f aca="false">IF(T1366="BYPASS",IF(NOT(ISNUMBER(Q1366)),"PreV_ETB missing","End_tr_balance missing"),IF(T1366="FAIL",IF(AND(ISNUMBER(K1366),ISNUMBER(L1366),ABS(L1366-(K1366-IF(ISNUMBER(N1366),N1366,0)-IF(ISNUMBER(O1366),O1366,0)+IF(ISNUMBER(P1366),P1366,0)))&lt;=Summary!$B$2),"Passes using beginning_balance - PreV_ETB differs from beginning_balance",IF(AND(ISNUMBER(O1366),O1366&lt;0,ABS(L1366-(Q1366-IF(ISNUMBER(N1366),N1366,0)+IF(ISNUMBER(P1366),P1366,0)))&lt;=Summary!$B$2),"Negative realized loss not applied - check sign",IF(R1366&lt;0,"Principal paid exceeds prior balance",IF(AND(L1366&gt;Q1366,NOT(ISNUMBER(P1366))),"Balance increased but no Deferred_interest reported",IF(L1366&gt;R1366,"Reported balance higher than expected (missing increase/OC build)","Reported balance lower than expected (missing decrease)"))))),""))</f>
        <v/>
      </c>
    </row>
    <row r="1367" customFormat="false" ht="15" hidden="false" customHeight="false" outlineLevel="0" collapsed="false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9"/>
      <c r="L1367" s="9"/>
      <c r="M1367" s="9"/>
      <c r="N1367" s="9"/>
      <c r="O1367" s="9"/>
      <c r="P1367" s="9"/>
      <c r="Q1367" s="9"/>
      <c r="R1367" s="9" t="str">
        <f aca="false">IF(AND(A1367&lt;&gt;"",ISNUMBER(Q1367),ISNUMBER(L1367)),ROUND(Q1367-IF(ISNUMBER(N1367),N1367,0)-IF(ISNUMBER(O1367),O1367,0)+IF(ISNUMBER(P1367),P1367,0),2),"")</f>
        <v/>
      </c>
      <c r="S1367" s="9" t="str">
        <f aca="false">IF(R1367="","",ROUND(L1367-R1367,2))</f>
        <v/>
      </c>
      <c r="T1367" s="8" t="str">
        <f aca="false">IF(A1367="","",IF(S1367="","BYPASS",IF(ABS(S1367)&lt;=Summary!$B$2,"PASS","FAIL")))</f>
        <v/>
      </c>
      <c r="U1367" s="8" t="str">
        <f aca="false">IF(T1367="BYPASS",IF(NOT(ISNUMBER(Q1367)),"PreV_ETB missing","End_tr_balance missing"),IF(T1367="FAIL",IF(AND(ISNUMBER(K1367),ISNUMBER(L1367),ABS(L1367-(K1367-IF(ISNUMBER(N1367),N1367,0)-IF(ISNUMBER(O1367),O1367,0)+IF(ISNUMBER(P1367),P1367,0)))&lt;=Summary!$B$2),"Passes using beginning_balance - PreV_ETB differs from beginning_balance",IF(AND(ISNUMBER(O1367),O1367&lt;0,ABS(L1367-(Q1367-IF(ISNUMBER(N1367),N1367,0)+IF(ISNUMBER(P1367),P1367,0)))&lt;=Summary!$B$2),"Negative realized loss not applied - check sign",IF(R1367&lt;0,"Principal paid exceeds prior balance",IF(AND(L1367&gt;Q1367,NOT(ISNUMBER(P1367))),"Balance increased but no Deferred_interest reported",IF(L1367&gt;R1367,"Reported balance higher than expected (missing increase/OC build)","Reported balance lower than expected (missing decrease)"))))),""))</f>
        <v/>
      </c>
    </row>
    <row r="1368" customFormat="false" ht="15" hidden="false" customHeight="false" outlineLevel="0" collapsed="false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9"/>
      <c r="L1368" s="9"/>
      <c r="M1368" s="9"/>
      <c r="N1368" s="9"/>
      <c r="O1368" s="9"/>
      <c r="P1368" s="9"/>
      <c r="Q1368" s="9"/>
      <c r="R1368" s="9" t="str">
        <f aca="false">IF(AND(A1368&lt;&gt;"",ISNUMBER(Q1368),ISNUMBER(L1368)),ROUND(Q1368-IF(ISNUMBER(N1368),N1368,0)-IF(ISNUMBER(O1368),O1368,0)+IF(ISNUMBER(P1368),P1368,0),2),"")</f>
        <v/>
      </c>
      <c r="S1368" s="9" t="str">
        <f aca="false">IF(R1368="","",ROUND(L1368-R1368,2))</f>
        <v/>
      </c>
      <c r="T1368" s="8" t="str">
        <f aca="false">IF(A1368="","",IF(S1368="","BYPASS",IF(ABS(S1368)&lt;=Summary!$B$2,"PASS","FAIL")))</f>
        <v/>
      </c>
      <c r="U1368" s="8" t="str">
        <f aca="false">IF(T1368="BYPASS",IF(NOT(ISNUMBER(Q1368)),"PreV_ETB missing","End_tr_balance missing"),IF(T1368="FAIL",IF(AND(ISNUMBER(K1368),ISNUMBER(L1368),ABS(L1368-(K1368-IF(ISNUMBER(N1368),N1368,0)-IF(ISNUMBER(O1368),O1368,0)+IF(ISNUMBER(P1368),P1368,0)))&lt;=Summary!$B$2),"Passes using beginning_balance - PreV_ETB differs from beginning_balance",IF(AND(ISNUMBER(O1368),O1368&lt;0,ABS(L1368-(Q1368-IF(ISNUMBER(N1368),N1368,0)+IF(ISNUMBER(P1368),P1368,0)))&lt;=Summary!$B$2),"Negative realized loss not applied - check sign",IF(R1368&lt;0,"Principal paid exceeds prior balance",IF(AND(L1368&gt;Q1368,NOT(ISNUMBER(P1368))),"Balance increased but no Deferred_interest reported",IF(L1368&gt;R1368,"Reported balance higher than expected (missing increase/OC build)","Reported balance lower than expected (missing decrease)"))))),""))</f>
        <v/>
      </c>
    </row>
    <row r="1369" customFormat="false" ht="15" hidden="false" customHeight="false" outlineLevel="0" collapsed="false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9"/>
      <c r="L1369" s="9"/>
      <c r="M1369" s="9"/>
      <c r="N1369" s="9"/>
      <c r="O1369" s="9"/>
      <c r="P1369" s="9"/>
      <c r="Q1369" s="9"/>
      <c r="R1369" s="9" t="str">
        <f aca="false">IF(AND(A1369&lt;&gt;"",ISNUMBER(Q1369),ISNUMBER(L1369)),ROUND(Q1369-IF(ISNUMBER(N1369),N1369,0)-IF(ISNUMBER(O1369),O1369,0)+IF(ISNUMBER(P1369),P1369,0),2),"")</f>
        <v/>
      </c>
      <c r="S1369" s="9" t="str">
        <f aca="false">IF(R1369="","",ROUND(L1369-R1369,2))</f>
        <v/>
      </c>
      <c r="T1369" s="8" t="str">
        <f aca="false">IF(A1369="","",IF(S1369="","BYPASS",IF(ABS(S1369)&lt;=Summary!$B$2,"PASS","FAIL")))</f>
        <v/>
      </c>
      <c r="U1369" s="8" t="str">
        <f aca="false">IF(T1369="BYPASS",IF(NOT(ISNUMBER(Q1369)),"PreV_ETB missing","End_tr_balance missing"),IF(T1369="FAIL",IF(AND(ISNUMBER(K1369),ISNUMBER(L1369),ABS(L1369-(K1369-IF(ISNUMBER(N1369),N1369,0)-IF(ISNUMBER(O1369),O1369,0)+IF(ISNUMBER(P1369),P1369,0)))&lt;=Summary!$B$2),"Passes using beginning_balance - PreV_ETB differs from beginning_balance",IF(AND(ISNUMBER(O1369),O1369&lt;0,ABS(L1369-(Q1369-IF(ISNUMBER(N1369),N1369,0)+IF(ISNUMBER(P1369),P1369,0)))&lt;=Summary!$B$2),"Negative realized loss not applied - check sign",IF(R1369&lt;0,"Principal paid exceeds prior balance",IF(AND(L1369&gt;Q1369,NOT(ISNUMBER(P1369))),"Balance increased but no Deferred_interest reported",IF(L1369&gt;R1369,"Reported balance higher than expected (missing increase/OC build)","Reported balance lower than expected (missing decrease)"))))),""))</f>
        <v/>
      </c>
    </row>
    <row r="1370" customFormat="false" ht="15" hidden="false" customHeight="false" outlineLevel="0" collapsed="false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9"/>
      <c r="L1370" s="9"/>
      <c r="M1370" s="9"/>
      <c r="N1370" s="9"/>
      <c r="O1370" s="9"/>
      <c r="P1370" s="9"/>
      <c r="Q1370" s="9"/>
      <c r="R1370" s="9" t="str">
        <f aca="false">IF(AND(A1370&lt;&gt;"",ISNUMBER(Q1370),ISNUMBER(L1370)),ROUND(Q1370-IF(ISNUMBER(N1370),N1370,0)-IF(ISNUMBER(O1370),O1370,0)+IF(ISNUMBER(P1370),P1370,0),2),"")</f>
        <v/>
      </c>
      <c r="S1370" s="9" t="str">
        <f aca="false">IF(R1370="","",ROUND(L1370-R1370,2))</f>
        <v/>
      </c>
      <c r="T1370" s="8" t="str">
        <f aca="false">IF(A1370="","",IF(S1370="","BYPASS",IF(ABS(S1370)&lt;=Summary!$B$2,"PASS","FAIL")))</f>
        <v/>
      </c>
      <c r="U1370" s="8" t="str">
        <f aca="false">IF(T1370="BYPASS",IF(NOT(ISNUMBER(Q1370)),"PreV_ETB missing","End_tr_balance missing"),IF(T1370="FAIL",IF(AND(ISNUMBER(K1370),ISNUMBER(L1370),ABS(L1370-(K1370-IF(ISNUMBER(N1370),N1370,0)-IF(ISNUMBER(O1370),O1370,0)+IF(ISNUMBER(P1370),P1370,0)))&lt;=Summary!$B$2),"Passes using beginning_balance - PreV_ETB differs from beginning_balance",IF(AND(ISNUMBER(O1370),O1370&lt;0,ABS(L1370-(Q1370-IF(ISNUMBER(N1370),N1370,0)+IF(ISNUMBER(P1370),P1370,0)))&lt;=Summary!$B$2),"Negative realized loss not applied - check sign",IF(R1370&lt;0,"Principal paid exceeds prior balance",IF(AND(L1370&gt;Q1370,NOT(ISNUMBER(P1370))),"Balance increased but no Deferred_interest reported",IF(L1370&gt;R1370,"Reported balance higher than expected (missing increase/OC build)","Reported balance lower than expected (missing decrease)"))))),""))</f>
        <v/>
      </c>
    </row>
    <row r="1371" customFormat="false" ht="15" hidden="false" customHeight="false" outlineLevel="0" collapsed="false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9"/>
      <c r="L1371" s="9"/>
      <c r="M1371" s="9"/>
      <c r="N1371" s="9"/>
      <c r="O1371" s="9"/>
      <c r="P1371" s="9"/>
      <c r="Q1371" s="9"/>
      <c r="R1371" s="9" t="str">
        <f aca="false">IF(AND(A1371&lt;&gt;"",ISNUMBER(Q1371),ISNUMBER(L1371)),ROUND(Q1371-IF(ISNUMBER(N1371),N1371,0)-IF(ISNUMBER(O1371),O1371,0)+IF(ISNUMBER(P1371),P1371,0),2),"")</f>
        <v/>
      </c>
      <c r="S1371" s="9" t="str">
        <f aca="false">IF(R1371="","",ROUND(L1371-R1371,2))</f>
        <v/>
      </c>
      <c r="T1371" s="8" t="str">
        <f aca="false">IF(A1371="","",IF(S1371="","BYPASS",IF(ABS(S1371)&lt;=Summary!$B$2,"PASS","FAIL")))</f>
        <v/>
      </c>
      <c r="U1371" s="8" t="str">
        <f aca="false">IF(T1371="BYPASS",IF(NOT(ISNUMBER(Q1371)),"PreV_ETB missing","End_tr_balance missing"),IF(T1371="FAIL",IF(AND(ISNUMBER(K1371),ISNUMBER(L1371),ABS(L1371-(K1371-IF(ISNUMBER(N1371),N1371,0)-IF(ISNUMBER(O1371),O1371,0)+IF(ISNUMBER(P1371),P1371,0)))&lt;=Summary!$B$2),"Passes using beginning_balance - PreV_ETB differs from beginning_balance",IF(AND(ISNUMBER(O1371),O1371&lt;0,ABS(L1371-(Q1371-IF(ISNUMBER(N1371),N1371,0)+IF(ISNUMBER(P1371),P1371,0)))&lt;=Summary!$B$2),"Negative realized loss not applied - check sign",IF(R1371&lt;0,"Principal paid exceeds prior balance",IF(AND(L1371&gt;Q1371,NOT(ISNUMBER(P1371))),"Balance increased but no Deferred_interest reported",IF(L1371&gt;R1371,"Reported balance higher than expected (missing increase/OC build)","Reported balance lower than expected (missing decrease)"))))),""))</f>
        <v/>
      </c>
    </row>
    <row r="1372" customFormat="false" ht="15" hidden="false" customHeight="false" outlineLevel="0" collapsed="false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9"/>
      <c r="L1372" s="9"/>
      <c r="M1372" s="9"/>
      <c r="N1372" s="9"/>
      <c r="O1372" s="9"/>
      <c r="P1372" s="9"/>
      <c r="Q1372" s="9"/>
      <c r="R1372" s="9" t="str">
        <f aca="false">IF(AND(A1372&lt;&gt;"",ISNUMBER(Q1372),ISNUMBER(L1372)),ROUND(Q1372-IF(ISNUMBER(N1372),N1372,0)-IF(ISNUMBER(O1372),O1372,0)+IF(ISNUMBER(P1372),P1372,0),2),"")</f>
        <v/>
      </c>
      <c r="S1372" s="9" t="str">
        <f aca="false">IF(R1372="","",ROUND(L1372-R1372,2))</f>
        <v/>
      </c>
      <c r="T1372" s="8" t="str">
        <f aca="false">IF(A1372="","",IF(S1372="","BYPASS",IF(ABS(S1372)&lt;=Summary!$B$2,"PASS","FAIL")))</f>
        <v/>
      </c>
      <c r="U1372" s="8" t="str">
        <f aca="false">IF(T1372="BYPASS",IF(NOT(ISNUMBER(Q1372)),"PreV_ETB missing","End_tr_balance missing"),IF(T1372="FAIL",IF(AND(ISNUMBER(K1372),ISNUMBER(L1372),ABS(L1372-(K1372-IF(ISNUMBER(N1372),N1372,0)-IF(ISNUMBER(O1372),O1372,0)+IF(ISNUMBER(P1372),P1372,0)))&lt;=Summary!$B$2),"Passes using beginning_balance - PreV_ETB differs from beginning_balance",IF(AND(ISNUMBER(O1372),O1372&lt;0,ABS(L1372-(Q1372-IF(ISNUMBER(N1372),N1372,0)+IF(ISNUMBER(P1372),P1372,0)))&lt;=Summary!$B$2),"Negative realized loss not applied - check sign",IF(R1372&lt;0,"Principal paid exceeds prior balance",IF(AND(L1372&gt;Q1372,NOT(ISNUMBER(P1372))),"Balance increased but no Deferred_interest reported",IF(L1372&gt;R1372,"Reported balance higher than expected (missing increase/OC build)","Reported balance lower than expected (missing decrease)"))))),""))</f>
        <v/>
      </c>
    </row>
    <row r="1373" customFormat="false" ht="15" hidden="false" customHeight="false" outlineLevel="0" collapsed="false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9"/>
      <c r="L1373" s="9"/>
      <c r="M1373" s="9"/>
      <c r="N1373" s="9"/>
      <c r="O1373" s="9"/>
      <c r="P1373" s="9"/>
      <c r="Q1373" s="9"/>
      <c r="R1373" s="9" t="str">
        <f aca="false">IF(AND(A1373&lt;&gt;"",ISNUMBER(Q1373),ISNUMBER(L1373)),ROUND(Q1373-IF(ISNUMBER(N1373),N1373,0)-IF(ISNUMBER(O1373),O1373,0)+IF(ISNUMBER(P1373),P1373,0),2),"")</f>
        <v/>
      </c>
      <c r="S1373" s="9" t="str">
        <f aca="false">IF(R1373="","",ROUND(L1373-R1373,2))</f>
        <v/>
      </c>
      <c r="T1373" s="8" t="str">
        <f aca="false">IF(A1373="","",IF(S1373="","BYPASS",IF(ABS(S1373)&lt;=Summary!$B$2,"PASS","FAIL")))</f>
        <v/>
      </c>
      <c r="U1373" s="8" t="str">
        <f aca="false">IF(T1373="BYPASS",IF(NOT(ISNUMBER(Q1373)),"PreV_ETB missing","End_tr_balance missing"),IF(T1373="FAIL",IF(AND(ISNUMBER(K1373),ISNUMBER(L1373),ABS(L1373-(K1373-IF(ISNUMBER(N1373),N1373,0)-IF(ISNUMBER(O1373),O1373,0)+IF(ISNUMBER(P1373),P1373,0)))&lt;=Summary!$B$2),"Passes using beginning_balance - PreV_ETB differs from beginning_balance",IF(AND(ISNUMBER(O1373),O1373&lt;0,ABS(L1373-(Q1373-IF(ISNUMBER(N1373),N1373,0)+IF(ISNUMBER(P1373),P1373,0)))&lt;=Summary!$B$2),"Negative realized loss not applied - check sign",IF(R1373&lt;0,"Principal paid exceeds prior balance",IF(AND(L1373&gt;Q1373,NOT(ISNUMBER(P1373))),"Balance increased but no Deferred_interest reported",IF(L1373&gt;R1373,"Reported balance higher than expected (missing increase/OC build)","Reported balance lower than expected (missing decrease)"))))),""))</f>
        <v/>
      </c>
    </row>
    <row r="1374" customFormat="false" ht="15" hidden="false" customHeight="false" outlineLevel="0" collapsed="false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9"/>
      <c r="L1374" s="9"/>
      <c r="M1374" s="9"/>
      <c r="N1374" s="9"/>
      <c r="O1374" s="9"/>
      <c r="P1374" s="9"/>
      <c r="Q1374" s="9"/>
      <c r="R1374" s="9" t="str">
        <f aca="false">IF(AND(A1374&lt;&gt;"",ISNUMBER(Q1374),ISNUMBER(L1374)),ROUND(Q1374-IF(ISNUMBER(N1374),N1374,0)-IF(ISNUMBER(O1374),O1374,0)+IF(ISNUMBER(P1374),P1374,0),2),"")</f>
        <v/>
      </c>
      <c r="S1374" s="9" t="str">
        <f aca="false">IF(R1374="","",ROUND(L1374-R1374,2))</f>
        <v/>
      </c>
      <c r="T1374" s="8" t="str">
        <f aca="false">IF(A1374="","",IF(S1374="","BYPASS",IF(ABS(S1374)&lt;=Summary!$B$2,"PASS","FAIL")))</f>
        <v/>
      </c>
      <c r="U1374" s="8" t="str">
        <f aca="false">IF(T1374="BYPASS",IF(NOT(ISNUMBER(Q1374)),"PreV_ETB missing","End_tr_balance missing"),IF(T1374="FAIL",IF(AND(ISNUMBER(K1374),ISNUMBER(L1374),ABS(L1374-(K1374-IF(ISNUMBER(N1374),N1374,0)-IF(ISNUMBER(O1374),O1374,0)+IF(ISNUMBER(P1374),P1374,0)))&lt;=Summary!$B$2),"Passes using beginning_balance - PreV_ETB differs from beginning_balance",IF(AND(ISNUMBER(O1374),O1374&lt;0,ABS(L1374-(Q1374-IF(ISNUMBER(N1374),N1374,0)+IF(ISNUMBER(P1374),P1374,0)))&lt;=Summary!$B$2),"Negative realized loss not applied - check sign",IF(R1374&lt;0,"Principal paid exceeds prior balance",IF(AND(L1374&gt;Q1374,NOT(ISNUMBER(P1374))),"Balance increased but no Deferred_interest reported",IF(L1374&gt;R1374,"Reported balance higher than expected (missing increase/OC build)","Reported balance lower than expected (missing decrease)"))))),""))</f>
        <v/>
      </c>
    </row>
    <row r="1375" customFormat="false" ht="15" hidden="false" customHeight="false" outlineLevel="0" collapsed="false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9"/>
      <c r="L1375" s="9"/>
      <c r="M1375" s="9"/>
      <c r="N1375" s="9"/>
      <c r="O1375" s="9"/>
      <c r="P1375" s="9"/>
      <c r="Q1375" s="9"/>
      <c r="R1375" s="9" t="str">
        <f aca="false">IF(AND(A1375&lt;&gt;"",ISNUMBER(Q1375),ISNUMBER(L1375)),ROUND(Q1375-IF(ISNUMBER(N1375),N1375,0)-IF(ISNUMBER(O1375),O1375,0)+IF(ISNUMBER(P1375),P1375,0),2),"")</f>
        <v/>
      </c>
      <c r="S1375" s="9" t="str">
        <f aca="false">IF(R1375="","",ROUND(L1375-R1375,2))</f>
        <v/>
      </c>
      <c r="T1375" s="8" t="str">
        <f aca="false">IF(A1375="","",IF(S1375="","BYPASS",IF(ABS(S1375)&lt;=Summary!$B$2,"PASS","FAIL")))</f>
        <v/>
      </c>
      <c r="U1375" s="8" t="str">
        <f aca="false">IF(T1375="BYPASS",IF(NOT(ISNUMBER(Q1375)),"PreV_ETB missing","End_tr_balance missing"),IF(T1375="FAIL",IF(AND(ISNUMBER(K1375),ISNUMBER(L1375),ABS(L1375-(K1375-IF(ISNUMBER(N1375),N1375,0)-IF(ISNUMBER(O1375),O1375,0)+IF(ISNUMBER(P1375),P1375,0)))&lt;=Summary!$B$2),"Passes using beginning_balance - PreV_ETB differs from beginning_balance",IF(AND(ISNUMBER(O1375),O1375&lt;0,ABS(L1375-(Q1375-IF(ISNUMBER(N1375),N1375,0)+IF(ISNUMBER(P1375),P1375,0)))&lt;=Summary!$B$2),"Negative realized loss not applied - check sign",IF(R1375&lt;0,"Principal paid exceeds prior balance",IF(AND(L1375&gt;Q1375,NOT(ISNUMBER(P1375))),"Balance increased but no Deferred_interest reported",IF(L1375&gt;R1375,"Reported balance higher than expected (missing increase/OC build)","Reported balance lower than expected (missing decrease)"))))),""))</f>
        <v/>
      </c>
    </row>
    <row r="1376" customFormat="false" ht="15" hidden="false" customHeight="false" outlineLevel="0" collapsed="false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9"/>
      <c r="L1376" s="9"/>
      <c r="M1376" s="9"/>
      <c r="N1376" s="9"/>
      <c r="O1376" s="9"/>
      <c r="P1376" s="9"/>
      <c r="Q1376" s="9"/>
      <c r="R1376" s="9" t="str">
        <f aca="false">IF(AND(A1376&lt;&gt;"",ISNUMBER(Q1376),ISNUMBER(L1376)),ROUND(Q1376-IF(ISNUMBER(N1376),N1376,0)-IF(ISNUMBER(O1376),O1376,0)+IF(ISNUMBER(P1376),P1376,0),2),"")</f>
        <v/>
      </c>
      <c r="S1376" s="9" t="str">
        <f aca="false">IF(R1376="","",ROUND(L1376-R1376,2))</f>
        <v/>
      </c>
      <c r="T1376" s="8" t="str">
        <f aca="false">IF(A1376="","",IF(S1376="","BYPASS",IF(ABS(S1376)&lt;=Summary!$B$2,"PASS","FAIL")))</f>
        <v/>
      </c>
      <c r="U1376" s="8" t="str">
        <f aca="false">IF(T1376="BYPASS",IF(NOT(ISNUMBER(Q1376)),"PreV_ETB missing","End_tr_balance missing"),IF(T1376="FAIL",IF(AND(ISNUMBER(K1376),ISNUMBER(L1376),ABS(L1376-(K1376-IF(ISNUMBER(N1376),N1376,0)-IF(ISNUMBER(O1376),O1376,0)+IF(ISNUMBER(P1376),P1376,0)))&lt;=Summary!$B$2),"Passes using beginning_balance - PreV_ETB differs from beginning_balance",IF(AND(ISNUMBER(O1376),O1376&lt;0,ABS(L1376-(Q1376-IF(ISNUMBER(N1376),N1376,0)+IF(ISNUMBER(P1376),P1376,0)))&lt;=Summary!$B$2),"Negative realized loss not applied - check sign",IF(R1376&lt;0,"Principal paid exceeds prior balance",IF(AND(L1376&gt;Q1376,NOT(ISNUMBER(P1376))),"Balance increased but no Deferred_interest reported",IF(L1376&gt;R1376,"Reported balance higher than expected (missing increase/OC build)","Reported balance lower than expected (missing decrease)"))))),""))</f>
        <v/>
      </c>
    </row>
    <row r="1377" customFormat="false" ht="15" hidden="false" customHeight="false" outlineLevel="0" collapsed="false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9"/>
      <c r="L1377" s="9"/>
      <c r="M1377" s="9"/>
      <c r="N1377" s="9"/>
      <c r="O1377" s="9"/>
      <c r="P1377" s="9"/>
      <c r="Q1377" s="9"/>
      <c r="R1377" s="9" t="str">
        <f aca="false">IF(AND(A1377&lt;&gt;"",ISNUMBER(Q1377),ISNUMBER(L1377)),ROUND(Q1377-IF(ISNUMBER(N1377),N1377,0)-IF(ISNUMBER(O1377),O1377,0)+IF(ISNUMBER(P1377),P1377,0),2),"")</f>
        <v/>
      </c>
      <c r="S1377" s="9" t="str">
        <f aca="false">IF(R1377="","",ROUND(L1377-R1377,2))</f>
        <v/>
      </c>
      <c r="T1377" s="8" t="str">
        <f aca="false">IF(A1377="","",IF(S1377="","BYPASS",IF(ABS(S1377)&lt;=Summary!$B$2,"PASS","FAIL")))</f>
        <v/>
      </c>
      <c r="U1377" s="8" t="str">
        <f aca="false">IF(T1377="BYPASS",IF(NOT(ISNUMBER(Q1377)),"PreV_ETB missing","End_tr_balance missing"),IF(T1377="FAIL",IF(AND(ISNUMBER(K1377),ISNUMBER(L1377),ABS(L1377-(K1377-IF(ISNUMBER(N1377),N1377,0)-IF(ISNUMBER(O1377),O1377,0)+IF(ISNUMBER(P1377),P1377,0)))&lt;=Summary!$B$2),"Passes using beginning_balance - PreV_ETB differs from beginning_balance",IF(AND(ISNUMBER(O1377),O1377&lt;0,ABS(L1377-(Q1377-IF(ISNUMBER(N1377),N1377,0)+IF(ISNUMBER(P1377),P1377,0)))&lt;=Summary!$B$2),"Negative realized loss not applied - check sign",IF(R1377&lt;0,"Principal paid exceeds prior balance",IF(AND(L1377&gt;Q1377,NOT(ISNUMBER(P1377))),"Balance increased but no Deferred_interest reported",IF(L1377&gt;R1377,"Reported balance higher than expected (missing increase/OC build)","Reported balance lower than expected (missing decrease)"))))),""))</f>
        <v/>
      </c>
    </row>
    <row r="1378" customFormat="false" ht="15" hidden="false" customHeight="false" outlineLevel="0" collapsed="false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9"/>
      <c r="L1378" s="9"/>
      <c r="M1378" s="9"/>
      <c r="N1378" s="9"/>
      <c r="O1378" s="9"/>
      <c r="P1378" s="9"/>
      <c r="Q1378" s="9"/>
      <c r="R1378" s="9" t="str">
        <f aca="false">IF(AND(A1378&lt;&gt;"",ISNUMBER(Q1378),ISNUMBER(L1378)),ROUND(Q1378-IF(ISNUMBER(N1378),N1378,0)-IF(ISNUMBER(O1378),O1378,0)+IF(ISNUMBER(P1378),P1378,0),2),"")</f>
        <v/>
      </c>
      <c r="S1378" s="9" t="str">
        <f aca="false">IF(R1378="","",ROUND(L1378-R1378,2))</f>
        <v/>
      </c>
      <c r="T1378" s="8" t="str">
        <f aca="false">IF(A1378="","",IF(S1378="","BYPASS",IF(ABS(S1378)&lt;=Summary!$B$2,"PASS","FAIL")))</f>
        <v/>
      </c>
      <c r="U1378" s="8" t="str">
        <f aca="false">IF(T1378="BYPASS",IF(NOT(ISNUMBER(Q1378)),"PreV_ETB missing","End_tr_balance missing"),IF(T1378="FAIL",IF(AND(ISNUMBER(K1378),ISNUMBER(L1378),ABS(L1378-(K1378-IF(ISNUMBER(N1378),N1378,0)-IF(ISNUMBER(O1378),O1378,0)+IF(ISNUMBER(P1378),P1378,0)))&lt;=Summary!$B$2),"Passes using beginning_balance - PreV_ETB differs from beginning_balance",IF(AND(ISNUMBER(O1378),O1378&lt;0,ABS(L1378-(Q1378-IF(ISNUMBER(N1378),N1378,0)+IF(ISNUMBER(P1378),P1378,0)))&lt;=Summary!$B$2),"Negative realized loss not applied - check sign",IF(R1378&lt;0,"Principal paid exceeds prior balance",IF(AND(L1378&gt;Q1378,NOT(ISNUMBER(P1378))),"Balance increased but no Deferred_interest reported",IF(L1378&gt;R1378,"Reported balance higher than expected (missing increase/OC build)","Reported balance lower than expected (missing decrease)"))))),""))</f>
        <v/>
      </c>
    </row>
    <row r="1379" customFormat="false" ht="15" hidden="false" customHeight="false" outlineLevel="0" collapsed="false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9"/>
      <c r="L1379" s="9"/>
      <c r="M1379" s="9"/>
      <c r="N1379" s="9"/>
      <c r="O1379" s="9"/>
      <c r="P1379" s="9"/>
      <c r="Q1379" s="9"/>
      <c r="R1379" s="9" t="str">
        <f aca="false">IF(AND(A1379&lt;&gt;"",ISNUMBER(Q1379),ISNUMBER(L1379)),ROUND(Q1379-IF(ISNUMBER(N1379),N1379,0)-IF(ISNUMBER(O1379),O1379,0)+IF(ISNUMBER(P1379),P1379,0),2),"")</f>
        <v/>
      </c>
      <c r="S1379" s="9" t="str">
        <f aca="false">IF(R1379="","",ROUND(L1379-R1379,2))</f>
        <v/>
      </c>
      <c r="T1379" s="8" t="str">
        <f aca="false">IF(A1379="","",IF(S1379="","BYPASS",IF(ABS(S1379)&lt;=Summary!$B$2,"PASS","FAIL")))</f>
        <v/>
      </c>
      <c r="U1379" s="8" t="str">
        <f aca="false">IF(T1379="BYPASS",IF(NOT(ISNUMBER(Q1379)),"PreV_ETB missing","End_tr_balance missing"),IF(T1379="FAIL",IF(AND(ISNUMBER(K1379),ISNUMBER(L1379),ABS(L1379-(K1379-IF(ISNUMBER(N1379),N1379,0)-IF(ISNUMBER(O1379),O1379,0)+IF(ISNUMBER(P1379),P1379,0)))&lt;=Summary!$B$2),"Passes using beginning_balance - PreV_ETB differs from beginning_balance",IF(AND(ISNUMBER(O1379),O1379&lt;0,ABS(L1379-(Q1379-IF(ISNUMBER(N1379),N1379,0)+IF(ISNUMBER(P1379),P1379,0)))&lt;=Summary!$B$2),"Negative realized loss not applied - check sign",IF(R1379&lt;0,"Principal paid exceeds prior balance",IF(AND(L1379&gt;Q1379,NOT(ISNUMBER(P1379))),"Balance increased but no Deferred_interest reported",IF(L1379&gt;R1379,"Reported balance higher than expected (missing increase/OC build)","Reported balance lower than expected (missing decrease)"))))),""))</f>
        <v/>
      </c>
    </row>
    <row r="1380" customFormat="false" ht="15" hidden="false" customHeight="false" outlineLevel="0" collapsed="false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9"/>
      <c r="L1380" s="9"/>
      <c r="M1380" s="9"/>
      <c r="N1380" s="9"/>
      <c r="O1380" s="9"/>
      <c r="P1380" s="9"/>
      <c r="Q1380" s="9"/>
      <c r="R1380" s="9" t="str">
        <f aca="false">IF(AND(A1380&lt;&gt;"",ISNUMBER(Q1380),ISNUMBER(L1380)),ROUND(Q1380-IF(ISNUMBER(N1380),N1380,0)-IF(ISNUMBER(O1380),O1380,0)+IF(ISNUMBER(P1380),P1380,0),2),"")</f>
        <v/>
      </c>
      <c r="S1380" s="9" t="str">
        <f aca="false">IF(R1380="","",ROUND(L1380-R1380,2))</f>
        <v/>
      </c>
      <c r="T1380" s="8" t="str">
        <f aca="false">IF(A1380="","",IF(S1380="","BYPASS",IF(ABS(S1380)&lt;=Summary!$B$2,"PASS","FAIL")))</f>
        <v/>
      </c>
      <c r="U1380" s="8" t="str">
        <f aca="false">IF(T1380="BYPASS",IF(NOT(ISNUMBER(Q1380)),"PreV_ETB missing","End_tr_balance missing"),IF(T1380="FAIL",IF(AND(ISNUMBER(K1380),ISNUMBER(L1380),ABS(L1380-(K1380-IF(ISNUMBER(N1380),N1380,0)-IF(ISNUMBER(O1380),O1380,0)+IF(ISNUMBER(P1380),P1380,0)))&lt;=Summary!$B$2),"Passes using beginning_balance - PreV_ETB differs from beginning_balance",IF(AND(ISNUMBER(O1380),O1380&lt;0,ABS(L1380-(Q1380-IF(ISNUMBER(N1380),N1380,0)+IF(ISNUMBER(P1380),P1380,0)))&lt;=Summary!$B$2),"Negative realized loss not applied - check sign",IF(R1380&lt;0,"Principal paid exceeds prior balance",IF(AND(L1380&gt;Q1380,NOT(ISNUMBER(P1380))),"Balance increased but no Deferred_interest reported",IF(L1380&gt;R1380,"Reported balance higher than expected (missing increase/OC build)","Reported balance lower than expected (missing decrease)"))))),""))</f>
        <v/>
      </c>
    </row>
    <row r="1381" customFormat="false" ht="15" hidden="false" customHeight="false" outlineLevel="0" collapsed="false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9"/>
      <c r="L1381" s="9"/>
      <c r="M1381" s="9"/>
      <c r="N1381" s="9"/>
      <c r="O1381" s="9"/>
      <c r="P1381" s="9"/>
      <c r="Q1381" s="9"/>
      <c r="R1381" s="9" t="str">
        <f aca="false">IF(AND(A1381&lt;&gt;"",ISNUMBER(Q1381),ISNUMBER(L1381)),ROUND(Q1381-IF(ISNUMBER(N1381),N1381,0)-IF(ISNUMBER(O1381),O1381,0)+IF(ISNUMBER(P1381),P1381,0),2),"")</f>
        <v/>
      </c>
      <c r="S1381" s="9" t="str">
        <f aca="false">IF(R1381="","",ROUND(L1381-R1381,2))</f>
        <v/>
      </c>
      <c r="T1381" s="8" t="str">
        <f aca="false">IF(A1381="","",IF(S1381="","BYPASS",IF(ABS(S1381)&lt;=Summary!$B$2,"PASS","FAIL")))</f>
        <v/>
      </c>
      <c r="U1381" s="8" t="str">
        <f aca="false">IF(T1381="BYPASS",IF(NOT(ISNUMBER(Q1381)),"PreV_ETB missing","End_tr_balance missing"),IF(T1381="FAIL",IF(AND(ISNUMBER(K1381),ISNUMBER(L1381),ABS(L1381-(K1381-IF(ISNUMBER(N1381),N1381,0)-IF(ISNUMBER(O1381),O1381,0)+IF(ISNUMBER(P1381),P1381,0)))&lt;=Summary!$B$2),"Passes using beginning_balance - PreV_ETB differs from beginning_balance",IF(AND(ISNUMBER(O1381),O1381&lt;0,ABS(L1381-(Q1381-IF(ISNUMBER(N1381),N1381,0)+IF(ISNUMBER(P1381),P1381,0)))&lt;=Summary!$B$2),"Negative realized loss not applied - check sign",IF(R1381&lt;0,"Principal paid exceeds prior balance",IF(AND(L1381&gt;Q1381,NOT(ISNUMBER(P1381))),"Balance increased but no Deferred_interest reported",IF(L1381&gt;R1381,"Reported balance higher than expected (missing increase/OC build)","Reported balance lower than expected (missing decrease)"))))),""))</f>
        <v/>
      </c>
    </row>
    <row r="1382" customFormat="false" ht="15" hidden="false" customHeight="false" outlineLevel="0" collapsed="false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9"/>
      <c r="L1382" s="9"/>
      <c r="M1382" s="9"/>
      <c r="N1382" s="9"/>
      <c r="O1382" s="9"/>
      <c r="P1382" s="9"/>
      <c r="Q1382" s="9"/>
      <c r="R1382" s="9" t="str">
        <f aca="false">IF(AND(A1382&lt;&gt;"",ISNUMBER(Q1382),ISNUMBER(L1382)),ROUND(Q1382-IF(ISNUMBER(N1382),N1382,0)-IF(ISNUMBER(O1382),O1382,0)+IF(ISNUMBER(P1382),P1382,0),2),"")</f>
        <v/>
      </c>
      <c r="S1382" s="9" t="str">
        <f aca="false">IF(R1382="","",ROUND(L1382-R1382,2))</f>
        <v/>
      </c>
      <c r="T1382" s="8" t="str">
        <f aca="false">IF(A1382="","",IF(S1382="","BYPASS",IF(ABS(S1382)&lt;=Summary!$B$2,"PASS","FAIL")))</f>
        <v/>
      </c>
      <c r="U1382" s="8" t="str">
        <f aca="false">IF(T1382="BYPASS",IF(NOT(ISNUMBER(Q1382)),"PreV_ETB missing","End_tr_balance missing"),IF(T1382="FAIL",IF(AND(ISNUMBER(K1382),ISNUMBER(L1382),ABS(L1382-(K1382-IF(ISNUMBER(N1382),N1382,0)-IF(ISNUMBER(O1382),O1382,0)+IF(ISNUMBER(P1382),P1382,0)))&lt;=Summary!$B$2),"Passes using beginning_balance - PreV_ETB differs from beginning_balance",IF(AND(ISNUMBER(O1382),O1382&lt;0,ABS(L1382-(Q1382-IF(ISNUMBER(N1382),N1382,0)+IF(ISNUMBER(P1382),P1382,0)))&lt;=Summary!$B$2),"Negative realized loss not applied - check sign",IF(R1382&lt;0,"Principal paid exceeds prior balance",IF(AND(L1382&gt;Q1382,NOT(ISNUMBER(P1382))),"Balance increased but no Deferred_interest reported",IF(L1382&gt;R1382,"Reported balance higher than expected (missing increase/OC build)","Reported balance lower than expected (missing decrease)"))))),""))</f>
        <v/>
      </c>
    </row>
    <row r="1383" customFormat="false" ht="15" hidden="false" customHeight="false" outlineLevel="0" collapsed="false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9"/>
      <c r="L1383" s="9"/>
      <c r="M1383" s="9"/>
      <c r="N1383" s="9"/>
      <c r="O1383" s="9"/>
      <c r="P1383" s="9"/>
      <c r="Q1383" s="9"/>
      <c r="R1383" s="9" t="str">
        <f aca="false">IF(AND(A1383&lt;&gt;"",ISNUMBER(Q1383),ISNUMBER(L1383)),ROUND(Q1383-IF(ISNUMBER(N1383),N1383,0)-IF(ISNUMBER(O1383),O1383,0)+IF(ISNUMBER(P1383),P1383,0),2),"")</f>
        <v/>
      </c>
      <c r="S1383" s="9" t="str">
        <f aca="false">IF(R1383="","",ROUND(L1383-R1383,2))</f>
        <v/>
      </c>
      <c r="T1383" s="8" t="str">
        <f aca="false">IF(A1383="","",IF(S1383="","BYPASS",IF(ABS(S1383)&lt;=Summary!$B$2,"PASS","FAIL")))</f>
        <v/>
      </c>
      <c r="U1383" s="8" t="str">
        <f aca="false">IF(T1383="BYPASS",IF(NOT(ISNUMBER(Q1383)),"PreV_ETB missing","End_tr_balance missing"),IF(T1383="FAIL",IF(AND(ISNUMBER(K1383),ISNUMBER(L1383),ABS(L1383-(K1383-IF(ISNUMBER(N1383),N1383,0)-IF(ISNUMBER(O1383),O1383,0)+IF(ISNUMBER(P1383),P1383,0)))&lt;=Summary!$B$2),"Passes using beginning_balance - PreV_ETB differs from beginning_balance",IF(AND(ISNUMBER(O1383),O1383&lt;0,ABS(L1383-(Q1383-IF(ISNUMBER(N1383),N1383,0)+IF(ISNUMBER(P1383),P1383,0)))&lt;=Summary!$B$2),"Negative realized loss not applied - check sign",IF(R1383&lt;0,"Principal paid exceeds prior balance",IF(AND(L1383&gt;Q1383,NOT(ISNUMBER(P1383))),"Balance increased but no Deferred_interest reported",IF(L1383&gt;R1383,"Reported balance higher than expected (missing increase/OC build)","Reported balance lower than expected (missing decrease)"))))),""))</f>
        <v/>
      </c>
    </row>
    <row r="1384" customFormat="false" ht="15" hidden="false" customHeight="false" outlineLevel="0" collapsed="false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9"/>
      <c r="L1384" s="9"/>
      <c r="M1384" s="9"/>
      <c r="N1384" s="9"/>
      <c r="O1384" s="9"/>
      <c r="P1384" s="9"/>
      <c r="Q1384" s="9"/>
      <c r="R1384" s="9" t="str">
        <f aca="false">IF(AND(A1384&lt;&gt;"",ISNUMBER(Q1384),ISNUMBER(L1384)),ROUND(Q1384-IF(ISNUMBER(N1384),N1384,0)-IF(ISNUMBER(O1384),O1384,0)+IF(ISNUMBER(P1384),P1384,0),2),"")</f>
        <v/>
      </c>
      <c r="S1384" s="9" t="str">
        <f aca="false">IF(R1384="","",ROUND(L1384-R1384,2))</f>
        <v/>
      </c>
      <c r="T1384" s="8" t="str">
        <f aca="false">IF(A1384="","",IF(S1384="","BYPASS",IF(ABS(S1384)&lt;=Summary!$B$2,"PASS","FAIL")))</f>
        <v/>
      </c>
      <c r="U1384" s="8" t="str">
        <f aca="false">IF(T1384="BYPASS",IF(NOT(ISNUMBER(Q1384)),"PreV_ETB missing","End_tr_balance missing"),IF(T1384="FAIL",IF(AND(ISNUMBER(K1384),ISNUMBER(L1384),ABS(L1384-(K1384-IF(ISNUMBER(N1384),N1384,0)-IF(ISNUMBER(O1384),O1384,0)+IF(ISNUMBER(P1384),P1384,0)))&lt;=Summary!$B$2),"Passes using beginning_balance - PreV_ETB differs from beginning_balance",IF(AND(ISNUMBER(O1384),O1384&lt;0,ABS(L1384-(Q1384-IF(ISNUMBER(N1384),N1384,0)+IF(ISNUMBER(P1384),P1384,0)))&lt;=Summary!$B$2),"Negative realized loss not applied - check sign",IF(R1384&lt;0,"Principal paid exceeds prior balance",IF(AND(L1384&gt;Q1384,NOT(ISNUMBER(P1384))),"Balance increased but no Deferred_interest reported",IF(L1384&gt;R1384,"Reported balance higher than expected (missing increase/OC build)","Reported balance lower than expected (missing decrease)"))))),""))</f>
        <v/>
      </c>
    </row>
    <row r="1385" customFormat="false" ht="15" hidden="false" customHeight="false" outlineLevel="0" collapsed="false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9"/>
      <c r="L1385" s="9"/>
      <c r="M1385" s="9"/>
      <c r="N1385" s="9"/>
      <c r="O1385" s="9"/>
      <c r="P1385" s="9"/>
      <c r="Q1385" s="9"/>
      <c r="R1385" s="9" t="str">
        <f aca="false">IF(AND(A1385&lt;&gt;"",ISNUMBER(Q1385),ISNUMBER(L1385)),ROUND(Q1385-IF(ISNUMBER(N1385),N1385,0)-IF(ISNUMBER(O1385),O1385,0)+IF(ISNUMBER(P1385),P1385,0),2),"")</f>
        <v/>
      </c>
      <c r="S1385" s="9" t="str">
        <f aca="false">IF(R1385="","",ROUND(L1385-R1385,2))</f>
        <v/>
      </c>
      <c r="T1385" s="8" t="str">
        <f aca="false">IF(A1385="","",IF(S1385="","BYPASS",IF(ABS(S1385)&lt;=Summary!$B$2,"PASS","FAIL")))</f>
        <v/>
      </c>
      <c r="U1385" s="8" t="str">
        <f aca="false">IF(T1385="BYPASS",IF(NOT(ISNUMBER(Q1385)),"PreV_ETB missing","End_tr_balance missing"),IF(T1385="FAIL",IF(AND(ISNUMBER(K1385),ISNUMBER(L1385),ABS(L1385-(K1385-IF(ISNUMBER(N1385),N1385,0)-IF(ISNUMBER(O1385),O1385,0)+IF(ISNUMBER(P1385),P1385,0)))&lt;=Summary!$B$2),"Passes using beginning_balance - PreV_ETB differs from beginning_balance",IF(AND(ISNUMBER(O1385),O1385&lt;0,ABS(L1385-(Q1385-IF(ISNUMBER(N1385),N1385,0)+IF(ISNUMBER(P1385),P1385,0)))&lt;=Summary!$B$2),"Negative realized loss not applied - check sign",IF(R1385&lt;0,"Principal paid exceeds prior balance",IF(AND(L1385&gt;Q1385,NOT(ISNUMBER(P1385))),"Balance increased but no Deferred_interest reported",IF(L1385&gt;R1385,"Reported balance higher than expected (missing increase/OC build)","Reported balance lower than expected (missing decrease)"))))),""))</f>
        <v/>
      </c>
    </row>
    <row r="1386" customFormat="false" ht="15" hidden="false" customHeight="false" outlineLevel="0" collapsed="false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9"/>
      <c r="L1386" s="9"/>
      <c r="M1386" s="9"/>
      <c r="N1386" s="9"/>
      <c r="O1386" s="9"/>
      <c r="P1386" s="9"/>
      <c r="Q1386" s="9"/>
      <c r="R1386" s="9" t="str">
        <f aca="false">IF(AND(A1386&lt;&gt;"",ISNUMBER(Q1386),ISNUMBER(L1386)),ROUND(Q1386-IF(ISNUMBER(N1386),N1386,0)-IF(ISNUMBER(O1386),O1386,0)+IF(ISNUMBER(P1386),P1386,0),2),"")</f>
        <v/>
      </c>
      <c r="S1386" s="9" t="str">
        <f aca="false">IF(R1386="","",ROUND(L1386-R1386,2))</f>
        <v/>
      </c>
      <c r="T1386" s="8" t="str">
        <f aca="false">IF(A1386="","",IF(S1386="","BYPASS",IF(ABS(S1386)&lt;=Summary!$B$2,"PASS","FAIL")))</f>
        <v/>
      </c>
      <c r="U1386" s="8" t="str">
        <f aca="false">IF(T1386="BYPASS",IF(NOT(ISNUMBER(Q1386)),"PreV_ETB missing","End_tr_balance missing"),IF(T1386="FAIL",IF(AND(ISNUMBER(K1386),ISNUMBER(L1386),ABS(L1386-(K1386-IF(ISNUMBER(N1386),N1386,0)-IF(ISNUMBER(O1386),O1386,0)+IF(ISNUMBER(P1386),P1386,0)))&lt;=Summary!$B$2),"Passes using beginning_balance - PreV_ETB differs from beginning_balance",IF(AND(ISNUMBER(O1386),O1386&lt;0,ABS(L1386-(Q1386-IF(ISNUMBER(N1386),N1386,0)+IF(ISNUMBER(P1386),P1386,0)))&lt;=Summary!$B$2),"Negative realized loss not applied - check sign",IF(R1386&lt;0,"Principal paid exceeds prior balance",IF(AND(L1386&gt;Q1386,NOT(ISNUMBER(P1386))),"Balance increased but no Deferred_interest reported",IF(L1386&gt;R1386,"Reported balance higher than expected (missing increase/OC build)","Reported balance lower than expected (missing decrease)"))))),""))</f>
        <v/>
      </c>
    </row>
    <row r="1387" customFormat="false" ht="15" hidden="false" customHeight="false" outlineLevel="0" collapsed="false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9"/>
      <c r="L1387" s="9"/>
      <c r="M1387" s="9"/>
      <c r="N1387" s="9"/>
      <c r="O1387" s="9"/>
      <c r="P1387" s="9"/>
      <c r="Q1387" s="9"/>
      <c r="R1387" s="9" t="str">
        <f aca="false">IF(AND(A1387&lt;&gt;"",ISNUMBER(Q1387),ISNUMBER(L1387)),ROUND(Q1387-IF(ISNUMBER(N1387),N1387,0)-IF(ISNUMBER(O1387),O1387,0)+IF(ISNUMBER(P1387),P1387,0),2),"")</f>
        <v/>
      </c>
      <c r="S1387" s="9" t="str">
        <f aca="false">IF(R1387="","",ROUND(L1387-R1387,2))</f>
        <v/>
      </c>
      <c r="T1387" s="8" t="str">
        <f aca="false">IF(A1387="","",IF(S1387="","BYPASS",IF(ABS(S1387)&lt;=Summary!$B$2,"PASS","FAIL")))</f>
        <v/>
      </c>
      <c r="U1387" s="8" t="str">
        <f aca="false">IF(T1387="BYPASS",IF(NOT(ISNUMBER(Q1387)),"PreV_ETB missing","End_tr_balance missing"),IF(T1387="FAIL",IF(AND(ISNUMBER(K1387),ISNUMBER(L1387),ABS(L1387-(K1387-IF(ISNUMBER(N1387),N1387,0)-IF(ISNUMBER(O1387),O1387,0)+IF(ISNUMBER(P1387),P1387,0)))&lt;=Summary!$B$2),"Passes using beginning_balance - PreV_ETB differs from beginning_balance",IF(AND(ISNUMBER(O1387),O1387&lt;0,ABS(L1387-(Q1387-IF(ISNUMBER(N1387),N1387,0)+IF(ISNUMBER(P1387),P1387,0)))&lt;=Summary!$B$2),"Negative realized loss not applied - check sign",IF(R1387&lt;0,"Principal paid exceeds prior balance",IF(AND(L1387&gt;Q1387,NOT(ISNUMBER(P1387))),"Balance increased but no Deferred_interest reported",IF(L1387&gt;R1387,"Reported balance higher than expected (missing increase/OC build)","Reported balance lower than expected (missing decrease)"))))),""))</f>
        <v/>
      </c>
    </row>
    <row r="1388" customFormat="false" ht="15" hidden="false" customHeight="false" outlineLevel="0" collapsed="false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9"/>
      <c r="L1388" s="9"/>
      <c r="M1388" s="9"/>
      <c r="N1388" s="9"/>
      <c r="O1388" s="9"/>
      <c r="P1388" s="9"/>
      <c r="Q1388" s="9"/>
      <c r="R1388" s="9" t="str">
        <f aca="false">IF(AND(A1388&lt;&gt;"",ISNUMBER(Q1388),ISNUMBER(L1388)),ROUND(Q1388-IF(ISNUMBER(N1388),N1388,0)-IF(ISNUMBER(O1388),O1388,0)+IF(ISNUMBER(P1388),P1388,0),2),"")</f>
        <v/>
      </c>
      <c r="S1388" s="9" t="str">
        <f aca="false">IF(R1388="","",ROUND(L1388-R1388,2))</f>
        <v/>
      </c>
      <c r="T1388" s="8" t="str">
        <f aca="false">IF(A1388="","",IF(S1388="","BYPASS",IF(ABS(S1388)&lt;=Summary!$B$2,"PASS","FAIL")))</f>
        <v/>
      </c>
      <c r="U1388" s="8" t="str">
        <f aca="false">IF(T1388="BYPASS",IF(NOT(ISNUMBER(Q1388)),"PreV_ETB missing","End_tr_balance missing"),IF(T1388="FAIL",IF(AND(ISNUMBER(K1388),ISNUMBER(L1388),ABS(L1388-(K1388-IF(ISNUMBER(N1388),N1388,0)-IF(ISNUMBER(O1388),O1388,0)+IF(ISNUMBER(P1388),P1388,0)))&lt;=Summary!$B$2),"Passes using beginning_balance - PreV_ETB differs from beginning_balance",IF(AND(ISNUMBER(O1388),O1388&lt;0,ABS(L1388-(Q1388-IF(ISNUMBER(N1388),N1388,0)+IF(ISNUMBER(P1388),P1388,0)))&lt;=Summary!$B$2),"Negative realized loss not applied - check sign",IF(R1388&lt;0,"Principal paid exceeds prior balance",IF(AND(L1388&gt;Q1388,NOT(ISNUMBER(P1388))),"Balance increased but no Deferred_interest reported",IF(L1388&gt;R1388,"Reported balance higher than expected (missing increase/OC build)","Reported balance lower than expected (missing decrease)"))))),""))</f>
        <v/>
      </c>
    </row>
    <row r="1389" customFormat="false" ht="15" hidden="false" customHeight="false" outlineLevel="0" collapsed="false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9"/>
      <c r="L1389" s="9"/>
      <c r="M1389" s="9"/>
      <c r="N1389" s="9"/>
      <c r="O1389" s="9"/>
      <c r="P1389" s="9"/>
      <c r="Q1389" s="9"/>
      <c r="R1389" s="9" t="str">
        <f aca="false">IF(AND(A1389&lt;&gt;"",ISNUMBER(Q1389),ISNUMBER(L1389)),ROUND(Q1389-IF(ISNUMBER(N1389),N1389,0)-IF(ISNUMBER(O1389),O1389,0)+IF(ISNUMBER(P1389),P1389,0),2),"")</f>
        <v/>
      </c>
      <c r="S1389" s="9" t="str">
        <f aca="false">IF(R1389="","",ROUND(L1389-R1389,2))</f>
        <v/>
      </c>
      <c r="T1389" s="8" t="str">
        <f aca="false">IF(A1389="","",IF(S1389="","BYPASS",IF(ABS(S1389)&lt;=Summary!$B$2,"PASS","FAIL")))</f>
        <v/>
      </c>
      <c r="U1389" s="8" t="str">
        <f aca="false">IF(T1389="BYPASS",IF(NOT(ISNUMBER(Q1389)),"PreV_ETB missing","End_tr_balance missing"),IF(T1389="FAIL",IF(AND(ISNUMBER(K1389),ISNUMBER(L1389),ABS(L1389-(K1389-IF(ISNUMBER(N1389),N1389,0)-IF(ISNUMBER(O1389),O1389,0)+IF(ISNUMBER(P1389),P1389,0)))&lt;=Summary!$B$2),"Passes using beginning_balance - PreV_ETB differs from beginning_balance",IF(AND(ISNUMBER(O1389),O1389&lt;0,ABS(L1389-(Q1389-IF(ISNUMBER(N1389),N1389,0)+IF(ISNUMBER(P1389),P1389,0)))&lt;=Summary!$B$2),"Negative realized loss not applied - check sign",IF(R1389&lt;0,"Principal paid exceeds prior balance",IF(AND(L1389&gt;Q1389,NOT(ISNUMBER(P1389))),"Balance increased but no Deferred_interest reported",IF(L1389&gt;R1389,"Reported balance higher than expected (missing increase/OC build)","Reported balance lower than expected (missing decrease)"))))),""))</f>
        <v/>
      </c>
    </row>
    <row r="1390" customFormat="false" ht="15" hidden="false" customHeight="false" outlineLevel="0" collapsed="false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9"/>
      <c r="L1390" s="9"/>
      <c r="M1390" s="9"/>
      <c r="N1390" s="9"/>
      <c r="O1390" s="9"/>
      <c r="P1390" s="9"/>
      <c r="Q1390" s="9"/>
      <c r="R1390" s="9" t="str">
        <f aca="false">IF(AND(A1390&lt;&gt;"",ISNUMBER(Q1390),ISNUMBER(L1390)),ROUND(Q1390-IF(ISNUMBER(N1390),N1390,0)-IF(ISNUMBER(O1390),O1390,0)+IF(ISNUMBER(P1390),P1390,0),2),"")</f>
        <v/>
      </c>
      <c r="S1390" s="9" t="str">
        <f aca="false">IF(R1390="","",ROUND(L1390-R1390,2))</f>
        <v/>
      </c>
      <c r="T1390" s="8" t="str">
        <f aca="false">IF(A1390="","",IF(S1390="","BYPASS",IF(ABS(S1390)&lt;=Summary!$B$2,"PASS","FAIL")))</f>
        <v/>
      </c>
      <c r="U1390" s="8" t="str">
        <f aca="false">IF(T1390="BYPASS",IF(NOT(ISNUMBER(Q1390)),"PreV_ETB missing","End_tr_balance missing"),IF(T1390="FAIL",IF(AND(ISNUMBER(K1390),ISNUMBER(L1390),ABS(L1390-(K1390-IF(ISNUMBER(N1390),N1390,0)-IF(ISNUMBER(O1390),O1390,0)+IF(ISNUMBER(P1390),P1390,0)))&lt;=Summary!$B$2),"Passes using beginning_balance - PreV_ETB differs from beginning_balance",IF(AND(ISNUMBER(O1390),O1390&lt;0,ABS(L1390-(Q1390-IF(ISNUMBER(N1390),N1390,0)+IF(ISNUMBER(P1390),P1390,0)))&lt;=Summary!$B$2),"Negative realized loss not applied - check sign",IF(R1390&lt;0,"Principal paid exceeds prior balance",IF(AND(L1390&gt;Q1390,NOT(ISNUMBER(P1390))),"Balance increased but no Deferred_interest reported",IF(L1390&gt;R1390,"Reported balance higher than expected (missing increase/OC build)","Reported balance lower than expected (missing decrease)"))))),""))</f>
        <v/>
      </c>
    </row>
    <row r="1391" customFormat="false" ht="15" hidden="false" customHeight="false" outlineLevel="0" collapsed="false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9"/>
      <c r="L1391" s="9"/>
      <c r="M1391" s="9"/>
      <c r="N1391" s="9"/>
      <c r="O1391" s="9"/>
      <c r="P1391" s="9"/>
      <c r="Q1391" s="9"/>
      <c r="R1391" s="9" t="str">
        <f aca="false">IF(AND(A1391&lt;&gt;"",ISNUMBER(Q1391),ISNUMBER(L1391)),ROUND(Q1391-IF(ISNUMBER(N1391),N1391,0)-IF(ISNUMBER(O1391),O1391,0)+IF(ISNUMBER(P1391),P1391,0),2),"")</f>
        <v/>
      </c>
      <c r="S1391" s="9" t="str">
        <f aca="false">IF(R1391="","",ROUND(L1391-R1391,2))</f>
        <v/>
      </c>
      <c r="T1391" s="8" t="str">
        <f aca="false">IF(A1391="","",IF(S1391="","BYPASS",IF(ABS(S1391)&lt;=Summary!$B$2,"PASS","FAIL")))</f>
        <v/>
      </c>
      <c r="U1391" s="8" t="str">
        <f aca="false">IF(T1391="BYPASS",IF(NOT(ISNUMBER(Q1391)),"PreV_ETB missing","End_tr_balance missing"),IF(T1391="FAIL",IF(AND(ISNUMBER(K1391),ISNUMBER(L1391),ABS(L1391-(K1391-IF(ISNUMBER(N1391),N1391,0)-IF(ISNUMBER(O1391),O1391,0)+IF(ISNUMBER(P1391),P1391,0)))&lt;=Summary!$B$2),"Passes using beginning_balance - PreV_ETB differs from beginning_balance",IF(AND(ISNUMBER(O1391),O1391&lt;0,ABS(L1391-(Q1391-IF(ISNUMBER(N1391),N1391,0)+IF(ISNUMBER(P1391),P1391,0)))&lt;=Summary!$B$2),"Negative realized loss not applied - check sign",IF(R1391&lt;0,"Principal paid exceeds prior balance",IF(AND(L1391&gt;Q1391,NOT(ISNUMBER(P1391))),"Balance increased but no Deferred_interest reported",IF(L1391&gt;R1391,"Reported balance higher than expected (missing increase/OC build)","Reported balance lower than expected (missing decrease)"))))),""))</f>
        <v/>
      </c>
    </row>
    <row r="1392" customFormat="false" ht="15" hidden="false" customHeight="false" outlineLevel="0" collapsed="false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9"/>
      <c r="L1392" s="9"/>
      <c r="M1392" s="9"/>
      <c r="N1392" s="9"/>
      <c r="O1392" s="9"/>
      <c r="P1392" s="9"/>
      <c r="Q1392" s="9"/>
      <c r="R1392" s="9" t="str">
        <f aca="false">IF(AND(A1392&lt;&gt;"",ISNUMBER(Q1392),ISNUMBER(L1392)),ROUND(Q1392-IF(ISNUMBER(N1392),N1392,0)-IF(ISNUMBER(O1392),O1392,0)+IF(ISNUMBER(P1392),P1392,0),2),"")</f>
        <v/>
      </c>
      <c r="S1392" s="9" t="str">
        <f aca="false">IF(R1392="","",ROUND(L1392-R1392,2))</f>
        <v/>
      </c>
      <c r="T1392" s="8" t="str">
        <f aca="false">IF(A1392="","",IF(S1392="","BYPASS",IF(ABS(S1392)&lt;=Summary!$B$2,"PASS","FAIL")))</f>
        <v/>
      </c>
      <c r="U1392" s="8" t="str">
        <f aca="false">IF(T1392="BYPASS",IF(NOT(ISNUMBER(Q1392)),"PreV_ETB missing","End_tr_balance missing"),IF(T1392="FAIL",IF(AND(ISNUMBER(K1392),ISNUMBER(L1392),ABS(L1392-(K1392-IF(ISNUMBER(N1392),N1392,0)-IF(ISNUMBER(O1392),O1392,0)+IF(ISNUMBER(P1392),P1392,0)))&lt;=Summary!$B$2),"Passes using beginning_balance - PreV_ETB differs from beginning_balance",IF(AND(ISNUMBER(O1392),O1392&lt;0,ABS(L1392-(Q1392-IF(ISNUMBER(N1392),N1392,0)+IF(ISNUMBER(P1392),P1392,0)))&lt;=Summary!$B$2),"Negative realized loss not applied - check sign",IF(R1392&lt;0,"Principal paid exceeds prior balance",IF(AND(L1392&gt;Q1392,NOT(ISNUMBER(P1392))),"Balance increased but no Deferred_interest reported",IF(L1392&gt;R1392,"Reported balance higher than expected (missing increase/OC build)","Reported balance lower than expected (missing decrease)"))))),""))</f>
        <v/>
      </c>
    </row>
    <row r="1393" customFormat="false" ht="15" hidden="false" customHeight="false" outlineLevel="0" collapsed="false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9"/>
      <c r="L1393" s="9"/>
      <c r="M1393" s="9"/>
      <c r="N1393" s="9"/>
      <c r="O1393" s="9"/>
      <c r="P1393" s="9"/>
      <c r="Q1393" s="9"/>
      <c r="R1393" s="9" t="str">
        <f aca="false">IF(AND(A1393&lt;&gt;"",ISNUMBER(Q1393),ISNUMBER(L1393)),ROUND(Q1393-IF(ISNUMBER(N1393),N1393,0)-IF(ISNUMBER(O1393),O1393,0)+IF(ISNUMBER(P1393),P1393,0),2),"")</f>
        <v/>
      </c>
      <c r="S1393" s="9" t="str">
        <f aca="false">IF(R1393="","",ROUND(L1393-R1393,2))</f>
        <v/>
      </c>
      <c r="T1393" s="8" t="str">
        <f aca="false">IF(A1393="","",IF(S1393="","BYPASS",IF(ABS(S1393)&lt;=Summary!$B$2,"PASS","FAIL")))</f>
        <v/>
      </c>
      <c r="U1393" s="8" t="str">
        <f aca="false">IF(T1393="BYPASS",IF(NOT(ISNUMBER(Q1393)),"PreV_ETB missing","End_tr_balance missing"),IF(T1393="FAIL",IF(AND(ISNUMBER(K1393),ISNUMBER(L1393),ABS(L1393-(K1393-IF(ISNUMBER(N1393),N1393,0)-IF(ISNUMBER(O1393),O1393,0)+IF(ISNUMBER(P1393),P1393,0)))&lt;=Summary!$B$2),"Passes using beginning_balance - PreV_ETB differs from beginning_balance",IF(AND(ISNUMBER(O1393),O1393&lt;0,ABS(L1393-(Q1393-IF(ISNUMBER(N1393),N1393,0)+IF(ISNUMBER(P1393),P1393,0)))&lt;=Summary!$B$2),"Negative realized loss not applied - check sign",IF(R1393&lt;0,"Principal paid exceeds prior balance",IF(AND(L1393&gt;Q1393,NOT(ISNUMBER(P1393))),"Balance increased but no Deferred_interest reported",IF(L1393&gt;R1393,"Reported balance higher than expected (missing increase/OC build)","Reported balance lower than expected (missing decrease)"))))),""))</f>
        <v/>
      </c>
    </row>
    <row r="1394" customFormat="false" ht="15" hidden="false" customHeight="false" outlineLevel="0" collapsed="false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9"/>
      <c r="L1394" s="9"/>
      <c r="M1394" s="9"/>
      <c r="N1394" s="9"/>
      <c r="O1394" s="9"/>
      <c r="P1394" s="9"/>
      <c r="Q1394" s="9"/>
      <c r="R1394" s="9" t="str">
        <f aca="false">IF(AND(A1394&lt;&gt;"",ISNUMBER(Q1394),ISNUMBER(L1394)),ROUND(Q1394-IF(ISNUMBER(N1394),N1394,0)-IF(ISNUMBER(O1394),O1394,0)+IF(ISNUMBER(P1394),P1394,0),2),"")</f>
        <v/>
      </c>
      <c r="S1394" s="9" t="str">
        <f aca="false">IF(R1394="","",ROUND(L1394-R1394,2))</f>
        <v/>
      </c>
      <c r="T1394" s="8" t="str">
        <f aca="false">IF(A1394="","",IF(S1394="","BYPASS",IF(ABS(S1394)&lt;=Summary!$B$2,"PASS","FAIL")))</f>
        <v/>
      </c>
      <c r="U1394" s="8" t="str">
        <f aca="false">IF(T1394="BYPASS",IF(NOT(ISNUMBER(Q1394)),"PreV_ETB missing","End_tr_balance missing"),IF(T1394="FAIL",IF(AND(ISNUMBER(K1394),ISNUMBER(L1394),ABS(L1394-(K1394-IF(ISNUMBER(N1394),N1394,0)-IF(ISNUMBER(O1394),O1394,0)+IF(ISNUMBER(P1394),P1394,0)))&lt;=Summary!$B$2),"Passes using beginning_balance - PreV_ETB differs from beginning_balance",IF(AND(ISNUMBER(O1394),O1394&lt;0,ABS(L1394-(Q1394-IF(ISNUMBER(N1394),N1394,0)+IF(ISNUMBER(P1394),P1394,0)))&lt;=Summary!$B$2),"Negative realized loss not applied - check sign",IF(R1394&lt;0,"Principal paid exceeds prior balance",IF(AND(L1394&gt;Q1394,NOT(ISNUMBER(P1394))),"Balance increased but no Deferred_interest reported",IF(L1394&gt;R1394,"Reported balance higher than expected (missing increase/OC build)","Reported balance lower than expected (missing decrease)"))))),""))</f>
        <v/>
      </c>
    </row>
    <row r="1395" customFormat="false" ht="15" hidden="false" customHeight="false" outlineLevel="0" collapsed="false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9"/>
      <c r="L1395" s="9"/>
      <c r="M1395" s="9"/>
      <c r="N1395" s="9"/>
      <c r="O1395" s="9"/>
      <c r="P1395" s="9"/>
      <c r="Q1395" s="9"/>
      <c r="R1395" s="9" t="str">
        <f aca="false">IF(AND(A1395&lt;&gt;"",ISNUMBER(Q1395),ISNUMBER(L1395)),ROUND(Q1395-IF(ISNUMBER(N1395),N1395,0)-IF(ISNUMBER(O1395),O1395,0)+IF(ISNUMBER(P1395),P1395,0),2),"")</f>
        <v/>
      </c>
      <c r="S1395" s="9" t="str">
        <f aca="false">IF(R1395="","",ROUND(L1395-R1395,2))</f>
        <v/>
      </c>
      <c r="T1395" s="8" t="str">
        <f aca="false">IF(A1395="","",IF(S1395="","BYPASS",IF(ABS(S1395)&lt;=Summary!$B$2,"PASS","FAIL")))</f>
        <v/>
      </c>
      <c r="U1395" s="8" t="str">
        <f aca="false">IF(T1395="BYPASS",IF(NOT(ISNUMBER(Q1395)),"PreV_ETB missing","End_tr_balance missing"),IF(T1395="FAIL",IF(AND(ISNUMBER(K1395),ISNUMBER(L1395),ABS(L1395-(K1395-IF(ISNUMBER(N1395),N1395,0)-IF(ISNUMBER(O1395),O1395,0)+IF(ISNUMBER(P1395),P1395,0)))&lt;=Summary!$B$2),"Passes using beginning_balance - PreV_ETB differs from beginning_balance",IF(AND(ISNUMBER(O1395),O1395&lt;0,ABS(L1395-(Q1395-IF(ISNUMBER(N1395),N1395,0)+IF(ISNUMBER(P1395),P1395,0)))&lt;=Summary!$B$2),"Negative realized loss not applied - check sign",IF(R1395&lt;0,"Principal paid exceeds prior balance",IF(AND(L1395&gt;Q1395,NOT(ISNUMBER(P1395))),"Balance increased but no Deferred_interest reported",IF(L1395&gt;R1395,"Reported balance higher than expected (missing increase/OC build)","Reported balance lower than expected (missing decrease)"))))),""))</f>
        <v/>
      </c>
    </row>
    <row r="1396" customFormat="false" ht="15" hidden="false" customHeight="false" outlineLevel="0" collapsed="false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9"/>
      <c r="L1396" s="9"/>
      <c r="M1396" s="9"/>
      <c r="N1396" s="9"/>
      <c r="O1396" s="9"/>
      <c r="P1396" s="9"/>
      <c r="Q1396" s="9"/>
      <c r="R1396" s="9" t="str">
        <f aca="false">IF(AND(A1396&lt;&gt;"",ISNUMBER(Q1396),ISNUMBER(L1396)),ROUND(Q1396-IF(ISNUMBER(N1396),N1396,0)-IF(ISNUMBER(O1396),O1396,0)+IF(ISNUMBER(P1396),P1396,0),2),"")</f>
        <v/>
      </c>
      <c r="S1396" s="9" t="str">
        <f aca="false">IF(R1396="","",ROUND(L1396-R1396,2))</f>
        <v/>
      </c>
      <c r="T1396" s="8" t="str">
        <f aca="false">IF(A1396="","",IF(S1396="","BYPASS",IF(ABS(S1396)&lt;=Summary!$B$2,"PASS","FAIL")))</f>
        <v/>
      </c>
      <c r="U1396" s="8" t="str">
        <f aca="false">IF(T1396="BYPASS",IF(NOT(ISNUMBER(Q1396)),"PreV_ETB missing","End_tr_balance missing"),IF(T1396="FAIL",IF(AND(ISNUMBER(K1396),ISNUMBER(L1396),ABS(L1396-(K1396-IF(ISNUMBER(N1396),N1396,0)-IF(ISNUMBER(O1396),O1396,0)+IF(ISNUMBER(P1396),P1396,0)))&lt;=Summary!$B$2),"Passes using beginning_balance - PreV_ETB differs from beginning_balance",IF(AND(ISNUMBER(O1396),O1396&lt;0,ABS(L1396-(Q1396-IF(ISNUMBER(N1396),N1396,0)+IF(ISNUMBER(P1396),P1396,0)))&lt;=Summary!$B$2),"Negative realized loss not applied - check sign",IF(R1396&lt;0,"Principal paid exceeds prior balance",IF(AND(L1396&gt;Q1396,NOT(ISNUMBER(P1396))),"Balance increased but no Deferred_interest reported",IF(L1396&gt;R1396,"Reported balance higher than expected (missing increase/OC build)","Reported balance lower than expected (missing decrease)"))))),""))</f>
        <v/>
      </c>
    </row>
    <row r="1397" customFormat="false" ht="15" hidden="false" customHeight="false" outlineLevel="0" collapsed="false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9"/>
      <c r="L1397" s="9"/>
      <c r="M1397" s="9"/>
      <c r="N1397" s="9"/>
      <c r="O1397" s="9"/>
      <c r="P1397" s="9"/>
      <c r="Q1397" s="9"/>
      <c r="R1397" s="9" t="str">
        <f aca="false">IF(AND(A1397&lt;&gt;"",ISNUMBER(Q1397),ISNUMBER(L1397)),ROUND(Q1397-IF(ISNUMBER(N1397),N1397,0)-IF(ISNUMBER(O1397),O1397,0)+IF(ISNUMBER(P1397),P1397,0),2),"")</f>
        <v/>
      </c>
      <c r="S1397" s="9" t="str">
        <f aca="false">IF(R1397="","",ROUND(L1397-R1397,2))</f>
        <v/>
      </c>
      <c r="T1397" s="8" t="str">
        <f aca="false">IF(A1397="","",IF(S1397="","BYPASS",IF(ABS(S1397)&lt;=Summary!$B$2,"PASS","FAIL")))</f>
        <v/>
      </c>
      <c r="U1397" s="8" t="str">
        <f aca="false">IF(T1397="BYPASS",IF(NOT(ISNUMBER(Q1397)),"PreV_ETB missing","End_tr_balance missing"),IF(T1397="FAIL",IF(AND(ISNUMBER(K1397),ISNUMBER(L1397),ABS(L1397-(K1397-IF(ISNUMBER(N1397),N1397,0)-IF(ISNUMBER(O1397),O1397,0)+IF(ISNUMBER(P1397),P1397,0)))&lt;=Summary!$B$2),"Passes using beginning_balance - PreV_ETB differs from beginning_balance",IF(AND(ISNUMBER(O1397),O1397&lt;0,ABS(L1397-(Q1397-IF(ISNUMBER(N1397),N1397,0)+IF(ISNUMBER(P1397),P1397,0)))&lt;=Summary!$B$2),"Negative realized loss not applied - check sign",IF(R1397&lt;0,"Principal paid exceeds prior balance",IF(AND(L1397&gt;Q1397,NOT(ISNUMBER(P1397))),"Balance increased but no Deferred_interest reported",IF(L1397&gt;R1397,"Reported balance higher than expected (missing increase/OC build)","Reported balance lower than expected (missing decrease)"))))),""))</f>
        <v/>
      </c>
    </row>
    <row r="1398" customFormat="false" ht="15" hidden="false" customHeight="false" outlineLevel="0" collapsed="false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9"/>
      <c r="L1398" s="9"/>
      <c r="M1398" s="9"/>
      <c r="N1398" s="9"/>
      <c r="O1398" s="9"/>
      <c r="P1398" s="9"/>
      <c r="Q1398" s="9"/>
      <c r="R1398" s="9" t="str">
        <f aca="false">IF(AND(A1398&lt;&gt;"",ISNUMBER(Q1398),ISNUMBER(L1398)),ROUND(Q1398-IF(ISNUMBER(N1398),N1398,0)-IF(ISNUMBER(O1398),O1398,0)+IF(ISNUMBER(P1398),P1398,0),2),"")</f>
        <v/>
      </c>
      <c r="S1398" s="9" t="str">
        <f aca="false">IF(R1398="","",ROUND(L1398-R1398,2))</f>
        <v/>
      </c>
      <c r="T1398" s="8" t="str">
        <f aca="false">IF(A1398="","",IF(S1398="","BYPASS",IF(ABS(S1398)&lt;=Summary!$B$2,"PASS","FAIL")))</f>
        <v/>
      </c>
      <c r="U1398" s="8" t="str">
        <f aca="false">IF(T1398="BYPASS",IF(NOT(ISNUMBER(Q1398)),"PreV_ETB missing","End_tr_balance missing"),IF(T1398="FAIL",IF(AND(ISNUMBER(K1398),ISNUMBER(L1398),ABS(L1398-(K1398-IF(ISNUMBER(N1398),N1398,0)-IF(ISNUMBER(O1398),O1398,0)+IF(ISNUMBER(P1398),P1398,0)))&lt;=Summary!$B$2),"Passes using beginning_balance - PreV_ETB differs from beginning_balance",IF(AND(ISNUMBER(O1398),O1398&lt;0,ABS(L1398-(Q1398-IF(ISNUMBER(N1398),N1398,0)+IF(ISNUMBER(P1398),P1398,0)))&lt;=Summary!$B$2),"Negative realized loss not applied - check sign",IF(R1398&lt;0,"Principal paid exceeds prior balance",IF(AND(L1398&gt;Q1398,NOT(ISNUMBER(P1398))),"Balance increased but no Deferred_interest reported",IF(L1398&gt;R1398,"Reported balance higher than expected (missing increase/OC build)","Reported balance lower than expected (missing decrease)"))))),""))</f>
        <v/>
      </c>
    </row>
    <row r="1399" customFormat="false" ht="15" hidden="false" customHeight="false" outlineLevel="0" collapsed="false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9"/>
      <c r="L1399" s="9"/>
      <c r="M1399" s="9"/>
      <c r="N1399" s="9"/>
      <c r="O1399" s="9"/>
      <c r="P1399" s="9"/>
      <c r="Q1399" s="9"/>
      <c r="R1399" s="9" t="str">
        <f aca="false">IF(AND(A1399&lt;&gt;"",ISNUMBER(Q1399),ISNUMBER(L1399)),ROUND(Q1399-IF(ISNUMBER(N1399),N1399,0)-IF(ISNUMBER(O1399),O1399,0)+IF(ISNUMBER(P1399),P1399,0),2),"")</f>
        <v/>
      </c>
      <c r="S1399" s="9" t="str">
        <f aca="false">IF(R1399="","",ROUND(L1399-R1399,2))</f>
        <v/>
      </c>
      <c r="T1399" s="8" t="str">
        <f aca="false">IF(A1399="","",IF(S1399="","BYPASS",IF(ABS(S1399)&lt;=Summary!$B$2,"PASS","FAIL")))</f>
        <v/>
      </c>
      <c r="U1399" s="8" t="str">
        <f aca="false">IF(T1399="BYPASS",IF(NOT(ISNUMBER(Q1399)),"PreV_ETB missing","End_tr_balance missing"),IF(T1399="FAIL",IF(AND(ISNUMBER(K1399),ISNUMBER(L1399),ABS(L1399-(K1399-IF(ISNUMBER(N1399),N1399,0)-IF(ISNUMBER(O1399),O1399,0)+IF(ISNUMBER(P1399),P1399,0)))&lt;=Summary!$B$2),"Passes using beginning_balance - PreV_ETB differs from beginning_balance",IF(AND(ISNUMBER(O1399),O1399&lt;0,ABS(L1399-(Q1399-IF(ISNUMBER(N1399),N1399,0)+IF(ISNUMBER(P1399),P1399,0)))&lt;=Summary!$B$2),"Negative realized loss not applied - check sign",IF(R1399&lt;0,"Principal paid exceeds prior balance",IF(AND(L1399&gt;Q1399,NOT(ISNUMBER(P1399))),"Balance increased but no Deferred_interest reported",IF(L1399&gt;R1399,"Reported balance higher than expected (missing increase/OC build)","Reported balance lower than expected (missing decrease)"))))),""))</f>
        <v/>
      </c>
    </row>
    <row r="1400" customFormat="false" ht="15" hidden="false" customHeight="false" outlineLevel="0" collapsed="false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9"/>
      <c r="L1400" s="9"/>
      <c r="M1400" s="9"/>
      <c r="N1400" s="9"/>
      <c r="O1400" s="9"/>
      <c r="P1400" s="9"/>
      <c r="Q1400" s="9"/>
      <c r="R1400" s="9" t="str">
        <f aca="false">IF(AND(A1400&lt;&gt;"",ISNUMBER(Q1400),ISNUMBER(L1400)),ROUND(Q1400-IF(ISNUMBER(N1400),N1400,0)-IF(ISNUMBER(O1400),O1400,0)+IF(ISNUMBER(P1400),P1400,0),2),"")</f>
        <v/>
      </c>
      <c r="S1400" s="9" t="str">
        <f aca="false">IF(R1400="","",ROUND(L1400-R1400,2))</f>
        <v/>
      </c>
      <c r="T1400" s="8" t="str">
        <f aca="false">IF(A1400="","",IF(S1400="","BYPASS",IF(ABS(S1400)&lt;=Summary!$B$2,"PASS","FAIL")))</f>
        <v/>
      </c>
      <c r="U1400" s="8" t="str">
        <f aca="false">IF(T1400="BYPASS",IF(NOT(ISNUMBER(Q1400)),"PreV_ETB missing","End_tr_balance missing"),IF(T1400="FAIL",IF(AND(ISNUMBER(K1400),ISNUMBER(L1400),ABS(L1400-(K1400-IF(ISNUMBER(N1400),N1400,0)-IF(ISNUMBER(O1400),O1400,0)+IF(ISNUMBER(P1400),P1400,0)))&lt;=Summary!$B$2),"Passes using beginning_balance - PreV_ETB differs from beginning_balance",IF(AND(ISNUMBER(O1400),O1400&lt;0,ABS(L1400-(Q1400-IF(ISNUMBER(N1400),N1400,0)+IF(ISNUMBER(P1400),P1400,0)))&lt;=Summary!$B$2),"Negative realized loss not applied - check sign",IF(R1400&lt;0,"Principal paid exceeds prior balance",IF(AND(L1400&gt;Q1400,NOT(ISNUMBER(P1400))),"Balance increased but no Deferred_interest reported",IF(L1400&gt;R1400,"Reported balance higher than expected (missing increase/OC build)","Reported balance lower than expected (missing decrease)"))))),""))</f>
        <v/>
      </c>
    </row>
    <row r="1401" customFormat="false" ht="15" hidden="false" customHeight="false" outlineLevel="0" collapsed="false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9"/>
      <c r="L1401" s="9"/>
      <c r="M1401" s="9"/>
      <c r="N1401" s="9"/>
      <c r="O1401" s="9"/>
      <c r="P1401" s="9"/>
      <c r="Q1401" s="9"/>
      <c r="R1401" s="9" t="str">
        <f aca="false">IF(AND(A1401&lt;&gt;"",ISNUMBER(Q1401),ISNUMBER(L1401)),ROUND(Q1401-IF(ISNUMBER(N1401),N1401,0)-IF(ISNUMBER(O1401),O1401,0)+IF(ISNUMBER(P1401),P1401,0),2),"")</f>
        <v/>
      </c>
      <c r="S1401" s="9" t="str">
        <f aca="false">IF(R1401="","",ROUND(L1401-R1401,2))</f>
        <v/>
      </c>
      <c r="T1401" s="8" t="str">
        <f aca="false">IF(A1401="","",IF(S1401="","BYPASS",IF(ABS(S1401)&lt;=Summary!$B$2,"PASS","FAIL")))</f>
        <v/>
      </c>
      <c r="U1401" s="8" t="str">
        <f aca="false">IF(T1401="BYPASS",IF(NOT(ISNUMBER(Q1401)),"PreV_ETB missing","End_tr_balance missing"),IF(T1401="FAIL",IF(AND(ISNUMBER(K1401),ISNUMBER(L1401),ABS(L1401-(K1401-IF(ISNUMBER(N1401),N1401,0)-IF(ISNUMBER(O1401),O1401,0)+IF(ISNUMBER(P1401),P1401,0)))&lt;=Summary!$B$2),"Passes using beginning_balance - PreV_ETB differs from beginning_balance",IF(AND(ISNUMBER(O1401),O1401&lt;0,ABS(L1401-(Q1401-IF(ISNUMBER(N1401),N1401,0)+IF(ISNUMBER(P1401),P1401,0)))&lt;=Summary!$B$2),"Negative realized loss not applied - check sign",IF(R1401&lt;0,"Principal paid exceeds prior balance",IF(AND(L1401&gt;Q1401,NOT(ISNUMBER(P1401))),"Balance increased but no Deferred_interest reported",IF(L1401&gt;R1401,"Reported balance higher than expected (missing increase/OC build)","Reported balance lower than expected (missing decrease)"))))),""))</f>
        <v/>
      </c>
    </row>
    <row r="1402" customFormat="false" ht="15" hidden="false" customHeight="false" outlineLevel="0" collapsed="false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9"/>
      <c r="L1402" s="9"/>
      <c r="M1402" s="9"/>
      <c r="N1402" s="9"/>
      <c r="O1402" s="9"/>
      <c r="P1402" s="9"/>
      <c r="Q1402" s="9"/>
      <c r="R1402" s="9" t="str">
        <f aca="false">IF(AND(A1402&lt;&gt;"",ISNUMBER(Q1402),ISNUMBER(L1402)),ROUND(Q1402-IF(ISNUMBER(N1402),N1402,0)-IF(ISNUMBER(O1402),O1402,0)+IF(ISNUMBER(P1402),P1402,0),2),"")</f>
        <v/>
      </c>
      <c r="S1402" s="9" t="str">
        <f aca="false">IF(R1402="","",ROUND(L1402-R1402,2))</f>
        <v/>
      </c>
      <c r="T1402" s="8" t="str">
        <f aca="false">IF(A1402="","",IF(S1402="","BYPASS",IF(ABS(S1402)&lt;=Summary!$B$2,"PASS","FAIL")))</f>
        <v/>
      </c>
      <c r="U1402" s="8" t="str">
        <f aca="false">IF(T1402="BYPASS",IF(NOT(ISNUMBER(Q1402)),"PreV_ETB missing","End_tr_balance missing"),IF(T1402="FAIL",IF(AND(ISNUMBER(K1402),ISNUMBER(L1402),ABS(L1402-(K1402-IF(ISNUMBER(N1402),N1402,0)-IF(ISNUMBER(O1402),O1402,0)+IF(ISNUMBER(P1402),P1402,0)))&lt;=Summary!$B$2),"Passes using beginning_balance - PreV_ETB differs from beginning_balance",IF(AND(ISNUMBER(O1402),O1402&lt;0,ABS(L1402-(Q1402-IF(ISNUMBER(N1402),N1402,0)+IF(ISNUMBER(P1402),P1402,0)))&lt;=Summary!$B$2),"Negative realized loss not applied - check sign",IF(R1402&lt;0,"Principal paid exceeds prior balance",IF(AND(L1402&gt;Q1402,NOT(ISNUMBER(P1402))),"Balance increased but no Deferred_interest reported",IF(L1402&gt;R1402,"Reported balance higher than expected (missing increase/OC build)","Reported balance lower than expected (missing decrease)"))))),""))</f>
        <v/>
      </c>
    </row>
    <row r="1403" customFormat="false" ht="15" hidden="false" customHeight="false" outlineLevel="0" collapsed="false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9"/>
      <c r="L1403" s="9"/>
      <c r="M1403" s="9"/>
      <c r="N1403" s="9"/>
      <c r="O1403" s="9"/>
      <c r="P1403" s="9"/>
      <c r="Q1403" s="9"/>
      <c r="R1403" s="9" t="str">
        <f aca="false">IF(AND(A1403&lt;&gt;"",ISNUMBER(Q1403),ISNUMBER(L1403)),ROUND(Q1403-IF(ISNUMBER(N1403),N1403,0)-IF(ISNUMBER(O1403),O1403,0)+IF(ISNUMBER(P1403),P1403,0),2),"")</f>
        <v/>
      </c>
      <c r="S1403" s="9" t="str">
        <f aca="false">IF(R1403="","",ROUND(L1403-R1403,2))</f>
        <v/>
      </c>
      <c r="T1403" s="8" t="str">
        <f aca="false">IF(A1403="","",IF(S1403="","BYPASS",IF(ABS(S1403)&lt;=Summary!$B$2,"PASS","FAIL")))</f>
        <v/>
      </c>
      <c r="U1403" s="8" t="str">
        <f aca="false">IF(T1403="BYPASS",IF(NOT(ISNUMBER(Q1403)),"PreV_ETB missing","End_tr_balance missing"),IF(T1403="FAIL",IF(AND(ISNUMBER(K1403),ISNUMBER(L1403),ABS(L1403-(K1403-IF(ISNUMBER(N1403),N1403,0)-IF(ISNUMBER(O1403),O1403,0)+IF(ISNUMBER(P1403),P1403,0)))&lt;=Summary!$B$2),"Passes using beginning_balance - PreV_ETB differs from beginning_balance",IF(AND(ISNUMBER(O1403),O1403&lt;0,ABS(L1403-(Q1403-IF(ISNUMBER(N1403),N1403,0)+IF(ISNUMBER(P1403),P1403,0)))&lt;=Summary!$B$2),"Negative realized loss not applied - check sign",IF(R1403&lt;0,"Principal paid exceeds prior balance",IF(AND(L1403&gt;Q1403,NOT(ISNUMBER(P1403))),"Balance increased but no Deferred_interest reported",IF(L1403&gt;R1403,"Reported balance higher than expected (missing increase/OC build)","Reported balance lower than expected (missing decrease)"))))),""))</f>
        <v/>
      </c>
    </row>
    <row r="1404" customFormat="false" ht="15" hidden="false" customHeight="false" outlineLevel="0" collapsed="false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9"/>
      <c r="L1404" s="9"/>
      <c r="M1404" s="9"/>
      <c r="N1404" s="9"/>
      <c r="O1404" s="9"/>
      <c r="P1404" s="9"/>
      <c r="Q1404" s="9"/>
      <c r="R1404" s="9" t="str">
        <f aca="false">IF(AND(A1404&lt;&gt;"",ISNUMBER(Q1404),ISNUMBER(L1404)),ROUND(Q1404-IF(ISNUMBER(N1404),N1404,0)-IF(ISNUMBER(O1404),O1404,0)+IF(ISNUMBER(P1404),P1404,0),2),"")</f>
        <v/>
      </c>
      <c r="S1404" s="9" t="str">
        <f aca="false">IF(R1404="","",ROUND(L1404-R1404,2))</f>
        <v/>
      </c>
      <c r="T1404" s="8" t="str">
        <f aca="false">IF(A1404="","",IF(S1404="","BYPASS",IF(ABS(S1404)&lt;=Summary!$B$2,"PASS","FAIL")))</f>
        <v/>
      </c>
      <c r="U1404" s="8" t="str">
        <f aca="false">IF(T1404="BYPASS",IF(NOT(ISNUMBER(Q1404)),"PreV_ETB missing","End_tr_balance missing"),IF(T1404="FAIL",IF(AND(ISNUMBER(K1404),ISNUMBER(L1404),ABS(L1404-(K1404-IF(ISNUMBER(N1404),N1404,0)-IF(ISNUMBER(O1404),O1404,0)+IF(ISNUMBER(P1404),P1404,0)))&lt;=Summary!$B$2),"Passes using beginning_balance - PreV_ETB differs from beginning_balance",IF(AND(ISNUMBER(O1404),O1404&lt;0,ABS(L1404-(Q1404-IF(ISNUMBER(N1404),N1404,0)+IF(ISNUMBER(P1404),P1404,0)))&lt;=Summary!$B$2),"Negative realized loss not applied - check sign",IF(R1404&lt;0,"Principal paid exceeds prior balance",IF(AND(L1404&gt;Q1404,NOT(ISNUMBER(P1404))),"Balance increased but no Deferred_interest reported",IF(L1404&gt;R1404,"Reported balance higher than expected (missing increase/OC build)","Reported balance lower than expected (missing decrease)"))))),""))</f>
        <v/>
      </c>
    </row>
    <row r="1405" customFormat="false" ht="15" hidden="false" customHeight="false" outlineLevel="0" collapsed="false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9"/>
      <c r="L1405" s="9"/>
      <c r="M1405" s="9"/>
      <c r="N1405" s="9"/>
      <c r="O1405" s="9"/>
      <c r="P1405" s="9"/>
      <c r="Q1405" s="9"/>
      <c r="R1405" s="9" t="str">
        <f aca="false">IF(AND(A1405&lt;&gt;"",ISNUMBER(Q1405),ISNUMBER(L1405)),ROUND(Q1405-IF(ISNUMBER(N1405),N1405,0)-IF(ISNUMBER(O1405),O1405,0)+IF(ISNUMBER(P1405),P1405,0),2),"")</f>
        <v/>
      </c>
      <c r="S1405" s="9" t="str">
        <f aca="false">IF(R1405="","",ROUND(L1405-R1405,2))</f>
        <v/>
      </c>
      <c r="T1405" s="8" t="str">
        <f aca="false">IF(A1405="","",IF(S1405="","BYPASS",IF(ABS(S1405)&lt;=Summary!$B$2,"PASS","FAIL")))</f>
        <v/>
      </c>
      <c r="U1405" s="8" t="str">
        <f aca="false">IF(T1405="BYPASS",IF(NOT(ISNUMBER(Q1405)),"PreV_ETB missing","End_tr_balance missing"),IF(T1405="FAIL",IF(AND(ISNUMBER(K1405),ISNUMBER(L1405),ABS(L1405-(K1405-IF(ISNUMBER(N1405),N1405,0)-IF(ISNUMBER(O1405),O1405,0)+IF(ISNUMBER(P1405),P1405,0)))&lt;=Summary!$B$2),"Passes using beginning_balance - PreV_ETB differs from beginning_balance",IF(AND(ISNUMBER(O1405),O1405&lt;0,ABS(L1405-(Q1405-IF(ISNUMBER(N1405),N1405,0)+IF(ISNUMBER(P1405),P1405,0)))&lt;=Summary!$B$2),"Negative realized loss not applied - check sign",IF(R1405&lt;0,"Principal paid exceeds prior balance",IF(AND(L1405&gt;Q1405,NOT(ISNUMBER(P1405))),"Balance increased but no Deferred_interest reported",IF(L1405&gt;R1405,"Reported balance higher than expected (missing increase/OC build)","Reported balance lower than expected (missing decrease)"))))),""))</f>
        <v/>
      </c>
    </row>
    <row r="1406" customFormat="false" ht="15" hidden="false" customHeight="false" outlineLevel="0" collapsed="false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9"/>
      <c r="L1406" s="9"/>
      <c r="M1406" s="9"/>
      <c r="N1406" s="9"/>
      <c r="O1406" s="9"/>
      <c r="P1406" s="9"/>
      <c r="Q1406" s="9"/>
      <c r="R1406" s="9" t="str">
        <f aca="false">IF(AND(A1406&lt;&gt;"",ISNUMBER(Q1406),ISNUMBER(L1406)),ROUND(Q1406-IF(ISNUMBER(N1406),N1406,0)-IF(ISNUMBER(O1406),O1406,0)+IF(ISNUMBER(P1406),P1406,0),2),"")</f>
        <v/>
      </c>
      <c r="S1406" s="9" t="str">
        <f aca="false">IF(R1406="","",ROUND(L1406-R1406,2))</f>
        <v/>
      </c>
      <c r="T1406" s="8" t="str">
        <f aca="false">IF(A1406="","",IF(S1406="","BYPASS",IF(ABS(S1406)&lt;=Summary!$B$2,"PASS","FAIL")))</f>
        <v/>
      </c>
      <c r="U1406" s="8" t="str">
        <f aca="false">IF(T1406="BYPASS",IF(NOT(ISNUMBER(Q1406)),"PreV_ETB missing","End_tr_balance missing"),IF(T1406="FAIL",IF(AND(ISNUMBER(K1406),ISNUMBER(L1406),ABS(L1406-(K1406-IF(ISNUMBER(N1406),N1406,0)-IF(ISNUMBER(O1406),O1406,0)+IF(ISNUMBER(P1406),P1406,0)))&lt;=Summary!$B$2),"Passes using beginning_balance - PreV_ETB differs from beginning_balance",IF(AND(ISNUMBER(O1406),O1406&lt;0,ABS(L1406-(Q1406-IF(ISNUMBER(N1406),N1406,0)+IF(ISNUMBER(P1406),P1406,0)))&lt;=Summary!$B$2),"Negative realized loss not applied - check sign",IF(R1406&lt;0,"Principal paid exceeds prior balance",IF(AND(L1406&gt;Q1406,NOT(ISNUMBER(P1406))),"Balance increased but no Deferred_interest reported",IF(L1406&gt;R1406,"Reported balance higher than expected (missing increase/OC build)","Reported balance lower than expected (missing decrease)"))))),""))</f>
        <v/>
      </c>
    </row>
    <row r="1407" customFormat="false" ht="15" hidden="false" customHeight="false" outlineLevel="0" collapsed="false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9"/>
      <c r="L1407" s="9"/>
      <c r="M1407" s="9"/>
      <c r="N1407" s="9"/>
      <c r="O1407" s="9"/>
      <c r="P1407" s="9"/>
      <c r="Q1407" s="9"/>
      <c r="R1407" s="9" t="str">
        <f aca="false">IF(AND(A1407&lt;&gt;"",ISNUMBER(Q1407),ISNUMBER(L1407)),ROUND(Q1407-IF(ISNUMBER(N1407),N1407,0)-IF(ISNUMBER(O1407),O1407,0)+IF(ISNUMBER(P1407),P1407,0),2),"")</f>
        <v/>
      </c>
      <c r="S1407" s="9" t="str">
        <f aca="false">IF(R1407="","",ROUND(L1407-R1407,2))</f>
        <v/>
      </c>
      <c r="T1407" s="8" t="str">
        <f aca="false">IF(A1407="","",IF(S1407="","BYPASS",IF(ABS(S1407)&lt;=Summary!$B$2,"PASS","FAIL")))</f>
        <v/>
      </c>
      <c r="U1407" s="8" t="str">
        <f aca="false">IF(T1407="BYPASS",IF(NOT(ISNUMBER(Q1407)),"PreV_ETB missing","End_tr_balance missing"),IF(T1407="FAIL",IF(AND(ISNUMBER(K1407),ISNUMBER(L1407),ABS(L1407-(K1407-IF(ISNUMBER(N1407),N1407,0)-IF(ISNUMBER(O1407),O1407,0)+IF(ISNUMBER(P1407),P1407,0)))&lt;=Summary!$B$2),"Passes using beginning_balance - PreV_ETB differs from beginning_balance",IF(AND(ISNUMBER(O1407),O1407&lt;0,ABS(L1407-(Q1407-IF(ISNUMBER(N1407),N1407,0)+IF(ISNUMBER(P1407),P1407,0)))&lt;=Summary!$B$2),"Negative realized loss not applied - check sign",IF(R1407&lt;0,"Principal paid exceeds prior balance",IF(AND(L1407&gt;Q1407,NOT(ISNUMBER(P1407))),"Balance increased but no Deferred_interest reported",IF(L1407&gt;R1407,"Reported balance higher than expected (missing increase/OC build)","Reported balance lower than expected (missing decrease)"))))),""))</f>
        <v/>
      </c>
    </row>
    <row r="1408" customFormat="false" ht="15" hidden="false" customHeight="false" outlineLevel="0" collapsed="false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9"/>
      <c r="L1408" s="9"/>
      <c r="M1408" s="9"/>
      <c r="N1408" s="9"/>
      <c r="O1408" s="9"/>
      <c r="P1408" s="9"/>
      <c r="Q1408" s="9"/>
      <c r="R1408" s="9" t="str">
        <f aca="false">IF(AND(A1408&lt;&gt;"",ISNUMBER(Q1408),ISNUMBER(L1408)),ROUND(Q1408-IF(ISNUMBER(N1408),N1408,0)-IF(ISNUMBER(O1408),O1408,0)+IF(ISNUMBER(P1408),P1408,0),2),"")</f>
        <v/>
      </c>
      <c r="S1408" s="9" t="str">
        <f aca="false">IF(R1408="","",ROUND(L1408-R1408,2))</f>
        <v/>
      </c>
      <c r="T1408" s="8" t="str">
        <f aca="false">IF(A1408="","",IF(S1408="","BYPASS",IF(ABS(S1408)&lt;=Summary!$B$2,"PASS","FAIL")))</f>
        <v/>
      </c>
      <c r="U1408" s="8" t="str">
        <f aca="false">IF(T1408="BYPASS",IF(NOT(ISNUMBER(Q1408)),"PreV_ETB missing","End_tr_balance missing"),IF(T1408="FAIL",IF(AND(ISNUMBER(K1408),ISNUMBER(L1408),ABS(L1408-(K1408-IF(ISNUMBER(N1408),N1408,0)-IF(ISNUMBER(O1408),O1408,0)+IF(ISNUMBER(P1408),P1408,0)))&lt;=Summary!$B$2),"Passes using beginning_balance - PreV_ETB differs from beginning_balance",IF(AND(ISNUMBER(O1408),O1408&lt;0,ABS(L1408-(Q1408-IF(ISNUMBER(N1408),N1408,0)+IF(ISNUMBER(P1408),P1408,0)))&lt;=Summary!$B$2),"Negative realized loss not applied - check sign",IF(R1408&lt;0,"Principal paid exceeds prior balance",IF(AND(L1408&gt;Q1408,NOT(ISNUMBER(P1408))),"Balance increased but no Deferred_interest reported",IF(L1408&gt;R1408,"Reported balance higher than expected (missing increase/OC build)","Reported balance lower than expected (missing decrease)"))))),""))</f>
        <v/>
      </c>
    </row>
    <row r="1409" customFormat="false" ht="15" hidden="false" customHeight="false" outlineLevel="0" collapsed="false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9"/>
      <c r="L1409" s="9"/>
      <c r="M1409" s="9"/>
      <c r="N1409" s="9"/>
      <c r="O1409" s="9"/>
      <c r="P1409" s="9"/>
      <c r="Q1409" s="9"/>
      <c r="R1409" s="9" t="str">
        <f aca="false">IF(AND(A1409&lt;&gt;"",ISNUMBER(Q1409),ISNUMBER(L1409)),ROUND(Q1409-IF(ISNUMBER(N1409),N1409,0)-IF(ISNUMBER(O1409),O1409,0)+IF(ISNUMBER(P1409),P1409,0),2),"")</f>
        <v/>
      </c>
      <c r="S1409" s="9" t="str">
        <f aca="false">IF(R1409="","",ROUND(L1409-R1409,2))</f>
        <v/>
      </c>
      <c r="T1409" s="8" t="str">
        <f aca="false">IF(A1409="","",IF(S1409="","BYPASS",IF(ABS(S1409)&lt;=Summary!$B$2,"PASS","FAIL")))</f>
        <v/>
      </c>
      <c r="U1409" s="8" t="str">
        <f aca="false">IF(T1409="BYPASS",IF(NOT(ISNUMBER(Q1409)),"PreV_ETB missing","End_tr_balance missing"),IF(T1409="FAIL",IF(AND(ISNUMBER(K1409),ISNUMBER(L1409),ABS(L1409-(K1409-IF(ISNUMBER(N1409),N1409,0)-IF(ISNUMBER(O1409),O1409,0)+IF(ISNUMBER(P1409),P1409,0)))&lt;=Summary!$B$2),"Passes using beginning_balance - PreV_ETB differs from beginning_balance",IF(AND(ISNUMBER(O1409),O1409&lt;0,ABS(L1409-(Q1409-IF(ISNUMBER(N1409),N1409,0)+IF(ISNUMBER(P1409),P1409,0)))&lt;=Summary!$B$2),"Negative realized loss not applied - check sign",IF(R1409&lt;0,"Principal paid exceeds prior balance",IF(AND(L1409&gt;Q1409,NOT(ISNUMBER(P1409))),"Balance increased but no Deferred_interest reported",IF(L1409&gt;R1409,"Reported balance higher than expected (missing increase/OC build)","Reported balance lower than expected (missing decrease)"))))),""))</f>
        <v/>
      </c>
    </row>
    <row r="1410" customFormat="false" ht="15" hidden="false" customHeight="false" outlineLevel="0" collapsed="false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9"/>
      <c r="L1410" s="9"/>
      <c r="M1410" s="9"/>
      <c r="N1410" s="9"/>
      <c r="O1410" s="9"/>
      <c r="P1410" s="9"/>
      <c r="Q1410" s="9"/>
      <c r="R1410" s="9" t="str">
        <f aca="false">IF(AND(A1410&lt;&gt;"",ISNUMBER(Q1410),ISNUMBER(L1410)),ROUND(Q1410-IF(ISNUMBER(N1410),N1410,0)-IF(ISNUMBER(O1410),O1410,0)+IF(ISNUMBER(P1410),P1410,0),2),"")</f>
        <v/>
      </c>
      <c r="S1410" s="9" t="str">
        <f aca="false">IF(R1410="","",ROUND(L1410-R1410,2))</f>
        <v/>
      </c>
      <c r="T1410" s="8" t="str">
        <f aca="false">IF(A1410="","",IF(S1410="","BYPASS",IF(ABS(S1410)&lt;=Summary!$B$2,"PASS","FAIL")))</f>
        <v/>
      </c>
      <c r="U1410" s="8" t="str">
        <f aca="false">IF(T1410="BYPASS",IF(NOT(ISNUMBER(Q1410)),"PreV_ETB missing","End_tr_balance missing"),IF(T1410="FAIL",IF(AND(ISNUMBER(K1410),ISNUMBER(L1410),ABS(L1410-(K1410-IF(ISNUMBER(N1410),N1410,0)-IF(ISNUMBER(O1410),O1410,0)+IF(ISNUMBER(P1410),P1410,0)))&lt;=Summary!$B$2),"Passes using beginning_balance - PreV_ETB differs from beginning_balance",IF(AND(ISNUMBER(O1410),O1410&lt;0,ABS(L1410-(Q1410-IF(ISNUMBER(N1410),N1410,0)+IF(ISNUMBER(P1410),P1410,0)))&lt;=Summary!$B$2),"Negative realized loss not applied - check sign",IF(R1410&lt;0,"Principal paid exceeds prior balance",IF(AND(L1410&gt;Q1410,NOT(ISNUMBER(P1410))),"Balance increased but no Deferred_interest reported",IF(L1410&gt;R1410,"Reported balance higher than expected (missing increase/OC build)","Reported balance lower than expected (missing decrease)"))))),""))</f>
        <v/>
      </c>
    </row>
    <row r="1411" customFormat="false" ht="15" hidden="false" customHeight="false" outlineLevel="0" collapsed="false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9"/>
      <c r="L1411" s="9"/>
      <c r="M1411" s="9"/>
      <c r="N1411" s="9"/>
      <c r="O1411" s="9"/>
      <c r="P1411" s="9"/>
      <c r="Q1411" s="9"/>
      <c r="R1411" s="9" t="str">
        <f aca="false">IF(AND(A1411&lt;&gt;"",ISNUMBER(Q1411),ISNUMBER(L1411)),ROUND(Q1411-IF(ISNUMBER(N1411),N1411,0)-IF(ISNUMBER(O1411),O1411,0)+IF(ISNUMBER(P1411),P1411,0),2),"")</f>
        <v/>
      </c>
      <c r="S1411" s="9" t="str">
        <f aca="false">IF(R1411="","",ROUND(L1411-R1411,2))</f>
        <v/>
      </c>
      <c r="T1411" s="8" t="str">
        <f aca="false">IF(A1411="","",IF(S1411="","BYPASS",IF(ABS(S1411)&lt;=Summary!$B$2,"PASS","FAIL")))</f>
        <v/>
      </c>
      <c r="U1411" s="8" t="str">
        <f aca="false">IF(T1411="BYPASS",IF(NOT(ISNUMBER(Q1411)),"PreV_ETB missing","End_tr_balance missing"),IF(T1411="FAIL",IF(AND(ISNUMBER(K1411),ISNUMBER(L1411),ABS(L1411-(K1411-IF(ISNUMBER(N1411),N1411,0)-IF(ISNUMBER(O1411),O1411,0)+IF(ISNUMBER(P1411),P1411,0)))&lt;=Summary!$B$2),"Passes using beginning_balance - PreV_ETB differs from beginning_balance",IF(AND(ISNUMBER(O1411),O1411&lt;0,ABS(L1411-(Q1411-IF(ISNUMBER(N1411),N1411,0)+IF(ISNUMBER(P1411),P1411,0)))&lt;=Summary!$B$2),"Negative realized loss not applied - check sign",IF(R1411&lt;0,"Principal paid exceeds prior balance",IF(AND(L1411&gt;Q1411,NOT(ISNUMBER(P1411))),"Balance increased but no Deferred_interest reported",IF(L1411&gt;R1411,"Reported balance higher than expected (missing increase/OC build)","Reported balance lower than expected (missing decrease)"))))),""))</f>
        <v/>
      </c>
    </row>
    <row r="1412" customFormat="false" ht="15" hidden="false" customHeight="false" outlineLevel="0" collapsed="false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9"/>
      <c r="L1412" s="9"/>
      <c r="M1412" s="9"/>
      <c r="N1412" s="9"/>
      <c r="O1412" s="9"/>
      <c r="P1412" s="9"/>
      <c r="Q1412" s="9"/>
      <c r="R1412" s="9" t="str">
        <f aca="false">IF(AND(A1412&lt;&gt;"",ISNUMBER(Q1412),ISNUMBER(L1412)),ROUND(Q1412-IF(ISNUMBER(N1412),N1412,0)-IF(ISNUMBER(O1412),O1412,0)+IF(ISNUMBER(P1412),P1412,0),2),"")</f>
        <v/>
      </c>
      <c r="S1412" s="9" t="str">
        <f aca="false">IF(R1412="","",ROUND(L1412-R1412,2))</f>
        <v/>
      </c>
      <c r="T1412" s="8" t="str">
        <f aca="false">IF(A1412="","",IF(S1412="","BYPASS",IF(ABS(S1412)&lt;=Summary!$B$2,"PASS","FAIL")))</f>
        <v/>
      </c>
      <c r="U1412" s="8" t="str">
        <f aca="false">IF(T1412="BYPASS",IF(NOT(ISNUMBER(Q1412)),"PreV_ETB missing","End_tr_balance missing"),IF(T1412="FAIL",IF(AND(ISNUMBER(K1412),ISNUMBER(L1412),ABS(L1412-(K1412-IF(ISNUMBER(N1412),N1412,0)-IF(ISNUMBER(O1412),O1412,0)+IF(ISNUMBER(P1412),P1412,0)))&lt;=Summary!$B$2),"Passes using beginning_balance - PreV_ETB differs from beginning_balance",IF(AND(ISNUMBER(O1412),O1412&lt;0,ABS(L1412-(Q1412-IF(ISNUMBER(N1412),N1412,0)+IF(ISNUMBER(P1412),P1412,0)))&lt;=Summary!$B$2),"Negative realized loss not applied - check sign",IF(R1412&lt;0,"Principal paid exceeds prior balance",IF(AND(L1412&gt;Q1412,NOT(ISNUMBER(P1412))),"Balance increased but no Deferred_interest reported",IF(L1412&gt;R1412,"Reported balance higher than expected (missing increase/OC build)","Reported balance lower than expected (missing decrease)"))))),""))</f>
        <v/>
      </c>
    </row>
    <row r="1413" customFormat="false" ht="15" hidden="false" customHeight="false" outlineLevel="0" collapsed="false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9"/>
      <c r="L1413" s="9"/>
      <c r="M1413" s="9"/>
      <c r="N1413" s="9"/>
      <c r="O1413" s="9"/>
      <c r="P1413" s="9"/>
      <c r="Q1413" s="9"/>
      <c r="R1413" s="9" t="str">
        <f aca="false">IF(AND(A1413&lt;&gt;"",ISNUMBER(Q1413),ISNUMBER(L1413)),ROUND(Q1413-IF(ISNUMBER(N1413),N1413,0)-IF(ISNUMBER(O1413),O1413,0)+IF(ISNUMBER(P1413),P1413,0),2),"")</f>
        <v/>
      </c>
      <c r="S1413" s="9" t="str">
        <f aca="false">IF(R1413="","",ROUND(L1413-R1413,2))</f>
        <v/>
      </c>
      <c r="T1413" s="8" t="str">
        <f aca="false">IF(A1413="","",IF(S1413="","BYPASS",IF(ABS(S1413)&lt;=Summary!$B$2,"PASS","FAIL")))</f>
        <v/>
      </c>
      <c r="U1413" s="8" t="str">
        <f aca="false">IF(T1413="BYPASS",IF(NOT(ISNUMBER(Q1413)),"PreV_ETB missing","End_tr_balance missing"),IF(T1413="FAIL",IF(AND(ISNUMBER(K1413),ISNUMBER(L1413),ABS(L1413-(K1413-IF(ISNUMBER(N1413),N1413,0)-IF(ISNUMBER(O1413),O1413,0)+IF(ISNUMBER(P1413),P1413,0)))&lt;=Summary!$B$2),"Passes using beginning_balance - PreV_ETB differs from beginning_balance",IF(AND(ISNUMBER(O1413),O1413&lt;0,ABS(L1413-(Q1413-IF(ISNUMBER(N1413),N1413,0)+IF(ISNUMBER(P1413),P1413,0)))&lt;=Summary!$B$2),"Negative realized loss not applied - check sign",IF(R1413&lt;0,"Principal paid exceeds prior balance",IF(AND(L1413&gt;Q1413,NOT(ISNUMBER(P1413))),"Balance increased but no Deferred_interest reported",IF(L1413&gt;R1413,"Reported balance higher than expected (missing increase/OC build)","Reported balance lower than expected (missing decrease)"))))),""))</f>
        <v/>
      </c>
    </row>
    <row r="1414" customFormat="false" ht="15" hidden="false" customHeight="false" outlineLevel="0" collapsed="false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9"/>
      <c r="L1414" s="9"/>
      <c r="M1414" s="9"/>
      <c r="N1414" s="9"/>
      <c r="O1414" s="9"/>
      <c r="P1414" s="9"/>
      <c r="Q1414" s="9"/>
      <c r="R1414" s="9" t="str">
        <f aca="false">IF(AND(A1414&lt;&gt;"",ISNUMBER(Q1414),ISNUMBER(L1414)),ROUND(Q1414-IF(ISNUMBER(N1414),N1414,0)-IF(ISNUMBER(O1414),O1414,0)+IF(ISNUMBER(P1414),P1414,0),2),"")</f>
        <v/>
      </c>
      <c r="S1414" s="9" t="str">
        <f aca="false">IF(R1414="","",ROUND(L1414-R1414,2))</f>
        <v/>
      </c>
      <c r="T1414" s="8" t="str">
        <f aca="false">IF(A1414="","",IF(S1414="","BYPASS",IF(ABS(S1414)&lt;=Summary!$B$2,"PASS","FAIL")))</f>
        <v/>
      </c>
      <c r="U1414" s="8" t="str">
        <f aca="false">IF(T1414="BYPASS",IF(NOT(ISNUMBER(Q1414)),"PreV_ETB missing","End_tr_balance missing"),IF(T1414="FAIL",IF(AND(ISNUMBER(K1414),ISNUMBER(L1414),ABS(L1414-(K1414-IF(ISNUMBER(N1414),N1414,0)-IF(ISNUMBER(O1414),O1414,0)+IF(ISNUMBER(P1414),P1414,0)))&lt;=Summary!$B$2),"Passes using beginning_balance - PreV_ETB differs from beginning_balance",IF(AND(ISNUMBER(O1414),O1414&lt;0,ABS(L1414-(Q1414-IF(ISNUMBER(N1414),N1414,0)+IF(ISNUMBER(P1414),P1414,0)))&lt;=Summary!$B$2),"Negative realized loss not applied - check sign",IF(R1414&lt;0,"Principal paid exceeds prior balance",IF(AND(L1414&gt;Q1414,NOT(ISNUMBER(P1414))),"Balance increased but no Deferred_interest reported",IF(L1414&gt;R1414,"Reported balance higher than expected (missing increase/OC build)","Reported balance lower than expected (missing decrease)"))))),""))</f>
        <v/>
      </c>
    </row>
    <row r="1415" customFormat="false" ht="15" hidden="false" customHeight="false" outlineLevel="0" collapsed="false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9"/>
      <c r="L1415" s="9"/>
      <c r="M1415" s="9"/>
      <c r="N1415" s="9"/>
      <c r="O1415" s="9"/>
      <c r="P1415" s="9"/>
      <c r="Q1415" s="9"/>
      <c r="R1415" s="9" t="str">
        <f aca="false">IF(AND(A1415&lt;&gt;"",ISNUMBER(Q1415),ISNUMBER(L1415)),ROUND(Q1415-IF(ISNUMBER(N1415),N1415,0)-IF(ISNUMBER(O1415),O1415,0)+IF(ISNUMBER(P1415),P1415,0),2),"")</f>
        <v/>
      </c>
      <c r="S1415" s="9" t="str">
        <f aca="false">IF(R1415="","",ROUND(L1415-R1415,2))</f>
        <v/>
      </c>
      <c r="T1415" s="8" t="str">
        <f aca="false">IF(A1415="","",IF(S1415="","BYPASS",IF(ABS(S1415)&lt;=Summary!$B$2,"PASS","FAIL")))</f>
        <v/>
      </c>
      <c r="U1415" s="8" t="str">
        <f aca="false">IF(T1415="BYPASS",IF(NOT(ISNUMBER(Q1415)),"PreV_ETB missing","End_tr_balance missing"),IF(T1415="FAIL",IF(AND(ISNUMBER(K1415),ISNUMBER(L1415),ABS(L1415-(K1415-IF(ISNUMBER(N1415),N1415,0)-IF(ISNUMBER(O1415),O1415,0)+IF(ISNUMBER(P1415),P1415,0)))&lt;=Summary!$B$2),"Passes using beginning_balance - PreV_ETB differs from beginning_balance",IF(AND(ISNUMBER(O1415),O1415&lt;0,ABS(L1415-(Q1415-IF(ISNUMBER(N1415),N1415,0)+IF(ISNUMBER(P1415),P1415,0)))&lt;=Summary!$B$2),"Negative realized loss not applied - check sign",IF(R1415&lt;0,"Principal paid exceeds prior balance",IF(AND(L1415&gt;Q1415,NOT(ISNUMBER(P1415))),"Balance increased but no Deferred_interest reported",IF(L1415&gt;R1415,"Reported balance higher than expected (missing increase/OC build)","Reported balance lower than expected (missing decrease)"))))),""))</f>
        <v/>
      </c>
    </row>
    <row r="1416" customFormat="false" ht="15" hidden="false" customHeight="false" outlineLevel="0" collapsed="false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9"/>
      <c r="L1416" s="9"/>
      <c r="M1416" s="9"/>
      <c r="N1416" s="9"/>
      <c r="O1416" s="9"/>
      <c r="P1416" s="9"/>
      <c r="Q1416" s="9"/>
      <c r="R1416" s="9" t="str">
        <f aca="false">IF(AND(A1416&lt;&gt;"",ISNUMBER(Q1416),ISNUMBER(L1416)),ROUND(Q1416-IF(ISNUMBER(N1416),N1416,0)-IF(ISNUMBER(O1416),O1416,0)+IF(ISNUMBER(P1416),P1416,0),2),"")</f>
        <v/>
      </c>
      <c r="S1416" s="9" t="str">
        <f aca="false">IF(R1416="","",ROUND(L1416-R1416,2))</f>
        <v/>
      </c>
      <c r="T1416" s="8" t="str">
        <f aca="false">IF(A1416="","",IF(S1416="","BYPASS",IF(ABS(S1416)&lt;=Summary!$B$2,"PASS","FAIL")))</f>
        <v/>
      </c>
      <c r="U1416" s="8" t="str">
        <f aca="false">IF(T1416="BYPASS",IF(NOT(ISNUMBER(Q1416)),"PreV_ETB missing","End_tr_balance missing"),IF(T1416="FAIL",IF(AND(ISNUMBER(K1416),ISNUMBER(L1416),ABS(L1416-(K1416-IF(ISNUMBER(N1416),N1416,0)-IF(ISNUMBER(O1416),O1416,0)+IF(ISNUMBER(P1416),P1416,0)))&lt;=Summary!$B$2),"Passes using beginning_balance - PreV_ETB differs from beginning_balance",IF(AND(ISNUMBER(O1416),O1416&lt;0,ABS(L1416-(Q1416-IF(ISNUMBER(N1416),N1416,0)+IF(ISNUMBER(P1416),P1416,0)))&lt;=Summary!$B$2),"Negative realized loss not applied - check sign",IF(R1416&lt;0,"Principal paid exceeds prior balance",IF(AND(L1416&gt;Q1416,NOT(ISNUMBER(P1416))),"Balance increased but no Deferred_interest reported",IF(L1416&gt;R1416,"Reported balance higher than expected (missing increase/OC build)","Reported balance lower than expected (missing decrease)"))))),""))</f>
        <v/>
      </c>
    </row>
    <row r="1417" customFormat="false" ht="15" hidden="false" customHeight="false" outlineLevel="0" collapsed="false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9"/>
      <c r="L1417" s="9"/>
      <c r="M1417" s="9"/>
      <c r="N1417" s="9"/>
      <c r="O1417" s="9"/>
      <c r="P1417" s="9"/>
      <c r="Q1417" s="9"/>
      <c r="R1417" s="9" t="str">
        <f aca="false">IF(AND(A1417&lt;&gt;"",ISNUMBER(Q1417),ISNUMBER(L1417)),ROUND(Q1417-IF(ISNUMBER(N1417),N1417,0)-IF(ISNUMBER(O1417),O1417,0)+IF(ISNUMBER(P1417),P1417,0),2),"")</f>
        <v/>
      </c>
      <c r="S1417" s="9" t="str">
        <f aca="false">IF(R1417="","",ROUND(L1417-R1417,2))</f>
        <v/>
      </c>
      <c r="T1417" s="8" t="str">
        <f aca="false">IF(A1417="","",IF(S1417="","BYPASS",IF(ABS(S1417)&lt;=Summary!$B$2,"PASS","FAIL")))</f>
        <v/>
      </c>
      <c r="U1417" s="8" t="str">
        <f aca="false">IF(T1417="BYPASS",IF(NOT(ISNUMBER(Q1417)),"PreV_ETB missing","End_tr_balance missing"),IF(T1417="FAIL",IF(AND(ISNUMBER(K1417),ISNUMBER(L1417),ABS(L1417-(K1417-IF(ISNUMBER(N1417),N1417,0)-IF(ISNUMBER(O1417),O1417,0)+IF(ISNUMBER(P1417),P1417,0)))&lt;=Summary!$B$2),"Passes using beginning_balance - PreV_ETB differs from beginning_balance",IF(AND(ISNUMBER(O1417),O1417&lt;0,ABS(L1417-(Q1417-IF(ISNUMBER(N1417),N1417,0)+IF(ISNUMBER(P1417),P1417,0)))&lt;=Summary!$B$2),"Negative realized loss not applied - check sign",IF(R1417&lt;0,"Principal paid exceeds prior balance",IF(AND(L1417&gt;Q1417,NOT(ISNUMBER(P1417))),"Balance increased but no Deferred_interest reported",IF(L1417&gt;R1417,"Reported balance higher than expected (missing increase/OC build)","Reported balance lower than expected (missing decrease)"))))),""))</f>
        <v/>
      </c>
    </row>
    <row r="1418" customFormat="false" ht="15" hidden="false" customHeight="false" outlineLevel="0" collapsed="false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9"/>
      <c r="L1418" s="9"/>
      <c r="M1418" s="9"/>
      <c r="N1418" s="9"/>
      <c r="O1418" s="9"/>
      <c r="P1418" s="9"/>
      <c r="Q1418" s="9"/>
      <c r="R1418" s="9" t="str">
        <f aca="false">IF(AND(A1418&lt;&gt;"",ISNUMBER(Q1418),ISNUMBER(L1418)),ROUND(Q1418-IF(ISNUMBER(N1418),N1418,0)-IF(ISNUMBER(O1418),O1418,0)+IF(ISNUMBER(P1418),P1418,0),2),"")</f>
        <v/>
      </c>
      <c r="S1418" s="9" t="str">
        <f aca="false">IF(R1418="","",ROUND(L1418-R1418,2))</f>
        <v/>
      </c>
      <c r="T1418" s="8" t="str">
        <f aca="false">IF(A1418="","",IF(S1418="","BYPASS",IF(ABS(S1418)&lt;=Summary!$B$2,"PASS","FAIL")))</f>
        <v/>
      </c>
      <c r="U1418" s="8" t="str">
        <f aca="false">IF(T1418="BYPASS",IF(NOT(ISNUMBER(Q1418)),"PreV_ETB missing","End_tr_balance missing"),IF(T1418="FAIL",IF(AND(ISNUMBER(K1418),ISNUMBER(L1418),ABS(L1418-(K1418-IF(ISNUMBER(N1418),N1418,0)-IF(ISNUMBER(O1418),O1418,0)+IF(ISNUMBER(P1418),P1418,0)))&lt;=Summary!$B$2),"Passes using beginning_balance - PreV_ETB differs from beginning_balance",IF(AND(ISNUMBER(O1418),O1418&lt;0,ABS(L1418-(Q1418-IF(ISNUMBER(N1418),N1418,0)+IF(ISNUMBER(P1418),P1418,0)))&lt;=Summary!$B$2),"Negative realized loss not applied - check sign",IF(R1418&lt;0,"Principal paid exceeds prior balance",IF(AND(L1418&gt;Q1418,NOT(ISNUMBER(P1418))),"Balance increased but no Deferred_interest reported",IF(L1418&gt;R1418,"Reported balance higher than expected (missing increase/OC build)","Reported balance lower than expected (missing decrease)"))))),""))</f>
        <v/>
      </c>
    </row>
    <row r="1419" customFormat="false" ht="15" hidden="false" customHeight="false" outlineLevel="0" collapsed="false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9"/>
      <c r="L1419" s="9"/>
      <c r="M1419" s="9"/>
      <c r="N1419" s="9"/>
      <c r="O1419" s="9"/>
      <c r="P1419" s="9"/>
      <c r="Q1419" s="9"/>
      <c r="R1419" s="9" t="str">
        <f aca="false">IF(AND(A1419&lt;&gt;"",ISNUMBER(Q1419),ISNUMBER(L1419)),ROUND(Q1419-IF(ISNUMBER(N1419),N1419,0)-IF(ISNUMBER(O1419),O1419,0)+IF(ISNUMBER(P1419),P1419,0),2),"")</f>
        <v/>
      </c>
      <c r="S1419" s="9" t="str">
        <f aca="false">IF(R1419="","",ROUND(L1419-R1419,2))</f>
        <v/>
      </c>
      <c r="T1419" s="8" t="str">
        <f aca="false">IF(A1419="","",IF(S1419="","BYPASS",IF(ABS(S1419)&lt;=Summary!$B$2,"PASS","FAIL")))</f>
        <v/>
      </c>
      <c r="U1419" s="8" t="str">
        <f aca="false">IF(T1419="BYPASS",IF(NOT(ISNUMBER(Q1419)),"PreV_ETB missing","End_tr_balance missing"),IF(T1419="FAIL",IF(AND(ISNUMBER(K1419),ISNUMBER(L1419),ABS(L1419-(K1419-IF(ISNUMBER(N1419),N1419,0)-IF(ISNUMBER(O1419),O1419,0)+IF(ISNUMBER(P1419),P1419,0)))&lt;=Summary!$B$2),"Passes using beginning_balance - PreV_ETB differs from beginning_balance",IF(AND(ISNUMBER(O1419),O1419&lt;0,ABS(L1419-(Q1419-IF(ISNUMBER(N1419),N1419,0)+IF(ISNUMBER(P1419),P1419,0)))&lt;=Summary!$B$2),"Negative realized loss not applied - check sign",IF(R1419&lt;0,"Principal paid exceeds prior balance",IF(AND(L1419&gt;Q1419,NOT(ISNUMBER(P1419))),"Balance increased but no Deferred_interest reported",IF(L1419&gt;R1419,"Reported balance higher than expected (missing increase/OC build)","Reported balance lower than expected (missing decrease)"))))),""))</f>
        <v/>
      </c>
    </row>
    <row r="1420" customFormat="false" ht="15" hidden="false" customHeight="false" outlineLevel="0" collapsed="false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9"/>
      <c r="L1420" s="9"/>
      <c r="M1420" s="9"/>
      <c r="N1420" s="9"/>
      <c r="O1420" s="9"/>
      <c r="P1420" s="9"/>
      <c r="Q1420" s="9"/>
      <c r="R1420" s="9" t="str">
        <f aca="false">IF(AND(A1420&lt;&gt;"",ISNUMBER(Q1420),ISNUMBER(L1420)),ROUND(Q1420-IF(ISNUMBER(N1420),N1420,0)-IF(ISNUMBER(O1420),O1420,0)+IF(ISNUMBER(P1420),P1420,0),2),"")</f>
        <v/>
      </c>
      <c r="S1420" s="9" t="str">
        <f aca="false">IF(R1420="","",ROUND(L1420-R1420,2))</f>
        <v/>
      </c>
      <c r="T1420" s="8" t="str">
        <f aca="false">IF(A1420="","",IF(S1420="","BYPASS",IF(ABS(S1420)&lt;=Summary!$B$2,"PASS","FAIL")))</f>
        <v/>
      </c>
      <c r="U1420" s="8" t="str">
        <f aca="false">IF(T1420="BYPASS",IF(NOT(ISNUMBER(Q1420)),"PreV_ETB missing","End_tr_balance missing"),IF(T1420="FAIL",IF(AND(ISNUMBER(K1420),ISNUMBER(L1420),ABS(L1420-(K1420-IF(ISNUMBER(N1420),N1420,0)-IF(ISNUMBER(O1420),O1420,0)+IF(ISNUMBER(P1420),P1420,0)))&lt;=Summary!$B$2),"Passes using beginning_balance - PreV_ETB differs from beginning_balance",IF(AND(ISNUMBER(O1420),O1420&lt;0,ABS(L1420-(Q1420-IF(ISNUMBER(N1420),N1420,0)+IF(ISNUMBER(P1420),P1420,0)))&lt;=Summary!$B$2),"Negative realized loss not applied - check sign",IF(R1420&lt;0,"Principal paid exceeds prior balance",IF(AND(L1420&gt;Q1420,NOT(ISNUMBER(P1420))),"Balance increased but no Deferred_interest reported",IF(L1420&gt;R1420,"Reported balance higher than expected (missing increase/OC build)","Reported balance lower than expected (missing decrease)"))))),""))</f>
        <v/>
      </c>
    </row>
    <row r="1421" customFormat="false" ht="15" hidden="false" customHeight="false" outlineLevel="0" collapsed="false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9"/>
      <c r="L1421" s="9"/>
      <c r="M1421" s="9"/>
      <c r="N1421" s="9"/>
      <c r="O1421" s="9"/>
      <c r="P1421" s="9"/>
      <c r="Q1421" s="9"/>
      <c r="R1421" s="9" t="str">
        <f aca="false">IF(AND(A1421&lt;&gt;"",ISNUMBER(Q1421),ISNUMBER(L1421)),ROUND(Q1421-IF(ISNUMBER(N1421),N1421,0)-IF(ISNUMBER(O1421),O1421,0)+IF(ISNUMBER(P1421),P1421,0),2),"")</f>
        <v/>
      </c>
      <c r="S1421" s="9" t="str">
        <f aca="false">IF(R1421="","",ROUND(L1421-R1421,2))</f>
        <v/>
      </c>
      <c r="T1421" s="8" t="str">
        <f aca="false">IF(A1421="","",IF(S1421="","BYPASS",IF(ABS(S1421)&lt;=Summary!$B$2,"PASS","FAIL")))</f>
        <v/>
      </c>
      <c r="U1421" s="8" t="str">
        <f aca="false">IF(T1421="BYPASS",IF(NOT(ISNUMBER(Q1421)),"PreV_ETB missing","End_tr_balance missing"),IF(T1421="FAIL",IF(AND(ISNUMBER(K1421),ISNUMBER(L1421),ABS(L1421-(K1421-IF(ISNUMBER(N1421),N1421,0)-IF(ISNUMBER(O1421),O1421,0)+IF(ISNUMBER(P1421),P1421,0)))&lt;=Summary!$B$2),"Passes using beginning_balance - PreV_ETB differs from beginning_balance",IF(AND(ISNUMBER(O1421),O1421&lt;0,ABS(L1421-(Q1421-IF(ISNUMBER(N1421),N1421,0)+IF(ISNUMBER(P1421),P1421,0)))&lt;=Summary!$B$2),"Negative realized loss not applied - check sign",IF(R1421&lt;0,"Principal paid exceeds prior balance",IF(AND(L1421&gt;Q1421,NOT(ISNUMBER(P1421))),"Balance increased but no Deferred_interest reported",IF(L1421&gt;R1421,"Reported balance higher than expected (missing increase/OC build)","Reported balance lower than expected (missing decrease)"))))),""))</f>
        <v/>
      </c>
    </row>
    <row r="1422" customFormat="false" ht="15" hidden="false" customHeight="false" outlineLevel="0" collapsed="false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9"/>
      <c r="L1422" s="9"/>
      <c r="M1422" s="9"/>
      <c r="N1422" s="9"/>
      <c r="O1422" s="9"/>
      <c r="P1422" s="9"/>
      <c r="Q1422" s="9"/>
      <c r="R1422" s="9" t="str">
        <f aca="false">IF(AND(A1422&lt;&gt;"",ISNUMBER(Q1422),ISNUMBER(L1422)),ROUND(Q1422-IF(ISNUMBER(N1422),N1422,0)-IF(ISNUMBER(O1422),O1422,0)+IF(ISNUMBER(P1422),P1422,0),2),"")</f>
        <v/>
      </c>
      <c r="S1422" s="9" t="str">
        <f aca="false">IF(R1422="","",ROUND(L1422-R1422,2))</f>
        <v/>
      </c>
      <c r="T1422" s="8" t="str">
        <f aca="false">IF(A1422="","",IF(S1422="","BYPASS",IF(ABS(S1422)&lt;=Summary!$B$2,"PASS","FAIL")))</f>
        <v/>
      </c>
      <c r="U1422" s="8" t="str">
        <f aca="false">IF(T1422="BYPASS",IF(NOT(ISNUMBER(Q1422)),"PreV_ETB missing","End_tr_balance missing"),IF(T1422="FAIL",IF(AND(ISNUMBER(K1422),ISNUMBER(L1422),ABS(L1422-(K1422-IF(ISNUMBER(N1422),N1422,0)-IF(ISNUMBER(O1422),O1422,0)+IF(ISNUMBER(P1422),P1422,0)))&lt;=Summary!$B$2),"Passes using beginning_balance - PreV_ETB differs from beginning_balance",IF(AND(ISNUMBER(O1422),O1422&lt;0,ABS(L1422-(Q1422-IF(ISNUMBER(N1422),N1422,0)+IF(ISNUMBER(P1422),P1422,0)))&lt;=Summary!$B$2),"Negative realized loss not applied - check sign",IF(R1422&lt;0,"Principal paid exceeds prior balance",IF(AND(L1422&gt;Q1422,NOT(ISNUMBER(P1422))),"Balance increased but no Deferred_interest reported",IF(L1422&gt;R1422,"Reported balance higher than expected (missing increase/OC build)","Reported balance lower than expected (missing decrease)"))))),""))</f>
        <v/>
      </c>
    </row>
    <row r="1423" customFormat="false" ht="15" hidden="false" customHeight="false" outlineLevel="0" collapsed="false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9"/>
      <c r="L1423" s="9"/>
      <c r="M1423" s="9"/>
      <c r="N1423" s="9"/>
      <c r="O1423" s="9"/>
      <c r="P1423" s="9"/>
      <c r="Q1423" s="9"/>
      <c r="R1423" s="9" t="str">
        <f aca="false">IF(AND(A1423&lt;&gt;"",ISNUMBER(Q1423),ISNUMBER(L1423)),ROUND(Q1423-IF(ISNUMBER(N1423),N1423,0)-IF(ISNUMBER(O1423),O1423,0)+IF(ISNUMBER(P1423),P1423,0),2),"")</f>
        <v/>
      </c>
      <c r="S1423" s="9" t="str">
        <f aca="false">IF(R1423="","",ROUND(L1423-R1423,2))</f>
        <v/>
      </c>
      <c r="T1423" s="8" t="str">
        <f aca="false">IF(A1423="","",IF(S1423="","BYPASS",IF(ABS(S1423)&lt;=Summary!$B$2,"PASS","FAIL")))</f>
        <v/>
      </c>
      <c r="U1423" s="8" t="str">
        <f aca="false">IF(T1423="BYPASS",IF(NOT(ISNUMBER(Q1423)),"PreV_ETB missing","End_tr_balance missing"),IF(T1423="FAIL",IF(AND(ISNUMBER(K1423),ISNUMBER(L1423),ABS(L1423-(K1423-IF(ISNUMBER(N1423),N1423,0)-IF(ISNUMBER(O1423),O1423,0)+IF(ISNUMBER(P1423),P1423,0)))&lt;=Summary!$B$2),"Passes using beginning_balance - PreV_ETB differs from beginning_balance",IF(AND(ISNUMBER(O1423),O1423&lt;0,ABS(L1423-(Q1423-IF(ISNUMBER(N1423),N1423,0)+IF(ISNUMBER(P1423),P1423,0)))&lt;=Summary!$B$2),"Negative realized loss not applied - check sign",IF(R1423&lt;0,"Principal paid exceeds prior balance",IF(AND(L1423&gt;Q1423,NOT(ISNUMBER(P1423))),"Balance increased but no Deferred_interest reported",IF(L1423&gt;R1423,"Reported balance higher than expected (missing increase/OC build)","Reported balance lower than expected (missing decrease)"))))),""))</f>
        <v/>
      </c>
    </row>
    <row r="1424" customFormat="false" ht="15" hidden="false" customHeight="false" outlineLevel="0" collapsed="false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9"/>
      <c r="L1424" s="9"/>
      <c r="M1424" s="9"/>
      <c r="N1424" s="9"/>
      <c r="O1424" s="9"/>
      <c r="P1424" s="9"/>
      <c r="Q1424" s="9"/>
      <c r="R1424" s="9" t="str">
        <f aca="false">IF(AND(A1424&lt;&gt;"",ISNUMBER(Q1424),ISNUMBER(L1424)),ROUND(Q1424-IF(ISNUMBER(N1424),N1424,0)-IF(ISNUMBER(O1424),O1424,0)+IF(ISNUMBER(P1424),P1424,0),2),"")</f>
        <v/>
      </c>
      <c r="S1424" s="9" t="str">
        <f aca="false">IF(R1424="","",ROUND(L1424-R1424,2))</f>
        <v/>
      </c>
      <c r="T1424" s="8" t="str">
        <f aca="false">IF(A1424="","",IF(S1424="","BYPASS",IF(ABS(S1424)&lt;=Summary!$B$2,"PASS","FAIL")))</f>
        <v/>
      </c>
      <c r="U1424" s="8" t="str">
        <f aca="false">IF(T1424="BYPASS",IF(NOT(ISNUMBER(Q1424)),"PreV_ETB missing","End_tr_balance missing"),IF(T1424="FAIL",IF(AND(ISNUMBER(K1424),ISNUMBER(L1424),ABS(L1424-(K1424-IF(ISNUMBER(N1424),N1424,0)-IF(ISNUMBER(O1424),O1424,0)+IF(ISNUMBER(P1424),P1424,0)))&lt;=Summary!$B$2),"Passes using beginning_balance - PreV_ETB differs from beginning_balance",IF(AND(ISNUMBER(O1424),O1424&lt;0,ABS(L1424-(Q1424-IF(ISNUMBER(N1424),N1424,0)+IF(ISNUMBER(P1424),P1424,0)))&lt;=Summary!$B$2),"Negative realized loss not applied - check sign",IF(R1424&lt;0,"Principal paid exceeds prior balance",IF(AND(L1424&gt;Q1424,NOT(ISNUMBER(P1424))),"Balance increased but no Deferred_interest reported",IF(L1424&gt;R1424,"Reported balance higher than expected (missing increase/OC build)","Reported balance lower than expected (missing decrease)"))))),""))</f>
        <v/>
      </c>
    </row>
    <row r="1425" customFormat="false" ht="15" hidden="false" customHeight="false" outlineLevel="0" collapsed="false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9"/>
      <c r="L1425" s="9"/>
      <c r="M1425" s="9"/>
      <c r="N1425" s="9"/>
      <c r="O1425" s="9"/>
      <c r="P1425" s="9"/>
      <c r="Q1425" s="9"/>
      <c r="R1425" s="9" t="str">
        <f aca="false">IF(AND(A1425&lt;&gt;"",ISNUMBER(Q1425),ISNUMBER(L1425)),ROUND(Q1425-IF(ISNUMBER(N1425),N1425,0)-IF(ISNUMBER(O1425),O1425,0)+IF(ISNUMBER(P1425),P1425,0),2),"")</f>
        <v/>
      </c>
      <c r="S1425" s="9" t="str">
        <f aca="false">IF(R1425="","",ROUND(L1425-R1425,2))</f>
        <v/>
      </c>
      <c r="T1425" s="8" t="str">
        <f aca="false">IF(A1425="","",IF(S1425="","BYPASS",IF(ABS(S1425)&lt;=Summary!$B$2,"PASS","FAIL")))</f>
        <v/>
      </c>
      <c r="U1425" s="8" t="str">
        <f aca="false">IF(T1425="BYPASS",IF(NOT(ISNUMBER(Q1425)),"PreV_ETB missing","End_tr_balance missing"),IF(T1425="FAIL",IF(AND(ISNUMBER(K1425),ISNUMBER(L1425),ABS(L1425-(K1425-IF(ISNUMBER(N1425),N1425,0)-IF(ISNUMBER(O1425),O1425,0)+IF(ISNUMBER(P1425),P1425,0)))&lt;=Summary!$B$2),"Passes using beginning_balance - PreV_ETB differs from beginning_balance",IF(AND(ISNUMBER(O1425),O1425&lt;0,ABS(L1425-(Q1425-IF(ISNUMBER(N1425),N1425,0)+IF(ISNUMBER(P1425),P1425,0)))&lt;=Summary!$B$2),"Negative realized loss not applied - check sign",IF(R1425&lt;0,"Principal paid exceeds prior balance",IF(AND(L1425&gt;Q1425,NOT(ISNUMBER(P1425))),"Balance increased but no Deferred_interest reported",IF(L1425&gt;R1425,"Reported balance higher than expected (missing increase/OC build)","Reported balance lower than expected (missing decrease)"))))),""))</f>
        <v/>
      </c>
    </row>
    <row r="1426" customFormat="false" ht="15" hidden="false" customHeight="false" outlineLevel="0" collapsed="false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9"/>
      <c r="L1426" s="9"/>
      <c r="M1426" s="9"/>
      <c r="N1426" s="9"/>
      <c r="O1426" s="9"/>
      <c r="P1426" s="9"/>
      <c r="Q1426" s="9"/>
      <c r="R1426" s="9" t="str">
        <f aca="false">IF(AND(A1426&lt;&gt;"",ISNUMBER(Q1426),ISNUMBER(L1426)),ROUND(Q1426-IF(ISNUMBER(N1426),N1426,0)-IF(ISNUMBER(O1426),O1426,0)+IF(ISNUMBER(P1426),P1426,0),2),"")</f>
        <v/>
      </c>
      <c r="S1426" s="9" t="str">
        <f aca="false">IF(R1426="","",ROUND(L1426-R1426,2))</f>
        <v/>
      </c>
      <c r="T1426" s="8" t="str">
        <f aca="false">IF(A1426="","",IF(S1426="","BYPASS",IF(ABS(S1426)&lt;=Summary!$B$2,"PASS","FAIL")))</f>
        <v/>
      </c>
      <c r="U1426" s="8" t="str">
        <f aca="false">IF(T1426="BYPASS",IF(NOT(ISNUMBER(Q1426)),"PreV_ETB missing","End_tr_balance missing"),IF(T1426="FAIL",IF(AND(ISNUMBER(K1426),ISNUMBER(L1426),ABS(L1426-(K1426-IF(ISNUMBER(N1426),N1426,0)-IF(ISNUMBER(O1426),O1426,0)+IF(ISNUMBER(P1426),P1426,0)))&lt;=Summary!$B$2),"Passes using beginning_balance - PreV_ETB differs from beginning_balance",IF(AND(ISNUMBER(O1426),O1426&lt;0,ABS(L1426-(Q1426-IF(ISNUMBER(N1426),N1426,0)+IF(ISNUMBER(P1426),P1426,0)))&lt;=Summary!$B$2),"Negative realized loss not applied - check sign",IF(R1426&lt;0,"Principal paid exceeds prior balance",IF(AND(L1426&gt;Q1426,NOT(ISNUMBER(P1426))),"Balance increased but no Deferred_interest reported",IF(L1426&gt;R1426,"Reported balance higher than expected (missing increase/OC build)","Reported balance lower than expected (missing decrease)"))))),""))</f>
        <v/>
      </c>
    </row>
    <row r="1427" customFormat="false" ht="15" hidden="false" customHeight="false" outlineLevel="0" collapsed="false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9"/>
      <c r="L1427" s="9"/>
      <c r="M1427" s="9"/>
      <c r="N1427" s="9"/>
      <c r="O1427" s="9"/>
      <c r="P1427" s="9"/>
      <c r="Q1427" s="9"/>
      <c r="R1427" s="9" t="str">
        <f aca="false">IF(AND(A1427&lt;&gt;"",ISNUMBER(Q1427),ISNUMBER(L1427)),ROUND(Q1427-IF(ISNUMBER(N1427),N1427,0)-IF(ISNUMBER(O1427),O1427,0)+IF(ISNUMBER(P1427),P1427,0),2),"")</f>
        <v/>
      </c>
      <c r="S1427" s="9" t="str">
        <f aca="false">IF(R1427="","",ROUND(L1427-R1427,2))</f>
        <v/>
      </c>
      <c r="T1427" s="8" t="str">
        <f aca="false">IF(A1427="","",IF(S1427="","BYPASS",IF(ABS(S1427)&lt;=Summary!$B$2,"PASS","FAIL")))</f>
        <v/>
      </c>
      <c r="U1427" s="8" t="str">
        <f aca="false">IF(T1427="BYPASS",IF(NOT(ISNUMBER(Q1427)),"PreV_ETB missing","End_tr_balance missing"),IF(T1427="FAIL",IF(AND(ISNUMBER(K1427),ISNUMBER(L1427),ABS(L1427-(K1427-IF(ISNUMBER(N1427),N1427,0)-IF(ISNUMBER(O1427),O1427,0)+IF(ISNUMBER(P1427),P1427,0)))&lt;=Summary!$B$2),"Passes using beginning_balance - PreV_ETB differs from beginning_balance",IF(AND(ISNUMBER(O1427),O1427&lt;0,ABS(L1427-(Q1427-IF(ISNUMBER(N1427),N1427,0)+IF(ISNUMBER(P1427),P1427,0)))&lt;=Summary!$B$2),"Negative realized loss not applied - check sign",IF(R1427&lt;0,"Principal paid exceeds prior balance",IF(AND(L1427&gt;Q1427,NOT(ISNUMBER(P1427))),"Balance increased but no Deferred_interest reported",IF(L1427&gt;R1427,"Reported balance higher than expected (missing increase/OC build)","Reported balance lower than expected (missing decrease)"))))),""))</f>
        <v/>
      </c>
    </row>
    <row r="1428" customFormat="false" ht="15" hidden="false" customHeight="false" outlineLevel="0" collapsed="false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9"/>
      <c r="L1428" s="9"/>
      <c r="M1428" s="9"/>
      <c r="N1428" s="9"/>
      <c r="O1428" s="9"/>
      <c r="P1428" s="9"/>
      <c r="Q1428" s="9"/>
      <c r="R1428" s="9" t="str">
        <f aca="false">IF(AND(A1428&lt;&gt;"",ISNUMBER(Q1428),ISNUMBER(L1428)),ROUND(Q1428-IF(ISNUMBER(N1428),N1428,0)-IF(ISNUMBER(O1428),O1428,0)+IF(ISNUMBER(P1428),P1428,0),2),"")</f>
        <v/>
      </c>
      <c r="S1428" s="9" t="str">
        <f aca="false">IF(R1428="","",ROUND(L1428-R1428,2))</f>
        <v/>
      </c>
      <c r="T1428" s="8" t="str">
        <f aca="false">IF(A1428="","",IF(S1428="","BYPASS",IF(ABS(S1428)&lt;=Summary!$B$2,"PASS","FAIL")))</f>
        <v/>
      </c>
      <c r="U1428" s="8" t="str">
        <f aca="false">IF(T1428="BYPASS",IF(NOT(ISNUMBER(Q1428)),"PreV_ETB missing","End_tr_balance missing"),IF(T1428="FAIL",IF(AND(ISNUMBER(K1428),ISNUMBER(L1428),ABS(L1428-(K1428-IF(ISNUMBER(N1428),N1428,0)-IF(ISNUMBER(O1428),O1428,0)+IF(ISNUMBER(P1428),P1428,0)))&lt;=Summary!$B$2),"Passes using beginning_balance - PreV_ETB differs from beginning_balance",IF(AND(ISNUMBER(O1428),O1428&lt;0,ABS(L1428-(Q1428-IF(ISNUMBER(N1428),N1428,0)+IF(ISNUMBER(P1428),P1428,0)))&lt;=Summary!$B$2),"Negative realized loss not applied - check sign",IF(R1428&lt;0,"Principal paid exceeds prior balance",IF(AND(L1428&gt;Q1428,NOT(ISNUMBER(P1428))),"Balance increased but no Deferred_interest reported",IF(L1428&gt;R1428,"Reported balance higher than expected (missing increase/OC build)","Reported balance lower than expected (missing decrease)"))))),""))</f>
        <v/>
      </c>
    </row>
    <row r="1429" customFormat="false" ht="15" hidden="false" customHeight="false" outlineLevel="0" collapsed="false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9"/>
      <c r="L1429" s="9"/>
      <c r="M1429" s="9"/>
      <c r="N1429" s="9"/>
      <c r="O1429" s="9"/>
      <c r="P1429" s="9"/>
      <c r="Q1429" s="9"/>
      <c r="R1429" s="9" t="str">
        <f aca="false">IF(AND(A1429&lt;&gt;"",ISNUMBER(Q1429),ISNUMBER(L1429)),ROUND(Q1429-IF(ISNUMBER(N1429),N1429,0)-IF(ISNUMBER(O1429),O1429,0)+IF(ISNUMBER(P1429),P1429,0),2),"")</f>
        <v/>
      </c>
      <c r="S1429" s="9" t="str">
        <f aca="false">IF(R1429="","",ROUND(L1429-R1429,2))</f>
        <v/>
      </c>
      <c r="T1429" s="8" t="str">
        <f aca="false">IF(A1429="","",IF(S1429="","BYPASS",IF(ABS(S1429)&lt;=Summary!$B$2,"PASS","FAIL")))</f>
        <v/>
      </c>
      <c r="U1429" s="8" t="str">
        <f aca="false">IF(T1429="BYPASS",IF(NOT(ISNUMBER(Q1429)),"PreV_ETB missing","End_tr_balance missing"),IF(T1429="FAIL",IF(AND(ISNUMBER(K1429),ISNUMBER(L1429),ABS(L1429-(K1429-IF(ISNUMBER(N1429),N1429,0)-IF(ISNUMBER(O1429),O1429,0)+IF(ISNUMBER(P1429),P1429,0)))&lt;=Summary!$B$2),"Passes using beginning_balance - PreV_ETB differs from beginning_balance",IF(AND(ISNUMBER(O1429),O1429&lt;0,ABS(L1429-(Q1429-IF(ISNUMBER(N1429),N1429,0)+IF(ISNUMBER(P1429),P1429,0)))&lt;=Summary!$B$2),"Negative realized loss not applied - check sign",IF(R1429&lt;0,"Principal paid exceeds prior balance",IF(AND(L1429&gt;Q1429,NOT(ISNUMBER(P1429))),"Balance increased but no Deferred_interest reported",IF(L1429&gt;R1429,"Reported balance higher than expected (missing increase/OC build)","Reported balance lower than expected (missing decrease)"))))),""))</f>
        <v/>
      </c>
    </row>
    <row r="1430" customFormat="false" ht="15" hidden="false" customHeight="false" outlineLevel="0" collapsed="false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9"/>
      <c r="L1430" s="9"/>
      <c r="M1430" s="9"/>
      <c r="N1430" s="9"/>
      <c r="O1430" s="9"/>
      <c r="P1430" s="9"/>
      <c r="Q1430" s="9"/>
      <c r="R1430" s="9" t="str">
        <f aca="false">IF(AND(A1430&lt;&gt;"",ISNUMBER(Q1430),ISNUMBER(L1430)),ROUND(Q1430-IF(ISNUMBER(N1430),N1430,0)-IF(ISNUMBER(O1430),O1430,0)+IF(ISNUMBER(P1430),P1430,0),2),"")</f>
        <v/>
      </c>
      <c r="S1430" s="9" t="str">
        <f aca="false">IF(R1430="","",ROUND(L1430-R1430,2))</f>
        <v/>
      </c>
      <c r="T1430" s="8" t="str">
        <f aca="false">IF(A1430="","",IF(S1430="","BYPASS",IF(ABS(S1430)&lt;=Summary!$B$2,"PASS","FAIL")))</f>
        <v/>
      </c>
      <c r="U1430" s="8" t="str">
        <f aca="false">IF(T1430="BYPASS",IF(NOT(ISNUMBER(Q1430)),"PreV_ETB missing","End_tr_balance missing"),IF(T1430="FAIL",IF(AND(ISNUMBER(K1430),ISNUMBER(L1430),ABS(L1430-(K1430-IF(ISNUMBER(N1430),N1430,0)-IF(ISNUMBER(O1430),O1430,0)+IF(ISNUMBER(P1430),P1430,0)))&lt;=Summary!$B$2),"Passes using beginning_balance - PreV_ETB differs from beginning_balance",IF(AND(ISNUMBER(O1430),O1430&lt;0,ABS(L1430-(Q1430-IF(ISNUMBER(N1430),N1430,0)+IF(ISNUMBER(P1430),P1430,0)))&lt;=Summary!$B$2),"Negative realized loss not applied - check sign",IF(R1430&lt;0,"Principal paid exceeds prior balance",IF(AND(L1430&gt;Q1430,NOT(ISNUMBER(P1430))),"Balance increased but no Deferred_interest reported",IF(L1430&gt;R1430,"Reported balance higher than expected (missing increase/OC build)","Reported balance lower than expected (missing decrease)"))))),""))</f>
        <v/>
      </c>
    </row>
    <row r="1431" customFormat="false" ht="15" hidden="false" customHeight="false" outlineLevel="0" collapsed="false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9"/>
      <c r="L1431" s="9"/>
      <c r="M1431" s="9"/>
      <c r="N1431" s="9"/>
      <c r="O1431" s="9"/>
      <c r="P1431" s="9"/>
      <c r="Q1431" s="9"/>
      <c r="R1431" s="9" t="str">
        <f aca="false">IF(AND(A1431&lt;&gt;"",ISNUMBER(Q1431),ISNUMBER(L1431)),ROUND(Q1431-IF(ISNUMBER(N1431),N1431,0)-IF(ISNUMBER(O1431),O1431,0)+IF(ISNUMBER(P1431),P1431,0),2),"")</f>
        <v/>
      </c>
      <c r="S1431" s="9" t="str">
        <f aca="false">IF(R1431="","",ROUND(L1431-R1431,2))</f>
        <v/>
      </c>
      <c r="T1431" s="8" t="str">
        <f aca="false">IF(A1431="","",IF(S1431="","BYPASS",IF(ABS(S1431)&lt;=Summary!$B$2,"PASS","FAIL")))</f>
        <v/>
      </c>
      <c r="U1431" s="8" t="str">
        <f aca="false">IF(T1431="BYPASS",IF(NOT(ISNUMBER(Q1431)),"PreV_ETB missing","End_tr_balance missing"),IF(T1431="FAIL",IF(AND(ISNUMBER(K1431),ISNUMBER(L1431),ABS(L1431-(K1431-IF(ISNUMBER(N1431),N1431,0)-IF(ISNUMBER(O1431),O1431,0)+IF(ISNUMBER(P1431),P1431,0)))&lt;=Summary!$B$2),"Passes using beginning_balance - PreV_ETB differs from beginning_balance",IF(AND(ISNUMBER(O1431),O1431&lt;0,ABS(L1431-(Q1431-IF(ISNUMBER(N1431),N1431,0)+IF(ISNUMBER(P1431),P1431,0)))&lt;=Summary!$B$2),"Negative realized loss not applied - check sign",IF(R1431&lt;0,"Principal paid exceeds prior balance",IF(AND(L1431&gt;Q1431,NOT(ISNUMBER(P1431))),"Balance increased but no Deferred_interest reported",IF(L1431&gt;R1431,"Reported balance higher than expected (missing increase/OC build)","Reported balance lower than expected (missing decrease)"))))),""))</f>
        <v/>
      </c>
    </row>
    <row r="1432" customFormat="false" ht="15" hidden="false" customHeight="false" outlineLevel="0" collapsed="false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9"/>
      <c r="L1432" s="9"/>
      <c r="M1432" s="9"/>
      <c r="N1432" s="9"/>
      <c r="O1432" s="9"/>
      <c r="P1432" s="9"/>
      <c r="Q1432" s="9"/>
      <c r="R1432" s="9" t="str">
        <f aca="false">IF(AND(A1432&lt;&gt;"",ISNUMBER(Q1432),ISNUMBER(L1432)),ROUND(Q1432-IF(ISNUMBER(N1432),N1432,0)-IF(ISNUMBER(O1432),O1432,0)+IF(ISNUMBER(P1432),P1432,0),2),"")</f>
        <v/>
      </c>
      <c r="S1432" s="9" t="str">
        <f aca="false">IF(R1432="","",ROUND(L1432-R1432,2))</f>
        <v/>
      </c>
      <c r="T1432" s="8" t="str">
        <f aca="false">IF(A1432="","",IF(S1432="","BYPASS",IF(ABS(S1432)&lt;=Summary!$B$2,"PASS","FAIL")))</f>
        <v/>
      </c>
      <c r="U1432" s="8" t="str">
        <f aca="false">IF(T1432="BYPASS",IF(NOT(ISNUMBER(Q1432)),"PreV_ETB missing","End_tr_balance missing"),IF(T1432="FAIL",IF(AND(ISNUMBER(K1432),ISNUMBER(L1432),ABS(L1432-(K1432-IF(ISNUMBER(N1432),N1432,0)-IF(ISNUMBER(O1432),O1432,0)+IF(ISNUMBER(P1432),P1432,0)))&lt;=Summary!$B$2),"Passes using beginning_balance - PreV_ETB differs from beginning_balance",IF(AND(ISNUMBER(O1432),O1432&lt;0,ABS(L1432-(Q1432-IF(ISNUMBER(N1432),N1432,0)+IF(ISNUMBER(P1432),P1432,0)))&lt;=Summary!$B$2),"Negative realized loss not applied - check sign",IF(R1432&lt;0,"Principal paid exceeds prior balance",IF(AND(L1432&gt;Q1432,NOT(ISNUMBER(P1432))),"Balance increased but no Deferred_interest reported",IF(L1432&gt;R1432,"Reported balance higher than expected (missing increase/OC build)","Reported balance lower than expected (missing decrease)"))))),""))</f>
        <v/>
      </c>
    </row>
    <row r="1433" customFormat="false" ht="15" hidden="false" customHeight="false" outlineLevel="0" collapsed="false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9"/>
      <c r="L1433" s="9"/>
      <c r="M1433" s="9"/>
      <c r="N1433" s="9"/>
      <c r="O1433" s="9"/>
      <c r="P1433" s="9"/>
      <c r="Q1433" s="9"/>
      <c r="R1433" s="9" t="str">
        <f aca="false">IF(AND(A1433&lt;&gt;"",ISNUMBER(Q1433),ISNUMBER(L1433)),ROUND(Q1433-IF(ISNUMBER(N1433),N1433,0)-IF(ISNUMBER(O1433),O1433,0)+IF(ISNUMBER(P1433),P1433,0),2),"")</f>
        <v/>
      </c>
      <c r="S1433" s="9" t="str">
        <f aca="false">IF(R1433="","",ROUND(L1433-R1433,2))</f>
        <v/>
      </c>
      <c r="T1433" s="8" t="str">
        <f aca="false">IF(A1433="","",IF(S1433="","BYPASS",IF(ABS(S1433)&lt;=Summary!$B$2,"PASS","FAIL")))</f>
        <v/>
      </c>
      <c r="U1433" s="8" t="str">
        <f aca="false">IF(T1433="BYPASS",IF(NOT(ISNUMBER(Q1433)),"PreV_ETB missing","End_tr_balance missing"),IF(T1433="FAIL",IF(AND(ISNUMBER(K1433),ISNUMBER(L1433),ABS(L1433-(K1433-IF(ISNUMBER(N1433),N1433,0)-IF(ISNUMBER(O1433),O1433,0)+IF(ISNUMBER(P1433),P1433,0)))&lt;=Summary!$B$2),"Passes using beginning_balance - PreV_ETB differs from beginning_balance",IF(AND(ISNUMBER(O1433),O1433&lt;0,ABS(L1433-(Q1433-IF(ISNUMBER(N1433),N1433,0)+IF(ISNUMBER(P1433),P1433,0)))&lt;=Summary!$B$2),"Negative realized loss not applied - check sign",IF(R1433&lt;0,"Principal paid exceeds prior balance",IF(AND(L1433&gt;Q1433,NOT(ISNUMBER(P1433))),"Balance increased but no Deferred_interest reported",IF(L1433&gt;R1433,"Reported balance higher than expected (missing increase/OC build)","Reported balance lower than expected (missing decrease)"))))),""))</f>
        <v/>
      </c>
    </row>
    <row r="1434" customFormat="false" ht="15" hidden="false" customHeight="false" outlineLevel="0" collapsed="false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9"/>
      <c r="L1434" s="9"/>
      <c r="M1434" s="9"/>
      <c r="N1434" s="9"/>
      <c r="O1434" s="9"/>
      <c r="P1434" s="9"/>
      <c r="Q1434" s="9"/>
      <c r="R1434" s="9" t="str">
        <f aca="false">IF(AND(A1434&lt;&gt;"",ISNUMBER(Q1434),ISNUMBER(L1434)),ROUND(Q1434-IF(ISNUMBER(N1434),N1434,0)-IF(ISNUMBER(O1434),O1434,0)+IF(ISNUMBER(P1434),P1434,0),2),"")</f>
        <v/>
      </c>
      <c r="S1434" s="9" t="str">
        <f aca="false">IF(R1434="","",ROUND(L1434-R1434,2))</f>
        <v/>
      </c>
      <c r="T1434" s="8" t="str">
        <f aca="false">IF(A1434="","",IF(S1434="","BYPASS",IF(ABS(S1434)&lt;=Summary!$B$2,"PASS","FAIL")))</f>
        <v/>
      </c>
      <c r="U1434" s="8" t="str">
        <f aca="false">IF(T1434="BYPASS",IF(NOT(ISNUMBER(Q1434)),"PreV_ETB missing","End_tr_balance missing"),IF(T1434="FAIL",IF(AND(ISNUMBER(K1434),ISNUMBER(L1434),ABS(L1434-(K1434-IF(ISNUMBER(N1434),N1434,0)-IF(ISNUMBER(O1434),O1434,0)+IF(ISNUMBER(P1434),P1434,0)))&lt;=Summary!$B$2),"Passes using beginning_balance - PreV_ETB differs from beginning_balance",IF(AND(ISNUMBER(O1434),O1434&lt;0,ABS(L1434-(Q1434-IF(ISNUMBER(N1434),N1434,0)+IF(ISNUMBER(P1434),P1434,0)))&lt;=Summary!$B$2),"Negative realized loss not applied - check sign",IF(R1434&lt;0,"Principal paid exceeds prior balance",IF(AND(L1434&gt;Q1434,NOT(ISNUMBER(P1434))),"Balance increased but no Deferred_interest reported",IF(L1434&gt;R1434,"Reported balance higher than expected (missing increase/OC build)","Reported balance lower than expected (missing decrease)"))))),""))</f>
        <v/>
      </c>
    </row>
    <row r="1435" customFormat="false" ht="15" hidden="false" customHeight="false" outlineLevel="0" collapsed="false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9"/>
      <c r="L1435" s="9"/>
      <c r="M1435" s="9"/>
      <c r="N1435" s="9"/>
      <c r="O1435" s="9"/>
      <c r="P1435" s="9"/>
      <c r="Q1435" s="9"/>
      <c r="R1435" s="9" t="str">
        <f aca="false">IF(AND(A1435&lt;&gt;"",ISNUMBER(Q1435),ISNUMBER(L1435)),ROUND(Q1435-IF(ISNUMBER(N1435),N1435,0)-IF(ISNUMBER(O1435),O1435,0)+IF(ISNUMBER(P1435),P1435,0),2),"")</f>
        <v/>
      </c>
      <c r="S1435" s="9" t="str">
        <f aca="false">IF(R1435="","",ROUND(L1435-R1435,2))</f>
        <v/>
      </c>
      <c r="T1435" s="8" t="str">
        <f aca="false">IF(A1435="","",IF(S1435="","BYPASS",IF(ABS(S1435)&lt;=Summary!$B$2,"PASS","FAIL")))</f>
        <v/>
      </c>
      <c r="U1435" s="8" t="str">
        <f aca="false">IF(T1435="BYPASS",IF(NOT(ISNUMBER(Q1435)),"PreV_ETB missing","End_tr_balance missing"),IF(T1435="FAIL",IF(AND(ISNUMBER(K1435),ISNUMBER(L1435),ABS(L1435-(K1435-IF(ISNUMBER(N1435),N1435,0)-IF(ISNUMBER(O1435),O1435,0)+IF(ISNUMBER(P1435),P1435,0)))&lt;=Summary!$B$2),"Passes using beginning_balance - PreV_ETB differs from beginning_balance",IF(AND(ISNUMBER(O1435),O1435&lt;0,ABS(L1435-(Q1435-IF(ISNUMBER(N1435),N1435,0)+IF(ISNUMBER(P1435),P1435,0)))&lt;=Summary!$B$2),"Negative realized loss not applied - check sign",IF(R1435&lt;0,"Principal paid exceeds prior balance",IF(AND(L1435&gt;Q1435,NOT(ISNUMBER(P1435))),"Balance increased but no Deferred_interest reported",IF(L1435&gt;R1435,"Reported balance higher than expected (missing increase/OC build)","Reported balance lower than expected (missing decrease)"))))),""))</f>
        <v/>
      </c>
    </row>
    <row r="1436" customFormat="false" ht="15" hidden="false" customHeight="false" outlineLevel="0" collapsed="false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9"/>
      <c r="L1436" s="9"/>
      <c r="M1436" s="9"/>
      <c r="N1436" s="9"/>
      <c r="O1436" s="9"/>
      <c r="P1436" s="9"/>
      <c r="Q1436" s="9"/>
      <c r="R1436" s="9" t="str">
        <f aca="false">IF(AND(A1436&lt;&gt;"",ISNUMBER(Q1436),ISNUMBER(L1436)),ROUND(Q1436-IF(ISNUMBER(N1436),N1436,0)-IF(ISNUMBER(O1436),O1436,0)+IF(ISNUMBER(P1436),P1436,0),2),"")</f>
        <v/>
      </c>
      <c r="S1436" s="9" t="str">
        <f aca="false">IF(R1436="","",ROUND(L1436-R1436,2))</f>
        <v/>
      </c>
      <c r="T1436" s="8" t="str">
        <f aca="false">IF(A1436="","",IF(S1436="","BYPASS",IF(ABS(S1436)&lt;=Summary!$B$2,"PASS","FAIL")))</f>
        <v/>
      </c>
      <c r="U1436" s="8" t="str">
        <f aca="false">IF(T1436="BYPASS",IF(NOT(ISNUMBER(Q1436)),"PreV_ETB missing","End_tr_balance missing"),IF(T1436="FAIL",IF(AND(ISNUMBER(K1436),ISNUMBER(L1436),ABS(L1436-(K1436-IF(ISNUMBER(N1436),N1436,0)-IF(ISNUMBER(O1436),O1436,0)+IF(ISNUMBER(P1436),P1436,0)))&lt;=Summary!$B$2),"Passes using beginning_balance - PreV_ETB differs from beginning_balance",IF(AND(ISNUMBER(O1436),O1436&lt;0,ABS(L1436-(Q1436-IF(ISNUMBER(N1436),N1436,0)+IF(ISNUMBER(P1436),P1436,0)))&lt;=Summary!$B$2),"Negative realized loss not applied - check sign",IF(R1436&lt;0,"Principal paid exceeds prior balance",IF(AND(L1436&gt;Q1436,NOT(ISNUMBER(P1436))),"Balance increased but no Deferred_interest reported",IF(L1436&gt;R1436,"Reported balance higher than expected (missing increase/OC build)","Reported balance lower than expected (missing decrease)"))))),""))</f>
        <v/>
      </c>
    </row>
    <row r="1437" customFormat="false" ht="15" hidden="false" customHeight="false" outlineLevel="0" collapsed="false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9"/>
      <c r="L1437" s="9"/>
      <c r="M1437" s="9"/>
      <c r="N1437" s="9"/>
      <c r="O1437" s="9"/>
      <c r="P1437" s="9"/>
      <c r="Q1437" s="9"/>
      <c r="R1437" s="9" t="str">
        <f aca="false">IF(AND(A1437&lt;&gt;"",ISNUMBER(Q1437),ISNUMBER(L1437)),ROUND(Q1437-IF(ISNUMBER(N1437),N1437,0)-IF(ISNUMBER(O1437),O1437,0)+IF(ISNUMBER(P1437),P1437,0),2),"")</f>
        <v/>
      </c>
      <c r="S1437" s="9" t="str">
        <f aca="false">IF(R1437="","",ROUND(L1437-R1437,2))</f>
        <v/>
      </c>
      <c r="T1437" s="8" t="str">
        <f aca="false">IF(A1437="","",IF(S1437="","BYPASS",IF(ABS(S1437)&lt;=Summary!$B$2,"PASS","FAIL")))</f>
        <v/>
      </c>
      <c r="U1437" s="8" t="str">
        <f aca="false">IF(T1437="BYPASS",IF(NOT(ISNUMBER(Q1437)),"PreV_ETB missing","End_tr_balance missing"),IF(T1437="FAIL",IF(AND(ISNUMBER(K1437),ISNUMBER(L1437),ABS(L1437-(K1437-IF(ISNUMBER(N1437),N1437,0)-IF(ISNUMBER(O1437),O1437,0)+IF(ISNUMBER(P1437),P1437,0)))&lt;=Summary!$B$2),"Passes using beginning_balance - PreV_ETB differs from beginning_balance",IF(AND(ISNUMBER(O1437),O1437&lt;0,ABS(L1437-(Q1437-IF(ISNUMBER(N1437),N1437,0)+IF(ISNUMBER(P1437),P1437,0)))&lt;=Summary!$B$2),"Negative realized loss not applied - check sign",IF(R1437&lt;0,"Principal paid exceeds prior balance",IF(AND(L1437&gt;Q1437,NOT(ISNUMBER(P1437))),"Balance increased but no Deferred_interest reported",IF(L1437&gt;R1437,"Reported balance higher than expected (missing increase/OC build)","Reported balance lower than expected (missing decrease)"))))),""))</f>
        <v/>
      </c>
    </row>
    <row r="1438" customFormat="false" ht="15" hidden="false" customHeight="false" outlineLevel="0" collapsed="false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9"/>
      <c r="L1438" s="9"/>
      <c r="M1438" s="9"/>
      <c r="N1438" s="9"/>
      <c r="O1438" s="9"/>
      <c r="P1438" s="9"/>
      <c r="Q1438" s="9"/>
      <c r="R1438" s="9" t="str">
        <f aca="false">IF(AND(A1438&lt;&gt;"",ISNUMBER(Q1438),ISNUMBER(L1438)),ROUND(Q1438-IF(ISNUMBER(N1438),N1438,0)-IF(ISNUMBER(O1438),O1438,0)+IF(ISNUMBER(P1438),P1438,0),2),"")</f>
        <v/>
      </c>
      <c r="S1438" s="9" t="str">
        <f aca="false">IF(R1438="","",ROUND(L1438-R1438,2))</f>
        <v/>
      </c>
      <c r="T1438" s="8" t="str">
        <f aca="false">IF(A1438="","",IF(S1438="","BYPASS",IF(ABS(S1438)&lt;=Summary!$B$2,"PASS","FAIL")))</f>
        <v/>
      </c>
      <c r="U1438" s="8" t="str">
        <f aca="false">IF(T1438="BYPASS",IF(NOT(ISNUMBER(Q1438)),"PreV_ETB missing","End_tr_balance missing"),IF(T1438="FAIL",IF(AND(ISNUMBER(K1438),ISNUMBER(L1438),ABS(L1438-(K1438-IF(ISNUMBER(N1438),N1438,0)-IF(ISNUMBER(O1438),O1438,0)+IF(ISNUMBER(P1438),P1438,0)))&lt;=Summary!$B$2),"Passes using beginning_balance - PreV_ETB differs from beginning_balance",IF(AND(ISNUMBER(O1438),O1438&lt;0,ABS(L1438-(Q1438-IF(ISNUMBER(N1438),N1438,0)+IF(ISNUMBER(P1438),P1438,0)))&lt;=Summary!$B$2),"Negative realized loss not applied - check sign",IF(R1438&lt;0,"Principal paid exceeds prior balance",IF(AND(L1438&gt;Q1438,NOT(ISNUMBER(P1438))),"Balance increased but no Deferred_interest reported",IF(L1438&gt;R1438,"Reported balance higher than expected (missing increase/OC build)","Reported balance lower than expected (missing decrease)"))))),""))</f>
        <v/>
      </c>
    </row>
    <row r="1439" customFormat="false" ht="15" hidden="false" customHeight="false" outlineLevel="0" collapsed="false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9"/>
      <c r="L1439" s="9"/>
      <c r="M1439" s="9"/>
      <c r="N1439" s="9"/>
      <c r="O1439" s="9"/>
      <c r="P1439" s="9"/>
      <c r="Q1439" s="9"/>
      <c r="R1439" s="9" t="str">
        <f aca="false">IF(AND(A1439&lt;&gt;"",ISNUMBER(Q1439),ISNUMBER(L1439)),ROUND(Q1439-IF(ISNUMBER(N1439),N1439,0)-IF(ISNUMBER(O1439),O1439,0)+IF(ISNUMBER(P1439),P1439,0),2),"")</f>
        <v/>
      </c>
      <c r="S1439" s="9" t="str">
        <f aca="false">IF(R1439="","",ROUND(L1439-R1439,2))</f>
        <v/>
      </c>
      <c r="T1439" s="8" t="str">
        <f aca="false">IF(A1439="","",IF(S1439="","BYPASS",IF(ABS(S1439)&lt;=Summary!$B$2,"PASS","FAIL")))</f>
        <v/>
      </c>
      <c r="U1439" s="8" t="str">
        <f aca="false">IF(T1439="BYPASS",IF(NOT(ISNUMBER(Q1439)),"PreV_ETB missing","End_tr_balance missing"),IF(T1439="FAIL",IF(AND(ISNUMBER(K1439),ISNUMBER(L1439),ABS(L1439-(K1439-IF(ISNUMBER(N1439),N1439,0)-IF(ISNUMBER(O1439),O1439,0)+IF(ISNUMBER(P1439),P1439,0)))&lt;=Summary!$B$2),"Passes using beginning_balance - PreV_ETB differs from beginning_balance",IF(AND(ISNUMBER(O1439),O1439&lt;0,ABS(L1439-(Q1439-IF(ISNUMBER(N1439),N1439,0)+IF(ISNUMBER(P1439),P1439,0)))&lt;=Summary!$B$2),"Negative realized loss not applied - check sign",IF(R1439&lt;0,"Principal paid exceeds prior balance",IF(AND(L1439&gt;Q1439,NOT(ISNUMBER(P1439))),"Balance increased but no Deferred_interest reported",IF(L1439&gt;R1439,"Reported balance higher than expected (missing increase/OC build)","Reported balance lower than expected (missing decrease)"))))),""))</f>
        <v/>
      </c>
    </row>
    <row r="1440" customFormat="false" ht="15" hidden="false" customHeight="false" outlineLevel="0" collapsed="false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9"/>
      <c r="L1440" s="9"/>
      <c r="M1440" s="9"/>
      <c r="N1440" s="9"/>
      <c r="O1440" s="9"/>
      <c r="P1440" s="9"/>
      <c r="Q1440" s="9"/>
      <c r="R1440" s="9" t="str">
        <f aca="false">IF(AND(A1440&lt;&gt;"",ISNUMBER(Q1440),ISNUMBER(L1440)),ROUND(Q1440-IF(ISNUMBER(N1440),N1440,0)-IF(ISNUMBER(O1440),O1440,0)+IF(ISNUMBER(P1440),P1440,0),2),"")</f>
        <v/>
      </c>
      <c r="S1440" s="9" t="str">
        <f aca="false">IF(R1440="","",ROUND(L1440-R1440,2))</f>
        <v/>
      </c>
      <c r="T1440" s="8" t="str">
        <f aca="false">IF(A1440="","",IF(S1440="","BYPASS",IF(ABS(S1440)&lt;=Summary!$B$2,"PASS","FAIL")))</f>
        <v/>
      </c>
      <c r="U1440" s="8" t="str">
        <f aca="false">IF(T1440="BYPASS",IF(NOT(ISNUMBER(Q1440)),"PreV_ETB missing","End_tr_balance missing"),IF(T1440="FAIL",IF(AND(ISNUMBER(K1440),ISNUMBER(L1440),ABS(L1440-(K1440-IF(ISNUMBER(N1440),N1440,0)-IF(ISNUMBER(O1440),O1440,0)+IF(ISNUMBER(P1440),P1440,0)))&lt;=Summary!$B$2),"Passes using beginning_balance - PreV_ETB differs from beginning_balance",IF(AND(ISNUMBER(O1440),O1440&lt;0,ABS(L1440-(Q1440-IF(ISNUMBER(N1440),N1440,0)+IF(ISNUMBER(P1440),P1440,0)))&lt;=Summary!$B$2),"Negative realized loss not applied - check sign",IF(R1440&lt;0,"Principal paid exceeds prior balance",IF(AND(L1440&gt;Q1440,NOT(ISNUMBER(P1440))),"Balance increased but no Deferred_interest reported",IF(L1440&gt;R1440,"Reported balance higher than expected (missing increase/OC build)","Reported balance lower than expected (missing decrease)"))))),""))</f>
        <v/>
      </c>
    </row>
    <row r="1441" customFormat="false" ht="15" hidden="false" customHeight="false" outlineLevel="0" collapsed="false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9"/>
      <c r="L1441" s="9"/>
      <c r="M1441" s="9"/>
      <c r="N1441" s="9"/>
      <c r="O1441" s="9"/>
      <c r="P1441" s="9"/>
      <c r="Q1441" s="9"/>
      <c r="R1441" s="9" t="str">
        <f aca="false">IF(AND(A1441&lt;&gt;"",ISNUMBER(Q1441),ISNUMBER(L1441)),ROUND(Q1441-IF(ISNUMBER(N1441),N1441,0)-IF(ISNUMBER(O1441),O1441,0)+IF(ISNUMBER(P1441),P1441,0),2),"")</f>
        <v/>
      </c>
      <c r="S1441" s="9" t="str">
        <f aca="false">IF(R1441="","",ROUND(L1441-R1441,2))</f>
        <v/>
      </c>
      <c r="T1441" s="8" t="str">
        <f aca="false">IF(A1441="","",IF(S1441="","BYPASS",IF(ABS(S1441)&lt;=Summary!$B$2,"PASS","FAIL")))</f>
        <v/>
      </c>
      <c r="U1441" s="8" t="str">
        <f aca="false">IF(T1441="BYPASS",IF(NOT(ISNUMBER(Q1441)),"PreV_ETB missing","End_tr_balance missing"),IF(T1441="FAIL",IF(AND(ISNUMBER(K1441),ISNUMBER(L1441),ABS(L1441-(K1441-IF(ISNUMBER(N1441),N1441,0)-IF(ISNUMBER(O1441),O1441,0)+IF(ISNUMBER(P1441),P1441,0)))&lt;=Summary!$B$2),"Passes using beginning_balance - PreV_ETB differs from beginning_balance",IF(AND(ISNUMBER(O1441),O1441&lt;0,ABS(L1441-(Q1441-IF(ISNUMBER(N1441),N1441,0)+IF(ISNUMBER(P1441),P1441,0)))&lt;=Summary!$B$2),"Negative realized loss not applied - check sign",IF(R1441&lt;0,"Principal paid exceeds prior balance",IF(AND(L1441&gt;Q1441,NOT(ISNUMBER(P1441))),"Balance increased but no Deferred_interest reported",IF(L1441&gt;R1441,"Reported balance higher than expected (missing increase/OC build)","Reported balance lower than expected (missing decrease)"))))),""))</f>
        <v/>
      </c>
    </row>
    <row r="1442" customFormat="false" ht="15" hidden="false" customHeight="false" outlineLevel="0" collapsed="false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9"/>
      <c r="L1442" s="9"/>
      <c r="M1442" s="9"/>
      <c r="N1442" s="9"/>
      <c r="O1442" s="9"/>
      <c r="P1442" s="9"/>
      <c r="Q1442" s="9"/>
      <c r="R1442" s="9" t="str">
        <f aca="false">IF(AND(A1442&lt;&gt;"",ISNUMBER(Q1442),ISNUMBER(L1442)),ROUND(Q1442-IF(ISNUMBER(N1442),N1442,0)-IF(ISNUMBER(O1442),O1442,0)+IF(ISNUMBER(P1442),P1442,0),2),"")</f>
        <v/>
      </c>
      <c r="S1442" s="9" t="str">
        <f aca="false">IF(R1442="","",ROUND(L1442-R1442,2))</f>
        <v/>
      </c>
      <c r="T1442" s="8" t="str">
        <f aca="false">IF(A1442="","",IF(S1442="","BYPASS",IF(ABS(S1442)&lt;=Summary!$B$2,"PASS","FAIL")))</f>
        <v/>
      </c>
      <c r="U1442" s="8" t="str">
        <f aca="false">IF(T1442="BYPASS",IF(NOT(ISNUMBER(Q1442)),"PreV_ETB missing","End_tr_balance missing"),IF(T1442="FAIL",IF(AND(ISNUMBER(K1442),ISNUMBER(L1442),ABS(L1442-(K1442-IF(ISNUMBER(N1442),N1442,0)-IF(ISNUMBER(O1442),O1442,0)+IF(ISNUMBER(P1442),P1442,0)))&lt;=Summary!$B$2),"Passes using beginning_balance - PreV_ETB differs from beginning_balance",IF(AND(ISNUMBER(O1442),O1442&lt;0,ABS(L1442-(Q1442-IF(ISNUMBER(N1442),N1442,0)+IF(ISNUMBER(P1442),P1442,0)))&lt;=Summary!$B$2),"Negative realized loss not applied - check sign",IF(R1442&lt;0,"Principal paid exceeds prior balance",IF(AND(L1442&gt;Q1442,NOT(ISNUMBER(P1442))),"Balance increased but no Deferred_interest reported",IF(L1442&gt;R1442,"Reported balance higher than expected (missing increase/OC build)","Reported balance lower than expected (missing decrease)"))))),""))</f>
        <v/>
      </c>
    </row>
    <row r="1443" customFormat="false" ht="15" hidden="false" customHeight="false" outlineLevel="0" collapsed="false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9"/>
      <c r="L1443" s="9"/>
      <c r="M1443" s="9"/>
      <c r="N1443" s="9"/>
      <c r="O1443" s="9"/>
      <c r="P1443" s="9"/>
      <c r="Q1443" s="9"/>
      <c r="R1443" s="9" t="str">
        <f aca="false">IF(AND(A1443&lt;&gt;"",ISNUMBER(Q1443),ISNUMBER(L1443)),ROUND(Q1443-IF(ISNUMBER(N1443),N1443,0)-IF(ISNUMBER(O1443),O1443,0)+IF(ISNUMBER(P1443),P1443,0),2),"")</f>
        <v/>
      </c>
      <c r="S1443" s="9" t="str">
        <f aca="false">IF(R1443="","",ROUND(L1443-R1443,2))</f>
        <v/>
      </c>
      <c r="T1443" s="8" t="str">
        <f aca="false">IF(A1443="","",IF(S1443="","BYPASS",IF(ABS(S1443)&lt;=Summary!$B$2,"PASS","FAIL")))</f>
        <v/>
      </c>
      <c r="U1443" s="8" t="str">
        <f aca="false">IF(T1443="BYPASS",IF(NOT(ISNUMBER(Q1443)),"PreV_ETB missing","End_tr_balance missing"),IF(T1443="FAIL",IF(AND(ISNUMBER(K1443),ISNUMBER(L1443),ABS(L1443-(K1443-IF(ISNUMBER(N1443),N1443,0)-IF(ISNUMBER(O1443),O1443,0)+IF(ISNUMBER(P1443),P1443,0)))&lt;=Summary!$B$2),"Passes using beginning_balance - PreV_ETB differs from beginning_balance",IF(AND(ISNUMBER(O1443),O1443&lt;0,ABS(L1443-(Q1443-IF(ISNUMBER(N1443),N1443,0)+IF(ISNUMBER(P1443),P1443,0)))&lt;=Summary!$B$2),"Negative realized loss not applied - check sign",IF(R1443&lt;0,"Principal paid exceeds prior balance",IF(AND(L1443&gt;Q1443,NOT(ISNUMBER(P1443))),"Balance increased but no Deferred_interest reported",IF(L1443&gt;R1443,"Reported balance higher than expected (missing increase/OC build)","Reported balance lower than expected (missing decrease)"))))),""))</f>
        <v/>
      </c>
    </row>
    <row r="1444" customFormat="false" ht="15" hidden="false" customHeight="false" outlineLevel="0" collapsed="false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9"/>
      <c r="L1444" s="9"/>
      <c r="M1444" s="9"/>
      <c r="N1444" s="9"/>
      <c r="O1444" s="9"/>
      <c r="P1444" s="9"/>
      <c r="Q1444" s="9"/>
      <c r="R1444" s="9" t="str">
        <f aca="false">IF(AND(A1444&lt;&gt;"",ISNUMBER(Q1444),ISNUMBER(L1444)),ROUND(Q1444-IF(ISNUMBER(N1444),N1444,0)-IF(ISNUMBER(O1444),O1444,0)+IF(ISNUMBER(P1444),P1444,0),2),"")</f>
        <v/>
      </c>
      <c r="S1444" s="9" t="str">
        <f aca="false">IF(R1444="","",ROUND(L1444-R1444,2))</f>
        <v/>
      </c>
      <c r="T1444" s="8" t="str">
        <f aca="false">IF(A1444="","",IF(S1444="","BYPASS",IF(ABS(S1444)&lt;=Summary!$B$2,"PASS","FAIL")))</f>
        <v/>
      </c>
      <c r="U1444" s="8" t="str">
        <f aca="false">IF(T1444="BYPASS",IF(NOT(ISNUMBER(Q1444)),"PreV_ETB missing","End_tr_balance missing"),IF(T1444="FAIL",IF(AND(ISNUMBER(K1444),ISNUMBER(L1444),ABS(L1444-(K1444-IF(ISNUMBER(N1444),N1444,0)-IF(ISNUMBER(O1444),O1444,0)+IF(ISNUMBER(P1444),P1444,0)))&lt;=Summary!$B$2),"Passes using beginning_balance - PreV_ETB differs from beginning_balance",IF(AND(ISNUMBER(O1444),O1444&lt;0,ABS(L1444-(Q1444-IF(ISNUMBER(N1444),N1444,0)+IF(ISNUMBER(P1444),P1444,0)))&lt;=Summary!$B$2),"Negative realized loss not applied - check sign",IF(R1444&lt;0,"Principal paid exceeds prior balance",IF(AND(L1444&gt;Q1444,NOT(ISNUMBER(P1444))),"Balance increased but no Deferred_interest reported",IF(L1444&gt;R1444,"Reported balance higher than expected (missing increase/OC build)","Reported balance lower than expected (missing decrease)"))))),""))</f>
        <v/>
      </c>
    </row>
    <row r="1445" customFormat="false" ht="15" hidden="false" customHeight="false" outlineLevel="0" collapsed="false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9"/>
      <c r="L1445" s="9"/>
      <c r="M1445" s="9"/>
      <c r="N1445" s="9"/>
      <c r="O1445" s="9"/>
      <c r="P1445" s="9"/>
      <c r="Q1445" s="9"/>
      <c r="R1445" s="9" t="str">
        <f aca="false">IF(AND(A1445&lt;&gt;"",ISNUMBER(Q1445),ISNUMBER(L1445)),ROUND(Q1445-IF(ISNUMBER(N1445),N1445,0)-IF(ISNUMBER(O1445),O1445,0)+IF(ISNUMBER(P1445),P1445,0),2),"")</f>
        <v/>
      </c>
      <c r="S1445" s="9" t="str">
        <f aca="false">IF(R1445="","",ROUND(L1445-R1445,2))</f>
        <v/>
      </c>
      <c r="T1445" s="8" t="str">
        <f aca="false">IF(A1445="","",IF(S1445="","BYPASS",IF(ABS(S1445)&lt;=Summary!$B$2,"PASS","FAIL")))</f>
        <v/>
      </c>
      <c r="U1445" s="8" t="str">
        <f aca="false">IF(T1445="BYPASS",IF(NOT(ISNUMBER(Q1445)),"PreV_ETB missing","End_tr_balance missing"),IF(T1445="FAIL",IF(AND(ISNUMBER(K1445),ISNUMBER(L1445),ABS(L1445-(K1445-IF(ISNUMBER(N1445),N1445,0)-IF(ISNUMBER(O1445),O1445,0)+IF(ISNUMBER(P1445),P1445,0)))&lt;=Summary!$B$2),"Passes using beginning_balance - PreV_ETB differs from beginning_balance",IF(AND(ISNUMBER(O1445),O1445&lt;0,ABS(L1445-(Q1445-IF(ISNUMBER(N1445),N1445,0)+IF(ISNUMBER(P1445),P1445,0)))&lt;=Summary!$B$2),"Negative realized loss not applied - check sign",IF(R1445&lt;0,"Principal paid exceeds prior balance",IF(AND(L1445&gt;Q1445,NOT(ISNUMBER(P1445))),"Balance increased but no Deferred_interest reported",IF(L1445&gt;R1445,"Reported balance higher than expected (missing increase/OC build)","Reported balance lower than expected (missing decrease)"))))),""))</f>
        <v/>
      </c>
    </row>
    <row r="1446" customFormat="false" ht="15" hidden="false" customHeight="false" outlineLevel="0" collapsed="false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9"/>
      <c r="L1446" s="9"/>
      <c r="M1446" s="9"/>
      <c r="N1446" s="9"/>
      <c r="O1446" s="9"/>
      <c r="P1446" s="9"/>
      <c r="Q1446" s="9"/>
      <c r="R1446" s="9" t="str">
        <f aca="false">IF(AND(A1446&lt;&gt;"",ISNUMBER(Q1446),ISNUMBER(L1446)),ROUND(Q1446-IF(ISNUMBER(N1446),N1446,0)-IF(ISNUMBER(O1446),O1446,0)+IF(ISNUMBER(P1446),P1446,0),2),"")</f>
        <v/>
      </c>
      <c r="S1446" s="9" t="str">
        <f aca="false">IF(R1446="","",ROUND(L1446-R1446,2))</f>
        <v/>
      </c>
      <c r="T1446" s="8" t="str">
        <f aca="false">IF(A1446="","",IF(S1446="","BYPASS",IF(ABS(S1446)&lt;=Summary!$B$2,"PASS","FAIL")))</f>
        <v/>
      </c>
      <c r="U1446" s="8" t="str">
        <f aca="false">IF(T1446="BYPASS",IF(NOT(ISNUMBER(Q1446)),"PreV_ETB missing","End_tr_balance missing"),IF(T1446="FAIL",IF(AND(ISNUMBER(K1446),ISNUMBER(L1446),ABS(L1446-(K1446-IF(ISNUMBER(N1446),N1446,0)-IF(ISNUMBER(O1446),O1446,0)+IF(ISNUMBER(P1446),P1446,0)))&lt;=Summary!$B$2),"Passes using beginning_balance - PreV_ETB differs from beginning_balance",IF(AND(ISNUMBER(O1446),O1446&lt;0,ABS(L1446-(Q1446-IF(ISNUMBER(N1446),N1446,0)+IF(ISNUMBER(P1446),P1446,0)))&lt;=Summary!$B$2),"Negative realized loss not applied - check sign",IF(R1446&lt;0,"Principal paid exceeds prior balance",IF(AND(L1446&gt;Q1446,NOT(ISNUMBER(P1446))),"Balance increased but no Deferred_interest reported",IF(L1446&gt;R1446,"Reported balance higher than expected (missing increase/OC build)","Reported balance lower than expected (missing decrease)"))))),""))</f>
        <v/>
      </c>
    </row>
    <row r="1447" customFormat="false" ht="15" hidden="false" customHeight="false" outlineLevel="0" collapsed="false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9"/>
      <c r="L1447" s="9"/>
      <c r="M1447" s="9"/>
      <c r="N1447" s="9"/>
      <c r="O1447" s="9"/>
      <c r="P1447" s="9"/>
      <c r="Q1447" s="9"/>
      <c r="R1447" s="9" t="str">
        <f aca="false">IF(AND(A1447&lt;&gt;"",ISNUMBER(Q1447),ISNUMBER(L1447)),ROUND(Q1447-IF(ISNUMBER(N1447),N1447,0)-IF(ISNUMBER(O1447),O1447,0)+IF(ISNUMBER(P1447),P1447,0),2),"")</f>
        <v/>
      </c>
      <c r="S1447" s="9" t="str">
        <f aca="false">IF(R1447="","",ROUND(L1447-R1447,2))</f>
        <v/>
      </c>
      <c r="T1447" s="8" t="str">
        <f aca="false">IF(A1447="","",IF(S1447="","BYPASS",IF(ABS(S1447)&lt;=Summary!$B$2,"PASS","FAIL")))</f>
        <v/>
      </c>
      <c r="U1447" s="8" t="str">
        <f aca="false">IF(T1447="BYPASS",IF(NOT(ISNUMBER(Q1447)),"PreV_ETB missing","End_tr_balance missing"),IF(T1447="FAIL",IF(AND(ISNUMBER(K1447),ISNUMBER(L1447),ABS(L1447-(K1447-IF(ISNUMBER(N1447),N1447,0)-IF(ISNUMBER(O1447),O1447,0)+IF(ISNUMBER(P1447),P1447,0)))&lt;=Summary!$B$2),"Passes using beginning_balance - PreV_ETB differs from beginning_balance",IF(AND(ISNUMBER(O1447),O1447&lt;0,ABS(L1447-(Q1447-IF(ISNUMBER(N1447),N1447,0)+IF(ISNUMBER(P1447),P1447,0)))&lt;=Summary!$B$2),"Negative realized loss not applied - check sign",IF(R1447&lt;0,"Principal paid exceeds prior balance",IF(AND(L1447&gt;Q1447,NOT(ISNUMBER(P1447))),"Balance increased but no Deferred_interest reported",IF(L1447&gt;R1447,"Reported balance higher than expected (missing increase/OC build)","Reported balance lower than expected (missing decrease)"))))),""))</f>
        <v/>
      </c>
    </row>
    <row r="1448" customFormat="false" ht="15" hidden="false" customHeight="false" outlineLevel="0" collapsed="false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9"/>
      <c r="L1448" s="9"/>
      <c r="M1448" s="9"/>
      <c r="N1448" s="9"/>
      <c r="O1448" s="9"/>
      <c r="P1448" s="9"/>
      <c r="Q1448" s="9"/>
      <c r="R1448" s="9" t="str">
        <f aca="false">IF(AND(A1448&lt;&gt;"",ISNUMBER(Q1448),ISNUMBER(L1448)),ROUND(Q1448-IF(ISNUMBER(N1448),N1448,0)-IF(ISNUMBER(O1448),O1448,0)+IF(ISNUMBER(P1448),P1448,0),2),"")</f>
        <v/>
      </c>
      <c r="S1448" s="9" t="str">
        <f aca="false">IF(R1448="","",ROUND(L1448-R1448,2))</f>
        <v/>
      </c>
      <c r="T1448" s="8" t="str">
        <f aca="false">IF(A1448="","",IF(S1448="","BYPASS",IF(ABS(S1448)&lt;=Summary!$B$2,"PASS","FAIL")))</f>
        <v/>
      </c>
      <c r="U1448" s="8" t="str">
        <f aca="false">IF(T1448="BYPASS",IF(NOT(ISNUMBER(Q1448)),"PreV_ETB missing","End_tr_balance missing"),IF(T1448="FAIL",IF(AND(ISNUMBER(K1448),ISNUMBER(L1448),ABS(L1448-(K1448-IF(ISNUMBER(N1448),N1448,0)-IF(ISNUMBER(O1448),O1448,0)+IF(ISNUMBER(P1448),P1448,0)))&lt;=Summary!$B$2),"Passes using beginning_balance - PreV_ETB differs from beginning_balance",IF(AND(ISNUMBER(O1448),O1448&lt;0,ABS(L1448-(Q1448-IF(ISNUMBER(N1448),N1448,0)+IF(ISNUMBER(P1448),P1448,0)))&lt;=Summary!$B$2),"Negative realized loss not applied - check sign",IF(R1448&lt;0,"Principal paid exceeds prior balance",IF(AND(L1448&gt;Q1448,NOT(ISNUMBER(P1448))),"Balance increased but no Deferred_interest reported",IF(L1448&gt;R1448,"Reported balance higher than expected (missing increase/OC build)","Reported balance lower than expected (missing decrease)"))))),""))</f>
        <v/>
      </c>
    </row>
    <row r="1449" customFormat="false" ht="15" hidden="false" customHeight="false" outlineLevel="0" collapsed="false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9"/>
      <c r="L1449" s="9"/>
      <c r="M1449" s="9"/>
      <c r="N1449" s="9"/>
      <c r="O1449" s="9"/>
      <c r="P1449" s="9"/>
      <c r="Q1449" s="9"/>
      <c r="R1449" s="9" t="str">
        <f aca="false">IF(AND(A1449&lt;&gt;"",ISNUMBER(Q1449),ISNUMBER(L1449)),ROUND(Q1449-IF(ISNUMBER(N1449),N1449,0)-IF(ISNUMBER(O1449),O1449,0)+IF(ISNUMBER(P1449),P1449,0),2),"")</f>
        <v/>
      </c>
      <c r="S1449" s="9" t="str">
        <f aca="false">IF(R1449="","",ROUND(L1449-R1449,2))</f>
        <v/>
      </c>
      <c r="T1449" s="8" t="str">
        <f aca="false">IF(A1449="","",IF(S1449="","BYPASS",IF(ABS(S1449)&lt;=Summary!$B$2,"PASS","FAIL")))</f>
        <v/>
      </c>
      <c r="U1449" s="8" t="str">
        <f aca="false">IF(T1449="BYPASS",IF(NOT(ISNUMBER(Q1449)),"PreV_ETB missing","End_tr_balance missing"),IF(T1449="FAIL",IF(AND(ISNUMBER(K1449),ISNUMBER(L1449),ABS(L1449-(K1449-IF(ISNUMBER(N1449),N1449,0)-IF(ISNUMBER(O1449),O1449,0)+IF(ISNUMBER(P1449),P1449,0)))&lt;=Summary!$B$2),"Passes using beginning_balance - PreV_ETB differs from beginning_balance",IF(AND(ISNUMBER(O1449),O1449&lt;0,ABS(L1449-(Q1449-IF(ISNUMBER(N1449),N1449,0)+IF(ISNUMBER(P1449),P1449,0)))&lt;=Summary!$B$2),"Negative realized loss not applied - check sign",IF(R1449&lt;0,"Principal paid exceeds prior balance",IF(AND(L1449&gt;Q1449,NOT(ISNUMBER(P1449))),"Balance increased but no Deferred_interest reported",IF(L1449&gt;R1449,"Reported balance higher than expected (missing increase/OC build)","Reported balance lower than expected (missing decrease)"))))),""))</f>
        <v/>
      </c>
    </row>
    <row r="1450" customFormat="false" ht="15" hidden="false" customHeight="false" outlineLevel="0" collapsed="false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9"/>
      <c r="L1450" s="9"/>
      <c r="M1450" s="9"/>
      <c r="N1450" s="9"/>
      <c r="O1450" s="9"/>
      <c r="P1450" s="9"/>
      <c r="Q1450" s="9"/>
      <c r="R1450" s="9" t="str">
        <f aca="false">IF(AND(A1450&lt;&gt;"",ISNUMBER(Q1450),ISNUMBER(L1450)),ROUND(Q1450-IF(ISNUMBER(N1450),N1450,0)-IF(ISNUMBER(O1450),O1450,0)+IF(ISNUMBER(P1450),P1450,0),2),"")</f>
        <v/>
      </c>
      <c r="S1450" s="9" t="str">
        <f aca="false">IF(R1450="","",ROUND(L1450-R1450,2))</f>
        <v/>
      </c>
      <c r="T1450" s="8" t="str">
        <f aca="false">IF(A1450="","",IF(S1450="","BYPASS",IF(ABS(S1450)&lt;=Summary!$B$2,"PASS","FAIL")))</f>
        <v/>
      </c>
      <c r="U1450" s="8" t="str">
        <f aca="false">IF(T1450="BYPASS",IF(NOT(ISNUMBER(Q1450)),"PreV_ETB missing","End_tr_balance missing"),IF(T1450="FAIL",IF(AND(ISNUMBER(K1450),ISNUMBER(L1450),ABS(L1450-(K1450-IF(ISNUMBER(N1450),N1450,0)-IF(ISNUMBER(O1450),O1450,0)+IF(ISNUMBER(P1450),P1450,0)))&lt;=Summary!$B$2),"Passes using beginning_balance - PreV_ETB differs from beginning_balance",IF(AND(ISNUMBER(O1450),O1450&lt;0,ABS(L1450-(Q1450-IF(ISNUMBER(N1450),N1450,0)+IF(ISNUMBER(P1450),P1450,0)))&lt;=Summary!$B$2),"Negative realized loss not applied - check sign",IF(R1450&lt;0,"Principal paid exceeds prior balance",IF(AND(L1450&gt;Q1450,NOT(ISNUMBER(P1450))),"Balance increased but no Deferred_interest reported",IF(L1450&gt;R1450,"Reported balance higher than expected (missing increase/OC build)","Reported balance lower than expected (missing decrease)"))))),""))</f>
        <v/>
      </c>
    </row>
    <row r="1451" customFormat="false" ht="15" hidden="false" customHeight="false" outlineLevel="0" collapsed="false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9"/>
      <c r="L1451" s="9"/>
      <c r="M1451" s="9"/>
      <c r="N1451" s="9"/>
      <c r="O1451" s="9"/>
      <c r="P1451" s="9"/>
      <c r="Q1451" s="9"/>
      <c r="R1451" s="9" t="str">
        <f aca="false">IF(AND(A1451&lt;&gt;"",ISNUMBER(Q1451),ISNUMBER(L1451)),ROUND(Q1451-IF(ISNUMBER(N1451),N1451,0)-IF(ISNUMBER(O1451),O1451,0)+IF(ISNUMBER(P1451),P1451,0),2),"")</f>
        <v/>
      </c>
      <c r="S1451" s="9" t="str">
        <f aca="false">IF(R1451="","",ROUND(L1451-R1451,2))</f>
        <v/>
      </c>
      <c r="T1451" s="8" t="str">
        <f aca="false">IF(A1451="","",IF(S1451="","BYPASS",IF(ABS(S1451)&lt;=Summary!$B$2,"PASS","FAIL")))</f>
        <v/>
      </c>
      <c r="U1451" s="8" t="str">
        <f aca="false">IF(T1451="BYPASS",IF(NOT(ISNUMBER(Q1451)),"PreV_ETB missing","End_tr_balance missing"),IF(T1451="FAIL",IF(AND(ISNUMBER(K1451),ISNUMBER(L1451),ABS(L1451-(K1451-IF(ISNUMBER(N1451),N1451,0)-IF(ISNUMBER(O1451),O1451,0)+IF(ISNUMBER(P1451),P1451,0)))&lt;=Summary!$B$2),"Passes using beginning_balance - PreV_ETB differs from beginning_balance",IF(AND(ISNUMBER(O1451),O1451&lt;0,ABS(L1451-(Q1451-IF(ISNUMBER(N1451),N1451,0)+IF(ISNUMBER(P1451),P1451,0)))&lt;=Summary!$B$2),"Negative realized loss not applied - check sign",IF(R1451&lt;0,"Principal paid exceeds prior balance",IF(AND(L1451&gt;Q1451,NOT(ISNUMBER(P1451))),"Balance increased but no Deferred_interest reported",IF(L1451&gt;R1451,"Reported balance higher than expected (missing increase/OC build)","Reported balance lower than expected (missing decrease)"))))),""))</f>
        <v/>
      </c>
    </row>
    <row r="1452" customFormat="false" ht="15" hidden="false" customHeight="false" outlineLevel="0" collapsed="false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9"/>
      <c r="L1452" s="9"/>
      <c r="M1452" s="9"/>
      <c r="N1452" s="9"/>
      <c r="O1452" s="9"/>
      <c r="P1452" s="9"/>
      <c r="Q1452" s="9"/>
      <c r="R1452" s="9" t="str">
        <f aca="false">IF(AND(A1452&lt;&gt;"",ISNUMBER(Q1452),ISNUMBER(L1452)),ROUND(Q1452-IF(ISNUMBER(N1452),N1452,0)-IF(ISNUMBER(O1452),O1452,0)+IF(ISNUMBER(P1452),P1452,0),2),"")</f>
        <v/>
      </c>
      <c r="S1452" s="9" t="str">
        <f aca="false">IF(R1452="","",ROUND(L1452-R1452,2))</f>
        <v/>
      </c>
      <c r="T1452" s="8" t="str">
        <f aca="false">IF(A1452="","",IF(S1452="","BYPASS",IF(ABS(S1452)&lt;=Summary!$B$2,"PASS","FAIL")))</f>
        <v/>
      </c>
      <c r="U1452" s="8" t="str">
        <f aca="false">IF(T1452="BYPASS",IF(NOT(ISNUMBER(Q1452)),"PreV_ETB missing","End_tr_balance missing"),IF(T1452="FAIL",IF(AND(ISNUMBER(K1452),ISNUMBER(L1452),ABS(L1452-(K1452-IF(ISNUMBER(N1452),N1452,0)-IF(ISNUMBER(O1452),O1452,0)+IF(ISNUMBER(P1452),P1452,0)))&lt;=Summary!$B$2),"Passes using beginning_balance - PreV_ETB differs from beginning_balance",IF(AND(ISNUMBER(O1452),O1452&lt;0,ABS(L1452-(Q1452-IF(ISNUMBER(N1452),N1452,0)+IF(ISNUMBER(P1452),P1452,0)))&lt;=Summary!$B$2),"Negative realized loss not applied - check sign",IF(R1452&lt;0,"Principal paid exceeds prior balance",IF(AND(L1452&gt;Q1452,NOT(ISNUMBER(P1452))),"Balance increased but no Deferred_interest reported",IF(L1452&gt;R1452,"Reported balance higher than expected (missing increase/OC build)","Reported balance lower than expected (missing decrease)"))))),""))</f>
        <v/>
      </c>
    </row>
    <row r="1453" customFormat="false" ht="15" hidden="false" customHeight="false" outlineLevel="0" collapsed="false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9"/>
      <c r="L1453" s="9"/>
      <c r="M1453" s="9"/>
      <c r="N1453" s="9"/>
      <c r="O1453" s="9"/>
      <c r="P1453" s="9"/>
      <c r="Q1453" s="9"/>
      <c r="R1453" s="9" t="str">
        <f aca="false">IF(AND(A1453&lt;&gt;"",ISNUMBER(Q1453),ISNUMBER(L1453)),ROUND(Q1453-IF(ISNUMBER(N1453),N1453,0)-IF(ISNUMBER(O1453),O1453,0)+IF(ISNUMBER(P1453),P1453,0),2),"")</f>
        <v/>
      </c>
      <c r="S1453" s="9" t="str">
        <f aca="false">IF(R1453="","",ROUND(L1453-R1453,2))</f>
        <v/>
      </c>
      <c r="T1453" s="8" t="str">
        <f aca="false">IF(A1453="","",IF(S1453="","BYPASS",IF(ABS(S1453)&lt;=Summary!$B$2,"PASS","FAIL")))</f>
        <v/>
      </c>
      <c r="U1453" s="8" t="str">
        <f aca="false">IF(T1453="BYPASS",IF(NOT(ISNUMBER(Q1453)),"PreV_ETB missing","End_tr_balance missing"),IF(T1453="FAIL",IF(AND(ISNUMBER(K1453),ISNUMBER(L1453),ABS(L1453-(K1453-IF(ISNUMBER(N1453),N1453,0)-IF(ISNUMBER(O1453),O1453,0)+IF(ISNUMBER(P1453),P1453,0)))&lt;=Summary!$B$2),"Passes using beginning_balance - PreV_ETB differs from beginning_balance",IF(AND(ISNUMBER(O1453),O1453&lt;0,ABS(L1453-(Q1453-IF(ISNUMBER(N1453),N1453,0)+IF(ISNUMBER(P1453),P1453,0)))&lt;=Summary!$B$2),"Negative realized loss not applied - check sign",IF(R1453&lt;0,"Principal paid exceeds prior balance",IF(AND(L1453&gt;Q1453,NOT(ISNUMBER(P1453))),"Balance increased but no Deferred_interest reported",IF(L1453&gt;R1453,"Reported balance higher than expected (missing increase/OC build)","Reported balance lower than expected (missing decrease)"))))),""))</f>
        <v/>
      </c>
    </row>
    <row r="1454" customFormat="false" ht="15" hidden="false" customHeight="false" outlineLevel="0" collapsed="false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9"/>
      <c r="L1454" s="9"/>
      <c r="M1454" s="9"/>
      <c r="N1454" s="9"/>
      <c r="O1454" s="9"/>
      <c r="P1454" s="9"/>
      <c r="Q1454" s="9"/>
      <c r="R1454" s="9" t="str">
        <f aca="false">IF(AND(A1454&lt;&gt;"",ISNUMBER(Q1454),ISNUMBER(L1454)),ROUND(Q1454-IF(ISNUMBER(N1454),N1454,0)-IF(ISNUMBER(O1454),O1454,0)+IF(ISNUMBER(P1454),P1454,0),2),"")</f>
        <v/>
      </c>
      <c r="S1454" s="9" t="str">
        <f aca="false">IF(R1454="","",ROUND(L1454-R1454,2))</f>
        <v/>
      </c>
      <c r="T1454" s="8" t="str">
        <f aca="false">IF(A1454="","",IF(S1454="","BYPASS",IF(ABS(S1454)&lt;=Summary!$B$2,"PASS","FAIL")))</f>
        <v/>
      </c>
      <c r="U1454" s="8" t="str">
        <f aca="false">IF(T1454="BYPASS",IF(NOT(ISNUMBER(Q1454)),"PreV_ETB missing","End_tr_balance missing"),IF(T1454="FAIL",IF(AND(ISNUMBER(K1454),ISNUMBER(L1454),ABS(L1454-(K1454-IF(ISNUMBER(N1454),N1454,0)-IF(ISNUMBER(O1454),O1454,0)+IF(ISNUMBER(P1454),P1454,0)))&lt;=Summary!$B$2),"Passes using beginning_balance - PreV_ETB differs from beginning_balance",IF(AND(ISNUMBER(O1454),O1454&lt;0,ABS(L1454-(Q1454-IF(ISNUMBER(N1454),N1454,0)+IF(ISNUMBER(P1454),P1454,0)))&lt;=Summary!$B$2),"Negative realized loss not applied - check sign",IF(R1454&lt;0,"Principal paid exceeds prior balance",IF(AND(L1454&gt;Q1454,NOT(ISNUMBER(P1454))),"Balance increased but no Deferred_interest reported",IF(L1454&gt;R1454,"Reported balance higher than expected (missing increase/OC build)","Reported balance lower than expected (missing decrease)"))))),""))</f>
        <v/>
      </c>
    </row>
    <row r="1455" customFormat="false" ht="15" hidden="false" customHeight="false" outlineLevel="0" collapsed="false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9"/>
      <c r="L1455" s="9"/>
      <c r="M1455" s="9"/>
      <c r="N1455" s="9"/>
      <c r="O1455" s="9"/>
      <c r="P1455" s="9"/>
      <c r="Q1455" s="9"/>
      <c r="R1455" s="9" t="str">
        <f aca="false">IF(AND(A1455&lt;&gt;"",ISNUMBER(Q1455),ISNUMBER(L1455)),ROUND(Q1455-IF(ISNUMBER(N1455),N1455,0)-IF(ISNUMBER(O1455),O1455,0)+IF(ISNUMBER(P1455),P1455,0),2),"")</f>
        <v/>
      </c>
      <c r="S1455" s="9" t="str">
        <f aca="false">IF(R1455="","",ROUND(L1455-R1455,2))</f>
        <v/>
      </c>
      <c r="T1455" s="8" t="str">
        <f aca="false">IF(A1455="","",IF(S1455="","BYPASS",IF(ABS(S1455)&lt;=Summary!$B$2,"PASS","FAIL")))</f>
        <v/>
      </c>
      <c r="U1455" s="8" t="str">
        <f aca="false">IF(T1455="BYPASS",IF(NOT(ISNUMBER(Q1455)),"PreV_ETB missing","End_tr_balance missing"),IF(T1455="FAIL",IF(AND(ISNUMBER(K1455),ISNUMBER(L1455),ABS(L1455-(K1455-IF(ISNUMBER(N1455),N1455,0)-IF(ISNUMBER(O1455),O1455,0)+IF(ISNUMBER(P1455),P1455,0)))&lt;=Summary!$B$2),"Passes using beginning_balance - PreV_ETB differs from beginning_balance",IF(AND(ISNUMBER(O1455),O1455&lt;0,ABS(L1455-(Q1455-IF(ISNUMBER(N1455),N1455,0)+IF(ISNUMBER(P1455),P1455,0)))&lt;=Summary!$B$2),"Negative realized loss not applied - check sign",IF(R1455&lt;0,"Principal paid exceeds prior balance",IF(AND(L1455&gt;Q1455,NOT(ISNUMBER(P1455))),"Balance increased but no Deferred_interest reported",IF(L1455&gt;R1455,"Reported balance higher than expected (missing increase/OC build)","Reported balance lower than expected (missing decrease)"))))),""))</f>
        <v/>
      </c>
    </row>
    <row r="1456" customFormat="false" ht="15" hidden="false" customHeight="false" outlineLevel="0" collapsed="false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9"/>
      <c r="L1456" s="9"/>
      <c r="M1456" s="9"/>
      <c r="N1456" s="9"/>
      <c r="O1456" s="9"/>
      <c r="P1456" s="9"/>
      <c r="Q1456" s="9"/>
      <c r="R1456" s="9" t="str">
        <f aca="false">IF(AND(A1456&lt;&gt;"",ISNUMBER(Q1456),ISNUMBER(L1456)),ROUND(Q1456-IF(ISNUMBER(N1456),N1456,0)-IF(ISNUMBER(O1456),O1456,0)+IF(ISNUMBER(P1456),P1456,0),2),"")</f>
        <v/>
      </c>
      <c r="S1456" s="9" t="str">
        <f aca="false">IF(R1456="","",ROUND(L1456-R1456,2))</f>
        <v/>
      </c>
      <c r="T1456" s="8" t="str">
        <f aca="false">IF(A1456="","",IF(S1456="","BYPASS",IF(ABS(S1456)&lt;=Summary!$B$2,"PASS","FAIL")))</f>
        <v/>
      </c>
      <c r="U1456" s="8" t="str">
        <f aca="false">IF(T1456="BYPASS",IF(NOT(ISNUMBER(Q1456)),"PreV_ETB missing","End_tr_balance missing"),IF(T1456="FAIL",IF(AND(ISNUMBER(K1456),ISNUMBER(L1456),ABS(L1456-(K1456-IF(ISNUMBER(N1456),N1456,0)-IF(ISNUMBER(O1456),O1456,0)+IF(ISNUMBER(P1456),P1456,0)))&lt;=Summary!$B$2),"Passes using beginning_balance - PreV_ETB differs from beginning_balance",IF(AND(ISNUMBER(O1456),O1456&lt;0,ABS(L1456-(Q1456-IF(ISNUMBER(N1456),N1456,0)+IF(ISNUMBER(P1456),P1456,0)))&lt;=Summary!$B$2),"Negative realized loss not applied - check sign",IF(R1456&lt;0,"Principal paid exceeds prior balance",IF(AND(L1456&gt;Q1456,NOT(ISNUMBER(P1456))),"Balance increased but no Deferred_interest reported",IF(L1456&gt;R1456,"Reported balance higher than expected (missing increase/OC build)","Reported balance lower than expected (missing decrease)"))))),""))</f>
        <v/>
      </c>
    </row>
    <row r="1457" customFormat="false" ht="15" hidden="false" customHeight="false" outlineLevel="0" collapsed="false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9"/>
      <c r="L1457" s="9"/>
      <c r="M1457" s="9"/>
      <c r="N1457" s="9"/>
      <c r="O1457" s="9"/>
      <c r="P1457" s="9"/>
      <c r="Q1457" s="9"/>
      <c r="R1457" s="9" t="str">
        <f aca="false">IF(AND(A1457&lt;&gt;"",ISNUMBER(Q1457),ISNUMBER(L1457)),ROUND(Q1457-IF(ISNUMBER(N1457),N1457,0)-IF(ISNUMBER(O1457),O1457,0)+IF(ISNUMBER(P1457),P1457,0),2),"")</f>
        <v/>
      </c>
      <c r="S1457" s="9" t="str">
        <f aca="false">IF(R1457="","",ROUND(L1457-R1457,2))</f>
        <v/>
      </c>
      <c r="T1457" s="8" t="str">
        <f aca="false">IF(A1457="","",IF(S1457="","BYPASS",IF(ABS(S1457)&lt;=Summary!$B$2,"PASS","FAIL")))</f>
        <v/>
      </c>
      <c r="U1457" s="8" t="str">
        <f aca="false">IF(T1457="BYPASS",IF(NOT(ISNUMBER(Q1457)),"PreV_ETB missing","End_tr_balance missing"),IF(T1457="FAIL",IF(AND(ISNUMBER(K1457),ISNUMBER(L1457),ABS(L1457-(K1457-IF(ISNUMBER(N1457),N1457,0)-IF(ISNUMBER(O1457),O1457,0)+IF(ISNUMBER(P1457),P1457,0)))&lt;=Summary!$B$2),"Passes using beginning_balance - PreV_ETB differs from beginning_balance",IF(AND(ISNUMBER(O1457),O1457&lt;0,ABS(L1457-(Q1457-IF(ISNUMBER(N1457),N1457,0)+IF(ISNUMBER(P1457),P1457,0)))&lt;=Summary!$B$2),"Negative realized loss not applied - check sign",IF(R1457&lt;0,"Principal paid exceeds prior balance",IF(AND(L1457&gt;Q1457,NOT(ISNUMBER(P1457))),"Balance increased but no Deferred_interest reported",IF(L1457&gt;R1457,"Reported balance higher than expected (missing increase/OC build)","Reported balance lower than expected (missing decrease)"))))),""))</f>
        <v/>
      </c>
    </row>
    <row r="1458" customFormat="false" ht="15" hidden="false" customHeight="false" outlineLevel="0" collapsed="false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9"/>
      <c r="L1458" s="9"/>
      <c r="M1458" s="9"/>
      <c r="N1458" s="9"/>
      <c r="O1458" s="9"/>
      <c r="P1458" s="9"/>
      <c r="Q1458" s="9"/>
      <c r="R1458" s="9" t="str">
        <f aca="false">IF(AND(A1458&lt;&gt;"",ISNUMBER(Q1458),ISNUMBER(L1458)),ROUND(Q1458-IF(ISNUMBER(N1458),N1458,0)-IF(ISNUMBER(O1458),O1458,0)+IF(ISNUMBER(P1458),P1458,0),2),"")</f>
        <v/>
      </c>
      <c r="S1458" s="9" t="str">
        <f aca="false">IF(R1458="","",ROUND(L1458-R1458,2))</f>
        <v/>
      </c>
      <c r="T1458" s="8" t="str">
        <f aca="false">IF(A1458="","",IF(S1458="","BYPASS",IF(ABS(S1458)&lt;=Summary!$B$2,"PASS","FAIL")))</f>
        <v/>
      </c>
      <c r="U1458" s="8" t="str">
        <f aca="false">IF(T1458="BYPASS",IF(NOT(ISNUMBER(Q1458)),"PreV_ETB missing","End_tr_balance missing"),IF(T1458="FAIL",IF(AND(ISNUMBER(K1458),ISNUMBER(L1458),ABS(L1458-(K1458-IF(ISNUMBER(N1458),N1458,0)-IF(ISNUMBER(O1458),O1458,0)+IF(ISNUMBER(P1458),P1458,0)))&lt;=Summary!$B$2),"Passes using beginning_balance - PreV_ETB differs from beginning_balance",IF(AND(ISNUMBER(O1458),O1458&lt;0,ABS(L1458-(Q1458-IF(ISNUMBER(N1458),N1458,0)+IF(ISNUMBER(P1458),P1458,0)))&lt;=Summary!$B$2),"Negative realized loss not applied - check sign",IF(R1458&lt;0,"Principal paid exceeds prior balance",IF(AND(L1458&gt;Q1458,NOT(ISNUMBER(P1458))),"Balance increased but no Deferred_interest reported",IF(L1458&gt;R1458,"Reported balance higher than expected (missing increase/OC build)","Reported balance lower than expected (missing decrease)"))))),""))</f>
        <v/>
      </c>
    </row>
    <row r="1459" customFormat="false" ht="15" hidden="false" customHeight="false" outlineLevel="0" collapsed="false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9"/>
      <c r="L1459" s="9"/>
      <c r="M1459" s="9"/>
      <c r="N1459" s="9"/>
      <c r="O1459" s="9"/>
      <c r="P1459" s="9"/>
      <c r="Q1459" s="9"/>
      <c r="R1459" s="9" t="str">
        <f aca="false">IF(AND(A1459&lt;&gt;"",ISNUMBER(Q1459),ISNUMBER(L1459)),ROUND(Q1459-IF(ISNUMBER(N1459),N1459,0)-IF(ISNUMBER(O1459),O1459,0)+IF(ISNUMBER(P1459),P1459,0),2),"")</f>
        <v/>
      </c>
      <c r="S1459" s="9" t="str">
        <f aca="false">IF(R1459="","",ROUND(L1459-R1459,2))</f>
        <v/>
      </c>
      <c r="T1459" s="8" t="str">
        <f aca="false">IF(A1459="","",IF(S1459="","BYPASS",IF(ABS(S1459)&lt;=Summary!$B$2,"PASS","FAIL")))</f>
        <v/>
      </c>
      <c r="U1459" s="8" t="str">
        <f aca="false">IF(T1459="BYPASS",IF(NOT(ISNUMBER(Q1459)),"PreV_ETB missing","End_tr_balance missing"),IF(T1459="FAIL",IF(AND(ISNUMBER(K1459),ISNUMBER(L1459),ABS(L1459-(K1459-IF(ISNUMBER(N1459),N1459,0)-IF(ISNUMBER(O1459),O1459,0)+IF(ISNUMBER(P1459),P1459,0)))&lt;=Summary!$B$2),"Passes using beginning_balance - PreV_ETB differs from beginning_balance",IF(AND(ISNUMBER(O1459),O1459&lt;0,ABS(L1459-(Q1459-IF(ISNUMBER(N1459),N1459,0)+IF(ISNUMBER(P1459),P1459,0)))&lt;=Summary!$B$2),"Negative realized loss not applied - check sign",IF(R1459&lt;0,"Principal paid exceeds prior balance",IF(AND(L1459&gt;Q1459,NOT(ISNUMBER(P1459))),"Balance increased but no Deferred_interest reported",IF(L1459&gt;R1459,"Reported balance higher than expected (missing increase/OC build)","Reported balance lower than expected (missing decrease)"))))),""))</f>
        <v/>
      </c>
    </row>
    <row r="1460" customFormat="false" ht="15" hidden="false" customHeight="false" outlineLevel="0" collapsed="false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9"/>
      <c r="L1460" s="9"/>
      <c r="M1460" s="9"/>
      <c r="N1460" s="9"/>
      <c r="O1460" s="9"/>
      <c r="P1460" s="9"/>
      <c r="Q1460" s="9"/>
      <c r="R1460" s="9" t="str">
        <f aca="false">IF(AND(A1460&lt;&gt;"",ISNUMBER(Q1460),ISNUMBER(L1460)),ROUND(Q1460-IF(ISNUMBER(N1460),N1460,0)-IF(ISNUMBER(O1460),O1460,0)+IF(ISNUMBER(P1460),P1460,0),2),"")</f>
        <v/>
      </c>
      <c r="S1460" s="9" t="str">
        <f aca="false">IF(R1460="","",ROUND(L1460-R1460,2))</f>
        <v/>
      </c>
      <c r="T1460" s="8" t="str">
        <f aca="false">IF(A1460="","",IF(S1460="","BYPASS",IF(ABS(S1460)&lt;=Summary!$B$2,"PASS","FAIL")))</f>
        <v/>
      </c>
      <c r="U1460" s="8" t="str">
        <f aca="false">IF(T1460="BYPASS",IF(NOT(ISNUMBER(Q1460)),"PreV_ETB missing","End_tr_balance missing"),IF(T1460="FAIL",IF(AND(ISNUMBER(K1460),ISNUMBER(L1460),ABS(L1460-(K1460-IF(ISNUMBER(N1460),N1460,0)-IF(ISNUMBER(O1460),O1460,0)+IF(ISNUMBER(P1460),P1460,0)))&lt;=Summary!$B$2),"Passes using beginning_balance - PreV_ETB differs from beginning_balance",IF(AND(ISNUMBER(O1460),O1460&lt;0,ABS(L1460-(Q1460-IF(ISNUMBER(N1460),N1460,0)+IF(ISNUMBER(P1460),P1460,0)))&lt;=Summary!$B$2),"Negative realized loss not applied - check sign",IF(R1460&lt;0,"Principal paid exceeds prior balance",IF(AND(L1460&gt;Q1460,NOT(ISNUMBER(P1460))),"Balance increased but no Deferred_interest reported",IF(L1460&gt;R1460,"Reported balance higher than expected (missing increase/OC build)","Reported balance lower than expected (missing decrease)"))))),""))</f>
        <v/>
      </c>
    </row>
    <row r="1461" customFormat="false" ht="15" hidden="false" customHeight="false" outlineLevel="0" collapsed="false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9"/>
      <c r="L1461" s="9"/>
      <c r="M1461" s="9"/>
      <c r="N1461" s="9"/>
      <c r="O1461" s="9"/>
      <c r="P1461" s="9"/>
      <c r="Q1461" s="9"/>
      <c r="R1461" s="9" t="str">
        <f aca="false">IF(AND(A1461&lt;&gt;"",ISNUMBER(Q1461),ISNUMBER(L1461)),ROUND(Q1461-IF(ISNUMBER(N1461),N1461,0)-IF(ISNUMBER(O1461),O1461,0)+IF(ISNUMBER(P1461),P1461,0),2),"")</f>
        <v/>
      </c>
      <c r="S1461" s="9" t="str">
        <f aca="false">IF(R1461="","",ROUND(L1461-R1461,2))</f>
        <v/>
      </c>
      <c r="T1461" s="8" t="str">
        <f aca="false">IF(A1461="","",IF(S1461="","BYPASS",IF(ABS(S1461)&lt;=Summary!$B$2,"PASS","FAIL")))</f>
        <v/>
      </c>
      <c r="U1461" s="8" t="str">
        <f aca="false">IF(T1461="BYPASS",IF(NOT(ISNUMBER(Q1461)),"PreV_ETB missing","End_tr_balance missing"),IF(T1461="FAIL",IF(AND(ISNUMBER(K1461),ISNUMBER(L1461),ABS(L1461-(K1461-IF(ISNUMBER(N1461),N1461,0)-IF(ISNUMBER(O1461),O1461,0)+IF(ISNUMBER(P1461),P1461,0)))&lt;=Summary!$B$2),"Passes using beginning_balance - PreV_ETB differs from beginning_balance",IF(AND(ISNUMBER(O1461),O1461&lt;0,ABS(L1461-(Q1461-IF(ISNUMBER(N1461),N1461,0)+IF(ISNUMBER(P1461),P1461,0)))&lt;=Summary!$B$2),"Negative realized loss not applied - check sign",IF(R1461&lt;0,"Principal paid exceeds prior balance",IF(AND(L1461&gt;Q1461,NOT(ISNUMBER(P1461))),"Balance increased but no Deferred_interest reported",IF(L1461&gt;R1461,"Reported balance higher than expected (missing increase/OC build)","Reported balance lower than expected (missing decrease)"))))),""))</f>
        <v/>
      </c>
    </row>
    <row r="1462" customFormat="false" ht="15" hidden="false" customHeight="false" outlineLevel="0" collapsed="false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9"/>
      <c r="L1462" s="9"/>
      <c r="M1462" s="9"/>
      <c r="N1462" s="9"/>
      <c r="O1462" s="9"/>
      <c r="P1462" s="9"/>
      <c r="Q1462" s="9"/>
      <c r="R1462" s="9" t="str">
        <f aca="false">IF(AND(A1462&lt;&gt;"",ISNUMBER(Q1462),ISNUMBER(L1462)),ROUND(Q1462-IF(ISNUMBER(N1462),N1462,0)-IF(ISNUMBER(O1462),O1462,0)+IF(ISNUMBER(P1462),P1462,0),2),"")</f>
        <v/>
      </c>
      <c r="S1462" s="9" t="str">
        <f aca="false">IF(R1462="","",ROUND(L1462-R1462,2))</f>
        <v/>
      </c>
      <c r="T1462" s="8" t="str">
        <f aca="false">IF(A1462="","",IF(S1462="","BYPASS",IF(ABS(S1462)&lt;=Summary!$B$2,"PASS","FAIL")))</f>
        <v/>
      </c>
      <c r="U1462" s="8" t="str">
        <f aca="false">IF(T1462="BYPASS",IF(NOT(ISNUMBER(Q1462)),"PreV_ETB missing","End_tr_balance missing"),IF(T1462="FAIL",IF(AND(ISNUMBER(K1462),ISNUMBER(L1462),ABS(L1462-(K1462-IF(ISNUMBER(N1462),N1462,0)-IF(ISNUMBER(O1462),O1462,0)+IF(ISNUMBER(P1462),P1462,0)))&lt;=Summary!$B$2),"Passes using beginning_balance - PreV_ETB differs from beginning_balance",IF(AND(ISNUMBER(O1462),O1462&lt;0,ABS(L1462-(Q1462-IF(ISNUMBER(N1462),N1462,0)+IF(ISNUMBER(P1462),P1462,0)))&lt;=Summary!$B$2),"Negative realized loss not applied - check sign",IF(R1462&lt;0,"Principal paid exceeds prior balance",IF(AND(L1462&gt;Q1462,NOT(ISNUMBER(P1462))),"Balance increased but no Deferred_interest reported",IF(L1462&gt;R1462,"Reported balance higher than expected (missing increase/OC build)","Reported balance lower than expected (missing decrease)"))))),""))</f>
        <v/>
      </c>
    </row>
    <row r="1463" customFormat="false" ht="15" hidden="false" customHeight="false" outlineLevel="0" collapsed="false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9"/>
      <c r="L1463" s="9"/>
      <c r="M1463" s="9"/>
      <c r="N1463" s="9"/>
      <c r="O1463" s="9"/>
      <c r="P1463" s="9"/>
      <c r="Q1463" s="9"/>
      <c r="R1463" s="9" t="str">
        <f aca="false">IF(AND(A1463&lt;&gt;"",ISNUMBER(Q1463),ISNUMBER(L1463)),ROUND(Q1463-IF(ISNUMBER(N1463),N1463,0)-IF(ISNUMBER(O1463),O1463,0)+IF(ISNUMBER(P1463),P1463,0),2),"")</f>
        <v/>
      </c>
      <c r="S1463" s="9" t="str">
        <f aca="false">IF(R1463="","",ROUND(L1463-R1463,2))</f>
        <v/>
      </c>
      <c r="T1463" s="8" t="str">
        <f aca="false">IF(A1463="","",IF(S1463="","BYPASS",IF(ABS(S1463)&lt;=Summary!$B$2,"PASS","FAIL")))</f>
        <v/>
      </c>
      <c r="U1463" s="8" t="str">
        <f aca="false">IF(T1463="BYPASS",IF(NOT(ISNUMBER(Q1463)),"PreV_ETB missing","End_tr_balance missing"),IF(T1463="FAIL",IF(AND(ISNUMBER(K1463),ISNUMBER(L1463),ABS(L1463-(K1463-IF(ISNUMBER(N1463),N1463,0)-IF(ISNUMBER(O1463),O1463,0)+IF(ISNUMBER(P1463),P1463,0)))&lt;=Summary!$B$2),"Passes using beginning_balance - PreV_ETB differs from beginning_balance",IF(AND(ISNUMBER(O1463),O1463&lt;0,ABS(L1463-(Q1463-IF(ISNUMBER(N1463),N1463,0)+IF(ISNUMBER(P1463),P1463,0)))&lt;=Summary!$B$2),"Negative realized loss not applied - check sign",IF(R1463&lt;0,"Principal paid exceeds prior balance",IF(AND(L1463&gt;Q1463,NOT(ISNUMBER(P1463))),"Balance increased but no Deferred_interest reported",IF(L1463&gt;R1463,"Reported balance higher than expected (missing increase/OC build)","Reported balance lower than expected (missing decrease)"))))),""))</f>
        <v/>
      </c>
    </row>
    <row r="1464" customFormat="false" ht="15" hidden="false" customHeight="false" outlineLevel="0" collapsed="false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9"/>
      <c r="L1464" s="9"/>
      <c r="M1464" s="9"/>
      <c r="N1464" s="9"/>
      <c r="O1464" s="9"/>
      <c r="P1464" s="9"/>
      <c r="Q1464" s="9"/>
      <c r="R1464" s="9" t="str">
        <f aca="false">IF(AND(A1464&lt;&gt;"",ISNUMBER(Q1464),ISNUMBER(L1464)),ROUND(Q1464-IF(ISNUMBER(N1464),N1464,0)-IF(ISNUMBER(O1464),O1464,0)+IF(ISNUMBER(P1464),P1464,0),2),"")</f>
        <v/>
      </c>
      <c r="S1464" s="9" t="str">
        <f aca="false">IF(R1464="","",ROUND(L1464-R1464,2))</f>
        <v/>
      </c>
      <c r="T1464" s="8" t="str">
        <f aca="false">IF(A1464="","",IF(S1464="","BYPASS",IF(ABS(S1464)&lt;=Summary!$B$2,"PASS","FAIL")))</f>
        <v/>
      </c>
      <c r="U1464" s="8" t="str">
        <f aca="false">IF(T1464="BYPASS",IF(NOT(ISNUMBER(Q1464)),"PreV_ETB missing","End_tr_balance missing"),IF(T1464="FAIL",IF(AND(ISNUMBER(K1464),ISNUMBER(L1464),ABS(L1464-(K1464-IF(ISNUMBER(N1464),N1464,0)-IF(ISNUMBER(O1464),O1464,0)+IF(ISNUMBER(P1464),P1464,0)))&lt;=Summary!$B$2),"Passes using beginning_balance - PreV_ETB differs from beginning_balance",IF(AND(ISNUMBER(O1464),O1464&lt;0,ABS(L1464-(Q1464-IF(ISNUMBER(N1464),N1464,0)+IF(ISNUMBER(P1464),P1464,0)))&lt;=Summary!$B$2),"Negative realized loss not applied - check sign",IF(R1464&lt;0,"Principal paid exceeds prior balance",IF(AND(L1464&gt;Q1464,NOT(ISNUMBER(P1464))),"Balance increased but no Deferred_interest reported",IF(L1464&gt;R1464,"Reported balance higher than expected (missing increase/OC build)","Reported balance lower than expected (missing decrease)"))))),""))</f>
        <v/>
      </c>
    </row>
    <row r="1465" customFormat="false" ht="15" hidden="false" customHeight="false" outlineLevel="0" collapsed="false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9"/>
      <c r="L1465" s="9"/>
      <c r="M1465" s="9"/>
      <c r="N1465" s="9"/>
      <c r="O1465" s="9"/>
      <c r="P1465" s="9"/>
      <c r="Q1465" s="9"/>
      <c r="R1465" s="9" t="str">
        <f aca="false">IF(AND(A1465&lt;&gt;"",ISNUMBER(Q1465),ISNUMBER(L1465)),ROUND(Q1465-IF(ISNUMBER(N1465),N1465,0)-IF(ISNUMBER(O1465),O1465,0)+IF(ISNUMBER(P1465),P1465,0),2),"")</f>
        <v/>
      </c>
      <c r="S1465" s="9" t="str">
        <f aca="false">IF(R1465="","",ROUND(L1465-R1465,2))</f>
        <v/>
      </c>
      <c r="T1465" s="8" t="str">
        <f aca="false">IF(A1465="","",IF(S1465="","BYPASS",IF(ABS(S1465)&lt;=Summary!$B$2,"PASS","FAIL")))</f>
        <v/>
      </c>
      <c r="U1465" s="8" t="str">
        <f aca="false">IF(T1465="BYPASS",IF(NOT(ISNUMBER(Q1465)),"PreV_ETB missing","End_tr_balance missing"),IF(T1465="FAIL",IF(AND(ISNUMBER(K1465),ISNUMBER(L1465),ABS(L1465-(K1465-IF(ISNUMBER(N1465),N1465,0)-IF(ISNUMBER(O1465),O1465,0)+IF(ISNUMBER(P1465),P1465,0)))&lt;=Summary!$B$2),"Passes using beginning_balance - PreV_ETB differs from beginning_balance",IF(AND(ISNUMBER(O1465),O1465&lt;0,ABS(L1465-(Q1465-IF(ISNUMBER(N1465),N1465,0)+IF(ISNUMBER(P1465),P1465,0)))&lt;=Summary!$B$2),"Negative realized loss not applied - check sign",IF(R1465&lt;0,"Principal paid exceeds prior balance",IF(AND(L1465&gt;Q1465,NOT(ISNUMBER(P1465))),"Balance increased but no Deferred_interest reported",IF(L1465&gt;R1465,"Reported balance higher than expected (missing increase/OC build)","Reported balance lower than expected (missing decrease)"))))),""))</f>
        <v/>
      </c>
    </row>
    <row r="1466" customFormat="false" ht="15" hidden="false" customHeight="false" outlineLevel="0" collapsed="false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9"/>
      <c r="L1466" s="9"/>
      <c r="M1466" s="9"/>
      <c r="N1466" s="9"/>
      <c r="O1466" s="9"/>
      <c r="P1466" s="9"/>
      <c r="Q1466" s="9"/>
      <c r="R1466" s="9" t="str">
        <f aca="false">IF(AND(A1466&lt;&gt;"",ISNUMBER(Q1466),ISNUMBER(L1466)),ROUND(Q1466-IF(ISNUMBER(N1466),N1466,0)-IF(ISNUMBER(O1466),O1466,0)+IF(ISNUMBER(P1466),P1466,0),2),"")</f>
        <v/>
      </c>
      <c r="S1466" s="9" t="str">
        <f aca="false">IF(R1466="","",ROUND(L1466-R1466,2))</f>
        <v/>
      </c>
      <c r="T1466" s="8" t="str">
        <f aca="false">IF(A1466="","",IF(S1466="","BYPASS",IF(ABS(S1466)&lt;=Summary!$B$2,"PASS","FAIL")))</f>
        <v/>
      </c>
      <c r="U1466" s="8" t="str">
        <f aca="false">IF(T1466="BYPASS",IF(NOT(ISNUMBER(Q1466)),"PreV_ETB missing","End_tr_balance missing"),IF(T1466="FAIL",IF(AND(ISNUMBER(K1466),ISNUMBER(L1466),ABS(L1466-(K1466-IF(ISNUMBER(N1466),N1466,0)-IF(ISNUMBER(O1466),O1466,0)+IF(ISNUMBER(P1466),P1466,0)))&lt;=Summary!$B$2),"Passes using beginning_balance - PreV_ETB differs from beginning_balance",IF(AND(ISNUMBER(O1466),O1466&lt;0,ABS(L1466-(Q1466-IF(ISNUMBER(N1466),N1466,0)+IF(ISNUMBER(P1466),P1466,0)))&lt;=Summary!$B$2),"Negative realized loss not applied - check sign",IF(R1466&lt;0,"Principal paid exceeds prior balance",IF(AND(L1466&gt;Q1466,NOT(ISNUMBER(P1466))),"Balance increased but no Deferred_interest reported",IF(L1466&gt;R1466,"Reported balance higher than expected (missing increase/OC build)","Reported balance lower than expected (missing decrease)"))))),""))</f>
        <v/>
      </c>
    </row>
    <row r="1467" customFormat="false" ht="15" hidden="false" customHeight="false" outlineLevel="0" collapsed="false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9"/>
      <c r="L1467" s="9"/>
      <c r="M1467" s="9"/>
      <c r="N1467" s="9"/>
      <c r="O1467" s="9"/>
      <c r="P1467" s="9"/>
      <c r="Q1467" s="9"/>
      <c r="R1467" s="9" t="str">
        <f aca="false">IF(AND(A1467&lt;&gt;"",ISNUMBER(Q1467),ISNUMBER(L1467)),ROUND(Q1467-IF(ISNUMBER(N1467),N1467,0)-IF(ISNUMBER(O1467),O1467,0)+IF(ISNUMBER(P1467),P1467,0),2),"")</f>
        <v/>
      </c>
      <c r="S1467" s="9" t="str">
        <f aca="false">IF(R1467="","",ROUND(L1467-R1467,2))</f>
        <v/>
      </c>
      <c r="T1467" s="8" t="str">
        <f aca="false">IF(A1467="","",IF(S1467="","BYPASS",IF(ABS(S1467)&lt;=Summary!$B$2,"PASS","FAIL")))</f>
        <v/>
      </c>
      <c r="U1467" s="8" t="str">
        <f aca="false">IF(T1467="BYPASS",IF(NOT(ISNUMBER(Q1467)),"PreV_ETB missing","End_tr_balance missing"),IF(T1467="FAIL",IF(AND(ISNUMBER(K1467),ISNUMBER(L1467),ABS(L1467-(K1467-IF(ISNUMBER(N1467),N1467,0)-IF(ISNUMBER(O1467),O1467,0)+IF(ISNUMBER(P1467),P1467,0)))&lt;=Summary!$B$2),"Passes using beginning_balance - PreV_ETB differs from beginning_balance",IF(AND(ISNUMBER(O1467),O1467&lt;0,ABS(L1467-(Q1467-IF(ISNUMBER(N1467),N1467,0)+IF(ISNUMBER(P1467),P1467,0)))&lt;=Summary!$B$2),"Negative realized loss not applied - check sign",IF(R1467&lt;0,"Principal paid exceeds prior balance",IF(AND(L1467&gt;Q1467,NOT(ISNUMBER(P1467))),"Balance increased but no Deferred_interest reported",IF(L1467&gt;R1467,"Reported balance higher than expected (missing increase/OC build)","Reported balance lower than expected (missing decrease)"))))),""))</f>
        <v/>
      </c>
    </row>
    <row r="1468" customFormat="false" ht="15" hidden="false" customHeight="false" outlineLevel="0" collapsed="false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9"/>
      <c r="L1468" s="9"/>
      <c r="M1468" s="9"/>
      <c r="N1468" s="9"/>
      <c r="O1468" s="9"/>
      <c r="P1468" s="9"/>
      <c r="Q1468" s="9"/>
      <c r="R1468" s="9" t="str">
        <f aca="false">IF(AND(A1468&lt;&gt;"",ISNUMBER(Q1468),ISNUMBER(L1468)),ROUND(Q1468-IF(ISNUMBER(N1468),N1468,0)-IF(ISNUMBER(O1468),O1468,0)+IF(ISNUMBER(P1468),P1468,0),2),"")</f>
        <v/>
      </c>
      <c r="S1468" s="9" t="str">
        <f aca="false">IF(R1468="","",ROUND(L1468-R1468,2))</f>
        <v/>
      </c>
      <c r="T1468" s="8" t="str">
        <f aca="false">IF(A1468="","",IF(S1468="","BYPASS",IF(ABS(S1468)&lt;=Summary!$B$2,"PASS","FAIL")))</f>
        <v/>
      </c>
      <c r="U1468" s="8" t="str">
        <f aca="false">IF(T1468="BYPASS",IF(NOT(ISNUMBER(Q1468)),"PreV_ETB missing","End_tr_balance missing"),IF(T1468="FAIL",IF(AND(ISNUMBER(K1468),ISNUMBER(L1468),ABS(L1468-(K1468-IF(ISNUMBER(N1468),N1468,0)-IF(ISNUMBER(O1468),O1468,0)+IF(ISNUMBER(P1468),P1468,0)))&lt;=Summary!$B$2),"Passes using beginning_balance - PreV_ETB differs from beginning_balance",IF(AND(ISNUMBER(O1468),O1468&lt;0,ABS(L1468-(Q1468-IF(ISNUMBER(N1468),N1468,0)+IF(ISNUMBER(P1468),P1468,0)))&lt;=Summary!$B$2),"Negative realized loss not applied - check sign",IF(R1468&lt;0,"Principal paid exceeds prior balance",IF(AND(L1468&gt;Q1468,NOT(ISNUMBER(P1468))),"Balance increased but no Deferred_interest reported",IF(L1468&gt;R1468,"Reported balance higher than expected (missing increase/OC build)","Reported balance lower than expected (missing decrease)"))))),""))</f>
        <v/>
      </c>
    </row>
    <row r="1469" customFormat="false" ht="15" hidden="false" customHeight="false" outlineLevel="0" collapsed="false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9"/>
      <c r="L1469" s="9"/>
      <c r="M1469" s="9"/>
      <c r="N1469" s="9"/>
      <c r="O1469" s="9"/>
      <c r="P1469" s="9"/>
      <c r="Q1469" s="9"/>
      <c r="R1469" s="9" t="str">
        <f aca="false">IF(AND(A1469&lt;&gt;"",ISNUMBER(Q1469),ISNUMBER(L1469)),ROUND(Q1469-IF(ISNUMBER(N1469),N1469,0)-IF(ISNUMBER(O1469),O1469,0)+IF(ISNUMBER(P1469),P1469,0),2),"")</f>
        <v/>
      </c>
      <c r="S1469" s="9" t="str">
        <f aca="false">IF(R1469="","",ROUND(L1469-R1469,2))</f>
        <v/>
      </c>
      <c r="T1469" s="8" t="str">
        <f aca="false">IF(A1469="","",IF(S1469="","BYPASS",IF(ABS(S1469)&lt;=Summary!$B$2,"PASS","FAIL")))</f>
        <v/>
      </c>
      <c r="U1469" s="8" t="str">
        <f aca="false">IF(T1469="BYPASS",IF(NOT(ISNUMBER(Q1469)),"PreV_ETB missing","End_tr_balance missing"),IF(T1469="FAIL",IF(AND(ISNUMBER(K1469),ISNUMBER(L1469),ABS(L1469-(K1469-IF(ISNUMBER(N1469),N1469,0)-IF(ISNUMBER(O1469),O1469,0)+IF(ISNUMBER(P1469),P1469,0)))&lt;=Summary!$B$2),"Passes using beginning_balance - PreV_ETB differs from beginning_balance",IF(AND(ISNUMBER(O1469),O1469&lt;0,ABS(L1469-(Q1469-IF(ISNUMBER(N1469),N1469,0)+IF(ISNUMBER(P1469),P1469,0)))&lt;=Summary!$B$2),"Negative realized loss not applied - check sign",IF(R1469&lt;0,"Principal paid exceeds prior balance",IF(AND(L1469&gt;Q1469,NOT(ISNUMBER(P1469))),"Balance increased but no Deferred_interest reported",IF(L1469&gt;R1469,"Reported balance higher than expected (missing increase/OC build)","Reported balance lower than expected (missing decrease)"))))),""))</f>
        <v/>
      </c>
    </row>
    <row r="1470" customFormat="false" ht="15" hidden="false" customHeight="false" outlineLevel="0" collapsed="false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9"/>
      <c r="L1470" s="9"/>
      <c r="M1470" s="9"/>
      <c r="N1470" s="9"/>
      <c r="O1470" s="9"/>
      <c r="P1470" s="9"/>
      <c r="Q1470" s="9"/>
      <c r="R1470" s="9" t="str">
        <f aca="false">IF(AND(A1470&lt;&gt;"",ISNUMBER(Q1470),ISNUMBER(L1470)),ROUND(Q1470-IF(ISNUMBER(N1470),N1470,0)-IF(ISNUMBER(O1470),O1470,0)+IF(ISNUMBER(P1470),P1470,0),2),"")</f>
        <v/>
      </c>
      <c r="S1470" s="9" t="str">
        <f aca="false">IF(R1470="","",ROUND(L1470-R1470,2))</f>
        <v/>
      </c>
      <c r="T1470" s="8" t="str">
        <f aca="false">IF(A1470="","",IF(S1470="","BYPASS",IF(ABS(S1470)&lt;=Summary!$B$2,"PASS","FAIL")))</f>
        <v/>
      </c>
      <c r="U1470" s="8" t="str">
        <f aca="false">IF(T1470="BYPASS",IF(NOT(ISNUMBER(Q1470)),"PreV_ETB missing","End_tr_balance missing"),IF(T1470="FAIL",IF(AND(ISNUMBER(K1470),ISNUMBER(L1470),ABS(L1470-(K1470-IF(ISNUMBER(N1470),N1470,0)-IF(ISNUMBER(O1470),O1470,0)+IF(ISNUMBER(P1470),P1470,0)))&lt;=Summary!$B$2),"Passes using beginning_balance - PreV_ETB differs from beginning_balance",IF(AND(ISNUMBER(O1470),O1470&lt;0,ABS(L1470-(Q1470-IF(ISNUMBER(N1470),N1470,0)+IF(ISNUMBER(P1470),P1470,0)))&lt;=Summary!$B$2),"Negative realized loss not applied - check sign",IF(R1470&lt;0,"Principal paid exceeds prior balance",IF(AND(L1470&gt;Q1470,NOT(ISNUMBER(P1470))),"Balance increased but no Deferred_interest reported",IF(L1470&gt;R1470,"Reported balance higher than expected (missing increase/OC build)","Reported balance lower than expected (missing decrease)"))))),""))</f>
        <v/>
      </c>
    </row>
    <row r="1471" customFormat="false" ht="15" hidden="false" customHeight="false" outlineLevel="0" collapsed="false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9"/>
      <c r="L1471" s="9"/>
      <c r="M1471" s="9"/>
      <c r="N1471" s="9"/>
      <c r="O1471" s="9"/>
      <c r="P1471" s="9"/>
      <c r="Q1471" s="9"/>
      <c r="R1471" s="9" t="str">
        <f aca="false">IF(AND(A1471&lt;&gt;"",ISNUMBER(Q1471),ISNUMBER(L1471)),ROUND(Q1471-IF(ISNUMBER(N1471),N1471,0)-IF(ISNUMBER(O1471),O1471,0)+IF(ISNUMBER(P1471),P1471,0),2),"")</f>
        <v/>
      </c>
      <c r="S1471" s="9" t="str">
        <f aca="false">IF(R1471="","",ROUND(L1471-R1471,2))</f>
        <v/>
      </c>
      <c r="T1471" s="8" t="str">
        <f aca="false">IF(A1471="","",IF(S1471="","BYPASS",IF(ABS(S1471)&lt;=Summary!$B$2,"PASS","FAIL")))</f>
        <v/>
      </c>
      <c r="U1471" s="8" t="str">
        <f aca="false">IF(T1471="BYPASS",IF(NOT(ISNUMBER(Q1471)),"PreV_ETB missing","End_tr_balance missing"),IF(T1471="FAIL",IF(AND(ISNUMBER(K1471),ISNUMBER(L1471),ABS(L1471-(K1471-IF(ISNUMBER(N1471),N1471,0)-IF(ISNUMBER(O1471),O1471,0)+IF(ISNUMBER(P1471),P1471,0)))&lt;=Summary!$B$2),"Passes using beginning_balance - PreV_ETB differs from beginning_balance",IF(AND(ISNUMBER(O1471),O1471&lt;0,ABS(L1471-(Q1471-IF(ISNUMBER(N1471),N1471,0)+IF(ISNUMBER(P1471),P1471,0)))&lt;=Summary!$B$2),"Negative realized loss not applied - check sign",IF(R1471&lt;0,"Principal paid exceeds prior balance",IF(AND(L1471&gt;Q1471,NOT(ISNUMBER(P1471))),"Balance increased but no Deferred_interest reported",IF(L1471&gt;R1471,"Reported balance higher than expected (missing increase/OC build)","Reported balance lower than expected (missing decrease)"))))),""))</f>
        <v/>
      </c>
    </row>
    <row r="1472" customFormat="false" ht="15" hidden="false" customHeight="false" outlineLevel="0" collapsed="false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9"/>
      <c r="L1472" s="9"/>
      <c r="M1472" s="9"/>
      <c r="N1472" s="9"/>
      <c r="O1472" s="9"/>
      <c r="P1472" s="9"/>
      <c r="Q1472" s="9"/>
      <c r="R1472" s="9" t="str">
        <f aca="false">IF(AND(A1472&lt;&gt;"",ISNUMBER(Q1472),ISNUMBER(L1472)),ROUND(Q1472-IF(ISNUMBER(N1472),N1472,0)-IF(ISNUMBER(O1472),O1472,0)+IF(ISNUMBER(P1472),P1472,0),2),"")</f>
        <v/>
      </c>
      <c r="S1472" s="9" t="str">
        <f aca="false">IF(R1472="","",ROUND(L1472-R1472,2))</f>
        <v/>
      </c>
      <c r="T1472" s="8" t="str">
        <f aca="false">IF(A1472="","",IF(S1472="","BYPASS",IF(ABS(S1472)&lt;=Summary!$B$2,"PASS","FAIL")))</f>
        <v/>
      </c>
      <c r="U1472" s="8" t="str">
        <f aca="false">IF(T1472="BYPASS",IF(NOT(ISNUMBER(Q1472)),"PreV_ETB missing","End_tr_balance missing"),IF(T1472="FAIL",IF(AND(ISNUMBER(K1472),ISNUMBER(L1472),ABS(L1472-(K1472-IF(ISNUMBER(N1472),N1472,0)-IF(ISNUMBER(O1472),O1472,0)+IF(ISNUMBER(P1472),P1472,0)))&lt;=Summary!$B$2),"Passes using beginning_balance - PreV_ETB differs from beginning_balance",IF(AND(ISNUMBER(O1472),O1472&lt;0,ABS(L1472-(Q1472-IF(ISNUMBER(N1472),N1472,0)+IF(ISNUMBER(P1472),P1472,0)))&lt;=Summary!$B$2),"Negative realized loss not applied - check sign",IF(R1472&lt;0,"Principal paid exceeds prior balance",IF(AND(L1472&gt;Q1472,NOT(ISNUMBER(P1472))),"Balance increased but no Deferred_interest reported",IF(L1472&gt;R1472,"Reported balance higher than expected (missing increase/OC build)","Reported balance lower than expected (missing decrease)"))))),""))</f>
        <v/>
      </c>
    </row>
    <row r="1473" customFormat="false" ht="15" hidden="false" customHeight="false" outlineLevel="0" collapsed="false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9"/>
      <c r="L1473" s="9"/>
      <c r="M1473" s="9"/>
      <c r="N1473" s="9"/>
      <c r="O1473" s="9"/>
      <c r="P1473" s="9"/>
      <c r="Q1473" s="9"/>
      <c r="R1473" s="9" t="str">
        <f aca="false">IF(AND(A1473&lt;&gt;"",ISNUMBER(Q1473),ISNUMBER(L1473)),ROUND(Q1473-IF(ISNUMBER(N1473),N1473,0)-IF(ISNUMBER(O1473),O1473,0)+IF(ISNUMBER(P1473),P1473,0),2),"")</f>
        <v/>
      </c>
      <c r="S1473" s="9" t="str">
        <f aca="false">IF(R1473="","",ROUND(L1473-R1473,2))</f>
        <v/>
      </c>
      <c r="T1473" s="8" t="str">
        <f aca="false">IF(A1473="","",IF(S1473="","BYPASS",IF(ABS(S1473)&lt;=Summary!$B$2,"PASS","FAIL")))</f>
        <v/>
      </c>
      <c r="U1473" s="8" t="str">
        <f aca="false">IF(T1473="BYPASS",IF(NOT(ISNUMBER(Q1473)),"PreV_ETB missing","End_tr_balance missing"),IF(T1473="FAIL",IF(AND(ISNUMBER(K1473),ISNUMBER(L1473),ABS(L1473-(K1473-IF(ISNUMBER(N1473),N1473,0)-IF(ISNUMBER(O1473),O1473,0)+IF(ISNUMBER(P1473),P1473,0)))&lt;=Summary!$B$2),"Passes using beginning_balance - PreV_ETB differs from beginning_balance",IF(AND(ISNUMBER(O1473),O1473&lt;0,ABS(L1473-(Q1473-IF(ISNUMBER(N1473),N1473,0)+IF(ISNUMBER(P1473),P1473,0)))&lt;=Summary!$B$2),"Negative realized loss not applied - check sign",IF(R1473&lt;0,"Principal paid exceeds prior balance",IF(AND(L1473&gt;Q1473,NOT(ISNUMBER(P1473))),"Balance increased but no Deferred_interest reported",IF(L1473&gt;R1473,"Reported balance higher than expected (missing increase/OC build)","Reported balance lower than expected (missing decrease)"))))),""))</f>
        <v/>
      </c>
    </row>
    <row r="1474" customFormat="false" ht="15" hidden="false" customHeight="false" outlineLevel="0" collapsed="false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9"/>
      <c r="L1474" s="9"/>
      <c r="M1474" s="9"/>
      <c r="N1474" s="9"/>
      <c r="O1474" s="9"/>
      <c r="P1474" s="9"/>
      <c r="Q1474" s="9"/>
      <c r="R1474" s="9" t="str">
        <f aca="false">IF(AND(A1474&lt;&gt;"",ISNUMBER(Q1474),ISNUMBER(L1474)),ROUND(Q1474-IF(ISNUMBER(N1474),N1474,0)-IF(ISNUMBER(O1474),O1474,0)+IF(ISNUMBER(P1474),P1474,0),2),"")</f>
        <v/>
      </c>
      <c r="S1474" s="9" t="str">
        <f aca="false">IF(R1474="","",ROUND(L1474-R1474,2))</f>
        <v/>
      </c>
      <c r="T1474" s="8" t="str">
        <f aca="false">IF(A1474="","",IF(S1474="","BYPASS",IF(ABS(S1474)&lt;=Summary!$B$2,"PASS","FAIL")))</f>
        <v/>
      </c>
      <c r="U1474" s="8" t="str">
        <f aca="false">IF(T1474="BYPASS",IF(NOT(ISNUMBER(Q1474)),"PreV_ETB missing","End_tr_balance missing"),IF(T1474="FAIL",IF(AND(ISNUMBER(K1474),ISNUMBER(L1474),ABS(L1474-(K1474-IF(ISNUMBER(N1474),N1474,0)-IF(ISNUMBER(O1474),O1474,0)+IF(ISNUMBER(P1474),P1474,0)))&lt;=Summary!$B$2),"Passes using beginning_balance - PreV_ETB differs from beginning_balance",IF(AND(ISNUMBER(O1474),O1474&lt;0,ABS(L1474-(Q1474-IF(ISNUMBER(N1474),N1474,0)+IF(ISNUMBER(P1474),P1474,0)))&lt;=Summary!$B$2),"Negative realized loss not applied - check sign",IF(R1474&lt;0,"Principal paid exceeds prior balance",IF(AND(L1474&gt;Q1474,NOT(ISNUMBER(P1474))),"Balance increased but no Deferred_interest reported",IF(L1474&gt;R1474,"Reported balance higher than expected (missing increase/OC build)","Reported balance lower than expected (missing decrease)"))))),""))</f>
        <v/>
      </c>
    </row>
    <row r="1475" customFormat="false" ht="15" hidden="false" customHeight="false" outlineLevel="0" collapsed="false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9"/>
      <c r="L1475" s="9"/>
      <c r="M1475" s="9"/>
      <c r="N1475" s="9"/>
      <c r="O1475" s="9"/>
      <c r="P1475" s="9"/>
      <c r="Q1475" s="9"/>
      <c r="R1475" s="9" t="str">
        <f aca="false">IF(AND(A1475&lt;&gt;"",ISNUMBER(Q1475),ISNUMBER(L1475)),ROUND(Q1475-IF(ISNUMBER(N1475),N1475,0)-IF(ISNUMBER(O1475),O1475,0)+IF(ISNUMBER(P1475),P1475,0),2),"")</f>
        <v/>
      </c>
      <c r="S1475" s="9" t="str">
        <f aca="false">IF(R1475="","",ROUND(L1475-R1475,2))</f>
        <v/>
      </c>
      <c r="T1475" s="8" t="str">
        <f aca="false">IF(A1475="","",IF(S1475="","BYPASS",IF(ABS(S1475)&lt;=Summary!$B$2,"PASS","FAIL")))</f>
        <v/>
      </c>
      <c r="U1475" s="8" t="str">
        <f aca="false">IF(T1475="BYPASS",IF(NOT(ISNUMBER(Q1475)),"PreV_ETB missing","End_tr_balance missing"),IF(T1475="FAIL",IF(AND(ISNUMBER(K1475),ISNUMBER(L1475),ABS(L1475-(K1475-IF(ISNUMBER(N1475),N1475,0)-IF(ISNUMBER(O1475),O1475,0)+IF(ISNUMBER(P1475),P1475,0)))&lt;=Summary!$B$2),"Passes using beginning_balance - PreV_ETB differs from beginning_balance",IF(AND(ISNUMBER(O1475),O1475&lt;0,ABS(L1475-(Q1475-IF(ISNUMBER(N1475),N1475,0)+IF(ISNUMBER(P1475),P1475,0)))&lt;=Summary!$B$2),"Negative realized loss not applied - check sign",IF(R1475&lt;0,"Principal paid exceeds prior balance",IF(AND(L1475&gt;Q1475,NOT(ISNUMBER(P1475))),"Balance increased but no Deferred_interest reported",IF(L1475&gt;R1475,"Reported balance higher than expected (missing increase/OC build)","Reported balance lower than expected (missing decrease)"))))),""))</f>
        <v/>
      </c>
    </row>
    <row r="1476" customFormat="false" ht="15" hidden="false" customHeight="false" outlineLevel="0" collapsed="false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9"/>
      <c r="L1476" s="9"/>
      <c r="M1476" s="9"/>
      <c r="N1476" s="9"/>
      <c r="O1476" s="9"/>
      <c r="P1476" s="9"/>
      <c r="Q1476" s="9"/>
      <c r="R1476" s="9" t="str">
        <f aca="false">IF(AND(A1476&lt;&gt;"",ISNUMBER(Q1476),ISNUMBER(L1476)),ROUND(Q1476-IF(ISNUMBER(N1476),N1476,0)-IF(ISNUMBER(O1476),O1476,0)+IF(ISNUMBER(P1476),P1476,0),2),"")</f>
        <v/>
      </c>
      <c r="S1476" s="9" t="str">
        <f aca="false">IF(R1476="","",ROUND(L1476-R1476,2))</f>
        <v/>
      </c>
      <c r="T1476" s="8" t="str">
        <f aca="false">IF(A1476="","",IF(S1476="","BYPASS",IF(ABS(S1476)&lt;=Summary!$B$2,"PASS","FAIL")))</f>
        <v/>
      </c>
      <c r="U1476" s="8" t="str">
        <f aca="false">IF(T1476="BYPASS",IF(NOT(ISNUMBER(Q1476)),"PreV_ETB missing","End_tr_balance missing"),IF(T1476="FAIL",IF(AND(ISNUMBER(K1476),ISNUMBER(L1476),ABS(L1476-(K1476-IF(ISNUMBER(N1476),N1476,0)-IF(ISNUMBER(O1476),O1476,0)+IF(ISNUMBER(P1476),P1476,0)))&lt;=Summary!$B$2),"Passes using beginning_balance - PreV_ETB differs from beginning_balance",IF(AND(ISNUMBER(O1476),O1476&lt;0,ABS(L1476-(Q1476-IF(ISNUMBER(N1476),N1476,0)+IF(ISNUMBER(P1476),P1476,0)))&lt;=Summary!$B$2),"Negative realized loss not applied - check sign",IF(R1476&lt;0,"Principal paid exceeds prior balance",IF(AND(L1476&gt;Q1476,NOT(ISNUMBER(P1476))),"Balance increased but no Deferred_interest reported",IF(L1476&gt;R1476,"Reported balance higher than expected (missing increase/OC build)","Reported balance lower than expected (missing decrease)"))))),""))</f>
        <v/>
      </c>
    </row>
    <row r="1477" customFormat="false" ht="15" hidden="false" customHeight="false" outlineLevel="0" collapsed="false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9"/>
      <c r="L1477" s="9"/>
      <c r="M1477" s="9"/>
      <c r="N1477" s="9"/>
      <c r="O1477" s="9"/>
      <c r="P1477" s="9"/>
      <c r="Q1477" s="9"/>
      <c r="R1477" s="9" t="str">
        <f aca="false">IF(AND(A1477&lt;&gt;"",ISNUMBER(Q1477),ISNUMBER(L1477)),ROUND(Q1477-IF(ISNUMBER(N1477),N1477,0)-IF(ISNUMBER(O1477),O1477,0)+IF(ISNUMBER(P1477),P1477,0),2),"")</f>
        <v/>
      </c>
      <c r="S1477" s="9" t="str">
        <f aca="false">IF(R1477="","",ROUND(L1477-R1477,2))</f>
        <v/>
      </c>
      <c r="T1477" s="8" t="str">
        <f aca="false">IF(A1477="","",IF(S1477="","BYPASS",IF(ABS(S1477)&lt;=Summary!$B$2,"PASS","FAIL")))</f>
        <v/>
      </c>
      <c r="U1477" s="8" t="str">
        <f aca="false">IF(T1477="BYPASS",IF(NOT(ISNUMBER(Q1477)),"PreV_ETB missing","End_tr_balance missing"),IF(T1477="FAIL",IF(AND(ISNUMBER(K1477),ISNUMBER(L1477),ABS(L1477-(K1477-IF(ISNUMBER(N1477),N1477,0)-IF(ISNUMBER(O1477),O1477,0)+IF(ISNUMBER(P1477),P1477,0)))&lt;=Summary!$B$2),"Passes using beginning_balance - PreV_ETB differs from beginning_balance",IF(AND(ISNUMBER(O1477),O1477&lt;0,ABS(L1477-(Q1477-IF(ISNUMBER(N1477),N1477,0)+IF(ISNUMBER(P1477),P1477,0)))&lt;=Summary!$B$2),"Negative realized loss not applied - check sign",IF(R1477&lt;0,"Principal paid exceeds prior balance",IF(AND(L1477&gt;Q1477,NOT(ISNUMBER(P1477))),"Balance increased but no Deferred_interest reported",IF(L1477&gt;R1477,"Reported balance higher than expected (missing increase/OC build)","Reported balance lower than expected (missing decrease)"))))),""))</f>
        <v/>
      </c>
    </row>
    <row r="1478" customFormat="false" ht="15" hidden="false" customHeight="false" outlineLevel="0" collapsed="false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9"/>
      <c r="L1478" s="9"/>
      <c r="M1478" s="9"/>
      <c r="N1478" s="9"/>
      <c r="O1478" s="9"/>
      <c r="P1478" s="9"/>
      <c r="Q1478" s="9"/>
      <c r="R1478" s="9" t="str">
        <f aca="false">IF(AND(A1478&lt;&gt;"",ISNUMBER(Q1478),ISNUMBER(L1478)),ROUND(Q1478-IF(ISNUMBER(N1478),N1478,0)-IF(ISNUMBER(O1478),O1478,0)+IF(ISNUMBER(P1478),P1478,0),2),"")</f>
        <v/>
      </c>
      <c r="S1478" s="9" t="str">
        <f aca="false">IF(R1478="","",ROUND(L1478-R1478,2))</f>
        <v/>
      </c>
      <c r="T1478" s="8" t="str">
        <f aca="false">IF(A1478="","",IF(S1478="","BYPASS",IF(ABS(S1478)&lt;=Summary!$B$2,"PASS","FAIL")))</f>
        <v/>
      </c>
      <c r="U1478" s="8" t="str">
        <f aca="false">IF(T1478="BYPASS",IF(NOT(ISNUMBER(Q1478)),"PreV_ETB missing","End_tr_balance missing"),IF(T1478="FAIL",IF(AND(ISNUMBER(K1478),ISNUMBER(L1478),ABS(L1478-(K1478-IF(ISNUMBER(N1478),N1478,0)-IF(ISNUMBER(O1478),O1478,0)+IF(ISNUMBER(P1478),P1478,0)))&lt;=Summary!$B$2),"Passes using beginning_balance - PreV_ETB differs from beginning_balance",IF(AND(ISNUMBER(O1478),O1478&lt;0,ABS(L1478-(Q1478-IF(ISNUMBER(N1478),N1478,0)+IF(ISNUMBER(P1478),P1478,0)))&lt;=Summary!$B$2),"Negative realized loss not applied - check sign",IF(R1478&lt;0,"Principal paid exceeds prior balance",IF(AND(L1478&gt;Q1478,NOT(ISNUMBER(P1478))),"Balance increased but no Deferred_interest reported",IF(L1478&gt;R1478,"Reported balance higher than expected (missing increase/OC build)","Reported balance lower than expected (missing decrease)"))))),""))</f>
        <v/>
      </c>
    </row>
    <row r="1479" customFormat="false" ht="15" hidden="false" customHeight="false" outlineLevel="0" collapsed="false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9"/>
      <c r="L1479" s="9"/>
      <c r="M1479" s="9"/>
      <c r="N1479" s="9"/>
      <c r="O1479" s="9"/>
      <c r="P1479" s="9"/>
      <c r="Q1479" s="9"/>
      <c r="R1479" s="9" t="str">
        <f aca="false">IF(AND(A1479&lt;&gt;"",ISNUMBER(Q1479),ISNUMBER(L1479)),ROUND(Q1479-IF(ISNUMBER(N1479),N1479,0)-IF(ISNUMBER(O1479),O1479,0)+IF(ISNUMBER(P1479),P1479,0),2),"")</f>
        <v/>
      </c>
      <c r="S1479" s="9" t="str">
        <f aca="false">IF(R1479="","",ROUND(L1479-R1479,2))</f>
        <v/>
      </c>
      <c r="T1479" s="8" t="str">
        <f aca="false">IF(A1479="","",IF(S1479="","BYPASS",IF(ABS(S1479)&lt;=Summary!$B$2,"PASS","FAIL")))</f>
        <v/>
      </c>
      <c r="U1479" s="8" t="str">
        <f aca="false">IF(T1479="BYPASS",IF(NOT(ISNUMBER(Q1479)),"PreV_ETB missing","End_tr_balance missing"),IF(T1479="FAIL",IF(AND(ISNUMBER(K1479),ISNUMBER(L1479),ABS(L1479-(K1479-IF(ISNUMBER(N1479),N1479,0)-IF(ISNUMBER(O1479),O1479,0)+IF(ISNUMBER(P1479),P1479,0)))&lt;=Summary!$B$2),"Passes using beginning_balance - PreV_ETB differs from beginning_balance",IF(AND(ISNUMBER(O1479),O1479&lt;0,ABS(L1479-(Q1479-IF(ISNUMBER(N1479),N1479,0)+IF(ISNUMBER(P1479),P1479,0)))&lt;=Summary!$B$2),"Negative realized loss not applied - check sign",IF(R1479&lt;0,"Principal paid exceeds prior balance",IF(AND(L1479&gt;Q1479,NOT(ISNUMBER(P1479))),"Balance increased but no Deferred_interest reported",IF(L1479&gt;R1479,"Reported balance higher than expected (missing increase/OC build)","Reported balance lower than expected (missing decrease)"))))),""))</f>
        <v/>
      </c>
    </row>
    <row r="1480" customFormat="false" ht="15" hidden="false" customHeight="false" outlineLevel="0" collapsed="false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9"/>
      <c r="L1480" s="9"/>
      <c r="M1480" s="9"/>
      <c r="N1480" s="9"/>
      <c r="O1480" s="9"/>
      <c r="P1480" s="9"/>
      <c r="Q1480" s="9"/>
      <c r="R1480" s="9" t="str">
        <f aca="false">IF(AND(A1480&lt;&gt;"",ISNUMBER(Q1480),ISNUMBER(L1480)),ROUND(Q1480-IF(ISNUMBER(N1480),N1480,0)-IF(ISNUMBER(O1480),O1480,0)+IF(ISNUMBER(P1480),P1480,0),2),"")</f>
        <v/>
      </c>
      <c r="S1480" s="9" t="str">
        <f aca="false">IF(R1480="","",ROUND(L1480-R1480,2))</f>
        <v/>
      </c>
      <c r="T1480" s="8" t="str">
        <f aca="false">IF(A1480="","",IF(S1480="","BYPASS",IF(ABS(S1480)&lt;=Summary!$B$2,"PASS","FAIL")))</f>
        <v/>
      </c>
      <c r="U1480" s="8" t="str">
        <f aca="false">IF(T1480="BYPASS",IF(NOT(ISNUMBER(Q1480)),"PreV_ETB missing","End_tr_balance missing"),IF(T1480="FAIL",IF(AND(ISNUMBER(K1480),ISNUMBER(L1480),ABS(L1480-(K1480-IF(ISNUMBER(N1480),N1480,0)-IF(ISNUMBER(O1480),O1480,0)+IF(ISNUMBER(P1480),P1480,0)))&lt;=Summary!$B$2),"Passes using beginning_balance - PreV_ETB differs from beginning_balance",IF(AND(ISNUMBER(O1480),O1480&lt;0,ABS(L1480-(Q1480-IF(ISNUMBER(N1480),N1480,0)+IF(ISNUMBER(P1480),P1480,0)))&lt;=Summary!$B$2),"Negative realized loss not applied - check sign",IF(R1480&lt;0,"Principal paid exceeds prior balance",IF(AND(L1480&gt;Q1480,NOT(ISNUMBER(P1480))),"Balance increased but no Deferred_interest reported",IF(L1480&gt;R1480,"Reported balance higher than expected (missing increase/OC build)","Reported balance lower than expected (missing decrease)"))))),""))</f>
        <v/>
      </c>
    </row>
    <row r="1481" customFormat="false" ht="15" hidden="false" customHeight="false" outlineLevel="0" collapsed="false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9"/>
      <c r="L1481" s="9"/>
      <c r="M1481" s="9"/>
      <c r="N1481" s="9"/>
      <c r="O1481" s="9"/>
      <c r="P1481" s="9"/>
      <c r="Q1481" s="9"/>
      <c r="R1481" s="9" t="str">
        <f aca="false">IF(AND(A1481&lt;&gt;"",ISNUMBER(Q1481),ISNUMBER(L1481)),ROUND(Q1481-IF(ISNUMBER(N1481),N1481,0)-IF(ISNUMBER(O1481),O1481,0)+IF(ISNUMBER(P1481),P1481,0),2),"")</f>
        <v/>
      </c>
      <c r="S1481" s="9" t="str">
        <f aca="false">IF(R1481="","",ROUND(L1481-R1481,2))</f>
        <v/>
      </c>
      <c r="T1481" s="8" t="str">
        <f aca="false">IF(A1481="","",IF(S1481="","BYPASS",IF(ABS(S1481)&lt;=Summary!$B$2,"PASS","FAIL")))</f>
        <v/>
      </c>
      <c r="U1481" s="8" t="str">
        <f aca="false">IF(T1481="BYPASS",IF(NOT(ISNUMBER(Q1481)),"PreV_ETB missing","End_tr_balance missing"),IF(T1481="FAIL",IF(AND(ISNUMBER(K1481),ISNUMBER(L1481),ABS(L1481-(K1481-IF(ISNUMBER(N1481),N1481,0)-IF(ISNUMBER(O1481),O1481,0)+IF(ISNUMBER(P1481),P1481,0)))&lt;=Summary!$B$2),"Passes using beginning_balance - PreV_ETB differs from beginning_balance",IF(AND(ISNUMBER(O1481),O1481&lt;0,ABS(L1481-(Q1481-IF(ISNUMBER(N1481),N1481,0)+IF(ISNUMBER(P1481),P1481,0)))&lt;=Summary!$B$2),"Negative realized loss not applied - check sign",IF(R1481&lt;0,"Principal paid exceeds prior balance",IF(AND(L1481&gt;Q1481,NOT(ISNUMBER(P1481))),"Balance increased but no Deferred_interest reported",IF(L1481&gt;R1481,"Reported balance higher than expected (missing increase/OC build)","Reported balance lower than expected (missing decrease)"))))),""))</f>
        <v/>
      </c>
    </row>
    <row r="1482" customFormat="false" ht="15" hidden="false" customHeight="false" outlineLevel="0" collapsed="false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9"/>
      <c r="L1482" s="9"/>
      <c r="M1482" s="9"/>
      <c r="N1482" s="9"/>
      <c r="O1482" s="9"/>
      <c r="P1482" s="9"/>
      <c r="Q1482" s="9"/>
      <c r="R1482" s="9" t="str">
        <f aca="false">IF(AND(A1482&lt;&gt;"",ISNUMBER(Q1482),ISNUMBER(L1482)),ROUND(Q1482-IF(ISNUMBER(N1482),N1482,0)-IF(ISNUMBER(O1482),O1482,0)+IF(ISNUMBER(P1482),P1482,0),2),"")</f>
        <v/>
      </c>
      <c r="S1482" s="9" t="str">
        <f aca="false">IF(R1482="","",ROUND(L1482-R1482,2))</f>
        <v/>
      </c>
      <c r="T1482" s="8" t="str">
        <f aca="false">IF(A1482="","",IF(S1482="","BYPASS",IF(ABS(S1482)&lt;=Summary!$B$2,"PASS","FAIL")))</f>
        <v/>
      </c>
      <c r="U1482" s="8" t="str">
        <f aca="false">IF(T1482="BYPASS",IF(NOT(ISNUMBER(Q1482)),"PreV_ETB missing","End_tr_balance missing"),IF(T1482="FAIL",IF(AND(ISNUMBER(K1482),ISNUMBER(L1482),ABS(L1482-(K1482-IF(ISNUMBER(N1482),N1482,0)-IF(ISNUMBER(O1482),O1482,0)+IF(ISNUMBER(P1482),P1482,0)))&lt;=Summary!$B$2),"Passes using beginning_balance - PreV_ETB differs from beginning_balance",IF(AND(ISNUMBER(O1482),O1482&lt;0,ABS(L1482-(Q1482-IF(ISNUMBER(N1482),N1482,0)+IF(ISNUMBER(P1482),P1482,0)))&lt;=Summary!$B$2),"Negative realized loss not applied - check sign",IF(R1482&lt;0,"Principal paid exceeds prior balance",IF(AND(L1482&gt;Q1482,NOT(ISNUMBER(P1482))),"Balance increased but no Deferred_interest reported",IF(L1482&gt;R1482,"Reported balance higher than expected (missing increase/OC build)","Reported balance lower than expected (missing decrease)"))))),""))</f>
        <v/>
      </c>
    </row>
    <row r="1483" customFormat="false" ht="15" hidden="false" customHeight="false" outlineLevel="0" collapsed="false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9"/>
      <c r="L1483" s="9"/>
      <c r="M1483" s="9"/>
      <c r="N1483" s="9"/>
      <c r="O1483" s="9"/>
      <c r="P1483" s="9"/>
      <c r="Q1483" s="9"/>
      <c r="R1483" s="9" t="str">
        <f aca="false">IF(AND(A1483&lt;&gt;"",ISNUMBER(Q1483),ISNUMBER(L1483)),ROUND(Q1483-IF(ISNUMBER(N1483),N1483,0)-IF(ISNUMBER(O1483),O1483,0)+IF(ISNUMBER(P1483),P1483,0),2),"")</f>
        <v/>
      </c>
      <c r="S1483" s="9" t="str">
        <f aca="false">IF(R1483="","",ROUND(L1483-R1483,2))</f>
        <v/>
      </c>
      <c r="T1483" s="8" t="str">
        <f aca="false">IF(A1483="","",IF(S1483="","BYPASS",IF(ABS(S1483)&lt;=Summary!$B$2,"PASS","FAIL")))</f>
        <v/>
      </c>
      <c r="U1483" s="8" t="str">
        <f aca="false">IF(T1483="BYPASS",IF(NOT(ISNUMBER(Q1483)),"PreV_ETB missing","End_tr_balance missing"),IF(T1483="FAIL",IF(AND(ISNUMBER(K1483),ISNUMBER(L1483),ABS(L1483-(K1483-IF(ISNUMBER(N1483),N1483,0)-IF(ISNUMBER(O1483),O1483,0)+IF(ISNUMBER(P1483),P1483,0)))&lt;=Summary!$B$2),"Passes using beginning_balance - PreV_ETB differs from beginning_balance",IF(AND(ISNUMBER(O1483),O1483&lt;0,ABS(L1483-(Q1483-IF(ISNUMBER(N1483),N1483,0)+IF(ISNUMBER(P1483),P1483,0)))&lt;=Summary!$B$2),"Negative realized loss not applied - check sign",IF(R1483&lt;0,"Principal paid exceeds prior balance",IF(AND(L1483&gt;Q1483,NOT(ISNUMBER(P1483))),"Balance increased but no Deferred_interest reported",IF(L1483&gt;R1483,"Reported balance higher than expected (missing increase/OC build)","Reported balance lower than expected (missing decrease)"))))),""))</f>
        <v/>
      </c>
    </row>
    <row r="1484" customFormat="false" ht="15" hidden="false" customHeight="false" outlineLevel="0" collapsed="false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9"/>
      <c r="L1484" s="9"/>
      <c r="M1484" s="9"/>
      <c r="N1484" s="9"/>
      <c r="O1484" s="9"/>
      <c r="P1484" s="9"/>
      <c r="Q1484" s="9"/>
      <c r="R1484" s="9" t="str">
        <f aca="false">IF(AND(A1484&lt;&gt;"",ISNUMBER(Q1484),ISNUMBER(L1484)),ROUND(Q1484-IF(ISNUMBER(N1484),N1484,0)-IF(ISNUMBER(O1484),O1484,0)+IF(ISNUMBER(P1484),P1484,0),2),"")</f>
        <v/>
      </c>
      <c r="S1484" s="9" t="str">
        <f aca="false">IF(R1484="","",ROUND(L1484-R1484,2))</f>
        <v/>
      </c>
      <c r="T1484" s="8" t="str">
        <f aca="false">IF(A1484="","",IF(S1484="","BYPASS",IF(ABS(S1484)&lt;=Summary!$B$2,"PASS","FAIL")))</f>
        <v/>
      </c>
      <c r="U1484" s="8" t="str">
        <f aca="false">IF(T1484="BYPASS",IF(NOT(ISNUMBER(Q1484)),"PreV_ETB missing","End_tr_balance missing"),IF(T1484="FAIL",IF(AND(ISNUMBER(K1484),ISNUMBER(L1484),ABS(L1484-(K1484-IF(ISNUMBER(N1484),N1484,0)-IF(ISNUMBER(O1484),O1484,0)+IF(ISNUMBER(P1484),P1484,0)))&lt;=Summary!$B$2),"Passes using beginning_balance - PreV_ETB differs from beginning_balance",IF(AND(ISNUMBER(O1484),O1484&lt;0,ABS(L1484-(Q1484-IF(ISNUMBER(N1484),N1484,0)+IF(ISNUMBER(P1484),P1484,0)))&lt;=Summary!$B$2),"Negative realized loss not applied - check sign",IF(R1484&lt;0,"Principal paid exceeds prior balance",IF(AND(L1484&gt;Q1484,NOT(ISNUMBER(P1484))),"Balance increased but no Deferred_interest reported",IF(L1484&gt;R1484,"Reported balance higher than expected (missing increase/OC build)","Reported balance lower than expected (missing decrease)"))))),""))</f>
        <v/>
      </c>
    </row>
    <row r="1485" customFormat="false" ht="15" hidden="false" customHeight="false" outlineLevel="0" collapsed="false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9"/>
      <c r="L1485" s="9"/>
      <c r="M1485" s="9"/>
      <c r="N1485" s="9"/>
      <c r="O1485" s="9"/>
      <c r="P1485" s="9"/>
      <c r="Q1485" s="9"/>
      <c r="R1485" s="9" t="str">
        <f aca="false">IF(AND(A1485&lt;&gt;"",ISNUMBER(Q1485),ISNUMBER(L1485)),ROUND(Q1485-IF(ISNUMBER(N1485),N1485,0)-IF(ISNUMBER(O1485),O1485,0)+IF(ISNUMBER(P1485),P1485,0),2),"")</f>
        <v/>
      </c>
      <c r="S1485" s="9" t="str">
        <f aca="false">IF(R1485="","",ROUND(L1485-R1485,2))</f>
        <v/>
      </c>
      <c r="T1485" s="8" t="str">
        <f aca="false">IF(A1485="","",IF(S1485="","BYPASS",IF(ABS(S1485)&lt;=Summary!$B$2,"PASS","FAIL")))</f>
        <v/>
      </c>
      <c r="U1485" s="8" t="str">
        <f aca="false">IF(T1485="BYPASS",IF(NOT(ISNUMBER(Q1485)),"PreV_ETB missing","End_tr_balance missing"),IF(T1485="FAIL",IF(AND(ISNUMBER(K1485),ISNUMBER(L1485),ABS(L1485-(K1485-IF(ISNUMBER(N1485),N1485,0)-IF(ISNUMBER(O1485),O1485,0)+IF(ISNUMBER(P1485),P1485,0)))&lt;=Summary!$B$2),"Passes using beginning_balance - PreV_ETB differs from beginning_balance",IF(AND(ISNUMBER(O1485),O1485&lt;0,ABS(L1485-(Q1485-IF(ISNUMBER(N1485),N1485,0)+IF(ISNUMBER(P1485),P1485,0)))&lt;=Summary!$B$2),"Negative realized loss not applied - check sign",IF(R1485&lt;0,"Principal paid exceeds prior balance",IF(AND(L1485&gt;Q1485,NOT(ISNUMBER(P1485))),"Balance increased but no Deferred_interest reported",IF(L1485&gt;R1485,"Reported balance higher than expected (missing increase/OC build)","Reported balance lower than expected (missing decrease)"))))),""))</f>
        <v/>
      </c>
    </row>
    <row r="1486" customFormat="false" ht="15" hidden="false" customHeight="false" outlineLevel="0" collapsed="false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9"/>
      <c r="L1486" s="9"/>
      <c r="M1486" s="9"/>
      <c r="N1486" s="9"/>
      <c r="O1486" s="9"/>
      <c r="P1486" s="9"/>
      <c r="Q1486" s="9"/>
      <c r="R1486" s="9" t="str">
        <f aca="false">IF(AND(A1486&lt;&gt;"",ISNUMBER(Q1486),ISNUMBER(L1486)),ROUND(Q1486-IF(ISNUMBER(N1486),N1486,0)-IF(ISNUMBER(O1486),O1486,0)+IF(ISNUMBER(P1486),P1486,0),2),"")</f>
        <v/>
      </c>
      <c r="S1486" s="9" t="str">
        <f aca="false">IF(R1486="","",ROUND(L1486-R1486,2))</f>
        <v/>
      </c>
      <c r="T1486" s="8" t="str">
        <f aca="false">IF(A1486="","",IF(S1486="","BYPASS",IF(ABS(S1486)&lt;=Summary!$B$2,"PASS","FAIL")))</f>
        <v/>
      </c>
      <c r="U1486" s="8" t="str">
        <f aca="false">IF(T1486="BYPASS",IF(NOT(ISNUMBER(Q1486)),"PreV_ETB missing","End_tr_balance missing"),IF(T1486="FAIL",IF(AND(ISNUMBER(K1486),ISNUMBER(L1486),ABS(L1486-(K1486-IF(ISNUMBER(N1486),N1486,0)-IF(ISNUMBER(O1486),O1486,0)+IF(ISNUMBER(P1486),P1486,0)))&lt;=Summary!$B$2),"Passes using beginning_balance - PreV_ETB differs from beginning_balance",IF(AND(ISNUMBER(O1486),O1486&lt;0,ABS(L1486-(Q1486-IF(ISNUMBER(N1486),N1486,0)+IF(ISNUMBER(P1486),P1486,0)))&lt;=Summary!$B$2),"Negative realized loss not applied - check sign",IF(R1486&lt;0,"Principal paid exceeds prior balance",IF(AND(L1486&gt;Q1486,NOT(ISNUMBER(P1486))),"Balance increased but no Deferred_interest reported",IF(L1486&gt;R1486,"Reported balance higher than expected (missing increase/OC build)","Reported balance lower than expected (missing decrease)"))))),""))</f>
        <v/>
      </c>
    </row>
    <row r="1487" customFormat="false" ht="15" hidden="false" customHeight="false" outlineLevel="0" collapsed="false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9"/>
      <c r="L1487" s="9"/>
      <c r="M1487" s="9"/>
      <c r="N1487" s="9"/>
      <c r="O1487" s="9"/>
      <c r="P1487" s="9"/>
      <c r="Q1487" s="9"/>
      <c r="R1487" s="9" t="str">
        <f aca="false">IF(AND(A1487&lt;&gt;"",ISNUMBER(Q1487),ISNUMBER(L1487)),ROUND(Q1487-IF(ISNUMBER(N1487),N1487,0)-IF(ISNUMBER(O1487),O1487,0)+IF(ISNUMBER(P1487),P1487,0),2),"")</f>
        <v/>
      </c>
      <c r="S1487" s="9" t="str">
        <f aca="false">IF(R1487="","",ROUND(L1487-R1487,2))</f>
        <v/>
      </c>
      <c r="T1487" s="8" t="str">
        <f aca="false">IF(A1487="","",IF(S1487="","BYPASS",IF(ABS(S1487)&lt;=Summary!$B$2,"PASS","FAIL")))</f>
        <v/>
      </c>
      <c r="U1487" s="8" t="str">
        <f aca="false">IF(T1487="BYPASS",IF(NOT(ISNUMBER(Q1487)),"PreV_ETB missing","End_tr_balance missing"),IF(T1487="FAIL",IF(AND(ISNUMBER(K1487),ISNUMBER(L1487),ABS(L1487-(K1487-IF(ISNUMBER(N1487),N1487,0)-IF(ISNUMBER(O1487),O1487,0)+IF(ISNUMBER(P1487),P1487,0)))&lt;=Summary!$B$2),"Passes using beginning_balance - PreV_ETB differs from beginning_balance",IF(AND(ISNUMBER(O1487),O1487&lt;0,ABS(L1487-(Q1487-IF(ISNUMBER(N1487),N1487,0)+IF(ISNUMBER(P1487),P1487,0)))&lt;=Summary!$B$2),"Negative realized loss not applied - check sign",IF(R1487&lt;0,"Principal paid exceeds prior balance",IF(AND(L1487&gt;Q1487,NOT(ISNUMBER(P1487))),"Balance increased but no Deferred_interest reported",IF(L1487&gt;R1487,"Reported balance higher than expected (missing increase/OC build)","Reported balance lower than expected (missing decrease)"))))),""))</f>
        <v/>
      </c>
    </row>
    <row r="1488" customFormat="false" ht="15" hidden="false" customHeight="false" outlineLevel="0" collapsed="false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9"/>
      <c r="L1488" s="9"/>
      <c r="M1488" s="9"/>
      <c r="N1488" s="9"/>
      <c r="O1488" s="9"/>
      <c r="P1488" s="9"/>
      <c r="Q1488" s="9"/>
      <c r="R1488" s="9" t="str">
        <f aca="false">IF(AND(A1488&lt;&gt;"",ISNUMBER(Q1488),ISNUMBER(L1488)),ROUND(Q1488-IF(ISNUMBER(N1488),N1488,0)-IF(ISNUMBER(O1488),O1488,0)+IF(ISNUMBER(P1488),P1488,0),2),"")</f>
        <v/>
      </c>
      <c r="S1488" s="9" t="str">
        <f aca="false">IF(R1488="","",ROUND(L1488-R1488,2))</f>
        <v/>
      </c>
      <c r="T1488" s="8" t="str">
        <f aca="false">IF(A1488="","",IF(S1488="","BYPASS",IF(ABS(S1488)&lt;=Summary!$B$2,"PASS","FAIL")))</f>
        <v/>
      </c>
      <c r="U1488" s="8" t="str">
        <f aca="false">IF(T1488="BYPASS",IF(NOT(ISNUMBER(Q1488)),"PreV_ETB missing","End_tr_balance missing"),IF(T1488="FAIL",IF(AND(ISNUMBER(K1488),ISNUMBER(L1488),ABS(L1488-(K1488-IF(ISNUMBER(N1488),N1488,0)-IF(ISNUMBER(O1488),O1488,0)+IF(ISNUMBER(P1488),P1488,0)))&lt;=Summary!$B$2),"Passes using beginning_balance - PreV_ETB differs from beginning_balance",IF(AND(ISNUMBER(O1488),O1488&lt;0,ABS(L1488-(Q1488-IF(ISNUMBER(N1488),N1488,0)+IF(ISNUMBER(P1488),P1488,0)))&lt;=Summary!$B$2),"Negative realized loss not applied - check sign",IF(R1488&lt;0,"Principal paid exceeds prior balance",IF(AND(L1488&gt;Q1488,NOT(ISNUMBER(P1488))),"Balance increased but no Deferred_interest reported",IF(L1488&gt;R1488,"Reported balance higher than expected (missing increase/OC build)","Reported balance lower than expected (missing decrease)"))))),""))</f>
        <v/>
      </c>
    </row>
    <row r="1489" customFormat="false" ht="15" hidden="false" customHeight="false" outlineLevel="0" collapsed="false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9"/>
      <c r="L1489" s="9"/>
      <c r="M1489" s="9"/>
      <c r="N1489" s="9"/>
      <c r="O1489" s="9"/>
      <c r="P1489" s="9"/>
      <c r="Q1489" s="9"/>
      <c r="R1489" s="9" t="str">
        <f aca="false">IF(AND(A1489&lt;&gt;"",ISNUMBER(Q1489),ISNUMBER(L1489)),ROUND(Q1489-IF(ISNUMBER(N1489),N1489,0)-IF(ISNUMBER(O1489),O1489,0)+IF(ISNUMBER(P1489),P1489,0),2),"")</f>
        <v/>
      </c>
      <c r="S1489" s="9" t="str">
        <f aca="false">IF(R1489="","",ROUND(L1489-R1489,2))</f>
        <v/>
      </c>
      <c r="T1489" s="8" t="str">
        <f aca="false">IF(A1489="","",IF(S1489="","BYPASS",IF(ABS(S1489)&lt;=Summary!$B$2,"PASS","FAIL")))</f>
        <v/>
      </c>
      <c r="U1489" s="8" t="str">
        <f aca="false">IF(T1489="BYPASS",IF(NOT(ISNUMBER(Q1489)),"PreV_ETB missing","End_tr_balance missing"),IF(T1489="FAIL",IF(AND(ISNUMBER(K1489),ISNUMBER(L1489),ABS(L1489-(K1489-IF(ISNUMBER(N1489),N1489,0)-IF(ISNUMBER(O1489),O1489,0)+IF(ISNUMBER(P1489),P1489,0)))&lt;=Summary!$B$2),"Passes using beginning_balance - PreV_ETB differs from beginning_balance",IF(AND(ISNUMBER(O1489),O1489&lt;0,ABS(L1489-(Q1489-IF(ISNUMBER(N1489),N1489,0)+IF(ISNUMBER(P1489),P1489,0)))&lt;=Summary!$B$2),"Negative realized loss not applied - check sign",IF(R1489&lt;0,"Principal paid exceeds prior balance",IF(AND(L1489&gt;Q1489,NOT(ISNUMBER(P1489))),"Balance increased but no Deferred_interest reported",IF(L1489&gt;R1489,"Reported balance higher than expected (missing increase/OC build)","Reported balance lower than expected (missing decrease)"))))),""))</f>
        <v/>
      </c>
    </row>
    <row r="1490" customFormat="false" ht="15" hidden="false" customHeight="false" outlineLevel="0" collapsed="false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9"/>
      <c r="L1490" s="9"/>
      <c r="M1490" s="9"/>
      <c r="N1490" s="9"/>
      <c r="O1490" s="9"/>
      <c r="P1490" s="9"/>
      <c r="Q1490" s="9"/>
      <c r="R1490" s="9" t="str">
        <f aca="false">IF(AND(A1490&lt;&gt;"",ISNUMBER(Q1490),ISNUMBER(L1490)),ROUND(Q1490-IF(ISNUMBER(N1490),N1490,0)-IF(ISNUMBER(O1490),O1490,0)+IF(ISNUMBER(P1490),P1490,0),2),"")</f>
        <v/>
      </c>
      <c r="S1490" s="9" t="str">
        <f aca="false">IF(R1490="","",ROUND(L1490-R1490,2))</f>
        <v/>
      </c>
      <c r="T1490" s="8" t="str">
        <f aca="false">IF(A1490="","",IF(S1490="","BYPASS",IF(ABS(S1490)&lt;=Summary!$B$2,"PASS","FAIL")))</f>
        <v/>
      </c>
      <c r="U1490" s="8" t="str">
        <f aca="false">IF(T1490="BYPASS",IF(NOT(ISNUMBER(Q1490)),"PreV_ETB missing","End_tr_balance missing"),IF(T1490="FAIL",IF(AND(ISNUMBER(K1490),ISNUMBER(L1490),ABS(L1490-(K1490-IF(ISNUMBER(N1490),N1490,0)-IF(ISNUMBER(O1490),O1490,0)+IF(ISNUMBER(P1490),P1490,0)))&lt;=Summary!$B$2),"Passes using beginning_balance - PreV_ETB differs from beginning_balance",IF(AND(ISNUMBER(O1490),O1490&lt;0,ABS(L1490-(Q1490-IF(ISNUMBER(N1490),N1490,0)+IF(ISNUMBER(P1490),P1490,0)))&lt;=Summary!$B$2),"Negative realized loss not applied - check sign",IF(R1490&lt;0,"Principal paid exceeds prior balance",IF(AND(L1490&gt;Q1490,NOT(ISNUMBER(P1490))),"Balance increased but no Deferred_interest reported",IF(L1490&gt;R1490,"Reported balance higher than expected (missing increase/OC build)","Reported balance lower than expected (missing decrease)"))))),""))</f>
        <v/>
      </c>
    </row>
    <row r="1491" customFormat="false" ht="15" hidden="false" customHeight="false" outlineLevel="0" collapsed="false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9"/>
      <c r="L1491" s="9"/>
      <c r="M1491" s="9"/>
      <c r="N1491" s="9"/>
      <c r="O1491" s="9"/>
      <c r="P1491" s="9"/>
      <c r="Q1491" s="9"/>
      <c r="R1491" s="9" t="str">
        <f aca="false">IF(AND(A1491&lt;&gt;"",ISNUMBER(Q1491),ISNUMBER(L1491)),ROUND(Q1491-IF(ISNUMBER(N1491),N1491,0)-IF(ISNUMBER(O1491),O1491,0)+IF(ISNUMBER(P1491),P1491,0),2),"")</f>
        <v/>
      </c>
      <c r="S1491" s="9" t="str">
        <f aca="false">IF(R1491="","",ROUND(L1491-R1491,2))</f>
        <v/>
      </c>
      <c r="T1491" s="8" t="str">
        <f aca="false">IF(A1491="","",IF(S1491="","BYPASS",IF(ABS(S1491)&lt;=Summary!$B$2,"PASS","FAIL")))</f>
        <v/>
      </c>
      <c r="U1491" s="8" t="str">
        <f aca="false">IF(T1491="BYPASS",IF(NOT(ISNUMBER(Q1491)),"PreV_ETB missing","End_tr_balance missing"),IF(T1491="FAIL",IF(AND(ISNUMBER(K1491),ISNUMBER(L1491),ABS(L1491-(K1491-IF(ISNUMBER(N1491),N1491,0)-IF(ISNUMBER(O1491),O1491,0)+IF(ISNUMBER(P1491),P1491,0)))&lt;=Summary!$B$2),"Passes using beginning_balance - PreV_ETB differs from beginning_balance",IF(AND(ISNUMBER(O1491),O1491&lt;0,ABS(L1491-(Q1491-IF(ISNUMBER(N1491),N1491,0)+IF(ISNUMBER(P1491),P1491,0)))&lt;=Summary!$B$2),"Negative realized loss not applied - check sign",IF(R1491&lt;0,"Principal paid exceeds prior balance",IF(AND(L1491&gt;Q1491,NOT(ISNUMBER(P1491))),"Balance increased but no Deferred_interest reported",IF(L1491&gt;R1491,"Reported balance higher than expected (missing increase/OC build)","Reported balance lower than expected (missing decrease)"))))),""))</f>
        <v/>
      </c>
    </row>
    <row r="1492" customFormat="false" ht="15" hidden="false" customHeight="false" outlineLevel="0" collapsed="false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9"/>
      <c r="L1492" s="9"/>
      <c r="M1492" s="9"/>
      <c r="N1492" s="9"/>
      <c r="O1492" s="9"/>
      <c r="P1492" s="9"/>
      <c r="Q1492" s="9"/>
      <c r="R1492" s="9" t="str">
        <f aca="false">IF(AND(A1492&lt;&gt;"",ISNUMBER(Q1492),ISNUMBER(L1492)),ROUND(Q1492-IF(ISNUMBER(N1492),N1492,0)-IF(ISNUMBER(O1492),O1492,0)+IF(ISNUMBER(P1492),P1492,0),2),"")</f>
        <v/>
      </c>
      <c r="S1492" s="9" t="str">
        <f aca="false">IF(R1492="","",ROUND(L1492-R1492,2))</f>
        <v/>
      </c>
      <c r="T1492" s="8" t="str">
        <f aca="false">IF(A1492="","",IF(S1492="","BYPASS",IF(ABS(S1492)&lt;=Summary!$B$2,"PASS","FAIL")))</f>
        <v/>
      </c>
      <c r="U1492" s="8" t="str">
        <f aca="false">IF(T1492="BYPASS",IF(NOT(ISNUMBER(Q1492)),"PreV_ETB missing","End_tr_balance missing"),IF(T1492="FAIL",IF(AND(ISNUMBER(K1492),ISNUMBER(L1492),ABS(L1492-(K1492-IF(ISNUMBER(N1492),N1492,0)-IF(ISNUMBER(O1492),O1492,0)+IF(ISNUMBER(P1492),P1492,0)))&lt;=Summary!$B$2),"Passes using beginning_balance - PreV_ETB differs from beginning_balance",IF(AND(ISNUMBER(O1492),O1492&lt;0,ABS(L1492-(Q1492-IF(ISNUMBER(N1492),N1492,0)+IF(ISNUMBER(P1492),P1492,0)))&lt;=Summary!$B$2),"Negative realized loss not applied - check sign",IF(R1492&lt;0,"Principal paid exceeds prior balance",IF(AND(L1492&gt;Q1492,NOT(ISNUMBER(P1492))),"Balance increased but no Deferred_interest reported",IF(L1492&gt;R1492,"Reported balance higher than expected (missing increase/OC build)","Reported balance lower than expected (missing decrease)"))))),""))</f>
        <v/>
      </c>
    </row>
    <row r="1493" customFormat="false" ht="15" hidden="false" customHeight="false" outlineLevel="0" collapsed="false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9"/>
      <c r="L1493" s="9"/>
      <c r="M1493" s="9"/>
      <c r="N1493" s="9"/>
      <c r="O1493" s="9"/>
      <c r="P1493" s="9"/>
      <c r="Q1493" s="9"/>
      <c r="R1493" s="9" t="str">
        <f aca="false">IF(AND(A1493&lt;&gt;"",ISNUMBER(Q1493),ISNUMBER(L1493)),ROUND(Q1493-IF(ISNUMBER(N1493),N1493,0)-IF(ISNUMBER(O1493),O1493,0)+IF(ISNUMBER(P1493),P1493,0),2),"")</f>
        <v/>
      </c>
      <c r="S1493" s="9" t="str">
        <f aca="false">IF(R1493="","",ROUND(L1493-R1493,2))</f>
        <v/>
      </c>
      <c r="T1493" s="8" t="str">
        <f aca="false">IF(A1493="","",IF(S1493="","BYPASS",IF(ABS(S1493)&lt;=Summary!$B$2,"PASS","FAIL")))</f>
        <v/>
      </c>
      <c r="U1493" s="8" t="str">
        <f aca="false">IF(T1493="BYPASS",IF(NOT(ISNUMBER(Q1493)),"PreV_ETB missing","End_tr_balance missing"),IF(T1493="FAIL",IF(AND(ISNUMBER(K1493),ISNUMBER(L1493),ABS(L1493-(K1493-IF(ISNUMBER(N1493),N1493,0)-IF(ISNUMBER(O1493),O1493,0)+IF(ISNUMBER(P1493),P1493,0)))&lt;=Summary!$B$2),"Passes using beginning_balance - PreV_ETB differs from beginning_balance",IF(AND(ISNUMBER(O1493),O1493&lt;0,ABS(L1493-(Q1493-IF(ISNUMBER(N1493),N1493,0)+IF(ISNUMBER(P1493),P1493,0)))&lt;=Summary!$B$2),"Negative realized loss not applied - check sign",IF(R1493&lt;0,"Principal paid exceeds prior balance",IF(AND(L1493&gt;Q1493,NOT(ISNUMBER(P1493))),"Balance increased but no Deferred_interest reported",IF(L1493&gt;R1493,"Reported balance higher than expected (missing increase/OC build)","Reported balance lower than expected (missing decrease)"))))),""))</f>
        <v/>
      </c>
    </row>
    <row r="1494" customFormat="false" ht="15" hidden="false" customHeight="false" outlineLevel="0" collapsed="false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9"/>
      <c r="L1494" s="9"/>
      <c r="M1494" s="9"/>
      <c r="N1494" s="9"/>
      <c r="O1494" s="9"/>
      <c r="P1494" s="9"/>
      <c r="Q1494" s="9"/>
      <c r="R1494" s="9" t="str">
        <f aca="false">IF(AND(A1494&lt;&gt;"",ISNUMBER(Q1494),ISNUMBER(L1494)),ROUND(Q1494-IF(ISNUMBER(N1494),N1494,0)-IF(ISNUMBER(O1494),O1494,0)+IF(ISNUMBER(P1494),P1494,0),2),"")</f>
        <v/>
      </c>
      <c r="S1494" s="9" t="str">
        <f aca="false">IF(R1494="","",ROUND(L1494-R1494,2))</f>
        <v/>
      </c>
      <c r="T1494" s="8" t="str">
        <f aca="false">IF(A1494="","",IF(S1494="","BYPASS",IF(ABS(S1494)&lt;=Summary!$B$2,"PASS","FAIL")))</f>
        <v/>
      </c>
      <c r="U1494" s="8" t="str">
        <f aca="false">IF(T1494="BYPASS",IF(NOT(ISNUMBER(Q1494)),"PreV_ETB missing","End_tr_balance missing"),IF(T1494="FAIL",IF(AND(ISNUMBER(K1494),ISNUMBER(L1494),ABS(L1494-(K1494-IF(ISNUMBER(N1494),N1494,0)-IF(ISNUMBER(O1494),O1494,0)+IF(ISNUMBER(P1494),P1494,0)))&lt;=Summary!$B$2),"Passes using beginning_balance - PreV_ETB differs from beginning_balance",IF(AND(ISNUMBER(O1494),O1494&lt;0,ABS(L1494-(Q1494-IF(ISNUMBER(N1494),N1494,0)+IF(ISNUMBER(P1494),P1494,0)))&lt;=Summary!$B$2),"Negative realized loss not applied - check sign",IF(R1494&lt;0,"Principal paid exceeds prior balance",IF(AND(L1494&gt;Q1494,NOT(ISNUMBER(P1494))),"Balance increased but no Deferred_interest reported",IF(L1494&gt;R1494,"Reported balance higher than expected (missing increase/OC build)","Reported balance lower than expected (missing decrease)"))))),""))</f>
        <v/>
      </c>
    </row>
    <row r="1495" customFormat="false" ht="15" hidden="false" customHeight="false" outlineLevel="0" collapsed="false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9"/>
      <c r="L1495" s="9"/>
      <c r="M1495" s="9"/>
      <c r="N1495" s="9"/>
      <c r="O1495" s="9"/>
      <c r="P1495" s="9"/>
      <c r="Q1495" s="9"/>
      <c r="R1495" s="9" t="str">
        <f aca="false">IF(AND(A1495&lt;&gt;"",ISNUMBER(Q1495),ISNUMBER(L1495)),ROUND(Q1495-IF(ISNUMBER(N1495),N1495,0)-IF(ISNUMBER(O1495),O1495,0)+IF(ISNUMBER(P1495),P1495,0),2),"")</f>
        <v/>
      </c>
      <c r="S1495" s="9" t="str">
        <f aca="false">IF(R1495="","",ROUND(L1495-R1495,2))</f>
        <v/>
      </c>
      <c r="T1495" s="8" t="str">
        <f aca="false">IF(A1495="","",IF(S1495="","BYPASS",IF(ABS(S1495)&lt;=Summary!$B$2,"PASS","FAIL")))</f>
        <v/>
      </c>
      <c r="U1495" s="8" t="str">
        <f aca="false">IF(T1495="BYPASS",IF(NOT(ISNUMBER(Q1495)),"PreV_ETB missing","End_tr_balance missing"),IF(T1495="FAIL",IF(AND(ISNUMBER(K1495),ISNUMBER(L1495),ABS(L1495-(K1495-IF(ISNUMBER(N1495),N1495,0)-IF(ISNUMBER(O1495),O1495,0)+IF(ISNUMBER(P1495),P1495,0)))&lt;=Summary!$B$2),"Passes using beginning_balance - PreV_ETB differs from beginning_balance",IF(AND(ISNUMBER(O1495),O1495&lt;0,ABS(L1495-(Q1495-IF(ISNUMBER(N1495),N1495,0)+IF(ISNUMBER(P1495),P1495,0)))&lt;=Summary!$B$2),"Negative realized loss not applied - check sign",IF(R1495&lt;0,"Principal paid exceeds prior balance",IF(AND(L1495&gt;Q1495,NOT(ISNUMBER(P1495))),"Balance increased but no Deferred_interest reported",IF(L1495&gt;R1495,"Reported balance higher than expected (missing increase/OC build)","Reported balance lower than expected (missing decrease)"))))),""))</f>
        <v/>
      </c>
    </row>
    <row r="1496" customFormat="false" ht="15" hidden="false" customHeight="false" outlineLevel="0" collapsed="false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9"/>
      <c r="L1496" s="9"/>
      <c r="M1496" s="9"/>
      <c r="N1496" s="9"/>
      <c r="O1496" s="9"/>
      <c r="P1496" s="9"/>
      <c r="Q1496" s="9"/>
      <c r="R1496" s="9" t="str">
        <f aca="false">IF(AND(A1496&lt;&gt;"",ISNUMBER(Q1496),ISNUMBER(L1496)),ROUND(Q1496-IF(ISNUMBER(N1496),N1496,0)-IF(ISNUMBER(O1496),O1496,0)+IF(ISNUMBER(P1496),P1496,0),2),"")</f>
        <v/>
      </c>
      <c r="S1496" s="9" t="str">
        <f aca="false">IF(R1496="","",ROUND(L1496-R1496,2))</f>
        <v/>
      </c>
      <c r="T1496" s="8" t="str">
        <f aca="false">IF(A1496="","",IF(S1496="","BYPASS",IF(ABS(S1496)&lt;=Summary!$B$2,"PASS","FAIL")))</f>
        <v/>
      </c>
      <c r="U1496" s="8" t="str">
        <f aca="false">IF(T1496="BYPASS",IF(NOT(ISNUMBER(Q1496)),"PreV_ETB missing","End_tr_balance missing"),IF(T1496="FAIL",IF(AND(ISNUMBER(K1496),ISNUMBER(L1496),ABS(L1496-(K1496-IF(ISNUMBER(N1496),N1496,0)-IF(ISNUMBER(O1496),O1496,0)+IF(ISNUMBER(P1496),P1496,0)))&lt;=Summary!$B$2),"Passes using beginning_balance - PreV_ETB differs from beginning_balance",IF(AND(ISNUMBER(O1496),O1496&lt;0,ABS(L1496-(Q1496-IF(ISNUMBER(N1496),N1496,0)+IF(ISNUMBER(P1496),P1496,0)))&lt;=Summary!$B$2),"Negative realized loss not applied - check sign",IF(R1496&lt;0,"Principal paid exceeds prior balance",IF(AND(L1496&gt;Q1496,NOT(ISNUMBER(P1496))),"Balance increased but no Deferred_interest reported",IF(L1496&gt;R1496,"Reported balance higher than expected (missing increase/OC build)","Reported balance lower than expected (missing decrease)"))))),""))</f>
        <v/>
      </c>
    </row>
    <row r="1497" customFormat="false" ht="15" hidden="false" customHeight="false" outlineLevel="0" collapsed="false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9"/>
      <c r="L1497" s="9"/>
      <c r="M1497" s="9"/>
      <c r="N1497" s="9"/>
      <c r="O1497" s="9"/>
      <c r="P1497" s="9"/>
      <c r="Q1497" s="9"/>
      <c r="R1497" s="9" t="str">
        <f aca="false">IF(AND(A1497&lt;&gt;"",ISNUMBER(Q1497),ISNUMBER(L1497)),ROUND(Q1497-IF(ISNUMBER(N1497),N1497,0)-IF(ISNUMBER(O1497),O1497,0)+IF(ISNUMBER(P1497),P1497,0),2),"")</f>
        <v/>
      </c>
      <c r="S1497" s="9" t="str">
        <f aca="false">IF(R1497="","",ROUND(L1497-R1497,2))</f>
        <v/>
      </c>
      <c r="T1497" s="8" t="str">
        <f aca="false">IF(A1497="","",IF(S1497="","BYPASS",IF(ABS(S1497)&lt;=Summary!$B$2,"PASS","FAIL")))</f>
        <v/>
      </c>
      <c r="U1497" s="8" t="str">
        <f aca="false">IF(T1497="BYPASS",IF(NOT(ISNUMBER(Q1497)),"PreV_ETB missing","End_tr_balance missing"),IF(T1497="FAIL",IF(AND(ISNUMBER(K1497),ISNUMBER(L1497),ABS(L1497-(K1497-IF(ISNUMBER(N1497),N1497,0)-IF(ISNUMBER(O1497),O1497,0)+IF(ISNUMBER(P1497),P1497,0)))&lt;=Summary!$B$2),"Passes using beginning_balance - PreV_ETB differs from beginning_balance",IF(AND(ISNUMBER(O1497),O1497&lt;0,ABS(L1497-(Q1497-IF(ISNUMBER(N1497),N1497,0)+IF(ISNUMBER(P1497),P1497,0)))&lt;=Summary!$B$2),"Negative realized loss not applied - check sign",IF(R1497&lt;0,"Principal paid exceeds prior balance",IF(AND(L1497&gt;Q1497,NOT(ISNUMBER(P1497))),"Balance increased but no Deferred_interest reported",IF(L1497&gt;R1497,"Reported balance higher than expected (missing increase/OC build)","Reported balance lower than expected (missing decrease)"))))),""))</f>
        <v/>
      </c>
    </row>
    <row r="1498" customFormat="false" ht="15" hidden="false" customHeight="false" outlineLevel="0" collapsed="false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9"/>
      <c r="L1498" s="9"/>
      <c r="M1498" s="9"/>
      <c r="N1498" s="9"/>
      <c r="O1498" s="9"/>
      <c r="P1498" s="9"/>
      <c r="Q1498" s="9"/>
      <c r="R1498" s="9" t="str">
        <f aca="false">IF(AND(A1498&lt;&gt;"",ISNUMBER(Q1498),ISNUMBER(L1498)),ROUND(Q1498-IF(ISNUMBER(N1498),N1498,0)-IF(ISNUMBER(O1498),O1498,0)+IF(ISNUMBER(P1498),P1498,0),2),"")</f>
        <v/>
      </c>
      <c r="S1498" s="9" t="str">
        <f aca="false">IF(R1498="","",ROUND(L1498-R1498,2))</f>
        <v/>
      </c>
      <c r="T1498" s="8" t="str">
        <f aca="false">IF(A1498="","",IF(S1498="","BYPASS",IF(ABS(S1498)&lt;=Summary!$B$2,"PASS","FAIL")))</f>
        <v/>
      </c>
      <c r="U1498" s="8" t="str">
        <f aca="false">IF(T1498="BYPASS",IF(NOT(ISNUMBER(Q1498)),"PreV_ETB missing","End_tr_balance missing"),IF(T1498="FAIL",IF(AND(ISNUMBER(K1498),ISNUMBER(L1498),ABS(L1498-(K1498-IF(ISNUMBER(N1498),N1498,0)-IF(ISNUMBER(O1498),O1498,0)+IF(ISNUMBER(P1498),P1498,0)))&lt;=Summary!$B$2),"Passes using beginning_balance - PreV_ETB differs from beginning_balance",IF(AND(ISNUMBER(O1498),O1498&lt;0,ABS(L1498-(Q1498-IF(ISNUMBER(N1498),N1498,0)+IF(ISNUMBER(P1498),P1498,0)))&lt;=Summary!$B$2),"Negative realized loss not applied - check sign",IF(R1498&lt;0,"Principal paid exceeds prior balance",IF(AND(L1498&gt;Q1498,NOT(ISNUMBER(P1498))),"Balance increased but no Deferred_interest reported",IF(L1498&gt;R1498,"Reported balance higher than expected (missing increase/OC build)","Reported balance lower than expected (missing decrease)"))))),""))</f>
        <v/>
      </c>
    </row>
    <row r="1499" customFormat="false" ht="15" hidden="false" customHeight="false" outlineLevel="0" collapsed="false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9"/>
      <c r="L1499" s="9"/>
      <c r="M1499" s="9"/>
      <c r="N1499" s="9"/>
      <c r="O1499" s="9"/>
      <c r="P1499" s="9"/>
      <c r="Q1499" s="9"/>
      <c r="R1499" s="9" t="str">
        <f aca="false">IF(AND(A1499&lt;&gt;"",ISNUMBER(Q1499),ISNUMBER(L1499)),ROUND(Q1499-IF(ISNUMBER(N1499),N1499,0)-IF(ISNUMBER(O1499),O1499,0)+IF(ISNUMBER(P1499),P1499,0),2),"")</f>
        <v/>
      </c>
      <c r="S1499" s="9" t="str">
        <f aca="false">IF(R1499="","",ROUND(L1499-R1499,2))</f>
        <v/>
      </c>
      <c r="T1499" s="8" t="str">
        <f aca="false">IF(A1499="","",IF(S1499="","BYPASS",IF(ABS(S1499)&lt;=Summary!$B$2,"PASS","FAIL")))</f>
        <v/>
      </c>
      <c r="U1499" s="8" t="str">
        <f aca="false">IF(T1499="BYPASS",IF(NOT(ISNUMBER(Q1499)),"PreV_ETB missing","End_tr_balance missing"),IF(T1499="FAIL",IF(AND(ISNUMBER(K1499),ISNUMBER(L1499),ABS(L1499-(K1499-IF(ISNUMBER(N1499),N1499,0)-IF(ISNUMBER(O1499),O1499,0)+IF(ISNUMBER(P1499),P1499,0)))&lt;=Summary!$B$2),"Passes using beginning_balance - PreV_ETB differs from beginning_balance",IF(AND(ISNUMBER(O1499),O1499&lt;0,ABS(L1499-(Q1499-IF(ISNUMBER(N1499),N1499,0)+IF(ISNUMBER(P1499),P1499,0)))&lt;=Summary!$B$2),"Negative realized loss not applied - check sign",IF(R1499&lt;0,"Principal paid exceeds prior balance",IF(AND(L1499&gt;Q1499,NOT(ISNUMBER(P1499))),"Balance increased but no Deferred_interest reported",IF(L1499&gt;R1499,"Reported balance higher than expected (missing increase/OC build)","Reported balance lower than expected (missing decrease)"))))),""))</f>
        <v/>
      </c>
    </row>
    <row r="1500" customFormat="false" ht="15" hidden="false" customHeight="false" outlineLevel="0" collapsed="false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9"/>
      <c r="L1500" s="9"/>
      <c r="M1500" s="9"/>
      <c r="N1500" s="9"/>
      <c r="O1500" s="9"/>
      <c r="P1500" s="9"/>
      <c r="Q1500" s="9"/>
      <c r="R1500" s="9" t="str">
        <f aca="false">IF(AND(A1500&lt;&gt;"",ISNUMBER(Q1500),ISNUMBER(L1500)),ROUND(Q1500-IF(ISNUMBER(N1500),N1500,0)-IF(ISNUMBER(O1500),O1500,0)+IF(ISNUMBER(P1500),P1500,0),2),"")</f>
        <v/>
      </c>
      <c r="S1500" s="9" t="str">
        <f aca="false">IF(R1500="","",ROUND(L1500-R1500,2))</f>
        <v/>
      </c>
      <c r="T1500" s="8" t="str">
        <f aca="false">IF(A1500="","",IF(S1500="","BYPASS",IF(ABS(S1500)&lt;=Summary!$B$2,"PASS","FAIL")))</f>
        <v/>
      </c>
      <c r="U1500" s="8" t="str">
        <f aca="false">IF(T1500="BYPASS",IF(NOT(ISNUMBER(Q1500)),"PreV_ETB missing","End_tr_balance missing"),IF(T1500="FAIL",IF(AND(ISNUMBER(K1500),ISNUMBER(L1500),ABS(L1500-(K1500-IF(ISNUMBER(N1500),N1500,0)-IF(ISNUMBER(O1500),O1500,0)+IF(ISNUMBER(P1500),P1500,0)))&lt;=Summary!$B$2),"Passes using beginning_balance - PreV_ETB differs from beginning_balance",IF(AND(ISNUMBER(O1500),O1500&lt;0,ABS(L1500-(Q1500-IF(ISNUMBER(N1500),N1500,0)+IF(ISNUMBER(P1500),P1500,0)))&lt;=Summary!$B$2),"Negative realized loss not applied - check sign",IF(R1500&lt;0,"Principal paid exceeds prior balance",IF(AND(L1500&gt;Q1500,NOT(ISNUMBER(P1500))),"Balance increased but no Deferred_interest reported",IF(L1500&gt;R1500,"Reported balance higher than expected (missing increase/OC build)","Reported balance lower than expected (missing decrease)"))))),""))</f>
        <v/>
      </c>
    </row>
    <row r="1501" customFormat="false" ht="15" hidden="false" customHeight="false" outlineLevel="0" collapsed="false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9"/>
      <c r="L1501" s="9"/>
      <c r="M1501" s="9"/>
      <c r="N1501" s="9"/>
      <c r="O1501" s="9"/>
      <c r="P1501" s="9"/>
      <c r="Q1501" s="9"/>
      <c r="R1501" s="9" t="str">
        <f aca="false">IF(AND(A1501&lt;&gt;"",ISNUMBER(Q1501),ISNUMBER(L1501)),ROUND(Q1501-IF(ISNUMBER(N1501),N1501,0)-IF(ISNUMBER(O1501),O1501,0)+IF(ISNUMBER(P1501),P1501,0),2),"")</f>
        <v/>
      </c>
      <c r="S1501" s="9" t="str">
        <f aca="false">IF(R1501="","",ROUND(L1501-R1501,2))</f>
        <v/>
      </c>
      <c r="T1501" s="8" t="str">
        <f aca="false">IF(A1501="","",IF(S1501="","BYPASS",IF(ABS(S1501)&lt;=Summary!$B$2,"PASS","FAIL")))</f>
        <v/>
      </c>
      <c r="U1501" s="8" t="str">
        <f aca="false">IF(T1501="BYPASS",IF(NOT(ISNUMBER(Q1501)),"PreV_ETB missing","End_tr_balance missing"),IF(T1501="FAIL",IF(AND(ISNUMBER(K1501),ISNUMBER(L1501),ABS(L1501-(K1501-IF(ISNUMBER(N1501),N1501,0)-IF(ISNUMBER(O1501),O1501,0)+IF(ISNUMBER(P1501),P1501,0)))&lt;=Summary!$B$2),"Passes using beginning_balance - PreV_ETB differs from beginning_balance",IF(AND(ISNUMBER(O1501),O1501&lt;0,ABS(L1501-(Q1501-IF(ISNUMBER(N1501),N1501,0)+IF(ISNUMBER(P1501),P1501,0)))&lt;=Summary!$B$2),"Negative realized loss not applied - check sign",IF(R1501&lt;0,"Principal paid exceeds prior balance",IF(AND(L1501&gt;Q1501,NOT(ISNUMBER(P1501))),"Balance increased but no Deferred_interest reported",IF(L1501&gt;R1501,"Reported balance higher than expected (missing increase/OC build)","Reported balance lower than expected (missing decrease)"))))),""))</f>
        <v/>
      </c>
    </row>
    <row r="1502" customFormat="false" ht="15" hidden="false" customHeight="false" outlineLevel="0" collapsed="false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9"/>
      <c r="L1502" s="9"/>
      <c r="M1502" s="9"/>
      <c r="N1502" s="9"/>
      <c r="O1502" s="9"/>
      <c r="P1502" s="9"/>
      <c r="Q1502" s="9"/>
      <c r="R1502" s="9" t="str">
        <f aca="false">IF(AND(A1502&lt;&gt;"",ISNUMBER(Q1502),ISNUMBER(L1502)),ROUND(Q1502-IF(ISNUMBER(N1502),N1502,0)-IF(ISNUMBER(O1502),O1502,0)+IF(ISNUMBER(P1502),P1502,0),2),"")</f>
        <v/>
      </c>
      <c r="S1502" s="9" t="str">
        <f aca="false">IF(R1502="","",ROUND(L1502-R1502,2))</f>
        <v/>
      </c>
      <c r="T1502" s="8" t="str">
        <f aca="false">IF(A1502="","",IF(S1502="","BYPASS",IF(ABS(S1502)&lt;=Summary!$B$2,"PASS","FAIL")))</f>
        <v/>
      </c>
      <c r="U1502" s="8" t="str">
        <f aca="false">IF(T1502="BYPASS",IF(NOT(ISNUMBER(Q1502)),"PreV_ETB missing","End_tr_balance missing"),IF(T1502="FAIL",IF(AND(ISNUMBER(K1502),ISNUMBER(L1502),ABS(L1502-(K1502-IF(ISNUMBER(N1502),N1502,0)-IF(ISNUMBER(O1502),O1502,0)+IF(ISNUMBER(P1502),P1502,0)))&lt;=Summary!$B$2),"Passes using beginning_balance - PreV_ETB differs from beginning_balance",IF(AND(ISNUMBER(O1502),O1502&lt;0,ABS(L1502-(Q1502-IF(ISNUMBER(N1502),N1502,0)+IF(ISNUMBER(P1502),P1502,0)))&lt;=Summary!$B$2),"Negative realized loss not applied - check sign",IF(R1502&lt;0,"Principal paid exceeds prior balance",IF(AND(L1502&gt;Q1502,NOT(ISNUMBER(P1502))),"Balance increased but no Deferred_interest reported",IF(L1502&gt;R1502,"Reported balance higher than expected (missing increase/OC build)","Reported balance lower than expected (missing decrease)"))))),""))</f>
        <v/>
      </c>
    </row>
    <row r="1503" customFormat="false" ht="15" hidden="false" customHeight="false" outlineLevel="0" collapsed="false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9"/>
      <c r="L1503" s="9"/>
      <c r="M1503" s="9"/>
      <c r="N1503" s="9"/>
      <c r="O1503" s="9"/>
      <c r="P1503" s="9"/>
      <c r="Q1503" s="9"/>
      <c r="R1503" s="9" t="str">
        <f aca="false">IF(AND(A1503&lt;&gt;"",ISNUMBER(Q1503),ISNUMBER(L1503)),ROUND(Q1503-IF(ISNUMBER(N1503),N1503,0)-IF(ISNUMBER(O1503),O1503,0)+IF(ISNUMBER(P1503),P1503,0),2),"")</f>
        <v/>
      </c>
      <c r="S1503" s="9" t="str">
        <f aca="false">IF(R1503="","",ROUND(L1503-R1503,2))</f>
        <v/>
      </c>
      <c r="T1503" s="8" t="str">
        <f aca="false">IF(A1503="","",IF(S1503="","BYPASS",IF(ABS(S1503)&lt;=Summary!$B$2,"PASS","FAIL")))</f>
        <v/>
      </c>
      <c r="U1503" s="8" t="str">
        <f aca="false">IF(T1503="BYPASS",IF(NOT(ISNUMBER(Q1503)),"PreV_ETB missing","End_tr_balance missing"),IF(T1503="FAIL",IF(AND(ISNUMBER(K1503),ISNUMBER(L1503),ABS(L1503-(K1503-IF(ISNUMBER(N1503),N1503,0)-IF(ISNUMBER(O1503),O1503,0)+IF(ISNUMBER(P1503),P1503,0)))&lt;=Summary!$B$2),"Passes using beginning_balance - PreV_ETB differs from beginning_balance",IF(AND(ISNUMBER(O1503),O1503&lt;0,ABS(L1503-(Q1503-IF(ISNUMBER(N1503),N1503,0)+IF(ISNUMBER(P1503),P1503,0)))&lt;=Summary!$B$2),"Negative realized loss not applied - check sign",IF(R1503&lt;0,"Principal paid exceeds prior balance",IF(AND(L1503&gt;Q1503,NOT(ISNUMBER(P1503))),"Balance increased but no Deferred_interest reported",IF(L1503&gt;R1503,"Reported balance higher than expected (missing increase/OC build)","Reported balance lower than expected (missing decrease)"))))),""))</f>
        <v/>
      </c>
    </row>
    <row r="1504" customFormat="false" ht="15" hidden="false" customHeight="false" outlineLevel="0" collapsed="false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9"/>
      <c r="L1504" s="9"/>
      <c r="M1504" s="9"/>
      <c r="N1504" s="9"/>
      <c r="O1504" s="9"/>
      <c r="P1504" s="9"/>
      <c r="Q1504" s="9"/>
      <c r="R1504" s="9" t="str">
        <f aca="false">IF(AND(A1504&lt;&gt;"",ISNUMBER(Q1504),ISNUMBER(L1504)),ROUND(Q1504-IF(ISNUMBER(N1504),N1504,0)-IF(ISNUMBER(O1504),O1504,0)+IF(ISNUMBER(P1504),P1504,0),2),"")</f>
        <v/>
      </c>
      <c r="S1504" s="9" t="str">
        <f aca="false">IF(R1504="","",ROUND(L1504-R1504,2))</f>
        <v/>
      </c>
      <c r="T1504" s="8" t="str">
        <f aca="false">IF(A1504="","",IF(S1504="","BYPASS",IF(ABS(S1504)&lt;=Summary!$B$2,"PASS","FAIL")))</f>
        <v/>
      </c>
      <c r="U1504" s="8" t="str">
        <f aca="false">IF(T1504="BYPASS",IF(NOT(ISNUMBER(Q1504)),"PreV_ETB missing","End_tr_balance missing"),IF(T1504="FAIL",IF(AND(ISNUMBER(K1504),ISNUMBER(L1504),ABS(L1504-(K1504-IF(ISNUMBER(N1504),N1504,0)-IF(ISNUMBER(O1504),O1504,0)+IF(ISNUMBER(P1504),P1504,0)))&lt;=Summary!$B$2),"Passes using beginning_balance - PreV_ETB differs from beginning_balance",IF(AND(ISNUMBER(O1504),O1504&lt;0,ABS(L1504-(Q1504-IF(ISNUMBER(N1504),N1504,0)+IF(ISNUMBER(P1504),P1504,0)))&lt;=Summary!$B$2),"Negative realized loss not applied - check sign",IF(R1504&lt;0,"Principal paid exceeds prior balance",IF(AND(L1504&gt;Q1504,NOT(ISNUMBER(P1504))),"Balance increased but no Deferred_interest reported",IF(L1504&gt;R1504,"Reported balance higher than expected (missing increase/OC build)","Reported balance lower than expected (missing decrease)"))))),""))</f>
        <v/>
      </c>
    </row>
    <row r="1505" customFormat="false" ht="15" hidden="false" customHeight="false" outlineLevel="0" collapsed="false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9"/>
      <c r="L1505" s="9"/>
      <c r="M1505" s="9"/>
      <c r="N1505" s="9"/>
      <c r="O1505" s="9"/>
      <c r="P1505" s="9"/>
      <c r="Q1505" s="9"/>
      <c r="R1505" s="9" t="str">
        <f aca="false">IF(AND(A1505&lt;&gt;"",ISNUMBER(Q1505),ISNUMBER(L1505)),ROUND(Q1505-IF(ISNUMBER(N1505),N1505,0)-IF(ISNUMBER(O1505),O1505,0)+IF(ISNUMBER(P1505),P1505,0),2),"")</f>
        <v/>
      </c>
      <c r="S1505" s="9" t="str">
        <f aca="false">IF(R1505="","",ROUND(L1505-R1505,2))</f>
        <v/>
      </c>
      <c r="T1505" s="8" t="str">
        <f aca="false">IF(A1505="","",IF(S1505="","BYPASS",IF(ABS(S1505)&lt;=Summary!$B$2,"PASS","FAIL")))</f>
        <v/>
      </c>
      <c r="U1505" s="8" t="str">
        <f aca="false">IF(T1505="BYPASS",IF(NOT(ISNUMBER(Q1505)),"PreV_ETB missing","End_tr_balance missing"),IF(T1505="FAIL",IF(AND(ISNUMBER(K1505),ISNUMBER(L1505),ABS(L1505-(K1505-IF(ISNUMBER(N1505),N1505,0)-IF(ISNUMBER(O1505),O1505,0)+IF(ISNUMBER(P1505),P1505,0)))&lt;=Summary!$B$2),"Passes using beginning_balance - PreV_ETB differs from beginning_balance",IF(AND(ISNUMBER(O1505),O1505&lt;0,ABS(L1505-(Q1505-IF(ISNUMBER(N1505),N1505,0)+IF(ISNUMBER(P1505),P1505,0)))&lt;=Summary!$B$2),"Negative realized loss not applied - check sign",IF(R1505&lt;0,"Principal paid exceeds prior balance",IF(AND(L1505&gt;Q1505,NOT(ISNUMBER(P1505))),"Balance increased but no Deferred_interest reported",IF(L1505&gt;R1505,"Reported balance higher than expected (missing increase/OC build)","Reported balance lower than expected (missing decrease)"))))),""))</f>
        <v/>
      </c>
    </row>
    <row r="1506" customFormat="false" ht="15" hidden="false" customHeight="false" outlineLevel="0" collapsed="false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9"/>
      <c r="L1506" s="9"/>
      <c r="M1506" s="9"/>
      <c r="N1506" s="9"/>
      <c r="O1506" s="9"/>
      <c r="P1506" s="9"/>
      <c r="Q1506" s="9"/>
      <c r="R1506" s="9" t="str">
        <f aca="false">IF(AND(A1506&lt;&gt;"",ISNUMBER(Q1506),ISNUMBER(L1506)),ROUND(Q1506-IF(ISNUMBER(N1506),N1506,0)-IF(ISNUMBER(O1506),O1506,0)+IF(ISNUMBER(P1506),P1506,0),2),"")</f>
        <v/>
      </c>
      <c r="S1506" s="9" t="str">
        <f aca="false">IF(R1506="","",ROUND(L1506-R1506,2))</f>
        <v/>
      </c>
      <c r="T1506" s="8" t="str">
        <f aca="false">IF(A1506="","",IF(S1506="","BYPASS",IF(ABS(S1506)&lt;=Summary!$B$2,"PASS","FAIL")))</f>
        <v/>
      </c>
      <c r="U1506" s="8" t="str">
        <f aca="false">IF(T1506="BYPASS",IF(NOT(ISNUMBER(Q1506)),"PreV_ETB missing","End_tr_balance missing"),IF(T1506="FAIL",IF(AND(ISNUMBER(K1506),ISNUMBER(L1506),ABS(L1506-(K1506-IF(ISNUMBER(N1506),N1506,0)-IF(ISNUMBER(O1506),O1506,0)+IF(ISNUMBER(P1506),P1506,0)))&lt;=Summary!$B$2),"Passes using beginning_balance - PreV_ETB differs from beginning_balance",IF(AND(ISNUMBER(O1506),O1506&lt;0,ABS(L1506-(Q1506-IF(ISNUMBER(N1506),N1506,0)+IF(ISNUMBER(P1506),P1506,0)))&lt;=Summary!$B$2),"Negative realized loss not applied - check sign",IF(R1506&lt;0,"Principal paid exceeds prior balance",IF(AND(L1506&gt;Q1506,NOT(ISNUMBER(P1506))),"Balance increased but no Deferred_interest reported",IF(L1506&gt;R1506,"Reported balance higher than expected (missing increase/OC build)","Reported balance lower than expected (missing decrease)"))))),""))</f>
        <v/>
      </c>
    </row>
    <row r="1507" customFormat="false" ht="15" hidden="false" customHeight="false" outlineLevel="0" collapsed="false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9"/>
      <c r="L1507" s="9"/>
      <c r="M1507" s="9"/>
      <c r="N1507" s="9"/>
      <c r="O1507" s="9"/>
      <c r="P1507" s="9"/>
      <c r="Q1507" s="9"/>
      <c r="R1507" s="9" t="str">
        <f aca="false">IF(AND(A1507&lt;&gt;"",ISNUMBER(Q1507),ISNUMBER(L1507)),ROUND(Q1507-IF(ISNUMBER(N1507),N1507,0)-IF(ISNUMBER(O1507),O1507,0)+IF(ISNUMBER(P1507),P1507,0),2),"")</f>
        <v/>
      </c>
      <c r="S1507" s="9" t="str">
        <f aca="false">IF(R1507="","",ROUND(L1507-R1507,2))</f>
        <v/>
      </c>
      <c r="T1507" s="8" t="str">
        <f aca="false">IF(A1507="","",IF(S1507="","BYPASS",IF(ABS(S1507)&lt;=Summary!$B$2,"PASS","FAIL")))</f>
        <v/>
      </c>
      <c r="U1507" s="8" t="str">
        <f aca="false">IF(T1507="BYPASS",IF(NOT(ISNUMBER(Q1507)),"PreV_ETB missing","End_tr_balance missing"),IF(T1507="FAIL",IF(AND(ISNUMBER(K1507),ISNUMBER(L1507),ABS(L1507-(K1507-IF(ISNUMBER(N1507),N1507,0)-IF(ISNUMBER(O1507),O1507,0)+IF(ISNUMBER(P1507),P1507,0)))&lt;=Summary!$B$2),"Passes using beginning_balance - PreV_ETB differs from beginning_balance",IF(AND(ISNUMBER(O1507),O1507&lt;0,ABS(L1507-(Q1507-IF(ISNUMBER(N1507),N1507,0)+IF(ISNUMBER(P1507),P1507,0)))&lt;=Summary!$B$2),"Negative realized loss not applied - check sign",IF(R1507&lt;0,"Principal paid exceeds prior balance",IF(AND(L1507&gt;Q1507,NOT(ISNUMBER(P1507))),"Balance increased but no Deferred_interest reported",IF(L1507&gt;R1507,"Reported balance higher than expected (missing increase/OC build)","Reported balance lower than expected (missing decrease)"))))),""))</f>
        <v/>
      </c>
    </row>
    <row r="1508" customFormat="false" ht="15" hidden="false" customHeight="false" outlineLevel="0" collapsed="false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9"/>
      <c r="L1508" s="9"/>
      <c r="M1508" s="9"/>
      <c r="N1508" s="9"/>
      <c r="O1508" s="9"/>
      <c r="P1508" s="9"/>
      <c r="Q1508" s="9"/>
      <c r="R1508" s="9" t="str">
        <f aca="false">IF(AND(A1508&lt;&gt;"",ISNUMBER(Q1508),ISNUMBER(L1508)),ROUND(Q1508-IF(ISNUMBER(N1508),N1508,0)-IF(ISNUMBER(O1508),O1508,0)+IF(ISNUMBER(P1508),P1508,0),2),"")</f>
        <v/>
      </c>
      <c r="S1508" s="9" t="str">
        <f aca="false">IF(R1508="","",ROUND(L1508-R1508,2))</f>
        <v/>
      </c>
      <c r="T1508" s="8" t="str">
        <f aca="false">IF(A1508="","",IF(S1508="","BYPASS",IF(ABS(S1508)&lt;=Summary!$B$2,"PASS","FAIL")))</f>
        <v/>
      </c>
      <c r="U1508" s="8" t="str">
        <f aca="false">IF(T1508="BYPASS",IF(NOT(ISNUMBER(Q1508)),"PreV_ETB missing","End_tr_balance missing"),IF(T1508="FAIL",IF(AND(ISNUMBER(K1508),ISNUMBER(L1508),ABS(L1508-(K1508-IF(ISNUMBER(N1508),N1508,0)-IF(ISNUMBER(O1508),O1508,0)+IF(ISNUMBER(P1508),P1508,0)))&lt;=Summary!$B$2),"Passes using beginning_balance - PreV_ETB differs from beginning_balance",IF(AND(ISNUMBER(O1508),O1508&lt;0,ABS(L1508-(Q1508-IF(ISNUMBER(N1508),N1508,0)+IF(ISNUMBER(P1508),P1508,0)))&lt;=Summary!$B$2),"Negative realized loss not applied - check sign",IF(R1508&lt;0,"Principal paid exceeds prior balance",IF(AND(L1508&gt;Q1508,NOT(ISNUMBER(P1508))),"Balance increased but no Deferred_interest reported",IF(L1508&gt;R1508,"Reported balance higher than expected (missing increase/OC build)","Reported balance lower than expected (missing decrease)"))))),""))</f>
        <v/>
      </c>
    </row>
    <row r="1509" customFormat="false" ht="15" hidden="false" customHeight="false" outlineLevel="0" collapsed="false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9"/>
      <c r="L1509" s="9"/>
      <c r="M1509" s="9"/>
      <c r="N1509" s="9"/>
      <c r="O1509" s="9"/>
      <c r="P1509" s="9"/>
      <c r="Q1509" s="9"/>
      <c r="R1509" s="9" t="str">
        <f aca="false">IF(AND(A1509&lt;&gt;"",ISNUMBER(Q1509),ISNUMBER(L1509)),ROUND(Q1509-IF(ISNUMBER(N1509),N1509,0)-IF(ISNUMBER(O1509),O1509,0)+IF(ISNUMBER(P1509),P1509,0),2),"")</f>
        <v/>
      </c>
      <c r="S1509" s="9" t="str">
        <f aca="false">IF(R1509="","",ROUND(L1509-R1509,2))</f>
        <v/>
      </c>
      <c r="T1509" s="8" t="str">
        <f aca="false">IF(A1509="","",IF(S1509="","BYPASS",IF(ABS(S1509)&lt;=Summary!$B$2,"PASS","FAIL")))</f>
        <v/>
      </c>
      <c r="U1509" s="8" t="str">
        <f aca="false">IF(T1509="BYPASS",IF(NOT(ISNUMBER(Q1509)),"PreV_ETB missing","End_tr_balance missing"),IF(T1509="FAIL",IF(AND(ISNUMBER(K1509),ISNUMBER(L1509),ABS(L1509-(K1509-IF(ISNUMBER(N1509),N1509,0)-IF(ISNUMBER(O1509),O1509,0)+IF(ISNUMBER(P1509),P1509,0)))&lt;=Summary!$B$2),"Passes using beginning_balance - PreV_ETB differs from beginning_balance",IF(AND(ISNUMBER(O1509),O1509&lt;0,ABS(L1509-(Q1509-IF(ISNUMBER(N1509),N1509,0)+IF(ISNUMBER(P1509),P1509,0)))&lt;=Summary!$B$2),"Negative realized loss not applied - check sign",IF(R1509&lt;0,"Principal paid exceeds prior balance",IF(AND(L1509&gt;Q1509,NOT(ISNUMBER(P1509))),"Balance increased but no Deferred_interest reported",IF(L1509&gt;R1509,"Reported balance higher than expected (missing increase/OC build)","Reported balance lower than expected (missing decrease)"))))),""))</f>
        <v/>
      </c>
    </row>
    <row r="1510" customFormat="false" ht="15" hidden="false" customHeight="false" outlineLevel="0" collapsed="false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9"/>
      <c r="L1510" s="9"/>
      <c r="M1510" s="9"/>
      <c r="N1510" s="9"/>
      <c r="O1510" s="9"/>
      <c r="P1510" s="9"/>
      <c r="Q1510" s="9"/>
      <c r="R1510" s="9" t="str">
        <f aca="false">IF(AND(A1510&lt;&gt;"",ISNUMBER(Q1510),ISNUMBER(L1510)),ROUND(Q1510-IF(ISNUMBER(N1510),N1510,0)-IF(ISNUMBER(O1510),O1510,0)+IF(ISNUMBER(P1510),P1510,0),2),"")</f>
        <v/>
      </c>
      <c r="S1510" s="9" t="str">
        <f aca="false">IF(R1510="","",ROUND(L1510-R1510,2))</f>
        <v/>
      </c>
      <c r="T1510" s="8" t="str">
        <f aca="false">IF(A1510="","",IF(S1510="","BYPASS",IF(ABS(S1510)&lt;=Summary!$B$2,"PASS","FAIL")))</f>
        <v/>
      </c>
      <c r="U1510" s="8" t="str">
        <f aca="false">IF(T1510="BYPASS",IF(NOT(ISNUMBER(Q1510)),"PreV_ETB missing","End_tr_balance missing"),IF(T1510="FAIL",IF(AND(ISNUMBER(K1510),ISNUMBER(L1510),ABS(L1510-(K1510-IF(ISNUMBER(N1510),N1510,0)-IF(ISNUMBER(O1510),O1510,0)+IF(ISNUMBER(P1510),P1510,0)))&lt;=Summary!$B$2),"Passes using beginning_balance - PreV_ETB differs from beginning_balance",IF(AND(ISNUMBER(O1510),O1510&lt;0,ABS(L1510-(Q1510-IF(ISNUMBER(N1510),N1510,0)+IF(ISNUMBER(P1510),P1510,0)))&lt;=Summary!$B$2),"Negative realized loss not applied - check sign",IF(R1510&lt;0,"Principal paid exceeds prior balance",IF(AND(L1510&gt;Q1510,NOT(ISNUMBER(P1510))),"Balance increased but no Deferred_interest reported",IF(L1510&gt;R1510,"Reported balance higher than expected (missing increase/OC build)","Reported balance lower than expected (missing decrease)"))))),""))</f>
        <v/>
      </c>
    </row>
    <row r="1511" customFormat="false" ht="15" hidden="false" customHeight="false" outlineLevel="0" collapsed="false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9"/>
      <c r="L1511" s="9"/>
      <c r="M1511" s="9"/>
      <c r="N1511" s="9"/>
      <c r="O1511" s="9"/>
      <c r="P1511" s="9"/>
      <c r="Q1511" s="9"/>
      <c r="R1511" s="9" t="str">
        <f aca="false">IF(AND(A1511&lt;&gt;"",ISNUMBER(Q1511),ISNUMBER(L1511)),ROUND(Q1511-IF(ISNUMBER(N1511),N1511,0)-IF(ISNUMBER(O1511),O1511,0)+IF(ISNUMBER(P1511),P1511,0),2),"")</f>
        <v/>
      </c>
      <c r="S1511" s="9" t="str">
        <f aca="false">IF(R1511="","",ROUND(L1511-R1511,2))</f>
        <v/>
      </c>
      <c r="T1511" s="8" t="str">
        <f aca="false">IF(A1511="","",IF(S1511="","BYPASS",IF(ABS(S1511)&lt;=Summary!$B$2,"PASS","FAIL")))</f>
        <v/>
      </c>
      <c r="U1511" s="8" t="str">
        <f aca="false">IF(T1511="BYPASS",IF(NOT(ISNUMBER(Q1511)),"PreV_ETB missing","End_tr_balance missing"),IF(T1511="FAIL",IF(AND(ISNUMBER(K1511),ISNUMBER(L1511),ABS(L1511-(K1511-IF(ISNUMBER(N1511),N1511,0)-IF(ISNUMBER(O1511),O1511,0)+IF(ISNUMBER(P1511),P1511,0)))&lt;=Summary!$B$2),"Passes using beginning_balance - PreV_ETB differs from beginning_balance",IF(AND(ISNUMBER(O1511),O1511&lt;0,ABS(L1511-(Q1511-IF(ISNUMBER(N1511),N1511,0)+IF(ISNUMBER(P1511),P1511,0)))&lt;=Summary!$B$2),"Negative realized loss not applied - check sign",IF(R1511&lt;0,"Principal paid exceeds prior balance",IF(AND(L1511&gt;Q1511,NOT(ISNUMBER(P1511))),"Balance increased but no Deferred_interest reported",IF(L1511&gt;R1511,"Reported balance higher than expected (missing increase/OC build)","Reported balance lower than expected (missing decrease)"))))),""))</f>
        <v/>
      </c>
    </row>
    <row r="1512" customFormat="false" ht="15" hidden="false" customHeight="false" outlineLevel="0" collapsed="false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9"/>
      <c r="L1512" s="9"/>
      <c r="M1512" s="9"/>
      <c r="N1512" s="9"/>
      <c r="O1512" s="9"/>
      <c r="P1512" s="9"/>
      <c r="Q1512" s="9"/>
      <c r="R1512" s="9" t="str">
        <f aca="false">IF(AND(A1512&lt;&gt;"",ISNUMBER(Q1512),ISNUMBER(L1512)),ROUND(Q1512-IF(ISNUMBER(N1512),N1512,0)-IF(ISNUMBER(O1512),O1512,0)+IF(ISNUMBER(P1512),P1512,0),2),"")</f>
        <v/>
      </c>
      <c r="S1512" s="9" t="str">
        <f aca="false">IF(R1512="","",ROUND(L1512-R1512,2))</f>
        <v/>
      </c>
      <c r="T1512" s="8" t="str">
        <f aca="false">IF(A1512="","",IF(S1512="","BYPASS",IF(ABS(S1512)&lt;=Summary!$B$2,"PASS","FAIL")))</f>
        <v/>
      </c>
      <c r="U1512" s="8" t="str">
        <f aca="false">IF(T1512="BYPASS",IF(NOT(ISNUMBER(Q1512)),"PreV_ETB missing","End_tr_balance missing"),IF(T1512="FAIL",IF(AND(ISNUMBER(K1512),ISNUMBER(L1512),ABS(L1512-(K1512-IF(ISNUMBER(N1512),N1512,0)-IF(ISNUMBER(O1512),O1512,0)+IF(ISNUMBER(P1512),P1512,0)))&lt;=Summary!$B$2),"Passes using beginning_balance - PreV_ETB differs from beginning_balance",IF(AND(ISNUMBER(O1512),O1512&lt;0,ABS(L1512-(Q1512-IF(ISNUMBER(N1512),N1512,0)+IF(ISNUMBER(P1512),P1512,0)))&lt;=Summary!$B$2),"Negative realized loss not applied - check sign",IF(R1512&lt;0,"Principal paid exceeds prior balance",IF(AND(L1512&gt;Q1512,NOT(ISNUMBER(P1512))),"Balance increased but no Deferred_interest reported",IF(L1512&gt;R1512,"Reported balance higher than expected (missing increase/OC build)","Reported balance lower than expected (missing decrease)"))))),""))</f>
        <v/>
      </c>
    </row>
    <row r="1513" customFormat="false" ht="15" hidden="false" customHeight="false" outlineLevel="0" collapsed="false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9"/>
      <c r="L1513" s="9"/>
      <c r="M1513" s="9"/>
      <c r="N1513" s="9"/>
      <c r="O1513" s="9"/>
      <c r="P1513" s="9"/>
      <c r="Q1513" s="9"/>
      <c r="R1513" s="9" t="str">
        <f aca="false">IF(AND(A1513&lt;&gt;"",ISNUMBER(Q1513),ISNUMBER(L1513)),ROUND(Q1513-IF(ISNUMBER(N1513),N1513,0)-IF(ISNUMBER(O1513),O1513,0)+IF(ISNUMBER(P1513),P1513,0),2),"")</f>
        <v/>
      </c>
      <c r="S1513" s="9" t="str">
        <f aca="false">IF(R1513="","",ROUND(L1513-R1513,2))</f>
        <v/>
      </c>
      <c r="T1513" s="8" t="str">
        <f aca="false">IF(A1513="","",IF(S1513="","BYPASS",IF(ABS(S1513)&lt;=Summary!$B$2,"PASS","FAIL")))</f>
        <v/>
      </c>
      <c r="U1513" s="8" t="str">
        <f aca="false">IF(T1513="BYPASS",IF(NOT(ISNUMBER(Q1513)),"PreV_ETB missing","End_tr_balance missing"),IF(T1513="FAIL",IF(AND(ISNUMBER(K1513),ISNUMBER(L1513),ABS(L1513-(K1513-IF(ISNUMBER(N1513),N1513,0)-IF(ISNUMBER(O1513),O1513,0)+IF(ISNUMBER(P1513),P1513,0)))&lt;=Summary!$B$2),"Passes using beginning_balance - PreV_ETB differs from beginning_balance",IF(AND(ISNUMBER(O1513),O1513&lt;0,ABS(L1513-(Q1513-IF(ISNUMBER(N1513),N1513,0)+IF(ISNUMBER(P1513),P1513,0)))&lt;=Summary!$B$2),"Negative realized loss not applied - check sign",IF(R1513&lt;0,"Principal paid exceeds prior balance",IF(AND(L1513&gt;Q1513,NOT(ISNUMBER(P1513))),"Balance increased but no Deferred_interest reported",IF(L1513&gt;R1513,"Reported balance higher than expected (missing increase/OC build)","Reported balance lower than expected (missing decrease)"))))),""))</f>
        <v/>
      </c>
    </row>
    <row r="1514" customFormat="false" ht="15" hidden="false" customHeight="false" outlineLevel="0" collapsed="false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9"/>
      <c r="L1514" s="9"/>
      <c r="M1514" s="9"/>
      <c r="N1514" s="9"/>
      <c r="O1514" s="9"/>
      <c r="P1514" s="9"/>
      <c r="Q1514" s="9"/>
      <c r="R1514" s="9" t="str">
        <f aca="false">IF(AND(A1514&lt;&gt;"",ISNUMBER(Q1514),ISNUMBER(L1514)),ROUND(Q1514-IF(ISNUMBER(N1514),N1514,0)-IF(ISNUMBER(O1514),O1514,0)+IF(ISNUMBER(P1514),P1514,0),2),"")</f>
        <v/>
      </c>
      <c r="S1514" s="9" t="str">
        <f aca="false">IF(R1514="","",ROUND(L1514-R1514,2))</f>
        <v/>
      </c>
      <c r="T1514" s="8" t="str">
        <f aca="false">IF(A1514="","",IF(S1514="","BYPASS",IF(ABS(S1514)&lt;=Summary!$B$2,"PASS","FAIL")))</f>
        <v/>
      </c>
      <c r="U1514" s="8" t="str">
        <f aca="false">IF(T1514="BYPASS",IF(NOT(ISNUMBER(Q1514)),"PreV_ETB missing","End_tr_balance missing"),IF(T1514="FAIL",IF(AND(ISNUMBER(K1514),ISNUMBER(L1514),ABS(L1514-(K1514-IF(ISNUMBER(N1514),N1514,0)-IF(ISNUMBER(O1514),O1514,0)+IF(ISNUMBER(P1514),P1514,0)))&lt;=Summary!$B$2),"Passes using beginning_balance - PreV_ETB differs from beginning_balance",IF(AND(ISNUMBER(O1514),O1514&lt;0,ABS(L1514-(Q1514-IF(ISNUMBER(N1514),N1514,0)+IF(ISNUMBER(P1514),P1514,0)))&lt;=Summary!$B$2),"Negative realized loss not applied - check sign",IF(R1514&lt;0,"Principal paid exceeds prior balance",IF(AND(L1514&gt;Q1514,NOT(ISNUMBER(P1514))),"Balance increased but no Deferred_interest reported",IF(L1514&gt;R1514,"Reported balance higher than expected (missing increase/OC build)","Reported balance lower than expected (missing decrease)"))))),""))</f>
        <v/>
      </c>
    </row>
    <row r="1515" customFormat="false" ht="15" hidden="false" customHeight="false" outlineLevel="0" collapsed="false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9"/>
      <c r="L1515" s="9"/>
      <c r="M1515" s="9"/>
      <c r="N1515" s="9"/>
      <c r="O1515" s="9"/>
      <c r="P1515" s="9"/>
      <c r="Q1515" s="9"/>
      <c r="R1515" s="9" t="str">
        <f aca="false">IF(AND(A1515&lt;&gt;"",ISNUMBER(Q1515),ISNUMBER(L1515)),ROUND(Q1515-IF(ISNUMBER(N1515),N1515,0)-IF(ISNUMBER(O1515),O1515,0)+IF(ISNUMBER(P1515),P1515,0),2),"")</f>
        <v/>
      </c>
      <c r="S1515" s="9" t="str">
        <f aca="false">IF(R1515="","",ROUND(L1515-R1515,2))</f>
        <v/>
      </c>
      <c r="T1515" s="8" t="str">
        <f aca="false">IF(A1515="","",IF(S1515="","BYPASS",IF(ABS(S1515)&lt;=Summary!$B$2,"PASS","FAIL")))</f>
        <v/>
      </c>
      <c r="U1515" s="8" t="str">
        <f aca="false">IF(T1515="BYPASS",IF(NOT(ISNUMBER(Q1515)),"PreV_ETB missing","End_tr_balance missing"),IF(T1515="FAIL",IF(AND(ISNUMBER(K1515),ISNUMBER(L1515),ABS(L1515-(K1515-IF(ISNUMBER(N1515),N1515,0)-IF(ISNUMBER(O1515),O1515,0)+IF(ISNUMBER(P1515),P1515,0)))&lt;=Summary!$B$2),"Passes using beginning_balance - PreV_ETB differs from beginning_balance",IF(AND(ISNUMBER(O1515),O1515&lt;0,ABS(L1515-(Q1515-IF(ISNUMBER(N1515),N1515,0)+IF(ISNUMBER(P1515),P1515,0)))&lt;=Summary!$B$2),"Negative realized loss not applied - check sign",IF(R1515&lt;0,"Principal paid exceeds prior balance",IF(AND(L1515&gt;Q1515,NOT(ISNUMBER(P1515))),"Balance increased but no Deferred_interest reported",IF(L1515&gt;R1515,"Reported balance higher than expected (missing increase/OC build)","Reported balance lower than expected (missing decrease)"))))),""))</f>
        <v/>
      </c>
    </row>
    <row r="1516" customFormat="false" ht="15" hidden="false" customHeight="false" outlineLevel="0" collapsed="false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9"/>
      <c r="L1516" s="9"/>
      <c r="M1516" s="9"/>
      <c r="N1516" s="9"/>
      <c r="O1516" s="9"/>
      <c r="P1516" s="9"/>
      <c r="Q1516" s="9"/>
      <c r="R1516" s="9" t="str">
        <f aca="false">IF(AND(A1516&lt;&gt;"",ISNUMBER(Q1516),ISNUMBER(L1516)),ROUND(Q1516-IF(ISNUMBER(N1516),N1516,0)-IF(ISNUMBER(O1516),O1516,0)+IF(ISNUMBER(P1516),P1516,0),2),"")</f>
        <v/>
      </c>
      <c r="S1516" s="9" t="str">
        <f aca="false">IF(R1516="","",ROUND(L1516-R1516,2))</f>
        <v/>
      </c>
      <c r="T1516" s="8" t="str">
        <f aca="false">IF(A1516="","",IF(S1516="","BYPASS",IF(ABS(S1516)&lt;=Summary!$B$2,"PASS","FAIL")))</f>
        <v/>
      </c>
      <c r="U1516" s="8" t="str">
        <f aca="false">IF(T1516="BYPASS",IF(NOT(ISNUMBER(Q1516)),"PreV_ETB missing","End_tr_balance missing"),IF(T1516="FAIL",IF(AND(ISNUMBER(K1516),ISNUMBER(L1516),ABS(L1516-(K1516-IF(ISNUMBER(N1516),N1516,0)-IF(ISNUMBER(O1516),O1516,0)+IF(ISNUMBER(P1516),P1516,0)))&lt;=Summary!$B$2),"Passes using beginning_balance - PreV_ETB differs from beginning_balance",IF(AND(ISNUMBER(O1516),O1516&lt;0,ABS(L1516-(Q1516-IF(ISNUMBER(N1516),N1516,0)+IF(ISNUMBER(P1516),P1516,0)))&lt;=Summary!$B$2),"Negative realized loss not applied - check sign",IF(R1516&lt;0,"Principal paid exceeds prior balance",IF(AND(L1516&gt;Q1516,NOT(ISNUMBER(P1516))),"Balance increased but no Deferred_interest reported",IF(L1516&gt;R1516,"Reported balance higher than expected (missing increase/OC build)","Reported balance lower than expected (missing decrease)"))))),""))</f>
        <v/>
      </c>
    </row>
    <row r="1517" customFormat="false" ht="15" hidden="false" customHeight="false" outlineLevel="0" collapsed="false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9"/>
      <c r="L1517" s="9"/>
      <c r="M1517" s="9"/>
      <c r="N1517" s="9"/>
      <c r="O1517" s="9"/>
      <c r="P1517" s="9"/>
      <c r="Q1517" s="9"/>
      <c r="R1517" s="9" t="str">
        <f aca="false">IF(AND(A1517&lt;&gt;"",ISNUMBER(Q1517),ISNUMBER(L1517)),ROUND(Q1517-IF(ISNUMBER(N1517),N1517,0)-IF(ISNUMBER(O1517),O1517,0)+IF(ISNUMBER(P1517),P1517,0),2),"")</f>
        <v/>
      </c>
      <c r="S1517" s="9" t="str">
        <f aca="false">IF(R1517="","",ROUND(L1517-R1517,2))</f>
        <v/>
      </c>
      <c r="T1517" s="8" t="str">
        <f aca="false">IF(A1517="","",IF(S1517="","BYPASS",IF(ABS(S1517)&lt;=Summary!$B$2,"PASS","FAIL")))</f>
        <v/>
      </c>
      <c r="U1517" s="8" t="str">
        <f aca="false">IF(T1517="BYPASS",IF(NOT(ISNUMBER(Q1517)),"PreV_ETB missing","End_tr_balance missing"),IF(T1517="FAIL",IF(AND(ISNUMBER(K1517),ISNUMBER(L1517),ABS(L1517-(K1517-IF(ISNUMBER(N1517),N1517,0)-IF(ISNUMBER(O1517),O1517,0)+IF(ISNUMBER(P1517),P1517,0)))&lt;=Summary!$B$2),"Passes using beginning_balance - PreV_ETB differs from beginning_balance",IF(AND(ISNUMBER(O1517),O1517&lt;0,ABS(L1517-(Q1517-IF(ISNUMBER(N1517),N1517,0)+IF(ISNUMBER(P1517),P1517,0)))&lt;=Summary!$B$2),"Negative realized loss not applied - check sign",IF(R1517&lt;0,"Principal paid exceeds prior balance",IF(AND(L1517&gt;Q1517,NOT(ISNUMBER(P1517))),"Balance increased but no Deferred_interest reported",IF(L1517&gt;R1517,"Reported balance higher than expected (missing increase/OC build)","Reported balance lower than expected (missing decrease)"))))),""))</f>
        <v/>
      </c>
    </row>
    <row r="1518" customFormat="false" ht="15" hidden="false" customHeight="false" outlineLevel="0" collapsed="false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9"/>
      <c r="L1518" s="9"/>
      <c r="M1518" s="9"/>
      <c r="N1518" s="9"/>
      <c r="O1518" s="9"/>
      <c r="P1518" s="9"/>
      <c r="Q1518" s="9"/>
      <c r="R1518" s="9" t="str">
        <f aca="false">IF(AND(A1518&lt;&gt;"",ISNUMBER(Q1518),ISNUMBER(L1518)),ROUND(Q1518-IF(ISNUMBER(N1518),N1518,0)-IF(ISNUMBER(O1518),O1518,0)+IF(ISNUMBER(P1518),P1518,0),2),"")</f>
        <v/>
      </c>
      <c r="S1518" s="9" t="str">
        <f aca="false">IF(R1518="","",ROUND(L1518-R1518,2))</f>
        <v/>
      </c>
      <c r="T1518" s="8" t="str">
        <f aca="false">IF(A1518="","",IF(S1518="","BYPASS",IF(ABS(S1518)&lt;=Summary!$B$2,"PASS","FAIL")))</f>
        <v/>
      </c>
      <c r="U1518" s="8" t="str">
        <f aca="false">IF(T1518="BYPASS",IF(NOT(ISNUMBER(Q1518)),"PreV_ETB missing","End_tr_balance missing"),IF(T1518="FAIL",IF(AND(ISNUMBER(K1518),ISNUMBER(L1518),ABS(L1518-(K1518-IF(ISNUMBER(N1518),N1518,0)-IF(ISNUMBER(O1518),O1518,0)+IF(ISNUMBER(P1518),P1518,0)))&lt;=Summary!$B$2),"Passes using beginning_balance - PreV_ETB differs from beginning_balance",IF(AND(ISNUMBER(O1518),O1518&lt;0,ABS(L1518-(Q1518-IF(ISNUMBER(N1518),N1518,0)+IF(ISNUMBER(P1518),P1518,0)))&lt;=Summary!$B$2),"Negative realized loss not applied - check sign",IF(R1518&lt;0,"Principal paid exceeds prior balance",IF(AND(L1518&gt;Q1518,NOT(ISNUMBER(P1518))),"Balance increased but no Deferred_interest reported",IF(L1518&gt;R1518,"Reported balance higher than expected (missing increase/OC build)","Reported balance lower than expected (missing decrease)"))))),""))</f>
        <v/>
      </c>
    </row>
    <row r="1519" customFormat="false" ht="15" hidden="false" customHeight="false" outlineLevel="0" collapsed="false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9"/>
      <c r="L1519" s="9"/>
      <c r="M1519" s="9"/>
      <c r="N1519" s="9"/>
      <c r="O1519" s="9"/>
      <c r="P1519" s="9"/>
      <c r="Q1519" s="9"/>
      <c r="R1519" s="9" t="str">
        <f aca="false">IF(AND(A1519&lt;&gt;"",ISNUMBER(Q1519),ISNUMBER(L1519)),ROUND(Q1519-IF(ISNUMBER(N1519),N1519,0)-IF(ISNUMBER(O1519),O1519,0)+IF(ISNUMBER(P1519),P1519,0),2),"")</f>
        <v/>
      </c>
      <c r="S1519" s="9" t="str">
        <f aca="false">IF(R1519="","",ROUND(L1519-R1519,2))</f>
        <v/>
      </c>
      <c r="T1519" s="8" t="str">
        <f aca="false">IF(A1519="","",IF(S1519="","BYPASS",IF(ABS(S1519)&lt;=Summary!$B$2,"PASS","FAIL")))</f>
        <v/>
      </c>
      <c r="U1519" s="8" t="str">
        <f aca="false">IF(T1519="BYPASS",IF(NOT(ISNUMBER(Q1519)),"PreV_ETB missing","End_tr_balance missing"),IF(T1519="FAIL",IF(AND(ISNUMBER(K1519),ISNUMBER(L1519),ABS(L1519-(K1519-IF(ISNUMBER(N1519),N1519,0)-IF(ISNUMBER(O1519),O1519,0)+IF(ISNUMBER(P1519),P1519,0)))&lt;=Summary!$B$2),"Passes using beginning_balance - PreV_ETB differs from beginning_balance",IF(AND(ISNUMBER(O1519),O1519&lt;0,ABS(L1519-(Q1519-IF(ISNUMBER(N1519),N1519,0)+IF(ISNUMBER(P1519),P1519,0)))&lt;=Summary!$B$2),"Negative realized loss not applied - check sign",IF(R1519&lt;0,"Principal paid exceeds prior balance",IF(AND(L1519&gt;Q1519,NOT(ISNUMBER(P1519))),"Balance increased but no Deferred_interest reported",IF(L1519&gt;R1519,"Reported balance higher than expected (missing increase/OC build)","Reported balance lower than expected (missing decrease)"))))),""))</f>
        <v/>
      </c>
    </row>
    <row r="1520" customFormat="false" ht="15" hidden="false" customHeight="false" outlineLevel="0" collapsed="false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9"/>
      <c r="L1520" s="9"/>
      <c r="M1520" s="9"/>
      <c r="N1520" s="9"/>
      <c r="O1520" s="9"/>
      <c r="P1520" s="9"/>
      <c r="Q1520" s="9"/>
      <c r="R1520" s="9" t="str">
        <f aca="false">IF(AND(A1520&lt;&gt;"",ISNUMBER(Q1520),ISNUMBER(L1520)),ROUND(Q1520-IF(ISNUMBER(N1520),N1520,0)-IF(ISNUMBER(O1520),O1520,0)+IF(ISNUMBER(P1520),P1520,0),2),"")</f>
        <v/>
      </c>
      <c r="S1520" s="9" t="str">
        <f aca="false">IF(R1520="","",ROUND(L1520-R1520,2))</f>
        <v/>
      </c>
      <c r="T1520" s="8" t="str">
        <f aca="false">IF(A1520="","",IF(S1520="","BYPASS",IF(ABS(S1520)&lt;=Summary!$B$2,"PASS","FAIL")))</f>
        <v/>
      </c>
      <c r="U1520" s="8" t="str">
        <f aca="false">IF(T1520="BYPASS",IF(NOT(ISNUMBER(Q1520)),"PreV_ETB missing","End_tr_balance missing"),IF(T1520="FAIL",IF(AND(ISNUMBER(K1520),ISNUMBER(L1520),ABS(L1520-(K1520-IF(ISNUMBER(N1520),N1520,0)-IF(ISNUMBER(O1520),O1520,0)+IF(ISNUMBER(P1520),P1520,0)))&lt;=Summary!$B$2),"Passes using beginning_balance - PreV_ETB differs from beginning_balance",IF(AND(ISNUMBER(O1520),O1520&lt;0,ABS(L1520-(Q1520-IF(ISNUMBER(N1520),N1520,0)+IF(ISNUMBER(P1520),P1520,0)))&lt;=Summary!$B$2),"Negative realized loss not applied - check sign",IF(R1520&lt;0,"Principal paid exceeds prior balance",IF(AND(L1520&gt;Q1520,NOT(ISNUMBER(P1520))),"Balance increased but no Deferred_interest reported",IF(L1520&gt;R1520,"Reported balance higher than expected (missing increase/OC build)","Reported balance lower than expected (missing decrease)"))))),""))</f>
        <v/>
      </c>
    </row>
    <row r="1521" customFormat="false" ht="15" hidden="false" customHeight="false" outlineLevel="0" collapsed="false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9"/>
      <c r="L1521" s="9"/>
      <c r="M1521" s="9"/>
      <c r="N1521" s="9"/>
      <c r="O1521" s="9"/>
      <c r="P1521" s="9"/>
      <c r="Q1521" s="9"/>
      <c r="R1521" s="9" t="str">
        <f aca="false">IF(AND(A1521&lt;&gt;"",ISNUMBER(Q1521),ISNUMBER(L1521)),ROUND(Q1521-IF(ISNUMBER(N1521),N1521,0)-IF(ISNUMBER(O1521),O1521,0)+IF(ISNUMBER(P1521),P1521,0),2),"")</f>
        <v/>
      </c>
      <c r="S1521" s="9" t="str">
        <f aca="false">IF(R1521="","",ROUND(L1521-R1521,2))</f>
        <v/>
      </c>
      <c r="T1521" s="8" t="str">
        <f aca="false">IF(A1521="","",IF(S1521="","BYPASS",IF(ABS(S1521)&lt;=Summary!$B$2,"PASS","FAIL")))</f>
        <v/>
      </c>
      <c r="U1521" s="8" t="str">
        <f aca="false">IF(T1521="BYPASS",IF(NOT(ISNUMBER(Q1521)),"PreV_ETB missing","End_tr_balance missing"),IF(T1521="FAIL",IF(AND(ISNUMBER(K1521),ISNUMBER(L1521),ABS(L1521-(K1521-IF(ISNUMBER(N1521),N1521,0)-IF(ISNUMBER(O1521),O1521,0)+IF(ISNUMBER(P1521),P1521,0)))&lt;=Summary!$B$2),"Passes using beginning_balance - PreV_ETB differs from beginning_balance",IF(AND(ISNUMBER(O1521),O1521&lt;0,ABS(L1521-(Q1521-IF(ISNUMBER(N1521),N1521,0)+IF(ISNUMBER(P1521),P1521,0)))&lt;=Summary!$B$2),"Negative realized loss not applied - check sign",IF(R1521&lt;0,"Principal paid exceeds prior balance",IF(AND(L1521&gt;Q1521,NOT(ISNUMBER(P1521))),"Balance increased but no Deferred_interest reported",IF(L1521&gt;R1521,"Reported balance higher than expected (missing increase/OC build)","Reported balance lower than expected (missing decrease)"))))),""))</f>
        <v/>
      </c>
    </row>
    <row r="1522" customFormat="false" ht="15" hidden="false" customHeight="false" outlineLevel="0" collapsed="false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9"/>
      <c r="L1522" s="9"/>
      <c r="M1522" s="9"/>
      <c r="N1522" s="9"/>
      <c r="O1522" s="9"/>
      <c r="P1522" s="9"/>
      <c r="Q1522" s="9"/>
      <c r="R1522" s="9" t="str">
        <f aca="false">IF(AND(A1522&lt;&gt;"",ISNUMBER(Q1522),ISNUMBER(L1522)),ROUND(Q1522-IF(ISNUMBER(N1522),N1522,0)-IF(ISNUMBER(O1522),O1522,0)+IF(ISNUMBER(P1522),P1522,0),2),"")</f>
        <v/>
      </c>
      <c r="S1522" s="9" t="str">
        <f aca="false">IF(R1522="","",ROUND(L1522-R1522,2))</f>
        <v/>
      </c>
      <c r="T1522" s="8" t="str">
        <f aca="false">IF(A1522="","",IF(S1522="","BYPASS",IF(ABS(S1522)&lt;=Summary!$B$2,"PASS","FAIL")))</f>
        <v/>
      </c>
      <c r="U1522" s="8" t="str">
        <f aca="false">IF(T1522="BYPASS",IF(NOT(ISNUMBER(Q1522)),"PreV_ETB missing","End_tr_balance missing"),IF(T1522="FAIL",IF(AND(ISNUMBER(K1522),ISNUMBER(L1522),ABS(L1522-(K1522-IF(ISNUMBER(N1522),N1522,0)-IF(ISNUMBER(O1522),O1522,0)+IF(ISNUMBER(P1522),P1522,0)))&lt;=Summary!$B$2),"Passes using beginning_balance - PreV_ETB differs from beginning_balance",IF(AND(ISNUMBER(O1522),O1522&lt;0,ABS(L1522-(Q1522-IF(ISNUMBER(N1522),N1522,0)+IF(ISNUMBER(P1522),P1522,0)))&lt;=Summary!$B$2),"Negative realized loss not applied - check sign",IF(R1522&lt;0,"Principal paid exceeds prior balance",IF(AND(L1522&gt;Q1522,NOT(ISNUMBER(P1522))),"Balance increased but no Deferred_interest reported",IF(L1522&gt;R1522,"Reported balance higher than expected (missing increase/OC build)","Reported balance lower than expected (missing decrease)"))))),""))</f>
        <v/>
      </c>
    </row>
    <row r="1523" customFormat="false" ht="15" hidden="false" customHeight="false" outlineLevel="0" collapsed="false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9"/>
      <c r="L1523" s="9"/>
      <c r="M1523" s="9"/>
      <c r="N1523" s="9"/>
      <c r="O1523" s="9"/>
      <c r="P1523" s="9"/>
      <c r="Q1523" s="9"/>
      <c r="R1523" s="9" t="str">
        <f aca="false">IF(AND(A1523&lt;&gt;"",ISNUMBER(Q1523),ISNUMBER(L1523)),ROUND(Q1523-IF(ISNUMBER(N1523),N1523,0)-IF(ISNUMBER(O1523),O1523,0)+IF(ISNUMBER(P1523),P1523,0),2),"")</f>
        <v/>
      </c>
      <c r="S1523" s="9" t="str">
        <f aca="false">IF(R1523="","",ROUND(L1523-R1523,2))</f>
        <v/>
      </c>
      <c r="T1523" s="8" t="str">
        <f aca="false">IF(A1523="","",IF(S1523="","BYPASS",IF(ABS(S1523)&lt;=Summary!$B$2,"PASS","FAIL")))</f>
        <v/>
      </c>
      <c r="U1523" s="8" t="str">
        <f aca="false">IF(T1523="BYPASS",IF(NOT(ISNUMBER(Q1523)),"PreV_ETB missing","End_tr_balance missing"),IF(T1523="FAIL",IF(AND(ISNUMBER(K1523),ISNUMBER(L1523),ABS(L1523-(K1523-IF(ISNUMBER(N1523),N1523,0)-IF(ISNUMBER(O1523),O1523,0)+IF(ISNUMBER(P1523),P1523,0)))&lt;=Summary!$B$2),"Passes using beginning_balance - PreV_ETB differs from beginning_balance",IF(AND(ISNUMBER(O1523),O1523&lt;0,ABS(L1523-(Q1523-IF(ISNUMBER(N1523),N1523,0)+IF(ISNUMBER(P1523),P1523,0)))&lt;=Summary!$B$2),"Negative realized loss not applied - check sign",IF(R1523&lt;0,"Principal paid exceeds prior balance",IF(AND(L1523&gt;Q1523,NOT(ISNUMBER(P1523))),"Balance increased but no Deferred_interest reported",IF(L1523&gt;R1523,"Reported balance higher than expected (missing increase/OC build)","Reported balance lower than expected (missing decrease)"))))),""))</f>
        <v/>
      </c>
    </row>
    <row r="1524" customFormat="false" ht="15" hidden="false" customHeight="false" outlineLevel="0" collapsed="false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9"/>
      <c r="L1524" s="9"/>
      <c r="M1524" s="9"/>
      <c r="N1524" s="9"/>
      <c r="O1524" s="9"/>
      <c r="P1524" s="9"/>
      <c r="Q1524" s="9"/>
      <c r="R1524" s="9" t="str">
        <f aca="false">IF(AND(A1524&lt;&gt;"",ISNUMBER(Q1524),ISNUMBER(L1524)),ROUND(Q1524-IF(ISNUMBER(N1524),N1524,0)-IF(ISNUMBER(O1524),O1524,0)+IF(ISNUMBER(P1524),P1524,0),2),"")</f>
        <v/>
      </c>
      <c r="S1524" s="9" t="str">
        <f aca="false">IF(R1524="","",ROUND(L1524-R1524,2))</f>
        <v/>
      </c>
      <c r="T1524" s="8" t="str">
        <f aca="false">IF(A1524="","",IF(S1524="","BYPASS",IF(ABS(S1524)&lt;=Summary!$B$2,"PASS","FAIL")))</f>
        <v/>
      </c>
      <c r="U1524" s="8" t="str">
        <f aca="false">IF(T1524="BYPASS",IF(NOT(ISNUMBER(Q1524)),"PreV_ETB missing","End_tr_balance missing"),IF(T1524="FAIL",IF(AND(ISNUMBER(K1524),ISNUMBER(L1524),ABS(L1524-(K1524-IF(ISNUMBER(N1524),N1524,0)-IF(ISNUMBER(O1524),O1524,0)+IF(ISNUMBER(P1524),P1524,0)))&lt;=Summary!$B$2),"Passes using beginning_balance - PreV_ETB differs from beginning_balance",IF(AND(ISNUMBER(O1524),O1524&lt;0,ABS(L1524-(Q1524-IF(ISNUMBER(N1524),N1524,0)+IF(ISNUMBER(P1524),P1524,0)))&lt;=Summary!$B$2),"Negative realized loss not applied - check sign",IF(R1524&lt;0,"Principal paid exceeds prior balance",IF(AND(L1524&gt;Q1524,NOT(ISNUMBER(P1524))),"Balance increased but no Deferred_interest reported",IF(L1524&gt;R1524,"Reported balance higher than expected (missing increase/OC build)","Reported balance lower than expected (missing decrease)"))))),""))</f>
        <v/>
      </c>
    </row>
    <row r="1525" customFormat="false" ht="15" hidden="false" customHeight="false" outlineLevel="0" collapsed="false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9"/>
      <c r="L1525" s="9"/>
      <c r="M1525" s="9"/>
      <c r="N1525" s="9"/>
      <c r="O1525" s="9"/>
      <c r="P1525" s="9"/>
      <c r="Q1525" s="9"/>
      <c r="R1525" s="9" t="str">
        <f aca="false">IF(AND(A1525&lt;&gt;"",ISNUMBER(Q1525),ISNUMBER(L1525)),ROUND(Q1525-IF(ISNUMBER(N1525),N1525,0)-IF(ISNUMBER(O1525),O1525,0)+IF(ISNUMBER(P1525),P1525,0),2),"")</f>
        <v/>
      </c>
      <c r="S1525" s="9" t="str">
        <f aca="false">IF(R1525="","",ROUND(L1525-R1525,2))</f>
        <v/>
      </c>
      <c r="T1525" s="8" t="str">
        <f aca="false">IF(A1525="","",IF(S1525="","BYPASS",IF(ABS(S1525)&lt;=Summary!$B$2,"PASS","FAIL")))</f>
        <v/>
      </c>
      <c r="U1525" s="8" t="str">
        <f aca="false">IF(T1525="BYPASS",IF(NOT(ISNUMBER(Q1525)),"PreV_ETB missing","End_tr_balance missing"),IF(T1525="FAIL",IF(AND(ISNUMBER(K1525),ISNUMBER(L1525),ABS(L1525-(K1525-IF(ISNUMBER(N1525),N1525,0)-IF(ISNUMBER(O1525),O1525,0)+IF(ISNUMBER(P1525),P1525,0)))&lt;=Summary!$B$2),"Passes using beginning_balance - PreV_ETB differs from beginning_balance",IF(AND(ISNUMBER(O1525),O1525&lt;0,ABS(L1525-(Q1525-IF(ISNUMBER(N1525),N1525,0)+IF(ISNUMBER(P1525),P1525,0)))&lt;=Summary!$B$2),"Negative realized loss not applied - check sign",IF(R1525&lt;0,"Principal paid exceeds prior balance",IF(AND(L1525&gt;Q1525,NOT(ISNUMBER(P1525))),"Balance increased but no Deferred_interest reported",IF(L1525&gt;R1525,"Reported balance higher than expected (missing increase/OC build)","Reported balance lower than expected (missing decrease)"))))),""))</f>
        <v/>
      </c>
    </row>
    <row r="1526" customFormat="false" ht="15" hidden="false" customHeight="false" outlineLevel="0" collapsed="false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9"/>
      <c r="L1526" s="9"/>
      <c r="M1526" s="9"/>
      <c r="N1526" s="9"/>
      <c r="O1526" s="9"/>
      <c r="P1526" s="9"/>
      <c r="Q1526" s="9"/>
      <c r="R1526" s="9" t="str">
        <f aca="false">IF(AND(A1526&lt;&gt;"",ISNUMBER(Q1526),ISNUMBER(L1526)),ROUND(Q1526-IF(ISNUMBER(N1526),N1526,0)-IF(ISNUMBER(O1526),O1526,0)+IF(ISNUMBER(P1526),P1526,0),2),"")</f>
        <v/>
      </c>
      <c r="S1526" s="9" t="str">
        <f aca="false">IF(R1526="","",ROUND(L1526-R1526,2))</f>
        <v/>
      </c>
      <c r="T1526" s="8" t="str">
        <f aca="false">IF(A1526="","",IF(S1526="","BYPASS",IF(ABS(S1526)&lt;=Summary!$B$2,"PASS","FAIL")))</f>
        <v/>
      </c>
      <c r="U1526" s="8" t="str">
        <f aca="false">IF(T1526="BYPASS",IF(NOT(ISNUMBER(Q1526)),"PreV_ETB missing","End_tr_balance missing"),IF(T1526="FAIL",IF(AND(ISNUMBER(K1526),ISNUMBER(L1526),ABS(L1526-(K1526-IF(ISNUMBER(N1526),N1526,0)-IF(ISNUMBER(O1526),O1526,0)+IF(ISNUMBER(P1526),P1526,0)))&lt;=Summary!$B$2),"Passes using beginning_balance - PreV_ETB differs from beginning_balance",IF(AND(ISNUMBER(O1526),O1526&lt;0,ABS(L1526-(Q1526-IF(ISNUMBER(N1526),N1526,0)+IF(ISNUMBER(P1526),P1526,0)))&lt;=Summary!$B$2),"Negative realized loss not applied - check sign",IF(R1526&lt;0,"Principal paid exceeds prior balance",IF(AND(L1526&gt;Q1526,NOT(ISNUMBER(P1526))),"Balance increased but no Deferred_interest reported",IF(L1526&gt;R1526,"Reported balance higher than expected (missing increase/OC build)","Reported balance lower than expected (missing decrease)"))))),""))</f>
        <v/>
      </c>
    </row>
    <row r="1527" customFormat="false" ht="15" hidden="false" customHeight="false" outlineLevel="0" collapsed="false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9"/>
      <c r="L1527" s="9"/>
      <c r="M1527" s="9"/>
      <c r="N1527" s="9"/>
      <c r="O1527" s="9"/>
      <c r="P1527" s="9"/>
      <c r="Q1527" s="9"/>
      <c r="R1527" s="9" t="str">
        <f aca="false">IF(AND(A1527&lt;&gt;"",ISNUMBER(Q1527),ISNUMBER(L1527)),ROUND(Q1527-IF(ISNUMBER(N1527),N1527,0)-IF(ISNUMBER(O1527),O1527,0)+IF(ISNUMBER(P1527),P1527,0),2),"")</f>
        <v/>
      </c>
      <c r="S1527" s="9" t="str">
        <f aca="false">IF(R1527="","",ROUND(L1527-R1527,2))</f>
        <v/>
      </c>
      <c r="T1527" s="8" t="str">
        <f aca="false">IF(A1527="","",IF(S1527="","BYPASS",IF(ABS(S1527)&lt;=Summary!$B$2,"PASS","FAIL")))</f>
        <v/>
      </c>
      <c r="U1527" s="8" t="str">
        <f aca="false">IF(T1527="BYPASS",IF(NOT(ISNUMBER(Q1527)),"PreV_ETB missing","End_tr_balance missing"),IF(T1527="FAIL",IF(AND(ISNUMBER(K1527),ISNUMBER(L1527),ABS(L1527-(K1527-IF(ISNUMBER(N1527),N1527,0)-IF(ISNUMBER(O1527),O1527,0)+IF(ISNUMBER(P1527),P1527,0)))&lt;=Summary!$B$2),"Passes using beginning_balance - PreV_ETB differs from beginning_balance",IF(AND(ISNUMBER(O1527),O1527&lt;0,ABS(L1527-(Q1527-IF(ISNUMBER(N1527),N1527,0)+IF(ISNUMBER(P1527),P1527,0)))&lt;=Summary!$B$2),"Negative realized loss not applied - check sign",IF(R1527&lt;0,"Principal paid exceeds prior balance",IF(AND(L1527&gt;Q1527,NOT(ISNUMBER(P1527))),"Balance increased but no Deferred_interest reported",IF(L1527&gt;R1527,"Reported balance higher than expected (missing increase/OC build)","Reported balance lower than expected (missing decrease)"))))),""))</f>
        <v/>
      </c>
    </row>
    <row r="1528" customFormat="false" ht="15" hidden="false" customHeight="false" outlineLevel="0" collapsed="false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9"/>
      <c r="L1528" s="9"/>
      <c r="M1528" s="9"/>
      <c r="N1528" s="9"/>
      <c r="O1528" s="9"/>
      <c r="P1528" s="9"/>
      <c r="Q1528" s="9"/>
      <c r="R1528" s="9" t="str">
        <f aca="false">IF(AND(A1528&lt;&gt;"",ISNUMBER(Q1528),ISNUMBER(L1528)),ROUND(Q1528-IF(ISNUMBER(N1528),N1528,0)-IF(ISNUMBER(O1528),O1528,0)+IF(ISNUMBER(P1528),P1528,0),2),"")</f>
        <v/>
      </c>
      <c r="S1528" s="9" t="str">
        <f aca="false">IF(R1528="","",ROUND(L1528-R1528,2))</f>
        <v/>
      </c>
      <c r="T1528" s="8" t="str">
        <f aca="false">IF(A1528="","",IF(S1528="","BYPASS",IF(ABS(S1528)&lt;=Summary!$B$2,"PASS","FAIL")))</f>
        <v/>
      </c>
      <c r="U1528" s="8" t="str">
        <f aca="false">IF(T1528="BYPASS",IF(NOT(ISNUMBER(Q1528)),"PreV_ETB missing","End_tr_balance missing"),IF(T1528="FAIL",IF(AND(ISNUMBER(K1528),ISNUMBER(L1528),ABS(L1528-(K1528-IF(ISNUMBER(N1528),N1528,0)-IF(ISNUMBER(O1528),O1528,0)+IF(ISNUMBER(P1528),P1528,0)))&lt;=Summary!$B$2),"Passes using beginning_balance - PreV_ETB differs from beginning_balance",IF(AND(ISNUMBER(O1528),O1528&lt;0,ABS(L1528-(Q1528-IF(ISNUMBER(N1528),N1528,0)+IF(ISNUMBER(P1528),P1528,0)))&lt;=Summary!$B$2),"Negative realized loss not applied - check sign",IF(R1528&lt;0,"Principal paid exceeds prior balance",IF(AND(L1528&gt;Q1528,NOT(ISNUMBER(P1528))),"Balance increased but no Deferred_interest reported",IF(L1528&gt;R1528,"Reported balance higher than expected (missing increase/OC build)","Reported balance lower than expected (missing decrease)"))))),""))</f>
        <v/>
      </c>
    </row>
    <row r="1529" customFormat="false" ht="15" hidden="false" customHeight="false" outlineLevel="0" collapsed="false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9"/>
      <c r="L1529" s="9"/>
      <c r="M1529" s="9"/>
      <c r="N1529" s="9"/>
      <c r="O1529" s="9"/>
      <c r="P1529" s="9"/>
      <c r="Q1529" s="9"/>
      <c r="R1529" s="9" t="str">
        <f aca="false">IF(AND(A1529&lt;&gt;"",ISNUMBER(Q1529),ISNUMBER(L1529)),ROUND(Q1529-IF(ISNUMBER(N1529),N1529,0)-IF(ISNUMBER(O1529),O1529,0)+IF(ISNUMBER(P1529),P1529,0),2),"")</f>
        <v/>
      </c>
      <c r="S1529" s="9" t="str">
        <f aca="false">IF(R1529="","",ROUND(L1529-R1529,2))</f>
        <v/>
      </c>
      <c r="T1529" s="8" t="str">
        <f aca="false">IF(A1529="","",IF(S1529="","BYPASS",IF(ABS(S1529)&lt;=Summary!$B$2,"PASS","FAIL")))</f>
        <v/>
      </c>
      <c r="U1529" s="8" t="str">
        <f aca="false">IF(T1529="BYPASS",IF(NOT(ISNUMBER(Q1529)),"PreV_ETB missing","End_tr_balance missing"),IF(T1529="FAIL",IF(AND(ISNUMBER(K1529),ISNUMBER(L1529),ABS(L1529-(K1529-IF(ISNUMBER(N1529),N1529,0)-IF(ISNUMBER(O1529),O1529,0)+IF(ISNUMBER(P1529),P1529,0)))&lt;=Summary!$B$2),"Passes using beginning_balance - PreV_ETB differs from beginning_balance",IF(AND(ISNUMBER(O1529),O1529&lt;0,ABS(L1529-(Q1529-IF(ISNUMBER(N1529),N1529,0)+IF(ISNUMBER(P1529),P1529,0)))&lt;=Summary!$B$2),"Negative realized loss not applied - check sign",IF(R1529&lt;0,"Principal paid exceeds prior balance",IF(AND(L1529&gt;Q1529,NOT(ISNUMBER(P1529))),"Balance increased but no Deferred_interest reported",IF(L1529&gt;R1529,"Reported balance higher than expected (missing increase/OC build)","Reported balance lower than expected (missing decrease)"))))),""))</f>
        <v/>
      </c>
    </row>
    <row r="1530" customFormat="false" ht="15" hidden="false" customHeight="false" outlineLevel="0" collapsed="false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9"/>
      <c r="L1530" s="9"/>
      <c r="M1530" s="9"/>
      <c r="N1530" s="9"/>
      <c r="O1530" s="9"/>
      <c r="P1530" s="9"/>
      <c r="Q1530" s="9"/>
      <c r="R1530" s="9" t="str">
        <f aca="false">IF(AND(A1530&lt;&gt;"",ISNUMBER(Q1530),ISNUMBER(L1530)),ROUND(Q1530-IF(ISNUMBER(N1530),N1530,0)-IF(ISNUMBER(O1530),O1530,0)+IF(ISNUMBER(P1530),P1530,0),2),"")</f>
        <v/>
      </c>
      <c r="S1530" s="9" t="str">
        <f aca="false">IF(R1530="","",ROUND(L1530-R1530,2))</f>
        <v/>
      </c>
      <c r="T1530" s="8" t="str">
        <f aca="false">IF(A1530="","",IF(S1530="","BYPASS",IF(ABS(S1530)&lt;=Summary!$B$2,"PASS","FAIL")))</f>
        <v/>
      </c>
      <c r="U1530" s="8" t="str">
        <f aca="false">IF(T1530="BYPASS",IF(NOT(ISNUMBER(Q1530)),"PreV_ETB missing","End_tr_balance missing"),IF(T1530="FAIL",IF(AND(ISNUMBER(K1530),ISNUMBER(L1530),ABS(L1530-(K1530-IF(ISNUMBER(N1530),N1530,0)-IF(ISNUMBER(O1530),O1530,0)+IF(ISNUMBER(P1530),P1530,0)))&lt;=Summary!$B$2),"Passes using beginning_balance - PreV_ETB differs from beginning_balance",IF(AND(ISNUMBER(O1530),O1530&lt;0,ABS(L1530-(Q1530-IF(ISNUMBER(N1530),N1530,0)+IF(ISNUMBER(P1530),P1530,0)))&lt;=Summary!$B$2),"Negative realized loss not applied - check sign",IF(R1530&lt;0,"Principal paid exceeds prior balance",IF(AND(L1530&gt;Q1530,NOT(ISNUMBER(P1530))),"Balance increased but no Deferred_interest reported",IF(L1530&gt;R1530,"Reported balance higher than expected (missing increase/OC build)","Reported balance lower than expected (missing decrease)"))))),""))</f>
        <v/>
      </c>
    </row>
    <row r="1531" customFormat="false" ht="15" hidden="false" customHeight="false" outlineLevel="0" collapsed="false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9"/>
      <c r="L1531" s="9"/>
      <c r="M1531" s="9"/>
      <c r="N1531" s="9"/>
      <c r="O1531" s="9"/>
      <c r="P1531" s="9"/>
      <c r="Q1531" s="9"/>
      <c r="R1531" s="9" t="str">
        <f aca="false">IF(AND(A1531&lt;&gt;"",ISNUMBER(Q1531),ISNUMBER(L1531)),ROUND(Q1531-IF(ISNUMBER(N1531),N1531,0)-IF(ISNUMBER(O1531),O1531,0)+IF(ISNUMBER(P1531),P1531,0),2),"")</f>
        <v/>
      </c>
      <c r="S1531" s="9" t="str">
        <f aca="false">IF(R1531="","",ROUND(L1531-R1531,2))</f>
        <v/>
      </c>
      <c r="T1531" s="8" t="str">
        <f aca="false">IF(A1531="","",IF(S1531="","BYPASS",IF(ABS(S1531)&lt;=Summary!$B$2,"PASS","FAIL")))</f>
        <v/>
      </c>
      <c r="U1531" s="8" t="str">
        <f aca="false">IF(T1531="BYPASS",IF(NOT(ISNUMBER(Q1531)),"PreV_ETB missing","End_tr_balance missing"),IF(T1531="FAIL",IF(AND(ISNUMBER(K1531),ISNUMBER(L1531),ABS(L1531-(K1531-IF(ISNUMBER(N1531),N1531,0)-IF(ISNUMBER(O1531),O1531,0)+IF(ISNUMBER(P1531),P1531,0)))&lt;=Summary!$B$2),"Passes using beginning_balance - PreV_ETB differs from beginning_balance",IF(AND(ISNUMBER(O1531),O1531&lt;0,ABS(L1531-(Q1531-IF(ISNUMBER(N1531),N1531,0)+IF(ISNUMBER(P1531),P1531,0)))&lt;=Summary!$B$2),"Negative realized loss not applied - check sign",IF(R1531&lt;0,"Principal paid exceeds prior balance",IF(AND(L1531&gt;Q1531,NOT(ISNUMBER(P1531))),"Balance increased but no Deferred_interest reported",IF(L1531&gt;R1531,"Reported balance higher than expected (missing increase/OC build)","Reported balance lower than expected (missing decrease)"))))),""))</f>
        <v/>
      </c>
    </row>
    <row r="1532" customFormat="false" ht="15" hidden="false" customHeight="false" outlineLevel="0" collapsed="false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9"/>
      <c r="L1532" s="9"/>
      <c r="M1532" s="9"/>
      <c r="N1532" s="9"/>
      <c r="O1532" s="9"/>
      <c r="P1532" s="9"/>
      <c r="Q1532" s="9"/>
      <c r="R1532" s="9" t="str">
        <f aca="false">IF(AND(A1532&lt;&gt;"",ISNUMBER(Q1532),ISNUMBER(L1532)),ROUND(Q1532-IF(ISNUMBER(N1532),N1532,0)-IF(ISNUMBER(O1532),O1532,0)+IF(ISNUMBER(P1532),P1532,0),2),"")</f>
        <v/>
      </c>
      <c r="S1532" s="9" t="str">
        <f aca="false">IF(R1532="","",ROUND(L1532-R1532,2))</f>
        <v/>
      </c>
      <c r="T1532" s="8" t="str">
        <f aca="false">IF(A1532="","",IF(S1532="","BYPASS",IF(ABS(S1532)&lt;=Summary!$B$2,"PASS","FAIL")))</f>
        <v/>
      </c>
      <c r="U1532" s="8" t="str">
        <f aca="false">IF(T1532="BYPASS",IF(NOT(ISNUMBER(Q1532)),"PreV_ETB missing","End_tr_balance missing"),IF(T1532="FAIL",IF(AND(ISNUMBER(K1532),ISNUMBER(L1532),ABS(L1532-(K1532-IF(ISNUMBER(N1532),N1532,0)-IF(ISNUMBER(O1532),O1532,0)+IF(ISNUMBER(P1532),P1532,0)))&lt;=Summary!$B$2),"Passes using beginning_balance - PreV_ETB differs from beginning_balance",IF(AND(ISNUMBER(O1532),O1532&lt;0,ABS(L1532-(Q1532-IF(ISNUMBER(N1532),N1532,0)+IF(ISNUMBER(P1532),P1532,0)))&lt;=Summary!$B$2),"Negative realized loss not applied - check sign",IF(R1532&lt;0,"Principal paid exceeds prior balance",IF(AND(L1532&gt;Q1532,NOT(ISNUMBER(P1532))),"Balance increased but no Deferred_interest reported",IF(L1532&gt;R1532,"Reported balance higher than expected (missing increase/OC build)","Reported balance lower than expected (missing decrease)"))))),""))</f>
        <v/>
      </c>
    </row>
    <row r="1533" customFormat="false" ht="15" hidden="false" customHeight="false" outlineLevel="0" collapsed="false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9"/>
      <c r="L1533" s="9"/>
      <c r="M1533" s="9"/>
      <c r="N1533" s="9"/>
      <c r="O1533" s="9"/>
      <c r="P1533" s="9"/>
      <c r="Q1533" s="9"/>
      <c r="R1533" s="9" t="str">
        <f aca="false">IF(AND(A1533&lt;&gt;"",ISNUMBER(Q1533),ISNUMBER(L1533)),ROUND(Q1533-IF(ISNUMBER(N1533),N1533,0)-IF(ISNUMBER(O1533),O1533,0)+IF(ISNUMBER(P1533),P1533,0),2),"")</f>
        <v/>
      </c>
      <c r="S1533" s="9" t="str">
        <f aca="false">IF(R1533="","",ROUND(L1533-R1533,2))</f>
        <v/>
      </c>
      <c r="T1533" s="8" t="str">
        <f aca="false">IF(A1533="","",IF(S1533="","BYPASS",IF(ABS(S1533)&lt;=Summary!$B$2,"PASS","FAIL")))</f>
        <v/>
      </c>
      <c r="U1533" s="8" t="str">
        <f aca="false">IF(T1533="BYPASS",IF(NOT(ISNUMBER(Q1533)),"PreV_ETB missing","End_tr_balance missing"),IF(T1533="FAIL",IF(AND(ISNUMBER(K1533),ISNUMBER(L1533),ABS(L1533-(K1533-IF(ISNUMBER(N1533),N1533,0)-IF(ISNUMBER(O1533),O1533,0)+IF(ISNUMBER(P1533),P1533,0)))&lt;=Summary!$B$2),"Passes using beginning_balance - PreV_ETB differs from beginning_balance",IF(AND(ISNUMBER(O1533),O1533&lt;0,ABS(L1533-(Q1533-IF(ISNUMBER(N1533),N1533,0)+IF(ISNUMBER(P1533),P1533,0)))&lt;=Summary!$B$2),"Negative realized loss not applied - check sign",IF(R1533&lt;0,"Principal paid exceeds prior balance",IF(AND(L1533&gt;Q1533,NOT(ISNUMBER(P1533))),"Balance increased but no Deferred_interest reported",IF(L1533&gt;R1533,"Reported balance higher than expected (missing increase/OC build)","Reported balance lower than expected (missing decrease)"))))),""))</f>
        <v/>
      </c>
    </row>
    <row r="1534" customFormat="false" ht="15" hidden="false" customHeight="false" outlineLevel="0" collapsed="false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9"/>
      <c r="L1534" s="9"/>
      <c r="M1534" s="9"/>
      <c r="N1534" s="9"/>
      <c r="O1534" s="9"/>
      <c r="P1534" s="9"/>
      <c r="Q1534" s="9"/>
      <c r="R1534" s="9" t="str">
        <f aca="false">IF(AND(A1534&lt;&gt;"",ISNUMBER(Q1534),ISNUMBER(L1534)),ROUND(Q1534-IF(ISNUMBER(N1534),N1534,0)-IF(ISNUMBER(O1534),O1534,0)+IF(ISNUMBER(P1534),P1534,0),2),"")</f>
        <v/>
      </c>
      <c r="S1534" s="9" t="str">
        <f aca="false">IF(R1534="","",ROUND(L1534-R1534,2))</f>
        <v/>
      </c>
      <c r="T1534" s="8" t="str">
        <f aca="false">IF(A1534="","",IF(S1534="","BYPASS",IF(ABS(S1534)&lt;=Summary!$B$2,"PASS","FAIL")))</f>
        <v/>
      </c>
      <c r="U1534" s="8" t="str">
        <f aca="false">IF(T1534="BYPASS",IF(NOT(ISNUMBER(Q1534)),"PreV_ETB missing","End_tr_balance missing"),IF(T1534="FAIL",IF(AND(ISNUMBER(K1534),ISNUMBER(L1534),ABS(L1534-(K1534-IF(ISNUMBER(N1534),N1534,0)-IF(ISNUMBER(O1534),O1534,0)+IF(ISNUMBER(P1534),P1534,0)))&lt;=Summary!$B$2),"Passes using beginning_balance - PreV_ETB differs from beginning_balance",IF(AND(ISNUMBER(O1534),O1534&lt;0,ABS(L1534-(Q1534-IF(ISNUMBER(N1534),N1534,0)+IF(ISNUMBER(P1534),P1534,0)))&lt;=Summary!$B$2),"Negative realized loss not applied - check sign",IF(R1534&lt;0,"Principal paid exceeds prior balance",IF(AND(L1534&gt;Q1534,NOT(ISNUMBER(P1534))),"Balance increased but no Deferred_interest reported",IF(L1534&gt;R1534,"Reported balance higher than expected (missing increase/OC build)","Reported balance lower than expected (missing decrease)"))))),""))</f>
        <v/>
      </c>
    </row>
    <row r="1535" customFormat="false" ht="15" hidden="false" customHeight="false" outlineLevel="0" collapsed="false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9"/>
      <c r="L1535" s="9"/>
      <c r="M1535" s="9"/>
      <c r="N1535" s="9"/>
      <c r="O1535" s="9"/>
      <c r="P1535" s="9"/>
      <c r="Q1535" s="9"/>
      <c r="R1535" s="9" t="str">
        <f aca="false">IF(AND(A1535&lt;&gt;"",ISNUMBER(Q1535),ISNUMBER(L1535)),ROUND(Q1535-IF(ISNUMBER(N1535),N1535,0)-IF(ISNUMBER(O1535),O1535,0)+IF(ISNUMBER(P1535),P1535,0),2),"")</f>
        <v/>
      </c>
      <c r="S1535" s="9" t="str">
        <f aca="false">IF(R1535="","",ROUND(L1535-R1535,2))</f>
        <v/>
      </c>
      <c r="T1535" s="8" t="str">
        <f aca="false">IF(A1535="","",IF(S1535="","BYPASS",IF(ABS(S1535)&lt;=Summary!$B$2,"PASS","FAIL")))</f>
        <v/>
      </c>
      <c r="U1535" s="8" t="str">
        <f aca="false">IF(T1535="BYPASS",IF(NOT(ISNUMBER(Q1535)),"PreV_ETB missing","End_tr_balance missing"),IF(T1535="FAIL",IF(AND(ISNUMBER(K1535),ISNUMBER(L1535),ABS(L1535-(K1535-IF(ISNUMBER(N1535),N1535,0)-IF(ISNUMBER(O1535),O1535,0)+IF(ISNUMBER(P1535),P1535,0)))&lt;=Summary!$B$2),"Passes using beginning_balance - PreV_ETB differs from beginning_balance",IF(AND(ISNUMBER(O1535),O1535&lt;0,ABS(L1535-(Q1535-IF(ISNUMBER(N1535),N1535,0)+IF(ISNUMBER(P1535),P1535,0)))&lt;=Summary!$B$2),"Negative realized loss not applied - check sign",IF(R1535&lt;0,"Principal paid exceeds prior balance",IF(AND(L1535&gt;Q1535,NOT(ISNUMBER(P1535))),"Balance increased but no Deferred_interest reported",IF(L1535&gt;R1535,"Reported balance higher than expected (missing increase/OC build)","Reported balance lower than expected (missing decrease)"))))),""))</f>
        <v/>
      </c>
    </row>
    <row r="1536" customFormat="false" ht="15" hidden="false" customHeight="false" outlineLevel="0" collapsed="false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9"/>
      <c r="L1536" s="9"/>
      <c r="M1536" s="9"/>
      <c r="N1536" s="9"/>
      <c r="O1536" s="9"/>
      <c r="P1536" s="9"/>
      <c r="Q1536" s="9"/>
      <c r="R1536" s="9" t="str">
        <f aca="false">IF(AND(A1536&lt;&gt;"",ISNUMBER(Q1536),ISNUMBER(L1536)),ROUND(Q1536-IF(ISNUMBER(N1536),N1536,0)-IF(ISNUMBER(O1536),O1536,0)+IF(ISNUMBER(P1536),P1536,0),2),"")</f>
        <v/>
      </c>
      <c r="S1536" s="9" t="str">
        <f aca="false">IF(R1536="","",ROUND(L1536-R1536,2))</f>
        <v/>
      </c>
      <c r="T1536" s="8" t="str">
        <f aca="false">IF(A1536="","",IF(S1536="","BYPASS",IF(ABS(S1536)&lt;=Summary!$B$2,"PASS","FAIL")))</f>
        <v/>
      </c>
      <c r="U1536" s="8" t="str">
        <f aca="false">IF(T1536="BYPASS",IF(NOT(ISNUMBER(Q1536)),"PreV_ETB missing","End_tr_balance missing"),IF(T1536="FAIL",IF(AND(ISNUMBER(K1536),ISNUMBER(L1536),ABS(L1536-(K1536-IF(ISNUMBER(N1536),N1536,0)-IF(ISNUMBER(O1536),O1536,0)+IF(ISNUMBER(P1536),P1536,0)))&lt;=Summary!$B$2),"Passes using beginning_balance - PreV_ETB differs from beginning_balance",IF(AND(ISNUMBER(O1536),O1536&lt;0,ABS(L1536-(Q1536-IF(ISNUMBER(N1536),N1536,0)+IF(ISNUMBER(P1536),P1536,0)))&lt;=Summary!$B$2),"Negative realized loss not applied - check sign",IF(R1536&lt;0,"Principal paid exceeds prior balance",IF(AND(L1536&gt;Q1536,NOT(ISNUMBER(P1536))),"Balance increased but no Deferred_interest reported",IF(L1536&gt;R1536,"Reported balance higher than expected (missing increase/OC build)","Reported balance lower than expected (missing decrease)"))))),""))</f>
        <v/>
      </c>
    </row>
    <row r="1537" customFormat="false" ht="15" hidden="false" customHeight="false" outlineLevel="0" collapsed="false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9"/>
      <c r="L1537" s="9"/>
      <c r="M1537" s="9"/>
      <c r="N1537" s="9"/>
      <c r="O1537" s="9"/>
      <c r="P1537" s="9"/>
      <c r="Q1537" s="9"/>
      <c r="R1537" s="9" t="str">
        <f aca="false">IF(AND(A1537&lt;&gt;"",ISNUMBER(Q1537),ISNUMBER(L1537)),ROUND(Q1537-IF(ISNUMBER(N1537),N1537,0)-IF(ISNUMBER(O1537),O1537,0)+IF(ISNUMBER(P1537),P1537,0),2),"")</f>
        <v/>
      </c>
      <c r="S1537" s="9" t="str">
        <f aca="false">IF(R1537="","",ROUND(L1537-R1537,2))</f>
        <v/>
      </c>
      <c r="T1537" s="8" t="str">
        <f aca="false">IF(A1537="","",IF(S1537="","BYPASS",IF(ABS(S1537)&lt;=Summary!$B$2,"PASS","FAIL")))</f>
        <v/>
      </c>
      <c r="U1537" s="8" t="str">
        <f aca="false">IF(T1537="BYPASS",IF(NOT(ISNUMBER(Q1537)),"PreV_ETB missing","End_tr_balance missing"),IF(T1537="FAIL",IF(AND(ISNUMBER(K1537),ISNUMBER(L1537),ABS(L1537-(K1537-IF(ISNUMBER(N1537),N1537,0)-IF(ISNUMBER(O1537),O1537,0)+IF(ISNUMBER(P1537),P1537,0)))&lt;=Summary!$B$2),"Passes using beginning_balance - PreV_ETB differs from beginning_balance",IF(AND(ISNUMBER(O1537),O1537&lt;0,ABS(L1537-(Q1537-IF(ISNUMBER(N1537),N1537,0)+IF(ISNUMBER(P1537),P1537,0)))&lt;=Summary!$B$2),"Negative realized loss not applied - check sign",IF(R1537&lt;0,"Principal paid exceeds prior balance",IF(AND(L1537&gt;Q1537,NOT(ISNUMBER(P1537))),"Balance increased but no Deferred_interest reported",IF(L1537&gt;R1537,"Reported balance higher than expected (missing increase/OC build)","Reported balance lower than expected (missing decrease)"))))),""))</f>
        <v/>
      </c>
    </row>
    <row r="1538" customFormat="false" ht="15" hidden="false" customHeight="false" outlineLevel="0" collapsed="false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9"/>
      <c r="L1538" s="9"/>
      <c r="M1538" s="9"/>
      <c r="N1538" s="9"/>
      <c r="O1538" s="9"/>
      <c r="P1538" s="9"/>
      <c r="Q1538" s="9"/>
      <c r="R1538" s="9" t="str">
        <f aca="false">IF(AND(A1538&lt;&gt;"",ISNUMBER(Q1538),ISNUMBER(L1538)),ROUND(Q1538-IF(ISNUMBER(N1538),N1538,0)-IF(ISNUMBER(O1538),O1538,0)+IF(ISNUMBER(P1538),P1538,0),2),"")</f>
        <v/>
      </c>
      <c r="S1538" s="9" t="str">
        <f aca="false">IF(R1538="","",ROUND(L1538-R1538,2))</f>
        <v/>
      </c>
      <c r="T1538" s="8" t="str">
        <f aca="false">IF(A1538="","",IF(S1538="","BYPASS",IF(ABS(S1538)&lt;=Summary!$B$2,"PASS","FAIL")))</f>
        <v/>
      </c>
      <c r="U1538" s="8" t="str">
        <f aca="false">IF(T1538="BYPASS",IF(NOT(ISNUMBER(Q1538)),"PreV_ETB missing","End_tr_balance missing"),IF(T1538="FAIL",IF(AND(ISNUMBER(K1538),ISNUMBER(L1538),ABS(L1538-(K1538-IF(ISNUMBER(N1538),N1538,0)-IF(ISNUMBER(O1538),O1538,0)+IF(ISNUMBER(P1538),P1538,0)))&lt;=Summary!$B$2),"Passes using beginning_balance - PreV_ETB differs from beginning_balance",IF(AND(ISNUMBER(O1538),O1538&lt;0,ABS(L1538-(Q1538-IF(ISNUMBER(N1538),N1538,0)+IF(ISNUMBER(P1538),P1538,0)))&lt;=Summary!$B$2),"Negative realized loss not applied - check sign",IF(R1538&lt;0,"Principal paid exceeds prior balance",IF(AND(L1538&gt;Q1538,NOT(ISNUMBER(P1538))),"Balance increased but no Deferred_interest reported",IF(L1538&gt;R1538,"Reported balance higher than expected (missing increase/OC build)","Reported balance lower than expected (missing decrease)"))))),""))</f>
        <v/>
      </c>
    </row>
    <row r="1539" customFormat="false" ht="15" hidden="false" customHeight="false" outlineLevel="0" collapsed="false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9"/>
      <c r="L1539" s="9"/>
      <c r="M1539" s="9"/>
      <c r="N1539" s="9"/>
      <c r="O1539" s="9"/>
      <c r="P1539" s="9"/>
      <c r="Q1539" s="9"/>
      <c r="R1539" s="9" t="str">
        <f aca="false">IF(AND(A1539&lt;&gt;"",ISNUMBER(Q1539),ISNUMBER(L1539)),ROUND(Q1539-IF(ISNUMBER(N1539),N1539,0)-IF(ISNUMBER(O1539),O1539,0)+IF(ISNUMBER(P1539),P1539,0),2),"")</f>
        <v/>
      </c>
      <c r="S1539" s="9" t="str">
        <f aca="false">IF(R1539="","",ROUND(L1539-R1539,2))</f>
        <v/>
      </c>
      <c r="T1539" s="8" t="str">
        <f aca="false">IF(A1539="","",IF(S1539="","BYPASS",IF(ABS(S1539)&lt;=Summary!$B$2,"PASS","FAIL")))</f>
        <v/>
      </c>
      <c r="U1539" s="8" t="str">
        <f aca="false">IF(T1539="BYPASS",IF(NOT(ISNUMBER(Q1539)),"PreV_ETB missing","End_tr_balance missing"),IF(T1539="FAIL",IF(AND(ISNUMBER(K1539),ISNUMBER(L1539),ABS(L1539-(K1539-IF(ISNUMBER(N1539),N1539,0)-IF(ISNUMBER(O1539),O1539,0)+IF(ISNUMBER(P1539),P1539,0)))&lt;=Summary!$B$2),"Passes using beginning_balance - PreV_ETB differs from beginning_balance",IF(AND(ISNUMBER(O1539),O1539&lt;0,ABS(L1539-(Q1539-IF(ISNUMBER(N1539),N1539,0)+IF(ISNUMBER(P1539),P1539,0)))&lt;=Summary!$B$2),"Negative realized loss not applied - check sign",IF(R1539&lt;0,"Principal paid exceeds prior balance",IF(AND(L1539&gt;Q1539,NOT(ISNUMBER(P1539))),"Balance increased but no Deferred_interest reported",IF(L1539&gt;R1539,"Reported balance higher than expected (missing increase/OC build)","Reported balance lower than expected (missing decrease)"))))),""))</f>
        <v/>
      </c>
    </row>
    <row r="1540" customFormat="false" ht="15" hidden="false" customHeight="false" outlineLevel="0" collapsed="false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9"/>
      <c r="L1540" s="9"/>
      <c r="M1540" s="9"/>
      <c r="N1540" s="9"/>
      <c r="O1540" s="9"/>
      <c r="P1540" s="9"/>
      <c r="Q1540" s="9"/>
      <c r="R1540" s="9" t="str">
        <f aca="false">IF(AND(A1540&lt;&gt;"",ISNUMBER(Q1540),ISNUMBER(L1540)),ROUND(Q1540-IF(ISNUMBER(N1540),N1540,0)-IF(ISNUMBER(O1540),O1540,0)+IF(ISNUMBER(P1540),P1540,0),2),"")</f>
        <v/>
      </c>
      <c r="S1540" s="9" t="str">
        <f aca="false">IF(R1540="","",ROUND(L1540-R1540,2))</f>
        <v/>
      </c>
      <c r="T1540" s="8" t="str">
        <f aca="false">IF(A1540="","",IF(S1540="","BYPASS",IF(ABS(S1540)&lt;=Summary!$B$2,"PASS","FAIL")))</f>
        <v/>
      </c>
      <c r="U1540" s="8" t="str">
        <f aca="false">IF(T1540="BYPASS",IF(NOT(ISNUMBER(Q1540)),"PreV_ETB missing","End_tr_balance missing"),IF(T1540="FAIL",IF(AND(ISNUMBER(K1540),ISNUMBER(L1540),ABS(L1540-(K1540-IF(ISNUMBER(N1540),N1540,0)-IF(ISNUMBER(O1540),O1540,0)+IF(ISNUMBER(P1540),P1540,0)))&lt;=Summary!$B$2),"Passes using beginning_balance - PreV_ETB differs from beginning_balance",IF(AND(ISNUMBER(O1540),O1540&lt;0,ABS(L1540-(Q1540-IF(ISNUMBER(N1540),N1540,0)+IF(ISNUMBER(P1540),P1540,0)))&lt;=Summary!$B$2),"Negative realized loss not applied - check sign",IF(R1540&lt;0,"Principal paid exceeds prior balance",IF(AND(L1540&gt;Q1540,NOT(ISNUMBER(P1540))),"Balance increased but no Deferred_interest reported",IF(L1540&gt;R1540,"Reported balance higher than expected (missing increase/OC build)","Reported balance lower than expected (missing decrease)"))))),""))</f>
        <v/>
      </c>
    </row>
    <row r="1541" customFormat="false" ht="15" hidden="false" customHeight="false" outlineLevel="0" collapsed="false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9"/>
      <c r="L1541" s="9"/>
      <c r="M1541" s="9"/>
      <c r="N1541" s="9"/>
      <c r="O1541" s="9"/>
      <c r="P1541" s="9"/>
      <c r="Q1541" s="9"/>
      <c r="R1541" s="9" t="str">
        <f aca="false">IF(AND(A1541&lt;&gt;"",ISNUMBER(Q1541),ISNUMBER(L1541)),ROUND(Q1541-IF(ISNUMBER(N1541),N1541,0)-IF(ISNUMBER(O1541),O1541,0)+IF(ISNUMBER(P1541),P1541,0),2),"")</f>
        <v/>
      </c>
      <c r="S1541" s="9" t="str">
        <f aca="false">IF(R1541="","",ROUND(L1541-R1541,2))</f>
        <v/>
      </c>
      <c r="T1541" s="8" t="str">
        <f aca="false">IF(A1541="","",IF(S1541="","BYPASS",IF(ABS(S1541)&lt;=Summary!$B$2,"PASS","FAIL")))</f>
        <v/>
      </c>
      <c r="U1541" s="8" t="str">
        <f aca="false">IF(T1541="BYPASS",IF(NOT(ISNUMBER(Q1541)),"PreV_ETB missing","End_tr_balance missing"),IF(T1541="FAIL",IF(AND(ISNUMBER(K1541),ISNUMBER(L1541),ABS(L1541-(K1541-IF(ISNUMBER(N1541),N1541,0)-IF(ISNUMBER(O1541),O1541,0)+IF(ISNUMBER(P1541),P1541,0)))&lt;=Summary!$B$2),"Passes using beginning_balance - PreV_ETB differs from beginning_balance",IF(AND(ISNUMBER(O1541),O1541&lt;0,ABS(L1541-(Q1541-IF(ISNUMBER(N1541),N1541,0)+IF(ISNUMBER(P1541),P1541,0)))&lt;=Summary!$B$2),"Negative realized loss not applied - check sign",IF(R1541&lt;0,"Principal paid exceeds prior balance",IF(AND(L1541&gt;Q1541,NOT(ISNUMBER(P1541))),"Balance increased but no Deferred_interest reported",IF(L1541&gt;R1541,"Reported balance higher than expected (missing increase/OC build)","Reported balance lower than expected (missing decrease)"))))),""))</f>
        <v/>
      </c>
    </row>
    <row r="1542" customFormat="false" ht="15" hidden="false" customHeight="false" outlineLevel="0" collapsed="false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9"/>
      <c r="L1542" s="9"/>
      <c r="M1542" s="9"/>
      <c r="N1542" s="9"/>
      <c r="O1542" s="9"/>
      <c r="P1542" s="9"/>
      <c r="Q1542" s="9"/>
      <c r="R1542" s="9" t="str">
        <f aca="false">IF(AND(A1542&lt;&gt;"",ISNUMBER(Q1542),ISNUMBER(L1542)),ROUND(Q1542-IF(ISNUMBER(N1542),N1542,0)-IF(ISNUMBER(O1542),O1542,0)+IF(ISNUMBER(P1542),P1542,0),2),"")</f>
        <v/>
      </c>
      <c r="S1542" s="9" t="str">
        <f aca="false">IF(R1542="","",ROUND(L1542-R1542,2))</f>
        <v/>
      </c>
      <c r="T1542" s="8" t="str">
        <f aca="false">IF(A1542="","",IF(S1542="","BYPASS",IF(ABS(S1542)&lt;=Summary!$B$2,"PASS","FAIL")))</f>
        <v/>
      </c>
      <c r="U1542" s="8" t="str">
        <f aca="false">IF(T1542="BYPASS",IF(NOT(ISNUMBER(Q1542)),"PreV_ETB missing","End_tr_balance missing"),IF(T1542="FAIL",IF(AND(ISNUMBER(K1542),ISNUMBER(L1542),ABS(L1542-(K1542-IF(ISNUMBER(N1542),N1542,0)-IF(ISNUMBER(O1542),O1542,0)+IF(ISNUMBER(P1542),P1542,0)))&lt;=Summary!$B$2),"Passes using beginning_balance - PreV_ETB differs from beginning_balance",IF(AND(ISNUMBER(O1542),O1542&lt;0,ABS(L1542-(Q1542-IF(ISNUMBER(N1542),N1542,0)+IF(ISNUMBER(P1542),P1542,0)))&lt;=Summary!$B$2),"Negative realized loss not applied - check sign",IF(R1542&lt;0,"Principal paid exceeds prior balance",IF(AND(L1542&gt;Q1542,NOT(ISNUMBER(P1542))),"Balance increased but no Deferred_interest reported",IF(L1542&gt;R1542,"Reported balance higher than expected (missing increase/OC build)","Reported balance lower than expected (missing decrease)"))))),""))</f>
        <v/>
      </c>
    </row>
    <row r="1543" customFormat="false" ht="15" hidden="false" customHeight="false" outlineLevel="0" collapsed="false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9"/>
      <c r="L1543" s="9"/>
      <c r="M1543" s="9"/>
      <c r="N1543" s="9"/>
      <c r="O1543" s="9"/>
      <c r="P1543" s="9"/>
      <c r="Q1543" s="9"/>
      <c r="R1543" s="9" t="str">
        <f aca="false">IF(AND(A1543&lt;&gt;"",ISNUMBER(Q1543),ISNUMBER(L1543)),ROUND(Q1543-IF(ISNUMBER(N1543),N1543,0)-IF(ISNUMBER(O1543),O1543,0)+IF(ISNUMBER(P1543),P1543,0),2),"")</f>
        <v/>
      </c>
      <c r="S1543" s="9" t="str">
        <f aca="false">IF(R1543="","",ROUND(L1543-R1543,2))</f>
        <v/>
      </c>
      <c r="T1543" s="8" t="str">
        <f aca="false">IF(A1543="","",IF(S1543="","BYPASS",IF(ABS(S1543)&lt;=Summary!$B$2,"PASS","FAIL")))</f>
        <v/>
      </c>
      <c r="U1543" s="8" t="str">
        <f aca="false">IF(T1543="BYPASS",IF(NOT(ISNUMBER(Q1543)),"PreV_ETB missing","End_tr_balance missing"),IF(T1543="FAIL",IF(AND(ISNUMBER(K1543),ISNUMBER(L1543),ABS(L1543-(K1543-IF(ISNUMBER(N1543),N1543,0)-IF(ISNUMBER(O1543),O1543,0)+IF(ISNUMBER(P1543),P1543,0)))&lt;=Summary!$B$2),"Passes using beginning_balance - PreV_ETB differs from beginning_balance",IF(AND(ISNUMBER(O1543),O1543&lt;0,ABS(L1543-(Q1543-IF(ISNUMBER(N1543),N1543,0)+IF(ISNUMBER(P1543),P1543,0)))&lt;=Summary!$B$2),"Negative realized loss not applied - check sign",IF(R1543&lt;0,"Principal paid exceeds prior balance",IF(AND(L1543&gt;Q1543,NOT(ISNUMBER(P1543))),"Balance increased but no Deferred_interest reported",IF(L1543&gt;R1543,"Reported balance higher than expected (missing increase/OC build)","Reported balance lower than expected (missing decrease)"))))),""))</f>
        <v/>
      </c>
    </row>
    <row r="1544" customFormat="false" ht="15" hidden="false" customHeight="false" outlineLevel="0" collapsed="false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9"/>
      <c r="L1544" s="9"/>
      <c r="M1544" s="9"/>
      <c r="N1544" s="9"/>
      <c r="O1544" s="9"/>
      <c r="P1544" s="9"/>
      <c r="Q1544" s="9"/>
      <c r="R1544" s="9" t="str">
        <f aca="false">IF(AND(A1544&lt;&gt;"",ISNUMBER(Q1544),ISNUMBER(L1544)),ROUND(Q1544-IF(ISNUMBER(N1544),N1544,0)-IF(ISNUMBER(O1544),O1544,0)+IF(ISNUMBER(P1544),P1544,0),2),"")</f>
        <v/>
      </c>
      <c r="S1544" s="9" t="str">
        <f aca="false">IF(R1544="","",ROUND(L1544-R1544,2))</f>
        <v/>
      </c>
      <c r="T1544" s="8" t="str">
        <f aca="false">IF(A1544="","",IF(S1544="","BYPASS",IF(ABS(S1544)&lt;=Summary!$B$2,"PASS","FAIL")))</f>
        <v/>
      </c>
      <c r="U1544" s="8" t="str">
        <f aca="false">IF(T1544="BYPASS",IF(NOT(ISNUMBER(Q1544)),"PreV_ETB missing","End_tr_balance missing"),IF(T1544="FAIL",IF(AND(ISNUMBER(K1544),ISNUMBER(L1544),ABS(L1544-(K1544-IF(ISNUMBER(N1544),N1544,0)-IF(ISNUMBER(O1544),O1544,0)+IF(ISNUMBER(P1544),P1544,0)))&lt;=Summary!$B$2),"Passes using beginning_balance - PreV_ETB differs from beginning_balance",IF(AND(ISNUMBER(O1544),O1544&lt;0,ABS(L1544-(Q1544-IF(ISNUMBER(N1544),N1544,0)+IF(ISNUMBER(P1544),P1544,0)))&lt;=Summary!$B$2),"Negative realized loss not applied - check sign",IF(R1544&lt;0,"Principal paid exceeds prior balance",IF(AND(L1544&gt;Q1544,NOT(ISNUMBER(P1544))),"Balance increased but no Deferred_interest reported",IF(L1544&gt;R1544,"Reported balance higher than expected (missing increase/OC build)","Reported balance lower than expected (missing decrease)"))))),""))</f>
        <v/>
      </c>
    </row>
    <row r="1545" customFormat="false" ht="15" hidden="false" customHeight="false" outlineLevel="0" collapsed="false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9"/>
      <c r="L1545" s="9"/>
      <c r="M1545" s="9"/>
      <c r="N1545" s="9"/>
      <c r="O1545" s="9"/>
      <c r="P1545" s="9"/>
      <c r="Q1545" s="9"/>
      <c r="R1545" s="9" t="str">
        <f aca="false">IF(AND(A1545&lt;&gt;"",ISNUMBER(Q1545),ISNUMBER(L1545)),ROUND(Q1545-IF(ISNUMBER(N1545),N1545,0)-IF(ISNUMBER(O1545),O1545,0)+IF(ISNUMBER(P1545),P1545,0),2),"")</f>
        <v/>
      </c>
      <c r="S1545" s="9" t="str">
        <f aca="false">IF(R1545="","",ROUND(L1545-R1545,2))</f>
        <v/>
      </c>
      <c r="T1545" s="8" t="str">
        <f aca="false">IF(A1545="","",IF(S1545="","BYPASS",IF(ABS(S1545)&lt;=Summary!$B$2,"PASS","FAIL")))</f>
        <v/>
      </c>
      <c r="U1545" s="8" t="str">
        <f aca="false">IF(T1545="BYPASS",IF(NOT(ISNUMBER(Q1545)),"PreV_ETB missing","End_tr_balance missing"),IF(T1545="FAIL",IF(AND(ISNUMBER(K1545),ISNUMBER(L1545),ABS(L1545-(K1545-IF(ISNUMBER(N1545),N1545,0)-IF(ISNUMBER(O1545),O1545,0)+IF(ISNUMBER(P1545),P1545,0)))&lt;=Summary!$B$2),"Passes using beginning_balance - PreV_ETB differs from beginning_balance",IF(AND(ISNUMBER(O1545),O1545&lt;0,ABS(L1545-(Q1545-IF(ISNUMBER(N1545),N1545,0)+IF(ISNUMBER(P1545),P1545,0)))&lt;=Summary!$B$2),"Negative realized loss not applied - check sign",IF(R1545&lt;0,"Principal paid exceeds prior balance",IF(AND(L1545&gt;Q1545,NOT(ISNUMBER(P1545))),"Balance increased but no Deferred_interest reported",IF(L1545&gt;R1545,"Reported balance higher than expected (missing increase/OC build)","Reported balance lower than expected (missing decrease)"))))),""))</f>
        <v/>
      </c>
    </row>
    <row r="1546" customFormat="false" ht="15" hidden="false" customHeight="false" outlineLevel="0" collapsed="false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9"/>
      <c r="L1546" s="9"/>
      <c r="M1546" s="9"/>
      <c r="N1546" s="9"/>
      <c r="O1546" s="9"/>
      <c r="P1546" s="9"/>
      <c r="Q1546" s="9"/>
      <c r="R1546" s="9" t="str">
        <f aca="false">IF(AND(A1546&lt;&gt;"",ISNUMBER(Q1546),ISNUMBER(L1546)),ROUND(Q1546-IF(ISNUMBER(N1546),N1546,0)-IF(ISNUMBER(O1546),O1546,0)+IF(ISNUMBER(P1546),P1546,0),2),"")</f>
        <v/>
      </c>
      <c r="S1546" s="9" t="str">
        <f aca="false">IF(R1546="","",ROUND(L1546-R1546,2))</f>
        <v/>
      </c>
      <c r="T1546" s="8" t="str">
        <f aca="false">IF(A1546="","",IF(S1546="","BYPASS",IF(ABS(S1546)&lt;=Summary!$B$2,"PASS","FAIL")))</f>
        <v/>
      </c>
      <c r="U1546" s="8" t="str">
        <f aca="false">IF(T1546="BYPASS",IF(NOT(ISNUMBER(Q1546)),"PreV_ETB missing","End_tr_balance missing"),IF(T1546="FAIL",IF(AND(ISNUMBER(K1546),ISNUMBER(L1546),ABS(L1546-(K1546-IF(ISNUMBER(N1546),N1546,0)-IF(ISNUMBER(O1546),O1546,0)+IF(ISNUMBER(P1546),P1546,0)))&lt;=Summary!$B$2),"Passes using beginning_balance - PreV_ETB differs from beginning_balance",IF(AND(ISNUMBER(O1546),O1546&lt;0,ABS(L1546-(Q1546-IF(ISNUMBER(N1546),N1546,0)+IF(ISNUMBER(P1546),P1546,0)))&lt;=Summary!$B$2),"Negative realized loss not applied - check sign",IF(R1546&lt;0,"Principal paid exceeds prior balance",IF(AND(L1546&gt;Q1546,NOT(ISNUMBER(P1546))),"Balance increased but no Deferred_interest reported",IF(L1546&gt;R1546,"Reported balance higher than expected (missing increase/OC build)","Reported balance lower than expected (missing decrease)"))))),""))</f>
        <v/>
      </c>
    </row>
    <row r="1547" customFormat="false" ht="15" hidden="false" customHeight="false" outlineLevel="0" collapsed="false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9"/>
      <c r="L1547" s="9"/>
      <c r="M1547" s="9"/>
      <c r="N1547" s="9"/>
      <c r="O1547" s="9"/>
      <c r="P1547" s="9"/>
      <c r="Q1547" s="9"/>
      <c r="R1547" s="9" t="str">
        <f aca="false">IF(AND(A1547&lt;&gt;"",ISNUMBER(Q1547),ISNUMBER(L1547)),ROUND(Q1547-IF(ISNUMBER(N1547),N1547,0)-IF(ISNUMBER(O1547),O1547,0)+IF(ISNUMBER(P1547),P1547,0),2),"")</f>
        <v/>
      </c>
      <c r="S1547" s="9" t="str">
        <f aca="false">IF(R1547="","",ROUND(L1547-R1547,2))</f>
        <v/>
      </c>
      <c r="T1547" s="8" t="str">
        <f aca="false">IF(A1547="","",IF(S1547="","BYPASS",IF(ABS(S1547)&lt;=Summary!$B$2,"PASS","FAIL")))</f>
        <v/>
      </c>
      <c r="U1547" s="8" t="str">
        <f aca="false">IF(T1547="BYPASS",IF(NOT(ISNUMBER(Q1547)),"PreV_ETB missing","End_tr_balance missing"),IF(T1547="FAIL",IF(AND(ISNUMBER(K1547),ISNUMBER(L1547),ABS(L1547-(K1547-IF(ISNUMBER(N1547),N1547,0)-IF(ISNUMBER(O1547),O1547,0)+IF(ISNUMBER(P1547),P1547,0)))&lt;=Summary!$B$2),"Passes using beginning_balance - PreV_ETB differs from beginning_balance",IF(AND(ISNUMBER(O1547),O1547&lt;0,ABS(L1547-(Q1547-IF(ISNUMBER(N1547),N1547,0)+IF(ISNUMBER(P1547),P1547,0)))&lt;=Summary!$B$2),"Negative realized loss not applied - check sign",IF(R1547&lt;0,"Principal paid exceeds prior balance",IF(AND(L1547&gt;Q1547,NOT(ISNUMBER(P1547))),"Balance increased but no Deferred_interest reported",IF(L1547&gt;R1547,"Reported balance higher than expected (missing increase/OC build)","Reported balance lower than expected (missing decrease)"))))),""))</f>
        <v/>
      </c>
    </row>
    <row r="1548" customFormat="false" ht="15" hidden="false" customHeight="false" outlineLevel="0" collapsed="false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9"/>
      <c r="L1548" s="9"/>
      <c r="M1548" s="9"/>
      <c r="N1548" s="9"/>
      <c r="O1548" s="9"/>
      <c r="P1548" s="9"/>
      <c r="Q1548" s="9"/>
      <c r="R1548" s="9" t="str">
        <f aca="false">IF(AND(A1548&lt;&gt;"",ISNUMBER(Q1548),ISNUMBER(L1548)),ROUND(Q1548-IF(ISNUMBER(N1548),N1548,0)-IF(ISNUMBER(O1548),O1548,0)+IF(ISNUMBER(P1548),P1548,0),2),"")</f>
        <v/>
      </c>
      <c r="S1548" s="9" t="str">
        <f aca="false">IF(R1548="","",ROUND(L1548-R1548,2))</f>
        <v/>
      </c>
      <c r="T1548" s="8" t="str">
        <f aca="false">IF(A1548="","",IF(S1548="","BYPASS",IF(ABS(S1548)&lt;=Summary!$B$2,"PASS","FAIL")))</f>
        <v/>
      </c>
      <c r="U1548" s="8" t="str">
        <f aca="false">IF(T1548="BYPASS",IF(NOT(ISNUMBER(Q1548)),"PreV_ETB missing","End_tr_balance missing"),IF(T1548="FAIL",IF(AND(ISNUMBER(K1548),ISNUMBER(L1548),ABS(L1548-(K1548-IF(ISNUMBER(N1548),N1548,0)-IF(ISNUMBER(O1548),O1548,0)+IF(ISNUMBER(P1548),P1548,0)))&lt;=Summary!$B$2),"Passes using beginning_balance - PreV_ETB differs from beginning_balance",IF(AND(ISNUMBER(O1548),O1548&lt;0,ABS(L1548-(Q1548-IF(ISNUMBER(N1548),N1548,0)+IF(ISNUMBER(P1548),P1548,0)))&lt;=Summary!$B$2),"Negative realized loss not applied - check sign",IF(R1548&lt;0,"Principal paid exceeds prior balance",IF(AND(L1548&gt;Q1548,NOT(ISNUMBER(P1548))),"Balance increased but no Deferred_interest reported",IF(L1548&gt;R1548,"Reported balance higher than expected (missing increase/OC build)","Reported balance lower than expected (missing decrease)"))))),""))</f>
        <v/>
      </c>
    </row>
    <row r="1549" customFormat="false" ht="15" hidden="false" customHeight="false" outlineLevel="0" collapsed="false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9"/>
      <c r="L1549" s="9"/>
      <c r="M1549" s="9"/>
      <c r="N1549" s="9"/>
      <c r="O1549" s="9"/>
      <c r="P1549" s="9"/>
      <c r="Q1549" s="9"/>
      <c r="R1549" s="9" t="str">
        <f aca="false">IF(AND(A1549&lt;&gt;"",ISNUMBER(Q1549),ISNUMBER(L1549)),ROUND(Q1549-IF(ISNUMBER(N1549),N1549,0)-IF(ISNUMBER(O1549),O1549,0)+IF(ISNUMBER(P1549),P1549,0),2),"")</f>
        <v/>
      </c>
      <c r="S1549" s="9" t="str">
        <f aca="false">IF(R1549="","",ROUND(L1549-R1549,2))</f>
        <v/>
      </c>
      <c r="T1549" s="8" t="str">
        <f aca="false">IF(A1549="","",IF(S1549="","BYPASS",IF(ABS(S1549)&lt;=Summary!$B$2,"PASS","FAIL")))</f>
        <v/>
      </c>
      <c r="U1549" s="8" t="str">
        <f aca="false">IF(T1549="BYPASS",IF(NOT(ISNUMBER(Q1549)),"PreV_ETB missing","End_tr_balance missing"),IF(T1549="FAIL",IF(AND(ISNUMBER(K1549),ISNUMBER(L1549),ABS(L1549-(K1549-IF(ISNUMBER(N1549),N1549,0)-IF(ISNUMBER(O1549),O1549,0)+IF(ISNUMBER(P1549),P1549,0)))&lt;=Summary!$B$2),"Passes using beginning_balance - PreV_ETB differs from beginning_balance",IF(AND(ISNUMBER(O1549),O1549&lt;0,ABS(L1549-(Q1549-IF(ISNUMBER(N1549),N1549,0)+IF(ISNUMBER(P1549),P1549,0)))&lt;=Summary!$B$2),"Negative realized loss not applied - check sign",IF(R1549&lt;0,"Principal paid exceeds prior balance",IF(AND(L1549&gt;Q1549,NOT(ISNUMBER(P1549))),"Balance increased but no Deferred_interest reported",IF(L1549&gt;R1549,"Reported balance higher than expected (missing increase/OC build)","Reported balance lower than expected (missing decrease)"))))),""))</f>
        <v/>
      </c>
    </row>
    <row r="1550" customFormat="false" ht="15" hidden="false" customHeight="false" outlineLevel="0" collapsed="false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9"/>
      <c r="L1550" s="9"/>
      <c r="M1550" s="9"/>
      <c r="N1550" s="9"/>
      <c r="O1550" s="9"/>
      <c r="P1550" s="9"/>
      <c r="Q1550" s="9"/>
      <c r="R1550" s="9" t="str">
        <f aca="false">IF(AND(A1550&lt;&gt;"",ISNUMBER(Q1550),ISNUMBER(L1550)),ROUND(Q1550-IF(ISNUMBER(N1550),N1550,0)-IF(ISNUMBER(O1550),O1550,0)+IF(ISNUMBER(P1550),P1550,0),2),"")</f>
        <v/>
      </c>
      <c r="S1550" s="9" t="str">
        <f aca="false">IF(R1550="","",ROUND(L1550-R1550,2))</f>
        <v/>
      </c>
      <c r="T1550" s="8" t="str">
        <f aca="false">IF(A1550="","",IF(S1550="","BYPASS",IF(ABS(S1550)&lt;=Summary!$B$2,"PASS","FAIL")))</f>
        <v/>
      </c>
      <c r="U1550" s="8" t="str">
        <f aca="false">IF(T1550="BYPASS",IF(NOT(ISNUMBER(Q1550)),"PreV_ETB missing","End_tr_balance missing"),IF(T1550="FAIL",IF(AND(ISNUMBER(K1550),ISNUMBER(L1550),ABS(L1550-(K1550-IF(ISNUMBER(N1550),N1550,0)-IF(ISNUMBER(O1550),O1550,0)+IF(ISNUMBER(P1550),P1550,0)))&lt;=Summary!$B$2),"Passes using beginning_balance - PreV_ETB differs from beginning_balance",IF(AND(ISNUMBER(O1550),O1550&lt;0,ABS(L1550-(Q1550-IF(ISNUMBER(N1550),N1550,0)+IF(ISNUMBER(P1550),P1550,0)))&lt;=Summary!$B$2),"Negative realized loss not applied - check sign",IF(R1550&lt;0,"Principal paid exceeds prior balance",IF(AND(L1550&gt;Q1550,NOT(ISNUMBER(P1550))),"Balance increased but no Deferred_interest reported",IF(L1550&gt;R1550,"Reported balance higher than expected (missing increase/OC build)","Reported balance lower than expected (missing decrease)"))))),""))</f>
        <v/>
      </c>
    </row>
    <row r="1551" customFormat="false" ht="15" hidden="false" customHeight="false" outlineLevel="0" collapsed="false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9"/>
      <c r="L1551" s="9"/>
      <c r="M1551" s="9"/>
      <c r="N1551" s="9"/>
      <c r="O1551" s="9"/>
      <c r="P1551" s="9"/>
      <c r="Q1551" s="9"/>
      <c r="R1551" s="9" t="str">
        <f aca="false">IF(AND(A1551&lt;&gt;"",ISNUMBER(Q1551),ISNUMBER(L1551)),ROUND(Q1551-IF(ISNUMBER(N1551),N1551,0)-IF(ISNUMBER(O1551),O1551,0)+IF(ISNUMBER(P1551),P1551,0),2),"")</f>
        <v/>
      </c>
      <c r="S1551" s="9" t="str">
        <f aca="false">IF(R1551="","",ROUND(L1551-R1551,2))</f>
        <v/>
      </c>
      <c r="T1551" s="8" t="str">
        <f aca="false">IF(A1551="","",IF(S1551="","BYPASS",IF(ABS(S1551)&lt;=Summary!$B$2,"PASS","FAIL")))</f>
        <v/>
      </c>
      <c r="U1551" s="8" t="str">
        <f aca="false">IF(T1551="BYPASS",IF(NOT(ISNUMBER(Q1551)),"PreV_ETB missing","End_tr_balance missing"),IF(T1551="FAIL",IF(AND(ISNUMBER(K1551),ISNUMBER(L1551),ABS(L1551-(K1551-IF(ISNUMBER(N1551),N1551,0)-IF(ISNUMBER(O1551),O1551,0)+IF(ISNUMBER(P1551),P1551,0)))&lt;=Summary!$B$2),"Passes using beginning_balance - PreV_ETB differs from beginning_balance",IF(AND(ISNUMBER(O1551),O1551&lt;0,ABS(L1551-(Q1551-IF(ISNUMBER(N1551),N1551,0)+IF(ISNUMBER(P1551),P1551,0)))&lt;=Summary!$B$2),"Negative realized loss not applied - check sign",IF(R1551&lt;0,"Principal paid exceeds prior balance",IF(AND(L1551&gt;Q1551,NOT(ISNUMBER(P1551))),"Balance increased but no Deferred_interest reported",IF(L1551&gt;R1551,"Reported balance higher than expected (missing increase/OC build)","Reported balance lower than expected (missing decrease)"))))),""))</f>
        <v/>
      </c>
    </row>
    <row r="1552" customFormat="false" ht="15" hidden="false" customHeight="false" outlineLevel="0" collapsed="false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9"/>
      <c r="L1552" s="9"/>
      <c r="M1552" s="9"/>
      <c r="N1552" s="9"/>
      <c r="O1552" s="9"/>
      <c r="P1552" s="9"/>
      <c r="Q1552" s="9"/>
      <c r="R1552" s="9" t="str">
        <f aca="false">IF(AND(A1552&lt;&gt;"",ISNUMBER(Q1552),ISNUMBER(L1552)),ROUND(Q1552-IF(ISNUMBER(N1552),N1552,0)-IF(ISNUMBER(O1552),O1552,0)+IF(ISNUMBER(P1552),P1552,0),2),"")</f>
        <v/>
      </c>
      <c r="S1552" s="9" t="str">
        <f aca="false">IF(R1552="","",ROUND(L1552-R1552,2))</f>
        <v/>
      </c>
      <c r="T1552" s="8" t="str">
        <f aca="false">IF(A1552="","",IF(S1552="","BYPASS",IF(ABS(S1552)&lt;=Summary!$B$2,"PASS","FAIL")))</f>
        <v/>
      </c>
      <c r="U1552" s="8" t="str">
        <f aca="false">IF(T1552="BYPASS",IF(NOT(ISNUMBER(Q1552)),"PreV_ETB missing","End_tr_balance missing"),IF(T1552="FAIL",IF(AND(ISNUMBER(K1552),ISNUMBER(L1552),ABS(L1552-(K1552-IF(ISNUMBER(N1552),N1552,0)-IF(ISNUMBER(O1552),O1552,0)+IF(ISNUMBER(P1552),P1552,0)))&lt;=Summary!$B$2),"Passes using beginning_balance - PreV_ETB differs from beginning_balance",IF(AND(ISNUMBER(O1552),O1552&lt;0,ABS(L1552-(Q1552-IF(ISNUMBER(N1552),N1552,0)+IF(ISNUMBER(P1552),P1552,0)))&lt;=Summary!$B$2),"Negative realized loss not applied - check sign",IF(R1552&lt;0,"Principal paid exceeds prior balance",IF(AND(L1552&gt;Q1552,NOT(ISNUMBER(P1552))),"Balance increased but no Deferred_interest reported",IF(L1552&gt;R1552,"Reported balance higher than expected (missing increase/OC build)","Reported balance lower than expected (missing decrease)"))))),""))</f>
        <v/>
      </c>
    </row>
    <row r="1553" customFormat="false" ht="15" hidden="false" customHeight="false" outlineLevel="0" collapsed="false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9"/>
      <c r="L1553" s="9"/>
      <c r="M1553" s="9"/>
      <c r="N1553" s="9"/>
      <c r="O1553" s="9"/>
      <c r="P1553" s="9"/>
      <c r="Q1553" s="9"/>
      <c r="R1553" s="9" t="str">
        <f aca="false">IF(AND(A1553&lt;&gt;"",ISNUMBER(Q1553),ISNUMBER(L1553)),ROUND(Q1553-IF(ISNUMBER(N1553),N1553,0)-IF(ISNUMBER(O1553),O1553,0)+IF(ISNUMBER(P1553),P1553,0),2),"")</f>
        <v/>
      </c>
      <c r="S1553" s="9" t="str">
        <f aca="false">IF(R1553="","",ROUND(L1553-R1553,2))</f>
        <v/>
      </c>
      <c r="T1553" s="8" t="str">
        <f aca="false">IF(A1553="","",IF(S1553="","BYPASS",IF(ABS(S1553)&lt;=Summary!$B$2,"PASS","FAIL")))</f>
        <v/>
      </c>
      <c r="U1553" s="8" t="str">
        <f aca="false">IF(T1553="BYPASS",IF(NOT(ISNUMBER(Q1553)),"PreV_ETB missing","End_tr_balance missing"),IF(T1553="FAIL",IF(AND(ISNUMBER(K1553),ISNUMBER(L1553),ABS(L1553-(K1553-IF(ISNUMBER(N1553),N1553,0)-IF(ISNUMBER(O1553),O1553,0)+IF(ISNUMBER(P1553),P1553,0)))&lt;=Summary!$B$2),"Passes using beginning_balance - PreV_ETB differs from beginning_balance",IF(AND(ISNUMBER(O1553),O1553&lt;0,ABS(L1553-(Q1553-IF(ISNUMBER(N1553),N1553,0)+IF(ISNUMBER(P1553),P1553,0)))&lt;=Summary!$B$2),"Negative realized loss not applied - check sign",IF(R1553&lt;0,"Principal paid exceeds prior balance",IF(AND(L1553&gt;Q1553,NOT(ISNUMBER(P1553))),"Balance increased but no Deferred_interest reported",IF(L1553&gt;R1553,"Reported balance higher than expected (missing increase/OC build)","Reported balance lower than expected (missing decrease)"))))),""))</f>
        <v/>
      </c>
    </row>
    <row r="1554" customFormat="false" ht="15" hidden="false" customHeight="false" outlineLevel="0" collapsed="false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9"/>
      <c r="L1554" s="9"/>
      <c r="M1554" s="9"/>
      <c r="N1554" s="9"/>
      <c r="O1554" s="9"/>
      <c r="P1554" s="9"/>
      <c r="Q1554" s="9"/>
      <c r="R1554" s="9" t="str">
        <f aca="false">IF(AND(A1554&lt;&gt;"",ISNUMBER(Q1554),ISNUMBER(L1554)),ROUND(Q1554-IF(ISNUMBER(N1554),N1554,0)-IF(ISNUMBER(O1554),O1554,0)+IF(ISNUMBER(P1554),P1554,0),2),"")</f>
        <v/>
      </c>
      <c r="S1554" s="9" t="str">
        <f aca="false">IF(R1554="","",ROUND(L1554-R1554,2))</f>
        <v/>
      </c>
      <c r="T1554" s="8" t="str">
        <f aca="false">IF(A1554="","",IF(S1554="","BYPASS",IF(ABS(S1554)&lt;=Summary!$B$2,"PASS","FAIL")))</f>
        <v/>
      </c>
      <c r="U1554" s="8" t="str">
        <f aca="false">IF(T1554="BYPASS",IF(NOT(ISNUMBER(Q1554)),"PreV_ETB missing","End_tr_balance missing"),IF(T1554="FAIL",IF(AND(ISNUMBER(K1554),ISNUMBER(L1554),ABS(L1554-(K1554-IF(ISNUMBER(N1554),N1554,0)-IF(ISNUMBER(O1554),O1554,0)+IF(ISNUMBER(P1554),P1554,0)))&lt;=Summary!$B$2),"Passes using beginning_balance - PreV_ETB differs from beginning_balance",IF(AND(ISNUMBER(O1554),O1554&lt;0,ABS(L1554-(Q1554-IF(ISNUMBER(N1554),N1554,0)+IF(ISNUMBER(P1554),P1554,0)))&lt;=Summary!$B$2),"Negative realized loss not applied - check sign",IF(R1554&lt;0,"Principal paid exceeds prior balance",IF(AND(L1554&gt;Q1554,NOT(ISNUMBER(P1554))),"Balance increased but no Deferred_interest reported",IF(L1554&gt;R1554,"Reported balance higher than expected (missing increase/OC build)","Reported balance lower than expected (missing decrease)"))))),""))</f>
        <v/>
      </c>
    </row>
    <row r="1555" customFormat="false" ht="15" hidden="false" customHeight="false" outlineLevel="0" collapsed="false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9"/>
      <c r="L1555" s="9"/>
      <c r="M1555" s="9"/>
      <c r="N1555" s="9"/>
      <c r="O1555" s="9"/>
      <c r="P1555" s="9"/>
      <c r="Q1555" s="9"/>
      <c r="R1555" s="9" t="str">
        <f aca="false">IF(AND(A1555&lt;&gt;"",ISNUMBER(Q1555),ISNUMBER(L1555)),ROUND(Q1555-IF(ISNUMBER(N1555),N1555,0)-IF(ISNUMBER(O1555),O1555,0)+IF(ISNUMBER(P1555),P1555,0),2),"")</f>
        <v/>
      </c>
      <c r="S1555" s="9" t="str">
        <f aca="false">IF(R1555="","",ROUND(L1555-R1555,2))</f>
        <v/>
      </c>
      <c r="T1555" s="8" t="str">
        <f aca="false">IF(A1555="","",IF(S1555="","BYPASS",IF(ABS(S1555)&lt;=Summary!$B$2,"PASS","FAIL")))</f>
        <v/>
      </c>
      <c r="U1555" s="8" t="str">
        <f aca="false">IF(T1555="BYPASS",IF(NOT(ISNUMBER(Q1555)),"PreV_ETB missing","End_tr_balance missing"),IF(T1555="FAIL",IF(AND(ISNUMBER(K1555),ISNUMBER(L1555),ABS(L1555-(K1555-IF(ISNUMBER(N1555),N1555,0)-IF(ISNUMBER(O1555),O1555,0)+IF(ISNUMBER(P1555),P1555,0)))&lt;=Summary!$B$2),"Passes using beginning_balance - PreV_ETB differs from beginning_balance",IF(AND(ISNUMBER(O1555),O1555&lt;0,ABS(L1555-(Q1555-IF(ISNUMBER(N1555),N1555,0)+IF(ISNUMBER(P1555),P1555,0)))&lt;=Summary!$B$2),"Negative realized loss not applied - check sign",IF(R1555&lt;0,"Principal paid exceeds prior balance",IF(AND(L1555&gt;Q1555,NOT(ISNUMBER(P1555))),"Balance increased but no Deferred_interest reported",IF(L1555&gt;R1555,"Reported balance higher than expected (missing increase/OC build)","Reported balance lower than expected (missing decrease)"))))),""))</f>
        <v/>
      </c>
    </row>
    <row r="1556" customFormat="false" ht="15" hidden="false" customHeight="false" outlineLevel="0" collapsed="false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9"/>
      <c r="L1556" s="9"/>
      <c r="M1556" s="9"/>
      <c r="N1556" s="9"/>
      <c r="O1556" s="9"/>
      <c r="P1556" s="9"/>
      <c r="Q1556" s="9"/>
      <c r="R1556" s="9" t="str">
        <f aca="false">IF(AND(A1556&lt;&gt;"",ISNUMBER(Q1556),ISNUMBER(L1556)),ROUND(Q1556-IF(ISNUMBER(N1556),N1556,0)-IF(ISNUMBER(O1556),O1556,0)+IF(ISNUMBER(P1556),P1556,0),2),"")</f>
        <v/>
      </c>
      <c r="S1556" s="9" t="str">
        <f aca="false">IF(R1556="","",ROUND(L1556-R1556,2))</f>
        <v/>
      </c>
      <c r="T1556" s="8" t="str">
        <f aca="false">IF(A1556="","",IF(S1556="","BYPASS",IF(ABS(S1556)&lt;=Summary!$B$2,"PASS","FAIL")))</f>
        <v/>
      </c>
      <c r="U1556" s="8" t="str">
        <f aca="false">IF(T1556="BYPASS",IF(NOT(ISNUMBER(Q1556)),"PreV_ETB missing","End_tr_balance missing"),IF(T1556="FAIL",IF(AND(ISNUMBER(K1556),ISNUMBER(L1556),ABS(L1556-(K1556-IF(ISNUMBER(N1556),N1556,0)-IF(ISNUMBER(O1556),O1556,0)+IF(ISNUMBER(P1556),P1556,0)))&lt;=Summary!$B$2),"Passes using beginning_balance - PreV_ETB differs from beginning_balance",IF(AND(ISNUMBER(O1556),O1556&lt;0,ABS(L1556-(Q1556-IF(ISNUMBER(N1556),N1556,0)+IF(ISNUMBER(P1556),P1556,0)))&lt;=Summary!$B$2),"Negative realized loss not applied - check sign",IF(R1556&lt;0,"Principal paid exceeds prior balance",IF(AND(L1556&gt;Q1556,NOT(ISNUMBER(P1556))),"Balance increased but no Deferred_interest reported",IF(L1556&gt;R1556,"Reported balance higher than expected (missing increase/OC build)","Reported balance lower than expected (missing decrease)"))))),""))</f>
        <v/>
      </c>
    </row>
    <row r="1557" customFormat="false" ht="15" hidden="false" customHeight="false" outlineLevel="0" collapsed="false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9"/>
      <c r="L1557" s="9"/>
      <c r="M1557" s="9"/>
      <c r="N1557" s="9"/>
      <c r="O1557" s="9"/>
      <c r="P1557" s="9"/>
      <c r="Q1557" s="9"/>
      <c r="R1557" s="9" t="str">
        <f aca="false">IF(AND(A1557&lt;&gt;"",ISNUMBER(Q1557),ISNUMBER(L1557)),ROUND(Q1557-IF(ISNUMBER(N1557),N1557,0)-IF(ISNUMBER(O1557),O1557,0)+IF(ISNUMBER(P1557),P1557,0),2),"")</f>
        <v/>
      </c>
      <c r="S1557" s="9" t="str">
        <f aca="false">IF(R1557="","",ROUND(L1557-R1557,2))</f>
        <v/>
      </c>
      <c r="T1557" s="8" t="str">
        <f aca="false">IF(A1557="","",IF(S1557="","BYPASS",IF(ABS(S1557)&lt;=Summary!$B$2,"PASS","FAIL")))</f>
        <v/>
      </c>
      <c r="U1557" s="8" t="str">
        <f aca="false">IF(T1557="BYPASS",IF(NOT(ISNUMBER(Q1557)),"PreV_ETB missing","End_tr_balance missing"),IF(T1557="FAIL",IF(AND(ISNUMBER(K1557),ISNUMBER(L1557),ABS(L1557-(K1557-IF(ISNUMBER(N1557),N1557,0)-IF(ISNUMBER(O1557),O1557,0)+IF(ISNUMBER(P1557),P1557,0)))&lt;=Summary!$B$2),"Passes using beginning_balance - PreV_ETB differs from beginning_balance",IF(AND(ISNUMBER(O1557),O1557&lt;0,ABS(L1557-(Q1557-IF(ISNUMBER(N1557),N1557,0)+IF(ISNUMBER(P1557),P1557,0)))&lt;=Summary!$B$2),"Negative realized loss not applied - check sign",IF(R1557&lt;0,"Principal paid exceeds prior balance",IF(AND(L1557&gt;Q1557,NOT(ISNUMBER(P1557))),"Balance increased but no Deferred_interest reported",IF(L1557&gt;R1557,"Reported balance higher than expected (missing increase/OC build)","Reported balance lower than expected (missing decrease)"))))),""))</f>
        <v/>
      </c>
    </row>
    <row r="1558" customFormat="false" ht="15" hidden="false" customHeight="false" outlineLevel="0" collapsed="false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9"/>
      <c r="L1558" s="9"/>
      <c r="M1558" s="9"/>
      <c r="N1558" s="9"/>
      <c r="O1558" s="9"/>
      <c r="P1558" s="9"/>
      <c r="Q1558" s="9"/>
      <c r="R1558" s="9" t="str">
        <f aca="false">IF(AND(A1558&lt;&gt;"",ISNUMBER(Q1558),ISNUMBER(L1558)),ROUND(Q1558-IF(ISNUMBER(N1558),N1558,0)-IF(ISNUMBER(O1558),O1558,0)+IF(ISNUMBER(P1558),P1558,0),2),"")</f>
        <v/>
      </c>
      <c r="S1558" s="9" t="str">
        <f aca="false">IF(R1558="","",ROUND(L1558-R1558,2))</f>
        <v/>
      </c>
      <c r="T1558" s="8" t="str">
        <f aca="false">IF(A1558="","",IF(S1558="","BYPASS",IF(ABS(S1558)&lt;=Summary!$B$2,"PASS","FAIL")))</f>
        <v/>
      </c>
      <c r="U1558" s="8" t="str">
        <f aca="false">IF(T1558="BYPASS",IF(NOT(ISNUMBER(Q1558)),"PreV_ETB missing","End_tr_balance missing"),IF(T1558="FAIL",IF(AND(ISNUMBER(K1558),ISNUMBER(L1558),ABS(L1558-(K1558-IF(ISNUMBER(N1558),N1558,0)-IF(ISNUMBER(O1558),O1558,0)+IF(ISNUMBER(P1558),P1558,0)))&lt;=Summary!$B$2),"Passes using beginning_balance - PreV_ETB differs from beginning_balance",IF(AND(ISNUMBER(O1558),O1558&lt;0,ABS(L1558-(Q1558-IF(ISNUMBER(N1558),N1558,0)+IF(ISNUMBER(P1558),P1558,0)))&lt;=Summary!$B$2),"Negative realized loss not applied - check sign",IF(R1558&lt;0,"Principal paid exceeds prior balance",IF(AND(L1558&gt;Q1558,NOT(ISNUMBER(P1558))),"Balance increased but no Deferred_interest reported",IF(L1558&gt;R1558,"Reported balance higher than expected (missing increase/OC build)","Reported balance lower than expected (missing decrease)"))))),""))</f>
        <v/>
      </c>
    </row>
    <row r="1559" customFormat="false" ht="15" hidden="false" customHeight="false" outlineLevel="0" collapsed="false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9"/>
      <c r="L1559" s="9"/>
      <c r="M1559" s="9"/>
      <c r="N1559" s="9"/>
      <c r="O1559" s="9"/>
      <c r="P1559" s="9"/>
      <c r="Q1559" s="9"/>
      <c r="R1559" s="9" t="str">
        <f aca="false">IF(AND(A1559&lt;&gt;"",ISNUMBER(Q1559),ISNUMBER(L1559)),ROUND(Q1559-IF(ISNUMBER(N1559),N1559,0)-IF(ISNUMBER(O1559),O1559,0)+IF(ISNUMBER(P1559),P1559,0),2),"")</f>
        <v/>
      </c>
      <c r="S1559" s="9" t="str">
        <f aca="false">IF(R1559="","",ROUND(L1559-R1559,2))</f>
        <v/>
      </c>
      <c r="T1559" s="8" t="str">
        <f aca="false">IF(A1559="","",IF(S1559="","BYPASS",IF(ABS(S1559)&lt;=Summary!$B$2,"PASS","FAIL")))</f>
        <v/>
      </c>
      <c r="U1559" s="8" t="str">
        <f aca="false">IF(T1559="BYPASS",IF(NOT(ISNUMBER(Q1559)),"PreV_ETB missing","End_tr_balance missing"),IF(T1559="FAIL",IF(AND(ISNUMBER(K1559),ISNUMBER(L1559),ABS(L1559-(K1559-IF(ISNUMBER(N1559),N1559,0)-IF(ISNUMBER(O1559),O1559,0)+IF(ISNUMBER(P1559),P1559,0)))&lt;=Summary!$B$2),"Passes using beginning_balance - PreV_ETB differs from beginning_balance",IF(AND(ISNUMBER(O1559),O1559&lt;0,ABS(L1559-(Q1559-IF(ISNUMBER(N1559),N1559,0)+IF(ISNUMBER(P1559),P1559,0)))&lt;=Summary!$B$2),"Negative realized loss not applied - check sign",IF(R1559&lt;0,"Principal paid exceeds prior balance",IF(AND(L1559&gt;Q1559,NOT(ISNUMBER(P1559))),"Balance increased but no Deferred_interest reported",IF(L1559&gt;R1559,"Reported balance higher than expected (missing increase/OC build)","Reported balance lower than expected (missing decrease)"))))),""))</f>
        <v/>
      </c>
    </row>
    <row r="1560" customFormat="false" ht="15" hidden="false" customHeight="false" outlineLevel="0" collapsed="false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9"/>
      <c r="L1560" s="9"/>
      <c r="M1560" s="9"/>
      <c r="N1560" s="9"/>
      <c r="O1560" s="9"/>
      <c r="P1560" s="9"/>
      <c r="Q1560" s="9"/>
      <c r="R1560" s="9" t="str">
        <f aca="false">IF(AND(A1560&lt;&gt;"",ISNUMBER(Q1560),ISNUMBER(L1560)),ROUND(Q1560-IF(ISNUMBER(N1560),N1560,0)-IF(ISNUMBER(O1560),O1560,0)+IF(ISNUMBER(P1560),P1560,0),2),"")</f>
        <v/>
      </c>
      <c r="S1560" s="9" t="str">
        <f aca="false">IF(R1560="","",ROUND(L1560-R1560,2))</f>
        <v/>
      </c>
      <c r="T1560" s="8" t="str">
        <f aca="false">IF(A1560="","",IF(S1560="","BYPASS",IF(ABS(S1560)&lt;=Summary!$B$2,"PASS","FAIL")))</f>
        <v/>
      </c>
      <c r="U1560" s="8" t="str">
        <f aca="false">IF(T1560="BYPASS",IF(NOT(ISNUMBER(Q1560)),"PreV_ETB missing","End_tr_balance missing"),IF(T1560="FAIL",IF(AND(ISNUMBER(K1560),ISNUMBER(L1560),ABS(L1560-(K1560-IF(ISNUMBER(N1560),N1560,0)-IF(ISNUMBER(O1560),O1560,0)+IF(ISNUMBER(P1560),P1560,0)))&lt;=Summary!$B$2),"Passes using beginning_balance - PreV_ETB differs from beginning_balance",IF(AND(ISNUMBER(O1560),O1560&lt;0,ABS(L1560-(Q1560-IF(ISNUMBER(N1560),N1560,0)+IF(ISNUMBER(P1560),P1560,0)))&lt;=Summary!$B$2),"Negative realized loss not applied - check sign",IF(R1560&lt;0,"Principal paid exceeds prior balance",IF(AND(L1560&gt;Q1560,NOT(ISNUMBER(P1560))),"Balance increased but no Deferred_interest reported",IF(L1560&gt;R1560,"Reported balance higher than expected (missing increase/OC build)","Reported balance lower than expected (missing decrease)"))))),""))</f>
        <v/>
      </c>
    </row>
    <row r="1561" customFormat="false" ht="15" hidden="false" customHeight="false" outlineLevel="0" collapsed="false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9"/>
      <c r="L1561" s="9"/>
      <c r="M1561" s="9"/>
      <c r="N1561" s="9"/>
      <c r="O1561" s="9"/>
      <c r="P1561" s="9"/>
      <c r="Q1561" s="9"/>
      <c r="R1561" s="9" t="str">
        <f aca="false">IF(AND(A1561&lt;&gt;"",ISNUMBER(Q1561),ISNUMBER(L1561)),ROUND(Q1561-IF(ISNUMBER(N1561),N1561,0)-IF(ISNUMBER(O1561),O1561,0)+IF(ISNUMBER(P1561),P1561,0),2),"")</f>
        <v/>
      </c>
      <c r="S1561" s="9" t="str">
        <f aca="false">IF(R1561="","",ROUND(L1561-R1561,2))</f>
        <v/>
      </c>
      <c r="T1561" s="8" t="str">
        <f aca="false">IF(A1561="","",IF(S1561="","BYPASS",IF(ABS(S1561)&lt;=Summary!$B$2,"PASS","FAIL")))</f>
        <v/>
      </c>
      <c r="U1561" s="8" t="str">
        <f aca="false">IF(T1561="BYPASS",IF(NOT(ISNUMBER(Q1561)),"PreV_ETB missing","End_tr_balance missing"),IF(T1561="FAIL",IF(AND(ISNUMBER(K1561),ISNUMBER(L1561),ABS(L1561-(K1561-IF(ISNUMBER(N1561),N1561,0)-IF(ISNUMBER(O1561),O1561,0)+IF(ISNUMBER(P1561),P1561,0)))&lt;=Summary!$B$2),"Passes using beginning_balance - PreV_ETB differs from beginning_balance",IF(AND(ISNUMBER(O1561),O1561&lt;0,ABS(L1561-(Q1561-IF(ISNUMBER(N1561),N1561,0)+IF(ISNUMBER(P1561),P1561,0)))&lt;=Summary!$B$2),"Negative realized loss not applied - check sign",IF(R1561&lt;0,"Principal paid exceeds prior balance",IF(AND(L1561&gt;Q1561,NOT(ISNUMBER(P1561))),"Balance increased but no Deferred_interest reported",IF(L1561&gt;R1561,"Reported balance higher than expected (missing increase/OC build)","Reported balance lower than expected (missing decrease)"))))),""))</f>
        <v/>
      </c>
    </row>
    <row r="1562" customFormat="false" ht="15" hidden="false" customHeight="false" outlineLevel="0" collapsed="false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9"/>
      <c r="L1562" s="9"/>
      <c r="M1562" s="9"/>
      <c r="N1562" s="9"/>
      <c r="O1562" s="9"/>
      <c r="P1562" s="9"/>
      <c r="Q1562" s="9"/>
      <c r="R1562" s="9" t="str">
        <f aca="false">IF(AND(A1562&lt;&gt;"",ISNUMBER(Q1562),ISNUMBER(L1562)),ROUND(Q1562-IF(ISNUMBER(N1562),N1562,0)-IF(ISNUMBER(O1562),O1562,0)+IF(ISNUMBER(P1562),P1562,0),2),"")</f>
        <v/>
      </c>
      <c r="S1562" s="9" t="str">
        <f aca="false">IF(R1562="","",ROUND(L1562-R1562,2))</f>
        <v/>
      </c>
      <c r="T1562" s="8" t="str">
        <f aca="false">IF(A1562="","",IF(S1562="","BYPASS",IF(ABS(S1562)&lt;=Summary!$B$2,"PASS","FAIL")))</f>
        <v/>
      </c>
      <c r="U1562" s="8" t="str">
        <f aca="false">IF(T1562="BYPASS",IF(NOT(ISNUMBER(Q1562)),"PreV_ETB missing","End_tr_balance missing"),IF(T1562="FAIL",IF(AND(ISNUMBER(K1562),ISNUMBER(L1562),ABS(L1562-(K1562-IF(ISNUMBER(N1562),N1562,0)-IF(ISNUMBER(O1562),O1562,0)+IF(ISNUMBER(P1562),P1562,0)))&lt;=Summary!$B$2),"Passes using beginning_balance - PreV_ETB differs from beginning_balance",IF(AND(ISNUMBER(O1562),O1562&lt;0,ABS(L1562-(Q1562-IF(ISNUMBER(N1562),N1562,0)+IF(ISNUMBER(P1562),P1562,0)))&lt;=Summary!$B$2),"Negative realized loss not applied - check sign",IF(R1562&lt;0,"Principal paid exceeds prior balance",IF(AND(L1562&gt;Q1562,NOT(ISNUMBER(P1562))),"Balance increased but no Deferred_interest reported",IF(L1562&gt;R1562,"Reported balance higher than expected (missing increase/OC build)","Reported balance lower than expected (missing decrease)"))))),""))</f>
        <v/>
      </c>
    </row>
    <row r="1563" customFormat="false" ht="15" hidden="false" customHeight="false" outlineLevel="0" collapsed="false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9"/>
      <c r="L1563" s="9"/>
      <c r="M1563" s="9"/>
      <c r="N1563" s="9"/>
      <c r="O1563" s="9"/>
      <c r="P1563" s="9"/>
      <c r="Q1563" s="9"/>
      <c r="R1563" s="9" t="str">
        <f aca="false">IF(AND(A1563&lt;&gt;"",ISNUMBER(Q1563),ISNUMBER(L1563)),ROUND(Q1563-IF(ISNUMBER(N1563),N1563,0)-IF(ISNUMBER(O1563),O1563,0)+IF(ISNUMBER(P1563),P1563,0),2),"")</f>
        <v/>
      </c>
      <c r="S1563" s="9" t="str">
        <f aca="false">IF(R1563="","",ROUND(L1563-R1563,2))</f>
        <v/>
      </c>
      <c r="T1563" s="8" t="str">
        <f aca="false">IF(A1563="","",IF(S1563="","BYPASS",IF(ABS(S1563)&lt;=Summary!$B$2,"PASS","FAIL")))</f>
        <v/>
      </c>
      <c r="U1563" s="8" t="str">
        <f aca="false">IF(T1563="BYPASS",IF(NOT(ISNUMBER(Q1563)),"PreV_ETB missing","End_tr_balance missing"),IF(T1563="FAIL",IF(AND(ISNUMBER(K1563),ISNUMBER(L1563),ABS(L1563-(K1563-IF(ISNUMBER(N1563),N1563,0)-IF(ISNUMBER(O1563),O1563,0)+IF(ISNUMBER(P1563),P1563,0)))&lt;=Summary!$B$2),"Passes using beginning_balance - PreV_ETB differs from beginning_balance",IF(AND(ISNUMBER(O1563),O1563&lt;0,ABS(L1563-(Q1563-IF(ISNUMBER(N1563),N1563,0)+IF(ISNUMBER(P1563),P1563,0)))&lt;=Summary!$B$2),"Negative realized loss not applied - check sign",IF(R1563&lt;0,"Principal paid exceeds prior balance",IF(AND(L1563&gt;Q1563,NOT(ISNUMBER(P1563))),"Balance increased but no Deferred_interest reported",IF(L1563&gt;R1563,"Reported balance higher than expected (missing increase/OC build)","Reported balance lower than expected (missing decrease)"))))),""))</f>
        <v/>
      </c>
    </row>
    <row r="1564" customFormat="false" ht="15" hidden="false" customHeight="false" outlineLevel="0" collapsed="false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9"/>
      <c r="L1564" s="9"/>
      <c r="M1564" s="9"/>
      <c r="N1564" s="9"/>
      <c r="O1564" s="9"/>
      <c r="P1564" s="9"/>
      <c r="Q1564" s="9"/>
      <c r="R1564" s="9" t="str">
        <f aca="false">IF(AND(A1564&lt;&gt;"",ISNUMBER(Q1564),ISNUMBER(L1564)),ROUND(Q1564-IF(ISNUMBER(N1564),N1564,0)-IF(ISNUMBER(O1564),O1564,0)+IF(ISNUMBER(P1564),P1564,0),2),"")</f>
        <v/>
      </c>
      <c r="S1564" s="9" t="str">
        <f aca="false">IF(R1564="","",ROUND(L1564-R1564,2))</f>
        <v/>
      </c>
      <c r="T1564" s="8" t="str">
        <f aca="false">IF(A1564="","",IF(S1564="","BYPASS",IF(ABS(S1564)&lt;=Summary!$B$2,"PASS","FAIL")))</f>
        <v/>
      </c>
      <c r="U1564" s="8" t="str">
        <f aca="false">IF(T1564="BYPASS",IF(NOT(ISNUMBER(Q1564)),"PreV_ETB missing","End_tr_balance missing"),IF(T1564="FAIL",IF(AND(ISNUMBER(K1564),ISNUMBER(L1564),ABS(L1564-(K1564-IF(ISNUMBER(N1564),N1564,0)-IF(ISNUMBER(O1564),O1564,0)+IF(ISNUMBER(P1564),P1564,0)))&lt;=Summary!$B$2),"Passes using beginning_balance - PreV_ETB differs from beginning_balance",IF(AND(ISNUMBER(O1564),O1564&lt;0,ABS(L1564-(Q1564-IF(ISNUMBER(N1564),N1564,0)+IF(ISNUMBER(P1564),P1564,0)))&lt;=Summary!$B$2),"Negative realized loss not applied - check sign",IF(R1564&lt;0,"Principal paid exceeds prior balance",IF(AND(L1564&gt;Q1564,NOT(ISNUMBER(P1564))),"Balance increased but no Deferred_interest reported",IF(L1564&gt;R1564,"Reported balance higher than expected (missing increase/OC build)","Reported balance lower than expected (missing decrease)"))))),""))</f>
        <v/>
      </c>
    </row>
    <row r="1565" customFormat="false" ht="15" hidden="false" customHeight="false" outlineLevel="0" collapsed="false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9"/>
      <c r="L1565" s="9"/>
      <c r="M1565" s="9"/>
      <c r="N1565" s="9"/>
      <c r="O1565" s="9"/>
      <c r="P1565" s="9"/>
      <c r="Q1565" s="9"/>
      <c r="R1565" s="9" t="str">
        <f aca="false">IF(AND(A1565&lt;&gt;"",ISNUMBER(Q1565),ISNUMBER(L1565)),ROUND(Q1565-IF(ISNUMBER(N1565),N1565,0)-IF(ISNUMBER(O1565),O1565,0)+IF(ISNUMBER(P1565),P1565,0),2),"")</f>
        <v/>
      </c>
      <c r="S1565" s="9" t="str">
        <f aca="false">IF(R1565="","",ROUND(L1565-R1565,2))</f>
        <v/>
      </c>
      <c r="T1565" s="8" t="str">
        <f aca="false">IF(A1565="","",IF(S1565="","BYPASS",IF(ABS(S1565)&lt;=Summary!$B$2,"PASS","FAIL")))</f>
        <v/>
      </c>
      <c r="U1565" s="8" t="str">
        <f aca="false">IF(T1565="BYPASS",IF(NOT(ISNUMBER(Q1565)),"PreV_ETB missing","End_tr_balance missing"),IF(T1565="FAIL",IF(AND(ISNUMBER(K1565),ISNUMBER(L1565),ABS(L1565-(K1565-IF(ISNUMBER(N1565),N1565,0)-IF(ISNUMBER(O1565),O1565,0)+IF(ISNUMBER(P1565),P1565,0)))&lt;=Summary!$B$2),"Passes using beginning_balance - PreV_ETB differs from beginning_balance",IF(AND(ISNUMBER(O1565),O1565&lt;0,ABS(L1565-(Q1565-IF(ISNUMBER(N1565),N1565,0)+IF(ISNUMBER(P1565),P1565,0)))&lt;=Summary!$B$2),"Negative realized loss not applied - check sign",IF(R1565&lt;0,"Principal paid exceeds prior balance",IF(AND(L1565&gt;Q1565,NOT(ISNUMBER(P1565))),"Balance increased but no Deferred_interest reported",IF(L1565&gt;R1565,"Reported balance higher than expected (missing increase/OC build)","Reported balance lower than expected (missing decrease)"))))),""))</f>
        <v/>
      </c>
    </row>
    <row r="1566" customFormat="false" ht="15" hidden="false" customHeight="false" outlineLevel="0" collapsed="false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9"/>
      <c r="L1566" s="9"/>
      <c r="M1566" s="9"/>
      <c r="N1566" s="9"/>
      <c r="O1566" s="9"/>
      <c r="P1566" s="9"/>
      <c r="Q1566" s="9"/>
      <c r="R1566" s="9" t="str">
        <f aca="false">IF(AND(A1566&lt;&gt;"",ISNUMBER(Q1566),ISNUMBER(L1566)),ROUND(Q1566-IF(ISNUMBER(N1566),N1566,0)-IF(ISNUMBER(O1566),O1566,0)+IF(ISNUMBER(P1566),P1566,0),2),"")</f>
        <v/>
      </c>
      <c r="S1566" s="9" t="str">
        <f aca="false">IF(R1566="","",ROUND(L1566-R1566,2))</f>
        <v/>
      </c>
      <c r="T1566" s="8" t="str">
        <f aca="false">IF(A1566="","",IF(S1566="","BYPASS",IF(ABS(S1566)&lt;=Summary!$B$2,"PASS","FAIL")))</f>
        <v/>
      </c>
      <c r="U1566" s="8" t="str">
        <f aca="false">IF(T1566="BYPASS",IF(NOT(ISNUMBER(Q1566)),"PreV_ETB missing","End_tr_balance missing"),IF(T1566="FAIL",IF(AND(ISNUMBER(K1566),ISNUMBER(L1566),ABS(L1566-(K1566-IF(ISNUMBER(N1566),N1566,0)-IF(ISNUMBER(O1566),O1566,0)+IF(ISNUMBER(P1566),P1566,0)))&lt;=Summary!$B$2),"Passes using beginning_balance - PreV_ETB differs from beginning_balance",IF(AND(ISNUMBER(O1566),O1566&lt;0,ABS(L1566-(Q1566-IF(ISNUMBER(N1566),N1566,0)+IF(ISNUMBER(P1566),P1566,0)))&lt;=Summary!$B$2),"Negative realized loss not applied - check sign",IF(R1566&lt;0,"Principal paid exceeds prior balance",IF(AND(L1566&gt;Q1566,NOT(ISNUMBER(P1566))),"Balance increased but no Deferred_interest reported",IF(L1566&gt;R1566,"Reported balance higher than expected (missing increase/OC build)","Reported balance lower than expected (missing decrease)"))))),""))</f>
        <v/>
      </c>
    </row>
    <row r="1567" customFormat="false" ht="15" hidden="false" customHeight="false" outlineLevel="0" collapsed="false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9"/>
      <c r="L1567" s="9"/>
      <c r="M1567" s="9"/>
      <c r="N1567" s="9"/>
      <c r="O1567" s="9"/>
      <c r="P1567" s="9"/>
      <c r="Q1567" s="9"/>
      <c r="R1567" s="9" t="str">
        <f aca="false">IF(AND(A1567&lt;&gt;"",ISNUMBER(Q1567),ISNUMBER(L1567)),ROUND(Q1567-IF(ISNUMBER(N1567),N1567,0)-IF(ISNUMBER(O1567),O1567,0)+IF(ISNUMBER(P1567),P1567,0),2),"")</f>
        <v/>
      </c>
      <c r="S1567" s="9" t="str">
        <f aca="false">IF(R1567="","",ROUND(L1567-R1567,2))</f>
        <v/>
      </c>
      <c r="T1567" s="8" t="str">
        <f aca="false">IF(A1567="","",IF(S1567="","BYPASS",IF(ABS(S1567)&lt;=Summary!$B$2,"PASS","FAIL")))</f>
        <v/>
      </c>
      <c r="U1567" s="8" t="str">
        <f aca="false">IF(T1567="BYPASS",IF(NOT(ISNUMBER(Q1567)),"PreV_ETB missing","End_tr_balance missing"),IF(T1567="FAIL",IF(AND(ISNUMBER(K1567),ISNUMBER(L1567),ABS(L1567-(K1567-IF(ISNUMBER(N1567),N1567,0)-IF(ISNUMBER(O1567),O1567,0)+IF(ISNUMBER(P1567),P1567,0)))&lt;=Summary!$B$2),"Passes using beginning_balance - PreV_ETB differs from beginning_balance",IF(AND(ISNUMBER(O1567),O1567&lt;0,ABS(L1567-(Q1567-IF(ISNUMBER(N1567),N1567,0)+IF(ISNUMBER(P1567),P1567,0)))&lt;=Summary!$B$2),"Negative realized loss not applied - check sign",IF(R1567&lt;0,"Principal paid exceeds prior balance",IF(AND(L1567&gt;Q1567,NOT(ISNUMBER(P1567))),"Balance increased but no Deferred_interest reported",IF(L1567&gt;R1567,"Reported balance higher than expected (missing increase/OC build)","Reported balance lower than expected (missing decrease)"))))),""))</f>
        <v/>
      </c>
    </row>
    <row r="1568" customFormat="false" ht="15" hidden="false" customHeight="false" outlineLevel="0" collapsed="false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9"/>
      <c r="L1568" s="9"/>
      <c r="M1568" s="9"/>
      <c r="N1568" s="9"/>
      <c r="O1568" s="9"/>
      <c r="P1568" s="9"/>
      <c r="Q1568" s="9"/>
      <c r="R1568" s="9" t="str">
        <f aca="false">IF(AND(A1568&lt;&gt;"",ISNUMBER(Q1568),ISNUMBER(L1568)),ROUND(Q1568-IF(ISNUMBER(N1568),N1568,0)-IF(ISNUMBER(O1568),O1568,0)+IF(ISNUMBER(P1568),P1568,0),2),"")</f>
        <v/>
      </c>
      <c r="S1568" s="9" t="str">
        <f aca="false">IF(R1568="","",ROUND(L1568-R1568,2))</f>
        <v/>
      </c>
      <c r="T1568" s="8" t="str">
        <f aca="false">IF(A1568="","",IF(S1568="","BYPASS",IF(ABS(S1568)&lt;=Summary!$B$2,"PASS","FAIL")))</f>
        <v/>
      </c>
      <c r="U1568" s="8" t="str">
        <f aca="false">IF(T1568="BYPASS",IF(NOT(ISNUMBER(Q1568)),"PreV_ETB missing","End_tr_balance missing"),IF(T1568="FAIL",IF(AND(ISNUMBER(K1568),ISNUMBER(L1568),ABS(L1568-(K1568-IF(ISNUMBER(N1568),N1568,0)-IF(ISNUMBER(O1568),O1568,0)+IF(ISNUMBER(P1568),P1568,0)))&lt;=Summary!$B$2),"Passes using beginning_balance - PreV_ETB differs from beginning_balance",IF(AND(ISNUMBER(O1568),O1568&lt;0,ABS(L1568-(Q1568-IF(ISNUMBER(N1568),N1568,0)+IF(ISNUMBER(P1568),P1568,0)))&lt;=Summary!$B$2),"Negative realized loss not applied - check sign",IF(R1568&lt;0,"Principal paid exceeds prior balance",IF(AND(L1568&gt;Q1568,NOT(ISNUMBER(P1568))),"Balance increased but no Deferred_interest reported",IF(L1568&gt;R1568,"Reported balance higher than expected (missing increase/OC build)","Reported balance lower than expected (missing decrease)"))))),""))</f>
        <v/>
      </c>
    </row>
    <row r="1569" customFormat="false" ht="15" hidden="false" customHeight="false" outlineLevel="0" collapsed="false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9"/>
      <c r="L1569" s="9"/>
      <c r="M1569" s="9"/>
      <c r="N1569" s="9"/>
      <c r="O1569" s="9"/>
      <c r="P1569" s="9"/>
      <c r="Q1569" s="9"/>
      <c r="R1569" s="9" t="str">
        <f aca="false">IF(AND(A1569&lt;&gt;"",ISNUMBER(Q1569),ISNUMBER(L1569)),ROUND(Q1569-IF(ISNUMBER(N1569),N1569,0)-IF(ISNUMBER(O1569),O1569,0)+IF(ISNUMBER(P1569),P1569,0),2),"")</f>
        <v/>
      </c>
      <c r="S1569" s="9" t="str">
        <f aca="false">IF(R1569="","",ROUND(L1569-R1569,2))</f>
        <v/>
      </c>
      <c r="T1569" s="8" t="str">
        <f aca="false">IF(A1569="","",IF(S1569="","BYPASS",IF(ABS(S1569)&lt;=Summary!$B$2,"PASS","FAIL")))</f>
        <v/>
      </c>
      <c r="U1569" s="8" t="str">
        <f aca="false">IF(T1569="BYPASS",IF(NOT(ISNUMBER(Q1569)),"PreV_ETB missing","End_tr_balance missing"),IF(T1569="FAIL",IF(AND(ISNUMBER(K1569),ISNUMBER(L1569),ABS(L1569-(K1569-IF(ISNUMBER(N1569),N1569,0)-IF(ISNUMBER(O1569),O1569,0)+IF(ISNUMBER(P1569),P1569,0)))&lt;=Summary!$B$2),"Passes using beginning_balance - PreV_ETB differs from beginning_balance",IF(AND(ISNUMBER(O1569),O1569&lt;0,ABS(L1569-(Q1569-IF(ISNUMBER(N1569),N1569,0)+IF(ISNUMBER(P1569),P1569,0)))&lt;=Summary!$B$2),"Negative realized loss not applied - check sign",IF(R1569&lt;0,"Principal paid exceeds prior balance",IF(AND(L1569&gt;Q1569,NOT(ISNUMBER(P1569))),"Balance increased but no Deferred_interest reported",IF(L1569&gt;R1569,"Reported balance higher than expected (missing increase/OC build)","Reported balance lower than expected (missing decrease)"))))),""))</f>
        <v/>
      </c>
    </row>
    <row r="1570" customFormat="false" ht="15" hidden="false" customHeight="false" outlineLevel="0" collapsed="false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9"/>
      <c r="L1570" s="9"/>
      <c r="M1570" s="9"/>
      <c r="N1570" s="9"/>
      <c r="O1570" s="9"/>
      <c r="P1570" s="9"/>
      <c r="Q1570" s="9"/>
      <c r="R1570" s="9" t="str">
        <f aca="false">IF(AND(A1570&lt;&gt;"",ISNUMBER(Q1570),ISNUMBER(L1570)),ROUND(Q1570-IF(ISNUMBER(N1570),N1570,0)-IF(ISNUMBER(O1570),O1570,0)+IF(ISNUMBER(P1570),P1570,0),2),"")</f>
        <v/>
      </c>
      <c r="S1570" s="9" t="str">
        <f aca="false">IF(R1570="","",ROUND(L1570-R1570,2))</f>
        <v/>
      </c>
      <c r="T1570" s="8" t="str">
        <f aca="false">IF(A1570="","",IF(S1570="","BYPASS",IF(ABS(S1570)&lt;=Summary!$B$2,"PASS","FAIL")))</f>
        <v/>
      </c>
      <c r="U1570" s="8" t="str">
        <f aca="false">IF(T1570="BYPASS",IF(NOT(ISNUMBER(Q1570)),"PreV_ETB missing","End_tr_balance missing"),IF(T1570="FAIL",IF(AND(ISNUMBER(K1570),ISNUMBER(L1570),ABS(L1570-(K1570-IF(ISNUMBER(N1570),N1570,0)-IF(ISNUMBER(O1570),O1570,0)+IF(ISNUMBER(P1570),P1570,0)))&lt;=Summary!$B$2),"Passes using beginning_balance - PreV_ETB differs from beginning_balance",IF(AND(ISNUMBER(O1570),O1570&lt;0,ABS(L1570-(Q1570-IF(ISNUMBER(N1570),N1570,0)+IF(ISNUMBER(P1570),P1570,0)))&lt;=Summary!$B$2),"Negative realized loss not applied - check sign",IF(R1570&lt;0,"Principal paid exceeds prior balance",IF(AND(L1570&gt;Q1570,NOT(ISNUMBER(P1570))),"Balance increased but no Deferred_interest reported",IF(L1570&gt;R1570,"Reported balance higher than expected (missing increase/OC build)","Reported balance lower than expected (missing decrease)"))))),""))</f>
        <v/>
      </c>
    </row>
    <row r="1571" customFormat="false" ht="15" hidden="false" customHeight="false" outlineLevel="0" collapsed="false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9"/>
      <c r="L1571" s="9"/>
      <c r="M1571" s="9"/>
      <c r="N1571" s="9"/>
      <c r="O1571" s="9"/>
      <c r="P1571" s="9"/>
      <c r="Q1571" s="9"/>
      <c r="R1571" s="9" t="str">
        <f aca="false">IF(AND(A1571&lt;&gt;"",ISNUMBER(Q1571),ISNUMBER(L1571)),ROUND(Q1571-IF(ISNUMBER(N1571),N1571,0)-IF(ISNUMBER(O1571),O1571,0)+IF(ISNUMBER(P1571),P1571,0),2),"")</f>
        <v/>
      </c>
      <c r="S1571" s="9" t="str">
        <f aca="false">IF(R1571="","",ROUND(L1571-R1571,2))</f>
        <v/>
      </c>
      <c r="T1571" s="8" t="str">
        <f aca="false">IF(A1571="","",IF(S1571="","BYPASS",IF(ABS(S1571)&lt;=Summary!$B$2,"PASS","FAIL")))</f>
        <v/>
      </c>
      <c r="U1571" s="8" t="str">
        <f aca="false">IF(T1571="BYPASS",IF(NOT(ISNUMBER(Q1571)),"PreV_ETB missing","End_tr_balance missing"),IF(T1571="FAIL",IF(AND(ISNUMBER(K1571),ISNUMBER(L1571),ABS(L1571-(K1571-IF(ISNUMBER(N1571),N1571,0)-IF(ISNUMBER(O1571),O1571,0)+IF(ISNUMBER(P1571),P1571,0)))&lt;=Summary!$B$2),"Passes using beginning_balance - PreV_ETB differs from beginning_balance",IF(AND(ISNUMBER(O1571),O1571&lt;0,ABS(L1571-(Q1571-IF(ISNUMBER(N1571),N1571,0)+IF(ISNUMBER(P1571),P1571,0)))&lt;=Summary!$B$2),"Negative realized loss not applied - check sign",IF(R1571&lt;0,"Principal paid exceeds prior balance",IF(AND(L1571&gt;Q1571,NOT(ISNUMBER(P1571))),"Balance increased but no Deferred_interest reported",IF(L1571&gt;R1571,"Reported balance higher than expected (missing increase/OC build)","Reported balance lower than expected (missing decrease)"))))),""))</f>
        <v/>
      </c>
    </row>
    <row r="1572" customFormat="false" ht="15" hidden="false" customHeight="false" outlineLevel="0" collapsed="false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9"/>
      <c r="L1572" s="9"/>
      <c r="M1572" s="9"/>
      <c r="N1572" s="9"/>
      <c r="O1572" s="9"/>
      <c r="P1572" s="9"/>
      <c r="Q1572" s="9"/>
      <c r="R1572" s="9" t="str">
        <f aca="false">IF(AND(A1572&lt;&gt;"",ISNUMBER(Q1572),ISNUMBER(L1572)),ROUND(Q1572-IF(ISNUMBER(N1572),N1572,0)-IF(ISNUMBER(O1572),O1572,0)+IF(ISNUMBER(P1572),P1572,0),2),"")</f>
        <v/>
      </c>
      <c r="S1572" s="9" t="str">
        <f aca="false">IF(R1572="","",ROUND(L1572-R1572,2))</f>
        <v/>
      </c>
      <c r="T1572" s="8" t="str">
        <f aca="false">IF(A1572="","",IF(S1572="","BYPASS",IF(ABS(S1572)&lt;=Summary!$B$2,"PASS","FAIL")))</f>
        <v/>
      </c>
      <c r="U1572" s="8" t="str">
        <f aca="false">IF(T1572="BYPASS",IF(NOT(ISNUMBER(Q1572)),"PreV_ETB missing","End_tr_balance missing"),IF(T1572="FAIL",IF(AND(ISNUMBER(K1572),ISNUMBER(L1572),ABS(L1572-(K1572-IF(ISNUMBER(N1572),N1572,0)-IF(ISNUMBER(O1572),O1572,0)+IF(ISNUMBER(P1572),P1572,0)))&lt;=Summary!$B$2),"Passes using beginning_balance - PreV_ETB differs from beginning_balance",IF(AND(ISNUMBER(O1572),O1572&lt;0,ABS(L1572-(Q1572-IF(ISNUMBER(N1572),N1572,0)+IF(ISNUMBER(P1572),P1572,0)))&lt;=Summary!$B$2),"Negative realized loss not applied - check sign",IF(R1572&lt;0,"Principal paid exceeds prior balance",IF(AND(L1572&gt;Q1572,NOT(ISNUMBER(P1572))),"Balance increased but no Deferred_interest reported",IF(L1572&gt;R1572,"Reported balance higher than expected (missing increase/OC build)","Reported balance lower than expected (missing decrease)"))))),""))</f>
        <v/>
      </c>
    </row>
    <row r="1573" customFormat="false" ht="15" hidden="false" customHeight="false" outlineLevel="0" collapsed="false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9"/>
      <c r="L1573" s="9"/>
      <c r="M1573" s="9"/>
      <c r="N1573" s="9"/>
      <c r="O1573" s="9"/>
      <c r="P1573" s="9"/>
      <c r="Q1573" s="9"/>
      <c r="R1573" s="9" t="str">
        <f aca="false">IF(AND(A1573&lt;&gt;"",ISNUMBER(Q1573),ISNUMBER(L1573)),ROUND(Q1573-IF(ISNUMBER(N1573),N1573,0)-IF(ISNUMBER(O1573),O1573,0)+IF(ISNUMBER(P1573),P1573,0),2),"")</f>
        <v/>
      </c>
      <c r="S1573" s="9" t="str">
        <f aca="false">IF(R1573="","",ROUND(L1573-R1573,2))</f>
        <v/>
      </c>
      <c r="T1573" s="8" t="str">
        <f aca="false">IF(A1573="","",IF(S1573="","BYPASS",IF(ABS(S1573)&lt;=Summary!$B$2,"PASS","FAIL")))</f>
        <v/>
      </c>
      <c r="U1573" s="8" t="str">
        <f aca="false">IF(T1573="BYPASS",IF(NOT(ISNUMBER(Q1573)),"PreV_ETB missing","End_tr_balance missing"),IF(T1573="FAIL",IF(AND(ISNUMBER(K1573),ISNUMBER(L1573),ABS(L1573-(K1573-IF(ISNUMBER(N1573),N1573,0)-IF(ISNUMBER(O1573),O1573,0)+IF(ISNUMBER(P1573),P1573,0)))&lt;=Summary!$B$2),"Passes using beginning_balance - PreV_ETB differs from beginning_balance",IF(AND(ISNUMBER(O1573),O1573&lt;0,ABS(L1573-(Q1573-IF(ISNUMBER(N1573),N1573,0)+IF(ISNUMBER(P1573),P1573,0)))&lt;=Summary!$B$2),"Negative realized loss not applied - check sign",IF(R1573&lt;0,"Principal paid exceeds prior balance",IF(AND(L1573&gt;Q1573,NOT(ISNUMBER(P1573))),"Balance increased but no Deferred_interest reported",IF(L1573&gt;R1573,"Reported balance higher than expected (missing increase/OC build)","Reported balance lower than expected (missing decrease)"))))),""))</f>
        <v/>
      </c>
    </row>
    <row r="1574" customFormat="false" ht="15" hidden="false" customHeight="false" outlineLevel="0" collapsed="false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9"/>
      <c r="L1574" s="9"/>
      <c r="M1574" s="9"/>
      <c r="N1574" s="9"/>
      <c r="O1574" s="9"/>
      <c r="P1574" s="9"/>
      <c r="Q1574" s="9"/>
      <c r="R1574" s="9" t="str">
        <f aca="false">IF(AND(A1574&lt;&gt;"",ISNUMBER(Q1574),ISNUMBER(L1574)),ROUND(Q1574-IF(ISNUMBER(N1574),N1574,0)-IF(ISNUMBER(O1574),O1574,0)+IF(ISNUMBER(P1574),P1574,0),2),"")</f>
        <v/>
      </c>
      <c r="S1574" s="9" t="str">
        <f aca="false">IF(R1574="","",ROUND(L1574-R1574,2))</f>
        <v/>
      </c>
      <c r="T1574" s="8" t="str">
        <f aca="false">IF(A1574="","",IF(S1574="","BYPASS",IF(ABS(S1574)&lt;=Summary!$B$2,"PASS","FAIL")))</f>
        <v/>
      </c>
      <c r="U1574" s="8" t="str">
        <f aca="false">IF(T1574="BYPASS",IF(NOT(ISNUMBER(Q1574)),"PreV_ETB missing","End_tr_balance missing"),IF(T1574="FAIL",IF(AND(ISNUMBER(K1574),ISNUMBER(L1574),ABS(L1574-(K1574-IF(ISNUMBER(N1574),N1574,0)-IF(ISNUMBER(O1574),O1574,0)+IF(ISNUMBER(P1574),P1574,0)))&lt;=Summary!$B$2),"Passes using beginning_balance - PreV_ETB differs from beginning_balance",IF(AND(ISNUMBER(O1574),O1574&lt;0,ABS(L1574-(Q1574-IF(ISNUMBER(N1574),N1574,0)+IF(ISNUMBER(P1574),P1574,0)))&lt;=Summary!$B$2),"Negative realized loss not applied - check sign",IF(R1574&lt;0,"Principal paid exceeds prior balance",IF(AND(L1574&gt;Q1574,NOT(ISNUMBER(P1574))),"Balance increased but no Deferred_interest reported",IF(L1574&gt;R1574,"Reported balance higher than expected (missing increase/OC build)","Reported balance lower than expected (missing decrease)"))))),""))</f>
        <v/>
      </c>
    </row>
    <row r="1575" customFormat="false" ht="15" hidden="false" customHeight="false" outlineLevel="0" collapsed="false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9"/>
      <c r="L1575" s="9"/>
      <c r="M1575" s="9"/>
      <c r="N1575" s="9"/>
      <c r="O1575" s="9"/>
      <c r="P1575" s="9"/>
      <c r="Q1575" s="9"/>
      <c r="R1575" s="9" t="str">
        <f aca="false">IF(AND(A1575&lt;&gt;"",ISNUMBER(Q1575),ISNUMBER(L1575)),ROUND(Q1575-IF(ISNUMBER(N1575),N1575,0)-IF(ISNUMBER(O1575),O1575,0)+IF(ISNUMBER(P1575),P1575,0),2),"")</f>
        <v/>
      </c>
      <c r="S1575" s="9" t="str">
        <f aca="false">IF(R1575="","",ROUND(L1575-R1575,2))</f>
        <v/>
      </c>
      <c r="T1575" s="8" t="str">
        <f aca="false">IF(A1575="","",IF(S1575="","BYPASS",IF(ABS(S1575)&lt;=Summary!$B$2,"PASS","FAIL")))</f>
        <v/>
      </c>
      <c r="U1575" s="8" t="str">
        <f aca="false">IF(T1575="BYPASS",IF(NOT(ISNUMBER(Q1575)),"PreV_ETB missing","End_tr_balance missing"),IF(T1575="FAIL",IF(AND(ISNUMBER(K1575),ISNUMBER(L1575),ABS(L1575-(K1575-IF(ISNUMBER(N1575),N1575,0)-IF(ISNUMBER(O1575),O1575,0)+IF(ISNUMBER(P1575),P1575,0)))&lt;=Summary!$B$2),"Passes using beginning_balance - PreV_ETB differs from beginning_balance",IF(AND(ISNUMBER(O1575),O1575&lt;0,ABS(L1575-(Q1575-IF(ISNUMBER(N1575),N1575,0)+IF(ISNUMBER(P1575),P1575,0)))&lt;=Summary!$B$2),"Negative realized loss not applied - check sign",IF(R1575&lt;0,"Principal paid exceeds prior balance",IF(AND(L1575&gt;Q1575,NOT(ISNUMBER(P1575))),"Balance increased but no Deferred_interest reported",IF(L1575&gt;R1575,"Reported balance higher than expected (missing increase/OC build)","Reported balance lower than expected (missing decrease)"))))),""))</f>
        <v/>
      </c>
    </row>
    <row r="1576" customFormat="false" ht="15" hidden="false" customHeight="false" outlineLevel="0" collapsed="false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9"/>
      <c r="L1576" s="9"/>
      <c r="M1576" s="9"/>
      <c r="N1576" s="9"/>
      <c r="O1576" s="9"/>
      <c r="P1576" s="9"/>
      <c r="Q1576" s="9"/>
      <c r="R1576" s="9" t="str">
        <f aca="false">IF(AND(A1576&lt;&gt;"",ISNUMBER(Q1576),ISNUMBER(L1576)),ROUND(Q1576-IF(ISNUMBER(N1576),N1576,0)-IF(ISNUMBER(O1576),O1576,0)+IF(ISNUMBER(P1576),P1576,0),2),"")</f>
        <v/>
      </c>
      <c r="S1576" s="9" t="str">
        <f aca="false">IF(R1576="","",ROUND(L1576-R1576,2))</f>
        <v/>
      </c>
      <c r="T1576" s="8" t="str">
        <f aca="false">IF(A1576="","",IF(S1576="","BYPASS",IF(ABS(S1576)&lt;=Summary!$B$2,"PASS","FAIL")))</f>
        <v/>
      </c>
      <c r="U1576" s="8" t="str">
        <f aca="false">IF(T1576="BYPASS",IF(NOT(ISNUMBER(Q1576)),"PreV_ETB missing","End_tr_balance missing"),IF(T1576="FAIL",IF(AND(ISNUMBER(K1576),ISNUMBER(L1576),ABS(L1576-(K1576-IF(ISNUMBER(N1576),N1576,0)-IF(ISNUMBER(O1576),O1576,0)+IF(ISNUMBER(P1576),P1576,0)))&lt;=Summary!$B$2),"Passes using beginning_balance - PreV_ETB differs from beginning_balance",IF(AND(ISNUMBER(O1576),O1576&lt;0,ABS(L1576-(Q1576-IF(ISNUMBER(N1576),N1576,0)+IF(ISNUMBER(P1576),P1576,0)))&lt;=Summary!$B$2),"Negative realized loss not applied - check sign",IF(R1576&lt;0,"Principal paid exceeds prior balance",IF(AND(L1576&gt;Q1576,NOT(ISNUMBER(P1576))),"Balance increased but no Deferred_interest reported",IF(L1576&gt;R1576,"Reported balance higher than expected (missing increase/OC build)","Reported balance lower than expected (missing decrease)"))))),""))</f>
        <v/>
      </c>
    </row>
    <row r="1577" customFormat="false" ht="15" hidden="false" customHeight="false" outlineLevel="0" collapsed="false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9"/>
      <c r="L1577" s="9"/>
      <c r="M1577" s="9"/>
      <c r="N1577" s="9"/>
      <c r="O1577" s="9"/>
      <c r="P1577" s="9"/>
      <c r="Q1577" s="9"/>
      <c r="R1577" s="9" t="str">
        <f aca="false">IF(AND(A1577&lt;&gt;"",ISNUMBER(Q1577),ISNUMBER(L1577)),ROUND(Q1577-IF(ISNUMBER(N1577),N1577,0)-IF(ISNUMBER(O1577),O1577,0)+IF(ISNUMBER(P1577),P1577,0),2),"")</f>
        <v/>
      </c>
      <c r="S1577" s="9" t="str">
        <f aca="false">IF(R1577="","",ROUND(L1577-R1577,2))</f>
        <v/>
      </c>
      <c r="T1577" s="8" t="str">
        <f aca="false">IF(A1577="","",IF(S1577="","BYPASS",IF(ABS(S1577)&lt;=Summary!$B$2,"PASS","FAIL")))</f>
        <v/>
      </c>
      <c r="U1577" s="8" t="str">
        <f aca="false">IF(T1577="BYPASS",IF(NOT(ISNUMBER(Q1577)),"PreV_ETB missing","End_tr_balance missing"),IF(T1577="FAIL",IF(AND(ISNUMBER(K1577),ISNUMBER(L1577),ABS(L1577-(K1577-IF(ISNUMBER(N1577),N1577,0)-IF(ISNUMBER(O1577),O1577,0)+IF(ISNUMBER(P1577),P1577,0)))&lt;=Summary!$B$2),"Passes using beginning_balance - PreV_ETB differs from beginning_balance",IF(AND(ISNUMBER(O1577),O1577&lt;0,ABS(L1577-(Q1577-IF(ISNUMBER(N1577),N1577,0)+IF(ISNUMBER(P1577),P1577,0)))&lt;=Summary!$B$2),"Negative realized loss not applied - check sign",IF(R1577&lt;0,"Principal paid exceeds prior balance",IF(AND(L1577&gt;Q1577,NOT(ISNUMBER(P1577))),"Balance increased but no Deferred_interest reported",IF(L1577&gt;R1577,"Reported balance higher than expected (missing increase/OC build)","Reported balance lower than expected (missing decrease)"))))),""))</f>
        <v/>
      </c>
    </row>
    <row r="1578" customFormat="false" ht="15" hidden="false" customHeight="false" outlineLevel="0" collapsed="false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9"/>
      <c r="L1578" s="9"/>
      <c r="M1578" s="9"/>
      <c r="N1578" s="9"/>
      <c r="O1578" s="9"/>
      <c r="P1578" s="9"/>
      <c r="Q1578" s="9"/>
      <c r="R1578" s="9" t="str">
        <f aca="false">IF(AND(A1578&lt;&gt;"",ISNUMBER(Q1578),ISNUMBER(L1578)),ROUND(Q1578-IF(ISNUMBER(N1578),N1578,0)-IF(ISNUMBER(O1578),O1578,0)+IF(ISNUMBER(P1578),P1578,0),2),"")</f>
        <v/>
      </c>
      <c r="S1578" s="9" t="str">
        <f aca="false">IF(R1578="","",ROUND(L1578-R1578,2))</f>
        <v/>
      </c>
      <c r="T1578" s="8" t="str">
        <f aca="false">IF(A1578="","",IF(S1578="","BYPASS",IF(ABS(S1578)&lt;=Summary!$B$2,"PASS","FAIL")))</f>
        <v/>
      </c>
      <c r="U1578" s="8" t="str">
        <f aca="false">IF(T1578="BYPASS",IF(NOT(ISNUMBER(Q1578)),"PreV_ETB missing","End_tr_balance missing"),IF(T1578="FAIL",IF(AND(ISNUMBER(K1578),ISNUMBER(L1578),ABS(L1578-(K1578-IF(ISNUMBER(N1578),N1578,0)-IF(ISNUMBER(O1578),O1578,0)+IF(ISNUMBER(P1578),P1578,0)))&lt;=Summary!$B$2),"Passes using beginning_balance - PreV_ETB differs from beginning_balance",IF(AND(ISNUMBER(O1578),O1578&lt;0,ABS(L1578-(Q1578-IF(ISNUMBER(N1578),N1578,0)+IF(ISNUMBER(P1578),P1578,0)))&lt;=Summary!$B$2),"Negative realized loss not applied - check sign",IF(R1578&lt;0,"Principal paid exceeds prior balance",IF(AND(L1578&gt;Q1578,NOT(ISNUMBER(P1578))),"Balance increased but no Deferred_interest reported",IF(L1578&gt;R1578,"Reported balance higher than expected (missing increase/OC build)","Reported balance lower than expected (missing decrease)"))))),""))</f>
        <v/>
      </c>
    </row>
    <row r="1579" customFormat="false" ht="15" hidden="false" customHeight="false" outlineLevel="0" collapsed="false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9"/>
      <c r="L1579" s="9"/>
      <c r="M1579" s="9"/>
      <c r="N1579" s="9"/>
      <c r="O1579" s="9"/>
      <c r="P1579" s="9"/>
      <c r="Q1579" s="9"/>
      <c r="R1579" s="9" t="str">
        <f aca="false">IF(AND(A1579&lt;&gt;"",ISNUMBER(Q1579),ISNUMBER(L1579)),ROUND(Q1579-IF(ISNUMBER(N1579),N1579,0)-IF(ISNUMBER(O1579),O1579,0)+IF(ISNUMBER(P1579),P1579,0),2),"")</f>
        <v/>
      </c>
      <c r="S1579" s="9" t="str">
        <f aca="false">IF(R1579="","",ROUND(L1579-R1579,2))</f>
        <v/>
      </c>
      <c r="T1579" s="8" t="str">
        <f aca="false">IF(A1579="","",IF(S1579="","BYPASS",IF(ABS(S1579)&lt;=Summary!$B$2,"PASS","FAIL")))</f>
        <v/>
      </c>
      <c r="U1579" s="8" t="str">
        <f aca="false">IF(T1579="BYPASS",IF(NOT(ISNUMBER(Q1579)),"PreV_ETB missing","End_tr_balance missing"),IF(T1579="FAIL",IF(AND(ISNUMBER(K1579),ISNUMBER(L1579),ABS(L1579-(K1579-IF(ISNUMBER(N1579),N1579,0)-IF(ISNUMBER(O1579),O1579,0)+IF(ISNUMBER(P1579),P1579,0)))&lt;=Summary!$B$2),"Passes using beginning_balance - PreV_ETB differs from beginning_balance",IF(AND(ISNUMBER(O1579),O1579&lt;0,ABS(L1579-(Q1579-IF(ISNUMBER(N1579),N1579,0)+IF(ISNUMBER(P1579),P1579,0)))&lt;=Summary!$B$2),"Negative realized loss not applied - check sign",IF(R1579&lt;0,"Principal paid exceeds prior balance",IF(AND(L1579&gt;Q1579,NOT(ISNUMBER(P1579))),"Balance increased but no Deferred_interest reported",IF(L1579&gt;R1579,"Reported balance higher than expected (missing increase/OC build)","Reported balance lower than expected (missing decrease)"))))),""))</f>
        <v/>
      </c>
    </row>
    <row r="1580" customFormat="false" ht="15" hidden="false" customHeight="false" outlineLevel="0" collapsed="false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9"/>
      <c r="L1580" s="9"/>
      <c r="M1580" s="9"/>
      <c r="N1580" s="9"/>
      <c r="O1580" s="9"/>
      <c r="P1580" s="9"/>
      <c r="Q1580" s="9"/>
      <c r="R1580" s="9" t="str">
        <f aca="false">IF(AND(A1580&lt;&gt;"",ISNUMBER(Q1580),ISNUMBER(L1580)),ROUND(Q1580-IF(ISNUMBER(N1580),N1580,0)-IF(ISNUMBER(O1580),O1580,0)+IF(ISNUMBER(P1580),P1580,0),2),"")</f>
        <v/>
      </c>
      <c r="S1580" s="9" t="str">
        <f aca="false">IF(R1580="","",ROUND(L1580-R1580,2))</f>
        <v/>
      </c>
      <c r="T1580" s="8" t="str">
        <f aca="false">IF(A1580="","",IF(S1580="","BYPASS",IF(ABS(S1580)&lt;=Summary!$B$2,"PASS","FAIL")))</f>
        <v/>
      </c>
      <c r="U1580" s="8" t="str">
        <f aca="false">IF(T1580="BYPASS",IF(NOT(ISNUMBER(Q1580)),"PreV_ETB missing","End_tr_balance missing"),IF(T1580="FAIL",IF(AND(ISNUMBER(K1580),ISNUMBER(L1580),ABS(L1580-(K1580-IF(ISNUMBER(N1580),N1580,0)-IF(ISNUMBER(O1580),O1580,0)+IF(ISNUMBER(P1580),P1580,0)))&lt;=Summary!$B$2),"Passes using beginning_balance - PreV_ETB differs from beginning_balance",IF(AND(ISNUMBER(O1580),O1580&lt;0,ABS(L1580-(Q1580-IF(ISNUMBER(N1580),N1580,0)+IF(ISNUMBER(P1580),P1580,0)))&lt;=Summary!$B$2),"Negative realized loss not applied - check sign",IF(R1580&lt;0,"Principal paid exceeds prior balance",IF(AND(L1580&gt;Q1580,NOT(ISNUMBER(P1580))),"Balance increased but no Deferred_interest reported",IF(L1580&gt;R1580,"Reported balance higher than expected (missing increase/OC build)","Reported balance lower than expected (missing decrease)"))))),""))</f>
        <v/>
      </c>
    </row>
    <row r="1581" customFormat="false" ht="15" hidden="false" customHeight="false" outlineLevel="0" collapsed="false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9"/>
      <c r="L1581" s="9"/>
      <c r="M1581" s="9"/>
      <c r="N1581" s="9"/>
      <c r="O1581" s="9"/>
      <c r="P1581" s="9"/>
      <c r="Q1581" s="9"/>
      <c r="R1581" s="9" t="str">
        <f aca="false">IF(AND(A1581&lt;&gt;"",ISNUMBER(Q1581),ISNUMBER(L1581)),ROUND(Q1581-IF(ISNUMBER(N1581),N1581,0)-IF(ISNUMBER(O1581),O1581,0)+IF(ISNUMBER(P1581),P1581,0),2),"")</f>
        <v/>
      </c>
      <c r="S1581" s="9" t="str">
        <f aca="false">IF(R1581="","",ROUND(L1581-R1581,2))</f>
        <v/>
      </c>
      <c r="T1581" s="8" t="str">
        <f aca="false">IF(A1581="","",IF(S1581="","BYPASS",IF(ABS(S1581)&lt;=Summary!$B$2,"PASS","FAIL")))</f>
        <v/>
      </c>
      <c r="U1581" s="8" t="str">
        <f aca="false">IF(T1581="BYPASS",IF(NOT(ISNUMBER(Q1581)),"PreV_ETB missing","End_tr_balance missing"),IF(T1581="FAIL",IF(AND(ISNUMBER(K1581),ISNUMBER(L1581),ABS(L1581-(K1581-IF(ISNUMBER(N1581),N1581,0)-IF(ISNUMBER(O1581),O1581,0)+IF(ISNUMBER(P1581),P1581,0)))&lt;=Summary!$B$2),"Passes using beginning_balance - PreV_ETB differs from beginning_balance",IF(AND(ISNUMBER(O1581),O1581&lt;0,ABS(L1581-(Q1581-IF(ISNUMBER(N1581),N1581,0)+IF(ISNUMBER(P1581),P1581,0)))&lt;=Summary!$B$2),"Negative realized loss not applied - check sign",IF(R1581&lt;0,"Principal paid exceeds prior balance",IF(AND(L1581&gt;Q1581,NOT(ISNUMBER(P1581))),"Balance increased but no Deferred_interest reported",IF(L1581&gt;R1581,"Reported balance higher than expected (missing increase/OC build)","Reported balance lower than expected (missing decrease)"))))),""))</f>
        <v/>
      </c>
    </row>
    <row r="1582" customFormat="false" ht="15" hidden="false" customHeight="false" outlineLevel="0" collapsed="false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9"/>
      <c r="L1582" s="9"/>
      <c r="M1582" s="9"/>
      <c r="N1582" s="9"/>
      <c r="O1582" s="9"/>
      <c r="P1582" s="9"/>
      <c r="Q1582" s="9"/>
      <c r="R1582" s="9" t="str">
        <f aca="false">IF(AND(A1582&lt;&gt;"",ISNUMBER(Q1582),ISNUMBER(L1582)),ROUND(Q1582-IF(ISNUMBER(N1582),N1582,0)-IF(ISNUMBER(O1582),O1582,0)+IF(ISNUMBER(P1582),P1582,0),2),"")</f>
        <v/>
      </c>
      <c r="S1582" s="9" t="str">
        <f aca="false">IF(R1582="","",ROUND(L1582-R1582,2))</f>
        <v/>
      </c>
      <c r="T1582" s="8" t="str">
        <f aca="false">IF(A1582="","",IF(S1582="","BYPASS",IF(ABS(S1582)&lt;=Summary!$B$2,"PASS","FAIL")))</f>
        <v/>
      </c>
      <c r="U1582" s="8" t="str">
        <f aca="false">IF(T1582="BYPASS",IF(NOT(ISNUMBER(Q1582)),"PreV_ETB missing","End_tr_balance missing"),IF(T1582="FAIL",IF(AND(ISNUMBER(K1582),ISNUMBER(L1582),ABS(L1582-(K1582-IF(ISNUMBER(N1582),N1582,0)-IF(ISNUMBER(O1582),O1582,0)+IF(ISNUMBER(P1582),P1582,0)))&lt;=Summary!$B$2),"Passes using beginning_balance - PreV_ETB differs from beginning_balance",IF(AND(ISNUMBER(O1582),O1582&lt;0,ABS(L1582-(Q1582-IF(ISNUMBER(N1582),N1582,0)+IF(ISNUMBER(P1582),P1582,0)))&lt;=Summary!$B$2),"Negative realized loss not applied - check sign",IF(R1582&lt;0,"Principal paid exceeds prior balance",IF(AND(L1582&gt;Q1582,NOT(ISNUMBER(P1582))),"Balance increased but no Deferred_interest reported",IF(L1582&gt;R1582,"Reported balance higher than expected (missing increase/OC build)","Reported balance lower than expected (missing decrease)"))))),""))</f>
        <v/>
      </c>
    </row>
    <row r="1583" customFormat="false" ht="15" hidden="false" customHeight="false" outlineLevel="0" collapsed="false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9"/>
      <c r="L1583" s="9"/>
      <c r="M1583" s="9"/>
      <c r="N1583" s="9"/>
      <c r="O1583" s="9"/>
      <c r="P1583" s="9"/>
      <c r="Q1583" s="9"/>
      <c r="R1583" s="9" t="str">
        <f aca="false">IF(AND(A1583&lt;&gt;"",ISNUMBER(Q1583),ISNUMBER(L1583)),ROUND(Q1583-IF(ISNUMBER(N1583),N1583,0)-IF(ISNUMBER(O1583),O1583,0)+IF(ISNUMBER(P1583),P1583,0),2),"")</f>
        <v/>
      </c>
      <c r="S1583" s="9" t="str">
        <f aca="false">IF(R1583="","",ROUND(L1583-R1583,2))</f>
        <v/>
      </c>
      <c r="T1583" s="8" t="str">
        <f aca="false">IF(A1583="","",IF(S1583="","BYPASS",IF(ABS(S1583)&lt;=Summary!$B$2,"PASS","FAIL")))</f>
        <v/>
      </c>
      <c r="U1583" s="8" t="str">
        <f aca="false">IF(T1583="BYPASS",IF(NOT(ISNUMBER(Q1583)),"PreV_ETB missing","End_tr_balance missing"),IF(T1583="FAIL",IF(AND(ISNUMBER(K1583),ISNUMBER(L1583),ABS(L1583-(K1583-IF(ISNUMBER(N1583),N1583,0)-IF(ISNUMBER(O1583),O1583,0)+IF(ISNUMBER(P1583),P1583,0)))&lt;=Summary!$B$2),"Passes using beginning_balance - PreV_ETB differs from beginning_balance",IF(AND(ISNUMBER(O1583),O1583&lt;0,ABS(L1583-(Q1583-IF(ISNUMBER(N1583),N1583,0)+IF(ISNUMBER(P1583),P1583,0)))&lt;=Summary!$B$2),"Negative realized loss not applied - check sign",IF(R1583&lt;0,"Principal paid exceeds prior balance",IF(AND(L1583&gt;Q1583,NOT(ISNUMBER(P1583))),"Balance increased but no Deferred_interest reported",IF(L1583&gt;R1583,"Reported balance higher than expected (missing increase/OC build)","Reported balance lower than expected (missing decrease)"))))),""))</f>
        <v/>
      </c>
    </row>
    <row r="1584" customFormat="false" ht="15" hidden="false" customHeight="false" outlineLevel="0" collapsed="false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9"/>
      <c r="L1584" s="9"/>
      <c r="M1584" s="9"/>
      <c r="N1584" s="9"/>
      <c r="O1584" s="9"/>
      <c r="P1584" s="9"/>
      <c r="Q1584" s="9"/>
      <c r="R1584" s="9" t="str">
        <f aca="false">IF(AND(A1584&lt;&gt;"",ISNUMBER(Q1584),ISNUMBER(L1584)),ROUND(Q1584-IF(ISNUMBER(N1584),N1584,0)-IF(ISNUMBER(O1584),O1584,0)+IF(ISNUMBER(P1584),P1584,0),2),"")</f>
        <v/>
      </c>
      <c r="S1584" s="9" t="str">
        <f aca="false">IF(R1584="","",ROUND(L1584-R1584,2))</f>
        <v/>
      </c>
      <c r="T1584" s="8" t="str">
        <f aca="false">IF(A1584="","",IF(S1584="","BYPASS",IF(ABS(S1584)&lt;=Summary!$B$2,"PASS","FAIL")))</f>
        <v/>
      </c>
      <c r="U1584" s="8" t="str">
        <f aca="false">IF(T1584="BYPASS",IF(NOT(ISNUMBER(Q1584)),"PreV_ETB missing","End_tr_balance missing"),IF(T1584="FAIL",IF(AND(ISNUMBER(K1584),ISNUMBER(L1584),ABS(L1584-(K1584-IF(ISNUMBER(N1584),N1584,0)-IF(ISNUMBER(O1584),O1584,0)+IF(ISNUMBER(P1584),P1584,0)))&lt;=Summary!$B$2),"Passes using beginning_balance - PreV_ETB differs from beginning_balance",IF(AND(ISNUMBER(O1584),O1584&lt;0,ABS(L1584-(Q1584-IF(ISNUMBER(N1584),N1584,0)+IF(ISNUMBER(P1584),P1584,0)))&lt;=Summary!$B$2),"Negative realized loss not applied - check sign",IF(R1584&lt;0,"Principal paid exceeds prior balance",IF(AND(L1584&gt;Q1584,NOT(ISNUMBER(P1584))),"Balance increased but no Deferred_interest reported",IF(L1584&gt;R1584,"Reported balance higher than expected (missing increase/OC build)","Reported balance lower than expected (missing decrease)"))))),""))</f>
        <v/>
      </c>
    </row>
    <row r="1585" customFormat="false" ht="15" hidden="false" customHeight="false" outlineLevel="0" collapsed="false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9"/>
      <c r="L1585" s="9"/>
      <c r="M1585" s="9"/>
      <c r="N1585" s="9"/>
      <c r="O1585" s="9"/>
      <c r="P1585" s="9"/>
      <c r="Q1585" s="9"/>
      <c r="R1585" s="9" t="str">
        <f aca="false">IF(AND(A1585&lt;&gt;"",ISNUMBER(Q1585),ISNUMBER(L1585)),ROUND(Q1585-IF(ISNUMBER(N1585),N1585,0)-IF(ISNUMBER(O1585),O1585,0)+IF(ISNUMBER(P1585),P1585,0),2),"")</f>
        <v/>
      </c>
      <c r="S1585" s="9" t="str">
        <f aca="false">IF(R1585="","",ROUND(L1585-R1585,2))</f>
        <v/>
      </c>
      <c r="T1585" s="8" t="str">
        <f aca="false">IF(A1585="","",IF(S1585="","BYPASS",IF(ABS(S1585)&lt;=Summary!$B$2,"PASS","FAIL")))</f>
        <v/>
      </c>
      <c r="U1585" s="8" t="str">
        <f aca="false">IF(T1585="BYPASS",IF(NOT(ISNUMBER(Q1585)),"PreV_ETB missing","End_tr_balance missing"),IF(T1585="FAIL",IF(AND(ISNUMBER(K1585),ISNUMBER(L1585),ABS(L1585-(K1585-IF(ISNUMBER(N1585),N1585,0)-IF(ISNUMBER(O1585),O1585,0)+IF(ISNUMBER(P1585),P1585,0)))&lt;=Summary!$B$2),"Passes using beginning_balance - PreV_ETB differs from beginning_balance",IF(AND(ISNUMBER(O1585),O1585&lt;0,ABS(L1585-(Q1585-IF(ISNUMBER(N1585),N1585,0)+IF(ISNUMBER(P1585),P1585,0)))&lt;=Summary!$B$2),"Negative realized loss not applied - check sign",IF(R1585&lt;0,"Principal paid exceeds prior balance",IF(AND(L1585&gt;Q1585,NOT(ISNUMBER(P1585))),"Balance increased but no Deferred_interest reported",IF(L1585&gt;R1585,"Reported balance higher than expected (missing increase/OC build)","Reported balance lower than expected (missing decrease)"))))),""))</f>
        <v/>
      </c>
    </row>
    <row r="1586" customFormat="false" ht="15" hidden="false" customHeight="false" outlineLevel="0" collapsed="false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9"/>
      <c r="L1586" s="9"/>
      <c r="M1586" s="9"/>
      <c r="N1586" s="9"/>
      <c r="O1586" s="9"/>
      <c r="P1586" s="9"/>
      <c r="Q1586" s="9"/>
      <c r="R1586" s="9" t="str">
        <f aca="false">IF(AND(A1586&lt;&gt;"",ISNUMBER(Q1586),ISNUMBER(L1586)),ROUND(Q1586-IF(ISNUMBER(N1586),N1586,0)-IF(ISNUMBER(O1586),O1586,0)+IF(ISNUMBER(P1586),P1586,0),2),"")</f>
        <v/>
      </c>
      <c r="S1586" s="9" t="str">
        <f aca="false">IF(R1586="","",ROUND(L1586-R1586,2))</f>
        <v/>
      </c>
      <c r="T1586" s="8" t="str">
        <f aca="false">IF(A1586="","",IF(S1586="","BYPASS",IF(ABS(S1586)&lt;=Summary!$B$2,"PASS","FAIL")))</f>
        <v/>
      </c>
      <c r="U1586" s="8" t="str">
        <f aca="false">IF(T1586="BYPASS",IF(NOT(ISNUMBER(Q1586)),"PreV_ETB missing","End_tr_balance missing"),IF(T1586="FAIL",IF(AND(ISNUMBER(K1586),ISNUMBER(L1586),ABS(L1586-(K1586-IF(ISNUMBER(N1586),N1586,0)-IF(ISNUMBER(O1586),O1586,0)+IF(ISNUMBER(P1586),P1586,0)))&lt;=Summary!$B$2),"Passes using beginning_balance - PreV_ETB differs from beginning_balance",IF(AND(ISNUMBER(O1586),O1586&lt;0,ABS(L1586-(Q1586-IF(ISNUMBER(N1586),N1586,0)+IF(ISNUMBER(P1586),P1586,0)))&lt;=Summary!$B$2),"Negative realized loss not applied - check sign",IF(R1586&lt;0,"Principal paid exceeds prior balance",IF(AND(L1586&gt;Q1586,NOT(ISNUMBER(P1586))),"Balance increased but no Deferred_interest reported",IF(L1586&gt;R1586,"Reported balance higher than expected (missing increase/OC build)","Reported balance lower than expected (missing decrease)"))))),""))</f>
        <v/>
      </c>
    </row>
    <row r="1587" customFormat="false" ht="15" hidden="false" customHeight="false" outlineLevel="0" collapsed="false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9"/>
      <c r="L1587" s="9"/>
      <c r="M1587" s="9"/>
      <c r="N1587" s="9"/>
      <c r="O1587" s="9"/>
      <c r="P1587" s="9"/>
      <c r="Q1587" s="9"/>
      <c r="R1587" s="9" t="str">
        <f aca="false">IF(AND(A1587&lt;&gt;"",ISNUMBER(Q1587),ISNUMBER(L1587)),ROUND(Q1587-IF(ISNUMBER(N1587),N1587,0)-IF(ISNUMBER(O1587),O1587,0)+IF(ISNUMBER(P1587),P1587,0),2),"")</f>
        <v/>
      </c>
      <c r="S1587" s="9" t="str">
        <f aca="false">IF(R1587="","",ROUND(L1587-R1587,2))</f>
        <v/>
      </c>
      <c r="T1587" s="8" t="str">
        <f aca="false">IF(A1587="","",IF(S1587="","BYPASS",IF(ABS(S1587)&lt;=Summary!$B$2,"PASS","FAIL")))</f>
        <v/>
      </c>
      <c r="U1587" s="8" t="str">
        <f aca="false">IF(T1587="BYPASS",IF(NOT(ISNUMBER(Q1587)),"PreV_ETB missing","End_tr_balance missing"),IF(T1587="FAIL",IF(AND(ISNUMBER(K1587),ISNUMBER(L1587),ABS(L1587-(K1587-IF(ISNUMBER(N1587),N1587,0)-IF(ISNUMBER(O1587),O1587,0)+IF(ISNUMBER(P1587),P1587,0)))&lt;=Summary!$B$2),"Passes using beginning_balance - PreV_ETB differs from beginning_balance",IF(AND(ISNUMBER(O1587),O1587&lt;0,ABS(L1587-(Q1587-IF(ISNUMBER(N1587),N1587,0)+IF(ISNUMBER(P1587),P1587,0)))&lt;=Summary!$B$2),"Negative realized loss not applied - check sign",IF(R1587&lt;0,"Principal paid exceeds prior balance",IF(AND(L1587&gt;Q1587,NOT(ISNUMBER(P1587))),"Balance increased but no Deferred_interest reported",IF(L1587&gt;R1587,"Reported balance higher than expected (missing increase/OC build)","Reported balance lower than expected (missing decrease)"))))),""))</f>
        <v/>
      </c>
    </row>
    <row r="1588" customFormat="false" ht="15" hidden="false" customHeight="false" outlineLevel="0" collapsed="false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9"/>
      <c r="L1588" s="9"/>
      <c r="M1588" s="9"/>
      <c r="N1588" s="9"/>
      <c r="O1588" s="9"/>
      <c r="P1588" s="9"/>
      <c r="Q1588" s="9"/>
      <c r="R1588" s="9" t="str">
        <f aca="false">IF(AND(A1588&lt;&gt;"",ISNUMBER(Q1588),ISNUMBER(L1588)),ROUND(Q1588-IF(ISNUMBER(N1588),N1588,0)-IF(ISNUMBER(O1588),O1588,0)+IF(ISNUMBER(P1588),P1588,0),2),"")</f>
        <v/>
      </c>
      <c r="S1588" s="9" t="str">
        <f aca="false">IF(R1588="","",ROUND(L1588-R1588,2))</f>
        <v/>
      </c>
      <c r="T1588" s="8" t="str">
        <f aca="false">IF(A1588="","",IF(S1588="","BYPASS",IF(ABS(S1588)&lt;=Summary!$B$2,"PASS","FAIL")))</f>
        <v/>
      </c>
      <c r="U1588" s="8" t="str">
        <f aca="false">IF(T1588="BYPASS",IF(NOT(ISNUMBER(Q1588)),"PreV_ETB missing","End_tr_balance missing"),IF(T1588="FAIL",IF(AND(ISNUMBER(K1588),ISNUMBER(L1588),ABS(L1588-(K1588-IF(ISNUMBER(N1588),N1588,0)-IF(ISNUMBER(O1588),O1588,0)+IF(ISNUMBER(P1588),P1588,0)))&lt;=Summary!$B$2),"Passes using beginning_balance - PreV_ETB differs from beginning_balance",IF(AND(ISNUMBER(O1588),O1588&lt;0,ABS(L1588-(Q1588-IF(ISNUMBER(N1588),N1588,0)+IF(ISNUMBER(P1588),P1588,0)))&lt;=Summary!$B$2),"Negative realized loss not applied - check sign",IF(R1588&lt;0,"Principal paid exceeds prior balance",IF(AND(L1588&gt;Q1588,NOT(ISNUMBER(P1588))),"Balance increased but no Deferred_interest reported",IF(L1588&gt;R1588,"Reported balance higher than expected (missing increase/OC build)","Reported balance lower than expected (missing decrease)"))))),""))</f>
        <v/>
      </c>
    </row>
    <row r="1589" customFormat="false" ht="15" hidden="false" customHeight="false" outlineLevel="0" collapsed="false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9"/>
      <c r="L1589" s="9"/>
      <c r="M1589" s="9"/>
      <c r="N1589" s="9"/>
      <c r="O1589" s="9"/>
      <c r="P1589" s="9"/>
      <c r="Q1589" s="9"/>
      <c r="R1589" s="9" t="str">
        <f aca="false">IF(AND(A1589&lt;&gt;"",ISNUMBER(Q1589),ISNUMBER(L1589)),ROUND(Q1589-IF(ISNUMBER(N1589),N1589,0)-IF(ISNUMBER(O1589),O1589,0)+IF(ISNUMBER(P1589),P1589,0),2),"")</f>
        <v/>
      </c>
      <c r="S1589" s="9" t="str">
        <f aca="false">IF(R1589="","",ROUND(L1589-R1589,2))</f>
        <v/>
      </c>
      <c r="T1589" s="8" t="str">
        <f aca="false">IF(A1589="","",IF(S1589="","BYPASS",IF(ABS(S1589)&lt;=Summary!$B$2,"PASS","FAIL")))</f>
        <v/>
      </c>
      <c r="U1589" s="8" t="str">
        <f aca="false">IF(T1589="BYPASS",IF(NOT(ISNUMBER(Q1589)),"PreV_ETB missing","End_tr_balance missing"),IF(T1589="FAIL",IF(AND(ISNUMBER(K1589),ISNUMBER(L1589),ABS(L1589-(K1589-IF(ISNUMBER(N1589),N1589,0)-IF(ISNUMBER(O1589),O1589,0)+IF(ISNUMBER(P1589),P1589,0)))&lt;=Summary!$B$2),"Passes using beginning_balance - PreV_ETB differs from beginning_balance",IF(AND(ISNUMBER(O1589),O1589&lt;0,ABS(L1589-(Q1589-IF(ISNUMBER(N1589),N1589,0)+IF(ISNUMBER(P1589),P1589,0)))&lt;=Summary!$B$2),"Negative realized loss not applied - check sign",IF(R1589&lt;0,"Principal paid exceeds prior balance",IF(AND(L1589&gt;Q1589,NOT(ISNUMBER(P1589))),"Balance increased but no Deferred_interest reported",IF(L1589&gt;R1589,"Reported balance higher than expected (missing increase/OC build)","Reported balance lower than expected (missing decrease)"))))),""))</f>
        <v/>
      </c>
    </row>
    <row r="1590" customFormat="false" ht="15" hidden="false" customHeight="false" outlineLevel="0" collapsed="false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9"/>
      <c r="L1590" s="9"/>
      <c r="M1590" s="9"/>
      <c r="N1590" s="9"/>
      <c r="O1590" s="9"/>
      <c r="P1590" s="9"/>
      <c r="Q1590" s="9"/>
      <c r="R1590" s="9" t="str">
        <f aca="false">IF(AND(A1590&lt;&gt;"",ISNUMBER(Q1590),ISNUMBER(L1590)),ROUND(Q1590-IF(ISNUMBER(N1590),N1590,0)-IF(ISNUMBER(O1590),O1590,0)+IF(ISNUMBER(P1590),P1590,0),2),"")</f>
        <v/>
      </c>
      <c r="S1590" s="9" t="str">
        <f aca="false">IF(R1590="","",ROUND(L1590-R1590,2))</f>
        <v/>
      </c>
      <c r="T1590" s="8" t="str">
        <f aca="false">IF(A1590="","",IF(S1590="","BYPASS",IF(ABS(S1590)&lt;=Summary!$B$2,"PASS","FAIL")))</f>
        <v/>
      </c>
      <c r="U1590" s="8" t="str">
        <f aca="false">IF(T1590="BYPASS",IF(NOT(ISNUMBER(Q1590)),"PreV_ETB missing","End_tr_balance missing"),IF(T1590="FAIL",IF(AND(ISNUMBER(K1590),ISNUMBER(L1590),ABS(L1590-(K1590-IF(ISNUMBER(N1590),N1590,0)-IF(ISNUMBER(O1590),O1590,0)+IF(ISNUMBER(P1590),P1590,0)))&lt;=Summary!$B$2),"Passes using beginning_balance - PreV_ETB differs from beginning_balance",IF(AND(ISNUMBER(O1590),O1590&lt;0,ABS(L1590-(Q1590-IF(ISNUMBER(N1590),N1590,0)+IF(ISNUMBER(P1590),P1590,0)))&lt;=Summary!$B$2),"Negative realized loss not applied - check sign",IF(R1590&lt;0,"Principal paid exceeds prior balance",IF(AND(L1590&gt;Q1590,NOT(ISNUMBER(P1590))),"Balance increased but no Deferred_interest reported",IF(L1590&gt;R1590,"Reported balance higher than expected (missing increase/OC build)","Reported balance lower than expected (missing decrease)"))))),""))</f>
        <v/>
      </c>
    </row>
    <row r="1591" customFormat="false" ht="15" hidden="false" customHeight="false" outlineLevel="0" collapsed="false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9"/>
      <c r="L1591" s="9"/>
      <c r="M1591" s="9"/>
      <c r="N1591" s="9"/>
      <c r="O1591" s="9"/>
      <c r="P1591" s="9"/>
      <c r="Q1591" s="9"/>
      <c r="R1591" s="9" t="str">
        <f aca="false">IF(AND(A1591&lt;&gt;"",ISNUMBER(Q1591),ISNUMBER(L1591)),ROUND(Q1591-IF(ISNUMBER(N1591),N1591,0)-IF(ISNUMBER(O1591),O1591,0)+IF(ISNUMBER(P1591),P1591,0),2),"")</f>
        <v/>
      </c>
      <c r="S1591" s="9" t="str">
        <f aca="false">IF(R1591="","",ROUND(L1591-R1591,2))</f>
        <v/>
      </c>
      <c r="T1591" s="8" t="str">
        <f aca="false">IF(A1591="","",IF(S1591="","BYPASS",IF(ABS(S1591)&lt;=Summary!$B$2,"PASS","FAIL")))</f>
        <v/>
      </c>
      <c r="U1591" s="8" t="str">
        <f aca="false">IF(T1591="BYPASS",IF(NOT(ISNUMBER(Q1591)),"PreV_ETB missing","End_tr_balance missing"),IF(T1591="FAIL",IF(AND(ISNUMBER(K1591),ISNUMBER(L1591),ABS(L1591-(K1591-IF(ISNUMBER(N1591),N1591,0)-IF(ISNUMBER(O1591),O1591,0)+IF(ISNUMBER(P1591),P1591,0)))&lt;=Summary!$B$2),"Passes using beginning_balance - PreV_ETB differs from beginning_balance",IF(AND(ISNUMBER(O1591),O1591&lt;0,ABS(L1591-(Q1591-IF(ISNUMBER(N1591),N1591,0)+IF(ISNUMBER(P1591),P1591,0)))&lt;=Summary!$B$2),"Negative realized loss not applied - check sign",IF(R1591&lt;0,"Principal paid exceeds prior balance",IF(AND(L1591&gt;Q1591,NOT(ISNUMBER(P1591))),"Balance increased but no Deferred_interest reported",IF(L1591&gt;R1591,"Reported balance higher than expected (missing increase/OC build)","Reported balance lower than expected (missing decrease)"))))),""))</f>
        <v/>
      </c>
    </row>
    <row r="1592" customFormat="false" ht="15" hidden="false" customHeight="false" outlineLevel="0" collapsed="false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9"/>
      <c r="L1592" s="9"/>
      <c r="M1592" s="9"/>
      <c r="N1592" s="9"/>
      <c r="O1592" s="9"/>
      <c r="P1592" s="9"/>
      <c r="Q1592" s="9"/>
      <c r="R1592" s="9" t="str">
        <f aca="false">IF(AND(A1592&lt;&gt;"",ISNUMBER(Q1592),ISNUMBER(L1592)),ROUND(Q1592-IF(ISNUMBER(N1592),N1592,0)-IF(ISNUMBER(O1592),O1592,0)+IF(ISNUMBER(P1592),P1592,0),2),"")</f>
        <v/>
      </c>
      <c r="S1592" s="9" t="str">
        <f aca="false">IF(R1592="","",ROUND(L1592-R1592,2))</f>
        <v/>
      </c>
      <c r="T1592" s="8" t="str">
        <f aca="false">IF(A1592="","",IF(S1592="","BYPASS",IF(ABS(S1592)&lt;=Summary!$B$2,"PASS","FAIL")))</f>
        <v/>
      </c>
      <c r="U1592" s="8" t="str">
        <f aca="false">IF(T1592="BYPASS",IF(NOT(ISNUMBER(Q1592)),"PreV_ETB missing","End_tr_balance missing"),IF(T1592="FAIL",IF(AND(ISNUMBER(K1592),ISNUMBER(L1592),ABS(L1592-(K1592-IF(ISNUMBER(N1592),N1592,0)-IF(ISNUMBER(O1592),O1592,0)+IF(ISNUMBER(P1592),P1592,0)))&lt;=Summary!$B$2),"Passes using beginning_balance - PreV_ETB differs from beginning_balance",IF(AND(ISNUMBER(O1592),O1592&lt;0,ABS(L1592-(Q1592-IF(ISNUMBER(N1592),N1592,0)+IF(ISNUMBER(P1592),P1592,0)))&lt;=Summary!$B$2),"Negative realized loss not applied - check sign",IF(R1592&lt;0,"Principal paid exceeds prior balance",IF(AND(L1592&gt;Q1592,NOT(ISNUMBER(P1592))),"Balance increased but no Deferred_interest reported",IF(L1592&gt;R1592,"Reported balance higher than expected (missing increase/OC build)","Reported balance lower than expected (missing decrease)"))))),""))</f>
        <v/>
      </c>
    </row>
    <row r="1593" customFormat="false" ht="15" hidden="false" customHeight="false" outlineLevel="0" collapsed="false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9"/>
      <c r="L1593" s="9"/>
      <c r="M1593" s="9"/>
      <c r="N1593" s="9"/>
      <c r="O1593" s="9"/>
      <c r="P1593" s="9"/>
      <c r="Q1593" s="9"/>
      <c r="R1593" s="9" t="str">
        <f aca="false">IF(AND(A1593&lt;&gt;"",ISNUMBER(Q1593),ISNUMBER(L1593)),ROUND(Q1593-IF(ISNUMBER(N1593),N1593,0)-IF(ISNUMBER(O1593),O1593,0)+IF(ISNUMBER(P1593),P1593,0),2),"")</f>
        <v/>
      </c>
      <c r="S1593" s="9" t="str">
        <f aca="false">IF(R1593="","",ROUND(L1593-R1593,2))</f>
        <v/>
      </c>
      <c r="T1593" s="8" t="str">
        <f aca="false">IF(A1593="","",IF(S1593="","BYPASS",IF(ABS(S1593)&lt;=Summary!$B$2,"PASS","FAIL")))</f>
        <v/>
      </c>
      <c r="U1593" s="8" t="str">
        <f aca="false">IF(T1593="BYPASS",IF(NOT(ISNUMBER(Q1593)),"PreV_ETB missing","End_tr_balance missing"),IF(T1593="FAIL",IF(AND(ISNUMBER(K1593),ISNUMBER(L1593),ABS(L1593-(K1593-IF(ISNUMBER(N1593),N1593,0)-IF(ISNUMBER(O1593),O1593,0)+IF(ISNUMBER(P1593),P1593,0)))&lt;=Summary!$B$2),"Passes using beginning_balance - PreV_ETB differs from beginning_balance",IF(AND(ISNUMBER(O1593),O1593&lt;0,ABS(L1593-(Q1593-IF(ISNUMBER(N1593),N1593,0)+IF(ISNUMBER(P1593),P1593,0)))&lt;=Summary!$B$2),"Negative realized loss not applied - check sign",IF(R1593&lt;0,"Principal paid exceeds prior balance",IF(AND(L1593&gt;Q1593,NOT(ISNUMBER(P1593))),"Balance increased but no Deferred_interest reported",IF(L1593&gt;R1593,"Reported balance higher than expected (missing increase/OC build)","Reported balance lower than expected (missing decrease)"))))),""))</f>
        <v/>
      </c>
    </row>
    <row r="1594" customFormat="false" ht="15" hidden="false" customHeight="false" outlineLevel="0" collapsed="false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9"/>
      <c r="L1594" s="9"/>
      <c r="M1594" s="9"/>
      <c r="N1594" s="9"/>
      <c r="O1594" s="9"/>
      <c r="P1594" s="9"/>
      <c r="Q1594" s="9"/>
      <c r="R1594" s="9" t="str">
        <f aca="false">IF(AND(A1594&lt;&gt;"",ISNUMBER(Q1594),ISNUMBER(L1594)),ROUND(Q1594-IF(ISNUMBER(N1594),N1594,0)-IF(ISNUMBER(O1594),O1594,0)+IF(ISNUMBER(P1594),P1594,0),2),"")</f>
        <v/>
      </c>
      <c r="S1594" s="9" t="str">
        <f aca="false">IF(R1594="","",ROUND(L1594-R1594,2))</f>
        <v/>
      </c>
      <c r="T1594" s="8" t="str">
        <f aca="false">IF(A1594="","",IF(S1594="","BYPASS",IF(ABS(S1594)&lt;=Summary!$B$2,"PASS","FAIL")))</f>
        <v/>
      </c>
      <c r="U1594" s="8" t="str">
        <f aca="false">IF(T1594="BYPASS",IF(NOT(ISNUMBER(Q1594)),"PreV_ETB missing","End_tr_balance missing"),IF(T1594="FAIL",IF(AND(ISNUMBER(K1594),ISNUMBER(L1594),ABS(L1594-(K1594-IF(ISNUMBER(N1594),N1594,0)-IF(ISNUMBER(O1594),O1594,0)+IF(ISNUMBER(P1594),P1594,0)))&lt;=Summary!$B$2),"Passes using beginning_balance - PreV_ETB differs from beginning_balance",IF(AND(ISNUMBER(O1594),O1594&lt;0,ABS(L1594-(Q1594-IF(ISNUMBER(N1594),N1594,0)+IF(ISNUMBER(P1594),P1594,0)))&lt;=Summary!$B$2),"Negative realized loss not applied - check sign",IF(R1594&lt;0,"Principal paid exceeds prior balance",IF(AND(L1594&gt;Q1594,NOT(ISNUMBER(P1594))),"Balance increased but no Deferred_interest reported",IF(L1594&gt;R1594,"Reported balance higher than expected (missing increase/OC build)","Reported balance lower than expected (missing decrease)"))))),""))</f>
        <v/>
      </c>
    </row>
    <row r="1595" customFormat="false" ht="15" hidden="false" customHeight="false" outlineLevel="0" collapsed="false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9"/>
      <c r="L1595" s="9"/>
      <c r="M1595" s="9"/>
      <c r="N1595" s="9"/>
      <c r="O1595" s="9"/>
      <c r="P1595" s="9"/>
      <c r="Q1595" s="9"/>
      <c r="R1595" s="9" t="str">
        <f aca="false">IF(AND(A1595&lt;&gt;"",ISNUMBER(Q1595),ISNUMBER(L1595)),ROUND(Q1595-IF(ISNUMBER(N1595),N1595,0)-IF(ISNUMBER(O1595),O1595,0)+IF(ISNUMBER(P1595),P1595,0),2),"")</f>
        <v/>
      </c>
      <c r="S1595" s="9" t="str">
        <f aca="false">IF(R1595="","",ROUND(L1595-R1595,2))</f>
        <v/>
      </c>
      <c r="T1595" s="8" t="str">
        <f aca="false">IF(A1595="","",IF(S1595="","BYPASS",IF(ABS(S1595)&lt;=Summary!$B$2,"PASS","FAIL")))</f>
        <v/>
      </c>
      <c r="U1595" s="8" t="str">
        <f aca="false">IF(T1595="BYPASS",IF(NOT(ISNUMBER(Q1595)),"PreV_ETB missing","End_tr_balance missing"),IF(T1595="FAIL",IF(AND(ISNUMBER(K1595),ISNUMBER(L1595),ABS(L1595-(K1595-IF(ISNUMBER(N1595),N1595,0)-IF(ISNUMBER(O1595),O1595,0)+IF(ISNUMBER(P1595),P1595,0)))&lt;=Summary!$B$2),"Passes using beginning_balance - PreV_ETB differs from beginning_balance",IF(AND(ISNUMBER(O1595),O1595&lt;0,ABS(L1595-(Q1595-IF(ISNUMBER(N1595),N1595,0)+IF(ISNUMBER(P1595),P1595,0)))&lt;=Summary!$B$2),"Negative realized loss not applied - check sign",IF(R1595&lt;0,"Principal paid exceeds prior balance",IF(AND(L1595&gt;Q1595,NOT(ISNUMBER(P1595))),"Balance increased but no Deferred_interest reported",IF(L1595&gt;R1595,"Reported balance higher than expected (missing increase/OC build)","Reported balance lower than expected (missing decrease)"))))),""))</f>
        <v/>
      </c>
    </row>
    <row r="1596" customFormat="false" ht="15" hidden="false" customHeight="false" outlineLevel="0" collapsed="false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9"/>
      <c r="L1596" s="9"/>
      <c r="M1596" s="9"/>
      <c r="N1596" s="9"/>
      <c r="O1596" s="9"/>
      <c r="P1596" s="9"/>
      <c r="Q1596" s="9"/>
      <c r="R1596" s="9" t="str">
        <f aca="false">IF(AND(A1596&lt;&gt;"",ISNUMBER(Q1596),ISNUMBER(L1596)),ROUND(Q1596-IF(ISNUMBER(N1596),N1596,0)-IF(ISNUMBER(O1596),O1596,0)+IF(ISNUMBER(P1596),P1596,0),2),"")</f>
        <v/>
      </c>
      <c r="S1596" s="9" t="str">
        <f aca="false">IF(R1596="","",ROUND(L1596-R1596,2))</f>
        <v/>
      </c>
      <c r="T1596" s="8" t="str">
        <f aca="false">IF(A1596="","",IF(S1596="","BYPASS",IF(ABS(S1596)&lt;=Summary!$B$2,"PASS","FAIL")))</f>
        <v/>
      </c>
      <c r="U1596" s="8" t="str">
        <f aca="false">IF(T1596="BYPASS",IF(NOT(ISNUMBER(Q1596)),"PreV_ETB missing","End_tr_balance missing"),IF(T1596="FAIL",IF(AND(ISNUMBER(K1596),ISNUMBER(L1596),ABS(L1596-(K1596-IF(ISNUMBER(N1596),N1596,0)-IF(ISNUMBER(O1596),O1596,0)+IF(ISNUMBER(P1596),P1596,0)))&lt;=Summary!$B$2),"Passes using beginning_balance - PreV_ETB differs from beginning_balance",IF(AND(ISNUMBER(O1596),O1596&lt;0,ABS(L1596-(Q1596-IF(ISNUMBER(N1596),N1596,0)+IF(ISNUMBER(P1596),P1596,0)))&lt;=Summary!$B$2),"Negative realized loss not applied - check sign",IF(R1596&lt;0,"Principal paid exceeds prior balance",IF(AND(L1596&gt;Q1596,NOT(ISNUMBER(P1596))),"Balance increased but no Deferred_interest reported",IF(L1596&gt;R1596,"Reported balance higher than expected (missing increase/OC build)","Reported balance lower than expected (missing decrease)"))))),""))</f>
        <v/>
      </c>
    </row>
    <row r="1597" customFormat="false" ht="15" hidden="false" customHeight="false" outlineLevel="0" collapsed="false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9"/>
      <c r="L1597" s="9"/>
      <c r="M1597" s="9"/>
      <c r="N1597" s="9"/>
      <c r="O1597" s="9"/>
      <c r="P1597" s="9"/>
      <c r="Q1597" s="9"/>
      <c r="R1597" s="9" t="str">
        <f aca="false">IF(AND(A1597&lt;&gt;"",ISNUMBER(Q1597),ISNUMBER(L1597)),ROUND(Q1597-IF(ISNUMBER(N1597),N1597,0)-IF(ISNUMBER(O1597),O1597,0)+IF(ISNUMBER(P1597),P1597,0),2),"")</f>
        <v/>
      </c>
      <c r="S1597" s="9" t="str">
        <f aca="false">IF(R1597="","",ROUND(L1597-R1597,2))</f>
        <v/>
      </c>
      <c r="T1597" s="8" t="str">
        <f aca="false">IF(A1597="","",IF(S1597="","BYPASS",IF(ABS(S1597)&lt;=Summary!$B$2,"PASS","FAIL")))</f>
        <v/>
      </c>
      <c r="U1597" s="8" t="str">
        <f aca="false">IF(T1597="BYPASS",IF(NOT(ISNUMBER(Q1597)),"PreV_ETB missing","End_tr_balance missing"),IF(T1597="FAIL",IF(AND(ISNUMBER(K1597),ISNUMBER(L1597),ABS(L1597-(K1597-IF(ISNUMBER(N1597),N1597,0)-IF(ISNUMBER(O1597),O1597,0)+IF(ISNUMBER(P1597),P1597,0)))&lt;=Summary!$B$2),"Passes using beginning_balance - PreV_ETB differs from beginning_balance",IF(AND(ISNUMBER(O1597),O1597&lt;0,ABS(L1597-(Q1597-IF(ISNUMBER(N1597),N1597,0)+IF(ISNUMBER(P1597),P1597,0)))&lt;=Summary!$B$2),"Negative realized loss not applied - check sign",IF(R1597&lt;0,"Principal paid exceeds prior balance",IF(AND(L1597&gt;Q1597,NOT(ISNUMBER(P1597))),"Balance increased but no Deferred_interest reported",IF(L1597&gt;R1597,"Reported balance higher than expected (missing increase/OC build)","Reported balance lower than expected (missing decrease)"))))),""))</f>
        <v/>
      </c>
    </row>
    <row r="1598" customFormat="false" ht="15" hidden="false" customHeight="false" outlineLevel="0" collapsed="false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9"/>
      <c r="L1598" s="9"/>
      <c r="M1598" s="9"/>
      <c r="N1598" s="9"/>
      <c r="O1598" s="9"/>
      <c r="P1598" s="9"/>
      <c r="Q1598" s="9"/>
      <c r="R1598" s="9" t="str">
        <f aca="false">IF(AND(A1598&lt;&gt;"",ISNUMBER(Q1598),ISNUMBER(L1598)),ROUND(Q1598-IF(ISNUMBER(N1598),N1598,0)-IF(ISNUMBER(O1598),O1598,0)+IF(ISNUMBER(P1598),P1598,0),2),"")</f>
        <v/>
      </c>
      <c r="S1598" s="9" t="str">
        <f aca="false">IF(R1598="","",ROUND(L1598-R1598,2))</f>
        <v/>
      </c>
      <c r="T1598" s="8" t="str">
        <f aca="false">IF(A1598="","",IF(S1598="","BYPASS",IF(ABS(S1598)&lt;=Summary!$B$2,"PASS","FAIL")))</f>
        <v/>
      </c>
      <c r="U1598" s="8" t="str">
        <f aca="false">IF(T1598="BYPASS",IF(NOT(ISNUMBER(Q1598)),"PreV_ETB missing","End_tr_balance missing"),IF(T1598="FAIL",IF(AND(ISNUMBER(K1598),ISNUMBER(L1598),ABS(L1598-(K1598-IF(ISNUMBER(N1598),N1598,0)-IF(ISNUMBER(O1598),O1598,0)+IF(ISNUMBER(P1598),P1598,0)))&lt;=Summary!$B$2),"Passes using beginning_balance - PreV_ETB differs from beginning_balance",IF(AND(ISNUMBER(O1598),O1598&lt;0,ABS(L1598-(Q1598-IF(ISNUMBER(N1598),N1598,0)+IF(ISNUMBER(P1598),P1598,0)))&lt;=Summary!$B$2),"Negative realized loss not applied - check sign",IF(R1598&lt;0,"Principal paid exceeds prior balance",IF(AND(L1598&gt;Q1598,NOT(ISNUMBER(P1598))),"Balance increased but no Deferred_interest reported",IF(L1598&gt;R1598,"Reported balance higher than expected (missing increase/OC build)","Reported balance lower than expected (missing decrease)"))))),""))</f>
        <v/>
      </c>
    </row>
    <row r="1599" customFormat="false" ht="15" hidden="false" customHeight="false" outlineLevel="0" collapsed="false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9"/>
      <c r="L1599" s="9"/>
      <c r="M1599" s="9"/>
      <c r="N1599" s="9"/>
      <c r="O1599" s="9"/>
      <c r="P1599" s="9"/>
      <c r="Q1599" s="9"/>
      <c r="R1599" s="9" t="str">
        <f aca="false">IF(AND(A1599&lt;&gt;"",ISNUMBER(Q1599),ISNUMBER(L1599)),ROUND(Q1599-IF(ISNUMBER(N1599),N1599,0)-IF(ISNUMBER(O1599),O1599,0)+IF(ISNUMBER(P1599),P1599,0),2),"")</f>
        <v/>
      </c>
      <c r="S1599" s="9" t="str">
        <f aca="false">IF(R1599="","",ROUND(L1599-R1599,2))</f>
        <v/>
      </c>
      <c r="T1599" s="8" t="str">
        <f aca="false">IF(A1599="","",IF(S1599="","BYPASS",IF(ABS(S1599)&lt;=Summary!$B$2,"PASS","FAIL")))</f>
        <v/>
      </c>
      <c r="U1599" s="8" t="str">
        <f aca="false">IF(T1599="BYPASS",IF(NOT(ISNUMBER(Q1599)),"PreV_ETB missing","End_tr_balance missing"),IF(T1599="FAIL",IF(AND(ISNUMBER(K1599),ISNUMBER(L1599),ABS(L1599-(K1599-IF(ISNUMBER(N1599),N1599,0)-IF(ISNUMBER(O1599),O1599,0)+IF(ISNUMBER(P1599),P1599,0)))&lt;=Summary!$B$2),"Passes using beginning_balance - PreV_ETB differs from beginning_balance",IF(AND(ISNUMBER(O1599),O1599&lt;0,ABS(L1599-(Q1599-IF(ISNUMBER(N1599),N1599,0)+IF(ISNUMBER(P1599),P1599,0)))&lt;=Summary!$B$2),"Negative realized loss not applied - check sign",IF(R1599&lt;0,"Principal paid exceeds prior balance",IF(AND(L1599&gt;Q1599,NOT(ISNUMBER(P1599))),"Balance increased but no Deferred_interest reported",IF(L1599&gt;R1599,"Reported balance higher than expected (missing increase/OC build)","Reported balance lower than expected (missing decrease)"))))),""))</f>
        <v/>
      </c>
    </row>
    <row r="1600" customFormat="false" ht="15" hidden="false" customHeight="false" outlineLevel="0" collapsed="false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9"/>
      <c r="L1600" s="9"/>
      <c r="M1600" s="9"/>
      <c r="N1600" s="9"/>
      <c r="O1600" s="9"/>
      <c r="P1600" s="9"/>
      <c r="Q1600" s="9"/>
      <c r="R1600" s="9" t="str">
        <f aca="false">IF(AND(A1600&lt;&gt;"",ISNUMBER(Q1600),ISNUMBER(L1600)),ROUND(Q1600-IF(ISNUMBER(N1600),N1600,0)-IF(ISNUMBER(O1600),O1600,0)+IF(ISNUMBER(P1600),P1600,0),2),"")</f>
        <v/>
      </c>
      <c r="S1600" s="9" t="str">
        <f aca="false">IF(R1600="","",ROUND(L1600-R1600,2))</f>
        <v/>
      </c>
      <c r="T1600" s="8" t="str">
        <f aca="false">IF(A1600="","",IF(S1600="","BYPASS",IF(ABS(S1600)&lt;=Summary!$B$2,"PASS","FAIL")))</f>
        <v/>
      </c>
      <c r="U1600" s="8" t="str">
        <f aca="false">IF(T1600="BYPASS",IF(NOT(ISNUMBER(Q1600)),"PreV_ETB missing","End_tr_balance missing"),IF(T1600="FAIL",IF(AND(ISNUMBER(K1600),ISNUMBER(L1600),ABS(L1600-(K1600-IF(ISNUMBER(N1600),N1600,0)-IF(ISNUMBER(O1600),O1600,0)+IF(ISNUMBER(P1600),P1600,0)))&lt;=Summary!$B$2),"Passes using beginning_balance - PreV_ETB differs from beginning_balance",IF(AND(ISNUMBER(O1600),O1600&lt;0,ABS(L1600-(Q1600-IF(ISNUMBER(N1600),N1600,0)+IF(ISNUMBER(P1600),P1600,0)))&lt;=Summary!$B$2),"Negative realized loss not applied - check sign",IF(R1600&lt;0,"Principal paid exceeds prior balance",IF(AND(L1600&gt;Q1600,NOT(ISNUMBER(P1600))),"Balance increased but no Deferred_interest reported",IF(L1600&gt;R1600,"Reported balance higher than expected (missing increase/OC build)","Reported balance lower than expected (missing decrease)"))))),""))</f>
        <v/>
      </c>
    </row>
    <row r="1601" customFormat="false" ht="15" hidden="false" customHeight="false" outlineLevel="0" collapsed="false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9"/>
      <c r="L1601" s="9"/>
      <c r="M1601" s="9"/>
      <c r="N1601" s="9"/>
      <c r="O1601" s="9"/>
      <c r="P1601" s="9"/>
      <c r="Q1601" s="9"/>
      <c r="R1601" s="9" t="str">
        <f aca="false">IF(AND(A1601&lt;&gt;"",ISNUMBER(Q1601),ISNUMBER(L1601)),ROUND(Q1601-IF(ISNUMBER(N1601),N1601,0)-IF(ISNUMBER(O1601),O1601,0)+IF(ISNUMBER(P1601),P1601,0),2),"")</f>
        <v/>
      </c>
      <c r="S1601" s="9" t="str">
        <f aca="false">IF(R1601="","",ROUND(L1601-R1601,2))</f>
        <v/>
      </c>
      <c r="T1601" s="8" t="str">
        <f aca="false">IF(A1601="","",IF(S1601="","BYPASS",IF(ABS(S1601)&lt;=Summary!$B$2,"PASS","FAIL")))</f>
        <v/>
      </c>
      <c r="U1601" s="8" t="str">
        <f aca="false">IF(T1601="BYPASS",IF(NOT(ISNUMBER(Q1601)),"PreV_ETB missing","End_tr_balance missing"),IF(T1601="FAIL",IF(AND(ISNUMBER(K1601),ISNUMBER(L1601),ABS(L1601-(K1601-IF(ISNUMBER(N1601),N1601,0)-IF(ISNUMBER(O1601),O1601,0)+IF(ISNUMBER(P1601),P1601,0)))&lt;=Summary!$B$2),"Passes using beginning_balance - PreV_ETB differs from beginning_balance",IF(AND(ISNUMBER(O1601),O1601&lt;0,ABS(L1601-(Q1601-IF(ISNUMBER(N1601),N1601,0)+IF(ISNUMBER(P1601),P1601,0)))&lt;=Summary!$B$2),"Negative realized loss not applied - check sign",IF(R1601&lt;0,"Principal paid exceeds prior balance",IF(AND(L1601&gt;Q1601,NOT(ISNUMBER(P1601))),"Balance increased but no Deferred_interest reported",IF(L1601&gt;R1601,"Reported balance higher than expected (missing increase/OC build)","Reported balance lower than expected (missing decrease)"))))),""))</f>
        <v/>
      </c>
    </row>
    <row r="1602" customFormat="false" ht="15" hidden="false" customHeight="false" outlineLevel="0" collapsed="false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9"/>
      <c r="L1602" s="9"/>
      <c r="M1602" s="9"/>
      <c r="N1602" s="9"/>
      <c r="O1602" s="9"/>
      <c r="P1602" s="9"/>
      <c r="Q1602" s="9"/>
      <c r="R1602" s="9" t="str">
        <f aca="false">IF(AND(A1602&lt;&gt;"",ISNUMBER(Q1602),ISNUMBER(L1602)),ROUND(Q1602-IF(ISNUMBER(N1602),N1602,0)-IF(ISNUMBER(O1602),O1602,0)+IF(ISNUMBER(P1602),P1602,0),2),"")</f>
        <v/>
      </c>
      <c r="S1602" s="9" t="str">
        <f aca="false">IF(R1602="","",ROUND(L1602-R1602,2))</f>
        <v/>
      </c>
      <c r="T1602" s="8" t="str">
        <f aca="false">IF(A1602="","",IF(S1602="","BYPASS",IF(ABS(S1602)&lt;=Summary!$B$2,"PASS","FAIL")))</f>
        <v/>
      </c>
      <c r="U1602" s="8" t="str">
        <f aca="false">IF(T1602="BYPASS",IF(NOT(ISNUMBER(Q1602)),"PreV_ETB missing","End_tr_balance missing"),IF(T1602="FAIL",IF(AND(ISNUMBER(K1602),ISNUMBER(L1602),ABS(L1602-(K1602-IF(ISNUMBER(N1602),N1602,0)-IF(ISNUMBER(O1602),O1602,0)+IF(ISNUMBER(P1602),P1602,0)))&lt;=Summary!$B$2),"Passes using beginning_balance - PreV_ETB differs from beginning_balance",IF(AND(ISNUMBER(O1602),O1602&lt;0,ABS(L1602-(Q1602-IF(ISNUMBER(N1602),N1602,0)+IF(ISNUMBER(P1602),P1602,0)))&lt;=Summary!$B$2),"Negative realized loss not applied - check sign",IF(R1602&lt;0,"Principal paid exceeds prior balance",IF(AND(L1602&gt;Q1602,NOT(ISNUMBER(P1602))),"Balance increased but no Deferred_interest reported",IF(L1602&gt;R1602,"Reported balance higher than expected (missing increase/OC build)","Reported balance lower than expected (missing decrease)"))))),""))</f>
        <v/>
      </c>
    </row>
    <row r="1603" customFormat="false" ht="15" hidden="false" customHeight="false" outlineLevel="0" collapsed="false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9"/>
      <c r="L1603" s="9"/>
      <c r="M1603" s="9"/>
      <c r="N1603" s="9"/>
      <c r="O1603" s="9"/>
      <c r="P1603" s="9"/>
      <c r="Q1603" s="9"/>
      <c r="R1603" s="9" t="str">
        <f aca="false">IF(AND(A1603&lt;&gt;"",ISNUMBER(Q1603),ISNUMBER(L1603)),ROUND(Q1603-IF(ISNUMBER(N1603),N1603,0)-IF(ISNUMBER(O1603),O1603,0)+IF(ISNUMBER(P1603),P1603,0),2),"")</f>
        <v/>
      </c>
      <c r="S1603" s="9" t="str">
        <f aca="false">IF(R1603="","",ROUND(L1603-R1603,2))</f>
        <v/>
      </c>
      <c r="T1603" s="8" t="str">
        <f aca="false">IF(A1603="","",IF(S1603="","BYPASS",IF(ABS(S1603)&lt;=Summary!$B$2,"PASS","FAIL")))</f>
        <v/>
      </c>
      <c r="U1603" s="8" t="str">
        <f aca="false">IF(T1603="BYPASS",IF(NOT(ISNUMBER(Q1603)),"PreV_ETB missing","End_tr_balance missing"),IF(T1603="FAIL",IF(AND(ISNUMBER(K1603),ISNUMBER(L1603),ABS(L1603-(K1603-IF(ISNUMBER(N1603),N1603,0)-IF(ISNUMBER(O1603),O1603,0)+IF(ISNUMBER(P1603),P1603,0)))&lt;=Summary!$B$2),"Passes using beginning_balance - PreV_ETB differs from beginning_balance",IF(AND(ISNUMBER(O1603),O1603&lt;0,ABS(L1603-(Q1603-IF(ISNUMBER(N1603),N1603,0)+IF(ISNUMBER(P1603),P1603,0)))&lt;=Summary!$B$2),"Negative realized loss not applied - check sign",IF(R1603&lt;0,"Principal paid exceeds prior balance",IF(AND(L1603&gt;Q1603,NOT(ISNUMBER(P1603))),"Balance increased but no Deferred_interest reported",IF(L1603&gt;R1603,"Reported balance higher than expected (missing increase/OC build)","Reported balance lower than expected (missing decrease)"))))),""))</f>
        <v/>
      </c>
    </row>
    <row r="1604" customFormat="false" ht="15" hidden="false" customHeight="false" outlineLevel="0" collapsed="false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9"/>
      <c r="L1604" s="9"/>
      <c r="M1604" s="9"/>
      <c r="N1604" s="9"/>
      <c r="O1604" s="9"/>
      <c r="P1604" s="9"/>
      <c r="Q1604" s="9"/>
      <c r="R1604" s="9" t="str">
        <f aca="false">IF(AND(A1604&lt;&gt;"",ISNUMBER(Q1604),ISNUMBER(L1604)),ROUND(Q1604-IF(ISNUMBER(N1604),N1604,0)-IF(ISNUMBER(O1604),O1604,0)+IF(ISNUMBER(P1604),P1604,0),2),"")</f>
        <v/>
      </c>
      <c r="S1604" s="9" t="str">
        <f aca="false">IF(R1604="","",ROUND(L1604-R1604,2))</f>
        <v/>
      </c>
      <c r="T1604" s="8" t="str">
        <f aca="false">IF(A1604="","",IF(S1604="","BYPASS",IF(ABS(S1604)&lt;=Summary!$B$2,"PASS","FAIL")))</f>
        <v/>
      </c>
      <c r="U1604" s="8" t="str">
        <f aca="false">IF(T1604="BYPASS",IF(NOT(ISNUMBER(Q1604)),"PreV_ETB missing","End_tr_balance missing"),IF(T1604="FAIL",IF(AND(ISNUMBER(K1604),ISNUMBER(L1604),ABS(L1604-(K1604-IF(ISNUMBER(N1604),N1604,0)-IF(ISNUMBER(O1604),O1604,0)+IF(ISNUMBER(P1604),P1604,0)))&lt;=Summary!$B$2),"Passes using beginning_balance - PreV_ETB differs from beginning_balance",IF(AND(ISNUMBER(O1604),O1604&lt;0,ABS(L1604-(Q1604-IF(ISNUMBER(N1604),N1604,0)+IF(ISNUMBER(P1604),P1604,0)))&lt;=Summary!$B$2),"Negative realized loss not applied - check sign",IF(R1604&lt;0,"Principal paid exceeds prior balance",IF(AND(L1604&gt;Q1604,NOT(ISNUMBER(P1604))),"Balance increased but no Deferred_interest reported",IF(L1604&gt;R1604,"Reported balance higher than expected (missing increase/OC build)","Reported balance lower than expected (missing decrease)"))))),""))</f>
        <v/>
      </c>
    </row>
    <row r="1605" customFormat="false" ht="15" hidden="false" customHeight="false" outlineLevel="0" collapsed="false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9"/>
      <c r="L1605" s="9"/>
      <c r="M1605" s="9"/>
      <c r="N1605" s="9"/>
      <c r="O1605" s="9"/>
      <c r="P1605" s="9"/>
      <c r="Q1605" s="9"/>
      <c r="R1605" s="9" t="str">
        <f aca="false">IF(AND(A1605&lt;&gt;"",ISNUMBER(Q1605),ISNUMBER(L1605)),ROUND(Q1605-IF(ISNUMBER(N1605),N1605,0)-IF(ISNUMBER(O1605),O1605,0)+IF(ISNUMBER(P1605),P1605,0),2),"")</f>
        <v/>
      </c>
      <c r="S1605" s="9" t="str">
        <f aca="false">IF(R1605="","",ROUND(L1605-R1605,2))</f>
        <v/>
      </c>
      <c r="T1605" s="8" t="str">
        <f aca="false">IF(A1605="","",IF(S1605="","BYPASS",IF(ABS(S1605)&lt;=Summary!$B$2,"PASS","FAIL")))</f>
        <v/>
      </c>
      <c r="U1605" s="8" t="str">
        <f aca="false">IF(T1605="BYPASS",IF(NOT(ISNUMBER(Q1605)),"PreV_ETB missing","End_tr_balance missing"),IF(T1605="FAIL",IF(AND(ISNUMBER(K1605),ISNUMBER(L1605),ABS(L1605-(K1605-IF(ISNUMBER(N1605),N1605,0)-IF(ISNUMBER(O1605),O1605,0)+IF(ISNUMBER(P1605),P1605,0)))&lt;=Summary!$B$2),"Passes using beginning_balance - PreV_ETB differs from beginning_balance",IF(AND(ISNUMBER(O1605),O1605&lt;0,ABS(L1605-(Q1605-IF(ISNUMBER(N1605),N1605,0)+IF(ISNUMBER(P1605),P1605,0)))&lt;=Summary!$B$2),"Negative realized loss not applied - check sign",IF(R1605&lt;0,"Principal paid exceeds prior balance",IF(AND(L1605&gt;Q1605,NOT(ISNUMBER(P1605))),"Balance increased but no Deferred_interest reported",IF(L1605&gt;R1605,"Reported balance higher than expected (missing increase/OC build)","Reported balance lower than expected (missing decrease)"))))),""))</f>
        <v/>
      </c>
    </row>
    <row r="1606" customFormat="false" ht="15" hidden="false" customHeight="false" outlineLevel="0" collapsed="false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9"/>
      <c r="L1606" s="9"/>
      <c r="M1606" s="9"/>
      <c r="N1606" s="9"/>
      <c r="O1606" s="9"/>
      <c r="P1606" s="9"/>
      <c r="Q1606" s="9"/>
      <c r="R1606" s="9" t="str">
        <f aca="false">IF(AND(A1606&lt;&gt;"",ISNUMBER(Q1606),ISNUMBER(L1606)),ROUND(Q1606-IF(ISNUMBER(N1606),N1606,0)-IF(ISNUMBER(O1606),O1606,0)+IF(ISNUMBER(P1606),P1606,0),2),"")</f>
        <v/>
      </c>
      <c r="S1606" s="9" t="str">
        <f aca="false">IF(R1606="","",ROUND(L1606-R1606,2))</f>
        <v/>
      </c>
      <c r="T1606" s="8" t="str">
        <f aca="false">IF(A1606="","",IF(S1606="","BYPASS",IF(ABS(S1606)&lt;=Summary!$B$2,"PASS","FAIL")))</f>
        <v/>
      </c>
      <c r="U1606" s="8" t="str">
        <f aca="false">IF(T1606="BYPASS",IF(NOT(ISNUMBER(Q1606)),"PreV_ETB missing","End_tr_balance missing"),IF(T1606="FAIL",IF(AND(ISNUMBER(K1606),ISNUMBER(L1606),ABS(L1606-(K1606-IF(ISNUMBER(N1606),N1606,0)-IF(ISNUMBER(O1606),O1606,0)+IF(ISNUMBER(P1606),P1606,0)))&lt;=Summary!$B$2),"Passes using beginning_balance - PreV_ETB differs from beginning_balance",IF(AND(ISNUMBER(O1606),O1606&lt;0,ABS(L1606-(Q1606-IF(ISNUMBER(N1606),N1606,0)+IF(ISNUMBER(P1606),P1606,0)))&lt;=Summary!$B$2),"Negative realized loss not applied - check sign",IF(R1606&lt;0,"Principal paid exceeds prior balance",IF(AND(L1606&gt;Q1606,NOT(ISNUMBER(P1606))),"Balance increased but no Deferred_interest reported",IF(L1606&gt;R1606,"Reported balance higher than expected (missing increase/OC build)","Reported balance lower than expected (missing decrease)"))))),""))</f>
        <v/>
      </c>
    </row>
    <row r="1607" customFormat="false" ht="15" hidden="false" customHeight="false" outlineLevel="0" collapsed="false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9"/>
      <c r="L1607" s="9"/>
      <c r="M1607" s="9"/>
      <c r="N1607" s="9"/>
      <c r="O1607" s="9"/>
      <c r="P1607" s="9"/>
      <c r="Q1607" s="9"/>
      <c r="R1607" s="9" t="str">
        <f aca="false">IF(AND(A1607&lt;&gt;"",ISNUMBER(Q1607),ISNUMBER(L1607)),ROUND(Q1607-IF(ISNUMBER(N1607),N1607,0)-IF(ISNUMBER(O1607),O1607,0)+IF(ISNUMBER(P1607),P1607,0),2),"")</f>
        <v/>
      </c>
      <c r="S1607" s="9" t="str">
        <f aca="false">IF(R1607="","",ROUND(L1607-R1607,2))</f>
        <v/>
      </c>
      <c r="T1607" s="8" t="str">
        <f aca="false">IF(A1607="","",IF(S1607="","BYPASS",IF(ABS(S1607)&lt;=Summary!$B$2,"PASS","FAIL")))</f>
        <v/>
      </c>
      <c r="U1607" s="8" t="str">
        <f aca="false">IF(T1607="BYPASS",IF(NOT(ISNUMBER(Q1607)),"PreV_ETB missing","End_tr_balance missing"),IF(T1607="FAIL",IF(AND(ISNUMBER(K1607),ISNUMBER(L1607),ABS(L1607-(K1607-IF(ISNUMBER(N1607),N1607,0)-IF(ISNUMBER(O1607),O1607,0)+IF(ISNUMBER(P1607),P1607,0)))&lt;=Summary!$B$2),"Passes using beginning_balance - PreV_ETB differs from beginning_balance",IF(AND(ISNUMBER(O1607),O1607&lt;0,ABS(L1607-(Q1607-IF(ISNUMBER(N1607),N1607,0)+IF(ISNUMBER(P1607),P1607,0)))&lt;=Summary!$B$2),"Negative realized loss not applied - check sign",IF(R1607&lt;0,"Principal paid exceeds prior balance",IF(AND(L1607&gt;Q1607,NOT(ISNUMBER(P1607))),"Balance increased but no Deferred_interest reported",IF(L1607&gt;R1607,"Reported balance higher than expected (missing increase/OC build)","Reported balance lower than expected (missing decrease)"))))),""))</f>
        <v/>
      </c>
    </row>
    <row r="1608" customFormat="false" ht="15" hidden="false" customHeight="false" outlineLevel="0" collapsed="false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9"/>
      <c r="L1608" s="9"/>
      <c r="M1608" s="9"/>
      <c r="N1608" s="9"/>
      <c r="O1608" s="9"/>
      <c r="P1608" s="9"/>
      <c r="Q1608" s="9"/>
      <c r="R1608" s="9" t="str">
        <f aca="false">IF(AND(A1608&lt;&gt;"",ISNUMBER(Q1608),ISNUMBER(L1608)),ROUND(Q1608-IF(ISNUMBER(N1608),N1608,0)-IF(ISNUMBER(O1608),O1608,0)+IF(ISNUMBER(P1608),P1608,0),2),"")</f>
        <v/>
      </c>
      <c r="S1608" s="9" t="str">
        <f aca="false">IF(R1608="","",ROUND(L1608-R1608,2))</f>
        <v/>
      </c>
      <c r="T1608" s="8" t="str">
        <f aca="false">IF(A1608="","",IF(S1608="","BYPASS",IF(ABS(S1608)&lt;=Summary!$B$2,"PASS","FAIL")))</f>
        <v/>
      </c>
      <c r="U1608" s="8" t="str">
        <f aca="false">IF(T1608="BYPASS",IF(NOT(ISNUMBER(Q1608)),"PreV_ETB missing","End_tr_balance missing"),IF(T1608="FAIL",IF(AND(ISNUMBER(K1608),ISNUMBER(L1608),ABS(L1608-(K1608-IF(ISNUMBER(N1608),N1608,0)-IF(ISNUMBER(O1608),O1608,0)+IF(ISNUMBER(P1608),P1608,0)))&lt;=Summary!$B$2),"Passes using beginning_balance - PreV_ETB differs from beginning_balance",IF(AND(ISNUMBER(O1608),O1608&lt;0,ABS(L1608-(Q1608-IF(ISNUMBER(N1608),N1608,0)+IF(ISNUMBER(P1608),P1608,0)))&lt;=Summary!$B$2),"Negative realized loss not applied - check sign",IF(R1608&lt;0,"Principal paid exceeds prior balance",IF(AND(L1608&gt;Q1608,NOT(ISNUMBER(P1608))),"Balance increased but no Deferred_interest reported",IF(L1608&gt;R1608,"Reported balance higher than expected (missing increase/OC build)","Reported balance lower than expected (missing decrease)"))))),""))</f>
        <v/>
      </c>
    </row>
    <row r="1609" customFormat="false" ht="15" hidden="false" customHeight="false" outlineLevel="0" collapsed="false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9"/>
      <c r="L1609" s="9"/>
      <c r="M1609" s="9"/>
      <c r="N1609" s="9"/>
      <c r="O1609" s="9"/>
      <c r="P1609" s="9"/>
      <c r="Q1609" s="9"/>
      <c r="R1609" s="9" t="str">
        <f aca="false">IF(AND(A1609&lt;&gt;"",ISNUMBER(Q1609),ISNUMBER(L1609)),ROUND(Q1609-IF(ISNUMBER(N1609),N1609,0)-IF(ISNUMBER(O1609),O1609,0)+IF(ISNUMBER(P1609),P1609,0),2),"")</f>
        <v/>
      </c>
      <c r="S1609" s="9" t="str">
        <f aca="false">IF(R1609="","",ROUND(L1609-R1609,2))</f>
        <v/>
      </c>
      <c r="T1609" s="8" t="str">
        <f aca="false">IF(A1609="","",IF(S1609="","BYPASS",IF(ABS(S1609)&lt;=Summary!$B$2,"PASS","FAIL")))</f>
        <v/>
      </c>
      <c r="U1609" s="8" t="str">
        <f aca="false">IF(T1609="BYPASS",IF(NOT(ISNUMBER(Q1609)),"PreV_ETB missing","End_tr_balance missing"),IF(T1609="FAIL",IF(AND(ISNUMBER(K1609),ISNUMBER(L1609),ABS(L1609-(K1609-IF(ISNUMBER(N1609),N1609,0)-IF(ISNUMBER(O1609),O1609,0)+IF(ISNUMBER(P1609),P1609,0)))&lt;=Summary!$B$2),"Passes using beginning_balance - PreV_ETB differs from beginning_balance",IF(AND(ISNUMBER(O1609),O1609&lt;0,ABS(L1609-(Q1609-IF(ISNUMBER(N1609),N1609,0)+IF(ISNUMBER(P1609),P1609,0)))&lt;=Summary!$B$2),"Negative realized loss not applied - check sign",IF(R1609&lt;0,"Principal paid exceeds prior balance",IF(AND(L1609&gt;Q1609,NOT(ISNUMBER(P1609))),"Balance increased but no Deferred_interest reported",IF(L1609&gt;R1609,"Reported balance higher than expected (missing increase/OC build)","Reported balance lower than expected (missing decrease)"))))),""))</f>
        <v/>
      </c>
    </row>
    <row r="1610" customFormat="false" ht="15" hidden="false" customHeight="false" outlineLevel="0" collapsed="false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9"/>
      <c r="L1610" s="9"/>
      <c r="M1610" s="9"/>
      <c r="N1610" s="9"/>
      <c r="O1610" s="9"/>
      <c r="P1610" s="9"/>
      <c r="Q1610" s="9"/>
      <c r="R1610" s="9" t="str">
        <f aca="false">IF(AND(A1610&lt;&gt;"",ISNUMBER(Q1610),ISNUMBER(L1610)),ROUND(Q1610-IF(ISNUMBER(N1610),N1610,0)-IF(ISNUMBER(O1610),O1610,0)+IF(ISNUMBER(P1610),P1610,0),2),"")</f>
        <v/>
      </c>
      <c r="S1610" s="9" t="str">
        <f aca="false">IF(R1610="","",ROUND(L1610-R1610,2))</f>
        <v/>
      </c>
      <c r="T1610" s="8" t="str">
        <f aca="false">IF(A1610="","",IF(S1610="","BYPASS",IF(ABS(S1610)&lt;=Summary!$B$2,"PASS","FAIL")))</f>
        <v/>
      </c>
      <c r="U1610" s="8" t="str">
        <f aca="false">IF(T1610="BYPASS",IF(NOT(ISNUMBER(Q1610)),"PreV_ETB missing","End_tr_balance missing"),IF(T1610="FAIL",IF(AND(ISNUMBER(K1610),ISNUMBER(L1610),ABS(L1610-(K1610-IF(ISNUMBER(N1610),N1610,0)-IF(ISNUMBER(O1610),O1610,0)+IF(ISNUMBER(P1610),P1610,0)))&lt;=Summary!$B$2),"Passes using beginning_balance - PreV_ETB differs from beginning_balance",IF(AND(ISNUMBER(O1610),O1610&lt;0,ABS(L1610-(Q1610-IF(ISNUMBER(N1610),N1610,0)+IF(ISNUMBER(P1610),P1610,0)))&lt;=Summary!$B$2),"Negative realized loss not applied - check sign",IF(R1610&lt;0,"Principal paid exceeds prior balance",IF(AND(L1610&gt;Q1610,NOT(ISNUMBER(P1610))),"Balance increased but no Deferred_interest reported",IF(L1610&gt;R1610,"Reported balance higher than expected (missing increase/OC build)","Reported balance lower than expected (missing decrease)"))))),""))</f>
        <v/>
      </c>
    </row>
    <row r="1611" customFormat="false" ht="15" hidden="false" customHeight="false" outlineLevel="0" collapsed="false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9"/>
      <c r="L1611" s="9"/>
      <c r="M1611" s="9"/>
      <c r="N1611" s="9"/>
      <c r="O1611" s="9"/>
      <c r="P1611" s="9"/>
      <c r="Q1611" s="9"/>
      <c r="R1611" s="9" t="str">
        <f aca="false">IF(AND(A1611&lt;&gt;"",ISNUMBER(Q1611),ISNUMBER(L1611)),ROUND(Q1611-IF(ISNUMBER(N1611),N1611,0)-IF(ISNUMBER(O1611),O1611,0)+IF(ISNUMBER(P1611),P1611,0),2),"")</f>
        <v/>
      </c>
      <c r="S1611" s="9" t="str">
        <f aca="false">IF(R1611="","",ROUND(L1611-R1611,2))</f>
        <v/>
      </c>
      <c r="T1611" s="8" t="str">
        <f aca="false">IF(A1611="","",IF(S1611="","BYPASS",IF(ABS(S1611)&lt;=Summary!$B$2,"PASS","FAIL")))</f>
        <v/>
      </c>
      <c r="U1611" s="8" t="str">
        <f aca="false">IF(T1611="BYPASS",IF(NOT(ISNUMBER(Q1611)),"PreV_ETB missing","End_tr_balance missing"),IF(T1611="FAIL",IF(AND(ISNUMBER(K1611),ISNUMBER(L1611),ABS(L1611-(K1611-IF(ISNUMBER(N1611),N1611,0)-IF(ISNUMBER(O1611),O1611,0)+IF(ISNUMBER(P1611),P1611,0)))&lt;=Summary!$B$2),"Passes using beginning_balance - PreV_ETB differs from beginning_balance",IF(AND(ISNUMBER(O1611),O1611&lt;0,ABS(L1611-(Q1611-IF(ISNUMBER(N1611),N1611,0)+IF(ISNUMBER(P1611),P1611,0)))&lt;=Summary!$B$2),"Negative realized loss not applied - check sign",IF(R1611&lt;0,"Principal paid exceeds prior balance",IF(AND(L1611&gt;Q1611,NOT(ISNUMBER(P1611))),"Balance increased but no Deferred_interest reported",IF(L1611&gt;R1611,"Reported balance higher than expected (missing increase/OC build)","Reported balance lower than expected (missing decrease)"))))),""))</f>
        <v/>
      </c>
    </row>
    <row r="1612" customFormat="false" ht="15" hidden="false" customHeight="false" outlineLevel="0" collapsed="false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9"/>
      <c r="L1612" s="9"/>
      <c r="M1612" s="9"/>
      <c r="N1612" s="9"/>
      <c r="O1612" s="9"/>
      <c r="P1612" s="9"/>
      <c r="Q1612" s="9"/>
      <c r="R1612" s="9" t="str">
        <f aca="false">IF(AND(A1612&lt;&gt;"",ISNUMBER(Q1612),ISNUMBER(L1612)),ROUND(Q1612-IF(ISNUMBER(N1612),N1612,0)-IF(ISNUMBER(O1612),O1612,0)+IF(ISNUMBER(P1612),P1612,0),2),"")</f>
        <v/>
      </c>
      <c r="S1612" s="9" t="str">
        <f aca="false">IF(R1612="","",ROUND(L1612-R1612,2))</f>
        <v/>
      </c>
      <c r="T1612" s="8" t="str">
        <f aca="false">IF(A1612="","",IF(S1612="","BYPASS",IF(ABS(S1612)&lt;=Summary!$B$2,"PASS","FAIL")))</f>
        <v/>
      </c>
      <c r="U1612" s="8" t="str">
        <f aca="false">IF(T1612="BYPASS",IF(NOT(ISNUMBER(Q1612)),"PreV_ETB missing","End_tr_balance missing"),IF(T1612="FAIL",IF(AND(ISNUMBER(K1612),ISNUMBER(L1612),ABS(L1612-(K1612-IF(ISNUMBER(N1612),N1612,0)-IF(ISNUMBER(O1612),O1612,0)+IF(ISNUMBER(P1612),P1612,0)))&lt;=Summary!$B$2),"Passes using beginning_balance - PreV_ETB differs from beginning_balance",IF(AND(ISNUMBER(O1612),O1612&lt;0,ABS(L1612-(Q1612-IF(ISNUMBER(N1612),N1612,0)+IF(ISNUMBER(P1612),P1612,0)))&lt;=Summary!$B$2),"Negative realized loss not applied - check sign",IF(R1612&lt;0,"Principal paid exceeds prior balance",IF(AND(L1612&gt;Q1612,NOT(ISNUMBER(P1612))),"Balance increased but no Deferred_interest reported",IF(L1612&gt;R1612,"Reported balance higher than expected (missing increase/OC build)","Reported balance lower than expected (missing decrease)"))))),""))</f>
        <v/>
      </c>
    </row>
    <row r="1613" customFormat="false" ht="15" hidden="false" customHeight="false" outlineLevel="0" collapsed="false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9"/>
      <c r="L1613" s="9"/>
      <c r="M1613" s="9"/>
      <c r="N1613" s="9"/>
      <c r="O1613" s="9"/>
      <c r="P1613" s="9"/>
      <c r="Q1613" s="9"/>
      <c r="R1613" s="9" t="str">
        <f aca="false">IF(AND(A1613&lt;&gt;"",ISNUMBER(Q1613),ISNUMBER(L1613)),ROUND(Q1613-IF(ISNUMBER(N1613),N1613,0)-IF(ISNUMBER(O1613),O1613,0)+IF(ISNUMBER(P1613),P1613,0),2),"")</f>
        <v/>
      </c>
      <c r="S1613" s="9" t="str">
        <f aca="false">IF(R1613="","",ROUND(L1613-R1613,2))</f>
        <v/>
      </c>
      <c r="T1613" s="8" t="str">
        <f aca="false">IF(A1613="","",IF(S1613="","BYPASS",IF(ABS(S1613)&lt;=Summary!$B$2,"PASS","FAIL")))</f>
        <v/>
      </c>
      <c r="U1613" s="8" t="str">
        <f aca="false">IF(T1613="BYPASS",IF(NOT(ISNUMBER(Q1613)),"PreV_ETB missing","End_tr_balance missing"),IF(T1613="FAIL",IF(AND(ISNUMBER(K1613),ISNUMBER(L1613),ABS(L1613-(K1613-IF(ISNUMBER(N1613),N1613,0)-IF(ISNUMBER(O1613),O1613,0)+IF(ISNUMBER(P1613),P1613,0)))&lt;=Summary!$B$2),"Passes using beginning_balance - PreV_ETB differs from beginning_balance",IF(AND(ISNUMBER(O1613),O1613&lt;0,ABS(L1613-(Q1613-IF(ISNUMBER(N1613),N1613,0)+IF(ISNUMBER(P1613),P1613,0)))&lt;=Summary!$B$2),"Negative realized loss not applied - check sign",IF(R1613&lt;0,"Principal paid exceeds prior balance",IF(AND(L1613&gt;Q1613,NOT(ISNUMBER(P1613))),"Balance increased but no Deferred_interest reported",IF(L1613&gt;R1613,"Reported balance higher than expected (missing increase/OC build)","Reported balance lower than expected (missing decrease)"))))),""))</f>
        <v/>
      </c>
    </row>
    <row r="1614" customFormat="false" ht="15" hidden="false" customHeight="false" outlineLevel="0" collapsed="false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9"/>
      <c r="L1614" s="9"/>
      <c r="M1614" s="9"/>
      <c r="N1614" s="9"/>
      <c r="O1614" s="9"/>
      <c r="P1614" s="9"/>
      <c r="Q1614" s="9"/>
      <c r="R1614" s="9" t="str">
        <f aca="false">IF(AND(A1614&lt;&gt;"",ISNUMBER(Q1614),ISNUMBER(L1614)),ROUND(Q1614-IF(ISNUMBER(N1614),N1614,0)-IF(ISNUMBER(O1614),O1614,0)+IF(ISNUMBER(P1614),P1614,0),2),"")</f>
        <v/>
      </c>
      <c r="S1614" s="9" t="str">
        <f aca="false">IF(R1614="","",ROUND(L1614-R1614,2))</f>
        <v/>
      </c>
      <c r="T1614" s="8" t="str">
        <f aca="false">IF(A1614="","",IF(S1614="","BYPASS",IF(ABS(S1614)&lt;=Summary!$B$2,"PASS","FAIL")))</f>
        <v/>
      </c>
      <c r="U1614" s="8" t="str">
        <f aca="false">IF(T1614="BYPASS",IF(NOT(ISNUMBER(Q1614)),"PreV_ETB missing","End_tr_balance missing"),IF(T1614="FAIL",IF(AND(ISNUMBER(K1614),ISNUMBER(L1614),ABS(L1614-(K1614-IF(ISNUMBER(N1614),N1614,0)-IF(ISNUMBER(O1614),O1614,0)+IF(ISNUMBER(P1614),P1614,0)))&lt;=Summary!$B$2),"Passes using beginning_balance - PreV_ETB differs from beginning_balance",IF(AND(ISNUMBER(O1614),O1614&lt;0,ABS(L1614-(Q1614-IF(ISNUMBER(N1614),N1614,0)+IF(ISNUMBER(P1614),P1614,0)))&lt;=Summary!$B$2),"Negative realized loss not applied - check sign",IF(R1614&lt;0,"Principal paid exceeds prior balance",IF(AND(L1614&gt;Q1614,NOT(ISNUMBER(P1614))),"Balance increased but no Deferred_interest reported",IF(L1614&gt;R1614,"Reported balance higher than expected (missing increase/OC build)","Reported balance lower than expected (missing decrease)"))))),""))</f>
        <v/>
      </c>
    </row>
    <row r="1615" customFormat="false" ht="15" hidden="false" customHeight="false" outlineLevel="0" collapsed="false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9"/>
      <c r="L1615" s="9"/>
      <c r="M1615" s="9"/>
      <c r="N1615" s="9"/>
      <c r="O1615" s="9"/>
      <c r="P1615" s="9"/>
      <c r="Q1615" s="9"/>
      <c r="R1615" s="9" t="str">
        <f aca="false">IF(AND(A1615&lt;&gt;"",ISNUMBER(Q1615),ISNUMBER(L1615)),ROUND(Q1615-IF(ISNUMBER(N1615),N1615,0)-IF(ISNUMBER(O1615),O1615,0)+IF(ISNUMBER(P1615),P1615,0),2),"")</f>
        <v/>
      </c>
      <c r="S1615" s="9" t="str">
        <f aca="false">IF(R1615="","",ROUND(L1615-R1615,2))</f>
        <v/>
      </c>
      <c r="T1615" s="8" t="str">
        <f aca="false">IF(A1615="","",IF(S1615="","BYPASS",IF(ABS(S1615)&lt;=Summary!$B$2,"PASS","FAIL")))</f>
        <v/>
      </c>
      <c r="U1615" s="8" t="str">
        <f aca="false">IF(T1615="BYPASS",IF(NOT(ISNUMBER(Q1615)),"PreV_ETB missing","End_tr_balance missing"),IF(T1615="FAIL",IF(AND(ISNUMBER(K1615),ISNUMBER(L1615),ABS(L1615-(K1615-IF(ISNUMBER(N1615),N1615,0)-IF(ISNUMBER(O1615),O1615,0)+IF(ISNUMBER(P1615),P1615,0)))&lt;=Summary!$B$2),"Passes using beginning_balance - PreV_ETB differs from beginning_balance",IF(AND(ISNUMBER(O1615),O1615&lt;0,ABS(L1615-(Q1615-IF(ISNUMBER(N1615),N1615,0)+IF(ISNUMBER(P1615),P1615,0)))&lt;=Summary!$B$2),"Negative realized loss not applied - check sign",IF(R1615&lt;0,"Principal paid exceeds prior balance",IF(AND(L1615&gt;Q1615,NOT(ISNUMBER(P1615))),"Balance increased but no Deferred_interest reported",IF(L1615&gt;R1615,"Reported balance higher than expected (missing increase/OC build)","Reported balance lower than expected (missing decrease)"))))),""))</f>
        <v/>
      </c>
    </row>
    <row r="1616" customFormat="false" ht="15" hidden="false" customHeight="false" outlineLevel="0" collapsed="false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9"/>
      <c r="L1616" s="9"/>
      <c r="M1616" s="9"/>
      <c r="N1616" s="9"/>
      <c r="O1616" s="9"/>
      <c r="P1616" s="9"/>
      <c r="Q1616" s="9"/>
      <c r="R1616" s="9" t="str">
        <f aca="false">IF(AND(A1616&lt;&gt;"",ISNUMBER(Q1616),ISNUMBER(L1616)),ROUND(Q1616-IF(ISNUMBER(N1616),N1616,0)-IF(ISNUMBER(O1616),O1616,0)+IF(ISNUMBER(P1616),P1616,0),2),"")</f>
        <v/>
      </c>
      <c r="S1616" s="9" t="str">
        <f aca="false">IF(R1616="","",ROUND(L1616-R1616,2))</f>
        <v/>
      </c>
      <c r="T1616" s="8" t="str">
        <f aca="false">IF(A1616="","",IF(S1616="","BYPASS",IF(ABS(S1616)&lt;=Summary!$B$2,"PASS","FAIL")))</f>
        <v/>
      </c>
      <c r="U1616" s="8" t="str">
        <f aca="false">IF(T1616="BYPASS",IF(NOT(ISNUMBER(Q1616)),"PreV_ETB missing","End_tr_balance missing"),IF(T1616="FAIL",IF(AND(ISNUMBER(K1616),ISNUMBER(L1616),ABS(L1616-(K1616-IF(ISNUMBER(N1616),N1616,0)-IF(ISNUMBER(O1616),O1616,0)+IF(ISNUMBER(P1616),P1616,0)))&lt;=Summary!$B$2),"Passes using beginning_balance - PreV_ETB differs from beginning_balance",IF(AND(ISNUMBER(O1616),O1616&lt;0,ABS(L1616-(Q1616-IF(ISNUMBER(N1616),N1616,0)+IF(ISNUMBER(P1616),P1616,0)))&lt;=Summary!$B$2),"Negative realized loss not applied - check sign",IF(R1616&lt;0,"Principal paid exceeds prior balance",IF(AND(L1616&gt;Q1616,NOT(ISNUMBER(P1616))),"Balance increased but no Deferred_interest reported",IF(L1616&gt;R1616,"Reported balance higher than expected (missing increase/OC build)","Reported balance lower than expected (missing decrease)"))))),""))</f>
        <v/>
      </c>
    </row>
    <row r="1617" customFormat="false" ht="15" hidden="false" customHeight="false" outlineLevel="0" collapsed="false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9"/>
      <c r="L1617" s="9"/>
      <c r="M1617" s="9"/>
      <c r="N1617" s="9"/>
      <c r="O1617" s="9"/>
      <c r="P1617" s="9"/>
      <c r="Q1617" s="9"/>
      <c r="R1617" s="9" t="str">
        <f aca="false">IF(AND(A1617&lt;&gt;"",ISNUMBER(Q1617),ISNUMBER(L1617)),ROUND(Q1617-IF(ISNUMBER(N1617),N1617,0)-IF(ISNUMBER(O1617),O1617,0)+IF(ISNUMBER(P1617),P1617,0),2),"")</f>
        <v/>
      </c>
      <c r="S1617" s="9" t="str">
        <f aca="false">IF(R1617="","",ROUND(L1617-R1617,2))</f>
        <v/>
      </c>
      <c r="T1617" s="8" t="str">
        <f aca="false">IF(A1617="","",IF(S1617="","BYPASS",IF(ABS(S1617)&lt;=Summary!$B$2,"PASS","FAIL")))</f>
        <v/>
      </c>
      <c r="U1617" s="8" t="str">
        <f aca="false">IF(T1617="BYPASS",IF(NOT(ISNUMBER(Q1617)),"PreV_ETB missing","End_tr_balance missing"),IF(T1617="FAIL",IF(AND(ISNUMBER(K1617),ISNUMBER(L1617),ABS(L1617-(K1617-IF(ISNUMBER(N1617),N1617,0)-IF(ISNUMBER(O1617),O1617,0)+IF(ISNUMBER(P1617),P1617,0)))&lt;=Summary!$B$2),"Passes using beginning_balance - PreV_ETB differs from beginning_balance",IF(AND(ISNUMBER(O1617),O1617&lt;0,ABS(L1617-(Q1617-IF(ISNUMBER(N1617),N1617,0)+IF(ISNUMBER(P1617),P1617,0)))&lt;=Summary!$B$2),"Negative realized loss not applied - check sign",IF(R1617&lt;0,"Principal paid exceeds prior balance",IF(AND(L1617&gt;Q1617,NOT(ISNUMBER(P1617))),"Balance increased but no Deferred_interest reported",IF(L1617&gt;R1617,"Reported balance higher than expected (missing increase/OC build)","Reported balance lower than expected (missing decrease)"))))),""))</f>
        <v/>
      </c>
    </row>
    <row r="1618" customFormat="false" ht="15" hidden="false" customHeight="false" outlineLevel="0" collapsed="false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9"/>
      <c r="L1618" s="9"/>
      <c r="M1618" s="9"/>
      <c r="N1618" s="9"/>
      <c r="O1618" s="9"/>
      <c r="P1618" s="9"/>
      <c r="Q1618" s="9"/>
      <c r="R1618" s="9" t="str">
        <f aca="false">IF(AND(A1618&lt;&gt;"",ISNUMBER(Q1618),ISNUMBER(L1618)),ROUND(Q1618-IF(ISNUMBER(N1618),N1618,0)-IF(ISNUMBER(O1618),O1618,0)+IF(ISNUMBER(P1618),P1618,0),2),"")</f>
        <v/>
      </c>
      <c r="S1618" s="9" t="str">
        <f aca="false">IF(R1618="","",ROUND(L1618-R1618,2))</f>
        <v/>
      </c>
      <c r="T1618" s="8" t="str">
        <f aca="false">IF(A1618="","",IF(S1618="","BYPASS",IF(ABS(S1618)&lt;=Summary!$B$2,"PASS","FAIL")))</f>
        <v/>
      </c>
      <c r="U1618" s="8" t="str">
        <f aca="false">IF(T1618="BYPASS",IF(NOT(ISNUMBER(Q1618)),"PreV_ETB missing","End_tr_balance missing"),IF(T1618="FAIL",IF(AND(ISNUMBER(K1618),ISNUMBER(L1618),ABS(L1618-(K1618-IF(ISNUMBER(N1618),N1618,0)-IF(ISNUMBER(O1618),O1618,0)+IF(ISNUMBER(P1618),P1618,0)))&lt;=Summary!$B$2),"Passes using beginning_balance - PreV_ETB differs from beginning_balance",IF(AND(ISNUMBER(O1618),O1618&lt;0,ABS(L1618-(Q1618-IF(ISNUMBER(N1618),N1618,0)+IF(ISNUMBER(P1618),P1618,0)))&lt;=Summary!$B$2),"Negative realized loss not applied - check sign",IF(R1618&lt;0,"Principal paid exceeds prior balance",IF(AND(L1618&gt;Q1618,NOT(ISNUMBER(P1618))),"Balance increased but no Deferred_interest reported",IF(L1618&gt;R1618,"Reported balance higher than expected (missing increase/OC build)","Reported balance lower than expected (missing decrease)"))))),""))</f>
        <v/>
      </c>
    </row>
    <row r="1619" customFormat="false" ht="15" hidden="false" customHeight="false" outlineLevel="0" collapsed="false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9"/>
      <c r="L1619" s="9"/>
      <c r="M1619" s="9"/>
      <c r="N1619" s="9"/>
      <c r="O1619" s="9"/>
      <c r="P1619" s="9"/>
      <c r="Q1619" s="9"/>
      <c r="R1619" s="9" t="str">
        <f aca="false">IF(AND(A1619&lt;&gt;"",ISNUMBER(Q1619),ISNUMBER(L1619)),ROUND(Q1619-IF(ISNUMBER(N1619),N1619,0)-IF(ISNUMBER(O1619),O1619,0)+IF(ISNUMBER(P1619),P1619,0),2),"")</f>
        <v/>
      </c>
      <c r="S1619" s="9" t="str">
        <f aca="false">IF(R1619="","",ROUND(L1619-R1619,2))</f>
        <v/>
      </c>
      <c r="T1619" s="8" t="str">
        <f aca="false">IF(A1619="","",IF(S1619="","BYPASS",IF(ABS(S1619)&lt;=Summary!$B$2,"PASS","FAIL")))</f>
        <v/>
      </c>
      <c r="U1619" s="8" t="str">
        <f aca="false">IF(T1619="BYPASS",IF(NOT(ISNUMBER(Q1619)),"PreV_ETB missing","End_tr_balance missing"),IF(T1619="FAIL",IF(AND(ISNUMBER(K1619),ISNUMBER(L1619),ABS(L1619-(K1619-IF(ISNUMBER(N1619),N1619,0)-IF(ISNUMBER(O1619),O1619,0)+IF(ISNUMBER(P1619),P1619,0)))&lt;=Summary!$B$2),"Passes using beginning_balance - PreV_ETB differs from beginning_balance",IF(AND(ISNUMBER(O1619),O1619&lt;0,ABS(L1619-(Q1619-IF(ISNUMBER(N1619),N1619,0)+IF(ISNUMBER(P1619),P1619,0)))&lt;=Summary!$B$2),"Negative realized loss not applied - check sign",IF(R1619&lt;0,"Principal paid exceeds prior balance",IF(AND(L1619&gt;Q1619,NOT(ISNUMBER(P1619))),"Balance increased but no Deferred_interest reported",IF(L1619&gt;R1619,"Reported balance higher than expected (missing increase/OC build)","Reported balance lower than expected (missing decrease)"))))),""))</f>
        <v/>
      </c>
    </row>
    <row r="1620" customFormat="false" ht="15" hidden="false" customHeight="false" outlineLevel="0" collapsed="false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9"/>
      <c r="L1620" s="9"/>
      <c r="M1620" s="9"/>
      <c r="N1620" s="9"/>
      <c r="O1620" s="9"/>
      <c r="P1620" s="9"/>
      <c r="Q1620" s="9"/>
      <c r="R1620" s="9" t="str">
        <f aca="false">IF(AND(A1620&lt;&gt;"",ISNUMBER(Q1620),ISNUMBER(L1620)),ROUND(Q1620-IF(ISNUMBER(N1620),N1620,0)-IF(ISNUMBER(O1620),O1620,0)+IF(ISNUMBER(P1620),P1620,0),2),"")</f>
        <v/>
      </c>
      <c r="S1620" s="9" t="str">
        <f aca="false">IF(R1620="","",ROUND(L1620-R1620,2))</f>
        <v/>
      </c>
      <c r="T1620" s="8" t="str">
        <f aca="false">IF(A1620="","",IF(S1620="","BYPASS",IF(ABS(S1620)&lt;=Summary!$B$2,"PASS","FAIL")))</f>
        <v/>
      </c>
      <c r="U1620" s="8" t="str">
        <f aca="false">IF(T1620="BYPASS",IF(NOT(ISNUMBER(Q1620)),"PreV_ETB missing","End_tr_balance missing"),IF(T1620="FAIL",IF(AND(ISNUMBER(K1620),ISNUMBER(L1620),ABS(L1620-(K1620-IF(ISNUMBER(N1620),N1620,0)-IF(ISNUMBER(O1620),O1620,0)+IF(ISNUMBER(P1620),P1620,0)))&lt;=Summary!$B$2),"Passes using beginning_balance - PreV_ETB differs from beginning_balance",IF(AND(ISNUMBER(O1620),O1620&lt;0,ABS(L1620-(Q1620-IF(ISNUMBER(N1620),N1620,0)+IF(ISNUMBER(P1620),P1620,0)))&lt;=Summary!$B$2),"Negative realized loss not applied - check sign",IF(R1620&lt;0,"Principal paid exceeds prior balance",IF(AND(L1620&gt;Q1620,NOT(ISNUMBER(P1620))),"Balance increased but no Deferred_interest reported",IF(L1620&gt;R1620,"Reported balance higher than expected (missing increase/OC build)","Reported balance lower than expected (missing decrease)"))))),""))</f>
        <v/>
      </c>
    </row>
    <row r="1621" customFormat="false" ht="15" hidden="false" customHeight="false" outlineLevel="0" collapsed="false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9"/>
      <c r="L1621" s="9"/>
      <c r="M1621" s="9"/>
      <c r="N1621" s="9"/>
      <c r="O1621" s="9"/>
      <c r="P1621" s="9"/>
      <c r="Q1621" s="9"/>
      <c r="R1621" s="9" t="str">
        <f aca="false">IF(AND(A1621&lt;&gt;"",ISNUMBER(Q1621),ISNUMBER(L1621)),ROUND(Q1621-IF(ISNUMBER(N1621),N1621,0)-IF(ISNUMBER(O1621),O1621,0)+IF(ISNUMBER(P1621),P1621,0),2),"")</f>
        <v/>
      </c>
      <c r="S1621" s="9" t="str">
        <f aca="false">IF(R1621="","",ROUND(L1621-R1621,2))</f>
        <v/>
      </c>
      <c r="T1621" s="8" t="str">
        <f aca="false">IF(A1621="","",IF(S1621="","BYPASS",IF(ABS(S1621)&lt;=Summary!$B$2,"PASS","FAIL")))</f>
        <v/>
      </c>
      <c r="U1621" s="8" t="str">
        <f aca="false">IF(T1621="BYPASS",IF(NOT(ISNUMBER(Q1621)),"PreV_ETB missing","End_tr_balance missing"),IF(T1621="FAIL",IF(AND(ISNUMBER(K1621),ISNUMBER(L1621),ABS(L1621-(K1621-IF(ISNUMBER(N1621),N1621,0)-IF(ISNUMBER(O1621),O1621,0)+IF(ISNUMBER(P1621),P1621,0)))&lt;=Summary!$B$2),"Passes using beginning_balance - PreV_ETB differs from beginning_balance",IF(AND(ISNUMBER(O1621),O1621&lt;0,ABS(L1621-(Q1621-IF(ISNUMBER(N1621),N1621,0)+IF(ISNUMBER(P1621),P1621,0)))&lt;=Summary!$B$2),"Negative realized loss not applied - check sign",IF(R1621&lt;0,"Principal paid exceeds prior balance",IF(AND(L1621&gt;Q1621,NOT(ISNUMBER(P1621))),"Balance increased but no Deferred_interest reported",IF(L1621&gt;R1621,"Reported balance higher than expected (missing increase/OC build)","Reported balance lower than expected (missing decrease)"))))),""))</f>
        <v/>
      </c>
    </row>
    <row r="1622" customFormat="false" ht="15" hidden="false" customHeight="false" outlineLevel="0" collapsed="false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9"/>
      <c r="L1622" s="9"/>
      <c r="M1622" s="9"/>
      <c r="N1622" s="9"/>
      <c r="O1622" s="9"/>
      <c r="P1622" s="9"/>
      <c r="Q1622" s="9"/>
      <c r="R1622" s="9" t="str">
        <f aca="false">IF(AND(A1622&lt;&gt;"",ISNUMBER(Q1622),ISNUMBER(L1622)),ROUND(Q1622-IF(ISNUMBER(N1622),N1622,0)-IF(ISNUMBER(O1622),O1622,0)+IF(ISNUMBER(P1622),P1622,0),2),"")</f>
        <v/>
      </c>
      <c r="S1622" s="9" t="str">
        <f aca="false">IF(R1622="","",ROUND(L1622-R1622,2))</f>
        <v/>
      </c>
      <c r="T1622" s="8" t="str">
        <f aca="false">IF(A1622="","",IF(S1622="","BYPASS",IF(ABS(S1622)&lt;=Summary!$B$2,"PASS","FAIL")))</f>
        <v/>
      </c>
      <c r="U1622" s="8" t="str">
        <f aca="false">IF(T1622="BYPASS",IF(NOT(ISNUMBER(Q1622)),"PreV_ETB missing","End_tr_balance missing"),IF(T1622="FAIL",IF(AND(ISNUMBER(K1622),ISNUMBER(L1622),ABS(L1622-(K1622-IF(ISNUMBER(N1622),N1622,0)-IF(ISNUMBER(O1622),O1622,0)+IF(ISNUMBER(P1622),P1622,0)))&lt;=Summary!$B$2),"Passes using beginning_balance - PreV_ETB differs from beginning_balance",IF(AND(ISNUMBER(O1622),O1622&lt;0,ABS(L1622-(Q1622-IF(ISNUMBER(N1622),N1622,0)+IF(ISNUMBER(P1622),P1622,0)))&lt;=Summary!$B$2),"Negative realized loss not applied - check sign",IF(R1622&lt;0,"Principal paid exceeds prior balance",IF(AND(L1622&gt;Q1622,NOT(ISNUMBER(P1622))),"Balance increased but no Deferred_interest reported",IF(L1622&gt;R1622,"Reported balance higher than expected (missing increase/OC build)","Reported balance lower than expected (missing decrease)"))))),""))</f>
        <v/>
      </c>
    </row>
    <row r="1623" customFormat="false" ht="15" hidden="false" customHeight="false" outlineLevel="0" collapsed="false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9"/>
      <c r="L1623" s="9"/>
      <c r="M1623" s="9"/>
      <c r="N1623" s="9"/>
      <c r="O1623" s="9"/>
      <c r="P1623" s="9"/>
      <c r="Q1623" s="9"/>
      <c r="R1623" s="9" t="str">
        <f aca="false">IF(AND(A1623&lt;&gt;"",ISNUMBER(Q1623),ISNUMBER(L1623)),ROUND(Q1623-IF(ISNUMBER(N1623),N1623,0)-IF(ISNUMBER(O1623),O1623,0)+IF(ISNUMBER(P1623),P1623,0),2),"")</f>
        <v/>
      </c>
      <c r="S1623" s="9" t="str">
        <f aca="false">IF(R1623="","",ROUND(L1623-R1623,2))</f>
        <v/>
      </c>
      <c r="T1623" s="8" t="str">
        <f aca="false">IF(A1623="","",IF(S1623="","BYPASS",IF(ABS(S1623)&lt;=Summary!$B$2,"PASS","FAIL")))</f>
        <v/>
      </c>
      <c r="U1623" s="8" t="str">
        <f aca="false">IF(T1623="BYPASS",IF(NOT(ISNUMBER(Q1623)),"PreV_ETB missing","End_tr_balance missing"),IF(T1623="FAIL",IF(AND(ISNUMBER(K1623),ISNUMBER(L1623),ABS(L1623-(K1623-IF(ISNUMBER(N1623),N1623,0)-IF(ISNUMBER(O1623),O1623,0)+IF(ISNUMBER(P1623),P1623,0)))&lt;=Summary!$B$2),"Passes using beginning_balance - PreV_ETB differs from beginning_balance",IF(AND(ISNUMBER(O1623),O1623&lt;0,ABS(L1623-(Q1623-IF(ISNUMBER(N1623),N1623,0)+IF(ISNUMBER(P1623),P1623,0)))&lt;=Summary!$B$2),"Negative realized loss not applied - check sign",IF(R1623&lt;0,"Principal paid exceeds prior balance",IF(AND(L1623&gt;Q1623,NOT(ISNUMBER(P1623))),"Balance increased but no Deferred_interest reported",IF(L1623&gt;R1623,"Reported balance higher than expected (missing increase/OC build)","Reported balance lower than expected (missing decrease)"))))),""))</f>
        <v/>
      </c>
    </row>
    <row r="1624" customFormat="false" ht="15" hidden="false" customHeight="false" outlineLevel="0" collapsed="false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9"/>
      <c r="L1624" s="9"/>
      <c r="M1624" s="9"/>
      <c r="N1624" s="9"/>
      <c r="O1624" s="9"/>
      <c r="P1624" s="9"/>
      <c r="Q1624" s="9"/>
      <c r="R1624" s="9" t="str">
        <f aca="false">IF(AND(A1624&lt;&gt;"",ISNUMBER(Q1624),ISNUMBER(L1624)),ROUND(Q1624-IF(ISNUMBER(N1624),N1624,0)-IF(ISNUMBER(O1624),O1624,0)+IF(ISNUMBER(P1624),P1624,0),2),"")</f>
        <v/>
      </c>
      <c r="S1624" s="9" t="str">
        <f aca="false">IF(R1624="","",ROUND(L1624-R1624,2))</f>
        <v/>
      </c>
      <c r="T1624" s="8" t="str">
        <f aca="false">IF(A1624="","",IF(S1624="","BYPASS",IF(ABS(S1624)&lt;=Summary!$B$2,"PASS","FAIL")))</f>
        <v/>
      </c>
      <c r="U1624" s="8" t="str">
        <f aca="false">IF(T1624="BYPASS",IF(NOT(ISNUMBER(Q1624)),"PreV_ETB missing","End_tr_balance missing"),IF(T1624="FAIL",IF(AND(ISNUMBER(K1624),ISNUMBER(L1624),ABS(L1624-(K1624-IF(ISNUMBER(N1624),N1624,0)-IF(ISNUMBER(O1624),O1624,0)+IF(ISNUMBER(P1624),P1624,0)))&lt;=Summary!$B$2),"Passes using beginning_balance - PreV_ETB differs from beginning_balance",IF(AND(ISNUMBER(O1624),O1624&lt;0,ABS(L1624-(Q1624-IF(ISNUMBER(N1624),N1624,0)+IF(ISNUMBER(P1624),P1624,0)))&lt;=Summary!$B$2),"Negative realized loss not applied - check sign",IF(R1624&lt;0,"Principal paid exceeds prior balance",IF(AND(L1624&gt;Q1624,NOT(ISNUMBER(P1624))),"Balance increased but no Deferred_interest reported",IF(L1624&gt;R1624,"Reported balance higher than expected (missing increase/OC build)","Reported balance lower than expected (missing decrease)"))))),""))</f>
        <v/>
      </c>
    </row>
    <row r="1625" customFormat="false" ht="15" hidden="false" customHeight="false" outlineLevel="0" collapsed="false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9"/>
      <c r="L1625" s="9"/>
      <c r="M1625" s="9"/>
      <c r="N1625" s="9"/>
      <c r="O1625" s="9"/>
      <c r="P1625" s="9"/>
      <c r="Q1625" s="9"/>
      <c r="R1625" s="9" t="str">
        <f aca="false">IF(AND(A1625&lt;&gt;"",ISNUMBER(Q1625),ISNUMBER(L1625)),ROUND(Q1625-IF(ISNUMBER(N1625),N1625,0)-IF(ISNUMBER(O1625),O1625,0)+IF(ISNUMBER(P1625),P1625,0),2),"")</f>
        <v/>
      </c>
      <c r="S1625" s="9" t="str">
        <f aca="false">IF(R1625="","",ROUND(L1625-R1625,2))</f>
        <v/>
      </c>
      <c r="T1625" s="8" t="str">
        <f aca="false">IF(A1625="","",IF(S1625="","BYPASS",IF(ABS(S1625)&lt;=Summary!$B$2,"PASS","FAIL")))</f>
        <v/>
      </c>
      <c r="U1625" s="8" t="str">
        <f aca="false">IF(T1625="BYPASS",IF(NOT(ISNUMBER(Q1625)),"PreV_ETB missing","End_tr_balance missing"),IF(T1625="FAIL",IF(AND(ISNUMBER(K1625),ISNUMBER(L1625),ABS(L1625-(K1625-IF(ISNUMBER(N1625),N1625,0)-IF(ISNUMBER(O1625),O1625,0)+IF(ISNUMBER(P1625),P1625,0)))&lt;=Summary!$B$2),"Passes using beginning_balance - PreV_ETB differs from beginning_balance",IF(AND(ISNUMBER(O1625),O1625&lt;0,ABS(L1625-(Q1625-IF(ISNUMBER(N1625),N1625,0)+IF(ISNUMBER(P1625),P1625,0)))&lt;=Summary!$B$2),"Negative realized loss not applied - check sign",IF(R1625&lt;0,"Principal paid exceeds prior balance",IF(AND(L1625&gt;Q1625,NOT(ISNUMBER(P1625))),"Balance increased but no Deferred_interest reported",IF(L1625&gt;R1625,"Reported balance higher than expected (missing increase/OC build)","Reported balance lower than expected (missing decrease)"))))),""))</f>
        <v/>
      </c>
    </row>
    <row r="1626" customFormat="false" ht="15" hidden="false" customHeight="false" outlineLevel="0" collapsed="false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9"/>
      <c r="L1626" s="9"/>
      <c r="M1626" s="9"/>
      <c r="N1626" s="9"/>
      <c r="O1626" s="9"/>
      <c r="P1626" s="9"/>
      <c r="Q1626" s="9"/>
      <c r="R1626" s="9" t="str">
        <f aca="false">IF(AND(A1626&lt;&gt;"",ISNUMBER(Q1626),ISNUMBER(L1626)),ROUND(Q1626-IF(ISNUMBER(N1626),N1626,0)-IF(ISNUMBER(O1626),O1626,0)+IF(ISNUMBER(P1626),P1626,0),2),"")</f>
        <v/>
      </c>
      <c r="S1626" s="9" t="str">
        <f aca="false">IF(R1626="","",ROUND(L1626-R1626,2))</f>
        <v/>
      </c>
      <c r="T1626" s="8" t="str">
        <f aca="false">IF(A1626="","",IF(S1626="","BYPASS",IF(ABS(S1626)&lt;=Summary!$B$2,"PASS","FAIL")))</f>
        <v/>
      </c>
      <c r="U1626" s="8" t="str">
        <f aca="false">IF(T1626="BYPASS",IF(NOT(ISNUMBER(Q1626)),"PreV_ETB missing","End_tr_balance missing"),IF(T1626="FAIL",IF(AND(ISNUMBER(K1626),ISNUMBER(L1626),ABS(L1626-(K1626-IF(ISNUMBER(N1626),N1626,0)-IF(ISNUMBER(O1626),O1626,0)+IF(ISNUMBER(P1626),P1626,0)))&lt;=Summary!$B$2),"Passes using beginning_balance - PreV_ETB differs from beginning_balance",IF(AND(ISNUMBER(O1626),O1626&lt;0,ABS(L1626-(Q1626-IF(ISNUMBER(N1626),N1626,0)+IF(ISNUMBER(P1626),P1626,0)))&lt;=Summary!$B$2),"Negative realized loss not applied - check sign",IF(R1626&lt;0,"Principal paid exceeds prior balance",IF(AND(L1626&gt;Q1626,NOT(ISNUMBER(P1626))),"Balance increased but no Deferred_interest reported",IF(L1626&gt;R1626,"Reported balance higher than expected (missing increase/OC build)","Reported balance lower than expected (missing decrease)"))))),""))</f>
        <v/>
      </c>
    </row>
    <row r="1627" customFormat="false" ht="15" hidden="false" customHeight="false" outlineLevel="0" collapsed="false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9"/>
      <c r="L1627" s="9"/>
      <c r="M1627" s="9"/>
      <c r="N1627" s="9"/>
      <c r="O1627" s="9"/>
      <c r="P1627" s="9"/>
      <c r="Q1627" s="9"/>
      <c r="R1627" s="9" t="str">
        <f aca="false">IF(AND(A1627&lt;&gt;"",ISNUMBER(Q1627),ISNUMBER(L1627)),ROUND(Q1627-IF(ISNUMBER(N1627),N1627,0)-IF(ISNUMBER(O1627),O1627,0)+IF(ISNUMBER(P1627),P1627,0),2),"")</f>
        <v/>
      </c>
      <c r="S1627" s="9" t="str">
        <f aca="false">IF(R1627="","",ROUND(L1627-R1627,2))</f>
        <v/>
      </c>
      <c r="T1627" s="8" t="str">
        <f aca="false">IF(A1627="","",IF(S1627="","BYPASS",IF(ABS(S1627)&lt;=Summary!$B$2,"PASS","FAIL")))</f>
        <v/>
      </c>
      <c r="U1627" s="8" t="str">
        <f aca="false">IF(T1627="BYPASS",IF(NOT(ISNUMBER(Q1627)),"PreV_ETB missing","End_tr_balance missing"),IF(T1627="FAIL",IF(AND(ISNUMBER(K1627),ISNUMBER(L1627),ABS(L1627-(K1627-IF(ISNUMBER(N1627),N1627,0)-IF(ISNUMBER(O1627),O1627,0)+IF(ISNUMBER(P1627),P1627,0)))&lt;=Summary!$B$2),"Passes using beginning_balance - PreV_ETB differs from beginning_balance",IF(AND(ISNUMBER(O1627),O1627&lt;0,ABS(L1627-(Q1627-IF(ISNUMBER(N1627),N1627,0)+IF(ISNUMBER(P1627),P1627,0)))&lt;=Summary!$B$2),"Negative realized loss not applied - check sign",IF(R1627&lt;0,"Principal paid exceeds prior balance",IF(AND(L1627&gt;Q1627,NOT(ISNUMBER(P1627))),"Balance increased but no Deferred_interest reported",IF(L1627&gt;R1627,"Reported balance higher than expected (missing increase/OC build)","Reported balance lower than expected (missing decrease)"))))),""))</f>
        <v/>
      </c>
    </row>
    <row r="1628" customFormat="false" ht="15" hidden="false" customHeight="false" outlineLevel="0" collapsed="false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9"/>
      <c r="L1628" s="9"/>
      <c r="M1628" s="9"/>
      <c r="N1628" s="9"/>
      <c r="O1628" s="9"/>
      <c r="P1628" s="9"/>
      <c r="Q1628" s="9"/>
      <c r="R1628" s="9" t="str">
        <f aca="false">IF(AND(A1628&lt;&gt;"",ISNUMBER(Q1628),ISNUMBER(L1628)),ROUND(Q1628-IF(ISNUMBER(N1628),N1628,0)-IF(ISNUMBER(O1628),O1628,0)+IF(ISNUMBER(P1628),P1628,0),2),"")</f>
        <v/>
      </c>
      <c r="S1628" s="9" t="str">
        <f aca="false">IF(R1628="","",ROUND(L1628-R1628,2))</f>
        <v/>
      </c>
      <c r="T1628" s="8" t="str">
        <f aca="false">IF(A1628="","",IF(S1628="","BYPASS",IF(ABS(S1628)&lt;=Summary!$B$2,"PASS","FAIL")))</f>
        <v/>
      </c>
      <c r="U1628" s="8" t="str">
        <f aca="false">IF(T1628="BYPASS",IF(NOT(ISNUMBER(Q1628)),"PreV_ETB missing","End_tr_balance missing"),IF(T1628="FAIL",IF(AND(ISNUMBER(K1628),ISNUMBER(L1628),ABS(L1628-(K1628-IF(ISNUMBER(N1628),N1628,0)-IF(ISNUMBER(O1628),O1628,0)+IF(ISNUMBER(P1628),P1628,0)))&lt;=Summary!$B$2),"Passes using beginning_balance - PreV_ETB differs from beginning_balance",IF(AND(ISNUMBER(O1628),O1628&lt;0,ABS(L1628-(Q1628-IF(ISNUMBER(N1628),N1628,0)+IF(ISNUMBER(P1628),P1628,0)))&lt;=Summary!$B$2),"Negative realized loss not applied - check sign",IF(R1628&lt;0,"Principal paid exceeds prior balance",IF(AND(L1628&gt;Q1628,NOT(ISNUMBER(P1628))),"Balance increased but no Deferred_interest reported",IF(L1628&gt;R1628,"Reported balance higher than expected (missing increase/OC build)","Reported balance lower than expected (missing decrease)"))))),""))</f>
        <v/>
      </c>
    </row>
    <row r="1629" customFormat="false" ht="15" hidden="false" customHeight="false" outlineLevel="0" collapsed="false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9"/>
      <c r="L1629" s="9"/>
      <c r="M1629" s="9"/>
      <c r="N1629" s="9"/>
      <c r="O1629" s="9"/>
      <c r="P1629" s="9"/>
      <c r="Q1629" s="9"/>
      <c r="R1629" s="9" t="str">
        <f aca="false">IF(AND(A1629&lt;&gt;"",ISNUMBER(Q1629),ISNUMBER(L1629)),ROUND(Q1629-IF(ISNUMBER(N1629),N1629,0)-IF(ISNUMBER(O1629),O1629,0)+IF(ISNUMBER(P1629),P1629,0),2),"")</f>
        <v/>
      </c>
      <c r="S1629" s="9" t="str">
        <f aca="false">IF(R1629="","",ROUND(L1629-R1629,2))</f>
        <v/>
      </c>
      <c r="T1629" s="8" t="str">
        <f aca="false">IF(A1629="","",IF(S1629="","BYPASS",IF(ABS(S1629)&lt;=Summary!$B$2,"PASS","FAIL")))</f>
        <v/>
      </c>
      <c r="U1629" s="8" t="str">
        <f aca="false">IF(T1629="BYPASS",IF(NOT(ISNUMBER(Q1629)),"PreV_ETB missing","End_tr_balance missing"),IF(T1629="FAIL",IF(AND(ISNUMBER(K1629),ISNUMBER(L1629),ABS(L1629-(K1629-IF(ISNUMBER(N1629),N1629,0)-IF(ISNUMBER(O1629),O1629,0)+IF(ISNUMBER(P1629),P1629,0)))&lt;=Summary!$B$2),"Passes using beginning_balance - PreV_ETB differs from beginning_balance",IF(AND(ISNUMBER(O1629),O1629&lt;0,ABS(L1629-(Q1629-IF(ISNUMBER(N1629),N1629,0)+IF(ISNUMBER(P1629),P1629,0)))&lt;=Summary!$B$2),"Negative realized loss not applied - check sign",IF(R1629&lt;0,"Principal paid exceeds prior balance",IF(AND(L1629&gt;Q1629,NOT(ISNUMBER(P1629))),"Balance increased but no Deferred_interest reported",IF(L1629&gt;R1629,"Reported balance higher than expected (missing increase/OC build)","Reported balance lower than expected (missing decrease)"))))),""))</f>
        <v/>
      </c>
    </row>
    <row r="1630" customFormat="false" ht="15" hidden="false" customHeight="false" outlineLevel="0" collapsed="false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9"/>
      <c r="L1630" s="9"/>
      <c r="M1630" s="9"/>
      <c r="N1630" s="9"/>
      <c r="O1630" s="9"/>
      <c r="P1630" s="9"/>
      <c r="Q1630" s="9"/>
      <c r="R1630" s="9" t="str">
        <f aca="false">IF(AND(A1630&lt;&gt;"",ISNUMBER(Q1630),ISNUMBER(L1630)),ROUND(Q1630-IF(ISNUMBER(N1630),N1630,0)-IF(ISNUMBER(O1630),O1630,0)+IF(ISNUMBER(P1630),P1630,0),2),"")</f>
        <v/>
      </c>
      <c r="S1630" s="9" t="str">
        <f aca="false">IF(R1630="","",ROUND(L1630-R1630,2))</f>
        <v/>
      </c>
      <c r="T1630" s="8" t="str">
        <f aca="false">IF(A1630="","",IF(S1630="","BYPASS",IF(ABS(S1630)&lt;=Summary!$B$2,"PASS","FAIL")))</f>
        <v/>
      </c>
      <c r="U1630" s="8" t="str">
        <f aca="false">IF(T1630="BYPASS",IF(NOT(ISNUMBER(Q1630)),"PreV_ETB missing","End_tr_balance missing"),IF(T1630="FAIL",IF(AND(ISNUMBER(K1630),ISNUMBER(L1630),ABS(L1630-(K1630-IF(ISNUMBER(N1630),N1630,0)-IF(ISNUMBER(O1630),O1630,0)+IF(ISNUMBER(P1630),P1630,0)))&lt;=Summary!$B$2),"Passes using beginning_balance - PreV_ETB differs from beginning_balance",IF(AND(ISNUMBER(O1630),O1630&lt;0,ABS(L1630-(Q1630-IF(ISNUMBER(N1630),N1630,0)+IF(ISNUMBER(P1630),P1630,0)))&lt;=Summary!$B$2),"Negative realized loss not applied - check sign",IF(R1630&lt;0,"Principal paid exceeds prior balance",IF(AND(L1630&gt;Q1630,NOT(ISNUMBER(P1630))),"Balance increased but no Deferred_interest reported",IF(L1630&gt;R1630,"Reported balance higher than expected (missing increase/OC build)","Reported balance lower than expected (missing decrease)"))))),""))</f>
        <v/>
      </c>
    </row>
    <row r="1631" customFormat="false" ht="15" hidden="false" customHeight="false" outlineLevel="0" collapsed="false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9"/>
      <c r="L1631" s="9"/>
      <c r="M1631" s="9"/>
      <c r="N1631" s="9"/>
      <c r="O1631" s="9"/>
      <c r="P1631" s="9"/>
      <c r="Q1631" s="9"/>
      <c r="R1631" s="9" t="str">
        <f aca="false">IF(AND(A1631&lt;&gt;"",ISNUMBER(Q1631),ISNUMBER(L1631)),ROUND(Q1631-IF(ISNUMBER(N1631),N1631,0)-IF(ISNUMBER(O1631),O1631,0)+IF(ISNUMBER(P1631),P1631,0),2),"")</f>
        <v/>
      </c>
      <c r="S1631" s="9" t="str">
        <f aca="false">IF(R1631="","",ROUND(L1631-R1631,2))</f>
        <v/>
      </c>
      <c r="T1631" s="8" t="str">
        <f aca="false">IF(A1631="","",IF(S1631="","BYPASS",IF(ABS(S1631)&lt;=Summary!$B$2,"PASS","FAIL")))</f>
        <v/>
      </c>
      <c r="U1631" s="8" t="str">
        <f aca="false">IF(T1631="BYPASS",IF(NOT(ISNUMBER(Q1631)),"PreV_ETB missing","End_tr_balance missing"),IF(T1631="FAIL",IF(AND(ISNUMBER(K1631),ISNUMBER(L1631),ABS(L1631-(K1631-IF(ISNUMBER(N1631),N1631,0)-IF(ISNUMBER(O1631),O1631,0)+IF(ISNUMBER(P1631),P1631,0)))&lt;=Summary!$B$2),"Passes using beginning_balance - PreV_ETB differs from beginning_balance",IF(AND(ISNUMBER(O1631),O1631&lt;0,ABS(L1631-(Q1631-IF(ISNUMBER(N1631),N1631,0)+IF(ISNUMBER(P1631),P1631,0)))&lt;=Summary!$B$2),"Negative realized loss not applied - check sign",IF(R1631&lt;0,"Principal paid exceeds prior balance",IF(AND(L1631&gt;Q1631,NOT(ISNUMBER(P1631))),"Balance increased but no Deferred_interest reported",IF(L1631&gt;R1631,"Reported balance higher than expected (missing increase/OC build)","Reported balance lower than expected (missing decrease)"))))),""))</f>
        <v/>
      </c>
    </row>
    <row r="1632" customFormat="false" ht="15" hidden="false" customHeight="false" outlineLevel="0" collapsed="false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9"/>
      <c r="L1632" s="9"/>
      <c r="M1632" s="9"/>
      <c r="N1632" s="9"/>
      <c r="O1632" s="9"/>
      <c r="P1632" s="9"/>
      <c r="Q1632" s="9"/>
      <c r="R1632" s="9" t="str">
        <f aca="false">IF(AND(A1632&lt;&gt;"",ISNUMBER(Q1632),ISNUMBER(L1632)),ROUND(Q1632-IF(ISNUMBER(N1632),N1632,0)-IF(ISNUMBER(O1632),O1632,0)+IF(ISNUMBER(P1632),P1632,0),2),"")</f>
        <v/>
      </c>
      <c r="S1632" s="9" t="str">
        <f aca="false">IF(R1632="","",ROUND(L1632-R1632,2))</f>
        <v/>
      </c>
      <c r="T1632" s="8" t="str">
        <f aca="false">IF(A1632="","",IF(S1632="","BYPASS",IF(ABS(S1632)&lt;=Summary!$B$2,"PASS","FAIL")))</f>
        <v/>
      </c>
      <c r="U1632" s="8" t="str">
        <f aca="false">IF(T1632="BYPASS",IF(NOT(ISNUMBER(Q1632)),"PreV_ETB missing","End_tr_balance missing"),IF(T1632="FAIL",IF(AND(ISNUMBER(K1632),ISNUMBER(L1632),ABS(L1632-(K1632-IF(ISNUMBER(N1632),N1632,0)-IF(ISNUMBER(O1632),O1632,0)+IF(ISNUMBER(P1632),P1632,0)))&lt;=Summary!$B$2),"Passes using beginning_balance - PreV_ETB differs from beginning_balance",IF(AND(ISNUMBER(O1632),O1632&lt;0,ABS(L1632-(Q1632-IF(ISNUMBER(N1632),N1632,0)+IF(ISNUMBER(P1632),P1632,0)))&lt;=Summary!$B$2),"Negative realized loss not applied - check sign",IF(R1632&lt;0,"Principal paid exceeds prior balance",IF(AND(L1632&gt;Q1632,NOT(ISNUMBER(P1632))),"Balance increased but no Deferred_interest reported",IF(L1632&gt;R1632,"Reported balance higher than expected (missing increase/OC build)","Reported balance lower than expected (missing decrease)"))))),""))</f>
        <v/>
      </c>
    </row>
    <row r="1633" customFormat="false" ht="15" hidden="false" customHeight="false" outlineLevel="0" collapsed="false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9"/>
      <c r="L1633" s="9"/>
      <c r="M1633" s="9"/>
      <c r="N1633" s="9"/>
      <c r="O1633" s="9"/>
      <c r="P1633" s="9"/>
      <c r="Q1633" s="9"/>
      <c r="R1633" s="9" t="str">
        <f aca="false">IF(AND(A1633&lt;&gt;"",ISNUMBER(Q1633),ISNUMBER(L1633)),ROUND(Q1633-IF(ISNUMBER(N1633),N1633,0)-IF(ISNUMBER(O1633),O1633,0)+IF(ISNUMBER(P1633),P1633,0),2),"")</f>
        <v/>
      </c>
      <c r="S1633" s="9" t="str">
        <f aca="false">IF(R1633="","",ROUND(L1633-R1633,2))</f>
        <v/>
      </c>
      <c r="T1633" s="8" t="str">
        <f aca="false">IF(A1633="","",IF(S1633="","BYPASS",IF(ABS(S1633)&lt;=Summary!$B$2,"PASS","FAIL")))</f>
        <v/>
      </c>
      <c r="U1633" s="8" t="str">
        <f aca="false">IF(T1633="BYPASS",IF(NOT(ISNUMBER(Q1633)),"PreV_ETB missing","End_tr_balance missing"),IF(T1633="FAIL",IF(AND(ISNUMBER(K1633),ISNUMBER(L1633),ABS(L1633-(K1633-IF(ISNUMBER(N1633),N1633,0)-IF(ISNUMBER(O1633),O1633,0)+IF(ISNUMBER(P1633),P1633,0)))&lt;=Summary!$B$2),"Passes using beginning_balance - PreV_ETB differs from beginning_balance",IF(AND(ISNUMBER(O1633),O1633&lt;0,ABS(L1633-(Q1633-IF(ISNUMBER(N1633),N1633,0)+IF(ISNUMBER(P1633),P1633,0)))&lt;=Summary!$B$2),"Negative realized loss not applied - check sign",IF(R1633&lt;0,"Principal paid exceeds prior balance",IF(AND(L1633&gt;Q1633,NOT(ISNUMBER(P1633))),"Balance increased but no Deferred_interest reported",IF(L1633&gt;R1633,"Reported balance higher than expected (missing increase/OC build)","Reported balance lower than expected (missing decrease)"))))),""))</f>
        <v/>
      </c>
    </row>
    <row r="1634" customFormat="false" ht="15" hidden="false" customHeight="false" outlineLevel="0" collapsed="false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9"/>
      <c r="L1634" s="9"/>
      <c r="M1634" s="9"/>
      <c r="N1634" s="9"/>
      <c r="O1634" s="9"/>
      <c r="P1634" s="9"/>
      <c r="Q1634" s="9"/>
      <c r="R1634" s="9" t="str">
        <f aca="false">IF(AND(A1634&lt;&gt;"",ISNUMBER(Q1634),ISNUMBER(L1634)),ROUND(Q1634-IF(ISNUMBER(N1634),N1634,0)-IF(ISNUMBER(O1634),O1634,0)+IF(ISNUMBER(P1634),P1634,0),2),"")</f>
        <v/>
      </c>
      <c r="S1634" s="9" t="str">
        <f aca="false">IF(R1634="","",ROUND(L1634-R1634,2))</f>
        <v/>
      </c>
      <c r="T1634" s="8" t="str">
        <f aca="false">IF(A1634="","",IF(S1634="","BYPASS",IF(ABS(S1634)&lt;=Summary!$B$2,"PASS","FAIL")))</f>
        <v/>
      </c>
      <c r="U1634" s="8" t="str">
        <f aca="false">IF(T1634="BYPASS",IF(NOT(ISNUMBER(Q1634)),"PreV_ETB missing","End_tr_balance missing"),IF(T1634="FAIL",IF(AND(ISNUMBER(K1634),ISNUMBER(L1634),ABS(L1634-(K1634-IF(ISNUMBER(N1634),N1634,0)-IF(ISNUMBER(O1634),O1634,0)+IF(ISNUMBER(P1634),P1634,0)))&lt;=Summary!$B$2),"Passes using beginning_balance - PreV_ETB differs from beginning_balance",IF(AND(ISNUMBER(O1634),O1634&lt;0,ABS(L1634-(Q1634-IF(ISNUMBER(N1634),N1634,0)+IF(ISNUMBER(P1634),P1634,0)))&lt;=Summary!$B$2),"Negative realized loss not applied - check sign",IF(R1634&lt;0,"Principal paid exceeds prior balance",IF(AND(L1634&gt;Q1634,NOT(ISNUMBER(P1634))),"Balance increased but no Deferred_interest reported",IF(L1634&gt;R1634,"Reported balance higher than expected (missing increase/OC build)","Reported balance lower than expected (missing decrease)"))))),""))</f>
        <v/>
      </c>
    </row>
    <row r="1635" customFormat="false" ht="15" hidden="false" customHeight="false" outlineLevel="0" collapsed="false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9"/>
      <c r="L1635" s="9"/>
      <c r="M1635" s="9"/>
      <c r="N1635" s="9"/>
      <c r="O1635" s="9"/>
      <c r="P1635" s="9"/>
      <c r="Q1635" s="9"/>
      <c r="R1635" s="9" t="str">
        <f aca="false">IF(AND(A1635&lt;&gt;"",ISNUMBER(Q1635),ISNUMBER(L1635)),ROUND(Q1635-IF(ISNUMBER(N1635),N1635,0)-IF(ISNUMBER(O1635),O1635,0)+IF(ISNUMBER(P1635),P1635,0),2),"")</f>
        <v/>
      </c>
      <c r="S1635" s="9" t="str">
        <f aca="false">IF(R1635="","",ROUND(L1635-R1635,2))</f>
        <v/>
      </c>
      <c r="T1635" s="8" t="str">
        <f aca="false">IF(A1635="","",IF(S1635="","BYPASS",IF(ABS(S1635)&lt;=Summary!$B$2,"PASS","FAIL")))</f>
        <v/>
      </c>
      <c r="U1635" s="8" t="str">
        <f aca="false">IF(T1635="BYPASS",IF(NOT(ISNUMBER(Q1635)),"PreV_ETB missing","End_tr_balance missing"),IF(T1635="FAIL",IF(AND(ISNUMBER(K1635),ISNUMBER(L1635),ABS(L1635-(K1635-IF(ISNUMBER(N1635),N1635,0)-IF(ISNUMBER(O1635),O1635,0)+IF(ISNUMBER(P1635),P1635,0)))&lt;=Summary!$B$2),"Passes using beginning_balance - PreV_ETB differs from beginning_balance",IF(AND(ISNUMBER(O1635),O1635&lt;0,ABS(L1635-(Q1635-IF(ISNUMBER(N1635),N1635,0)+IF(ISNUMBER(P1635),P1635,0)))&lt;=Summary!$B$2),"Negative realized loss not applied - check sign",IF(R1635&lt;0,"Principal paid exceeds prior balance",IF(AND(L1635&gt;Q1635,NOT(ISNUMBER(P1635))),"Balance increased but no Deferred_interest reported",IF(L1635&gt;R1635,"Reported balance higher than expected (missing increase/OC build)","Reported balance lower than expected (missing decrease)"))))),""))</f>
        <v/>
      </c>
    </row>
    <row r="1636" customFormat="false" ht="15" hidden="false" customHeight="false" outlineLevel="0" collapsed="false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9"/>
      <c r="L1636" s="9"/>
      <c r="M1636" s="9"/>
      <c r="N1636" s="9"/>
      <c r="O1636" s="9"/>
      <c r="P1636" s="9"/>
      <c r="Q1636" s="9"/>
      <c r="R1636" s="9" t="str">
        <f aca="false">IF(AND(A1636&lt;&gt;"",ISNUMBER(Q1636),ISNUMBER(L1636)),ROUND(Q1636-IF(ISNUMBER(N1636),N1636,0)-IF(ISNUMBER(O1636),O1636,0)+IF(ISNUMBER(P1636),P1636,0),2),"")</f>
        <v/>
      </c>
      <c r="S1636" s="9" t="str">
        <f aca="false">IF(R1636="","",ROUND(L1636-R1636,2))</f>
        <v/>
      </c>
      <c r="T1636" s="8" t="str">
        <f aca="false">IF(A1636="","",IF(S1636="","BYPASS",IF(ABS(S1636)&lt;=Summary!$B$2,"PASS","FAIL")))</f>
        <v/>
      </c>
      <c r="U1636" s="8" t="str">
        <f aca="false">IF(T1636="BYPASS",IF(NOT(ISNUMBER(Q1636)),"PreV_ETB missing","End_tr_balance missing"),IF(T1636="FAIL",IF(AND(ISNUMBER(K1636),ISNUMBER(L1636),ABS(L1636-(K1636-IF(ISNUMBER(N1636),N1636,0)-IF(ISNUMBER(O1636),O1636,0)+IF(ISNUMBER(P1636),P1636,0)))&lt;=Summary!$B$2),"Passes using beginning_balance - PreV_ETB differs from beginning_balance",IF(AND(ISNUMBER(O1636),O1636&lt;0,ABS(L1636-(Q1636-IF(ISNUMBER(N1636),N1636,0)+IF(ISNUMBER(P1636),P1636,0)))&lt;=Summary!$B$2),"Negative realized loss not applied - check sign",IF(R1636&lt;0,"Principal paid exceeds prior balance",IF(AND(L1636&gt;Q1636,NOT(ISNUMBER(P1636))),"Balance increased but no Deferred_interest reported",IF(L1636&gt;R1636,"Reported balance higher than expected (missing increase/OC build)","Reported balance lower than expected (missing decrease)"))))),""))</f>
        <v/>
      </c>
    </row>
    <row r="1637" customFormat="false" ht="15" hidden="false" customHeight="false" outlineLevel="0" collapsed="false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9"/>
      <c r="L1637" s="9"/>
      <c r="M1637" s="9"/>
      <c r="N1637" s="9"/>
      <c r="O1637" s="9"/>
      <c r="P1637" s="9"/>
      <c r="Q1637" s="9"/>
      <c r="R1637" s="9" t="str">
        <f aca="false">IF(AND(A1637&lt;&gt;"",ISNUMBER(Q1637),ISNUMBER(L1637)),ROUND(Q1637-IF(ISNUMBER(N1637),N1637,0)-IF(ISNUMBER(O1637),O1637,0)+IF(ISNUMBER(P1637),P1637,0),2),"")</f>
        <v/>
      </c>
      <c r="S1637" s="9" t="str">
        <f aca="false">IF(R1637="","",ROUND(L1637-R1637,2))</f>
        <v/>
      </c>
      <c r="T1637" s="8" t="str">
        <f aca="false">IF(A1637="","",IF(S1637="","BYPASS",IF(ABS(S1637)&lt;=Summary!$B$2,"PASS","FAIL")))</f>
        <v/>
      </c>
      <c r="U1637" s="8" t="str">
        <f aca="false">IF(T1637="BYPASS",IF(NOT(ISNUMBER(Q1637)),"PreV_ETB missing","End_tr_balance missing"),IF(T1637="FAIL",IF(AND(ISNUMBER(K1637),ISNUMBER(L1637),ABS(L1637-(K1637-IF(ISNUMBER(N1637),N1637,0)-IF(ISNUMBER(O1637),O1637,0)+IF(ISNUMBER(P1637),P1637,0)))&lt;=Summary!$B$2),"Passes using beginning_balance - PreV_ETB differs from beginning_balance",IF(AND(ISNUMBER(O1637),O1637&lt;0,ABS(L1637-(Q1637-IF(ISNUMBER(N1637),N1637,0)+IF(ISNUMBER(P1637),P1637,0)))&lt;=Summary!$B$2),"Negative realized loss not applied - check sign",IF(R1637&lt;0,"Principal paid exceeds prior balance",IF(AND(L1637&gt;Q1637,NOT(ISNUMBER(P1637))),"Balance increased but no Deferred_interest reported",IF(L1637&gt;R1637,"Reported balance higher than expected (missing increase/OC build)","Reported balance lower than expected (missing decrease)"))))),""))</f>
        <v/>
      </c>
    </row>
    <row r="1638" customFormat="false" ht="15" hidden="false" customHeight="false" outlineLevel="0" collapsed="false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9"/>
      <c r="L1638" s="9"/>
      <c r="M1638" s="9"/>
      <c r="N1638" s="9"/>
      <c r="O1638" s="9"/>
      <c r="P1638" s="9"/>
      <c r="Q1638" s="9"/>
      <c r="R1638" s="9" t="str">
        <f aca="false">IF(AND(A1638&lt;&gt;"",ISNUMBER(Q1638),ISNUMBER(L1638)),ROUND(Q1638-IF(ISNUMBER(N1638),N1638,0)-IF(ISNUMBER(O1638),O1638,0)+IF(ISNUMBER(P1638),P1638,0),2),"")</f>
        <v/>
      </c>
      <c r="S1638" s="9" t="str">
        <f aca="false">IF(R1638="","",ROUND(L1638-R1638,2))</f>
        <v/>
      </c>
      <c r="T1638" s="8" t="str">
        <f aca="false">IF(A1638="","",IF(S1638="","BYPASS",IF(ABS(S1638)&lt;=Summary!$B$2,"PASS","FAIL")))</f>
        <v/>
      </c>
      <c r="U1638" s="8" t="str">
        <f aca="false">IF(T1638="BYPASS",IF(NOT(ISNUMBER(Q1638)),"PreV_ETB missing","End_tr_balance missing"),IF(T1638="FAIL",IF(AND(ISNUMBER(K1638),ISNUMBER(L1638),ABS(L1638-(K1638-IF(ISNUMBER(N1638),N1638,0)-IF(ISNUMBER(O1638),O1638,0)+IF(ISNUMBER(P1638),P1638,0)))&lt;=Summary!$B$2),"Passes using beginning_balance - PreV_ETB differs from beginning_balance",IF(AND(ISNUMBER(O1638),O1638&lt;0,ABS(L1638-(Q1638-IF(ISNUMBER(N1638),N1638,0)+IF(ISNUMBER(P1638),P1638,0)))&lt;=Summary!$B$2),"Negative realized loss not applied - check sign",IF(R1638&lt;0,"Principal paid exceeds prior balance",IF(AND(L1638&gt;Q1638,NOT(ISNUMBER(P1638))),"Balance increased but no Deferred_interest reported",IF(L1638&gt;R1638,"Reported balance higher than expected (missing increase/OC build)","Reported balance lower than expected (missing decrease)"))))),""))</f>
        <v/>
      </c>
    </row>
    <row r="1639" customFormat="false" ht="15" hidden="false" customHeight="false" outlineLevel="0" collapsed="false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9"/>
      <c r="L1639" s="9"/>
      <c r="M1639" s="9"/>
      <c r="N1639" s="9"/>
      <c r="O1639" s="9"/>
      <c r="P1639" s="9"/>
      <c r="Q1639" s="9"/>
      <c r="R1639" s="9" t="str">
        <f aca="false">IF(AND(A1639&lt;&gt;"",ISNUMBER(Q1639),ISNUMBER(L1639)),ROUND(Q1639-IF(ISNUMBER(N1639),N1639,0)-IF(ISNUMBER(O1639),O1639,0)+IF(ISNUMBER(P1639),P1639,0),2),"")</f>
        <v/>
      </c>
      <c r="S1639" s="9" t="str">
        <f aca="false">IF(R1639="","",ROUND(L1639-R1639,2))</f>
        <v/>
      </c>
      <c r="T1639" s="8" t="str">
        <f aca="false">IF(A1639="","",IF(S1639="","BYPASS",IF(ABS(S1639)&lt;=Summary!$B$2,"PASS","FAIL")))</f>
        <v/>
      </c>
      <c r="U1639" s="8" t="str">
        <f aca="false">IF(T1639="BYPASS",IF(NOT(ISNUMBER(Q1639)),"PreV_ETB missing","End_tr_balance missing"),IF(T1639="FAIL",IF(AND(ISNUMBER(K1639),ISNUMBER(L1639),ABS(L1639-(K1639-IF(ISNUMBER(N1639),N1639,0)-IF(ISNUMBER(O1639),O1639,0)+IF(ISNUMBER(P1639),P1639,0)))&lt;=Summary!$B$2),"Passes using beginning_balance - PreV_ETB differs from beginning_balance",IF(AND(ISNUMBER(O1639),O1639&lt;0,ABS(L1639-(Q1639-IF(ISNUMBER(N1639),N1639,0)+IF(ISNUMBER(P1639),P1639,0)))&lt;=Summary!$B$2),"Negative realized loss not applied - check sign",IF(R1639&lt;0,"Principal paid exceeds prior balance",IF(AND(L1639&gt;Q1639,NOT(ISNUMBER(P1639))),"Balance increased but no Deferred_interest reported",IF(L1639&gt;R1639,"Reported balance higher than expected (missing increase/OC build)","Reported balance lower than expected (missing decrease)"))))),""))</f>
        <v/>
      </c>
    </row>
    <row r="1640" customFormat="false" ht="15" hidden="false" customHeight="false" outlineLevel="0" collapsed="false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9"/>
      <c r="L1640" s="9"/>
      <c r="M1640" s="9"/>
      <c r="N1640" s="9"/>
      <c r="O1640" s="9"/>
      <c r="P1640" s="9"/>
      <c r="Q1640" s="9"/>
      <c r="R1640" s="9" t="str">
        <f aca="false">IF(AND(A1640&lt;&gt;"",ISNUMBER(Q1640),ISNUMBER(L1640)),ROUND(Q1640-IF(ISNUMBER(N1640),N1640,0)-IF(ISNUMBER(O1640),O1640,0)+IF(ISNUMBER(P1640),P1640,0),2),"")</f>
        <v/>
      </c>
      <c r="S1640" s="9" t="str">
        <f aca="false">IF(R1640="","",ROUND(L1640-R1640,2))</f>
        <v/>
      </c>
      <c r="T1640" s="8" t="str">
        <f aca="false">IF(A1640="","",IF(S1640="","BYPASS",IF(ABS(S1640)&lt;=Summary!$B$2,"PASS","FAIL")))</f>
        <v/>
      </c>
      <c r="U1640" s="8" t="str">
        <f aca="false">IF(T1640="BYPASS",IF(NOT(ISNUMBER(Q1640)),"PreV_ETB missing","End_tr_balance missing"),IF(T1640="FAIL",IF(AND(ISNUMBER(K1640),ISNUMBER(L1640),ABS(L1640-(K1640-IF(ISNUMBER(N1640),N1640,0)-IF(ISNUMBER(O1640),O1640,0)+IF(ISNUMBER(P1640),P1640,0)))&lt;=Summary!$B$2),"Passes using beginning_balance - PreV_ETB differs from beginning_balance",IF(AND(ISNUMBER(O1640),O1640&lt;0,ABS(L1640-(Q1640-IF(ISNUMBER(N1640),N1640,0)+IF(ISNUMBER(P1640),P1640,0)))&lt;=Summary!$B$2),"Negative realized loss not applied - check sign",IF(R1640&lt;0,"Principal paid exceeds prior balance",IF(AND(L1640&gt;Q1640,NOT(ISNUMBER(P1640))),"Balance increased but no Deferred_interest reported",IF(L1640&gt;R1640,"Reported balance higher than expected (missing increase/OC build)","Reported balance lower than expected (missing decrease)"))))),""))</f>
        <v/>
      </c>
    </row>
    <row r="1641" customFormat="false" ht="15" hidden="false" customHeight="false" outlineLevel="0" collapsed="false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9"/>
      <c r="L1641" s="9"/>
      <c r="M1641" s="9"/>
      <c r="N1641" s="9"/>
      <c r="O1641" s="9"/>
      <c r="P1641" s="9"/>
      <c r="Q1641" s="9"/>
      <c r="R1641" s="9" t="str">
        <f aca="false">IF(AND(A1641&lt;&gt;"",ISNUMBER(Q1641),ISNUMBER(L1641)),ROUND(Q1641-IF(ISNUMBER(N1641),N1641,0)-IF(ISNUMBER(O1641),O1641,0)+IF(ISNUMBER(P1641),P1641,0),2),"")</f>
        <v/>
      </c>
      <c r="S1641" s="9" t="str">
        <f aca="false">IF(R1641="","",ROUND(L1641-R1641,2))</f>
        <v/>
      </c>
      <c r="T1641" s="8" t="str">
        <f aca="false">IF(A1641="","",IF(S1641="","BYPASS",IF(ABS(S1641)&lt;=Summary!$B$2,"PASS","FAIL")))</f>
        <v/>
      </c>
      <c r="U1641" s="8" t="str">
        <f aca="false">IF(T1641="BYPASS",IF(NOT(ISNUMBER(Q1641)),"PreV_ETB missing","End_tr_balance missing"),IF(T1641="FAIL",IF(AND(ISNUMBER(K1641),ISNUMBER(L1641),ABS(L1641-(K1641-IF(ISNUMBER(N1641),N1641,0)-IF(ISNUMBER(O1641),O1641,0)+IF(ISNUMBER(P1641),P1641,0)))&lt;=Summary!$B$2),"Passes using beginning_balance - PreV_ETB differs from beginning_balance",IF(AND(ISNUMBER(O1641),O1641&lt;0,ABS(L1641-(Q1641-IF(ISNUMBER(N1641),N1641,0)+IF(ISNUMBER(P1641),P1641,0)))&lt;=Summary!$B$2),"Negative realized loss not applied - check sign",IF(R1641&lt;0,"Principal paid exceeds prior balance",IF(AND(L1641&gt;Q1641,NOT(ISNUMBER(P1641))),"Balance increased but no Deferred_interest reported",IF(L1641&gt;R1641,"Reported balance higher than expected (missing increase/OC build)","Reported balance lower than expected (missing decrease)"))))),""))</f>
        <v/>
      </c>
    </row>
    <row r="1642" customFormat="false" ht="15" hidden="false" customHeight="false" outlineLevel="0" collapsed="false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9"/>
      <c r="L1642" s="9"/>
      <c r="M1642" s="9"/>
      <c r="N1642" s="9"/>
      <c r="O1642" s="9"/>
      <c r="P1642" s="9"/>
      <c r="Q1642" s="9"/>
      <c r="R1642" s="9" t="str">
        <f aca="false">IF(AND(A1642&lt;&gt;"",ISNUMBER(Q1642),ISNUMBER(L1642)),ROUND(Q1642-IF(ISNUMBER(N1642),N1642,0)-IF(ISNUMBER(O1642),O1642,0)+IF(ISNUMBER(P1642),P1642,0),2),"")</f>
        <v/>
      </c>
      <c r="S1642" s="9" t="str">
        <f aca="false">IF(R1642="","",ROUND(L1642-R1642,2))</f>
        <v/>
      </c>
      <c r="T1642" s="8" t="str">
        <f aca="false">IF(A1642="","",IF(S1642="","BYPASS",IF(ABS(S1642)&lt;=Summary!$B$2,"PASS","FAIL")))</f>
        <v/>
      </c>
      <c r="U1642" s="8" t="str">
        <f aca="false">IF(T1642="BYPASS",IF(NOT(ISNUMBER(Q1642)),"PreV_ETB missing","End_tr_balance missing"),IF(T1642="FAIL",IF(AND(ISNUMBER(K1642),ISNUMBER(L1642),ABS(L1642-(K1642-IF(ISNUMBER(N1642),N1642,0)-IF(ISNUMBER(O1642),O1642,0)+IF(ISNUMBER(P1642),P1642,0)))&lt;=Summary!$B$2),"Passes using beginning_balance - PreV_ETB differs from beginning_balance",IF(AND(ISNUMBER(O1642),O1642&lt;0,ABS(L1642-(Q1642-IF(ISNUMBER(N1642),N1642,0)+IF(ISNUMBER(P1642),P1642,0)))&lt;=Summary!$B$2),"Negative realized loss not applied - check sign",IF(R1642&lt;0,"Principal paid exceeds prior balance",IF(AND(L1642&gt;Q1642,NOT(ISNUMBER(P1642))),"Balance increased but no Deferred_interest reported",IF(L1642&gt;R1642,"Reported balance higher than expected (missing increase/OC build)","Reported balance lower than expected (missing decrease)"))))),""))</f>
        <v/>
      </c>
    </row>
    <row r="1643" customFormat="false" ht="15" hidden="false" customHeight="false" outlineLevel="0" collapsed="false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9"/>
      <c r="L1643" s="9"/>
      <c r="M1643" s="9"/>
      <c r="N1643" s="9"/>
      <c r="O1643" s="9"/>
      <c r="P1643" s="9"/>
      <c r="Q1643" s="9"/>
      <c r="R1643" s="9" t="str">
        <f aca="false">IF(AND(A1643&lt;&gt;"",ISNUMBER(Q1643),ISNUMBER(L1643)),ROUND(Q1643-IF(ISNUMBER(N1643),N1643,0)-IF(ISNUMBER(O1643),O1643,0)+IF(ISNUMBER(P1643),P1643,0),2),"")</f>
        <v/>
      </c>
      <c r="S1643" s="9" t="str">
        <f aca="false">IF(R1643="","",ROUND(L1643-R1643,2))</f>
        <v/>
      </c>
      <c r="T1643" s="8" t="str">
        <f aca="false">IF(A1643="","",IF(S1643="","BYPASS",IF(ABS(S1643)&lt;=Summary!$B$2,"PASS","FAIL")))</f>
        <v/>
      </c>
      <c r="U1643" s="8" t="str">
        <f aca="false">IF(T1643="BYPASS",IF(NOT(ISNUMBER(Q1643)),"PreV_ETB missing","End_tr_balance missing"),IF(T1643="FAIL",IF(AND(ISNUMBER(K1643),ISNUMBER(L1643),ABS(L1643-(K1643-IF(ISNUMBER(N1643),N1643,0)-IF(ISNUMBER(O1643),O1643,0)+IF(ISNUMBER(P1643),P1643,0)))&lt;=Summary!$B$2),"Passes using beginning_balance - PreV_ETB differs from beginning_balance",IF(AND(ISNUMBER(O1643),O1643&lt;0,ABS(L1643-(Q1643-IF(ISNUMBER(N1643),N1643,0)+IF(ISNUMBER(P1643),P1643,0)))&lt;=Summary!$B$2),"Negative realized loss not applied - check sign",IF(R1643&lt;0,"Principal paid exceeds prior balance",IF(AND(L1643&gt;Q1643,NOT(ISNUMBER(P1643))),"Balance increased but no Deferred_interest reported",IF(L1643&gt;R1643,"Reported balance higher than expected (missing increase/OC build)","Reported balance lower than expected (missing decrease)"))))),""))</f>
        <v/>
      </c>
    </row>
    <row r="1644" customFormat="false" ht="15" hidden="false" customHeight="false" outlineLevel="0" collapsed="false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9"/>
      <c r="L1644" s="9"/>
      <c r="M1644" s="9"/>
      <c r="N1644" s="9"/>
      <c r="O1644" s="9"/>
      <c r="P1644" s="9"/>
      <c r="Q1644" s="9"/>
      <c r="R1644" s="9" t="str">
        <f aca="false">IF(AND(A1644&lt;&gt;"",ISNUMBER(Q1644),ISNUMBER(L1644)),ROUND(Q1644-IF(ISNUMBER(N1644),N1644,0)-IF(ISNUMBER(O1644),O1644,0)+IF(ISNUMBER(P1644),P1644,0),2),"")</f>
        <v/>
      </c>
      <c r="S1644" s="9" t="str">
        <f aca="false">IF(R1644="","",ROUND(L1644-R1644,2))</f>
        <v/>
      </c>
      <c r="T1644" s="8" t="str">
        <f aca="false">IF(A1644="","",IF(S1644="","BYPASS",IF(ABS(S1644)&lt;=Summary!$B$2,"PASS","FAIL")))</f>
        <v/>
      </c>
      <c r="U1644" s="8" t="str">
        <f aca="false">IF(T1644="BYPASS",IF(NOT(ISNUMBER(Q1644)),"PreV_ETB missing","End_tr_balance missing"),IF(T1644="FAIL",IF(AND(ISNUMBER(K1644),ISNUMBER(L1644),ABS(L1644-(K1644-IF(ISNUMBER(N1644),N1644,0)-IF(ISNUMBER(O1644),O1644,0)+IF(ISNUMBER(P1644),P1644,0)))&lt;=Summary!$B$2),"Passes using beginning_balance - PreV_ETB differs from beginning_balance",IF(AND(ISNUMBER(O1644),O1644&lt;0,ABS(L1644-(Q1644-IF(ISNUMBER(N1644),N1644,0)+IF(ISNUMBER(P1644),P1644,0)))&lt;=Summary!$B$2),"Negative realized loss not applied - check sign",IF(R1644&lt;0,"Principal paid exceeds prior balance",IF(AND(L1644&gt;Q1644,NOT(ISNUMBER(P1644))),"Balance increased but no Deferred_interest reported",IF(L1644&gt;R1644,"Reported balance higher than expected (missing increase/OC build)","Reported balance lower than expected (missing decrease)"))))),""))</f>
        <v/>
      </c>
    </row>
    <row r="1645" customFormat="false" ht="15" hidden="false" customHeight="false" outlineLevel="0" collapsed="false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9"/>
      <c r="L1645" s="9"/>
      <c r="M1645" s="9"/>
      <c r="N1645" s="9"/>
      <c r="O1645" s="9"/>
      <c r="P1645" s="9"/>
      <c r="Q1645" s="9"/>
      <c r="R1645" s="9" t="str">
        <f aca="false">IF(AND(A1645&lt;&gt;"",ISNUMBER(Q1645),ISNUMBER(L1645)),ROUND(Q1645-IF(ISNUMBER(N1645),N1645,0)-IF(ISNUMBER(O1645),O1645,0)+IF(ISNUMBER(P1645),P1645,0),2),"")</f>
        <v/>
      </c>
      <c r="S1645" s="9" t="str">
        <f aca="false">IF(R1645="","",ROUND(L1645-R1645,2))</f>
        <v/>
      </c>
      <c r="T1645" s="8" t="str">
        <f aca="false">IF(A1645="","",IF(S1645="","BYPASS",IF(ABS(S1645)&lt;=Summary!$B$2,"PASS","FAIL")))</f>
        <v/>
      </c>
      <c r="U1645" s="8" t="str">
        <f aca="false">IF(T1645="BYPASS",IF(NOT(ISNUMBER(Q1645)),"PreV_ETB missing","End_tr_balance missing"),IF(T1645="FAIL",IF(AND(ISNUMBER(K1645),ISNUMBER(L1645),ABS(L1645-(K1645-IF(ISNUMBER(N1645),N1645,0)-IF(ISNUMBER(O1645),O1645,0)+IF(ISNUMBER(P1645),P1645,0)))&lt;=Summary!$B$2),"Passes using beginning_balance - PreV_ETB differs from beginning_balance",IF(AND(ISNUMBER(O1645),O1645&lt;0,ABS(L1645-(Q1645-IF(ISNUMBER(N1645),N1645,0)+IF(ISNUMBER(P1645),P1645,0)))&lt;=Summary!$B$2),"Negative realized loss not applied - check sign",IF(R1645&lt;0,"Principal paid exceeds prior balance",IF(AND(L1645&gt;Q1645,NOT(ISNUMBER(P1645))),"Balance increased but no Deferred_interest reported",IF(L1645&gt;R1645,"Reported balance higher than expected (missing increase/OC build)","Reported balance lower than expected (missing decrease)"))))),""))</f>
        <v/>
      </c>
    </row>
    <row r="1646" customFormat="false" ht="15" hidden="false" customHeight="false" outlineLevel="0" collapsed="false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9"/>
      <c r="L1646" s="9"/>
      <c r="M1646" s="9"/>
      <c r="N1646" s="9"/>
      <c r="O1646" s="9"/>
      <c r="P1646" s="9"/>
      <c r="Q1646" s="9"/>
      <c r="R1646" s="9" t="str">
        <f aca="false">IF(AND(A1646&lt;&gt;"",ISNUMBER(Q1646),ISNUMBER(L1646)),ROUND(Q1646-IF(ISNUMBER(N1646),N1646,0)-IF(ISNUMBER(O1646),O1646,0)+IF(ISNUMBER(P1646),P1646,0),2),"")</f>
        <v/>
      </c>
      <c r="S1646" s="9" t="str">
        <f aca="false">IF(R1646="","",ROUND(L1646-R1646,2))</f>
        <v/>
      </c>
      <c r="T1646" s="8" t="str">
        <f aca="false">IF(A1646="","",IF(S1646="","BYPASS",IF(ABS(S1646)&lt;=Summary!$B$2,"PASS","FAIL")))</f>
        <v/>
      </c>
      <c r="U1646" s="8" t="str">
        <f aca="false">IF(T1646="BYPASS",IF(NOT(ISNUMBER(Q1646)),"PreV_ETB missing","End_tr_balance missing"),IF(T1646="FAIL",IF(AND(ISNUMBER(K1646),ISNUMBER(L1646),ABS(L1646-(K1646-IF(ISNUMBER(N1646),N1646,0)-IF(ISNUMBER(O1646),O1646,0)+IF(ISNUMBER(P1646),P1646,0)))&lt;=Summary!$B$2),"Passes using beginning_balance - PreV_ETB differs from beginning_balance",IF(AND(ISNUMBER(O1646),O1646&lt;0,ABS(L1646-(Q1646-IF(ISNUMBER(N1646),N1646,0)+IF(ISNUMBER(P1646),P1646,0)))&lt;=Summary!$B$2),"Negative realized loss not applied - check sign",IF(R1646&lt;0,"Principal paid exceeds prior balance",IF(AND(L1646&gt;Q1646,NOT(ISNUMBER(P1646))),"Balance increased but no Deferred_interest reported",IF(L1646&gt;R1646,"Reported balance higher than expected (missing increase/OC build)","Reported balance lower than expected (missing decrease)"))))),""))</f>
        <v/>
      </c>
    </row>
    <row r="1647" customFormat="false" ht="15" hidden="false" customHeight="false" outlineLevel="0" collapsed="false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9"/>
      <c r="L1647" s="9"/>
      <c r="M1647" s="9"/>
      <c r="N1647" s="9"/>
      <c r="O1647" s="9"/>
      <c r="P1647" s="9"/>
      <c r="Q1647" s="9"/>
      <c r="R1647" s="9" t="str">
        <f aca="false">IF(AND(A1647&lt;&gt;"",ISNUMBER(Q1647),ISNUMBER(L1647)),ROUND(Q1647-IF(ISNUMBER(N1647),N1647,0)-IF(ISNUMBER(O1647),O1647,0)+IF(ISNUMBER(P1647),P1647,0),2),"")</f>
        <v/>
      </c>
      <c r="S1647" s="9" t="str">
        <f aca="false">IF(R1647="","",ROUND(L1647-R1647,2))</f>
        <v/>
      </c>
      <c r="T1647" s="8" t="str">
        <f aca="false">IF(A1647="","",IF(S1647="","BYPASS",IF(ABS(S1647)&lt;=Summary!$B$2,"PASS","FAIL")))</f>
        <v/>
      </c>
      <c r="U1647" s="8" t="str">
        <f aca="false">IF(T1647="BYPASS",IF(NOT(ISNUMBER(Q1647)),"PreV_ETB missing","End_tr_balance missing"),IF(T1647="FAIL",IF(AND(ISNUMBER(K1647),ISNUMBER(L1647),ABS(L1647-(K1647-IF(ISNUMBER(N1647),N1647,0)-IF(ISNUMBER(O1647),O1647,0)+IF(ISNUMBER(P1647),P1647,0)))&lt;=Summary!$B$2),"Passes using beginning_balance - PreV_ETB differs from beginning_balance",IF(AND(ISNUMBER(O1647),O1647&lt;0,ABS(L1647-(Q1647-IF(ISNUMBER(N1647),N1647,0)+IF(ISNUMBER(P1647),P1647,0)))&lt;=Summary!$B$2),"Negative realized loss not applied - check sign",IF(R1647&lt;0,"Principal paid exceeds prior balance",IF(AND(L1647&gt;Q1647,NOT(ISNUMBER(P1647))),"Balance increased but no Deferred_interest reported",IF(L1647&gt;R1647,"Reported balance higher than expected (missing increase/OC build)","Reported balance lower than expected (missing decrease)"))))),""))</f>
        <v/>
      </c>
    </row>
    <row r="1648" customFormat="false" ht="15" hidden="false" customHeight="false" outlineLevel="0" collapsed="false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9"/>
      <c r="L1648" s="9"/>
      <c r="M1648" s="9"/>
      <c r="N1648" s="9"/>
      <c r="O1648" s="9"/>
      <c r="P1648" s="9"/>
      <c r="Q1648" s="9"/>
      <c r="R1648" s="9" t="str">
        <f aca="false">IF(AND(A1648&lt;&gt;"",ISNUMBER(Q1648),ISNUMBER(L1648)),ROUND(Q1648-IF(ISNUMBER(N1648),N1648,0)-IF(ISNUMBER(O1648),O1648,0)+IF(ISNUMBER(P1648),P1648,0),2),"")</f>
        <v/>
      </c>
      <c r="S1648" s="9" t="str">
        <f aca="false">IF(R1648="","",ROUND(L1648-R1648,2))</f>
        <v/>
      </c>
      <c r="T1648" s="8" t="str">
        <f aca="false">IF(A1648="","",IF(S1648="","BYPASS",IF(ABS(S1648)&lt;=Summary!$B$2,"PASS","FAIL")))</f>
        <v/>
      </c>
      <c r="U1648" s="8" t="str">
        <f aca="false">IF(T1648="BYPASS",IF(NOT(ISNUMBER(Q1648)),"PreV_ETB missing","End_tr_balance missing"),IF(T1648="FAIL",IF(AND(ISNUMBER(K1648),ISNUMBER(L1648),ABS(L1648-(K1648-IF(ISNUMBER(N1648),N1648,0)-IF(ISNUMBER(O1648),O1648,0)+IF(ISNUMBER(P1648),P1648,0)))&lt;=Summary!$B$2),"Passes using beginning_balance - PreV_ETB differs from beginning_balance",IF(AND(ISNUMBER(O1648),O1648&lt;0,ABS(L1648-(Q1648-IF(ISNUMBER(N1648),N1648,0)+IF(ISNUMBER(P1648),P1648,0)))&lt;=Summary!$B$2),"Negative realized loss not applied - check sign",IF(R1648&lt;0,"Principal paid exceeds prior balance",IF(AND(L1648&gt;Q1648,NOT(ISNUMBER(P1648))),"Balance increased but no Deferred_interest reported",IF(L1648&gt;R1648,"Reported balance higher than expected (missing increase/OC build)","Reported balance lower than expected (missing decrease)"))))),""))</f>
        <v/>
      </c>
    </row>
    <row r="1649" customFormat="false" ht="15" hidden="false" customHeight="false" outlineLevel="0" collapsed="false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9"/>
      <c r="L1649" s="9"/>
      <c r="M1649" s="9"/>
      <c r="N1649" s="9"/>
      <c r="O1649" s="9"/>
      <c r="P1649" s="9"/>
      <c r="Q1649" s="9"/>
      <c r="R1649" s="9" t="str">
        <f aca="false">IF(AND(A1649&lt;&gt;"",ISNUMBER(Q1649),ISNUMBER(L1649)),ROUND(Q1649-IF(ISNUMBER(N1649),N1649,0)-IF(ISNUMBER(O1649),O1649,0)+IF(ISNUMBER(P1649),P1649,0),2),"")</f>
        <v/>
      </c>
      <c r="S1649" s="9" t="str">
        <f aca="false">IF(R1649="","",ROUND(L1649-R1649,2))</f>
        <v/>
      </c>
      <c r="T1649" s="8" t="str">
        <f aca="false">IF(A1649="","",IF(S1649="","BYPASS",IF(ABS(S1649)&lt;=Summary!$B$2,"PASS","FAIL")))</f>
        <v/>
      </c>
      <c r="U1649" s="8" t="str">
        <f aca="false">IF(T1649="BYPASS",IF(NOT(ISNUMBER(Q1649)),"PreV_ETB missing","End_tr_balance missing"),IF(T1649="FAIL",IF(AND(ISNUMBER(K1649),ISNUMBER(L1649),ABS(L1649-(K1649-IF(ISNUMBER(N1649),N1649,0)-IF(ISNUMBER(O1649),O1649,0)+IF(ISNUMBER(P1649),P1649,0)))&lt;=Summary!$B$2),"Passes using beginning_balance - PreV_ETB differs from beginning_balance",IF(AND(ISNUMBER(O1649),O1649&lt;0,ABS(L1649-(Q1649-IF(ISNUMBER(N1649),N1649,0)+IF(ISNUMBER(P1649),P1649,0)))&lt;=Summary!$B$2),"Negative realized loss not applied - check sign",IF(R1649&lt;0,"Principal paid exceeds prior balance",IF(AND(L1649&gt;Q1649,NOT(ISNUMBER(P1649))),"Balance increased but no Deferred_interest reported",IF(L1649&gt;R1649,"Reported balance higher than expected (missing increase/OC build)","Reported balance lower than expected (missing decrease)"))))),""))</f>
        <v/>
      </c>
    </row>
    <row r="1650" customFormat="false" ht="15" hidden="false" customHeight="false" outlineLevel="0" collapsed="false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9"/>
      <c r="L1650" s="9"/>
      <c r="M1650" s="9"/>
      <c r="N1650" s="9"/>
      <c r="O1650" s="9"/>
      <c r="P1650" s="9"/>
      <c r="Q1650" s="9"/>
      <c r="R1650" s="9" t="str">
        <f aca="false">IF(AND(A1650&lt;&gt;"",ISNUMBER(Q1650),ISNUMBER(L1650)),ROUND(Q1650-IF(ISNUMBER(N1650),N1650,0)-IF(ISNUMBER(O1650),O1650,0)+IF(ISNUMBER(P1650),P1650,0),2),"")</f>
        <v/>
      </c>
      <c r="S1650" s="9" t="str">
        <f aca="false">IF(R1650="","",ROUND(L1650-R1650,2))</f>
        <v/>
      </c>
      <c r="T1650" s="8" t="str">
        <f aca="false">IF(A1650="","",IF(S1650="","BYPASS",IF(ABS(S1650)&lt;=Summary!$B$2,"PASS","FAIL")))</f>
        <v/>
      </c>
      <c r="U1650" s="8" t="str">
        <f aca="false">IF(T1650="BYPASS",IF(NOT(ISNUMBER(Q1650)),"PreV_ETB missing","End_tr_balance missing"),IF(T1650="FAIL",IF(AND(ISNUMBER(K1650),ISNUMBER(L1650),ABS(L1650-(K1650-IF(ISNUMBER(N1650),N1650,0)-IF(ISNUMBER(O1650),O1650,0)+IF(ISNUMBER(P1650),P1650,0)))&lt;=Summary!$B$2),"Passes using beginning_balance - PreV_ETB differs from beginning_balance",IF(AND(ISNUMBER(O1650),O1650&lt;0,ABS(L1650-(Q1650-IF(ISNUMBER(N1650),N1650,0)+IF(ISNUMBER(P1650),P1650,0)))&lt;=Summary!$B$2),"Negative realized loss not applied - check sign",IF(R1650&lt;0,"Principal paid exceeds prior balance",IF(AND(L1650&gt;Q1650,NOT(ISNUMBER(P1650))),"Balance increased but no Deferred_interest reported",IF(L1650&gt;R1650,"Reported balance higher than expected (missing increase/OC build)","Reported balance lower than expected (missing decrease)"))))),""))</f>
        <v/>
      </c>
    </row>
    <row r="1651" customFormat="false" ht="15" hidden="false" customHeight="false" outlineLevel="0" collapsed="false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9"/>
      <c r="L1651" s="9"/>
      <c r="M1651" s="9"/>
      <c r="N1651" s="9"/>
      <c r="O1651" s="9"/>
      <c r="P1651" s="9"/>
      <c r="Q1651" s="9"/>
      <c r="R1651" s="9" t="str">
        <f aca="false">IF(AND(A1651&lt;&gt;"",ISNUMBER(Q1651),ISNUMBER(L1651)),ROUND(Q1651-IF(ISNUMBER(N1651),N1651,0)-IF(ISNUMBER(O1651),O1651,0)+IF(ISNUMBER(P1651),P1651,0),2),"")</f>
        <v/>
      </c>
      <c r="S1651" s="9" t="str">
        <f aca="false">IF(R1651="","",ROUND(L1651-R1651,2))</f>
        <v/>
      </c>
      <c r="T1651" s="8" t="str">
        <f aca="false">IF(A1651="","",IF(S1651="","BYPASS",IF(ABS(S1651)&lt;=Summary!$B$2,"PASS","FAIL")))</f>
        <v/>
      </c>
      <c r="U1651" s="8" t="str">
        <f aca="false">IF(T1651="BYPASS",IF(NOT(ISNUMBER(Q1651)),"PreV_ETB missing","End_tr_balance missing"),IF(T1651="FAIL",IF(AND(ISNUMBER(K1651),ISNUMBER(L1651),ABS(L1651-(K1651-IF(ISNUMBER(N1651),N1651,0)-IF(ISNUMBER(O1651),O1651,0)+IF(ISNUMBER(P1651),P1651,0)))&lt;=Summary!$B$2),"Passes using beginning_balance - PreV_ETB differs from beginning_balance",IF(AND(ISNUMBER(O1651),O1651&lt;0,ABS(L1651-(Q1651-IF(ISNUMBER(N1651),N1651,0)+IF(ISNUMBER(P1651),P1651,0)))&lt;=Summary!$B$2),"Negative realized loss not applied - check sign",IF(R1651&lt;0,"Principal paid exceeds prior balance",IF(AND(L1651&gt;Q1651,NOT(ISNUMBER(P1651))),"Balance increased but no Deferred_interest reported",IF(L1651&gt;R1651,"Reported balance higher than expected (missing increase/OC build)","Reported balance lower than expected (missing decrease)"))))),""))</f>
        <v/>
      </c>
    </row>
    <row r="1652" customFormat="false" ht="15" hidden="false" customHeight="false" outlineLevel="0" collapsed="false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9"/>
      <c r="L1652" s="9"/>
      <c r="M1652" s="9"/>
      <c r="N1652" s="9"/>
      <c r="O1652" s="9"/>
      <c r="P1652" s="9"/>
      <c r="Q1652" s="9"/>
      <c r="R1652" s="9" t="str">
        <f aca="false">IF(AND(A1652&lt;&gt;"",ISNUMBER(Q1652),ISNUMBER(L1652)),ROUND(Q1652-IF(ISNUMBER(N1652),N1652,0)-IF(ISNUMBER(O1652),O1652,0)+IF(ISNUMBER(P1652),P1652,0),2),"")</f>
        <v/>
      </c>
      <c r="S1652" s="9" t="str">
        <f aca="false">IF(R1652="","",ROUND(L1652-R1652,2))</f>
        <v/>
      </c>
      <c r="T1652" s="8" t="str">
        <f aca="false">IF(A1652="","",IF(S1652="","BYPASS",IF(ABS(S1652)&lt;=Summary!$B$2,"PASS","FAIL")))</f>
        <v/>
      </c>
      <c r="U1652" s="8" t="str">
        <f aca="false">IF(T1652="BYPASS",IF(NOT(ISNUMBER(Q1652)),"PreV_ETB missing","End_tr_balance missing"),IF(T1652="FAIL",IF(AND(ISNUMBER(K1652),ISNUMBER(L1652),ABS(L1652-(K1652-IF(ISNUMBER(N1652),N1652,0)-IF(ISNUMBER(O1652),O1652,0)+IF(ISNUMBER(P1652),P1652,0)))&lt;=Summary!$B$2),"Passes using beginning_balance - PreV_ETB differs from beginning_balance",IF(AND(ISNUMBER(O1652),O1652&lt;0,ABS(L1652-(Q1652-IF(ISNUMBER(N1652),N1652,0)+IF(ISNUMBER(P1652),P1652,0)))&lt;=Summary!$B$2),"Negative realized loss not applied - check sign",IF(R1652&lt;0,"Principal paid exceeds prior balance",IF(AND(L1652&gt;Q1652,NOT(ISNUMBER(P1652))),"Balance increased but no Deferred_interest reported",IF(L1652&gt;R1652,"Reported balance higher than expected (missing increase/OC build)","Reported balance lower than expected (missing decrease)"))))),""))</f>
        <v/>
      </c>
    </row>
    <row r="1653" customFormat="false" ht="15" hidden="false" customHeight="false" outlineLevel="0" collapsed="false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9"/>
      <c r="L1653" s="9"/>
      <c r="M1653" s="9"/>
      <c r="N1653" s="9"/>
      <c r="O1653" s="9"/>
      <c r="P1653" s="9"/>
      <c r="Q1653" s="9"/>
      <c r="R1653" s="9" t="str">
        <f aca="false">IF(AND(A1653&lt;&gt;"",ISNUMBER(Q1653),ISNUMBER(L1653)),ROUND(Q1653-IF(ISNUMBER(N1653),N1653,0)-IF(ISNUMBER(O1653),O1653,0)+IF(ISNUMBER(P1653),P1653,0),2),"")</f>
        <v/>
      </c>
      <c r="S1653" s="9" t="str">
        <f aca="false">IF(R1653="","",ROUND(L1653-R1653,2))</f>
        <v/>
      </c>
      <c r="T1653" s="8" t="str">
        <f aca="false">IF(A1653="","",IF(S1653="","BYPASS",IF(ABS(S1653)&lt;=Summary!$B$2,"PASS","FAIL")))</f>
        <v/>
      </c>
      <c r="U1653" s="8" t="str">
        <f aca="false">IF(T1653="BYPASS",IF(NOT(ISNUMBER(Q1653)),"PreV_ETB missing","End_tr_balance missing"),IF(T1653="FAIL",IF(AND(ISNUMBER(K1653),ISNUMBER(L1653),ABS(L1653-(K1653-IF(ISNUMBER(N1653),N1653,0)-IF(ISNUMBER(O1653),O1653,0)+IF(ISNUMBER(P1653),P1653,0)))&lt;=Summary!$B$2),"Passes using beginning_balance - PreV_ETB differs from beginning_balance",IF(AND(ISNUMBER(O1653),O1653&lt;0,ABS(L1653-(Q1653-IF(ISNUMBER(N1653),N1653,0)+IF(ISNUMBER(P1653),P1653,0)))&lt;=Summary!$B$2),"Negative realized loss not applied - check sign",IF(R1653&lt;0,"Principal paid exceeds prior balance",IF(AND(L1653&gt;Q1653,NOT(ISNUMBER(P1653))),"Balance increased but no Deferred_interest reported",IF(L1653&gt;R1653,"Reported balance higher than expected (missing increase/OC build)","Reported balance lower than expected (missing decrease)"))))),""))</f>
        <v/>
      </c>
    </row>
    <row r="1654" customFormat="false" ht="15" hidden="false" customHeight="false" outlineLevel="0" collapsed="false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9"/>
      <c r="L1654" s="9"/>
      <c r="M1654" s="9"/>
      <c r="N1654" s="9"/>
      <c r="O1654" s="9"/>
      <c r="P1654" s="9"/>
      <c r="Q1654" s="9"/>
      <c r="R1654" s="9" t="str">
        <f aca="false">IF(AND(A1654&lt;&gt;"",ISNUMBER(Q1654),ISNUMBER(L1654)),ROUND(Q1654-IF(ISNUMBER(N1654),N1654,0)-IF(ISNUMBER(O1654),O1654,0)+IF(ISNUMBER(P1654),P1654,0),2),"")</f>
        <v/>
      </c>
      <c r="S1654" s="9" t="str">
        <f aca="false">IF(R1654="","",ROUND(L1654-R1654,2))</f>
        <v/>
      </c>
      <c r="T1654" s="8" t="str">
        <f aca="false">IF(A1654="","",IF(S1654="","BYPASS",IF(ABS(S1654)&lt;=Summary!$B$2,"PASS","FAIL")))</f>
        <v/>
      </c>
      <c r="U1654" s="8" t="str">
        <f aca="false">IF(T1654="BYPASS",IF(NOT(ISNUMBER(Q1654)),"PreV_ETB missing","End_tr_balance missing"),IF(T1654="FAIL",IF(AND(ISNUMBER(K1654),ISNUMBER(L1654),ABS(L1654-(K1654-IF(ISNUMBER(N1654),N1654,0)-IF(ISNUMBER(O1654),O1654,0)+IF(ISNUMBER(P1654),P1654,0)))&lt;=Summary!$B$2),"Passes using beginning_balance - PreV_ETB differs from beginning_balance",IF(AND(ISNUMBER(O1654),O1654&lt;0,ABS(L1654-(Q1654-IF(ISNUMBER(N1654),N1654,0)+IF(ISNUMBER(P1654),P1654,0)))&lt;=Summary!$B$2),"Negative realized loss not applied - check sign",IF(R1654&lt;0,"Principal paid exceeds prior balance",IF(AND(L1654&gt;Q1654,NOT(ISNUMBER(P1654))),"Balance increased but no Deferred_interest reported",IF(L1654&gt;R1654,"Reported balance higher than expected (missing increase/OC build)","Reported balance lower than expected (missing decrease)"))))),""))</f>
        <v/>
      </c>
    </row>
    <row r="1655" customFormat="false" ht="15" hidden="false" customHeight="false" outlineLevel="0" collapsed="false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9"/>
      <c r="L1655" s="9"/>
      <c r="M1655" s="9"/>
      <c r="N1655" s="9"/>
      <c r="O1655" s="9"/>
      <c r="P1655" s="9"/>
      <c r="Q1655" s="9"/>
      <c r="R1655" s="9" t="str">
        <f aca="false">IF(AND(A1655&lt;&gt;"",ISNUMBER(Q1655),ISNUMBER(L1655)),ROUND(Q1655-IF(ISNUMBER(N1655),N1655,0)-IF(ISNUMBER(O1655),O1655,0)+IF(ISNUMBER(P1655),P1655,0),2),"")</f>
        <v/>
      </c>
      <c r="S1655" s="9" t="str">
        <f aca="false">IF(R1655="","",ROUND(L1655-R1655,2))</f>
        <v/>
      </c>
      <c r="T1655" s="8" t="str">
        <f aca="false">IF(A1655="","",IF(S1655="","BYPASS",IF(ABS(S1655)&lt;=Summary!$B$2,"PASS","FAIL")))</f>
        <v/>
      </c>
      <c r="U1655" s="8" t="str">
        <f aca="false">IF(T1655="BYPASS",IF(NOT(ISNUMBER(Q1655)),"PreV_ETB missing","End_tr_balance missing"),IF(T1655="FAIL",IF(AND(ISNUMBER(K1655),ISNUMBER(L1655),ABS(L1655-(K1655-IF(ISNUMBER(N1655),N1655,0)-IF(ISNUMBER(O1655),O1655,0)+IF(ISNUMBER(P1655),P1655,0)))&lt;=Summary!$B$2),"Passes using beginning_balance - PreV_ETB differs from beginning_balance",IF(AND(ISNUMBER(O1655),O1655&lt;0,ABS(L1655-(Q1655-IF(ISNUMBER(N1655),N1655,0)+IF(ISNUMBER(P1655),P1655,0)))&lt;=Summary!$B$2),"Negative realized loss not applied - check sign",IF(R1655&lt;0,"Principal paid exceeds prior balance",IF(AND(L1655&gt;Q1655,NOT(ISNUMBER(P1655))),"Balance increased but no Deferred_interest reported",IF(L1655&gt;R1655,"Reported balance higher than expected (missing increase/OC build)","Reported balance lower than expected (missing decrease)"))))),""))</f>
        <v/>
      </c>
    </row>
    <row r="1656" customFormat="false" ht="15" hidden="false" customHeight="false" outlineLevel="0" collapsed="false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9"/>
      <c r="L1656" s="9"/>
      <c r="M1656" s="9"/>
      <c r="N1656" s="9"/>
      <c r="O1656" s="9"/>
      <c r="P1656" s="9"/>
      <c r="Q1656" s="9"/>
      <c r="R1656" s="9" t="str">
        <f aca="false">IF(AND(A1656&lt;&gt;"",ISNUMBER(Q1656),ISNUMBER(L1656)),ROUND(Q1656-IF(ISNUMBER(N1656),N1656,0)-IF(ISNUMBER(O1656),O1656,0)+IF(ISNUMBER(P1656),P1656,0),2),"")</f>
        <v/>
      </c>
      <c r="S1656" s="9" t="str">
        <f aca="false">IF(R1656="","",ROUND(L1656-R1656,2))</f>
        <v/>
      </c>
      <c r="T1656" s="8" t="str">
        <f aca="false">IF(A1656="","",IF(S1656="","BYPASS",IF(ABS(S1656)&lt;=Summary!$B$2,"PASS","FAIL")))</f>
        <v/>
      </c>
      <c r="U1656" s="8" t="str">
        <f aca="false">IF(T1656="BYPASS",IF(NOT(ISNUMBER(Q1656)),"PreV_ETB missing","End_tr_balance missing"),IF(T1656="FAIL",IF(AND(ISNUMBER(K1656),ISNUMBER(L1656),ABS(L1656-(K1656-IF(ISNUMBER(N1656),N1656,0)-IF(ISNUMBER(O1656),O1656,0)+IF(ISNUMBER(P1656),P1656,0)))&lt;=Summary!$B$2),"Passes using beginning_balance - PreV_ETB differs from beginning_balance",IF(AND(ISNUMBER(O1656),O1656&lt;0,ABS(L1656-(Q1656-IF(ISNUMBER(N1656),N1656,0)+IF(ISNUMBER(P1656),P1656,0)))&lt;=Summary!$B$2),"Negative realized loss not applied - check sign",IF(R1656&lt;0,"Principal paid exceeds prior balance",IF(AND(L1656&gt;Q1656,NOT(ISNUMBER(P1656))),"Balance increased but no Deferred_interest reported",IF(L1656&gt;R1656,"Reported balance higher than expected (missing increase/OC build)","Reported balance lower than expected (missing decrease)"))))),""))</f>
        <v/>
      </c>
    </row>
    <row r="1657" customFormat="false" ht="15" hidden="false" customHeight="false" outlineLevel="0" collapsed="false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9"/>
      <c r="L1657" s="9"/>
      <c r="M1657" s="9"/>
      <c r="N1657" s="9"/>
      <c r="O1657" s="9"/>
      <c r="P1657" s="9"/>
      <c r="Q1657" s="9"/>
      <c r="R1657" s="9" t="str">
        <f aca="false">IF(AND(A1657&lt;&gt;"",ISNUMBER(Q1657),ISNUMBER(L1657)),ROUND(Q1657-IF(ISNUMBER(N1657),N1657,0)-IF(ISNUMBER(O1657),O1657,0)+IF(ISNUMBER(P1657),P1657,0),2),"")</f>
        <v/>
      </c>
      <c r="S1657" s="9" t="str">
        <f aca="false">IF(R1657="","",ROUND(L1657-R1657,2))</f>
        <v/>
      </c>
      <c r="T1657" s="8" t="str">
        <f aca="false">IF(A1657="","",IF(S1657="","BYPASS",IF(ABS(S1657)&lt;=Summary!$B$2,"PASS","FAIL")))</f>
        <v/>
      </c>
      <c r="U1657" s="8" t="str">
        <f aca="false">IF(T1657="BYPASS",IF(NOT(ISNUMBER(Q1657)),"PreV_ETB missing","End_tr_balance missing"),IF(T1657="FAIL",IF(AND(ISNUMBER(K1657),ISNUMBER(L1657),ABS(L1657-(K1657-IF(ISNUMBER(N1657),N1657,0)-IF(ISNUMBER(O1657),O1657,0)+IF(ISNUMBER(P1657),P1657,0)))&lt;=Summary!$B$2),"Passes using beginning_balance - PreV_ETB differs from beginning_balance",IF(AND(ISNUMBER(O1657),O1657&lt;0,ABS(L1657-(Q1657-IF(ISNUMBER(N1657),N1657,0)+IF(ISNUMBER(P1657),P1657,0)))&lt;=Summary!$B$2),"Negative realized loss not applied - check sign",IF(R1657&lt;0,"Principal paid exceeds prior balance",IF(AND(L1657&gt;Q1657,NOT(ISNUMBER(P1657))),"Balance increased but no Deferred_interest reported",IF(L1657&gt;R1657,"Reported balance higher than expected (missing increase/OC build)","Reported balance lower than expected (missing decrease)"))))),""))</f>
        <v/>
      </c>
    </row>
    <row r="1658" customFormat="false" ht="15" hidden="false" customHeight="false" outlineLevel="0" collapsed="false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9"/>
      <c r="L1658" s="9"/>
      <c r="M1658" s="9"/>
      <c r="N1658" s="9"/>
      <c r="O1658" s="9"/>
      <c r="P1658" s="9"/>
      <c r="Q1658" s="9"/>
      <c r="R1658" s="9" t="str">
        <f aca="false">IF(AND(A1658&lt;&gt;"",ISNUMBER(Q1658),ISNUMBER(L1658)),ROUND(Q1658-IF(ISNUMBER(N1658),N1658,0)-IF(ISNUMBER(O1658),O1658,0)+IF(ISNUMBER(P1658),P1658,0),2),"")</f>
        <v/>
      </c>
      <c r="S1658" s="9" t="str">
        <f aca="false">IF(R1658="","",ROUND(L1658-R1658,2))</f>
        <v/>
      </c>
      <c r="T1658" s="8" t="str">
        <f aca="false">IF(A1658="","",IF(S1658="","BYPASS",IF(ABS(S1658)&lt;=Summary!$B$2,"PASS","FAIL")))</f>
        <v/>
      </c>
      <c r="U1658" s="8" t="str">
        <f aca="false">IF(T1658="BYPASS",IF(NOT(ISNUMBER(Q1658)),"PreV_ETB missing","End_tr_balance missing"),IF(T1658="FAIL",IF(AND(ISNUMBER(K1658),ISNUMBER(L1658),ABS(L1658-(K1658-IF(ISNUMBER(N1658),N1658,0)-IF(ISNUMBER(O1658),O1658,0)+IF(ISNUMBER(P1658),P1658,0)))&lt;=Summary!$B$2),"Passes using beginning_balance - PreV_ETB differs from beginning_balance",IF(AND(ISNUMBER(O1658),O1658&lt;0,ABS(L1658-(Q1658-IF(ISNUMBER(N1658),N1658,0)+IF(ISNUMBER(P1658),P1658,0)))&lt;=Summary!$B$2),"Negative realized loss not applied - check sign",IF(R1658&lt;0,"Principal paid exceeds prior balance",IF(AND(L1658&gt;Q1658,NOT(ISNUMBER(P1658))),"Balance increased but no Deferred_interest reported",IF(L1658&gt;R1658,"Reported balance higher than expected (missing increase/OC build)","Reported balance lower than expected (missing decrease)"))))),""))</f>
        <v/>
      </c>
    </row>
    <row r="1659" customFormat="false" ht="15" hidden="false" customHeight="false" outlineLevel="0" collapsed="false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9"/>
      <c r="L1659" s="9"/>
      <c r="M1659" s="9"/>
      <c r="N1659" s="9"/>
      <c r="O1659" s="9"/>
      <c r="P1659" s="9"/>
      <c r="Q1659" s="9"/>
      <c r="R1659" s="9" t="str">
        <f aca="false">IF(AND(A1659&lt;&gt;"",ISNUMBER(Q1659),ISNUMBER(L1659)),ROUND(Q1659-IF(ISNUMBER(N1659),N1659,0)-IF(ISNUMBER(O1659),O1659,0)+IF(ISNUMBER(P1659),P1659,0),2),"")</f>
        <v/>
      </c>
      <c r="S1659" s="9" t="str">
        <f aca="false">IF(R1659="","",ROUND(L1659-R1659,2))</f>
        <v/>
      </c>
      <c r="T1659" s="8" t="str">
        <f aca="false">IF(A1659="","",IF(S1659="","BYPASS",IF(ABS(S1659)&lt;=Summary!$B$2,"PASS","FAIL")))</f>
        <v/>
      </c>
      <c r="U1659" s="8" t="str">
        <f aca="false">IF(T1659="BYPASS",IF(NOT(ISNUMBER(Q1659)),"PreV_ETB missing","End_tr_balance missing"),IF(T1659="FAIL",IF(AND(ISNUMBER(K1659),ISNUMBER(L1659),ABS(L1659-(K1659-IF(ISNUMBER(N1659),N1659,0)-IF(ISNUMBER(O1659),O1659,0)+IF(ISNUMBER(P1659),P1659,0)))&lt;=Summary!$B$2),"Passes using beginning_balance - PreV_ETB differs from beginning_balance",IF(AND(ISNUMBER(O1659),O1659&lt;0,ABS(L1659-(Q1659-IF(ISNUMBER(N1659),N1659,0)+IF(ISNUMBER(P1659),P1659,0)))&lt;=Summary!$B$2),"Negative realized loss not applied - check sign",IF(R1659&lt;0,"Principal paid exceeds prior balance",IF(AND(L1659&gt;Q1659,NOT(ISNUMBER(P1659))),"Balance increased but no Deferred_interest reported",IF(L1659&gt;R1659,"Reported balance higher than expected (missing increase/OC build)","Reported balance lower than expected (missing decrease)"))))),""))</f>
        <v/>
      </c>
    </row>
    <row r="1660" customFormat="false" ht="15" hidden="false" customHeight="false" outlineLevel="0" collapsed="false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9"/>
      <c r="L1660" s="9"/>
      <c r="M1660" s="9"/>
      <c r="N1660" s="9"/>
      <c r="O1660" s="9"/>
      <c r="P1660" s="9"/>
      <c r="Q1660" s="9"/>
      <c r="R1660" s="9" t="str">
        <f aca="false">IF(AND(A1660&lt;&gt;"",ISNUMBER(Q1660),ISNUMBER(L1660)),ROUND(Q1660-IF(ISNUMBER(N1660),N1660,0)-IF(ISNUMBER(O1660),O1660,0)+IF(ISNUMBER(P1660),P1660,0),2),"")</f>
        <v/>
      </c>
      <c r="S1660" s="9" t="str">
        <f aca="false">IF(R1660="","",ROUND(L1660-R1660,2))</f>
        <v/>
      </c>
      <c r="T1660" s="8" t="str">
        <f aca="false">IF(A1660="","",IF(S1660="","BYPASS",IF(ABS(S1660)&lt;=Summary!$B$2,"PASS","FAIL")))</f>
        <v/>
      </c>
      <c r="U1660" s="8" t="str">
        <f aca="false">IF(T1660="BYPASS",IF(NOT(ISNUMBER(Q1660)),"PreV_ETB missing","End_tr_balance missing"),IF(T1660="FAIL",IF(AND(ISNUMBER(K1660),ISNUMBER(L1660),ABS(L1660-(K1660-IF(ISNUMBER(N1660),N1660,0)-IF(ISNUMBER(O1660),O1660,0)+IF(ISNUMBER(P1660),P1660,0)))&lt;=Summary!$B$2),"Passes using beginning_balance - PreV_ETB differs from beginning_balance",IF(AND(ISNUMBER(O1660),O1660&lt;0,ABS(L1660-(Q1660-IF(ISNUMBER(N1660),N1660,0)+IF(ISNUMBER(P1660),P1660,0)))&lt;=Summary!$B$2),"Negative realized loss not applied - check sign",IF(R1660&lt;0,"Principal paid exceeds prior balance",IF(AND(L1660&gt;Q1660,NOT(ISNUMBER(P1660))),"Balance increased but no Deferred_interest reported",IF(L1660&gt;R1660,"Reported balance higher than expected (missing increase/OC build)","Reported balance lower than expected (missing decrease)"))))),""))</f>
        <v/>
      </c>
    </row>
    <row r="1661" customFormat="false" ht="15" hidden="false" customHeight="false" outlineLevel="0" collapsed="false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9"/>
      <c r="L1661" s="9"/>
      <c r="M1661" s="9"/>
      <c r="N1661" s="9"/>
      <c r="O1661" s="9"/>
      <c r="P1661" s="9"/>
      <c r="Q1661" s="9"/>
      <c r="R1661" s="9" t="str">
        <f aca="false">IF(AND(A1661&lt;&gt;"",ISNUMBER(Q1661),ISNUMBER(L1661)),ROUND(Q1661-IF(ISNUMBER(N1661),N1661,0)-IF(ISNUMBER(O1661),O1661,0)+IF(ISNUMBER(P1661),P1661,0),2),"")</f>
        <v/>
      </c>
      <c r="S1661" s="9" t="str">
        <f aca="false">IF(R1661="","",ROUND(L1661-R1661,2))</f>
        <v/>
      </c>
      <c r="T1661" s="8" t="str">
        <f aca="false">IF(A1661="","",IF(S1661="","BYPASS",IF(ABS(S1661)&lt;=Summary!$B$2,"PASS","FAIL")))</f>
        <v/>
      </c>
      <c r="U1661" s="8" t="str">
        <f aca="false">IF(T1661="BYPASS",IF(NOT(ISNUMBER(Q1661)),"PreV_ETB missing","End_tr_balance missing"),IF(T1661="FAIL",IF(AND(ISNUMBER(K1661),ISNUMBER(L1661),ABS(L1661-(K1661-IF(ISNUMBER(N1661),N1661,0)-IF(ISNUMBER(O1661),O1661,0)+IF(ISNUMBER(P1661),P1661,0)))&lt;=Summary!$B$2),"Passes using beginning_balance - PreV_ETB differs from beginning_balance",IF(AND(ISNUMBER(O1661),O1661&lt;0,ABS(L1661-(Q1661-IF(ISNUMBER(N1661),N1661,0)+IF(ISNUMBER(P1661),P1661,0)))&lt;=Summary!$B$2),"Negative realized loss not applied - check sign",IF(R1661&lt;0,"Principal paid exceeds prior balance",IF(AND(L1661&gt;Q1661,NOT(ISNUMBER(P1661))),"Balance increased but no Deferred_interest reported",IF(L1661&gt;R1661,"Reported balance higher than expected (missing increase/OC build)","Reported balance lower than expected (missing decrease)"))))),""))</f>
        <v/>
      </c>
    </row>
    <row r="1662" customFormat="false" ht="15" hidden="false" customHeight="false" outlineLevel="0" collapsed="false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9"/>
      <c r="L1662" s="9"/>
      <c r="M1662" s="9"/>
      <c r="N1662" s="9"/>
      <c r="O1662" s="9"/>
      <c r="P1662" s="9"/>
      <c r="Q1662" s="9"/>
      <c r="R1662" s="9" t="str">
        <f aca="false">IF(AND(A1662&lt;&gt;"",ISNUMBER(Q1662),ISNUMBER(L1662)),ROUND(Q1662-IF(ISNUMBER(N1662),N1662,0)-IF(ISNUMBER(O1662),O1662,0)+IF(ISNUMBER(P1662),P1662,0),2),"")</f>
        <v/>
      </c>
      <c r="S1662" s="9" t="str">
        <f aca="false">IF(R1662="","",ROUND(L1662-R1662,2))</f>
        <v/>
      </c>
      <c r="T1662" s="8" t="str">
        <f aca="false">IF(A1662="","",IF(S1662="","BYPASS",IF(ABS(S1662)&lt;=Summary!$B$2,"PASS","FAIL")))</f>
        <v/>
      </c>
      <c r="U1662" s="8" t="str">
        <f aca="false">IF(T1662="BYPASS",IF(NOT(ISNUMBER(Q1662)),"PreV_ETB missing","End_tr_balance missing"),IF(T1662="FAIL",IF(AND(ISNUMBER(K1662),ISNUMBER(L1662),ABS(L1662-(K1662-IF(ISNUMBER(N1662),N1662,0)-IF(ISNUMBER(O1662),O1662,0)+IF(ISNUMBER(P1662),P1662,0)))&lt;=Summary!$B$2),"Passes using beginning_balance - PreV_ETB differs from beginning_balance",IF(AND(ISNUMBER(O1662),O1662&lt;0,ABS(L1662-(Q1662-IF(ISNUMBER(N1662),N1662,0)+IF(ISNUMBER(P1662),P1662,0)))&lt;=Summary!$B$2),"Negative realized loss not applied - check sign",IF(R1662&lt;0,"Principal paid exceeds prior balance",IF(AND(L1662&gt;Q1662,NOT(ISNUMBER(P1662))),"Balance increased but no Deferred_interest reported",IF(L1662&gt;R1662,"Reported balance higher than expected (missing increase/OC build)","Reported balance lower than expected (missing decrease)"))))),""))</f>
        <v/>
      </c>
    </row>
    <row r="1663" customFormat="false" ht="15" hidden="false" customHeight="false" outlineLevel="0" collapsed="false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9"/>
      <c r="L1663" s="9"/>
      <c r="M1663" s="9"/>
      <c r="N1663" s="9"/>
      <c r="O1663" s="9"/>
      <c r="P1663" s="9"/>
      <c r="Q1663" s="9"/>
      <c r="R1663" s="9" t="str">
        <f aca="false">IF(AND(A1663&lt;&gt;"",ISNUMBER(Q1663),ISNUMBER(L1663)),ROUND(Q1663-IF(ISNUMBER(N1663),N1663,0)-IF(ISNUMBER(O1663),O1663,0)+IF(ISNUMBER(P1663),P1663,0),2),"")</f>
        <v/>
      </c>
      <c r="S1663" s="9" t="str">
        <f aca="false">IF(R1663="","",ROUND(L1663-R1663,2))</f>
        <v/>
      </c>
      <c r="T1663" s="8" t="str">
        <f aca="false">IF(A1663="","",IF(S1663="","BYPASS",IF(ABS(S1663)&lt;=Summary!$B$2,"PASS","FAIL")))</f>
        <v/>
      </c>
      <c r="U1663" s="8" t="str">
        <f aca="false">IF(T1663="BYPASS",IF(NOT(ISNUMBER(Q1663)),"PreV_ETB missing","End_tr_balance missing"),IF(T1663="FAIL",IF(AND(ISNUMBER(K1663),ISNUMBER(L1663),ABS(L1663-(K1663-IF(ISNUMBER(N1663),N1663,0)-IF(ISNUMBER(O1663),O1663,0)+IF(ISNUMBER(P1663),P1663,0)))&lt;=Summary!$B$2),"Passes using beginning_balance - PreV_ETB differs from beginning_balance",IF(AND(ISNUMBER(O1663),O1663&lt;0,ABS(L1663-(Q1663-IF(ISNUMBER(N1663),N1663,0)+IF(ISNUMBER(P1663),P1663,0)))&lt;=Summary!$B$2),"Negative realized loss not applied - check sign",IF(R1663&lt;0,"Principal paid exceeds prior balance",IF(AND(L1663&gt;Q1663,NOT(ISNUMBER(P1663))),"Balance increased but no Deferred_interest reported",IF(L1663&gt;R1663,"Reported balance higher than expected (missing increase/OC build)","Reported balance lower than expected (missing decrease)"))))),""))</f>
        <v/>
      </c>
    </row>
    <row r="1664" customFormat="false" ht="15" hidden="false" customHeight="false" outlineLevel="0" collapsed="false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9"/>
      <c r="L1664" s="9"/>
      <c r="M1664" s="9"/>
      <c r="N1664" s="9"/>
      <c r="O1664" s="9"/>
      <c r="P1664" s="9"/>
      <c r="Q1664" s="9"/>
      <c r="R1664" s="9" t="str">
        <f aca="false">IF(AND(A1664&lt;&gt;"",ISNUMBER(Q1664),ISNUMBER(L1664)),ROUND(Q1664-IF(ISNUMBER(N1664),N1664,0)-IF(ISNUMBER(O1664),O1664,0)+IF(ISNUMBER(P1664),P1664,0),2),"")</f>
        <v/>
      </c>
      <c r="S1664" s="9" t="str">
        <f aca="false">IF(R1664="","",ROUND(L1664-R1664,2))</f>
        <v/>
      </c>
      <c r="T1664" s="8" t="str">
        <f aca="false">IF(A1664="","",IF(S1664="","BYPASS",IF(ABS(S1664)&lt;=Summary!$B$2,"PASS","FAIL")))</f>
        <v/>
      </c>
      <c r="U1664" s="8" t="str">
        <f aca="false">IF(T1664="BYPASS",IF(NOT(ISNUMBER(Q1664)),"PreV_ETB missing","End_tr_balance missing"),IF(T1664="FAIL",IF(AND(ISNUMBER(K1664),ISNUMBER(L1664),ABS(L1664-(K1664-IF(ISNUMBER(N1664),N1664,0)-IF(ISNUMBER(O1664),O1664,0)+IF(ISNUMBER(P1664),P1664,0)))&lt;=Summary!$B$2),"Passes using beginning_balance - PreV_ETB differs from beginning_balance",IF(AND(ISNUMBER(O1664),O1664&lt;0,ABS(L1664-(Q1664-IF(ISNUMBER(N1664),N1664,0)+IF(ISNUMBER(P1664),P1664,0)))&lt;=Summary!$B$2),"Negative realized loss not applied - check sign",IF(R1664&lt;0,"Principal paid exceeds prior balance",IF(AND(L1664&gt;Q1664,NOT(ISNUMBER(P1664))),"Balance increased but no Deferred_interest reported",IF(L1664&gt;R1664,"Reported balance higher than expected (missing increase/OC build)","Reported balance lower than expected (missing decrease)"))))),""))</f>
        <v/>
      </c>
    </row>
    <row r="1665" customFormat="false" ht="15" hidden="false" customHeight="false" outlineLevel="0" collapsed="false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9"/>
      <c r="L1665" s="9"/>
      <c r="M1665" s="9"/>
      <c r="N1665" s="9"/>
      <c r="O1665" s="9"/>
      <c r="P1665" s="9"/>
      <c r="Q1665" s="9"/>
      <c r="R1665" s="9" t="str">
        <f aca="false">IF(AND(A1665&lt;&gt;"",ISNUMBER(Q1665),ISNUMBER(L1665)),ROUND(Q1665-IF(ISNUMBER(N1665),N1665,0)-IF(ISNUMBER(O1665),O1665,0)+IF(ISNUMBER(P1665),P1665,0),2),"")</f>
        <v/>
      </c>
      <c r="S1665" s="9" t="str">
        <f aca="false">IF(R1665="","",ROUND(L1665-R1665,2))</f>
        <v/>
      </c>
      <c r="T1665" s="8" t="str">
        <f aca="false">IF(A1665="","",IF(S1665="","BYPASS",IF(ABS(S1665)&lt;=Summary!$B$2,"PASS","FAIL")))</f>
        <v/>
      </c>
      <c r="U1665" s="8" t="str">
        <f aca="false">IF(T1665="BYPASS",IF(NOT(ISNUMBER(Q1665)),"PreV_ETB missing","End_tr_balance missing"),IF(T1665="FAIL",IF(AND(ISNUMBER(K1665),ISNUMBER(L1665),ABS(L1665-(K1665-IF(ISNUMBER(N1665),N1665,0)-IF(ISNUMBER(O1665),O1665,0)+IF(ISNUMBER(P1665),P1665,0)))&lt;=Summary!$B$2),"Passes using beginning_balance - PreV_ETB differs from beginning_balance",IF(AND(ISNUMBER(O1665),O1665&lt;0,ABS(L1665-(Q1665-IF(ISNUMBER(N1665),N1665,0)+IF(ISNUMBER(P1665),P1665,0)))&lt;=Summary!$B$2),"Negative realized loss not applied - check sign",IF(R1665&lt;0,"Principal paid exceeds prior balance",IF(AND(L1665&gt;Q1665,NOT(ISNUMBER(P1665))),"Balance increased but no Deferred_interest reported",IF(L1665&gt;R1665,"Reported balance higher than expected (missing increase/OC build)","Reported balance lower than expected (missing decrease)"))))),""))</f>
        <v/>
      </c>
    </row>
    <row r="1666" customFormat="false" ht="15" hidden="false" customHeight="false" outlineLevel="0" collapsed="false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9"/>
      <c r="L1666" s="9"/>
      <c r="M1666" s="9"/>
      <c r="N1666" s="9"/>
      <c r="O1666" s="9"/>
      <c r="P1666" s="9"/>
      <c r="Q1666" s="9"/>
      <c r="R1666" s="9" t="str">
        <f aca="false">IF(AND(A1666&lt;&gt;"",ISNUMBER(Q1666),ISNUMBER(L1666)),ROUND(Q1666-IF(ISNUMBER(N1666),N1666,0)-IF(ISNUMBER(O1666),O1666,0)+IF(ISNUMBER(P1666),P1666,0),2),"")</f>
        <v/>
      </c>
      <c r="S1666" s="9" t="str">
        <f aca="false">IF(R1666="","",ROUND(L1666-R1666,2))</f>
        <v/>
      </c>
      <c r="T1666" s="8" t="str">
        <f aca="false">IF(A1666="","",IF(S1666="","BYPASS",IF(ABS(S1666)&lt;=Summary!$B$2,"PASS","FAIL")))</f>
        <v/>
      </c>
      <c r="U1666" s="8" t="str">
        <f aca="false">IF(T1666="BYPASS",IF(NOT(ISNUMBER(Q1666)),"PreV_ETB missing","End_tr_balance missing"),IF(T1666="FAIL",IF(AND(ISNUMBER(K1666),ISNUMBER(L1666),ABS(L1666-(K1666-IF(ISNUMBER(N1666),N1666,0)-IF(ISNUMBER(O1666),O1666,0)+IF(ISNUMBER(P1666),P1666,0)))&lt;=Summary!$B$2),"Passes using beginning_balance - PreV_ETB differs from beginning_balance",IF(AND(ISNUMBER(O1666),O1666&lt;0,ABS(L1666-(Q1666-IF(ISNUMBER(N1666),N1666,0)+IF(ISNUMBER(P1666),P1666,0)))&lt;=Summary!$B$2),"Negative realized loss not applied - check sign",IF(R1666&lt;0,"Principal paid exceeds prior balance",IF(AND(L1666&gt;Q1666,NOT(ISNUMBER(P1666))),"Balance increased but no Deferred_interest reported",IF(L1666&gt;R1666,"Reported balance higher than expected (missing increase/OC build)","Reported balance lower than expected (missing decrease)"))))),""))</f>
        <v/>
      </c>
    </row>
    <row r="1667" customFormat="false" ht="15" hidden="false" customHeight="false" outlineLevel="0" collapsed="false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9"/>
      <c r="L1667" s="9"/>
      <c r="M1667" s="9"/>
      <c r="N1667" s="9"/>
      <c r="O1667" s="9"/>
      <c r="P1667" s="9"/>
      <c r="Q1667" s="9"/>
      <c r="R1667" s="9" t="str">
        <f aca="false">IF(AND(A1667&lt;&gt;"",ISNUMBER(Q1667),ISNUMBER(L1667)),ROUND(Q1667-IF(ISNUMBER(N1667),N1667,0)-IF(ISNUMBER(O1667),O1667,0)+IF(ISNUMBER(P1667),P1667,0),2),"")</f>
        <v/>
      </c>
      <c r="S1667" s="9" t="str">
        <f aca="false">IF(R1667="","",ROUND(L1667-R1667,2))</f>
        <v/>
      </c>
      <c r="T1667" s="8" t="str">
        <f aca="false">IF(A1667="","",IF(S1667="","BYPASS",IF(ABS(S1667)&lt;=Summary!$B$2,"PASS","FAIL")))</f>
        <v/>
      </c>
      <c r="U1667" s="8" t="str">
        <f aca="false">IF(T1667="BYPASS",IF(NOT(ISNUMBER(Q1667)),"PreV_ETB missing","End_tr_balance missing"),IF(T1667="FAIL",IF(AND(ISNUMBER(K1667),ISNUMBER(L1667),ABS(L1667-(K1667-IF(ISNUMBER(N1667),N1667,0)-IF(ISNUMBER(O1667),O1667,0)+IF(ISNUMBER(P1667),P1667,0)))&lt;=Summary!$B$2),"Passes using beginning_balance - PreV_ETB differs from beginning_balance",IF(AND(ISNUMBER(O1667),O1667&lt;0,ABS(L1667-(Q1667-IF(ISNUMBER(N1667),N1667,0)+IF(ISNUMBER(P1667),P1667,0)))&lt;=Summary!$B$2),"Negative realized loss not applied - check sign",IF(R1667&lt;0,"Principal paid exceeds prior balance",IF(AND(L1667&gt;Q1667,NOT(ISNUMBER(P1667))),"Balance increased but no Deferred_interest reported",IF(L1667&gt;R1667,"Reported balance higher than expected (missing increase/OC build)","Reported balance lower than expected (missing decrease)"))))),""))</f>
        <v/>
      </c>
    </row>
    <row r="1668" customFormat="false" ht="15" hidden="false" customHeight="false" outlineLevel="0" collapsed="false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9"/>
      <c r="L1668" s="9"/>
      <c r="M1668" s="9"/>
      <c r="N1668" s="9"/>
      <c r="O1668" s="9"/>
      <c r="P1668" s="9"/>
      <c r="Q1668" s="9"/>
      <c r="R1668" s="9" t="str">
        <f aca="false">IF(AND(A1668&lt;&gt;"",ISNUMBER(Q1668),ISNUMBER(L1668)),ROUND(Q1668-IF(ISNUMBER(N1668),N1668,0)-IF(ISNUMBER(O1668),O1668,0)+IF(ISNUMBER(P1668),P1668,0),2),"")</f>
        <v/>
      </c>
      <c r="S1668" s="9" t="str">
        <f aca="false">IF(R1668="","",ROUND(L1668-R1668,2))</f>
        <v/>
      </c>
      <c r="T1668" s="8" t="str">
        <f aca="false">IF(A1668="","",IF(S1668="","BYPASS",IF(ABS(S1668)&lt;=Summary!$B$2,"PASS","FAIL")))</f>
        <v/>
      </c>
      <c r="U1668" s="8" t="str">
        <f aca="false">IF(T1668="BYPASS",IF(NOT(ISNUMBER(Q1668)),"PreV_ETB missing","End_tr_balance missing"),IF(T1668="FAIL",IF(AND(ISNUMBER(K1668),ISNUMBER(L1668),ABS(L1668-(K1668-IF(ISNUMBER(N1668),N1668,0)-IF(ISNUMBER(O1668),O1668,0)+IF(ISNUMBER(P1668),P1668,0)))&lt;=Summary!$B$2),"Passes using beginning_balance - PreV_ETB differs from beginning_balance",IF(AND(ISNUMBER(O1668),O1668&lt;0,ABS(L1668-(Q1668-IF(ISNUMBER(N1668),N1668,0)+IF(ISNUMBER(P1668),P1668,0)))&lt;=Summary!$B$2),"Negative realized loss not applied - check sign",IF(R1668&lt;0,"Principal paid exceeds prior balance",IF(AND(L1668&gt;Q1668,NOT(ISNUMBER(P1668))),"Balance increased but no Deferred_interest reported",IF(L1668&gt;R1668,"Reported balance higher than expected (missing increase/OC build)","Reported balance lower than expected (missing decrease)"))))),""))</f>
        <v/>
      </c>
    </row>
    <row r="1669" customFormat="false" ht="15" hidden="false" customHeight="false" outlineLevel="0" collapsed="false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9"/>
      <c r="L1669" s="9"/>
      <c r="M1669" s="9"/>
      <c r="N1669" s="9"/>
      <c r="O1669" s="9"/>
      <c r="P1669" s="9"/>
      <c r="Q1669" s="9"/>
      <c r="R1669" s="9" t="str">
        <f aca="false">IF(AND(A1669&lt;&gt;"",ISNUMBER(Q1669),ISNUMBER(L1669)),ROUND(Q1669-IF(ISNUMBER(N1669),N1669,0)-IF(ISNUMBER(O1669),O1669,0)+IF(ISNUMBER(P1669),P1669,0),2),"")</f>
        <v/>
      </c>
      <c r="S1669" s="9" t="str">
        <f aca="false">IF(R1669="","",ROUND(L1669-R1669,2))</f>
        <v/>
      </c>
      <c r="T1669" s="8" t="str">
        <f aca="false">IF(A1669="","",IF(S1669="","BYPASS",IF(ABS(S1669)&lt;=Summary!$B$2,"PASS","FAIL")))</f>
        <v/>
      </c>
      <c r="U1669" s="8" t="str">
        <f aca="false">IF(T1669="BYPASS",IF(NOT(ISNUMBER(Q1669)),"PreV_ETB missing","End_tr_balance missing"),IF(T1669="FAIL",IF(AND(ISNUMBER(K1669),ISNUMBER(L1669),ABS(L1669-(K1669-IF(ISNUMBER(N1669),N1669,0)-IF(ISNUMBER(O1669),O1669,0)+IF(ISNUMBER(P1669),P1669,0)))&lt;=Summary!$B$2),"Passes using beginning_balance - PreV_ETB differs from beginning_balance",IF(AND(ISNUMBER(O1669),O1669&lt;0,ABS(L1669-(Q1669-IF(ISNUMBER(N1669),N1669,0)+IF(ISNUMBER(P1669),P1669,0)))&lt;=Summary!$B$2),"Negative realized loss not applied - check sign",IF(R1669&lt;0,"Principal paid exceeds prior balance",IF(AND(L1669&gt;Q1669,NOT(ISNUMBER(P1669))),"Balance increased but no Deferred_interest reported",IF(L1669&gt;R1669,"Reported balance higher than expected (missing increase/OC build)","Reported balance lower than expected (missing decrease)"))))),""))</f>
        <v/>
      </c>
    </row>
    <row r="1670" customFormat="false" ht="15" hidden="false" customHeight="false" outlineLevel="0" collapsed="false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9"/>
      <c r="L1670" s="9"/>
      <c r="M1670" s="9"/>
      <c r="N1670" s="9"/>
      <c r="O1670" s="9"/>
      <c r="P1670" s="9"/>
      <c r="Q1670" s="9"/>
      <c r="R1670" s="9" t="str">
        <f aca="false">IF(AND(A1670&lt;&gt;"",ISNUMBER(Q1670),ISNUMBER(L1670)),ROUND(Q1670-IF(ISNUMBER(N1670),N1670,0)-IF(ISNUMBER(O1670),O1670,0)+IF(ISNUMBER(P1670),P1670,0),2),"")</f>
        <v/>
      </c>
      <c r="S1670" s="9" t="str">
        <f aca="false">IF(R1670="","",ROUND(L1670-R1670,2))</f>
        <v/>
      </c>
      <c r="T1670" s="8" t="str">
        <f aca="false">IF(A1670="","",IF(S1670="","BYPASS",IF(ABS(S1670)&lt;=Summary!$B$2,"PASS","FAIL")))</f>
        <v/>
      </c>
      <c r="U1670" s="8" t="str">
        <f aca="false">IF(T1670="BYPASS",IF(NOT(ISNUMBER(Q1670)),"PreV_ETB missing","End_tr_balance missing"),IF(T1670="FAIL",IF(AND(ISNUMBER(K1670),ISNUMBER(L1670),ABS(L1670-(K1670-IF(ISNUMBER(N1670),N1670,0)-IF(ISNUMBER(O1670),O1670,0)+IF(ISNUMBER(P1670),P1670,0)))&lt;=Summary!$B$2),"Passes using beginning_balance - PreV_ETB differs from beginning_balance",IF(AND(ISNUMBER(O1670),O1670&lt;0,ABS(L1670-(Q1670-IF(ISNUMBER(N1670),N1670,0)+IF(ISNUMBER(P1670),P1670,0)))&lt;=Summary!$B$2),"Negative realized loss not applied - check sign",IF(R1670&lt;0,"Principal paid exceeds prior balance",IF(AND(L1670&gt;Q1670,NOT(ISNUMBER(P1670))),"Balance increased but no Deferred_interest reported",IF(L1670&gt;R1670,"Reported balance higher than expected (missing increase/OC build)","Reported balance lower than expected (missing decrease)"))))),""))</f>
        <v/>
      </c>
    </row>
    <row r="1671" customFormat="false" ht="15" hidden="false" customHeight="false" outlineLevel="0" collapsed="false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9"/>
      <c r="L1671" s="9"/>
      <c r="M1671" s="9"/>
      <c r="N1671" s="9"/>
      <c r="O1671" s="9"/>
      <c r="P1671" s="9"/>
      <c r="Q1671" s="9"/>
      <c r="R1671" s="9" t="str">
        <f aca="false">IF(AND(A1671&lt;&gt;"",ISNUMBER(Q1671),ISNUMBER(L1671)),ROUND(Q1671-IF(ISNUMBER(N1671),N1671,0)-IF(ISNUMBER(O1671),O1671,0)+IF(ISNUMBER(P1671),P1671,0),2),"")</f>
        <v/>
      </c>
      <c r="S1671" s="9" t="str">
        <f aca="false">IF(R1671="","",ROUND(L1671-R1671,2))</f>
        <v/>
      </c>
      <c r="T1671" s="8" t="str">
        <f aca="false">IF(A1671="","",IF(S1671="","BYPASS",IF(ABS(S1671)&lt;=Summary!$B$2,"PASS","FAIL")))</f>
        <v/>
      </c>
      <c r="U1671" s="8" t="str">
        <f aca="false">IF(T1671="BYPASS",IF(NOT(ISNUMBER(Q1671)),"PreV_ETB missing","End_tr_balance missing"),IF(T1671="FAIL",IF(AND(ISNUMBER(K1671),ISNUMBER(L1671),ABS(L1671-(K1671-IF(ISNUMBER(N1671),N1671,0)-IF(ISNUMBER(O1671),O1671,0)+IF(ISNUMBER(P1671),P1671,0)))&lt;=Summary!$B$2),"Passes using beginning_balance - PreV_ETB differs from beginning_balance",IF(AND(ISNUMBER(O1671),O1671&lt;0,ABS(L1671-(Q1671-IF(ISNUMBER(N1671),N1671,0)+IF(ISNUMBER(P1671),P1671,0)))&lt;=Summary!$B$2),"Negative realized loss not applied - check sign",IF(R1671&lt;0,"Principal paid exceeds prior balance",IF(AND(L1671&gt;Q1671,NOT(ISNUMBER(P1671))),"Balance increased but no Deferred_interest reported",IF(L1671&gt;R1671,"Reported balance higher than expected (missing increase/OC build)","Reported balance lower than expected (missing decrease)"))))),""))</f>
        <v/>
      </c>
    </row>
    <row r="1672" customFormat="false" ht="15" hidden="false" customHeight="false" outlineLevel="0" collapsed="false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9"/>
      <c r="L1672" s="9"/>
      <c r="M1672" s="9"/>
      <c r="N1672" s="9"/>
      <c r="O1672" s="9"/>
      <c r="P1672" s="9"/>
      <c r="Q1672" s="9"/>
      <c r="R1672" s="9" t="str">
        <f aca="false">IF(AND(A1672&lt;&gt;"",ISNUMBER(Q1672),ISNUMBER(L1672)),ROUND(Q1672-IF(ISNUMBER(N1672),N1672,0)-IF(ISNUMBER(O1672),O1672,0)+IF(ISNUMBER(P1672),P1672,0),2),"")</f>
        <v/>
      </c>
      <c r="S1672" s="9" t="str">
        <f aca="false">IF(R1672="","",ROUND(L1672-R1672,2))</f>
        <v/>
      </c>
      <c r="T1672" s="8" t="str">
        <f aca="false">IF(A1672="","",IF(S1672="","BYPASS",IF(ABS(S1672)&lt;=Summary!$B$2,"PASS","FAIL")))</f>
        <v/>
      </c>
      <c r="U1672" s="8" t="str">
        <f aca="false">IF(T1672="BYPASS",IF(NOT(ISNUMBER(Q1672)),"PreV_ETB missing","End_tr_balance missing"),IF(T1672="FAIL",IF(AND(ISNUMBER(K1672),ISNUMBER(L1672),ABS(L1672-(K1672-IF(ISNUMBER(N1672),N1672,0)-IF(ISNUMBER(O1672),O1672,0)+IF(ISNUMBER(P1672),P1672,0)))&lt;=Summary!$B$2),"Passes using beginning_balance - PreV_ETB differs from beginning_balance",IF(AND(ISNUMBER(O1672),O1672&lt;0,ABS(L1672-(Q1672-IF(ISNUMBER(N1672),N1672,0)+IF(ISNUMBER(P1672),P1672,0)))&lt;=Summary!$B$2),"Negative realized loss not applied - check sign",IF(R1672&lt;0,"Principal paid exceeds prior balance",IF(AND(L1672&gt;Q1672,NOT(ISNUMBER(P1672))),"Balance increased but no Deferred_interest reported",IF(L1672&gt;R1672,"Reported balance higher than expected (missing increase/OC build)","Reported balance lower than expected (missing decrease)"))))),""))</f>
        <v/>
      </c>
    </row>
    <row r="1673" customFormat="false" ht="15" hidden="false" customHeight="false" outlineLevel="0" collapsed="false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9"/>
      <c r="L1673" s="9"/>
      <c r="M1673" s="9"/>
      <c r="N1673" s="9"/>
      <c r="O1673" s="9"/>
      <c r="P1673" s="9"/>
      <c r="Q1673" s="9"/>
      <c r="R1673" s="9" t="str">
        <f aca="false">IF(AND(A1673&lt;&gt;"",ISNUMBER(Q1673),ISNUMBER(L1673)),ROUND(Q1673-IF(ISNUMBER(N1673),N1673,0)-IF(ISNUMBER(O1673),O1673,0)+IF(ISNUMBER(P1673),P1673,0),2),"")</f>
        <v/>
      </c>
      <c r="S1673" s="9" t="str">
        <f aca="false">IF(R1673="","",ROUND(L1673-R1673,2))</f>
        <v/>
      </c>
      <c r="T1673" s="8" t="str">
        <f aca="false">IF(A1673="","",IF(S1673="","BYPASS",IF(ABS(S1673)&lt;=Summary!$B$2,"PASS","FAIL")))</f>
        <v/>
      </c>
      <c r="U1673" s="8" t="str">
        <f aca="false">IF(T1673="BYPASS",IF(NOT(ISNUMBER(Q1673)),"PreV_ETB missing","End_tr_balance missing"),IF(T1673="FAIL",IF(AND(ISNUMBER(K1673),ISNUMBER(L1673),ABS(L1673-(K1673-IF(ISNUMBER(N1673),N1673,0)-IF(ISNUMBER(O1673),O1673,0)+IF(ISNUMBER(P1673),P1673,0)))&lt;=Summary!$B$2),"Passes using beginning_balance - PreV_ETB differs from beginning_balance",IF(AND(ISNUMBER(O1673),O1673&lt;0,ABS(L1673-(Q1673-IF(ISNUMBER(N1673),N1673,0)+IF(ISNUMBER(P1673),P1673,0)))&lt;=Summary!$B$2),"Negative realized loss not applied - check sign",IF(R1673&lt;0,"Principal paid exceeds prior balance",IF(AND(L1673&gt;Q1673,NOT(ISNUMBER(P1673))),"Balance increased but no Deferred_interest reported",IF(L1673&gt;R1673,"Reported balance higher than expected (missing increase/OC build)","Reported balance lower than expected (missing decrease)"))))),""))</f>
        <v/>
      </c>
    </row>
    <row r="1674" customFormat="false" ht="15" hidden="false" customHeight="false" outlineLevel="0" collapsed="false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9"/>
      <c r="L1674" s="9"/>
      <c r="M1674" s="9"/>
      <c r="N1674" s="9"/>
      <c r="O1674" s="9"/>
      <c r="P1674" s="9"/>
      <c r="Q1674" s="9"/>
      <c r="R1674" s="9" t="str">
        <f aca="false">IF(AND(A1674&lt;&gt;"",ISNUMBER(Q1674),ISNUMBER(L1674)),ROUND(Q1674-IF(ISNUMBER(N1674),N1674,0)-IF(ISNUMBER(O1674),O1674,0)+IF(ISNUMBER(P1674),P1674,0),2),"")</f>
        <v/>
      </c>
      <c r="S1674" s="9" t="str">
        <f aca="false">IF(R1674="","",ROUND(L1674-R1674,2))</f>
        <v/>
      </c>
      <c r="T1674" s="8" t="str">
        <f aca="false">IF(A1674="","",IF(S1674="","BYPASS",IF(ABS(S1674)&lt;=Summary!$B$2,"PASS","FAIL")))</f>
        <v/>
      </c>
      <c r="U1674" s="8" t="str">
        <f aca="false">IF(T1674="BYPASS",IF(NOT(ISNUMBER(Q1674)),"PreV_ETB missing","End_tr_balance missing"),IF(T1674="FAIL",IF(AND(ISNUMBER(K1674),ISNUMBER(L1674),ABS(L1674-(K1674-IF(ISNUMBER(N1674),N1674,0)-IF(ISNUMBER(O1674),O1674,0)+IF(ISNUMBER(P1674),P1674,0)))&lt;=Summary!$B$2),"Passes using beginning_balance - PreV_ETB differs from beginning_balance",IF(AND(ISNUMBER(O1674),O1674&lt;0,ABS(L1674-(Q1674-IF(ISNUMBER(N1674),N1674,0)+IF(ISNUMBER(P1674),P1674,0)))&lt;=Summary!$B$2),"Negative realized loss not applied - check sign",IF(R1674&lt;0,"Principal paid exceeds prior balance",IF(AND(L1674&gt;Q1674,NOT(ISNUMBER(P1674))),"Balance increased but no Deferred_interest reported",IF(L1674&gt;R1674,"Reported balance higher than expected (missing increase/OC build)","Reported balance lower than expected (missing decrease)"))))),""))</f>
        <v/>
      </c>
    </row>
    <row r="1675" customFormat="false" ht="15" hidden="false" customHeight="false" outlineLevel="0" collapsed="false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9"/>
      <c r="L1675" s="9"/>
      <c r="M1675" s="9"/>
      <c r="N1675" s="9"/>
      <c r="O1675" s="9"/>
      <c r="P1675" s="9"/>
      <c r="Q1675" s="9"/>
      <c r="R1675" s="9" t="str">
        <f aca="false">IF(AND(A1675&lt;&gt;"",ISNUMBER(Q1675),ISNUMBER(L1675)),ROUND(Q1675-IF(ISNUMBER(N1675),N1675,0)-IF(ISNUMBER(O1675),O1675,0)+IF(ISNUMBER(P1675),P1675,0),2),"")</f>
        <v/>
      </c>
      <c r="S1675" s="9" t="str">
        <f aca="false">IF(R1675="","",ROUND(L1675-R1675,2))</f>
        <v/>
      </c>
      <c r="T1675" s="8" t="str">
        <f aca="false">IF(A1675="","",IF(S1675="","BYPASS",IF(ABS(S1675)&lt;=Summary!$B$2,"PASS","FAIL")))</f>
        <v/>
      </c>
      <c r="U1675" s="8" t="str">
        <f aca="false">IF(T1675="BYPASS",IF(NOT(ISNUMBER(Q1675)),"PreV_ETB missing","End_tr_balance missing"),IF(T1675="FAIL",IF(AND(ISNUMBER(K1675),ISNUMBER(L1675),ABS(L1675-(K1675-IF(ISNUMBER(N1675),N1675,0)-IF(ISNUMBER(O1675),O1675,0)+IF(ISNUMBER(P1675),P1675,0)))&lt;=Summary!$B$2),"Passes using beginning_balance - PreV_ETB differs from beginning_balance",IF(AND(ISNUMBER(O1675),O1675&lt;0,ABS(L1675-(Q1675-IF(ISNUMBER(N1675),N1675,0)+IF(ISNUMBER(P1675),P1675,0)))&lt;=Summary!$B$2),"Negative realized loss not applied - check sign",IF(R1675&lt;0,"Principal paid exceeds prior balance",IF(AND(L1675&gt;Q1675,NOT(ISNUMBER(P1675))),"Balance increased but no Deferred_interest reported",IF(L1675&gt;R1675,"Reported balance higher than expected (missing increase/OC build)","Reported balance lower than expected (missing decrease)"))))),""))</f>
        <v/>
      </c>
    </row>
    <row r="1676" customFormat="false" ht="15" hidden="false" customHeight="false" outlineLevel="0" collapsed="false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9"/>
      <c r="L1676" s="9"/>
      <c r="M1676" s="9"/>
      <c r="N1676" s="9"/>
      <c r="O1676" s="9"/>
      <c r="P1676" s="9"/>
      <c r="Q1676" s="9"/>
      <c r="R1676" s="9" t="str">
        <f aca="false">IF(AND(A1676&lt;&gt;"",ISNUMBER(Q1676),ISNUMBER(L1676)),ROUND(Q1676-IF(ISNUMBER(N1676),N1676,0)-IF(ISNUMBER(O1676),O1676,0)+IF(ISNUMBER(P1676),P1676,0),2),"")</f>
        <v/>
      </c>
      <c r="S1676" s="9" t="str">
        <f aca="false">IF(R1676="","",ROUND(L1676-R1676,2))</f>
        <v/>
      </c>
      <c r="T1676" s="8" t="str">
        <f aca="false">IF(A1676="","",IF(S1676="","BYPASS",IF(ABS(S1676)&lt;=Summary!$B$2,"PASS","FAIL")))</f>
        <v/>
      </c>
      <c r="U1676" s="8" t="str">
        <f aca="false">IF(T1676="BYPASS",IF(NOT(ISNUMBER(Q1676)),"PreV_ETB missing","End_tr_balance missing"),IF(T1676="FAIL",IF(AND(ISNUMBER(K1676),ISNUMBER(L1676),ABS(L1676-(K1676-IF(ISNUMBER(N1676),N1676,0)-IF(ISNUMBER(O1676),O1676,0)+IF(ISNUMBER(P1676),P1676,0)))&lt;=Summary!$B$2),"Passes using beginning_balance - PreV_ETB differs from beginning_balance",IF(AND(ISNUMBER(O1676),O1676&lt;0,ABS(L1676-(Q1676-IF(ISNUMBER(N1676),N1676,0)+IF(ISNUMBER(P1676),P1676,0)))&lt;=Summary!$B$2),"Negative realized loss not applied - check sign",IF(R1676&lt;0,"Principal paid exceeds prior balance",IF(AND(L1676&gt;Q1676,NOT(ISNUMBER(P1676))),"Balance increased but no Deferred_interest reported",IF(L1676&gt;R1676,"Reported balance higher than expected (missing increase/OC build)","Reported balance lower than expected (missing decrease)"))))),""))</f>
        <v/>
      </c>
    </row>
    <row r="1677" customFormat="false" ht="15" hidden="false" customHeight="false" outlineLevel="0" collapsed="false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9"/>
      <c r="L1677" s="9"/>
      <c r="M1677" s="9"/>
      <c r="N1677" s="9"/>
      <c r="O1677" s="9"/>
      <c r="P1677" s="9"/>
      <c r="Q1677" s="9"/>
      <c r="R1677" s="9" t="str">
        <f aca="false">IF(AND(A1677&lt;&gt;"",ISNUMBER(Q1677),ISNUMBER(L1677)),ROUND(Q1677-IF(ISNUMBER(N1677),N1677,0)-IF(ISNUMBER(O1677),O1677,0)+IF(ISNUMBER(P1677),P1677,0),2),"")</f>
        <v/>
      </c>
      <c r="S1677" s="9" t="str">
        <f aca="false">IF(R1677="","",ROUND(L1677-R1677,2))</f>
        <v/>
      </c>
      <c r="T1677" s="8" t="str">
        <f aca="false">IF(A1677="","",IF(S1677="","BYPASS",IF(ABS(S1677)&lt;=Summary!$B$2,"PASS","FAIL")))</f>
        <v/>
      </c>
      <c r="U1677" s="8" t="str">
        <f aca="false">IF(T1677="BYPASS",IF(NOT(ISNUMBER(Q1677)),"PreV_ETB missing","End_tr_balance missing"),IF(T1677="FAIL",IF(AND(ISNUMBER(K1677),ISNUMBER(L1677),ABS(L1677-(K1677-IF(ISNUMBER(N1677),N1677,0)-IF(ISNUMBER(O1677),O1677,0)+IF(ISNUMBER(P1677),P1677,0)))&lt;=Summary!$B$2),"Passes using beginning_balance - PreV_ETB differs from beginning_balance",IF(AND(ISNUMBER(O1677),O1677&lt;0,ABS(L1677-(Q1677-IF(ISNUMBER(N1677),N1677,0)+IF(ISNUMBER(P1677),P1677,0)))&lt;=Summary!$B$2),"Negative realized loss not applied - check sign",IF(R1677&lt;0,"Principal paid exceeds prior balance",IF(AND(L1677&gt;Q1677,NOT(ISNUMBER(P1677))),"Balance increased but no Deferred_interest reported",IF(L1677&gt;R1677,"Reported balance higher than expected (missing increase/OC build)","Reported balance lower than expected (missing decrease)"))))),""))</f>
        <v/>
      </c>
    </row>
    <row r="1678" customFormat="false" ht="15" hidden="false" customHeight="false" outlineLevel="0" collapsed="false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9"/>
      <c r="L1678" s="9"/>
      <c r="M1678" s="9"/>
      <c r="N1678" s="9"/>
      <c r="O1678" s="9"/>
      <c r="P1678" s="9"/>
      <c r="Q1678" s="9"/>
      <c r="R1678" s="9" t="str">
        <f aca="false">IF(AND(A1678&lt;&gt;"",ISNUMBER(Q1678),ISNUMBER(L1678)),ROUND(Q1678-IF(ISNUMBER(N1678),N1678,0)-IF(ISNUMBER(O1678),O1678,0)+IF(ISNUMBER(P1678),P1678,0),2),"")</f>
        <v/>
      </c>
      <c r="S1678" s="9" t="str">
        <f aca="false">IF(R1678="","",ROUND(L1678-R1678,2))</f>
        <v/>
      </c>
      <c r="T1678" s="8" t="str">
        <f aca="false">IF(A1678="","",IF(S1678="","BYPASS",IF(ABS(S1678)&lt;=Summary!$B$2,"PASS","FAIL")))</f>
        <v/>
      </c>
      <c r="U1678" s="8" t="str">
        <f aca="false">IF(T1678="BYPASS",IF(NOT(ISNUMBER(Q1678)),"PreV_ETB missing","End_tr_balance missing"),IF(T1678="FAIL",IF(AND(ISNUMBER(K1678),ISNUMBER(L1678),ABS(L1678-(K1678-IF(ISNUMBER(N1678),N1678,0)-IF(ISNUMBER(O1678),O1678,0)+IF(ISNUMBER(P1678),P1678,0)))&lt;=Summary!$B$2),"Passes using beginning_balance - PreV_ETB differs from beginning_balance",IF(AND(ISNUMBER(O1678),O1678&lt;0,ABS(L1678-(Q1678-IF(ISNUMBER(N1678),N1678,0)+IF(ISNUMBER(P1678),P1678,0)))&lt;=Summary!$B$2),"Negative realized loss not applied - check sign",IF(R1678&lt;0,"Principal paid exceeds prior balance",IF(AND(L1678&gt;Q1678,NOT(ISNUMBER(P1678))),"Balance increased but no Deferred_interest reported",IF(L1678&gt;R1678,"Reported balance higher than expected (missing increase/OC build)","Reported balance lower than expected (missing decrease)"))))),""))</f>
        <v/>
      </c>
    </row>
    <row r="1679" customFormat="false" ht="15" hidden="false" customHeight="false" outlineLevel="0" collapsed="false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9"/>
      <c r="L1679" s="9"/>
      <c r="M1679" s="9"/>
      <c r="N1679" s="9"/>
      <c r="O1679" s="9"/>
      <c r="P1679" s="9"/>
      <c r="Q1679" s="9"/>
      <c r="R1679" s="9" t="str">
        <f aca="false">IF(AND(A1679&lt;&gt;"",ISNUMBER(Q1679),ISNUMBER(L1679)),ROUND(Q1679-IF(ISNUMBER(N1679),N1679,0)-IF(ISNUMBER(O1679),O1679,0)+IF(ISNUMBER(P1679),P1679,0),2),"")</f>
        <v/>
      </c>
      <c r="S1679" s="9" t="str">
        <f aca="false">IF(R1679="","",ROUND(L1679-R1679,2))</f>
        <v/>
      </c>
      <c r="T1679" s="8" t="str">
        <f aca="false">IF(A1679="","",IF(S1679="","BYPASS",IF(ABS(S1679)&lt;=Summary!$B$2,"PASS","FAIL")))</f>
        <v/>
      </c>
      <c r="U1679" s="8" t="str">
        <f aca="false">IF(T1679="BYPASS",IF(NOT(ISNUMBER(Q1679)),"PreV_ETB missing","End_tr_balance missing"),IF(T1679="FAIL",IF(AND(ISNUMBER(K1679),ISNUMBER(L1679),ABS(L1679-(K1679-IF(ISNUMBER(N1679),N1679,0)-IF(ISNUMBER(O1679),O1679,0)+IF(ISNUMBER(P1679),P1679,0)))&lt;=Summary!$B$2),"Passes using beginning_balance - PreV_ETB differs from beginning_balance",IF(AND(ISNUMBER(O1679),O1679&lt;0,ABS(L1679-(Q1679-IF(ISNUMBER(N1679),N1679,0)+IF(ISNUMBER(P1679),P1679,0)))&lt;=Summary!$B$2),"Negative realized loss not applied - check sign",IF(R1679&lt;0,"Principal paid exceeds prior balance",IF(AND(L1679&gt;Q1679,NOT(ISNUMBER(P1679))),"Balance increased but no Deferred_interest reported",IF(L1679&gt;R1679,"Reported balance higher than expected (missing increase/OC build)","Reported balance lower than expected (missing decrease)"))))),""))</f>
        <v/>
      </c>
    </row>
    <row r="1680" customFormat="false" ht="15" hidden="false" customHeight="false" outlineLevel="0" collapsed="false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9"/>
      <c r="L1680" s="9"/>
      <c r="M1680" s="9"/>
      <c r="N1680" s="9"/>
      <c r="O1680" s="9"/>
      <c r="P1680" s="9"/>
      <c r="Q1680" s="9"/>
      <c r="R1680" s="9" t="str">
        <f aca="false">IF(AND(A1680&lt;&gt;"",ISNUMBER(Q1680),ISNUMBER(L1680)),ROUND(Q1680-IF(ISNUMBER(N1680),N1680,0)-IF(ISNUMBER(O1680),O1680,0)+IF(ISNUMBER(P1680),P1680,0),2),"")</f>
        <v/>
      </c>
      <c r="S1680" s="9" t="str">
        <f aca="false">IF(R1680="","",ROUND(L1680-R1680,2))</f>
        <v/>
      </c>
      <c r="T1680" s="8" t="str">
        <f aca="false">IF(A1680="","",IF(S1680="","BYPASS",IF(ABS(S1680)&lt;=Summary!$B$2,"PASS","FAIL")))</f>
        <v/>
      </c>
      <c r="U1680" s="8" t="str">
        <f aca="false">IF(T1680="BYPASS",IF(NOT(ISNUMBER(Q1680)),"PreV_ETB missing","End_tr_balance missing"),IF(T1680="FAIL",IF(AND(ISNUMBER(K1680),ISNUMBER(L1680),ABS(L1680-(K1680-IF(ISNUMBER(N1680),N1680,0)-IF(ISNUMBER(O1680),O1680,0)+IF(ISNUMBER(P1680),P1680,0)))&lt;=Summary!$B$2),"Passes using beginning_balance - PreV_ETB differs from beginning_balance",IF(AND(ISNUMBER(O1680),O1680&lt;0,ABS(L1680-(Q1680-IF(ISNUMBER(N1680),N1680,0)+IF(ISNUMBER(P1680),P1680,0)))&lt;=Summary!$B$2),"Negative realized loss not applied - check sign",IF(R1680&lt;0,"Principal paid exceeds prior balance",IF(AND(L1680&gt;Q1680,NOT(ISNUMBER(P1680))),"Balance increased but no Deferred_interest reported",IF(L1680&gt;R1680,"Reported balance higher than expected (missing increase/OC build)","Reported balance lower than expected (missing decrease)"))))),""))</f>
        <v/>
      </c>
    </row>
    <row r="1681" customFormat="false" ht="15" hidden="false" customHeight="false" outlineLevel="0" collapsed="false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9"/>
      <c r="L1681" s="9"/>
      <c r="M1681" s="9"/>
      <c r="N1681" s="9"/>
      <c r="O1681" s="9"/>
      <c r="P1681" s="9"/>
      <c r="Q1681" s="9"/>
      <c r="R1681" s="9" t="str">
        <f aca="false">IF(AND(A1681&lt;&gt;"",ISNUMBER(Q1681),ISNUMBER(L1681)),ROUND(Q1681-IF(ISNUMBER(N1681),N1681,0)-IF(ISNUMBER(O1681),O1681,0)+IF(ISNUMBER(P1681),P1681,0),2),"")</f>
        <v/>
      </c>
      <c r="S1681" s="9" t="str">
        <f aca="false">IF(R1681="","",ROUND(L1681-R1681,2))</f>
        <v/>
      </c>
      <c r="T1681" s="8" t="str">
        <f aca="false">IF(A1681="","",IF(S1681="","BYPASS",IF(ABS(S1681)&lt;=Summary!$B$2,"PASS","FAIL")))</f>
        <v/>
      </c>
      <c r="U1681" s="8" t="str">
        <f aca="false">IF(T1681="BYPASS",IF(NOT(ISNUMBER(Q1681)),"PreV_ETB missing","End_tr_balance missing"),IF(T1681="FAIL",IF(AND(ISNUMBER(K1681),ISNUMBER(L1681),ABS(L1681-(K1681-IF(ISNUMBER(N1681),N1681,0)-IF(ISNUMBER(O1681),O1681,0)+IF(ISNUMBER(P1681),P1681,0)))&lt;=Summary!$B$2),"Passes using beginning_balance - PreV_ETB differs from beginning_balance",IF(AND(ISNUMBER(O1681),O1681&lt;0,ABS(L1681-(Q1681-IF(ISNUMBER(N1681),N1681,0)+IF(ISNUMBER(P1681),P1681,0)))&lt;=Summary!$B$2),"Negative realized loss not applied - check sign",IF(R1681&lt;0,"Principal paid exceeds prior balance",IF(AND(L1681&gt;Q1681,NOT(ISNUMBER(P1681))),"Balance increased but no Deferred_interest reported",IF(L1681&gt;R1681,"Reported balance higher than expected (missing increase/OC build)","Reported balance lower than expected (missing decrease)"))))),""))</f>
        <v/>
      </c>
    </row>
    <row r="1682" customFormat="false" ht="15" hidden="false" customHeight="false" outlineLevel="0" collapsed="false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9"/>
      <c r="L1682" s="9"/>
      <c r="M1682" s="9"/>
      <c r="N1682" s="9"/>
      <c r="O1682" s="9"/>
      <c r="P1682" s="9"/>
      <c r="Q1682" s="9"/>
      <c r="R1682" s="9" t="str">
        <f aca="false">IF(AND(A1682&lt;&gt;"",ISNUMBER(Q1682),ISNUMBER(L1682)),ROUND(Q1682-IF(ISNUMBER(N1682),N1682,0)-IF(ISNUMBER(O1682),O1682,0)+IF(ISNUMBER(P1682),P1682,0),2),"")</f>
        <v/>
      </c>
      <c r="S1682" s="9" t="str">
        <f aca="false">IF(R1682="","",ROUND(L1682-R1682,2))</f>
        <v/>
      </c>
      <c r="T1682" s="8" t="str">
        <f aca="false">IF(A1682="","",IF(S1682="","BYPASS",IF(ABS(S1682)&lt;=Summary!$B$2,"PASS","FAIL")))</f>
        <v/>
      </c>
      <c r="U1682" s="8" t="str">
        <f aca="false">IF(T1682="BYPASS",IF(NOT(ISNUMBER(Q1682)),"PreV_ETB missing","End_tr_balance missing"),IF(T1682="FAIL",IF(AND(ISNUMBER(K1682),ISNUMBER(L1682),ABS(L1682-(K1682-IF(ISNUMBER(N1682),N1682,0)-IF(ISNUMBER(O1682),O1682,0)+IF(ISNUMBER(P1682),P1682,0)))&lt;=Summary!$B$2),"Passes using beginning_balance - PreV_ETB differs from beginning_balance",IF(AND(ISNUMBER(O1682),O1682&lt;0,ABS(L1682-(Q1682-IF(ISNUMBER(N1682),N1682,0)+IF(ISNUMBER(P1682),P1682,0)))&lt;=Summary!$B$2),"Negative realized loss not applied - check sign",IF(R1682&lt;0,"Principal paid exceeds prior balance",IF(AND(L1682&gt;Q1682,NOT(ISNUMBER(P1682))),"Balance increased but no Deferred_interest reported",IF(L1682&gt;R1682,"Reported balance higher than expected (missing increase/OC build)","Reported balance lower than expected (missing decrease)"))))),""))</f>
        <v/>
      </c>
    </row>
    <row r="1683" customFormat="false" ht="15" hidden="false" customHeight="false" outlineLevel="0" collapsed="false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9"/>
      <c r="L1683" s="9"/>
      <c r="M1683" s="9"/>
      <c r="N1683" s="9"/>
      <c r="O1683" s="9"/>
      <c r="P1683" s="9"/>
      <c r="Q1683" s="9"/>
      <c r="R1683" s="9" t="str">
        <f aca="false">IF(AND(A1683&lt;&gt;"",ISNUMBER(Q1683),ISNUMBER(L1683)),ROUND(Q1683-IF(ISNUMBER(N1683),N1683,0)-IF(ISNUMBER(O1683),O1683,0)+IF(ISNUMBER(P1683),P1683,0),2),"")</f>
        <v/>
      </c>
      <c r="S1683" s="9" t="str">
        <f aca="false">IF(R1683="","",ROUND(L1683-R1683,2))</f>
        <v/>
      </c>
      <c r="T1683" s="8" t="str">
        <f aca="false">IF(A1683="","",IF(S1683="","BYPASS",IF(ABS(S1683)&lt;=Summary!$B$2,"PASS","FAIL")))</f>
        <v/>
      </c>
      <c r="U1683" s="8" t="str">
        <f aca="false">IF(T1683="BYPASS",IF(NOT(ISNUMBER(Q1683)),"PreV_ETB missing","End_tr_balance missing"),IF(T1683="FAIL",IF(AND(ISNUMBER(K1683),ISNUMBER(L1683),ABS(L1683-(K1683-IF(ISNUMBER(N1683),N1683,0)-IF(ISNUMBER(O1683),O1683,0)+IF(ISNUMBER(P1683),P1683,0)))&lt;=Summary!$B$2),"Passes using beginning_balance - PreV_ETB differs from beginning_balance",IF(AND(ISNUMBER(O1683),O1683&lt;0,ABS(L1683-(Q1683-IF(ISNUMBER(N1683),N1683,0)+IF(ISNUMBER(P1683),P1683,0)))&lt;=Summary!$B$2),"Negative realized loss not applied - check sign",IF(R1683&lt;0,"Principal paid exceeds prior balance",IF(AND(L1683&gt;Q1683,NOT(ISNUMBER(P1683))),"Balance increased but no Deferred_interest reported",IF(L1683&gt;R1683,"Reported balance higher than expected (missing increase/OC build)","Reported balance lower than expected (missing decrease)"))))),""))</f>
        <v/>
      </c>
    </row>
    <row r="1684" customFormat="false" ht="15" hidden="false" customHeight="false" outlineLevel="0" collapsed="false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9"/>
      <c r="L1684" s="9"/>
      <c r="M1684" s="9"/>
      <c r="N1684" s="9"/>
      <c r="O1684" s="9"/>
      <c r="P1684" s="9"/>
      <c r="Q1684" s="9"/>
      <c r="R1684" s="9" t="str">
        <f aca="false">IF(AND(A1684&lt;&gt;"",ISNUMBER(Q1684),ISNUMBER(L1684)),ROUND(Q1684-IF(ISNUMBER(N1684),N1684,0)-IF(ISNUMBER(O1684),O1684,0)+IF(ISNUMBER(P1684),P1684,0),2),"")</f>
        <v/>
      </c>
      <c r="S1684" s="9" t="str">
        <f aca="false">IF(R1684="","",ROUND(L1684-R1684,2))</f>
        <v/>
      </c>
      <c r="T1684" s="8" t="str">
        <f aca="false">IF(A1684="","",IF(S1684="","BYPASS",IF(ABS(S1684)&lt;=Summary!$B$2,"PASS","FAIL")))</f>
        <v/>
      </c>
      <c r="U1684" s="8" t="str">
        <f aca="false">IF(T1684="BYPASS",IF(NOT(ISNUMBER(Q1684)),"PreV_ETB missing","End_tr_balance missing"),IF(T1684="FAIL",IF(AND(ISNUMBER(K1684),ISNUMBER(L1684),ABS(L1684-(K1684-IF(ISNUMBER(N1684),N1684,0)-IF(ISNUMBER(O1684),O1684,0)+IF(ISNUMBER(P1684),P1684,0)))&lt;=Summary!$B$2),"Passes using beginning_balance - PreV_ETB differs from beginning_balance",IF(AND(ISNUMBER(O1684),O1684&lt;0,ABS(L1684-(Q1684-IF(ISNUMBER(N1684),N1684,0)+IF(ISNUMBER(P1684),P1684,0)))&lt;=Summary!$B$2),"Negative realized loss not applied - check sign",IF(R1684&lt;0,"Principal paid exceeds prior balance",IF(AND(L1684&gt;Q1684,NOT(ISNUMBER(P1684))),"Balance increased but no Deferred_interest reported",IF(L1684&gt;R1684,"Reported balance higher than expected (missing increase/OC build)","Reported balance lower than expected (missing decrease)"))))),""))</f>
        <v/>
      </c>
    </row>
    <row r="1685" customFormat="false" ht="15" hidden="false" customHeight="false" outlineLevel="0" collapsed="false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9"/>
      <c r="L1685" s="9"/>
      <c r="M1685" s="9"/>
      <c r="N1685" s="9"/>
      <c r="O1685" s="9"/>
      <c r="P1685" s="9"/>
      <c r="Q1685" s="9"/>
      <c r="R1685" s="9" t="str">
        <f aca="false">IF(AND(A1685&lt;&gt;"",ISNUMBER(Q1685),ISNUMBER(L1685)),ROUND(Q1685-IF(ISNUMBER(N1685),N1685,0)-IF(ISNUMBER(O1685),O1685,0)+IF(ISNUMBER(P1685),P1685,0),2),"")</f>
        <v/>
      </c>
      <c r="S1685" s="9" t="str">
        <f aca="false">IF(R1685="","",ROUND(L1685-R1685,2))</f>
        <v/>
      </c>
      <c r="T1685" s="8" t="str">
        <f aca="false">IF(A1685="","",IF(S1685="","BYPASS",IF(ABS(S1685)&lt;=Summary!$B$2,"PASS","FAIL")))</f>
        <v/>
      </c>
      <c r="U1685" s="8" t="str">
        <f aca="false">IF(T1685="BYPASS",IF(NOT(ISNUMBER(Q1685)),"PreV_ETB missing","End_tr_balance missing"),IF(T1685="FAIL",IF(AND(ISNUMBER(K1685),ISNUMBER(L1685),ABS(L1685-(K1685-IF(ISNUMBER(N1685),N1685,0)-IF(ISNUMBER(O1685),O1685,0)+IF(ISNUMBER(P1685),P1685,0)))&lt;=Summary!$B$2),"Passes using beginning_balance - PreV_ETB differs from beginning_balance",IF(AND(ISNUMBER(O1685),O1685&lt;0,ABS(L1685-(Q1685-IF(ISNUMBER(N1685),N1685,0)+IF(ISNUMBER(P1685),P1685,0)))&lt;=Summary!$B$2),"Negative realized loss not applied - check sign",IF(R1685&lt;0,"Principal paid exceeds prior balance",IF(AND(L1685&gt;Q1685,NOT(ISNUMBER(P1685))),"Balance increased but no Deferred_interest reported",IF(L1685&gt;R1685,"Reported balance higher than expected (missing increase/OC build)","Reported balance lower than expected (missing decrease)"))))),""))</f>
        <v/>
      </c>
    </row>
    <row r="1686" customFormat="false" ht="15" hidden="false" customHeight="false" outlineLevel="0" collapsed="false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9"/>
      <c r="L1686" s="9"/>
      <c r="M1686" s="9"/>
      <c r="N1686" s="9"/>
      <c r="O1686" s="9"/>
      <c r="P1686" s="9"/>
      <c r="Q1686" s="9"/>
      <c r="R1686" s="9" t="str">
        <f aca="false">IF(AND(A1686&lt;&gt;"",ISNUMBER(Q1686),ISNUMBER(L1686)),ROUND(Q1686-IF(ISNUMBER(N1686),N1686,0)-IF(ISNUMBER(O1686),O1686,0)+IF(ISNUMBER(P1686),P1686,0),2),"")</f>
        <v/>
      </c>
      <c r="S1686" s="9" t="str">
        <f aca="false">IF(R1686="","",ROUND(L1686-R1686,2))</f>
        <v/>
      </c>
      <c r="T1686" s="8" t="str">
        <f aca="false">IF(A1686="","",IF(S1686="","BYPASS",IF(ABS(S1686)&lt;=Summary!$B$2,"PASS","FAIL")))</f>
        <v/>
      </c>
      <c r="U1686" s="8" t="str">
        <f aca="false">IF(T1686="BYPASS",IF(NOT(ISNUMBER(Q1686)),"PreV_ETB missing","End_tr_balance missing"),IF(T1686="FAIL",IF(AND(ISNUMBER(K1686),ISNUMBER(L1686),ABS(L1686-(K1686-IF(ISNUMBER(N1686),N1686,0)-IF(ISNUMBER(O1686),O1686,0)+IF(ISNUMBER(P1686),P1686,0)))&lt;=Summary!$B$2),"Passes using beginning_balance - PreV_ETB differs from beginning_balance",IF(AND(ISNUMBER(O1686),O1686&lt;0,ABS(L1686-(Q1686-IF(ISNUMBER(N1686),N1686,0)+IF(ISNUMBER(P1686),P1686,0)))&lt;=Summary!$B$2),"Negative realized loss not applied - check sign",IF(R1686&lt;0,"Principal paid exceeds prior balance",IF(AND(L1686&gt;Q1686,NOT(ISNUMBER(P1686))),"Balance increased but no Deferred_interest reported",IF(L1686&gt;R1686,"Reported balance higher than expected (missing increase/OC build)","Reported balance lower than expected (missing decrease)"))))),""))</f>
        <v/>
      </c>
    </row>
    <row r="1687" customFormat="false" ht="15" hidden="false" customHeight="false" outlineLevel="0" collapsed="false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9"/>
      <c r="L1687" s="9"/>
      <c r="M1687" s="9"/>
      <c r="N1687" s="9"/>
      <c r="O1687" s="9"/>
      <c r="P1687" s="9"/>
      <c r="Q1687" s="9"/>
      <c r="R1687" s="9" t="str">
        <f aca="false">IF(AND(A1687&lt;&gt;"",ISNUMBER(Q1687),ISNUMBER(L1687)),ROUND(Q1687-IF(ISNUMBER(N1687),N1687,0)-IF(ISNUMBER(O1687),O1687,0)+IF(ISNUMBER(P1687),P1687,0),2),"")</f>
        <v/>
      </c>
      <c r="S1687" s="9" t="str">
        <f aca="false">IF(R1687="","",ROUND(L1687-R1687,2))</f>
        <v/>
      </c>
      <c r="T1687" s="8" t="str">
        <f aca="false">IF(A1687="","",IF(S1687="","BYPASS",IF(ABS(S1687)&lt;=Summary!$B$2,"PASS","FAIL")))</f>
        <v/>
      </c>
      <c r="U1687" s="8" t="str">
        <f aca="false">IF(T1687="BYPASS",IF(NOT(ISNUMBER(Q1687)),"PreV_ETB missing","End_tr_balance missing"),IF(T1687="FAIL",IF(AND(ISNUMBER(K1687),ISNUMBER(L1687),ABS(L1687-(K1687-IF(ISNUMBER(N1687),N1687,0)-IF(ISNUMBER(O1687),O1687,0)+IF(ISNUMBER(P1687),P1687,0)))&lt;=Summary!$B$2),"Passes using beginning_balance - PreV_ETB differs from beginning_balance",IF(AND(ISNUMBER(O1687),O1687&lt;0,ABS(L1687-(Q1687-IF(ISNUMBER(N1687),N1687,0)+IF(ISNUMBER(P1687),P1687,0)))&lt;=Summary!$B$2),"Negative realized loss not applied - check sign",IF(R1687&lt;0,"Principal paid exceeds prior balance",IF(AND(L1687&gt;Q1687,NOT(ISNUMBER(P1687))),"Balance increased but no Deferred_interest reported",IF(L1687&gt;R1687,"Reported balance higher than expected (missing increase/OC build)","Reported balance lower than expected (missing decrease)"))))),""))</f>
        <v/>
      </c>
    </row>
    <row r="1688" customFormat="false" ht="15" hidden="false" customHeight="false" outlineLevel="0" collapsed="false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9"/>
      <c r="L1688" s="9"/>
      <c r="M1688" s="9"/>
      <c r="N1688" s="9"/>
      <c r="O1688" s="9"/>
      <c r="P1688" s="9"/>
      <c r="Q1688" s="9"/>
      <c r="R1688" s="9" t="str">
        <f aca="false">IF(AND(A1688&lt;&gt;"",ISNUMBER(Q1688),ISNUMBER(L1688)),ROUND(Q1688-IF(ISNUMBER(N1688),N1688,0)-IF(ISNUMBER(O1688),O1688,0)+IF(ISNUMBER(P1688),P1688,0),2),"")</f>
        <v/>
      </c>
      <c r="S1688" s="9" t="str">
        <f aca="false">IF(R1688="","",ROUND(L1688-R1688,2))</f>
        <v/>
      </c>
      <c r="T1688" s="8" t="str">
        <f aca="false">IF(A1688="","",IF(S1688="","BYPASS",IF(ABS(S1688)&lt;=Summary!$B$2,"PASS","FAIL")))</f>
        <v/>
      </c>
      <c r="U1688" s="8" t="str">
        <f aca="false">IF(T1688="BYPASS",IF(NOT(ISNUMBER(Q1688)),"PreV_ETB missing","End_tr_balance missing"),IF(T1688="FAIL",IF(AND(ISNUMBER(K1688),ISNUMBER(L1688),ABS(L1688-(K1688-IF(ISNUMBER(N1688),N1688,0)-IF(ISNUMBER(O1688),O1688,0)+IF(ISNUMBER(P1688),P1688,0)))&lt;=Summary!$B$2),"Passes using beginning_balance - PreV_ETB differs from beginning_balance",IF(AND(ISNUMBER(O1688),O1688&lt;0,ABS(L1688-(Q1688-IF(ISNUMBER(N1688),N1688,0)+IF(ISNUMBER(P1688),P1688,0)))&lt;=Summary!$B$2),"Negative realized loss not applied - check sign",IF(R1688&lt;0,"Principal paid exceeds prior balance",IF(AND(L1688&gt;Q1688,NOT(ISNUMBER(P1688))),"Balance increased but no Deferred_interest reported",IF(L1688&gt;R1688,"Reported balance higher than expected (missing increase/OC build)","Reported balance lower than expected (missing decrease)"))))),""))</f>
        <v/>
      </c>
    </row>
    <row r="1689" customFormat="false" ht="15" hidden="false" customHeight="false" outlineLevel="0" collapsed="false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9"/>
      <c r="L1689" s="9"/>
      <c r="M1689" s="9"/>
      <c r="N1689" s="9"/>
      <c r="O1689" s="9"/>
      <c r="P1689" s="9"/>
      <c r="Q1689" s="9"/>
      <c r="R1689" s="9" t="str">
        <f aca="false">IF(AND(A1689&lt;&gt;"",ISNUMBER(Q1689),ISNUMBER(L1689)),ROUND(Q1689-IF(ISNUMBER(N1689),N1689,0)-IF(ISNUMBER(O1689),O1689,0)+IF(ISNUMBER(P1689),P1689,0),2),"")</f>
        <v/>
      </c>
      <c r="S1689" s="9" t="str">
        <f aca="false">IF(R1689="","",ROUND(L1689-R1689,2))</f>
        <v/>
      </c>
      <c r="T1689" s="8" t="str">
        <f aca="false">IF(A1689="","",IF(S1689="","BYPASS",IF(ABS(S1689)&lt;=Summary!$B$2,"PASS","FAIL")))</f>
        <v/>
      </c>
      <c r="U1689" s="8" t="str">
        <f aca="false">IF(T1689="BYPASS",IF(NOT(ISNUMBER(Q1689)),"PreV_ETB missing","End_tr_balance missing"),IF(T1689="FAIL",IF(AND(ISNUMBER(K1689),ISNUMBER(L1689),ABS(L1689-(K1689-IF(ISNUMBER(N1689),N1689,0)-IF(ISNUMBER(O1689),O1689,0)+IF(ISNUMBER(P1689),P1689,0)))&lt;=Summary!$B$2),"Passes using beginning_balance - PreV_ETB differs from beginning_balance",IF(AND(ISNUMBER(O1689),O1689&lt;0,ABS(L1689-(Q1689-IF(ISNUMBER(N1689),N1689,0)+IF(ISNUMBER(P1689),P1689,0)))&lt;=Summary!$B$2),"Negative realized loss not applied - check sign",IF(R1689&lt;0,"Principal paid exceeds prior balance",IF(AND(L1689&gt;Q1689,NOT(ISNUMBER(P1689))),"Balance increased but no Deferred_interest reported",IF(L1689&gt;R1689,"Reported balance higher than expected (missing increase/OC build)","Reported balance lower than expected (missing decrease)"))))),""))</f>
        <v/>
      </c>
    </row>
    <row r="1690" customFormat="false" ht="15" hidden="false" customHeight="false" outlineLevel="0" collapsed="false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9"/>
      <c r="L1690" s="9"/>
      <c r="M1690" s="9"/>
      <c r="N1690" s="9"/>
      <c r="O1690" s="9"/>
      <c r="P1690" s="9"/>
      <c r="Q1690" s="9"/>
      <c r="R1690" s="9" t="str">
        <f aca="false">IF(AND(A1690&lt;&gt;"",ISNUMBER(Q1690),ISNUMBER(L1690)),ROUND(Q1690-IF(ISNUMBER(N1690),N1690,0)-IF(ISNUMBER(O1690),O1690,0)+IF(ISNUMBER(P1690),P1690,0),2),"")</f>
        <v/>
      </c>
      <c r="S1690" s="9" t="str">
        <f aca="false">IF(R1690="","",ROUND(L1690-R1690,2))</f>
        <v/>
      </c>
      <c r="T1690" s="8" t="str">
        <f aca="false">IF(A1690="","",IF(S1690="","BYPASS",IF(ABS(S1690)&lt;=Summary!$B$2,"PASS","FAIL")))</f>
        <v/>
      </c>
      <c r="U1690" s="8" t="str">
        <f aca="false">IF(T1690="BYPASS",IF(NOT(ISNUMBER(Q1690)),"PreV_ETB missing","End_tr_balance missing"),IF(T1690="FAIL",IF(AND(ISNUMBER(K1690),ISNUMBER(L1690),ABS(L1690-(K1690-IF(ISNUMBER(N1690),N1690,0)-IF(ISNUMBER(O1690),O1690,0)+IF(ISNUMBER(P1690),P1690,0)))&lt;=Summary!$B$2),"Passes using beginning_balance - PreV_ETB differs from beginning_balance",IF(AND(ISNUMBER(O1690),O1690&lt;0,ABS(L1690-(Q1690-IF(ISNUMBER(N1690),N1690,0)+IF(ISNUMBER(P1690),P1690,0)))&lt;=Summary!$B$2),"Negative realized loss not applied - check sign",IF(R1690&lt;0,"Principal paid exceeds prior balance",IF(AND(L1690&gt;Q1690,NOT(ISNUMBER(P1690))),"Balance increased but no Deferred_interest reported",IF(L1690&gt;R1690,"Reported balance higher than expected (missing increase/OC build)","Reported balance lower than expected (missing decrease)"))))),""))</f>
        <v/>
      </c>
    </row>
    <row r="1691" customFormat="false" ht="15" hidden="false" customHeight="false" outlineLevel="0" collapsed="false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9"/>
      <c r="L1691" s="9"/>
      <c r="M1691" s="9"/>
      <c r="N1691" s="9"/>
      <c r="O1691" s="9"/>
      <c r="P1691" s="9"/>
      <c r="Q1691" s="9"/>
      <c r="R1691" s="9" t="str">
        <f aca="false">IF(AND(A1691&lt;&gt;"",ISNUMBER(Q1691),ISNUMBER(L1691)),ROUND(Q1691-IF(ISNUMBER(N1691),N1691,0)-IF(ISNUMBER(O1691),O1691,0)+IF(ISNUMBER(P1691),P1691,0),2),"")</f>
        <v/>
      </c>
      <c r="S1691" s="9" t="str">
        <f aca="false">IF(R1691="","",ROUND(L1691-R1691,2))</f>
        <v/>
      </c>
      <c r="T1691" s="8" t="str">
        <f aca="false">IF(A1691="","",IF(S1691="","BYPASS",IF(ABS(S1691)&lt;=Summary!$B$2,"PASS","FAIL")))</f>
        <v/>
      </c>
      <c r="U1691" s="8" t="str">
        <f aca="false">IF(T1691="BYPASS",IF(NOT(ISNUMBER(Q1691)),"PreV_ETB missing","End_tr_balance missing"),IF(T1691="FAIL",IF(AND(ISNUMBER(K1691),ISNUMBER(L1691),ABS(L1691-(K1691-IF(ISNUMBER(N1691),N1691,0)-IF(ISNUMBER(O1691),O1691,0)+IF(ISNUMBER(P1691),P1691,0)))&lt;=Summary!$B$2),"Passes using beginning_balance - PreV_ETB differs from beginning_balance",IF(AND(ISNUMBER(O1691),O1691&lt;0,ABS(L1691-(Q1691-IF(ISNUMBER(N1691),N1691,0)+IF(ISNUMBER(P1691),P1691,0)))&lt;=Summary!$B$2),"Negative realized loss not applied - check sign",IF(R1691&lt;0,"Principal paid exceeds prior balance",IF(AND(L1691&gt;Q1691,NOT(ISNUMBER(P1691))),"Balance increased but no Deferred_interest reported",IF(L1691&gt;R1691,"Reported balance higher than expected (missing increase/OC build)","Reported balance lower than expected (missing decrease)"))))),""))</f>
        <v/>
      </c>
    </row>
    <row r="1692" customFormat="false" ht="15" hidden="false" customHeight="false" outlineLevel="0" collapsed="false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9"/>
      <c r="L1692" s="9"/>
      <c r="M1692" s="9"/>
      <c r="N1692" s="9"/>
      <c r="O1692" s="9"/>
      <c r="P1692" s="9"/>
      <c r="Q1692" s="9"/>
      <c r="R1692" s="9" t="str">
        <f aca="false">IF(AND(A1692&lt;&gt;"",ISNUMBER(Q1692),ISNUMBER(L1692)),ROUND(Q1692-IF(ISNUMBER(N1692),N1692,0)-IF(ISNUMBER(O1692),O1692,0)+IF(ISNUMBER(P1692),P1692,0),2),"")</f>
        <v/>
      </c>
      <c r="S1692" s="9" t="str">
        <f aca="false">IF(R1692="","",ROUND(L1692-R1692,2))</f>
        <v/>
      </c>
      <c r="T1692" s="8" t="str">
        <f aca="false">IF(A1692="","",IF(S1692="","BYPASS",IF(ABS(S1692)&lt;=Summary!$B$2,"PASS","FAIL")))</f>
        <v/>
      </c>
      <c r="U1692" s="8" t="str">
        <f aca="false">IF(T1692="BYPASS",IF(NOT(ISNUMBER(Q1692)),"PreV_ETB missing","End_tr_balance missing"),IF(T1692="FAIL",IF(AND(ISNUMBER(K1692),ISNUMBER(L1692),ABS(L1692-(K1692-IF(ISNUMBER(N1692),N1692,0)-IF(ISNUMBER(O1692),O1692,0)+IF(ISNUMBER(P1692),P1692,0)))&lt;=Summary!$B$2),"Passes using beginning_balance - PreV_ETB differs from beginning_balance",IF(AND(ISNUMBER(O1692),O1692&lt;0,ABS(L1692-(Q1692-IF(ISNUMBER(N1692),N1692,0)+IF(ISNUMBER(P1692),P1692,0)))&lt;=Summary!$B$2),"Negative realized loss not applied - check sign",IF(R1692&lt;0,"Principal paid exceeds prior balance",IF(AND(L1692&gt;Q1692,NOT(ISNUMBER(P1692))),"Balance increased but no Deferred_interest reported",IF(L1692&gt;R1692,"Reported balance higher than expected (missing increase/OC build)","Reported balance lower than expected (missing decrease)"))))),""))</f>
        <v/>
      </c>
    </row>
    <row r="1693" customFormat="false" ht="15" hidden="false" customHeight="false" outlineLevel="0" collapsed="false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9"/>
      <c r="L1693" s="9"/>
      <c r="M1693" s="9"/>
      <c r="N1693" s="9"/>
      <c r="O1693" s="9"/>
      <c r="P1693" s="9"/>
      <c r="Q1693" s="9"/>
      <c r="R1693" s="9" t="str">
        <f aca="false">IF(AND(A1693&lt;&gt;"",ISNUMBER(Q1693),ISNUMBER(L1693)),ROUND(Q1693-IF(ISNUMBER(N1693),N1693,0)-IF(ISNUMBER(O1693),O1693,0)+IF(ISNUMBER(P1693),P1693,0),2),"")</f>
        <v/>
      </c>
      <c r="S1693" s="9" t="str">
        <f aca="false">IF(R1693="","",ROUND(L1693-R1693,2))</f>
        <v/>
      </c>
      <c r="T1693" s="8" t="str">
        <f aca="false">IF(A1693="","",IF(S1693="","BYPASS",IF(ABS(S1693)&lt;=Summary!$B$2,"PASS","FAIL")))</f>
        <v/>
      </c>
      <c r="U1693" s="8" t="str">
        <f aca="false">IF(T1693="BYPASS",IF(NOT(ISNUMBER(Q1693)),"PreV_ETB missing","End_tr_balance missing"),IF(T1693="FAIL",IF(AND(ISNUMBER(K1693),ISNUMBER(L1693),ABS(L1693-(K1693-IF(ISNUMBER(N1693),N1693,0)-IF(ISNUMBER(O1693),O1693,0)+IF(ISNUMBER(P1693),P1693,0)))&lt;=Summary!$B$2),"Passes using beginning_balance - PreV_ETB differs from beginning_balance",IF(AND(ISNUMBER(O1693),O1693&lt;0,ABS(L1693-(Q1693-IF(ISNUMBER(N1693),N1693,0)+IF(ISNUMBER(P1693),P1693,0)))&lt;=Summary!$B$2),"Negative realized loss not applied - check sign",IF(R1693&lt;0,"Principal paid exceeds prior balance",IF(AND(L1693&gt;Q1693,NOT(ISNUMBER(P1693))),"Balance increased but no Deferred_interest reported",IF(L1693&gt;R1693,"Reported balance higher than expected (missing increase/OC build)","Reported balance lower than expected (missing decrease)"))))),""))</f>
        <v/>
      </c>
    </row>
    <row r="1694" customFormat="false" ht="15" hidden="false" customHeight="false" outlineLevel="0" collapsed="false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9"/>
      <c r="L1694" s="9"/>
      <c r="M1694" s="9"/>
      <c r="N1694" s="9"/>
      <c r="O1694" s="9"/>
      <c r="P1694" s="9"/>
      <c r="Q1694" s="9"/>
      <c r="R1694" s="9" t="str">
        <f aca="false">IF(AND(A1694&lt;&gt;"",ISNUMBER(Q1694),ISNUMBER(L1694)),ROUND(Q1694-IF(ISNUMBER(N1694),N1694,0)-IF(ISNUMBER(O1694),O1694,0)+IF(ISNUMBER(P1694),P1694,0),2),"")</f>
        <v/>
      </c>
      <c r="S1694" s="9" t="str">
        <f aca="false">IF(R1694="","",ROUND(L1694-R1694,2))</f>
        <v/>
      </c>
      <c r="T1694" s="8" t="str">
        <f aca="false">IF(A1694="","",IF(S1694="","BYPASS",IF(ABS(S1694)&lt;=Summary!$B$2,"PASS","FAIL")))</f>
        <v/>
      </c>
      <c r="U1694" s="8" t="str">
        <f aca="false">IF(T1694="BYPASS",IF(NOT(ISNUMBER(Q1694)),"PreV_ETB missing","End_tr_balance missing"),IF(T1694="FAIL",IF(AND(ISNUMBER(K1694),ISNUMBER(L1694),ABS(L1694-(K1694-IF(ISNUMBER(N1694),N1694,0)-IF(ISNUMBER(O1694),O1694,0)+IF(ISNUMBER(P1694),P1694,0)))&lt;=Summary!$B$2),"Passes using beginning_balance - PreV_ETB differs from beginning_balance",IF(AND(ISNUMBER(O1694),O1694&lt;0,ABS(L1694-(Q1694-IF(ISNUMBER(N1694),N1694,0)+IF(ISNUMBER(P1694),P1694,0)))&lt;=Summary!$B$2),"Negative realized loss not applied - check sign",IF(R1694&lt;0,"Principal paid exceeds prior balance",IF(AND(L1694&gt;Q1694,NOT(ISNUMBER(P1694))),"Balance increased but no Deferred_interest reported",IF(L1694&gt;R1694,"Reported balance higher than expected (missing increase/OC build)","Reported balance lower than expected (missing decrease)"))))),""))</f>
        <v/>
      </c>
    </row>
    <row r="1695" customFormat="false" ht="15" hidden="false" customHeight="false" outlineLevel="0" collapsed="false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9"/>
      <c r="L1695" s="9"/>
      <c r="M1695" s="9"/>
      <c r="N1695" s="9"/>
      <c r="O1695" s="9"/>
      <c r="P1695" s="9"/>
      <c r="Q1695" s="9"/>
      <c r="R1695" s="9" t="str">
        <f aca="false">IF(AND(A1695&lt;&gt;"",ISNUMBER(Q1695),ISNUMBER(L1695)),ROUND(Q1695-IF(ISNUMBER(N1695),N1695,0)-IF(ISNUMBER(O1695),O1695,0)+IF(ISNUMBER(P1695),P1695,0),2),"")</f>
        <v/>
      </c>
      <c r="S1695" s="9" t="str">
        <f aca="false">IF(R1695="","",ROUND(L1695-R1695,2))</f>
        <v/>
      </c>
      <c r="T1695" s="8" t="str">
        <f aca="false">IF(A1695="","",IF(S1695="","BYPASS",IF(ABS(S1695)&lt;=Summary!$B$2,"PASS","FAIL")))</f>
        <v/>
      </c>
      <c r="U1695" s="8" t="str">
        <f aca="false">IF(T1695="BYPASS",IF(NOT(ISNUMBER(Q1695)),"PreV_ETB missing","End_tr_balance missing"),IF(T1695="FAIL",IF(AND(ISNUMBER(K1695),ISNUMBER(L1695),ABS(L1695-(K1695-IF(ISNUMBER(N1695),N1695,0)-IF(ISNUMBER(O1695),O1695,0)+IF(ISNUMBER(P1695),P1695,0)))&lt;=Summary!$B$2),"Passes using beginning_balance - PreV_ETB differs from beginning_balance",IF(AND(ISNUMBER(O1695),O1695&lt;0,ABS(L1695-(Q1695-IF(ISNUMBER(N1695),N1695,0)+IF(ISNUMBER(P1695),P1695,0)))&lt;=Summary!$B$2),"Negative realized loss not applied - check sign",IF(R1695&lt;0,"Principal paid exceeds prior balance",IF(AND(L1695&gt;Q1695,NOT(ISNUMBER(P1695))),"Balance increased but no Deferred_interest reported",IF(L1695&gt;R1695,"Reported balance higher than expected (missing increase/OC build)","Reported balance lower than expected (missing decrease)"))))),""))</f>
        <v/>
      </c>
    </row>
    <row r="1696" customFormat="false" ht="15" hidden="false" customHeight="false" outlineLevel="0" collapsed="false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9"/>
      <c r="L1696" s="9"/>
      <c r="M1696" s="9"/>
      <c r="N1696" s="9"/>
      <c r="O1696" s="9"/>
      <c r="P1696" s="9"/>
      <c r="Q1696" s="9"/>
      <c r="R1696" s="9" t="str">
        <f aca="false">IF(AND(A1696&lt;&gt;"",ISNUMBER(Q1696),ISNUMBER(L1696)),ROUND(Q1696-IF(ISNUMBER(N1696),N1696,0)-IF(ISNUMBER(O1696),O1696,0)+IF(ISNUMBER(P1696),P1696,0),2),"")</f>
        <v/>
      </c>
      <c r="S1696" s="9" t="str">
        <f aca="false">IF(R1696="","",ROUND(L1696-R1696,2))</f>
        <v/>
      </c>
      <c r="T1696" s="8" t="str">
        <f aca="false">IF(A1696="","",IF(S1696="","BYPASS",IF(ABS(S1696)&lt;=Summary!$B$2,"PASS","FAIL")))</f>
        <v/>
      </c>
      <c r="U1696" s="8" t="str">
        <f aca="false">IF(T1696="BYPASS",IF(NOT(ISNUMBER(Q1696)),"PreV_ETB missing","End_tr_balance missing"),IF(T1696="FAIL",IF(AND(ISNUMBER(K1696),ISNUMBER(L1696),ABS(L1696-(K1696-IF(ISNUMBER(N1696),N1696,0)-IF(ISNUMBER(O1696),O1696,0)+IF(ISNUMBER(P1696),P1696,0)))&lt;=Summary!$B$2),"Passes using beginning_balance - PreV_ETB differs from beginning_balance",IF(AND(ISNUMBER(O1696),O1696&lt;0,ABS(L1696-(Q1696-IF(ISNUMBER(N1696),N1696,0)+IF(ISNUMBER(P1696),P1696,0)))&lt;=Summary!$B$2),"Negative realized loss not applied - check sign",IF(R1696&lt;0,"Principal paid exceeds prior balance",IF(AND(L1696&gt;Q1696,NOT(ISNUMBER(P1696))),"Balance increased but no Deferred_interest reported",IF(L1696&gt;R1696,"Reported balance higher than expected (missing increase/OC build)","Reported balance lower than expected (missing decrease)"))))),""))</f>
        <v/>
      </c>
    </row>
    <row r="1697" customFormat="false" ht="15" hidden="false" customHeight="false" outlineLevel="0" collapsed="false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9"/>
      <c r="L1697" s="9"/>
      <c r="M1697" s="9"/>
      <c r="N1697" s="9"/>
      <c r="O1697" s="9"/>
      <c r="P1697" s="9"/>
      <c r="Q1697" s="9"/>
      <c r="R1697" s="9" t="str">
        <f aca="false">IF(AND(A1697&lt;&gt;"",ISNUMBER(Q1697),ISNUMBER(L1697)),ROUND(Q1697-IF(ISNUMBER(N1697),N1697,0)-IF(ISNUMBER(O1697),O1697,0)+IF(ISNUMBER(P1697),P1697,0),2),"")</f>
        <v/>
      </c>
      <c r="S1697" s="9" t="str">
        <f aca="false">IF(R1697="","",ROUND(L1697-R1697,2))</f>
        <v/>
      </c>
      <c r="T1697" s="8" t="str">
        <f aca="false">IF(A1697="","",IF(S1697="","BYPASS",IF(ABS(S1697)&lt;=Summary!$B$2,"PASS","FAIL")))</f>
        <v/>
      </c>
      <c r="U1697" s="8" t="str">
        <f aca="false">IF(T1697="BYPASS",IF(NOT(ISNUMBER(Q1697)),"PreV_ETB missing","End_tr_balance missing"),IF(T1697="FAIL",IF(AND(ISNUMBER(K1697),ISNUMBER(L1697),ABS(L1697-(K1697-IF(ISNUMBER(N1697),N1697,0)-IF(ISNUMBER(O1697),O1697,0)+IF(ISNUMBER(P1697),P1697,0)))&lt;=Summary!$B$2),"Passes using beginning_balance - PreV_ETB differs from beginning_balance",IF(AND(ISNUMBER(O1697),O1697&lt;0,ABS(L1697-(Q1697-IF(ISNUMBER(N1697),N1697,0)+IF(ISNUMBER(P1697),P1697,0)))&lt;=Summary!$B$2),"Negative realized loss not applied - check sign",IF(R1697&lt;0,"Principal paid exceeds prior balance",IF(AND(L1697&gt;Q1697,NOT(ISNUMBER(P1697))),"Balance increased but no Deferred_interest reported",IF(L1697&gt;R1697,"Reported balance higher than expected (missing increase/OC build)","Reported balance lower than expected (missing decrease)"))))),""))</f>
        <v/>
      </c>
    </row>
    <row r="1698" customFormat="false" ht="15" hidden="false" customHeight="false" outlineLevel="0" collapsed="false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9"/>
      <c r="L1698" s="9"/>
      <c r="M1698" s="9"/>
      <c r="N1698" s="9"/>
      <c r="O1698" s="9"/>
      <c r="P1698" s="9"/>
      <c r="Q1698" s="9"/>
      <c r="R1698" s="9" t="str">
        <f aca="false">IF(AND(A1698&lt;&gt;"",ISNUMBER(Q1698),ISNUMBER(L1698)),ROUND(Q1698-IF(ISNUMBER(N1698),N1698,0)-IF(ISNUMBER(O1698),O1698,0)+IF(ISNUMBER(P1698),P1698,0),2),"")</f>
        <v/>
      </c>
      <c r="S1698" s="9" t="str">
        <f aca="false">IF(R1698="","",ROUND(L1698-R1698,2))</f>
        <v/>
      </c>
      <c r="T1698" s="8" t="str">
        <f aca="false">IF(A1698="","",IF(S1698="","BYPASS",IF(ABS(S1698)&lt;=Summary!$B$2,"PASS","FAIL")))</f>
        <v/>
      </c>
      <c r="U1698" s="8" t="str">
        <f aca="false">IF(T1698="BYPASS",IF(NOT(ISNUMBER(Q1698)),"PreV_ETB missing","End_tr_balance missing"),IF(T1698="FAIL",IF(AND(ISNUMBER(K1698),ISNUMBER(L1698),ABS(L1698-(K1698-IF(ISNUMBER(N1698),N1698,0)-IF(ISNUMBER(O1698),O1698,0)+IF(ISNUMBER(P1698),P1698,0)))&lt;=Summary!$B$2),"Passes using beginning_balance - PreV_ETB differs from beginning_balance",IF(AND(ISNUMBER(O1698),O1698&lt;0,ABS(L1698-(Q1698-IF(ISNUMBER(N1698),N1698,0)+IF(ISNUMBER(P1698),P1698,0)))&lt;=Summary!$B$2),"Negative realized loss not applied - check sign",IF(R1698&lt;0,"Principal paid exceeds prior balance",IF(AND(L1698&gt;Q1698,NOT(ISNUMBER(P1698))),"Balance increased but no Deferred_interest reported",IF(L1698&gt;R1698,"Reported balance higher than expected (missing increase/OC build)","Reported balance lower than expected (missing decrease)"))))),""))</f>
        <v/>
      </c>
    </row>
    <row r="1699" customFormat="false" ht="15" hidden="false" customHeight="false" outlineLevel="0" collapsed="false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9"/>
      <c r="L1699" s="9"/>
      <c r="M1699" s="9"/>
      <c r="N1699" s="9"/>
      <c r="O1699" s="9"/>
      <c r="P1699" s="9"/>
      <c r="Q1699" s="9"/>
      <c r="R1699" s="9" t="str">
        <f aca="false">IF(AND(A1699&lt;&gt;"",ISNUMBER(Q1699),ISNUMBER(L1699)),ROUND(Q1699-IF(ISNUMBER(N1699),N1699,0)-IF(ISNUMBER(O1699),O1699,0)+IF(ISNUMBER(P1699),P1699,0),2),"")</f>
        <v/>
      </c>
      <c r="S1699" s="9" t="str">
        <f aca="false">IF(R1699="","",ROUND(L1699-R1699,2))</f>
        <v/>
      </c>
      <c r="T1699" s="8" t="str">
        <f aca="false">IF(A1699="","",IF(S1699="","BYPASS",IF(ABS(S1699)&lt;=Summary!$B$2,"PASS","FAIL")))</f>
        <v/>
      </c>
      <c r="U1699" s="8" t="str">
        <f aca="false">IF(T1699="BYPASS",IF(NOT(ISNUMBER(Q1699)),"PreV_ETB missing","End_tr_balance missing"),IF(T1699="FAIL",IF(AND(ISNUMBER(K1699),ISNUMBER(L1699),ABS(L1699-(K1699-IF(ISNUMBER(N1699),N1699,0)-IF(ISNUMBER(O1699),O1699,0)+IF(ISNUMBER(P1699),P1699,0)))&lt;=Summary!$B$2),"Passes using beginning_balance - PreV_ETB differs from beginning_balance",IF(AND(ISNUMBER(O1699),O1699&lt;0,ABS(L1699-(Q1699-IF(ISNUMBER(N1699),N1699,0)+IF(ISNUMBER(P1699),P1699,0)))&lt;=Summary!$B$2),"Negative realized loss not applied - check sign",IF(R1699&lt;0,"Principal paid exceeds prior balance",IF(AND(L1699&gt;Q1699,NOT(ISNUMBER(P1699))),"Balance increased but no Deferred_interest reported",IF(L1699&gt;R1699,"Reported balance higher than expected (missing increase/OC build)","Reported balance lower than expected (missing decrease)"))))),""))</f>
        <v/>
      </c>
    </row>
    <row r="1700" customFormat="false" ht="15" hidden="false" customHeight="false" outlineLevel="0" collapsed="false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9"/>
      <c r="L1700" s="9"/>
      <c r="M1700" s="9"/>
      <c r="N1700" s="9"/>
      <c r="O1700" s="9"/>
      <c r="P1700" s="9"/>
      <c r="Q1700" s="9"/>
      <c r="R1700" s="9" t="str">
        <f aca="false">IF(AND(A1700&lt;&gt;"",ISNUMBER(Q1700),ISNUMBER(L1700)),ROUND(Q1700-IF(ISNUMBER(N1700),N1700,0)-IF(ISNUMBER(O1700),O1700,0)+IF(ISNUMBER(P1700),P1700,0),2),"")</f>
        <v/>
      </c>
      <c r="S1700" s="9" t="str">
        <f aca="false">IF(R1700="","",ROUND(L1700-R1700,2))</f>
        <v/>
      </c>
      <c r="T1700" s="8" t="str">
        <f aca="false">IF(A1700="","",IF(S1700="","BYPASS",IF(ABS(S1700)&lt;=Summary!$B$2,"PASS","FAIL")))</f>
        <v/>
      </c>
      <c r="U1700" s="8" t="str">
        <f aca="false">IF(T1700="BYPASS",IF(NOT(ISNUMBER(Q1700)),"PreV_ETB missing","End_tr_balance missing"),IF(T1700="FAIL",IF(AND(ISNUMBER(K1700),ISNUMBER(L1700),ABS(L1700-(K1700-IF(ISNUMBER(N1700),N1700,0)-IF(ISNUMBER(O1700),O1700,0)+IF(ISNUMBER(P1700),P1700,0)))&lt;=Summary!$B$2),"Passes using beginning_balance - PreV_ETB differs from beginning_balance",IF(AND(ISNUMBER(O1700),O1700&lt;0,ABS(L1700-(Q1700-IF(ISNUMBER(N1700),N1700,0)+IF(ISNUMBER(P1700),P1700,0)))&lt;=Summary!$B$2),"Negative realized loss not applied - check sign",IF(R1700&lt;0,"Principal paid exceeds prior balance",IF(AND(L1700&gt;Q1700,NOT(ISNUMBER(P1700))),"Balance increased but no Deferred_interest reported",IF(L1700&gt;R1700,"Reported balance higher than expected (missing increase/OC build)","Reported balance lower than expected (missing decrease)"))))),""))</f>
        <v/>
      </c>
    </row>
    <row r="1701" customFormat="false" ht="15" hidden="false" customHeight="false" outlineLevel="0" collapsed="false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9"/>
      <c r="L1701" s="9"/>
      <c r="M1701" s="9"/>
      <c r="N1701" s="9"/>
      <c r="O1701" s="9"/>
      <c r="P1701" s="9"/>
      <c r="Q1701" s="9"/>
      <c r="R1701" s="9" t="str">
        <f aca="false">IF(AND(A1701&lt;&gt;"",ISNUMBER(Q1701),ISNUMBER(L1701)),ROUND(Q1701-IF(ISNUMBER(N1701),N1701,0)-IF(ISNUMBER(O1701),O1701,0)+IF(ISNUMBER(P1701),P1701,0),2),"")</f>
        <v/>
      </c>
      <c r="S1701" s="9" t="str">
        <f aca="false">IF(R1701="","",ROUND(L1701-R1701,2))</f>
        <v/>
      </c>
      <c r="T1701" s="8" t="str">
        <f aca="false">IF(A1701="","",IF(S1701="","BYPASS",IF(ABS(S1701)&lt;=Summary!$B$2,"PASS","FAIL")))</f>
        <v/>
      </c>
      <c r="U1701" s="8" t="str">
        <f aca="false">IF(T1701="BYPASS",IF(NOT(ISNUMBER(Q1701)),"PreV_ETB missing","End_tr_balance missing"),IF(T1701="FAIL",IF(AND(ISNUMBER(K1701),ISNUMBER(L1701),ABS(L1701-(K1701-IF(ISNUMBER(N1701),N1701,0)-IF(ISNUMBER(O1701),O1701,0)+IF(ISNUMBER(P1701),P1701,0)))&lt;=Summary!$B$2),"Passes using beginning_balance - PreV_ETB differs from beginning_balance",IF(AND(ISNUMBER(O1701),O1701&lt;0,ABS(L1701-(Q1701-IF(ISNUMBER(N1701),N1701,0)+IF(ISNUMBER(P1701),P1701,0)))&lt;=Summary!$B$2),"Negative realized loss not applied - check sign",IF(R1701&lt;0,"Principal paid exceeds prior balance",IF(AND(L1701&gt;Q1701,NOT(ISNUMBER(P1701))),"Balance increased but no Deferred_interest reported",IF(L1701&gt;R1701,"Reported balance higher than expected (missing increase/OC build)","Reported balance lower than expected (missing decrease)"))))),""))</f>
        <v/>
      </c>
    </row>
    <row r="1702" customFormat="false" ht="15" hidden="false" customHeight="false" outlineLevel="0" collapsed="false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9"/>
      <c r="L1702" s="9"/>
      <c r="M1702" s="9"/>
      <c r="N1702" s="9"/>
      <c r="O1702" s="9"/>
      <c r="P1702" s="9"/>
      <c r="Q1702" s="9"/>
      <c r="R1702" s="9" t="str">
        <f aca="false">IF(AND(A1702&lt;&gt;"",ISNUMBER(Q1702),ISNUMBER(L1702)),ROUND(Q1702-IF(ISNUMBER(N1702),N1702,0)-IF(ISNUMBER(O1702),O1702,0)+IF(ISNUMBER(P1702),P1702,0),2),"")</f>
        <v/>
      </c>
      <c r="S1702" s="9" t="str">
        <f aca="false">IF(R1702="","",ROUND(L1702-R1702,2))</f>
        <v/>
      </c>
      <c r="T1702" s="8" t="str">
        <f aca="false">IF(A1702="","",IF(S1702="","BYPASS",IF(ABS(S1702)&lt;=Summary!$B$2,"PASS","FAIL")))</f>
        <v/>
      </c>
      <c r="U1702" s="8" t="str">
        <f aca="false">IF(T1702="BYPASS",IF(NOT(ISNUMBER(Q1702)),"PreV_ETB missing","End_tr_balance missing"),IF(T1702="FAIL",IF(AND(ISNUMBER(K1702),ISNUMBER(L1702),ABS(L1702-(K1702-IF(ISNUMBER(N1702),N1702,0)-IF(ISNUMBER(O1702),O1702,0)+IF(ISNUMBER(P1702),P1702,0)))&lt;=Summary!$B$2),"Passes using beginning_balance - PreV_ETB differs from beginning_balance",IF(AND(ISNUMBER(O1702),O1702&lt;0,ABS(L1702-(Q1702-IF(ISNUMBER(N1702),N1702,0)+IF(ISNUMBER(P1702),P1702,0)))&lt;=Summary!$B$2),"Negative realized loss not applied - check sign",IF(R1702&lt;0,"Principal paid exceeds prior balance",IF(AND(L1702&gt;Q1702,NOT(ISNUMBER(P1702))),"Balance increased but no Deferred_interest reported",IF(L1702&gt;R1702,"Reported balance higher than expected (missing increase/OC build)","Reported balance lower than expected (missing decrease)"))))),""))</f>
        <v/>
      </c>
    </row>
    <row r="1703" customFormat="false" ht="15" hidden="false" customHeight="false" outlineLevel="0" collapsed="false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9"/>
      <c r="L1703" s="9"/>
      <c r="M1703" s="9"/>
      <c r="N1703" s="9"/>
      <c r="O1703" s="9"/>
      <c r="P1703" s="9"/>
      <c r="Q1703" s="9"/>
      <c r="R1703" s="9" t="str">
        <f aca="false">IF(AND(A1703&lt;&gt;"",ISNUMBER(Q1703),ISNUMBER(L1703)),ROUND(Q1703-IF(ISNUMBER(N1703),N1703,0)-IF(ISNUMBER(O1703),O1703,0)+IF(ISNUMBER(P1703),P1703,0),2),"")</f>
        <v/>
      </c>
      <c r="S1703" s="9" t="str">
        <f aca="false">IF(R1703="","",ROUND(L1703-R1703,2))</f>
        <v/>
      </c>
      <c r="T1703" s="8" t="str">
        <f aca="false">IF(A1703="","",IF(S1703="","BYPASS",IF(ABS(S1703)&lt;=Summary!$B$2,"PASS","FAIL")))</f>
        <v/>
      </c>
      <c r="U1703" s="8" t="str">
        <f aca="false">IF(T1703="BYPASS",IF(NOT(ISNUMBER(Q1703)),"PreV_ETB missing","End_tr_balance missing"),IF(T1703="FAIL",IF(AND(ISNUMBER(K1703),ISNUMBER(L1703),ABS(L1703-(K1703-IF(ISNUMBER(N1703),N1703,0)-IF(ISNUMBER(O1703),O1703,0)+IF(ISNUMBER(P1703),P1703,0)))&lt;=Summary!$B$2),"Passes using beginning_balance - PreV_ETB differs from beginning_balance",IF(AND(ISNUMBER(O1703),O1703&lt;0,ABS(L1703-(Q1703-IF(ISNUMBER(N1703),N1703,0)+IF(ISNUMBER(P1703),P1703,0)))&lt;=Summary!$B$2),"Negative realized loss not applied - check sign",IF(R1703&lt;0,"Principal paid exceeds prior balance",IF(AND(L1703&gt;Q1703,NOT(ISNUMBER(P1703))),"Balance increased but no Deferred_interest reported",IF(L1703&gt;R1703,"Reported balance higher than expected (missing increase/OC build)","Reported balance lower than expected (missing decrease)"))))),""))</f>
        <v/>
      </c>
    </row>
    <row r="1704" customFormat="false" ht="15" hidden="false" customHeight="false" outlineLevel="0" collapsed="false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9"/>
      <c r="L1704" s="9"/>
      <c r="M1704" s="9"/>
      <c r="N1704" s="9"/>
      <c r="O1704" s="9"/>
      <c r="P1704" s="9"/>
      <c r="Q1704" s="9"/>
      <c r="R1704" s="9" t="str">
        <f aca="false">IF(AND(A1704&lt;&gt;"",ISNUMBER(Q1704),ISNUMBER(L1704)),ROUND(Q1704-IF(ISNUMBER(N1704),N1704,0)-IF(ISNUMBER(O1704),O1704,0)+IF(ISNUMBER(P1704),P1704,0),2),"")</f>
        <v/>
      </c>
      <c r="S1704" s="9" t="str">
        <f aca="false">IF(R1704="","",ROUND(L1704-R1704,2))</f>
        <v/>
      </c>
      <c r="T1704" s="8" t="str">
        <f aca="false">IF(A1704="","",IF(S1704="","BYPASS",IF(ABS(S1704)&lt;=Summary!$B$2,"PASS","FAIL")))</f>
        <v/>
      </c>
      <c r="U1704" s="8" t="str">
        <f aca="false">IF(T1704="BYPASS",IF(NOT(ISNUMBER(Q1704)),"PreV_ETB missing","End_tr_balance missing"),IF(T1704="FAIL",IF(AND(ISNUMBER(K1704),ISNUMBER(L1704),ABS(L1704-(K1704-IF(ISNUMBER(N1704),N1704,0)-IF(ISNUMBER(O1704),O1704,0)+IF(ISNUMBER(P1704),P1704,0)))&lt;=Summary!$B$2),"Passes using beginning_balance - PreV_ETB differs from beginning_balance",IF(AND(ISNUMBER(O1704),O1704&lt;0,ABS(L1704-(Q1704-IF(ISNUMBER(N1704),N1704,0)+IF(ISNUMBER(P1704),P1704,0)))&lt;=Summary!$B$2),"Negative realized loss not applied - check sign",IF(R1704&lt;0,"Principal paid exceeds prior balance",IF(AND(L1704&gt;Q1704,NOT(ISNUMBER(P1704))),"Balance increased but no Deferred_interest reported",IF(L1704&gt;R1704,"Reported balance higher than expected (missing increase/OC build)","Reported balance lower than expected (missing decrease)"))))),""))</f>
        <v/>
      </c>
    </row>
    <row r="1705" customFormat="false" ht="15" hidden="false" customHeight="false" outlineLevel="0" collapsed="false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9"/>
      <c r="L1705" s="9"/>
      <c r="M1705" s="9"/>
      <c r="N1705" s="9"/>
      <c r="O1705" s="9"/>
      <c r="P1705" s="9"/>
      <c r="Q1705" s="9"/>
      <c r="R1705" s="9" t="str">
        <f aca="false">IF(AND(A1705&lt;&gt;"",ISNUMBER(Q1705),ISNUMBER(L1705)),ROUND(Q1705-IF(ISNUMBER(N1705),N1705,0)-IF(ISNUMBER(O1705),O1705,0)+IF(ISNUMBER(P1705),P1705,0),2),"")</f>
        <v/>
      </c>
      <c r="S1705" s="9" t="str">
        <f aca="false">IF(R1705="","",ROUND(L1705-R1705,2))</f>
        <v/>
      </c>
      <c r="T1705" s="8" t="str">
        <f aca="false">IF(A1705="","",IF(S1705="","BYPASS",IF(ABS(S1705)&lt;=Summary!$B$2,"PASS","FAIL")))</f>
        <v/>
      </c>
      <c r="U1705" s="8" t="str">
        <f aca="false">IF(T1705="BYPASS",IF(NOT(ISNUMBER(Q1705)),"PreV_ETB missing","End_tr_balance missing"),IF(T1705="FAIL",IF(AND(ISNUMBER(K1705),ISNUMBER(L1705),ABS(L1705-(K1705-IF(ISNUMBER(N1705),N1705,0)-IF(ISNUMBER(O1705),O1705,0)+IF(ISNUMBER(P1705),P1705,0)))&lt;=Summary!$B$2),"Passes using beginning_balance - PreV_ETB differs from beginning_balance",IF(AND(ISNUMBER(O1705),O1705&lt;0,ABS(L1705-(Q1705-IF(ISNUMBER(N1705),N1705,0)+IF(ISNUMBER(P1705),P1705,0)))&lt;=Summary!$B$2),"Negative realized loss not applied - check sign",IF(R1705&lt;0,"Principal paid exceeds prior balance",IF(AND(L1705&gt;Q1705,NOT(ISNUMBER(P1705))),"Balance increased but no Deferred_interest reported",IF(L1705&gt;R1705,"Reported balance higher than expected (missing increase/OC build)","Reported balance lower than expected (missing decrease)"))))),""))</f>
        <v/>
      </c>
    </row>
    <row r="1706" customFormat="false" ht="15" hidden="false" customHeight="false" outlineLevel="0" collapsed="false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9"/>
      <c r="L1706" s="9"/>
      <c r="M1706" s="9"/>
      <c r="N1706" s="9"/>
      <c r="O1706" s="9"/>
      <c r="P1706" s="9"/>
      <c r="Q1706" s="9"/>
      <c r="R1706" s="9" t="str">
        <f aca="false">IF(AND(A1706&lt;&gt;"",ISNUMBER(Q1706),ISNUMBER(L1706)),ROUND(Q1706-IF(ISNUMBER(N1706),N1706,0)-IF(ISNUMBER(O1706),O1706,0)+IF(ISNUMBER(P1706),P1706,0),2),"")</f>
        <v/>
      </c>
      <c r="S1706" s="9" t="str">
        <f aca="false">IF(R1706="","",ROUND(L1706-R1706,2))</f>
        <v/>
      </c>
      <c r="T1706" s="8" t="str">
        <f aca="false">IF(A1706="","",IF(S1706="","BYPASS",IF(ABS(S1706)&lt;=Summary!$B$2,"PASS","FAIL")))</f>
        <v/>
      </c>
      <c r="U1706" s="8" t="str">
        <f aca="false">IF(T1706="BYPASS",IF(NOT(ISNUMBER(Q1706)),"PreV_ETB missing","End_tr_balance missing"),IF(T1706="FAIL",IF(AND(ISNUMBER(K1706),ISNUMBER(L1706),ABS(L1706-(K1706-IF(ISNUMBER(N1706),N1706,0)-IF(ISNUMBER(O1706),O1706,0)+IF(ISNUMBER(P1706),P1706,0)))&lt;=Summary!$B$2),"Passes using beginning_balance - PreV_ETB differs from beginning_balance",IF(AND(ISNUMBER(O1706),O1706&lt;0,ABS(L1706-(Q1706-IF(ISNUMBER(N1706),N1706,0)+IF(ISNUMBER(P1706),P1706,0)))&lt;=Summary!$B$2),"Negative realized loss not applied - check sign",IF(R1706&lt;0,"Principal paid exceeds prior balance",IF(AND(L1706&gt;Q1706,NOT(ISNUMBER(P1706))),"Balance increased but no Deferred_interest reported",IF(L1706&gt;R1706,"Reported balance higher than expected (missing increase/OC build)","Reported balance lower than expected (missing decrease)"))))),""))</f>
        <v/>
      </c>
    </row>
    <row r="1707" customFormat="false" ht="15" hidden="false" customHeight="false" outlineLevel="0" collapsed="false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9"/>
      <c r="L1707" s="9"/>
      <c r="M1707" s="9"/>
      <c r="N1707" s="9"/>
      <c r="O1707" s="9"/>
      <c r="P1707" s="9"/>
      <c r="Q1707" s="9"/>
      <c r="R1707" s="9" t="str">
        <f aca="false">IF(AND(A1707&lt;&gt;"",ISNUMBER(Q1707),ISNUMBER(L1707)),ROUND(Q1707-IF(ISNUMBER(N1707),N1707,0)-IF(ISNUMBER(O1707),O1707,0)+IF(ISNUMBER(P1707),P1707,0),2),"")</f>
        <v/>
      </c>
      <c r="S1707" s="9" t="str">
        <f aca="false">IF(R1707="","",ROUND(L1707-R1707,2))</f>
        <v/>
      </c>
      <c r="T1707" s="8" t="str">
        <f aca="false">IF(A1707="","",IF(S1707="","BYPASS",IF(ABS(S1707)&lt;=Summary!$B$2,"PASS","FAIL")))</f>
        <v/>
      </c>
      <c r="U1707" s="8" t="str">
        <f aca="false">IF(T1707="BYPASS",IF(NOT(ISNUMBER(Q1707)),"PreV_ETB missing","End_tr_balance missing"),IF(T1707="FAIL",IF(AND(ISNUMBER(K1707),ISNUMBER(L1707),ABS(L1707-(K1707-IF(ISNUMBER(N1707),N1707,0)-IF(ISNUMBER(O1707),O1707,0)+IF(ISNUMBER(P1707),P1707,0)))&lt;=Summary!$B$2),"Passes using beginning_balance - PreV_ETB differs from beginning_balance",IF(AND(ISNUMBER(O1707),O1707&lt;0,ABS(L1707-(Q1707-IF(ISNUMBER(N1707),N1707,0)+IF(ISNUMBER(P1707),P1707,0)))&lt;=Summary!$B$2),"Negative realized loss not applied - check sign",IF(R1707&lt;0,"Principal paid exceeds prior balance",IF(AND(L1707&gt;Q1707,NOT(ISNUMBER(P1707))),"Balance increased but no Deferred_interest reported",IF(L1707&gt;R1707,"Reported balance higher than expected (missing increase/OC build)","Reported balance lower than expected (missing decrease)"))))),""))</f>
        <v/>
      </c>
    </row>
    <row r="1708" customFormat="false" ht="15" hidden="false" customHeight="false" outlineLevel="0" collapsed="false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9"/>
      <c r="L1708" s="9"/>
      <c r="M1708" s="9"/>
      <c r="N1708" s="9"/>
      <c r="O1708" s="9"/>
      <c r="P1708" s="9"/>
      <c r="Q1708" s="9"/>
      <c r="R1708" s="9" t="str">
        <f aca="false">IF(AND(A1708&lt;&gt;"",ISNUMBER(Q1708),ISNUMBER(L1708)),ROUND(Q1708-IF(ISNUMBER(N1708),N1708,0)-IF(ISNUMBER(O1708),O1708,0)+IF(ISNUMBER(P1708),P1708,0),2),"")</f>
        <v/>
      </c>
      <c r="S1708" s="9" t="str">
        <f aca="false">IF(R1708="","",ROUND(L1708-R1708,2))</f>
        <v/>
      </c>
      <c r="T1708" s="8" t="str">
        <f aca="false">IF(A1708="","",IF(S1708="","BYPASS",IF(ABS(S1708)&lt;=Summary!$B$2,"PASS","FAIL")))</f>
        <v/>
      </c>
      <c r="U1708" s="8" t="str">
        <f aca="false">IF(T1708="BYPASS",IF(NOT(ISNUMBER(Q1708)),"PreV_ETB missing","End_tr_balance missing"),IF(T1708="FAIL",IF(AND(ISNUMBER(K1708),ISNUMBER(L1708),ABS(L1708-(K1708-IF(ISNUMBER(N1708),N1708,0)-IF(ISNUMBER(O1708),O1708,0)+IF(ISNUMBER(P1708),P1708,0)))&lt;=Summary!$B$2),"Passes using beginning_balance - PreV_ETB differs from beginning_balance",IF(AND(ISNUMBER(O1708),O1708&lt;0,ABS(L1708-(Q1708-IF(ISNUMBER(N1708),N1708,0)+IF(ISNUMBER(P1708),P1708,0)))&lt;=Summary!$B$2),"Negative realized loss not applied - check sign",IF(R1708&lt;0,"Principal paid exceeds prior balance",IF(AND(L1708&gt;Q1708,NOT(ISNUMBER(P1708))),"Balance increased but no Deferred_interest reported",IF(L1708&gt;R1708,"Reported balance higher than expected (missing increase/OC build)","Reported balance lower than expected (missing decrease)"))))),""))</f>
        <v/>
      </c>
    </row>
    <row r="1709" customFormat="false" ht="15" hidden="false" customHeight="false" outlineLevel="0" collapsed="false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9"/>
      <c r="L1709" s="9"/>
      <c r="M1709" s="9"/>
      <c r="N1709" s="9"/>
      <c r="O1709" s="9"/>
      <c r="P1709" s="9"/>
      <c r="Q1709" s="9"/>
      <c r="R1709" s="9" t="str">
        <f aca="false">IF(AND(A1709&lt;&gt;"",ISNUMBER(Q1709),ISNUMBER(L1709)),ROUND(Q1709-IF(ISNUMBER(N1709),N1709,0)-IF(ISNUMBER(O1709),O1709,0)+IF(ISNUMBER(P1709),P1709,0),2),"")</f>
        <v/>
      </c>
      <c r="S1709" s="9" t="str">
        <f aca="false">IF(R1709="","",ROUND(L1709-R1709,2))</f>
        <v/>
      </c>
      <c r="T1709" s="8" t="str">
        <f aca="false">IF(A1709="","",IF(S1709="","BYPASS",IF(ABS(S1709)&lt;=Summary!$B$2,"PASS","FAIL")))</f>
        <v/>
      </c>
      <c r="U1709" s="8" t="str">
        <f aca="false">IF(T1709="BYPASS",IF(NOT(ISNUMBER(Q1709)),"PreV_ETB missing","End_tr_balance missing"),IF(T1709="FAIL",IF(AND(ISNUMBER(K1709),ISNUMBER(L1709),ABS(L1709-(K1709-IF(ISNUMBER(N1709),N1709,0)-IF(ISNUMBER(O1709),O1709,0)+IF(ISNUMBER(P1709),P1709,0)))&lt;=Summary!$B$2),"Passes using beginning_balance - PreV_ETB differs from beginning_balance",IF(AND(ISNUMBER(O1709),O1709&lt;0,ABS(L1709-(Q1709-IF(ISNUMBER(N1709),N1709,0)+IF(ISNUMBER(P1709),P1709,0)))&lt;=Summary!$B$2),"Negative realized loss not applied - check sign",IF(R1709&lt;0,"Principal paid exceeds prior balance",IF(AND(L1709&gt;Q1709,NOT(ISNUMBER(P1709))),"Balance increased but no Deferred_interest reported",IF(L1709&gt;R1709,"Reported balance higher than expected (missing increase/OC build)","Reported balance lower than expected (missing decrease)"))))),""))</f>
        <v/>
      </c>
    </row>
    <row r="1710" customFormat="false" ht="15" hidden="false" customHeight="false" outlineLevel="0" collapsed="false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9"/>
      <c r="L1710" s="9"/>
      <c r="M1710" s="9"/>
      <c r="N1710" s="9"/>
      <c r="O1710" s="9"/>
      <c r="P1710" s="9"/>
      <c r="Q1710" s="9"/>
      <c r="R1710" s="9" t="str">
        <f aca="false">IF(AND(A1710&lt;&gt;"",ISNUMBER(Q1710),ISNUMBER(L1710)),ROUND(Q1710-IF(ISNUMBER(N1710),N1710,0)-IF(ISNUMBER(O1710),O1710,0)+IF(ISNUMBER(P1710),P1710,0),2),"")</f>
        <v/>
      </c>
      <c r="S1710" s="9" t="str">
        <f aca="false">IF(R1710="","",ROUND(L1710-R1710,2))</f>
        <v/>
      </c>
      <c r="T1710" s="8" t="str">
        <f aca="false">IF(A1710="","",IF(S1710="","BYPASS",IF(ABS(S1710)&lt;=Summary!$B$2,"PASS","FAIL")))</f>
        <v/>
      </c>
      <c r="U1710" s="8" t="str">
        <f aca="false">IF(T1710="BYPASS",IF(NOT(ISNUMBER(Q1710)),"PreV_ETB missing","End_tr_balance missing"),IF(T1710="FAIL",IF(AND(ISNUMBER(K1710),ISNUMBER(L1710),ABS(L1710-(K1710-IF(ISNUMBER(N1710),N1710,0)-IF(ISNUMBER(O1710),O1710,0)+IF(ISNUMBER(P1710),P1710,0)))&lt;=Summary!$B$2),"Passes using beginning_balance - PreV_ETB differs from beginning_balance",IF(AND(ISNUMBER(O1710),O1710&lt;0,ABS(L1710-(Q1710-IF(ISNUMBER(N1710),N1710,0)+IF(ISNUMBER(P1710),P1710,0)))&lt;=Summary!$B$2),"Negative realized loss not applied - check sign",IF(R1710&lt;0,"Principal paid exceeds prior balance",IF(AND(L1710&gt;Q1710,NOT(ISNUMBER(P1710))),"Balance increased but no Deferred_interest reported",IF(L1710&gt;R1710,"Reported balance higher than expected (missing increase/OC build)","Reported balance lower than expected (missing decrease)"))))),""))</f>
        <v/>
      </c>
    </row>
    <row r="1711" customFormat="false" ht="15" hidden="false" customHeight="false" outlineLevel="0" collapsed="false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9"/>
      <c r="L1711" s="9"/>
      <c r="M1711" s="9"/>
      <c r="N1711" s="9"/>
      <c r="O1711" s="9"/>
      <c r="P1711" s="9"/>
      <c r="Q1711" s="9"/>
      <c r="R1711" s="9" t="str">
        <f aca="false">IF(AND(A1711&lt;&gt;"",ISNUMBER(Q1711),ISNUMBER(L1711)),ROUND(Q1711-IF(ISNUMBER(N1711),N1711,0)-IF(ISNUMBER(O1711),O1711,0)+IF(ISNUMBER(P1711),P1711,0),2),"")</f>
        <v/>
      </c>
      <c r="S1711" s="9" t="str">
        <f aca="false">IF(R1711="","",ROUND(L1711-R1711,2))</f>
        <v/>
      </c>
      <c r="T1711" s="8" t="str">
        <f aca="false">IF(A1711="","",IF(S1711="","BYPASS",IF(ABS(S1711)&lt;=Summary!$B$2,"PASS","FAIL")))</f>
        <v/>
      </c>
      <c r="U1711" s="8" t="str">
        <f aca="false">IF(T1711="BYPASS",IF(NOT(ISNUMBER(Q1711)),"PreV_ETB missing","End_tr_balance missing"),IF(T1711="FAIL",IF(AND(ISNUMBER(K1711),ISNUMBER(L1711),ABS(L1711-(K1711-IF(ISNUMBER(N1711),N1711,0)-IF(ISNUMBER(O1711),O1711,0)+IF(ISNUMBER(P1711),P1711,0)))&lt;=Summary!$B$2),"Passes using beginning_balance - PreV_ETB differs from beginning_balance",IF(AND(ISNUMBER(O1711),O1711&lt;0,ABS(L1711-(Q1711-IF(ISNUMBER(N1711),N1711,0)+IF(ISNUMBER(P1711),P1711,0)))&lt;=Summary!$B$2),"Negative realized loss not applied - check sign",IF(R1711&lt;0,"Principal paid exceeds prior balance",IF(AND(L1711&gt;Q1711,NOT(ISNUMBER(P1711))),"Balance increased but no Deferred_interest reported",IF(L1711&gt;R1711,"Reported balance higher than expected (missing increase/OC build)","Reported balance lower than expected (missing decrease)"))))),""))</f>
        <v/>
      </c>
    </row>
    <row r="1712" customFormat="false" ht="15" hidden="false" customHeight="false" outlineLevel="0" collapsed="false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9"/>
      <c r="L1712" s="9"/>
      <c r="M1712" s="9"/>
      <c r="N1712" s="9"/>
      <c r="O1712" s="9"/>
      <c r="P1712" s="9"/>
      <c r="Q1712" s="9"/>
      <c r="R1712" s="9" t="str">
        <f aca="false">IF(AND(A1712&lt;&gt;"",ISNUMBER(Q1712),ISNUMBER(L1712)),ROUND(Q1712-IF(ISNUMBER(N1712),N1712,0)-IF(ISNUMBER(O1712),O1712,0)+IF(ISNUMBER(P1712),P1712,0),2),"")</f>
        <v/>
      </c>
      <c r="S1712" s="9" t="str">
        <f aca="false">IF(R1712="","",ROUND(L1712-R1712,2))</f>
        <v/>
      </c>
      <c r="T1712" s="8" t="str">
        <f aca="false">IF(A1712="","",IF(S1712="","BYPASS",IF(ABS(S1712)&lt;=Summary!$B$2,"PASS","FAIL")))</f>
        <v/>
      </c>
      <c r="U1712" s="8" t="str">
        <f aca="false">IF(T1712="BYPASS",IF(NOT(ISNUMBER(Q1712)),"PreV_ETB missing","End_tr_balance missing"),IF(T1712="FAIL",IF(AND(ISNUMBER(K1712),ISNUMBER(L1712),ABS(L1712-(K1712-IF(ISNUMBER(N1712),N1712,0)-IF(ISNUMBER(O1712),O1712,0)+IF(ISNUMBER(P1712),P1712,0)))&lt;=Summary!$B$2),"Passes using beginning_balance - PreV_ETB differs from beginning_balance",IF(AND(ISNUMBER(O1712),O1712&lt;0,ABS(L1712-(Q1712-IF(ISNUMBER(N1712),N1712,0)+IF(ISNUMBER(P1712),P1712,0)))&lt;=Summary!$B$2),"Negative realized loss not applied - check sign",IF(R1712&lt;0,"Principal paid exceeds prior balance",IF(AND(L1712&gt;Q1712,NOT(ISNUMBER(P1712))),"Balance increased but no Deferred_interest reported",IF(L1712&gt;R1712,"Reported balance higher than expected (missing increase/OC build)","Reported balance lower than expected (missing decrease)"))))),""))</f>
        <v/>
      </c>
    </row>
    <row r="1713" customFormat="false" ht="15" hidden="false" customHeight="false" outlineLevel="0" collapsed="false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9"/>
      <c r="L1713" s="9"/>
      <c r="M1713" s="9"/>
      <c r="N1713" s="9"/>
      <c r="O1713" s="9"/>
      <c r="P1713" s="9"/>
      <c r="Q1713" s="9"/>
      <c r="R1713" s="9" t="str">
        <f aca="false">IF(AND(A1713&lt;&gt;"",ISNUMBER(Q1713),ISNUMBER(L1713)),ROUND(Q1713-IF(ISNUMBER(N1713),N1713,0)-IF(ISNUMBER(O1713),O1713,0)+IF(ISNUMBER(P1713),P1713,0),2),"")</f>
        <v/>
      </c>
      <c r="S1713" s="9" t="str">
        <f aca="false">IF(R1713="","",ROUND(L1713-R1713,2))</f>
        <v/>
      </c>
      <c r="T1713" s="8" t="str">
        <f aca="false">IF(A1713="","",IF(S1713="","BYPASS",IF(ABS(S1713)&lt;=Summary!$B$2,"PASS","FAIL")))</f>
        <v/>
      </c>
      <c r="U1713" s="8" t="str">
        <f aca="false">IF(T1713="BYPASS",IF(NOT(ISNUMBER(Q1713)),"PreV_ETB missing","End_tr_balance missing"),IF(T1713="FAIL",IF(AND(ISNUMBER(K1713),ISNUMBER(L1713),ABS(L1713-(K1713-IF(ISNUMBER(N1713),N1713,0)-IF(ISNUMBER(O1713),O1713,0)+IF(ISNUMBER(P1713),P1713,0)))&lt;=Summary!$B$2),"Passes using beginning_balance - PreV_ETB differs from beginning_balance",IF(AND(ISNUMBER(O1713),O1713&lt;0,ABS(L1713-(Q1713-IF(ISNUMBER(N1713),N1713,0)+IF(ISNUMBER(P1713),P1713,0)))&lt;=Summary!$B$2),"Negative realized loss not applied - check sign",IF(R1713&lt;0,"Principal paid exceeds prior balance",IF(AND(L1713&gt;Q1713,NOT(ISNUMBER(P1713))),"Balance increased but no Deferred_interest reported",IF(L1713&gt;R1713,"Reported balance higher than expected (missing increase/OC build)","Reported balance lower than expected (missing decrease)"))))),""))</f>
        <v/>
      </c>
    </row>
    <row r="1714" customFormat="false" ht="15" hidden="false" customHeight="false" outlineLevel="0" collapsed="false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9"/>
      <c r="L1714" s="9"/>
      <c r="M1714" s="9"/>
      <c r="N1714" s="9"/>
      <c r="O1714" s="9"/>
      <c r="P1714" s="9"/>
      <c r="Q1714" s="9"/>
      <c r="R1714" s="9" t="str">
        <f aca="false">IF(AND(A1714&lt;&gt;"",ISNUMBER(Q1714),ISNUMBER(L1714)),ROUND(Q1714-IF(ISNUMBER(N1714),N1714,0)-IF(ISNUMBER(O1714),O1714,0)+IF(ISNUMBER(P1714),P1714,0),2),"")</f>
        <v/>
      </c>
      <c r="S1714" s="9" t="str">
        <f aca="false">IF(R1714="","",ROUND(L1714-R1714,2))</f>
        <v/>
      </c>
      <c r="T1714" s="8" t="str">
        <f aca="false">IF(A1714="","",IF(S1714="","BYPASS",IF(ABS(S1714)&lt;=Summary!$B$2,"PASS","FAIL")))</f>
        <v/>
      </c>
      <c r="U1714" s="8" t="str">
        <f aca="false">IF(T1714="BYPASS",IF(NOT(ISNUMBER(Q1714)),"PreV_ETB missing","End_tr_balance missing"),IF(T1714="FAIL",IF(AND(ISNUMBER(K1714),ISNUMBER(L1714),ABS(L1714-(K1714-IF(ISNUMBER(N1714),N1714,0)-IF(ISNUMBER(O1714),O1714,0)+IF(ISNUMBER(P1714),P1714,0)))&lt;=Summary!$B$2),"Passes using beginning_balance - PreV_ETB differs from beginning_balance",IF(AND(ISNUMBER(O1714),O1714&lt;0,ABS(L1714-(Q1714-IF(ISNUMBER(N1714),N1714,0)+IF(ISNUMBER(P1714),P1714,0)))&lt;=Summary!$B$2),"Negative realized loss not applied - check sign",IF(R1714&lt;0,"Principal paid exceeds prior balance",IF(AND(L1714&gt;Q1714,NOT(ISNUMBER(P1714))),"Balance increased but no Deferred_interest reported",IF(L1714&gt;R1714,"Reported balance higher than expected (missing increase/OC build)","Reported balance lower than expected (missing decrease)"))))),""))</f>
        <v/>
      </c>
    </row>
    <row r="1715" customFormat="false" ht="15" hidden="false" customHeight="false" outlineLevel="0" collapsed="false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9"/>
      <c r="L1715" s="9"/>
      <c r="M1715" s="9"/>
      <c r="N1715" s="9"/>
      <c r="O1715" s="9"/>
      <c r="P1715" s="9"/>
      <c r="Q1715" s="9"/>
      <c r="R1715" s="9" t="str">
        <f aca="false">IF(AND(A1715&lt;&gt;"",ISNUMBER(Q1715),ISNUMBER(L1715)),ROUND(Q1715-IF(ISNUMBER(N1715),N1715,0)-IF(ISNUMBER(O1715),O1715,0)+IF(ISNUMBER(P1715),P1715,0),2),"")</f>
        <v/>
      </c>
      <c r="S1715" s="9" t="str">
        <f aca="false">IF(R1715="","",ROUND(L1715-R1715,2))</f>
        <v/>
      </c>
      <c r="T1715" s="8" t="str">
        <f aca="false">IF(A1715="","",IF(S1715="","BYPASS",IF(ABS(S1715)&lt;=Summary!$B$2,"PASS","FAIL")))</f>
        <v/>
      </c>
      <c r="U1715" s="8" t="str">
        <f aca="false">IF(T1715="BYPASS",IF(NOT(ISNUMBER(Q1715)),"PreV_ETB missing","End_tr_balance missing"),IF(T1715="FAIL",IF(AND(ISNUMBER(K1715),ISNUMBER(L1715),ABS(L1715-(K1715-IF(ISNUMBER(N1715),N1715,0)-IF(ISNUMBER(O1715),O1715,0)+IF(ISNUMBER(P1715),P1715,0)))&lt;=Summary!$B$2),"Passes using beginning_balance - PreV_ETB differs from beginning_balance",IF(AND(ISNUMBER(O1715),O1715&lt;0,ABS(L1715-(Q1715-IF(ISNUMBER(N1715),N1715,0)+IF(ISNUMBER(P1715),P1715,0)))&lt;=Summary!$B$2),"Negative realized loss not applied - check sign",IF(R1715&lt;0,"Principal paid exceeds prior balance",IF(AND(L1715&gt;Q1715,NOT(ISNUMBER(P1715))),"Balance increased but no Deferred_interest reported",IF(L1715&gt;R1715,"Reported balance higher than expected (missing increase/OC build)","Reported balance lower than expected (missing decrease)"))))),""))</f>
        <v/>
      </c>
    </row>
    <row r="1716" customFormat="false" ht="15" hidden="false" customHeight="false" outlineLevel="0" collapsed="false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9"/>
      <c r="L1716" s="9"/>
      <c r="M1716" s="9"/>
      <c r="N1716" s="9"/>
      <c r="O1716" s="9"/>
      <c r="P1716" s="9"/>
      <c r="Q1716" s="9"/>
      <c r="R1716" s="9" t="str">
        <f aca="false">IF(AND(A1716&lt;&gt;"",ISNUMBER(Q1716),ISNUMBER(L1716)),ROUND(Q1716-IF(ISNUMBER(N1716),N1716,0)-IF(ISNUMBER(O1716),O1716,0)+IF(ISNUMBER(P1716),P1716,0),2),"")</f>
        <v/>
      </c>
      <c r="S1716" s="9" t="str">
        <f aca="false">IF(R1716="","",ROUND(L1716-R1716,2))</f>
        <v/>
      </c>
      <c r="T1716" s="8" t="str">
        <f aca="false">IF(A1716="","",IF(S1716="","BYPASS",IF(ABS(S1716)&lt;=Summary!$B$2,"PASS","FAIL")))</f>
        <v/>
      </c>
      <c r="U1716" s="8" t="str">
        <f aca="false">IF(T1716="BYPASS",IF(NOT(ISNUMBER(Q1716)),"PreV_ETB missing","End_tr_balance missing"),IF(T1716="FAIL",IF(AND(ISNUMBER(K1716),ISNUMBER(L1716),ABS(L1716-(K1716-IF(ISNUMBER(N1716),N1716,0)-IF(ISNUMBER(O1716),O1716,0)+IF(ISNUMBER(P1716),P1716,0)))&lt;=Summary!$B$2),"Passes using beginning_balance - PreV_ETB differs from beginning_balance",IF(AND(ISNUMBER(O1716),O1716&lt;0,ABS(L1716-(Q1716-IF(ISNUMBER(N1716),N1716,0)+IF(ISNUMBER(P1716),P1716,0)))&lt;=Summary!$B$2),"Negative realized loss not applied - check sign",IF(R1716&lt;0,"Principal paid exceeds prior balance",IF(AND(L1716&gt;Q1716,NOT(ISNUMBER(P1716))),"Balance increased but no Deferred_interest reported",IF(L1716&gt;R1716,"Reported balance higher than expected (missing increase/OC build)","Reported balance lower than expected (missing decrease)"))))),""))</f>
        <v/>
      </c>
    </row>
    <row r="1717" customFormat="false" ht="15" hidden="false" customHeight="false" outlineLevel="0" collapsed="false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9"/>
      <c r="L1717" s="9"/>
      <c r="M1717" s="9"/>
      <c r="N1717" s="9"/>
      <c r="O1717" s="9"/>
      <c r="P1717" s="9"/>
      <c r="Q1717" s="9"/>
      <c r="R1717" s="9" t="str">
        <f aca="false">IF(AND(A1717&lt;&gt;"",ISNUMBER(Q1717),ISNUMBER(L1717)),ROUND(Q1717-IF(ISNUMBER(N1717),N1717,0)-IF(ISNUMBER(O1717),O1717,0)+IF(ISNUMBER(P1717),P1717,0),2),"")</f>
        <v/>
      </c>
      <c r="S1717" s="9" t="str">
        <f aca="false">IF(R1717="","",ROUND(L1717-R1717,2))</f>
        <v/>
      </c>
      <c r="T1717" s="8" t="str">
        <f aca="false">IF(A1717="","",IF(S1717="","BYPASS",IF(ABS(S1717)&lt;=Summary!$B$2,"PASS","FAIL")))</f>
        <v/>
      </c>
      <c r="U1717" s="8" t="str">
        <f aca="false">IF(T1717="BYPASS",IF(NOT(ISNUMBER(Q1717)),"PreV_ETB missing","End_tr_balance missing"),IF(T1717="FAIL",IF(AND(ISNUMBER(K1717),ISNUMBER(L1717),ABS(L1717-(K1717-IF(ISNUMBER(N1717),N1717,0)-IF(ISNUMBER(O1717),O1717,0)+IF(ISNUMBER(P1717),P1717,0)))&lt;=Summary!$B$2),"Passes using beginning_balance - PreV_ETB differs from beginning_balance",IF(AND(ISNUMBER(O1717),O1717&lt;0,ABS(L1717-(Q1717-IF(ISNUMBER(N1717),N1717,0)+IF(ISNUMBER(P1717),P1717,0)))&lt;=Summary!$B$2),"Negative realized loss not applied - check sign",IF(R1717&lt;0,"Principal paid exceeds prior balance",IF(AND(L1717&gt;Q1717,NOT(ISNUMBER(P1717))),"Balance increased but no Deferred_interest reported",IF(L1717&gt;R1717,"Reported balance higher than expected (missing increase/OC build)","Reported balance lower than expected (missing decrease)"))))),""))</f>
        <v/>
      </c>
    </row>
    <row r="1718" customFormat="false" ht="15" hidden="false" customHeight="false" outlineLevel="0" collapsed="false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9"/>
      <c r="L1718" s="9"/>
      <c r="M1718" s="9"/>
      <c r="N1718" s="9"/>
      <c r="O1718" s="9"/>
      <c r="P1718" s="9"/>
      <c r="Q1718" s="9"/>
      <c r="R1718" s="9" t="str">
        <f aca="false">IF(AND(A1718&lt;&gt;"",ISNUMBER(Q1718),ISNUMBER(L1718)),ROUND(Q1718-IF(ISNUMBER(N1718),N1718,0)-IF(ISNUMBER(O1718),O1718,0)+IF(ISNUMBER(P1718),P1718,0),2),"")</f>
        <v/>
      </c>
      <c r="S1718" s="9" t="str">
        <f aca="false">IF(R1718="","",ROUND(L1718-R1718,2))</f>
        <v/>
      </c>
      <c r="T1718" s="8" t="str">
        <f aca="false">IF(A1718="","",IF(S1718="","BYPASS",IF(ABS(S1718)&lt;=Summary!$B$2,"PASS","FAIL")))</f>
        <v/>
      </c>
      <c r="U1718" s="8" t="str">
        <f aca="false">IF(T1718="BYPASS",IF(NOT(ISNUMBER(Q1718)),"PreV_ETB missing","End_tr_balance missing"),IF(T1718="FAIL",IF(AND(ISNUMBER(K1718),ISNUMBER(L1718),ABS(L1718-(K1718-IF(ISNUMBER(N1718),N1718,0)-IF(ISNUMBER(O1718),O1718,0)+IF(ISNUMBER(P1718),P1718,0)))&lt;=Summary!$B$2),"Passes using beginning_balance - PreV_ETB differs from beginning_balance",IF(AND(ISNUMBER(O1718),O1718&lt;0,ABS(L1718-(Q1718-IF(ISNUMBER(N1718),N1718,0)+IF(ISNUMBER(P1718),P1718,0)))&lt;=Summary!$B$2),"Negative realized loss not applied - check sign",IF(R1718&lt;0,"Principal paid exceeds prior balance",IF(AND(L1718&gt;Q1718,NOT(ISNUMBER(P1718))),"Balance increased but no Deferred_interest reported",IF(L1718&gt;R1718,"Reported balance higher than expected (missing increase/OC build)","Reported balance lower than expected (missing decrease)"))))),""))</f>
        <v/>
      </c>
    </row>
    <row r="1719" customFormat="false" ht="15" hidden="false" customHeight="false" outlineLevel="0" collapsed="false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9"/>
      <c r="L1719" s="9"/>
      <c r="M1719" s="9"/>
      <c r="N1719" s="9"/>
      <c r="O1719" s="9"/>
      <c r="P1719" s="9"/>
      <c r="Q1719" s="9"/>
      <c r="R1719" s="9" t="str">
        <f aca="false">IF(AND(A1719&lt;&gt;"",ISNUMBER(Q1719),ISNUMBER(L1719)),ROUND(Q1719-IF(ISNUMBER(N1719),N1719,0)-IF(ISNUMBER(O1719),O1719,0)+IF(ISNUMBER(P1719),P1719,0),2),"")</f>
        <v/>
      </c>
      <c r="S1719" s="9" t="str">
        <f aca="false">IF(R1719="","",ROUND(L1719-R1719,2))</f>
        <v/>
      </c>
      <c r="T1719" s="8" t="str">
        <f aca="false">IF(A1719="","",IF(S1719="","BYPASS",IF(ABS(S1719)&lt;=Summary!$B$2,"PASS","FAIL")))</f>
        <v/>
      </c>
      <c r="U1719" s="8" t="str">
        <f aca="false">IF(T1719="BYPASS",IF(NOT(ISNUMBER(Q1719)),"PreV_ETB missing","End_tr_balance missing"),IF(T1719="FAIL",IF(AND(ISNUMBER(K1719),ISNUMBER(L1719),ABS(L1719-(K1719-IF(ISNUMBER(N1719),N1719,0)-IF(ISNUMBER(O1719),O1719,0)+IF(ISNUMBER(P1719),P1719,0)))&lt;=Summary!$B$2),"Passes using beginning_balance - PreV_ETB differs from beginning_balance",IF(AND(ISNUMBER(O1719),O1719&lt;0,ABS(L1719-(Q1719-IF(ISNUMBER(N1719),N1719,0)+IF(ISNUMBER(P1719),P1719,0)))&lt;=Summary!$B$2),"Negative realized loss not applied - check sign",IF(R1719&lt;0,"Principal paid exceeds prior balance",IF(AND(L1719&gt;Q1719,NOT(ISNUMBER(P1719))),"Balance increased but no Deferred_interest reported",IF(L1719&gt;R1719,"Reported balance higher than expected (missing increase/OC build)","Reported balance lower than expected (missing decrease)"))))),""))</f>
        <v/>
      </c>
    </row>
    <row r="1720" customFormat="false" ht="15" hidden="false" customHeight="false" outlineLevel="0" collapsed="false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9"/>
      <c r="L1720" s="9"/>
      <c r="M1720" s="9"/>
      <c r="N1720" s="9"/>
      <c r="O1720" s="9"/>
      <c r="P1720" s="9"/>
      <c r="Q1720" s="9"/>
      <c r="R1720" s="9" t="str">
        <f aca="false">IF(AND(A1720&lt;&gt;"",ISNUMBER(Q1720),ISNUMBER(L1720)),ROUND(Q1720-IF(ISNUMBER(N1720),N1720,0)-IF(ISNUMBER(O1720),O1720,0)+IF(ISNUMBER(P1720),P1720,0),2),"")</f>
        <v/>
      </c>
      <c r="S1720" s="9" t="str">
        <f aca="false">IF(R1720="","",ROUND(L1720-R1720,2))</f>
        <v/>
      </c>
      <c r="T1720" s="8" t="str">
        <f aca="false">IF(A1720="","",IF(S1720="","BYPASS",IF(ABS(S1720)&lt;=Summary!$B$2,"PASS","FAIL")))</f>
        <v/>
      </c>
      <c r="U1720" s="8" t="str">
        <f aca="false">IF(T1720="BYPASS",IF(NOT(ISNUMBER(Q1720)),"PreV_ETB missing","End_tr_balance missing"),IF(T1720="FAIL",IF(AND(ISNUMBER(K1720),ISNUMBER(L1720),ABS(L1720-(K1720-IF(ISNUMBER(N1720),N1720,0)-IF(ISNUMBER(O1720),O1720,0)+IF(ISNUMBER(P1720),P1720,0)))&lt;=Summary!$B$2),"Passes using beginning_balance - PreV_ETB differs from beginning_balance",IF(AND(ISNUMBER(O1720),O1720&lt;0,ABS(L1720-(Q1720-IF(ISNUMBER(N1720),N1720,0)+IF(ISNUMBER(P1720),P1720,0)))&lt;=Summary!$B$2),"Negative realized loss not applied - check sign",IF(R1720&lt;0,"Principal paid exceeds prior balance",IF(AND(L1720&gt;Q1720,NOT(ISNUMBER(P1720))),"Balance increased but no Deferred_interest reported",IF(L1720&gt;R1720,"Reported balance higher than expected (missing increase/OC build)","Reported balance lower than expected (missing decrease)"))))),""))</f>
        <v/>
      </c>
    </row>
    <row r="1721" customFormat="false" ht="15" hidden="false" customHeight="false" outlineLevel="0" collapsed="false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9"/>
      <c r="L1721" s="9"/>
      <c r="M1721" s="9"/>
      <c r="N1721" s="9"/>
      <c r="O1721" s="9"/>
      <c r="P1721" s="9"/>
      <c r="Q1721" s="9"/>
      <c r="R1721" s="9" t="str">
        <f aca="false">IF(AND(A1721&lt;&gt;"",ISNUMBER(Q1721),ISNUMBER(L1721)),ROUND(Q1721-IF(ISNUMBER(N1721),N1721,0)-IF(ISNUMBER(O1721),O1721,0)+IF(ISNUMBER(P1721),P1721,0),2),"")</f>
        <v/>
      </c>
      <c r="S1721" s="9" t="str">
        <f aca="false">IF(R1721="","",ROUND(L1721-R1721,2))</f>
        <v/>
      </c>
      <c r="T1721" s="8" t="str">
        <f aca="false">IF(A1721="","",IF(S1721="","BYPASS",IF(ABS(S1721)&lt;=Summary!$B$2,"PASS","FAIL")))</f>
        <v/>
      </c>
      <c r="U1721" s="8" t="str">
        <f aca="false">IF(T1721="BYPASS",IF(NOT(ISNUMBER(Q1721)),"PreV_ETB missing","End_tr_balance missing"),IF(T1721="FAIL",IF(AND(ISNUMBER(K1721),ISNUMBER(L1721),ABS(L1721-(K1721-IF(ISNUMBER(N1721),N1721,0)-IF(ISNUMBER(O1721),O1721,0)+IF(ISNUMBER(P1721),P1721,0)))&lt;=Summary!$B$2),"Passes using beginning_balance - PreV_ETB differs from beginning_balance",IF(AND(ISNUMBER(O1721),O1721&lt;0,ABS(L1721-(Q1721-IF(ISNUMBER(N1721),N1721,0)+IF(ISNUMBER(P1721),P1721,0)))&lt;=Summary!$B$2),"Negative realized loss not applied - check sign",IF(R1721&lt;0,"Principal paid exceeds prior balance",IF(AND(L1721&gt;Q1721,NOT(ISNUMBER(P1721))),"Balance increased but no Deferred_interest reported",IF(L1721&gt;R1721,"Reported balance higher than expected (missing increase/OC build)","Reported balance lower than expected (missing decrease)"))))),""))</f>
        <v/>
      </c>
    </row>
    <row r="1722" customFormat="false" ht="15" hidden="false" customHeight="false" outlineLevel="0" collapsed="false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9"/>
      <c r="L1722" s="9"/>
      <c r="M1722" s="9"/>
      <c r="N1722" s="9"/>
      <c r="O1722" s="9"/>
      <c r="P1722" s="9"/>
      <c r="Q1722" s="9"/>
      <c r="R1722" s="9" t="str">
        <f aca="false">IF(AND(A1722&lt;&gt;"",ISNUMBER(Q1722),ISNUMBER(L1722)),ROUND(Q1722-IF(ISNUMBER(N1722),N1722,0)-IF(ISNUMBER(O1722),O1722,0)+IF(ISNUMBER(P1722),P1722,0),2),"")</f>
        <v/>
      </c>
      <c r="S1722" s="9" t="str">
        <f aca="false">IF(R1722="","",ROUND(L1722-R1722,2))</f>
        <v/>
      </c>
      <c r="T1722" s="8" t="str">
        <f aca="false">IF(A1722="","",IF(S1722="","BYPASS",IF(ABS(S1722)&lt;=Summary!$B$2,"PASS","FAIL")))</f>
        <v/>
      </c>
      <c r="U1722" s="8" t="str">
        <f aca="false">IF(T1722="BYPASS",IF(NOT(ISNUMBER(Q1722)),"PreV_ETB missing","End_tr_balance missing"),IF(T1722="FAIL",IF(AND(ISNUMBER(K1722),ISNUMBER(L1722),ABS(L1722-(K1722-IF(ISNUMBER(N1722),N1722,0)-IF(ISNUMBER(O1722),O1722,0)+IF(ISNUMBER(P1722),P1722,0)))&lt;=Summary!$B$2),"Passes using beginning_balance - PreV_ETB differs from beginning_balance",IF(AND(ISNUMBER(O1722),O1722&lt;0,ABS(L1722-(Q1722-IF(ISNUMBER(N1722),N1722,0)+IF(ISNUMBER(P1722),P1722,0)))&lt;=Summary!$B$2),"Negative realized loss not applied - check sign",IF(R1722&lt;0,"Principal paid exceeds prior balance",IF(AND(L1722&gt;Q1722,NOT(ISNUMBER(P1722))),"Balance increased but no Deferred_interest reported",IF(L1722&gt;R1722,"Reported balance higher than expected (missing increase/OC build)","Reported balance lower than expected (missing decrease)"))))),""))</f>
        <v/>
      </c>
    </row>
    <row r="1723" customFormat="false" ht="15" hidden="false" customHeight="false" outlineLevel="0" collapsed="false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9"/>
      <c r="L1723" s="9"/>
      <c r="M1723" s="9"/>
      <c r="N1723" s="9"/>
      <c r="O1723" s="9"/>
      <c r="P1723" s="9"/>
      <c r="Q1723" s="9"/>
      <c r="R1723" s="9" t="str">
        <f aca="false">IF(AND(A1723&lt;&gt;"",ISNUMBER(Q1723),ISNUMBER(L1723)),ROUND(Q1723-IF(ISNUMBER(N1723),N1723,0)-IF(ISNUMBER(O1723),O1723,0)+IF(ISNUMBER(P1723),P1723,0),2),"")</f>
        <v/>
      </c>
      <c r="S1723" s="9" t="str">
        <f aca="false">IF(R1723="","",ROUND(L1723-R1723,2))</f>
        <v/>
      </c>
      <c r="T1723" s="8" t="str">
        <f aca="false">IF(A1723="","",IF(S1723="","BYPASS",IF(ABS(S1723)&lt;=Summary!$B$2,"PASS","FAIL")))</f>
        <v/>
      </c>
      <c r="U1723" s="8" t="str">
        <f aca="false">IF(T1723="BYPASS",IF(NOT(ISNUMBER(Q1723)),"PreV_ETB missing","End_tr_balance missing"),IF(T1723="FAIL",IF(AND(ISNUMBER(K1723),ISNUMBER(L1723),ABS(L1723-(K1723-IF(ISNUMBER(N1723),N1723,0)-IF(ISNUMBER(O1723),O1723,0)+IF(ISNUMBER(P1723),P1723,0)))&lt;=Summary!$B$2),"Passes using beginning_balance - PreV_ETB differs from beginning_balance",IF(AND(ISNUMBER(O1723),O1723&lt;0,ABS(L1723-(Q1723-IF(ISNUMBER(N1723),N1723,0)+IF(ISNUMBER(P1723),P1723,0)))&lt;=Summary!$B$2),"Negative realized loss not applied - check sign",IF(R1723&lt;0,"Principal paid exceeds prior balance",IF(AND(L1723&gt;Q1723,NOT(ISNUMBER(P1723))),"Balance increased but no Deferred_interest reported",IF(L1723&gt;R1723,"Reported balance higher than expected (missing increase/OC build)","Reported balance lower than expected (missing decrease)"))))),""))</f>
        <v/>
      </c>
    </row>
    <row r="1724" customFormat="false" ht="15" hidden="false" customHeight="false" outlineLevel="0" collapsed="false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9"/>
      <c r="L1724" s="9"/>
      <c r="M1724" s="9"/>
      <c r="N1724" s="9"/>
      <c r="O1724" s="9"/>
      <c r="P1724" s="9"/>
      <c r="Q1724" s="9"/>
      <c r="R1724" s="9" t="str">
        <f aca="false">IF(AND(A1724&lt;&gt;"",ISNUMBER(Q1724),ISNUMBER(L1724)),ROUND(Q1724-IF(ISNUMBER(N1724),N1724,0)-IF(ISNUMBER(O1724),O1724,0)+IF(ISNUMBER(P1724),P1724,0),2),"")</f>
        <v/>
      </c>
      <c r="S1724" s="9" t="str">
        <f aca="false">IF(R1724="","",ROUND(L1724-R1724,2))</f>
        <v/>
      </c>
      <c r="T1724" s="8" t="str">
        <f aca="false">IF(A1724="","",IF(S1724="","BYPASS",IF(ABS(S1724)&lt;=Summary!$B$2,"PASS","FAIL")))</f>
        <v/>
      </c>
      <c r="U1724" s="8" t="str">
        <f aca="false">IF(T1724="BYPASS",IF(NOT(ISNUMBER(Q1724)),"PreV_ETB missing","End_tr_balance missing"),IF(T1724="FAIL",IF(AND(ISNUMBER(K1724),ISNUMBER(L1724),ABS(L1724-(K1724-IF(ISNUMBER(N1724),N1724,0)-IF(ISNUMBER(O1724),O1724,0)+IF(ISNUMBER(P1724),P1724,0)))&lt;=Summary!$B$2),"Passes using beginning_balance - PreV_ETB differs from beginning_balance",IF(AND(ISNUMBER(O1724),O1724&lt;0,ABS(L1724-(Q1724-IF(ISNUMBER(N1724),N1724,0)+IF(ISNUMBER(P1724),P1724,0)))&lt;=Summary!$B$2),"Negative realized loss not applied - check sign",IF(R1724&lt;0,"Principal paid exceeds prior balance",IF(AND(L1724&gt;Q1724,NOT(ISNUMBER(P1724))),"Balance increased but no Deferred_interest reported",IF(L1724&gt;R1724,"Reported balance higher than expected (missing increase/OC build)","Reported balance lower than expected (missing decrease)"))))),""))</f>
        <v/>
      </c>
    </row>
    <row r="1725" customFormat="false" ht="15" hidden="false" customHeight="false" outlineLevel="0" collapsed="false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9"/>
      <c r="L1725" s="9"/>
      <c r="M1725" s="9"/>
      <c r="N1725" s="9"/>
      <c r="O1725" s="9"/>
      <c r="P1725" s="9"/>
      <c r="Q1725" s="9"/>
      <c r="R1725" s="9" t="str">
        <f aca="false">IF(AND(A1725&lt;&gt;"",ISNUMBER(Q1725),ISNUMBER(L1725)),ROUND(Q1725-IF(ISNUMBER(N1725),N1725,0)-IF(ISNUMBER(O1725),O1725,0)+IF(ISNUMBER(P1725),P1725,0),2),"")</f>
        <v/>
      </c>
      <c r="S1725" s="9" t="str">
        <f aca="false">IF(R1725="","",ROUND(L1725-R1725,2))</f>
        <v/>
      </c>
      <c r="T1725" s="8" t="str">
        <f aca="false">IF(A1725="","",IF(S1725="","BYPASS",IF(ABS(S1725)&lt;=Summary!$B$2,"PASS","FAIL")))</f>
        <v/>
      </c>
      <c r="U1725" s="8" t="str">
        <f aca="false">IF(T1725="BYPASS",IF(NOT(ISNUMBER(Q1725)),"PreV_ETB missing","End_tr_balance missing"),IF(T1725="FAIL",IF(AND(ISNUMBER(K1725),ISNUMBER(L1725),ABS(L1725-(K1725-IF(ISNUMBER(N1725),N1725,0)-IF(ISNUMBER(O1725),O1725,0)+IF(ISNUMBER(P1725),P1725,0)))&lt;=Summary!$B$2),"Passes using beginning_balance - PreV_ETB differs from beginning_balance",IF(AND(ISNUMBER(O1725),O1725&lt;0,ABS(L1725-(Q1725-IF(ISNUMBER(N1725),N1725,0)+IF(ISNUMBER(P1725),P1725,0)))&lt;=Summary!$B$2),"Negative realized loss not applied - check sign",IF(R1725&lt;0,"Principal paid exceeds prior balance",IF(AND(L1725&gt;Q1725,NOT(ISNUMBER(P1725))),"Balance increased but no Deferred_interest reported",IF(L1725&gt;R1725,"Reported balance higher than expected (missing increase/OC build)","Reported balance lower than expected (missing decrease)"))))),""))</f>
        <v/>
      </c>
    </row>
    <row r="1726" customFormat="false" ht="15" hidden="false" customHeight="false" outlineLevel="0" collapsed="false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9"/>
      <c r="L1726" s="9"/>
      <c r="M1726" s="9"/>
      <c r="N1726" s="9"/>
      <c r="O1726" s="9"/>
      <c r="P1726" s="9"/>
      <c r="Q1726" s="9"/>
      <c r="R1726" s="9" t="str">
        <f aca="false">IF(AND(A1726&lt;&gt;"",ISNUMBER(Q1726),ISNUMBER(L1726)),ROUND(Q1726-IF(ISNUMBER(N1726),N1726,0)-IF(ISNUMBER(O1726),O1726,0)+IF(ISNUMBER(P1726),P1726,0),2),"")</f>
        <v/>
      </c>
      <c r="S1726" s="9" t="str">
        <f aca="false">IF(R1726="","",ROUND(L1726-R1726,2))</f>
        <v/>
      </c>
      <c r="T1726" s="8" t="str">
        <f aca="false">IF(A1726="","",IF(S1726="","BYPASS",IF(ABS(S1726)&lt;=Summary!$B$2,"PASS","FAIL")))</f>
        <v/>
      </c>
      <c r="U1726" s="8" t="str">
        <f aca="false">IF(T1726="BYPASS",IF(NOT(ISNUMBER(Q1726)),"PreV_ETB missing","End_tr_balance missing"),IF(T1726="FAIL",IF(AND(ISNUMBER(K1726),ISNUMBER(L1726),ABS(L1726-(K1726-IF(ISNUMBER(N1726),N1726,0)-IF(ISNUMBER(O1726),O1726,0)+IF(ISNUMBER(P1726),P1726,0)))&lt;=Summary!$B$2),"Passes using beginning_balance - PreV_ETB differs from beginning_balance",IF(AND(ISNUMBER(O1726),O1726&lt;0,ABS(L1726-(Q1726-IF(ISNUMBER(N1726),N1726,0)+IF(ISNUMBER(P1726),P1726,0)))&lt;=Summary!$B$2),"Negative realized loss not applied - check sign",IF(R1726&lt;0,"Principal paid exceeds prior balance",IF(AND(L1726&gt;Q1726,NOT(ISNUMBER(P1726))),"Balance increased but no Deferred_interest reported",IF(L1726&gt;R1726,"Reported balance higher than expected (missing increase/OC build)","Reported balance lower than expected (missing decrease)"))))),""))</f>
        <v/>
      </c>
    </row>
    <row r="1727" customFormat="false" ht="15" hidden="false" customHeight="false" outlineLevel="0" collapsed="false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9"/>
      <c r="L1727" s="9"/>
      <c r="M1727" s="9"/>
      <c r="N1727" s="9"/>
      <c r="O1727" s="9"/>
      <c r="P1727" s="9"/>
      <c r="Q1727" s="9"/>
      <c r="R1727" s="9" t="str">
        <f aca="false">IF(AND(A1727&lt;&gt;"",ISNUMBER(Q1727),ISNUMBER(L1727)),ROUND(Q1727-IF(ISNUMBER(N1727),N1727,0)-IF(ISNUMBER(O1727),O1727,0)+IF(ISNUMBER(P1727),P1727,0),2),"")</f>
        <v/>
      </c>
      <c r="S1727" s="9" t="str">
        <f aca="false">IF(R1727="","",ROUND(L1727-R1727,2))</f>
        <v/>
      </c>
      <c r="T1727" s="8" t="str">
        <f aca="false">IF(A1727="","",IF(S1727="","BYPASS",IF(ABS(S1727)&lt;=Summary!$B$2,"PASS","FAIL")))</f>
        <v/>
      </c>
      <c r="U1727" s="8" t="str">
        <f aca="false">IF(T1727="BYPASS",IF(NOT(ISNUMBER(Q1727)),"PreV_ETB missing","End_tr_balance missing"),IF(T1727="FAIL",IF(AND(ISNUMBER(K1727),ISNUMBER(L1727),ABS(L1727-(K1727-IF(ISNUMBER(N1727),N1727,0)-IF(ISNUMBER(O1727),O1727,0)+IF(ISNUMBER(P1727),P1727,0)))&lt;=Summary!$B$2),"Passes using beginning_balance - PreV_ETB differs from beginning_balance",IF(AND(ISNUMBER(O1727),O1727&lt;0,ABS(L1727-(Q1727-IF(ISNUMBER(N1727),N1727,0)+IF(ISNUMBER(P1727),P1727,0)))&lt;=Summary!$B$2),"Negative realized loss not applied - check sign",IF(R1727&lt;0,"Principal paid exceeds prior balance",IF(AND(L1727&gt;Q1727,NOT(ISNUMBER(P1727))),"Balance increased but no Deferred_interest reported",IF(L1727&gt;R1727,"Reported balance higher than expected (missing increase/OC build)","Reported balance lower than expected (missing decrease)"))))),""))</f>
        <v/>
      </c>
    </row>
    <row r="1728" customFormat="false" ht="15" hidden="false" customHeight="false" outlineLevel="0" collapsed="false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9"/>
      <c r="L1728" s="9"/>
      <c r="M1728" s="9"/>
      <c r="N1728" s="9"/>
      <c r="O1728" s="9"/>
      <c r="P1728" s="9"/>
      <c r="Q1728" s="9"/>
      <c r="R1728" s="9" t="str">
        <f aca="false">IF(AND(A1728&lt;&gt;"",ISNUMBER(Q1728),ISNUMBER(L1728)),ROUND(Q1728-IF(ISNUMBER(N1728),N1728,0)-IF(ISNUMBER(O1728),O1728,0)+IF(ISNUMBER(P1728),P1728,0),2),"")</f>
        <v/>
      </c>
      <c r="S1728" s="9" t="str">
        <f aca="false">IF(R1728="","",ROUND(L1728-R1728,2))</f>
        <v/>
      </c>
      <c r="T1728" s="8" t="str">
        <f aca="false">IF(A1728="","",IF(S1728="","BYPASS",IF(ABS(S1728)&lt;=Summary!$B$2,"PASS","FAIL")))</f>
        <v/>
      </c>
      <c r="U1728" s="8" t="str">
        <f aca="false">IF(T1728="BYPASS",IF(NOT(ISNUMBER(Q1728)),"PreV_ETB missing","End_tr_balance missing"),IF(T1728="FAIL",IF(AND(ISNUMBER(K1728),ISNUMBER(L1728),ABS(L1728-(K1728-IF(ISNUMBER(N1728),N1728,0)-IF(ISNUMBER(O1728),O1728,0)+IF(ISNUMBER(P1728),P1728,0)))&lt;=Summary!$B$2),"Passes using beginning_balance - PreV_ETB differs from beginning_balance",IF(AND(ISNUMBER(O1728),O1728&lt;0,ABS(L1728-(Q1728-IF(ISNUMBER(N1728),N1728,0)+IF(ISNUMBER(P1728),P1728,0)))&lt;=Summary!$B$2),"Negative realized loss not applied - check sign",IF(R1728&lt;0,"Principal paid exceeds prior balance",IF(AND(L1728&gt;Q1728,NOT(ISNUMBER(P1728))),"Balance increased but no Deferred_interest reported",IF(L1728&gt;R1728,"Reported balance higher than expected (missing increase/OC build)","Reported balance lower than expected (missing decrease)"))))),""))</f>
        <v/>
      </c>
    </row>
    <row r="1729" customFormat="false" ht="15" hidden="false" customHeight="false" outlineLevel="0" collapsed="false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9"/>
      <c r="L1729" s="9"/>
      <c r="M1729" s="9"/>
      <c r="N1729" s="9"/>
      <c r="O1729" s="9"/>
      <c r="P1729" s="9"/>
      <c r="Q1729" s="9"/>
      <c r="R1729" s="9" t="str">
        <f aca="false">IF(AND(A1729&lt;&gt;"",ISNUMBER(Q1729),ISNUMBER(L1729)),ROUND(Q1729-IF(ISNUMBER(N1729),N1729,0)-IF(ISNUMBER(O1729),O1729,0)+IF(ISNUMBER(P1729),P1729,0),2),"")</f>
        <v/>
      </c>
      <c r="S1729" s="9" t="str">
        <f aca="false">IF(R1729="","",ROUND(L1729-R1729,2))</f>
        <v/>
      </c>
      <c r="T1729" s="8" t="str">
        <f aca="false">IF(A1729="","",IF(S1729="","BYPASS",IF(ABS(S1729)&lt;=Summary!$B$2,"PASS","FAIL")))</f>
        <v/>
      </c>
      <c r="U1729" s="8" t="str">
        <f aca="false">IF(T1729="BYPASS",IF(NOT(ISNUMBER(Q1729)),"PreV_ETB missing","End_tr_balance missing"),IF(T1729="FAIL",IF(AND(ISNUMBER(K1729),ISNUMBER(L1729),ABS(L1729-(K1729-IF(ISNUMBER(N1729),N1729,0)-IF(ISNUMBER(O1729),O1729,0)+IF(ISNUMBER(P1729),P1729,0)))&lt;=Summary!$B$2),"Passes using beginning_balance - PreV_ETB differs from beginning_balance",IF(AND(ISNUMBER(O1729),O1729&lt;0,ABS(L1729-(Q1729-IF(ISNUMBER(N1729),N1729,0)+IF(ISNUMBER(P1729),P1729,0)))&lt;=Summary!$B$2),"Negative realized loss not applied - check sign",IF(R1729&lt;0,"Principal paid exceeds prior balance",IF(AND(L1729&gt;Q1729,NOT(ISNUMBER(P1729))),"Balance increased but no Deferred_interest reported",IF(L1729&gt;R1729,"Reported balance higher than expected (missing increase/OC build)","Reported balance lower than expected (missing decrease)"))))),""))</f>
        <v/>
      </c>
    </row>
    <row r="1730" customFormat="false" ht="15" hidden="false" customHeight="false" outlineLevel="0" collapsed="false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9"/>
      <c r="L1730" s="9"/>
      <c r="M1730" s="9"/>
      <c r="N1730" s="9"/>
      <c r="O1730" s="9"/>
      <c r="P1730" s="9"/>
      <c r="Q1730" s="9"/>
      <c r="R1730" s="9" t="str">
        <f aca="false">IF(AND(A1730&lt;&gt;"",ISNUMBER(Q1730),ISNUMBER(L1730)),ROUND(Q1730-IF(ISNUMBER(N1730),N1730,0)-IF(ISNUMBER(O1730),O1730,0)+IF(ISNUMBER(P1730),P1730,0),2),"")</f>
        <v/>
      </c>
      <c r="S1730" s="9" t="str">
        <f aca="false">IF(R1730="","",ROUND(L1730-R1730,2))</f>
        <v/>
      </c>
      <c r="T1730" s="8" t="str">
        <f aca="false">IF(A1730="","",IF(S1730="","BYPASS",IF(ABS(S1730)&lt;=Summary!$B$2,"PASS","FAIL")))</f>
        <v/>
      </c>
      <c r="U1730" s="8" t="str">
        <f aca="false">IF(T1730="BYPASS",IF(NOT(ISNUMBER(Q1730)),"PreV_ETB missing","End_tr_balance missing"),IF(T1730="FAIL",IF(AND(ISNUMBER(K1730),ISNUMBER(L1730),ABS(L1730-(K1730-IF(ISNUMBER(N1730),N1730,0)-IF(ISNUMBER(O1730),O1730,0)+IF(ISNUMBER(P1730),P1730,0)))&lt;=Summary!$B$2),"Passes using beginning_balance - PreV_ETB differs from beginning_balance",IF(AND(ISNUMBER(O1730),O1730&lt;0,ABS(L1730-(Q1730-IF(ISNUMBER(N1730),N1730,0)+IF(ISNUMBER(P1730),P1730,0)))&lt;=Summary!$B$2),"Negative realized loss not applied - check sign",IF(R1730&lt;0,"Principal paid exceeds prior balance",IF(AND(L1730&gt;Q1730,NOT(ISNUMBER(P1730))),"Balance increased but no Deferred_interest reported",IF(L1730&gt;R1730,"Reported balance higher than expected (missing increase/OC build)","Reported balance lower than expected (missing decrease)"))))),""))</f>
        <v/>
      </c>
    </row>
    <row r="1731" customFormat="false" ht="15" hidden="false" customHeight="false" outlineLevel="0" collapsed="false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9"/>
      <c r="L1731" s="9"/>
      <c r="M1731" s="9"/>
      <c r="N1731" s="9"/>
      <c r="O1731" s="9"/>
      <c r="P1731" s="9"/>
      <c r="Q1731" s="9"/>
      <c r="R1731" s="9" t="str">
        <f aca="false">IF(AND(A1731&lt;&gt;"",ISNUMBER(Q1731),ISNUMBER(L1731)),ROUND(Q1731-IF(ISNUMBER(N1731),N1731,0)-IF(ISNUMBER(O1731),O1731,0)+IF(ISNUMBER(P1731),P1731,0),2),"")</f>
        <v/>
      </c>
      <c r="S1731" s="9" t="str">
        <f aca="false">IF(R1731="","",ROUND(L1731-R1731,2))</f>
        <v/>
      </c>
      <c r="T1731" s="8" t="str">
        <f aca="false">IF(A1731="","",IF(S1731="","BYPASS",IF(ABS(S1731)&lt;=Summary!$B$2,"PASS","FAIL")))</f>
        <v/>
      </c>
      <c r="U1731" s="8" t="str">
        <f aca="false">IF(T1731="BYPASS",IF(NOT(ISNUMBER(Q1731)),"PreV_ETB missing","End_tr_balance missing"),IF(T1731="FAIL",IF(AND(ISNUMBER(K1731),ISNUMBER(L1731),ABS(L1731-(K1731-IF(ISNUMBER(N1731),N1731,0)-IF(ISNUMBER(O1731),O1731,0)+IF(ISNUMBER(P1731),P1731,0)))&lt;=Summary!$B$2),"Passes using beginning_balance - PreV_ETB differs from beginning_balance",IF(AND(ISNUMBER(O1731),O1731&lt;0,ABS(L1731-(Q1731-IF(ISNUMBER(N1731),N1731,0)+IF(ISNUMBER(P1731),P1731,0)))&lt;=Summary!$B$2),"Negative realized loss not applied - check sign",IF(R1731&lt;0,"Principal paid exceeds prior balance",IF(AND(L1731&gt;Q1731,NOT(ISNUMBER(P1731))),"Balance increased but no Deferred_interest reported",IF(L1731&gt;R1731,"Reported balance higher than expected (missing increase/OC build)","Reported balance lower than expected (missing decrease)"))))),""))</f>
        <v/>
      </c>
    </row>
    <row r="1732" customFormat="false" ht="15" hidden="false" customHeight="false" outlineLevel="0" collapsed="false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9"/>
      <c r="L1732" s="9"/>
      <c r="M1732" s="9"/>
      <c r="N1732" s="9"/>
      <c r="O1732" s="9"/>
      <c r="P1732" s="9"/>
      <c r="Q1732" s="9"/>
      <c r="R1732" s="9" t="str">
        <f aca="false">IF(AND(A1732&lt;&gt;"",ISNUMBER(Q1732),ISNUMBER(L1732)),ROUND(Q1732-IF(ISNUMBER(N1732),N1732,0)-IF(ISNUMBER(O1732),O1732,0)+IF(ISNUMBER(P1732),P1732,0),2),"")</f>
        <v/>
      </c>
      <c r="S1732" s="9" t="str">
        <f aca="false">IF(R1732="","",ROUND(L1732-R1732,2))</f>
        <v/>
      </c>
      <c r="T1732" s="8" t="str">
        <f aca="false">IF(A1732="","",IF(S1732="","BYPASS",IF(ABS(S1732)&lt;=Summary!$B$2,"PASS","FAIL")))</f>
        <v/>
      </c>
      <c r="U1732" s="8" t="str">
        <f aca="false">IF(T1732="BYPASS",IF(NOT(ISNUMBER(Q1732)),"PreV_ETB missing","End_tr_balance missing"),IF(T1732="FAIL",IF(AND(ISNUMBER(K1732),ISNUMBER(L1732),ABS(L1732-(K1732-IF(ISNUMBER(N1732),N1732,0)-IF(ISNUMBER(O1732),O1732,0)+IF(ISNUMBER(P1732),P1732,0)))&lt;=Summary!$B$2),"Passes using beginning_balance - PreV_ETB differs from beginning_balance",IF(AND(ISNUMBER(O1732),O1732&lt;0,ABS(L1732-(Q1732-IF(ISNUMBER(N1732),N1732,0)+IF(ISNUMBER(P1732),P1732,0)))&lt;=Summary!$B$2),"Negative realized loss not applied - check sign",IF(R1732&lt;0,"Principal paid exceeds prior balance",IF(AND(L1732&gt;Q1732,NOT(ISNUMBER(P1732))),"Balance increased but no Deferred_interest reported",IF(L1732&gt;R1732,"Reported balance higher than expected (missing increase/OC build)","Reported balance lower than expected (missing decrease)"))))),""))</f>
        <v/>
      </c>
    </row>
    <row r="1733" customFormat="false" ht="15" hidden="false" customHeight="false" outlineLevel="0" collapsed="false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9"/>
      <c r="L1733" s="9"/>
      <c r="M1733" s="9"/>
      <c r="N1733" s="9"/>
      <c r="O1733" s="9"/>
      <c r="P1733" s="9"/>
      <c r="Q1733" s="9"/>
      <c r="R1733" s="9" t="str">
        <f aca="false">IF(AND(A1733&lt;&gt;"",ISNUMBER(Q1733),ISNUMBER(L1733)),ROUND(Q1733-IF(ISNUMBER(N1733),N1733,0)-IF(ISNUMBER(O1733),O1733,0)+IF(ISNUMBER(P1733),P1733,0),2),"")</f>
        <v/>
      </c>
      <c r="S1733" s="9" t="str">
        <f aca="false">IF(R1733="","",ROUND(L1733-R1733,2))</f>
        <v/>
      </c>
      <c r="T1733" s="8" t="str">
        <f aca="false">IF(A1733="","",IF(S1733="","BYPASS",IF(ABS(S1733)&lt;=Summary!$B$2,"PASS","FAIL")))</f>
        <v/>
      </c>
      <c r="U1733" s="8" t="str">
        <f aca="false">IF(T1733="BYPASS",IF(NOT(ISNUMBER(Q1733)),"PreV_ETB missing","End_tr_balance missing"),IF(T1733="FAIL",IF(AND(ISNUMBER(K1733),ISNUMBER(L1733),ABS(L1733-(K1733-IF(ISNUMBER(N1733),N1733,0)-IF(ISNUMBER(O1733),O1733,0)+IF(ISNUMBER(P1733),P1733,0)))&lt;=Summary!$B$2),"Passes using beginning_balance - PreV_ETB differs from beginning_balance",IF(AND(ISNUMBER(O1733),O1733&lt;0,ABS(L1733-(Q1733-IF(ISNUMBER(N1733),N1733,0)+IF(ISNUMBER(P1733),P1733,0)))&lt;=Summary!$B$2),"Negative realized loss not applied - check sign",IF(R1733&lt;0,"Principal paid exceeds prior balance",IF(AND(L1733&gt;Q1733,NOT(ISNUMBER(P1733))),"Balance increased but no Deferred_interest reported",IF(L1733&gt;R1733,"Reported balance higher than expected (missing increase/OC build)","Reported balance lower than expected (missing decrease)"))))),""))</f>
        <v/>
      </c>
    </row>
    <row r="1734" customFormat="false" ht="15" hidden="false" customHeight="false" outlineLevel="0" collapsed="false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9"/>
      <c r="L1734" s="9"/>
      <c r="M1734" s="9"/>
      <c r="N1734" s="9"/>
      <c r="O1734" s="9"/>
      <c r="P1734" s="9"/>
      <c r="Q1734" s="9"/>
      <c r="R1734" s="9" t="str">
        <f aca="false">IF(AND(A1734&lt;&gt;"",ISNUMBER(Q1734),ISNUMBER(L1734)),ROUND(Q1734-IF(ISNUMBER(N1734),N1734,0)-IF(ISNUMBER(O1734),O1734,0)+IF(ISNUMBER(P1734),P1734,0),2),"")</f>
        <v/>
      </c>
      <c r="S1734" s="9" t="str">
        <f aca="false">IF(R1734="","",ROUND(L1734-R1734,2))</f>
        <v/>
      </c>
      <c r="T1734" s="8" t="str">
        <f aca="false">IF(A1734="","",IF(S1734="","BYPASS",IF(ABS(S1734)&lt;=Summary!$B$2,"PASS","FAIL")))</f>
        <v/>
      </c>
      <c r="U1734" s="8" t="str">
        <f aca="false">IF(T1734="BYPASS",IF(NOT(ISNUMBER(Q1734)),"PreV_ETB missing","End_tr_balance missing"),IF(T1734="FAIL",IF(AND(ISNUMBER(K1734),ISNUMBER(L1734),ABS(L1734-(K1734-IF(ISNUMBER(N1734),N1734,0)-IF(ISNUMBER(O1734),O1734,0)+IF(ISNUMBER(P1734),P1734,0)))&lt;=Summary!$B$2),"Passes using beginning_balance - PreV_ETB differs from beginning_balance",IF(AND(ISNUMBER(O1734),O1734&lt;0,ABS(L1734-(Q1734-IF(ISNUMBER(N1734),N1734,0)+IF(ISNUMBER(P1734),P1734,0)))&lt;=Summary!$B$2),"Negative realized loss not applied - check sign",IF(R1734&lt;0,"Principal paid exceeds prior balance",IF(AND(L1734&gt;Q1734,NOT(ISNUMBER(P1734))),"Balance increased but no Deferred_interest reported",IF(L1734&gt;R1734,"Reported balance higher than expected (missing increase/OC build)","Reported balance lower than expected (missing decrease)"))))),""))</f>
        <v/>
      </c>
    </row>
    <row r="1735" customFormat="false" ht="15" hidden="false" customHeight="false" outlineLevel="0" collapsed="false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9"/>
      <c r="L1735" s="9"/>
      <c r="M1735" s="9"/>
      <c r="N1735" s="9"/>
      <c r="O1735" s="9"/>
      <c r="P1735" s="9"/>
      <c r="Q1735" s="9"/>
      <c r="R1735" s="9" t="str">
        <f aca="false">IF(AND(A1735&lt;&gt;"",ISNUMBER(Q1735),ISNUMBER(L1735)),ROUND(Q1735-IF(ISNUMBER(N1735),N1735,0)-IF(ISNUMBER(O1735),O1735,0)+IF(ISNUMBER(P1735),P1735,0),2),"")</f>
        <v/>
      </c>
      <c r="S1735" s="9" t="str">
        <f aca="false">IF(R1735="","",ROUND(L1735-R1735,2))</f>
        <v/>
      </c>
      <c r="T1735" s="8" t="str">
        <f aca="false">IF(A1735="","",IF(S1735="","BYPASS",IF(ABS(S1735)&lt;=Summary!$B$2,"PASS","FAIL")))</f>
        <v/>
      </c>
      <c r="U1735" s="8" t="str">
        <f aca="false">IF(T1735="BYPASS",IF(NOT(ISNUMBER(Q1735)),"PreV_ETB missing","End_tr_balance missing"),IF(T1735="FAIL",IF(AND(ISNUMBER(K1735),ISNUMBER(L1735),ABS(L1735-(K1735-IF(ISNUMBER(N1735),N1735,0)-IF(ISNUMBER(O1735),O1735,0)+IF(ISNUMBER(P1735),P1735,0)))&lt;=Summary!$B$2),"Passes using beginning_balance - PreV_ETB differs from beginning_balance",IF(AND(ISNUMBER(O1735),O1735&lt;0,ABS(L1735-(Q1735-IF(ISNUMBER(N1735),N1735,0)+IF(ISNUMBER(P1735),P1735,0)))&lt;=Summary!$B$2),"Negative realized loss not applied - check sign",IF(R1735&lt;0,"Principal paid exceeds prior balance",IF(AND(L1735&gt;Q1735,NOT(ISNUMBER(P1735))),"Balance increased but no Deferred_interest reported",IF(L1735&gt;R1735,"Reported balance higher than expected (missing increase/OC build)","Reported balance lower than expected (missing decrease)"))))),""))</f>
        <v/>
      </c>
    </row>
    <row r="1736" customFormat="false" ht="15" hidden="false" customHeight="false" outlineLevel="0" collapsed="false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9"/>
      <c r="L1736" s="9"/>
      <c r="M1736" s="9"/>
      <c r="N1736" s="9"/>
      <c r="O1736" s="9"/>
      <c r="P1736" s="9"/>
      <c r="Q1736" s="9"/>
      <c r="R1736" s="9" t="str">
        <f aca="false">IF(AND(A1736&lt;&gt;"",ISNUMBER(Q1736),ISNUMBER(L1736)),ROUND(Q1736-IF(ISNUMBER(N1736),N1736,0)-IF(ISNUMBER(O1736),O1736,0)+IF(ISNUMBER(P1736),P1736,0),2),"")</f>
        <v/>
      </c>
      <c r="S1736" s="9" t="str">
        <f aca="false">IF(R1736="","",ROUND(L1736-R1736,2))</f>
        <v/>
      </c>
      <c r="T1736" s="8" t="str">
        <f aca="false">IF(A1736="","",IF(S1736="","BYPASS",IF(ABS(S1736)&lt;=Summary!$B$2,"PASS","FAIL")))</f>
        <v/>
      </c>
      <c r="U1736" s="8" t="str">
        <f aca="false">IF(T1736="BYPASS",IF(NOT(ISNUMBER(Q1736)),"PreV_ETB missing","End_tr_balance missing"),IF(T1736="FAIL",IF(AND(ISNUMBER(K1736),ISNUMBER(L1736),ABS(L1736-(K1736-IF(ISNUMBER(N1736),N1736,0)-IF(ISNUMBER(O1736),O1736,0)+IF(ISNUMBER(P1736),P1736,0)))&lt;=Summary!$B$2),"Passes using beginning_balance - PreV_ETB differs from beginning_balance",IF(AND(ISNUMBER(O1736),O1736&lt;0,ABS(L1736-(Q1736-IF(ISNUMBER(N1736),N1736,0)+IF(ISNUMBER(P1736),P1736,0)))&lt;=Summary!$B$2),"Negative realized loss not applied - check sign",IF(R1736&lt;0,"Principal paid exceeds prior balance",IF(AND(L1736&gt;Q1736,NOT(ISNUMBER(P1736))),"Balance increased but no Deferred_interest reported",IF(L1736&gt;R1736,"Reported balance higher than expected (missing increase/OC build)","Reported balance lower than expected (missing decrease)"))))),""))</f>
        <v/>
      </c>
    </row>
    <row r="1737" customFormat="false" ht="15" hidden="false" customHeight="false" outlineLevel="0" collapsed="false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9"/>
      <c r="L1737" s="9"/>
      <c r="M1737" s="9"/>
      <c r="N1737" s="9"/>
      <c r="O1737" s="9"/>
      <c r="P1737" s="9"/>
      <c r="Q1737" s="9"/>
      <c r="R1737" s="9" t="str">
        <f aca="false">IF(AND(A1737&lt;&gt;"",ISNUMBER(Q1737),ISNUMBER(L1737)),ROUND(Q1737-IF(ISNUMBER(N1737),N1737,0)-IF(ISNUMBER(O1737),O1737,0)+IF(ISNUMBER(P1737),P1737,0),2),"")</f>
        <v/>
      </c>
      <c r="S1737" s="9" t="str">
        <f aca="false">IF(R1737="","",ROUND(L1737-R1737,2))</f>
        <v/>
      </c>
      <c r="T1737" s="8" t="str">
        <f aca="false">IF(A1737="","",IF(S1737="","BYPASS",IF(ABS(S1737)&lt;=Summary!$B$2,"PASS","FAIL")))</f>
        <v/>
      </c>
      <c r="U1737" s="8" t="str">
        <f aca="false">IF(T1737="BYPASS",IF(NOT(ISNUMBER(Q1737)),"PreV_ETB missing","End_tr_balance missing"),IF(T1737="FAIL",IF(AND(ISNUMBER(K1737),ISNUMBER(L1737),ABS(L1737-(K1737-IF(ISNUMBER(N1737),N1737,0)-IF(ISNUMBER(O1737),O1737,0)+IF(ISNUMBER(P1737),P1737,0)))&lt;=Summary!$B$2),"Passes using beginning_balance - PreV_ETB differs from beginning_balance",IF(AND(ISNUMBER(O1737),O1737&lt;0,ABS(L1737-(Q1737-IF(ISNUMBER(N1737),N1737,0)+IF(ISNUMBER(P1737),P1737,0)))&lt;=Summary!$B$2),"Negative realized loss not applied - check sign",IF(R1737&lt;0,"Principal paid exceeds prior balance",IF(AND(L1737&gt;Q1737,NOT(ISNUMBER(P1737))),"Balance increased but no Deferred_interest reported",IF(L1737&gt;R1737,"Reported balance higher than expected (missing increase/OC build)","Reported balance lower than expected (missing decrease)"))))),""))</f>
        <v/>
      </c>
    </row>
    <row r="1738" customFormat="false" ht="15" hidden="false" customHeight="false" outlineLevel="0" collapsed="false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9"/>
      <c r="L1738" s="9"/>
      <c r="M1738" s="9"/>
      <c r="N1738" s="9"/>
      <c r="O1738" s="9"/>
      <c r="P1738" s="9"/>
      <c r="Q1738" s="9"/>
      <c r="R1738" s="9" t="str">
        <f aca="false">IF(AND(A1738&lt;&gt;"",ISNUMBER(Q1738),ISNUMBER(L1738)),ROUND(Q1738-IF(ISNUMBER(N1738),N1738,0)-IF(ISNUMBER(O1738),O1738,0)+IF(ISNUMBER(P1738),P1738,0),2),"")</f>
        <v/>
      </c>
      <c r="S1738" s="9" t="str">
        <f aca="false">IF(R1738="","",ROUND(L1738-R1738,2))</f>
        <v/>
      </c>
      <c r="T1738" s="8" t="str">
        <f aca="false">IF(A1738="","",IF(S1738="","BYPASS",IF(ABS(S1738)&lt;=Summary!$B$2,"PASS","FAIL")))</f>
        <v/>
      </c>
      <c r="U1738" s="8" t="str">
        <f aca="false">IF(T1738="BYPASS",IF(NOT(ISNUMBER(Q1738)),"PreV_ETB missing","End_tr_balance missing"),IF(T1738="FAIL",IF(AND(ISNUMBER(K1738),ISNUMBER(L1738),ABS(L1738-(K1738-IF(ISNUMBER(N1738),N1738,0)-IF(ISNUMBER(O1738),O1738,0)+IF(ISNUMBER(P1738),P1738,0)))&lt;=Summary!$B$2),"Passes using beginning_balance - PreV_ETB differs from beginning_balance",IF(AND(ISNUMBER(O1738),O1738&lt;0,ABS(L1738-(Q1738-IF(ISNUMBER(N1738),N1738,0)+IF(ISNUMBER(P1738),P1738,0)))&lt;=Summary!$B$2),"Negative realized loss not applied - check sign",IF(R1738&lt;0,"Principal paid exceeds prior balance",IF(AND(L1738&gt;Q1738,NOT(ISNUMBER(P1738))),"Balance increased but no Deferred_interest reported",IF(L1738&gt;R1738,"Reported balance higher than expected (missing increase/OC build)","Reported balance lower than expected (missing decrease)"))))),""))</f>
        <v/>
      </c>
    </row>
    <row r="1739" customFormat="false" ht="15" hidden="false" customHeight="false" outlineLevel="0" collapsed="false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9"/>
      <c r="L1739" s="9"/>
      <c r="M1739" s="9"/>
      <c r="N1739" s="9"/>
      <c r="O1739" s="9"/>
      <c r="P1739" s="9"/>
      <c r="Q1739" s="9"/>
      <c r="R1739" s="9" t="str">
        <f aca="false">IF(AND(A1739&lt;&gt;"",ISNUMBER(Q1739),ISNUMBER(L1739)),ROUND(Q1739-IF(ISNUMBER(N1739),N1739,0)-IF(ISNUMBER(O1739),O1739,0)+IF(ISNUMBER(P1739),P1739,0),2),"")</f>
        <v/>
      </c>
      <c r="S1739" s="9" t="str">
        <f aca="false">IF(R1739="","",ROUND(L1739-R1739,2))</f>
        <v/>
      </c>
      <c r="T1739" s="8" t="str">
        <f aca="false">IF(A1739="","",IF(S1739="","BYPASS",IF(ABS(S1739)&lt;=Summary!$B$2,"PASS","FAIL")))</f>
        <v/>
      </c>
      <c r="U1739" s="8" t="str">
        <f aca="false">IF(T1739="BYPASS",IF(NOT(ISNUMBER(Q1739)),"PreV_ETB missing","End_tr_balance missing"),IF(T1739="FAIL",IF(AND(ISNUMBER(K1739),ISNUMBER(L1739),ABS(L1739-(K1739-IF(ISNUMBER(N1739),N1739,0)-IF(ISNUMBER(O1739),O1739,0)+IF(ISNUMBER(P1739),P1739,0)))&lt;=Summary!$B$2),"Passes using beginning_balance - PreV_ETB differs from beginning_balance",IF(AND(ISNUMBER(O1739),O1739&lt;0,ABS(L1739-(Q1739-IF(ISNUMBER(N1739),N1739,0)+IF(ISNUMBER(P1739),P1739,0)))&lt;=Summary!$B$2),"Negative realized loss not applied - check sign",IF(R1739&lt;0,"Principal paid exceeds prior balance",IF(AND(L1739&gt;Q1739,NOT(ISNUMBER(P1739))),"Balance increased but no Deferred_interest reported",IF(L1739&gt;R1739,"Reported balance higher than expected (missing increase/OC build)","Reported balance lower than expected (missing decrease)"))))),""))</f>
        <v/>
      </c>
    </row>
    <row r="1740" customFormat="false" ht="15" hidden="false" customHeight="false" outlineLevel="0" collapsed="false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9"/>
      <c r="L1740" s="9"/>
      <c r="M1740" s="9"/>
      <c r="N1740" s="9"/>
      <c r="O1740" s="9"/>
      <c r="P1740" s="9"/>
      <c r="Q1740" s="9"/>
      <c r="R1740" s="9" t="str">
        <f aca="false">IF(AND(A1740&lt;&gt;"",ISNUMBER(Q1740),ISNUMBER(L1740)),ROUND(Q1740-IF(ISNUMBER(N1740),N1740,0)-IF(ISNUMBER(O1740),O1740,0)+IF(ISNUMBER(P1740),P1740,0),2),"")</f>
        <v/>
      </c>
      <c r="S1740" s="9" t="str">
        <f aca="false">IF(R1740="","",ROUND(L1740-R1740,2))</f>
        <v/>
      </c>
      <c r="T1740" s="8" t="str">
        <f aca="false">IF(A1740="","",IF(S1740="","BYPASS",IF(ABS(S1740)&lt;=Summary!$B$2,"PASS","FAIL")))</f>
        <v/>
      </c>
      <c r="U1740" s="8" t="str">
        <f aca="false">IF(T1740="BYPASS",IF(NOT(ISNUMBER(Q1740)),"PreV_ETB missing","End_tr_balance missing"),IF(T1740="FAIL",IF(AND(ISNUMBER(K1740),ISNUMBER(L1740),ABS(L1740-(K1740-IF(ISNUMBER(N1740),N1740,0)-IF(ISNUMBER(O1740),O1740,0)+IF(ISNUMBER(P1740),P1740,0)))&lt;=Summary!$B$2),"Passes using beginning_balance - PreV_ETB differs from beginning_balance",IF(AND(ISNUMBER(O1740),O1740&lt;0,ABS(L1740-(Q1740-IF(ISNUMBER(N1740),N1740,0)+IF(ISNUMBER(P1740),P1740,0)))&lt;=Summary!$B$2),"Negative realized loss not applied - check sign",IF(R1740&lt;0,"Principal paid exceeds prior balance",IF(AND(L1740&gt;Q1740,NOT(ISNUMBER(P1740))),"Balance increased but no Deferred_interest reported",IF(L1740&gt;R1740,"Reported balance higher than expected (missing increase/OC build)","Reported balance lower than expected (missing decrease)"))))),""))</f>
        <v/>
      </c>
    </row>
    <row r="1741" customFormat="false" ht="15" hidden="false" customHeight="false" outlineLevel="0" collapsed="false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9"/>
      <c r="L1741" s="9"/>
      <c r="M1741" s="9"/>
      <c r="N1741" s="9"/>
      <c r="O1741" s="9"/>
      <c r="P1741" s="9"/>
      <c r="Q1741" s="9"/>
      <c r="R1741" s="9" t="str">
        <f aca="false">IF(AND(A1741&lt;&gt;"",ISNUMBER(Q1741),ISNUMBER(L1741)),ROUND(Q1741-IF(ISNUMBER(N1741),N1741,0)-IF(ISNUMBER(O1741),O1741,0)+IF(ISNUMBER(P1741),P1741,0),2),"")</f>
        <v/>
      </c>
      <c r="S1741" s="9" t="str">
        <f aca="false">IF(R1741="","",ROUND(L1741-R1741,2))</f>
        <v/>
      </c>
      <c r="T1741" s="8" t="str">
        <f aca="false">IF(A1741="","",IF(S1741="","BYPASS",IF(ABS(S1741)&lt;=Summary!$B$2,"PASS","FAIL")))</f>
        <v/>
      </c>
      <c r="U1741" s="8" t="str">
        <f aca="false">IF(T1741="BYPASS",IF(NOT(ISNUMBER(Q1741)),"PreV_ETB missing","End_tr_balance missing"),IF(T1741="FAIL",IF(AND(ISNUMBER(K1741),ISNUMBER(L1741),ABS(L1741-(K1741-IF(ISNUMBER(N1741),N1741,0)-IF(ISNUMBER(O1741),O1741,0)+IF(ISNUMBER(P1741),P1741,0)))&lt;=Summary!$B$2),"Passes using beginning_balance - PreV_ETB differs from beginning_balance",IF(AND(ISNUMBER(O1741),O1741&lt;0,ABS(L1741-(Q1741-IF(ISNUMBER(N1741),N1741,0)+IF(ISNUMBER(P1741),P1741,0)))&lt;=Summary!$B$2),"Negative realized loss not applied - check sign",IF(R1741&lt;0,"Principal paid exceeds prior balance",IF(AND(L1741&gt;Q1741,NOT(ISNUMBER(P1741))),"Balance increased but no Deferred_interest reported",IF(L1741&gt;R1741,"Reported balance higher than expected (missing increase/OC build)","Reported balance lower than expected (missing decrease)"))))),""))</f>
        <v/>
      </c>
    </row>
    <row r="1742" customFormat="false" ht="15" hidden="false" customHeight="false" outlineLevel="0" collapsed="false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9"/>
      <c r="L1742" s="9"/>
      <c r="M1742" s="9"/>
      <c r="N1742" s="9"/>
      <c r="O1742" s="9"/>
      <c r="P1742" s="9"/>
      <c r="Q1742" s="9"/>
      <c r="R1742" s="9" t="str">
        <f aca="false">IF(AND(A1742&lt;&gt;"",ISNUMBER(Q1742),ISNUMBER(L1742)),ROUND(Q1742-IF(ISNUMBER(N1742),N1742,0)-IF(ISNUMBER(O1742),O1742,0)+IF(ISNUMBER(P1742),P1742,0),2),"")</f>
        <v/>
      </c>
      <c r="S1742" s="9" t="str">
        <f aca="false">IF(R1742="","",ROUND(L1742-R1742,2))</f>
        <v/>
      </c>
      <c r="T1742" s="8" t="str">
        <f aca="false">IF(A1742="","",IF(S1742="","BYPASS",IF(ABS(S1742)&lt;=Summary!$B$2,"PASS","FAIL")))</f>
        <v/>
      </c>
      <c r="U1742" s="8" t="str">
        <f aca="false">IF(T1742="BYPASS",IF(NOT(ISNUMBER(Q1742)),"PreV_ETB missing","End_tr_balance missing"),IF(T1742="FAIL",IF(AND(ISNUMBER(K1742),ISNUMBER(L1742),ABS(L1742-(K1742-IF(ISNUMBER(N1742),N1742,0)-IF(ISNUMBER(O1742),O1742,0)+IF(ISNUMBER(P1742),P1742,0)))&lt;=Summary!$B$2),"Passes using beginning_balance - PreV_ETB differs from beginning_balance",IF(AND(ISNUMBER(O1742),O1742&lt;0,ABS(L1742-(Q1742-IF(ISNUMBER(N1742),N1742,0)+IF(ISNUMBER(P1742),P1742,0)))&lt;=Summary!$B$2),"Negative realized loss not applied - check sign",IF(R1742&lt;0,"Principal paid exceeds prior balance",IF(AND(L1742&gt;Q1742,NOT(ISNUMBER(P1742))),"Balance increased but no Deferred_interest reported",IF(L1742&gt;R1742,"Reported balance higher than expected (missing increase/OC build)","Reported balance lower than expected (missing decrease)"))))),""))</f>
        <v/>
      </c>
    </row>
    <row r="1743" customFormat="false" ht="15" hidden="false" customHeight="false" outlineLevel="0" collapsed="false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9"/>
      <c r="L1743" s="9"/>
      <c r="M1743" s="9"/>
      <c r="N1743" s="9"/>
      <c r="O1743" s="9"/>
      <c r="P1743" s="9"/>
      <c r="Q1743" s="9"/>
      <c r="R1743" s="9" t="str">
        <f aca="false">IF(AND(A1743&lt;&gt;"",ISNUMBER(Q1743),ISNUMBER(L1743)),ROUND(Q1743-IF(ISNUMBER(N1743),N1743,0)-IF(ISNUMBER(O1743),O1743,0)+IF(ISNUMBER(P1743),P1743,0),2),"")</f>
        <v/>
      </c>
      <c r="S1743" s="9" t="str">
        <f aca="false">IF(R1743="","",ROUND(L1743-R1743,2))</f>
        <v/>
      </c>
      <c r="T1743" s="8" t="str">
        <f aca="false">IF(A1743="","",IF(S1743="","BYPASS",IF(ABS(S1743)&lt;=Summary!$B$2,"PASS","FAIL")))</f>
        <v/>
      </c>
      <c r="U1743" s="8" t="str">
        <f aca="false">IF(T1743="BYPASS",IF(NOT(ISNUMBER(Q1743)),"PreV_ETB missing","End_tr_balance missing"),IF(T1743="FAIL",IF(AND(ISNUMBER(K1743),ISNUMBER(L1743),ABS(L1743-(K1743-IF(ISNUMBER(N1743),N1743,0)-IF(ISNUMBER(O1743),O1743,0)+IF(ISNUMBER(P1743),P1743,0)))&lt;=Summary!$B$2),"Passes using beginning_balance - PreV_ETB differs from beginning_balance",IF(AND(ISNUMBER(O1743),O1743&lt;0,ABS(L1743-(Q1743-IF(ISNUMBER(N1743),N1743,0)+IF(ISNUMBER(P1743),P1743,0)))&lt;=Summary!$B$2),"Negative realized loss not applied - check sign",IF(R1743&lt;0,"Principal paid exceeds prior balance",IF(AND(L1743&gt;Q1743,NOT(ISNUMBER(P1743))),"Balance increased but no Deferred_interest reported",IF(L1743&gt;R1743,"Reported balance higher than expected (missing increase/OC build)","Reported balance lower than expected (missing decrease)"))))),""))</f>
        <v/>
      </c>
    </row>
    <row r="1744" customFormat="false" ht="15" hidden="false" customHeight="false" outlineLevel="0" collapsed="false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9"/>
      <c r="L1744" s="9"/>
      <c r="M1744" s="9"/>
      <c r="N1744" s="9"/>
      <c r="O1744" s="9"/>
      <c r="P1744" s="9"/>
      <c r="Q1744" s="9"/>
      <c r="R1744" s="9" t="str">
        <f aca="false">IF(AND(A1744&lt;&gt;"",ISNUMBER(Q1744),ISNUMBER(L1744)),ROUND(Q1744-IF(ISNUMBER(N1744),N1744,0)-IF(ISNUMBER(O1744),O1744,0)+IF(ISNUMBER(P1744),P1744,0),2),"")</f>
        <v/>
      </c>
      <c r="S1744" s="9" t="str">
        <f aca="false">IF(R1744="","",ROUND(L1744-R1744,2))</f>
        <v/>
      </c>
      <c r="T1744" s="8" t="str">
        <f aca="false">IF(A1744="","",IF(S1744="","BYPASS",IF(ABS(S1744)&lt;=Summary!$B$2,"PASS","FAIL")))</f>
        <v/>
      </c>
      <c r="U1744" s="8" t="str">
        <f aca="false">IF(T1744="BYPASS",IF(NOT(ISNUMBER(Q1744)),"PreV_ETB missing","End_tr_balance missing"),IF(T1744="FAIL",IF(AND(ISNUMBER(K1744),ISNUMBER(L1744),ABS(L1744-(K1744-IF(ISNUMBER(N1744),N1744,0)-IF(ISNUMBER(O1744),O1744,0)+IF(ISNUMBER(P1744),P1744,0)))&lt;=Summary!$B$2),"Passes using beginning_balance - PreV_ETB differs from beginning_balance",IF(AND(ISNUMBER(O1744),O1744&lt;0,ABS(L1744-(Q1744-IF(ISNUMBER(N1744),N1744,0)+IF(ISNUMBER(P1744),P1744,0)))&lt;=Summary!$B$2),"Negative realized loss not applied - check sign",IF(R1744&lt;0,"Principal paid exceeds prior balance",IF(AND(L1744&gt;Q1744,NOT(ISNUMBER(P1744))),"Balance increased but no Deferred_interest reported",IF(L1744&gt;R1744,"Reported balance higher than expected (missing increase/OC build)","Reported balance lower than expected (missing decrease)"))))),""))</f>
        <v/>
      </c>
    </row>
    <row r="1745" customFormat="false" ht="15" hidden="false" customHeight="false" outlineLevel="0" collapsed="false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9"/>
      <c r="L1745" s="9"/>
      <c r="M1745" s="9"/>
      <c r="N1745" s="9"/>
      <c r="O1745" s="9"/>
      <c r="P1745" s="9"/>
      <c r="Q1745" s="9"/>
      <c r="R1745" s="9" t="str">
        <f aca="false">IF(AND(A1745&lt;&gt;"",ISNUMBER(Q1745),ISNUMBER(L1745)),ROUND(Q1745-IF(ISNUMBER(N1745),N1745,0)-IF(ISNUMBER(O1745),O1745,0)+IF(ISNUMBER(P1745),P1745,0),2),"")</f>
        <v/>
      </c>
      <c r="S1745" s="9" t="str">
        <f aca="false">IF(R1745="","",ROUND(L1745-R1745,2))</f>
        <v/>
      </c>
      <c r="T1745" s="8" t="str">
        <f aca="false">IF(A1745="","",IF(S1745="","BYPASS",IF(ABS(S1745)&lt;=Summary!$B$2,"PASS","FAIL")))</f>
        <v/>
      </c>
      <c r="U1745" s="8" t="str">
        <f aca="false">IF(T1745="BYPASS",IF(NOT(ISNUMBER(Q1745)),"PreV_ETB missing","End_tr_balance missing"),IF(T1745="FAIL",IF(AND(ISNUMBER(K1745),ISNUMBER(L1745),ABS(L1745-(K1745-IF(ISNUMBER(N1745),N1745,0)-IF(ISNUMBER(O1745),O1745,0)+IF(ISNUMBER(P1745),P1745,0)))&lt;=Summary!$B$2),"Passes using beginning_balance - PreV_ETB differs from beginning_balance",IF(AND(ISNUMBER(O1745),O1745&lt;0,ABS(L1745-(Q1745-IF(ISNUMBER(N1745),N1745,0)+IF(ISNUMBER(P1745),P1745,0)))&lt;=Summary!$B$2),"Negative realized loss not applied - check sign",IF(R1745&lt;0,"Principal paid exceeds prior balance",IF(AND(L1745&gt;Q1745,NOT(ISNUMBER(P1745))),"Balance increased but no Deferred_interest reported",IF(L1745&gt;R1745,"Reported balance higher than expected (missing increase/OC build)","Reported balance lower than expected (missing decrease)"))))),""))</f>
        <v/>
      </c>
    </row>
    <row r="1746" customFormat="false" ht="15" hidden="false" customHeight="false" outlineLevel="0" collapsed="false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9"/>
      <c r="L1746" s="9"/>
      <c r="M1746" s="9"/>
      <c r="N1746" s="9"/>
      <c r="O1746" s="9"/>
      <c r="P1746" s="9"/>
      <c r="Q1746" s="9"/>
      <c r="R1746" s="9" t="str">
        <f aca="false">IF(AND(A1746&lt;&gt;"",ISNUMBER(Q1746),ISNUMBER(L1746)),ROUND(Q1746-IF(ISNUMBER(N1746),N1746,0)-IF(ISNUMBER(O1746),O1746,0)+IF(ISNUMBER(P1746),P1746,0),2),"")</f>
        <v/>
      </c>
      <c r="S1746" s="9" t="str">
        <f aca="false">IF(R1746="","",ROUND(L1746-R1746,2))</f>
        <v/>
      </c>
      <c r="T1746" s="8" t="str">
        <f aca="false">IF(A1746="","",IF(S1746="","BYPASS",IF(ABS(S1746)&lt;=Summary!$B$2,"PASS","FAIL")))</f>
        <v/>
      </c>
      <c r="U1746" s="8" t="str">
        <f aca="false">IF(T1746="BYPASS",IF(NOT(ISNUMBER(Q1746)),"PreV_ETB missing","End_tr_balance missing"),IF(T1746="FAIL",IF(AND(ISNUMBER(K1746),ISNUMBER(L1746),ABS(L1746-(K1746-IF(ISNUMBER(N1746),N1746,0)-IF(ISNUMBER(O1746),O1746,0)+IF(ISNUMBER(P1746),P1746,0)))&lt;=Summary!$B$2),"Passes using beginning_balance - PreV_ETB differs from beginning_balance",IF(AND(ISNUMBER(O1746),O1746&lt;0,ABS(L1746-(Q1746-IF(ISNUMBER(N1746),N1746,0)+IF(ISNUMBER(P1746),P1746,0)))&lt;=Summary!$B$2),"Negative realized loss not applied - check sign",IF(R1746&lt;0,"Principal paid exceeds prior balance",IF(AND(L1746&gt;Q1746,NOT(ISNUMBER(P1746))),"Balance increased but no Deferred_interest reported",IF(L1746&gt;R1746,"Reported balance higher than expected (missing increase/OC build)","Reported balance lower than expected (missing decrease)"))))),""))</f>
        <v/>
      </c>
    </row>
    <row r="1747" customFormat="false" ht="15" hidden="false" customHeight="false" outlineLevel="0" collapsed="false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9"/>
      <c r="L1747" s="9"/>
      <c r="M1747" s="9"/>
      <c r="N1747" s="9"/>
      <c r="O1747" s="9"/>
      <c r="P1747" s="9"/>
      <c r="Q1747" s="9"/>
      <c r="R1747" s="9" t="str">
        <f aca="false">IF(AND(A1747&lt;&gt;"",ISNUMBER(Q1747),ISNUMBER(L1747)),ROUND(Q1747-IF(ISNUMBER(N1747),N1747,0)-IF(ISNUMBER(O1747),O1747,0)+IF(ISNUMBER(P1747),P1747,0),2),"")</f>
        <v/>
      </c>
      <c r="S1747" s="9" t="str">
        <f aca="false">IF(R1747="","",ROUND(L1747-R1747,2))</f>
        <v/>
      </c>
      <c r="T1747" s="8" t="str">
        <f aca="false">IF(A1747="","",IF(S1747="","BYPASS",IF(ABS(S1747)&lt;=Summary!$B$2,"PASS","FAIL")))</f>
        <v/>
      </c>
      <c r="U1747" s="8" t="str">
        <f aca="false">IF(T1747="BYPASS",IF(NOT(ISNUMBER(Q1747)),"PreV_ETB missing","End_tr_balance missing"),IF(T1747="FAIL",IF(AND(ISNUMBER(K1747),ISNUMBER(L1747),ABS(L1747-(K1747-IF(ISNUMBER(N1747),N1747,0)-IF(ISNUMBER(O1747),O1747,0)+IF(ISNUMBER(P1747),P1747,0)))&lt;=Summary!$B$2),"Passes using beginning_balance - PreV_ETB differs from beginning_balance",IF(AND(ISNUMBER(O1747),O1747&lt;0,ABS(L1747-(Q1747-IF(ISNUMBER(N1747),N1747,0)+IF(ISNUMBER(P1747),P1747,0)))&lt;=Summary!$B$2),"Negative realized loss not applied - check sign",IF(R1747&lt;0,"Principal paid exceeds prior balance",IF(AND(L1747&gt;Q1747,NOT(ISNUMBER(P1747))),"Balance increased but no Deferred_interest reported",IF(L1747&gt;R1747,"Reported balance higher than expected (missing increase/OC build)","Reported balance lower than expected (missing decrease)"))))),""))</f>
        <v/>
      </c>
    </row>
    <row r="1748" customFormat="false" ht="15" hidden="false" customHeight="false" outlineLevel="0" collapsed="false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9"/>
      <c r="L1748" s="9"/>
      <c r="M1748" s="9"/>
      <c r="N1748" s="9"/>
      <c r="O1748" s="9"/>
      <c r="P1748" s="9"/>
      <c r="Q1748" s="9"/>
      <c r="R1748" s="9" t="str">
        <f aca="false">IF(AND(A1748&lt;&gt;"",ISNUMBER(Q1748),ISNUMBER(L1748)),ROUND(Q1748-IF(ISNUMBER(N1748),N1748,0)-IF(ISNUMBER(O1748),O1748,0)+IF(ISNUMBER(P1748),P1748,0),2),"")</f>
        <v/>
      </c>
      <c r="S1748" s="9" t="str">
        <f aca="false">IF(R1748="","",ROUND(L1748-R1748,2))</f>
        <v/>
      </c>
      <c r="T1748" s="8" t="str">
        <f aca="false">IF(A1748="","",IF(S1748="","BYPASS",IF(ABS(S1748)&lt;=Summary!$B$2,"PASS","FAIL")))</f>
        <v/>
      </c>
      <c r="U1748" s="8" t="str">
        <f aca="false">IF(T1748="BYPASS",IF(NOT(ISNUMBER(Q1748)),"PreV_ETB missing","End_tr_balance missing"),IF(T1748="FAIL",IF(AND(ISNUMBER(K1748),ISNUMBER(L1748),ABS(L1748-(K1748-IF(ISNUMBER(N1748),N1748,0)-IF(ISNUMBER(O1748),O1748,0)+IF(ISNUMBER(P1748),P1748,0)))&lt;=Summary!$B$2),"Passes using beginning_balance - PreV_ETB differs from beginning_balance",IF(AND(ISNUMBER(O1748),O1748&lt;0,ABS(L1748-(Q1748-IF(ISNUMBER(N1748),N1748,0)+IF(ISNUMBER(P1748),P1748,0)))&lt;=Summary!$B$2),"Negative realized loss not applied - check sign",IF(R1748&lt;0,"Principal paid exceeds prior balance",IF(AND(L1748&gt;Q1748,NOT(ISNUMBER(P1748))),"Balance increased but no Deferred_interest reported",IF(L1748&gt;R1748,"Reported balance higher than expected (missing increase/OC build)","Reported balance lower than expected (missing decrease)"))))),""))</f>
        <v/>
      </c>
    </row>
    <row r="1749" customFormat="false" ht="15" hidden="false" customHeight="false" outlineLevel="0" collapsed="false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9"/>
      <c r="L1749" s="9"/>
      <c r="M1749" s="9"/>
      <c r="N1749" s="9"/>
      <c r="O1749" s="9"/>
      <c r="P1749" s="9"/>
      <c r="Q1749" s="9"/>
      <c r="R1749" s="9" t="str">
        <f aca="false">IF(AND(A1749&lt;&gt;"",ISNUMBER(Q1749),ISNUMBER(L1749)),ROUND(Q1749-IF(ISNUMBER(N1749),N1749,0)-IF(ISNUMBER(O1749),O1749,0)+IF(ISNUMBER(P1749),P1749,0),2),"")</f>
        <v/>
      </c>
      <c r="S1749" s="9" t="str">
        <f aca="false">IF(R1749="","",ROUND(L1749-R1749,2))</f>
        <v/>
      </c>
      <c r="T1749" s="8" t="str">
        <f aca="false">IF(A1749="","",IF(S1749="","BYPASS",IF(ABS(S1749)&lt;=Summary!$B$2,"PASS","FAIL")))</f>
        <v/>
      </c>
      <c r="U1749" s="8" t="str">
        <f aca="false">IF(T1749="BYPASS",IF(NOT(ISNUMBER(Q1749)),"PreV_ETB missing","End_tr_balance missing"),IF(T1749="FAIL",IF(AND(ISNUMBER(K1749),ISNUMBER(L1749),ABS(L1749-(K1749-IF(ISNUMBER(N1749),N1749,0)-IF(ISNUMBER(O1749),O1749,0)+IF(ISNUMBER(P1749),P1749,0)))&lt;=Summary!$B$2),"Passes using beginning_balance - PreV_ETB differs from beginning_balance",IF(AND(ISNUMBER(O1749),O1749&lt;0,ABS(L1749-(Q1749-IF(ISNUMBER(N1749),N1749,0)+IF(ISNUMBER(P1749),P1749,0)))&lt;=Summary!$B$2),"Negative realized loss not applied - check sign",IF(R1749&lt;0,"Principal paid exceeds prior balance",IF(AND(L1749&gt;Q1749,NOT(ISNUMBER(P1749))),"Balance increased but no Deferred_interest reported",IF(L1749&gt;R1749,"Reported balance higher than expected (missing increase/OC build)","Reported balance lower than expected (missing decrease)"))))),""))</f>
        <v/>
      </c>
    </row>
    <row r="1750" customFormat="false" ht="15" hidden="false" customHeight="false" outlineLevel="0" collapsed="false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9"/>
      <c r="L1750" s="9"/>
      <c r="M1750" s="9"/>
      <c r="N1750" s="9"/>
      <c r="O1750" s="9"/>
      <c r="P1750" s="9"/>
      <c r="Q1750" s="9"/>
      <c r="R1750" s="9" t="str">
        <f aca="false">IF(AND(A1750&lt;&gt;"",ISNUMBER(Q1750),ISNUMBER(L1750)),ROUND(Q1750-IF(ISNUMBER(N1750),N1750,0)-IF(ISNUMBER(O1750),O1750,0)+IF(ISNUMBER(P1750),P1750,0),2),"")</f>
        <v/>
      </c>
      <c r="S1750" s="9" t="str">
        <f aca="false">IF(R1750="","",ROUND(L1750-R1750,2))</f>
        <v/>
      </c>
      <c r="T1750" s="8" t="str">
        <f aca="false">IF(A1750="","",IF(S1750="","BYPASS",IF(ABS(S1750)&lt;=Summary!$B$2,"PASS","FAIL")))</f>
        <v/>
      </c>
      <c r="U1750" s="8" t="str">
        <f aca="false">IF(T1750="BYPASS",IF(NOT(ISNUMBER(Q1750)),"PreV_ETB missing","End_tr_balance missing"),IF(T1750="FAIL",IF(AND(ISNUMBER(K1750),ISNUMBER(L1750),ABS(L1750-(K1750-IF(ISNUMBER(N1750),N1750,0)-IF(ISNUMBER(O1750),O1750,0)+IF(ISNUMBER(P1750),P1750,0)))&lt;=Summary!$B$2),"Passes using beginning_balance - PreV_ETB differs from beginning_balance",IF(AND(ISNUMBER(O1750),O1750&lt;0,ABS(L1750-(Q1750-IF(ISNUMBER(N1750),N1750,0)+IF(ISNUMBER(P1750),P1750,0)))&lt;=Summary!$B$2),"Negative realized loss not applied - check sign",IF(R1750&lt;0,"Principal paid exceeds prior balance",IF(AND(L1750&gt;Q1750,NOT(ISNUMBER(P1750))),"Balance increased but no Deferred_interest reported",IF(L1750&gt;R1750,"Reported balance higher than expected (missing increase/OC build)","Reported balance lower than expected (missing decrease)"))))),""))</f>
        <v/>
      </c>
    </row>
    <row r="1751" customFormat="false" ht="15" hidden="false" customHeight="false" outlineLevel="0" collapsed="false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9"/>
      <c r="L1751" s="9"/>
      <c r="M1751" s="9"/>
      <c r="N1751" s="9"/>
      <c r="O1751" s="9"/>
      <c r="P1751" s="9"/>
      <c r="Q1751" s="9"/>
      <c r="R1751" s="9" t="str">
        <f aca="false">IF(AND(A1751&lt;&gt;"",ISNUMBER(Q1751),ISNUMBER(L1751)),ROUND(Q1751-IF(ISNUMBER(N1751),N1751,0)-IF(ISNUMBER(O1751),O1751,0)+IF(ISNUMBER(P1751),P1751,0),2),"")</f>
        <v/>
      </c>
      <c r="S1751" s="9" t="str">
        <f aca="false">IF(R1751="","",ROUND(L1751-R1751,2))</f>
        <v/>
      </c>
      <c r="T1751" s="8" t="str">
        <f aca="false">IF(A1751="","",IF(S1751="","BYPASS",IF(ABS(S1751)&lt;=Summary!$B$2,"PASS","FAIL")))</f>
        <v/>
      </c>
      <c r="U1751" s="8" t="str">
        <f aca="false">IF(T1751="BYPASS",IF(NOT(ISNUMBER(Q1751)),"PreV_ETB missing","End_tr_balance missing"),IF(T1751="FAIL",IF(AND(ISNUMBER(K1751),ISNUMBER(L1751),ABS(L1751-(K1751-IF(ISNUMBER(N1751),N1751,0)-IF(ISNUMBER(O1751),O1751,0)+IF(ISNUMBER(P1751),P1751,0)))&lt;=Summary!$B$2),"Passes using beginning_balance - PreV_ETB differs from beginning_balance",IF(AND(ISNUMBER(O1751),O1751&lt;0,ABS(L1751-(Q1751-IF(ISNUMBER(N1751),N1751,0)+IF(ISNUMBER(P1751),P1751,0)))&lt;=Summary!$B$2),"Negative realized loss not applied - check sign",IF(R1751&lt;0,"Principal paid exceeds prior balance",IF(AND(L1751&gt;Q1751,NOT(ISNUMBER(P1751))),"Balance increased but no Deferred_interest reported",IF(L1751&gt;R1751,"Reported balance higher than expected (missing increase/OC build)","Reported balance lower than expected (missing decrease)"))))),""))</f>
        <v/>
      </c>
    </row>
    <row r="1752" customFormat="false" ht="15" hidden="false" customHeight="false" outlineLevel="0" collapsed="false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9"/>
      <c r="L1752" s="9"/>
      <c r="M1752" s="9"/>
      <c r="N1752" s="9"/>
      <c r="O1752" s="9"/>
      <c r="P1752" s="9"/>
      <c r="Q1752" s="9"/>
      <c r="R1752" s="9" t="str">
        <f aca="false">IF(AND(A1752&lt;&gt;"",ISNUMBER(Q1752),ISNUMBER(L1752)),ROUND(Q1752-IF(ISNUMBER(N1752),N1752,0)-IF(ISNUMBER(O1752),O1752,0)+IF(ISNUMBER(P1752),P1752,0),2),"")</f>
        <v/>
      </c>
      <c r="S1752" s="9" t="str">
        <f aca="false">IF(R1752="","",ROUND(L1752-R1752,2))</f>
        <v/>
      </c>
      <c r="T1752" s="8" t="str">
        <f aca="false">IF(A1752="","",IF(S1752="","BYPASS",IF(ABS(S1752)&lt;=Summary!$B$2,"PASS","FAIL")))</f>
        <v/>
      </c>
      <c r="U1752" s="8" t="str">
        <f aca="false">IF(T1752="BYPASS",IF(NOT(ISNUMBER(Q1752)),"PreV_ETB missing","End_tr_balance missing"),IF(T1752="FAIL",IF(AND(ISNUMBER(K1752),ISNUMBER(L1752),ABS(L1752-(K1752-IF(ISNUMBER(N1752),N1752,0)-IF(ISNUMBER(O1752),O1752,0)+IF(ISNUMBER(P1752),P1752,0)))&lt;=Summary!$B$2),"Passes using beginning_balance - PreV_ETB differs from beginning_balance",IF(AND(ISNUMBER(O1752),O1752&lt;0,ABS(L1752-(Q1752-IF(ISNUMBER(N1752),N1752,0)+IF(ISNUMBER(P1752),P1752,0)))&lt;=Summary!$B$2),"Negative realized loss not applied - check sign",IF(R1752&lt;0,"Principal paid exceeds prior balance",IF(AND(L1752&gt;Q1752,NOT(ISNUMBER(P1752))),"Balance increased but no Deferred_interest reported",IF(L1752&gt;R1752,"Reported balance higher than expected (missing increase/OC build)","Reported balance lower than expected (missing decrease)"))))),""))</f>
        <v/>
      </c>
    </row>
    <row r="1753" customFormat="false" ht="15" hidden="false" customHeight="false" outlineLevel="0" collapsed="false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9"/>
      <c r="L1753" s="9"/>
      <c r="M1753" s="9"/>
      <c r="N1753" s="9"/>
      <c r="O1753" s="9"/>
      <c r="P1753" s="9"/>
      <c r="Q1753" s="9"/>
      <c r="R1753" s="9" t="str">
        <f aca="false">IF(AND(A1753&lt;&gt;"",ISNUMBER(Q1753),ISNUMBER(L1753)),ROUND(Q1753-IF(ISNUMBER(N1753),N1753,0)-IF(ISNUMBER(O1753),O1753,0)+IF(ISNUMBER(P1753),P1753,0),2),"")</f>
        <v/>
      </c>
      <c r="S1753" s="9" t="str">
        <f aca="false">IF(R1753="","",ROUND(L1753-R1753,2))</f>
        <v/>
      </c>
      <c r="T1753" s="8" t="str">
        <f aca="false">IF(A1753="","",IF(S1753="","BYPASS",IF(ABS(S1753)&lt;=Summary!$B$2,"PASS","FAIL")))</f>
        <v/>
      </c>
      <c r="U1753" s="8" t="str">
        <f aca="false">IF(T1753="BYPASS",IF(NOT(ISNUMBER(Q1753)),"PreV_ETB missing","End_tr_balance missing"),IF(T1753="FAIL",IF(AND(ISNUMBER(K1753),ISNUMBER(L1753),ABS(L1753-(K1753-IF(ISNUMBER(N1753),N1753,0)-IF(ISNUMBER(O1753),O1753,0)+IF(ISNUMBER(P1753),P1753,0)))&lt;=Summary!$B$2),"Passes using beginning_balance - PreV_ETB differs from beginning_balance",IF(AND(ISNUMBER(O1753),O1753&lt;0,ABS(L1753-(Q1753-IF(ISNUMBER(N1753),N1753,0)+IF(ISNUMBER(P1753),P1753,0)))&lt;=Summary!$B$2),"Negative realized loss not applied - check sign",IF(R1753&lt;0,"Principal paid exceeds prior balance",IF(AND(L1753&gt;Q1753,NOT(ISNUMBER(P1753))),"Balance increased but no Deferred_interest reported",IF(L1753&gt;R1753,"Reported balance higher than expected (missing increase/OC build)","Reported balance lower than expected (missing decrease)"))))),""))</f>
        <v/>
      </c>
    </row>
    <row r="1754" customFormat="false" ht="15" hidden="false" customHeight="false" outlineLevel="0" collapsed="false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9"/>
      <c r="L1754" s="9"/>
      <c r="M1754" s="9"/>
      <c r="N1754" s="9"/>
      <c r="O1754" s="9"/>
      <c r="P1754" s="9"/>
      <c r="Q1754" s="9"/>
      <c r="R1754" s="9" t="str">
        <f aca="false">IF(AND(A1754&lt;&gt;"",ISNUMBER(Q1754),ISNUMBER(L1754)),ROUND(Q1754-IF(ISNUMBER(N1754),N1754,0)-IF(ISNUMBER(O1754),O1754,0)+IF(ISNUMBER(P1754),P1754,0),2),"")</f>
        <v/>
      </c>
      <c r="S1754" s="9" t="str">
        <f aca="false">IF(R1754="","",ROUND(L1754-R1754,2))</f>
        <v/>
      </c>
      <c r="T1754" s="8" t="str">
        <f aca="false">IF(A1754="","",IF(S1754="","BYPASS",IF(ABS(S1754)&lt;=Summary!$B$2,"PASS","FAIL")))</f>
        <v/>
      </c>
      <c r="U1754" s="8" t="str">
        <f aca="false">IF(T1754="BYPASS",IF(NOT(ISNUMBER(Q1754)),"PreV_ETB missing","End_tr_balance missing"),IF(T1754="FAIL",IF(AND(ISNUMBER(K1754),ISNUMBER(L1754),ABS(L1754-(K1754-IF(ISNUMBER(N1754),N1754,0)-IF(ISNUMBER(O1754),O1754,0)+IF(ISNUMBER(P1754),P1754,0)))&lt;=Summary!$B$2),"Passes using beginning_balance - PreV_ETB differs from beginning_balance",IF(AND(ISNUMBER(O1754),O1754&lt;0,ABS(L1754-(Q1754-IF(ISNUMBER(N1754),N1754,0)+IF(ISNUMBER(P1754),P1754,0)))&lt;=Summary!$B$2),"Negative realized loss not applied - check sign",IF(R1754&lt;0,"Principal paid exceeds prior balance",IF(AND(L1754&gt;Q1754,NOT(ISNUMBER(P1754))),"Balance increased but no Deferred_interest reported",IF(L1754&gt;R1754,"Reported balance higher than expected (missing increase/OC build)","Reported balance lower than expected (missing decrease)"))))),""))</f>
        <v/>
      </c>
    </row>
    <row r="1755" customFormat="false" ht="15" hidden="false" customHeight="false" outlineLevel="0" collapsed="false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9"/>
      <c r="L1755" s="9"/>
      <c r="M1755" s="9"/>
      <c r="N1755" s="9"/>
      <c r="O1755" s="9"/>
      <c r="P1755" s="9"/>
      <c r="Q1755" s="9"/>
      <c r="R1755" s="9" t="str">
        <f aca="false">IF(AND(A1755&lt;&gt;"",ISNUMBER(Q1755),ISNUMBER(L1755)),ROUND(Q1755-IF(ISNUMBER(N1755),N1755,0)-IF(ISNUMBER(O1755),O1755,0)+IF(ISNUMBER(P1755),P1755,0),2),"")</f>
        <v/>
      </c>
      <c r="S1755" s="9" t="str">
        <f aca="false">IF(R1755="","",ROUND(L1755-R1755,2))</f>
        <v/>
      </c>
      <c r="T1755" s="8" t="str">
        <f aca="false">IF(A1755="","",IF(S1755="","BYPASS",IF(ABS(S1755)&lt;=Summary!$B$2,"PASS","FAIL")))</f>
        <v/>
      </c>
      <c r="U1755" s="8" t="str">
        <f aca="false">IF(T1755="BYPASS",IF(NOT(ISNUMBER(Q1755)),"PreV_ETB missing","End_tr_balance missing"),IF(T1755="FAIL",IF(AND(ISNUMBER(K1755),ISNUMBER(L1755),ABS(L1755-(K1755-IF(ISNUMBER(N1755),N1755,0)-IF(ISNUMBER(O1755),O1755,0)+IF(ISNUMBER(P1755),P1755,0)))&lt;=Summary!$B$2),"Passes using beginning_balance - PreV_ETB differs from beginning_balance",IF(AND(ISNUMBER(O1755),O1755&lt;0,ABS(L1755-(Q1755-IF(ISNUMBER(N1755),N1755,0)+IF(ISNUMBER(P1755),P1755,0)))&lt;=Summary!$B$2),"Negative realized loss not applied - check sign",IF(R1755&lt;0,"Principal paid exceeds prior balance",IF(AND(L1755&gt;Q1755,NOT(ISNUMBER(P1755))),"Balance increased but no Deferred_interest reported",IF(L1755&gt;R1755,"Reported balance higher than expected (missing increase/OC build)","Reported balance lower than expected (missing decrease)"))))),""))</f>
        <v/>
      </c>
    </row>
    <row r="1756" customFormat="false" ht="15" hidden="false" customHeight="false" outlineLevel="0" collapsed="false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9"/>
      <c r="L1756" s="9"/>
      <c r="M1756" s="9"/>
      <c r="N1756" s="9"/>
      <c r="O1756" s="9"/>
      <c r="P1756" s="9"/>
      <c r="Q1756" s="9"/>
      <c r="R1756" s="9" t="str">
        <f aca="false">IF(AND(A1756&lt;&gt;"",ISNUMBER(Q1756),ISNUMBER(L1756)),ROUND(Q1756-IF(ISNUMBER(N1756),N1756,0)-IF(ISNUMBER(O1756),O1756,0)+IF(ISNUMBER(P1756),P1756,0),2),"")</f>
        <v/>
      </c>
      <c r="S1756" s="9" t="str">
        <f aca="false">IF(R1756="","",ROUND(L1756-R1756,2))</f>
        <v/>
      </c>
      <c r="T1756" s="8" t="str">
        <f aca="false">IF(A1756="","",IF(S1756="","BYPASS",IF(ABS(S1756)&lt;=Summary!$B$2,"PASS","FAIL")))</f>
        <v/>
      </c>
      <c r="U1756" s="8" t="str">
        <f aca="false">IF(T1756="BYPASS",IF(NOT(ISNUMBER(Q1756)),"PreV_ETB missing","End_tr_balance missing"),IF(T1756="FAIL",IF(AND(ISNUMBER(K1756),ISNUMBER(L1756),ABS(L1756-(K1756-IF(ISNUMBER(N1756),N1756,0)-IF(ISNUMBER(O1756),O1756,0)+IF(ISNUMBER(P1756),P1756,0)))&lt;=Summary!$B$2),"Passes using beginning_balance - PreV_ETB differs from beginning_balance",IF(AND(ISNUMBER(O1756),O1756&lt;0,ABS(L1756-(Q1756-IF(ISNUMBER(N1756),N1756,0)+IF(ISNUMBER(P1756),P1756,0)))&lt;=Summary!$B$2),"Negative realized loss not applied - check sign",IF(R1756&lt;0,"Principal paid exceeds prior balance",IF(AND(L1756&gt;Q1756,NOT(ISNUMBER(P1756))),"Balance increased but no Deferred_interest reported",IF(L1756&gt;R1756,"Reported balance higher than expected (missing increase/OC build)","Reported balance lower than expected (missing decrease)"))))),""))</f>
        <v/>
      </c>
    </row>
    <row r="1757" customFormat="false" ht="15" hidden="false" customHeight="false" outlineLevel="0" collapsed="false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9"/>
      <c r="L1757" s="9"/>
      <c r="M1757" s="9"/>
      <c r="N1757" s="9"/>
      <c r="O1757" s="9"/>
      <c r="P1757" s="9"/>
      <c r="Q1757" s="9"/>
      <c r="R1757" s="9" t="str">
        <f aca="false">IF(AND(A1757&lt;&gt;"",ISNUMBER(Q1757),ISNUMBER(L1757)),ROUND(Q1757-IF(ISNUMBER(N1757),N1757,0)-IF(ISNUMBER(O1757),O1757,0)+IF(ISNUMBER(P1757),P1757,0),2),"")</f>
        <v/>
      </c>
      <c r="S1757" s="9" t="str">
        <f aca="false">IF(R1757="","",ROUND(L1757-R1757,2))</f>
        <v/>
      </c>
      <c r="T1757" s="8" t="str">
        <f aca="false">IF(A1757="","",IF(S1757="","BYPASS",IF(ABS(S1757)&lt;=Summary!$B$2,"PASS","FAIL")))</f>
        <v/>
      </c>
      <c r="U1757" s="8" t="str">
        <f aca="false">IF(T1757="BYPASS",IF(NOT(ISNUMBER(Q1757)),"PreV_ETB missing","End_tr_balance missing"),IF(T1757="FAIL",IF(AND(ISNUMBER(K1757),ISNUMBER(L1757),ABS(L1757-(K1757-IF(ISNUMBER(N1757),N1757,0)-IF(ISNUMBER(O1757),O1757,0)+IF(ISNUMBER(P1757),P1757,0)))&lt;=Summary!$B$2),"Passes using beginning_balance - PreV_ETB differs from beginning_balance",IF(AND(ISNUMBER(O1757),O1757&lt;0,ABS(L1757-(Q1757-IF(ISNUMBER(N1757),N1757,0)+IF(ISNUMBER(P1757),P1757,0)))&lt;=Summary!$B$2),"Negative realized loss not applied - check sign",IF(R1757&lt;0,"Principal paid exceeds prior balance",IF(AND(L1757&gt;Q1757,NOT(ISNUMBER(P1757))),"Balance increased but no Deferred_interest reported",IF(L1757&gt;R1757,"Reported balance higher than expected (missing increase/OC build)","Reported balance lower than expected (missing decrease)"))))),""))</f>
        <v/>
      </c>
    </row>
    <row r="1758" customFormat="false" ht="15" hidden="false" customHeight="false" outlineLevel="0" collapsed="false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9"/>
      <c r="L1758" s="9"/>
      <c r="M1758" s="9"/>
      <c r="N1758" s="9"/>
      <c r="O1758" s="9"/>
      <c r="P1758" s="9"/>
      <c r="Q1758" s="9"/>
      <c r="R1758" s="9" t="str">
        <f aca="false">IF(AND(A1758&lt;&gt;"",ISNUMBER(Q1758),ISNUMBER(L1758)),ROUND(Q1758-IF(ISNUMBER(N1758),N1758,0)-IF(ISNUMBER(O1758),O1758,0)+IF(ISNUMBER(P1758),P1758,0),2),"")</f>
        <v/>
      </c>
      <c r="S1758" s="9" t="str">
        <f aca="false">IF(R1758="","",ROUND(L1758-R1758,2))</f>
        <v/>
      </c>
      <c r="T1758" s="8" t="str">
        <f aca="false">IF(A1758="","",IF(S1758="","BYPASS",IF(ABS(S1758)&lt;=Summary!$B$2,"PASS","FAIL")))</f>
        <v/>
      </c>
      <c r="U1758" s="8" t="str">
        <f aca="false">IF(T1758="BYPASS",IF(NOT(ISNUMBER(Q1758)),"PreV_ETB missing","End_tr_balance missing"),IF(T1758="FAIL",IF(AND(ISNUMBER(K1758),ISNUMBER(L1758),ABS(L1758-(K1758-IF(ISNUMBER(N1758),N1758,0)-IF(ISNUMBER(O1758),O1758,0)+IF(ISNUMBER(P1758),P1758,0)))&lt;=Summary!$B$2),"Passes using beginning_balance - PreV_ETB differs from beginning_balance",IF(AND(ISNUMBER(O1758),O1758&lt;0,ABS(L1758-(Q1758-IF(ISNUMBER(N1758),N1758,0)+IF(ISNUMBER(P1758),P1758,0)))&lt;=Summary!$B$2),"Negative realized loss not applied - check sign",IF(R1758&lt;0,"Principal paid exceeds prior balance",IF(AND(L1758&gt;Q1758,NOT(ISNUMBER(P1758))),"Balance increased but no Deferred_interest reported",IF(L1758&gt;R1758,"Reported balance higher than expected (missing increase/OC build)","Reported balance lower than expected (missing decrease)"))))),""))</f>
        <v/>
      </c>
    </row>
    <row r="1759" customFormat="false" ht="15" hidden="false" customHeight="false" outlineLevel="0" collapsed="false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9"/>
      <c r="L1759" s="9"/>
      <c r="M1759" s="9"/>
      <c r="N1759" s="9"/>
      <c r="O1759" s="9"/>
      <c r="P1759" s="9"/>
      <c r="Q1759" s="9"/>
      <c r="R1759" s="9" t="str">
        <f aca="false">IF(AND(A1759&lt;&gt;"",ISNUMBER(Q1759),ISNUMBER(L1759)),ROUND(Q1759-IF(ISNUMBER(N1759),N1759,0)-IF(ISNUMBER(O1759),O1759,0)+IF(ISNUMBER(P1759),P1759,0),2),"")</f>
        <v/>
      </c>
      <c r="S1759" s="9" t="str">
        <f aca="false">IF(R1759="","",ROUND(L1759-R1759,2))</f>
        <v/>
      </c>
      <c r="T1759" s="8" t="str">
        <f aca="false">IF(A1759="","",IF(S1759="","BYPASS",IF(ABS(S1759)&lt;=Summary!$B$2,"PASS","FAIL")))</f>
        <v/>
      </c>
      <c r="U1759" s="8" t="str">
        <f aca="false">IF(T1759="BYPASS",IF(NOT(ISNUMBER(Q1759)),"PreV_ETB missing","End_tr_balance missing"),IF(T1759="FAIL",IF(AND(ISNUMBER(K1759),ISNUMBER(L1759),ABS(L1759-(K1759-IF(ISNUMBER(N1759),N1759,0)-IF(ISNUMBER(O1759),O1759,0)+IF(ISNUMBER(P1759),P1759,0)))&lt;=Summary!$B$2),"Passes using beginning_balance - PreV_ETB differs from beginning_balance",IF(AND(ISNUMBER(O1759),O1759&lt;0,ABS(L1759-(Q1759-IF(ISNUMBER(N1759),N1759,0)+IF(ISNUMBER(P1759),P1759,0)))&lt;=Summary!$B$2),"Negative realized loss not applied - check sign",IF(R1759&lt;0,"Principal paid exceeds prior balance",IF(AND(L1759&gt;Q1759,NOT(ISNUMBER(P1759))),"Balance increased but no Deferred_interest reported",IF(L1759&gt;R1759,"Reported balance higher than expected (missing increase/OC build)","Reported balance lower than expected (missing decrease)"))))),""))</f>
        <v/>
      </c>
    </row>
    <row r="1760" customFormat="false" ht="15" hidden="false" customHeight="false" outlineLevel="0" collapsed="false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9"/>
      <c r="L1760" s="9"/>
      <c r="M1760" s="9"/>
      <c r="N1760" s="9"/>
      <c r="O1760" s="9"/>
      <c r="P1760" s="9"/>
      <c r="Q1760" s="9"/>
      <c r="R1760" s="9" t="str">
        <f aca="false">IF(AND(A1760&lt;&gt;"",ISNUMBER(Q1760),ISNUMBER(L1760)),ROUND(Q1760-IF(ISNUMBER(N1760),N1760,0)-IF(ISNUMBER(O1760),O1760,0)+IF(ISNUMBER(P1760),P1760,0),2),"")</f>
        <v/>
      </c>
      <c r="S1760" s="9" t="str">
        <f aca="false">IF(R1760="","",ROUND(L1760-R1760,2))</f>
        <v/>
      </c>
      <c r="T1760" s="8" t="str">
        <f aca="false">IF(A1760="","",IF(S1760="","BYPASS",IF(ABS(S1760)&lt;=Summary!$B$2,"PASS","FAIL")))</f>
        <v/>
      </c>
      <c r="U1760" s="8" t="str">
        <f aca="false">IF(T1760="BYPASS",IF(NOT(ISNUMBER(Q1760)),"PreV_ETB missing","End_tr_balance missing"),IF(T1760="FAIL",IF(AND(ISNUMBER(K1760),ISNUMBER(L1760),ABS(L1760-(K1760-IF(ISNUMBER(N1760),N1760,0)-IF(ISNUMBER(O1760),O1760,0)+IF(ISNUMBER(P1760),P1760,0)))&lt;=Summary!$B$2),"Passes using beginning_balance - PreV_ETB differs from beginning_balance",IF(AND(ISNUMBER(O1760),O1760&lt;0,ABS(L1760-(Q1760-IF(ISNUMBER(N1760),N1760,0)+IF(ISNUMBER(P1760),P1760,0)))&lt;=Summary!$B$2),"Negative realized loss not applied - check sign",IF(R1760&lt;0,"Principal paid exceeds prior balance",IF(AND(L1760&gt;Q1760,NOT(ISNUMBER(P1760))),"Balance increased but no Deferred_interest reported",IF(L1760&gt;R1760,"Reported balance higher than expected (missing increase/OC build)","Reported balance lower than expected (missing decrease)"))))),""))</f>
        <v/>
      </c>
    </row>
    <row r="1761" customFormat="false" ht="15" hidden="false" customHeight="false" outlineLevel="0" collapsed="false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9"/>
      <c r="L1761" s="9"/>
      <c r="M1761" s="9"/>
      <c r="N1761" s="9"/>
      <c r="O1761" s="9"/>
      <c r="P1761" s="9"/>
      <c r="Q1761" s="9"/>
      <c r="R1761" s="9" t="str">
        <f aca="false">IF(AND(A1761&lt;&gt;"",ISNUMBER(Q1761),ISNUMBER(L1761)),ROUND(Q1761-IF(ISNUMBER(N1761),N1761,0)-IF(ISNUMBER(O1761),O1761,0)+IF(ISNUMBER(P1761),P1761,0),2),"")</f>
        <v/>
      </c>
      <c r="S1761" s="9" t="str">
        <f aca="false">IF(R1761="","",ROUND(L1761-R1761,2))</f>
        <v/>
      </c>
      <c r="T1761" s="8" t="str">
        <f aca="false">IF(A1761="","",IF(S1761="","BYPASS",IF(ABS(S1761)&lt;=Summary!$B$2,"PASS","FAIL")))</f>
        <v/>
      </c>
      <c r="U1761" s="8" t="str">
        <f aca="false">IF(T1761="BYPASS",IF(NOT(ISNUMBER(Q1761)),"PreV_ETB missing","End_tr_balance missing"),IF(T1761="FAIL",IF(AND(ISNUMBER(K1761),ISNUMBER(L1761),ABS(L1761-(K1761-IF(ISNUMBER(N1761),N1761,0)-IF(ISNUMBER(O1761),O1761,0)+IF(ISNUMBER(P1761),P1761,0)))&lt;=Summary!$B$2),"Passes using beginning_balance - PreV_ETB differs from beginning_balance",IF(AND(ISNUMBER(O1761),O1761&lt;0,ABS(L1761-(Q1761-IF(ISNUMBER(N1761),N1761,0)+IF(ISNUMBER(P1761),P1761,0)))&lt;=Summary!$B$2),"Negative realized loss not applied - check sign",IF(R1761&lt;0,"Principal paid exceeds prior balance",IF(AND(L1761&gt;Q1761,NOT(ISNUMBER(P1761))),"Balance increased but no Deferred_interest reported",IF(L1761&gt;R1761,"Reported balance higher than expected (missing increase/OC build)","Reported balance lower than expected (missing decrease)"))))),""))</f>
        <v/>
      </c>
    </row>
    <row r="1762" customFormat="false" ht="15" hidden="false" customHeight="false" outlineLevel="0" collapsed="false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9"/>
      <c r="L1762" s="9"/>
      <c r="M1762" s="9"/>
      <c r="N1762" s="9"/>
      <c r="O1762" s="9"/>
      <c r="P1762" s="9"/>
      <c r="Q1762" s="9"/>
      <c r="R1762" s="9" t="str">
        <f aca="false">IF(AND(A1762&lt;&gt;"",ISNUMBER(Q1762),ISNUMBER(L1762)),ROUND(Q1762-IF(ISNUMBER(N1762),N1762,0)-IF(ISNUMBER(O1762),O1762,0)+IF(ISNUMBER(P1762),P1762,0),2),"")</f>
        <v/>
      </c>
      <c r="S1762" s="9" t="str">
        <f aca="false">IF(R1762="","",ROUND(L1762-R1762,2))</f>
        <v/>
      </c>
      <c r="T1762" s="8" t="str">
        <f aca="false">IF(A1762="","",IF(S1762="","BYPASS",IF(ABS(S1762)&lt;=Summary!$B$2,"PASS","FAIL")))</f>
        <v/>
      </c>
      <c r="U1762" s="8" t="str">
        <f aca="false">IF(T1762="BYPASS",IF(NOT(ISNUMBER(Q1762)),"PreV_ETB missing","End_tr_balance missing"),IF(T1762="FAIL",IF(AND(ISNUMBER(K1762),ISNUMBER(L1762),ABS(L1762-(K1762-IF(ISNUMBER(N1762),N1762,0)-IF(ISNUMBER(O1762),O1762,0)+IF(ISNUMBER(P1762),P1762,0)))&lt;=Summary!$B$2),"Passes using beginning_balance - PreV_ETB differs from beginning_balance",IF(AND(ISNUMBER(O1762),O1762&lt;0,ABS(L1762-(Q1762-IF(ISNUMBER(N1762),N1762,0)+IF(ISNUMBER(P1762),P1762,0)))&lt;=Summary!$B$2),"Negative realized loss not applied - check sign",IF(R1762&lt;0,"Principal paid exceeds prior balance",IF(AND(L1762&gt;Q1762,NOT(ISNUMBER(P1762))),"Balance increased but no Deferred_interest reported",IF(L1762&gt;R1762,"Reported balance higher than expected (missing increase/OC build)","Reported balance lower than expected (missing decrease)"))))),""))</f>
        <v/>
      </c>
    </row>
    <row r="1763" customFormat="false" ht="15" hidden="false" customHeight="false" outlineLevel="0" collapsed="false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9"/>
      <c r="L1763" s="9"/>
      <c r="M1763" s="9"/>
      <c r="N1763" s="9"/>
      <c r="O1763" s="9"/>
      <c r="P1763" s="9"/>
      <c r="Q1763" s="9"/>
      <c r="R1763" s="9" t="str">
        <f aca="false">IF(AND(A1763&lt;&gt;"",ISNUMBER(Q1763),ISNUMBER(L1763)),ROUND(Q1763-IF(ISNUMBER(N1763),N1763,0)-IF(ISNUMBER(O1763),O1763,0)+IF(ISNUMBER(P1763),P1763,0),2),"")</f>
        <v/>
      </c>
      <c r="S1763" s="9" t="str">
        <f aca="false">IF(R1763="","",ROUND(L1763-R1763,2))</f>
        <v/>
      </c>
      <c r="T1763" s="8" t="str">
        <f aca="false">IF(A1763="","",IF(S1763="","BYPASS",IF(ABS(S1763)&lt;=Summary!$B$2,"PASS","FAIL")))</f>
        <v/>
      </c>
      <c r="U1763" s="8" t="str">
        <f aca="false">IF(T1763="BYPASS",IF(NOT(ISNUMBER(Q1763)),"PreV_ETB missing","End_tr_balance missing"),IF(T1763="FAIL",IF(AND(ISNUMBER(K1763),ISNUMBER(L1763),ABS(L1763-(K1763-IF(ISNUMBER(N1763),N1763,0)-IF(ISNUMBER(O1763),O1763,0)+IF(ISNUMBER(P1763),P1763,0)))&lt;=Summary!$B$2),"Passes using beginning_balance - PreV_ETB differs from beginning_balance",IF(AND(ISNUMBER(O1763),O1763&lt;0,ABS(L1763-(Q1763-IF(ISNUMBER(N1763),N1763,0)+IF(ISNUMBER(P1763),P1763,0)))&lt;=Summary!$B$2),"Negative realized loss not applied - check sign",IF(R1763&lt;0,"Principal paid exceeds prior balance",IF(AND(L1763&gt;Q1763,NOT(ISNUMBER(P1763))),"Balance increased but no Deferred_interest reported",IF(L1763&gt;R1763,"Reported balance higher than expected (missing increase/OC build)","Reported balance lower than expected (missing decrease)"))))),""))</f>
        <v/>
      </c>
    </row>
    <row r="1764" customFormat="false" ht="15" hidden="false" customHeight="false" outlineLevel="0" collapsed="false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9"/>
      <c r="L1764" s="9"/>
      <c r="M1764" s="9"/>
      <c r="N1764" s="9"/>
      <c r="O1764" s="9"/>
      <c r="P1764" s="9"/>
      <c r="Q1764" s="9"/>
      <c r="R1764" s="9" t="str">
        <f aca="false">IF(AND(A1764&lt;&gt;"",ISNUMBER(Q1764),ISNUMBER(L1764)),ROUND(Q1764-IF(ISNUMBER(N1764),N1764,0)-IF(ISNUMBER(O1764),O1764,0)+IF(ISNUMBER(P1764),P1764,0),2),"")</f>
        <v/>
      </c>
      <c r="S1764" s="9" t="str">
        <f aca="false">IF(R1764="","",ROUND(L1764-R1764,2))</f>
        <v/>
      </c>
      <c r="T1764" s="8" t="str">
        <f aca="false">IF(A1764="","",IF(S1764="","BYPASS",IF(ABS(S1764)&lt;=Summary!$B$2,"PASS","FAIL")))</f>
        <v/>
      </c>
      <c r="U1764" s="8" t="str">
        <f aca="false">IF(T1764="BYPASS",IF(NOT(ISNUMBER(Q1764)),"PreV_ETB missing","End_tr_balance missing"),IF(T1764="FAIL",IF(AND(ISNUMBER(K1764),ISNUMBER(L1764),ABS(L1764-(K1764-IF(ISNUMBER(N1764),N1764,0)-IF(ISNUMBER(O1764),O1764,0)+IF(ISNUMBER(P1764),P1764,0)))&lt;=Summary!$B$2),"Passes using beginning_balance - PreV_ETB differs from beginning_balance",IF(AND(ISNUMBER(O1764),O1764&lt;0,ABS(L1764-(Q1764-IF(ISNUMBER(N1764),N1764,0)+IF(ISNUMBER(P1764),P1764,0)))&lt;=Summary!$B$2),"Negative realized loss not applied - check sign",IF(R1764&lt;0,"Principal paid exceeds prior balance",IF(AND(L1764&gt;Q1764,NOT(ISNUMBER(P1764))),"Balance increased but no Deferred_interest reported",IF(L1764&gt;R1764,"Reported balance higher than expected (missing increase/OC build)","Reported balance lower than expected (missing decrease)"))))),""))</f>
        <v/>
      </c>
    </row>
    <row r="1765" customFormat="false" ht="15" hidden="false" customHeight="false" outlineLevel="0" collapsed="false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9"/>
      <c r="L1765" s="9"/>
      <c r="M1765" s="9"/>
      <c r="N1765" s="9"/>
      <c r="O1765" s="9"/>
      <c r="P1765" s="9"/>
      <c r="Q1765" s="9"/>
      <c r="R1765" s="9" t="str">
        <f aca="false">IF(AND(A1765&lt;&gt;"",ISNUMBER(Q1765),ISNUMBER(L1765)),ROUND(Q1765-IF(ISNUMBER(N1765),N1765,0)-IF(ISNUMBER(O1765),O1765,0)+IF(ISNUMBER(P1765),P1765,0),2),"")</f>
        <v/>
      </c>
      <c r="S1765" s="9" t="str">
        <f aca="false">IF(R1765="","",ROUND(L1765-R1765,2))</f>
        <v/>
      </c>
      <c r="T1765" s="8" t="str">
        <f aca="false">IF(A1765="","",IF(S1765="","BYPASS",IF(ABS(S1765)&lt;=Summary!$B$2,"PASS","FAIL")))</f>
        <v/>
      </c>
      <c r="U1765" s="8" t="str">
        <f aca="false">IF(T1765="BYPASS",IF(NOT(ISNUMBER(Q1765)),"PreV_ETB missing","End_tr_balance missing"),IF(T1765="FAIL",IF(AND(ISNUMBER(K1765),ISNUMBER(L1765),ABS(L1765-(K1765-IF(ISNUMBER(N1765),N1765,0)-IF(ISNUMBER(O1765),O1765,0)+IF(ISNUMBER(P1765),P1765,0)))&lt;=Summary!$B$2),"Passes using beginning_balance - PreV_ETB differs from beginning_balance",IF(AND(ISNUMBER(O1765),O1765&lt;0,ABS(L1765-(Q1765-IF(ISNUMBER(N1765),N1765,0)+IF(ISNUMBER(P1765),P1765,0)))&lt;=Summary!$B$2),"Negative realized loss not applied - check sign",IF(R1765&lt;0,"Principal paid exceeds prior balance",IF(AND(L1765&gt;Q1765,NOT(ISNUMBER(P1765))),"Balance increased but no Deferred_interest reported",IF(L1765&gt;R1765,"Reported balance higher than expected (missing increase/OC build)","Reported balance lower than expected (missing decrease)"))))),""))</f>
        <v/>
      </c>
    </row>
    <row r="1766" customFormat="false" ht="15" hidden="false" customHeight="false" outlineLevel="0" collapsed="false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9"/>
      <c r="L1766" s="9"/>
      <c r="M1766" s="9"/>
      <c r="N1766" s="9"/>
      <c r="O1766" s="9"/>
      <c r="P1766" s="9"/>
      <c r="Q1766" s="9"/>
      <c r="R1766" s="9" t="str">
        <f aca="false">IF(AND(A1766&lt;&gt;"",ISNUMBER(Q1766),ISNUMBER(L1766)),ROUND(Q1766-IF(ISNUMBER(N1766),N1766,0)-IF(ISNUMBER(O1766),O1766,0)+IF(ISNUMBER(P1766),P1766,0),2),"")</f>
        <v/>
      </c>
      <c r="S1766" s="9" t="str">
        <f aca="false">IF(R1766="","",ROUND(L1766-R1766,2))</f>
        <v/>
      </c>
      <c r="T1766" s="8" t="str">
        <f aca="false">IF(A1766="","",IF(S1766="","BYPASS",IF(ABS(S1766)&lt;=Summary!$B$2,"PASS","FAIL")))</f>
        <v/>
      </c>
      <c r="U1766" s="8" t="str">
        <f aca="false">IF(T1766="BYPASS",IF(NOT(ISNUMBER(Q1766)),"PreV_ETB missing","End_tr_balance missing"),IF(T1766="FAIL",IF(AND(ISNUMBER(K1766),ISNUMBER(L1766),ABS(L1766-(K1766-IF(ISNUMBER(N1766),N1766,0)-IF(ISNUMBER(O1766),O1766,0)+IF(ISNUMBER(P1766),P1766,0)))&lt;=Summary!$B$2),"Passes using beginning_balance - PreV_ETB differs from beginning_balance",IF(AND(ISNUMBER(O1766),O1766&lt;0,ABS(L1766-(Q1766-IF(ISNUMBER(N1766),N1766,0)+IF(ISNUMBER(P1766),P1766,0)))&lt;=Summary!$B$2),"Negative realized loss not applied - check sign",IF(R1766&lt;0,"Principal paid exceeds prior balance",IF(AND(L1766&gt;Q1766,NOT(ISNUMBER(P1766))),"Balance increased but no Deferred_interest reported",IF(L1766&gt;R1766,"Reported balance higher than expected (missing increase/OC build)","Reported balance lower than expected (missing decrease)"))))),""))</f>
        <v/>
      </c>
    </row>
    <row r="1767" customFormat="false" ht="15" hidden="false" customHeight="false" outlineLevel="0" collapsed="false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9"/>
      <c r="L1767" s="9"/>
      <c r="M1767" s="9"/>
      <c r="N1767" s="9"/>
      <c r="O1767" s="9"/>
      <c r="P1767" s="9"/>
      <c r="Q1767" s="9"/>
      <c r="R1767" s="9" t="str">
        <f aca="false">IF(AND(A1767&lt;&gt;"",ISNUMBER(Q1767),ISNUMBER(L1767)),ROUND(Q1767-IF(ISNUMBER(N1767),N1767,0)-IF(ISNUMBER(O1767),O1767,0)+IF(ISNUMBER(P1767),P1767,0),2),"")</f>
        <v/>
      </c>
      <c r="S1767" s="9" t="str">
        <f aca="false">IF(R1767="","",ROUND(L1767-R1767,2))</f>
        <v/>
      </c>
      <c r="T1767" s="8" t="str">
        <f aca="false">IF(A1767="","",IF(S1767="","BYPASS",IF(ABS(S1767)&lt;=Summary!$B$2,"PASS","FAIL")))</f>
        <v/>
      </c>
      <c r="U1767" s="8" t="str">
        <f aca="false">IF(T1767="BYPASS",IF(NOT(ISNUMBER(Q1767)),"PreV_ETB missing","End_tr_balance missing"),IF(T1767="FAIL",IF(AND(ISNUMBER(K1767),ISNUMBER(L1767),ABS(L1767-(K1767-IF(ISNUMBER(N1767),N1767,0)-IF(ISNUMBER(O1767),O1767,0)+IF(ISNUMBER(P1767),P1767,0)))&lt;=Summary!$B$2),"Passes using beginning_balance - PreV_ETB differs from beginning_balance",IF(AND(ISNUMBER(O1767),O1767&lt;0,ABS(L1767-(Q1767-IF(ISNUMBER(N1767),N1767,0)+IF(ISNUMBER(P1767),P1767,0)))&lt;=Summary!$B$2),"Negative realized loss not applied - check sign",IF(R1767&lt;0,"Principal paid exceeds prior balance",IF(AND(L1767&gt;Q1767,NOT(ISNUMBER(P1767))),"Balance increased but no Deferred_interest reported",IF(L1767&gt;R1767,"Reported balance higher than expected (missing increase/OC build)","Reported balance lower than expected (missing decrease)"))))),""))</f>
        <v/>
      </c>
    </row>
    <row r="1768" customFormat="false" ht="15" hidden="false" customHeight="false" outlineLevel="0" collapsed="false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9"/>
      <c r="L1768" s="9"/>
      <c r="M1768" s="9"/>
      <c r="N1768" s="9"/>
      <c r="O1768" s="9"/>
      <c r="P1768" s="9"/>
      <c r="Q1768" s="9"/>
      <c r="R1768" s="9" t="str">
        <f aca="false">IF(AND(A1768&lt;&gt;"",ISNUMBER(Q1768),ISNUMBER(L1768)),ROUND(Q1768-IF(ISNUMBER(N1768),N1768,0)-IF(ISNUMBER(O1768),O1768,0)+IF(ISNUMBER(P1768),P1768,0),2),"")</f>
        <v/>
      </c>
      <c r="S1768" s="9" t="str">
        <f aca="false">IF(R1768="","",ROUND(L1768-R1768,2))</f>
        <v/>
      </c>
      <c r="T1768" s="8" t="str">
        <f aca="false">IF(A1768="","",IF(S1768="","BYPASS",IF(ABS(S1768)&lt;=Summary!$B$2,"PASS","FAIL")))</f>
        <v/>
      </c>
      <c r="U1768" s="8" t="str">
        <f aca="false">IF(T1768="BYPASS",IF(NOT(ISNUMBER(Q1768)),"PreV_ETB missing","End_tr_balance missing"),IF(T1768="FAIL",IF(AND(ISNUMBER(K1768),ISNUMBER(L1768),ABS(L1768-(K1768-IF(ISNUMBER(N1768),N1768,0)-IF(ISNUMBER(O1768),O1768,0)+IF(ISNUMBER(P1768),P1768,0)))&lt;=Summary!$B$2),"Passes using beginning_balance - PreV_ETB differs from beginning_balance",IF(AND(ISNUMBER(O1768),O1768&lt;0,ABS(L1768-(Q1768-IF(ISNUMBER(N1768),N1768,0)+IF(ISNUMBER(P1768),P1768,0)))&lt;=Summary!$B$2),"Negative realized loss not applied - check sign",IF(R1768&lt;0,"Principal paid exceeds prior balance",IF(AND(L1768&gt;Q1768,NOT(ISNUMBER(P1768))),"Balance increased but no Deferred_interest reported",IF(L1768&gt;R1768,"Reported balance higher than expected (missing increase/OC build)","Reported balance lower than expected (missing decrease)"))))),""))</f>
        <v/>
      </c>
    </row>
    <row r="1769" customFormat="false" ht="15" hidden="false" customHeight="false" outlineLevel="0" collapsed="false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9"/>
      <c r="L1769" s="9"/>
      <c r="M1769" s="9"/>
      <c r="N1769" s="9"/>
      <c r="O1769" s="9"/>
      <c r="P1769" s="9"/>
      <c r="Q1769" s="9"/>
      <c r="R1769" s="9" t="str">
        <f aca="false">IF(AND(A1769&lt;&gt;"",ISNUMBER(Q1769),ISNUMBER(L1769)),ROUND(Q1769-IF(ISNUMBER(N1769),N1769,0)-IF(ISNUMBER(O1769),O1769,0)+IF(ISNUMBER(P1769),P1769,0),2),"")</f>
        <v/>
      </c>
      <c r="S1769" s="9" t="str">
        <f aca="false">IF(R1769="","",ROUND(L1769-R1769,2))</f>
        <v/>
      </c>
      <c r="T1769" s="8" t="str">
        <f aca="false">IF(A1769="","",IF(S1769="","BYPASS",IF(ABS(S1769)&lt;=Summary!$B$2,"PASS","FAIL")))</f>
        <v/>
      </c>
      <c r="U1769" s="8" t="str">
        <f aca="false">IF(T1769="BYPASS",IF(NOT(ISNUMBER(Q1769)),"PreV_ETB missing","End_tr_balance missing"),IF(T1769="FAIL",IF(AND(ISNUMBER(K1769),ISNUMBER(L1769),ABS(L1769-(K1769-IF(ISNUMBER(N1769),N1769,0)-IF(ISNUMBER(O1769),O1769,0)+IF(ISNUMBER(P1769),P1769,0)))&lt;=Summary!$B$2),"Passes using beginning_balance - PreV_ETB differs from beginning_balance",IF(AND(ISNUMBER(O1769),O1769&lt;0,ABS(L1769-(Q1769-IF(ISNUMBER(N1769),N1769,0)+IF(ISNUMBER(P1769),P1769,0)))&lt;=Summary!$B$2),"Negative realized loss not applied - check sign",IF(R1769&lt;0,"Principal paid exceeds prior balance",IF(AND(L1769&gt;Q1769,NOT(ISNUMBER(P1769))),"Balance increased but no Deferred_interest reported",IF(L1769&gt;R1769,"Reported balance higher than expected (missing increase/OC build)","Reported balance lower than expected (missing decrease)"))))),""))</f>
        <v/>
      </c>
    </row>
    <row r="1770" customFormat="false" ht="15" hidden="false" customHeight="false" outlineLevel="0" collapsed="false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9"/>
      <c r="L1770" s="9"/>
      <c r="M1770" s="9"/>
      <c r="N1770" s="9"/>
      <c r="O1770" s="9"/>
      <c r="P1770" s="9"/>
      <c r="Q1770" s="9"/>
      <c r="R1770" s="9" t="str">
        <f aca="false">IF(AND(A1770&lt;&gt;"",ISNUMBER(Q1770),ISNUMBER(L1770)),ROUND(Q1770-IF(ISNUMBER(N1770),N1770,0)-IF(ISNUMBER(O1770),O1770,0)+IF(ISNUMBER(P1770),P1770,0),2),"")</f>
        <v/>
      </c>
      <c r="S1770" s="9" t="str">
        <f aca="false">IF(R1770="","",ROUND(L1770-R1770,2))</f>
        <v/>
      </c>
      <c r="T1770" s="8" t="str">
        <f aca="false">IF(A1770="","",IF(S1770="","BYPASS",IF(ABS(S1770)&lt;=Summary!$B$2,"PASS","FAIL")))</f>
        <v/>
      </c>
      <c r="U1770" s="8" t="str">
        <f aca="false">IF(T1770="BYPASS",IF(NOT(ISNUMBER(Q1770)),"PreV_ETB missing","End_tr_balance missing"),IF(T1770="FAIL",IF(AND(ISNUMBER(K1770),ISNUMBER(L1770),ABS(L1770-(K1770-IF(ISNUMBER(N1770),N1770,0)-IF(ISNUMBER(O1770),O1770,0)+IF(ISNUMBER(P1770),P1770,0)))&lt;=Summary!$B$2),"Passes using beginning_balance - PreV_ETB differs from beginning_balance",IF(AND(ISNUMBER(O1770),O1770&lt;0,ABS(L1770-(Q1770-IF(ISNUMBER(N1770),N1770,0)+IF(ISNUMBER(P1770),P1770,0)))&lt;=Summary!$B$2),"Negative realized loss not applied - check sign",IF(R1770&lt;0,"Principal paid exceeds prior balance",IF(AND(L1770&gt;Q1770,NOT(ISNUMBER(P1770))),"Balance increased but no Deferred_interest reported",IF(L1770&gt;R1770,"Reported balance higher than expected (missing increase/OC build)","Reported balance lower than expected (missing decrease)"))))),""))</f>
        <v/>
      </c>
    </row>
    <row r="1771" customFormat="false" ht="15" hidden="false" customHeight="false" outlineLevel="0" collapsed="false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9"/>
      <c r="L1771" s="9"/>
      <c r="M1771" s="9"/>
      <c r="N1771" s="9"/>
      <c r="O1771" s="9"/>
      <c r="P1771" s="9"/>
      <c r="Q1771" s="9"/>
      <c r="R1771" s="9" t="str">
        <f aca="false">IF(AND(A1771&lt;&gt;"",ISNUMBER(Q1771),ISNUMBER(L1771)),ROUND(Q1771-IF(ISNUMBER(N1771),N1771,0)-IF(ISNUMBER(O1771),O1771,0)+IF(ISNUMBER(P1771),P1771,0),2),"")</f>
        <v/>
      </c>
      <c r="S1771" s="9" t="str">
        <f aca="false">IF(R1771="","",ROUND(L1771-R1771,2))</f>
        <v/>
      </c>
      <c r="T1771" s="8" t="str">
        <f aca="false">IF(A1771="","",IF(S1771="","BYPASS",IF(ABS(S1771)&lt;=Summary!$B$2,"PASS","FAIL")))</f>
        <v/>
      </c>
      <c r="U1771" s="8" t="str">
        <f aca="false">IF(T1771="BYPASS",IF(NOT(ISNUMBER(Q1771)),"PreV_ETB missing","End_tr_balance missing"),IF(T1771="FAIL",IF(AND(ISNUMBER(K1771),ISNUMBER(L1771),ABS(L1771-(K1771-IF(ISNUMBER(N1771),N1771,0)-IF(ISNUMBER(O1771),O1771,0)+IF(ISNUMBER(P1771),P1771,0)))&lt;=Summary!$B$2),"Passes using beginning_balance - PreV_ETB differs from beginning_balance",IF(AND(ISNUMBER(O1771),O1771&lt;0,ABS(L1771-(Q1771-IF(ISNUMBER(N1771),N1771,0)+IF(ISNUMBER(P1771),P1771,0)))&lt;=Summary!$B$2),"Negative realized loss not applied - check sign",IF(R1771&lt;0,"Principal paid exceeds prior balance",IF(AND(L1771&gt;Q1771,NOT(ISNUMBER(P1771))),"Balance increased but no Deferred_interest reported",IF(L1771&gt;R1771,"Reported balance higher than expected (missing increase/OC build)","Reported balance lower than expected (missing decrease)"))))),""))</f>
        <v/>
      </c>
    </row>
    <row r="1772" customFormat="false" ht="15" hidden="false" customHeight="false" outlineLevel="0" collapsed="false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9"/>
      <c r="L1772" s="9"/>
      <c r="M1772" s="9"/>
      <c r="N1772" s="9"/>
      <c r="O1772" s="9"/>
      <c r="P1772" s="9"/>
      <c r="Q1772" s="9"/>
      <c r="R1772" s="9" t="str">
        <f aca="false">IF(AND(A1772&lt;&gt;"",ISNUMBER(Q1772),ISNUMBER(L1772)),ROUND(Q1772-IF(ISNUMBER(N1772),N1772,0)-IF(ISNUMBER(O1772),O1772,0)+IF(ISNUMBER(P1772),P1772,0),2),"")</f>
        <v/>
      </c>
      <c r="S1772" s="9" t="str">
        <f aca="false">IF(R1772="","",ROUND(L1772-R1772,2))</f>
        <v/>
      </c>
      <c r="T1772" s="8" t="str">
        <f aca="false">IF(A1772="","",IF(S1772="","BYPASS",IF(ABS(S1772)&lt;=Summary!$B$2,"PASS","FAIL")))</f>
        <v/>
      </c>
      <c r="U1772" s="8" t="str">
        <f aca="false">IF(T1772="BYPASS",IF(NOT(ISNUMBER(Q1772)),"PreV_ETB missing","End_tr_balance missing"),IF(T1772="FAIL",IF(AND(ISNUMBER(K1772),ISNUMBER(L1772),ABS(L1772-(K1772-IF(ISNUMBER(N1772),N1772,0)-IF(ISNUMBER(O1772),O1772,0)+IF(ISNUMBER(P1772),P1772,0)))&lt;=Summary!$B$2),"Passes using beginning_balance - PreV_ETB differs from beginning_balance",IF(AND(ISNUMBER(O1772),O1772&lt;0,ABS(L1772-(Q1772-IF(ISNUMBER(N1772),N1772,0)+IF(ISNUMBER(P1772),P1772,0)))&lt;=Summary!$B$2),"Negative realized loss not applied - check sign",IF(R1772&lt;0,"Principal paid exceeds prior balance",IF(AND(L1772&gt;Q1772,NOT(ISNUMBER(P1772))),"Balance increased but no Deferred_interest reported",IF(L1772&gt;R1772,"Reported balance higher than expected (missing increase/OC build)","Reported balance lower than expected (missing decrease)"))))),""))</f>
        <v/>
      </c>
    </row>
    <row r="1773" customFormat="false" ht="15" hidden="false" customHeight="false" outlineLevel="0" collapsed="false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9"/>
      <c r="L1773" s="9"/>
      <c r="M1773" s="9"/>
      <c r="N1773" s="9"/>
      <c r="O1773" s="9"/>
      <c r="P1773" s="9"/>
      <c r="Q1773" s="9"/>
      <c r="R1773" s="9" t="str">
        <f aca="false">IF(AND(A1773&lt;&gt;"",ISNUMBER(Q1773),ISNUMBER(L1773)),ROUND(Q1773-IF(ISNUMBER(N1773),N1773,0)-IF(ISNUMBER(O1773),O1773,0)+IF(ISNUMBER(P1773),P1773,0),2),"")</f>
        <v/>
      </c>
      <c r="S1773" s="9" t="str">
        <f aca="false">IF(R1773="","",ROUND(L1773-R1773,2))</f>
        <v/>
      </c>
      <c r="T1773" s="8" t="str">
        <f aca="false">IF(A1773="","",IF(S1773="","BYPASS",IF(ABS(S1773)&lt;=Summary!$B$2,"PASS","FAIL")))</f>
        <v/>
      </c>
      <c r="U1773" s="8" t="str">
        <f aca="false">IF(T1773="BYPASS",IF(NOT(ISNUMBER(Q1773)),"PreV_ETB missing","End_tr_balance missing"),IF(T1773="FAIL",IF(AND(ISNUMBER(K1773),ISNUMBER(L1773),ABS(L1773-(K1773-IF(ISNUMBER(N1773),N1773,0)-IF(ISNUMBER(O1773),O1773,0)+IF(ISNUMBER(P1773),P1773,0)))&lt;=Summary!$B$2),"Passes using beginning_balance - PreV_ETB differs from beginning_balance",IF(AND(ISNUMBER(O1773),O1773&lt;0,ABS(L1773-(Q1773-IF(ISNUMBER(N1773),N1773,0)+IF(ISNUMBER(P1773),P1773,0)))&lt;=Summary!$B$2),"Negative realized loss not applied - check sign",IF(R1773&lt;0,"Principal paid exceeds prior balance",IF(AND(L1773&gt;Q1773,NOT(ISNUMBER(P1773))),"Balance increased but no Deferred_interest reported",IF(L1773&gt;R1773,"Reported balance higher than expected (missing increase/OC build)","Reported balance lower than expected (missing decrease)"))))),""))</f>
        <v/>
      </c>
    </row>
    <row r="1774" customFormat="false" ht="15" hidden="false" customHeight="false" outlineLevel="0" collapsed="false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9"/>
      <c r="L1774" s="9"/>
      <c r="M1774" s="9"/>
      <c r="N1774" s="9"/>
      <c r="O1774" s="9"/>
      <c r="P1774" s="9"/>
      <c r="Q1774" s="9"/>
      <c r="R1774" s="9" t="str">
        <f aca="false">IF(AND(A1774&lt;&gt;"",ISNUMBER(Q1774),ISNUMBER(L1774)),ROUND(Q1774-IF(ISNUMBER(N1774),N1774,0)-IF(ISNUMBER(O1774),O1774,0)+IF(ISNUMBER(P1774),P1774,0),2),"")</f>
        <v/>
      </c>
      <c r="S1774" s="9" t="str">
        <f aca="false">IF(R1774="","",ROUND(L1774-R1774,2))</f>
        <v/>
      </c>
      <c r="T1774" s="8" t="str">
        <f aca="false">IF(A1774="","",IF(S1774="","BYPASS",IF(ABS(S1774)&lt;=Summary!$B$2,"PASS","FAIL")))</f>
        <v/>
      </c>
      <c r="U1774" s="8" t="str">
        <f aca="false">IF(T1774="BYPASS",IF(NOT(ISNUMBER(Q1774)),"PreV_ETB missing","End_tr_balance missing"),IF(T1774="FAIL",IF(AND(ISNUMBER(K1774),ISNUMBER(L1774),ABS(L1774-(K1774-IF(ISNUMBER(N1774),N1774,0)-IF(ISNUMBER(O1774),O1774,0)+IF(ISNUMBER(P1774),P1774,0)))&lt;=Summary!$B$2),"Passes using beginning_balance - PreV_ETB differs from beginning_balance",IF(AND(ISNUMBER(O1774),O1774&lt;0,ABS(L1774-(Q1774-IF(ISNUMBER(N1774),N1774,0)+IF(ISNUMBER(P1774),P1774,0)))&lt;=Summary!$B$2),"Negative realized loss not applied - check sign",IF(R1774&lt;0,"Principal paid exceeds prior balance",IF(AND(L1774&gt;Q1774,NOT(ISNUMBER(P1774))),"Balance increased but no Deferred_interest reported",IF(L1774&gt;R1774,"Reported balance higher than expected (missing increase/OC build)","Reported balance lower than expected (missing decrease)"))))),""))</f>
        <v/>
      </c>
    </row>
    <row r="1775" customFormat="false" ht="15" hidden="false" customHeight="false" outlineLevel="0" collapsed="false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9"/>
      <c r="L1775" s="9"/>
      <c r="M1775" s="9"/>
      <c r="N1775" s="9"/>
      <c r="O1775" s="9"/>
      <c r="P1775" s="9"/>
      <c r="Q1775" s="9"/>
      <c r="R1775" s="9" t="str">
        <f aca="false">IF(AND(A1775&lt;&gt;"",ISNUMBER(Q1775),ISNUMBER(L1775)),ROUND(Q1775-IF(ISNUMBER(N1775),N1775,0)-IF(ISNUMBER(O1775),O1775,0)+IF(ISNUMBER(P1775),P1775,0),2),"")</f>
        <v/>
      </c>
      <c r="S1775" s="9" t="str">
        <f aca="false">IF(R1775="","",ROUND(L1775-R1775,2))</f>
        <v/>
      </c>
      <c r="T1775" s="8" t="str">
        <f aca="false">IF(A1775="","",IF(S1775="","BYPASS",IF(ABS(S1775)&lt;=Summary!$B$2,"PASS","FAIL")))</f>
        <v/>
      </c>
      <c r="U1775" s="8" t="str">
        <f aca="false">IF(T1775="BYPASS",IF(NOT(ISNUMBER(Q1775)),"PreV_ETB missing","End_tr_balance missing"),IF(T1775="FAIL",IF(AND(ISNUMBER(K1775),ISNUMBER(L1775),ABS(L1775-(K1775-IF(ISNUMBER(N1775),N1775,0)-IF(ISNUMBER(O1775),O1775,0)+IF(ISNUMBER(P1775),P1775,0)))&lt;=Summary!$B$2),"Passes using beginning_balance - PreV_ETB differs from beginning_balance",IF(AND(ISNUMBER(O1775),O1775&lt;0,ABS(L1775-(Q1775-IF(ISNUMBER(N1775),N1775,0)+IF(ISNUMBER(P1775),P1775,0)))&lt;=Summary!$B$2),"Negative realized loss not applied - check sign",IF(R1775&lt;0,"Principal paid exceeds prior balance",IF(AND(L1775&gt;Q1775,NOT(ISNUMBER(P1775))),"Balance increased but no Deferred_interest reported",IF(L1775&gt;R1775,"Reported balance higher than expected (missing increase/OC build)","Reported balance lower than expected (missing decrease)"))))),""))</f>
        <v/>
      </c>
    </row>
    <row r="1776" customFormat="false" ht="15" hidden="false" customHeight="false" outlineLevel="0" collapsed="false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9"/>
      <c r="L1776" s="9"/>
      <c r="M1776" s="9"/>
      <c r="N1776" s="9"/>
      <c r="O1776" s="9"/>
      <c r="P1776" s="9"/>
      <c r="Q1776" s="9"/>
      <c r="R1776" s="9" t="str">
        <f aca="false">IF(AND(A1776&lt;&gt;"",ISNUMBER(Q1776),ISNUMBER(L1776)),ROUND(Q1776-IF(ISNUMBER(N1776),N1776,0)-IF(ISNUMBER(O1776),O1776,0)+IF(ISNUMBER(P1776),P1776,0),2),"")</f>
        <v/>
      </c>
      <c r="S1776" s="9" t="str">
        <f aca="false">IF(R1776="","",ROUND(L1776-R1776,2))</f>
        <v/>
      </c>
      <c r="T1776" s="8" t="str">
        <f aca="false">IF(A1776="","",IF(S1776="","BYPASS",IF(ABS(S1776)&lt;=Summary!$B$2,"PASS","FAIL")))</f>
        <v/>
      </c>
      <c r="U1776" s="8" t="str">
        <f aca="false">IF(T1776="BYPASS",IF(NOT(ISNUMBER(Q1776)),"PreV_ETB missing","End_tr_balance missing"),IF(T1776="FAIL",IF(AND(ISNUMBER(K1776),ISNUMBER(L1776),ABS(L1776-(K1776-IF(ISNUMBER(N1776),N1776,0)-IF(ISNUMBER(O1776),O1776,0)+IF(ISNUMBER(P1776),P1776,0)))&lt;=Summary!$B$2),"Passes using beginning_balance - PreV_ETB differs from beginning_balance",IF(AND(ISNUMBER(O1776),O1776&lt;0,ABS(L1776-(Q1776-IF(ISNUMBER(N1776),N1776,0)+IF(ISNUMBER(P1776),P1776,0)))&lt;=Summary!$B$2),"Negative realized loss not applied - check sign",IF(R1776&lt;0,"Principal paid exceeds prior balance",IF(AND(L1776&gt;Q1776,NOT(ISNUMBER(P1776))),"Balance increased but no Deferred_interest reported",IF(L1776&gt;R1776,"Reported balance higher than expected (missing increase/OC build)","Reported balance lower than expected (missing decrease)"))))),""))</f>
        <v/>
      </c>
    </row>
    <row r="1777" customFormat="false" ht="15" hidden="false" customHeight="false" outlineLevel="0" collapsed="false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9"/>
      <c r="L1777" s="9"/>
      <c r="M1777" s="9"/>
      <c r="N1777" s="9"/>
      <c r="O1777" s="9"/>
      <c r="P1777" s="9"/>
      <c r="Q1777" s="9"/>
      <c r="R1777" s="9" t="str">
        <f aca="false">IF(AND(A1777&lt;&gt;"",ISNUMBER(Q1777),ISNUMBER(L1777)),ROUND(Q1777-IF(ISNUMBER(N1777),N1777,0)-IF(ISNUMBER(O1777),O1777,0)+IF(ISNUMBER(P1777),P1777,0),2),"")</f>
        <v/>
      </c>
      <c r="S1777" s="9" t="str">
        <f aca="false">IF(R1777="","",ROUND(L1777-R1777,2))</f>
        <v/>
      </c>
      <c r="T1777" s="8" t="str">
        <f aca="false">IF(A1777="","",IF(S1777="","BYPASS",IF(ABS(S1777)&lt;=Summary!$B$2,"PASS","FAIL")))</f>
        <v/>
      </c>
      <c r="U1777" s="8" t="str">
        <f aca="false">IF(T1777="BYPASS",IF(NOT(ISNUMBER(Q1777)),"PreV_ETB missing","End_tr_balance missing"),IF(T1777="FAIL",IF(AND(ISNUMBER(K1777),ISNUMBER(L1777),ABS(L1777-(K1777-IF(ISNUMBER(N1777),N1777,0)-IF(ISNUMBER(O1777),O1777,0)+IF(ISNUMBER(P1777),P1777,0)))&lt;=Summary!$B$2),"Passes using beginning_balance - PreV_ETB differs from beginning_balance",IF(AND(ISNUMBER(O1777),O1777&lt;0,ABS(L1777-(Q1777-IF(ISNUMBER(N1777),N1777,0)+IF(ISNUMBER(P1777),P1777,0)))&lt;=Summary!$B$2),"Negative realized loss not applied - check sign",IF(R1777&lt;0,"Principal paid exceeds prior balance",IF(AND(L1777&gt;Q1777,NOT(ISNUMBER(P1777))),"Balance increased but no Deferred_interest reported",IF(L1777&gt;R1777,"Reported balance higher than expected (missing increase/OC build)","Reported balance lower than expected (missing decrease)"))))),""))</f>
        <v/>
      </c>
    </row>
    <row r="1778" customFormat="false" ht="15" hidden="false" customHeight="false" outlineLevel="0" collapsed="false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9"/>
      <c r="L1778" s="9"/>
      <c r="M1778" s="9"/>
      <c r="N1778" s="9"/>
      <c r="O1778" s="9"/>
      <c r="P1778" s="9"/>
      <c r="Q1778" s="9"/>
      <c r="R1778" s="9" t="str">
        <f aca="false">IF(AND(A1778&lt;&gt;"",ISNUMBER(Q1778),ISNUMBER(L1778)),ROUND(Q1778-IF(ISNUMBER(N1778),N1778,0)-IF(ISNUMBER(O1778),O1778,0)+IF(ISNUMBER(P1778),P1778,0),2),"")</f>
        <v/>
      </c>
      <c r="S1778" s="9" t="str">
        <f aca="false">IF(R1778="","",ROUND(L1778-R1778,2))</f>
        <v/>
      </c>
      <c r="T1778" s="8" t="str">
        <f aca="false">IF(A1778="","",IF(S1778="","BYPASS",IF(ABS(S1778)&lt;=Summary!$B$2,"PASS","FAIL")))</f>
        <v/>
      </c>
      <c r="U1778" s="8" t="str">
        <f aca="false">IF(T1778="BYPASS",IF(NOT(ISNUMBER(Q1778)),"PreV_ETB missing","End_tr_balance missing"),IF(T1778="FAIL",IF(AND(ISNUMBER(K1778),ISNUMBER(L1778),ABS(L1778-(K1778-IF(ISNUMBER(N1778),N1778,0)-IF(ISNUMBER(O1778),O1778,0)+IF(ISNUMBER(P1778),P1778,0)))&lt;=Summary!$B$2),"Passes using beginning_balance - PreV_ETB differs from beginning_balance",IF(AND(ISNUMBER(O1778),O1778&lt;0,ABS(L1778-(Q1778-IF(ISNUMBER(N1778),N1778,0)+IF(ISNUMBER(P1778),P1778,0)))&lt;=Summary!$B$2),"Negative realized loss not applied - check sign",IF(R1778&lt;0,"Principal paid exceeds prior balance",IF(AND(L1778&gt;Q1778,NOT(ISNUMBER(P1778))),"Balance increased but no Deferred_interest reported",IF(L1778&gt;R1778,"Reported balance higher than expected (missing increase/OC build)","Reported balance lower than expected (missing decrease)"))))),""))</f>
        <v/>
      </c>
    </row>
    <row r="1779" customFormat="false" ht="15" hidden="false" customHeight="false" outlineLevel="0" collapsed="false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9"/>
      <c r="L1779" s="9"/>
      <c r="M1779" s="9"/>
      <c r="N1779" s="9"/>
      <c r="O1779" s="9"/>
      <c r="P1779" s="9"/>
      <c r="Q1779" s="9"/>
      <c r="R1779" s="9" t="str">
        <f aca="false">IF(AND(A1779&lt;&gt;"",ISNUMBER(Q1779),ISNUMBER(L1779)),ROUND(Q1779-IF(ISNUMBER(N1779),N1779,0)-IF(ISNUMBER(O1779),O1779,0)+IF(ISNUMBER(P1779),P1779,0),2),"")</f>
        <v/>
      </c>
      <c r="S1779" s="9" t="str">
        <f aca="false">IF(R1779="","",ROUND(L1779-R1779,2))</f>
        <v/>
      </c>
      <c r="T1779" s="8" t="str">
        <f aca="false">IF(A1779="","",IF(S1779="","BYPASS",IF(ABS(S1779)&lt;=Summary!$B$2,"PASS","FAIL")))</f>
        <v/>
      </c>
      <c r="U1779" s="8" t="str">
        <f aca="false">IF(T1779="BYPASS",IF(NOT(ISNUMBER(Q1779)),"PreV_ETB missing","End_tr_balance missing"),IF(T1779="FAIL",IF(AND(ISNUMBER(K1779),ISNUMBER(L1779),ABS(L1779-(K1779-IF(ISNUMBER(N1779),N1779,0)-IF(ISNUMBER(O1779),O1779,0)+IF(ISNUMBER(P1779),P1779,0)))&lt;=Summary!$B$2),"Passes using beginning_balance - PreV_ETB differs from beginning_balance",IF(AND(ISNUMBER(O1779),O1779&lt;0,ABS(L1779-(Q1779-IF(ISNUMBER(N1779),N1779,0)+IF(ISNUMBER(P1779),P1779,0)))&lt;=Summary!$B$2),"Negative realized loss not applied - check sign",IF(R1779&lt;0,"Principal paid exceeds prior balance",IF(AND(L1779&gt;Q1779,NOT(ISNUMBER(P1779))),"Balance increased but no Deferred_interest reported",IF(L1779&gt;R1779,"Reported balance higher than expected (missing increase/OC build)","Reported balance lower than expected (missing decrease)"))))),""))</f>
        <v/>
      </c>
    </row>
    <row r="1780" customFormat="false" ht="15" hidden="false" customHeight="false" outlineLevel="0" collapsed="false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9"/>
      <c r="L1780" s="9"/>
      <c r="M1780" s="9"/>
      <c r="N1780" s="9"/>
      <c r="O1780" s="9"/>
      <c r="P1780" s="9"/>
      <c r="Q1780" s="9"/>
      <c r="R1780" s="9" t="str">
        <f aca="false">IF(AND(A1780&lt;&gt;"",ISNUMBER(Q1780),ISNUMBER(L1780)),ROUND(Q1780-IF(ISNUMBER(N1780),N1780,0)-IF(ISNUMBER(O1780),O1780,0)+IF(ISNUMBER(P1780),P1780,0),2),"")</f>
        <v/>
      </c>
      <c r="S1780" s="9" t="str">
        <f aca="false">IF(R1780="","",ROUND(L1780-R1780,2))</f>
        <v/>
      </c>
      <c r="T1780" s="8" t="str">
        <f aca="false">IF(A1780="","",IF(S1780="","BYPASS",IF(ABS(S1780)&lt;=Summary!$B$2,"PASS","FAIL")))</f>
        <v/>
      </c>
      <c r="U1780" s="8" t="str">
        <f aca="false">IF(T1780="BYPASS",IF(NOT(ISNUMBER(Q1780)),"PreV_ETB missing","End_tr_balance missing"),IF(T1780="FAIL",IF(AND(ISNUMBER(K1780),ISNUMBER(L1780),ABS(L1780-(K1780-IF(ISNUMBER(N1780),N1780,0)-IF(ISNUMBER(O1780),O1780,0)+IF(ISNUMBER(P1780),P1780,0)))&lt;=Summary!$B$2),"Passes using beginning_balance - PreV_ETB differs from beginning_balance",IF(AND(ISNUMBER(O1780),O1780&lt;0,ABS(L1780-(Q1780-IF(ISNUMBER(N1780),N1780,0)+IF(ISNUMBER(P1780),P1780,0)))&lt;=Summary!$B$2),"Negative realized loss not applied - check sign",IF(R1780&lt;0,"Principal paid exceeds prior balance",IF(AND(L1780&gt;Q1780,NOT(ISNUMBER(P1780))),"Balance increased but no Deferred_interest reported",IF(L1780&gt;R1780,"Reported balance higher than expected (missing increase/OC build)","Reported balance lower than expected (missing decrease)"))))),""))</f>
        <v/>
      </c>
    </row>
    <row r="1781" customFormat="false" ht="15" hidden="false" customHeight="false" outlineLevel="0" collapsed="false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9"/>
      <c r="L1781" s="9"/>
      <c r="M1781" s="9"/>
      <c r="N1781" s="9"/>
      <c r="O1781" s="9"/>
      <c r="P1781" s="9"/>
      <c r="Q1781" s="9"/>
      <c r="R1781" s="9" t="str">
        <f aca="false">IF(AND(A1781&lt;&gt;"",ISNUMBER(Q1781),ISNUMBER(L1781)),ROUND(Q1781-IF(ISNUMBER(N1781),N1781,0)-IF(ISNUMBER(O1781),O1781,0)+IF(ISNUMBER(P1781),P1781,0),2),"")</f>
        <v/>
      </c>
      <c r="S1781" s="9" t="str">
        <f aca="false">IF(R1781="","",ROUND(L1781-R1781,2))</f>
        <v/>
      </c>
      <c r="T1781" s="8" t="str">
        <f aca="false">IF(A1781="","",IF(S1781="","BYPASS",IF(ABS(S1781)&lt;=Summary!$B$2,"PASS","FAIL")))</f>
        <v/>
      </c>
      <c r="U1781" s="8" t="str">
        <f aca="false">IF(T1781="BYPASS",IF(NOT(ISNUMBER(Q1781)),"PreV_ETB missing","End_tr_balance missing"),IF(T1781="FAIL",IF(AND(ISNUMBER(K1781),ISNUMBER(L1781),ABS(L1781-(K1781-IF(ISNUMBER(N1781),N1781,0)-IF(ISNUMBER(O1781),O1781,0)+IF(ISNUMBER(P1781),P1781,0)))&lt;=Summary!$B$2),"Passes using beginning_balance - PreV_ETB differs from beginning_balance",IF(AND(ISNUMBER(O1781),O1781&lt;0,ABS(L1781-(Q1781-IF(ISNUMBER(N1781),N1781,0)+IF(ISNUMBER(P1781),P1781,0)))&lt;=Summary!$B$2),"Negative realized loss not applied - check sign",IF(R1781&lt;0,"Principal paid exceeds prior balance",IF(AND(L1781&gt;Q1781,NOT(ISNUMBER(P1781))),"Balance increased but no Deferred_interest reported",IF(L1781&gt;R1781,"Reported balance higher than expected (missing increase/OC build)","Reported balance lower than expected (missing decrease)"))))),""))</f>
        <v/>
      </c>
    </row>
    <row r="1782" customFormat="false" ht="15" hidden="false" customHeight="false" outlineLevel="0" collapsed="false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9"/>
      <c r="L1782" s="9"/>
      <c r="M1782" s="9"/>
      <c r="N1782" s="9"/>
      <c r="O1782" s="9"/>
      <c r="P1782" s="9"/>
      <c r="Q1782" s="9"/>
      <c r="R1782" s="9" t="str">
        <f aca="false">IF(AND(A1782&lt;&gt;"",ISNUMBER(Q1782),ISNUMBER(L1782)),ROUND(Q1782-IF(ISNUMBER(N1782),N1782,0)-IF(ISNUMBER(O1782),O1782,0)+IF(ISNUMBER(P1782),P1782,0),2),"")</f>
        <v/>
      </c>
      <c r="S1782" s="9" t="str">
        <f aca="false">IF(R1782="","",ROUND(L1782-R1782,2))</f>
        <v/>
      </c>
      <c r="T1782" s="8" t="str">
        <f aca="false">IF(A1782="","",IF(S1782="","BYPASS",IF(ABS(S1782)&lt;=Summary!$B$2,"PASS","FAIL")))</f>
        <v/>
      </c>
      <c r="U1782" s="8" t="str">
        <f aca="false">IF(T1782="BYPASS",IF(NOT(ISNUMBER(Q1782)),"PreV_ETB missing","End_tr_balance missing"),IF(T1782="FAIL",IF(AND(ISNUMBER(K1782),ISNUMBER(L1782),ABS(L1782-(K1782-IF(ISNUMBER(N1782),N1782,0)-IF(ISNUMBER(O1782),O1782,0)+IF(ISNUMBER(P1782),P1782,0)))&lt;=Summary!$B$2),"Passes using beginning_balance - PreV_ETB differs from beginning_balance",IF(AND(ISNUMBER(O1782),O1782&lt;0,ABS(L1782-(Q1782-IF(ISNUMBER(N1782),N1782,0)+IF(ISNUMBER(P1782),P1782,0)))&lt;=Summary!$B$2),"Negative realized loss not applied - check sign",IF(R1782&lt;0,"Principal paid exceeds prior balance",IF(AND(L1782&gt;Q1782,NOT(ISNUMBER(P1782))),"Balance increased but no Deferred_interest reported",IF(L1782&gt;R1782,"Reported balance higher than expected (missing increase/OC build)","Reported balance lower than expected (missing decrease)"))))),""))</f>
        <v/>
      </c>
    </row>
    <row r="1783" customFormat="false" ht="15" hidden="false" customHeight="false" outlineLevel="0" collapsed="false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9"/>
      <c r="L1783" s="9"/>
      <c r="M1783" s="9"/>
      <c r="N1783" s="9"/>
      <c r="O1783" s="9"/>
      <c r="P1783" s="9"/>
      <c r="Q1783" s="9"/>
      <c r="R1783" s="9" t="str">
        <f aca="false">IF(AND(A1783&lt;&gt;"",ISNUMBER(Q1783),ISNUMBER(L1783)),ROUND(Q1783-IF(ISNUMBER(N1783),N1783,0)-IF(ISNUMBER(O1783),O1783,0)+IF(ISNUMBER(P1783),P1783,0),2),"")</f>
        <v/>
      </c>
      <c r="S1783" s="9" t="str">
        <f aca="false">IF(R1783="","",ROUND(L1783-R1783,2))</f>
        <v/>
      </c>
      <c r="T1783" s="8" t="str">
        <f aca="false">IF(A1783="","",IF(S1783="","BYPASS",IF(ABS(S1783)&lt;=Summary!$B$2,"PASS","FAIL")))</f>
        <v/>
      </c>
      <c r="U1783" s="8" t="str">
        <f aca="false">IF(T1783="BYPASS",IF(NOT(ISNUMBER(Q1783)),"PreV_ETB missing","End_tr_balance missing"),IF(T1783="FAIL",IF(AND(ISNUMBER(K1783),ISNUMBER(L1783),ABS(L1783-(K1783-IF(ISNUMBER(N1783),N1783,0)-IF(ISNUMBER(O1783),O1783,0)+IF(ISNUMBER(P1783),P1783,0)))&lt;=Summary!$B$2),"Passes using beginning_balance - PreV_ETB differs from beginning_balance",IF(AND(ISNUMBER(O1783),O1783&lt;0,ABS(L1783-(Q1783-IF(ISNUMBER(N1783),N1783,0)+IF(ISNUMBER(P1783),P1783,0)))&lt;=Summary!$B$2),"Negative realized loss not applied - check sign",IF(R1783&lt;0,"Principal paid exceeds prior balance",IF(AND(L1783&gt;Q1783,NOT(ISNUMBER(P1783))),"Balance increased but no Deferred_interest reported",IF(L1783&gt;R1783,"Reported balance higher than expected (missing increase/OC build)","Reported balance lower than expected (missing decrease)"))))),""))</f>
        <v/>
      </c>
    </row>
    <row r="1784" customFormat="false" ht="15" hidden="false" customHeight="false" outlineLevel="0" collapsed="false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9"/>
      <c r="L1784" s="9"/>
      <c r="M1784" s="9"/>
      <c r="N1784" s="9"/>
      <c r="O1784" s="9"/>
      <c r="P1784" s="9"/>
      <c r="Q1784" s="9"/>
      <c r="R1784" s="9" t="str">
        <f aca="false">IF(AND(A1784&lt;&gt;"",ISNUMBER(Q1784),ISNUMBER(L1784)),ROUND(Q1784-IF(ISNUMBER(N1784),N1784,0)-IF(ISNUMBER(O1784),O1784,0)+IF(ISNUMBER(P1784),P1784,0),2),"")</f>
        <v/>
      </c>
      <c r="S1784" s="9" t="str">
        <f aca="false">IF(R1784="","",ROUND(L1784-R1784,2))</f>
        <v/>
      </c>
      <c r="T1784" s="8" t="str">
        <f aca="false">IF(A1784="","",IF(S1784="","BYPASS",IF(ABS(S1784)&lt;=Summary!$B$2,"PASS","FAIL")))</f>
        <v/>
      </c>
      <c r="U1784" s="8" t="str">
        <f aca="false">IF(T1784="BYPASS",IF(NOT(ISNUMBER(Q1784)),"PreV_ETB missing","End_tr_balance missing"),IF(T1784="FAIL",IF(AND(ISNUMBER(K1784),ISNUMBER(L1784),ABS(L1784-(K1784-IF(ISNUMBER(N1784),N1784,0)-IF(ISNUMBER(O1784),O1784,0)+IF(ISNUMBER(P1784),P1784,0)))&lt;=Summary!$B$2),"Passes using beginning_balance - PreV_ETB differs from beginning_balance",IF(AND(ISNUMBER(O1784),O1784&lt;0,ABS(L1784-(Q1784-IF(ISNUMBER(N1784),N1784,0)+IF(ISNUMBER(P1784),P1784,0)))&lt;=Summary!$B$2),"Negative realized loss not applied - check sign",IF(R1784&lt;0,"Principal paid exceeds prior balance",IF(AND(L1784&gt;Q1784,NOT(ISNUMBER(P1784))),"Balance increased but no Deferred_interest reported",IF(L1784&gt;R1784,"Reported balance higher than expected (missing increase/OC build)","Reported balance lower than expected (missing decrease)"))))),""))</f>
        <v/>
      </c>
    </row>
    <row r="1785" customFormat="false" ht="15" hidden="false" customHeight="false" outlineLevel="0" collapsed="false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9"/>
      <c r="L1785" s="9"/>
      <c r="M1785" s="9"/>
      <c r="N1785" s="9"/>
      <c r="O1785" s="9"/>
      <c r="P1785" s="9"/>
      <c r="Q1785" s="9"/>
      <c r="R1785" s="9" t="str">
        <f aca="false">IF(AND(A1785&lt;&gt;"",ISNUMBER(Q1785),ISNUMBER(L1785)),ROUND(Q1785-IF(ISNUMBER(N1785),N1785,0)-IF(ISNUMBER(O1785),O1785,0)+IF(ISNUMBER(P1785),P1785,0),2),"")</f>
        <v/>
      </c>
      <c r="S1785" s="9" t="str">
        <f aca="false">IF(R1785="","",ROUND(L1785-R1785,2))</f>
        <v/>
      </c>
      <c r="T1785" s="8" t="str">
        <f aca="false">IF(A1785="","",IF(S1785="","BYPASS",IF(ABS(S1785)&lt;=Summary!$B$2,"PASS","FAIL")))</f>
        <v/>
      </c>
      <c r="U1785" s="8" t="str">
        <f aca="false">IF(T1785="BYPASS",IF(NOT(ISNUMBER(Q1785)),"PreV_ETB missing","End_tr_balance missing"),IF(T1785="FAIL",IF(AND(ISNUMBER(K1785),ISNUMBER(L1785),ABS(L1785-(K1785-IF(ISNUMBER(N1785),N1785,0)-IF(ISNUMBER(O1785),O1785,0)+IF(ISNUMBER(P1785),P1785,0)))&lt;=Summary!$B$2),"Passes using beginning_balance - PreV_ETB differs from beginning_balance",IF(AND(ISNUMBER(O1785),O1785&lt;0,ABS(L1785-(Q1785-IF(ISNUMBER(N1785),N1785,0)+IF(ISNUMBER(P1785),P1785,0)))&lt;=Summary!$B$2),"Negative realized loss not applied - check sign",IF(R1785&lt;0,"Principal paid exceeds prior balance",IF(AND(L1785&gt;Q1785,NOT(ISNUMBER(P1785))),"Balance increased but no Deferred_interest reported",IF(L1785&gt;R1785,"Reported balance higher than expected (missing increase/OC build)","Reported balance lower than expected (missing decrease)"))))),""))</f>
        <v/>
      </c>
    </row>
    <row r="1786" customFormat="false" ht="15" hidden="false" customHeight="false" outlineLevel="0" collapsed="false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9"/>
      <c r="L1786" s="9"/>
      <c r="M1786" s="9"/>
      <c r="N1786" s="9"/>
      <c r="O1786" s="9"/>
      <c r="P1786" s="9"/>
      <c r="Q1786" s="9"/>
      <c r="R1786" s="9" t="str">
        <f aca="false">IF(AND(A1786&lt;&gt;"",ISNUMBER(Q1786),ISNUMBER(L1786)),ROUND(Q1786-IF(ISNUMBER(N1786),N1786,0)-IF(ISNUMBER(O1786),O1786,0)+IF(ISNUMBER(P1786),P1786,0),2),"")</f>
        <v/>
      </c>
      <c r="S1786" s="9" t="str">
        <f aca="false">IF(R1786="","",ROUND(L1786-R1786,2))</f>
        <v/>
      </c>
      <c r="T1786" s="8" t="str">
        <f aca="false">IF(A1786="","",IF(S1786="","BYPASS",IF(ABS(S1786)&lt;=Summary!$B$2,"PASS","FAIL")))</f>
        <v/>
      </c>
      <c r="U1786" s="8" t="str">
        <f aca="false">IF(T1786="BYPASS",IF(NOT(ISNUMBER(Q1786)),"PreV_ETB missing","End_tr_balance missing"),IF(T1786="FAIL",IF(AND(ISNUMBER(K1786),ISNUMBER(L1786),ABS(L1786-(K1786-IF(ISNUMBER(N1786),N1786,0)-IF(ISNUMBER(O1786),O1786,0)+IF(ISNUMBER(P1786),P1786,0)))&lt;=Summary!$B$2),"Passes using beginning_balance - PreV_ETB differs from beginning_balance",IF(AND(ISNUMBER(O1786),O1786&lt;0,ABS(L1786-(Q1786-IF(ISNUMBER(N1786),N1786,0)+IF(ISNUMBER(P1786),P1786,0)))&lt;=Summary!$B$2),"Negative realized loss not applied - check sign",IF(R1786&lt;0,"Principal paid exceeds prior balance",IF(AND(L1786&gt;Q1786,NOT(ISNUMBER(P1786))),"Balance increased but no Deferred_interest reported",IF(L1786&gt;R1786,"Reported balance higher than expected (missing increase/OC build)","Reported balance lower than expected (missing decrease)"))))),""))</f>
        <v/>
      </c>
    </row>
    <row r="1787" customFormat="false" ht="15" hidden="false" customHeight="false" outlineLevel="0" collapsed="false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9"/>
      <c r="L1787" s="9"/>
      <c r="M1787" s="9"/>
      <c r="N1787" s="9"/>
      <c r="O1787" s="9"/>
      <c r="P1787" s="9"/>
      <c r="Q1787" s="9"/>
      <c r="R1787" s="9" t="str">
        <f aca="false">IF(AND(A1787&lt;&gt;"",ISNUMBER(Q1787),ISNUMBER(L1787)),ROUND(Q1787-IF(ISNUMBER(N1787),N1787,0)-IF(ISNUMBER(O1787),O1787,0)+IF(ISNUMBER(P1787),P1787,0),2),"")</f>
        <v/>
      </c>
      <c r="S1787" s="9" t="str">
        <f aca="false">IF(R1787="","",ROUND(L1787-R1787,2))</f>
        <v/>
      </c>
      <c r="T1787" s="8" t="str">
        <f aca="false">IF(A1787="","",IF(S1787="","BYPASS",IF(ABS(S1787)&lt;=Summary!$B$2,"PASS","FAIL")))</f>
        <v/>
      </c>
      <c r="U1787" s="8" t="str">
        <f aca="false">IF(T1787="BYPASS",IF(NOT(ISNUMBER(Q1787)),"PreV_ETB missing","End_tr_balance missing"),IF(T1787="FAIL",IF(AND(ISNUMBER(K1787),ISNUMBER(L1787),ABS(L1787-(K1787-IF(ISNUMBER(N1787),N1787,0)-IF(ISNUMBER(O1787),O1787,0)+IF(ISNUMBER(P1787),P1787,0)))&lt;=Summary!$B$2),"Passes using beginning_balance - PreV_ETB differs from beginning_balance",IF(AND(ISNUMBER(O1787),O1787&lt;0,ABS(L1787-(Q1787-IF(ISNUMBER(N1787),N1787,0)+IF(ISNUMBER(P1787),P1787,0)))&lt;=Summary!$B$2),"Negative realized loss not applied - check sign",IF(R1787&lt;0,"Principal paid exceeds prior balance",IF(AND(L1787&gt;Q1787,NOT(ISNUMBER(P1787))),"Balance increased but no Deferred_interest reported",IF(L1787&gt;R1787,"Reported balance higher than expected (missing increase/OC build)","Reported balance lower than expected (missing decrease)"))))),""))</f>
        <v/>
      </c>
    </row>
    <row r="1788" customFormat="false" ht="15" hidden="false" customHeight="false" outlineLevel="0" collapsed="false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9"/>
      <c r="L1788" s="9"/>
      <c r="M1788" s="9"/>
      <c r="N1788" s="9"/>
      <c r="O1788" s="9"/>
      <c r="P1788" s="9"/>
      <c r="Q1788" s="9"/>
      <c r="R1788" s="9" t="str">
        <f aca="false">IF(AND(A1788&lt;&gt;"",ISNUMBER(Q1788),ISNUMBER(L1788)),ROUND(Q1788-IF(ISNUMBER(N1788),N1788,0)-IF(ISNUMBER(O1788),O1788,0)+IF(ISNUMBER(P1788),P1788,0),2),"")</f>
        <v/>
      </c>
      <c r="S1788" s="9" t="str">
        <f aca="false">IF(R1788="","",ROUND(L1788-R1788,2))</f>
        <v/>
      </c>
      <c r="T1788" s="8" t="str">
        <f aca="false">IF(A1788="","",IF(S1788="","BYPASS",IF(ABS(S1788)&lt;=Summary!$B$2,"PASS","FAIL")))</f>
        <v/>
      </c>
      <c r="U1788" s="8" t="str">
        <f aca="false">IF(T1788="BYPASS",IF(NOT(ISNUMBER(Q1788)),"PreV_ETB missing","End_tr_balance missing"),IF(T1788="FAIL",IF(AND(ISNUMBER(K1788),ISNUMBER(L1788),ABS(L1788-(K1788-IF(ISNUMBER(N1788),N1788,0)-IF(ISNUMBER(O1788),O1788,0)+IF(ISNUMBER(P1788),P1788,0)))&lt;=Summary!$B$2),"Passes using beginning_balance - PreV_ETB differs from beginning_balance",IF(AND(ISNUMBER(O1788),O1788&lt;0,ABS(L1788-(Q1788-IF(ISNUMBER(N1788),N1788,0)+IF(ISNUMBER(P1788),P1788,0)))&lt;=Summary!$B$2),"Negative realized loss not applied - check sign",IF(R1788&lt;0,"Principal paid exceeds prior balance",IF(AND(L1788&gt;Q1788,NOT(ISNUMBER(P1788))),"Balance increased but no Deferred_interest reported",IF(L1788&gt;R1788,"Reported balance higher than expected (missing increase/OC build)","Reported balance lower than expected (missing decrease)"))))),""))</f>
        <v/>
      </c>
    </row>
    <row r="1789" customFormat="false" ht="15" hidden="false" customHeight="false" outlineLevel="0" collapsed="false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9"/>
      <c r="L1789" s="9"/>
      <c r="M1789" s="9"/>
      <c r="N1789" s="9"/>
      <c r="O1789" s="9"/>
      <c r="P1789" s="9"/>
      <c r="Q1789" s="9"/>
      <c r="R1789" s="9" t="str">
        <f aca="false">IF(AND(A1789&lt;&gt;"",ISNUMBER(Q1789),ISNUMBER(L1789)),ROUND(Q1789-IF(ISNUMBER(N1789),N1789,0)-IF(ISNUMBER(O1789),O1789,0)+IF(ISNUMBER(P1789),P1789,0),2),"")</f>
        <v/>
      </c>
      <c r="S1789" s="9" t="str">
        <f aca="false">IF(R1789="","",ROUND(L1789-R1789,2))</f>
        <v/>
      </c>
      <c r="T1789" s="8" t="str">
        <f aca="false">IF(A1789="","",IF(S1789="","BYPASS",IF(ABS(S1789)&lt;=Summary!$B$2,"PASS","FAIL")))</f>
        <v/>
      </c>
      <c r="U1789" s="8" t="str">
        <f aca="false">IF(T1789="BYPASS",IF(NOT(ISNUMBER(Q1789)),"PreV_ETB missing","End_tr_balance missing"),IF(T1789="FAIL",IF(AND(ISNUMBER(K1789),ISNUMBER(L1789),ABS(L1789-(K1789-IF(ISNUMBER(N1789),N1789,0)-IF(ISNUMBER(O1789),O1789,0)+IF(ISNUMBER(P1789),P1789,0)))&lt;=Summary!$B$2),"Passes using beginning_balance - PreV_ETB differs from beginning_balance",IF(AND(ISNUMBER(O1789),O1789&lt;0,ABS(L1789-(Q1789-IF(ISNUMBER(N1789),N1789,0)+IF(ISNUMBER(P1789),P1789,0)))&lt;=Summary!$B$2),"Negative realized loss not applied - check sign",IF(R1789&lt;0,"Principal paid exceeds prior balance",IF(AND(L1789&gt;Q1789,NOT(ISNUMBER(P1789))),"Balance increased but no Deferred_interest reported",IF(L1789&gt;R1789,"Reported balance higher than expected (missing increase/OC build)","Reported balance lower than expected (missing decrease)"))))),""))</f>
        <v/>
      </c>
    </row>
    <row r="1790" customFormat="false" ht="15" hidden="false" customHeight="false" outlineLevel="0" collapsed="false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9"/>
      <c r="L1790" s="9"/>
      <c r="M1790" s="9"/>
      <c r="N1790" s="9"/>
      <c r="O1790" s="9"/>
      <c r="P1790" s="9"/>
      <c r="Q1790" s="9"/>
      <c r="R1790" s="9" t="str">
        <f aca="false">IF(AND(A1790&lt;&gt;"",ISNUMBER(Q1790),ISNUMBER(L1790)),ROUND(Q1790-IF(ISNUMBER(N1790),N1790,0)-IF(ISNUMBER(O1790),O1790,0)+IF(ISNUMBER(P1790),P1790,0),2),"")</f>
        <v/>
      </c>
      <c r="S1790" s="9" t="str">
        <f aca="false">IF(R1790="","",ROUND(L1790-R1790,2))</f>
        <v/>
      </c>
      <c r="T1790" s="8" t="str">
        <f aca="false">IF(A1790="","",IF(S1790="","BYPASS",IF(ABS(S1790)&lt;=Summary!$B$2,"PASS","FAIL")))</f>
        <v/>
      </c>
      <c r="U1790" s="8" t="str">
        <f aca="false">IF(T1790="BYPASS",IF(NOT(ISNUMBER(Q1790)),"PreV_ETB missing","End_tr_balance missing"),IF(T1790="FAIL",IF(AND(ISNUMBER(K1790),ISNUMBER(L1790),ABS(L1790-(K1790-IF(ISNUMBER(N1790),N1790,0)-IF(ISNUMBER(O1790),O1790,0)+IF(ISNUMBER(P1790),P1790,0)))&lt;=Summary!$B$2),"Passes using beginning_balance - PreV_ETB differs from beginning_balance",IF(AND(ISNUMBER(O1790),O1790&lt;0,ABS(L1790-(Q1790-IF(ISNUMBER(N1790),N1790,0)+IF(ISNUMBER(P1790),P1790,0)))&lt;=Summary!$B$2),"Negative realized loss not applied - check sign",IF(R1790&lt;0,"Principal paid exceeds prior balance",IF(AND(L1790&gt;Q1790,NOT(ISNUMBER(P1790))),"Balance increased but no Deferred_interest reported",IF(L1790&gt;R1790,"Reported balance higher than expected (missing increase/OC build)","Reported balance lower than expected (missing decrease)"))))),""))</f>
        <v/>
      </c>
    </row>
    <row r="1791" customFormat="false" ht="15" hidden="false" customHeight="false" outlineLevel="0" collapsed="false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9"/>
      <c r="L1791" s="9"/>
      <c r="M1791" s="9"/>
      <c r="N1791" s="9"/>
      <c r="O1791" s="9"/>
      <c r="P1791" s="9"/>
      <c r="Q1791" s="9"/>
      <c r="R1791" s="9" t="str">
        <f aca="false">IF(AND(A1791&lt;&gt;"",ISNUMBER(Q1791),ISNUMBER(L1791)),ROUND(Q1791-IF(ISNUMBER(N1791),N1791,0)-IF(ISNUMBER(O1791),O1791,0)+IF(ISNUMBER(P1791),P1791,0),2),"")</f>
        <v/>
      </c>
      <c r="S1791" s="9" t="str">
        <f aca="false">IF(R1791="","",ROUND(L1791-R1791,2))</f>
        <v/>
      </c>
      <c r="T1791" s="8" t="str">
        <f aca="false">IF(A1791="","",IF(S1791="","BYPASS",IF(ABS(S1791)&lt;=Summary!$B$2,"PASS","FAIL")))</f>
        <v/>
      </c>
      <c r="U1791" s="8" t="str">
        <f aca="false">IF(T1791="BYPASS",IF(NOT(ISNUMBER(Q1791)),"PreV_ETB missing","End_tr_balance missing"),IF(T1791="FAIL",IF(AND(ISNUMBER(K1791),ISNUMBER(L1791),ABS(L1791-(K1791-IF(ISNUMBER(N1791),N1791,0)-IF(ISNUMBER(O1791),O1791,0)+IF(ISNUMBER(P1791),P1791,0)))&lt;=Summary!$B$2),"Passes using beginning_balance - PreV_ETB differs from beginning_balance",IF(AND(ISNUMBER(O1791),O1791&lt;0,ABS(L1791-(Q1791-IF(ISNUMBER(N1791),N1791,0)+IF(ISNUMBER(P1791),P1791,0)))&lt;=Summary!$B$2),"Negative realized loss not applied - check sign",IF(R1791&lt;0,"Principal paid exceeds prior balance",IF(AND(L1791&gt;Q1791,NOT(ISNUMBER(P1791))),"Balance increased but no Deferred_interest reported",IF(L1791&gt;R1791,"Reported balance higher than expected (missing increase/OC build)","Reported balance lower than expected (missing decrease)"))))),""))</f>
        <v/>
      </c>
    </row>
    <row r="1792" customFormat="false" ht="15" hidden="false" customHeight="false" outlineLevel="0" collapsed="false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9"/>
      <c r="L1792" s="9"/>
      <c r="M1792" s="9"/>
      <c r="N1792" s="9"/>
      <c r="O1792" s="9"/>
      <c r="P1792" s="9"/>
      <c r="Q1792" s="9"/>
      <c r="R1792" s="9" t="str">
        <f aca="false">IF(AND(A1792&lt;&gt;"",ISNUMBER(Q1792),ISNUMBER(L1792)),ROUND(Q1792-IF(ISNUMBER(N1792),N1792,0)-IF(ISNUMBER(O1792),O1792,0)+IF(ISNUMBER(P1792),P1792,0),2),"")</f>
        <v/>
      </c>
      <c r="S1792" s="9" t="str">
        <f aca="false">IF(R1792="","",ROUND(L1792-R1792,2))</f>
        <v/>
      </c>
      <c r="T1792" s="8" t="str">
        <f aca="false">IF(A1792="","",IF(S1792="","BYPASS",IF(ABS(S1792)&lt;=Summary!$B$2,"PASS","FAIL")))</f>
        <v/>
      </c>
      <c r="U1792" s="8" t="str">
        <f aca="false">IF(T1792="BYPASS",IF(NOT(ISNUMBER(Q1792)),"PreV_ETB missing","End_tr_balance missing"),IF(T1792="FAIL",IF(AND(ISNUMBER(K1792),ISNUMBER(L1792),ABS(L1792-(K1792-IF(ISNUMBER(N1792),N1792,0)-IF(ISNUMBER(O1792),O1792,0)+IF(ISNUMBER(P1792),P1792,0)))&lt;=Summary!$B$2),"Passes using beginning_balance - PreV_ETB differs from beginning_balance",IF(AND(ISNUMBER(O1792),O1792&lt;0,ABS(L1792-(Q1792-IF(ISNUMBER(N1792),N1792,0)+IF(ISNUMBER(P1792),P1792,0)))&lt;=Summary!$B$2),"Negative realized loss not applied - check sign",IF(R1792&lt;0,"Principal paid exceeds prior balance",IF(AND(L1792&gt;Q1792,NOT(ISNUMBER(P1792))),"Balance increased but no Deferred_interest reported",IF(L1792&gt;R1792,"Reported balance higher than expected (missing increase/OC build)","Reported balance lower than expected (missing decrease)"))))),""))</f>
        <v/>
      </c>
    </row>
    <row r="1793" customFormat="false" ht="15" hidden="false" customHeight="false" outlineLevel="0" collapsed="false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9"/>
      <c r="L1793" s="9"/>
      <c r="M1793" s="9"/>
      <c r="N1793" s="9"/>
      <c r="O1793" s="9"/>
      <c r="P1793" s="9"/>
      <c r="Q1793" s="9"/>
      <c r="R1793" s="9" t="str">
        <f aca="false">IF(AND(A1793&lt;&gt;"",ISNUMBER(Q1793),ISNUMBER(L1793)),ROUND(Q1793-IF(ISNUMBER(N1793),N1793,0)-IF(ISNUMBER(O1793),O1793,0)+IF(ISNUMBER(P1793),P1793,0),2),"")</f>
        <v/>
      </c>
      <c r="S1793" s="9" t="str">
        <f aca="false">IF(R1793="","",ROUND(L1793-R1793,2))</f>
        <v/>
      </c>
      <c r="T1793" s="8" t="str">
        <f aca="false">IF(A1793="","",IF(S1793="","BYPASS",IF(ABS(S1793)&lt;=Summary!$B$2,"PASS","FAIL")))</f>
        <v/>
      </c>
      <c r="U1793" s="8" t="str">
        <f aca="false">IF(T1793="BYPASS",IF(NOT(ISNUMBER(Q1793)),"PreV_ETB missing","End_tr_balance missing"),IF(T1793="FAIL",IF(AND(ISNUMBER(K1793),ISNUMBER(L1793),ABS(L1793-(K1793-IF(ISNUMBER(N1793),N1793,0)-IF(ISNUMBER(O1793),O1793,0)+IF(ISNUMBER(P1793),P1793,0)))&lt;=Summary!$B$2),"Passes using beginning_balance - PreV_ETB differs from beginning_balance",IF(AND(ISNUMBER(O1793),O1793&lt;0,ABS(L1793-(Q1793-IF(ISNUMBER(N1793),N1793,0)+IF(ISNUMBER(P1793),P1793,0)))&lt;=Summary!$B$2),"Negative realized loss not applied - check sign",IF(R1793&lt;0,"Principal paid exceeds prior balance",IF(AND(L1793&gt;Q1793,NOT(ISNUMBER(P1793))),"Balance increased but no Deferred_interest reported",IF(L1793&gt;R1793,"Reported balance higher than expected (missing increase/OC build)","Reported balance lower than expected (missing decrease)"))))),""))</f>
        <v/>
      </c>
    </row>
    <row r="1794" customFormat="false" ht="15" hidden="false" customHeight="false" outlineLevel="0" collapsed="false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9"/>
      <c r="L1794" s="9"/>
      <c r="M1794" s="9"/>
      <c r="N1794" s="9"/>
      <c r="O1794" s="9"/>
      <c r="P1794" s="9"/>
      <c r="Q1794" s="9"/>
      <c r="R1794" s="9" t="str">
        <f aca="false">IF(AND(A1794&lt;&gt;"",ISNUMBER(Q1794),ISNUMBER(L1794)),ROUND(Q1794-IF(ISNUMBER(N1794),N1794,0)-IF(ISNUMBER(O1794),O1794,0)+IF(ISNUMBER(P1794),P1794,0),2),"")</f>
        <v/>
      </c>
      <c r="S1794" s="9" t="str">
        <f aca="false">IF(R1794="","",ROUND(L1794-R1794,2))</f>
        <v/>
      </c>
      <c r="T1794" s="8" t="str">
        <f aca="false">IF(A1794="","",IF(S1794="","BYPASS",IF(ABS(S1794)&lt;=Summary!$B$2,"PASS","FAIL")))</f>
        <v/>
      </c>
      <c r="U1794" s="8" t="str">
        <f aca="false">IF(T1794="BYPASS",IF(NOT(ISNUMBER(Q1794)),"PreV_ETB missing","End_tr_balance missing"),IF(T1794="FAIL",IF(AND(ISNUMBER(K1794),ISNUMBER(L1794),ABS(L1794-(K1794-IF(ISNUMBER(N1794),N1794,0)-IF(ISNUMBER(O1794),O1794,0)+IF(ISNUMBER(P1794),P1794,0)))&lt;=Summary!$B$2),"Passes using beginning_balance - PreV_ETB differs from beginning_balance",IF(AND(ISNUMBER(O1794),O1794&lt;0,ABS(L1794-(Q1794-IF(ISNUMBER(N1794),N1794,0)+IF(ISNUMBER(P1794),P1794,0)))&lt;=Summary!$B$2),"Negative realized loss not applied - check sign",IF(R1794&lt;0,"Principal paid exceeds prior balance",IF(AND(L1794&gt;Q1794,NOT(ISNUMBER(P1794))),"Balance increased but no Deferred_interest reported",IF(L1794&gt;R1794,"Reported balance higher than expected (missing increase/OC build)","Reported balance lower than expected (missing decrease)"))))),""))</f>
        <v/>
      </c>
    </row>
    <row r="1795" customFormat="false" ht="15" hidden="false" customHeight="false" outlineLevel="0" collapsed="false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9"/>
      <c r="L1795" s="9"/>
      <c r="M1795" s="9"/>
      <c r="N1795" s="9"/>
      <c r="O1795" s="9"/>
      <c r="P1795" s="9"/>
      <c r="Q1795" s="9"/>
      <c r="R1795" s="9" t="str">
        <f aca="false">IF(AND(A1795&lt;&gt;"",ISNUMBER(Q1795),ISNUMBER(L1795)),ROUND(Q1795-IF(ISNUMBER(N1795),N1795,0)-IF(ISNUMBER(O1795),O1795,0)+IF(ISNUMBER(P1795),P1795,0),2),"")</f>
        <v/>
      </c>
      <c r="S1795" s="9" t="str">
        <f aca="false">IF(R1795="","",ROUND(L1795-R1795,2))</f>
        <v/>
      </c>
      <c r="T1795" s="8" t="str">
        <f aca="false">IF(A1795="","",IF(S1795="","BYPASS",IF(ABS(S1795)&lt;=Summary!$B$2,"PASS","FAIL")))</f>
        <v/>
      </c>
      <c r="U1795" s="8" t="str">
        <f aca="false">IF(T1795="BYPASS",IF(NOT(ISNUMBER(Q1795)),"PreV_ETB missing","End_tr_balance missing"),IF(T1795="FAIL",IF(AND(ISNUMBER(K1795),ISNUMBER(L1795),ABS(L1795-(K1795-IF(ISNUMBER(N1795),N1795,0)-IF(ISNUMBER(O1795),O1795,0)+IF(ISNUMBER(P1795),P1795,0)))&lt;=Summary!$B$2),"Passes using beginning_balance - PreV_ETB differs from beginning_balance",IF(AND(ISNUMBER(O1795),O1795&lt;0,ABS(L1795-(Q1795-IF(ISNUMBER(N1795),N1795,0)+IF(ISNUMBER(P1795),P1795,0)))&lt;=Summary!$B$2),"Negative realized loss not applied - check sign",IF(R1795&lt;0,"Principal paid exceeds prior balance",IF(AND(L1795&gt;Q1795,NOT(ISNUMBER(P1795))),"Balance increased but no Deferred_interest reported",IF(L1795&gt;R1795,"Reported balance higher than expected (missing increase/OC build)","Reported balance lower than expected (missing decrease)"))))),""))</f>
        <v/>
      </c>
    </row>
    <row r="1796" customFormat="false" ht="15" hidden="false" customHeight="false" outlineLevel="0" collapsed="false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9"/>
      <c r="L1796" s="9"/>
      <c r="M1796" s="9"/>
      <c r="N1796" s="9"/>
      <c r="O1796" s="9"/>
      <c r="P1796" s="9"/>
      <c r="Q1796" s="9"/>
      <c r="R1796" s="9" t="str">
        <f aca="false">IF(AND(A1796&lt;&gt;"",ISNUMBER(Q1796),ISNUMBER(L1796)),ROUND(Q1796-IF(ISNUMBER(N1796),N1796,0)-IF(ISNUMBER(O1796),O1796,0)+IF(ISNUMBER(P1796),P1796,0),2),"")</f>
        <v/>
      </c>
      <c r="S1796" s="9" t="str">
        <f aca="false">IF(R1796="","",ROUND(L1796-R1796,2))</f>
        <v/>
      </c>
      <c r="T1796" s="8" t="str">
        <f aca="false">IF(A1796="","",IF(S1796="","BYPASS",IF(ABS(S1796)&lt;=Summary!$B$2,"PASS","FAIL")))</f>
        <v/>
      </c>
      <c r="U1796" s="8" t="str">
        <f aca="false">IF(T1796="BYPASS",IF(NOT(ISNUMBER(Q1796)),"PreV_ETB missing","End_tr_balance missing"),IF(T1796="FAIL",IF(AND(ISNUMBER(K1796),ISNUMBER(L1796),ABS(L1796-(K1796-IF(ISNUMBER(N1796),N1796,0)-IF(ISNUMBER(O1796),O1796,0)+IF(ISNUMBER(P1796),P1796,0)))&lt;=Summary!$B$2),"Passes using beginning_balance - PreV_ETB differs from beginning_balance",IF(AND(ISNUMBER(O1796),O1796&lt;0,ABS(L1796-(Q1796-IF(ISNUMBER(N1796),N1796,0)+IF(ISNUMBER(P1796),P1796,0)))&lt;=Summary!$B$2),"Negative realized loss not applied - check sign",IF(R1796&lt;0,"Principal paid exceeds prior balance",IF(AND(L1796&gt;Q1796,NOT(ISNUMBER(P1796))),"Balance increased but no Deferred_interest reported",IF(L1796&gt;R1796,"Reported balance higher than expected (missing increase/OC build)","Reported balance lower than expected (missing decrease)"))))),""))</f>
        <v/>
      </c>
    </row>
    <row r="1797" customFormat="false" ht="15" hidden="false" customHeight="false" outlineLevel="0" collapsed="false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9"/>
      <c r="L1797" s="9"/>
      <c r="M1797" s="9"/>
      <c r="N1797" s="9"/>
      <c r="O1797" s="9"/>
      <c r="P1797" s="9"/>
      <c r="Q1797" s="9"/>
      <c r="R1797" s="9" t="str">
        <f aca="false">IF(AND(A1797&lt;&gt;"",ISNUMBER(Q1797),ISNUMBER(L1797)),ROUND(Q1797-IF(ISNUMBER(N1797),N1797,0)-IF(ISNUMBER(O1797),O1797,0)+IF(ISNUMBER(P1797),P1797,0),2),"")</f>
        <v/>
      </c>
      <c r="S1797" s="9" t="str">
        <f aca="false">IF(R1797="","",ROUND(L1797-R1797,2))</f>
        <v/>
      </c>
      <c r="T1797" s="8" t="str">
        <f aca="false">IF(A1797="","",IF(S1797="","BYPASS",IF(ABS(S1797)&lt;=Summary!$B$2,"PASS","FAIL")))</f>
        <v/>
      </c>
      <c r="U1797" s="8" t="str">
        <f aca="false">IF(T1797="BYPASS",IF(NOT(ISNUMBER(Q1797)),"PreV_ETB missing","End_tr_balance missing"),IF(T1797="FAIL",IF(AND(ISNUMBER(K1797),ISNUMBER(L1797),ABS(L1797-(K1797-IF(ISNUMBER(N1797),N1797,0)-IF(ISNUMBER(O1797),O1797,0)+IF(ISNUMBER(P1797),P1797,0)))&lt;=Summary!$B$2),"Passes using beginning_balance - PreV_ETB differs from beginning_balance",IF(AND(ISNUMBER(O1797),O1797&lt;0,ABS(L1797-(Q1797-IF(ISNUMBER(N1797),N1797,0)+IF(ISNUMBER(P1797),P1797,0)))&lt;=Summary!$B$2),"Negative realized loss not applied - check sign",IF(R1797&lt;0,"Principal paid exceeds prior balance",IF(AND(L1797&gt;Q1797,NOT(ISNUMBER(P1797))),"Balance increased but no Deferred_interest reported",IF(L1797&gt;R1797,"Reported balance higher than expected (missing increase/OC build)","Reported balance lower than expected (missing decrease)"))))),""))</f>
        <v/>
      </c>
    </row>
    <row r="1798" customFormat="false" ht="15" hidden="false" customHeight="false" outlineLevel="0" collapsed="false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9"/>
      <c r="L1798" s="9"/>
      <c r="M1798" s="9"/>
      <c r="N1798" s="9"/>
      <c r="O1798" s="9"/>
      <c r="P1798" s="9"/>
      <c r="Q1798" s="9"/>
      <c r="R1798" s="9" t="str">
        <f aca="false">IF(AND(A1798&lt;&gt;"",ISNUMBER(Q1798),ISNUMBER(L1798)),ROUND(Q1798-IF(ISNUMBER(N1798),N1798,0)-IF(ISNUMBER(O1798),O1798,0)+IF(ISNUMBER(P1798),P1798,0),2),"")</f>
        <v/>
      </c>
      <c r="S1798" s="9" t="str">
        <f aca="false">IF(R1798="","",ROUND(L1798-R1798,2))</f>
        <v/>
      </c>
      <c r="T1798" s="8" t="str">
        <f aca="false">IF(A1798="","",IF(S1798="","BYPASS",IF(ABS(S1798)&lt;=Summary!$B$2,"PASS","FAIL")))</f>
        <v/>
      </c>
      <c r="U1798" s="8" t="str">
        <f aca="false">IF(T1798="BYPASS",IF(NOT(ISNUMBER(Q1798)),"PreV_ETB missing","End_tr_balance missing"),IF(T1798="FAIL",IF(AND(ISNUMBER(K1798),ISNUMBER(L1798),ABS(L1798-(K1798-IF(ISNUMBER(N1798),N1798,0)-IF(ISNUMBER(O1798),O1798,0)+IF(ISNUMBER(P1798),P1798,0)))&lt;=Summary!$B$2),"Passes using beginning_balance - PreV_ETB differs from beginning_balance",IF(AND(ISNUMBER(O1798),O1798&lt;0,ABS(L1798-(Q1798-IF(ISNUMBER(N1798),N1798,0)+IF(ISNUMBER(P1798),P1798,0)))&lt;=Summary!$B$2),"Negative realized loss not applied - check sign",IF(R1798&lt;0,"Principal paid exceeds prior balance",IF(AND(L1798&gt;Q1798,NOT(ISNUMBER(P1798))),"Balance increased but no Deferred_interest reported",IF(L1798&gt;R1798,"Reported balance higher than expected (missing increase/OC build)","Reported balance lower than expected (missing decrease)"))))),""))</f>
        <v/>
      </c>
    </row>
    <row r="1799" customFormat="false" ht="15" hidden="false" customHeight="false" outlineLevel="0" collapsed="false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9"/>
      <c r="L1799" s="9"/>
      <c r="M1799" s="9"/>
      <c r="N1799" s="9"/>
      <c r="O1799" s="9"/>
      <c r="P1799" s="9"/>
      <c r="Q1799" s="9"/>
      <c r="R1799" s="9" t="str">
        <f aca="false">IF(AND(A1799&lt;&gt;"",ISNUMBER(Q1799),ISNUMBER(L1799)),ROUND(Q1799-IF(ISNUMBER(N1799),N1799,0)-IF(ISNUMBER(O1799),O1799,0)+IF(ISNUMBER(P1799),P1799,0),2),"")</f>
        <v/>
      </c>
      <c r="S1799" s="9" t="str">
        <f aca="false">IF(R1799="","",ROUND(L1799-R1799,2))</f>
        <v/>
      </c>
      <c r="T1799" s="8" t="str">
        <f aca="false">IF(A1799="","",IF(S1799="","BYPASS",IF(ABS(S1799)&lt;=Summary!$B$2,"PASS","FAIL")))</f>
        <v/>
      </c>
      <c r="U1799" s="8" t="str">
        <f aca="false">IF(T1799="BYPASS",IF(NOT(ISNUMBER(Q1799)),"PreV_ETB missing","End_tr_balance missing"),IF(T1799="FAIL",IF(AND(ISNUMBER(K1799),ISNUMBER(L1799),ABS(L1799-(K1799-IF(ISNUMBER(N1799),N1799,0)-IF(ISNUMBER(O1799),O1799,0)+IF(ISNUMBER(P1799),P1799,0)))&lt;=Summary!$B$2),"Passes using beginning_balance - PreV_ETB differs from beginning_balance",IF(AND(ISNUMBER(O1799),O1799&lt;0,ABS(L1799-(Q1799-IF(ISNUMBER(N1799),N1799,0)+IF(ISNUMBER(P1799),P1799,0)))&lt;=Summary!$B$2),"Negative realized loss not applied - check sign",IF(R1799&lt;0,"Principal paid exceeds prior balance",IF(AND(L1799&gt;Q1799,NOT(ISNUMBER(P1799))),"Balance increased but no Deferred_interest reported",IF(L1799&gt;R1799,"Reported balance higher than expected (missing increase/OC build)","Reported balance lower than expected (missing decrease)"))))),""))</f>
        <v/>
      </c>
    </row>
    <row r="1800" customFormat="false" ht="15" hidden="false" customHeight="false" outlineLevel="0" collapsed="false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9"/>
      <c r="L1800" s="9"/>
      <c r="M1800" s="9"/>
      <c r="N1800" s="9"/>
      <c r="O1800" s="9"/>
      <c r="P1800" s="9"/>
      <c r="Q1800" s="9"/>
      <c r="R1800" s="9" t="str">
        <f aca="false">IF(AND(A1800&lt;&gt;"",ISNUMBER(Q1800),ISNUMBER(L1800)),ROUND(Q1800-IF(ISNUMBER(N1800),N1800,0)-IF(ISNUMBER(O1800),O1800,0)+IF(ISNUMBER(P1800),P1800,0),2),"")</f>
        <v/>
      </c>
      <c r="S1800" s="9" t="str">
        <f aca="false">IF(R1800="","",ROUND(L1800-R1800,2))</f>
        <v/>
      </c>
      <c r="T1800" s="8" t="str">
        <f aca="false">IF(A1800="","",IF(S1800="","BYPASS",IF(ABS(S1800)&lt;=Summary!$B$2,"PASS","FAIL")))</f>
        <v/>
      </c>
      <c r="U1800" s="8" t="str">
        <f aca="false">IF(T1800="BYPASS",IF(NOT(ISNUMBER(Q1800)),"PreV_ETB missing","End_tr_balance missing"),IF(T1800="FAIL",IF(AND(ISNUMBER(K1800),ISNUMBER(L1800),ABS(L1800-(K1800-IF(ISNUMBER(N1800),N1800,0)-IF(ISNUMBER(O1800),O1800,0)+IF(ISNUMBER(P1800),P1800,0)))&lt;=Summary!$B$2),"Passes using beginning_balance - PreV_ETB differs from beginning_balance",IF(AND(ISNUMBER(O1800),O1800&lt;0,ABS(L1800-(Q1800-IF(ISNUMBER(N1800),N1800,0)+IF(ISNUMBER(P1800),P1800,0)))&lt;=Summary!$B$2),"Negative realized loss not applied - check sign",IF(R1800&lt;0,"Principal paid exceeds prior balance",IF(AND(L1800&gt;Q1800,NOT(ISNUMBER(P1800))),"Balance increased but no Deferred_interest reported",IF(L1800&gt;R1800,"Reported balance higher than expected (missing increase/OC build)","Reported balance lower than expected (missing decrease)"))))),""))</f>
        <v/>
      </c>
    </row>
    <row r="1801" customFormat="false" ht="15" hidden="false" customHeight="false" outlineLevel="0" collapsed="false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9"/>
      <c r="L1801" s="9"/>
      <c r="M1801" s="9"/>
      <c r="N1801" s="9"/>
      <c r="O1801" s="9"/>
      <c r="P1801" s="9"/>
      <c r="Q1801" s="9"/>
      <c r="R1801" s="9" t="str">
        <f aca="false">IF(AND(A1801&lt;&gt;"",ISNUMBER(Q1801),ISNUMBER(L1801)),ROUND(Q1801-IF(ISNUMBER(N1801),N1801,0)-IF(ISNUMBER(O1801),O1801,0)+IF(ISNUMBER(P1801),P1801,0),2),"")</f>
        <v/>
      </c>
      <c r="S1801" s="9" t="str">
        <f aca="false">IF(R1801="","",ROUND(L1801-R1801,2))</f>
        <v/>
      </c>
      <c r="T1801" s="8" t="str">
        <f aca="false">IF(A1801="","",IF(S1801="","BYPASS",IF(ABS(S1801)&lt;=Summary!$B$2,"PASS","FAIL")))</f>
        <v/>
      </c>
      <c r="U1801" s="8" t="str">
        <f aca="false">IF(T1801="BYPASS",IF(NOT(ISNUMBER(Q1801)),"PreV_ETB missing","End_tr_balance missing"),IF(T1801="FAIL",IF(AND(ISNUMBER(K1801),ISNUMBER(L1801),ABS(L1801-(K1801-IF(ISNUMBER(N1801),N1801,0)-IF(ISNUMBER(O1801),O1801,0)+IF(ISNUMBER(P1801),P1801,0)))&lt;=Summary!$B$2),"Passes using beginning_balance - PreV_ETB differs from beginning_balance",IF(AND(ISNUMBER(O1801),O1801&lt;0,ABS(L1801-(Q1801-IF(ISNUMBER(N1801),N1801,0)+IF(ISNUMBER(P1801),P1801,0)))&lt;=Summary!$B$2),"Negative realized loss not applied - check sign",IF(R1801&lt;0,"Principal paid exceeds prior balance",IF(AND(L1801&gt;Q1801,NOT(ISNUMBER(P1801))),"Balance increased but no Deferred_interest reported",IF(L1801&gt;R1801,"Reported balance higher than expected (missing increase/OC build)","Reported balance lower than expected (missing decrease)"))))),""))</f>
        <v/>
      </c>
    </row>
    <row r="1802" customFormat="false" ht="15" hidden="false" customHeight="false" outlineLevel="0" collapsed="false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9"/>
      <c r="L1802" s="9"/>
      <c r="M1802" s="9"/>
      <c r="N1802" s="9"/>
      <c r="O1802" s="9"/>
      <c r="P1802" s="9"/>
      <c r="Q1802" s="9"/>
      <c r="R1802" s="9" t="str">
        <f aca="false">IF(AND(A1802&lt;&gt;"",ISNUMBER(Q1802),ISNUMBER(L1802)),ROUND(Q1802-IF(ISNUMBER(N1802),N1802,0)-IF(ISNUMBER(O1802),O1802,0)+IF(ISNUMBER(P1802),P1802,0),2),"")</f>
        <v/>
      </c>
      <c r="S1802" s="9" t="str">
        <f aca="false">IF(R1802="","",ROUND(L1802-R1802,2))</f>
        <v/>
      </c>
      <c r="T1802" s="8" t="str">
        <f aca="false">IF(A1802="","",IF(S1802="","BYPASS",IF(ABS(S1802)&lt;=Summary!$B$2,"PASS","FAIL")))</f>
        <v/>
      </c>
      <c r="U1802" s="8" t="str">
        <f aca="false">IF(T1802="BYPASS",IF(NOT(ISNUMBER(Q1802)),"PreV_ETB missing","End_tr_balance missing"),IF(T1802="FAIL",IF(AND(ISNUMBER(K1802),ISNUMBER(L1802),ABS(L1802-(K1802-IF(ISNUMBER(N1802),N1802,0)-IF(ISNUMBER(O1802),O1802,0)+IF(ISNUMBER(P1802),P1802,0)))&lt;=Summary!$B$2),"Passes using beginning_balance - PreV_ETB differs from beginning_balance",IF(AND(ISNUMBER(O1802),O1802&lt;0,ABS(L1802-(Q1802-IF(ISNUMBER(N1802),N1802,0)+IF(ISNUMBER(P1802),P1802,0)))&lt;=Summary!$B$2),"Negative realized loss not applied - check sign",IF(R1802&lt;0,"Principal paid exceeds prior balance",IF(AND(L1802&gt;Q1802,NOT(ISNUMBER(P1802))),"Balance increased but no Deferred_interest reported",IF(L1802&gt;R1802,"Reported balance higher than expected (missing increase/OC build)","Reported balance lower than expected (missing decrease)"))))),""))</f>
        <v/>
      </c>
    </row>
    <row r="1803" customFormat="false" ht="15" hidden="false" customHeight="false" outlineLevel="0" collapsed="false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9"/>
      <c r="L1803" s="9"/>
      <c r="M1803" s="9"/>
      <c r="N1803" s="9"/>
      <c r="O1803" s="9"/>
      <c r="P1803" s="9"/>
      <c r="Q1803" s="9"/>
      <c r="R1803" s="9" t="str">
        <f aca="false">IF(AND(A1803&lt;&gt;"",ISNUMBER(Q1803),ISNUMBER(L1803)),ROUND(Q1803-IF(ISNUMBER(N1803),N1803,0)-IF(ISNUMBER(O1803),O1803,0)+IF(ISNUMBER(P1803),P1803,0),2),"")</f>
        <v/>
      </c>
      <c r="S1803" s="9" t="str">
        <f aca="false">IF(R1803="","",ROUND(L1803-R1803,2))</f>
        <v/>
      </c>
      <c r="T1803" s="8" t="str">
        <f aca="false">IF(A1803="","",IF(S1803="","BYPASS",IF(ABS(S1803)&lt;=Summary!$B$2,"PASS","FAIL")))</f>
        <v/>
      </c>
      <c r="U1803" s="8" t="str">
        <f aca="false">IF(T1803="BYPASS",IF(NOT(ISNUMBER(Q1803)),"PreV_ETB missing","End_tr_balance missing"),IF(T1803="FAIL",IF(AND(ISNUMBER(K1803),ISNUMBER(L1803),ABS(L1803-(K1803-IF(ISNUMBER(N1803),N1803,0)-IF(ISNUMBER(O1803),O1803,0)+IF(ISNUMBER(P1803),P1803,0)))&lt;=Summary!$B$2),"Passes using beginning_balance - PreV_ETB differs from beginning_balance",IF(AND(ISNUMBER(O1803),O1803&lt;0,ABS(L1803-(Q1803-IF(ISNUMBER(N1803),N1803,0)+IF(ISNUMBER(P1803),P1803,0)))&lt;=Summary!$B$2),"Negative realized loss not applied - check sign",IF(R1803&lt;0,"Principal paid exceeds prior balance",IF(AND(L1803&gt;Q1803,NOT(ISNUMBER(P1803))),"Balance increased but no Deferred_interest reported",IF(L1803&gt;R1803,"Reported balance higher than expected (missing increase/OC build)","Reported balance lower than expected (missing decrease)"))))),""))</f>
        <v/>
      </c>
    </row>
    <row r="1804" customFormat="false" ht="15" hidden="false" customHeight="false" outlineLevel="0" collapsed="false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9"/>
      <c r="L1804" s="9"/>
      <c r="M1804" s="9"/>
      <c r="N1804" s="9"/>
      <c r="O1804" s="9"/>
      <c r="P1804" s="9"/>
      <c r="Q1804" s="9"/>
      <c r="R1804" s="9" t="str">
        <f aca="false">IF(AND(A1804&lt;&gt;"",ISNUMBER(Q1804),ISNUMBER(L1804)),ROUND(Q1804-IF(ISNUMBER(N1804),N1804,0)-IF(ISNUMBER(O1804),O1804,0)+IF(ISNUMBER(P1804),P1804,0),2),"")</f>
        <v/>
      </c>
      <c r="S1804" s="9" t="str">
        <f aca="false">IF(R1804="","",ROUND(L1804-R1804,2))</f>
        <v/>
      </c>
      <c r="T1804" s="8" t="str">
        <f aca="false">IF(A1804="","",IF(S1804="","BYPASS",IF(ABS(S1804)&lt;=Summary!$B$2,"PASS","FAIL")))</f>
        <v/>
      </c>
      <c r="U1804" s="8" t="str">
        <f aca="false">IF(T1804="BYPASS",IF(NOT(ISNUMBER(Q1804)),"PreV_ETB missing","End_tr_balance missing"),IF(T1804="FAIL",IF(AND(ISNUMBER(K1804),ISNUMBER(L1804),ABS(L1804-(K1804-IF(ISNUMBER(N1804),N1804,0)-IF(ISNUMBER(O1804),O1804,0)+IF(ISNUMBER(P1804),P1804,0)))&lt;=Summary!$B$2),"Passes using beginning_balance - PreV_ETB differs from beginning_balance",IF(AND(ISNUMBER(O1804),O1804&lt;0,ABS(L1804-(Q1804-IF(ISNUMBER(N1804),N1804,0)+IF(ISNUMBER(P1804),P1804,0)))&lt;=Summary!$B$2),"Negative realized loss not applied - check sign",IF(R1804&lt;0,"Principal paid exceeds prior balance",IF(AND(L1804&gt;Q1804,NOT(ISNUMBER(P1804))),"Balance increased but no Deferred_interest reported",IF(L1804&gt;R1804,"Reported balance higher than expected (missing increase/OC build)","Reported balance lower than expected (missing decrease)"))))),""))</f>
        <v/>
      </c>
    </row>
    <row r="1805" customFormat="false" ht="15" hidden="false" customHeight="false" outlineLevel="0" collapsed="false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9"/>
      <c r="L1805" s="9"/>
      <c r="M1805" s="9"/>
      <c r="N1805" s="9"/>
      <c r="O1805" s="9"/>
      <c r="P1805" s="9"/>
      <c r="Q1805" s="9"/>
      <c r="R1805" s="9" t="str">
        <f aca="false">IF(AND(A1805&lt;&gt;"",ISNUMBER(Q1805),ISNUMBER(L1805)),ROUND(Q1805-IF(ISNUMBER(N1805),N1805,0)-IF(ISNUMBER(O1805),O1805,0)+IF(ISNUMBER(P1805),P1805,0),2),"")</f>
        <v/>
      </c>
      <c r="S1805" s="9" t="str">
        <f aca="false">IF(R1805="","",ROUND(L1805-R1805,2))</f>
        <v/>
      </c>
      <c r="T1805" s="8" t="str">
        <f aca="false">IF(A1805="","",IF(S1805="","BYPASS",IF(ABS(S1805)&lt;=Summary!$B$2,"PASS","FAIL")))</f>
        <v/>
      </c>
      <c r="U1805" s="8" t="str">
        <f aca="false">IF(T1805="BYPASS",IF(NOT(ISNUMBER(Q1805)),"PreV_ETB missing","End_tr_balance missing"),IF(T1805="FAIL",IF(AND(ISNUMBER(K1805),ISNUMBER(L1805),ABS(L1805-(K1805-IF(ISNUMBER(N1805),N1805,0)-IF(ISNUMBER(O1805),O1805,0)+IF(ISNUMBER(P1805),P1805,0)))&lt;=Summary!$B$2),"Passes using beginning_balance - PreV_ETB differs from beginning_balance",IF(AND(ISNUMBER(O1805),O1805&lt;0,ABS(L1805-(Q1805-IF(ISNUMBER(N1805),N1805,0)+IF(ISNUMBER(P1805),P1805,0)))&lt;=Summary!$B$2),"Negative realized loss not applied - check sign",IF(R1805&lt;0,"Principal paid exceeds prior balance",IF(AND(L1805&gt;Q1805,NOT(ISNUMBER(P1805))),"Balance increased but no Deferred_interest reported",IF(L1805&gt;R1805,"Reported balance higher than expected (missing increase/OC build)","Reported balance lower than expected (missing decrease)"))))),""))</f>
        <v/>
      </c>
    </row>
    <row r="1806" customFormat="false" ht="15" hidden="false" customHeight="false" outlineLevel="0" collapsed="false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9"/>
      <c r="L1806" s="9"/>
      <c r="M1806" s="9"/>
      <c r="N1806" s="9"/>
      <c r="O1806" s="9"/>
      <c r="P1806" s="9"/>
      <c r="Q1806" s="9"/>
      <c r="R1806" s="9" t="str">
        <f aca="false">IF(AND(A1806&lt;&gt;"",ISNUMBER(Q1806),ISNUMBER(L1806)),ROUND(Q1806-IF(ISNUMBER(N1806),N1806,0)-IF(ISNUMBER(O1806),O1806,0)+IF(ISNUMBER(P1806),P1806,0),2),"")</f>
        <v/>
      </c>
      <c r="S1806" s="9" t="str">
        <f aca="false">IF(R1806="","",ROUND(L1806-R1806,2))</f>
        <v/>
      </c>
      <c r="T1806" s="8" t="str">
        <f aca="false">IF(A1806="","",IF(S1806="","BYPASS",IF(ABS(S1806)&lt;=Summary!$B$2,"PASS","FAIL")))</f>
        <v/>
      </c>
      <c r="U1806" s="8" t="str">
        <f aca="false">IF(T1806="BYPASS",IF(NOT(ISNUMBER(Q1806)),"PreV_ETB missing","End_tr_balance missing"),IF(T1806="FAIL",IF(AND(ISNUMBER(K1806),ISNUMBER(L1806),ABS(L1806-(K1806-IF(ISNUMBER(N1806),N1806,0)-IF(ISNUMBER(O1806),O1806,0)+IF(ISNUMBER(P1806),P1806,0)))&lt;=Summary!$B$2),"Passes using beginning_balance - PreV_ETB differs from beginning_balance",IF(AND(ISNUMBER(O1806),O1806&lt;0,ABS(L1806-(Q1806-IF(ISNUMBER(N1806),N1806,0)+IF(ISNUMBER(P1806),P1806,0)))&lt;=Summary!$B$2),"Negative realized loss not applied - check sign",IF(R1806&lt;0,"Principal paid exceeds prior balance",IF(AND(L1806&gt;Q1806,NOT(ISNUMBER(P1806))),"Balance increased but no Deferred_interest reported",IF(L1806&gt;R1806,"Reported balance higher than expected (missing increase/OC build)","Reported balance lower than expected (missing decrease)"))))),""))</f>
        <v/>
      </c>
    </row>
    <row r="1807" customFormat="false" ht="15" hidden="false" customHeight="false" outlineLevel="0" collapsed="false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9"/>
      <c r="L1807" s="9"/>
      <c r="M1807" s="9"/>
      <c r="N1807" s="9"/>
      <c r="O1807" s="9"/>
      <c r="P1807" s="9"/>
      <c r="Q1807" s="9"/>
      <c r="R1807" s="9" t="str">
        <f aca="false">IF(AND(A1807&lt;&gt;"",ISNUMBER(Q1807),ISNUMBER(L1807)),ROUND(Q1807-IF(ISNUMBER(N1807),N1807,0)-IF(ISNUMBER(O1807),O1807,0)+IF(ISNUMBER(P1807),P1807,0),2),"")</f>
        <v/>
      </c>
      <c r="S1807" s="9" t="str">
        <f aca="false">IF(R1807="","",ROUND(L1807-R1807,2))</f>
        <v/>
      </c>
      <c r="T1807" s="8" t="str">
        <f aca="false">IF(A1807="","",IF(S1807="","BYPASS",IF(ABS(S1807)&lt;=Summary!$B$2,"PASS","FAIL")))</f>
        <v/>
      </c>
      <c r="U1807" s="8" t="str">
        <f aca="false">IF(T1807="BYPASS",IF(NOT(ISNUMBER(Q1807)),"PreV_ETB missing","End_tr_balance missing"),IF(T1807="FAIL",IF(AND(ISNUMBER(K1807),ISNUMBER(L1807),ABS(L1807-(K1807-IF(ISNUMBER(N1807),N1807,0)-IF(ISNUMBER(O1807),O1807,0)+IF(ISNUMBER(P1807),P1807,0)))&lt;=Summary!$B$2),"Passes using beginning_balance - PreV_ETB differs from beginning_balance",IF(AND(ISNUMBER(O1807),O1807&lt;0,ABS(L1807-(Q1807-IF(ISNUMBER(N1807),N1807,0)+IF(ISNUMBER(P1807),P1807,0)))&lt;=Summary!$B$2),"Negative realized loss not applied - check sign",IF(R1807&lt;0,"Principal paid exceeds prior balance",IF(AND(L1807&gt;Q1807,NOT(ISNUMBER(P1807))),"Balance increased but no Deferred_interest reported",IF(L1807&gt;R1807,"Reported balance higher than expected (missing increase/OC build)","Reported balance lower than expected (missing decrease)"))))),""))</f>
        <v/>
      </c>
    </row>
    <row r="1808" customFormat="false" ht="15" hidden="false" customHeight="false" outlineLevel="0" collapsed="false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9"/>
      <c r="L1808" s="9"/>
      <c r="M1808" s="9"/>
      <c r="N1808" s="9"/>
      <c r="O1808" s="9"/>
      <c r="P1808" s="9"/>
      <c r="Q1808" s="9"/>
      <c r="R1808" s="9" t="str">
        <f aca="false">IF(AND(A1808&lt;&gt;"",ISNUMBER(Q1808),ISNUMBER(L1808)),ROUND(Q1808-IF(ISNUMBER(N1808),N1808,0)-IF(ISNUMBER(O1808),O1808,0)+IF(ISNUMBER(P1808),P1808,0),2),"")</f>
        <v/>
      </c>
      <c r="S1808" s="9" t="str">
        <f aca="false">IF(R1808="","",ROUND(L1808-R1808,2))</f>
        <v/>
      </c>
      <c r="T1808" s="8" t="str">
        <f aca="false">IF(A1808="","",IF(S1808="","BYPASS",IF(ABS(S1808)&lt;=Summary!$B$2,"PASS","FAIL")))</f>
        <v/>
      </c>
      <c r="U1808" s="8" t="str">
        <f aca="false">IF(T1808="BYPASS",IF(NOT(ISNUMBER(Q1808)),"PreV_ETB missing","End_tr_balance missing"),IF(T1808="FAIL",IF(AND(ISNUMBER(K1808),ISNUMBER(L1808),ABS(L1808-(K1808-IF(ISNUMBER(N1808),N1808,0)-IF(ISNUMBER(O1808),O1808,0)+IF(ISNUMBER(P1808),P1808,0)))&lt;=Summary!$B$2),"Passes using beginning_balance - PreV_ETB differs from beginning_balance",IF(AND(ISNUMBER(O1808),O1808&lt;0,ABS(L1808-(Q1808-IF(ISNUMBER(N1808),N1808,0)+IF(ISNUMBER(P1808),P1808,0)))&lt;=Summary!$B$2),"Negative realized loss not applied - check sign",IF(R1808&lt;0,"Principal paid exceeds prior balance",IF(AND(L1808&gt;Q1808,NOT(ISNUMBER(P1808))),"Balance increased but no Deferred_interest reported",IF(L1808&gt;R1808,"Reported balance higher than expected (missing increase/OC build)","Reported balance lower than expected (missing decrease)"))))),""))</f>
        <v/>
      </c>
    </row>
    <row r="1809" customFormat="false" ht="15" hidden="false" customHeight="false" outlineLevel="0" collapsed="false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9"/>
      <c r="L1809" s="9"/>
      <c r="M1809" s="9"/>
      <c r="N1809" s="9"/>
      <c r="O1809" s="9"/>
      <c r="P1809" s="9"/>
      <c r="Q1809" s="9"/>
      <c r="R1809" s="9" t="str">
        <f aca="false">IF(AND(A1809&lt;&gt;"",ISNUMBER(Q1809),ISNUMBER(L1809)),ROUND(Q1809-IF(ISNUMBER(N1809),N1809,0)-IF(ISNUMBER(O1809),O1809,0)+IF(ISNUMBER(P1809),P1809,0),2),"")</f>
        <v/>
      </c>
      <c r="S1809" s="9" t="str">
        <f aca="false">IF(R1809="","",ROUND(L1809-R1809,2))</f>
        <v/>
      </c>
      <c r="T1809" s="8" t="str">
        <f aca="false">IF(A1809="","",IF(S1809="","BYPASS",IF(ABS(S1809)&lt;=Summary!$B$2,"PASS","FAIL")))</f>
        <v/>
      </c>
      <c r="U1809" s="8" t="str">
        <f aca="false">IF(T1809="BYPASS",IF(NOT(ISNUMBER(Q1809)),"PreV_ETB missing","End_tr_balance missing"),IF(T1809="FAIL",IF(AND(ISNUMBER(K1809),ISNUMBER(L1809),ABS(L1809-(K1809-IF(ISNUMBER(N1809),N1809,0)-IF(ISNUMBER(O1809),O1809,0)+IF(ISNUMBER(P1809),P1809,0)))&lt;=Summary!$B$2),"Passes using beginning_balance - PreV_ETB differs from beginning_balance",IF(AND(ISNUMBER(O1809),O1809&lt;0,ABS(L1809-(Q1809-IF(ISNUMBER(N1809),N1809,0)+IF(ISNUMBER(P1809),P1809,0)))&lt;=Summary!$B$2),"Negative realized loss not applied - check sign",IF(R1809&lt;0,"Principal paid exceeds prior balance",IF(AND(L1809&gt;Q1809,NOT(ISNUMBER(P1809))),"Balance increased but no Deferred_interest reported",IF(L1809&gt;R1809,"Reported balance higher than expected (missing increase/OC build)","Reported balance lower than expected (missing decrease)"))))),""))</f>
        <v/>
      </c>
    </row>
    <row r="1810" customFormat="false" ht="15" hidden="false" customHeight="false" outlineLevel="0" collapsed="false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9"/>
      <c r="L1810" s="9"/>
      <c r="M1810" s="9"/>
      <c r="N1810" s="9"/>
      <c r="O1810" s="9"/>
      <c r="P1810" s="9"/>
      <c r="Q1810" s="9"/>
      <c r="R1810" s="9" t="str">
        <f aca="false">IF(AND(A1810&lt;&gt;"",ISNUMBER(Q1810),ISNUMBER(L1810)),ROUND(Q1810-IF(ISNUMBER(N1810),N1810,0)-IF(ISNUMBER(O1810),O1810,0)+IF(ISNUMBER(P1810),P1810,0),2),"")</f>
        <v/>
      </c>
      <c r="S1810" s="9" t="str">
        <f aca="false">IF(R1810="","",ROUND(L1810-R1810,2))</f>
        <v/>
      </c>
      <c r="T1810" s="8" t="str">
        <f aca="false">IF(A1810="","",IF(S1810="","BYPASS",IF(ABS(S1810)&lt;=Summary!$B$2,"PASS","FAIL")))</f>
        <v/>
      </c>
      <c r="U1810" s="8" t="str">
        <f aca="false">IF(T1810="BYPASS",IF(NOT(ISNUMBER(Q1810)),"PreV_ETB missing","End_tr_balance missing"),IF(T1810="FAIL",IF(AND(ISNUMBER(K1810),ISNUMBER(L1810),ABS(L1810-(K1810-IF(ISNUMBER(N1810),N1810,0)-IF(ISNUMBER(O1810),O1810,0)+IF(ISNUMBER(P1810),P1810,0)))&lt;=Summary!$B$2),"Passes using beginning_balance - PreV_ETB differs from beginning_balance",IF(AND(ISNUMBER(O1810),O1810&lt;0,ABS(L1810-(Q1810-IF(ISNUMBER(N1810),N1810,0)+IF(ISNUMBER(P1810),P1810,0)))&lt;=Summary!$B$2),"Negative realized loss not applied - check sign",IF(R1810&lt;0,"Principal paid exceeds prior balance",IF(AND(L1810&gt;Q1810,NOT(ISNUMBER(P1810))),"Balance increased but no Deferred_interest reported",IF(L1810&gt;R1810,"Reported balance higher than expected (missing increase/OC build)","Reported balance lower than expected (missing decrease)"))))),""))</f>
        <v/>
      </c>
    </row>
    <row r="1811" customFormat="false" ht="15" hidden="false" customHeight="false" outlineLevel="0" collapsed="false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9"/>
      <c r="L1811" s="9"/>
      <c r="M1811" s="9"/>
      <c r="N1811" s="9"/>
      <c r="O1811" s="9"/>
      <c r="P1811" s="9"/>
      <c r="Q1811" s="9"/>
      <c r="R1811" s="9" t="str">
        <f aca="false">IF(AND(A1811&lt;&gt;"",ISNUMBER(Q1811),ISNUMBER(L1811)),ROUND(Q1811-IF(ISNUMBER(N1811),N1811,0)-IF(ISNUMBER(O1811),O1811,0)+IF(ISNUMBER(P1811),P1811,0),2),"")</f>
        <v/>
      </c>
      <c r="S1811" s="9" t="str">
        <f aca="false">IF(R1811="","",ROUND(L1811-R1811,2))</f>
        <v/>
      </c>
      <c r="T1811" s="8" t="str">
        <f aca="false">IF(A1811="","",IF(S1811="","BYPASS",IF(ABS(S1811)&lt;=Summary!$B$2,"PASS","FAIL")))</f>
        <v/>
      </c>
      <c r="U1811" s="8" t="str">
        <f aca="false">IF(T1811="BYPASS",IF(NOT(ISNUMBER(Q1811)),"PreV_ETB missing","End_tr_balance missing"),IF(T1811="FAIL",IF(AND(ISNUMBER(K1811),ISNUMBER(L1811),ABS(L1811-(K1811-IF(ISNUMBER(N1811),N1811,0)-IF(ISNUMBER(O1811),O1811,0)+IF(ISNUMBER(P1811),P1811,0)))&lt;=Summary!$B$2),"Passes using beginning_balance - PreV_ETB differs from beginning_balance",IF(AND(ISNUMBER(O1811),O1811&lt;0,ABS(L1811-(Q1811-IF(ISNUMBER(N1811),N1811,0)+IF(ISNUMBER(P1811),P1811,0)))&lt;=Summary!$B$2),"Negative realized loss not applied - check sign",IF(R1811&lt;0,"Principal paid exceeds prior balance",IF(AND(L1811&gt;Q1811,NOT(ISNUMBER(P1811))),"Balance increased but no Deferred_interest reported",IF(L1811&gt;R1811,"Reported balance higher than expected (missing increase/OC build)","Reported balance lower than expected (missing decrease)"))))),""))</f>
        <v/>
      </c>
    </row>
    <row r="1812" customFormat="false" ht="15" hidden="false" customHeight="false" outlineLevel="0" collapsed="false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9"/>
      <c r="L1812" s="9"/>
      <c r="M1812" s="9"/>
      <c r="N1812" s="9"/>
      <c r="O1812" s="9"/>
      <c r="P1812" s="9"/>
      <c r="Q1812" s="9"/>
      <c r="R1812" s="9" t="str">
        <f aca="false">IF(AND(A1812&lt;&gt;"",ISNUMBER(Q1812),ISNUMBER(L1812)),ROUND(Q1812-IF(ISNUMBER(N1812),N1812,0)-IF(ISNUMBER(O1812),O1812,0)+IF(ISNUMBER(P1812),P1812,0),2),"")</f>
        <v/>
      </c>
      <c r="S1812" s="9" t="str">
        <f aca="false">IF(R1812="","",ROUND(L1812-R1812,2))</f>
        <v/>
      </c>
      <c r="T1812" s="8" t="str">
        <f aca="false">IF(A1812="","",IF(S1812="","BYPASS",IF(ABS(S1812)&lt;=Summary!$B$2,"PASS","FAIL")))</f>
        <v/>
      </c>
      <c r="U1812" s="8" t="str">
        <f aca="false">IF(T1812="BYPASS",IF(NOT(ISNUMBER(Q1812)),"PreV_ETB missing","End_tr_balance missing"),IF(T1812="FAIL",IF(AND(ISNUMBER(K1812),ISNUMBER(L1812),ABS(L1812-(K1812-IF(ISNUMBER(N1812),N1812,0)-IF(ISNUMBER(O1812),O1812,0)+IF(ISNUMBER(P1812),P1812,0)))&lt;=Summary!$B$2),"Passes using beginning_balance - PreV_ETB differs from beginning_balance",IF(AND(ISNUMBER(O1812),O1812&lt;0,ABS(L1812-(Q1812-IF(ISNUMBER(N1812),N1812,0)+IF(ISNUMBER(P1812),P1812,0)))&lt;=Summary!$B$2),"Negative realized loss not applied - check sign",IF(R1812&lt;0,"Principal paid exceeds prior balance",IF(AND(L1812&gt;Q1812,NOT(ISNUMBER(P1812))),"Balance increased but no Deferred_interest reported",IF(L1812&gt;R1812,"Reported balance higher than expected (missing increase/OC build)","Reported balance lower than expected (missing decrease)"))))),""))</f>
        <v/>
      </c>
    </row>
    <row r="1813" customFormat="false" ht="15" hidden="false" customHeight="false" outlineLevel="0" collapsed="false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9"/>
      <c r="L1813" s="9"/>
      <c r="M1813" s="9"/>
      <c r="N1813" s="9"/>
      <c r="O1813" s="9"/>
      <c r="P1813" s="9"/>
      <c r="Q1813" s="9"/>
      <c r="R1813" s="9" t="str">
        <f aca="false">IF(AND(A1813&lt;&gt;"",ISNUMBER(Q1813),ISNUMBER(L1813)),ROUND(Q1813-IF(ISNUMBER(N1813),N1813,0)-IF(ISNUMBER(O1813),O1813,0)+IF(ISNUMBER(P1813),P1813,0),2),"")</f>
        <v/>
      </c>
      <c r="S1813" s="9" t="str">
        <f aca="false">IF(R1813="","",ROUND(L1813-R1813,2))</f>
        <v/>
      </c>
      <c r="T1813" s="8" t="str">
        <f aca="false">IF(A1813="","",IF(S1813="","BYPASS",IF(ABS(S1813)&lt;=Summary!$B$2,"PASS","FAIL")))</f>
        <v/>
      </c>
      <c r="U1813" s="8" t="str">
        <f aca="false">IF(T1813="BYPASS",IF(NOT(ISNUMBER(Q1813)),"PreV_ETB missing","End_tr_balance missing"),IF(T1813="FAIL",IF(AND(ISNUMBER(K1813),ISNUMBER(L1813),ABS(L1813-(K1813-IF(ISNUMBER(N1813),N1813,0)-IF(ISNUMBER(O1813),O1813,0)+IF(ISNUMBER(P1813),P1813,0)))&lt;=Summary!$B$2),"Passes using beginning_balance - PreV_ETB differs from beginning_balance",IF(AND(ISNUMBER(O1813),O1813&lt;0,ABS(L1813-(Q1813-IF(ISNUMBER(N1813),N1813,0)+IF(ISNUMBER(P1813),P1813,0)))&lt;=Summary!$B$2),"Negative realized loss not applied - check sign",IF(R1813&lt;0,"Principal paid exceeds prior balance",IF(AND(L1813&gt;Q1813,NOT(ISNUMBER(P1813))),"Balance increased but no Deferred_interest reported",IF(L1813&gt;R1813,"Reported balance higher than expected (missing increase/OC build)","Reported balance lower than expected (missing decrease)"))))),""))</f>
        <v/>
      </c>
    </row>
    <row r="1814" customFormat="false" ht="15" hidden="false" customHeight="false" outlineLevel="0" collapsed="false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9"/>
      <c r="L1814" s="9"/>
      <c r="M1814" s="9"/>
      <c r="N1814" s="9"/>
      <c r="O1814" s="9"/>
      <c r="P1814" s="9"/>
      <c r="Q1814" s="9"/>
      <c r="R1814" s="9" t="str">
        <f aca="false">IF(AND(A1814&lt;&gt;"",ISNUMBER(Q1814),ISNUMBER(L1814)),ROUND(Q1814-IF(ISNUMBER(N1814),N1814,0)-IF(ISNUMBER(O1814),O1814,0)+IF(ISNUMBER(P1814),P1814,0),2),"")</f>
        <v/>
      </c>
      <c r="S1814" s="9" t="str">
        <f aca="false">IF(R1814="","",ROUND(L1814-R1814,2))</f>
        <v/>
      </c>
      <c r="T1814" s="8" t="str">
        <f aca="false">IF(A1814="","",IF(S1814="","BYPASS",IF(ABS(S1814)&lt;=Summary!$B$2,"PASS","FAIL")))</f>
        <v/>
      </c>
      <c r="U1814" s="8" t="str">
        <f aca="false">IF(T1814="BYPASS",IF(NOT(ISNUMBER(Q1814)),"PreV_ETB missing","End_tr_balance missing"),IF(T1814="FAIL",IF(AND(ISNUMBER(K1814),ISNUMBER(L1814),ABS(L1814-(K1814-IF(ISNUMBER(N1814),N1814,0)-IF(ISNUMBER(O1814),O1814,0)+IF(ISNUMBER(P1814),P1814,0)))&lt;=Summary!$B$2),"Passes using beginning_balance - PreV_ETB differs from beginning_balance",IF(AND(ISNUMBER(O1814),O1814&lt;0,ABS(L1814-(Q1814-IF(ISNUMBER(N1814),N1814,0)+IF(ISNUMBER(P1814),P1814,0)))&lt;=Summary!$B$2),"Negative realized loss not applied - check sign",IF(R1814&lt;0,"Principal paid exceeds prior balance",IF(AND(L1814&gt;Q1814,NOT(ISNUMBER(P1814))),"Balance increased but no Deferred_interest reported",IF(L1814&gt;R1814,"Reported balance higher than expected (missing increase/OC build)","Reported balance lower than expected (missing decrease)"))))),""))</f>
        <v/>
      </c>
    </row>
    <row r="1815" customFormat="false" ht="15" hidden="false" customHeight="false" outlineLevel="0" collapsed="false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9"/>
      <c r="L1815" s="9"/>
      <c r="M1815" s="9"/>
      <c r="N1815" s="9"/>
      <c r="O1815" s="9"/>
      <c r="P1815" s="9"/>
      <c r="Q1815" s="9"/>
      <c r="R1815" s="9" t="str">
        <f aca="false">IF(AND(A1815&lt;&gt;"",ISNUMBER(Q1815),ISNUMBER(L1815)),ROUND(Q1815-IF(ISNUMBER(N1815),N1815,0)-IF(ISNUMBER(O1815),O1815,0)+IF(ISNUMBER(P1815),P1815,0),2),"")</f>
        <v/>
      </c>
      <c r="S1815" s="9" t="str">
        <f aca="false">IF(R1815="","",ROUND(L1815-R1815,2))</f>
        <v/>
      </c>
      <c r="T1815" s="8" t="str">
        <f aca="false">IF(A1815="","",IF(S1815="","BYPASS",IF(ABS(S1815)&lt;=Summary!$B$2,"PASS","FAIL")))</f>
        <v/>
      </c>
      <c r="U1815" s="8" t="str">
        <f aca="false">IF(T1815="BYPASS",IF(NOT(ISNUMBER(Q1815)),"PreV_ETB missing","End_tr_balance missing"),IF(T1815="FAIL",IF(AND(ISNUMBER(K1815),ISNUMBER(L1815),ABS(L1815-(K1815-IF(ISNUMBER(N1815),N1815,0)-IF(ISNUMBER(O1815),O1815,0)+IF(ISNUMBER(P1815),P1815,0)))&lt;=Summary!$B$2),"Passes using beginning_balance - PreV_ETB differs from beginning_balance",IF(AND(ISNUMBER(O1815),O1815&lt;0,ABS(L1815-(Q1815-IF(ISNUMBER(N1815),N1815,0)+IF(ISNUMBER(P1815),P1815,0)))&lt;=Summary!$B$2),"Negative realized loss not applied - check sign",IF(R1815&lt;0,"Principal paid exceeds prior balance",IF(AND(L1815&gt;Q1815,NOT(ISNUMBER(P1815))),"Balance increased but no Deferred_interest reported",IF(L1815&gt;R1815,"Reported balance higher than expected (missing increase/OC build)","Reported balance lower than expected (missing decrease)"))))),""))</f>
        <v/>
      </c>
    </row>
    <row r="1816" customFormat="false" ht="15" hidden="false" customHeight="false" outlineLevel="0" collapsed="false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9"/>
      <c r="L1816" s="9"/>
      <c r="M1816" s="9"/>
      <c r="N1816" s="9"/>
      <c r="O1816" s="9"/>
      <c r="P1816" s="9"/>
      <c r="Q1816" s="9"/>
      <c r="R1816" s="9" t="str">
        <f aca="false">IF(AND(A1816&lt;&gt;"",ISNUMBER(Q1816),ISNUMBER(L1816)),ROUND(Q1816-IF(ISNUMBER(N1816),N1816,0)-IF(ISNUMBER(O1816),O1816,0)+IF(ISNUMBER(P1816),P1816,0),2),"")</f>
        <v/>
      </c>
      <c r="S1816" s="9" t="str">
        <f aca="false">IF(R1816="","",ROUND(L1816-R1816,2))</f>
        <v/>
      </c>
      <c r="T1816" s="8" t="str">
        <f aca="false">IF(A1816="","",IF(S1816="","BYPASS",IF(ABS(S1816)&lt;=Summary!$B$2,"PASS","FAIL")))</f>
        <v/>
      </c>
      <c r="U1816" s="8" t="str">
        <f aca="false">IF(T1816="BYPASS",IF(NOT(ISNUMBER(Q1816)),"PreV_ETB missing","End_tr_balance missing"),IF(T1816="FAIL",IF(AND(ISNUMBER(K1816),ISNUMBER(L1816),ABS(L1816-(K1816-IF(ISNUMBER(N1816),N1816,0)-IF(ISNUMBER(O1816),O1816,0)+IF(ISNUMBER(P1816),P1816,0)))&lt;=Summary!$B$2),"Passes using beginning_balance - PreV_ETB differs from beginning_balance",IF(AND(ISNUMBER(O1816),O1816&lt;0,ABS(L1816-(Q1816-IF(ISNUMBER(N1816),N1816,0)+IF(ISNUMBER(P1816),P1816,0)))&lt;=Summary!$B$2),"Negative realized loss not applied - check sign",IF(R1816&lt;0,"Principal paid exceeds prior balance",IF(AND(L1816&gt;Q1816,NOT(ISNUMBER(P1816))),"Balance increased but no Deferred_interest reported",IF(L1816&gt;R1816,"Reported balance higher than expected (missing increase/OC build)","Reported balance lower than expected (missing decrease)"))))),""))</f>
        <v/>
      </c>
    </row>
    <row r="1817" customFormat="false" ht="15" hidden="false" customHeight="false" outlineLevel="0" collapsed="false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9"/>
      <c r="L1817" s="9"/>
      <c r="M1817" s="9"/>
      <c r="N1817" s="9"/>
      <c r="O1817" s="9"/>
      <c r="P1817" s="9"/>
      <c r="Q1817" s="9"/>
      <c r="R1817" s="9" t="str">
        <f aca="false">IF(AND(A1817&lt;&gt;"",ISNUMBER(Q1817),ISNUMBER(L1817)),ROUND(Q1817-IF(ISNUMBER(N1817),N1817,0)-IF(ISNUMBER(O1817),O1817,0)+IF(ISNUMBER(P1817),P1817,0),2),"")</f>
        <v/>
      </c>
      <c r="S1817" s="9" t="str">
        <f aca="false">IF(R1817="","",ROUND(L1817-R1817,2))</f>
        <v/>
      </c>
      <c r="T1817" s="8" t="str">
        <f aca="false">IF(A1817="","",IF(S1817="","BYPASS",IF(ABS(S1817)&lt;=Summary!$B$2,"PASS","FAIL")))</f>
        <v/>
      </c>
      <c r="U1817" s="8" t="str">
        <f aca="false">IF(T1817="BYPASS",IF(NOT(ISNUMBER(Q1817)),"PreV_ETB missing","End_tr_balance missing"),IF(T1817="FAIL",IF(AND(ISNUMBER(K1817),ISNUMBER(L1817),ABS(L1817-(K1817-IF(ISNUMBER(N1817),N1817,0)-IF(ISNUMBER(O1817),O1817,0)+IF(ISNUMBER(P1817),P1817,0)))&lt;=Summary!$B$2),"Passes using beginning_balance - PreV_ETB differs from beginning_balance",IF(AND(ISNUMBER(O1817),O1817&lt;0,ABS(L1817-(Q1817-IF(ISNUMBER(N1817),N1817,0)+IF(ISNUMBER(P1817),P1817,0)))&lt;=Summary!$B$2),"Negative realized loss not applied - check sign",IF(R1817&lt;0,"Principal paid exceeds prior balance",IF(AND(L1817&gt;Q1817,NOT(ISNUMBER(P1817))),"Balance increased but no Deferred_interest reported",IF(L1817&gt;R1817,"Reported balance higher than expected (missing increase/OC build)","Reported balance lower than expected (missing decrease)"))))),""))</f>
        <v/>
      </c>
    </row>
    <row r="1818" customFormat="false" ht="15" hidden="false" customHeight="false" outlineLevel="0" collapsed="false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9"/>
      <c r="L1818" s="9"/>
      <c r="M1818" s="9"/>
      <c r="N1818" s="9"/>
      <c r="O1818" s="9"/>
      <c r="P1818" s="9"/>
      <c r="Q1818" s="9"/>
      <c r="R1818" s="9" t="str">
        <f aca="false">IF(AND(A1818&lt;&gt;"",ISNUMBER(Q1818),ISNUMBER(L1818)),ROUND(Q1818-IF(ISNUMBER(N1818),N1818,0)-IF(ISNUMBER(O1818),O1818,0)+IF(ISNUMBER(P1818),P1818,0),2),"")</f>
        <v/>
      </c>
      <c r="S1818" s="9" t="str">
        <f aca="false">IF(R1818="","",ROUND(L1818-R1818,2))</f>
        <v/>
      </c>
      <c r="T1818" s="8" t="str">
        <f aca="false">IF(A1818="","",IF(S1818="","BYPASS",IF(ABS(S1818)&lt;=Summary!$B$2,"PASS","FAIL")))</f>
        <v/>
      </c>
      <c r="U1818" s="8" t="str">
        <f aca="false">IF(T1818="BYPASS",IF(NOT(ISNUMBER(Q1818)),"PreV_ETB missing","End_tr_balance missing"),IF(T1818="FAIL",IF(AND(ISNUMBER(K1818),ISNUMBER(L1818),ABS(L1818-(K1818-IF(ISNUMBER(N1818),N1818,0)-IF(ISNUMBER(O1818),O1818,0)+IF(ISNUMBER(P1818),P1818,0)))&lt;=Summary!$B$2),"Passes using beginning_balance - PreV_ETB differs from beginning_balance",IF(AND(ISNUMBER(O1818),O1818&lt;0,ABS(L1818-(Q1818-IF(ISNUMBER(N1818),N1818,0)+IF(ISNUMBER(P1818),P1818,0)))&lt;=Summary!$B$2),"Negative realized loss not applied - check sign",IF(R1818&lt;0,"Principal paid exceeds prior balance",IF(AND(L1818&gt;Q1818,NOT(ISNUMBER(P1818))),"Balance increased but no Deferred_interest reported",IF(L1818&gt;R1818,"Reported balance higher than expected (missing increase/OC build)","Reported balance lower than expected (missing decrease)"))))),""))</f>
        <v/>
      </c>
    </row>
    <row r="1819" customFormat="false" ht="15" hidden="false" customHeight="false" outlineLevel="0" collapsed="false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9"/>
      <c r="L1819" s="9"/>
      <c r="M1819" s="9"/>
      <c r="N1819" s="9"/>
      <c r="O1819" s="9"/>
      <c r="P1819" s="9"/>
      <c r="Q1819" s="9"/>
      <c r="R1819" s="9" t="str">
        <f aca="false">IF(AND(A1819&lt;&gt;"",ISNUMBER(Q1819),ISNUMBER(L1819)),ROUND(Q1819-IF(ISNUMBER(N1819),N1819,0)-IF(ISNUMBER(O1819),O1819,0)+IF(ISNUMBER(P1819),P1819,0),2),"")</f>
        <v/>
      </c>
      <c r="S1819" s="9" t="str">
        <f aca="false">IF(R1819="","",ROUND(L1819-R1819,2))</f>
        <v/>
      </c>
      <c r="T1819" s="8" t="str">
        <f aca="false">IF(A1819="","",IF(S1819="","BYPASS",IF(ABS(S1819)&lt;=Summary!$B$2,"PASS","FAIL")))</f>
        <v/>
      </c>
      <c r="U1819" s="8" t="str">
        <f aca="false">IF(T1819="BYPASS",IF(NOT(ISNUMBER(Q1819)),"PreV_ETB missing","End_tr_balance missing"),IF(T1819="FAIL",IF(AND(ISNUMBER(K1819),ISNUMBER(L1819),ABS(L1819-(K1819-IF(ISNUMBER(N1819),N1819,0)-IF(ISNUMBER(O1819),O1819,0)+IF(ISNUMBER(P1819),P1819,0)))&lt;=Summary!$B$2),"Passes using beginning_balance - PreV_ETB differs from beginning_balance",IF(AND(ISNUMBER(O1819),O1819&lt;0,ABS(L1819-(Q1819-IF(ISNUMBER(N1819),N1819,0)+IF(ISNUMBER(P1819),P1819,0)))&lt;=Summary!$B$2),"Negative realized loss not applied - check sign",IF(R1819&lt;0,"Principal paid exceeds prior balance",IF(AND(L1819&gt;Q1819,NOT(ISNUMBER(P1819))),"Balance increased but no Deferred_interest reported",IF(L1819&gt;R1819,"Reported balance higher than expected (missing increase/OC build)","Reported balance lower than expected (missing decrease)"))))),""))</f>
        <v/>
      </c>
    </row>
    <row r="1820" customFormat="false" ht="15" hidden="false" customHeight="false" outlineLevel="0" collapsed="false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9"/>
      <c r="L1820" s="9"/>
      <c r="M1820" s="9"/>
      <c r="N1820" s="9"/>
      <c r="O1820" s="9"/>
      <c r="P1820" s="9"/>
      <c r="Q1820" s="9"/>
      <c r="R1820" s="9" t="str">
        <f aca="false">IF(AND(A1820&lt;&gt;"",ISNUMBER(Q1820),ISNUMBER(L1820)),ROUND(Q1820-IF(ISNUMBER(N1820),N1820,0)-IF(ISNUMBER(O1820),O1820,0)+IF(ISNUMBER(P1820),P1820,0),2),"")</f>
        <v/>
      </c>
      <c r="S1820" s="9" t="str">
        <f aca="false">IF(R1820="","",ROUND(L1820-R1820,2))</f>
        <v/>
      </c>
      <c r="T1820" s="8" t="str">
        <f aca="false">IF(A1820="","",IF(S1820="","BYPASS",IF(ABS(S1820)&lt;=Summary!$B$2,"PASS","FAIL")))</f>
        <v/>
      </c>
      <c r="U1820" s="8" t="str">
        <f aca="false">IF(T1820="BYPASS",IF(NOT(ISNUMBER(Q1820)),"PreV_ETB missing","End_tr_balance missing"),IF(T1820="FAIL",IF(AND(ISNUMBER(K1820),ISNUMBER(L1820),ABS(L1820-(K1820-IF(ISNUMBER(N1820),N1820,0)-IF(ISNUMBER(O1820),O1820,0)+IF(ISNUMBER(P1820),P1820,0)))&lt;=Summary!$B$2),"Passes using beginning_balance - PreV_ETB differs from beginning_balance",IF(AND(ISNUMBER(O1820),O1820&lt;0,ABS(L1820-(Q1820-IF(ISNUMBER(N1820),N1820,0)+IF(ISNUMBER(P1820),P1820,0)))&lt;=Summary!$B$2),"Negative realized loss not applied - check sign",IF(R1820&lt;0,"Principal paid exceeds prior balance",IF(AND(L1820&gt;Q1820,NOT(ISNUMBER(P1820))),"Balance increased but no Deferred_interest reported",IF(L1820&gt;R1820,"Reported balance higher than expected (missing increase/OC build)","Reported balance lower than expected (missing decrease)"))))),""))</f>
        <v/>
      </c>
    </row>
    <row r="1821" customFormat="false" ht="15" hidden="false" customHeight="false" outlineLevel="0" collapsed="false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9"/>
      <c r="L1821" s="9"/>
      <c r="M1821" s="9"/>
      <c r="N1821" s="9"/>
      <c r="O1821" s="9"/>
      <c r="P1821" s="9"/>
      <c r="Q1821" s="9"/>
      <c r="R1821" s="9" t="str">
        <f aca="false">IF(AND(A1821&lt;&gt;"",ISNUMBER(Q1821),ISNUMBER(L1821)),ROUND(Q1821-IF(ISNUMBER(N1821),N1821,0)-IF(ISNUMBER(O1821),O1821,0)+IF(ISNUMBER(P1821),P1821,0),2),"")</f>
        <v/>
      </c>
      <c r="S1821" s="9" t="str">
        <f aca="false">IF(R1821="","",ROUND(L1821-R1821,2))</f>
        <v/>
      </c>
      <c r="T1821" s="8" t="str">
        <f aca="false">IF(A1821="","",IF(S1821="","BYPASS",IF(ABS(S1821)&lt;=Summary!$B$2,"PASS","FAIL")))</f>
        <v/>
      </c>
      <c r="U1821" s="8" t="str">
        <f aca="false">IF(T1821="BYPASS",IF(NOT(ISNUMBER(Q1821)),"PreV_ETB missing","End_tr_balance missing"),IF(T1821="FAIL",IF(AND(ISNUMBER(K1821),ISNUMBER(L1821),ABS(L1821-(K1821-IF(ISNUMBER(N1821),N1821,0)-IF(ISNUMBER(O1821),O1821,0)+IF(ISNUMBER(P1821),P1821,0)))&lt;=Summary!$B$2),"Passes using beginning_balance - PreV_ETB differs from beginning_balance",IF(AND(ISNUMBER(O1821),O1821&lt;0,ABS(L1821-(Q1821-IF(ISNUMBER(N1821),N1821,0)+IF(ISNUMBER(P1821),P1821,0)))&lt;=Summary!$B$2),"Negative realized loss not applied - check sign",IF(R1821&lt;0,"Principal paid exceeds prior balance",IF(AND(L1821&gt;Q1821,NOT(ISNUMBER(P1821))),"Balance increased but no Deferred_interest reported",IF(L1821&gt;R1821,"Reported balance higher than expected (missing increase/OC build)","Reported balance lower than expected (missing decrease)"))))),""))</f>
        <v/>
      </c>
    </row>
    <row r="1822" customFormat="false" ht="15" hidden="false" customHeight="false" outlineLevel="0" collapsed="false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9"/>
      <c r="L1822" s="9"/>
      <c r="M1822" s="9"/>
      <c r="N1822" s="9"/>
      <c r="O1822" s="9"/>
      <c r="P1822" s="9"/>
      <c r="Q1822" s="9"/>
      <c r="R1822" s="9" t="str">
        <f aca="false">IF(AND(A1822&lt;&gt;"",ISNUMBER(Q1822),ISNUMBER(L1822)),ROUND(Q1822-IF(ISNUMBER(N1822),N1822,0)-IF(ISNUMBER(O1822),O1822,0)+IF(ISNUMBER(P1822),P1822,0),2),"")</f>
        <v/>
      </c>
      <c r="S1822" s="9" t="str">
        <f aca="false">IF(R1822="","",ROUND(L1822-R1822,2))</f>
        <v/>
      </c>
      <c r="T1822" s="8" t="str">
        <f aca="false">IF(A1822="","",IF(S1822="","BYPASS",IF(ABS(S1822)&lt;=Summary!$B$2,"PASS","FAIL")))</f>
        <v/>
      </c>
      <c r="U1822" s="8" t="str">
        <f aca="false">IF(T1822="BYPASS",IF(NOT(ISNUMBER(Q1822)),"PreV_ETB missing","End_tr_balance missing"),IF(T1822="FAIL",IF(AND(ISNUMBER(K1822),ISNUMBER(L1822),ABS(L1822-(K1822-IF(ISNUMBER(N1822),N1822,0)-IF(ISNUMBER(O1822),O1822,0)+IF(ISNUMBER(P1822),P1822,0)))&lt;=Summary!$B$2),"Passes using beginning_balance - PreV_ETB differs from beginning_balance",IF(AND(ISNUMBER(O1822),O1822&lt;0,ABS(L1822-(Q1822-IF(ISNUMBER(N1822),N1822,0)+IF(ISNUMBER(P1822),P1822,0)))&lt;=Summary!$B$2),"Negative realized loss not applied - check sign",IF(R1822&lt;0,"Principal paid exceeds prior balance",IF(AND(L1822&gt;Q1822,NOT(ISNUMBER(P1822))),"Balance increased but no Deferred_interest reported",IF(L1822&gt;R1822,"Reported balance higher than expected (missing increase/OC build)","Reported balance lower than expected (missing decrease)"))))),""))</f>
        <v/>
      </c>
    </row>
    <row r="1823" customFormat="false" ht="15" hidden="false" customHeight="false" outlineLevel="0" collapsed="false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9"/>
      <c r="L1823" s="9"/>
      <c r="M1823" s="9"/>
      <c r="N1823" s="9"/>
      <c r="O1823" s="9"/>
      <c r="P1823" s="9"/>
      <c r="Q1823" s="9"/>
      <c r="R1823" s="9" t="str">
        <f aca="false">IF(AND(A1823&lt;&gt;"",ISNUMBER(Q1823),ISNUMBER(L1823)),ROUND(Q1823-IF(ISNUMBER(N1823),N1823,0)-IF(ISNUMBER(O1823),O1823,0)+IF(ISNUMBER(P1823),P1823,0),2),"")</f>
        <v/>
      </c>
      <c r="S1823" s="9" t="str">
        <f aca="false">IF(R1823="","",ROUND(L1823-R1823,2))</f>
        <v/>
      </c>
      <c r="T1823" s="8" t="str">
        <f aca="false">IF(A1823="","",IF(S1823="","BYPASS",IF(ABS(S1823)&lt;=Summary!$B$2,"PASS","FAIL")))</f>
        <v/>
      </c>
      <c r="U1823" s="8" t="str">
        <f aca="false">IF(T1823="BYPASS",IF(NOT(ISNUMBER(Q1823)),"PreV_ETB missing","End_tr_balance missing"),IF(T1823="FAIL",IF(AND(ISNUMBER(K1823),ISNUMBER(L1823),ABS(L1823-(K1823-IF(ISNUMBER(N1823),N1823,0)-IF(ISNUMBER(O1823),O1823,0)+IF(ISNUMBER(P1823),P1823,0)))&lt;=Summary!$B$2),"Passes using beginning_balance - PreV_ETB differs from beginning_balance",IF(AND(ISNUMBER(O1823),O1823&lt;0,ABS(L1823-(Q1823-IF(ISNUMBER(N1823),N1823,0)+IF(ISNUMBER(P1823),P1823,0)))&lt;=Summary!$B$2),"Negative realized loss not applied - check sign",IF(R1823&lt;0,"Principal paid exceeds prior balance",IF(AND(L1823&gt;Q1823,NOT(ISNUMBER(P1823))),"Balance increased but no Deferred_interest reported",IF(L1823&gt;R1823,"Reported balance higher than expected (missing increase/OC build)","Reported balance lower than expected (missing decrease)"))))),""))</f>
        <v/>
      </c>
    </row>
    <row r="1824" customFormat="false" ht="15" hidden="false" customHeight="false" outlineLevel="0" collapsed="false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9"/>
      <c r="L1824" s="9"/>
      <c r="M1824" s="9"/>
      <c r="N1824" s="9"/>
      <c r="O1824" s="9"/>
      <c r="P1824" s="9"/>
      <c r="Q1824" s="9"/>
      <c r="R1824" s="9" t="str">
        <f aca="false">IF(AND(A1824&lt;&gt;"",ISNUMBER(Q1824),ISNUMBER(L1824)),ROUND(Q1824-IF(ISNUMBER(N1824),N1824,0)-IF(ISNUMBER(O1824),O1824,0)+IF(ISNUMBER(P1824),P1824,0),2),"")</f>
        <v/>
      </c>
      <c r="S1824" s="9" t="str">
        <f aca="false">IF(R1824="","",ROUND(L1824-R1824,2))</f>
        <v/>
      </c>
      <c r="T1824" s="8" t="str">
        <f aca="false">IF(A1824="","",IF(S1824="","BYPASS",IF(ABS(S1824)&lt;=Summary!$B$2,"PASS","FAIL")))</f>
        <v/>
      </c>
      <c r="U1824" s="8" t="str">
        <f aca="false">IF(T1824="BYPASS",IF(NOT(ISNUMBER(Q1824)),"PreV_ETB missing","End_tr_balance missing"),IF(T1824="FAIL",IF(AND(ISNUMBER(K1824),ISNUMBER(L1824),ABS(L1824-(K1824-IF(ISNUMBER(N1824),N1824,0)-IF(ISNUMBER(O1824),O1824,0)+IF(ISNUMBER(P1824),P1824,0)))&lt;=Summary!$B$2),"Passes using beginning_balance - PreV_ETB differs from beginning_balance",IF(AND(ISNUMBER(O1824),O1824&lt;0,ABS(L1824-(Q1824-IF(ISNUMBER(N1824),N1824,0)+IF(ISNUMBER(P1824),P1824,0)))&lt;=Summary!$B$2),"Negative realized loss not applied - check sign",IF(R1824&lt;0,"Principal paid exceeds prior balance",IF(AND(L1824&gt;Q1824,NOT(ISNUMBER(P1824))),"Balance increased but no Deferred_interest reported",IF(L1824&gt;R1824,"Reported balance higher than expected (missing increase/OC build)","Reported balance lower than expected (missing decrease)"))))),""))</f>
        <v/>
      </c>
    </row>
    <row r="1825" customFormat="false" ht="15" hidden="false" customHeight="false" outlineLevel="0" collapsed="false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9"/>
      <c r="L1825" s="9"/>
      <c r="M1825" s="9"/>
      <c r="N1825" s="9"/>
      <c r="O1825" s="9"/>
      <c r="P1825" s="9"/>
      <c r="Q1825" s="9"/>
      <c r="R1825" s="9" t="str">
        <f aca="false">IF(AND(A1825&lt;&gt;"",ISNUMBER(Q1825),ISNUMBER(L1825)),ROUND(Q1825-IF(ISNUMBER(N1825),N1825,0)-IF(ISNUMBER(O1825),O1825,0)+IF(ISNUMBER(P1825),P1825,0),2),"")</f>
        <v/>
      </c>
      <c r="S1825" s="9" t="str">
        <f aca="false">IF(R1825="","",ROUND(L1825-R1825,2))</f>
        <v/>
      </c>
      <c r="T1825" s="8" t="str">
        <f aca="false">IF(A1825="","",IF(S1825="","BYPASS",IF(ABS(S1825)&lt;=Summary!$B$2,"PASS","FAIL")))</f>
        <v/>
      </c>
      <c r="U1825" s="8" t="str">
        <f aca="false">IF(T1825="BYPASS",IF(NOT(ISNUMBER(Q1825)),"PreV_ETB missing","End_tr_balance missing"),IF(T1825="FAIL",IF(AND(ISNUMBER(K1825),ISNUMBER(L1825),ABS(L1825-(K1825-IF(ISNUMBER(N1825),N1825,0)-IF(ISNUMBER(O1825),O1825,0)+IF(ISNUMBER(P1825),P1825,0)))&lt;=Summary!$B$2),"Passes using beginning_balance - PreV_ETB differs from beginning_balance",IF(AND(ISNUMBER(O1825),O1825&lt;0,ABS(L1825-(Q1825-IF(ISNUMBER(N1825),N1825,0)+IF(ISNUMBER(P1825),P1825,0)))&lt;=Summary!$B$2),"Negative realized loss not applied - check sign",IF(R1825&lt;0,"Principal paid exceeds prior balance",IF(AND(L1825&gt;Q1825,NOT(ISNUMBER(P1825))),"Balance increased but no Deferred_interest reported",IF(L1825&gt;R1825,"Reported balance higher than expected (missing increase/OC build)","Reported balance lower than expected (missing decrease)"))))),""))</f>
        <v/>
      </c>
    </row>
    <row r="1826" customFormat="false" ht="15" hidden="false" customHeight="false" outlineLevel="0" collapsed="false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9"/>
      <c r="L1826" s="9"/>
      <c r="M1826" s="9"/>
      <c r="N1826" s="9"/>
      <c r="O1826" s="9"/>
      <c r="P1826" s="9"/>
      <c r="Q1826" s="9"/>
      <c r="R1826" s="9" t="str">
        <f aca="false">IF(AND(A1826&lt;&gt;"",ISNUMBER(Q1826),ISNUMBER(L1826)),ROUND(Q1826-IF(ISNUMBER(N1826),N1826,0)-IF(ISNUMBER(O1826),O1826,0)+IF(ISNUMBER(P1826),P1826,0),2),"")</f>
        <v/>
      </c>
      <c r="S1826" s="9" t="str">
        <f aca="false">IF(R1826="","",ROUND(L1826-R1826,2))</f>
        <v/>
      </c>
      <c r="T1826" s="8" t="str">
        <f aca="false">IF(A1826="","",IF(S1826="","BYPASS",IF(ABS(S1826)&lt;=Summary!$B$2,"PASS","FAIL")))</f>
        <v/>
      </c>
      <c r="U1826" s="8" t="str">
        <f aca="false">IF(T1826="BYPASS",IF(NOT(ISNUMBER(Q1826)),"PreV_ETB missing","End_tr_balance missing"),IF(T1826="FAIL",IF(AND(ISNUMBER(K1826),ISNUMBER(L1826),ABS(L1826-(K1826-IF(ISNUMBER(N1826),N1826,0)-IF(ISNUMBER(O1826),O1826,0)+IF(ISNUMBER(P1826),P1826,0)))&lt;=Summary!$B$2),"Passes using beginning_balance - PreV_ETB differs from beginning_balance",IF(AND(ISNUMBER(O1826),O1826&lt;0,ABS(L1826-(Q1826-IF(ISNUMBER(N1826),N1826,0)+IF(ISNUMBER(P1826),P1826,0)))&lt;=Summary!$B$2),"Negative realized loss not applied - check sign",IF(R1826&lt;0,"Principal paid exceeds prior balance",IF(AND(L1826&gt;Q1826,NOT(ISNUMBER(P1826))),"Balance increased but no Deferred_interest reported",IF(L1826&gt;R1826,"Reported balance higher than expected (missing increase/OC build)","Reported balance lower than expected (missing decrease)"))))),""))</f>
        <v/>
      </c>
    </row>
    <row r="1827" customFormat="false" ht="15" hidden="false" customHeight="false" outlineLevel="0" collapsed="false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9"/>
      <c r="L1827" s="9"/>
      <c r="M1827" s="9"/>
      <c r="N1827" s="9"/>
      <c r="O1827" s="9"/>
      <c r="P1827" s="9"/>
      <c r="Q1827" s="9"/>
      <c r="R1827" s="9" t="str">
        <f aca="false">IF(AND(A1827&lt;&gt;"",ISNUMBER(Q1827),ISNUMBER(L1827)),ROUND(Q1827-IF(ISNUMBER(N1827),N1827,0)-IF(ISNUMBER(O1827),O1827,0)+IF(ISNUMBER(P1827),P1827,0),2),"")</f>
        <v/>
      </c>
      <c r="S1827" s="9" t="str">
        <f aca="false">IF(R1827="","",ROUND(L1827-R1827,2))</f>
        <v/>
      </c>
      <c r="T1827" s="8" t="str">
        <f aca="false">IF(A1827="","",IF(S1827="","BYPASS",IF(ABS(S1827)&lt;=Summary!$B$2,"PASS","FAIL")))</f>
        <v/>
      </c>
      <c r="U1827" s="8" t="str">
        <f aca="false">IF(T1827="BYPASS",IF(NOT(ISNUMBER(Q1827)),"PreV_ETB missing","End_tr_balance missing"),IF(T1827="FAIL",IF(AND(ISNUMBER(K1827),ISNUMBER(L1827),ABS(L1827-(K1827-IF(ISNUMBER(N1827),N1827,0)-IF(ISNUMBER(O1827),O1827,0)+IF(ISNUMBER(P1827),P1827,0)))&lt;=Summary!$B$2),"Passes using beginning_balance - PreV_ETB differs from beginning_balance",IF(AND(ISNUMBER(O1827),O1827&lt;0,ABS(L1827-(Q1827-IF(ISNUMBER(N1827),N1827,0)+IF(ISNUMBER(P1827),P1827,0)))&lt;=Summary!$B$2),"Negative realized loss not applied - check sign",IF(R1827&lt;0,"Principal paid exceeds prior balance",IF(AND(L1827&gt;Q1827,NOT(ISNUMBER(P1827))),"Balance increased but no Deferred_interest reported",IF(L1827&gt;R1827,"Reported balance higher than expected (missing increase/OC build)","Reported balance lower than expected (missing decrease)"))))),""))</f>
        <v/>
      </c>
    </row>
    <row r="1828" customFormat="false" ht="15" hidden="false" customHeight="false" outlineLevel="0" collapsed="false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9"/>
      <c r="L1828" s="9"/>
      <c r="M1828" s="9"/>
      <c r="N1828" s="9"/>
      <c r="O1828" s="9"/>
      <c r="P1828" s="9"/>
      <c r="Q1828" s="9"/>
      <c r="R1828" s="9" t="str">
        <f aca="false">IF(AND(A1828&lt;&gt;"",ISNUMBER(Q1828),ISNUMBER(L1828)),ROUND(Q1828-IF(ISNUMBER(N1828),N1828,0)-IF(ISNUMBER(O1828),O1828,0)+IF(ISNUMBER(P1828),P1828,0),2),"")</f>
        <v/>
      </c>
      <c r="S1828" s="9" t="str">
        <f aca="false">IF(R1828="","",ROUND(L1828-R1828,2))</f>
        <v/>
      </c>
      <c r="T1828" s="8" t="str">
        <f aca="false">IF(A1828="","",IF(S1828="","BYPASS",IF(ABS(S1828)&lt;=Summary!$B$2,"PASS","FAIL")))</f>
        <v/>
      </c>
      <c r="U1828" s="8" t="str">
        <f aca="false">IF(T1828="BYPASS",IF(NOT(ISNUMBER(Q1828)),"PreV_ETB missing","End_tr_balance missing"),IF(T1828="FAIL",IF(AND(ISNUMBER(K1828),ISNUMBER(L1828),ABS(L1828-(K1828-IF(ISNUMBER(N1828),N1828,0)-IF(ISNUMBER(O1828),O1828,0)+IF(ISNUMBER(P1828),P1828,0)))&lt;=Summary!$B$2),"Passes using beginning_balance - PreV_ETB differs from beginning_balance",IF(AND(ISNUMBER(O1828),O1828&lt;0,ABS(L1828-(Q1828-IF(ISNUMBER(N1828),N1828,0)+IF(ISNUMBER(P1828),P1828,0)))&lt;=Summary!$B$2),"Negative realized loss not applied - check sign",IF(R1828&lt;0,"Principal paid exceeds prior balance",IF(AND(L1828&gt;Q1828,NOT(ISNUMBER(P1828))),"Balance increased but no Deferred_interest reported",IF(L1828&gt;R1828,"Reported balance higher than expected (missing increase/OC build)","Reported balance lower than expected (missing decrease)"))))),""))</f>
        <v/>
      </c>
    </row>
    <row r="1829" customFormat="false" ht="15" hidden="false" customHeight="false" outlineLevel="0" collapsed="false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9"/>
      <c r="L1829" s="9"/>
      <c r="M1829" s="9"/>
      <c r="N1829" s="9"/>
      <c r="O1829" s="9"/>
      <c r="P1829" s="9"/>
      <c r="Q1829" s="9"/>
      <c r="R1829" s="9" t="str">
        <f aca="false">IF(AND(A1829&lt;&gt;"",ISNUMBER(Q1829),ISNUMBER(L1829)),ROUND(Q1829-IF(ISNUMBER(N1829),N1829,0)-IF(ISNUMBER(O1829),O1829,0)+IF(ISNUMBER(P1829),P1829,0),2),"")</f>
        <v/>
      </c>
      <c r="S1829" s="9" t="str">
        <f aca="false">IF(R1829="","",ROUND(L1829-R1829,2))</f>
        <v/>
      </c>
      <c r="T1829" s="8" t="str">
        <f aca="false">IF(A1829="","",IF(S1829="","BYPASS",IF(ABS(S1829)&lt;=Summary!$B$2,"PASS","FAIL")))</f>
        <v/>
      </c>
      <c r="U1829" s="8" t="str">
        <f aca="false">IF(T1829="BYPASS",IF(NOT(ISNUMBER(Q1829)),"PreV_ETB missing","End_tr_balance missing"),IF(T1829="FAIL",IF(AND(ISNUMBER(K1829),ISNUMBER(L1829),ABS(L1829-(K1829-IF(ISNUMBER(N1829),N1829,0)-IF(ISNUMBER(O1829),O1829,0)+IF(ISNUMBER(P1829),P1829,0)))&lt;=Summary!$B$2),"Passes using beginning_balance - PreV_ETB differs from beginning_balance",IF(AND(ISNUMBER(O1829),O1829&lt;0,ABS(L1829-(Q1829-IF(ISNUMBER(N1829),N1829,0)+IF(ISNUMBER(P1829),P1829,0)))&lt;=Summary!$B$2),"Negative realized loss not applied - check sign",IF(R1829&lt;0,"Principal paid exceeds prior balance",IF(AND(L1829&gt;Q1829,NOT(ISNUMBER(P1829))),"Balance increased but no Deferred_interest reported",IF(L1829&gt;R1829,"Reported balance higher than expected (missing increase/OC build)","Reported balance lower than expected (missing decrease)"))))),""))</f>
        <v/>
      </c>
    </row>
    <row r="1830" customFormat="false" ht="15" hidden="false" customHeight="false" outlineLevel="0" collapsed="false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9"/>
      <c r="L1830" s="9"/>
      <c r="M1830" s="9"/>
      <c r="N1830" s="9"/>
      <c r="O1830" s="9"/>
      <c r="P1830" s="9"/>
      <c r="Q1830" s="9"/>
      <c r="R1830" s="9" t="str">
        <f aca="false">IF(AND(A1830&lt;&gt;"",ISNUMBER(Q1830),ISNUMBER(L1830)),ROUND(Q1830-IF(ISNUMBER(N1830),N1830,0)-IF(ISNUMBER(O1830),O1830,0)+IF(ISNUMBER(P1830),P1830,0),2),"")</f>
        <v/>
      </c>
      <c r="S1830" s="9" t="str">
        <f aca="false">IF(R1830="","",ROUND(L1830-R1830,2))</f>
        <v/>
      </c>
      <c r="T1830" s="8" t="str">
        <f aca="false">IF(A1830="","",IF(S1830="","BYPASS",IF(ABS(S1830)&lt;=Summary!$B$2,"PASS","FAIL")))</f>
        <v/>
      </c>
      <c r="U1830" s="8" t="str">
        <f aca="false">IF(T1830="BYPASS",IF(NOT(ISNUMBER(Q1830)),"PreV_ETB missing","End_tr_balance missing"),IF(T1830="FAIL",IF(AND(ISNUMBER(K1830),ISNUMBER(L1830),ABS(L1830-(K1830-IF(ISNUMBER(N1830),N1830,0)-IF(ISNUMBER(O1830),O1830,0)+IF(ISNUMBER(P1830),P1830,0)))&lt;=Summary!$B$2),"Passes using beginning_balance - PreV_ETB differs from beginning_balance",IF(AND(ISNUMBER(O1830),O1830&lt;0,ABS(L1830-(Q1830-IF(ISNUMBER(N1830),N1830,0)+IF(ISNUMBER(P1830),P1830,0)))&lt;=Summary!$B$2),"Negative realized loss not applied - check sign",IF(R1830&lt;0,"Principal paid exceeds prior balance",IF(AND(L1830&gt;Q1830,NOT(ISNUMBER(P1830))),"Balance increased but no Deferred_interest reported",IF(L1830&gt;R1830,"Reported balance higher than expected (missing increase/OC build)","Reported balance lower than expected (missing decrease)"))))),""))</f>
        <v/>
      </c>
    </row>
    <row r="1831" customFormat="false" ht="15" hidden="false" customHeight="false" outlineLevel="0" collapsed="false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9"/>
      <c r="L1831" s="9"/>
      <c r="M1831" s="9"/>
      <c r="N1831" s="9"/>
      <c r="O1831" s="9"/>
      <c r="P1831" s="9"/>
      <c r="Q1831" s="9"/>
      <c r="R1831" s="9" t="str">
        <f aca="false">IF(AND(A1831&lt;&gt;"",ISNUMBER(Q1831),ISNUMBER(L1831)),ROUND(Q1831-IF(ISNUMBER(N1831),N1831,0)-IF(ISNUMBER(O1831),O1831,0)+IF(ISNUMBER(P1831),P1831,0),2),"")</f>
        <v/>
      </c>
      <c r="S1831" s="9" t="str">
        <f aca="false">IF(R1831="","",ROUND(L1831-R1831,2))</f>
        <v/>
      </c>
      <c r="T1831" s="8" t="str">
        <f aca="false">IF(A1831="","",IF(S1831="","BYPASS",IF(ABS(S1831)&lt;=Summary!$B$2,"PASS","FAIL")))</f>
        <v/>
      </c>
      <c r="U1831" s="8" t="str">
        <f aca="false">IF(T1831="BYPASS",IF(NOT(ISNUMBER(Q1831)),"PreV_ETB missing","End_tr_balance missing"),IF(T1831="FAIL",IF(AND(ISNUMBER(K1831),ISNUMBER(L1831),ABS(L1831-(K1831-IF(ISNUMBER(N1831),N1831,0)-IF(ISNUMBER(O1831),O1831,0)+IF(ISNUMBER(P1831),P1831,0)))&lt;=Summary!$B$2),"Passes using beginning_balance - PreV_ETB differs from beginning_balance",IF(AND(ISNUMBER(O1831),O1831&lt;0,ABS(L1831-(Q1831-IF(ISNUMBER(N1831),N1831,0)+IF(ISNUMBER(P1831),P1831,0)))&lt;=Summary!$B$2),"Negative realized loss not applied - check sign",IF(R1831&lt;0,"Principal paid exceeds prior balance",IF(AND(L1831&gt;Q1831,NOT(ISNUMBER(P1831))),"Balance increased but no Deferred_interest reported",IF(L1831&gt;R1831,"Reported balance higher than expected (missing increase/OC build)","Reported balance lower than expected (missing decrease)"))))),""))</f>
        <v/>
      </c>
    </row>
    <row r="1832" customFormat="false" ht="15" hidden="false" customHeight="false" outlineLevel="0" collapsed="false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9"/>
      <c r="L1832" s="9"/>
      <c r="M1832" s="9"/>
      <c r="N1832" s="9"/>
      <c r="O1832" s="9"/>
      <c r="P1832" s="9"/>
      <c r="Q1832" s="9"/>
      <c r="R1832" s="9" t="str">
        <f aca="false">IF(AND(A1832&lt;&gt;"",ISNUMBER(Q1832),ISNUMBER(L1832)),ROUND(Q1832-IF(ISNUMBER(N1832),N1832,0)-IF(ISNUMBER(O1832),O1832,0)+IF(ISNUMBER(P1832),P1832,0),2),"")</f>
        <v/>
      </c>
      <c r="S1832" s="9" t="str">
        <f aca="false">IF(R1832="","",ROUND(L1832-R1832,2))</f>
        <v/>
      </c>
      <c r="T1832" s="8" t="str">
        <f aca="false">IF(A1832="","",IF(S1832="","BYPASS",IF(ABS(S1832)&lt;=Summary!$B$2,"PASS","FAIL")))</f>
        <v/>
      </c>
      <c r="U1832" s="8" t="str">
        <f aca="false">IF(T1832="BYPASS",IF(NOT(ISNUMBER(Q1832)),"PreV_ETB missing","End_tr_balance missing"),IF(T1832="FAIL",IF(AND(ISNUMBER(K1832),ISNUMBER(L1832),ABS(L1832-(K1832-IF(ISNUMBER(N1832),N1832,0)-IF(ISNUMBER(O1832),O1832,0)+IF(ISNUMBER(P1832),P1832,0)))&lt;=Summary!$B$2),"Passes using beginning_balance - PreV_ETB differs from beginning_balance",IF(AND(ISNUMBER(O1832),O1832&lt;0,ABS(L1832-(Q1832-IF(ISNUMBER(N1832),N1832,0)+IF(ISNUMBER(P1832),P1832,0)))&lt;=Summary!$B$2),"Negative realized loss not applied - check sign",IF(R1832&lt;0,"Principal paid exceeds prior balance",IF(AND(L1832&gt;Q1832,NOT(ISNUMBER(P1832))),"Balance increased but no Deferred_interest reported",IF(L1832&gt;R1832,"Reported balance higher than expected (missing increase/OC build)","Reported balance lower than expected (missing decrease)"))))),""))</f>
        <v/>
      </c>
    </row>
    <row r="1833" customFormat="false" ht="15" hidden="false" customHeight="false" outlineLevel="0" collapsed="false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9"/>
      <c r="L1833" s="9"/>
      <c r="M1833" s="9"/>
      <c r="N1833" s="9"/>
      <c r="O1833" s="9"/>
      <c r="P1833" s="9"/>
      <c r="Q1833" s="9"/>
      <c r="R1833" s="9" t="str">
        <f aca="false">IF(AND(A1833&lt;&gt;"",ISNUMBER(Q1833),ISNUMBER(L1833)),ROUND(Q1833-IF(ISNUMBER(N1833),N1833,0)-IF(ISNUMBER(O1833),O1833,0)+IF(ISNUMBER(P1833),P1833,0),2),"")</f>
        <v/>
      </c>
      <c r="S1833" s="9" t="str">
        <f aca="false">IF(R1833="","",ROUND(L1833-R1833,2))</f>
        <v/>
      </c>
      <c r="T1833" s="8" t="str">
        <f aca="false">IF(A1833="","",IF(S1833="","BYPASS",IF(ABS(S1833)&lt;=Summary!$B$2,"PASS","FAIL")))</f>
        <v/>
      </c>
      <c r="U1833" s="8" t="str">
        <f aca="false">IF(T1833="BYPASS",IF(NOT(ISNUMBER(Q1833)),"PreV_ETB missing","End_tr_balance missing"),IF(T1833="FAIL",IF(AND(ISNUMBER(K1833),ISNUMBER(L1833),ABS(L1833-(K1833-IF(ISNUMBER(N1833),N1833,0)-IF(ISNUMBER(O1833),O1833,0)+IF(ISNUMBER(P1833),P1833,0)))&lt;=Summary!$B$2),"Passes using beginning_balance - PreV_ETB differs from beginning_balance",IF(AND(ISNUMBER(O1833),O1833&lt;0,ABS(L1833-(Q1833-IF(ISNUMBER(N1833),N1833,0)+IF(ISNUMBER(P1833),P1833,0)))&lt;=Summary!$B$2),"Negative realized loss not applied - check sign",IF(R1833&lt;0,"Principal paid exceeds prior balance",IF(AND(L1833&gt;Q1833,NOT(ISNUMBER(P1833))),"Balance increased but no Deferred_interest reported",IF(L1833&gt;R1833,"Reported balance higher than expected (missing increase/OC build)","Reported balance lower than expected (missing decrease)"))))),""))</f>
        <v/>
      </c>
    </row>
    <row r="1834" customFormat="false" ht="15" hidden="false" customHeight="false" outlineLevel="0" collapsed="false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9"/>
      <c r="L1834" s="9"/>
      <c r="M1834" s="9"/>
      <c r="N1834" s="9"/>
      <c r="O1834" s="9"/>
      <c r="P1834" s="9"/>
      <c r="Q1834" s="9"/>
      <c r="R1834" s="9" t="str">
        <f aca="false">IF(AND(A1834&lt;&gt;"",ISNUMBER(Q1834),ISNUMBER(L1834)),ROUND(Q1834-IF(ISNUMBER(N1834),N1834,0)-IF(ISNUMBER(O1834),O1834,0)+IF(ISNUMBER(P1834),P1834,0),2),"")</f>
        <v/>
      </c>
      <c r="S1834" s="9" t="str">
        <f aca="false">IF(R1834="","",ROUND(L1834-R1834,2))</f>
        <v/>
      </c>
      <c r="T1834" s="8" t="str">
        <f aca="false">IF(A1834="","",IF(S1834="","BYPASS",IF(ABS(S1834)&lt;=Summary!$B$2,"PASS","FAIL")))</f>
        <v/>
      </c>
      <c r="U1834" s="8" t="str">
        <f aca="false">IF(T1834="BYPASS",IF(NOT(ISNUMBER(Q1834)),"PreV_ETB missing","End_tr_balance missing"),IF(T1834="FAIL",IF(AND(ISNUMBER(K1834),ISNUMBER(L1834),ABS(L1834-(K1834-IF(ISNUMBER(N1834),N1834,0)-IF(ISNUMBER(O1834),O1834,0)+IF(ISNUMBER(P1834),P1834,0)))&lt;=Summary!$B$2),"Passes using beginning_balance - PreV_ETB differs from beginning_balance",IF(AND(ISNUMBER(O1834),O1834&lt;0,ABS(L1834-(Q1834-IF(ISNUMBER(N1834),N1834,0)+IF(ISNUMBER(P1834),P1834,0)))&lt;=Summary!$B$2),"Negative realized loss not applied - check sign",IF(R1834&lt;0,"Principal paid exceeds prior balance",IF(AND(L1834&gt;Q1834,NOT(ISNUMBER(P1834))),"Balance increased but no Deferred_interest reported",IF(L1834&gt;R1834,"Reported balance higher than expected (missing increase/OC build)","Reported balance lower than expected (missing decrease)"))))),""))</f>
        <v/>
      </c>
    </row>
    <row r="1835" customFormat="false" ht="15" hidden="false" customHeight="false" outlineLevel="0" collapsed="false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9"/>
      <c r="L1835" s="9"/>
      <c r="M1835" s="9"/>
      <c r="N1835" s="9"/>
      <c r="O1835" s="9"/>
      <c r="P1835" s="9"/>
      <c r="Q1835" s="9"/>
      <c r="R1835" s="9" t="str">
        <f aca="false">IF(AND(A1835&lt;&gt;"",ISNUMBER(Q1835),ISNUMBER(L1835)),ROUND(Q1835-IF(ISNUMBER(N1835),N1835,0)-IF(ISNUMBER(O1835),O1835,0)+IF(ISNUMBER(P1835),P1835,0),2),"")</f>
        <v/>
      </c>
      <c r="S1835" s="9" t="str">
        <f aca="false">IF(R1835="","",ROUND(L1835-R1835,2))</f>
        <v/>
      </c>
      <c r="T1835" s="8" t="str">
        <f aca="false">IF(A1835="","",IF(S1835="","BYPASS",IF(ABS(S1835)&lt;=Summary!$B$2,"PASS","FAIL")))</f>
        <v/>
      </c>
      <c r="U1835" s="8" t="str">
        <f aca="false">IF(T1835="BYPASS",IF(NOT(ISNUMBER(Q1835)),"PreV_ETB missing","End_tr_balance missing"),IF(T1835="FAIL",IF(AND(ISNUMBER(K1835),ISNUMBER(L1835),ABS(L1835-(K1835-IF(ISNUMBER(N1835),N1835,0)-IF(ISNUMBER(O1835),O1835,0)+IF(ISNUMBER(P1835),P1835,0)))&lt;=Summary!$B$2),"Passes using beginning_balance - PreV_ETB differs from beginning_balance",IF(AND(ISNUMBER(O1835),O1835&lt;0,ABS(L1835-(Q1835-IF(ISNUMBER(N1835),N1835,0)+IF(ISNUMBER(P1835),P1835,0)))&lt;=Summary!$B$2),"Negative realized loss not applied - check sign",IF(R1835&lt;0,"Principal paid exceeds prior balance",IF(AND(L1835&gt;Q1835,NOT(ISNUMBER(P1835))),"Balance increased but no Deferred_interest reported",IF(L1835&gt;R1835,"Reported balance higher than expected (missing increase/OC build)","Reported balance lower than expected (missing decrease)"))))),""))</f>
        <v/>
      </c>
    </row>
    <row r="1836" customFormat="false" ht="15" hidden="false" customHeight="false" outlineLevel="0" collapsed="false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9"/>
      <c r="L1836" s="9"/>
      <c r="M1836" s="9"/>
      <c r="N1836" s="9"/>
      <c r="O1836" s="9"/>
      <c r="P1836" s="9"/>
      <c r="Q1836" s="9"/>
      <c r="R1836" s="9" t="str">
        <f aca="false">IF(AND(A1836&lt;&gt;"",ISNUMBER(Q1836),ISNUMBER(L1836)),ROUND(Q1836-IF(ISNUMBER(N1836),N1836,0)-IF(ISNUMBER(O1836),O1836,0)+IF(ISNUMBER(P1836),P1836,0),2),"")</f>
        <v/>
      </c>
      <c r="S1836" s="9" t="str">
        <f aca="false">IF(R1836="","",ROUND(L1836-R1836,2))</f>
        <v/>
      </c>
      <c r="T1836" s="8" t="str">
        <f aca="false">IF(A1836="","",IF(S1836="","BYPASS",IF(ABS(S1836)&lt;=Summary!$B$2,"PASS","FAIL")))</f>
        <v/>
      </c>
      <c r="U1836" s="8" t="str">
        <f aca="false">IF(T1836="BYPASS",IF(NOT(ISNUMBER(Q1836)),"PreV_ETB missing","End_tr_balance missing"),IF(T1836="FAIL",IF(AND(ISNUMBER(K1836),ISNUMBER(L1836),ABS(L1836-(K1836-IF(ISNUMBER(N1836),N1836,0)-IF(ISNUMBER(O1836),O1836,0)+IF(ISNUMBER(P1836),P1836,0)))&lt;=Summary!$B$2),"Passes using beginning_balance - PreV_ETB differs from beginning_balance",IF(AND(ISNUMBER(O1836),O1836&lt;0,ABS(L1836-(Q1836-IF(ISNUMBER(N1836),N1836,0)+IF(ISNUMBER(P1836),P1836,0)))&lt;=Summary!$B$2),"Negative realized loss not applied - check sign",IF(R1836&lt;0,"Principal paid exceeds prior balance",IF(AND(L1836&gt;Q1836,NOT(ISNUMBER(P1836))),"Balance increased but no Deferred_interest reported",IF(L1836&gt;R1836,"Reported balance higher than expected (missing increase/OC build)","Reported balance lower than expected (missing decrease)"))))),""))</f>
        <v/>
      </c>
    </row>
    <row r="1837" customFormat="false" ht="15" hidden="false" customHeight="false" outlineLevel="0" collapsed="false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9"/>
      <c r="L1837" s="9"/>
      <c r="M1837" s="9"/>
      <c r="N1837" s="9"/>
      <c r="O1837" s="9"/>
      <c r="P1837" s="9"/>
      <c r="Q1837" s="9"/>
      <c r="R1837" s="9" t="str">
        <f aca="false">IF(AND(A1837&lt;&gt;"",ISNUMBER(Q1837),ISNUMBER(L1837)),ROUND(Q1837-IF(ISNUMBER(N1837),N1837,0)-IF(ISNUMBER(O1837),O1837,0)+IF(ISNUMBER(P1837),P1837,0),2),"")</f>
        <v/>
      </c>
      <c r="S1837" s="9" t="str">
        <f aca="false">IF(R1837="","",ROUND(L1837-R1837,2))</f>
        <v/>
      </c>
      <c r="T1837" s="8" t="str">
        <f aca="false">IF(A1837="","",IF(S1837="","BYPASS",IF(ABS(S1837)&lt;=Summary!$B$2,"PASS","FAIL")))</f>
        <v/>
      </c>
      <c r="U1837" s="8" t="str">
        <f aca="false">IF(T1837="BYPASS",IF(NOT(ISNUMBER(Q1837)),"PreV_ETB missing","End_tr_balance missing"),IF(T1837="FAIL",IF(AND(ISNUMBER(K1837),ISNUMBER(L1837),ABS(L1837-(K1837-IF(ISNUMBER(N1837),N1837,0)-IF(ISNUMBER(O1837),O1837,0)+IF(ISNUMBER(P1837),P1837,0)))&lt;=Summary!$B$2),"Passes using beginning_balance - PreV_ETB differs from beginning_balance",IF(AND(ISNUMBER(O1837),O1837&lt;0,ABS(L1837-(Q1837-IF(ISNUMBER(N1837),N1837,0)+IF(ISNUMBER(P1837),P1837,0)))&lt;=Summary!$B$2),"Negative realized loss not applied - check sign",IF(R1837&lt;0,"Principal paid exceeds prior balance",IF(AND(L1837&gt;Q1837,NOT(ISNUMBER(P1837))),"Balance increased but no Deferred_interest reported",IF(L1837&gt;R1837,"Reported balance higher than expected (missing increase/OC build)","Reported balance lower than expected (missing decrease)"))))),""))</f>
        <v/>
      </c>
    </row>
    <row r="1838" customFormat="false" ht="15" hidden="false" customHeight="false" outlineLevel="0" collapsed="false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9"/>
      <c r="L1838" s="9"/>
      <c r="M1838" s="9"/>
      <c r="N1838" s="9"/>
      <c r="O1838" s="9"/>
      <c r="P1838" s="9"/>
      <c r="Q1838" s="9"/>
      <c r="R1838" s="9" t="str">
        <f aca="false">IF(AND(A1838&lt;&gt;"",ISNUMBER(Q1838),ISNUMBER(L1838)),ROUND(Q1838-IF(ISNUMBER(N1838),N1838,0)-IF(ISNUMBER(O1838),O1838,0)+IF(ISNUMBER(P1838),P1838,0),2),"")</f>
        <v/>
      </c>
      <c r="S1838" s="9" t="str">
        <f aca="false">IF(R1838="","",ROUND(L1838-R1838,2))</f>
        <v/>
      </c>
      <c r="T1838" s="8" t="str">
        <f aca="false">IF(A1838="","",IF(S1838="","BYPASS",IF(ABS(S1838)&lt;=Summary!$B$2,"PASS","FAIL")))</f>
        <v/>
      </c>
      <c r="U1838" s="8" t="str">
        <f aca="false">IF(T1838="BYPASS",IF(NOT(ISNUMBER(Q1838)),"PreV_ETB missing","End_tr_balance missing"),IF(T1838="FAIL",IF(AND(ISNUMBER(K1838),ISNUMBER(L1838),ABS(L1838-(K1838-IF(ISNUMBER(N1838),N1838,0)-IF(ISNUMBER(O1838),O1838,0)+IF(ISNUMBER(P1838),P1838,0)))&lt;=Summary!$B$2),"Passes using beginning_balance - PreV_ETB differs from beginning_balance",IF(AND(ISNUMBER(O1838),O1838&lt;0,ABS(L1838-(Q1838-IF(ISNUMBER(N1838),N1838,0)+IF(ISNUMBER(P1838),P1838,0)))&lt;=Summary!$B$2),"Negative realized loss not applied - check sign",IF(R1838&lt;0,"Principal paid exceeds prior balance",IF(AND(L1838&gt;Q1838,NOT(ISNUMBER(P1838))),"Balance increased but no Deferred_interest reported",IF(L1838&gt;R1838,"Reported balance higher than expected (missing increase/OC build)","Reported balance lower than expected (missing decrease)"))))),""))</f>
        <v/>
      </c>
    </row>
    <row r="1839" customFormat="false" ht="15" hidden="false" customHeight="false" outlineLevel="0" collapsed="false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9"/>
      <c r="L1839" s="9"/>
      <c r="M1839" s="9"/>
      <c r="N1839" s="9"/>
      <c r="O1839" s="9"/>
      <c r="P1839" s="9"/>
      <c r="Q1839" s="9"/>
      <c r="R1839" s="9" t="str">
        <f aca="false">IF(AND(A1839&lt;&gt;"",ISNUMBER(Q1839),ISNUMBER(L1839)),ROUND(Q1839-IF(ISNUMBER(N1839),N1839,0)-IF(ISNUMBER(O1839),O1839,0)+IF(ISNUMBER(P1839),P1839,0),2),"")</f>
        <v/>
      </c>
      <c r="S1839" s="9" t="str">
        <f aca="false">IF(R1839="","",ROUND(L1839-R1839,2))</f>
        <v/>
      </c>
      <c r="T1839" s="8" t="str">
        <f aca="false">IF(A1839="","",IF(S1839="","BYPASS",IF(ABS(S1839)&lt;=Summary!$B$2,"PASS","FAIL")))</f>
        <v/>
      </c>
      <c r="U1839" s="8" t="str">
        <f aca="false">IF(T1839="BYPASS",IF(NOT(ISNUMBER(Q1839)),"PreV_ETB missing","End_tr_balance missing"),IF(T1839="FAIL",IF(AND(ISNUMBER(K1839),ISNUMBER(L1839),ABS(L1839-(K1839-IF(ISNUMBER(N1839),N1839,0)-IF(ISNUMBER(O1839),O1839,0)+IF(ISNUMBER(P1839),P1839,0)))&lt;=Summary!$B$2),"Passes using beginning_balance - PreV_ETB differs from beginning_balance",IF(AND(ISNUMBER(O1839),O1839&lt;0,ABS(L1839-(Q1839-IF(ISNUMBER(N1839),N1839,0)+IF(ISNUMBER(P1839),P1839,0)))&lt;=Summary!$B$2),"Negative realized loss not applied - check sign",IF(R1839&lt;0,"Principal paid exceeds prior balance",IF(AND(L1839&gt;Q1839,NOT(ISNUMBER(P1839))),"Balance increased but no Deferred_interest reported",IF(L1839&gt;R1839,"Reported balance higher than expected (missing increase/OC build)","Reported balance lower than expected (missing decrease)"))))),""))</f>
        <v/>
      </c>
    </row>
    <row r="1840" customFormat="false" ht="15" hidden="false" customHeight="false" outlineLevel="0" collapsed="false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9"/>
      <c r="L1840" s="9"/>
      <c r="M1840" s="9"/>
      <c r="N1840" s="9"/>
      <c r="O1840" s="9"/>
      <c r="P1840" s="9"/>
      <c r="Q1840" s="9"/>
      <c r="R1840" s="9" t="str">
        <f aca="false">IF(AND(A1840&lt;&gt;"",ISNUMBER(Q1840),ISNUMBER(L1840)),ROUND(Q1840-IF(ISNUMBER(N1840),N1840,0)-IF(ISNUMBER(O1840),O1840,0)+IF(ISNUMBER(P1840),P1840,0),2),"")</f>
        <v/>
      </c>
      <c r="S1840" s="9" t="str">
        <f aca="false">IF(R1840="","",ROUND(L1840-R1840,2))</f>
        <v/>
      </c>
      <c r="T1840" s="8" t="str">
        <f aca="false">IF(A1840="","",IF(S1840="","BYPASS",IF(ABS(S1840)&lt;=Summary!$B$2,"PASS","FAIL")))</f>
        <v/>
      </c>
      <c r="U1840" s="8" t="str">
        <f aca="false">IF(T1840="BYPASS",IF(NOT(ISNUMBER(Q1840)),"PreV_ETB missing","End_tr_balance missing"),IF(T1840="FAIL",IF(AND(ISNUMBER(K1840),ISNUMBER(L1840),ABS(L1840-(K1840-IF(ISNUMBER(N1840),N1840,0)-IF(ISNUMBER(O1840),O1840,0)+IF(ISNUMBER(P1840),P1840,0)))&lt;=Summary!$B$2),"Passes using beginning_balance - PreV_ETB differs from beginning_balance",IF(AND(ISNUMBER(O1840),O1840&lt;0,ABS(L1840-(Q1840-IF(ISNUMBER(N1840),N1840,0)+IF(ISNUMBER(P1840),P1840,0)))&lt;=Summary!$B$2),"Negative realized loss not applied - check sign",IF(R1840&lt;0,"Principal paid exceeds prior balance",IF(AND(L1840&gt;Q1840,NOT(ISNUMBER(P1840))),"Balance increased but no Deferred_interest reported",IF(L1840&gt;R1840,"Reported balance higher than expected (missing increase/OC build)","Reported balance lower than expected (missing decrease)"))))),""))</f>
        <v/>
      </c>
    </row>
    <row r="1841" customFormat="false" ht="15" hidden="false" customHeight="false" outlineLevel="0" collapsed="false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9"/>
      <c r="L1841" s="9"/>
      <c r="M1841" s="9"/>
      <c r="N1841" s="9"/>
      <c r="O1841" s="9"/>
      <c r="P1841" s="9"/>
      <c r="Q1841" s="9"/>
      <c r="R1841" s="9" t="str">
        <f aca="false">IF(AND(A1841&lt;&gt;"",ISNUMBER(Q1841),ISNUMBER(L1841)),ROUND(Q1841-IF(ISNUMBER(N1841),N1841,0)-IF(ISNUMBER(O1841),O1841,0)+IF(ISNUMBER(P1841),P1841,0),2),"")</f>
        <v/>
      </c>
      <c r="S1841" s="9" t="str">
        <f aca="false">IF(R1841="","",ROUND(L1841-R1841,2))</f>
        <v/>
      </c>
      <c r="T1841" s="8" t="str">
        <f aca="false">IF(A1841="","",IF(S1841="","BYPASS",IF(ABS(S1841)&lt;=Summary!$B$2,"PASS","FAIL")))</f>
        <v/>
      </c>
      <c r="U1841" s="8" t="str">
        <f aca="false">IF(T1841="BYPASS",IF(NOT(ISNUMBER(Q1841)),"PreV_ETB missing","End_tr_balance missing"),IF(T1841="FAIL",IF(AND(ISNUMBER(K1841),ISNUMBER(L1841),ABS(L1841-(K1841-IF(ISNUMBER(N1841),N1841,0)-IF(ISNUMBER(O1841),O1841,0)+IF(ISNUMBER(P1841),P1841,0)))&lt;=Summary!$B$2),"Passes using beginning_balance - PreV_ETB differs from beginning_balance",IF(AND(ISNUMBER(O1841),O1841&lt;0,ABS(L1841-(Q1841-IF(ISNUMBER(N1841),N1841,0)+IF(ISNUMBER(P1841),P1841,0)))&lt;=Summary!$B$2),"Negative realized loss not applied - check sign",IF(R1841&lt;0,"Principal paid exceeds prior balance",IF(AND(L1841&gt;Q1841,NOT(ISNUMBER(P1841))),"Balance increased but no Deferred_interest reported",IF(L1841&gt;R1841,"Reported balance higher than expected (missing increase/OC build)","Reported balance lower than expected (missing decrease)"))))),""))</f>
        <v/>
      </c>
    </row>
    <row r="1842" customFormat="false" ht="15" hidden="false" customHeight="false" outlineLevel="0" collapsed="false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9"/>
      <c r="L1842" s="9"/>
      <c r="M1842" s="9"/>
      <c r="N1842" s="9"/>
      <c r="O1842" s="9"/>
      <c r="P1842" s="9"/>
      <c r="Q1842" s="9"/>
      <c r="R1842" s="9" t="str">
        <f aca="false">IF(AND(A1842&lt;&gt;"",ISNUMBER(Q1842),ISNUMBER(L1842)),ROUND(Q1842-IF(ISNUMBER(N1842),N1842,0)-IF(ISNUMBER(O1842),O1842,0)+IF(ISNUMBER(P1842),P1842,0),2),"")</f>
        <v/>
      </c>
      <c r="S1842" s="9" t="str">
        <f aca="false">IF(R1842="","",ROUND(L1842-R1842,2))</f>
        <v/>
      </c>
      <c r="T1842" s="8" t="str">
        <f aca="false">IF(A1842="","",IF(S1842="","BYPASS",IF(ABS(S1842)&lt;=Summary!$B$2,"PASS","FAIL")))</f>
        <v/>
      </c>
      <c r="U1842" s="8" t="str">
        <f aca="false">IF(T1842="BYPASS",IF(NOT(ISNUMBER(Q1842)),"PreV_ETB missing","End_tr_balance missing"),IF(T1842="FAIL",IF(AND(ISNUMBER(K1842),ISNUMBER(L1842),ABS(L1842-(K1842-IF(ISNUMBER(N1842),N1842,0)-IF(ISNUMBER(O1842),O1842,0)+IF(ISNUMBER(P1842),P1842,0)))&lt;=Summary!$B$2),"Passes using beginning_balance - PreV_ETB differs from beginning_balance",IF(AND(ISNUMBER(O1842),O1842&lt;0,ABS(L1842-(Q1842-IF(ISNUMBER(N1842),N1842,0)+IF(ISNUMBER(P1842),P1842,0)))&lt;=Summary!$B$2),"Negative realized loss not applied - check sign",IF(R1842&lt;0,"Principal paid exceeds prior balance",IF(AND(L1842&gt;Q1842,NOT(ISNUMBER(P1842))),"Balance increased but no Deferred_interest reported",IF(L1842&gt;R1842,"Reported balance higher than expected (missing increase/OC build)","Reported balance lower than expected (missing decrease)"))))),""))</f>
        <v/>
      </c>
    </row>
    <row r="1843" customFormat="false" ht="15" hidden="false" customHeight="false" outlineLevel="0" collapsed="false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9"/>
      <c r="L1843" s="9"/>
      <c r="M1843" s="9"/>
      <c r="N1843" s="9"/>
      <c r="O1843" s="9"/>
      <c r="P1843" s="9"/>
      <c r="Q1843" s="9"/>
      <c r="R1843" s="9" t="str">
        <f aca="false">IF(AND(A1843&lt;&gt;"",ISNUMBER(Q1843),ISNUMBER(L1843)),ROUND(Q1843-IF(ISNUMBER(N1843),N1843,0)-IF(ISNUMBER(O1843),O1843,0)+IF(ISNUMBER(P1843),P1843,0),2),"")</f>
        <v/>
      </c>
      <c r="S1843" s="9" t="str">
        <f aca="false">IF(R1843="","",ROUND(L1843-R1843,2))</f>
        <v/>
      </c>
      <c r="T1843" s="8" t="str">
        <f aca="false">IF(A1843="","",IF(S1843="","BYPASS",IF(ABS(S1843)&lt;=Summary!$B$2,"PASS","FAIL")))</f>
        <v/>
      </c>
      <c r="U1843" s="8" t="str">
        <f aca="false">IF(T1843="BYPASS",IF(NOT(ISNUMBER(Q1843)),"PreV_ETB missing","End_tr_balance missing"),IF(T1843="FAIL",IF(AND(ISNUMBER(K1843),ISNUMBER(L1843),ABS(L1843-(K1843-IF(ISNUMBER(N1843),N1843,0)-IF(ISNUMBER(O1843),O1843,0)+IF(ISNUMBER(P1843),P1843,0)))&lt;=Summary!$B$2),"Passes using beginning_balance - PreV_ETB differs from beginning_balance",IF(AND(ISNUMBER(O1843),O1843&lt;0,ABS(L1843-(Q1843-IF(ISNUMBER(N1843),N1843,0)+IF(ISNUMBER(P1843),P1843,0)))&lt;=Summary!$B$2),"Negative realized loss not applied - check sign",IF(R1843&lt;0,"Principal paid exceeds prior balance",IF(AND(L1843&gt;Q1843,NOT(ISNUMBER(P1843))),"Balance increased but no Deferred_interest reported",IF(L1843&gt;R1843,"Reported balance higher than expected (missing increase/OC build)","Reported balance lower than expected (missing decrease)"))))),""))</f>
        <v/>
      </c>
    </row>
    <row r="1844" customFormat="false" ht="15" hidden="false" customHeight="false" outlineLevel="0" collapsed="false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9"/>
      <c r="L1844" s="9"/>
      <c r="M1844" s="9"/>
      <c r="N1844" s="9"/>
      <c r="O1844" s="9"/>
      <c r="P1844" s="9"/>
      <c r="Q1844" s="9"/>
      <c r="R1844" s="9" t="str">
        <f aca="false">IF(AND(A1844&lt;&gt;"",ISNUMBER(Q1844),ISNUMBER(L1844)),ROUND(Q1844-IF(ISNUMBER(N1844),N1844,0)-IF(ISNUMBER(O1844),O1844,0)+IF(ISNUMBER(P1844),P1844,0),2),"")</f>
        <v/>
      </c>
      <c r="S1844" s="9" t="str">
        <f aca="false">IF(R1844="","",ROUND(L1844-R1844,2))</f>
        <v/>
      </c>
      <c r="T1844" s="8" t="str">
        <f aca="false">IF(A1844="","",IF(S1844="","BYPASS",IF(ABS(S1844)&lt;=Summary!$B$2,"PASS","FAIL")))</f>
        <v/>
      </c>
      <c r="U1844" s="8" t="str">
        <f aca="false">IF(T1844="BYPASS",IF(NOT(ISNUMBER(Q1844)),"PreV_ETB missing","End_tr_balance missing"),IF(T1844="FAIL",IF(AND(ISNUMBER(K1844),ISNUMBER(L1844),ABS(L1844-(K1844-IF(ISNUMBER(N1844),N1844,0)-IF(ISNUMBER(O1844),O1844,0)+IF(ISNUMBER(P1844),P1844,0)))&lt;=Summary!$B$2),"Passes using beginning_balance - PreV_ETB differs from beginning_balance",IF(AND(ISNUMBER(O1844),O1844&lt;0,ABS(L1844-(Q1844-IF(ISNUMBER(N1844),N1844,0)+IF(ISNUMBER(P1844),P1844,0)))&lt;=Summary!$B$2),"Negative realized loss not applied - check sign",IF(R1844&lt;0,"Principal paid exceeds prior balance",IF(AND(L1844&gt;Q1844,NOT(ISNUMBER(P1844))),"Balance increased but no Deferred_interest reported",IF(L1844&gt;R1844,"Reported balance higher than expected (missing increase/OC build)","Reported balance lower than expected (missing decrease)"))))),""))</f>
        <v/>
      </c>
    </row>
    <row r="1845" customFormat="false" ht="15" hidden="false" customHeight="false" outlineLevel="0" collapsed="false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9"/>
      <c r="L1845" s="9"/>
      <c r="M1845" s="9"/>
      <c r="N1845" s="9"/>
      <c r="O1845" s="9"/>
      <c r="P1845" s="9"/>
      <c r="Q1845" s="9"/>
      <c r="R1845" s="9" t="str">
        <f aca="false">IF(AND(A1845&lt;&gt;"",ISNUMBER(Q1845),ISNUMBER(L1845)),ROUND(Q1845-IF(ISNUMBER(N1845),N1845,0)-IF(ISNUMBER(O1845),O1845,0)+IF(ISNUMBER(P1845),P1845,0),2),"")</f>
        <v/>
      </c>
      <c r="S1845" s="9" t="str">
        <f aca="false">IF(R1845="","",ROUND(L1845-R1845,2))</f>
        <v/>
      </c>
      <c r="T1845" s="8" t="str">
        <f aca="false">IF(A1845="","",IF(S1845="","BYPASS",IF(ABS(S1845)&lt;=Summary!$B$2,"PASS","FAIL")))</f>
        <v/>
      </c>
      <c r="U1845" s="8" t="str">
        <f aca="false">IF(T1845="BYPASS",IF(NOT(ISNUMBER(Q1845)),"PreV_ETB missing","End_tr_balance missing"),IF(T1845="FAIL",IF(AND(ISNUMBER(K1845),ISNUMBER(L1845),ABS(L1845-(K1845-IF(ISNUMBER(N1845),N1845,0)-IF(ISNUMBER(O1845),O1845,0)+IF(ISNUMBER(P1845),P1845,0)))&lt;=Summary!$B$2),"Passes using beginning_balance - PreV_ETB differs from beginning_balance",IF(AND(ISNUMBER(O1845),O1845&lt;0,ABS(L1845-(Q1845-IF(ISNUMBER(N1845),N1845,0)+IF(ISNUMBER(P1845),P1845,0)))&lt;=Summary!$B$2),"Negative realized loss not applied - check sign",IF(R1845&lt;0,"Principal paid exceeds prior balance",IF(AND(L1845&gt;Q1845,NOT(ISNUMBER(P1845))),"Balance increased but no Deferred_interest reported",IF(L1845&gt;R1845,"Reported balance higher than expected (missing increase/OC build)","Reported balance lower than expected (missing decrease)"))))),""))</f>
        <v/>
      </c>
    </row>
    <row r="1846" customFormat="false" ht="15" hidden="false" customHeight="false" outlineLevel="0" collapsed="false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9"/>
      <c r="L1846" s="9"/>
      <c r="M1846" s="9"/>
      <c r="N1846" s="9"/>
      <c r="O1846" s="9"/>
      <c r="P1846" s="9"/>
      <c r="Q1846" s="9"/>
      <c r="R1846" s="9" t="str">
        <f aca="false">IF(AND(A1846&lt;&gt;"",ISNUMBER(Q1846),ISNUMBER(L1846)),ROUND(Q1846-IF(ISNUMBER(N1846),N1846,0)-IF(ISNUMBER(O1846),O1846,0)+IF(ISNUMBER(P1846),P1846,0),2),"")</f>
        <v/>
      </c>
      <c r="S1846" s="9" t="str">
        <f aca="false">IF(R1846="","",ROUND(L1846-R1846,2))</f>
        <v/>
      </c>
      <c r="T1846" s="8" t="str">
        <f aca="false">IF(A1846="","",IF(S1846="","BYPASS",IF(ABS(S1846)&lt;=Summary!$B$2,"PASS","FAIL")))</f>
        <v/>
      </c>
      <c r="U1846" s="8" t="str">
        <f aca="false">IF(T1846="BYPASS",IF(NOT(ISNUMBER(Q1846)),"PreV_ETB missing","End_tr_balance missing"),IF(T1846="FAIL",IF(AND(ISNUMBER(K1846),ISNUMBER(L1846),ABS(L1846-(K1846-IF(ISNUMBER(N1846),N1846,0)-IF(ISNUMBER(O1846),O1846,0)+IF(ISNUMBER(P1846),P1846,0)))&lt;=Summary!$B$2),"Passes using beginning_balance - PreV_ETB differs from beginning_balance",IF(AND(ISNUMBER(O1846),O1846&lt;0,ABS(L1846-(Q1846-IF(ISNUMBER(N1846),N1846,0)+IF(ISNUMBER(P1846),P1846,0)))&lt;=Summary!$B$2),"Negative realized loss not applied - check sign",IF(R1846&lt;0,"Principal paid exceeds prior balance",IF(AND(L1846&gt;Q1846,NOT(ISNUMBER(P1846))),"Balance increased but no Deferred_interest reported",IF(L1846&gt;R1846,"Reported balance higher than expected (missing increase/OC build)","Reported balance lower than expected (missing decrease)"))))),""))</f>
        <v/>
      </c>
    </row>
    <row r="1847" customFormat="false" ht="15" hidden="false" customHeight="false" outlineLevel="0" collapsed="false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9"/>
      <c r="L1847" s="9"/>
      <c r="M1847" s="9"/>
      <c r="N1847" s="9"/>
      <c r="O1847" s="9"/>
      <c r="P1847" s="9"/>
      <c r="Q1847" s="9"/>
      <c r="R1847" s="9" t="str">
        <f aca="false">IF(AND(A1847&lt;&gt;"",ISNUMBER(Q1847),ISNUMBER(L1847)),ROUND(Q1847-IF(ISNUMBER(N1847),N1847,0)-IF(ISNUMBER(O1847),O1847,0)+IF(ISNUMBER(P1847),P1847,0),2),"")</f>
        <v/>
      </c>
      <c r="S1847" s="9" t="str">
        <f aca="false">IF(R1847="","",ROUND(L1847-R1847,2))</f>
        <v/>
      </c>
      <c r="T1847" s="8" t="str">
        <f aca="false">IF(A1847="","",IF(S1847="","BYPASS",IF(ABS(S1847)&lt;=Summary!$B$2,"PASS","FAIL")))</f>
        <v/>
      </c>
      <c r="U1847" s="8" t="str">
        <f aca="false">IF(T1847="BYPASS",IF(NOT(ISNUMBER(Q1847)),"PreV_ETB missing","End_tr_balance missing"),IF(T1847="FAIL",IF(AND(ISNUMBER(K1847),ISNUMBER(L1847),ABS(L1847-(K1847-IF(ISNUMBER(N1847),N1847,0)-IF(ISNUMBER(O1847),O1847,0)+IF(ISNUMBER(P1847),P1847,0)))&lt;=Summary!$B$2),"Passes using beginning_balance - PreV_ETB differs from beginning_balance",IF(AND(ISNUMBER(O1847),O1847&lt;0,ABS(L1847-(Q1847-IF(ISNUMBER(N1847),N1847,0)+IF(ISNUMBER(P1847),P1847,0)))&lt;=Summary!$B$2),"Negative realized loss not applied - check sign",IF(R1847&lt;0,"Principal paid exceeds prior balance",IF(AND(L1847&gt;Q1847,NOT(ISNUMBER(P1847))),"Balance increased but no Deferred_interest reported",IF(L1847&gt;R1847,"Reported balance higher than expected (missing increase/OC build)","Reported balance lower than expected (missing decrease)"))))),""))</f>
        <v/>
      </c>
    </row>
    <row r="1848" customFormat="false" ht="15" hidden="false" customHeight="false" outlineLevel="0" collapsed="false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9"/>
      <c r="L1848" s="9"/>
      <c r="M1848" s="9"/>
      <c r="N1848" s="9"/>
      <c r="O1848" s="9"/>
      <c r="P1848" s="9"/>
      <c r="Q1848" s="9"/>
      <c r="R1848" s="9" t="str">
        <f aca="false">IF(AND(A1848&lt;&gt;"",ISNUMBER(Q1848),ISNUMBER(L1848)),ROUND(Q1848-IF(ISNUMBER(N1848),N1848,0)-IF(ISNUMBER(O1848),O1848,0)+IF(ISNUMBER(P1848),P1848,0),2),"")</f>
        <v/>
      </c>
      <c r="S1848" s="9" t="str">
        <f aca="false">IF(R1848="","",ROUND(L1848-R1848,2))</f>
        <v/>
      </c>
      <c r="T1848" s="8" t="str">
        <f aca="false">IF(A1848="","",IF(S1848="","BYPASS",IF(ABS(S1848)&lt;=Summary!$B$2,"PASS","FAIL")))</f>
        <v/>
      </c>
      <c r="U1848" s="8" t="str">
        <f aca="false">IF(T1848="BYPASS",IF(NOT(ISNUMBER(Q1848)),"PreV_ETB missing","End_tr_balance missing"),IF(T1848="FAIL",IF(AND(ISNUMBER(K1848),ISNUMBER(L1848),ABS(L1848-(K1848-IF(ISNUMBER(N1848),N1848,0)-IF(ISNUMBER(O1848),O1848,0)+IF(ISNUMBER(P1848),P1848,0)))&lt;=Summary!$B$2),"Passes using beginning_balance - PreV_ETB differs from beginning_balance",IF(AND(ISNUMBER(O1848),O1848&lt;0,ABS(L1848-(Q1848-IF(ISNUMBER(N1848),N1848,0)+IF(ISNUMBER(P1848),P1848,0)))&lt;=Summary!$B$2),"Negative realized loss not applied - check sign",IF(R1848&lt;0,"Principal paid exceeds prior balance",IF(AND(L1848&gt;Q1848,NOT(ISNUMBER(P1848))),"Balance increased but no Deferred_interest reported",IF(L1848&gt;R1848,"Reported balance higher than expected (missing increase/OC build)","Reported balance lower than expected (missing decrease)"))))),""))</f>
        <v/>
      </c>
    </row>
    <row r="1849" customFormat="false" ht="15" hidden="false" customHeight="false" outlineLevel="0" collapsed="false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9"/>
      <c r="L1849" s="9"/>
      <c r="M1849" s="9"/>
      <c r="N1849" s="9"/>
      <c r="O1849" s="9"/>
      <c r="P1849" s="9"/>
      <c r="Q1849" s="9"/>
      <c r="R1849" s="9" t="str">
        <f aca="false">IF(AND(A1849&lt;&gt;"",ISNUMBER(Q1849),ISNUMBER(L1849)),ROUND(Q1849-IF(ISNUMBER(N1849),N1849,0)-IF(ISNUMBER(O1849),O1849,0)+IF(ISNUMBER(P1849),P1849,0),2),"")</f>
        <v/>
      </c>
      <c r="S1849" s="9" t="str">
        <f aca="false">IF(R1849="","",ROUND(L1849-R1849,2))</f>
        <v/>
      </c>
      <c r="T1849" s="8" t="str">
        <f aca="false">IF(A1849="","",IF(S1849="","BYPASS",IF(ABS(S1849)&lt;=Summary!$B$2,"PASS","FAIL")))</f>
        <v/>
      </c>
      <c r="U1849" s="8" t="str">
        <f aca="false">IF(T1849="BYPASS",IF(NOT(ISNUMBER(Q1849)),"PreV_ETB missing","End_tr_balance missing"),IF(T1849="FAIL",IF(AND(ISNUMBER(K1849),ISNUMBER(L1849),ABS(L1849-(K1849-IF(ISNUMBER(N1849),N1849,0)-IF(ISNUMBER(O1849),O1849,0)+IF(ISNUMBER(P1849),P1849,0)))&lt;=Summary!$B$2),"Passes using beginning_balance - PreV_ETB differs from beginning_balance",IF(AND(ISNUMBER(O1849),O1849&lt;0,ABS(L1849-(Q1849-IF(ISNUMBER(N1849),N1849,0)+IF(ISNUMBER(P1849),P1849,0)))&lt;=Summary!$B$2),"Negative realized loss not applied - check sign",IF(R1849&lt;0,"Principal paid exceeds prior balance",IF(AND(L1849&gt;Q1849,NOT(ISNUMBER(P1849))),"Balance increased but no Deferred_interest reported",IF(L1849&gt;R1849,"Reported balance higher than expected (missing increase/OC build)","Reported balance lower than expected (missing decrease)"))))),""))</f>
        <v/>
      </c>
    </row>
    <row r="1850" customFormat="false" ht="15" hidden="false" customHeight="false" outlineLevel="0" collapsed="false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9"/>
      <c r="L1850" s="9"/>
      <c r="M1850" s="9"/>
      <c r="N1850" s="9"/>
      <c r="O1850" s="9"/>
      <c r="P1850" s="9"/>
      <c r="Q1850" s="9"/>
      <c r="R1850" s="9" t="str">
        <f aca="false">IF(AND(A1850&lt;&gt;"",ISNUMBER(Q1850),ISNUMBER(L1850)),ROUND(Q1850-IF(ISNUMBER(N1850),N1850,0)-IF(ISNUMBER(O1850),O1850,0)+IF(ISNUMBER(P1850),P1850,0),2),"")</f>
        <v/>
      </c>
      <c r="S1850" s="9" t="str">
        <f aca="false">IF(R1850="","",ROUND(L1850-R1850,2))</f>
        <v/>
      </c>
      <c r="T1850" s="8" t="str">
        <f aca="false">IF(A1850="","",IF(S1850="","BYPASS",IF(ABS(S1850)&lt;=Summary!$B$2,"PASS","FAIL")))</f>
        <v/>
      </c>
      <c r="U1850" s="8" t="str">
        <f aca="false">IF(T1850="BYPASS",IF(NOT(ISNUMBER(Q1850)),"PreV_ETB missing","End_tr_balance missing"),IF(T1850="FAIL",IF(AND(ISNUMBER(K1850),ISNUMBER(L1850),ABS(L1850-(K1850-IF(ISNUMBER(N1850),N1850,0)-IF(ISNUMBER(O1850),O1850,0)+IF(ISNUMBER(P1850),P1850,0)))&lt;=Summary!$B$2),"Passes using beginning_balance - PreV_ETB differs from beginning_balance",IF(AND(ISNUMBER(O1850),O1850&lt;0,ABS(L1850-(Q1850-IF(ISNUMBER(N1850),N1850,0)+IF(ISNUMBER(P1850),P1850,0)))&lt;=Summary!$B$2),"Negative realized loss not applied - check sign",IF(R1850&lt;0,"Principal paid exceeds prior balance",IF(AND(L1850&gt;Q1850,NOT(ISNUMBER(P1850))),"Balance increased but no Deferred_interest reported",IF(L1850&gt;R1850,"Reported balance higher than expected (missing increase/OC build)","Reported balance lower than expected (missing decrease)"))))),""))</f>
        <v/>
      </c>
    </row>
    <row r="1851" customFormat="false" ht="15" hidden="false" customHeight="false" outlineLevel="0" collapsed="false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9"/>
      <c r="L1851" s="9"/>
      <c r="M1851" s="9"/>
      <c r="N1851" s="9"/>
      <c r="O1851" s="9"/>
      <c r="P1851" s="9"/>
      <c r="Q1851" s="9"/>
      <c r="R1851" s="9" t="str">
        <f aca="false">IF(AND(A1851&lt;&gt;"",ISNUMBER(Q1851),ISNUMBER(L1851)),ROUND(Q1851-IF(ISNUMBER(N1851),N1851,0)-IF(ISNUMBER(O1851),O1851,0)+IF(ISNUMBER(P1851),P1851,0),2),"")</f>
        <v/>
      </c>
      <c r="S1851" s="9" t="str">
        <f aca="false">IF(R1851="","",ROUND(L1851-R1851,2))</f>
        <v/>
      </c>
      <c r="T1851" s="8" t="str">
        <f aca="false">IF(A1851="","",IF(S1851="","BYPASS",IF(ABS(S1851)&lt;=Summary!$B$2,"PASS","FAIL")))</f>
        <v/>
      </c>
      <c r="U1851" s="8" t="str">
        <f aca="false">IF(T1851="BYPASS",IF(NOT(ISNUMBER(Q1851)),"PreV_ETB missing","End_tr_balance missing"),IF(T1851="FAIL",IF(AND(ISNUMBER(K1851),ISNUMBER(L1851),ABS(L1851-(K1851-IF(ISNUMBER(N1851),N1851,0)-IF(ISNUMBER(O1851),O1851,0)+IF(ISNUMBER(P1851),P1851,0)))&lt;=Summary!$B$2),"Passes using beginning_balance - PreV_ETB differs from beginning_balance",IF(AND(ISNUMBER(O1851),O1851&lt;0,ABS(L1851-(Q1851-IF(ISNUMBER(N1851),N1851,0)+IF(ISNUMBER(P1851),P1851,0)))&lt;=Summary!$B$2),"Negative realized loss not applied - check sign",IF(R1851&lt;0,"Principal paid exceeds prior balance",IF(AND(L1851&gt;Q1851,NOT(ISNUMBER(P1851))),"Balance increased but no Deferred_interest reported",IF(L1851&gt;R1851,"Reported balance higher than expected (missing increase/OC build)","Reported balance lower than expected (missing decrease)"))))),""))</f>
        <v/>
      </c>
    </row>
    <row r="1852" customFormat="false" ht="15" hidden="false" customHeight="false" outlineLevel="0" collapsed="false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9"/>
      <c r="L1852" s="9"/>
      <c r="M1852" s="9"/>
      <c r="N1852" s="9"/>
      <c r="O1852" s="9"/>
      <c r="P1852" s="9"/>
      <c r="Q1852" s="9"/>
      <c r="R1852" s="9" t="str">
        <f aca="false">IF(AND(A1852&lt;&gt;"",ISNUMBER(Q1852),ISNUMBER(L1852)),ROUND(Q1852-IF(ISNUMBER(N1852),N1852,0)-IF(ISNUMBER(O1852),O1852,0)+IF(ISNUMBER(P1852),P1852,0),2),"")</f>
        <v/>
      </c>
      <c r="S1852" s="9" t="str">
        <f aca="false">IF(R1852="","",ROUND(L1852-R1852,2))</f>
        <v/>
      </c>
      <c r="T1852" s="8" t="str">
        <f aca="false">IF(A1852="","",IF(S1852="","BYPASS",IF(ABS(S1852)&lt;=Summary!$B$2,"PASS","FAIL")))</f>
        <v/>
      </c>
      <c r="U1852" s="8" t="str">
        <f aca="false">IF(T1852="BYPASS",IF(NOT(ISNUMBER(Q1852)),"PreV_ETB missing","End_tr_balance missing"),IF(T1852="FAIL",IF(AND(ISNUMBER(K1852),ISNUMBER(L1852),ABS(L1852-(K1852-IF(ISNUMBER(N1852),N1852,0)-IF(ISNUMBER(O1852),O1852,0)+IF(ISNUMBER(P1852),P1852,0)))&lt;=Summary!$B$2),"Passes using beginning_balance - PreV_ETB differs from beginning_balance",IF(AND(ISNUMBER(O1852),O1852&lt;0,ABS(L1852-(Q1852-IF(ISNUMBER(N1852),N1852,0)+IF(ISNUMBER(P1852),P1852,0)))&lt;=Summary!$B$2),"Negative realized loss not applied - check sign",IF(R1852&lt;0,"Principal paid exceeds prior balance",IF(AND(L1852&gt;Q1852,NOT(ISNUMBER(P1852))),"Balance increased but no Deferred_interest reported",IF(L1852&gt;R1852,"Reported balance higher than expected (missing increase/OC build)","Reported balance lower than expected (missing decrease)"))))),""))</f>
        <v/>
      </c>
    </row>
    <row r="1853" customFormat="false" ht="15" hidden="false" customHeight="false" outlineLevel="0" collapsed="false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9"/>
      <c r="L1853" s="9"/>
      <c r="M1853" s="9"/>
      <c r="N1853" s="9"/>
      <c r="O1853" s="9"/>
      <c r="P1853" s="9"/>
      <c r="Q1853" s="9"/>
      <c r="R1853" s="9" t="str">
        <f aca="false">IF(AND(A1853&lt;&gt;"",ISNUMBER(Q1853),ISNUMBER(L1853)),ROUND(Q1853-IF(ISNUMBER(N1853),N1853,0)-IF(ISNUMBER(O1853),O1853,0)+IF(ISNUMBER(P1853),P1853,0),2),"")</f>
        <v/>
      </c>
      <c r="S1853" s="9" t="str">
        <f aca="false">IF(R1853="","",ROUND(L1853-R1853,2))</f>
        <v/>
      </c>
      <c r="T1853" s="8" t="str">
        <f aca="false">IF(A1853="","",IF(S1853="","BYPASS",IF(ABS(S1853)&lt;=Summary!$B$2,"PASS","FAIL")))</f>
        <v/>
      </c>
      <c r="U1853" s="8" t="str">
        <f aca="false">IF(T1853="BYPASS",IF(NOT(ISNUMBER(Q1853)),"PreV_ETB missing","End_tr_balance missing"),IF(T1853="FAIL",IF(AND(ISNUMBER(K1853),ISNUMBER(L1853),ABS(L1853-(K1853-IF(ISNUMBER(N1853),N1853,0)-IF(ISNUMBER(O1853),O1853,0)+IF(ISNUMBER(P1853),P1853,0)))&lt;=Summary!$B$2),"Passes using beginning_balance - PreV_ETB differs from beginning_balance",IF(AND(ISNUMBER(O1853),O1853&lt;0,ABS(L1853-(Q1853-IF(ISNUMBER(N1853),N1853,0)+IF(ISNUMBER(P1853),P1853,0)))&lt;=Summary!$B$2),"Negative realized loss not applied - check sign",IF(R1853&lt;0,"Principal paid exceeds prior balance",IF(AND(L1853&gt;Q1853,NOT(ISNUMBER(P1853))),"Balance increased but no Deferred_interest reported",IF(L1853&gt;R1853,"Reported balance higher than expected (missing increase/OC build)","Reported balance lower than expected (missing decrease)"))))),""))</f>
        <v/>
      </c>
    </row>
    <row r="1854" customFormat="false" ht="15" hidden="false" customHeight="false" outlineLevel="0" collapsed="false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9"/>
      <c r="L1854" s="9"/>
      <c r="M1854" s="9"/>
      <c r="N1854" s="9"/>
      <c r="O1854" s="9"/>
      <c r="P1854" s="9"/>
      <c r="Q1854" s="9"/>
      <c r="R1854" s="9" t="str">
        <f aca="false">IF(AND(A1854&lt;&gt;"",ISNUMBER(Q1854),ISNUMBER(L1854)),ROUND(Q1854-IF(ISNUMBER(N1854),N1854,0)-IF(ISNUMBER(O1854),O1854,0)+IF(ISNUMBER(P1854),P1854,0),2),"")</f>
        <v/>
      </c>
      <c r="S1854" s="9" t="str">
        <f aca="false">IF(R1854="","",ROUND(L1854-R1854,2))</f>
        <v/>
      </c>
      <c r="T1854" s="8" t="str">
        <f aca="false">IF(A1854="","",IF(S1854="","BYPASS",IF(ABS(S1854)&lt;=Summary!$B$2,"PASS","FAIL")))</f>
        <v/>
      </c>
      <c r="U1854" s="8" t="str">
        <f aca="false">IF(T1854="BYPASS",IF(NOT(ISNUMBER(Q1854)),"PreV_ETB missing","End_tr_balance missing"),IF(T1854="FAIL",IF(AND(ISNUMBER(K1854),ISNUMBER(L1854),ABS(L1854-(K1854-IF(ISNUMBER(N1854),N1854,0)-IF(ISNUMBER(O1854),O1854,0)+IF(ISNUMBER(P1854),P1854,0)))&lt;=Summary!$B$2),"Passes using beginning_balance - PreV_ETB differs from beginning_balance",IF(AND(ISNUMBER(O1854),O1854&lt;0,ABS(L1854-(Q1854-IF(ISNUMBER(N1854),N1854,0)+IF(ISNUMBER(P1854),P1854,0)))&lt;=Summary!$B$2),"Negative realized loss not applied - check sign",IF(R1854&lt;0,"Principal paid exceeds prior balance",IF(AND(L1854&gt;Q1854,NOT(ISNUMBER(P1854))),"Balance increased but no Deferred_interest reported",IF(L1854&gt;R1854,"Reported balance higher than expected (missing increase/OC build)","Reported balance lower than expected (missing decrease)"))))),""))</f>
        <v/>
      </c>
    </row>
    <row r="1855" customFormat="false" ht="15" hidden="false" customHeight="false" outlineLevel="0" collapsed="false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9"/>
      <c r="L1855" s="9"/>
      <c r="M1855" s="9"/>
      <c r="N1855" s="9"/>
      <c r="O1855" s="9"/>
      <c r="P1855" s="9"/>
      <c r="Q1855" s="9"/>
      <c r="R1855" s="9" t="str">
        <f aca="false">IF(AND(A1855&lt;&gt;"",ISNUMBER(Q1855),ISNUMBER(L1855)),ROUND(Q1855-IF(ISNUMBER(N1855),N1855,0)-IF(ISNUMBER(O1855),O1855,0)+IF(ISNUMBER(P1855),P1855,0),2),"")</f>
        <v/>
      </c>
      <c r="S1855" s="9" t="str">
        <f aca="false">IF(R1855="","",ROUND(L1855-R1855,2))</f>
        <v/>
      </c>
      <c r="T1855" s="8" t="str">
        <f aca="false">IF(A1855="","",IF(S1855="","BYPASS",IF(ABS(S1855)&lt;=Summary!$B$2,"PASS","FAIL")))</f>
        <v/>
      </c>
      <c r="U1855" s="8" t="str">
        <f aca="false">IF(T1855="BYPASS",IF(NOT(ISNUMBER(Q1855)),"PreV_ETB missing","End_tr_balance missing"),IF(T1855="FAIL",IF(AND(ISNUMBER(K1855),ISNUMBER(L1855),ABS(L1855-(K1855-IF(ISNUMBER(N1855),N1855,0)-IF(ISNUMBER(O1855),O1855,0)+IF(ISNUMBER(P1855),P1855,0)))&lt;=Summary!$B$2),"Passes using beginning_balance - PreV_ETB differs from beginning_balance",IF(AND(ISNUMBER(O1855),O1855&lt;0,ABS(L1855-(Q1855-IF(ISNUMBER(N1855),N1855,0)+IF(ISNUMBER(P1855),P1855,0)))&lt;=Summary!$B$2),"Negative realized loss not applied - check sign",IF(R1855&lt;0,"Principal paid exceeds prior balance",IF(AND(L1855&gt;Q1855,NOT(ISNUMBER(P1855))),"Balance increased but no Deferred_interest reported",IF(L1855&gt;R1855,"Reported balance higher than expected (missing increase/OC build)","Reported balance lower than expected (missing decrease)"))))),""))</f>
        <v/>
      </c>
    </row>
    <row r="1856" customFormat="false" ht="15" hidden="false" customHeight="false" outlineLevel="0" collapsed="false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9"/>
      <c r="L1856" s="9"/>
      <c r="M1856" s="9"/>
      <c r="N1856" s="9"/>
      <c r="O1856" s="9"/>
      <c r="P1856" s="9"/>
      <c r="Q1856" s="9"/>
      <c r="R1856" s="9" t="str">
        <f aca="false">IF(AND(A1856&lt;&gt;"",ISNUMBER(Q1856),ISNUMBER(L1856)),ROUND(Q1856-IF(ISNUMBER(N1856),N1856,0)-IF(ISNUMBER(O1856),O1856,0)+IF(ISNUMBER(P1856),P1856,0),2),"")</f>
        <v/>
      </c>
      <c r="S1856" s="9" t="str">
        <f aca="false">IF(R1856="","",ROUND(L1856-R1856,2))</f>
        <v/>
      </c>
      <c r="T1856" s="8" t="str">
        <f aca="false">IF(A1856="","",IF(S1856="","BYPASS",IF(ABS(S1856)&lt;=Summary!$B$2,"PASS","FAIL")))</f>
        <v/>
      </c>
      <c r="U1856" s="8" t="str">
        <f aca="false">IF(T1856="BYPASS",IF(NOT(ISNUMBER(Q1856)),"PreV_ETB missing","End_tr_balance missing"),IF(T1856="FAIL",IF(AND(ISNUMBER(K1856),ISNUMBER(L1856),ABS(L1856-(K1856-IF(ISNUMBER(N1856),N1856,0)-IF(ISNUMBER(O1856),O1856,0)+IF(ISNUMBER(P1856),P1856,0)))&lt;=Summary!$B$2),"Passes using beginning_balance - PreV_ETB differs from beginning_balance",IF(AND(ISNUMBER(O1856),O1856&lt;0,ABS(L1856-(Q1856-IF(ISNUMBER(N1856),N1856,0)+IF(ISNUMBER(P1856),P1856,0)))&lt;=Summary!$B$2),"Negative realized loss not applied - check sign",IF(R1856&lt;0,"Principal paid exceeds prior balance",IF(AND(L1856&gt;Q1856,NOT(ISNUMBER(P1856))),"Balance increased but no Deferred_interest reported",IF(L1856&gt;R1856,"Reported balance higher than expected (missing increase/OC build)","Reported balance lower than expected (missing decrease)"))))),""))</f>
        <v/>
      </c>
    </row>
    <row r="1857" customFormat="false" ht="15" hidden="false" customHeight="false" outlineLevel="0" collapsed="false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9"/>
      <c r="L1857" s="9"/>
      <c r="M1857" s="9"/>
      <c r="N1857" s="9"/>
      <c r="O1857" s="9"/>
      <c r="P1857" s="9"/>
      <c r="Q1857" s="9"/>
      <c r="R1857" s="9" t="str">
        <f aca="false">IF(AND(A1857&lt;&gt;"",ISNUMBER(Q1857),ISNUMBER(L1857)),ROUND(Q1857-IF(ISNUMBER(N1857),N1857,0)-IF(ISNUMBER(O1857),O1857,0)+IF(ISNUMBER(P1857),P1857,0),2),"")</f>
        <v/>
      </c>
      <c r="S1857" s="9" t="str">
        <f aca="false">IF(R1857="","",ROUND(L1857-R1857,2))</f>
        <v/>
      </c>
      <c r="T1857" s="8" t="str">
        <f aca="false">IF(A1857="","",IF(S1857="","BYPASS",IF(ABS(S1857)&lt;=Summary!$B$2,"PASS","FAIL")))</f>
        <v/>
      </c>
      <c r="U1857" s="8" t="str">
        <f aca="false">IF(T1857="BYPASS",IF(NOT(ISNUMBER(Q1857)),"PreV_ETB missing","End_tr_balance missing"),IF(T1857="FAIL",IF(AND(ISNUMBER(K1857),ISNUMBER(L1857),ABS(L1857-(K1857-IF(ISNUMBER(N1857),N1857,0)-IF(ISNUMBER(O1857),O1857,0)+IF(ISNUMBER(P1857),P1857,0)))&lt;=Summary!$B$2),"Passes using beginning_balance - PreV_ETB differs from beginning_balance",IF(AND(ISNUMBER(O1857),O1857&lt;0,ABS(L1857-(Q1857-IF(ISNUMBER(N1857),N1857,0)+IF(ISNUMBER(P1857),P1857,0)))&lt;=Summary!$B$2),"Negative realized loss not applied - check sign",IF(R1857&lt;0,"Principal paid exceeds prior balance",IF(AND(L1857&gt;Q1857,NOT(ISNUMBER(P1857))),"Balance increased but no Deferred_interest reported",IF(L1857&gt;R1857,"Reported balance higher than expected (missing increase/OC build)","Reported balance lower than expected (missing decrease)"))))),""))</f>
        <v/>
      </c>
    </row>
    <row r="1858" customFormat="false" ht="15" hidden="false" customHeight="false" outlineLevel="0" collapsed="false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9"/>
      <c r="L1858" s="9"/>
      <c r="M1858" s="9"/>
      <c r="N1858" s="9"/>
      <c r="O1858" s="9"/>
      <c r="P1858" s="9"/>
      <c r="Q1858" s="9"/>
      <c r="R1858" s="9" t="str">
        <f aca="false">IF(AND(A1858&lt;&gt;"",ISNUMBER(Q1858),ISNUMBER(L1858)),ROUND(Q1858-IF(ISNUMBER(N1858),N1858,0)-IF(ISNUMBER(O1858),O1858,0)+IF(ISNUMBER(P1858),P1858,0),2),"")</f>
        <v/>
      </c>
      <c r="S1858" s="9" t="str">
        <f aca="false">IF(R1858="","",ROUND(L1858-R1858,2))</f>
        <v/>
      </c>
      <c r="T1858" s="8" t="str">
        <f aca="false">IF(A1858="","",IF(S1858="","BYPASS",IF(ABS(S1858)&lt;=Summary!$B$2,"PASS","FAIL")))</f>
        <v/>
      </c>
      <c r="U1858" s="8" t="str">
        <f aca="false">IF(T1858="BYPASS",IF(NOT(ISNUMBER(Q1858)),"PreV_ETB missing","End_tr_balance missing"),IF(T1858="FAIL",IF(AND(ISNUMBER(K1858),ISNUMBER(L1858),ABS(L1858-(K1858-IF(ISNUMBER(N1858),N1858,0)-IF(ISNUMBER(O1858),O1858,0)+IF(ISNUMBER(P1858),P1858,0)))&lt;=Summary!$B$2),"Passes using beginning_balance - PreV_ETB differs from beginning_balance",IF(AND(ISNUMBER(O1858),O1858&lt;0,ABS(L1858-(Q1858-IF(ISNUMBER(N1858),N1858,0)+IF(ISNUMBER(P1858),P1858,0)))&lt;=Summary!$B$2),"Negative realized loss not applied - check sign",IF(R1858&lt;0,"Principal paid exceeds prior balance",IF(AND(L1858&gt;Q1858,NOT(ISNUMBER(P1858))),"Balance increased but no Deferred_interest reported",IF(L1858&gt;R1858,"Reported balance higher than expected (missing increase/OC build)","Reported balance lower than expected (missing decrease)"))))),""))</f>
        <v/>
      </c>
    </row>
    <row r="1859" customFormat="false" ht="15" hidden="false" customHeight="false" outlineLevel="0" collapsed="false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9"/>
      <c r="L1859" s="9"/>
      <c r="M1859" s="9"/>
      <c r="N1859" s="9"/>
      <c r="O1859" s="9"/>
      <c r="P1859" s="9"/>
      <c r="Q1859" s="9"/>
      <c r="R1859" s="9" t="str">
        <f aca="false">IF(AND(A1859&lt;&gt;"",ISNUMBER(Q1859),ISNUMBER(L1859)),ROUND(Q1859-IF(ISNUMBER(N1859),N1859,0)-IF(ISNUMBER(O1859),O1859,0)+IF(ISNUMBER(P1859),P1859,0),2),"")</f>
        <v/>
      </c>
      <c r="S1859" s="9" t="str">
        <f aca="false">IF(R1859="","",ROUND(L1859-R1859,2))</f>
        <v/>
      </c>
      <c r="T1859" s="8" t="str">
        <f aca="false">IF(A1859="","",IF(S1859="","BYPASS",IF(ABS(S1859)&lt;=Summary!$B$2,"PASS","FAIL")))</f>
        <v/>
      </c>
      <c r="U1859" s="8" t="str">
        <f aca="false">IF(T1859="BYPASS",IF(NOT(ISNUMBER(Q1859)),"PreV_ETB missing","End_tr_balance missing"),IF(T1859="FAIL",IF(AND(ISNUMBER(K1859),ISNUMBER(L1859),ABS(L1859-(K1859-IF(ISNUMBER(N1859),N1859,0)-IF(ISNUMBER(O1859),O1859,0)+IF(ISNUMBER(P1859),P1859,0)))&lt;=Summary!$B$2),"Passes using beginning_balance - PreV_ETB differs from beginning_balance",IF(AND(ISNUMBER(O1859),O1859&lt;0,ABS(L1859-(Q1859-IF(ISNUMBER(N1859),N1859,0)+IF(ISNUMBER(P1859),P1859,0)))&lt;=Summary!$B$2),"Negative realized loss not applied - check sign",IF(R1859&lt;0,"Principal paid exceeds prior balance",IF(AND(L1859&gt;Q1859,NOT(ISNUMBER(P1859))),"Balance increased but no Deferred_interest reported",IF(L1859&gt;R1859,"Reported balance higher than expected (missing increase/OC build)","Reported balance lower than expected (missing decrease)"))))),""))</f>
        <v/>
      </c>
    </row>
    <row r="1860" customFormat="false" ht="15" hidden="false" customHeight="false" outlineLevel="0" collapsed="false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9"/>
      <c r="L1860" s="9"/>
      <c r="M1860" s="9"/>
      <c r="N1860" s="9"/>
      <c r="O1860" s="9"/>
      <c r="P1860" s="9"/>
      <c r="Q1860" s="9"/>
      <c r="R1860" s="9" t="str">
        <f aca="false">IF(AND(A1860&lt;&gt;"",ISNUMBER(Q1860),ISNUMBER(L1860)),ROUND(Q1860-IF(ISNUMBER(N1860),N1860,0)-IF(ISNUMBER(O1860),O1860,0)+IF(ISNUMBER(P1860),P1860,0),2),"")</f>
        <v/>
      </c>
      <c r="S1860" s="9" t="str">
        <f aca="false">IF(R1860="","",ROUND(L1860-R1860,2))</f>
        <v/>
      </c>
      <c r="T1860" s="8" t="str">
        <f aca="false">IF(A1860="","",IF(S1860="","BYPASS",IF(ABS(S1860)&lt;=Summary!$B$2,"PASS","FAIL")))</f>
        <v/>
      </c>
      <c r="U1860" s="8" t="str">
        <f aca="false">IF(T1860="BYPASS",IF(NOT(ISNUMBER(Q1860)),"PreV_ETB missing","End_tr_balance missing"),IF(T1860="FAIL",IF(AND(ISNUMBER(K1860),ISNUMBER(L1860),ABS(L1860-(K1860-IF(ISNUMBER(N1860),N1860,0)-IF(ISNUMBER(O1860),O1860,0)+IF(ISNUMBER(P1860),P1860,0)))&lt;=Summary!$B$2),"Passes using beginning_balance - PreV_ETB differs from beginning_balance",IF(AND(ISNUMBER(O1860),O1860&lt;0,ABS(L1860-(Q1860-IF(ISNUMBER(N1860),N1860,0)+IF(ISNUMBER(P1860),P1860,0)))&lt;=Summary!$B$2),"Negative realized loss not applied - check sign",IF(R1860&lt;0,"Principal paid exceeds prior balance",IF(AND(L1860&gt;Q1860,NOT(ISNUMBER(P1860))),"Balance increased but no Deferred_interest reported",IF(L1860&gt;R1860,"Reported balance higher than expected (missing increase/OC build)","Reported balance lower than expected (missing decrease)"))))),""))</f>
        <v/>
      </c>
    </row>
    <row r="1861" customFormat="false" ht="15" hidden="false" customHeight="false" outlineLevel="0" collapsed="false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9"/>
      <c r="L1861" s="9"/>
      <c r="M1861" s="9"/>
      <c r="N1861" s="9"/>
      <c r="O1861" s="9"/>
      <c r="P1861" s="9"/>
      <c r="Q1861" s="9"/>
      <c r="R1861" s="9" t="str">
        <f aca="false">IF(AND(A1861&lt;&gt;"",ISNUMBER(Q1861),ISNUMBER(L1861)),ROUND(Q1861-IF(ISNUMBER(N1861),N1861,0)-IF(ISNUMBER(O1861),O1861,0)+IF(ISNUMBER(P1861),P1861,0),2),"")</f>
        <v/>
      </c>
      <c r="S1861" s="9" t="str">
        <f aca="false">IF(R1861="","",ROUND(L1861-R1861,2))</f>
        <v/>
      </c>
      <c r="T1861" s="8" t="str">
        <f aca="false">IF(A1861="","",IF(S1861="","BYPASS",IF(ABS(S1861)&lt;=Summary!$B$2,"PASS","FAIL")))</f>
        <v/>
      </c>
      <c r="U1861" s="8" t="str">
        <f aca="false">IF(T1861="BYPASS",IF(NOT(ISNUMBER(Q1861)),"PreV_ETB missing","End_tr_balance missing"),IF(T1861="FAIL",IF(AND(ISNUMBER(K1861),ISNUMBER(L1861),ABS(L1861-(K1861-IF(ISNUMBER(N1861),N1861,0)-IF(ISNUMBER(O1861),O1861,0)+IF(ISNUMBER(P1861),P1861,0)))&lt;=Summary!$B$2),"Passes using beginning_balance - PreV_ETB differs from beginning_balance",IF(AND(ISNUMBER(O1861),O1861&lt;0,ABS(L1861-(Q1861-IF(ISNUMBER(N1861),N1861,0)+IF(ISNUMBER(P1861),P1861,0)))&lt;=Summary!$B$2),"Negative realized loss not applied - check sign",IF(R1861&lt;0,"Principal paid exceeds prior balance",IF(AND(L1861&gt;Q1861,NOT(ISNUMBER(P1861))),"Balance increased but no Deferred_interest reported",IF(L1861&gt;R1861,"Reported balance higher than expected (missing increase/OC build)","Reported balance lower than expected (missing decrease)"))))),""))</f>
        <v/>
      </c>
    </row>
    <row r="1862" customFormat="false" ht="15" hidden="false" customHeight="false" outlineLevel="0" collapsed="false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9"/>
      <c r="L1862" s="9"/>
      <c r="M1862" s="9"/>
      <c r="N1862" s="9"/>
      <c r="O1862" s="9"/>
      <c r="P1862" s="9"/>
      <c r="Q1862" s="9"/>
      <c r="R1862" s="9" t="str">
        <f aca="false">IF(AND(A1862&lt;&gt;"",ISNUMBER(Q1862),ISNUMBER(L1862)),ROUND(Q1862-IF(ISNUMBER(N1862),N1862,0)-IF(ISNUMBER(O1862),O1862,0)+IF(ISNUMBER(P1862),P1862,0),2),"")</f>
        <v/>
      </c>
      <c r="S1862" s="9" t="str">
        <f aca="false">IF(R1862="","",ROUND(L1862-R1862,2))</f>
        <v/>
      </c>
      <c r="T1862" s="8" t="str">
        <f aca="false">IF(A1862="","",IF(S1862="","BYPASS",IF(ABS(S1862)&lt;=Summary!$B$2,"PASS","FAIL")))</f>
        <v/>
      </c>
      <c r="U1862" s="8" t="str">
        <f aca="false">IF(T1862="BYPASS",IF(NOT(ISNUMBER(Q1862)),"PreV_ETB missing","End_tr_balance missing"),IF(T1862="FAIL",IF(AND(ISNUMBER(K1862),ISNUMBER(L1862),ABS(L1862-(K1862-IF(ISNUMBER(N1862),N1862,0)-IF(ISNUMBER(O1862),O1862,0)+IF(ISNUMBER(P1862),P1862,0)))&lt;=Summary!$B$2),"Passes using beginning_balance - PreV_ETB differs from beginning_balance",IF(AND(ISNUMBER(O1862),O1862&lt;0,ABS(L1862-(Q1862-IF(ISNUMBER(N1862),N1862,0)+IF(ISNUMBER(P1862),P1862,0)))&lt;=Summary!$B$2),"Negative realized loss not applied - check sign",IF(R1862&lt;0,"Principal paid exceeds prior balance",IF(AND(L1862&gt;Q1862,NOT(ISNUMBER(P1862))),"Balance increased but no Deferred_interest reported",IF(L1862&gt;R1862,"Reported balance higher than expected (missing increase/OC build)","Reported balance lower than expected (missing decrease)"))))),""))</f>
        <v/>
      </c>
    </row>
    <row r="1863" customFormat="false" ht="15" hidden="false" customHeight="false" outlineLevel="0" collapsed="false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9"/>
      <c r="L1863" s="9"/>
      <c r="M1863" s="9"/>
      <c r="N1863" s="9"/>
      <c r="O1863" s="9"/>
      <c r="P1863" s="9"/>
      <c r="Q1863" s="9"/>
      <c r="R1863" s="9" t="str">
        <f aca="false">IF(AND(A1863&lt;&gt;"",ISNUMBER(Q1863),ISNUMBER(L1863)),ROUND(Q1863-IF(ISNUMBER(N1863),N1863,0)-IF(ISNUMBER(O1863),O1863,0)+IF(ISNUMBER(P1863),P1863,0),2),"")</f>
        <v/>
      </c>
      <c r="S1863" s="9" t="str">
        <f aca="false">IF(R1863="","",ROUND(L1863-R1863,2))</f>
        <v/>
      </c>
      <c r="T1863" s="8" t="str">
        <f aca="false">IF(A1863="","",IF(S1863="","BYPASS",IF(ABS(S1863)&lt;=Summary!$B$2,"PASS","FAIL")))</f>
        <v/>
      </c>
      <c r="U1863" s="8" t="str">
        <f aca="false">IF(T1863="BYPASS",IF(NOT(ISNUMBER(Q1863)),"PreV_ETB missing","End_tr_balance missing"),IF(T1863="FAIL",IF(AND(ISNUMBER(K1863),ISNUMBER(L1863),ABS(L1863-(K1863-IF(ISNUMBER(N1863),N1863,0)-IF(ISNUMBER(O1863),O1863,0)+IF(ISNUMBER(P1863),P1863,0)))&lt;=Summary!$B$2),"Passes using beginning_balance - PreV_ETB differs from beginning_balance",IF(AND(ISNUMBER(O1863),O1863&lt;0,ABS(L1863-(Q1863-IF(ISNUMBER(N1863),N1863,0)+IF(ISNUMBER(P1863),P1863,0)))&lt;=Summary!$B$2),"Negative realized loss not applied - check sign",IF(R1863&lt;0,"Principal paid exceeds prior balance",IF(AND(L1863&gt;Q1863,NOT(ISNUMBER(P1863))),"Balance increased but no Deferred_interest reported",IF(L1863&gt;R1863,"Reported balance higher than expected (missing increase/OC build)","Reported balance lower than expected (missing decrease)"))))),""))</f>
        <v/>
      </c>
    </row>
    <row r="1864" customFormat="false" ht="15" hidden="false" customHeight="false" outlineLevel="0" collapsed="false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9"/>
      <c r="L1864" s="9"/>
      <c r="M1864" s="9"/>
      <c r="N1864" s="9"/>
      <c r="O1864" s="9"/>
      <c r="P1864" s="9"/>
      <c r="Q1864" s="9"/>
      <c r="R1864" s="9" t="str">
        <f aca="false">IF(AND(A1864&lt;&gt;"",ISNUMBER(Q1864),ISNUMBER(L1864)),ROUND(Q1864-IF(ISNUMBER(N1864),N1864,0)-IF(ISNUMBER(O1864),O1864,0)+IF(ISNUMBER(P1864),P1864,0),2),"")</f>
        <v/>
      </c>
      <c r="S1864" s="9" t="str">
        <f aca="false">IF(R1864="","",ROUND(L1864-R1864,2))</f>
        <v/>
      </c>
      <c r="T1864" s="8" t="str">
        <f aca="false">IF(A1864="","",IF(S1864="","BYPASS",IF(ABS(S1864)&lt;=Summary!$B$2,"PASS","FAIL")))</f>
        <v/>
      </c>
      <c r="U1864" s="8" t="str">
        <f aca="false">IF(T1864="BYPASS",IF(NOT(ISNUMBER(Q1864)),"PreV_ETB missing","End_tr_balance missing"),IF(T1864="FAIL",IF(AND(ISNUMBER(K1864),ISNUMBER(L1864),ABS(L1864-(K1864-IF(ISNUMBER(N1864),N1864,0)-IF(ISNUMBER(O1864),O1864,0)+IF(ISNUMBER(P1864),P1864,0)))&lt;=Summary!$B$2),"Passes using beginning_balance - PreV_ETB differs from beginning_balance",IF(AND(ISNUMBER(O1864),O1864&lt;0,ABS(L1864-(Q1864-IF(ISNUMBER(N1864),N1864,0)+IF(ISNUMBER(P1864),P1864,0)))&lt;=Summary!$B$2),"Negative realized loss not applied - check sign",IF(R1864&lt;0,"Principal paid exceeds prior balance",IF(AND(L1864&gt;Q1864,NOT(ISNUMBER(P1864))),"Balance increased but no Deferred_interest reported",IF(L1864&gt;R1864,"Reported balance higher than expected (missing increase/OC build)","Reported balance lower than expected (missing decrease)"))))),""))</f>
        <v/>
      </c>
    </row>
    <row r="1865" customFormat="false" ht="15" hidden="false" customHeight="false" outlineLevel="0" collapsed="false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9"/>
      <c r="L1865" s="9"/>
      <c r="M1865" s="9"/>
      <c r="N1865" s="9"/>
      <c r="O1865" s="9"/>
      <c r="P1865" s="9"/>
      <c r="Q1865" s="9"/>
      <c r="R1865" s="9" t="str">
        <f aca="false">IF(AND(A1865&lt;&gt;"",ISNUMBER(Q1865),ISNUMBER(L1865)),ROUND(Q1865-IF(ISNUMBER(N1865),N1865,0)-IF(ISNUMBER(O1865),O1865,0)+IF(ISNUMBER(P1865),P1865,0),2),"")</f>
        <v/>
      </c>
      <c r="S1865" s="9" t="str">
        <f aca="false">IF(R1865="","",ROUND(L1865-R1865,2))</f>
        <v/>
      </c>
      <c r="T1865" s="8" t="str">
        <f aca="false">IF(A1865="","",IF(S1865="","BYPASS",IF(ABS(S1865)&lt;=Summary!$B$2,"PASS","FAIL")))</f>
        <v/>
      </c>
      <c r="U1865" s="8" t="str">
        <f aca="false">IF(T1865="BYPASS",IF(NOT(ISNUMBER(Q1865)),"PreV_ETB missing","End_tr_balance missing"),IF(T1865="FAIL",IF(AND(ISNUMBER(K1865),ISNUMBER(L1865),ABS(L1865-(K1865-IF(ISNUMBER(N1865),N1865,0)-IF(ISNUMBER(O1865),O1865,0)+IF(ISNUMBER(P1865),P1865,0)))&lt;=Summary!$B$2),"Passes using beginning_balance - PreV_ETB differs from beginning_balance",IF(AND(ISNUMBER(O1865),O1865&lt;0,ABS(L1865-(Q1865-IF(ISNUMBER(N1865),N1865,0)+IF(ISNUMBER(P1865),P1865,0)))&lt;=Summary!$B$2),"Negative realized loss not applied - check sign",IF(R1865&lt;0,"Principal paid exceeds prior balance",IF(AND(L1865&gt;Q1865,NOT(ISNUMBER(P1865))),"Balance increased but no Deferred_interest reported",IF(L1865&gt;R1865,"Reported balance higher than expected (missing increase/OC build)","Reported balance lower than expected (missing decrease)"))))),""))</f>
        <v/>
      </c>
    </row>
    <row r="1866" customFormat="false" ht="15" hidden="false" customHeight="false" outlineLevel="0" collapsed="false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9"/>
      <c r="L1866" s="9"/>
      <c r="M1866" s="9"/>
      <c r="N1866" s="9"/>
      <c r="O1866" s="9"/>
      <c r="P1866" s="9"/>
      <c r="Q1866" s="9"/>
      <c r="R1866" s="9" t="str">
        <f aca="false">IF(AND(A1866&lt;&gt;"",ISNUMBER(Q1866),ISNUMBER(L1866)),ROUND(Q1866-IF(ISNUMBER(N1866),N1866,0)-IF(ISNUMBER(O1866),O1866,0)+IF(ISNUMBER(P1866),P1866,0),2),"")</f>
        <v/>
      </c>
      <c r="S1866" s="9" t="str">
        <f aca="false">IF(R1866="","",ROUND(L1866-R1866,2))</f>
        <v/>
      </c>
      <c r="T1866" s="8" t="str">
        <f aca="false">IF(A1866="","",IF(S1866="","BYPASS",IF(ABS(S1866)&lt;=Summary!$B$2,"PASS","FAIL")))</f>
        <v/>
      </c>
      <c r="U1866" s="8" t="str">
        <f aca="false">IF(T1866="BYPASS",IF(NOT(ISNUMBER(Q1866)),"PreV_ETB missing","End_tr_balance missing"),IF(T1866="FAIL",IF(AND(ISNUMBER(K1866),ISNUMBER(L1866),ABS(L1866-(K1866-IF(ISNUMBER(N1866),N1866,0)-IF(ISNUMBER(O1866),O1866,0)+IF(ISNUMBER(P1866),P1866,0)))&lt;=Summary!$B$2),"Passes using beginning_balance - PreV_ETB differs from beginning_balance",IF(AND(ISNUMBER(O1866),O1866&lt;0,ABS(L1866-(Q1866-IF(ISNUMBER(N1866),N1866,0)+IF(ISNUMBER(P1866),P1866,0)))&lt;=Summary!$B$2),"Negative realized loss not applied - check sign",IF(R1866&lt;0,"Principal paid exceeds prior balance",IF(AND(L1866&gt;Q1866,NOT(ISNUMBER(P1866))),"Balance increased but no Deferred_interest reported",IF(L1866&gt;R1866,"Reported balance higher than expected (missing increase/OC build)","Reported balance lower than expected (missing decrease)"))))),""))</f>
        <v/>
      </c>
    </row>
    <row r="1867" customFormat="false" ht="15" hidden="false" customHeight="false" outlineLevel="0" collapsed="false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9"/>
      <c r="L1867" s="9"/>
      <c r="M1867" s="9"/>
      <c r="N1867" s="9"/>
      <c r="O1867" s="9"/>
      <c r="P1867" s="9"/>
      <c r="Q1867" s="9"/>
      <c r="R1867" s="9" t="str">
        <f aca="false">IF(AND(A1867&lt;&gt;"",ISNUMBER(Q1867),ISNUMBER(L1867)),ROUND(Q1867-IF(ISNUMBER(N1867),N1867,0)-IF(ISNUMBER(O1867),O1867,0)+IF(ISNUMBER(P1867),P1867,0),2),"")</f>
        <v/>
      </c>
      <c r="S1867" s="9" t="str">
        <f aca="false">IF(R1867="","",ROUND(L1867-R1867,2))</f>
        <v/>
      </c>
      <c r="T1867" s="8" t="str">
        <f aca="false">IF(A1867="","",IF(S1867="","BYPASS",IF(ABS(S1867)&lt;=Summary!$B$2,"PASS","FAIL")))</f>
        <v/>
      </c>
      <c r="U1867" s="8" t="str">
        <f aca="false">IF(T1867="BYPASS",IF(NOT(ISNUMBER(Q1867)),"PreV_ETB missing","End_tr_balance missing"),IF(T1867="FAIL",IF(AND(ISNUMBER(K1867),ISNUMBER(L1867),ABS(L1867-(K1867-IF(ISNUMBER(N1867),N1867,0)-IF(ISNUMBER(O1867),O1867,0)+IF(ISNUMBER(P1867),P1867,0)))&lt;=Summary!$B$2),"Passes using beginning_balance - PreV_ETB differs from beginning_balance",IF(AND(ISNUMBER(O1867),O1867&lt;0,ABS(L1867-(Q1867-IF(ISNUMBER(N1867),N1867,0)+IF(ISNUMBER(P1867),P1867,0)))&lt;=Summary!$B$2),"Negative realized loss not applied - check sign",IF(R1867&lt;0,"Principal paid exceeds prior balance",IF(AND(L1867&gt;Q1867,NOT(ISNUMBER(P1867))),"Balance increased but no Deferred_interest reported",IF(L1867&gt;R1867,"Reported balance higher than expected (missing increase/OC build)","Reported balance lower than expected (missing decrease)"))))),""))</f>
        <v/>
      </c>
    </row>
    <row r="1868" customFormat="false" ht="15" hidden="false" customHeight="false" outlineLevel="0" collapsed="false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9"/>
      <c r="L1868" s="9"/>
      <c r="M1868" s="9"/>
      <c r="N1868" s="9"/>
      <c r="O1868" s="9"/>
      <c r="P1868" s="9"/>
      <c r="Q1868" s="9"/>
      <c r="R1868" s="9" t="str">
        <f aca="false">IF(AND(A1868&lt;&gt;"",ISNUMBER(Q1868),ISNUMBER(L1868)),ROUND(Q1868-IF(ISNUMBER(N1868),N1868,0)-IF(ISNUMBER(O1868),O1868,0)+IF(ISNUMBER(P1868),P1868,0),2),"")</f>
        <v/>
      </c>
      <c r="S1868" s="9" t="str">
        <f aca="false">IF(R1868="","",ROUND(L1868-R1868,2))</f>
        <v/>
      </c>
      <c r="T1868" s="8" t="str">
        <f aca="false">IF(A1868="","",IF(S1868="","BYPASS",IF(ABS(S1868)&lt;=Summary!$B$2,"PASS","FAIL")))</f>
        <v/>
      </c>
      <c r="U1868" s="8" t="str">
        <f aca="false">IF(T1868="BYPASS",IF(NOT(ISNUMBER(Q1868)),"PreV_ETB missing","End_tr_balance missing"),IF(T1868="FAIL",IF(AND(ISNUMBER(K1868),ISNUMBER(L1868),ABS(L1868-(K1868-IF(ISNUMBER(N1868),N1868,0)-IF(ISNUMBER(O1868),O1868,0)+IF(ISNUMBER(P1868),P1868,0)))&lt;=Summary!$B$2),"Passes using beginning_balance - PreV_ETB differs from beginning_balance",IF(AND(ISNUMBER(O1868),O1868&lt;0,ABS(L1868-(Q1868-IF(ISNUMBER(N1868),N1868,0)+IF(ISNUMBER(P1868),P1868,0)))&lt;=Summary!$B$2),"Negative realized loss not applied - check sign",IF(R1868&lt;0,"Principal paid exceeds prior balance",IF(AND(L1868&gt;Q1868,NOT(ISNUMBER(P1868))),"Balance increased but no Deferred_interest reported",IF(L1868&gt;R1868,"Reported balance higher than expected (missing increase/OC build)","Reported balance lower than expected (missing decrease)"))))),""))</f>
        <v/>
      </c>
    </row>
    <row r="1869" customFormat="false" ht="15" hidden="false" customHeight="false" outlineLevel="0" collapsed="false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9"/>
      <c r="L1869" s="9"/>
      <c r="M1869" s="9"/>
      <c r="N1869" s="9"/>
      <c r="O1869" s="9"/>
      <c r="P1869" s="9"/>
      <c r="Q1869" s="9"/>
      <c r="R1869" s="9" t="str">
        <f aca="false">IF(AND(A1869&lt;&gt;"",ISNUMBER(Q1869),ISNUMBER(L1869)),ROUND(Q1869-IF(ISNUMBER(N1869),N1869,0)-IF(ISNUMBER(O1869),O1869,0)+IF(ISNUMBER(P1869),P1869,0),2),"")</f>
        <v/>
      </c>
      <c r="S1869" s="9" t="str">
        <f aca="false">IF(R1869="","",ROUND(L1869-R1869,2))</f>
        <v/>
      </c>
      <c r="T1869" s="8" t="str">
        <f aca="false">IF(A1869="","",IF(S1869="","BYPASS",IF(ABS(S1869)&lt;=Summary!$B$2,"PASS","FAIL")))</f>
        <v/>
      </c>
      <c r="U1869" s="8" t="str">
        <f aca="false">IF(T1869="BYPASS",IF(NOT(ISNUMBER(Q1869)),"PreV_ETB missing","End_tr_balance missing"),IF(T1869="FAIL",IF(AND(ISNUMBER(K1869),ISNUMBER(L1869),ABS(L1869-(K1869-IF(ISNUMBER(N1869),N1869,0)-IF(ISNUMBER(O1869),O1869,0)+IF(ISNUMBER(P1869),P1869,0)))&lt;=Summary!$B$2),"Passes using beginning_balance - PreV_ETB differs from beginning_balance",IF(AND(ISNUMBER(O1869),O1869&lt;0,ABS(L1869-(Q1869-IF(ISNUMBER(N1869),N1869,0)+IF(ISNUMBER(P1869),P1869,0)))&lt;=Summary!$B$2),"Negative realized loss not applied - check sign",IF(R1869&lt;0,"Principal paid exceeds prior balance",IF(AND(L1869&gt;Q1869,NOT(ISNUMBER(P1869))),"Balance increased but no Deferred_interest reported",IF(L1869&gt;R1869,"Reported balance higher than expected (missing increase/OC build)","Reported balance lower than expected (missing decrease)"))))),""))</f>
        <v/>
      </c>
    </row>
    <row r="1870" customFormat="false" ht="15" hidden="false" customHeight="false" outlineLevel="0" collapsed="false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9"/>
      <c r="L1870" s="9"/>
      <c r="M1870" s="9"/>
      <c r="N1870" s="9"/>
      <c r="O1870" s="9"/>
      <c r="P1870" s="9"/>
      <c r="Q1870" s="9"/>
      <c r="R1870" s="9" t="str">
        <f aca="false">IF(AND(A1870&lt;&gt;"",ISNUMBER(Q1870),ISNUMBER(L1870)),ROUND(Q1870-IF(ISNUMBER(N1870),N1870,0)-IF(ISNUMBER(O1870),O1870,0)+IF(ISNUMBER(P1870),P1870,0),2),"")</f>
        <v/>
      </c>
      <c r="S1870" s="9" t="str">
        <f aca="false">IF(R1870="","",ROUND(L1870-R1870,2))</f>
        <v/>
      </c>
      <c r="T1870" s="8" t="str">
        <f aca="false">IF(A1870="","",IF(S1870="","BYPASS",IF(ABS(S1870)&lt;=Summary!$B$2,"PASS","FAIL")))</f>
        <v/>
      </c>
      <c r="U1870" s="8" t="str">
        <f aca="false">IF(T1870="BYPASS",IF(NOT(ISNUMBER(Q1870)),"PreV_ETB missing","End_tr_balance missing"),IF(T1870="FAIL",IF(AND(ISNUMBER(K1870),ISNUMBER(L1870),ABS(L1870-(K1870-IF(ISNUMBER(N1870),N1870,0)-IF(ISNUMBER(O1870),O1870,0)+IF(ISNUMBER(P1870),P1870,0)))&lt;=Summary!$B$2),"Passes using beginning_balance - PreV_ETB differs from beginning_balance",IF(AND(ISNUMBER(O1870),O1870&lt;0,ABS(L1870-(Q1870-IF(ISNUMBER(N1870),N1870,0)+IF(ISNUMBER(P1870),P1870,0)))&lt;=Summary!$B$2),"Negative realized loss not applied - check sign",IF(R1870&lt;0,"Principal paid exceeds prior balance",IF(AND(L1870&gt;Q1870,NOT(ISNUMBER(P1870))),"Balance increased but no Deferred_interest reported",IF(L1870&gt;R1870,"Reported balance higher than expected (missing increase/OC build)","Reported balance lower than expected (missing decrease)"))))),""))</f>
        <v/>
      </c>
    </row>
    <row r="1871" customFormat="false" ht="15" hidden="false" customHeight="false" outlineLevel="0" collapsed="false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9"/>
      <c r="L1871" s="9"/>
      <c r="M1871" s="9"/>
      <c r="N1871" s="9"/>
      <c r="O1871" s="9"/>
      <c r="P1871" s="9"/>
      <c r="Q1871" s="9"/>
      <c r="R1871" s="9" t="str">
        <f aca="false">IF(AND(A1871&lt;&gt;"",ISNUMBER(Q1871),ISNUMBER(L1871)),ROUND(Q1871-IF(ISNUMBER(N1871),N1871,0)-IF(ISNUMBER(O1871),O1871,0)+IF(ISNUMBER(P1871),P1871,0),2),"")</f>
        <v/>
      </c>
      <c r="S1871" s="9" t="str">
        <f aca="false">IF(R1871="","",ROUND(L1871-R1871,2))</f>
        <v/>
      </c>
      <c r="T1871" s="8" t="str">
        <f aca="false">IF(A1871="","",IF(S1871="","BYPASS",IF(ABS(S1871)&lt;=Summary!$B$2,"PASS","FAIL")))</f>
        <v/>
      </c>
      <c r="U1871" s="8" t="str">
        <f aca="false">IF(T1871="BYPASS",IF(NOT(ISNUMBER(Q1871)),"PreV_ETB missing","End_tr_balance missing"),IF(T1871="FAIL",IF(AND(ISNUMBER(K1871),ISNUMBER(L1871),ABS(L1871-(K1871-IF(ISNUMBER(N1871),N1871,0)-IF(ISNUMBER(O1871),O1871,0)+IF(ISNUMBER(P1871),P1871,0)))&lt;=Summary!$B$2),"Passes using beginning_balance - PreV_ETB differs from beginning_balance",IF(AND(ISNUMBER(O1871),O1871&lt;0,ABS(L1871-(Q1871-IF(ISNUMBER(N1871),N1871,0)+IF(ISNUMBER(P1871),P1871,0)))&lt;=Summary!$B$2),"Negative realized loss not applied - check sign",IF(R1871&lt;0,"Principal paid exceeds prior balance",IF(AND(L1871&gt;Q1871,NOT(ISNUMBER(P1871))),"Balance increased but no Deferred_interest reported",IF(L1871&gt;R1871,"Reported balance higher than expected (missing increase/OC build)","Reported balance lower than expected (missing decrease)"))))),""))</f>
        <v/>
      </c>
    </row>
    <row r="1872" customFormat="false" ht="15" hidden="false" customHeight="false" outlineLevel="0" collapsed="false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9"/>
      <c r="L1872" s="9"/>
      <c r="M1872" s="9"/>
      <c r="N1872" s="9"/>
      <c r="O1872" s="9"/>
      <c r="P1872" s="9"/>
      <c r="Q1872" s="9"/>
      <c r="R1872" s="9" t="str">
        <f aca="false">IF(AND(A1872&lt;&gt;"",ISNUMBER(Q1872),ISNUMBER(L1872)),ROUND(Q1872-IF(ISNUMBER(N1872),N1872,0)-IF(ISNUMBER(O1872),O1872,0)+IF(ISNUMBER(P1872),P1872,0),2),"")</f>
        <v/>
      </c>
      <c r="S1872" s="9" t="str">
        <f aca="false">IF(R1872="","",ROUND(L1872-R1872,2))</f>
        <v/>
      </c>
      <c r="T1872" s="8" t="str">
        <f aca="false">IF(A1872="","",IF(S1872="","BYPASS",IF(ABS(S1872)&lt;=Summary!$B$2,"PASS","FAIL")))</f>
        <v/>
      </c>
      <c r="U1872" s="8" t="str">
        <f aca="false">IF(T1872="BYPASS",IF(NOT(ISNUMBER(Q1872)),"PreV_ETB missing","End_tr_balance missing"),IF(T1872="FAIL",IF(AND(ISNUMBER(K1872),ISNUMBER(L1872),ABS(L1872-(K1872-IF(ISNUMBER(N1872),N1872,0)-IF(ISNUMBER(O1872),O1872,0)+IF(ISNUMBER(P1872),P1872,0)))&lt;=Summary!$B$2),"Passes using beginning_balance - PreV_ETB differs from beginning_balance",IF(AND(ISNUMBER(O1872),O1872&lt;0,ABS(L1872-(Q1872-IF(ISNUMBER(N1872),N1872,0)+IF(ISNUMBER(P1872),P1872,0)))&lt;=Summary!$B$2),"Negative realized loss not applied - check sign",IF(R1872&lt;0,"Principal paid exceeds prior balance",IF(AND(L1872&gt;Q1872,NOT(ISNUMBER(P1872))),"Balance increased but no Deferred_interest reported",IF(L1872&gt;R1872,"Reported balance higher than expected (missing increase/OC build)","Reported balance lower than expected (missing decrease)"))))),""))</f>
        <v/>
      </c>
    </row>
    <row r="1873" customFormat="false" ht="15" hidden="false" customHeight="false" outlineLevel="0" collapsed="false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9"/>
      <c r="L1873" s="9"/>
      <c r="M1873" s="9"/>
      <c r="N1873" s="9"/>
      <c r="O1873" s="9"/>
      <c r="P1873" s="9"/>
      <c r="Q1873" s="9"/>
      <c r="R1873" s="9" t="str">
        <f aca="false">IF(AND(A1873&lt;&gt;"",ISNUMBER(Q1873),ISNUMBER(L1873)),ROUND(Q1873-IF(ISNUMBER(N1873),N1873,0)-IF(ISNUMBER(O1873),O1873,0)+IF(ISNUMBER(P1873),P1873,0),2),"")</f>
        <v/>
      </c>
      <c r="S1873" s="9" t="str">
        <f aca="false">IF(R1873="","",ROUND(L1873-R1873,2))</f>
        <v/>
      </c>
      <c r="T1873" s="8" t="str">
        <f aca="false">IF(A1873="","",IF(S1873="","BYPASS",IF(ABS(S1873)&lt;=Summary!$B$2,"PASS","FAIL")))</f>
        <v/>
      </c>
      <c r="U1873" s="8" t="str">
        <f aca="false">IF(T1873="BYPASS",IF(NOT(ISNUMBER(Q1873)),"PreV_ETB missing","End_tr_balance missing"),IF(T1873="FAIL",IF(AND(ISNUMBER(K1873),ISNUMBER(L1873),ABS(L1873-(K1873-IF(ISNUMBER(N1873),N1873,0)-IF(ISNUMBER(O1873),O1873,0)+IF(ISNUMBER(P1873),P1873,0)))&lt;=Summary!$B$2),"Passes using beginning_balance - PreV_ETB differs from beginning_balance",IF(AND(ISNUMBER(O1873),O1873&lt;0,ABS(L1873-(Q1873-IF(ISNUMBER(N1873),N1873,0)+IF(ISNUMBER(P1873),P1873,0)))&lt;=Summary!$B$2),"Negative realized loss not applied - check sign",IF(R1873&lt;0,"Principal paid exceeds prior balance",IF(AND(L1873&gt;Q1873,NOT(ISNUMBER(P1873))),"Balance increased but no Deferred_interest reported",IF(L1873&gt;R1873,"Reported balance higher than expected (missing increase/OC build)","Reported balance lower than expected (missing decrease)"))))),""))</f>
        <v/>
      </c>
    </row>
    <row r="1874" customFormat="false" ht="15" hidden="false" customHeight="false" outlineLevel="0" collapsed="false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9"/>
      <c r="L1874" s="9"/>
      <c r="M1874" s="9"/>
      <c r="N1874" s="9"/>
      <c r="O1874" s="9"/>
      <c r="P1874" s="9"/>
      <c r="Q1874" s="9"/>
      <c r="R1874" s="9" t="str">
        <f aca="false">IF(AND(A1874&lt;&gt;"",ISNUMBER(Q1874),ISNUMBER(L1874)),ROUND(Q1874-IF(ISNUMBER(N1874),N1874,0)-IF(ISNUMBER(O1874),O1874,0)+IF(ISNUMBER(P1874),P1874,0),2),"")</f>
        <v/>
      </c>
      <c r="S1874" s="9" t="str">
        <f aca="false">IF(R1874="","",ROUND(L1874-R1874,2))</f>
        <v/>
      </c>
      <c r="T1874" s="8" t="str">
        <f aca="false">IF(A1874="","",IF(S1874="","BYPASS",IF(ABS(S1874)&lt;=Summary!$B$2,"PASS","FAIL")))</f>
        <v/>
      </c>
      <c r="U1874" s="8" t="str">
        <f aca="false">IF(T1874="BYPASS",IF(NOT(ISNUMBER(Q1874)),"PreV_ETB missing","End_tr_balance missing"),IF(T1874="FAIL",IF(AND(ISNUMBER(K1874),ISNUMBER(L1874),ABS(L1874-(K1874-IF(ISNUMBER(N1874),N1874,0)-IF(ISNUMBER(O1874),O1874,0)+IF(ISNUMBER(P1874),P1874,0)))&lt;=Summary!$B$2),"Passes using beginning_balance - PreV_ETB differs from beginning_balance",IF(AND(ISNUMBER(O1874),O1874&lt;0,ABS(L1874-(Q1874-IF(ISNUMBER(N1874),N1874,0)+IF(ISNUMBER(P1874),P1874,0)))&lt;=Summary!$B$2),"Negative realized loss not applied - check sign",IF(R1874&lt;0,"Principal paid exceeds prior balance",IF(AND(L1874&gt;Q1874,NOT(ISNUMBER(P1874))),"Balance increased but no Deferred_interest reported",IF(L1874&gt;R1874,"Reported balance higher than expected (missing increase/OC build)","Reported balance lower than expected (missing decrease)"))))),""))</f>
        <v/>
      </c>
    </row>
    <row r="1875" customFormat="false" ht="15" hidden="false" customHeight="false" outlineLevel="0" collapsed="false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9"/>
      <c r="L1875" s="9"/>
      <c r="M1875" s="9"/>
      <c r="N1875" s="9"/>
      <c r="O1875" s="9"/>
      <c r="P1875" s="9"/>
      <c r="Q1875" s="9"/>
      <c r="R1875" s="9" t="str">
        <f aca="false">IF(AND(A1875&lt;&gt;"",ISNUMBER(Q1875),ISNUMBER(L1875)),ROUND(Q1875-IF(ISNUMBER(N1875),N1875,0)-IF(ISNUMBER(O1875),O1875,0)+IF(ISNUMBER(P1875),P1875,0),2),"")</f>
        <v/>
      </c>
      <c r="S1875" s="9" t="str">
        <f aca="false">IF(R1875="","",ROUND(L1875-R1875,2))</f>
        <v/>
      </c>
      <c r="T1875" s="8" t="str">
        <f aca="false">IF(A1875="","",IF(S1875="","BYPASS",IF(ABS(S1875)&lt;=Summary!$B$2,"PASS","FAIL")))</f>
        <v/>
      </c>
      <c r="U1875" s="8" t="str">
        <f aca="false">IF(T1875="BYPASS",IF(NOT(ISNUMBER(Q1875)),"PreV_ETB missing","End_tr_balance missing"),IF(T1875="FAIL",IF(AND(ISNUMBER(K1875),ISNUMBER(L1875),ABS(L1875-(K1875-IF(ISNUMBER(N1875),N1875,0)-IF(ISNUMBER(O1875),O1875,0)+IF(ISNUMBER(P1875),P1875,0)))&lt;=Summary!$B$2),"Passes using beginning_balance - PreV_ETB differs from beginning_balance",IF(AND(ISNUMBER(O1875),O1875&lt;0,ABS(L1875-(Q1875-IF(ISNUMBER(N1875),N1875,0)+IF(ISNUMBER(P1875),P1875,0)))&lt;=Summary!$B$2),"Negative realized loss not applied - check sign",IF(R1875&lt;0,"Principal paid exceeds prior balance",IF(AND(L1875&gt;Q1875,NOT(ISNUMBER(P1875))),"Balance increased but no Deferred_interest reported",IF(L1875&gt;R1875,"Reported balance higher than expected (missing increase/OC build)","Reported balance lower than expected (missing decrease)"))))),""))</f>
        <v/>
      </c>
    </row>
    <row r="1876" customFormat="false" ht="15" hidden="false" customHeight="false" outlineLevel="0" collapsed="false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9"/>
      <c r="L1876" s="9"/>
      <c r="M1876" s="9"/>
      <c r="N1876" s="9"/>
      <c r="O1876" s="9"/>
      <c r="P1876" s="9"/>
      <c r="Q1876" s="9"/>
      <c r="R1876" s="9" t="str">
        <f aca="false">IF(AND(A1876&lt;&gt;"",ISNUMBER(Q1876),ISNUMBER(L1876)),ROUND(Q1876-IF(ISNUMBER(N1876),N1876,0)-IF(ISNUMBER(O1876),O1876,0)+IF(ISNUMBER(P1876),P1876,0),2),"")</f>
        <v/>
      </c>
      <c r="S1876" s="9" t="str">
        <f aca="false">IF(R1876="","",ROUND(L1876-R1876,2))</f>
        <v/>
      </c>
      <c r="T1876" s="8" t="str">
        <f aca="false">IF(A1876="","",IF(S1876="","BYPASS",IF(ABS(S1876)&lt;=Summary!$B$2,"PASS","FAIL")))</f>
        <v/>
      </c>
      <c r="U1876" s="8" t="str">
        <f aca="false">IF(T1876="BYPASS",IF(NOT(ISNUMBER(Q1876)),"PreV_ETB missing","End_tr_balance missing"),IF(T1876="FAIL",IF(AND(ISNUMBER(K1876),ISNUMBER(L1876),ABS(L1876-(K1876-IF(ISNUMBER(N1876),N1876,0)-IF(ISNUMBER(O1876),O1876,0)+IF(ISNUMBER(P1876),P1876,0)))&lt;=Summary!$B$2),"Passes using beginning_balance - PreV_ETB differs from beginning_balance",IF(AND(ISNUMBER(O1876),O1876&lt;0,ABS(L1876-(Q1876-IF(ISNUMBER(N1876),N1876,0)+IF(ISNUMBER(P1876),P1876,0)))&lt;=Summary!$B$2),"Negative realized loss not applied - check sign",IF(R1876&lt;0,"Principal paid exceeds prior balance",IF(AND(L1876&gt;Q1876,NOT(ISNUMBER(P1876))),"Balance increased but no Deferred_interest reported",IF(L1876&gt;R1876,"Reported balance higher than expected (missing increase/OC build)","Reported balance lower than expected (missing decrease)"))))),""))</f>
        <v/>
      </c>
    </row>
    <row r="1877" customFormat="false" ht="15" hidden="false" customHeight="false" outlineLevel="0" collapsed="false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9"/>
      <c r="L1877" s="9"/>
      <c r="M1877" s="9"/>
      <c r="N1877" s="9"/>
      <c r="O1877" s="9"/>
      <c r="P1877" s="9"/>
      <c r="Q1877" s="9"/>
      <c r="R1877" s="9" t="str">
        <f aca="false">IF(AND(A1877&lt;&gt;"",ISNUMBER(Q1877),ISNUMBER(L1877)),ROUND(Q1877-IF(ISNUMBER(N1877),N1877,0)-IF(ISNUMBER(O1877),O1877,0)+IF(ISNUMBER(P1877),P1877,0),2),"")</f>
        <v/>
      </c>
      <c r="S1877" s="9" t="str">
        <f aca="false">IF(R1877="","",ROUND(L1877-R1877,2))</f>
        <v/>
      </c>
      <c r="T1877" s="8" t="str">
        <f aca="false">IF(A1877="","",IF(S1877="","BYPASS",IF(ABS(S1877)&lt;=Summary!$B$2,"PASS","FAIL")))</f>
        <v/>
      </c>
      <c r="U1877" s="8" t="str">
        <f aca="false">IF(T1877="BYPASS",IF(NOT(ISNUMBER(Q1877)),"PreV_ETB missing","End_tr_balance missing"),IF(T1877="FAIL",IF(AND(ISNUMBER(K1877),ISNUMBER(L1877),ABS(L1877-(K1877-IF(ISNUMBER(N1877),N1877,0)-IF(ISNUMBER(O1877),O1877,0)+IF(ISNUMBER(P1877),P1877,0)))&lt;=Summary!$B$2),"Passes using beginning_balance - PreV_ETB differs from beginning_balance",IF(AND(ISNUMBER(O1877),O1877&lt;0,ABS(L1877-(Q1877-IF(ISNUMBER(N1877),N1877,0)+IF(ISNUMBER(P1877),P1877,0)))&lt;=Summary!$B$2),"Negative realized loss not applied - check sign",IF(R1877&lt;0,"Principal paid exceeds prior balance",IF(AND(L1877&gt;Q1877,NOT(ISNUMBER(P1877))),"Balance increased but no Deferred_interest reported",IF(L1877&gt;R1877,"Reported balance higher than expected (missing increase/OC build)","Reported balance lower than expected (missing decrease)"))))),""))</f>
        <v/>
      </c>
    </row>
    <row r="1878" customFormat="false" ht="15" hidden="false" customHeight="false" outlineLevel="0" collapsed="false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9"/>
      <c r="L1878" s="9"/>
      <c r="M1878" s="9"/>
      <c r="N1878" s="9"/>
      <c r="O1878" s="9"/>
      <c r="P1878" s="9"/>
      <c r="Q1878" s="9"/>
      <c r="R1878" s="9" t="str">
        <f aca="false">IF(AND(A1878&lt;&gt;"",ISNUMBER(Q1878),ISNUMBER(L1878)),ROUND(Q1878-IF(ISNUMBER(N1878),N1878,0)-IF(ISNUMBER(O1878),O1878,0)+IF(ISNUMBER(P1878),P1878,0),2),"")</f>
        <v/>
      </c>
      <c r="S1878" s="9" t="str">
        <f aca="false">IF(R1878="","",ROUND(L1878-R1878,2))</f>
        <v/>
      </c>
      <c r="T1878" s="8" t="str">
        <f aca="false">IF(A1878="","",IF(S1878="","BYPASS",IF(ABS(S1878)&lt;=Summary!$B$2,"PASS","FAIL")))</f>
        <v/>
      </c>
      <c r="U1878" s="8" t="str">
        <f aca="false">IF(T1878="BYPASS",IF(NOT(ISNUMBER(Q1878)),"PreV_ETB missing","End_tr_balance missing"),IF(T1878="FAIL",IF(AND(ISNUMBER(K1878),ISNUMBER(L1878),ABS(L1878-(K1878-IF(ISNUMBER(N1878),N1878,0)-IF(ISNUMBER(O1878),O1878,0)+IF(ISNUMBER(P1878),P1878,0)))&lt;=Summary!$B$2),"Passes using beginning_balance - PreV_ETB differs from beginning_balance",IF(AND(ISNUMBER(O1878),O1878&lt;0,ABS(L1878-(Q1878-IF(ISNUMBER(N1878),N1878,0)+IF(ISNUMBER(P1878),P1878,0)))&lt;=Summary!$B$2),"Negative realized loss not applied - check sign",IF(R1878&lt;0,"Principal paid exceeds prior balance",IF(AND(L1878&gt;Q1878,NOT(ISNUMBER(P1878))),"Balance increased but no Deferred_interest reported",IF(L1878&gt;R1878,"Reported balance higher than expected (missing increase/OC build)","Reported balance lower than expected (missing decrease)"))))),""))</f>
        <v/>
      </c>
    </row>
    <row r="1879" customFormat="false" ht="15" hidden="false" customHeight="false" outlineLevel="0" collapsed="false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9"/>
      <c r="L1879" s="9"/>
      <c r="M1879" s="9"/>
      <c r="N1879" s="9"/>
      <c r="O1879" s="9"/>
      <c r="P1879" s="9"/>
      <c r="Q1879" s="9"/>
      <c r="R1879" s="9" t="str">
        <f aca="false">IF(AND(A1879&lt;&gt;"",ISNUMBER(Q1879),ISNUMBER(L1879)),ROUND(Q1879-IF(ISNUMBER(N1879),N1879,0)-IF(ISNUMBER(O1879),O1879,0)+IF(ISNUMBER(P1879),P1879,0),2),"")</f>
        <v/>
      </c>
      <c r="S1879" s="9" t="str">
        <f aca="false">IF(R1879="","",ROUND(L1879-R1879,2))</f>
        <v/>
      </c>
      <c r="T1879" s="8" t="str">
        <f aca="false">IF(A1879="","",IF(S1879="","BYPASS",IF(ABS(S1879)&lt;=Summary!$B$2,"PASS","FAIL")))</f>
        <v/>
      </c>
      <c r="U1879" s="8" t="str">
        <f aca="false">IF(T1879="BYPASS",IF(NOT(ISNUMBER(Q1879)),"PreV_ETB missing","End_tr_balance missing"),IF(T1879="FAIL",IF(AND(ISNUMBER(K1879),ISNUMBER(L1879),ABS(L1879-(K1879-IF(ISNUMBER(N1879),N1879,0)-IF(ISNUMBER(O1879),O1879,0)+IF(ISNUMBER(P1879),P1879,0)))&lt;=Summary!$B$2),"Passes using beginning_balance - PreV_ETB differs from beginning_balance",IF(AND(ISNUMBER(O1879),O1879&lt;0,ABS(L1879-(Q1879-IF(ISNUMBER(N1879),N1879,0)+IF(ISNUMBER(P1879),P1879,0)))&lt;=Summary!$B$2),"Negative realized loss not applied - check sign",IF(R1879&lt;0,"Principal paid exceeds prior balance",IF(AND(L1879&gt;Q1879,NOT(ISNUMBER(P1879))),"Balance increased but no Deferred_interest reported",IF(L1879&gt;R1879,"Reported balance higher than expected (missing increase/OC build)","Reported balance lower than expected (missing decrease)"))))),""))</f>
        <v/>
      </c>
    </row>
    <row r="1880" customFormat="false" ht="15" hidden="false" customHeight="false" outlineLevel="0" collapsed="false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9"/>
      <c r="L1880" s="9"/>
      <c r="M1880" s="9"/>
      <c r="N1880" s="9"/>
      <c r="O1880" s="9"/>
      <c r="P1880" s="9"/>
      <c r="Q1880" s="9"/>
      <c r="R1880" s="9" t="str">
        <f aca="false">IF(AND(A1880&lt;&gt;"",ISNUMBER(Q1880),ISNUMBER(L1880)),ROUND(Q1880-IF(ISNUMBER(N1880),N1880,0)-IF(ISNUMBER(O1880),O1880,0)+IF(ISNUMBER(P1880),P1880,0),2),"")</f>
        <v/>
      </c>
      <c r="S1880" s="9" t="str">
        <f aca="false">IF(R1880="","",ROUND(L1880-R1880,2))</f>
        <v/>
      </c>
      <c r="T1880" s="8" t="str">
        <f aca="false">IF(A1880="","",IF(S1880="","BYPASS",IF(ABS(S1880)&lt;=Summary!$B$2,"PASS","FAIL")))</f>
        <v/>
      </c>
      <c r="U1880" s="8" t="str">
        <f aca="false">IF(T1880="BYPASS",IF(NOT(ISNUMBER(Q1880)),"PreV_ETB missing","End_tr_balance missing"),IF(T1880="FAIL",IF(AND(ISNUMBER(K1880),ISNUMBER(L1880),ABS(L1880-(K1880-IF(ISNUMBER(N1880),N1880,0)-IF(ISNUMBER(O1880),O1880,0)+IF(ISNUMBER(P1880),P1880,0)))&lt;=Summary!$B$2),"Passes using beginning_balance - PreV_ETB differs from beginning_balance",IF(AND(ISNUMBER(O1880),O1880&lt;0,ABS(L1880-(Q1880-IF(ISNUMBER(N1880),N1880,0)+IF(ISNUMBER(P1880),P1880,0)))&lt;=Summary!$B$2),"Negative realized loss not applied - check sign",IF(R1880&lt;0,"Principal paid exceeds prior balance",IF(AND(L1880&gt;Q1880,NOT(ISNUMBER(P1880))),"Balance increased but no Deferred_interest reported",IF(L1880&gt;R1880,"Reported balance higher than expected (missing increase/OC build)","Reported balance lower than expected (missing decrease)"))))),""))</f>
        <v/>
      </c>
    </row>
    <row r="1881" customFormat="false" ht="15" hidden="false" customHeight="false" outlineLevel="0" collapsed="false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9"/>
      <c r="L1881" s="9"/>
      <c r="M1881" s="9"/>
      <c r="N1881" s="9"/>
      <c r="O1881" s="9"/>
      <c r="P1881" s="9"/>
      <c r="Q1881" s="9"/>
      <c r="R1881" s="9" t="str">
        <f aca="false">IF(AND(A1881&lt;&gt;"",ISNUMBER(Q1881),ISNUMBER(L1881)),ROUND(Q1881-IF(ISNUMBER(N1881),N1881,0)-IF(ISNUMBER(O1881),O1881,0)+IF(ISNUMBER(P1881),P1881,0),2),"")</f>
        <v/>
      </c>
      <c r="S1881" s="9" t="str">
        <f aca="false">IF(R1881="","",ROUND(L1881-R1881,2))</f>
        <v/>
      </c>
      <c r="T1881" s="8" t="str">
        <f aca="false">IF(A1881="","",IF(S1881="","BYPASS",IF(ABS(S1881)&lt;=Summary!$B$2,"PASS","FAIL")))</f>
        <v/>
      </c>
      <c r="U1881" s="8" t="str">
        <f aca="false">IF(T1881="BYPASS",IF(NOT(ISNUMBER(Q1881)),"PreV_ETB missing","End_tr_balance missing"),IF(T1881="FAIL",IF(AND(ISNUMBER(K1881),ISNUMBER(L1881),ABS(L1881-(K1881-IF(ISNUMBER(N1881),N1881,0)-IF(ISNUMBER(O1881),O1881,0)+IF(ISNUMBER(P1881),P1881,0)))&lt;=Summary!$B$2),"Passes using beginning_balance - PreV_ETB differs from beginning_balance",IF(AND(ISNUMBER(O1881),O1881&lt;0,ABS(L1881-(Q1881-IF(ISNUMBER(N1881),N1881,0)+IF(ISNUMBER(P1881),P1881,0)))&lt;=Summary!$B$2),"Negative realized loss not applied - check sign",IF(R1881&lt;0,"Principal paid exceeds prior balance",IF(AND(L1881&gt;Q1881,NOT(ISNUMBER(P1881))),"Balance increased but no Deferred_interest reported",IF(L1881&gt;R1881,"Reported balance higher than expected (missing increase/OC build)","Reported balance lower than expected (missing decrease)"))))),""))</f>
        <v/>
      </c>
    </row>
    <row r="1882" customFormat="false" ht="15" hidden="false" customHeight="false" outlineLevel="0" collapsed="false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9"/>
      <c r="L1882" s="9"/>
      <c r="M1882" s="9"/>
      <c r="N1882" s="9"/>
      <c r="O1882" s="9"/>
      <c r="P1882" s="9"/>
      <c r="Q1882" s="9"/>
      <c r="R1882" s="9" t="str">
        <f aca="false">IF(AND(A1882&lt;&gt;"",ISNUMBER(Q1882),ISNUMBER(L1882)),ROUND(Q1882-IF(ISNUMBER(N1882),N1882,0)-IF(ISNUMBER(O1882),O1882,0)+IF(ISNUMBER(P1882),P1882,0),2),"")</f>
        <v/>
      </c>
      <c r="S1882" s="9" t="str">
        <f aca="false">IF(R1882="","",ROUND(L1882-R1882,2))</f>
        <v/>
      </c>
      <c r="T1882" s="8" t="str">
        <f aca="false">IF(A1882="","",IF(S1882="","BYPASS",IF(ABS(S1882)&lt;=Summary!$B$2,"PASS","FAIL")))</f>
        <v/>
      </c>
      <c r="U1882" s="8" t="str">
        <f aca="false">IF(T1882="BYPASS",IF(NOT(ISNUMBER(Q1882)),"PreV_ETB missing","End_tr_balance missing"),IF(T1882="FAIL",IF(AND(ISNUMBER(K1882),ISNUMBER(L1882),ABS(L1882-(K1882-IF(ISNUMBER(N1882),N1882,0)-IF(ISNUMBER(O1882),O1882,0)+IF(ISNUMBER(P1882),P1882,0)))&lt;=Summary!$B$2),"Passes using beginning_balance - PreV_ETB differs from beginning_balance",IF(AND(ISNUMBER(O1882),O1882&lt;0,ABS(L1882-(Q1882-IF(ISNUMBER(N1882),N1882,0)+IF(ISNUMBER(P1882),P1882,0)))&lt;=Summary!$B$2),"Negative realized loss not applied - check sign",IF(R1882&lt;0,"Principal paid exceeds prior balance",IF(AND(L1882&gt;Q1882,NOT(ISNUMBER(P1882))),"Balance increased but no Deferred_interest reported",IF(L1882&gt;R1882,"Reported balance higher than expected (missing increase/OC build)","Reported balance lower than expected (missing decrease)"))))),""))</f>
        <v/>
      </c>
    </row>
    <row r="1883" customFormat="false" ht="15" hidden="false" customHeight="false" outlineLevel="0" collapsed="false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9"/>
      <c r="L1883" s="9"/>
      <c r="M1883" s="9"/>
      <c r="N1883" s="9"/>
      <c r="O1883" s="9"/>
      <c r="P1883" s="9"/>
      <c r="Q1883" s="9"/>
      <c r="R1883" s="9" t="str">
        <f aca="false">IF(AND(A1883&lt;&gt;"",ISNUMBER(Q1883),ISNUMBER(L1883)),ROUND(Q1883-IF(ISNUMBER(N1883),N1883,0)-IF(ISNUMBER(O1883),O1883,0)+IF(ISNUMBER(P1883),P1883,0),2),"")</f>
        <v/>
      </c>
      <c r="S1883" s="9" t="str">
        <f aca="false">IF(R1883="","",ROUND(L1883-R1883,2))</f>
        <v/>
      </c>
      <c r="T1883" s="8" t="str">
        <f aca="false">IF(A1883="","",IF(S1883="","BYPASS",IF(ABS(S1883)&lt;=Summary!$B$2,"PASS","FAIL")))</f>
        <v/>
      </c>
      <c r="U1883" s="8" t="str">
        <f aca="false">IF(T1883="BYPASS",IF(NOT(ISNUMBER(Q1883)),"PreV_ETB missing","End_tr_balance missing"),IF(T1883="FAIL",IF(AND(ISNUMBER(K1883),ISNUMBER(L1883),ABS(L1883-(K1883-IF(ISNUMBER(N1883),N1883,0)-IF(ISNUMBER(O1883),O1883,0)+IF(ISNUMBER(P1883),P1883,0)))&lt;=Summary!$B$2),"Passes using beginning_balance - PreV_ETB differs from beginning_balance",IF(AND(ISNUMBER(O1883),O1883&lt;0,ABS(L1883-(Q1883-IF(ISNUMBER(N1883),N1883,0)+IF(ISNUMBER(P1883),P1883,0)))&lt;=Summary!$B$2),"Negative realized loss not applied - check sign",IF(R1883&lt;0,"Principal paid exceeds prior balance",IF(AND(L1883&gt;Q1883,NOT(ISNUMBER(P1883))),"Balance increased but no Deferred_interest reported",IF(L1883&gt;R1883,"Reported balance higher than expected (missing increase/OC build)","Reported balance lower than expected (missing decrease)"))))),""))</f>
        <v/>
      </c>
    </row>
    <row r="1884" customFormat="false" ht="15" hidden="false" customHeight="false" outlineLevel="0" collapsed="false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9"/>
      <c r="L1884" s="9"/>
      <c r="M1884" s="9"/>
      <c r="N1884" s="9"/>
      <c r="O1884" s="9"/>
      <c r="P1884" s="9"/>
      <c r="Q1884" s="9"/>
      <c r="R1884" s="9" t="str">
        <f aca="false">IF(AND(A1884&lt;&gt;"",ISNUMBER(Q1884),ISNUMBER(L1884)),ROUND(Q1884-IF(ISNUMBER(N1884),N1884,0)-IF(ISNUMBER(O1884),O1884,0)+IF(ISNUMBER(P1884),P1884,0),2),"")</f>
        <v/>
      </c>
      <c r="S1884" s="9" t="str">
        <f aca="false">IF(R1884="","",ROUND(L1884-R1884,2))</f>
        <v/>
      </c>
      <c r="T1884" s="8" t="str">
        <f aca="false">IF(A1884="","",IF(S1884="","BYPASS",IF(ABS(S1884)&lt;=Summary!$B$2,"PASS","FAIL")))</f>
        <v/>
      </c>
      <c r="U1884" s="8" t="str">
        <f aca="false">IF(T1884="BYPASS",IF(NOT(ISNUMBER(Q1884)),"PreV_ETB missing","End_tr_balance missing"),IF(T1884="FAIL",IF(AND(ISNUMBER(K1884),ISNUMBER(L1884),ABS(L1884-(K1884-IF(ISNUMBER(N1884),N1884,0)-IF(ISNUMBER(O1884),O1884,0)+IF(ISNUMBER(P1884),P1884,0)))&lt;=Summary!$B$2),"Passes using beginning_balance - PreV_ETB differs from beginning_balance",IF(AND(ISNUMBER(O1884),O1884&lt;0,ABS(L1884-(Q1884-IF(ISNUMBER(N1884),N1884,0)+IF(ISNUMBER(P1884),P1884,0)))&lt;=Summary!$B$2),"Negative realized loss not applied - check sign",IF(R1884&lt;0,"Principal paid exceeds prior balance",IF(AND(L1884&gt;Q1884,NOT(ISNUMBER(P1884))),"Balance increased but no Deferred_interest reported",IF(L1884&gt;R1884,"Reported balance higher than expected (missing increase/OC build)","Reported balance lower than expected (missing decrease)"))))),""))</f>
        <v/>
      </c>
    </row>
    <row r="1885" customFormat="false" ht="15" hidden="false" customHeight="false" outlineLevel="0" collapsed="false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9"/>
      <c r="L1885" s="9"/>
      <c r="M1885" s="9"/>
      <c r="N1885" s="9"/>
      <c r="O1885" s="9"/>
      <c r="P1885" s="9"/>
      <c r="Q1885" s="9"/>
      <c r="R1885" s="9" t="str">
        <f aca="false">IF(AND(A1885&lt;&gt;"",ISNUMBER(Q1885),ISNUMBER(L1885)),ROUND(Q1885-IF(ISNUMBER(N1885),N1885,0)-IF(ISNUMBER(O1885),O1885,0)+IF(ISNUMBER(P1885),P1885,0),2),"")</f>
        <v/>
      </c>
      <c r="S1885" s="9" t="str">
        <f aca="false">IF(R1885="","",ROUND(L1885-R1885,2))</f>
        <v/>
      </c>
      <c r="T1885" s="8" t="str">
        <f aca="false">IF(A1885="","",IF(S1885="","BYPASS",IF(ABS(S1885)&lt;=Summary!$B$2,"PASS","FAIL")))</f>
        <v/>
      </c>
      <c r="U1885" s="8" t="str">
        <f aca="false">IF(T1885="BYPASS",IF(NOT(ISNUMBER(Q1885)),"PreV_ETB missing","End_tr_balance missing"),IF(T1885="FAIL",IF(AND(ISNUMBER(K1885),ISNUMBER(L1885),ABS(L1885-(K1885-IF(ISNUMBER(N1885),N1885,0)-IF(ISNUMBER(O1885),O1885,0)+IF(ISNUMBER(P1885),P1885,0)))&lt;=Summary!$B$2),"Passes using beginning_balance - PreV_ETB differs from beginning_balance",IF(AND(ISNUMBER(O1885),O1885&lt;0,ABS(L1885-(Q1885-IF(ISNUMBER(N1885),N1885,0)+IF(ISNUMBER(P1885),P1885,0)))&lt;=Summary!$B$2),"Negative realized loss not applied - check sign",IF(R1885&lt;0,"Principal paid exceeds prior balance",IF(AND(L1885&gt;Q1885,NOT(ISNUMBER(P1885))),"Balance increased but no Deferred_interest reported",IF(L1885&gt;R1885,"Reported balance higher than expected (missing increase/OC build)","Reported balance lower than expected (missing decrease)"))))),""))</f>
        <v/>
      </c>
    </row>
    <row r="1886" customFormat="false" ht="15" hidden="false" customHeight="false" outlineLevel="0" collapsed="false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9"/>
      <c r="L1886" s="9"/>
      <c r="M1886" s="9"/>
      <c r="N1886" s="9"/>
      <c r="O1886" s="9"/>
      <c r="P1886" s="9"/>
      <c r="Q1886" s="9"/>
      <c r="R1886" s="9" t="str">
        <f aca="false">IF(AND(A1886&lt;&gt;"",ISNUMBER(Q1886),ISNUMBER(L1886)),ROUND(Q1886-IF(ISNUMBER(N1886),N1886,0)-IF(ISNUMBER(O1886),O1886,0)+IF(ISNUMBER(P1886),P1886,0),2),"")</f>
        <v/>
      </c>
      <c r="S1886" s="9" t="str">
        <f aca="false">IF(R1886="","",ROUND(L1886-R1886,2))</f>
        <v/>
      </c>
      <c r="T1886" s="8" t="str">
        <f aca="false">IF(A1886="","",IF(S1886="","BYPASS",IF(ABS(S1886)&lt;=Summary!$B$2,"PASS","FAIL")))</f>
        <v/>
      </c>
      <c r="U1886" s="8" t="str">
        <f aca="false">IF(T1886="BYPASS",IF(NOT(ISNUMBER(Q1886)),"PreV_ETB missing","End_tr_balance missing"),IF(T1886="FAIL",IF(AND(ISNUMBER(K1886),ISNUMBER(L1886),ABS(L1886-(K1886-IF(ISNUMBER(N1886),N1886,0)-IF(ISNUMBER(O1886),O1886,0)+IF(ISNUMBER(P1886),P1886,0)))&lt;=Summary!$B$2),"Passes using beginning_balance - PreV_ETB differs from beginning_balance",IF(AND(ISNUMBER(O1886),O1886&lt;0,ABS(L1886-(Q1886-IF(ISNUMBER(N1886),N1886,0)+IF(ISNUMBER(P1886),P1886,0)))&lt;=Summary!$B$2),"Negative realized loss not applied - check sign",IF(R1886&lt;0,"Principal paid exceeds prior balance",IF(AND(L1886&gt;Q1886,NOT(ISNUMBER(P1886))),"Balance increased but no Deferred_interest reported",IF(L1886&gt;R1886,"Reported balance higher than expected (missing increase/OC build)","Reported balance lower than expected (missing decrease)"))))),""))</f>
        <v/>
      </c>
    </row>
    <row r="1887" customFormat="false" ht="15" hidden="false" customHeight="false" outlineLevel="0" collapsed="false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9"/>
      <c r="L1887" s="9"/>
      <c r="M1887" s="9"/>
      <c r="N1887" s="9"/>
      <c r="O1887" s="9"/>
      <c r="P1887" s="9"/>
      <c r="Q1887" s="9"/>
      <c r="R1887" s="9" t="str">
        <f aca="false">IF(AND(A1887&lt;&gt;"",ISNUMBER(Q1887),ISNUMBER(L1887)),ROUND(Q1887-IF(ISNUMBER(N1887),N1887,0)-IF(ISNUMBER(O1887),O1887,0)+IF(ISNUMBER(P1887),P1887,0),2),"")</f>
        <v/>
      </c>
      <c r="S1887" s="9" t="str">
        <f aca="false">IF(R1887="","",ROUND(L1887-R1887,2))</f>
        <v/>
      </c>
      <c r="T1887" s="8" t="str">
        <f aca="false">IF(A1887="","",IF(S1887="","BYPASS",IF(ABS(S1887)&lt;=Summary!$B$2,"PASS","FAIL")))</f>
        <v/>
      </c>
      <c r="U1887" s="8" t="str">
        <f aca="false">IF(T1887="BYPASS",IF(NOT(ISNUMBER(Q1887)),"PreV_ETB missing","End_tr_balance missing"),IF(T1887="FAIL",IF(AND(ISNUMBER(K1887),ISNUMBER(L1887),ABS(L1887-(K1887-IF(ISNUMBER(N1887),N1887,0)-IF(ISNUMBER(O1887),O1887,0)+IF(ISNUMBER(P1887),P1887,0)))&lt;=Summary!$B$2),"Passes using beginning_balance - PreV_ETB differs from beginning_balance",IF(AND(ISNUMBER(O1887),O1887&lt;0,ABS(L1887-(Q1887-IF(ISNUMBER(N1887),N1887,0)+IF(ISNUMBER(P1887),P1887,0)))&lt;=Summary!$B$2),"Negative realized loss not applied - check sign",IF(R1887&lt;0,"Principal paid exceeds prior balance",IF(AND(L1887&gt;Q1887,NOT(ISNUMBER(P1887))),"Balance increased but no Deferred_interest reported",IF(L1887&gt;R1887,"Reported balance higher than expected (missing increase/OC build)","Reported balance lower than expected (missing decrease)"))))),""))</f>
        <v/>
      </c>
    </row>
    <row r="1888" customFormat="false" ht="15" hidden="false" customHeight="false" outlineLevel="0" collapsed="false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9"/>
      <c r="L1888" s="9"/>
      <c r="M1888" s="9"/>
      <c r="N1888" s="9"/>
      <c r="O1888" s="9"/>
      <c r="P1888" s="9"/>
      <c r="Q1888" s="9"/>
      <c r="R1888" s="9" t="str">
        <f aca="false">IF(AND(A1888&lt;&gt;"",ISNUMBER(Q1888),ISNUMBER(L1888)),ROUND(Q1888-IF(ISNUMBER(N1888),N1888,0)-IF(ISNUMBER(O1888),O1888,0)+IF(ISNUMBER(P1888),P1888,0),2),"")</f>
        <v/>
      </c>
      <c r="S1888" s="9" t="str">
        <f aca="false">IF(R1888="","",ROUND(L1888-R1888,2))</f>
        <v/>
      </c>
      <c r="T1888" s="8" t="str">
        <f aca="false">IF(A1888="","",IF(S1888="","BYPASS",IF(ABS(S1888)&lt;=Summary!$B$2,"PASS","FAIL")))</f>
        <v/>
      </c>
      <c r="U1888" s="8" t="str">
        <f aca="false">IF(T1888="BYPASS",IF(NOT(ISNUMBER(Q1888)),"PreV_ETB missing","End_tr_balance missing"),IF(T1888="FAIL",IF(AND(ISNUMBER(K1888),ISNUMBER(L1888),ABS(L1888-(K1888-IF(ISNUMBER(N1888),N1888,0)-IF(ISNUMBER(O1888),O1888,0)+IF(ISNUMBER(P1888),P1888,0)))&lt;=Summary!$B$2),"Passes using beginning_balance - PreV_ETB differs from beginning_balance",IF(AND(ISNUMBER(O1888),O1888&lt;0,ABS(L1888-(Q1888-IF(ISNUMBER(N1888),N1888,0)+IF(ISNUMBER(P1888),P1888,0)))&lt;=Summary!$B$2),"Negative realized loss not applied - check sign",IF(R1888&lt;0,"Principal paid exceeds prior balance",IF(AND(L1888&gt;Q1888,NOT(ISNUMBER(P1888))),"Balance increased but no Deferred_interest reported",IF(L1888&gt;R1888,"Reported balance higher than expected (missing increase/OC build)","Reported balance lower than expected (missing decrease)"))))),""))</f>
        <v/>
      </c>
    </row>
    <row r="1889" customFormat="false" ht="15" hidden="false" customHeight="false" outlineLevel="0" collapsed="false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9"/>
      <c r="L1889" s="9"/>
      <c r="M1889" s="9"/>
      <c r="N1889" s="9"/>
      <c r="O1889" s="9"/>
      <c r="P1889" s="9"/>
      <c r="Q1889" s="9"/>
      <c r="R1889" s="9" t="str">
        <f aca="false">IF(AND(A1889&lt;&gt;"",ISNUMBER(Q1889),ISNUMBER(L1889)),ROUND(Q1889-IF(ISNUMBER(N1889),N1889,0)-IF(ISNUMBER(O1889),O1889,0)+IF(ISNUMBER(P1889),P1889,0),2),"")</f>
        <v/>
      </c>
      <c r="S1889" s="9" t="str">
        <f aca="false">IF(R1889="","",ROUND(L1889-R1889,2))</f>
        <v/>
      </c>
      <c r="T1889" s="8" t="str">
        <f aca="false">IF(A1889="","",IF(S1889="","BYPASS",IF(ABS(S1889)&lt;=Summary!$B$2,"PASS","FAIL")))</f>
        <v/>
      </c>
      <c r="U1889" s="8" t="str">
        <f aca="false">IF(T1889="BYPASS",IF(NOT(ISNUMBER(Q1889)),"PreV_ETB missing","End_tr_balance missing"),IF(T1889="FAIL",IF(AND(ISNUMBER(K1889),ISNUMBER(L1889),ABS(L1889-(K1889-IF(ISNUMBER(N1889),N1889,0)-IF(ISNUMBER(O1889),O1889,0)+IF(ISNUMBER(P1889),P1889,0)))&lt;=Summary!$B$2),"Passes using beginning_balance - PreV_ETB differs from beginning_balance",IF(AND(ISNUMBER(O1889),O1889&lt;0,ABS(L1889-(Q1889-IF(ISNUMBER(N1889),N1889,0)+IF(ISNUMBER(P1889),P1889,0)))&lt;=Summary!$B$2),"Negative realized loss not applied - check sign",IF(R1889&lt;0,"Principal paid exceeds prior balance",IF(AND(L1889&gt;Q1889,NOT(ISNUMBER(P1889))),"Balance increased but no Deferred_interest reported",IF(L1889&gt;R1889,"Reported balance higher than expected (missing increase/OC build)","Reported balance lower than expected (missing decrease)"))))),""))</f>
        <v/>
      </c>
    </row>
    <row r="1890" customFormat="false" ht="15" hidden="false" customHeight="false" outlineLevel="0" collapsed="false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9"/>
      <c r="L1890" s="9"/>
      <c r="M1890" s="9"/>
      <c r="N1890" s="9"/>
      <c r="O1890" s="9"/>
      <c r="P1890" s="9"/>
      <c r="Q1890" s="9"/>
      <c r="R1890" s="9" t="str">
        <f aca="false">IF(AND(A1890&lt;&gt;"",ISNUMBER(Q1890),ISNUMBER(L1890)),ROUND(Q1890-IF(ISNUMBER(N1890),N1890,0)-IF(ISNUMBER(O1890),O1890,0)+IF(ISNUMBER(P1890),P1890,0),2),"")</f>
        <v/>
      </c>
      <c r="S1890" s="9" t="str">
        <f aca="false">IF(R1890="","",ROUND(L1890-R1890,2))</f>
        <v/>
      </c>
      <c r="T1890" s="8" t="str">
        <f aca="false">IF(A1890="","",IF(S1890="","BYPASS",IF(ABS(S1890)&lt;=Summary!$B$2,"PASS","FAIL")))</f>
        <v/>
      </c>
      <c r="U1890" s="8" t="str">
        <f aca="false">IF(T1890="BYPASS",IF(NOT(ISNUMBER(Q1890)),"PreV_ETB missing","End_tr_balance missing"),IF(T1890="FAIL",IF(AND(ISNUMBER(K1890),ISNUMBER(L1890),ABS(L1890-(K1890-IF(ISNUMBER(N1890),N1890,0)-IF(ISNUMBER(O1890),O1890,0)+IF(ISNUMBER(P1890),P1890,0)))&lt;=Summary!$B$2),"Passes using beginning_balance - PreV_ETB differs from beginning_balance",IF(AND(ISNUMBER(O1890),O1890&lt;0,ABS(L1890-(Q1890-IF(ISNUMBER(N1890),N1890,0)+IF(ISNUMBER(P1890),P1890,0)))&lt;=Summary!$B$2),"Negative realized loss not applied - check sign",IF(R1890&lt;0,"Principal paid exceeds prior balance",IF(AND(L1890&gt;Q1890,NOT(ISNUMBER(P1890))),"Balance increased but no Deferred_interest reported",IF(L1890&gt;R1890,"Reported balance higher than expected (missing increase/OC build)","Reported balance lower than expected (missing decrease)"))))),""))</f>
        <v/>
      </c>
    </row>
    <row r="1891" customFormat="false" ht="15" hidden="false" customHeight="false" outlineLevel="0" collapsed="false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9"/>
      <c r="L1891" s="9"/>
      <c r="M1891" s="9"/>
      <c r="N1891" s="9"/>
      <c r="O1891" s="9"/>
      <c r="P1891" s="9"/>
      <c r="Q1891" s="9"/>
      <c r="R1891" s="9" t="str">
        <f aca="false">IF(AND(A1891&lt;&gt;"",ISNUMBER(Q1891),ISNUMBER(L1891)),ROUND(Q1891-IF(ISNUMBER(N1891),N1891,0)-IF(ISNUMBER(O1891),O1891,0)+IF(ISNUMBER(P1891),P1891,0),2),"")</f>
        <v/>
      </c>
      <c r="S1891" s="9" t="str">
        <f aca="false">IF(R1891="","",ROUND(L1891-R1891,2))</f>
        <v/>
      </c>
      <c r="T1891" s="8" t="str">
        <f aca="false">IF(A1891="","",IF(S1891="","BYPASS",IF(ABS(S1891)&lt;=Summary!$B$2,"PASS","FAIL")))</f>
        <v/>
      </c>
      <c r="U1891" s="8" t="str">
        <f aca="false">IF(T1891="BYPASS",IF(NOT(ISNUMBER(Q1891)),"PreV_ETB missing","End_tr_balance missing"),IF(T1891="FAIL",IF(AND(ISNUMBER(K1891),ISNUMBER(L1891),ABS(L1891-(K1891-IF(ISNUMBER(N1891),N1891,0)-IF(ISNUMBER(O1891),O1891,0)+IF(ISNUMBER(P1891),P1891,0)))&lt;=Summary!$B$2),"Passes using beginning_balance - PreV_ETB differs from beginning_balance",IF(AND(ISNUMBER(O1891),O1891&lt;0,ABS(L1891-(Q1891-IF(ISNUMBER(N1891),N1891,0)+IF(ISNUMBER(P1891),P1891,0)))&lt;=Summary!$B$2),"Negative realized loss not applied - check sign",IF(R1891&lt;0,"Principal paid exceeds prior balance",IF(AND(L1891&gt;Q1891,NOT(ISNUMBER(P1891))),"Balance increased but no Deferred_interest reported",IF(L1891&gt;R1891,"Reported balance higher than expected (missing increase/OC build)","Reported balance lower than expected (missing decrease)"))))),""))</f>
        <v/>
      </c>
    </row>
    <row r="1892" customFormat="false" ht="15" hidden="false" customHeight="false" outlineLevel="0" collapsed="false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9"/>
      <c r="L1892" s="9"/>
      <c r="M1892" s="9"/>
      <c r="N1892" s="9"/>
      <c r="O1892" s="9"/>
      <c r="P1892" s="9"/>
      <c r="Q1892" s="9"/>
      <c r="R1892" s="9" t="str">
        <f aca="false">IF(AND(A1892&lt;&gt;"",ISNUMBER(Q1892),ISNUMBER(L1892)),ROUND(Q1892-IF(ISNUMBER(N1892),N1892,0)-IF(ISNUMBER(O1892),O1892,0)+IF(ISNUMBER(P1892),P1892,0),2),"")</f>
        <v/>
      </c>
      <c r="S1892" s="9" t="str">
        <f aca="false">IF(R1892="","",ROUND(L1892-R1892,2))</f>
        <v/>
      </c>
      <c r="T1892" s="8" t="str">
        <f aca="false">IF(A1892="","",IF(S1892="","BYPASS",IF(ABS(S1892)&lt;=Summary!$B$2,"PASS","FAIL")))</f>
        <v/>
      </c>
      <c r="U1892" s="8" t="str">
        <f aca="false">IF(T1892="BYPASS",IF(NOT(ISNUMBER(Q1892)),"PreV_ETB missing","End_tr_balance missing"),IF(T1892="FAIL",IF(AND(ISNUMBER(K1892),ISNUMBER(L1892),ABS(L1892-(K1892-IF(ISNUMBER(N1892),N1892,0)-IF(ISNUMBER(O1892),O1892,0)+IF(ISNUMBER(P1892),P1892,0)))&lt;=Summary!$B$2),"Passes using beginning_balance - PreV_ETB differs from beginning_balance",IF(AND(ISNUMBER(O1892),O1892&lt;0,ABS(L1892-(Q1892-IF(ISNUMBER(N1892),N1892,0)+IF(ISNUMBER(P1892),P1892,0)))&lt;=Summary!$B$2),"Negative realized loss not applied - check sign",IF(R1892&lt;0,"Principal paid exceeds prior balance",IF(AND(L1892&gt;Q1892,NOT(ISNUMBER(P1892))),"Balance increased but no Deferred_interest reported",IF(L1892&gt;R1892,"Reported balance higher than expected (missing increase/OC build)","Reported balance lower than expected (missing decrease)"))))),""))</f>
        <v/>
      </c>
    </row>
    <row r="1893" customFormat="false" ht="15" hidden="false" customHeight="false" outlineLevel="0" collapsed="false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9"/>
      <c r="L1893" s="9"/>
      <c r="M1893" s="9"/>
      <c r="N1893" s="9"/>
      <c r="O1893" s="9"/>
      <c r="P1893" s="9"/>
      <c r="Q1893" s="9"/>
      <c r="R1893" s="9" t="str">
        <f aca="false">IF(AND(A1893&lt;&gt;"",ISNUMBER(Q1893),ISNUMBER(L1893)),ROUND(Q1893-IF(ISNUMBER(N1893),N1893,0)-IF(ISNUMBER(O1893),O1893,0)+IF(ISNUMBER(P1893),P1893,0),2),"")</f>
        <v/>
      </c>
      <c r="S1893" s="9" t="str">
        <f aca="false">IF(R1893="","",ROUND(L1893-R1893,2))</f>
        <v/>
      </c>
      <c r="T1893" s="8" t="str">
        <f aca="false">IF(A1893="","",IF(S1893="","BYPASS",IF(ABS(S1893)&lt;=Summary!$B$2,"PASS","FAIL")))</f>
        <v/>
      </c>
      <c r="U1893" s="8" t="str">
        <f aca="false">IF(T1893="BYPASS",IF(NOT(ISNUMBER(Q1893)),"PreV_ETB missing","End_tr_balance missing"),IF(T1893="FAIL",IF(AND(ISNUMBER(K1893),ISNUMBER(L1893),ABS(L1893-(K1893-IF(ISNUMBER(N1893),N1893,0)-IF(ISNUMBER(O1893),O1893,0)+IF(ISNUMBER(P1893),P1893,0)))&lt;=Summary!$B$2),"Passes using beginning_balance - PreV_ETB differs from beginning_balance",IF(AND(ISNUMBER(O1893),O1893&lt;0,ABS(L1893-(Q1893-IF(ISNUMBER(N1893),N1893,0)+IF(ISNUMBER(P1893),P1893,0)))&lt;=Summary!$B$2),"Negative realized loss not applied - check sign",IF(R1893&lt;0,"Principal paid exceeds prior balance",IF(AND(L1893&gt;Q1893,NOT(ISNUMBER(P1893))),"Balance increased but no Deferred_interest reported",IF(L1893&gt;R1893,"Reported balance higher than expected (missing increase/OC build)","Reported balance lower than expected (missing decrease)"))))),""))</f>
        <v/>
      </c>
    </row>
    <row r="1894" customFormat="false" ht="15" hidden="false" customHeight="false" outlineLevel="0" collapsed="false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9"/>
      <c r="L1894" s="9"/>
      <c r="M1894" s="9"/>
      <c r="N1894" s="9"/>
      <c r="O1894" s="9"/>
      <c r="P1894" s="9"/>
      <c r="Q1894" s="9"/>
      <c r="R1894" s="9" t="str">
        <f aca="false">IF(AND(A1894&lt;&gt;"",ISNUMBER(Q1894),ISNUMBER(L1894)),ROUND(Q1894-IF(ISNUMBER(N1894),N1894,0)-IF(ISNUMBER(O1894),O1894,0)+IF(ISNUMBER(P1894),P1894,0),2),"")</f>
        <v/>
      </c>
      <c r="S1894" s="9" t="str">
        <f aca="false">IF(R1894="","",ROUND(L1894-R1894,2))</f>
        <v/>
      </c>
      <c r="T1894" s="8" t="str">
        <f aca="false">IF(A1894="","",IF(S1894="","BYPASS",IF(ABS(S1894)&lt;=Summary!$B$2,"PASS","FAIL")))</f>
        <v/>
      </c>
      <c r="U1894" s="8" t="str">
        <f aca="false">IF(T1894="BYPASS",IF(NOT(ISNUMBER(Q1894)),"PreV_ETB missing","End_tr_balance missing"),IF(T1894="FAIL",IF(AND(ISNUMBER(K1894),ISNUMBER(L1894),ABS(L1894-(K1894-IF(ISNUMBER(N1894),N1894,0)-IF(ISNUMBER(O1894),O1894,0)+IF(ISNUMBER(P1894),P1894,0)))&lt;=Summary!$B$2),"Passes using beginning_balance - PreV_ETB differs from beginning_balance",IF(AND(ISNUMBER(O1894),O1894&lt;0,ABS(L1894-(Q1894-IF(ISNUMBER(N1894),N1894,0)+IF(ISNUMBER(P1894),P1894,0)))&lt;=Summary!$B$2),"Negative realized loss not applied - check sign",IF(R1894&lt;0,"Principal paid exceeds prior balance",IF(AND(L1894&gt;Q1894,NOT(ISNUMBER(P1894))),"Balance increased but no Deferred_interest reported",IF(L1894&gt;R1894,"Reported balance higher than expected (missing increase/OC build)","Reported balance lower than expected (missing decrease)"))))),""))</f>
        <v/>
      </c>
    </row>
    <row r="1895" customFormat="false" ht="15" hidden="false" customHeight="false" outlineLevel="0" collapsed="false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9"/>
      <c r="L1895" s="9"/>
      <c r="M1895" s="9"/>
      <c r="N1895" s="9"/>
      <c r="O1895" s="9"/>
      <c r="P1895" s="9"/>
      <c r="Q1895" s="9"/>
      <c r="R1895" s="9" t="str">
        <f aca="false">IF(AND(A1895&lt;&gt;"",ISNUMBER(Q1895),ISNUMBER(L1895)),ROUND(Q1895-IF(ISNUMBER(N1895),N1895,0)-IF(ISNUMBER(O1895),O1895,0)+IF(ISNUMBER(P1895),P1895,0),2),"")</f>
        <v/>
      </c>
      <c r="S1895" s="9" t="str">
        <f aca="false">IF(R1895="","",ROUND(L1895-R1895,2))</f>
        <v/>
      </c>
      <c r="T1895" s="8" t="str">
        <f aca="false">IF(A1895="","",IF(S1895="","BYPASS",IF(ABS(S1895)&lt;=Summary!$B$2,"PASS","FAIL")))</f>
        <v/>
      </c>
      <c r="U1895" s="8" t="str">
        <f aca="false">IF(T1895="BYPASS",IF(NOT(ISNUMBER(Q1895)),"PreV_ETB missing","End_tr_balance missing"),IF(T1895="FAIL",IF(AND(ISNUMBER(K1895),ISNUMBER(L1895),ABS(L1895-(K1895-IF(ISNUMBER(N1895),N1895,0)-IF(ISNUMBER(O1895),O1895,0)+IF(ISNUMBER(P1895),P1895,0)))&lt;=Summary!$B$2),"Passes using beginning_balance - PreV_ETB differs from beginning_balance",IF(AND(ISNUMBER(O1895),O1895&lt;0,ABS(L1895-(Q1895-IF(ISNUMBER(N1895),N1895,0)+IF(ISNUMBER(P1895),P1895,0)))&lt;=Summary!$B$2),"Negative realized loss not applied - check sign",IF(R1895&lt;0,"Principal paid exceeds prior balance",IF(AND(L1895&gt;Q1895,NOT(ISNUMBER(P1895))),"Balance increased but no Deferred_interest reported",IF(L1895&gt;R1895,"Reported balance higher than expected (missing increase/OC build)","Reported balance lower than expected (missing decrease)"))))),""))</f>
        <v/>
      </c>
    </row>
    <row r="1896" customFormat="false" ht="15" hidden="false" customHeight="false" outlineLevel="0" collapsed="false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9"/>
      <c r="L1896" s="9"/>
      <c r="M1896" s="9"/>
      <c r="N1896" s="9"/>
      <c r="O1896" s="9"/>
      <c r="P1896" s="9"/>
      <c r="Q1896" s="9"/>
      <c r="R1896" s="9" t="str">
        <f aca="false">IF(AND(A1896&lt;&gt;"",ISNUMBER(Q1896),ISNUMBER(L1896)),ROUND(Q1896-IF(ISNUMBER(N1896),N1896,0)-IF(ISNUMBER(O1896),O1896,0)+IF(ISNUMBER(P1896),P1896,0),2),"")</f>
        <v/>
      </c>
      <c r="S1896" s="9" t="str">
        <f aca="false">IF(R1896="","",ROUND(L1896-R1896,2))</f>
        <v/>
      </c>
      <c r="T1896" s="8" t="str">
        <f aca="false">IF(A1896="","",IF(S1896="","BYPASS",IF(ABS(S1896)&lt;=Summary!$B$2,"PASS","FAIL")))</f>
        <v/>
      </c>
      <c r="U1896" s="8" t="str">
        <f aca="false">IF(T1896="BYPASS",IF(NOT(ISNUMBER(Q1896)),"PreV_ETB missing","End_tr_balance missing"),IF(T1896="FAIL",IF(AND(ISNUMBER(K1896),ISNUMBER(L1896),ABS(L1896-(K1896-IF(ISNUMBER(N1896),N1896,0)-IF(ISNUMBER(O1896),O1896,0)+IF(ISNUMBER(P1896),P1896,0)))&lt;=Summary!$B$2),"Passes using beginning_balance - PreV_ETB differs from beginning_balance",IF(AND(ISNUMBER(O1896),O1896&lt;0,ABS(L1896-(Q1896-IF(ISNUMBER(N1896),N1896,0)+IF(ISNUMBER(P1896),P1896,0)))&lt;=Summary!$B$2),"Negative realized loss not applied - check sign",IF(R1896&lt;0,"Principal paid exceeds prior balance",IF(AND(L1896&gt;Q1896,NOT(ISNUMBER(P1896))),"Balance increased but no Deferred_interest reported",IF(L1896&gt;R1896,"Reported balance higher than expected (missing increase/OC build)","Reported balance lower than expected (missing decrease)"))))),""))</f>
        <v/>
      </c>
    </row>
    <row r="1897" customFormat="false" ht="15" hidden="false" customHeight="false" outlineLevel="0" collapsed="false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9"/>
      <c r="L1897" s="9"/>
      <c r="M1897" s="9"/>
      <c r="N1897" s="9"/>
      <c r="O1897" s="9"/>
      <c r="P1897" s="9"/>
      <c r="Q1897" s="9"/>
      <c r="R1897" s="9" t="str">
        <f aca="false">IF(AND(A1897&lt;&gt;"",ISNUMBER(Q1897),ISNUMBER(L1897)),ROUND(Q1897-IF(ISNUMBER(N1897),N1897,0)-IF(ISNUMBER(O1897),O1897,0)+IF(ISNUMBER(P1897),P1897,0),2),"")</f>
        <v/>
      </c>
      <c r="S1897" s="9" t="str">
        <f aca="false">IF(R1897="","",ROUND(L1897-R1897,2))</f>
        <v/>
      </c>
      <c r="T1897" s="8" t="str">
        <f aca="false">IF(A1897="","",IF(S1897="","BYPASS",IF(ABS(S1897)&lt;=Summary!$B$2,"PASS","FAIL")))</f>
        <v/>
      </c>
      <c r="U1897" s="8" t="str">
        <f aca="false">IF(T1897="BYPASS",IF(NOT(ISNUMBER(Q1897)),"PreV_ETB missing","End_tr_balance missing"),IF(T1897="FAIL",IF(AND(ISNUMBER(K1897),ISNUMBER(L1897),ABS(L1897-(K1897-IF(ISNUMBER(N1897),N1897,0)-IF(ISNUMBER(O1897),O1897,0)+IF(ISNUMBER(P1897),P1897,0)))&lt;=Summary!$B$2),"Passes using beginning_balance - PreV_ETB differs from beginning_balance",IF(AND(ISNUMBER(O1897),O1897&lt;0,ABS(L1897-(Q1897-IF(ISNUMBER(N1897),N1897,0)+IF(ISNUMBER(P1897),P1897,0)))&lt;=Summary!$B$2),"Negative realized loss not applied - check sign",IF(R1897&lt;0,"Principal paid exceeds prior balance",IF(AND(L1897&gt;Q1897,NOT(ISNUMBER(P1897))),"Balance increased but no Deferred_interest reported",IF(L1897&gt;R1897,"Reported balance higher than expected (missing increase/OC build)","Reported balance lower than expected (missing decrease)"))))),""))</f>
        <v/>
      </c>
    </row>
    <row r="1898" customFormat="false" ht="15" hidden="false" customHeight="false" outlineLevel="0" collapsed="false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9"/>
      <c r="L1898" s="9"/>
      <c r="M1898" s="9"/>
      <c r="N1898" s="9"/>
      <c r="O1898" s="9"/>
      <c r="P1898" s="9"/>
      <c r="Q1898" s="9"/>
      <c r="R1898" s="9" t="str">
        <f aca="false">IF(AND(A1898&lt;&gt;"",ISNUMBER(Q1898),ISNUMBER(L1898)),ROUND(Q1898-IF(ISNUMBER(N1898),N1898,0)-IF(ISNUMBER(O1898),O1898,0)+IF(ISNUMBER(P1898),P1898,0),2),"")</f>
        <v/>
      </c>
      <c r="S1898" s="9" t="str">
        <f aca="false">IF(R1898="","",ROUND(L1898-R1898,2))</f>
        <v/>
      </c>
      <c r="T1898" s="8" t="str">
        <f aca="false">IF(A1898="","",IF(S1898="","BYPASS",IF(ABS(S1898)&lt;=Summary!$B$2,"PASS","FAIL")))</f>
        <v/>
      </c>
      <c r="U1898" s="8" t="str">
        <f aca="false">IF(T1898="BYPASS",IF(NOT(ISNUMBER(Q1898)),"PreV_ETB missing","End_tr_balance missing"),IF(T1898="FAIL",IF(AND(ISNUMBER(K1898),ISNUMBER(L1898),ABS(L1898-(K1898-IF(ISNUMBER(N1898),N1898,0)-IF(ISNUMBER(O1898),O1898,0)+IF(ISNUMBER(P1898),P1898,0)))&lt;=Summary!$B$2),"Passes using beginning_balance - PreV_ETB differs from beginning_balance",IF(AND(ISNUMBER(O1898),O1898&lt;0,ABS(L1898-(Q1898-IF(ISNUMBER(N1898),N1898,0)+IF(ISNUMBER(P1898),P1898,0)))&lt;=Summary!$B$2),"Negative realized loss not applied - check sign",IF(R1898&lt;0,"Principal paid exceeds prior balance",IF(AND(L1898&gt;Q1898,NOT(ISNUMBER(P1898))),"Balance increased but no Deferred_interest reported",IF(L1898&gt;R1898,"Reported balance higher than expected (missing increase/OC build)","Reported balance lower than expected (missing decrease)"))))),""))</f>
        <v/>
      </c>
    </row>
    <row r="1899" customFormat="false" ht="15" hidden="false" customHeight="false" outlineLevel="0" collapsed="false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9"/>
      <c r="L1899" s="9"/>
      <c r="M1899" s="9"/>
      <c r="N1899" s="9"/>
      <c r="O1899" s="9"/>
      <c r="P1899" s="9"/>
      <c r="Q1899" s="9"/>
      <c r="R1899" s="9" t="str">
        <f aca="false">IF(AND(A1899&lt;&gt;"",ISNUMBER(Q1899),ISNUMBER(L1899)),ROUND(Q1899-IF(ISNUMBER(N1899),N1899,0)-IF(ISNUMBER(O1899),O1899,0)+IF(ISNUMBER(P1899),P1899,0),2),"")</f>
        <v/>
      </c>
      <c r="S1899" s="9" t="str">
        <f aca="false">IF(R1899="","",ROUND(L1899-R1899,2))</f>
        <v/>
      </c>
      <c r="T1899" s="8" t="str">
        <f aca="false">IF(A1899="","",IF(S1899="","BYPASS",IF(ABS(S1899)&lt;=Summary!$B$2,"PASS","FAIL")))</f>
        <v/>
      </c>
      <c r="U1899" s="8" t="str">
        <f aca="false">IF(T1899="BYPASS",IF(NOT(ISNUMBER(Q1899)),"PreV_ETB missing","End_tr_balance missing"),IF(T1899="FAIL",IF(AND(ISNUMBER(K1899),ISNUMBER(L1899),ABS(L1899-(K1899-IF(ISNUMBER(N1899),N1899,0)-IF(ISNUMBER(O1899),O1899,0)+IF(ISNUMBER(P1899),P1899,0)))&lt;=Summary!$B$2),"Passes using beginning_balance - PreV_ETB differs from beginning_balance",IF(AND(ISNUMBER(O1899),O1899&lt;0,ABS(L1899-(Q1899-IF(ISNUMBER(N1899),N1899,0)+IF(ISNUMBER(P1899),P1899,0)))&lt;=Summary!$B$2),"Negative realized loss not applied - check sign",IF(R1899&lt;0,"Principal paid exceeds prior balance",IF(AND(L1899&gt;Q1899,NOT(ISNUMBER(P1899))),"Balance increased but no Deferred_interest reported",IF(L1899&gt;R1899,"Reported balance higher than expected (missing increase/OC build)","Reported balance lower than expected (missing decrease)"))))),""))</f>
        <v/>
      </c>
    </row>
    <row r="1900" customFormat="false" ht="15" hidden="false" customHeight="false" outlineLevel="0" collapsed="false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9"/>
      <c r="L1900" s="9"/>
      <c r="M1900" s="9"/>
      <c r="N1900" s="9"/>
      <c r="O1900" s="9"/>
      <c r="P1900" s="9"/>
      <c r="Q1900" s="9"/>
      <c r="R1900" s="9" t="str">
        <f aca="false">IF(AND(A1900&lt;&gt;"",ISNUMBER(Q1900),ISNUMBER(L1900)),ROUND(Q1900-IF(ISNUMBER(N1900),N1900,0)-IF(ISNUMBER(O1900),O1900,0)+IF(ISNUMBER(P1900),P1900,0),2),"")</f>
        <v/>
      </c>
      <c r="S1900" s="9" t="str">
        <f aca="false">IF(R1900="","",ROUND(L1900-R1900,2))</f>
        <v/>
      </c>
      <c r="T1900" s="8" t="str">
        <f aca="false">IF(A1900="","",IF(S1900="","BYPASS",IF(ABS(S1900)&lt;=Summary!$B$2,"PASS","FAIL")))</f>
        <v/>
      </c>
      <c r="U1900" s="8" t="str">
        <f aca="false">IF(T1900="BYPASS",IF(NOT(ISNUMBER(Q1900)),"PreV_ETB missing","End_tr_balance missing"),IF(T1900="FAIL",IF(AND(ISNUMBER(K1900),ISNUMBER(L1900),ABS(L1900-(K1900-IF(ISNUMBER(N1900),N1900,0)-IF(ISNUMBER(O1900),O1900,0)+IF(ISNUMBER(P1900),P1900,0)))&lt;=Summary!$B$2),"Passes using beginning_balance - PreV_ETB differs from beginning_balance",IF(AND(ISNUMBER(O1900),O1900&lt;0,ABS(L1900-(Q1900-IF(ISNUMBER(N1900),N1900,0)+IF(ISNUMBER(P1900),P1900,0)))&lt;=Summary!$B$2),"Negative realized loss not applied - check sign",IF(R1900&lt;0,"Principal paid exceeds prior balance",IF(AND(L1900&gt;Q1900,NOT(ISNUMBER(P1900))),"Balance increased but no Deferred_interest reported",IF(L1900&gt;R1900,"Reported balance higher than expected (missing increase/OC build)","Reported balance lower than expected (missing decrease)"))))),""))</f>
        <v/>
      </c>
    </row>
    <row r="1901" customFormat="false" ht="15" hidden="false" customHeight="false" outlineLevel="0" collapsed="false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9"/>
      <c r="L1901" s="9"/>
      <c r="M1901" s="9"/>
      <c r="N1901" s="9"/>
      <c r="O1901" s="9"/>
      <c r="P1901" s="9"/>
      <c r="Q1901" s="9"/>
      <c r="R1901" s="9" t="str">
        <f aca="false">IF(AND(A1901&lt;&gt;"",ISNUMBER(Q1901),ISNUMBER(L1901)),ROUND(Q1901-IF(ISNUMBER(N1901),N1901,0)-IF(ISNUMBER(O1901),O1901,0)+IF(ISNUMBER(P1901),P1901,0),2),"")</f>
        <v/>
      </c>
      <c r="S1901" s="9" t="str">
        <f aca="false">IF(R1901="","",ROUND(L1901-R1901,2))</f>
        <v/>
      </c>
      <c r="T1901" s="8" t="str">
        <f aca="false">IF(A1901="","",IF(S1901="","BYPASS",IF(ABS(S1901)&lt;=Summary!$B$2,"PASS","FAIL")))</f>
        <v/>
      </c>
      <c r="U1901" s="8" t="str">
        <f aca="false">IF(T1901="BYPASS",IF(NOT(ISNUMBER(Q1901)),"PreV_ETB missing","End_tr_balance missing"),IF(T1901="FAIL",IF(AND(ISNUMBER(K1901),ISNUMBER(L1901),ABS(L1901-(K1901-IF(ISNUMBER(N1901),N1901,0)-IF(ISNUMBER(O1901),O1901,0)+IF(ISNUMBER(P1901),P1901,0)))&lt;=Summary!$B$2),"Passes using beginning_balance - PreV_ETB differs from beginning_balance",IF(AND(ISNUMBER(O1901),O1901&lt;0,ABS(L1901-(Q1901-IF(ISNUMBER(N1901),N1901,0)+IF(ISNUMBER(P1901),P1901,0)))&lt;=Summary!$B$2),"Negative realized loss not applied - check sign",IF(R1901&lt;0,"Principal paid exceeds prior balance",IF(AND(L1901&gt;Q1901,NOT(ISNUMBER(P1901))),"Balance increased but no Deferred_interest reported",IF(L1901&gt;R1901,"Reported balance higher than expected (missing increase/OC build)","Reported balance lower than expected (missing decrease)"))))),""))</f>
        <v/>
      </c>
    </row>
    <row r="1902" customFormat="false" ht="15" hidden="false" customHeight="false" outlineLevel="0" collapsed="false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9"/>
      <c r="L1902" s="9"/>
      <c r="M1902" s="9"/>
      <c r="N1902" s="9"/>
      <c r="O1902" s="9"/>
      <c r="P1902" s="9"/>
      <c r="Q1902" s="9"/>
      <c r="R1902" s="9" t="str">
        <f aca="false">IF(AND(A1902&lt;&gt;"",ISNUMBER(Q1902),ISNUMBER(L1902)),ROUND(Q1902-IF(ISNUMBER(N1902),N1902,0)-IF(ISNUMBER(O1902),O1902,0)+IF(ISNUMBER(P1902),P1902,0),2),"")</f>
        <v/>
      </c>
      <c r="S1902" s="9" t="str">
        <f aca="false">IF(R1902="","",ROUND(L1902-R1902,2))</f>
        <v/>
      </c>
      <c r="T1902" s="8" t="str">
        <f aca="false">IF(A1902="","",IF(S1902="","BYPASS",IF(ABS(S1902)&lt;=Summary!$B$2,"PASS","FAIL")))</f>
        <v/>
      </c>
      <c r="U1902" s="8" t="str">
        <f aca="false">IF(T1902="BYPASS",IF(NOT(ISNUMBER(Q1902)),"PreV_ETB missing","End_tr_balance missing"),IF(T1902="FAIL",IF(AND(ISNUMBER(K1902),ISNUMBER(L1902),ABS(L1902-(K1902-IF(ISNUMBER(N1902),N1902,0)-IF(ISNUMBER(O1902),O1902,0)+IF(ISNUMBER(P1902),P1902,0)))&lt;=Summary!$B$2),"Passes using beginning_balance - PreV_ETB differs from beginning_balance",IF(AND(ISNUMBER(O1902),O1902&lt;0,ABS(L1902-(Q1902-IF(ISNUMBER(N1902),N1902,0)+IF(ISNUMBER(P1902),P1902,0)))&lt;=Summary!$B$2),"Negative realized loss not applied - check sign",IF(R1902&lt;0,"Principal paid exceeds prior balance",IF(AND(L1902&gt;Q1902,NOT(ISNUMBER(P1902))),"Balance increased but no Deferred_interest reported",IF(L1902&gt;R1902,"Reported balance higher than expected (missing increase/OC build)","Reported balance lower than expected (missing decrease)"))))),""))</f>
        <v/>
      </c>
    </row>
    <row r="1903" customFormat="false" ht="15" hidden="false" customHeight="false" outlineLevel="0" collapsed="false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9"/>
      <c r="L1903" s="9"/>
      <c r="M1903" s="9"/>
      <c r="N1903" s="9"/>
      <c r="O1903" s="9"/>
      <c r="P1903" s="9"/>
      <c r="Q1903" s="9"/>
      <c r="R1903" s="9" t="str">
        <f aca="false">IF(AND(A1903&lt;&gt;"",ISNUMBER(Q1903),ISNUMBER(L1903)),ROUND(Q1903-IF(ISNUMBER(N1903),N1903,0)-IF(ISNUMBER(O1903),O1903,0)+IF(ISNUMBER(P1903),P1903,0),2),"")</f>
        <v/>
      </c>
      <c r="S1903" s="9" t="str">
        <f aca="false">IF(R1903="","",ROUND(L1903-R1903,2))</f>
        <v/>
      </c>
      <c r="T1903" s="8" t="str">
        <f aca="false">IF(A1903="","",IF(S1903="","BYPASS",IF(ABS(S1903)&lt;=Summary!$B$2,"PASS","FAIL")))</f>
        <v/>
      </c>
      <c r="U1903" s="8" t="str">
        <f aca="false">IF(T1903="BYPASS",IF(NOT(ISNUMBER(Q1903)),"PreV_ETB missing","End_tr_balance missing"),IF(T1903="FAIL",IF(AND(ISNUMBER(K1903),ISNUMBER(L1903),ABS(L1903-(K1903-IF(ISNUMBER(N1903),N1903,0)-IF(ISNUMBER(O1903),O1903,0)+IF(ISNUMBER(P1903),P1903,0)))&lt;=Summary!$B$2),"Passes using beginning_balance - PreV_ETB differs from beginning_balance",IF(AND(ISNUMBER(O1903),O1903&lt;0,ABS(L1903-(Q1903-IF(ISNUMBER(N1903),N1903,0)+IF(ISNUMBER(P1903),P1903,0)))&lt;=Summary!$B$2),"Negative realized loss not applied - check sign",IF(R1903&lt;0,"Principal paid exceeds prior balance",IF(AND(L1903&gt;Q1903,NOT(ISNUMBER(P1903))),"Balance increased but no Deferred_interest reported",IF(L1903&gt;R1903,"Reported balance higher than expected (missing increase/OC build)","Reported balance lower than expected (missing decrease)"))))),""))</f>
        <v/>
      </c>
    </row>
    <row r="1904" customFormat="false" ht="15" hidden="false" customHeight="false" outlineLevel="0" collapsed="false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9"/>
      <c r="L1904" s="9"/>
      <c r="M1904" s="9"/>
      <c r="N1904" s="9"/>
      <c r="O1904" s="9"/>
      <c r="P1904" s="9"/>
      <c r="Q1904" s="9"/>
      <c r="R1904" s="9" t="str">
        <f aca="false">IF(AND(A1904&lt;&gt;"",ISNUMBER(Q1904),ISNUMBER(L1904)),ROUND(Q1904-IF(ISNUMBER(N1904),N1904,0)-IF(ISNUMBER(O1904),O1904,0)+IF(ISNUMBER(P1904),P1904,0),2),"")</f>
        <v/>
      </c>
      <c r="S1904" s="9" t="str">
        <f aca="false">IF(R1904="","",ROUND(L1904-R1904,2))</f>
        <v/>
      </c>
      <c r="T1904" s="8" t="str">
        <f aca="false">IF(A1904="","",IF(S1904="","BYPASS",IF(ABS(S1904)&lt;=Summary!$B$2,"PASS","FAIL")))</f>
        <v/>
      </c>
      <c r="U1904" s="8" t="str">
        <f aca="false">IF(T1904="BYPASS",IF(NOT(ISNUMBER(Q1904)),"PreV_ETB missing","End_tr_balance missing"),IF(T1904="FAIL",IF(AND(ISNUMBER(K1904),ISNUMBER(L1904),ABS(L1904-(K1904-IF(ISNUMBER(N1904),N1904,0)-IF(ISNUMBER(O1904),O1904,0)+IF(ISNUMBER(P1904),P1904,0)))&lt;=Summary!$B$2),"Passes using beginning_balance - PreV_ETB differs from beginning_balance",IF(AND(ISNUMBER(O1904),O1904&lt;0,ABS(L1904-(Q1904-IF(ISNUMBER(N1904),N1904,0)+IF(ISNUMBER(P1904),P1904,0)))&lt;=Summary!$B$2),"Negative realized loss not applied - check sign",IF(R1904&lt;0,"Principal paid exceeds prior balance",IF(AND(L1904&gt;Q1904,NOT(ISNUMBER(P1904))),"Balance increased but no Deferred_interest reported",IF(L1904&gt;R1904,"Reported balance higher than expected (missing increase/OC build)","Reported balance lower than expected (missing decrease)"))))),""))</f>
        <v/>
      </c>
    </row>
    <row r="1905" customFormat="false" ht="15" hidden="false" customHeight="false" outlineLevel="0" collapsed="false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9"/>
      <c r="L1905" s="9"/>
      <c r="M1905" s="9"/>
      <c r="N1905" s="9"/>
      <c r="O1905" s="9"/>
      <c r="P1905" s="9"/>
      <c r="Q1905" s="9"/>
      <c r="R1905" s="9" t="str">
        <f aca="false">IF(AND(A1905&lt;&gt;"",ISNUMBER(Q1905),ISNUMBER(L1905)),ROUND(Q1905-IF(ISNUMBER(N1905),N1905,0)-IF(ISNUMBER(O1905),O1905,0)+IF(ISNUMBER(P1905),P1905,0),2),"")</f>
        <v/>
      </c>
      <c r="S1905" s="9" t="str">
        <f aca="false">IF(R1905="","",ROUND(L1905-R1905,2))</f>
        <v/>
      </c>
      <c r="T1905" s="8" t="str">
        <f aca="false">IF(A1905="","",IF(S1905="","BYPASS",IF(ABS(S1905)&lt;=Summary!$B$2,"PASS","FAIL")))</f>
        <v/>
      </c>
      <c r="U1905" s="8" t="str">
        <f aca="false">IF(T1905="BYPASS",IF(NOT(ISNUMBER(Q1905)),"PreV_ETB missing","End_tr_balance missing"),IF(T1905="FAIL",IF(AND(ISNUMBER(K1905),ISNUMBER(L1905),ABS(L1905-(K1905-IF(ISNUMBER(N1905),N1905,0)-IF(ISNUMBER(O1905),O1905,0)+IF(ISNUMBER(P1905),P1905,0)))&lt;=Summary!$B$2),"Passes using beginning_balance - PreV_ETB differs from beginning_balance",IF(AND(ISNUMBER(O1905),O1905&lt;0,ABS(L1905-(Q1905-IF(ISNUMBER(N1905),N1905,0)+IF(ISNUMBER(P1905),P1905,0)))&lt;=Summary!$B$2),"Negative realized loss not applied - check sign",IF(R1905&lt;0,"Principal paid exceeds prior balance",IF(AND(L1905&gt;Q1905,NOT(ISNUMBER(P1905))),"Balance increased but no Deferred_interest reported",IF(L1905&gt;R1905,"Reported balance higher than expected (missing increase/OC build)","Reported balance lower than expected (missing decrease)"))))),""))</f>
        <v/>
      </c>
    </row>
    <row r="1906" customFormat="false" ht="15" hidden="false" customHeight="false" outlineLevel="0" collapsed="false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9"/>
      <c r="L1906" s="9"/>
      <c r="M1906" s="9"/>
      <c r="N1906" s="9"/>
      <c r="O1906" s="9"/>
      <c r="P1906" s="9"/>
      <c r="Q1906" s="9"/>
      <c r="R1906" s="9" t="str">
        <f aca="false">IF(AND(A1906&lt;&gt;"",ISNUMBER(Q1906),ISNUMBER(L1906)),ROUND(Q1906-IF(ISNUMBER(N1906),N1906,0)-IF(ISNUMBER(O1906),O1906,0)+IF(ISNUMBER(P1906),P1906,0),2),"")</f>
        <v/>
      </c>
      <c r="S1906" s="9" t="str">
        <f aca="false">IF(R1906="","",ROUND(L1906-R1906,2))</f>
        <v/>
      </c>
      <c r="T1906" s="8" t="str">
        <f aca="false">IF(A1906="","",IF(S1906="","BYPASS",IF(ABS(S1906)&lt;=Summary!$B$2,"PASS","FAIL")))</f>
        <v/>
      </c>
      <c r="U1906" s="8" t="str">
        <f aca="false">IF(T1906="BYPASS",IF(NOT(ISNUMBER(Q1906)),"PreV_ETB missing","End_tr_balance missing"),IF(T1906="FAIL",IF(AND(ISNUMBER(K1906),ISNUMBER(L1906),ABS(L1906-(K1906-IF(ISNUMBER(N1906),N1906,0)-IF(ISNUMBER(O1906),O1906,0)+IF(ISNUMBER(P1906),P1906,0)))&lt;=Summary!$B$2),"Passes using beginning_balance - PreV_ETB differs from beginning_balance",IF(AND(ISNUMBER(O1906),O1906&lt;0,ABS(L1906-(Q1906-IF(ISNUMBER(N1906),N1906,0)+IF(ISNUMBER(P1906),P1906,0)))&lt;=Summary!$B$2),"Negative realized loss not applied - check sign",IF(R1906&lt;0,"Principal paid exceeds prior balance",IF(AND(L1906&gt;Q1906,NOT(ISNUMBER(P1906))),"Balance increased but no Deferred_interest reported",IF(L1906&gt;R1906,"Reported balance higher than expected (missing increase/OC build)","Reported balance lower than expected (missing decrease)"))))),""))</f>
        <v/>
      </c>
    </row>
    <row r="1907" customFormat="false" ht="15" hidden="false" customHeight="false" outlineLevel="0" collapsed="false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9"/>
      <c r="L1907" s="9"/>
      <c r="M1907" s="9"/>
      <c r="N1907" s="9"/>
      <c r="O1907" s="9"/>
      <c r="P1907" s="9"/>
      <c r="Q1907" s="9"/>
      <c r="R1907" s="9" t="str">
        <f aca="false">IF(AND(A1907&lt;&gt;"",ISNUMBER(Q1907),ISNUMBER(L1907)),ROUND(Q1907-IF(ISNUMBER(N1907),N1907,0)-IF(ISNUMBER(O1907),O1907,0)+IF(ISNUMBER(P1907),P1907,0),2),"")</f>
        <v/>
      </c>
      <c r="S1907" s="9" t="str">
        <f aca="false">IF(R1907="","",ROUND(L1907-R1907,2))</f>
        <v/>
      </c>
      <c r="T1907" s="8" t="str">
        <f aca="false">IF(A1907="","",IF(S1907="","BYPASS",IF(ABS(S1907)&lt;=Summary!$B$2,"PASS","FAIL")))</f>
        <v/>
      </c>
      <c r="U1907" s="8" t="str">
        <f aca="false">IF(T1907="BYPASS",IF(NOT(ISNUMBER(Q1907)),"PreV_ETB missing","End_tr_balance missing"),IF(T1907="FAIL",IF(AND(ISNUMBER(K1907),ISNUMBER(L1907),ABS(L1907-(K1907-IF(ISNUMBER(N1907),N1907,0)-IF(ISNUMBER(O1907),O1907,0)+IF(ISNUMBER(P1907),P1907,0)))&lt;=Summary!$B$2),"Passes using beginning_balance - PreV_ETB differs from beginning_balance",IF(AND(ISNUMBER(O1907),O1907&lt;0,ABS(L1907-(Q1907-IF(ISNUMBER(N1907),N1907,0)+IF(ISNUMBER(P1907),P1907,0)))&lt;=Summary!$B$2),"Negative realized loss not applied - check sign",IF(R1907&lt;0,"Principal paid exceeds prior balance",IF(AND(L1907&gt;Q1907,NOT(ISNUMBER(P1907))),"Balance increased but no Deferred_interest reported",IF(L1907&gt;R1907,"Reported balance higher than expected (missing increase/OC build)","Reported balance lower than expected (missing decrease)"))))),""))</f>
        <v/>
      </c>
    </row>
    <row r="1908" customFormat="false" ht="15" hidden="false" customHeight="false" outlineLevel="0" collapsed="false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9"/>
      <c r="L1908" s="9"/>
      <c r="M1908" s="9"/>
      <c r="N1908" s="9"/>
      <c r="O1908" s="9"/>
      <c r="P1908" s="9"/>
      <c r="Q1908" s="9"/>
      <c r="R1908" s="9" t="str">
        <f aca="false">IF(AND(A1908&lt;&gt;"",ISNUMBER(Q1908),ISNUMBER(L1908)),ROUND(Q1908-IF(ISNUMBER(N1908),N1908,0)-IF(ISNUMBER(O1908),O1908,0)+IF(ISNUMBER(P1908),P1908,0),2),"")</f>
        <v/>
      </c>
      <c r="S1908" s="9" t="str">
        <f aca="false">IF(R1908="","",ROUND(L1908-R1908,2))</f>
        <v/>
      </c>
      <c r="T1908" s="8" t="str">
        <f aca="false">IF(A1908="","",IF(S1908="","BYPASS",IF(ABS(S1908)&lt;=Summary!$B$2,"PASS","FAIL")))</f>
        <v/>
      </c>
      <c r="U1908" s="8" t="str">
        <f aca="false">IF(T1908="BYPASS",IF(NOT(ISNUMBER(Q1908)),"PreV_ETB missing","End_tr_balance missing"),IF(T1908="FAIL",IF(AND(ISNUMBER(K1908),ISNUMBER(L1908),ABS(L1908-(K1908-IF(ISNUMBER(N1908),N1908,0)-IF(ISNUMBER(O1908),O1908,0)+IF(ISNUMBER(P1908),P1908,0)))&lt;=Summary!$B$2),"Passes using beginning_balance - PreV_ETB differs from beginning_balance",IF(AND(ISNUMBER(O1908),O1908&lt;0,ABS(L1908-(Q1908-IF(ISNUMBER(N1908),N1908,0)+IF(ISNUMBER(P1908),P1908,0)))&lt;=Summary!$B$2),"Negative realized loss not applied - check sign",IF(R1908&lt;0,"Principal paid exceeds prior balance",IF(AND(L1908&gt;Q1908,NOT(ISNUMBER(P1908))),"Balance increased but no Deferred_interest reported",IF(L1908&gt;R1908,"Reported balance higher than expected (missing increase/OC build)","Reported balance lower than expected (missing decrease)"))))),""))</f>
        <v/>
      </c>
    </row>
    <row r="1909" customFormat="false" ht="15" hidden="false" customHeight="false" outlineLevel="0" collapsed="false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9"/>
      <c r="L1909" s="9"/>
      <c r="M1909" s="9"/>
      <c r="N1909" s="9"/>
      <c r="O1909" s="9"/>
      <c r="P1909" s="9"/>
      <c r="Q1909" s="9"/>
      <c r="R1909" s="9" t="str">
        <f aca="false">IF(AND(A1909&lt;&gt;"",ISNUMBER(Q1909),ISNUMBER(L1909)),ROUND(Q1909-IF(ISNUMBER(N1909),N1909,0)-IF(ISNUMBER(O1909),O1909,0)+IF(ISNUMBER(P1909),P1909,0),2),"")</f>
        <v/>
      </c>
      <c r="S1909" s="9" t="str">
        <f aca="false">IF(R1909="","",ROUND(L1909-R1909,2))</f>
        <v/>
      </c>
      <c r="T1909" s="8" t="str">
        <f aca="false">IF(A1909="","",IF(S1909="","BYPASS",IF(ABS(S1909)&lt;=Summary!$B$2,"PASS","FAIL")))</f>
        <v/>
      </c>
      <c r="U1909" s="8" t="str">
        <f aca="false">IF(T1909="BYPASS",IF(NOT(ISNUMBER(Q1909)),"PreV_ETB missing","End_tr_balance missing"),IF(T1909="FAIL",IF(AND(ISNUMBER(K1909),ISNUMBER(L1909),ABS(L1909-(K1909-IF(ISNUMBER(N1909),N1909,0)-IF(ISNUMBER(O1909),O1909,0)+IF(ISNUMBER(P1909),P1909,0)))&lt;=Summary!$B$2),"Passes using beginning_balance - PreV_ETB differs from beginning_balance",IF(AND(ISNUMBER(O1909),O1909&lt;0,ABS(L1909-(Q1909-IF(ISNUMBER(N1909),N1909,0)+IF(ISNUMBER(P1909),P1909,0)))&lt;=Summary!$B$2),"Negative realized loss not applied - check sign",IF(R1909&lt;0,"Principal paid exceeds prior balance",IF(AND(L1909&gt;Q1909,NOT(ISNUMBER(P1909))),"Balance increased but no Deferred_interest reported",IF(L1909&gt;R1909,"Reported balance higher than expected (missing increase/OC build)","Reported balance lower than expected (missing decrease)"))))),""))</f>
        <v/>
      </c>
    </row>
    <row r="1910" customFormat="false" ht="15" hidden="false" customHeight="false" outlineLevel="0" collapsed="false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9"/>
      <c r="L1910" s="9"/>
      <c r="M1910" s="9"/>
      <c r="N1910" s="9"/>
      <c r="O1910" s="9"/>
      <c r="P1910" s="9"/>
      <c r="Q1910" s="9"/>
      <c r="R1910" s="9" t="str">
        <f aca="false">IF(AND(A1910&lt;&gt;"",ISNUMBER(Q1910),ISNUMBER(L1910)),ROUND(Q1910-IF(ISNUMBER(N1910),N1910,0)-IF(ISNUMBER(O1910),O1910,0)+IF(ISNUMBER(P1910),P1910,0),2),"")</f>
        <v/>
      </c>
      <c r="S1910" s="9" t="str">
        <f aca="false">IF(R1910="","",ROUND(L1910-R1910,2))</f>
        <v/>
      </c>
      <c r="T1910" s="8" t="str">
        <f aca="false">IF(A1910="","",IF(S1910="","BYPASS",IF(ABS(S1910)&lt;=Summary!$B$2,"PASS","FAIL")))</f>
        <v/>
      </c>
      <c r="U1910" s="8" t="str">
        <f aca="false">IF(T1910="BYPASS",IF(NOT(ISNUMBER(Q1910)),"PreV_ETB missing","End_tr_balance missing"),IF(T1910="FAIL",IF(AND(ISNUMBER(K1910),ISNUMBER(L1910),ABS(L1910-(K1910-IF(ISNUMBER(N1910),N1910,0)-IF(ISNUMBER(O1910),O1910,0)+IF(ISNUMBER(P1910),P1910,0)))&lt;=Summary!$B$2),"Passes using beginning_balance - PreV_ETB differs from beginning_balance",IF(AND(ISNUMBER(O1910),O1910&lt;0,ABS(L1910-(Q1910-IF(ISNUMBER(N1910),N1910,0)+IF(ISNUMBER(P1910),P1910,0)))&lt;=Summary!$B$2),"Negative realized loss not applied - check sign",IF(R1910&lt;0,"Principal paid exceeds prior balance",IF(AND(L1910&gt;Q1910,NOT(ISNUMBER(P1910))),"Balance increased but no Deferred_interest reported",IF(L1910&gt;R1910,"Reported balance higher than expected (missing increase/OC build)","Reported balance lower than expected (missing decrease)"))))),""))</f>
        <v/>
      </c>
    </row>
    <row r="1911" customFormat="false" ht="15" hidden="false" customHeight="false" outlineLevel="0" collapsed="false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9"/>
      <c r="L1911" s="9"/>
      <c r="M1911" s="9"/>
      <c r="N1911" s="9"/>
      <c r="O1911" s="9"/>
      <c r="P1911" s="9"/>
      <c r="Q1911" s="9"/>
      <c r="R1911" s="9" t="str">
        <f aca="false">IF(AND(A1911&lt;&gt;"",ISNUMBER(Q1911),ISNUMBER(L1911)),ROUND(Q1911-IF(ISNUMBER(N1911),N1911,0)-IF(ISNUMBER(O1911),O1911,0)+IF(ISNUMBER(P1911),P1911,0),2),"")</f>
        <v/>
      </c>
      <c r="S1911" s="9" t="str">
        <f aca="false">IF(R1911="","",ROUND(L1911-R1911,2))</f>
        <v/>
      </c>
      <c r="T1911" s="8" t="str">
        <f aca="false">IF(A1911="","",IF(S1911="","BYPASS",IF(ABS(S1911)&lt;=Summary!$B$2,"PASS","FAIL")))</f>
        <v/>
      </c>
      <c r="U1911" s="8" t="str">
        <f aca="false">IF(T1911="BYPASS",IF(NOT(ISNUMBER(Q1911)),"PreV_ETB missing","End_tr_balance missing"),IF(T1911="FAIL",IF(AND(ISNUMBER(K1911),ISNUMBER(L1911),ABS(L1911-(K1911-IF(ISNUMBER(N1911),N1911,0)-IF(ISNUMBER(O1911),O1911,0)+IF(ISNUMBER(P1911),P1911,0)))&lt;=Summary!$B$2),"Passes using beginning_balance - PreV_ETB differs from beginning_balance",IF(AND(ISNUMBER(O1911),O1911&lt;0,ABS(L1911-(Q1911-IF(ISNUMBER(N1911),N1911,0)+IF(ISNUMBER(P1911),P1911,0)))&lt;=Summary!$B$2),"Negative realized loss not applied - check sign",IF(R1911&lt;0,"Principal paid exceeds prior balance",IF(AND(L1911&gt;Q1911,NOT(ISNUMBER(P1911))),"Balance increased but no Deferred_interest reported",IF(L1911&gt;R1911,"Reported balance higher than expected (missing increase/OC build)","Reported balance lower than expected (missing decrease)"))))),""))</f>
        <v/>
      </c>
    </row>
    <row r="1912" customFormat="false" ht="15" hidden="false" customHeight="false" outlineLevel="0" collapsed="false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9"/>
      <c r="L1912" s="9"/>
      <c r="M1912" s="9"/>
      <c r="N1912" s="9"/>
      <c r="O1912" s="9"/>
      <c r="P1912" s="9"/>
      <c r="Q1912" s="9"/>
      <c r="R1912" s="9" t="str">
        <f aca="false">IF(AND(A1912&lt;&gt;"",ISNUMBER(Q1912),ISNUMBER(L1912)),ROUND(Q1912-IF(ISNUMBER(N1912),N1912,0)-IF(ISNUMBER(O1912),O1912,0)+IF(ISNUMBER(P1912),P1912,0),2),"")</f>
        <v/>
      </c>
      <c r="S1912" s="9" t="str">
        <f aca="false">IF(R1912="","",ROUND(L1912-R1912,2))</f>
        <v/>
      </c>
      <c r="T1912" s="8" t="str">
        <f aca="false">IF(A1912="","",IF(S1912="","BYPASS",IF(ABS(S1912)&lt;=Summary!$B$2,"PASS","FAIL")))</f>
        <v/>
      </c>
      <c r="U1912" s="8" t="str">
        <f aca="false">IF(T1912="BYPASS",IF(NOT(ISNUMBER(Q1912)),"PreV_ETB missing","End_tr_balance missing"),IF(T1912="FAIL",IF(AND(ISNUMBER(K1912),ISNUMBER(L1912),ABS(L1912-(K1912-IF(ISNUMBER(N1912),N1912,0)-IF(ISNUMBER(O1912),O1912,0)+IF(ISNUMBER(P1912),P1912,0)))&lt;=Summary!$B$2),"Passes using beginning_balance - PreV_ETB differs from beginning_balance",IF(AND(ISNUMBER(O1912),O1912&lt;0,ABS(L1912-(Q1912-IF(ISNUMBER(N1912),N1912,0)+IF(ISNUMBER(P1912),P1912,0)))&lt;=Summary!$B$2),"Negative realized loss not applied - check sign",IF(R1912&lt;0,"Principal paid exceeds prior balance",IF(AND(L1912&gt;Q1912,NOT(ISNUMBER(P1912))),"Balance increased but no Deferred_interest reported",IF(L1912&gt;R1912,"Reported balance higher than expected (missing increase/OC build)","Reported balance lower than expected (missing decrease)"))))),""))</f>
        <v/>
      </c>
    </row>
    <row r="1913" customFormat="false" ht="15" hidden="false" customHeight="false" outlineLevel="0" collapsed="false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9"/>
      <c r="L1913" s="9"/>
      <c r="M1913" s="9"/>
      <c r="N1913" s="9"/>
      <c r="O1913" s="9"/>
      <c r="P1913" s="9"/>
      <c r="Q1913" s="9"/>
      <c r="R1913" s="9" t="str">
        <f aca="false">IF(AND(A1913&lt;&gt;"",ISNUMBER(Q1913),ISNUMBER(L1913)),ROUND(Q1913-IF(ISNUMBER(N1913),N1913,0)-IF(ISNUMBER(O1913),O1913,0)+IF(ISNUMBER(P1913),P1913,0),2),"")</f>
        <v/>
      </c>
      <c r="S1913" s="9" t="str">
        <f aca="false">IF(R1913="","",ROUND(L1913-R1913,2))</f>
        <v/>
      </c>
      <c r="T1913" s="8" t="str">
        <f aca="false">IF(A1913="","",IF(S1913="","BYPASS",IF(ABS(S1913)&lt;=Summary!$B$2,"PASS","FAIL")))</f>
        <v/>
      </c>
      <c r="U1913" s="8" t="str">
        <f aca="false">IF(T1913="BYPASS",IF(NOT(ISNUMBER(Q1913)),"PreV_ETB missing","End_tr_balance missing"),IF(T1913="FAIL",IF(AND(ISNUMBER(K1913),ISNUMBER(L1913),ABS(L1913-(K1913-IF(ISNUMBER(N1913),N1913,0)-IF(ISNUMBER(O1913),O1913,0)+IF(ISNUMBER(P1913),P1913,0)))&lt;=Summary!$B$2),"Passes using beginning_balance - PreV_ETB differs from beginning_balance",IF(AND(ISNUMBER(O1913),O1913&lt;0,ABS(L1913-(Q1913-IF(ISNUMBER(N1913),N1913,0)+IF(ISNUMBER(P1913),P1913,0)))&lt;=Summary!$B$2),"Negative realized loss not applied - check sign",IF(R1913&lt;0,"Principal paid exceeds prior balance",IF(AND(L1913&gt;Q1913,NOT(ISNUMBER(P1913))),"Balance increased but no Deferred_interest reported",IF(L1913&gt;R1913,"Reported balance higher than expected (missing increase/OC build)","Reported balance lower than expected (missing decrease)"))))),""))</f>
        <v/>
      </c>
    </row>
    <row r="1914" customFormat="false" ht="15" hidden="false" customHeight="false" outlineLevel="0" collapsed="false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9"/>
      <c r="L1914" s="9"/>
      <c r="M1914" s="9"/>
      <c r="N1914" s="9"/>
      <c r="O1914" s="9"/>
      <c r="P1914" s="9"/>
      <c r="Q1914" s="9"/>
      <c r="R1914" s="9" t="str">
        <f aca="false">IF(AND(A1914&lt;&gt;"",ISNUMBER(Q1914),ISNUMBER(L1914)),ROUND(Q1914-IF(ISNUMBER(N1914),N1914,0)-IF(ISNUMBER(O1914),O1914,0)+IF(ISNUMBER(P1914),P1914,0),2),"")</f>
        <v/>
      </c>
      <c r="S1914" s="9" t="str">
        <f aca="false">IF(R1914="","",ROUND(L1914-R1914,2))</f>
        <v/>
      </c>
      <c r="T1914" s="8" t="str">
        <f aca="false">IF(A1914="","",IF(S1914="","BYPASS",IF(ABS(S1914)&lt;=Summary!$B$2,"PASS","FAIL")))</f>
        <v/>
      </c>
      <c r="U1914" s="8" t="str">
        <f aca="false">IF(T1914="BYPASS",IF(NOT(ISNUMBER(Q1914)),"PreV_ETB missing","End_tr_balance missing"),IF(T1914="FAIL",IF(AND(ISNUMBER(K1914),ISNUMBER(L1914),ABS(L1914-(K1914-IF(ISNUMBER(N1914),N1914,0)-IF(ISNUMBER(O1914),O1914,0)+IF(ISNUMBER(P1914),P1914,0)))&lt;=Summary!$B$2),"Passes using beginning_balance - PreV_ETB differs from beginning_balance",IF(AND(ISNUMBER(O1914),O1914&lt;0,ABS(L1914-(Q1914-IF(ISNUMBER(N1914),N1914,0)+IF(ISNUMBER(P1914),P1914,0)))&lt;=Summary!$B$2),"Negative realized loss not applied - check sign",IF(R1914&lt;0,"Principal paid exceeds prior balance",IF(AND(L1914&gt;Q1914,NOT(ISNUMBER(P1914))),"Balance increased but no Deferred_interest reported",IF(L1914&gt;R1914,"Reported balance higher than expected (missing increase/OC build)","Reported balance lower than expected (missing decrease)"))))),""))</f>
        <v/>
      </c>
    </row>
    <row r="1915" customFormat="false" ht="15" hidden="false" customHeight="false" outlineLevel="0" collapsed="false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9"/>
      <c r="L1915" s="9"/>
      <c r="M1915" s="9"/>
      <c r="N1915" s="9"/>
      <c r="O1915" s="9"/>
      <c r="P1915" s="9"/>
      <c r="Q1915" s="9"/>
      <c r="R1915" s="9" t="str">
        <f aca="false">IF(AND(A1915&lt;&gt;"",ISNUMBER(Q1915),ISNUMBER(L1915)),ROUND(Q1915-IF(ISNUMBER(N1915),N1915,0)-IF(ISNUMBER(O1915),O1915,0)+IF(ISNUMBER(P1915),P1915,0),2),"")</f>
        <v/>
      </c>
      <c r="S1915" s="9" t="str">
        <f aca="false">IF(R1915="","",ROUND(L1915-R1915,2))</f>
        <v/>
      </c>
      <c r="T1915" s="8" t="str">
        <f aca="false">IF(A1915="","",IF(S1915="","BYPASS",IF(ABS(S1915)&lt;=Summary!$B$2,"PASS","FAIL")))</f>
        <v/>
      </c>
      <c r="U1915" s="8" t="str">
        <f aca="false">IF(T1915="BYPASS",IF(NOT(ISNUMBER(Q1915)),"PreV_ETB missing","End_tr_balance missing"),IF(T1915="FAIL",IF(AND(ISNUMBER(K1915),ISNUMBER(L1915),ABS(L1915-(K1915-IF(ISNUMBER(N1915),N1915,0)-IF(ISNUMBER(O1915),O1915,0)+IF(ISNUMBER(P1915),P1915,0)))&lt;=Summary!$B$2),"Passes using beginning_balance - PreV_ETB differs from beginning_balance",IF(AND(ISNUMBER(O1915),O1915&lt;0,ABS(L1915-(Q1915-IF(ISNUMBER(N1915),N1915,0)+IF(ISNUMBER(P1915),P1915,0)))&lt;=Summary!$B$2),"Negative realized loss not applied - check sign",IF(R1915&lt;0,"Principal paid exceeds prior balance",IF(AND(L1915&gt;Q1915,NOT(ISNUMBER(P1915))),"Balance increased but no Deferred_interest reported",IF(L1915&gt;R1915,"Reported balance higher than expected (missing increase/OC build)","Reported balance lower than expected (missing decrease)"))))),""))</f>
        <v/>
      </c>
    </row>
    <row r="1916" customFormat="false" ht="15" hidden="false" customHeight="false" outlineLevel="0" collapsed="false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9"/>
      <c r="L1916" s="9"/>
      <c r="M1916" s="9"/>
      <c r="N1916" s="9"/>
      <c r="O1916" s="9"/>
      <c r="P1916" s="9"/>
      <c r="Q1916" s="9"/>
      <c r="R1916" s="9" t="str">
        <f aca="false">IF(AND(A1916&lt;&gt;"",ISNUMBER(Q1916),ISNUMBER(L1916)),ROUND(Q1916-IF(ISNUMBER(N1916),N1916,0)-IF(ISNUMBER(O1916),O1916,0)+IF(ISNUMBER(P1916),P1916,0),2),"")</f>
        <v/>
      </c>
      <c r="S1916" s="9" t="str">
        <f aca="false">IF(R1916="","",ROUND(L1916-R1916,2))</f>
        <v/>
      </c>
      <c r="T1916" s="8" t="str">
        <f aca="false">IF(A1916="","",IF(S1916="","BYPASS",IF(ABS(S1916)&lt;=Summary!$B$2,"PASS","FAIL")))</f>
        <v/>
      </c>
      <c r="U1916" s="8" t="str">
        <f aca="false">IF(T1916="BYPASS",IF(NOT(ISNUMBER(Q1916)),"PreV_ETB missing","End_tr_balance missing"),IF(T1916="FAIL",IF(AND(ISNUMBER(K1916),ISNUMBER(L1916),ABS(L1916-(K1916-IF(ISNUMBER(N1916),N1916,0)-IF(ISNUMBER(O1916),O1916,0)+IF(ISNUMBER(P1916),P1916,0)))&lt;=Summary!$B$2),"Passes using beginning_balance - PreV_ETB differs from beginning_balance",IF(AND(ISNUMBER(O1916),O1916&lt;0,ABS(L1916-(Q1916-IF(ISNUMBER(N1916),N1916,0)+IF(ISNUMBER(P1916),P1916,0)))&lt;=Summary!$B$2),"Negative realized loss not applied - check sign",IF(R1916&lt;0,"Principal paid exceeds prior balance",IF(AND(L1916&gt;Q1916,NOT(ISNUMBER(P1916))),"Balance increased but no Deferred_interest reported",IF(L1916&gt;R1916,"Reported balance higher than expected (missing increase/OC build)","Reported balance lower than expected (missing decrease)"))))),""))</f>
        <v/>
      </c>
    </row>
    <row r="1917" customFormat="false" ht="15" hidden="false" customHeight="false" outlineLevel="0" collapsed="false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9"/>
      <c r="L1917" s="9"/>
      <c r="M1917" s="9"/>
      <c r="N1917" s="9"/>
      <c r="O1917" s="9"/>
      <c r="P1917" s="9"/>
      <c r="Q1917" s="9"/>
      <c r="R1917" s="9" t="str">
        <f aca="false">IF(AND(A1917&lt;&gt;"",ISNUMBER(Q1917),ISNUMBER(L1917)),ROUND(Q1917-IF(ISNUMBER(N1917),N1917,0)-IF(ISNUMBER(O1917),O1917,0)+IF(ISNUMBER(P1917),P1917,0),2),"")</f>
        <v/>
      </c>
      <c r="S1917" s="9" t="str">
        <f aca="false">IF(R1917="","",ROUND(L1917-R1917,2))</f>
        <v/>
      </c>
      <c r="T1917" s="8" t="str">
        <f aca="false">IF(A1917="","",IF(S1917="","BYPASS",IF(ABS(S1917)&lt;=Summary!$B$2,"PASS","FAIL")))</f>
        <v/>
      </c>
      <c r="U1917" s="8" t="str">
        <f aca="false">IF(T1917="BYPASS",IF(NOT(ISNUMBER(Q1917)),"PreV_ETB missing","End_tr_balance missing"),IF(T1917="FAIL",IF(AND(ISNUMBER(K1917),ISNUMBER(L1917),ABS(L1917-(K1917-IF(ISNUMBER(N1917),N1917,0)-IF(ISNUMBER(O1917),O1917,0)+IF(ISNUMBER(P1917),P1917,0)))&lt;=Summary!$B$2),"Passes using beginning_balance - PreV_ETB differs from beginning_balance",IF(AND(ISNUMBER(O1917),O1917&lt;0,ABS(L1917-(Q1917-IF(ISNUMBER(N1917),N1917,0)+IF(ISNUMBER(P1917),P1917,0)))&lt;=Summary!$B$2),"Negative realized loss not applied - check sign",IF(R1917&lt;0,"Principal paid exceeds prior balance",IF(AND(L1917&gt;Q1917,NOT(ISNUMBER(P1917))),"Balance increased but no Deferred_interest reported",IF(L1917&gt;R1917,"Reported balance higher than expected (missing increase/OC build)","Reported balance lower than expected (missing decrease)"))))),""))</f>
        <v/>
      </c>
    </row>
    <row r="1918" customFormat="false" ht="15" hidden="false" customHeight="false" outlineLevel="0" collapsed="false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9"/>
      <c r="L1918" s="9"/>
      <c r="M1918" s="9"/>
      <c r="N1918" s="9"/>
      <c r="O1918" s="9"/>
      <c r="P1918" s="9"/>
      <c r="Q1918" s="9"/>
      <c r="R1918" s="9" t="str">
        <f aca="false">IF(AND(A1918&lt;&gt;"",ISNUMBER(Q1918),ISNUMBER(L1918)),ROUND(Q1918-IF(ISNUMBER(N1918),N1918,0)-IF(ISNUMBER(O1918),O1918,0)+IF(ISNUMBER(P1918),P1918,0),2),"")</f>
        <v/>
      </c>
      <c r="S1918" s="9" t="str">
        <f aca="false">IF(R1918="","",ROUND(L1918-R1918,2))</f>
        <v/>
      </c>
      <c r="T1918" s="8" t="str">
        <f aca="false">IF(A1918="","",IF(S1918="","BYPASS",IF(ABS(S1918)&lt;=Summary!$B$2,"PASS","FAIL")))</f>
        <v/>
      </c>
      <c r="U1918" s="8" t="str">
        <f aca="false">IF(T1918="BYPASS",IF(NOT(ISNUMBER(Q1918)),"PreV_ETB missing","End_tr_balance missing"),IF(T1918="FAIL",IF(AND(ISNUMBER(K1918),ISNUMBER(L1918),ABS(L1918-(K1918-IF(ISNUMBER(N1918),N1918,0)-IF(ISNUMBER(O1918),O1918,0)+IF(ISNUMBER(P1918),P1918,0)))&lt;=Summary!$B$2),"Passes using beginning_balance - PreV_ETB differs from beginning_balance",IF(AND(ISNUMBER(O1918),O1918&lt;0,ABS(L1918-(Q1918-IF(ISNUMBER(N1918),N1918,0)+IF(ISNUMBER(P1918),P1918,0)))&lt;=Summary!$B$2),"Negative realized loss not applied - check sign",IF(R1918&lt;0,"Principal paid exceeds prior balance",IF(AND(L1918&gt;Q1918,NOT(ISNUMBER(P1918))),"Balance increased but no Deferred_interest reported",IF(L1918&gt;R1918,"Reported balance higher than expected (missing increase/OC build)","Reported balance lower than expected (missing decrease)"))))),""))</f>
        <v/>
      </c>
    </row>
    <row r="1919" customFormat="false" ht="15" hidden="false" customHeight="false" outlineLevel="0" collapsed="false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9"/>
      <c r="L1919" s="9"/>
      <c r="M1919" s="9"/>
      <c r="N1919" s="9"/>
      <c r="O1919" s="9"/>
      <c r="P1919" s="9"/>
      <c r="Q1919" s="9"/>
      <c r="R1919" s="9" t="str">
        <f aca="false">IF(AND(A1919&lt;&gt;"",ISNUMBER(Q1919),ISNUMBER(L1919)),ROUND(Q1919-IF(ISNUMBER(N1919),N1919,0)-IF(ISNUMBER(O1919),O1919,0)+IF(ISNUMBER(P1919),P1919,0),2),"")</f>
        <v/>
      </c>
      <c r="S1919" s="9" t="str">
        <f aca="false">IF(R1919="","",ROUND(L1919-R1919,2))</f>
        <v/>
      </c>
      <c r="T1919" s="8" t="str">
        <f aca="false">IF(A1919="","",IF(S1919="","BYPASS",IF(ABS(S1919)&lt;=Summary!$B$2,"PASS","FAIL")))</f>
        <v/>
      </c>
      <c r="U1919" s="8" t="str">
        <f aca="false">IF(T1919="BYPASS",IF(NOT(ISNUMBER(Q1919)),"PreV_ETB missing","End_tr_balance missing"),IF(T1919="FAIL",IF(AND(ISNUMBER(K1919),ISNUMBER(L1919),ABS(L1919-(K1919-IF(ISNUMBER(N1919),N1919,0)-IF(ISNUMBER(O1919),O1919,0)+IF(ISNUMBER(P1919),P1919,0)))&lt;=Summary!$B$2),"Passes using beginning_balance - PreV_ETB differs from beginning_balance",IF(AND(ISNUMBER(O1919),O1919&lt;0,ABS(L1919-(Q1919-IF(ISNUMBER(N1919),N1919,0)+IF(ISNUMBER(P1919),P1919,0)))&lt;=Summary!$B$2),"Negative realized loss not applied - check sign",IF(R1919&lt;0,"Principal paid exceeds prior balance",IF(AND(L1919&gt;Q1919,NOT(ISNUMBER(P1919))),"Balance increased but no Deferred_interest reported",IF(L1919&gt;R1919,"Reported balance higher than expected (missing increase/OC build)","Reported balance lower than expected (missing decrease)"))))),""))</f>
        <v/>
      </c>
    </row>
    <row r="1920" customFormat="false" ht="15" hidden="false" customHeight="false" outlineLevel="0" collapsed="false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9"/>
      <c r="L1920" s="9"/>
      <c r="M1920" s="9"/>
      <c r="N1920" s="9"/>
      <c r="O1920" s="9"/>
      <c r="P1920" s="9"/>
      <c r="Q1920" s="9"/>
      <c r="R1920" s="9" t="str">
        <f aca="false">IF(AND(A1920&lt;&gt;"",ISNUMBER(Q1920),ISNUMBER(L1920)),ROUND(Q1920-IF(ISNUMBER(N1920),N1920,0)-IF(ISNUMBER(O1920),O1920,0)+IF(ISNUMBER(P1920),P1920,0),2),"")</f>
        <v/>
      </c>
      <c r="S1920" s="9" t="str">
        <f aca="false">IF(R1920="","",ROUND(L1920-R1920,2))</f>
        <v/>
      </c>
      <c r="T1920" s="8" t="str">
        <f aca="false">IF(A1920="","",IF(S1920="","BYPASS",IF(ABS(S1920)&lt;=Summary!$B$2,"PASS","FAIL")))</f>
        <v/>
      </c>
      <c r="U1920" s="8" t="str">
        <f aca="false">IF(T1920="BYPASS",IF(NOT(ISNUMBER(Q1920)),"PreV_ETB missing","End_tr_balance missing"),IF(T1920="FAIL",IF(AND(ISNUMBER(K1920),ISNUMBER(L1920),ABS(L1920-(K1920-IF(ISNUMBER(N1920),N1920,0)-IF(ISNUMBER(O1920),O1920,0)+IF(ISNUMBER(P1920),P1920,0)))&lt;=Summary!$B$2),"Passes using beginning_balance - PreV_ETB differs from beginning_balance",IF(AND(ISNUMBER(O1920),O1920&lt;0,ABS(L1920-(Q1920-IF(ISNUMBER(N1920),N1920,0)+IF(ISNUMBER(P1920),P1920,0)))&lt;=Summary!$B$2),"Negative realized loss not applied - check sign",IF(R1920&lt;0,"Principal paid exceeds prior balance",IF(AND(L1920&gt;Q1920,NOT(ISNUMBER(P1920))),"Balance increased but no Deferred_interest reported",IF(L1920&gt;R1920,"Reported balance higher than expected (missing increase/OC build)","Reported balance lower than expected (missing decrease)"))))),""))</f>
        <v/>
      </c>
    </row>
    <row r="1921" customFormat="false" ht="15" hidden="false" customHeight="false" outlineLevel="0" collapsed="false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9"/>
      <c r="L1921" s="9"/>
      <c r="M1921" s="9"/>
      <c r="N1921" s="9"/>
      <c r="O1921" s="9"/>
      <c r="P1921" s="9"/>
      <c r="Q1921" s="9"/>
      <c r="R1921" s="9" t="str">
        <f aca="false">IF(AND(A1921&lt;&gt;"",ISNUMBER(Q1921),ISNUMBER(L1921)),ROUND(Q1921-IF(ISNUMBER(N1921),N1921,0)-IF(ISNUMBER(O1921),O1921,0)+IF(ISNUMBER(P1921),P1921,0),2),"")</f>
        <v/>
      </c>
      <c r="S1921" s="9" t="str">
        <f aca="false">IF(R1921="","",ROUND(L1921-R1921,2))</f>
        <v/>
      </c>
      <c r="T1921" s="8" t="str">
        <f aca="false">IF(A1921="","",IF(S1921="","BYPASS",IF(ABS(S1921)&lt;=Summary!$B$2,"PASS","FAIL")))</f>
        <v/>
      </c>
      <c r="U1921" s="8" t="str">
        <f aca="false">IF(T1921="BYPASS",IF(NOT(ISNUMBER(Q1921)),"PreV_ETB missing","End_tr_balance missing"),IF(T1921="FAIL",IF(AND(ISNUMBER(K1921),ISNUMBER(L1921),ABS(L1921-(K1921-IF(ISNUMBER(N1921),N1921,0)-IF(ISNUMBER(O1921),O1921,0)+IF(ISNUMBER(P1921),P1921,0)))&lt;=Summary!$B$2),"Passes using beginning_balance - PreV_ETB differs from beginning_balance",IF(AND(ISNUMBER(O1921),O1921&lt;0,ABS(L1921-(Q1921-IF(ISNUMBER(N1921),N1921,0)+IF(ISNUMBER(P1921),P1921,0)))&lt;=Summary!$B$2),"Negative realized loss not applied - check sign",IF(R1921&lt;0,"Principal paid exceeds prior balance",IF(AND(L1921&gt;Q1921,NOT(ISNUMBER(P1921))),"Balance increased but no Deferred_interest reported",IF(L1921&gt;R1921,"Reported balance higher than expected (missing increase/OC build)","Reported balance lower than expected (missing decrease)"))))),""))</f>
        <v/>
      </c>
    </row>
    <row r="1922" customFormat="false" ht="15" hidden="false" customHeight="false" outlineLevel="0" collapsed="false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9"/>
      <c r="L1922" s="9"/>
      <c r="M1922" s="9"/>
      <c r="N1922" s="9"/>
      <c r="O1922" s="9"/>
      <c r="P1922" s="9"/>
      <c r="Q1922" s="9"/>
      <c r="R1922" s="9" t="str">
        <f aca="false">IF(AND(A1922&lt;&gt;"",ISNUMBER(Q1922),ISNUMBER(L1922)),ROUND(Q1922-IF(ISNUMBER(N1922),N1922,0)-IF(ISNUMBER(O1922),O1922,0)+IF(ISNUMBER(P1922),P1922,0),2),"")</f>
        <v/>
      </c>
      <c r="S1922" s="9" t="str">
        <f aca="false">IF(R1922="","",ROUND(L1922-R1922,2))</f>
        <v/>
      </c>
      <c r="T1922" s="8" t="str">
        <f aca="false">IF(A1922="","",IF(S1922="","BYPASS",IF(ABS(S1922)&lt;=Summary!$B$2,"PASS","FAIL")))</f>
        <v/>
      </c>
      <c r="U1922" s="8" t="str">
        <f aca="false">IF(T1922="BYPASS",IF(NOT(ISNUMBER(Q1922)),"PreV_ETB missing","End_tr_balance missing"),IF(T1922="FAIL",IF(AND(ISNUMBER(K1922),ISNUMBER(L1922),ABS(L1922-(K1922-IF(ISNUMBER(N1922),N1922,0)-IF(ISNUMBER(O1922),O1922,0)+IF(ISNUMBER(P1922),P1922,0)))&lt;=Summary!$B$2),"Passes using beginning_balance - PreV_ETB differs from beginning_balance",IF(AND(ISNUMBER(O1922),O1922&lt;0,ABS(L1922-(Q1922-IF(ISNUMBER(N1922),N1922,0)+IF(ISNUMBER(P1922),P1922,0)))&lt;=Summary!$B$2),"Negative realized loss not applied - check sign",IF(R1922&lt;0,"Principal paid exceeds prior balance",IF(AND(L1922&gt;Q1922,NOT(ISNUMBER(P1922))),"Balance increased but no Deferred_interest reported",IF(L1922&gt;R1922,"Reported balance higher than expected (missing increase/OC build)","Reported balance lower than expected (missing decrease)"))))),""))</f>
        <v/>
      </c>
    </row>
    <row r="1923" customFormat="false" ht="15" hidden="false" customHeight="false" outlineLevel="0" collapsed="false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9"/>
      <c r="L1923" s="9"/>
      <c r="M1923" s="9"/>
      <c r="N1923" s="9"/>
      <c r="O1923" s="9"/>
      <c r="P1923" s="9"/>
      <c r="Q1923" s="9"/>
      <c r="R1923" s="9" t="str">
        <f aca="false">IF(AND(A1923&lt;&gt;"",ISNUMBER(Q1923),ISNUMBER(L1923)),ROUND(Q1923-IF(ISNUMBER(N1923),N1923,0)-IF(ISNUMBER(O1923),O1923,0)+IF(ISNUMBER(P1923),P1923,0),2),"")</f>
        <v/>
      </c>
      <c r="S1923" s="9" t="str">
        <f aca="false">IF(R1923="","",ROUND(L1923-R1923,2))</f>
        <v/>
      </c>
      <c r="T1923" s="8" t="str">
        <f aca="false">IF(A1923="","",IF(S1923="","BYPASS",IF(ABS(S1923)&lt;=Summary!$B$2,"PASS","FAIL")))</f>
        <v/>
      </c>
      <c r="U1923" s="8" t="str">
        <f aca="false">IF(T1923="BYPASS",IF(NOT(ISNUMBER(Q1923)),"PreV_ETB missing","End_tr_balance missing"),IF(T1923="FAIL",IF(AND(ISNUMBER(K1923),ISNUMBER(L1923),ABS(L1923-(K1923-IF(ISNUMBER(N1923),N1923,0)-IF(ISNUMBER(O1923),O1923,0)+IF(ISNUMBER(P1923),P1923,0)))&lt;=Summary!$B$2),"Passes using beginning_balance - PreV_ETB differs from beginning_balance",IF(AND(ISNUMBER(O1923),O1923&lt;0,ABS(L1923-(Q1923-IF(ISNUMBER(N1923),N1923,0)+IF(ISNUMBER(P1923),P1923,0)))&lt;=Summary!$B$2),"Negative realized loss not applied - check sign",IF(R1923&lt;0,"Principal paid exceeds prior balance",IF(AND(L1923&gt;Q1923,NOT(ISNUMBER(P1923))),"Balance increased but no Deferred_interest reported",IF(L1923&gt;R1923,"Reported balance higher than expected (missing increase/OC build)","Reported balance lower than expected (missing decrease)"))))),""))</f>
        <v/>
      </c>
    </row>
    <row r="1924" customFormat="false" ht="15" hidden="false" customHeight="false" outlineLevel="0" collapsed="false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9"/>
      <c r="L1924" s="9"/>
      <c r="M1924" s="9"/>
      <c r="N1924" s="9"/>
      <c r="O1924" s="9"/>
      <c r="P1924" s="9"/>
      <c r="Q1924" s="9"/>
      <c r="R1924" s="9" t="str">
        <f aca="false">IF(AND(A1924&lt;&gt;"",ISNUMBER(Q1924),ISNUMBER(L1924)),ROUND(Q1924-IF(ISNUMBER(N1924),N1924,0)-IF(ISNUMBER(O1924),O1924,0)+IF(ISNUMBER(P1924),P1924,0),2),"")</f>
        <v/>
      </c>
      <c r="S1924" s="9" t="str">
        <f aca="false">IF(R1924="","",ROUND(L1924-R1924,2))</f>
        <v/>
      </c>
      <c r="T1924" s="8" t="str">
        <f aca="false">IF(A1924="","",IF(S1924="","BYPASS",IF(ABS(S1924)&lt;=Summary!$B$2,"PASS","FAIL")))</f>
        <v/>
      </c>
      <c r="U1924" s="8" t="str">
        <f aca="false">IF(T1924="BYPASS",IF(NOT(ISNUMBER(Q1924)),"PreV_ETB missing","End_tr_balance missing"),IF(T1924="FAIL",IF(AND(ISNUMBER(K1924),ISNUMBER(L1924),ABS(L1924-(K1924-IF(ISNUMBER(N1924),N1924,0)-IF(ISNUMBER(O1924),O1924,0)+IF(ISNUMBER(P1924),P1924,0)))&lt;=Summary!$B$2),"Passes using beginning_balance - PreV_ETB differs from beginning_balance",IF(AND(ISNUMBER(O1924),O1924&lt;0,ABS(L1924-(Q1924-IF(ISNUMBER(N1924),N1924,0)+IF(ISNUMBER(P1924),P1924,0)))&lt;=Summary!$B$2),"Negative realized loss not applied - check sign",IF(R1924&lt;0,"Principal paid exceeds prior balance",IF(AND(L1924&gt;Q1924,NOT(ISNUMBER(P1924))),"Balance increased but no Deferred_interest reported",IF(L1924&gt;R1924,"Reported balance higher than expected (missing increase/OC build)","Reported balance lower than expected (missing decrease)"))))),""))</f>
        <v/>
      </c>
    </row>
    <row r="1925" customFormat="false" ht="15" hidden="false" customHeight="false" outlineLevel="0" collapsed="false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9"/>
      <c r="L1925" s="9"/>
      <c r="M1925" s="9"/>
      <c r="N1925" s="9"/>
      <c r="O1925" s="9"/>
      <c r="P1925" s="9"/>
      <c r="Q1925" s="9"/>
      <c r="R1925" s="9" t="str">
        <f aca="false">IF(AND(A1925&lt;&gt;"",ISNUMBER(Q1925),ISNUMBER(L1925)),ROUND(Q1925-IF(ISNUMBER(N1925),N1925,0)-IF(ISNUMBER(O1925),O1925,0)+IF(ISNUMBER(P1925),P1925,0),2),"")</f>
        <v/>
      </c>
      <c r="S1925" s="9" t="str">
        <f aca="false">IF(R1925="","",ROUND(L1925-R1925,2))</f>
        <v/>
      </c>
      <c r="T1925" s="8" t="str">
        <f aca="false">IF(A1925="","",IF(S1925="","BYPASS",IF(ABS(S1925)&lt;=Summary!$B$2,"PASS","FAIL")))</f>
        <v/>
      </c>
      <c r="U1925" s="8" t="str">
        <f aca="false">IF(T1925="BYPASS",IF(NOT(ISNUMBER(Q1925)),"PreV_ETB missing","End_tr_balance missing"),IF(T1925="FAIL",IF(AND(ISNUMBER(K1925),ISNUMBER(L1925),ABS(L1925-(K1925-IF(ISNUMBER(N1925),N1925,0)-IF(ISNUMBER(O1925),O1925,0)+IF(ISNUMBER(P1925),P1925,0)))&lt;=Summary!$B$2),"Passes using beginning_balance - PreV_ETB differs from beginning_balance",IF(AND(ISNUMBER(O1925),O1925&lt;0,ABS(L1925-(Q1925-IF(ISNUMBER(N1925),N1925,0)+IF(ISNUMBER(P1925),P1925,0)))&lt;=Summary!$B$2),"Negative realized loss not applied - check sign",IF(R1925&lt;0,"Principal paid exceeds prior balance",IF(AND(L1925&gt;Q1925,NOT(ISNUMBER(P1925))),"Balance increased but no Deferred_interest reported",IF(L1925&gt;R1925,"Reported balance higher than expected (missing increase/OC build)","Reported balance lower than expected (missing decrease)"))))),""))</f>
        <v/>
      </c>
    </row>
    <row r="1926" customFormat="false" ht="15" hidden="false" customHeight="false" outlineLevel="0" collapsed="false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9"/>
      <c r="L1926" s="9"/>
      <c r="M1926" s="9"/>
      <c r="N1926" s="9"/>
      <c r="O1926" s="9"/>
      <c r="P1926" s="9"/>
      <c r="Q1926" s="9"/>
      <c r="R1926" s="9" t="str">
        <f aca="false">IF(AND(A1926&lt;&gt;"",ISNUMBER(Q1926),ISNUMBER(L1926)),ROUND(Q1926-IF(ISNUMBER(N1926),N1926,0)-IF(ISNUMBER(O1926),O1926,0)+IF(ISNUMBER(P1926),P1926,0),2),"")</f>
        <v/>
      </c>
      <c r="S1926" s="9" t="str">
        <f aca="false">IF(R1926="","",ROUND(L1926-R1926,2))</f>
        <v/>
      </c>
      <c r="T1926" s="8" t="str">
        <f aca="false">IF(A1926="","",IF(S1926="","BYPASS",IF(ABS(S1926)&lt;=Summary!$B$2,"PASS","FAIL")))</f>
        <v/>
      </c>
      <c r="U1926" s="8" t="str">
        <f aca="false">IF(T1926="BYPASS",IF(NOT(ISNUMBER(Q1926)),"PreV_ETB missing","End_tr_balance missing"),IF(T1926="FAIL",IF(AND(ISNUMBER(K1926),ISNUMBER(L1926),ABS(L1926-(K1926-IF(ISNUMBER(N1926),N1926,0)-IF(ISNUMBER(O1926),O1926,0)+IF(ISNUMBER(P1926),P1926,0)))&lt;=Summary!$B$2),"Passes using beginning_balance - PreV_ETB differs from beginning_balance",IF(AND(ISNUMBER(O1926),O1926&lt;0,ABS(L1926-(Q1926-IF(ISNUMBER(N1926),N1926,0)+IF(ISNUMBER(P1926),P1926,0)))&lt;=Summary!$B$2),"Negative realized loss not applied - check sign",IF(R1926&lt;0,"Principal paid exceeds prior balance",IF(AND(L1926&gt;Q1926,NOT(ISNUMBER(P1926))),"Balance increased but no Deferred_interest reported",IF(L1926&gt;R1926,"Reported balance higher than expected (missing increase/OC build)","Reported balance lower than expected (missing decrease)"))))),""))</f>
        <v/>
      </c>
    </row>
    <row r="1927" customFormat="false" ht="15" hidden="false" customHeight="false" outlineLevel="0" collapsed="false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9"/>
      <c r="L1927" s="9"/>
      <c r="M1927" s="9"/>
      <c r="N1927" s="9"/>
      <c r="O1927" s="9"/>
      <c r="P1927" s="9"/>
      <c r="Q1927" s="9"/>
      <c r="R1927" s="9" t="str">
        <f aca="false">IF(AND(A1927&lt;&gt;"",ISNUMBER(Q1927),ISNUMBER(L1927)),ROUND(Q1927-IF(ISNUMBER(N1927),N1927,0)-IF(ISNUMBER(O1927),O1927,0)+IF(ISNUMBER(P1927),P1927,0),2),"")</f>
        <v/>
      </c>
      <c r="S1927" s="9" t="str">
        <f aca="false">IF(R1927="","",ROUND(L1927-R1927,2))</f>
        <v/>
      </c>
      <c r="T1927" s="8" t="str">
        <f aca="false">IF(A1927="","",IF(S1927="","BYPASS",IF(ABS(S1927)&lt;=Summary!$B$2,"PASS","FAIL")))</f>
        <v/>
      </c>
      <c r="U1927" s="8" t="str">
        <f aca="false">IF(T1927="BYPASS",IF(NOT(ISNUMBER(Q1927)),"PreV_ETB missing","End_tr_balance missing"),IF(T1927="FAIL",IF(AND(ISNUMBER(K1927),ISNUMBER(L1927),ABS(L1927-(K1927-IF(ISNUMBER(N1927),N1927,0)-IF(ISNUMBER(O1927),O1927,0)+IF(ISNUMBER(P1927),P1927,0)))&lt;=Summary!$B$2),"Passes using beginning_balance - PreV_ETB differs from beginning_balance",IF(AND(ISNUMBER(O1927),O1927&lt;0,ABS(L1927-(Q1927-IF(ISNUMBER(N1927),N1927,0)+IF(ISNUMBER(P1927),P1927,0)))&lt;=Summary!$B$2),"Negative realized loss not applied - check sign",IF(R1927&lt;0,"Principal paid exceeds prior balance",IF(AND(L1927&gt;Q1927,NOT(ISNUMBER(P1927))),"Balance increased but no Deferred_interest reported",IF(L1927&gt;R1927,"Reported balance higher than expected (missing increase/OC build)","Reported balance lower than expected (missing decrease)"))))),""))</f>
        <v/>
      </c>
    </row>
    <row r="1928" customFormat="false" ht="15" hidden="false" customHeight="false" outlineLevel="0" collapsed="false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9"/>
      <c r="L1928" s="9"/>
      <c r="M1928" s="9"/>
      <c r="N1928" s="9"/>
      <c r="O1928" s="9"/>
      <c r="P1928" s="9"/>
      <c r="Q1928" s="9"/>
      <c r="R1928" s="9" t="str">
        <f aca="false">IF(AND(A1928&lt;&gt;"",ISNUMBER(Q1928),ISNUMBER(L1928)),ROUND(Q1928-IF(ISNUMBER(N1928),N1928,0)-IF(ISNUMBER(O1928),O1928,0)+IF(ISNUMBER(P1928),P1928,0),2),"")</f>
        <v/>
      </c>
      <c r="S1928" s="9" t="str">
        <f aca="false">IF(R1928="","",ROUND(L1928-R1928,2))</f>
        <v/>
      </c>
      <c r="T1928" s="8" t="str">
        <f aca="false">IF(A1928="","",IF(S1928="","BYPASS",IF(ABS(S1928)&lt;=Summary!$B$2,"PASS","FAIL")))</f>
        <v/>
      </c>
      <c r="U1928" s="8" t="str">
        <f aca="false">IF(T1928="BYPASS",IF(NOT(ISNUMBER(Q1928)),"PreV_ETB missing","End_tr_balance missing"),IF(T1928="FAIL",IF(AND(ISNUMBER(K1928),ISNUMBER(L1928),ABS(L1928-(K1928-IF(ISNUMBER(N1928),N1928,0)-IF(ISNUMBER(O1928),O1928,0)+IF(ISNUMBER(P1928),P1928,0)))&lt;=Summary!$B$2),"Passes using beginning_balance - PreV_ETB differs from beginning_balance",IF(AND(ISNUMBER(O1928),O1928&lt;0,ABS(L1928-(Q1928-IF(ISNUMBER(N1928),N1928,0)+IF(ISNUMBER(P1928),P1928,0)))&lt;=Summary!$B$2),"Negative realized loss not applied - check sign",IF(R1928&lt;0,"Principal paid exceeds prior balance",IF(AND(L1928&gt;Q1928,NOT(ISNUMBER(P1928))),"Balance increased but no Deferred_interest reported",IF(L1928&gt;R1928,"Reported balance higher than expected (missing increase/OC build)","Reported balance lower than expected (missing decrease)"))))),""))</f>
        <v/>
      </c>
    </row>
    <row r="1929" customFormat="false" ht="15" hidden="false" customHeight="false" outlineLevel="0" collapsed="false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9"/>
      <c r="L1929" s="9"/>
      <c r="M1929" s="9"/>
      <c r="N1929" s="9"/>
      <c r="O1929" s="9"/>
      <c r="P1929" s="9"/>
      <c r="Q1929" s="9"/>
      <c r="R1929" s="9" t="str">
        <f aca="false">IF(AND(A1929&lt;&gt;"",ISNUMBER(Q1929),ISNUMBER(L1929)),ROUND(Q1929-IF(ISNUMBER(N1929),N1929,0)-IF(ISNUMBER(O1929),O1929,0)+IF(ISNUMBER(P1929),P1929,0),2),"")</f>
        <v/>
      </c>
      <c r="S1929" s="9" t="str">
        <f aca="false">IF(R1929="","",ROUND(L1929-R1929,2))</f>
        <v/>
      </c>
      <c r="T1929" s="8" t="str">
        <f aca="false">IF(A1929="","",IF(S1929="","BYPASS",IF(ABS(S1929)&lt;=Summary!$B$2,"PASS","FAIL")))</f>
        <v/>
      </c>
      <c r="U1929" s="8" t="str">
        <f aca="false">IF(T1929="BYPASS",IF(NOT(ISNUMBER(Q1929)),"PreV_ETB missing","End_tr_balance missing"),IF(T1929="FAIL",IF(AND(ISNUMBER(K1929),ISNUMBER(L1929),ABS(L1929-(K1929-IF(ISNUMBER(N1929),N1929,0)-IF(ISNUMBER(O1929),O1929,0)+IF(ISNUMBER(P1929),P1929,0)))&lt;=Summary!$B$2),"Passes using beginning_balance - PreV_ETB differs from beginning_balance",IF(AND(ISNUMBER(O1929),O1929&lt;0,ABS(L1929-(Q1929-IF(ISNUMBER(N1929),N1929,0)+IF(ISNUMBER(P1929),P1929,0)))&lt;=Summary!$B$2),"Negative realized loss not applied - check sign",IF(R1929&lt;0,"Principal paid exceeds prior balance",IF(AND(L1929&gt;Q1929,NOT(ISNUMBER(P1929))),"Balance increased but no Deferred_interest reported",IF(L1929&gt;R1929,"Reported balance higher than expected (missing increase/OC build)","Reported balance lower than expected (missing decrease)"))))),""))</f>
        <v/>
      </c>
    </row>
    <row r="1930" customFormat="false" ht="15" hidden="false" customHeight="false" outlineLevel="0" collapsed="false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9"/>
      <c r="L1930" s="9"/>
      <c r="M1930" s="9"/>
      <c r="N1930" s="9"/>
      <c r="O1930" s="9"/>
      <c r="P1930" s="9"/>
      <c r="Q1930" s="9"/>
      <c r="R1930" s="9" t="str">
        <f aca="false">IF(AND(A1930&lt;&gt;"",ISNUMBER(Q1930),ISNUMBER(L1930)),ROUND(Q1930-IF(ISNUMBER(N1930),N1930,0)-IF(ISNUMBER(O1930),O1930,0)+IF(ISNUMBER(P1930),P1930,0),2),"")</f>
        <v/>
      </c>
      <c r="S1930" s="9" t="str">
        <f aca="false">IF(R1930="","",ROUND(L1930-R1930,2))</f>
        <v/>
      </c>
      <c r="T1930" s="8" t="str">
        <f aca="false">IF(A1930="","",IF(S1930="","BYPASS",IF(ABS(S1930)&lt;=Summary!$B$2,"PASS","FAIL")))</f>
        <v/>
      </c>
      <c r="U1930" s="8" t="str">
        <f aca="false">IF(T1930="BYPASS",IF(NOT(ISNUMBER(Q1930)),"PreV_ETB missing","End_tr_balance missing"),IF(T1930="FAIL",IF(AND(ISNUMBER(K1930),ISNUMBER(L1930),ABS(L1930-(K1930-IF(ISNUMBER(N1930),N1930,0)-IF(ISNUMBER(O1930),O1930,0)+IF(ISNUMBER(P1930),P1930,0)))&lt;=Summary!$B$2),"Passes using beginning_balance - PreV_ETB differs from beginning_balance",IF(AND(ISNUMBER(O1930),O1930&lt;0,ABS(L1930-(Q1930-IF(ISNUMBER(N1930),N1930,0)+IF(ISNUMBER(P1930),P1930,0)))&lt;=Summary!$B$2),"Negative realized loss not applied - check sign",IF(R1930&lt;0,"Principal paid exceeds prior balance",IF(AND(L1930&gt;Q1930,NOT(ISNUMBER(P1930))),"Balance increased but no Deferred_interest reported",IF(L1930&gt;R1930,"Reported balance higher than expected (missing increase/OC build)","Reported balance lower than expected (missing decrease)"))))),""))</f>
        <v/>
      </c>
    </row>
    <row r="1931" customFormat="false" ht="15" hidden="false" customHeight="false" outlineLevel="0" collapsed="false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9"/>
      <c r="L1931" s="9"/>
      <c r="M1931" s="9"/>
      <c r="N1931" s="9"/>
      <c r="O1931" s="9"/>
      <c r="P1931" s="9"/>
      <c r="Q1931" s="9"/>
      <c r="R1931" s="9" t="str">
        <f aca="false">IF(AND(A1931&lt;&gt;"",ISNUMBER(Q1931),ISNUMBER(L1931)),ROUND(Q1931-IF(ISNUMBER(N1931),N1931,0)-IF(ISNUMBER(O1931),O1931,0)+IF(ISNUMBER(P1931),P1931,0),2),"")</f>
        <v/>
      </c>
      <c r="S1931" s="9" t="str">
        <f aca="false">IF(R1931="","",ROUND(L1931-R1931,2))</f>
        <v/>
      </c>
      <c r="T1931" s="8" t="str">
        <f aca="false">IF(A1931="","",IF(S1931="","BYPASS",IF(ABS(S1931)&lt;=Summary!$B$2,"PASS","FAIL")))</f>
        <v/>
      </c>
      <c r="U1931" s="8" t="str">
        <f aca="false">IF(T1931="BYPASS",IF(NOT(ISNUMBER(Q1931)),"PreV_ETB missing","End_tr_balance missing"),IF(T1931="FAIL",IF(AND(ISNUMBER(K1931),ISNUMBER(L1931),ABS(L1931-(K1931-IF(ISNUMBER(N1931),N1931,0)-IF(ISNUMBER(O1931),O1931,0)+IF(ISNUMBER(P1931),P1931,0)))&lt;=Summary!$B$2),"Passes using beginning_balance - PreV_ETB differs from beginning_balance",IF(AND(ISNUMBER(O1931),O1931&lt;0,ABS(L1931-(Q1931-IF(ISNUMBER(N1931),N1931,0)+IF(ISNUMBER(P1931),P1931,0)))&lt;=Summary!$B$2),"Negative realized loss not applied - check sign",IF(R1931&lt;0,"Principal paid exceeds prior balance",IF(AND(L1931&gt;Q1931,NOT(ISNUMBER(P1931))),"Balance increased but no Deferred_interest reported",IF(L1931&gt;R1931,"Reported balance higher than expected (missing increase/OC build)","Reported balance lower than expected (missing decrease)"))))),""))</f>
        <v/>
      </c>
    </row>
    <row r="1932" customFormat="false" ht="15" hidden="false" customHeight="false" outlineLevel="0" collapsed="false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9"/>
      <c r="L1932" s="9"/>
      <c r="M1932" s="9"/>
      <c r="N1932" s="9"/>
      <c r="O1932" s="9"/>
      <c r="P1932" s="9"/>
      <c r="Q1932" s="9"/>
      <c r="R1932" s="9" t="str">
        <f aca="false">IF(AND(A1932&lt;&gt;"",ISNUMBER(Q1932),ISNUMBER(L1932)),ROUND(Q1932-IF(ISNUMBER(N1932),N1932,0)-IF(ISNUMBER(O1932),O1932,0)+IF(ISNUMBER(P1932),P1932,0),2),"")</f>
        <v/>
      </c>
      <c r="S1932" s="9" t="str">
        <f aca="false">IF(R1932="","",ROUND(L1932-R1932,2))</f>
        <v/>
      </c>
      <c r="T1932" s="8" t="str">
        <f aca="false">IF(A1932="","",IF(S1932="","BYPASS",IF(ABS(S1932)&lt;=Summary!$B$2,"PASS","FAIL")))</f>
        <v/>
      </c>
      <c r="U1932" s="8" t="str">
        <f aca="false">IF(T1932="BYPASS",IF(NOT(ISNUMBER(Q1932)),"PreV_ETB missing","End_tr_balance missing"),IF(T1932="FAIL",IF(AND(ISNUMBER(K1932),ISNUMBER(L1932),ABS(L1932-(K1932-IF(ISNUMBER(N1932),N1932,0)-IF(ISNUMBER(O1932),O1932,0)+IF(ISNUMBER(P1932),P1932,0)))&lt;=Summary!$B$2),"Passes using beginning_balance - PreV_ETB differs from beginning_balance",IF(AND(ISNUMBER(O1932),O1932&lt;0,ABS(L1932-(Q1932-IF(ISNUMBER(N1932),N1932,0)+IF(ISNUMBER(P1932),P1932,0)))&lt;=Summary!$B$2),"Negative realized loss not applied - check sign",IF(R1932&lt;0,"Principal paid exceeds prior balance",IF(AND(L1932&gt;Q1932,NOT(ISNUMBER(P1932))),"Balance increased but no Deferred_interest reported",IF(L1932&gt;R1932,"Reported balance higher than expected (missing increase/OC build)","Reported balance lower than expected (missing decrease)"))))),""))</f>
        <v/>
      </c>
    </row>
    <row r="1933" customFormat="false" ht="15" hidden="false" customHeight="false" outlineLevel="0" collapsed="false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9"/>
      <c r="L1933" s="9"/>
      <c r="M1933" s="9"/>
      <c r="N1933" s="9"/>
      <c r="O1933" s="9"/>
      <c r="P1933" s="9"/>
      <c r="Q1933" s="9"/>
      <c r="R1933" s="9" t="str">
        <f aca="false">IF(AND(A1933&lt;&gt;"",ISNUMBER(Q1933),ISNUMBER(L1933)),ROUND(Q1933-IF(ISNUMBER(N1933),N1933,0)-IF(ISNUMBER(O1933),O1933,0)+IF(ISNUMBER(P1933),P1933,0),2),"")</f>
        <v/>
      </c>
      <c r="S1933" s="9" t="str">
        <f aca="false">IF(R1933="","",ROUND(L1933-R1933,2))</f>
        <v/>
      </c>
      <c r="T1933" s="8" t="str">
        <f aca="false">IF(A1933="","",IF(S1933="","BYPASS",IF(ABS(S1933)&lt;=Summary!$B$2,"PASS","FAIL")))</f>
        <v/>
      </c>
      <c r="U1933" s="8" t="str">
        <f aca="false">IF(T1933="BYPASS",IF(NOT(ISNUMBER(Q1933)),"PreV_ETB missing","End_tr_balance missing"),IF(T1933="FAIL",IF(AND(ISNUMBER(K1933),ISNUMBER(L1933),ABS(L1933-(K1933-IF(ISNUMBER(N1933),N1933,0)-IF(ISNUMBER(O1933),O1933,0)+IF(ISNUMBER(P1933),P1933,0)))&lt;=Summary!$B$2),"Passes using beginning_balance - PreV_ETB differs from beginning_balance",IF(AND(ISNUMBER(O1933),O1933&lt;0,ABS(L1933-(Q1933-IF(ISNUMBER(N1933),N1933,0)+IF(ISNUMBER(P1933),P1933,0)))&lt;=Summary!$B$2),"Negative realized loss not applied - check sign",IF(R1933&lt;0,"Principal paid exceeds prior balance",IF(AND(L1933&gt;Q1933,NOT(ISNUMBER(P1933))),"Balance increased but no Deferred_interest reported",IF(L1933&gt;R1933,"Reported balance higher than expected (missing increase/OC build)","Reported balance lower than expected (missing decrease)"))))),""))</f>
        <v/>
      </c>
    </row>
    <row r="1934" customFormat="false" ht="15" hidden="false" customHeight="false" outlineLevel="0" collapsed="false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9"/>
      <c r="L1934" s="9"/>
      <c r="M1934" s="9"/>
      <c r="N1934" s="9"/>
      <c r="O1934" s="9"/>
      <c r="P1934" s="9"/>
      <c r="Q1934" s="9"/>
      <c r="R1934" s="9" t="str">
        <f aca="false">IF(AND(A1934&lt;&gt;"",ISNUMBER(Q1934),ISNUMBER(L1934)),ROUND(Q1934-IF(ISNUMBER(N1934),N1934,0)-IF(ISNUMBER(O1934),O1934,0)+IF(ISNUMBER(P1934),P1934,0),2),"")</f>
        <v/>
      </c>
      <c r="S1934" s="9" t="str">
        <f aca="false">IF(R1934="","",ROUND(L1934-R1934,2))</f>
        <v/>
      </c>
      <c r="T1934" s="8" t="str">
        <f aca="false">IF(A1934="","",IF(S1934="","BYPASS",IF(ABS(S1934)&lt;=Summary!$B$2,"PASS","FAIL")))</f>
        <v/>
      </c>
      <c r="U1934" s="8" t="str">
        <f aca="false">IF(T1934="BYPASS",IF(NOT(ISNUMBER(Q1934)),"PreV_ETB missing","End_tr_balance missing"),IF(T1934="FAIL",IF(AND(ISNUMBER(K1934),ISNUMBER(L1934),ABS(L1934-(K1934-IF(ISNUMBER(N1934),N1934,0)-IF(ISNUMBER(O1934),O1934,0)+IF(ISNUMBER(P1934),P1934,0)))&lt;=Summary!$B$2),"Passes using beginning_balance - PreV_ETB differs from beginning_balance",IF(AND(ISNUMBER(O1934),O1934&lt;0,ABS(L1934-(Q1934-IF(ISNUMBER(N1934),N1934,0)+IF(ISNUMBER(P1934),P1934,0)))&lt;=Summary!$B$2),"Negative realized loss not applied - check sign",IF(R1934&lt;0,"Principal paid exceeds prior balance",IF(AND(L1934&gt;Q1934,NOT(ISNUMBER(P1934))),"Balance increased but no Deferred_interest reported",IF(L1934&gt;R1934,"Reported balance higher than expected (missing increase/OC build)","Reported balance lower than expected (missing decrease)"))))),""))</f>
        <v/>
      </c>
    </row>
    <row r="1935" customFormat="false" ht="15" hidden="false" customHeight="false" outlineLevel="0" collapsed="false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9"/>
      <c r="L1935" s="9"/>
      <c r="M1935" s="9"/>
      <c r="N1935" s="9"/>
      <c r="O1935" s="9"/>
      <c r="P1935" s="9"/>
      <c r="Q1935" s="9"/>
      <c r="R1935" s="9" t="str">
        <f aca="false">IF(AND(A1935&lt;&gt;"",ISNUMBER(Q1935),ISNUMBER(L1935)),ROUND(Q1935-IF(ISNUMBER(N1935),N1935,0)-IF(ISNUMBER(O1935),O1935,0)+IF(ISNUMBER(P1935),P1935,0),2),"")</f>
        <v/>
      </c>
      <c r="S1935" s="9" t="str">
        <f aca="false">IF(R1935="","",ROUND(L1935-R1935,2))</f>
        <v/>
      </c>
      <c r="T1935" s="8" t="str">
        <f aca="false">IF(A1935="","",IF(S1935="","BYPASS",IF(ABS(S1935)&lt;=Summary!$B$2,"PASS","FAIL")))</f>
        <v/>
      </c>
      <c r="U1935" s="8" t="str">
        <f aca="false">IF(T1935="BYPASS",IF(NOT(ISNUMBER(Q1935)),"PreV_ETB missing","End_tr_balance missing"),IF(T1935="FAIL",IF(AND(ISNUMBER(K1935),ISNUMBER(L1935),ABS(L1935-(K1935-IF(ISNUMBER(N1935),N1935,0)-IF(ISNUMBER(O1935),O1935,0)+IF(ISNUMBER(P1935),P1935,0)))&lt;=Summary!$B$2),"Passes using beginning_balance - PreV_ETB differs from beginning_balance",IF(AND(ISNUMBER(O1935),O1935&lt;0,ABS(L1935-(Q1935-IF(ISNUMBER(N1935),N1935,0)+IF(ISNUMBER(P1935),P1935,0)))&lt;=Summary!$B$2),"Negative realized loss not applied - check sign",IF(R1935&lt;0,"Principal paid exceeds prior balance",IF(AND(L1935&gt;Q1935,NOT(ISNUMBER(P1935))),"Balance increased but no Deferred_interest reported",IF(L1935&gt;R1935,"Reported balance higher than expected (missing increase/OC build)","Reported balance lower than expected (missing decrease)"))))),""))</f>
        <v/>
      </c>
    </row>
    <row r="1936" customFormat="false" ht="15" hidden="false" customHeight="false" outlineLevel="0" collapsed="false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9"/>
      <c r="L1936" s="9"/>
      <c r="M1936" s="9"/>
      <c r="N1936" s="9"/>
      <c r="O1936" s="9"/>
      <c r="P1936" s="9"/>
      <c r="Q1936" s="9"/>
      <c r="R1936" s="9" t="str">
        <f aca="false">IF(AND(A1936&lt;&gt;"",ISNUMBER(Q1936),ISNUMBER(L1936)),ROUND(Q1936-IF(ISNUMBER(N1936),N1936,0)-IF(ISNUMBER(O1936),O1936,0)+IF(ISNUMBER(P1936),P1936,0),2),"")</f>
        <v/>
      </c>
      <c r="S1936" s="9" t="str">
        <f aca="false">IF(R1936="","",ROUND(L1936-R1936,2))</f>
        <v/>
      </c>
      <c r="T1936" s="8" t="str">
        <f aca="false">IF(A1936="","",IF(S1936="","BYPASS",IF(ABS(S1936)&lt;=Summary!$B$2,"PASS","FAIL")))</f>
        <v/>
      </c>
      <c r="U1936" s="8" t="str">
        <f aca="false">IF(T1936="BYPASS",IF(NOT(ISNUMBER(Q1936)),"PreV_ETB missing","End_tr_balance missing"),IF(T1936="FAIL",IF(AND(ISNUMBER(K1936),ISNUMBER(L1936),ABS(L1936-(K1936-IF(ISNUMBER(N1936),N1936,0)-IF(ISNUMBER(O1936),O1936,0)+IF(ISNUMBER(P1936),P1936,0)))&lt;=Summary!$B$2),"Passes using beginning_balance - PreV_ETB differs from beginning_balance",IF(AND(ISNUMBER(O1936),O1936&lt;0,ABS(L1936-(Q1936-IF(ISNUMBER(N1936),N1936,0)+IF(ISNUMBER(P1936),P1936,0)))&lt;=Summary!$B$2),"Negative realized loss not applied - check sign",IF(R1936&lt;0,"Principal paid exceeds prior balance",IF(AND(L1936&gt;Q1936,NOT(ISNUMBER(P1936))),"Balance increased but no Deferred_interest reported",IF(L1936&gt;R1936,"Reported balance higher than expected (missing increase/OC build)","Reported balance lower than expected (missing decrease)"))))),""))</f>
        <v/>
      </c>
    </row>
    <row r="1937" customFormat="false" ht="15" hidden="false" customHeight="false" outlineLevel="0" collapsed="false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9"/>
      <c r="L1937" s="9"/>
      <c r="M1937" s="9"/>
      <c r="N1937" s="9"/>
      <c r="O1937" s="9"/>
      <c r="P1937" s="9"/>
      <c r="Q1937" s="9"/>
      <c r="R1937" s="9" t="str">
        <f aca="false">IF(AND(A1937&lt;&gt;"",ISNUMBER(Q1937),ISNUMBER(L1937)),ROUND(Q1937-IF(ISNUMBER(N1937),N1937,0)-IF(ISNUMBER(O1937),O1937,0)+IF(ISNUMBER(P1937),P1937,0),2),"")</f>
        <v/>
      </c>
      <c r="S1937" s="9" t="str">
        <f aca="false">IF(R1937="","",ROUND(L1937-R1937,2))</f>
        <v/>
      </c>
      <c r="T1937" s="8" t="str">
        <f aca="false">IF(A1937="","",IF(S1937="","BYPASS",IF(ABS(S1937)&lt;=Summary!$B$2,"PASS","FAIL")))</f>
        <v/>
      </c>
      <c r="U1937" s="8" t="str">
        <f aca="false">IF(T1937="BYPASS",IF(NOT(ISNUMBER(Q1937)),"PreV_ETB missing","End_tr_balance missing"),IF(T1937="FAIL",IF(AND(ISNUMBER(K1937),ISNUMBER(L1937),ABS(L1937-(K1937-IF(ISNUMBER(N1937),N1937,0)-IF(ISNUMBER(O1937),O1937,0)+IF(ISNUMBER(P1937),P1937,0)))&lt;=Summary!$B$2),"Passes using beginning_balance - PreV_ETB differs from beginning_balance",IF(AND(ISNUMBER(O1937),O1937&lt;0,ABS(L1937-(Q1937-IF(ISNUMBER(N1937),N1937,0)+IF(ISNUMBER(P1937),P1937,0)))&lt;=Summary!$B$2),"Negative realized loss not applied - check sign",IF(R1937&lt;0,"Principal paid exceeds prior balance",IF(AND(L1937&gt;Q1937,NOT(ISNUMBER(P1937))),"Balance increased but no Deferred_interest reported",IF(L1937&gt;R1937,"Reported balance higher than expected (missing increase/OC build)","Reported balance lower than expected (missing decrease)"))))),""))</f>
        <v/>
      </c>
    </row>
    <row r="1938" customFormat="false" ht="15" hidden="false" customHeight="false" outlineLevel="0" collapsed="false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9"/>
      <c r="L1938" s="9"/>
      <c r="M1938" s="9"/>
      <c r="N1938" s="9"/>
      <c r="O1938" s="9"/>
      <c r="P1938" s="9"/>
      <c r="Q1938" s="9"/>
      <c r="R1938" s="9" t="str">
        <f aca="false">IF(AND(A1938&lt;&gt;"",ISNUMBER(Q1938),ISNUMBER(L1938)),ROUND(Q1938-IF(ISNUMBER(N1938),N1938,0)-IF(ISNUMBER(O1938),O1938,0)+IF(ISNUMBER(P1938),P1938,0),2),"")</f>
        <v/>
      </c>
      <c r="S1938" s="9" t="str">
        <f aca="false">IF(R1938="","",ROUND(L1938-R1938,2))</f>
        <v/>
      </c>
      <c r="T1938" s="8" t="str">
        <f aca="false">IF(A1938="","",IF(S1938="","BYPASS",IF(ABS(S1938)&lt;=Summary!$B$2,"PASS","FAIL")))</f>
        <v/>
      </c>
      <c r="U1938" s="8" t="str">
        <f aca="false">IF(T1938="BYPASS",IF(NOT(ISNUMBER(Q1938)),"PreV_ETB missing","End_tr_balance missing"),IF(T1938="FAIL",IF(AND(ISNUMBER(K1938),ISNUMBER(L1938),ABS(L1938-(K1938-IF(ISNUMBER(N1938),N1938,0)-IF(ISNUMBER(O1938),O1938,0)+IF(ISNUMBER(P1938),P1938,0)))&lt;=Summary!$B$2),"Passes using beginning_balance - PreV_ETB differs from beginning_balance",IF(AND(ISNUMBER(O1938),O1938&lt;0,ABS(L1938-(Q1938-IF(ISNUMBER(N1938),N1938,0)+IF(ISNUMBER(P1938),P1938,0)))&lt;=Summary!$B$2),"Negative realized loss not applied - check sign",IF(R1938&lt;0,"Principal paid exceeds prior balance",IF(AND(L1938&gt;Q1938,NOT(ISNUMBER(P1938))),"Balance increased but no Deferred_interest reported",IF(L1938&gt;R1938,"Reported balance higher than expected (missing increase/OC build)","Reported balance lower than expected (missing decrease)"))))),""))</f>
        <v/>
      </c>
    </row>
    <row r="1939" customFormat="false" ht="15" hidden="false" customHeight="false" outlineLevel="0" collapsed="false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9"/>
      <c r="L1939" s="9"/>
      <c r="M1939" s="9"/>
      <c r="N1939" s="9"/>
      <c r="O1939" s="9"/>
      <c r="P1939" s="9"/>
      <c r="Q1939" s="9"/>
      <c r="R1939" s="9" t="str">
        <f aca="false">IF(AND(A1939&lt;&gt;"",ISNUMBER(Q1939),ISNUMBER(L1939)),ROUND(Q1939-IF(ISNUMBER(N1939),N1939,0)-IF(ISNUMBER(O1939),O1939,0)+IF(ISNUMBER(P1939),P1939,0),2),"")</f>
        <v/>
      </c>
      <c r="S1939" s="9" t="str">
        <f aca="false">IF(R1939="","",ROUND(L1939-R1939,2))</f>
        <v/>
      </c>
      <c r="T1939" s="8" t="str">
        <f aca="false">IF(A1939="","",IF(S1939="","BYPASS",IF(ABS(S1939)&lt;=Summary!$B$2,"PASS","FAIL")))</f>
        <v/>
      </c>
      <c r="U1939" s="8" t="str">
        <f aca="false">IF(T1939="BYPASS",IF(NOT(ISNUMBER(Q1939)),"PreV_ETB missing","End_tr_balance missing"),IF(T1939="FAIL",IF(AND(ISNUMBER(K1939),ISNUMBER(L1939),ABS(L1939-(K1939-IF(ISNUMBER(N1939),N1939,0)-IF(ISNUMBER(O1939),O1939,0)+IF(ISNUMBER(P1939),P1939,0)))&lt;=Summary!$B$2),"Passes using beginning_balance - PreV_ETB differs from beginning_balance",IF(AND(ISNUMBER(O1939),O1939&lt;0,ABS(L1939-(Q1939-IF(ISNUMBER(N1939),N1939,0)+IF(ISNUMBER(P1939),P1939,0)))&lt;=Summary!$B$2),"Negative realized loss not applied - check sign",IF(R1939&lt;0,"Principal paid exceeds prior balance",IF(AND(L1939&gt;Q1939,NOT(ISNUMBER(P1939))),"Balance increased but no Deferred_interest reported",IF(L1939&gt;R1939,"Reported balance higher than expected (missing increase/OC build)","Reported balance lower than expected (missing decrease)"))))),""))</f>
        <v/>
      </c>
    </row>
    <row r="1940" customFormat="false" ht="15" hidden="false" customHeight="false" outlineLevel="0" collapsed="false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9"/>
      <c r="L1940" s="9"/>
      <c r="M1940" s="9"/>
      <c r="N1940" s="9"/>
      <c r="O1940" s="9"/>
      <c r="P1940" s="9"/>
      <c r="Q1940" s="9"/>
      <c r="R1940" s="9" t="str">
        <f aca="false">IF(AND(A1940&lt;&gt;"",ISNUMBER(Q1940),ISNUMBER(L1940)),ROUND(Q1940-IF(ISNUMBER(N1940),N1940,0)-IF(ISNUMBER(O1940),O1940,0)+IF(ISNUMBER(P1940),P1940,0),2),"")</f>
        <v/>
      </c>
      <c r="S1940" s="9" t="str">
        <f aca="false">IF(R1940="","",ROUND(L1940-R1940,2))</f>
        <v/>
      </c>
      <c r="T1940" s="8" t="str">
        <f aca="false">IF(A1940="","",IF(S1940="","BYPASS",IF(ABS(S1940)&lt;=Summary!$B$2,"PASS","FAIL")))</f>
        <v/>
      </c>
      <c r="U1940" s="8" t="str">
        <f aca="false">IF(T1940="BYPASS",IF(NOT(ISNUMBER(Q1940)),"PreV_ETB missing","End_tr_balance missing"),IF(T1940="FAIL",IF(AND(ISNUMBER(K1940),ISNUMBER(L1940),ABS(L1940-(K1940-IF(ISNUMBER(N1940),N1940,0)-IF(ISNUMBER(O1940),O1940,0)+IF(ISNUMBER(P1940),P1940,0)))&lt;=Summary!$B$2),"Passes using beginning_balance - PreV_ETB differs from beginning_balance",IF(AND(ISNUMBER(O1940),O1940&lt;0,ABS(L1940-(Q1940-IF(ISNUMBER(N1940),N1940,0)+IF(ISNUMBER(P1940),P1940,0)))&lt;=Summary!$B$2),"Negative realized loss not applied - check sign",IF(R1940&lt;0,"Principal paid exceeds prior balance",IF(AND(L1940&gt;Q1940,NOT(ISNUMBER(P1940))),"Balance increased but no Deferred_interest reported",IF(L1940&gt;R1940,"Reported balance higher than expected (missing increase/OC build)","Reported balance lower than expected (missing decrease)"))))),""))</f>
        <v/>
      </c>
    </row>
    <row r="1941" customFormat="false" ht="15" hidden="false" customHeight="false" outlineLevel="0" collapsed="false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9"/>
      <c r="L1941" s="9"/>
      <c r="M1941" s="9"/>
      <c r="N1941" s="9"/>
      <c r="O1941" s="9"/>
      <c r="P1941" s="9"/>
      <c r="Q1941" s="9"/>
      <c r="R1941" s="9" t="str">
        <f aca="false">IF(AND(A1941&lt;&gt;"",ISNUMBER(Q1941),ISNUMBER(L1941)),ROUND(Q1941-IF(ISNUMBER(N1941),N1941,0)-IF(ISNUMBER(O1941),O1941,0)+IF(ISNUMBER(P1941),P1941,0),2),"")</f>
        <v/>
      </c>
      <c r="S1941" s="9" t="str">
        <f aca="false">IF(R1941="","",ROUND(L1941-R1941,2))</f>
        <v/>
      </c>
      <c r="T1941" s="8" t="str">
        <f aca="false">IF(A1941="","",IF(S1941="","BYPASS",IF(ABS(S1941)&lt;=Summary!$B$2,"PASS","FAIL")))</f>
        <v/>
      </c>
      <c r="U1941" s="8" t="str">
        <f aca="false">IF(T1941="BYPASS",IF(NOT(ISNUMBER(Q1941)),"PreV_ETB missing","End_tr_balance missing"),IF(T1941="FAIL",IF(AND(ISNUMBER(K1941),ISNUMBER(L1941),ABS(L1941-(K1941-IF(ISNUMBER(N1941),N1941,0)-IF(ISNUMBER(O1941),O1941,0)+IF(ISNUMBER(P1941),P1941,0)))&lt;=Summary!$B$2),"Passes using beginning_balance - PreV_ETB differs from beginning_balance",IF(AND(ISNUMBER(O1941),O1941&lt;0,ABS(L1941-(Q1941-IF(ISNUMBER(N1941),N1941,0)+IF(ISNUMBER(P1941),P1941,0)))&lt;=Summary!$B$2),"Negative realized loss not applied - check sign",IF(R1941&lt;0,"Principal paid exceeds prior balance",IF(AND(L1941&gt;Q1941,NOT(ISNUMBER(P1941))),"Balance increased but no Deferred_interest reported",IF(L1941&gt;R1941,"Reported balance higher than expected (missing increase/OC build)","Reported balance lower than expected (missing decrease)"))))),""))</f>
        <v/>
      </c>
    </row>
    <row r="1942" customFormat="false" ht="15" hidden="false" customHeight="false" outlineLevel="0" collapsed="false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9"/>
      <c r="L1942" s="9"/>
      <c r="M1942" s="9"/>
      <c r="N1942" s="9"/>
      <c r="O1942" s="9"/>
      <c r="P1942" s="9"/>
      <c r="Q1942" s="9"/>
      <c r="R1942" s="9" t="str">
        <f aca="false">IF(AND(A1942&lt;&gt;"",ISNUMBER(Q1942),ISNUMBER(L1942)),ROUND(Q1942-IF(ISNUMBER(N1942),N1942,0)-IF(ISNUMBER(O1942),O1942,0)+IF(ISNUMBER(P1942),P1942,0),2),"")</f>
        <v/>
      </c>
      <c r="S1942" s="9" t="str">
        <f aca="false">IF(R1942="","",ROUND(L1942-R1942,2))</f>
        <v/>
      </c>
      <c r="T1942" s="8" t="str">
        <f aca="false">IF(A1942="","",IF(S1942="","BYPASS",IF(ABS(S1942)&lt;=Summary!$B$2,"PASS","FAIL")))</f>
        <v/>
      </c>
      <c r="U1942" s="8" t="str">
        <f aca="false">IF(T1942="BYPASS",IF(NOT(ISNUMBER(Q1942)),"PreV_ETB missing","End_tr_balance missing"),IF(T1942="FAIL",IF(AND(ISNUMBER(K1942),ISNUMBER(L1942),ABS(L1942-(K1942-IF(ISNUMBER(N1942),N1942,0)-IF(ISNUMBER(O1942),O1942,0)+IF(ISNUMBER(P1942),P1942,0)))&lt;=Summary!$B$2),"Passes using beginning_balance - PreV_ETB differs from beginning_balance",IF(AND(ISNUMBER(O1942),O1942&lt;0,ABS(L1942-(Q1942-IF(ISNUMBER(N1942),N1942,0)+IF(ISNUMBER(P1942),P1942,0)))&lt;=Summary!$B$2),"Negative realized loss not applied - check sign",IF(R1942&lt;0,"Principal paid exceeds prior balance",IF(AND(L1942&gt;Q1942,NOT(ISNUMBER(P1942))),"Balance increased but no Deferred_interest reported",IF(L1942&gt;R1942,"Reported balance higher than expected (missing increase/OC build)","Reported balance lower than expected (missing decrease)"))))),""))</f>
        <v/>
      </c>
    </row>
    <row r="1943" customFormat="false" ht="15" hidden="false" customHeight="false" outlineLevel="0" collapsed="false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9"/>
      <c r="L1943" s="9"/>
      <c r="M1943" s="9"/>
      <c r="N1943" s="9"/>
      <c r="O1943" s="9"/>
      <c r="P1943" s="9"/>
      <c r="Q1943" s="9"/>
      <c r="R1943" s="9" t="str">
        <f aca="false">IF(AND(A1943&lt;&gt;"",ISNUMBER(Q1943),ISNUMBER(L1943)),ROUND(Q1943-IF(ISNUMBER(N1943),N1943,0)-IF(ISNUMBER(O1943),O1943,0)+IF(ISNUMBER(P1943),P1943,0),2),"")</f>
        <v/>
      </c>
      <c r="S1943" s="9" t="str">
        <f aca="false">IF(R1943="","",ROUND(L1943-R1943,2))</f>
        <v/>
      </c>
      <c r="T1943" s="8" t="str">
        <f aca="false">IF(A1943="","",IF(S1943="","BYPASS",IF(ABS(S1943)&lt;=Summary!$B$2,"PASS","FAIL")))</f>
        <v/>
      </c>
      <c r="U1943" s="8" t="str">
        <f aca="false">IF(T1943="BYPASS",IF(NOT(ISNUMBER(Q1943)),"PreV_ETB missing","End_tr_balance missing"),IF(T1943="FAIL",IF(AND(ISNUMBER(K1943),ISNUMBER(L1943),ABS(L1943-(K1943-IF(ISNUMBER(N1943),N1943,0)-IF(ISNUMBER(O1943),O1943,0)+IF(ISNUMBER(P1943),P1943,0)))&lt;=Summary!$B$2),"Passes using beginning_balance - PreV_ETB differs from beginning_balance",IF(AND(ISNUMBER(O1943),O1943&lt;0,ABS(L1943-(Q1943-IF(ISNUMBER(N1943),N1943,0)+IF(ISNUMBER(P1943),P1943,0)))&lt;=Summary!$B$2),"Negative realized loss not applied - check sign",IF(R1943&lt;0,"Principal paid exceeds prior balance",IF(AND(L1943&gt;Q1943,NOT(ISNUMBER(P1943))),"Balance increased but no Deferred_interest reported",IF(L1943&gt;R1943,"Reported balance higher than expected (missing increase/OC build)","Reported balance lower than expected (missing decrease)"))))),""))</f>
        <v/>
      </c>
    </row>
    <row r="1944" customFormat="false" ht="15" hidden="false" customHeight="false" outlineLevel="0" collapsed="false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9"/>
      <c r="L1944" s="9"/>
      <c r="M1944" s="9"/>
      <c r="N1944" s="9"/>
      <c r="O1944" s="9"/>
      <c r="P1944" s="9"/>
      <c r="Q1944" s="9"/>
      <c r="R1944" s="9" t="str">
        <f aca="false">IF(AND(A1944&lt;&gt;"",ISNUMBER(Q1944),ISNUMBER(L1944)),ROUND(Q1944-IF(ISNUMBER(N1944),N1944,0)-IF(ISNUMBER(O1944),O1944,0)+IF(ISNUMBER(P1944),P1944,0),2),"")</f>
        <v/>
      </c>
      <c r="S1944" s="9" t="str">
        <f aca="false">IF(R1944="","",ROUND(L1944-R1944,2))</f>
        <v/>
      </c>
      <c r="T1944" s="8" t="str">
        <f aca="false">IF(A1944="","",IF(S1944="","BYPASS",IF(ABS(S1944)&lt;=Summary!$B$2,"PASS","FAIL")))</f>
        <v/>
      </c>
      <c r="U1944" s="8" t="str">
        <f aca="false">IF(T1944="BYPASS",IF(NOT(ISNUMBER(Q1944)),"PreV_ETB missing","End_tr_balance missing"),IF(T1944="FAIL",IF(AND(ISNUMBER(K1944),ISNUMBER(L1944),ABS(L1944-(K1944-IF(ISNUMBER(N1944),N1944,0)-IF(ISNUMBER(O1944),O1944,0)+IF(ISNUMBER(P1944),P1944,0)))&lt;=Summary!$B$2),"Passes using beginning_balance - PreV_ETB differs from beginning_balance",IF(AND(ISNUMBER(O1944),O1944&lt;0,ABS(L1944-(Q1944-IF(ISNUMBER(N1944),N1944,0)+IF(ISNUMBER(P1944),P1944,0)))&lt;=Summary!$B$2),"Negative realized loss not applied - check sign",IF(R1944&lt;0,"Principal paid exceeds prior balance",IF(AND(L1944&gt;Q1944,NOT(ISNUMBER(P1944))),"Balance increased but no Deferred_interest reported",IF(L1944&gt;R1944,"Reported balance higher than expected (missing increase/OC build)","Reported balance lower than expected (missing decrease)"))))),""))</f>
        <v/>
      </c>
    </row>
    <row r="1945" customFormat="false" ht="15" hidden="false" customHeight="false" outlineLevel="0" collapsed="false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9"/>
      <c r="L1945" s="9"/>
      <c r="M1945" s="9"/>
      <c r="N1945" s="9"/>
      <c r="O1945" s="9"/>
      <c r="P1945" s="9"/>
      <c r="Q1945" s="9"/>
      <c r="R1945" s="9" t="str">
        <f aca="false">IF(AND(A1945&lt;&gt;"",ISNUMBER(Q1945),ISNUMBER(L1945)),ROUND(Q1945-IF(ISNUMBER(N1945),N1945,0)-IF(ISNUMBER(O1945),O1945,0)+IF(ISNUMBER(P1945),P1945,0),2),"")</f>
        <v/>
      </c>
      <c r="S1945" s="9" t="str">
        <f aca="false">IF(R1945="","",ROUND(L1945-R1945,2))</f>
        <v/>
      </c>
      <c r="T1945" s="8" t="str">
        <f aca="false">IF(A1945="","",IF(S1945="","BYPASS",IF(ABS(S1945)&lt;=Summary!$B$2,"PASS","FAIL")))</f>
        <v/>
      </c>
      <c r="U1945" s="8" t="str">
        <f aca="false">IF(T1945="BYPASS",IF(NOT(ISNUMBER(Q1945)),"PreV_ETB missing","End_tr_balance missing"),IF(T1945="FAIL",IF(AND(ISNUMBER(K1945),ISNUMBER(L1945),ABS(L1945-(K1945-IF(ISNUMBER(N1945),N1945,0)-IF(ISNUMBER(O1945),O1945,0)+IF(ISNUMBER(P1945),P1945,0)))&lt;=Summary!$B$2),"Passes using beginning_balance - PreV_ETB differs from beginning_balance",IF(AND(ISNUMBER(O1945),O1945&lt;0,ABS(L1945-(Q1945-IF(ISNUMBER(N1945),N1945,0)+IF(ISNUMBER(P1945),P1945,0)))&lt;=Summary!$B$2),"Negative realized loss not applied - check sign",IF(R1945&lt;0,"Principal paid exceeds prior balance",IF(AND(L1945&gt;Q1945,NOT(ISNUMBER(P1945))),"Balance increased but no Deferred_interest reported",IF(L1945&gt;R1945,"Reported balance higher than expected (missing increase/OC build)","Reported balance lower than expected (missing decrease)"))))),""))</f>
        <v/>
      </c>
    </row>
    <row r="1946" customFormat="false" ht="15" hidden="false" customHeight="false" outlineLevel="0" collapsed="false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9"/>
      <c r="L1946" s="9"/>
      <c r="M1946" s="9"/>
      <c r="N1946" s="9"/>
      <c r="O1946" s="9"/>
      <c r="P1946" s="9"/>
      <c r="Q1946" s="9"/>
      <c r="R1946" s="9" t="str">
        <f aca="false">IF(AND(A1946&lt;&gt;"",ISNUMBER(Q1946),ISNUMBER(L1946)),ROUND(Q1946-IF(ISNUMBER(N1946),N1946,0)-IF(ISNUMBER(O1946),O1946,0)+IF(ISNUMBER(P1946),P1946,0),2),"")</f>
        <v/>
      </c>
      <c r="S1946" s="9" t="str">
        <f aca="false">IF(R1946="","",ROUND(L1946-R1946,2))</f>
        <v/>
      </c>
      <c r="T1946" s="8" t="str">
        <f aca="false">IF(A1946="","",IF(S1946="","BYPASS",IF(ABS(S1946)&lt;=Summary!$B$2,"PASS","FAIL")))</f>
        <v/>
      </c>
      <c r="U1946" s="8" t="str">
        <f aca="false">IF(T1946="BYPASS",IF(NOT(ISNUMBER(Q1946)),"PreV_ETB missing","End_tr_balance missing"),IF(T1946="FAIL",IF(AND(ISNUMBER(K1946),ISNUMBER(L1946),ABS(L1946-(K1946-IF(ISNUMBER(N1946),N1946,0)-IF(ISNUMBER(O1946),O1946,0)+IF(ISNUMBER(P1946),P1946,0)))&lt;=Summary!$B$2),"Passes using beginning_balance - PreV_ETB differs from beginning_balance",IF(AND(ISNUMBER(O1946),O1946&lt;0,ABS(L1946-(Q1946-IF(ISNUMBER(N1946),N1946,0)+IF(ISNUMBER(P1946),P1946,0)))&lt;=Summary!$B$2),"Negative realized loss not applied - check sign",IF(R1946&lt;0,"Principal paid exceeds prior balance",IF(AND(L1946&gt;Q1946,NOT(ISNUMBER(P1946))),"Balance increased but no Deferred_interest reported",IF(L1946&gt;R1946,"Reported balance higher than expected (missing increase/OC build)","Reported balance lower than expected (missing decrease)"))))),""))</f>
        <v/>
      </c>
    </row>
    <row r="1947" customFormat="false" ht="15" hidden="false" customHeight="false" outlineLevel="0" collapsed="false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9"/>
      <c r="L1947" s="9"/>
      <c r="M1947" s="9"/>
      <c r="N1947" s="9"/>
      <c r="O1947" s="9"/>
      <c r="P1947" s="9"/>
      <c r="Q1947" s="9"/>
      <c r="R1947" s="9" t="str">
        <f aca="false">IF(AND(A1947&lt;&gt;"",ISNUMBER(Q1947),ISNUMBER(L1947)),ROUND(Q1947-IF(ISNUMBER(N1947),N1947,0)-IF(ISNUMBER(O1947),O1947,0)+IF(ISNUMBER(P1947),P1947,0),2),"")</f>
        <v/>
      </c>
      <c r="S1947" s="9" t="str">
        <f aca="false">IF(R1947="","",ROUND(L1947-R1947,2))</f>
        <v/>
      </c>
      <c r="T1947" s="8" t="str">
        <f aca="false">IF(A1947="","",IF(S1947="","BYPASS",IF(ABS(S1947)&lt;=Summary!$B$2,"PASS","FAIL")))</f>
        <v/>
      </c>
      <c r="U1947" s="8" t="str">
        <f aca="false">IF(T1947="BYPASS",IF(NOT(ISNUMBER(Q1947)),"PreV_ETB missing","End_tr_balance missing"),IF(T1947="FAIL",IF(AND(ISNUMBER(K1947),ISNUMBER(L1947),ABS(L1947-(K1947-IF(ISNUMBER(N1947),N1947,0)-IF(ISNUMBER(O1947),O1947,0)+IF(ISNUMBER(P1947),P1947,0)))&lt;=Summary!$B$2),"Passes using beginning_balance - PreV_ETB differs from beginning_balance",IF(AND(ISNUMBER(O1947),O1947&lt;0,ABS(L1947-(Q1947-IF(ISNUMBER(N1947),N1947,0)+IF(ISNUMBER(P1947),P1947,0)))&lt;=Summary!$B$2),"Negative realized loss not applied - check sign",IF(R1947&lt;0,"Principal paid exceeds prior balance",IF(AND(L1947&gt;Q1947,NOT(ISNUMBER(P1947))),"Balance increased but no Deferred_interest reported",IF(L1947&gt;R1947,"Reported balance higher than expected (missing increase/OC build)","Reported balance lower than expected (missing decrease)"))))),""))</f>
        <v/>
      </c>
    </row>
    <row r="1948" customFormat="false" ht="15" hidden="false" customHeight="false" outlineLevel="0" collapsed="false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9"/>
      <c r="L1948" s="9"/>
      <c r="M1948" s="9"/>
      <c r="N1948" s="9"/>
      <c r="O1948" s="9"/>
      <c r="P1948" s="9"/>
      <c r="Q1948" s="9"/>
      <c r="R1948" s="9" t="str">
        <f aca="false">IF(AND(A1948&lt;&gt;"",ISNUMBER(Q1948),ISNUMBER(L1948)),ROUND(Q1948-IF(ISNUMBER(N1948),N1948,0)-IF(ISNUMBER(O1948),O1948,0)+IF(ISNUMBER(P1948),P1948,0),2),"")</f>
        <v/>
      </c>
      <c r="S1948" s="9" t="str">
        <f aca="false">IF(R1948="","",ROUND(L1948-R1948,2))</f>
        <v/>
      </c>
      <c r="T1948" s="8" t="str">
        <f aca="false">IF(A1948="","",IF(S1948="","BYPASS",IF(ABS(S1948)&lt;=Summary!$B$2,"PASS","FAIL")))</f>
        <v/>
      </c>
      <c r="U1948" s="8" t="str">
        <f aca="false">IF(T1948="BYPASS",IF(NOT(ISNUMBER(Q1948)),"PreV_ETB missing","End_tr_balance missing"),IF(T1948="FAIL",IF(AND(ISNUMBER(K1948),ISNUMBER(L1948),ABS(L1948-(K1948-IF(ISNUMBER(N1948),N1948,0)-IF(ISNUMBER(O1948),O1948,0)+IF(ISNUMBER(P1948),P1948,0)))&lt;=Summary!$B$2),"Passes using beginning_balance - PreV_ETB differs from beginning_balance",IF(AND(ISNUMBER(O1948),O1948&lt;0,ABS(L1948-(Q1948-IF(ISNUMBER(N1948),N1948,0)+IF(ISNUMBER(P1948),P1948,0)))&lt;=Summary!$B$2),"Negative realized loss not applied - check sign",IF(R1948&lt;0,"Principal paid exceeds prior balance",IF(AND(L1948&gt;Q1948,NOT(ISNUMBER(P1948))),"Balance increased but no Deferred_interest reported",IF(L1948&gt;R1948,"Reported balance higher than expected (missing increase/OC build)","Reported balance lower than expected (missing decrease)"))))),""))</f>
        <v/>
      </c>
    </row>
    <row r="1949" customFormat="false" ht="15" hidden="false" customHeight="false" outlineLevel="0" collapsed="false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9"/>
      <c r="L1949" s="9"/>
      <c r="M1949" s="9"/>
      <c r="N1949" s="9"/>
      <c r="O1949" s="9"/>
      <c r="P1949" s="9"/>
      <c r="Q1949" s="9"/>
      <c r="R1949" s="9" t="str">
        <f aca="false">IF(AND(A1949&lt;&gt;"",ISNUMBER(Q1949),ISNUMBER(L1949)),ROUND(Q1949-IF(ISNUMBER(N1949),N1949,0)-IF(ISNUMBER(O1949),O1949,0)+IF(ISNUMBER(P1949),P1949,0),2),"")</f>
        <v/>
      </c>
      <c r="S1949" s="9" t="str">
        <f aca="false">IF(R1949="","",ROUND(L1949-R1949,2))</f>
        <v/>
      </c>
      <c r="T1949" s="8" t="str">
        <f aca="false">IF(A1949="","",IF(S1949="","BYPASS",IF(ABS(S1949)&lt;=Summary!$B$2,"PASS","FAIL")))</f>
        <v/>
      </c>
      <c r="U1949" s="8" t="str">
        <f aca="false">IF(T1949="BYPASS",IF(NOT(ISNUMBER(Q1949)),"PreV_ETB missing","End_tr_balance missing"),IF(T1949="FAIL",IF(AND(ISNUMBER(K1949),ISNUMBER(L1949),ABS(L1949-(K1949-IF(ISNUMBER(N1949),N1949,0)-IF(ISNUMBER(O1949),O1949,0)+IF(ISNUMBER(P1949),P1949,0)))&lt;=Summary!$B$2),"Passes using beginning_balance - PreV_ETB differs from beginning_balance",IF(AND(ISNUMBER(O1949),O1949&lt;0,ABS(L1949-(Q1949-IF(ISNUMBER(N1949),N1949,0)+IF(ISNUMBER(P1949),P1949,0)))&lt;=Summary!$B$2),"Negative realized loss not applied - check sign",IF(R1949&lt;0,"Principal paid exceeds prior balance",IF(AND(L1949&gt;Q1949,NOT(ISNUMBER(P1949))),"Balance increased but no Deferred_interest reported",IF(L1949&gt;R1949,"Reported balance higher than expected (missing increase/OC build)","Reported balance lower than expected (missing decrease)"))))),""))</f>
        <v/>
      </c>
    </row>
    <row r="1950" customFormat="false" ht="15" hidden="false" customHeight="false" outlineLevel="0" collapsed="false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9"/>
      <c r="L1950" s="9"/>
      <c r="M1950" s="9"/>
      <c r="N1950" s="9"/>
      <c r="O1950" s="9"/>
      <c r="P1950" s="9"/>
      <c r="Q1950" s="9"/>
      <c r="R1950" s="9" t="str">
        <f aca="false">IF(AND(A1950&lt;&gt;"",ISNUMBER(Q1950),ISNUMBER(L1950)),ROUND(Q1950-IF(ISNUMBER(N1950),N1950,0)-IF(ISNUMBER(O1950),O1950,0)+IF(ISNUMBER(P1950),P1950,0),2),"")</f>
        <v/>
      </c>
      <c r="S1950" s="9" t="str">
        <f aca="false">IF(R1950="","",ROUND(L1950-R1950,2))</f>
        <v/>
      </c>
      <c r="T1950" s="8" t="str">
        <f aca="false">IF(A1950="","",IF(S1950="","BYPASS",IF(ABS(S1950)&lt;=Summary!$B$2,"PASS","FAIL")))</f>
        <v/>
      </c>
      <c r="U1950" s="8" t="str">
        <f aca="false">IF(T1950="BYPASS",IF(NOT(ISNUMBER(Q1950)),"PreV_ETB missing","End_tr_balance missing"),IF(T1950="FAIL",IF(AND(ISNUMBER(K1950),ISNUMBER(L1950),ABS(L1950-(K1950-IF(ISNUMBER(N1950),N1950,0)-IF(ISNUMBER(O1950),O1950,0)+IF(ISNUMBER(P1950),P1950,0)))&lt;=Summary!$B$2),"Passes using beginning_balance - PreV_ETB differs from beginning_balance",IF(AND(ISNUMBER(O1950),O1950&lt;0,ABS(L1950-(Q1950-IF(ISNUMBER(N1950),N1950,0)+IF(ISNUMBER(P1950),P1950,0)))&lt;=Summary!$B$2),"Negative realized loss not applied - check sign",IF(R1950&lt;0,"Principal paid exceeds prior balance",IF(AND(L1950&gt;Q1950,NOT(ISNUMBER(P1950))),"Balance increased but no Deferred_interest reported",IF(L1950&gt;R1950,"Reported balance higher than expected (missing increase/OC build)","Reported balance lower than expected (missing decrease)"))))),""))</f>
        <v/>
      </c>
    </row>
    <row r="1951" customFormat="false" ht="15" hidden="false" customHeight="false" outlineLevel="0" collapsed="false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9"/>
      <c r="L1951" s="9"/>
      <c r="M1951" s="9"/>
      <c r="N1951" s="9"/>
      <c r="O1951" s="9"/>
      <c r="P1951" s="9"/>
      <c r="Q1951" s="9"/>
      <c r="R1951" s="9" t="str">
        <f aca="false">IF(AND(A1951&lt;&gt;"",ISNUMBER(Q1951),ISNUMBER(L1951)),ROUND(Q1951-IF(ISNUMBER(N1951),N1951,0)-IF(ISNUMBER(O1951),O1951,0)+IF(ISNUMBER(P1951),P1951,0),2),"")</f>
        <v/>
      </c>
      <c r="S1951" s="9" t="str">
        <f aca="false">IF(R1951="","",ROUND(L1951-R1951,2))</f>
        <v/>
      </c>
      <c r="T1951" s="8" t="str">
        <f aca="false">IF(A1951="","",IF(S1951="","BYPASS",IF(ABS(S1951)&lt;=Summary!$B$2,"PASS","FAIL")))</f>
        <v/>
      </c>
      <c r="U1951" s="8" t="str">
        <f aca="false">IF(T1951="BYPASS",IF(NOT(ISNUMBER(Q1951)),"PreV_ETB missing","End_tr_balance missing"),IF(T1951="FAIL",IF(AND(ISNUMBER(K1951),ISNUMBER(L1951),ABS(L1951-(K1951-IF(ISNUMBER(N1951),N1951,0)-IF(ISNUMBER(O1951),O1951,0)+IF(ISNUMBER(P1951),P1951,0)))&lt;=Summary!$B$2),"Passes using beginning_balance - PreV_ETB differs from beginning_balance",IF(AND(ISNUMBER(O1951),O1951&lt;0,ABS(L1951-(Q1951-IF(ISNUMBER(N1951),N1951,0)+IF(ISNUMBER(P1951),P1951,0)))&lt;=Summary!$B$2),"Negative realized loss not applied - check sign",IF(R1951&lt;0,"Principal paid exceeds prior balance",IF(AND(L1951&gt;Q1951,NOT(ISNUMBER(P1951))),"Balance increased but no Deferred_interest reported",IF(L1951&gt;R1951,"Reported balance higher than expected (missing increase/OC build)","Reported balance lower than expected (missing decrease)"))))),""))</f>
        <v/>
      </c>
    </row>
    <row r="1952" customFormat="false" ht="15" hidden="false" customHeight="false" outlineLevel="0" collapsed="false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9"/>
      <c r="L1952" s="9"/>
      <c r="M1952" s="9"/>
      <c r="N1952" s="9"/>
      <c r="O1952" s="9"/>
      <c r="P1952" s="9"/>
      <c r="Q1952" s="9"/>
      <c r="R1952" s="9" t="str">
        <f aca="false">IF(AND(A1952&lt;&gt;"",ISNUMBER(Q1952),ISNUMBER(L1952)),ROUND(Q1952-IF(ISNUMBER(N1952),N1952,0)-IF(ISNUMBER(O1952),O1952,0)+IF(ISNUMBER(P1952),P1952,0),2),"")</f>
        <v/>
      </c>
      <c r="S1952" s="9" t="str">
        <f aca="false">IF(R1952="","",ROUND(L1952-R1952,2))</f>
        <v/>
      </c>
      <c r="T1952" s="8" t="str">
        <f aca="false">IF(A1952="","",IF(S1952="","BYPASS",IF(ABS(S1952)&lt;=Summary!$B$2,"PASS","FAIL")))</f>
        <v/>
      </c>
      <c r="U1952" s="8" t="str">
        <f aca="false">IF(T1952="BYPASS",IF(NOT(ISNUMBER(Q1952)),"PreV_ETB missing","End_tr_balance missing"),IF(T1952="FAIL",IF(AND(ISNUMBER(K1952),ISNUMBER(L1952),ABS(L1952-(K1952-IF(ISNUMBER(N1952),N1952,0)-IF(ISNUMBER(O1952),O1952,0)+IF(ISNUMBER(P1952),P1952,0)))&lt;=Summary!$B$2),"Passes using beginning_balance - PreV_ETB differs from beginning_balance",IF(AND(ISNUMBER(O1952),O1952&lt;0,ABS(L1952-(Q1952-IF(ISNUMBER(N1952),N1952,0)+IF(ISNUMBER(P1952),P1952,0)))&lt;=Summary!$B$2),"Negative realized loss not applied - check sign",IF(R1952&lt;0,"Principal paid exceeds prior balance",IF(AND(L1952&gt;Q1952,NOT(ISNUMBER(P1952))),"Balance increased but no Deferred_interest reported",IF(L1952&gt;R1952,"Reported balance higher than expected (missing increase/OC build)","Reported balance lower than expected (missing decrease)"))))),""))</f>
        <v/>
      </c>
    </row>
    <row r="1953" customFormat="false" ht="15" hidden="false" customHeight="false" outlineLevel="0" collapsed="false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9"/>
      <c r="L1953" s="9"/>
      <c r="M1953" s="9"/>
      <c r="N1953" s="9"/>
      <c r="O1953" s="9"/>
      <c r="P1953" s="9"/>
      <c r="Q1953" s="9"/>
      <c r="R1953" s="9" t="str">
        <f aca="false">IF(AND(A1953&lt;&gt;"",ISNUMBER(Q1953),ISNUMBER(L1953)),ROUND(Q1953-IF(ISNUMBER(N1953),N1953,0)-IF(ISNUMBER(O1953),O1953,0)+IF(ISNUMBER(P1953),P1953,0),2),"")</f>
        <v/>
      </c>
      <c r="S1953" s="9" t="str">
        <f aca="false">IF(R1953="","",ROUND(L1953-R1953,2))</f>
        <v/>
      </c>
      <c r="T1953" s="8" t="str">
        <f aca="false">IF(A1953="","",IF(S1953="","BYPASS",IF(ABS(S1953)&lt;=Summary!$B$2,"PASS","FAIL")))</f>
        <v/>
      </c>
      <c r="U1953" s="8" t="str">
        <f aca="false">IF(T1953="BYPASS",IF(NOT(ISNUMBER(Q1953)),"PreV_ETB missing","End_tr_balance missing"),IF(T1953="FAIL",IF(AND(ISNUMBER(K1953),ISNUMBER(L1953),ABS(L1953-(K1953-IF(ISNUMBER(N1953),N1953,0)-IF(ISNUMBER(O1953),O1953,0)+IF(ISNUMBER(P1953),P1953,0)))&lt;=Summary!$B$2),"Passes using beginning_balance - PreV_ETB differs from beginning_balance",IF(AND(ISNUMBER(O1953),O1953&lt;0,ABS(L1953-(Q1953-IF(ISNUMBER(N1953),N1953,0)+IF(ISNUMBER(P1953),P1953,0)))&lt;=Summary!$B$2),"Negative realized loss not applied - check sign",IF(R1953&lt;0,"Principal paid exceeds prior balance",IF(AND(L1953&gt;Q1953,NOT(ISNUMBER(P1953))),"Balance increased but no Deferred_interest reported",IF(L1953&gt;R1953,"Reported balance higher than expected (missing increase/OC build)","Reported balance lower than expected (missing decrease)"))))),""))</f>
        <v/>
      </c>
    </row>
    <row r="1954" customFormat="false" ht="15" hidden="false" customHeight="false" outlineLevel="0" collapsed="false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9"/>
      <c r="L1954" s="9"/>
      <c r="M1954" s="9"/>
      <c r="N1954" s="9"/>
      <c r="O1954" s="9"/>
      <c r="P1954" s="9"/>
      <c r="Q1954" s="9"/>
      <c r="R1954" s="9" t="str">
        <f aca="false">IF(AND(A1954&lt;&gt;"",ISNUMBER(Q1954),ISNUMBER(L1954)),ROUND(Q1954-IF(ISNUMBER(N1954),N1954,0)-IF(ISNUMBER(O1954),O1954,0)+IF(ISNUMBER(P1954),P1954,0),2),"")</f>
        <v/>
      </c>
      <c r="S1954" s="9" t="str">
        <f aca="false">IF(R1954="","",ROUND(L1954-R1954,2))</f>
        <v/>
      </c>
      <c r="T1954" s="8" t="str">
        <f aca="false">IF(A1954="","",IF(S1954="","BYPASS",IF(ABS(S1954)&lt;=Summary!$B$2,"PASS","FAIL")))</f>
        <v/>
      </c>
      <c r="U1954" s="8" t="str">
        <f aca="false">IF(T1954="BYPASS",IF(NOT(ISNUMBER(Q1954)),"PreV_ETB missing","End_tr_balance missing"),IF(T1954="FAIL",IF(AND(ISNUMBER(K1954),ISNUMBER(L1954),ABS(L1954-(K1954-IF(ISNUMBER(N1954),N1954,0)-IF(ISNUMBER(O1954),O1954,0)+IF(ISNUMBER(P1954),P1954,0)))&lt;=Summary!$B$2),"Passes using beginning_balance - PreV_ETB differs from beginning_balance",IF(AND(ISNUMBER(O1954),O1954&lt;0,ABS(L1954-(Q1954-IF(ISNUMBER(N1954),N1954,0)+IF(ISNUMBER(P1954),P1954,0)))&lt;=Summary!$B$2),"Negative realized loss not applied - check sign",IF(R1954&lt;0,"Principal paid exceeds prior balance",IF(AND(L1954&gt;Q1954,NOT(ISNUMBER(P1954))),"Balance increased but no Deferred_interest reported",IF(L1954&gt;R1954,"Reported balance higher than expected (missing increase/OC build)","Reported balance lower than expected (missing decrease)"))))),""))</f>
        <v/>
      </c>
    </row>
    <row r="1955" customFormat="false" ht="15" hidden="false" customHeight="false" outlineLevel="0" collapsed="false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9"/>
      <c r="L1955" s="9"/>
      <c r="M1955" s="9"/>
      <c r="N1955" s="9"/>
      <c r="O1955" s="9"/>
      <c r="P1955" s="9"/>
      <c r="Q1955" s="9"/>
      <c r="R1955" s="9" t="str">
        <f aca="false">IF(AND(A1955&lt;&gt;"",ISNUMBER(Q1955),ISNUMBER(L1955)),ROUND(Q1955-IF(ISNUMBER(N1955),N1955,0)-IF(ISNUMBER(O1955),O1955,0)+IF(ISNUMBER(P1955),P1955,0),2),"")</f>
        <v/>
      </c>
      <c r="S1955" s="9" t="str">
        <f aca="false">IF(R1955="","",ROUND(L1955-R1955,2))</f>
        <v/>
      </c>
      <c r="T1955" s="8" t="str">
        <f aca="false">IF(A1955="","",IF(S1955="","BYPASS",IF(ABS(S1955)&lt;=Summary!$B$2,"PASS","FAIL")))</f>
        <v/>
      </c>
      <c r="U1955" s="8" t="str">
        <f aca="false">IF(T1955="BYPASS",IF(NOT(ISNUMBER(Q1955)),"PreV_ETB missing","End_tr_balance missing"),IF(T1955="FAIL",IF(AND(ISNUMBER(K1955),ISNUMBER(L1955),ABS(L1955-(K1955-IF(ISNUMBER(N1955),N1955,0)-IF(ISNUMBER(O1955),O1955,0)+IF(ISNUMBER(P1955),P1955,0)))&lt;=Summary!$B$2),"Passes using beginning_balance - PreV_ETB differs from beginning_balance",IF(AND(ISNUMBER(O1955),O1955&lt;0,ABS(L1955-(Q1955-IF(ISNUMBER(N1955),N1955,0)+IF(ISNUMBER(P1955),P1955,0)))&lt;=Summary!$B$2),"Negative realized loss not applied - check sign",IF(R1955&lt;0,"Principal paid exceeds prior balance",IF(AND(L1955&gt;Q1955,NOT(ISNUMBER(P1955))),"Balance increased but no Deferred_interest reported",IF(L1955&gt;R1955,"Reported balance higher than expected (missing increase/OC build)","Reported balance lower than expected (missing decrease)"))))),""))</f>
        <v/>
      </c>
    </row>
    <row r="1956" customFormat="false" ht="15" hidden="false" customHeight="false" outlineLevel="0" collapsed="false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9"/>
      <c r="L1956" s="9"/>
      <c r="M1956" s="9"/>
      <c r="N1956" s="9"/>
      <c r="O1956" s="9"/>
      <c r="P1956" s="9"/>
      <c r="Q1956" s="9"/>
      <c r="R1956" s="9" t="str">
        <f aca="false">IF(AND(A1956&lt;&gt;"",ISNUMBER(Q1956),ISNUMBER(L1956)),ROUND(Q1956-IF(ISNUMBER(N1956),N1956,0)-IF(ISNUMBER(O1956),O1956,0)+IF(ISNUMBER(P1956),P1956,0),2),"")</f>
        <v/>
      </c>
      <c r="S1956" s="9" t="str">
        <f aca="false">IF(R1956="","",ROUND(L1956-R1956,2))</f>
        <v/>
      </c>
      <c r="T1956" s="8" t="str">
        <f aca="false">IF(A1956="","",IF(S1956="","BYPASS",IF(ABS(S1956)&lt;=Summary!$B$2,"PASS","FAIL")))</f>
        <v/>
      </c>
      <c r="U1956" s="8" t="str">
        <f aca="false">IF(T1956="BYPASS",IF(NOT(ISNUMBER(Q1956)),"PreV_ETB missing","End_tr_balance missing"),IF(T1956="FAIL",IF(AND(ISNUMBER(K1956),ISNUMBER(L1956),ABS(L1956-(K1956-IF(ISNUMBER(N1956),N1956,0)-IF(ISNUMBER(O1956),O1956,0)+IF(ISNUMBER(P1956),P1956,0)))&lt;=Summary!$B$2),"Passes using beginning_balance - PreV_ETB differs from beginning_balance",IF(AND(ISNUMBER(O1956),O1956&lt;0,ABS(L1956-(Q1956-IF(ISNUMBER(N1956),N1956,0)+IF(ISNUMBER(P1956),P1956,0)))&lt;=Summary!$B$2),"Negative realized loss not applied - check sign",IF(R1956&lt;0,"Principal paid exceeds prior balance",IF(AND(L1956&gt;Q1956,NOT(ISNUMBER(P1956))),"Balance increased but no Deferred_interest reported",IF(L1956&gt;R1956,"Reported balance higher than expected (missing increase/OC build)","Reported balance lower than expected (missing decrease)"))))),""))</f>
        <v/>
      </c>
    </row>
    <row r="1957" customFormat="false" ht="15" hidden="false" customHeight="false" outlineLevel="0" collapsed="false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9"/>
      <c r="L1957" s="9"/>
      <c r="M1957" s="9"/>
      <c r="N1957" s="9"/>
      <c r="O1957" s="9"/>
      <c r="P1957" s="9"/>
      <c r="Q1957" s="9"/>
      <c r="R1957" s="9" t="str">
        <f aca="false">IF(AND(A1957&lt;&gt;"",ISNUMBER(Q1957),ISNUMBER(L1957)),ROUND(Q1957-IF(ISNUMBER(N1957),N1957,0)-IF(ISNUMBER(O1957),O1957,0)+IF(ISNUMBER(P1957),P1957,0),2),"")</f>
        <v/>
      </c>
      <c r="S1957" s="9" t="str">
        <f aca="false">IF(R1957="","",ROUND(L1957-R1957,2))</f>
        <v/>
      </c>
      <c r="T1957" s="8" t="str">
        <f aca="false">IF(A1957="","",IF(S1957="","BYPASS",IF(ABS(S1957)&lt;=Summary!$B$2,"PASS","FAIL")))</f>
        <v/>
      </c>
      <c r="U1957" s="8" t="str">
        <f aca="false">IF(T1957="BYPASS",IF(NOT(ISNUMBER(Q1957)),"PreV_ETB missing","End_tr_balance missing"),IF(T1957="FAIL",IF(AND(ISNUMBER(K1957),ISNUMBER(L1957),ABS(L1957-(K1957-IF(ISNUMBER(N1957),N1957,0)-IF(ISNUMBER(O1957),O1957,0)+IF(ISNUMBER(P1957),P1957,0)))&lt;=Summary!$B$2),"Passes using beginning_balance - PreV_ETB differs from beginning_balance",IF(AND(ISNUMBER(O1957),O1957&lt;0,ABS(L1957-(Q1957-IF(ISNUMBER(N1957),N1957,0)+IF(ISNUMBER(P1957),P1957,0)))&lt;=Summary!$B$2),"Negative realized loss not applied - check sign",IF(R1957&lt;0,"Principal paid exceeds prior balance",IF(AND(L1957&gt;Q1957,NOT(ISNUMBER(P1957))),"Balance increased but no Deferred_interest reported",IF(L1957&gt;R1957,"Reported balance higher than expected (missing increase/OC build)","Reported balance lower than expected (missing decrease)"))))),""))</f>
        <v/>
      </c>
    </row>
    <row r="1958" customFormat="false" ht="15" hidden="false" customHeight="false" outlineLevel="0" collapsed="false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9"/>
      <c r="L1958" s="9"/>
      <c r="M1958" s="9"/>
      <c r="N1958" s="9"/>
      <c r="O1958" s="9"/>
      <c r="P1958" s="9"/>
      <c r="Q1958" s="9"/>
      <c r="R1958" s="9" t="str">
        <f aca="false">IF(AND(A1958&lt;&gt;"",ISNUMBER(Q1958),ISNUMBER(L1958)),ROUND(Q1958-IF(ISNUMBER(N1958),N1958,0)-IF(ISNUMBER(O1958),O1958,0)+IF(ISNUMBER(P1958),P1958,0),2),"")</f>
        <v/>
      </c>
      <c r="S1958" s="9" t="str">
        <f aca="false">IF(R1958="","",ROUND(L1958-R1958,2))</f>
        <v/>
      </c>
      <c r="T1958" s="8" t="str">
        <f aca="false">IF(A1958="","",IF(S1958="","BYPASS",IF(ABS(S1958)&lt;=Summary!$B$2,"PASS","FAIL")))</f>
        <v/>
      </c>
      <c r="U1958" s="8" t="str">
        <f aca="false">IF(T1958="BYPASS",IF(NOT(ISNUMBER(Q1958)),"PreV_ETB missing","End_tr_balance missing"),IF(T1958="FAIL",IF(AND(ISNUMBER(K1958),ISNUMBER(L1958),ABS(L1958-(K1958-IF(ISNUMBER(N1958),N1958,0)-IF(ISNUMBER(O1958),O1958,0)+IF(ISNUMBER(P1958),P1958,0)))&lt;=Summary!$B$2),"Passes using beginning_balance - PreV_ETB differs from beginning_balance",IF(AND(ISNUMBER(O1958),O1958&lt;0,ABS(L1958-(Q1958-IF(ISNUMBER(N1958),N1958,0)+IF(ISNUMBER(P1958),P1958,0)))&lt;=Summary!$B$2),"Negative realized loss not applied - check sign",IF(R1958&lt;0,"Principal paid exceeds prior balance",IF(AND(L1958&gt;Q1958,NOT(ISNUMBER(P1958))),"Balance increased but no Deferred_interest reported",IF(L1958&gt;R1958,"Reported balance higher than expected (missing increase/OC build)","Reported balance lower than expected (missing decrease)"))))),""))</f>
        <v/>
      </c>
    </row>
    <row r="1959" customFormat="false" ht="15" hidden="false" customHeight="false" outlineLevel="0" collapsed="false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9"/>
      <c r="L1959" s="9"/>
      <c r="M1959" s="9"/>
      <c r="N1959" s="9"/>
      <c r="O1959" s="9"/>
      <c r="P1959" s="9"/>
      <c r="Q1959" s="9"/>
      <c r="R1959" s="9" t="str">
        <f aca="false">IF(AND(A1959&lt;&gt;"",ISNUMBER(Q1959),ISNUMBER(L1959)),ROUND(Q1959-IF(ISNUMBER(N1959),N1959,0)-IF(ISNUMBER(O1959),O1959,0)+IF(ISNUMBER(P1959),P1959,0),2),"")</f>
        <v/>
      </c>
      <c r="S1959" s="9" t="str">
        <f aca="false">IF(R1959="","",ROUND(L1959-R1959,2))</f>
        <v/>
      </c>
      <c r="T1959" s="8" t="str">
        <f aca="false">IF(A1959="","",IF(S1959="","BYPASS",IF(ABS(S1959)&lt;=Summary!$B$2,"PASS","FAIL")))</f>
        <v/>
      </c>
      <c r="U1959" s="8" t="str">
        <f aca="false">IF(T1959="BYPASS",IF(NOT(ISNUMBER(Q1959)),"PreV_ETB missing","End_tr_balance missing"),IF(T1959="FAIL",IF(AND(ISNUMBER(K1959),ISNUMBER(L1959),ABS(L1959-(K1959-IF(ISNUMBER(N1959),N1959,0)-IF(ISNUMBER(O1959),O1959,0)+IF(ISNUMBER(P1959),P1959,0)))&lt;=Summary!$B$2),"Passes using beginning_balance - PreV_ETB differs from beginning_balance",IF(AND(ISNUMBER(O1959),O1959&lt;0,ABS(L1959-(Q1959-IF(ISNUMBER(N1959),N1959,0)+IF(ISNUMBER(P1959),P1959,0)))&lt;=Summary!$B$2),"Negative realized loss not applied - check sign",IF(R1959&lt;0,"Principal paid exceeds prior balance",IF(AND(L1959&gt;Q1959,NOT(ISNUMBER(P1959))),"Balance increased but no Deferred_interest reported",IF(L1959&gt;R1959,"Reported balance higher than expected (missing increase/OC build)","Reported balance lower than expected (missing decrease)"))))),""))</f>
        <v/>
      </c>
    </row>
    <row r="1960" customFormat="false" ht="15" hidden="false" customHeight="false" outlineLevel="0" collapsed="false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9"/>
      <c r="L1960" s="9"/>
      <c r="M1960" s="9"/>
      <c r="N1960" s="9"/>
      <c r="O1960" s="9"/>
      <c r="P1960" s="9"/>
      <c r="Q1960" s="9"/>
      <c r="R1960" s="9" t="str">
        <f aca="false">IF(AND(A1960&lt;&gt;"",ISNUMBER(Q1960),ISNUMBER(L1960)),ROUND(Q1960-IF(ISNUMBER(N1960),N1960,0)-IF(ISNUMBER(O1960),O1960,0)+IF(ISNUMBER(P1960),P1960,0),2),"")</f>
        <v/>
      </c>
      <c r="S1960" s="9" t="str">
        <f aca="false">IF(R1960="","",ROUND(L1960-R1960,2))</f>
        <v/>
      </c>
      <c r="T1960" s="8" t="str">
        <f aca="false">IF(A1960="","",IF(S1960="","BYPASS",IF(ABS(S1960)&lt;=Summary!$B$2,"PASS","FAIL")))</f>
        <v/>
      </c>
      <c r="U1960" s="8" t="str">
        <f aca="false">IF(T1960="BYPASS",IF(NOT(ISNUMBER(Q1960)),"PreV_ETB missing","End_tr_balance missing"),IF(T1960="FAIL",IF(AND(ISNUMBER(K1960),ISNUMBER(L1960),ABS(L1960-(K1960-IF(ISNUMBER(N1960),N1960,0)-IF(ISNUMBER(O1960),O1960,0)+IF(ISNUMBER(P1960),P1960,0)))&lt;=Summary!$B$2),"Passes using beginning_balance - PreV_ETB differs from beginning_balance",IF(AND(ISNUMBER(O1960),O1960&lt;0,ABS(L1960-(Q1960-IF(ISNUMBER(N1960),N1960,0)+IF(ISNUMBER(P1960),P1960,0)))&lt;=Summary!$B$2),"Negative realized loss not applied - check sign",IF(R1960&lt;0,"Principal paid exceeds prior balance",IF(AND(L1960&gt;Q1960,NOT(ISNUMBER(P1960))),"Balance increased but no Deferred_interest reported",IF(L1960&gt;R1960,"Reported balance higher than expected (missing increase/OC build)","Reported balance lower than expected (missing decrease)"))))),""))</f>
        <v/>
      </c>
    </row>
    <row r="1961" customFormat="false" ht="15" hidden="false" customHeight="false" outlineLevel="0" collapsed="false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9"/>
      <c r="L1961" s="9"/>
      <c r="M1961" s="9"/>
      <c r="N1961" s="9"/>
      <c r="O1961" s="9"/>
      <c r="P1961" s="9"/>
      <c r="Q1961" s="9"/>
      <c r="R1961" s="9" t="str">
        <f aca="false">IF(AND(A1961&lt;&gt;"",ISNUMBER(Q1961),ISNUMBER(L1961)),ROUND(Q1961-IF(ISNUMBER(N1961),N1961,0)-IF(ISNUMBER(O1961),O1961,0)+IF(ISNUMBER(P1961),P1961,0),2),"")</f>
        <v/>
      </c>
      <c r="S1961" s="9" t="str">
        <f aca="false">IF(R1961="","",ROUND(L1961-R1961,2))</f>
        <v/>
      </c>
      <c r="T1961" s="8" t="str">
        <f aca="false">IF(A1961="","",IF(S1961="","BYPASS",IF(ABS(S1961)&lt;=Summary!$B$2,"PASS","FAIL")))</f>
        <v/>
      </c>
      <c r="U1961" s="8" t="str">
        <f aca="false">IF(T1961="BYPASS",IF(NOT(ISNUMBER(Q1961)),"PreV_ETB missing","End_tr_balance missing"),IF(T1961="FAIL",IF(AND(ISNUMBER(K1961),ISNUMBER(L1961),ABS(L1961-(K1961-IF(ISNUMBER(N1961),N1961,0)-IF(ISNUMBER(O1961),O1961,0)+IF(ISNUMBER(P1961),P1961,0)))&lt;=Summary!$B$2),"Passes using beginning_balance - PreV_ETB differs from beginning_balance",IF(AND(ISNUMBER(O1961),O1961&lt;0,ABS(L1961-(Q1961-IF(ISNUMBER(N1961),N1961,0)+IF(ISNUMBER(P1961),P1961,0)))&lt;=Summary!$B$2),"Negative realized loss not applied - check sign",IF(R1961&lt;0,"Principal paid exceeds prior balance",IF(AND(L1961&gt;Q1961,NOT(ISNUMBER(P1961))),"Balance increased but no Deferred_interest reported",IF(L1961&gt;R1961,"Reported balance higher than expected (missing increase/OC build)","Reported balance lower than expected (missing decrease)"))))),""))</f>
        <v/>
      </c>
    </row>
    <row r="1962" customFormat="false" ht="15" hidden="false" customHeight="false" outlineLevel="0" collapsed="false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9"/>
      <c r="L1962" s="9"/>
      <c r="M1962" s="9"/>
      <c r="N1962" s="9"/>
      <c r="O1962" s="9"/>
      <c r="P1962" s="9"/>
      <c r="Q1962" s="9"/>
      <c r="R1962" s="9" t="str">
        <f aca="false">IF(AND(A1962&lt;&gt;"",ISNUMBER(Q1962),ISNUMBER(L1962)),ROUND(Q1962-IF(ISNUMBER(N1962),N1962,0)-IF(ISNUMBER(O1962),O1962,0)+IF(ISNUMBER(P1962),P1962,0),2),"")</f>
        <v/>
      </c>
      <c r="S1962" s="9" t="str">
        <f aca="false">IF(R1962="","",ROUND(L1962-R1962,2))</f>
        <v/>
      </c>
      <c r="T1962" s="8" t="str">
        <f aca="false">IF(A1962="","",IF(S1962="","BYPASS",IF(ABS(S1962)&lt;=Summary!$B$2,"PASS","FAIL")))</f>
        <v/>
      </c>
      <c r="U1962" s="8" t="str">
        <f aca="false">IF(T1962="BYPASS",IF(NOT(ISNUMBER(Q1962)),"PreV_ETB missing","End_tr_balance missing"),IF(T1962="FAIL",IF(AND(ISNUMBER(K1962),ISNUMBER(L1962),ABS(L1962-(K1962-IF(ISNUMBER(N1962),N1962,0)-IF(ISNUMBER(O1962),O1962,0)+IF(ISNUMBER(P1962),P1962,0)))&lt;=Summary!$B$2),"Passes using beginning_balance - PreV_ETB differs from beginning_balance",IF(AND(ISNUMBER(O1962),O1962&lt;0,ABS(L1962-(Q1962-IF(ISNUMBER(N1962),N1962,0)+IF(ISNUMBER(P1962),P1962,0)))&lt;=Summary!$B$2),"Negative realized loss not applied - check sign",IF(R1962&lt;0,"Principal paid exceeds prior balance",IF(AND(L1962&gt;Q1962,NOT(ISNUMBER(P1962))),"Balance increased but no Deferred_interest reported",IF(L1962&gt;R1962,"Reported balance higher than expected (missing increase/OC build)","Reported balance lower than expected (missing decrease)"))))),""))</f>
        <v/>
      </c>
    </row>
    <row r="1963" customFormat="false" ht="15" hidden="false" customHeight="false" outlineLevel="0" collapsed="false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9"/>
      <c r="L1963" s="9"/>
      <c r="M1963" s="9"/>
      <c r="N1963" s="9"/>
      <c r="O1963" s="9"/>
      <c r="P1963" s="9"/>
      <c r="Q1963" s="9"/>
      <c r="R1963" s="9" t="str">
        <f aca="false">IF(AND(A1963&lt;&gt;"",ISNUMBER(Q1963),ISNUMBER(L1963)),ROUND(Q1963-IF(ISNUMBER(N1963),N1963,0)-IF(ISNUMBER(O1963),O1963,0)+IF(ISNUMBER(P1963),P1963,0),2),"")</f>
        <v/>
      </c>
      <c r="S1963" s="9" t="str">
        <f aca="false">IF(R1963="","",ROUND(L1963-R1963,2))</f>
        <v/>
      </c>
      <c r="T1963" s="8" t="str">
        <f aca="false">IF(A1963="","",IF(S1963="","BYPASS",IF(ABS(S1963)&lt;=Summary!$B$2,"PASS","FAIL")))</f>
        <v/>
      </c>
      <c r="U1963" s="8" t="str">
        <f aca="false">IF(T1963="BYPASS",IF(NOT(ISNUMBER(Q1963)),"PreV_ETB missing","End_tr_balance missing"),IF(T1963="FAIL",IF(AND(ISNUMBER(K1963),ISNUMBER(L1963),ABS(L1963-(K1963-IF(ISNUMBER(N1963),N1963,0)-IF(ISNUMBER(O1963),O1963,0)+IF(ISNUMBER(P1963),P1963,0)))&lt;=Summary!$B$2),"Passes using beginning_balance - PreV_ETB differs from beginning_balance",IF(AND(ISNUMBER(O1963),O1963&lt;0,ABS(L1963-(Q1963-IF(ISNUMBER(N1963),N1963,0)+IF(ISNUMBER(P1963),P1963,0)))&lt;=Summary!$B$2),"Negative realized loss not applied - check sign",IF(R1963&lt;0,"Principal paid exceeds prior balance",IF(AND(L1963&gt;Q1963,NOT(ISNUMBER(P1963))),"Balance increased but no Deferred_interest reported",IF(L1963&gt;R1963,"Reported balance higher than expected (missing increase/OC build)","Reported balance lower than expected (missing decrease)"))))),""))</f>
        <v/>
      </c>
    </row>
    <row r="1964" customFormat="false" ht="15" hidden="false" customHeight="false" outlineLevel="0" collapsed="false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9"/>
      <c r="L1964" s="9"/>
      <c r="M1964" s="9"/>
      <c r="N1964" s="9"/>
      <c r="O1964" s="9"/>
      <c r="P1964" s="9"/>
      <c r="Q1964" s="9"/>
      <c r="R1964" s="9" t="str">
        <f aca="false">IF(AND(A1964&lt;&gt;"",ISNUMBER(Q1964),ISNUMBER(L1964)),ROUND(Q1964-IF(ISNUMBER(N1964),N1964,0)-IF(ISNUMBER(O1964),O1964,0)+IF(ISNUMBER(P1964),P1964,0),2),"")</f>
        <v/>
      </c>
      <c r="S1964" s="9" t="str">
        <f aca="false">IF(R1964="","",ROUND(L1964-R1964,2))</f>
        <v/>
      </c>
      <c r="T1964" s="8" t="str">
        <f aca="false">IF(A1964="","",IF(S1964="","BYPASS",IF(ABS(S1964)&lt;=Summary!$B$2,"PASS","FAIL")))</f>
        <v/>
      </c>
      <c r="U1964" s="8" t="str">
        <f aca="false">IF(T1964="BYPASS",IF(NOT(ISNUMBER(Q1964)),"PreV_ETB missing","End_tr_balance missing"),IF(T1964="FAIL",IF(AND(ISNUMBER(K1964),ISNUMBER(L1964),ABS(L1964-(K1964-IF(ISNUMBER(N1964),N1964,0)-IF(ISNUMBER(O1964),O1964,0)+IF(ISNUMBER(P1964),P1964,0)))&lt;=Summary!$B$2),"Passes using beginning_balance - PreV_ETB differs from beginning_balance",IF(AND(ISNUMBER(O1964),O1964&lt;0,ABS(L1964-(Q1964-IF(ISNUMBER(N1964),N1964,0)+IF(ISNUMBER(P1964),P1964,0)))&lt;=Summary!$B$2),"Negative realized loss not applied - check sign",IF(R1964&lt;0,"Principal paid exceeds prior balance",IF(AND(L1964&gt;Q1964,NOT(ISNUMBER(P1964))),"Balance increased but no Deferred_interest reported",IF(L1964&gt;R1964,"Reported balance higher than expected (missing increase/OC build)","Reported balance lower than expected (missing decrease)"))))),""))</f>
        <v/>
      </c>
    </row>
    <row r="1965" customFormat="false" ht="15" hidden="false" customHeight="false" outlineLevel="0" collapsed="false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9"/>
      <c r="L1965" s="9"/>
      <c r="M1965" s="9"/>
      <c r="N1965" s="9"/>
      <c r="O1965" s="9"/>
      <c r="P1965" s="9"/>
      <c r="Q1965" s="9"/>
      <c r="R1965" s="9" t="str">
        <f aca="false">IF(AND(A1965&lt;&gt;"",ISNUMBER(Q1965),ISNUMBER(L1965)),ROUND(Q1965-IF(ISNUMBER(N1965),N1965,0)-IF(ISNUMBER(O1965),O1965,0)+IF(ISNUMBER(P1965),P1965,0),2),"")</f>
        <v/>
      </c>
      <c r="S1965" s="9" t="str">
        <f aca="false">IF(R1965="","",ROUND(L1965-R1965,2))</f>
        <v/>
      </c>
      <c r="T1965" s="8" t="str">
        <f aca="false">IF(A1965="","",IF(S1965="","BYPASS",IF(ABS(S1965)&lt;=Summary!$B$2,"PASS","FAIL")))</f>
        <v/>
      </c>
      <c r="U1965" s="8" t="str">
        <f aca="false">IF(T1965="BYPASS",IF(NOT(ISNUMBER(Q1965)),"PreV_ETB missing","End_tr_balance missing"),IF(T1965="FAIL",IF(AND(ISNUMBER(K1965),ISNUMBER(L1965),ABS(L1965-(K1965-IF(ISNUMBER(N1965),N1965,0)-IF(ISNUMBER(O1965),O1965,0)+IF(ISNUMBER(P1965),P1965,0)))&lt;=Summary!$B$2),"Passes using beginning_balance - PreV_ETB differs from beginning_balance",IF(AND(ISNUMBER(O1965),O1965&lt;0,ABS(L1965-(Q1965-IF(ISNUMBER(N1965),N1965,0)+IF(ISNUMBER(P1965),P1965,0)))&lt;=Summary!$B$2),"Negative realized loss not applied - check sign",IF(R1965&lt;0,"Principal paid exceeds prior balance",IF(AND(L1965&gt;Q1965,NOT(ISNUMBER(P1965))),"Balance increased but no Deferred_interest reported",IF(L1965&gt;R1965,"Reported balance higher than expected (missing increase/OC build)","Reported balance lower than expected (missing decrease)"))))),""))</f>
        <v/>
      </c>
    </row>
    <row r="1966" customFormat="false" ht="15" hidden="false" customHeight="false" outlineLevel="0" collapsed="false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9"/>
      <c r="L1966" s="9"/>
      <c r="M1966" s="9"/>
      <c r="N1966" s="9"/>
      <c r="O1966" s="9"/>
      <c r="P1966" s="9"/>
      <c r="Q1966" s="9"/>
      <c r="R1966" s="9" t="str">
        <f aca="false">IF(AND(A1966&lt;&gt;"",ISNUMBER(Q1966),ISNUMBER(L1966)),ROUND(Q1966-IF(ISNUMBER(N1966),N1966,0)-IF(ISNUMBER(O1966),O1966,0)+IF(ISNUMBER(P1966),P1966,0),2),"")</f>
        <v/>
      </c>
      <c r="S1966" s="9" t="str">
        <f aca="false">IF(R1966="","",ROUND(L1966-R1966,2))</f>
        <v/>
      </c>
      <c r="T1966" s="8" t="str">
        <f aca="false">IF(A1966="","",IF(S1966="","BYPASS",IF(ABS(S1966)&lt;=Summary!$B$2,"PASS","FAIL")))</f>
        <v/>
      </c>
      <c r="U1966" s="8" t="str">
        <f aca="false">IF(T1966="BYPASS",IF(NOT(ISNUMBER(Q1966)),"PreV_ETB missing","End_tr_balance missing"),IF(T1966="FAIL",IF(AND(ISNUMBER(K1966),ISNUMBER(L1966),ABS(L1966-(K1966-IF(ISNUMBER(N1966),N1966,0)-IF(ISNUMBER(O1966),O1966,0)+IF(ISNUMBER(P1966),P1966,0)))&lt;=Summary!$B$2),"Passes using beginning_balance - PreV_ETB differs from beginning_balance",IF(AND(ISNUMBER(O1966),O1966&lt;0,ABS(L1966-(Q1966-IF(ISNUMBER(N1966),N1966,0)+IF(ISNUMBER(P1966),P1966,0)))&lt;=Summary!$B$2),"Negative realized loss not applied - check sign",IF(R1966&lt;0,"Principal paid exceeds prior balance",IF(AND(L1966&gt;Q1966,NOT(ISNUMBER(P1966))),"Balance increased but no Deferred_interest reported",IF(L1966&gt;R1966,"Reported balance higher than expected (missing increase/OC build)","Reported balance lower than expected (missing decrease)"))))),""))</f>
        <v/>
      </c>
    </row>
    <row r="1967" customFormat="false" ht="15" hidden="false" customHeight="false" outlineLevel="0" collapsed="false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9"/>
      <c r="L1967" s="9"/>
      <c r="M1967" s="9"/>
      <c r="N1967" s="9"/>
      <c r="O1967" s="9"/>
      <c r="P1967" s="9"/>
      <c r="Q1967" s="9"/>
      <c r="R1967" s="9" t="str">
        <f aca="false">IF(AND(A1967&lt;&gt;"",ISNUMBER(Q1967),ISNUMBER(L1967)),ROUND(Q1967-IF(ISNUMBER(N1967),N1967,0)-IF(ISNUMBER(O1967),O1967,0)+IF(ISNUMBER(P1967),P1967,0),2),"")</f>
        <v/>
      </c>
      <c r="S1967" s="9" t="str">
        <f aca="false">IF(R1967="","",ROUND(L1967-R1967,2))</f>
        <v/>
      </c>
      <c r="T1967" s="8" t="str">
        <f aca="false">IF(A1967="","",IF(S1967="","BYPASS",IF(ABS(S1967)&lt;=Summary!$B$2,"PASS","FAIL")))</f>
        <v/>
      </c>
      <c r="U1967" s="8" t="str">
        <f aca="false">IF(T1967="BYPASS",IF(NOT(ISNUMBER(Q1967)),"PreV_ETB missing","End_tr_balance missing"),IF(T1967="FAIL",IF(AND(ISNUMBER(K1967),ISNUMBER(L1967),ABS(L1967-(K1967-IF(ISNUMBER(N1967),N1967,0)-IF(ISNUMBER(O1967),O1967,0)+IF(ISNUMBER(P1967),P1967,0)))&lt;=Summary!$B$2),"Passes using beginning_balance - PreV_ETB differs from beginning_balance",IF(AND(ISNUMBER(O1967),O1967&lt;0,ABS(L1967-(Q1967-IF(ISNUMBER(N1967),N1967,0)+IF(ISNUMBER(P1967),P1967,0)))&lt;=Summary!$B$2),"Negative realized loss not applied - check sign",IF(R1967&lt;0,"Principal paid exceeds prior balance",IF(AND(L1967&gt;Q1967,NOT(ISNUMBER(P1967))),"Balance increased but no Deferred_interest reported",IF(L1967&gt;R1967,"Reported balance higher than expected (missing increase/OC build)","Reported balance lower than expected (missing decrease)"))))),""))</f>
        <v/>
      </c>
    </row>
    <row r="1968" customFormat="false" ht="15" hidden="false" customHeight="false" outlineLevel="0" collapsed="false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9"/>
      <c r="L1968" s="9"/>
      <c r="M1968" s="9"/>
      <c r="N1968" s="9"/>
      <c r="O1968" s="9"/>
      <c r="P1968" s="9"/>
      <c r="Q1968" s="9"/>
      <c r="R1968" s="9" t="str">
        <f aca="false">IF(AND(A1968&lt;&gt;"",ISNUMBER(Q1968),ISNUMBER(L1968)),ROUND(Q1968-IF(ISNUMBER(N1968),N1968,0)-IF(ISNUMBER(O1968),O1968,0)+IF(ISNUMBER(P1968),P1968,0),2),"")</f>
        <v/>
      </c>
      <c r="S1968" s="9" t="str">
        <f aca="false">IF(R1968="","",ROUND(L1968-R1968,2))</f>
        <v/>
      </c>
      <c r="T1968" s="8" t="str">
        <f aca="false">IF(A1968="","",IF(S1968="","BYPASS",IF(ABS(S1968)&lt;=Summary!$B$2,"PASS","FAIL")))</f>
        <v/>
      </c>
      <c r="U1968" s="8" t="str">
        <f aca="false">IF(T1968="BYPASS",IF(NOT(ISNUMBER(Q1968)),"PreV_ETB missing","End_tr_balance missing"),IF(T1968="FAIL",IF(AND(ISNUMBER(K1968),ISNUMBER(L1968),ABS(L1968-(K1968-IF(ISNUMBER(N1968),N1968,0)-IF(ISNUMBER(O1968),O1968,0)+IF(ISNUMBER(P1968),P1968,0)))&lt;=Summary!$B$2),"Passes using beginning_balance - PreV_ETB differs from beginning_balance",IF(AND(ISNUMBER(O1968),O1968&lt;0,ABS(L1968-(Q1968-IF(ISNUMBER(N1968),N1968,0)+IF(ISNUMBER(P1968),P1968,0)))&lt;=Summary!$B$2),"Negative realized loss not applied - check sign",IF(R1968&lt;0,"Principal paid exceeds prior balance",IF(AND(L1968&gt;Q1968,NOT(ISNUMBER(P1968))),"Balance increased but no Deferred_interest reported",IF(L1968&gt;R1968,"Reported balance higher than expected (missing increase/OC build)","Reported balance lower than expected (missing decrease)"))))),""))</f>
        <v/>
      </c>
    </row>
    <row r="1969" customFormat="false" ht="15" hidden="false" customHeight="false" outlineLevel="0" collapsed="false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9"/>
      <c r="L1969" s="9"/>
      <c r="M1969" s="9"/>
      <c r="N1969" s="9"/>
      <c r="O1969" s="9"/>
      <c r="P1969" s="9"/>
      <c r="Q1969" s="9"/>
      <c r="R1969" s="9" t="str">
        <f aca="false">IF(AND(A1969&lt;&gt;"",ISNUMBER(Q1969),ISNUMBER(L1969)),ROUND(Q1969-IF(ISNUMBER(N1969),N1969,0)-IF(ISNUMBER(O1969),O1969,0)+IF(ISNUMBER(P1969),P1969,0),2),"")</f>
        <v/>
      </c>
      <c r="S1969" s="9" t="str">
        <f aca="false">IF(R1969="","",ROUND(L1969-R1969,2))</f>
        <v/>
      </c>
      <c r="T1969" s="8" t="str">
        <f aca="false">IF(A1969="","",IF(S1969="","BYPASS",IF(ABS(S1969)&lt;=Summary!$B$2,"PASS","FAIL")))</f>
        <v/>
      </c>
      <c r="U1969" s="8" t="str">
        <f aca="false">IF(T1969="BYPASS",IF(NOT(ISNUMBER(Q1969)),"PreV_ETB missing","End_tr_balance missing"),IF(T1969="FAIL",IF(AND(ISNUMBER(K1969),ISNUMBER(L1969),ABS(L1969-(K1969-IF(ISNUMBER(N1969),N1969,0)-IF(ISNUMBER(O1969),O1969,0)+IF(ISNUMBER(P1969),P1969,0)))&lt;=Summary!$B$2),"Passes using beginning_balance - PreV_ETB differs from beginning_balance",IF(AND(ISNUMBER(O1969),O1969&lt;0,ABS(L1969-(Q1969-IF(ISNUMBER(N1969),N1969,0)+IF(ISNUMBER(P1969),P1969,0)))&lt;=Summary!$B$2),"Negative realized loss not applied - check sign",IF(R1969&lt;0,"Principal paid exceeds prior balance",IF(AND(L1969&gt;Q1969,NOT(ISNUMBER(P1969))),"Balance increased but no Deferred_interest reported",IF(L1969&gt;R1969,"Reported balance higher than expected (missing increase/OC build)","Reported balance lower than expected (missing decrease)"))))),""))</f>
        <v/>
      </c>
    </row>
    <row r="1970" customFormat="false" ht="15" hidden="false" customHeight="false" outlineLevel="0" collapsed="false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9"/>
      <c r="L1970" s="9"/>
      <c r="M1970" s="9"/>
      <c r="N1970" s="9"/>
      <c r="O1970" s="9"/>
      <c r="P1970" s="9"/>
      <c r="Q1970" s="9"/>
      <c r="R1970" s="9" t="str">
        <f aca="false">IF(AND(A1970&lt;&gt;"",ISNUMBER(Q1970),ISNUMBER(L1970)),ROUND(Q1970-IF(ISNUMBER(N1970),N1970,0)-IF(ISNUMBER(O1970),O1970,0)+IF(ISNUMBER(P1970),P1970,0),2),"")</f>
        <v/>
      </c>
      <c r="S1970" s="9" t="str">
        <f aca="false">IF(R1970="","",ROUND(L1970-R1970,2))</f>
        <v/>
      </c>
      <c r="T1970" s="8" t="str">
        <f aca="false">IF(A1970="","",IF(S1970="","BYPASS",IF(ABS(S1970)&lt;=Summary!$B$2,"PASS","FAIL")))</f>
        <v/>
      </c>
      <c r="U1970" s="8" t="str">
        <f aca="false">IF(T1970="BYPASS",IF(NOT(ISNUMBER(Q1970)),"PreV_ETB missing","End_tr_balance missing"),IF(T1970="FAIL",IF(AND(ISNUMBER(K1970),ISNUMBER(L1970),ABS(L1970-(K1970-IF(ISNUMBER(N1970),N1970,0)-IF(ISNUMBER(O1970),O1970,0)+IF(ISNUMBER(P1970),P1970,0)))&lt;=Summary!$B$2),"Passes using beginning_balance - PreV_ETB differs from beginning_balance",IF(AND(ISNUMBER(O1970),O1970&lt;0,ABS(L1970-(Q1970-IF(ISNUMBER(N1970),N1970,0)+IF(ISNUMBER(P1970),P1970,0)))&lt;=Summary!$B$2),"Negative realized loss not applied - check sign",IF(R1970&lt;0,"Principal paid exceeds prior balance",IF(AND(L1970&gt;Q1970,NOT(ISNUMBER(P1970))),"Balance increased but no Deferred_interest reported",IF(L1970&gt;R1970,"Reported balance higher than expected (missing increase/OC build)","Reported balance lower than expected (missing decrease)"))))),""))</f>
        <v/>
      </c>
    </row>
    <row r="1971" customFormat="false" ht="15" hidden="false" customHeight="false" outlineLevel="0" collapsed="false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9"/>
      <c r="L1971" s="9"/>
      <c r="M1971" s="9"/>
      <c r="N1971" s="9"/>
      <c r="O1971" s="9"/>
      <c r="P1971" s="9"/>
      <c r="Q1971" s="9"/>
      <c r="R1971" s="9" t="str">
        <f aca="false">IF(AND(A1971&lt;&gt;"",ISNUMBER(Q1971),ISNUMBER(L1971)),ROUND(Q1971-IF(ISNUMBER(N1971),N1971,0)-IF(ISNUMBER(O1971),O1971,0)+IF(ISNUMBER(P1971),P1971,0),2),"")</f>
        <v/>
      </c>
      <c r="S1971" s="9" t="str">
        <f aca="false">IF(R1971="","",ROUND(L1971-R1971,2))</f>
        <v/>
      </c>
      <c r="T1971" s="8" t="str">
        <f aca="false">IF(A1971="","",IF(S1971="","BYPASS",IF(ABS(S1971)&lt;=Summary!$B$2,"PASS","FAIL")))</f>
        <v/>
      </c>
      <c r="U1971" s="8" t="str">
        <f aca="false">IF(T1971="BYPASS",IF(NOT(ISNUMBER(Q1971)),"PreV_ETB missing","End_tr_balance missing"),IF(T1971="FAIL",IF(AND(ISNUMBER(K1971),ISNUMBER(L1971),ABS(L1971-(K1971-IF(ISNUMBER(N1971),N1971,0)-IF(ISNUMBER(O1971),O1971,0)+IF(ISNUMBER(P1971),P1971,0)))&lt;=Summary!$B$2),"Passes using beginning_balance - PreV_ETB differs from beginning_balance",IF(AND(ISNUMBER(O1971),O1971&lt;0,ABS(L1971-(Q1971-IF(ISNUMBER(N1971),N1971,0)+IF(ISNUMBER(P1971),P1971,0)))&lt;=Summary!$B$2),"Negative realized loss not applied - check sign",IF(R1971&lt;0,"Principal paid exceeds prior balance",IF(AND(L1971&gt;Q1971,NOT(ISNUMBER(P1971))),"Balance increased but no Deferred_interest reported",IF(L1971&gt;R1971,"Reported balance higher than expected (missing increase/OC build)","Reported balance lower than expected (missing decrease)"))))),""))</f>
        <v/>
      </c>
    </row>
    <row r="1972" customFormat="false" ht="15" hidden="false" customHeight="false" outlineLevel="0" collapsed="false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9"/>
      <c r="L1972" s="9"/>
      <c r="M1972" s="9"/>
      <c r="N1972" s="9"/>
      <c r="O1972" s="9"/>
      <c r="P1972" s="9"/>
      <c r="Q1972" s="9"/>
      <c r="R1972" s="9" t="str">
        <f aca="false">IF(AND(A1972&lt;&gt;"",ISNUMBER(Q1972),ISNUMBER(L1972)),ROUND(Q1972-IF(ISNUMBER(N1972),N1972,0)-IF(ISNUMBER(O1972),O1972,0)+IF(ISNUMBER(P1972),P1972,0),2),"")</f>
        <v/>
      </c>
      <c r="S1972" s="9" t="str">
        <f aca="false">IF(R1972="","",ROUND(L1972-R1972,2))</f>
        <v/>
      </c>
      <c r="T1972" s="8" t="str">
        <f aca="false">IF(A1972="","",IF(S1972="","BYPASS",IF(ABS(S1972)&lt;=Summary!$B$2,"PASS","FAIL")))</f>
        <v/>
      </c>
      <c r="U1972" s="8" t="str">
        <f aca="false">IF(T1972="BYPASS",IF(NOT(ISNUMBER(Q1972)),"PreV_ETB missing","End_tr_balance missing"),IF(T1972="FAIL",IF(AND(ISNUMBER(K1972),ISNUMBER(L1972),ABS(L1972-(K1972-IF(ISNUMBER(N1972),N1972,0)-IF(ISNUMBER(O1972),O1972,0)+IF(ISNUMBER(P1972),P1972,0)))&lt;=Summary!$B$2),"Passes using beginning_balance - PreV_ETB differs from beginning_balance",IF(AND(ISNUMBER(O1972),O1972&lt;0,ABS(L1972-(Q1972-IF(ISNUMBER(N1972),N1972,0)+IF(ISNUMBER(P1972),P1972,0)))&lt;=Summary!$B$2),"Negative realized loss not applied - check sign",IF(R1972&lt;0,"Principal paid exceeds prior balance",IF(AND(L1972&gt;Q1972,NOT(ISNUMBER(P1972))),"Balance increased but no Deferred_interest reported",IF(L1972&gt;R1972,"Reported balance higher than expected (missing increase/OC build)","Reported balance lower than expected (missing decrease)"))))),""))</f>
        <v/>
      </c>
    </row>
    <row r="1973" customFormat="false" ht="15" hidden="false" customHeight="false" outlineLevel="0" collapsed="false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9"/>
      <c r="L1973" s="9"/>
      <c r="M1973" s="9"/>
      <c r="N1973" s="9"/>
      <c r="O1973" s="9"/>
      <c r="P1973" s="9"/>
      <c r="Q1973" s="9"/>
      <c r="R1973" s="9" t="str">
        <f aca="false">IF(AND(A1973&lt;&gt;"",ISNUMBER(Q1973),ISNUMBER(L1973)),ROUND(Q1973-IF(ISNUMBER(N1973),N1973,0)-IF(ISNUMBER(O1973),O1973,0)+IF(ISNUMBER(P1973),P1973,0),2),"")</f>
        <v/>
      </c>
      <c r="S1973" s="9" t="str">
        <f aca="false">IF(R1973="","",ROUND(L1973-R1973,2))</f>
        <v/>
      </c>
      <c r="T1973" s="8" t="str">
        <f aca="false">IF(A1973="","",IF(S1973="","BYPASS",IF(ABS(S1973)&lt;=Summary!$B$2,"PASS","FAIL")))</f>
        <v/>
      </c>
      <c r="U1973" s="8" t="str">
        <f aca="false">IF(T1973="BYPASS",IF(NOT(ISNUMBER(Q1973)),"PreV_ETB missing","End_tr_balance missing"),IF(T1973="FAIL",IF(AND(ISNUMBER(K1973),ISNUMBER(L1973),ABS(L1973-(K1973-IF(ISNUMBER(N1973),N1973,0)-IF(ISNUMBER(O1973),O1973,0)+IF(ISNUMBER(P1973),P1973,0)))&lt;=Summary!$B$2),"Passes using beginning_balance - PreV_ETB differs from beginning_balance",IF(AND(ISNUMBER(O1973),O1973&lt;0,ABS(L1973-(Q1973-IF(ISNUMBER(N1973),N1973,0)+IF(ISNUMBER(P1973),P1973,0)))&lt;=Summary!$B$2),"Negative realized loss not applied - check sign",IF(R1973&lt;0,"Principal paid exceeds prior balance",IF(AND(L1973&gt;Q1973,NOT(ISNUMBER(P1973))),"Balance increased but no Deferred_interest reported",IF(L1973&gt;R1973,"Reported balance higher than expected (missing increase/OC build)","Reported balance lower than expected (missing decrease)"))))),""))</f>
        <v/>
      </c>
    </row>
    <row r="1974" customFormat="false" ht="15" hidden="false" customHeight="false" outlineLevel="0" collapsed="false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9"/>
      <c r="L1974" s="9"/>
      <c r="M1974" s="9"/>
      <c r="N1974" s="9"/>
      <c r="O1974" s="9"/>
      <c r="P1974" s="9"/>
      <c r="Q1974" s="9"/>
      <c r="R1974" s="9" t="str">
        <f aca="false">IF(AND(A1974&lt;&gt;"",ISNUMBER(Q1974),ISNUMBER(L1974)),ROUND(Q1974-IF(ISNUMBER(N1974),N1974,0)-IF(ISNUMBER(O1974),O1974,0)+IF(ISNUMBER(P1974),P1974,0),2),"")</f>
        <v/>
      </c>
      <c r="S1974" s="9" t="str">
        <f aca="false">IF(R1974="","",ROUND(L1974-R1974,2))</f>
        <v/>
      </c>
      <c r="T1974" s="8" t="str">
        <f aca="false">IF(A1974="","",IF(S1974="","BYPASS",IF(ABS(S1974)&lt;=Summary!$B$2,"PASS","FAIL")))</f>
        <v/>
      </c>
      <c r="U1974" s="8" t="str">
        <f aca="false">IF(T1974="BYPASS",IF(NOT(ISNUMBER(Q1974)),"PreV_ETB missing","End_tr_balance missing"),IF(T1974="FAIL",IF(AND(ISNUMBER(K1974),ISNUMBER(L1974),ABS(L1974-(K1974-IF(ISNUMBER(N1974),N1974,0)-IF(ISNUMBER(O1974),O1974,0)+IF(ISNUMBER(P1974),P1974,0)))&lt;=Summary!$B$2),"Passes using beginning_balance - PreV_ETB differs from beginning_balance",IF(AND(ISNUMBER(O1974),O1974&lt;0,ABS(L1974-(Q1974-IF(ISNUMBER(N1974),N1974,0)+IF(ISNUMBER(P1974),P1974,0)))&lt;=Summary!$B$2),"Negative realized loss not applied - check sign",IF(R1974&lt;0,"Principal paid exceeds prior balance",IF(AND(L1974&gt;Q1974,NOT(ISNUMBER(P1974))),"Balance increased but no Deferred_interest reported",IF(L1974&gt;R1974,"Reported balance higher than expected (missing increase/OC build)","Reported balance lower than expected (missing decrease)"))))),""))</f>
        <v/>
      </c>
    </row>
    <row r="1975" customFormat="false" ht="15" hidden="false" customHeight="false" outlineLevel="0" collapsed="false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9"/>
      <c r="L1975" s="9"/>
      <c r="M1975" s="9"/>
      <c r="N1975" s="9"/>
      <c r="O1975" s="9"/>
      <c r="P1975" s="9"/>
      <c r="Q1975" s="9"/>
      <c r="R1975" s="9" t="str">
        <f aca="false">IF(AND(A1975&lt;&gt;"",ISNUMBER(Q1975),ISNUMBER(L1975)),ROUND(Q1975-IF(ISNUMBER(N1975),N1975,0)-IF(ISNUMBER(O1975),O1975,0)+IF(ISNUMBER(P1975),P1975,0),2),"")</f>
        <v/>
      </c>
      <c r="S1975" s="9" t="str">
        <f aca="false">IF(R1975="","",ROUND(L1975-R1975,2))</f>
        <v/>
      </c>
      <c r="T1975" s="8" t="str">
        <f aca="false">IF(A1975="","",IF(S1975="","BYPASS",IF(ABS(S1975)&lt;=Summary!$B$2,"PASS","FAIL")))</f>
        <v/>
      </c>
      <c r="U1975" s="8" t="str">
        <f aca="false">IF(T1975="BYPASS",IF(NOT(ISNUMBER(Q1975)),"PreV_ETB missing","End_tr_balance missing"),IF(T1975="FAIL",IF(AND(ISNUMBER(K1975),ISNUMBER(L1975),ABS(L1975-(K1975-IF(ISNUMBER(N1975),N1975,0)-IF(ISNUMBER(O1975),O1975,0)+IF(ISNUMBER(P1975),P1975,0)))&lt;=Summary!$B$2),"Passes using beginning_balance - PreV_ETB differs from beginning_balance",IF(AND(ISNUMBER(O1975),O1975&lt;0,ABS(L1975-(Q1975-IF(ISNUMBER(N1975),N1975,0)+IF(ISNUMBER(P1975),P1975,0)))&lt;=Summary!$B$2),"Negative realized loss not applied - check sign",IF(R1975&lt;0,"Principal paid exceeds prior balance",IF(AND(L1975&gt;Q1975,NOT(ISNUMBER(P1975))),"Balance increased but no Deferred_interest reported",IF(L1975&gt;R1975,"Reported balance higher than expected (missing increase/OC build)","Reported balance lower than expected (missing decrease)"))))),""))</f>
        <v/>
      </c>
    </row>
    <row r="1976" customFormat="false" ht="15" hidden="false" customHeight="false" outlineLevel="0" collapsed="false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9"/>
      <c r="L1976" s="9"/>
      <c r="M1976" s="9"/>
      <c r="N1976" s="9"/>
      <c r="O1976" s="9"/>
      <c r="P1976" s="9"/>
      <c r="Q1976" s="9"/>
      <c r="R1976" s="9" t="str">
        <f aca="false">IF(AND(A1976&lt;&gt;"",ISNUMBER(Q1976),ISNUMBER(L1976)),ROUND(Q1976-IF(ISNUMBER(N1976),N1976,0)-IF(ISNUMBER(O1976),O1976,0)+IF(ISNUMBER(P1976),P1976,0),2),"")</f>
        <v/>
      </c>
      <c r="S1976" s="9" t="str">
        <f aca="false">IF(R1976="","",ROUND(L1976-R1976,2))</f>
        <v/>
      </c>
      <c r="T1976" s="8" t="str">
        <f aca="false">IF(A1976="","",IF(S1976="","BYPASS",IF(ABS(S1976)&lt;=Summary!$B$2,"PASS","FAIL")))</f>
        <v/>
      </c>
      <c r="U1976" s="8" t="str">
        <f aca="false">IF(T1976="BYPASS",IF(NOT(ISNUMBER(Q1976)),"PreV_ETB missing","End_tr_balance missing"),IF(T1976="FAIL",IF(AND(ISNUMBER(K1976),ISNUMBER(L1976),ABS(L1976-(K1976-IF(ISNUMBER(N1976),N1976,0)-IF(ISNUMBER(O1976),O1976,0)+IF(ISNUMBER(P1976),P1976,0)))&lt;=Summary!$B$2),"Passes using beginning_balance - PreV_ETB differs from beginning_balance",IF(AND(ISNUMBER(O1976),O1976&lt;0,ABS(L1976-(Q1976-IF(ISNUMBER(N1976),N1976,0)+IF(ISNUMBER(P1976),P1976,0)))&lt;=Summary!$B$2),"Negative realized loss not applied - check sign",IF(R1976&lt;0,"Principal paid exceeds prior balance",IF(AND(L1976&gt;Q1976,NOT(ISNUMBER(P1976))),"Balance increased but no Deferred_interest reported",IF(L1976&gt;R1976,"Reported balance higher than expected (missing increase/OC build)","Reported balance lower than expected (missing decrease)"))))),""))</f>
        <v/>
      </c>
    </row>
    <row r="1977" customFormat="false" ht="15" hidden="false" customHeight="false" outlineLevel="0" collapsed="false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9"/>
      <c r="L1977" s="9"/>
      <c r="M1977" s="9"/>
      <c r="N1977" s="9"/>
      <c r="O1977" s="9"/>
      <c r="P1977" s="9"/>
      <c r="Q1977" s="9"/>
      <c r="R1977" s="9" t="str">
        <f aca="false">IF(AND(A1977&lt;&gt;"",ISNUMBER(Q1977),ISNUMBER(L1977)),ROUND(Q1977-IF(ISNUMBER(N1977),N1977,0)-IF(ISNUMBER(O1977),O1977,0)+IF(ISNUMBER(P1977),P1977,0),2),"")</f>
        <v/>
      </c>
      <c r="S1977" s="9" t="str">
        <f aca="false">IF(R1977="","",ROUND(L1977-R1977,2))</f>
        <v/>
      </c>
      <c r="T1977" s="8" t="str">
        <f aca="false">IF(A1977="","",IF(S1977="","BYPASS",IF(ABS(S1977)&lt;=Summary!$B$2,"PASS","FAIL")))</f>
        <v/>
      </c>
      <c r="U1977" s="8" t="str">
        <f aca="false">IF(T1977="BYPASS",IF(NOT(ISNUMBER(Q1977)),"PreV_ETB missing","End_tr_balance missing"),IF(T1977="FAIL",IF(AND(ISNUMBER(K1977),ISNUMBER(L1977),ABS(L1977-(K1977-IF(ISNUMBER(N1977),N1977,0)-IF(ISNUMBER(O1977),O1977,0)+IF(ISNUMBER(P1977),P1977,0)))&lt;=Summary!$B$2),"Passes using beginning_balance - PreV_ETB differs from beginning_balance",IF(AND(ISNUMBER(O1977),O1977&lt;0,ABS(L1977-(Q1977-IF(ISNUMBER(N1977),N1977,0)+IF(ISNUMBER(P1977),P1977,0)))&lt;=Summary!$B$2),"Negative realized loss not applied - check sign",IF(R1977&lt;0,"Principal paid exceeds prior balance",IF(AND(L1977&gt;Q1977,NOT(ISNUMBER(P1977))),"Balance increased but no Deferred_interest reported",IF(L1977&gt;R1977,"Reported balance higher than expected (missing increase/OC build)","Reported balance lower than expected (missing decrease)"))))),""))</f>
        <v/>
      </c>
    </row>
    <row r="1978" customFormat="false" ht="15" hidden="false" customHeight="false" outlineLevel="0" collapsed="false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9"/>
      <c r="L1978" s="9"/>
      <c r="M1978" s="9"/>
      <c r="N1978" s="9"/>
      <c r="O1978" s="9"/>
      <c r="P1978" s="9"/>
      <c r="Q1978" s="9"/>
      <c r="R1978" s="9" t="str">
        <f aca="false">IF(AND(A1978&lt;&gt;"",ISNUMBER(Q1978),ISNUMBER(L1978)),ROUND(Q1978-IF(ISNUMBER(N1978),N1978,0)-IF(ISNUMBER(O1978),O1978,0)+IF(ISNUMBER(P1978),P1978,0),2),"")</f>
        <v/>
      </c>
      <c r="S1978" s="9" t="str">
        <f aca="false">IF(R1978="","",ROUND(L1978-R1978,2))</f>
        <v/>
      </c>
      <c r="T1978" s="8" t="str">
        <f aca="false">IF(A1978="","",IF(S1978="","BYPASS",IF(ABS(S1978)&lt;=Summary!$B$2,"PASS","FAIL")))</f>
        <v/>
      </c>
      <c r="U1978" s="8" t="str">
        <f aca="false">IF(T1978="BYPASS",IF(NOT(ISNUMBER(Q1978)),"PreV_ETB missing","End_tr_balance missing"),IF(T1978="FAIL",IF(AND(ISNUMBER(K1978),ISNUMBER(L1978),ABS(L1978-(K1978-IF(ISNUMBER(N1978),N1978,0)-IF(ISNUMBER(O1978),O1978,0)+IF(ISNUMBER(P1978),P1978,0)))&lt;=Summary!$B$2),"Passes using beginning_balance - PreV_ETB differs from beginning_balance",IF(AND(ISNUMBER(O1978),O1978&lt;0,ABS(L1978-(Q1978-IF(ISNUMBER(N1978),N1978,0)+IF(ISNUMBER(P1978),P1978,0)))&lt;=Summary!$B$2),"Negative realized loss not applied - check sign",IF(R1978&lt;0,"Principal paid exceeds prior balance",IF(AND(L1978&gt;Q1978,NOT(ISNUMBER(P1978))),"Balance increased but no Deferred_interest reported",IF(L1978&gt;R1978,"Reported balance higher than expected (missing increase/OC build)","Reported balance lower than expected (missing decrease)"))))),""))</f>
        <v/>
      </c>
    </row>
    <row r="1979" customFormat="false" ht="15" hidden="false" customHeight="false" outlineLevel="0" collapsed="false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9"/>
      <c r="L1979" s="9"/>
      <c r="M1979" s="9"/>
      <c r="N1979" s="9"/>
      <c r="O1979" s="9"/>
      <c r="P1979" s="9"/>
      <c r="Q1979" s="9"/>
      <c r="R1979" s="9" t="str">
        <f aca="false">IF(AND(A1979&lt;&gt;"",ISNUMBER(Q1979),ISNUMBER(L1979)),ROUND(Q1979-IF(ISNUMBER(N1979),N1979,0)-IF(ISNUMBER(O1979),O1979,0)+IF(ISNUMBER(P1979),P1979,0),2),"")</f>
        <v/>
      </c>
      <c r="S1979" s="9" t="str">
        <f aca="false">IF(R1979="","",ROUND(L1979-R1979,2))</f>
        <v/>
      </c>
      <c r="T1979" s="8" t="str">
        <f aca="false">IF(A1979="","",IF(S1979="","BYPASS",IF(ABS(S1979)&lt;=Summary!$B$2,"PASS","FAIL")))</f>
        <v/>
      </c>
      <c r="U1979" s="8" t="str">
        <f aca="false">IF(T1979="BYPASS",IF(NOT(ISNUMBER(Q1979)),"PreV_ETB missing","End_tr_balance missing"),IF(T1979="FAIL",IF(AND(ISNUMBER(K1979),ISNUMBER(L1979),ABS(L1979-(K1979-IF(ISNUMBER(N1979),N1979,0)-IF(ISNUMBER(O1979),O1979,0)+IF(ISNUMBER(P1979),P1979,0)))&lt;=Summary!$B$2),"Passes using beginning_balance - PreV_ETB differs from beginning_balance",IF(AND(ISNUMBER(O1979),O1979&lt;0,ABS(L1979-(Q1979-IF(ISNUMBER(N1979),N1979,0)+IF(ISNUMBER(P1979),P1979,0)))&lt;=Summary!$B$2),"Negative realized loss not applied - check sign",IF(R1979&lt;0,"Principal paid exceeds prior balance",IF(AND(L1979&gt;Q1979,NOT(ISNUMBER(P1979))),"Balance increased but no Deferred_interest reported",IF(L1979&gt;R1979,"Reported balance higher than expected (missing increase/OC build)","Reported balance lower than expected (missing decrease)"))))),""))</f>
        <v/>
      </c>
    </row>
    <row r="1980" customFormat="false" ht="15" hidden="false" customHeight="false" outlineLevel="0" collapsed="false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9"/>
      <c r="L1980" s="9"/>
      <c r="M1980" s="9"/>
      <c r="N1980" s="9"/>
      <c r="O1980" s="9"/>
      <c r="P1980" s="9"/>
      <c r="Q1980" s="9"/>
      <c r="R1980" s="9" t="str">
        <f aca="false">IF(AND(A1980&lt;&gt;"",ISNUMBER(Q1980),ISNUMBER(L1980)),ROUND(Q1980-IF(ISNUMBER(N1980),N1980,0)-IF(ISNUMBER(O1980),O1980,0)+IF(ISNUMBER(P1980),P1980,0),2),"")</f>
        <v/>
      </c>
      <c r="S1980" s="9" t="str">
        <f aca="false">IF(R1980="","",ROUND(L1980-R1980,2))</f>
        <v/>
      </c>
      <c r="T1980" s="8" t="str">
        <f aca="false">IF(A1980="","",IF(S1980="","BYPASS",IF(ABS(S1980)&lt;=Summary!$B$2,"PASS","FAIL")))</f>
        <v/>
      </c>
      <c r="U1980" s="8" t="str">
        <f aca="false">IF(T1980="BYPASS",IF(NOT(ISNUMBER(Q1980)),"PreV_ETB missing","End_tr_balance missing"),IF(T1980="FAIL",IF(AND(ISNUMBER(K1980),ISNUMBER(L1980),ABS(L1980-(K1980-IF(ISNUMBER(N1980),N1980,0)-IF(ISNUMBER(O1980),O1980,0)+IF(ISNUMBER(P1980),P1980,0)))&lt;=Summary!$B$2),"Passes using beginning_balance - PreV_ETB differs from beginning_balance",IF(AND(ISNUMBER(O1980),O1980&lt;0,ABS(L1980-(Q1980-IF(ISNUMBER(N1980),N1980,0)+IF(ISNUMBER(P1980),P1980,0)))&lt;=Summary!$B$2),"Negative realized loss not applied - check sign",IF(R1980&lt;0,"Principal paid exceeds prior balance",IF(AND(L1980&gt;Q1980,NOT(ISNUMBER(P1980))),"Balance increased but no Deferred_interest reported",IF(L1980&gt;R1980,"Reported balance higher than expected (missing increase/OC build)","Reported balance lower than expected (missing decrease)"))))),""))</f>
        <v/>
      </c>
    </row>
    <row r="1981" customFormat="false" ht="15" hidden="false" customHeight="false" outlineLevel="0" collapsed="false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9"/>
      <c r="L1981" s="9"/>
      <c r="M1981" s="9"/>
      <c r="N1981" s="9"/>
      <c r="O1981" s="9"/>
      <c r="P1981" s="9"/>
      <c r="Q1981" s="9"/>
      <c r="R1981" s="9" t="str">
        <f aca="false">IF(AND(A1981&lt;&gt;"",ISNUMBER(Q1981),ISNUMBER(L1981)),ROUND(Q1981-IF(ISNUMBER(N1981),N1981,0)-IF(ISNUMBER(O1981),O1981,0)+IF(ISNUMBER(P1981),P1981,0),2),"")</f>
        <v/>
      </c>
      <c r="S1981" s="9" t="str">
        <f aca="false">IF(R1981="","",ROUND(L1981-R1981,2))</f>
        <v/>
      </c>
      <c r="T1981" s="8" t="str">
        <f aca="false">IF(A1981="","",IF(S1981="","BYPASS",IF(ABS(S1981)&lt;=Summary!$B$2,"PASS","FAIL")))</f>
        <v/>
      </c>
      <c r="U1981" s="8" t="str">
        <f aca="false">IF(T1981="BYPASS",IF(NOT(ISNUMBER(Q1981)),"PreV_ETB missing","End_tr_balance missing"),IF(T1981="FAIL",IF(AND(ISNUMBER(K1981),ISNUMBER(L1981),ABS(L1981-(K1981-IF(ISNUMBER(N1981),N1981,0)-IF(ISNUMBER(O1981),O1981,0)+IF(ISNUMBER(P1981),P1981,0)))&lt;=Summary!$B$2),"Passes using beginning_balance - PreV_ETB differs from beginning_balance",IF(AND(ISNUMBER(O1981),O1981&lt;0,ABS(L1981-(Q1981-IF(ISNUMBER(N1981),N1981,0)+IF(ISNUMBER(P1981),P1981,0)))&lt;=Summary!$B$2),"Negative realized loss not applied - check sign",IF(R1981&lt;0,"Principal paid exceeds prior balance",IF(AND(L1981&gt;Q1981,NOT(ISNUMBER(P1981))),"Balance increased but no Deferred_interest reported",IF(L1981&gt;R1981,"Reported balance higher than expected (missing increase/OC build)","Reported balance lower than expected (missing decrease)"))))),""))</f>
        <v/>
      </c>
    </row>
    <row r="1982" customFormat="false" ht="15" hidden="false" customHeight="false" outlineLevel="0" collapsed="false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9"/>
      <c r="L1982" s="9"/>
      <c r="M1982" s="9"/>
      <c r="N1982" s="9"/>
      <c r="O1982" s="9"/>
      <c r="P1982" s="9"/>
      <c r="Q1982" s="9"/>
      <c r="R1982" s="9" t="str">
        <f aca="false">IF(AND(A1982&lt;&gt;"",ISNUMBER(Q1982),ISNUMBER(L1982)),ROUND(Q1982-IF(ISNUMBER(N1982),N1982,0)-IF(ISNUMBER(O1982),O1982,0)+IF(ISNUMBER(P1982),P1982,0),2),"")</f>
        <v/>
      </c>
      <c r="S1982" s="9" t="str">
        <f aca="false">IF(R1982="","",ROUND(L1982-R1982,2))</f>
        <v/>
      </c>
      <c r="T1982" s="8" t="str">
        <f aca="false">IF(A1982="","",IF(S1982="","BYPASS",IF(ABS(S1982)&lt;=Summary!$B$2,"PASS","FAIL")))</f>
        <v/>
      </c>
      <c r="U1982" s="8" t="str">
        <f aca="false">IF(T1982="BYPASS",IF(NOT(ISNUMBER(Q1982)),"PreV_ETB missing","End_tr_balance missing"),IF(T1982="FAIL",IF(AND(ISNUMBER(K1982),ISNUMBER(L1982),ABS(L1982-(K1982-IF(ISNUMBER(N1982),N1982,0)-IF(ISNUMBER(O1982),O1982,0)+IF(ISNUMBER(P1982),P1982,0)))&lt;=Summary!$B$2),"Passes using beginning_balance - PreV_ETB differs from beginning_balance",IF(AND(ISNUMBER(O1982),O1982&lt;0,ABS(L1982-(Q1982-IF(ISNUMBER(N1982),N1982,0)+IF(ISNUMBER(P1982),P1982,0)))&lt;=Summary!$B$2),"Negative realized loss not applied - check sign",IF(R1982&lt;0,"Principal paid exceeds prior balance",IF(AND(L1982&gt;Q1982,NOT(ISNUMBER(P1982))),"Balance increased but no Deferred_interest reported",IF(L1982&gt;R1982,"Reported balance higher than expected (missing increase/OC build)","Reported balance lower than expected (missing decrease)"))))),""))</f>
        <v/>
      </c>
    </row>
    <row r="1983" customFormat="false" ht="15" hidden="false" customHeight="false" outlineLevel="0" collapsed="false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9"/>
      <c r="L1983" s="9"/>
      <c r="M1983" s="9"/>
      <c r="N1983" s="9"/>
      <c r="O1983" s="9"/>
      <c r="P1983" s="9"/>
      <c r="Q1983" s="9"/>
      <c r="R1983" s="9" t="str">
        <f aca="false">IF(AND(A1983&lt;&gt;"",ISNUMBER(Q1983),ISNUMBER(L1983)),ROUND(Q1983-IF(ISNUMBER(N1983),N1983,0)-IF(ISNUMBER(O1983),O1983,0)+IF(ISNUMBER(P1983),P1983,0),2),"")</f>
        <v/>
      </c>
      <c r="S1983" s="9" t="str">
        <f aca="false">IF(R1983="","",ROUND(L1983-R1983,2))</f>
        <v/>
      </c>
      <c r="T1983" s="8" t="str">
        <f aca="false">IF(A1983="","",IF(S1983="","BYPASS",IF(ABS(S1983)&lt;=Summary!$B$2,"PASS","FAIL")))</f>
        <v/>
      </c>
      <c r="U1983" s="8" t="str">
        <f aca="false">IF(T1983="BYPASS",IF(NOT(ISNUMBER(Q1983)),"PreV_ETB missing","End_tr_balance missing"),IF(T1983="FAIL",IF(AND(ISNUMBER(K1983),ISNUMBER(L1983),ABS(L1983-(K1983-IF(ISNUMBER(N1983),N1983,0)-IF(ISNUMBER(O1983),O1983,0)+IF(ISNUMBER(P1983),P1983,0)))&lt;=Summary!$B$2),"Passes using beginning_balance - PreV_ETB differs from beginning_balance",IF(AND(ISNUMBER(O1983),O1983&lt;0,ABS(L1983-(Q1983-IF(ISNUMBER(N1983),N1983,0)+IF(ISNUMBER(P1983),P1983,0)))&lt;=Summary!$B$2),"Negative realized loss not applied - check sign",IF(R1983&lt;0,"Principal paid exceeds prior balance",IF(AND(L1983&gt;Q1983,NOT(ISNUMBER(P1983))),"Balance increased but no Deferred_interest reported",IF(L1983&gt;R1983,"Reported balance higher than expected (missing increase/OC build)","Reported balance lower than expected (missing decrease)"))))),""))</f>
        <v/>
      </c>
    </row>
    <row r="1984" customFormat="false" ht="15" hidden="false" customHeight="false" outlineLevel="0" collapsed="false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9"/>
      <c r="L1984" s="9"/>
      <c r="M1984" s="9"/>
      <c r="N1984" s="9"/>
      <c r="O1984" s="9"/>
      <c r="P1984" s="9"/>
      <c r="Q1984" s="9"/>
      <c r="R1984" s="9" t="str">
        <f aca="false">IF(AND(A1984&lt;&gt;"",ISNUMBER(Q1984),ISNUMBER(L1984)),ROUND(Q1984-IF(ISNUMBER(N1984),N1984,0)-IF(ISNUMBER(O1984),O1984,0)+IF(ISNUMBER(P1984),P1984,0),2),"")</f>
        <v/>
      </c>
      <c r="S1984" s="9" t="str">
        <f aca="false">IF(R1984="","",ROUND(L1984-R1984,2))</f>
        <v/>
      </c>
      <c r="T1984" s="8" t="str">
        <f aca="false">IF(A1984="","",IF(S1984="","BYPASS",IF(ABS(S1984)&lt;=Summary!$B$2,"PASS","FAIL")))</f>
        <v/>
      </c>
      <c r="U1984" s="8" t="str">
        <f aca="false">IF(T1984="BYPASS",IF(NOT(ISNUMBER(Q1984)),"PreV_ETB missing","End_tr_balance missing"),IF(T1984="FAIL",IF(AND(ISNUMBER(K1984),ISNUMBER(L1984),ABS(L1984-(K1984-IF(ISNUMBER(N1984),N1984,0)-IF(ISNUMBER(O1984),O1984,0)+IF(ISNUMBER(P1984),P1984,0)))&lt;=Summary!$B$2),"Passes using beginning_balance - PreV_ETB differs from beginning_balance",IF(AND(ISNUMBER(O1984),O1984&lt;0,ABS(L1984-(Q1984-IF(ISNUMBER(N1984),N1984,0)+IF(ISNUMBER(P1984),P1984,0)))&lt;=Summary!$B$2),"Negative realized loss not applied - check sign",IF(R1984&lt;0,"Principal paid exceeds prior balance",IF(AND(L1984&gt;Q1984,NOT(ISNUMBER(P1984))),"Balance increased but no Deferred_interest reported",IF(L1984&gt;R1984,"Reported balance higher than expected (missing increase/OC build)","Reported balance lower than expected (missing decrease)"))))),""))</f>
        <v/>
      </c>
    </row>
    <row r="1985" customFormat="false" ht="15" hidden="false" customHeight="false" outlineLevel="0" collapsed="false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9"/>
      <c r="L1985" s="9"/>
      <c r="M1985" s="9"/>
      <c r="N1985" s="9"/>
      <c r="O1985" s="9"/>
      <c r="P1985" s="9"/>
      <c r="Q1985" s="9"/>
      <c r="R1985" s="9" t="str">
        <f aca="false">IF(AND(A1985&lt;&gt;"",ISNUMBER(Q1985),ISNUMBER(L1985)),ROUND(Q1985-IF(ISNUMBER(N1985),N1985,0)-IF(ISNUMBER(O1985),O1985,0)+IF(ISNUMBER(P1985),P1985,0),2),"")</f>
        <v/>
      </c>
      <c r="S1985" s="9" t="str">
        <f aca="false">IF(R1985="","",ROUND(L1985-R1985,2))</f>
        <v/>
      </c>
      <c r="T1985" s="8" t="str">
        <f aca="false">IF(A1985="","",IF(S1985="","BYPASS",IF(ABS(S1985)&lt;=Summary!$B$2,"PASS","FAIL")))</f>
        <v/>
      </c>
      <c r="U1985" s="8" t="str">
        <f aca="false">IF(T1985="BYPASS",IF(NOT(ISNUMBER(Q1985)),"PreV_ETB missing","End_tr_balance missing"),IF(T1985="FAIL",IF(AND(ISNUMBER(K1985),ISNUMBER(L1985),ABS(L1985-(K1985-IF(ISNUMBER(N1985),N1985,0)-IF(ISNUMBER(O1985),O1985,0)+IF(ISNUMBER(P1985),P1985,0)))&lt;=Summary!$B$2),"Passes using beginning_balance - PreV_ETB differs from beginning_balance",IF(AND(ISNUMBER(O1985),O1985&lt;0,ABS(L1985-(Q1985-IF(ISNUMBER(N1985),N1985,0)+IF(ISNUMBER(P1985),P1985,0)))&lt;=Summary!$B$2),"Negative realized loss not applied - check sign",IF(R1985&lt;0,"Principal paid exceeds prior balance",IF(AND(L1985&gt;Q1985,NOT(ISNUMBER(P1985))),"Balance increased but no Deferred_interest reported",IF(L1985&gt;R1985,"Reported balance higher than expected (missing increase/OC build)","Reported balance lower than expected (missing decrease)"))))),""))</f>
        <v/>
      </c>
    </row>
    <row r="1986" customFormat="false" ht="15" hidden="false" customHeight="false" outlineLevel="0" collapsed="false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9"/>
      <c r="L1986" s="9"/>
      <c r="M1986" s="9"/>
      <c r="N1986" s="9"/>
      <c r="O1986" s="9"/>
      <c r="P1986" s="9"/>
      <c r="Q1986" s="9"/>
      <c r="R1986" s="9" t="str">
        <f aca="false">IF(AND(A1986&lt;&gt;"",ISNUMBER(Q1986),ISNUMBER(L1986)),ROUND(Q1986-IF(ISNUMBER(N1986),N1986,0)-IF(ISNUMBER(O1986),O1986,0)+IF(ISNUMBER(P1986),P1986,0),2),"")</f>
        <v/>
      </c>
      <c r="S1986" s="9" t="str">
        <f aca="false">IF(R1986="","",ROUND(L1986-R1986,2))</f>
        <v/>
      </c>
      <c r="T1986" s="8" t="str">
        <f aca="false">IF(A1986="","",IF(S1986="","BYPASS",IF(ABS(S1986)&lt;=Summary!$B$2,"PASS","FAIL")))</f>
        <v/>
      </c>
      <c r="U1986" s="8" t="str">
        <f aca="false">IF(T1986="BYPASS",IF(NOT(ISNUMBER(Q1986)),"PreV_ETB missing","End_tr_balance missing"),IF(T1986="FAIL",IF(AND(ISNUMBER(K1986),ISNUMBER(L1986),ABS(L1986-(K1986-IF(ISNUMBER(N1986),N1986,0)-IF(ISNUMBER(O1986),O1986,0)+IF(ISNUMBER(P1986),P1986,0)))&lt;=Summary!$B$2),"Passes using beginning_balance - PreV_ETB differs from beginning_balance",IF(AND(ISNUMBER(O1986),O1986&lt;0,ABS(L1986-(Q1986-IF(ISNUMBER(N1986),N1986,0)+IF(ISNUMBER(P1986),P1986,0)))&lt;=Summary!$B$2),"Negative realized loss not applied - check sign",IF(R1986&lt;0,"Principal paid exceeds prior balance",IF(AND(L1986&gt;Q1986,NOT(ISNUMBER(P1986))),"Balance increased but no Deferred_interest reported",IF(L1986&gt;R1986,"Reported balance higher than expected (missing increase/OC build)","Reported balance lower than expected (missing decrease)"))))),""))</f>
        <v/>
      </c>
    </row>
    <row r="1987" customFormat="false" ht="15" hidden="false" customHeight="false" outlineLevel="0" collapsed="false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9"/>
      <c r="L1987" s="9"/>
      <c r="M1987" s="9"/>
      <c r="N1987" s="9"/>
      <c r="O1987" s="9"/>
      <c r="P1987" s="9"/>
      <c r="Q1987" s="9"/>
      <c r="R1987" s="9" t="str">
        <f aca="false">IF(AND(A1987&lt;&gt;"",ISNUMBER(Q1987),ISNUMBER(L1987)),ROUND(Q1987-IF(ISNUMBER(N1987),N1987,0)-IF(ISNUMBER(O1987),O1987,0)+IF(ISNUMBER(P1987),P1987,0),2),"")</f>
        <v/>
      </c>
      <c r="S1987" s="9" t="str">
        <f aca="false">IF(R1987="","",ROUND(L1987-R1987,2))</f>
        <v/>
      </c>
      <c r="T1987" s="8" t="str">
        <f aca="false">IF(A1987="","",IF(S1987="","BYPASS",IF(ABS(S1987)&lt;=Summary!$B$2,"PASS","FAIL")))</f>
        <v/>
      </c>
      <c r="U1987" s="8" t="str">
        <f aca="false">IF(T1987="BYPASS",IF(NOT(ISNUMBER(Q1987)),"PreV_ETB missing","End_tr_balance missing"),IF(T1987="FAIL",IF(AND(ISNUMBER(K1987),ISNUMBER(L1987),ABS(L1987-(K1987-IF(ISNUMBER(N1987),N1987,0)-IF(ISNUMBER(O1987),O1987,0)+IF(ISNUMBER(P1987),P1987,0)))&lt;=Summary!$B$2),"Passes using beginning_balance - PreV_ETB differs from beginning_balance",IF(AND(ISNUMBER(O1987),O1987&lt;0,ABS(L1987-(Q1987-IF(ISNUMBER(N1987),N1987,0)+IF(ISNUMBER(P1987),P1987,0)))&lt;=Summary!$B$2),"Negative realized loss not applied - check sign",IF(R1987&lt;0,"Principal paid exceeds prior balance",IF(AND(L1987&gt;Q1987,NOT(ISNUMBER(P1987))),"Balance increased but no Deferred_interest reported",IF(L1987&gt;R1987,"Reported balance higher than expected (missing increase/OC build)","Reported balance lower than expected (missing decrease)"))))),""))</f>
        <v/>
      </c>
    </row>
    <row r="1988" customFormat="false" ht="15" hidden="false" customHeight="false" outlineLevel="0" collapsed="false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9"/>
      <c r="L1988" s="9"/>
      <c r="M1988" s="9"/>
      <c r="N1988" s="9"/>
      <c r="O1988" s="9"/>
      <c r="P1988" s="9"/>
      <c r="Q1988" s="9"/>
      <c r="R1988" s="9" t="str">
        <f aca="false">IF(AND(A1988&lt;&gt;"",ISNUMBER(Q1988),ISNUMBER(L1988)),ROUND(Q1988-IF(ISNUMBER(N1988),N1988,0)-IF(ISNUMBER(O1988),O1988,0)+IF(ISNUMBER(P1988),P1988,0),2),"")</f>
        <v/>
      </c>
      <c r="S1988" s="9" t="str">
        <f aca="false">IF(R1988="","",ROUND(L1988-R1988,2))</f>
        <v/>
      </c>
      <c r="T1988" s="8" t="str">
        <f aca="false">IF(A1988="","",IF(S1988="","BYPASS",IF(ABS(S1988)&lt;=Summary!$B$2,"PASS","FAIL")))</f>
        <v/>
      </c>
      <c r="U1988" s="8" t="str">
        <f aca="false">IF(T1988="BYPASS",IF(NOT(ISNUMBER(Q1988)),"PreV_ETB missing","End_tr_balance missing"),IF(T1988="FAIL",IF(AND(ISNUMBER(K1988),ISNUMBER(L1988),ABS(L1988-(K1988-IF(ISNUMBER(N1988),N1988,0)-IF(ISNUMBER(O1988),O1988,0)+IF(ISNUMBER(P1988),P1988,0)))&lt;=Summary!$B$2),"Passes using beginning_balance - PreV_ETB differs from beginning_balance",IF(AND(ISNUMBER(O1988),O1988&lt;0,ABS(L1988-(Q1988-IF(ISNUMBER(N1988),N1988,0)+IF(ISNUMBER(P1988),P1988,0)))&lt;=Summary!$B$2),"Negative realized loss not applied - check sign",IF(R1988&lt;0,"Principal paid exceeds prior balance",IF(AND(L1988&gt;Q1988,NOT(ISNUMBER(P1988))),"Balance increased but no Deferred_interest reported",IF(L1988&gt;R1988,"Reported balance higher than expected (missing increase/OC build)","Reported balance lower than expected (missing decrease)"))))),""))</f>
        <v/>
      </c>
    </row>
    <row r="1989" customFormat="false" ht="15" hidden="false" customHeight="false" outlineLevel="0" collapsed="false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9"/>
      <c r="L1989" s="9"/>
      <c r="M1989" s="9"/>
      <c r="N1989" s="9"/>
      <c r="O1989" s="9"/>
      <c r="P1989" s="9"/>
      <c r="Q1989" s="9"/>
      <c r="R1989" s="9" t="str">
        <f aca="false">IF(AND(A1989&lt;&gt;"",ISNUMBER(Q1989),ISNUMBER(L1989)),ROUND(Q1989-IF(ISNUMBER(N1989),N1989,0)-IF(ISNUMBER(O1989),O1989,0)+IF(ISNUMBER(P1989),P1989,0),2),"")</f>
        <v/>
      </c>
      <c r="S1989" s="9" t="str">
        <f aca="false">IF(R1989="","",ROUND(L1989-R1989,2))</f>
        <v/>
      </c>
      <c r="T1989" s="8" t="str">
        <f aca="false">IF(A1989="","",IF(S1989="","BYPASS",IF(ABS(S1989)&lt;=Summary!$B$2,"PASS","FAIL")))</f>
        <v/>
      </c>
      <c r="U1989" s="8" t="str">
        <f aca="false">IF(T1989="BYPASS",IF(NOT(ISNUMBER(Q1989)),"PreV_ETB missing","End_tr_balance missing"),IF(T1989="FAIL",IF(AND(ISNUMBER(K1989),ISNUMBER(L1989),ABS(L1989-(K1989-IF(ISNUMBER(N1989),N1989,0)-IF(ISNUMBER(O1989),O1989,0)+IF(ISNUMBER(P1989),P1989,0)))&lt;=Summary!$B$2),"Passes using beginning_balance - PreV_ETB differs from beginning_balance",IF(AND(ISNUMBER(O1989),O1989&lt;0,ABS(L1989-(Q1989-IF(ISNUMBER(N1989),N1989,0)+IF(ISNUMBER(P1989),P1989,0)))&lt;=Summary!$B$2),"Negative realized loss not applied - check sign",IF(R1989&lt;0,"Principal paid exceeds prior balance",IF(AND(L1989&gt;Q1989,NOT(ISNUMBER(P1989))),"Balance increased but no Deferred_interest reported",IF(L1989&gt;R1989,"Reported balance higher than expected (missing increase/OC build)","Reported balance lower than expected (missing decrease)"))))),""))</f>
        <v/>
      </c>
    </row>
    <row r="1990" customFormat="false" ht="15" hidden="false" customHeight="false" outlineLevel="0" collapsed="false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9"/>
      <c r="L1990" s="9"/>
      <c r="M1990" s="9"/>
      <c r="N1990" s="9"/>
      <c r="O1990" s="9"/>
      <c r="P1990" s="9"/>
      <c r="Q1990" s="9"/>
      <c r="R1990" s="9" t="str">
        <f aca="false">IF(AND(A1990&lt;&gt;"",ISNUMBER(Q1990),ISNUMBER(L1990)),ROUND(Q1990-IF(ISNUMBER(N1990),N1990,0)-IF(ISNUMBER(O1990),O1990,0)+IF(ISNUMBER(P1990),P1990,0),2),"")</f>
        <v/>
      </c>
      <c r="S1990" s="9" t="str">
        <f aca="false">IF(R1990="","",ROUND(L1990-R1990,2))</f>
        <v/>
      </c>
      <c r="T1990" s="8" t="str">
        <f aca="false">IF(A1990="","",IF(S1990="","BYPASS",IF(ABS(S1990)&lt;=Summary!$B$2,"PASS","FAIL")))</f>
        <v/>
      </c>
      <c r="U1990" s="8" t="str">
        <f aca="false">IF(T1990="BYPASS",IF(NOT(ISNUMBER(Q1990)),"PreV_ETB missing","End_tr_balance missing"),IF(T1990="FAIL",IF(AND(ISNUMBER(K1990),ISNUMBER(L1990),ABS(L1990-(K1990-IF(ISNUMBER(N1990),N1990,0)-IF(ISNUMBER(O1990),O1990,0)+IF(ISNUMBER(P1990),P1990,0)))&lt;=Summary!$B$2),"Passes using beginning_balance - PreV_ETB differs from beginning_balance",IF(AND(ISNUMBER(O1990),O1990&lt;0,ABS(L1990-(Q1990-IF(ISNUMBER(N1990),N1990,0)+IF(ISNUMBER(P1990),P1990,0)))&lt;=Summary!$B$2),"Negative realized loss not applied - check sign",IF(R1990&lt;0,"Principal paid exceeds prior balance",IF(AND(L1990&gt;Q1990,NOT(ISNUMBER(P1990))),"Balance increased but no Deferred_interest reported",IF(L1990&gt;R1990,"Reported balance higher than expected (missing increase/OC build)","Reported balance lower than expected (missing decrease)"))))),""))</f>
        <v/>
      </c>
    </row>
    <row r="1991" customFormat="false" ht="15" hidden="false" customHeight="false" outlineLevel="0" collapsed="false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9"/>
      <c r="L1991" s="9"/>
      <c r="M1991" s="9"/>
      <c r="N1991" s="9"/>
      <c r="O1991" s="9"/>
      <c r="P1991" s="9"/>
      <c r="Q1991" s="9"/>
      <c r="R1991" s="9" t="str">
        <f aca="false">IF(AND(A1991&lt;&gt;"",ISNUMBER(Q1991),ISNUMBER(L1991)),ROUND(Q1991-IF(ISNUMBER(N1991),N1991,0)-IF(ISNUMBER(O1991),O1991,0)+IF(ISNUMBER(P1991),P1991,0),2),"")</f>
        <v/>
      </c>
      <c r="S1991" s="9" t="str">
        <f aca="false">IF(R1991="","",ROUND(L1991-R1991,2))</f>
        <v/>
      </c>
      <c r="T1991" s="8" t="str">
        <f aca="false">IF(A1991="","",IF(S1991="","BYPASS",IF(ABS(S1991)&lt;=Summary!$B$2,"PASS","FAIL")))</f>
        <v/>
      </c>
      <c r="U1991" s="8" t="str">
        <f aca="false">IF(T1991="BYPASS",IF(NOT(ISNUMBER(Q1991)),"PreV_ETB missing","End_tr_balance missing"),IF(T1991="FAIL",IF(AND(ISNUMBER(K1991),ISNUMBER(L1991),ABS(L1991-(K1991-IF(ISNUMBER(N1991),N1991,0)-IF(ISNUMBER(O1991),O1991,0)+IF(ISNUMBER(P1991),P1991,0)))&lt;=Summary!$B$2),"Passes using beginning_balance - PreV_ETB differs from beginning_balance",IF(AND(ISNUMBER(O1991),O1991&lt;0,ABS(L1991-(Q1991-IF(ISNUMBER(N1991),N1991,0)+IF(ISNUMBER(P1991),P1991,0)))&lt;=Summary!$B$2),"Negative realized loss not applied - check sign",IF(R1991&lt;0,"Principal paid exceeds prior balance",IF(AND(L1991&gt;Q1991,NOT(ISNUMBER(P1991))),"Balance increased but no Deferred_interest reported",IF(L1991&gt;R1991,"Reported balance higher than expected (missing increase/OC build)","Reported balance lower than expected (missing decrease)"))))),""))</f>
        <v/>
      </c>
    </row>
    <row r="1992" customFormat="false" ht="15" hidden="false" customHeight="false" outlineLevel="0" collapsed="false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9"/>
      <c r="L1992" s="9"/>
      <c r="M1992" s="9"/>
      <c r="N1992" s="9"/>
      <c r="O1992" s="9"/>
      <c r="P1992" s="9"/>
      <c r="Q1992" s="9"/>
      <c r="R1992" s="9" t="str">
        <f aca="false">IF(AND(A1992&lt;&gt;"",ISNUMBER(Q1992),ISNUMBER(L1992)),ROUND(Q1992-IF(ISNUMBER(N1992),N1992,0)-IF(ISNUMBER(O1992),O1992,0)+IF(ISNUMBER(P1992),P1992,0),2),"")</f>
        <v/>
      </c>
      <c r="S1992" s="9" t="str">
        <f aca="false">IF(R1992="","",ROUND(L1992-R1992,2))</f>
        <v/>
      </c>
      <c r="T1992" s="8" t="str">
        <f aca="false">IF(A1992="","",IF(S1992="","BYPASS",IF(ABS(S1992)&lt;=Summary!$B$2,"PASS","FAIL")))</f>
        <v/>
      </c>
      <c r="U1992" s="8" t="str">
        <f aca="false">IF(T1992="BYPASS",IF(NOT(ISNUMBER(Q1992)),"PreV_ETB missing","End_tr_balance missing"),IF(T1992="FAIL",IF(AND(ISNUMBER(K1992),ISNUMBER(L1992),ABS(L1992-(K1992-IF(ISNUMBER(N1992),N1992,0)-IF(ISNUMBER(O1992),O1992,0)+IF(ISNUMBER(P1992),P1992,0)))&lt;=Summary!$B$2),"Passes using beginning_balance - PreV_ETB differs from beginning_balance",IF(AND(ISNUMBER(O1992),O1992&lt;0,ABS(L1992-(Q1992-IF(ISNUMBER(N1992),N1992,0)+IF(ISNUMBER(P1992),P1992,0)))&lt;=Summary!$B$2),"Negative realized loss not applied - check sign",IF(R1992&lt;0,"Principal paid exceeds prior balance",IF(AND(L1992&gt;Q1992,NOT(ISNUMBER(P1992))),"Balance increased but no Deferred_interest reported",IF(L1992&gt;R1992,"Reported balance higher than expected (missing increase/OC build)","Reported balance lower than expected (missing decrease)"))))),""))</f>
        <v/>
      </c>
    </row>
    <row r="1993" customFormat="false" ht="15" hidden="false" customHeight="false" outlineLevel="0" collapsed="false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9"/>
      <c r="L1993" s="9"/>
      <c r="M1993" s="9"/>
      <c r="N1993" s="9"/>
      <c r="O1993" s="9"/>
      <c r="P1993" s="9"/>
      <c r="Q1993" s="9"/>
      <c r="R1993" s="9" t="str">
        <f aca="false">IF(AND(A1993&lt;&gt;"",ISNUMBER(Q1993),ISNUMBER(L1993)),ROUND(Q1993-IF(ISNUMBER(N1993),N1993,0)-IF(ISNUMBER(O1993),O1993,0)+IF(ISNUMBER(P1993),P1993,0),2),"")</f>
        <v/>
      </c>
      <c r="S1993" s="9" t="str">
        <f aca="false">IF(R1993="","",ROUND(L1993-R1993,2))</f>
        <v/>
      </c>
      <c r="T1993" s="8" t="str">
        <f aca="false">IF(A1993="","",IF(S1993="","BYPASS",IF(ABS(S1993)&lt;=Summary!$B$2,"PASS","FAIL")))</f>
        <v/>
      </c>
      <c r="U1993" s="8" t="str">
        <f aca="false">IF(T1993="BYPASS",IF(NOT(ISNUMBER(Q1993)),"PreV_ETB missing","End_tr_balance missing"),IF(T1993="FAIL",IF(AND(ISNUMBER(K1993),ISNUMBER(L1993),ABS(L1993-(K1993-IF(ISNUMBER(N1993),N1993,0)-IF(ISNUMBER(O1993),O1993,0)+IF(ISNUMBER(P1993),P1993,0)))&lt;=Summary!$B$2),"Passes using beginning_balance - PreV_ETB differs from beginning_balance",IF(AND(ISNUMBER(O1993),O1993&lt;0,ABS(L1993-(Q1993-IF(ISNUMBER(N1993),N1993,0)+IF(ISNUMBER(P1993),P1993,0)))&lt;=Summary!$B$2),"Negative realized loss not applied - check sign",IF(R1993&lt;0,"Principal paid exceeds prior balance",IF(AND(L1993&gt;Q1993,NOT(ISNUMBER(P1993))),"Balance increased but no Deferred_interest reported",IF(L1993&gt;R1993,"Reported balance higher than expected (missing increase/OC build)","Reported balance lower than expected (missing decrease)"))))),""))</f>
        <v/>
      </c>
    </row>
    <row r="1994" customFormat="false" ht="15" hidden="false" customHeight="false" outlineLevel="0" collapsed="false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9"/>
      <c r="L1994" s="9"/>
      <c r="M1994" s="9"/>
      <c r="N1994" s="9"/>
      <c r="O1994" s="9"/>
      <c r="P1994" s="9"/>
      <c r="Q1994" s="9"/>
      <c r="R1994" s="9" t="str">
        <f aca="false">IF(AND(A1994&lt;&gt;"",ISNUMBER(Q1994),ISNUMBER(L1994)),ROUND(Q1994-IF(ISNUMBER(N1994),N1994,0)-IF(ISNUMBER(O1994),O1994,0)+IF(ISNUMBER(P1994),P1994,0),2),"")</f>
        <v/>
      </c>
      <c r="S1994" s="9" t="str">
        <f aca="false">IF(R1994="","",ROUND(L1994-R1994,2))</f>
        <v/>
      </c>
      <c r="T1994" s="8" t="str">
        <f aca="false">IF(A1994="","",IF(S1994="","BYPASS",IF(ABS(S1994)&lt;=Summary!$B$2,"PASS","FAIL")))</f>
        <v/>
      </c>
      <c r="U1994" s="8" t="str">
        <f aca="false">IF(T1994="BYPASS",IF(NOT(ISNUMBER(Q1994)),"PreV_ETB missing","End_tr_balance missing"),IF(T1994="FAIL",IF(AND(ISNUMBER(K1994),ISNUMBER(L1994),ABS(L1994-(K1994-IF(ISNUMBER(N1994),N1994,0)-IF(ISNUMBER(O1994),O1994,0)+IF(ISNUMBER(P1994),P1994,0)))&lt;=Summary!$B$2),"Passes using beginning_balance - PreV_ETB differs from beginning_balance",IF(AND(ISNUMBER(O1994),O1994&lt;0,ABS(L1994-(Q1994-IF(ISNUMBER(N1994),N1994,0)+IF(ISNUMBER(P1994),P1994,0)))&lt;=Summary!$B$2),"Negative realized loss not applied - check sign",IF(R1994&lt;0,"Principal paid exceeds prior balance",IF(AND(L1994&gt;Q1994,NOT(ISNUMBER(P1994))),"Balance increased but no Deferred_interest reported",IF(L1994&gt;R1994,"Reported balance higher than expected (missing increase/OC build)","Reported balance lower than expected (missing decrease)"))))),""))</f>
        <v/>
      </c>
    </row>
    <row r="1995" customFormat="false" ht="15" hidden="false" customHeight="false" outlineLevel="0" collapsed="false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9"/>
      <c r="L1995" s="9"/>
      <c r="M1995" s="9"/>
      <c r="N1995" s="9"/>
      <c r="O1995" s="9"/>
      <c r="P1995" s="9"/>
      <c r="Q1995" s="9"/>
      <c r="R1995" s="9" t="str">
        <f aca="false">IF(AND(A1995&lt;&gt;"",ISNUMBER(Q1995),ISNUMBER(L1995)),ROUND(Q1995-IF(ISNUMBER(N1995),N1995,0)-IF(ISNUMBER(O1995),O1995,0)+IF(ISNUMBER(P1995),P1995,0),2),"")</f>
        <v/>
      </c>
      <c r="S1995" s="9" t="str">
        <f aca="false">IF(R1995="","",ROUND(L1995-R1995,2))</f>
        <v/>
      </c>
      <c r="T1995" s="8" t="str">
        <f aca="false">IF(A1995="","",IF(S1995="","BYPASS",IF(ABS(S1995)&lt;=Summary!$B$2,"PASS","FAIL")))</f>
        <v/>
      </c>
      <c r="U1995" s="8" t="str">
        <f aca="false">IF(T1995="BYPASS",IF(NOT(ISNUMBER(Q1995)),"PreV_ETB missing","End_tr_balance missing"),IF(T1995="FAIL",IF(AND(ISNUMBER(K1995),ISNUMBER(L1995),ABS(L1995-(K1995-IF(ISNUMBER(N1995),N1995,0)-IF(ISNUMBER(O1995),O1995,0)+IF(ISNUMBER(P1995),P1995,0)))&lt;=Summary!$B$2),"Passes using beginning_balance - PreV_ETB differs from beginning_balance",IF(AND(ISNUMBER(O1995),O1995&lt;0,ABS(L1995-(Q1995-IF(ISNUMBER(N1995),N1995,0)+IF(ISNUMBER(P1995),P1995,0)))&lt;=Summary!$B$2),"Negative realized loss not applied - check sign",IF(R1995&lt;0,"Principal paid exceeds prior balance",IF(AND(L1995&gt;Q1995,NOT(ISNUMBER(P1995))),"Balance increased but no Deferred_interest reported",IF(L1995&gt;R1995,"Reported balance higher than expected (missing increase/OC build)","Reported balance lower than expected (missing decrease)"))))),""))</f>
        <v/>
      </c>
    </row>
    <row r="1996" customFormat="false" ht="15" hidden="false" customHeight="false" outlineLevel="0" collapsed="false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9"/>
      <c r="L1996" s="9"/>
      <c r="M1996" s="9"/>
      <c r="N1996" s="9"/>
      <c r="O1996" s="9"/>
      <c r="P1996" s="9"/>
      <c r="Q1996" s="9"/>
      <c r="R1996" s="9" t="str">
        <f aca="false">IF(AND(A1996&lt;&gt;"",ISNUMBER(Q1996),ISNUMBER(L1996)),ROUND(Q1996-IF(ISNUMBER(N1996),N1996,0)-IF(ISNUMBER(O1996),O1996,0)+IF(ISNUMBER(P1996),P1996,0),2),"")</f>
        <v/>
      </c>
      <c r="S1996" s="9" t="str">
        <f aca="false">IF(R1996="","",ROUND(L1996-R1996,2))</f>
        <v/>
      </c>
      <c r="T1996" s="8" t="str">
        <f aca="false">IF(A1996="","",IF(S1996="","BYPASS",IF(ABS(S1996)&lt;=Summary!$B$2,"PASS","FAIL")))</f>
        <v/>
      </c>
      <c r="U1996" s="8" t="str">
        <f aca="false">IF(T1996="BYPASS",IF(NOT(ISNUMBER(Q1996)),"PreV_ETB missing","End_tr_balance missing"),IF(T1996="FAIL",IF(AND(ISNUMBER(K1996),ISNUMBER(L1996),ABS(L1996-(K1996-IF(ISNUMBER(N1996),N1996,0)-IF(ISNUMBER(O1996),O1996,0)+IF(ISNUMBER(P1996),P1996,0)))&lt;=Summary!$B$2),"Passes using beginning_balance - PreV_ETB differs from beginning_balance",IF(AND(ISNUMBER(O1996),O1996&lt;0,ABS(L1996-(Q1996-IF(ISNUMBER(N1996),N1996,0)+IF(ISNUMBER(P1996),P1996,0)))&lt;=Summary!$B$2),"Negative realized loss not applied - check sign",IF(R1996&lt;0,"Principal paid exceeds prior balance",IF(AND(L1996&gt;Q1996,NOT(ISNUMBER(P1996))),"Balance increased but no Deferred_interest reported",IF(L1996&gt;R1996,"Reported balance higher than expected (missing increase/OC build)","Reported balance lower than expected (missing decrease)"))))),""))</f>
        <v/>
      </c>
    </row>
    <row r="1997" customFormat="false" ht="15" hidden="false" customHeight="false" outlineLevel="0" collapsed="false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9"/>
      <c r="L1997" s="9"/>
      <c r="M1997" s="9"/>
      <c r="N1997" s="9"/>
      <c r="O1997" s="9"/>
      <c r="P1997" s="9"/>
      <c r="Q1997" s="9"/>
      <c r="R1997" s="9" t="str">
        <f aca="false">IF(AND(A1997&lt;&gt;"",ISNUMBER(Q1997),ISNUMBER(L1997)),ROUND(Q1997-IF(ISNUMBER(N1997),N1997,0)-IF(ISNUMBER(O1997),O1997,0)+IF(ISNUMBER(P1997),P1997,0),2),"")</f>
        <v/>
      </c>
      <c r="S1997" s="9" t="str">
        <f aca="false">IF(R1997="","",ROUND(L1997-R1997,2))</f>
        <v/>
      </c>
      <c r="T1997" s="8" t="str">
        <f aca="false">IF(A1997="","",IF(S1997="","BYPASS",IF(ABS(S1997)&lt;=Summary!$B$2,"PASS","FAIL")))</f>
        <v/>
      </c>
      <c r="U1997" s="8" t="str">
        <f aca="false">IF(T1997="BYPASS",IF(NOT(ISNUMBER(Q1997)),"PreV_ETB missing","End_tr_balance missing"),IF(T1997="FAIL",IF(AND(ISNUMBER(K1997),ISNUMBER(L1997),ABS(L1997-(K1997-IF(ISNUMBER(N1997),N1997,0)-IF(ISNUMBER(O1997),O1997,0)+IF(ISNUMBER(P1997),P1997,0)))&lt;=Summary!$B$2),"Passes using beginning_balance - PreV_ETB differs from beginning_balance",IF(AND(ISNUMBER(O1997),O1997&lt;0,ABS(L1997-(Q1997-IF(ISNUMBER(N1997),N1997,0)+IF(ISNUMBER(P1997),P1997,0)))&lt;=Summary!$B$2),"Negative realized loss not applied - check sign",IF(R1997&lt;0,"Principal paid exceeds prior balance",IF(AND(L1997&gt;Q1997,NOT(ISNUMBER(P1997))),"Balance increased but no Deferred_interest reported",IF(L1997&gt;R1997,"Reported balance higher than expected (missing increase/OC build)","Reported balance lower than expected (missing decrease)"))))),""))</f>
        <v/>
      </c>
    </row>
    <row r="1998" customFormat="false" ht="15" hidden="false" customHeight="false" outlineLevel="0" collapsed="false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9"/>
      <c r="L1998" s="9"/>
      <c r="M1998" s="9"/>
      <c r="N1998" s="9"/>
      <c r="O1998" s="9"/>
      <c r="P1998" s="9"/>
      <c r="Q1998" s="9"/>
      <c r="R1998" s="9" t="str">
        <f aca="false">IF(AND(A1998&lt;&gt;"",ISNUMBER(Q1998),ISNUMBER(L1998)),ROUND(Q1998-IF(ISNUMBER(N1998),N1998,0)-IF(ISNUMBER(O1998),O1998,0)+IF(ISNUMBER(P1998),P1998,0),2),"")</f>
        <v/>
      </c>
      <c r="S1998" s="9" t="str">
        <f aca="false">IF(R1998="","",ROUND(L1998-R1998,2))</f>
        <v/>
      </c>
      <c r="T1998" s="8" t="str">
        <f aca="false">IF(A1998="","",IF(S1998="","BYPASS",IF(ABS(S1998)&lt;=Summary!$B$2,"PASS","FAIL")))</f>
        <v/>
      </c>
      <c r="U1998" s="8" t="str">
        <f aca="false">IF(T1998="BYPASS",IF(NOT(ISNUMBER(Q1998)),"PreV_ETB missing","End_tr_balance missing"),IF(T1998="FAIL",IF(AND(ISNUMBER(K1998),ISNUMBER(L1998),ABS(L1998-(K1998-IF(ISNUMBER(N1998),N1998,0)-IF(ISNUMBER(O1998),O1998,0)+IF(ISNUMBER(P1998),P1998,0)))&lt;=Summary!$B$2),"Passes using beginning_balance - PreV_ETB differs from beginning_balance",IF(AND(ISNUMBER(O1998),O1998&lt;0,ABS(L1998-(Q1998-IF(ISNUMBER(N1998),N1998,0)+IF(ISNUMBER(P1998),P1998,0)))&lt;=Summary!$B$2),"Negative realized loss not applied - check sign",IF(R1998&lt;0,"Principal paid exceeds prior balance",IF(AND(L1998&gt;Q1998,NOT(ISNUMBER(P1998))),"Balance increased but no Deferred_interest reported",IF(L1998&gt;R1998,"Reported balance higher than expected (missing increase/OC build)","Reported balance lower than expected (missing decrease)"))))),""))</f>
        <v/>
      </c>
    </row>
    <row r="1999" customFormat="false" ht="15" hidden="false" customHeight="false" outlineLevel="0" collapsed="false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9"/>
      <c r="L1999" s="9"/>
      <c r="M1999" s="9"/>
      <c r="N1999" s="9"/>
      <c r="O1999" s="9"/>
      <c r="P1999" s="9"/>
      <c r="Q1999" s="9"/>
      <c r="R1999" s="9" t="str">
        <f aca="false">IF(AND(A1999&lt;&gt;"",ISNUMBER(Q1999),ISNUMBER(L1999)),ROUND(Q1999-IF(ISNUMBER(N1999),N1999,0)-IF(ISNUMBER(O1999),O1999,0)+IF(ISNUMBER(P1999),P1999,0),2),"")</f>
        <v/>
      </c>
      <c r="S1999" s="9" t="str">
        <f aca="false">IF(R1999="","",ROUND(L1999-R1999,2))</f>
        <v/>
      </c>
      <c r="T1999" s="8" t="str">
        <f aca="false">IF(A1999="","",IF(S1999="","BYPASS",IF(ABS(S1999)&lt;=Summary!$B$2,"PASS","FAIL")))</f>
        <v/>
      </c>
      <c r="U1999" s="8" t="str">
        <f aca="false">IF(T1999="BYPASS",IF(NOT(ISNUMBER(Q1999)),"PreV_ETB missing","End_tr_balance missing"),IF(T1999="FAIL",IF(AND(ISNUMBER(K1999),ISNUMBER(L1999),ABS(L1999-(K1999-IF(ISNUMBER(N1999),N1999,0)-IF(ISNUMBER(O1999),O1999,0)+IF(ISNUMBER(P1999),P1999,0)))&lt;=Summary!$B$2),"Passes using beginning_balance - PreV_ETB differs from beginning_balance",IF(AND(ISNUMBER(O1999),O1999&lt;0,ABS(L1999-(Q1999-IF(ISNUMBER(N1999),N1999,0)+IF(ISNUMBER(P1999),P1999,0)))&lt;=Summary!$B$2),"Negative realized loss not applied - check sign",IF(R1999&lt;0,"Principal paid exceeds prior balance",IF(AND(L1999&gt;Q1999,NOT(ISNUMBER(P1999))),"Balance increased but no Deferred_interest reported",IF(L1999&gt;R1999,"Reported balance higher than expected (missing increase/OC build)","Reported balance lower than expected (missing decrease)"))))),""))</f>
        <v/>
      </c>
    </row>
    <row r="2000" customFormat="false" ht="15" hidden="false" customHeight="false" outlineLevel="0" collapsed="false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9"/>
      <c r="L2000" s="9"/>
      <c r="M2000" s="9"/>
      <c r="N2000" s="9"/>
      <c r="O2000" s="9"/>
      <c r="P2000" s="9"/>
      <c r="Q2000" s="9"/>
      <c r="R2000" s="9" t="str">
        <f aca="false">IF(AND(A2000&lt;&gt;"",ISNUMBER(Q2000),ISNUMBER(L2000)),ROUND(Q2000-IF(ISNUMBER(N2000),N2000,0)-IF(ISNUMBER(O2000),O2000,0)+IF(ISNUMBER(P2000),P2000,0),2),"")</f>
        <v/>
      </c>
      <c r="S2000" s="9" t="str">
        <f aca="false">IF(R2000="","",ROUND(L2000-R2000,2))</f>
        <v/>
      </c>
      <c r="T2000" s="8" t="str">
        <f aca="false">IF(A2000="","",IF(S2000="","BYPASS",IF(ABS(S2000)&lt;=Summary!$B$2,"PASS","FAIL")))</f>
        <v/>
      </c>
      <c r="U2000" s="8" t="str">
        <f aca="false">IF(T2000="BYPASS",IF(NOT(ISNUMBER(Q2000)),"PreV_ETB missing","End_tr_balance missing"),IF(T2000="FAIL",IF(AND(ISNUMBER(K2000),ISNUMBER(L2000),ABS(L2000-(K2000-IF(ISNUMBER(N2000),N2000,0)-IF(ISNUMBER(O2000),O2000,0)+IF(ISNUMBER(P2000),P2000,0)))&lt;=Summary!$B$2),"Passes using beginning_balance - PreV_ETB differs from beginning_balance",IF(AND(ISNUMBER(O2000),O2000&lt;0,ABS(L2000-(Q2000-IF(ISNUMBER(N2000),N2000,0)+IF(ISNUMBER(P2000),P2000,0)))&lt;=Summary!$B$2),"Negative realized loss not applied - check sign",IF(R2000&lt;0,"Principal paid exceeds prior balance",IF(AND(L2000&gt;Q2000,NOT(ISNUMBER(P2000))),"Balance increased but no Deferred_interest reported",IF(L2000&gt;R2000,"Reported balance higher than expected (missing increase/OC build)","Reported balance lower than expected (missing decrease)"))))),""))</f>
        <v/>
      </c>
    </row>
    <row r="2001" customFormat="false" ht="15" hidden="false" customHeight="false" outlineLevel="0" collapsed="false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9"/>
      <c r="L2001" s="9"/>
      <c r="M2001" s="9"/>
      <c r="N2001" s="9"/>
      <c r="O2001" s="9"/>
      <c r="P2001" s="9"/>
      <c r="Q2001" s="9"/>
      <c r="R2001" s="9" t="str">
        <f aca="false">IF(AND(A2001&lt;&gt;"",ISNUMBER(Q2001),ISNUMBER(L2001)),ROUND(Q2001-IF(ISNUMBER(N2001),N2001,0)-IF(ISNUMBER(O2001),O2001,0)+IF(ISNUMBER(P2001),P2001,0),2),"")</f>
        <v/>
      </c>
      <c r="S2001" s="9" t="str">
        <f aca="false">IF(R2001="","",ROUND(L2001-R2001,2))</f>
        <v/>
      </c>
      <c r="T2001" s="8" t="str">
        <f aca="false">IF(A2001="","",IF(S2001="","BYPASS",IF(ABS(S2001)&lt;=Summary!$B$2,"PASS","FAIL")))</f>
        <v/>
      </c>
      <c r="U2001" s="8" t="str">
        <f aca="false">IF(T2001="BYPASS",IF(NOT(ISNUMBER(Q2001)),"PreV_ETB missing","End_tr_balance missing"),IF(T2001="FAIL",IF(AND(ISNUMBER(K2001),ISNUMBER(L2001),ABS(L2001-(K2001-IF(ISNUMBER(N2001),N2001,0)-IF(ISNUMBER(O2001),O2001,0)+IF(ISNUMBER(P2001),P2001,0)))&lt;=Summary!$B$2),"Passes using beginning_balance - PreV_ETB differs from beginning_balance",IF(AND(ISNUMBER(O2001),O2001&lt;0,ABS(L2001-(Q2001-IF(ISNUMBER(N2001),N2001,0)+IF(ISNUMBER(P2001),P2001,0)))&lt;=Summary!$B$2),"Negative realized loss not applied - check sign",IF(R2001&lt;0,"Principal paid exceeds prior balance",IF(AND(L2001&gt;Q2001,NOT(ISNUMBER(P2001))),"Balance increased but no Deferred_interest reported",IF(L2001&gt;R2001,"Reported balance higher than expected (missing increase/OC build)","Reported balance lower than expected (missing decrease)"))))),""))</f>
        <v/>
      </c>
    </row>
    <row r="2002" customFormat="false" ht="15" hidden="false" customHeight="false" outlineLevel="0" collapsed="false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9"/>
      <c r="L2002" s="9"/>
      <c r="M2002" s="9"/>
      <c r="N2002" s="9"/>
      <c r="O2002" s="9"/>
      <c r="P2002" s="9"/>
      <c r="Q2002" s="9"/>
      <c r="R2002" s="9" t="str">
        <f aca="false">IF(AND(A2002&lt;&gt;"",ISNUMBER(Q2002),ISNUMBER(L2002)),ROUND(Q2002-IF(ISNUMBER(N2002),N2002,0)-IF(ISNUMBER(O2002),O2002,0)+IF(ISNUMBER(P2002),P2002,0),2),"")</f>
        <v/>
      </c>
      <c r="S2002" s="9" t="str">
        <f aca="false">IF(R2002="","",ROUND(L2002-R2002,2))</f>
        <v/>
      </c>
      <c r="T2002" s="8" t="str">
        <f aca="false">IF(A2002="","",IF(S2002="","BYPASS",IF(ABS(S2002)&lt;=Summary!$B$2,"PASS","FAIL")))</f>
        <v/>
      </c>
      <c r="U2002" s="8" t="str">
        <f aca="false">IF(T2002="BYPASS",IF(NOT(ISNUMBER(Q2002)),"PreV_ETB missing","End_tr_balance missing"),IF(T2002="FAIL",IF(AND(ISNUMBER(K2002),ISNUMBER(L2002),ABS(L2002-(K2002-IF(ISNUMBER(N2002),N2002,0)-IF(ISNUMBER(O2002),O2002,0)+IF(ISNUMBER(P2002),P2002,0)))&lt;=Summary!$B$2),"Passes using beginning_balance - PreV_ETB differs from beginning_balance",IF(AND(ISNUMBER(O2002),O2002&lt;0,ABS(L2002-(Q2002-IF(ISNUMBER(N2002),N2002,0)+IF(ISNUMBER(P2002),P2002,0)))&lt;=Summary!$B$2),"Negative realized loss not applied - check sign",IF(R2002&lt;0,"Principal paid exceeds prior balance",IF(AND(L2002&gt;Q2002,NOT(ISNUMBER(P2002))),"Balance increased but no Deferred_interest reported",IF(L2002&gt;R2002,"Reported balance higher than expected (missing increase/OC build)","Reported balance lower than expected (missing decrease)"))))),""))</f>
        <v/>
      </c>
    </row>
    <row r="2003" customFormat="false" ht="15" hidden="false" customHeight="false" outlineLevel="0" collapsed="false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9"/>
      <c r="L2003" s="9"/>
      <c r="M2003" s="9"/>
      <c r="N2003" s="9"/>
      <c r="O2003" s="9"/>
      <c r="P2003" s="9"/>
      <c r="Q2003" s="9"/>
      <c r="R2003" s="9" t="str">
        <f aca="false">IF(AND(A2003&lt;&gt;"",ISNUMBER(Q2003),ISNUMBER(L2003)),ROUND(Q2003-IF(ISNUMBER(N2003),N2003,0)-IF(ISNUMBER(O2003),O2003,0)+IF(ISNUMBER(P2003),P2003,0),2),"")</f>
        <v/>
      </c>
      <c r="S2003" s="9" t="str">
        <f aca="false">IF(R2003="","",ROUND(L2003-R2003,2))</f>
        <v/>
      </c>
      <c r="T2003" s="8" t="str">
        <f aca="false">IF(A2003="","",IF(S2003="","BYPASS",IF(ABS(S2003)&lt;=Summary!$B$2,"PASS","FAIL")))</f>
        <v/>
      </c>
      <c r="U2003" s="8" t="str">
        <f aca="false">IF(T2003="BYPASS",IF(NOT(ISNUMBER(Q2003)),"PreV_ETB missing","End_tr_balance missing"),IF(T2003="FAIL",IF(AND(ISNUMBER(K2003),ISNUMBER(L2003),ABS(L2003-(K2003-IF(ISNUMBER(N2003),N2003,0)-IF(ISNUMBER(O2003),O2003,0)+IF(ISNUMBER(P2003),P2003,0)))&lt;=Summary!$B$2),"Passes using beginning_balance - PreV_ETB differs from beginning_balance",IF(AND(ISNUMBER(O2003),O2003&lt;0,ABS(L2003-(Q2003-IF(ISNUMBER(N2003),N2003,0)+IF(ISNUMBER(P2003),P2003,0)))&lt;=Summary!$B$2),"Negative realized loss not applied - check sign",IF(R2003&lt;0,"Principal paid exceeds prior balance",IF(AND(L2003&gt;Q2003,NOT(ISNUMBER(P2003))),"Balance increased but no Deferred_interest reported",IF(L2003&gt;R2003,"Reported balance higher than expected (missing increase/OC build)","Reported balance lower than expected (missing decrease)"))))),""))</f>
        <v/>
      </c>
    </row>
    <row r="2004" customFormat="false" ht="15" hidden="false" customHeight="false" outlineLevel="0" collapsed="false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9"/>
      <c r="L2004" s="9"/>
      <c r="M2004" s="9"/>
      <c r="N2004" s="9"/>
      <c r="O2004" s="9"/>
      <c r="P2004" s="9"/>
      <c r="Q2004" s="9"/>
      <c r="R2004" s="9" t="str">
        <f aca="false">IF(AND(A2004&lt;&gt;"",ISNUMBER(Q2004),ISNUMBER(L2004)),ROUND(Q2004-IF(ISNUMBER(N2004),N2004,0)-IF(ISNUMBER(O2004),O2004,0)+IF(ISNUMBER(P2004),P2004,0),2),"")</f>
        <v/>
      </c>
      <c r="S2004" s="9" t="str">
        <f aca="false">IF(R2004="","",ROUND(L2004-R2004,2))</f>
        <v/>
      </c>
      <c r="T2004" s="8" t="str">
        <f aca="false">IF(A2004="","",IF(S2004="","BYPASS",IF(ABS(S2004)&lt;=Summary!$B$2,"PASS","FAIL")))</f>
        <v/>
      </c>
      <c r="U2004" s="8" t="str">
        <f aca="false">IF(T2004="BYPASS",IF(NOT(ISNUMBER(Q2004)),"PreV_ETB missing","End_tr_balance missing"),IF(T2004="FAIL",IF(AND(ISNUMBER(K2004),ISNUMBER(L2004),ABS(L2004-(K2004-IF(ISNUMBER(N2004),N2004,0)-IF(ISNUMBER(O2004),O2004,0)+IF(ISNUMBER(P2004),P2004,0)))&lt;=Summary!$B$2),"Passes using beginning_balance - PreV_ETB differs from beginning_balance",IF(AND(ISNUMBER(O2004),O2004&lt;0,ABS(L2004-(Q2004-IF(ISNUMBER(N2004),N2004,0)+IF(ISNUMBER(P2004),P2004,0)))&lt;=Summary!$B$2),"Negative realized loss not applied - check sign",IF(R2004&lt;0,"Principal paid exceeds prior balance",IF(AND(L2004&gt;Q2004,NOT(ISNUMBER(P2004))),"Balance increased but no Deferred_interest reported",IF(L2004&gt;R2004,"Reported balance higher than expected (missing increase/OC build)","Reported balance lower than expected (missing decrease)"))))),""))</f>
        <v/>
      </c>
    </row>
    <row r="2005" customFormat="false" ht="15" hidden="false" customHeight="false" outlineLevel="0" collapsed="false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9"/>
      <c r="L2005" s="9"/>
      <c r="M2005" s="9"/>
      <c r="N2005" s="9"/>
      <c r="O2005" s="9"/>
      <c r="P2005" s="9"/>
      <c r="Q2005" s="9"/>
      <c r="R2005" s="9" t="str">
        <f aca="false">IF(AND(A2005&lt;&gt;"",ISNUMBER(Q2005),ISNUMBER(L2005)),ROUND(Q2005-IF(ISNUMBER(N2005),N2005,0)-IF(ISNUMBER(O2005),O2005,0)+IF(ISNUMBER(P2005),P2005,0),2),"")</f>
        <v/>
      </c>
      <c r="S2005" s="9" t="str">
        <f aca="false">IF(R2005="","",ROUND(L2005-R2005,2))</f>
        <v/>
      </c>
      <c r="T2005" s="8" t="str">
        <f aca="false">IF(A2005="","",IF(S2005="","BYPASS",IF(ABS(S2005)&lt;=Summary!$B$2,"PASS","FAIL")))</f>
        <v/>
      </c>
      <c r="U2005" s="8" t="str">
        <f aca="false">IF(T2005="BYPASS",IF(NOT(ISNUMBER(Q2005)),"PreV_ETB missing","End_tr_balance missing"),IF(T2005="FAIL",IF(AND(ISNUMBER(K2005),ISNUMBER(L2005),ABS(L2005-(K2005-IF(ISNUMBER(N2005),N2005,0)-IF(ISNUMBER(O2005),O2005,0)+IF(ISNUMBER(P2005),P2005,0)))&lt;=Summary!$B$2),"Passes using beginning_balance - PreV_ETB differs from beginning_balance",IF(AND(ISNUMBER(O2005),O2005&lt;0,ABS(L2005-(Q2005-IF(ISNUMBER(N2005),N2005,0)+IF(ISNUMBER(P2005),P2005,0)))&lt;=Summary!$B$2),"Negative realized loss not applied - check sign",IF(R2005&lt;0,"Principal paid exceeds prior balance",IF(AND(L2005&gt;Q2005,NOT(ISNUMBER(P2005))),"Balance increased but no Deferred_interest reported",IF(L2005&gt;R2005,"Reported balance higher than expected (missing increase/OC build)","Reported balance lower than expected (missing decrease)"))))),""))</f>
        <v/>
      </c>
    </row>
    <row r="2006" customFormat="false" ht="15" hidden="false" customHeight="false" outlineLevel="0" collapsed="false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9"/>
      <c r="L2006" s="9"/>
      <c r="M2006" s="9"/>
      <c r="N2006" s="9"/>
      <c r="O2006" s="9"/>
      <c r="P2006" s="9"/>
      <c r="Q2006" s="9"/>
      <c r="R2006" s="9" t="str">
        <f aca="false">IF(AND(A2006&lt;&gt;"",ISNUMBER(Q2006),ISNUMBER(L2006)),ROUND(Q2006-IF(ISNUMBER(N2006),N2006,0)-IF(ISNUMBER(O2006),O2006,0)+IF(ISNUMBER(P2006),P2006,0),2),"")</f>
        <v/>
      </c>
      <c r="S2006" s="9" t="str">
        <f aca="false">IF(R2006="","",ROUND(L2006-R2006,2))</f>
        <v/>
      </c>
      <c r="T2006" s="8" t="str">
        <f aca="false">IF(A2006="","",IF(S2006="","BYPASS",IF(ABS(S2006)&lt;=Summary!$B$2,"PASS","FAIL")))</f>
        <v/>
      </c>
      <c r="U2006" s="8" t="str">
        <f aca="false">IF(T2006="BYPASS",IF(NOT(ISNUMBER(Q2006)),"PreV_ETB missing","End_tr_balance missing"),IF(T2006="FAIL",IF(AND(ISNUMBER(K2006),ISNUMBER(L2006),ABS(L2006-(K2006-IF(ISNUMBER(N2006),N2006,0)-IF(ISNUMBER(O2006),O2006,0)+IF(ISNUMBER(P2006),P2006,0)))&lt;=Summary!$B$2),"Passes using beginning_balance - PreV_ETB differs from beginning_balance",IF(AND(ISNUMBER(O2006),O2006&lt;0,ABS(L2006-(Q2006-IF(ISNUMBER(N2006),N2006,0)+IF(ISNUMBER(P2006),P2006,0)))&lt;=Summary!$B$2),"Negative realized loss not applied - check sign",IF(R2006&lt;0,"Principal paid exceeds prior balance",IF(AND(L2006&gt;Q2006,NOT(ISNUMBER(P2006))),"Balance increased but no Deferred_interest reported",IF(L2006&gt;R2006,"Reported balance higher than expected (missing increase/OC build)","Reported balance lower than expected (missing decrease)"))))),""))</f>
        <v/>
      </c>
    </row>
    <row r="2007" customFormat="false" ht="15" hidden="false" customHeight="false" outlineLevel="0" collapsed="false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9"/>
      <c r="L2007" s="9"/>
      <c r="M2007" s="9"/>
      <c r="N2007" s="9"/>
      <c r="O2007" s="9"/>
      <c r="P2007" s="9"/>
      <c r="Q2007" s="9"/>
      <c r="R2007" s="9" t="str">
        <f aca="false">IF(AND(A2007&lt;&gt;"",ISNUMBER(Q2007),ISNUMBER(L2007)),ROUND(Q2007-IF(ISNUMBER(N2007),N2007,0)-IF(ISNUMBER(O2007),O2007,0)+IF(ISNUMBER(P2007),P2007,0),2),"")</f>
        <v/>
      </c>
      <c r="S2007" s="9" t="str">
        <f aca="false">IF(R2007="","",ROUND(L2007-R2007,2))</f>
        <v/>
      </c>
      <c r="T2007" s="8" t="str">
        <f aca="false">IF(A2007="","",IF(S2007="","BYPASS",IF(ABS(S2007)&lt;=Summary!$B$2,"PASS","FAIL")))</f>
        <v/>
      </c>
      <c r="U2007" s="8" t="str">
        <f aca="false">IF(T2007="BYPASS",IF(NOT(ISNUMBER(Q2007)),"PreV_ETB missing","End_tr_balance missing"),IF(T2007="FAIL",IF(AND(ISNUMBER(K2007),ISNUMBER(L2007),ABS(L2007-(K2007-IF(ISNUMBER(N2007),N2007,0)-IF(ISNUMBER(O2007),O2007,0)+IF(ISNUMBER(P2007),P2007,0)))&lt;=Summary!$B$2),"Passes using beginning_balance - PreV_ETB differs from beginning_balance",IF(AND(ISNUMBER(O2007),O2007&lt;0,ABS(L2007-(Q2007-IF(ISNUMBER(N2007),N2007,0)+IF(ISNUMBER(P2007),P2007,0)))&lt;=Summary!$B$2),"Negative realized loss not applied - check sign",IF(R2007&lt;0,"Principal paid exceeds prior balance",IF(AND(L2007&gt;Q2007,NOT(ISNUMBER(P2007))),"Balance increased but no Deferred_interest reported",IF(L2007&gt;R2007,"Reported balance higher than expected (missing increase/OC build)","Reported balance lower than expected (missing decrease)"))))),""))</f>
        <v/>
      </c>
    </row>
    <row r="2008" customFormat="false" ht="15" hidden="false" customHeight="false" outlineLevel="0" collapsed="false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9"/>
      <c r="L2008" s="9"/>
      <c r="M2008" s="9"/>
      <c r="N2008" s="9"/>
      <c r="O2008" s="9"/>
      <c r="P2008" s="9"/>
      <c r="Q2008" s="9"/>
      <c r="R2008" s="9" t="str">
        <f aca="false">IF(AND(A2008&lt;&gt;"",ISNUMBER(Q2008),ISNUMBER(L2008)),ROUND(Q2008-IF(ISNUMBER(N2008),N2008,0)-IF(ISNUMBER(O2008),O2008,0)+IF(ISNUMBER(P2008),P2008,0),2),"")</f>
        <v/>
      </c>
      <c r="S2008" s="9" t="str">
        <f aca="false">IF(R2008="","",ROUND(L2008-R2008,2))</f>
        <v/>
      </c>
      <c r="T2008" s="8" t="str">
        <f aca="false">IF(A2008="","",IF(S2008="","BYPASS",IF(ABS(S2008)&lt;=Summary!$B$2,"PASS","FAIL")))</f>
        <v/>
      </c>
      <c r="U2008" s="8" t="str">
        <f aca="false">IF(T2008="BYPASS",IF(NOT(ISNUMBER(Q2008)),"PreV_ETB missing","End_tr_balance missing"),IF(T2008="FAIL",IF(AND(ISNUMBER(K2008),ISNUMBER(L2008),ABS(L2008-(K2008-IF(ISNUMBER(N2008),N2008,0)-IF(ISNUMBER(O2008),O2008,0)+IF(ISNUMBER(P2008),P2008,0)))&lt;=Summary!$B$2),"Passes using beginning_balance - PreV_ETB differs from beginning_balance",IF(AND(ISNUMBER(O2008),O2008&lt;0,ABS(L2008-(Q2008-IF(ISNUMBER(N2008),N2008,0)+IF(ISNUMBER(P2008),P2008,0)))&lt;=Summary!$B$2),"Negative realized loss not applied - check sign",IF(R2008&lt;0,"Principal paid exceeds prior balance",IF(AND(L2008&gt;Q2008,NOT(ISNUMBER(P2008))),"Balance increased but no Deferred_interest reported",IF(L2008&gt;R2008,"Reported balance higher than expected (missing increase/OC build)","Reported balance lower than expected (missing decrease)"))))),""))</f>
        <v/>
      </c>
    </row>
    <row r="2009" customFormat="false" ht="15" hidden="false" customHeight="false" outlineLevel="0" collapsed="false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9"/>
      <c r="L2009" s="9"/>
      <c r="M2009" s="9"/>
      <c r="N2009" s="9"/>
      <c r="O2009" s="9"/>
      <c r="P2009" s="9"/>
      <c r="Q2009" s="9"/>
      <c r="R2009" s="9" t="str">
        <f aca="false">IF(AND(A2009&lt;&gt;"",ISNUMBER(Q2009),ISNUMBER(L2009)),ROUND(Q2009-IF(ISNUMBER(N2009),N2009,0)-IF(ISNUMBER(O2009),O2009,0)+IF(ISNUMBER(P2009),P2009,0),2),"")</f>
        <v/>
      </c>
      <c r="S2009" s="9" t="str">
        <f aca="false">IF(R2009="","",ROUND(L2009-R2009,2))</f>
        <v/>
      </c>
      <c r="T2009" s="8" t="str">
        <f aca="false">IF(A2009="","",IF(S2009="","BYPASS",IF(ABS(S2009)&lt;=Summary!$B$2,"PASS","FAIL")))</f>
        <v/>
      </c>
      <c r="U2009" s="8" t="str">
        <f aca="false">IF(T2009="BYPASS",IF(NOT(ISNUMBER(Q2009)),"PreV_ETB missing","End_tr_balance missing"),IF(T2009="FAIL",IF(AND(ISNUMBER(K2009),ISNUMBER(L2009),ABS(L2009-(K2009-IF(ISNUMBER(N2009),N2009,0)-IF(ISNUMBER(O2009),O2009,0)+IF(ISNUMBER(P2009),P2009,0)))&lt;=Summary!$B$2),"Passes using beginning_balance - PreV_ETB differs from beginning_balance",IF(AND(ISNUMBER(O2009),O2009&lt;0,ABS(L2009-(Q2009-IF(ISNUMBER(N2009),N2009,0)+IF(ISNUMBER(P2009),P2009,0)))&lt;=Summary!$B$2),"Negative realized loss not applied - check sign",IF(R2009&lt;0,"Principal paid exceeds prior balance",IF(AND(L2009&gt;Q2009,NOT(ISNUMBER(P2009))),"Balance increased but no Deferred_interest reported",IF(L2009&gt;R2009,"Reported balance higher than expected (missing increase/OC build)","Reported balance lower than expected (missing decrease)"))))),""))</f>
        <v/>
      </c>
    </row>
    <row r="2010" customFormat="false" ht="15" hidden="false" customHeight="false" outlineLevel="0" collapsed="false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9"/>
      <c r="L2010" s="9"/>
      <c r="M2010" s="9"/>
      <c r="N2010" s="9"/>
      <c r="O2010" s="9"/>
      <c r="P2010" s="9"/>
      <c r="Q2010" s="9"/>
      <c r="R2010" s="9" t="str">
        <f aca="false">IF(AND(A2010&lt;&gt;"",ISNUMBER(Q2010),ISNUMBER(L2010)),ROUND(Q2010-IF(ISNUMBER(N2010),N2010,0)-IF(ISNUMBER(O2010),O2010,0)+IF(ISNUMBER(P2010),P2010,0),2),"")</f>
        <v/>
      </c>
      <c r="S2010" s="9" t="str">
        <f aca="false">IF(R2010="","",ROUND(L2010-R2010,2))</f>
        <v/>
      </c>
      <c r="T2010" s="8" t="str">
        <f aca="false">IF(A2010="","",IF(S2010="","BYPASS",IF(ABS(S2010)&lt;=Summary!$B$2,"PASS","FAIL")))</f>
        <v/>
      </c>
      <c r="U2010" s="8" t="str">
        <f aca="false">IF(T2010="BYPASS",IF(NOT(ISNUMBER(Q2010)),"PreV_ETB missing","End_tr_balance missing"),IF(T2010="FAIL",IF(AND(ISNUMBER(K2010),ISNUMBER(L2010),ABS(L2010-(K2010-IF(ISNUMBER(N2010),N2010,0)-IF(ISNUMBER(O2010),O2010,0)+IF(ISNUMBER(P2010),P2010,0)))&lt;=Summary!$B$2),"Passes using beginning_balance - PreV_ETB differs from beginning_balance",IF(AND(ISNUMBER(O2010),O2010&lt;0,ABS(L2010-(Q2010-IF(ISNUMBER(N2010),N2010,0)+IF(ISNUMBER(P2010),P2010,0)))&lt;=Summary!$B$2),"Negative realized loss not applied - check sign",IF(R2010&lt;0,"Principal paid exceeds prior balance",IF(AND(L2010&gt;Q2010,NOT(ISNUMBER(P2010))),"Balance increased but no Deferred_interest reported",IF(L2010&gt;R2010,"Reported balance higher than expected (missing increase/OC build)","Reported balance lower than expected (missing decrease)"))))),""))</f>
        <v/>
      </c>
    </row>
    <row r="2011" customFormat="false" ht="15" hidden="false" customHeight="false" outlineLevel="0" collapsed="false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9"/>
      <c r="L2011" s="9"/>
      <c r="M2011" s="9"/>
      <c r="N2011" s="9"/>
      <c r="O2011" s="9"/>
      <c r="P2011" s="9"/>
      <c r="Q2011" s="9"/>
      <c r="R2011" s="9" t="str">
        <f aca="false">IF(AND(A2011&lt;&gt;"",ISNUMBER(Q2011),ISNUMBER(L2011)),ROUND(Q2011-IF(ISNUMBER(N2011),N2011,0)-IF(ISNUMBER(O2011),O2011,0)+IF(ISNUMBER(P2011),P2011,0),2),"")</f>
        <v/>
      </c>
      <c r="S2011" s="9" t="str">
        <f aca="false">IF(R2011="","",ROUND(L2011-R2011,2))</f>
        <v/>
      </c>
      <c r="T2011" s="8" t="str">
        <f aca="false">IF(A2011="","",IF(S2011="","BYPASS",IF(ABS(S2011)&lt;=Summary!$B$2,"PASS","FAIL")))</f>
        <v/>
      </c>
      <c r="U2011" s="8" t="str">
        <f aca="false">IF(T2011="BYPASS",IF(NOT(ISNUMBER(Q2011)),"PreV_ETB missing","End_tr_balance missing"),IF(T2011="FAIL",IF(AND(ISNUMBER(K2011),ISNUMBER(L2011),ABS(L2011-(K2011-IF(ISNUMBER(N2011),N2011,0)-IF(ISNUMBER(O2011),O2011,0)+IF(ISNUMBER(P2011),P2011,0)))&lt;=Summary!$B$2),"Passes using beginning_balance - PreV_ETB differs from beginning_balance",IF(AND(ISNUMBER(O2011),O2011&lt;0,ABS(L2011-(Q2011-IF(ISNUMBER(N2011),N2011,0)+IF(ISNUMBER(P2011),P2011,0)))&lt;=Summary!$B$2),"Negative realized loss not applied - check sign",IF(R2011&lt;0,"Principal paid exceeds prior balance",IF(AND(L2011&gt;Q2011,NOT(ISNUMBER(P2011))),"Balance increased but no Deferred_interest reported",IF(L2011&gt;R2011,"Reported balance higher than expected (missing increase/OC build)","Reported balance lower than expected (missing decrease)"))))),""))</f>
        <v/>
      </c>
    </row>
    <row r="2012" customFormat="false" ht="15" hidden="false" customHeight="false" outlineLevel="0" collapsed="false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9"/>
      <c r="L2012" s="9"/>
      <c r="M2012" s="9"/>
      <c r="N2012" s="9"/>
      <c r="O2012" s="9"/>
      <c r="P2012" s="9"/>
      <c r="Q2012" s="9"/>
      <c r="R2012" s="9" t="str">
        <f aca="false">IF(AND(A2012&lt;&gt;"",ISNUMBER(Q2012),ISNUMBER(L2012)),ROUND(Q2012-IF(ISNUMBER(N2012),N2012,0)-IF(ISNUMBER(O2012),O2012,0)+IF(ISNUMBER(P2012),P2012,0),2),"")</f>
        <v/>
      </c>
      <c r="S2012" s="9" t="str">
        <f aca="false">IF(R2012="","",ROUND(L2012-R2012,2))</f>
        <v/>
      </c>
      <c r="T2012" s="8" t="str">
        <f aca="false">IF(A2012="","",IF(S2012="","BYPASS",IF(ABS(S2012)&lt;=Summary!$B$2,"PASS","FAIL")))</f>
        <v/>
      </c>
      <c r="U2012" s="8" t="str">
        <f aca="false">IF(T2012="BYPASS",IF(NOT(ISNUMBER(Q2012)),"PreV_ETB missing","End_tr_balance missing"),IF(T2012="FAIL",IF(AND(ISNUMBER(K2012),ISNUMBER(L2012),ABS(L2012-(K2012-IF(ISNUMBER(N2012),N2012,0)-IF(ISNUMBER(O2012),O2012,0)+IF(ISNUMBER(P2012),P2012,0)))&lt;=Summary!$B$2),"Passes using beginning_balance - PreV_ETB differs from beginning_balance",IF(AND(ISNUMBER(O2012),O2012&lt;0,ABS(L2012-(Q2012-IF(ISNUMBER(N2012),N2012,0)+IF(ISNUMBER(P2012),P2012,0)))&lt;=Summary!$B$2),"Negative realized loss not applied - check sign",IF(R2012&lt;0,"Principal paid exceeds prior balance",IF(AND(L2012&gt;Q2012,NOT(ISNUMBER(P2012))),"Balance increased but no Deferred_interest reported",IF(L2012&gt;R2012,"Reported balance higher than expected (missing increase/OC build)","Reported balance lower than expected (missing decrease)"))))),""))</f>
        <v/>
      </c>
    </row>
    <row r="2013" customFormat="false" ht="15" hidden="false" customHeight="false" outlineLevel="0" collapsed="false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9"/>
      <c r="L2013" s="9"/>
      <c r="M2013" s="9"/>
      <c r="N2013" s="9"/>
      <c r="O2013" s="9"/>
      <c r="P2013" s="9"/>
      <c r="Q2013" s="9"/>
      <c r="R2013" s="9" t="str">
        <f aca="false">IF(AND(A2013&lt;&gt;"",ISNUMBER(Q2013),ISNUMBER(L2013)),ROUND(Q2013-IF(ISNUMBER(N2013),N2013,0)-IF(ISNUMBER(O2013),O2013,0)+IF(ISNUMBER(P2013),P2013,0),2),"")</f>
        <v/>
      </c>
      <c r="S2013" s="9" t="str">
        <f aca="false">IF(R2013="","",ROUND(L2013-R2013,2))</f>
        <v/>
      </c>
      <c r="T2013" s="8" t="str">
        <f aca="false">IF(A2013="","",IF(S2013="","BYPASS",IF(ABS(S2013)&lt;=Summary!$B$2,"PASS","FAIL")))</f>
        <v/>
      </c>
      <c r="U2013" s="8" t="str">
        <f aca="false">IF(T2013="BYPASS",IF(NOT(ISNUMBER(Q2013)),"PreV_ETB missing","End_tr_balance missing"),IF(T2013="FAIL",IF(AND(ISNUMBER(K2013),ISNUMBER(L2013),ABS(L2013-(K2013-IF(ISNUMBER(N2013),N2013,0)-IF(ISNUMBER(O2013),O2013,0)+IF(ISNUMBER(P2013),P2013,0)))&lt;=Summary!$B$2),"Passes using beginning_balance - PreV_ETB differs from beginning_balance",IF(AND(ISNUMBER(O2013),O2013&lt;0,ABS(L2013-(Q2013-IF(ISNUMBER(N2013),N2013,0)+IF(ISNUMBER(P2013),P2013,0)))&lt;=Summary!$B$2),"Negative realized loss not applied - check sign",IF(R2013&lt;0,"Principal paid exceeds prior balance",IF(AND(L2013&gt;Q2013,NOT(ISNUMBER(P2013))),"Balance increased but no Deferred_interest reported",IF(L2013&gt;R2013,"Reported balance higher than expected (missing increase/OC build)","Reported balance lower than expected (missing decrease)"))))),""))</f>
        <v/>
      </c>
    </row>
    <row r="2014" customFormat="false" ht="15" hidden="false" customHeight="false" outlineLevel="0" collapsed="false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9"/>
      <c r="L2014" s="9"/>
      <c r="M2014" s="9"/>
      <c r="N2014" s="9"/>
      <c r="O2014" s="9"/>
      <c r="P2014" s="9"/>
      <c r="Q2014" s="9"/>
      <c r="R2014" s="9" t="str">
        <f aca="false">IF(AND(A2014&lt;&gt;"",ISNUMBER(Q2014),ISNUMBER(L2014)),ROUND(Q2014-IF(ISNUMBER(N2014),N2014,0)-IF(ISNUMBER(O2014),O2014,0)+IF(ISNUMBER(P2014),P2014,0),2),"")</f>
        <v/>
      </c>
      <c r="S2014" s="9" t="str">
        <f aca="false">IF(R2014="","",ROUND(L2014-R2014,2))</f>
        <v/>
      </c>
      <c r="T2014" s="8" t="str">
        <f aca="false">IF(A2014="","",IF(S2014="","BYPASS",IF(ABS(S2014)&lt;=Summary!$B$2,"PASS","FAIL")))</f>
        <v/>
      </c>
      <c r="U2014" s="8" t="str">
        <f aca="false">IF(T2014="BYPASS",IF(NOT(ISNUMBER(Q2014)),"PreV_ETB missing","End_tr_balance missing"),IF(T2014="FAIL",IF(AND(ISNUMBER(K2014),ISNUMBER(L2014),ABS(L2014-(K2014-IF(ISNUMBER(N2014),N2014,0)-IF(ISNUMBER(O2014),O2014,0)+IF(ISNUMBER(P2014),P2014,0)))&lt;=Summary!$B$2),"Passes using beginning_balance - PreV_ETB differs from beginning_balance",IF(AND(ISNUMBER(O2014),O2014&lt;0,ABS(L2014-(Q2014-IF(ISNUMBER(N2014),N2014,0)+IF(ISNUMBER(P2014),P2014,0)))&lt;=Summary!$B$2),"Negative realized loss not applied - check sign",IF(R2014&lt;0,"Principal paid exceeds prior balance",IF(AND(L2014&gt;Q2014,NOT(ISNUMBER(P2014))),"Balance increased but no Deferred_interest reported",IF(L2014&gt;R2014,"Reported balance higher than expected (missing increase/OC build)","Reported balance lower than expected (missing decrease)"))))),""))</f>
        <v/>
      </c>
    </row>
    <row r="2015" customFormat="false" ht="15" hidden="false" customHeight="false" outlineLevel="0" collapsed="false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9"/>
      <c r="L2015" s="9"/>
      <c r="M2015" s="9"/>
      <c r="N2015" s="9"/>
      <c r="O2015" s="9"/>
      <c r="P2015" s="9"/>
      <c r="Q2015" s="9"/>
      <c r="R2015" s="9" t="str">
        <f aca="false">IF(AND(A2015&lt;&gt;"",ISNUMBER(Q2015),ISNUMBER(L2015)),ROUND(Q2015-IF(ISNUMBER(N2015),N2015,0)-IF(ISNUMBER(O2015),O2015,0)+IF(ISNUMBER(P2015),P2015,0),2),"")</f>
        <v/>
      </c>
      <c r="S2015" s="9" t="str">
        <f aca="false">IF(R2015="","",ROUND(L2015-R2015,2))</f>
        <v/>
      </c>
      <c r="T2015" s="8" t="str">
        <f aca="false">IF(A2015="","",IF(S2015="","BYPASS",IF(ABS(S2015)&lt;=Summary!$B$2,"PASS","FAIL")))</f>
        <v/>
      </c>
      <c r="U2015" s="8" t="str">
        <f aca="false">IF(T2015="BYPASS",IF(NOT(ISNUMBER(Q2015)),"PreV_ETB missing","End_tr_balance missing"),IF(T2015="FAIL",IF(AND(ISNUMBER(K2015),ISNUMBER(L2015),ABS(L2015-(K2015-IF(ISNUMBER(N2015),N2015,0)-IF(ISNUMBER(O2015),O2015,0)+IF(ISNUMBER(P2015),P2015,0)))&lt;=Summary!$B$2),"Passes using beginning_balance - PreV_ETB differs from beginning_balance",IF(AND(ISNUMBER(O2015),O2015&lt;0,ABS(L2015-(Q2015-IF(ISNUMBER(N2015),N2015,0)+IF(ISNUMBER(P2015),P2015,0)))&lt;=Summary!$B$2),"Negative realized loss not applied - check sign",IF(R2015&lt;0,"Principal paid exceeds prior balance",IF(AND(L2015&gt;Q2015,NOT(ISNUMBER(P2015))),"Balance increased but no Deferred_interest reported",IF(L2015&gt;R2015,"Reported balance higher than expected (missing increase/OC build)","Reported balance lower than expected (missing decrease)"))))),""))</f>
        <v/>
      </c>
    </row>
    <row r="2016" customFormat="false" ht="15" hidden="false" customHeight="false" outlineLevel="0" collapsed="false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9"/>
      <c r="L2016" s="9"/>
      <c r="M2016" s="9"/>
      <c r="N2016" s="9"/>
      <c r="O2016" s="9"/>
      <c r="P2016" s="9"/>
      <c r="Q2016" s="9"/>
      <c r="R2016" s="9" t="str">
        <f aca="false">IF(AND(A2016&lt;&gt;"",ISNUMBER(Q2016),ISNUMBER(L2016)),ROUND(Q2016-IF(ISNUMBER(N2016),N2016,0)-IF(ISNUMBER(O2016),O2016,0)+IF(ISNUMBER(P2016),P2016,0),2),"")</f>
        <v/>
      </c>
      <c r="S2016" s="9" t="str">
        <f aca="false">IF(R2016="","",ROUND(L2016-R2016,2))</f>
        <v/>
      </c>
      <c r="T2016" s="8" t="str">
        <f aca="false">IF(A2016="","",IF(S2016="","BYPASS",IF(ABS(S2016)&lt;=Summary!$B$2,"PASS","FAIL")))</f>
        <v/>
      </c>
      <c r="U2016" s="8" t="str">
        <f aca="false">IF(T2016="BYPASS",IF(NOT(ISNUMBER(Q2016)),"PreV_ETB missing","End_tr_balance missing"),IF(T2016="FAIL",IF(AND(ISNUMBER(K2016),ISNUMBER(L2016),ABS(L2016-(K2016-IF(ISNUMBER(N2016),N2016,0)-IF(ISNUMBER(O2016),O2016,0)+IF(ISNUMBER(P2016),P2016,0)))&lt;=Summary!$B$2),"Passes using beginning_balance - PreV_ETB differs from beginning_balance",IF(AND(ISNUMBER(O2016),O2016&lt;0,ABS(L2016-(Q2016-IF(ISNUMBER(N2016),N2016,0)+IF(ISNUMBER(P2016),P2016,0)))&lt;=Summary!$B$2),"Negative realized loss not applied - check sign",IF(R2016&lt;0,"Principal paid exceeds prior balance",IF(AND(L2016&gt;Q2016,NOT(ISNUMBER(P2016))),"Balance increased but no Deferred_interest reported",IF(L2016&gt;R2016,"Reported balance higher than expected (missing increase/OC build)","Reported balance lower than expected (missing decrease)"))))),""))</f>
        <v/>
      </c>
    </row>
    <row r="2017" customFormat="false" ht="15" hidden="false" customHeight="false" outlineLevel="0" collapsed="false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9"/>
      <c r="L2017" s="9"/>
      <c r="M2017" s="9"/>
      <c r="N2017" s="9"/>
      <c r="O2017" s="9"/>
      <c r="P2017" s="9"/>
      <c r="Q2017" s="9"/>
      <c r="R2017" s="9" t="str">
        <f aca="false">IF(AND(A2017&lt;&gt;"",ISNUMBER(Q2017),ISNUMBER(L2017)),ROUND(Q2017-IF(ISNUMBER(N2017),N2017,0)-IF(ISNUMBER(O2017),O2017,0)+IF(ISNUMBER(P2017),P2017,0),2),"")</f>
        <v/>
      </c>
      <c r="S2017" s="9" t="str">
        <f aca="false">IF(R2017="","",ROUND(L2017-R2017,2))</f>
        <v/>
      </c>
      <c r="T2017" s="8" t="str">
        <f aca="false">IF(A2017="","",IF(S2017="","BYPASS",IF(ABS(S2017)&lt;=Summary!$B$2,"PASS","FAIL")))</f>
        <v/>
      </c>
      <c r="U2017" s="8" t="str">
        <f aca="false">IF(T2017="BYPASS",IF(NOT(ISNUMBER(Q2017)),"PreV_ETB missing","End_tr_balance missing"),IF(T2017="FAIL",IF(AND(ISNUMBER(K2017),ISNUMBER(L2017),ABS(L2017-(K2017-IF(ISNUMBER(N2017),N2017,0)-IF(ISNUMBER(O2017),O2017,0)+IF(ISNUMBER(P2017),P2017,0)))&lt;=Summary!$B$2),"Passes using beginning_balance - PreV_ETB differs from beginning_balance",IF(AND(ISNUMBER(O2017),O2017&lt;0,ABS(L2017-(Q2017-IF(ISNUMBER(N2017),N2017,0)+IF(ISNUMBER(P2017),P2017,0)))&lt;=Summary!$B$2),"Negative realized loss not applied - check sign",IF(R2017&lt;0,"Principal paid exceeds prior balance",IF(AND(L2017&gt;Q2017,NOT(ISNUMBER(P2017))),"Balance increased but no Deferred_interest reported",IF(L2017&gt;R2017,"Reported balance higher than expected (missing increase/OC build)","Reported balance lower than expected (missing decrease)"))))),""))</f>
        <v/>
      </c>
    </row>
    <row r="2018" customFormat="false" ht="15" hidden="false" customHeight="false" outlineLevel="0" collapsed="false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9"/>
      <c r="L2018" s="9"/>
      <c r="M2018" s="9"/>
      <c r="N2018" s="9"/>
      <c r="O2018" s="9"/>
      <c r="P2018" s="9"/>
      <c r="Q2018" s="9"/>
      <c r="R2018" s="9" t="str">
        <f aca="false">IF(AND(A2018&lt;&gt;"",ISNUMBER(Q2018),ISNUMBER(L2018)),ROUND(Q2018-IF(ISNUMBER(N2018),N2018,0)-IF(ISNUMBER(O2018),O2018,0)+IF(ISNUMBER(P2018),P2018,0),2),"")</f>
        <v/>
      </c>
      <c r="S2018" s="9" t="str">
        <f aca="false">IF(R2018="","",ROUND(L2018-R2018,2))</f>
        <v/>
      </c>
      <c r="T2018" s="8" t="str">
        <f aca="false">IF(A2018="","",IF(S2018="","BYPASS",IF(ABS(S2018)&lt;=Summary!$B$2,"PASS","FAIL")))</f>
        <v/>
      </c>
      <c r="U2018" s="8" t="str">
        <f aca="false">IF(T2018="BYPASS",IF(NOT(ISNUMBER(Q2018)),"PreV_ETB missing","End_tr_balance missing"),IF(T2018="FAIL",IF(AND(ISNUMBER(K2018),ISNUMBER(L2018),ABS(L2018-(K2018-IF(ISNUMBER(N2018),N2018,0)-IF(ISNUMBER(O2018),O2018,0)+IF(ISNUMBER(P2018),P2018,0)))&lt;=Summary!$B$2),"Passes using beginning_balance - PreV_ETB differs from beginning_balance",IF(AND(ISNUMBER(O2018),O2018&lt;0,ABS(L2018-(Q2018-IF(ISNUMBER(N2018),N2018,0)+IF(ISNUMBER(P2018),P2018,0)))&lt;=Summary!$B$2),"Negative realized loss not applied - check sign",IF(R2018&lt;0,"Principal paid exceeds prior balance",IF(AND(L2018&gt;Q2018,NOT(ISNUMBER(P2018))),"Balance increased but no Deferred_interest reported",IF(L2018&gt;R2018,"Reported balance higher than expected (missing increase/OC build)","Reported balance lower than expected (missing decrease)"))))),""))</f>
        <v/>
      </c>
    </row>
    <row r="2019" customFormat="false" ht="15" hidden="false" customHeight="false" outlineLevel="0" collapsed="false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9"/>
      <c r="L2019" s="9"/>
      <c r="M2019" s="9"/>
      <c r="N2019" s="9"/>
      <c r="O2019" s="9"/>
      <c r="P2019" s="9"/>
      <c r="Q2019" s="9"/>
      <c r="R2019" s="9" t="str">
        <f aca="false">IF(AND(A2019&lt;&gt;"",ISNUMBER(Q2019),ISNUMBER(L2019)),ROUND(Q2019-IF(ISNUMBER(N2019),N2019,0)-IF(ISNUMBER(O2019),O2019,0)+IF(ISNUMBER(P2019),P2019,0),2),"")</f>
        <v/>
      </c>
      <c r="S2019" s="9" t="str">
        <f aca="false">IF(R2019="","",ROUND(L2019-R2019,2))</f>
        <v/>
      </c>
      <c r="T2019" s="8" t="str">
        <f aca="false">IF(A2019="","",IF(S2019="","BYPASS",IF(ABS(S2019)&lt;=Summary!$B$2,"PASS","FAIL")))</f>
        <v/>
      </c>
      <c r="U2019" s="8" t="str">
        <f aca="false">IF(T2019="BYPASS",IF(NOT(ISNUMBER(Q2019)),"PreV_ETB missing","End_tr_balance missing"),IF(T2019="FAIL",IF(AND(ISNUMBER(K2019),ISNUMBER(L2019),ABS(L2019-(K2019-IF(ISNUMBER(N2019),N2019,0)-IF(ISNUMBER(O2019),O2019,0)+IF(ISNUMBER(P2019),P2019,0)))&lt;=Summary!$B$2),"Passes using beginning_balance - PreV_ETB differs from beginning_balance",IF(AND(ISNUMBER(O2019),O2019&lt;0,ABS(L2019-(Q2019-IF(ISNUMBER(N2019),N2019,0)+IF(ISNUMBER(P2019),P2019,0)))&lt;=Summary!$B$2),"Negative realized loss not applied - check sign",IF(R2019&lt;0,"Principal paid exceeds prior balance",IF(AND(L2019&gt;Q2019,NOT(ISNUMBER(P2019))),"Balance increased but no Deferred_interest reported",IF(L2019&gt;R2019,"Reported balance higher than expected (missing increase/OC build)","Reported balance lower than expected (missing decrease)"))))),""))</f>
        <v/>
      </c>
    </row>
    <row r="2020" customFormat="false" ht="15" hidden="false" customHeight="false" outlineLevel="0" collapsed="false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9"/>
      <c r="L2020" s="9"/>
      <c r="M2020" s="9"/>
      <c r="N2020" s="9"/>
      <c r="O2020" s="9"/>
      <c r="P2020" s="9"/>
      <c r="Q2020" s="9"/>
      <c r="R2020" s="9" t="str">
        <f aca="false">IF(AND(A2020&lt;&gt;"",ISNUMBER(Q2020),ISNUMBER(L2020)),ROUND(Q2020-IF(ISNUMBER(N2020),N2020,0)-IF(ISNUMBER(O2020),O2020,0)+IF(ISNUMBER(P2020),P2020,0),2),"")</f>
        <v/>
      </c>
      <c r="S2020" s="9" t="str">
        <f aca="false">IF(R2020="","",ROUND(L2020-R2020,2))</f>
        <v/>
      </c>
      <c r="T2020" s="8" t="str">
        <f aca="false">IF(A2020="","",IF(S2020="","BYPASS",IF(ABS(S2020)&lt;=Summary!$B$2,"PASS","FAIL")))</f>
        <v/>
      </c>
      <c r="U2020" s="8" t="str">
        <f aca="false">IF(T2020="BYPASS",IF(NOT(ISNUMBER(Q2020)),"PreV_ETB missing","End_tr_balance missing"),IF(T2020="FAIL",IF(AND(ISNUMBER(K2020),ISNUMBER(L2020),ABS(L2020-(K2020-IF(ISNUMBER(N2020),N2020,0)-IF(ISNUMBER(O2020),O2020,0)+IF(ISNUMBER(P2020),P2020,0)))&lt;=Summary!$B$2),"Passes using beginning_balance - PreV_ETB differs from beginning_balance",IF(AND(ISNUMBER(O2020),O2020&lt;0,ABS(L2020-(Q2020-IF(ISNUMBER(N2020),N2020,0)+IF(ISNUMBER(P2020),P2020,0)))&lt;=Summary!$B$2),"Negative realized loss not applied - check sign",IF(R2020&lt;0,"Principal paid exceeds prior balance",IF(AND(L2020&gt;Q2020,NOT(ISNUMBER(P2020))),"Balance increased but no Deferred_interest reported",IF(L2020&gt;R2020,"Reported balance higher than expected (missing increase/OC build)","Reported balance lower than expected (missing decrease)"))))),""))</f>
        <v/>
      </c>
    </row>
    <row r="2021" customFormat="false" ht="15" hidden="false" customHeight="false" outlineLevel="0" collapsed="false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9"/>
      <c r="L2021" s="9"/>
      <c r="M2021" s="9"/>
      <c r="N2021" s="9"/>
      <c r="O2021" s="9"/>
      <c r="P2021" s="9"/>
      <c r="Q2021" s="9"/>
      <c r="R2021" s="9" t="str">
        <f aca="false">IF(AND(A2021&lt;&gt;"",ISNUMBER(Q2021),ISNUMBER(L2021)),ROUND(Q2021-IF(ISNUMBER(N2021),N2021,0)-IF(ISNUMBER(O2021),O2021,0)+IF(ISNUMBER(P2021),P2021,0),2),"")</f>
        <v/>
      </c>
      <c r="S2021" s="9" t="str">
        <f aca="false">IF(R2021="","",ROUND(L2021-R2021,2))</f>
        <v/>
      </c>
      <c r="T2021" s="8" t="str">
        <f aca="false">IF(A2021="","",IF(S2021="","BYPASS",IF(ABS(S2021)&lt;=Summary!$B$2,"PASS","FAIL")))</f>
        <v/>
      </c>
      <c r="U2021" s="8" t="str">
        <f aca="false">IF(T2021="BYPASS",IF(NOT(ISNUMBER(Q2021)),"PreV_ETB missing","End_tr_balance missing"),IF(T2021="FAIL",IF(AND(ISNUMBER(K2021),ISNUMBER(L2021),ABS(L2021-(K2021-IF(ISNUMBER(N2021),N2021,0)-IF(ISNUMBER(O2021),O2021,0)+IF(ISNUMBER(P2021),P2021,0)))&lt;=Summary!$B$2),"Passes using beginning_balance - PreV_ETB differs from beginning_balance",IF(AND(ISNUMBER(O2021),O2021&lt;0,ABS(L2021-(Q2021-IF(ISNUMBER(N2021),N2021,0)+IF(ISNUMBER(P2021),P2021,0)))&lt;=Summary!$B$2),"Negative realized loss not applied - check sign",IF(R2021&lt;0,"Principal paid exceeds prior balance",IF(AND(L2021&gt;Q2021,NOT(ISNUMBER(P2021))),"Balance increased but no Deferred_interest reported",IF(L2021&gt;R2021,"Reported balance higher than expected (missing increase/OC build)","Reported balance lower than expected (missing decrease)"))))),""))</f>
        <v/>
      </c>
    </row>
    <row r="2022" customFormat="false" ht="15" hidden="false" customHeight="false" outlineLevel="0" collapsed="false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9"/>
      <c r="L2022" s="9"/>
      <c r="M2022" s="9"/>
      <c r="N2022" s="9"/>
      <c r="O2022" s="9"/>
      <c r="P2022" s="9"/>
      <c r="Q2022" s="9"/>
      <c r="R2022" s="9" t="str">
        <f aca="false">IF(AND(A2022&lt;&gt;"",ISNUMBER(Q2022),ISNUMBER(L2022)),ROUND(Q2022-IF(ISNUMBER(N2022),N2022,0)-IF(ISNUMBER(O2022),O2022,0)+IF(ISNUMBER(P2022),P2022,0),2),"")</f>
        <v/>
      </c>
      <c r="S2022" s="9" t="str">
        <f aca="false">IF(R2022="","",ROUND(L2022-R2022,2))</f>
        <v/>
      </c>
      <c r="T2022" s="8" t="str">
        <f aca="false">IF(A2022="","",IF(S2022="","BYPASS",IF(ABS(S2022)&lt;=Summary!$B$2,"PASS","FAIL")))</f>
        <v/>
      </c>
      <c r="U2022" s="8" t="str">
        <f aca="false">IF(T2022="BYPASS",IF(NOT(ISNUMBER(Q2022)),"PreV_ETB missing","End_tr_balance missing"),IF(T2022="FAIL",IF(AND(ISNUMBER(K2022),ISNUMBER(L2022),ABS(L2022-(K2022-IF(ISNUMBER(N2022),N2022,0)-IF(ISNUMBER(O2022),O2022,0)+IF(ISNUMBER(P2022),P2022,0)))&lt;=Summary!$B$2),"Passes using beginning_balance - PreV_ETB differs from beginning_balance",IF(AND(ISNUMBER(O2022),O2022&lt;0,ABS(L2022-(Q2022-IF(ISNUMBER(N2022),N2022,0)+IF(ISNUMBER(P2022),P2022,0)))&lt;=Summary!$B$2),"Negative realized loss not applied - check sign",IF(R2022&lt;0,"Principal paid exceeds prior balance",IF(AND(L2022&gt;Q2022,NOT(ISNUMBER(P2022))),"Balance increased but no Deferred_interest reported",IF(L2022&gt;R2022,"Reported balance higher than expected (missing increase/OC build)","Reported balance lower than expected (missing decrease)"))))),""))</f>
        <v/>
      </c>
    </row>
    <row r="2023" customFormat="false" ht="15" hidden="false" customHeight="false" outlineLevel="0" collapsed="false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9"/>
      <c r="L2023" s="9"/>
      <c r="M2023" s="9"/>
      <c r="N2023" s="9"/>
      <c r="O2023" s="9"/>
      <c r="P2023" s="9"/>
      <c r="Q2023" s="9"/>
      <c r="R2023" s="9" t="str">
        <f aca="false">IF(AND(A2023&lt;&gt;"",ISNUMBER(Q2023),ISNUMBER(L2023)),ROUND(Q2023-IF(ISNUMBER(N2023),N2023,0)-IF(ISNUMBER(O2023),O2023,0)+IF(ISNUMBER(P2023),P2023,0),2),"")</f>
        <v/>
      </c>
      <c r="S2023" s="9" t="str">
        <f aca="false">IF(R2023="","",ROUND(L2023-R2023,2))</f>
        <v/>
      </c>
      <c r="T2023" s="8" t="str">
        <f aca="false">IF(A2023="","",IF(S2023="","BYPASS",IF(ABS(S2023)&lt;=Summary!$B$2,"PASS","FAIL")))</f>
        <v/>
      </c>
      <c r="U2023" s="8" t="str">
        <f aca="false">IF(T2023="BYPASS",IF(NOT(ISNUMBER(Q2023)),"PreV_ETB missing","End_tr_balance missing"),IF(T2023="FAIL",IF(AND(ISNUMBER(K2023),ISNUMBER(L2023),ABS(L2023-(K2023-IF(ISNUMBER(N2023),N2023,0)-IF(ISNUMBER(O2023),O2023,0)+IF(ISNUMBER(P2023),P2023,0)))&lt;=Summary!$B$2),"Passes using beginning_balance - PreV_ETB differs from beginning_balance",IF(AND(ISNUMBER(O2023),O2023&lt;0,ABS(L2023-(Q2023-IF(ISNUMBER(N2023),N2023,0)+IF(ISNUMBER(P2023),P2023,0)))&lt;=Summary!$B$2),"Negative realized loss not applied - check sign",IF(R2023&lt;0,"Principal paid exceeds prior balance",IF(AND(L2023&gt;Q2023,NOT(ISNUMBER(P2023))),"Balance increased but no Deferred_interest reported",IF(L2023&gt;R2023,"Reported balance higher than expected (missing increase/OC build)","Reported balance lower than expected (missing decrease)"))))),""))</f>
        <v/>
      </c>
    </row>
    <row r="2024" customFormat="false" ht="15" hidden="false" customHeight="false" outlineLevel="0" collapsed="false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9"/>
      <c r="L2024" s="9"/>
      <c r="M2024" s="9"/>
      <c r="N2024" s="9"/>
      <c r="O2024" s="9"/>
      <c r="P2024" s="9"/>
      <c r="Q2024" s="9"/>
      <c r="R2024" s="9" t="str">
        <f aca="false">IF(AND(A2024&lt;&gt;"",ISNUMBER(Q2024),ISNUMBER(L2024)),ROUND(Q2024-IF(ISNUMBER(N2024),N2024,0)-IF(ISNUMBER(O2024),O2024,0)+IF(ISNUMBER(P2024),P2024,0),2),"")</f>
        <v/>
      </c>
      <c r="S2024" s="9" t="str">
        <f aca="false">IF(R2024="","",ROUND(L2024-R2024,2))</f>
        <v/>
      </c>
      <c r="T2024" s="8" t="str">
        <f aca="false">IF(A2024="","",IF(S2024="","BYPASS",IF(ABS(S2024)&lt;=Summary!$B$2,"PASS","FAIL")))</f>
        <v/>
      </c>
      <c r="U2024" s="8" t="str">
        <f aca="false">IF(T2024="BYPASS",IF(NOT(ISNUMBER(Q2024)),"PreV_ETB missing","End_tr_balance missing"),IF(T2024="FAIL",IF(AND(ISNUMBER(K2024),ISNUMBER(L2024),ABS(L2024-(K2024-IF(ISNUMBER(N2024),N2024,0)-IF(ISNUMBER(O2024),O2024,0)+IF(ISNUMBER(P2024),P2024,0)))&lt;=Summary!$B$2),"Passes using beginning_balance - PreV_ETB differs from beginning_balance",IF(AND(ISNUMBER(O2024),O2024&lt;0,ABS(L2024-(Q2024-IF(ISNUMBER(N2024),N2024,0)+IF(ISNUMBER(P2024),P2024,0)))&lt;=Summary!$B$2),"Negative realized loss not applied - check sign",IF(R2024&lt;0,"Principal paid exceeds prior balance",IF(AND(L2024&gt;Q2024,NOT(ISNUMBER(P2024))),"Balance increased but no Deferred_interest reported",IF(L2024&gt;R2024,"Reported balance higher than expected (missing increase/OC build)","Reported balance lower than expected (missing decrease)"))))),""))</f>
        <v/>
      </c>
    </row>
    <row r="2025" customFormat="false" ht="15" hidden="false" customHeight="false" outlineLevel="0" collapsed="false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9"/>
      <c r="L2025" s="9"/>
      <c r="M2025" s="9"/>
      <c r="N2025" s="9"/>
      <c r="O2025" s="9"/>
      <c r="P2025" s="9"/>
      <c r="Q2025" s="9"/>
      <c r="R2025" s="9" t="str">
        <f aca="false">IF(AND(A2025&lt;&gt;"",ISNUMBER(Q2025),ISNUMBER(L2025)),ROUND(Q2025-IF(ISNUMBER(N2025),N2025,0)-IF(ISNUMBER(O2025),O2025,0)+IF(ISNUMBER(P2025),P2025,0),2),"")</f>
        <v/>
      </c>
      <c r="S2025" s="9" t="str">
        <f aca="false">IF(R2025="","",ROUND(L2025-R2025,2))</f>
        <v/>
      </c>
      <c r="T2025" s="8" t="str">
        <f aca="false">IF(A2025="","",IF(S2025="","BYPASS",IF(ABS(S2025)&lt;=Summary!$B$2,"PASS","FAIL")))</f>
        <v/>
      </c>
      <c r="U2025" s="8" t="str">
        <f aca="false">IF(T2025="BYPASS",IF(NOT(ISNUMBER(Q2025)),"PreV_ETB missing","End_tr_balance missing"),IF(T2025="FAIL",IF(AND(ISNUMBER(K2025),ISNUMBER(L2025),ABS(L2025-(K2025-IF(ISNUMBER(N2025),N2025,0)-IF(ISNUMBER(O2025),O2025,0)+IF(ISNUMBER(P2025),P2025,0)))&lt;=Summary!$B$2),"Passes using beginning_balance - PreV_ETB differs from beginning_balance",IF(AND(ISNUMBER(O2025),O2025&lt;0,ABS(L2025-(Q2025-IF(ISNUMBER(N2025),N2025,0)+IF(ISNUMBER(P2025),P2025,0)))&lt;=Summary!$B$2),"Negative realized loss not applied - check sign",IF(R2025&lt;0,"Principal paid exceeds prior balance",IF(AND(L2025&gt;Q2025,NOT(ISNUMBER(P2025))),"Balance increased but no Deferred_interest reported",IF(L2025&gt;R2025,"Reported balance higher than expected (missing increase/OC build)","Reported balance lower than expected (missing decrease)"))))),""))</f>
        <v/>
      </c>
    </row>
    <row r="2026" customFormat="false" ht="15" hidden="false" customHeight="false" outlineLevel="0" collapsed="false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9"/>
      <c r="L2026" s="9"/>
      <c r="M2026" s="9"/>
      <c r="N2026" s="9"/>
      <c r="O2026" s="9"/>
      <c r="P2026" s="9"/>
      <c r="Q2026" s="9"/>
      <c r="R2026" s="9" t="str">
        <f aca="false">IF(AND(A2026&lt;&gt;"",ISNUMBER(Q2026),ISNUMBER(L2026)),ROUND(Q2026-IF(ISNUMBER(N2026),N2026,0)-IF(ISNUMBER(O2026),O2026,0)+IF(ISNUMBER(P2026),P2026,0),2),"")</f>
        <v/>
      </c>
      <c r="S2026" s="9" t="str">
        <f aca="false">IF(R2026="","",ROUND(L2026-R2026,2))</f>
        <v/>
      </c>
      <c r="T2026" s="8" t="str">
        <f aca="false">IF(A2026="","",IF(S2026="","BYPASS",IF(ABS(S2026)&lt;=Summary!$B$2,"PASS","FAIL")))</f>
        <v/>
      </c>
      <c r="U2026" s="8" t="str">
        <f aca="false">IF(T2026="BYPASS",IF(NOT(ISNUMBER(Q2026)),"PreV_ETB missing","End_tr_balance missing"),IF(T2026="FAIL",IF(AND(ISNUMBER(K2026),ISNUMBER(L2026),ABS(L2026-(K2026-IF(ISNUMBER(N2026),N2026,0)-IF(ISNUMBER(O2026),O2026,0)+IF(ISNUMBER(P2026),P2026,0)))&lt;=Summary!$B$2),"Passes using beginning_balance - PreV_ETB differs from beginning_balance",IF(AND(ISNUMBER(O2026),O2026&lt;0,ABS(L2026-(Q2026-IF(ISNUMBER(N2026),N2026,0)+IF(ISNUMBER(P2026),P2026,0)))&lt;=Summary!$B$2),"Negative realized loss not applied - check sign",IF(R2026&lt;0,"Principal paid exceeds prior balance",IF(AND(L2026&gt;Q2026,NOT(ISNUMBER(P2026))),"Balance increased but no Deferred_interest reported",IF(L2026&gt;R2026,"Reported balance higher than expected (missing increase/OC build)","Reported balance lower than expected (missing decrease)"))))),""))</f>
        <v/>
      </c>
    </row>
    <row r="2027" customFormat="false" ht="15" hidden="false" customHeight="false" outlineLevel="0" collapsed="false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9"/>
      <c r="L2027" s="9"/>
      <c r="M2027" s="9"/>
      <c r="N2027" s="9"/>
      <c r="O2027" s="9"/>
      <c r="P2027" s="9"/>
      <c r="Q2027" s="9"/>
      <c r="R2027" s="9" t="str">
        <f aca="false">IF(AND(A2027&lt;&gt;"",ISNUMBER(Q2027),ISNUMBER(L2027)),ROUND(Q2027-IF(ISNUMBER(N2027),N2027,0)-IF(ISNUMBER(O2027),O2027,0)+IF(ISNUMBER(P2027),P2027,0),2),"")</f>
        <v/>
      </c>
      <c r="S2027" s="9" t="str">
        <f aca="false">IF(R2027="","",ROUND(L2027-R2027,2))</f>
        <v/>
      </c>
      <c r="T2027" s="8" t="str">
        <f aca="false">IF(A2027="","",IF(S2027="","BYPASS",IF(ABS(S2027)&lt;=Summary!$B$2,"PASS","FAIL")))</f>
        <v/>
      </c>
      <c r="U2027" s="8" t="str">
        <f aca="false">IF(T2027="BYPASS",IF(NOT(ISNUMBER(Q2027)),"PreV_ETB missing","End_tr_balance missing"),IF(T2027="FAIL",IF(AND(ISNUMBER(K2027),ISNUMBER(L2027),ABS(L2027-(K2027-IF(ISNUMBER(N2027),N2027,0)-IF(ISNUMBER(O2027),O2027,0)+IF(ISNUMBER(P2027),P2027,0)))&lt;=Summary!$B$2),"Passes using beginning_balance - PreV_ETB differs from beginning_balance",IF(AND(ISNUMBER(O2027),O2027&lt;0,ABS(L2027-(Q2027-IF(ISNUMBER(N2027),N2027,0)+IF(ISNUMBER(P2027),P2027,0)))&lt;=Summary!$B$2),"Negative realized loss not applied - check sign",IF(R2027&lt;0,"Principal paid exceeds prior balance",IF(AND(L2027&gt;Q2027,NOT(ISNUMBER(P2027))),"Balance increased but no Deferred_interest reported",IF(L2027&gt;R2027,"Reported balance higher than expected (missing increase/OC build)","Reported balance lower than expected (missing decrease)"))))),""))</f>
        <v/>
      </c>
    </row>
    <row r="2028" customFormat="false" ht="15" hidden="false" customHeight="false" outlineLevel="0" collapsed="false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9"/>
      <c r="L2028" s="9"/>
      <c r="M2028" s="9"/>
      <c r="N2028" s="9"/>
      <c r="O2028" s="9"/>
      <c r="P2028" s="9"/>
      <c r="Q2028" s="9"/>
      <c r="R2028" s="9" t="str">
        <f aca="false">IF(AND(A2028&lt;&gt;"",ISNUMBER(Q2028),ISNUMBER(L2028)),ROUND(Q2028-IF(ISNUMBER(N2028),N2028,0)-IF(ISNUMBER(O2028),O2028,0)+IF(ISNUMBER(P2028),P2028,0),2),"")</f>
        <v/>
      </c>
      <c r="S2028" s="9" t="str">
        <f aca="false">IF(R2028="","",ROUND(L2028-R2028,2))</f>
        <v/>
      </c>
      <c r="T2028" s="8" t="str">
        <f aca="false">IF(A2028="","",IF(S2028="","BYPASS",IF(ABS(S2028)&lt;=Summary!$B$2,"PASS","FAIL")))</f>
        <v/>
      </c>
      <c r="U2028" s="8" t="str">
        <f aca="false">IF(T2028="BYPASS",IF(NOT(ISNUMBER(Q2028)),"PreV_ETB missing","End_tr_balance missing"),IF(T2028="FAIL",IF(AND(ISNUMBER(K2028),ISNUMBER(L2028),ABS(L2028-(K2028-IF(ISNUMBER(N2028),N2028,0)-IF(ISNUMBER(O2028),O2028,0)+IF(ISNUMBER(P2028),P2028,0)))&lt;=Summary!$B$2),"Passes using beginning_balance - PreV_ETB differs from beginning_balance",IF(AND(ISNUMBER(O2028),O2028&lt;0,ABS(L2028-(Q2028-IF(ISNUMBER(N2028),N2028,0)+IF(ISNUMBER(P2028),P2028,0)))&lt;=Summary!$B$2),"Negative realized loss not applied - check sign",IF(R2028&lt;0,"Principal paid exceeds prior balance",IF(AND(L2028&gt;Q2028,NOT(ISNUMBER(P2028))),"Balance increased but no Deferred_interest reported",IF(L2028&gt;R2028,"Reported balance higher than expected (missing increase/OC build)","Reported balance lower than expected (missing decrease)"))))),""))</f>
        <v/>
      </c>
    </row>
    <row r="2029" customFormat="false" ht="15" hidden="false" customHeight="false" outlineLevel="0" collapsed="false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9"/>
      <c r="L2029" s="9"/>
      <c r="M2029" s="9"/>
      <c r="N2029" s="9"/>
      <c r="O2029" s="9"/>
      <c r="P2029" s="9"/>
      <c r="Q2029" s="9"/>
      <c r="R2029" s="9" t="str">
        <f aca="false">IF(AND(A2029&lt;&gt;"",ISNUMBER(Q2029),ISNUMBER(L2029)),ROUND(Q2029-IF(ISNUMBER(N2029),N2029,0)-IF(ISNUMBER(O2029),O2029,0)+IF(ISNUMBER(P2029),P2029,0),2),"")</f>
        <v/>
      </c>
      <c r="S2029" s="9" t="str">
        <f aca="false">IF(R2029="","",ROUND(L2029-R2029,2))</f>
        <v/>
      </c>
      <c r="T2029" s="8" t="str">
        <f aca="false">IF(A2029="","",IF(S2029="","BYPASS",IF(ABS(S2029)&lt;=Summary!$B$2,"PASS","FAIL")))</f>
        <v/>
      </c>
      <c r="U2029" s="8" t="str">
        <f aca="false">IF(T2029="BYPASS",IF(NOT(ISNUMBER(Q2029)),"PreV_ETB missing","End_tr_balance missing"),IF(T2029="FAIL",IF(AND(ISNUMBER(K2029),ISNUMBER(L2029),ABS(L2029-(K2029-IF(ISNUMBER(N2029),N2029,0)-IF(ISNUMBER(O2029),O2029,0)+IF(ISNUMBER(P2029),P2029,0)))&lt;=Summary!$B$2),"Passes using beginning_balance - PreV_ETB differs from beginning_balance",IF(AND(ISNUMBER(O2029),O2029&lt;0,ABS(L2029-(Q2029-IF(ISNUMBER(N2029),N2029,0)+IF(ISNUMBER(P2029),P2029,0)))&lt;=Summary!$B$2),"Negative realized loss not applied - check sign",IF(R2029&lt;0,"Principal paid exceeds prior balance",IF(AND(L2029&gt;Q2029,NOT(ISNUMBER(P2029))),"Balance increased but no Deferred_interest reported",IF(L2029&gt;R2029,"Reported balance higher than expected (missing increase/OC build)","Reported balance lower than expected (missing decrease)"))))),""))</f>
        <v/>
      </c>
    </row>
    <row r="2030" customFormat="false" ht="15" hidden="false" customHeight="false" outlineLevel="0" collapsed="false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9"/>
      <c r="L2030" s="9"/>
      <c r="M2030" s="9"/>
      <c r="N2030" s="9"/>
      <c r="O2030" s="9"/>
      <c r="P2030" s="9"/>
      <c r="Q2030" s="9"/>
      <c r="R2030" s="9" t="str">
        <f aca="false">IF(AND(A2030&lt;&gt;"",ISNUMBER(Q2030),ISNUMBER(L2030)),ROUND(Q2030-IF(ISNUMBER(N2030),N2030,0)-IF(ISNUMBER(O2030),O2030,0)+IF(ISNUMBER(P2030),P2030,0),2),"")</f>
        <v/>
      </c>
      <c r="S2030" s="9" t="str">
        <f aca="false">IF(R2030="","",ROUND(L2030-R2030,2))</f>
        <v/>
      </c>
      <c r="T2030" s="8" t="str">
        <f aca="false">IF(A2030="","",IF(S2030="","BYPASS",IF(ABS(S2030)&lt;=Summary!$B$2,"PASS","FAIL")))</f>
        <v/>
      </c>
      <c r="U2030" s="8" t="str">
        <f aca="false">IF(T2030="BYPASS",IF(NOT(ISNUMBER(Q2030)),"PreV_ETB missing","End_tr_balance missing"),IF(T2030="FAIL",IF(AND(ISNUMBER(K2030),ISNUMBER(L2030),ABS(L2030-(K2030-IF(ISNUMBER(N2030),N2030,0)-IF(ISNUMBER(O2030),O2030,0)+IF(ISNUMBER(P2030),P2030,0)))&lt;=Summary!$B$2),"Passes using beginning_balance - PreV_ETB differs from beginning_balance",IF(AND(ISNUMBER(O2030),O2030&lt;0,ABS(L2030-(Q2030-IF(ISNUMBER(N2030),N2030,0)+IF(ISNUMBER(P2030),P2030,0)))&lt;=Summary!$B$2),"Negative realized loss not applied - check sign",IF(R2030&lt;0,"Principal paid exceeds prior balance",IF(AND(L2030&gt;Q2030,NOT(ISNUMBER(P2030))),"Balance increased but no Deferred_interest reported",IF(L2030&gt;R2030,"Reported balance higher than expected (missing increase/OC build)","Reported balance lower than expected (missing decrease)"))))),""))</f>
        <v/>
      </c>
    </row>
    <row r="2031" customFormat="false" ht="15" hidden="false" customHeight="false" outlineLevel="0" collapsed="false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9"/>
      <c r="L2031" s="9"/>
      <c r="M2031" s="9"/>
      <c r="N2031" s="9"/>
      <c r="O2031" s="9"/>
      <c r="P2031" s="9"/>
      <c r="Q2031" s="9"/>
      <c r="R2031" s="9" t="str">
        <f aca="false">IF(AND(A2031&lt;&gt;"",ISNUMBER(Q2031),ISNUMBER(L2031)),ROUND(Q2031-IF(ISNUMBER(N2031),N2031,0)-IF(ISNUMBER(O2031),O2031,0)+IF(ISNUMBER(P2031),P2031,0),2),"")</f>
        <v/>
      </c>
      <c r="S2031" s="9" t="str">
        <f aca="false">IF(R2031="","",ROUND(L2031-R2031,2))</f>
        <v/>
      </c>
      <c r="T2031" s="8" t="str">
        <f aca="false">IF(A2031="","",IF(S2031="","BYPASS",IF(ABS(S2031)&lt;=Summary!$B$2,"PASS","FAIL")))</f>
        <v/>
      </c>
      <c r="U2031" s="8" t="str">
        <f aca="false">IF(T2031="BYPASS",IF(NOT(ISNUMBER(Q2031)),"PreV_ETB missing","End_tr_balance missing"),IF(T2031="FAIL",IF(AND(ISNUMBER(K2031),ISNUMBER(L2031),ABS(L2031-(K2031-IF(ISNUMBER(N2031),N2031,0)-IF(ISNUMBER(O2031),O2031,0)+IF(ISNUMBER(P2031),P2031,0)))&lt;=Summary!$B$2),"Passes using beginning_balance - PreV_ETB differs from beginning_balance",IF(AND(ISNUMBER(O2031),O2031&lt;0,ABS(L2031-(Q2031-IF(ISNUMBER(N2031),N2031,0)+IF(ISNUMBER(P2031),P2031,0)))&lt;=Summary!$B$2),"Negative realized loss not applied - check sign",IF(R2031&lt;0,"Principal paid exceeds prior balance",IF(AND(L2031&gt;Q2031,NOT(ISNUMBER(P2031))),"Balance increased but no Deferred_interest reported",IF(L2031&gt;R2031,"Reported balance higher than expected (missing increase/OC build)","Reported balance lower than expected (missing decrease)"))))),""))</f>
        <v/>
      </c>
    </row>
    <row r="2032" customFormat="false" ht="15" hidden="false" customHeight="false" outlineLevel="0" collapsed="false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9"/>
      <c r="L2032" s="9"/>
      <c r="M2032" s="9"/>
      <c r="N2032" s="9"/>
      <c r="O2032" s="9"/>
      <c r="P2032" s="9"/>
      <c r="Q2032" s="9"/>
      <c r="R2032" s="9" t="str">
        <f aca="false">IF(AND(A2032&lt;&gt;"",ISNUMBER(Q2032),ISNUMBER(L2032)),ROUND(Q2032-IF(ISNUMBER(N2032),N2032,0)-IF(ISNUMBER(O2032),O2032,0)+IF(ISNUMBER(P2032),P2032,0),2),"")</f>
        <v/>
      </c>
      <c r="S2032" s="9" t="str">
        <f aca="false">IF(R2032="","",ROUND(L2032-R2032,2))</f>
        <v/>
      </c>
      <c r="T2032" s="8" t="str">
        <f aca="false">IF(A2032="","",IF(S2032="","BYPASS",IF(ABS(S2032)&lt;=Summary!$B$2,"PASS","FAIL")))</f>
        <v/>
      </c>
      <c r="U2032" s="8" t="str">
        <f aca="false">IF(T2032="BYPASS",IF(NOT(ISNUMBER(Q2032)),"PreV_ETB missing","End_tr_balance missing"),IF(T2032="FAIL",IF(AND(ISNUMBER(K2032),ISNUMBER(L2032),ABS(L2032-(K2032-IF(ISNUMBER(N2032),N2032,0)-IF(ISNUMBER(O2032),O2032,0)+IF(ISNUMBER(P2032),P2032,0)))&lt;=Summary!$B$2),"Passes using beginning_balance - PreV_ETB differs from beginning_balance",IF(AND(ISNUMBER(O2032),O2032&lt;0,ABS(L2032-(Q2032-IF(ISNUMBER(N2032),N2032,0)+IF(ISNUMBER(P2032),P2032,0)))&lt;=Summary!$B$2),"Negative realized loss not applied - check sign",IF(R2032&lt;0,"Principal paid exceeds prior balance",IF(AND(L2032&gt;Q2032,NOT(ISNUMBER(P2032))),"Balance increased but no Deferred_interest reported",IF(L2032&gt;R2032,"Reported balance higher than expected (missing increase/OC build)","Reported balance lower than expected (missing decrease)"))))),""))</f>
        <v/>
      </c>
    </row>
    <row r="2033" customFormat="false" ht="15" hidden="false" customHeight="false" outlineLevel="0" collapsed="false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9"/>
      <c r="L2033" s="9"/>
      <c r="M2033" s="9"/>
      <c r="N2033" s="9"/>
      <c r="O2033" s="9"/>
      <c r="P2033" s="9"/>
      <c r="Q2033" s="9"/>
      <c r="R2033" s="9" t="str">
        <f aca="false">IF(AND(A2033&lt;&gt;"",ISNUMBER(Q2033),ISNUMBER(L2033)),ROUND(Q2033-IF(ISNUMBER(N2033),N2033,0)-IF(ISNUMBER(O2033),O2033,0)+IF(ISNUMBER(P2033),P2033,0),2),"")</f>
        <v/>
      </c>
      <c r="S2033" s="9" t="str">
        <f aca="false">IF(R2033="","",ROUND(L2033-R2033,2))</f>
        <v/>
      </c>
      <c r="T2033" s="8" t="str">
        <f aca="false">IF(A2033="","",IF(S2033="","BYPASS",IF(ABS(S2033)&lt;=Summary!$B$2,"PASS","FAIL")))</f>
        <v/>
      </c>
      <c r="U2033" s="8" t="str">
        <f aca="false">IF(T2033="BYPASS",IF(NOT(ISNUMBER(Q2033)),"PreV_ETB missing","End_tr_balance missing"),IF(T2033="FAIL",IF(AND(ISNUMBER(K2033),ISNUMBER(L2033),ABS(L2033-(K2033-IF(ISNUMBER(N2033),N2033,0)-IF(ISNUMBER(O2033),O2033,0)+IF(ISNUMBER(P2033),P2033,0)))&lt;=Summary!$B$2),"Passes using beginning_balance - PreV_ETB differs from beginning_balance",IF(AND(ISNUMBER(O2033),O2033&lt;0,ABS(L2033-(Q2033-IF(ISNUMBER(N2033),N2033,0)+IF(ISNUMBER(P2033),P2033,0)))&lt;=Summary!$B$2),"Negative realized loss not applied - check sign",IF(R2033&lt;0,"Principal paid exceeds prior balance",IF(AND(L2033&gt;Q2033,NOT(ISNUMBER(P2033))),"Balance increased but no Deferred_interest reported",IF(L2033&gt;R2033,"Reported balance higher than expected (missing increase/OC build)","Reported balance lower than expected (missing decrease)"))))),""))</f>
        <v/>
      </c>
    </row>
    <row r="2034" customFormat="false" ht="15" hidden="false" customHeight="false" outlineLevel="0" collapsed="false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9"/>
      <c r="L2034" s="9"/>
      <c r="M2034" s="9"/>
      <c r="N2034" s="9"/>
      <c r="O2034" s="9"/>
      <c r="P2034" s="9"/>
      <c r="Q2034" s="9"/>
      <c r="R2034" s="9" t="str">
        <f aca="false">IF(AND(A2034&lt;&gt;"",ISNUMBER(Q2034),ISNUMBER(L2034)),ROUND(Q2034-IF(ISNUMBER(N2034),N2034,0)-IF(ISNUMBER(O2034),O2034,0)+IF(ISNUMBER(P2034),P2034,0),2),"")</f>
        <v/>
      </c>
      <c r="S2034" s="9" t="str">
        <f aca="false">IF(R2034="","",ROUND(L2034-R2034,2))</f>
        <v/>
      </c>
      <c r="T2034" s="8" t="str">
        <f aca="false">IF(A2034="","",IF(S2034="","BYPASS",IF(ABS(S2034)&lt;=Summary!$B$2,"PASS","FAIL")))</f>
        <v/>
      </c>
      <c r="U2034" s="8" t="str">
        <f aca="false">IF(T2034="BYPASS",IF(NOT(ISNUMBER(Q2034)),"PreV_ETB missing","End_tr_balance missing"),IF(T2034="FAIL",IF(AND(ISNUMBER(K2034),ISNUMBER(L2034),ABS(L2034-(K2034-IF(ISNUMBER(N2034),N2034,0)-IF(ISNUMBER(O2034),O2034,0)+IF(ISNUMBER(P2034),P2034,0)))&lt;=Summary!$B$2),"Passes using beginning_balance - PreV_ETB differs from beginning_balance",IF(AND(ISNUMBER(O2034),O2034&lt;0,ABS(L2034-(Q2034-IF(ISNUMBER(N2034),N2034,0)+IF(ISNUMBER(P2034),P2034,0)))&lt;=Summary!$B$2),"Negative realized loss not applied - check sign",IF(R2034&lt;0,"Principal paid exceeds prior balance",IF(AND(L2034&gt;Q2034,NOT(ISNUMBER(P2034))),"Balance increased but no Deferred_interest reported",IF(L2034&gt;R2034,"Reported balance higher than expected (missing increase/OC build)","Reported balance lower than expected (missing decrease)"))))),""))</f>
        <v/>
      </c>
    </row>
    <row r="2035" customFormat="false" ht="15" hidden="false" customHeight="false" outlineLevel="0" collapsed="false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9"/>
      <c r="L2035" s="9"/>
      <c r="M2035" s="9"/>
      <c r="N2035" s="9"/>
      <c r="O2035" s="9"/>
      <c r="P2035" s="9"/>
      <c r="Q2035" s="9"/>
      <c r="R2035" s="9" t="str">
        <f aca="false">IF(AND(A2035&lt;&gt;"",ISNUMBER(Q2035),ISNUMBER(L2035)),ROUND(Q2035-IF(ISNUMBER(N2035),N2035,0)-IF(ISNUMBER(O2035),O2035,0)+IF(ISNUMBER(P2035),P2035,0),2),"")</f>
        <v/>
      </c>
      <c r="S2035" s="9" t="str">
        <f aca="false">IF(R2035="","",ROUND(L2035-R2035,2))</f>
        <v/>
      </c>
      <c r="T2035" s="8" t="str">
        <f aca="false">IF(A2035="","",IF(S2035="","BYPASS",IF(ABS(S2035)&lt;=Summary!$B$2,"PASS","FAIL")))</f>
        <v/>
      </c>
      <c r="U2035" s="8" t="str">
        <f aca="false">IF(T2035="BYPASS",IF(NOT(ISNUMBER(Q2035)),"PreV_ETB missing","End_tr_balance missing"),IF(T2035="FAIL",IF(AND(ISNUMBER(K2035),ISNUMBER(L2035),ABS(L2035-(K2035-IF(ISNUMBER(N2035),N2035,0)-IF(ISNUMBER(O2035),O2035,0)+IF(ISNUMBER(P2035),P2035,0)))&lt;=Summary!$B$2),"Passes using beginning_balance - PreV_ETB differs from beginning_balance",IF(AND(ISNUMBER(O2035),O2035&lt;0,ABS(L2035-(Q2035-IF(ISNUMBER(N2035),N2035,0)+IF(ISNUMBER(P2035),P2035,0)))&lt;=Summary!$B$2),"Negative realized loss not applied - check sign",IF(R2035&lt;0,"Principal paid exceeds prior balance",IF(AND(L2035&gt;Q2035,NOT(ISNUMBER(P2035))),"Balance increased but no Deferred_interest reported",IF(L2035&gt;R2035,"Reported balance higher than expected (missing increase/OC build)","Reported balance lower than expected (missing decrease)"))))),""))</f>
        <v/>
      </c>
    </row>
    <row r="2036" customFormat="false" ht="15" hidden="false" customHeight="false" outlineLevel="0" collapsed="false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9"/>
      <c r="L2036" s="9"/>
      <c r="M2036" s="9"/>
      <c r="N2036" s="9"/>
      <c r="O2036" s="9"/>
      <c r="P2036" s="9"/>
      <c r="Q2036" s="9"/>
      <c r="R2036" s="9" t="str">
        <f aca="false">IF(AND(A2036&lt;&gt;"",ISNUMBER(Q2036),ISNUMBER(L2036)),ROUND(Q2036-IF(ISNUMBER(N2036),N2036,0)-IF(ISNUMBER(O2036),O2036,0)+IF(ISNUMBER(P2036),P2036,0),2),"")</f>
        <v/>
      </c>
      <c r="S2036" s="9" t="str">
        <f aca="false">IF(R2036="","",ROUND(L2036-R2036,2))</f>
        <v/>
      </c>
      <c r="T2036" s="8" t="str">
        <f aca="false">IF(A2036="","",IF(S2036="","BYPASS",IF(ABS(S2036)&lt;=Summary!$B$2,"PASS","FAIL")))</f>
        <v/>
      </c>
      <c r="U2036" s="8" t="str">
        <f aca="false">IF(T2036="BYPASS",IF(NOT(ISNUMBER(Q2036)),"PreV_ETB missing","End_tr_balance missing"),IF(T2036="FAIL",IF(AND(ISNUMBER(K2036),ISNUMBER(L2036),ABS(L2036-(K2036-IF(ISNUMBER(N2036),N2036,0)-IF(ISNUMBER(O2036),O2036,0)+IF(ISNUMBER(P2036),P2036,0)))&lt;=Summary!$B$2),"Passes using beginning_balance - PreV_ETB differs from beginning_balance",IF(AND(ISNUMBER(O2036),O2036&lt;0,ABS(L2036-(Q2036-IF(ISNUMBER(N2036),N2036,0)+IF(ISNUMBER(P2036),P2036,0)))&lt;=Summary!$B$2),"Negative realized loss not applied - check sign",IF(R2036&lt;0,"Principal paid exceeds prior balance",IF(AND(L2036&gt;Q2036,NOT(ISNUMBER(P2036))),"Balance increased but no Deferred_interest reported",IF(L2036&gt;R2036,"Reported balance higher than expected (missing increase/OC build)","Reported balance lower than expected (missing decrease)"))))),""))</f>
        <v/>
      </c>
    </row>
    <row r="2037" customFormat="false" ht="15" hidden="false" customHeight="false" outlineLevel="0" collapsed="false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9"/>
      <c r="L2037" s="9"/>
      <c r="M2037" s="9"/>
      <c r="N2037" s="9"/>
      <c r="O2037" s="9"/>
      <c r="P2037" s="9"/>
      <c r="Q2037" s="9"/>
      <c r="R2037" s="9" t="str">
        <f aca="false">IF(AND(A2037&lt;&gt;"",ISNUMBER(Q2037),ISNUMBER(L2037)),ROUND(Q2037-IF(ISNUMBER(N2037),N2037,0)-IF(ISNUMBER(O2037),O2037,0)+IF(ISNUMBER(P2037),P2037,0),2),"")</f>
        <v/>
      </c>
      <c r="S2037" s="9" t="str">
        <f aca="false">IF(R2037="","",ROUND(L2037-R2037,2))</f>
        <v/>
      </c>
      <c r="T2037" s="8" t="str">
        <f aca="false">IF(A2037="","",IF(S2037="","BYPASS",IF(ABS(S2037)&lt;=Summary!$B$2,"PASS","FAIL")))</f>
        <v/>
      </c>
      <c r="U2037" s="8" t="str">
        <f aca="false">IF(T2037="BYPASS",IF(NOT(ISNUMBER(Q2037)),"PreV_ETB missing","End_tr_balance missing"),IF(T2037="FAIL",IF(AND(ISNUMBER(K2037),ISNUMBER(L2037),ABS(L2037-(K2037-IF(ISNUMBER(N2037),N2037,0)-IF(ISNUMBER(O2037),O2037,0)+IF(ISNUMBER(P2037),P2037,0)))&lt;=Summary!$B$2),"Passes using beginning_balance - PreV_ETB differs from beginning_balance",IF(AND(ISNUMBER(O2037),O2037&lt;0,ABS(L2037-(Q2037-IF(ISNUMBER(N2037),N2037,0)+IF(ISNUMBER(P2037),P2037,0)))&lt;=Summary!$B$2),"Negative realized loss not applied - check sign",IF(R2037&lt;0,"Principal paid exceeds prior balance",IF(AND(L2037&gt;Q2037,NOT(ISNUMBER(P2037))),"Balance increased but no Deferred_interest reported",IF(L2037&gt;R2037,"Reported balance higher than expected (missing increase/OC build)","Reported balance lower than expected (missing decrease)"))))),""))</f>
        <v/>
      </c>
    </row>
    <row r="2038" customFormat="false" ht="15" hidden="false" customHeight="false" outlineLevel="0" collapsed="false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9"/>
      <c r="L2038" s="9"/>
      <c r="M2038" s="9"/>
      <c r="N2038" s="9"/>
      <c r="O2038" s="9"/>
      <c r="P2038" s="9"/>
      <c r="Q2038" s="9"/>
      <c r="R2038" s="9" t="str">
        <f aca="false">IF(AND(A2038&lt;&gt;"",ISNUMBER(Q2038),ISNUMBER(L2038)),ROUND(Q2038-IF(ISNUMBER(N2038),N2038,0)-IF(ISNUMBER(O2038),O2038,0)+IF(ISNUMBER(P2038),P2038,0),2),"")</f>
        <v/>
      </c>
      <c r="S2038" s="9" t="str">
        <f aca="false">IF(R2038="","",ROUND(L2038-R2038,2))</f>
        <v/>
      </c>
      <c r="T2038" s="8" t="str">
        <f aca="false">IF(A2038="","",IF(S2038="","BYPASS",IF(ABS(S2038)&lt;=Summary!$B$2,"PASS","FAIL")))</f>
        <v/>
      </c>
      <c r="U2038" s="8" t="str">
        <f aca="false">IF(T2038="BYPASS",IF(NOT(ISNUMBER(Q2038)),"PreV_ETB missing","End_tr_balance missing"),IF(T2038="FAIL",IF(AND(ISNUMBER(K2038),ISNUMBER(L2038),ABS(L2038-(K2038-IF(ISNUMBER(N2038),N2038,0)-IF(ISNUMBER(O2038),O2038,0)+IF(ISNUMBER(P2038),P2038,0)))&lt;=Summary!$B$2),"Passes using beginning_balance - PreV_ETB differs from beginning_balance",IF(AND(ISNUMBER(O2038),O2038&lt;0,ABS(L2038-(Q2038-IF(ISNUMBER(N2038),N2038,0)+IF(ISNUMBER(P2038),P2038,0)))&lt;=Summary!$B$2),"Negative realized loss not applied - check sign",IF(R2038&lt;0,"Principal paid exceeds prior balance",IF(AND(L2038&gt;Q2038,NOT(ISNUMBER(P2038))),"Balance increased but no Deferred_interest reported",IF(L2038&gt;R2038,"Reported balance higher than expected (missing increase/OC build)","Reported balance lower than expected (missing decrease)"))))),""))</f>
        <v/>
      </c>
    </row>
    <row r="2039" customFormat="false" ht="15" hidden="false" customHeight="false" outlineLevel="0" collapsed="false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9"/>
      <c r="L2039" s="9"/>
      <c r="M2039" s="9"/>
      <c r="N2039" s="9"/>
      <c r="O2039" s="9"/>
      <c r="P2039" s="9"/>
      <c r="Q2039" s="9"/>
      <c r="R2039" s="9" t="str">
        <f aca="false">IF(AND(A2039&lt;&gt;"",ISNUMBER(Q2039),ISNUMBER(L2039)),ROUND(Q2039-IF(ISNUMBER(N2039),N2039,0)-IF(ISNUMBER(O2039),O2039,0)+IF(ISNUMBER(P2039),P2039,0),2),"")</f>
        <v/>
      </c>
      <c r="S2039" s="9" t="str">
        <f aca="false">IF(R2039="","",ROUND(L2039-R2039,2))</f>
        <v/>
      </c>
      <c r="T2039" s="8" t="str">
        <f aca="false">IF(A2039="","",IF(S2039="","BYPASS",IF(ABS(S2039)&lt;=Summary!$B$2,"PASS","FAIL")))</f>
        <v/>
      </c>
      <c r="U2039" s="8" t="str">
        <f aca="false">IF(T2039="BYPASS",IF(NOT(ISNUMBER(Q2039)),"PreV_ETB missing","End_tr_balance missing"),IF(T2039="FAIL",IF(AND(ISNUMBER(K2039),ISNUMBER(L2039),ABS(L2039-(K2039-IF(ISNUMBER(N2039),N2039,0)-IF(ISNUMBER(O2039),O2039,0)+IF(ISNUMBER(P2039),P2039,0)))&lt;=Summary!$B$2),"Passes using beginning_balance - PreV_ETB differs from beginning_balance",IF(AND(ISNUMBER(O2039),O2039&lt;0,ABS(L2039-(Q2039-IF(ISNUMBER(N2039),N2039,0)+IF(ISNUMBER(P2039),P2039,0)))&lt;=Summary!$B$2),"Negative realized loss not applied - check sign",IF(R2039&lt;0,"Principal paid exceeds prior balance",IF(AND(L2039&gt;Q2039,NOT(ISNUMBER(P2039))),"Balance increased but no Deferred_interest reported",IF(L2039&gt;R2039,"Reported balance higher than expected (missing increase/OC build)","Reported balance lower than expected (missing decrease)"))))),""))</f>
        <v/>
      </c>
    </row>
    <row r="2040" customFormat="false" ht="15" hidden="false" customHeight="false" outlineLevel="0" collapsed="false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9"/>
      <c r="L2040" s="9"/>
      <c r="M2040" s="9"/>
      <c r="N2040" s="9"/>
      <c r="O2040" s="9"/>
      <c r="P2040" s="9"/>
      <c r="Q2040" s="9"/>
      <c r="R2040" s="9" t="str">
        <f aca="false">IF(AND(A2040&lt;&gt;"",ISNUMBER(Q2040),ISNUMBER(L2040)),ROUND(Q2040-IF(ISNUMBER(N2040),N2040,0)-IF(ISNUMBER(O2040),O2040,0)+IF(ISNUMBER(P2040),P2040,0),2),"")</f>
        <v/>
      </c>
      <c r="S2040" s="9" t="str">
        <f aca="false">IF(R2040="","",ROUND(L2040-R2040,2))</f>
        <v/>
      </c>
      <c r="T2040" s="8" t="str">
        <f aca="false">IF(A2040="","",IF(S2040="","BYPASS",IF(ABS(S2040)&lt;=Summary!$B$2,"PASS","FAIL")))</f>
        <v/>
      </c>
      <c r="U2040" s="8" t="str">
        <f aca="false">IF(T2040="BYPASS",IF(NOT(ISNUMBER(Q2040)),"PreV_ETB missing","End_tr_balance missing"),IF(T2040="FAIL",IF(AND(ISNUMBER(K2040),ISNUMBER(L2040),ABS(L2040-(K2040-IF(ISNUMBER(N2040),N2040,0)-IF(ISNUMBER(O2040),O2040,0)+IF(ISNUMBER(P2040),P2040,0)))&lt;=Summary!$B$2),"Passes using beginning_balance - PreV_ETB differs from beginning_balance",IF(AND(ISNUMBER(O2040),O2040&lt;0,ABS(L2040-(Q2040-IF(ISNUMBER(N2040),N2040,0)+IF(ISNUMBER(P2040),P2040,0)))&lt;=Summary!$B$2),"Negative realized loss not applied - check sign",IF(R2040&lt;0,"Principal paid exceeds prior balance",IF(AND(L2040&gt;Q2040,NOT(ISNUMBER(P2040))),"Balance increased but no Deferred_interest reported",IF(L2040&gt;R2040,"Reported balance higher than expected (missing increase/OC build)","Reported balance lower than expected (missing decrease)"))))),""))</f>
        <v/>
      </c>
    </row>
    <row r="2041" customFormat="false" ht="15" hidden="false" customHeight="false" outlineLevel="0" collapsed="false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9"/>
      <c r="L2041" s="9"/>
      <c r="M2041" s="9"/>
      <c r="N2041" s="9"/>
      <c r="O2041" s="9"/>
      <c r="P2041" s="9"/>
      <c r="Q2041" s="9"/>
      <c r="R2041" s="9" t="str">
        <f aca="false">IF(AND(A2041&lt;&gt;"",ISNUMBER(Q2041),ISNUMBER(L2041)),ROUND(Q2041-IF(ISNUMBER(N2041),N2041,0)-IF(ISNUMBER(O2041),O2041,0)+IF(ISNUMBER(P2041),P2041,0),2),"")</f>
        <v/>
      </c>
      <c r="S2041" s="9" t="str">
        <f aca="false">IF(R2041="","",ROUND(L2041-R2041,2))</f>
        <v/>
      </c>
      <c r="T2041" s="8" t="str">
        <f aca="false">IF(A2041="","",IF(S2041="","BYPASS",IF(ABS(S2041)&lt;=Summary!$B$2,"PASS","FAIL")))</f>
        <v/>
      </c>
      <c r="U2041" s="8" t="str">
        <f aca="false">IF(T2041="BYPASS",IF(NOT(ISNUMBER(Q2041)),"PreV_ETB missing","End_tr_balance missing"),IF(T2041="FAIL",IF(AND(ISNUMBER(K2041),ISNUMBER(L2041),ABS(L2041-(K2041-IF(ISNUMBER(N2041),N2041,0)-IF(ISNUMBER(O2041),O2041,0)+IF(ISNUMBER(P2041),P2041,0)))&lt;=Summary!$B$2),"Passes using beginning_balance - PreV_ETB differs from beginning_balance",IF(AND(ISNUMBER(O2041),O2041&lt;0,ABS(L2041-(Q2041-IF(ISNUMBER(N2041),N2041,0)+IF(ISNUMBER(P2041),P2041,0)))&lt;=Summary!$B$2),"Negative realized loss not applied - check sign",IF(R2041&lt;0,"Principal paid exceeds prior balance",IF(AND(L2041&gt;Q2041,NOT(ISNUMBER(P2041))),"Balance increased but no Deferred_interest reported",IF(L2041&gt;R2041,"Reported balance higher than expected (missing increase/OC build)","Reported balance lower than expected (missing decrease)"))))),""))</f>
        <v/>
      </c>
    </row>
    <row r="2042" customFormat="false" ht="15" hidden="false" customHeight="false" outlineLevel="0" collapsed="false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9"/>
      <c r="L2042" s="9"/>
      <c r="M2042" s="9"/>
      <c r="N2042" s="9"/>
      <c r="O2042" s="9"/>
      <c r="P2042" s="9"/>
      <c r="Q2042" s="9"/>
      <c r="R2042" s="9" t="str">
        <f aca="false">IF(AND(A2042&lt;&gt;"",ISNUMBER(Q2042),ISNUMBER(L2042)),ROUND(Q2042-IF(ISNUMBER(N2042),N2042,0)-IF(ISNUMBER(O2042),O2042,0)+IF(ISNUMBER(P2042),P2042,0),2),"")</f>
        <v/>
      </c>
      <c r="S2042" s="9" t="str">
        <f aca="false">IF(R2042="","",ROUND(L2042-R2042,2))</f>
        <v/>
      </c>
      <c r="T2042" s="8" t="str">
        <f aca="false">IF(A2042="","",IF(S2042="","BYPASS",IF(ABS(S2042)&lt;=Summary!$B$2,"PASS","FAIL")))</f>
        <v/>
      </c>
      <c r="U2042" s="8" t="str">
        <f aca="false">IF(T2042="BYPASS",IF(NOT(ISNUMBER(Q2042)),"PreV_ETB missing","End_tr_balance missing"),IF(T2042="FAIL",IF(AND(ISNUMBER(K2042),ISNUMBER(L2042),ABS(L2042-(K2042-IF(ISNUMBER(N2042),N2042,0)-IF(ISNUMBER(O2042),O2042,0)+IF(ISNUMBER(P2042),P2042,0)))&lt;=Summary!$B$2),"Passes using beginning_balance - PreV_ETB differs from beginning_balance",IF(AND(ISNUMBER(O2042),O2042&lt;0,ABS(L2042-(Q2042-IF(ISNUMBER(N2042),N2042,0)+IF(ISNUMBER(P2042),P2042,0)))&lt;=Summary!$B$2),"Negative realized loss not applied - check sign",IF(R2042&lt;0,"Principal paid exceeds prior balance",IF(AND(L2042&gt;Q2042,NOT(ISNUMBER(P2042))),"Balance increased but no Deferred_interest reported",IF(L2042&gt;R2042,"Reported balance higher than expected (missing increase/OC build)","Reported balance lower than expected (missing decrease)"))))),""))</f>
        <v/>
      </c>
    </row>
    <row r="2043" customFormat="false" ht="15" hidden="false" customHeight="false" outlineLevel="0" collapsed="false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9"/>
      <c r="L2043" s="9"/>
      <c r="M2043" s="9"/>
      <c r="N2043" s="9"/>
      <c r="O2043" s="9"/>
      <c r="P2043" s="9"/>
      <c r="Q2043" s="9"/>
      <c r="R2043" s="9" t="str">
        <f aca="false">IF(AND(A2043&lt;&gt;"",ISNUMBER(Q2043),ISNUMBER(L2043)),ROUND(Q2043-IF(ISNUMBER(N2043),N2043,0)-IF(ISNUMBER(O2043),O2043,0)+IF(ISNUMBER(P2043),P2043,0),2),"")</f>
        <v/>
      </c>
      <c r="S2043" s="9" t="str">
        <f aca="false">IF(R2043="","",ROUND(L2043-R2043,2))</f>
        <v/>
      </c>
      <c r="T2043" s="8" t="str">
        <f aca="false">IF(A2043="","",IF(S2043="","BYPASS",IF(ABS(S2043)&lt;=Summary!$B$2,"PASS","FAIL")))</f>
        <v/>
      </c>
      <c r="U2043" s="8" t="str">
        <f aca="false">IF(T2043="BYPASS",IF(NOT(ISNUMBER(Q2043)),"PreV_ETB missing","End_tr_balance missing"),IF(T2043="FAIL",IF(AND(ISNUMBER(K2043),ISNUMBER(L2043),ABS(L2043-(K2043-IF(ISNUMBER(N2043),N2043,0)-IF(ISNUMBER(O2043),O2043,0)+IF(ISNUMBER(P2043),P2043,0)))&lt;=Summary!$B$2),"Passes using beginning_balance - PreV_ETB differs from beginning_balance",IF(AND(ISNUMBER(O2043),O2043&lt;0,ABS(L2043-(Q2043-IF(ISNUMBER(N2043),N2043,0)+IF(ISNUMBER(P2043),P2043,0)))&lt;=Summary!$B$2),"Negative realized loss not applied - check sign",IF(R2043&lt;0,"Principal paid exceeds prior balance",IF(AND(L2043&gt;Q2043,NOT(ISNUMBER(P2043))),"Balance increased but no Deferred_interest reported",IF(L2043&gt;R2043,"Reported balance higher than expected (missing increase/OC build)","Reported balance lower than expected (missing decrease)"))))),""))</f>
        <v/>
      </c>
    </row>
    <row r="2044" customFormat="false" ht="15" hidden="false" customHeight="false" outlineLevel="0" collapsed="false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9"/>
      <c r="L2044" s="9"/>
      <c r="M2044" s="9"/>
      <c r="N2044" s="9"/>
      <c r="O2044" s="9"/>
      <c r="P2044" s="9"/>
      <c r="Q2044" s="9"/>
      <c r="R2044" s="9" t="str">
        <f aca="false">IF(AND(A2044&lt;&gt;"",ISNUMBER(Q2044),ISNUMBER(L2044)),ROUND(Q2044-IF(ISNUMBER(N2044),N2044,0)-IF(ISNUMBER(O2044),O2044,0)+IF(ISNUMBER(P2044),P2044,0),2),"")</f>
        <v/>
      </c>
      <c r="S2044" s="9" t="str">
        <f aca="false">IF(R2044="","",ROUND(L2044-R2044,2))</f>
        <v/>
      </c>
      <c r="T2044" s="8" t="str">
        <f aca="false">IF(A2044="","",IF(S2044="","BYPASS",IF(ABS(S2044)&lt;=Summary!$B$2,"PASS","FAIL")))</f>
        <v/>
      </c>
      <c r="U2044" s="8" t="str">
        <f aca="false">IF(T2044="BYPASS",IF(NOT(ISNUMBER(Q2044)),"PreV_ETB missing","End_tr_balance missing"),IF(T2044="FAIL",IF(AND(ISNUMBER(K2044),ISNUMBER(L2044),ABS(L2044-(K2044-IF(ISNUMBER(N2044),N2044,0)-IF(ISNUMBER(O2044),O2044,0)+IF(ISNUMBER(P2044),P2044,0)))&lt;=Summary!$B$2),"Passes using beginning_balance - PreV_ETB differs from beginning_balance",IF(AND(ISNUMBER(O2044),O2044&lt;0,ABS(L2044-(Q2044-IF(ISNUMBER(N2044),N2044,0)+IF(ISNUMBER(P2044),P2044,0)))&lt;=Summary!$B$2),"Negative realized loss not applied - check sign",IF(R2044&lt;0,"Principal paid exceeds prior balance",IF(AND(L2044&gt;Q2044,NOT(ISNUMBER(P2044))),"Balance increased but no Deferred_interest reported",IF(L2044&gt;R2044,"Reported balance higher than expected (missing increase/OC build)","Reported balance lower than expected (missing decrease)"))))),""))</f>
        <v/>
      </c>
    </row>
    <row r="2045" customFormat="false" ht="15" hidden="false" customHeight="false" outlineLevel="0" collapsed="false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9"/>
      <c r="L2045" s="9"/>
      <c r="M2045" s="9"/>
      <c r="N2045" s="9"/>
      <c r="O2045" s="9"/>
      <c r="P2045" s="9"/>
      <c r="Q2045" s="9"/>
      <c r="R2045" s="9" t="str">
        <f aca="false">IF(AND(A2045&lt;&gt;"",ISNUMBER(Q2045),ISNUMBER(L2045)),ROUND(Q2045-IF(ISNUMBER(N2045),N2045,0)-IF(ISNUMBER(O2045),O2045,0)+IF(ISNUMBER(P2045),P2045,0),2),"")</f>
        <v/>
      </c>
      <c r="S2045" s="9" t="str">
        <f aca="false">IF(R2045="","",ROUND(L2045-R2045,2))</f>
        <v/>
      </c>
      <c r="T2045" s="8" t="str">
        <f aca="false">IF(A2045="","",IF(S2045="","BYPASS",IF(ABS(S2045)&lt;=Summary!$B$2,"PASS","FAIL")))</f>
        <v/>
      </c>
      <c r="U2045" s="8" t="str">
        <f aca="false">IF(T2045="BYPASS",IF(NOT(ISNUMBER(Q2045)),"PreV_ETB missing","End_tr_balance missing"),IF(T2045="FAIL",IF(AND(ISNUMBER(K2045),ISNUMBER(L2045),ABS(L2045-(K2045-IF(ISNUMBER(N2045),N2045,0)-IF(ISNUMBER(O2045),O2045,0)+IF(ISNUMBER(P2045),P2045,0)))&lt;=Summary!$B$2),"Passes using beginning_balance - PreV_ETB differs from beginning_balance",IF(AND(ISNUMBER(O2045),O2045&lt;0,ABS(L2045-(Q2045-IF(ISNUMBER(N2045),N2045,0)+IF(ISNUMBER(P2045),P2045,0)))&lt;=Summary!$B$2),"Negative realized loss not applied - check sign",IF(R2045&lt;0,"Principal paid exceeds prior balance",IF(AND(L2045&gt;Q2045,NOT(ISNUMBER(P2045))),"Balance increased but no Deferred_interest reported",IF(L2045&gt;R2045,"Reported balance higher than expected (missing increase/OC build)","Reported balance lower than expected (missing decrease)"))))),""))</f>
        <v/>
      </c>
    </row>
    <row r="2046" customFormat="false" ht="15" hidden="false" customHeight="false" outlineLevel="0" collapsed="false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9"/>
      <c r="L2046" s="9"/>
      <c r="M2046" s="9"/>
      <c r="N2046" s="9"/>
      <c r="O2046" s="9"/>
      <c r="P2046" s="9"/>
      <c r="Q2046" s="9"/>
      <c r="R2046" s="9" t="str">
        <f aca="false">IF(AND(A2046&lt;&gt;"",ISNUMBER(Q2046),ISNUMBER(L2046)),ROUND(Q2046-IF(ISNUMBER(N2046),N2046,0)-IF(ISNUMBER(O2046),O2046,0)+IF(ISNUMBER(P2046),P2046,0),2),"")</f>
        <v/>
      </c>
      <c r="S2046" s="9" t="str">
        <f aca="false">IF(R2046="","",ROUND(L2046-R2046,2))</f>
        <v/>
      </c>
      <c r="T2046" s="8" t="str">
        <f aca="false">IF(A2046="","",IF(S2046="","BYPASS",IF(ABS(S2046)&lt;=Summary!$B$2,"PASS","FAIL")))</f>
        <v/>
      </c>
      <c r="U2046" s="8" t="str">
        <f aca="false">IF(T2046="BYPASS",IF(NOT(ISNUMBER(Q2046)),"PreV_ETB missing","End_tr_balance missing"),IF(T2046="FAIL",IF(AND(ISNUMBER(K2046),ISNUMBER(L2046),ABS(L2046-(K2046-IF(ISNUMBER(N2046),N2046,0)-IF(ISNUMBER(O2046),O2046,0)+IF(ISNUMBER(P2046),P2046,0)))&lt;=Summary!$B$2),"Passes using beginning_balance - PreV_ETB differs from beginning_balance",IF(AND(ISNUMBER(O2046),O2046&lt;0,ABS(L2046-(Q2046-IF(ISNUMBER(N2046),N2046,0)+IF(ISNUMBER(P2046),P2046,0)))&lt;=Summary!$B$2),"Negative realized loss not applied - check sign",IF(R2046&lt;0,"Principal paid exceeds prior balance",IF(AND(L2046&gt;Q2046,NOT(ISNUMBER(P2046))),"Balance increased but no Deferred_interest reported",IF(L2046&gt;R2046,"Reported balance higher than expected (missing increase/OC build)","Reported balance lower than expected (missing decrease)"))))),""))</f>
        <v/>
      </c>
    </row>
    <row r="2047" customFormat="false" ht="15" hidden="false" customHeight="false" outlineLevel="0" collapsed="false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9"/>
      <c r="L2047" s="9"/>
      <c r="M2047" s="9"/>
      <c r="N2047" s="9"/>
      <c r="O2047" s="9"/>
      <c r="P2047" s="9"/>
      <c r="Q2047" s="9"/>
      <c r="R2047" s="9" t="str">
        <f aca="false">IF(AND(A2047&lt;&gt;"",ISNUMBER(Q2047),ISNUMBER(L2047)),ROUND(Q2047-IF(ISNUMBER(N2047),N2047,0)-IF(ISNUMBER(O2047),O2047,0)+IF(ISNUMBER(P2047),P2047,0),2),"")</f>
        <v/>
      </c>
      <c r="S2047" s="9" t="str">
        <f aca="false">IF(R2047="","",ROUND(L2047-R2047,2))</f>
        <v/>
      </c>
      <c r="T2047" s="8" t="str">
        <f aca="false">IF(A2047="","",IF(S2047="","BYPASS",IF(ABS(S2047)&lt;=Summary!$B$2,"PASS","FAIL")))</f>
        <v/>
      </c>
      <c r="U2047" s="8" t="str">
        <f aca="false">IF(T2047="BYPASS",IF(NOT(ISNUMBER(Q2047)),"PreV_ETB missing","End_tr_balance missing"),IF(T2047="FAIL",IF(AND(ISNUMBER(K2047),ISNUMBER(L2047),ABS(L2047-(K2047-IF(ISNUMBER(N2047),N2047,0)-IF(ISNUMBER(O2047),O2047,0)+IF(ISNUMBER(P2047),P2047,0)))&lt;=Summary!$B$2),"Passes using beginning_balance - PreV_ETB differs from beginning_balance",IF(AND(ISNUMBER(O2047),O2047&lt;0,ABS(L2047-(Q2047-IF(ISNUMBER(N2047),N2047,0)+IF(ISNUMBER(P2047),P2047,0)))&lt;=Summary!$B$2),"Negative realized loss not applied - check sign",IF(R2047&lt;0,"Principal paid exceeds prior balance",IF(AND(L2047&gt;Q2047,NOT(ISNUMBER(P2047))),"Balance increased but no Deferred_interest reported",IF(L2047&gt;R2047,"Reported balance higher than expected (missing increase/OC build)","Reported balance lower than expected (missing decrease)"))))),""))</f>
        <v/>
      </c>
    </row>
    <row r="2048" customFormat="false" ht="15" hidden="false" customHeight="false" outlineLevel="0" collapsed="false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9"/>
      <c r="L2048" s="9"/>
      <c r="M2048" s="9"/>
      <c r="N2048" s="9"/>
      <c r="O2048" s="9"/>
      <c r="P2048" s="9"/>
      <c r="Q2048" s="9"/>
      <c r="R2048" s="9" t="str">
        <f aca="false">IF(AND(A2048&lt;&gt;"",ISNUMBER(Q2048),ISNUMBER(L2048)),ROUND(Q2048-IF(ISNUMBER(N2048),N2048,0)-IF(ISNUMBER(O2048),O2048,0)+IF(ISNUMBER(P2048),P2048,0),2),"")</f>
        <v/>
      </c>
      <c r="S2048" s="9" t="str">
        <f aca="false">IF(R2048="","",ROUND(L2048-R2048,2))</f>
        <v/>
      </c>
      <c r="T2048" s="8" t="str">
        <f aca="false">IF(A2048="","",IF(S2048="","BYPASS",IF(ABS(S2048)&lt;=Summary!$B$2,"PASS","FAIL")))</f>
        <v/>
      </c>
      <c r="U2048" s="8" t="str">
        <f aca="false">IF(T2048="BYPASS",IF(NOT(ISNUMBER(Q2048)),"PreV_ETB missing","End_tr_balance missing"),IF(T2048="FAIL",IF(AND(ISNUMBER(K2048),ISNUMBER(L2048),ABS(L2048-(K2048-IF(ISNUMBER(N2048),N2048,0)-IF(ISNUMBER(O2048),O2048,0)+IF(ISNUMBER(P2048),P2048,0)))&lt;=Summary!$B$2),"Passes using beginning_balance - PreV_ETB differs from beginning_balance",IF(AND(ISNUMBER(O2048),O2048&lt;0,ABS(L2048-(Q2048-IF(ISNUMBER(N2048),N2048,0)+IF(ISNUMBER(P2048),P2048,0)))&lt;=Summary!$B$2),"Negative realized loss not applied - check sign",IF(R2048&lt;0,"Principal paid exceeds prior balance",IF(AND(L2048&gt;Q2048,NOT(ISNUMBER(P2048))),"Balance increased but no Deferred_interest reported",IF(L2048&gt;R2048,"Reported balance higher than expected (missing increase/OC build)","Reported balance lower than expected (missing decrease)"))))),""))</f>
        <v/>
      </c>
    </row>
    <row r="2049" customFormat="false" ht="15" hidden="false" customHeight="false" outlineLevel="0" collapsed="false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9"/>
      <c r="L2049" s="9"/>
      <c r="M2049" s="9"/>
      <c r="N2049" s="9"/>
      <c r="O2049" s="9"/>
      <c r="P2049" s="9"/>
      <c r="Q2049" s="9"/>
      <c r="R2049" s="9" t="str">
        <f aca="false">IF(AND(A2049&lt;&gt;"",ISNUMBER(Q2049),ISNUMBER(L2049)),ROUND(Q2049-IF(ISNUMBER(N2049),N2049,0)-IF(ISNUMBER(O2049),O2049,0)+IF(ISNUMBER(P2049),P2049,0),2),"")</f>
        <v/>
      </c>
      <c r="S2049" s="9" t="str">
        <f aca="false">IF(R2049="","",ROUND(L2049-R2049,2))</f>
        <v/>
      </c>
      <c r="T2049" s="8" t="str">
        <f aca="false">IF(A2049="","",IF(S2049="","BYPASS",IF(ABS(S2049)&lt;=Summary!$B$2,"PASS","FAIL")))</f>
        <v/>
      </c>
      <c r="U2049" s="8" t="str">
        <f aca="false">IF(T2049="BYPASS",IF(NOT(ISNUMBER(Q2049)),"PreV_ETB missing","End_tr_balance missing"),IF(T2049="FAIL",IF(AND(ISNUMBER(K2049),ISNUMBER(L2049),ABS(L2049-(K2049-IF(ISNUMBER(N2049),N2049,0)-IF(ISNUMBER(O2049),O2049,0)+IF(ISNUMBER(P2049),P2049,0)))&lt;=Summary!$B$2),"Passes using beginning_balance - PreV_ETB differs from beginning_balance",IF(AND(ISNUMBER(O2049),O2049&lt;0,ABS(L2049-(Q2049-IF(ISNUMBER(N2049),N2049,0)+IF(ISNUMBER(P2049),P2049,0)))&lt;=Summary!$B$2),"Negative realized loss not applied - check sign",IF(R2049&lt;0,"Principal paid exceeds prior balance",IF(AND(L2049&gt;Q2049,NOT(ISNUMBER(P2049))),"Balance increased but no Deferred_interest reported",IF(L2049&gt;R2049,"Reported balance higher than expected (missing increase/OC build)","Reported balance lower than expected (missing decrease)"))))),""))</f>
        <v/>
      </c>
    </row>
    <row r="2050" customFormat="false" ht="15" hidden="false" customHeight="false" outlineLevel="0" collapsed="false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9"/>
      <c r="L2050" s="9"/>
      <c r="M2050" s="9"/>
      <c r="N2050" s="9"/>
      <c r="O2050" s="9"/>
      <c r="P2050" s="9"/>
      <c r="Q2050" s="9"/>
      <c r="R2050" s="9" t="str">
        <f aca="false">IF(AND(A2050&lt;&gt;"",ISNUMBER(Q2050),ISNUMBER(L2050)),ROUND(Q2050-IF(ISNUMBER(N2050),N2050,0)-IF(ISNUMBER(O2050),O2050,0)+IF(ISNUMBER(P2050),P2050,0),2),"")</f>
        <v/>
      </c>
      <c r="S2050" s="9" t="str">
        <f aca="false">IF(R2050="","",ROUND(L2050-R2050,2))</f>
        <v/>
      </c>
      <c r="T2050" s="8" t="str">
        <f aca="false">IF(A2050="","",IF(S2050="","BYPASS",IF(ABS(S2050)&lt;=Summary!$B$2,"PASS","FAIL")))</f>
        <v/>
      </c>
      <c r="U2050" s="8" t="str">
        <f aca="false">IF(T2050="BYPASS",IF(NOT(ISNUMBER(Q2050)),"PreV_ETB missing","End_tr_balance missing"),IF(T2050="FAIL",IF(AND(ISNUMBER(K2050),ISNUMBER(L2050),ABS(L2050-(K2050-IF(ISNUMBER(N2050),N2050,0)-IF(ISNUMBER(O2050),O2050,0)+IF(ISNUMBER(P2050),P2050,0)))&lt;=Summary!$B$2),"Passes using beginning_balance - PreV_ETB differs from beginning_balance",IF(AND(ISNUMBER(O2050),O2050&lt;0,ABS(L2050-(Q2050-IF(ISNUMBER(N2050),N2050,0)+IF(ISNUMBER(P2050),P2050,0)))&lt;=Summary!$B$2),"Negative realized loss not applied - check sign",IF(R2050&lt;0,"Principal paid exceeds prior balance",IF(AND(L2050&gt;Q2050,NOT(ISNUMBER(P2050))),"Balance increased but no Deferred_interest reported",IF(L2050&gt;R2050,"Reported balance higher than expected (missing increase/OC build)","Reported balance lower than expected (missing decrease)"))))),""))</f>
        <v/>
      </c>
    </row>
    <row r="2051" customFormat="false" ht="15" hidden="false" customHeight="false" outlineLevel="0" collapsed="false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9"/>
      <c r="L2051" s="9"/>
      <c r="M2051" s="9"/>
      <c r="N2051" s="9"/>
      <c r="O2051" s="9"/>
      <c r="P2051" s="9"/>
      <c r="Q2051" s="9"/>
      <c r="R2051" s="9" t="str">
        <f aca="false">IF(AND(A2051&lt;&gt;"",ISNUMBER(Q2051),ISNUMBER(L2051)),ROUND(Q2051-IF(ISNUMBER(N2051),N2051,0)-IF(ISNUMBER(O2051),O2051,0)+IF(ISNUMBER(P2051),P2051,0),2),"")</f>
        <v/>
      </c>
      <c r="S2051" s="9" t="str">
        <f aca="false">IF(R2051="","",ROUND(L2051-R2051,2))</f>
        <v/>
      </c>
      <c r="T2051" s="8" t="str">
        <f aca="false">IF(A2051="","",IF(S2051="","BYPASS",IF(ABS(S2051)&lt;=Summary!$B$2,"PASS","FAIL")))</f>
        <v/>
      </c>
      <c r="U2051" s="8" t="str">
        <f aca="false">IF(T2051="BYPASS",IF(NOT(ISNUMBER(Q2051)),"PreV_ETB missing","End_tr_balance missing"),IF(T2051="FAIL",IF(AND(ISNUMBER(K2051),ISNUMBER(L2051),ABS(L2051-(K2051-IF(ISNUMBER(N2051),N2051,0)-IF(ISNUMBER(O2051),O2051,0)+IF(ISNUMBER(P2051),P2051,0)))&lt;=Summary!$B$2),"Passes using beginning_balance - PreV_ETB differs from beginning_balance",IF(AND(ISNUMBER(O2051),O2051&lt;0,ABS(L2051-(Q2051-IF(ISNUMBER(N2051),N2051,0)+IF(ISNUMBER(P2051),P2051,0)))&lt;=Summary!$B$2),"Negative realized loss not applied - check sign",IF(R2051&lt;0,"Principal paid exceeds prior balance",IF(AND(L2051&gt;Q2051,NOT(ISNUMBER(P2051))),"Balance increased but no Deferred_interest reported",IF(L2051&gt;R2051,"Reported balance higher than expected (missing increase/OC build)","Reported balance lower than expected (missing decrease)"))))),""))</f>
        <v/>
      </c>
    </row>
    <row r="2052" customFormat="false" ht="15" hidden="false" customHeight="false" outlineLevel="0" collapsed="false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9"/>
      <c r="L2052" s="9"/>
      <c r="M2052" s="9"/>
      <c r="N2052" s="9"/>
      <c r="O2052" s="9"/>
      <c r="P2052" s="9"/>
      <c r="Q2052" s="9"/>
      <c r="R2052" s="9" t="str">
        <f aca="false">IF(AND(A2052&lt;&gt;"",ISNUMBER(Q2052),ISNUMBER(L2052)),ROUND(Q2052-IF(ISNUMBER(N2052),N2052,0)-IF(ISNUMBER(O2052),O2052,0)+IF(ISNUMBER(P2052),P2052,0),2),"")</f>
        <v/>
      </c>
      <c r="S2052" s="9" t="str">
        <f aca="false">IF(R2052="","",ROUND(L2052-R2052,2))</f>
        <v/>
      </c>
      <c r="T2052" s="8" t="str">
        <f aca="false">IF(A2052="","",IF(S2052="","BYPASS",IF(ABS(S2052)&lt;=Summary!$B$2,"PASS","FAIL")))</f>
        <v/>
      </c>
      <c r="U2052" s="8" t="str">
        <f aca="false">IF(T2052="BYPASS",IF(NOT(ISNUMBER(Q2052)),"PreV_ETB missing","End_tr_balance missing"),IF(T2052="FAIL",IF(AND(ISNUMBER(K2052),ISNUMBER(L2052),ABS(L2052-(K2052-IF(ISNUMBER(N2052),N2052,0)-IF(ISNUMBER(O2052),O2052,0)+IF(ISNUMBER(P2052),P2052,0)))&lt;=Summary!$B$2),"Passes using beginning_balance - PreV_ETB differs from beginning_balance",IF(AND(ISNUMBER(O2052),O2052&lt;0,ABS(L2052-(Q2052-IF(ISNUMBER(N2052),N2052,0)+IF(ISNUMBER(P2052),P2052,0)))&lt;=Summary!$B$2),"Negative realized loss not applied - check sign",IF(R2052&lt;0,"Principal paid exceeds prior balance",IF(AND(L2052&gt;Q2052,NOT(ISNUMBER(P2052))),"Balance increased but no Deferred_interest reported",IF(L2052&gt;R2052,"Reported balance higher than expected (missing increase/OC build)","Reported balance lower than expected (missing decrease)"))))),""))</f>
        <v/>
      </c>
    </row>
    <row r="2053" customFormat="false" ht="15" hidden="false" customHeight="false" outlineLevel="0" collapsed="false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9"/>
      <c r="L2053" s="9"/>
      <c r="M2053" s="9"/>
      <c r="N2053" s="9"/>
      <c r="O2053" s="9"/>
      <c r="P2053" s="9"/>
      <c r="Q2053" s="9"/>
      <c r="R2053" s="9" t="str">
        <f aca="false">IF(AND(A2053&lt;&gt;"",ISNUMBER(Q2053),ISNUMBER(L2053)),ROUND(Q2053-IF(ISNUMBER(N2053),N2053,0)-IF(ISNUMBER(O2053),O2053,0)+IF(ISNUMBER(P2053),P2053,0),2),"")</f>
        <v/>
      </c>
      <c r="S2053" s="9" t="str">
        <f aca="false">IF(R2053="","",ROUND(L2053-R2053,2))</f>
        <v/>
      </c>
      <c r="T2053" s="8" t="str">
        <f aca="false">IF(A2053="","",IF(S2053="","BYPASS",IF(ABS(S2053)&lt;=Summary!$B$2,"PASS","FAIL")))</f>
        <v/>
      </c>
      <c r="U2053" s="8" t="str">
        <f aca="false">IF(T2053="BYPASS",IF(NOT(ISNUMBER(Q2053)),"PreV_ETB missing","End_tr_balance missing"),IF(T2053="FAIL",IF(AND(ISNUMBER(K2053),ISNUMBER(L2053),ABS(L2053-(K2053-IF(ISNUMBER(N2053),N2053,0)-IF(ISNUMBER(O2053),O2053,0)+IF(ISNUMBER(P2053),P2053,0)))&lt;=Summary!$B$2),"Passes using beginning_balance - PreV_ETB differs from beginning_balance",IF(AND(ISNUMBER(O2053),O2053&lt;0,ABS(L2053-(Q2053-IF(ISNUMBER(N2053),N2053,0)+IF(ISNUMBER(P2053),P2053,0)))&lt;=Summary!$B$2),"Negative realized loss not applied - check sign",IF(R2053&lt;0,"Principal paid exceeds prior balance",IF(AND(L2053&gt;Q2053,NOT(ISNUMBER(P2053))),"Balance increased but no Deferred_interest reported",IF(L2053&gt;R2053,"Reported balance higher than expected (missing increase/OC build)","Reported balance lower than expected (missing decrease)"))))),""))</f>
        <v/>
      </c>
    </row>
    <row r="2054" customFormat="false" ht="15" hidden="false" customHeight="false" outlineLevel="0" collapsed="false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9"/>
      <c r="L2054" s="9"/>
      <c r="M2054" s="9"/>
      <c r="N2054" s="9"/>
      <c r="O2054" s="9"/>
      <c r="P2054" s="9"/>
      <c r="Q2054" s="9"/>
      <c r="R2054" s="9" t="str">
        <f aca="false">IF(AND(A2054&lt;&gt;"",ISNUMBER(Q2054),ISNUMBER(L2054)),ROUND(Q2054-IF(ISNUMBER(N2054),N2054,0)-IF(ISNUMBER(O2054),O2054,0)+IF(ISNUMBER(P2054),P2054,0),2),"")</f>
        <v/>
      </c>
      <c r="S2054" s="9" t="str">
        <f aca="false">IF(R2054="","",ROUND(L2054-R2054,2))</f>
        <v/>
      </c>
      <c r="T2054" s="8" t="str">
        <f aca="false">IF(A2054="","",IF(S2054="","BYPASS",IF(ABS(S2054)&lt;=Summary!$B$2,"PASS","FAIL")))</f>
        <v/>
      </c>
      <c r="U2054" s="8" t="str">
        <f aca="false">IF(T2054="BYPASS",IF(NOT(ISNUMBER(Q2054)),"PreV_ETB missing","End_tr_balance missing"),IF(T2054="FAIL",IF(AND(ISNUMBER(K2054),ISNUMBER(L2054),ABS(L2054-(K2054-IF(ISNUMBER(N2054),N2054,0)-IF(ISNUMBER(O2054),O2054,0)+IF(ISNUMBER(P2054),P2054,0)))&lt;=Summary!$B$2),"Passes using beginning_balance - PreV_ETB differs from beginning_balance",IF(AND(ISNUMBER(O2054),O2054&lt;0,ABS(L2054-(Q2054-IF(ISNUMBER(N2054),N2054,0)+IF(ISNUMBER(P2054),P2054,0)))&lt;=Summary!$B$2),"Negative realized loss not applied - check sign",IF(R2054&lt;0,"Principal paid exceeds prior balance",IF(AND(L2054&gt;Q2054,NOT(ISNUMBER(P2054))),"Balance increased but no Deferred_interest reported",IF(L2054&gt;R2054,"Reported balance higher than expected (missing increase/OC build)","Reported balance lower than expected (missing decrease)"))))),""))</f>
        <v/>
      </c>
    </row>
    <row r="2055" customFormat="false" ht="15" hidden="false" customHeight="false" outlineLevel="0" collapsed="false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9"/>
      <c r="L2055" s="9"/>
      <c r="M2055" s="9"/>
      <c r="N2055" s="9"/>
      <c r="O2055" s="9"/>
      <c r="P2055" s="9"/>
      <c r="Q2055" s="9"/>
      <c r="R2055" s="9" t="str">
        <f aca="false">IF(AND(A2055&lt;&gt;"",ISNUMBER(Q2055),ISNUMBER(L2055)),ROUND(Q2055-IF(ISNUMBER(N2055),N2055,0)-IF(ISNUMBER(O2055),O2055,0)+IF(ISNUMBER(P2055),P2055,0),2),"")</f>
        <v/>
      </c>
      <c r="S2055" s="9" t="str">
        <f aca="false">IF(R2055="","",ROUND(L2055-R2055,2))</f>
        <v/>
      </c>
      <c r="T2055" s="8" t="str">
        <f aca="false">IF(A2055="","",IF(S2055="","BYPASS",IF(ABS(S2055)&lt;=Summary!$B$2,"PASS","FAIL")))</f>
        <v/>
      </c>
      <c r="U2055" s="8" t="str">
        <f aca="false">IF(T2055="BYPASS",IF(NOT(ISNUMBER(Q2055)),"PreV_ETB missing","End_tr_balance missing"),IF(T2055="FAIL",IF(AND(ISNUMBER(K2055),ISNUMBER(L2055),ABS(L2055-(K2055-IF(ISNUMBER(N2055),N2055,0)-IF(ISNUMBER(O2055),O2055,0)+IF(ISNUMBER(P2055),P2055,0)))&lt;=Summary!$B$2),"Passes using beginning_balance - PreV_ETB differs from beginning_balance",IF(AND(ISNUMBER(O2055),O2055&lt;0,ABS(L2055-(Q2055-IF(ISNUMBER(N2055),N2055,0)+IF(ISNUMBER(P2055),P2055,0)))&lt;=Summary!$B$2),"Negative realized loss not applied - check sign",IF(R2055&lt;0,"Principal paid exceeds prior balance",IF(AND(L2055&gt;Q2055,NOT(ISNUMBER(P2055))),"Balance increased but no Deferred_interest reported",IF(L2055&gt;R2055,"Reported balance higher than expected (missing increase/OC build)","Reported balance lower than expected (missing decrease)"))))),""))</f>
        <v/>
      </c>
    </row>
    <row r="2056" customFormat="false" ht="15" hidden="false" customHeight="false" outlineLevel="0" collapsed="false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9"/>
      <c r="L2056" s="9"/>
      <c r="M2056" s="9"/>
      <c r="N2056" s="9"/>
      <c r="O2056" s="9"/>
      <c r="P2056" s="9"/>
      <c r="Q2056" s="9"/>
      <c r="R2056" s="9" t="str">
        <f aca="false">IF(AND(A2056&lt;&gt;"",ISNUMBER(Q2056),ISNUMBER(L2056)),ROUND(Q2056-IF(ISNUMBER(N2056),N2056,0)-IF(ISNUMBER(O2056),O2056,0)+IF(ISNUMBER(P2056),P2056,0),2),"")</f>
        <v/>
      </c>
      <c r="S2056" s="9" t="str">
        <f aca="false">IF(R2056="","",ROUND(L2056-R2056,2))</f>
        <v/>
      </c>
      <c r="T2056" s="8" t="str">
        <f aca="false">IF(A2056="","",IF(S2056="","BYPASS",IF(ABS(S2056)&lt;=Summary!$B$2,"PASS","FAIL")))</f>
        <v/>
      </c>
      <c r="U2056" s="8" t="str">
        <f aca="false">IF(T2056="BYPASS",IF(NOT(ISNUMBER(Q2056)),"PreV_ETB missing","End_tr_balance missing"),IF(T2056="FAIL",IF(AND(ISNUMBER(K2056),ISNUMBER(L2056),ABS(L2056-(K2056-IF(ISNUMBER(N2056),N2056,0)-IF(ISNUMBER(O2056),O2056,0)+IF(ISNUMBER(P2056),P2056,0)))&lt;=Summary!$B$2),"Passes using beginning_balance - PreV_ETB differs from beginning_balance",IF(AND(ISNUMBER(O2056),O2056&lt;0,ABS(L2056-(Q2056-IF(ISNUMBER(N2056),N2056,0)+IF(ISNUMBER(P2056),P2056,0)))&lt;=Summary!$B$2),"Negative realized loss not applied - check sign",IF(R2056&lt;0,"Principal paid exceeds prior balance",IF(AND(L2056&gt;Q2056,NOT(ISNUMBER(P2056))),"Balance increased but no Deferred_interest reported",IF(L2056&gt;R2056,"Reported balance higher than expected (missing increase/OC build)","Reported balance lower than expected (missing decrease)"))))),""))</f>
        <v/>
      </c>
    </row>
    <row r="2057" customFormat="false" ht="15" hidden="false" customHeight="false" outlineLevel="0" collapsed="false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9"/>
      <c r="L2057" s="9"/>
      <c r="M2057" s="9"/>
      <c r="N2057" s="9"/>
      <c r="O2057" s="9"/>
      <c r="P2057" s="9"/>
      <c r="Q2057" s="9"/>
      <c r="R2057" s="9" t="str">
        <f aca="false">IF(AND(A2057&lt;&gt;"",ISNUMBER(Q2057),ISNUMBER(L2057)),ROUND(Q2057-IF(ISNUMBER(N2057),N2057,0)-IF(ISNUMBER(O2057),O2057,0)+IF(ISNUMBER(P2057),P2057,0),2),"")</f>
        <v/>
      </c>
      <c r="S2057" s="9" t="str">
        <f aca="false">IF(R2057="","",ROUND(L2057-R2057,2))</f>
        <v/>
      </c>
      <c r="T2057" s="8" t="str">
        <f aca="false">IF(A2057="","",IF(S2057="","BYPASS",IF(ABS(S2057)&lt;=Summary!$B$2,"PASS","FAIL")))</f>
        <v/>
      </c>
      <c r="U2057" s="8" t="str">
        <f aca="false">IF(T2057="BYPASS",IF(NOT(ISNUMBER(Q2057)),"PreV_ETB missing","End_tr_balance missing"),IF(T2057="FAIL",IF(AND(ISNUMBER(K2057),ISNUMBER(L2057),ABS(L2057-(K2057-IF(ISNUMBER(N2057),N2057,0)-IF(ISNUMBER(O2057),O2057,0)+IF(ISNUMBER(P2057),P2057,0)))&lt;=Summary!$B$2),"Passes using beginning_balance - PreV_ETB differs from beginning_balance",IF(AND(ISNUMBER(O2057),O2057&lt;0,ABS(L2057-(Q2057-IF(ISNUMBER(N2057),N2057,0)+IF(ISNUMBER(P2057),P2057,0)))&lt;=Summary!$B$2),"Negative realized loss not applied - check sign",IF(R2057&lt;0,"Principal paid exceeds prior balance",IF(AND(L2057&gt;Q2057,NOT(ISNUMBER(P2057))),"Balance increased but no Deferred_interest reported",IF(L2057&gt;R2057,"Reported balance higher than expected (missing increase/OC build)","Reported balance lower than expected (missing decrease)"))))),""))</f>
        <v/>
      </c>
    </row>
    <row r="2058" customFormat="false" ht="15" hidden="false" customHeight="false" outlineLevel="0" collapsed="false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9"/>
      <c r="L2058" s="9"/>
      <c r="M2058" s="9"/>
      <c r="N2058" s="9"/>
      <c r="O2058" s="9"/>
      <c r="P2058" s="9"/>
      <c r="Q2058" s="9"/>
      <c r="R2058" s="9" t="str">
        <f aca="false">IF(AND(A2058&lt;&gt;"",ISNUMBER(Q2058),ISNUMBER(L2058)),ROUND(Q2058-IF(ISNUMBER(N2058),N2058,0)-IF(ISNUMBER(O2058),O2058,0)+IF(ISNUMBER(P2058),P2058,0),2),"")</f>
        <v/>
      </c>
      <c r="S2058" s="9" t="str">
        <f aca="false">IF(R2058="","",ROUND(L2058-R2058,2))</f>
        <v/>
      </c>
      <c r="T2058" s="8" t="str">
        <f aca="false">IF(A2058="","",IF(S2058="","BYPASS",IF(ABS(S2058)&lt;=Summary!$B$2,"PASS","FAIL")))</f>
        <v/>
      </c>
      <c r="U2058" s="8" t="str">
        <f aca="false">IF(T2058="BYPASS",IF(NOT(ISNUMBER(Q2058)),"PreV_ETB missing","End_tr_balance missing"),IF(T2058="FAIL",IF(AND(ISNUMBER(K2058),ISNUMBER(L2058),ABS(L2058-(K2058-IF(ISNUMBER(N2058),N2058,0)-IF(ISNUMBER(O2058),O2058,0)+IF(ISNUMBER(P2058),P2058,0)))&lt;=Summary!$B$2),"Passes using beginning_balance - PreV_ETB differs from beginning_balance",IF(AND(ISNUMBER(O2058),O2058&lt;0,ABS(L2058-(Q2058-IF(ISNUMBER(N2058),N2058,0)+IF(ISNUMBER(P2058),P2058,0)))&lt;=Summary!$B$2),"Negative realized loss not applied - check sign",IF(R2058&lt;0,"Principal paid exceeds prior balance",IF(AND(L2058&gt;Q2058,NOT(ISNUMBER(P2058))),"Balance increased but no Deferred_interest reported",IF(L2058&gt;R2058,"Reported balance higher than expected (missing increase/OC build)","Reported balance lower than expected (missing decrease)"))))),""))</f>
        <v/>
      </c>
    </row>
    <row r="2059" customFormat="false" ht="15" hidden="false" customHeight="false" outlineLevel="0" collapsed="false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9"/>
      <c r="L2059" s="9"/>
      <c r="M2059" s="9"/>
      <c r="N2059" s="9"/>
      <c r="O2059" s="9"/>
      <c r="P2059" s="9"/>
      <c r="Q2059" s="9"/>
      <c r="R2059" s="9" t="str">
        <f aca="false">IF(AND(A2059&lt;&gt;"",ISNUMBER(Q2059),ISNUMBER(L2059)),ROUND(Q2059-IF(ISNUMBER(N2059),N2059,0)-IF(ISNUMBER(O2059),O2059,0)+IF(ISNUMBER(P2059),P2059,0),2),"")</f>
        <v/>
      </c>
      <c r="S2059" s="9" t="str">
        <f aca="false">IF(R2059="","",ROUND(L2059-R2059,2))</f>
        <v/>
      </c>
      <c r="T2059" s="8" t="str">
        <f aca="false">IF(A2059="","",IF(S2059="","BYPASS",IF(ABS(S2059)&lt;=Summary!$B$2,"PASS","FAIL")))</f>
        <v/>
      </c>
      <c r="U2059" s="8" t="str">
        <f aca="false">IF(T2059="BYPASS",IF(NOT(ISNUMBER(Q2059)),"PreV_ETB missing","End_tr_balance missing"),IF(T2059="FAIL",IF(AND(ISNUMBER(K2059),ISNUMBER(L2059),ABS(L2059-(K2059-IF(ISNUMBER(N2059),N2059,0)-IF(ISNUMBER(O2059),O2059,0)+IF(ISNUMBER(P2059),P2059,0)))&lt;=Summary!$B$2),"Passes using beginning_balance - PreV_ETB differs from beginning_balance",IF(AND(ISNUMBER(O2059),O2059&lt;0,ABS(L2059-(Q2059-IF(ISNUMBER(N2059),N2059,0)+IF(ISNUMBER(P2059),P2059,0)))&lt;=Summary!$B$2),"Negative realized loss not applied - check sign",IF(R2059&lt;0,"Principal paid exceeds prior balance",IF(AND(L2059&gt;Q2059,NOT(ISNUMBER(P2059))),"Balance increased but no Deferred_interest reported",IF(L2059&gt;R2059,"Reported balance higher than expected (missing increase/OC build)","Reported balance lower than expected (missing decrease)"))))),""))</f>
        <v/>
      </c>
    </row>
    <row r="2060" customFormat="false" ht="15" hidden="false" customHeight="false" outlineLevel="0" collapsed="false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9"/>
      <c r="L2060" s="9"/>
      <c r="M2060" s="9"/>
      <c r="N2060" s="9"/>
      <c r="O2060" s="9"/>
      <c r="P2060" s="9"/>
      <c r="Q2060" s="9"/>
      <c r="R2060" s="9" t="str">
        <f aca="false">IF(AND(A2060&lt;&gt;"",ISNUMBER(Q2060),ISNUMBER(L2060)),ROUND(Q2060-IF(ISNUMBER(N2060),N2060,0)-IF(ISNUMBER(O2060),O2060,0)+IF(ISNUMBER(P2060),P2060,0),2),"")</f>
        <v/>
      </c>
      <c r="S2060" s="9" t="str">
        <f aca="false">IF(R2060="","",ROUND(L2060-R2060,2))</f>
        <v/>
      </c>
      <c r="T2060" s="8" t="str">
        <f aca="false">IF(A2060="","",IF(S2060="","BYPASS",IF(ABS(S2060)&lt;=Summary!$B$2,"PASS","FAIL")))</f>
        <v/>
      </c>
      <c r="U2060" s="8" t="str">
        <f aca="false">IF(T2060="BYPASS",IF(NOT(ISNUMBER(Q2060)),"PreV_ETB missing","End_tr_balance missing"),IF(T2060="FAIL",IF(AND(ISNUMBER(K2060),ISNUMBER(L2060),ABS(L2060-(K2060-IF(ISNUMBER(N2060),N2060,0)-IF(ISNUMBER(O2060),O2060,0)+IF(ISNUMBER(P2060),P2060,0)))&lt;=Summary!$B$2),"Passes using beginning_balance - PreV_ETB differs from beginning_balance",IF(AND(ISNUMBER(O2060),O2060&lt;0,ABS(L2060-(Q2060-IF(ISNUMBER(N2060),N2060,0)+IF(ISNUMBER(P2060),P2060,0)))&lt;=Summary!$B$2),"Negative realized loss not applied - check sign",IF(R2060&lt;0,"Principal paid exceeds prior balance",IF(AND(L2060&gt;Q2060,NOT(ISNUMBER(P2060))),"Balance increased but no Deferred_interest reported",IF(L2060&gt;R2060,"Reported balance higher than expected (missing increase/OC build)","Reported balance lower than expected (missing decrease)"))))),""))</f>
        <v/>
      </c>
    </row>
    <row r="2061" customFormat="false" ht="15" hidden="false" customHeight="false" outlineLevel="0" collapsed="false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9"/>
      <c r="L2061" s="9"/>
      <c r="M2061" s="9"/>
      <c r="N2061" s="9"/>
      <c r="O2061" s="9"/>
      <c r="P2061" s="9"/>
      <c r="Q2061" s="9"/>
      <c r="R2061" s="9" t="str">
        <f aca="false">IF(AND(A2061&lt;&gt;"",ISNUMBER(Q2061),ISNUMBER(L2061)),ROUND(Q2061-IF(ISNUMBER(N2061),N2061,0)-IF(ISNUMBER(O2061),O2061,0)+IF(ISNUMBER(P2061),P2061,0),2),"")</f>
        <v/>
      </c>
      <c r="S2061" s="9" t="str">
        <f aca="false">IF(R2061="","",ROUND(L2061-R2061,2))</f>
        <v/>
      </c>
      <c r="T2061" s="8" t="str">
        <f aca="false">IF(A2061="","",IF(S2061="","BYPASS",IF(ABS(S2061)&lt;=Summary!$B$2,"PASS","FAIL")))</f>
        <v/>
      </c>
      <c r="U2061" s="8" t="str">
        <f aca="false">IF(T2061="BYPASS",IF(NOT(ISNUMBER(Q2061)),"PreV_ETB missing","End_tr_balance missing"),IF(T2061="FAIL",IF(AND(ISNUMBER(K2061),ISNUMBER(L2061),ABS(L2061-(K2061-IF(ISNUMBER(N2061),N2061,0)-IF(ISNUMBER(O2061),O2061,0)+IF(ISNUMBER(P2061),P2061,0)))&lt;=Summary!$B$2),"Passes using beginning_balance - PreV_ETB differs from beginning_balance",IF(AND(ISNUMBER(O2061),O2061&lt;0,ABS(L2061-(Q2061-IF(ISNUMBER(N2061),N2061,0)+IF(ISNUMBER(P2061),P2061,0)))&lt;=Summary!$B$2),"Negative realized loss not applied - check sign",IF(R2061&lt;0,"Principal paid exceeds prior balance",IF(AND(L2061&gt;Q2061,NOT(ISNUMBER(P2061))),"Balance increased but no Deferred_interest reported",IF(L2061&gt;R2061,"Reported balance higher than expected (missing increase/OC build)","Reported balance lower than expected (missing decrease)"))))),""))</f>
        <v/>
      </c>
    </row>
    <row r="2062" customFormat="false" ht="15" hidden="false" customHeight="false" outlineLevel="0" collapsed="false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9"/>
      <c r="L2062" s="9"/>
      <c r="M2062" s="9"/>
      <c r="N2062" s="9"/>
      <c r="O2062" s="9"/>
      <c r="P2062" s="9"/>
      <c r="Q2062" s="9"/>
      <c r="R2062" s="9" t="str">
        <f aca="false">IF(AND(A2062&lt;&gt;"",ISNUMBER(Q2062),ISNUMBER(L2062)),ROUND(Q2062-IF(ISNUMBER(N2062),N2062,0)-IF(ISNUMBER(O2062),O2062,0)+IF(ISNUMBER(P2062),P2062,0),2),"")</f>
        <v/>
      </c>
      <c r="S2062" s="9" t="str">
        <f aca="false">IF(R2062="","",ROUND(L2062-R2062,2))</f>
        <v/>
      </c>
      <c r="T2062" s="8" t="str">
        <f aca="false">IF(A2062="","",IF(S2062="","BYPASS",IF(ABS(S2062)&lt;=Summary!$B$2,"PASS","FAIL")))</f>
        <v/>
      </c>
      <c r="U2062" s="8" t="str">
        <f aca="false">IF(T2062="BYPASS",IF(NOT(ISNUMBER(Q2062)),"PreV_ETB missing","End_tr_balance missing"),IF(T2062="FAIL",IF(AND(ISNUMBER(K2062),ISNUMBER(L2062),ABS(L2062-(K2062-IF(ISNUMBER(N2062),N2062,0)-IF(ISNUMBER(O2062),O2062,0)+IF(ISNUMBER(P2062),P2062,0)))&lt;=Summary!$B$2),"Passes using beginning_balance - PreV_ETB differs from beginning_balance",IF(AND(ISNUMBER(O2062),O2062&lt;0,ABS(L2062-(Q2062-IF(ISNUMBER(N2062),N2062,0)+IF(ISNUMBER(P2062),P2062,0)))&lt;=Summary!$B$2),"Negative realized loss not applied - check sign",IF(R2062&lt;0,"Principal paid exceeds prior balance",IF(AND(L2062&gt;Q2062,NOT(ISNUMBER(P2062))),"Balance increased but no Deferred_interest reported",IF(L2062&gt;R2062,"Reported balance higher than expected (missing increase/OC build)","Reported balance lower than expected (missing decrease)"))))),""))</f>
        <v/>
      </c>
    </row>
    <row r="2063" customFormat="false" ht="15" hidden="false" customHeight="false" outlineLevel="0" collapsed="false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9"/>
      <c r="L2063" s="9"/>
      <c r="M2063" s="9"/>
      <c r="N2063" s="9"/>
      <c r="O2063" s="9"/>
      <c r="P2063" s="9"/>
      <c r="Q2063" s="9"/>
      <c r="R2063" s="9" t="str">
        <f aca="false">IF(AND(A2063&lt;&gt;"",ISNUMBER(Q2063),ISNUMBER(L2063)),ROUND(Q2063-IF(ISNUMBER(N2063),N2063,0)-IF(ISNUMBER(O2063),O2063,0)+IF(ISNUMBER(P2063),P2063,0),2),"")</f>
        <v/>
      </c>
      <c r="S2063" s="9" t="str">
        <f aca="false">IF(R2063="","",ROUND(L2063-R2063,2))</f>
        <v/>
      </c>
      <c r="T2063" s="8" t="str">
        <f aca="false">IF(A2063="","",IF(S2063="","BYPASS",IF(ABS(S2063)&lt;=Summary!$B$2,"PASS","FAIL")))</f>
        <v/>
      </c>
      <c r="U2063" s="8" t="str">
        <f aca="false">IF(T2063="BYPASS",IF(NOT(ISNUMBER(Q2063)),"PreV_ETB missing","End_tr_balance missing"),IF(T2063="FAIL",IF(AND(ISNUMBER(K2063),ISNUMBER(L2063),ABS(L2063-(K2063-IF(ISNUMBER(N2063),N2063,0)-IF(ISNUMBER(O2063),O2063,0)+IF(ISNUMBER(P2063),P2063,0)))&lt;=Summary!$B$2),"Passes using beginning_balance - PreV_ETB differs from beginning_balance",IF(AND(ISNUMBER(O2063),O2063&lt;0,ABS(L2063-(Q2063-IF(ISNUMBER(N2063),N2063,0)+IF(ISNUMBER(P2063),P2063,0)))&lt;=Summary!$B$2),"Negative realized loss not applied - check sign",IF(R2063&lt;0,"Principal paid exceeds prior balance",IF(AND(L2063&gt;Q2063,NOT(ISNUMBER(P2063))),"Balance increased but no Deferred_interest reported",IF(L2063&gt;R2063,"Reported balance higher than expected (missing increase/OC build)","Reported balance lower than expected (missing decrease)"))))),""))</f>
        <v/>
      </c>
    </row>
    <row r="2064" customFormat="false" ht="15" hidden="false" customHeight="false" outlineLevel="0" collapsed="false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9"/>
      <c r="L2064" s="9"/>
      <c r="M2064" s="9"/>
      <c r="N2064" s="9"/>
      <c r="O2064" s="9"/>
      <c r="P2064" s="9"/>
      <c r="Q2064" s="9"/>
      <c r="R2064" s="9" t="str">
        <f aca="false">IF(AND(A2064&lt;&gt;"",ISNUMBER(Q2064),ISNUMBER(L2064)),ROUND(Q2064-IF(ISNUMBER(N2064),N2064,0)-IF(ISNUMBER(O2064),O2064,0)+IF(ISNUMBER(P2064),P2064,0),2),"")</f>
        <v/>
      </c>
      <c r="S2064" s="9" t="str">
        <f aca="false">IF(R2064="","",ROUND(L2064-R2064,2))</f>
        <v/>
      </c>
      <c r="T2064" s="8" t="str">
        <f aca="false">IF(A2064="","",IF(S2064="","BYPASS",IF(ABS(S2064)&lt;=Summary!$B$2,"PASS","FAIL")))</f>
        <v/>
      </c>
      <c r="U2064" s="8" t="str">
        <f aca="false">IF(T2064="BYPASS",IF(NOT(ISNUMBER(Q2064)),"PreV_ETB missing","End_tr_balance missing"),IF(T2064="FAIL",IF(AND(ISNUMBER(K2064),ISNUMBER(L2064),ABS(L2064-(K2064-IF(ISNUMBER(N2064),N2064,0)-IF(ISNUMBER(O2064),O2064,0)+IF(ISNUMBER(P2064),P2064,0)))&lt;=Summary!$B$2),"Passes using beginning_balance - PreV_ETB differs from beginning_balance",IF(AND(ISNUMBER(O2064),O2064&lt;0,ABS(L2064-(Q2064-IF(ISNUMBER(N2064),N2064,0)+IF(ISNUMBER(P2064),P2064,0)))&lt;=Summary!$B$2),"Negative realized loss not applied - check sign",IF(R2064&lt;0,"Principal paid exceeds prior balance",IF(AND(L2064&gt;Q2064,NOT(ISNUMBER(P2064))),"Balance increased but no Deferred_interest reported",IF(L2064&gt;R2064,"Reported balance higher than expected (missing increase/OC build)","Reported balance lower than expected (missing decrease)"))))),""))</f>
        <v/>
      </c>
    </row>
    <row r="2065" customFormat="false" ht="15" hidden="false" customHeight="false" outlineLevel="0" collapsed="false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9"/>
      <c r="L2065" s="9"/>
      <c r="M2065" s="9"/>
      <c r="N2065" s="9"/>
      <c r="O2065" s="9"/>
      <c r="P2065" s="9"/>
      <c r="Q2065" s="9"/>
      <c r="R2065" s="9" t="str">
        <f aca="false">IF(AND(A2065&lt;&gt;"",ISNUMBER(Q2065),ISNUMBER(L2065)),ROUND(Q2065-IF(ISNUMBER(N2065),N2065,0)-IF(ISNUMBER(O2065),O2065,0)+IF(ISNUMBER(P2065),P2065,0),2),"")</f>
        <v/>
      </c>
      <c r="S2065" s="9" t="str">
        <f aca="false">IF(R2065="","",ROUND(L2065-R2065,2))</f>
        <v/>
      </c>
      <c r="T2065" s="8" t="str">
        <f aca="false">IF(A2065="","",IF(S2065="","BYPASS",IF(ABS(S2065)&lt;=Summary!$B$2,"PASS","FAIL")))</f>
        <v/>
      </c>
      <c r="U2065" s="8" t="str">
        <f aca="false">IF(T2065="BYPASS",IF(NOT(ISNUMBER(Q2065)),"PreV_ETB missing","End_tr_balance missing"),IF(T2065="FAIL",IF(AND(ISNUMBER(K2065),ISNUMBER(L2065),ABS(L2065-(K2065-IF(ISNUMBER(N2065),N2065,0)-IF(ISNUMBER(O2065),O2065,0)+IF(ISNUMBER(P2065),P2065,0)))&lt;=Summary!$B$2),"Passes using beginning_balance - PreV_ETB differs from beginning_balance",IF(AND(ISNUMBER(O2065),O2065&lt;0,ABS(L2065-(Q2065-IF(ISNUMBER(N2065),N2065,0)+IF(ISNUMBER(P2065),P2065,0)))&lt;=Summary!$B$2),"Negative realized loss not applied - check sign",IF(R2065&lt;0,"Principal paid exceeds prior balance",IF(AND(L2065&gt;Q2065,NOT(ISNUMBER(P2065))),"Balance increased but no Deferred_interest reported",IF(L2065&gt;R2065,"Reported balance higher than expected (missing increase/OC build)","Reported balance lower than expected (missing decrease)"))))),""))</f>
        <v/>
      </c>
    </row>
    <row r="2066" customFormat="false" ht="15" hidden="false" customHeight="false" outlineLevel="0" collapsed="false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9"/>
      <c r="L2066" s="9"/>
      <c r="M2066" s="9"/>
      <c r="N2066" s="9"/>
      <c r="O2066" s="9"/>
      <c r="P2066" s="9"/>
      <c r="Q2066" s="9"/>
      <c r="R2066" s="9" t="str">
        <f aca="false">IF(AND(A2066&lt;&gt;"",ISNUMBER(Q2066),ISNUMBER(L2066)),ROUND(Q2066-IF(ISNUMBER(N2066),N2066,0)-IF(ISNUMBER(O2066),O2066,0)+IF(ISNUMBER(P2066),P2066,0),2),"")</f>
        <v/>
      </c>
      <c r="S2066" s="9" t="str">
        <f aca="false">IF(R2066="","",ROUND(L2066-R2066,2))</f>
        <v/>
      </c>
      <c r="T2066" s="8" t="str">
        <f aca="false">IF(A2066="","",IF(S2066="","BYPASS",IF(ABS(S2066)&lt;=Summary!$B$2,"PASS","FAIL")))</f>
        <v/>
      </c>
      <c r="U2066" s="8" t="str">
        <f aca="false">IF(T2066="BYPASS",IF(NOT(ISNUMBER(Q2066)),"PreV_ETB missing","End_tr_balance missing"),IF(T2066="FAIL",IF(AND(ISNUMBER(K2066),ISNUMBER(L2066),ABS(L2066-(K2066-IF(ISNUMBER(N2066),N2066,0)-IF(ISNUMBER(O2066),O2066,0)+IF(ISNUMBER(P2066),P2066,0)))&lt;=Summary!$B$2),"Passes using beginning_balance - PreV_ETB differs from beginning_balance",IF(AND(ISNUMBER(O2066),O2066&lt;0,ABS(L2066-(Q2066-IF(ISNUMBER(N2066),N2066,0)+IF(ISNUMBER(P2066),P2066,0)))&lt;=Summary!$B$2),"Negative realized loss not applied - check sign",IF(R2066&lt;0,"Principal paid exceeds prior balance",IF(AND(L2066&gt;Q2066,NOT(ISNUMBER(P2066))),"Balance increased but no Deferred_interest reported",IF(L2066&gt;R2066,"Reported balance higher than expected (missing increase/OC build)","Reported balance lower than expected (missing decrease)"))))),""))</f>
        <v/>
      </c>
    </row>
    <row r="2067" customFormat="false" ht="15" hidden="false" customHeight="false" outlineLevel="0" collapsed="false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9"/>
      <c r="L2067" s="9"/>
      <c r="M2067" s="9"/>
      <c r="N2067" s="9"/>
      <c r="O2067" s="9"/>
      <c r="P2067" s="9"/>
      <c r="Q2067" s="9"/>
      <c r="R2067" s="9" t="str">
        <f aca="false">IF(AND(A2067&lt;&gt;"",ISNUMBER(Q2067),ISNUMBER(L2067)),ROUND(Q2067-IF(ISNUMBER(N2067),N2067,0)-IF(ISNUMBER(O2067),O2067,0)+IF(ISNUMBER(P2067),P2067,0),2),"")</f>
        <v/>
      </c>
      <c r="S2067" s="9" t="str">
        <f aca="false">IF(R2067="","",ROUND(L2067-R2067,2))</f>
        <v/>
      </c>
      <c r="T2067" s="8" t="str">
        <f aca="false">IF(A2067="","",IF(S2067="","BYPASS",IF(ABS(S2067)&lt;=Summary!$B$2,"PASS","FAIL")))</f>
        <v/>
      </c>
      <c r="U2067" s="8" t="str">
        <f aca="false">IF(T2067="BYPASS",IF(NOT(ISNUMBER(Q2067)),"PreV_ETB missing","End_tr_balance missing"),IF(T2067="FAIL",IF(AND(ISNUMBER(K2067),ISNUMBER(L2067),ABS(L2067-(K2067-IF(ISNUMBER(N2067),N2067,0)-IF(ISNUMBER(O2067),O2067,0)+IF(ISNUMBER(P2067),P2067,0)))&lt;=Summary!$B$2),"Passes using beginning_balance - PreV_ETB differs from beginning_balance",IF(AND(ISNUMBER(O2067),O2067&lt;0,ABS(L2067-(Q2067-IF(ISNUMBER(N2067),N2067,0)+IF(ISNUMBER(P2067),P2067,0)))&lt;=Summary!$B$2),"Negative realized loss not applied - check sign",IF(R2067&lt;0,"Principal paid exceeds prior balance",IF(AND(L2067&gt;Q2067,NOT(ISNUMBER(P2067))),"Balance increased but no Deferred_interest reported",IF(L2067&gt;R2067,"Reported balance higher than expected (missing increase/OC build)","Reported balance lower than expected (missing decrease)"))))),""))</f>
        <v/>
      </c>
    </row>
    <row r="2068" customFormat="false" ht="15" hidden="false" customHeight="false" outlineLevel="0" collapsed="false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9"/>
      <c r="L2068" s="9"/>
      <c r="M2068" s="9"/>
      <c r="N2068" s="9"/>
      <c r="O2068" s="9"/>
      <c r="P2068" s="9"/>
      <c r="Q2068" s="9"/>
      <c r="R2068" s="9" t="str">
        <f aca="false">IF(AND(A2068&lt;&gt;"",ISNUMBER(Q2068),ISNUMBER(L2068)),ROUND(Q2068-IF(ISNUMBER(N2068),N2068,0)-IF(ISNUMBER(O2068),O2068,0)+IF(ISNUMBER(P2068),P2068,0),2),"")</f>
        <v/>
      </c>
      <c r="S2068" s="9" t="str">
        <f aca="false">IF(R2068="","",ROUND(L2068-R2068,2))</f>
        <v/>
      </c>
      <c r="T2068" s="8" t="str">
        <f aca="false">IF(A2068="","",IF(S2068="","BYPASS",IF(ABS(S2068)&lt;=Summary!$B$2,"PASS","FAIL")))</f>
        <v/>
      </c>
      <c r="U2068" s="8" t="str">
        <f aca="false">IF(T2068="BYPASS",IF(NOT(ISNUMBER(Q2068)),"PreV_ETB missing","End_tr_balance missing"),IF(T2068="FAIL",IF(AND(ISNUMBER(K2068),ISNUMBER(L2068),ABS(L2068-(K2068-IF(ISNUMBER(N2068),N2068,0)-IF(ISNUMBER(O2068),O2068,0)+IF(ISNUMBER(P2068),P2068,0)))&lt;=Summary!$B$2),"Passes using beginning_balance - PreV_ETB differs from beginning_balance",IF(AND(ISNUMBER(O2068),O2068&lt;0,ABS(L2068-(Q2068-IF(ISNUMBER(N2068),N2068,0)+IF(ISNUMBER(P2068),P2068,0)))&lt;=Summary!$B$2),"Negative realized loss not applied - check sign",IF(R2068&lt;0,"Principal paid exceeds prior balance",IF(AND(L2068&gt;Q2068,NOT(ISNUMBER(P2068))),"Balance increased but no Deferred_interest reported",IF(L2068&gt;R2068,"Reported balance higher than expected (missing increase/OC build)","Reported balance lower than expected (missing decrease)"))))),""))</f>
        <v/>
      </c>
    </row>
    <row r="2069" customFormat="false" ht="15" hidden="false" customHeight="false" outlineLevel="0" collapsed="false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9"/>
      <c r="L2069" s="9"/>
      <c r="M2069" s="9"/>
      <c r="N2069" s="9"/>
      <c r="O2069" s="9"/>
      <c r="P2069" s="9"/>
      <c r="Q2069" s="9"/>
      <c r="R2069" s="9" t="str">
        <f aca="false">IF(AND(A2069&lt;&gt;"",ISNUMBER(Q2069),ISNUMBER(L2069)),ROUND(Q2069-IF(ISNUMBER(N2069),N2069,0)-IF(ISNUMBER(O2069),O2069,0)+IF(ISNUMBER(P2069),P2069,0),2),"")</f>
        <v/>
      </c>
      <c r="S2069" s="9" t="str">
        <f aca="false">IF(R2069="","",ROUND(L2069-R2069,2))</f>
        <v/>
      </c>
      <c r="T2069" s="8" t="str">
        <f aca="false">IF(A2069="","",IF(S2069="","BYPASS",IF(ABS(S2069)&lt;=Summary!$B$2,"PASS","FAIL")))</f>
        <v/>
      </c>
      <c r="U2069" s="8" t="str">
        <f aca="false">IF(T2069="BYPASS",IF(NOT(ISNUMBER(Q2069)),"PreV_ETB missing","End_tr_balance missing"),IF(T2069="FAIL",IF(AND(ISNUMBER(K2069),ISNUMBER(L2069),ABS(L2069-(K2069-IF(ISNUMBER(N2069),N2069,0)-IF(ISNUMBER(O2069),O2069,0)+IF(ISNUMBER(P2069),P2069,0)))&lt;=Summary!$B$2),"Passes using beginning_balance - PreV_ETB differs from beginning_balance",IF(AND(ISNUMBER(O2069),O2069&lt;0,ABS(L2069-(Q2069-IF(ISNUMBER(N2069),N2069,0)+IF(ISNUMBER(P2069),P2069,0)))&lt;=Summary!$B$2),"Negative realized loss not applied - check sign",IF(R2069&lt;0,"Principal paid exceeds prior balance",IF(AND(L2069&gt;Q2069,NOT(ISNUMBER(P2069))),"Balance increased but no Deferred_interest reported",IF(L2069&gt;R2069,"Reported balance higher than expected (missing increase/OC build)","Reported balance lower than expected (missing decrease)"))))),""))</f>
        <v/>
      </c>
    </row>
    <row r="2070" customFormat="false" ht="15" hidden="false" customHeight="false" outlineLevel="0" collapsed="false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9"/>
      <c r="L2070" s="9"/>
      <c r="M2070" s="9"/>
      <c r="N2070" s="9"/>
      <c r="O2070" s="9"/>
      <c r="P2070" s="9"/>
      <c r="Q2070" s="9"/>
      <c r="R2070" s="9" t="str">
        <f aca="false">IF(AND(A2070&lt;&gt;"",ISNUMBER(Q2070),ISNUMBER(L2070)),ROUND(Q2070-IF(ISNUMBER(N2070),N2070,0)-IF(ISNUMBER(O2070),O2070,0)+IF(ISNUMBER(P2070),P2070,0),2),"")</f>
        <v/>
      </c>
      <c r="S2070" s="9" t="str">
        <f aca="false">IF(R2070="","",ROUND(L2070-R2070,2))</f>
        <v/>
      </c>
      <c r="T2070" s="8" t="str">
        <f aca="false">IF(A2070="","",IF(S2070="","BYPASS",IF(ABS(S2070)&lt;=Summary!$B$2,"PASS","FAIL")))</f>
        <v/>
      </c>
      <c r="U2070" s="8" t="str">
        <f aca="false">IF(T2070="BYPASS",IF(NOT(ISNUMBER(Q2070)),"PreV_ETB missing","End_tr_balance missing"),IF(T2070="FAIL",IF(AND(ISNUMBER(K2070),ISNUMBER(L2070),ABS(L2070-(K2070-IF(ISNUMBER(N2070),N2070,0)-IF(ISNUMBER(O2070),O2070,0)+IF(ISNUMBER(P2070),P2070,0)))&lt;=Summary!$B$2),"Passes using beginning_balance - PreV_ETB differs from beginning_balance",IF(AND(ISNUMBER(O2070),O2070&lt;0,ABS(L2070-(Q2070-IF(ISNUMBER(N2070),N2070,0)+IF(ISNUMBER(P2070),P2070,0)))&lt;=Summary!$B$2),"Negative realized loss not applied - check sign",IF(R2070&lt;0,"Principal paid exceeds prior balance",IF(AND(L2070&gt;Q2070,NOT(ISNUMBER(P2070))),"Balance increased but no Deferred_interest reported",IF(L2070&gt;R2070,"Reported balance higher than expected (missing increase/OC build)","Reported balance lower than expected (missing decrease)"))))),""))</f>
        <v/>
      </c>
    </row>
    <row r="2071" customFormat="false" ht="15" hidden="false" customHeight="false" outlineLevel="0" collapsed="false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9"/>
      <c r="L2071" s="9"/>
      <c r="M2071" s="9"/>
      <c r="N2071" s="9"/>
      <c r="O2071" s="9"/>
      <c r="P2071" s="9"/>
      <c r="Q2071" s="9"/>
      <c r="R2071" s="9" t="str">
        <f aca="false">IF(AND(A2071&lt;&gt;"",ISNUMBER(Q2071),ISNUMBER(L2071)),ROUND(Q2071-IF(ISNUMBER(N2071),N2071,0)-IF(ISNUMBER(O2071),O2071,0)+IF(ISNUMBER(P2071),P2071,0),2),"")</f>
        <v/>
      </c>
      <c r="S2071" s="9" t="str">
        <f aca="false">IF(R2071="","",ROUND(L2071-R2071,2))</f>
        <v/>
      </c>
      <c r="T2071" s="8" t="str">
        <f aca="false">IF(A2071="","",IF(S2071="","BYPASS",IF(ABS(S2071)&lt;=Summary!$B$2,"PASS","FAIL")))</f>
        <v/>
      </c>
      <c r="U2071" s="8" t="str">
        <f aca="false">IF(T2071="BYPASS",IF(NOT(ISNUMBER(Q2071)),"PreV_ETB missing","End_tr_balance missing"),IF(T2071="FAIL",IF(AND(ISNUMBER(K2071),ISNUMBER(L2071),ABS(L2071-(K2071-IF(ISNUMBER(N2071),N2071,0)-IF(ISNUMBER(O2071),O2071,0)+IF(ISNUMBER(P2071),P2071,0)))&lt;=Summary!$B$2),"Passes using beginning_balance - PreV_ETB differs from beginning_balance",IF(AND(ISNUMBER(O2071),O2071&lt;0,ABS(L2071-(Q2071-IF(ISNUMBER(N2071),N2071,0)+IF(ISNUMBER(P2071),P2071,0)))&lt;=Summary!$B$2),"Negative realized loss not applied - check sign",IF(R2071&lt;0,"Principal paid exceeds prior balance",IF(AND(L2071&gt;Q2071,NOT(ISNUMBER(P2071))),"Balance increased but no Deferred_interest reported",IF(L2071&gt;R2071,"Reported balance higher than expected (missing increase/OC build)","Reported balance lower than expected (missing decrease)"))))),""))</f>
        <v/>
      </c>
    </row>
    <row r="2072" customFormat="false" ht="15" hidden="false" customHeight="false" outlineLevel="0" collapsed="false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9"/>
      <c r="L2072" s="9"/>
      <c r="M2072" s="9"/>
      <c r="N2072" s="9"/>
      <c r="O2072" s="9"/>
      <c r="P2072" s="9"/>
      <c r="Q2072" s="9"/>
      <c r="R2072" s="9" t="str">
        <f aca="false">IF(AND(A2072&lt;&gt;"",ISNUMBER(Q2072),ISNUMBER(L2072)),ROUND(Q2072-IF(ISNUMBER(N2072),N2072,0)-IF(ISNUMBER(O2072),O2072,0)+IF(ISNUMBER(P2072),P2072,0),2),"")</f>
        <v/>
      </c>
      <c r="S2072" s="9" t="str">
        <f aca="false">IF(R2072="","",ROUND(L2072-R2072,2))</f>
        <v/>
      </c>
      <c r="T2072" s="8" t="str">
        <f aca="false">IF(A2072="","",IF(S2072="","BYPASS",IF(ABS(S2072)&lt;=Summary!$B$2,"PASS","FAIL")))</f>
        <v/>
      </c>
      <c r="U2072" s="8" t="str">
        <f aca="false">IF(T2072="BYPASS",IF(NOT(ISNUMBER(Q2072)),"PreV_ETB missing","End_tr_balance missing"),IF(T2072="FAIL",IF(AND(ISNUMBER(K2072),ISNUMBER(L2072),ABS(L2072-(K2072-IF(ISNUMBER(N2072),N2072,0)-IF(ISNUMBER(O2072),O2072,0)+IF(ISNUMBER(P2072),P2072,0)))&lt;=Summary!$B$2),"Passes using beginning_balance - PreV_ETB differs from beginning_balance",IF(AND(ISNUMBER(O2072),O2072&lt;0,ABS(L2072-(Q2072-IF(ISNUMBER(N2072),N2072,0)+IF(ISNUMBER(P2072),P2072,0)))&lt;=Summary!$B$2),"Negative realized loss not applied - check sign",IF(R2072&lt;0,"Principal paid exceeds prior balance",IF(AND(L2072&gt;Q2072,NOT(ISNUMBER(P2072))),"Balance increased but no Deferred_interest reported",IF(L2072&gt;R2072,"Reported balance higher than expected (missing increase/OC build)","Reported balance lower than expected (missing decrease)"))))),""))</f>
        <v/>
      </c>
    </row>
    <row r="2073" customFormat="false" ht="15" hidden="false" customHeight="false" outlineLevel="0" collapsed="false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9"/>
      <c r="L2073" s="9"/>
      <c r="M2073" s="9"/>
      <c r="N2073" s="9"/>
      <c r="O2073" s="9"/>
      <c r="P2073" s="9"/>
      <c r="Q2073" s="9"/>
      <c r="R2073" s="9" t="str">
        <f aca="false">IF(AND(A2073&lt;&gt;"",ISNUMBER(Q2073),ISNUMBER(L2073)),ROUND(Q2073-IF(ISNUMBER(N2073),N2073,0)-IF(ISNUMBER(O2073),O2073,0)+IF(ISNUMBER(P2073),P2073,0),2),"")</f>
        <v/>
      </c>
      <c r="S2073" s="9" t="str">
        <f aca="false">IF(R2073="","",ROUND(L2073-R2073,2))</f>
        <v/>
      </c>
      <c r="T2073" s="8" t="str">
        <f aca="false">IF(A2073="","",IF(S2073="","BYPASS",IF(ABS(S2073)&lt;=Summary!$B$2,"PASS","FAIL")))</f>
        <v/>
      </c>
      <c r="U2073" s="8" t="str">
        <f aca="false">IF(T2073="BYPASS",IF(NOT(ISNUMBER(Q2073)),"PreV_ETB missing","End_tr_balance missing"),IF(T2073="FAIL",IF(AND(ISNUMBER(K2073),ISNUMBER(L2073),ABS(L2073-(K2073-IF(ISNUMBER(N2073),N2073,0)-IF(ISNUMBER(O2073),O2073,0)+IF(ISNUMBER(P2073),P2073,0)))&lt;=Summary!$B$2),"Passes using beginning_balance - PreV_ETB differs from beginning_balance",IF(AND(ISNUMBER(O2073),O2073&lt;0,ABS(L2073-(Q2073-IF(ISNUMBER(N2073),N2073,0)+IF(ISNUMBER(P2073),P2073,0)))&lt;=Summary!$B$2),"Negative realized loss not applied - check sign",IF(R2073&lt;0,"Principal paid exceeds prior balance",IF(AND(L2073&gt;Q2073,NOT(ISNUMBER(P2073))),"Balance increased but no Deferred_interest reported",IF(L2073&gt;R2073,"Reported balance higher than expected (missing increase/OC build)","Reported balance lower than expected (missing decrease)"))))),""))</f>
        <v/>
      </c>
    </row>
    <row r="2074" customFormat="false" ht="15" hidden="false" customHeight="false" outlineLevel="0" collapsed="false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9"/>
      <c r="L2074" s="9"/>
      <c r="M2074" s="9"/>
      <c r="N2074" s="9"/>
      <c r="O2074" s="9"/>
      <c r="P2074" s="9"/>
      <c r="Q2074" s="9"/>
      <c r="R2074" s="9" t="str">
        <f aca="false">IF(AND(A2074&lt;&gt;"",ISNUMBER(Q2074),ISNUMBER(L2074)),ROUND(Q2074-IF(ISNUMBER(N2074),N2074,0)-IF(ISNUMBER(O2074),O2074,0)+IF(ISNUMBER(P2074),P2074,0),2),"")</f>
        <v/>
      </c>
      <c r="S2074" s="9" t="str">
        <f aca="false">IF(R2074="","",ROUND(L2074-R2074,2))</f>
        <v/>
      </c>
      <c r="T2074" s="8" t="str">
        <f aca="false">IF(A2074="","",IF(S2074="","BYPASS",IF(ABS(S2074)&lt;=Summary!$B$2,"PASS","FAIL")))</f>
        <v/>
      </c>
      <c r="U2074" s="8" t="str">
        <f aca="false">IF(T2074="BYPASS",IF(NOT(ISNUMBER(Q2074)),"PreV_ETB missing","End_tr_balance missing"),IF(T2074="FAIL",IF(AND(ISNUMBER(K2074),ISNUMBER(L2074),ABS(L2074-(K2074-IF(ISNUMBER(N2074),N2074,0)-IF(ISNUMBER(O2074),O2074,0)+IF(ISNUMBER(P2074),P2074,0)))&lt;=Summary!$B$2),"Passes using beginning_balance - PreV_ETB differs from beginning_balance",IF(AND(ISNUMBER(O2074),O2074&lt;0,ABS(L2074-(Q2074-IF(ISNUMBER(N2074),N2074,0)+IF(ISNUMBER(P2074),P2074,0)))&lt;=Summary!$B$2),"Negative realized loss not applied - check sign",IF(R2074&lt;0,"Principal paid exceeds prior balance",IF(AND(L2074&gt;Q2074,NOT(ISNUMBER(P2074))),"Balance increased but no Deferred_interest reported",IF(L2074&gt;R2074,"Reported balance higher than expected (missing increase/OC build)","Reported balance lower than expected (missing decrease)"))))),""))</f>
        <v/>
      </c>
    </row>
    <row r="2075" customFormat="false" ht="15" hidden="false" customHeight="false" outlineLevel="0" collapsed="false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9"/>
      <c r="L2075" s="9"/>
      <c r="M2075" s="9"/>
      <c r="N2075" s="9"/>
      <c r="O2075" s="9"/>
      <c r="P2075" s="9"/>
      <c r="Q2075" s="9"/>
      <c r="R2075" s="9" t="str">
        <f aca="false">IF(AND(A2075&lt;&gt;"",ISNUMBER(Q2075),ISNUMBER(L2075)),ROUND(Q2075-IF(ISNUMBER(N2075),N2075,0)-IF(ISNUMBER(O2075),O2075,0)+IF(ISNUMBER(P2075),P2075,0),2),"")</f>
        <v/>
      </c>
      <c r="S2075" s="9" t="str">
        <f aca="false">IF(R2075="","",ROUND(L2075-R2075,2))</f>
        <v/>
      </c>
      <c r="T2075" s="8" t="str">
        <f aca="false">IF(A2075="","",IF(S2075="","BYPASS",IF(ABS(S2075)&lt;=Summary!$B$2,"PASS","FAIL")))</f>
        <v/>
      </c>
      <c r="U2075" s="8" t="str">
        <f aca="false">IF(T2075="BYPASS",IF(NOT(ISNUMBER(Q2075)),"PreV_ETB missing","End_tr_balance missing"),IF(T2075="FAIL",IF(AND(ISNUMBER(K2075),ISNUMBER(L2075),ABS(L2075-(K2075-IF(ISNUMBER(N2075),N2075,0)-IF(ISNUMBER(O2075),O2075,0)+IF(ISNUMBER(P2075),P2075,0)))&lt;=Summary!$B$2),"Passes using beginning_balance - PreV_ETB differs from beginning_balance",IF(AND(ISNUMBER(O2075),O2075&lt;0,ABS(L2075-(Q2075-IF(ISNUMBER(N2075),N2075,0)+IF(ISNUMBER(P2075),P2075,0)))&lt;=Summary!$B$2),"Negative realized loss not applied - check sign",IF(R2075&lt;0,"Principal paid exceeds prior balance",IF(AND(L2075&gt;Q2075,NOT(ISNUMBER(P2075))),"Balance increased but no Deferred_interest reported",IF(L2075&gt;R2075,"Reported balance higher than expected (missing increase/OC build)","Reported balance lower than expected (missing decrease)"))))),""))</f>
        <v/>
      </c>
    </row>
    <row r="2076" customFormat="false" ht="15" hidden="false" customHeight="false" outlineLevel="0" collapsed="false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9"/>
      <c r="L2076" s="9"/>
      <c r="M2076" s="9"/>
      <c r="N2076" s="9"/>
      <c r="O2076" s="9"/>
      <c r="P2076" s="9"/>
      <c r="Q2076" s="9"/>
      <c r="R2076" s="9" t="str">
        <f aca="false">IF(AND(A2076&lt;&gt;"",ISNUMBER(Q2076),ISNUMBER(L2076)),ROUND(Q2076-IF(ISNUMBER(N2076),N2076,0)-IF(ISNUMBER(O2076),O2076,0)+IF(ISNUMBER(P2076),P2076,0),2),"")</f>
        <v/>
      </c>
      <c r="S2076" s="9" t="str">
        <f aca="false">IF(R2076="","",ROUND(L2076-R2076,2))</f>
        <v/>
      </c>
      <c r="T2076" s="8" t="str">
        <f aca="false">IF(A2076="","",IF(S2076="","BYPASS",IF(ABS(S2076)&lt;=Summary!$B$2,"PASS","FAIL")))</f>
        <v/>
      </c>
      <c r="U2076" s="8" t="str">
        <f aca="false">IF(T2076="BYPASS",IF(NOT(ISNUMBER(Q2076)),"PreV_ETB missing","End_tr_balance missing"),IF(T2076="FAIL",IF(AND(ISNUMBER(K2076),ISNUMBER(L2076),ABS(L2076-(K2076-IF(ISNUMBER(N2076),N2076,0)-IF(ISNUMBER(O2076),O2076,0)+IF(ISNUMBER(P2076),P2076,0)))&lt;=Summary!$B$2),"Passes using beginning_balance - PreV_ETB differs from beginning_balance",IF(AND(ISNUMBER(O2076),O2076&lt;0,ABS(L2076-(Q2076-IF(ISNUMBER(N2076),N2076,0)+IF(ISNUMBER(P2076),P2076,0)))&lt;=Summary!$B$2),"Negative realized loss not applied - check sign",IF(R2076&lt;0,"Principal paid exceeds prior balance",IF(AND(L2076&gt;Q2076,NOT(ISNUMBER(P2076))),"Balance increased but no Deferred_interest reported",IF(L2076&gt;R2076,"Reported balance higher than expected (missing increase/OC build)","Reported balance lower than expected (missing decrease)"))))),""))</f>
        <v/>
      </c>
    </row>
    <row r="2077" customFormat="false" ht="15" hidden="false" customHeight="false" outlineLevel="0" collapsed="false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9"/>
      <c r="L2077" s="9"/>
      <c r="M2077" s="9"/>
      <c r="N2077" s="9"/>
      <c r="O2077" s="9"/>
      <c r="P2077" s="9"/>
      <c r="Q2077" s="9"/>
      <c r="R2077" s="9" t="str">
        <f aca="false">IF(AND(A2077&lt;&gt;"",ISNUMBER(Q2077),ISNUMBER(L2077)),ROUND(Q2077-IF(ISNUMBER(N2077),N2077,0)-IF(ISNUMBER(O2077),O2077,0)+IF(ISNUMBER(P2077),P2077,0),2),"")</f>
        <v/>
      </c>
      <c r="S2077" s="9" t="str">
        <f aca="false">IF(R2077="","",ROUND(L2077-R2077,2))</f>
        <v/>
      </c>
      <c r="T2077" s="8" t="str">
        <f aca="false">IF(A2077="","",IF(S2077="","BYPASS",IF(ABS(S2077)&lt;=Summary!$B$2,"PASS","FAIL")))</f>
        <v/>
      </c>
      <c r="U2077" s="8" t="str">
        <f aca="false">IF(T2077="BYPASS",IF(NOT(ISNUMBER(Q2077)),"PreV_ETB missing","End_tr_balance missing"),IF(T2077="FAIL",IF(AND(ISNUMBER(K2077),ISNUMBER(L2077),ABS(L2077-(K2077-IF(ISNUMBER(N2077),N2077,0)-IF(ISNUMBER(O2077),O2077,0)+IF(ISNUMBER(P2077),P2077,0)))&lt;=Summary!$B$2),"Passes using beginning_balance - PreV_ETB differs from beginning_balance",IF(AND(ISNUMBER(O2077),O2077&lt;0,ABS(L2077-(Q2077-IF(ISNUMBER(N2077),N2077,0)+IF(ISNUMBER(P2077),P2077,0)))&lt;=Summary!$B$2),"Negative realized loss not applied - check sign",IF(R2077&lt;0,"Principal paid exceeds prior balance",IF(AND(L2077&gt;Q2077,NOT(ISNUMBER(P2077))),"Balance increased but no Deferred_interest reported",IF(L2077&gt;R2077,"Reported balance higher than expected (missing increase/OC build)","Reported balance lower than expected (missing decrease)"))))),""))</f>
        <v/>
      </c>
    </row>
    <row r="2078" customFormat="false" ht="15" hidden="false" customHeight="false" outlineLevel="0" collapsed="false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9"/>
      <c r="L2078" s="9"/>
      <c r="M2078" s="9"/>
      <c r="N2078" s="9"/>
      <c r="O2078" s="9"/>
      <c r="P2078" s="9"/>
      <c r="Q2078" s="9"/>
      <c r="R2078" s="9" t="str">
        <f aca="false">IF(AND(A2078&lt;&gt;"",ISNUMBER(Q2078),ISNUMBER(L2078)),ROUND(Q2078-IF(ISNUMBER(N2078),N2078,0)-IF(ISNUMBER(O2078),O2078,0)+IF(ISNUMBER(P2078),P2078,0),2),"")</f>
        <v/>
      </c>
      <c r="S2078" s="9" t="str">
        <f aca="false">IF(R2078="","",ROUND(L2078-R2078,2))</f>
        <v/>
      </c>
      <c r="T2078" s="8" t="str">
        <f aca="false">IF(A2078="","",IF(S2078="","BYPASS",IF(ABS(S2078)&lt;=Summary!$B$2,"PASS","FAIL")))</f>
        <v/>
      </c>
      <c r="U2078" s="8" t="str">
        <f aca="false">IF(T2078="BYPASS",IF(NOT(ISNUMBER(Q2078)),"PreV_ETB missing","End_tr_balance missing"),IF(T2078="FAIL",IF(AND(ISNUMBER(K2078),ISNUMBER(L2078),ABS(L2078-(K2078-IF(ISNUMBER(N2078),N2078,0)-IF(ISNUMBER(O2078),O2078,0)+IF(ISNUMBER(P2078),P2078,0)))&lt;=Summary!$B$2),"Passes using beginning_balance - PreV_ETB differs from beginning_balance",IF(AND(ISNUMBER(O2078),O2078&lt;0,ABS(L2078-(Q2078-IF(ISNUMBER(N2078),N2078,0)+IF(ISNUMBER(P2078),P2078,0)))&lt;=Summary!$B$2),"Negative realized loss not applied - check sign",IF(R2078&lt;0,"Principal paid exceeds prior balance",IF(AND(L2078&gt;Q2078,NOT(ISNUMBER(P2078))),"Balance increased but no Deferred_interest reported",IF(L2078&gt;R2078,"Reported balance higher than expected (missing increase/OC build)","Reported balance lower than expected (missing decrease)"))))),""))</f>
        <v/>
      </c>
    </row>
    <row r="2079" customFormat="false" ht="15" hidden="false" customHeight="false" outlineLevel="0" collapsed="false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9"/>
      <c r="L2079" s="9"/>
      <c r="M2079" s="9"/>
      <c r="N2079" s="9"/>
      <c r="O2079" s="9"/>
      <c r="P2079" s="9"/>
      <c r="Q2079" s="9"/>
      <c r="R2079" s="9" t="str">
        <f aca="false">IF(AND(A2079&lt;&gt;"",ISNUMBER(Q2079),ISNUMBER(L2079)),ROUND(Q2079-IF(ISNUMBER(N2079),N2079,0)-IF(ISNUMBER(O2079),O2079,0)+IF(ISNUMBER(P2079),P2079,0),2),"")</f>
        <v/>
      </c>
      <c r="S2079" s="9" t="str">
        <f aca="false">IF(R2079="","",ROUND(L2079-R2079,2))</f>
        <v/>
      </c>
      <c r="T2079" s="8" t="str">
        <f aca="false">IF(A2079="","",IF(S2079="","BYPASS",IF(ABS(S2079)&lt;=Summary!$B$2,"PASS","FAIL")))</f>
        <v/>
      </c>
      <c r="U2079" s="8" t="str">
        <f aca="false">IF(T2079="BYPASS",IF(NOT(ISNUMBER(Q2079)),"PreV_ETB missing","End_tr_balance missing"),IF(T2079="FAIL",IF(AND(ISNUMBER(K2079),ISNUMBER(L2079),ABS(L2079-(K2079-IF(ISNUMBER(N2079),N2079,0)-IF(ISNUMBER(O2079),O2079,0)+IF(ISNUMBER(P2079),P2079,0)))&lt;=Summary!$B$2),"Passes using beginning_balance - PreV_ETB differs from beginning_balance",IF(AND(ISNUMBER(O2079),O2079&lt;0,ABS(L2079-(Q2079-IF(ISNUMBER(N2079),N2079,0)+IF(ISNUMBER(P2079),P2079,0)))&lt;=Summary!$B$2),"Negative realized loss not applied - check sign",IF(R2079&lt;0,"Principal paid exceeds prior balance",IF(AND(L2079&gt;Q2079,NOT(ISNUMBER(P2079))),"Balance increased but no Deferred_interest reported",IF(L2079&gt;R2079,"Reported balance higher than expected (missing increase/OC build)","Reported balance lower than expected (missing decrease)"))))),""))</f>
        <v/>
      </c>
    </row>
    <row r="2080" customFormat="false" ht="15" hidden="false" customHeight="false" outlineLevel="0" collapsed="false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9"/>
      <c r="L2080" s="9"/>
      <c r="M2080" s="9"/>
      <c r="N2080" s="9"/>
      <c r="O2080" s="9"/>
      <c r="P2080" s="9"/>
      <c r="Q2080" s="9"/>
      <c r="R2080" s="9" t="str">
        <f aca="false">IF(AND(A2080&lt;&gt;"",ISNUMBER(Q2080),ISNUMBER(L2080)),ROUND(Q2080-IF(ISNUMBER(N2080),N2080,0)-IF(ISNUMBER(O2080),O2080,0)+IF(ISNUMBER(P2080),P2080,0),2),"")</f>
        <v/>
      </c>
      <c r="S2080" s="9" t="str">
        <f aca="false">IF(R2080="","",ROUND(L2080-R2080,2))</f>
        <v/>
      </c>
      <c r="T2080" s="8" t="str">
        <f aca="false">IF(A2080="","",IF(S2080="","BYPASS",IF(ABS(S2080)&lt;=Summary!$B$2,"PASS","FAIL")))</f>
        <v/>
      </c>
      <c r="U2080" s="8" t="str">
        <f aca="false">IF(T2080="BYPASS",IF(NOT(ISNUMBER(Q2080)),"PreV_ETB missing","End_tr_balance missing"),IF(T2080="FAIL",IF(AND(ISNUMBER(K2080),ISNUMBER(L2080),ABS(L2080-(K2080-IF(ISNUMBER(N2080),N2080,0)-IF(ISNUMBER(O2080),O2080,0)+IF(ISNUMBER(P2080),P2080,0)))&lt;=Summary!$B$2),"Passes using beginning_balance - PreV_ETB differs from beginning_balance",IF(AND(ISNUMBER(O2080),O2080&lt;0,ABS(L2080-(Q2080-IF(ISNUMBER(N2080),N2080,0)+IF(ISNUMBER(P2080),P2080,0)))&lt;=Summary!$B$2),"Negative realized loss not applied - check sign",IF(R2080&lt;0,"Principal paid exceeds prior balance",IF(AND(L2080&gt;Q2080,NOT(ISNUMBER(P2080))),"Balance increased but no Deferred_interest reported",IF(L2080&gt;R2080,"Reported balance higher than expected (missing increase/OC build)","Reported balance lower than expected (missing decrease)"))))),""))</f>
        <v/>
      </c>
    </row>
    <row r="2081" customFormat="false" ht="15" hidden="false" customHeight="false" outlineLevel="0" collapsed="false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9"/>
      <c r="L2081" s="9"/>
      <c r="M2081" s="9"/>
      <c r="N2081" s="9"/>
      <c r="O2081" s="9"/>
      <c r="P2081" s="9"/>
      <c r="Q2081" s="9"/>
      <c r="R2081" s="9" t="str">
        <f aca="false">IF(AND(A2081&lt;&gt;"",ISNUMBER(Q2081),ISNUMBER(L2081)),ROUND(Q2081-IF(ISNUMBER(N2081),N2081,0)-IF(ISNUMBER(O2081),O2081,0)+IF(ISNUMBER(P2081),P2081,0),2),"")</f>
        <v/>
      </c>
      <c r="S2081" s="9" t="str">
        <f aca="false">IF(R2081="","",ROUND(L2081-R2081,2))</f>
        <v/>
      </c>
      <c r="T2081" s="8" t="str">
        <f aca="false">IF(A2081="","",IF(S2081="","BYPASS",IF(ABS(S2081)&lt;=Summary!$B$2,"PASS","FAIL")))</f>
        <v/>
      </c>
      <c r="U2081" s="8" t="str">
        <f aca="false">IF(T2081="BYPASS",IF(NOT(ISNUMBER(Q2081)),"PreV_ETB missing","End_tr_balance missing"),IF(T2081="FAIL",IF(AND(ISNUMBER(K2081),ISNUMBER(L2081),ABS(L2081-(K2081-IF(ISNUMBER(N2081),N2081,0)-IF(ISNUMBER(O2081),O2081,0)+IF(ISNUMBER(P2081),P2081,0)))&lt;=Summary!$B$2),"Passes using beginning_balance - PreV_ETB differs from beginning_balance",IF(AND(ISNUMBER(O2081),O2081&lt;0,ABS(L2081-(Q2081-IF(ISNUMBER(N2081),N2081,0)+IF(ISNUMBER(P2081),P2081,0)))&lt;=Summary!$B$2),"Negative realized loss not applied - check sign",IF(R2081&lt;0,"Principal paid exceeds prior balance",IF(AND(L2081&gt;Q2081,NOT(ISNUMBER(P2081))),"Balance increased but no Deferred_interest reported",IF(L2081&gt;R2081,"Reported balance higher than expected (missing increase/OC build)","Reported balance lower than expected (missing decrease)"))))),""))</f>
        <v/>
      </c>
    </row>
    <row r="2082" customFormat="false" ht="15" hidden="false" customHeight="false" outlineLevel="0" collapsed="false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9"/>
      <c r="L2082" s="9"/>
      <c r="M2082" s="9"/>
      <c r="N2082" s="9"/>
      <c r="O2082" s="9"/>
      <c r="P2082" s="9"/>
      <c r="Q2082" s="9"/>
      <c r="R2082" s="9" t="str">
        <f aca="false">IF(AND(A2082&lt;&gt;"",ISNUMBER(Q2082),ISNUMBER(L2082)),ROUND(Q2082-IF(ISNUMBER(N2082),N2082,0)-IF(ISNUMBER(O2082),O2082,0)+IF(ISNUMBER(P2082),P2082,0),2),"")</f>
        <v/>
      </c>
      <c r="S2082" s="9" t="str">
        <f aca="false">IF(R2082="","",ROUND(L2082-R2082,2))</f>
        <v/>
      </c>
      <c r="T2082" s="8" t="str">
        <f aca="false">IF(A2082="","",IF(S2082="","BYPASS",IF(ABS(S2082)&lt;=Summary!$B$2,"PASS","FAIL")))</f>
        <v/>
      </c>
      <c r="U2082" s="8" t="str">
        <f aca="false">IF(T2082="BYPASS",IF(NOT(ISNUMBER(Q2082)),"PreV_ETB missing","End_tr_balance missing"),IF(T2082="FAIL",IF(AND(ISNUMBER(K2082),ISNUMBER(L2082),ABS(L2082-(K2082-IF(ISNUMBER(N2082),N2082,0)-IF(ISNUMBER(O2082),O2082,0)+IF(ISNUMBER(P2082),P2082,0)))&lt;=Summary!$B$2),"Passes using beginning_balance - PreV_ETB differs from beginning_balance",IF(AND(ISNUMBER(O2082),O2082&lt;0,ABS(L2082-(Q2082-IF(ISNUMBER(N2082),N2082,0)+IF(ISNUMBER(P2082),P2082,0)))&lt;=Summary!$B$2),"Negative realized loss not applied - check sign",IF(R2082&lt;0,"Principal paid exceeds prior balance",IF(AND(L2082&gt;Q2082,NOT(ISNUMBER(P2082))),"Balance increased but no Deferred_interest reported",IF(L2082&gt;R2082,"Reported balance higher than expected (missing increase/OC build)","Reported balance lower than expected (missing decrease)"))))),""))</f>
        <v/>
      </c>
    </row>
    <row r="2083" customFormat="false" ht="15" hidden="false" customHeight="false" outlineLevel="0" collapsed="false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9"/>
      <c r="L2083" s="9"/>
      <c r="M2083" s="9"/>
      <c r="N2083" s="9"/>
      <c r="O2083" s="9"/>
      <c r="P2083" s="9"/>
      <c r="Q2083" s="9"/>
      <c r="R2083" s="9" t="str">
        <f aca="false">IF(AND(A2083&lt;&gt;"",ISNUMBER(Q2083),ISNUMBER(L2083)),ROUND(Q2083-IF(ISNUMBER(N2083),N2083,0)-IF(ISNUMBER(O2083),O2083,0)+IF(ISNUMBER(P2083),P2083,0),2),"")</f>
        <v/>
      </c>
      <c r="S2083" s="9" t="str">
        <f aca="false">IF(R2083="","",ROUND(L2083-R2083,2))</f>
        <v/>
      </c>
      <c r="T2083" s="8" t="str">
        <f aca="false">IF(A2083="","",IF(S2083="","BYPASS",IF(ABS(S2083)&lt;=Summary!$B$2,"PASS","FAIL")))</f>
        <v/>
      </c>
      <c r="U2083" s="8" t="str">
        <f aca="false">IF(T2083="BYPASS",IF(NOT(ISNUMBER(Q2083)),"PreV_ETB missing","End_tr_balance missing"),IF(T2083="FAIL",IF(AND(ISNUMBER(K2083),ISNUMBER(L2083),ABS(L2083-(K2083-IF(ISNUMBER(N2083),N2083,0)-IF(ISNUMBER(O2083),O2083,0)+IF(ISNUMBER(P2083),P2083,0)))&lt;=Summary!$B$2),"Passes using beginning_balance - PreV_ETB differs from beginning_balance",IF(AND(ISNUMBER(O2083),O2083&lt;0,ABS(L2083-(Q2083-IF(ISNUMBER(N2083),N2083,0)+IF(ISNUMBER(P2083),P2083,0)))&lt;=Summary!$B$2),"Negative realized loss not applied - check sign",IF(R2083&lt;0,"Principal paid exceeds prior balance",IF(AND(L2083&gt;Q2083,NOT(ISNUMBER(P2083))),"Balance increased but no Deferred_interest reported",IF(L2083&gt;R2083,"Reported balance higher than expected (missing increase/OC build)","Reported balance lower than expected (missing decrease)"))))),""))</f>
        <v/>
      </c>
    </row>
    <row r="2084" customFormat="false" ht="15" hidden="false" customHeight="false" outlineLevel="0" collapsed="false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9"/>
      <c r="L2084" s="9"/>
      <c r="M2084" s="9"/>
      <c r="N2084" s="9"/>
      <c r="O2084" s="9"/>
      <c r="P2084" s="9"/>
      <c r="Q2084" s="9"/>
      <c r="R2084" s="9" t="str">
        <f aca="false">IF(AND(A2084&lt;&gt;"",ISNUMBER(Q2084),ISNUMBER(L2084)),ROUND(Q2084-IF(ISNUMBER(N2084),N2084,0)-IF(ISNUMBER(O2084),O2084,0)+IF(ISNUMBER(P2084),P2084,0),2),"")</f>
        <v/>
      </c>
      <c r="S2084" s="9" t="str">
        <f aca="false">IF(R2084="","",ROUND(L2084-R2084,2))</f>
        <v/>
      </c>
      <c r="T2084" s="8" t="str">
        <f aca="false">IF(A2084="","",IF(S2084="","BYPASS",IF(ABS(S2084)&lt;=Summary!$B$2,"PASS","FAIL")))</f>
        <v/>
      </c>
      <c r="U2084" s="8" t="str">
        <f aca="false">IF(T2084="BYPASS",IF(NOT(ISNUMBER(Q2084)),"PreV_ETB missing","End_tr_balance missing"),IF(T2084="FAIL",IF(AND(ISNUMBER(K2084),ISNUMBER(L2084),ABS(L2084-(K2084-IF(ISNUMBER(N2084),N2084,0)-IF(ISNUMBER(O2084),O2084,0)+IF(ISNUMBER(P2084),P2084,0)))&lt;=Summary!$B$2),"Passes using beginning_balance - PreV_ETB differs from beginning_balance",IF(AND(ISNUMBER(O2084),O2084&lt;0,ABS(L2084-(Q2084-IF(ISNUMBER(N2084),N2084,0)+IF(ISNUMBER(P2084),P2084,0)))&lt;=Summary!$B$2),"Negative realized loss not applied - check sign",IF(R2084&lt;0,"Principal paid exceeds prior balance",IF(AND(L2084&gt;Q2084,NOT(ISNUMBER(P2084))),"Balance increased but no Deferred_interest reported",IF(L2084&gt;R2084,"Reported balance higher than expected (missing increase/OC build)","Reported balance lower than expected (missing decrease)"))))),""))</f>
        <v/>
      </c>
    </row>
    <row r="2085" customFormat="false" ht="15" hidden="false" customHeight="false" outlineLevel="0" collapsed="false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9"/>
      <c r="L2085" s="9"/>
      <c r="M2085" s="9"/>
      <c r="N2085" s="9"/>
      <c r="O2085" s="9"/>
      <c r="P2085" s="9"/>
      <c r="Q2085" s="9"/>
      <c r="R2085" s="9" t="str">
        <f aca="false">IF(AND(A2085&lt;&gt;"",ISNUMBER(Q2085),ISNUMBER(L2085)),ROUND(Q2085-IF(ISNUMBER(N2085),N2085,0)-IF(ISNUMBER(O2085),O2085,0)+IF(ISNUMBER(P2085),P2085,0),2),"")</f>
        <v/>
      </c>
      <c r="S2085" s="9" t="str">
        <f aca="false">IF(R2085="","",ROUND(L2085-R2085,2))</f>
        <v/>
      </c>
      <c r="T2085" s="8" t="str">
        <f aca="false">IF(A2085="","",IF(S2085="","BYPASS",IF(ABS(S2085)&lt;=Summary!$B$2,"PASS","FAIL")))</f>
        <v/>
      </c>
      <c r="U2085" s="8" t="str">
        <f aca="false">IF(T2085="BYPASS",IF(NOT(ISNUMBER(Q2085)),"PreV_ETB missing","End_tr_balance missing"),IF(T2085="FAIL",IF(AND(ISNUMBER(K2085),ISNUMBER(L2085),ABS(L2085-(K2085-IF(ISNUMBER(N2085),N2085,0)-IF(ISNUMBER(O2085),O2085,0)+IF(ISNUMBER(P2085),P2085,0)))&lt;=Summary!$B$2),"Passes using beginning_balance - PreV_ETB differs from beginning_balance",IF(AND(ISNUMBER(O2085),O2085&lt;0,ABS(L2085-(Q2085-IF(ISNUMBER(N2085),N2085,0)+IF(ISNUMBER(P2085),P2085,0)))&lt;=Summary!$B$2),"Negative realized loss not applied - check sign",IF(R2085&lt;0,"Principal paid exceeds prior balance",IF(AND(L2085&gt;Q2085,NOT(ISNUMBER(P2085))),"Balance increased but no Deferred_interest reported",IF(L2085&gt;R2085,"Reported balance higher than expected (missing increase/OC build)","Reported balance lower than expected (missing decrease)"))))),""))</f>
        <v/>
      </c>
    </row>
    <row r="2086" customFormat="false" ht="15" hidden="false" customHeight="false" outlineLevel="0" collapsed="false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9"/>
      <c r="L2086" s="9"/>
      <c r="M2086" s="9"/>
      <c r="N2086" s="9"/>
      <c r="O2086" s="9"/>
      <c r="P2086" s="9"/>
      <c r="Q2086" s="9"/>
      <c r="R2086" s="9" t="str">
        <f aca="false">IF(AND(A2086&lt;&gt;"",ISNUMBER(Q2086),ISNUMBER(L2086)),ROUND(Q2086-IF(ISNUMBER(N2086),N2086,0)-IF(ISNUMBER(O2086),O2086,0)+IF(ISNUMBER(P2086),P2086,0),2),"")</f>
        <v/>
      </c>
      <c r="S2086" s="9" t="str">
        <f aca="false">IF(R2086="","",ROUND(L2086-R2086,2))</f>
        <v/>
      </c>
      <c r="T2086" s="8" t="str">
        <f aca="false">IF(A2086="","",IF(S2086="","BYPASS",IF(ABS(S2086)&lt;=Summary!$B$2,"PASS","FAIL")))</f>
        <v/>
      </c>
      <c r="U2086" s="8" t="str">
        <f aca="false">IF(T2086="BYPASS",IF(NOT(ISNUMBER(Q2086)),"PreV_ETB missing","End_tr_balance missing"),IF(T2086="FAIL",IF(AND(ISNUMBER(K2086),ISNUMBER(L2086),ABS(L2086-(K2086-IF(ISNUMBER(N2086),N2086,0)-IF(ISNUMBER(O2086),O2086,0)+IF(ISNUMBER(P2086),P2086,0)))&lt;=Summary!$B$2),"Passes using beginning_balance - PreV_ETB differs from beginning_balance",IF(AND(ISNUMBER(O2086),O2086&lt;0,ABS(L2086-(Q2086-IF(ISNUMBER(N2086),N2086,0)+IF(ISNUMBER(P2086),P2086,0)))&lt;=Summary!$B$2),"Negative realized loss not applied - check sign",IF(R2086&lt;0,"Principal paid exceeds prior balance",IF(AND(L2086&gt;Q2086,NOT(ISNUMBER(P2086))),"Balance increased but no Deferred_interest reported",IF(L2086&gt;R2086,"Reported balance higher than expected (missing increase/OC build)","Reported balance lower than expected (missing decrease)"))))),""))</f>
        <v/>
      </c>
    </row>
    <row r="2087" customFormat="false" ht="15" hidden="false" customHeight="false" outlineLevel="0" collapsed="false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9"/>
      <c r="L2087" s="9"/>
      <c r="M2087" s="9"/>
      <c r="N2087" s="9"/>
      <c r="O2087" s="9"/>
      <c r="P2087" s="9"/>
      <c r="Q2087" s="9"/>
      <c r="R2087" s="9" t="str">
        <f aca="false">IF(AND(A2087&lt;&gt;"",ISNUMBER(Q2087),ISNUMBER(L2087)),ROUND(Q2087-IF(ISNUMBER(N2087),N2087,0)-IF(ISNUMBER(O2087),O2087,0)+IF(ISNUMBER(P2087),P2087,0),2),"")</f>
        <v/>
      </c>
      <c r="S2087" s="9" t="str">
        <f aca="false">IF(R2087="","",ROUND(L2087-R2087,2))</f>
        <v/>
      </c>
      <c r="T2087" s="8" t="str">
        <f aca="false">IF(A2087="","",IF(S2087="","BYPASS",IF(ABS(S2087)&lt;=Summary!$B$2,"PASS","FAIL")))</f>
        <v/>
      </c>
      <c r="U2087" s="8" t="str">
        <f aca="false">IF(T2087="BYPASS",IF(NOT(ISNUMBER(Q2087)),"PreV_ETB missing","End_tr_balance missing"),IF(T2087="FAIL",IF(AND(ISNUMBER(K2087),ISNUMBER(L2087),ABS(L2087-(K2087-IF(ISNUMBER(N2087),N2087,0)-IF(ISNUMBER(O2087),O2087,0)+IF(ISNUMBER(P2087),P2087,0)))&lt;=Summary!$B$2),"Passes using beginning_balance - PreV_ETB differs from beginning_balance",IF(AND(ISNUMBER(O2087),O2087&lt;0,ABS(L2087-(Q2087-IF(ISNUMBER(N2087),N2087,0)+IF(ISNUMBER(P2087),P2087,0)))&lt;=Summary!$B$2),"Negative realized loss not applied - check sign",IF(R2087&lt;0,"Principal paid exceeds prior balance",IF(AND(L2087&gt;Q2087,NOT(ISNUMBER(P2087))),"Balance increased but no Deferred_interest reported",IF(L2087&gt;R2087,"Reported balance higher than expected (missing increase/OC build)","Reported balance lower than expected (missing decrease)"))))),""))</f>
        <v/>
      </c>
    </row>
    <row r="2088" customFormat="false" ht="15" hidden="false" customHeight="false" outlineLevel="0" collapsed="false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9"/>
      <c r="L2088" s="9"/>
      <c r="M2088" s="9"/>
      <c r="N2088" s="9"/>
      <c r="O2088" s="9"/>
      <c r="P2088" s="9"/>
      <c r="Q2088" s="9"/>
      <c r="R2088" s="9" t="str">
        <f aca="false">IF(AND(A2088&lt;&gt;"",ISNUMBER(Q2088),ISNUMBER(L2088)),ROUND(Q2088-IF(ISNUMBER(N2088),N2088,0)-IF(ISNUMBER(O2088),O2088,0)+IF(ISNUMBER(P2088),P2088,0),2),"")</f>
        <v/>
      </c>
      <c r="S2088" s="9" t="str">
        <f aca="false">IF(R2088="","",ROUND(L2088-R2088,2))</f>
        <v/>
      </c>
      <c r="T2088" s="8" t="str">
        <f aca="false">IF(A2088="","",IF(S2088="","BYPASS",IF(ABS(S2088)&lt;=Summary!$B$2,"PASS","FAIL")))</f>
        <v/>
      </c>
      <c r="U2088" s="8" t="str">
        <f aca="false">IF(T2088="BYPASS",IF(NOT(ISNUMBER(Q2088)),"PreV_ETB missing","End_tr_balance missing"),IF(T2088="FAIL",IF(AND(ISNUMBER(K2088),ISNUMBER(L2088),ABS(L2088-(K2088-IF(ISNUMBER(N2088),N2088,0)-IF(ISNUMBER(O2088),O2088,0)+IF(ISNUMBER(P2088),P2088,0)))&lt;=Summary!$B$2),"Passes using beginning_balance - PreV_ETB differs from beginning_balance",IF(AND(ISNUMBER(O2088),O2088&lt;0,ABS(L2088-(Q2088-IF(ISNUMBER(N2088),N2088,0)+IF(ISNUMBER(P2088),P2088,0)))&lt;=Summary!$B$2),"Negative realized loss not applied - check sign",IF(R2088&lt;0,"Principal paid exceeds prior balance",IF(AND(L2088&gt;Q2088,NOT(ISNUMBER(P2088))),"Balance increased but no Deferred_interest reported",IF(L2088&gt;R2088,"Reported balance higher than expected (missing increase/OC build)","Reported balance lower than expected (missing decrease)"))))),""))</f>
        <v/>
      </c>
    </row>
    <row r="2089" customFormat="false" ht="15" hidden="false" customHeight="false" outlineLevel="0" collapsed="false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9"/>
      <c r="L2089" s="9"/>
      <c r="M2089" s="9"/>
      <c r="N2089" s="9"/>
      <c r="O2089" s="9"/>
      <c r="P2089" s="9"/>
      <c r="Q2089" s="9"/>
      <c r="R2089" s="9" t="str">
        <f aca="false">IF(AND(A2089&lt;&gt;"",ISNUMBER(Q2089),ISNUMBER(L2089)),ROUND(Q2089-IF(ISNUMBER(N2089),N2089,0)-IF(ISNUMBER(O2089),O2089,0)+IF(ISNUMBER(P2089),P2089,0),2),"")</f>
        <v/>
      </c>
      <c r="S2089" s="9" t="str">
        <f aca="false">IF(R2089="","",ROUND(L2089-R2089,2))</f>
        <v/>
      </c>
      <c r="T2089" s="8" t="str">
        <f aca="false">IF(A2089="","",IF(S2089="","BYPASS",IF(ABS(S2089)&lt;=Summary!$B$2,"PASS","FAIL")))</f>
        <v/>
      </c>
      <c r="U2089" s="8" t="str">
        <f aca="false">IF(T2089="BYPASS",IF(NOT(ISNUMBER(Q2089)),"PreV_ETB missing","End_tr_balance missing"),IF(T2089="FAIL",IF(AND(ISNUMBER(K2089),ISNUMBER(L2089),ABS(L2089-(K2089-IF(ISNUMBER(N2089),N2089,0)-IF(ISNUMBER(O2089),O2089,0)+IF(ISNUMBER(P2089),P2089,0)))&lt;=Summary!$B$2),"Passes using beginning_balance - PreV_ETB differs from beginning_balance",IF(AND(ISNUMBER(O2089),O2089&lt;0,ABS(L2089-(Q2089-IF(ISNUMBER(N2089),N2089,0)+IF(ISNUMBER(P2089),P2089,0)))&lt;=Summary!$B$2),"Negative realized loss not applied - check sign",IF(R2089&lt;0,"Principal paid exceeds prior balance",IF(AND(L2089&gt;Q2089,NOT(ISNUMBER(P2089))),"Balance increased but no Deferred_interest reported",IF(L2089&gt;R2089,"Reported balance higher than expected (missing increase/OC build)","Reported balance lower than expected (missing decrease)"))))),""))</f>
        <v/>
      </c>
    </row>
    <row r="2090" customFormat="false" ht="15" hidden="false" customHeight="false" outlineLevel="0" collapsed="false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9"/>
      <c r="L2090" s="9"/>
      <c r="M2090" s="9"/>
      <c r="N2090" s="9"/>
      <c r="O2090" s="9"/>
      <c r="P2090" s="9"/>
      <c r="Q2090" s="9"/>
      <c r="R2090" s="9" t="str">
        <f aca="false">IF(AND(A2090&lt;&gt;"",ISNUMBER(Q2090),ISNUMBER(L2090)),ROUND(Q2090-IF(ISNUMBER(N2090),N2090,0)-IF(ISNUMBER(O2090),O2090,0)+IF(ISNUMBER(P2090),P2090,0),2),"")</f>
        <v/>
      </c>
      <c r="S2090" s="9" t="str">
        <f aca="false">IF(R2090="","",ROUND(L2090-R2090,2))</f>
        <v/>
      </c>
      <c r="T2090" s="8" t="str">
        <f aca="false">IF(A2090="","",IF(S2090="","BYPASS",IF(ABS(S2090)&lt;=Summary!$B$2,"PASS","FAIL")))</f>
        <v/>
      </c>
      <c r="U2090" s="8" t="str">
        <f aca="false">IF(T2090="BYPASS",IF(NOT(ISNUMBER(Q2090)),"PreV_ETB missing","End_tr_balance missing"),IF(T2090="FAIL",IF(AND(ISNUMBER(K2090),ISNUMBER(L2090),ABS(L2090-(K2090-IF(ISNUMBER(N2090),N2090,0)-IF(ISNUMBER(O2090),O2090,0)+IF(ISNUMBER(P2090),P2090,0)))&lt;=Summary!$B$2),"Passes using beginning_balance - PreV_ETB differs from beginning_balance",IF(AND(ISNUMBER(O2090),O2090&lt;0,ABS(L2090-(Q2090-IF(ISNUMBER(N2090),N2090,0)+IF(ISNUMBER(P2090),P2090,0)))&lt;=Summary!$B$2),"Negative realized loss not applied - check sign",IF(R2090&lt;0,"Principal paid exceeds prior balance",IF(AND(L2090&gt;Q2090,NOT(ISNUMBER(P2090))),"Balance increased but no Deferred_interest reported",IF(L2090&gt;R2090,"Reported balance higher than expected (missing increase/OC build)","Reported balance lower than expected (missing decrease)"))))),""))</f>
        <v/>
      </c>
    </row>
    <row r="2091" customFormat="false" ht="15" hidden="false" customHeight="false" outlineLevel="0" collapsed="false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9"/>
      <c r="L2091" s="9"/>
      <c r="M2091" s="9"/>
      <c r="N2091" s="9"/>
      <c r="O2091" s="9"/>
      <c r="P2091" s="9"/>
      <c r="Q2091" s="9"/>
      <c r="R2091" s="9" t="str">
        <f aca="false">IF(AND(A2091&lt;&gt;"",ISNUMBER(Q2091),ISNUMBER(L2091)),ROUND(Q2091-IF(ISNUMBER(N2091),N2091,0)-IF(ISNUMBER(O2091),O2091,0)+IF(ISNUMBER(P2091),P2091,0),2),"")</f>
        <v/>
      </c>
      <c r="S2091" s="9" t="str">
        <f aca="false">IF(R2091="","",ROUND(L2091-R2091,2))</f>
        <v/>
      </c>
      <c r="T2091" s="8" t="str">
        <f aca="false">IF(A2091="","",IF(S2091="","BYPASS",IF(ABS(S2091)&lt;=Summary!$B$2,"PASS","FAIL")))</f>
        <v/>
      </c>
      <c r="U2091" s="8" t="str">
        <f aca="false">IF(T2091="BYPASS",IF(NOT(ISNUMBER(Q2091)),"PreV_ETB missing","End_tr_balance missing"),IF(T2091="FAIL",IF(AND(ISNUMBER(K2091),ISNUMBER(L2091),ABS(L2091-(K2091-IF(ISNUMBER(N2091),N2091,0)-IF(ISNUMBER(O2091),O2091,0)+IF(ISNUMBER(P2091),P2091,0)))&lt;=Summary!$B$2),"Passes using beginning_balance - PreV_ETB differs from beginning_balance",IF(AND(ISNUMBER(O2091),O2091&lt;0,ABS(L2091-(Q2091-IF(ISNUMBER(N2091),N2091,0)+IF(ISNUMBER(P2091),P2091,0)))&lt;=Summary!$B$2),"Negative realized loss not applied - check sign",IF(R2091&lt;0,"Principal paid exceeds prior balance",IF(AND(L2091&gt;Q2091,NOT(ISNUMBER(P2091))),"Balance increased but no Deferred_interest reported",IF(L2091&gt;R2091,"Reported balance higher than expected (missing increase/OC build)","Reported balance lower than expected (missing decrease)"))))),""))</f>
        <v/>
      </c>
    </row>
    <row r="2092" customFormat="false" ht="15" hidden="false" customHeight="false" outlineLevel="0" collapsed="false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9"/>
      <c r="L2092" s="9"/>
      <c r="M2092" s="9"/>
      <c r="N2092" s="9"/>
      <c r="O2092" s="9"/>
      <c r="P2092" s="9"/>
      <c r="Q2092" s="9"/>
      <c r="R2092" s="9" t="str">
        <f aca="false">IF(AND(A2092&lt;&gt;"",ISNUMBER(Q2092),ISNUMBER(L2092)),ROUND(Q2092-IF(ISNUMBER(N2092),N2092,0)-IF(ISNUMBER(O2092),O2092,0)+IF(ISNUMBER(P2092),P2092,0),2),"")</f>
        <v/>
      </c>
      <c r="S2092" s="9" t="str">
        <f aca="false">IF(R2092="","",ROUND(L2092-R2092,2))</f>
        <v/>
      </c>
      <c r="T2092" s="8" t="str">
        <f aca="false">IF(A2092="","",IF(S2092="","BYPASS",IF(ABS(S2092)&lt;=Summary!$B$2,"PASS","FAIL")))</f>
        <v/>
      </c>
      <c r="U2092" s="8" t="str">
        <f aca="false">IF(T2092="BYPASS",IF(NOT(ISNUMBER(Q2092)),"PreV_ETB missing","End_tr_balance missing"),IF(T2092="FAIL",IF(AND(ISNUMBER(K2092),ISNUMBER(L2092),ABS(L2092-(K2092-IF(ISNUMBER(N2092),N2092,0)-IF(ISNUMBER(O2092),O2092,0)+IF(ISNUMBER(P2092),P2092,0)))&lt;=Summary!$B$2),"Passes using beginning_balance - PreV_ETB differs from beginning_balance",IF(AND(ISNUMBER(O2092),O2092&lt;0,ABS(L2092-(Q2092-IF(ISNUMBER(N2092),N2092,0)+IF(ISNUMBER(P2092),P2092,0)))&lt;=Summary!$B$2),"Negative realized loss not applied - check sign",IF(R2092&lt;0,"Principal paid exceeds prior balance",IF(AND(L2092&gt;Q2092,NOT(ISNUMBER(P2092))),"Balance increased but no Deferred_interest reported",IF(L2092&gt;R2092,"Reported balance higher than expected (missing increase/OC build)","Reported balance lower than expected (missing decrease)"))))),""))</f>
        <v/>
      </c>
    </row>
    <row r="2093" customFormat="false" ht="15" hidden="false" customHeight="false" outlineLevel="0" collapsed="false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9"/>
      <c r="L2093" s="9"/>
      <c r="M2093" s="9"/>
      <c r="N2093" s="9"/>
      <c r="O2093" s="9"/>
      <c r="P2093" s="9"/>
      <c r="Q2093" s="9"/>
      <c r="R2093" s="9" t="str">
        <f aca="false">IF(AND(A2093&lt;&gt;"",ISNUMBER(Q2093),ISNUMBER(L2093)),ROUND(Q2093-IF(ISNUMBER(N2093),N2093,0)-IF(ISNUMBER(O2093),O2093,0)+IF(ISNUMBER(P2093),P2093,0),2),"")</f>
        <v/>
      </c>
      <c r="S2093" s="9" t="str">
        <f aca="false">IF(R2093="","",ROUND(L2093-R2093,2))</f>
        <v/>
      </c>
      <c r="T2093" s="8" t="str">
        <f aca="false">IF(A2093="","",IF(S2093="","BYPASS",IF(ABS(S2093)&lt;=Summary!$B$2,"PASS","FAIL")))</f>
        <v/>
      </c>
      <c r="U2093" s="8" t="str">
        <f aca="false">IF(T2093="BYPASS",IF(NOT(ISNUMBER(Q2093)),"PreV_ETB missing","End_tr_balance missing"),IF(T2093="FAIL",IF(AND(ISNUMBER(K2093),ISNUMBER(L2093),ABS(L2093-(K2093-IF(ISNUMBER(N2093),N2093,0)-IF(ISNUMBER(O2093),O2093,0)+IF(ISNUMBER(P2093),P2093,0)))&lt;=Summary!$B$2),"Passes using beginning_balance - PreV_ETB differs from beginning_balance",IF(AND(ISNUMBER(O2093),O2093&lt;0,ABS(L2093-(Q2093-IF(ISNUMBER(N2093),N2093,0)+IF(ISNUMBER(P2093),P2093,0)))&lt;=Summary!$B$2),"Negative realized loss not applied - check sign",IF(R2093&lt;0,"Principal paid exceeds prior balance",IF(AND(L2093&gt;Q2093,NOT(ISNUMBER(P2093))),"Balance increased but no Deferred_interest reported",IF(L2093&gt;R2093,"Reported balance higher than expected (missing increase/OC build)","Reported balance lower than expected (missing decrease)"))))),""))</f>
        <v/>
      </c>
    </row>
    <row r="2094" customFormat="false" ht="15" hidden="false" customHeight="false" outlineLevel="0" collapsed="false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9"/>
      <c r="L2094" s="9"/>
      <c r="M2094" s="9"/>
      <c r="N2094" s="9"/>
      <c r="O2094" s="9"/>
      <c r="P2094" s="9"/>
      <c r="Q2094" s="9"/>
      <c r="R2094" s="9" t="str">
        <f aca="false">IF(AND(A2094&lt;&gt;"",ISNUMBER(Q2094),ISNUMBER(L2094)),ROUND(Q2094-IF(ISNUMBER(N2094),N2094,0)-IF(ISNUMBER(O2094),O2094,0)+IF(ISNUMBER(P2094),P2094,0),2),"")</f>
        <v/>
      </c>
      <c r="S2094" s="9" t="str">
        <f aca="false">IF(R2094="","",ROUND(L2094-R2094,2))</f>
        <v/>
      </c>
      <c r="T2094" s="8" t="str">
        <f aca="false">IF(A2094="","",IF(S2094="","BYPASS",IF(ABS(S2094)&lt;=Summary!$B$2,"PASS","FAIL")))</f>
        <v/>
      </c>
      <c r="U2094" s="8" t="str">
        <f aca="false">IF(T2094="BYPASS",IF(NOT(ISNUMBER(Q2094)),"PreV_ETB missing","End_tr_balance missing"),IF(T2094="FAIL",IF(AND(ISNUMBER(K2094),ISNUMBER(L2094),ABS(L2094-(K2094-IF(ISNUMBER(N2094),N2094,0)-IF(ISNUMBER(O2094),O2094,0)+IF(ISNUMBER(P2094),P2094,0)))&lt;=Summary!$B$2),"Passes using beginning_balance - PreV_ETB differs from beginning_balance",IF(AND(ISNUMBER(O2094),O2094&lt;0,ABS(L2094-(Q2094-IF(ISNUMBER(N2094),N2094,0)+IF(ISNUMBER(P2094),P2094,0)))&lt;=Summary!$B$2),"Negative realized loss not applied - check sign",IF(R2094&lt;0,"Principal paid exceeds prior balance",IF(AND(L2094&gt;Q2094,NOT(ISNUMBER(P2094))),"Balance increased but no Deferred_interest reported",IF(L2094&gt;R2094,"Reported balance higher than expected (missing increase/OC build)","Reported balance lower than expected (missing decrease)"))))),""))</f>
        <v/>
      </c>
    </row>
    <row r="2095" customFormat="false" ht="15" hidden="false" customHeight="false" outlineLevel="0" collapsed="false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9"/>
      <c r="L2095" s="9"/>
      <c r="M2095" s="9"/>
      <c r="N2095" s="9"/>
      <c r="O2095" s="9"/>
      <c r="P2095" s="9"/>
      <c r="Q2095" s="9"/>
      <c r="R2095" s="9" t="str">
        <f aca="false">IF(AND(A2095&lt;&gt;"",ISNUMBER(Q2095),ISNUMBER(L2095)),ROUND(Q2095-IF(ISNUMBER(N2095),N2095,0)-IF(ISNUMBER(O2095),O2095,0)+IF(ISNUMBER(P2095),P2095,0),2),"")</f>
        <v/>
      </c>
      <c r="S2095" s="9" t="str">
        <f aca="false">IF(R2095="","",ROUND(L2095-R2095,2))</f>
        <v/>
      </c>
      <c r="T2095" s="8" t="str">
        <f aca="false">IF(A2095="","",IF(S2095="","BYPASS",IF(ABS(S2095)&lt;=Summary!$B$2,"PASS","FAIL")))</f>
        <v/>
      </c>
      <c r="U2095" s="8" t="str">
        <f aca="false">IF(T2095="BYPASS",IF(NOT(ISNUMBER(Q2095)),"PreV_ETB missing","End_tr_balance missing"),IF(T2095="FAIL",IF(AND(ISNUMBER(K2095),ISNUMBER(L2095),ABS(L2095-(K2095-IF(ISNUMBER(N2095),N2095,0)-IF(ISNUMBER(O2095),O2095,0)+IF(ISNUMBER(P2095),P2095,0)))&lt;=Summary!$B$2),"Passes using beginning_balance - PreV_ETB differs from beginning_balance",IF(AND(ISNUMBER(O2095),O2095&lt;0,ABS(L2095-(Q2095-IF(ISNUMBER(N2095),N2095,0)+IF(ISNUMBER(P2095),P2095,0)))&lt;=Summary!$B$2),"Negative realized loss not applied - check sign",IF(R2095&lt;0,"Principal paid exceeds prior balance",IF(AND(L2095&gt;Q2095,NOT(ISNUMBER(P2095))),"Balance increased but no Deferred_interest reported",IF(L2095&gt;R2095,"Reported balance higher than expected (missing increase/OC build)","Reported balance lower than expected (missing decrease)"))))),""))</f>
        <v/>
      </c>
    </row>
    <row r="2096" customFormat="false" ht="15" hidden="false" customHeight="false" outlineLevel="0" collapsed="false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9"/>
      <c r="L2096" s="9"/>
      <c r="M2096" s="9"/>
      <c r="N2096" s="9"/>
      <c r="O2096" s="9"/>
      <c r="P2096" s="9"/>
      <c r="Q2096" s="9"/>
      <c r="R2096" s="9" t="str">
        <f aca="false">IF(AND(A2096&lt;&gt;"",ISNUMBER(Q2096),ISNUMBER(L2096)),ROUND(Q2096-IF(ISNUMBER(N2096),N2096,0)-IF(ISNUMBER(O2096),O2096,0)+IF(ISNUMBER(P2096),P2096,0),2),"")</f>
        <v/>
      </c>
      <c r="S2096" s="9" t="str">
        <f aca="false">IF(R2096="","",ROUND(L2096-R2096,2))</f>
        <v/>
      </c>
      <c r="T2096" s="8" t="str">
        <f aca="false">IF(A2096="","",IF(S2096="","BYPASS",IF(ABS(S2096)&lt;=Summary!$B$2,"PASS","FAIL")))</f>
        <v/>
      </c>
      <c r="U2096" s="8" t="str">
        <f aca="false">IF(T2096="BYPASS",IF(NOT(ISNUMBER(Q2096)),"PreV_ETB missing","End_tr_balance missing"),IF(T2096="FAIL",IF(AND(ISNUMBER(K2096),ISNUMBER(L2096),ABS(L2096-(K2096-IF(ISNUMBER(N2096),N2096,0)-IF(ISNUMBER(O2096),O2096,0)+IF(ISNUMBER(P2096),P2096,0)))&lt;=Summary!$B$2),"Passes using beginning_balance - PreV_ETB differs from beginning_balance",IF(AND(ISNUMBER(O2096),O2096&lt;0,ABS(L2096-(Q2096-IF(ISNUMBER(N2096),N2096,0)+IF(ISNUMBER(P2096),P2096,0)))&lt;=Summary!$B$2),"Negative realized loss not applied - check sign",IF(R2096&lt;0,"Principal paid exceeds prior balance",IF(AND(L2096&gt;Q2096,NOT(ISNUMBER(P2096))),"Balance increased but no Deferred_interest reported",IF(L2096&gt;R2096,"Reported balance higher than expected (missing increase/OC build)","Reported balance lower than expected (missing decrease)"))))),""))</f>
        <v/>
      </c>
    </row>
    <row r="2097" customFormat="false" ht="15" hidden="false" customHeight="false" outlineLevel="0" collapsed="false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9"/>
      <c r="L2097" s="9"/>
      <c r="M2097" s="9"/>
      <c r="N2097" s="9"/>
      <c r="O2097" s="9"/>
      <c r="P2097" s="9"/>
      <c r="Q2097" s="9"/>
      <c r="R2097" s="9" t="str">
        <f aca="false">IF(AND(A2097&lt;&gt;"",ISNUMBER(Q2097),ISNUMBER(L2097)),ROUND(Q2097-IF(ISNUMBER(N2097),N2097,0)-IF(ISNUMBER(O2097),O2097,0)+IF(ISNUMBER(P2097),P2097,0),2),"")</f>
        <v/>
      </c>
      <c r="S2097" s="9" t="str">
        <f aca="false">IF(R2097="","",ROUND(L2097-R2097,2))</f>
        <v/>
      </c>
      <c r="T2097" s="8" t="str">
        <f aca="false">IF(A2097="","",IF(S2097="","BYPASS",IF(ABS(S2097)&lt;=Summary!$B$2,"PASS","FAIL")))</f>
        <v/>
      </c>
      <c r="U2097" s="8" t="str">
        <f aca="false">IF(T2097="BYPASS",IF(NOT(ISNUMBER(Q2097)),"PreV_ETB missing","End_tr_balance missing"),IF(T2097="FAIL",IF(AND(ISNUMBER(K2097),ISNUMBER(L2097),ABS(L2097-(K2097-IF(ISNUMBER(N2097),N2097,0)-IF(ISNUMBER(O2097),O2097,0)+IF(ISNUMBER(P2097),P2097,0)))&lt;=Summary!$B$2),"Passes using beginning_balance - PreV_ETB differs from beginning_balance",IF(AND(ISNUMBER(O2097),O2097&lt;0,ABS(L2097-(Q2097-IF(ISNUMBER(N2097),N2097,0)+IF(ISNUMBER(P2097),P2097,0)))&lt;=Summary!$B$2),"Negative realized loss not applied - check sign",IF(R2097&lt;0,"Principal paid exceeds prior balance",IF(AND(L2097&gt;Q2097,NOT(ISNUMBER(P2097))),"Balance increased but no Deferred_interest reported",IF(L2097&gt;R2097,"Reported balance higher than expected (missing increase/OC build)","Reported balance lower than expected (missing decrease)"))))),""))</f>
        <v/>
      </c>
    </row>
    <row r="2098" customFormat="false" ht="15" hidden="false" customHeight="false" outlineLevel="0" collapsed="false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9"/>
      <c r="L2098" s="9"/>
      <c r="M2098" s="9"/>
      <c r="N2098" s="9"/>
      <c r="O2098" s="9"/>
      <c r="P2098" s="9"/>
      <c r="Q2098" s="9"/>
      <c r="R2098" s="9" t="str">
        <f aca="false">IF(AND(A2098&lt;&gt;"",ISNUMBER(Q2098),ISNUMBER(L2098)),ROUND(Q2098-IF(ISNUMBER(N2098),N2098,0)-IF(ISNUMBER(O2098),O2098,0)+IF(ISNUMBER(P2098),P2098,0),2),"")</f>
        <v/>
      </c>
      <c r="S2098" s="9" t="str">
        <f aca="false">IF(R2098="","",ROUND(L2098-R2098,2))</f>
        <v/>
      </c>
      <c r="T2098" s="8" t="str">
        <f aca="false">IF(A2098="","",IF(S2098="","BYPASS",IF(ABS(S2098)&lt;=Summary!$B$2,"PASS","FAIL")))</f>
        <v/>
      </c>
      <c r="U2098" s="8" t="str">
        <f aca="false">IF(T2098="BYPASS",IF(NOT(ISNUMBER(Q2098)),"PreV_ETB missing","End_tr_balance missing"),IF(T2098="FAIL",IF(AND(ISNUMBER(K2098),ISNUMBER(L2098),ABS(L2098-(K2098-IF(ISNUMBER(N2098),N2098,0)-IF(ISNUMBER(O2098),O2098,0)+IF(ISNUMBER(P2098),P2098,0)))&lt;=Summary!$B$2),"Passes using beginning_balance - PreV_ETB differs from beginning_balance",IF(AND(ISNUMBER(O2098),O2098&lt;0,ABS(L2098-(Q2098-IF(ISNUMBER(N2098),N2098,0)+IF(ISNUMBER(P2098),P2098,0)))&lt;=Summary!$B$2),"Negative realized loss not applied - check sign",IF(R2098&lt;0,"Principal paid exceeds prior balance",IF(AND(L2098&gt;Q2098,NOT(ISNUMBER(P2098))),"Balance increased but no Deferred_interest reported",IF(L2098&gt;R2098,"Reported balance higher than expected (missing increase/OC build)","Reported balance lower than expected (missing decrease)"))))),""))</f>
        <v/>
      </c>
    </row>
    <row r="2099" customFormat="false" ht="15" hidden="false" customHeight="false" outlineLevel="0" collapsed="false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9"/>
      <c r="L2099" s="9"/>
      <c r="M2099" s="9"/>
      <c r="N2099" s="9"/>
      <c r="O2099" s="9"/>
      <c r="P2099" s="9"/>
      <c r="Q2099" s="9"/>
      <c r="R2099" s="9" t="str">
        <f aca="false">IF(AND(A2099&lt;&gt;"",ISNUMBER(Q2099),ISNUMBER(L2099)),ROUND(Q2099-IF(ISNUMBER(N2099),N2099,0)-IF(ISNUMBER(O2099),O2099,0)+IF(ISNUMBER(P2099),P2099,0),2),"")</f>
        <v/>
      </c>
      <c r="S2099" s="9" t="str">
        <f aca="false">IF(R2099="","",ROUND(L2099-R2099,2))</f>
        <v/>
      </c>
      <c r="T2099" s="8" t="str">
        <f aca="false">IF(A2099="","",IF(S2099="","BYPASS",IF(ABS(S2099)&lt;=Summary!$B$2,"PASS","FAIL")))</f>
        <v/>
      </c>
      <c r="U2099" s="8" t="str">
        <f aca="false">IF(T2099="BYPASS",IF(NOT(ISNUMBER(Q2099)),"PreV_ETB missing","End_tr_balance missing"),IF(T2099="FAIL",IF(AND(ISNUMBER(K2099),ISNUMBER(L2099),ABS(L2099-(K2099-IF(ISNUMBER(N2099),N2099,0)-IF(ISNUMBER(O2099),O2099,0)+IF(ISNUMBER(P2099),P2099,0)))&lt;=Summary!$B$2),"Passes using beginning_balance - PreV_ETB differs from beginning_balance",IF(AND(ISNUMBER(O2099),O2099&lt;0,ABS(L2099-(Q2099-IF(ISNUMBER(N2099),N2099,0)+IF(ISNUMBER(P2099),P2099,0)))&lt;=Summary!$B$2),"Negative realized loss not applied - check sign",IF(R2099&lt;0,"Principal paid exceeds prior balance",IF(AND(L2099&gt;Q2099,NOT(ISNUMBER(P2099))),"Balance increased but no Deferred_interest reported",IF(L2099&gt;R2099,"Reported balance higher than expected (missing increase/OC build)","Reported balance lower than expected (missing decrease)"))))),""))</f>
        <v/>
      </c>
    </row>
    <row r="2100" customFormat="false" ht="15" hidden="false" customHeight="false" outlineLevel="0" collapsed="false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9"/>
      <c r="L2100" s="9"/>
      <c r="M2100" s="9"/>
      <c r="N2100" s="9"/>
      <c r="O2100" s="9"/>
      <c r="P2100" s="9"/>
      <c r="Q2100" s="9"/>
      <c r="R2100" s="9" t="str">
        <f aca="false">IF(AND(A2100&lt;&gt;"",ISNUMBER(Q2100),ISNUMBER(L2100)),ROUND(Q2100-IF(ISNUMBER(N2100),N2100,0)-IF(ISNUMBER(O2100),O2100,0)+IF(ISNUMBER(P2100),P2100,0),2),"")</f>
        <v/>
      </c>
      <c r="S2100" s="9" t="str">
        <f aca="false">IF(R2100="","",ROUND(L2100-R2100,2))</f>
        <v/>
      </c>
      <c r="T2100" s="8" t="str">
        <f aca="false">IF(A2100="","",IF(S2100="","BYPASS",IF(ABS(S2100)&lt;=Summary!$B$2,"PASS","FAIL")))</f>
        <v/>
      </c>
      <c r="U2100" s="8" t="str">
        <f aca="false">IF(T2100="BYPASS",IF(NOT(ISNUMBER(Q2100)),"PreV_ETB missing","End_tr_balance missing"),IF(T2100="FAIL",IF(AND(ISNUMBER(K2100),ISNUMBER(L2100),ABS(L2100-(K2100-IF(ISNUMBER(N2100),N2100,0)-IF(ISNUMBER(O2100),O2100,0)+IF(ISNUMBER(P2100),P2100,0)))&lt;=Summary!$B$2),"Passes using beginning_balance - PreV_ETB differs from beginning_balance",IF(AND(ISNUMBER(O2100),O2100&lt;0,ABS(L2100-(Q2100-IF(ISNUMBER(N2100),N2100,0)+IF(ISNUMBER(P2100),P2100,0)))&lt;=Summary!$B$2),"Negative realized loss not applied - check sign",IF(R2100&lt;0,"Principal paid exceeds prior balance",IF(AND(L2100&gt;Q2100,NOT(ISNUMBER(P2100))),"Balance increased but no Deferred_interest reported",IF(L2100&gt;R2100,"Reported balance higher than expected (missing increase/OC build)","Reported balance lower than expected (missing decrease)"))))),""))</f>
        <v/>
      </c>
    </row>
    <row r="2101" customFormat="false" ht="15" hidden="false" customHeight="false" outlineLevel="0" collapsed="false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9"/>
      <c r="L2101" s="9"/>
      <c r="M2101" s="9"/>
      <c r="N2101" s="9"/>
      <c r="O2101" s="9"/>
      <c r="P2101" s="9"/>
      <c r="Q2101" s="9"/>
      <c r="R2101" s="9" t="str">
        <f aca="false">IF(AND(A2101&lt;&gt;"",ISNUMBER(Q2101),ISNUMBER(L2101)),ROUND(Q2101-IF(ISNUMBER(N2101),N2101,0)-IF(ISNUMBER(O2101),O2101,0)+IF(ISNUMBER(P2101),P2101,0),2),"")</f>
        <v/>
      </c>
      <c r="S2101" s="9" t="str">
        <f aca="false">IF(R2101="","",ROUND(L2101-R2101,2))</f>
        <v/>
      </c>
      <c r="T2101" s="8" t="str">
        <f aca="false">IF(A2101="","",IF(S2101="","BYPASS",IF(ABS(S2101)&lt;=Summary!$B$2,"PASS","FAIL")))</f>
        <v/>
      </c>
      <c r="U2101" s="8" t="str">
        <f aca="false">IF(T2101="BYPASS",IF(NOT(ISNUMBER(Q2101)),"PreV_ETB missing","End_tr_balance missing"),IF(T2101="FAIL",IF(AND(ISNUMBER(K2101),ISNUMBER(L2101),ABS(L2101-(K2101-IF(ISNUMBER(N2101),N2101,0)-IF(ISNUMBER(O2101),O2101,0)+IF(ISNUMBER(P2101),P2101,0)))&lt;=Summary!$B$2),"Passes using beginning_balance - PreV_ETB differs from beginning_balance",IF(AND(ISNUMBER(O2101),O2101&lt;0,ABS(L2101-(Q2101-IF(ISNUMBER(N2101),N2101,0)+IF(ISNUMBER(P2101),P2101,0)))&lt;=Summary!$B$2),"Negative realized loss not applied - check sign",IF(R2101&lt;0,"Principal paid exceeds prior balance",IF(AND(L2101&gt;Q2101,NOT(ISNUMBER(P2101))),"Balance increased but no Deferred_interest reported",IF(L2101&gt;R2101,"Reported balance higher than expected (missing increase/OC build)","Reported balance lower than expected (missing decrease)"))))),""))</f>
        <v/>
      </c>
    </row>
    <row r="2102" customFormat="false" ht="15" hidden="false" customHeight="false" outlineLevel="0" collapsed="false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9"/>
      <c r="L2102" s="9"/>
      <c r="M2102" s="9"/>
      <c r="N2102" s="9"/>
      <c r="O2102" s="9"/>
      <c r="P2102" s="9"/>
      <c r="Q2102" s="9"/>
      <c r="R2102" s="9" t="str">
        <f aca="false">IF(AND(A2102&lt;&gt;"",ISNUMBER(Q2102),ISNUMBER(L2102)),ROUND(Q2102-IF(ISNUMBER(N2102),N2102,0)-IF(ISNUMBER(O2102),O2102,0)+IF(ISNUMBER(P2102),P2102,0),2),"")</f>
        <v/>
      </c>
      <c r="S2102" s="9" t="str">
        <f aca="false">IF(R2102="","",ROUND(L2102-R2102,2))</f>
        <v/>
      </c>
      <c r="T2102" s="8" t="str">
        <f aca="false">IF(A2102="","",IF(S2102="","BYPASS",IF(ABS(S2102)&lt;=Summary!$B$2,"PASS","FAIL")))</f>
        <v/>
      </c>
      <c r="U2102" s="8" t="str">
        <f aca="false">IF(T2102="BYPASS",IF(NOT(ISNUMBER(Q2102)),"PreV_ETB missing","End_tr_balance missing"),IF(T2102="FAIL",IF(AND(ISNUMBER(K2102),ISNUMBER(L2102),ABS(L2102-(K2102-IF(ISNUMBER(N2102),N2102,0)-IF(ISNUMBER(O2102),O2102,0)+IF(ISNUMBER(P2102),P2102,0)))&lt;=Summary!$B$2),"Passes using beginning_balance - PreV_ETB differs from beginning_balance",IF(AND(ISNUMBER(O2102),O2102&lt;0,ABS(L2102-(Q2102-IF(ISNUMBER(N2102),N2102,0)+IF(ISNUMBER(P2102),P2102,0)))&lt;=Summary!$B$2),"Negative realized loss not applied - check sign",IF(R2102&lt;0,"Principal paid exceeds prior balance",IF(AND(L2102&gt;Q2102,NOT(ISNUMBER(P2102))),"Balance increased but no Deferred_interest reported",IF(L2102&gt;R2102,"Reported balance higher than expected (missing increase/OC build)","Reported balance lower than expected (missing decrease)"))))),""))</f>
        <v/>
      </c>
    </row>
    <row r="2103" customFormat="false" ht="15" hidden="false" customHeight="false" outlineLevel="0" collapsed="false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9"/>
      <c r="L2103" s="9"/>
      <c r="M2103" s="9"/>
      <c r="N2103" s="9"/>
      <c r="O2103" s="9"/>
      <c r="P2103" s="9"/>
      <c r="Q2103" s="9"/>
      <c r="R2103" s="9" t="str">
        <f aca="false">IF(AND(A2103&lt;&gt;"",ISNUMBER(Q2103),ISNUMBER(L2103)),ROUND(Q2103-IF(ISNUMBER(N2103),N2103,0)-IF(ISNUMBER(O2103),O2103,0)+IF(ISNUMBER(P2103),P2103,0),2),"")</f>
        <v/>
      </c>
      <c r="S2103" s="9" t="str">
        <f aca="false">IF(R2103="","",ROUND(L2103-R2103,2))</f>
        <v/>
      </c>
      <c r="T2103" s="8" t="str">
        <f aca="false">IF(A2103="","",IF(S2103="","BYPASS",IF(ABS(S2103)&lt;=Summary!$B$2,"PASS","FAIL")))</f>
        <v/>
      </c>
      <c r="U2103" s="8" t="str">
        <f aca="false">IF(T2103="BYPASS",IF(NOT(ISNUMBER(Q2103)),"PreV_ETB missing","End_tr_balance missing"),IF(T2103="FAIL",IF(AND(ISNUMBER(K2103),ISNUMBER(L2103),ABS(L2103-(K2103-IF(ISNUMBER(N2103),N2103,0)-IF(ISNUMBER(O2103),O2103,0)+IF(ISNUMBER(P2103),P2103,0)))&lt;=Summary!$B$2),"Passes using beginning_balance - PreV_ETB differs from beginning_balance",IF(AND(ISNUMBER(O2103),O2103&lt;0,ABS(L2103-(Q2103-IF(ISNUMBER(N2103),N2103,0)+IF(ISNUMBER(P2103),P2103,0)))&lt;=Summary!$B$2),"Negative realized loss not applied - check sign",IF(R2103&lt;0,"Principal paid exceeds prior balance",IF(AND(L2103&gt;Q2103,NOT(ISNUMBER(P2103))),"Balance increased but no Deferred_interest reported",IF(L2103&gt;R2103,"Reported balance higher than expected (missing increase/OC build)","Reported balance lower than expected (missing decrease)"))))),""))</f>
        <v/>
      </c>
    </row>
    <row r="2104" customFormat="false" ht="15" hidden="false" customHeight="false" outlineLevel="0" collapsed="false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9"/>
      <c r="L2104" s="9"/>
      <c r="M2104" s="9"/>
      <c r="N2104" s="9"/>
      <c r="O2104" s="9"/>
      <c r="P2104" s="9"/>
      <c r="Q2104" s="9"/>
      <c r="R2104" s="9" t="str">
        <f aca="false">IF(AND(A2104&lt;&gt;"",ISNUMBER(Q2104),ISNUMBER(L2104)),ROUND(Q2104-IF(ISNUMBER(N2104),N2104,0)-IF(ISNUMBER(O2104),O2104,0)+IF(ISNUMBER(P2104),P2104,0),2),"")</f>
        <v/>
      </c>
      <c r="S2104" s="9" t="str">
        <f aca="false">IF(R2104="","",ROUND(L2104-R2104,2))</f>
        <v/>
      </c>
      <c r="T2104" s="8" t="str">
        <f aca="false">IF(A2104="","",IF(S2104="","BYPASS",IF(ABS(S2104)&lt;=Summary!$B$2,"PASS","FAIL")))</f>
        <v/>
      </c>
      <c r="U2104" s="8" t="str">
        <f aca="false">IF(T2104="BYPASS",IF(NOT(ISNUMBER(Q2104)),"PreV_ETB missing","End_tr_balance missing"),IF(T2104="FAIL",IF(AND(ISNUMBER(K2104),ISNUMBER(L2104),ABS(L2104-(K2104-IF(ISNUMBER(N2104),N2104,0)-IF(ISNUMBER(O2104),O2104,0)+IF(ISNUMBER(P2104),P2104,0)))&lt;=Summary!$B$2),"Passes using beginning_balance - PreV_ETB differs from beginning_balance",IF(AND(ISNUMBER(O2104),O2104&lt;0,ABS(L2104-(Q2104-IF(ISNUMBER(N2104),N2104,0)+IF(ISNUMBER(P2104),P2104,0)))&lt;=Summary!$B$2),"Negative realized loss not applied - check sign",IF(R2104&lt;0,"Principal paid exceeds prior balance",IF(AND(L2104&gt;Q2104,NOT(ISNUMBER(P2104))),"Balance increased but no Deferred_interest reported",IF(L2104&gt;R2104,"Reported balance higher than expected (missing increase/OC build)","Reported balance lower than expected (missing decrease)"))))),""))</f>
        <v/>
      </c>
    </row>
    <row r="2105" customFormat="false" ht="15" hidden="false" customHeight="false" outlineLevel="0" collapsed="false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9"/>
      <c r="L2105" s="9"/>
      <c r="M2105" s="9"/>
      <c r="N2105" s="9"/>
      <c r="O2105" s="9"/>
      <c r="P2105" s="9"/>
      <c r="Q2105" s="9"/>
      <c r="R2105" s="9" t="str">
        <f aca="false">IF(AND(A2105&lt;&gt;"",ISNUMBER(Q2105),ISNUMBER(L2105)),ROUND(Q2105-IF(ISNUMBER(N2105),N2105,0)-IF(ISNUMBER(O2105),O2105,0)+IF(ISNUMBER(P2105),P2105,0),2),"")</f>
        <v/>
      </c>
      <c r="S2105" s="9" t="str">
        <f aca="false">IF(R2105="","",ROUND(L2105-R2105,2))</f>
        <v/>
      </c>
      <c r="T2105" s="8" t="str">
        <f aca="false">IF(A2105="","",IF(S2105="","BYPASS",IF(ABS(S2105)&lt;=Summary!$B$2,"PASS","FAIL")))</f>
        <v/>
      </c>
      <c r="U2105" s="8" t="str">
        <f aca="false">IF(T2105="BYPASS",IF(NOT(ISNUMBER(Q2105)),"PreV_ETB missing","End_tr_balance missing"),IF(T2105="FAIL",IF(AND(ISNUMBER(K2105),ISNUMBER(L2105),ABS(L2105-(K2105-IF(ISNUMBER(N2105),N2105,0)-IF(ISNUMBER(O2105),O2105,0)+IF(ISNUMBER(P2105),P2105,0)))&lt;=Summary!$B$2),"Passes using beginning_balance - PreV_ETB differs from beginning_balance",IF(AND(ISNUMBER(O2105),O2105&lt;0,ABS(L2105-(Q2105-IF(ISNUMBER(N2105),N2105,0)+IF(ISNUMBER(P2105),P2105,0)))&lt;=Summary!$B$2),"Negative realized loss not applied - check sign",IF(R2105&lt;0,"Principal paid exceeds prior balance",IF(AND(L2105&gt;Q2105,NOT(ISNUMBER(P2105))),"Balance increased but no Deferred_interest reported",IF(L2105&gt;R2105,"Reported balance higher than expected (missing increase/OC build)","Reported balance lower than expected (missing decrease)"))))),""))</f>
        <v/>
      </c>
    </row>
    <row r="2106" customFormat="false" ht="15" hidden="false" customHeight="false" outlineLevel="0" collapsed="false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9"/>
      <c r="L2106" s="9"/>
      <c r="M2106" s="9"/>
      <c r="N2106" s="9"/>
      <c r="O2106" s="9"/>
      <c r="P2106" s="9"/>
      <c r="Q2106" s="9"/>
      <c r="R2106" s="9" t="str">
        <f aca="false">IF(AND(A2106&lt;&gt;"",ISNUMBER(Q2106),ISNUMBER(L2106)),ROUND(Q2106-IF(ISNUMBER(N2106),N2106,0)-IF(ISNUMBER(O2106),O2106,0)+IF(ISNUMBER(P2106),P2106,0),2),"")</f>
        <v/>
      </c>
      <c r="S2106" s="9" t="str">
        <f aca="false">IF(R2106="","",ROUND(L2106-R2106,2))</f>
        <v/>
      </c>
      <c r="T2106" s="8" t="str">
        <f aca="false">IF(A2106="","",IF(S2106="","BYPASS",IF(ABS(S2106)&lt;=Summary!$B$2,"PASS","FAIL")))</f>
        <v/>
      </c>
      <c r="U2106" s="8" t="str">
        <f aca="false">IF(T2106="BYPASS",IF(NOT(ISNUMBER(Q2106)),"PreV_ETB missing","End_tr_balance missing"),IF(T2106="FAIL",IF(AND(ISNUMBER(K2106),ISNUMBER(L2106),ABS(L2106-(K2106-IF(ISNUMBER(N2106),N2106,0)-IF(ISNUMBER(O2106),O2106,0)+IF(ISNUMBER(P2106),P2106,0)))&lt;=Summary!$B$2),"Passes using beginning_balance - PreV_ETB differs from beginning_balance",IF(AND(ISNUMBER(O2106),O2106&lt;0,ABS(L2106-(Q2106-IF(ISNUMBER(N2106),N2106,0)+IF(ISNUMBER(P2106),P2106,0)))&lt;=Summary!$B$2),"Negative realized loss not applied - check sign",IF(R2106&lt;0,"Principal paid exceeds prior balance",IF(AND(L2106&gt;Q2106,NOT(ISNUMBER(P2106))),"Balance increased but no Deferred_interest reported",IF(L2106&gt;R2106,"Reported balance higher than expected (missing increase/OC build)","Reported balance lower than expected (missing decrease)"))))),""))</f>
        <v/>
      </c>
    </row>
    <row r="2107" customFormat="false" ht="15" hidden="false" customHeight="false" outlineLevel="0" collapsed="false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9"/>
      <c r="L2107" s="9"/>
      <c r="M2107" s="9"/>
      <c r="N2107" s="9"/>
      <c r="O2107" s="9"/>
      <c r="P2107" s="9"/>
      <c r="Q2107" s="9"/>
      <c r="R2107" s="9" t="str">
        <f aca="false">IF(AND(A2107&lt;&gt;"",ISNUMBER(Q2107),ISNUMBER(L2107)),ROUND(Q2107-IF(ISNUMBER(N2107),N2107,0)-IF(ISNUMBER(O2107),O2107,0)+IF(ISNUMBER(P2107),P2107,0),2),"")</f>
        <v/>
      </c>
      <c r="S2107" s="9" t="str">
        <f aca="false">IF(R2107="","",ROUND(L2107-R2107,2))</f>
        <v/>
      </c>
      <c r="T2107" s="8" t="str">
        <f aca="false">IF(A2107="","",IF(S2107="","BYPASS",IF(ABS(S2107)&lt;=Summary!$B$2,"PASS","FAIL")))</f>
        <v/>
      </c>
      <c r="U2107" s="8" t="str">
        <f aca="false">IF(T2107="BYPASS",IF(NOT(ISNUMBER(Q2107)),"PreV_ETB missing","End_tr_balance missing"),IF(T2107="FAIL",IF(AND(ISNUMBER(K2107),ISNUMBER(L2107),ABS(L2107-(K2107-IF(ISNUMBER(N2107),N2107,0)-IF(ISNUMBER(O2107),O2107,0)+IF(ISNUMBER(P2107),P2107,0)))&lt;=Summary!$B$2),"Passes using beginning_balance - PreV_ETB differs from beginning_balance",IF(AND(ISNUMBER(O2107),O2107&lt;0,ABS(L2107-(Q2107-IF(ISNUMBER(N2107),N2107,0)+IF(ISNUMBER(P2107),P2107,0)))&lt;=Summary!$B$2),"Negative realized loss not applied - check sign",IF(R2107&lt;0,"Principal paid exceeds prior balance",IF(AND(L2107&gt;Q2107,NOT(ISNUMBER(P2107))),"Balance increased but no Deferred_interest reported",IF(L2107&gt;R2107,"Reported balance higher than expected (missing increase/OC build)","Reported balance lower than expected (missing decrease)"))))),""))</f>
        <v/>
      </c>
    </row>
    <row r="2108" customFormat="false" ht="15" hidden="false" customHeight="false" outlineLevel="0" collapsed="false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9"/>
      <c r="L2108" s="9"/>
      <c r="M2108" s="9"/>
      <c r="N2108" s="9"/>
      <c r="O2108" s="9"/>
      <c r="P2108" s="9"/>
      <c r="Q2108" s="9"/>
      <c r="R2108" s="9" t="str">
        <f aca="false">IF(AND(A2108&lt;&gt;"",ISNUMBER(Q2108),ISNUMBER(L2108)),ROUND(Q2108-IF(ISNUMBER(N2108),N2108,0)-IF(ISNUMBER(O2108),O2108,0)+IF(ISNUMBER(P2108),P2108,0),2),"")</f>
        <v/>
      </c>
      <c r="S2108" s="9" t="str">
        <f aca="false">IF(R2108="","",ROUND(L2108-R2108,2))</f>
        <v/>
      </c>
      <c r="T2108" s="8" t="str">
        <f aca="false">IF(A2108="","",IF(S2108="","BYPASS",IF(ABS(S2108)&lt;=Summary!$B$2,"PASS","FAIL")))</f>
        <v/>
      </c>
      <c r="U2108" s="8" t="str">
        <f aca="false">IF(T2108="BYPASS",IF(NOT(ISNUMBER(Q2108)),"PreV_ETB missing","End_tr_balance missing"),IF(T2108="FAIL",IF(AND(ISNUMBER(K2108),ISNUMBER(L2108),ABS(L2108-(K2108-IF(ISNUMBER(N2108),N2108,0)-IF(ISNUMBER(O2108),O2108,0)+IF(ISNUMBER(P2108),P2108,0)))&lt;=Summary!$B$2),"Passes using beginning_balance - PreV_ETB differs from beginning_balance",IF(AND(ISNUMBER(O2108),O2108&lt;0,ABS(L2108-(Q2108-IF(ISNUMBER(N2108),N2108,0)+IF(ISNUMBER(P2108),P2108,0)))&lt;=Summary!$B$2),"Negative realized loss not applied - check sign",IF(R2108&lt;0,"Principal paid exceeds prior balance",IF(AND(L2108&gt;Q2108,NOT(ISNUMBER(P2108))),"Balance increased but no Deferred_interest reported",IF(L2108&gt;R2108,"Reported balance higher than expected (missing increase/OC build)","Reported balance lower than expected (missing decrease)"))))),""))</f>
        <v/>
      </c>
    </row>
    <row r="2109" customFormat="false" ht="15" hidden="false" customHeight="false" outlineLevel="0" collapsed="false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9"/>
      <c r="L2109" s="9"/>
      <c r="M2109" s="9"/>
      <c r="N2109" s="9"/>
      <c r="O2109" s="9"/>
      <c r="P2109" s="9"/>
      <c r="Q2109" s="9"/>
      <c r="R2109" s="9" t="str">
        <f aca="false">IF(AND(A2109&lt;&gt;"",ISNUMBER(Q2109),ISNUMBER(L2109)),ROUND(Q2109-IF(ISNUMBER(N2109),N2109,0)-IF(ISNUMBER(O2109),O2109,0)+IF(ISNUMBER(P2109),P2109,0),2),"")</f>
        <v/>
      </c>
      <c r="S2109" s="9" t="str">
        <f aca="false">IF(R2109="","",ROUND(L2109-R2109,2))</f>
        <v/>
      </c>
      <c r="T2109" s="8" t="str">
        <f aca="false">IF(A2109="","",IF(S2109="","BYPASS",IF(ABS(S2109)&lt;=Summary!$B$2,"PASS","FAIL")))</f>
        <v/>
      </c>
      <c r="U2109" s="8" t="str">
        <f aca="false">IF(T2109="BYPASS",IF(NOT(ISNUMBER(Q2109)),"PreV_ETB missing","End_tr_balance missing"),IF(T2109="FAIL",IF(AND(ISNUMBER(K2109),ISNUMBER(L2109),ABS(L2109-(K2109-IF(ISNUMBER(N2109),N2109,0)-IF(ISNUMBER(O2109),O2109,0)+IF(ISNUMBER(P2109),P2109,0)))&lt;=Summary!$B$2),"Passes using beginning_balance - PreV_ETB differs from beginning_balance",IF(AND(ISNUMBER(O2109),O2109&lt;0,ABS(L2109-(Q2109-IF(ISNUMBER(N2109),N2109,0)+IF(ISNUMBER(P2109),P2109,0)))&lt;=Summary!$B$2),"Negative realized loss not applied - check sign",IF(R2109&lt;0,"Principal paid exceeds prior balance",IF(AND(L2109&gt;Q2109,NOT(ISNUMBER(P2109))),"Balance increased but no Deferred_interest reported",IF(L2109&gt;R2109,"Reported balance higher than expected (missing increase/OC build)","Reported balance lower than expected (missing decrease)"))))),""))</f>
        <v/>
      </c>
    </row>
    <row r="2110" customFormat="false" ht="15" hidden="false" customHeight="false" outlineLevel="0" collapsed="false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9"/>
      <c r="L2110" s="9"/>
      <c r="M2110" s="9"/>
      <c r="N2110" s="9"/>
      <c r="O2110" s="9"/>
      <c r="P2110" s="9"/>
      <c r="Q2110" s="9"/>
      <c r="R2110" s="9" t="str">
        <f aca="false">IF(AND(A2110&lt;&gt;"",ISNUMBER(Q2110),ISNUMBER(L2110)),ROUND(Q2110-IF(ISNUMBER(N2110),N2110,0)-IF(ISNUMBER(O2110),O2110,0)+IF(ISNUMBER(P2110),P2110,0),2),"")</f>
        <v/>
      </c>
      <c r="S2110" s="9" t="str">
        <f aca="false">IF(R2110="","",ROUND(L2110-R2110,2))</f>
        <v/>
      </c>
      <c r="T2110" s="8" t="str">
        <f aca="false">IF(A2110="","",IF(S2110="","BYPASS",IF(ABS(S2110)&lt;=Summary!$B$2,"PASS","FAIL")))</f>
        <v/>
      </c>
      <c r="U2110" s="8" t="str">
        <f aca="false">IF(T2110="BYPASS",IF(NOT(ISNUMBER(Q2110)),"PreV_ETB missing","End_tr_balance missing"),IF(T2110="FAIL",IF(AND(ISNUMBER(K2110),ISNUMBER(L2110),ABS(L2110-(K2110-IF(ISNUMBER(N2110),N2110,0)-IF(ISNUMBER(O2110),O2110,0)+IF(ISNUMBER(P2110),P2110,0)))&lt;=Summary!$B$2),"Passes using beginning_balance - PreV_ETB differs from beginning_balance",IF(AND(ISNUMBER(O2110),O2110&lt;0,ABS(L2110-(Q2110-IF(ISNUMBER(N2110),N2110,0)+IF(ISNUMBER(P2110),P2110,0)))&lt;=Summary!$B$2),"Negative realized loss not applied - check sign",IF(R2110&lt;0,"Principal paid exceeds prior balance",IF(AND(L2110&gt;Q2110,NOT(ISNUMBER(P2110))),"Balance increased but no Deferred_interest reported",IF(L2110&gt;R2110,"Reported balance higher than expected (missing increase/OC build)","Reported balance lower than expected (missing decrease)"))))),""))</f>
        <v/>
      </c>
    </row>
    <row r="2111" customFormat="false" ht="15" hidden="false" customHeight="false" outlineLevel="0" collapsed="false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9"/>
      <c r="L2111" s="9"/>
      <c r="M2111" s="9"/>
      <c r="N2111" s="9"/>
      <c r="O2111" s="9"/>
      <c r="P2111" s="9"/>
      <c r="Q2111" s="9"/>
      <c r="R2111" s="9" t="str">
        <f aca="false">IF(AND(A2111&lt;&gt;"",ISNUMBER(Q2111),ISNUMBER(L2111)),ROUND(Q2111-IF(ISNUMBER(N2111),N2111,0)-IF(ISNUMBER(O2111),O2111,0)+IF(ISNUMBER(P2111),P2111,0),2),"")</f>
        <v/>
      </c>
      <c r="S2111" s="9" t="str">
        <f aca="false">IF(R2111="","",ROUND(L2111-R2111,2))</f>
        <v/>
      </c>
      <c r="T2111" s="8" t="str">
        <f aca="false">IF(A2111="","",IF(S2111="","BYPASS",IF(ABS(S2111)&lt;=Summary!$B$2,"PASS","FAIL")))</f>
        <v/>
      </c>
      <c r="U2111" s="8" t="str">
        <f aca="false">IF(T2111="BYPASS",IF(NOT(ISNUMBER(Q2111)),"PreV_ETB missing","End_tr_balance missing"),IF(T2111="FAIL",IF(AND(ISNUMBER(K2111),ISNUMBER(L2111),ABS(L2111-(K2111-IF(ISNUMBER(N2111),N2111,0)-IF(ISNUMBER(O2111),O2111,0)+IF(ISNUMBER(P2111),P2111,0)))&lt;=Summary!$B$2),"Passes using beginning_balance - PreV_ETB differs from beginning_balance",IF(AND(ISNUMBER(O2111),O2111&lt;0,ABS(L2111-(Q2111-IF(ISNUMBER(N2111),N2111,0)+IF(ISNUMBER(P2111),P2111,0)))&lt;=Summary!$B$2),"Negative realized loss not applied - check sign",IF(R2111&lt;0,"Principal paid exceeds prior balance",IF(AND(L2111&gt;Q2111,NOT(ISNUMBER(P2111))),"Balance increased but no Deferred_interest reported",IF(L2111&gt;R2111,"Reported balance higher than expected (missing increase/OC build)","Reported balance lower than expected (missing decrease)"))))),""))</f>
        <v/>
      </c>
    </row>
    <row r="2112" customFormat="false" ht="15" hidden="false" customHeight="false" outlineLevel="0" collapsed="false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9"/>
      <c r="L2112" s="9"/>
      <c r="M2112" s="9"/>
      <c r="N2112" s="9"/>
      <c r="O2112" s="9"/>
      <c r="P2112" s="9"/>
      <c r="Q2112" s="9"/>
      <c r="R2112" s="9" t="str">
        <f aca="false">IF(AND(A2112&lt;&gt;"",ISNUMBER(Q2112),ISNUMBER(L2112)),ROUND(Q2112-IF(ISNUMBER(N2112),N2112,0)-IF(ISNUMBER(O2112),O2112,0)+IF(ISNUMBER(P2112),P2112,0),2),"")</f>
        <v/>
      </c>
      <c r="S2112" s="9" t="str">
        <f aca="false">IF(R2112="","",ROUND(L2112-R2112,2))</f>
        <v/>
      </c>
      <c r="T2112" s="8" t="str">
        <f aca="false">IF(A2112="","",IF(S2112="","BYPASS",IF(ABS(S2112)&lt;=Summary!$B$2,"PASS","FAIL")))</f>
        <v/>
      </c>
      <c r="U2112" s="8" t="str">
        <f aca="false">IF(T2112="BYPASS",IF(NOT(ISNUMBER(Q2112)),"PreV_ETB missing","End_tr_balance missing"),IF(T2112="FAIL",IF(AND(ISNUMBER(K2112),ISNUMBER(L2112),ABS(L2112-(K2112-IF(ISNUMBER(N2112),N2112,0)-IF(ISNUMBER(O2112),O2112,0)+IF(ISNUMBER(P2112),P2112,0)))&lt;=Summary!$B$2),"Passes using beginning_balance - PreV_ETB differs from beginning_balance",IF(AND(ISNUMBER(O2112),O2112&lt;0,ABS(L2112-(Q2112-IF(ISNUMBER(N2112),N2112,0)+IF(ISNUMBER(P2112),P2112,0)))&lt;=Summary!$B$2),"Negative realized loss not applied - check sign",IF(R2112&lt;0,"Principal paid exceeds prior balance",IF(AND(L2112&gt;Q2112,NOT(ISNUMBER(P2112))),"Balance increased but no Deferred_interest reported",IF(L2112&gt;R2112,"Reported balance higher than expected (missing increase/OC build)","Reported balance lower than expected (missing decrease)"))))),""))</f>
        <v/>
      </c>
    </row>
    <row r="2113" customFormat="false" ht="15" hidden="false" customHeight="false" outlineLevel="0" collapsed="false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9"/>
      <c r="L2113" s="9"/>
      <c r="M2113" s="9"/>
      <c r="N2113" s="9"/>
      <c r="O2113" s="9"/>
      <c r="P2113" s="9"/>
      <c r="Q2113" s="9"/>
      <c r="R2113" s="9" t="str">
        <f aca="false">IF(AND(A2113&lt;&gt;"",ISNUMBER(Q2113),ISNUMBER(L2113)),ROUND(Q2113-IF(ISNUMBER(N2113),N2113,0)-IF(ISNUMBER(O2113),O2113,0)+IF(ISNUMBER(P2113),P2113,0),2),"")</f>
        <v/>
      </c>
      <c r="S2113" s="9" t="str">
        <f aca="false">IF(R2113="","",ROUND(L2113-R2113,2))</f>
        <v/>
      </c>
      <c r="T2113" s="8" t="str">
        <f aca="false">IF(A2113="","",IF(S2113="","BYPASS",IF(ABS(S2113)&lt;=Summary!$B$2,"PASS","FAIL")))</f>
        <v/>
      </c>
      <c r="U2113" s="8" t="str">
        <f aca="false">IF(T2113="BYPASS",IF(NOT(ISNUMBER(Q2113)),"PreV_ETB missing","End_tr_balance missing"),IF(T2113="FAIL",IF(AND(ISNUMBER(K2113),ISNUMBER(L2113),ABS(L2113-(K2113-IF(ISNUMBER(N2113),N2113,0)-IF(ISNUMBER(O2113),O2113,0)+IF(ISNUMBER(P2113),P2113,0)))&lt;=Summary!$B$2),"Passes using beginning_balance - PreV_ETB differs from beginning_balance",IF(AND(ISNUMBER(O2113),O2113&lt;0,ABS(L2113-(Q2113-IF(ISNUMBER(N2113),N2113,0)+IF(ISNUMBER(P2113),P2113,0)))&lt;=Summary!$B$2),"Negative realized loss not applied - check sign",IF(R2113&lt;0,"Principal paid exceeds prior balance",IF(AND(L2113&gt;Q2113,NOT(ISNUMBER(P2113))),"Balance increased but no Deferred_interest reported",IF(L2113&gt;R2113,"Reported balance higher than expected (missing increase/OC build)","Reported balance lower than expected (missing decrease)"))))),""))</f>
        <v/>
      </c>
    </row>
    <row r="2114" customFormat="false" ht="15" hidden="false" customHeight="false" outlineLevel="0" collapsed="false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9"/>
      <c r="L2114" s="9"/>
      <c r="M2114" s="9"/>
      <c r="N2114" s="9"/>
      <c r="O2114" s="9"/>
      <c r="P2114" s="9"/>
      <c r="Q2114" s="9"/>
      <c r="R2114" s="9" t="str">
        <f aca="false">IF(AND(A2114&lt;&gt;"",ISNUMBER(Q2114),ISNUMBER(L2114)),ROUND(Q2114-IF(ISNUMBER(N2114),N2114,0)-IF(ISNUMBER(O2114),O2114,0)+IF(ISNUMBER(P2114),P2114,0),2),"")</f>
        <v/>
      </c>
      <c r="S2114" s="9" t="str">
        <f aca="false">IF(R2114="","",ROUND(L2114-R2114,2))</f>
        <v/>
      </c>
      <c r="T2114" s="8" t="str">
        <f aca="false">IF(A2114="","",IF(S2114="","BYPASS",IF(ABS(S2114)&lt;=Summary!$B$2,"PASS","FAIL")))</f>
        <v/>
      </c>
      <c r="U2114" s="8" t="str">
        <f aca="false">IF(T2114="BYPASS",IF(NOT(ISNUMBER(Q2114)),"PreV_ETB missing","End_tr_balance missing"),IF(T2114="FAIL",IF(AND(ISNUMBER(K2114),ISNUMBER(L2114),ABS(L2114-(K2114-IF(ISNUMBER(N2114),N2114,0)-IF(ISNUMBER(O2114),O2114,0)+IF(ISNUMBER(P2114),P2114,0)))&lt;=Summary!$B$2),"Passes using beginning_balance - PreV_ETB differs from beginning_balance",IF(AND(ISNUMBER(O2114),O2114&lt;0,ABS(L2114-(Q2114-IF(ISNUMBER(N2114),N2114,0)+IF(ISNUMBER(P2114),P2114,0)))&lt;=Summary!$B$2),"Negative realized loss not applied - check sign",IF(R2114&lt;0,"Principal paid exceeds prior balance",IF(AND(L2114&gt;Q2114,NOT(ISNUMBER(P2114))),"Balance increased but no Deferred_interest reported",IF(L2114&gt;R2114,"Reported balance higher than expected (missing increase/OC build)","Reported balance lower than expected (missing decrease)"))))),""))</f>
        <v/>
      </c>
    </row>
    <row r="2115" customFormat="false" ht="15" hidden="false" customHeight="false" outlineLevel="0" collapsed="false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9"/>
      <c r="L2115" s="9"/>
      <c r="M2115" s="9"/>
      <c r="N2115" s="9"/>
      <c r="O2115" s="9"/>
      <c r="P2115" s="9"/>
      <c r="Q2115" s="9"/>
      <c r="R2115" s="9" t="str">
        <f aca="false">IF(AND(A2115&lt;&gt;"",ISNUMBER(Q2115),ISNUMBER(L2115)),ROUND(Q2115-IF(ISNUMBER(N2115),N2115,0)-IF(ISNUMBER(O2115),O2115,0)+IF(ISNUMBER(P2115),P2115,0),2),"")</f>
        <v/>
      </c>
      <c r="S2115" s="9" t="str">
        <f aca="false">IF(R2115="","",ROUND(L2115-R2115,2))</f>
        <v/>
      </c>
      <c r="T2115" s="8" t="str">
        <f aca="false">IF(A2115="","",IF(S2115="","BYPASS",IF(ABS(S2115)&lt;=Summary!$B$2,"PASS","FAIL")))</f>
        <v/>
      </c>
      <c r="U2115" s="8" t="str">
        <f aca="false">IF(T2115="BYPASS",IF(NOT(ISNUMBER(Q2115)),"PreV_ETB missing","End_tr_balance missing"),IF(T2115="FAIL",IF(AND(ISNUMBER(K2115),ISNUMBER(L2115),ABS(L2115-(K2115-IF(ISNUMBER(N2115),N2115,0)-IF(ISNUMBER(O2115),O2115,0)+IF(ISNUMBER(P2115),P2115,0)))&lt;=Summary!$B$2),"Passes using beginning_balance - PreV_ETB differs from beginning_balance",IF(AND(ISNUMBER(O2115),O2115&lt;0,ABS(L2115-(Q2115-IF(ISNUMBER(N2115),N2115,0)+IF(ISNUMBER(P2115),P2115,0)))&lt;=Summary!$B$2),"Negative realized loss not applied - check sign",IF(R2115&lt;0,"Principal paid exceeds prior balance",IF(AND(L2115&gt;Q2115,NOT(ISNUMBER(P2115))),"Balance increased but no Deferred_interest reported",IF(L2115&gt;R2115,"Reported balance higher than expected (missing increase/OC build)","Reported balance lower than expected (missing decrease)"))))),""))</f>
        <v/>
      </c>
    </row>
    <row r="2116" customFormat="false" ht="15" hidden="false" customHeight="false" outlineLevel="0" collapsed="false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9"/>
      <c r="L2116" s="9"/>
      <c r="M2116" s="9"/>
      <c r="N2116" s="9"/>
      <c r="O2116" s="9"/>
      <c r="P2116" s="9"/>
      <c r="Q2116" s="9"/>
      <c r="R2116" s="9" t="str">
        <f aca="false">IF(AND(A2116&lt;&gt;"",ISNUMBER(Q2116),ISNUMBER(L2116)),ROUND(Q2116-IF(ISNUMBER(N2116),N2116,0)-IF(ISNUMBER(O2116),O2116,0)+IF(ISNUMBER(P2116),P2116,0),2),"")</f>
        <v/>
      </c>
      <c r="S2116" s="9" t="str">
        <f aca="false">IF(R2116="","",ROUND(L2116-R2116,2))</f>
        <v/>
      </c>
      <c r="T2116" s="8" t="str">
        <f aca="false">IF(A2116="","",IF(S2116="","BYPASS",IF(ABS(S2116)&lt;=Summary!$B$2,"PASS","FAIL")))</f>
        <v/>
      </c>
      <c r="U2116" s="8" t="str">
        <f aca="false">IF(T2116="BYPASS",IF(NOT(ISNUMBER(Q2116)),"PreV_ETB missing","End_tr_balance missing"),IF(T2116="FAIL",IF(AND(ISNUMBER(K2116),ISNUMBER(L2116),ABS(L2116-(K2116-IF(ISNUMBER(N2116),N2116,0)-IF(ISNUMBER(O2116),O2116,0)+IF(ISNUMBER(P2116),P2116,0)))&lt;=Summary!$B$2),"Passes using beginning_balance - PreV_ETB differs from beginning_balance",IF(AND(ISNUMBER(O2116),O2116&lt;0,ABS(L2116-(Q2116-IF(ISNUMBER(N2116),N2116,0)+IF(ISNUMBER(P2116),P2116,0)))&lt;=Summary!$B$2),"Negative realized loss not applied - check sign",IF(R2116&lt;0,"Principal paid exceeds prior balance",IF(AND(L2116&gt;Q2116,NOT(ISNUMBER(P2116))),"Balance increased but no Deferred_interest reported",IF(L2116&gt;R2116,"Reported balance higher than expected (missing increase/OC build)","Reported balance lower than expected (missing decrease)"))))),""))</f>
        <v/>
      </c>
    </row>
    <row r="2117" customFormat="false" ht="15" hidden="false" customHeight="false" outlineLevel="0" collapsed="false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9"/>
      <c r="L2117" s="9"/>
      <c r="M2117" s="9"/>
      <c r="N2117" s="9"/>
      <c r="O2117" s="9"/>
      <c r="P2117" s="9"/>
      <c r="Q2117" s="9"/>
      <c r="R2117" s="9" t="str">
        <f aca="false">IF(AND(A2117&lt;&gt;"",ISNUMBER(Q2117),ISNUMBER(L2117)),ROUND(Q2117-IF(ISNUMBER(N2117),N2117,0)-IF(ISNUMBER(O2117),O2117,0)+IF(ISNUMBER(P2117),P2117,0),2),"")</f>
        <v/>
      </c>
      <c r="S2117" s="9" t="str">
        <f aca="false">IF(R2117="","",ROUND(L2117-R2117,2))</f>
        <v/>
      </c>
      <c r="T2117" s="8" t="str">
        <f aca="false">IF(A2117="","",IF(S2117="","BYPASS",IF(ABS(S2117)&lt;=Summary!$B$2,"PASS","FAIL")))</f>
        <v/>
      </c>
      <c r="U2117" s="8" t="str">
        <f aca="false">IF(T2117="BYPASS",IF(NOT(ISNUMBER(Q2117)),"PreV_ETB missing","End_tr_balance missing"),IF(T2117="FAIL",IF(AND(ISNUMBER(K2117),ISNUMBER(L2117),ABS(L2117-(K2117-IF(ISNUMBER(N2117),N2117,0)-IF(ISNUMBER(O2117),O2117,0)+IF(ISNUMBER(P2117),P2117,0)))&lt;=Summary!$B$2),"Passes using beginning_balance - PreV_ETB differs from beginning_balance",IF(AND(ISNUMBER(O2117),O2117&lt;0,ABS(L2117-(Q2117-IF(ISNUMBER(N2117),N2117,0)+IF(ISNUMBER(P2117),P2117,0)))&lt;=Summary!$B$2),"Negative realized loss not applied - check sign",IF(R2117&lt;0,"Principal paid exceeds prior balance",IF(AND(L2117&gt;Q2117,NOT(ISNUMBER(P2117))),"Balance increased but no Deferred_interest reported",IF(L2117&gt;R2117,"Reported balance higher than expected (missing increase/OC build)","Reported balance lower than expected (missing decrease)"))))),""))</f>
        <v/>
      </c>
    </row>
    <row r="2118" customFormat="false" ht="15" hidden="false" customHeight="false" outlineLevel="0" collapsed="false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9"/>
      <c r="L2118" s="9"/>
      <c r="M2118" s="9"/>
      <c r="N2118" s="9"/>
      <c r="O2118" s="9"/>
      <c r="P2118" s="9"/>
      <c r="Q2118" s="9"/>
      <c r="R2118" s="9" t="str">
        <f aca="false">IF(AND(A2118&lt;&gt;"",ISNUMBER(Q2118),ISNUMBER(L2118)),ROUND(Q2118-IF(ISNUMBER(N2118),N2118,0)-IF(ISNUMBER(O2118),O2118,0)+IF(ISNUMBER(P2118),P2118,0),2),"")</f>
        <v/>
      </c>
      <c r="S2118" s="9" t="str">
        <f aca="false">IF(R2118="","",ROUND(L2118-R2118,2))</f>
        <v/>
      </c>
      <c r="T2118" s="8" t="str">
        <f aca="false">IF(A2118="","",IF(S2118="","BYPASS",IF(ABS(S2118)&lt;=Summary!$B$2,"PASS","FAIL")))</f>
        <v/>
      </c>
      <c r="U2118" s="8" t="str">
        <f aca="false">IF(T2118="BYPASS",IF(NOT(ISNUMBER(Q2118)),"PreV_ETB missing","End_tr_balance missing"),IF(T2118="FAIL",IF(AND(ISNUMBER(K2118),ISNUMBER(L2118),ABS(L2118-(K2118-IF(ISNUMBER(N2118),N2118,0)-IF(ISNUMBER(O2118),O2118,0)+IF(ISNUMBER(P2118),P2118,0)))&lt;=Summary!$B$2),"Passes using beginning_balance - PreV_ETB differs from beginning_balance",IF(AND(ISNUMBER(O2118),O2118&lt;0,ABS(L2118-(Q2118-IF(ISNUMBER(N2118),N2118,0)+IF(ISNUMBER(P2118),P2118,0)))&lt;=Summary!$B$2),"Negative realized loss not applied - check sign",IF(R2118&lt;0,"Principal paid exceeds prior balance",IF(AND(L2118&gt;Q2118,NOT(ISNUMBER(P2118))),"Balance increased but no Deferred_interest reported",IF(L2118&gt;R2118,"Reported balance higher than expected (missing increase/OC build)","Reported balance lower than expected (missing decrease)"))))),""))</f>
        <v/>
      </c>
    </row>
    <row r="2119" customFormat="false" ht="15" hidden="false" customHeight="false" outlineLevel="0" collapsed="false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9"/>
      <c r="L2119" s="9"/>
      <c r="M2119" s="9"/>
      <c r="N2119" s="9"/>
      <c r="O2119" s="9"/>
      <c r="P2119" s="9"/>
      <c r="Q2119" s="9"/>
      <c r="R2119" s="9" t="str">
        <f aca="false">IF(AND(A2119&lt;&gt;"",ISNUMBER(Q2119),ISNUMBER(L2119)),ROUND(Q2119-IF(ISNUMBER(N2119),N2119,0)-IF(ISNUMBER(O2119),O2119,0)+IF(ISNUMBER(P2119),P2119,0),2),"")</f>
        <v/>
      </c>
      <c r="S2119" s="9" t="str">
        <f aca="false">IF(R2119="","",ROUND(L2119-R2119,2))</f>
        <v/>
      </c>
      <c r="T2119" s="8" t="str">
        <f aca="false">IF(A2119="","",IF(S2119="","BYPASS",IF(ABS(S2119)&lt;=Summary!$B$2,"PASS","FAIL")))</f>
        <v/>
      </c>
      <c r="U2119" s="8" t="str">
        <f aca="false">IF(T2119="BYPASS",IF(NOT(ISNUMBER(Q2119)),"PreV_ETB missing","End_tr_balance missing"),IF(T2119="FAIL",IF(AND(ISNUMBER(K2119),ISNUMBER(L2119),ABS(L2119-(K2119-IF(ISNUMBER(N2119),N2119,0)-IF(ISNUMBER(O2119),O2119,0)+IF(ISNUMBER(P2119),P2119,0)))&lt;=Summary!$B$2),"Passes using beginning_balance - PreV_ETB differs from beginning_balance",IF(AND(ISNUMBER(O2119),O2119&lt;0,ABS(L2119-(Q2119-IF(ISNUMBER(N2119),N2119,0)+IF(ISNUMBER(P2119),P2119,0)))&lt;=Summary!$B$2),"Negative realized loss not applied - check sign",IF(R2119&lt;0,"Principal paid exceeds prior balance",IF(AND(L2119&gt;Q2119,NOT(ISNUMBER(P2119))),"Balance increased but no Deferred_interest reported",IF(L2119&gt;R2119,"Reported balance higher than expected (missing increase/OC build)","Reported balance lower than expected (missing decrease)"))))),""))</f>
        <v/>
      </c>
    </row>
    <row r="2120" customFormat="false" ht="15" hidden="false" customHeight="false" outlineLevel="0" collapsed="false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9"/>
      <c r="L2120" s="9"/>
      <c r="M2120" s="9"/>
      <c r="N2120" s="9"/>
      <c r="O2120" s="9"/>
      <c r="P2120" s="9"/>
      <c r="Q2120" s="9"/>
      <c r="R2120" s="9" t="str">
        <f aca="false">IF(AND(A2120&lt;&gt;"",ISNUMBER(Q2120),ISNUMBER(L2120)),ROUND(Q2120-IF(ISNUMBER(N2120),N2120,0)-IF(ISNUMBER(O2120),O2120,0)+IF(ISNUMBER(P2120),P2120,0),2),"")</f>
        <v/>
      </c>
      <c r="S2120" s="9" t="str">
        <f aca="false">IF(R2120="","",ROUND(L2120-R2120,2))</f>
        <v/>
      </c>
      <c r="T2120" s="8" t="str">
        <f aca="false">IF(A2120="","",IF(S2120="","BYPASS",IF(ABS(S2120)&lt;=Summary!$B$2,"PASS","FAIL")))</f>
        <v/>
      </c>
      <c r="U2120" s="8" t="str">
        <f aca="false">IF(T2120="BYPASS",IF(NOT(ISNUMBER(Q2120)),"PreV_ETB missing","End_tr_balance missing"),IF(T2120="FAIL",IF(AND(ISNUMBER(K2120),ISNUMBER(L2120),ABS(L2120-(K2120-IF(ISNUMBER(N2120),N2120,0)-IF(ISNUMBER(O2120),O2120,0)+IF(ISNUMBER(P2120),P2120,0)))&lt;=Summary!$B$2),"Passes using beginning_balance - PreV_ETB differs from beginning_balance",IF(AND(ISNUMBER(O2120),O2120&lt;0,ABS(L2120-(Q2120-IF(ISNUMBER(N2120),N2120,0)+IF(ISNUMBER(P2120),P2120,0)))&lt;=Summary!$B$2),"Negative realized loss not applied - check sign",IF(R2120&lt;0,"Principal paid exceeds prior balance",IF(AND(L2120&gt;Q2120,NOT(ISNUMBER(P2120))),"Balance increased but no Deferred_interest reported",IF(L2120&gt;R2120,"Reported balance higher than expected (missing increase/OC build)","Reported balance lower than expected (missing decrease)"))))),""))</f>
        <v/>
      </c>
    </row>
    <row r="2121" customFormat="false" ht="15" hidden="false" customHeight="false" outlineLevel="0" collapsed="false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9"/>
      <c r="L2121" s="9"/>
      <c r="M2121" s="9"/>
      <c r="N2121" s="9"/>
      <c r="O2121" s="9"/>
      <c r="P2121" s="9"/>
      <c r="Q2121" s="9"/>
      <c r="R2121" s="9" t="str">
        <f aca="false">IF(AND(A2121&lt;&gt;"",ISNUMBER(Q2121),ISNUMBER(L2121)),ROUND(Q2121-IF(ISNUMBER(N2121),N2121,0)-IF(ISNUMBER(O2121),O2121,0)+IF(ISNUMBER(P2121),P2121,0),2),"")</f>
        <v/>
      </c>
      <c r="S2121" s="9" t="str">
        <f aca="false">IF(R2121="","",ROUND(L2121-R2121,2))</f>
        <v/>
      </c>
      <c r="T2121" s="8" t="str">
        <f aca="false">IF(A2121="","",IF(S2121="","BYPASS",IF(ABS(S2121)&lt;=Summary!$B$2,"PASS","FAIL")))</f>
        <v/>
      </c>
      <c r="U2121" s="8" t="str">
        <f aca="false">IF(T2121="BYPASS",IF(NOT(ISNUMBER(Q2121)),"PreV_ETB missing","End_tr_balance missing"),IF(T2121="FAIL",IF(AND(ISNUMBER(K2121),ISNUMBER(L2121),ABS(L2121-(K2121-IF(ISNUMBER(N2121),N2121,0)-IF(ISNUMBER(O2121),O2121,0)+IF(ISNUMBER(P2121),P2121,0)))&lt;=Summary!$B$2),"Passes using beginning_balance - PreV_ETB differs from beginning_balance",IF(AND(ISNUMBER(O2121),O2121&lt;0,ABS(L2121-(Q2121-IF(ISNUMBER(N2121),N2121,0)+IF(ISNUMBER(P2121),P2121,0)))&lt;=Summary!$B$2),"Negative realized loss not applied - check sign",IF(R2121&lt;0,"Principal paid exceeds prior balance",IF(AND(L2121&gt;Q2121,NOT(ISNUMBER(P2121))),"Balance increased but no Deferred_interest reported",IF(L2121&gt;R2121,"Reported balance higher than expected (missing increase/OC build)","Reported balance lower than expected (missing decrease)"))))),""))</f>
        <v/>
      </c>
    </row>
    <row r="2122" customFormat="false" ht="15" hidden="false" customHeight="false" outlineLevel="0" collapsed="false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9"/>
      <c r="L2122" s="9"/>
      <c r="M2122" s="9"/>
      <c r="N2122" s="9"/>
      <c r="O2122" s="9"/>
      <c r="P2122" s="9"/>
      <c r="Q2122" s="9"/>
      <c r="R2122" s="9" t="str">
        <f aca="false">IF(AND(A2122&lt;&gt;"",ISNUMBER(Q2122),ISNUMBER(L2122)),ROUND(Q2122-IF(ISNUMBER(N2122),N2122,0)-IF(ISNUMBER(O2122),O2122,0)+IF(ISNUMBER(P2122),P2122,0),2),"")</f>
        <v/>
      </c>
      <c r="S2122" s="9" t="str">
        <f aca="false">IF(R2122="","",ROUND(L2122-R2122,2))</f>
        <v/>
      </c>
      <c r="T2122" s="8" t="str">
        <f aca="false">IF(A2122="","",IF(S2122="","BYPASS",IF(ABS(S2122)&lt;=Summary!$B$2,"PASS","FAIL")))</f>
        <v/>
      </c>
      <c r="U2122" s="8" t="str">
        <f aca="false">IF(T2122="BYPASS",IF(NOT(ISNUMBER(Q2122)),"PreV_ETB missing","End_tr_balance missing"),IF(T2122="FAIL",IF(AND(ISNUMBER(K2122),ISNUMBER(L2122),ABS(L2122-(K2122-IF(ISNUMBER(N2122),N2122,0)-IF(ISNUMBER(O2122),O2122,0)+IF(ISNUMBER(P2122),P2122,0)))&lt;=Summary!$B$2),"Passes using beginning_balance - PreV_ETB differs from beginning_balance",IF(AND(ISNUMBER(O2122),O2122&lt;0,ABS(L2122-(Q2122-IF(ISNUMBER(N2122),N2122,0)+IF(ISNUMBER(P2122),P2122,0)))&lt;=Summary!$B$2),"Negative realized loss not applied - check sign",IF(R2122&lt;0,"Principal paid exceeds prior balance",IF(AND(L2122&gt;Q2122,NOT(ISNUMBER(P2122))),"Balance increased but no Deferred_interest reported",IF(L2122&gt;R2122,"Reported balance higher than expected (missing increase/OC build)","Reported balance lower than expected (missing decrease)"))))),""))</f>
        <v/>
      </c>
    </row>
    <row r="2123" customFormat="false" ht="15" hidden="false" customHeight="false" outlineLevel="0" collapsed="false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9"/>
      <c r="L2123" s="9"/>
      <c r="M2123" s="9"/>
      <c r="N2123" s="9"/>
      <c r="O2123" s="9"/>
      <c r="P2123" s="9"/>
      <c r="Q2123" s="9"/>
      <c r="R2123" s="9" t="str">
        <f aca="false">IF(AND(A2123&lt;&gt;"",ISNUMBER(Q2123),ISNUMBER(L2123)),ROUND(Q2123-IF(ISNUMBER(N2123),N2123,0)-IF(ISNUMBER(O2123),O2123,0)+IF(ISNUMBER(P2123),P2123,0),2),"")</f>
        <v/>
      </c>
      <c r="S2123" s="9" t="str">
        <f aca="false">IF(R2123="","",ROUND(L2123-R2123,2))</f>
        <v/>
      </c>
      <c r="T2123" s="8" t="str">
        <f aca="false">IF(A2123="","",IF(S2123="","BYPASS",IF(ABS(S2123)&lt;=Summary!$B$2,"PASS","FAIL")))</f>
        <v/>
      </c>
      <c r="U2123" s="8" t="str">
        <f aca="false">IF(T2123="BYPASS",IF(NOT(ISNUMBER(Q2123)),"PreV_ETB missing","End_tr_balance missing"),IF(T2123="FAIL",IF(AND(ISNUMBER(K2123),ISNUMBER(L2123),ABS(L2123-(K2123-IF(ISNUMBER(N2123),N2123,0)-IF(ISNUMBER(O2123),O2123,0)+IF(ISNUMBER(P2123),P2123,0)))&lt;=Summary!$B$2),"Passes using beginning_balance - PreV_ETB differs from beginning_balance",IF(AND(ISNUMBER(O2123),O2123&lt;0,ABS(L2123-(Q2123-IF(ISNUMBER(N2123),N2123,0)+IF(ISNUMBER(P2123),P2123,0)))&lt;=Summary!$B$2),"Negative realized loss not applied - check sign",IF(R2123&lt;0,"Principal paid exceeds prior balance",IF(AND(L2123&gt;Q2123,NOT(ISNUMBER(P2123))),"Balance increased but no Deferred_interest reported",IF(L2123&gt;R2123,"Reported balance higher than expected (missing increase/OC build)","Reported balance lower than expected (missing decrease)"))))),""))</f>
        <v/>
      </c>
    </row>
    <row r="2124" customFormat="false" ht="15" hidden="false" customHeight="false" outlineLevel="0" collapsed="false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9"/>
      <c r="L2124" s="9"/>
      <c r="M2124" s="9"/>
      <c r="N2124" s="9"/>
      <c r="O2124" s="9"/>
      <c r="P2124" s="9"/>
      <c r="Q2124" s="9"/>
      <c r="R2124" s="9" t="str">
        <f aca="false">IF(AND(A2124&lt;&gt;"",ISNUMBER(Q2124),ISNUMBER(L2124)),ROUND(Q2124-IF(ISNUMBER(N2124),N2124,0)-IF(ISNUMBER(O2124),O2124,0)+IF(ISNUMBER(P2124),P2124,0),2),"")</f>
        <v/>
      </c>
      <c r="S2124" s="9" t="str">
        <f aca="false">IF(R2124="","",ROUND(L2124-R2124,2))</f>
        <v/>
      </c>
      <c r="T2124" s="8" t="str">
        <f aca="false">IF(A2124="","",IF(S2124="","BYPASS",IF(ABS(S2124)&lt;=Summary!$B$2,"PASS","FAIL")))</f>
        <v/>
      </c>
      <c r="U2124" s="8" t="str">
        <f aca="false">IF(T2124="BYPASS",IF(NOT(ISNUMBER(Q2124)),"PreV_ETB missing","End_tr_balance missing"),IF(T2124="FAIL",IF(AND(ISNUMBER(K2124),ISNUMBER(L2124),ABS(L2124-(K2124-IF(ISNUMBER(N2124),N2124,0)-IF(ISNUMBER(O2124),O2124,0)+IF(ISNUMBER(P2124),P2124,0)))&lt;=Summary!$B$2),"Passes using beginning_balance - PreV_ETB differs from beginning_balance",IF(AND(ISNUMBER(O2124),O2124&lt;0,ABS(L2124-(Q2124-IF(ISNUMBER(N2124),N2124,0)+IF(ISNUMBER(P2124),P2124,0)))&lt;=Summary!$B$2),"Negative realized loss not applied - check sign",IF(R2124&lt;0,"Principal paid exceeds prior balance",IF(AND(L2124&gt;Q2124,NOT(ISNUMBER(P2124))),"Balance increased but no Deferred_interest reported",IF(L2124&gt;R2124,"Reported balance higher than expected (missing increase/OC build)","Reported balance lower than expected (missing decrease)"))))),""))</f>
        <v/>
      </c>
    </row>
    <row r="2125" customFormat="false" ht="15" hidden="false" customHeight="false" outlineLevel="0" collapsed="false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9"/>
      <c r="L2125" s="9"/>
      <c r="M2125" s="9"/>
      <c r="N2125" s="9"/>
      <c r="O2125" s="9"/>
      <c r="P2125" s="9"/>
      <c r="Q2125" s="9"/>
      <c r="R2125" s="9" t="str">
        <f aca="false">IF(AND(A2125&lt;&gt;"",ISNUMBER(Q2125),ISNUMBER(L2125)),ROUND(Q2125-IF(ISNUMBER(N2125),N2125,0)-IF(ISNUMBER(O2125),O2125,0)+IF(ISNUMBER(P2125),P2125,0),2),"")</f>
        <v/>
      </c>
      <c r="S2125" s="9" t="str">
        <f aca="false">IF(R2125="","",ROUND(L2125-R2125,2))</f>
        <v/>
      </c>
      <c r="T2125" s="8" t="str">
        <f aca="false">IF(A2125="","",IF(S2125="","BYPASS",IF(ABS(S2125)&lt;=Summary!$B$2,"PASS","FAIL")))</f>
        <v/>
      </c>
      <c r="U2125" s="8" t="str">
        <f aca="false">IF(T2125="BYPASS",IF(NOT(ISNUMBER(Q2125)),"PreV_ETB missing","End_tr_balance missing"),IF(T2125="FAIL",IF(AND(ISNUMBER(K2125),ISNUMBER(L2125),ABS(L2125-(K2125-IF(ISNUMBER(N2125),N2125,0)-IF(ISNUMBER(O2125),O2125,0)+IF(ISNUMBER(P2125),P2125,0)))&lt;=Summary!$B$2),"Passes using beginning_balance - PreV_ETB differs from beginning_balance",IF(AND(ISNUMBER(O2125),O2125&lt;0,ABS(L2125-(Q2125-IF(ISNUMBER(N2125),N2125,0)+IF(ISNUMBER(P2125),P2125,0)))&lt;=Summary!$B$2),"Negative realized loss not applied - check sign",IF(R2125&lt;0,"Principal paid exceeds prior balance",IF(AND(L2125&gt;Q2125,NOT(ISNUMBER(P2125))),"Balance increased but no Deferred_interest reported",IF(L2125&gt;R2125,"Reported balance higher than expected (missing increase/OC build)","Reported balance lower than expected (missing decrease)"))))),""))</f>
        <v/>
      </c>
    </row>
    <row r="2126" customFormat="false" ht="15" hidden="false" customHeight="false" outlineLevel="0" collapsed="false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9"/>
      <c r="L2126" s="9"/>
      <c r="M2126" s="9"/>
      <c r="N2126" s="9"/>
      <c r="O2126" s="9"/>
      <c r="P2126" s="9"/>
      <c r="Q2126" s="9"/>
      <c r="R2126" s="9" t="str">
        <f aca="false">IF(AND(A2126&lt;&gt;"",ISNUMBER(Q2126),ISNUMBER(L2126)),ROUND(Q2126-IF(ISNUMBER(N2126),N2126,0)-IF(ISNUMBER(O2126),O2126,0)+IF(ISNUMBER(P2126),P2126,0),2),"")</f>
        <v/>
      </c>
      <c r="S2126" s="9" t="str">
        <f aca="false">IF(R2126="","",ROUND(L2126-R2126,2))</f>
        <v/>
      </c>
      <c r="T2126" s="8" t="str">
        <f aca="false">IF(A2126="","",IF(S2126="","BYPASS",IF(ABS(S2126)&lt;=Summary!$B$2,"PASS","FAIL")))</f>
        <v/>
      </c>
      <c r="U2126" s="8" t="str">
        <f aca="false">IF(T2126="BYPASS",IF(NOT(ISNUMBER(Q2126)),"PreV_ETB missing","End_tr_balance missing"),IF(T2126="FAIL",IF(AND(ISNUMBER(K2126),ISNUMBER(L2126),ABS(L2126-(K2126-IF(ISNUMBER(N2126),N2126,0)-IF(ISNUMBER(O2126),O2126,0)+IF(ISNUMBER(P2126),P2126,0)))&lt;=Summary!$B$2),"Passes using beginning_balance - PreV_ETB differs from beginning_balance",IF(AND(ISNUMBER(O2126),O2126&lt;0,ABS(L2126-(Q2126-IF(ISNUMBER(N2126),N2126,0)+IF(ISNUMBER(P2126),P2126,0)))&lt;=Summary!$B$2),"Negative realized loss not applied - check sign",IF(R2126&lt;0,"Principal paid exceeds prior balance",IF(AND(L2126&gt;Q2126,NOT(ISNUMBER(P2126))),"Balance increased but no Deferred_interest reported",IF(L2126&gt;R2126,"Reported balance higher than expected (missing increase/OC build)","Reported balance lower than expected (missing decrease)"))))),""))</f>
        <v/>
      </c>
    </row>
    <row r="2127" customFormat="false" ht="15" hidden="false" customHeight="false" outlineLevel="0" collapsed="false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9"/>
      <c r="L2127" s="9"/>
      <c r="M2127" s="9"/>
      <c r="N2127" s="9"/>
      <c r="O2127" s="9"/>
      <c r="P2127" s="9"/>
      <c r="Q2127" s="9"/>
      <c r="R2127" s="9" t="str">
        <f aca="false">IF(AND(A2127&lt;&gt;"",ISNUMBER(Q2127),ISNUMBER(L2127)),ROUND(Q2127-IF(ISNUMBER(N2127),N2127,0)-IF(ISNUMBER(O2127),O2127,0)+IF(ISNUMBER(P2127),P2127,0),2),"")</f>
        <v/>
      </c>
      <c r="S2127" s="9" t="str">
        <f aca="false">IF(R2127="","",ROUND(L2127-R2127,2))</f>
        <v/>
      </c>
      <c r="T2127" s="8" t="str">
        <f aca="false">IF(A2127="","",IF(S2127="","BYPASS",IF(ABS(S2127)&lt;=Summary!$B$2,"PASS","FAIL")))</f>
        <v/>
      </c>
      <c r="U2127" s="8" t="str">
        <f aca="false">IF(T2127="BYPASS",IF(NOT(ISNUMBER(Q2127)),"PreV_ETB missing","End_tr_balance missing"),IF(T2127="FAIL",IF(AND(ISNUMBER(K2127),ISNUMBER(L2127),ABS(L2127-(K2127-IF(ISNUMBER(N2127),N2127,0)-IF(ISNUMBER(O2127),O2127,0)+IF(ISNUMBER(P2127),P2127,0)))&lt;=Summary!$B$2),"Passes using beginning_balance - PreV_ETB differs from beginning_balance",IF(AND(ISNUMBER(O2127),O2127&lt;0,ABS(L2127-(Q2127-IF(ISNUMBER(N2127),N2127,0)+IF(ISNUMBER(P2127),P2127,0)))&lt;=Summary!$B$2),"Negative realized loss not applied - check sign",IF(R2127&lt;0,"Principal paid exceeds prior balance",IF(AND(L2127&gt;Q2127,NOT(ISNUMBER(P2127))),"Balance increased but no Deferred_interest reported",IF(L2127&gt;R2127,"Reported balance higher than expected (missing increase/OC build)","Reported balance lower than expected (missing decrease)"))))),""))</f>
        <v/>
      </c>
    </row>
    <row r="2128" customFormat="false" ht="15" hidden="false" customHeight="false" outlineLevel="0" collapsed="false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9"/>
      <c r="L2128" s="9"/>
      <c r="M2128" s="9"/>
      <c r="N2128" s="9"/>
      <c r="O2128" s="9"/>
      <c r="P2128" s="9"/>
      <c r="Q2128" s="9"/>
      <c r="R2128" s="9" t="str">
        <f aca="false">IF(AND(A2128&lt;&gt;"",ISNUMBER(Q2128),ISNUMBER(L2128)),ROUND(Q2128-IF(ISNUMBER(N2128),N2128,0)-IF(ISNUMBER(O2128),O2128,0)+IF(ISNUMBER(P2128),P2128,0),2),"")</f>
        <v/>
      </c>
      <c r="S2128" s="9" t="str">
        <f aca="false">IF(R2128="","",ROUND(L2128-R2128,2))</f>
        <v/>
      </c>
      <c r="T2128" s="8" t="str">
        <f aca="false">IF(A2128="","",IF(S2128="","BYPASS",IF(ABS(S2128)&lt;=Summary!$B$2,"PASS","FAIL")))</f>
        <v/>
      </c>
      <c r="U2128" s="8" t="str">
        <f aca="false">IF(T2128="BYPASS",IF(NOT(ISNUMBER(Q2128)),"PreV_ETB missing","End_tr_balance missing"),IF(T2128="FAIL",IF(AND(ISNUMBER(K2128),ISNUMBER(L2128),ABS(L2128-(K2128-IF(ISNUMBER(N2128),N2128,0)-IF(ISNUMBER(O2128),O2128,0)+IF(ISNUMBER(P2128),P2128,0)))&lt;=Summary!$B$2),"Passes using beginning_balance - PreV_ETB differs from beginning_balance",IF(AND(ISNUMBER(O2128),O2128&lt;0,ABS(L2128-(Q2128-IF(ISNUMBER(N2128),N2128,0)+IF(ISNUMBER(P2128),P2128,0)))&lt;=Summary!$B$2),"Negative realized loss not applied - check sign",IF(R2128&lt;0,"Principal paid exceeds prior balance",IF(AND(L2128&gt;Q2128,NOT(ISNUMBER(P2128))),"Balance increased but no Deferred_interest reported",IF(L2128&gt;R2128,"Reported balance higher than expected (missing increase/OC build)","Reported balance lower than expected (missing decrease)"))))),""))</f>
        <v/>
      </c>
    </row>
    <row r="2129" customFormat="false" ht="15" hidden="false" customHeight="false" outlineLevel="0" collapsed="false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9"/>
      <c r="L2129" s="9"/>
      <c r="M2129" s="9"/>
      <c r="N2129" s="9"/>
      <c r="O2129" s="9"/>
      <c r="P2129" s="9"/>
      <c r="Q2129" s="9"/>
      <c r="R2129" s="9" t="str">
        <f aca="false">IF(AND(A2129&lt;&gt;"",ISNUMBER(Q2129),ISNUMBER(L2129)),ROUND(Q2129-IF(ISNUMBER(N2129),N2129,0)-IF(ISNUMBER(O2129),O2129,0)+IF(ISNUMBER(P2129),P2129,0),2),"")</f>
        <v/>
      </c>
      <c r="S2129" s="9" t="str">
        <f aca="false">IF(R2129="","",ROUND(L2129-R2129,2))</f>
        <v/>
      </c>
      <c r="T2129" s="8" t="str">
        <f aca="false">IF(A2129="","",IF(S2129="","BYPASS",IF(ABS(S2129)&lt;=Summary!$B$2,"PASS","FAIL")))</f>
        <v/>
      </c>
      <c r="U2129" s="8" t="str">
        <f aca="false">IF(T2129="BYPASS",IF(NOT(ISNUMBER(Q2129)),"PreV_ETB missing","End_tr_balance missing"),IF(T2129="FAIL",IF(AND(ISNUMBER(K2129),ISNUMBER(L2129),ABS(L2129-(K2129-IF(ISNUMBER(N2129),N2129,0)-IF(ISNUMBER(O2129),O2129,0)+IF(ISNUMBER(P2129),P2129,0)))&lt;=Summary!$B$2),"Passes using beginning_balance - PreV_ETB differs from beginning_balance",IF(AND(ISNUMBER(O2129),O2129&lt;0,ABS(L2129-(Q2129-IF(ISNUMBER(N2129),N2129,0)+IF(ISNUMBER(P2129),P2129,0)))&lt;=Summary!$B$2),"Negative realized loss not applied - check sign",IF(R2129&lt;0,"Principal paid exceeds prior balance",IF(AND(L2129&gt;Q2129,NOT(ISNUMBER(P2129))),"Balance increased but no Deferred_interest reported",IF(L2129&gt;R2129,"Reported balance higher than expected (missing increase/OC build)","Reported balance lower than expected (missing decrease)"))))),""))</f>
        <v/>
      </c>
    </row>
    <row r="2130" customFormat="false" ht="15" hidden="false" customHeight="false" outlineLevel="0" collapsed="false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9"/>
      <c r="L2130" s="9"/>
      <c r="M2130" s="9"/>
      <c r="N2130" s="9"/>
      <c r="O2130" s="9"/>
      <c r="P2130" s="9"/>
      <c r="Q2130" s="9"/>
      <c r="R2130" s="9" t="str">
        <f aca="false">IF(AND(A2130&lt;&gt;"",ISNUMBER(Q2130),ISNUMBER(L2130)),ROUND(Q2130-IF(ISNUMBER(N2130),N2130,0)-IF(ISNUMBER(O2130),O2130,0)+IF(ISNUMBER(P2130),P2130,0),2),"")</f>
        <v/>
      </c>
      <c r="S2130" s="9" t="str">
        <f aca="false">IF(R2130="","",ROUND(L2130-R2130,2))</f>
        <v/>
      </c>
      <c r="T2130" s="8" t="str">
        <f aca="false">IF(A2130="","",IF(S2130="","BYPASS",IF(ABS(S2130)&lt;=Summary!$B$2,"PASS","FAIL")))</f>
        <v/>
      </c>
      <c r="U2130" s="8" t="str">
        <f aca="false">IF(T2130="BYPASS",IF(NOT(ISNUMBER(Q2130)),"PreV_ETB missing","End_tr_balance missing"),IF(T2130="FAIL",IF(AND(ISNUMBER(K2130),ISNUMBER(L2130),ABS(L2130-(K2130-IF(ISNUMBER(N2130),N2130,0)-IF(ISNUMBER(O2130),O2130,0)+IF(ISNUMBER(P2130),P2130,0)))&lt;=Summary!$B$2),"Passes using beginning_balance - PreV_ETB differs from beginning_balance",IF(AND(ISNUMBER(O2130),O2130&lt;0,ABS(L2130-(Q2130-IF(ISNUMBER(N2130),N2130,0)+IF(ISNUMBER(P2130),P2130,0)))&lt;=Summary!$B$2),"Negative realized loss not applied - check sign",IF(R2130&lt;0,"Principal paid exceeds prior balance",IF(AND(L2130&gt;Q2130,NOT(ISNUMBER(P2130))),"Balance increased but no Deferred_interest reported",IF(L2130&gt;R2130,"Reported balance higher than expected (missing increase/OC build)","Reported balance lower than expected (missing decrease)"))))),""))</f>
        <v/>
      </c>
    </row>
    <row r="2131" customFormat="false" ht="15" hidden="false" customHeight="false" outlineLevel="0" collapsed="false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9"/>
      <c r="L2131" s="9"/>
      <c r="M2131" s="9"/>
      <c r="N2131" s="9"/>
      <c r="O2131" s="9"/>
      <c r="P2131" s="9"/>
      <c r="Q2131" s="9"/>
      <c r="R2131" s="9" t="str">
        <f aca="false">IF(AND(A2131&lt;&gt;"",ISNUMBER(Q2131),ISNUMBER(L2131)),ROUND(Q2131-IF(ISNUMBER(N2131),N2131,0)-IF(ISNUMBER(O2131),O2131,0)+IF(ISNUMBER(P2131),P2131,0),2),"")</f>
        <v/>
      </c>
      <c r="S2131" s="9" t="str">
        <f aca="false">IF(R2131="","",ROUND(L2131-R2131,2))</f>
        <v/>
      </c>
      <c r="T2131" s="8" t="str">
        <f aca="false">IF(A2131="","",IF(S2131="","BYPASS",IF(ABS(S2131)&lt;=Summary!$B$2,"PASS","FAIL")))</f>
        <v/>
      </c>
      <c r="U2131" s="8" t="str">
        <f aca="false">IF(T2131="BYPASS",IF(NOT(ISNUMBER(Q2131)),"PreV_ETB missing","End_tr_balance missing"),IF(T2131="FAIL",IF(AND(ISNUMBER(K2131),ISNUMBER(L2131),ABS(L2131-(K2131-IF(ISNUMBER(N2131),N2131,0)-IF(ISNUMBER(O2131),O2131,0)+IF(ISNUMBER(P2131),P2131,0)))&lt;=Summary!$B$2),"Passes using beginning_balance - PreV_ETB differs from beginning_balance",IF(AND(ISNUMBER(O2131),O2131&lt;0,ABS(L2131-(Q2131-IF(ISNUMBER(N2131),N2131,0)+IF(ISNUMBER(P2131),P2131,0)))&lt;=Summary!$B$2),"Negative realized loss not applied - check sign",IF(R2131&lt;0,"Principal paid exceeds prior balance",IF(AND(L2131&gt;Q2131,NOT(ISNUMBER(P2131))),"Balance increased but no Deferred_interest reported",IF(L2131&gt;R2131,"Reported balance higher than expected (missing increase/OC build)","Reported balance lower than expected (missing decrease)"))))),""))</f>
        <v/>
      </c>
    </row>
    <row r="2132" customFormat="false" ht="15" hidden="false" customHeight="false" outlineLevel="0" collapsed="false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9"/>
      <c r="L2132" s="9"/>
      <c r="M2132" s="9"/>
      <c r="N2132" s="9"/>
      <c r="O2132" s="9"/>
      <c r="P2132" s="9"/>
      <c r="Q2132" s="9"/>
      <c r="R2132" s="9" t="str">
        <f aca="false">IF(AND(A2132&lt;&gt;"",ISNUMBER(Q2132),ISNUMBER(L2132)),ROUND(Q2132-IF(ISNUMBER(N2132),N2132,0)-IF(ISNUMBER(O2132),O2132,0)+IF(ISNUMBER(P2132),P2132,0),2),"")</f>
        <v/>
      </c>
      <c r="S2132" s="9" t="str">
        <f aca="false">IF(R2132="","",ROUND(L2132-R2132,2))</f>
        <v/>
      </c>
      <c r="T2132" s="8" t="str">
        <f aca="false">IF(A2132="","",IF(S2132="","BYPASS",IF(ABS(S2132)&lt;=Summary!$B$2,"PASS","FAIL")))</f>
        <v/>
      </c>
      <c r="U2132" s="8" t="str">
        <f aca="false">IF(T2132="BYPASS",IF(NOT(ISNUMBER(Q2132)),"PreV_ETB missing","End_tr_balance missing"),IF(T2132="FAIL",IF(AND(ISNUMBER(K2132),ISNUMBER(L2132),ABS(L2132-(K2132-IF(ISNUMBER(N2132),N2132,0)-IF(ISNUMBER(O2132),O2132,0)+IF(ISNUMBER(P2132),P2132,0)))&lt;=Summary!$B$2),"Passes using beginning_balance - PreV_ETB differs from beginning_balance",IF(AND(ISNUMBER(O2132),O2132&lt;0,ABS(L2132-(Q2132-IF(ISNUMBER(N2132),N2132,0)+IF(ISNUMBER(P2132),P2132,0)))&lt;=Summary!$B$2),"Negative realized loss not applied - check sign",IF(R2132&lt;0,"Principal paid exceeds prior balance",IF(AND(L2132&gt;Q2132,NOT(ISNUMBER(P2132))),"Balance increased but no Deferred_interest reported",IF(L2132&gt;R2132,"Reported balance higher than expected (missing increase/OC build)","Reported balance lower than expected (missing decrease)"))))),""))</f>
        <v/>
      </c>
    </row>
    <row r="2133" customFormat="false" ht="15" hidden="false" customHeight="false" outlineLevel="0" collapsed="false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9"/>
      <c r="L2133" s="9"/>
      <c r="M2133" s="9"/>
      <c r="N2133" s="9"/>
      <c r="O2133" s="9"/>
      <c r="P2133" s="9"/>
      <c r="Q2133" s="9"/>
      <c r="R2133" s="9" t="str">
        <f aca="false">IF(AND(A2133&lt;&gt;"",ISNUMBER(Q2133),ISNUMBER(L2133)),ROUND(Q2133-IF(ISNUMBER(N2133),N2133,0)-IF(ISNUMBER(O2133),O2133,0)+IF(ISNUMBER(P2133),P2133,0),2),"")</f>
        <v/>
      </c>
      <c r="S2133" s="9" t="str">
        <f aca="false">IF(R2133="","",ROUND(L2133-R2133,2))</f>
        <v/>
      </c>
      <c r="T2133" s="8" t="str">
        <f aca="false">IF(A2133="","",IF(S2133="","BYPASS",IF(ABS(S2133)&lt;=Summary!$B$2,"PASS","FAIL")))</f>
        <v/>
      </c>
      <c r="U2133" s="8" t="str">
        <f aca="false">IF(T2133="BYPASS",IF(NOT(ISNUMBER(Q2133)),"PreV_ETB missing","End_tr_balance missing"),IF(T2133="FAIL",IF(AND(ISNUMBER(K2133),ISNUMBER(L2133),ABS(L2133-(K2133-IF(ISNUMBER(N2133),N2133,0)-IF(ISNUMBER(O2133),O2133,0)+IF(ISNUMBER(P2133),P2133,0)))&lt;=Summary!$B$2),"Passes using beginning_balance - PreV_ETB differs from beginning_balance",IF(AND(ISNUMBER(O2133),O2133&lt;0,ABS(L2133-(Q2133-IF(ISNUMBER(N2133),N2133,0)+IF(ISNUMBER(P2133),P2133,0)))&lt;=Summary!$B$2),"Negative realized loss not applied - check sign",IF(R2133&lt;0,"Principal paid exceeds prior balance",IF(AND(L2133&gt;Q2133,NOT(ISNUMBER(P2133))),"Balance increased but no Deferred_interest reported",IF(L2133&gt;R2133,"Reported balance higher than expected (missing increase/OC build)","Reported balance lower than expected (missing decrease)"))))),""))</f>
        <v/>
      </c>
    </row>
    <row r="2134" customFormat="false" ht="15" hidden="false" customHeight="false" outlineLevel="0" collapsed="false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9"/>
      <c r="L2134" s="9"/>
      <c r="M2134" s="9"/>
      <c r="N2134" s="9"/>
      <c r="O2134" s="9"/>
      <c r="P2134" s="9"/>
      <c r="Q2134" s="9"/>
      <c r="R2134" s="9" t="str">
        <f aca="false">IF(AND(A2134&lt;&gt;"",ISNUMBER(Q2134),ISNUMBER(L2134)),ROUND(Q2134-IF(ISNUMBER(N2134),N2134,0)-IF(ISNUMBER(O2134),O2134,0)+IF(ISNUMBER(P2134),P2134,0),2),"")</f>
        <v/>
      </c>
      <c r="S2134" s="9" t="str">
        <f aca="false">IF(R2134="","",ROUND(L2134-R2134,2))</f>
        <v/>
      </c>
      <c r="T2134" s="8" t="str">
        <f aca="false">IF(A2134="","",IF(S2134="","BYPASS",IF(ABS(S2134)&lt;=Summary!$B$2,"PASS","FAIL")))</f>
        <v/>
      </c>
      <c r="U2134" s="8" t="str">
        <f aca="false">IF(T2134="BYPASS",IF(NOT(ISNUMBER(Q2134)),"PreV_ETB missing","End_tr_balance missing"),IF(T2134="FAIL",IF(AND(ISNUMBER(K2134),ISNUMBER(L2134),ABS(L2134-(K2134-IF(ISNUMBER(N2134),N2134,0)-IF(ISNUMBER(O2134),O2134,0)+IF(ISNUMBER(P2134),P2134,0)))&lt;=Summary!$B$2),"Passes using beginning_balance - PreV_ETB differs from beginning_balance",IF(AND(ISNUMBER(O2134),O2134&lt;0,ABS(L2134-(Q2134-IF(ISNUMBER(N2134),N2134,0)+IF(ISNUMBER(P2134),P2134,0)))&lt;=Summary!$B$2),"Negative realized loss not applied - check sign",IF(R2134&lt;0,"Principal paid exceeds prior balance",IF(AND(L2134&gt;Q2134,NOT(ISNUMBER(P2134))),"Balance increased but no Deferred_interest reported",IF(L2134&gt;R2134,"Reported balance higher than expected (missing increase/OC build)","Reported balance lower than expected (missing decrease)"))))),""))</f>
        <v/>
      </c>
    </row>
    <row r="2135" customFormat="false" ht="15" hidden="false" customHeight="false" outlineLevel="0" collapsed="false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9"/>
      <c r="L2135" s="9"/>
      <c r="M2135" s="9"/>
      <c r="N2135" s="9"/>
      <c r="O2135" s="9"/>
      <c r="P2135" s="9"/>
      <c r="Q2135" s="9"/>
      <c r="R2135" s="9" t="str">
        <f aca="false">IF(AND(A2135&lt;&gt;"",ISNUMBER(Q2135),ISNUMBER(L2135)),ROUND(Q2135-IF(ISNUMBER(N2135),N2135,0)-IF(ISNUMBER(O2135),O2135,0)+IF(ISNUMBER(P2135),P2135,0),2),"")</f>
        <v/>
      </c>
      <c r="S2135" s="9" t="str">
        <f aca="false">IF(R2135="","",ROUND(L2135-R2135,2))</f>
        <v/>
      </c>
      <c r="T2135" s="8" t="str">
        <f aca="false">IF(A2135="","",IF(S2135="","BYPASS",IF(ABS(S2135)&lt;=Summary!$B$2,"PASS","FAIL")))</f>
        <v/>
      </c>
      <c r="U2135" s="8" t="str">
        <f aca="false">IF(T2135="BYPASS",IF(NOT(ISNUMBER(Q2135)),"PreV_ETB missing","End_tr_balance missing"),IF(T2135="FAIL",IF(AND(ISNUMBER(K2135),ISNUMBER(L2135),ABS(L2135-(K2135-IF(ISNUMBER(N2135),N2135,0)-IF(ISNUMBER(O2135),O2135,0)+IF(ISNUMBER(P2135),P2135,0)))&lt;=Summary!$B$2),"Passes using beginning_balance - PreV_ETB differs from beginning_balance",IF(AND(ISNUMBER(O2135),O2135&lt;0,ABS(L2135-(Q2135-IF(ISNUMBER(N2135),N2135,0)+IF(ISNUMBER(P2135),P2135,0)))&lt;=Summary!$B$2),"Negative realized loss not applied - check sign",IF(R2135&lt;0,"Principal paid exceeds prior balance",IF(AND(L2135&gt;Q2135,NOT(ISNUMBER(P2135))),"Balance increased but no Deferred_interest reported",IF(L2135&gt;R2135,"Reported balance higher than expected (missing increase/OC build)","Reported balance lower than expected (missing decrease)"))))),""))</f>
        <v/>
      </c>
    </row>
    <row r="2136" customFormat="false" ht="15" hidden="false" customHeight="false" outlineLevel="0" collapsed="false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9"/>
      <c r="L2136" s="9"/>
      <c r="M2136" s="9"/>
      <c r="N2136" s="9"/>
      <c r="O2136" s="9"/>
      <c r="P2136" s="9"/>
      <c r="Q2136" s="9"/>
      <c r="R2136" s="9" t="str">
        <f aca="false">IF(AND(A2136&lt;&gt;"",ISNUMBER(Q2136),ISNUMBER(L2136)),ROUND(Q2136-IF(ISNUMBER(N2136),N2136,0)-IF(ISNUMBER(O2136),O2136,0)+IF(ISNUMBER(P2136),P2136,0),2),"")</f>
        <v/>
      </c>
      <c r="S2136" s="9" t="str">
        <f aca="false">IF(R2136="","",ROUND(L2136-R2136,2))</f>
        <v/>
      </c>
      <c r="T2136" s="8" t="str">
        <f aca="false">IF(A2136="","",IF(S2136="","BYPASS",IF(ABS(S2136)&lt;=Summary!$B$2,"PASS","FAIL")))</f>
        <v/>
      </c>
      <c r="U2136" s="8" t="str">
        <f aca="false">IF(T2136="BYPASS",IF(NOT(ISNUMBER(Q2136)),"PreV_ETB missing","End_tr_balance missing"),IF(T2136="FAIL",IF(AND(ISNUMBER(K2136),ISNUMBER(L2136),ABS(L2136-(K2136-IF(ISNUMBER(N2136),N2136,0)-IF(ISNUMBER(O2136),O2136,0)+IF(ISNUMBER(P2136),P2136,0)))&lt;=Summary!$B$2),"Passes using beginning_balance - PreV_ETB differs from beginning_balance",IF(AND(ISNUMBER(O2136),O2136&lt;0,ABS(L2136-(Q2136-IF(ISNUMBER(N2136),N2136,0)+IF(ISNUMBER(P2136),P2136,0)))&lt;=Summary!$B$2),"Negative realized loss not applied - check sign",IF(R2136&lt;0,"Principal paid exceeds prior balance",IF(AND(L2136&gt;Q2136,NOT(ISNUMBER(P2136))),"Balance increased but no Deferred_interest reported",IF(L2136&gt;R2136,"Reported balance higher than expected (missing increase/OC build)","Reported balance lower than expected (missing decrease)"))))),""))</f>
        <v/>
      </c>
    </row>
    <row r="2137" customFormat="false" ht="15" hidden="false" customHeight="false" outlineLevel="0" collapsed="false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9"/>
      <c r="L2137" s="9"/>
      <c r="M2137" s="9"/>
      <c r="N2137" s="9"/>
      <c r="O2137" s="9"/>
      <c r="P2137" s="9"/>
      <c r="Q2137" s="9"/>
      <c r="R2137" s="9" t="str">
        <f aca="false">IF(AND(A2137&lt;&gt;"",ISNUMBER(Q2137),ISNUMBER(L2137)),ROUND(Q2137-IF(ISNUMBER(N2137),N2137,0)-IF(ISNUMBER(O2137),O2137,0)+IF(ISNUMBER(P2137),P2137,0),2),"")</f>
        <v/>
      </c>
      <c r="S2137" s="9" t="str">
        <f aca="false">IF(R2137="","",ROUND(L2137-R2137,2))</f>
        <v/>
      </c>
      <c r="T2137" s="8" t="str">
        <f aca="false">IF(A2137="","",IF(S2137="","BYPASS",IF(ABS(S2137)&lt;=Summary!$B$2,"PASS","FAIL")))</f>
        <v/>
      </c>
      <c r="U2137" s="8" t="str">
        <f aca="false">IF(T2137="BYPASS",IF(NOT(ISNUMBER(Q2137)),"PreV_ETB missing","End_tr_balance missing"),IF(T2137="FAIL",IF(AND(ISNUMBER(K2137),ISNUMBER(L2137),ABS(L2137-(K2137-IF(ISNUMBER(N2137),N2137,0)-IF(ISNUMBER(O2137),O2137,0)+IF(ISNUMBER(P2137),P2137,0)))&lt;=Summary!$B$2),"Passes using beginning_balance - PreV_ETB differs from beginning_balance",IF(AND(ISNUMBER(O2137),O2137&lt;0,ABS(L2137-(Q2137-IF(ISNUMBER(N2137),N2137,0)+IF(ISNUMBER(P2137),P2137,0)))&lt;=Summary!$B$2),"Negative realized loss not applied - check sign",IF(R2137&lt;0,"Principal paid exceeds prior balance",IF(AND(L2137&gt;Q2137,NOT(ISNUMBER(P2137))),"Balance increased but no Deferred_interest reported",IF(L2137&gt;R2137,"Reported balance higher than expected (missing increase/OC build)","Reported balance lower than expected (missing decrease)"))))),""))</f>
        <v/>
      </c>
    </row>
    <row r="2138" customFormat="false" ht="15" hidden="false" customHeight="false" outlineLevel="0" collapsed="false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9"/>
      <c r="L2138" s="9"/>
      <c r="M2138" s="9"/>
      <c r="N2138" s="9"/>
      <c r="O2138" s="9"/>
      <c r="P2138" s="9"/>
      <c r="Q2138" s="9"/>
      <c r="R2138" s="9" t="str">
        <f aca="false">IF(AND(A2138&lt;&gt;"",ISNUMBER(Q2138),ISNUMBER(L2138)),ROUND(Q2138-IF(ISNUMBER(N2138),N2138,0)-IF(ISNUMBER(O2138),O2138,0)+IF(ISNUMBER(P2138),P2138,0),2),"")</f>
        <v/>
      </c>
      <c r="S2138" s="9" t="str">
        <f aca="false">IF(R2138="","",ROUND(L2138-R2138,2))</f>
        <v/>
      </c>
      <c r="T2138" s="8" t="str">
        <f aca="false">IF(A2138="","",IF(S2138="","BYPASS",IF(ABS(S2138)&lt;=Summary!$B$2,"PASS","FAIL")))</f>
        <v/>
      </c>
      <c r="U2138" s="8" t="str">
        <f aca="false">IF(T2138="BYPASS",IF(NOT(ISNUMBER(Q2138)),"PreV_ETB missing","End_tr_balance missing"),IF(T2138="FAIL",IF(AND(ISNUMBER(K2138),ISNUMBER(L2138),ABS(L2138-(K2138-IF(ISNUMBER(N2138),N2138,0)-IF(ISNUMBER(O2138),O2138,0)+IF(ISNUMBER(P2138),P2138,0)))&lt;=Summary!$B$2),"Passes using beginning_balance - PreV_ETB differs from beginning_balance",IF(AND(ISNUMBER(O2138),O2138&lt;0,ABS(L2138-(Q2138-IF(ISNUMBER(N2138),N2138,0)+IF(ISNUMBER(P2138),P2138,0)))&lt;=Summary!$B$2),"Negative realized loss not applied - check sign",IF(R2138&lt;0,"Principal paid exceeds prior balance",IF(AND(L2138&gt;Q2138,NOT(ISNUMBER(P2138))),"Balance increased but no Deferred_interest reported",IF(L2138&gt;R2138,"Reported balance higher than expected (missing increase/OC build)","Reported balance lower than expected (missing decrease)"))))),""))</f>
        <v/>
      </c>
    </row>
    <row r="2139" customFormat="false" ht="15" hidden="false" customHeight="false" outlineLevel="0" collapsed="false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9"/>
      <c r="L2139" s="9"/>
      <c r="M2139" s="9"/>
      <c r="N2139" s="9"/>
      <c r="O2139" s="9"/>
      <c r="P2139" s="9"/>
      <c r="Q2139" s="9"/>
      <c r="R2139" s="9" t="str">
        <f aca="false">IF(AND(A2139&lt;&gt;"",ISNUMBER(Q2139),ISNUMBER(L2139)),ROUND(Q2139-IF(ISNUMBER(N2139),N2139,0)-IF(ISNUMBER(O2139),O2139,0)+IF(ISNUMBER(P2139),P2139,0),2),"")</f>
        <v/>
      </c>
      <c r="S2139" s="9" t="str">
        <f aca="false">IF(R2139="","",ROUND(L2139-R2139,2))</f>
        <v/>
      </c>
      <c r="T2139" s="8" t="str">
        <f aca="false">IF(A2139="","",IF(S2139="","BYPASS",IF(ABS(S2139)&lt;=Summary!$B$2,"PASS","FAIL")))</f>
        <v/>
      </c>
      <c r="U2139" s="8" t="str">
        <f aca="false">IF(T2139="BYPASS",IF(NOT(ISNUMBER(Q2139)),"PreV_ETB missing","End_tr_balance missing"),IF(T2139="FAIL",IF(AND(ISNUMBER(K2139),ISNUMBER(L2139),ABS(L2139-(K2139-IF(ISNUMBER(N2139),N2139,0)-IF(ISNUMBER(O2139),O2139,0)+IF(ISNUMBER(P2139),P2139,0)))&lt;=Summary!$B$2),"Passes using beginning_balance - PreV_ETB differs from beginning_balance",IF(AND(ISNUMBER(O2139),O2139&lt;0,ABS(L2139-(Q2139-IF(ISNUMBER(N2139),N2139,0)+IF(ISNUMBER(P2139),P2139,0)))&lt;=Summary!$B$2),"Negative realized loss not applied - check sign",IF(R2139&lt;0,"Principal paid exceeds prior balance",IF(AND(L2139&gt;Q2139,NOT(ISNUMBER(P2139))),"Balance increased but no Deferred_interest reported",IF(L2139&gt;R2139,"Reported balance higher than expected (missing increase/OC build)","Reported balance lower than expected (missing decrease)"))))),""))</f>
        <v/>
      </c>
    </row>
    <row r="2140" customFormat="false" ht="15" hidden="false" customHeight="false" outlineLevel="0" collapsed="false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9"/>
      <c r="L2140" s="9"/>
      <c r="M2140" s="9"/>
      <c r="N2140" s="9"/>
      <c r="O2140" s="9"/>
      <c r="P2140" s="9"/>
      <c r="Q2140" s="9"/>
      <c r="R2140" s="9" t="str">
        <f aca="false">IF(AND(A2140&lt;&gt;"",ISNUMBER(Q2140),ISNUMBER(L2140)),ROUND(Q2140-IF(ISNUMBER(N2140),N2140,0)-IF(ISNUMBER(O2140),O2140,0)+IF(ISNUMBER(P2140),P2140,0),2),"")</f>
        <v/>
      </c>
      <c r="S2140" s="9" t="str">
        <f aca="false">IF(R2140="","",ROUND(L2140-R2140,2))</f>
        <v/>
      </c>
      <c r="T2140" s="8" t="str">
        <f aca="false">IF(A2140="","",IF(S2140="","BYPASS",IF(ABS(S2140)&lt;=Summary!$B$2,"PASS","FAIL")))</f>
        <v/>
      </c>
      <c r="U2140" s="8" t="str">
        <f aca="false">IF(T2140="BYPASS",IF(NOT(ISNUMBER(Q2140)),"PreV_ETB missing","End_tr_balance missing"),IF(T2140="FAIL",IF(AND(ISNUMBER(K2140),ISNUMBER(L2140),ABS(L2140-(K2140-IF(ISNUMBER(N2140),N2140,0)-IF(ISNUMBER(O2140),O2140,0)+IF(ISNUMBER(P2140),P2140,0)))&lt;=Summary!$B$2),"Passes using beginning_balance - PreV_ETB differs from beginning_balance",IF(AND(ISNUMBER(O2140),O2140&lt;0,ABS(L2140-(Q2140-IF(ISNUMBER(N2140),N2140,0)+IF(ISNUMBER(P2140),P2140,0)))&lt;=Summary!$B$2),"Negative realized loss not applied - check sign",IF(R2140&lt;0,"Principal paid exceeds prior balance",IF(AND(L2140&gt;Q2140,NOT(ISNUMBER(P2140))),"Balance increased but no Deferred_interest reported",IF(L2140&gt;R2140,"Reported balance higher than expected (missing increase/OC build)","Reported balance lower than expected (missing decrease)"))))),""))</f>
        <v/>
      </c>
    </row>
    <row r="2141" customFormat="false" ht="15" hidden="false" customHeight="false" outlineLevel="0" collapsed="false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9"/>
      <c r="L2141" s="9"/>
      <c r="M2141" s="9"/>
      <c r="N2141" s="9"/>
      <c r="O2141" s="9"/>
      <c r="P2141" s="9"/>
      <c r="Q2141" s="9"/>
      <c r="R2141" s="9" t="str">
        <f aca="false">IF(AND(A2141&lt;&gt;"",ISNUMBER(Q2141),ISNUMBER(L2141)),ROUND(Q2141-IF(ISNUMBER(N2141),N2141,0)-IF(ISNUMBER(O2141),O2141,0)+IF(ISNUMBER(P2141),P2141,0),2),"")</f>
        <v/>
      </c>
      <c r="S2141" s="9" t="str">
        <f aca="false">IF(R2141="","",ROUND(L2141-R2141,2))</f>
        <v/>
      </c>
      <c r="T2141" s="8" t="str">
        <f aca="false">IF(A2141="","",IF(S2141="","BYPASS",IF(ABS(S2141)&lt;=Summary!$B$2,"PASS","FAIL")))</f>
        <v/>
      </c>
      <c r="U2141" s="8" t="str">
        <f aca="false">IF(T2141="BYPASS",IF(NOT(ISNUMBER(Q2141)),"PreV_ETB missing","End_tr_balance missing"),IF(T2141="FAIL",IF(AND(ISNUMBER(K2141),ISNUMBER(L2141),ABS(L2141-(K2141-IF(ISNUMBER(N2141),N2141,0)-IF(ISNUMBER(O2141),O2141,0)+IF(ISNUMBER(P2141),P2141,0)))&lt;=Summary!$B$2),"Passes using beginning_balance - PreV_ETB differs from beginning_balance",IF(AND(ISNUMBER(O2141),O2141&lt;0,ABS(L2141-(Q2141-IF(ISNUMBER(N2141),N2141,0)+IF(ISNUMBER(P2141),P2141,0)))&lt;=Summary!$B$2),"Negative realized loss not applied - check sign",IF(R2141&lt;0,"Principal paid exceeds prior balance",IF(AND(L2141&gt;Q2141,NOT(ISNUMBER(P2141))),"Balance increased but no Deferred_interest reported",IF(L2141&gt;R2141,"Reported balance higher than expected (missing increase/OC build)","Reported balance lower than expected (missing decrease)"))))),""))</f>
        <v/>
      </c>
    </row>
    <row r="2142" customFormat="false" ht="15" hidden="false" customHeight="false" outlineLevel="0" collapsed="false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9"/>
      <c r="L2142" s="9"/>
      <c r="M2142" s="9"/>
      <c r="N2142" s="9"/>
      <c r="O2142" s="9"/>
      <c r="P2142" s="9"/>
      <c r="Q2142" s="9"/>
      <c r="R2142" s="9" t="str">
        <f aca="false">IF(AND(A2142&lt;&gt;"",ISNUMBER(Q2142),ISNUMBER(L2142)),ROUND(Q2142-IF(ISNUMBER(N2142),N2142,0)-IF(ISNUMBER(O2142),O2142,0)+IF(ISNUMBER(P2142),P2142,0),2),"")</f>
        <v/>
      </c>
      <c r="S2142" s="9" t="str">
        <f aca="false">IF(R2142="","",ROUND(L2142-R2142,2))</f>
        <v/>
      </c>
      <c r="T2142" s="8" t="str">
        <f aca="false">IF(A2142="","",IF(S2142="","BYPASS",IF(ABS(S2142)&lt;=Summary!$B$2,"PASS","FAIL")))</f>
        <v/>
      </c>
      <c r="U2142" s="8" t="str">
        <f aca="false">IF(T2142="BYPASS",IF(NOT(ISNUMBER(Q2142)),"PreV_ETB missing","End_tr_balance missing"),IF(T2142="FAIL",IF(AND(ISNUMBER(K2142),ISNUMBER(L2142),ABS(L2142-(K2142-IF(ISNUMBER(N2142),N2142,0)-IF(ISNUMBER(O2142),O2142,0)+IF(ISNUMBER(P2142),P2142,0)))&lt;=Summary!$B$2),"Passes using beginning_balance - PreV_ETB differs from beginning_balance",IF(AND(ISNUMBER(O2142),O2142&lt;0,ABS(L2142-(Q2142-IF(ISNUMBER(N2142),N2142,0)+IF(ISNUMBER(P2142),P2142,0)))&lt;=Summary!$B$2),"Negative realized loss not applied - check sign",IF(R2142&lt;0,"Principal paid exceeds prior balance",IF(AND(L2142&gt;Q2142,NOT(ISNUMBER(P2142))),"Balance increased but no Deferred_interest reported",IF(L2142&gt;R2142,"Reported balance higher than expected (missing increase/OC build)","Reported balance lower than expected (missing decrease)"))))),""))</f>
        <v/>
      </c>
    </row>
    <row r="2143" customFormat="false" ht="15" hidden="false" customHeight="false" outlineLevel="0" collapsed="false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9"/>
      <c r="L2143" s="9"/>
      <c r="M2143" s="9"/>
      <c r="N2143" s="9"/>
      <c r="O2143" s="9"/>
      <c r="P2143" s="9"/>
      <c r="Q2143" s="9"/>
      <c r="R2143" s="9" t="str">
        <f aca="false">IF(AND(A2143&lt;&gt;"",ISNUMBER(Q2143),ISNUMBER(L2143)),ROUND(Q2143-IF(ISNUMBER(N2143),N2143,0)-IF(ISNUMBER(O2143),O2143,0)+IF(ISNUMBER(P2143),P2143,0),2),"")</f>
        <v/>
      </c>
      <c r="S2143" s="9" t="str">
        <f aca="false">IF(R2143="","",ROUND(L2143-R2143,2))</f>
        <v/>
      </c>
      <c r="T2143" s="8" t="str">
        <f aca="false">IF(A2143="","",IF(S2143="","BYPASS",IF(ABS(S2143)&lt;=Summary!$B$2,"PASS","FAIL")))</f>
        <v/>
      </c>
      <c r="U2143" s="8" t="str">
        <f aca="false">IF(T2143="BYPASS",IF(NOT(ISNUMBER(Q2143)),"PreV_ETB missing","End_tr_balance missing"),IF(T2143="FAIL",IF(AND(ISNUMBER(K2143),ISNUMBER(L2143),ABS(L2143-(K2143-IF(ISNUMBER(N2143),N2143,0)-IF(ISNUMBER(O2143),O2143,0)+IF(ISNUMBER(P2143),P2143,0)))&lt;=Summary!$B$2),"Passes using beginning_balance - PreV_ETB differs from beginning_balance",IF(AND(ISNUMBER(O2143),O2143&lt;0,ABS(L2143-(Q2143-IF(ISNUMBER(N2143),N2143,0)+IF(ISNUMBER(P2143),P2143,0)))&lt;=Summary!$B$2),"Negative realized loss not applied - check sign",IF(R2143&lt;0,"Principal paid exceeds prior balance",IF(AND(L2143&gt;Q2143,NOT(ISNUMBER(P2143))),"Balance increased but no Deferred_interest reported",IF(L2143&gt;R2143,"Reported balance higher than expected (missing increase/OC build)","Reported balance lower than expected (missing decrease)"))))),""))</f>
        <v/>
      </c>
    </row>
    <row r="2144" customFormat="false" ht="15" hidden="false" customHeight="false" outlineLevel="0" collapsed="false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9"/>
      <c r="L2144" s="9"/>
      <c r="M2144" s="9"/>
      <c r="N2144" s="9"/>
      <c r="O2144" s="9"/>
      <c r="P2144" s="9"/>
      <c r="Q2144" s="9"/>
      <c r="R2144" s="9" t="str">
        <f aca="false">IF(AND(A2144&lt;&gt;"",ISNUMBER(Q2144),ISNUMBER(L2144)),ROUND(Q2144-IF(ISNUMBER(N2144),N2144,0)-IF(ISNUMBER(O2144),O2144,0)+IF(ISNUMBER(P2144),P2144,0),2),"")</f>
        <v/>
      </c>
      <c r="S2144" s="9" t="str">
        <f aca="false">IF(R2144="","",ROUND(L2144-R2144,2))</f>
        <v/>
      </c>
      <c r="T2144" s="8" t="str">
        <f aca="false">IF(A2144="","",IF(S2144="","BYPASS",IF(ABS(S2144)&lt;=Summary!$B$2,"PASS","FAIL")))</f>
        <v/>
      </c>
      <c r="U2144" s="8" t="str">
        <f aca="false">IF(T2144="BYPASS",IF(NOT(ISNUMBER(Q2144)),"PreV_ETB missing","End_tr_balance missing"),IF(T2144="FAIL",IF(AND(ISNUMBER(K2144),ISNUMBER(L2144),ABS(L2144-(K2144-IF(ISNUMBER(N2144),N2144,0)-IF(ISNUMBER(O2144),O2144,0)+IF(ISNUMBER(P2144),P2144,0)))&lt;=Summary!$B$2),"Passes using beginning_balance - PreV_ETB differs from beginning_balance",IF(AND(ISNUMBER(O2144),O2144&lt;0,ABS(L2144-(Q2144-IF(ISNUMBER(N2144),N2144,0)+IF(ISNUMBER(P2144),P2144,0)))&lt;=Summary!$B$2),"Negative realized loss not applied - check sign",IF(R2144&lt;0,"Principal paid exceeds prior balance",IF(AND(L2144&gt;Q2144,NOT(ISNUMBER(P2144))),"Balance increased but no Deferred_interest reported",IF(L2144&gt;R2144,"Reported balance higher than expected (missing increase/OC build)","Reported balance lower than expected (missing decrease)"))))),""))</f>
        <v/>
      </c>
    </row>
    <row r="2145" customFormat="false" ht="15" hidden="false" customHeight="false" outlineLevel="0" collapsed="false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9"/>
      <c r="L2145" s="9"/>
      <c r="M2145" s="9"/>
      <c r="N2145" s="9"/>
      <c r="O2145" s="9"/>
      <c r="P2145" s="9"/>
      <c r="Q2145" s="9"/>
      <c r="R2145" s="9" t="str">
        <f aca="false">IF(AND(A2145&lt;&gt;"",ISNUMBER(Q2145),ISNUMBER(L2145)),ROUND(Q2145-IF(ISNUMBER(N2145),N2145,0)-IF(ISNUMBER(O2145),O2145,0)+IF(ISNUMBER(P2145),P2145,0),2),"")</f>
        <v/>
      </c>
      <c r="S2145" s="9" t="str">
        <f aca="false">IF(R2145="","",ROUND(L2145-R2145,2))</f>
        <v/>
      </c>
      <c r="T2145" s="8" t="str">
        <f aca="false">IF(A2145="","",IF(S2145="","BYPASS",IF(ABS(S2145)&lt;=Summary!$B$2,"PASS","FAIL")))</f>
        <v/>
      </c>
      <c r="U2145" s="8" t="str">
        <f aca="false">IF(T2145="BYPASS",IF(NOT(ISNUMBER(Q2145)),"PreV_ETB missing","End_tr_balance missing"),IF(T2145="FAIL",IF(AND(ISNUMBER(K2145),ISNUMBER(L2145),ABS(L2145-(K2145-IF(ISNUMBER(N2145),N2145,0)-IF(ISNUMBER(O2145),O2145,0)+IF(ISNUMBER(P2145),P2145,0)))&lt;=Summary!$B$2),"Passes using beginning_balance - PreV_ETB differs from beginning_balance",IF(AND(ISNUMBER(O2145),O2145&lt;0,ABS(L2145-(Q2145-IF(ISNUMBER(N2145),N2145,0)+IF(ISNUMBER(P2145),P2145,0)))&lt;=Summary!$B$2),"Negative realized loss not applied - check sign",IF(R2145&lt;0,"Principal paid exceeds prior balance",IF(AND(L2145&gt;Q2145,NOT(ISNUMBER(P2145))),"Balance increased but no Deferred_interest reported",IF(L2145&gt;R2145,"Reported balance higher than expected (missing increase/OC build)","Reported balance lower than expected (missing decrease)"))))),""))</f>
        <v/>
      </c>
    </row>
    <row r="2146" customFormat="false" ht="15" hidden="false" customHeight="false" outlineLevel="0" collapsed="false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9"/>
      <c r="L2146" s="9"/>
      <c r="M2146" s="9"/>
      <c r="N2146" s="9"/>
      <c r="O2146" s="9"/>
      <c r="P2146" s="9"/>
      <c r="Q2146" s="9"/>
      <c r="R2146" s="9" t="str">
        <f aca="false">IF(AND(A2146&lt;&gt;"",ISNUMBER(Q2146),ISNUMBER(L2146)),ROUND(Q2146-IF(ISNUMBER(N2146),N2146,0)-IF(ISNUMBER(O2146),O2146,0)+IF(ISNUMBER(P2146),P2146,0),2),"")</f>
        <v/>
      </c>
      <c r="S2146" s="9" t="str">
        <f aca="false">IF(R2146="","",ROUND(L2146-R2146,2))</f>
        <v/>
      </c>
      <c r="T2146" s="8" t="str">
        <f aca="false">IF(A2146="","",IF(S2146="","BYPASS",IF(ABS(S2146)&lt;=Summary!$B$2,"PASS","FAIL")))</f>
        <v/>
      </c>
      <c r="U2146" s="8" t="str">
        <f aca="false">IF(T2146="BYPASS",IF(NOT(ISNUMBER(Q2146)),"PreV_ETB missing","End_tr_balance missing"),IF(T2146="FAIL",IF(AND(ISNUMBER(K2146),ISNUMBER(L2146),ABS(L2146-(K2146-IF(ISNUMBER(N2146),N2146,0)-IF(ISNUMBER(O2146),O2146,0)+IF(ISNUMBER(P2146),P2146,0)))&lt;=Summary!$B$2),"Passes using beginning_balance - PreV_ETB differs from beginning_balance",IF(AND(ISNUMBER(O2146),O2146&lt;0,ABS(L2146-(Q2146-IF(ISNUMBER(N2146),N2146,0)+IF(ISNUMBER(P2146),P2146,0)))&lt;=Summary!$B$2),"Negative realized loss not applied - check sign",IF(R2146&lt;0,"Principal paid exceeds prior balance",IF(AND(L2146&gt;Q2146,NOT(ISNUMBER(P2146))),"Balance increased but no Deferred_interest reported",IF(L2146&gt;R2146,"Reported balance higher than expected (missing increase/OC build)","Reported balance lower than expected (missing decrease)"))))),""))</f>
        <v/>
      </c>
    </row>
    <row r="2147" customFormat="false" ht="15" hidden="false" customHeight="false" outlineLevel="0" collapsed="false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9"/>
      <c r="L2147" s="9"/>
      <c r="M2147" s="9"/>
      <c r="N2147" s="9"/>
      <c r="O2147" s="9"/>
      <c r="P2147" s="9"/>
      <c r="Q2147" s="9"/>
      <c r="R2147" s="9" t="str">
        <f aca="false">IF(AND(A2147&lt;&gt;"",ISNUMBER(Q2147),ISNUMBER(L2147)),ROUND(Q2147-IF(ISNUMBER(N2147),N2147,0)-IF(ISNUMBER(O2147),O2147,0)+IF(ISNUMBER(P2147),P2147,0),2),"")</f>
        <v/>
      </c>
      <c r="S2147" s="9" t="str">
        <f aca="false">IF(R2147="","",ROUND(L2147-R2147,2))</f>
        <v/>
      </c>
      <c r="T2147" s="8" t="str">
        <f aca="false">IF(A2147="","",IF(S2147="","BYPASS",IF(ABS(S2147)&lt;=Summary!$B$2,"PASS","FAIL")))</f>
        <v/>
      </c>
      <c r="U2147" s="8" t="str">
        <f aca="false">IF(T2147="BYPASS",IF(NOT(ISNUMBER(Q2147)),"PreV_ETB missing","End_tr_balance missing"),IF(T2147="FAIL",IF(AND(ISNUMBER(K2147),ISNUMBER(L2147),ABS(L2147-(K2147-IF(ISNUMBER(N2147),N2147,0)-IF(ISNUMBER(O2147),O2147,0)+IF(ISNUMBER(P2147),P2147,0)))&lt;=Summary!$B$2),"Passes using beginning_balance - PreV_ETB differs from beginning_balance",IF(AND(ISNUMBER(O2147),O2147&lt;0,ABS(L2147-(Q2147-IF(ISNUMBER(N2147),N2147,0)+IF(ISNUMBER(P2147),P2147,0)))&lt;=Summary!$B$2),"Negative realized loss not applied - check sign",IF(R2147&lt;0,"Principal paid exceeds prior balance",IF(AND(L2147&gt;Q2147,NOT(ISNUMBER(P2147))),"Balance increased but no Deferred_interest reported",IF(L2147&gt;R2147,"Reported balance higher than expected (missing increase/OC build)","Reported balance lower than expected (missing decrease)"))))),""))</f>
        <v/>
      </c>
    </row>
    <row r="2148" customFormat="false" ht="15" hidden="false" customHeight="false" outlineLevel="0" collapsed="false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9"/>
      <c r="L2148" s="9"/>
      <c r="M2148" s="9"/>
      <c r="N2148" s="9"/>
      <c r="O2148" s="9"/>
      <c r="P2148" s="9"/>
      <c r="Q2148" s="9"/>
      <c r="R2148" s="9" t="str">
        <f aca="false">IF(AND(A2148&lt;&gt;"",ISNUMBER(Q2148),ISNUMBER(L2148)),ROUND(Q2148-IF(ISNUMBER(N2148),N2148,0)-IF(ISNUMBER(O2148),O2148,0)+IF(ISNUMBER(P2148),P2148,0),2),"")</f>
        <v/>
      </c>
      <c r="S2148" s="9" t="str">
        <f aca="false">IF(R2148="","",ROUND(L2148-R2148,2))</f>
        <v/>
      </c>
      <c r="T2148" s="8" t="str">
        <f aca="false">IF(A2148="","",IF(S2148="","BYPASS",IF(ABS(S2148)&lt;=Summary!$B$2,"PASS","FAIL")))</f>
        <v/>
      </c>
      <c r="U2148" s="8" t="str">
        <f aca="false">IF(T2148="BYPASS",IF(NOT(ISNUMBER(Q2148)),"PreV_ETB missing","End_tr_balance missing"),IF(T2148="FAIL",IF(AND(ISNUMBER(K2148),ISNUMBER(L2148),ABS(L2148-(K2148-IF(ISNUMBER(N2148),N2148,0)-IF(ISNUMBER(O2148),O2148,0)+IF(ISNUMBER(P2148),P2148,0)))&lt;=Summary!$B$2),"Passes using beginning_balance - PreV_ETB differs from beginning_balance",IF(AND(ISNUMBER(O2148),O2148&lt;0,ABS(L2148-(Q2148-IF(ISNUMBER(N2148),N2148,0)+IF(ISNUMBER(P2148),P2148,0)))&lt;=Summary!$B$2),"Negative realized loss not applied - check sign",IF(R2148&lt;0,"Principal paid exceeds prior balance",IF(AND(L2148&gt;Q2148,NOT(ISNUMBER(P2148))),"Balance increased but no Deferred_interest reported",IF(L2148&gt;R2148,"Reported balance higher than expected (missing increase/OC build)","Reported balance lower than expected (missing decrease)"))))),""))</f>
        <v/>
      </c>
    </row>
    <row r="2149" customFormat="false" ht="15" hidden="false" customHeight="false" outlineLevel="0" collapsed="false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9"/>
      <c r="L2149" s="9"/>
      <c r="M2149" s="9"/>
      <c r="N2149" s="9"/>
      <c r="O2149" s="9"/>
      <c r="P2149" s="9"/>
      <c r="Q2149" s="9"/>
      <c r="R2149" s="9" t="str">
        <f aca="false">IF(AND(A2149&lt;&gt;"",ISNUMBER(Q2149),ISNUMBER(L2149)),ROUND(Q2149-IF(ISNUMBER(N2149),N2149,0)-IF(ISNUMBER(O2149),O2149,0)+IF(ISNUMBER(P2149),P2149,0),2),"")</f>
        <v/>
      </c>
      <c r="S2149" s="9" t="str">
        <f aca="false">IF(R2149="","",ROUND(L2149-R2149,2))</f>
        <v/>
      </c>
      <c r="T2149" s="8" t="str">
        <f aca="false">IF(A2149="","",IF(S2149="","BYPASS",IF(ABS(S2149)&lt;=Summary!$B$2,"PASS","FAIL")))</f>
        <v/>
      </c>
      <c r="U2149" s="8" t="str">
        <f aca="false">IF(T2149="BYPASS",IF(NOT(ISNUMBER(Q2149)),"PreV_ETB missing","End_tr_balance missing"),IF(T2149="FAIL",IF(AND(ISNUMBER(K2149),ISNUMBER(L2149),ABS(L2149-(K2149-IF(ISNUMBER(N2149),N2149,0)-IF(ISNUMBER(O2149),O2149,0)+IF(ISNUMBER(P2149),P2149,0)))&lt;=Summary!$B$2),"Passes using beginning_balance - PreV_ETB differs from beginning_balance",IF(AND(ISNUMBER(O2149),O2149&lt;0,ABS(L2149-(Q2149-IF(ISNUMBER(N2149),N2149,0)+IF(ISNUMBER(P2149),P2149,0)))&lt;=Summary!$B$2),"Negative realized loss not applied - check sign",IF(R2149&lt;0,"Principal paid exceeds prior balance",IF(AND(L2149&gt;Q2149,NOT(ISNUMBER(P2149))),"Balance increased but no Deferred_interest reported",IF(L2149&gt;R2149,"Reported balance higher than expected (missing increase/OC build)","Reported balance lower than expected (missing decrease)"))))),""))</f>
        <v/>
      </c>
    </row>
    <row r="2150" customFormat="false" ht="15" hidden="false" customHeight="false" outlineLevel="0" collapsed="false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9"/>
      <c r="L2150" s="9"/>
      <c r="M2150" s="9"/>
      <c r="N2150" s="9"/>
      <c r="O2150" s="9"/>
      <c r="P2150" s="9"/>
      <c r="Q2150" s="9"/>
      <c r="R2150" s="9" t="str">
        <f aca="false">IF(AND(A2150&lt;&gt;"",ISNUMBER(Q2150),ISNUMBER(L2150)),ROUND(Q2150-IF(ISNUMBER(N2150),N2150,0)-IF(ISNUMBER(O2150),O2150,0)+IF(ISNUMBER(P2150),P2150,0),2),"")</f>
        <v/>
      </c>
      <c r="S2150" s="9" t="str">
        <f aca="false">IF(R2150="","",ROUND(L2150-R2150,2))</f>
        <v/>
      </c>
      <c r="T2150" s="8" t="str">
        <f aca="false">IF(A2150="","",IF(S2150="","BYPASS",IF(ABS(S2150)&lt;=Summary!$B$2,"PASS","FAIL")))</f>
        <v/>
      </c>
      <c r="U2150" s="8" t="str">
        <f aca="false">IF(T2150="BYPASS",IF(NOT(ISNUMBER(Q2150)),"PreV_ETB missing","End_tr_balance missing"),IF(T2150="FAIL",IF(AND(ISNUMBER(K2150),ISNUMBER(L2150),ABS(L2150-(K2150-IF(ISNUMBER(N2150),N2150,0)-IF(ISNUMBER(O2150),O2150,0)+IF(ISNUMBER(P2150),P2150,0)))&lt;=Summary!$B$2),"Passes using beginning_balance - PreV_ETB differs from beginning_balance",IF(AND(ISNUMBER(O2150),O2150&lt;0,ABS(L2150-(Q2150-IF(ISNUMBER(N2150),N2150,0)+IF(ISNUMBER(P2150),P2150,0)))&lt;=Summary!$B$2),"Negative realized loss not applied - check sign",IF(R2150&lt;0,"Principal paid exceeds prior balance",IF(AND(L2150&gt;Q2150,NOT(ISNUMBER(P2150))),"Balance increased but no Deferred_interest reported",IF(L2150&gt;R2150,"Reported balance higher than expected (missing increase/OC build)","Reported balance lower than expected (missing decrease)"))))),""))</f>
        <v/>
      </c>
    </row>
    <row r="2151" customFormat="false" ht="15" hidden="false" customHeight="false" outlineLevel="0" collapsed="false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9"/>
      <c r="L2151" s="9"/>
      <c r="M2151" s="9"/>
      <c r="N2151" s="9"/>
      <c r="O2151" s="9"/>
      <c r="P2151" s="9"/>
      <c r="Q2151" s="9"/>
      <c r="R2151" s="9" t="str">
        <f aca="false">IF(AND(A2151&lt;&gt;"",ISNUMBER(Q2151),ISNUMBER(L2151)),ROUND(Q2151-IF(ISNUMBER(N2151),N2151,0)-IF(ISNUMBER(O2151),O2151,0)+IF(ISNUMBER(P2151),P2151,0),2),"")</f>
        <v/>
      </c>
      <c r="S2151" s="9" t="str">
        <f aca="false">IF(R2151="","",ROUND(L2151-R2151,2))</f>
        <v/>
      </c>
      <c r="T2151" s="8" t="str">
        <f aca="false">IF(A2151="","",IF(S2151="","BYPASS",IF(ABS(S2151)&lt;=Summary!$B$2,"PASS","FAIL")))</f>
        <v/>
      </c>
      <c r="U2151" s="8" t="str">
        <f aca="false">IF(T2151="BYPASS",IF(NOT(ISNUMBER(Q2151)),"PreV_ETB missing","End_tr_balance missing"),IF(T2151="FAIL",IF(AND(ISNUMBER(K2151),ISNUMBER(L2151),ABS(L2151-(K2151-IF(ISNUMBER(N2151),N2151,0)-IF(ISNUMBER(O2151),O2151,0)+IF(ISNUMBER(P2151),P2151,0)))&lt;=Summary!$B$2),"Passes using beginning_balance - PreV_ETB differs from beginning_balance",IF(AND(ISNUMBER(O2151),O2151&lt;0,ABS(L2151-(Q2151-IF(ISNUMBER(N2151),N2151,0)+IF(ISNUMBER(P2151),P2151,0)))&lt;=Summary!$B$2),"Negative realized loss not applied - check sign",IF(R2151&lt;0,"Principal paid exceeds prior balance",IF(AND(L2151&gt;Q2151,NOT(ISNUMBER(P2151))),"Balance increased but no Deferred_interest reported",IF(L2151&gt;R2151,"Reported balance higher than expected (missing increase/OC build)","Reported balance lower than expected (missing decrease)"))))),""))</f>
        <v/>
      </c>
    </row>
    <row r="2152" customFormat="false" ht="15" hidden="false" customHeight="false" outlineLevel="0" collapsed="false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9"/>
      <c r="L2152" s="9"/>
      <c r="M2152" s="9"/>
      <c r="N2152" s="9"/>
      <c r="O2152" s="9"/>
      <c r="P2152" s="9"/>
      <c r="Q2152" s="9"/>
      <c r="R2152" s="9" t="str">
        <f aca="false">IF(AND(A2152&lt;&gt;"",ISNUMBER(Q2152),ISNUMBER(L2152)),ROUND(Q2152-IF(ISNUMBER(N2152),N2152,0)-IF(ISNUMBER(O2152),O2152,0)+IF(ISNUMBER(P2152),P2152,0),2),"")</f>
        <v/>
      </c>
      <c r="S2152" s="9" t="str">
        <f aca="false">IF(R2152="","",ROUND(L2152-R2152,2))</f>
        <v/>
      </c>
      <c r="T2152" s="8" t="str">
        <f aca="false">IF(A2152="","",IF(S2152="","BYPASS",IF(ABS(S2152)&lt;=Summary!$B$2,"PASS","FAIL")))</f>
        <v/>
      </c>
      <c r="U2152" s="8" t="str">
        <f aca="false">IF(T2152="BYPASS",IF(NOT(ISNUMBER(Q2152)),"PreV_ETB missing","End_tr_balance missing"),IF(T2152="FAIL",IF(AND(ISNUMBER(K2152),ISNUMBER(L2152),ABS(L2152-(K2152-IF(ISNUMBER(N2152),N2152,0)-IF(ISNUMBER(O2152),O2152,0)+IF(ISNUMBER(P2152),P2152,0)))&lt;=Summary!$B$2),"Passes using beginning_balance - PreV_ETB differs from beginning_balance",IF(AND(ISNUMBER(O2152),O2152&lt;0,ABS(L2152-(Q2152-IF(ISNUMBER(N2152),N2152,0)+IF(ISNUMBER(P2152),P2152,0)))&lt;=Summary!$B$2),"Negative realized loss not applied - check sign",IF(R2152&lt;0,"Principal paid exceeds prior balance",IF(AND(L2152&gt;Q2152,NOT(ISNUMBER(P2152))),"Balance increased but no Deferred_interest reported",IF(L2152&gt;R2152,"Reported balance higher than expected (missing increase/OC build)","Reported balance lower than expected (missing decrease)"))))),""))</f>
        <v/>
      </c>
    </row>
    <row r="2153" customFormat="false" ht="15" hidden="false" customHeight="false" outlineLevel="0" collapsed="false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9"/>
      <c r="L2153" s="9"/>
      <c r="M2153" s="9"/>
      <c r="N2153" s="9"/>
      <c r="O2153" s="9"/>
      <c r="P2153" s="9"/>
      <c r="Q2153" s="9"/>
      <c r="R2153" s="9" t="str">
        <f aca="false">IF(AND(A2153&lt;&gt;"",ISNUMBER(Q2153),ISNUMBER(L2153)),ROUND(Q2153-IF(ISNUMBER(N2153),N2153,0)-IF(ISNUMBER(O2153),O2153,0)+IF(ISNUMBER(P2153),P2153,0),2),"")</f>
        <v/>
      </c>
      <c r="S2153" s="9" t="str">
        <f aca="false">IF(R2153="","",ROUND(L2153-R2153,2))</f>
        <v/>
      </c>
      <c r="T2153" s="8" t="str">
        <f aca="false">IF(A2153="","",IF(S2153="","BYPASS",IF(ABS(S2153)&lt;=Summary!$B$2,"PASS","FAIL")))</f>
        <v/>
      </c>
      <c r="U2153" s="8" t="str">
        <f aca="false">IF(T2153="BYPASS",IF(NOT(ISNUMBER(Q2153)),"PreV_ETB missing","End_tr_balance missing"),IF(T2153="FAIL",IF(AND(ISNUMBER(K2153),ISNUMBER(L2153),ABS(L2153-(K2153-IF(ISNUMBER(N2153),N2153,0)-IF(ISNUMBER(O2153),O2153,0)+IF(ISNUMBER(P2153),P2153,0)))&lt;=Summary!$B$2),"Passes using beginning_balance - PreV_ETB differs from beginning_balance",IF(AND(ISNUMBER(O2153),O2153&lt;0,ABS(L2153-(Q2153-IF(ISNUMBER(N2153),N2153,0)+IF(ISNUMBER(P2153),P2153,0)))&lt;=Summary!$B$2),"Negative realized loss not applied - check sign",IF(R2153&lt;0,"Principal paid exceeds prior balance",IF(AND(L2153&gt;Q2153,NOT(ISNUMBER(P2153))),"Balance increased but no Deferred_interest reported",IF(L2153&gt;R2153,"Reported balance higher than expected (missing increase/OC build)","Reported balance lower than expected (missing decrease)"))))),""))</f>
        <v/>
      </c>
    </row>
    <row r="2154" customFormat="false" ht="15" hidden="false" customHeight="false" outlineLevel="0" collapsed="false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9"/>
      <c r="L2154" s="9"/>
      <c r="M2154" s="9"/>
      <c r="N2154" s="9"/>
      <c r="O2154" s="9"/>
      <c r="P2154" s="9"/>
      <c r="Q2154" s="9"/>
      <c r="R2154" s="9" t="str">
        <f aca="false">IF(AND(A2154&lt;&gt;"",ISNUMBER(Q2154),ISNUMBER(L2154)),ROUND(Q2154-IF(ISNUMBER(N2154),N2154,0)-IF(ISNUMBER(O2154),O2154,0)+IF(ISNUMBER(P2154),P2154,0),2),"")</f>
        <v/>
      </c>
      <c r="S2154" s="9" t="str">
        <f aca="false">IF(R2154="","",ROUND(L2154-R2154,2))</f>
        <v/>
      </c>
      <c r="T2154" s="8" t="str">
        <f aca="false">IF(A2154="","",IF(S2154="","BYPASS",IF(ABS(S2154)&lt;=Summary!$B$2,"PASS","FAIL")))</f>
        <v/>
      </c>
      <c r="U2154" s="8" t="str">
        <f aca="false">IF(T2154="BYPASS",IF(NOT(ISNUMBER(Q2154)),"PreV_ETB missing","End_tr_balance missing"),IF(T2154="FAIL",IF(AND(ISNUMBER(K2154),ISNUMBER(L2154),ABS(L2154-(K2154-IF(ISNUMBER(N2154),N2154,0)-IF(ISNUMBER(O2154),O2154,0)+IF(ISNUMBER(P2154),P2154,0)))&lt;=Summary!$B$2),"Passes using beginning_balance - PreV_ETB differs from beginning_balance",IF(AND(ISNUMBER(O2154),O2154&lt;0,ABS(L2154-(Q2154-IF(ISNUMBER(N2154),N2154,0)+IF(ISNUMBER(P2154),P2154,0)))&lt;=Summary!$B$2),"Negative realized loss not applied - check sign",IF(R2154&lt;0,"Principal paid exceeds prior balance",IF(AND(L2154&gt;Q2154,NOT(ISNUMBER(P2154))),"Balance increased but no Deferred_interest reported",IF(L2154&gt;R2154,"Reported balance higher than expected (missing increase/OC build)","Reported balance lower than expected (missing decrease)"))))),""))</f>
        <v/>
      </c>
    </row>
    <row r="2155" customFormat="false" ht="15" hidden="false" customHeight="false" outlineLevel="0" collapsed="false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9"/>
      <c r="L2155" s="9"/>
      <c r="M2155" s="9"/>
      <c r="N2155" s="9"/>
      <c r="O2155" s="9"/>
      <c r="P2155" s="9"/>
      <c r="Q2155" s="9"/>
      <c r="R2155" s="9" t="str">
        <f aca="false">IF(AND(A2155&lt;&gt;"",ISNUMBER(Q2155),ISNUMBER(L2155)),ROUND(Q2155-IF(ISNUMBER(N2155),N2155,0)-IF(ISNUMBER(O2155),O2155,0)+IF(ISNUMBER(P2155),P2155,0),2),"")</f>
        <v/>
      </c>
      <c r="S2155" s="9" t="str">
        <f aca="false">IF(R2155="","",ROUND(L2155-R2155,2))</f>
        <v/>
      </c>
      <c r="T2155" s="8" t="str">
        <f aca="false">IF(A2155="","",IF(S2155="","BYPASS",IF(ABS(S2155)&lt;=Summary!$B$2,"PASS","FAIL")))</f>
        <v/>
      </c>
      <c r="U2155" s="8" t="str">
        <f aca="false">IF(T2155="BYPASS",IF(NOT(ISNUMBER(Q2155)),"PreV_ETB missing","End_tr_balance missing"),IF(T2155="FAIL",IF(AND(ISNUMBER(K2155),ISNUMBER(L2155),ABS(L2155-(K2155-IF(ISNUMBER(N2155),N2155,0)-IF(ISNUMBER(O2155),O2155,0)+IF(ISNUMBER(P2155),P2155,0)))&lt;=Summary!$B$2),"Passes using beginning_balance - PreV_ETB differs from beginning_balance",IF(AND(ISNUMBER(O2155),O2155&lt;0,ABS(L2155-(Q2155-IF(ISNUMBER(N2155),N2155,0)+IF(ISNUMBER(P2155),P2155,0)))&lt;=Summary!$B$2),"Negative realized loss not applied - check sign",IF(R2155&lt;0,"Principal paid exceeds prior balance",IF(AND(L2155&gt;Q2155,NOT(ISNUMBER(P2155))),"Balance increased but no Deferred_interest reported",IF(L2155&gt;R2155,"Reported balance higher than expected (missing increase/OC build)","Reported balance lower than expected (missing decrease)"))))),""))</f>
        <v/>
      </c>
    </row>
    <row r="2156" customFormat="false" ht="15" hidden="false" customHeight="false" outlineLevel="0" collapsed="false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9"/>
      <c r="L2156" s="9"/>
      <c r="M2156" s="9"/>
      <c r="N2156" s="9"/>
      <c r="O2156" s="9"/>
      <c r="P2156" s="9"/>
      <c r="Q2156" s="9"/>
      <c r="R2156" s="9" t="str">
        <f aca="false">IF(AND(A2156&lt;&gt;"",ISNUMBER(Q2156),ISNUMBER(L2156)),ROUND(Q2156-IF(ISNUMBER(N2156),N2156,0)-IF(ISNUMBER(O2156),O2156,0)+IF(ISNUMBER(P2156),P2156,0),2),"")</f>
        <v/>
      </c>
      <c r="S2156" s="9" t="str">
        <f aca="false">IF(R2156="","",ROUND(L2156-R2156,2))</f>
        <v/>
      </c>
      <c r="T2156" s="8" t="str">
        <f aca="false">IF(A2156="","",IF(S2156="","BYPASS",IF(ABS(S2156)&lt;=Summary!$B$2,"PASS","FAIL")))</f>
        <v/>
      </c>
      <c r="U2156" s="8" t="str">
        <f aca="false">IF(T2156="BYPASS",IF(NOT(ISNUMBER(Q2156)),"PreV_ETB missing","End_tr_balance missing"),IF(T2156="FAIL",IF(AND(ISNUMBER(K2156),ISNUMBER(L2156),ABS(L2156-(K2156-IF(ISNUMBER(N2156),N2156,0)-IF(ISNUMBER(O2156),O2156,0)+IF(ISNUMBER(P2156),P2156,0)))&lt;=Summary!$B$2),"Passes using beginning_balance - PreV_ETB differs from beginning_balance",IF(AND(ISNUMBER(O2156),O2156&lt;0,ABS(L2156-(Q2156-IF(ISNUMBER(N2156),N2156,0)+IF(ISNUMBER(P2156),P2156,0)))&lt;=Summary!$B$2),"Negative realized loss not applied - check sign",IF(R2156&lt;0,"Principal paid exceeds prior balance",IF(AND(L2156&gt;Q2156,NOT(ISNUMBER(P2156))),"Balance increased but no Deferred_interest reported",IF(L2156&gt;R2156,"Reported balance higher than expected (missing increase/OC build)","Reported balance lower than expected (missing decrease)"))))),""))</f>
        <v/>
      </c>
    </row>
    <row r="2157" customFormat="false" ht="15" hidden="false" customHeight="false" outlineLevel="0" collapsed="false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9"/>
      <c r="L2157" s="9"/>
      <c r="M2157" s="9"/>
      <c r="N2157" s="9"/>
      <c r="O2157" s="9"/>
      <c r="P2157" s="9"/>
      <c r="Q2157" s="9"/>
      <c r="R2157" s="9" t="str">
        <f aca="false">IF(AND(A2157&lt;&gt;"",ISNUMBER(Q2157),ISNUMBER(L2157)),ROUND(Q2157-IF(ISNUMBER(N2157),N2157,0)-IF(ISNUMBER(O2157),O2157,0)+IF(ISNUMBER(P2157),P2157,0),2),"")</f>
        <v/>
      </c>
      <c r="S2157" s="9" t="str">
        <f aca="false">IF(R2157="","",ROUND(L2157-R2157,2))</f>
        <v/>
      </c>
      <c r="T2157" s="8" t="str">
        <f aca="false">IF(A2157="","",IF(S2157="","BYPASS",IF(ABS(S2157)&lt;=Summary!$B$2,"PASS","FAIL")))</f>
        <v/>
      </c>
      <c r="U2157" s="8" t="str">
        <f aca="false">IF(T2157="BYPASS",IF(NOT(ISNUMBER(Q2157)),"PreV_ETB missing","End_tr_balance missing"),IF(T2157="FAIL",IF(AND(ISNUMBER(K2157),ISNUMBER(L2157),ABS(L2157-(K2157-IF(ISNUMBER(N2157),N2157,0)-IF(ISNUMBER(O2157),O2157,0)+IF(ISNUMBER(P2157),P2157,0)))&lt;=Summary!$B$2),"Passes using beginning_balance - PreV_ETB differs from beginning_balance",IF(AND(ISNUMBER(O2157),O2157&lt;0,ABS(L2157-(Q2157-IF(ISNUMBER(N2157),N2157,0)+IF(ISNUMBER(P2157),P2157,0)))&lt;=Summary!$B$2),"Negative realized loss not applied - check sign",IF(R2157&lt;0,"Principal paid exceeds prior balance",IF(AND(L2157&gt;Q2157,NOT(ISNUMBER(P2157))),"Balance increased but no Deferred_interest reported",IF(L2157&gt;R2157,"Reported balance higher than expected (missing increase/OC build)","Reported balance lower than expected (missing decrease)"))))),""))</f>
        <v/>
      </c>
    </row>
    <row r="2158" customFormat="false" ht="15" hidden="false" customHeight="false" outlineLevel="0" collapsed="false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9"/>
      <c r="L2158" s="9"/>
      <c r="M2158" s="9"/>
      <c r="N2158" s="9"/>
      <c r="O2158" s="9"/>
      <c r="P2158" s="9"/>
      <c r="Q2158" s="9"/>
      <c r="R2158" s="9" t="str">
        <f aca="false">IF(AND(A2158&lt;&gt;"",ISNUMBER(Q2158),ISNUMBER(L2158)),ROUND(Q2158-IF(ISNUMBER(N2158),N2158,0)-IF(ISNUMBER(O2158),O2158,0)+IF(ISNUMBER(P2158),P2158,0),2),"")</f>
        <v/>
      </c>
      <c r="S2158" s="9" t="str">
        <f aca="false">IF(R2158="","",ROUND(L2158-R2158,2))</f>
        <v/>
      </c>
      <c r="T2158" s="8" t="str">
        <f aca="false">IF(A2158="","",IF(S2158="","BYPASS",IF(ABS(S2158)&lt;=Summary!$B$2,"PASS","FAIL")))</f>
        <v/>
      </c>
      <c r="U2158" s="8" t="str">
        <f aca="false">IF(T2158="BYPASS",IF(NOT(ISNUMBER(Q2158)),"PreV_ETB missing","End_tr_balance missing"),IF(T2158="FAIL",IF(AND(ISNUMBER(K2158),ISNUMBER(L2158),ABS(L2158-(K2158-IF(ISNUMBER(N2158),N2158,0)-IF(ISNUMBER(O2158),O2158,0)+IF(ISNUMBER(P2158),P2158,0)))&lt;=Summary!$B$2),"Passes using beginning_balance - PreV_ETB differs from beginning_balance",IF(AND(ISNUMBER(O2158),O2158&lt;0,ABS(L2158-(Q2158-IF(ISNUMBER(N2158),N2158,0)+IF(ISNUMBER(P2158),P2158,0)))&lt;=Summary!$B$2),"Negative realized loss not applied - check sign",IF(R2158&lt;0,"Principal paid exceeds prior balance",IF(AND(L2158&gt;Q2158,NOT(ISNUMBER(P2158))),"Balance increased but no Deferred_interest reported",IF(L2158&gt;R2158,"Reported balance higher than expected (missing increase/OC build)","Reported balance lower than expected (missing decrease)"))))),""))</f>
        <v/>
      </c>
    </row>
    <row r="2159" customFormat="false" ht="15" hidden="false" customHeight="false" outlineLevel="0" collapsed="false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9"/>
      <c r="L2159" s="9"/>
      <c r="M2159" s="9"/>
      <c r="N2159" s="9"/>
      <c r="O2159" s="9"/>
      <c r="P2159" s="9"/>
      <c r="Q2159" s="9"/>
      <c r="R2159" s="9" t="str">
        <f aca="false">IF(AND(A2159&lt;&gt;"",ISNUMBER(Q2159),ISNUMBER(L2159)),ROUND(Q2159-IF(ISNUMBER(N2159),N2159,0)-IF(ISNUMBER(O2159),O2159,0)+IF(ISNUMBER(P2159),P2159,0),2),"")</f>
        <v/>
      </c>
      <c r="S2159" s="9" t="str">
        <f aca="false">IF(R2159="","",ROUND(L2159-R2159,2))</f>
        <v/>
      </c>
      <c r="T2159" s="8" t="str">
        <f aca="false">IF(A2159="","",IF(S2159="","BYPASS",IF(ABS(S2159)&lt;=Summary!$B$2,"PASS","FAIL")))</f>
        <v/>
      </c>
      <c r="U2159" s="8" t="str">
        <f aca="false">IF(T2159="BYPASS",IF(NOT(ISNUMBER(Q2159)),"PreV_ETB missing","End_tr_balance missing"),IF(T2159="FAIL",IF(AND(ISNUMBER(K2159),ISNUMBER(L2159),ABS(L2159-(K2159-IF(ISNUMBER(N2159),N2159,0)-IF(ISNUMBER(O2159),O2159,0)+IF(ISNUMBER(P2159),P2159,0)))&lt;=Summary!$B$2),"Passes using beginning_balance - PreV_ETB differs from beginning_balance",IF(AND(ISNUMBER(O2159),O2159&lt;0,ABS(L2159-(Q2159-IF(ISNUMBER(N2159),N2159,0)+IF(ISNUMBER(P2159),P2159,0)))&lt;=Summary!$B$2),"Negative realized loss not applied - check sign",IF(R2159&lt;0,"Principal paid exceeds prior balance",IF(AND(L2159&gt;Q2159,NOT(ISNUMBER(P2159))),"Balance increased but no Deferred_interest reported",IF(L2159&gt;R2159,"Reported balance higher than expected (missing increase/OC build)","Reported balance lower than expected (missing decrease)"))))),""))</f>
        <v/>
      </c>
    </row>
    <row r="2160" customFormat="false" ht="15" hidden="false" customHeight="false" outlineLevel="0" collapsed="false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9"/>
      <c r="L2160" s="9"/>
      <c r="M2160" s="9"/>
      <c r="N2160" s="9"/>
      <c r="O2160" s="9"/>
      <c r="P2160" s="9"/>
      <c r="Q2160" s="9"/>
      <c r="R2160" s="9" t="str">
        <f aca="false">IF(AND(A2160&lt;&gt;"",ISNUMBER(Q2160),ISNUMBER(L2160)),ROUND(Q2160-IF(ISNUMBER(N2160),N2160,0)-IF(ISNUMBER(O2160),O2160,0)+IF(ISNUMBER(P2160),P2160,0),2),"")</f>
        <v/>
      </c>
      <c r="S2160" s="9" t="str">
        <f aca="false">IF(R2160="","",ROUND(L2160-R2160,2))</f>
        <v/>
      </c>
      <c r="T2160" s="8" t="str">
        <f aca="false">IF(A2160="","",IF(S2160="","BYPASS",IF(ABS(S2160)&lt;=Summary!$B$2,"PASS","FAIL")))</f>
        <v/>
      </c>
      <c r="U2160" s="8" t="str">
        <f aca="false">IF(T2160="BYPASS",IF(NOT(ISNUMBER(Q2160)),"PreV_ETB missing","End_tr_balance missing"),IF(T2160="FAIL",IF(AND(ISNUMBER(K2160),ISNUMBER(L2160),ABS(L2160-(K2160-IF(ISNUMBER(N2160),N2160,0)-IF(ISNUMBER(O2160),O2160,0)+IF(ISNUMBER(P2160),P2160,0)))&lt;=Summary!$B$2),"Passes using beginning_balance - PreV_ETB differs from beginning_balance",IF(AND(ISNUMBER(O2160),O2160&lt;0,ABS(L2160-(Q2160-IF(ISNUMBER(N2160),N2160,0)+IF(ISNUMBER(P2160),P2160,0)))&lt;=Summary!$B$2),"Negative realized loss not applied - check sign",IF(R2160&lt;0,"Principal paid exceeds prior balance",IF(AND(L2160&gt;Q2160,NOT(ISNUMBER(P2160))),"Balance increased but no Deferred_interest reported",IF(L2160&gt;R2160,"Reported balance higher than expected (missing increase/OC build)","Reported balance lower than expected (missing decrease)"))))),""))</f>
        <v/>
      </c>
    </row>
    <row r="2161" customFormat="false" ht="15" hidden="false" customHeight="false" outlineLevel="0" collapsed="false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9"/>
      <c r="L2161" s="9"/>
      <c r="M2161" s="9"/>
      <c r="N2161" s="9"/>
      <c r="O2161" s="9"/>
      <c r="P2161" s="9"/>
      <c r="Q2161" s="9"/>
      <c r="R2161" s="9" t="str">
        <f aca="false">IF(AND(A2161&lt;&gt;"",ISNUMBER(Q2161),ISNUMBER(L2161)),ROUND(Q2161-IF(ISNUMBER(N2161),N2161,0)-IF(ISNUMBER(O2161),O2161,0)+IF(ISNUMBER(P2161),P2161,0),2),"")</f>
        <v/>
      </c>
      <c r="S2161" s="9" t="str">
        <f aca="false">IF(R2161="","",ROUND(L2161-R2161,2))</f>
        <v/>
      </c>
      <c r="T2161" s="8" t="str">
        <f aca="false">IF(A2161="","",IF(S2161="","BYPASS",IF(ABS(S2161)&lt;=Summary!$B$2,"PASS","FAIL")))</f>
        <v/>
      </c>
      <c r="U2161" s="8" t="str">
        <f aca="false">IF(T2161="BYPASS",IF(NOT(ISNUMBER(Q2161)),"PreV_ETB missing","End_tr_balance missing"),IF(T2161="FAIL",IF(AND(ISNUMBER(K2161),ISNUMBER(L2161),ABS(L2161-(K2161-IF(ISNUMBER(N2161),N2161,0)-IF(ISNUMBER(O2161),O2161,0)+IF(ISNUMBER(P2161),P2161,0)))&lt;=Summary!$B$2),"Passes using beginning_balance - PreV_ETB differs from beginning_balance",IF(AND(ISNUMBER(O2161),O2161&lt;0,ABS(L2161-(Q2161-IF(ISNUMBER(N2161),N2161,0)+IF(ISNUMBER(P2161),P2161,0)))&lt;=Summary!$B$2),"Negative realized loss not applied - check sign",IF(R2161&lt;0,"Principal paid exceeds prior balance",IF(AND(L2161&gt;Q2161,NOT(ISNUMBER(P2161))),"Balance increased but no Deferred_interest reported",IF(L2161&gt;R2161,"Reported balance higher than expected (missing increase/OC build)","Reported balance lower than expected (missing decrease)"))))),""))</f>
        <v/>
      </c>
    </row>
    <row r="2162" customFormat="false" ht="15" hidden="false" customHeight="false" outlineLevel="0" collapsed="false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9"/>
      <c r="L2162" s="9"/>
      <c r="M2162" s="9"/>
      <c r="N2162" s="9"/>
      <c r="O2162" s="9"/>
      <c r="P2162" s="9"/>
      <c r="Q2162" s="9"/>
      <c r="R2162" s="9" t="str">
        <f aca="false">IF(AND(A2162&lt;&gt;"",ISNUMBER(Q2162),ISNUMBER(L2162)),ROUND(Q2162-IF(ISNUMBER(N2162),N2162,0)-IF(ISNUMBER(O2162),O2162,0)+IF(ISNUMBER(P2162),P2162,0),2),"")</f>
        <v/>
      </c>
      <c r="S2162" s="9" t="str">
        <f aca="false">IF(R2162="","",ROUND(L2162-R2162,2))</f>
        <v/>
      </c>
      <c r="T2162" s="8" t="str">
        <f aca="false">IF(A2162="","",IF(S2162="","BYPASS",IF(ABS(S2162)&lt;=Summary!$B$2,"PASS","FAIL")))</f>
        <v/>
      </c>
      <c r="U2162" s="8" t="str">
        <f aca="false">IF(T2162="BYPASS",IF(NOT(ISNUMBER(Q2162)),"PreV_ETB missing","End_tr_balance missing"),IF(T2162="FAIL",IF(AND(ISNUMBER(K2162),ISNUMBER(L2162),ABS(L2162-(K2162-IF(ISNUMBER(N2162),N2162,0)-IF(ISNUMBER(O2162),O2162,0)+IF(ISNUMBER(P2162),P2162,0)))&lt;=Summary!$B$2),"Passes using beginning_balance - PreV_ETB differs from beginning_balance",IF(AND(ISNUMBER(O2162),O2162&lt;0,ABS(L2162-(Q2162-IF(ISNUMBER(N2162),N2162,0)+IF(ISNUMBER(P2162),P2162,0)))&lt;=Summary!$B$2),"Negative realized loss not applied - check sign",IF(R2162&lt;0,"Principal paid exceeds prior balance",IF(AND(L2162&gt;Q2162,NOT(ISNUMBER(P2162))),"Balance increased but no Deferred_interest reported",IF(L2162&gt;R2162,"Reported balance higher than expected (missing increase/OC build)","Reported balance lower than expected (missing decrease)"))))),""))</f>
        <v/>
      </c>
    </row>
    <row r="2163" customFormat="false" ht="15" hidden="false" customHeight="false" outlineLevel="0" collapsed="false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9"/>
      <c r="L2163" s="9"/>
      <c r="M2163" s="9"/>
      <c r="N2163" s="9"/>
      <c r="O2163" s="9"/>
      <c r="P2163" s="9"/>
      <c r="Q2163" s="9"/>
      <c r="R2163" s="9" t="str">
        <f aca="false">IF(AND(A2163&lt;&gt;"",ISNUMBER(Q2163),ISNUMBER(L2163)),ROUND(Q2163-IF(ISNUMBER(N2163),N2163,0)-IF(ISNUMBER(O2163),O2163,0)+IF(ISNUMBER(P2163),P2163,0),2),"")</f>
        <v/>
      </c>
      <c r="S2163" s="9" t="str">
        <f aca="false">IF(R2163="","",ROUND(L2163-R2163,2))</f>
        <v/>
      </c>
      <c r="T2163" s="8" t="str">
        <f aca="false">IF(A2163="","",IF(S2163="","BYPASS",IF(ABS(S2163)&lt;=Summary!$B$2,"PASS","FAIL")))</f>
        <v/>
      </c>
      <c r="U2163" s="8" t="str">
        <f aca="false">IF(T2163="BYPASS",IF(NOT(ISNUMBER(Q2163)),"PreV_ETB missing","End_tr_balance missing"),IF(T2163="FAIL",IF(AND(ISNUMBER(K2163),ISNUMBER(L2163),ABS(L2163-(K2163-IF(ISNUMBER(N2163),N2163,0)-IF(ISNUMBER(O2163),O2163,0)+IF(ISNUMBER(P2163),P2163,0)))&lt;=Summary!$B$2),"Passes using beginning_balance - PreV_ETB differs from beginning_balance",IF(AND(ISNUMBER(O2163),O2163&lt;0,ABS(L2163-(Q2163-IF(ISNUMBER(N2163),N2163,0)+IF(ISNUMBER(P2163),P2163,0)))&lt;=Summary!$B$2),"Negative realized loss not applied - check sign",IF(R2163&lt;0,"Principal paid exceeds prior balance",IF(AND(L2163&gt;Q2163,NOT(ISNUMBER(P2163))),"Balance increased but no Deferred_interest reported",IF(L2163&gt;R2163,"Reported balance higher than expected (missing increase/OC build)","Reported balance lower than expected (missing decrease)"))))),""))</f>
        <v/>
      </c>
    </row>
    <row r="2164" customFormat="false" ht="15" hidden="false" customHeight="false" outlineLevel="0" collapsed="false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9"/>
      <c r="L2164" s="9"/>
      <c r="M2164" s="9"/>
      <c r="N2164" s="9"/>
      <c r="O2164" s="9"/>
      <c r="P2164" s="9"/>
      <c r="Q2164" s="9"/>
      <c r="R2164" s="9" t="str">
        <f aca="false">IF(AND(A2164&lt;&gt;"",ISNUMBER(Q2164),ISNUMBER(L2164)),ROUND(Q2164-IF(ISNUMBER(N2164),N2164,0)-IF(ISNUMBER(O2164),O2164,0)+IF(ISNUMBER(P2164),P2164,0),2),"")</f>
        <v/>
      </c>
      <c r="S2164" s="9" t="str">
        <f aca="false">IF(R2164="","",ROUND(L2164-R2164,2))</f>
        <v/>
      </c>
      <c r="T2164" s="8" t="str">
        <f aca="false">IF(A2164="","",IF(S2164="","BYPASS",IF(ABS(S2164)&lt;=Summary!$B$2,"PASS","FAIL")))</f>
        <v/>
      </c>
      <c r="U2164" s="8" t="str">
        <f aca="false">IF(T2164="BYPASS",IF(NOT(ISNUMBER(Q2164)),"PreV_ETB missing","End_tr_balance missing"),IF(T2164="FAIL",IF(AND(ISNUMBER(K2164),ISNUMBER(L2164),ABS(L2164-(K2164-IF(ISNUMBER(N2164),N2164,0)-IF(ISNUMBER(O2164),O2164,0)+IF(ISNUMBER(P2164),P2164,0)))&lt;=Summary!$B$2),"Passes using beginning_balance - PreV_ETB differs from beginning_balance",IF(AND(ISNUMBER(O2164),O2164&lt;0,ABS(L2164-(Q2164-IF(ISNUMBER(N2164),N2164,0)+IF(ISNUMBER(P2164),P2164,0)))&lt;=Summary!$B$2),"Negative realized loss not applied - check sign",IF(R2164&lt;0,"Principal paid exceeds prior balance",IF(AND(L2164&gt;Q2164,NOT(ISNUMBER(P2164))),"Balance increased but no Deferred_interest reported",IF(L2164&gt;R2164,"Reported balance higher than expected (missing increase/OC build)","Reported balance lower than expected (missing decrease)"))))),""))</f>
        <v/>
      </c>
    </row>
    <row r="2165" customFormat="false" ht="15" hidden="false" customHeight="false" outlineLevel="0" collapsed="false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9"/>
      <c r="L2165" s="9"/>
      <c r="M2165" s="9"/>
      <c r="N2165" s="9"/>
      <c r="O2165" s="9"/>
      <c r="P2165" s="9"/>
      <c r="Q2165" s="9"/>
      <c r="R2165" s="9" t="str">
        <f aca="false">IF(AND(A2165&lt;&gt;"",ISNUMBER(Q2165),ISNUMBER(L2165)),ROUND(Q2165-IF(ISNUMBER(N2165),N2165,0)-IF(ISNUMBER(O2165),O2165,0)+IF(ISNUMBER(P2165),P2165,0),2),"")</f>
        <v/>
      </c>
      <c r="S2165" s="9" t="str">
        <f aca="false">IF(R2165="","",ROUND(L2165-R2165,2))</f>
        <v/>
      </c>
      <c r="T2165" s="8" t="str">
        <f aca="false">IF(A2165="","",IF(S2165="","BYPASS",IF(ABS(S2165)&lt;=Summary!$B$2,"PASS","FAIL")))</f>
        <v/>
      </c>
      <c r="U2165" s="8" t="str">
        <f aca="false">IF(T2165="BYPASS",IF(NOT(ISNUMBER(Q2165)),"PreV_ETB missing","End_tr_balance missing"),IF(T2165="FAIL",IF(AND(ISNUMBER(K2165),ISNUMBER(L2165),ABS(L2165-(K2165-IF(ISNUMBER(N2165),N2165,0)-IF(ISNUMBER(O2165),O2165,0)+IF(ISNUMBER(P2165),P2165,0)))&lt;=Summary!$B$2),"Passes using beginning_balance - PreV_ETB differs from beginning_balance",IF(AND(ISNUMBER(O2165),O2165&lt;0,ABS(L2165-(Q2165-IF(ISNUMBER(N2165),N2165,0)+IF(ISNUMBER(P2165),P2165,0)))&lt;=Summary!$B$2),"Negative realized loss not applied - check sign",IF(R2165&lt;0,"Principal paid exceeds prior balance",IF(AND(L2165&gt;Q2165,NOT(ISNUMBER(P2165))),"Balance increased but no Deferred_interest reported",IF(L2165&gt;R2165,"Reported balance higher than expected (missing increase/OC build)","Reported balance lower than expected (missing decrease)"))))),""))</f>
        <v/>
      </c>
    </row>
    <row r="2166" customFormat="false" ht="15" hidden="false" customHeight="false" outlineLevel="0" collapsed="false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9"/>
      <c r="L2166" s="9"/>
      <c r="M2166" s="9"/>
      <c r="N2166" s="9"/>
      <c r="O2166" s="9"/>
      <c r="P2166" s="9"/>
      <c r="Q2166" s="9"/>
      <c r="R2166" s="9" t="str">
        <f aca="false">IF(AND(A2166&lt;&gt;"",ISNUMBER(Q2166),ISNUMBER(L2166)),ROUND(Q2166-IF(ISNUMBER(N2166),N2166,0)-IF(ISNUMBER(O2166),O2166,0)+IF(ISNUMBER(P2166),P2166,0),2),"")</f>
        <v/>
      </c>
      <c r="S2166" s="9" t="str">
        <f aca="false">IF(R2166="","",ROUND(L2166-R2166,2))</f>
        <v/>
      </c>
      <c r="T2166" s="8" t="str">
        <f aca="false">IF(A2166="","",IF(S2166="","BYPASS",IF(ABS(S2166)&lt;=Summary!$B$2,"PASS","FAIL")))</f>
        <v/>
      </c>
      <c r="U2166" s="8" t="str">
        <f aca="false">IF(T2166="BYPASS",IF(NOT(ISNUMBER(Q2166)),"PreV_ETB missing","End_tr_balance missing"),IF(T2166="FAIL",IF(AND(ISNUMBER(K2166),ISNUMBER(L2166),ABS(L2166-(K2166-IF(ISNUMBER(N2166),N2166,0)-IF(ISNUMBER(O2166),O2166,0)+IF(ISNUMBER(P2166),P2166,0)))&lt;=Summary!$B$2),"Passes using beginning_balance - PreV_ETB differs from beginning_balance",IF(AND(ISNUMBER(O2166),O2166&lt;0,ABS(L2166-(Q2166-IF(ISNUMBER(N2166),N2166,0)+IF(ISNUMBER(P2166),P2166,0)))&lt;=Summary!$B$2),"Negative realized loss not applied - check sign",IF(R2166&lt;0,"Principal paid exceeds prior balance",IF(AND(L2166&gt;Q2166,NOT(ISNUMBER(P2166))),"Balance increased but no Deferred_interest reported",IF(L2166&gt;R2166,"Reported balance higher than expected (missing increase/OC build)","Reported balance lower than expected (missing decrease)"))))),""))</f>
        <v/>
      </c>
    </row>
    <row r="2167" customFormat="false" ht="15" hidden="false" customHeight="false" outlineLevel="0" collapsed="false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9"/>
      <c r="L2167" s="9"/>
      <c r="M2167" s="9"/>
      <c r="N2167" s="9"/>
      <c r="O2167" s="9"/>
      <c r="P2167" s="9"/>
      <c r="Q2167" s="9"/>
      <c r="R2167" s="9" t="str">
        <f aca="false">IF(AND(A2167&lt;&gt;"",ISNUMBER(Q2167),ISNUMBER(L2167)),ROUND(Q2167-IF(ISNUMBER(N2167),N2167,0)-IF(ISNUMBER(O2167),O2167,0)+IF(ISNUMBER(P2167),P2167,0),2),"")</f>
        <v/>
      </c>
      <c r="S2167" s="9" t="str">
        <f aca="false">IF(R2167="","",ROUND(L2167-R2167,2))</f>
        <v/>
      </c>
      <c r="T2167" s="8" t="str">
        <f aca="false">IF(A2167="","",IF(S2167="","BYPASS",IF(ABS(S2167)&lt;=Summary!$B$2,"PASS","FAIL")))</f>
        <v/>
      </c>
      <c r="U2167" s="8" t="str">
        <f aca="false">IF(T2167="BYPASS",IF(NOT(ISNUMBER(Q2167)),"PreV_ETB missing","End_tr_balance missing"),IF(T2167="FAIL",IF(AND(ISNUMBER(K2167),ISNUMBER(L2167),ABS(L2167-(K2167-IF(ISNUMBER(N2167),N2167,0)-IF(ISNUMBER(O2167),O2167,0)+IF(ISNUMBER(P2167),P2167,0)))&lt;=Summary!$B$2),"Passes using beginning_balance - PreV_ETB differs from beginning_balance",IF(AND(ISNUMBER(O2167),O2167&lt;0,ABS(L2167-(Q2167-IF(ISNUMBER(N2167),N2167,0)+IF(ISNUMBER(P2167),P2167,0)))&lt;=Summary!$B$2),"Negative realized loss not applied - check sign",IF(R2167&lt;0,"Principal paid exceeds prior balance",IF(AND(L2167&gt;Q2167,NOT(ISNUMBER(P2167))),"Balance increased but no Deferred_interest reported",IF(L2167&gt;R2167,"Reported balance higher than expected (missing increase/OC build)","Reported balance lower than expected (missing decrease)"))))),""))</f>
        <v/>
      </c>
    </row>
    <row r="2168" customFormat="false" ht="15" hidden="false" customHeight="false" outlineLevel="0" collapsed="false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9"/>
      <c r="L2168" s="9"/>
      <c r="M2168" s="9"/>
      <c r="N2168" s="9"/>
      <c r="O2168" s="9"/>
      <c r="P2168" s="9"/>
      <c r="Q2168" s="9"/>
      <c r="R2168" s="9" t="str">
        <f aca="false">IF(AND(A2168&lt;&gt;"",ISNUMBER(Q2168),ISNUMBER(L2168)),ROUND(Q2168-IF(ISNUMBER(N2168),N2168,0)-IF(ISNUMBER(O2168),O2168,0)+IF(ISNUMBER(P2168),P2168,0),2),"")</f>
        <v/>
      </c>
      <c r="S2168" s="9" t="str">
        <f aca="false">IF(R2168="","",ROUND(L2168-R2168,2))</f>
        <v/>
      </c>
      <c r="T2168" s="8" t="str">
        <f aca="false">IF(A2168="","",IF(S2168="","BYPASS",IF(ABS(S2168)&lt;=Summary!$B$2,"PASS","FAIL")))</f>
        <v/>
      </c>
      <c r="U2168" s="8" t="str">
        <f aca="false">IF(T2168="BYPASS",IF(NOT(ISNUMBER(Q2168)),"PreV_ETB missing","End_tr_balance missing"),IF(T2168="FAIL",IF(AND(ISNUMBER(K2168),ISNUMBER(L2168),ABS(L2168-(K2168-IF(ISNUMBER(N2168),N2168,0)-IF(ISNUMBER(O2168),O2168,0)+IF(ISNUMBER(P2168),P2168,0)))&lt;=Summary!$B$2),"Passes using beginning_balance - PreV_ETB differs from beginning_balance",IF(AND(ISNUMBER(O2168),O2168&lt;0,ABS(L2168-(Q2168-IF(ISNUMBER(N2168),N2168,0)+IF(ISNUMBER(P2168),P2168,0)))&lt;=Summary!$B$2),"Negative realized loss not applied - check sign",IF(R2168&lt;0,"Principal paid exceeds prior balance",IF(AND(L2168&gt;Q2168,NOT(ISNUMBER(P2168))),"Balance increased but no Deferred_interest reported",IF(L2168&gt;R2168,"Reported balance higher than expected (missing increase/OC build)","Reported balance lower than expected (missing decrease)"))))),""))</f>
        <v/>
      </c>
    </row>
    <row r="2169" customFormat="false" ht="15" hidden="false" customHeight="false" outlineLevel="0" collapsed="false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9"/>
      <c r="L2169" s="9"/>
      <c r="M2169" s="9"/>
      <c r="N2169" s="9"/>
      <c r="O2169" s="9"/>
      <c r="P2169" s="9"/>
      <c r="Q2169" s="9"/>
      <c r="R2169" s="9" t="str">
        <f aca="false">IF(AND(A2169&lt;&gt;"",ISNUMBER(Q2169),ISNUMBER(L2169)),ROUND(Q2169-IF(ISNUMBER(N2169),N2169,0)-IF(ISNUMBER(O2169),O2169,0)+IF(ISNUMBER(P2169),P2169,0),2),"")</f>
        <v/>
      </c>
      <c r="S2169" s="9" t="str">
        <f aca="false">IF(R2169="","",ROUND(L2169-R2169,2))</f>
        <v/>
      </c>
      <c r="T2169" s="8" t="str">
        <f aca="false">IF(A2169="","",IF(S2169="","BYPASS",IF(ABS(S2169)&lt;=Summary!$B$2,"PASS","FAIL")))</f>
        <v/>
      </c>
      <c r="U2169" s="8" t="str">
        <f aca="false">IF(T2169="BYPASS",IF(NOT(ISNUMBER(Q2169)),"PreV_ETB missing","End_tr_balance missing"),IF(T2169="FAIL",IF(AND(ISNUMBER(K2169),ISNUMBER(L2169),ABS(L2169-(K2169-IF(ISNUMBER(N2169),N2169,0)-IF(ISNUMBER(O2169),O2169,0)+IF(ISNUMBER(P2169),P2169,0)))&lt;=Summary!$B$2),"Passes using beginning_balance - PreV_ETB differs from beginning_balance",IF(AND(ISNUMBER(O2169),O2169&lt;0,ABS(L2169-(Q2169-IF(ISNUMBER(N2169),N2169,0)+IF(ISNUMBER(P2169),P2169,0)))&lt;=Summary!$B$2),"Negative realized loss not applied - check sign",IF(R2169&lt;0,"Principal paid exceeds prior balance",IF(AND(L2169&gt;Q2169,NOT(ISNUMBER(P2169))),"Balance increased but no Deferred_interest reported",IF(L2169&gt;R2169,"Reported balance higher than expected (missing increase/OC build)","Reported balance lower than expected (missing decrease)"))))),""))</f>
        <v/>
      </c>
    </row>
    <row r="2170" customFormat="false" ht="15" hidden="false" customHeight="false" outlineLevel="0" collapsed="false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9"/>
      <c r="L2170" s="9"/>
      <c r="M2170" s="9"/>
      <c r="N2170" s="9"/>
      <c r="O2170" s="9"/>
      <c r="P2170" s="9"/>
      <c r="Q2170" s="9"/>
      <c r="R2170" s="9" t="str">
        <f aca="false">IF(AND(A2170&lt;&gt;"",ISNUMBER(Q2170),ISNUMBER(L2170)),ROUND(Q2170-IF(ISNUMBER(N2170),N2170,0)-IF(ISNUMBER(O2170),O2170,0)+IF(ISNUMBER(P2170),P2170,0),2),"")</f>
        <v/>
      </c>
      <c r="S2170" s="9" t="str">
        <f aca="false">IF(R2170="","",ROUND(L2170-R2170,2))</f>
        <v/>
      </c>
      <c r="T2170" s="8" t="str">
        <f aca="false">IF(A2170="","",IF(S2170="","BYPASS",IF(ABS(S2170)&lt;=Summary!$B$2,"PASS","FAIL")))</f>
        <v/>
      </c>
      <c r="U2170" s="8" t="str">
        <f aca="false">IF(T2170="BYPASS",IF(NOT(ISNUMBER(Q2170)),"PreV_ETB missing","End_tr_balance missing"),IF(T2170="FAIL",IF(AND(ISNUMBER(K2170),ISNUMBER(L2170),ABS(L2170-(K2170-IF(ISNUMBER(N2170),N2170,0)-IF(ISNUMBER(O2170),O2170,0)+IF(ISNUMBER(P2170),P2170,0)))&lt;=Summary!$B$2),"Passes using beginning_balance - PreV_ETB differs from beginning_balance",IF(AND(ISNUMBER(O2170),O2170&lt;0,ABS(L2170-(Q2170-IF(ISNUMBER(N2170),N2170,0)+IF(ISNUMBER(P2170),P2170,0)))&lt;=Summary!$B$2),"Negative realized loss not applied - check sign",IF(R2170&lt;0,"Principal paid exceeds prior balance",IF(AND(L2170&gt;Q2170,NOT(ISNUMBER(P2170))),"Balance increased but no Deferred_interest reported",IF(L2170&gt;R2170,"Reported balance higher than expected (missing increase/OC build)","Reported balance lower than expected (missing decrease)"))))),""))</f>
        <v/>
      </c>
    </row>
    <row r="2171" customFormat="false" ht="15" hidden="false" customHeight="false" outlineLevel="0" collapsed="false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9"/>
      <c r="L2171" s="9"/>
      <c r="M2171" s="9"/>
      <c r="N2171" s="9"/>
      <c r="O2171" s="9"/>
      <c r="P2171" s="9"/>
      <c r="Q2171" s="9"/>
      <c r="R2171" s="9" t="str">
        <f aca="false">IF(AND(A2171&lt;&gt;"",ISNUMBER(Q2171),ISNUMBER(L2171)),ROUND(Q2171-IF(ISNUMBER(N2171),N2171,0)-IF(ISNUMBER(O2171),O2171,0)+IF(ISNUMBER(P2171),P2171,0),2),"")</f>
        <v/>
      </c>
      <c r="S2171" s="9" t="str">
        <f aca="false">IF(R2171="","",ROUND(L2171-R2171,2))</f>
        <v/>
      </c>
      <c r="T2171" s="8" t="str">
        <f aca="false">IF(A2171="","",IF(S2171="","BYPASS",IF(ABS(S2171)&lt;=Summary!$B$2,"PASS","FAIL")))</f>
        <v/>
      </c>
      <c r="U2171" s="8" t="str">
        <f aca="false">IF(T2171="BYPASS",IF(NOT(ISNUMBER(Q2171)),"PreV_ETB missing","End_tr_balance missing"),IF(T2171="FAIL",IF(AND(ISNUMBER(K2171),ISNUMBER(L2171),ABS(L2171-(K2171-IF(ISNUMBER(N2171),N2171,0)-IF(ISNUMBER(O2171),O2171,0)+IF(ISNUMBER(P2171),P2171,0)))&lt;=Summary!$B$2),"Passes using beginning_balance - PreV_ETB differs from beginning_balance",IF(AND(ISNUMBER(O2171),O2171&lt;0,ABS(L2171-(Q2171-IF(ISNUMBER(N2171),N2171,0)+IF(ISNUMBER(P2171),P2171,0)))&lt;=Summary!$B$2),"Negative realized loss not applied - check sign",IF(R2171&lt;0,"Principal paid exceeds prior balance",IF(AND(L2171&gt;Q2171,NOT(ISNUMBER(P2171))),"Balance increased but no Deferred_interest reported",IF(L2171&gt;R2171,"Reported balance higher than expected (missing increase/OC build)","Reported balance lower than expected (missing decrease)"))))),""))</f>
        <v/>
      </c>
    </row>
    <row r="2172" customFormat="false" ht="15" hidden="false" customHeight="false" outlineLevel="0" collapsed="false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9"/>
      <c r="L2172" s="9"/>
      <c r="M2172" s="9"/>
      <c r="N2172" s="9"/>
      <c r="O2172" s="9"/>
      <c r="P2172" s="9"/>
      <c r="Q2172" s="9"/>
      <c r="R2172" s="9" t="str">
        <f aca="false">IF(AND(A2172&lt;&gt;"",ISNUMBER(Q2172),ISNUMBER(L2172)),ROUND(Q2172-IF(ISNUMBER(N2172),N2172,0)-IF(ISNUMBER(O2172),O2172,0)+IF(ISNUMBER(P2172),P2172,0),2),"")</f>
        <v/>
      </c>
      <c r="S2172" s="9" t="str">
        <f aca="false">IF(R2172="","",ROUND(L2172-R2172,2))</f>
        <v/>
      </c>
      <c r="T2172" s="8" t="str">
        <f aca="false">IF(A2172="","",IF(S2172="","BYPASS",IF(ABS(S2172)&lt;=Summary!$B$2,"PASS","FAIL")))</f>
        <v/>
      </c>
      <c r="U2172" s="8" t="str">
        <f aca="false">IF(T2172="BYPASS",IF(NOT(ISNUMBER(Q2172)),"PreV_ETB missing","End_tr_balance missing"),IF(T2172="FAIL",IF(AND(ISNUMBER(K2172),ISNUMBER(L2172),ABS(L2172-(K2172-IF(ISNUMBER(N2172),N2172,0)-IF(ISNUMBER(O2172),O2172,0)+IF(ISNUMBER(P2172),P2172,0)))&lt;=Summary!$B$2),"Passes using beginning_balance - PreV_ETB differs from beginning_balance",IF(AND(ISNUMBER(O2172),O2172&lt;0,ABS(L2172-(Q2172-IF(ISNUMBER(N2172),N2172,0)+IF(ISNUMBER(P2172),P2172,0)))&lt;=Summary!$B$2),"Negative realized loss not applied - check sign",IF(R2172&lt;0,"Principal paid exceeds prior balance",IF(AND(L2172&gt;Q2172,NOT(ISNUMBER(P2172))),"Balance increased but no Deferred_interest reported",IF(L2172&gt;R2172,"Reported balance higher than expected (missing increase/OC build)","Reported balance lower than expected (missing decrease)"))))),""))</f>
        <v/>
      </c>
    </row>
    <row r="2173" customFormat="false" ht="15" hidden="false" customHeight="false" outlineLevel="0" collapsed="false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9"/>
      <c r="L2173" s="9"/>
      <c r="M2173" s="9"/>
      <c r="N2173" s="9"/>
      <c r="O2173" s="9"/>
      <c r="P2173" s="9"/>
      <c r="Q2173" s="9"/>
      <c r="R2173" s="9" t="str">
        <f aca="false">IF(AND(A2173&lt;&gt;"",ISNUMBER(Q2173),ISNUMBER(L2173)),ROUND(Q2173-IF(ISNUMBER(N2173),N2173,0)-IF(ISNUMBER(O2173),O2173,0)+IF(ISNUMBER(P2173),P2173,0),2),"")</f>
        <v/>
      </c>
      <c r="S2173" s="9" t="str">
        <f aca="false">IF(R2173="","",ROUND(L2173-R2173,2))</f>
        <v/>
      </c>
      <c r="T2173" s="8" t="str">
        <f aca="false">IF(A2173="","",IF(S2173="","BYPASS",IF(ABS(S2173)&lt;=Summary!$B$2,"PASS","FAIL")))</f>
        <v/>
      </c>
      <c r="U2173" s="8" t="str">
        <f aca="false">IF(T2173="BYPASS",IF(NOT(ISNUMBER(Q2173)),"PreV_ETB missing","End_tr_balance missing"),IF(T2173="FAIL",IF(AND(ISNUMBER(K2173),ISNUMBER(L2173),ABS(L2173-(K2173-IF(ISNUMBER(N2173),N2173,0)-IF(ISNUMBER(O2173),O2173,0)+IF(ISNUMBER(P2173),P2173,0)))&lt;=Summary!$B$2),"Passes using beginning_balance - PreV_ETB differs from beginning_balance",IF(AND(ISNUMBER(O2173),O2173&lt;0,ABS(L2173-(Q2173-IF(ISNUMBER(N2173),N2173,0)+IF(ISNUMBER(P2173),P2173,0)))&lt;=Summary!$B$2),"Negative realized loss not applied - check sign",IF(R2173&lt;0,"Principal paid exceeds prior balance",IF(AND(L2173&gt;Q2173,NOT(ISNUMBER(P2173))),"Balance increased but no Deferred_interest reported",IF(L2173&gt;R2173,"Reported balance higher than expected (missing increase/OC build)","Reported balance lower than expected (missing decrease)"))))),""))</f>
        <v/>
      </c>
    </row>
    <row r="2174" customFormat="false" ht="15" hidden="false" customHeight="false" outlineLevel="0" collapsed="false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9"/>
      <c r="L2174" s="9"/>
      <c r="M2174" s="9"/>
      <c r="N2174" s="9"/>
      <c r="O2174" s="9"/>
      <c r="P2174" s="9"/>
      <c r="Q2174" s="9"/>
      <c r="R2174" s="9" t="str">
        <f aca="false">IF(AND(A2174&lt;&gt;"",ISNUMBER(Q2174),ISNUMBER(L2174)),ROUND(Q2174-IF(ISNUMBER(N2174),N2174,0)-IF(ISNUMBER(O2174),O2174,0)+IF(ISNUMBER(P2174),P2174,0),2),"")</f>
        <v/>
      </c>
      <c r="S2174" s="9" t="str">
        <f aca="false">IF(R2174="","",ROUND(L2174-R2174,2))</f>
        <v/>
      </c>
      <c r="T2174" s="8" t="str">
        <f aca="false">IF(A2174="","",IF(S2174="","BYPASS",IF(ABS(S2174)&lt;=Summary!$B$2,"PASS","FAIL")))</f>
        <v/>
      </c>
      <c r="U2174" s="8" t="str">
        <f aca="false">IF(T2174="BYPASS",IF(NOT(ISNUMBER(Q2174)),"PreV_ETB missing","End_tr_balance missing"),IF(T2174="FAIL",IF(AND(ISNUMBER(K2174),ISNUMBER(L2174),ABS(L2174-(K2174-IF(ISNUMBER(N2174),N2174,0)-IF(ISNUMBER(O2174),O2174,0)+IF(ISNUMBER(P2174),P2174,0)))&lt;=Summary!$B$2),"Passes using beginning_balance - PreV_ETB differs from beginning_balance",IF(AND(ISNUMBER(O2174),O2174&lt;0,ABS(L2174-(Q2174-IF(ISNUMBER(N2174),N2174,0)+IF(ISNUMBER(P2174),P2174,0)))&lt;=Summary!$B$2),"Negative realized loss not applied - check sign",IF(R2174&lt;0,"Principal paid exceeds prior balance",IF(AND(L2174&gt;Q2174,NOT(ISNUMBER(P2174))),"Balance increased but no Deferred_interest reported",IF(L2174&gt;R2174,"Reported balance higher than expected (missing increase/OC build)","Reported balance lower than expected (missing decrease)"))))),""))</f>
        <v/>
      </c>
    </row>
    <row r="2175" customFormat="false" ht="15" hidden="false" customHeight="false" outlineLevel="0" collapsed="false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9"/>
      <c r="L2175" s="9"/>
      <c r="M2175" s="9"/>
      <c r="N2175" s="9"/>
      <c r="O2175" s="9"/>
      <c r="P2175" s="9"/>
      <c r="Q2175" s="9"/>
      <c r="R2175" s="9" t="str">
        <f aca="false">IF(AND(A2175&lt;&gt;"",ISNUMBER(Q2175),ISNUMBER(L2175)),ROUND(Q2175-IF(ISNUMBER(N2175),N2175,0)-IF(ISNUMBER(O2175),O2175,0)+IF(ISNUMBER(P2175),P2175,0),2),"")</f>
        <v/>
      </c>
      <c r="S2175" s="9" t="str">
        <f aca="false">IF(R2175="","",ROUND(L2175-R2175,2))</f>
        <v/>
      </c>
      <c r="T2175" s="8" t="str">
        <f aca="false">IF(A2175="","",IF(S2175="","BYPASS",IF(ABS(S2175)&lt;=Summary!$B$2,"PASS","FAIL")))</f>
        <v/>
      </c>
      <c r="U2175" s="8" t="str">
        <f aca="false">IF(T2175="BYPASS",IF(NOT(ISNUMBER(Q2175)),"PreV_ETB missing","End_tr_balance missing"),IF(T2175="FAIL",IF(AND(ISNUMBER(K2175),ISNUMBER(L2175),ABS(L2175-(K2175-IF(ISNUMBER(N2175),N2175,0)-IF(ISNUMBER(O2175),O2175,0)+IF(ISNUMBER(P2175),P2175,0)))&lt;=Summary!$B$2),"Passes using beginning_balance - PreV_ETB differs from beginning_balance",IF(AND(ISNUMBER(O2175),O2175&lt;0,ABS(L2175-(Q2175-IF(ISNUMBER(N2175),N2175,0)+IF(ISNUMBER(P2175),P2175,0)))&lt;=Summary!$B$2),"Negative realized loss not applied - check sign",IF(R2175&lt;0,"Principal paid exceeds prior balance",IF(AND(L2175&gt;Q2175,NOT(ISNUMBER(P2175))),"Balance increased but no Deferred_interest reported",IF(L2175&gt;R2175,"Reported balance higher than expected (missing increase/OC build)","Reported balance lower than expected (missing decrease)"))))),""))</f>
        <v/>
      </c>
    </row>
    <row r="2176" customFormat="false" ht="15" hidden="false" customHeight="false" outlineLevel="0" collapsed="false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9"/>
      <c r="L2176" s="9"/>
      <c r="M2176" s="9"/>
      <c r="N2176" s="9"/>
      <c r="O2176" s="9"/>
      <c r="P2176" s="9"/>
      <c r="Q2176" s="9"/>
      <c r="R2176" s="9" t="str">
        <f aca="false">IF(AND(A2176&lt;&gt;"",ISNUMBER(Q2176),ISNUMBER(L2176)),ROUND(Q2176-IF(ISNUMBER(N2176),N2176,0)-IF(ISNUMBER(O2176),O2176,0)+IF(ISNUMBER(P2176),P2176,0),2),"")</f>
        <v/>
      </c>
      <c r="S2176" s="9" t="str">
        <f aca="false">IF(R2176="","",ROUND(L2176-R2176,2))</f>
        <v/>
      </c>
      <c r="T2176" s="8" t="str">
        <f aca="false">IF(A2176="","",IF(S2176="","BYPASS",IF(ABS(S2176)&lt;=Summary!$B$2,"PASS","FAIL")))</f>
        <v/>
      </c>
      <c r="U2176" s="8" t="str">
        <f aca="false">IF(T2176="BYPASS",IF(NOT(ISNUMBER(Q2176)),"PreV_ETB missing","End_tr_balance missing"),IF(T2176="FAIL",IF(AND(ISNUMBER(K2176),ISNUMBER(L2176),ABS(L2176-(K2176-IF(ISNUMBER(N2176),N2176,0)-IF(ISNUMBER(O2176),O2176,0)+IF(ISNUMBER(P2176),P2176,0)))&lt;=Summary!$B$2),"Passes using beginning_balance - PreV_ETB differs from beginning_balance",IF(AND(ISNUMBER(O2176),O2176&lt;0,ABS(L2176-(Q2176-IF(ISNUMBER(N2176),N2176,0)+IF(ISNUMBER(P2176),P2176,0)))&lt;=Summary!$B$2),"Negative realized loss not applied - check sign",IF(R2176&lt;0,"Principal paid exceeds prior balance",IF(AND(L2176&gt;Q2176,NOT(ISNUMBER(P2176))),"Balance increased but no Deferred_interest reported",IF(L2176&gt;R2176,"Reported balance higher than expected (missing increase/OC build)","Reported balance lower than expected (missing decrease)"))))),""))</f>
        <v/>
      </c>
    </row>
    <row r="2177" customFormat="false" ht="15" hidden="false" customHeight="false" outlineLevel="0" collapsed="false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9"/>
      <c r="L2177" s="9"/>
      <c r="M2177" s="9"/>
      <c r="N2177" s="9"/>
      <c r="O2177" s="9"/>
      <c r="P2177" s="9"/>
      <c r="Q2177" s="9"/>
      <c r="R2177" s="9" t="str">
        <f aca="false">IF(AND(A2177&lt;&gt;"",ISNUMBER(Q2177),ISNUMBER(L2177)),ROUND(Q2177-IF(ISNUMBER(N2177),N2177,0)-IF(ISNUMBER(O2177),O2177,0)+IF(ISNUMBER(P2177),P2177,0),2),"")</f>
        <v/>
      </c>
      <c r="S2177" s="9" t="str">
        <f aca="false">IF(R2177="","",ROUND(L2177-R2177,2))</f>
        <v/>
      </c>
      <c r="T2177" s="8" t="str">
        <f aca="false">IF(A2177="","",IF(S2177="","BYPASS",IF(ABS(S2177)&lt;=Summary!$B$2,"PASS","FAIL")))</f>
        <v/>
      </c>
      <c r="U2177" s="8" t="str">
        <f aca="false">IF(T2177="BYPASS",IF(NOT(ISNUMBER(Q2177)),"PreV_ETB missing","End_tr_balance missing"),IF(T2177="FAIL",IF(AND(ISNUMBER(K2177),ISNUMBER(L2177),ABS(L2177-(K2177-IF(ISNUMBER(N2177),N2177,0)-IF(ISNUMBER(O2177),O2177,0)+IF(ISNUMBER(P2177),P2177,0)))&lt;=Summary!$B$2),"Passes using beginning_balance - PreV_ETB differs from beginning_balance",IF(AND(ISNUMBER(O2177),O2177&lt;0,ABS(L2177-(Q2177-IF(ISNUMBER(N2177),N2177,0)+IF(ISNUMBER(P2177),P2177,0)))&lt;=Summary!$B$2),"Negative realized loss not applied - check sign",IF(R2177&lt;0,"Principal paid exceeds prior balance",IF(AND(L2177&gt;Q2177,NOT(ISNUMBER(P2177))),"Balance increased but no Deferred_interest reported",IF(L2177&gt;R2177,"Reported balance higher than expected (missing increase/OC build)","Reported balance lower than expected (missing decrease)"))))),""))</f>
        <v/>
      </c>
    </row>
    <row r="2178" customFormat="false" ht="15" hidden="false" customHeight="false" outlineLevel="0" collapsed="false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9"/>
      <c r="L2178" s="9"/>
      <c r="M2178" s="9"/>
      <c r="N2178" s="9"/>
      <c r="O2178" s="9"/>
      <c r="P2178" s="9"/>
      <c r="Q2178" s="9"/>
      <c r="R2178" s="9" t="str">
        <f aca="false">IF(AND(A2178&lt;&gt;"",ISNUMBER(Q2178),ISNUMBER(L2178)),ROUND(Q2178-IF(ISNUMBER(N2178),N2178,0)-IF(ISNUMBER(O2178),O2178,0)+IF(ISNUMBER(P2178),P2178,0),2),"")</f>
        <v/>
      </c>
      <c r="S2178" s="9" t="str">
        <f aca="false">IF(R2178="","",ROUND(L2178-R2178,2))</f>
        <v/>
      </c>
      <c r="T2178" s="8" t="str">
        <f aca="false">IF(A2178="","",IF(S2178="","BYPASS",IF(ABS(S2178)&lt;=Summary!$B$2,"PASS","FAIL")))</f>
        <v/>
      </c>
      <c r="U2178" s="8" t="str">
        <f aca="false">IF(T2178="BYPASS",IF(NOT(ISNUMBER(Q2178)),"PreV_ETB missing","End_tr_balance missing"),IF(T2178="FAIL",IF(AND(ISNUMBER(K2178),ISNUMBER(L2178),ABS(L2178-(K2178-IF(ISNUMBER(N2178),N2178,0)-IF(ISNUMBER(O2178),O2178,0)+IF(ISNUMBER(P2178),P2178,0)))&lt;=Summary!$B$2),"Passes using beginning_balance - PreV_ETB differs from beginning_balance",IF(AND(ISNUMBER(O2178),O2178&lt;0,ABS(L2178-(Q2178-IF(ISNUMBER(N2178),N2178,0)+IF(ISNUMBER(P2178),P2178,0)))&lt;=Summary!$B$2),"Negative realized loss not applied - check sign",IF(R2178&lt;0,"Principal paid exceeds prior balance",IF(AND(L2178&gt;Q2178,NOT(ISNUMBER(P2178))),"Balance increased but no Deferred_interest reported",IF(L2178&gt;R2178,"Reported balance higher than expected (missing increase/OC build)","Reported balance lower than expected (missing decrease)"))))),""))</f>
        <v/>
      </c>
    </row>
    <row r="2179" customFormat="false" ht="15" hidden="false" customHeight="false" outlineLevel="0" collapsed="false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9"/>
      <c r="L2179" s="9"/>
      <c r="M2179" s="9"/>
      <c r="N2179" s="9"/>
      <c r="O2179" s="9"/>
      <c r="P2179" s="9"/>
      <c r="Q2179" s="9"/>
      <c r="R2179" s="9" t="str">
        <f aca="false">IF(AND(A2179&lt;&gt;"",ISNUMBER(Q2179),ISNUMBER(L2179)),ROUND(Q2179-IF(ISNUMBER(N2179),N2179,0)-IF(ISNUMBER(O2179),O2179,0)+IF(ISNUMBER(P2179),P2179,0),2),"")</f>
        <v/>
      </c>
      <c r="S2179" s="9" t="str">
        <f aca="false">IF(R2179="","",ROUND(L2179-R2179,2))</f>
        <v/>
      </c>
      <c r="T2179" s="8" t="str">
        <f aca="false">IF(A2179="","",IF(S2179="","BYPASS",IF(ABS(S2179)&lt;=Summary!$B$2,"PASS","FAIL")))</f>
        <v/>
      </c>
      <c r="U2179" s="8" t="str">
        <f aca="false">IF(T2179="BYPASS",IF(NOT(ISNUMBER(Q2179)),"PreV_ETB missing","End_tr_balance missing"),IF(T2179="FAIL",IF(AND(ISNUMBER(K2179),ISNUMBER(L2179),ABS(L2179-(K2179-IF(ISNUMBER(N2179),N2179,0)-IF(ISNUMBER(O2179),O2179,0)+IF(ISNUMBER(P2179),P2179,0)))&lt;=Summary!$B$2),"Passes using beginning_balance - PreV_ETB differs from beginning_balance",IF(AND(ISNUMBER(O2179),O2179&lt;0,ABS(L2179-(Q2179-IF(ISNUMBER(N2179),N2179,0)+IF(ISNUMBER(P2179),P2179,0)))&lt;=Summary!$B$2),"Negative realized loss not applied - check sign",IF(R2179&lt;0,"Principal paid exceeds prior balance",IF(AND(L2179&gt;Q2179,NOT(ISNUMBER(P2179))),"Balance increased but no Deferred_interest reported",IF(L2179&gt;R2179,"Reported balance higher than expected (missing increase/OC build)","Reported balance lower than expected (missing decrease)"))))),""))</f>
        <v/>
      </c>
    </row>
    <row r="2180" customFormat="false" ht="15" hidden="false" customHeight="false" outlineLevel="0" collapsed="false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9"/>
      <c r="L2180" s="9"/>
      <c r="M2180" s="9"/>
      <c r="N2180" s="9"/>
      <c r="O2180" s="9"/>
      <c r="P2180" s="9"/>
      <c r="Q2180" s="9"/>
      <c r="R2180" s="9" t="str">
        <f aca="false">IF(AND(A2180&lt;&gt;"",ISNUMBER(Q2180),ISNUMBER(L2180)),ROUND(Q2180-IF(ISNUMBER(N2180),N2180,0)-IF(ISNUMBER(O2180),O2180,0)+IF(ISNUMBER(P2180),P2180,0),2),"")</f>
        <v/>
      </c>
      <c r="S2180" s="9" t="str">
        <f aca="false">IF(R2180="","",ROUND(L2180-R2180,2))</f>
        <v/>
      </c>
      <c r="T2180" s="8" t="str">
        <f aca="false">IF(A2180="","",IF(S2180="","BYPASS",IF(ABS(S2180)&lt;=Summary!$B$2,"PASS","FAIL")))</f>
        <v/>
      </c>
      <c r="U2180" s="8" t="str">
        <f aca="false">IF(T2180="BYPASS",IF(NOT(ISNUMBER(Q2180)),"PreV_ETB missing","End_tr_balance missing"),IF(T2180="FAIL",IF(AND(ISNUMBER(K2180),ISNUMBER(L2180),ABS(L2180-(K2180-IF(ISNUMBER(N2180),N2180,0)-IF(ISNUMBER(O2180),O2180,0)+IF(ISNUMBER(P2180),P2180,0)))&lt;=Summary!$B$2),"Passes using beginning_balance - PreV_ETB differs from beginning_balance",IF(AND(ISNUMBER(O2180),O2180&lt;0,ABS(L2180-(Q2180-IF(ISNUMBER(N2180),N2180,0)+IF(ISNUMBER(P2180),P2180,0)))&lt;=Summary!$B$2),"Negative realized loss not applied - check sign",IF(R2180&lt;0,"Principal paid exceeds prior balance",IF(AND(L2180&gt;Q2180,NOT(ISNUMBER(P2180))),"Balance increased but no Deferred_interest reported",IF(L2180&gt;R2180,"Reported balance higher than expected (missing increase/OC build)","Reported balance lower than expected (missing decrease)"))))),""))</f>
        <v/>
      </c>
    </row>
    <row r="2181" customFormat="false" ht="15" hidden="false" customHeight="false" outlineLevel="0" collapsed="false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9"/>
      <c r="L2181" s="9"/>
      <c r="M2181" s="9"/>
      <c r="N2181" s="9"/>
      <c r="O2181" s="9"/>
      <c r="P2181" s="9"/>
      <c r="Q2181" s="9"/>
      <c r="R2181" s="9" t="str">
        <f aca="false">IF(AND(A2181&lt;&gt;"",ISNUMBER(Q2181),ISNUMBER(L2181)),ROUND(Q2181-IF(ISNUMBER(N2181),N2181,0)-IF(ISNUMBER(O2181),O2181,0)+IF(ISNUMBER(P2181),P2181,0),2),"")</f>
        <v/>
      </c>
      <c r="S2181" s="9" t="str">
        <f aca="false">IF(R2181="","",ROUND(L2181-R2181,2))</f>
        <v/>
      </c>
      <c r="T2181" s="8" t="str">
        <f aca="false">IF(A2181="","",IF(S2181="","BYPASS",IF(ABS(S2181)&lt;=Summary!$B$2,"PASS","FAIL")))</f>
        <v/>
      </c>
      <c r="U2181" s="8" t="str">
        <f aca="false">IF(T2181="BYPASS",IF(NOT(ISNUMBER(Q2181)),"PreV_ETB missing","End_tr_balance missing"),IF(T2181="FAIL",IF(AND(ISNUMBER(K2181),ISNUMBER(L2181),ABS(L2181-(K2181-IF(ISNUMBER(N2181),N2181,0)-IF(ISNUMBER(O2181),O2181,0)+IF(ISNUMBER(P2181),P2181,0)))&lt;=Summary!$B$2),"Passes using beginning_balance - PreV_ETB differs from beginning_balance",IF(AND(ISNUMBER(O2181),O2181&lt;0,ABS(L2181-(Q2181-IF(ISNUMBER(N2181),N2181,0)+IF(ISNUMBER(P2181),P2181,0)))&lt;=Summary!$B$2),"Negative realized loss not applied - check sign",IF(R2181&lt;0,"Principal paid exceeds prior balance",IF(AND(L2181&gt;Q2181,NOT(ISNUMBER(P2181))),"Balance increased but no Deferred_interest reported",IF(L2181&gt;R2181,"Reported balance higher than expected (missing increase/OC build)","Reported balance lower than expected (missing decrease)"))))),""))</f>
        <v/>
      </c>
    </row>
    <row r="2182" customFormat="false" ht="15" hidden="false" customHeight="false" outlineLevel="0" collapsed="false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9"/>
      <c r="L2182" s="9"/>
      <c r="M2182" s="9"/>
      <c r="N2182" s="9"/>
      <c r="O2182" s="9"/>
      <c r="P2182" s="9"/>
      <c r="Q2182" s="9"/>
      <c r="R2182" s="9" t="str">
        <f aca="false">IF(AND(A2182&lt;&gt;"",ISNUMBER(Q2182),ISNUMBER(L2182)),ROUND(Q2182-IF(ISNUMBER(N2182),N2182,0)-IF(ISNUMBER(O2182),O2182,0)+IF(ISNUMBER(P2182),P2182,0),2),"")</f>
        <v/>
      </c>
      <c r="S2182" s="9" t="str">
        <f aca="false">IF(R2182="","",ROUND(L2182-R2182,2))</f>
        <v/>
      </c>
      <c r="T2182" s="8" t="str">
        <f aca="false">IF(A2182="","",IF(S2182="","BYPASS",IF(ABS(S2182)&lt;=Summary!$B$2,"PASS","FAIL")))</f>
        <v/>
      </c>
      <c r="U2182" s="8" t="str">
        <f aca="false">IF(T2182="BYPASS",IF(NOT(ISNUMBER(Q2182)),"PreV_ETB missing","End_tr_balance missing"),IF(T2182="FAIL",IF(AND(ISNUMBER(K2182),ISNUMBER(L2182),ABS(L2182-(K2182-IF(ISNUMBER(N2182),N2182,0)-IF(ISNUMBER(O2182),O2182,0)+IF(ISNUMBER(P2182),P2182,0)))&lt;=Summary!$B$2),"Passes using beginning_balance - PreV_ETB differs from beginning_balance",IF(AND(ISNUMBER(O2182),O2182&lt;0,ABS(L2182-(Q2182-IF(ISNUMBER(N2182),N2182,0)+IF(ISNUMBER(P2182),P2182,0)))&lt;=Summary!$B$2),"Negative realized loss not applied - check sign",IF(R2182&lt;0,"Principal paid exceeds prior balance",IF(AND(L2182&gt;Q2182,NOT(ISNUMBER(P2182))),"Balance increased but no Deferred_interest reported",IF(L2182&gt;R2182,"Reported balance higher than expected (missing increase/OC build)","Reported balance lower than expected (missing decrease)"))))),""))</f>
        <v/>
      </c>
    </row>
    <row r="2183" customFormat="false" ht="15" hidden="false" customHeight="false" outlineLevel="0" collapsed="false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9"/>
      <c r="L2183" s="9"/>
      <c r="M2183" s="9"/>
      <c r="N2183" s="9"/>
      <c r="O2183" s="9"/>
      <c r="P2183" s="9"/>
      <c r="Q2183" s="9"/>
      <c r="R2183" s="9" t="str">
        <f aca="false">IF(AND(A2183&lt;&gt;"",ISNUMBER(Q2183),ISNUMBER(L2183)),ROUND(Q2183-IF(ISNUMBER(N2183),N2183,0)-IF(ISNUMBER(O2183),O2183,0)+IF(ISNUMBER(P2183),P2183,0),2),"")</f>
        <v/>
      </c>
      <c r="S2183" s="9" t="str">
        <f aca="false">IF(R2183="","",ROUND(L2183-R2183,2))</f>
        <v/>
      </c>
      <c r="T2183" s="8" t="str">
        <f aca="false">IF(A2183="","",IF(S2183="","BYPASS",IF(ABS(S2183)&lt;=Summary!$B$2,"PASS","FAIL")))</f>
        <v/>
      </c>
      <c r="U2183" s="8" t="str">
        <f aca="false">IF(T2183="BYPASS",IF(NOT(ISNUMBER(Q2183)),"PreV_ETB missing","End_tr_balance missing"),IF(T2183="FAIL",IF(AND(ISNUMBER(K2183),ISNUMBER(L2183),ABS(L2183-(K2183-IF(ISNUMBER(N2183),N2183,0)-IF(ISNUMBER(O2183),O2183,0)+IF(ISNUMBER(P2183),P2183,0)))&lt;=Summary!$B$2),"Passes using beginning_balance - PreV_ETB differs from beginning_balance",IF(AND(ISNUMBER(O2183),O2183&lt;0,ABS(L2183-(Q2183-IF(ISNUMBER(N2183),N2183,0)+IF(ISNUMBER(P2183),P2183,0)))&lt;=Summary!$B$2),"Negative realized loss not applied - check sign",IF(R2183&lt;0,"Principal paid exceeds prior balance",IF(AND(L2183&gt;Q2183,NOT(ISNUMBER(P2183))),"Balance increased but no Deferred_interest reported",IF(L2183&gt;R2183,"Reported balance higher than expected (missing increase/OC build)","Reported balance lower than expected (missing decrease)"))))),""))</f>
        <v/>
      </c>
    </row>
    <row r="2184" customFormat="false" ht="15" hidden="false" customHeight="false" outlineLevel="0" collapsed="false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9"/>
      <c r="L2184" s="9"/>
      <c r="M2184" s="9"/>
      <c r="N2184" s="9"/>
      <c r="O2184" s="9"/>
      <c r="P2184" s="9"/>
      <c r="Q2184" s="9"/>
      <c r="R2184" s="9" t="str">
        <f aca="false">IF(AND(A2184&lt;&gt;"",ISNUMBER(Q2184),ISNUMBER(L2184)),ROUND(Q2184-IF(ISNUMBER(N2184),N2184,0)-IF(ISNUMBER(O2184),O2184,0)+IF(ISNUMBER(P2184),P2184,0),2),"")</f>
        <v/>
      </c>
      <c r="S2184" s="9" t="str">
        <f aca="false">IF(R2184="","",ROUND(L2184-R2184,2))</f>
        <v/>
      </c>
      <c r="T2184" s="8" t="str">
        <f aca="false">IF(A2184="","",IF(S2184="","BYPASS",IF(ABS(S2184)&lt;=Summary!$B$2,"PASS","FAIL")))</f>
        <v/>
      </c>
      <c r="U2184" s="8" t="str">
        <f aca="false">IF(T2184="BYPASS",IF(NOT(ISNUMBER(Q2184)),"PreV_ETB missing","End_tr_balance missing"),IF(T2184="FAIL",IF(AND(ISNUMBER(K2184),ISNUMBER(L2184),ABS(L2184-(K2184-IF(ISNUMBER(N2184),N2184,0)-IF(ISNUMBER(O2184),O2184,0)+IF(ISNUMBER(P2184),P2184,0)))&lt;=Summary!$B$2),"Passes using beginning_balance - PreV_ETB differs from beginning_balance",IF(AND(ISNUMBER(O2184),O2184&lt;0,ABS(L2184-(Q2184-IF(ISNUMBER(N2184),N2184,0)+IF(ISNUMBER(P2184),P2184,0)))&lt;=Summary!$B$2),"Negative realized loss not applied - check sign",IF(R2184&lt;0,"Principal paid exceeds prior balance",IF(AND(L2184&gt;Q2184,NOT(ISNUMBER(P2184))),"Balance increased but no Deferred_interest reported",IF(L2184&gt;R2184,"Reported balance higher than expected (missing increase/OC build)","Reported balance lower than expected (missing decrease)"))))),""))</f>
        <v/>
      </c>
    </row>
    <row r="2185" customFormat="false" ht="15" hidden="false" customHeight="false" outlineLevel="0" collapsed="false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9"/>
      <c r="L2185" s="9"/>
      <c r="M2185" s="9"/>
      <c r="N2185" s="9"/>
      <c r="O2185" s="9"/>
      <c r="P2185" s="9"/>
      <c r="Q2185" s="9"/>
      <c r="R2185" s="9" t="str">
        <f aca="false">IF(AND(A2185&lt;&gt;"",ISNUMBER(Q2185),ISNUMBER(L2185)),ROUND(Q2185-IF(ISNUMBER(N2185),N2185,0)-IF(ISNUMBER(O2185),O2185,0)+IF(ISNUMBER(P2185),P2185,0),2),"")</f>
        <v/>
      </c>
      <c r="S2185" s="9" t="str">
        <f aca="false">IF(R2185="","",ROUND(L2185-R2185,2))</f>
        <v/>
      </c>
      <c r="T2185" s="8" t="str">
        <f aca="false">IF(A2185="","",IF(S2185="","BYPASS",IF(ABS(S2185)&lt;=Summary!$B$2,"PASS","FAIL")))</f>
        <v/>
      </c>
      <c r="U2185" s="8" t="str">
        <f aca="false">IF(T2185="BYPASS",IF(NOT(ISNUMBER(Q2185)),"PreV_ETB missing","End_tr_balance missing"),IF(T2185="FAIL",IF(AND(ISNUMBER(K2185),ISNUMBER(L2185),ABS(L2185-(K2185-IF(ISNUMBER(N2185),N2185,0)-IF(ISNUMBER(O2185),O2185,0)+IF(ISNUMBER(P2185),P2185,0)))&lt;=Summary!$B$2),"Passes using beginning_balance - PreV_ETB differs from beginning_balance",IF(AND(ISNUMBER(O2185),O2185&lt;0,ABS(L2185-(Q2185-IF(ISNUMBER(N2185),N2185,0)+IF(ISNUMBER(P2185),P2185,0)))&lt;=Summary!$B$2),"Negative realized loss not applied - check sign",IF(R2185&lt;0,"Principal paid exceeds prior balance",IF(AND(L2185&gt;Q2185,NOT(ISNUMBER(P2185))),"Balance increased but no Deferred_interest reported",IF(L2185&gt;R2185,"Reported balance higher than expected (missing increase/OC build)","Reported balance lower than expected (missing decrease)"))))),""))</f>
        <v/>
      </c>
    </row>
    <row r="2186" customFormat="false" ht="15" hidden="false" customHeight="false" outlineLevel="0" collapsed="false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9"/>
      <c r="L2186" s="9"/>
      <c r="M2186" s="9"/>
      <c r="N2186" s="9"/>
      <c r="O2186" s="9"/>
      <c r="P2186" s="9"/>
      <c r="Q2186" s="9"/>
      <c r="R2186" s="9" t="str">
        <f aca="false">IF(AND(A2186&lt;&gt;"",ISNUMBER(Q2186),ISNUMBER(L2186)),ROUND(Q2186-IF(ISNUMBER(N2186),N2186,0)-IF(ISNUMBER(O2186),O2186,0)+IF(ISNUMBER(P2186),P2186,0),2),"")</f>
        <v/>
      </c>
      <c r="S2186" s="9" t="str">
        <f aca="false">IF(R2186="","",ROUND(L2186-R2186,2))</f>
        <v/>
      </c>
      <c r="T2186" s="8" t="str">
        <f aca="false">IF(A2186="","",IF(S2186="","BYPASS",IF(ABS(S2186)&lt;=Summary!$B$2,"PASS","FAIL")))</f>
        <v/>
      </c>
      <c r="U2186" s="8" t="str">
        <f aca="false">IF(T2186="BYPASS",IF(NOT(ISNUMBER(Q2186)),"PreV_ETB missing","End_tr_balance missing"),IF(T2186="FAIL",IF(AND(ISNUMBER(K2186),ISNUMBER(L2186),ABS(L2186-(K2186-IF(ISNUMBER(N2186),N2186,0)-IF(ISNUMBER(O2186),O2186,0)+IF(ISNUMBER(P2186),P2186,0)))&lt;=Summary!$B$2),"Passes using beginning_balance - PreV_ETB differs from beginning_balance",IF(AND(ISNUMBER(O2186),O2186&lt;0,ABS(L2186-(Q2186-IF(ISNUMBER(N2186),N2186,0)+IF(ISNUMBER(P2186),P2186,0)))&lt;=Summary!$B$2),"Negative realized loss not applied - check sign",IF(R2186&lt;0,"Principal paid exceeds prior balance",IF(AND(L2186&gt;Q2186,NOT(ISNUMBER(P2186))),"Balance increased but no Deferred_interest reported",IF(L2186&gt;R2186,"Reported balance higher than expected (missing increase/OC build)","Reported balance lower than expected (missing decrease)"))))),""))</f>
        <v/>
      </c>
    </row>
    <row r="2187" customFormat="false" ht="15" hidden="false" customHeight="false" outlineLevel="0" collapsed="false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9"/>
      <c r="L2187" s="9"/>
      <c r="M2187" s="9"/>
      <c r="N2187" s="9"/>
      <c r="O2187" s="9"/>
      <c r="P2187" s="9"/>
      <c r="Q2187" s="9"/>
      <c r="R2187" s="9" t="str">
        <f aca="false">IF(AND(A2187&lt;&gt;"",ISNUMBER(Q2187),ISNUMBER(L2187)),ROUND(Q2187-IF(ISNUMBER(N2187),N2187,0)-IF(ISNUMBER(O2187),O2187,0)+IF(ISNUMBER(P2187),P2187,0),2),"")</f>
        <v/>
      </c>
      <c r="S2187" s="9" t="str">
        <f aca="false">IF(R2187="","",ROUND(L2187-R2187,2))</f>
        <v/>
      </c>
      <c r="T2187" s="8" t="str">
        <f aca="false">IF(A2187="","",IF(S2187="","BYPASS",IF(ABS(S2187)&lt;=Summary!$B$2,"PASS","FAIL")))</f>
        <v/>
      </c>
      <c r="U2187" s="8" t="str">
        <f aca="false">IF(T2187="BYPASS",IF(NOT(ISNUMBER(Q2187)),"PreV_ETB missing","End_tr_balance missing"),IF(T2187="FAIL",IF(AND(ISNUMBER(K2187),ISNUMBER(L2187),ABS(L2187-(K2187-IF(ISNUMBER(N2187),N2187,0)-IF(ISNUMBER(O2187),O2187,0)+IF(ISNUMBER(P2187),P2187,0)))&lt;=Summary!$B$2),"Passes using beginning_balance - PreV_ETB differs from beginning_balance",IF(AND(ISNUMBER(O2187),O2187&lt;0,ABS(L2187-(Q2187-IF(ISNUMBER(N2187),N2187,0)+IF(ISNUMBER(P2187),P2187,0)))&lt;=Summary!$B$2),"Negative realized loss not applied - check sign",IF(R2187&lt;0,"Principal paid exceeds prior balance",IF(AND(L2187&gt;Q2187,NOT(ISNUMBER(P2187))),"Balance increased but no Deferred_interest reported",IF(L2187&gt;R2187,"Reported balance higher than expected (missing increase/OC build)","Reported balance lower than expected (missing decrease)"))))),""))</f>
        <v/>
      </c>
    </row>
    <row r="2188" customFormat="false" ht="15" hidden="false" customHeight="false" outlineLevel="0" collapsed="false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9"/>
      <c r="L2188" s="9"/>
      <c r="M2188" s="9"/>
      <c r="N2188" s="9"/>
      <c r="O2188" s="9"/>
      <c r="P2188" s="9"/>
      <c r="Q2188" s="9"/>
      <c r="R2188" s="9" t="str">
        <f aca="false">IF(AND(A2188&lt;&gt;"",ISNUMBER(Q2188),ISNUMBER(L2188)),ROUND(Q2188-IF(ISNUMBER(N2188),N2188,0)-IF(ISNUMBER(O2188),O2188,0)+IF(ISNUMBER(P2188),P2188,0),2),"")</f>
        <v/>
      </c>
      <c r="S2188" s="9" t="str">
        <f aca="false">IF(R2188="","",ROUND(L2188-R2188,2))</f>
        <v/>
      </c>
      <c r="T2188" s="8" t="str">
        <f aca="false">IF(A2188="","",IF(S2188="","BYPASS",IF(ABS(S2188)&lt;=Summary!$B$2,"PASS","FAIL")))</f>
        <v/>
      </c>
      <c r="U2188" s="8" t="str">
        <f aca="false">IF(T2188="BYPASS",IF(NOT(ISNUMBER(Q2188)),"PreV_ETB missing","End_tr_balance missing"),IF(T2188="FAIL",IF(AND(ISNUMBER(K2188),ISNUMBER(L2188),ABS(L2188-(K2188-IF(ISNUMBER(N2188),N2188,0)-IF(ISNUMBER(O2188),O2188,0)+IF(ISNUMBER(P2188),P2188,0)))&lt;=Summary!$B$2),"Passes using beginning_balance - PreV_ETB differs from beginning_balance",IF(AND(ISNUMBER(O2188),O2188&lt;0,ABS(L2188-(Q2188-IF(ISNUMBER(N2188),N2188,0)+IF(ISNUMBER(P2188),P2188,0)))&lt;=Summary!$B$2),"Negative realized loss not applied - check sign",IF(R2188&lt;0,"Principal paid exceeds prior balance",IF(AND(L2188&gt;Q2188,NOT(ISNUMBER(P2188))),"Balance increased but no Deferred_interest reported",IF(L2188&gt;R2188,"Reported balance higher than expected (missing increase/OC build)","Reported balance lower than expected (missing decrease)"))))),""))</f>
        <v/>
      </c>
    </row>
    <row r="2189" customFormat="false" ht="15" hidden="false" customHeight="false" outlineLevel="0" collapsed="false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9"/>
      <c r="L2189" s="9"/>
      <c r="M2189" s="9"/>
      <c r="N2189" s="9"/>
      <c r="O2189" s="9"/>
      <c r="P2189" s="9"/>
      <c r="Q2189" s="9"/>
      <c r="R2189" s="9" t="str">
        <f aca="false">IF(AND(A2189&lt;&gt;"",ISNUMBER(Q2189),ISNUMBER(L2189)),ROUND(Q2189-IF(ISNUMBER(N2189),N2189,0)-IF(ISNUMBER(O2189),O2189,0)+IF(ISNUMBER(P2189),P2189,0),2),"")</f>
        <v/>
      </c>
      <c r="S2189" s="9" t="str">
        <f aca="false">IF(R2189="","",ROUND(L2189-R2189,2))</f>
        <v/>
      </c>
      <c r="T2189" s="8" t="str">
        <f aca="false">IF(A2189="","",IF(S2189="","BYPASS",IF(ABS(S2189)&lt;=Summary!$B$2,"PASS","FAIL")))</f>
        <v/>
      </c>
      <c r="U2189" s="8" t="str">
        <f aca="false">IF(T2189="BYPASS",IF(NOT(ISNUMBER(Q2189)),"PreV_ETB missing","End_tr_balance missing"),IF(T2189="FAIL",IF(AND(ISNUMBER(K2189),ISNUMBER(L2189),ABS(L2189-(K2189-IF(ISNUMBER(N2189),N2189,0)-IF(ISNUMBER(O2189),O2189,0)+IF(ISNUMBER(P2189),P2189,0)))&lt;=Summary!$B$2),"Passes using beginning_balance - PreV_ETB differs from beginning_balance",IF(AND(ISNUMBER(O2189),O2189&lt;0,ABS(L2189-(Q2189-IF(ISNUMBER(N2189),N2189,0)+IF(ISNUMBER(P2189),P2189,0)))&lt;=Summary!$B$2),"Negative realized loss not applied - check sign",IF(R2189&lt;0,"Principal paid exceeds prior balance",IF(AND(L2189&gt;Q2189,NOT(ISNUMBER(P2189))),"Balance increased but no Deferred_interest reported",IF(L2189&gt;R2189,"Reported balance higher than expected (missing increase/OC build)","Reported balance lower than expected (missing decrease)"))))),""))</f>
        <v/>
      </c>
    </row>
    <row r="2190" customFormat="false" ht="15" hidden="false" customHeight="false" outlineLevel="0" collapsed="false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9"/>
      <c r="L2190" s="9"/>
      <c r="M2190" s="9"/>
      <c r="N2190" s="9"/>
      <c r="O2190" s="9"/>
      <c r="P2190" s="9"/>
      <c r="Q2190" s="9"/>
      <c r="R2190" s="9" t="str">
        <f aca="false">IF(AND(A2190&lt;&gt;"",ISNUMBER(Q2190),ISNUMBER(L2190)),ROUND(Q2190-IF(ISNUMBER(N2190),N2190,0)-IF(ISNUMBER(O2190),O2190,0)+IF(ISNUMBER(P2190),P2190,0),2),"")</f>
        <v/>
      </c>
      <c r="S2190" s="9" t="str">
        <f aca="false">IF(R2190="","",ROUND(L2190-R2190,2))</f>
        <v/>
      </c>
      <c r="T2190" s="8" t="str">
        <f aca="false">IF(A2190="","",IF(S2190="","BYPASS",IF(ABS(S2190)&lt;=Summary!$B$2,"PASS","FAIL")))</f>
        <v/>
      </c>
      <c r="U2190" s="8" t="str">
        <f aca="false">IF(T2190="BYPASS",IF(NOT(ISNUMBER(Q2190)),"PreV_ETB missing","End_tr_balance missing"),IF(T2190="FAIL",IF(AND(ISNUMBER(K2190),ISNUMBER(L2190),ABS(L2190-(K2190-IF(ISNUMBER(N2190),N2190,0)-IF(ISNUMBER(O2190),O2190,0)+IF(ISNUMBER(P2190),P2190,0)))&lt;=Summary!$B$2),"Passes using beginning_balance - PreV_ETB differs from beginning_balance",IF(AND(ISNUMBER(O2190),O2190&lt;0,ABS(L2190-(Q2190-IF(ISNUMBER(N2190),N2190,0)+IF(ISNUMBER(P2190),P2190,0)))&lt;=Summary!$B$2),"Negative realized loss not applied - check sign",IF(R2190&lt;0,"Principal paid exceeds prior balance",IF(AND(L2190&gt;Q2190,NOT(ISNUMBER(P2190))),"Balance increased but no Deferred_interest reported",IF(L2190&gt;R2190,"Reported balance higher than expected (missing increase/OC build)","Reported balance lower than expected (missing decrease)"))))),""))</f>
        <v/>
      </c>
    </row>
    <row r="2191" customFormat="false" ht="15" hidden="false" customHeight="false" outlineLevel="0" collapsed="false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9"/>
      <c r="L2191" s="9"/>
      <c r="M2191" s="9"/>
      <c r="N2191" s="9"/>
      <c r="O2191" s="9"/>
      <c r="P2191" s="9"/>
      <c r="Q2191" s="9"/>
      <c r="R2191" s="9" t="str">
        <f aca="false">IF(AND(A2191&lt;&gt;"",ISNUMBER(Q2191),ISNUMBER(L2191)),ROUND(Q2191-IF(ISNUMBER(N2191),N2191,0)-IF(ISNUMBER(O2191),O2191,0)+IF(ISNUMBER(P2191),P2191,0),2),"")</f>
        <v/>
      </c>
      <c r="S2191" s="9" t="str">
        <f aca="false">IF(R2191="","",ROUND(L2191-R2191,2))</f>
        <v/>
      </c>
      <c r="T2191" s="8" t="str">
        <f aca="false">IF(A2191="","",IF(S2191="","BYPASS",IF(ABS(S2191)&lt;=Summary!$B$2,"PASS","FAIL")))</f>
        <v/>
      </c>
      <c r="U2191" s="8" t="str">
        <f aca="false">IF(T2191="BYPASS",IF(NOT(ISNUMBER(Q2191)),"PreV_ETB missing","End_tr_balance missing"),IF(T2191="FAIL",IF(AND(ISNUMBER(K2191),ISNUMBER(L2191),ABS(L2191-(K2191-IF(ISNUMBER(N2191),N2191,0)-IF(ISNUMBER(O2191),O2191,0)+IF(ISNUMBER(P2191),P2191,0)))&lt;=Summary!$B$2),"Passes using beginning_balance - PreV_ETB differs from beginning_balance",IF(AND(ISNUMBER(O2191),O2191&lt;0,ABS(L2191-(Q2191-IF(ISNUMBER(N2191),N2191,0)+IF(ISNUMBER(P2191),P2191,0)))&lt;=Summary!$B$2),"Negative realized loss not applied - check sign",IF(R2191&lt;0,"Principal paid exceeds prior balance",IF(AND(L2191&gt;Q2191,NOT(ISNUMBER(P2191))),"Balance increased but no Deferred_interest reported",IF(L2191&gt;R2191,"Reported balance higher than expected (missing increase/OC build)","Reported balance lower than expected (missing decrease)"))))),""))</f>
        <v/>
      </c>
    </row>
    <row r="2192" customFormat="false" ht="15" hidden="false" customHeight="false" outlineLevel="0" collapsed="false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9"/>
      <c r="L2192" s="9"/>
      <c r="M2192" s="9"/>
      <c r="N2192" s="9"/>
      <c r="O2192" s="9"/>
      <c r="P2192" s="9"/>
      <c r="Q2192" s="9"/>
      <c r="R2192" s="9" t="str">
        <f aca="false">IF(AND(A2192&lt;&gt;"",ISNUMBER(Q2192),ISNUMBER(L2192)),ROUND(Q2192-IF(ISNUMBER(N2192),N2192,0)-IF(ISNUMBER(O2192),O2192,0)+IF(ISNUMBER(P2192),P2192,0),2),"")</f>
        <v/>
      </c>
      <c r="S2192" s="9" t="str">
        <f aca="false">IF(R2192="","",ROUND(L2192-R2192,2))</f>
        <v/>
      </c>
      <c r="T2192" s="8" t="str">
        <f aca="false">IF(A2192="","",IF(S2192="","BYPASS",IF(ABS(S2192)&lt;=Summary!$B$2,"PASS","FAIL")))</f>
        <v/>
      </c>
      <c r="U2192" s="8" t="str">
        <f aca="false">IF(T2192="BYPASS",IF(NOT(ISNUMBER(Q2192)),"PreV_ETB missing","End_tr_balance missing"),IF(T2192="FAIL",IF(AND(ISNUMBER(K2192),ISNUMBER(L2192),ABS(L2192-(K2192-IF(ISNUMBER(N2192),N2192,0)-IF(ISNUMBER(O2192),O2192,0)+IF(ISNUMBER(P2192),P2192,0)))&lt;=Summary!$B$2),"Passes using beginning_balance - PreV_ETB differs from beginning_balance",IF(AND(ISNUMBER(O2192),O2192&lt;0,ABS(L2192-(Q2192-IF(ISNUMBER(N2192),N2192,0)+IF(ISNUMBER(P2192),P2192,0)))&lt;=Summary!$B$2),"Negative realized loss not applied - check sign",IF(R2192&lt;0,"Principal paid exceeds prior balance",IF(AND(L2192&gt;Q2192,NOT(ISNUMBER(P2192))),"Balance increased but no Deferred_interest reported",IF(L2192&gt;R2192,"Reported balance higher than expected (missing increase/OC build)","Reported balance lower than expected (missing decrease)"))))),""))</f>
        <v/>
      </c>
    </row>
    <row r="2193" customFormat="false" ht="15" hidden="false" customHeight="false" outlineLevel="0" collapsed="false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9"/>
      <c r="L2193" s="9"/>
      <c r="M2193" s="9"/>
      <c r="N2193" s="9"/>
      <c r="O2193" s="9"/>
      <c r="P2193" s="9"/>
      <c r="Q2193" s="9"/>
      <c r="R2193" s="9" t="str">
        <f aca="false">IF(AND(A2193&lt;&gt;"",ISNUMBER(Q2193),ISNUMBER(L2193)),ROUND(Q2193-IF(ISNUMBER(N2193),N2193,0)-IF(ISNUMBER(O2193),O2193,0)+IF(ISNUMBER(P2193),P2193,0),2),"")</f>
        <v/>
      </c>
      <c r="S2193" s="9" t="str">
        <f aca="false">IF(R2193="","",ROUND(L2193-R2193,2))</f>
        <v/>
      </c>
      <c r="T2193" s="8" t="str">
        <f aca="false">IF(A2193="","",IF(S2193="","BYPASS",IF(ABS(S2193)&lt;=Summary!$B$2,"PASS","FAIL")))</f>
        <v/>
      </c>
      <c r="U2193" s="8" t="str">
        <f aca="false">IF(T2193="BYPASS",IF(NOT(ISNUMBER(Q2193)),"PreV_ETB missing","End_tr_balance missing"),IF(T2193="FAIL",IF(AND(ISNUMBER(K2193),ISNUMBER(L2193),ABS(L2193-(K2193-IF(ISNUMBER(N2193),N2193,0)-IF(ISNUMBER(O2193),O2193,0)+IF(ISNUMBER(P2193),P2193,0)))&lt;=Summary!$B$2),"Passes using beginning_balance - PreV_ETB differs from beginning_balance",IF(AND(ISNUMBER(O2193),O2193&lt;0,ABS(L2193-(Q2193-IF(ISNUMBER(N2193),N2193,0)+IF(ISNUMBER(P2193),P2193,0)))&lt;=Summary!$B$2),"Negative realized loss not applied - check sign",IF(R2193&lt;0,"Principal paid exceeds prior balance",IF(AND(L2193&gt;Q2193,NOT(ISNUMBER(P2193))),"Balance increased but no Deferred_interest reported",IF(L2193&gt;R2193,"Reported balance higher than expected (missing increase/OC build)","Reported balance lower than expected (missing decrease)"))))),""))</f>
        <v/>
      </c>
    </row>
    <row r="2194" customFormat="false" ht="15" hidden="false" customHeight="false" outlineLevel="0" collapsed="false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9"/>
      <c r="L2194" s="9"/>
      <c r="M2194" s="9"/>
      <c r="N2194" s="9"/>
      <c r="O2194" s="9"/>
      <c r="P2194" s="9"/>
      <c r="Q2194" s="9"/>
      <c r="R2194" s="9" t="str">
        <f aca="false">IF(AND(A2194&lt;&gt;"",ISNUMBER(Q2194),ISNUMBER(L2194)),ROUND(Q2194-IF(ISNUMBER(N2194),N2194,0)-IF(ISNUMBER(O2194),O2194,0)+IF(ISNUMBER(P2194),P2194,0),2),"")</f>
        <v/>
      </c>
      <c r="S2194" s="9" t="str">
        <f aca="false">IF(R2194="","",ROUND(L2194-R2194,2))</f>
        <v/>
      </c>
      <c r="T2194" s="8" t="str">
        <f aca="false">IF(A2194="","",IF(S2194="","BYPASS",IF(ABS(S2194)&lt;=Summary!$B$2,"PASS","FAIL")))</f>
        <v/>
      </c>
      <c r="U2194" s="8" t="str">
        <f aca="false">IF(T2194="BYPASS",IF(NOT(ISNUMBER(Q2194)),"PreV_ETB missing","End_tr_balance missing"),IF(T2194="FAIL",IF(AND(ISNUMBER(K2194),ISNUMBER(L2194),ABS(L2194-(K2194-IF(ISNUMBER(N2194),N2194,0)-IF(ISNUMBER(O2194),O2194,0)+IF(ISNUMBER(P2194),P2194,0)))&lt;=Summary!$B$2),"Passes using beginning_balance - PreV_ETB differs from beginning_balance",IF(AND(ISNUMBER(O2194),O2194&lt;0,ABS(L2194-(Q2194-IF(ISNUMBER(N2194),N2194,0)+IF(ISNUMBER(P2194),P2194,0)))&lt;=Summary!$B$2),"Negative realized loss not applied - check sign",IF(R2194&lt;0,"Principal paid exceeds prior balance",IF(AND(L2194&gt;Q2194,NOT(ISNUMBER(P2194))),"Balance increased but no Deferred_interest reported",IF(L2194&gt;R2194,"Reported balance higher than expected (missing increase/OC build)","Reported balance lower than expected (missing decrease)"))))),""))</f>
        <v/>
      </c>
    </row>
    <row r="2195" customFormat="false" ht="15" hidden="false" customHeight="false" outlineLevel="0" collapsed="false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9"/>
      <c r="L2195" s="9"/>
      <c r="M2195" s="9"/>
      <c r="N2195" s="9"/>
      <c r="O2195" s="9"/>
      <c r="P2195" s="9"/>
      <c r="Q2195" s="9"/>
      <c r="R2195" s="9" t="str">
        <f aca="false">IF(AND(A2195&lt;&gt;"",ISNUMBER(Q2195),ISNUMBER(L2195)),ROUND(Q2195-IF(ISNUMBER(N2195),N2195,0)-IF(ISNUMBER(O2195),O2195,0)+IF(ISNUMBER(P2195),P2195,0),2),"")</f>
        <v/>
      </c>
      <c r="S2195" s="9" t="str">
        <f aca="false">IF(R2195="","",ROUND(L2195-R2195,2))</f>
        <v/>
      </c>
      <c r="T2195" s="8" t="str">
        <f aca="false">IF(A2195="","",IF(S2195="","BYPASS",IF(ABS(S2195)&lt;=Summary!$B$2,"PASS","FAIL")))</f>
        <v/>
      </c>
      <c r="U2195" s="8" t="str">
        <f aca="false">IF(T2195="BYPASS",IF(NOT(ISNUMBER(Q2195)),"PreV_ETB missing","End_tr_balance missing"),IF(T2195="FAIL",IF(AND(ISNUMBER(K2195),ISNUMBER(L2195),ABS(L2195-(K2195-IF(ISNUMBER(N2195),N2195,0)-IF(ISNUMBER(O2195),O2195,0)+IF(ISNUMBER(P2195),P2195,0)))&lt;=Summary!$B$2),"Passes using beginning_balance - PreV_ETB differs from beginning_balance",IF(AND(ISNUMBER(O2195),O2195&lt;0,ABS(L2195-(Q2195-IF(ISNUMBER(N2195),N2195,0)+IF(ISNUMBER(P2195),P2195,0)))&lt;=Summary!$B$2),"Negative realized loss not applied - check sign",IF(R2195&lt;0,"Principal paid exceeds prior balance",IF(AND(L2195&gt;Q2195,NOT(ISNUMBER(P2195))),"Balance increased but no Deferred_interest reported",IF(L2195&gt;R2195,"Reported balance higher than expected (missing increase/OC build)","Reported balance lower than expected (missing decrease)"))))),""))</f>
        <v/>
      </c>
    </row>
    <row r="2196" customFormat="false" ht="15" hidden="false" customHeight="false" outlineLevel="0" collapsed="false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9"/>
      <c r="L2196" s="9"/>
      <c r="M2196" s="9"/>
      <c r="N2196" s="9"/>
      <c r="O2196" s="9"/>
      <c r="P2196" s="9"/>
      <c r="Q2196" s="9"/>
      <c r="R2196" s="9" t="str">
        <f aca="false">IF(AND(A2196&lt;&gt;"",ISNUMBER(Q2196),ISNUMBER(L2196)),ROUND(Q2196-IF(ISNUMBER(N2196),N2196,0)-IF(ISNUMBER(O2196),O2196,0)+IF(ISNUMBER(P2196),P2196,0),2),"")</f>
        <v/>
      </c>
      <c r="S2196" s="9" t="str">
        <f aca="false">IF(R2196="","",ROUND(L2196-R2196,2))</f>
        <v/>
      </c>
      <c r="T2196" s="8" t="str">
        <f aca="false">IF(A2196="","",IF(S2196="","BYPASS",IF(ABS(S2196)&lt;=Summary!$B$2,"PASS","FAIL")))</f>
        <v/>
      </c>
      <c r="U2196" s="8" t="str">
        <f aca="false">IF(T2196="BYPASS",IF(NOT(ISNUMBER(Q2196)),"PreV_ETB missing","End_tr_balance missing"),IF(T2196="FAIL",IF(AND(ISNUMBER(K2196),ISNUMBER(L2196),ABS(L2196-(K2196-IF(ISNUMBER(N2196),N2196,0)-IF(ISNUMBER(O2196),O2196,0)+IF(ISNUMBER(P2196),P2196,0)))&lt;=Summary!$B$2),"Passes using beginning_balance - PreV_ETB differs from beginning_balance",IF(AND(ISNUMBER(O2196),O2196&lt;0,ABS(L2196-(Q2196-IF(ISNUMBER(N2196),N2196,0)+IF(ISNUMBER(P2196),P2196,0)))&lt;=Summary!$B$2),"Negative realized loss not applied - check sign",IF(R2196&lt;0,"Principal paid exceeds prior balance",IF(AND(L2196&gt;Q2196,NOT(ISNUMBER(P2196))),"Balance increased but no Deferred_interest reported",IF(L2196&gt;R2196,"Reported balance higher than expected (missing increase/OC build)","Reported balance lower than expected (missing decrease)"))))),""))</f>
        <v/>
      </c>
    </row>
    <row r="2197" customFormat="false" ht="15" hidden="false" customHeight="false" outlineLevel="0" collapsed="false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9"/>
      <c r="L2197" s="9"/>
      <c r="M2197" s="9"/>
      <c r="N2197" s="9"/>
      <c r="O2197" s="9"/>
      <c r="P2197" s="9"/>
      <c r="Q2197" s="9"/>
      <c r="R2197" s="9" t="str">
        <f aca="false">IF(AND(A2197&lt;&gt;"",ISNUMBER(Q2197),ISNUMBER(L2197)),ROUND(Q2197-IF(ISNUMBER(N2197),N2197,0)-IF(ISNUMBER(O2197),O2197,0)+IF(ISNUMBER(P2197),P2197,0),2),"")</f>
        <v/>
      </c>
      <c r="S2197" s="9" t="str">
        <f aca="false">IF(R2197="","",ROUND(L2197-R2197,2))</f>
        <v/>
      </c>
      <c r="T2197" s="8" t="str">
        <f aca="false">IF(A2197="","",IF(S2197="","BYPASS",IF(ABS(S2197)&lt;=Summary!$B$2,"PASS","FAIL")))</f>
        <v/>
      </c>
      <c r="U2197" s="8" t="str">
        <f aca="false">IF(T2197="BYPASS",IF(NOT(ISNUMBER(Q2197)),"PreV_ETB missing","End_tr_balance missing"),IF(T2197="FAIL",IF(AND(ISNUMBER(K2197),ISNUMBER(L2197),ABS(L2197-(K2197-IF(ISNUMBER(N2197),N2197,0)-IF(ISNUMBER(O2197),O2197,0)+IF(ISNUMBER(P2197),P2197,0)))&lt;=Summary!$B$2),"Passes using beginning_balance - PreV_ETB differs from beginning_balance",IF(AND(ISNUMBER(O2197),O2197&lt;0,ABS(L2197-(Q2197-IF(ISNUMBER(N2197),N2197,0)+IF(ISNUMBER(P2197),P2197,0)))&lt;=Summary!$B$2),"Negative realized loss not applied - check sign",IF(R2197&lt;0,"Principal paid exceeds prior balance",IF(AND(L2197&gt;Q2197,NOT(ISNUMBER(P2197))),"Balance increased but no Deferred_interest reported",IF(L2197&gt;R2197,"Reported balance higher than expected (missing increase/OC build)","Reported balance lower than expected (missing decrease)"))))),""))</f>
        <v/>
      </c>
    </row>
    <row r="2198" customFormat="false" ht="15" hidden="false" customHeight="false" outlineLevel="0" collapsed="false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9"/>
      <c r="L2198" s="9"/>
      <c r="M2198" s="9"/>
      <c r="N2198" s="9"/>
      <c r="O2198" s="9"/>
      <c r="P2198" s="9"/>
      <c r="Q2198" s="9"/>
      <c r="R2198" s="9" t="str">
        <f aca="false">IF(AND(A2198&lt;&gt;"",ISNUMBER(Q2198),ISNUMBER(L2198)),ROUND(Q2198-IF(ISNUMBER(N2198),N2198,0)-IF(ISNUMBER(O2198),O2198,0)+IF(ISNUMBER(P2198),P2198,0),2),"")</f>
        <v/>
      </c>
      <c r="S2198" s="9" t="str">
        <f aca="false">IF(R2198="","",ROUND(L2198-R2198,2))</f>
        <v/>
      </c>
      <c r="T2198" s="8" t="str">
        <f aca="false">IF(A2198="","",IF(S2198="","BYPASS",IF(ABS(S2198)&lt;=Summary!$B$2,"PASS","FAIL")))</f>
        <v/>
      </c>
      <c r="U2198" s="8" t="str">
        <f aca="false">IF(T2198="BYPASS",IF(NOT(ISNUMBER(Q2198)),"PreV_ETB missing","End_tr_balance missing"),IF(T2198="FAIL",IF(AND(ISNUMBER(K2198),ISNUMBER(L2198),ABS(L2198-(K2198-IF(ISNUMBER(N2198),N2198,0)-IF(ISNUMBER(O2198),O2198,0)+IF(ISNUMBER(P2198),P2198,0)))&lt;=Summary!$B$2),"Passes using beginning_balance - PreV_ETB differs from beginning_balance",IF(AND(ISNUMBER(O2198),O2198&lt;0,ABS(L2198-(Q2198-IF(ISNUMBER(N2198),N2198,0)+IF(ISNUMBER(P2198),P2198,0)))&lt;=Summary!$B$2),"Negative realized loss not applied - check sign",IF(R2198&lt;0,"Principal paid exceeds prior balance",IF(AND(L2198&gt;Q2198,NOT(ISNUMBER(P2198))),"Balance increased but no Deferred_interest reported",IF(L2198&gt;R2198,"Reported balance higher than expected (missing increase/OC build)","Reported balance lower than expected (missing decrease)"))))),""))</f>
        <v/>
      </c>
    </row>
    <row r="2199" customFormat="false" ht="15" hidden="false" customHeight="false" outlineLevel="0" collapsed="false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9"/>
      <c r="L2199" s="9"/>
      <c r="M2199" s="9"/>
      <c r="N2199" s="9"/>
      <c r="O2199" s="9"/>
      <c r="P2199" s="9"/>
      <c r="Q2199" s="9"/>
      <c r="R2199" s="9" t="str">
        <f aca="false">IF(AND(A2199&lt;&gt;"",ISNUMBER(Q2199),ISNUMBER(L2199)),ROUND(Q2199-IF(ISNUMBER(N2199),N2199,0)-IF(ISNUMBER(O2199),O2199,0)+IF(ISNUMBER(P2199),P2199,0),2),"")</f>
        <v/>
      </c>
      <c r="S2199" s="9" t="str">
        <f aca="false">IF(R2199="","",ROUND(L2199-R2199,2))</f>
        <v/>
      </c>
      <c r="T2199" s="8" t="str">
        <f aca="false">IF(A2199="","",IF(S2199="","BYPASS",IF(ABS(S2199)&lt;=Summary!$B$2,"PASS","FAIL")))</f>
        <v/>
      </c>
      <c r="U2199" s="8" t="str">
        <f aca="false">IF(T2199="BYPASS",IF(NOT(ISNUMBER(Q2199)),"PreV_ETB missing","End_tr_balance missing"),IF(T2199="FAIL",IF(AND(ISNUMBER(K2199),ISNUMBER(L2199),ABS(L2199-(K2199-IF(ISNUMBER(N2199),N2199,0)-IF(ISNUMBER(O2199),O2199,0)+IF(ISNUMBER(P2199),P2199,0)))&lt;=Summary!$B$2),"Passes using beginning_balance - PreV_ETB differs from beginning_balance",IF(AND(ISNUMBER(O2199),O2199&lt;0,ABS(L2199-(Q2199-IF(ISNUMBER(N2199),N2199,0)+IF(ISNUMBER(P2199),P2199,0)))&lt;=Summary!$B$2),"Negative realized loss not applied - check sign",IF(R2199&lt;0,"Principal paid exceeds prior balance",IF(AND(L2199&gt;Q2199,NOT(ISNUMBER(P2199))),"Balance increased but no Deferred_interest reported",IF(L2199&gt;R2199,"Reported balance higher than expected (missing increase/OC build)","Reported balance lower than expected (missing decrease)"))))),""))</f>
        <v/>
      </c>
    </row>
    <row r="2200" customFormat="false" ht="15" hidden="false" customHeight="false" outlineLevel="0" collapsed="false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9"/>
      <c r="L2200" s="9"/>
      <c r="M2200" s="9"/>
      <c r="N2200" s="9"/>
      <c r="O2200" s="9"/>
      <c r="P2200" s="9"/>
      <c r="Q2200" s="9"/>
      <c r="R2200" s="9" t="str">
        <f aca="false">IF(AND(A2200&lt;&gt;"",ISNUMBER(Q2200),ISNUMBER(L2200)),ROUND(Q2200-IF(ISNUMBER(N2200),N2200,0)-IF(ISNUMBER(O2200),O2200,0)+IF(ISNUMBER(P2200),P2200,0),2),"")</f>
        <v/>
      </c>
      <c r="S2200" s="9" t="str">
        <f aca="false">IF(R2200="","",ROUND(L2200-R2200,2))</f>
        <v/>
      </c>
      <c r="T2200" s="8" t="str">
        <f aca="false">IF(A2200="","",IF(S2200="","BYPASS",IF(ABS(S2200)&lt;=Summary!$B$2,"PASS","FAIL")))</f>
        <v/>
      </c>
      <c r="U2200" s="8" t="str">
        <f aca="false">IF(T2200="BYPASS",IF(NOT(ISNUMBER(Q2200)),"PreV_ETB missing","End_tr_balance missing"),IF(T2200="FAIL",IF(AND(ISNUMBER(K2200),ISNUMBER(L2200),ABS(L2200-(K2200-IF(ISNUMBER(N2200),N2200,0)-IF(ISNUMBER(O2200),O2200,0)+IF(ISNUMBER(P2200),P2200,0)))&lt;=Summary!$B$2),"Passes using beginning_balance - PreV_ETB differs from beginning_balance",IF(AND(ISNUMBER(O2200),O2200&lt;0,ABS(L2200-(Q2200-IF(ISNUMBER(N2200),N2200,0)+IF(ISNUMBER(P2200),P2200,0)))&lt;=Summary!$B$2),"Negative realized loss not applied - check sign",IF(R2200&lt;0,"Principal paid exceeds prior balance",IF(AND(L2200&gt;Q2200,NOT(ISNUMBER(P2200))),"Balance increased but no Deferred_interest reported",IF(L2200&gt;R2200,"Reported balance higher than expected (missing increase/OC build)","Reported balance lower than expected (missing decrease)"))))),""))</f>
        <v/>
      </c>
    </row>
    <row r="2201" customFormat="false" ht="15" hidden="false" customHeight="false" outlineLevel="0" collapsed="false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9"/>
      <c r="L2201" s="9"/>
      <c r="M2201" s="9"/>
      <c r="N2201" s="9"/>
      <c r="O2201" s="9"/>
      <c r="P2201" s="9"/>
      <c r="Q2201" s="9"/>
      <c r="R2201" s="9" t="str">
        <f aca="false">IF(AND(A2201&lt;&gt;"",ISNUMBER(Q2201),ISNUMBER(L2201)),ROUND(Q2201-IF(ISNUMBER(N2201),N2201,0)-IF(ISNUMBER(O2201),O2201,0)+IF(ISNUMBER(P2201),P2201,0),2),"")</f>
        <v/>
      </c>
      <c r="S2201" s="9" t="str">
        <f aca="false">IF(R2201="","",ROUND(L2201-R2201,2))</f>
        <v/>
      </c>
      <c r="T2201" s="8" t="str">
        <f aca="false">IF(A2201="","",IF(S2201="","BYPASS",IF(ABS(S2201)&lt;=Summary!$B$2,"PASS","FAIL")))</f>
        <v/>
      </c>
      <c r="U2201" s="8" t="str">
        <f aca="false">IF(T2201="BYPASS",IF(NOT(ISNUMBER(Q2201)),"PreV_ETB missing","End_tr_balance missing"),IF(T2201="FAIL",IF(AND(ISNUMBER(K2201),ISNUMBER(L2201),ABS(L2201-(K2201-IF(ISNUMBER(N2201),N2201,0)-IF(ISNUMBER(O2201),O2201,0)+IF(ISNUMBER(P2201),P2201,0)))&lt;=Summary!$B$2),"Passes using beginning_balance - PreV_ETB differs from beginning_balance",IF(AND(ISNUMBER(O2201),O2201&lt;0,ABS(L2201-(Q2201-IF(ISNUMBER(N2201),N2201,0)+IF(ISNUMBER(P2201),P2201,0)))&lt;=Summary!$B$2),"Negative realized loss not applied - check sign",IF(R2201&lt;0,"Principal paid exceeds prior balance",IF(AND(L2201&gt;Q2201,NOT(ISNUMBER(P2201))),"Balance increased but no Deferred_interest reported",IF(L2201&gt;R2201,"Reported balance higher than expected (missing increase/OC build)","Reported balance lower than expected (missing decrease)"))))),""))</f>
        <v/>
      </c>
    </row>
    <row r="2202" customFormat="false" ht="15" hidden="false" customHeight="false" outlineLevel="0" collapsed="false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9"/>
      <c r="L2202" s="9"/>
      <c r="M2202" s="9"/>
      <c r="N2202" s="9"/>
      <c r="O2202" s="9"/>
      <c r="P2202" s="9"/>
      <c r="Q2202" s="9"/>
      <c r="R2202" s="9" t="str">
        <f aca="false">IF(AND(A2202&lt;&gt;"",ISNUMBER(Q2202),ISNUMBER(L2202)),ROUND(Q2202-IF(ISNUMBER(N2202),N2202,0)-IF(ISNUMBER(O2202),O2202,0)+IF(ISNUMBER(P2202),P2202,0),2),"")</f>
        <v/>
      </c>
      <c r="S2202" s="9" t="str">
        <f aca="false">IF(R2202="","",ROUND(L2202-R2202,2))</f>
        <v/>
      </c>
      <c r="T2202" s="8" t="str">
        <f aca="false">IF(A2202="","",IF(S2202="","BYPASS",IF(ABS(S2202)&lt;=Summary!$B$2,"PASS","FAIL")))</f>
        <v/>
      </c>
      <c r="U2202" s="8" t="str">
        <f aca="false">IF(T2202="BYPASS",IF(NOT(ISNUMBER(Q2202)),"PreV_ETB missing","End_tr_balance missing"),IF(T2202="FAIL",IF(AND(ISNUMBER(K2202),ISNUMBER(L2202),ABS(L2202-(K2202-IF(ISNUMBER(N2202),N2202,0)-IF(ISNUMBER(O2202),O2202,0)+IF(ISNUMBER(P2202),P2202,0)))&lt;=Summary!$B$2),"Passes using beginning_balance - PreV_ETB differs from beginning_balance",IF(AND(ISNUMBER(O2202),O2202&lt;0,ABS(L2202-(Q2202-IF(ISNUMBER(N2202),N2202,0)+IF(ISNUMBER(P2202),P2202,0)))&lt;=Summary!$B$2),"Negative realized loss not applied - check sign",IF(R2202&lt;0,"Principal paid exceeds prior balance",IF(AND(L2202&gt;Q2202,NOT(ISNUMBER(P2202))),"Balance increased but no Deferred_interest reported",IF(L2202&gt;R2202,"Reported balance higher than expected (missing increase/OC build)","Reported balance lower than expected (missing decrease)"))))),""))</f>
        <v/>
      </c>
    </row>
    <row r="2203" customFormat="false" ht="15" hidden="false" customHeight="false" outlineLevel="0" collapsed="false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9"/>
      <c r="L2203" s="9"/>
      <c r="M2203" s="9"/>
      <c r="N2203" s="9"/>
      <c r="O2203" s="9"/>
      <c r="P2203" s="9"/>
      <c r="Q2203" s="9"/>
      <c r="R2203" s="9" t="str">
        <f aca="false">IF(AND(A2203&lt;&gt;"",ISNUMBER(Q2203),ISNUMBER(L2203)),ROUND(Q2203-IF(ISNUMBER(N2203),N2203,0)-IF(ISNUMBER(O2203),O2203,0)+IF(ISNUMBER(P2203),P2203,0),2),"")</f>
        <v/>
      </c>
      <c r="S2203" s="9" t="str">
        <f aca="false">IF(R2203="","",ROUND(L2203-R2203,2))</f>
        <v/>
      </c>
      <c r="T2203" s="8" t="str">
        <f aca="false">IF(A2203="","",IF(S2203="","BYPASS",IF(ABS(S2203)&lt;=Summary!$B$2,"PASS","FAIL")))</f>
        <v/>
      </c>
      <c r="U2203" s="8" t="str">
        <f aca="false">IF(T2203="BYPASS",IF(NOT(ISNUMBER(Q2203)),"PreV_ETB missing","End_tr_balance missing"),IF(T2203="FAIL",IF(AND(ISNUMBER(K2203),ISNUMBER(L2203),ABS(L2203-(K2203-IF(ISNUMBER(N2203),N2203,0)-IF(ISNUMBER(O2203),O2203,0)+IF(ISNUMBER(P2203),P2203,0)))&lt;=Summary!$B$2),"Passes using beginning_balance - PreV_ETB differs from beginning_balance",IF(AND(ISNUMBER(O2203),O2203&lt;0,ABS(L2203-(Q2203-IF(ISNUMBER(N2203),N2203,0)+IF(ISNUMBER(P2203),P2203,0)))&lt;=Summary!$B$2),"Negative realized loss not applied - check sign",IF(R2203&lt;0,"Principal paid exceeds prior balance",IF(AND(L2203&gt;Q2203,NOT(ISNUMBER(P2203))),"Balance increased but no Deferred_interest reported",IF(L2203&gt;R2203,"Reported balance higher than expected (missing increase/OC build)","Reported balance lower than expected (missing decrease)"))))),""))</f>
        <v/>
      </c>
    </row>
    <row r="2204" customFormat="false" ht="15" hidden="false" customHeight="false" outlineLevel="0" collapsed="false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9"/>
      <c r="L2204" s="9"/>
      <c r="M2204" s="9"/>
      <c r="N2204" s="9"/>
      <c r="O2204" s="9"/>
      <c r="P2204" s="9"/>
      <c r="Q2204" s="9"/>
      <c r="R2204" s="9" t="str">
        <f aca="false">IF(AND(A2204&lt;&gt;"",ISNUMBER(Q2204),ISNUMBER(L2204)),ROUND(Q2204-IF(ISNUMBER(N2204),N2204,0)-IF(ISNUMBER(O2204),O2204,0)+IF(ISNUMBER(P2204),P2204,0),2),"")</f>
        <v/>
      </c>
      <c r="S2204" s="9" t="str">
        <f aca="false">IF(R2204="","",ROUND(L2204-R2204,2))</f>
        <v/>
      </c>
      <c r="T2204" s="8" t="str">
        <f aca="false">IF(A2204="","",IF(S2204="","BYPASS",IF(ABS(S2204)&lt;=Summary!$B$2,"PASS","FAIL")))</f>
        <v/>
      </c>
      <c r="U2204" s="8" t="str">
        <f aca="false">IF(T2204="BYPASS",IF(NOT(ISNUMBER(Q2204)),"PreV_ETB missing","End_tr_balance missing"),IF(T2204="FAIL",IF(AND(ISNUMBER(K2204),ISNUMBER(L2204),ABS(L2204-(K2204-IF(ISNUMBER(N2204),N2204,0)-IF(ISNUMBER(O2204),O2204,0)+IF(ISNUMBER(P2204),P2204,0)))&lt;=Summary!$B$2),"Passes using beginning_balance - PreV_ETB differs from beginning_balance",IF(AND(ISNUMBER(O2204),O2204&lt;0,ABS(L2204-(Q2204-IF(ISNUMBER(N2204),N2204,0)+IF(ISNUMBER(P2204),P2204,0)))&lt;=Summary!$B$2),"Negative realized loss not applied - check sign",IF(R2204&lt;0,"Principal paid exceeds prior balance",IF(AND(L2204&gt;Q2204,NOT(ISNUMBER(P2204))),"Balance increased but no Deferred_interest reported",IF(L2204&gt;R2204,"Reported balance higher than expected (missing increase/OC build)","Reported balance lower than expected (missing decrease)"))))),""))</f>
        <v/>
      </c>
    </row>
    <row r="2205" customFormat="false" ht="15" hidden="false" customHeight="false" outlineLevel="0" collapsed="false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9"/>
      <c r="L2205" s="9"/>
      <c r="M2205" s="9"/>
      <c r="N2205" s="9"/>
      <c r="O2205" s="9"/>
      <c r="P2205" s="9"/>
      <c r="Q2205" s="9"/>
      <c r="R2205" s="9" t="str">
        <f aca="false">IF(AND(A2205&lt;&gt;"",ISNUMBER(Q2205),ISNUMBER(L2205)),ROUND(Q2205-IF(ISNUMBER(N2205),N2205,0)-IF(ISNUMBER(O2205),O2205,0)+IF(ISNUMBER(P2205),P2205,0),2),"")</f>
        <v/>
      </c>
      <c r="S2205" s="9" t="str">
        <f aca="false">IF(R2205="","",ROUND(L2205-R2205,2))</f>
        <v/>
      </c>
      <c r="T2205" s="8" t="str">
        <f aca="false">IF(A2205="","",IF(S2205="","BYPASS",IF(ABS(S2205)&lt;=Summary!$B$2,"PASS","FAIL")))</f>
        <v/>
      </c>
      <c r="U2205" s="8" t="str">
        <f aca="false">IF(T2205="BYPASS",IF(NOT(ISNUMBER(Q2205)),"PreV_ETB missing","End_tr_balance missing"),IF(T2205="FAIL",IF(AND(ISNUMBER(K2205),ISNUMBER(L2205),ABS(L2205-(K2205-IF(ISNUMBER(N2205),N2205,0)-IF(ISNUMBER(O2205),O2205,0)+IF(ISNUMBER(P2205),P2205,0)))&lt;=Summary!$B$2),"Passes using beginning_balance - PreV_ETB differs from beginning_balance",IF(AND(ISNUMBER(O2205),O2205&lt;0,ABS(L2205-(Q2205-IF(ISNUMBER(N2205),N2205,0)+IF(ISNUMBER(P2205),P2205,0)))&lt;=Summary!$B$2),"Negative realized loss not applied - check sign",IF(R2205&lt;0,"Principal paid exceeds prior balance",IF(AND(L2205&gt;Q2205,NOT(ISNUMBER(P2205))),"Balance increased but no Deferred_interest reported",IF(L2205&gt;R2205,"Reported balance higher than expected (missing increase/OC build)","Reported balance lower than expected (missing decrease)"))))),""))</f>
        <v/>
      </c>
    </row>
    <row r="2206" customFormat="false" ht="15" hidden="false" customHeight="false" outlineLevel="0" collapsed="false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9"/>
      <c r="L2206" s="9"/>
      <c r="M2206" s="9"/>
      <c r="N2206" s="9"/>
      <c r="O2206" s="9"/>
      <c r="P2206" s="9"/>
      <c r="Q2206" s="9"/>
      <c r="R2206" s="9" t="str">
        <f aca="false">IF(AND(A2206&lt;&gt;"",ISNUMBER(Q2206),ISNUMBER(L2206)),ROUND(Q2206-IF(ISNUMBER(N2206),N2206,0)-IF(ISNUMBER(O2206),O2206,0)+IF(ISNUMBER(P2206),P2206,0),2),"")</f>
        <v/>
      </c>
      <c r="S2206" s="9" t="str">
        <f aca="false">IF(R2206="","",ROUND(L2206-R2206,2))</f>
        <v/>
      </c>
      <c r="T2206" s="8" t="str">
        <f aca="false">IF(A2206="","",IF(S2206="","BYPASS",IF(ABS(S2206)&lt;=Summary!$B$2,"PASS","FAIL")))</f>
        <v/>
      </c>
      <c r="U2206" s="8" t="str">
        <f aca="false">IF(T2206="BYPASS",IF(NOT(ISNUMBER(Q2206)),"PreV_ETB missing","End_tr_balance missing"),IF(T2206="FAIL",IF(AND(ISNUMBER(K2206),ISNUMBER(L2206),ABS(L2206-(K2206-IF(ISNUMBER(N2206),N2206,0)-IF(ISNUMBER(O2206),O2206,0)+IF(ISNUMBER(P2206),P2206,0)))&lt;=Summary!$B$2),"Passes using beginning_balance - PreV_ETB differs from beginning_balance",IF(AND(ISNUMBER(O2206),O2206&lt;0,ABS(L2206-(Q2206-IF(ISNUMBER(N2206),N2206,0)+IF(ISNUMBER(P2206),P2206,0)))&lt;=Summary!$B$2),"Negative realized loss not applied - check sign",IF(R2206&lt;0,"Principal paid exceeds prior balance",IF(AND(L2206&gt;Q2206,NOT(ISNUMBER(P2206))),"Balance increased but no Deferred_interest reported",IF(L2206&gt;R2206,"Reported balance higher than expected (missing increase/OC build)","Reported balance lower than expected (missing decrease)"))))),""))</f>
        <v/>
      </c>
    </row>
    <row r="2207" customFormat="false" ht="15" hidden="false" customHeight="false" outlineLevel="0" collapsed="false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9"/>
      <c r="L2207" s="9"/>
      <c r="M2207" s="9"/>
      <c r="N2207" s="9"/>
      <c r="O2207" s="9"/>
      <c r="P2207" s="9"/>
      <c r="Q2207" s="9"/>
      <c r="R2207" s="9" t="str">
        <f aca="false">IF(AND(A2207&lt;&gt;"",ISNUMBER(Q2207),ISNUMBER(L2207)),ROUND(Q2207-IF(ISNUMBER(N2207),N2207,0)-IF(ISNUMBER(O2207),O2207,0)+IF(ISNUMBER(P2207),P2207,0),2),"")</f>
        <v/>
      </c>
      <c r="S2207" s="9" t="str">
        <f aca="false">IF(R2207="","",ROUND(L2207-R2207,2))</f>
        <v/>
      </c>
      <c r="T2207" s="8" t="str">
        <f aca="false">IF(A2207="","",IF(S2207="","BYPASS",IF(ABS(S2207)&lt;=Summary!$B$2,"PASS","FAIL")))</f>
        <v/>
      </c>
      <c r="U2207" s="8" t="str">
        <f aca="false">IF(T2207="BYPASS",IF(NOT(ISNUMBER(Q2207)),"PreV_ETB missing","End_tr_balance missing"),IF(T2207="FAIL",IF(AND(ISNUMBER(K2207),ISNUMBER(L2207),ABS(L2207-(K2207-IF(ISNUMBER(N2207),N2207,0)-IF(ISNUMBER(O2207),O2207,0)+IF(ISNUMBER(P2207),P2207,0)))&lt;=Summary!$B$2),"Passes using beginning_balance - PreV_ETB differs from beginning_balance",IF(AND(ISNUMBER(O2207),O2207&lt;0,ABS(L2207-(Q2207-IF(ISNUMBER(N2207),N2207,0)+IF(ISNUMBER(P2207),P2207,0)))&lt;=Summary!$B$2),"Negative realized loss not applied - check sign",IF(R2207&lt;0,"Principal paid exceeds prior balance",IF(AND(L2207&gt;Q2207,NOT(ISNUMBER(P2207))),"Balance increased but no Deferred_interest reported",IF(L2207&gt;R2207,"Reported balance higher than expected (missing increase/OC build)","Reported balance lower than expected (missing decrease)"))))),""))</f>
        <v/>
      </c>
    </row>
    <row r="2208" customFormat="false" ht="15" hidden="false" customHeight="false" outlineLevel="0" collapsed="false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9"/>
      <c r="L2208" s="9"/>
      <c r="M2208" s="9"/>
      <c r="N2208" s="9"/>
      <c r="O2208" s="9"/>
      <c r="P2208" s="9"/>
      <c r="Q2208" s="9"/>
      <c r="R2208" s="9" t="str">
        <f aca="false">IF(AND(A2208&lt;&gt;"",ISNUMBER(Q2208),ISNUMBER(L2208)),ROUND(Q2208-IF(ISNUMBER(N2208),N2208,0)-IF(ISNUMBER(O2208),O2208,0)+IF(ISNUMBER(P2208),P2208,0),2),"")</f>
        <v/>
      </c>
      <c r="S2208" s="9" t="str">
        <f aca="false">IF(R2208="","",ROUND(L2208-R2208,2))</f>
        <v/>
      </c>
      <c r="T2208" s="8" t="str">
        <f aca="false">IF(A2208="","",IF(S2208="","BYPASS",IF(ABS(S2208)&lt;=Summary!$B$2,"PASS","FAIL")))</f>
        <v/>
      </c>
      <c r="U2208" s="8" t="str">
        <f aca="false">IF(T2208="BYPASS",IF(NOT(ISNUMBER(Q2208)),"PreV_ETB missing","End_tr_balance missing"),IF(T2208="FAIL",IF(AND(ISNUMBER(K2208),ISNUMBER(L2208),ABS(L2208-(K2208-IF(ISNUMBER(N2208),N2208,0)-IF(ISNUMBER(O2208),O2208,0)+IF(ISNUMBER(P2208),P2208,0)))&lt;=Summary!$B$2),"Passes using beginning_balance - PreV_ETB differs from beginning_balance",IF(AND(ISNUMBER(O2208),O2208&lt;0,ABS(L2208-(Q2208-IF(ISNUMBER(N2208),N2208,0)+IF(ISNUMBER(P2208),P2208,0)))&lt;=Summary!$B$2),"Negative realized loss not applied - check sign",IF(R2208&lt;0,"Principal paid exceeds prior balance",IF(AND(L2208&gt;Q2208,NOT(ISNUMBER(P2208))),"Balance increased but no Deferred_interest reported",IF(L2208&gt;R2208,"Reported balance higher than expected (missing increase/OC build)","Reported balance lower than expected (missing decrease)"))))),""))</f>
        <v/>
      </c>
    </row>
    <row r="2209" customFormat="false" ht="15" hidden="false" customHeight="false" outlineLevel="0" collapsed="false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9"/>
      <c r="L2209" s="9"/>
      <c r="M2209" s="9"/>
      <c r="N2209" s="9"/>
      <c r="O2209" s="9"/>
      <c r="P2209" s="9"/>
      <c r="Q2209" s="9"/>
      <c r="R2209" s="9" t="str">
        <f aca="false">IF(AND(A2209&lt;&gt;"",ISNUMBER(Q2209),ISNUMBER(L2209)),ROUND(Q2209-IF(ISNUMBER(N2209),N2209,0)-IF(ISNUMBER(O2209),O2209,0)+IF(ISNUMBER(P2209),P2209,0),2),"")</f>
        <v/>
      </c>
      <c r="S2209" s="9" t="str">
        <f aca="false">IF(R2209="","",ROUND(L2209-R2209,2))</f>
        <v/>
      </c>
      <c r="T2209" s="8" t="str">
        <f aca="false">IF(A2209="","",IF(S2209="","BYPASS",IF(ABS(S2209)&lt;=Summary!$B$2,"PASS","FAIL")))</f>
        <v/>
      </c>
      <c r="U2209" s="8" t="str">
        <f aca="false">IF(T2209="BYPASS",IF(NOT(ISNUMBER(Q2209)),"PreV_ETB missing","End_tr_balance missing"),IF(T2209="FAIL",IF(AND(ISNUMBER(K2209),ISNUMBER(L2209),ABS(L2209-(K2209-IF(ISNUMBER(N2209),N2209,0)-IF(ISNUMBER(O2209),O2209,0)+IF(ISNUMBER(P2209),P2209,0)))&lt;=Summary!$B$2),"Passes using beginning_balance - PreV_ETB differs from beginning_balance",IF(AND(ISNUMBER(O2209),O2209&lt;0,ABS(L2209-(Q2209-IF(ISNUMBER(N2209),N2209,0)+IF(ISNUMBER(P2209),P2209,0)))&lt;=Summary!$B$2),"Negative realized loss not applied - check sign",IF(R2209&lt;0,"Principal paid exceeds prior balance",IF(AND(L2209&gt;Q2209,NOT(ISNUMBER(P2209))),"Balance increased but no Deferred_interest reported",IF(L2209&gt;R2209,"Reported balance higher than expected (missing increase/OC build)","Reported balance lower than expected (missing decrease)"))))),""))</f>
        <v/>
      </c>
    </row>
    <row r="2210" customFormat="false" ht="15" hidden="false" customHeight="false" outlineLevel="0" collapsed="false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9"/>
      <c r="L2210" s="9"/>
      <c r="M2210" s="9"/>
      <c r="N2210" s="9"/>
      <c r="O2210" s="9"/>
      <c r="P2210" s="9"/>
      <c r="Q2210" s="9"/>
      <c r="R2210" s="9" t="str">
        <f aca="false">IF(AND(A2210&lt;&gt;"",ISNUMBER(Q2210),ISNUMBER(L2210)),ROUND(Q2210-IF(ISNUMBER(N2210),N2210,0)-IF(ISNUMBER(O2210),O2210,0)+IF(ISNUMBER(P2210),P2210,0),2),"")</f>
        <v/>
      </c>
      <c r="S2210" s="9" t="str">
        <f aca="false">IF(R2210="","",ROUND(L2210-R2210,2))</f>
        <v/>
      </c>
      <c r="T2210" s="8" t="str">
        <f aca="false">IF(A2210="","",IF(S2210="","BYPASS",IF(ABS(S2210)&lt;=Summary!$B$2,"PASS","FAIL")))</f>
        <v/>
      </c>
      <c r="U2210" s="8" t="str">
        <f aca="false">IF(T2210="BYPASS",IF(NOT(ISNUMBER(Q2210)),"PreV_ETB missing","End_tr_balance missing"),IF(T2210="FAIL",IF(AND(ISNUMBER(K2210),ISNUMBER(L2210),ABS(L2210-(K2210-IF(ISNUMBER(N2210),N2210,0)-IF(ISNUMBER(O2210),O2210,0)+IF(ISNUMBER(P2210),P2210,0)))&lt;=Summary!$B$2),"Passes using beginning_balance - PreV_ETB differs from beginning_balance",IF(AND(ISNUMBER(O2210),O2210&lt;0,ABS(L2210-(Q2210-IF(ISNUMBER(N2210),N2210,0)+IF(ISNUMBER(P2210),P2210,0)))&lt;=Summary!$B$2),"Negative realized loss not applied - check sign",IF(R2210&lt;0,"Principal paid exceeds prior balance",IF(AND(L2210&gt;Q2210,NOT(ISNUMBER(P2210))),"Balance increased but no Deferred_interest reported",IF(L2210&gt;R2210,"Reported balance higher than expected (missing increase/OC build)","Reported balance lower than expected (missing decrease)"))))),""))</f>
        <v/>
      </c>
    </row>
    <row r="2211" customFormat="false" ht="15" hidden="false" customHeight="false" outlineLevel="0" collapsed="false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9"/>
      <c r="L2211" s="9"/>
      <c r="M2211" s="9"/>
      <c r="N2211" s="9"/>
      <c r="O2211" s="9"/>
      <c r="P2211" s="9"/>
      <c r="Q2211" s="9"/>
      <c r="R2211" s="9" t="str">
        <f aca="false">IF(AND(A2211&lt;&gt;"",ISNUMBER(Q2211),ISNUMBER(L2211)),ROUND(Q2211-IF(ISNUMBER(N2211),N2211,0)-IF(ISNUMBER(O2211),O2211,0)+IF(ISNUMBER(P2211),P2211,0),2),"")</f>
        <v/>
      </c>
      <c r="S2211" s="9" t="str">
        <f aca="false">IF(R2211="","",ROUND(L2211-R2211,2))</f>
        <v/>
      </c>
      <c r="T2211" s="8" t="str">
        <f aca="false">IF(A2211="","",IF(S2211="","BYPASS",IF(ABS(S2211)&lt;=Summary!$B$2,"PASS","FAIL")))</f>
        <v/>
      </c>
      <c r="U2211" s="8" t="str">
        <f aca="false">IF(T2211="BYPASS",IF(NOT(ISNUMBER(Q2211)),"PreV_ETB missing","End_tr_balance missing"),IF(T2211="FAIL",IF(AND(ISNUMBER(K2211),ISNUMBER(L2211),ABS(L2211-(K2211-IF(ISNUMBER(N2211),N2211,0)-IF(ISNUMBER(O2211),O2211,0)+IF(ISNUMBER(P2211),P2211,0)))&lt;=Summary!$B$2),"Passes using beginning_balance - PreV_ETB differs from beginning_balance",IF(AND(ISNUMBER(O2211),O2211&lt;0,ABS(L2211-(Q2211-IF(ISNUMBER(N2211),N2211,0)+IF(ISNUMBER(P2211),P2211,0)))&lt;=Summary!$B$2),"Negative realized loss not applied - check sign",IF(R2211&lt;0,"Principal paid exceeds prior balance",IF(AND(L2211&gt;Q2211,NOT(ISNUMBER(P2211))),"Balance increased but no Deferred_interest reported",IF(L2211&gt;R2211,"Reported balance higher than expected (missing increase/OC build)","Reported balance lower than expected (missing decrease)"))))),""))</f>
        <v/>
      </c>
    </row>
    <row r="2212" customFormat="false" ht="15" hidden="false" customHeight="false" outlineLevel="0" collapsed="false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9"/>
      <c r="L2212" s="9"/>
      <c r="M2212" s="9"/>
      <c r="N2212" s="9"/>
      <c r="O2212" s="9"/>
      <c r="P2212" s="9"/>
      <c r="Q2212" s="9"/>
      <c r="R2212" s="9" t="str">
        <f aca="false">IF(AND(A2212&lt;&gt;"",ISNUMBER(Q2212),ISNUMBER(L2212)),ROUND(Q2212-IF(ISNUMBER(N2212),N2212,0)-IF(ISNUMBER(O2212),O2212,0)+IF(ISNUMBER(P2212),P2212,0),2),"")</f>
        <v/>
      </c>
      <c r="S2212" s="9" t="str">
        <f aca="false">IF(R2212="","",ROUND(L2212-R2212,2))</f>
        <v/>
      </c>
      <c r="T2212" s="8" t="str">
        <f aca="false">IF(A2212="","",IF(S2212="","BYPASS",IF(ABS(S2212)&lt;=Summary!$B$2,"PASS","FAIL")))</f>
        <v/>
      </c>
      <c r="U2212" s="8" t="str">
        <f aca="false">IF(T2212="BYPASS",IF(NOT(ISNUMBER(Q2212)),"PreV_ETB missing","End_tr_balance missing"),IF(T2212="FAIL",IF(AND(ISNUMBER(K2212),ISNUMBER(L2212),ABS(L2212-(K2212-IF(ISNUMBER(N2212),N2212,0)-IF(ISNUMBER(O2212),O2212,0)+IF(ISNUMBER(P2212),P2212,0)))&lt;=Summary!$B$2),"Passes using beginning_balance - PreV_ETB differs from beginning_balance",IF(AND(ISNUMBER(O2212),O2212&lt;0,ABS(L2212-(Q2212-IF(ISNUMBER(N2212),N2212,0)+IF(ISNUMBER(P2212),P2212,0)))&lt;=Summary!$B$2),"Negative realized loss not applied - check sign",IF(R2212&lt;0,"Principal paid exceeds prior balance",IF(AND(L2212&gt;Q2212,NOT(ISNUMBER(P2212))),"Balance increased but no Deferred_interest reported",IF(L2212&gt;R2212,"Reported balance higher than expected (missing increase/OC build)","Reported balance lower than expected (missing decrease)"))))),""))</f>
        <v/>
      </c>
    </row>
    <row r="2213" customFormat="false" ht="15" hidden="false" customHeight="false" outlineLevel="0" collapsed="false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9"/>
      <c r="L2213" s="9"/>
      <c r="M2213" s="9"/>
      <c r="N2213" s="9"/>
      <c r="O2213" s="9"/>
      <c r="P2213" s="9"/>
      <c r="Q2213" s="9"/>
      <c r="R2213" s="9" t="str">
        <f aca="false">IF(AND(A2213&lt;&gt;"",ISNUMBER(Q2213),ISNUMBER(L2213)),ROUND(Q2213-IF(ISNUMBER(N2213),N2213,0)-IF(ISNUMBER(O2213),O2213,0)+IF(ISNUMBER(P2213),P2213,0),2),"")</f>
        <v/>
      </c>
      <c r="S2213" s="9" t="str">
        <f aca="false">IF(R2213="","",ROUND(L2213-R2213,2))</f>
        <v/>
      </c>
      <c r="T2213" s="8" t="str">
        <f aca="false">IF(A2213="","",IF(S2213="","BYPASS",IF(ABS(S2213)&lt;=Summary!$B$2,"PASS","FAIL")))</f>
        <v/>
      </c>
      <c r="U2213" s="8" t="str">
        <f aca="false">IF(T2213="BYPASS",IF(NOT(ISNUMBER(Q2213)),"PreV_ETB missing","End_tr_balance missing"),IF(T2213="FAIL",IF(AND(ISNUMBER(K2213),ISNUMBER(L2213),ABS(L2213-(K2213-IF(ISNUMBER(N2213),N2213,0)-IF(ISNUMBER(O2213),O2213,0)+IF(ISNUMBER(P2213),P2213,0)))&lt;=Summary!$B$2),"Passes using beginning_balance - PreV_ETB differs from beginning_balance",IF(AND(ISNUMBER(O2213),O2213&lt;0,ABS(L2213-(Q2213-IF(ISNUMBER(N2213),N2213,0)+IF(ISNUMBER(P2213),P2213,0)))&lt;=Summary!$B$2),"Negative realized loss not applied - check sign",IF(R2213&lt;0,"Principal paid exceeds prior balance",IF(AND(L2213&gt;Q2213,NOT(ISNUMBER(P2213))),"Balance increased but no Deferred_interest reported",IF(L2213&gt;R2213,"Reported balance higher than expected (missing increase/OC build)","Reported balance lower than expected (missing decrease)"))))),""))</f>
        <v/>
      </c>
    </row>
    <row r="2214" customFormat="false" ht="15" hidden="false" customHeight="false" outlineLevel="0" collapsed="false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9"/>
      <c r="L2214" s="9"/>
      <c r="M2214" s="9"/>
      <c r="N2214" s="9"/>
      <c r="O2214" s="9"/>
      <c r="P2214" s="9"/>
      <c r="Q2214" s="9"/>
      <c r="R2214" s="9" t="str">
        <f aca="false">IF(AND(A2214&lt;&gt;"",ISNUMBER(Q2214),ISNUMBER(L2214)),ROUND(Q2214-IF(ISNUMBER(N2214),N2214,0)-IF(ISNUMBER(O2214),O2214,0)+IF(ISNUMBER(P2214),P2214,0),2),"")</f>
        <v/>
      </c>
      <c r="S2214" s="9" t="str">
        <f aca="false">IF(R2214="","",ROUND(L2214-R2214,2))</f>
        <v/>
      </c>
      <c r="T2214" s="8" t="str">
        <f aca="false">IF(A2214="","",IF(S2214="","BYPASS",IF(ABS(S2214)&lt;=Summary!$B$2,"PASS","FAIL")))</f>
        <v/>
      </c>
      <c r="U2214" s="8" t="str">
        <f aca="false">IF(T2214="BYPASS",IF(NOT(ISNUMBER(Q2214)),"PreV_ETB missing","End_tr_balance missing"),IF(T2214="FAIL",IF(AND(ISNUMBER(K2214),ISNUMBER(L2214),ABS(L2214-(K2214-IF(ISNUMBER(N2214),N2214,0)-IF(ISNUMBER(O2214),O2214,0)+IF(ISNUMBER(P2214),P2214,0)))&lt;=Summary!$B$2),"Passes using beginning_balance - PreV_ETB differs from beginning_balance",IF(AND(ISNUMBER(O2214),O2214&lt;0,ABS(L2214-(Q2214-IF(ISNUMBER(N2214),N2214,0)+IF(ISNUMBER(P2214),P2214,0)))&lt;=Summary!$B$2),"Negative realized loss not applied - check sign",IF(R2214&lt;0,"Principal paid exceeds prior balance",IF(AND(L2214&gt;Q2214,NOT(ISNUMBER(P2214))),"Balance increased but no Deferred_interest reported",IF(L2214&gt;R2214,"Reported balance higher than expected (missing increase/OC build)","Reported balance lower than expected (missing decrease)"))))),""))</f>
        <v/>
      </c>
    </row>
    <row r="2215" customFormat="false" ht="15" hidden="false" customHeight="false" outlineLevel="0" collapsed="false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9"/>
      <c r="L2215" s="9"/>
      <c r="M2215" s="9"/>
      <c r="N2215" s="9"/>
      <c r="O2215" s="9"/>
      <c r="P2215" s="9"/>
      <c r="Q2215" s="9"/>
      <c r="R2215" s="9" t="str">
        <f aca="false">IF(AND(A2215&lt;&gt;"",ISNUMBER(Q2215),ISNUMBER(L2215)),ROUND(Q2215-IF(ISNUMBER(N2215),N2215,0)-IF(ISNUMBER(O2215),O2215,0)+IF(ISNUMBER(P2215),P2215,0),2),"")</f>
        <v/>
      </c>
      <c r="S2215" s="9" t="str">
        <f aca="false">IF(R2215="","",ROUND(L2215-R2215,2))</f>
        <v/>
      </c>
      <c r="T2215" s="8" t="str">
        <f aca="false">IF(A2215="","",IF(S2215="","BYPASS",IF(ABS(S2215)&lt;=Summary!$B$2,"PASS","FAIL")))</f>
        <v/>
      </c>
      <c r="U2215" s="8" t="str">
        <f aca="false">IF(T2215="BYPASS",IF(NOT(ISNUMBER(Q2215)),"PreV_ETB missing","End_tr_balance missing"),IF(T2215="FAIL",IF(AND(ISNUMBER(K2215),ISNUMBER(L2215),ABS(L2215-(K2215-IF(ISNUMBER(N2215),N2215,0)-IF(ISNUMBER(O2215),O2215,0)+IF(ISNUMBER(P2215),P2215,0)))&lt;=Summary!$B$2),"Passes using beginning_balance - PreV_ETB differs from beginning_balance",IF(AND(ISNUMBER(O2215),O2215&lt;0,ABS(L2215-(Q2215-IF(ISNUMBER(N2215),N2215,0)+IF(ISNUMBER(P2215),P2215,0)))&lt;=Summary!$B$2),"Negative realized loss not applied - check sign",IF(R2215&lt;0,"Principal paid exceeds prior balance",IF(AND(L2215&gt;Q2215,NOT(ISNUMBER(P2215))),"Balance increased but no Deferred_interest reported",IF(L2215&gt;R2215,"Reported balance higher than expected (missing increase/OC build)","Reported balance lower than expected (missing decrease)"))))),""))</f>
        <v/>
      </c>
    </row>
    <row r="2216" customFormat="false" ht="15" hidden="false" customHeight="false" outlineLevel="0" collapsed="false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9"/>
      <c r="L2216" s="9"/>
      <c r="M2216" s="9"/>
      <c r="N2216" s="9"/>
      <c r="O2216" s="9"/>
      <c r="P2216" s="9"/>
      <c r="Q2216" s="9"/>
      <c r="R2216" s="9" t="str">
        <f aca="false">IF(AND(A2216&lt;&gt;"",ISNUMBER(Q2216),ISNUMBER(L2216)),ROUND(Q2216-IF(ISNUMBER(N2216),N2216,0)-IF(ISNUMBER(O2216),O2216,0)+IF(ISNUMBER(P2216),P2216,0),2),"")</f>
        <v/>
      </c>
      <c r="S2216" s="9" t="str">
        <f aca="false">IF(R2216="","",ROUND(L2216-R2216,2))</f>
        <v/>
      </c>
      <c r="T2216" s="8" t="str">
        <f aca="false">IF(A2216="","",IF(S2216="","BYPASS",IF(ABS(S2216)&lt;=Summary!$B$2,"PASS","FAIL")))</f>
        <v/>
      </c>
      <c r="U2216" s="8" t="str">
        <f aca="false">IF(T2216="BYPASS",IF(NOT(ISNUMBER(Q2216)),"PreV_ETB missing","End_tr_balance missing"),IF(T2216="FAIL",IF(AND(ISNUMBER(K2216),ISNUMBER(L2216),ABS(L2216-(K2216-IF(ISNUMBER(N2216),N2216,0)-IF(ISNUMBER(O2216),O2216,0)+IF(ISNUMBER(P2216),P2216,0)))&lt;=Summary!$B$2),"Passes using beginning_balance - PreV_ETB differs from beginning_balance",IF(AND(ISNUMBER(O2216),O2216&lt;0,ABS(L2216-(Q2216-IF(ISNUMBER(N2216),N2216,0)+IF(ISNUMBER(P2216),P2216,0)))&lt;=Summary!$B$2),"Negative realized loss not applied - check sign",IF(R2216&lt;0,"Principal paid exceeds prior balance",IF(AND(L2216&gt;Q2216,NOT(ISNUMBER(P2216))),"Balance increased but no Deferred_interest reported",IF(L2216&gt;R2216,"Reported balance higher than expected (missing increase/OC build)","Reported balance lower than expected (missing decrease)"))))),""))</f>
        <v/>
      </c>
    </row>
    <row r="2217" customFormat="false" ht="15" hidden="false" customHeight="false" outlineLevel="0" collapsed="false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9"/>
      <c r="L2217" s="9"/>
      <c r="M2217" s="9"/>
      <c r="N2217" s="9"/>
      <c r="O2217" s="9"/>
      <c r="P2217" s="9"/>
      <c r="Q2217" s="9"/>
      <c r="R2217" s="9" t="str">
        <f aca="false">IF(AND(A2217&lt;&gt;"",ISNUMBER(Q2217),ISNUMBER(L2217)),ROUND(Q2217-IF(ISNUMBER(N2217),N2217,0)-IF(ISNUMBER(O2217),O2217,0)+IF(ISNUMBER(P2217),P2217,0),2),"")</f>
        <v/>
      </c>
      <c r="S2217" s="9" t="str">
        <f aca="false">IF(R2217="","",ROUND(L2217-R2217,2))</f>
        <v/>
      </c>
      <c r="T2217" s="8" t="str">
        <f aca="false">IF(A2217="","",IF(S2217="","BYPASS",IF(ABS(S2217)&lt;=Summary!$B$2,"PASS","FAIL")))</f>
        <v/>
      </c>
      <c r="U2217" s="8" t="str">
        <f aca="false">IF(T2217="BYPASS",IF(NOT(ISNUMBER(Q2217)),"PreV_ETB missing","End_tr_balance missing"),IF(T2217="FAIL",IF(AND(ISNUMBER(K2217),ISNUMBER(L2217),ABS(L2217-(K2217-IF(ISNUMBER(N2217),N2217,0)-IF(ISNUMBER(O2217),O2217,0)+IF(ISNUMBER(P2217),P2217,0)))&lt;=Summary!$B$2),"Passes using beginning_balance - PreV_ETB differs from beginning_balance",IF(AND(ISNUMBER(O2217),O2217&lt;0,ABS(L2217-(Q2217-IF(ISNUMBER(N2217),N2217,0)+IF(ISNUMBER(P2217),P2217,0)))&lt;=Summary!$B$2),"Negative realized loss not applied - check sign",IF(R2217&lt;0,"Principal paid exceeds prior balance",IF(AND(L2217&gt;Q2217,NOT(ISNUMBER(P2217))),"Balance increased but no Deferred_interest reported",IF(L2217&gt;R2217,"Reported balance higher than expected (missing increase/OC build)","Reported balance lower than expected (missing decrease)"))))),""))</f>
        <v/>
      </c>
    </row>
    <row r="2218" customFormat="false" ht="15" hidden="false" customHeight="false" outlineLevel="0" collapsed="false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9"/>
      <c r="L2218" s="9"/>
      <c r="M2218" s="9"/>
      <c r="N2218" s="9"/>
      <c r="O2218" s="9"/>
      <c r="P2218" s="9"/>
      <c r="Q2218" s="9"/>
      <c r="R2218" s="9" t="str">
        <f aca="false">IF(AND(A2218&lt;&gt;"",ISNUMBER(Q2218),ISNUMBER(L2218)),ROUND(Q2218-IF(ISNUMBER(N2218),N2218,0)-IF(ISNUMBER(O2218),O2218,0)+IF(ISNUMBER(P2218),P2218,0),2),"")</f>
        <v/>
      </c>
      <c r="S2218" s="9" t="str">
        <f aca="false">IF(R2218="","",ROUND(L2218-R2218,2))</f>
        <v/>
      </c>
      <c r="T2218" s="8" t="str">
        <f aca="false">IF(A2218="","",IF(S2218="","BYPASS",IF(ABS(S2218)&lt;=Summary!$B$2,"PASS","FAIL")))</f>
        <v/>
      </c>
      <c r="U2218" s="8" t="str">
        <f aca="false">IF(T2218="BYPASS",IF(NOT(ISNUMBER(Q2218)),"PreV_ETB missing","End_tr_balance missing"),IF(T2218="FAIL",IF(AND(ISNUMBER(K2218),ISNUMBER(L2218),ABS(L2218-(K2218-IF(ISNUMBER(N2218),N2218,0)-IF(ISNUMBER(O2218),O2218,0)+IF(ISNUMBER(P2218),P2218,0)))&lt;=Summary!$B$2),"Passes using beginning_balance - PreV_ETB differs from beginning_balance",IF(AND(ISNUMBER(O2218),O2218&lt;0,ABS(L2218-(Q2218-IF(ISNUMBER(N2218),N2218,0)+IF(ISNUMBER(P2218),P2218,0)))&lt;=Summary!$B$2),"Negative realized loss not applied - check sign",IF(R2218&lt;0,"Principal paid exceeds prior balance",IF(AND(L2218&gt;Q2218,NOT(ISNUMBER(P2218))),"Balance increased but no Deferred_interest reported",IF(L2218&gt;R2218,"Reported balance higher than expected (missing increase/OC build)","Reported balance lower than expected (missing decrease)"))))),""))</f>
        <v/>
      </c>
    </row>
    <row r="2219" customFormat="false" ht="15" hidden="false" customHeight="false" outlineLevel="0" collapsed="false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9"/>
      <c r="L2219" s="9"/>
      <c r="M2219" s="9"/>
      <c r="N2219" s="9"/>
      <c r="O2219" s="9"/>
      <c r="P2219" s="9"/>
      <c r="Q2219" s="9"/>
      <c r="R2219" s="9" t="str">
        <f aca="false">IF(AND(A2219&lt;&gt;"",ISNUMBER(Q2219),ISNUMBER(L2219)),ROUND(Q2219-IF(ISNUMBER(N2219),N2219,0)-IF(ISNUMBER(O2219),O2219,0)+IF(ISNUMBER(P2219),P2219,0),2),"")</f>
        <v/>
      </c>
      <c r="S2219" s="9" t="str">
        <f aca="false">IF(R2219="","",ROUND(L2219-R2219,2))</f>
        <v/>
      </c>
      <c r="T2219" s="8" t="str">
        <f aca="false">IF(A2219="","",IF(S2219="","BYPASS",IF(ABS(S2219)&lt;=Summary!$B$2,"PASS","FAIL")))</f>
        <v/>
      </c>
      <c r="U2219" s="8" t="str">
        <f aca="false">IF(T2219="BYPASS",IF(NOT(ISNUMBER(Q2219)),"PreV_ETB missing","End_tr_balance missing"),IF(T2219="FAIL",IF(AND(ISNUMBER(K2219),ISNUMBER(L2219),ABS(L2219-(K2219-IF(ISNUMBER(N2219),N2219,0)-IF(ISNUMBER(O2219),O2219,0)+IF(ISNUMBER(P2219),P2219,0)))&lt;=Summary!$B$2),"Passes using beginning_balance - PreV_ETB differs from beginning_balance",IF(AND(ISNUMBER(O2219),O2219&lt;0,ABS(L2219-(Q2219-IF(ISNUMBER(N2219),N2219,0)+IF(ISNUMBER(P2219),P2219,0)))&lt;=Summary!$B$2),"Negative realized loss not applied - check sign",IF(R2219&lt;0,"Principal paid exceeds prior balance",IF(AND(L2219&gt;Q2219,NOT(ISNUMBER(P2219))),"Balance increased but no Deferred_interest reported",IF(L2219&gt;R2219,"Reported balance higher than expected (missing increase/OC build)","Reported balance lower than expected (missing decrease)"))))),""))</f>
        <v/>
      </c>
    </row>
    <row r="2220" customFormat="false" ht="15" hidden="false" customHeight="false" outlineLevel="0" collapsed="false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9"/>
      <c r="L2220" s="9"/>
      <c r="M2220" s="9"/>
      <c r="N2220" s="9"/>
      <c r="O2220" s="9"/>
      <c r="P2220" s="9"/>
      <c r="Q2220" s="9"/>
      <c r="R2220" s="9" t="str">
        <f aca="false">IF(AND(A2220&lt;&gt;"",ISNUMBER(Q2220),ISNUMBER(L2220)),ROUND(Q2220-IF(ISNUMBER(N2220),N2220,0)-IF(ISNUMBER(O2220),O2220,0)+IF(ISNUMBER(P2220),P2220,0),2),"")</f>
        <v/>
      </c>
      <c r="S2220" s="9" t="str">
        <f aca="false">IF(R2220="","",ROUND(L2220-R2220,2))</f>
        <v/>
      </c>
      <c r="T2220" s="8" t="str">
        <f aca="false">IF(A2220="","",IF(S2220="","BYPASS",IF(ABS(S2220)&lt;=Summary!$B$2,"PASS","FAIL")))</f>
        <v/>
      </c>
      <c r="U2220" s="8" t="str">
        <f aca="false">IF(T2220="BYPASS",IF(NOT(ISNUMBER(Q2220)),"PreV_ETB missing","End_tr_balance missing"),IF(T2220="FAIL",IF(AND(ISNUMBER(K2220),ISNUMBER(L2220),ABS(L2220-(K2220-IF(ISNUMBER(N2220),N2220,0)-IF(ISNUMBER(O2220),O2220,0)+IF(ISNUMBER(P2220),P2220,0)))&lt;=Summary!$B$2),"Passes using beginning_balance - PreV_ETB differs from beginning_balance",IF(AND(ISNUMBER(O2220),O2220&lt;0,ABS(L2220-(Q2220-IF(ISNUMBER(N2220),N2220,0)+IF(ISNUMBER(P2220),P2220,0)))&lt;=Summary!$B$2),"Negative realized loss not applied - check sign",IF(R2220&lt;0,"Principal paid exceeds prior balance",IF(AND(L2220&gt;Q2220,NOT(ISNUMBER(P2220))),"Balance increased but no Deferred_interest reported",IF(L2220&gt;R2220,"Reported balance higher than expected (missing increase/OC build)","Reported balance lower than expected (missing decrease)"))))),""))</f>
        <v/>
      </c>
    </row>
    <row r="2221" customFormat="false" ht="15" hidden="false" customHeight="false" outlineLevel="0" collapsed="false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9"/>
      <c r="L2221" s="9"/>
      <c r="M2221" s="9"/>
      <c r="N2221" s="9"/>
      <c r="O2221" s="9"/>
      <c r="P2221" s="9"/>
      <c r="Q2221" s="9"/>
      <c r="R2221" s="9" t="str">
        <f aca="false">IF(AND(A2221&lt;&gt;"",ISNUMBER(Q2221),ISNUMBER(L2221)),ROUND(Q2221-IF(ISNUMBER(N2221),N2221,0)-IF(ISNUMBER(O2221),O2221,0)+IF(ISNUMBER(P2221),P2221,0),2),"")</f>
        <v/>
      </c>
      <c r="S2221" s="9" t="str">
        <f aca="false">IF(R2221="","",ROUND(L2221-R2221,2))</f>
        <v/>
      </c>
      <c r="T2221" s="8" t="str">
        <f aca="false">IF(A2221="","",IF(S2221="","BYPASS",IF(ABS(S2221)&lt;=Summary!$B$2,"PASS","FAIL")))</f>
        <v/>
      </c>
      <c r="U2221" s="8" t="str">
        <f aca="false">IF(T2221="BYPASS",IF(NOT(ISNUMBER(Q2221)),"PreV_ETB missing","End_tr_balance missing"),IF(T2221="FAIL",IF(AND(ISNUMBER(K2221),ISNUMBER(L2221),ABS(L2221-(K2221-IF(ISNUMBER(N2221),N2221,0)-IF(ISNUMBER(O2221),O2221,0)+IF(ISNUMBER(P2221),P2221,0)))&lt;=Summary!$B$2),"Passes using beginning_balance - PreV_ETB differs from beginning_balance",IF(AND(ISNUMBER(O2221),O2221&lt;0,ABS(L2221-(Q2221-IF(ISNUMBER(N2221),N2221,0)+IF(ISNUMBER(P2221),P2221,0)))&lt;=Summary!$B$2),"Negative realized loss not applied - check sign",IF(R2221&lt;0,"Principal paid exceeds prior balance",IF(AND(L2221&gt;Q2221,NOT(ISNUMBER(P2221))),"Balance increased but no Deferred_interest reported",IF(L2221&gt;R2221,"Reported balance higher than expected (missing increase/OC build)","Reported balance lower than expected (missing decrease)"))))),""))</f>
        <v/>
      </c>
    </row>
    <row r="2222" customFormat="false" ht="15" hidden="false" customHeight="false" outlineLevel="0" collapsed="false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9"/>
      <c r="L2222" s="9"/>
      <c r="M2222" s="9"/>
      <c r="N2222" s="9"/>
      <c r="O2222" s="9"/>
      <c r="P2222" s="9"/>
      <c r="Q2222" s="9"/>
      <c r="R2222" s="9" t="str">
        <f aca="false">IF(AND(A2222&lt;&gt;"",ISNUMBER(Q2222),ISNUMBER(L2222)),ROUND(Q2222-IF(ISNUMBER(N2222),N2222,0)-IF(ISNUMBER(O2222),O2222,0)+IF(ISNUMBER(P2222),P2222,0),2),"")</f>
        <v/>
      </c>
      <c r="S2222" s="9" t="str">
        <f aca="false">IF(R2222="","",ROUND(L2222-R2222,2))</f>
        <v/>
      </c>
      <c r="T2222" s="8" t="str">
        <f aca="false">IF(A2222="","",IF(S2222="","BYPASS",IF(ABS(S2222)&lt;=Summary!$B$2,"PASS","FAIL")))</f>
        <v/>
      </c>
      <c r="U2222" s="8" t="str">
        <f aca="false">IF(T2222="BYPASS",IF(NOT(ISNUMBER(Q2222)),"PreV_ETB missing","End_tr_balance missing"),IF(T2222="FAIL",IF(AND(ISNUMBER(K2222),ISNUMBER(L2222),ABS(L2222-(K2222-IF(ISNUMBER(N2222),N2222,0)-IF(ISNUMBER(O2222),O2222,0)+IF(ISNUMBER(P2222),P2222,0)))&lt;=Summary!$B$2),"Passes using beginning_balance - PreV_ETB differs from beginning_balance",IF(AND(ISNUMBER(O2222),O2222&lt;0,ABS(L2222-(Q2222-IF(ISNUMBER(N2222),N2222,0)+IF(ISNUMBER(P2222),P2222,0)))&lt;=Summary!$B$2),"Negative realized loss not applied - check sign",IF(R2222&lt;0,"Principal paid exceeds prior balance",IF(AND(L2222&gt;Q2222,NOT(ISNUMBER(P2222))),"Balance increased but no Deferred_interest reported",IF(L2222&gt;R2222,"Reported balance higher than expected (missing increase/OC build)","Reported balance lower than expected (missing decrease)"))))),""))</f>
        <v/>
      </c>
    </row>
    <row r="2223" customFormat="false" ht="15" hidden="false" customHeight="false" outlineLevel="0" collapsed="false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9"/>
      <c r="L2223" s="9"/>
      <c r="M2223" s="9"/>
      <c r="N2223" s="9"/>
      <c r="O2223" s="9"/>
      <c r="P2223" s="9"/>
      <c r="Q2223" s="9"/>
      <c r="R2223" s="9" t="str">
        <f aca="false">IF(AND(A2223&lt;&gt;"",ISNUMBER(Q2223),ISNUMBER(L2223)),ROUND(Q2223-IF(ISNUMBER(N2223),N2223,0)-IF(ISNUMBER(O2223),O2223,0)+IF(ISNUMBER(P2223),P2223,0),2),"")</f>
        <v/>
      </c>
      <c r="S2223" s="9" t="str">
        <f aca="false">IF(R2223="","",ROUND(L2223-R2223,2))</f>
        <v/>
      </c>
      <c r="T2223" s="8" t="str">
        <f aca="false">IF(A2223="","",IF(S2223="","BYPASS",IF(ABS(S2223)&lt;=Summary!$B$2,"PASS","FAIL")))</f>
        <v/>
      </c>
      <c r="U2223" s="8" t="str">
        <f aca="false">IF(T2223="BYPASS",IF(NOT(ISNUMBER(Q2223)),"PreV_ETB missing","End_tr_balance missing"),IF(T2223="FAIL",IF(AND(ISNUMBER(K2223),ISNUMBER(L2223),ABS(L2223-(K2223-IF(ISNUMBER(N2223),N2223,0)-IF(ISNUMBER(O2223),O2223,0)+IF(ISNUMBER(P2223),P2223,0)))&lt;=Summary!$B$2),"Passes using beginning_balance - PreV_ETB differs from beginning_balance",IF(AND(ISNUMBER(O2223),O2223&lt;0,ABS(L2223-(Q2223-IF(ISNUMBER(N2223),N2223,0)+IF(ISNUMBER(P2223),P2223,0)))&lt;=Summary!$B$2),"Negative realized loss not applied - check sign",IF(R2223&lt;0,"Principal paid exceeds prior balance",IF(AND(L2223&gt;Q2223,NOT(ISNUMBER(P2223))),"Balance increased but no Deferred_interest reported",IF(L2223&gt;R2223,"Reported balance higher than expected (missing increase/OC build)","Reported balance lower than expected (missing decrease)"))))),""))</f>
        <v/>
      </c>
    </row>
    <row r="2224" customFormat="false" ht="15" hidden="false" customHeight="false" outlineLevel="0" collapsed="false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9"/>
      <c r="L2224" s="9"/>
      <c r="M2224" s="9"/>
      <c r="N2224" s="9"/>
      <c r="O2224" s="9"/>
      <c r="P2224" s="9"/>
      <c r="Q2224" s="9"/>
      <c r="R2224" s="9" t="str">
        <f aca="false">IF(AND(A2224&lt;&gt;"",ISNUMBER(Q2224),ISNUMBER(L2224)),ROUND(Q2224-IF(ISNUMBER(N2224),N2224,0)-IF(ISNUMBER(O2224),O2224,0)+IF(ISNUMBER(P2224),P2224,0),2),"")</f>
        <v/>
      </c>
      <c r="S2224" s="9" t="str">
        <f aca="false">IF(R2224="","",ROUND(L2224-R2224,2))</f>
        <v/>
      </c>
      <c r="T2224" s="8" t="str">
        <f aca="false">IF(A2224="","",IF(S2224="","BYPASS",IF(ABS(S2224)&lt;=Summary!$B$2,"PASS","FAIL")))</f>
        <v/>
      </c>
      <c r="U2224" s="8" t="str">
        <f aca="false">IF(T2224="BYPASS",IF(NOT(ISNUMBER(Q2224)),"PreV_ETB missing","End_tr_balance missing"),IF(T2224="FAIL",IF(AND(ISNUMBER(K2224),ISNUMBER(L2224),ABS(L2224-(K2224-IF(ISNUMBER(N2224),N2224,0)-IF(ISNUMBER(O2224),O2224,0)+IF(ISNUMBER(P2224),P2224,0)))&lt;=Summary!$B$2),"Passes using beginning_balance - PreV_ETB differs from beginning_balance",IF(AND(ISNUMBER(O2224),O2224&lt;0,ABS(L2224-(Q2224-IF(ISNUMBER(N2224),N2224,0)+IF(ISNUMBER(P2224),P2224,0)))&lt;=Summary!$B$2),"Negative realized loss not applied - check sign",IF(R2224&lt;0,"Principal paid exceeds prior balance",IF(AND(L2224&gt;Q2224,NOT(ISNUMBER(P2224))),"Balance increased but no Deferred_interest reported",IF(L2224&gt;R2224,"Reported balance higher than expected (missing increase/OC build)","Reported balance lower than expected (missing decrease)"))))),""))</f>
        <v/>
      </c>
    </row>
    <row r="2225" customFormat="false" ht="15" hidden="false" customHeight="false" outlineLevel="0" collapsed="false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9"/>
      <c r="L2225" s="9"/>
      <c r="M2225" s="9"/>
      <c r="N2225" s="9"/>
      <c r="O2225" s="9"/>
      <c r="P2225" s="9"/>
      <c r="Q2225" s="9"/>
      <c r="R2225" s="9" t="str">
        <f aca="false">IF(AND(A2225&lt;&gt;"",ISNUMBER(Q2225),ISNUMBER(L2225)),ROUND(Q2225-IF(ISNUMBER(N2225),N2225,0)-IF(ISNUMBER(O2225),O2225,0)+IF(ISNUMBER(P2225),P2225,0),2),"")</f>
        <v/>
      </c>
      <c r="S2225" s="9" t="str">
        <f aca="false">IF(R2225="","",ROUND(L2225-R2225,2))</f>
        <v/>
      </c>
      <c r="T2225" s="8" t="str">
        <f aca="false">IF(A2225="","",IF(S2225="","BYPASS",IF(ABS(S2225)&lt;=Summary!$B$2,"PASS","FAIL")))</f>
        <v/>
      </c>
      <c r="U2225" s="8" t="str">
        <f aca="false">IF(T2225="BYPASS",IF(NOT(ISNUMBER(Q2225)),"PreV_ETB missing","End_tr_balance missing"),IF(T2225="FAIL",IF(AND(ISNUMBER(K2225),ISNUMBER(L2225),ABS(L2225-(K2225-IF(ISNUMBER(N2225),N2225,0)-IF(ISNUMBER(O2225),O2225,0)+IF(ISNUMBER(P2225),P2225,0)))&lt;=Summary!$B$2),"Passes using beginning_balance - PreV_ETB differs from beginning_balance",IF(AND(ISNUMBER(O2225),O2225&lt;0,ABS(L2225-(Q2225-IF(ISNUMBER(N2225),N2225,0)+IF(ISNUMBER(P2225),P2225,0)))&lt;=Summary!$B$2),"Negative realized loss not applied - check sign",IF(R2225&lt;0,"Principal paid exceeds prior balance",IF(AND(L2225&gt;Q2225,NOT(ISNUMBER(P2225))),"Balance increased but no Deferred_interest reported",IF(L2225&gt;R2225,"Reported balance higher than expected (missing increase/OC build)","Reported balance lower than expected (missing decrease)"))))),""))</f>
        <v/>
      </c>
    </row>
    <row r="2226" customFormat="false" ht="15" hidden="false" customHeight="false" outlineLevel="0" collapsed="false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9"/>
      <c r="L2226" s="9"/>
      <c r="M2226" s="9"/>
      <c r="N2226" s="9"/>
      <c r="O2226" s="9"/>
      <c r="P2226" s="9"/>
      <c r="Q2226" s="9"/>
      <c r="R2226" s="9" t="str">
        <f aca="false">IF(AND(A2226&lt;&gt;"",ISNUMBER(Q2226),ISNUMBER(L2226)),ROUND(Q2226-IF(ISNUMBER(N2226),N2226,0)-IF(ISNUMBER(O2226),O2226,0)+IF(ISNUMBER(P2226),P2226,0),2),"")</f>
        <v/>
      </c>
      <c r="S2226" s="9" t="str">
        <f aca="false">IF(R2226="","",ROUND(L2226-R2226,2))</f>
        <v/>
      </c>
      <c r="T2226" s="8" t="str">
        <f aca="false">IF(A2226="","",IF(S2226="","BYPASS",IF(ABS(S2226)&lt;=Summary!$B$2,"PASS","FAIL")))</f>
        <v/>
      </c>
      <c r="U2226" s="8" t="str">
        <f aca="false">IF(T2226="BYPASS",IF(NOT(ISNUMBER(Q2226)),"PreV_ETB missing","End_tr_balance missing"),IF(T2226="FAIL",IF(AND(ISNUMBER(K2226),ISNUMBER(L2226),ABS(L2226-(K2226-IF(ISNUMBER(N2226),N2226,0)-IF(ISNUMBER(O2226),O2226,0)+IF(ISNUMBER(P2226),P2226,0)))&lt;=Summary!$B$2),"Passes using beginning_balance - PreV_ETB differs from beginning_balance",IF(AND(ISNUMBER(O2226),O2226&lt;0,ABS(L2226-(Q2226-IF(ISNUMBER(N2226),N2226,0)+IF(ISNUMBER(P2226),P2226,0)))&lt;=Summary!$B$2),"Negative realized loss not applied - check sign",IF(R2226&lt;0,"Principal paid exceeds prior balance",IF(AND(L2226&gt;Q2226,NOT(ISNUMBER(P2226))),"Balance increased but no Deferred_interest reported",IF(L2226&gt;R2226,"Reported balance higher than expected (missing increase/OC build)","Reported balance lower than expected (missing decrease)"))))),""))</f>
        <v/>
      </c>
    </row>
    <row r="2227" customFormat="false" ht="15" hidden="false" customHeight="false" outlineLevel="0" collapsed="false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9"/>
      <c r="L2227" s="9"/>
      <c r="M2227" s="9"/>
      <c r="N2227" s="9"/>
      <c r="O2227" s="9"/>
      <c r="P2227" s="9"/>
      <c r="Q2227" s="9"/>
      <c r="R2227" s="9" t="str">
        <f aca="false">IF(AND(A2227&lt;&gt;"",ISNUMBER(Q2227),ISNUMBER(L2227)),ROUND(Q2227-IF(ISNUMBER(N2227),N2227,0)-IF(ISNUMBER(O2227),O2227,0)+IF(ISNUMBER(P2227),P2227,0),2),"")</f>
        <v/>
      </c>
      <c r="S2227" s="9" t="str">
        <f aca="false">IF(R2227="","",ROUND(L2227-R2227,2))</f>
        <v/>
      </c>
      <c r="T2227" s="8" t="str">
        <f aca="false">IF(A2227="","",IF(S2227="","BYPASS",IF(ABS(S2227)&lt;=Summary!$B$2,"PASS","FAIL")))</f>
        <v/>
      </c>
      <c r="U2227" s="8" t="str">
        <f aca="false">IF(T2227="BYPASS",IF(NOT(ISNUMBER(Q2227)),"PreV_ETB missing","End_tr_balance missing"),IF(T2227="FAIL",IF(AND(ISNUMBER(K2227),ISNUMBER(L2227),ABS(L2227-(K2227-IF(ISNUMBER(N2227),N2227,0)-IF(ISNUMBER(O2227),O2227,0)+IF(ISNUMBER(P2227),P2227,0)))&lt;=Summary!$B$2),"Passes using beginning_balance - PreV_ETB differs from beginning_balance",IF(AND(ISNUMBER(O2227),O2227&lt;0,ABS(L2227-(Q2227-IF(ISNUMBER(N2227),N2227,0)+IF(ISNUMBER(P2227),P2227,0)))&lt;=Summary!$B$2),"Negative realized loss not applied - check sign",IF(R2227&lt;0,"Principal paid exceeds prior balance",IF(AND(L2227&gt;Q2227,NOT(ISNUMBER(P2227))),"Balance increased but no Deferred_interest reported",IF(L2227&gt;R2227,"Reported balance higher than expected (missing increase/OC build)","Reported balance lower than expected (missing decrease)"))))),""))</f>
        <v/>
      </c>
    </row>
    <row r="2228" customFormat="false" ht="15" hidden="false" customHeight="false" outlineLevel="0" collapsed="false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9"/>
      <c r="L2228" s="9"/>
      <c r="M2228" s="9"/>
      <c r="N2228" s="9"/>
      <c r="O2228" s="9"/>
      <c r="P2228" s="9"/>
      <c r="Q2228" s="9"/>
      <c r="R2228" s="9" t="str">
        <f aca="false">IF(AND(A2228&lt;&gt;"",ISNUMBER(Q2228),ISNUMBER(L2228)),ROUND(Q2228-IF(ISNUMBER(N2228),N2228,0)-IF(ISNUMBER(O2228),O2228,0)+IF(ISNUMBER(P2228),P2228,0),2),"")</f>
        <v/>
      </c>
      <c r="S2228" s="9" t="str">
        <f aca="false">IF(R2228="","",ROUND(L2228-R2228,2))</f>
        <v/>
      </c>
      <c r="T2228" s="8" t="str">
        <f aca="false">IF(A2228="","",IF(S2228="","BYPASS",IF(ABS(S2228)&lt;=Summary!$B$2,"PASS","FAIL")))</f>
        <v/>
      </c>
      <c r="U2228" s="8" t="str">
        <f aca="false">IF(T2228="BYPASS",IF(NOT(ISNUMBER(Q2228)),"PreV_ETB missing","End_tr_balance missing"),IF(T2228="FAIL",IF(AND(ISNUMBER(K2228),ISNUMBER(L2228),ABS(L2228-(K2228-IF(ISNUMBER(N2228),N2228,0)-IF(ISNUMBER(O2228),O2228,0)+IF(ISNUMBER(P2228),P2228,0)))&lt;=Summary!$B$2),"Passes using beginning_balance - PreV_ETB differs from beginning_balance",IF(AND(ISNUMBER(O2228),O2228&lt;0,ABS(L2228-(Q2228-IF(ISNUMBER(N2228),N2228,0)+IF(ISNUMBER(P2228),P2228,0)))&lt;=Summary!$B$2),"Negative realized loss not applied - check sign",IF(R2228&lt;0,"Principal paid exceeds prior balance",IF(AND(L2228&gt;Q2228,NOT(ISNUMBER(P2228))),"Balance increased but no Deferred_interest reported",IF(L2228&gt;R2228,"Reported balance higher than expected (missing increase/OC build)","Reported balance lower than expected (missing decrease)"))))),""))</f>
        <v/>
      </c>
    </row>
    <row r="2229" customFormat="false" ht="15" hidden="false" customHeight="false" outlineLevel="0" collapsed="false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9"/>
      <c r="L2229" s="9"/>
      <c r="M2229" s="9"/>
      <c r="N2229" s="9"/>
      <c r="O2229" s="9"/>
      <c r="P2229" s="9"/>
      <c r="Q2229" s="9"/>
      <c r="R2229" s="9" t="str">
        <f aca="false">IF(AND(A2229&lt;&gt;"",ISNUMBER(Q2229),ISNUMBER(L2229)),ROUND(Q2229-IF(ISNUMBER(N2229),N2229,0)-IF(ISNUMBER(O2229),O2229,0)+IF(ISNUMBER(P2229),P2229,0),2),"")</f>
        <v/>
      </c>
      <c r="S2229" s="9" t="str">
        <f aca="false">IF(R2229="","",ROUND(L2229-R2229,2))</f>
        <v/>
      </c>
      <c r="T2229" s="8" t="str">
        <f aca="false">IF(A2229="","",IF(S2229="","BYPASS",IF(ABS(S2229)&lt;=Summary!$B$2,"PASS","FAIL")))</f>
        <v/>
      </c>
      <c r="U2229" s="8" t="str">
        <f aca="false">IF(T2229="BYPASS",IF(NOT(ISNUMBER(Q2229)),"PreV_ETB missing","End_tr_balance missing"),IF(T2229="FAIL",IF(AND(ISNUMBER(K2229),ISNUMBER(L2229),ABS(L2229-(K2229-IF(ISNUMBER(N2229),N2229,0)-IF(ISNUMBER(O2229),O2229,0)+IF(ISNUMBER(P2229),P2229,0)))&lt;=Summary!$B$2),"Passes using beginning_balance - PreV_ETB differs from beginning_balance",IF(AND(ISNUMBER(O2229),O2229&lt;0,ABS(L2229-(Q2229-IF(ISNUMBER(N2229),N2229,0)+IF(ISNUMBER(P2229),P2229,0)))&lt;=Summary!$B$2),"Negative realized loss not applied - check sign",IF(R2229&lt;0,"Principal paid exceeds prior balance",IF(AND(L2229&gt;Q2229,NOT(ISNUMBER(P2229))),"Balance increased but no Deferred_interest reported",IF(L2229&gt;R2229,"Reported balance higher than expected (missing increase/OC build)","Reported balance lower than expected (missing decrease)"))))),""))</f>
        <v/>
      </c>
    </row>
    <row r="2230" customFormat="false" ht="15" hidden="false" customHeight="false" outlineLevel="0" collapsed="false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9"/>
      <c r="L2230" s="9"/>
      <c r="M2230" s="9"/>
      <c r="N2230" s="9"/>
      <c r="O2230" s="9"/>
      <c r="P2230" s="9"/>
      <c r="Q2230" s="9"/>
      <c r="R2230" s="9" t="str">
        <f aca="false">IF(AND(A2230&lt;&gt;"",ISNUMBER(Q2230),ISNUMBER(L2230)),ROUND(Q2230-IF(ISNUMBER(N2230),N2230,0)-IF(ISNUMBER(O2230),O2230,0)+IF(ISNUMBER(P2230),P2230,0),2),"")</f>
        <v/>
      </c>
      <c r="S2230" s="9" t="str">
        <f aca="false">IF(R2230="","",ROUND(L2230-R2230,2))</f>
        <v/>
      </c>
      <c r="T2230" s="8" t="str">
        <f aca="false">IF(A2230="","",IF(S2230="","BYPASS",IF(ABS(S2230)&lt;=Summary!$B$2,"PASS","FAIL")))</f>
        <v/>
      </c>
      <c r="U2230" s="8" t="str">
        <f aca="false">IF(T2230="BYPASS",IF(NOT(ISNUMBER(Q2230)),"PreV_ETB missing","End_tr_balance missing"),IF(T2230="FAIL",IF(AND(ISNUMBER(K2230),ISNUMBER(L2230),ABS(L2230-(K2230-IF(ISNUMBER(N2230),N2230,0)-IF(ISNUMBER(O2230),O2230,0)+IF(ISNUMBER(P2230),P2230,0)))&lt;=Summary!$B$2),"Passes using beginning_balance - PreV_ETB differs from beginning_balance",IF(AND(ISNUMBER(O2230),O2230&lt;0,ABS(L2230-(Q2230-IF(ISNUMBER(N2230),N2230,0)+IF(ISNUMBER(P2230),P2230,0)))&lt;=Summary!$B$2),"Negative realized loss not applied - check sign",IF(R2230&lt;0,"Principal paid exceeds prior balance",IF(AND(L2230&gt;Q2230,NOT(ISNUMBER(P2230))),"Balance increased but no Deferred_interest reported",IF(L2230&gt;R2230,"Reported balance higher than expected (missing increase/OC build)","Reported balance lower than expected (missing decrease)"))))),""))</f>
        <v/>
      </c>
    </row>
    <row r="2231" customFormat="false" ht="15" hidden="false" customHeight="false" outlineLevel="0" collapsed="false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9"/>
      <c r="L2231" s="9"/>
      <c r="M2231" s="9"/>
      <c r="N2231" s="9"/>
      <c r="O2231" s="9"/>
      <c r="P2231" s="9"/>
      <c r="Q2231" s="9"/>
      <c r="R2231" s="9" t="str">
        <f aca="false">IF(AND(A2231&lt;&gt;"",ISNUMBER(Q2231),ISNUMBER(L2231)),ROUND(Q2231-IF(ISNUMBER(N2231),N2231,0)-IF(ISNUMBER(O2231),O2231,0)+IF(ISNUMBER(P2231),P2231,0),2),"")</f>
        <v/>
      </c>
      <c r="S2231" s="9" t="str">
        <f aca="false">IF(R2231="","",ROUND(L2231-R2231,2))</f>
        <v/>
      </c>
      <c r="T2231" s="8" t="str">
        <f aca="false">IF(A2231="","",IF(S2231="","BYPASS",IF(ABS(S2231)&lt;=Summary!$B$2,"PASS","FAIL")))</f>
        <v/>
      </c>
      <c r="U2231" s="8" t="str">
        <f aca="false">IF(T2231="BYPASS",IF(NOT(ISNUMBER(Q2231)),"PreV_ETB missing","End_tr_balance missing"),IF(T2231="FAIL",IF(AND(ISNUMBER(K2231),ISNUMBER(L2231),ABS(L2231-(K2231-IF(ISNUMBER(N2231),N2231,0)-IF(ISNUMBER(O2231),O2231,0)+IF(ISNUMBER(P2231),P2231,0)))&lt;=Summary!$B$2),"Passes using beginning_balance - PreV_ETB differs from beginning_balance",IF(AND(ISNUMBER(O2231),O2231&lt;0,ABS(L2231-(Q2231-IF(ISNUMBER(N2231),N2231,0)+IF(ISNUMBER(P2231),P2231,0)))&lt;=Summary!$B$2),"Negative realized loss not applied - check sign",IF(R2231&lt;0,"Principal paid exceeds prior balance",IF(AND(L2231&gt;Q2231,NOT(ISNUMBER(P2231))),"Balance increased but no Deferred_interest reported",IF(L2231&gt;R2231,"Reported balance higher than expected (missing increase/OC build)","Reported balance lower than expected (missing decrease)"))))),""))</f>
        <v/>
      </c>
    </row>
    <row r="2232" customFormat="false" ht="15" hidden="false" customHeight="false" outlineLevel="0" collapsed="false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9"/>
      <c r="L2232" s="9"/>
      <c r="M2232" s="9"/>
      <c r="N2232" s="9"/>
      <c r="O2232" s="9"/>
      <c r="P2232" s="9"/>
      <c r="Q2232" s="9"/>
      <c r="R2232" s="9" t="str">
        <f aca="false">IF(AND(A2232&lt;&gt;"",ISNUMBER(Q2232),ISNUMBER(L2232)),ROUND(Q2232-IF(ISNUMBER(N2232),N2232,0)-IF(ISNUMBER(O2232),O2232,0)+IF(ISNUMBER(P2232),P2232,0),2),"")</f>
        <v/>
      </c>
      <c r="S2232" s="9" t="str">
        <f aca="false">IF(R2232="","",ROUND(L2232-R2232,2))</f>
        <v/>
      </c>
      <c r="T2232" s="8" t="str">
        <f aca="false">IF(A2232="","",IF(S2232="","BYPASS",IF(ABS(S2232)&lt;=Summary!$B$2,"PASS","FAIL")))</f>
        <v/>
      </c>
      <c r="U2232" s="8" t="str">
        <f aca="false">IF(T2232="BYPASS",IF(NOT(ISNUMBER(Q2232)),"PreV_ETB missing","End_tr_balance missing"),IF(T2232="FAIL",IF(AND(ISNUMBER(K2232),ISNUMBER(L2232),ABS(L2232-(K2232-IF(ISNUMBER(N2232),N2232,0)-IF(ISNUMBER(O2232),O2232,0)+IF(ISNUMBER(P2232),P2232,0)))&lt;=Summary!$B$2),"Passes using beginning_balance - PreV_ETB differs from beginning_balance",IF(AND(ISNUMBER(O2232),O2232&lt;0,ABS(L2232-(Q2232-IF(ISNUMBER(N2232),N2232,0)+IF(ISNUMBER(P2232),P2232,0)))&lt;=Summary!$B$2),"Negative realized loss not applied - check sign",IF(R2232&lt;0,"Principal paid exceeds prior balance",IF(AND(L2232&gt;Q2232,NOT(ISNUMBER(P2232))),"Balance increased but no Deferred_interest reported",IF(L2232&gt;R2232,"Reported balance higher than expected (missing increase/OC build)","Reported balance lower than expected (missing decrease)"))))),""))</f>
        <v/>
      </c>
    </row>
    <row r="2233" customFormat="false" ht="15" hidden="false" customHeight="false" outlineLevel="0" collapsed="false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9"/>
      <c r="L2233" s="9"/>
      <c r="M2233" s="9"/>
      <c r="N2233" s="9"/>
      <c r="O2233" s="9"/>
      <c r="P2233" s="9"/>
      <c r="Q2233" s="9"/>
      <c r="R2233" s="9" t="str">
        <f aca="false">IF(AND(A2233&lt;&gt;"",ISNUMBER(Q2233),ISNUMBER(L2233)),ROUND(Q2233-IF(ISNUMBER(N2233),N2233,0)-IF(ISNUMBER(O2233),O2233,0)+IF(ISNUMBER(P2233),P2233,0),2),"")</f>
        <v/>
      </c>
      <c r="S2233" s="9" t="str">
        <f aca="false">IF(R2233="","",ROUND(L2233-R2233,2))</f>
        <v/>
      </c>
      <c r="T2233" s="8" t="str">
        <f aca="false">IF(A2233="","",IF(S2233="","BYPASS",IF(ABS(S2233)&lt;=Summary!$B$2,"PASS","FAIL")))</f>
        <v/>
      </c>
      <c r="U2233" s="8" t="str">
        <f aca="false">IF(T2233="BYPASS",IF(NOT(ISNUMBER(Q2233)),"PreV_ETB missing","End_tr_balance missing"),IF(T2233="FAIL",IF(AND(ISNUMBER(K2233),ISNUMBER(L2233),ABS(L2233-(K2233-IF(ISNUMBER(N2233),N2233,0)-IF(ISNUMBER(O2233),O2233,0)+IF(ISNUMBER(P2233),P2233,0)))&lt;=Summary!$B$2),"Passes using beginning_balance - PreV_ETB differs from beginning_balance",IF(AND(ISNUMBER(O2233),O2233&lt;0,ABS(L2233-(Q2233-IF(ISNUMBER(N2233),N2233,0)+IF(ISNUMBER(P2233),P2233,0)))&lt;=Summary!$B$2),"Negative realized loss not applied - check sign",IF(R2233&lt;0,"Principal paid exceeds prior balance",IF(AND(L2233&gt;Q2233,NOT(ISNUMBER(P2233))),"Balance increased but no Deferred_interest reported",IF(L2233&gt;R2233,"Reported balance higher than expected (missing increase/OC build)","Reported balance lower than expected (missing decrease)"))))),""))</f>
        <v/>
      </c>
    </row>
    <row r="2234" customFormat="false" ht="15" hidden="false" customHeight="false" outlineLevel="0" collapsed="false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9"/>
      <c r="L2234" s="9"/>
      <c r="M2234" s="9"/>
      <c r="N2234" s="9"/>
      <c r="O2234" s="9"/>
      <c r="P2234" s="9"/>
      <c r="Q2234" s="9"/>
      <c r="R2234" s="9" t="str">
        <f aca="false">IF(AND(A2234&lt;&gt;"",ISNUMBER(Q2234),ISNUMBER(L2234)),ROUND(Q2234-IF(ISNUMBER(N2234),N2234,0)-IF(ISNUMBER(O2234),O2234,0)+IF(ISNUMBER(P2234),P2234,0),2),"")</f>
        <v/>
      </c>
      <c r="S2234" s="9" t="str">
        <f aca="false">IF(R2234="","",ROUND(L2234-R2234,2))</f>
        <v/>
      </c>
      <c r="T2234" s="8" t="str">
        <f aca="false">IF(A2234="","",IF(S2234="","BYPASS",IF(ABS(S2234)&lt;=Summary!$B$2,"PASS","FAIL")))</f>
        <v/>
      </c>
      <c r="U2234" s="8" t="str">
        <f aca="false">IF(T2234="BYPASS",IF(NOT(ISNUMBER(Q2234)),"PreV_ETB missing","End_tr_balance missing"),IF(T2234="FAIL",IF(AND(ISNUMBER(K2234),ISNUMBER(L2234),ABS(L2234-(K2234-IF(ISNUMBER(N2234),N2234,0)-IF(ISNUMBER(O2234),O2234,0)+IF(ISNUMBER(P2234),P2234,0)))&lt;=Summary!$B$2),"Passes using beginning_balance - PreV_ETB differs from beginning_balance",IF(AND(ISNUMBER(O2234),O2234&lt;0,ABS(L2234-(Q2234-IF(ISNUMBER(N2234),N2234,0)+IF(ISNUMBER(P2234),P2234,0)))&lt;=Summary!$B$2),"Negative realized loss not applied - check sign",IF(R2234&lt;0,"Principal paid exceeds prior balance",IF(AND(L2234&gt;Q2234,NOT(ISNUMBER(P2234))),"Balance increased but no Deferred_interest reported",IF(L2234&gt;R2234,"Reported balance higher than expected (missing increase/OC build)","Reported balance lower than expected (missing decrease)"))))),""))</f>
        <v/>
      </c>
    </row>
    <row r="2235" customFormat="false" ht="15" hidden="false" customHeight="false" outlineLevel="0" collapsed="false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9"/>
      <c r="L2235" s="9"/>
      <c r="M2235" s="9"/>
      <c r="N2235" s="9"/>
      <c r="O2235" s="9"/>
      <c r="P2235" s="9"/>
      <c r="Q2235" s="9"/>
      <c r="R2235" s="9" t="str">
        <f aca="false">IF(AND(A2235&lt;&gt;"",ISNUMBER(Q2235),ISNUMBER(L2235)),ROUND(Q2235-IF(ISNUMBER(N2235),N2235,0)-IF(ISNUMBER(O2235),O2235,0)+IF(ISNUMBER(P2235),P2235,0),2),"")</f>
        <v/>
      </c>
      <c r="S2235" s="9" t="str">
        <f aca="false">IF(R2235="","",ROUND(L2235-R2235,2))</f>
        <v/>
      </c>
      <c r="T2235" s="8" t="str">
        <f aca="false">IF(A2235="","",IF(S2235="","BYPASS",IF(ABS(S2235)&lt;=Summary!$B$2,"PASS","FAIL")))</f>
        <v/>
      </c>
      <c r="U2235" s="8" t="str">
        <f aca="false">IF(T2235="BYPASS",IF(NOT(ISNUMBER(Q2235)),"PreV_ETB missing","End_tr_balance missing"),IF(T2235="FAIL",IF(AND(ISNUMBER(K2235),ISNUMBER(L2235),ABS(L2235-(K2235-IF(ISNUMBER(N2235),N2235,0)-IF(ISNUMBER(O2235),O2235,0)+IF(ISNUMBER(P2235),P2235,0)))&lt;=Summary!$B$2),"Passes using beginning_balance - PreV_ETB differs from beginning_balance",IF(AND(ISNUMBER(O2235),O2235&lt;0,ABS(L2235-(Q2235-IF(ISNUMBER(N2235),N2235,0)+IF(ISNUMBER(P2235),P2235,0)))&lt;=Summary!$B$2),"Negative realized loss not applied - check sign",IF(R2235&lt;0,"Principal paid exceeds prior balance",IF(AND(L2235&gt;Q2235,NOT(ISNUMBER(P2235))),"Balance increased but no Deferred_interest reported",IF(L2235&gt;R2235,"Reported balance higher than expected (missing increase/OC build)","Reported balance lower than expected (missing decrease)"))))),""))</f>
        <v/>
      </c>
    </row>
    <row r="2236" customFormat="false" ht="15" hidden="false" customHeight="false" outlineLevel="0" collapsed="false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9"/>
      <c r="L2236" s="9"/>
      <c r="M2236" s="9"/>
      <c r="N2236" s="9"/>
      <c r="O2236" s="9"/>
      <c r="P2236" s="9"/>
      <c r="Q2236" s="9"/>
      <c r="R2236" s="9" t="str">
        <f aca="false">IF(AND(A2236&lt;&gt;"",ISNUMBER(Q2236),ISNUMBER(L2236)),ROUND(Q2236-IF(ISNUMBER(N2236),N2236,0)-IF(ISNUMBER(O2236),O2236,0)+IF(ISNUMBER(P2236),P2236,0),2),"")</f>
        <v/>
      </c>
      <c r="S2236" s="9" t="str">
        <f aca="false">IF(R2236="","",ROUND(L2236-R2236,2))</f>
        <v/>
      </c>
      <c r="T2236" s="8" t="str">
        <f aca="false">IF(A2236="","",IF(S2236="","BYPASS",IF(ABS(S2236)&lt;=Summary!$B$2,"PASS","FAIL")))</f>
        <v/>
      </c>
      <c r="U2236" s="8" t="str">
        <f aca="false">IF(T2236="BYPASS",IF(NOT(ISNUMBER(Q2236)),"PreV_ETB missing","End_tr_balance missing"),IF(T2236="FAIL",IF(AND(ISNUMBER(K2236),ISNUMBER(L2236),ABS(L2236-(K2236-IF(ISNUMBER(N2236),N2236,0)-IF(ISNUMBER(O2236),O2236,0)+IF(ISNUMBER(P2236),P2236,0)))&lt;=Summary!$B$2),"Passes using beginning_balance - PreV_ETB differs from beginning_balance",IF(AND(ISNUMBER(O2236),O2236&lt;0,ABS(L2236-(Q2236-IF(ISNUMBER(N2236),N2236,0)+IF(ISNUMBER(P2236),P2236,0)))&lt;=Summary!$B$2),"Negative realized loss not applied - check sign",IF(R2236&lt;0,"Principal paid exceeds prior balance",IF(AND(L2236&gt;Q2236,NOT(ISNUMBER(P2236))),"Balance increased but no Deferred_interest reported",IF(L2236&gt;R2236,"Reported balance higher than expected (missing increase/OC build)","Reported balance lower than expected (missing decrease)"))))),""))</f>
        <v/>
      </c>
    </row>
    <row r="2237" customFormat="false" ht="15" hidden="false" customHeight="false" outlineLevel="0" collapsed="false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9"/>
      <c r="L2237" s="9"/>
      <c r="M2237" s="9"/>
      <c r="N2237" s="9"/>
      <c r="O2237" s="9"/>
      <c r="P2237" s="9"/>
      <c r="Q2237" s="9"/>
      <c r="R2237" s="9" t="str">
        <f aca="false">IF(AND(A2237&lt;&gt;"",ISNUMBER(Q2237),ISNUMBER(L2237)),ROUND(Q2237-IF(ISNUMBER(N2237),N2237,0)-IF(ISNUMBER(O2237),O2237,0)+IF(ISNUMBER(P2237),P2237,0),2),"")</f>
        <v/>
      </c>
      <c r="S2237" s="9" t="str">
        <f aca="false">IF(R2237="","",ROUND(L2237-R2237,2))</f>
        <v/>
      </c>
      <c r="T2237" s="8" t="str">
        <f aca="false">IF(A2237="","",IF(S2237="","BYPASS",IF(ABS(S2237)&lt;=Summary!$B$2,"PASS","FAIL")))</f>
        <v/>
      </c>
      <c r="U2237" s="8" t="str">
        <f aca="false">IF(T2237="BYPASS",IF(NOT(ISNUMBER(Q2237)),"PreV_ETB missing","End_tr_balance missing"),IF(T2237="FAIL",IF(AND(ISNUMBER(K2237),ISNUMBER(L2237),ABS(L2237-(K2237-IF(ISNUMBER(N2237),N2237,0)-IF(ISNUMBER(O2237),O2237,0)+IF(ISNUMBER(P2237),P2237,0)))&lt;=Summary!$B$2),"Passes using beginning_balance - PreV_ETB differs from beginning_balance",IF(AND(ISNUMBER(O2237),O2237&lt;0,ABS(L2237-(Q2237-IF(ISNUMBER(N2237),N2237,0)+IF(ISNUMBER(P2237),P2237,0)))&lt;=Summary!$B$2),"Negative realized loss not applied - check sign",IF(R2237&lt;0,"Principal paid exceeds prior balance",IF(AND(L2237&gt;Q2237,NOT(ISNUMBER(P2237))),"Balance increased but no Deferred_interest reported",IF(L2237&gt;R2237,"Reported balance higher than expected (missing increase/OC build)","Reported balance lower than expected (missing decrease)"))))),""))</f>
        <v/>
      </c>
    </row>
    <row r="2238" customFormat="false" ht="15" hidden="false" customHeight="false" outlineLevel="0" collapsed="false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9"/>
      <c r="L2238" s="9"/>
      <c r="M2238" s="9"/>
      <c r="N2238" s="9"/>
      <c r="O2238" s="9"/>
      <c r="P2238" s="9"/>
      <c r="Q2238" s="9"/>
      <c r="R2238" s="9" t="str">
        <f aca="false">IF(AND(A2238&lt;&gt;"",ISNUMBER(Q2238),ISNUMBER(L2238)),ROUND(Q2238-IF(ISNUMBER(N2238),N2238,0)-IF(ISNUMBER(O2238),O2238,0)+IF(ISNUMBER(P2238),P2238,0),2),"")</f>
        <v/>
      </c>
      <c r="S2238" s="9" t="str">
        <f aca="false">IF(R2238="","",ROUND(L2238-R2238,2))</f>
        <v/>
      </c>
      <c r="T2238" s="8" t="str">
        <f aca="false">IF(A2238="","",IF(S2238="","BYPASS",IF(ABS(S2238)&lt;=Summary!$B$2,"PASS","FAIL")))</f>
        <v/>
      </c>
      <c r="U2238" s="8" t="str">
        <f aca="false">IF(T2238="BYPASS",IF(NOT(ISNUMBER(Q2238)),"PreV_ETB missing","End_tr_balance missing"),IF(T2238="FAIL",IF(AND(ISNUMBER(K2238),ISNUMBER(L2238),ABS(L2238-(K2238-IF(ISNUMBER(N2238),N2238,0)-IF(ISNUMBER(O2238),O2238,0)+IF(ISNUMBER(P2238),P2238,0)))&lt;=Summary!$B$2),"Passes using beginning_balance - PreV_ETB differs from beginning_balance",IF(AND(ISNUMBER(O2238),O2238&lt;0,ABS(L2238-(Q2238-IF(ISNUMBER(N2238),N2238,0)+IF(ISNUMBER(P2238),P2238,0)))&lt;=Summary!$B$2),"Negative realized loss not applied - check sign",IF(R2238&lt;0,"Principal paid exceeds prior balance",IF(AND(L2238&gt;Q2238,NOT(ISNUMBER(P2238))),"Balance increased but no Deferred_interest reported",IF(L2238&gt;R2238,"Reported balance higher than expected (missing increase/OC build)","Reported balance lower than expected (missing decrease)"))))),""))</f>
        <v/>
      </c>
    </row>
    <row r="2239" customFormat="false" ht="15" hidden="false" customHeight="false" outlineLevel="0" collapsed="false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9"/>
      <c r="L2239" s="9"/>
      <c r="M2239" s="9"/>
      <c r="N2239" s="9"/>
      <c r="O2239" s="9"/>
      <c r="P2239" s="9"/>
      <c r="Q2239" s="9"/>
      <c r="R2239" s="9" t="str">
        <f aca="false">IF(AND(A2239&lt;&gt;"",ISNUMBER(Q2239),ISNUMBER(L2239)),ROUND(Q2239-IF(ISNUMBER(N2239),N2239,0)-IF(ISNUMBER(O2239),O2239,0)+IF(ISNUMBER(P2239),P2239,0),2),"")</f>
        <v/>
      </c>
      <c r="S2239" s="9" t="str">
        <f aca="false">IF(R2239="","",ROUND(L2239-R2239,2))</f>
        <v/>
      </c>
      <c r="T2239" s="8" t="str">
        <f aca="false">IF(A2239="","",IF(S2239="","BYPASS",IF(ABS(S2239)&lt;=Summary!$B$2,"PASS","FAIL")))</f>
        <v/>
      </c>
      <c r="U2239" s="8" t="str">
        <f aca="false">IF(T2239="BYPASS",IF(NOT(ISNUMBER(Q2239)),"PreV_ETB missing","End_tr_balance missing"),IF(T2239="FAIL",IF(AND(ISNUMBER(K2239),ISNUMBER(L2239),ABS(L2239-(K2239-IF(ISNUMBER(N2239),N2239,0)-IF(ISNUMBER(O2239),O2239,0)+IF(ISNUMBER(P2239),P2239,0)))&lt;=Summary!$B$2),"Passes using beginning_balance - PreV_ETB differs from beginning_balance",IF(AND(ISNUMBER(O2239),O2239&lt;0,ABS(L2239-(Q2239-IF(ISNUMBER(N2239),N2239,0)+IF(ISNUMBER(P2239),P2239,0)))&lt;=Summary!$B$2),"Negative realized loss not applied - check sign",IF(R2239&lt;0,"Principal paid exceeds prior balance",IF(AND(L2239&gt;Q2239,NOT(ISNUMBER(P2239))),"Balance increased but no Deferred_interest reported",IF(L2239&gt;R2239,"Reported balance higher than expected (missing increase/OC build)","Reported balance lower than expected (missing decrease)"))))),""))</f>
        <v/>
      </c>
    </row>
    <row r="2240" customFormat="false" ht="15" hidden="false" customHeight="false" outlineLevel="0" collapsed="false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9"/>
      <c r="L2240" s="9"/>
      <c r="M2240" s="9"/>
      <c r="N2240" s="9"/>
      <c r="O2240" s="9"/>
      <c r="P2240" s="9"/>
      <c r="Q2240" s="9"/>
      <c r="R2240" s="9" t="str">
        <f aca="false">IF(AND(A2240&lt;&gt;"",ISNUMBER(Q2240),ISNUMBER(L2240)),ROUND(Q2240-IF(ISNUMBER(N2240),N2240,0)-IF(ISNUMBER(O2240),O2240,0)+IF(ISNUMBER(P2240),P2240,0),2),"")</f>
        <v/>
      </c>
      <c r="S2240" s="9" t="str">
        <f aca="false">IF(R2240="","",ROUND(L2240-R2240,2))</f>
        <v/>
      </c>
      <c r="T2240" s="8" t="str">
        <f aca="false">IF(A2240="","",IF(S2240="","BYPASS",IF(ABS(S2240)&lt;=Summary!$B$2,"PASS","FAIL")))</f>
        <v/>
      </c>
      <c r="U2240" s="8" t="str">
        <f aca="false">IF(T2240="BYPASS",IF(NOT(ISNUMBER(Q2240)),"PreV_ETB missing","End_tr_balance missing"),IF(T2240="FAIL",IF(AND(ISNUMBER(K2240),ISNUMBER(L2240),ABS(L2240-(K2240-IF(ISNUMBER(N2240),N2240,0)-IF(ISNUMBER(O2240),O2240,0)+IF(ISNUMBER(P2240),P2240,0)))&lt;=Summary!$B$2),"Passes using beginning_balance - PreV_ETB differs from beginning_balance",IF(AND(ISNUMBER(O2240),O2240&lt;0,ABS(L2240-(Q2240-IF(ISNUMBER(N2240),N2240,0)+IF(ISNUMBER(P2240),P2240,0)))&lt;=Summary!$B$2),"Negative realized loss not applied - check sign",IF(R2240&lt;0,"Principal paid exceeds prior balance",IF(AND(L2240&gt;Q2240,NOT(ISNUMBER(P2240))),"Balance increased but no Deferred_interest reported",IF(L2240&gt;R2240,"Reported balance higher than expected (missing increase/OC build)","Reported balance lower than expected (missing decrease)"))))),""))</f>
        <v/>
      </c>
    </row>
    <row r="2241" customFormat="false" ht="15" hidden="false" customHeight="false" outlineLevel="0" collapsed="false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9"/>
      <c r="L2241" s="9"/>
      <c r="M2241" s="9"/>
      <c r="N2241" s="9"/>
      <c r="O2241" s="9"/>
      <c r="P2241" s="9"/>
      <c r="Q2241" s="9"/>
      <c r="R2241" s="9" t="str">
        <f aca="false">IF(AND(A2241&lt;&gt;"",ISNUMBER(Q2241),ISNUMBER(L2241)),ROUND(Q2241-IF(ISNUMBER(N2241),N2241,0)-IF(ISNUMBER(O2241),O2241,0)+IF(ISNUMBER(P2241),P2241,0),2),"")</f>
        <v/>
      </c>
      <c r="S2241" s="9" t="str">
        <f aca="false">IF(R2241="","",ROUND(L2241-R2241,2))</f>
        <v/>
      </c>
      <c r="T2241" s="8" t="str">
        <f aca="false">IF(A2241="","",IF(S2241="","BYPASS",IF(ABS(S2241)&lt;=Summary!$B$2,"PASS","FAIL")))</f>
        <v/>
      </c>
      <c r="U2241" s="8" t="str">
        <f aca="false">IF(T2241="BYPASS",IF(NOT(ISNUMBER(Q2241)),"PreV_ETB missing","End_tr_balance missing"),IF(T2241="FAIL",IF(AND(ISNUMBER(K2241),ISNUMBER(L2241),ABS(L2241-(K2241-IF(ISNUMBER(N2241),N2241,0)-IF(ISNUMBER(O2241),O2241,0)+IF(ISNUMBER(P2241),P2241,0)))&lt;=Summary!$B$2),"Passes using beginning_balance - PreV_ETB differs from beginning_balance",IF(AND(ISNUMBER(O2241),O2241&lt;0,ABS(L2241-(Q2241-IF(ISNUMBER(N2241),N2241,0)+IF(ISNUMBER(P2241),P2241,0)))&lt;=Summary!$B$2),"Negative realized loss not applied - check sign",IF(R2241&lt;0,"Principal paid exceeds prior balance",IF(AND(L2241&gt;Q2241,NOT(ISNUMBER(P2241))),"Balance increased but no Deferred_interest reported",IF(L2241&gt;R2241,"Reported balance higher than expected (missing increase/OC build)","Reported balance lower than expected (missing decrease)"))))),""))</f>
        <v/>
      </c>
    </row>
    <row r="2242" customFormat="false" ht="15" hidden="false" customHeight="false" outlineLevel="0" collapsed="false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9"/>
      <c r="L2242" s="9"/>
      <c r="M2242" s="9"/>
      <c r="N2242" s="9"/>
      <c r="O2242" s="9"/>
      <c r="P2242" s="9"/>
      <c r="Q2242" s="9"/>
      <c r="R2242" s="9" t="str">
        <f aca="false">IF(AND(A2242&lt;&gt;"",ISNUMBER(Q2242),ISNUMBER(L2242)),ROUND(Q2242-IF(ISNUMBER(N2242),N2242,0)-IF(ISNUMBER(O2242),O2242,0)+IF(ISNUMBER(P2242),P2242,0),2),"")</f>
        <v/>
      </c>
      <c r="S2242" s="9" t="str">
        <f aca="false">IF(R2242="","",ROUND(L2242-R2242,2))</f>
        <v/>
      </c>
      <c r="T2242" s="8" t="str">
        <f aca="false">IF(A2242="","",IF(S2242="","BYPASS",IF(ABS(S2242)&lt;=Summary!$B$2,"PASS","FAIL")))</f>
        <v/>
      </c>
      <c r="U2242" s="8" t="str">
        <f aca="false">IF(T2242="BYPASS",IF(NOT(ISNUMBER(Q2242)),"PreV_ETB missing","End_tr_balance missing"),IF(T2242="FAIL",IF(AND(ISNUMBER(K2242),ISNUMBER(L2242),ABS(L2242-(K2242-IF(ISNUMBER(N2242),N2242,0)-IF(ISNUMBER(O2242),O2242,0)+IF(ISNUMBER(P2242),P2242,0)))&lt;=Summary!$B$2),"Passes using beginning_balance - PreV_ETB differs from beginning_balance",IF(AND(ISNUMBER(O2242),O2242&lt;0,ABS(L2242-(Q2242-IF(ISNUMBER(N2242),N2242,0)+IF(ISNUMBER(P2242),P2242,0)))&lt;=Summary!$B$2),"Negative realized loss not applied - check sign",IF(R2242&lt;0,"Principal paid exceeds prior balance",IF(AND(L2242&gt;Q2242,NOT(ISNUMBER(P2242))),"Balance increased but no Deferred_interest reported",IF(L2242&gt;R2242,"Reported balance higher than expected (missing increase/OC build)","Reported balance lower than expected (missing decrease)"))))),""))</f>
        <v/>
      </c>
    </row>
    <row r="2243" customFormat="false" ht="15" hidden="false" customHeight="false" outlineLevel="0" collapsed="false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9"/>
      <c r="L2243" s="9"/>
      <c r="M2243" s="9"/>
      <c r="N2243" s="9"/>
      <c r="O2243" s="9"/>
      <c r="P2243" s="9"/>
      <c r="Q2243" s="9"/>
      <c r="R2243" s="9" t="str">
        <f aca="false">IF(AND(A2243&lt;&gt;"",ISNUMBER(Q2243),ISNUMBER(L2243)),ROUND(Q2243-IF(ISNUMBER(N2243),N2243,0)-IF(ISNUMBER(O2243),O2243,0)+IF(ISNUMBER(P2243),P2243,0),2),"")</f>
        <v/>
      </c>
      <c r="S2243" s="9" t="str">
        <f aca="false">IF(R2243="","",ROUND(L2243-R2243,2))</f>
        <v/>
      </c>
      <c r="T2243" s="8" t="str">
        <f aca="false">IF(A2243="","",IF(S2243="","BYPASS",IF(ABS(S2243)&lt;=Summary!$B$2,"PASS","FAIL")))</f>
        <v/>
      </c>
      <c r="U2243" s="8" t="str">
        <f aca="false">IF(T2243="BYPASS",IF(NOT(ISNUMBER(Q2243)),"PreV_ETB missing","End_tr_balance missing"),IF(T2243="FAIL",IF(AND(ISNUMBER(K2243),ISNUMBER(L2243),ABS(L2243-(K2243-IF(ISNUMBER(N2243),N2243,0)-IF(ISNUMBER(O2243),O2243,0)+IF(ISNUMBER(P2243),P2243,0)))&lt;=Summary!$B$2),"Passes using beginning_balance - PreV_ETB differs from beginning_balance",IF(AND(ISNUMBER(O2243),O2243&lt;0,ABS(L2243-(Q2243-IF(ISNUMBER(N2243),N2243,0)+IF(ISNUMBER(P2243),P2243,0)))&lt;=Summary!$B$2),"Negative realized loss not applied - check sign",IF(R2243&lt;0,"Principal paid exceeds prior balance",IF(AND(L2243&gt;Q2243,NOT(ISNUMBER(P2243))),"Balance increased but no Deferred_interest reported",IF(L2243&gt;R2243,"Reported balance higher than expected (missing increase/OC build)","Reported balance lower than expected (missing decrease)"))))),""))</f>
        <v/>
      </c>
    </row>
    <row r="2244" customFormat="false" ht="15" hidden="false" customHeight="false" outlineLevel="0" collapsed="false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9"/>
      <c r="L2244" s="9"/>
      <c r="M2244" s="9"/>
      <c r="N2244" s="9"/>
      <c r="O2244" s="9"/>
      <c r="P2244" s="9"/>
      <c r="Q2244" s="9"/>
      <c r="R2244" s="9" t="str">
        <f aca="false">IF(AND(A2244&lt;&gt;"",ISNUMBER(Q2244),ISNUMBER(L2244)),ROUND(Q2244-IF(ISNUMBER(N2244),N2244,0)-IF(ISNUMBER(O2244),O2244,0)+IF(ISNUMBER(P2244),P2244,0),2),"")</f>
        <v/>
      </c>
      <c r="S2244" s="9" t="str">
        <f aca="false">IF(R2244="","",ROUND(L2244-R2244,2))</f>
        <v/>
      </c>
      <c r="T2244" s="8" t="str">
        <f aca="false">IF(A2244="","",IF(S2244="","BYPASS",IF(ABS(S2244)&lt;=Summary!$B$2,"PASS","FAIL")))</f>
        <v/>
      </c>
      <c r="U2244" s="8" t="str">
        <f aca="false">IF(T2244="BYPASS",IF(NOT(ISNUMBER(Q2244)),"PreV_ETB missing","End_tr_balance missing"),IF(T2244="FAIL",IF(AND(ISNUMBER(K2244),ISNUMBER(L2244),ABS(L2244-(K2244-IF(ISNUMBER(N2244),N2244,0)-IF(ISNUMBER(O2244),O2244,0)+IF(ISNUMBER(P2244),P2244,0)))&lt;=Summary!$B$2),"Passes using beginning_balance - PreV_ETB differs from beginning_balance",IF(AND(ISNUMBER(O2244),O2244&lt;0,ABS(L2244-(Q2244-IF(ISNUMBER(N2244),N2244,0)+IF(ISNUMBER(P2244),P2244,0)))&lt;=Summary!$B$2),"Negative realized loss not applied - check sign",IF(R2244&lt;0,"Principal paid exceeds prior balance",IF(AND(L2244&gt;Q2244,NOT(ISNUMBER(P2244))),"Balance increased but no Deferred_interest reported",IF(L2244&gt;R2244,"Reported balance higher than expected (missing increase/OC build)","Reported balance lower than expected (missing decrease)"))))),""))</f>
        <v/>
      </c>
    </row>
    <row r="2245" customFormat="false" ht="15" hidden="false" customHeight="false" outlineLevel="0" collapsed="false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9"/>
      <c r="L2245" s="9"/>
      <c r="M2245" s="9"/>
      <c r="N2245" s="9"/>
      <c r="O2245" s="9"/>
      <c r="P2245" s="9"/>
      <c r="Q2245" s="9"/>
      <c r="R2245" s="9" t="str">
        <f aca="false">IF(AND(A2245&lt;&gt;"",ISNUMBER(Q2245),ISNUMBER(L2245)),ROUND(Q2245-IF(ISNUMBER(N2245),N2245,0)-IF(ISNUMBER(O2245),O2245,0)+IF(ISNUMBER(P2245),P2245,0),2),"")</f>
        <v/>
      </c>
      <c r="S2245" s="9" t="str">
        <f aca="false">IF(R2245="","",ROUND(L2245-R2245,2))</f>
        <v/>
      </c>
      <c r="T2245" s="8" t="str">
        <f aca="false">IF(A2245="","",IF(S2245="","BYPASS",IF(ABS(S2245)&lt;=Summary!$B$2,"PASS","FAIL")))</f>
        <v/>
      </c>
      <c r="U2245" s="8" t="str">
        <f aca="false">IF(T2245="BYPASS",IF(NOT(ISNUMBER(Q2245)),"PreV_ETB missing","End_tr_balance missing"),IF(T2245="FAIL",IF(AND(ISNUMBER(K2245),ISNUMBER(L2245),ABS(L2245-(K2245-IF(ISNUMBER(N2245),N2245,0)-IF(ISNUMBER(O2245),O2245,0)+IF(ISNUMBER(P2245),P2245,0)))&lt;=Summary!$B$2),"Passes using beginning_balance - PreV_ETB differs from beginning_balance",IF(AND(ISNUMBER(O2245),O2245&lt;0,ABS(L2245-(Q2245-IF(ISNUMBER(N2245),N2245,0)+IF(ISNUMBER(P2245),P2245,0)))&lt;=Summary!$B$2),"Negative realized loss not applied - check sign",IF(R2245&lt;0,"Principal paid exceeds prior balance",IF(AND(L2245&gt;Q2245,NOT(ISNUMBER(P2245))),"Balance increased but no Deferred_interest reported",IF(L2245&gt;R2245,"Reported balance higher than expected (missing increase/OC build)","Reported balance lower than expected (missing decrease)"))))),""))</f>
        <v/>
      </c>
    </row>
    <row r="2246" customFormat="false" ht="15" hidden="false" customHeight="false" outlineLevel="0" collapsed="false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9"/>
      <c r="L2246" s="9"/>
      <c r="M2246" s="9"/>
      <c r="N2246" s="9"/>
      <c r="O2246" s="9"/>
      <c r="P2246" s="9"/>
      <c r="Q2246" s="9"/>
      <c r="R2246" s="9" t="str">
        <f aca="false">IF(AND(A2246&lt;&gt;"",ISNUMBER(Q2246),ISNUMBER(L2246)),ROUND(Q2246-IF(ISNUMBER(N2246),N2246,0)-IF(ISNUMBER(O2246),O2246,0)+IF(ISNUMBER(P2246),P2246,0),2),"")</f>
        <v/>
      </c>
      <c r="S2246" s="9" t="str">
        <f aca="false">IF(R2246="","",ROUND(L2246-R2246,2))</f>
        <v/>
      </c>
      <c r="T2246" s="8" t="str">
        <f aca="false">IF(A2246="","",IF(S2246="","BYPASS",IF(ABS(S2246)&lt;=Summary!$B$2,"PASS","FAIL")))</f>
        <v/>
      </c>
      <c r="U2246" s="8" t="str">
        <f aca="false">IF(T2246="BYPASS",IF(NOT(ISNUMBER(Q2246)),"PreV_ETB missing","End_tr_balance missing"),IF(T2246="FAIL",IF(AND(ISNUMBER(K2246),ISNUMBER(L2246),ABS(L2246-(K2246-IF(ISNUMBER(N2246),N2246,0)-IF(ISNUMBER(O2246),O2246,0)+IF(ISNUMBER(P2246),P2246,0)))&lt;=Summary!$B$2),"Passes using beginning_balance - PreV_ETB differs from beginning_balance",IF(AND(ISNUMBER(O2246),O2246&lt;0,ABS(L2246-(Q2246-IF(ISNUMBER(N2246),N2246,0)+IF(ISNUMBER(P2246),P2246,0)))&lt;=Summary!$B$2),"Negative realized loss not applied - check sign",IF(R2246&lt;0,"Principal paid exceeds prior balance",IF(AND(L2246&gt;Q2246,NOT(ISNUMBER(P2246))),"Balance increased but no Deferred_interest reported",IF(L2246&gt;R2246,"Reported balance higher than expected (missing increase/OC build)","Reported balance lower than expected (missing decrease)"))))),""))</f>
        <v/>
      </c>
    </row>
    <row r="2247" customFormat="false" ht="15" hidden="false" customHeight="false" outlineLevel="0" collapsed="false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9"/>
      <c r="L2247" s="9"/>
      <c r="M2247" s="9"/>
      <c r="N2247" s="9"/>
      <c r="O2247" s="9"/>
      <c r="P2247" s="9"/>
      <c r="Q2247" s="9"/>
      <c r="R2247" s="9" t="str">
        <f aca="false">IF(AND(A2247&lt;&gt;"",ISNUMBER(Q2247),ISNUMBER(L2247)),ROUND(Q2247-IF(ISNUMBER(N2247),N2247,0)-IF(ISNUMBER(O2247),O2247,0)+IF(ISNUMBER(P2247),P2247,0),2),"")</f>
        <v/>
      </c>
      <c r="S2247" s="9" t="str">
        <f aca="false">IF(R2247="","",ROUND(L2247-R2247,2))</f>
        <v/>
      </c>
      <c r="T2247" s="8" t="str">
        <f aca="false">IF(A2247="","",IF(S2247="","BYPASS",IF(ABS(S2247)&lt;=Summary!$B$2,"PASS","FAIL")))</f>
        <v/>
      </c>
      <c r="U2247" s="8" t="str">
        <f aca="false">IF(T2247="BYPASS",IF(NOT(ISNUMBER(Q2247)),"PreV_ETB missing","End_tr_balance missing"),IF(T2247="FAIL",IF(AND(ISNUMBER(K2247),ISNUMBER(L2247),ABS(L2247-(K2247-IF(ISNUMBER(N2247),N2247,0)-IF(ISNUMBER(O2247),O2247,0)+IF(ISNUMBER(P2247),P2247,0)))&lt;=Summary!$B$2),"Passes using beginning_balance - PreV_ETB differs from beginning_balance",IF(AND(ISNUMBER(O2247),O2247&lt;0,ABS(L2247-(Q2247-IF(ISNUMBER(N2247),N2247,0)+IF(ISNUMBER(P2247),P2247,0)))&lt;=Summary!$B$2),"Negative realized loss not applied - check sign",IF(R2247&lt;0,"Principal paid exceeds prior balance",IF(AND(L2247&gt;Q2247,NOT(ISNUMBER(P2247))),"Balance increased but no Deferred_interest reported",IF(L2247&gt;R2247,"Reported balance higher than expected (missing increase/OC build)","Reported balance lower than expected (missing decrease)"))))),""))</f>
        <v/>
      </c>
    </row>
    <row r="2248" customFormat="false" ht="15" hidden="false" customHeight="false" outlineLevel="0" collapsed="false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9"/>
      <c r="L2248" s="9"/>
      <c r="M2248" s="9"/>
      <c r="N2248" s="9"/>
      <c r="O2248" s="9"/>
      <c r="P2248" s="9"/>
      <c r="Q2248" s="9"/>
      <c r="R2248" s="9" t="str">
        <f aca="false">IF(AND(A2248&lt;&gt;"",ISNUMBER(Q2248),ISNUMBER(L2248)),ROUND(Q2248-IF(ISNUMBER(N2248),N2248,0)-IF(ISNUMBER(O2248),O2248,0)+IF(ISNUMBER(P2248),P2248,0),2),"")</f>
        <v/>
      </c>
      <c r="S2248" s="9" t="str">
        <f aca="false">IF(R2248="","",ROUND(L2248-R2248,2))</f>
        <v/>
      </c>
      <c r="T2248" s="8" t="str">
        <f aca="false">IF(A2248="","",IF(S2248="","BYPASS",IF(ABS(S2248)&lt;=Summary!$B$2,"PASS","FAIL")))</f>
        <v/>
      </c>
      <c r="U2248" s="8" t="str">
        <f aca="false">IF(T2248="BYPASS",IF(NOT(ISNUMBER(Q2248)),"PreV_ETB missing","End_tr_balance missing"),IF(T2248="FAIL",IF(AND(ISNUMBER(K2248),ISNUMBER(L2248),ABS(L2248-(K2248-IF(ISNUMBER(N2248),N2248,0)-IF(ISNUMBER(O2248),O2248,0)+IF(ISNUMBER(P2248),P2248,0)))&lt;=Summary!$B$2),"Passes using beginning_balance - PreV_ETB differs from beginning_balance",IF(AND(ISNUMBER(O2248),O2248&lt;0,ABS(L2248-(Q2248-IF(ISNUMBER(N2248),N2248,0)+IF(ISNUMBER(P2248),P2248,0)))&lt;=Summary!$B$2),"Negative realized loss not applied - check sign",IF(R2248&lt;0,"Principal paid exceeds prior balance",IF(AND(L2248&gt;Q2248,NOT(ISNUMBER(P2248))),"Balance increased but no Deferred_interest reported",IF(L2248&gt;R2248,"Reported balance higher than expected (missing increase/OC build)","Reported balance lower than expected (missing decrease)"))))),""))</f>
        <v/>
      </c>
    </row>
    <row r="2249" customFormat="false" ht="15" hidden="false" customHeight="false" outlineLevel="0" collapsed="false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9"/>
      <c r="L2249" s="9"/>
      <c r="M2249" s="9"/>
      <c r="N2249" s="9"/>
      <c r="O2249" s="9"/>
      <c r="P2249" s="9"/>
      <c r="Q2249" s="9"/>
      <c r="R2249" s="9" t="str">
        <f aca="false">IF(AND(A2249&lt;&gt;"",ISNUMBER(Q2249),ISNUMBER(L2249)),ROUND(Q2249-IF(ISNUMBER(N2249),N2249,0)-IF(ISNUMBER(O2249),O2249,0)+IF(ISNUMBER(P2249),P2249,0),2),"")</f>
        <v/>
      </c>
      <c r="S2249" s="9" t="str">
        <f aca="false">IF(R2249="","",ROUND(L2249-R2249,2))</f>
        <v/>
      </c>
      <c r="T2249" s="8" t="str">
        <f aca="false">IF(A2249="","",IF(S2249="","BYPASS",IF(ABS(S2249)&lt;=Summary!$B$2,"PASS","FAIL")))</f>
        <v/>
      </c>
      <c r="U2249" s="8" t="str">
        <f aca="false">IF(T2249="BYPASS",IF(NOT(ISNUMBER(Q2249)),"PreV_ETB missing","End_tr_balance missing"),IF(T2249="FAIL",IF(AND(ISNUMBER(K2249),ISNUMBER(L2249),ABS(L2249-(K2249-IF(ISNUMBER(N2249),N2249,0)-IF(ISNUMBER(O2249),O2249,0)+IF(ISNUMBER(P2249),P2249,0)))&lt;=Summary!$B$2),"Passes using beginning_balance - PreV_ETB differs from beginning_balance",IF(AND(ISNUMBER(O2249),O2249&lt;0,ABS(L2249-(Q2249-IF(ISNUMBER(N2249),N2249,0)+IF(ISNUMBER(P2249),P2249,0)))&lt;=Summary!$B$2),"Negative realized loss not applied - check sign",IF(R2249&lt;0,"Principal paid exceeds prior balance",IF(AND(L2249&gt;Q2249,NOT(ISNUMBER(P2249))),"Balance increased but no Deferred_interest reported",IF(L2249&gt;R2249,"Reported balance higher than expected (missing increase/OC build)","Reported balance lower than expected (missing decrease)"))))),""))</f>
        <v/>
      </c>
    </row>
    <row r="2250" customFormat="false" ht="15" hidden="false" customHeight="false" outlineLevel="0" collapsed="false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9"/>
      <c r="L2250" s="9"/>
      <c r="M2250" s="9"/>
      <c r="N2250" s="9"/>
      <c r="O2250" s="9"/>
      <c r="P2250" s="9"/>
      <c r="Q2250" s="9"/>
      <c r="R2250" s="9" t="str">
        <f aca="false">IF(AND(A2250&lt;&gt;"",ISNUMBER(Q2250),ISNUMBER(L2250)),ROUND(Q2250-IF(ISNUMBER(N2250),N2250,0)-IF(ISNUMBER(O2250),O2250,0)+IF(ISNUMBER(P2250),P2250,0),2),"")</f>
        <v/>
      </c>
      <c r="S2250" s="9" t="str">
        <f aca="false">IF(R2250="","",ROUND(L2250-R2250,2))</f>
        <v/>
      </c>
      <c r="T2250" s="8" t="str">
        <f aca="false">IF(A2250="","",IF(S2250="","BYPASS",IF(ABS(S2250)&lt;=Summary!$B$2,"PASS","FAIL")))</f>
        <v/>
      </c>
      <c r="U2250" s="8" t="str">
        <f aca="false">IF(T2250="BYPASS",IF(NOT(ISNUMBER(Q2250)),"PreV_ETB missing","End_tr_balance missing"),IF(T2250="FAIL",IF(AND(ISNUMBER(K2250),ISNUMBER(L2250),ABS(L2250-(K2250-IF(ISNUMBER(N2250),N2250,0)-IF(ISNUMBER(O2250),O2250,0)+IF(ISNUMBER(P2250),P2250,0)))&lt;=Summary!$B$2),"Passes using beginning_balance - PreV_ETB differs from beginning_balance",IF(AND(ISNUMBER(O2250),O2250&lt;0,ABS(L2250-(Q2250-IF(ISNUMBER(N2250),N2250,0)+IF(ISNUMBER(P2250),P2250,0)))&lt;=Summary!$B$2),"Negative realized loss not applied - check sign",IF(R2250&lt;0,"Principal paid exceeds prior balance",IF(AND(L2250&gt;Q2250,NOT(ISNUMBER(P2250))),"Balance increased but no Deferred_interest reported",IF(L2250&gt;R2250,"Reported balance higher than expected (missing increase/OC build)","Reported balance lower than expected (missing decrease)"))))),""))</f>
        <v/>
      </c>
    </row>
    <row r="2251" customFormat="false" ht="15" hidden="false" customHeight="false" outlineLevel="0" collapsed="false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9"/>
      <c r="L2251" s="9"/>
      <c r="M2251" s="9"/>
      <c r="N2251" s="9"/>
      <c r="O2251" s="9"/>
      <c r="P2251" s="9"/>
      <c r="Q2251" s="9"/>
      <c r="R2251" s="9" t="str">
        <f aca="false">IF(AND(A2251&lt;&gt;"",ISNUMBER(Q2251),ISNUMBER(L2251)),ROUND(Q2251-IF(ISNUMBER(N2251),N2251,0)-IF(ISNUMBER(O2251),O2251,0)+IF(ISNUMBER(P2251),P2251,0),2),"")</f>
        <v/>
      </c>
      <c r="S2251" s="9" t="str">
        <f aca="false">IF(R2251="","",ROUND(L2251-R2251,2))</f>
        <v/>
      </c>
      <c r="T2251" s="8" t="str">
        <f aca="false">IF(A2251="","",IF(S2251="","BYPASS",IF(ABS(S2251)&lt;=Summary!$B$2,"PASS","FAIL")))</f>
        <v/>
      </c>
      <c r="U2251" s="8" t="str">
        <f aca="false">IF(T2251="BYPASS",IF(NOT(ISNUMBER(Q2251)),"PreV_ETB missing","End_tr_balance missing"),IF(T2251="FAIL",IF(AND(ISNUMBER(K2251),ISNUMBER(L2251),ABS(L2251-(K2251-IF(ISNUMBER(N2251),N2251,0)-IF(ISNUMBER(O2251),O2251,0)+IF(ISNUMBER(P2251),P2251,0)))&lt;=Summary!$B$2),"Passes using beginning_balance - PreV_ETB differs from beginning_balance",IF(AND(ISNUMBER(O2251),O2251&lt;0,ABS(L2251-(Q2251-IF(ISNUMBER(N2251),N2251,0)+IF(ISNUMBER(P2251),P2251,0)))&lt;=Summary!$B$2),"Negative realized loss not applied - check sign",IF(R2251&lt;0,"Principal paid exceeds prior balance",IF(AND(L2251&gt;Q2251,NOT(ISNUMBER(P2251))),"Balance increased but no Deferred_interest reported",IF(L2251&gt;R2251,"Reported balance higher than expected (missing increase/OC build)","Reported balance lower than expected (missing decrease)"))))),""))</f>
        <v/>
      </c>
    </row>
    <row r="2252" customFormat="false" ht="15" hidden="false" customHeight="false" outlineLevel="0" collapsed="false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9"/>
      <c r="L2252" s="9"/>
      <c r="M2252" s="9"/>
      <c r="N2252" s="9"/>
      <c r="O2252" s="9"/>
      <c r="P2252" s="9"/>
      <c r="Q2252" s="9"/>
      <c r="R2252" s="9" t="str">
        <f aca="false">IF(AND(A2252&lt;&gt;"",ISNUMBER(Q2252),ISNUMBER(L2252)),ROUND(Q2252-IF(ISNUMBER(N2252),N2252,0)-IF(ISNUMBER(O2252),O2252,0)+IF(ISNUMBER(P2252),P2252,0),2),"")</f>
        <v/>
      </c>
      <c r="S2252" s="9" t="str">
        <f aca="false">IF(R2252="","",ROUND(L2252-R2252,2))</f>
        <v/>
      </c>
      <c r="T2252" s="8" t="str">
        <f aca="false">IF(A2252="","",IF(S2252="","BYPASS",IF(ABS(S2252)&lt;=Summary!$B$2,"PASS","FAIL")))</f>
        <v/>
      </c>
      <c r="U2252" s="8" t="str">
        <f aca="false">IF(T2252="BYPASS",IF(NOT(ISNUMBER(Q2252)),"PreV_ETB missing","End_tr_balance missing"),IF(T2252="FAIL",IF(AND(ISNUMBER(K2252),ISNUMBER(L2252),ABS(L2252-(K2252-IF(ISNUMBER(N2252),N2252,0)-IF(ISNUMBER(O2252),O2252,0)+IF(ISNUMBER(P2252),P2252,0)))&lt;=Summary!$B$2),"Passes using beginning_balance - PreV_ETB differs from beginning_balance",IF(AND(ISNUMBER(O2252),O2252&lt;0,ABS(L2252-(Q2252-IF(ISNUMBER(N2252),N2252,0)+IF(ISNUMBER(P2252),P2252,0)))&lt;=Summary!$B$2),"Negative realized loss not applied - check sign",IF(R2252&lt;0,"Principal paid exceeds prior balance",IF(AND(L2252&gt;Q2252,NOT(ISNUMBER(P2252))),"Balance increased but no Deferred_interest reported",IF(L2252&gt;R2252,"Reported balance higher than expected (missing increase/OC build)","Reported balance lower than expected (missing decrease)"))))),""))</f>
        <v/>
      </c>
    </row>
    <row r="2253" customFormat="false" ht="15" hidden="false" customHeight="false" outlineLevel="0" collapsed="false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9"/>
      <c r="L2253" s="9"/>
      <c r="M2253" s="9"/>
      <c r="N2253" s="9"/>
      <c r="O2253" s="9"/>
      <c r="P2253" s="9"/>
      <c r="Q2253" s="9"/>
      <c r="R2253" s="9" t="str">
        <f aca="false">IF(AND(A2253&lt;&gt;"",ISNUMBER(Q2253),ISNUMBER(L2253)),ROUND(Q2253-IF(ISNUMBER(N2253),N2253,0)-IF(ISNUMBER(O2253),O2253,0)+IF(ISNUMBER(P2253),P2253,0),2),"")</f>
        <v/>
      </c>
      <c r="S2253" s="9" t="str">
        <f aca="false">IF(R2253="","",ROUND(L2253-R2253,2))</f>
        <v/>
      </c>
      <c r="T2253" s="8" t="str">
        <f aca="false">IF(A2253="","",IF(S2253="","BYPASS",IF(ABS(S2253)&lt;=Summary!$B$2,"PASS","FAIL")))</f>
        <v/>
      </c>
      <c r="U2253" s="8" t="str">
        <f aca="false">IF(T2253="BYPASS",IF(NOT(ISNUMBER(Q2253)),"PreV_ETB missing","End_tr_balance missing"),IF(T2253="FAIL",IF(AND(ISNUMBER(K2253),ISNUMBER(L2253),ABS(L2253-(K2253-IF(ISNUMBER(N2253),N2253,0)-IF(ISNUMBER(O2253),O2253,0)+IF(ISNUMBER(P2253),P2253,0)))&lt;=Summary!$B$2),"Passes using beginning_balance - PreV_ETB differs from beginning_balance",IF(AND(ISNUMBER(O2253),O2253&lt;0,ABS(L2253-(Q2253-IF(ISNUMBER(N2253),N2253,0)+IF(ISNUMBER(P2253),P2253,0)))&lt;=Summary!$B$2),"Negative realized loss not applied - check sign",IF(R2253&lt;0,"Principal paid exceeds prior balance",IF(AND(L2253&gt;Q2253,NOT(ISNUMBER(P2253))),"Balance increased but no Deferred_interest reported",IF(L2253&gt;R2253,"Reported balance higher than expected (missing increase/OC build)","Reported balance lower than expected (missing decrease)"))))),""))</f>
        <v/>
      </c>
    </row>
    <row r="2254" customFormat="false" ht="15" hidden="false" customHeight="false" outlineLevel="0" collapsed="false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9"/>
      <c r="L2254" s="9"/>
      <c r="M2254" s="9"/>
      <c r="N2254" s="9"/>
      <c r="O2254" s="9"/>
      <c r="P2254" s="9"/>
      <c r="Q2254" s="9"/>
      <c r="R2254" s="9" t="str">
        <f aca="false">IF(AND(A2254&lt;&gt;"",ISNUMBER(Q2254),ISNUMBER(L2254)),ROUND(Q2254-IF(ISNUMBER(N2254),N2254,0)-IF(ISNUMBER(O2254),O2254,0)+IF(ISNUMBER(P2254),P2254,0),2),"")</f>
        <v/>
      </c>
      <c r="S2254" s="9" t="str">
        <f aca="false">IF(R2254="","",ROUND(L2254-R2254,2))</f>
        <v/>
      </c>
      <c r="T2254" s="8" t="str">
        <f aca="false">IF(A2254="","",IF(S2254="","BYPASS",IF(ABS(S2254)&lt;=Summary!$B$2,"PASS","FAIL")))</f>
        <v/>
      </c>
      <c r="U2254" s="8" t="str">
        <f aca="false">IF(T2254="BYPASS",IF(NOT(ISNUMBER(Q2254)),"PreV_ETB missing","End_tr_balance missing"),IF(T2254="FAIL",IF(AND(ISNUMBER(K2254),ISNUMBER(L2254),ABS(L2254-(K2254-IF(ISNUMBER(N2254),N2254,0)-IF(ISNUMBER(O2254),O2254,0)+IF(ISNUMBER(P2254),P2254,0)))&lt;=Summary!$B$2),"Passes using beginning_balance - PreV_ETB differs from beginning_balance",IF(AND(ISNUMBER(O2254),O2254&lt;0,ABS(L2254-(Q2254-IF(ISNUMBER(N2254),N2254,0)+IF(ISNUMBER(P2254),P2254,0)))&lt;=Summary!$B$2),"Negative realized loss not applied - check sign",IF(R2254&lt;0,"Principal paid exceeds prior balance",IF(AND(L2254&gt;Q2254,NOT(ISNUMBER(P2254))),"Balance increased but no Deferred_interest reported",IF(L2254&gt;R2254,"Reported balance higher than expected (missing increase/OC build)","Reported balance lower than expected (missing decrease)"))))),""))</f>
        <v/>
      </c>
    </row>
    <row r="2255" customFormat="false" ht="15" hidden="false" customHeight="false" outlineLevel="0" collapsed="false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9"/>
      <c r="L2255" s="9"/>
      <c r="M2255" s="9"/>
      <c r="N2255" s="9"/>
      <c r="O2255" s="9"/>
      <c r="P2255" s="9"/>
      <c r="Q2255" s="9"/>
      <c r="R2255" s="9" t="str">
        <f aca="false">IF(AND(A2255&lt;&gt;"",ISNUMBER(Q2255),ISNUMBER(L2255)),ROUND(Q2255-IF(ISNUMBER(N2255),N2255,0)-IF(ISNUMBER(O2255),O2255,0)+IF(ISNUMBER(P2255),P2255,0),2),"")</f>
        <v/>
      </c>
      <c r="S2255" s="9" t="str">
        <f aca="false">IF(R2255="","",ROUND(L2255-R2255,2))</f>
        <v/>
      </c>
      <c r="T2255" s="8" t="str">
        <f aca="false">IF(A2255="","",IF(S2255="","BYPASS",IF(ABS(S2255)&lt;=Summary!$B$2,"PASS","FAIL")))</f>
        <v/>
      </c>
      <c r="U2255" s="8" t="str">
        <f aca="false">IF(T2255="BYPASS",IF(NOT(ISNUMBER(Q2255)),"PreV_ETB missing","End_tr_balance missing"),IF(T2255="FAIL",IF(AND(ISNUMBER(K2255),ISNUMBER(L2255),ABS(L2255-(K2255-IF(ISNUMBER(N2255),N2255,0)-IF(ISNUMBER(O2255),O2255,0)+IF(ISNUMBER(P2255),P2255,0)))&lt;=Summary!$B$2),"Passes using beginning_balance - PreV_ETB differs from beginning_balance",IF(AND(ISNUMBER(O2255),O2255&lt;0,ABS(L2255-(Q2255-IF(ISNUMBER(N2255),N2255,0)+IF(ISNUMBER(P2255),P2255,0)))&lt;=Summary!$B$2),"Negative realized loss not applied - check sign",IF(R2255&lt;0,"Principal paid exceeds prior balance",IF(AND(L2255&gt;Q2255,NOT(ISNUMBER(P2255))),"Balance increased but no Deferred_interest reported",IF(L2255&gt;R2255,"Reported balance higher than expected (missing increase/OC build)","Reported balance lower than expected (missing decrease)"))))),""))</f>
        <v/>
      </c>
    </row>
    <row r="2256" customFormat="false" ht="15" hidden="false" customHeight="false" outlineLevel="0" collapsed="false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9"/>
      <c r="L2256" s="9"/>
      <c r="M2256" s="9"/>
      <c r="N2256" s="9"/>
      <c r="O2256" s="9"/>
      <c r="P2256" s="9"/>
      <c r="Q2256" s="9"/>
      <c r="R2256" s="9" t="str">
        <f aca="false">IF(AND(A2256&lt;&gt;"",ISNUMBER(Q2256),ISNUMBER(L2256)),ROUND(Q2256-IF(ISNUMBER(N2256),N2256,0)-IF(ISNUMBER(O2256),O2256,0)+IF(ISNUMBER(P2256),P2256,0),2),"")</f>
        <v/>
      </c>
      <c r="S2256" s="9" t="str">
        <f aca="false">IF(R2256="","",ROUND(L2256-R2256,2))</f>
        <v/>
      </c>
      <c r="T2256" s="8" t="str">
        <f aca="false">IF(A2256="","",IF(S2256="","BYPASS",IF(ABS(S2256)&lt;=Summary!$B$2,"PASS","FAIL")))</f>
        <v/>
      </c>
      <c r="U2256" s="8" t="str">
        <f aca="false">IF(T2256="BYPASS",IF(NOT(ISNUMBER(Q2256)),"PreV_ETB missing","End_tr_balance missing"),IF(T2256="FAIL",IF(AND(ISNUMBER(K2256),ISNUMBER(L2256),ABS(L2256-(K2256-IF(ISNUMBER(N2256),N2256,0)-IF(ISNUMBER(O2256),O2256,0)+IF(ISNUMBER(P2256),P2256,0)))&lt;=Summary!$B$2),"Passes using beginning_balance - PreV_ETB differs from beginning_balance",IF(AND(ISNUMBER(O2256),O2256&lt;0,ABS(L2256-(Q2256-IF(ISNUMBER(N2256),N2256,0)+IF(ISNUMBER(P2256),P2256,0)))&lt;=Summary!$B$2),"Negative realized loss not applied - check sign",IF(R2256&lt;0,"Principal paid exceeds prior balance",IF(AND(L2256&gt;Q2256,NOT(ISNUMBER(P2256))),"Balance increased but no Deferred_interest reported",IF(L2256&gt;R2256,"Reported balance higher than expected (missing increase/OC build)","Reported balance lower than expected (missing decrease)"))))),""))</f>
        <v/>
      </c>
    </row>
    <row r="2257" customFormat="false" ht="15" hidden="false" customHeight="false" outlineLevel="0" collapsed="false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9"/>
      <c r="L2257" s="9"/>
      <c r="M2257" s="9"/>
      <c r="N2257" s="9"/>
      <c r="O2257" s="9"/>
      <c r="P2257" s="9"/>
      <c r="Q2257" s="9"/>
      <c r="R2257" s="9" t="str">
        <f aca="false">IF(AND(A2257&lt;&gt;"",ISNUMBER(Q2257),ISNUMBER(L2257)),ROUND(Q2257-IF(ISNUMBER(N2257),N2257,0)-IF(ISNUMBER(O2257),O2257,0)+IF(ISNUMBER(P2257),P2257,0),2),"")</f>
        <v/>
      </c>
      <c r="S2257" s="9" t="str">
        <f aca="false">IF(R2257="","",ROUND(L2257-R2257,2))</f>
        <v/>
      </c>
      <c r="T2257" s="8" t="str">
        <f aca="false">IF(A2257="","",IF(S2257="","BYPASS",IF(ABS(S2257)&lt;=Summary!$B$2,"PASS","FAIL")))</f>
        <v/>
      </c>
      <c r="U2257" s="8" t="str">
        <f aca="false">IF(T2257="BYPASS",IF(NOT(ISNUMBER(Q2257)),"PreV_ETB missing","End_tr_balance missing"),IF(T2257="FAIL",IF(AND(ISNUMBER(K2257),ISNUMBER(L2257),ABS(L2257-(K2257-IF(ISNUMBER(N2257),N2257,0)-IF(ISNUMBER(O2257),O2257,0)+IF(ISNUMBER(P2257),P2257,0)))&lt;=Summary!$B$2),"Passes using beginning_balance - PreV_ETB differs from beginning_balance",IF(AND(ISNUMBER(O2257),O2257&lt;0,ABS(L2257-(Q2257-IF(ISNUMBER(N2257),N2257,0)+IF(ISNUMBER(P2257),P2257,0)))&lt;=Summary!$B$2),"Negative realized loss not applied - check sign",IF(R2257&lt;0,"Principal paid exceeds prior balance",IF(AND(L2257&gt;Q2257,NOT(ISNUMBER(P2257))),"Balance increased but no Deferred_interest reported",IF(L2257&gt;R2257,"Reported balance higher than expected (missing increase/OC build)","Reported balance lower than expected (missing decrease)"))))),""))</f>
        <v/>
      </c>
    </row>
    <row r="2258" customFormat="false" ht="15" hidden="false" customHeight="false" outlineLevel="0" collapsed="false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9"/>
      <c r="L2258" s="9"/>
      <c r="M2258" s="9"/>
      <c r="N2258" s="9"/>
      <c r="O2258" s="9"/>
      <c r="P2258" s="9"/>
      <c r="Q2258" s="9"/>
      <c r="R2258" s="9" t="str">
        <f aca="false">IF(AND(A2258&lt;&gt;"",ISNUMBER(Q2258),ISNUMBER(L2258)),ROUND(Q2258-IF(ISNUMBER(N2258),N2258,0)-IF(ISNUMBER(O2258),O2258,0)+IF(ISNUMBER(P2258),P2258,0),2),"")</f>
        <v/>
      </c>
      <c r="S2258" s="9" t="str">
        <f aca="false">IF(R2258="","",ROUND(L2258-R2258,2))</f>
        <v/>
      </c>
      <c r="T2258" s="8" t="str">
        <f aca="false">IF(A2258="","",IF(S2258="","BYPASS",IF(ABS(S2258)&lt;=Summary!$B$2,"PASS","FAIL")))</f>
        <v/>
      </c>
      <c r="U2258" s="8" t="str">
        <f aca="false">IF(T2258="BYPASS",IF(NOT(ISNUMBER(Q2258)),"PreV_ETB missing","End_tr_balance missing"),IF(T2258="FAIL",IF(AND(ISNUMBER(K2258),ISNUMBER(L2258),ABS(L2258-(K2258-IF(ISNUMBER(N2258),N2258,0)-IF(ISNUMBER(O2258),O2258,0)+IF(ISNUMBER(P2258),P2258,0)))&lt;=Summary!$B$2),"Passes using beginning_balance - PreV_ETB differs from beginning_balance",IF(AND(ISNUMBER(O2258),O2258&lt;0,ABS(L2258-(Q2258-IF(ISNUMBER(N2258),N2258,0)+IF(ISNUMBER(P2258),P2258,0)))&lt;=Summary!$B$2),"Negative realized loss not applied - check sign",IF(R2258&lt;0,"Principal paid exceeds prior balance",IF(AND(L2258&gt;Q2258,NOT(ISNUMBER(P2258))),"Balance increased but no Deferred_interest reported",IF(L2258&gt;R2258,"Reported balance higher than expected (missing increase/OC build)","Reported balance lower than expected (missing decrease)"))))),""))</f>
        <v/>
      </c>
    </row>
    <row r="2259" customFormat="false" ht="15" hidden="false" customHeight="false" outlineLevel="0" collapsed="false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9"/>
      <c r="L2259" s="9"/>
      <c r="M2259" s="9"/>
      <c r="N2259" s="9"/>
      <c r="O2259" s="9"/>
      <c r="P2259" s="9"/>
      <c r="Q2259" s="9"/>
      <c r="R2259" s="9" t="str">
        <f aca="false">IF(AND(A2259&lt;&gt;"",ISNUMBER(Q2259),ISNUMBER(L2259)),ROUND(Q2259-IF(ISNUMBER(N2259),N2259,0)-IF(ISNUMBER(O2259),O2259,0)+IF(ISNUMBER(P2259),P2259,0),2),"")</f>
        <v/>
      </c>
      <c r="S2259" s="9" t="str">
        <f aca="false">IF(R2259="","",ROUND(L2259-R2259,2))</f>
        <v/>
      </c>
      <c r="T2259" s="8" t="str">
        <f aca="false">IF(A2259="","",IF(S2259="","BYPASS",IF(ABS(S2259)&lt;=Summary!$B$2,"PASS","FAIL")))</f>
        <v/>
      </c>
      <c r="U2259" s="8" t="str">
        <f aca="false">IF(T2259="BYPASS",IF(NOT(ISNUMBER(Q2259)),"PreV_ETB missing","End_tr_balance missing"),IF(T2259="FAIL",IF(AND(ISNUMBER(K2259),ISNUMBER(L2259),ABS(L2259-(K2259-IF(ISNUMBER(N2259),N2259,0)-IF(ISNUMBER(O2259),O2259,0)+IF(ISNUMBER(P2259),P2259,0)))&lt;=Summary!$B$2),"Passes using beginning_balance - PreV_ETB differs from beginning_balance",IF(AND(ISNUMBER(O2259),O2259&lt;0,ABS(L2259-(Q2259-IF(ISNUMBER(N2259),N2259,0)+IF(ISNUMBER(P2259),P2259,0)))&lt;=Summary!$B$2),"Negative realized loss not applied - check sign",IF(R2259&lt;0,"Principal paid exceeds prior balance",IF(AND(L2259&gt;Q2259,NOT(ISNUMBER(P2259))),"Balance increased but no Deferred_interest reported",IF(L2259&gt;R2259,"Reported balance higher than expected (missing increase/OC build)","Reported balance lower than expected (missing decrease)"))))),""))</f>
        <v/>
      </c>
    </row>
    <row r="2260" customFormat="false" ht="15" hidden="false" customHeight="false" outlineLevel="0" collapsed="false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9"/>
      <c r="L2260" s="9"/>
      <c r="M2260" s="9"/>
      <c r="N2260" s="9"/>
      <c r="O2260" s="9"/>
      <c r="P2260" s="9"/>
      <c r="Q2260" s="9"/>
      <c r="R2260" s="9" t="str">
        <f aca="false">IF(AND(A2260&lt;&gt;"",ISNUMBER(Q2260),ISNUMBER(L2260)),ROUND(Q2260-IF(ISNUMBER(N2260),N2260,0)-IF(ISNUMBER(O2260),O2260,0)+IF(ISNUMBER(P2260),P2260,0),2),"")</f>
        <v/>
      </c>
      <c r="S2260" s="9" t="str">
        <f aca="false">IF(R2260="","",ROUND(L2260-R2260,2))</f>
        <v/>
      </c>
      <c r="T2260" s="8" t="str">
        <f aca="false">IF(A2260="","",IF(S2260="","BYPASS",IF(ABS(S2260)&lt;=Summary!$B$2,"PASS","FAIL")))</f>
        <v/>
      </c>
      <c r="U2260" s="8" t="str">
        <f aca="false">IF(T2260="BYPASS",IF(NOT(ISNUMBER(Q2260)),"PreV_ETB missing","End_tr_balance missing"),IF(T2260="FAIL",IF(AND(ISNUMBER(K2260),ISNUMBER(L2260),ABS(L2260-(K2260-IF(ISNUMBER(N2260),N2260,0)-IF(ISNUMBER(O2260),O2260,0)+IF(ISNUMBER(P2260),P2260,0)))&lt;=Summary!$B$2),"Passes using beginning_balance - PreV_ETB differs from beginning_balance",IF(AND(ISNUMBER(O2260),O2260&lt;0,ABS(L2260-(Q2260-IF(ISNUMBER(N2260),N2260,0)+IF(ISNUMBER(P2260),P2260,0)))&lt;=Summary!$B$2),"Negative realized loss not applied - check sign",IF(R2260&lt;0,"Principal paid exceeds prior balance",IF(AND(L2260&gt;Q2260,NOT(ISNUMBER(P2260))),"Balance increased but no Deferred_interest reported",IF(L2260&gt;R2260,"Reported balance higher than expected (missing increase/OC build)","Reported balance lower than expected (missing decrease)"))))),""))</f>
        <v/>
      </c>
    </row>
    <row r="2261" customFormat="false" ht="15" hidden="false" customHeight="false" outlineLevel="0" collapsed="false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9"/>
      <c r="L2261" s="9"/>
      <c r="M2261" s="9"/>
      <c r="N2261" s="9"/>
      <c r="O2261" s="9"/>
      <c r="P2261" s="9"/>
      <c r="Q2261" s="9"/>
      <c r="R2261" s="9" t="str">
        <f aca="false">IF(AND(A2261&lt;&gt;"",ISNUMBER(Q2261),ISNUMBER(L2261)),ROUND(Q2261-IF(ISNUMBER(N2261),N2261,0)-IF(ISNUMBER(O2261),O2261,0)+IF(ISNUMBER(P2261),P2261,0),2),"")</f>
        <v/>
      </c>
      <c r="S2261" s="9" t="str">
        <f aca="false">IF(R2261="","",ROUND(L2261-R2261,2))</f>
        <v/>
      </c>
      <c r="T2261" s="8" t="str">
        <f aca="false">IF(A2261="","",IF(S2261="","BYPASS",IF(ABS(S2261)&lt;=Summary!$B$2,"PASS","FAIL")))</f>
        <v/>
      </c>
      <c r="U2261" s="8" t="str">
        <f aca="false">IF(T2261="BYPASS",IF(NOT(ISNUMBER(Q2261)),"PreV_ETB missing","End_tr_balance missing"),IF(T2261="FAIL",IF(AND(ISNUMBER(K2261),ISNUMBER(L2261),ABS(L2261-(K2261-IF(ISNUMBER(N2261),N2261,0)-IF(ISNUMBER(O2261),O2261,0)+IF(ISNUMBER(P2261),P2261,0)))&lt;=Summary!$B$2),"Passes using beginning_balance - PreV_ETB differs from beginning_balance",IF(AND(ISNUMBER(O2261),O2261&lt;0,ABS(L2261-(Q2261-IF(ISNUMBER(N2261),N2261,0)+IF(ISNUMBER(P2261),P2261,0)))&lt;=Summary!$B$2),"Negative realized loss not applied - check sign",IF(R2261&lt;0,"Principal paid exceeds prior balance",IF(AND(L2261&gt;Q2261,NOT(ISNUMBER(P2261))),"Balance increased but no Deferred_interest reported",IF(L2261&gt;R2261,"Reported balance higher than expected (missing increase/OC build)","Reported balance lower than expected (missing decrease)"))))),""))</f>
        <v/>
      </c>
    </row>
    <row r="2262" customFormat="false" ht="15" hidden="false" customHeight="false" outlineLevel="0" collapsed="false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9"/>
      <c r="L2262" s="9"/>
      <c r="M2262" s="9"/>
      <c r="N2262" s="9"/>
      <c r="O2262" s="9"/>
      <c r="P2262" s="9"/>
      <c r="Q2262" s="9"/>
      <c r="R2262" s="9" t="str">
        <f aca="false">IF(AND(A2262&lt;&gt;"",ISNUMBER(Q2262),ISNUMBER(L2262)),ROUND(Q2262-IF(ISNUMBER(N2262),N2262,0)-IF(ISNUMBER(O2262),O2262,0)+IF(ISNUMBER(P2262),P2262,0),2),"")</f>
        <v/>
      </c>
      <c r="S2262" s="9" t="str">
        <f aca="false">IF(R2262="","",ROUND(L2262-R2262,2))</f>
        <v/>
      </c>
      <c r="T2262" s="8" t="str">
        <f aca="false">IF(A2262="","",IF(S2262="","BYPASS",IF(ABS(S2262)&lt;=Summary!$B$2,"PASS","FAIL")))</f>
        <v/>
      </c>
      <c r="U2262" s="8" t="str">
        <f aca="false">IF(T2262="BYPASS",IF(NOT(ISNUMBER(Q2262)),"PreV_ETB missing","End_tr_balance missing"),IF(T2262="FAIL",IF(AND(ISNUMBER(K2262),ISNUMBER(L2262),ABS(L2262-(K2262-IF(ISNUMBER(N2262),N2262,0)-IF(ISNUMBER(O2262),O2262,0)+IF(ISNUMBER(P2262),P2262,0)))&lt;=Summary!$B$2),"Passes using beginning_balance - PreV_ETB differs from beginning_balance",IF(AND(ISNUMBER(O2262),O2262&lt;0,ABS(L2262-(Q2262-IF(ISNUMBER(N2262),N2262,0)+IF(ISNUMBER(P2262),P2262,0)))&lt;=Summary!$B$2),"Negative realized loss not applied - check sign",IF(R2262&lt;0,"Principal paid exceeds prior balance",IF(AND(L2262&gt;Q2262,NOT(ISNUMBER(P2262))),"Balance increased but no Deferred_interest reported",IF(L2262&gt;R2262,"Reported balance higher than expected (missing increase/OC build)","Reported balance lower than expected (missing decrease)"))))),""))</f>
        <v/>
      </c>
    </row>
    <row r="2263" customFormat="false" ht="15" hidden="false" customHeight="false" outlineLevel="0" collapsed="false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9"/>
      <c r="L2263" s="9"/>
      <c r="M2263" s="9"/>
      <c r="N2263" s="9"/>
      <c r="O2263" s="9"/>
      <c r="P2263" s="9"/>
      <c r="Q2263" s="9"/>
      <c r="R2263" s="9" t="str">
        <f aca="false">IF(AND(A2263&lt;&gt;"",ISNUMBER(Q2263),ISNUMBER(L2263)),ROUND(Q2263-IF(ISNUMBER(N2263),N2263,0)-IF(ISNUMBER(O2263),O2263,0)+IF(ISNUMBER(P2263),P2263,0),2),"")</f>
        <v/>
      </c>
      <c r="S2263" s="9" t="str">
        <f aca="false">IF(R2263="","",ROUND(L2263-R2263,2))</f>
        <v/>
      </c>
      <c r="T2263" s="8" t="str">
        <f aca="false">IF(A2263="","",IF(S2263="","BYPASS",IF(ABS(S2263)&lt;=Summary!$B$2,"PASS","FAIL")))</f>
        <v/>
      </c>
      <c r="U2263" s="8" t="str">
        <f aca="false">IF(T2263="BYPASS",IF(NOT(ISNUMBER(Q2263)),"PreV_ETB missing","End_tr_balance missing"),IF(T2263="FAIL",IF(AND(ISNUMBER(K2263),ISNUMBER(L2263),ABS(L2263-(K2263-IF(ISNUMBER(N2263),N2263,0)-IF(ISNUMBER(O2263),O2263,0)+IF(ISNUMBER(P2263),P2263,0)))&lt;=Summary!$B$2),"Passes using beginning_balance - PreV_ETB differs from beginning_balance",IF(AND(ISNUMBER(O2263),O2263&lt;0,ABS(L2263-(Q2263-IF(ISNUMBER(N2263),N2263,0)+IF(ISNUMBER(P2263),P2263,0)))&lt;=Summary!$B$2),"Negative realized loss not applied - check sign",IF(R2263&lt;0,"Principal paid exceeds prior balance",IF(AND(L2263&gt;Q2263,NOT(ISNUMBER(P2263))),"Balance increased but no Deferred_interest reported",IF(L2263&gt;R2263,"Reported balance higher than expected (missing increase/OC build)","Reported balance lower than expected (missing decrease)"))))),""))</f>
        <v/>
      </c>
    </row>
    <row r="2264" customFormat="false" ht="15" hidden="false" customHeight="false" outlineLevel="0" collapsed="false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9"/>
      <c r="L2264" s="9"/>
      <c r="M2264" s="9"/>
      <c r="N2264" s="9"/>
      <c r="O2264" s="9"/>
      <c r="P2264" s="9"/>
      <c r="Q2264" s="9"/>
      <c r="R2264" s="9" t="str">
        <f aca="false">IF(AND(A2264&lt;&gt;"",ISNUMBER(Q2264),ISNUMBER(L2264)),ROUND(Q2264-IF(ISNUMBER(N2264),N2264,0)-IF(ISNUMBER(O2264),O2264,0)+IF(ISNUMBER(P2264),P2264,0),2),"")</f>
        <v/>
      </c>
      <c r="S2264" s="9" t="str">
        <f aca="false">IF(R2264="","",ROUND(L2264-R2264,2))</f>
        <v/>
      </c>
      <c r="T2264" s="8" t="str">
        <f aca="false">IF(A2264="","",IF(S2264="","BYPASS",IF(ABS(S2264)&lt;=Summary!$B$2,"PASS","FAIL")))</f>
        <v/>
      </c>
      <c r="U2264" s="8" t="str">
        <f aca="false">IF(T2264="BYPASS",IF(NOT(ISNUMBER(Q2264)),"PreV_ETB missing","End_tr_balance missing"),IF(T2264="FAIL",IF(AND(ISNUMBER(K2264),ISNUMBER(L2264),ABS(L2264-(K2264-IF(ISNUMBER(N2264),N2264,0)-IF(ISNUMBER(O2264),O2264,0)+IF(ISNUMBER(P2264),P2264,0)))&lt;=Summary!$B$2),"Passes using beginning_balance - PreV_ETB differs from beginning_balance",IF(AND(ISNUMBER(O2264),O2264&lt;0,ABS(L2264-(Q2264-IF(ISNUMBER(N2264),N2264,0)+IF(ISNUMBER(P2264),P2264,0)))&lt;=Summary!$B$2),"Negative realized loss not applied - check sign",IF(R2264&lt;0,"Principal paid exceeds prior balance",IF(AND(L2264&gt;Q2264,NOT(ISNUMBER(P2264))),"Balance increased but no Deferred_interest reported",IF(L2264&gt;R2264,"Reported balance higher than expected (missing increase/OC build)","Reported balance lower than expected (missing decrease)"))))),""))</f>
        <v/>
      </c>
    </row>
    <row r="2265" customFormat="false" ht="15" hidden="false" customHeight="false" outlineLevel="0" collapsed="false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9"/>
      <c r="L2265" s="9"/>
      <c r="M2265" s="9"/>
      <c r="N2265" s="9"/>
      <c r="O2265" s="9"/>
      <c r="P2265" s="9"/>
      <c r="Q2265" s="9"/>
      <c r="R2265" s="9" t="str">
        <f aca="false">IF(AND(A2265&lt;&gt;"",ISNUMBER(Q2265),ISNUMBER(L2265)),ROUND(Q2265-IF(ISNUMBER(N2265),N2265,0)-IF(ISNUMBER(O2265),O2265,0)+IF(ISNUMBER(P2265),P2265,0),2),"")</f>
        <v/>
      </c>
      <c r="S2265" s="9" t="str">
        <f aca="false">IF(R2265="","",ROUND(L2265-R2265,2))</f>
        <v/>
      </c>
      <c r="T2265" s="8" t="str">
        <f aca="false">IF(A2265="","",IF(S2265="","BYPASS",IF(ABS(S2265)&lt;=Summary!$B$2,"PASS","FAIL")))</f>
        <v/>
      </c>
      <c r="U2265" s="8" t="str">
        <f aca="false">IF(T2265="BYPASS",IF(NOT(ISNUMBER(Q2265)),"PreV_ETB missing","End_tr_balance missing"),IF(T2265="FAIL",IF(AND(ISNUMBER(K2265),ISNUMBER(L2265),ABS(L2265-(K2265-IF(ISNUMBER(N2265),N2265,0)-IF(ISNUMBER(O2265),O2265,0)+IF(ISNUMBER(P2265),P2265,0)))&lt;=Summary!$B$2),"Passes using beginning_balance - PreV_ETB differs from beginning_balance",IF(AND(ISNUMBER(O2265),O2265&lt;0,ABS(L2265-(Q2265-IF(ISNUMBER(N2265),N2265,0)+IF(ISNUMBER(P2265),P2265,0)))&lt;=Summary!$B$2),"Negative realized loss not applied - check sign",IF(R2265&lt;0,"Principal paid exceeds prior balance",IF(AND(L2265&gt;Q2265,NOT(ISNUMBER(P2265))),"Balance increased but no Deferred_interest reported",IF(L2265&gt;R2265,"Reported balance higher than expected (missing increase/OC build)","Reported balance lower than expected (missing decrease)"))))),""))</f>
        <v/>
      </c>
    </row>
    <row r="2266" customFormat="false" ht="15" hidden="false" customHeight="false" outlineLevel="0" collapsed="false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9"/>
      <c r="L2266" s="9"/>
      <c r="M2266" s="9"/>
      <c r="N2266" s="9"/>
      <c r="O2266" s="9"/>
      <c r="P2266" s="9"/>
      <c r="Q2266" s="9"/>
      <c r="R2266" s="9" t="str">
        <f aca="false">IF(AND(A2266&lt;&gt;"",ISNUMBER(Q2266),ISNUMBER(L2266)),ROUND(Q2266-IF(ISNUMBER(N2266),N2266,0)-IF(ISNUMBER(O2266),O2266,0)+IF(ISNUMBER(P2266),P2266,0),2),"")</f>
        <v/>
      </c>
      <c r="S2266" s="9" t="str">
        <f aca="false">IF(R2266="","",ROUND(L2266-R2266,2))</f>
        <v/>
      </c>
      <c r="T2266" s="8" t="str">
        <f aca="false">IF(A2266="","",IF(S2266="","BYPASS",IF(ABS(S2266)&lt;=Summary!$B$2,"PASS","FAIL")))</f>
        <v/>
      </c>
      <c r="U2266" s="8" t="str">
        <f aca="false">IF(T2266="BYPASS",IF(NOT(ISNUMBER(Q2266)),"PreV_ETB missing","End_tr_balance missing"),IF(T2266="FAIL",IF(AND(ISNUMBER(K2266),ISNUMBER(L2266),ABS(L2266-(K2266-IF(ISNUMBER(N2266),N2266,0)-IF(ISNUMBER(O2266),O2266,0)+IF(ISNUMBER(P2266),P2266,0)))&lt;=Summary!$B$2),"Passes using beginning_balance - PreV_ETB differs from beginning_balance",IF(AND(ISNUMBER(O2266),O2266&lt;0,ABS(L2266-(Q2266-IF(ISNUMBER(N2266),N2266,0)+IF(ISNUMBER(P2266),P2266,0)))&lt;=Summary!$B$2),"Negative realized loss not applied - check sign",IF(R2266&lt;0,"Principal paid exceeds prior balance",IF(AND(L2266&gt;Q2266,NOT(ISNUMBER(P2266))),"Balance increased but no Deferred_interest reported",IF(L2266&gt;R2266,"Reported balance higher than expected (missing increase/OC build)","Reported balance lower than expected (missing decrease)"))))),""))</f>
        <v/>
      </c>
    </row>
    <row r="2267" customFormat="false" ht="15" hidden="false" customHeight="false" outlineLevel="0" collapsed="false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9"/>
      <c r="L2267" s="9"/>
      <c r="M2267" s="9"/>
      <c r="N2267" s="9"/>
      <c r="O2267" s="9"/>
      <c r="P2267" s="9"/>
      <c r="Q2267" s="9"/>
      <c r="R2267" s="9" t="str">
        <f aca="false">IF(AND(A2267&lt;&gt;"",ISNUMBER(Q2267),ISNUMBER(L2267)),ROUND(Q2267-IF(ISNUMBER(N2267),N2267,0)-IF(ISNUMBER(O2267),O2267,0)+IF(ISNUMBER(P2267),P2267,0),2),"")</f>
        <v/>
      </c>
      <c r="S2267" s="9" t="str">
        <f aca="false">IF(R2267="","",ROUND(L2267-R2267,2))</f>
        <v/>
      </c>
      <c r="T2267" s="8" t="str">
        <f aca="false">IF(A2267="","",IF(S2267="","BYPASS",IF(ABS(S2267)&lt;=Summary!$B$2,"PASS","FAIL")))</f>
        <v/>
      </c>
      <c r="U2267" s="8" t="str">
        <f aca="false">IF(T2267="BYPASS",IF(NOT(ISNUMBER(Q2267)),"PreV_ETB missing","End_tr_balance missing"),IF(T2267="FAIL",IF(AND(ISNUMBER(K2267),ISNUMBER(L2267),ABS(L2267-(K2267-IF(ISNUMBER(N2267),N2267,0)-IF(ISNUMBER(O2267),O2267,0)+IF(ISNUMBER(P2267),P2267,0)))&lt;=Summary!$B$2),"Passes using beginning_balance - PreV_ETB differs from beginning_balance",IF(AND(ISNUMBER(O2267),O2267&lt;0,ABS(L2267-(Q2267-IF(ISNUMBER(N2267),N2267,0)+IF(ISNUMBER(P2267),P2267,0)))&lt;=Summary!$B$2),"Negative realized loss not applied - check sign",IF(R2267&lt;0,"Principal paid exceeds prior balance",IF(AND(L2267&gt;Q2267,NOT(ISNUMBER(P2267))),"Balance increased but no Deferred_interest reported",IF(L2267&gt;R2267,"Reported balance higher than expected (missing increase/OC build)","Reported balance lower than expected (missing decrease)"))))),""))</f>
        <v/>
      </c>
    </row>
    <row r="2268" customFormat="false" ht="15" hidden="false" customHeight="false" outlineLevel="0" collapsed="false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9"/>
      <c r="L2268" s="9"/>
      <c r="M2268" s="9"/>
      <c r="N2268" s="9"/>
      <c r="O2268" s="9"/>
      <c r="P2268" s="9"/>
      <c r="Q2268" s="9"/>
      <c r="R2268" s="9" t="str">
        <f aca="false">IF(AND(A2268&lt;&gt;"",ISNUMBER(Q2268),ISNUMBER(L2268)),ROUND(Q2268-IF(ISNUMBER(N2268),N2268,0)-IF(ISNUMBER(O2268),O2268,0)+IF(ISNUMBER(P2268),P2268,0),2),"")</f>
        <v/>
      </c>
      <c r="S2268" s="9" t="str">
        <f aca="false">IF(R2268="","",ROUND(L2268-R2268,2))</f>
        <v/>
      </c>
      <c r="T2268" s="8" t="str">
        <f aca="false">IF(A2268="","",IF(S2268="","BYPASS",IF(ABS(S2268)&lt;=Summary!$B$2,"PASS","FAIL")))</f>
        <v/>
      </c>
      <c r="U2268" s="8" t="str">
        <f aca="false">IF(T2268="BYPASS",IF(NOT(ISNUMBER(Q2268)),"PreV_ETB missing","End_tr_balance missing"),IF(T2268="FAIL",IF(AND(ISNUMBER(K2268),ISNUMBER(L2268),ABS(L2268-(K2268-IF(ISNUMBER(N2268),N2268,0)-IF(ISNUMBER(O2268),O2268,0)+IF(ISNUMBER(P2268),P2268,0)))&lt;=Summary!$B$2),"Passes using beginning_balance - PreV_ETB differs from beginning_balance",IF(AND(ISNUMBER(O2268),O2268&lt;0,ABS(L2268-(Q2268-IF(ISNUMBER(N2268),N2268,0)+IF(ISNUMBER(P2268),P2268,0)))&lt;=Summary!$B$2),"Negative realized loss not applied - check sign",IF(R2268&lt;0,"Principal paid exceeds prior balance",IF(AND(L2268&gt;Q2268,NOT(ISNUMBER(P2268))),"Balance increased but no Deferred_interest reported",IF(L2268&gt;R2268,"Reported balance higher than expected (missing increase/OC build)","Reported balance lower than expected (missing decrease)"))))),""))</f>
        <v/>
      </c>
    </row>
    <row r="2269" customFormat="false" ht="15" hidden="false" customHeight="false" outlineLevel="0" collapsed="false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9"/>
      <c r="L2269" s="9"/>
      <c r="M2269" s="9"/>
      <c r="N2269" s="9"/>
      <c r="O2269" s="9"/>
      <c r="P2269" s="9"/>
      <c r="Q2269" s="9"/>
      <c r="R2269" s="9" t="str">
        <f aca="false">IF(AND(A2269&lt;&gt;"",ISNUMBER(Q2269),ISNUMBER(L2269)),ROUND(Q2269-IF(ISNUMBER(N2269),N2269,0)-IF(ISNUMBER(O2269),O2269,0)+IF(ISNUMBER(P2269),P2269,0),2),"")</f>
        <v/>
      </c>
      <c r="S2269" s="9" t="str">
        <f aca="false">IF(R2269="","",ROUND(L2269-R2269,2))</f>
        <v/>
      </c>
      <c r="T2269" s="8" t="str">
        <f aca="false">IF(A2269="","",IF(S2269="","BYPASS",IF(ABS(S2269)&lt;=Summary!$B$2,"PASS","FAIL")))</f>
        <v/>
      </c>
      <c r="U2269" s="8" t="str">
        <f aca="false">IF(T2269="BYPASS",IF(NOT(ISNUMBER(Q2269)),"PreV_ETB missing","End_tr_balance missing"),IF(T2269="FAIL",IF(AND(ISNUMBER(K2269),ISNUMBER(L2269),ABS(L2269-(K2269-IF(ISNUMBER(N2269),N2269,0)-IF(ISNUMBER(O2269),O2269,0)+IF(ISNUMBER(P2269),P2269,0)))&lt;=Summary!$B$2),"Passes using beginning_balance - PreV_ETB differs from beginning_balance",IF(AND(ISNUMBER(O2269),O2269&lt;0,ABS(L2269-(Q2269-IF(ISNUMBER(N2269),N2269,0)+IF(ISNUMBER(P2269),P2269,0)))&lt;=Summary!$B$2),"Negative realized loss not applied - check sign",IF(R2269&lt;0,"Principal paid exceeds prior balance",IF(AND(L2269&gt;Q2269,NOT(ISNUMBER(P2269))),"Balance increased but no Deferred_interest reported",IF(L2269&gt;R2269,"Reported balance higher than expected (missing increase/OC build)","Reported balance lower than expected (missing decrease)"))))),""))</f>
        <v/>
      </c>
    </row>
    <row r="2270" customFormat="false" ht="15" hidden="false" customHeight="false" outlineLevel="0" collapsed="false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9"/>
      <c r="L2270" s="9"/>
      <c r="M2270" s="9"/>
      <c r="N2270" s="9"/>
      <c r="O2270" s="9"/>
      <c r="P2270" s="9"/>
      <c r="Q2270" s="9"/>
      <c r="R2270" s="9" t="str">
        <f aca="false">IF(AND(A2270&lt;&gt;"",ISNUMBER(Q2270),ISNUMBER(L2270)),ROUND(Q2270-IF(ISNUMBER(N2270),N2270,0)-IF(ISNUMBER(O2270),O2270,0)+IF(ISNUMBER(P2270),P2270,0),2),"")</f>
        <v/>
      </c>
      <c r="S2270" s="9" t="str">
        <f aca="false">IF(R2270="","",ROUND(L2270-R2270,2))</f>
        <v/>
      </c>
      <c r="T2270" s="8" t="str">
        <f aca="false">IF(A2270="","",IF(S2270="","BYPASS",IF(ABS(S2270)&lt;=Summary!$B$2,"PASS","FAIL")))</f>
        <v/>
      </c>
      <c r="U2270" s="8" t="str">
        <f aca="false">IF(T2270="BYPASS",IF(NOT(ISNUMBER(Q2270)),"PreV_ETB missing","End_tr_balance missing"),IF(T2270="FAIL",IF(AND(ISNUMBER(K2270),ISNUMBER(L2270),ABS(L2270-(K2270-IF(ISNUMBER(N2270),N2270,0)-IF(ISNUMBER(O2270),O2270,0)+IF(ISNUMBER(P2270),P2270,0)))&lt;=Summary!$B$2),"Passes using beginning_balance - PreV_ETB differs from beginning_balance",IF(AND(ISNUMBER(O2270),O2270&lt;0,ABS(L2270-(Q2270-IF(ISNUMBER(N2270),N2270,0)+IF(ISNUMBER(P2270),P2270,0)))&lt;=Summary!$B$2),"Negative realized loss not applied - check sign",IF(R2270&lt;0,"Principal paid exceeds prior balance",IF(AND(L2270&gt;Q2270,NOT(ISNUMBER(P2270))),"Balance increased but no Deferred_interest reported",IF(L2270&gt;R2270,"Reported balance higher than expected (missing increase/OC build)","Reported balance lower than expected (missing decrease)"))))),""))</f>
        <v/>
      </c>
    </row>
    <row r="2271" customFormat="false" ht="15" hidden="false" customHeight="false" outlineLevel="0" collapsed="false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9"/>
      <c r="L2271" s="9"/>
      <c r="M2271" s="9"/>
      <c r="N2271" s="9"/>
      <c r="O2271" s="9"/>
      <c r="P2271" s="9"/>
      <c r="Q2271" s="9"/>
      <c r="R2271" s="9" t="str">
        <f aca="false">IF(AND(A2271&lt;&gt;"",ISNUMBER(Q2271),ISNUMBER(L2271)),ROUND(Q2271-IF(ISNUMBER(N2271),N2271,0)-IF(ISNUMBER(O2271),O2271,0)+IF(ISNUMBER(P2271),P2271,0),2),"")</f>
        <v/>
      </c>
      <c r="S2271" s="9" t="str">
        <f aca="false">IF(R2271="","",ROUND(L2271-R2271,2))</f>
        <v/>
      </c>
      <c r="T2271" s="8" t="str">
        <f aca="false">IF(A2271="","",IF(S2271="","BYPASS",IF(ABS(S2271)&lt;=Summary!$B$2,"PASS","FAIL")))</f>
        <v/>
      </c>
      <c r="U2271" s="8" t="str">
        <f aca="false">IF(T2271="BYPASS",IF(NOT(ISNUMBER(Q2271)),"PreV_ETB missing","End_tr_balance missing"),IF(T2271="FAIL",IF(AND(ISNUMBER(K2271),ISNUMBER(L2271),ABS(L2271-(K2271-IF(ISNUMBER(N2271),N2271,0)-IF(ISNUMBER(O2271),O2271,0)+IF(ISNUMBER(P2271),P2271,0)))&lt;=Summary!$B$2),"Passes using beginning_balance - PreV_ETB differs from beginning_balance",IF(AND(ISNUMBER(O2271),O2271&lt;0,ABS(L2271-(Q2271-IF(ISNUMBER(N2271),N2271,0)+IF(ISNUMBER(P2271),P2271,0)))&lt;=Summary!$B$2),"Negative realized loss not applied - check sign",IF(R2271&lt;0,"Principal paid exceeds prior balance",IF(AND(L2271&gt;Q2271,NOT(ISNUMBER(P2271))),"Balance increased but no Deferred_interest reported",IF(L2271&gt;R2271,"Reported balance higher than expected (missing increase/OC build)","Reported balance lower than expected (missing decrease)"))))),""))</f>
        <v/>
      </c>
    </row>
    <row r="2272" customFormat="false" ht="15" hidden="false" customHeight="false" outlineLevel="0" collapsed="false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9"/>
      <c r="L2272" s="9"/>
      <c r="M2272" s="9"/>
      <c r="N2272" s="9"/>
      <c r="O2272" s="9"/>
      <c r="P2272" s="9"/>
      <c r="Q2272" s="9"/>
      <c r="R2272" s="9" t="str">
        <f aca="false">IF(AND(A2272&lt;&gt;"",ISNUMBER(Q2272),ISNUMBER(L2272)),ROUND(Q2272-IF(ISNUMBER(N2272),N2272,0)-IF(ISNUMBER(O2272),O2272,0)+IF(ISNUMBER(P2272),P2272,0),2),"")</f>
        <v/>
      </c>
      <c r="S2272" s="9" t="str">
        <f aca="false">IF(R2272="","",ROUND(L2272-R2272,2))</f>
        <v/>
      </c>
      <c r="T2272" s="8" t="str">
        <f aca="false">IF(A2272="","",IF(S2272="","BYPASS",IF(ABS(S2272)&lt;=Summary!$B$2,"PASS","FAIL")))</f>
        <v/>
      </c>
      <c r="U2272" s="8" t="str">
        <f aca="false">IF(T2272="BYPASS",IF(NOT(ISNUMBER(Q2272)),"PreV_ETB missing","End_tr_balance missing"),IF(T2272="FAIL",IF(AND(ISNUMBER(K2272),ISNUMBER(L2272),ABS(L2272-(K2272-IF(ISNUMBER(N2272),N2272,0)-IF(ISNUMBER(O2272),O2272,0)+IF(ISNUMBER(P2272),P2272,0)))&lt;=Summary!$B$2),"Passes using beginning_balance - PreV_ETB differs from beginning_balance",IF(AND(ISNUMBER(O2272),O2272&lt;0,ABS(L2272-(Q2272-IF(ISNUMBER(N2272),N2272,0)+IF(ISNUMBER(P2272),P2272,0)))&lt;=Summary!$B$2),"Negative realized loss not applied - check sign",IF(R2272&lt;0,"Principal paid exceeds prior balance",IF(AND(L2272&gt;Q2272,NOT(ISNUMBER(P2272))),"Balance increased but no Deferred_interest reported",IF(L2272&gt;R2272,"Reported balance higher than expected (missing increase/OC build)","Reported balance lower than expected (missing decrease)"))))),""))</f>
        <v/>
      </c>
    </row>
    <row r="2273" customFormat="false" ht="15" hidden="false" customHeight="false" outlineLevel="0" collapsed="false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9"/>
      <c r="L2273" s="9"/>
      <c r="M2273" s="9"/>
      <c r="N2273" s="9"/>
      <c r="O2273" s="9"/>
      <c r="P2273" s="9"/>
      <c r="Q2273" s="9"/>
      <c r="R2273" s="9" t="str">
        <f aca="false">IF(AND(A2273&lt;&gt;"",ISNUMBER(Q2273),ISNUMBER(L2273)),ROUND(Q2273-IF(ISNUMBER(N2273),N2273,0)-IF(ISNUMBER(O2273),O2273,0)+IF(ISNUMBER(P2273),P2273,0),2),"")</f>
        <v/>
      </c>
      <c r="S2273" s="9" t="str">
        <f aca="false">IF(R2273="","",ROUND(L2273-R2273,2))</f>
        <v/>
      </c>
      <c r="T2273" s="8" t="str">
        <f aca="false">IF(A2273="","",IF(S2273="","BYPASS",IF(ABS(S2273)&lt;=Summary!$B$2,"PASS","FAIL")))</f>
        <v/>
      </c>
      <c r="U2273" s="8" t="str">
        <f aca="false">IF(T2273="BYPASS",IF(NOT(ISNUMBER(Q2273)),"PreV_ETB missing","End_tr_balance missing"),IF(T2273="FAIL",IF(AND(ISNUMBER(K2273),ISNUMBER(L2273),ABS(L2273-(K2273-IF(ISNUMBER(N2273),N2273,0)-IF(ISNUMBER(O2273),O2273,0)+IF(ISNUMBER(P2273),P2273,0)))&lt;=Summary!$B$2),"Passes using beginning_balance - PreV_ETB differs from beginning_balance",IF(AND(ISNUMBER(O2273),O2273&lt;0,ABS(L2273-(Q2273-IF(ISNUMBER(N2273),N2273,0)+IF(ISNUMBER(P2273),P2273,0)))&lt;=Summary!$B$2),"Negative realized loss not applied - check sign",IF(R2273&lt;0,"Principal paid exceeds prior balance",IF(AND(L2273&gt;Q2273,NOT(ISNUMBER(P2273))),"Balance increased but no Deferred_interest reported",IF(L2273&gt;R2273,"Reported balance higher than expected (missing increase/OC build)","Reported balance lower than expected (missing decrease)"))))),""))</f>
        <v/>
      </c>
    </row>
    <row r="2274" customFormat="false" ht="15" hidden="false" customHeight="false" outlineLevel="0" collapsed="false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9"/>
      <c r="L2274" s="9"/>
      <c r="M2274" s="9"/>
      <c r="N2274" s="9"/>
      <c r="O2274" s="9"/>
      <c r="P2274" s="9"/>
      <c r="Q2274" s="9"/>
      <c r="R2274" s="9" t="str">
        <f aca="false">IF(AND(A2274&lt;&gt;"",ISNUMBER(Q2274),ISNUMBER(L2274)),ROUND(Q2274-IF(ISNUMBER(N2274),N2274,0)-IF(ISNUMBER(O2274),O2274,0)+IF(ISNUMBER(P2274),P2274,0),2),"")</f>
        <v/>
      </c>
      <c r="S2274" s="9" t="str">
        <f aca="false">IF(R2274="","",ROUND(L2274-R2274,2))</f>
        <v/>
      </c>
      <c r="T2274" s="8" t="str">
        <f aca="false">IF(A2274="","",IF(S2274="","BYPASS",IF(ABS(S2274)&lt;=Summary!$B$2,"PASS","FAIL")))</f>
        <v/>
      </c>
      <c r="U2274" s="8" t="str">
        <f aca="false">IF(T2274="BYPASS",IF(NOT(ISNUMBER(Q2274)),"PreV_ETB missing","End_tr_balance missing"),IF(T2274="FAIL",IF(AND(ISNUMBER(K2274),ISNUMBER(L2274),ABS(L2274-(K2274-IF(ISNUMBER(N2274),N2274,0)-IF(ISNUMBER(O2274),O2274,0)+IF(ISNUMBER(P2274),P2274,0)))&lt;=Summary!$B$2),"Passes using beginning_balance - PreV_ETB differs from beginning_balance",IF(AND(ISNUMBER(O2274),O2274&lt;0,ABS(L2274-(Q2274-IF(ISNUMBER(N2274),N2274,0)+IF(ISNUMBER(P2274),P2274,0)))&lt;=Summary!$B$2),"Negative realized loss not applied - check sign",IF(R2274&lt;0,"Principal paid exceeds prior balance",IF(AND(L2274&gt;Q2274,NOT(ISNUMBER(P2274))),"Balance increased but no Deferred_interest reported",IF(L2274&gt;R2274,"Reported balance higher than expected (missing increase/OC build)","Reported balance lower than expected (missing decrease)"))))),""))</f>
        <v/>
      </c>
    </row>
    <row r="2275" customFormat="false" ht="15" hidden="false" customHeight="false" outlineLevel="0" collapsed="false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9"/>
      <c r="L2275" s="9"/>
      <c r="M2275" s="9"/>
      <c r="N2275" s="9"/>
      <c r="O2275" s="9"/>
      <c r="P2275" s="9"/>
      <c r="Q2275" s="9"/>
      <c r="R2275" s="9" t="str">
        <f aca="false">IF(AND(A2275&lt;&gt;"",ISNUMBER(Q2275),ISNUMBER(L2275)),ROUND(Q2275-IF(ISNUMBER(N2275),N2275,0)-IF(ISNUMBER(O2275),O2275,0)+IF(ISNUMBER(P2275),P2275,0),2),"")</f>
        <v/>
      </c>
      <c r="S2275" s="9" t="str">
        <f aca="false">IF(R2275="","",ROUND(L2275-R2275,2))</f>
        <v/>
      </c>
      <c r="T2275" s="8" t="str">
        <f aca="false">IF(A2275="","",IF(S2275="","BYPASS",IF(ABS(S2275)&lt;=Summary!$B$2,"PASS","FAIL")))</f>
        <v/>
      </c>
      <c r="U2275" s="8" t="str">
        <f aca="false">IF(T2275="BYPASS",IF(NOT(ISNUMBER(Q2275)),"PreV_ETB missing","End_tr_balance missing"),IF(T2275="FAIL",IF(AND(ISNUMBER(K2275),ISNUMBER(L2275),ABS(L2275-(K2275-IF(ISNUMBER(N2275),N2275,0)-IF(ISNUMBER(O2275),O2275,0)+IF(ISNUMBER(P2275),P2275,0)))&lt;=Summary!$B$2),"Passes using beginning_balance - PreV_ETB differs from beginning_balance",IF(AND(ISNUMBER(O2275),O2275&lt;0,ABS(L2275-(Q2275-IF(ISNUMBER(N2275),N2275,0)+IF(ISNUMBER(P2275),P2275,0)))&lt;=Summary!$B$2),"Negative realized loss not applied - check sign",IF(R2275&lt;0,"Principal paid exceeds prior balance",IF(AND(L2275&gt;Q2275,NOT(ISNUMBER(P2275))),"Balance increased but no Deferred_interest reported",IF(L2275&gt;R2275,"Reported balance higher than expected (missing increase/OC build)","Reported balance lower than expected (missing decrease)"))))),""))</f>
        <v/>
      </c>
    </row>
    <row r="2276" customFormat="false" ht="15" hidden="false" customHeight="false" outlineLevel="0" collapsed="false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9"/>
      <c r="L2276" s="9"/>
      <c r="M2276" s="9"/>
      <c r="N2276" s="9"/>
      <c r="O2276" s="9"/>
      <c r="P2276" s="9"/>
      <c r="Q2276" s="9"/>
      <c r="R2276" s="9" t="str">
        <f aca="false">IF(AND(A2276&lt;&gt;"",ISNUMBER(Q2276),ISNUMBER(L2276)),ROUND(Q2276-IF(ISNUMBER(N2276),N2276,0)-IF(ISNUMBER(O2276),O2276,0)+IF(ISNUMBER(P2276),P2276,0),2),"")</f>
        <v/>
      </c>
      <c r="S2276" s="9" t="str">
        <f aca="false">IF(R2276="","",ROUND(L2276-R2276,2))</f>
        <v/>
      </c>
      <c r="T2276" s="8" t="str">
        <f aca="false">IF(A2276="","",IF(S2276="","BYPASS",IF(ABS(S2276)&lt;=Summary!$B$2,"PASS","FAIL")))</f>
        <v/>
      </c>
      <c r="U2276" s="8" t="str">
        <f aca="false">IF(T2276="BYPASS",IF(NOT(ISNUMBER(Q2276)),"PreV_ETB missing","End_tr_balance missing"),IF(T2276="FAIL",IF(AND(ISNUMBER(K2276),ISNUMBER(L2276),ABS(L2276-(K2276-IF(ISNUMBER(N2276),N2276,0)-IF(ISNUMBER(O2276),O2276,0)+IF(ISNUMBER(P2276),P2276,0)))&lt;=Summary!$B$2),"Passes using beginning_balance - PreV_ETB differs from beginning_balance",IF(AND(ISNUMBER(O2276),O2276&lt;0,ABS(L2276-(Q2276-IF(ISNUMBER(N2276),N2276,0)+IF(ISNUMBER(P2276),P2276,0)))&lt;=Summary!$B$2),"Negative realized loss not applied - check sign",IF(R2276&lt;0,"Principal paid exceeds prior balance",IF(AND(L2276&gt;Q2276,NOT(ISNUMBER(P2276))),"Balance increased but no Deferred_interest reported",IF(L2276&gt;R2276,"Reported balance higher than expected (missing increase/OC build)","Reported balance lower than expected (missing decrease)"))))),""))</f>
        <v/>
      </c>
    </row>
    <row r="2277" customFormat="false" ht="15" hidden="false" customHeight="false" outlineLevel="0" collapsed="false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9"/>
      <c r="L2277" s="9"/>
      <c r="M2277" s="9"/>
      <c r="N2277" s="9"/>
      <c r="O2277" s="9"/>
      <c r="P2277" s="9"/>
      <c r="Q2277" s="9"/>
      <c r="R2277" s="9" t="str">
        <f aca="false">IF(AND(A2277&lt;&gt;"",ISNUMBER(Q2277),ISNUMBER(L2277)),ROUND(Q2277-IF(ISNUMBER(N2277),N2277,0)-IF(ISNUMBER(O2277),O2277,0)+IF(ISNUMBER(P2277),P2277,0),2),"")</f>
        <v/>
      </c>
      <c r="S2277" s="9" t="str">
        <f aca="false">IF(R2277="","",ROUND(L2277-R2277,2))</f>
        <v/>
      </c>
      <c r="T2277" s="8" t="str">
        <f aca="false">IF(A2277="","",IF(S2277="","BYPASS",IF(ABS(S2277)&lt;=Summary!$B$2,"PASS","FAIL")))</f>
        <v/>
      </c>
      <c r="U2277" s="8" t="str">
        <f aca="false">IF(T2277="BYPASS",IF(NOT(ISNUMBER(Q2277)),"PreV_ETB missing","End_tr_balance missing"),IF(T2277="FAIL",IF(AND(ISNUMBER(K2277),ISNUMBER(L2277),ABS(L2277-(K2277-IF(ISNUMBER(N2277),N2277,0)-IF(ISNUMBER(O2277),O2277,0)+IF(ISNUMBER(P2277),P2277,0)))&lt;=Summary!$B$2),"Passes using beginning_balance - PreV_ETB differs from beginning_balance",IF(AND(ISNUMBER(O2277),O2277&lt;0,ABS(L2277-(Q2277-IF(ISNUMBER(N2277),N2277,0)+IF(ISNUMBER(P2277),P2277,0)))&lt;=Summary!$B$2),"Negative realized loss not applied - check sign",IF(R2277&lt;0,"Principal paid exceeds prior balance",IF(AND(L2277&gt;Q2277,NOT(ISNUMBER(P2277))),"Balance increased but no Deferred_interest reported",IF(L2277&gt;R2277,"Reported balance higher than expected (missing increase/OC build)","Reported balance lower than expected (missing decrease)"))))),""))</f>
        <v/>
      </c>
    </row>
    <row r="2278" customFormat="false" ht="15" hidden="false" customHeight="false" outlineLevel="0" collapsed="false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9"/>
      <c r="L2278" s="9"/>
      <c r="M2278" s="9"/>
      <c r="N2278" s="9"/>
      <c r="O2278" s="9"/>
      <c r="P2278" s="9"/>
      <c r="Q2278" s="9"/>
      <c r="R2278" s="9" t="str">
        <f aca="false">IF(AND(A2278&lt;&gt;"",ISNUMBER(Q2278),ISNUMBER(L2278)),ROUND(Q2278-IF(ISNUMBER(N2278),N2278,0)-IF(ISNUMBER(O2278),O2278,0)+IF(ISNUMBER(P2278),P2278,0),2),"")</f>
        <v/>
      </c>
      <c r="S2278" s="9" t="str">
        <f aca="false">IF(R2278="","",ROUND(L2278-R2278,2))</f>
        <v/>
      </c>
      <c r="T2278" s="8" t="str">
        <f aca="false">IF(A2278="","",IF(S2278="","BYPASS",IF(ABS(S2278)&lt;=Summary!$B$2,"PASS","FAIL")))</f>
        <v/>
      </c>
      <c r="U2278" s="8" t="str">
        <f aca="false">IF(T2278="BYPASS",IF(NOT(ISNUMBER(Q2278)),"PreV_ETB missing","End_tr_balance missing"),IF(T2278="FAIL",IF(AND(ISNUMBER(K2278),ISNUMBER(L2278),ABS(L2278-(K2278-IF(ISNUMBER(N2278),N2278,0)-IF(ISNUMBER(O2278),O2278,0)+IF(ISNUMBER(P2278),P2278,0)))&lt;=Summary!$B$2),"Passes using beginning_balance - PreV_ETB differs from beginning_balance",IF(AND(ISNUMBER(O2278),O2278&lt;0,ABS(L2278-(Q2278-IF(ISNUMBER(N2278),N2278,0)+IF(ISNUMBER(P2278),P2278,0)))&lt;=Summary!$B$2),"Negative realized loss not applied - check sign",IF(R2278&lt;0,"Principal paid exceeds prior balance",IF(AND(L2278&gt;Q2278,NOT(ISNUMBER(P2278))),"Balance increased but no Deferred_interest reported",IF(L2278&gt;R2278,"Reported balance higher than expected (missing increase/OC build)","Reported balance lower than expected (missing decrease)"))))),""))</f>
        <v/>
      </c>
    </row>
    <row r="2279" customFormat="false" ht="15" hidden="false" customHeight="false" outlineLevel="0" collapsed="false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9"/>
      <c r="L2279" s="9"/>
      <c r="M2279" s="9"/>
      <c r="N2279" s="9"/>
      <c r="O2279" s="9"/>
      <c r="P2279" s="9"/>
      <c r="Q2279" s="9"/>
      <c r="R2279" s="9" t="str">
        <f aca="false">IF(AND(A2279&lt;&gt;"",ISNUMBER(Q2279),ISNUMBER(L2279)),ROUND(Q2279-IF(ISNUMBER(N2279),N2279,0)-IF(ISNUMBER(O2279),O2279,0)+IF(ISNUMBER(P2279),P2279,0),2),"")</f>
        <v/>
      </c>
      <c r="S2279" s="9" t="str">
        <f aca="false">IF(R2279="","",ROUND(L2279-R2279,2))</f>
        <v/>
      </c>
      <c r="T2279" s="8" t="str">
        <f aca="false">IF(A2279="","",IF(S2279="","BYPASS",IF(ABS(S2279)&lt;=Summary!$B$2,"PASS","FAIL")))</f>
        <v/>
      </c>
      <c r="U2279" s="8" t="str">
        <f aca="false">IF(T2279="BYPASS",IF(NOT(ISNUMBER(Q2279)),"PreV_ETB missing","End_tr_balance missing"),IF(T2279="FAIL",IF(AND(ISNUMBER(K2279),ISNUMBER(L2279),ABS(L2279-(K2279-IF(ISNUMBER(N2279),N2279,0)-IF(ISNUMBER(O2279),O2279,0)+IF(ISNUMBER(P2279),P2279,0)))&lt;=Summary!$B$2),"Passes using beginning_balance - PreV_ETB differs from beginning_balance",IF(AND(ISNUMBER(O2279),O2279&lt;0,ABS(L2279-(Q2279-IF(ISNUMBER(N2279),N2279,0)+IF(ISNUMBER(P2279),P2279,0)))&lt;=Summary!$B$2),"Negative realized loss not applied - check sign",IF(R2279&lt;0,"Principal paid exceeds prior balance",IF(AND(L2279&gt;Q2279,NOT(ISNUMBER(P2279))),"Balance increased but no Deferred_interest reported",IF(L2279&gt;R2279,"Reported balance higher than expected (missing increase/OC build)","Reported balance lower than expected (missing decrease)"))))),""))</f>
        <v/>
      </c>
    </row>
    <row r="2280" customFormat="false" ht="15" hidden="false" customHeight="false" outlineLevel="0" collapsed="false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9"/>
      <c r="L2280" s="9"/>
      <c r="M2280" s="9"/>
      <c r="N2280" s="9"/>
      <c r="O2280" s="9"/>
      <c r="P2280" s="9"/>
      <c r="Q2280" s="9"/>
      <c r="R2280" s="9" t="str">
        <f aca="false">IF(AND(A2280&lt;&gt;"",ISNUMBER(Q2280),ISNUMBER(L2280)),ROUND(Q2280-IF(ISNUMBER(N2280),N2280,0)-IF(ISNUMBER(O2280),O2280,0)+IF(ISNUMBER(P2280),P2280,0),2),"")</f>
        <v/>
      </c>
      <c r="S2280" s="9" t="str">
        <f aca="false">IF(R2280="","",ROUND(L2280-R2280,2))</f>
        <v/>
      </c>
      <c r="T2280" s="8" t="str">
        <f aca="false">IF(A2280="","",IF(S2280="","BYPASS",IF(ABS(S2280)&lt;=Summary!$B$2,"PASS","FAIL")))</f>
        <v/>
      </c>
      <c r="U2280" s="8" t="str">
        <f aca="false">IF(T2280="BYPASS",IF(NOT(ISNUMBER(Q2280)),"PreV_ETB missing","End_tr_balance missing"),IF(T2280="FAIL",IF(AND(ISNUMBER(K2280),ISNUMBER(L2280),ABS(L2280-(K2280-IF(ISNUMBER(N2280),N2280,0)-IF(ISNUMBER(O2280),O2280,0)+IF(ISNUMBER(P2280),P2280,0)))&lt;=Summary!$B$2),"Passes using beginning_balance - PreV_ETB differs from beginning_balance",IF(AND(ISNUMBER(O2280),O2280&lt;0,ABS(L2280-(Q2280-IF(ISNUMBER(N2280),N2280,0)+IF(ISNUMBER(P2280),P2280,0)))&lt;=Summary!$B$2),"Negative realized loss not applied - check sign",IF(R2280&lt;0,"Principal paid exceeds prior balance",IF(AND(L2280&gt;Q2280,NOT(ISNUMBER(P2280))),"Balance increased but no Deferred_interest reported",IF(L2280&gt;R2280,"Reported balance higher than expected (missing increase/OC build)","Reported balance lower than expected (missing decrease)"))))),""))</f>
        <v/>
      </c>
    </row>
    <row r="2281" customFormat="false" ht="15" hidden="false" customHeight="false" outlineLevel="0" collapsed="false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9"/>
      <c r="L2281" s="9"/>
      <c r="M2281" s="9"/>
      <c r="N2281" s="9"/>
      <c r="O2281" s="9"/>
      <c r="P2281" s="9"/>
      <c r="Q2281" s="9"/>
      <c r="R2281" s="9" t="str">
        <f aca="false">IF(AND(A2281&lt;&gt;"",ISNUMBER(Q2281),ISNUMBER(L2281)),ROUND(Q2281-IF(ISNUMBER(N2281),N2281,0)-IF(ISNUMBER(O2281),O2281,0)+IF(ISNUMBER(P2281),P2281,0),2),"")</f>
        <v/>
      </c>
      <c r="S2281" s="9" t="str">
        <f aca="false">IF(R2281="","",ROUND(L2281-R2281,2))</f>
        <v/>
      </c>
      <c r="T2281" s="8" t="str">
        <f aca="false">IF(A2281="","",IF(S2281="","BYPASS",IF(ABS(S2281)&lt;=Summary!$B$2,"PASS","FAIL")))</f>
        <v/>
      </c>
      <c r="U2281" s="8" t="str">
        <f aca="false">IF(T2281="BYPASS",IF(NOT(ISNUMBER(Q2281)),"PreV_ETB missing","End_tr_balance missing"),IF(T2281="FAIL",IF(AND(ISNUMBER(K2281),ISNUMBER(L2281),ABS(L2281-(K2281-IF(ISNUMBER(N2281),N2281,0)-IF(ISNUMBER(O2281),O2281,0)+IF(ISNUMBER(P2281),P2281,0)))&lt;=Summary!$B$2),"Passes using beginning_balance - PreV_ETB differs from beginning_balance",IF(AND(ISNUMBER(O2281),O2281&lt;0,ABS(L2281-(Q2281-IF(ISNUMBER(N2281),N2281,0)+IF(ISNUMBER(P2281),P2281,0)))&lt;=Summary!$B$2),"Negative realized loss not applied - check sign",IF(R2281&lt;0,"Principal paid exceeds prior balance",IF(AND(L2281&gt;Q2281,NOT(ISNUMBER(P2281))),"Balance increased but no Deferred_interest reported",IF(L2281&gt;R2281,"Reported balance higher than expected (missing increase/OC build)","Reported balance lower than expected (missing decrease)"))))),""))</f>
        <v/>
      </c>
    </row>
    <row r="2282" customFormat="false" ht="15" hidden="false" customHeight="false" outlineLevel="0" collapsed="false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9"/>
      <c r="L2282" s="9"/>
      <c r="M2282" s="9"/>
      <c r="N2282" s="9"/>
      <c r="O2282" s="9"/>
      <c r="P2282" s="9"/>
      <c r="Q2282" s="9"/>
      <c r="R2282" s="9" t="str">
        <f aca="false">IF(AND(A2282&lt;&gt;"",ISNUMBER(Q2282),ISNUMBER(L2282)),ROUND(Q2282-IF(ISNUMBER(N2282),N2282,0)-IF(ISNUMBER(O2282),O2282,0)+IF(ISNUMBER(P2282),P2282,0),2),"")</f>
        <v/>
      </c>
      <c r="S2282" s="9" t="str">
        <f aca="false">IF(R2282="","",ROUND(L2282-R2282,2))</f>
        <v/>
      </c>
      <c r="T2282" s="8" t="str">
        <f aca="false">IF(A2282="","",IF(S2282="","BYPASS",IF(ABS(S2282)&lt;=Summary!$B$2,"PASS","FAIL")))</f>
        <v/>
      </c>
      <c r="U2282" s="8" t="str">
        <f aca="false">IF(T2282="BYPASS",IF(NOT(ISNUMBER(Q2282)),"PreV_ETB missing","End_tr_balance missing"),IF(T2282="FAIL",IF(AND(ISNUMBER(K2282),ISNUMBER(L2282),ABS(L2282-(K2282-IF(ISNUMBER(N2282),N2282,0)-IF(ISNUMBER(O2282),O2282,0)+IF(ISNUMBER(P2282),P2282,0)))&lt;=Summary!$B$2),"Passes using beginning_balance - PreV_ETB differs from beginning_balance",IF(AND(ISNUMBER(O2282),O2282&lt;0,ABS(L2282-(Q2282-IF(ISNUMBER(N2282),N2282,0)+IF(ISNUMBER(P2282),P2282,0)))&lt;=Summary!$B$2),"Negative realized loss not applied - check sign",IF(R2282&lt;0,"Principal paid exceeds prior balance",IF(AND(L2282&gt;Q2282,NOT(ISNUMBER(P2282))),"Balance increased but no Deferred_interest reported",IF(L2282&gt;R2282,"Reported balance higher than expected (missing increase/OC build)","Reported balance lower than expected (missing decrease)"))))),""))</f>
        <v/>
      </c>
    </row>
    <row r="2283" customFormat="false" ht="15" hidden="false" customHeight="false" outlineLevel="0" collapsed="false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9"/>
      <c r="L2283" s="9"/>
      <c r="M2283" s="9"/>
      <c r="N2283" s="9"/>
      <c r="O2283" s="9"/>
      <c r="P2283" s="9"/>
      <c r="Q2283" s="9"/>
      <c r="R2283" s="9" t="str">
        <f aca="false">IF(AND(A2283&lt;&gt;"",ISNUMBER(Q2283),ISNUMBER(L2283)),ROUND(Q2283-IF(ISNUMBER(N2283),N2283,0)-IF(ISNUMBER(O2283),O2283,0)+IF(ISNUMBER(P2283),P2283,0),2),"")</f>
        <v/>
      </c>
      <c r="S2283" s="9" t="str">
        <f aca="false">IF(R2283="","",ROUND(L2283-R2283,2))</f>
        <v/>
      </c>
      <c r="T2283" s="8" t="str">
        <f aca="false">IF(A2283="","",IF(S2283="","BYPASS",IF(ABS(S2283)&lt;=Summary!$B$2,"PASS","FAIL")))</f>
        <v/>
      </c>
      <c r="U2283" s="8" t="str">
        <f aca="false">IF(T2283="BYPASS",IF(NOT(ISNUMBER(Q2283)),"PreV_ETB missing","End_tr_balance missing"),IF(T2283="FAIL",IF(AND(ISNUMBER(K2283),ISNUMBER(L2283),ABS(L2283-(K2283-IF(ISNUMBER(N2283),N2283,0)-IF(ISNUMBER(O2283),O2283,0)+IF(ISNUMBER(P2283),P2283,0)))&lt;=Summary!$B$2),"Passes using beginning_balance - PreV_ETB differs from beginning_balance",IF(AND(ISNUMBER(O2283),O2283&lt;0,ABS(L2283-(Q2283-IF(ISNUMBER(N2283),N2283,0)+IF(ISNUMBER(P2283),P2283,0)))&lt;=Summary!$B$2),"Negative realized loss not applied - check sign",IF(R2283&lt;0,"Principal paid exceeds prior balance",IF(AND(L2283&gt;Q2283,NOT(ISNUMBER(P2283))),"Balance increased but no Deferred_interest reported",IF(L2283&gt;R2283,"Reported balance higher than expected (missing increase/OC build)","Reported balance lower than expected (missing decrease)"))))),""))</f>
        <v/>
      </c>
    </row>
    <row r="2284" customFormat="false" ht="15" hidden="false" customHeight="false" outlineLevel="0" collapsed="false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9"/>
      <c r="L2284" s="9"/>
      <c r="M2284" s="9"/>
      <c r="N2284" s="9"/>
      <c r="O2284" s="9"/>
      <c r="P2284" s="9"/>
      <c r="Q2284" s="9"/>
      <c r="R2284" s="9" t="str">
        <f aca="false">IF(AND(A2284&lt;&gt;"",ISNUMBER(Q2284),ISNUMBER(L2284)),ROUND(Q2284-IF(ISNUMBER(N2284),N2284,0)-IF(ISNUMBER(O2284),O2284,0)+IF(ISNUMBER(P2284),P2284,0),2),"")</f>
        <v/>
      </c>
      <c r="S2284" s="9" t="str">
        <f aca="false">IF(R2284="","",ROUND(L2284-R2284,2))</f>
        <v/>
      </c>
      <c r="T2284" s="8" t="str">
        <f aca="false">IF(A2284="","",IF(S2284="","BYPASS",IF(ABS(S2284)&lt;=Summary!$B$2,"PASS","FAIL")))</f>
        <v/>
      </c>
      <c r="U2284" s="8" t="str">
        <f aca="false">IF(T2284="BYPASS",IF(NOT(ISNUMBER(Q2284)),"PreV_ETB missing","End_tr_balance missing"),IF(T2284="FAIL",IF(AND(ISNUMBER(K2284),ISNUMBER(L2284),ABS(L2284-(K2284-IF(ISNUMBER(N2284),N2284,0)-IF(ISNUMBER(O2284),O2284,0)+IF(ISNUMBER(P2284),P2284,0)))&lt;=Summary!$B$2),"Passes using beginning_balance - PreV_ETB differs from beginning_balance",IF(AND(ISNUMBER(O2284),O2284&lt;0,ABS(L2284-(Q2284-IF(ISNUMBER(N2284),N2284,0)+IF(ISNUMBER(P2284),P2284,0)))&lt;=Summary!$B$2),"Negative realized loss not applied - check sign",IF(R2284&lt;0,"Principal paid exceeds prior balance",IF(AND(L2284&gt;Q2284,NOT(ISNUMBER(P2284))),"Balance increased but no Deferred_interest reported",IF(L2284&gt;R2284,"Reported balance higher than expected (missing increase/OC build)","Reported balance lower than expected (missing decrease)"))))),""))</f>
        <v/>
      </c>
    </row>
    <row r="2285" customFormat="false" ht="15" hidden="false" customHeight="false" outlineLevel="0" collapsed="false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9"/>
      <c r="L2285" s="9"/>
      <c r="M2285" s="9"/>
      <c r="N2285" s="9"/>
      <c r="O2285" s="9"/>
      <c r="P2285" s="9"/>
      <c r="Q2285" s="9"/>
      <c r="R2285" s="9" t="str">
        <f aca="false">IF(AND(A2285&lt;&gt;"",ISNUMBER(Q2285),ISNUMBER(L2285)),ROUND(Q2285-IF(ISNUMBER(N2285),N2285,0)-IF(ISNUMBER(O2285),O2285,0)+IF(ISNUMBER(P2285),P2285,0),2),"")</f>
        <v/>
      </c>
      <c r="S2285" s="9" t="str">
        <f aca="false">IF(R2285="","",ROUND(L2285-R2285,2))</f>
        <v/>
      </c>
      <c r="T2285" s="8" t="str">
        <f aca="false">IF(A2285="","",IF(S2285="","BYPASS",IF(ABS(S2285)&lt;=Summary!$B$2,"PASS","FAIL")))</f>
        <v/>
      </c>
      <c r="U2285" s="8" t="str">
        <f aca="false">IF(T2285="BYPASS",IF(NOT(ISNUMBER(Q2285)),"PreV_ETB missing","End_tr_balance missing"),IF(T2285="FAIL",IF(AND(ISNUMBER(K2285),ISNUMBER(L2285),ABS(L2285-(K2285-IF(ISNUMBER(N2285),N2285,0)-IF(ISNUMBER(O2285),O2285,0)+IF(ISNUMBER(P2285),P2285,0)))&lt;=Summary!$B$2),"Passes using beginning_balance - PreV_ETB differs from beginning_balance",IF(AND(ISNUMBER(O2285),O2285&lt;0,ABS(L2285-(Q2285-IF(ISNUMBER(N2285),N2285,0)+IF(ISNUMBER(P2285),P2285,0)))&lt;=Summary!$B$2),"Negative realized loss not applied - check sign",IF(R2285&lt;0,"Principal paid exceeds prior balance",IF(AND(L2285&gt;Q2285,NOT(ISNUMBER(P2285))),"Balance increased but no Deferred_interest reported",IF(L2285&gt;R2285,"Reported balance higher than expected (missing increase/OC build)","Reported balance lower than expected (missing decrease)"))))),""))</f>
        <v/>
      </c>
    </row>
    <row r="2286" customFormat="false" ht="15" hidden="false" customHeight="false" outlineLevel="0" collapsed="false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9"/>
      <c r="L2286" s="9"/>
      <c r="M2286" s="9"/>
      <c r="N2286" s="9"/>
      <c r="O2286" s="9"/>
      <c r="P2286" s="9"/>
      <c r="Q2286" s="9"/>
      <c r="R2286" s="9" t="str">
        <f aca="false">IF(AND(A2286&lt;&gt;"",ISNUMBER(Q2286),ISNUMBER(L2286)),ROUND(Q2286-IF(ISNUMBER(N2286),N2286,0)-IF(ISNUMBER(O2286),O2286,0)+IF(ISNUMBER(P2286),P2286,0),2),"")</f>
        <v/>
      </c>
      <c r="S2286" s="9" t="str">
        <f aca="false">IF(R2286="","",ROUND(L2286-R2286,2))</f>
        <v/>
      </c>
      <c r="T2286" s="8" t="str">
        <f aca="false">IF(A2286="","",IF(S2286="","BYPASS",IF(ABS(S2286)&lt;=Summary!$B$2,"PASS","FAIL")))</f>
        <v/>
      </c>
      <c r="U2286" s="8" t="str">
        <f aca="false">IF(T2286="BYPASS",IF(NOT(ISNUMBER(Q2286)),"PreV_ETB missing","End_tr_balance missing"),IF(T2286="FAIL",IF(AND(ISNUMBER(K2286),ISNUMBER(L2286),ABS(L2286-(K2286-IF(ISNUMBER(N2286),N2286,0)-IF(ISNUMBER(O2286),O2286,0)+IF(ISNUMBER(P2286),P2286,0)))&lt;=Summary!$B$2),"Passes using beginning_balance - PreV_ETB differs from beginning_balance",IF(AND(ISNUMBER(O2286),O2286&lt;0,ABS(L2286-(Q2286-IF(ISNUMBER(N2286),N2286,0)+IF(ISNUMBER(P2286),P2286,0)))&lt;=Summary!$B$2),"Negative realized loss not applied - check sign",IF(R2286&lt;0,"Principal paid exceeds prior balance",IF(AND(L2286&gt;Q2286,NOT(ISNUMBER(P2286))),"Balance increased but no Deferred_interest reported",IF(L2286&gt;R2286,"Reported balance higher than expected (missing increase/OC build)","Reported balance lower than expected (missing decrease)"))))),""))</f>
        <v/>
      </c>
    </row>
    <row r="2287" customFormat="false" ht="15" hidden="false" customHeight="false" outlineLevel="0" collapsed="false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9"/>
      <c r="L2287" s="9"/>
      <c r="M2287" s="9"/>
      <c r="N2287" s="9"/>
      <c r="O2287" s="9"/>
      <c r="P2287" s="9"/>
      <c r="Q2287" s="9"/>
      <c r="R2287" s="9" t="str">
        <f aca="false">IF(AND(A2287&lt;&gt;"",ISNUMBER(Q2287),ISNUMBER(L2287)),ROUND(Q2287-IF(ISNUMBER(N2287),N2287,0)-IF(ISNUMBER(O2287),O2287,0)+IF(ISNUMBER(P2287),P2287,0),2),"")</f>
        <v/>
      </c>
      <c r="S2287" s="9" t="str">
        <f aca="false">IF(R2287="","",ROUND(L2287-R2287,2))</f>
        <v/>
      </c>
      <c r="T2287" s="8" t="str">
        <f aca="false">IF(A2287="","",IF(S2287="","BYPASS",IF(ABS(S2287)&lt;=Summary!$B$2,"PASS","FAIL")))</f>
        <v/>
      </c>
      <c r="U2287" s="8" t="str">
        <f aca="false">IF(T2287="BYPASS",IF(NOT(ISNUMBER(Q2287)),"PreV_ETB missing","End_tr_balance missing"),IF(T2287="FAIL",IF(AND(ISNUMBER(K2287),ISNUMBER(L2287),ABS(L2287-(K2287-IF(ISNUMBER(N2287),N2287,0)-IF(ISNUMBER(O2287),O2287,0)+IF(ISNUMBER(P2287),P2287,0)))&lt;=Summary!$B$2),"Passes using beginning_balance - PreV_ETB differs from beginning_balance",IF(AND(ISNUMBER(O2287),O2287&lt;0,ABS(L2287-(Q2287-IF(ISNUMBER(N2287),N2287,0)+IF(ISNUMBER(P2287),P2287,0)))&lt;=Summary!$B$2),"Negative realized loss not applied - check sign",IF(R2287&lt;0,"Principal paid exceeds prior balance",IF(AND(L2287&gt;Q2287,NOT(ISNUMBER(P2287))),"Balance increased but no Deferred_interest reported",IF(L2287&gt;R2287,"Reported balance higher than expected (missing increase/OC build)","Reported balance lower than expected (missing decrease)"))))),""))</f>
        <v/>
      </c>
    </row>
    <row r="2288" customFormat="false" ht="15" hidden="false" customHeight="false" outlineLevel="0" collapsed="false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9"/>
      <c r="L2288" s="9"/>
      <c r="M2288" s="9"/>
      <c r="N2288" s="9"/>
      <c r="O2288" s="9"/>
      <c r="P2288" s="9"/>
      <c r="Q2288" s="9"/>
      <c r="R2288" s="9" t="str">
        <f aca="false">IF(AND(A2288&lt;&gt;"",ISNUMBER(Q2288),ISNUMBER(L2288)),ROUND(Q2288-IF(ISNUMBER(N2288),N2288,0)-IF(ISNUMBER(O2288),O2288,0)+IF(ISNUMBER(P2288),P2288,0),2),"")</f>
        <v/>
      </c>
      <c r="S2288" s="9" t="str">
        <f aca="false">IF(R2288="","",ROUND(L2288-R2288,2))</f>
        <v/>
      </c>
      <c r="T2288" s="8" t="str">
        <f aca="false">IF(A2288="","",IF(S2288="","BYPASS",IF(ABS(S2288)&lt;=Summary!$B$2,"PASS","FAIL")))</f>
        <v/>
      </c>
      <c r="U2288" s="8" t="str">
        <f aca="false">IF(T2288="BYPASS",IF(NOT(ISNUMBER(Q2288)),"PreV_ETB missing","End_tr_balance missing"),IF(T2288="FAIL",IF(AND(ISNUMBER(K2288),ISNUMBER(L2288),ABS(L2288-(K2288-IF(ISNUMBER(N2288),N2288,0)-IF(ISNUMBER(O2288),O2288,0)+IF(ISNUMBER(P2288),P2288,0)))&lt;=Summary!$B$2),"Passes using beginning_balance - PreV_ETB differs from beginning_balance",IF(AND(ISNUMBER(O2288),O2288&lt;0,ABS(L2288-(Q2288-IF(ISNUMBER(N2288),N2288,0)+IF(ISNUMBER(P2288),P2288,0)))&lt;=Summary!$B$2),"Negative realized loss not applied - check sign",IF(R2288&lt;0,"Principal paid exceeds prior balance",IF(AND(L2288&gt;Q2288,NOT(ISNUMBER(P2288))),"Balance increased but no Deferred_interest reported",IF(L2288&gt;R2288,"Reported balance higher than expected (missing increase/OC build)","Reported balance lower than expected (missing decrease)"))))),""))</f>
        <v/>
      </c>
    </row>
    <row r="2289" customFormat="false" ht="15" hidden="false" customHeight="false" outlineLevel="0" collapsed="false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9"/>
      <c r="L2289" s="9"/>
      <c r="M2289" s="9"/>
      <c r="N2289" s="9"/>
      <c r="O2289" s="9"/>
      <c r="P2289" s="9"/>
      <c r="Q2289" s="9"/>
      <c r="R2289" s="9" t="str">
        <f aca="false">IF(AND(A2289&lt;&gt;"",ISNUMBER(Q2289),ISNUMBER(L2289)),ROUND(Q2289-IF(ISNUMBER(N2289),N2289,0)-IF(ISNUMBER(O2289),O2289,0)+IF(ISNUMBER(P2289),P2289,0),2),"")</f>
        <v/>
      </c>
      <c r="S2289" s="9" t="str">
        <f aca="false">IF(R2289="","",ROUND(L2289-R2289,2))</f>
        <v/>
      </c>
      <c r="T2289" s="8" t="str">
        <f aca="false">IF(A2289="","",IF(S2289="","BYPASS",IF(ABS(S2289)&lt;=Summary!$B$2,"PASS","FAIL")))</f>
        <v/>
      </c>
      <c r="U2289" s="8" t="str">
        <f aca="false">IF(T2289="BYPASS",IF(NOT(ISNUMBER(Q2289)),"PreV_ETB missing","End_tr_balance missing"),IF(T2289="FAIL",IF(AND(ISNUMBER(K2289),ISNUMBER(L2289),ABS(L2289-(K2289-IF(ISNUMBER(N2289),N2289,0)-IF(ISNUMBER(O2289),O2289,0)+IF(ISNUMBER(P2289),P2289,0)))&lt;=Summary!$B$2),"Passes using beginning_balance - PreV_ETB differs from beginning_balance",IF(AND(ISNUMBER(O2289),O2289&lt;0,ABS(L2289-(Q2289-IF(ISNUMBER(N2289),N2289,0)+IF(ISNUMBER(P2289),P2289,0)))&lt;=Summary!$B$2),"Negative realized loss not applied - check sign",IF(R2289&lt;0,"Principal paid exceeds prior balance",IF(AND(L2289&gt;Q2289,NOT(ISNUMBER(P2289))),"Balance increased but no Deferred_interest reported",IF(L2289&gt;R2289,"Reported balance higher than expected (missing increase/OC build)","Reported balance lower than expected (missing decrease)"))))),""))</f>
        <v/>
      </c>
    </row>
    <row r="2290" customFormat="false" ht="15" hidden="false" customHeight="false" outlineLevel="0" collapsed="false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9"/>
      <c r="L2290" s="9"/>
      <c r="M2290" s="9"/>
      <c r="N2290" s="9"/>
      <c r="O2290" s="9"/>
      <c r="P2290" s="9"/>
      <c r="Q2290" s="9"/>
      <c r="R2290" s="9" t="str">
        <f aca="false">IF(AND(A2290&lt;&gt;"",ISNUMBER(Q2290),ISNUMBER(L2290)),ROUND(Q2290-IF(ISNUMBER(N2290),N2290,0)-IF(ISNUMBER(O2290),O2290,0)+IF(ISNUMBER(P2290),P2290,0),2),"")</f>
        <v/>
      </c>
      <c r="S2290" s="9" t="str">
        <f aca="false">IF(R2290="","",ROUND(L2290-R2290,2))</f>
        <v/>
      </c>
      <c r="T2290" s="8" t="str">
        <f aca="false">IF(A2290="","",IF(S2290="","BYPASS",IF(ABS(S2290)&lt;=Summary!$B$2,"PASS","FAIL")))</f>
        <v/>
      </c>
      <c r="U2290" s="8" t="str">
        <f aca="false">IF(T2290="BYPASS",IF(NOT(ISNUMBER(Q2290)),"PreV_ETB missing","End_tr_balance missing"),IF(T2290="FAIL",IF(AND(ISNUMBER(K2290),ISNUMBER(L2290),ABS(L2290-(K2290-IF(ISNUMBER(N2290),N2290,0)-IF(ISNUMBER(O2290),O2290,0)+IF(ISNUMBER(P2290),P2290,0)))&lt;=Summary!$B$2),"Passes using beginning_balance - PreV_ETB differs from beginning_balance",IF(AND(ISNUMBER(O2290),O2290&lt;0,ABS(L2290-(Q2290-IF(ISNUMBER(N2290),N2290,0)+IF(ISNUMBER(P2290),P2290,0)))&lt;=Summary!$B$2),"Negative realized loss not applied - check sign",IF(R2290&lt;0,"Principal paid exceeds prior balance",IF(AND(L2290&gt;Q2290,NOT(ISNUMBER(P2290))),"Balance increased but no Deferred_interest reported",IF(L2290&gt;R2290,"Reported balance higher than expected (missing increase/OC build)","Reported balance lower than expected (missing decrease)"))))),""))</f>
        <v/>
      </c>
    </row>
    <row r="2291" customFormat="false" ht="15" hidden="false" customHeight="false" outlineLevel="0" collapsed="false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9"/>
      <c r="L2291" s="9"/>
      <c r="M2291" s="9"/>
      <c r="N2291" s="9"/>
      <c r="O2291" s="9"/>
      <c r="P2291" s="9"/>
      <c r="Q2291" s="9"/>
      <c r="R2291" s="9" t="str">
        <f aca="false">IF(AND(A2291&lt;&gt;"",ISNUMBER(Q2291),ISNUMBER(L2291)),ROUND(Q2291-IF(ISNUMBER(N2291),N2291,0)-IF(ISNUMBER(O2291),O2291,0)+IF(ISNUMBER(P2291),P2291,0),2),"")</f>
        <v/>
      </c>
      <c r="S2291" s="9" t="str">
        <f aca="false">IF(R2291="","",ROUND(L2291-R2291,2))</f>
        <v/>
      </c>
      <c r="T2291" s="8" t="str">
        <f aca="false">IF(A2291="","",IF(S2291="","BYPASS",IF(ABS(S2291)&lt;=Summary!$B$2,"PASS","FAIL")))</f>
        <v/>
      </c>
      <c r="U2291" s="8" t="str">
        <f aca="false">IF(T2291="BYPASS",IF(NOT(ISNUMBER(Q2291)),"PreV_ETB missing","End_tr_balance missing"),IF(T2291="FAIL",IF(AND(ISNUMBER(K2291),ISNUMBER(L2291),ABS(L2291-(K2291-IF(ISNUMBER(N2291),N2291,0)-IF(ISNUMBER(O2291),O2291,0)+IF(ISNUMBER(P2291),P2291,0)))&lt;=Summary!$B$2),"Passes using beginning_balance - PreV_ETB differs from beginning_balance",IF(AND(ISNUMBER(O2291),O2291&lt;0,ABS(L2291-(Q2291-IF(ISNUMBER(N2291),N2291,0)+IF(ISNUMBER(P2291),P2291,0)))&lt;=Summary!$B$2),"Negative realized loss not applied - check sign",IF(R2291&lt;0,"Principal paid exceeds prior balance",IF(AND(L2291&gt;Q2291,NOT(ISNUMBER(P2291))),"Balance increased but no Deferred_interest reported",IF(L2291&gt;R2291,"Reported balance higher than expected (missing increase/OC build)","Reported balance lower than expected (missing decrease)"))))),""))</f>
        <v/>
      </c>
    </row>
    <row r="2292" customFormat="false" ht="15" hidden="false" customHeight="false" outlineLevel="0" collapsed="false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9"/>
      <c r="L2292" s="9"/>
      <c r="M2292" s="9"/>
      <c r="N2292" s="9"/>
      <c r="O2292" s="9"/>
      <c r="P2292" s="9"/>
      <c r="Q2292" s="9"/>
      <c r="R2292" s="9" t="str">
        <f aca="false">IF(AND(A2292&lt;&gt;"",ISNUMBER(Q2292),ISNUMBER(L2292)),ROUND(Q2292-IF(ISNUMBER(N2292),N2292,0)-IF(ISNUMBER(O2292),O2292,0)+IF(ISNUMBER(P2292),P2292,0),2),"")</f>
        <v/>
      </c>
      <c r="S2292" s="9" t="str">
        <f aca="false">IF(R2292="","",ROUND(L2292-R2292,2))</f>
        <v/>
      </c>
      <c r="T2292" s="8" t="str">
        <f aca="false">IF(A2292="","",IF(S2292="","BYPASS",IF(ABS(S2292)&lt;=Summary!$B$2,"PASS","FAIL")))</f>
        <v/>
      </c>
      <c r="U2292" s="8" t="str">
        <f aca="false">IF(T2292="BYPASS",IF(NOT(ISNUMBER(Q2292)),"PreV_ETB missing","End_tr_balance missing"),IF(T2292="FAIL",IF(AND(ISNUMBER(K2292),ISNUMBER(L2292),ABS(L2292-(K2292-IF(ISNUMBER(N2292),N2292,0)-IF(ISNUMBER(O2292),O2292,0)+IF(ISNUMBER(P2292),P2292,0)))&lt;=Summary!$B$2),"Passes using beginning_balance - PreV_ETB differs from beginning_balance",IF(AND(ISNUMBER(O2292),O2292&lt;0,ABS(L2292-(Q2292-IF(ISNUMBER(N2292),N2292,0)+IF(ISNUMBER(P2292),P2292,0)))&lt;=Summary!$B$2),"Negative realized loss not applied - check sign",IF(R2292&lt;0,"Principal paid exceeds prior balance",IF(AND(L2292&gt;Q2292,NOT(ISNUMBER(P2292))),"Balance increased but no Deferred_interest reported",IF(L2292&gt;R2292,"Reported balance higher than expected (missing increase/OC build)","Reported balance lower than expected (missing decrease)"))))),""))</f>
        <v/>
      </c>
    </row>
    <row r="2293" customFormat="false" ht="15" hidden="false" customHeight="false" outlineLevel="0" collapsed="false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9"/>
      <c r="L2293" s="9"/>
      <c r="M2293" s="9"/>
      <c r="N2293" s="9"/>
      <c r="O2293" s="9"/>
      <c r="P2293" s="9"/>
      <c r="Q2293" s="9"/>
      <c r="R2293" s="9" t="str">
        <f aca="false">IF(AND(A2293&lt;&gt;"",ISNUMBER(Q2293),ISNUMBER(L2293)),ROUND(Q2293-IF(ISNUMBER(N2293),N2293,0)-IF(ISNUMBER(O2293),O2293,0)+IF(ISNUMBER(P2293),P2293,0),2),"")</f>
        <v/>
      </c>
      <c r="S2293" s="9" t="str">
        <f aca="false">IF(R2293="","",ROUND(L2293-R2293,2))</f>
        <v/>
      </c>
      <c r="T2293" s="8" t="str">
        <f aca="false">IF(A2293="","",IF(S2293="","BYPASS",IF(ABS(S2293)&lt;=Summary!$B$2,"PASS","FAIL")))</f>
        <v/>
      </c>
      <c r="U2293" s="8" t="str">
        <f aca="false">IF(T2293="BYPASS",IF(NOT(ISNUMBER(Q2293)),"PreV_ETB missing","End_tr_balance missing"),IF(T2293="FAIL",IF(AND(ISNUMBER(K2293),ISNUMBER(L2293),ABS(L2293-(K2293-IF(ISNUMBER(N2293),N2293,0)-IF(ISNUMBER(O2293),O2293,0)+IF(ISNUMBER(P2293),P2293,0)))&lt;=Summary!$B$2),"Passes using beginning_balance - PreV_ETB differs from beginning_balance",IF(AND(ISNUMBER(O2293),O2293&lt;0,ABS(L2293-(Q2293-IF(ISNUMBER(N2293),N2293,0)+IF(ISNUMBER(P2293),P2293,0)))&lt;=Summary!$B$2),"Negative realized loss not applied - check sign",IF(R2293&lt;0,"Principal paid exceeds prior balance",IF(AND(L2293&gt;Q2293,NOT(ISNUMBER(P2293))),"Balance increased but no Deferred_interest reported",IF(L2293&gt;R2293,"Reported balance higher than expected (missing increase/OC build)","Reported balance lower than expected (missing decrease)"))))),""))</f>
        <v/>
      </c>
    </row>
    <row r="2294" customFormat="false" ht="15" hidden="false" customHeight="false" outlineLevel="0" collapsed="false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9"/>
      <c r="L2294" s="9"/>
      <c r="M2294" s="9"/>
      <c r="N2294" s="9"/>
      <c r="O2294" s="9"/>
      <c r="P2294" s="9"/>
      <c r="Q2294" s="9"/>
      <c r="R2294" s="9" t="str">
        <f aca="false">IF(AND(A2294&lt;&gt;"",ISNUMBER(Q2294),ISNUMBER(L2294)),ROUND(Q2294-IF(ISNUMBER(N2294),N2294,0)-IF(ISNUMBER(O2294),O2294,0)+IF(ISNUMBER(P2294),P2294,0),2),"")</f>
        <v/>
      </c>
      <c r="S2294" s="9" t="str">
        <f aca="false">IF(R2294="","",ROUND(L2294-R2294,2))</f>
        <v/>
      </c>
      <c r="T2294" s="8" t="str">
        <f aca="false">IF(A2294="","",IF(S2294="","BYPASS",IF(ABS(S2294)&lt;=Summary!$B$2,"PASS","FAIL")))</f>
        <v/>
      </c>
      <c r="U2294" s="8" t="str">
        <f aca="false">IF(T2294="BYPASS",IF(NOT(ISNUMBER(Q2294)),"PreV_ETB missing","End_tr_balance missing"),IF(T2294="FAIL",IF(AND(ISNUMBER(K2294),ISNUMBER(L2294),ABS(L2294-(K2294-IF(ISNUMBER(N2294),N2294,0)-IF(ISNUMBER(O2294),O2294,0)+IF(ISNUMBER(P2294),P2294,0)))&lt;=Summary!$B$2),"Passes using beginning_balance - PreV_ETB differs from beginning_balance",IF(AND(ISNUMBER(O2294),O2294&lt;0,ABS(L2294-(Q2294-IF(ISNUMBER(N2294),N2294,0)+IF(ISNUMBER(P2294),P2294,0)))&lt;=Summary!$B$2),"Negative realized loss not applied - check sign",IF(R2294&lt;0,"Principal paid exceeds prior balance",IF(AND(L2294&gt;Q2294,NOT(ISNUMBER(P2294))),"Balance increased but no Deferred_interest reported",IF(L2294&gt;R2294,"Reported balance higher than expected (missing increase/OC build)","Reported balance lower than expected (missing decrease)"))))),""))</f>
        <v/>
      </c>
    </row>
    <row r="2295" customFormat="false" ht="15" hidden="false" customHeight="false" outlineLevel="0" collapsed="false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9"/>
      <c r="L2295" s="9"/>
      <c r="M2295" s="9"/>
      <c r="N2295" s="9"/>
      <c r="O2295" s="9"/>
      <c r="P2295" s="9"/>
      <c r="Q2295" s="9"/>
      <c r="R2295" s="9" t="str">
        <f aca="false">IF(AND(A2295&lt;&gt;"",ISNUMBER(Q2295),ISNUMBER(L2295)),ROUND(Q2295-IF(ISNUMBER(N2295),N2295,0)-IF(ISNUMBER(O2295),O2295,0)+IF(ISNUMBER(P2295),P2295,0),2),"")</f>
        <v/>
      </c>
      <c r="S2295" s="9" t="str">
        <f aca="false">IF(R2295="","",ROUND(L2295-R2295,2))</f>
        <v/>
      </c>
      <c r="T2295" s="8" t="str">
        <f aca="false">IF(A2295="","",IF(S2295="","BYPASS",IF(ABS(S2295)&lt;=Summary!$B$2,"PASS","FAIL")))</f>
        <v/>
      </c>
      <c r="U2295" s="8" t="str">
        <f aca="false">IF(T2295="BYPASS",IF(NOT(ISNUMBER(Q2295)),"PreV_ETB missing","End_tr_balance missing"),IF(T2295="FAIL",IF(AND(ISNUMBER(K2295),ISNUMBER(L2295),ABS(L2295-(K2295-IF(ISNUMBER(N2295),N2295,0)-IF(ISNUMBER(O2295),O2295,0)+IF(ISNUMBER(P2295),P2295,0)))&lt;=Summary!$B$2),"Passes using beginning_balance - PreV_ETB differs from beginning_balance",IF(AND(ISNUMBER(O2295),O2295&lt;0,ABS(L2295-(Q2295-IF(ISNUMBER(N2295),N2295,0)+IF(ISNUMBER(P2295),P2295,0)))&lt;=Summary!$B$2),"Negative realized loss not applied - check sign",IF(R2295&lt;0,"Principal paid exceeds prior balance",IF(AND(L2295&gt;Q2295,NOT(ISNUMBER(P2295))),"Balance increased but no Deferred_interest reported",IF(L2295&gt;R2295,"Reported balance higher than expected (missing increase/OC build)","Reported balance lower than expected (missing decrease)"))))),""))</f>
        <v/>
      </c>
    </row>
    <row r="2296" customFormat="false" ht="15" hidden="false" customHeight="false" outlineLevel="0" collapsed="false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9"/>
      <c r="L2296" s="9"/>
      <c r="M2296" s="9"/>
      <c r="N2296" s="9"/>
      <c r="O2296" s="9"/>
      <c r="P2296" s="9"/>
      <c r="Q2296" s="9"/>
      <c r="R2296" s="9" t="str">
        <f aca="false">IF(AND(A2296&lt;&gt;"",ISNUMBER(Q2296),ISNUMBER(L2296)),ROUND(Q2296-IF(ISNUMBER(N2296),N2296,0)-IF(ISNUMBER(O2296),O2296,0)+IF(ISNUMBER(P2296),P2296,0),2),"")</f>
        <v/>
      </c>
      <c r="S2296" s="9" t="str">
        <f aca="false">IF(R2296="","",ROUND(L2296-R2296,2))</f>
        <v/>
      </c>
      <c r="T2296" s="8" t="str">
        <f aca="false">IF(A2296="","",IF(S2296="","BYPASS",IF(ABS(S2296)&lt;=Summary!$B$2,"PASS","FAIL")))</f>
        <v/>
      </c>
      <c r="U2296" s="8" t="str">
        <f aca="false">IF(T2296="BYPASS",IF(NOT(ISNUMBER(Q2296)),"PreV_ETB missing","End_tr_balance missing"),IF(T2296="FAIL",IF(AND(ISNUMBER(K2296),ISNUMBER(L2296),ABS(L2296-(K2296-IF(ISNUMBER(N2296),N2296,0)-IF(ISNUMBER(O2296),O2296,0)+IF(ISNUMBER(P2296),P2296,0)))&lt;=Summary!$B$2),"Passes using beginning_balance - PreV_ETB differs from beginning_balance",IF(AND(ISNUMBER(O2296),O2296&lt;0,ABS(L2296-(Q2296-IF(ISNUMBER(N2296),N2296,0)+IF(ISNUMBER(P2296),P2296,0)))&lt;=Summary!$B$2),"Negative realized loss not applied - check sign",IF(R2296&lt;0,"Principal paid exceeds prior balance",IF(AND(L2296&gt;Q2296,NOT(ISNUMBER(P2296))),"Balance increased but no Deferred_interest reported",IF(L2296&gt;R2296,"Reported balance higher than expected (missing increase/OC build)","Reported balance lower than expected (missing decrease)"))))),""))</f>
        <v/>
      </c>
    </row>
    <row r="2297" customFormat="false" ht="15" hidden="false" customHeight="false" outlineLevel="0" collapsed="false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9"/>
      <c r="L2297" s="9"/>
      <c r="M2297" s="9"/>
      <c r="N2297" s="9"/>
      <c r="O2297" s="9"/>
      <c r="P2297" s="9"/>
      <c r="Q2297" s="9"/>
      <c r="R2297" s="9" t="str">
        <f aca="false">IF(AND(A2297&lt;&gt;"",ISNUMBER(Q2297),ISNUMBER(L2297)),ROUND(Q2297-IF(ISNUMBER(N2297),N2297,0)-IF(ISNUMBER(O2297),O2297,0)+IF(ISNUMBER(P2297),P2297,0),2),"")</f>
        <v/>
      </c>
      <c r="S2297" s="9" t="str">
        <f aca="false">IF(R2297="","",ROUND(L2297-R2297,2))</f>
        <v/>
      </c>
      <c r="T2297" s="8" t="str">
        <f aca="false">IF(A2297="","",IF(S2297="","BYPASS",IF(ABS(S2297)&lt;=Summary!$B$2,"PASS","FAIL")))</f>
        <v/>
      </c>
      <c r="U2297" s="8" t="str">
        <f aca="false">IF(T2297="BYPASS",IF(NOT(ISNUMBER(Q2297)),"PreV_ETB missing","End_tr_balance missing"),IF(T2297="FAIL",IF(AND(ISNUMBER(K2297),ISNUMBER(L2297),ABS(L2297-(K2297-IF(ISNUMBER(N2297),N2297,0)-IF(ISNUMBER(O2297),O2297,0)+IF(ISNUMBER(P2297),P2297,0)))&lt;=Summary!$B$2),"Passes using beginning_balance - PreV_ETB differs from beginning_balance",IF(AND(ISNUMBER(O2297),O2297&lt;0,ABS(L2297-(Q2297-IF(ISNUMBER(N2297),N2297,0)+IF(ISNUMBER(P2297),P2297,0)))&lt;=Summary!$B$2),"Negative realized loss not applied - check sign",IF(R2297&lt;0,"Principal paid exceeds prior balance",IF(AND(L2297&gt;Q2297,NOT(ISNUMBER(P2297))),"Balance increased but no Deferred_interest reported",IF(L2297&gt;R2297,"Reported balance higher than expected (missing increase/OC build)","Reported balance lower than expected (missing decrease)"))))),""))</f>
        <v/>
      </c>
    </row>
    <row r="2298" customFormat="false" ht="15" hidden="false" customHeight="false" outlineLevel="0" collapsed="false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9"/>
      <c r="L2298" s="9"/>
      <c r="M2298" s="9"/>
      <c r="N2298" s="9"/>
      <c r="O2298" s="9"/>
      <c r="P2298" s="9"/>
      <c r="Q2298" s="9"/>
      <c r="R2298" s="9" t="str">
        <f aca="false">IF(AND(A2298&lt;&gt;"",ISNUMBER(Q2298),ISNUMBER(L2298)),ROUND(Q2298-IF(ISNUMBER(N2298),N2298,0)-IF(ISNUMBER(O2298),O2298,0)+IF(ISNUMBER(P2298),P2298,0),2),"")</f>
        <v/>
      </c>
      <c r="S2298" s="9" t="str">
        <f aca="false">IF(R2298="","",ROUND(L2298-R2298,2))</f>
        <v/>
      </c>
      <c r="T2298" s="8" t="str">
        <f aca="false">IF(A2298="","",IF(S2298="","BYPASS",IF(ABS(S2298)&lt;=Summary!$B$2,"PASS","FAIL")))</f>
        <v/>
      </c>
      <c r="U2298" s="8" t="str">
        <f aca="false">IF(T2298="BYPASS",IF(NOT(ISNUMBER(Q2298)),"PreV_ETB missing","End_tr_balance missing"),IF(T2298="FAIL",IF(AND(ISNUMBER(K2298),ISNUMBER(L2298),ABS(L2298-(K2298-IF(ISNUMBER(N2298),N2298,0)-IF(ISNUMBER(O2298),O2298,0)+IF(ISNUMBER(P2298),P2298,0)))&lt;=Summary!$B$2),"Passes using beginning_balance - PreV_ETB differs from beginning_balance",IF(AND(ISNUMBER(O2298),O2298&lt;0,ABS(L2298-(Q2298-IF(ISNUMBER(N2298),N2298,0)+IF(ISNUMBER(P2298),P2298,0)))&lt;=Summary!$B$2),"Negative realized loss not applied - check sign",IF(R2298&lt;0,"Principal paid exceeds prior balance",IF(AND(L2298&gt;Q2298,NOT(ISNUMBER(P2298))),"Balance increased but no Deferred_interest reported",IF(L2298&gt;R2298,"Reported balance higher than expected (missing increase/OC build)","Reported balance lower than expected (missing decrease)"))))),""))</f>
        <v/>
      </c>
    </row>
    <row r="2299" customFormat="false" ht="15" hidden="false" customHeight="false" outlineLevel="0" collapsed="false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9"/>
      <c r="L2299" s="9"/>
      <c r="M2299" s="9"/>
      <c r="N2299" s="9"/>
      <c r="O2299" s="9"/>
      <c r="P2299" s="9"/>
      <c r="Q2299" s="9"/>
      <c r="R2299" s="9" t="str">
        <f aca="false">IF(AND(A2299&lt;&gt;"",ISNUMBER(Q2299),ISNUMBER(L2299)),ROUND(Q2299-IF(ISNUMBER(N2299),N2299,0)-IF(ISNUMBER(O2299),O2299,0)+IF(ISNUMBER(P2299),P2299,0),2),"")</f>
        <v/>
      </c>
      <c r="S2299" s="9" t="str">
        <f aca="false">IF(R2299="","",ROUND(L2299-R2299,2))</f>
        <v/>
      </c>
      <c r="T2299" s="8" t="str">
        <f aca="false">IF(A2299="","",IF(S2299="","BYPASS",IF(ABS(S2299)&lt;=Summary!$B$2,"PASS","FAIL")))</f>
        <v/>
      </c>
      <c r="U2299" s="8" t="str">
        <f aca="false">IF(T2299="BYPASS",IF(NOT(ISNUMBER(Q2299)),"PreV_ETB missing","End_tr_balance missing"),IF(T2299="FAIL",IF(AND(ISNUMBER(K2299),ISNUMBER(L2299),ABS(L2299-(K2299-IF(ISNUMBER(N2299),N2299,0)-IF(ISNUMBER(O2299),O2299,0)+IF(ISNUMBER(P2299),P2299,0)))&lt;=Summary!$B$2),"Passes using beginning_balance - PreV_ETB differs from beginning_balance",IF(AND(ISNUMBER(O2299),O2299&lt;0,ABS(L2299-(Q2299-IF(ISNUMBER(N2299),N2299,0)+IF(ISNUMBER(P2299),P2299,0)))&lt;=Summary!$B$2),"Negative realized loss not applied - check sign",IF(R2299&lt;0,"Principal paid exceeds prior balance",IF(AND(L2299&gt;Q2299,NOT(ISNUMBER(P2299))),"Balance increased but no Deferred_interest reported",IF(L2299&gt;R2299,"Reported balance higher than expected (missing increase/OC build)","Reported balance lower than expected (missing decrease)"))))),""))</f>
        <v/>
      </c>
    </row>
    <row r="2300" customFormat="false" ht="15" hidden="false" customHeight="false" outlineLevel="0" collapsed="false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9"/>
      <c r="L2300" s="9"/>
      <c r="M2300" s="9"/>
      <c r="N2300" s="9"/>
      <c r="O2300" s="9"/>
      <c r="P2300" s="9"/>
      <c r="Q2300" s="9"/>
      <c r="R2300" s="9" t="str">
        <f aca="false">IF(AND(A2300&lt;&gt;"",ISNUMBER(Q2300),ISNUMBER(L2300)),ROUND(Q2300-IF(ISNUMBER(N2300),N2300,0)-IF(ISNUMBER(O2300),O2300,0)+IF(ISNUMBER(P2300),P2300,0),2),"")</f>
        <v/>
      </c>
      <c r="S2300" s="9" t="str">
        <f aca="false">IF(R2300="","",ROUND(L2300-R2300,2))</f>
        <v/>
      </c>
      <c r="T2300" s="8" t="str">
        <f aca="false">IF(A2300="","",IF(S2300="","BYPASS",IF(ABS(S2300)&lt;=Summary!$B$2,"PASS","FAIL")))</f>
        <v/>
      </c>
      <c r="U2300" s="8" t="str">
        <f aca="false">IF(T2300="BYPASS",IF(NOT(ISNUMBER(Q2300)),"PreV_ETB missing","End_tr_balance missing"),IF(T2300="FAIL",IF(AND(ISNUMBER(K2300),ISNUMBER(L2300),ABS(L2300-(K2300-IF(ISNUMBER(N2300),N2300,0)-IF(ISNUMBER(O2300),O2300,0)+IF(ISNUMBER(P2300),P2300,0)))&lt;=Summary!$B$2),"Passes using beginning_balance - PreV_ETB differs from beginning_balance",IF(AND(ISNUMBER(O2300),O2300&lt;0,ABS(L2300-(Q2300-IF(ISNUMBER(N2300),N2300,0)+IF(ISNUMBER(P2300),P2300,0)))&lt;=Summary!$B$2),"Negative realized loss not applied - check sign",IF(R2300&lt;0,"Principal paid exceeds prior balance",IF(AND(L2300&gt;Q2300,NOT(ISNUMBER(P2300))),"Balance increased but no Deferred_interest reported",IF(L2300&gt;R2300,"Reported balance higher than expected (missing increase/OC build)","Reported balance lower than expected (missing decrease)"))))),""))</f>
        <v/>
      </c>
    </row>
    <row r="2301" customFormat="false" ht="15" hidden="false" customHeight="false" outlineLevel="0" collapsed="false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9"/>
      <c r="L2301" s="9"/>
      <c r="M2301" s="9"/>
      <c r="N2301" s="9"/>
      <c r="O2301" s="9"/>
      <c r="P2301" s="9"/>
      <c r="Q2301" s="9"/>
      <c r="R2301" s="9" t="str">
        <f aca="false">IF(AND(A2301&lt;&gt;"",ISNUMBER(Q2301),ISNUMBER(L2301)),ROUND(Q2301-IF(ISNUMBER(N2301),N2301,0)-IF(ISNUMBER(O2301),O2301,0)+IF(ISNUMBER(P2301),P2301,0),2),"")</f>
        <v/>
      </c>
      <c r="S2301" s="9" t="str">
        <f aca="false">IF(R2301="","",ROUND(L2301-R2301,2))</f>
        <v/>
      </c>
      <c r="T2301" s="8" t="str">
        <f aca="false">IF(A2301="","",IF(S2301="","BYPASS",IF(ABS(S2301)&lt;=Summary!$B$2,"PASS","FAIL")))</f>
        <v/>
      </c>
      <c r="U2301" s="8" t="str">
        <f aca="false">IF(T2301="BYPASS",IF(NOT(ISNUMBER(Q2301)),"PreV_ETB missing","End_tr_balance missing"),IF(T2301="FAIL",IF(AND(ISNUMBER(K2301),ISNUMBER(L2301),ABS(L2301-(K2301-IF(ISNUMBER(N2301),N2301,0)-IF(ISNUMBER(O2301),O2301,0)+IF(ISNUMBER(P2301),P2301,0)))&lt;=Summary!$B$2),"Passes using beginning_balance - PreV_ETB differs from beginning_balance",IF(AND(ISNUMBER(O2301),O2301&lt;0,ABS(L2301-(Q2301-IF(ISNUMBER(N2301),N2301,0)+IF(ISNUMBER(P2301),P2301,0)))&lt;=Summary!$B$2),"Negative realized loss not applied - check sign",IF(R2301&lt;0,"Principal paid exceeds prior balance",IF(AND(L2301&gt;Q2301,NOT(ISNUMBER(P2301))),"Balance increased but no Deferred_interest reported",IF(L2301&gt;R2301,"Reported balance higher than expected (missing increase/OC build)","Reported balance lower than expected (missing decrease)"))))),""))</f>
        <v/>
      </c>
    </row>
    <row r="2302" customFormat="false" ht="15" hidden="false" customHeight="false" outlineLevel="0" collapsed="false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9"/>
      <c r="L2302" s="9"/>
      <c r="M2302" s="9"/>
      <c r="N2302" s="9"/>
      <c r="O2302" s="9"/>
      <c r="P2302" s="9"/>
      <c r="Q2302" s="9"/>
      <c r="R2302" s="9" t="str">
        <f aca="false">IF(AND(A2302&lt;&gt;"",ISNUMBER(Q2302),ISNUMBER(L2302)),ROUND(Q2302-IF(ISNUMBER(N2302),N2302,0)-IF(ISNUMBER(O2302),O2302,0)+IF(ISNUMBER(P2302),P2302,0),2),"")</f>
        <v/>
      </c>
      <c r="S2302" s="9" t="str">
        <f aca="false">IF(R2302="","",ROUND(L2302-R2302,2))</f>
        <v/>
      </c>
      <c r="T2302" s="8" t="str">
        <f aca="false">IF(A2302="","",IF(S2302="","BYPASS",IF(ABS(S2302)&lt;=Summary!$B$2,"PASS","FAIL")))</f>
        <v/>
      </c>
      <c r="U2302" s="8" t="str">
        <f aca="false">IF(T2302="BYPASS",IF(NOT(ISNUMBER(Q2302)),"PreV_ETB missing","End_tr_balance missing"),IF(T2302="FAIL",IF(AND(ISNUMBER(K2302),ISNUMBER(L2302),ABS(L2302-(K2302-IF(ISNUMBER(N2302),N2302,0)-IF(ISNUMBER(O2302),O2302,0)+IF(ISNUMBER(P2302),P2302,0)))&lt;=Summary!$B$2),"Passes using beginning_balance - PreV_ETB differs from beginning_balance",IF(AND(ISNUMBER(O2302),O2302&lt;0,ABS(L2302-(Q2302-IF(ISNUMBER(N2302),N2302,0)+IF(ISNUMBER(P2302),P2302,0)))&lt;=Summary!$B$2),"Negative realized loss not applied - check sign",IF(R2302&lt;0,"Principal paid exceeds prior balance",IF(AND(L2302&gt;Q2302,NOT(ISNUMBER(P2302))),"Balance increased but no Deferred_interest reported",IF(L2302&gt;R2302,"Reported balance higher than expected (missing increase/OC build)","Reported balance lower than expected (missing decrease)"))))),""))</f>
        <v/>
      </c>
    </row>
    <row r="2303" customFormat="false" ht="15" hidden="false" customHeight="false" outlineLevel="0" collapsed="false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9"/>
      <c r="L2303" s="9"/>
      <c r="M2303" s="9"/>
      <c r="N2303" s="9"/>
      <c r="O2303" s="9"/>
      <c r="P2303" s="9"/>
      <c r="Q2303" s="9"/>
      <c r="R2303" s="9" t="str">
        <f aca="false">IF(AND(A2303&lt;&gt;"",ISNUMBER(Q2303),ISNUMBER(L2303)),ROUND(Q2303-IF(ISNUMBER(N2303),N2303,0)-IF(ISNUMBER(O2303),O2303,0)+IF(ISNUMBER(P2303),P2303,0),2),"")</f>
        <v/>
      </c>
      <c r="S2303" s="9" t="str">
        <f aca="false">IF(R2303="","",ROUND(L2303-R2303,2))</f>
        <v/>
      </c>
      <c r="T2303" s="8" t="str">
        <f aca="false">IF(A2303="","",IF(S2303="","BYPASS",IF(ABS(S2303)&lt;=Summary!$B$2,"PASS","FAIL")))</f>
        <v/>
      </c>
      <c r="U2303" s="8" t="str">
        <f aca="false">IF(T2303="BYPASS",IF(NOT(ISNUMBER(Q2303)),"PreV_ETB missing","End_tr_balance missing"),IF(T2303="FAIL",IF(AND(ISNUMBER(K2303),ISNUMBER(L2303),ABS(L2303-(K2303-IF(ISNUMBER(N2303),N2303,0)-IF(ISNUMBER(O2303),O2303,0)+IF(ISNUMBER(P2303),P2303,0)))&lt;=Summary!$B$2),"Passes using beginning_balance - PreV_ETB differs from beginning_balance",IF(AND(ISNUMBER(O2303),O2303&lt;0,ABS(L2303-(Q2303-IF(ISNUMBER(N2303),N2303,0)+IF(ISNUMBER(P2303),P2303,0)))&lt;=Summary!$B$2),"Negative realized loss not applied - check sign",IF(R2303&lt;0,"Principal paid exceeds prior balance",IF(AND(L2303&gt;Q2303,NOT(ISNUMBER(P2303))),"Balance increased but no Deferred_interest reported",IF(L2303&gt;R2303,"Reported balance higher than expected (missing increase/OC build)","Reported balance lower than expected (missing decrease)"))))),""))</f>
        <v/>
      </c>
    </row>
    <row r="2304" customFormat="false" ht="15" hidden="false" customHeight="false" outlineLevel="0" collapsed="false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9"/>
      <c r="L2304" s="9"/>
      <c r="M2304" s="9"/>
      <c r="N2304" s="9"/>
      <c r="O2304" s="9"/>
      <c r="P2304" s="9"/>
      <c r="Q2304" s="9"/>
      <c r="R2304" s="9" t="str">
        <f aca="false">IF(AND(A2304&lt;&gt;"",ISNUMBER(Q2304),ISNUMBER(L2304)),ROUND(Q2304-IF(ISNUMBER(N2304),N2304,0)-IF(ISNUMBER(O2304),O2304,0)+IF(ISNUMBER(P2304),P2304,0),2),"")</f>
        <v/>
      </c>
      <c r="S2304" s="9" t="str">
        <f aca="false">IF(R2304="","",ROUND(L2304-R2304,2))</f>
        <v/>
      </c>
      <c r="T2304" s="8" t="str">
        <f aca="false">IF(A2304="","",IF(S2304="","BYPASS",IF(ABS(S2304)&lt;=Summary!$B$2,"PASS","FAIL")))</f>
        <v/>
      </c>
      <c r="U2304" s="8" t="str">
        <f aca="false">IF(T2304="BYPASS",IF(NOT(ISNUMBER(Q2304)),"PreV_ETB missing","End_tr_balance missing"),IF(T2304="FAIL",IF(AND(ISNUMBER(K2304),ISNUMBER(L2304),ABS(L2304-(K2304-IF(ISNUMBER(N2304),N2304,0)-IF(ISNUMBER(O2304),O2304,0)+IF(ISNUMBER(P2304),P2304,0)))&lt;=Summary!$B$2),"Passes using beginning_balance - PreV_ETB differs from beginning_balance",IF(AND(ISNUMBER(O2304),O2304&lt;0,ABS(L2304-(Q2304-IF(ISNUMBER(N2304),N2304,0)+IF(ISNUMBER(P2304),P2304,0)))&lt;=Summary!$B$2),"Negative realized loss not applied - check sign",IF(R2304&lt;0,"Principal paid exceeds prior balance",IF(AND(L2304&gt;Q2304,NOT(ISNUMBER(P2304))),"Balance increased but no Deferred_interest reported",IF(L2304&gt;R2304,"Reported balance higher than expected (missing increase/OC build)","Reported balance lower than expected (missing decrease)"))))),""))</f>
        <v/>
      </c>
    </row>
    <row r="2305" customFormat="false" ht="15" hidden="false" customHeight="false" outlineLevel="0" collapsed="false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9"/>
      <c r="L2305" s="9"/>
      <c r="M2305" s="9"/>
      <c r="N2305" s="9"/>
      <c r="O2305" s="9"/>
      <c r="P2305" s="9"/>
      <c r="Q2305" s="9"/>
      <c r="R2305" s="9" t="str">
        <f aca="false">IF(AND(A2305&lt;&gt;"",ISNUMBER(Q2305),ISNUMBER(L2305)),ROUND(Q2305-IF(ISNUMBER(N2305),N2305,0)-IF(ISNUMBER(O2305),O2305,0)+IF(ISNUMBER(P2305),P2305,0),2),"")</f>
        <v/>
      </c>
      <c r="S2305" s="9" t="str">
        <f aca="false">IF(R2305="","",ROUND(L2305-R2305,2))</f>
        <v/>
      </c>
      <c r="T2305" s="8" t="str">
        <f aca="false">IF(A2305="","",IF(S2305="","BYPASS",IF(ABS(S2305)&lt;=Summary!$B$2,"PASS","FAIL")))</f>
        <v/>
      </c>
      <c r="U2305" s="8" t="str">
        <f aca="false">IF(T2305="BYPASS",IF(NOT(ISNUMBER(Q2305)),"PreV_ETB missing","End_tr_balance missing"),IF(T2305="FAIL",IF(AND(ISNUMBER(K2305),ISNUMBER(L2305),ABS(L2305-(K2305-IF(ISNUMBER(N2305),N2305,0)-IF(ISNUMBER(O2305),O2305,0)+IF(ISNUMBER(P2305),P2305,0)))&lt;=Summary!$B$2),"Passes using beginning_balance - PreV_ETB differs from beginning_balance",IF(AND(ISNUMBER(O2305),O2305&lt;0,ABS(L2305-(Q2305-IF(ISNUMBER(N2305),N2305,0)+IF(ISNUMBER(P2305),P2305,0)))&lt;=Summary!$B$2),"Negative realized loss not applied - check sign",IF(R2305&lt;0,"Principal paid exceeds prior balance",IF(AND(L2305&gt;Q2305,NOT(ISNUMBER(P2305))),"Balance increased but no Deferred_interest reported",IF(L2305&gt;R2305,"Reported balance higher than expected (missing increase/OC build)","Reported balance lower than expected (missing decrease)"))))),""))</f>
        <v/>
      </c>
    </row>
    <row r="2306" customFormat="false" ht="15" hidden="false" customHeight="false" outlineLevel="0" collapsed="false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9"/>
      <c r="L2306" s="9"/>
      <c r="M2306" s="9"/>
      <c r="N2306" s="9"/>
      <c r="O2306" s="9"/>
      <c r="P2306" s="9"/>
      <c r="Q2306" s="9"/>
      <c r="R2306" s="9" t="str">
        <f aca="false">IF(AND(A2306&lt;&gt;"",ISNUMBER(Q2306),ISNUMBER(L2306)),ROUND(Q2306-IF(ISNUMBER(N2306),N2306,0)-IF(ISNUMBER(O2306),O2306,0)+IF(ISNUMBER(P2306),P2306,0),2),"")</f>
        <v/>
      </c>
      <c r="S2306" s="9" t="str">
        <f aca="false">IF(R2306="","",ROUND(L2306-R2306,2))</f>
        <v/>
      </c>
      <c r="T2306" s="8" t="str">
        <f aca="false">IF(A2306="","",IF(S2306="","BYPASS",IF(ABS(S2306)&lt;=Summary!$B$2,"PASS","FAIL")))</f>
        <v/>
      </c>
      <c r="U2306" s="8" t="str">
        <f aca="false">IF(T2306="BYPASS",IF(NOT(ISNUMBER(Q2306)),"PreV_ETB missing","End_tr_balance missing"),IF(T2306="FAIL",IF(AND(ISNUMBER(K2306),ISNUMBER(L2306),ABS(L2306-(K2306-IF(ISNUMBER(N2306),N2306,0)-IF(ISNUMBER(O2306),O2306,0)+IF(ISNUMBER(P2306),P2306,0)))&lt;=Summary!$B$2),"Passes using beginning_balance - PreV_ETB differs from beginning_balance",IF(AND(ISNUMBER(O2306),O2306&lt;0,ABS(L2306-(Q2306-IF(ISNUMBER(N2306),N2306,0)+IF(ISNUMBER(P2306),P2306,0)))&lt;=Summary!$B$2),"Negative realized loss not applied - check sign",IF(R2306&lt;0,"Principal paid exceeds prior balance",IF(AND(L2306&gt;Q2306,NOT(ISNUMBER(P2306))),"Balance increased but no Deferred_interest reported",IF(L2306&gt;R2306,"Reported balance higher than expected (missing increase/OC build)","Reported balance lower than expected (missing decrease)"))))),""))</f>
        <v/>
      </c>
    </row>
    <row r="2307" customFormat="false" ht="15" hidden="false" customHeight="false" outlineLevel="0" collapsed="false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9"/>
      <c r="L2307" s="9"/>
      <c r="M2307" s="9"/>
      <c r="N2307" s="9"/>
      <c r="O2307" s="9"/>
      <c r="P2307" s="9"/>
      <c r="Q2307" s="9"/>
      <c r="R2307" s="9" t="str">
        <f aca="false">IF(AND(A2307&lt;&gt;"",ISNUMBER(Q2307),ISNUMBER(L2307)),ROUND(Q2307-IF(ISNUMBER(N2307),N2307,0)-IF(ISNUMBER(O2307),O2307,0)+IF(ISNUMBER(P2307),P2307,0),2),"")</f>
        <v/>
      </c>
      <c r="S2307" s="9" t="str">
        <f aca="false">IF(R2307="","",ROUND(L2307-R2307,2))</f>
        <v/>
      </c>
      <c r="T2307" s="8" t="str">
        <f aca="false">IF(A2307="","",IF(S2307="","BYPASS",IF(ABS(S2307)&lt;=Summary!$B$2,"PASS","FAIL")))</f>
        <v/>
      </c>
      <c r="U2307" s="8" t="str">
        <f aca="false">IF(T2307="BYPASS",IF(NOT(ISNUMBER(Q2307)),"PreV_ETB missing","End_tr_balance missing"),IF(T2307="FAIL",IF(AND(ISNUMBER(K2307),ISNUMBER(L2307),ABS(L2307-(K2307-IF(ISNUMBER(N2307),N2307,0)-IF(ISNUMBER(O2307),O2307,0)+IF(ISNUMBER(P2307),P2307,0)))&lt;=Summary!$B$2),"Passes using beginning_balance - PreV_ETB differs from beginning_balance",IF(AND(ISNUMBER(O2307),O2307&lt;0,ABS(L2307-(Q2307-IF(ISNUMBER(N2307),N2307,0)+IF(ISNUMBER(P2307),P2307,0)))&lt;=Summary!$B$2),"Negative realized loss not applied - check sign",IF(R2307&lt;0,"Principal paid exceeds prior balance",IF(AND(L2307&gt;Q2307,NOT(ISNUMBER(P2307))),"Balance increased but no Deferred_interest reported",IF(L2307&gt;R2307,"Reported balance higher than expected (missing increase/OC build)","Reported balance lower than expected (missing decrease)"))))),""))</f>
        <v/>
      </c>
    </row>
    <row r="2308" customFormat="false" ht="15" hidden="false" customHeight="false" outlineLevel="0" collapsed="false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9"/>
      <c r="L2308" s="9"/>
      <c r="M2308" s="9"/>
      <c r="N2308" s="9"/>
      <c r="O2308" s="9"/>
      <c r="P2308" s="9"/>
      <c r="Q2308" s="9"/>
      <c r="R2308" s="9" t="str">
        <f aca="false">IF(AND(A2308&lt;&gt;"",ISNUMBER(Q2308),ISNUMBER(L2308)),ROUND(Q2308-IF(ISNUMBER(N2308),N2308,0)-IF(ISNUMBER(O2308),O2308,0)+IF(ISNUMBER(P2308),P2308,0),2),"")</f>
        <v/>
      </c>
      <c r="S2308" s="9" t="str">
        <f aca="false">IF(R2308="","",ROUND(L2308-R2308,2))</f>
        <v/>
      </c>
      <c r="T2308" s="8" t="str">
        <f aca="false">IF(A2308="","",IF(S2308="","BYPASS",IF(ABS(S2308)&lt;=Summary!$B$2,"PASS","FAIL")))</f>
        <v/>
      </c>
      <c r="U2308" s="8" t="str">
        <f aca="false">IF(T2308="BYPASS",IF(NOT(ISNUMBER(Q2308)),"PreV_ETB missing","End_tr_balance missing"),IF(T2308="FAIL",IF(AND(ISNUMBER(K2308),ISNUMBER(L2308),ABS(L2308-(K2308-IF(ISNUMBER(N2308),N2308,0)-IF(ISNUMBER(O2308),O2308,0)+IF(ISNUMBER(P2308),P2308,0)))&lt;=Summary!$B$2),"Passes using beginning_balance - PreV_ETB differs from beginning_balance",IF(AND(ISNUMBER(O2308),O2308&lt;0,ABS(L2308-(Q2308-IF(ISNUMBER(N2308),N2308,0)+IF(ISNUMBER(P2308),P2308,0)))&lt;=Summary!$B$2),"Negative realized loss not applied - check sign",IF(R2308&lt;0,"Principal paid exceeds prior balance",IF(AND(L2308&gt;Q2308,NOT(ISNUMBER(P2308))),"Balance increased but no Deferred_interest reported",IF(L2308&gt;R2308,"Reported balance higher than expected (missing increase/OC build)","Reported balance lower than expected (missing decrease)"))))),""))</f>
        <v/>
      </c>
    </row>
    <row r="2309" customFormat="false" ht="15" hidden="false" customHeight="false" outlineLevel="0" collapsed="false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9"/>
      <c r="L2309" s="9"/>
      <c r="M2309" s="9"/>
      <c r="N2309" s="9"/>
      <c r="O2309" s="9"/>
      <c r="P2309" s="9"/>
      <c r="Q2309" s="9"/>
      <c r="R2309" s="9" t="str">
        <f aca="false">IF(AND(A2309&lt;&gt;"",ISNUMBER(Q2309),ISNUMBER(L2309)),ROUND(Q2309-IF(ISNUMBER(N2309),N2309,0)-IF(ISNUMBER(O2309),O2309,0)+IF(ISNUMBER(P2309),P2309,0),2),"")</f>
        <v/>
      </c>
      <c r="S2309" s="9" t="str">
        <f aca="false">IF(R2309="","",ROUND(L2309-R2309,2))</f>
        <v/>
      </c>
      <c r="T2309" s="8" t="str">
        <f aca="false">IF(A2309="","",IF(S2309="","BYPASS",IF(ABS(S2309)&lt;=Summary!$B$2,"PASS","FAIL")))</f>
        <v/>
      </c>
      <c r="U2309" s="8" t="str">
        <f aca="false">IF(T2309="BYPASS",IF(NOT(ISNUMBER(Q2309)),"PreV_ETB missing","End_tr_balance missing"),IF(T2309="FAIL",IF(AND(ISNUMBER(K2309),ISNUMBER(L2309),ABS(L2309-(K2309-IF(ISNUMBER(N2309),N2309,0)-IF(ISNUMBER(O2309),O2309,0)+IF(ISNUMBER(P2309),P2309,0)))&lt;=Summary!$B$2),"Passes using beginning_balance - PreV_ETB differs from beginning_balance",IF(AND(ISNUMBER(O2309),O2309&lt;0,ABS(L2309-(Q2309-IF(ISNUMBER(N2309),N2309,0)+IF(ISNUMBER(P2309),P2309,0)))&lt;=Summary!$B$2),"Negative realized loss not applied - check sign",IF(R2309&lt;0,"Principal paid exceeds prior balance",IF(AND(L2309&gt;Q2309,NOT(ISNUMBER(P2309))),"Balance increased but no Deferred_interest reported",IF(L2309&gt;R2309,"Reported balance higher than expected (missing increase/OC build)","Reported balance lower than expected (missing decrease)"))))),""))</f>
        <v/>
      </c>
    </row>
    <row r="2310" customFormat="false" ht="15" hidden="false" customHeight="false" outlineLevel="0" collapsed="false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9"/>
      <c r="L2310" s="9"/>
      <c r="M2310" s="9"/>
      <c r="N2310" s="9"/>
      <c r="O2310" s="9"/>
      <c r="P2310" s="9"/>
      <c r="Q2310" s="9"/>
      <c r="R2310" s="9" t="str">
        <f aca="false">IF(AND(A2310&lt;&gt;"",ISNUMBER(Q2310),ISNUMBER(L2310)),ROUND(Q2310-IF(ISNUMBER(N2310),N2310,0)-IF(ISNUMBER(O2310),O2310,0)+IF(ISNUMBER(P2310),P2310,0),2),"")</f>
        <v/>
      </c>
      <c r="S2310" s="9" t="str">
        <f aca="false">IF(R2310="","",ROUND(L2310-R2310,2))</f>
        <v/>
      </c>
      <c r="T2310" s="8" t="str">
        <f aca="false">IF(A2310="","",IF(S2310="","BYPASS",IF(ABS(S2310)&lt;=Summary!$B$2,"PASS","FAIL")))</f>
        <v/>
      </c>
      <c r="U2310" s="8" t="str">
        <f aca="false">IF(T2310="BYPASS",IF(NOT(ISNUMBER(Q2310)),"PreV_ETB missing","End_tr_balance missing"),IF(T2310="FAIL",IF(AND(ISNUMBER(K2310),ISNUMBER(L2310),ABS(L2310-(K2310-IF(ISNUMBER(N2310),N2310,0)-IF(ISNUMBER(O2310),O2310,0)+IF(ISNUMBER(P2310),P2310,0)))&lt;=Summary!$B$2),"Passes using beginning_balance - PreV_ETB differs from beginning_balance",IF(AND(ISNUMBER(O2310),O2310&lt;0,ABS(L2310-(Q2310-IF(ISNUMBER(N2310),N2310,0)+IF(ISNUMBER(P2310),P2310,0)))&lt;=Summary!$B$2),"Negative realized loss not applied - check sign",IF(R2310&lt;0,"Principal paid exceeds prior balance",IF(AND(L2310&gt;Q2310,NOT(ISNUMBER(P2310))),"Balance increased but no Deferred_interest reported",IF(L2310&gt;R2310,"Reported balance higher than expected (missing increase/OC build)","Reported balance lower than expected (missing decrease)"))))),""))</f>
        <v/>
      </c>
    </row>
    <row r="2311" customFormat="false" ht="15" hidden="false" customHeight="false" outlineLevel="0" collapsed="false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9"/>
      <c r="L2311" s="9"/>
      <c r="M2311" s="9"/>
      <c r="N2311" s="9"/>
      <c r="O2311" s="9"/>
      <c r="P2311" s="9"/>
      <c r="Q2311" s="9"/>
      <c r="R2311" s="9" t="str">
        <f aca="false">IF(AND(A2311&lt;&gt;"",ISNUMBER(Q2311),ISNUMBER(L2311)),ROUND(Q2311-IF(ISNUMBER(N2311),N2311,0)-IF(ISNUMBER(O2311),O2311,0)+IF(ISNUMBER(P2311),P2311,0),2),"")</f>
        <v/>
      </c>
      <c r="S2311" s="9" t="str">
        <f aca="false">IF(R2311="","",ROUND(L2311-R2311,2))</f>
        <v/>
      </c>
      <c r="T2311" s="8" t="str">
        <f aca="false">IF(A2311="","",IF(S2311="","BYPASS",IF(ABS(S2311)&lt;=Summary!$B$2,"PASS","FAIL")))</f>
        <v/>
      </c>
      <c r="U2311" s="8" t="str">
        <f aca="false">IF(T2311="BYPASS",IF(NOT(ISNUMBER(Q2311)),"PreV_ETB missing","End_tr_balance missing"),IF(T2311="FAIL",IF(AND(ISNUMBER(K2311),ISNUMBER(L2311),ABS(L2311-(K2311-IF(ISNUMBER(N2311),N2311,0)-IF(ISNUMBER(O2311),O2311,0)+IF(ISNUMBER(P2311),P2311,0)))&lt;=Summary!$B$2),"Passes using beginning_balance - PreV_ETB differs from beginning_balance",IF(AND(ISNUMBER(O2311),O2311&lt;0,ABS(L2311-(Q2311-IF(ISNUMBER(N2311),N2311,0)+IF(ISNUMBER(P2311),P2311,0)))&lt;=Summary!$B$2),"Negative realized loss not applied - check sign",IF(R2311&lt;0,"Principal paid exceeds prior balance",IF(AND(L2311&gt;Q2311,NOT(ISNUMBER(P2311))),"Balance increased but no Deferred_interest reported",IF(L2311&gt;R2311,"Reported balance higher than expected (missing increase/OC build)","Reported balance lower than expected (missing decrease)"))))),""))</f>
        <v/>
      </c>
    </row>
    <row r="2312" customFormat="false" ht="15" hidden="false" customHeight="false" outlineLevel="0" collapsed="false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9"/>
      <c r="L2312" s="9"/>
      <c r="M2312" s="9"/>
      <c r="N2312" s="9"/>
      <c r="O2312" s="9"/>
      <c r="P2312" s="9"/>
      <c r="Q2312" s="9"/>
      <c r="R2312" s="9" t="str">
        <f aca="false">IF(AND(A2312&lt;&gt;"",ISNUMBER(Q2312),ISNUMBER(L2312)),ROUND(Q2312-IF(ISNUMBER(N2312),N2312,0)-IF(ISNUMBER(O2312),O2312,0)+IF(ISNUMBER(P2312),P2312,0),2),"")</f>
        <v/>
      </c>
      <c r="S2312" s="9" t="str">
        <f aca="false">IF(R2312="","",ROUND(L2312-R2312,2))</f>
        <v/>
      </c>
      <c r="T2312" s="8" t="str">
        <f aca="false">IF(A2312="","",IF(S2312="","BYPASS",IF(ABS(S2312)&lt;=Summary!$B$2,"PASS","FAIL")))</f>
        <v/>
      </c>
      <c r="U2312" s="8" t="str">
        <f aca="false">IF(T2312="BYPASS",IF(NOT(ISNUMBER(Q2312)),"PreV_ETB missing","End_tr_balance missing"),IF(T2312="FAIL",IF(AND(ISNUMBER(K2312),ISNUMBER(L2312),ABS(L2312-(K2312-IF(ISNUMBER(N2312),N2312,0)-IF(ISNUMBER(O2312),O2312,0)+IF(ISNUMBER(P2312),P2312,0)))&lt;=Summary!$B$2),"Passes using beginning_balance - PreV_ETB differs from beginning_balance",IF(AND(ISNUMBER(O2312),O2312&lt;0,ABS(L2312-(Q2312-IF(ISNUMBER(N2312),N2312,0)+IF(ISNUMBER(P2312),P2312,0)))&lt;=Summary!$B$2),"Negative realized loss not applied - check sign",IF(R2312&lt;0,"Principal paid exceeds prior balance",IF(AND(L2312&gt;Q2312,NOT(ISNUMBER(P2312))),"Balance increased but no Deferred_interest reported",IF(L2312&gt;R2312,"Reported balance higher than expected (missing increase/OC build)","Reported balance lower than expected (missing decrease)"))))),""))</f>
        <v/>
      </c>
    </row>
    <row r="2313" customFormat="false" ht="15" hidden="false" customHeight="false" outlineLevel="0" collapsed="false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9"/>
      <c r="L2313" s="9"/>
      <c r="M2313" s="9"/>
      <c r="N2313" s="9"/>
      <c r="O2313" s="9"/>
      <c r="P2313" s="9"/>
      <c r="Q2313" s="9"/>
      <c r="R2313" s="9" t="str">
        <f aca="false">IF(AND(A2313&lt;&gt;"",ISNUMBER(Q2313),ISNUMBER(L2313)),ROUND(Q2313-IF(ISNUMBER(N2313),N2313,0)-IF(ISNUMBER(O2313),O2313,0)+IF(ISNUMBER(P2313),P2313,0),2),"")</f>
        <v/>
      </c>
      <c r="S2313" s="9" t="str">
        <f aca="false">IF(R2313="","",ROUND(L2313-R2313,2))</f>
        <v/>
      </c>
      <c r="T2313" s="8" t="str">
        <f aca="false">IF(A2313="","",IF(S2313="","BYPASS",IF(ABS(S2313)&lt;=Summary!$B$2,"PASS","FAIL")))</f>
        <v/>
      </c>
      <c r="U2313" s="8" t="str">
        <f aca="false">IF(T2313="BYPASS",IF(NOT(ISNUMBER(Q2313)),"PreV_ETB missing","End_tr_balance missing"),IF(T2313="FAIL",IF(AND(ISNUMBER(K2313),ISNUMBER(L2313),ABS(L2313-(K2313-IF(ISNUMBER(N2313),N2313,0)-IF(ISNUMBER(O2313),O2313,0)+IF(ISNUMBER(P2313),P2313,0)))&lt;=Summary!$B$2),"Passes using beginning_balance - PreV_ETB differs from beginning_balance",IF(AND(ISNUMBER(O2313),O2313&lt;0,ABS(L2313-(Q2313-IF(ISNUMBER(N2313),N2313,0)+IF(ISNUMBER(P2313),P2313,0)))&lt;=Summary!$B$2),"Negative realized loss not applied - check sign",IF(R2313&lt;0,"Principal paid exceeds prior balance",IF(AND(L2313&gt;Q2313,NOT(ISNUMBER(P2313))),"Balance increased but no Deferred_interest reported",IF(L2313&gt;R2313,"Reported balance higher than expected (missing increase/OC build)","Reported balance lower than expected (missing decrease)"))))),""))</f>
        <v/>
      </c>
    </row>
    <row r="2314" customFormat="false" ht="15" hidden="false" customHeight="false" outlineLevel="0" collapsed="false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9"/>
      <c r="L2314" s="9"/>
      <c r="M2314" s="9"/>
      <c r="N2314" s="9"/>
      <c r="O2314" s="9"/>
      <c r="P2314" s="9"/>
      <c r="Q2314" s="9"/>
      <c r="R2314" s="9" t="str">
        <f aca="false">IF(AND(A2314&lt;&gt;"",ISNUMBER(Q2314),ISNUMBER(L2314)),ROUND(Q2314-IF(ISNUMBER(N2314),N2314,0)-IF(ISNUMBER(O2314),O2314,0)+IF(ISNUMBER(P2314),P2314,0),2),"")</f>
        <v/>
      </c>
      <c r="S2314" s="9" t="str">
        <f aca="false">IF(R2314="","",ROUND(L2314-R2314,2))</f>
        <v/>
      </c>
      <c r="T2314" s="8" t="str">
        <f aca="false">IF(A2314="","",IF(S2314="","BYPASS",IF(ABS(S2314)&lt;=Summary!$B$2,"PASS","FAIL")))</f>
        <v/>
      </c>
      <c r="U2314" s="8" t="str">
        <f aca="false">IF(T2314="BYPASS",IF(NOT(ISNUMBER(Q2314)),"PreV_ETB missing","End_tr_balance missing"),IF(T2314="FAIL",IF(AND(ISNUMBER(K2314),ISNUMBER(L2314),ABS(L2314-(K2314-IF(ISNUMBER(N2314),N2314,0)-IF(ISNUMBER(O2314),O2314,0)+IF(ISNUMBER(P2314),P2314,0)))&lt;=Summary!$B$2),"Passes using beginning_balance - PreV_ETB differs from beginning_balance",IF(AND(ISNUMBER(O2314),O2314&lt;0,ABS(L2314-(Q2314-IF(ISNUMBER(N2314),N2314,0)+IF(ISNUMBER(P2314),P2314,0)))&lt;=Summary!$B$2),"Negative realized loss not applied - check sign",IF(R2314&lt;0,"Principal paid exceeds prior balance",IF(AND(L2314&gt;Q2314,NOT(ISNUMBER(P2314))),"Balance increased but no Deferred_interest reported",IF(L2314&gt;R2314,"Reported balance higher than expected (missing increase/OC build)","Reported balance lower than expected (missing decrease)"))))),""))</f>
        <v/>
      </c>
    </row>
    <row r="2315" customFormat="false" ht="15" hidden="false" customHeight="false" outlineLevel="0" collapsed="false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9"/>
      <c r="L2315" s="9"/>
      <c r="M2315" s="9"/>
      <c r="N2315" s="9"/>
      <c r="O2315" s="9"/>
      <c r="P2315" s="9"/>
      <c r="Q2315" s="9"/>
      <c r="R2315" s="9" t="str">
        <f aca="false">IF(AND(A2315&lt;&gt;"",ISNUMBER(Q2315),ISNUMBER(L2315)),ROUND(Q2315-IF(ISNUMBER(N2315),N2315,0)-IF(ISNUMBER(O2315),O2315,0)+IF(ISNUMBER(P2315),P2315,0),2),"")</f>
        <v/>
      </c>
      <c r="S2315" s="9" t="str">
        <f aca="false">IF(R2315="","",ROUND(L2315-R2315,2))</f>
        <v/>
      </c>
      <c r="T2315" s="8" t="str">
        <f aca="false">IF(A2315="","",IF(S2315="","BYPASS",IF(ABS(S2315)&lt;=Summary!$B$2,"PASS","FAIL")))</f>
        <v/>
      </c>
      <c r="U2315" s="8" t="str">
        <f aca="false">IF(T2315="BYPASS",IF(NOT(ISNUMBER(Q2315)),"PreV_ETB missing","End_tr_balance missing"),IF(T2315="FAIL",IF(AND(ISNUMBER(K2315),ISNUMBER(L2315),ABS(L2315-(K2315-IF(ISNUMBER(N2315),N2315,0)-IF(ISNUMBER(O2315),O2315,0)+IF(ISNUMBER(P2315),P2315,0)))&lt;=Summary!$B$2),"Passes using beginning_balance - PreV_ETB differs from beginning_balance",IF(AND(ISNUMBER(O2315),O2315&lt;0,ABS(L2315-(Q2315-IF(ISNUMBER(N2315),N2315,0)+IF(ISNUMBER(P2315),P2315,0)))&lt;=Summary!$B$2),"Negative realized loss not applied - check sign",IF(R2315&lt;0,"Principal paid exceeds prior balance",IF(AND(L2315&gt;Q2315,NOT(ISNUMBER(P2315))),"Balance increased but no Deferred_interest reported",IF(L2315&gt;R2315,"Reported balance higher than expected (missing increase/OC build)","Reported balance lower than expected (missing decrease)"))))),""))</f>
        <v/>
      </c>
    </row>
    <row r="2316" customFormat="false" ht="15" hidden="false" customHeight="false" outlineLevel="0" collapsed="false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9"/>
      <c r="L2316" s="9"/>
      <c r="M2316" s="9"/>
      <c r="N2316" s="9"/>
      <c r="O2316" s="9"/>
      <c r="P2316" s="9"/>
      <c r="Q2316" s="9"/>
      <c r="R2316" s="9" t="str">
        <f aca="false">IF(AND(A2316&lt;&gt;"",ISNUMBER(Q2316),ISNUMBER(L2316)),ROUND(Q2316-IF(ISNUMBER(N2316),N2316,0)-IF(ISNUMBER(O2316),O2316,0)+IF(ISNUMBER(P2316),P2316,0),2),"")</f>
        <v/>
      </c>
      <c r="S2316" s="9" t="str">
        <f aca="false">IF(R2316="","",ROUND(L2316-R2316,2))</f>
        <v/>
      </c>
      <c r="T2316" s="8" t="str">
        <f aca="false">IF(A2316="","",IF(S2316="","BYPASS",IF(ABS(S2316)&lt;=Summary!$B$2,"PASS","FAIL")))</f>
        <v/>
      </c>
      <c r="U2316" s="8" t="str">
        <f aca="false">IF(T2316="BYPASS",IF(NOT(ISNUMBER(Q2316)),"PreV_ETB missing","End_tr_balance missing"),IF(T2316="FAIL",IF(AND(ISNUMBER(K2316),ISNUMBER(L2316),ABS(L2316-(K2316-IF(ISNUMBER(N2316),N2316,0)-IF(ISNUMBER(O2316),O2316,0)+IF(ISNUMBER(P2316),P2316,0)))&lt;=Summary!$B$2),"Passes using beginning_balance - PreV_ETB differs from beginning_balance",IF(AND(ISNUMBER(O2316),O2316&lt;0,ABS(L2316-(Q2316-IF(ISNUMBER(N2316),N2316,0)+IF(ISNUMBER(P2316),P2316,0)))&lt;=Summary!$B$2),"Negative realized loss not applied - check sign",IF(R2316&lt;0,"Principal paid exceeds prior balance",IF(AND(L2316&gt;Q2316,NOT(ISNUMBER(P2316))),"Balance increased but no Deferred_interest reported",IF(L2316&gt;R2316,"Reported balance higher than expected (missing increase/OC build)","Reported balance lower than expected (missing decrease)"))))),""))</f>
        <v/>
      </c>
    </row>
    <row r="2317" customFormat="false" ht="15" hidden="false" customHeight="false" outlineLevel="0" collapsed="false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9"/>
      <c r="L2317" s="9"/>
      <c r="M2317" s="9"/>
      <c r="N2317" s="9"/>
      <c r="O2317" s="9"/>
      <c r="P2317" s="9"/>
      <c r="Q2317" s="9"/>
      <c r="R2317" s="9" t="str">
        <f aca="false">IF(AND(A2317&lt;&gt;"",ISNUMBER(Q2317),ISNUMBER(L2317)),ROUND(Q2317-IF(ISNUMBER(N2317),N2317,0)-IF(ISNUMBER(O2317),O2317,0)+IF(ISNUMBER(P2317),P2317,0),2),"")</f>
        <v/>
      </c>
      <c r="S2317" s="9" t="str">
        <f aca="false">IF(R2317="","",ROUND(L2317-R2317,2))</f>
        <v/>
      </c>
      <c r="T2317" s="8" t="str">
        <f aca="false">IF(A2317="","",IF(S2317="","BYPASS",IF(ABS(S2317)&lt;=Summary!$B$2,"PASS","FAIL")))</f>
        <v/>
      </c>
      <c r="U2317" s="8" t="str">
        <f aca="false">IF(T2317="BYPASS",IF(NOT(ISNUMBER(Q2317)),"PreV_ETB missing","End_tr_balance missing"),IF(T2317="FAIL",IF(AND(ISNUMBER(K2317),ISNUMBER(L2317),ABS(L2317-(K2317-IF(ISNUMBER(N2317),N2317,0)-IF(ISNUMBER(O2317),O2317,0)+IF(ISNUMBER(P2317),P2317,0)))&lt;=Summary!$B$2),"Passes using beginning_balance - PreV_ETB differs from beginning_balance",IF(AND(ISNUMBER(O2317),O2317&lt;0,ABS(L2317-(Q2317-IF(ISNUMBER(N2317),N2317,0)+IF(ISNUMBER(P2317),P2317,0)))&lt;=Summary!$B$2),"Negative realized loss not applied - check sign",IF(R2317&lt;0,"Principal paid exceeds prior balance",IF(AND(L2317&gt;Q2317,NOT(ISNUMBER(P2317))),"Balance increased but no Deferred_interest reported",IF(L2317&gt;R2317,"Reported balance higher than expected (missing increase/OC build)","Reported balance lower than expected (missing decrease)"))))),""))</f>
        <v/>
      </c>
    </row>
    <row r="2318" customFormat="false" ht="15" hidden="false" customHeight="false" outlineLevel="0" collapsed="false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9"/>
      <c r="L2318" s="9"/>
      <c r="M2318" s="9"/>
      <c r="N2318" s="9"/>
      <c r="O2318" s="9"/>
      <c r="P2318" s="9"/>
      <c r="Q2318" s="9"/>
      <c r="R2318" s="9" t="str">
        <f aca="false">IF(AND(A2318&lt;&gt;"",ISNUMBER(Q2318),ISNUMBER(L2318)),ROUND(Q2318-IF(ISNUMBER(N2318),N2318,0)-IF(ISNUMBER(O2318),O2318,0)+IF(ISNUMBER(P2318),P2318,0),2),"")</f>
        <v/>
      </c>
      <c r="S2318" s="9" t="str">
        <f aca="false">IF(R2318="","",ROUND(L2318-R2318,2))</f>
        <v/>
      </c>
      <c r="T2318" s="8" t="str">
        <f aca="false">IF(A2318="","",IF(S2318="","BYPASS",IF(ABS(S2318)&lt;=Summary!$B$2,"PASS","FAIL")))</f>
        <v/>
      </c>
      <c r="U2318" s="8" t="str">
        <f aca="false">IF(T2318="BYPASS",IF(NOT(ISNUMBER(Q2318)),"PreV_ETB missing","End_tr_balance missing"),IF(T2318="FAIL",IF(AND(ISNUMBER(K2318),ISNUMBER(L2318),ABS(L2318-(K2318-IF(ISNUMBER(N2318),N2318,0)-IF(ISNUMBER(O2318),O2318,0)+IF(ISNUMBER(P2318),P2318,0)))&lt;=Summary!$B$2),"Passes using beginning_balance - PreV_ETB differs from beginning_balance",IF(AND(ISNUMBER(O2318),O2318&lt;0,ABS(L2318-(Q2318-IF(ISNUMBER(N2318),N2318,0)+IF(ISNUMBER(P2318),P2318,0)))&lt;=Summary!$B$2),"Negative realized loss not applied - check sign",IF(R2318&lt;0,"Principal paid exceeds prior balance",IF(AND(L2318&gt;Q2318,NOT(ISNUMBER(P2318))),"Balance increased but no Deferred_interest reported",IF(L2318&gt;R2318,"Reported balance higher than expected (missing increase/OC build)","Reported balance lower than expected (missing decrease)"))))),""))</f>
        <v/>
      </c>
    </row>
    <row r="2319" customFormat="false" ht="15" hidden="false" customHeight="false" outlineLevel="0" collapsed="false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9"/>
      <c r="L2319" s="9"/>
      <c r="M2319" s="9"/>
      <c r="N2319" s="9"/>
      <c r="O2319" s="9"/>
      <c r="P2319" s="9"/>
      <c r="Q2319" s="9"/>
      <c r="R2319" s="9" t="str">
        <f aca="false">IF(AND(A2319&lt;&gt;"",ISNUMBER(Q2319),ISNUMBER(L2319)),ROUND(Q2319-IF(ISNUMBER(N2319),N2319,0)-IF(ISNUMBER(O2319),O2319,0)+IF(ISNUMBER(P2319),P2319,0),2),"")</f>
        <v/>
      </c>
      <c r="S2319" s="9" t="str">
        <f aca="false">IF(R2319="","",ROUND(L2319-R2319,2))</f>
        <v/>
      </c>
      <c r="T2319" s="8" t="str">
        <f aca="false">IF(A2319="","",IF(S2319="","BYPASS",IF(ABS(S2319)&lt;=Summary!$B$2,"PASS","FAIL")))</f>
        <v/>
      </c>
      <c r="U2319" s="8" t="str">
        <f aca="false">IF(T2319="BYPASS",IF(NOT(ISNUMBER(Q2319)),"PreV_ETB missing","End_tr_balance missing"),IF(T2319="FAIL",IF(AND(ISNUMBER(K2319),ISNUMBER(L2319),ABS(L2319-(K2319-IF(ISNUMBER(N2319),N2319,0)-IF(ISNUMBER(O2319),O2319,0)+IF(ISNUMBER(P2319),P2319,0)))&lt;=Summary!$B$2),"Passes using beginning_balance - PreV_ETB differs from beginning_balance",IF(AND(ISNUMBER(O2319),O2319&lt;0,ABS(L2319-(Q2319-IF(ISNUMBER(N2319),N2319,0)+IF(ISNUMBER(P2319),P2319,0)))&lt;=Summary!$B$2),"Negative realized loss not applied - check sign",IF(R2319&lt;0,"Principal paid exceeds prior balance",IF(AND(L2319&gt;Q2319,NOT(ISNUMBER(P2319))),"Balance increased but no Deferred_interest reported",IF(L2319&gt;R2319,"Reported balance higher than expected (missing increase/OC build)","Reported balance lower than expected (missing decrease)"))))),""))</f>
        <v/>
      </c>
    </row>
    <row r="2320" customFormat="false" ht="15" hidden="false" customHeight="false" outlineLevel="0" collapsed="false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9"/>
      <c r="L2320" s="9"/>
      <c r="M2320" s="9"/>
      <c r="N2320" s="9"/>
      <c r="O2320" s="9"/>
      <c r="P2320" s="9"/>
      <c r="Q2320" s="9"/>
      <c r="R2320" s="9" t="str">
        <f aca="false">IF(AND(A2320&lt;&gt;"",ISNUMBER(Q2320),ISNUMBER(L2320)),ROUND(Q2320-IF(ISNUMBER(N2320),N2320,0)-IF(ISNUMBER(O2320),O2320,0)+IF(ISNUMBER(P2320),P2320,0),2),"")</f>
        <v/>
      </c>
      <c r="S2320" s="9" t="str">
        <f aca="false">IF(R2320="","",ROUND(L2320-R2320,2))</f>
        <v/>
      </c>
      <c r="T2320" s="8" t="str">
        <f aca="false">IF(A2320="","",IF(S2320="","BYPASS",IF(ABS(S2320)&lt;=Summary!$B$2,"PASS","FAIL")))</f>
        <v/>
      </c>
      <c r="U2320" s="8" t="str">
        <f aca="false">IF(T2320="BYPASS",IF(NOT(ISNUMBER(Q2320)),"PreV_ETB missing","End_tr_balance missing"),IF(T2320="FAIL",IF(AND(ISNUMBER(K2320),ISNUMBER(L2320),ABS(L2320-(K2320-IF(ISNUMBER(N2320),N2320,0)-IF(ISNUMBER(O2320),O2320,0)+IF(ISNUMBER(P2320),P2320,0)))&lt;=Summary!$B$2),"Passes using beginning_balance - PreV_ETB differs from beginning_balance",IF(AND(ISNUMBER(O2320),O2320&lt;0,ABS(L2320-(Q2320-IF(ISNUMBER(N2320),N2320,0)+IF(ISNUMBER(P2320),P2320,0)))&lt;=Summary!$B$2),"Negative realized loss not applied - check sign",IF(R2320&lt;0,"Principal paid exceeds prior balance",IF(AND(L2320&gt;Q2320,NOT(ISNUMBER(P2320))),"Balance increased but no Deferred_interest reported",IF(L2320&gt;R2320,"Reported balance higher than expected (missing increase/OC build)","Reported balance lower than expected (missing decrease)"))))),""))</f>
        <v/>
      </c>
    </row>
    <row r="2321" customFormat="false" ht="15" hidden="false" customHeight="false" outlineLevel="0" collapsed="false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9"/>
      <c r="L2321" s="9"/>
      <c r="M2321" s="9"/>
      <c r="N2321" s="9"/>
      <c r="O2321" s="9"/>
      <c r="P2321" s="9"/>
      <c r="Q2321" s="9"/>
      <c r="R2321" s="9" t="str">
        <f aca="false">IF(AND(A2321&lt;&gt;"",ISNUMBER(Q2321),ISNUMBER(L2321)),ROUND(Q2321-IF(ISNUMBER(N2321),N2321,0)-IF(ISNUMBER(O2321),O2321,0)+IF(ISNUMBER(P2321),P2321,0),2),"")</f>
        <v/>
      </c>
      <c r="S2321" s="9" t="str">
        <f aca="false">IF(R2321="","",ROUND(L2321-R2321,2))</f>
        <v/>
      </c>
      <c r="T2321" s="8" t="str">
        <f aca="false">IF(A2321="","",IF(S2321="","BYPASS",IF(ABS(S2321)&lt;=Summary!$B$2,"PASS","FAIL")))</f>
        <v/>
      </c>
      <c r="U2321" s="8" t="str">
        <f aca="false">IF(T2321="BYPASS",IF(NOT(ISNUMBER(Q2321)),"PreV_ETB missing","End_tr_balance missing"),IF(T2321="FAIL",IF(AND(ISNUMBER(K2321),ISNUMBER(L2321),ABS(L2321-(K2321-IF(ISNUMBER(N2321),N2321,0)-IF(ISNUMBER(O2321),O2321,0)+IF(ISNUMBER(P2321),P2321,0)))&lt;=Summary!$B$2),"Passes using beginning_balance - PreV_ETB differs from beginning_balance",IF(AND(ISNUMBER(O2321),O2321&lt;0,ABS(L2321-(Q2321-IF(ISNUMBER(N2321),N2321,0)+IF(ISNUMBER(P2321),P2321,0)))&lt;=Summary!$B$2),"Negative realized loss not applied - check sign",IF(R2321&lt;0,"Principal paid exceeds prior balance",IF(AND(L2321&gt;Q2321,NOT(ISNUMBER(P2321))),"Balance increased but no Deferred_interest reported",IF(L2321&gt;R2321,"Reported balance higher than expected (missing increase/OC build)","Reported balance lower than expected (missing decrease)"))))),""))</f>
        <v/>
      </c>
    </row>
    <row r="2322" customFormat="false" ht="15" hidden="false" customHeight="false" outlineLevel="0" collapsed="false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9"/>
      <c r="L2322" s="9"/>
      <c r="M2322" s="9"/>
      <c r="N2322" s="9"/>
      <c r="O2322" s="9"/>
      <c r="P2322" s="9"/>
      <c r="Q2322" s="9"/>
      <c r="R2322" s="9" t="str">
        <f aca="false">IF(AND(A2322&lt;&gt;"",ISNUMBER(Q2322),ISNUMBER(L2322)),ROUND(Q2322-IF(ISNUMBER(N2322),N2322,0)-IF(ISNUMBER(O2322),O2322,0)+IF(ISNUMBER(P2322),P2322,0),2),"")</f>
        <v/>
      </c>
      <c r="S2322" s="9" t="str">
        <f aca="false">IF(R2322="","",ROUND(L2322-R2322,2))</f>
        <v/>
      </c>
      <c r="T2322" s="8" t="str">
        <f aca="false">IF(A2322="","",IF(S2322="","BYPASS",IF(ABS(S2322)&lt;=Summary!$B$2,"PASS","FAIL")))</f>
        <v/>
      </c>
      <c r="U2322" s="8" t="str">
        <f aca="false">IF(T2322="BYPASS",IF(NOT(ISNUMBER(Q2322)),"PreV_ETB missing","End_tr_balance missing"),IF(T2322="FAIL",IF(AND(ISNUMBER(K2322),ISNUMBER(L2322),ABS(L2322-(K2322-IF(ISNUMBER(N2322),N2322,0)-IF(ISNUMBER(O2322),O2322,0)+IF(ISNUMBER(P2322),P2322,0)))&lt;=Summary!$B$2),"Passes using beginning_balance - PreV_ETB differs from beginning_balance",IF(AND(ISNUMBER(O2322),O2322&lt;0,ABS(L2322-(Q2322-IF(ISNUMBER(N2322),N2322,0)+IF(ISNUMBER(P2322),P2322,0)))&lt;=Summary!$B$2),"Negative realized loss not applied - check sign",IF(R2322&lt;0,"Principal paid exceeds prior balance",IF(AND(L2322&gt;Q2322,NOT(ISNUMBER(P2322))),"Balance increased but no Deferred_interest reported",IF(L2322&gt;R2322,"Reported balance higher than expected (missing increase/OC build)","Reported balance lower than expected (missing decrease)"))))),""))</f>
        <v/>
      </c>
    </row>
    <row r="2323" customFormat="false" ht="15" hidden="false" customHeight="false" outlineLevel="0" collapsed="false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9"/>
      <c r="L2323" s="9"/>
      <c r="M2323" s="9"/>
      <c r="N2323" s="9"/>
      <c r="O2323" s="9"/>
      <c r="P2323" s="9"/>
      <c r="Q2323" s="9"/>
      <c r="R2323" s="9" t="str">
        <f aca="false">IF(AND(A2323&lt;&gt;"",ISNUMBER(Q2323),ISNUMBER(L2323)),ROUND(Q2323-IF(ISNUMBER(N2323),N2323,0)-IF(ISNUMBER(O2323),O2323,0)+IF(ISNUMBER(P2323),P2323,0),2),"")</f>
        <v/>
      </c>
      <c r="S2323" s="9" t="str">
        <f aca="false">IF(R2323="","",ROUND(L2323-R2323,2))</f>
        <v/>
      </c>
      <c r="T2323" s="8" t="str">
        <f aca="false">IF(A2323="","",IF(S2323="","BYPASS",IF(ABS(S2323)&lt;=Summary!$B$2,"PASS","FAIL")))</f>
        <v/>
      </c>
      <c r="U2323" s="8" t="str">
        <f aca="false">IF(T2323="BYPASS",IF(NOT(ISNUMBER(Q2323)),"PreV_ETB missing","End_tr_balance missing"),IF(T2323="FAIL",IF(AND(ISNUMBER(K2323),ISNUMBER(L2323),ABS(L2323-(K2323-IF(ISNUMBER(N2323),N2323,0)-IF(ISNUMBER(O2323),O2323,0)+IF(ISNUMBER(P2323),P2323,0)))&lt;=Summary!$B$2),"Passes using beginning_balance - PreV_ETB differs from beginning_balance",IF(AND(ISNUMBER(O2323),O2323&lt;0,ABS(L2323-(Q2323-IF(ISNUMBER(N2323),N2323,0)+IF(ISNUMBER(P2323),P2323,0)))&lt;=Summary!$B$2),"Negative realized loss not applied - check sign",IF(R2323&lt;0,"Principal paid exceeds prior balance",IF(AND(L2323&gt;Q2323,NOT(ISNUMBER(P2323))),"Balance increased but no Deferred_interest reported",IF(L2323&gt;R2323,"Reported balance higher than expected (missing increase/OC build)","Reported balance lower than expected (missing decrease)"))))),""))</f>
        <v/>
      </c>
    </row>
    <row r="2324" customFormat="false" ht="15" hidden="false" customHeight="false" outlineLevel="0" collapsed="false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9"/>
      <c r="L2324" s="9"/>
      <c r="M2324" s="9"/>
      <c r="N2324" s="9"/>
      <c r="O2324" s="9"/>
      <c r="P2324" s="9"/>
      <c r="Q2324" s="9"/>
      <c r="R2324" s="9" t="str">
        <f aca="false">IF(AND(A2324&lt;&gt;"",ISNUMBER(Q2324),ISNUMBER(L2324)),ROUND(Q2324-IF(ISNUMBER(N2324),N2324,0)-IF(ISNUMBER(O2324),O2324,0)+IF(ISNUMBER(P2324),P2324,0),2),"")</f>
        <v/>
      </c>
      <c r="S2324" s="9" t="str">
        <f aca="false">IF(R2324="","",ROUND(L2324-R2324,2))</f>
        <v/>
      </c>
      <c r="T2324" s="8" t="str">
        <f aca="false">IF(A2324="","",IF(S2324="","BYPASS",IF(ABS(S2324)&lt;=Summary!$B$2,"PASS","FAIL")))</f>
        <v/>
      </c>
      <c r="U2324" s="8" t="str">
        <f aca="false">IF(T2324="BYPASS",IF(NOT(ISNUMBER(Q2324)),"PreV_ETB missing","End_tr_balance missing"),IF(T2324="FAIL",IF(AND(ISNUMBER(K2324),ISNUMBER(L2324),ABS(L2324-(K2324-IF(ISNUMBER(N2324),N2324,0)-IF(ISNUMBER(O2324),O2324,0)+IF(ISNUMBER(P2324),P2324,0)))&lt;=Summary!$B$2),"Passes using beginning_balance - PreV_ETB differs from beginning_balance",IF(AND(ISNUMBER(O2324),O2324&lt;0,ABS(L2324-(Q2324-IF(ISNUMBER(N2324),N2324,0)+IF(ISNUMBER(P2324),P2324,0)))&lt;=Summary!$B$2),"Negative realized loss not applied - check sign",IF(R2324&lt;0,"Principal paid exceeds prior balance",IF(AND(L2324&gt;Q2324,NOT(ISNUMBER(P2324))),"Balance increased but no Deferred_interest reported",IF(L2324&gt;R2324,"Reported balance higher than expected (missing increase/OC build)","Reported balance lower than expected (missing decrease)"))))),""))</f>
        <v/>
      </c>
    </row>
    <row r="2325" customFormat="false" ht="15" hidden="false" customHeight="false" outlineLevel="0" collapsed="false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9"/>
      <c r="L2325" s="9"/>
      <c r="M2325" s="9"/>
      <c r="N2325" s="9"/>
      <c r="O2325" s="9"/>
      <c r="P2325" s="9"/>
      <c r="Q2325" s="9"/>
      <c r="R2325" s="9" t="str">
        <f aca="false">IF(AND(A2325&lt;&gt;"",ISNUMBER(Q2325),ISNUMBER(L2325)),ROUND(Q2325-IF(ISNUMBER(N2325),N2325,0)-IF(ISNUMBER(O2325),O2325,0)+IF(ISNUMBER(P2325),P2325,0),2),"")</f>
        <v/>
      </c>
      <c r="S2325" s="9" t="str">
        <f aca="false">IF(R2325="","",ROUND(L2325-R2325,2))</f>
        <v/>
      </c>
      <c r="T2325" s="8" t="str">
        <f aca="false">IF(A2325="","",IF(S2325="","BYPASS",IF(ABS(S2325)&lt;=Summary!$B$2,"PASS","FAIL")))</f>
        <v/>
      </c>
      <c r="U2325" s="8" t="str">
        <f aca="false">IF(T2325="BYPASS",IF(NOT(ISNUMBER(Q2325)),"PreV_ETB missing","End_tr_balance missing"),IF(T2325="FAIL",IF(AND(ISNUMBER(K2325),ISNUMBER(L2325),ABS(L2325-(K2325-IF(ISNUMBER(N2325),N2325,0)-IF(ISNUMBER(O2325),O2325,0)+IF(ISNUMBER(P2325),P2325,0)))&lt;=Summary!$B$2),"Passes using beginning_balance - PreV_ETB differs from beginning_balance",IF(AND(ISNUMBER(O2325),O2325&lt;0,ABS(L2325-(Q2325-IF(ISNUMBER(N2325),N2325,0)+IF(ISNUMBER(P2325),P2325,0)))&lt;=Summary!$B$2),"Negative realized loss not applied - check sign",IF(R2325&lt;0,"Principal paid exceeds prior balance",IF(AND(L2325&gt;Q2325,NOT(ISNUMBER(P2325))),"Balance increased but no Deferred_interest reported",IF(L2325&gt;R2325,"Reported balance higher than expected (missing increase/OC build)","Reported balance lower than expected (missing decrease)"))))),""))</f>
        <v/>
      </c>
    </row>
    <row r="2326" customFormat="false" ht="15" hidden="false" customHeight="false" outlineLevel="0" collapsed="false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9"/>
      <c r="L2326" s="9"/>
      <c r="M2326" s="9"/>
      <c r="N2326" s="9"/>
      <c r="O2326" s="9"/>
      <c r="P2326" s="9"/>
      <c r="Q2326" s="9"/>
      <c r="R2326" s="9" t="str">
        <f aca="false">IF(AND(A2326&lt;&gt;"",ISNUMBER(Q2326),ISNUMBER(L2326)),ROUND(Q2326-IF(ISNUMBER(N2326),N2326,0)-IF(ISNUMBER(O2326),O2326,0)+IF(ISNUMBER(P2326),P2326,0),2),"")</f>
        <v/>
      </c>
      <c r="S2326" s="9" t="str">
        <f aca="false">IF(R2326="","",ROUND(L2326-R2326,2))</f>
        <v/>
      </c>
      <c r="T2326" s="8" t="str">
        <f aca="false">IF(A2326="","",IF(S2326="","BYPASS",IF(ABS(S2326)&lt;=Summary!$B$2,"PASS","FAIL")))</f>
        <v/>
      </c>
      <c r="U2326" s="8" t="str">
        <f aca="false">IF(T2326="BYPASS",IF(NOT(ISNUMBER(Q2326)),"PreV_ETB missing","End_tr_balance missing"),IF(T2326="FAIL",IF(AND(ISNUMBER(K2326),ISNUMBER(L2326),ABS(L2326-(K2326-IF(ISNUMBER(N2326),N2326,0)-IF(ISNUMBER(O2326),O2326,0)+IF(ISNUMBER(P2326),P2326,0)))&lt;=Summary!$B$2),"Passes using beginning_balance - PreV_ETB differs from beginning_balance",IF(AND(ISNUMBER(O2326),O2326&lt;0,ABS(L2326-(Q2326-IF(ISNUMBER(N2326),N2326,0)+IF(ISNUMBER(P2326),P2326,0)))&lt;=Summary!$B$2),"Negative realized loss not applied - check sign",IF(R2326&lt;0,"Principal paid exceeds prior balance",IF(AND(L2326&gt;Q2326,NOT(ISNUMBER(P2326))),"Balance increased but no Deferred_interest reported",IF(L2326&gt;R2326,"Reported balance higher than expected (missing increase/OC build)","Reported balance lower than expected (missing decrease)"))))),""))</f>
        <v/>
      </c>
    </row>
    <row r="2327" customFormat="false" ht="15" hidden="false" customHeight="false" outlineLevel="0" collapsed="false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9"/>
      <c r="L2327" s="9"/>
      <c r="M2327" s="9"/>
      <c r="N2327" s="9"/>
      <c r="O2327" s="9"/>
      <c r="P2327" s="9"/>
      <c r="Q2327" s="9"/>
      <c r="R2327" s="9" t="str">
        <f aca="false">IF(AND(A2327&lt;&gt;"",ISNUMBER(Q2327),ISNUMBER(L2327)),ROUND(Q2327-IF(ISNUMBER(N2327),N2327,0)-IF(ISNUMBER(O2327),O2327,0)+IF(ISNUMBER(P2327),P2327,0),2),"")</f>
        <v/>
      </c>
      <c r="S2327" s="9" t="str">
        <f aca="false">IF(R2327="","",ROUND(L2327-R2327,2))</f>
        <v/>
      </c>
      <c r="T2327" s="8" t="str">
        <f aca="false">IF(A2327="","",IF(S2327="","BYPASS",IF(ABS(S2327)&lt;=Summary!$B$2,"PASS","FAIL")))</f>
        <v/>
      </c>
      <c r="U2327" s="8" t="str">
        <f aca="false">IF(T2327="BYPASS",IF(NOT(ISNUMBER(Q2327)),"PreV_ETB missing","End_tr_balance missing"),IF(T2327="FAIL",IF(AND(ISNUMBER(K2327),ISNUMBER(L2327),ABS(L2327-(K2327-IF(ISNUMBER(N2327),N2327,0)-IF(ISNUMBER(O2327),O2327,0)+IF(ISNUMBER(P2327),P2327,0)))&lt;=Summary!$B$2),"Passes using beginning_balance - PreV_ETB differs from beginning_balance",IF(AND(ISNUMBER(O2327),O2327&lt;0,ABS(L2327-(Q2327-IF(ISNUMBER(N2327),N2327,0)+IF(ISNUMBER(P2327),P2327,0)))&lt;=Summary!$B$2),"Negative realized loss not applied - check sign",IF(R2327&lt;0,"Principal paid exceeds prior balance",IF(AND(L2327&gt;Q2327,NOT(ISNUMBER(P2327))),"Balance increased but no Deferred_interest reported",IF(L2327&gt;R2327,"Reported balance higher than expected (missing increase/OC build)","Reported balance lower than expected (missing decrease)"))))),""))</f>
        <v/>
      </c>
    </row>
    <row r="2328" customFormat="false" ht="15" hidden="false" customHeight="false" outlineLevel="0" collapsed="false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9"/>
      <c r="L2328" s="9"/>
      <c r="M2328" s="9"/>
      <c r="N2328" s="9"/>
      <c r="O2328" s="9"/>
      <c r="P2328" s="9"/>
      <c r="Q2328" s="9"/>
      <c r="R2328" s="9" t="str">
        <f aca="false">IF(AND(A2328&lt;&gt;"",ISNUMBER(Q2328),ISNUMBER(L2328)),ROUND(Q2328-IF(ISNUMBER(N2328),N2328,0)-IF(ISNUMBER(O2328),O2328,0)+IF(ISNUMBER(P2328),P2328,0),2),"")</f>
        <v/>
      </c>
      <c r="S2328" s="9" t="str">
        <f aca="false">IF(R2328="","",ROUND(L2328-R2328,2))</f>
        <v/>
      </c>
      <c r="T2328" s="8" t="str">
        <f aca="false">IF(A2328="","",IF(S2328="","BYPASS",IF(ABS(S2328)&lt;=Summary!$B$2,"PASS","FAIL")))</f>
        <v/>
      </c>
      <c r="U2328" s="8" t="str">
        <f aca="false">IF(T2328="BYPASS",IF(NOT(ISNUMBER(Q2328)),"PreV_ETB missing","End_tr_balance missing"),IF(T2328="FAIL",IF(AND(ISNUMBER(K2328),ISNUMBER(L2328),ABS(L2328-(K2328-IF(ISNUMBER(N2328),N2328,0)-IF(ISNUMBER(O2328),O2328,0)+IF(ISNUMBER(P2328),P2328,0)))&lt;=Summary!$B$2),"Passes using beginning_balance - PreV_ETB differs from beginning_balance",IF(AND(ISNUMBER(O2328),O2328&lt;0,ABS(L2328-(Q2328-IF(ISNUMBER(N2328),N2328,0)+IF(ISNUMBER(P2328),P2328,0)))&lt;=Summary!$B$2),"Negative realized loss not applied - check sign",IF(R2328&lt;0,"Principal paid exceeds prior balance",IF(AND(L2328&gt;Q2328,NOT(ISNUMBER(P2328))),"Balance increased but no Deferred_interest reported",IF(L2328&gt;R2328,"Reported balance higher than expected (missing increase/OC build)","Reported balance lower than expected (missing decrease)"))))),""))</f>
        <v/>
      </c>
    </row>
    <row r="2329" customFormat="false" ht="15" hidden="false" customHeight="false" outlineLevel="0" collapsed="false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9"/>
      <c r="L2329" s="9"/>
      <c r="M2329" s="9"/>
      <c r="N2329" s="9"/>
      <c r="O2329" s="9"/>
      <c r="P2329" s="9"/>
      <c r="Q2329" s="9"/>
      <c r="R2329" s="9" t="str">
        <f aca="false">IF(AND(A2329&lt;&gt;"",ISNUMBER(Q2329),ISNUMBER(L2329)),ROUND(Q2329-IF(ISNUMBER(N2329),N2329,0)-IF(ISNUMBER(O2329),O2329,0)+IF(ISNUMBER(P2329),P2329,0),2),"")</f>
        <v/>
      </c>
      <c r="S2329" s="9" t="str">
        <f aca="false">IF(R2329="","",ROUND(L2329-R2329,2))</f>
        <v/>
      </c>
      <c r="T2329" s="8" t="str">
        <f aca="false">IF(A2329="","",IF(S2329="","BYPASS",IF(ABS(S2329)&lt;=Summary!$B$2,"PASS","FAIL")))</f>
        <v/>
      </c>
      <c r="U2329" s="8" t="str">
        <f aca="false">IF(T2329="BYPASS",IF(NOT(ISNUMBER(Q2329)),"PreV_ETB missing","End_tr_balance missing"),IF(T2329="FAIL",IF(AND(ISNUMBER(K2329),ISNUMBER(L2329),ABS(L2329-(K2329-IF(ISNUMBER(N2329),N2329,0)-IF(ISNUMBER(O2329),O2329,0)+IF(ISNUMBER(P2329),P2329,0)))&lt;=Summary!$B$2),"Passes using beginning_balance - PreV_ETB differs from beginning_balance",IF(AND(ISNUMBER(O2329),O2329&lt;0,ABS(L2329-(Q2329-IF(ISNUMBER(N2329),N2329,0)+IF(ISNUMBER(P2329),P2329,0)))&lt;=Summary!$B$2),"Negative realized loss not applied - check sign",IF(R2329&lt;0,"Principal paid exceeds prior balance",IF(AND(L2329&gt;Q2329,NOT(ISNUMBER(P2329))),"Balance increased but no Deferred_interest reported",IF(L2329&gt;R2329,"Reported balance higher than expected (missing increase/OC build)","Reported balance lower than expected (missing decrease)"))))),""))</f>
        <v/>
      </c>
    </row>
    <row r="2330" customFormat="false" ht="15" hidden="false" customHeight="false" outlineLevel="0" collapsed="false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9"/>
      <c r="L2330" s="9"/>
      <c r="M2330" s="9"/>
      <c r="N2330" s="9"/>
      <c r="O2330" s="9"/>
      <c r="P2330" s="9"/>
      <c r="Q2330" s="9"/>
      <c r="R2330" s="9" t="str">
        <f aca="false">IF(AND(A2330&lt;&gt;"",ISNUMBER(Q2330),ISNUMBER(L2330)),ROUND(Q2330-IF(ISNUMBER(N2330),N2330,0)-IF(ISNUMBER(O2330),O2330,0)+IF(ISNUMBER(P2330),P2330,0),2),"")</f>
        <v/>
      </c>
      <c r="S2330" s="9" t="str">
        <f aca="false">IF(R2330="","",ROUND(L2330-R2330,2))</f>
        <v/>
      </c>
      <c r="T2330" s="8" t="str">
        <f aca="false">IF(A2330="","",IF(S2330="","BYPASS",IF(ABS(S2330)&lt;=Summary!$B$2,"PASS","FAIL")))</f>
        <v/>
      </c>
      <c r="U2330" s="8" t="str">
        <f aca="false">IF(T2330="BYPASS",IF(NOT(ISNUMBER(Q2330)),"PreV_ETB missing","End_tr_balance missing"),IF(T2330="FAIL",IF(AND(ISNUMBER(K2330),ISNUMBER(L2330),ABS(L2330-(K2330-IF(ISNUMBER(N2330),N2330,0)-IF(ISNUMBER(O2330),O2330,0)+IF(ISNUMBER(P2330),P2330,0)))&lt;=Summary!$B$2),"Passes using beginning_balance - PreV_ETB differs from beginning_balance",IF(AND(ISNUMBER(O2330),O2330&lt;0,ABS(L2330-(Q2330-IF(ISNUMBER(N2330),N2330,0)+IF(ISNUMBER(P2330),P2330,0)))&lt;=Summary!$B$2),"Negative realized loss not applied - check sign",IF(R2330&lt;0,"Principal paid exceeds prior balance",IF(AND(L2330&gt;Q2330,NOT(ISNUMBER(P2330))),"Balance increased but no Deferred_interest reported",IF(L2330&gt;R2330,"Reported balance higher than expected (missing increase/OC build)","Reported balance lower than expected (missing decrease)"))))),""))</f>
        <v/>
      </c>
    </row>
    <row r="2331" customFormat="false" ht="15" hidden="false" customHeight="false" outlineLevel="0" collapsed="false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9"/>
      <c r="L2331" s="9"/>
      <c r="M2331" s="9"/>
      <c r="N2331" s="9"/>
      <c r="O2331" s="9"/>
      <c r="P2331" s="9"/>
      <c r="Q2331" s="9"/>
      <c r="R2331" s="9" t="str">
        <f aca="false">IF(AND(A2331&lt;&gt;"",ISNUMBER(Q2331),ISNUMBER(L2331)),ROUND(Q2331-IF(ISNUMBER(N2331),N2331,0)-IF(ISNUMBER(O2331),O2331,0)+IF(ISNUMBER(P2331),P2331,0),2),"")</f>
        <v/>
      </c>
      <c r="S2331" s="9" t="str">
        <f aca="false">IF(R2331="","",ROUND(L2331-R2331,2))</f>
        <v/>
      </c>
      <c r="T2331" s="8" t="str">
        <f aca="false">IF(A2331="","",IF(S2331="","BYPASS",IF(ABS(S2331)&lt;=Summary!$B$2,"PASS","FAIL")))</f>
        <v/>
      </c>
      <c r="U2331" s="8" t="str">
        <f aca="false">IF(T2331="BYPASS",IF(NOT(ISNUMBER(Q2331)),"PreV_ETB missing","End_tr_balance missing"),IF(T2331="FAIL",IF(AND(ISNUMBER(K2331),ISNUMBER(L2331),ABS(L2331-(K2331-IF(ISNUMBER(N2331),N2331,0)-IF(ISNUMBER(O2331),O2331,0)+IF(ISNUMBER(P2331),P2331,0)))&lt;=Summary!$B$2),"Passes using beginning_balance - PreV_ETB differs from beginning_balance",IF(AND(ISNUMBER(O2331),O2331&lt;0,ABS(L2331-(Q2331-IF(ISNUMBER(N2331),N2331,0)+IF(ISNUMBER(P2331),P2331,0)))&lt;=Summary!$B$2),"Negative realized loss not applied - check sign",IF(R2331&lt;0,"Principal paid exceeds prior balance",IF(AND(L2331&gt;Q2331,NOT(ISNUMBER(P2331))),"Balance increased but no Deferred_interest reported",IF(L2331&gt;R2331,"Reported balance higher than expected (missing increase/OC build)","Reported balance lower than expected (missing decrease)"))))),""))</f>
        <v/>
      </c>
    </row>
    <row r="2332" customFormat="false" ht="15" hidden="false" customHeight="false" outlineLevel="0" collapsed="false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9"/>
      <c r="L2332" s="9"/>
      <c r="M2332" s="9"/>
      <c r="N2332" s="9"/>
      <c r="O2332" s="9"/>
      <c r="P2332" s="9"/>
      <c r="Q2332" s="9"/>
      <c r="R2332" s="9" t="str">
        <f aca="false">IF(AND(A2332&lt;&gt;"",ISNUMBER(Q2332),ISNUMBER(L2332)),ROUND(Q2332-IF(ISNUMBER(N2332),N2332,0)-IF(ISNUMBER(O2332),O2332,0)+IF(ISNUMBER(P2332),P2332,0),2),"")</f>
        <v/>
      </c>
      <c r="S2332" s="9" t="str">
        <f aca="false">IF(R2332="","",ROUND(L2332-R2332,2))</f>
        <v/>
      </c>
      <c r="T2332" s="8" t="str">
        <f aca="false">IF(A2332="","",IF(S2332="","BYPASS",IF(ABS(S2332)&lt;=Summary!$B$2,"PASS","FAIL")))</f>
        <v/>
      </c>
      <c r="U2332" s="8" t="str">
        <f aca="false">IF(T2332="BYPASS",IF(NOT(ISNUMBER(Q2332)),"PreV_ETB missing","End_tr_balance missing"),IF(T2332="FAIL",IF(AND(ISNUMBER(K2332),ISNUMBER(L2332),ABS(L2332-(K2332-IF(ISNUMBER(N2332),N2332,0)-IF(ISNUMBER(O2332),O2332,0)+IF(ISNUMBER(P2332),P2332,0)))&lt;=Summary!$B$2),"Passes using beginning_balance - PreV_ETB differs from beginning_balance",IF(AND(ISNUMBER(O2332),O2332&lt;0,ABS(L2332-(Q2332-IF(ISNUMBER(N2332),N2332,0)+IF(ISNUMBER(P2332),P2332,0)))&lt;=Summary!$B$2),"Negative realized loss not applied - check sign",IF(R2332&lt;0,"Principal paid exceeds prior balance",IF(AND(L2332&gt;Q2332,NOT(ISNUMBER(P2332))),"Balance increased but no Deferred_interest reported",IF(L2332&gt;R2332,"Reported balance higher than expected (missing increase/OC build)","Reported balance lower than expected (missing decrease)"))))),""))</f>
        <v/>
      </c>
    </row>
    <row r="2333" customFormat="false" ht="15" hidden="false" customHeight="false" outlineLevel="0" collapsed="false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9"/>
      <c r="L2333" s="9"/>
      <c r="M2333" s="9"/>
      <c r="N2333" s="9"/>
      <c r="O2333" s="9"/>
      <c r="P2333" s="9"/>
      <c r="Q2333" s="9"/>
      <c r="R2333" s="9" t="str">
        <f aca="false">IF(AND(A2333&lt;&gt;"",ISNUMBER(Q2333),ISNUMBER(L2333)),ROUND(Q2333-IF(ISNUMBER(N2333),N2333,0)-IF(ISNUMBER(O2333),O2333,0)+IF(ISNUMBER(P2333),P2333,0),2),"")</f>
        <v/>
      </c>
      <c r="S2333" s="9" t="str">
        <f aca="false">IF(R2333="","",ROUND(L2333-R2333,2))</f>
        <v/>
      </c>
      <c r="T2333" s="8" t="str">
        <f aca="false">IF(A2333="","",IF(S2333="","BYPASS",IF(ABS(S2333)&lt;=Summary!$B$2,"PASS","FAIL")))</f>
        <v/>
      </c>
      <c r="U2333" s="8" t="str">
        <f aca="false">IF(T2333="BYPASS",IF(NOT(ISNUMBER(Q2333)),"PreV_ETB missing","End_tr_balance missing"),IF(T2333="FAIL",IF(AND(ISNUMBER(K2333),ISNUMBER(L2333),ABS(L2333-(K2333-IF(ISNUMBER(N2333),N2333,0)-IF(ISNUMBER(O2333),O2333,0)+IF(ISNUMBER(P2333),P2333,0)))&lt;=Summary!$B$2),"Passes using beginning_balance - PreV_ETB differs from beginning_balance",IF(AND(ISNUMBER(O2333),O2333&lt;0,ABS(L2333-(Q2333-IF(ISNUMBER(N2333),N2333,0)+IF(ISNUMBER(P2333),P2333,0)))&lt;=Summary!$B$2),"Negative realized loss not applied - check sign",IF(R2333&lt;0,"Principal paid exceeds prior balance",IF(AND(L2333&gt;Q2333,NOT(ISNUMBER(P2333))),"Balance increased but no Deferred_interest reported",IF(L2333&gt;R2333,"Reported balance higher than expected (missing increase/OC build)","Reported balance lower than expected (missing decrease)"))))),""))</f>
        <v/>
      </c>
    </row>
    <row r="2334" customFormat="false" ht="15" hidden="false" customHeight="false" outlineLevel="0" collapsed="false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9"/>
      <c r="L2334" s="9"/>
      <c r="M2334" s="9"/>
      <c r="N2334" s="9"/>
      <c r="O2334" s="9"/>
      <c r="P2334" s="9"/>
      <c r="Q2334" s="9"/>
      <c r="R2334" s="9" t="str">
        <f aca="false">IF(AND(A2334&lt;&gt;"",ISNUMBER(Q2334),ISNUMBER(L2334)),ROUND(Q2334-IF(ISNUMBER(N2334),N2334,0)-IF(ISNUMBER(O2334),O2334,0)+IF(ISNUMBER(P2334),P2334,0),2),"")</f>
        <v/>
      </c>
      <c r="S2334" s="9" t="str">
        <f aca="false">IF(R2334="","",ROUND(L2334-R2334,2))</f>
        <v/>
      </c>
      <c r="T2334" s="8" t="str">
        <f aca="false">IF(A2334="","",IF(S2334="","BYPASS",IF(ABS(S2334)&lt;=Summary!$B$2,"PASS","FAIL")))</f>
        <v/>
      </c>
      <c r="U2334" s="8" t="str">
        <f aca="false">IF(T2334="BYPASS",IF(NOT(ISNUMBER(Q2334)),"PreV_ETB missing","End_tr_balance missing"),IF(T2334="FAIL",IF(AND(ISNUMBER(K2334),ISNUMBER(L2334),ABS(L2334-(K2334-IF(ISNUMBER(N2334),N2334,0)-IF(ISNUMBER(O2334),O2334,0)+IF(ISNUMBER(P2334),P2334,0)))&lt;=Summary!$B$2),"Passes using beginning_balance - PreV_ETB differs from beginning_balance",IF(AND(ISNUMBER(O2334),O2334&lt;0,ABS(L2334-(Q2334-IF(ISNUMBER(N2334),N2334,0)+IF(ISNUMBER(P2334),P2334,0)))&lt;=Summary!$B$2),"Negative realized loss not applied - check sign",IF(R2334&lt;0,"Principal paid exceeds prior balance",IF(AND(L2334&gt;Q2334,NOT(ISNUMBER(P2334))),"Balance increased but no Deferred_interest reported",IF(L2334&gt;R2334,"Reported balance higher than expected (missing increase/OC build)","Reported balance lower than expected (missing decrease)"))))),""))</f>
        <v/>
      </c>
    </row>
    <row r="2335" customFormat="false" ht="15" hidden="false" customHeight="false" outlineLevel="0" collapsed="false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9"/>
      <c r="L2335" s="9"/>
      <c r="M2335" s="9"/>
      <c r="N2335" s="9"/>
      <c r="O2335" s="9"/>
      <c r="P2335" s="9"/>
      <c r="Q2335" s="9"/>
      <c r="R2335" s="9" t="str">
        <f aca="false">IF(AND(A2335&lt;&gt;"",ISNUMBER(Q2335),ISNUMBER(L2335)),ROUND(Q2335-IF(ISNUMBER(N2335),N2335,0)-IF(ISNUMBER(O2335),O2335,0)+IF(ISNUMBER(P2335),P2335,0),2),"")</f>
        <v/>
      </c>
      <c r="S2335" s="9" t="str">
        <f aca="false">IF(R2335="","",ROUND(L2335-R2335,2))</f>
        <v/>
      </c>
      <c r="T2335" s="8" t="str">
        <f aca="false">IF(A2335="","",IF(S2335="","BYPASS",IF(ABS(S2335)&lt;=Summary!$B$2,"PASS","FAIL")))</f>
        <v/>
      </c>
      <c r="U2335" s="8" t="str">
        <f aca="false">IF(T2335="BYPASS",IF(NOT(ISNUMBER(Q2335)),"PreV_ETB missing","End_tr_balance missing"),IF(T2335="FAIL",IF(AND(ISNUMBER(K2335),ISNUMBER(L2335),ABS(L2335-(K2335-IF(ISNUMBER(N2335),N2335,0)-IF(ISNUMBER(O2335),O2335,0)+IF(ISNUMBER(P2335),P2335,0)))&lt;=Summary!$B$2),"Passes using beginning_balance - PreV_ETB differs from beginning_balance",IF(AND(ISNUMBER(O2335),O2335&lt;0,ABS(L2335-(Q2335-IF(ISNUMBER(N2335),N2335,0)+IF(ISNUMBER(P2335),P2335,0)))&lt;=Summary!$B$2),"Negative realized loss not applied - check sign",IF(R2335&lt;0,"Principal paid exceeds prior balance",IF(AND(L2335&gt;Q2335,NOT(ISNUMBER(P2335))),"Balance increased but no Deferred_interest reported",IF(L2335&gt;R2335,"Reported balance higher than expected (missing increase/OC build)","Reported balance lower than expected (missing decrease)"))))),""))</f>
        <v/>
      </c>
    </row>
    <row r="2336" customFormat="false" ht="15" hidden="false" customHeight="false" outlineLevel="0" collapsed="false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9"/>
      <c r="L2336" s="9"/>
      <c r="M2336" s="9"/>
      <c r="N2336" s="9"/>
      <c r="O2336" s="9"/>
      <c r="P2336" s="9"/>
      <c r="Q2336" s="9"/>
      <c r="R2336" s="9" t="str">
        <f aca="false">IF(AND(A2336&lt;&gt;"",ISNUMBER(Q2336),ISNUMBER(L2336)),ROUND(Q2336-IF(ISNUMBER(N2336),N2336,0)-IF(ISNUMBER(O2336),O2336,0)+IF(ISNUMBER(P2336),P2336,0),2),"")</f>
        <v/>
      </c>
      <c r="S2336" s="9" t="str">
        <f aca="false">IF(R2336="","",ROUND(L2336-R2336,2))</f>
        <v/>
      </c>
      <c r="T2336" s="8" t="str">
        <f aca="false">IF(A2336="","",IF(S2336="","BYPASS",IF(ABS(S2336)&lt;=Summary!$B$2,"PASS","FAIL")))</f>
        <v/>
      </c>
      <c r="U2336" s="8" t="str">
        <f aca="false">IF(T2336="BYPASS",IF(NOT(ISNUMBER(Q2336)),"PreV_ETB missing","End_tr_balance missing"),IF(T2336="FAIL",IF(AND(ISNUMBER(K2336),ISNUMBER(L2336),ABS(L2336-(K2336-IF(ISNUMBER(N2336),N2336,0)-IF(ISNUMBER(O2336),O2336,0)+IF(ISNUMBER(P2336),P2336,0)))&lt;=Summary!$B$2),"Passes using beginning_balance - PreV_ETB differs from beginning_balance",IF(AND(ISNUMBER(O2336),O2336&lt;0,ABS(L2336-(Q2336-IF(ISNUMBER(N2336),N2336,0)+IF(ISNUMBER(P2336),P2336,0)))&lt;=Summary!$B$2),"Negative realized loss not applied - check sign",IF(R2336&lt;0,"Principal paid exceeds prior balance",IF(AND(L2336&gt;Q2336,NOT(ISNUMBER(P2336))),"Balance increased but no Deferred_interest reported",IF(L2336&gt;R2336,"Reported balance higher than expected (missing increase/OC build)","Reported balance lower than expected (missing decrease)"))))),""))</f>
        <v/>
      </c>
    </row>
    <row r="2337" customFormat="false" ht="15" hidden="false" customHeight="false" outlineLevel="0" collapsed="false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9"/>
      <c r="L2337" s="9"/>
      <c r="M2337" s="9"/>
      <c r="N2337" s="9"/>
      <c r="O2337" s="9"/>
      <c r="P2337" s="9"/>
      <c r="Q2337" s="9"/>
      <c r="R2337" s="9" t="str">
        <f aca="false">IF(AND(A2337&lt;&gt;"",ISNUMBER(Q2337),ISNUMBER(L2337)),ROUND(Q2337-IF(ISNUMBER(N2337),N2337,0)-IF(ISNUMBER(O2337),O2337,0)+IF(ISNUMBER(P2337),P2337,0),2),"")</f>
        <v/>
      </c>
      <c r="S2337" s="9" t="str">
        <f aca="false">IF(R2337="","",ROUND(L2337-R2337,2))</f>
        <v/>
      </c>
      <c r="T2337" s="8" t="str">
        <f aca="false">IF(A2337="","",IF(S2337="","BYPASS",IF(ABS(S2337)&lt;=Summary!$B$2,"PASS","FAIL")))</f>
        <v/>
      </c>
      <c r="U2337" s="8" t="str">
        <f aca="false">IF(T2337="BYPASS",IF(NOT(ISNUMBER(Q2337)),"PreV_ETB missing","End_tr_balance missing"),IF(T2337="FAIL",IF(AND(ISNUMBER(K2337),ISNUMBER(L2337),ABS(L2337-(K2337-IF(ISNUMBER(N2337),N2337,0)-IF(ISNUMBER(O2337),O2337,0)+IF(ISNUMBER(P2337),P2337,0)))&lt;=Summary!$B$2),"Passes using beginning_balance - PreV_ETB differs from beginning_balance",IF(AND(ISNUMBER(O2337),O2337&lt;0,ABS(L2337-(Q2337-IF(ISNUMBER(N2337),N2337,0)+IF(ISNUMBER(P2337),P2337,0)))&lt;=Summary!$B$2),"Negative realized loss not applied - check sign",IF(R2337&lt;0,"Principal paid exceeds prior balance",IF(AND(L2337&gt;Q2337,NOT(ISNUMBER(P2337))),"Balance increased but no Deferred_interest reported",IF(L2337&gt;R2337,"Reported balance higher than expected (missing increase/OC build)","Reported balance lower than expected (missing decrease)"))))),""))</f>
        <v/>
      </c>
    </row>
    <row r="2338" customFormat="false" ht="15" hidden="false" customHeight="false" outlineLevel="0" collapsed="false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9"/>
      <c r="L2338" s="9"/>
      <c r="M2338" s="9"/>
      <c r="N2338" s="9"/>
      <c r="O2338" s="9"/>
      <c r="P2338" s="9"/>
      <c r="Q2338" s="9"/>
      <c r="R2338" s="9" t="str">
        <f aca="false">IF(AND(A2338&lt;&gt;"",ISNUMBER(Q2338),ISNUMBER(L2338)),ROUND(Q2338-IF(ISNUMBER(N2338),N2338,0)-IF(ISNUMBER(O2338),O2338,0)+IF(ISNUMBER(P2338),P2338,0),2),"")</f>
        <v/>
      </c>
      <c r="S2338" s="9" t="str">
        <f aca="false">IF(R2338="","",ROUND(L2338-R2338,2))</f>
        <v/>
      </c>
      <c r="T2338" s="8" t="str">
        <f aca="false">IF(A2338="","",IF(S2338="","BYPASS",IF(ABS(S2338)&lt;=Summary!$B$2,"PASS","FAIL")))</f>
        <v/>
      </c>
      <c r="U2338" s="8" t="str">
        <f aca="false">IF(T2338="BYPASS",IF(NOT(ISNUMBER(Q2338)),"PreV_ETB missing","End_tr_balance missing"),IF(T2338="FAIL",IF(AND(ISNUMBER(K2338),ISNUMBER(L2338),ABS(L2338-(K2338-IF(ISNUMBER(N2338),N2338,0)-IF(ISNUMBER(O2338),O2338,0)+IF(ISNUMBER(P2338),P2338,0)))&lt;=Summary!$B$2),"Passes using beginning_balance - PreV_ETB differs from beginning_balance",IF(AND(ISNUMBER(O2338),O2338&lt;0,ABS(L2338-(Q2338-IF(ISNUMBER(N2338),N2338,0)+IF(ISNUMBER(P2338),P2338,0)))&lt;=Summary!$B$2),"Negative realized loss not applied - check sign",IF(R2338&lt;0,"Principal paid exceeds prior balance",IF(AND(L2338&gt;Q2338,NOT(ISNUMBER(P2338))),"Balance increased but no Deferred_interest reported",IF(L2338&gt;R2338,"Reported balance higher than expected (missing increase/OC build)","Reported balance lower than expected (missing decrease)"))))),""))</f>
        <v/>
      </c>
    </row>
    <row r="2339" customFormat="false" ht="15" hidden="false" customHeight="false" outlineLevel="0" collapsed="false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9"/>
      <c r="L2339" s="9"/>
      <c r="M2339" s="9"/>
      <c r="N2339" s="9"/>
      <c r="O2339" s="9"/>
      <c r="P2339" s="9"/>
      <c r="Q2339" s="9"/>
      <c r="R2339" s="9" t="str">
        <f aca="false">IF(AND(A2339&lt;&gt;"",ISNUMBER(Q2339),ISNUMBER(L2339)),ROUND(Q2339-IF(ISNUMBER(N2339),N2339,0)-IF(ISNUMBER(O2339),O2339,0)+IF(ISNUMBER(P2339),P2339,0),2),"")</f>
        <v/>
      </c>
      <c r="S2339" s="9" t="str">
        <f aca="false">IF(R2339="","",ROUND(L2339-R2339,2))</f>
        <v/>
      </c>
      <c r="T2339" s="8" t="str">
        <f aca="false">IF(A2339="","",IF(S2339="","BYPASS",IF(ABS(S2339)&lt;=Summary!$B$2,"PASS","FAIL")))</f>
        <v/>
      </c>
      <c r="U2339" s="8" t="str">
        <f aca="false">IF(T2339="BYPASS",IF(NOT(ISNUMBER(Q2339)),"PreV_ETB missing","End_tr_balance missing"),IF(T2339="FAIL",IF(AND(ISNUMBER(K2339),ISNUMBER(L2339),ABS(L2339-(K2339-IF(ISNUMBER(N2339),N2339,0)-IF(ISNUMBER(O2339),O2339,0)+IF(ISNUMBER(P2339),P2339,0)))&lt;=Summary!$B$2),"Passes using beginning_balance - PreV_ETB differs from beginning_balance",IF(AND(ISNUMBER(O2339),O2339&lt;0,ABS(L2339-(Q2339-IF(ISNUMBER(N2339),N2339,0)+IF(ISNUMBER(P2339),P2339,0)))&lt;=Summary!$B$2),"Negative realized loss not applied - check sign",IF(R2339&lt;0,"Principal paid exceeds prior balance",IF(AND(L2339&gt;Q2339,NOT(ISNUMBER(P2339))),"Balance increased but no Deferred_interest reported",IF(L2339&gt;R2339,"Reported balance higher than expected (missing increase/OC build)","Reported balance lower than expected (missing decrease)"))))),""))</f>
        <v/>
      </c>
    </row>
    <row r="2340" customFormat="false" ht="15" hidden="false" customHeight="false" outlineLevel="0" collapsed="false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9"/>
      <c r="L2340" s="9"/>
      <c r="M2340" s="9"/>
      <c r="N2340" s="9"/>
      <c r="O2340" s="9"/>
      <c r="P2340" s="9"/>
      <c r="Q2340" s="9"/>
      <c r="R2340" s="9" t="str">
        <f aca="false">IF(AND(A2340&lt;&gt;"",ISNUMBER(Q2340),ISNUMBER(L2340)),ROUND(Q2340-IF(ISNUMBER(N2340),N2340,0)-IF(ISNUMBER(O2340),O2340,0)+IF(ISNUMBER(P2340),P2340,0),2),"")</f>
        <v/>
      </c>
      <c r="S2340" s="9" t="str">
        <f aca="false">IF(R2340="","",ROUND(L2340-R2340,2))</f>
        <v/>
      </c>
      <c r="T2340" s="8" t="str">
        <f aca="false">IF(A2340="","",IF(S2340="","BYPASS",IF(ABS(S2340)&lt;=Summary!$B$2,"PASS","FAIL")))</f>
        <v/>
      </c>
      <c r="U2340" s="8" t="str">
        <f aca="false">IF(T2340="BYPASS",IF(NOT(ISNUMBER(Q2340)),"PreV_ETB missing","End_tr_balance missing"),IF(T2340="FAIL",IF(AND(ISNUMBER(K2340),ISNUMBER(L2340),ABS(L2340-(K2340-IF(ISNUMBER(N2340),N2340,0)-IF(ISNUMBER(O2340),O2340,0)+IF(ISNUMBER(P2340),P2340,0)))&lt;=Summary!$B$2),"Passes using beginning_balance - PreV_ETB differs from beginning_balance",IF(AND(ISNUMBER(O2340),O2340&lt;0,ABS(L2340-(Q2340-IF(ISNUMBER(N2340),N2340,0)+IF(ISNUMBER(P2340),P2340,0)))&lt;=Summary!$B$2),"Negative realized loss not applied - check sign",IF(R2340&lt;0,"Principal paid exceeds prior balance",IF(AND(L2340&gt;Q2340,NOT(ISNUMBER(P2340))),"Balance increased but no Deferred_interest reported",IF(L2340&gt;R2340,"Reported balance higher than expected (missing increase/OC build)","Reported balance lower than expected (missing decrease)"))))),""))</f>
        <v/>
      </c>
    </row>
    <row r="2341" customFormat="false" ht="15" hidden="false" customHeight="false" outlineLevel="0" collapsed="false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9"/>
      <c r="L2341" s="9"/>
      <c r="M2341" s="9"/>
      <c r="N2341" s="9"/>
      <c r="O2341" s="9"/>
      <c r="P2341" s="9"/>
      <c r="Q2341" s="9"/>
      <c r="R2341" s="9" t="str">
        <f aca="false">IF(AND(A2341&lt;&gt;"",ISNUMBER(Q2341),ISNUMBER(L2341)),ROUND(Q2341-IF(ISNUMBER(N2341),N2341,0)-IF(ISNUMBER(O2341),O2341,0)+IF(ISNUMBER(P2341),P2341,0),2),"")</f>
        <v/>
      </c>
      <c r="S2341" s="9" t="str">
        <f aca="false">IF(R2341="","",ROUND(L2341-R2341,2))</f>
        <v/>
      </c>
      <c r="T2341" s="8" t="str">
        <f aca="false">IF(A2341="","",IF(S2341="","BYPASS",IF(ABS(S2341)&lt;=Summary!$B$2,"PASS","FAIL")))</f>
        <v/>
      </c>
      <c r="U2341" s="8" t="str">
        <f aca="false">IF(T2341="BYPASS",IF(NOT(ISNUMBER(Q2341)),"PreV_ETB missing","End_tr_balance missing"),IF(T2341="FAIL",IF(AND(ISNUMBER(K2341),ISNUMBER(L2341),ABS(L2341-(K2341-IF(ISNUMBER(N2341),N2341,0)-IF(ISNUMBER(O2341),O2341,0)+IF(ISNUMBER(P2341),P2341,0)))&lt;=Summary!$B$2),"Passes using beginning_balance - PreV_ETB differs from beginning_balance",IF(AND(ISNUMBER(O2341),O2341&lt;0,ABS(L2341-(Q2341-IF(ISNUMBER(N2341),N2341,0)+IF(ISNUMBER(P2341),P2341,0)))&lt;=Summary!$B$2),"Negative realized loss not applied - check sign",IF(R2341&lt;0,"Principal paid exceeds prior balance",IF(AND(L2341&gt;Q2341,NOT(ISNUMBER(P2341))),"Balance increased but no Deferred_interest reported",IF(L2341&gt;R2341,"Reported balance higher than expected (missing increase/OC build)","Reported balance lower than expected (missing decrease)"))))),""))</f>
        <v/>
      </c>
    </row>
    <row r="2342" customFormat="false" ht="15" hidden="false" customHeight="false" outlineLevel="0" collapsed="false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9"/>
      <c r="L2342" s="9"/>
      <c r="M2342" s="9"/>
      <c r="N2342" s="9"/>
      <c r="O2342" s="9"/>
      <c r="P2342" s="9"/>
      <c r="Q2342" s="9"/>
      <c r="R2342" s="9" t="str">
        <f aca="false">IF(AND(A2342&lt;&gt;"",ISNUMBER(Q2342),ISNUMBER(L2342)),ROUND(Q2342-IF(ISNUMBER(N2342),N2342,0)-IF(ISNUMBER(O2342),O2342,0)+IF(ISNUMBER(P2342),P2342,0),2),"")</f>
        <v/>
      </c>
      <c r="S2342" s="9" t="str">
        <f aca="false">IF(R2342="","",ROUND(L2342-R2342,2))</f>
        <v/>
      </c>
      <c r="T2342" s="8" t="str">
        <f aca="false">IF(A2342="","",IF(S2342="","BYPASS",IF(ABS(S2342)&lt;=Summary!$B$2,"PASS","FAIL")))</f>
        <v/>
      </c>
      <c r="U2342" s="8" t="str">
        <f aca="false">IF(T2342="BYPASS",IF(NOT(ISNUMBER(Q2342)),"PreV_ETB missing","End_tr_balance missing"),IF(T2342="FAIL",IF(AND(ISNUMBER(K2342),ISNUMBER(L2342),ABS(L2342-(K2342-IF(ISNUMBER(N2342),N2342,0)-IF(ISNUMBER(O2342),O2342,0)+IF(ISNUMBER(P2342),P2342,0)))&lt;=Summary!$B$2),"Passes using beginning_balance - PreV_ETB differs from beginning_balance",IF(AND(ISNUMBER(O2342),O2342&lt;0,ABS(L2342-(Q2342-IF(ISNUMBER(N2342),N2342,0)+IF(ISNUMBER(P2342),P2342,0)))&lt;=Summary!$B$2),"Negative realized loss not applied - check sign",IF(R2342&lt;0,"Principal paid exceeds prior balance",IF(AND(L2342&gt;Q2342,NOT(ISNUMBER(P2342))),"Balance increased but no Deferred_interest reported",IF(L2342&gt;R2342,"Reported balance higher than expected (missing increase/OC build)","Reported balance lower than expected (missing decrease)"))))),""))</f>
        <v/>
      </c>
    </row>
    <row r="2343" customFormat="false" ht="15" hidden="false" customHeight="false" outlineLevel="0" collapsed="false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9"/>
      <c r="L2343" s="9"/>
      <c r="M2343" s="9"/>
      <c r="N2343" s="9"/>
      <c r="O2343" s="9"/>
      <c r="P2343" s="9"/>
      <c r="Q2343" s="9"/>
      <c r="R2343" s="9" t="str">
        <f aca="false">IF(AND(A2343&lt;&gt;"",ISNUMBER(Q2343),ISNUMBER(L2343)),ROUND(Q2343-IF(ISNUMBER(N2343),N2343,0)-IF(ISNUMBER(O2343),O2343,0)+IF(ISNUMBER(P2343),P2343,0),2),"")</f>
        <v/>
      </c>
      <c r="S2343" s="9" t="str">
        <f aca="false">IF(R2343="","",ROUND(L2343-R2343,2))</f>
        <v/>
      </c>
      <c r="T2343" s="8" t="str">
        <f aca="false">IF(A2343="","",IF(S2343="","BYPASS",IF(ABS(S2343)&lt;=Summary!$B$2,"PASS","FAIL")))</f>
        <v/>
      </c>
      <c r="U2343" s="8" t="str">
        <f aca="false">IF(T2343="BYPASS",IF(NOT(ISNUMBER(Q2343)),"PreV_ETB missing","End_tr_balance missing"),IF(T2343="FAIL",IF(AND(ISNUMBER(K2343),ISNUMBER(L2343),ABS(L2343-(K2343-IF(ISNUMBER(N2343),N2343,0)-IF(ISNUMBER(O2343),O2343,0)+IF(ISNUMBER(P2343),P2343,0)))&lt;=Summary!$B$2),"Passes using beginning_balance - PreV_ETB differs from beginning_balance",IF(AND(ISNUMBER(O2343),O2343&lt;0,ABS(L2343-(Q2343-IF(ISNUMBER(N2343),N2343,0)+IF(ISNUMBER(P2343),P2343,0)))&lt;=Summary!$B$2),"Negative realized loss not applied - check sign",IF(R2343&lt;0,"Principal paid exceeds prior balance",IF(AND(L2343&gt;Q2343,NOT(ISNUMBER(P2343))),"Balance increased but no Deferred_interest reported",IF(L2343&gt;R2343,"Reported balance higher than expected (missing increase/OC build)","Reported balance lower than expected (missing decrease)"))))),""))</f>
        <v/>
      </c>
    </row>
    <row r="2344" customFormat="false" ht="15" hidden="false" customHeight="false" outlineLevel="0" collapsed="false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9"/>
      <c r="L2344" s="9"/>
      <c r="M2344" s="9"/>
      <c r="N2344" s="9"/>
      <c r="O2344" s="9"/>
      <c r="P2344" s="9"/>
      <c r="Q2344" s="9"/>
      <c r="R2344" s="9" t="str">
        <f aca="false">IF(AND(A2344&lt;&gt;"",ISNUMBER(Q2344),ISNUMBER(L2344)),ROUND(Q2344-IF(ISNUMBER(N2344),N2344,0)-IF(ISNUMBER(O2344),O2344,0)+IF(ISNUMBER(P2344),P2344,0),2),"")</f>
        <v/>
      </c>
      <c r="S2344" s="9" t="str">
        <f aca="false">IF(R2344="","",ROUND(L2344-R2344,2))</f>
        <v/>
      </c>
      <c r="T2344" s="8" t="str">
        <f aca="false">IF(A2344="","",IF(S2344="","BYPASS",IF(ABS(S2344)&lt;=Summary!$B$2,"PASS","FAIL")))</f>
        <v/>
      </c>
      <c r="U2344" s="8" t="str">
        <f aca="false">IF(T2344="BYPASS",IF(NOT(ISNUMBER(Q2344)),"PreV_ETB missing","End_tr_balance missing"),IF(T2344="FAIL",IF(AND(ISNUMBER(K2344),ISNUMBER(L2344),ABS(L2344-(K2344-IF(ISNUMBER(N2344),N2344,0)-IF(ISNUMBER(O2344),O2344,0)+IF(ISNUMBER(P2344),P2344,0)))&lt;=Summary!$B$2),"Passes using beginning_balance - PreV_ETB differs from beginning_balance",IF(AND(ISNUMBER(O2344),O2344&lt;0,ABS(L2344-(Q2344-IF(ISNUMBER(N2344),N2344,0)+IF(ISNUMBER(P2344),P2344,0)))&lt;=Summary!$B$2),"Negative realized loss not applied - check sign",IF(R2344&lt;0,"Principal paid exceeds prior balance",IF(AND(L2344&gt;Q2344,NOT(ISNUMBER(P2344))),"Balance increased but no Deferred_interest reported",IF(L2344&gt;R2344,"Reported balance higher than expected (missing increase/OC build)","Reported balance lower than expected (missing decrease)"))))),""))</f>
        <v/>
      </c>
    </row>
    <row r="2345" customFormat="false" ht="15" hidden="false" customHeight="false" outlineLevel="0" collapsed="false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9"/>
      <c r="L2345" s="9"/>
      <c r="M2345" s="9"/>
      <c r="N2345" s="9"/>
      <c r="O2345" s="9"/>
      <c r="P2345" s="9"/>
      <c r="Q2345" s="9"/>
      <c r="R2345" s="9" t="str">
        <f aca="false">IF(AND(A2345&lt;&gt;"",ISNUMBER(Q2345),ISNUMBER(L2345)),ROUND(Q2345-IF(ISNUMBER(N2345),N2345,0)-IF(ISNUMBER(O2345),O2345,0)+IF(ISNUMBER(P2345),P2345,0),2),"")</f>
        <v/>
      </c>
      <c r="S2345" s="9" t="str">
        <f aca="false">IF(R2345="","",ROUND(L2345-R2345,2))</f>
        <v/>
      </c>
      <c r="T2345" s="8" t="str">
        <f aca="false">IF(A2345="","",IF(S2345="","BYPASS",IF(ABS(S2345)&lt;=Summary!$B$2,"PASS","FAIL")))</f>
        <v/>
      </c>
      <c r="U2345" s="8" t="str">
        <f aca="false">IF(T2345="BYPASS",IF(NOT(ISNUMBER(Q2345)),"PreV_ETB missing","End_tr_balance missing"),IF(T2345="FAIL",IF(AND(ISNUMBER(K2345),ISNUMBER(L2345),ABS(L2345-(K2345-IF(ISNUMBER(N2345),N2345,0)-IF(ISNUMBER(O2345),O2345,0)+IF(ISNUMBER(P2345),P2345,0)))&lt;=Summary!$B$2),"Passes using beginning_balance - PreV_ETB differs from beginning_balance",IF(AND(ISNUMBER(O2345),O2345&lt;0,ABS(L2345-(Q2345-IF(ISNUMBER(N2345),N2345,0)+IF(ISNUMBER(P2345),P2345,0)))&lt;=Summary!$B$2),"Negative realized loss not applied - check sign",IF(R2345&lt;0,"Principal paid exceeds prior balance",IF(AND(L2345&gt;Q2345,NOT(ISNUMBER(P2345))),"Balance increased but no Deferred_interest reported",IF(L2345&gt;R2345,"Reported balance higher than expected (missing increase/OC build)","Reported balance lower than expected (missing decrease)"))))),""))</f>
        <v/>
      </c>
    </row>
    <row r="2346" customFormat="false" ht="15" hidden="false" customHeight="false" outlineLevel="0" collapsed="false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9"/>
      <c r="L2346" s="9"/>
      <c r="M2346" s="9"/>
      <c r="N2346" s="9"/>
      <c r="O2346" s="9"/>
      <c r="P2346" s="9"/>
      <c r="Q2346" s="9"/>
      <c r="R2346" s="9" t="str">
        <f aca="false">IF(AND(A2346&lt;&gt;"",ISNUMBER(Q2346),ISNUMBER(L2346)),ROUND(Q2346-IF(ISNUMBER(N2346),N2346,0)-IF(ISNUMBER(O2346),O2346,0)+IF(ISNUMBER(P2346),P2346,0),2),"")</f>
        <v/>
      </c>
      <c r="S2346" s="9" t="str">
        <f aca="false">IF(R2346="","",ROUND(L2346-R2346,2))</f>
        <v/>
      </c>
      <c r="T2346" s="8" t="str">
        <f aca="false">IF(A2346="","",IF(S2346="","BYPASS",IF(ABS(S2346)&lt;=Summary!$B$2,"PASS","FAIL")))</f>
        <v/>
      </c>
      <c r="U2346" s="8" t="str">
        <f aca="false">IF(T2346="BYPASS",IF(NOT(ISNUMBER(Q2346)),"PreV_ETB missing","End_tr_balance missing"),IF(T2346="FAIL",IF(AND(ISNUMBER(K2346),ISNUMBER(L2346),ABS(L2346-(K2346-IF(ISNUMBER(N2346),N2346,0)-IF(ISNUMBER(O2346),O2346,0)+IF(ISNUMBER(P2346),P2346,0)))&lt;=Summary!$B$2),"Passes using beginning_balance - PreV_ETB differs from beginning_balance",IF(AND(ISNUMBER(O2346),O2346&lt;0,ABS(L2346-(Q2346-IF(ISNUMBER(N2346),N2346,0)+IF(ISNUMBER(P2346),P2346,0)))&lt;=Summary!$B$2),"Negative realized loss not applied - check sign",IF(R2346&lt;0,"Principal paid exceeds prior balance",IF(AND(L2346&gt;Q2346,NOT(ISNUMBER(P2346))),"Balance increased but no Deferred_interest reported",IF(L2346&gt;R2346,"Reported balance higher than expected (missing increase/OC build)","Reported balance lower than expected (missing decrease)"))))),""))</f>
        <v/>
      </c>
    </row>
    <row r="2347" customFormat="false" ht="15" hidden="false" customHeight="false" outlineLevel="0" collapsed="false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9"/>
      <c r="L2347" s="9"/>
      <c r="M2347" s="9"/>
      <c r="N2347" s="9"/>
      <c r="O2347" s="9"/>
      <c r="P2347" s="9"/>
      <c r="Q2347" s="9"/>
      <c r="R2347" s="9" t="str">
        <f aca="false">IF(AND(A2347&lt;&gt;"",ISNUMBER(Q2347),ISNUMBER(L2347)),ROUND(Q2347-IF(ISNUMBER(N2347),N2347,0)-IF(ISNUMBER(O2347),O2347,0)+IF(ISNUMBER(P2347),P2347,0),2),"")</f>
        <v/>
      </c>
      <c r="S2347" s="9" t="str">
        <f aca="false">IF(R2347="","",ROUND(L2347-R2347,2))</f>
        <v/>
      </c>
      <c r="T2347" s="8" t="str">
        <f aca="false">IF(A2347="","",IF(S2347="","BYPASS",IF(ABS(S2347)&lt;=Summary!$B$2,"PASS","FAIL")))</f>
        <v/>
      </c>
      <c r="U2347" s="8" t="str">
        <f aca="false">IF(T2347="BYPASS",IF(NOT(ISNUMBER(Q2347)),"PreV_ETB missing","End_tr_balance missing"),IF(T2347="FAIL",IF(AND(ISNUMBER(K2347),ISNUMBER(L2347),ABS(L2347-(K2347-IF(ISNUMBER(N2347),N2347,0)-IF(ISNUMBER(O2347),O2347,0)+IF(ISNUMBER(P2347),P2347,0)))&lt;=Summary!$B$2),"Passes using beginning_balance - PreV_ETB differs from beginning_balance",IF(AND(ISNUMBER(O2347),O2347&lt;0,ABS(L2347-(Q2347-IF(ISNUMBER(N2347),N2347,0)+IF(ISNUMBER(P2347),P2347,0)))&lt;=Summary!$B$2),"Negative realized loss not applied - check sign",IF(R2347&lt;0,"Principal paid exceeds prior balance",IF(AND(L2347&gt;Q2347,NOT(ISNUMBER(P2347))),"Balance increased but no Deferred_interest reported",IF(L2347&gt;R2347,"Reported balance higher than expected (missing increase/OC build)","Reported balance lower than expected (missing decrease)"))))),""))</f>
        <v/>
      </c>
    </row>
    <row r="2348" customFormat="false" ht="15" hidden="false" customHeight="false" outlineLevel="0" collapsed="false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9"/>
      <c r="L2348" s="9"/>
      <c r="M2348" s="9"/>
      <c r="N2348" s="9"/>
      <c r="O2348" s="9"/>
      <c r="P2348" s="9"/>
      <c r="Q2348" s="9"/>
      <c r="R2348" s="9" t="str">
        <f aca="false">IF(AND(A2348&lt;&gt;"",ISNUMBER(Q2348),ISNUMBER(L2348)),ROUND(Q2348-IF(ISNUMBER(N2348),N2348,0)-IF(ISNUMBER(O2348),O2348,0)+IF(ISNUMBER(P2348),P2348,0),2),"")</f>
        <v/>
      </c>
      <c r="S2348" s="9" t="str">
        <f aca="false">IF(R2348="","",ROUND(L2348-R2348,2))</f>
        <v/>
      </c>
      <c r="T2348" s="8" t="str">
        <f aca="false">IF(A2348="","",IF(S2348="","BYPASS",IF(ABS(S2348)&lt;=Summary!$B$2,"PASS","FAIL")))</f>
        <v/>
      </c>
      <c r="U2348" s="8" t="str">
        <f aca="false">IF(T2348="BYPASS",IF(NOT(ISNUMBER(Q2348)),"PreV_ETB missing","End_tr_balance missing"),IF(T2348="FAIL",IF(AND(ISNUMBER(K2348),ISNUMBER(L2348),ABS(L2348-(K2348-IF(ISNUMBER(N2348),N2348,0)-IF(ISNUMBER(O2348),O2348,0)+IF(ISNUMBER(P2348),P2348,0)))&lt;=Summary!$B$2),"Passes using beginning_balance - PreV_ETB differs from beginning_balance",IF(AND(ISNUMBER(O2348),O2348&lt;0,ABS(L2348-(Q2348-IF(ISNUMBER(N2348),N2348,0)+IF(ISNUMBER(P2348),P2348,0)))&lt;=Summary!$B$2),"Negative realized loss not applied - check sign",IF(R2348&lt;0,"Principal paid exceeds prior balance",IF(AND(L2348&gt;Q2348,NOT(ISNUMBER(P2348))),"Balance increased but no Deferred_interest reported",IF(L2348&gt;R2348,"Reported balance higher than expected (missing increase/OC build)","Reported balance lower than expected (missing decrease)"))))),""))</f>
        <v/>
      </c>
    </row>
    <row r="2349" customFormat="false" ht="15" hidden="false" customHeight="false" outlineLevel="0" collapsed="false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9"/>
      <c r="L2349" s="9"/>
      <c r="M2349" s="9"/>
      <c r="N2349" s="9"/>
      <c r="O2349" s="9"/>
      <c r="P2349" s="9"/>
      <c r="Q2349" s="9"/>
      <c r="R2349" s="9" t="str">
        <f aca="false">IF(AND(A2349&lt;&gt;"",ISNUMBER(Q2349),ISNUMBER(L2349)),ROUND(Q2349-IF(ISNUMBER(N2349),N2349,0)-IF(ISNUMBER(O2349),O2349,0)+IF(ISNUMBER(P2349),P2349,0),2),"")</f>
        <v/>
      </c>
      <c r="S2349" s="9" t="str">
        <f aca="false">IF(R2349="","",ROUND(L2349-R2349,2))</f>
        <v/>
      </c>
      <c r="T2349" s="8" t="str">
        <f aca="false">IF(A2349="","",IF(S2349="","BYPASS",IF(ABS(S2349)&lt;=Summary!$B$2,"PASS","FAIL")))</f>
        <v/>
      </c>
      <c r="U2349" s="8" t="str">
        <f aca="false">IF(T2349="BYPASS",IF(NOT(ISNUMBER(Q2349)),"PreV_ETB missing","End_tr_balance missing"),IF(T2349="FAIL",IF(AND(ISNUMBER(K2349),ISNUMBER(L2349),ABS(L2349-(K2349-IF(ISNUMBER(N2349),N2349,0)-IF(ISNUMBER(O2349),O2349,0)+IF(ISNUMBER(P2349),P2349,0)))&lt;=Summary!$B$2),"Passes using beginning_balance - PreV_ETB differs from beginning_balance",IF(AND(ISNUMBER(O2349),O2349&lt;0,ABS(L2349-(Q2349-IF(ISNUMBER(N2349),N2349,0)+IF(ISNUMBER(P2349),P2349,0)))&lt;=Summary!$B$2),"Negative realized loss not applied - check sign",IF(R2349&lt;0,"Principal paid exceeds prior balance",IF(AND(L2349&gt;Q2349,NOT(ISNUMBER(P2349))),"Balance increased but no Deferred_interest reported",IF(L2349&gt;R2349,"Reported balance higher than expected (missing increase/OC build)","Reported balance lower than expected (missing decrease)"))))),""))</f>
        <v/>
      </c>
    </row>
    <row r="2350" customFormat="false" ht="15" hidden="false" customHeight="false" outlineLevel="0" collapsed="false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9"/>
      <c r="L2350" s="9"/>
      <c r="M2350" s="9"/>
      <c r="N2350" s="9"/>
      <c r="O2350" s="9"/>
      <c r="P2350" s="9"/>
      <c r="Q2350" s="9"/>
      <c r="R2350" s="9" t="str">
        <f aca="false">IF(AND(A2350&lt;&gt;"",ISNUMBER(Q2350),ISNUMBER(L2350)),ROUND(Q2350-IF(ISNUMBER(N2350),N2350,0)-IF(ISNUMBER(O2350),O2350,0)+IF(ISNUMBER(P2350),P2350,0),2),"")</f>
        <v/>
      </c>
      <c r="S2350" s="9" t="str">
        <f aca="false">IF(R2350="","",ROUND(L2350-R2350,2))</f>
        <v/>
      </c>
      <c r="T2350" s="8" t="str">
        <f aca="false">IF(A2350="","",IF(S2350="","BYPASS",IF(ABS(S2350)&lt;=Summary!$B$2,"PASS","FAIL")))</f>
        <v/>
      </c>
      <c r="U2350" s="8" t="str">
        <f aca="false">IF(T2350="BYPASS",IF(NOT(ISNUMBER(Q2350)),"PreV_ETB missing","End_tr_balance missing"),IF(T2350="FAIL",IF(AND(ISNUMBER(K2350),ISNUMBER(L2350),ABS(L2350-(K2350-IF(ISNUMBER(N2350),N2350,0)-IF(ISNUMBER(O2350),O2350,0)+IF(ISNUMBER(P2350),P2350,0)))&lt;=Summary!$B$2),"Passes using beginning_balance - PreV_ETB differs from beginning_balance",IF(AND(ISNUMBER(O2350),O2350&lt;0,ABS(L2350-(Q2350-IF(ISNUMBER(N2350),N2350,0)+IF(ISNUMBER(P2350),P2350,0)))&lt;=Summary!$B$2),"Negative realized loss not applied - check sign",IF(R2350&lt;0,"Principal paid exceeds prior balance",IF(AND(L2350&gt;Q2350,NOT(ISNUMBER(P2350))),"Balance increased but no Deferred_interest reported",IF(L2350&gt;R2350,"Reported balance higher than expected (missing increase/OC build)","Reported balance lower than expected (missing decrease)"))))),""))</f>
        <v/>
      </c>
    </row>
    <row r="2351" customFormat="false" ht="15" hidden="false" customHeight="false" outlineLevel="0" collapsed="false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9"/>
      <c r="L2351" s="9"/>
      <c r="M2351" s="9"/>
      <c r="N2351" s="9"/>
      <c r="O2351" s="9"/>
      <c r="P2351" s="9"/>
      <c r="Q2351" s="9"/>
      <c r="R2351" s="9" t="str">
        <f aca="false">IF(AND(A2351&lt;&gt;"",ISNUMBER(Q2351),ISNUMBER(L2351)),ROUND(Q2351-IF(ISNUMBER(N2351),N2351,0)-IF(ISNUMBER(O2351),O2351,0)+IF(ISNUMBER(P2351),P2351,0),2),"")</f>
        <v/>
      </c>
      <c r="S2351" s="9" t="str">
        <f aca="false">IF(R2351="","",ROUND(L2351-R2351,2))</f>
        <v/>
      </c>
      <c r="T2351" s="8" t="str">
        <f aca="false">IF(A2351="","",IF(S2351="","BYPASS",IF(ABS(S2351)&lt;=Summary!$B$2,"PASS","FAIL")))</f>
        <v/>
      </c>
      <c r="U2351" s="8" t="str">
        <f aca="false">IF(T2351="BYPASS",IF(NOT(ISNUMBER(Q2351)),"PreV_ETB missing","End_tr_balance missing"),IF(T2351="FAIL",IF(AND(ISNUMBER(K2351),ISNUMBER(L2351),ABS(L2351-(K2351-IF(ISNUMBER(N2351),N2351,0)-IF(ISNUMBER(O2351),O2351,0)+IF(ISNUMBER(P2351),P2351,0)))&lt;=Summary!$B$2),"Passes using beginning_balance - PreV_ETB differs from beginning_balance",IF(AND(ISNUMBER(O2351),O2351&lt;0,ABS(L2351-(Q2351-IF(ISNUMBER(N2351),N2351,0)+IF(ISNUMBER(P2351),P2351,0)))&lt;=Summary!$B$2),"Negative realized loss not applied - check sign",IF(R2351&lt;0,"Principal paid exceeds prior balance",IF(AND(L2351&gt;Q2351,NOT(ISNUMBER(P2351))),"Balance increased but no Deferred_interest reported",IF(L2351&gt;R2351,"Reported balance higher than expected (missing increase/OC build)","Reported balance lower than expected (missing decrease)"))))),""))</f>
        <v/>
      </c>
    </row>
    <row r="2352" customFormat="false" ht="15" hidden="false" customHeight="false" outlineLevel="0" collapsed="false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9"/>
      <c r="L2352" s="9"/>
      <c r="M2352" s="9"/>
      <c r="N2352" s="9"/>
      <c r="O2352" s="9"/>
      <c r="P2352" s="9"/>
      <c r="Q2352" s="9"/>
      <c r="R2352" s="9" t="str">
        <f aca="false">IF(AND(A2352&lt;&gt;"",ISNUMBER(Q2352),ISNUMBER(L2352)),ROUND(Q2352-IF(ISNUMBER(N2352),N2352,0)-IF(ISNUMBER(O2352),O2352,0)+IF(ISNUMBER(P2352),P2352,0),2),"")</f>
        <v/>
      </c>
      <c r="S2352" s="9" t="str">
        <f aca="false">IF(R2352="","",ROUND(L2352-R2352,2))</f>
        <v/>
      </c>
      <c r="T2352" s="8" t="str">
        <f aca="false">IF(A2352="","",IF(S2352="","BYPASS",IF(ABS(S2352)&lt;=Summary!$B$2,"PASS","FAIL")))</f>
        <v/>
      </c>
      <c r="U2352" s="8" t="str">
        <f aca="false">IF(T2352="BYPASS",IF(NOT(ISNUMBER(Q2352)),"PreV_ETB missing","End_tr_balance missing"),IF(T2352="FAIL",IF(AND(ISNUMBER(K2352),ISNUMBER(L2352),ABS(L2352-(K2352-IF(ISNUMBER(N2352),N2352,0)-IF(ISNUMBER(O2352),O2352,0)+IF(ISNUMBER(P2352),P2352,0)))&lt;=Summary!$B$2),"Passes using beginning_balance - PreV_ETB differs from beginning_balance",IF(AND(ISNUMBER(O2352),O2352&lt;0,ABS(L2352-(Q2352-IF(ISNUMBER(N2352),N2352,0)+IF(ISNUMBER(P2352),P2352,0)))&lt;=Summary!$B$2),"Negative realized loss not applied - check sign",IF(R2352&lt;0,"Principal paid exceeds prior balance",IF(AND(L2352&gt;Q2352,NOT(ISNUMBER(P2352))),"Balance increased but no Deferred_interest reported",IF(L2352&gt;R2352,"Reported balance higher than expected (missing increase/OC build)","Reported balance lower than expected (missing decrease)"))))),""))</f>
        <v/>
      </c>
    </row>
    <row r="2353" customFormat="false" ht="15" hidden="false" customHeight="false" outlineLevel="0" collapsed="false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9"/>
      <c r="L2353" s="9"/>
      <c r="M2353" s="9"/>
      <c r="N2353" s="9"/>
      <c r="O2353" s="9"/>
      <c r="P2353" s="9"/>
      <c r="Q2353" s="9"/>
      <c r="R2353" s="9" t="str">
        <f aca="false">IF(AND(A2353&lt;&gt;"",ISNUMBER(Q2353),ISNUMBER(L2353)),ROUND(Q2353-IF(ISNUMBER(N2353),N2353,0)-IF(ISNUMBER(O2353),O2353,0)+IF(ISNUMBER(P2353),P2353,0),2),"")</f>
        <v/>
      </c>
      <c r="S2353" s="9" t="str">
        <f aca="false">IF(R2353="","",ROUND(L2353-R2353,2))</f>
        <v/>
      </c>
      <c r="T2353" s="8" t="str">
        <f aca="false">IF(A2353="","",IF(S2353="","BYPASS",IF(ABS(S2353)&lt;=Summary!$B$2,"PASS","FAIL")))</f>
        <v/>
      </c>
      <c r="U2353" s="8" t="str">
        <f aca="false">IF(T2353="BYPASS",IF(NOT(ISNUMBER(Q2353)),"PreV_ETB missing","End_tr_balance missing"),IF(T2353="FAIL",IF(AND(ISNUMBER(K2353),ISNUMBER(L2353),ABS(L2353-(K2353-IF(ISNUMBER(N2353),N2353,0)-IF(ISNUMBER(O2353),O2353,0)+IF(ISNUMBER(P2353),P2353,0)))&lt;=Summary!$B$2),"Passes using beginning_balance - PreV_ETB differs from beginning_balance",IF(AND(ISNUMBER(O2353),O2353&lt;0,ABS(L2353-(Q2353-IF(ISNUMBER(N2353),N2353,0)+IF(ISNUMBER(P2353),P2353,0)))&lt;=Summary!$B$2),"Negative realized loss not applied - check sign",IF(R2353&lt;0,"Principal paid exceeds prior balance",IF(AND(L2353&gt;Q2353,NOT(ISNUMBER(P2353))),"Balance increased but no Deferred_interest reported",IF(L2353&gt;R2353,"Reported balance higher than expected (missing increase/OC build)","Reported balance lower than expected (missing decrease)"))))),""))</f>
        <v/>
      </c>
    </row>
    <row r="2354" customFormat="false" ht="15" hidden="false" customHeight="false" outlineLevel="0" collapsed="false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9"/>
      <c r="L2354" s="9"/>
      <c r="M2354" s="9"/>
      <c r="N2354" s="9"/>
      <c r="O2354" s="9"/>
      <c r="P2354" s="9"/>
      <c r="Q2354" s="9"/>
      <c r="R2354" s="9" t="str">
        <f aca="false">IF(AND(A2354&lt;&gt;"",ISNUMBER(Q2354),ISNUMBER(L2354)),ROUND(Q2354-IF(ISNUMBER(N2354),N2354,0)-IF(ISNUMBER(O2354),O2354,0)+IF(ISNUMBER(P2354),P2354,0),2),"")</f>
        <v/>
      </c>
      <c r="S2354" s="9" t="str">
        <f aca="false">IF(R2354="","",ROUND(L2354-R2354,2))</f>
        <v/>
      </c>
      <c r="T2354" s="8" t="str">
        <f aca="false">IF(A2354="","",IF(S2354="","BYPASS",IF(ABS(S2354)&lt;=Summary!$B$2,"PASS","FAIL")))</f>
        <v/>
      </c>
      <c r="U2354" s="8" t="str">
        <f aca="false">IF(T2354="BYPASS",IF(NOT(ISNUMBER(Q2354)),"PreV_ETB missing","End_tr_balance missing"),IF(T2354="FAIL",IF(AND(ISNUMBER(K2354),ISNUMBER(L2354),ABS(L2354-(K2354-IF(ISNUMBER(N2354),N2354,0)-IF(ISNUMBER(O2354),O2354,0)+IF(ISNUMBER(P2354),P2354,0)))&lt;=Summary!$B$2),"Passes using beginning_balance - PreV_ETB differs from beginning_balance",IF(AND(ISNUMBER(O2354),O2354&lt;0,ABS(L2354-(Q2354-IF(ISNUMBER(N2354),N2354,0)+IF(ISNUMBER(P2354),P2354,0)))&lt;=Summary!$B$2),"Negative realized loss not applied - check sign",IF(R2354&lt;0,"Principal paid exceeds prior balance",IF(AND(L2354&gt;Q2354,NOT(ISNUMBER(P2354))),"Balance increased but no Deferred_interest reported",IF(L2354&gt;R2354,"Reported balance higher than expected (missing increase/OC build)","Reported balance lower than expected (missing decrease)"))))),""))</f>
        <v/>
      </c>
    </row>
    <row r="2355" customFormat="false" ht="15" hidden="false" customHeight="false" outlineLevel="0" collapsed="false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9"/>
      <c r="L2355" s="9"/>
      <c r="M2355" s="9"/>
      <c r="N2355" s="9"/>
      <c r="O2355" s="9"/>
      <c r="P2355" s="9"/>
      <c r="Q2355" s="9"/>
      <c r="R2355" s="9" t="str">
        <f aca="false">IF(AND(A2355&lt;&gt;"",ISNUMBER(Q2355),ISNUMBER(L2355)),ROUND(Q2355-IF(ISNUMBER(N2355),N2355,0)-IF(ISNUMBER(O2355),O2355,0)+IF(ISNUMBER(P2355),P2355,0),2),"")</f>
        <v/>
      </c>
      <c r="S2355" s="9" t="str">
        <f aca="false">IF(R2355="","",ROUND(L2355-R2355,2))</f>
        <v/>
      </c>
      <c r="T2355" s="8" t="str">
        <f aca="false">IF(A2355="","",IF(S2355="","BYPASS",IF(ABS(S2355)&lt;=Summary!$B$2,"PASS","FAIL")))</f>
        <v/>
      </c>
      <c r="U2355" s="8" t="str">
        <f aca="false">IF(T2355="BYPASS",IF(NOT(ISNUMBER(Q2355)),"PreV_ETB missing","End_tr_balance missing"),IF(T2355="FAIL",IF(AND(ISNUMBER(K2355),ISNUMBER(L2355),ABS(L2355-(K2355-IF(ISNUMBER(N2355),N2355,0)-IF(ISNUMBER(O2355),O2355,0)+IF(ISNUMBER(P2355),P2355,0)))&lt;=Summary!$B$2),"Passes using beginning_balance - PreV_ETB differs from beginning_balance",IF(AND(ISNUMBER(O2355),O2355&lt;0,ABS(L2355-(Q2355-IF(ISNUMBER(N2355),N2355,0)+IF(ISNUMBER(P2355),P2355,0)))&lt;=Summary!$B$2),"Negative realized loss not applied - check sign",IF(R2355&lt;0,"Principal paid exceeds prior balance",IF(AND(L2355&gt;Q2355,NOT(ISNUMBER(P2355))),"Balance increased but no Deferred_interest reported",IF(L2355&gt;R2355,"Reported balance higher than expected (missing increase/OC build)","Reported balance lower than expected (missing decrease)"))))),""))</f>
        <v/>
      </c>
    </row>
    <row r="2356" customFormat="false" ht="15" hidden="false" customHeight="false" outlineLevel="0" collapsed="false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9"/>
      <c r="L2356" s="9"/>
      <c r="M2356" s="9"/>
      <c r="N2356" s="9"/>
      <c r="O2356" s="9"/>
      <c r="P2356" s="9"/>
      <c r="Q2356" s="9"/>
      <c r="R2356" s="9" t="str">
        <f aca="false">IF(AND(A2356&lt;&gt;"",ISNUMBER(Q2356),ISNUMBER(L2356)),ROUND(Q2356-IF(ISNUMBER(N2356),N2356,0)-IF(ISNUMBER(O2356),O2356,0)+IF(ISNUMBER(P2356),P2356,0),2),"")</f>
        <v/>
      </c>
      <c r="S2356" s="9" t="str">
        <f aca="false">IF(R2356="","",ROUND(L2356-R2356,2))</f>
        <v/>
      </c>
      <c r="T2356" s="8" t="str">
        <f aca="false">IF(A2356="","",IF(S2356="","BYPASS",IF(ABS(S2356)&lt;=Summary!$B$2,"PASS","FAIL")))</f>
        <v/>
      </c>
      <c r="U2356" s="8" t="str">
        <f aca="false">IF(T2356="BYPASS",IF(NOT(ISNUMBER(Q2356)),"PreV_ETB missing","End_tr_balance missing"),IF(T2356="FAIL",IF(AND(ISNUMBER(K2356),ISNUMBER(L2356),ABS(L2356-(K2356-IF(ISNUMBER(N2356),N2356,0)-IF(ISNUMBER(O2356),O2356,0)+IF(ISNUMBER(P2356),P2356,0)))&lt;=Summary!$B$2),"Passes using beginning_balance - PreV_ETB differs from beginning_balance",IF(AND(ISNUMBER(O2356),O2356&lt;0,ABS(L2356-(Q2356-IF(ISNUMBER(N2356),N2356,0)+IF(ISNUMBER(P2356),P2356,0)))&lt;=Summary!$B$2),"Negative realized loss not applied - check sign",IF(R2356&lt;0,"Principal paid exceeds prior balance",IF(AND(L2356&gt;Q2356,NOT(ISNUMBER(P2356))),"Balance increased but no Deferred_interest reported",IF(L2356&gt;R2356,"Reported balance higher than expected (missing increase/OC build)","Reported balance lower than expected (missing decrease)"))))),""))</f>
        <v/>
      </c>
    </row>
    <row r="2357" customFormat="false" ht="15" hidden="false" customHeight="false" outlineLevel="0" collapsed="false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9"/>
      <c r="L2357" s="9"/>
      <c r="M2357" s="9"/>
      <c r="N2357" s="9"/>
      <c r="O2357" s="9"/>
      <c r="P2357" s="9"/>
      <c r="Q2357" s="9"/>
      <c r="R2357" s="9" t="str">
        <f aca="false">IF(AND(A2357&lt;&gt;"",ISNUMBER(Q2357),ISNUMBER(L2357)),ROUND(Q2357-IF(ISNUMBER(N2357),N2357,0)-IF(ISNUMBER(O2357),O2357,0)+IF(ISNUMBER(P2357),P2357,0),2),"")</f>
        <v/>
      </c>
      <c r="S2357" s="9" t="str">
        <f aca="false">IF(R2357="","",ROUND(L2357-R2357,2))</f>
        <v/>
      </c>
      <c r="T2357" s="8" t="str">
        <f aca="false">IF(A2357="","",IF(S2357="","BYPASS",IF(ABS(S2357)&lt;=Summary!$B$2,"PASS","FAIL")))</f>
        <v/>
      </c>
      <c r="U2357" s="8" t="str">
        <f aca="false">IF(T2357="BYPASS",IF(NOT(ISNUMBER(Q2357)),"PreV_ETB missing","End_tr_balance missing"),IF(T2357="FAIL",IF(AND(ISNUMBER(K2357),ISNUMBER(L2357),ABS(L2357-(K2357-IF(ISNUMBER(N2357),N2357,0)-IF(ISNUMBER(O2357),O2357,0)+IF(ISNUMBER(P2357),P2357,0)))&lt;=Summary!$B$2),"Passes using beginning_balance - PreV_ETB differs from beginning_balance",IF(AND(ISNUMBER(O2357),O2357&lt;0,ABS(L2357-(Q2357-IF(ISNUMBER(N2357),N2357,0)+IF(ISNUMBER(P2357),P2357,0)))&lt;=Summary!$B$2),"Negative realized loss not applied - check sign",IF(R2357&lt;0,"Principal paid exceeds prior balance",IF(AND(L2357&gt;Q2357,NOT(ISNUMBER(P2357))),"Balance increased but no Deferred_interest reported",IF(L2357&gt;R2357,"Reported balance higher than expected (missing increase/OC build)","Reported balance lower than expected (missing decrease)"))))),""))</f>
        <v/>
      </c>
    </row>
    <row r="2358" customFormat="false" ht="15" hidden="false" customHeight="false" outlineLevel="0" collapsed="false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9"/>
      <c r="L2358" s="9"/>
      <c r="M2358" s="9"/>
      <c r="N2358" s="9"/>
      <c r="O2358" s="9"/>
      <c r="P2358" s="9"/>
      <c r="Q2358" s="9"/>
      <c r="R2358" s="9" t="str">
        <f aca="false">IF(AND(A2358&lt;&gt;"",ISNUMBER(Q2358),ISNUMBER(L2358)),ROUND(Q2358-IF(ISNUMBER(N2358),N2358,0)-IF(ISNUMBER(O2358),O2358,0)+IF(ISNUMBER(P2358),P2358,0),2),"")</f>
        <v/>
      </c>
      <c r="S2358" s="9" t="str">
        <f aca="false">IF(R2358="","",ROUND(L2358-R2358,2))</f>
        <v/>
      </c>
      <c r="T2358" s="8" t="str">
        <f aca="false">IF(A2358="","",IF(S2358="","BYPASS",IF(ABS(S2358)&lt;=Summary!$B$2,"PASS","FAIL")))</f>
        <v/>
      </c>
      <c r="U2358" s="8" t="str">
        <f aca="false">IF(T2358="BYPASS",IF(NOT(ISNUMBER(Q2358)),"PreV_ETB missing","End_tr_balance missing"),IF(T2358="FAIL",IF(AND(ISNUMBER(K2358),ISNUMBER(L2358),ABS(L2358-(K2358-IF(ISNUMBER(N2358),N2358,0)-IF(ISNUMBER(O2358),O2358,0)+IF(ISNUMBER(P2358),P2358,0)))&lt;=Summary!$B$2),"Passes using beginning_balance - PreV_ETB differs from beginning_balance",IF(AND(ISNUMBER(O2358),O2358&lt;0,ABS(L2358-(Q2358-IF(ISNUMBER(N2358),N2358,0)+IF(ISNUMBER(P2358),P2358,0)))&lt;=Summary!$B$2),"Negative realized loss not applied - check sign",IF(R2358&lt;0,"Principal paid exceeds prior balance",IF(AND(L2358&gt;Q2358,NOT(ISNUMBER(P2358))),"Balance increased but no Deferred_interest reported",IF(L2358&gt;R2358,"Reported balance higher than expected (missing increase/OC build)","Reported balance lower than expected (missing decrease)"))))),""))</f>
        <v/>
      </c>
    </row>
    <row r="2359" customFormat="false" ht="15" hidden="false" customHeight="false" outlineLevel="0" collapsed="false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9"/>
      <c r="L2359" s="9"/>
      <c r="M2359" s="9"/>
      <c r="N2359" s="9"/>
      <c r="O2359" s="9"/>
      <c r="P2359" s="9"/>
      <c r="Q2359" s="9"/>
      <c r="R2359" s="9" t="str">
        <f aca="false">IF(AND(A2359&lt;&gt;"",ISNUMBER(Q2359),ISNUMBER(L2359)),ROUND(Q2359-IF(ISNUMBER(N2359),N2359,0)-IF(ISNUMBER(O2359),O2359,0)+IF(ISNUMBER(P2359),P2359,0),2),"")</f>
        <v/>
      </c>
      <c r="S2359" s="9" t="str">
        <f aca="false">IF(R2359="","",ROUND(L2359-R2359,2))</f>
        <v/>
      </c>
      <c r="T2359" s="8" t="str">
        <f aca="false">IF(A2359="","",IF(S2359="","BYPASS",IF(ABS(S2359)&lt;=Summary!$B$2,"PASS","FAIL")))</f>
        <v/>
      </c>
      <c r="U2359" s="8" t="str">
        <f aca="false">IF(T2359="BYPASS",IF(NOT(ISNUMBER(Q2359)),"PreV_ETB missing","End_tr_balance missing"),IF(T2359="FAIL",IF(AND(ISNUMBER(K2359),ISNUMBER(L2359),ABS(L2359-(K2359-IF(ISNUMBER(N2359),N2359,0)-IF(ISNUMBER(O2359),O2359,0)+IF(ISNUMBER(P2359),P2359,0)))&lt;=Summary!$B$2),"Passes using beginning_balance - PreV_ETB differs from beginning_balance",IF(AND(ISNUMBER(O2359),O2359&lt;0,ABS(L2359-(Q2359-IF(ISNUMBER(N2359),N2359,0)+IF(ISNUMBER(P2359),P2359,0)))&lt;=Summary!$B$2),"Negative realized loss not applied - check sign",IF(R2359&lt;0,"Principal paid exceeds prior balance",IF(AND(L2359&gt;Q2359,NOT(ISNUMBER(P2359))),"Balance increased but no Deferred_interest reported",IF(L2359&gt;R2359,"Reported balance higher than expected (missing increase/OC build)","Reported balance lower than expected (missing decrease)"))))),""))</f>
        <v/>
      </c>
    </row>
    <row r="2360" customFormat="false" ht="15" hidden="false" customHeight="false" outlineLevel="0" collapsed="false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9"/>
      <c r="L2360" s="9"/>
      <c r="M2360" s="9"/>
      <c r="N2360" s="9"/>
      <c r="O2360" s="9"/>
      <c r="P2360" s="9"/>
      <c r="Q2360" s="9"/>
      <c r="R2360" s="9" t="str">
        <f aca="false">IF(AND(A2360&lt;&gt;"",ISNUMBER(Q2360),ISNUMBER(L2360)),ROUND(Q2360-IF(ISNUMBER(N2360),N2360,0)-IF(ISNUMBER(O2360),O2360,0)+IF(ISNUMBER(P2360),P2360,0),2),"")</f>
        <v/>
      </c>
      <c r="S2360" s="9" t="str">
        <f aca="false">IF(R2360="","",ROUND(L2360-R2360,2))</f>
        <v/>
      </c>
      <c r="T2360" s="8" t="str">
        <f aca="false">IF(A2360="","",IF(S2360="","BYPASS",IF(ABS(S2360)&lt;=Summary!$B$2,"PASS","FAIL")))</f>
        <v/>
      </c>
      <c r="U2360" s="8" t="str">
        <f aca="false">IF(T2360="BYPASS",IF(NOT(ISNUMBER(Q2360)),"PreV_ETB missing","End_tr_balance missing"),IF(T2360="FAIL",IF(AND(ISNUMBER(K2360),ISNUMBER(L2360),ABS(L2360-(K2360-IF(ISNUMBER(N2360),N2360,0)-IF(ISNUMBER(O2360),O2360,0)+IF(ISNUMBER(P2360),P2360,0)))&lt;=Summary!$B$2),"Passes using beginning_balance - PreV_ETB differs from beginning_balance",IF(AND(ISNUMBER(O2360),O2360&lt;0,ABS(L2360-(Q2360-IF(ISNUMBER(N2360),N2360,0)+IF(ISNUMBER(P2360),P2360,0)))&lt;=Summary!$B$2),"Negative realized loss not applied - check sign",IF(R2360&lt;0,"Principal paid exceeds prior balance",IF(AND(L2360&gt;Q2360,NOT(ISNUMBER(P2360))),"Balance increased but no Deferred_interest reported",IF(L2360&gt;R2360,"Reported balance higher than expected (missing increase/OC build)","Reported balance lower than expected (missing decrease)"))))),""))</f>
        <v/>
      </c>
    </row>
    <row r="2361" customFormat="false" ht="15" hidden="false" customHeight="false" outlineLevel="0" collapsed="false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9"/>
      <c r="L2361" s="9"/>
      <c r="M2361" s="9"/>
      <c r="N2361" s="9"/>
      <c r="O2361" s="9"/>
      <c r="P2361" s="9"/>
      <c r="Q2361" s="9"/>
      <c r="R2361" s="9" t="str">
        <f aca="false">IF(AND(A2361&lt;&gt;"",ISNUMBER(Q2361),ISNUMBER(L2361)),ROUND(Q2361-IF(ISNUMBER(N2361),N2361,0)-IF(ISNUMBER(O2361),O2361,0)+IF(ISNUMBER(P2361),P2361,0),2),"")</f>
        <v/>
      </c>
      <c r="S2361" s="9" t="str">
        <f aca="false">IF(R2361="","",ROUND(L2361-R2361,2))</f>
        <v/>
      </c>
      <c r="T2361" s="8" t="str">
        <f aca="false">IF(A2361="","",IF(S2361="","BYPASS",IF(ABS(S2361)&lt;=Summary!$B$2,"PASS","FAIL")))</f>
        <v/>
      </c>
      <c r="U2361" s="8" t="str">
        <f aca="false">IF(T2361="BYPASS",IF(NOT(ISNUMBER(Q2361)),"PreV_ETB missing","End_tr_balance missing"),IF(T2361="FAIL",IF(AND(ISNUMBER(K2361),ISNUMBER(L2361),ABS(L2361-(K2361-IF(ISNUMBER(N2361),N2361,0)-IF(ISNUMBER(O2361),O2361,0)+IF(ISNUMBER(P2361),P2361,0)))&lt;=Summary!$B$2),"Passes using beginning_balance - PreV_ETB differs from beginning_balance",IF(AND(ISNUMBER(O2361),O2361&lt;0,ABS(L2361-(Q2361-IF(ISNUMBER(N2361),N2361,0)+IF(ISNUMBER(P2361),P2361,0)))&lt;=Summary!$B$2),"Negative realized loss not applied - check sign",IF(R2361&lt;0,"Principal paid exceeds prior balance",IF(AND(L2361&gt;Q2361,NOT(ISNUMBER(P2361))),"Balance increased but no Deferred_interest reported",IF(L2361&gt;R2361,"Reported balance higher than expected (missing increase/OC build)","Reported balance lower than expected (missing decrease)"))))),""))</f>
        <v/>
      </c>
    </row>
    <row r="2362" customFormat="false" ht="15" hidden="false" customHeight="false" outlineLevel="0" collapsed="false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9"/>
      <c r="L2362" s="9"/>
      <c r="M2362" s="9"/>
      <c r="N2362" s="9"/>
      <c r="O2362" s="9"/>
      <c r="P2362" s="9"/>
      <c r="Q2362" s="9"/>
      <c r="R2362" s="9" t="str">
        <f aca="false">IF(AND(A2362&lt;&gt;"",ISNUMBER(Q2362),ISNUMBER(L2362)),ROUND(Q2362-IF(ISNUMBER(N2362),N2362,0)-IF(ISNUMBER(O2362),O2362,0)+IF(ISNUMBER(P2362),P2362,0),2),"")</f>
        <v/>
      </c>
      <c r="S2362" s="9" t="str">
        <f aca="false">IF(R2362="","",ROUND(L2362-R2362,2))</f>
        <v/>
      </c>
      <c r="T2362" s="8" t="str">
        <f aca="false">IF(A2362="","",IF(S2362="","BYPASS",IF(ABS(S2362)&lt;=Summary!$B$2,"PASS","FAIL")))</f>
        <v/>
      </c>
      <c r="U2362" s="8" t="str">
        <f aca="false">IF(T2362="BYPASS",IF(NOT(ISNUMBER(Q2362)),"PreV_ETB missing","End_tr_balance missing"),IF(T2362="FAIL",IF(AND(ISNUMBER(K2362),ISNUMBER(L2362),ABS(L2362-(K2362-IF(ISNUMBER(N2362),N2362,0)-IF(ISNUMBER(O2362),O2362,0)+IF(ISNUMBER(P2362),P2362,0)))&lt;=Summary!$B$2),"Passes using beginning_balance - PreV_ETB differs from beginning_balance",IF(AND(ISNUMBER(O2362),O2362&lt;0,ABS(L2362-(Q2362-IF(ISNUMBER(N2362),N2362,0)+IF(ISNUMBER(P2362),P2362,0)))&lt;=Summary!$B$2),"Negative realized loss not applied - check sign",IF(R2362&lt;0,"Principal paid exceeds prior balance",IF(AND(L2362&gt;Q2362,NOT(ISNUMBER(P2362))),"Balance increased but no Deferred_interest reported",IF(L2362&gt;R2362,"Reported balance higher than expected (missing increase/OC build)","Reported balance lower than expected (missing decrease)"))))),""))</f>
        <v/>
      </c>
    </row>
    <row r="2363" customFormat="false" ht="15" hidden="false" customHeight="false" outlineLevel="0" collapsed="false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9"/>
      <c r="L2363" s="9"/>
      <c r="M2363" s="9"/>
      <c r="N2363" s="9"/>
      <c r="O2363" s="9"/>
      <c r="P2363" s="9"/>
      <c r="Q2363" s="9"/>
      <c r="R2363" s="9" t="str">
        <f aca="false">IF(AND(A2363&lt;&gt;"",ISNUMBER(Q2363),ISNUMBER(L2363)),ROUND(Q2363-IF(ISNUMBER(N2363),N2363,0)-IF(ISNUMBER(O2363),O2363,0)+IF(ISNUMBER(P2363),P2363,0),2),"")</f>
        <v/>
      </c>
      <c r="S2363" s="9" t="str">
        <f aca="false">IF(R2363="","",ROUND(L2363-R2363,2))</f>
        <v/>
      </c>
      <c r="T2363" s="8" t="str">
        <f aca="false">IF(A2363="","",IF(S2363="","BYPASS",IF(ABS(S2363)&lt;=Summary!$B$2,"PASS","FAIL")))</f>
        <v/>
      </c>
      <c r="U2363" s="8" t="str">
        <f aca="false">IF(T2363="BYPASS",IF(NOT(ISNUMBER(Q2363)),"PreV_ETB missing","End_tr_balance missing"),IF(T2363="FAIL",IF(AND(ISNUMBER(K2363),ISNUMBER(L2363),ABS(L2363-(K2363-IF(ISNUMBER(N2363),N2363,0)-IF(ISNUMBER(O2363),O2363,0)+IF(ISNUMBER(P2363),P2363,0)))&lt;=Summary!$B$2),"Passes using beginning_balance - PreV_ETB differs from beginning_balance",IF(AND(ISNUMBER(O2363),O2363&lt;0,ABS(L2363-(Q2363-IF(ISNUMBER(N2363),N2363,0)+IF(ISNUMBER(P2363),P2363,0)))&lt;=Summary!$B$2),"Negative realized loss not applied - check sign",IF(R2363&lt;0,"Principal paid exceeds prior balance",IF(AND(L2363&gt;Q2363,NOT(ISNUMBER(P2363))),"Balance increased but no Deferred_interest reported",IF(L2363&gt;R2363,"Reported balance higher than expected (missing increase/OC build)","Reported balance lower than expected (missing decrease)"))))),""))</f>
        <v/>
      </c>
    </row>
    <row r="2364" customFormat="false" ht="15" hidden="false" customHeight="false" outlineLevel="0" collapsed="false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9"/>
      <c r="L2364" s="9"/>
      <c r="M2364" s="9"/>
      <c r="N2364" s="9"/>
      <c r="O2364" s="9"/>
      <c r="P2364" s="9"/>
      <c r="Q2364" s="9"/>
      <c r="R2364" s="9" t="str">
        <f aca="false">IF(AND(A2364&lt;&gt;"",ISNUMBER(Q2364),ISNUMBER(L2364)),ROUND(Q2364-IF(ISNUMBER(N2364),N2364,0)-IF(ISNUMBER(O2364),O2364,0)+IF(ISNUMBER(P2364),P2364,0),2),"")</f>
        <v/>
      </c>
      <c r="S2364" s="9" t="str">
        <f aca="false">IF(R2364="","",ROUND(L2364-R2364,2))</f>
        <v/>
      </c>
      <c r="T2364" s="8" t="str">
        <f aca="false">IF(A2364="","",IF(S2364="","BYPASS",IF(ABS(S2364)&lt;=Summary!$B$2,"PASS","FAIL")))</f>
        <v/>
      </c>
      <c r="U2364" s="8" t="str">
        <f aca="false">IF(T2364="BYPASS",IF(NOT(ISNUMBER(Q2364)),"PreV_ETB missing","End_tr_balance missing"),IF(T2364="FAIL",IF(AND(ISNUMBER(K2364),ISNUMBER(L2364),ABS(L2364-(K2364-IF(ISNUMBER(N2364),N2364,0)-IF(ISNUMBER(O2364),O2364,0)+IF(ISNUMBER(P2364),P2364,0)))&lt;=Summary!$B$2),"Passes using beginning_balance - PreV_ETB differs from beginning_balance",IF(AND(ISNUMBER(O2364),O2364&lt;0,ABS(L2364-(Q2364-IF(ISNUMBER(N2364),N2364,0)+IF(ISNUMBER(P2364),P2364,0)))&lt;=Summary!$B$2),"Negative realized loss not applied - check sign",IF(R2364&lt;0,"Principal paid exceeds prior balance",IF(AND(L2364&gt;Q2364,NOT(ISNUMBER(P2364))),"Balance increased but no Deferred_interest reported",IF(L2364&gt;R2364,"Reported balance higher than expected (missing increase/OC build)","Reported balance lower than expected (missing decrease)"))))),""))</f>
        <v/>
      </c>
    </row>
    <row r="2365" customFormat="false" ht="15" hidden="false" customHeight="false" outlineLevel="0" collapsed="false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9"/>
      <c r="L2365" s="9"/>
      <c r="M2365" s="9"/>
      <c r="N2365" s="9"/>
      <c r="O2365" s="9"/>
      <c r="P2365" s="9"/>
      <c r="Q2365" s="9"/>
      <c r="R2365" s="9" t="str">
        <f aca="false">IF(AND(A2365&lt;&gt;"",ISNUMBER(Q2365),ISNUMBER(L2365)),ROUND(Q2365-IF(ISNUMBER(N2365),N2365,0)-IF(ISNUMBER(O2365),O2365,0)+IF(ISNUMBER(P2365),P2365,0),2),"")</f>
        <v/>
      </c>
      <c r="S2365" s="9" t="str">
        <f aca="false">IF(R2365="","",ROUND(L2365-R2365,2))</f>
        <v/>
      </c>
      <c r="T2365" s="8" t="str">
        <f aca="false">IF(A2365="","",IF(S2365="","BYPASS",IF(ABS(S2365)&lt;=Summary!$B$2,"PASS","FAIL")))</f>
        <v/>
      </c>
      <c r="U2365" s="8" t="str">
        <f aca="false">IF(T2365="BYPASS",IF(NOT(ISNUMBER(Q2365)),"PreV_ETB missing","End_tr_balance missing"),IF(T2365="FAIL",IF(AND(ISNUMBER(K2365),ISNUMBER(L2365),ABS(L2365-(K2365-IF(ISNUMBER(N2365),N2365,0)-IF(ISNUMBER(O2365),O2365,0)+IF(ISNUMBER(P2365),P2365,0)))&lt;=Summary!$B$2),"Passes using beginning_balance - PreV_ETB differs from beginning_balance",IF(AND(ISNUMBER(O2365),O2365&lt;0,ABS(L2365-(Q2365-IF(ISNUMBER(N2365),N2365,0)+IF(ISNUMBER(P2365),P2365,0)))&lt;=Summary!$B$2),"Negative realized loss not applied - check sign",IF(R2365&lt;0,"Principal paid exceeds prior balance",IF(AND(L2365&gt;Q2365,NOT(ISNUMBER(P2365))),"Balance increased but no Deferred_interest reported",IF(L2365&gt;R2365,"Reported balance higher than expected (missing increase/OC build)","Reported balance lower than expected (missing decrease)"))))),""))</f>
        <v/>
      </c>
    </row>
    <row r="2366" customFormat="false" ht="15" hidden="false" customHeight="false" outlineLevel="0" collapsed="false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9"/>
      <c r="L2366" s="9"/>
      <c r="M2366" s="9"/>
      <c r="N2366" s="9"/>
      <c r="O2366" s="9"/>
      <c r="P2366" s="9"/>
      <c r="Q2366" s="9"/>
      <c r="R2366" s="9" t="str">
        <f aca="false">IF(AND(A2366&lt;&gt;"",ISNUMBER(Q2366),ISNUMBER(L2366)),ROUND(Q2366-IF(ISNUMBER(N2366),N2366,0)-IF(ISNUMBER(O2366),O2366,0)+IF(ISNUMBER(P2366),P2366,0),2),"")</f>
        <v/>
      </c>
      <c r="S2366" s="9" t="str">
        <f aca="false">IF(R2366="","",ROUND(L2366-R2366,2))</f>
        <v/>
      </c>
      <c r="T2366" s="8" t="str">
        <f aca="false">IF(A2366="","",IF(S2366="","BYPASS",IF(ABS(S2366)&lt;=Summary!$B$2,"PASS","FAIL")))</f>
        <v/>
      </c>
      <c r="U2366" s="8" t="str">
        <f aca="false">IF(T2366="BYPASS",IF(NOT(ISNUMBER(Q2366)),"PreV_ETB missing","End_tr_balance missing"),IF(T2366="FAIL",IF(AND(ISNUMBER(K2366),ISNUMBER(L2366),ABS(L2366-(K2366-IF(ISNUMBER(N2366),N2366,0)-IF(ISNUMBER(O2366),O2366,0)+IF(ISNUMBER(P2366),P2366,0)))&lt;=Summary!$B$2),"Passes using beginning_balance - PreV_ETB differs from beginning_balance",IF(AND(ISNUMBER(O2366),O2366&lt;0,ABS(L2366-(Q2366-IF(ISNUMBER(N2366),N2366,0)+IF(ISNUMBER(P2366),P2366,0)))&lt;=Summary!$B$2),"Negative realized loss not applied - check sign",IF(R2366&lt;0,"Principal paid exceeds prior balance",IF(AND(L2366&gt;Q2366,NOT(ISNUMBER(P2366))),"Balance increased but no Deferred_interest reported",IF(L2366&gt;R2366,"Reported balance higher than expected (missing increase/OC build)","Reported balance lower than expected (missing decrease)"))))),""))</f>
        <v/>
      </c>
    </row>
    <row r="2367" customFormat="false" ht="15" hidden="false" customHeight="false" outlineLevel="0" collapsed="false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9"/>
      <c r="L2367" s="9"/>
      <c r="M2367" s="9"/>
      <c r="N2367" s="9"/>
      <c r="O2367" s="9"/>
      <c r="P2367" s="9"/>
      <c r="Q2367" s="9"/>
      <c r="R2367" s="9" t="str">
        <f aca="false">IF(AND(A2367&lt;&gt;"",ISNUMBER(Q2367),ISNUMBER(L2367)),ROUND(Q2367-IF(ISNUMBER(N2367),N2367,0)-IF(ISNUMBER(O2367),O2367,0)+IF(ISNUMBER(P2367),P2367,0),2),"")</f>
        <v/>
      </c>
      <c r="S2367" s="9" t="str">
        <f aca="false">IF(R2367="","",ROUND(L2367-R2367,2))</f>
        <v/>
      </c>
      <c r="T2367" s="8" t="str">
        <f aca="false">IF(A2367="","",IF(S2367="","BYPASS",IF(ABS(S2367)&lt;=Summary!$B$2,"PASS","FAIL")))</f>
        <v/>
      </c>
      <c r="U2367" s="8" t="str">
        <f aca="false">IF(T2367="BYPASS",IF(NOT(ISNUMBER(Q2367)),"PreV_ETB missing","End_tr_balance missing"),IF(T2367="FAIL",IF(AND(ISNUMBER(K2367),ISNUMBER(L2367),ABS(L2367-(K2367-IF(ISNUMBER(N2367),N2367,0)-IF(ISNUMBER(O2367),O2367,0)+IF(ISNUMBER(P2367),P2367,0)))&lt;=Summary!$B$2),"Passes using beginning_balance - PreV_ETB differs from beginning_balance",IF(AND(ISNUMBER(O2367),O2367&lt;0,ABS(L2367-(Q2367-IF(ISNUMBER(N2367),N2367,0)+IF(ISNUMBER(P2367),P2367,0)))&lt;=Summary!$B$2),"Negative realized loss not applied - check sign",IF(R2367&lt;0,"Principal paid exceeds prior balance",IF(AND(L2367&gt;Q2367,NOT(ISNUMBER(P2367))),"Balance increased but no Deferred_interest reported",IF(L2367&gt;R2367,"Reported balance higher than expected (missing increase/OC build)","Reported balance lower than expected (missing decrease)"))))),""))</f>
        <v/>
      </c>
    </row>
    <row r="2368" customFormat="false" ht="15" hidden="false" customHeight="false" outlineLevel="0" collapsed="false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9"/>
      <c r="L2368" s="9"/>
      <c r="M2368" s="9"/>
      <c r="N2368" s="9"/>
      <c r="O2368" s="9"/>
      <c r="P2368" s="9"/>
      <c r="Q2368" s="9"/>
      <c r="R2368" s="9" t="str">
        <f aca="false">IF(AND(A2368&lt;&gt;"",ISNUMBER(Q2368),ISNUMBER(L2368)),ROUND(Q2368-IF(ISNUMBER(N2368),N2368,0)-IF(ISNUMBER(O2368),O2368,0)+IF(ISNUMBER(P2368),P2368,0),2),"")</f>
        <v/>
      </c>
      <c r="S2368" s="9" t="str">
        <f aca="false">IF(R2368="","",ROUND(L2368-R2368,2))</f>
        <v/>
      </c>
      <c r="T2368" s="8" t="str">
        <f aca="false">IF(A2368="","",IF(S2368="","BYPASS",IF(ABS(S2368)&lt;=Summary!$B$2,"PASS","FAIL")))</f>
        <v/>
      </c>
      <c r="U2368" s="8" t="str">
        <f aca="false">IF(T2368="BYPASS",IF(NOT(ISNUMBER(Q2368)),"PreV_ETB missing","End_tr_balance missing"),IF(T2368="FAIL",IF(AND(ISNUMBER(K2368),ISNUMBER(L2368),ABS(L2368-(K2368-IF(ISNUMBER(N2368),N2368,0)-IF(ISNUMBER(O2368),O2368,0)+IF(ISNUMBER(P2368),P2368,0)))&lt;=Summary!$B$2),"Passes using beginning_balance - PreV_ETB differs from beginning_balance",IF(AND(ISNUMBER(O2368),O2368&lt;0,ABS(L2368-(Q2368-IF(ISNUMBER(N2368),N2368,0)+IF(ISNUMBER(P2368),P2368,0)))&lt;=Summary!$B$2),"Negative realized loss not applied - check sign",IF(R2368&lt;0,"Principal paid exceeds prior balance",IF(AND(L2368&gt;Q2368,NOT(ISNUMBER(P2368))),"Balance increased but no Deferred_interest reported",IF(L2368&gt;R2368,"Reported balance higher than expected (missing increase/OC build)","Reported balance lower than expected (missing decrease)"))))),""))</f>
        <v/>
      </c>
    </row>
    <row r="2369" customFormat="false" ht="15" hidden="false" customHeight="false" outlineLevel="0" collapsed="false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9"/>
      <c r="L2369" s="9"/>
      <c r="M2369" s="9"/>
      <c r="N2369" s="9"/>
      <c r="O2369" s="9"/>
      <c r="P2369" s="9"/>
      <c r="Q2369" s="9"/>
      <c r="R2369" s="9" t="str">
        <f aca="false">IF(AND(A2369&lt;&gt;"",ISNUMBER(Q2369),ISNUMBER(L2369)),ROUND(Q2369-IF(ISNUMBER(N2369),N2369,0)-IF(ISNUMBER(O2369),O2369,0)+IF(ISNUMBER(P2369),P2369,0),2),"")</f>
        <v/>
      </c>
      <c r="S2369" s="9" t="str">
        <f aca="false">IF(R2369="","",ROUND(L2369-R2369,2))</f>
        <v/>
      </c>
      <c r="T2369" s="8" t="str">
        <f aca="false">IF(A2369="","",IF(S2369="","BYPASS",IF(ABS(S2369)&lt;=Summary!$B$2,"PASS","FAIL")))</f>
        <v/>
      </c>
      <c r="U2369" s="8" t="str">
        <f aca="false">IF(T2369="BYPASS",IF(NOT(ISNUMBER(Q2369)),"PreV_ETB missing","End_tr_balance missing"),IF(T2369="FAIL",IF(AND(ISNUMBER(K2369),ISNUMBER(L2369),ABS(L2369-(K2369-IF(ISNUMBER(N2369),N2369,0)-IF(ISNUMBER(O2369),O2369,0)+IF(ISNUMBER(P2369),P2369,0)))&lt;=Summary!$B$2),"Passes using beginning_balance - PreV_ETB differs from beginning_balance",IF(AND(ISNUMBER(O2369),O2369&lt;0,ABS(L2369-(Q2369-IF(ISNUMBER(N2369),N2369,0)+IF(ISNUMBER(P2369),P2369,0)))&lt;=Summary!$B$2),"Negative realized loss not applied - check sign",IF(R2369&lt;0,"Principal paid exceeds prior balance",IF(AND(L2369&gt;Q2369,NOT(ISNUMBER(P2369))),"Balance increased but no Deferred_interest reported",IF(L2369&gt;R2369,"Reported balance higher than expected (missing increase/OC build)","Reported balance lower than expected (missing decrease)"))))),""))</f>
        <v/>
      </c>
    </row>
    <row r="2370" customFormat="false" ht="15" hidden="false" customHeight="false" outlineLevel="0" collapsed="false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9"/>
      <c r="L2370" s="9"/>
      <c r="M2370" s="9"/>
      <c r="N2370" s="9"/>
      <c r="O2370" s="9"/>
      <c r="P2370" s="9"/>
      <c r="Q2370" s="9"/>
      <c r="R2370" s="9" t="str">
        <f aca="false">IF(AND(A2370&lt;&gt;"",ISNUMBER(Q2370),ISNUMBER(L2370)),ROUND(Q2370-IF(ISNUMBER(N2370),N2370,0)-IF(ISNUMBER(O2370),O2370,0)+IF(ISNUMBER(P2370),P2370,0),2),"")</f>
        <v/>
      </c>
      <c r="S2370" s="9" t="str">
        <f aca="false">IF(R2370="","",ROUND(L2370-R2370,2))</f>
        <v/>
      </c>
      <c r="T2370" s="8" t="str">
        <f aca="false">IF(A2370="","",IF(S2370="","BYPASS",IF(ABS(S2370)&lt;=Summary!$B$2,"PASS","FAIL")))</f>
        <v/>
      </c>
      <c r="U2370" s="8" t="str">
        <f aca="false">IF(T2370="BYPASS",IF(NOT(ISNUMBER(Q2370)),"PreV_ETB missing","End_tr_balance missing"),IF(T2370="FAIL",IF(AND(ISNUMBER(K2370),ISNUMBER(L2370),ABS(L2370-(K2370-IF(ISNUMBER(N2370),N2370,0)-IF(ISNUMBER(O2370),O2370,0)+IF(ISNUMBER(P2370),P2370,0)))&lt;=Summary!$B$2),"Passes using beginning_balance - PreV_ETB differs from beginning_balance",IF(AND(ISNUMBER(O2370),O2370&lt;0,ABS(L2370-(Q2370-IF(ISNUMBER(N2370),N2370,0)+IF(ISNUMBER(P2370),P2370,0)))&lt;=Summary!$B$2),"Negative realized loss not applied - check sign",IF(R2370&lt;0,"Principal paid exceeds prior balance",IF(AND(L2370&gt;Q2370,NOT(ISNUMBER(P2370))),"Balance increased but no Deferred_interest reported",IF(L2370&gt;R2370,"Reported balance higher than expected (missing increase/OC build)","Reported balance lower than expected (missing decrease)"))))),""))</f>
        <v/>
      </c>
    </row>
    <row r="2371" customFormat="false" ht="15" hidden="false" customHeight="false" outlineLevel="0" collapsed="false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9"/>
      <c r="L2371" s="9"/>
      <c r="M2371" s="9"/>
      <c r="N2371" s="9"/>
      <c r="O2371" s="9"/>
      <c r="P2371" s="9"/>
      <c r="Q2371" s="9"/>
      <c r="R2371" s="9" t="str">
        <f aca="false">IF(AND(A2371&lt;&gt;"",ISNUMBER(Q2371),ISNUMBER(L2371)),ROUND(Q2371-IF(ISNUMBER(N2371),N2371,0)-IF(ISNUMBER(O2371),O2371,0)+IF(ISNUMBER(P2371),P2371,0),2),"")</f>
        <v/>
      </c>
      <c r="S2371" s="9" t="str">
        <f aca="false">IF(R2371="","",ROUND(L2371-R2371,2))</f>
        <v/>
      </c>
      <c r="T2371" s="8" t="str">
        <f aca="false">IF(A2371="","",IF(S2371="","BYPASS",IF(ABS(S2371)&lt;=Summary!$B$2,"PASS","FAIL")))</f>
        <v/>
      </c>
      <c r="U2371" s="8" t="str">
        <f aca="false">IF(T2371="BYPASS",IF(NOT(ISNUMBER(Q2371)),"PreV_ETB missing","End_tr_balance missing"),IF(T2371="FAIL",IF(AND(ISNUMBER(K2371),ISNUMBER(L2371),ABS(L2371-(K2371-IF(ISNUMBER(N2371),N2371,0)-IF(ISNUMBER(O2371),O2371,0)+IF(ISNUMBER(P2371),P2371,0)))&lt;=Summary!$B$2),"Passes using beginning_balance - PreV_ETB differs from beginning_balance",IF(AND(ISNUMBER(O2371),O2371&lt;0,ABS(L2371-(Q2371-IF(ISNUMBER(N2371),N2371,0)+IF(ISNUMBER(P2371),P2371,0)))&lt;=Summary!$B$2),"Negative realized loss not applied - check sign",IF(R2371&lt;0,"Principal paid exceeds prior balance",IF(AND(L2371&gt;Q2371,NOT(ISNUMBER(P2371))),"Balance increased but no Deferred_interest reported",IF(L2371&gt;R2371,"Reported balance higher than expected (missing increase/OC build)","Reported balance lower than expected (missing decrease)"))))),""))</f>
        <v/>
      </c>
    </row>
    <row r="2372" customFormat="false" ht="15" hidden="false" customHeight="false" outlineLevel="0" collapsed="false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9"/>
      <c r="L2372" s="9"/>
      <c r="M2372" s="9"/>
      <c r="N2372" s="9"/>
      <c r="O2372" s="9"/>
      <c r="P2372" s="9"/>
      <c r="Q2372" s="9"/>
      <c r="R2372" s="9" t="str">
        <f aca="false">IF(AND(A2372&lt;&gt;"",ISNUMBER(Q2372),ISNUMBER(L2372)),ROUND(Q2372-IF(ISNUMBER(N2372),N2372,0)-IF(ISNUMBER(O2372),O2372,0)+IF(ISNUMBER(P2372),P2372,0),2),"")</f>
        <v/>
      </c>
      <c r="S2372" s="9" t="str">
        <f aca="false">IF(R2372="","",ROUND(L2372-R2372,2))</f>
        <v/>
      </c>
      <c r="T2372" s="8" t="str">
        <f aca="false">IF(A2372="","",IF(S2372="","BYPASS",IF(ABS(S2372)&lt;=Summary!$B$2,"PASS","FAIL")))</f>
        <v/>
      </c>
      <c r="U2372" s="8" t="str">
        <f aca="false">IF(T2372="BYPASS",IF(NOT(ISNUMBER(Q2372)),"PreV_ETB missing","End_tr_balance missing"),IF(T2372="FAIL",IF(AND(ISNUMBER(K2372),ISNUMBER(L2372),ABS(L2372-(K2372-IF(ISNUMBER(N2372),N2372,0)-IF(ISNUMBER(O2372),O2372,0)+IF(ISNUMBER(P2372),P2372,0)))&lt;=Summary!$B$2),"Passes using beginning_balance - PreV_ETB differs from beginning_balance",IF(AND(ISNUMBER(O2372),O2372&lt;0,ABS(L2372-(Q2372-IF(ISNUMBER(N2372),N2372,0)+IF(ISNUMBER(P2372),P2372,0)))&lt;=Summary!$B$2),"Negative realized loss not applied - check sign",IF(R2372&lt;0,"Principal paid exceeds prior balance",IF(AND(L2372&gt;Q2372,NOT(ISNUMBER(P2372))),"Balance increased but no Deferred_interest reported",IF(L2372&gt;R2372,"Reported balance higher than expected (missing increase/OC build)","Reported balance lower than expected (missing decrease)"))))),""))</f>
        <v/>
      </c>
    </row>
    <row r="2373" customFormat="false" ht="15" hidden="false" customHeight="false" outlineLevel="0" collapsed="false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9"/>
      <c r="L2373" s="9"/>
      <c r="M2373" s="9"/>
      <c r="N2373" s="9"/>
      <c r="O2373" s="9"/>
      <c r="P2373" s="9"/>
      <c r="Q2373" s="9"/>
      <c r="R2373" s="9" t="str">
        <f aca="false">IF(AND(A2373&lt;&gt;"",ISNUMBER(Q2373),ISNUMBER(L2373)),ROUND(Q2373-IF(ISNUMBER(N2373),N2373,0)-IF(ISNUMBER(O2373),O2373,0)+IF(ISNUMBER(P2373),P2373,0),2),"")</f>
        <v/>
      </c>
      <c r="S2373" s="9" t="str">
        <f aca="false">IF(R2373="","",ROUND(L2373-R2373,2))</f>
        <v/>
      </c>
      <c r="T2373" s="8" t="str">
        <f aca="false">IF(A2373="","",IF(S2373="","BYPASS",IF(ABS(S2373)&lt;=Summary!$B$2,"PASS","FAIL")))</f>
        <v/>
      </c>
      <c r="U2373" s="8" t="str">
        <f aca="false">IF(T2373="BYPASS",IF(NOT(ISNUMBER(Q2373)),"PreV_ETB missing","End_tr_balance missing"),IF(T2373="FAIL",IF(AND(ISNUMBER(K2373),ISNUMBER(L2373),ABS(L2373-(K2373-IF(ISNUMBER(N2373),N2373,0)-IF(ISNUMBER(O2373),O2373,0)+IF(ISNUMBER(P2373),P2373,0)))&lt;=Summary!$B$2),"Passes using beginning_balance - PreV_ETB differs from beginning_balance",IF(AND(ISNUMBER(O2373),O2373&lt;0,ABS(L2373-(Q2373-IF(ISNUMBER(N2373),N2373,0)+IF(ISNUMBER(P2373),P2373,0)))&lt;=Summary!$B$2),"Negative realized loss not applied - check sign",IF(R2373&lt;0,"Principal paid exceeds prior balance",IF(AND(L2373&gt;Q2373,NOT(ISNUMBER(P2373))),"Balance increased but no Deferred_interest reported",IF(L2373&gt;R2373,"Reported balance higher than expected (missing increase/OC build)","Reported balance lower than expected (missing decrease)"))))),""))</f>
        <v/>
      </c>
    </row>
    <row r="2374" customFormat="false" ht="15" hidden="false" customHeight="false" outlineLevel="0" collapsed="false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9"/>
      <c r="L2374" s="9"/>
      <c r="M2374" s="9"/>
      <c r="N2374" s="9"/>
      <c r="O2374" s="9"/>
      <c r="P2374" s="9"/>
      <c r="Q2374" s="9"/>
      <c r="R2374" s="9" t="str">
        <f aca="false">IF(AND(A2374&lt;&gt;"",ISNUMBER(Q2374),ISNUMBER(L2374)),ROUND(Q2374-IF(ISNUMBER(N2374),N2374,0)-IF(ISNUMBER(O2374),O2374,0)+IF(ISNUMBER(P2374),P2374,0),2),"")</f>
        <v/>
      </c>
      <c r="S2374" s="9" t="str">
        <f aca="false">IF(R2374="","",ROUND(L2374-R2374,2))</f>
        <v/>
      </c>
      <c r="T2374" s="8" t="str">
        <f aca="false">IF(A2374="","",IF(S2374="","BYPASS",IF(ABS(S2374)&lt;=Summary!$B$2,"PASS","FAIL")))</f>
        <v/>
      </c>
      <c r="U2374" s="8" t="str">
        <f aca="false">IF(T2374="BYPASS",IF(NOT(ISNUMBER(Q2374)),"PreV_ETB missing","End_tr_balance missing"),IF(T2374="FAIL",IF(AND(ISNUMBER(K2374),ISNUMBER(L2374),ABS(L2374-(K2374-IF(ISNUMBER(N2374),N2374,0)-IF(ISNUMBER(O2374),O2374,0)+IF(ISNUMBER(P2374),P2374,0)))&lt;=Summary!$B$2),"Passes using beginning_balance - PreV_ETB differs from beginning_balance",IF(AND(ISNUMBER(O2374),O2374&lt;0,ABS(L2374-(Q2374-IF(ISNUMBER(N2374),N2374,0)+IF(ISNUMBER(P2374),P2374,0)))&lt;=Summary!$B$2),"Negative realized loss not applied - check sign",IF(R2374&lt;0,"Principal paid exceeds prior balance",IF(AND(L2374&gt;Q2374,NOT(ISNUMBER(P2374))),"Balance increased but no Deferred_interest reported",IF(L2374&gt;R2374,"Reported balance higher than expected (missing increase/OC build)","Reported balance lower than expected (missing decrease)"))))),""))</f>
        <v/>
      </c>
    </row>
    <row r="2375" customFormat="false" ht="15" hidden="false" customHeight="false" outlineLevel="0" collapsed="false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9"/>
      <c r="L2375" s="9"/>
      <c r="M2375" s="9"/>
      <c r="N2375" s="9"/>
      <c r="O2375" s="9"/>
      <c r="P2375" s="9"/>
      <c r="Q2375" s="9"/>
      <c r="R2375" s="9" t="str">
        <f aca="false">IF(AND(A2375&lt;&gt;"",ISNUMBER(Q2375),ISNUMBER(L2375)),ROUND(Q2375-IF(ISNUMBER(N2375),N2375,0)-IF(ISNUMBER(O2375),O2375,0)+IF(ISNUMBER(P2375),P2375,0),2),"")</f>
        <v/>
      </c>
      <c r="S2375" s="9" t="str">
        <f aca="false">IF(R2375="","",ROUND(L2375-R2375,2))</f>
        <v/>
      </c>
      <c r="T2375" s="8" t="str">
        <f aca="false">IF(A2375="","",IF(S2375="","BYPASS",IF(ABS(S2375)&lt;=Summary!$B$2,"PASS","FAIL")))</f>
        <v/>
      </c>
      <c r="U2375" s="8" t="str">
        <f aca="false">IF(T2375="BYPASS",IF(NOT(ISNUMBER(Q2375)),"PreV_ETB missing","End_tr_balance missing"),IF(T2375="FAIL",IF(AND(ISNUMBER(K2375),ISNUMBER(L2375),ABS(L2375-(K2375-IF(ISNUMBER(N2375),N2375,0)-IF(ISNUMBER(O2375),O2375,0)+IF(ISNUMBER(P2375),P2375,0)))&lt;=Summary!$B$2),"Passes using beginning_balance - PreV_ETB differs from beginning_balance",IF(AND(ISNUMBER(O2375),O2375&lt;0,ABS(L2375-(Q2375-IF(ISNUMBER(N2375),N2375,0)+IF(ISNUMBER(P2375),P2375,0)))&lt;=Summary!$B$2),"Negative realized loss not applied - check sign",IF(R2375&lt;0,"Principal paid exceeds prior balance",IF(AND(L2375&gt;Q2375,NOT(ISNUMBER(P2375))),"Balance increased but no Deferred_interest reported",IF(L2375&gt;R2375,"Reported balance higher than expected (missing increase/OC build)","Reported balance lower than expected (missing decrease)"))))),""))</f>
        <v/>
      </c>
    </row>
    <row r="2376" customFormat="false" ht="15" hidden="false" customHeight="false" outlineLevel="0" collapsed="false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9"/>
      <c r="L2376" s="9"/>
      <c r="M2376" s="9"/>
      <c r="N2376" s="9"/>
      <c r="O2376" s="9"/>
      <c r="P2376" s="9"/>
      <c r="Q2376" s="9"/>
      <c r="R2376" s="9" t="str">
        <f aca="false">IF(AND(A2376&lt;&gt;"",ISNUMBER(Q2376),ISNUMBER(L2376)),ROUND(Q2376-IF(ISNUMBER(N2376),N2376,0)-IF(ISNUMBER(O2376),O2376,0)+IF(ISNUMBER(P2376),P2376,0),2),"")</f>
        <v/>
      </c>
      <c r="S2376" s="9" t="str">
        <f aca="false">IF(R2376="","",ROUND(L2376-R2376,2))</f>
        <v/>
      </c>
      <c r="T2376" s="8" t="str">
        <f aca="false">IF(A2376="","",IF(S2376="","BYPASS",IF(ABS(S2376)&lt;=Summary!$B$2,"PASS","FAIL")))</f>
        <v/>
      </c>
      <c r="U2376" s="8" t="str">
        <f aca="false">IF(T2376="BYPASS",IF(NOT(ISNUMBER(Q2376)),"PreV_ETB missing","End_tr_balance missing"),IF(T2376="FAIL",IF(AND(ISNUMBER(K2376),ISNUMBER(L2376),ABS(L2376-(K2376-IF(ISNUMBER(N2376),N2376,0)-IF(ISNUMBER(O2376),O2376,0)+IF(ISNUMBER(P2376),P2376,0)))&lt;=Summary!$B$2),"Passes using beginning_balance - PreV_ETB differs from beginning_balance",IF(AND(ISNUMBER(O2376),O2376&lt;0,ABS(L2376-(Q2376-IF(ISNUMBER(N2376),N2376,0)+IF(ISNUMBER(P2376),P2376,0)))&lt;=Summary!$B$2),"Negative realized loss not applied - check sign",IF(R2376&lt;0,"Principal paid exceeds prior balance",IF(AND(L2376&gt;Q2376,NOT(ISNUMBER(P2376))),"Balance increased but no Deferred_interest reported",IF(L2376&gt;R2376,"Reported balance higher than expected (missing increase/OC build)","Reported balance lower than expected (missing decrease)"))))),""))</f>
        <v/>
      </c>
    </row>
    <row r="2377" customFormat="false" ht="15" hidden="false" customHeight="false" outlineLevel="0" collapsed="false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9"/>
      <c r="L2377" s="9"/>
      <c r="M2377" s="9"/>
      <c r="N2377" s="9"/>
      <c r="O2377" s="9"/>
      <c r="P2377" s="9"/>
      <c r="Q2377" s="9"/>
      <c r="R2377" s="9" t="str">
        <f aca="false">IF(AND(A2377&lt;&gt;"",ISNUMBER(Q2377),ISNUMBER(L2377)),ROUND(Q2377-IF(ISNUMBER(N2377),N2377,0)-IF(ISNUMBER(O2377),O2377,0)+IF(ISNUMBER(P2377),P2377,0),2),"")</f>
        <v/>
      </c>
      <c r="S2377" s="9" t="str">
        <f aca="false">IF(R2377="","",ROUND(L2377-R2377,2))</f>
        <v/>
      </c>
      <c r="T2377" s="8" t="str">
        <f aca="false">IF(A2377="","",IF(S2377="","BYPASS",IF(ABS(S2377)&lt;=Summary!$B$2,"PASS","FAIL")))</f>
        <v/>
      </c>
      <c r="U2377" s="8" t="str">
        <f aca="false">IF(T2377="BYPASS",IF(NOT(ISNUMBER(Q2377)),"PreV_ETB missing","End_tr_balance missing"),IF(T2377="FAIL",IF(AND(ISNUMBER(K2377),ISNUMBER(L2377),ABS(L2377-(K2377-IF(ISNUMBER(N2377),N2377,0)-IF(ISNUMBER(O2377),O2377,0)+IF(ISNUMBER(P2377),P2377,0)))&lt;=Summary!$B$2),"Passes using beginning_balance - PreV_ETB differs from beginning_balance",IF(AND(ISNUMBER(O2377),O2377&lt;0,ABS(L2377-(Q2377-IF(ISNUMBER(N2377),N2377,0)+IF(ISNUMBER(P2377),P2377,0)))&lt;=Summary!$B$2),"Negative realized loss not applied - check sign",IF(R2377&lt;0,"Principal paid exceeds prior balance",IF(AND(L2377&gt;Q2377,NOT(ISNUMBER(P2377))),"Balance increased but no Deferred_interest reported",IF(L2377&gt;R2377,"Reported balance higher than expected (missing increase/OC build)","Reported balance lower than expected (missing decrease)"))))),""))</f>
        <v/>
      </c>
    </row>
    <row r="2378" customFormat="false" ht="15" hidden="false" customHeight="false" outlineLevel="0" collapsed="false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9"/>
      <c r="L2378" s="9"/>
      <c r="M2378" s="9"/>
      <c r="N2378" s="9"/>
      <c r="O2378" s="9"/>
      <c r="P2378" s="9"/>
      <c r="Q2378" s="9"/>
      <c r="R2378" s="9" t="str">
        <f aca="false">IF(AND(A2378&lt;&gt;"",ISNUMBER(Q2378),ISNUMBER(L2378)),ROUND(Q2378-IF(ISNUMBER(N2378),N2378,0)-IF(ISNUMBER(O2378),O2378,0)+IF(ISNUMBER(P2378),P2378,0),2),"")</f>
        <v/>
      </c>
      <c r="S2378" s="9" t="str">
        <f aca="false">IF(R2378="","",ROUND(L2378-R2378,2))</f>
        <v/>
      </c>
      <c r="T2378" s="8" t="str">
        <f aca="false">IF(A2378="","",IF(S2378="","BYPASS",IF(ABS(S2378)&lt;=Summary!$B$2,"PASS","FAIL")))</f>
        <v/>
      </c>
      <c r="U2378" s="8" t="str">
        <f aca="false">IF(T2378="BYPASS",IF(NOT(ISNUMBER(Q2378)),"PreV_ETB missing","End_tr_balance missing"),IF(T2378="FAIL",IF(AND(ISNUMBER(K2378),ISNUMBER(L2378),ABS(L2378-(K2378-IF(ISNUMBER(N2378),N2378,0)-IF(ISNUMBER(O2378),O2378,0)+IF(ISNUMBER(P2378),P2378,0)))&lt;=Summary!$B$2),"Passes using beginning_balance - PreV_ETB differs from beginning_balance",IF(AND(ISNUMBER(O2378),O2378&lt;0,ABS(L2378-(Q2378-IF(ISNUMBER(N2378),N2378,0)+IF(ISNUMBER(P2378),P2378,0)))&lt;=Summary!$B$2),"Negative realized loss not applied - check sign",IF(R2378&lt;0,"Principal paid exceeds prior balance",IF(AND(L2378&gt;Q2378,NOT(ISNUMBER(P2378))),"Balance increased but no Deferred_interest reported",IF(L2378&gt;R2378,"Reported balance higher than expected (missing increase/OC build)","Reported balance lower than expected (missing decrease)"))))),""))</f>
        <v/>
      </c>
    </row>
    <row r="2379" customFormat="false" ht="15" hidden="false" customHeight="false" outlineLevel="0" collapsed="false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9"/>
      <c r="L2379" s="9"/>
      <c r="M2379" s="9"/>
      <c r="N2379" s="9"/>
      <c r="O2379" s="9"/>
      <c r="P2379" s="9"/>
      <c r="Q2379" s="9"/>
      <c r="R2379" s="9" t="str">
        <f aca="false">IF(AND(A2379&lt;&gt;"",ISNUMBER(Q2379),ISNUMBER(L2379)),ROUND(Q2379-IF(ISNUMBER(N2379),N2379,0)-IF(ISNUMBER(O2379),O2379,0)+IF(ISNUMBER(P2379),P2379,0),2),"")</f>
        <v/>
      </c>
      <c r="S2379" s="9" t="str">
        <f aca="false">IF(R2379="","",ROUND(L2379-R2379,2))</f>
        <v/>
      </c>
      <c r="T2379" s="8" t="str">
        <f aca="false">IF(A2379="","",IF(S2379="","BYPASS",IF(ABS(S2379)&lt;=Summary!$B$2,"PASS","FAIL")))</f>
        <v/>
      </c>
      <c r="U2379" s="8" t="str">
        <f aca="false">IF(T2379="BYPASS",IF(NOT(ISNUMBER(Q2379)),"PreV_ETB missing","End_tr_balance missing"),IF(T2379="FAIL",IF(AND(ISNUMBER(K2379),ISNUMBER(L2379),ABS(L2379-(K2379-IF(ISNUMBER(N2379),N2379,0)-IF(ISNUMBER(O2379),O2379,0)+IF(ISNUMBER(P2379),P2379,0)))&lt;=Summary!$B$2),"Passes using beginning_balance - PreV_ETB differs from beginning_balance",IF(AND(ISNUMBER(O2379),O2379&lt;0,ABS(L2379-(Q2379-IF(ISNUMBER(N2379),N2379,0)+IF(ISNUMBER(P2379),P2379,0)))&lt;=Summary!$B$2),"Negative realized loss not applied - check sign",IF(R2379&lt;0,"Principal paid exceeds prior balance",IF(AND(L2379&gt;Q2379,NOT(ISNUMBER(P2379))),"Balance increased but no Deferred_interest reported",IF(L2379&gt;R2379,"Reported balance higher than expected (missing increase/OC build)","Reported balance lower than expected (missing decrease)"))))),""))</f>
        <v/>
      </c>
    </row>
    <row r="2380" customFormat="false" ht="15" hidden="false" customHeight="false" outlineLevel="0" collapsed="false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9"/>
      <c r="L2380" s="9"/>
      <c r="M2380" s="9"/>
      <c r="N2380" s="9"/>
      <c r="O2380" s="9"/>
      <c r="P2380" s="9"/>
      <c r="Q2380" s="9"/>
      <c r="R2380" s="9" t="str">
        <f aca="false">IF(AND(A2380&lt;&gt;"",ISNUMBER(Q2380),ISNUMBER(L2380)),ROUND(Q2380-IF(ISNUMBER(N2380),N2380,0)-IF(ISNUMBER(O2380),O2380,0)+IF(ISNUMBER(P2380),P2380,0),2),"")</f>
        <v/>
      </c>
      <c r="S2380" s="9" t="str">
        <f aca="false">IF(R2380="","",ROUND(L2380-R2380,2))</f>
        <v/>
      </c>
      <c r="T2380" s="8" t="str">
        <f aca="false">IF(A2380="","",IF(S2380="","BYPASS",IF(ABS(S2380)&lt;=Summary!$B$2,"PASS","FAIL")))</f>
        <v/>
      </c>
      <c r="U2380" s="8" t="str">
        <f aca="false">IF(T2380="BYPASS",IF(NOT(ISNUMBER(Q2380)),"PreV_ETB missing","End_tr_balance missing"),IF(T2380="FAIL",IF(AND(ISNUMBER(K2380),ISNUMBER(L2380),ABS(L2380-(K2380-IF(ISNUMBER(N2380),N2380,0)-IF(ISNUMBER(O2380),O2380,0)+IF(ISNUMBER(P2380),P2380,0)))&lt;=Summary!$B$2),"Passes using beginning_balance - PreV_ETB differs from beginning_balance",IF(AND(ISNUMBER(O2380),O2380&lt;0,ABS(L2380-(Q2380-IF(ISNUMBER(N2380),N2380,0)+IF(ISNUMBER(P2380),P2380,0)))&lt;=Summary!$B$2),"Negative realized loss not applied - check sign",IF(R2380&lt;0,"Principal paid exceeds prior balance",IF(AND(L2380&gt;Q2380,NOT(ISNUMBER(P2380))),"Balance increased but no Deferred_interest reported",IF(L2380&gt;R2380,"Reported balance higher than expected (missing increase/OC build)","Reported balance lower than expected (missing decrease)"))))),""))</f>
        <v/>
      </c>
    </row>
    <row r="2381" customFormat="false" ht="15" hidden="false" customHeight="false" outlineLevel="0" collapsed="false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9"/>
      <c r="L2381" s="9"/>
      <c r="M2381" s="9"/>
      <c r="N2381" s="9"/>
      <c r="O2381" s="9"/>
      <c r="P2381" s="9"/>
      <c r="Q2381" s="9"/>
      <c r="R2381" s="9" t="str">
        <f aca="false">IF(AND(A2381&lt;&gt;"",ISNUMBER(Q2381),ISNUMBER(L2381)),ROUND(Q2381-IF(ISNUMBER(N2381),N2381,0)-IF(ISNUMBER(O2381),O2381,0)+IF(ISNUMBER(P2381),P2381,0),2),"")</f>
        <v/>
      </c>
      <c r="S2381" s="9" t="str">
        <f aca="false">IF(R2381="","",ROUND(L2381-R2381,2))</f>
        <v/>
      </c>
      <c r="T2381" s="8" t="str">
        <f aca="false">IF(A2381="","",IF(S2381="","BYPASS",IF(ABS(S2381)&lt;=Summary!$B$2,"PASS","FAIL")))</f>
        <v/>
      </c>
      <c r="U2381" s="8" t="str">
        <f aca="false">IF(T2381="BYPASS",IF(NOT(ISNUMBER(Q2381)),"PreV_ETB missing","End_tr_balance missing"),IF(T2381="FAIL",IF(AND(ISNUMBER(K2381),ISNUMBER(L2381),ABS(L2381-(K2381-IF(ISNUMBER(N2381),N2381,0)-IF(ISNUMBER(O2381),O2381,0)+IF(ISNUMBER(P2381),P2381,0)))&lt;=Summary!$B$2),"Passes using beginning_balance - PreV_ETB differs from beginning_balance",IF(AND(ISNUMBER(O2381),O2381&lt;0,ABS(L2381-(Q2381-IF(ISNUMBER(N2381),N2381,0)+IF(ISNUMBER(P2381),P2381,0)))&lt;=Summary!$B$2),"Negative realized loss not applied - check sign",IF(R2381&lt;0,"Principal paid exceeds prior balance",IF(AND(L2381&gt;Q2381,NOT(ISNUMBER(P2381))),"Balance increased but no Deferred_interest reported",IF(L2381&gt;R2381,"Reported balance higher than expected (missing increase/OC build)","Reported balance lower than expected (missing decrease)"))))),""))</f>
        <v/>
      </c>
    </row>
    <row r="2382" customFormat="false" ht="15" hidden="false" customHeight="false" outlineLevel="0" collapsed="false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9"/>
      <c r="L2382" s="9"/>
      <c r="M2382" s="9"/>
      <c r="N2382" s="9"/>
      <c r="O2382" s="9"/>
      <c r="P2382" s="9"/>
      <c r="Q2382" s="9"/>
      <c r="R2382" s="9" t="str">
        <f aca="false">IF(AND(A2382&lt;&gt;"",ISNUMBER(Q2382),ISNUMBER(L2382)),ROUND(Q2382-IF(ISNUMBER(N2382),N2382,0)-IF(ISNUMBER(O2382),O2382,0)+IF(ISNUMBER(P2382),P2382,0),2),"")</f>
        <v/>
      </c>
      <c r="S2382" s="9" t="str">
        <f aca="false">IF(R2382="","",ROUND(L2382-R2382,2))</f>
        <v/>
      </c>
      <c r="T2382" s="8" t="str">
        <f aca="false">IF(A2382="","",IF(S2382="","BYPASS",IF(ABS(S2382)&lt;=Summary!$B$2,"PASS","FAIL")))</f>
        <v/>
      </c>
      <c r="U2382" s="8" t="str">
        <f aca="false">IF(T2382="BYPASS",IF(NOT(ISNUMBER(Q2382)),"PreV_ETB missing","End_tr_balance missing"),IF(T2382="FAIL",IF(AND(ISNUMBER(K2382),ISNUMBER(L2382),ABS(L2382-(K2382-IF(ISNUMBER(N2382),N2382,0)-IF(ISNUMBER(O2382),O2382,0)+IF(ISNUMBER(P2382),P2382,0)))&lt;=Summary!$B$2),"Passes using beginning_balance - PreV_ETB differs from beginning_balance",IF(AND(ISNUMBER(O2382),O2382&lt;0,ABS(L2382-(Q2382-IF(ISNUMBER(N2382),N2382,0)+IF(ISNUMBER(P2382),P2382,0)))&lt;=Summary!$B$2),"Negative realized loss not applied - check sign",IF(R2382&lt;0,"Principal paid exceeds prior balance",IF(AND(L2382&gt;Q2382,NOT(ISNUMBER(P2382))),"Balance increased but no Deferred_interest reported",IF(L2382&gt;R2382,"Reported balance higher than expected (missing increase/OC build)","Reported balance lower than expected (missing decrease)"))))),""))</f>
        <v/>
      </c>
    </row>
    <row r="2383" customFormat="false" ht="15" hidden="false" customHeight="false" outlineLevel="0" collapsed="false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9"/>
      <c r="L2383" s="9"/>
      <c r="M2383" s="9"/>
      <c r="N2383" s="9"/>
      <c r="O2383" s="9"/>
      <c r="P2383" s="9"/>
      <c r="Q2383" s="9"/>
      <c r="R2383" s="9" t="str">
        <f aca="false">IF(AND(A2383&lt;&gt;"",ISNUMBER(Q2383),ISNUMBER(L2383)),ROUND(Q2383-IF(ISNUMBER(N2383),N2383,0)-IF(ISNUMBER(O2383),O2383,0)+IF(ISNUMBER(P2383),P2383,0),2),"")</f>
        <v/>
      </c>
      <c r="S2383" s="9" t="str">
        <f aca="false">IF(R2383="","",ROUND(L2383-R2383,2))</f>
        <v/>
      </c>
      <c r="T2383" s="8" t="str">
        <f aca="false">IF(A2383="","",IF(S2383="","BYPASS",IF(ABS(S2383)&lt;=Summary!$B$2,"PASS","FAIL")))</f>
        <v/>
      </c>
      <c r="U2383" s="8" t="str">
        <f aca="false">IF(T2383="BYPASS",IF(NOT(ISNUMBER(Q2383)),"PreV_ETB missing","End_tr_balance missing"),IF(T2383="FAIL",IF(AND(ISNUMBER(K2383),ISNUMBER(L2383),ABS(L2383-(K2383-IF(ISNUMBER(N2383),N2383,0)-IF(ISNUMBER(O2383),O2383,0)+IF(ISNUMBER(P2383),P2383,0)))&lt;=Summary!$B$2),"Passes using beginning_balance - PreV_ETB differs from beginning_balance",IF(AND(ISNUMBER(O2383),O2383&lt;0,ABS(L2383-(Q2383-IF(ISNUMBER(N2383),N2383,0)+IF(ISNUMBER(P2383),P2383,0)))&lt;=Summary!$B$2),"Negative realized loss not applied - check sign",IF(R2383&lt;0,"Principal paid exceeds prior balance",IF(AND(L2383&gt;Q2383,NOT(ISNUMBER(P2383))),"Balance increased but no Deferred_interest reported",IF(L2383&gt;R2383,"Reported balance higher than expected (missing increase/OC build)","Reported balance lower than expected (missing decrease)"))))),""))</f>
        <v/>
      </c>
    </row>
    <row r="2384" customFormat="false" ht="15" hidden="false" customHeight="false" outlineLevel="0" collapsed="false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9"/>
      <c r="L2384" s="9"/>
      <c r="M2384" s="9"/>
      <c r="N2384" s="9"/>
      <c r="O2384" s="9"/>
      <c r="P2384" s="9"/>
      <c r="Q2384" s="9"/>
      <c r="R2384" s="9" t="str">
        <f aca="false">IF(AND(A2384&lt;&gt;"",ISNUMBER(Q2384),ISNUMBER(L2384)),ROUND(Q2384-IF(ISNUMBER(N2384),N2384,0)-IF(ISNUMBER(O2384),O2384,0)+IF(ISNUMBER(P2384),P2384,0),2),"")</f>
        <v/>
      </c>
      <c r="S2384" s="9" t="str">
        <f aca="false">IF(R2384="","",ROUND(L2384-R2384,2))</f>
        <v/>
      </c>
      <c r="T2384" s="8" t="str">
        <f aca="false">IF(A2384="","",IF(S2384="","BYPASS",IF(ABS(S2384)&lt;=Summary!$B$2,"PASS","FAIL")))</f>
        <v/>
      </c>
      <c r="U2384" s="8" t="str">
        <f aca="false">IF(T2384="BYPASS",IF(NOT(ISNUMBER(Q2384)),"PreV_ETB missing","End_tr_balance missing"),IF(T2384="FAIL",IF(AND(ISNUMBER(K2384),ISNUMBER(L2384),ABS(L2384-(K2384-IF(ISNUMBER(N2384),N2384,0)-IF(ISNUMBER(O2384),O2384,0)+IF(ISNUMBER(P2384),P2384,0)))&lt;=Summary!$B$2),"Passes using beginning_balance - PreV_ETB differs from beginning_balance",IF(AND(ISNUMBER(O2384),O2384&lt;0,ABS(L2384-(Q2384-IF(ISNUMBER(N2384),N2384,0)+IF(ISNUMBER(P2384),P2384,0)))&lt;=Summary!$B$2),"Negative realized loss not applied - check sign",IF(R2384&lt;0,"Principal paid exceeds prior balance",IF(AND(L2384&gt;Q2384,NOT(ISNUMBER(P2384))),"Balance increased but no Deferred_interest reported",IF(L2384&gt;R2384,"Reported balance higher than expected (missing increase/OC build)","Reported balance lower than expected (missing decrease)"))))),""))</f>
        <v/>
      </c>
    </row>
    <row r="2385" customFormat="false" ht="15" hidden="false" customHeight="false" outlineLevel="0" collapsed="false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9"/>
      <c r="L2385" s="9"/>
      <c r="M2385" s="9"/>
      <c r="N2385" s="9"/>
      <c r="O2385" s="9"/>
      <c r="P2385" s="9"/>
      <c r="Q2385" s="9"/>
      <c r="R2385" s="9" t="str">
        <f aca="false">IF(AND(A2385&lt;&gt;"",ISNUMBER(Q2385),ISNUMBER(L2385)),ROUND(Q2385-IF(ISNUMBER(N2385),N2385,0)-IF(ISNUMBER(O2385),O2385,0)+IF(ISNUMBER(P2385),P2385,0),2),"")</f>
        <v/>
      </c>
      <c r="S2385" s="9" t="str">
        <f aca="false">IF(R2385="","",ROUND(L2385-R2385,2))</f>
        <v/>
      </c>
      <c r="T2385" s="8" t="str">
        <f aca="false">IF(A2385="","",IF(S2385="","BYPASS",IF(ABS(S2385)&lt;=Summary!$B$2,"PASS","FAIL")))</f>
        <v/>
      </c>
      <c r="U2385" s="8" t="str">
        <f aca="false">IF(T2385="BYPASS",IF(NOT(ISNUMBER(Q2385)),"PreV_ETB missing","End_tr_balance missing"),IF(T2385="FAIL",IF(AND(ISNUMBER(K2385),ISNUMBER(L2385),ABS(L2385-(K2385-IF(ISNUMBER(N2385),N2385,0)-IF(ISNUMBER(O2385),O2385,0)+IF(ISNUMBER(P2385),P2385,0)))&lt;=Summary!$B$2),"Passes using beginning_balance - PreV_ETB differs from beginning_balance",IF(AND(ISNUMBER(O2385),O2385&lt;0,ABS(L2385-(Q2385-IF(ISNUMBER(N2385),N2385,0)+IF(ISNUMBER(P2385),P2385,0)))&lt;=Summary!$B$2),"Negative realized loss not applied - check sign",IF(R2385&lt;0,"Principal paid exceeds prior balance",IF(AND(L2385&gt;Q2385,NOT(ISNUMBER(P2385))),"Balance increased but no Deferred_interest reported",IF(L2385&gt;R2385,"Reported balance higher than expected (missing increase/OC build)","Reported balance lower than expected (missing decrease)"))))),""))</f>
        <v/>
      </c>
    </row>
    <row r="2386" customFormat="false" ht="15" hidden="false" customHeight="false" outlineLevel="0" collapsed="false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9"/>
      <c r="L2386" s="9"/>
      <c r="M2386" s="9"/>
      <c r="N2386" s="9"/>
      <c r="O2386" s="9"/>
      <c r="P2386" s="9"/>
      <c r="Q2386" s="9"/>
      <c r="R2386" s="9" t="str">
        <f aca="false">IF(AND(A2386&lt;&gt;"",ISNUMBER(Q2386),ISNUMBER(L2386)),ROUND(Q2386-IF(ISNUMBER(N2386),N2386,0)-IF(ISNUMBER(O2386),O2386,0)+IF(ISNUMBER(P2386),P2386,0),2),"")</f>
        <v/>
      </c>
      <c r="S2386" s="9" t="str">
        <f aca="false">IF(R2386="","",ROUND(L2386-R2386,2))</f>
        <v/>
      </c>
      <c r="T2386" s="8" t="str">
        <f aca="false">IF(A2386="","",IF(S2386="","BYPASS",IF(ABS(S2386)&lt;=Summary!$B$2,"PASS","FAIL")))</f>
        <v/>
      </c>
      <c r="U2386" s="8" t="str">
        <f aca="false">IF(T2386="BYPASS",IF(NOT(ISNUMBER(Q2386)),"PreV_ETB missing","End_tr_balance missing"),IF(T2386="FAIL",IF(AND(ISNUMBER(K2386),ISNUMBER(L2386),ABS(L2386-(K2386-IF(ISNUMBER(N2386),N2386,0)-IF(ISNUMBER(O2386),O2386,0)+IF(ISNUMBER(P2386),P2386,0)))&lt;=Summary!$B$2),"Passes using beginning_balance - PreV_ETB differs from beginning_balance",IF(AND(ISNUMBER(O2386),O2386&lt;0,ABS(L2386-(Q2386-IF(ISNUMBER(N2386),N2386,0)+IF(ISNUMBER(P2386),P2386,0)))&lt;=Summary!$B$2),"Negative realized loss not applied - check sign",IF(R2386&lt;0,"Principal paid exceeds prior balance",IF(AND(L2386&gt;Q2386,NOT(ISNUMBER(P2386))),"Balance increased but no Deferred_interest reported",IF(L2386&gt;R2386,"Reported balance higher than expected (missing increase/OC build)","Reported balance lower than expected (missing decrease)"))))),""))</f>
        <v/>
      </c>
    </row>
    <row r="2387" customFormat="false" ht="15" hidden="false" customHeight="false" outlineLevel="0" collapsed="false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9"/>
      <c r="L2387" s="9"/>
      <c r="M2387" s="9"/>
      <c r="N2387" s="9"/>
      <c r="O2387" s="9"/>
      <c r="P2387" s="9"/>
      <c r="Q2387" s="9"/>
      <c r="R2387" s="9" t="str">
        <f aca="false">IF(AND(A2387&lt;&gt;"",ISNUMBER(Q2387),ISNUMBER(L2387)),ROUND(Q2387-IF(ISNUMBER(N2387),N2387,0)-IF(ISNUMBER(O2387),O2387,0)+IF(ISNUMBER(P2387),P2387,0),2),"")</f>
        <v/>
      </c>
      <c r="S2387" s="9" t="str">
        <f aca="false">IF(R2387="","",ROUND(L2387-R2387,2))</f>
        <v/>
      </c>
      <c r="T2387" s="8" t="str">
        <f aca="false">IF(A2387="","",IF(S2387="","BYPASS",IF(ABS(S2387)&lt;=Summary!$B$2,"PASS","FAIL")))</f>
        <v/>
      </c>
      <c r="U2387" s="8" t="str">
        <f aca="false">IF(T2387="BYPASS",IF(NOT(ISNUMBER(Q2387)),"PreV_ETB missing","End_tr_balance missing"),IF(T2387="FAIL",IF(AND(ISNUMBER(K2387),ISNUMBER(L2387),ABS(L2387-(K2387-IF(ISNUMBER(N2387),N2387,0)-IF(ISNUMBER(O2387),O2387,0)+IF(ISNUMBER(P2387),P2387,0)))&lt;=Summary!$B$2),"Passes using beginning_balance - PreV_ETB differs from beginning_balance",IF(AND(ISNUMBER(O2387),O2387&lt;0,ABS(L2387-(Q2387-IF(ISNUMBER(N2387),N2387,0)+IF(ISNUMBER(P2387),P2387,0)))&lt;=Summary!$B$2),"Negative realized loss not applied - check sign",IF(R2387&lt;0,"Principal paid exceeds prior balance",IF(AND(L2387&gt;Q2387,NOT(ISNUMBER(P2387))),"Balance increased but no Deferred_interest reported",IF(L2387&gt;R2387,"Reported balance higher than expected (missing increase/OC build)","Reported balance lower than expected (missing decrease)"))))),""))</f>
        <v/>
      </c>
    </row>
    <row r="2388" customFormat="false" ht="15" hidden="false" customHeight="false" outlineLevel="0" collapsed="false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9"/>
      <c r="L2388" s="9"/>
      <c r="M2388" s="9"/>
      <c r="N2388" s="9"/>
      <c r="O2388" s="9"/>
      <c r="P2388" s="9"/>
      <c r="Q2388" s="9"/>
      <c r="R2388" s="9" t="str">
        <f aca="false">IF(AND(A2388&lt;&gt;"",ISNUMBER(Q2388),ISNUMBER(L2388)),ROUND(Q2388-IF(ISNUMBER(N2388),N2388,0)-IF(ISNUMBER(O2388),O2388,0)+IF(ISNUMBER(P2388),P2388,0),2),"")</f>
        <v/>
      </c>
      <c r="S2388" s="9" t="str">
        <f aca="false">IF(R2388="","",ROUND(L2388-R2388,2))</f>
        <v/>
      </c>
      <c r="T2388" s="8" t="str">
        <f aca="false">IF(A2388="","",IF(S2388="","BYPASS",IF(ABS(S2388)&lt;=Summary!$B$2,"PASS","FAIL")))</f>
        <v/>
      </c>
      <c r="U2388" s="8" t="str">
        <f aca="false">IF(T2388="BYPASS",IF(NOT(ISNUMBER(Q2388)),"PreV_ETB missing","End_tr_balance missing"),IF(T2388="FAIL",IF(AND(ISNUMBER(K2388),ISNUMBER(L2388),ABS(L2388-(K2388-IF(ISNUMBER(N2388),N2388,0)-IF(ISNUMBER(O2388),O2388,0)+IF(ISNUMBER(P2388),P2388,0)))&lt;=Summary!$B$2),"Passes using beginning_balance - PreV_ETB differs from beginning_balance",IF(AND(ISNUMBER(O2388),O2388&lt;0,ABS(L2388-(Q2388-IF(ISNUMBER(N2388),N2388,0)+IF(ISNUMBER(P2388),P2388,0)))&lt;=Summary!$B$2),"Negative realized loss not applied - check sign",IF(R2388&lt;0,"Principal paid exceeds prior balance",IF(AND(L2388&gt;Q2388,NOT(ISNUMBER(P2388))),"Balance increased but no Deferred_interest reported",IF(L2388&gt;R2388,"Reported balance higher than expected (missing increase/OC build)","Reported balance lower than expected (missing decrease)"))))),""))</f>
        <v/>
      </c>
    </row>
    <row r="2389" customFormat="false" ht="15" hidden="false" customHeight="false" outlineLevel="0" collapsed="false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9"/>
      <c r="L2389" s="9"/>
      <c r="M2389" s="9"/>
      <c r="N2389" s="9"/>
      <c r="O2389" s="9"/>
      <c r="P2389" s="9"/>
      <c r="Q2389" s="9"/>
      <c r="R2389" s="9" t="str">
        <f aca="false">IF(AND(A2389&lt;&gt;"",ISNUMBER(Q2389),ISNUMBER(L2389)),ROUND(Q2389-IF(ISNUMBER(N2389),N2389,0)-IF(ISNUMBER(O2389),O2389,0)+IF(ISNUMBER(P2389),P2389,0),2),"")</f>
        <v/>
      </c>
      <c r="S2389" s="9" t="str">
        <f aca="false">IF(R2389="","",ROUND(L2389-R2389,2))</f>
        <v/>
      </c>
      <c r="T2389" s="8" t="str">
        <f aca="false">IF(A2389="","",IF(S2389="","BYPASS",IF(ABS(S2389)&lt;=Summary!$B$2,"PASS","FAIL")))</f>
        <v/>
      </c>
      <c r="U2389" s="8" t="str">
        <f aca="false">IF(T2389="BYPASS",IF(NOT(ISNUMBER(Q2389)),"PreV_ETB missing","End_tr_balance missing"),IF(T2389="FAIL",IF(AND(ISNUMBER(K2389),ISNUMBER(L2389),ABS(L2389-(K2389-IF(ISNUMBER(N2389),N2389,0)-IF(ISNUMBER(O2389),O2389,0)+IF(ISNUMBER(P2389),P2389,0)))&lt;=Summary!$B$2),"Passes using beginning_balance - PreV_ETB differs from beginning_balance",IF(AND(ISNUMBER(O2389),O2389&lt;0,ABS(L2389-(Q2389-IF(ISNUMBER(N2389),N2389,0)+IF(ISNUMBER(P2389),P2389,0)))&lt;=Summary!$B$2),"Negative realized loss not applied - check sign",IF(R2389&lt;0,"Principal paid exceeds prior balance",IF(AND(L2389&gt;Q2389,NOT(ISNUMBER(P2389))),"Balance increased but no Deferred_interest reported",IF(L2389&gt;R2389,"Reported balance higher than expected (missing increase/OC build)","Reported balance lower than expected (missing decrease)"))))),""))</f>
        <v/>
      </c>
    </row>
    <row r="2390" customFormat="false" ht="15" hidden="false" customHeight="false" outlineLevel="0" collapsed="false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9"/>
      <c r="L2390" s="9"/>
      <c r="M2390" s="9"/>
      <c r="N2390" s="9"/>
      <c r="O2390" s="9"/>
      <c r="P2390" s="9"/>
      <c r="Q2390" s="9"/>
      <c r="R2390" s="9" t="str">
        <f aca="false">IF(AND(A2390&lt;&gt;"",ISNUMBER(Q2390),ISNUMBER(L2390)),ROUND(Q2390-IF(ISNUMBER(N2390),N2390,0)-IF(ISNUMBER(O2390),O2390,0)+IF(ISNUMBER(P2390),P2390,0),2),"")</f>
        <v/>
      </c>
      <c r="S2390" s="9" t="str">
        <f aca="false">IF(R2390="","",ROUND(L2390-R2390,2))</f>
        <v/>
      </c>
      <c r="T2390" s="8" t="str">
        <f aca="false">IF(A2390="","",IF(S2390="","BYPASS",IF(ABS(S2390)&lt;=Summary!$B$2,"PASS","FAIL")))</f>
        <v/>
      </c>
      <c r="U2390" s="8" t="str">
        <f aca="false">IF(T2390="BYPASS",IF(NOT(ISNUMBER(Q2390)),"PreV_ETB missing","End_tr_balance missing"),IF(T2390="FAIL",IF(AND(ISNUMBER(K2390),ISNUMBER(L2390),ABS(L2390-(K2390-IF(ISNUMBER(N2390),N2390,0)-IF(ISNUMBER(O2390),O2390,0)+IF(ISNUMBER(P2390),P2390,0)))&lt;=Summary!$B$2),"Passes using beginning_balance - PreV_ETB differs from beginning_balance",IF(AND(ISNUMBER(O2390),O2390&lt;0,ABS(L2390-(Q2390-IF(ISNUMBER(N2390),N2390,0)+IF(ISNUMBER(P2390),P2390,0)))&lt;=Summary!$B$2),"Negative realized loss not applied - check sign",IF(R2390&lt;0,"Principal paid exceeds prior balance",IF(AND(L2390&gt;Q2390,NOT(ISNUMBER(P2390))),"Balance increased but no Deferred_interest reported",IF(L2390&gt;R2390,"Reported balance higher than expected (missing increase/OC build)","Reported balance lower than expected (missing decrease)"))))),""))</f>
        <v/>
      </c>
    </row>
    <row r="2391" customFormat="false" ht="15" hidden="false" customHeight="false" outlineLevel="0" collapsed="false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9"/>
      <c r="L2391" s="9"/>
      <c r="M2391" s="9"/>
      <c r="N2391" s="9"/>
      <c r="O2391" s="9"/>
      <c r="P2391" s="9"/>
      <c r="Q2391" s="9"/>
      <c r="R2391" s="9" t="str">
        <f aca="false">IF(AND(A2391&lt;&gt;"",ISNUMBER(Q2391),ISNUMBER(L2391)),ROUND(Q2391-IF(ISNUMBER(N2391),N2391,0)-IF(ISNUMBER(O2391),O2391,0)+IF(ISNUMBER(P2391),P2391,0),2),"")</f>
        <v/>
      </c>
      <c r="S2391" s="9" t="str">
        <f aca="false">IF(R2391="","",ROUND(L2391-R2391,2))</f>
        <v/>
      </c>
      <c r="T2391" s="8" t="str">
        <f aca="false">IF(A2391="","",IF(S2391="","BYPASS",IF(ABS(S2391)&lt;=Summary!$B$2,"PASS","FAIL")))</f>
        <v/>
      </c>
      <c r="U2391" s="8" t="str">
        <f aca="false">IF(T2391="BYPASS",IF(NOT(ISNUMBER(Q2391)),"PreV_ETB missing","End_tr_balance missing"),IF(T2391="FAIL",IF(AND(ISNUMBER(K2391),ISNUMBER(L2391),ABS(L2391-(K2391-IF(ISNUMBER(N2391),N2391,0)-IF(ISNUMBER(O2391),O2391,0)+IF(ISNUMBER(P2391),P2391,0)))&lt;=Summary!$B$2),"Passes using beginning_balance - PreV_ETB differs from beginning_balance",IF(AND(ISNUMBER(O2391),O2391&lt;0,ABS(L2391-(Q2391-IF(ISNUMBER(N2391),N2391,0)+IF(ISNUMBER(P2391),P2391,0)))&lt;=Summary!$B$2),"Negative realized loss not applied - check sign",IF(R2391&lt;0,"Principal paid exceeds prior balance",IF(AND(L2391&gt;Q2391,NOT(ISNUMBER(P2391))),"Balance increased but no Deferred_interest reported",IF(L2391&gt;R2391,"Reported balance higher than expected (missing increase/OC build)","Reported balance lower than expected (missing decrease)"))))),""))</f>
        <v/>
      </c>
    </row>
    <row r="2392" customFormat="false" ht="15" hidden="false" customHeight="false" outlineLevel="0" collapsed="false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9"/>
      <c r="L2392" s="9"/>
      <c r="M2392" s="9"/>
      <c r="N2392" s="9"/>
      <c r="O2392" s="9"/>
      <c r="P2392" s="9"/>
      <c r="Q2392" s="9"/>
      <c r="R2392" s="9" t="str">
        <f aca="false">IF(AND(A2392&lt;&gt;"",ISNUMBER(Q2392),ISNUMBER(L2392)),ROUND(Q2392-IF(ISNUMBER(N2392),N2392,0)-IF(ISNUMBER(O2392),O2392,0)+IF(ISNUMBER(P2392),P2392,0),2),"")</f>
        <v/>
      </c>
      <c r="S2392" s="9" t="str">
        <f aca="false">IF(R2392="","",ROUND(L2392-R2392,2))</f>
        <v/>
      </c>
      <c r="T2392" s="8" t="str">
        <f aca="false">IF(A2392="","",IF(S2392="","BYPASS",IF(ABS(S2392)&lt;=Summary!$B$2,"PASS","FAIL")))</f>
        <v/>
      </c>
      <c r="U2392" s="8" t="str">
        <f aca="false">IF(T2392="BYPASS",IF(NOT(ISNUMBER(Q2392)),"PreV_ETB missing","End_tr_balance missing"),IF(T2392="FAIL",IF(AND(ISNUMBER(K2392),ISNUMBER(L2392),ABS(L2392-(K2392-IF(ISNUMBER(N2392),N2392,0)-IF(ISNUMBER(O2392),O2392,0)+IF(ISNUMBER(P2392),P2392,0)))&lt;=Summary!$B$2),"Passes using beginning_balance - PreV_ETB differs from beginning_balance",IF(AND(ISNUMBER(O2392),O2392&lt;0,ABS(L2392-(Q2392-IF(ISNUMBER(N2392),N2392,0)+IF(ISNUMBER(P2392),P2392,0)))&lt;=Summary!$B$2),"Negative realized loss not applied - check sign",IF(R2392&lt;0,"Principal paid exceeds prior balance",IF(AND(L2392&gt;Q2392,NOT(ISNUMBER(P2392))),"Balance increased but no Deferred_interest reported",IF(L2392&gt;R2392,"Reported balance higher than expected (missing increase/OC build)","Reported balance lower than expected (missing decrease)"))))),""))</f>
        <v/>
      </c>
    </row>
    <row r="2393" customFormat="false" ht="15" hidden="false" customHeight="false" outlineLevel="0" collapsed="false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9"/>
      <c r="L2393" s="9"/>
      <c r="M2393" s="9"/>
      <c r="N2393" s="9"/>
      <c r="O2393" s="9"/>
      <c r="P2393" s="9"/>
      <c r="Q2393" s="9"/>
      <c r="R2393" s="9" t="str">
        <f aca="false">IF(AND(A2393&lt;&gt;"",ISNUMBER(Q2393),ISNUMBER(L2393)),ROUND(Q2393-IF(ISNUMBER(N2393),N2393,0)-IF(ISNUMBER(O2393),O2393,0)+IF(ISNUMBER(P2393),P2393,0),2),"")</f>
        <v/>
      </c>
      <c r="S2393" s="9" t="str">
        <f aca="false">IF(R2393="","",ROUND(L2393-R2393,2))</f>
        <v/>
      </c>
      <c r="T2393" s="8" t="str">
        <f aca="false">IF(A2393="","",IF(S2393="","BYPASS",IF(ABS(S2393)&lt;=Summary!$B$2,"PASS","FAIL")))</f>
        <v/>
      </c>
      <c r="U2393" s="8" t="str">
        <f aca="false">IF(T2393="BYPASS",IF(NOT(ISNUMBER(Q2393)),"PreV_ETB missing","End_tr_balance missing"),IF(T2393="FAIL",IF(AND(ISNUMBER(K2393),ISNUMBER(L2393),ABS(L2393-(K2393-IF(ISNUMBER(N2393),N2393,0)-IF(ISNUMBER(O2393),O2393,0)+IF(ISNUMBER(P2393),P2393,0)))&lt;=Summary!$B$2),"Passes using beginning_balance - PreV_ETB differs from beginning_balance",IF(AND(ISNUMBER(O2393),O2393&lt;0,ABS(L2393-(Q2393-IF(ISNUMBER(N2393),N2393,0)+IF(ISNUMBER(P2393),P2393,0)))&lt;=Summary!$B$2),"Negative realized loss not applied - check sign",IF(R2393&lt;0,"Principal paid exceeds prior balance",IF(AND(L2393&gt;Q2393,NOT(ISNUMBER(P2393))),"Balance increased but no Deferred_interest reported",IF(L2393&gt;R2393,"Reported balance higher than expected (missing increase/OC build)","Reported balance lower than expected (missing decrease)"))))),""))</f>
        <v/>
      </c>
    </row>
    <row r="2394" customFormat="false" ht="15" hidden="false" customHeight="false" outlineLevel="0" collapsed="false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9"/>
      <c r="L2394" s="9"/>
      <c r="M2394" s="9"/>
      <c r="N2394" s="9"/>
      <c r="O2394" s="9"/>
      <c r="P2394" s="9"/>
      <c r="Q2394" s="9"/>
      <c r="R2394" s="9" t="str">
        <f aca="false">IF(AND(A2394&lt;&gt;"",ISNUMBER(Q2394),ISNUMBER(L2394)),ROUND(Q2394-IF(ISNUMBER(N2394),N2394,0)-IF(ISNUMBER(O2394),O2394,0)+IF(ISNUMBER(P2394),P2394,0),2),"")</f>
        <v/>
      </c>
      <c r="S2394" s="9" t="str">
        <f aca="false">IF(R2394="","",ROUND(L2394-R2394,2))</f>
        <v/>
      </c>
      <c r="T2394" s="8" t="str">
        <f aca="false">IF(A2394="","",IF(S2394="","BYPASS",IF(ABS(S2394)&lt;=Summary!$B$2,"PASS","FAIL")))</f>
        <v/>
      </c>
      <c r="U2394" s="8" t="str">
        <f aca="false">IF(T2394="BYPASS",IF(NOT(ISNUMBER(Q2394)),"PreV_ETB missing","End_tr_balance missing"),IF(T2394="FAIL",IF(AND(ISNUMBER(K2394),ISNUMBER(L2394),ABS(L2394-(K2394-IF(ISNUMBER(N2394),N2394,0)-IF(ISNUMBER(O2394),O2394,0)+IF(ISNUMBER(P2394),P2394,0)))&lt;=Summary!$B$2),"Passes using beginning_balance - PreV_ETB differs from beginning_balance",IF(AND(ISNUMBER(O2394),O2394&lt;0,ABS(L2394-(Q2394-IF(ISNUMBER(N2394),N2394,0)+IF(ISNUMBER(P2394),P2394,0)))&lt;=Summary!$B$2),"Negative realized loss not applied - check sign",IF(R2394&lt;0,"Principal paid exceeds prior balance",IF(AND(L2394&gt;Q2394,NOT(ISNUMBER(P2394))),"Balance increased but no Deferred_interest reported",IF(L2394&gt;R2394,"Reported balance higher than expected (missing increase/OC build)","Reported balance lower than expected (missing decrease)"))))),""))</f>
        <v/>
      </c>
    </row>
    <row r="2395" customFormat="false" ht="15" hidden="false" customHeight="false" outlineLevel="0" collapsed="false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9"/>
      <c r="L2395" s="9"/>
      <c r="M2395" s="9"/>
      <c r="N2395" s="9"/>
      <c r="O2395" s="9"/>
      <c r="P2395" s="9"/>
      <c r="Q2395" s="9"/>
      <c r="R2395" s="9" t="str">
        <f aca="false">IF(AND(A2395&lt;&gt;"",ISNUMBER(Q2395),ISNUMBER(L2395)),ROUND(Q2395-IF(ISNUMBER(N2395),N2395,0)-IF(ISNUMBER(O2395),O2395,0)+IF(ISNUMBER(P2395),P2395,0),2),"")</f>
        <v/>
      </c>
      <c r="S2395" s="9" t="str">
        <f aca="false">IF(R2395="","",ROUND(L2395-R2395,2))</f>
        <v/>
      </c>
      <c r="T2395" s="8" t="str">
        <f aca="false">IF(A2395="","",IF(S2395="","BYPASS",IF(ABS(S2395)&lt;=Summary!$B$2,"PASS","FAIL")))</f>
        <v/>
      </c>
      <c r="U2395" s="8" t="str">
        <f aca="false">IF(T2395="BYPASS",IF(NOT(ISNUMBER(Q2395)),"PreV_ETB missing","End_tr_balance missing"),IF(T2395="FAIL",IF(AND(ISNUMBER(K2395),ISNUMBER(L2395),ABS(L2395-(K2395-IF(ISNUMBER(N2395),N2395,0)-IF(ISNUMBER(O2395),O2395,0)+IF(ISNUMBER(P2395),P2395,0)))&lt;=Summary!$B$2),"Passes using beginning_balance - PreV_ETB differs from beginning_balance",IF(AND(ISNUMBER(O2395),O2395&lt;0,ABS(L2395-(Q2395-IF(ISNUMBER(N2395),N2395,0)+IF(ISNUMBER(P2395),P2395,0)))&lt;=Summary!$B$2),"Negative realized loss not applied - check sign",IF(R2395&lt;0,"Principal paid exceeds prior balance",IF(AND(L2395&gt;Q2395,NOT(ISNUMBER(P2395))),"Balance increased but no Deferred_interest reported",IF(L2395&gt;R2395,"Reported balance higher than expected (missing increase/OC build)","Reported balance lower than expected (missing decrease)"))))),""))</f>
        <v/>
      </c>
    </row>
    <row r="2396" customFormat="false" ht="15" hidden="false" customHeight="false" outlineLevel="0" collapsed="false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9"/>
      <c r="L2396" s="9"/>
      <c r="M2396" s="9"/>
      <c r="N2396" s="9"/>
      <c r="O2396" s="9"/>
      <c r="P2396" s="9"/>
      <c r="Q2396" s="9"/>
      <c r="R2396" s="9" t="str">
        <f aca="false">IF(AND(A2396&lt;&gt;"",ISNUMBER(Q2396),ISNUMBER(L2396)),ROUND(Q2396-IF(ISNUMBER(N2396),N2396,0)-IF(ISNUMBER(O2396),O2396,0)+IF(ISNUMBER(P2396),P2396,0),2),"")</f>
        <v/>
      </c>
      <c r="S2396" s="9" t="str">
        <f aca="false">IF(R2396="","",ROUND(L2396-R2396,2))</f>
        <v/>
      </c>
      <c r="T2396" s="8" t="str">
        <f aca="false">IF(A2396="","",IF(S2396="","BYPASS",IF(ABS(S2396)&lt;=Summary!$B$2,"PASS","FAIL")))</f>
        <v/>
      </c>
      <c r="U2396" s="8" t="str">
        <f aca="false">IF(T2396="BYPASS",IF(NOT(ISNUMBER(Q2396)),"PreV_ETB missing","End_tr_balance missing"),IF(T2396="FAIL",IF(AND(ISNUMBER(K2396),ISNUMBER(L2396),ABS(L2396-(K2396-IF(ISNUMBER(N2396),N2396,0)-IF(ISNUMBER(O2396),O2396,0)+IF(ISNUMBER(P2396),P2396,0)))&lt;=Summary!$B$2),"Passes using beginning_balance - PreV_ETB differs from beginning_balance",IF(AND(ISNUMBER(O2396),O2396&lt;0,ABS(L2396-(Q2396-IF(ISNUMBER(N2396),N2396,0)+IF(ISNUMBER(P2396),P2396,0)))&lt;=Summary!$B$2),"Negative realized loss not applied - check sign",IF(R2396&lt;0,"Principal paid exceeds prior balance",IF(AND(L2396&gt;Q2396,NOT(ISNUMBER(P2396))),"Balance increased but no Deferred_interest reported",IF(L2396&gt;R2396,"Reported balance higher than expected (missing increase/OC build)","Reported balance lower than expected (missing decrease)"))))),""))</f>
        <v/>
      </c>
    </row>
    <row r="2397" customFormat="false" ht="15" hidden="false" customHeight="false" outlineLevel="0" collapsed="false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9"/>
      <c r="L2397" s="9"/>
      <c r="M2397" s="9"/>
      <c r="N2397" s="9"/>
      <c r="O2397" s="9"/>
      <c r="P2397" s="9"/>
      <c r="Q2397" s="9"/>
      <c r="R2397" s="9" t="str">
        <f aca="false">IF(AND(A2397&lt;&gt;"",ISNUMBER(Q2397),ISNUMBER(L2397)),ROUND(Q2397-IF(ISNUMBER(N2397),N2397,0)-IF(ISNUMBER(O2397),O2397,0)+IF(ISNUMBER(P2397),P2397,0),2),"")</f>
        <v/>
      </c>
      <c r="S2397" s="9" t="str">
        <f aca="false">IF(R2397="","",ROUND(L2397-R2397,2))</f>
        <v/>
      </c>
      <c r="T2397" s="8" t="str">
        <f aca="false">IF(A2397="","",IF(S2397="","BYPASS",IF(ABS(S2397)&lt;=Summary!$B$2,"PASS","FAIL")))</f>
        <v/>
      </c>
      <c r="U2397" s="8" t="str">
        <f aca="false">IF(T2397="BYPASS",IF(NOT(ISNUMBER(Q2397)),"PreV_ETB missing","End_tr_balance missing"),IF(T2397="FAIL",IF(AND(ISNUMBER(K2397),ISNUMBER(L2397),ABS(L2397-(K2397-IF(ISNUMBER(N2397),N2397,0)-IF(ISNUMBER(O2397),O2397,0)+IF(ISNUMBER(P2397),P2397,0)))&lt;=Summary!$B$2),"Passes using beginning_balance - PreV_ETB differs from beginning_balance",IF(AND(ISNUMBER(O2397),O2397&lt;0,ABS(L2397-(Q2397-IF(ISNUMBER(N2397),N2397,0)+IF(ISNUMBER(P2397),P2397,0)))&lt;=Summary!$B$2),"Negative realized loss not applied - check sign",IF(R2397&lt;0,"Principal paid exceeds prior balance",IF(AND(L2397&gt;Q2397,NOT(ISNUMBER(P2397))),"Balance increased but no Deferred_interest reported",IF(L2397&gt;R2397,"Reported balance higher than expected (missing increase/OC build)","Reported balance lower than expected (missing decrease)"))))),""))</f>
        <v/>
      </c>
    </row>
    <row r="2398" customFormat="false" ht="15" hidden="false" customHeight="false" outlineLevel="0" collapsed="false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9"/>
      <c r="L2398" s="9"/>
      <c r="M2398" s="9"/>
      <c r="N2398" s="9"/>
      <c r="O2398" s="9"/>
      <c r="P2398" s="9"/>
      <c r="Q2398" s="9"/>
      <c r="R2398" s="9" t="str">
        <f aca="false">IF(AND(A2398&lt;&gt;"",ISNUMBER(Q2398),ISNUMBER(L2398)),ROUND(Q2398-IF(ISNUMBER(N2398),N2398,0)-IF(ISNUMBER(O2398),O2398,0)+IF(ISNUMBER(P2398),P2398,0),2),"")</f>
        <v/>
      </c>
      <c r="S2398" s="9" t="str">
        <f aca="false">IF(R2398="","",ROUND(L2398-R2398,2))</f>
        <v/>
      </c>
      <c r="T2398" s="8" t="str">
        <f aca="false">IF(A2398="","",IF(S2398="","BYPASS",IF(ABS(S2398)&lt;=Summary!$B$2,"PASS","FAIL")))</f>
        <v/>
      </c>
      <c r="U2398" s="8" t="str">
        <f aca="false">IF(T2398="BYPASS",IF(NOT(ISNUMBER(Q2398)),"PreV_ETB missing","End_tr_balance missing"),IF(T2398="FAIL",IF(AND(ISNUMBER(K2398),ISNUMBER(L2398),ABS(L2398-(K2398-IF(ISNUMBER(N2398),N2398,0)-IF(ISNUMBER(O2398),O2398,0)+IF(ISNUMBER(P2398),P2398,0)))&lt;=Summary!$B$2),"Passes using beginning_balance - PreV_ETB differs from beginning_balance",IF(AND(ISNUMBER(O2398),O2398&lt;0,ABS(L2398-(Q2398-IF(ISNUMBER(N2398),N2398,0)+IF(ISNUMBER(P2398),P2398,0)))&lt;=Summary!$B$2),"Negative realized loss not applied - check sign",IF(R2398&lt;0,"Principal paid exceeds prior balance",IF(AND(L2398&gt;Q2398,NOT(ISNUMBER(P2398))),"Balance increased but no Deferred_interest reported",IF(L2398&gt;R2398,"Reported balance higher than expected (missing increase/OC build)","Reported balance lower than expected (missing decrease)"))))),""))</f>
        <v/>
      </c>
    </row>
    <row r="2399" customFormat="false" ht="15" hidden="false" customHeight="false" outlineLevel="0" collapsed="false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9"/>
      <c r="L2399" s="9"/>
      <c r="M2399" s="9"/>
      <c r="N2399" s="9"/>
      <c r="O2399" s="9"/>
      <c r="P2399" s="9"/>
      <c r="Q2399" s="9"/>
      <c r="R2399" s="9" t="str">
        <f aca="false">IF(AND(A2399&lt;&gt;"",ISNUMBER(Q2399),ISNUMBER(L2399)),ROUND(Q2399-IF(ISNUMBER(N2399),N2399,0)-IF(ISNUMBER(O2399),O2399,0)+IF(ISNUMBER(P2399),P2399,0),2),"")</f>
        <v/>
      </c>
      <c r="S2399" s="9" t="str">
        <f aca="false">IF(R2399="","",ROUND(L2399-R2399,2))</f>
        <v/>
      </c>
      <c r="T2399" s="8" t="str">
        <f aca="false">IF(A2399="","",IF(S2399="","BYPASS",IF(ABS(S2399)&lt;=Summary!$B$2,"PASS","FAIL")))</f>
        <v/>
      </c>
      <c r="U2399" s="8" t="str">
        <f aca="false">IF(T2399="BYPASS",IF(NOT(ISNUMBER(Q2399)),"PreV_ETB missing","End_tr_balance missing"),IF(T2399="FAIL",IF(AND(ISNUMBER(K2399),ISNUMBER(L2399),ABS(L2399-(K2399-IF(ISNUMBER(N2399),N2399,0)-IF(ISNUMBER(O2399),O2399,0)+IF(ISNUMBER(P2399),P2399,0)))&lt;=Summary!$B$2),"Passes using beginning_balance - PreV_ETB differs from beginning_balance",IF(AND(ISNUMBER(O2399),O2399&lt;0,ABS(L2399-(Q2399-IF(ISNUMBER(N2399),N2399,0)+IF(ISNUMBER(P2399),P2399,0)))&lt;=Summary!$B$2),"Negative realized loss not applied - check sign",IF(R2399&lt;0,"Principal paid exceeds prior balance",IF(AND(L2399&gt;Q2399,NOT(ISNUMBER(P2399))),"Balance increased but no Deferred_interest reported",IF(L2399&gt;R2399,"Reported balance higher than expected (missing increase/OC build)","Reported balance lower than expected (missing decrease)"))))),""))</f>
        <v/>
      </c>
    </row>
    <row r="2400" customFormat="false" ht="15" hidden="false" customHeight="false" outlineLevel="0" collapsed="false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9"/>
      <c r="L2400" s="9"/>
      <c r="M2400" s="9"/>
      <c r="N2400" s="9"/>
      <c r="O2400" s="9"/>
      <c r="P2400" s="9"/>
      <c r="Q2400" s="9"/>
      <c r="R2400" s="9" t="str">
        <f aca="false">IF(AND(A2400&lt;&gt;"",ISNUMBER(Q2400),ISNUMBER(L2400)),ROUND(Q2400-IF(ISNUMBER(N2400),N2400,0)-IF(ISNUMBER(O2400),O2400,0)+IF(ISNUMBER(P2400),P2400,0),2),"")</f>
        <v/>
      </c>
      <c r="S2400" s="9" t="str">
        <f aca="false">IF(R2400="","",ROUND(L2400-R2400,2))</f>
        <v/>
      </c>
      <c r="T2400" s="8" t="str">
        <f aca="false">IF(A2400="","",IF(S2400="","BYPASS",IF(ABS(S2400)&lt;=Summary!$B$2,"PASS","FAIL")))</f>
        <v/>
      </c>
      <c r="U2400" s="8" t="str">
        <f aca="false">IF(T2400="BYPASS",IF(NOT(ISNUMBER(Q2400)),"PreV_ETB missing","End_tr_balance missing"),IF(T2400="FAIL",IF(AND(ISNUMBER(K2400),ISNUMBER(L2400),ABS(L2400-(K2400-IF(ISNUMBER(N2400),N2400,0)-IF(ISNUMBER(O2400),O2400,0)+IF(ISNUMBER(P2400),P2400,0)))&lt;=Summary!$B$2),"Passes using beginning_balance - PreV_ETB differs from beginning_balance",IF(AND(ISNUMBER(O2400),O2400&lt;0,ABS(L2400-(Q2400-IF(ISNUMBER(N2400),N2400,0)+IF(ISNUMBER(P2400),P2400,0)))&lt;=Summary!$B$2),"Negative realized loss not applied - check sign",IF(R2400&lt;0,"Principal paid exceeds prior balance",IF(AND(L2400&gt;Q2400,NOT(ISNUMBER(P2400))),"Balance increased but no Deferred_interest reported",IF(L2400&gt;R2400,"Reported balance higher than expected (missing increase/OC build)","Reported balance lower than expected (missing decrease)"))))),""))</f>
        <v/>
      </c>
    </row>
    <row r="2401" customFormat="false" ht="15" hidden="false" customHeight="false" outlineLevel="0" collapsed="false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9"/>
      <c r="L2401" s="9"/>
      <c r="M2401" s="9"/>
      <c r="N2401" s="9"/>
      <c r="O2401" s="9"/>
      <c r="P2401" s="9"/>
      <c r="Q2401" s="9"/>
      <c r="R2401" s="9" t="str">
        <f aca="false">IF(AND(A2401&lt;&gt;"",ISNUMBER(Q2401),ISNUMBER(L2401)),ROUND(Q2401-IF(ISNUMBER(N2401),N2401,0)-IF(ISNUMBER(O2401),O2401,0)+IF(ISNUMBER(P2401),P2401,0),2),"")</f>
        <v/>
      </c>
      <c r="S2401" s="9" t="str">
        <f aca="false">IF(R2401="","",ROUND(L2401-R2401,2))</f>
        <v/>
      </c>
      <c r="T2401" s="8" t="str">
        <f aca="false">IF(A2401="","",IF(S2401="","BYPASS",IF(ABS(S2401)&lt;=Summary!$B$2,"PASS","FAIL")))</f>
        <v/>
      </c>
      <c r="U2401" s="8" t="str">
        <f aca="false">IF(T2401="BYPASS",IF(NOT(ISNUMBER(Q2401)),"PreV_ETB missing","End_tr_balance missing"),IF(T2401="FAIL",IF(AND(ISNUMBER(K2401),ISNUMBER(L2401),ABS(L2401-(K2401-IF(ISNUMBER(N2401),N2401,0)-IF(ISNUMBER(O2401),O2401,0)+IF(ISNUMBER(P2401),P2401,0)))&lt;=Summary!$B$2),"Passes using beginning_balance - PreV_ETB differs from beginning_balance",IF(AND(ISNUMBER(O2401),O2401&lt;0,ABS(L2401-(Q2401-IF(ISNUMBER(N2401),N2401,0)+IF(ISNUMBER(P2401),P2401,0)))&lt;=Summary!$B$2),"Negative realized loss not applied - check sign",IF(R2401&lt;0,"Principal paid exceeds prior balance",IF(AND(L2401&gt;Q2401,NOT(ISNUMBER(P2401))),"Balance increased but no Deferred_interest reported",IF(L2401&gt;R2401,"Reported balance higher than expected (missing increase/OC build)","Reported balance lower than expected (missing decrease)"))))),""))</f>
        <v/>
      </c>
    </row>
    <row r="2402" customFormat="false" ht="15" hidden="false" customHeight="false" outlineLevel="0" collapsed="false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9"/>
      <c r="L2402" s="9"/>
      <c r="M2402" s="9"/>
      <c r="N2402" s="9"/>
      <c r="O2402" s="9"/>
      <c r="P2402" s="9"/>
      <c r="Q2402" s="9"/>
      <c r="R2402" s="9" t="str">
        <f aca="false">IF(AND(A2402&lt;&gt;"",ISNUMBER(Q2402),ISNUMBER(L2402)),ROUND(Q2402-IF(ISNUMBER(N2402),N2402,0)-IF(ISNUMBER(O2402),O2402,0)+IF(ISNUMBER(P2402),P2402,0),2),"")</f>
        <v/>
      </c>
      <c r="S2402" s="9" t="str">
        <f aca="false">IF(R2402="","",ROUND(L2402-R2402,2))</f>
        <v/>
      </c>
      <c r="T2402" s="8" t="str">
        <f aca="false">IF(A2402="","",IF(S2402="","BYPASS",IF(ABS(S2402)&lt;=Summary!$B$2,"PASS","FAIL")))</f>
        <v/>
      </c>
      <c r="U2402" s="8" t="str">
        <f aca="false">IF(T2402="BYPASS",IF(NOT(ISNUMBER(Q2402)),"PreV_ETB missing","End_tr_balance missing"),IF(T2402="FAIL",IF(AND(ISNUMBER(K2402),ISNUMBER(L2402),ABS(L2402-(K2402-IF(ISNUMBER(N2402),N2402,0)-IF(ISNUMBER(O2402),O2402,0)+IF(ISNUMBER(P2402),P2402,0)))&lt;=Summary!$B$2),"Passes using beginning_balance - PreV_ETB differs from beginning_balance",IF(AND(ISNUMBER(O2402),O2402&lt;0,ABS(L2402-(Q2402-IF(ISNUMBER(N2402),N2402,0)+IF(ISNUMBER(P2402),P2402,0)))&lt;=Summary!$B$2),"Negative realized loss not applied - check sign",IF(R2402&lt;0,"Principal paid exceeds prior balance",IF(AND(L2402&gt;Q2402,NOT(ISNUMBER(P2402))),"Balance increased but no Deferred_interest reported",IF(L2402&gt;R2402,"Reported balance higher than expected (missing increase/OC build)","Reported balance lower than expected (missing decrease)"))))),""))</f>
        <v/>
      </c>
    </row>
    <row r="2403" customFormat="false" ht="15" hidden="false" customHeight="false" outlineLevel="0" collapsed="false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9"/>
      <c r="L2403" s="9"/>
      <c r="M2403" s="9"/>
      <c r="N2403" s="9"/>
      <c r="O2403" s="9"/>
      <c r="P2403" s="9"/>
      <c r="Q2403" s="9"/>
      <c r="R2403" s="9" t="str">
        <f aca="false">IF(AND(A2403&lt;&gt;"",ISNUMBER(Q2403),ISNUMBER(L2403)),ROUND(Q2403-IF(ISNUMBER(N2403),N2403,0)-IF(ISNUMBER(O2403),O2403,0)+IF(ISNUMBER(P2403),P2403,0),2),"")</f>
        <v/>
      </c>
      <c r="S2403" s="9" t="str">
        <f aca="false">IF(R2403="","",ROUND(L2403-R2403,2))</f>
        <v/>
      </c>
      <c r="T2403" s="8" t="str">
        <f aca="false">IF(A2403="","",IF(S2403="","BYPASS",IF(ABS(S2403)&lt;=Summary!$B$2,"PASS","FAIL")))</f>
        <v/>
      </c>
      <c r="U2403" s="8" t="str">
        <f aca="false">IF(T2403="BYPASS",IF(NOT(ISNUMBER(Q2403)),"PreV_ETB missing","End_tr_balance missing"),IF(T2403="FAIL",IF(AND(ISNUMBER(K2403),ISNUMBER(L2403),ABS(L2403-(K2403-IF(ISNUMBER(N2403),N2403,0)-IF(ISNUMBER(O2403),O2403,0)+IF(ISNUMBER(P2403),P2403,0)))&lt;=Summary!$B$2),"Passes using beginning_balance - PreV_ETB differs from beginning_balance",IF(AND(ISNUMBER(O2403),O2403&lt;0,ABS(L2403-(Q2403-IF(ISNUMBER(N2403),N2403,0)+IF(ISNUMBER(P2403),P2403,0)))&lt;=Summary!$B$2),"Negative realized loss not applied - check sign",IF(R2403&lt;0,"Principal paid exceeds prior balance",IF(AND(L2403&gt;Q2403,NOT(ISNUMBER(P2403))),"Balance increased but no Deferred_interest reported",IF(L2403&gt;R2403,"Reported balance higher than expected (missing increase/OC build)","Reported balance lower than expected (missing decrease)"))))),""))</f>
        <v/>
      </c>
    </row>
    <row r="2404" customFormat="false" ht="15" hidden="false" customHeight="false" outlineLevel="0" collapsed="false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9"/>
      <c r="L2404" s="9"/>
      <c r="M2404" s="9"/>
      <c r="N2404" s="9"/>
      <c r="O2404" s="9"/>
      <c r="P2404" s="9"/>
      <c r="Q2404" s="9"/>
      <c r="R2404" s="9" t="str">
        <f aca="false">IF(AND(A2404&lt;&gt;"",ISNUMBER(Q2404),ISNUMBER(L2404)),ROUND(Q2404-IF(ISNUMBER(N2404),N2404,0)-IF(ISNUMBER(O2404),O2404,0)+IF(ISNUMBER(P2404),P2404,0),2),"")</f>
        <v/>
      </c>
      <c r="S2404" s="9" t="str">
        <f aca="false">IF(R2404="","",ROUND(L2404-R2404,2))</f>
        <v/>
      </c>
      <c r="T2404" s="8" t="str">
        <f aca="false">IF(A2404="","",IF(S2404="","BYPASS",IF(ABS(S2404)&lt;=Summary!$B$2,"PASS","FAIL")))</f>
        <v/>
      </c>
      <c r="U2404" s="8" t="str">
        <f aca="false">IF(T2404="BYPASS",IF(NOT(ISNUMBER(Q2404)),"PreV_ETB missing","End_tr_balance missing"),IF(T2404="FAIL",IF(AND(ISNUMBER(K2404),ISNUMBER(L2404),ABS(L2404-(K2404-IF(ISNUMBER(N2404),N2404,0)-IF(ISNUMBER(O2404),O2404,0)+IF(ISNUMBER(P2404),P2404,0)))&lt;=Summary!$B$2),"Passes using beginning_balance - PreV_ETB differs from beginning_balance",IF(AND(ISNUMBER(O2404),O2404&lt;0,ABS(L2404-(Q2404-IF(ISNUMBER(N2404),N2404,0)+IF(ISNUMBER(P2404),P2404,0)))&lt;=Summary!$B$2),"Negative realized loss not applied - check sign",IF(R2404&lt;0,"Principal paid exceeds prior balance",IF(AND(L2404&gt;Q2404,NOT(ISNUMBER(P2404))),"Balance increased but no Deferred_interest reported",IF(L2404&gt;R2404,"Reported balance higher than expected (missing increase/OC build)","Reported balance lower than expected (missing decrease)"))))),""))</f>
        <v/>
      </c>
    </row>
    <row r="2405" customFormat="false" ht="15" hidden="false" customHeight="false" outlineLevel="0" collapsed="false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9"/>
      <c r="L2405" s="9"/>
      <c r="M2405" s="9"/>
      <c r="N2405" s="9"/>
      <c r="O2405" s="9"/>
      <c r="P2405" s="9"/>
      <c r="Q2405" s="9"/>
      <c r="R2405" s="9" t="str">
        <f aca="false">IF(AND(A2405&lt;&gt;"",ISNUMBER(Q2405),ISNUMBER(L2405)),ROUND(Q2405-IF(ISNUMBER(N2405),N2405,0)-IF(ISNUMBER(O2405),O2405,0)+IF(ISNUMBER(P2405),P2405,0),2),"")</f>
        <v/>
      </c>
      <c r="S2405" s="9" t="str">
        <f aca="false">IF(R2405="","",ROUND(L2405-R2405,2))</f>
        <v/>
      </c>
      <c r="T2405" s="8" t="str">
        <f aca="false">IF(A2405="","",IF(S2405="","BYPASS",IF(ABS(S2405)&lt;=Summary!$B$2,"PASS","FAIL")))</f>
        <v/>
      </c>
      <c r="U2405" s="8" t="str">
        <f aca="false">IF(T2405="BYPASS",IF(NOT(ISNUMBER(Q2405)),"PreV_ETB missing","End_tr_balance missing"),IF(T2405="FAIL",IF(AND(ISNUMBER(K2405),ISNUMBER(L2405),ABS(L2405-(K2405-IF(ISNUMBER(N2405),N2405,0)-IF(ISNUMBER(O2405),O2405,0)+IF(ISNUMBER(P2405),P2405,0)))&lt;=Summary!$B$2),"Passes using beginning_balance - PreV_ETB differs from beginning_balance",IF(AND(ISNUMBER(O2405),O2405&lt;0,ABS(L2405-(Q2405-IF(ISNUMBER(N2405),N2405,0)+IF(ISNUMBER(P2405),P2405,0)))&lt;=Summary!$B$2),"Negative realized loss not applied - check sign",IF(R2405&lt;0,"Principal paid exceeds prior balance",IF(AND(L2405&gt;Q2405,NOT(ISNUMBER(P2405))),"Balance increased but no Deferred_interest reported",IF(L2405&gt;R2405,"Reported balance higher than expected (missing increase/OC build)","Reported balance lower than expected (missing decrease)"))))),""))</f>
        <v/>
      </c>
    </row>
    <row r="2406" customFormat="false" ht="15" hidden="false" customHeight="false" outlineLevel="0" collapsed="false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9"/>
      <c r="L2406" s="9"/>
      <c r="M2406" s="9"/>
      <c r="N2406" s="9"/>
      <c r="O2406" s="9"/>
      <c r="P2406" s="9"/>
      <c r="Q2406" s="9"/>
      <c r="R2406" s="9" t="str">
        <f aca="false">IF(AND(A2406&lt;&gt;"",ISNUMBER(Q2406),ISNUMBER(L2406)),ROUND(Q2406-IF(ISNUMBER(N2406),N2406,0)-IF(ISNUMBER(O2406),O2406,0)+IF(ISNUMBER(P2406),P2406,0),2),"")</f>
        <v/>
      </c>
      <c r="S2406" s="9" t="str">
        <f aca="false">IF(R2406="","",ROUND(L2406-R2406,2))</f>
        <v/>
      </c>
      <c r="T2406" s="8" t="str">
        <f aca="false">IF(A2406="","",IF(S2406="","BYPASS",IF(ABS(S2406)&lt;=Summary!$B$2,"PASS","FAIL")))</f>
        <v/>
      </c>
      <c r="U2406" s="8" t="str">
        <f aca="false">IF(T2406="BYPASS",IF(NOT(ISNUMBER(Q2406)),"PreV_ETB missing","End_tr_balance missing"),IF(T2406="FAIL",IF(AND(ISNUMBER(K2406),ISNUMBER(L2406),ABS(L2406-(K2406-IF(ISNUMBER(N2406),N2406,0)-IF(ISNUMBER(O2406),O2406,0)+IF(ISNUMBER(P2406),P2406,0)))&lt;=Summary!$B$2),"Passes using beginning_balance - PreV_ETB differs from beginning_balance",IF(AND(ISNUMBER(O2406),O2406&lt;0,ABS(L2406-(Q2406-IF(ISNUMBER(N2406),N2406,0)+IF(ISNUMBER(P2406),P2406,0)))&lt;=Summary!$B$2),"Negative realized loss not applied - check sign",IF(R2406&lt;0,"Principal paid exceeds prior balance",IF(AND(L2406&gt;Q2406,NOT(ISNUMBER(P2406))),"Balance increased but no Deferred_interest reported",IF(L2406&gt;R2406,"Reported balance higher than expected (missing increase/OC build)","Reported balance lower than expected (missing decrease)"))))),""))</f>
        <v/>
      </c>
    </row>
    <row r="2407" customFormat="false" ht="15" hidden="false" customHeight="false" outlineLevel="0" collapsed="false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9"/>
      <c r="L2407" s="9"/>
      <c r="M2407" s="9"/>
      <c r="N2407" s="9"/>
      <c r="O2407" s="9"/>
      <c r="P2407" s="9"/>
      <c r="Q2407" s="9"/>
      <c r="R2407" s="9" t="str">
        <f aca="false">IF(AND(A2407&lt;&gt;"",ISNUMBER(Q2407),ISNUMBER(L2407)),ROUND(Q2407-IF(ISNUMBER(N2407),N2407,0)-IF(ISNUMBER(O2407),O2407,0)+IF(ISNUMBER(P2407),P2407,0),2),"")</f>
        <v/>
      </c>
      <c r="S2407" s="9" t="str">
        <f aca="false">IF(R2407="","",ROUND(L2407-R2407,2))</f>
        <v/>
      </c>
      <c r="T2407" s="8" t="str">
        <f aca="false">IF(A2407="","",IF(S2407="","BYPASS",IF(ABS(S2407)&lt;=Summary!$B$2,"PASS","FAIL")))</f>
        <v/>
      </c>
      <c r="U2407" s="8" t="str">
        <f aca="false">IF(T2407="BYPASS",IF(NOT(ISNUMBER(Q2407)),"PreV_ETB missing","End_tr_balance missing"),IF(T2407="FAIL",IF(AND(ISNUMBER(K2407),ISNUMBER(L2407),ABS(L2407-(K2407-IF(ISNUMBER(N2407),N2407,0)-IF(ISNUMBER(O2407),O2407,0)+IF(ISNUMBER(P2407),P2407,0)))&lt;=Summary!$B$2),"Passes using beginning_balance - PreV_ETB differs from beginning_balance",IF(AND(ISNUMBER(O2407),O2407&lt;0,ABS(L2407-(Q2407-IF(ISNUMBER(N2407),N2407,0)+IF(ISNUMBER(P2407),P2407,0)))&lt;=Summary!$B$2),"Negative realized loss not applied - check sign",IF(R2407&lt;0,"Principal paid exceeds prior balance",IF(AND(L2407&gt;Q2407,NOT(ISNUMBER(P2407))),"Balance increased but no Deferred_interest reported",IF(L2407&gt;R2407,"Reported balance higher than expected (missing increase/OC build)","Reported balance lower than expected (missing decrease)"))))),""))</f>
        <v/>
      </c>
    </row>
    <row r="2408" customFormat="false" ht="15" hidden="false" customHeight="false" outlineLevel="0" collapsed="false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9"/>
      <c r="L2408" s="9"/>
      <c r="M2408" s="9"/>
      <c r="N2408" s="9"/>
      <c r="O2408" s="9"/>
      <c r="P2408" s="9"/>
      <c r="Q2408" s="9"/>
      <c r="R2408" s="9" t="str">
        <f aca="false">IF(AND(A2408&lt;&gt;"",ISNUMBER(Q2408),ISNUMBER(L2408)),ROUND(Q2408-IF(ISNUMBER(N2408),N2408,0)-IF(ISNUMBER(O2408),O2408,0)+IF(ISNUMBER(P2408),P2408,0),2),"")</f>
        <v/>
      </c>
      <c r="S2408" s="9" t="str">
        <f aca="false">IF(R2408="","",ROUND(L2408-R2408,2))</f>
        <v/>
      </c>
      <c r="T2408" s="8" t="str">
        <f aca="false">IF(A2408="","",IF(S2408="","BYPASS",IF(ABS(S2408)&lt;=Summary!$B$2,"PASS","FAIL")))</f>
        <v/>
      </c>
      <c r="U2408" s="8" t="str">
        <f aca="false">IF(T2408="BYPASS",IF(NOT(ISNUMBER(Q2408)),"PreV_ETB missing","End_tr_balance missing"),IF(T2408="FAIL",IF(AND(ISNUMBER(K2408),ISNUMBER(L2408),ABS(L2408-(K2408-IF(ISNUMBER(N2408),N2408,0)-IF(ISNUMBER(O2408),O2408,0)+IF(ISNUMBER(P2408),P2408,0)))&lt;=Summary!$B$2),"Passes using beginning_balance - PreV_ETB differs from beginning_balance",IF(AND(ISNUMBER(O2408),O2408&lt;0,ABS(L2408-(Q2408-IF(ISNUMBER(N2408),N2408,0)+IF(ISNUMBER(P2408),P2408,0)))&lt;=Summary!$B$2),"Negative realized loss not applied - check sign",IF(R2408&lt;0,"Principal paid exceeds prior balance",IF(AND(L2408&gt;Q2408,NOT(ISNUMBER(P2408))),"Balance increased but no Deferred_interest reported",IF(L2408&gt;R2408,"Reported balance higher than expected (missing increase/OC build)","Reported balance lower than expected (missing decrease)"))))),""))</f>
        <v/>
      </c>
    </row>
    <row r="2409" customFormat="false" ht="15" hidden="false" customHeight="false" outlineLevel="0" collapsed="false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9"/>
      <c r="L2409" s="9"/>
      <c r="M2409" s="9"/>
      <c r="N2409" s="9"/>
      <c r="O2409" s="9"/>
      <c r="P2409" s="9"/>
      <c r="Q2409" s="9"/>
      <c r="R2409" s="9" t="str">
        <f aca="false">IF(AND(A2409&lt;&gt;"",ISNUMBER(Q2409),ISNUMBER(L2409)),ROUND(Q2409-IF(ISNUMBER(N2409),N2409,0)-IF(ISNUMBER(O2409),O2409,0)+IF(ISNUMBER(P2409),P2409,0),2),"")</f>
        <v/>
      </c>
      <c r="S2409" s="9" t="str">
        <f aca="false">IF(R2409="","",ROUND(L2409-R2409,2))</f>
        <v/>
      </c>
      <c r="T2409" s="8" t="str">
        <f aca="false">IF(A2409="","",IF(S2409="","BYPASS",IF(ABS(S2409)&lt;=Summary!$B$2,"PASS","FAIL")))</f>
        <v/>
      </c>
      <c r="U2409" s="8" t="str">
        <f aca="false">IF(T2409="BYPASS",IF(NOT(ISNUMBER(Q2409)),"PreV_ETB missing","End_tr_balance missing"),IF(T2409="FAIL",IF(AND(ISNUMBER(K2409),ISNUMBER(L2409),ABS(L2409-(K2409-IF(ISNUMBER(N2409),N2409,0)-IF(ISNUMBER(O2409),O2409,0)+IF(ISNUMBER(P2409),P2409,0)))&lt;=Summary!$B$2),"Passes using beginning_balance - PreV_ETB differs from beginning_balance",IF(AND(ISNUMBER(O2409),O2409&lt;0,ABS(L2409-(Q2409-IF(ISNUMBER(N2409),N2409,0)+IF(ISNUMBER(P2409),P2409,0)))&lt;=Summary!$B$2),"Negative realized loss not applied - check sign",IF(R2409&lt;0,"Principal paid exceeds prior balance",IF(AND(L2409&gt;Q2409,NOT(ISNUMBER(P2409))),"Balance increased but no Deferred_interest reported",IF(L2409&gt;R2409,"Reported balance higher than expected (missing increase/OC build)","Reported balance lower than expected (missing decrease)"))))),""))</f>
        <v/>
      </c>
    </row>
    <row r="2410" customFormat="false" ht="15" hidden="false" customHeight="false" outlineLevel="0" collapsed="false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9"/>
      <c r="L2410" s="9"/>
      <c r="M2410" s="9"/>
      <c r="N2410" s="9"/>
      <c r="O2410" s="9"/>
      <c r="P2410" s="9"/>
      <c r="Q2410" s="9"/>
      <c r="R2410" s="9" t="str">
        <f aca="false">IF(AND(A2410&lt;&gt;"",ISNUMBER(Q2410),ISNUMBER(L2410)),ROUND(Q2410-IF(ISNUMBER(N2410),N2410,0)-IF(ISNUMBER(O2410),O2410,0)+IF(ISNUMBER(P2410),P2410,0),2),"")</f>
        <v/>
      </c>
      <c r="S2410" s="9" t="str">
        <f aca="false">IF(R2410="","",ROUND(L2410-R2410,2))</f>
        <v/>
      </c>
      <c r="T2410" s="8" t="str">
        <f aca="false">IF(A2410="","",IF(S2410="","BYPASS",IF(ABS(S2410)&lt;=Summary!$B$2,"PASS","FAIL")))</f>
        <v/>
      </c>
      <c r="U2410" s="8" t="str">
        <f aca="false">IF(T2410="BYPASS",IF(NOT(ISNUMBER(Q2410)),"PreV_ETB missing","End_tr_balance missing"),IF(T2410="FAIL",IF(AND(ISNUMBER(K2410),ISNUMBER(L2410),ABS(L2410-(K2410-IF(ISNUMBER(N2410),N2410,0)-IF(ISNUMBER(O2410),O2410,0)+IF(ISNUMBER(P2410),P2410,0)))&lt;=Summary!$B$2),"Passes using beginning_balance - PreV_ETB differs from beginning_balance",IF(AND(ISNUMBER(O2410),O2410&lt;0,ABS(L2410-(Q2410-IF(ISNUMBER(N2410),N2410,0)+IF(ISNUMBER(P2410),P2410,0)))&lt;=Summary!$B$2),"Negative realized loss not applied - check sign",IF(R2410&lt;0,"Principal paid exceeds prior balance",IF(AND(L2410&gt;Q2410,NOT(ISNUMBER(P2410))),"Balance increased but no Deferred_interest reported",IF(L2410&gt;R2410,"Reported balance higher than expected (missing increase/OC build)","Reported balance lower than expected (missing decrease)"))))),""))</f>
        <v/>
      </c>
    </row>
    <row r="2411" customFormat="false" ht="15" hidden="false" customHeight="false" outlineLevel="0" collapsed="false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9"/>
      <c r="L2411" s="9"/>
      <c r="M2411" s="9"/>
      <c r="N2411" s="9"/>
      <c r="O2411" s="9"/>
      <c r="P2411" s="9"/>
      <c r="Q2411" s="9"/>
      <c r="R2411" s="9" t="str">
        <f aca="false">IF(AND(A2411&lt;&gt;"",ISNUMBER(Q2411),ISNUMBER(L2411)),ROUND(Q2411-IF(ISNUMBER(N2411),N2411,0)-IF(ISNUMBER(O2411),O2411,0)+IF(ISNUMBER(P2411),P2411,0),2),"")</f>
        <v/>
      </c>
      <c r="S2411" s="9" t="str">
        <f aca="false">IF(R2411="","",ROUND(L2411-R2411,2))</f>
        <v/>
      </c>
      <c r="T2411" s="8" t="str">
        <f aca="false">IF(A2411="","",IF(S2411="","BYPASS",IF(ABS(S2411)&lt;=Summary!$B$2,"PASS","FAIL")))</f>
        <v/>
      </c>
      <c r="U2411" s="8" t="str">
        <f aca="false">IF(T2411="BYPASS",IF(NOT(ISNUMBER(Q2411)),"PreV_ETB missing","End_tr_balance missing"),IF(T2411="FAIL",IF(AND(ISNUMBER(K2411),ISNUMBER(L2411),ABS(L2411-(K2411-IF(ISNUMBER(N2411),N2411,0)-IF(ISNUMBER(O2411),O2411,0)+IF(ISNUMBER(P2411),P2411,0)))&lt;=Summary!$B$2),"Passes using beginning_balance - PreV_ETB differs from beginning_balance",IF(AND(ISNUMBER(O2411),O2411&lt;0,ABS(L2411-(Q2411-IF(ISNUMBER(N2411),N2411,0)+IF(ISNUMBER(P2411),P2411,0)))&lt;=Summary!$B$2),"Negative realized loss not applied - check sign",IF(R2411&lt;0,"Principal paid exceeds prior balance",IF(AND(L2411&gt;Q2411,NOT(ISNUMBER(P2411))),"Balance increased but no Deferred_interest reported",IF(L2411&gt;R2411,"Reported balance higher than expected (missing increase/OC build)","Reported balance lower than expected (missing decrease)"))))),""))</f>
        <v/>
      </c>
    </row>
    <row r="2412" customFormat="false" ht="15" hidden="false" customHeight="false" outlineLevel="0" collapsed="false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9"/>
      <c r="L2412" s="9"/>
      <c r="M2412" s="9"/>
      <c r="N2412" s="9"/>
      <c r="O2412" s="9"/>
      <c r="P2412" s="9"/>
      <c r="Q2412" s="9"/>
      <c r="R2412" s="9" t="str">
        <f aca="false">IF(AND(A2412&lt;&gt;"",ISNUMBER(Q2412),ISNUMBER(L2412)),ROUND(Q2412-IF(ISNUMBER(N2412),N2412,0)-IF(ISNUMBER(O2412),O2412,0)+IF(ISNUMBER(P2412),P2412,0),2),"")</f>
        <v/>
      </c>
      <c r="S2412" s="9" t="str">
        <f aca="false">IF(R2412="","",ROUND(L2412-R2412,2))</f>
        <v/>
      </c>
      <c r="T2412" s="8" t="str">
        <f aca="false">IF(A2412="","",IF(S2412="","BYPASS",IF(ABS(S2412)&lt;=Summary!$B$2,"PASS","FAIL")))</f>
        <v/>
      </c>
      <c r="U2412" s="8" t="str">
        <f aca="false">IF(T2412="BYPASS",IF(NOT(ISNUMBER(Q2412)),"PreV_ETB missing","End_tr_balance missing"),IF(T2412="FAIL",IF(AND(ISNUMBER(K2412),ISNUMBER(L2412),ABS(L2412-(K2412-IF(ISNUMBER(N2412),N2412,0)-IF(ISNUMBER(O2412),O2412,0)+IF(ISNUMBER(P2412),P2412,0)))&lt;=Summary!$B$2),"Passes using beginning_balance - PreV_ETB differs from beginning_balance",IF(AND(ISNUMBER(O2412),O2412&lt;0,ABS(L2412-(Q2412-IF(ISNUMBER(N2412),N2412,0)+IF(ISNUMBER(P2412),P2412,0)))&lt;=Summary!$B$2),"Negative realized loss not applied - check sign",IF(R2412&lt;0,"Principal paid exceeds prior balance",IF(AND(L2412&gt;Q2412,NOT(ISNUMBER(P2412))),"Balance increased but no Deferred_interest reported",IF(L2412&gt;R2412,"Reported balance higher than expected (missing increase/OC build)","Reported balance lower than expected (missing decrease)"))))),""))</f>
        <v/>
      </c>
    </row>
    <row r="2413" customFormat="false" ht="15" hidden="false" customHeight="false" outlineLevel="0" collapsed="false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9"/>
      <c r="L2413" s="9"/>
      <c r="M2413" s="9"/>
      <c r="N2413" s="9"/>
      <c r="O2413" s="9"/>
      <c r="P2413" s="9"/>
      <c r="Q2413" s="9"/>
      <c r="R2413" s="9" t="str">
        <f aca="false">IF(AND(A2413&lt;&gt;"",ISNUMBER(Q2413),ISNUMBER(L2413)),ROUND(Q2413-IF(ISNUMBER(N2413),N2413,0)-IF(ISNUMBER(O2413),O2413,0)+IF(ISNUMBER(P2413),P2413,0),2),"")</f>
        <v/>
      </c>
      <c r="S2413" s="9" t="str">
        <f aca="false">IF(R2413="","",ROUND(L2413-R2413,2))</f>
        <v/>
      </c>
      <c r="T2413" s="8" t="str">
        <f aca="false">IF(A2413="","",IF(S2413="","BYPASS",IF(ABS(S2413)&lt;=Summary!$B$2,"PASS","FAIL")))</f>
        <v/>
      </c>
      <c r="U2413" s="8" t="str">
        <f aca="false">IF(T2413="BYPASS",IF(NOT(ISNUMBER(Q2413)),"PreV_ETB missing","End_tr_balance missing"),IF(T2413="FAIL",IF(AND(ISNUMBER(K2413),ISNUMBER(L2413),ABS(L2413-(K2413-IF(ISNUMBER(N2413),N2413,0)-IF(ISNUMBER(O2413),O2413,0)+IF(ISNUMBER(P2413),P2413,0)))&lt;=Summary!$B$2),"Passes using beginning_balance - PreV_ETB differs from beginning_balance",IF(AND(ISNUMBER(O2413),O2413&lt;0,ABS(L2413-(Q2413-IF(ISNUMBER(N2413),N2413,0)+IF(ISNUMBER(P2413),P2413,0)))&lt;=Summary!$B$2),"Negative realized loss not applied - check sign",IF(R2413&lt;0,"Principal paid exceeds prior balance",IF(AND(L2413&gt;Q2413,NOT(ISNUMBER(P2413))),"Balance increased but no Deferred_interest reported",IF(L2413&gt;R2413,"Reported balance higher than expected (missing increase/OC build)","Reported balance lower than expected (missing decrease)"))))),""))</f>
        <v/>
      </c>
    </row>
    <row r="2414" customFormat="false" ht="15" hidden="false" customHeight="false" outlineLevel="0" collapsed="false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9"/>
      <c r="L2414" s="9"/>
      <c r="M2414" s="9"/>
      <c r="N2414" s="9"/>
      <c r="O2414" s="9"/>
      <c r="P2414" s="9"/>
      <c r="Q2414" s="9"/>
      <c r="R2414" s="9" t="str">
        <f aca="false">IF(AND(A2414&lt;&gt;"",ISNUMBER(Q2414),ISNUMBER(L2414)),ROUND(Q2414-IF(ISNUMBER(N2414),N2414,0)-IF(ISNUMBER(O2414),O2414,0)+IF(ISNUMBER(P2414),P2414,0),2),"")</f>
        <v/>
      </c>
      <c r="S2414" s="9" t="str">
        <f aca="false">IF(R2414="","",ROUND(L2414-R2414,2))</f>
        <v/>
      </c>
      <c r="T2414" s="8" t="str">
        <f aca="false">IF(A2414="","",IF(S2414="","BYPASS",IF(ABS(S2414)&lt;=Summary!$B$2,"PASS","FAIL")))</f>
        <v/>
      </c>
      <c r="U2414" s="8" t="str">
        <f aca="false">IF(T2414="BYPASS",IF(NOT(ISNUMBER(Q2414)),"PreV_ETB missing","End_tr_balance missing"),IF(T2414="FAIL",IF(AND(ISNUMBER(K2414),ISNUMBER(L2414),ABS(L2414-(K2414-IF(ISNUMBER(N2414),N2414,0)-IF(ISNUMBER(O2414),O2414,0)+IF(ISNUMBER(P2414),P2414,0)))&lt;=Summary!$B$2),"Passes using beginning_balance - PreV_ETB differs from beginning_balance",IF(AND(ISNUMBER(O2414),O2414&lt;0,ABS(L2414-(Q2414-IF(ISNUMBER(N2414),N2414,0)+IF(ISNUMBER(P2414),P2414,0)))&lt;=Summary!$B$2),"Negative realized loss not applied - check sign",IF(R2414&lt;0,"Principal paid exceeds prior balance",IF(AND(L2414&gt;Q2414,NOT(ISNUMBER(P2414))),"Balance increased but no Deferred_interest reported",IF(L2414&gt;R2414,"Reported balance higher than expected (missing increase/OC build)","Reported balance lower than expected (missing decrease)"))))),""))</f>
        <v/>
      </c>
    </row>
    <row r="2415" customFormat="false" ht="15" hidden="false" customHeight="false" outlineLevel="0" collapsed="false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9"/>
      <c r="L2415" s="9"/>
      <c r="M2415" s="9"/>
      <c r="N2415" s="9"/>
      <c r="O2415" s="9"/>
      <c r="P2415" s="9"/>
      <c r="Q2415" s="9"/>
      <c r="R2415" s="9" t="str">
        <f aca="false">IF(AND(A2415&lt;&gt;"",ISNUMBER(Q2415),ISNUMBER(L2415)),ROUND(Q2415-IF(ISNUMBER(N2415),N2415,0)-IF(ISNUMBER(O2415),O2415,0)+IF(ISNUMBER(P2415),P2415,0),2),"")</f>
        <v/>
      </c>
      <c r="S2415" s="9" t="str">
        <f aca="false">IF(R2415="","",ROUND(L2415-R2415,2))</f>
        <v/>
      </c>
      <c r="T2415" s="8" t="str">
        <f aca="false">IF(A2415="","",IF(S2415="","BYPASS",IF(ABS(S2415)&lt;=Summary!$B$2,"PASS","FAIL")))</f>
        <v/>
      </c>
      <c r="U2415" s="8" t="str">
        <f aca="false">IF(T2415="BYPASS",IF(NOT(ISNUMBER(Q2415)),"PreV_ETB missing","End_tr_balance missing"),IF(T2415="FAIL",IF(AND(ISNUMBER(K2415),ISNUMBER(L2415),ABS(L2415-(K2415-IF(ISNUMBER(N2415),N2415,0)-IF(ISNUMBER(O2415),O2415,0)+IF(ISNUMBER(P2415),P2415,0)))&lt;=Summary!$B$2),"Passes using beginning_balance - PreV_ETB differs from beginning_balance",IF(AND(ISNUMBER(O2415),O2415&lt;0,ABS(L2415-(Q2415-IF(ISNUMBER(N2415),N2415,0)+IF(ISNUMBER(P2415),P2415,0)))&lt;=Summary!$B$2),"Negative realized loss not applied - check sign",IF(R2415&lt;0,"Principal paid exceeds prior balance",IF(AND(L2415&gt;Q2415,NOT(ISNUMBER(P2415))),"Balance increased but no Deferred_interest reported",IF(L2415&gt;R2415,"Reported balance higher than expected (missing increase/OC build)","Reported balance lower than expected (missing decrease)"))))),""))</f>
        <v/>
      </c>
    </row>
    <row r="2416" customFormat="false" ht="15" hidden="false" customHeight="false" outlineLevel="0" collapsed="false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9"/>
      <c r="L2416" s="9"/>
      <c r="M2416" s="9"/>
      <c r="N2416" s="9"/>
      <c r="O2416" s="9"/>
      <c r="P2416" s="9"/>
      <c r="Q2416" s="9"/>
      <c r="R2416" s="9" t="str">
        <f aca="false">IF(AND(A2416&lt;&gt;"",ISNUMBER(Q2416),ISNUMBER(L2416)),ROUND(Q2416-IF(ISNUMBER(N2416),N2416,0)-IF(ISNUMBER(O2416),O2416,0)+IF(ISNUMBER(P2416),P2416,0),2),"")</f>
        <v/>
      </c>
      <c r="S2416" s="9" t="str">
        <f aca="false">IF(R2416="","",ROUND(L2416-R2416,2))</f>
        <v/>
      </c>
      <c r="T2416" s="8" t="str">
        <f aca="false">IF(A2416="","",IF(S2416="","BYPASS",IF(ABS(S2416)&lt;=Summary!$B$2,"PASS","FAIL")))</f>
        <v/>
      </c>
      <c r="U2416" s="8" t="str">
        <f aca="false">IF(T2416="BYPASS",IF(NOT(ISNUMBER(Q2416)),"PreV_ETB missing","End_tr_balance missing"),IF(T2416="FAIL",IF(AND(ISNUMBER(K2416),ISNUMBER(L2416),ABS(L2416-(K2416-IF(ISNUMBER(N2416),N2416,0)-IF(ISNUMBER(O2416),O2416,0)+IF(ISNUMBER(P2416),P2416,0)))&lt;=Summary!$B$2),"Passes using beginning_balance - PreV_ETB differs from beginning_balance",IF(AND(ISNUMBER(O2416),O2416&lt;0,ABS(L2416-(Q2416-IF(ISNUMBER(N2416),N2416,0)+IF(ISNUMBER(P2416),P2416,0)))&lt;=Summary!$B$2),"Negative realized loss not applied - check sign",IF(R2416&lt;0,"Principal paid exceeds prior balance",IF(AND(L2416&gt;Q2416,NOT(ISNUMBER(P2416))),"Balance increased but no Deferred_interest reported",IF(L2416&gt;R2416,"Reported balance higher than expected (missing increase/OC build)","Reported balance lower than expected (missing decrease)"))))),""))</f>
        <v/>
      </c>
    </row>
    <row r="2417" customFormat="false" ht="15" hidden="false" customHeight="false" outlineLevel="0" collapsed="false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9"/>
      <c r="L2417" s="9"/>
      <c r="M2417" s="9"/>
      <c r="N2417" s="9"/>
      <c r="O2417" s="9"/>
      <c r="P2417" s="9"/>
      <c r="Q2417" s="9"/>
      <c r="R2417" s="9" t="str">
        <f aca="false">IF(AND(A2417&lt;&gt;"",ISNUMBER(Q2417),ISNUMBER(L2417)),ROUND(Q2417-IF(ISNUMBER(N2417),N2417,0)-IF(ISNUMBER(O2417),O2417,0)+IF(ISNUMBER(P2417),P2417,0),2),"")</f>
        <v/>
      </c>
      <c r="S2417" s="9" t="str">
        <f aca="false">IF(R2417="","",ROUND(L2417-R2417,2))</f>
        <v/>
      </c>
      <c r="T2417" s="8" t="str">
        <f aca="false">IF(A2417="","",IF(S2417="","BYPASS",IF(ABS(S2417)&lt;=Summary!$B$2,"PASS","FAIL")))</f>
        <v/>
      </c>
      <c r="U2417" s="8" t="str">
        <f aca="false">IF(T2417="BYPASS",IF(NOT(ISNUMBER(Q2417)),"PreV_ETB missing","End_tr_balance missing"),IF(T2417="FAIL",IF(AND(ISNUMBER(K2417),ISNUMBER(L2417),ABS(L2417-(K2417-IF(ISNUMBER(N2417),N2417,0)-IF(ISNUMBER(O2417),O2417,0)+IF(ISNUMBER(P2417),P2417,0)))&lt;=Summary!$B$2),"Passes using beginning_balance - PreV_ETB differs from beginning_balance",IF(AND(ISNUMBER(O2417),O2417&lt;0,ABS(L2417-(Q2417-IF(ISNUMBER(N2417),N2417,0)+IF(ISNUMBER(P2417),P2417,0)))&lt;=Summary!$B$2),"Negative realized loss not applied - check sign",IF(R2417&lt;0,"Principal paid exceeds prior balance",IF(AND(L2417&gt;Q2417,NOT(ISNUMBER(P2417))),"Balance increased but no Deferred_interest reported",IF(L2417&gt;R2417,"Reported balance higher than expected (missing increase/OC build)","Reported balance lower than expected (missing decrease)"))))),""))</f>
        <v/>
      </c>
    </row>
    <row r="2418" customFormat="false" ht="15" hidden="false" customHeight="false" outlineLevel="0" collapsed="false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9"/>
      <c r="L2418" s="9"/>
      <c r="M2418" s="9"/>
      <c r="N2418" s="9"/>
      <c r="O2418" s="9"/>
      <c r="P2418" s="9"/>
      <c r="Q2418" s="9"/>
      <c r="R2418" s="9" t="str">
        <f aca="false">IF(AND(A2418&lt;&gt;"",ISNUMBER(Q2418),ISNUMBER(L2418)),ROUND(Q2418-IF(ISNUMBER(N2418),N2418,0)-IF(ISNUMBER(O2418),O2418,0)+IF(ISNUMBER(P2418),P2418,0),2),"")</f>
        <v/>
      </c>
      <c r="S2418" s="9" t="str">
        <f aca="false">IF(R2418="","",ROUND(L2418-R2418,2))</f>
        <v/>
      </c>
      <c r="T2418" s="8" t="str">
        <f aca="false">IF(A2418="","",IF(S2418="","BYPASS",IF(ABS(S2418)&lt;=Summary!$B$2,"PASS","FAIL")))</f>
        <v/>
      </c>
      <c r="U2418" s="8" t="str">
        <f aca="false">IF(T2418="BYPASS",IF(NOT(ISNUMBER(Q2418)),"PreV_ETB missing","End_tr_balance missing"),IF(T2418="FAIL",IF(AND(ISNUMBER(K2418),ISNUMBER(L2418),ABS(L2418-(K2418-IF(ISNUMBER(N2418),N2418,0)-IF(ISNUMBER(O2418),O2418,0)+IF(ISNUMBER(P2418),P2418,0)))&lt;=Summary!$B$2),"Passes using beginning_balance - PreV_ETB differs from beginning_balance",IF(AND(ISNUMBER(O2418),O2418&lt;0,ABS(L2418-(Q2418-IF(ISNUMBER(N2418),N2418,0)+IF(ISNUMBER(P2418),P2418,0)))&lt;=Summary!$B$2),"Negative realized loss not applied - check sign",IF(R2418&lt;0,"Principal paid exceeds prior balance",IF(AND(L2418&gt;Q2418,NOT(ISNUMBER(P2418))),"Balance increased but no Deferred_interest reported",IF(L2418&gt;R2418,"Reported balance higher than expected (missing increase/OC build)","Reported balance lower than expected (missing decrease)"))))),""))</f>
        <v/>
      </c>
    </row>
    <row r="2419" customFormat="false" ht="15" hidden="false" customHeight="false" outlineLevel="0" collapsed="false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9"/>
      <c r="L2419" s="9"/>
      <c r="M2419" s="9"/>
      <c r="N2419" s="9"/>
      <c r="O2419" s="9"/>
      <c r="P2419" s="9"/>
      <c r="Q2419" s="9"/>
      <c r="R2419" s="9" t="str">
        <f aca="false">IF(AND(A2419&lt;&gt;"",ISNUMBER(Q2419),ISNUMBER(L2419)),ROUND(Q2419-IF(ISNUMBER(N2419),N2419,0)-IF(ISNUMBER(O2419),O2419,0)+IF(ISNUMBER(P2419),P2419,0),2),"")</f>
        <v/>
      </c>
      <c r="S2419" s="9" t="str">
        <f aca="false">IF(R2419="","",ROUND(L2419-R2419,2))</f>
        <v/>
      </c>
      <c r="T2419" s="8" t="str">
        <f aca="false">IF(A2419="","",IF(S2419="","BYPASS",IF(ABS(S2419)&lt;=Summary!$B$2,"PASS","FAIL")))</f>
        <v/>
      </c>
      <c r="U2419" s="8" t="str">
        <f aca="false">IF(T2419="BYPASS",IF(NOT(ISNUMBER(Q2419)),"PreV_ETB missing","End_tr_balance missing"),IF(T2419="FAIL",IF(AND(ISNUMBER(K2419),ISNUMBER(L2419),ABS(L2419-(K2419-IF(ISNUMBER(N2419),N2419,0)-IF(ISNUMBER(O2419),O2419,0)+IF(ISNUMBER(P2419),P2419,0)))&lt;=Summary!$B$2),"Passes using beginning_balance - PreV_ETB differs from beginning_balance",IF(AND(ISNUMBER(O2419),O2419&lt;0,ABS(L2419-(Q2419-IF(ISNUMBER(N2419),N2419,0)+IF(ISNUMBER(P2419),P2419,0)))&lt;=Summary!$B$2),"Negative realized loss not applied - check sign",IF(R2419&lt;0,"Principal paid exceeds prior balance",IF(AND(L2419&gt;Q2419,NOT(ISNUMBER(P2419))),"Balance increased but no Deferred_interest reported",IF(L2419&gt;R2419,"Reported balance higher than expected (missing increase/OC build)","Reported balance lower than expected (missing decrease)"))))),""))</f>
        <v/>
      </c>
    </row>
    <row r="2420" customFormat="false" ht="15" hidden="false" customHeight="false" outlineLevel="0" collapsed="false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9"/>
      <c r="L2420" s="9"/>
      <c r="M2420" s="9"/>
      <c r="N2420" s="9"/>
      <c r="O2420" s="9"/>
      <c r="P2420" s="9"/>
      <c r="Q2420" s="9"/>
      <c r="R2420" s="9" t="str">
        <f aca="false">IF(AND(A2420&lt;&gt;"",ISNUMBER(Q2420),ISNUMBER(L2420)),ROUND(Q2420-IF(ISNUMBER(N2420),N2420,0)-IF(ISNUMBER(O2420),O2420,0)+IF(ISNUMBER(P2420),P2420,0),2),"")</f>
        <v/>
      </c>
      <c r="S2420" s="9" t="str">
        <f aca="false">IF(R2420="","",ROUND(L2420-R2420,2))</f>
        <v/>
      </c>
      <c r="T2420" s="8" t="str">
        <f aca="false">IF(A2420="","",IF(S2420="","BYPASS",IF(ABS(S2420)&lt;=Summary!$B$2,"PASS","FAIL")))</f>
        <v/>
      </c>
      <c r="U2420" s="8" t="str">
        <f aca="false">IF(T2420="BYPASS",IF(NOT(ISNUMBER(Q2420)),"PreV_ETB missing","End_tr_balance missing"),IF(T2420="FAIL",IF(AND(ISNUMBER(K2420),ISNUMBER(L2420),ABS(L2420-(K2420-IF(ISNUMBER(N2420),N2420,0)-IF(ISNUMBER(O2420),O2420,0)+IF(ISNUMBER(P2420),P2420,0)))&lt;=Summary!$B$2),"Passes using beginning_balance - PreV_ETB differs from beginning_balance",IF(AND(ISNUMBER(O2420),O2420&lt;0,ABS(L2420-(Q2420-IF(ISNUMBER(N2420),N2420,0)+IF(ISNUMBER(P2420),P2420,0)))&lt;=Summary!$B$2),"Negative realized loss not applied - check sign",IF(R2420&lt;0,"Principal paid exceeds prior balance",IF(AND(L2420&gt;Q2420,NOT(ISNUMBER(P2420))),"Balance increased but no Deferred_interest reported",IF(L2420&gt;R2420,"Reported balance higher than expected (missing increase/OC build)","Reported balance lower than expected (missing decrease)"))))),""))</f>
        <v/>
      </c>
    </row>
    <row r="2421" customFormat="false" ht="15" hidden="false" customHeight="false" outlineLevel="0" collapsed="false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9"/>
      <c r="L2421" s="9"/>
      <c r="M2421" s="9"/>
      <c r="N2421" s="9"/>
      <c r="O2421" s="9"/>
      <c r="P2421" s="9"/>
      <c r="Q2421" s="9"/>
      <c r="R2421" s="9" t="str">
        <f aca="false">IF(AND(A2421&lt;&gt;"",ISNUMBER(Q2421),ISNUMBER(L2421)),ROUND(Q2421-IF(ISNUMBER(N2421),N2421,0)-IF(ISNUMBER(O2421),O2421,0)+IF(ISNUMBER(P2421),P2421,0),2),"")</f>
        <v/>
      </c>
      <c r="S2421" s="9" t="str">
        <f aca="false">IF(R2421="","",ROUND(L2421-R2421,2))</f>
        <v/>
      </c>
      <c r="T2421" s="8" t="str">
        <f aca="false">IF(A2421="","",IF(S2421="","BYPASS",IF(ABS(S2421)&lt;=Summary!$B$2,"PASS","FAIL")))</f>
        <v/>
      </c>
      <c r="U2421" s="8" t="str">
        <f aca="false">IF(T2421="BYPASS",IF(NOT(ISNUMBER(Q2421)),"PreV_ETB missing","End_tr_balance missing"),IF(T2421="FAIL",IF(AND(ISNUMBER(K2421),ISNUMBER(L2421),ABS(L2421-(K2421-IF(ISNUMBER(N2421),N2421,0)-IF(ISNUMBER(O2421),O2421,0)+IF(ISNUMBER(P2421),P2421,0)))&lt;=Summary!$B$2),"Passes using beginning_balance - PreV_ETB differs from beginning_balance",IF(AND(ISNUMBER(O2421),O2421&lt;0,ABS(L2421-(Q2421-IF(ISNUMBER(N2421),N2421,0)+IF(ISNUMBER(P2421),P2421,0)))&lt;=Summary!$B$2),"Negative realized loss not applied - check sign",IF(R2421&lt;0,"Principal paid exceeds prior balance",IF(AND(L2421&gt;Q2421,NOT(ISNUMBER(P2421))),"Balance increased but no Deferred_interest reported",IF(L2421&gt;R2421,"Reported balance higher than expected (missing increase/OC build)","Reported balance lower than expected (missing decrease)"))))),""))</f>
        <v/>
      </c>
    </row>
    <row r="2422" customFormat="false" ht="15" hidden="false" customHeight="false" outlineLevel="0" collapsed="false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9"/>
      <c r="L2422" s="9"/>
      <c r="M2422" s="9"/>
      <c r="N2422" s="9"/>
      <c r="O2422" s="9"/>
      <c r="P2422" s="9"/>
      <c r="Q2422" s="9"/>
      <c r="R2422" s="9" t="str">
        <f aca="false">IF(AND(A2422&lt;&gt;"",ISNUMBER(Q2422),ISNUMBER(L2422)),ROUND(Q2422-IF(ISNUMBER(N2422),N2422,0)-IF(ISNUMBER(O2422),O2422,0)+IF(ISNUMBER(P2422),P2422,0),2),"")</f>
        <v/>
      </c>
      <c r="S2422" s="9" t="str">
        <f aca="false">IF(R2422="","",ROUND(L2422-R2422,2))</f>
        <v/>
      </c>
      <c r="T2422" s="8" t="str">
        <f aca="false">IF(A2422="","",IF(S2422="","BYPASS",IF(ABS(S2422)&lt;=Summary!$B$2,"PASS","FAIL")))</f>
        <v/>
      </c>
      <c r="U2422" s="8" t="str">
        <f aca="false">IF(T2422="BYPASS",IF(NOT(ISNUMBER(Q2422)),"PreV_ETB missing","End_tr_balance missing"),IF(T2422="FAIL",IF(AND(ISNUMBER(K2422),ISNUMBER(L2422),ABS(L2422-(K2422-IF(ISNUMBER(N2422),N2422,0)-IF(ISNUMBER(O2422),O2422,0)+IF(ISNUMBER(P2422),P2422,0)))&lt;=Summary!$B$2),"Passes using beginning_balance - PreV_ETB differs from beginning_balance",IF(AND(ISNUMBER(O2422),O2422&lt;0,ABS(L2422-(Q2422-IF(ISNUMBER(N2422),N2422,0)+IF(ISNUMBER(P2422),P2422,0)))&lt;=Summary!$B$2),"Negative realized loss not applied - check sign",IF(R2422&lt;0,"Principal paid exceeds prior balance",IF(AND(L2422&gt;Q2422,NOT(ISNUMBER(P2422))),"Balance increased but no Deferred_interest reported",IF(L2422&gt;R2422,"Reported balance higher than expected (missing increase/OC build)","Reported balance lower than expected (missing decrease)"))))),""))</f>
        <v/>
      </c>
    </row>
    <row r="2423" customFormat="false" ht="15" hidden="false" customHeight="false" outlineLevel="0" collapsed="false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9"/>
      <c r="L2423" s="9"/>
      <c r="M2423" s="9"/>
      <c r="N2423" s="9"/>
      <c r="O2423" s="9"/>
      <c r="P2423" s="9"/>
      <c r="Q2423" s="9"/>
      <c r="R2423" s="9" t="str">
        <f aca="false">IF(AND(A2423&lt;&gt;"",ISNUMBER(Q2423),ISNUMBER(L2423)),ROUND(Q2423-IF(ISNUMBER(N2423),N2423,0)-IF(ISNUMBER(O2423),O2423,0)+IF(ISNUMBER(P2423),P2423,0),2),"")</f>
        <v/>
      </c>
      <c r="S2423" s="9" t="str">
        <f aca="false">IF(R2423="","",ROUND(L2423-R2423,2))</f>
        <v/>
      </c>
      <c r="T2423" s="8" t="str">
        <f aca="false">IF(A2423="","",IF(S2423="","BYPASS",IF(ABS(S2423)&lt;=Summary!$B$2,"PASS","FAIL")))</f>
        <v/>
      </c>
      <c r="U2423" s="8" t="str">
        <f aca="false">IF(T2423="BYPASS",IF(NOT(ISNUMBER(Q2423)),"PreV_ETB missing","End_tr_balance missing"),IF(T2423="FAIL",IF(AND(ISNUMBER(K2423),ISNUMBER(L2423),ABS(L2423-(K2423-IF(ISNUMBER(N2423),N2423,0)-IF(ISNUMBER(O2423),O2423,0)+IF(ISNUMBER(P2423),P2423,0)))&lt;=Summary!$B$2),"Passes using beginning_balance - PreV_ETB differs from beginning_balance",IF(AND(ISNUMBER(O2423),O2423&lt;0,ABS(L2423-(Q2423-IF(ISNUMBER(N2423),N2423,0)+IF(ISNUMBER(P2423),P2423,0)))&lt;=Summary!$B$2),"Negative realized loss not applied - check sign",IF(R2423&lt;0,"Principal paid exceeds prior balance",IF(AND(L2423&gt;Q2423,NOT(ISNUMBER(P2423))),"Balance increased but no Deferred_interest reported",IF(L2423&gt;R2423,"Reported balance higher than expected (missing increase/OC build)","Reported balance lower than expected (missing decrease)"))))),""))</f>
        <v/>
      </c>
    </row>
    <row r="2424" customFormat="false" ht="15" hidden="false" customHeight="false" outlineLevel="0" collapsed="false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9"/>
      <c r="L2424" s="9"/>
      <c r="M2424" s="9"/>
      <c r="N2424" s="9"/>
      <c r="O2424" s="9"/>
      <c r="P2424" s="9"/>
      <c r="Q2424" s="9"/>
      <c r="R2424" s="9" t="str">
        <f aca="false">IF(AND(A2424&lt;&gt;"",ISNUMBER(Q2424),ISNUMBER(L2424)),ROUND(Q2424-IF(ISNUMBER(N2424),N2424,0)-IF(ISNUMBER(O2424),O2424,0)+IF(ISNUMBER(P2424),P2424,0),2),"")</f>
        <v/>
      </c>
      <c r="S2424" s="9" t="str">
        <f aca="false">IF(R2424="","",ROUND(L2424-R2424,2))</f>
        <v/>
      </c>
      <c r="T2424" s="8" t="str">
        <f aca="false">IF(A2424="","",IF(S2424="","BYPASS",IF(ABS(S2424)&lt;=Summary!$B$2,"PASS","FAIL")))</f>
        <v/>
      </c>
      <c r="U2424" s="8" t="str">
        <f aca="false">IF(T2424="BYPASS",IF(NOT(ISNUMBER(Q2424)),"PreV_ETB missing","End_tr_balance missing"),IF(T2424="FAIL",IF(AND(ISNUMBER(K2424),ISNUMBER(L2424),ABS(L2424-(K2424-IF(ISNUMBER(N2424),N2424,0)-IF(ISNUMBER(O2424),O2424,0)+IF(ISNUMBER(P2424),P2424,0)))&lt;=Summary!$B$2),"Passes using beginning_balance - PreV_ETB differs from beginning_balance",IF(AND(ISNUMBER(O2424),O2424&lt;0,ABS(L2424-(Q2424-IF(ISNUMBER(N2424),N2424,0)+IF(ISNUMBER(P2424),P2424,0)))&lt;=Summary!$B$2),"Negative realized loss not applied - check sign",IF(R2424&lt;0,"Principal paid exceeds prior balance",IF(AND(L2424&gt;Q2424,NOT(ISNUMBER(P2424))),"Balance increased but no Deferred_interest reported",IF(L2424&gt;R2424,"Reported balance higher than expected (missing increase/OC build)","Reported balance lower than expected (missing decrease)"))))),""))</f>
        <v/>
      </c>
    </row>
    <row r="2425" customFormat="false" ht="15" hidden="false" customHeight="false" outlineLevel="0" collapsed="false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9"/>
      <c r="L2425" s="9"/>
      <c r="M2425" s="9"/>
      <c r="N2425" s="9"/>
      <c r="O2425" s="9"/>
      <c r="P2425" s="9"/>
      <c r="Q2425" s="9"/>
      <c r="R2425" s="9" t="str">
        <f aca="false">IF(AND(A2425&lt;&gt;"",ISNUMBER(Q2425),ISNUMBER(L2425)),ROUND(Q2425-IF(ISNUMBER(N2425),N2425,0)-IF(ISNUMBER(O2425),O2425,0)+IF(ISNUMBER(P2425),P2425,0),2),"")</f>
        <v/>
      </c>
      <c r="S2425" s="9" t="str">
        <f aca="false">IF(R2425="","",ROUND(L2425-R2425,2))</f>
        <v/>
      </c>
      <c r="T2425" s="8" t="str">
        <f aca="false">IF(A2425="","",IF(S2425="","BYPASS",IF(ABS(S2425)&lt;=Summary!$B$2,"PASS","FAIL")))</f>
        <v/>
      </c>
      <c r="U2425" s="8" t="str">
        <f aca="false">IF(T2425="BYPASS",IF(NOT(ISNUMBER(Q2425)),"PreV_ETB missing","End_tr_balance missing"),IF(T2425="FAIL",IF(AND(ISNUMBER(K2425),ISNUMBER(L2425),ABS(L2425-(K2425-IF(ISNUMBER(N2425),N2425,0)-IF(ISNUMBER(O2425),O2425,0)+IF(ISNUMBER(P2425),P2425,0)))&lt;=Summary!$B$2),"Passes using beginning_balance - PreV_ETB differs from beginning_balance",IF(AND(ISNUMBER(O2425),O2425&lt;0,ABS(L2425-(Q2425-IF(ISNUMBER(N2425),N2425,0)+IF(ISNUMBER(P2425),P2425,0)))&lt;=Summary!$B$2),"Negative realized loss not applied - check sign",IF(R2425&lt;0,"Principal paid exceeds prior balance",IF(AND(L2425&gt;Q2425,NOT(ISNUMBER(P2425))),"Balance increased but no Deferred_interest reported",IF(L2425&gt;R2425,"Reported balance higher than expected (missing increase/OC build)","Reported balance lower than expected (missing decrease)"))))),""))</f>
        <v/>
      </c>
    </row>
    <row r="2426" customFormat="false" ht="15" hidden="false" customHeight="false" outlineLevel="0" collapsed="false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9"/>
      <c r="L2426" s="9"/>
      <c r="M2426" s="9"/>
      <c r="N2426" s="9"/>
      <c r="O2426" s="9"/>
      <c r="P2426" s="9"/>
      <c r="Q2426" s="9"/>
      <c r="R2426" s="9" t="str">
        <f aca="false">IF(AND(A2426&lt;&gt;"",ISNUMBER(Q2426),ISNUMBER(L2426)),ROUND(Q2426-IF(ISNUMBER(N2426),N2426,0)-IF(ISNUMBER(O2426),O2426,0)+IF(ISNUMBER(P2426),P2426,0),2),"")</f>
        <v/>
      </c>
      <c r="S2426" s="9" t="str">
        <f aca="false">IF(R2426="","",ROUND(L2426-R2426,2))</f>
        <v/>
      </c>
      <c r="T2426" s="8" t="str">
        <f aca="false">IF(A2426="","",IF(S2426="","BYPASS",IF(ABS(S2426)&lt;=Summary!$B$2,"PASS","FAIL")))</f>
        <v/>
      </c>
      <c r="U2426" s="8" t="str">
        <f aca="false">IF(T2426="BYPASS",IF(NOT(ISNUMBER(Q2426)),"PreV_ETB missing","End_tr_balance missing"),IF(T2426="FAIL",IF(AND(ISNUMBER(K2426),ISNUMBER(L2426),ABS(L2426-(K2426-IF(ISNUMBER(N2426),N2426,0)-IF(ISNUMBER(O2426),O2426,0)+IF(ISNUMBER(P2426),P2426,0)))&lt;=Summary!$B$2),"Passes using beginning_balance - PreV_ETB differs from beginning_balance",IF(AND(ISNUMBER(O2426),O2426&lt;0,ABS(L2426-(Q2426-IF(ISNUMBER(N2426),N2426,0)+IF(ISNUMBER(P2426),P2426,0)))&lt;=Summary!$B$2),"Negative realized loss not applied - check sign",IF(R2426&lt;0,"Principal paid exceeds prior balance",IF(AND(L2426&gt;Q2426,NOT(ISNUMBER(P2426))),"Balance increased but no Deferred_interest reported",IF(L2426&gt;R2426,"Reported balance higher than expected (missing increase/OC build)","Reported balance lower than expected (missing decrease)"))))),""))</f>
        <v/>
      </c>
    </row>
    <row r="2427" customFormat="false" ht="15" hidden="false" customHeight="false" outlineLevel="0" collapsed="false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9"/>
      <c r="L2427" s="9"/>
      <c r="M2427" s="9"/>
      <c r="N2427" s="9"/>
      <c r="O2427" s="9"/>
      <c r="P2427" s="9"/>
      <c r="Q2427" s="9"/>
      <c r="R2427" s="9" t="str">
        <f aca="false">IF(AND(A2427&lt;&gt;"",ISNUMBER(Q2427),ISNUMBER(L2427)),ROUND(Q2427-IF(ISNUMBER(N2427),N2427,0)-IF(ISNUMBER(O2427),O2427,0)+IF(ISNUMBER(P2427),P2427,0),2),"")</f>
        <v/>
      </c>
      <c r="S2427" s="9" t="str">
        <f aca="false">IF(R2427="","",ROUND(L2427-R2427,2))</f>
        <v/>
      </c>
      <c r="T2427" s="8" t="str">
        <f aca="false">IF(A2427="","",IF(S2427="","BYPASS",IF(ABS(S2427)&lt;=Summary!$B$2,"PASS","FAIL")))</f>
        <v/>
      </c>
      <c r="U2427" s="8" t="str">
        <f aca="false">IF(T2427="BYPASS",IF(NOT(ISNUMBER(Q2427)),"PreV_ETB missing","End_tr_balance missing"),IF(T2427="FAIL",IF(AND(ISNUMBER(K2427),ISNUMBER(L2427),ABS(L2427-(K2427-IF(ISNUMBER(N2427),N2427,0)-IF(ISNUMBER(O2427),O2427,0)+IF(ISNUMBER(P2427),P2427,0)))&lt;=Summary!$B$2),"Passes using beginning_balance - PreV_ETB differs from beginning_balance",IF(AND(ISNUMBER(O2427),O2427&lt;0,ABS(L2427-(Q2427-IF(ISNUMBER(N2427),N2427,0)+IF(ISNUMBER(P2427),P2427,0)))&lt;=Summary!$B$2),"Negative realized loss not applied - check sign",IF(R2427&lt;0,"Principal paid exceeds prior balance",IF(AND(L2427&gt;Q2427,NOT(ISNUMBER(P2427))),"Balance increased but no Deferred_interest reported",IF(L2427&gt;R2427,"Reported balance higher than expected (missing increase/OC build)","Reported balance lower than expected (missing decrease)"))))),""))</f>
        <v/>
      </c>
    </row>
    <row r="2428" customFormat="false" ht="15" hidden="false" customHeight="false" outlineLevel="0" collapsed="false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9"/>
      <c r="L2428" s="9"/>
      <c r="M2428" s="9"/>
      <c r="N2428" s="9"/>
      <c r="O2428" s="9"/>
      <c r="P2428" s="9"/>
      <c r="Q2428" s="9"/>
      <c r="R2428" s="9" t="str">
        <f aca="false">IF(AND(A2428&lt;&gt;"",ISNUMBER(Q2428),ISNUMBER(L2428)),ROUND(Q2428-IF(ISNUMBER(N2428),N2428,0)-IF(ISNUMBER(O2428),O2428,0)+IF(ISNUMBER(P2428),P2428,0),2),"")</f>
        <v/>
      </c>
      <c r="S2428" s="9" t="str">
        <f aca="false">IF(R2428="","",ROUND(L2428-R2428,2))</f>
        <v/>
      </c>
      <c r="T2428" s="8" t="str">
        <f aca="false">IF(A2428="","",IF(S2428="","BYPASS",IF(ABS(S2428)&lt;=Summary!$B$2,"PASS","FAIL")))</f>
        <v/>
      </c>
      <c r="U2428" s="8" t="str">
        <f aca="false">IF(T2428="BYPASS",IF(NOT(ISNUMBER(Q2428)),"PreV_ETB missing","End_tr_balance missing"),IF(T2428="FAIL",IF(AND(ISNUMBER(K2428),ISNUMBER(L2428),ABS(L2428-(K2428-IF(ISNUMBER(N2428),N2428,0)-IF(ISNUMBER(O2428),O2428,0)+IF(ISNUMBER(P2428),P2428,0)))&lt;=Summary!$B$2),"Passes using beginning_balance - PreV_ETB differs from beginning_balance",IF(AND(ISNUMBER(O2428),O2428&lt;0,ABS(L2428-(Q2428-IF(ISNUMBER(N2428),N2428,0)+IF(ISNUMBER(P2428),P2428,0)))&lt;=Summary!$B$2),"Negative realized loss not applied - check sign",IF(R2428&lt;0,"Principal paid exceeds prior balance",IF(AND(L2428&gt;Q2428,NOT(ISNUMBER(P2428))),"Balance increased but no Deferred_interest reported",IF(L2428&gt;R2428,"Reported balance higher than expected (missing increase/OC build)","Reported balance lower than expected (missing decrease)"))))),""))</f>
        <v/>
      </c>
    </row>
    <row r="2429" customFormat="false" ht="15" hidden="false" customHeight="false" outlineLevel="0" collapsed="false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9"/>
      <c r="L2429" s="9"/>
      <c r="M2429" s="9"/>
      <c r="N2429" s="9"/>
      <c r="O2429" s="9"/>
      <c r="P2429" s="9"/>
      <c r="Q2429" s="9"/>
      <c r="R2429" s="9" t="str">
        <f aca="false">IF(AND(A2429&lt;&gt;"",ISNUMBER(Q2429),ISNUMBER(L2429)),ROUND(Q2429-IF(ISNUMBER(N2429),N2429,0)-IF(ISNUMBER(O2429),O2429,0)+IF(ISNUMBER(P2429),P2429,0),2),"")</f>
        <v/>
      </c>
      <c r="S2429" s="9" t="str">
        <f aca="false">IF(R2429="","",ROUND(L2429-R2429,2))</f>
        <v/>
      </c>
      <c r="T2429" s="8" t="str">
        <f aca="false">IF(A2429="","",IF(S2429="","BYPASS",IF(ABS(S2429)&lt;=Summary!$B$2,"PASS","FAIL")))</f>
        <v/>
      </c>
      <c r="U2429" s="8" t="str">
        <f aca="false">IF(T2429="BYPASS",IF(NOT(ISNUMBER(Q2429)),"PreV_ETB missing","End_tr_balance missing"),IF(T2429="FAIL",IF(AND(ISNUMBER(K2429),ISNUMBER(L2429),ABS(L2429-(K2429-IF(ISNUMBER(N2429),N2429,0)-IF(ISNUMBER(O2429),O2429,0)+IF(ISNUMBER(P2429),P2429,0)))&lt;=Summary!$B$2),"Passes using beginning_balance - PreV_ETB differs from beginning_balance",IF(AND(ISNUMBER(O2429),O2429&lt;0,ABS(L2429-(Q2429-IF(ISNUMBER(N2429),N2429,0)+IF(ISNUMBER(P2429),P2429,0)))&lt;=Summary!$B$2),"Negative realized loss not applied - check sign",IF(R2429&lt;0,"Principal paid exceeds prior balance",IF(AND(L2429&gt;Q2429,NOT(ISNUMBER(P2429))),"Balance increased but no Deferred_interest reported",IF(L2429&gt;R2429,"Reported balance higher than expected (missing increase/OC build)","Reported balance lower than expected (missing decrease)"))))),""))</f>
        <v/>
      </c>
    </row>
    <row r="2430" customFormat="false" ht="15" hidden="false" customHeight="false" outlineLevel="0" collapsed="false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9"/>
      <c r="L2430" s="9"/>
      <c r="M2430" s="9"/>
      <c r="N2430" s="9"/>
      <c r="O2430" s="9"/>
      <c r="P2430" s="9"/>
      <c r="Q2430" s="9"/>
      <c r="R2430" s="9" t="str">
        <f aca="false">IF(AND(A2430&lt;&gt;"",ISNUMBER(Q2430),ISNUMBER(L2430)),ROUND(Q2430-IF(ISNUMBER(N2430),N2430,0)-IF(ISNUMBER(O2430),O2430,0)+IF(ISNUMBER(P2430),P2430,0),2),"")</f>
        <v/>
      </c>
      <c r="S2430" s="9" t="str">
        <f aca="false">IF(R2430="","",ROUND(L2430-R2430,2))</f>
        <v/>
      </c>
      <c r="T2430" s="8" t="str">
        <f aca="false">IF(A2430="","",IF(S2430="","BYPASS",IF(ABS(S2430)&lt;=Summary!$B$2,"PASS","FAIL")))</f>
        <v/>
      </c>
      <c r="U2430" s="8" t="str">
        <f aca="false">IF(T2430="BYPASS",IF(NOT(ISNUMBER(Q2430)),"PreV_ETB missing","End_tr_balance missing"),IF(T2430="FAIL",IF(AND(ISNUMBER(K2430),ISNUMBER(L2430),ABS(L2430-(K2430-IF(ISNUMBER(N2430),N2430,0)-IF(ISNUMBER(O2430),O2430,0)+IF(ISNUMBER(P2430),P2430,0)))&lt;=Summary!$B$2),"Passes using beginning_balance - PreV_ETB differs from beginning_balance",IF(AND(ISNUMBER(O2430),O2430&lt;0,ABS(L2430-(Q2430-IF(ISNUMBER(N2430),N2430,0)+IF(ISNUMBER(P2430),P2430,0)))&lt;=Summary!$B$2),"Negative realized loss not applied - check sign",IF(R2430&lt;0,"Principal paid exceeds prior balance",IF(AND(L2430&gt;Q2430,NOT(ISNUMBER(P2430))),"Balance increased but no Deferred_interest reported",IF(L2430&gt;R2430,"Reported balance higher than expected (missing increase/OC build)","Reported balance lower than expected (missing decrease)"))))),""))</f>
        <v/>
      </c>
    </row>
    <row r="2431" customFormat="false" ht="15" hidden="false" customHeight="false" outlineLevel="0" collapsed="false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9"/>
      <c r="L2431" s="9"/>
      <c r="M2431" s="9"/>
      <c r="N2431" s="9"/>
      <c r="O2431" s="9"/>
      <c r="P2431" s="9"/>
      <c r="Q2431" s="9"/>
      <c r="R2431" s="9" t="str">
        <f aca="false">IF(AND(A2431&lt;&gt;"",ISNUMBER(Q2431),ISNUMBER(L2431)),ROUND(Q2431-IF(ISNUMBER(N2431),N2431,0)-IF(ISNUMBER(O2431),O2431,0)+IF(ISNUMBER(P2431),P2431,0),2),"")</f>
        <v/>
      </c>
      <c r="S2431" s="9" t="str">
        <f aca="false">IF(R2431="","",ROUND(L2431-R2431,2))</f>
        <v/>
      </c>
      <c r="T2431" s="8" t="str">
        <f aca="false">IF(A2431="","",IF(S2431="","BYPASS",IF(ABS(S2431)&lt;=Summary!$B$2,"PASS","FAIL")))</f>
        <v/>
      </c>
      <c r="U2431" s="8" t="str">
        <f aca="false">IF(T2431="BYPASS",IF(NOT(ISNUMBER(Q2431)),"PreV_ETB missing","End_tr_balance missing"),IF(T2431="FAIL",IF(AND(ISNUMBER(K2431),ISNUMBER(L2431),ABS(L2431-(K2431-IF(ISNUMBER(N2431),N2431,0)-IF(ISNUMBER(O2431),O2431,0)+IF(ISNUMBER(P2431),P2431,0)))&lt;=Summary!$B$2),"Passes using beginning_balance - PreV_ETB differs from beginning_balance",IF(AND(ISNUMBER(O2431),O2431&lt;0,ABS(L2431-(Q2431-IF(ISNUMBER(N2431),N2431,0)+IF(ISNUMBER(P2431),P2431,0)))&lt;=Summary!$B$2),"Negative realized loss not applied - check sign",IF(R2431&lt;0,"Principal paid exceeds prior balance",IF(AND(L2431&gt;Q2431,NOT(ISNUMBER(P2431))),"Balance increased but no Deferred_interest reported",IF(L2431&gt;R2431,"Reported balance higher than expected (missing increase/OC build)","Reported balance lower than expected (missing decrease)"))))),""))</f>
        <v/>
      </c>
    </row>
    <row r="2432" customFormat="false" ht="15" hidden="false" customHeight="false" outlineLevel="0" collapsed="false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9"/>
      <c r="L2432" s="9"/>
      <c r="M2432" s="9"/>
      <c r="N2432" s="9"/>
      <c r="O2432" s="9"/>
      <c r="P2432" s="9"/>
      <c r="Q2432" s="9"/>
      <c r="R2432" s="9" t="str">
        <f aca="false">IF(AND(A2432&lt;&gt;"",ISNUMBER(Q2432),ISNUMBER(L2432)),ROUND(Q2432-IF(ISNUMBER(N2432),N2432,0)-IF(ISNUMBER(O2432),O2432,0)+IF(ISNUMBER(P2432),P2432,0),2),"")</f>
        <v/>
      </c>
      <c r="S2432" s="9" t="str">
        <f aca="false">IF(R2432="","",ROUND(L2432-R2432,2))</f>
        <v/>
      </c>
      <c r="T2432" s="8" t="str">
        <f aca="false">IF(A2432="","",IF(S2432="","BYPASS",IF(ABS(S2432)&lt;=Summary!$B$2,"PASS","FAIL")))</f>
        <v/>
      </c>
      <c r="U2432" s="8" t="str">
        <f aca="false">IF(T2432="BYPASS",IF(NOT(ISNUMBER(Q2432)),"PreV_ETB missing","End_tr_balance missing"),IF(T2432="FAIL",IF(AND(ISNUMBER(K2432),ISNUMBER(L2432),ABS(L2432-(K2432-IF(ISNUMBER(N2432),N2432,0)-IF(ISNUMBER(O2432),O2432,0)+IF(ISNUMBER(P2432),P2432,0)))&lt;=Summary!$B$2),"Passes using beginning_balance - PreV_ETB differs from beginning_balance",IF(AND(ISNUMBER(O2432),O2432&lt;0,ABS(L2432-(Q2432-IF(ISNUMBER(N2432),N2432,0)+IF(ISNUMBER(P2432),P2432,0)))&lt;=Summary!$B$2),"Negative realized loss not applied - check sign",IF(R2432&lt;0,"Principal paid exceeds prior balance",IF(AND(L2432&gt;Q2432,NOT(ISNUMBER(P2432))),"Balance increased but no Deferred_interest reported",IF(L2432&gt;R2432,"Reported balance higher than expected (missing increase/OC build)","Reported balance lower than expected (missing decrease)"))))),""))</f>
        <v/>
      </c>
    </row>
    <row r="2433" customFormat="false" ht="15" hidden="false" customHeight="false" outlineLevel="0" collapsed="false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9"/>
      <c r="L2433" s="9"/>
      <c r="M2433" s="9"/>
      <c r="N2433" s="9"/>
      <c r="O2433" s="9"/>
      <c r="P2433" s="9"/>
      <c r="Q2433" s="9"/>
      <c r="R2433" s="9" t="str">
        <f aca="false">IF(AND(A2433&lt;&gt;"",ISNUMBER(Q2433),ISNUMBER(L2433)),ROUND(Q2433-IF(ISNUMBER(N2433),N2433,0)-IF(ISNUMBER(O2433),O2433,0)+IF(ISNUMBER(P2433),P2433,0),2),"")</f>
        <v/>
      </c>
      <c r="S2433" s="9" t="str">
        <f aca="false">IF(R2433="","",ROUND(L2433-R2433,2))</f>
        <v/>
      </c>
      <c r="T2433" s="8" t="str">
        <f aca="false">IF(A2433="","",IF(S2433="","BYPASS",IF(ABS(S2433)&lt;=Summary!$B$2,"PASS","FAIL")))</f>
        <v/>
      </c>
      <c r="U2433" s="8" t="str">
        <f aca="false">IF(T2433="BYPASS",IF(NOT(ISNUMBER(Q2433)),"PreV_ETB missing","End_tr_balance missing"),IF(T2433="FAIL",IF(AND(ISNUMBER(K2433),ISNUMBER(L2433),ABS(L2433-(K2433-IF(ISNUMBER(N2433),N2433,0)-IF(ISNUMBER(O2433),O2433,0)+IF(ISNUMBER(P2433),P2433,0)))&lt;=Summary!$B$2),"Passes using beginning_balance - PreV_ETB differs from beginning_balance",IF(AND(ISNUMBER(O2433),O2433&lt;0,ABS(L2433-(Q2433-IF(ISNUMBER(N2433),N2433,0)+IF(ISNUMBER(P2433),P2433,0)))&lt;=Summary!$B$2),"Negative realized loss not applied - check sign",IF(R2433&lt;0,"Principal paid exceeds prior balance",IF(AND(L2433&gt;Q2433,NOT(ISNUMBER(P2433))),"Balance increased but no Deferred_interest reported",IF(L2433&gt;R2433,"Reported balance higher than expected (missing increase/OC build)","Reported balance lower than expected (missing decrease)"))))),""))</f>
        <v/>
      </c>
    </row>
    <row r="2434" customFormat="false" ht="15" hidden="false" customHeight="false" outlineLevel="0" collapsed="false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9"/>
      <c r="L2434" s="9"/>
      <c r="M2434" s="9"/>
      <c r="N2434" s="9"/>
      <c r="O2434" s="9"/>
      <c r="P2434" s="9"/>
      <c r="Q2434" s="9"/>
      <c r="R2434" s="9" t="str">
        <f aca="false">IF(AND(A2434&lt;&gt;"",ISNUMBER(Q2434),ISNUMBER(L2434)),ROUND(Q2434-IF(ISNUMBER(N2434),N2434,0)-IF(ISNUMBER(O2434),O2434,0)+IF(ISNUMBER(P2434),P2434,0),2),"")</f>
        <v/>
      </c>
      <c r="S2434" s="9" t="str">
        <f aca="false">IF(R2434="","",ROUND(L2434-R2434,2))</f>
        <v/>
      </c>
      <c r="T2434" s="8" t="str">
        <f aca="false">IF(A2434="","",IF(S2434="","BYPASS",IF(ABS(S2434)&lt;=Summary!$B$2,"PASS","FAIL")))</f>
        <v/>
      </c>
      <c r="U2434" s="8" t="str">
        <f aca="false">IF(T2434="BYPASS",IF(NOT(ISNUMBER(Q2434)),"PreV_ETB missing","End_tr_balance missing"),IF(T2434="FAIL",IF(AND(ISNUMBER(K2434),ISNUMBER(L2434),ABS(L2434-(K2434-IF(ISNUMBER(N2434),N2434,0)-IF(ISNUMBER(O2434),O2434,0)+IF(ISNUMBER(P2434),P2434,0)))&lt;=Summary!$B$2),"Passes using beginning_balance - PreV_ETB differs from beginning_balance",IF(AND(ISNUMBER(O2434),O2434&lt;0,ABS(L2434-(Q2434-IF(ISNUMBER(N2434),N2434,0)+IF(ISNUMBER(P2434),P2434,0)))&lt;=Summary!$B$2),"Negative realized loss not applied - check sign",IF(R2434&lt;0,"Principal paid exceeds prior balance",IF(AND(L2434&gt;Q2434,NOT(ISNUMBER(P2434))),"Balance increased but no Deferred_interest reported",IF(L2434&gt;R2434,"Reported balance higher than expected (missing increase/OC build)","Reported balance lower than expected (missing decrease)"))))),""))</f>
        <v/>
      </c>
    </row>
    <row r="2435" customFormat="false" ht="15" hidden="false" customHeight="false" outlineLevel="0" collapsed="false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9"/>
      <c r="L2435" s="9"/>
      <c r="M2435" s="9"/>
      <c r="N2435" s="9"/>
      <c r="O2435" s="9"/>
      <c r="P2435" s="9"/>
      <c r="Q2435" s="9"/>
      <c r="R2435" s="9" t="str">
        <f aca="false">IF(AND(A2435&lt;&gt;"",ISNUMBER(Q2435),ISNUMBER(L2435)),ROUND(Q2435-IF(ISNUMBER(N2435),N2435,0)-IF(ISNUMBER(O2435),O2435,0)+IF(ISNUMBER(P2435),P2435,0),2),"")</f>
        <v/>
      </c>
      <c r="S2435" s="9" t="str">
        <f aca="false">IF(R2435="","",ROUND(L2435-R2435,2))</f>
        <v/>
      </c>
      <c r="T2435" s="8" t="str">
        <f aca="false">IF(A2435="","",IF(S2435="","BYPASS",IF(ABS(S2435)&lt;=Summary!$B$2,"PASS","FAIL")))</f>
        <v/>
      </c>
      <c r="U2435" s="8" t="str">
        <f aca="false">IF(T2435="BYPASS",IF(NOT(ISNUMBER(Q2435)),"PreV_ETB missing","End_tr_balance missing"),IF(T2435="FAIL",IF(AND(ISNUMBER(K2435),ISNUMBER(L2435),ABS(L2435-(K2435-IF(ISNUMBER(N2435),N2435,0)-IF(ISNUMBER(O2435),O2435,0)+IF(ISNUMBER(P2435),P2435,0)))&lt;=Summary!$B$2),"Passes using beginning_balance - PreV_ETB differs from beginning_balance",IF(AND(ISNUMBER(O2435),O2435&lt;0,ABS(L2435-(Q2435-IF(ISNUMBER(N2435),N2435,0)+IF(ISNUMBER(P2435),P2435,0)))&lt;=Summary!$B$2),"Negative realized loss not applied - check sign",IF(R2435&lt;0,"Principal paid exceeds prior balance",IF(AND(L2435&gt;Q2435,NOT(ISNUMBER(P2435))),"Balance increased but no Deferred_interest reported",IF(L2435&gt;R2435,"Reported balance higher than expected (missing increase/OC build)","Reported balance lower than expected (missing decrease)"))))),""))</f>
        <v/>
      </c>
    </row>
    <row r="2436" customFormat="false" ht="15" hidden="false" customHeight="false" outlineLevel="0" collapsed="false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9"/>
      <c r="L2436" s="9"/>
      <c r="M2436" s="9"/>
      <c r="N2436" s="9"/>
      <c r="O2436" s="9"/>
      <c r="P2436" s="9"/>
      <c r="Q2436" s="9"/>
      <c r="R2436" s="9" t="str">
        <f aca="false">IF(AND(A2436&lt;&gt;"",ISNUMBER(Q2436),ISNUMBER(L2436)),ROUND(Q2436-IF(ISNUMBER(N2436),N2436,0)-IF(ISNUMBER(O2436),O2436,0)+IF(ISNUMBER(P2436),P2436,0),2),"")</f>
        <v/>
      </c>
      <c r="S2436" s="9" t="str">
        <f aca="false">IF(R2436="","",ROUND(L2436-R2436,2))</f>
        <v/>
      </c>
      <c r="T2436" s="8" t="str">
        <f aca="false">IF(A2436="","",IF(S2436="","BYPASS",IF(ABS(S2436)&lt;=Summary!$B$2,"PASS","FAIL")))</f>
        <v/>
      </c>
      <c r="U2436" s="8" t="str">
        <f aca="false">IF(T2436="BYPASS",IF(NOT(ISNUMBER(Q2436)),"PreV_ETB missing","End_tr_balance missing"),IF(T2436="FAIL",IF(AND(ISNUMBER(K2436),ISNUMBER(L2436),ABS(L2436-(K2436-IF(ISNUMBER(N2436),N2436,0)-IF(ISNUMBER(O2436),O2436,0)+IF(ISNUMBER(P2436),P2436,0)))&lt;=Summary!$B$2),"Passes using beginning_balance - PreV_ETB differs from beginning_balance",IF(AND(ISNUMBER(O2436),O2436&lt;0,ABS(L2436-(Q2436-IF(ISNUMBER(N2436),N2436,0)+IF(ISNUMBER(P2436),P2436,0)))&lt;=Summary!$B$2),"Negative realized loss not applied - check sign",IF(R2436&lt;0,"Principal paid exceeds prior balance",IF(AND(L2436&gt;Q2436,NOT(ISNUMBER(P2436))),"Balance increased but no Deferred_interest reported",IF(L2436&gt;R2436,"Reported balance higher than expected (missing increase/OC build)","Reported balance lower than expected (missing decrease)"))))),""))</f>
        <v/>
      </c>
    </row>
    <row r="2437" customFormat="false" ht="15" hidden="false" customHeight="false" outlineLevel="0" collapsed="false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9"/>
      <c r="L2437" s="9"/>
      <c r="M2437" s="9"/>
      <c r="N2437" s="9"/>
      <c r="O2437" s="9"/>
      <c r="P2437" s="9"/>
      <c r="Q2437" s="9"/>
      <c r="R2437" s="9" t="str">
        <f aca="false">IF(AND(A2437&lt;&gt;"",ISNUMBER(Q2437),ISNUMBER(L2437)),ROUND(Q2437-IF(ISNUMBER(N2437),N2437,0)-IF(ISNUMBER(O2437),O2437,0)+IF(ISNUMBER(P2437),P2437,0),2),"")</f>
        <v/>
      </c>
      <c r="S2437" s="9" t="str">
        <f aca="false">IF(R2437="","",ROUND(L2437-R2437,2))</f>
        <v/>
      </c>
      <c r="T2437" s="8" t="str">
        <f aca="false">IF(A2437="","",IF(S2437="","BYPASS",IF(ABS(S2437)&lt;=Summary!$B$2,"PASS","FAIL")))</f>
        <v/>
      </c>
      <c r="U2437" s="8" t="str">
        <f aca="false">IF(T2437="BYPASS",IF(NOT(ISNUMBER(Q2437)),"PreV_ETB missing","End_tr_balance missing"),IF(T2437="FAIL",IF(AND(ISNUMBER(K2437),ISNUMBER(L2437),ABS(L2437-(K2437-IF(ISNUMBER(N2437),N2437,0)-IF(ISNUMBER(O2437),O2437,0)+IF(ISNUMBER(P2437),P2437,0)))&lt;=Summary!$B$2),"Passes using beginning_balance - PreV_ETB differs from beginning_balance",IF(AND(ISNUMBER(O2437),O2437&lt;0,ABS(L2437-(Q2437-IF(ISNUMBER(N2437),N2437,0)+IF(ISNUMBER(P2437),P2437,0)))&lt;=Summary!$B$2),"Negative realized loss not applied - check sign",IF(R2437&lt;0,"Principal paid exceeds prior balance",IF(AND(L2437&gt;Q2437,NOT(ISNUMBER(P2437))),"Balance increased but no Deferred_interest reported",IF(L2437&gt;R2437,"Reported balance higher than expected (missing increase/OC build)","Reported balance lower than expected (missing decrease)"))))),""))</f>
        <v/>
      </c>
    </row>
    <row r="2438" customFormat="false" ht="15" hidden="false" customHeight="false" outlineLevel="0" collapsed="false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9"/>
      <c r="L2438" s="9"/>
      <c r="M2438" s="9"/>
      <c r="N2438" s="9"/>
      <c r="O2438" s="9"/>
      <c r="P2438" s="9"/>
      <c r="Q2438" s="9"/>
      <c r="R2438" s="9" t="str">
        <f aca="false">IF(AND(A2438&lt;&gt;"",ISNUMBER(Q2438),ISNUMBER(L2438)),ROUND(Q2438-IF(ISNUMBER(N2438),N2438,0)-IF(ISNUMBER(O2438),O2438,0)+IF(ISNUMBER(P2438),P2438,0),2),"")</f>
        <v/>
      </c>
      <c r="S2438" s="9" t="str">
        <f aca="false">IF(R2438="","",ROUND(L2438-R2438,2))</f>
        <v/>
      </c>
      <c r="T2438" s="8" t="str">
        <f aca="false">IF(A2438="","",IF(S2438="","BYPASS",IF(ABS(S2438)&lt;=Summary!$B$2,"PASS","FAIL")))</f>
        <v/>
      </c>
      <c r="U2438" s="8" t="str">
        <f aca="false">IF(T2438="BYPASS",IF(NOT(ISNUMBER(Q2438)),"PreV_ETB missing","End_tr_balance missing"),IF(T2438="FAIL",IF(AND(ISNUMBER(K2438),ISNUMBER(L2438),ABS(L2438-(K2438-IF(ISNUMBER(N2438),N2438,0)-IF(ISNUMBER(O2438),O2438,0)+IF(ISNUMBER(P2438),P2438,0)))&lt;=Summary!$B$2),"Passes using beginning_balance - PreV_ETB differs from beginning_balance",IF(AND(ISNUMBER(O2438),O2438&lt;0,ABS(L2438-(Q2438-IF(ISNUMBER(N2438),N2438,0)+IF(ISNUMBER(P2438),P2438,0)))&lt;=Summary!$B$2),"Negative realized loss not applied - check sign",IF(R2438&lt;0,"Principal paid exceeds prior balance",IF(AND(L2438&gt;Q2438,NOT(ISNUMBER(P2438))),"Balance increased but no Deferred_interest reported",IF(L2438&gt;R2438,"Reported balance higher than expected (missing increase/OC build)","Reported balance lower than expected (missing decrease)"))))),""))</f>
        <v/>
      </c>
    </row>
    <row r="2439" customFormat="false" ht="15" hidden="false" customHeight="false" outlineLevel="0" collapsed="false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9"/>
      <c r="L2439" s="9"/>
      <c r="M2439" s="9"/>
      <c r="N2439" s="9"/>
      <c r="O2439" s="9"/>
      <c r="P2439" s="9"/>
      <c r="Q2439" s="9"/>
      <c r="R2439" s="9" t="str">
        <f aca="false">IF(AND(A2439&lt;&gt;"",ISNUMBER(Q2439),ISNUMBER(L2439)),ROUND(Q2439-IF(ISNUMBER(N2439),N2439,0)-IF(ISNUMBER(O2439),O2439,0)+IF(ISNUMBER(P2439),P2439,0),2),"")</f>
        <v/>
      </c>
      <c r="S2439" s="9" t="str">
        <f aca="false">IF(R2439="","",ROUND(L2439-R2439,2))</f>
        <v/>
      </c>
      <c r="T2439" s="8" t="str">
        <f aca="false">IF(A2439="","",IF(S2439="","BYPASS",IF(ABS(S2439)&lt;=Summary!$B$2,"PASS","FAIL")))</f>
        <v/>
      </c>
      <c r="U2439" s="8" t="str">
        <f aca="false">IF(T2439="BYPASS",IF(NOT(ISNUMBER(Q2439)),"PreV_ETB missing","End_tr_balance missing"),IF(T2439="FAIL",IF(AND(ISNUMBER(K2439),ISNUMBER(L2439),ABS(L2439-(K2439-IF(ISNUMBER(N2439),N2439,0)-IF(ISNUMBER(O2439),O2439,0)+IF(ISNUMBER(P2439),P2439,0)))&lt;=Summary!$B$2),"Passes using beginning_balance - PreV_ETB differs from beginning_balance",IF(AND(ISNUMBER(O2439),O2439&lt;0,ABS(L2439-(Q2439-IF(ISNUMBER(N2439),N2439,0)+IF(ISNUMBER(P2439),P2439,0)))&lt;=Summary!$B$2),"Negative realized loss not applied - check sign",IF(R2439&lt;0,"Principal paid exceeds prior balance",IF(AND(L2439&gt;Q2439,NOT(ISNUMBER(P2439))),"Balance increased but no Deferred_interest reported",IF(L2439&gt;R2439,"Reported balance higher than expected (missing increase/OC build)","Reported balance lower than expected (missing decrease)"))))),""))</f>
        <v/>
      </c>
    </row>
    <row r="2440" customFormat="false" ht="15" hidden="false" customHeight="false" outlineLevel="0" collapsed="false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9"/>
      <c r="L2440" s="9"/>
      <c r="M2440" s="9"/>
      <c r="N2440" s="9"/>
      <c r="O2440" s="9"/>
      <c r="P2440" s="9"/>
      <c r="Q2440" s="9"/>
      <c r="R2440" s="9" t="str">
        <f aca="false">IF(AND(A2440&lt;&gt;"",ISNUMBER(Q2440),ISNUMBER(L2440)),ROUND(Q2440-IF(ISNUMBER(N2440),N2440,0)-IF(ISNUMBER(O2440),O2440,0)+IF(ISNUMBER(P2440),P2440,0),2),"")</f>
        <v/>
      </c>
      <c r="S2440" s="9" t="str">
        <f aca="false">IF(R2440="","",ROUND(L2440-R2440,2))</f>
        <v/>
      </c>
      <c r="T2440" s="8" t="str">
        <f aca="false">IF(A2440="","",IF(S2440="","BYPASS",IF(ABS(S2440)&lt;=Summary!$B$2,"PASS","FAIL")))</f>
        <v/>
      </c>
      <c r="U2440" s="8" t="str">
        <f aca="false">IF(T2440="BYPASS",IF(NOT(ISNUMBER(Q2440)),"PreV_ETB missing","End_tr_balance missing"),IF(T2440="FAIL",IF(AND(ISNUMBER(K2440),ISNUMBER(L2440),ABS(L2440-(K2440-IF(ISNUMBER(N2440),N2440,0)-IF(ISNUMBER(O2440),O2440,0)+IF(ISNUMBER(P2440),P2440,0)))&lt;=Summary!$B$2),"Passes using beginning_balance - PreV_ETB differs from beginning_balance",IF(AND(ISNUMBER(O2440),O2440&lt;0,ABS(L2440-(Q2440-IF(ISNUMBER(N2440),N2440,0)+IF(ISNUMBER(P2440),P2440,0)))&lt;=Summary!$B$2),"Negative realized loss not applied - check sign",IF(R2440&lt;0,"Principal paid exceeds prior balance",IF(AND(L2440&gt;Q2440,NOT(ISNUMBER(P2440))),"Balance increased but no Deferred_interest reported",IF(L2440&gt;R2440,"Reported balance higher than expected (missing increase/OC build)","Reported balance lower than expected (missing decrease)"))))),""))</f>
        <v/>
      </c>
    </row>
    <row r="2441" customFormat="false" ht="15" hidden="false" customHeight="false" outlineLevel="0" collapsed="false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9"/>
      <c r="L2441" s="9"/>
      <c r="M2441" s="9"/>
      <c r="N2441" s="9"/>
      <c r="O2441" s="9"/>
      <c r="P2441" s="9"/>
      <c r="Q2441" s="9"/>
      <c r="R2441" s="9" t="str">
        <f aca="false">IF(AND(A2441&lt;&gt;"",ISNUMBER(Q2441),ISNUMBER(L2441)),ROUND(Q2441-IF(ISNUMBER(N2441),N2441,0)-IF(ISNUMBER(O2441),O2441,0)+IF(ISNUMBER(P2441),P2441,0),2),"")</f>
        <v/>
      </c>
      <c r="S2441" s="9" t="str">
        <f aca="false">IF(R2441="","",ROUND(L2441-R2441,2))</f>
        <v/>
      </c>
      <c r="T2441" s="8" t="str">
        <f aca="false">IF(A2441="","",IF(S2441="","BYPASS",IF(ABS(S2441)&lt;=Summary!$B$2,"PASS","FAIL")))</f>
        <v/>
      </c>
      <c r="U2441" s="8" t="str">
        <f aca="false">IF(T2441="BYPASS",IF(NOT(ISNUMBER(Q2441)),"PreV_ETB missing","End_tr_balance missing"),IF(T2441="FAIL",IF(AND(ISNUMBER(K2441),ISNUMBER(L2441),ABS(L2441-(K2441-IF(ISNUMBER(N2441),N2441,0)-IF(ISNUMBER(O2441),O2441,0)+IF(ISNUMBER(P2441),P2441,0)))&lt;=Summary!$B$2),"Passes using beginning_balance - PreV_ETB differs from beginning_balance",IF(AND(ISNUMBER(O2441),O2441&lt;0,ABS(L2441-(Q2441-IF(ISNUMBER(N2441),N2441,0)+IF(ISNUMBER(P2441),P2441,0)))&lt;=Summary!$B$2),"Negative realized loss not applied - check sign",IF(R2441&lt;0,"Principal paid exceeds prior balance",IF(AND(L2441&gt;Q2441,NOT(ISNUMBER(P2441))),"Balance increased but no Deferred_interest reported",IF(L2441&gt;R2441,"Reported balance higher than expected (missing increase/OC build)","Reported balance lower than expected (missing decrease)"))))),""))</f>
        <v/>
      </c>
    </row>
    <row r="2442" customFormat="false" ht="15" hidden="false" customHeight="false" outlineLevel="0" collapsed="false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9"/>
      <c r="L2442" s="9"/>
      <c r="M2442" s="9"/>
      <c r="N2442" s="9"/>
      <c r="O2442" s="9"/>
      <c r="P2442" s="9"/>
      <c r="Q2442" s="9"/>
      <c r="R2442" s="9" t="str">
        <f aca="false">IF(AND(A2442&lt;&gt;"",ISNUMBER(Q2442),ISNUMBER(L2442)),ROUND(Q2442-IF(ISNUMBER(N2442),N2442,0)-IF(ISNUMBER(O2442),O2442,0)+IF(ISNUMBER(P2442),P2442,0),2),"")</f>
        <v/>
      </c>
      <c r="S2442" s="9" t="str">
        <f aca="false">IF(R2442="","",ROUND(L2442-R2442,2))</f>
        <v/>
      </c>
      <c r="T2442" s="8" t="str">
        <f aca="false">IF(A2442="","",IF(S2442="","BYPASS",IF(ABS(S2442)&lt;=Summary!$B$2,"PASS","FAIL")))</f>
        <v/>
      </c>
      <c r="U2442" s="8" t="str">
        <f aca="false">IF(T2442="BYPASS",IF(NOT(ISNUMBER(Q2442)),"PreV_ETB missing","End_tr_balance missing"),IF(T2442="FAIL",IF(AND(ISNUMBER(K2442),ISNUMBER(L2442),ABS(L2442-(K2442-IF(ISNUMBER(N2442),N2442,0)-IF(ISNUMBER(O2442),O2442,0)+IF(ISNUMBER(P2442),P2442,0)))&lt;=Summary!$B$2),"Passes using beginning_balance - PreV_ETB differs from beginning_balance",IF(AND(ISNUMBER(O2442),O2442&lt;0,ABS(L2442-(Q2442-IF(ISNUMBER(N2442),N2442,0)+IF(ISNUMBER(P2442),P2442,0)))&lt;=Summary!$B$2),"Negative realized loss not applied - check sign",IF(R2442&lt;0,"Principal paid exceeds prior balance",IF(AND(L2442&gt;Q2442,NOT(ISNUMBER(P2442))),"Balance increased but no Deferred_interest reported",IF(L2442&gt;R2442,"Reported balance higher than expected (missing increase/OC build)","Reported balance lower than expected (missing decrease)"))))),""))</f>
        <v/>
      </c>
    </row>
    <row r="2443" customFormat="false" ht="15" hidden="false" customHeight="false" outlineLevel="0" collapsed="false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9"/>
      <c r="L2443" s="9"/>
      <c r="M2443" s="9"/>
      <c r="N2443" s="9"/>
      <c r="O2443" s="9"/>
      <c r="P2443" s="9"/>
      <c r="Q2443" s="9"/>
      <c r="R2443" s="9" t="str">
        <f aca="false">IF(AND(A2443&lt;&gt;"",ISNUMBER(Q2443),ISNUMBER(L2443)),ROUND(Q2443-IF(ISNUMBER(N2443),N2443,0)-IF(ISNUMBER(O2443),O2443,0)+IF(ISNUMBER(P2443),P2443,0),2),"")</f>
        <v/>
      </c>
      <c r="S2443" s="9" t="str">
        <f aca="false">IF(R2443="","",ROUND(L2443-R2443,2))</f>
        <v/>
      </c>
      <c r="T2443" s="8" t="str">
        <f aca="false">IF(A2443="","",IF(S2443="","BYPASS",IF(ABS(S2443)&lt;=Summary!$B$2,"PASS","FAIL")))</f>
        <v/>
      </c>
      <c r="U2443" s="8" t="str">
        <f aca="false">IF(T2443="BYPASS",IF(NOT(ISNUMBER(Q2443)),"PreV_ETB missing","End_tr_balance missing"),IF(T2443="FAIL",IF(AND(ISNUMBER(K2443),ISNUMBER(L2443),ABS(L2443-(K2443-IF(ISNUMBER(N2443),N2443,0)-IF(ISNUMBER(O2443),O2443,0)+IF(ISNUMBER(P2443),P2443,0)))&lt;=Summary!$B$2),"Passes using beginning_balance - PreV_ETB differs from beginning_balance",IF(AND(ISNUMBER(O2443),O2443&lt;0,ABS(L2443-(Q2443-IF(ISNUMBER(N2443),N2443,0)+IF(ISNUMBER(P2443),P2443,0)))&lt;=Summary!$B$2),"Negative realized loss not applied - check sign",IF(R2443&lt;0,"Principal paid exceeds prior balance",IF(AND(L2443&gt;Q2443,NOT(ISNUMBER(P2443))),"Balance increased but no Deferred_interest reported",IF(L2443&gt;R2443,"Reported balance higher than expected (missing increase/OC build)","Reported balance lower than expected (missing decrease)"))))),""))</f>
        <v/>
      </c>
    </row>
    <row r="2444" customFormat="false" ht="15" hidden="false" customHeight="false" outlineLevel="0" collapsed="false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9"/>
      <c r="L2444" s="9"/>
      <c r="M2444" s="9"/>
      <c r="N2444" s="9"/>
      <c r="O2444" s="9"/>
      <c r="P2444" s="9"/>
      <c r="Q2444" s="9"/>
      <c r="R2444" s="9" t="str">
        <f aca="false">IF(AND(A2444&lt;&gt;"",ISNUMBER(Q2444),ISNUMBER(L2444)),ROUND(Q2444-IF(ISNUMBER(N2444),N2444,0)-IF(ISNUMBER(O2444),O2444,0)+IF(ISNUMBER(P2444),P2444,0),2),"")</f>
        <v/>
      </c>
      <c r="S2444" s="9" t="str">
        <f aca="false">IF(R2444="","",ROUND(L2444-R2444,2))</f>
        <v/>
      </c>
      <c r="T2444" s="8" t="str">
        <f aca="false">IF(A2444="","",IF(S2444="","BYPASS",IF(ABS(S2444)&lt;=Summary!$B$2,"PASS","FAIL")))</f>
        <v/>
      </c>
      <c r="U2444" s="8" t="str">
        <f aca="false">IF(T2444="BYPASS",IF(NOT(ISNUMBER(Q2444)),"PreV_ETB missing","End_tr_balance missing"),IF(T2444="FAIL",IF(AND(ISNUMBER(K2444),ISNUMBER(L2444),ABS(L2444-(K2444-IF(ISNUMBER(N2444),N2444,0)-IF(ISNUMBER(O2444),O2444,0)+IF(ISNUMBER(P2444),P2444,0)))&lt;=Summary!$B$2),"Passes using beginning_balance - PreV_ETB differs from beginning_balance",IF(AND(ISNUMBER(O2444),O2444&lt;0,ABS(L2444-(Q2444-IF(ISNUMBER(N2444),N2444,0)+IF(ISNUMBER(P2444),P2444,0)))&lt;=Summary!$B$2),"Negative realized loss not applied - check sign",IF(R2444&lt;0,"Principal paid exceeds prior balance",IF(AND(L2444&gt;Q2444,NOT(ISNUMBER(P2444))),"Balance increased but no Deferred_interest reported",IF(L2444&gt;R2444,"Reported balance higher than expected (missing increase/OC build)","Reported balance lower than expected (missing decrease)"))))),""))</f>
        <v/>
      </c>
    </row>
    <row r="2445" customFormat="false" ht="15" hidden="false" customHeight="false" outlineLevel="0" collapsed="false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9"/>
      <c r="L2445" s="9"/>
      <c r="M2445" s="9"/>
      <c r="N2445" s="9"/>
      <c r="O2445" s="9"/>
      <c r="P2445" s="9"/>
      <c r="Q2445" s="9"/>
      <c r="R2445" s="9" t="str">
        <f aca="false">IF(AND(A2445&lt;&gt;"",ISNUMBER(Q2445),ISNUMBER(L2445)),ROUND(Q2445-IF(ISNUMBER(N2445),N2445,0)-IF(ISNUMBER(O2445),O2445,0)+IF(ISNUMBER(P2445),P2445,0),2),"")</f>
        <v/>
      </c>
      <c r="S2445" s="9" t="str">
        <f aca="false">IF(R2445="","",ROUND(L2445-R2445,2))</f>
        <v/>
      </c>
      <c r="T2445" s="8" t="str">
        <f aca="false">IF(A2445="","",IF(S2445="","BYPASS",IF(ABS(S2445)&lt;=Summary!$B$2,"PASS","FAIL")))</f>
        <v/>
      </c>
      <c r="U2445" s="8" t="str">
        <f aca="false">IF(T2445="BYPASS",IF(NOT(ISNUMBER(Q2445)),"PreV_ETB missing","End_tr_balance missing"),IF(T2445="FAIL",IF(AND(ISNUMBER(K2445),ISNUMBER(L2445),ABS(L2445-(K2445-IF(ISNUMBER(N2445),N2445,0)-IF(ISNUMBER(O2445),O2445,0)+IF(ISNUMBER(P2445),P2445,0)))&lt;=Summary!$B$2),"Passes using beginning_balance - PreV_ETB differs from beginning_balance",IF(AND(ISNUMBER(O2445),O2445&lt;0,ABS(L2445-(Q2445-IF(ISNUMBER(N2445),N2445,0)+IF(ISNUMBER(P2445),P2445,0)))&lt;=Summary!$B$2),"Negative realized loss not applied - check sign",IF(R2445&lt;0,"Principal paid exceeds prior balance",IF(AND(L2445&gt;Q2445,NOT(ISNUMBER(P2445))),"Balance increased but no Deferred_interest reported",IF(L2445&gt;R2445,"Reported balance higher than expected (missing increase/OC build)","Reported balance lower than expected (missing decrease)"))))),""))</f>
        <v/>
      </c>
    </row>
    <row r="2446" customFormat="false" ht="15" hidden="false" customHeight="false" outlineLevel="0" collapsed="false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9"/>
      <c r="L2446" s="9"/>
      <c r="M2446" s="9"/>
      <c r="N2446" s="9"/>
      <c r="O2446" s="9"/>
      <c r="P2446" s="9"/>
      <c r="Q2446" s="9"/>
      <c r="R2446" s="9" t="str">
        <f aca="false">IF(AND(A2446&lt;&gt;"",ISNUMBER(Q2446),ISNUMBER(L2446)),ROUND(Q2446-IF(ISNUMBER(N2446),N2446,0)-IF(ISNUMBER(O2446),O2446,0)+IF(ISNUMBER(P2446),P2446,0),2),"")</f>
        <v/>
      </c>
      <c r="S2446" s="9" t="str">
        <f aca="false">IF(R2446="","",ROUND(L2446-R2446,2))</f>
        <v/>
      </c>
      <c r="T2446" s="8" t="str">
        <f aca="false">IF(A2446="","",IF(S2446="","BYPASS",IF(ABS(S2446)&lt;=Summary!$B$2,"PASS","FAIL")))</f>
        <v/>
      </c>
      <c r="U2446" s="8" t="str">
        <f aca="false">IF(T2446="BYPASS",IF(NOT(ISNUMBER(Q2446)),"PreV_ETB missing","End_tr_balance missing"),IF(T2446="FAIL",IF(AND(ISNUMBER(K2446),ISNUMBER(L2446),ABS(L2446-(K2446-IF(ISNUMBER(N2446),N2446,0)-IF(ISNUMBER(O2446),O2446,0)+IF(ISNUMBER(P2446),P2446,0)))&lt;=Summary!$B$2),"Passes using beginning_balance - PreV_ETB differs from beginning_balance",IF(AND(ISNUMBER(O2446),O2446&lt;0,ABS(L2446-(Q2446-IF(ISNUMBER(N2446),N2446,0)+IF(ISNUMBER(P2446),P2446,0)))&lt;=Summary!$B$2),"Negative realized loss not applied - check sign",IF(R2446&lt;0,"Principal paid exceeds prior balance",IF(AND(L2446&gt;Q2446,NOT(ISNUMBER(P2446))),"Balance increased but no Deferred_interest reported",IF(L2446&gt;R2446,"Reported balance higher than expected (missing increase/OC build)","Reported balance lower than expected (missing decrease)"))))),""))</f>
        <v/>
      </c>
    </row>
    <row r="2447" customFormat="false" ht="15" hidden="false" customHeight="false" outlineLevel="0" collapsed="false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9"/>
      <c r="L2447" s="9"/>
      <c r="M2447" s="9"/>
      <c r="N2447" s="9"/>
      <c r="O2447" s="9"/>
      <c r="P2447" s="9"/>
      <c r="Q2447" s="9"/>
      <c r="R2447" s="9" t="str">
        <f aca="false">IF(AND(A2447&lt;&gt;"",ISNUMBER(Q2447),ISNUMBER(L2447)),ROUND(Q2447-IF(ISNUMBER(N2447),N2447,0)-IF(ISNUMBER(O2447),O2447,0)+IF(ISNUMBER(P2447),P2447,0),2),"")</f>
        <v/>
      </c>
      <c r="S2447" s="9" t="str">
        <f aca="false">IF(R2447="","",ROUND(L2447-R2447,2))</f>
        <v/>
      </c>
      <c r="T2447" s="8" t="str">
        <f aca="false">IF(A2447="","",IF(S2447="","BYPASS",IF(ABS(S2447)&lt;=Summary!$B$2,"PASS","FAIL")))</f>
        <v/>
      </c>
      <c r="U2447" s="8" t="str">
        <f aca="false">IF(T2447="BYPASS",IF(NOT(ISNUMBER(Q2447)),"PreV_ETB missing","End_tr_balance missing"),IF(T2447="FAIL",IF(AND(ISNUMBER(K2447),ISNUMBER(L2447),ABS(L2447-(K2447-IF(ISNUMBER(N2447),N2447,0)-IF(ISNUMBER(O2447),O2447,0)+IF(ISNUMBER(P2447),P2447,0)))&lt;=Summary!$B$2),"Passes using beginning_balance - PreV_ETB differs from beginning_balance",IF(AND(ISNUMBER(O2447),O2447&lt;0,ABS(L2447-(Q2447-IF(ISNUMBER(N2447),N2447,0)+IF(ISNUMBER(P2447),P2447,0)))&lt;=Summary!$B$2),"Negative realized loss not applied - check sign",IF(R2447&lt;0,"Principal paid exceeds prior balance",IF(AND(L2447&gt;Q2447,NOT(ISNUMBER(P2447))),"Balance increased but no Deferred_interest reported",IF(L2447&gt;R2447,"Reported balance higher than expected (missing increase/OC build)","Reported balance lower than expected (missing decrease)"))))),""))</f>
        <v/>
      </c>
    </row>
    <row r="2448" customFormat="false" ht="15" hidden="false" customHeight="false" outlineLevel="0" collapsed="false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9"/>
      <c r="L2448" s="9"/>
      <c r="M2448" s="9"/>
      <c r="N2448" s="9"/>
      <c r="O2448" s="9"/>
      <c r="P2448" s="9"/>
      <c r="Q2448" s="9"/>
      <c r="R2448" s="9" t="str">
        <f aca="false">IF(AND(A2448&lt;&gt;"",ISNUMBER(Q2448),ISNUMBER(L2448)),ROUND(Q2448-IF(ISNUMBER(N2448),N2448,0)-IF(ISNUMBER(O2448),O2448,0)+IF(ISNUMBER(P2448),P2448,0),2),"")</f>
        <v/>
      </c>
      <c r="S2448" s="9" t="str">
        <f aca="false">IF(R2448="","",ROUND(L2448-R2448,2))</f>
        <v/>
      </c>
      <c r="T2448" s="8" t="str">
        <f aca="false">IF(A2448="","",IF(S2448="","BYPASS",IF(ABS(S2448)&lt;=Summary!$B$2,"PASS","FAIL")))</f>
        <v/>
      </c>
      <c r="U2448" s="8" t="str">
        <f aca="false">IF(T2448="BYPASS",IF(NOT(ISNUMBER(Q2448)),"PreV_ETB missing","End_tr_balance missing"),IF(T2448="FAIL",IF(AND(ISNUMBER(K2448),ISNUMBER(L2448),ABS(L2448-(K2448-IF(ISNUMBER(N2448),N2448,0)-IF(ISNUMBER(O2448),O2448,0)+IF(ISNUMBER(P2448),P2448,0)))&lt;=Summary!$B$2),"Passes using beginning_balance - PreV_ETB differs from beginning_balance",IF(AND(ISNUMBER(O2448),O2448&lt;0,ABS(L2448-(Q2448-IF(ISNUMBER(N2448),N2448,0)+IF(ISNUMBER(P2448),P2448,0)))&lt;=Summary!$B$2),"Negative realized loss not applied - check sign",IF(R2448&lt;0,"Principal paid exceeds prior balance",IF(AND(L2448&gt;Q2448,NOT(ISNUMBER(P2448))),"Balance increased but no Deferred_interest reported",IF(L2448&gt;R2448,"Reported balance higher than expected (missing increase/OC build)","Reported balance lower than expected (missing decrease)"))))),""))</f>
        <v/>
      </c>
    </row>
    <row r="2449" customFormat="false" ht="15" hidden="false" customHeight="false" outlineLevel="0" collapsed="false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9"/>
      <c r="L2449" s="9"/>
      <c r="M2449" s="9"/>
      <c r="N2449" s="9"/>
      <c r="O2449" s="9"/>
      <c r="P2449" s="9"/>
      <c r="Q2449" s="9"/>
      <c r="R2449" s="9" t="str">
        <f aca="false">IF(AND(A2449&lt;&gt;"",ISNUMBER(Q2449),ISNUMBER(L2449)),ROUND(Q2449-IF(ISNUMBER(N2449),N2449,0)-IF(ISNUMBER(O2449),O2449,0)+IF(ISNUMBER(P2449),P2449,0),2),"")</f>
        <v/>
      </c>
      <c r="S2449" s="9" t="str">
        <f aca="false">IF(R2449="","",ROUND(L2449-R2449,2))</f>
        <v/>
      </c>
      <c r="T2449" s="8" t="str">
        <f aca="false">IF(A2449="","",IF(S2449="","BYPASS",IF(ABS(S2449)&lt;=Summary!$B$2,"PASS","FAIL")))</f>
        <v/>
      </c>
      <c r="U2449" s="8" t="str">
        <f aca="false">IF(T2449="BYPASS",IF(NOT(ISNUMBER(Q2449)),"PreV_ETB missing","End_tr_balance missing"),IF(T2449="FAIL",IF(AND(ISNUMBER(K2449),ISNUMBER(L2449),ABS(L2449-(K2449-IF(ISNUMBER(N2449),N2449,0)-IF(ISNUMBER(O2449),O2449,0)+IF(ISNUMBER(P2449),P2449,0)))&lt;=Summary!$B$2),"Passes using beginning_balance - PreV_ETB differs from beginning_balance",IF(AND(ISNUMBER(O2449),O2449&lt;0,ABS(L2449-(Q2449-IF(ISNUMBER(N2449),N2449,0)+IF(ISNUMBER(P2449),P2449,0)))&lt;=Summary!$B$2),"Negative realized loss not applied - check sign",IF(R2449&lt;0,"Principal paid exceeds prior balance",IF(AND(L2449&gt;Q2449,NOT(ISNUMBER(P2449))),"Balance increased but no Deferred_interest reported",IF(L2449&gt;R2449,"Reported balance higher than expected (missing increase/OC build)","Reported balance lower than expected (missing decrease)"))))),""))</f>
        <v/>
      </c>
    </row>
    <row r="2450" customFormat="false" ht="15" hidden="false" customHeight="false" outlineLevel="0" collapsed="false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9"/>
      <c r="L2450" s="9"/>
      <c r="M2450" s="9"/>
      <c r="N2450" s="9"/>
      <c r="O2450" s="9"/>
      <c r="P2450" s="9"/>
      <c r="Q2450" s="9"/>
      <c r="R2450" s="9" t="str">
        <f aca="false">IF(AND(A2450&lt;&gt;"",ISNUMBER(Q2450),ISNUMBER(L2450)),ROUND(Q2450-IF(ISNUMBER(N2450),N2450,0)-IF(ISNUMBER(O2450),O2450,0)+IF(ISNUMBER(P2450),P2450,0),2),"")</f>
        <v/>
      </c>
      <c r="S2450" s="9" t="str">
        <f aca="false">IF(R2450="","",ROUND(L2450-R2450,2))</f>
        <v/>
      </c>
      <c r="T2450" s="8" t="str">
        <f aca="false">IF(A2450="","",IF(S2450="","BYPASS",IF(ABS(S2450)&lt;=Summary!$B$2,"PASS","FAIL")))</f>
        <v/>
      </c>
      <c r="U2450" s="8" t="str">
        <f aca="false">IF(T2450="BYPASS",IF(NOT(ISNUMBER(Q2450)),"PreV_ETB missing","End_tr_balance missing"),IF(T2450="FAIL",IF(AND(ISNUMBER(K2450),ISNUMBER(L2450),ABS(L2450-(K2450-IF(ISNUMBER(N2450),N2450,0)-IF(ISNUMBER(O2450),O2450,0)+IF(ISNUMBER(P2450),P2450,0)))&lt;=Summary!$B$2),"Passes using beginning_balance - PreV_ETB differs from beginning_balance",IF(AND(ISNUMBER(O2450),O2450&lt;0,ABS(L2450-(Q2450-IF(ISNUMBER(N2450),N2450,0)+IF(ISNUMBER(P2450),P2450,0)))&lt;=Summary!$B$2),"Negative realized loss not applied - check sign",IF(R2450&lt;0,"Principal paid exceeds prior balance",IF(AND(L2450&gt;Q2450,NOT(ISNUMBER(P2450))),"Balance increased but no Deferred_interest reported",IF(L2450&gt;R2450,"Reported balance higher than expected (missing increase/OC build)","Reported balance lower than expected (missing decrease)"))))),""))</f>
        <v/>
      </c>
    </row>
    <row r="2451" customFormat="false" ht="15" hidden="false" customHeight="false" outlineLevel="0" collapsed="false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9"/>
      <c r="L2451" s="9"/>
      <c r="M2451" s="9"/>
      <c r="N2451" s="9"/>
      <c r="O2451" s="9"/>
      <c r="P2451" s="9"/>
      <c r="Q2451" s="9"/>
      <c r="R2451" s="9" t="str">
        <f aca="false">IF(AND(A2451&lt;&gt;"",ISNUMBER(Q2451),ISNUMBER(L2451)),ROUND(Q2451-IF(ISNUMBER(N2451),N2451,0)-IF(ISNUMBER(O2451),O2451,0)+IF(ISNUMBER(P2451),P2451,0),2),"")</f>
        <v/>
      </c>
      <c r="S2451" s="9" t="str">
        <f aca="false">IF(R2451="","",ROUND(L2451-R2451,2))</f>
        <v/>
      </c>
      <c r="T2451" s="8" t="str">
        <f aca="false">IF(A2451="","",IF(S2451="","BYPASS",IF(ABS(S2451)&lt;=Summary!$B$2,"PASS","FAIL")))</f>
        <v/>
      </c>
      <c r="U2451" s="8" t="str">
        <f aca="false">IF(T2451="BYPASS",IF(NOT(ISNUMBER(Q2451)),"PreV_ETB missing","End_tr_balance missing"),IF(T2451="FAIL",IF(AND(ISNUMBER(K2451),ISNUMBER(L2451),ABS(L2451-(K2451-IF(ISNUMBER(N2451),N2451,0)-IF(ISNUMBER(O2451),O2451,0)+IF(ISNUMBER(P2451),P2451,0)))&lt;=Summary!$B$2),"Passes using beginning_balance - PreV_ETB differs from beginning_balance",IF(AND(ISNUMBER(O2451),O2451&lt;0,ABS(L2451-(Q2451-IF(ISNUMBER(N2451),N2451,0)+IF(ISNUMBER(P2451),P2451,0)))&lt;=Summary!$B$2),"Negative realized loss not applied - check sign",IF(R2451&lt;0,"Principal paid exceeds prior balance",IF(AND(L2451&gt;Q2451,NOT(ISNUMBER(P2451))),"Balance increased but no Deferred_interest reported",IF(L2451&gt;R2451,"Reported balance higher than expected (missing increase/OC build)","Reported balance lower than expected (missing decrease)"))))),""))</f>
        <v/>
      </c>
    </row>
    <row r="2452" customFormat="false" ht="15" hidden="false" customHeight="false" outlineLevel="0" collapsed="false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9"/>
      <c r="L2452" s="9"/>
      <c r="M2452" s="9"/>
      <c r="N2452" s="9"/>
      <c r="O2452" s="9"/>
      <c r="P2452" s="9"/>
      <c r="Q2452" s="9"/>
      <c r="R2452" s="9" t="str">
        <f aca="false">IF(AND(A2452&lt;&gt;"",ISNUMBER(Q2452),ISNUMBER(L2452)),ROUND(Q2452-IF(ISNUMBER(N2452),N2452,0)-IF(ISNUMBER(O2452),O2452,0)+IF(ISNUMBER(P2452),P2452,0),2),"")</f>
        <v/>
      </c>
      <c r="S2452" s="9" t="str">
        <f aca="false">IF(R2452="","",ROUND(L2452-R2452,2))</f>
        <v/>
      </c>
      <c r="T2452" s="8" t="str">
        <f aca="false">IF(A2452="","",IF(S2452="","BYPASS",IF(ABS(S2452)&lt;=Summary!$B$2,"PASS","FAIL")))</f>
        <v/>
      </c>
      <c r="U2452" s="8" t="str">
        <f aca="false">IF(T2452="BYPASS",IF(NOT(ISNUMBER(Q2452)),"PreV_ETB missing","End_tr_balance missing"),IF(T2452="FAIL",IF(AND(ISNUMBER(K2452),ISNUMBER(L2452),ABS(L2452-(K2452-IF(ISNUMBER(N2452),N2452,0)-IF(ISNUMBER(O2452),O2452,0)+IF(ISNUMBER(P2452),P2452,0)))&lt;=Summary!$B$2),"Passes using beginning_balance - PreV_ETB differs from beginning_balance",IF(AND(ISNUMBER(O2452),O2452&lt;0,ABS(L2452-(Q2452-IF(ISNUMBER(N2452),N2452,0)+IF(ISNUMBER(P2452),P2452,0)))&lt;=Summary!$B$2),"Negative realized loss not applied - check sign",IF(R2452&lt;0,"Principal paid exceeds prior balance",IF(AND(L2452&gt;Q2452,NOT(ISNUMBER(P2452))),"Balance increased but no Deferred_interest reported",IF(L2452&gt;R2452,"Reported balance higher than expected (missing increase/OC build)","Reported balance lower than expected (missing decrease)"))))),""))</f>
        <v/>
      </c>
    </row>
    <row r="2453" customFormat="false" ht="15" hidden="false" customHeight="false" outlineLevel="0" collapsed="false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9"/>
      <c r="L2453" s="9"/>
      <c r="M2453" s="9"/>
      <c r="N2453" s="9"/>
      <c r="O2453" s="9"/>
      <c r="P2453" s="9"/>
      <c r="Q2453" s="9"/>
      <c r="R2453" s="9" t="str">
        <f aca="false">IF(AND(A2453&lt;&gt;"",ISNUMBER(Q2453),ISNUMBER(L2453)),ROUND(Q2453-IF(ISNUMBER(N2453),N2453,0)-IF(ISNUMBER(O2453),O2453,0)+IF(ISNUMBER(P2453),P2453,0),2),"")</f>
        <v/>
      </c>
      <c r="S2453" s="9" t="str">
        <f aca="false">IF(R2453="","",ROUND(L2453-R2453,2))</f>
        <v/>
      </c>
      <c r="T2453" s="8" t="str">
        <f aca="false">IF(A2453="","",IF(S2453="","BYPASS",IF(ABS(S2453)&lt;=Summary!$B$2,"PASS","FAIL")))</f>
        <v/>
      </c>
      <c r="U2453" s="8" t="str">
        <f aca="false">IF(T2453="BYPASS",IF(NOT(ISNUMBER(Q2453)),"PreV_ETB missing","End_tr_balance missing"),IF(T2453="FAIL",IF(AND(ISNUMBER(K2453),ISNUMBER(L2453),ABS(L2453-(K2453-IF(ISNUMBER(N2453),N2453,0)-IF(ISNUMBER(O2453),O2453,0)+IF(ISNUMBER(P2453),P2453,0)))&lt;=Summary!$B$2),"Passes using beginning_balance - PreV_ETB differs from beginning_balance",IF(AND(ISNUMBER(O2453),O2453&lt;0,ABS(L2453-(Q2453-IF(ISNUMBER(N2453),N2453,0)+IF(ISNUMBER(P2453),P2453,0)))&lt;=Summary!$B$2),"Negative realized loss not applied - check sign",IF(R2453&lt;0,"Principal paid exceeds prior balance",IF(AND(L2453&gt;Q2453,NOT(ISNUMBER(P2453))),"Balance increased but no Deferred_interest reported",IF(L2453&gt;R2453,"Reported balance higher than expected (missing increase/OC build)","Reported balance lower than expected (missing decrease)"))))),""))</f>
        <v/>
      </c>
    </row>
    <row r="2454" customFormat="false" ht="15" hidden="false" customHeight="false" outlineLevel="0" collapsed="false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9"/>
      <c r="L2454" s="9"/>
      <c r="M2454" s="9"/>
      <c r="N2454" s="9"/>
      <c r="O2454" s="9"/>
      <c r="P2454" s="9"/>
      <c r="Q2454" s="9"/>
      <c r="R2454" s="9" t="str">
        <f aca="false">IF(AND(A2454&lt;&gt;"",ISNUMBER(Q2454),ISNUMBER(L2454)),ROUND(Q2454-IF(ISNUMBER(N2454),N2454,0)-IF(ISNUMBER(O2454),O2454,0)+IF(ISNUMBER(P2454),P2454,0),2),"")</f>
        <v/>
      </c>
      <c r="S2454" s="9" t="str">
        <f aca="false">IF(R2454="","",ROUND(L2454-R2454,2))</f>
        <v/>
      </c>
      <c r="T2454" s="8" t="str">
        <f aca="false">IF(A2454="","",IF(S2454="","BYPASS",IF(ABS(S2454)&lt;=Summary!$B$2,"PASS","FAIL")))</f>
        <v/>
      </c>
      <c r="U2454" s="8" t="str">
        <f aca="false">IF(T2454="BYPASS",IF(NOT(ISNUMBER(Q2454)),"PreV_ETB missing","End_tr_balance missing"),IF(T2454="FAIL",IF(AND(ISNUMBER(K2454),ISNUMBER(L2454),ABS(L2454-(K2454-IF(ISNUMBER(N2454),N2454,0)-IF(ISNUMBER(O2454),O2454,0)+IF(ISNUMBER(P2454),P2454,0)))&lt;=Summary!$B$2),"Passes using beginning_balance - PreV_ETB differs from beginning_balance",IF(AND(ISNUMBER(O2454),O2454&lt;0,ABS(L2454-(Q2454-IF(ISNUMBER(N2454),N2454,0)+IF(ISNUMBER(P2454),P2454,0)))&lt;=Summary!$B$2),"Negative realized loss not applied - check sign",IF(R2454&lt;0,"Principal paid exceeds prior balance",IF(AND(L2454&gt;Q2454,NOT(ISNUMBER(P2454))),"Balance increased but no Deferred_interest reported",IF(L2454&gt;R2454,"Reported balance higher than expected (missing increase/OC build)","Reported balance lower than expected (missing decrease)"))))),""))</f>
        <v/>
      </c>
    </row>
    <row r="2455" customFormat="false" ht="15" hidden="false" customHeight="false" outlineLevel="0" collapsed="false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9"/>
      <c r="L2455" s="9"/>
      <c r="M2455" s="9"/>
      <c r="N2455" s="9"/>
      <c r="O2455" s="9"/>
      <c r="P2455" s="9"/>
      <c r="Q2455" s="9"/>
      <c r="R2455" s="9" t="str">
        <f aca="false">IF(AND(A2455&lt;&gt;"",ISNUMBER(Q2455),ISNUMBER(L2455)),ROUND(Q2455-IF(ISNUMBER(N2455),N2455,0)-IF(ISNUMBER(O2455),O2455,0)+IF(ISNUMBER(P2455),P2455,0),2),"")</f>
        <v/>
      </c>
      <c r="S2455" s="9" t="str">
        <f aca="false">IF(R2455="","",ROUND(L2455-R2455,2))</f>
        <v/>
      </c>
      <c r="T2455" s="8" t="str">
        <f aca="false">IF(A2455="","",IF(S2455="","BYPASS",IF(ABS(S2455)&lt;=Summary!$B$2,"PASS","FAIL")))</f>
        <v/>
      </c>
      <c r="U2455" s="8" t="str">
        <f aca="false">IF(T2455="BYPASS",IF(NOT(ISNUMBER(Q2455)),"PreV_ETB missing","End_tr_balance missing"),IF(T2455="FAIL",IF(AND(ISNUMBER(K2455),ISNUMBER(L2455),ABS(L2455-(K2455-IF(ISNUMBER(N2455),N2455,0)-IF(ISNUMBER(O2455),O2455,0)+IF(ISNUMBER(P2455),P2455,0)))&lt;=Summary!$B$2),"Passes using beginning_balance - PreV_ETB differs from beginning_balance",IF(AND(ISNUMBER(O2455),O2455&lt;0,ABS(L2455-(Q2455-IF(ISNUMBER(N2455),N2455,0)+IF(ISNUMBER(P2455),P2455,0)))&lt;=Summary!$B$2),"Negative realized loss not applied - check sign",IF(R2455&lt;0,"Principal paid exceeds prior balance",IF(AND(L2455&gt;Q2455,NOT(ISNUMBER(P2455))),"Balance increased but no Deferred_interest reported",IF(L2455&gt;R2455,"Reported balance higher than expected (missing increase/OC build)","Reported balance lower than expected (missing decrease)"))))),""))</f>
        <v/>
      </c>
    </row>
    <row r="2456" customFormat="false" ht="15" hidden="false" customHeight="false" outlineLevel="0" collapsed="false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9"/>
      <c r="L2456" s="9"/>
      <c r="M2456" s="9"/>
      <c r="N2456" s="9"/>
      <c r="O2456" s="9"/>
      <c r="P2456" s="9"/>
      <c r="Q2456" s="9"/>
      <c r="R2456" s="9" t="str">
        <f aca="false">IF(AND(A2456&lt;&gt;"",ISNUMBER(Q2456),ISNUMBER(L2456)),ROUND(Q2456-IF(ISNUMBER(N2456),N2456,0)-IF(ISNUMBER(O2456),O2456,0)+IF(ISNUMBER(P2456),P2456,0),2),"")</f>
        <v/>
      </c>
      <c r="S2456" s="9" t="str">
        <f aca="false">IF(R2456="","",ROUND(L2456-R2456,2))</f>
        <v/>
      </c>
      <c r="T2456" s="8" t="str">
        <f aca="false">IF(A2456="","",IF(S2456="","BYPASS",IF(ABS(S2456)&lt;=Summary!$B$2,"PASS","FAIL")))</f>
        <v/>
      </c>
      <c r="U2456" s="8" t="str">
        <f aca="false">IF(T2456="BYPASS",IF(NOT(ISNUMBER(Q2456)),"PreV_ETB missing","End_tr_balance missing"),IF(T2456="FAIL",IF(AND(ISNUMBER(K2456),ISNUMBER(L2456),ABS(L2456-(K2456-IF(ISNUMBER(N2456),N2456,0)-IF(ISNUMBER(O2456),O2456,0)+IF(ISNUMBER(P2456),P2456,0)))&lt;=Summary!$B$2),"Passes using beginning_balance - PreV_ETB differs from beginning_balance",IF(AND(ISNUMBER(O2456),O2456&lt;0,ABS(L2456-(Q2456-IF(ISNUMBER(N2456),N2456,0)+IF(ISNUMBER(P2456),P2456,0)))&lt;=Summary!$B$2),"Negative realized loss not applied - check sign",IF(R2456&lt;0,"Principal paid exceeds prior balance",IF(AND(L2456&gt;Q2456,NOT(ISNUMBER(P2456))),"Balance increased but no Deferred_interest reported",IF(L2456&gt;R2456,"Reported balance higher than expected (missing increase/OC build)","Reported balance lower than expected (missing decrease)"))))),""))</f>
        <v/>
      </c>
    </row>
    <row r="2457" customFormat="false" ht="15" hidden="false" customHeight="false" outlineLevel="0" collapsed="false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9"/>
      <c r="L2457" s="9"/>
      <c r="M2457" s="9"/>
      <c r="N2457" s="9"/>
      <c r="O2457" s="9"/>
      <c r="P2457" s="9"/>
      <c r="Q2457" s="9"/>
      <c r="R2457" s="9" t="str">
        <f aca="false">IF(AND(A2457&lt;&gt;"",ISNUMBER(Q2457),ISNUMBER(L2457)),ROUND(Q2457-IF(ISNUMBER(N2457),N2457,0)-IF(ISNUMBER(O2457),O2457,0)+IF(ISNUMBER(P2457),P2457,0),2),"")</f>
        <v/>
      </c>
      <c r="S2457" s="9" t="str">
        <f aca="false">IF(R2457="","",ROUND(L2457-R2457,2))</f>
        <v/>
      </c>
      <c r="T2457" s="8" t="str">
        <f aca="false">IF(A2457="","",IF(S2457="","BYPASS",IF(ABS(S2457)&lt;=Summary!$B$2,"PASS","FAIL")))</f>
        <v/>
      </c>
      <c r="U2457" s="8" t="str">
        <f aca="false">IF(T2457="BYPASS",IF(NOT(ISNUMBER(Q2457)),"PreV_ETB missing","End_tr_balance missing"),IF(T2457="FAIL",IF(AND(ISNUMBER(K2457),ISNUMBER(L2457),ABS(L2457-(K2457-IF(ISNUMBER(N2457),N2457,0)-IF(ISNUMBER(O2457),O2457,0)+IF(ISNUMBER(P2457),P2457,0)))&lt;=Summary!$B$2),"Passes using beginning_balance - PreV_ETB differs from beginning_balance",IF(AND(ISNUMBER(O2457),O2457&lt;0,ABS(L2457-(Q2457-IF(ISNUMBER(N2457),N2457,0)+IF(ISNUMBER(P2457),P2457,0)))&lt;=Summary!$B$2),"Negative realized loss not applied - check sign",IF(R2457&lt;0,"Principal paid exceeds prior balance",IF(AND(L2457&gt;Q2457,NOT(ISNUMBER(P2457))),"Balance increased but no Deferred_interest reported",IF(L2457&gt;R2457,"Reported balance higher than expected (missing increase/OC build)","Reported balance lower than expected (missing decrease)"))))),""))</f>
        <v/>
      </c>
    </row>
    <row r="2458" customFormat="false" ht="15" hidden="false" customHeight="false" outlineLevel="0" collapsed="false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9"/>
      <c r="L2458" s="9"/>
      <c r="M2458" s="9"/>
      <c r="N2458" s="9"/>
      <c r="O2458" s="9"/>
      <c r="P2458" s="9"/>
      <c r="Q2458" s="9"/>
      <c r="R2458" s="9" t="str">
        <f aca="false">IF(AND(A2458&lt;&gt;"",ISNUMBER(Q2458),ISNUMBER(L2458)),ROUND(Q2458-IF(ISNUMBER(N2458),N2458,0)-IF(ISNUMBER(O2458),O2458,0)+IF(ISNUMBER(P2458),P2458,0),2),"")</f>
        <v/>
      </c>
      <c r="S2458" s="9" t="str">
        <f aca="false">IF(R2458="","",ROUND(L2458-R2458,2))</f>
        <v/>
      </c>
      <c r="T2458" s="8" t="str">
        <f aca="false">IF(A2458="","",IF(S2458="","BYPASS",IF(ABS(S2458)&lt;=Summary!$B$2,"PASS","FAIL")))</f>
        <v/>
      </c>
      <c r="U2458" s="8" t="str">
        <f aca="false">IF(T2458="BYPASS",IF(NOT(ISNUMBER(Q2458)),"PreV_ETB missing","End_tr_balance missing"),IF(T2458="FAIL",IF(AND(ISNUMBER(K2458),ISNUMBER(L2458),ABS(L2458-(K2458-IF(ISNUMBER(N2458),N2458,0)-IF(ISNUMBER(O2458),O2458,0)+IF(ISNUMBER(P2458),P2458,0)))&lt;=Summary!$B$2),"Passes using beginning_balance - PreV_ETB differs from beginning_balance",IF(AND(ISNUMBER(O2458),O2458&lt;0,ABS(L2458-(Q2458-IF(ISNUMBER(N2458),N2458,0)+IF(ISNUMBER(P2458),P2458,0)))&lt;=Summary!$B$2),"Negative realized loss not applied - check sign",IF(R2458&lt;0,"Principal paid exceeds prior balance",IF(AND(L2458&gt;Q2458,NOT(ISNUMBER(P2458))),"Balance increased but no Deferred_interest reported",IF(L2458&gt;R2458,"Reported balance higher than expected (missing increase/OC build)","Reported balance lower than expected (missing decrease)"))))),""))</f>
        <v/>
      </c>
    </row>
    <row r="2459" customFormat="false" ht="15" hidden="false" customHeight="false" outlineLevel="0" collapsed="false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9"/>
      <c r="L2459" s="9"/>
      <c r="M2459" s="9"/>
      <c r="N2459" s="9"/>
      <c r="O2459" s="9"/>
      <c r="P2459" s="9"/>
      <c r="Q2459" s="9"/>
      <c r="R2459" s="9" t="str">
        <f aca="false">IF(AND(A2459&lt;&gt;"",ISNUMBER(Q2459),ISNUMBER(L2459)),ROUND(Q2459-IF(ISNUMBER(N2459),N2459,0)-IF(ISNUMBER(O2459),O2459,0)+IF(ISNUMBER(P2459),P2459,0),2),"")</f>
        <v/>
      </c>
      <c r="S2459" s="9" t="str">
        <f aca="false">IF(R2459="","",ROUND(L2459-R2459,2))</f>
        <v/>
      </c>
      <c r="T2459" s="8" t="str">
        <f aca="false">IF(A2459="","",IF(S2459="","BYPASS",IF(ABS(S2459)&lt;=Summary!$B$2,"PASS","FAIL")))</f>
        <v/>
      </c>
      <c r="U2459" s="8" t="str">
        <f aca="false">IF(T2459="BYPASS",IF(NOT(ISNUMBER(Q2459)),"PreV_ETB missing","End_tr_balance missing"),IF(T2459="FAIL",IF(AND(ISNUMBER(K2459),ISNUMBER(L2459),ABS(L2459-(K2459-IF(ISNUMBER(N2459),N2459,0)-IF(ISNUMBER(O2459),O2459,0)+IF(ISNUMBER(P2459),P2459,0)))&lt;=Summary!$B$2),"Passes using beginning_balance - PreV_ETB differs from beginning_balance",IF(AND(ISNUMBER(O2459),O2459&lt;0,ABS(L2459-(Q2459-IF(ISNUMBER(N2459),N2459,0)+IF(ISNUMBER(P2459),P2459,0)))&lt;=Summary!$B$2),"Negative realized loss not applied - check sign",IF(R2459&lt;0,"Principal paid exceeds prior balance",IF(AND(L2459&gt;Q2459,NOT(ISNUMBER(P2459))),"Balance increased but no Deferred_interest reported",IF(L2459&gt;R2459,"Reported balance higher than expected (missing increase/OC build)","Reported balance lower than expected (missing decrease)"))))),""))</f>
        <v/>
      </c>
    </row>
    <row r="2460" customFormat="false" ht="15" hidden="false" customHeight="false" outlineLevel="0" collapsed="false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9"/>
      <c r="L2460" s="9"/>
      <c r="M2460" s="9"/>
      <c r="N2460" s="9"/>
      <c r="O2460" s="9"/>
      <c r="P2460" s="9"/>
      <c r="Q2460" s="9"/>
      <c r="R2460" s="9" t="str">
        <f aca="false">IF(AND(A2460&lt;&gt;"",ISNUMBER(Q2460),ISNUMBER(L2460)),ROUND(Q2460-IF(ISNUMBER(N2460),N2460,0)-IF(ISNUMBER(O2460),O2460,0)+IF(ISNUMBER(P2460),P2460,0),2),"")</f>
        <v/>
      </c>
      <c r="S2460" s="9" t="str">
        <f aca="false">IF(R2460="","",ROUND(L2460-R2460,2))</f>
        <v/>
      </c>
      <c r="T2460" s="8" t="str">
        <f aca="false">IF(A2460="","",IF(S2460="","BYPASS",IF(ABS(S2460)&lt;=Summary!$B$2,"PASS","FAIL")))</f>
        <v/>
      </c>
      <c r="U2460" s="8" t="str">
        <f aca="false">IF(T2460="BYPASS",IF(NOT(ISNUMBER(Q2460)),"PreV_ETB missing","End_tr_balance missing"),IF(T2460="FAIL",IF(AND(ISNUMBER(K2460),ISNUMBER(L2460),ABS(L2460-(K2460-IF(ISNUMBER(N2460),N2460,0)-IF(ISNUMBER(O2460),O2460,0)+IF(ISNUMBER(P2460),P2460,0)))&lt;=Summary!$B$2),"Passes using beginning_balance - PreV_ETB differs from beginning_balance",IF(AND(ISNUMBER(O2460),O2460&lt;0,ABS(L2460-(Q2460-IF(ISNUMBER(N2460),N2460,0)+IF(ISNUMBER(P2460),P2460,0)))&lt;=Summary!$B$2),"Negative realized loss not applied - check sign",IF(R2460&lt;0,"Principal paid exceeds prior balance",IF(AND(L2460&gt;Q2460,NOT(ISNUMBER(P2460))),"Balance increased but no Deferred_interest reported",IF(L2460&gt;R2460,"Reported balance higher than expected (missing increase/OC build)","Reported balance lower than expected (missing decrease)"))))),""))</f>
        <v/>
      </c>
    </row>
    <row r="2461" customFormat="false" ht="15" hidden="false" customHeight="false" outlineLevel="0" collapsed="false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9"/>
      <c r="L2461" s="9"/>
      <c r="M2461" s="9"/>
      <c r="N2461" s="9"/>
      <c r="O2461" s="9"/>
      <c r="P2461" s="9"/>
      <c r="Q2461" s="9"/>
      <c r="R2461" s="9" t="str">
        <f aca="false">IF(AND(A2461&lt;&gt;"",ISNUMBER(Q2461),ISNUMBER(L2461)),ROUND(Q2461-IF(ISNUMBER(N2461),N2461,0)-IF(ISNUMBER(O2461),O2461,0)+IF(ISNUMBER(P2461),P2461,0),2),"")</f>
        <v/>
      </c>
      <c r="S2461" s="9" t="str">
        <f aca="false">IF(R2461="","",ROUND(L2461-R2461,2))</f>
        <v/>
      </c>
      <c r="T2461" s="8" t="str">
        <f aca="false">IF(A2461="","",IF(S2461="","BYPASS",IF(ABS(S2461)&lt;=Summary!$B$2,"PASS","FAIL")))</f>
        <v/>
      </c>
      <c r="U2461" s="8" t="str">
        <f aca="false">IF(T2461="BYPASS",IF(NOT(ISNUMBER(Q2461)),"PreV_ETB missing","End_tr_balance missing"),IF(T2461="FAIL",IF(AND(ISNUMBER(K2461),ISNUMBER(L2461),ABS(L2461-(K2461-IF(ISNUMBER(N2461),N2461,0)-IF(ISNUMBER(O2461),O2461,0)+IF(ISNUMBER(P2461),P2461,0)))&lt;=Summary!$B$2),"Passes using beginning_balance - PreV_ETB differs from beginning_balance",IF(AND(ISNUMBER(O2461),O2461&lt;0,ABS(L2461-(Q2461-IF(ISNUMBER(N2461),N2461,0)+IF(ISNUMBER(P2461),P2461,0)))&lt;=Summary!$B$2),"Negative realized loss not applied - check sign",IF(R2461&lt;0,"Principal paid exceeds prior balance",IF(AND(L2461&gt;Q2461,NOT(ISNUMBER(P2461))),"Balance increased but no Deferred_interest reported",IF(L2461&gt;R2461,"Reported balance higher than expected (missing increase/OC build)","Reported balance lower than expected (missing decrease)"))))),""))</f>
        <v/>
      </c>
    </row>
    <row r="2462" customFormat="false" ht="15" hidden="false" customHeight="false" outlineLevel="0" collapsed="false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9"/>
      <c r="L2462" s="9"/>
      <c r="M2462" s="9"/>
      <c r="N2462" s="9"/>
      <c r="O2462" s="9"/>
      <c r="P2462" s="9"/>
      <c r="Q2462" s="9"/>
      <c r="R2462" s="9" t="str">
        <f aca="false">IF(AND(A2462&lt;&gt;"",ISNUMBER(Q2462),ISNUMBER(L2462)),ROUND(Q2462-IF(ISNUMBER(N2462),N2462,0)-IF(ISNUMBER(O2462),O2462,0)+IF(ISNUMBER(P2462),P2462,0),2),"")</f>
        <v/>
      </c>
      <c r="S2462" s="9" t="str">
        <f aca="false">IF(R2462="","",ROUND(L2462-R2462,2))</f>
        <v/>
      </c>
      <c r="T2462" s="8" t="str">
        <f aca="false">IF(A2462="","",IF(S2462="","BYPASS",IF(ABS(S2462)&lt;=Summary!$B$2,"PASS","FAIL")))</f>
        <v/>
      </c>
      <c r="U2462" s="8" t="str">
        <f aca="false">IF(T2462="BYPASS",IF(NOT(ISNUMBER(Q2462)),"PreV_ETB missing","End_tr_balance missing"),IF(T2462="FAIL",IF(AND(ISNUMBER(K2462),ISNUMBER(L2462),ABS(L2462-(K2462-IF(ISNUMBER(N2462),N2462,0)-IF(ISNUMBER(O2462),O2462,0)+IF(ISNUMBER(P2462),P2462,0)))&lt;=Summary!$B$2),"Passes using beginning_balance - PreV_ETB differs from beginning_balance",IF(AND(ISNUMBER(O2462),O2462&lt;0,ABS(L2462-(Q2462-IF(ISNUMBER(N2462),N2462,0)+IF(ISNUMBER(P2462),P2462,0)))&lt;=Summary!$B$2),"Negative realized loss not applied - check sign",IF(R2462&lt;0,"Principal paid exceeds prior balance",IF(AND(L2462&gt;Q2462,NOT(ISNUMBER(P2462))),"Balance increased but no Deferred_interest reported",IF(L2462&gt;R2462,"Reported balance higher than expected (missing increase/OC build)","Reported balance lower than expected (missing decrease)"))))),""))</f>
        <v/>
      </c>
    </row>
    <row r="2463" customFormat="false" ht="15" hidden="false" customHeight="false" outlineLevel="0" collapsed="false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9"/>
      <c r="L2463" s="9"/>
      <c r="M2463" s="9"/>
      <c r="N2463" s="9"/>
      <c r="O2463" s="9"/>
      <c r="P2463" s="9"/>
      <c r="Q2463" s="9"/>
      <c r="R2463" s="9" t="str">
        <f aca="false">IF(AND(A2463&lt;&gt;"",ISNUMBER(Q2463),ISNUMBER(L2463)),ROUND(Q2463-IF(ISNUMBER(N2463),N2463,0)-IF(ISNUMBER(O2463),O2463,0)+IF(ISNUMBER(P2463),P2463,0),2),"")</f>
        <v/>
      </c>
      <c r="S2463" s="9" t="str">
        <f aca="false">IF(R2463="","",ROUND(L2463-R2463,2))</f>
        <v/>
      </c>
      <c r="T2463" s="8" t="str">
        <f aca="false">IF(A2463="","",IF(S2463="","BYPASS",IF(ABS(S2463)&lt;=Summary!$B$2,"PASS","FAIL")))</f>
        <v/>
      </c>
      <c r="U2463" s="8" t="str">
        <f aca="false">IF(T2463="BYPASS",IF(NOT(ISNUMBER(Q2463)),"PreV_ETB missing","End_tr_balance missing"),IF(T2463="FAIL",IF(AND(ISNUMBER(K2463),ISNUMBER(L2463),ABS(L2463-(K2463-IF(ISNUMBER(N2463),N2463,0)-IF(ISNUMBER(O2463),O2463,0)+IF(ISNUMBER(P2463),P2463,0)))&lt;=Summary!$B$2),"Passes using beginning_balance - PreV_ETB differs from beginning_balance",IF(AND(ISNUMBER(O2463),O2463&lt;0,ABS(L2463-(Q2463-IF(ISNUMBER(N2463),N2463,0)+IF(ISNUMBER(P2463),P2463,0)))&lt;=Summary!$B$2),"Negative realized loss not applied - check sign",IF(R2463&lt;0,"Principal paid exceeds prior balance",IF(AND(L2463&gt;Q2463,NOT(ISNUMBER(P2463))),"Balance increased but no Deferred_interest reported",IF(L2463&gt;R2463,"Reported balance higher than expected (missing increase/OC build)","Reported balance lower than expected (missing decrease)"))))),""))</f>
        <v/>
      </c>
    </row>
    <row r="2464" customFormat="false" ht="15" hidden="false" customHeight="false" outlineLevel="0" collapsed="false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9"/>
      <c r="L2464" s="9"/>
      <c r="M2464" s="9"/>
      <c r="N2464" s="9"/>
      <c r="O2464" s="9"/>
      <c r="P2464" s="9"/>
      <c r="Q2464" s="9"/>
      <c r="R2464" s="9" t="str">
        <f aca="false">IF(AND(A2464&lt;&gt;"",ISNUMBER(Q2464),ISNUMBER(L2464)),ROUND(Q2464-IF(ISNUMBER(N2464),N2464,0)-IF(ISNUMBER(O2464),O2464,0)+IF(ISNUMBER(P2464),P2464,0),2),"")</f>
        <v/>
      </c>
      <c r="S2464" s="9" t="str">
        <f aca="false">IF(R2464="","",ROUND(L2464-R2464,2))</f>
        <v/>
      </c>
      <c r="T2464" s="8" t="str">
        <f aca="false">IF(A2464="","",IF(S2464="","BYPASS",IF(ABS(S2464)&lt;=Summary!$B$2,"PASS","FAIL")))</f>
        <v/>
      </c>
      <c r="U2464" s="8" t="str">
        <f aca="false">IF(T2464="BYPASS",IF(NOT(ISNUMBER(Q2464)),"PreV_ETB missing","End_tr_balance missing"),IF(T2464="FAIL",IF(AND(ISNUMBER(K2464),ISNUMBER(L2464),ABS(L2464-(K2464-IF(ISNUMBER(N2464),N2464,0)-IF(ISNUMBER(O2464),O2464,0)+IF(ISNUMBER(P2464),P2464,0)))&lt;=Summary!$B$2),"Passes using beginning_balance - PreV_ETB differs from beginning_balance",IF(AND(ISNUMBER(O2464),O2464&lt;0,ABS(L2464-(Q2464-IF(ISNUMBER(N2464),N2464,0)+IF(ISNUMBER(P2464),P2464,0)))&lt;=Summary!$B$2),"Negative realized loss not applied - check sign",IF(R2464&lt;0,"Principal paid exceeds prior balance",IF(AND(L2464&gt;Q2464,NOT(ISNUMBER(P2464))),"Balance increased but no Deferred_interest reported",IF(L2464&gt;R2464,"Reported balance higher than expected (missing increase/OC build)","Reported balance lower than expected (missing decrease)"))))),""))</f>
        <v/>
      </c>
    </row>
    <row r="2465" customFormat="false" ht="15" hidden="false" customHeight="false" outlineLevel="0" collapsed="false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9"/>
      <c r="L2465" s="9"/>
      <c r="M2465" s="9"/>
      <c r="N2465" s="9"/>
      <c r="O2465" s="9"/>
      <c r="P2465" s="9"/>
      <c r="Q2465" s="9"/>
      <c r="R2465" s="9" t="str">
        <f aca="false">IF(AND(A2465&lt;&gt;"",ISNUMBER(Q2465),ISNUMBER(L2465)),ROUND(Q2465-IF(ISNUMBER(N2465),N2465,0)-IF(ISNUMBER(O2465),O2465,0)+IF(ISNUMBER(P2465),P2465,0),2),"")</f>
        <v/>
      </c>
      <c r="S2465" s="9" t="str">
        <f aca="false">IF(R2465="","",ROUND(L2465-R2465,2))</f>
        <v/>
      </c>
      <c r="T2465" s="8" t="str">
        <f aca="false">IF(A2465="","",IF(S2465="","BYPASS",IF(ABS(S2465)&lt;=Summary!$B$2,"PASS","FAIL")))</f>
        <v/>
      </c>
      <c r="U2465" s="8" t="str">
        <f aca="false">IF(T2465="BYPASS",IF(NOT(ISNUMBER(Q2465)),"PreV_ETB missing","End_tr_balance missing"),IF(T2465="FAIL",IF(AND(ISNUMBER(K2465),ISNUMBER(L2465),ABS(L2465-(K2465-IF(ISNUMBER(N2465),N2465,0)-IF(ISNUMBER(O2465),O2465,0)+IF(ISNUMBER(P2465),P2465,0)))&lt;=Summary!$B$2),"Passes using beginning_balance - PreV_ETB differs from beginning_balance",IF(AND(ISNUMBER(O2465),O2465&lt;0,ABS(L2465-(Q2465-IF(ISNUMBER(N2465),N2465,0)+IF(ISNUMBER(P2465),P2465,0)))&lt;=Summary!$B$2),"Negative realized loss not applied - check sign",IF(R2465&lt;0,"Principal paid exceeds prior balance",IF(AND(L2465&gt;Q2465,NOT(ISNUMBER(P2465))),"Balance increased but no Deferred_interest reported",IF(L2465&gt;R2465,"Reported balance higher than expected (missing increase/OC build)","Reported balance lower than expected (missing decrease)"))))),""))</f>
        <v/>
      </c>
    </row>
    <row r="2466" customFormat="false" ht="15" hidden="false" customHeight="false" outlineLevel="0" collapsed="false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9"/>
      <c r="L2466" s="9"/>
      <c r="M2466" s="9"/>
      <c r="N2466" s="9"/>
      <c r="O2466" s="9"/>
      <c r="P2466" s="9"/>
      <c r="Q2466" s="9"/>
      <c r="R2466" s="9" t="str">
        <f aca="false">IF(AND(A2466&lt;&gt;"",ISNUMBER(Q2466),ISNUMBER(L2466)),ROUND(Q2466-IF(ISNUMBER(N2466),N2466,0)-IF(ISNUMBER(O2466),O2466,0)+IF(ISNUMBER(P2466),P2466,0),2),"")</f>
        <v/>
      </c>
      <c r="S2466" s="9" t="str">
        <f aca="false">IF(R2466="","",ROUND(L2466-R2466,2))</f>
        <v/>
      </c>
      <c r="T2466" s="8" t="str">
        <f aca="false">IF(A2466="","",IF(S2466="","BYPASS",IF(ABS(S2466)&lt;=Summary!$B$2,"PASS","FAIL")))</f>
        <v/>
      </c>
      <c r="U2466" s="8" t="str">
        <f aca="false">IF(T2466="BYPASS",IF(NOT(ISNUMBER(Q2466)),"PreV_ETB missing","End_tr_balance missing"),IF(T2466="FAIL",IF(AND(ISNUMBER(K2466),ISNUMBER(L2466),ABS(L2466-(K2466-IF(ISNUMBER(N2466),N2466,0)-IF(ISNUMBER(O2466),O2466,0)+IF(ISNUMBER(P2466),P2466,0)))&lt;=Summary!$B$2),"Passes using beginning_balance - PreV_ETB differs from beginning_balance",IF(AND(ISNUMBER(O2466),O2466&lt;0,ABS(L2466-(Q2466-IF(ISNUMBER(N2466),N2466,0)+IF(ISNUMBER(P2466),P2466,0)))&lt;=Summary!$B$2),"Negative realized loss not applied - check sign",IF(R2466&lt;0,"Principal paid exceeds prior balance",IF(AND(L2466&gt;Q2466,NOT(ISNUMBER(P2466))),"Balance increased but no Deferred_interest reported",IF(L2466&gt;R2466,"Reported balance higher than expected (missing increase/OC build)","Reported balance lower than expected (missing decrease)"))))),""))</f>
        <v/>
      </c>
    </row>
    <row r="2467" customFormat="false" ht="15" hidden="false" customHeight="false" outlineLevel="0" collapsed="false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9"/>
      <c r="L2467" s="9"/>
      <c r="M2467" s="9"/>
      <c r="N2467" s="9"/>
      <c r="O2467" s="9"/>
      <c r="P2467" s="9"/>
      <c r="Q2467" s="9"/>
      <c r="R2467" s="9" t="str">
        <f aca="false">IF(AND(A2467&lt;&gt;"",ISNUMBER(Q2467),ISNUMBER(L2467)),ROUND(Q2467-IF(ISNUMBER(N2467),N2467,0)-IF(ISNUMBER(O2467),O2467,0)+IF(ISNUMBER(P2467),P2467,0),2),"")</f>
        <v/>
      </c>
      <c r="S2467" s="9" t="str">
        <f aca="false">IF(R2467="","",ROUND(L2467-R2467,2))</f>
        <v/>
      </c>
      <c r="T2467" s="8" t="str">
        <f aca="false">IF(A2467="","",IF(S2467="","BYPASS",IF(ABS(S2467)&lt;=Summary!$B$2,"PASS","FAIL")))</f>
        <v/>
      </c>
      <c r="U2467" s="8" t="str">
        <f aca="false">IF(T2467="BYPASS",IF(NOT(ISNUMBER(Q2467)),"PreV_ETB missing","End_tr_balance missing"),IF(T2467="FAIL",IF(AND(ISNUMBER(K2467),ISNUMBER(L2467),ABS(L2467-(K2467-IF(ISNUMBER(N2467),N2467,0)-IF(ISNUMBER(O2467),O2467,0)+IF(ISNUMBER(P2467),P2467,0)))&lt;=Summary!$B$2),"Passes using beginning_balance - PreV_ETB differs from beginning_balance",IF(AND(ISNUMBER(O2467),O2467&lt;0,ABS(L2467-(Q2467-IF(ISNUMBER(N2467),N2467,0)+IF(ISNUMBER(P2467),P2467,0)))&lt;=Summary!$B$2),"Negative realized loss not applied - check sign",IF(R2467&lt;0,"Principal paid exceeds prior balance",IF(AND(L2467&gt;Q2467,NOT(ISNUMBER(P2467))),"Balance increased but no Deferred_interest reported",IF(L2467&gt;R2467,"Reported balance higher than expected (missing increase/OC build)","Reported balance lower than expected (missing decrease)"))))),""))</f>
        <v/>
      </c>
    </row>
    <row r="2468" customFormat="false" ht="15" hidden="false" customHeight="false" outlineLevel="0" collapsed="false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9"/>
      <c r="L2468" s="9"/>
      <c r="M2468" s="9"/>
      <c r="N2468" s="9"/>
      <c r="O2468" s="9"/>
      <c r="P2468" s="9"/>
      <c r="Q2468" s="9"/>
      <c r="R2468" s="9" t="str">
        <f aca="false">IF(AND(A2468&lt;&gt;"",ISNUMBER(Q2468),ISNUMBER(L2468)),ROUND(Q2468-IF(ISNUMBER(N2468),N2468,0)-IF(ISNUMBER(O2468),O2468,0)+IF(ISNUMBER(P2468),P2468,0),2),"")</f>
        <v/>
      </c>
      <c r="S2468" s="9" t="str">
        <f aca="false">IF(R2468="","",ROUND(L2468-R2468,2))</f>
        <v/>
      </c>
      <c r="T2468" s="8" t="str">
        <f aca="false">IF(A2468="","",IF(S2468="","BYPASS",IF(ABS(S2468)&lt;=Summary!$B$2,"PASS","FAIL")))</f>
        <v/>
      </c>
      <c r="U2468" s="8" t="str">
        <f aca="false">IF(T2468="BYPASS",IF(NOT(ISNUMBER(Q2468)),"PreV_ETB missing","End_tr_balance missing"),IF(T2468="FAIL",IF(AND(ISNUMBER(K2468),ISNUMBER(L2468),ABS(L2468-(K2468-IF(ISNUMBER(N2468),N2468,0)-IF(ISNUMBER(O2468),O2468,0)+IF(ISNUMBER(P2468),P2468,0)))&lt;=Summary!$B$2),"Passes using beginning_balance - PreV_ETB differs from beginning_balance",IF(AND(ISNUMBER(O2468),O2468&lt;0,ABS(L2468-(Q2468-IF(ISNUMBER(N2468),N2468,0)+IF(ISNUMBER(P2468),P2468,0)))&lt;=Summary!$B$2),"Negative realized loss not applied - check sign",IF(R2468&lt;0,"Principal paid exceeds prior balance",IF(AND(L2468&gt;Q2468,NOT(ISNUMBER(P2468))),"Balance increased but no Deferred_interest reported",IF(L2468&gt;R2468,"Reported balance higher than expected (missing increase/OC build)","Reported balance lower than expected (missing decrease)"))))),""))</f>
        <v/>
      </c>
    </row>
    <row r="2469" customFormat="false" ht="15" hidden="false" customHeight="false" outlineLevel="0" collapsed="false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9"/>
      <c r="L2469" s="9"/>
      <c r="M2469" s="9"/>
      <c r="N2469" s="9"/>
      <c r="O2469" s="9"/>
      <c r="P2469" s="9"/>
      <c r="Q2469" s="9"/>
      <c r="R2469" s="9" t="str">
        <f aca="false">IF(AND(A2469&lt;&gt;"",ISNUMBER(Q2469),ISNUMBER(L2469)),ROUND(Q2469-IF(ISNUMBER(N2469),N2469,0)-IF(ISNUMBER(O2469),O2469,0)+IF(ISNUMBER(P2469),P2469,0),2),"")</f>
        <v/>
      </c>
      <c r="S2469" s="9" t="str">
        <f aca="false">IF(R2469="","",ROUND(L2469-R2469,2))</f>
        <v/>
      </c>
      <c r="T2469" s="8" t="str">
        <f aca="false">IF(A2469="","",IF(S2469="","BYPASS",IF(ABS(S2469)&lt;=Summary!$B$2,"PASS","FAIL")))</f>
        <v/>
      </c>
      <c r="U2469" s="8" t="str">
        <f aca="false">IF(T2469="BYPASS",IF(NOT(ISNUMBER(Q2469)),"PreV_ETB missing","End_tr_balance missing"),IF(T2469="FAIL",IF(AND(ISNUMBER(K2469),ISNUMBER(L2469),ABS(L2469-(K2469-IF(ISNUMBER(N2469),N2469,0)-IF(ISNUMBER(O2469),O2469,0)+IF(ISNUMBER(P2469),P2469,0)))&lt;=Summary!$B$2),"Passes using beginning_balance - PreV_ETB differs from beginning_balance",IF(AND(ISNUMBER(O2469),O2469&lt;0,ABS(L2469-(Q2469-IF(ISNUMBER(N2469),N2469,0)+IF(ISNUMBER(P2469),P2469,0)))&lt;=Summary!$B$2),"Negative realized loss not applied - check sign",IF(R2469&lt;0,"Principal paid exceeds prior balance",IF(AND(L2469&gt;Q2469,NOT(ISNUMBER(P2469))),"Balance increased but no Deferred_interest reported",IF(L2469&gt;R2469,"Reported balance higher than expected (missing increase/OC build)","Reported balance lower than expected (missing decrease)"))))),""))</f>
        <v/>
      </c>
    </row>
    <row r="2470" customFormat="false" ht="15" hidden="false" customHeight="false" outlineLevel="0" collapsed="false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9"/>
      <c r="L2470" s="9"/>
      <c r="M2470" s="9"/>
      <c r="N2470" s="9"/>
      <c r="O2470" s="9"/>
      <c r="P2470" s="9"/>
      <c r="Q2470" s="9"/>
      <c r="R2470" s="9" t="str">
        <f aca="false">IF(AND(A2470&lt;&gt;"",ISNUMBER(Q2470),ISNUMBER(L2470)),ROUND(Q2470-IF(ISNUMBER(N2470),N2470,0)-IF(ISNUMBER(O2470),O2470,0)+IF(ISNUMBER(P2470),P2470,0),2),"")</f>
        <v/>
      </c>
      <c r="S2470" s="9" t="str">
        <f aca="false">IF(R2470="","",ROUND(L2470-R2470,2))</f>
        <v/>
      </c>
      <c r="T2470" s="8" t="str">
        <f aca="false">IF(A2470="","",IF(S2470="","BYPASS",IF(ABS(S2470)&lt;=Summary!$B$2,"PASS","FAIL")))</f>
        <v/>
      </c>
      <c r="U2470" s="8" t="str">
        <f aca="false">IF(T2470="BYPASS",IF(NOT(ISNUMBER(Q2470)),"PreV_ETB missing","End_tr_balance missing"),IF(T2470="FAIL",IF(AND(ISNUMBER(K2470),ISNUMBER(L2470),ABS(L2470-(K2470-IF(ISNUMBER(N2470),N2470,0)-IF(ISNUMBER(O2470),O2470,0)+IF(ISNUMBER(P2470),P2470,0)))&lt;=Summary!$B$2),"Passes using beginning_balance - PreV_ETB differs from beginning_balance",IF(AND(ISNUMBER(O2470),O2470&lt;0,ABS(L2470-(Q2470-IF(ISNUMBER(N2470),N2470,0)+IF(ISNUMBER(P2470),P2470,0)))&lt;=Summary!$B$2),"Negative realized loss not applied - check sign",IF(R2470&lt;0,"Principal paid exceeds prior balance",IF(AND(L2470&gt;Q2470,NOT(ISNUMBER(P2470))),"Balance increased but no Deferred_interest reported",IF(L2470&gt;R2470,"Reported balance higher than expected (missing increase/OC build)","Reported balance lower than expected (missing decrease)"))))),""))</f>
        <v/>
      </c>
    </row>
    <row r="2471" customFormat="false" ht="15" hidden="false" customHeight="false" outlineLevel="0" collapsed="false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9"/>
      <c r="L2471" s="9"/>
      <c r="M2471" s="9"/>
      <c r="N2471" s="9"/>
      <c r="O2471" s="9"/>
      <c r="P2471" s="9"/>
      <c r="Q2471" s="9"/>
      <c r="R2471" s="9" t="str">
        <f aca="false">IF(AND(A2471&lt;&gt;"",ISNUMBER(Q2471),ISNUMBER(L2471)),ROUND(Q2471-IF(ISNUMBER(N2471),N2471,0)-IF(ISNUMBER(O2471),O2471,0)+IF(ISNUMBER(P2471),P2471,0),2),"")</f>
        <v/>
      </c>
      <c r="S2471" s="9" t="str">
        <f aca="false">IF(R2471="","",ROUND(L2471-R2471,2))</f>
        <v/>
      </c>
      <c r="T2471" s="8" t="str">
        <f aca="false">IF(A2471="","",IF(S2471="","BYPASS",IF(ABS(S2471)&lt;=Summary!$B$2,"PASS","FAIL")))</f>
        <v/>
      </c>
      <c r="U2471" s="8" t="str">
        <f aca="false">IF(T2471="BYPASS",IF(NOT(ISNUMBER(Q2471)),"PreV_ETB missing","End_tr_balance missing"),IF(T2471="FAIL",IF(AND(ISNUMBER(K2471),ISNUMBER(L2471),ABS(L2471-(K2471-IF(ISNUMBER(N2471),N2471,0)-IF(ISNUMBER(O2471),O2471,0)+IF(ISNUMBER(P2471),P2471,0)))&lt;=Summary!$B$2),"Passes using beginning_balance - PreV_ETB differs from beginning_balance",IF(AND(ISNUMBER(O2471),O2471&lt;0,ABS(L2471-(Q2471-IF(ISNUMBER(N2471),N2471,0)+IF(ISNUMBER(P2471),P2471,0)))&lt;=Summary!$B$2),"Negative realized loss not applied - check sign",IF(R2471&lt;0,"Principal paid exceeds prior balance",IF(AND(L2471&gt;Q2471,NOT(ISNUMBER(P2471))),"Balance increased but no Deferred_interest reported",IF(L2471&gt;R2471,"Reported balance higher than expected (missing increase/OC build)","Reported balance lower than expected (missing decrease)"))))),""))</f>
        <v/>
      </c>
    </row>
    <row r="2472" customFormat="false" ht="15" hidden="false" customHeight="false" outlineLevel="0" collapsed="false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9"/>
      <c r="L2472" s="9"/>
      <c r="M2472" s="9"/>
      <c r="N2472" s="9"/>
      <c r="O2472" s="9"/>
      <c r="P2472" s="9"/>
      <c r="Q2472" s="9"/>
      <c r="R2472" s="9" t="str">
        <f aca="false">IF(AND(A2472&lt;&gt;"",ISNUMBER(Q2472),ISNUMBER(L2472)),ROUND(Q2472-IF(ISNUMBER(N2472),N2472,0)-IF(ISNUMBER(O2472),O2472,0)+IF(ISNUMBER(P2472),P2472,0),2),"")</f>
        <v/>
      </c>
      <c r="S2472" s="9" t="str">
        <f aca="false">IF(R2472="","",ROUND(L2472-R2472,2))</f>
        <v/>
      </c>
      <c r="T2472" s="8" t="str">
        <f aca="false">IF(A2472="","",IF(S2472="","BYPASS",IF(ABS(S2472)&lt;=Summary!$B$2,"PASS","FAIL")))</f>
        <v/>
      </c>
      <c r="U2472" s="8" t="str">
        <f aca="false">IF(T2472="BYPASS",IF(NOT(ISNUMBER(Q2472)),"PreV_ETB missing","End_tr_balance missing"),IF(T2472="FAIL",IF(AND(ISNUMBER(K2472),ISNUMBER(L2472),ABS(L2472-(K2472-IF(ISNUMBER(N2472),N2472,0)-IF(ISNUMBER(O2472),O2472,0)+IF(ISNUMBER(P2472),P2472,0)))&lt;=Summary!$B$2),"Passes using beginning_balance - PreV_ETB differs from beginning_balance",IF(AND(ISNUMBER(O2472),O2472&lt;0,ABS(L2472-(Q2472-IF(ISNUMBER(N2472),N2472,0)+IF(ISNUMBER(P2472),P2472,0)))&lt;=Summary!$B$2),"Negative realized loss not applied - check sign",IF(R2472&lt;0,"Principal paid exceeds prior balance",IF(AND(L2472&gt;Q2472,NOT(ISNUMBER(P2472))),"Balance increased but no Deferred_interest reported",IF(L2472&gt;R2472,"Reported balance higher than expected (missing increase/OC build)","Reported balance lower than expected (missing decrease)"))))),""))</f>
        <v/>
      </c>
    </row>
    <row r="2473" customFormat="false" ht="15" hidden="false" customHeight="false" outlineLevel="0" collapsed="false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9"/>
      <c r="L2473" s="9"/>
      <c r="M2473" s="9"/>
      <c r="N2473" s="9"/>
      <c r="O2473" s="9"/>
      <c r="P2473" s="9"/>
      <c r="Q2473" s="9"/>
      <c r="R2473" s="9" t="str">
        <f aca="false">IF(AND(A2473&lt;&gt;"",ISNUMBER(Q2473),ISNUMBER(L2473)),ROUND(Q2473-IF(ISNUMBER(N2473),N2473,0)-IF(ISNUMBER(O2473),O2473,0)+IF(ISNUMBER(P2473),P2473,0),2),"")</f>
        <v/>
      </c>
      <c r="S2473" s="9" t="str">
        <f aca="false">IF(R2473="","",ROUND(L2473-R2473,2))</f>
        <v/>
      </c>
      <c r="T2473" s="8" t="str">
        <f aca="false">IF(A2473="","",IF(S2473="","BYPASS",IF(ABS(S2473)&lt;=Summary!$B$2,"PASS","FAIL")))</f>
        <v/>
      </c>
      <c r="U2473" s="8" t="str">
        <f aca="false">IF(T2473="BYPASS",IF(NOT(ISNUMBER(Q2473)),"PreV_ETB missing","End_tr_balance missing"),IF(T2473="FAIL",IF(AND(ISNUMBER(K2473),ISNUMBER(L2473),ABS(L2473-(K2473-IF(ISNUMBER(N2473),N2473,0)-IF(ISNUMBER(O2473),O2473,0)+IF(ISNUMBER(P2473),P2473,0)))&lt;=Summary!$B$2),"Passes using beginning_balance - PreV_ETB differs from beginning_balance",IF(AND(ISNUMBER(O2473),O2473&lt;0,ABS(L2473-(Q2473-IF(ISNUMBER(N2473),N2473,0)+IF(ISNUMBER(P2473),P2473,0)))&lt;=Summary!$B$2),"Negative realized loss not applied - check sign",IF(R2473&lt;0,"Principal paid exceeds prior balance",IF(AND(L2473&gt;Q2473,NOT(ISNUMBER(P2473))),"Balance increased but no Deferred_interest reported",IF(L2473&gt;R2473,"Reported balance higher than expected (missing increase/OC build)","Reported balance lower than expected (missing decrease)"))))),""))</f>
        <v/>
      </c>
    </row>
    <row r="2474" customFormat="false" ht="15" hidden="false" customHeight="false" outlineLevel="0" collapsed="false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9"/>
      <c r="L2474" s="9"/>
      <c r="M2474" s="9"/>
      <c r="N2474" s="9"/>
      <c r="O2474" s="9"/>
      <c r="P2474" s="9"/>
      <c r="Q2474" s="9"/>
      <c r="R2474" s="9" t="str">
        <f aca="false">IF(AND(A2474&lt;&gt;"",ISNUMBER(Q2474),ISNUMBER(L2474)),ROUND(Q2474-IF(ISNUMBER(N2474),N2474,0)-IF(ISNUMBER(O2474),O2474,0)+IF(ISNUMBER(P2474),P2474,0),2),"")</f>
        <v/>
      </c>
      <c r="S2474" s="9" t="str">
        <f aca="false">IF(R2474="","",ROUND(L2474-R2474,2))</f>
        <v/>
      </c>
      <c r="T2474" s="8" t="str">
        <f aca="false">IF(A2474="","",IF(S2474="","BYPASS",IF(ABS(S2474)&lt;=Summary!$B$2,"PASS","FAIL")))</f>
        <v/>
      </c>
      <c r="U2474" s="8" t="str">
        <f aca="false">IF(T2474="BYPASS",IF(NOT(ISNUMBER(Q2474)),"PreV_ETB missing","End_tr_balance missing"),IF(T2474="FAIL",IF(AND(ISNUMBER(K2474),ISNUMBER(L2474),ABS(L2474-(K2474-IF(ISNUMBER(N2474),N2474,0)-IF(ISNUMBER(O2474),O2474,0)+IF(ISNUMBER(P2474),P2474,0)))&lt;=Summary!$B$2),"Passes using beginning_balance - PreV_ETB differs from beginning_balance",IF(AND(ISNUMBER(O2474),O2474&lt;0,ABS(L2474-(Q2474-IF(ISNUMBER(N2474),N2474,0)+IF(ISNUMBER(P2474),P2474,0)))&lt;=Summary!$B$2),"Negative realized loss not applied - check sign",IF(R2474&lt;0,"Principal paid exceeds prior balance",IF(AND(L2474&gt;Q2474,NOT(ISNUMBER(P2474))),"Balance increased but no Deferred_interest reported",IF(L2474&gt;R2474,"Reported balance higher than expected (missing increase/OC build)","Reported balance lower than expected (missing decrease)"))))),""))</f>
        <v/>
      </c>
    </row>
    <row r="2475" customFormat="false" ht="15" hidden="false" customHeight="false" outlineLevel="0" collapsed="false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9"/>
      <c r="L2475" s="9"/>
      <c r="M2475" s="9"/>
      <c r="N2475" s="9"/>
      <c r="O2475" s="9"/>
      <c r="P2475" s="9"/>
      <c r="Q2475" s="9"/>
      <c r="R2475" s="9" t="str">
        <f aca="false">IF(AND(A2475&lt;&gt;"",ISNUMBER(Q2475),ISNUMBER(L2475)),ROUND(Q2475-IF(ISNUMBER(N2475),N2475,0)-IF(ISNUMBER(O2475),O2475,0)+IF(ISNUMBER(P2475),P2475,0),2),"")</f>
        <v/>
      </c>
      <c r="S2475" s="9" t="str">
        <f aca="false">IF(R2475="","",ROUND(L2475-R2475,2))</f>
        <v/>
      </c>
      <c r="T2475" s="8" t="str">
        <f aca="false">IF(A2475="","",IF(S2475="","BYPASS",IF(ABS(S2475)&lt;=Summary!$B$2,"PASS","FAIL")))</f>
        <v/>
      </c>
      <c r="U2475" s="8" t="str">
        <f aca="false">IF(T2475="BYPASS",IF(NOT(ISNUMBER(Q2475)),"PreV_ETB missing","End_tr_balance missing"),IF(T2475="FAIL",IF(AND(ISNUMBER(K2475),ISNUMBER(L2475),ABS(L2475-(K2475-IF(ISNUMBER(N2475),N2475,0)-IF(ISNUMBER(O2475),O2475,0)+IF(ISNUMBER(P2475),P2475,0)))&lt;=Summary!$B$2),"Passes using beginning_balance - PreV_ETB differs from beginning_balance",IF(AND(ISNUMBER(O2475),O2475&lt;0,ABS(L2475-(Q2475-IF(ISNUMBER(N2475),N2475,0)+IF(ISNUMBER(P2475),P2475,0)))&lt;=Summary!$B$2),"Negative realized loss not applied - check sign",IF(R2475&lt;0,"Principal paid exceeds prior balance",IF(AND(L2475&gt;Q2475,NOT(ISNUMBER(P2475))),"Balance increased but no Deferred_interest reported",IF(L2475&gt;R2475,"Reported balance higher than expected (missing increase/OC build)","Reported balance lower than expected (missing decrease)"))))),""))</f>
        <v/>
      </c>
    </row>
    <row r="2476" customFormat="false" ht="15" hidden="false" customHeight="false" outlineLevel="0" collapsed="false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9"/>
      <c r="L2476" s="9"/>
      <c r="M2476" s="9"/>
      <c r="N2476" s="9"/>
      <c r="O2476" s="9"/>
      <c r="P2476" s="9"/>
      <c r="Q2476" s="9"/>
      <c r="R2476" s="9" t="str">
        <f aca="false">IF(AND(A2476&lt;&gt;"",ISNUMBER(Q2476),ISNUMBER(L2476)),ROUND(Q2476-IF(ISNUMBER(N2476),N2476,0)-IF(ISNUMBER(O2476),O2476,0)+IF(ISNUMBER(P2476),P2476,0),2),"")</f>
        <v/>
      </c>
      <c r="S2476" s="9" t="str">
        <f aca="false">IF(R2476="","",ROUND(L2476-R2476,2))</f>
        <v/>
      </c>
      <c r="T2476" s="8" t="str">
        <f aca="false">IF(A2476="","",IF(S2476="","BYPASS",IF(ABS(S2476)&lt;=Summary!$B$2,"PASS","FAIL")))</f>
        <v/>
      </c>
      <c r="U2476" s="8" t="str">
        <f aca="false">IF(T2476="BYPASS",IF(NOT(ISNUMBER(Q2476)),"PreV_ETB missing","End_tr_balance missing"),IF(T2476="FAIL",IF(AND(ISNUMBER(K2476),ISNUMBER(L2476),ABS(L2476-(K2476-IF(ISNUMBER(N2476),N2476,0)-IF(ISNUMBER(O2476),O2476,0)+IF(ISNUMBER(P2476),P2476,0)))&lt;=Summary!$B$2),"Passes using beginning_balance - PreV_ETB differs from beginning_balance",IF(AND(ISNUMBER(O2476),O2476&lt;0,ABS(L2476-(Q2476-IF(ISNUMBER(N2476),N2476,0)+IF(ISNUMBER(P2476),P2476,0)))&lt;=Summary!$B$2),"Negative realized loss not applied - check sign",IF(R2476&lt;0,"Principal paid exceeds prior balance",IF(AND(L2476&gt;Q2476,NOT(ISNUMBER(P2476))),"Balance increased but no Deferred_interest reported",IF(L2476&gt;R2476,"Reported balance higher than expected (missing increase/OC build)","Reported balance lower than expected (missing decrease)"))))),""))</f>
        <v/>
      </c>
    </row>
    <row r="2477" customFormat="false" ht="15" hidden="false" customHeight="false" outlineLevel="0" collapsed="false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9"/>
      <c r="L2477" s="9"/>
      <c r="M2477" s="9"/>
      <c r="N2477" s="9"/>
      <c r="O2477" s="9"/>
      <c r="P2477" s="9"/>
      <c r="Q2477" s="9"/>
      <c r="R2477" s="9" t="str">
        <f aca="false">IF(AND(A2477&lt;&gt;"",ISNUMBER(Q2477),ISNUMBER(L2477)),ROUND(Q2477-IF(ISNUMBER(N2477),N2477,0)-IF(ISNUMBER(O2477),O2477,0)+IF(ISNUMBER(P2477),P2477,0),2),"")</f>
        <v/>
      </c>
      <c r="S2477" s="9" t="str">
        <f aca="false">IF(R2477="","",ROUND(L2477-R2477,2))</f>
        <v/>
      </c>
      <c r="T2477" s="8" t="str">
        <f aca="false">IF(A2477="","",IF(S2477="","BYPASS",IF(ABS(S2477)&lt;=Summary!$B$2,"PASS","FAIL")))</f>
        <v/>
      </c>
      <c r="U2477" s="8" t="str">
        <f aca="false">IF(T2477="BYPASS",IF(NOT(ISNUMBER(Q2477)),"PreV_ETB missing","End_tr_balance missing"),IF(T2477="FAIL",IF(AND(ISNUMBER(K2477),ISNUMBER(L2477),ABS(L2477-(K2477-IF(ISNUMBER(N2477),N2477,0)-IF(ISNUMBER(O2477),O2477,0)+IF(ISNUMBER(P2477),P2477,0)))&lt;=Summary!$B$2),"Passes using beginning_balance - PreV_ETB differs from beginning_balance",IF(AND(ISNUMBER(O2477),O2477&lt;0,ABS(L2477-(Q2477-IF(ISNUMBER(N2477),N2477,0)+IF(ISNUMBER(P2477),P2477,0)))&lt;=Summary!$B$2),"Negative realized loss not applied - check sign",IF(R2477&lt;0,"Principal paid exceeds prior balance",IF(AND(L2477&gt;Q2477,NOT(ISNUMBER(P2477))),"Balance increased but no Deferred_interest reported",IF(L2477&gt;R2477,"Reported balance higher than expected (missing increase/OC build)","Reported balance lower than expected (missing decrease)"))))),""))</f>
        <v/>
      </c>
    </row>
    <row r="2478" customFormat="false" ht="15" hidden="false" customHeight="false" outlineLevel="0" collapsed="false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9"/>
      <c r="L2478" s="9"/>
      <c r="M2478" s="9"/>
      <c r="N2478" s="9"/>
      <c r="O2478" s="9"/>
      <c r="P2478" s="9"/>
      <c r="Q2478" s="9"/>
      <c r="R2478" s="9" t="str">
        <f aca="false">IF(AND(A2478&lt;&gt;"",ISNUMBER(Q2478),ISNUMBER(L2478)),ROUND(Q2478-IF(ISNUMBER(N2478),N2478,0)-IF(ISNUMBER(O2478),O2478,0)+IF(ISNUMBER(P2478),P2478,0),2),"")</f>
        <v/>
      </c>
      <c r="S2478" s="9" t="str">
        <f aca="false">IF(R2478="","",ROUND(L2478-R2478,2))</f>
        <v/>
      </c>
      <c r="T2478" s="8" t="str">
        <f aca="false">IF(A2478="","",IF(S2478="","BYPASS",IF(ABS(S2478)&lt;=Summary!$B$2,"PASS","FAIL")))</f>
        <v/>
      </c>
      <c r="U2478" s="8" t="str">
        <f aca="false">IF(T2478="BYPASS",IF(NOT(ISNUMBER(Q2478)),"PreV_ETB missing","End_tr_balance missing"),IF(T2478="FAIL",IF(AND(ISNUMBER(K2478),ISNUMBER(L2478),ABS(L2478-(K2478-IF(ISNUMBER(N2478),N2478,0)-IF(ISNUMBER(O2478),O2478,0)+IF(ISNUMBER(P2478),P2478,0)))&lt;=Summary!$B$2),"Passes using beginning_balance - PreV_ETB differs from beginning_balance",IF(AND(ISNUMBER(O2478),O2478&lt;0,ABS(L2478-(Q2478-IF(ISNUMBER(N2478),N2478,0)+IF(ISNUMBER(P2478),P2478,0)))&lt;=Summary!$B$2),"Negative realized loss not applied - check sign",IF(R2478&lt;0,"Principal paid exceeds prior balance",IF(AND(L2478&gt;Q2478,NOT(ISNUMBER(P2478))),"Balance increased but no Deferred_interest reported",IF(L2478&gt;R2478,"Reported balance higher than expected (missing increase/OC build)","Reported balance lower than expected (missing decrease)"))))),""))</f>
        <v/>
      </c>
    </row>
    <row r="2479" customFormat="false" ht="15" hidden="false" customHeight="false" outlineLevel="0" collapsed="false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9"/>
      <c r="L2479" s="9"/>
      <c r="M2479" s="9"/>
      <c r="N2479" s="9"/>
      <c r="O2479" s="9"/>
      <c r="P2479" s="9"/>
      <c r="Q2479" s="9"/>
      <c r="R2479" s="9" t="str">
        <f aca="false">IF(AND(A2479&lt;&gt;"",ISNUMBER(Q2479),ISNUMBER(L2479)),ROUND(Q2479-IF(ISNUMBER(N2479),N2479,0)-IF(ISNUMBER(O2479),O2479,0)+IF(ISNUMBER(P2479),P2479,0),2),"")</f>
        <v/>
      </c>
      <c r="S2479" s="9" t="str">
        <f aca="false">IF(R2479="","",ROUND(L2479-R2479,2))</f>
        <v/>
      </c>
      <c r="T2479" s="8" t="str">
        <f aca="false">IF(A2479="","",IF(S2479="","BYPASS",IF(ABS(S2479)&lt;=Summary!$B$2,"PASS","FAIL")))</f>
        <v/>
      </c>
      <c r="U2479" s="8" t="str">
        <f aca="false">IF(T2479="BYPASS",IF(NOT(ISNUMBER(Q2479)),"PreV_ETB missing","End_tr_balance missing"),IF(T2479="FAIL",IF(AND(ISNUMBER(K2479),ISNUMBER(L2479),ABS(L2479-(K2479-IF(ISNUMBER(N2479),N2479,0)-IF(ISNUMBER(O2479),O2479,0)+IF(ISNUMBER(P2479),P2479,0)))&lt;=Summary!$B$2),"Passes using beginning_balance - PreV_ETB differs from beginning_balance",IF(AND(ISNUMBER(O2479),O2479&lt;0,ABS(L2479-(Q2479-IF(ISNUMBER(N2479),N2479,0)+IF(ISNUMBER(P2479),P2479,0)))&lt;=Summary!$B$2),"Negative realized loss not applied - check sign",IF(R2479&lt;0,"Principal paid exceeds prior balance",IF(AND(L2479&gt;Q2479,NOT(ISNUMBER(P2479))),"Balance increased but no Deferred_interest reported",IF(L2479&gt;R2479,"Reported balance higher than expected (missing increase/OC build)","Reported balance lower than expected (missing decrease)"))))),""))</f>
        <v/>
      </c>
    </row>
    <row r="2480" customFormat="false" ht="15" hidden="false" customHeight="false" outlineLevel="0" collapsed="false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9"/>
      <c r="L2480" s="9"/>
      <c r="M2480" s="9"/>
      <c r="N2480" s="9"/>
      <c r="O2480" s="9"/>
      <c r="P2480" s="9"/>
      <c r="Q2480" s="9"/>
      <c r="R2480" s="9" t="str">
        <f aca="false">IF(AND(A2480&lt;&gt;"",ISNUMBER(Q2480),ISNUMBER(L2480)),ROUND(Q2480-IF(ISNUMBER(N2480),N2480,0)-IF(ISNUMBER(O2480),O2480,0)+IF(ISNUMBER(P2480),P2480,0),2),"")</f>
        <v/>
      </c>
      <c r="S2480" s="9" t="str">
        <f aca="false">IF(R2480="","",ROUND(L2480-R2480,2))</f>
        <v/>
      </c>
      <c r="T2480" s="8" t="str">
        <f aca="false">IF(A2480="","",IF(S2480="","BYPASS",IF(ABS(S2480)&lt;=Summary!$B$2,"PASS","FAIL")))</f>
        <v/>
      </c>
      <c r="U2480" s="8" t="str">
        <f aca="false">IF(T2480="BYPASS",IF(NOT(ISNUMBER(Q2480)),"PreV_ETB missing","End_tr_balance missing"),IF(T2480="FAIL",IF(AND(ISNUMBER(K2480),ISNUMBER(L2480),ABS(L2480-(K2480-IF(ISNUMBER(N2480),N2480,0)-IF(ISNUMBER(O2480),O2480,0)+IF(ISNUMBER(P2480),P2480,0)))&lt;=Summary!$B$2),"Passes using beginning_balance - PreV_ETB differs from beginning_balance",IF(AND(ISNUMBER(O2480),O2480&lt;0,ABS(L2480-(Q2480-IF(ISNUMBER(N2480),N2480,0)+IF(ISNUMBER(P2480),P2480,0)))&lt;=Summary!$B$2),"Negative realized loss not applied - check sign",IF(R2480&lt;0,"Principal paid exceeds prior balance",IF(AND(L2480&gt;Q2480,NOT(ISNUMBER(P2480))),"Balance increased but no Deferred_interest reported",IF(L2480&gt;R2480,"Reported balance higher than expected (missing increase/OC build)","Reported balance lower than expected (missing decrease)"))))),""))</f>
        <v/>
      </c>
    </row>
    <row r="2481" customFormat="false" ht="15" hidden="false" customHeight="false" outlineLevel="0" collapsed="false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9"/>
      <c r="L2481" s="9"/>
      <c r="M2481" s="9"/>
      <c r="N2481" s="9"/>
      <c r="O2481" s="9"/>
      <c r="P2481" s="9"/>
      <c r="Q2481" s="9"/>
      <c r="R2481" s="9" t="str">
        <f aca="false">IF(AND(A2481&lt;&gt;"",ISNUMBER(Q2481),ISNUMBER(L2481)),ROUND(Q2481-IF(ISNUMBER(N2481),N2481,0)-IF(ISNUMBER(O2481),O2481,0)+IF(ISNUMBER(P2481),P2481,0),2),"")</f>
        <v/>
      </c>
      <c r="S2481" s="9" t="str">
        <f aca="false">IF(R2481="","",ROUND(L2481-R2481,2))</f>
        <v/>
      </c>
      <c r="T2481" s="8" t="str">
        <f aca="false">IF(A2481="","",IF(S2481="","BYPASS",IF(ABS(S2481)&lt;=Summary!$B$2,"PASS","FAIL")))</f>
        <v/>
      </c>
      <c r="U2481" s="8" t="str">
        <f aca="false">IF(T2481="BYPASS",IF(NOT(ISNUMBER(Q2481)),"PreV_ETB missing","End_tr_balance missing"),IF(T2481="FAIL",IF(AND(ISNUMBER(K2481),ISNUMBER(L2481),ABS(L2481-(K2481-IF(ISNUMBER(N2481),N2481,0)-IF(ISNUMBER(O2481),O2481,0)+IF(ISNUMBER(P2481),P2481,0)))&lt;=Summary!$B$2),"Passes using beginning_balance - PreV_ETB differs from beginning_balance",IF(AND(ISNUMBER(O2481),O2481&lt;0,ABS(L2481-(Q2481-IF(ISNUMBER(N2481),N2481,0)+IF(ISNUMBER(P2481),P2481,0)))&lt;=Summary!$B$2),"Negative realized loss not applied - check sign",IF(R2481&lt;0,"Principal paid exceeds prior balance",IF(AND(L2481&gt;Q2481,NOT(ISNUMBER(P2481))),"Balance increased but no Deferred_interest reported",IF(L2481&gt;R2481,"Reported balance higher than expected (missing increase/OC build)","Reported balance lower than expected (missing decrease)"))))),""))</f>
        <v/>
      </c>
    </row>
    <row r="2482" customFormat="false" ht="15" hidden="false" customHeight="false" outlineLevel="0" collapsed="false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9"/>
      <c r="L2482" s="9"/>
      <c r="M2482" s="9"/>
      <c r="N2482" s="9"/>
      <c r="O2482" s="9"/>
      <c r="P2482" s="9"/>
      <c r="Q2482" s="9"/>
      <c r="R2482" s="9" t="str">
        <f aca="false">IF(AND(A2482&lt;&gt;"",ISNUMBER(Q2482),ISNUMBER(L2482)),ROUND(Q2482-IF(ISNUMBER(N2482),N2482,0)-IF(ISNUMBER(O2482),O2482,0)+IF(ISNUMBER(P2482),P2482,0),2),"")</f>
        <v/>
      </c>
      <c r="S2482" s="9" t="str">
        <f aca="false">IF(R2482="","",ROUND(L2482-R2482,2))</f>
        <v/>
      </c>
      <c r="T2482" s="8" t="str">
        <f aca="false">IF(A2482="","",IF(S2482="","BYPASS",IF(ABS(S2482)&lt;=Summary!$B$2,"PASS","FAIL")))</f>
        <v/>
      </c>
      <c r="U2482" s="8" t="str">
        <f aca="false">IF(T2482="BYPASS",IF(NOT(ISNUMBER(Q2482)),"PreV_ETB missing","End_tr_balance missing"),IF(T2482="FAIL",IF(AND(ISNUMBER(K2482),ISNUMBER(L2482),ABS(L2482-(K2482-IF(ISNUMBER(N2482),N2482,0)-IF(ISNUMBER(O2482),O2482,0)+IF(ISNUMBER(P2482),P2482,0)))&lt;=Summary!$B$2),"Passes using beginning_balance - PreV_ETB differs from beginning_balance",IF(AND(ISNUMBER(O2482),O2482&lt;0,ABS(L2482-(Q2482-IF(ISNUMBER(N2482),N2482,0)+IF(ISNUMBER(P2482),P2482,0)))&lt;=Summary!$B$2),"Negative realized loss not applied - check sign",IF(R2482&lt;0,"Principal paid exceeds prior balance",IF(AND(L2482&gt;Q2482,NOT(ISNUMBER(P2482))),"Balance increased but no Deferred_interest reported",IF(L2482&gt;R2482,"Reported balance higher than expected (missing increase/OC build)","Reported balance lower than expected (missing decrease)"))))),""))</f>
        <v/>
      </c>
    </row>
    <row r="2483" customFormat="false" ht="15" hidden="false" customHeight="false" outlineLevel="0" collapsed="false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9"/>
      <c r="L2483" s="9"/>
      <c r="M2483" s="9"/>
      <c r="N2483" s="9"/>
      <c r="O2483" s="9"/>
      <c r="P2483" s="9"/>
      <c r="Q2483" s="9"/>
      <c r="R2483" s="9" t="str">
        <f aca="false">IF(AND(A2483&lt;&gt;"",ISNUMBER(Q2483),ISNUMBER(L2483)),ROUND(Q2483-IF(ISNUMBER(N2483),N2483,0)-IF(ISNUMBER(O2483),O2483,0)+IF(ISNUMBER(P2483),P2483,0),2),"")</f>
        <v/>
      </c>
      <c r="S2483" s="9" t="str">
        <f aca="false">IF(R2483="","",ROUND(L2483-R2483,2))</f>
        <v/>
      </c>
      <c r="T2483" s="8" t="str">
        <f aca="false">IF(A2483="","",IF(S2483="","BYPASS",IF(ABS(S2483)&lt;=Summary!$B$2,"PASS","FAIL")))</f>
        <v/>
      </c>
      <c r="U2483" s="8" t="str">
        <f aca="false">IF(T2483="BYPASS",IF(NOT(ISNUMBER(Q2483)),"PreV_ETB missing","End_tr_balance missing"),IF(T2483="FAIL",IF(AND(ISNUMBER(K2483),ISNUMBER(L2483),ABS(L2483-(K2483-IF(ISNUMBER(N2483),N2483,0)-IF(ISNUMBER(O2483),O2483,0)+IF(ISNUMBER(P2483),P2483,0)))&lt;=Summary!$B$2),"Passes using beginning_balance - PreV_ETB differs from beginning_balance",IF(AND(ISNUMBER(O2483),O2483&lt;0,ABS(L2483-(Q2483-IF(ISNUMBER(N2483),N2483,0)+IF(ISNUMBER(P2483),P2483,0)))&lt;=Summary!$B$2),"Negative realized loss not applied - check sign",IF(R2483&lt;0,"Principal paid exceeds prior balance",IF(AND(L2483&gt;Q2483,NOT(ISNUMBER(P2483))),"Balance increased but no Deferred_interest reported",IF(L2483&gt;R2483,"Reported balance higher than expected (missing increase/OC build)","Reported balance lower than expected (missing decrease)"))))),""))</f>
        <v/>
      </c>
    </row>
    <row r="2484" customFormat="false" ht="15" hidden="false" customHeight="false" outlineLevel="0" collapsed="false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9"/>
      <c r="L2484" s="9"/>
      <c r="M2484" s="9"/>
      <c r="N2484" s="9"/>
      <c r="O2484" s="9"/>
      <c r="P2484" s="9"/>
      <c r="Q2484" s="9"/>
      <c r="R2484" s="9" t="str">
        <f aca="false">IF(AND(A2484&lt;&gt;"",ISNUMBER(Q2484),ISNUMBER(L2484)),ROUND(Q2484-IF(ISNUMBER(N2484),N2484,0)-IF(ISNUMBER(O2484),O2484,0)+IF(ISNUMBER(P2484),P2484,0),2),"")</f>
        <v/>
      </c>
      <c r="S2484" s="9" t="str">
        <f aca="false">IF(R2484="","",ROUND(L2484-R2484,2))</f>
        <v/>
      </c>
      <c r="T2484" s="8" t="str">
        <f aca="false">IF(A2484="","",IF(S2484="","BYPASS",IF(ABS(S2484)&lt;=Summary!$B$2,"PASS","FAIL")))</f>
        <v/>
      </c>
      <c r="U2484" s="8" t="str">
        <f aca="false">IF(T2484="BYPASS",IF(NOT(ISNUMBER(Q2484)),"PreV_ETB missing","End_tr_balance missing"),IF(T2484="FAIL",IF(AND(ISNUMBER(K2484),ISNUMBER(L2484),ABS(L2484-(K2484-IF(ISNUMBER(N2484),N2484,0)-IF(ISNUMBER(O2484),O2484,0)+IF(ISNUMBER(P2484),P2484,0)))&lt;=Summary!$B$2),"Passes using beginning_balance - PreV_ETB differs from beginning_balance",IF(AND(ISNUMBER(O2484),O2484&lt;0,ABS(L2484-(Q2484-IF(ISNUMBER(N2484),N2484,0)+IF(ISNUMBER(P2484),P2484,0)))&lt;=Summary!$B$2),"Negative realized loss not applied - check sign",IF(R2484&lt;0,"Principal paid exceeds prior balance",IF(AND(L2484&gt;Q2484,NOT(ISNUMBER(P2484))),"Balance increased but no Deferred_interest reported",IF(L2484&gt;R2484,"Reported balance higher than expected (missing increase/OC build)","Reported balance lower than expected (missing decrease)"))))),""))</f>
        <v/>
      </c>
    </row>
    <row r="2485" customFormat="false" ht="15" hidden="false" customHeight="false" outlineLevel="0" collapsed="false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9"/>
      <c r="L2485" s="9"/>
      <c r="M2485" s="9"/>
      <c r="N2485" s="9"/>
      <c r="O2485" s="9"/>
      <c r="P2485" s="9"/>
      <c r="Q2485" s="9"/>
      <c r="R2485" s="9" t="str">
        <f aca="false">IF(AND(A2485&lt;&gt;"",ISNUMBER(Q2485),ISNUMBER(L2485)),ROUND(Q2485-IF(ISNUMBER(N2485),N2485,0)-IF(ISNUMBER(O2485),O2485,0)+IF(ISNUMBER(P2485),P2485,0),2),"")</f>
        <v/>
      </c>
      <c r="S2485" s="9" t="str">
        <f aca="false">IF(R2485="","",ROUND(L2485-R2485,2))</f>
        <v/>
      </c>
      <c r="T2485" s="8" t="str">
        <f aca="false">IF(A2485="","",IF(S2485="","BYPASS",IF(ABS(S2485)&lt;=Summary!$B$2,"PASS","FAIL")))</f>
        <v/>
      </c>
      <c r="U2485" s="8" t="str">
        <f aca="false">IF(T2485="BYPASS",IF(NOT(ISNUMBER(Q2485)),"PreV_ETB missing","End_tr_balance missing"),IF(T2485="FAIL",IF(AND(ISNUMBER(K2485),ISNUMBER(L2485),ABS(L2485-(K2485-IF(ISNUMBER(N2485),N2485,0)-IF(ISNUMBER(O2485),O2485,0)+IF(ISNUMBER(P2485),P2485,0)))&lt;=Summary!$B$2),"Passes using beginning_balance - PreV_ETB differs from beginning_balance",IF(AND(ISNUMBER(O2485),O2485&lt;0,ABS(L2485-(Q2485-IF(ISNUMBER(N2485),N2485,0)+IF(ISNUMBER(P2485),P2485,0)))&lt;=Summary!$B$2),"Negative realized loss not applied - check sign",IF(R2485&lt;0,"Principal paid exceeds prior balance",IF(AND(L2485&gt;Q2485,NOT(ISNUMBER(P2485))),"Balance increased but no Deferred_interest reported",IF(L2485&gt;R2485,"Reported balance higher than expected (missing increase/OC build)","Reported balance lower than expected (missing decrease)"))))),""))</f>
        <v/>
      </c>
    </row>
    <row r="2486" customFormat="false" ht="15" hidden="false" customHeight="false" outlineLevel="0" collapsed="false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9"/>
      <c r="L2486" s="9"/>
      <c r="M2486" s="9"/>
      <c r="N2486" s="9"/>
      <c r="O2486" s="9"/>
      <c r="P2486" s="9"/>
      <c r="Q2486" s="9"/>
      <c r="R2486" s="9" t="str">
        <f aca="false">IF(AND(A2486&lt;&gt;"",ISNUMBER(Q2486),ISNUMBER(L2486)),ROUND(Q2486-IF(ISNUMBER(N2486),N2486,0)-IF(ISNUMBER(O2486),O2486,0)+IF(ISNUMBER(P2486),P2486,0),2),"")</f>
        <v/>
      </c>
      <c r="S2486" s="9" t="str">
        <f aca="false">IF(R2486="","",ROUND(L2486-R2486,2))</f>
        <v/>
      </c>
      <c r="T2486" s="8" t="str">
        <f aca="false">IF(A2486="","",IF(S2486="","BYPASS",IF(ABS(S2486)&lt;=Summary!$B$2,"PASS","FAIL")))</f>
        <v/>
      </c>
      <c r="U2486" s="8" t="str">
        <f aca="false">IF(T2486="BYPASS",IF(NOT(ISNUMBER(Q2486)),"PreV_ETB missing","End_tr_balance missing"),IF(T2486="FAIL",IF(AND(ISNUMBER(K2486),ISNUMBER(L2486),ABS(L2486-(K2486-IF(ISNUMBER(N2486),N2486,0)-IF(ISNUMBER(O2486),O2486,0)+IF(ISNUMBER(P2486),P2486,0)))&lt;=Summary!$B$2),"Passes using beginning_balance - PreV_ETB differs from beginning_balance",IF(AND(ISNUMBER(O2486),O2486&lt;0,ABS(L2486-(Q2486-IF(ISNUMBER(N2486),N2486,0)+IF(ISNUMBER(P2486),P2486,0)))&lt;=Summary!$B$2),"Negative realized loss not applied - check sign",IF(R2486&lt;0,"Principal paid exceeds prior balance",IF(AND(L2486&gt;Q2486,NOT(ISNUMBER(P2486))),"Balance increased but no Deferred_interest reported",IF(L2486&gt;R2486,"Reported balance higher than expected (missing increase/OC build)","Reported balance lower than expected (missing decrease)"))))),""))</f>
        <v/>
      </c>
    </row>
    <row r="2487" customFormat="false" ht="15" hidden="false" customHeight="false" outlineLevel="0" collapsed="false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9"/>
      <c r="L2487" s="9"/>
      <c r="M2487" s="9"/>
      <c r="N2487" s="9"/>
      <c r="O2487" s="9"/>
      <c r="P2487" s="9"/>
      <c r="Q2487" s="9"/>
      <c r="R2487" s="9" t="str">
        <f aca="false">IF(AND(A2487&lt;&gt;"",ISNUMBER(Q2487),ISNUMBER(L2487)),ROUND(Q2487-IF(ISNUMBER(N2487),N2487,0)-IF(ISNUMBER(O2487),O2487,0)+IF(ISNUMBER(P2487),P2487,0),2),"")</f>
        <v/>
      </c>
      <c r="S2487" s="9" t="str">
        <f aca="false">IF(R2487="","",ROUND(L2487-R2487,2))</f>
        <v/>
      </c>
      <c r="T2487" s="8" t="str">
        <f aca="false">IF(A2487="","",IF(S2487="","BYPASS",IF(ABS(S2487)&lt;=Summary!$B$2,"PASS","FAIL")))</f>
        <v/>
      </c>
      <c r="U2487" s="8" t="str">
        <f aca="false">IF(T2487="BYPASS",IF(NOT(ISNUMBER(Q2487)),"PreV_ETB missing","End_tr_balance missing"),IF(T2487="FAIL",IF(AND(ISNUMBER(K2487),ISNUMBER(L2487),ABS(L2487-(K2487-IF(ISNUMBER(N2487),N2487,0)-IF(ISNUMBER(O2487),O2487,0)+IF(ISNUMBER(P2487),P2487,0)))&lt;=Summary!$B$2),"Passes using beginning_balance - PreV_ETB differs from beginning_balance",IF(AND(ISNUMBER(O2487),O2487&lt;0,ABS(L2487-(Q2487-IF(ISNUMBER(N2487),N2487,0)+IF(ISNUMBER(P2487),P2487,0)))&lt;=Summary!$B$2),"Negative realized loss not applied - check sign",IF(R2487&lt;0,"Principal paid exceeds prior balance",IF(AND(L2487&gt;Q2487,NOT(ISNUMBER(P2487))),"Balance increased but no Deferred_interest reported",IF(L2487&gt;R2487,"Reported balance higher than expected (missing increase/OC build)","Reported balance lower than expected (missing decrease)"))))),""))</f>
        <v/>
      </c>
    </row>
    <row r="2488" customFormat="false" ht="15" hidden="false" customHeight="false" outlineLevel="0" collapsed="false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9"/>
      <c r="L2488" s="9"/>
      <c r="M2488" s="9"/>
      <c r="N2488" s="9"/>
      <c r="O2488" s="9"/>
      <c r="P2488" s="9"/>
      <c r="Q2488" s="9"/>
      <c r="R2488" s="9" t="str">
        <f aca="false">IF(AND(A2488&lt;&gt;"",ISNUMBER(Q2488),ISNUMBER(L2488)),ROUND(Q2488-IF(ISNUMBER(N2488),N2488,0)-IF(ISNUMBER(O2488),O2488,0)+IF(ISNUMBER(P2488),P2488,0),2),"")</f>
        <v/>
      </c>
      <c r="S2488" s="9" t="str">
        <f aca="false">IF(R2488="","",ROUND(L2488-R2488,2))</f>
        <v/>
      </c>
      <c r="T2488" s="8" t="str">
        <f aca="false">IF(A2488="","",IF(S2488="","BYPASS",IF(ABS(S2488)&lt;=Summary!$B$2,"PASS","FAIL")))</f>
        <v/>
      </c>
      <c r="U2488" s="8" t="str">
        <f aca="false">IF(T2488="BYPASS",IF(NOT(ISNUMBER(Q2488)),"PreV_ETB missing","End_tr_balance missing"),IF(T2488="FAIL",IF(AND(ISNUMBER(K2488),ISNUMBER(L2488),ABS(L2488-(K2488-IF(ISNUMBER(N2488),N2488,0)-IF(ISNUMBER(O2488),O2488,0)+IF(ISNUMBER(P2488),P2488,0)))&lt;=Summary!$B$2),"Passes using beginning_balance - PreV_ETB differs from beginning_balance",IF(AND(ISNUMBER(O2488),O2488&lt;0,ABS(L2488-(Q2488-IF(ISNUMBER(N2488),N2488,0)+IF(ISNUMBER(P2488),P2488,0)))&lt;=Summary!$B$2),"Negative realized loss not applied - check sign",IF(R2488&lt;0,"Principal paid exceeds prior balance",IF(AND(L2488&gt;Q2488,NOT(ISNUMBER(P2488))),"Balance increased but no Deferred_interest reported",IF(L2488&gt;R2488,"Reported balance higher than expected (missing increase/OC build)","Reported balance lower than expected (missing decrease)"))))),""))</f>
        <v/>
      </c>
    </row>
    <row r="2489" customFormat="false" ht="15" hidden="false" customHeight="false" outlineLevel="0" collapsed="false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9"/>
      <c r="L2489" s="9"/>
      <c r="M2489" s="9"/>
      <c r="N2489" s="9"/>
      <c r="O2489" s="9"/>
      <c r="P2489" s="9"/>
      <c r="Q2489" s="9"/>
      <c r="R2489" s="9" t="str">
        <f aca="false">IF(AND(A2489&lt;&gt;"",ISNUMBER(Q2489),ISNUMBER(L2489)),ROUND(Q2489-IF(ISNUMBER(N2489),N2489,0)-IF(ISNUMBER(O2489),O2489,0)+IF(ISNUMBER(P2489),P2489,0),2),"")</f>
        <v/>
      </c>
      <c r="S2489" s="9" t="str">
        <f aca="false">IF(R2489="","",ROUND(L2489-R2489,2))</f>
        <v/>
      </c>
      <c r="T2489" s="8" t="str">
        <f aca="false">IF(A2489="","",IF(S2489="","BYPASS",IF(ABS(S2489)&lt;=Summary!$B$2,"PASS","FAIL")))</f>
        <v/>
      </c>
      <c r="U2489" s="8" t="str">
        <f aca="false">IF(T2489="BYPASS",IF(NOT(ISNUMBER(Q2489)),"PreV_ETB missing","End_tr_balance missing"),IF(T2489="FAIL",IF(AND(ISNUMBER(K2489),ISNUMBER(L2489),ABS(L2489-(K2489-IF(ISNUMBER(N2489),N2489,0)-IF(ISNUMBER(O2489),O2489,0)+IF(ISNUMBER(P2489),P2489,0)))&lt;=Summary!$B$2),"Passes using beginning_balance - PreV_ETB differs from beginning_balance",IF(AND(ISNUMBER(O2489),O2489&lt;0,ABS(L2489-(Q2489-IF(ISNUMBER(N2489),N2489,0)+IF(ISNUMBER(P2489),P2489,0)))&lt;=Summary!$B$2),"Negative realized loss not applied - check sign",IF(R2489&lt;0,"Principal paid exceeds prior balance",IF(AND(L2489&gt;Q2489,NOT(ISNUMBER(P2489))),"Balance increased but no Deferred_interest reported",IF(L2489&gt;R2489,"Reported balance higher than expected (missing increase/OC build)","Reported balance lower than expected (missing decrease)"))))),""))</f>
        <v/>
      </c>
    </row>
    <row r="2490" customFormat="false" ht="15" hidden="false" customHeight="false" outlineLevel="0" collapsed="false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9"/>
      <c r="L2490" s="9"/>
      <c r="M2490" s="9"/>
      <c r="N2490" s="9"/>
      <c r="O2490" s="9"/>
      <c r="P2490" s="9"/>
      <c r="Q2490" s="9"/>
      <c r="R2490" s="9" t="str">
        <f aca="false">IF(AND(A2490&lt;&gt;"",ISNUMBER(Q2490),ISNUMBER(L2490)),ROUND(Q2490-IF(ISNUMBER(N2490),N2490,0)-IF(ISNUMBER(O2490),O2490,0)+IF(ISNUMBER(P2490),P2490,0),2),"")</f>
        <v/>
      </c>
      <c r="S2490" s="9" t="str">
        <f aca="false">IF(R2490="","",ROUND(L2490-R2490,2))</f>
        <v/>
      </c>
      <c r="T2490" s="8" t="str">
        <f aca="false">IF(A2490="","",IF(S2490="","BYPASS",IF(ABS(S2490)&lt;=Summary!$B$2,"PASS","FAIL")))</f>
        <v/>
      </c>
      <c r="U2490" s="8" t="str">
        <f aca="false">IF(T2490="BYPASS",IF(NOT(ISNUMBER(Q2490)),"PreV_ETB missing","End_tr_balance missing"),IF(T2490="FAIL",IF(AND(ISNUMBER(K2490),ISNUMBER(L2490),ABS(L2490-(K2490-IF(ISNUMBER(N2490),N2490,0)-IF(ISNUMBER(O2490),O2490,0)+IF(ISNUMBER(P2490),P2490,0)))&lt;=Summary!$B$2),"Passes using beginning_balance - PreV_ETB differs from beginning_balance",IF(AND(ISNUMBER(O2490),O2490&lt;0,ABS(L2490-(Q2490-IF(ISNUMBER(N2490),N2490,0)+IF(ISNUMBER(P2490),P2490,0)))&lt;=Summary!$B$2),"Negative realized loss not applied - check sign",IF(R2490&lt;0,"Principal paid exceeds prior balance",IF(AND(L2490&gt;Q2490,NOT(ISNUMBER(P2490))),"Balance increased but no Deferred_interest reported",IF(L2490&gt;R2490,"Reported balance higher than expected (missing increase/OC build)","Reported balance lower than expected (missing decrease)"))))),""))</f>
        <v/>
      </c>
    </row>
    <row r="2491" customFormat="false" ht="15" hidden="false" customHeight="false" outlineLevel="0" collapsed="false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9"/>
      <c r="L2491" s="9"/>
      <c r="M2491" s="9"/>
      <c r="N2491" s="9"/>
      <c r="O2491" s="9"/>
      <c r="P2491" s="9"/>
      <c r="Q2491" s="9"/>
      <c r="R2491" s="9" t="str">
        <f aca="false">IF(AND(A2491&lt;&gt;"",ISNUMBER(Q2491),ISNUMBER(L2491)),ROUND(Q2491-IF(ISNUMBER(N2491),N2491,0)-IF(ISNUMBER(O2491),O2491,0)+IF(ISNUMBER(P2491),P2491,0),2),"")</f>
        <v/>
      </c>
      <c r="S2491" s="9" t="str">
        <f aca="false">IF(R2491="","",ROUND(L2491-R2491,2))</f>
        <v/>
      </c>
      <c r="T2491" s="8" t="str">
        <f aca="false">IF(A2491="","",IF(S2491="","BYPASS",IF(ABS(S2491)&lt;=Summary!$B$2,"PASS","FAIL")))</f>
        <v/>
      </c>
      <c r="U2491" s="8" t="str">
        <f aca="false">IF(T2491="BYPASS",IF(NOT(ISNUMBER(Q2491)),"PreV_ETB missing","End_tr_balance missing"),IF(T2491="FAIL",IF(AND(ISNUMBER(K2491),ISNUMBER(L2491),ABS(L2491-(K2491-IF(ISNUMBER(N2491),N2491,0)-IF(ISNUMBER(O2491),O2491,0)+IF(ISNUMBER(P2491),P2491,0)))&lt;=Summary!$B$2),"Passes using beginning_balance - PreV_ETB differs from beginning_balance",IF(AND(ISNUMBER(O2491),O2491&lt;0,ABS(L2491-(Q2491-IF(ISNUMBER(N2491),N2491,0)+IF(ISNUMBER(P2491),P2491,0)))&lt;=Summary!$B$2),"Negative realized loss not applied - check sign",IF(R2491&lt;0,"Principal paid exceeds prior balance",IF(AND(L2491&gt;Q2491,NOT(ISNUMBER(P2491))),"Balance increased but no Deferred_interest reported",IF(L2491&gt;R2491,"Reported balance higher than expected (missing increase/OC build)","Reported balance lower than expected (missing decrease)"))))),""))</f>
        <v/>
      </c>
    </row>
    <row r="2492" customFormat="false" ht="15" hidden="false" customHeight="false" outlineLevel="0" collapsed="false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9"/>
      <c r="L2492" s="9"/>
      <c r="M2492" s="9"/>
      <c r="N2492" s="9"/>
      <c r="O2492" s="9"/>
      <c r="P2492" s="9"/>
      <c r="Q2492" s="9"/>
      <c r="R2492" s="9" t="str">
        <f aca="false">IF(AND(A2492&lt;&gt;"",ISNUMBER(Q2492),ISNUMBER(L2492)),ROUND(Q2492-IF(ISNUMBER(N2492),N2492,0)-IF(ISNUMBER(O2492),O2492,0)+IF(ISNUMBER(P2492),P2492,0),2),"")</f>
        <v/>
      </c>
      <c r="S2492" s="9" t="str">
        <f aca="false">IF(R2492="","",ROUND(L2492-R2492,2))</f>
        <v/>
      </c>
      <c r="T2492" s="8" t="str">
        <f aca="false">IF(A2492="","",IF(S2492="","BYPASS",IF(ABS(S2492)&lt;=Summary!$B$2,"PASS","FAIL")))</f>
        <v/>
      </c>
      <c r="U2492" s="8" t="str">
        <f aca="false">IF(T2492="BYPASS",IF(NOT(ISNUMBER(Q2492)),"PreV_ETB missing","End_tr_balance missing"),IF(T2492="FAIL",IF(AND(ISNUMBER(K2492),ISNUMBER(L2492),ABS(L2492-(K2492-IF(ISNUMBER(N2492),N2492,0)-IF(ISNUMBER(O2492),O2492,0)+IF(ISNUMBER(P2492),P2492,0)))&lt;=Summary!$B$2),"Passes using beginning_balance - PreV_ETB differs from beginning_balance",IF(AND(ISNUMBER(O2492),O2492&lt;0,ABS(L2492-(Q2492-IF(ISNUMBER(N2492),N2492,0)+IF(ISNUMBER(P2492),P2492,0)))&lt;=Summary!$B$2),"Negative realized loss not applied - check sign",IF(R2492&lt;0,"Principal paid exceeds prior balance",IF(AND(L2492&gt;Q2492,NOT(ISNUMBER(P2492))),"Balance increased but no Deferred_interest reported",IF(L2492&gt;R2492,"Reported balance higher than expected (missing increase/OC build)","Reported balance lower than expected (missing decrease)"))))),""))</f>
        <v/>
      </c>
    </row>
    <row r="2493" customFormat="false" ht="15" hidden="false" customHeight="false" outlineLevel="0" collapsed="false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9"/>
      <c r="L2493" s="9"/>
      <c r="M2493" s="9"/>
      <c r="N2493" s="9"/>
      <c r="O2493" s="9"/>
      <c r="P2493" s="9"/>
      <c r="Q2493" s="9"/>
      <c r="R2493" s="9" t="str">
        <f aca="false">IF(AND(A2493&lt;&gt;"",ISNUMBER(Q2493),ISNUMBER(L2493)),ROUND(Q2493-IF(ISNUMBER(N2493),N2493,0)-IF(ISNUMBER(O2493),O2493,0)+IF(ISNUMBER(P2493),P2493,0),2),"")</f>
        <v/>
      </c>
      <c r="S2493" s="9" t="str">
        <f aca="false">IF(R2493="","",ROUND(L2493-R2493,2))</f>
        <v/>
      </c>
      <c r="T2493" s="8" t="str">
        <f aca="false">IF(A2493="","",IF(S2493="","BYPASS",IF(ABS(S2493)&lt;=Summary!$B$2,"PASS","FAIL")))</f>
        <v/>
      </c>
      <c r="U2493" s="8" t="str">
        <f aca="false">IF(T2493="BYPASS",IF(NOT(ISNUMBER(Q2493)),"PreV_ETB missing","End_tr_balance missing"),IF(T2493="FAIL",IF(AND(ISNUMBER(K2493),ISNUMBER(L2493),ABS(L2493-(K2493-IF(ISNUMBER(N2493),N2493,0)-IF(ISNUMBER(O2493),O2493,0)+IF(ISNUMBER(P2493),P2493,0)))&lt;=Summary!$B$2),"Passes using beginning_balance - PreV_ETB differs from beginning_balance",IF(AND(ISNUMBER(O2493),O2493&lt;0,ABS(L2493-(Q2493-IF(ISNUMBER(N2493),N2493,0)+IF(ISNUMBER(P2493),P2493,0)))&lt;=Summary!$B$2),"Negative realized loss not applied - check sign",IF(R2493&lt;0,"Principal paid exceeds prior balance",IF(AND(L2493&gt;Q2493,NOT(ISNUMBER(P2493))),"Balance increased but no Deferred_interest reported",IF(L2493&gt;R2493,"Reported balance higher than expected (missing increase/OC build)","Reported balance lower than expected (missing decrease)"))))),""))</f>
        <v/>
      </c>
    </row>
    <row r="2494" customFormat="false" ht="15" hidden="false" customHeight="false" outlineLevel="0" collapsed="false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9"/>
      <c r="L2494" s="9"/>
      <c r="M2494" s="9"/>
      <c r="N2494" s="9"/>
      <c r="O2494" s="9"/>
      <c r="P2494" s="9"/>
      <c r="Q2494" s="9"/>
      <c r="R2494" s="9" t="str">
        <f aca="false">IF(AND(A2494&lt;&gt;"",ISNUMBER(Q2494),ISNUMBER(L2494)),ROUND(Q2494-IF(ISNUMBER(N2494),N2494,0)-IF(ISNUMBER(O2494),O2494,0)+IF(ISNUMBER(P2494),P2494,0),2),"")</f>
        <v/>
      </c>
      <c r="S2494" s="9" t="str">
        <f aca="false">IF(R2494="","",ROUND(L2494-R2494,2))</f>
        <v/>
      </c>
      <c r="T2494" s="8" t="str">
        <f aca="false">IF(A2494="","",IF(S2494="","BYPASS",IF(ABS(S2494)&lt;=Summary!$B$2,"PASS","FAIL")))</f>
        <v/>
      </c>
      <c r="U2494" s="8" t="str">
        <f aca="false">IF(T2494="BYPASS",IF(NOT(ISNUMBER(Q2494)),"PreV_ETB missing","End_tr_balance missing"),IF(T2494="FAIL",IF(AND(ISNUMBER(K2494),ISNUMBER(L2494),ABS(L2494-(K2494-IF(ISNUMBER(N2494),N2494,0)-IF(ISNUMBER(O2494),O2494,0)+IF(ISNUMBER(P2494),P2494,0)))&lt;=Summary!$B$2),"Passes using beginning_balance - PreV_ETB differs from beginning_balance",IF(AND(ISNUMBER(O2494),O2494&lt;0,ABS(L2494-(Q2494-IF(ISNUMBER(N2494),N2494,0)+IF(ISNUMBER(P2494),P2494,0)))&lt;=Summary!$B$2),"Negative realized loss not applied - check sign",IF(R2494&lt;0,"Principal paid exceeds prior balance",IF(AND(L2494&gt;Q2494,NOT(ISNUMBER(P2494))),"Balance increased but no Deferred_interest reported",IF(L2494&gt;R2494,"Reported balance higher than expected (missing increase/OC build)","Reported balance lower than expected (missing decrease)"))))),""))</f>
        <v/>
      </c>
    </row>
    <row r="2495" customFormat="false" ht="15" hidden="false" customHeight="false" outlineLevel="0" collapsed="false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9"/>
      <c r="L2495" s="9"/>
      <c r="M2495" s="9"/>
      <c r="N2495" s="9"/>
      <c r="O2495" s="9"/>
      <c r="P2495" s="9"/>
      <c r="Q2495" s="9"/>
      <c r="R2495" s="9" t="str">
        <f aca="false">IF(AND(A2495&lt;&gt;"",ISNUMBER(Q2495),ISNUMBER(L2495)),ROUND(Q2495-IF(ISNUMBER(N2495),N2495,0)-IF(ISNUMBER(O2495),O2495,0)+IF(ISNUMBER(P2495),P2495,0),2),"")</f>
        <v/>
      </c>
      <c r="S2495" s="9" t="str">
        <f aca="false">IF(R2495="","",ROUND(L2495-R2495,2))</f>
        <v/>
      </c>
      <c r="T2495" s="8" t="str">
        <f aca="false">IF(A2495="","",IF(S2495="","BYPASS",IF(ABS(S2495)&lt;=Summary!$B$2,"PASS","FAIL")))</f>
        <v/>
      </c>
      <c r="U2495" s="8" t="str">
        <f aca="false">IF(T2495="BYPASS",IF(NOT(ISNUMBER(Q2495)),"PreV_ETB missing","End_tr_balance missing"),IF(T2495="FAIL",IF(AND(ISNUMBER(K2495),ISNUMBER(L2495),ABS(L2495-(K2495-IF(ISNUMBER(N2495),N2495,0)-IF(ISNUMBER(O2495),O2495,0)+IF(ISNUMBER(P2495),P2495,0)))&lt;=Summary!$B$2),"Passes using beginning_balance - PreV_ETB differs from beginning_balance",IF(AND(ISNUMBER(O2495),O2495&lt;0,ABS(L2495-(Q2495-IF(ISNUMBER(N2495),N2495,0)+IF(ISNUMBER(P2495),P2495,0)))&lt;=Summary!$B$2),"Negative realized loss not applied - check sign",IF(R2495&lt;0,"Principal paid exceeds prior balance",IF(AND(L2495&gt;Q2495,NOT(ISNUMBER(P2495))),"Balance increased but no Deferred_interest reported",IF(L2495&gt;R2495,"Reported balance higher than expected (missing increase/OC build)","Reported balance lower than expected (missing decrease)"))))),""))</f>
        <v/>
      </c>
    </row>
    <row r="2496" customFormat="false" ht="15" hidden="false" customHeight="false" outlineLevel="0" collapsed="false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9"/>
      <c r="L2496" s="9"/>
      <c r="M2496" s="9"/>
      <c r="N2496" s="9"/>
      <c r="O2496" s="9"/>
      <c r="P2496" s="9"/>
      <c r="Q2496" s="9"/>
      <c r="R2496" s="9" t="str">
        <f aca="false">IF(AND(A2496&lt;&gt;"",ISNUMBER(Q2496),ISNUMBER(L2496)),ROUND(Q2496-IF(ISNUMBER(N2496),N2496,0)-IF(ISNUMBER(O2496),O2496,0)+IF(ISNUMBER(P2496),P2496,0),2),"")</f>
        <v/>
      </c>
      <c r="S2496" s="9" t="str">
        <f aca="false">IF(R2496="","",ROUND(L2496-R2496,2))</f>
        <v/>
      </c>
      <c r="T2496" s="8" t="str">
        <f aca="false">IF(A2496="","",IF(S2496="","BYPASS",IF(ABS(S2496)&lt;=Summary!$B$2,"PASS","FAIL")))</f>
        <v/>
      </c>
      <c r="U2496" s="8" t="str">
        <f aca="false">IF(T2496="BYPASS",IF(NOT(ISNUMBER(Q2496)),"PreV_ETB missing","End_tr_balance missing"),IF(T2496="FAIL",IF(AND(ISNUMBER(K2496),ISNUMBER(L2496),ABS(L2496-(K2496-IF(ISNUMBER(N2496),N2496,0)-IF(ISNUMBER(O2496),O2496,0)+IF(ISNUMBER(P2496),P2496,0)))&lt;=Summary!$B$2),"Passes using beginning_balance - PreV_ETB differs from beginning_balance",IF(AND(ISNUMBER(O2496),O2496&lt;0,ABS(L2496-(Q2496-IF(ISNUMBER(N2496),N2496,0)+IF(ISNUMBER(P2496),P2496,0)))&lt;=Summary!$B$2),"Negative realized loss not applied - check sign",IF(R2496&lt;0,"Principal paid exceeds prior balance",IF(AND(L2496&gt;Q2496,NOT(ISNUMBER(P2496))),"Balance increased but no Deferred_interest reported",IF(L2496&gt;R2496,"Reported balance higher than expected (missing increase/OC build)","Reported balance lower than expected (missing decrease)"))))),""))</f>
        <v/>
      </c>
    </row>
    <row r="2497" customFormat="false" ht="15" hidden="false" customHeight="false" outlineLevel="0" collapsed="false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9"/>
      <c r="L2497" s="9"/>
      <c r="M2497" s="9"/>
      <c r="N2497" s="9"/>
      <c r="O2497" s="9"/>
      <c r="P2497" s="9"/>
      <c r="Q2497" s="9"/>
      <c r="R2497" s="9" t="str">
        <f aca="false">IF(AND(A2497&lt;&gt;"",ISNUMBER(Q2497),ISNUMBER(L2497)),ROUND(Q2497-IF(ISNUMBER(N2497),N2497,0)-IF(ISNUMBER(O2497),O2497,0)+IF(ISNUMBER(P2497),P2497,0),2),"")</f>
        <v/>
      </c>
      <c r="S2497" s="9" t="str">
        <f aca="false">IF(R2497="","",ROUND(L2497-R2497,2))</f>
        <v/>
      </c>
      <c r="T2497" s="8" t="str">
        <f aca="false">IF(A2497="","",IF(S2497="","BYPASS",IF(ABS(S2497)&lt;=Summary!$B$2,"PASS","FAIL")))</f>
        <v/>
      </c>
      <c r="U2497" s="8" t="str">
        <f aca="false">IF(T2497="BYPASS",IF(NOT(ISNUMBER(Q2497)),"PreV_ETB missing","End_tr_balance missing"),IF(T2497="FAIL",IF(AND(ISNUMBER(K2497),ISNUMBER(L2497),ABS(L2497-(K2497-IF(ISNUMBER(N2497),N2497,0)-IF(ISNUMBER(O2497),O2497,0)+IF(ISNUMBER(P2497),P2497,0)))&lt;=Summary!$B$2),"Passes using beginning_balance - PreV_ETB differs from beginning_balance",IF(AND(ISNUMBER(O2497),O2497&lt;0,ABS(L2497-(Q2497-IF(ISNUMBER(N2497),N2497,0)+IF(ISNUMBER(P2497),P2497,0)))&lt;=Summary!$B$2),"Negative realized loss not applied - check sign",IF(R2497&lt;0,"Principal paid exceeds prior balance",IF(AND(L2497&gt;Q2497,NOT(ISNUMBER(P2497))),"Balance increased but no Deferred_interest reported",IF(L2497&gt;R2497,"Reported balance higher than expected (missing increase/OC build)","Reported balance lower than expected (missing decrease)"))))),""))</f>
        <v/>
      </c>
    </row>
    <row r="2498" customFormat="false" ht="15" hidden="false" customHeight="false" outlineLevel="0" collapsed="false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9"/>
      <c r="L2498" s="9"/>
      <c r="M2498" s="9"/>
      <c r="N2498" s="9"/>
      <c r="O2498" s="9"/>
      <c r="P2498" s="9"/>
      <c r="Q2498" s="9"/>
      <c r="R2498" s="9" t="str">
        <f aca="false">IF(AND(A2498&lt;&gt;"",ISNUMBER(Q2498),ISNUMBER(L2498)),ROUND(Q2498-IF(ISNUMBER(N2498),N2498,0)-IF(ISNUMBER(O2498),O2498,0)+IF(ISNUMBER(P2498),P2498,0),2),"")</f>
        <v/>
      </c>
      <c r="S2498" s="9" t="str">
        <f aca="false">IF(R2498="","",ROUND(L2498-R2498,2))</f>
        <v/>
      </c>
      <c r="T2498" s="8" t="str">
        <f aca="false">IF(A2498="","",IF(S2498="","BYPASS",IF(ABS(S2498)&lt;=Summary!$B$2,"PASS","FAIL")))</f>
        <v/>
      </c>
      <c r="U2498" s="8" t="str">
        <f aca="false">IF(T2498="BYPASS",IF(NOT(ISNUMBER(Q2498)),"PreV_ETB missing","End_tr_balance missing"),IF(T2498="FAIL",IF(AND(ISNUMBER(K2498),ISNUMBER(L2498),ABS(L2498-(K2498-IF(ISNUMBER(N2498),N2498,0)-IF(ISNUMBER(O2498),O2498,0)+IF(ISNUMBER(P2498),P2498,0)))&lt;=Summary!$B$2),"Passes using beginning_balance - PreV_ETB differs from beginning_balance",IF(AND(ISNUMBER(O2498),O2498&lt;0,ABS(L2498-(Q2498-IF(ISNUMBER(N2498),N2498,0)+IF(ISNUMBER(P2498),P2498,0)))&lt;=Summary!$B$2),"Negative realized loss not applied - check sign",IF(R2498&lt;0,"Principal paid exceeds prior balance",IF(AND(L2498&gt;Q2498,NOT(ISNUMBER(P2498))),"Balance increased but no Deferred_interest reported",IF(L2498&gt;R2498,"Reported balance higher than expected (missing increase/OC build)","Reported balance lower than expected (missing decrease)"))))),""))</f>
        <v/>
      </c>
    </row>
    <row r="2499" customFormat="false" ht="15" hidden="false" customHeight="false" outlineLevel="0" collapsed="false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9"/>
      <c r="L2499" s="9"/>
      <c r="M2499" s="9"/>
      <c r="N2499" s="9"/>
      <c r="O2499" s="9"/>
      <c r="P2499" s="9"/>
      <c r="Q2499" s="9"/>
      <c r="R2499" s="9" t="str">
        <f aca="false">IF(AND(A2499&lt;&gt;"",ISNUMBER(Q2499),ISNUMBER(L2499)),ROUND(Q2499-IF(ISNUMBER(N2499),N2499,0)-IF(ISNUMBER(O2499),O2499,0)+IF(ISNUMBER(P2499),P2499,0),2),"")</f>
        <v/>
      </c>
      <c r="S2499" s="9" t="str">
        <f aca="false">IF(R2499="","",ROUND(L2499-R2499,2))</f>
        <v/>
      </c>
      <c r="T2499" s="8" t="str">
        <f aca="false">IF(A2499="","",IF(S2499="","BYPASS",IF(ABS(S2499)&lt;=Summary!$B$2,"PASS","FAIL")))</f>
        <v/>
      </c>
      <c r="U2499" s="8" t="str">
        <f aca="false">IF(T2499="BYPASS",IF(NOT(ISNUMBER(Q2499)),"PreV_ETB missing","End_tr_balance missing"),IF(T2499="FAIL",IF(AND(ISNUMBER(K2499),ISNUMBER(L2499),ABS(L2499-(K2499-IF(ISNUMBER(N2499),N2499,0)-IF(ISNUMBER(O2499),O2499,0)+IF(ISNUMBER(P2499),P2499,0)))&lt;=Summary!$B$2),"Passes using beginning_balance - PreV_ETB differs from beginning_balance",IF(AND(ISNUMBER(O2499),O2499&lt;0,ABS(L2499-(Q2499-IF(ISNUMBER(N2499),N2499,0)+IF(ISNUMBER(P2499),P2499,0)))&lt;=Summary!$B$2),"Negative realized loss not applied - check sign",IF(R2499&lt;0,"Principal paid exceeds prior balance",IF(AND(L2499&gt;Q2499,NOT(ISNUMBER(P2499))),"Balance increased but no Deferred_interest reported",IF(L2499&gt;R2499,"Reported balance higher than expected (missing increase/OC build)","Reported balance lower than expected (missing decrease)"))))),""))</f>
        <v/>
      </c>
    </row>
    <row r="2500" customFormat="false" ht="15" hidden="false" customHeight="false" outlineLevel="0" collapsed="false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9"/>
      <c r="L2500" s="9"/>
      <c r="M2500" s="9"/>
      <c r="N2500" s="9"/>
      <c r="O2500" s="9"/>
      <c r="P2500" s="9"/>
      <c r="Q2500" s="9"/>
      <c r="R2500" s="9" t="str">
        <f aca="false">IF(AND(A2500&lt;&gt;"",ISNUMBER(Q2500),ISNUMBER(L2500)),ROUND(Q2500-IF(ISNUMBER(N2500),N2500,0)-IF(ISNUMBER(O2500),O2500,0)+IF(ISNUMBER(P2500),P2500,0),2),"")</f>
        <v/>
      </c>
      <c r="S2500" s="9" t="str">
        <f aca="false">IF(R2500="","",ROUND(L2500-R2500,2))</f>
        <v/>
      </c>
      <c r="T2500" s="8" t="str">
        <f aca="false">IF(A2500="","",IF(S2500="","BYPASS",IF(ABS(S2500)&lt;=Summary!$B$2,"PASS","FAIL")))</f>
        <v/>
      </c>
      <c r="U2500" s="8" t="str">
        <f aca="false">IF(T2500="BYPASS",IF(NOT(ISNUMBER(Q2500)),"PreV_ETB missing","End_tr_balance missing"),IF(T2500="FAIL",IF(AND(ISNUMBER(K2500),ISNUMBER(L2500),ABS(L2500-(K2500-IF(ISNUMBER(N2500),N2500,0)-IF(ISNUMBER(O2500),O2500,0)+IF(ISNUMBER(P2500),P2500,0)))&lt;=Summary!$B$2),"Passes using beginning_balance - PreV_ETB differs from beginning_balance",IF(AND(ISNUMBER(O2500),O2500&lt;0,ABS(L2500-(Q2500-IF(ISNUMBER(N2500),N2500,0)+IF(ISNUMBER(P2500),P2500,0)))&lt;=Summary!$B$2),"Negative realized loss not applied - check sign",IF(R2500&lt;0,"Principal paid exceeds prior balance",IF(AND(L2500&gt;Q2500,NOT(ISNUMBER(P2500))),"Balance increased but no Deferred_interest reported",IF(L2500&gt;R2500,"Reported balance higher than expected (missing increase/OC build)","Reported balance lower than expected (missing decrease)"))))),""))</f>
        <v/>
      </c>
    </row>
    <row r="2501" customFormat="false" ht="15" hidden="false" customHeight="false" outlineLevel="0" collapsed="false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9"/>
      <c r="L2501" s="9"/>
      <c r="M2501" s="9"/>
      <c r="N2501" s="9"/>
      <c r="O2501" s="9"/>
      <c r="P2501" s="9"/>
      <c r="Q2501" s="9"/>
      <c r="R2501" s="9" t="str">
        <f aca="false">IF(AND(A2501&lt;&gt;"",ISNUMBER(Q2501),ISNUMBER(L2501)),ROUND(Q2501-IF(ISNUMBER(N2501),N2501,0)-IF(ISNUMBER(O2501),O2501,0)+IF(ISNUMBER(P2501),P2501,0),2),"")</f>
        <v/>
      </c>
      <c r="S2501" s="9" t="str">
        <f aca="false">IF(R2501="","",ROUND(L2501-R2501,2))</f>
        <v/>
      </c>
      <c r="T2501" s="8" t="str">
        <f aca="false">IF(A2501="","",IF(S2501="","BYPASS",IF(ABS(S2501)&lt;=Summary!$B$2,"PASS","FAIL")))</f>
        <v/>
      </c>
      <c r="U2501" s="8" t="str">
        <f aca="false">IF(T2501="BYPASS",IF(NOT(ISNUMBER(Q2501)),"PreV_ETB missing","End_tr_balance missing"),IF(T2501="FAIL",IF(AND(ISNUMBER(K2501),ISNUMBER(L2501),ABS(L2501-(K2501-IF(ISNUMBER(N2501),N2501,0)-IF(ISNUMBER(O2501),O2501,0)+IF(ISNUMBER(P2501),P2501,0)))&lt;=Summary!$B$2),"Passes using beginning_balance - PreV_ETB differs from beginning_balance",IF(AND(ISNUMBER(O2501),O2501&lt;0,ABS(L2501-(Q2501-IF(ISNUMBER(N2501),N2501,0)+IF(ISNUMBER(P2501),P2501,0)))&lt;=Summary!$B$2),"Negative realized loss not applied - check sign",IF(R2501&lt;0,"Principal paid exceeds prior balance",IF(AND(L2501&gt;Q2501,NOT(ISNUMBER(P2501))),"Balance increased but no Deferred_interest reported",IF(L2501&gt;R2501,"Reported balance higher than expected (missing increase/OC build)","Reported balance lower than expected (missing decrease)"))))),""))</f>
        <v/>
      </c>
    </row>
    <row r="2502" customFormat="false" ht="15" hidden="false" customHeight="false" outlineLevel="0" collapsed="false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9"/>
      <c r="L2502" s="9"/>
      <c r="M2502" s="9"/>
      <c r="N2502" s="9"/>
      <c r="O2502" s="9"/>
      <c r="P2502" s="9"/>
      <c r="Q2502" s="9"/>
      <c r="R2502" s="9" t="str">
        <f aca="false">IF(AND(A2502&lt;&gt;"",ISNUMBER(Q2502),ISNUMBER(L2502)),ROUND(Q2502-IF(ISNUMBER(N2502),N2502,0)-IF(ISNUMBER(O2502),O2502,0)+IF(ISNUMBER(P2502),P2502,0),2),"")</f>
        <v/>
      </c>
      <c r="S2502" s="9" t="str">
        <f aca="false">IF(R2502="","",ROUND(L2502-R2502,2))</f>
        <v/>
      </c>
      <c r="T2502" s="8" t="str">
        <f aca="false">IF(A2502="","",IF(S2502="","BYPASS",IF(ABS(S2502)&lt;=Summary!$B$2,"PASS","FAIL")))</f>
        <v/>
      </c>
      <c r="U2502" s="8" t="str">
        <f aca="false">IF(T2502="BYPASS",IF(NOT(ISNUMBER(Q2502)),"PreV_ETB missing","End_tr_balance missing"),IF(T2502="FAIL",IF(AND(ISNUMBER(K2502),ISNUMBER(L2502),ABS(L2502-(K2502-IF(ISNUMBER(N2502),N2502,0)-IF(ISNUMBER(O2502),O2502,0)+IF(ISNUMBER(P2502),P2502,0)))&lt;=Summary!$B$2),"Passes using beginning_balance - PreV_ETB differs from beginning_balance",IF(AND(ISNUMBER(O2502),O2502&lt;0,ABS(L2502-(Q2502-IF(ISNUMBER(N2502),N2502,0)+IF(ISNUMBER(P2502),P2502,0)))&lt;=Summary!$B$2),"Negative realized loss not applied - check sign",IF(R2502&lt;0,"Principal paid exceeds prior balance",IF(AND(L2502&gt;Q2502,NOT(ISNUMBER(P2502))),"Balance increased but no Deferred_interest reported",IF(L2502&gt;R2502,"Reported balance higher than expected (missing increase/OC build)","Reported balance lower than expected (missing decrease)"))))),""))</f>
        <v/>
      </c>
    </row>
    <row r="2503" customFormat="false" ht="15" hidden="false" customHeight="false" outlineLevel="0" collapsed="false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9"/>
      <c r="L2503" s="9"/>
      <c r="M2503" s="9"/>
      <c r="N2503" s="9"/>
      <c r="O2503" s="9"/>
      <c r="P2503" s="9"/>
      <c r="Q2503" s="9"/>
      <c r="R2503" s="9" t="str">
        <f aca="false">IF(AND(A2503&lt;&gt;"",ISNUMBER(Q2503),ISNUMBER(L2503)),ROUND(Q2503-IF(ISNUMBER(N2503),N2503,0)-IF(ISNUMBER(O2503),O2503,0)+IF(ISNUMBER(P2503),P2503,0),2),"")</f>
        <v/>
      </c>
      <c r="S2503" s="9" t="str">
        <f aca="false">IF(R2503="","",ROUND(L2503-R2503,2))</f>
        <v/>
      </c>
      <c r="T2503" s="8" t="str">
        <f aca="false">IF(A2503="","",IF(S2503="","BYPASS",IF(ABS(S2503)&lt;=Summary!$B$2,"PASS","FAIL")))</f>
        <v/>
      </c>
      <c r="U2503" s="8" t="str">
        <f aca="false">IF(T2503="BYPASS",IF(NOT(ISNUMBER(Q2503)),"PreV_ETB missing","End_tr_balance missing"),IF(T2503="FAIL",IF(AND(ISNUMBER(K2503),ISNUMBER(L2503),ABS(L2503-(K2503-IF(ISNUMBER(N2503),N2503,0)-IF(ISNUMBER(O2503),O2503,0)+IF(ISNUMBER(P2503),P2503,0)))&lt;=Summary!$B$2),"Passes using beginning_balance - PreV_ETB differs from beginning_balance",IF(AND(ISNUMBER(O2503),O2503&lt;0,ABS(L2503-(Q2503-IF(ISNUMBER(N2503),N2503,0)+IF(ISNUMBER(P2503),P2503,0)))&lt;=Summary!$B$2),"Negative realized loss not applied - check sign",IF(R2503&lt;0,"Principal paid exceeds prior balance",IF(AND(L2503&gt;Q2503,NOT(ISNUMBER(P2503))),"Balance increased but no Deferred_interest reported",IF(L2503&gt;R2503,"Reported balance higher than expected (missing increase/OC build)","Reported balance lower than expected (missing decrease)"))))),""))</f>
        <v/>
      </c>
    </row>
    <row r="2504" customFormat="false" ht="15" hidden="false" customHeight="false" outlineLevel="0" collapsed="false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9"/>
      <c r="L2504" s="9"/>
      <c r="M2504" s="9"/>
      <c r="N2504" s="9"/>
      <c r="O2504" s="9"/>
      <c r="P2504" s="9"/>
      <c r="Q2504" s="9"/>
      <c r="R2504" s="9" t="str">
        <f aca="false">IF(AND(A2504&lt;&gt;"",ISNUMBER(Q2504),ISNUMBER(L2504)),ROUND(Q2504-IF(ISNUMBER(N2504),N2504,0)-IF(ISNUMBER(O2504),O2504,0)+IF(ISNUMBER(P2504),P2504,0),2),"")</f>
        <v/>
      </c>
      <c r="S2504" s="9" t="str">
        <f aca="false">IF(R2504="","",ROUND(L2504-R2504,2))</f>
        <v/>
      </c>
      <c r="T2504" s="8" t="str">
        <f aca="false">IF(A2504="","",IF(S2504="","BYPASS",IF(ABS(S2504)&lt;=Summary!$B$2,"PASS","FAIL")))</f>
        <v/>
      </c>
      <c r="U2504" s="8" t="str">
        <f aca="false">IF(T2504="BYPASS",IF(NOT(ISNUMBER(Q2504)),"PreV_ETB missing","End_tr_balance missing"),IF(T2504="FAIL",IF(AND(ISNUMBER(K2504),ISNUMBER(L2504),ABS(L2504-(K2504-IF(ISNUMBER(N2504),N2504,0)-IF(ISNUMBER(O2504),O2504,0)+IF(ISNUMBER(P2504),P2504,0)))&lt;=Summary!$B$2),"Passes using beginning_balance - PreV_ETB differs from beginning_balance",IF(AND(ISNUMBER(O2504),O2504&lt;0,ABS(L2504-(Q2504-IF(ISNUMBER(N2504),N2504,0)+IF(ISNUMBER(P2504),P2504,0)))&lt;=Summary!$B$2),"Negative realized loss not applied - check sign",IF(R2504&lt;0,"Principal paid exceeds prior balance",IF(AND(L2504&gt;Q2504,NOT(ISNUMBER(P2504))),"Balance increased but no Deferred_interest reported",IF(L2504&gt;R2504,"Reported balance higher than expected (missing increase/OC build)","Reported balance lower than expected (missing decrease)"))))),""))</f>
        <v/>
      </c>
    </row>
    <row r="2505" customFormat="false" ht="15" hidden="false" customHeight="false" outlineLevel="0" collapsed="false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9"/>
      <c r="L2505" s="9"/>
      <c r="M2505" s="9"/>
      <c r="N2505" s="9"/>
      <c r="O2505" s="9"/>
      <c r="P2505" s="9"/>
      <c r="Q2505" s="9"/>
      <c r="R2505" s="9" t="str">
        <f aca="false">IF(AND(A2505&lt;&gt;"",ISNUMBER(Q2505),ISNUMBER(L2505)),ROUND(Q2505-IF(ISNUMBER(N2505),N2505,0)-IF(ISNUMBER(O2505),O2505,0)+IF(ISNUMBER(P2505),P2505,0),2),"")</f>
        <v/>
      </c>
      <c r="S2505" s="9" t="str">
        <f aca="false">IF(R2505="","",ROUND(L2505-R2505,2))</f>
        <v/>
      </c>
      <c r="T2505" s="8" t="str">
        <f aca="false">IF(A2505="","",IF(S2505="","BYPASS",IF(ABS(S2505)&lt;=Summary!$B$2,"PASS","FAIL")))</f>
        <v/>
      </c>
      <c r="U2505" s="8" t="str">
        <f aca="false">IF(T2505="BYPASS",IF(NOT(ISNUMBER(Q2505)),"PreV_ETB missing","End_tr_balance missing"),IF(T2505="FAIL",IF(AND(ISNUMBER(K2505),ISNUMBER(L2505),ABS(L2505-(K2505-IF(ISNUMBER(N2505),N2505,0)-IF(ISNUMBER(O2505),O2505,0)+IF(ISNUMBER(P2505),P2505,0)))&lt;=Summary!$B$2),"Passes using beginning_balance - PreV_ETB differs from beginning_balance",IF(AND(ISNUMBER(O2505),O2505&lt;0,ABS(L2505-(Q2505-IF(ISNUMBER(N2505),N2505,0)+IF(ISNUMBER(P2505),P2505,0)))&lt;=Summary!$B$2),"Negative realized loss not applied - check sign",IF(R2505&lt;0,"Principal paid exceeds prior balance",IF(AND(L2505&gt;Q2505,NOT(ISNUMBER(P2505))),"Balance increased but no Deferred_interest reported",IF(L2505&gt;R2505,"Reported balance higher than expected (missing increase/OC build)","Reported balance lower than expected (missing decrease)"))))),""))</f>
        <v/>
      </c>
    </row>
    <row r="2506" customFormat="false" ht="15" hidden="false" customHeight="false" outlineLevel="0" collapsed="false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9"/>
      <c r="L2506" s="9"/>
      <c r="M2506" s="9"/>
      <c r="N2506" s="9"/>
      <c r="O2506" s="9"/>
      <c r="P2506" s="9"/>
      <c r="Q2506" s="9"/>
      <c r="R2506" s="9" t="str">
        <f aca="false">IF(AND(A2506&lt;&gt;"",ISNUMBER(Q2506),ISNUMBER(L2506)),ROUND(Q2506-IF(ISNUMBER(N2506),N2506,0)-IF(ISNUMBER(O2506),O2506,0)+IF(ISNUMBER(P2506),P2506,0),2),"")</f>
        <v/>
      </c>
      <c r="S2506" s="9" t="str">
        <f aca="false">IF(R2506="","",ROUND(L2506-R2506,2))</f>
        <v/>
      </c>
      <c r="T2506" s="8" t="str">
        <f aca="false">IF(A2506="","",IF(S2506="","BYPASS",IF(ABS(S2506)&lt;=Summary!$B$2,"PASS","FAIL")))</f>
        <v/>
      </c>
      <c r="U2506" s="8" t="str">
        <f aca="false">IF(T2506="BYPASS",IF(NOT(ISNUMBER(Q2506)),"PreV_ETB missing","End_tr_balance missing"),IF(T2506="FAIL",IF(AND(ISNUMBER(K2506),ISNUMBER(L2506),ABS(L2506-(K2506-IF(ISNUMBER(N2506),N2506,0)-IF(ISNUMBER(O2506),O2506,0)+IF(ISNUMBER(P2506),P2506,0)))&lt;=Summary!$B$2),"Passes using beginning_balance - PreV_ETB differs from beginning_balance",IF(AND(ISNUMBER(O2506),O2506&lt;0,ABS(L2506-(Q2506-IF(ISNUMBER(N2506),N2506,0)+IF(ISNUMBER(P2506),P2506,0)))&lt;=Summary!$B$2),"Negative realized loss not applied - check sign",IF(R2506&lt;0,"Principal paid exceeds prior balance",IF(AND(L2506&gt;Q2506,NOT(ISNUMBER(P2506))),"Balance increased but no Deferred_interest reported",IF(L2506&gt;R2506,"Reported balance higher than expected (missing increase/OC build)","Reported balance lower than expected (missing decrease)"))))),""))</f>
        <v/>
      </c>
    </row>
    <row r="2507" customFormat="false" ht="15" hidden="false" customHeight="false" outlineLevel="0" collapsed="false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9"/>
      <c r="L2507" s="9"/>
      <c r="M2507" s="9"/>
      <c r="N2507" s="9"/>
      <c r="O2507" s="9"/>
      <c r="P2507" s="9"/>
      <c r="Q2507" s="9"/>
      <c r="R2507" s="9" t="str">
        <f aca="false">IF(AND(A2507&lt;&gt;"",ISNUMBER(Q2507),ISNUMBER(L2507)),ROUND(Q2507-IF(ISNUMBER(N2507),N2507,0)-IF(ISNUMBER(O2507),O2507,0)+IF(ISNUMBER(P2507),P2507,0),2),"")</f>
        <v/>
      </c>
      <c r="S2507" s="9" t="str">
        <f aca="false">IF(R2507="","",ROUND(L2507-R2507,2))</f>
        <v/>
      </c>
      <c r="T2507" s="8" t="str">
        <f aca="false">IF(A2507="","",IF(S2507="","BYPASS",IF(ABS(S2507)&lt;=Summary!$B$2,"PASS","FAIL")))</f>
        <v/>
      </c>
      <c r="U2507" s="8" t="str">
        <f aca="false">IF(T2507="BYPASS",IF(NOT(ISNUMBER(Q2507)),"PreV_ETB missing","End_tr_balance missing"),IF(T2507="FAIL",IF(AND(ISNUMBER(K2507),ISNUMBER(L2507),ABS(L2507-(K2507-IF(ISNUMBER(N2507),N2507,0)-IF(ISNUMBER(O2507),O2507,0)+IF(ISNUMBER(P2507),P2507,0)))&lt;=Summary!$B$2),"Passes using beginning_balance - PreV_ETB differs from beginning_balance",IF(AND(ISNUMBER(O2507),O2507&lt;0,ABS(L2507-(Q2507-IF(ISNUMBER(N2507),N2507,0)+IF(ISNUMBER(P2507),P2507,0)))&lt;=Summary!$B$2),"Negative realized loss not applied - check sign",IF(R2507&lt;0,"Principal paid exceeds prior balance",IF(AND(L2507&gt;Q2507,NOT(ISNUMBER(P2507))),"Balance increased but no Deferred_interest reported",IF(L2507&gt;R2507,"Reported balance higher than expected (missing increase/OC build)","Reported balance lower than expected (missing decrease)"))))),""))</f>
        <v/>
      </c>
    </row>
    <row r="2508" customFormat="false" ht="15" hidden="false" customHeight="false" outlineLevel="0" collapsed="false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9"/>
      <c r="L2508" s="9"/>
      <c r="M2508" s="9"/>
      <c r="N2508" s="9"/>
      <c r="O2508" s="9"/>
      <c r="P2508" s="9"/>
      <c r="Q2508" s="9"/>
      <c r="R2508" s="9" t="str">
        <f aca="false">IF(AND(A2508&lt;&gt;"",ISNUMBER(Q2508),ISNUMBER(L2508)),ROUND(Q2508-IF(ISNUMBER(N2508),N2508,0)-IF(ISNUMBER(O2508),O2508,0)+IF(ISNUMBER(P2508),P2508,0),2),"")</f>
        <v/>
      </c>
      <c r="S2508" s="9" t="str">
        <f aca="false">IF(R2508="","",ROUND(L2508-R2508,2))</f>
        <v/>
      </c>
      <c r="T2508" s="8" t="str">
        <f aca="false">IF(A2508="","",IF(S2508="","BYPASS",IF(ABS(S2508)&lt;=Summary!$B$2,"PASS","FAIL")))</f>
        <v/>
      </c>
      <c r="U2508" s="8" t="str">
        <f aca="false">IF(T2508="BYPASS",IF(NOT(ISNUMBER(Q2508)),"PreV_ETB missing","End_tr_balance missing"),IF(T2508="FAIL",IF(AND(ISNUMBER(K2508),ISNUMBER(L2508),ABS(L2508-(K2508-IF(ISNUMBER(N2508),N2508,0)-IF(ISNUMBER(O2508),O2508,0)+IF(ISNUMBER(P2508),P2508,0)))&lt;=Summary!$B$2),"Passes using beginning_balance - PreV_ETB differs from beginning_balance",IF(AND(ISNUMBER(O2508),O2508&lt;0,ABS(L2508-(Q2508-IF(ISNUMBER(N2508),N2508,0)+IF(ISNUMBER(P2508),P2508,0)))&lt;=Summary!$B$2),"Negative realized loss not applied - check sign",IF(R2508&lt;0,"Principal paid exceeds prior balance",IF(AND(L2508&gt;Q2508,NOT(ISNUMBER(P2508))),"Balance increased but no Deferred_interest reported",IF(L2508&gt;R2508,"Reported balance higher than expected (missing increase/OC build)","Reported balance lower than expected (missing decrease)"))))),""))</f>
        <v/>
      </c>
    </row>
    <row r="2509" customFormat="false" ht="15" hidden="false" customHeight="false" outlineLevel="0" collapsed="false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9"/>
      <c r="L2509" s="9"/>
      <c r="M2509" s="9"/>
      <c r="N2509" s="9"/>
      <c r="O2509" s="9"/>
      <c r="P2509" s="9"/>
      <c r="Q2509" s="9"/>
      <c r="R2509" s="9" t="str">
        <f aca="false">IF(AND(A2509&lt;&gt;"",ISNUMBER(Q2509),ISNUMBER(L2509)),ROUND(Q2509-IF(ISNUMBER(N2509),N2509,0)-IF(ISNUMBER(O2509),O2509,0)+IF(ISNUMBER(P2509),P2509,0),2),"")</f>
        <v/>
      </c>
      <c r="S2509" s="9" t="str">
        <f aca="false">IF(R2509="","",ROUND(L2509-R2509,2))</f>
        <v/>
      </c>
      <c r="T2509" s="8" t="str">
        <f aca="false">IF(A2509="","",IF(S2509="","BYPASS",IF(ABS(S2509)&lt;=Summary!$B$2,"PASS","FAIL")))</f>
        <v/>
      </c>
      <c r="U2509" s="8" t="str">
        <f aca="false">IF(T2509="BYPASS",IF(NOT(ISNUMBER(Q2509)),"PreV_ETB missing","End_tr_balance missing"),IF(T2509="FAIL",IF(AND(ISNUMBER(K2509),ISNUMBER(L2509),ABS(L2509-(K2509-IF(ISNUMBER(N2509),N2509,0)-IF(ISNUMBER(O2509),O2509,0)+IF(ISNUMBER(P2509),P2509,0)))&lt;=Summary!$B$2),"Passes using beginning_balance - PreV_ETB differs from beginning_balance",IF(AND(ISNUMBER(O2509),O2509&lt;0,ABS(L2509-(Q2509-IF(ISNUMBER(N2509),N2509,0)+IF(ISNUMBER(P2509),P2509,0)))&lt;=Summary!$B$2),"Negative realized loss not applied - check sign",IF(R2509&lt;0,"Principal paid exceeds prior balance",IF(AND(L2509&gt;Q2509,NOT(ISNUMBER(P2509))),"Balance increased but no Deferred_interest reported",IF(L2509&gt;R2509,"Reported balance higher than expected (missing increase/OC build)","Reported balance lower than expected (missing decrease)"))))),""))</f>
        <v/>
      </c>
    </row>
    <row r="2510" customFormat="false" ht="15" hidden="false" customHeight="false" outlineLevel="0" collapsed="false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9"/>
      <c r="L2510" s="9"/>
      <c r="M2510" s="9"/>
      <c r="N2510" s="9"/>
      <c r="O2510" s="9"/>
      <c r="P2510" s="9"/>
      <c r="Q2510" s="9"/>
      <c r="R2510" s="9" t="str">
        <f aca="false">IF(AND(A2510&lt;&gt;"",ISNUMBER(Q2510),ISNUMBER(L2510)),ROUND(Q2510-IF(ISNUMBER(N2510),N2510,0)-IF(ISNUMBER(O2510),O2510,0)+IF(ISNUMBER(P2510),P2510,0),2),"")</f>
        <v/>
      </c>
      <c r="S2510" s="9" t="str">
        <f aca="false">IF(R2510="","",ROUND(L2510-R2510,2))</f>
        <v/>
      </c>
      <c r="T2510" s="8" t="str">
        <f aca="false">IF(A2510="","",IF(S2510="","BYPASS",IF(ABS(S2510)&lt;=Summary!$B$2,"PASS","FAIL")))</f>
        <v/>
      </c>
      <c r="U2510" s="8" t="str">
        <f aca="false">IF(T2510="BYPASS",IF(NOT(ISNUMBER(Q2510)),"PreV_ETB missing","End_tr_balance missing"),IF(T2510="FAIL",IF(AND(ISNUMBER(K2510),ISNUMBER(L2510),ABS(L2510-(K2510-IF(ISNUMBER(N2510),N2510,0)-IF(ISNUMBER(O2510),O2510,0)+IF(ISNUMBER(P2510),P2510,0)))&lt;=Summary!$B$2),"Passes using beginning_balance - PreV_ETB differs from beginning_balance",IF(AND(ISNUMBER(O2510),O2510&lt;0,ABS(L2510-(Q2510-IF(ISNUMBER(N2510),N2510,0)+IF(ISNUMBER(P2510),P2510,0)))&lt;=Summary!$B$2),"Negative realized loss not applied - check sign",IF(R2510&lt;0,"Principal paid exceeds prior balance",IF(AND(L2510&gt;Q2510,NOT(ISNUMBER(P2510))),"Balance increased but no Deferred_interest reported",IF(L2510&gt;R2510,"Reported balance higher than expected (missing increase/OC build)","Reported balance lower than expected (missing decrease)"))))),""))</f>
        <v/>
      </c>
    </row>
    <row r="2511" customFormat="false" ht="15" hidden="false" customHeight="false" outlineLevel="0" collapsed="false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9"/>
      <c r="L2511" s="9"/>
      <c r="M2511" s="9"/>
      <c r="N2511" s="9"/>
      <c r="O2511" s="9"/>
      <c r="P2511" s="9"/>
      <c r="Q2511" s="9"/>
      <c r="R2511" s="9" t="str">
        <f aca="false">IF(AND(A2511&lt;&gt;"",ISNUMBER(Q2511),ISNUMBER(L2511)),ROUND(Q2511-IF(ISNUMBER(N2511),N2511,0)-IF(ISNUMBER(O2511),O2511,0)+IF(ISNUMBER(P2511),P2511,0),2),"")</f>
        <v/>
      </c>
      <c r="S2511" s="9" t="str">
        <f aca="false">IF(R2511="","",ROUND(L2511-R2511,2))</f>
        <v/>
      </c>
      <c r="T2511" s="8" t="str">
        <f aca="false">IF(A2511="","",IF(S2511="","BYPASS",IF(ABS(S2511)&lt;=Summary!$B$2,"PASS","FAIL")))</f>
        <v/>
      </c>
      <c r="U2511" s="8" t="str">
        <f aca="false">IF(T2511="BYPASS",IF(NOT(ISNUMBER(Q2511)),"PreV_ETB missing","End_tr_balance missing"),IF(T2511="FAIL",IF(AND(ISNUMBER(K2511),ISNUMBER(L2511),ABS(L2511-(K2511-IF(ISNUMBER(N2511),N2511,0)-IF(ISNUMBER(O2511),O2511,0)+IF(ISNUMBER(P2511),P2511,0)))&lt;=Summary!$B$2),"Passes using beginning_balance - PreV_ETB differs from beginning_balance",IF(AND(ISNUMBER(O2511),O2511&lt;0,ABS(L2511-(Q2511-IF(ISNUMBER(N2511),N2511,0)+IF(ISNUMBER(P2511),P2511,0)))&lt;=Summary!$B$2),"Negative realized loss not applied - check sign",IF(R2511&lt;0,"Principal paid exceeds prior balance",IF(AND(L2511&gt;Q2511,NOT(ISNUMBER(P2511))),"Balance increased but no Deferred_interest reported",IF(L2511&gt;R2511,"Reported balance higher than expected (missing increase/OC build)","Reported balance lower than expected (missing decrease)"))))),""))</f>
        <v/>
      </c>
    </row>
    <row r="2512" customFormat="false" ht="15" hidden="false" customHeight="false" outlineLevel="0" collapsed="false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9"/>
      <c r="L2512" s="9"/>
      <c r="M2512" s="9"/>
      <c r="N2512" s="9"/>
      <c r="O2512" s="9"/>
      <c r="P2512" s="9"/>
      <c r="Q2512" s="9"/>
      <c r="R2512" s="9" t="str">
        <f aca="false">IF(AND(A2512&lt;&gt;"",ISNUMBER(Q2512),ISNUMBER(L2512)),ROUND(Q2512-IF(ISNUMBER(N2512),N2512,0)-IF(ISNUMBER(O2512),O2512,0)+IF(ISNUMBER(P2512),P2512,0),2),"")</f>
        <v/>
      </c>
      <c r="S2512" s="9" t="str">
        <f aca="false">IF(R2512="","",ROUND(L2512-R2512,2))</f>
        <v/>
      </c>
      <c r="T2512" s="8" t="str">
        <f aca="false">IF(A2512="","",IF(S2512="","BYPASS",IF(ABS(S2512)&lt;=Summary!$B$2,"PASS","FAIL")))</f>
        <v/>
      </c>
      <c r="U2512" s="8" t="str">
        <f aca="false">IF(T2512="BYPASS",IF(NOT(ISNUMBER(Q2512)),"PreV_ETB missing","End_tr_balance missing"),IF(T2512="FAIL",IF(AND(ISNUMBER(K2512),ISNUMBER(L2512),ABS(L2512-(K2512-IF(ISNUMBER(N2512),N2512,0)-IF(ISNUMBER(O2512),O2512,0)+IF(ISNUMBER(P2512),P2512,0)))&lt;=Summary!$B$2),"Passes using beginning_balance - PreV_ETB differs from beginning_balance",IF(AND(ISNUMBER(O2512),O2512&lt;0,ABS(L2512-(Q2512-IF(ISNUMBER(N2512),N2512,0)+IF(ISNUMBER(P2512),P2512,0)))&lt;=Summary!$B$2),"Negative realized loss not applied - check sign",IF(R2512&lt;0,"Principal paid exceeds prior balance",IF(AND(L2512&gt;Q2512,NOT(ISNUMBER(P2512))),"Balance increased but no Deferred_interest reported",IF(L2512&gt;R2512,"Reported balance higher than expected (missing increase/OC build)","Reported balance lower than expected (missing decrease)"))))),""))</f>
        <v/>
      </c>
    </row>
    <row r="2513" customFormat="false" ht="15" hidden="false" customHeight="false" outlineLevel="0" collapsed="false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9"/>
      <c r="L2513" s="9"/>
      <c r="M2513" s="9"/>
      <c r="N2513" s="9"/>
      <c r="O2513" s="9"/>
      <c r="P2513" s="9"/>
      <c r="Q2513" s="9"/>
      <c r="R2513" s="9" t="str">
        <f aca="false">IF(AND(A2513&lt;&gt;"",ISNUMBER(Q2513),ISNUMBER(L2513)),ROUND(Q2513-IF(ISNUMBER(N2513),N2513,0)-IF(ISNUMBER(O2513),O2513,0)+IF(ISNUMBER(P2513),P2513,0),2),"")</f>
        <v/>
      </c>
      <c r="S2513" s="9" t="str">
        <f aca="false">IF(R2513="","",ROUND(L2513-R2513,2))</f>
        <v/>
      </c>
      <c r="T2513" s="8" t="str">
        <f aca="false">IF(A2513="","",IF(S2513="","BYPASS",IF(ABS(S2513)&lt;=Summary!$B$2,"PASS","FAIL")))</f>
        <v/>
      </c>
      <c r="U2513" s="8" t="str">
        <f aca="false">IF(T2513="BYPASS",IF(NOT(ISNUMBER(Q2513)),"PreV_ETB missing","End_tr_balance missing"),IF(T2513="FAIL",IF(AND(ISNUMBER(K2513),ISNUMBER(L2513),ABS(L2513-(K2513-IF(ISNUMBER(N2513),N2513,0)-IF(ISNUMBER(O2513),O2513,0)+IF(ISNUMBER(P2513),P2513,0)))&lt;=Summary!$B$2),"Passes using beginning_balance - PreV_ETB differs from beginning_balance",IF(AND(ISNUMBER(O2513),O2513&lt;0,ABS(L2513-(Q2513-IF(ISNUMBER(N2513),N2513,0)+IF(ISNUMBER(P2513),P2513,0)))&lt;=Summary!$B$2),"Negative realized loss not applied - check sign",IF(R2513&lt;0,"Principal paid exceeds prior balance",IF(AND(L2513&gt;Q2513,NOT(ISNUMBER(P2513))),"Balance increased but no Deferred_interest reported",IF(L2513&gt;R2513,"Reported balance higher than expected (missing increase/OC build)","Reported balance lower than expected (missing decrease)"))))),""))</f>
        <v/>
      </c>
    </row>
    <row r="2514" customFormat="false" ht="15" hidden="false" customHeight="false" outlineLevel="0" collapsed="false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9"/>
      <c r="L2514" s="9"/>
      <c r="M2514" s="9"/>
      <c r="N2514" s="9"/>
      <c r="O2514" s="9"/>
      <c r="P2514" s="9"/>
      <c r="Q2514" s="9"/>
      <c r="R2514" s="9" t="str">
        <f aca="false">IF(AND(A2514&lt;&gt;"",ISNUMBER(Q2514),ISNUMBER(L2514)),ROUND(Q2514-IF(ISNUMBER(N2514),N2514,0)-IF(ISNUMBER(O2514),O2514,0)+IF(ISNUMBER(P2514),P2514,0),2),"")</f>
        <v/>
      </c>
      <c r="S2514" s="9" t="str">
        <f aca="false">IF(R2514="","",ROUND(L2514-R2514,2))</f>
        <v/>
      </c>
      <c r="T2514" s="8" t="str">
        <f aca="false">IF(A2514="","",IF(S2514="","BYPASS",IF(ABS(S2514)&lt;=Summary!$B$2,"PASS","FAIL")))</f>
        <v/>
      </c>
      <c r="U2514" s="8" t="str">
        <f aca="false">IF(T2514="BYPASS",IF(NOT(ISNUMBER(Q2514)),"PreV_ETB missing","End_tr_balance missing"),IF(T2514="FAIL",IF(AND(ISNUMBER(K2514),ISNUMBER(L2514),ABS(L2514-(K2514-IF(ISNUMBER(N2514),N2514,0)-IF(ISNUMBER(O2514),O2514,0)+IF(ISNUMBER(P2514),P2514,0)))&lt;=Summary!$B$2),"Passes using beginning_balance - PreV_ETB differs from beginning_balance",IF(AND(ISNUMBER(O2514),O2514&lt;0,ABS(L2514-(Q2514-IF(ISNUMBER(N2514),N2514,0)+IF(ISNUMBER(P2514),P2514,0)))&lt;=Summary!$B$2),"Negative realized loss not applied - check sign",IF(R2514&lt;0,"Principal paid exceeds prior balance",IF(AND(L2514&gt;Q2514,NOT(ISNUMBER(P2514))),"Balance increased but no Deferred_interest reported",IF(L2514&gt;R2514,"Reported balance higher than expected (missing increase/OC build)","Reported balance lower than expected (missing decrease)"))))),""))</f>
        <v/>
      </c>
    </row>
    <row r="2515" customFormat="false" ht="15" hidden="false" customHeight="false" outlineLevel="0" collapsed="false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9"/>
      <c r="L2515" s="9"/>
      <c r="M2515" s="9"/>
      <c r="N2515" s="9"/>
      <c r="O2515" s="9"/>
      <c r="P2515" s="9"/>
      <c r="Q2515" s="9"/>
      <c r="R2515" s="9" t="str">
        <f aca="false">IF(AND(A2515&lt;&gt;"",ISNUMBER(Q2515),ISNUMBER(L2515)),ROUND(Q2515-IF(ISNUMBER(N2515),N2515,0)-IF(ISNUMBER(O2515),O2515,0)+IF(ISNUMBER(P2515),P2515,0),2),"")</f>
        <v/>
      </c>
      <c r="S2515" s="9" t="str">
        <f aca="false">IF(R2515="","",ROUND(L2515-R2515,2))</f>
        <v/>
      </c>
      <c r="T2515" s="8" t="str">
        <f aca="false">IF(A2515="","",IF(S2515="","BYPASS",IF(ABS(S2515)&lt;=Summary!$B$2,"PASS","FAIL")))</f>
        <v/>
      </c>
      <c r="U2515" s="8" t="str">
        <f aca="false">IF(T2515="BYPASS",IF(NOT(ISNUMBER(Q2515)),"PreV_ETB missing","End_tr_balance missing"),IF(T2515="FAIL",IF(AND(ISNUMBER(K2515),ISNUMBER(L2515),ABS(L2515-(K2515-IF(ISNUMBER(N2515),N2515,0)-IF(ISNUMBER(O2515),O2515,0)+IF(ISNUMBER(P2515),P2515,0)))&lt;=Summary!$B$2),"Passes using beginning_balance - PreV_ETB differs from beginning_balance",IF(AND(ISNUMBER(O2515),O2515&lt;0,ABS(L2515-(Q2515-IF(ISNUMBER(N2515),N2515,0)+IF(ISNUMBER(P2515),P2515,0)))&lt;=Summary!$B$2),"Negative realized loss not applied - check sign",IF(R2515&lt;0,"Principal paid exceeds prior balance",IF(AND(L2515&gt;Q2515,NOT(ISNUMBER(P2515))),"Balance increased but no Deferred_interest reported",IF(L2515&gt;R2515,"Reported balance higher than expected (missing increase/OC build)","Reported balance lower than expected (missing decrease)"))))),""))</f>
        <v/>
      </c>
    </row>
    <row r="2516" customFormat="false" ht="15" hidden="false" customHeight="false" outlineLevel="0" collapsed="false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9"/>
      <c r="L2516" s="9"/>
      <c r="M2516" s="9"/>
      <c r="N2516" s="9"/>
      <c r="O2516" s="9"/>
      <c r="P2516" s="9"/>
      <c r="Q2516" s="9"/>
      <c r="R2516" s="9" t="str">
        <f aca="false">IF(AND(A2516&lt;&gt;"",ISNUMBER(Q2516),ISNUMBER(L2516)),ROUND(Q2516-IF(ISNUMBER(N2516),N2516,0)-IF(ISNUMBER(O2516),O2516,0)+IF(ISNUMBER(P2516),P2516,0),2),"")</f>
        <v/>
      </c>
      <c r="S2516" s="9" t="str">
        <f aca="false">IF(R2516="","",ROUND(L2516-R2516,2))</f>
        <v/>
      </c>
      <c r="T2516" s="8" t="str">
        <f aca="false">IF(A2516="","",IF(S2516="","BYPASS",IF(ABS(S2516)&lt;=Summary!$B$2,"PASS","FAIL")))</f>
        <v/>
      </c>
      <c r="U2516" s="8" t="str">
        <f aca="false">IF(T2516="BYPASS",IF(NOT(ISNUMBER(Q2516)),"PreV_ETB missing","End_tr_balance missing"),IF(T2516="FAIL",IF(AND(ISNUMBER(K2516),ISNUMBER(L2516),ABS(L2516-(K2516-IF(ISNUMBER(N2516),N2516,0)-IF(ISNUMBER(O2516),O2516,0)+IF(ISNUMBER(P2516),P2516,0)))&lt;=Summary!$B$2),"Passes using beginning_balance - PreV_ETB differs from beginning_balance",IF(AND(ISNUMBER(O2516),O2516&lt;0,ABS(L2516-(Q2516-IF(ISNUMBER(N2516),N2516,0)+IF(ISNUMBER(P2516),P2516,0)))&lt;=Summary!$B$2),"Negative realized loss not applied - check sign",IF(R2516&lt;0,"Principal paid exceeds prior balance",IF(AND(L2516&gt;Q2516,NOT(ISNUMBER(P2516))),"Balance increased but no Deferred_interest reported",IF(L2516&gt;R2516,"Reported balance higher than expected (missing increase/OC build)","Reported balance lower than expected (missing decrease)"))))),""))</f>
        <v/>
      </c>
    </row>
    <row r="2517" customFormat="false" ht="15" hidden="false" customHeight="false" outlineLevel="0" collapsed="false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9"/>
      <c r="L2517" s="9"/>
      <c r="M2517" s="9"/>
      <c r="N2517" s="9"/>
      <c r="O2517" s="9"/>
      <c r="P2517" s="9"/>
      <c r="Q2517" s="9"/>
      <c r="R2517" s="9" t="str">
        <f aca="false">IF(AND(A2517&lt;&gt;"",ISNUMBER(Q2517),ISNUMBER(L2517)),ROUND(Q2517-IF(ISNUMBER(N2517),N2517,0)-IF(ISNUMBER(O2517),O2517,0)+IF(ISNUMBER(P2517),P2517,0),2),"")</f>
        <v/>
      </c>
      <c r="S2517" s="9" t="str">
        <f aca="false">IF(R2517="","",ROUND(L2517-R2517,2))</f>
        <v/>
      </c>
      <c r="T2517" s="8" t="str">
        <f aca="false">IF(A2517="","",IF(S2517="","BYPASS",IF(ABS(S2517)&lt;=Summary!$B$2,"PASS","FAIL")))</f>
        <v/>
      </c>
      <c r="U2517" s="8" t="str">
        <f aca="false">IF(T2517="BYPASS",IF(NOT(ISNUMBER(Q2517)),"PreV_ETB missing","End_tr_balance missing"),IF(T2517="FAIL",IF(AND(ISNUMBER(K2517),ISNUMBER(L2517),ABS(L2517-(K2517-IF(ISNUMBER(N2517),N2517,0)-IF(ISNUMBER(O2517),O2517,0)+IF(ISNUMBER(P2517),P2517,0)))&lt;=Summary!$B$2),"Passes using beginning_balance - PreV_ETB differs from beginning_balance",IF(AND(ISNUMBER(O2517),O2517&lt;0,ABS(L2517-(Q2517-IF(ISNUMBER(N2517),N2517,0)+IF(ISNUMBER(P2517),P2517,0)))&lt;=Summary!$B$2),"Negative realized loss not applied - check sign",IF(R2517&lt;0,"Principal paid exceeds prior balance",IF(AND(L2517&gt;Q2517,NOT(ISNUMBER(P2517))),"Balance increased but no Deferred_interest reported",IF(L2517&gt;R2517,"Reported balance higher than expected (missing increase/OC build)","Reported balance lower than expected (missing decrease)"))))),""))</f>
        <v/>
      </c>
    </row>
    <row r="2518" customFormat="false" ht="15" hidden="false" customHeight="false" outlineLevel="0" collapsed="false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9"/>
      <c r="L2518" s="9"/>
      <c r="M2518" s="9"/>
      <c r="N2518" s="9"/>
      <c r="O2518" s="9"/>
      <c r="P2518" s="9"/>
      <c r="Q2518" s="9"/>
      <c r="R2518" s="9" t="str">
        <f aca="false">IF(AND(A2518&lt;&gt;"",ISNUMBER(Q2518),ISNUMBER(L2518)),ROUND(Q2518-IF(ISNUMBER(N2518),N2518,0)-IF(ISNUMBER(O2518),O2518,0)+IF(ISNUMBER(P2518),P2518,0),2),"")</f>
        <v/>
      </c>
      <c r="S2518" s="9" t="str">
        <f aca="false">IF(R2518="","",ROUND(L2518-R2518,2))</f>
        <v/>
      </c>
      <c r="T2518" s="8" t="str">
        <f aca="false">IF(A2518="","",IF(S2518="","BYPASS",IF(ABS(S2518)&lt;=Summary!$B$2,"PASS","FAIL")))</f>
        <v/>
      </c>
      <c r="U2518" s="8" t="str">
        <f aca="false">IF(T2518="BYPASS",IF(NOT(ISNUMBER(Q2518)),"PreV_ETB missing","End_tr_balance missing"),IF(T2518="FAIL",IF(AND(ISNUMBER(K2518),ISNUMBER(L2518),ABS(L2518-(K2518-IF(ISNUMBER(N2518),N2518,0)-IF(ISNUMBER(O2518),O2518,0)+IF(ISNUMBER(P2518),P2518,0)))&lt;=Summary!$B$2),"Passes using beginning_balance - PreV_ETB differs from beginning_balance",IF(AND(ISNUMBER(O2518),O2518&lt;0,ABS(L2518-(Q2518-IF(ISNUMBER(N2518),N2518,0)+IF(ISNUMBER(P2518),P2518,0)))&lt;=Summary!$B$2),"Negative realized loss not applied - check sign",IF(R2518&lt;0,"Principal paid exceeds prior balance",IF(AND(L2518&gt;Q2518,NOT(ISNUMBER(P2518))),"Balance increased but no Deferred_interest reported",IF(L2518&gt;R2518,"Reported balance higher than expected (missing increase/OC build)","Reported balance lower than expected (missing decrease)"))))),""))</f>
        <v/>
      </c>
    </row>
    <row r="2519" customFormat="false" ht="15" hidden="false" customHeight="false" outlineLevel="0" collapsed="false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9"/>
      <c r="L2519" s="9"/>
      <c r="M2519" s="9"/>
      <c r="N2519" s="9"/>
      <c r="O2519" s="9"/>
      <c r="P2519" s="9"/>
      <c r="Q2519" s="9"/>
      <c r="R2519" s="9" t="str">
        <f aca="false">IF(AND(A2519&lt;&gt;"",ISNUMBER(Q2519),ISNUMBER(L2519)),ROUND(Q2519-IF(ISNUMBER(N2519),N2519,0)-IF(ISNUMBER(O2519),O2519,0)+IF(ISNUMBER(P2519),P2519,0),2),"")</f>
        <v/>
      </c>
      <c r="S2519" s="9" t="str">
        <f aca="false">IF(R2519="","",ROUND(L2519-R2519,2))</f>
        <v/>
      </c>
      <c r="T2519" s="8" t="str">
        <f aca="false">IF(A2519="","",IF(S2519="","BYPASS",IF(ABS(S2519)&lt;=Summary!$B$2,"PASS","FAIL")))</f>
        <v/>
      </c>
      <c r="U2519" s="8" t="str">
        <f aca="false">IF(T2519="BYPASS",IF(NOT(ISNUMBER(Q2519)),"PreV_ETB missing","End_tr_balance missing"),IF(T2519="FAIL",IF(AND(ISNUMBER(K2519),ISNUMBER(L2519),ABS(L2519-(K2519-IF(ISNUMBER(N2519),N2519,0)-IF(ISNUMBER(O2519),O2519,0)+IF(ISNUMBER(P2519),P2519,0)))&lt;=Summary!$B$2),"Passes using beginning_balance - PreV_ETB differs from beginning_balance",IF(AND(ISNUMBER(O2519),O2519&lt;0,ABS(L2519-(Q2519-IF(ISNUMBER(N2519),N2519,0)+IF(ISNUMBER(P2519),P2519,0)))&lt;=Summary!$B$2),"Negative realized loss not applied - check sign",IF(R2519&lt;0,"Principal paid exceeds prior balance",IF(AND(L2519&gt;Q2519,NOT(ISNUMBER(P2519))),"Balance increased but no Deferred_interest reported",IF(L2519&gt;R2519,"Reported balance higher than expected (missing increase/OC build)","Reported balance lower than expected (missing decrease)"))))),""))</f>
        <v/>
      </c>
    </row>
    <row r="2520" customFormat="false" ht="15" hidden="false" customHeight="false" outlineLevel="0" collapsed="false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9"/>
      <c r="L2520" s="9"/>
      <c r="M2520" s="9"/>
      <c r="N2520" s="9"/>
      <c r="O2520" s="9"/>
      <c r="P2520" s="9"/>
      <c r="Q2520" s="9"/>
      <c r="R2520" s="9" t="str">
        <f aca="false">IF(AND(A2520&lt;&gt;"",ISNUMBER(Q2520),ISNUMBER(L2520)),ROUND(Q2520-IF(ISNUMBER(N2520),N2520,0)-IF(ISNUMBER(O2520),O2520,0)+IF(ISNUMBER(P2520),P2520,0),2),"")</f>
        <v/>
      </c>
      <c r="S2520" s="9" t="str">
        <f aca="false">IF(R2520="","",ROUND(L2520-R2520,2))</f>
        <v/>
      </c>
      <c r="T2520" s="8" t="str">
        <f aca="false">IF(A2520="","",IF(S2520="","BYPASS",IF(ABS(S2520)&lt;=Summary!$B$2,"PASS","FAIL")))</f>
        <v/>
      </c>
      <c r="U2520" s="8" t="str">
        <f aca="false">IF(T2520="BYPASS",IF(NOT(ISNUMBER(Q2520)),"PreV_ETB missing","End_tr_balance missing"),IF(T2520="FAIL",IF(AND(ISNUMBER(K2520),ISNUMBER(L2520),ABS(L2520-(K2520-IF(ISNUMBER(N2520),N2520,0)-IF(ISNUMBER(O2520),O2520,0)+IF(ISNUMBER(P2520),P2520,0)))&lt;=Summary!$B$2),"Passes using beginning_balance - PreV_ETB differs from beginning_balance",IF(AND(ISNUMBER(O2520),O2520&lt;0,ABS(L2520-(Q2520-IF(ISNUMBER(N2520),N2520,0)+IF(ISNUMBER(P2520),P2520,0)))&lt;=Summary!$B$2),"Negative realized loss not applied - check sign",IF(R2520&lt;0,"Principal paid exceeds prior balance",IF(AND(L2520&gt;Q2520,NOT(ISNUMBER(P2520))),"Balance increased but no Deferred_interest reported",IF(L2520&gt;R2520,"Reported balance higher than expected (missing increase/OC build)","Reported balance lower than expected (missing decrease)"))))),""))</f>
        <v/>
      </c>
    </row>
    <row r="2521" customFormat="false" ht="15" hidden="false" customHeight="false" outlineLevel="0" collapsed="false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9"/>
      <c r="L2521" s="9"/>
      <c r="M2521" s="9"/>
      <c r="N2521" s="9"/>
      <c r="O2521" s="9"/>
      <c r="P2521" s="9"/>
      <c r="Q2521" s="9"/>
      <c r="R2521" s="9" t="str">
        <f aca="false">IF(AND(A2521&lt;&gt;"",ISNUMBER(Q2521),ISNUMBER(L2521)),ROUND(Q2521-IF(ISNUMBER(N2521),N2521,0)-IF(ISNUMBER(O2521),O2521,0)+IF(ISNUMBER(P2521),P2521,0),2),"")</f>
        <v/>
      </c>
      <c r="S2521" s="9" t="str">
        <f aca="false">IF(R2521="","",ROUND(L2521-R2521,2))</f>
        <v/>
      </c>
      <c r="T2521" s="8" t="str">
        <f aca="false">IF(A2521="","",IF(S2521="","BYPASS",IF(ABS(S2521)&lt;=Summary!$B$2,"PASS","FAIL")))</f>
        <v/>
      </c>
      <c r="U2521" s="8" t="str">
        <f aca="false">IF(T2521="BYPASS",IF(NOT(ISNUMBER(Q2521)),"PreV_ETB missing","End_tr_balance missing"),IF(T2521="FAIL",IF(AND(ISNUMBER(K2521),ISNUMBER(L2521),ABS(L2521-(K2521-IF(ISNUMBER(N2521),N2521,0)-IF(ISNUMBER(O2521),O2521,0)+IF(ISNUMBER(P2521),P2521,0)))&lt;=Summary!$B$2),"Passes using beginning_balance - PreV_ETB differs from beginning_balance",IF(AND(ISNUMBER(O2521),O2521&lt;0,ABS(L2521-(Q2521-IF(ISNUMBER(N2521),N2521,0)+IF(ISNUMBER(P2521),P2521,0)))&lt;=Summary!$B$2),"Negative realized loss not applied - check sign",IF(R2521&lt;0,"Principal paid exceeds prior balance",IF(AND(L2521&gt;Q2521,NOT(ISNUMBER(P2521))),"Balance increased but no Deferred_interest reported",IF(L2521&gt;R2521,"Reported balance higher than expected (missing increase/OC build)","Reported balance lower than expected (missing decrease)"))))),""))</f>
        <v/>
      </c>
    </row>
    <row r="2522" customFormat="false" ht="15" hidden="false" customHeight="false" outlineLevel="0" collapsed="false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9"/>
      <c r="L2522" s="9"/>
      <c r="M2522" s="9"/>
      <c r="N2522" s="9"/>
      <c r="O2522" s="9"/>
      <c r="P2522" s="9"/>
      <c r="Q2522" s="9"/>
      <c r="R2522" s="9" t="str">
        <f aca="false">IF(AND(A2522&lt;&gt;"",ISNUMBER(Q2522),ISNUMBER(L2522)),ROUND(Q2522-IF(ISNUMBER(N2522),N2522,0)-IF(ISNUMBER(O2522),O2522,0)+IF(ISNUMBER(P2522),P2522,0),2),"")</f>
        <v/>
      </c>
      <c r="S2522" s="9" t="str">
        <f aca="false">IF(R2522="","",ROUND(L2522-R2522,2))</f>
        <v/>
      </c>
      <c r="T2522" s="8" t="str">
        <f aca="false">IF(A2522="","",IF(S2522="","BYPASS",IF(ABS(S2522)&lt;=Summary!$B$2,"PASS","FAIL")))</f>
        <v/>
      </c>
      <c r="U2522" s="8" t="str">
        <f aca="false">IF(T2522="BYPASS",IF(NOT(ISNUMBER(Q2522)),"PreV_ETB missing","End_tr_balance missing"),IF(T2522="FAIL",IF(AND(ISNUMBER(K2522),ISNUMBER(L2522),ABS(L2522-(K2522-IF(ISNUMBER(N2522),N2522,0)-IF(ISNUMBER(O2522),O2522,0)+IF(ISNUMBER(P2522),P2522,0)))&lt;=Summary!$B$2),"Passes using beginning_balance - PreV_ETB differs from beginning_balance",IF(AND(ISNUMBER(O2522),O2522&lt;0,ABS(L2522-(Q2522-IF(ISNUMBER(N2522),N2522,0)+IF(ISNUMBER(P2522),P2522,0)))&lt;=Summary!$B$2),"Negative realized loss not applied - check sign",IF(R2522&lt;0,"Principal paid exceeds prior balance",IF(AND(L2522&gt;Q2522,NOT(ISNUMBER(P2522))),"Balance increased but no Deferred_interest reported",IF(L2522&gt;R2522,"Reported balance higher than expected (missing increase/OC build)","Reported balance lower than expected (missing decrease)"))))),""))</f>
        <v/>
      </c>
    </row>
    <row r="2523" customFormat="false" ht="15" hidden="false" customHeight="false" outlineLevel="0" collapsed="false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9"/>
      <c r="L2523" s="9"/>
      <c r="M2523" s="9"/>
      <c r="N2523" s="9"/>
      <c r="O2523" s="9"/>
      <c r="P2523" s="9"/>
      <c r="Q2523" s="9"/>
      <c r="R2523" s="9" t="str">
        <f aca="false">IF(AND(A2523&lt;&gt;"",ISNUMBER(Q2523),ISNUMBER(L2523)),ROUND(Q2523-IF(ISNUMBER(N2523),N2523,0)-IF(ISNUMBER(O2523),O2523,0)+IF(ISNUMBER(P2523),P2523,0),2),"")</f>
        <v/>
      </c>
      <c r="S2523" s="9" t="str">
        <f aca="false">IF(R2523="","",ROUND(L2523-R2523,2))</f>
        <v/>
      </c>
      <c r="T2523" s="8" t="str">
        <f aca="false">IF(A2523="","",IF(S2523="","BYPASS",IF(ABS(S2523)&lt;=Summary!$B$2,"PASS","FAIL")))</f>
        <v/>
      </c>
      <c r="U2523" s="8" t="str">
        <f aca="false">IF(T2523="BYPASS",IF(NOT(ISNUMBER(Q2523)),"PreV_ETB missing","End_tr_balance missing"),IF(T2523="FAIL",IF(AND(ISNUMBER(K2523),ISNUMBER(L2523),ABS(L2523-(K2523-IF(ISNUMBER(N2523),N2523,0)-IF(ISNUMBER(O2523),O2523,0)+IF(ISNUMBER(P2523),P2523,0)))&lt;=Summary!$B$2),"Passes using beginning_balance - PreV_ETB differs from beginning_balance",IF(AND(ISNUMBER(O2523),O2523&lt;0,ABS(L2523-(Q2523-IF(ISNUMBER(N2523),N2523,0)+IF(ISNUMBER(P2523),P2523,0)))&lt;=Summary!$B$2),"Negative realized loss not applied - check sign",IF(R2523&lt;0,"Principal paid exceeds prior balance",IF(AND(L2523&gt;Q2523,NOT(ISNUMBER(P2523))),"Balance increased but no Deferred_interest reported",IF(L2523&gt;R2523,"Reported balance higher than expected (missing increase/OC build)","Reported balance lower than expected (missing decrease)"))))),""))</f>
        <v/>
      </c>
    </row>
    <row r="2524" customFormat="false" ht="15" hidden="false" customHeight="false" outlineLevel="0" collapsed="false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9"/>
      <c r="L2524" s="9"/>
      <c r="M2524" s="9"/>
      <c r="N2524" s="9"/>
      <c r="O2524" s="9"/>
      <c r="P2524" s="9"/>
      <c r="Q2524" s="9"/>
      <c r="R2524" s="9" t="str">
        <f aca="false">IF(AND(A2524&lt;&gt;"",ISNUMBER(Q2524),ISNUMBER(L2524)),ROUND(Q2524-IF(ISNUMBER(N2524),N2524,0)-IF(ISNUMBER(O2524),O2524,0)+IF(ISNUMBER(P2524),P2524,0),2),"")</f>
        <v/>
      </c>
      <c r="S2524" s="9" t="str">
        <f aca="false">IF(R2524="","",ROUND(L2524-R2524,2))</f>
        <v/>
      </c>
      <c r="T2524" s="8" t="str">
        <f aca="false">IF(A2524="","",IF(S2524="","BYPASS",IF(ABS(S2524)&lt;=Summary!$B$2,"PASS","FAIL")))</f>
        <v/>
      </c>
      <c r="U2524" s="8" t="str">
        <f aca="false">IF(T2524="BYPASS",IF(NOT(ISNUMBER(Q2524)),"PreV_ETB missing","End_tr_balance missing"),IF(T2524="FAIL",IF(AND(ISNUMBER(K2524),ISNUMBER(L2524),ABS(L2524-(K2524-IF(ISNUMBER(N2524),N2524,0)-IF(ISNUMBER(O2524),O2524,0)+IF(ISNUMBER(P2524),P2524,0)))&lt;=Summary!$B$2),"Passes using beginning_balance - PreV_ETB differs from beginning_balance",IF(AND(ISNUMBER(O2524),O2524&lt;0,ABS(L2524-(Q2524-IF(ISNUMBER(N2524),N2524,0)+IF(ISNUMBER(P2524),P2524,0)))&lt;=Summary!$B$2),"Negative realized loss not applied - check sign",IF(R2524&lt;0,"Principal paid exceeds prior balance",IF(AND(L2524&gt;Q2524,NOT(ISNUMBER(P2524))),"Balance increased but no Deferred_interest reported",IF(L2524&gt;R2524,"Reported balance higher than expected (missing increase/OC build)","Reported balance lower than expected (missing decrease)"))))),""))</f>
        <v/>
      </c>
    </row>
    <row r="2525" customFormat="false" ht="15" hidden="false" customHeight="false" outlineLevel="0" collapsed="false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9"/>
      <c r="L2525" s="9"/>
      <c r="M2525" s="9"/>
      <c r="N2525" s="9"/>
      <c r="O2525" s="9"/>
      <c r="P2525" s="9"/>
      <c r="Q2525" s="9"/>
      <c r="R2525" s="9" t="str">
        <f aca="false">IF(AND(A2525&lt;&gt;"",ISNUMBER(Q2525),ISNUMBER(L2525)),ROUND(Q2525-IF(ISNUMBER(N2525),N2525,0)-IF(ISNUMBER(O2525),O2525,0)+IF(ISNUMBER(P2525),P2525,0),2),"")</f>
        <v/>
      </c>
      <c r="S2525" s="9" t="str">
        <f aca="false">IF(R2525="","",ROUND(L2525-R2525,2))</f>
        <v/>
      </c>
      <c r="T2525" s="8" t="str">
        <f aca="false">IF(A2525="","",IF(S2525="","BYPASS",IF(ABS(S2525)&lt;=Summary!$B$2,"PASS","FAIL")))</f>
        <v/>
      </c>
      <c r="U2525" s="8" t="str">
        <f aca="false">IF(T2525="BYPASS",IF(NOT(ISNUMBER(Q2525)),"PreV_ETB missing","End_tr_balance missing"),IF(T2525="FAIL",IF(AND(ISNUMBER(K2525),ISNUMBER(L2525),ABS(L2525-(K2525-IF(ISNUMBER(N2525),N2525,0)-IF(ISNUMBER(O2525),O2525,0)+IF(ISNUMBER(P2525),P2525,0)))&lt;=Summary!$B$2),"Passes using beginning_balance - PreV_ETB differs from beginning_balance",IF(AND(ISNUMBER(O2525),O2525&lt;0,ABS(L2525-(Q2525-IF(ISNUMBER(N2525),N2525,0)+IF(ISNUMBER(P2525),P2525,0)))&lt;=Summary!$B$2),"Negative realized loss not applied - check sign",IF(R2525&lt;0,"Principal paid exceeds prior balance",IF(AND(L2525&gt;Q2525,NOT(ISNUMBER(P2525))),"Balance increased but no Deferred_interest reported",IF(L2525&gt;R2525,"Reported balance higher than expected (missing increase/OC build)","Reported balance lower than expected (missing decrease)"))))),""))</f>
        <v/>
      </c>
    </row>
    <row r="2526" customFormat="false" ht="15" hidden="false" customHeight="false" outlineLevel="0" collapsed="false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9"/>
      <c r="L2526" s="9"/>
      <c r="M2526" s="9"/>
      <c r="N2526" s="9"/>
      <c r="O2526" s="9"/>
      <c r="P2526" s="9"/>
      <c r="Q2526" s="9"/>
      <c r="R2526" s="9" t="str">
        <f aca="false">IF(AND(A2526&lt;&gt;"",ISNUMBER(Q2526),ISNUMBER(L2526)),ROUND(Q2526-IF(ISNUMBER(N2526),N2526,0)-IF(ISNUMBER(O2526),O2526,0)+IF(ISNUMBER(P2526),P2526,0),2),"")</f>
        <v/>
      </c>
      <c r="S2526" s="9" t="str">
        <f aca="false">IF(R2526="","",ROUND(L2526-R2526,2))</f>
        <v/>
      </c>
      <c r="T2526" s="8" t="str">
        <f aca="false">IF(A2526="","",IF(S2526="","BYPASS",IF(ABS(S2526)&lt;=Summary!$B$2,"PASS","FAIL")))</f>
        <v/>
      </c>
      <c r="U2526" s="8" t="str">
        <f aca="false">IF(T2526="BYPASS",IF(NOT(ISNUMBER(Q2526)),"PreV_ETB missing","End_tr_balance missing"),IF(T2526="FAIL",IF(AND(ISNUMBER(K2526),ISNUMBER(L2526),ABS(L2526-(K2526-IF(ISNUMBER(N2526),N2526,0)-IF(ISNUMBER(O2526),O2526,0)+IF(ISNUMBER(P2526),P2526,0)))&lt;=Summary!$B$2),"Passes using beginning_balance - PreV_ETB differs from beginning_balance",IF(AND(ISNUMBER(O2526),O2526&lt;0,ABS(L2526-(Q2526-IF(ISNUMBER(N2526),N2526,0)+IF(ISNUMBER(P2526),P2526,0)))&lt;=Summary!$B$2),"Negative realized loss not applied - check sign",IF(R2526&lt;0,"Principal paid exceeds prior balance",IF(AND(L2526&gt;Q2526,NOT(ISNUMBER(P2526))),"Balance increased but no Deferred_interest reported",IF(L2526&gt;R2526,"Reported balance higher than expected (missing increase/OC build)","Reported balance lower than expected (missing decrease)"))))),""))</f>
        <v/>
      </c>
    </row>
    <row r="2527" customFormat="false" ht="15" hidden="false" customHeight="false" outlineLevel="0" collapsed="false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9"/>
      <c r="L2527" s="9"/>
      <c r="M2527" s="9"/>
      <c r="N2527" s="9"/>
      <c r="O2527" s="9"/>
      <c r="P2527" s="9"/>
      <c r="Q2527" s="9"/>
      <c r="R2527" s="9" t="str">
        <f aca="false">IF(AND(A2527&lt;&gt;"",ISNUMBER(Q2527),ISNUMBER(L2527)),ROUND(Q2527-IF(ISNUMBER(N2527),N2527,0)-IF(ISNUMBER(O2527),O2527,0)+IF(ISNUMBER(P2527),P2527,0),2),"")</f>
        <v/>
      </c>
      <c r="S2527" s="9" t="str">
        <f aca="false">IF(R2527="","",ROUND(L2527-R2527,2))</f>
        <v/>
      </c>
      <c r="T2527" s="8" t="str">
        <f aca="false">IF(A2527="","",IF(S2527="","BYPASS",IF(ABS(S2527)&lt;=Summary!$B$2,"PASS","FAIL")))</f>
        <v/>
      </c>
      <c r="U2527" s="8" t="str">
        <f aca="false">IF(T2527="BYPASS",IF(NOT(ISNUMBER(Q2527)),"PreV_ETB missing","End_tr_balance missing"),IF(T2527="FAIL",IF(AND(ISNUMBER(K2527),ISNUMBER(L2527),ABS(L2527-(K2527-IF(ISNUMBER(N2527),N2527,0)-IF(ISNUMBER(O2527),O2527,0)+IF(ISNUMBER(P2527),P2527,0)))&lt;=Summary!$B$2),"Passes using beginning_balance - PreV_ETB differs from beginning_balance",IF(AND(ISNUMBER(O2527),O2527&lt;0,ABS(L2527-(Q2527-IF(ISNUMBER(N2527),N2527,0)+IF(ISNUMBER(P2527),P2527,0)))&lt;=Summary!$B$2),"Negative realized loss not applied - check sign",IF(R2527&lt;0,"Principal paid exceeds prior balance",IF(AND(L2527&gt;Q2527,NOT(ISNUMBER(P2527))),"Balance increased but no Deferred_interest reported",IF(L2527&gt;R2527,"Reported balance higher than expected (missing increase/OC build)","Reported balance lower than expected (missing decrease)"))))),""))</f>
        <v/>
      </c>
    </row>
    <row r="2528" customFormat="false" ht="15" hidden="false" customHeight="false" outlineLevel="0" collapsed="false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9"/>
      <c r="L2528" s="9"/>
      <c r="M2528" s="9"/>
      <c r="N2528" s="9"/>
      <c r="O2528" s="9"/>
      <c r="P2528" s="9"/>
      <c r="Q2528" s="9"/>
      <c r="R2528" s="9" t="str">
        <f aca="false">IF(AND(A2528&lt;&gt;"",ISNUMBER(Q2528),ISNUMBER(L2528)),ROUND(Q2528-IF(ISNUMBER(N2528),N2528,0)-IF(ISNUMBER(O2528),O2528,0)+IF(ISNUMBER(P2528),P2528,0),2),"")</f>
        <v/>
      </c>
      <c r="S2528" s="9" t="str">
        <f aca="false">IF(R2528="","",ROUND(L2528-R2528,2))</f>
        <v/>
      </c>
      <c r="T2528" s="8" t="str">
        <f aca="false">IF(A2528="","",IF(S2528="","BYPASS",IF(ABS(S2528)&lt;=Summary!$B$2,"PASS","FAIL")))</f>
        <v/>
      </c>
      <c r="U2528" s="8" t="str">
        <f aca="false">IF(T2528="BYPASS",IF(NOT(ISNUMBER(Q2528)),"PreV_ETB missing","End_tr_balance missing"),IF(T2528="FAIL",IF(AND(ISNUMBER(K2528),ISNUMBER(L2528),ABS(L2528-(K2528-IF(ISNUMBER(N2528),N2528,0)-IF(ISNUMBER(O2528),O2528,0)+IF(ISNUMBER(P2528),P2528,0)))&lt;=Summary!$B$2),"Passes using beginning_balance - PreV_ETB differs from beginning_balance",IF(AND(ISNUMBER(O2528),O2528&lt;0,ABS(L2528-(Q2528-IF(ISNUMBER(N2528),N2528,0)+IF(ISNUMBER(P2528),P2528,0)))&lt;=Summary!$B$2),"Negative realized loss not applied - check sign",IF(R2528&lt;0,"Principal paid exceeds prior balance",IF(AND(L2528&gt;Q2528,NOT(ISNUMBER(P2528))),"Balance increased but no Deferred_interest reported",IF(L2528&gt;R2528,"Reported balance higher than expected (missing increase/OC build)","Reported balance lower than expected (missing decrease)"))))),""))</f>
        <v/>
      </c>
    </row>
    <row r="2529" customFormat="false" ht="15" hidden="false" customHeight="false" outlineLevel="0" collapsed="false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9"/>
      <c r="L2529" s="9"/>
      <c r="M2529" s="9"/>
      <c r="N2529" s="9"/>
      <c r="O2529" s="9"/>
      <c r="P2529" s="9"/>
      <c r="Q2529" s="9"/>
      <c r="R2529" s="9" t="str">
        <f aca="false">IF(AND(A2529&lt;&gt;"",ISNUMBER(Q2529),ISNUMBER(L2529)),ROUND(Q2529-IF(ISNUMBER(N2529),N2529,0)-IF(ISNUMBER(O2529),O2529,0)+IF(ISNUMBER(P2529),P2529,0),2),"")</f>
        <v/>
      </c>
      <c r="S2529" s="9" t="str">
        <f aca="false">IF(R2529="","",ROUND(L2529-R2529,2))</f>
        <v/>
      </c>
      <c r="T2529" s="8" t="str">
        <f aca="false">IF(A2529="","",IF(S2529="","BYPASS",IF(ABS(S2529)&lt;=Summary!$B$2,"PASS","FAIL")))</f>
        <v/>
      </c>
      <c r="U2529" s="8" t="str">
        <f aca="false">IF(T2529="BYPASS",IF(NOT(ISNUMBER(Q2529)),"PreV_ETB missing","End_tr_balance missing"),IF(T2529="FAIL",IF(AND(ISNUMBER(K2529),ISNUMBER(L2529),ABS(L2529-(K2529-IF(ISNUMBER(N2529),N2529,0)-IF(ISNUMBER(O2529),O2529,0)+IF(ISNUMBER(P2529),P2529,0)))&lt;=Summary!$B$2),"Passes using beginning_balance - PreV_ETB differs from beginning_balance",IF(AND(ISNUMBER(O2529),O2529&lt;0,ABS(L2529-(Q2529-IF(ISNUMBER(N2529),N2529,0)+IF(ISNUMBER(P2529),P2529,0)))&lt;=Summary!$B$2),"Negative realized loss not applied - check sign",IF(R2529&lt;0,"Principal paid exceeds prior balance",IF(AND(L2529&gt;Q2529,NOT(ISNUMBER(P2529))),"Balance increased but no Deferred_interest reported",IF(L2529&gt;R2529,"Reported balance higher than expected (missing increase/OC build)","Reported balance lower than expected (missing decrease)"))))),""))</f>
        <v/>
      </c>
    </row>
    <row r="2530" customFormat="false" ht="15" hidden="false" customHeight="false" outlineLevel="0" collapsed="false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9"/>
      <c r="L2530" s="9"/>
      <c r="M2530" s="9"/>
      <c r="N2530" s="9"/>
      <c r="O2530" s="9"/>
      <c r="P2530" s="9"/>
      <c r="Q2530" s="9"/>
      <c r="R2530" s="9" t="str">
        <f aca="false">IF(AND(A2530&lt;&gt;"",ISNUMBER(Q2530),ISNUMBER(L2530)),ROUND(Q2530-IF(ISNUMBER(N2530),N2530,0)-IF(ISNUMBER(O2530),O2530,0)+IF(ISNUMBER(P2530),P2530,0),2),"")</f>
        <v/>
      </c>
      <c r="S2530" s="9" t="str">
        <f aca="false">IF(R2530="","",ROUND(L2530-R2530,2))</f>
        <v/>
      </c>
      <c r="T2530" s="8" t="str">
        <f aca="false">IF(A2530="","",IF(S2530="","BYPASS",IF(ABS(S2530)&lt;=Summary!$B$2,"PASS","FAIL")))</f>
        <v/>
      </c>
      <c r="U2530" s="8" t="str">
        <f aca="false">IF(T2530="BYPASS",IF(NOT(ISNUMBER(Q2530)),"PreV_ETB missing","End_tr_balance missing"),IF(T2530="FAIL",IF(AND(ISNUMBER(K2530),ISNUMBER(L2530),ABS(L2530-(K2530-IF(ISNUMBER(N2530),N2530,0)-IF(ISNUMBER(O2530),O2530,0)+IF(ISNUMBER(P2530),P2530,0)))&lt;=Summary!$B$2),"Passes using beginning_balance - PreV_ETB differs from beginning_balance",IF(AND(ISNUMBER(O2530),O2530&lt;0,ABS(L2530-(Q2530-IF(ISNUMBER(N2530),N2530,0)+IF(ISNUMBER(P2530),P2530,0)))&lt;=Summary!$B$2),"Negative realized loss not applied - check sign",IF(R2530&lt;0,"Principal paid exceeds prior balance",IF(AND(L2530&gt;Q2530,NOT(ISNUMBER(P2530))),"Balance increased but no Deferred_interest reported",IF(L2530&gt;R2530,"Reported balance higher than expected (missing increase/OC build)","Reported balance lower than expected (missing decrease)"))))),""))</f>
        <v/>
      </c>
    </row>
    <row r="2531" customFormat="false" ht="15" hidden="false" customHeight="false" outlineLevel="0" collapsed="false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9"/>
      <c r="L2531" s="9"/>
      <c r="M2531" s="9"/>
      <c r="N2531" s="9"/>
      <c r="O2531" s="9"/>
      <c r="P2531" s="9"/>
      <c r="Q2531" s="9"/>
      <c r="R2531" s="9" t="str">
        <f aca="false">IF(AND(A2531&lt;&gt;"",ISNUMBER(Q2531),ISNUMBER(L2531)),ROUND(Q2531-IF(ISNUMBER(N2531),N2531,0)-IF(ISNUMBER(O2531),O2531,0)+IF(ISNUMBER(P2531),P2531,0),2),"")</f>
        <v/>
      </c>
      <c r="S2531" s="9" t="str">
        <f aca="false">IF(R2531="","",ROUND(L2531-R2531,2))</f>
        <v/>
      </c>
      <c r="T2531" s="8" t="str">
        <f aca="false">IF(A2531="","",IF(S2531="","BYPASS",IF(ABS(S2531)&lt;=Summary!$B$2,"PASS","FAIL")))</f>
        <v/>
      </c>
      <c r="U2531" s="8" t="str">
        <f aca="false">IF(T2531="BYPASS",IF(NOT(ISNUMBER(Q2531)),"PreV_ETB missing","End_tr_balance missing"),IF(T2531="FAIL",IF(AND(ISNUMBER(K2531),ISNUMBER(L2531),ABS(L2531-(K2531-IF(ISNUMBER(N2531),N2531,0)-IF(ISNUMBER(O2531),O2531,0)+IF(ISNUMBER(P2531),P2531,0)))&lt;=Summary!$B$2),"Passes using beginning_balance - PreV_ETB differs from beginning_balance",IF(AND(ISNUMBER(O2531),O2531&lt;0,ABS(L2531-(Q2531-IF(ISNUMBER(N2531),N2531,0)+IF(ISNUMBER(P2531),P2531,0)))&lt;=Summary!$B$2),"Negative realized loss not applied - check sign",IF(R2531&lt;0,"Principal paid exceeds prior balance",IF(AND(L2531&gt;Q2531,NOT(ISNUMBER(P2531))),"Balance increased but no Deferred_interest reported",IF(L2531&gt;R2531,"Reported balance higher than expected (missing increase/OC build)","Reported balance lower than expected (missing decrease)"))))),""))</f>
        <v/>
      </c>
    </row>
    <row r="2532" customFormat="false" ht="15" hidden="false" customHeight="false" outlineLevel="0" collapsed="false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9"/>
      <c r="L2532" s="9"/>
      <c r="M2532" s="9"/>
      <c r="N2532" s="9"/>
      <c r="O2532" s="9"/>
      <c r="P2532" s="9"/>
      <c r="Q2532" s="9"/>
      <c r="R2532" s="9" t="str">
        <f aca="false">IF(AND(A2532&lt;&gt;"",ISNUMBER(Q2532),ISNUMBER(L2532)),ROUND(Q2532-IF(ISNUMBER(N2532),N2532,0)-IF(ISNUMBER(O2532),O2532,0)+IF(ISNUMBER(P2532),P2532,0),2),"")</f>
        <v/>
      </c>
      <c r="S2532" s="9" t="str">
        <f aca="false">IF(R2532="","",ROUND(L2532-R2532,2))</f>
        <v/>
      </c>
      <c r="T2532" s="8" t="str">
        <f aca="false">IF(A2532="","",IF(S2532="","BYPASS",IF(ABS(S2532)&lt;=Summary!$B$2,"PASS","FAIL")))</f>
        <v/>
      </c>
      <c r="U2532" s="8" t="str">
        <f aca="false">IF(T2532="BYPASS",IF(NOT(ISNUMBER(Q2532)),"PreV_ETB missing","End_tr_balance missing"),IF(T2532="FAIL",IF(AND(ISNUMBER(K2532),ISNUMBER(L2532),ABS(L2532-(K2532-IF(ISNUMBER(N2532),N2532,0)-IF(ISNUMBER(O2532),O2532,0)+IF(ISNUMBER(P2532),P2532,0)))&lt;=Summary!$B$2),"Passes using beginning_balance - PreV_ETB differs from beginning_balance",IF(AND(ISNUMBER(O2532),O2532&lt;0,ABS(L2532-(Q2532-IF(ISNUMBER(N2532),N2532,0)+IF(ISNUMBER(P2532),P2532,0)))&lt;=Summary!$B$2),"Negative realized loss not applied - check sign",IF(R2532&lt;0,"Principal paid exceeds prior balance",IF(AND(L2532&gt;Q2532,NOT(ISNUMBER(P2532))),"Balance increased but no Deferred_interest reported",IF(L2532&gt;R2532,"Reported balance higher than expected (missing increase/OC build)","Reported balance lower than expected (missing decrease)"))))),""))</f>
        <v/>
      </c>
    </row>
    <row r="2533" customFormat="false" ht="15" hidden="false" customHeight="false" outlineLevel="0" collapsed="false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9"/>
      <c r="L2533" s="9"/>
      <c r="M2533" s="9"/>
      <c r="N2533" s="9"/>
      <c r="O2533" s="9"/>
      <c r="P2533" s="9"/>
      <c r="Q2533" s="9"/>
      <c r="R2533" s="9" t="str">
        <f aca="false">IF(AND(A2533&lt;&gt;"",ISNUMBER(Q2533),ISNUMBER(L2533)),ROUND(Q2533-IF(ISNUMBER(N2533),N2533,0)-IF(ISNUMBER(O2533),O2533,0)+IF(ISNUMBER(P2533),P2533,0),2),"")</f>
        <v/>
      </c>
      <c r="S2533" s="9" t="str">
        <f aca="false">IF(R2533="","",ROUND(L2533-R2533,2))</f>
        <v/>
      </c>
      <c r="T2533" s="8" t="str">
        <f aca="false">IF(A2533="","",IF(S2533="","BYPASS",IF(ABS(S2533)&lt;=Summary!$B$2,"PASS","FAIL")))</f>
        <v/>
      </c>
      <c r="U2533" s="8" t="str">
        <f aca="false">IF(T2533="BYPASS",IF(NOT(ISNUMBER(Q2533)),"PreV_ETB missing","End_tr_balance missing"),IF(T2533="FAIL",IF(AND(ISNUMBER(K2533),ISNUMBER(L2533),ABS(L2533-(K2533-IF(ISNUMBER(N2533),N2533,0)-IF(ISNUMBER(O2533),O2533,0)+IF(ISNUMBER(P2533),P2533,0)))&lt;=Summary!$B$2),"Passes using beginning_balance - PreV_ETB differs from beginning_balance",IF(AND(ISNUMBER(O2533),O2533&lt;0,ABS(L2533-(Q2533-IF(ISNUMBER(N2533),N2533,0)+IF(ISNUMBER(P2533),P2533,0)))&lt;=Summary!$B$2),"Negative realized loss not applied - check sign",IF(R2533&lt;0,"Principal paid exceeds prior balance",IF(AND(L2533&gt;Q2533,NOT(ISNUMBER(P2533))),"Balance increased but no Deferred_interest reported",IF(L2533&gt;R2533,"Reported balance higher than expected (missing increase/OC build)","Reported balance lower than expected (missing decrease)"))))),""))</f>
        <v/>
      </c>
    </row>
    <row r="2534" customFormat="false" ht="15" hidden="false" customHeight="false" outlineLevel="0" collapsed="false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9"/>
      <c r="L2534" s="9"/>
      <c r="M2534" s="9"/>
      <c r="N2534" s="9"/>
      <c r="O2534" s="9"/>
      <c r="P2534" s="9"/>
      <c r="Q2534" s="9"/>
      <c r="R2534" s="9" t="str">
        <f aca="false">IF(AND(A2534&lt;&gt;"",ISNUMBER(Q2534),ISNUMBER(L2534)),ROUND(Q2534-IF(ISNUMBER(N2534),N2534,0)-IF(ISNUMBER(O2534),O2534,0)+IF(ISNUMBER(P2534),P2534,0),2),"")</f>
        <v/>
      </c>
      <c r="S2534" s="9" t="str">
        <f aca="false">IF(R2534="","",ROUND(L2534-R2534,2))</f>
        <v/>
      </c>
      <c r="T2534" s="8" t="str">
        <f aca="false">IF(A2534="","",IF(S2534="","BYPASS",IF(ABS(S2534)&lt;=Summary!$B$2,"PASS","FAIL")))</f>
        <v/>
      </c>
      <c r="U2534" s="8" t="str">
        <f aca="false">IF(T2534="BYPASS",IF(NOT(ISNUMBER(Q2534)),"PreV_ETB missing","End_tr_balance missing"),IF(T2534="FAIL",IF(AND(ISNUMBER(K2534),ISNUMBER(L2534),ABS(L2534-(K2534-IF(ISNUMBER(N2534),N2534,0)-IF(ISNUMBER(O2534),O2534,0)+IF(ISNUMBER(P2534),P2534,0)))&lt;=Summary!$B$2),"Passes using beginning_balance - PreV_ETB differs from beginning_balance",IF(AND(ISNUMBER(O2534),O2534&lt;0,ABS(L2534-(Q2534-IF(ISNUMBER(N2534),N2534,0)+IF(ISNUMBER(P2534),P2534,0)))&lt;=Summary!$B$2),"Negative realized loss not applied - check sign",IF(R2534&lt;0,"Principal paid exceeds prior balance",IF(AND(L2534&gt;Q2534,NOT(ISNUMBER(P2534))),"Balance increased but no Deferred_interest reported",IF(L2534&gt;R2534,"Reported balance higher than expected (missing increase/OC build)","Reported balance lower than expected (missing decrease)"))))),""))</f>
        <v/>
      </c>
    </row>
    <row r="2535" customFormat="false" ht="15" hidden="false" customHeight="false" outlineLevel="0" collapsed="false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9"/>
      <c r="L2535" s="9"/>
      <c r="M2535" s="9"/>
      <c r="N2535" s="9"/>
      <c r="O2535" s="9"/>
      <c r="P2535" s="9"/>
      <c r="Q2535" s="9"/>
      <c r="R2535" s="9" t="str">
        <f aca="false">IF(AND(A2535&lt;&gt;"",ISNUMBER(Q2535),ISNUMBER(L2535)),ROUND(Q2535-IF(ISNUMBER(N2535),N2535,0)-IF(ISNUMBER(O2535),O2535,0)+IF(ISNUMBER(P2535),P2535,0),2),"")</f>
        <v/>
      </c>
      <c r="S2535" s="9" t="str">
        <f aca="false">IF(R2535="","",ROUND(L2535-R2535,2))</f>
        <v/>
      </c>
      <c r="T2535" s="8" t="str">
        <f aca="false">IF(A2535="","",IF(S2535="","BYPASS",IF(ABS(S2535)&lt;=Summary!$B$2,"PASS","FAIL")))</f>
        <v/>
      </c>
      <c r="U2535" s="8" t="str">
        <f aca="false">IF(T2535="BYPASS",IF(NOT(ISNUMBER(Q2535)),"PreV_ETB missing","End_tr_balance missing"),IF(T2535="FAIL",IF(AND(ISNUMBER(K2535),ISNUMBER(L2535),ABS(L2535-(K2535-IF(ISNUMBER(N2535),N2535,0)-IF(ISNUMBER(O2535),O2535,0)+IF(ISNUMBER(P2535),P2535,0)))&lt;=Summary!$B$2),"Passes using beginning_balance - PreV_ETB differs from beginning_balance",IF(AND(ISNUMBER(O2535),O2535&lt;0,ABS(L2535-(Q2535-IF(ISNUMBER(N2535),N2535,0)+IF(ISNUMBER(P2535),P2535,0)))&lt;=Summary!$B$2),"Negative realized loss not applied - check sign",IF(R2535&lt;0,"Principal paid exceeds prior balance",IF(AND(L2535&gt;Q2535,NOT(ISNUMBER(P2535))),"Balance increased but no Deferred_interest reported",IF(L2535&gt;R2535,"Reported balance higher than expected (missing increase/OC build)","Reported balance lower than expected (missing decrease)"))))),""))</f>
        <v/>
      </c>
    </row>
    <row r="2536" customFormat="false" ht="15" hidden="false" customHeight="false" outlineLevel="0" collapsed="false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9"/>
      <c r="L2536" s="9"/>
      <c r="M2536" s="9"/>
      <c r="N2536" s="9"/>
      <c r="O2536" s="9"/>
      <c r="P2536" s="9"/>
      <c r="Q2536" s="9"/>
      <c r="R2536" s="9" t="str">
        <f aca="false">IF(AND(A2536&lt;&gt;"",ISNUMBER(Q2536),ISNUMBER(L2536)),ROUND(Q2536-IF(ISNUMBER(N2536),N2536,0)-IF(ISNUMBER(O2536),O2536,0)+IF(ISNUMBER(P2536),P2536,0),2),"")</f>
        <v/>
      </c>
      <c r="S2536" s="9" t="str">
        <f aca="false">IF(R2536="","",ROUND(L2536-R2536,2))</f>
        <v/>
      </c>
      <c r="T2536" s="8" t="str">
        <f aca="false">IF(A2536="","",IF(S2536="","BYPASS",IF(ABS(S2536)&lt;=Summary!$B$2,"PASS","FAIL")))</f>
        <v/>
      </c>
      <c r="U2536" s="8" t="str">
        <f aca="false">IF(T2536="BYPASS",IF(NOT(ISNUMBER(Q2536)),"PreV_ETB missing","End_tr_balance missing"),IF(T2536="FAIL",IF(AND(ISNUMBER(K2536),ISNUMBER(L2536),ABS(L2536-(K2536-IF(ISNUMBER(N2536),N2536,0)-IF(ISNUMBER(O2536),O2536,0)+IF(ISNUMBER(P2536),P2536,0)))&lt;=Summary!$B$2),"Passes using beginning_balance - PreV_ETB differs from beginning_balance",IF(AND(ISNUMBER(O2536),O2536&lt;0,ABS(L2536-(Q2536-IF(ISNUMBER(N2536),N2536,0)+IF(ISNUMBER(P2536),P2536,0)))&lt;=Summary!$B$2),"Negative realized loss not applied - check sign",IF(R2536&lt;0,"Principal paid exceeds prior balance",IF(AND(L2536&gt;Q2536,NOT(ISNUMBER(P2536))),"Balance increased but no Deferred_interest reported",IF(L2536&gt;R2536,"Reported balance higher than expected (missing increase/OC build)","Reported balance lower than expected (missing decrease)"))))),""))</f>
        <v/>
      </c>
    </row>
    <row r="2537" customFormat="false" ht="15" hidden="false" customHeight="false" outlineLevel="0" collapsed="false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9"/>
      <c r="L2537" s="9"/>
      <c r="M2537" s="9"/>
      <c r="N2537" s="9"/>
      <c r="O2537" s="9"/>
      <c r="P2537" s="9"/>
      <c r="Q2537" s="9"/>
      <c r="R2537" s="9" t="str">
        <f aca="false">IF(AND(A2537&lt;&gt;"",ISNUMBER(Q2537),ISNUMBER(L2537)),ROUND(Q2537-IF(ISNUMBER(N2537),N2537,0)-IF(ISNUMBER(O2537),O2537,0)+IF(ISNUMBER(P2537),P2537,0),2),"")</f>
        <v/>
      </c>
      <c r="S2537" s="9" t="str">
        <f aca="false">IF(R2537="","",ROUND(L2537-R2537,2))</f>
        <v/>
      </c>
      <c r="T2537" s="8" t="str">
        <f aca="false">IF(A2537="","",IF(S2537="","BYPASS",IF(ABS(S2537)&lt;=Summary!$B$2,"PASS","FAIL")))</f>
        <v/>
      </c>
      <c r="U2537" s="8" t="str">
        <f aca="false">IF(T2537="BYPASS",IF(NOT(ISNUMBER(Q2537)),"PreV_ETB missing","End_tr_balance missing"),IF(T2537="FAIL",IF(AND(ISNUMBER(K2537),ISNUMBER(L2537),ABS(L2537-(K2537-IF(ISNUMBER(N2537),N2537,0)-IF(ISNUMBER(O2537),O2537,0)+IF(ISNUMBER(P2537),P2537,0)))&lt;=Summary!$B$2),"Passes using beginning_balance - PreV_ETB differs from beginning_balance",IF(AND(ISNUMBER(O2537),O2537&lt;0,ABS(L2537-(Q2537-IF(ISNUMBER(N2537),N2537,0)+IF(ISNUMBER(P2537),P2537,0)))&lt;=Summary!$B$2),"Negative realized loss not applied - check sign",IF(R2537&lt;0,"Principal paid exceeds prior balance",IF(AND(L2537&gt;Q2537,NOT(ISNUMBER(P2537))),"Balance increased but no Deferred_interest reported",IF(L2537&gt;R2537,"Reported balance higher than expected (missing increase/OC build)","Reported balance lower than expected (missing decrease)"))))),""))</f>
        <v/>
      </c>
    </row>
    <row r="2538" customFormat="false" ht="15" hidden="false" customHeight="false" outlineLevel="0" collapsed="false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9"/>
      <c r="L2538" s="9"/>
      <c r="M2538" s="9"/>
      <c r="N2538" s="9"/>
      <c r="O2538" s="9"/>
      <c r="P2538" s="9"/>
      <c r="Q2538" s="9"/>
      <c r="R2538" s="9" t="str">
        <f aca="false">IF(AND(A2538&lt;&gt;"",ISNUMBER(Q2538),ISNUMBER(L2538)),ROUND(Q2538-IF(ISNUMBER(N2538),N2538,0)-IF(ISNUMBER(O2538),O2538,0)+IF(ISNUMBER(P2538),P2538,0),2),"")</f>
        <v/>
      </c>
      <c r="S2538" s="9" t="str">
        <f aca="false">IF(R2538="","",ROUND(L2538-R2538,2))</f>
        <v/>
      </c>
      <c r="T2538" s="8" t="str">
        <f aca="false">IF(A2538="","",IF(S2538="","BYPASS",IF(ABS(S2538)&lt;=Summary!$B$2,"PASS","FAIL")))</f>
        <v/>
      </c>
      <c r="U2538" s="8" t="str">
        <f aca="false">IF(T2538="BYPASS",IF(NOT(ISNUMBER(Q2538)),"PreV_ETB missing","End_tr_balance missing"),IF(T2538="FAIL",IF(AND(ISNUMBER(K2538),ISNUMBER(L2538),ABS(L2538-(K2538-IF(ISNUMBER(N2538),N2538,0)-IF(ISNUMBER(O2538),O2538,0)+IF(ISNUMBER(P2538),P2538,0)))&lt;=Summary!$B$2),"Passes using beginning_balance - PreV_ETB differs from beginning_balance",IF(AND(ISNUMBER(O2538),O2538&lt;0,ABS(L2538-(Q2538-IF(ISNUMBER(N2538),N2538,0)+IF(ISNUMBER(P2538),P2538,0)))&lt;=Summary!$B$2),"Negative realized loss not applied - check sign",IF(R2538&lt;0,"Principal paid exceeds prior balance",IF(AND(L2538&gt;Q2538,NOT(ISNUMBER(P2538))),"Balance increased but no Deferred_interest reported",IF(L2538&gt;R2538,"Reported balance higher than expected (missing increase/OC build)","Reported balance lower than expected (missing decrease)"))))),""))</f>
        <v/>
      </c>
    </row>
    <row r="2539" customFormat="false" ht="15" hidden="false" customHeight="false" outlineLevel="0" collapsed="false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9"/>
      <c r="L2539" s="9"/>
      <c r="M2539" s="9"/>
      <c r="N2539" s="9"/>
      <c r="O2539" s="9"/>
      <c r="P2539" s="9"/>
      <c r="Q2539" s="9"/>
      <c r="R2539" s="9" t="str">
        <f aca="false">IF(AND(A2539&lt;&gt;"",ISNUMBER(Q2539),ISNUMBER(L2539)),ROUND(Q2539-IF(ISNUMBER(N2539),N2539,0)-IF(ISNUMBER(O2539),O2539,0)+IF(ISNUMBER(P2539),P2539,0),2),"")</f>
        <v/>
      </c>
      <c r="S2539" s="9" t="str">
        <f aca="false">IF(R2539="","",ROUND(L2539-R2539,2))</f>
        <v/>
      </c>
      <c r="T2539" s="8" t="str">
        <f aca="false">IF(A2539="","",IF(S2539="","BYPASS",IF(ABS(S2539)&lt;=Summary!$B$2,"PASS","FAIL")))</f>
        <v/>
      </c>
      <c r="U2539" s="8" t="str">
        <f aca="false">IF(T2539="BYPASS",IF(NOT(ISNUMBER(Q2539)),"PreV_ETB missing","End_tr_balance missing"),IF(T2539="FAIL",IF(AND(ISNUMBER(K2539),ISNUMBER(L2539),ABS(L2539-(K2539-IF(ISNUMBER(N2539),N2539,0)-IF(ISNUMBER(O2539),O2539,0)+IF(ISNUMBER(P2539),P2539,0)))&lt;=Summary!$B$2),"Passes using beginning_balance - PreV_ETB differs from beginning_balance",IF(AND(ISNUMBER(O2539),O2539&lt;0,ABS(L2539-(Q2539-IF(ISNUMBER(N2539),N2539,0)+IF(ISNUMBER(P2539),P2539,0)))&lt;=Summary!$B$2),"Negative realized loss not applied - check sign",IF(R2539&lt;0,"Principal paid exceeds prior balance",IF(AND(L2539&gt;Q2539,NOT(ISNUMBER(P2539))),"Balance increased but no Deferred_interest reported",IF(L2539&gt;R2539,"Reported balance higher than expected (missing increase/OC build)","Reported balance lower than expected (missing decrease)"))))),""))</f>
        <v/>
      </c>
    </row>
    <row r="2540" customFormat="false" ht="15" hidden="false" customHeight="false" outlineLevel="0" collapsed="false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9"/>
      <c r="L2540" s="9"/>
      <c r="M2540" s="9"/>
      <c r="N2540" s="9"/>
      <c r="O2540" s="9"/>
      <c r="P2540" s="9"/>
      <c r="Q2540" s="9"/>
      <c r="R2540" s="9" t="str">
        <f aca="false">IF(AND(A2540&lt;&gt;"",ISNUMBER(Q2540),ISNUMBER(L2540)),ROUND(Q2540-IF(ISNUMBER(N2540),N2540,0)-IF(ISNUMBER(O2540),O2540,0)+IF(ISNUMBER(P2540),P2540,0),2),"")</f>
        <v/>
      </c>
      <c r="S2540" s="9" t="str">
        <f aca="false">IF(R2540="","",ROUND(L2540-R2540,2))</f>
        <v/>
      </c>
      <c r="T2540" s="8" t="str">
        <f aca="false">IF(A2540="","",IF(S2540="","BYPASS",IF(ABS(S2540)&lt;=Summary!$B$2,"PASS","FAIL")))</f>
        <v/>
      </c>
      <c r="U2540" s="8" t="str">
        <f aca="false">IF(T2540="BYPASS",IF(NOT(ISNUMBER(Q2540)),"PreV_ETB missing","End_tr_balance missing"),IF(T2540="FAIL",IF(AND(ISNUMBER(K2540),ISNUMBER(L2540),ABS(L2540-(K2540-IF(ISNUMBER(N2540),N2540,0)-IF(ISNUMBER(O2540),O2540,0)+IF(ISNUMBER(P2540),P2540,0)))&lt;=Summary!$B$2),"Passes using beginning_balance - PreV_ETB differs from beginning_balance",IF(AND(ISNUMBER(O2540),O2540&lt;0,ABS(L2540-(Q2540-IF(ISNUMBER(N2540),N2540,0)+IF(ISNUMBER(P2540),P2540,0)))&lt;=Summary!$B$2),"Negative realized loss not applied - check sign",IF(R2540&lt;0,"Principal paid exceeds prior balance",IF(AND(L2540&gt;Q2540,NOT(ISNUMBER(P2540))),"Balance increased but no Deferred_interest reported",IF(L2540&gt;R2540,"Reported balance higher than expected (missing increase/OC build)","Reported balance lower than expected (missing decrease)"))))),""))</f>
        <v/>
      </c>
    </row>
    <row r="2541" customFormat="false" ht="15" hidden="false" customHeight="false" outlineLevel="0" collapsed="false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9"/>
      <c r="L2541" s="9"/>
      <c r="M2541" s="9"/>
      <c r="N2541" s="9"/>
      <c r="O2541" s="9"/>
      <c r="P2541" s="9"/>
      <c r="Q2541" s="9"/>
      <c r="R2541" s="9" t="str">
        <f aca="false">IF(AND(A2541&lt;&gt;"",ISNUMBER(Q2541),ISNUMBER(L2541)),ROUND(Q2541-IF(ISNUMBER(N2541),N2541,0)-IF(ISNUMBER(O2541),O2541,0)+IF(ISNUMBER(P2541),P2541,0),2),"")</f>
        <v/>
      </c>
      <c r="S2541" s="9" t="str">
        <f aca="false">IF(R2541="","",ROUND(L2541-R2541,2))</f>
        <v/>
      </c>
      <c r="T2541" s="8" t="str">
        <f aca="false">IF(A2541="","",IF(S2541="","BYPASS",IF(ABS(S2541)&lt;=Summary!$B$2,"PASS","FAIL")))</f>
        <v/>
      </c>
      <c r="U2541" s="8" t="str">
        <f aca="false">IF(T2541="BYPASS",IF(NOT(ISNUMBER(Q2541)),"PreV_ETB missing","End_tr_balance missing"),IF(T2541="FAIL",IF(AND(ISNUMBER(K2541),ISNUMBER(L2541),ABS(L2541-(K2541-IF(ISNUMBER(N2541),N2541,0)-IF(ISNUMBER(O2541),O2541,0)+IF(ISNUMBER(P2541),P2541,0)))&lt;=Summary!$B$2),"Passes using beginning_balance - PreV_ETB differs from beginning_balance",IF(AND(ISNUMBER(O2541),O2541&lt;0,ABS(L2541-(Q2541-IF(ISNUMBER(N2541),N2541,0)+IF(ISNUMBER(P2541),P2541,0)))&lt;=Summary!$B$2),"Negative realized loss not applied - check sign",IF(R2541&lt;0,"Principal paid exceeds prior balance",IF(AND(L2541&gt;Q2541,NOT(ISNUMBER(P2541))),"Balance increased but no Deferred_interest reported",IF(L2541&gt;R2541,"Reported balance higher than expected (missing increase/OC build)","Reported balance lower than expected (missing decrease)"))))),""))</f>
        <v/>
      </c>
    </row>
    <row r="2542" customFormat="false" ht="15" hidden="false" customHeight="false" outlineLevel="0" collapsed="false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9"/>
      <c r="L2542" s="9"/>
      <c r="M2542" s="9"/>
      <c r="N2542" s="9"/>
      <c r="O2542" s="9"/>
      <c r="P2542" s="9"/>
      <c r="Q2542" s="9"/>
      <c r="R2542" s="9" t="str">
        <f aca="false">IF(AND(A2542&lt;&gt;"",ISNUMBER(Q2542),ISNUMBER(L2542)),ROUND(Q2542-IF(ISNUMBER(N2542),N2542,0)-IF(ISNUMBER(O2542),O2542,0)+IF(ISNUMBER(P2542),P2542,0),2),"")</f>
        <v/>
      </c>
      <c r="S2542" s="9" t="str">
        <f aca="false">IF(R2542="","",ROUND(L2542-R2542,2))</f>
        <v/>
      </c>
      <c r="T2542" s="8" t="str">
        <f aca="false">IF(A2542="","",IF(S2542="","BYPASS",IF(ABS(S2542)&lt;=Summary!$B$2,"PASS","FAIL")))</f>
        <v/>
      </c>
      <c r="U2542" s="8" t="str">
        <f aca="false">IF(T2542="BYPASS",IF(NOT(ISNUMBER(Q2542)),"PreV_ETB missing","End_tr_balance missing"),IF(T2542="FAIL",IF(AND(ISNUMBER(K2542),ISNUMBER(L2542),ABS(L2542-(K2542-IF(ISNUMBER(N2542),N2542,0)-IF(ISNUMBER(O2542),O2542,0)+IF(ISNUMBER(P2542),P2542,0)))&lt;=Summary!$B$2),"Passes using beginning_balance - PreV_ETB differs from beginning_balance",IF(AND(ISNUMBER(O2542),O2542&lt;0,ABS(L2542-(Q2542-IF(ISNUMBER(N2542),N2542,0)+IF(ISNUMBER(P2542),P2542,0)))&lt;=Summary!$B$2),"Negative realized loss not applied - check sign",IF(R2542&lt;0,"Principal paid exceeds prior balance",IF(AND(L2542&gt;Q2542,NOT(ISNUMBER(P2542))),"Balance increased but no Deferred_interest reported",IF(L2542&gt;R2542,"Reported balance higher than expected (missing increase/OC build)","Reported balance lower than expected (missing decrease)"))))),""))</f>
        <v/>
      </c>
    </row>
    <row r="2543" customFormat="false" ht="15" hidden="false" customHeight="false" outlineLevel="0" collapsed="false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9"/>
      <c r="L2543" s="9"/>
      <c r="M2543" s="9"/>
      <c r="N2543" s="9"/>
      <c r="O2543" s="9"/>
      <c r="P2543" s="9"/>
      <c r="Q2543" s="9"/>
      <c r="R2543" s="9" t="str">
        <f aca="false">IF(AND(A2543&lt;&gt;"",ISNUMBER(Q2543),ISNUMBER(L2543)),ROUND(Q2543-IF(ISNUMBER(N2543),N2543,0)-IF(ISNUMBER(O2543),O2543,0)+IF(ISNUMBER(P2543),P2543,0),2),"")</f>
        <v/>
      </c>
      <c r="S2543" s="9" t="str">
        <f aca="false">IF(R2543="","",ROUND(L2543-R2543,2))</f>
        <v/>
      </c>
      <c r="T2543" s="8" t="str">
        <f aca="false">IF(A2543="","",IF(S2543="","BYPASS",IF(ABS(S2543)&lt;=Summary!$B$2,"PASS","FAIL")))</f>
        <v/>
      </c>
      <c r="U2543" s="8" t="str">
        <f aca="false">IF(T2543="BYPASS",IF(NOT(ISNUMBER(Q2543)),"PreV_ETB missing","End_tr_balance missing"),IF(T2543="FAIL",IF(AND(ISNUMBER(K2543),ISNUMBER(L2543),ABS(L2543-(K2543-IF(ISNUMBER(N2543),N2543,0)-IF(ISNUMBER(O2543),O2543,0)+IF(ISNUMBER(P2543),P2543,0)))&lt;=Summary!$B$2),"Passes using beginning_balance - PreV_ETB differs from beginning_balance",IF(AND(ISNUMBER(O2543),O2543&lt;0,ABS(L2543-(Q2543-IF(ISNUMBER(N2543),N2543,0)+IF(ISNUMBER(P2543),P2543,0)))&lt;=Summary!$B$2),"Negative realized loss not applied - check sign",IF(R2543&lt;0,"Principal paid exceeds prior balance",IF(AND(L2543&gt;Q2543,NOT(ISNUMBER(P2543))),"Balance increased but no Deferred_interest reported",IF(L2543&gt;R2543,"Reported balance higher than expected (missing increase/OC build)","Reported balance lower than expected (missing decrease)"))))),""))</f>
        <v/>
      </c>
    </row>
    <row r="2544" customFormat="false" ht="15" hidden="false" customHeight="false" outlineLevel="0" collapsed="false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9"/>
      <c r="L2544" s="9"/>
      <c r="M2544" s="9"/>
      <c r="N2544" s="9"/>
      <c r="O2544" s="9"/>
      <c r="P2544" s="9"/>
      <c r="Q2544" s="9"/>
      <c r="R2544" s="9" t="str">
        <f aca="false">IF(AND(A2544&lt;&gt;"",ISNUMBER(Q2544),ISNUMBER(L2544)),ROUND(Q2544-IF(ISNUMBER(N2544),N2544,0)-IF(ISNUMBER(O2544),O2544,0)+IF(ISNUMBER(P2544),P2544,0),2),"")</f>
        <v/>
      </c>
      <c r="S2544" s="9" t="str">
        <f aca="false">IF(R2544="","",ROUND(L2544-R2544,2))</f>
        <v/>
      </c>
      <c r="T2544" s="8" t="str">
        <f aca="false">IF(A2544="","",IF(S2544="","BYPASS",IF(ABS(S2544)&lt;=Summary!$B$2,"PASS","FAIL")))</f>
        <v/>
      </c>
      <c r="U2544" s="8" t="str">
        <f aca="false">IF(T2544="BYPASS",IF(NOT(ISNUMBER(Q2544)),"PreV_ETB missing","End_tr_balance missing"),IF(T2544="FAIL",IF(AND(ISNUMBER(K2544),ISNUMBER(L2544),ABS(L2544-(K2544-IF(ISNUMBER(N2544),N2544,0)-IF(ISNUMBER(O2544),O2544,0)+IF(ISNUMBER(P2544),P2544,0)))&lt;=Summary!$B$2),"Passes using beginning_balance - PreV_ETB differs from beginning_balance",IF(AND(ISNUMBER(O2544),O2544&lt;0,ABS(L2544-(Q2544-IF(ISNUMBER(N2544),N2544,0)+IF(ISNUMBER(P2544),P2544,0)))&lt;=Summary!$B$2),"Negative realized loss not applied - check sign",IF(R2544&lt;0,"Principal paid exceeds prior balance",IF(AND(L2544&gt;Q2544,NOT(ISNUMBER(P2544))),"Balance increased but no Deferred_interest reported",IF(L2544&gt;R2544,"Reported balance higher than expected (missing increase/OC build)","Reported balance lower than expected (missing decrease)"))))),""))</f>
        <v/>
      </c>
    </row>
    <row r="2545" customFormat="false" ht="15" hidden="false" customHeight="false" outlineLevel="0" collapsed="false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9"/>
      <c r="L2545" s="9"/>
      <c r="M2545" s="9"/>
      <c r="N2545" s="9"/>
      <c r="O2545" s="9"/>
      <c r="P2545" s="9"/>
      <c r="Q2545" s="9"/>
      <c r="R2545" s="9" t="str">
        <f aca="false">IF(AND(A2545&lt;&gt;"",ISNUMBER(Q2545),ISNUMBER(L2545)),ROUND(Q2545-IF(ISNUMBER(N2545),N2545,0)-IF(ISNUMBER(O2545),O2545,0)+IF(ISNUMBER(P2545),P2545,0),2),"")</f>
        <v/>
      </c>
      <c r="S2545" s="9" t="str">
        <f aca="false">IF(R2545="","",ROUND(L2545-R2545,2))</f>
        <v/>
      </c>
      <c r="T2545" s="8" t="str">
        <f aca="false">IF(A2545="","",IF(S2545="","BYPASS",IF(ABS(S2545)&lt;=Summary!$B$2,"PASS","FAIL")))</f>
        <v/>
      </c>
      <c r="U2545" s="8" t="str">
        <f aca="false">IF(T2545="BYPASS",IF(NOT(ISNUMBER(Q2545)),"PreV_ETB missing","End_tr_balance missing"),IF(T2545="FAIL",IF(AND(ISNUMBER(K2545),ISNUMBER(L2545),ABS(L2545-(K2545-IF(ISNUMBER(N2545),N2545,0)-IF(ISNUMBER(O2545),O2545,0)+IF(ISNUMBER(P2545),P2545,0)))&lt;=Summary!$B$2),"Passes using beginning_balance - PreV_ETB differs from beginning_balance",IF(AND(ISNUMBER(O2545),O2545&lt;0,ABS(L2545-(Q2545-IF(ISNUMBER(N2545),N2545,0)+IF(ISNUMBER(P2545),P2545,0)))&lt;=Summary!$B$2),"Negative realized loss not applied - check sign",IF(R2545&lt;0,"Principal paid exceeds prior balance",IF(AND(L2545&gt;Q2545,NOT(ISNUMBER(P2545))),"Balance increased but no Deferred_interest reported",IF(L2545&gt;R2545,"Reported balance higher than expected (missing increase/OC build)","Reported balance lower than expected (missing decrease)"))))),""))</f>
        <v/>
      </c>
    </row>
    <row r="2546" customFormat="false" ht="15" hidden="false" customHeight="false" outlineLevel="0" collapsed="false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9"/>
      <c r="L2546" s="9"/>
      <c r="M2546" s="9"/>
      <c r="N2546" s="9"/>
      <c r="O2546" s="9"/>
      <c r="P2546" s="9"/>
      <c r="Q2546" s="9"/>
      <c r="R2546" s="9" t="str">
        <f aca="false">IF(AND(A2546&lt;&gt;"",ISNUMBER(Q2546),ISNUMBER(L2546)),ROUND(Q2546-IF(ISNUMBER(N2546),N2546,0)-IF(ISNUMBER(O2546),O2546,0)+IF(ISNUMBER(P2546),P2546,0),2),"")</f>
        <v/>
      </c>
      <c r="S2546" s="9" t="str">
        <f aca="false">IF(R2546="","",ROUND(L2546-R2546,2))</f>
        <v/>
      </c>
      <c r="T2546" s="8" t="str">
        <f aca="false">IF(A2546="","",IF(S2546="","BYPASS",IF(ABS(S2546)&lt;=Summary!$B$2,"PASS","FAIL")))</f>
        <v/>
      </c>
      <c r="U2546" s="8" t="str">
        <f aca="false">IF(T2546="BYPASS",IF(NOT(ISNUMBER(Q2546)),"PreV_ETB missing","End_tr_balance missing"),IF(T2546="FAIL",IF(AND(ISNUMBER(K2546),ISNUMBER(L2546),ABS(L2546-(K2546-IF(ISNUMBER(N2546),N2546,0)-IF(ISNUMBER(O2546),O2546,0)+IF(ISNUMBER(P2546),P2546,0)))&lt;=Summary!$B$2),"Passes using beginning_balance - PreV_ETB differs from beginning_balance",IF(AND(ISNUMBER(O2546),O2546&lt;0,ABS(L2546-(Q2546-IF(ISNUMBER(N2546),N2546,0)+IF(ISNUMBER(P2546),P2546,0)))&lt;=Summary!$B$2),"Negative realized loss not applied - check sign",IF(R2546&lt;0,"Principal paid exceeds prior balance",IF(AND(L2546&gt;Q2546,NOT(ISNUMBER(P2546))),"Balance increased but no Deferred_interest reported",IF(L2546&gt;R2546,"Reported balance higher than expected (missing increase/OC build)","Reported balance lower than expected (missing decrease)"))))),""))</f>
        <v/>
      </c>
    </row>
    <row r="2547" customFormat="false" ht="15" hidden="false" customHeight="false" outlineLevel="0" collapsed="false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9"/>
      <c r="L2547" s="9"/>
      <c r="M2547" s="9"/>
      <c r="N2547" s="9"/>
      <c r="O2547" s="9"/>
      <c r="P2547" s="9"/>
      <c r="Q2547" s="9"/>
      <c r="R2547" s="9" t="str">
        <f aca="false">IF(AND(A2547&lt;&gt;"",ISNUMBER(Q2547),ISNUMBER(L2547)),ROUND(Q2547-IF(ISNUMBER(N2547),N2547,0)-IF(ISNUMBER(O2547),O2547,0)+IF(ISNUMBER(P2547),P2547,0),2),"")</f>
        <v/>
      </c>
      <c r="S2547" s="9" t="str">
        <f aca="false">IF(R2547="","",ROUND(L2547-R2547,2))</f>
        <v/>
      </c>
      <c r="T2547" s="8" t="str">
        <f aca="false">IF(A2547="","",IF(S2547="","BYPASS",IF(ABS(S2547)&lt;=Summary!$B$2,"PASS","FAIL")))</f>
        <v/>
      </c>
      <c r="U2547" s="8" t="str">
        <f aca="false">IF(T2547="BYPASS",IF(NOT(ISNUMBER(Q2547)),"PreV_ETB missing","End_tr_balance missing"),IF(T2547="FAIL",IF(AND(ISNUMBER(K2547),ISNUMBER(L2547),ABS(L2547-(K2547-IF(ISNUMBER(N2547),N2547,0)-IF(ISNUMBER(O2547),O2547,0)+IF(ISNUMBER(P2547),P2547,0)))&lt;=Summary!$B$2),"Passes using beginning_balance - PreV_ETB differs from beginning_balance",IF(AND(ISNUMBER(O2547),O2547&lt;0,ABS(L2547-(Q2547-IF(ISNUMBER(N2547),N2547,0)+IF(ISNUMBER(P2547),P2547,0)))&lt;=Summary!$B$2),"Negative realized loss not applied - check sign",IF(R2547&lt;0,"Principal paid exceeds prior balance",IF(AND(L2547&gt;Q2547,NOT(ISNUMBER(P2547))),"Balance increased but no Deferred_interest reported",IF(L2547&gt;R2547,"Reported balance higher than expected (missing increase/OC build)","Reported balance lower than expected (missing decrease)"))))),""))</f>
        <v/>
      </c>
    </row>
    <row r="2548" customFormat="false" ht="15" hidden="false" customHeight="false" outlineLevel="0" collapsed="false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9"/>
      <c r="L2548" s="9"/>
      <c r="M2548" s="9"/>
      <c r="N2548" s="9"/>
      <c r="O2548" s="9"/>
      <c r="P2548" s="9"/>
      <c r="Q2548" s="9"/>
      <c r="R2548" s="9" t="str">
        <f aca="false">IF(AND(A2548&lt;&gt;"",ISNUMBER(Q2548),ISNUMBER(L2548)),ROUND(Q2548-IF(ISNUMBER(N2548),N2548,0)-IF(ISNUMBER(O2548),O2548,0)+IF(ISNUMBER(P2548),P2548,0),2),"")</f>
        <v/>
      </c>
      <c r="S2548" s="9" t="str">
        <f aca="false">IF(R2548="","",ROUND(L2548-R2548,2))</f>
        <v/>
      </c>
      <c r="T2548" s="8" t="str">
        <f aca="false">IF(A2548="","",IF(S2548="","BYPASS",IF(ABS(S2548)&lt;=Summary!$B$2,"PASS","FAIL")))</f>
        <v/>
      </c>
      <c r="U2548" s="8" t="str">
        <f aca="false">IF(T2548="BYPASS",IF(NOT(ISNUMBER(Q2548)),"PreV_ETB missing","End_tr_balance missing"),IF(T2548="FAIL",IF(AND(ISNUMBER(K2548),ISNUMBER(L2548),ABS(L2548-(K2548-IF(ISNUMBER(N2548),N2548,0)-IF(ISNUMBER(O2548),O2548,0)+IF(ISNUMBER(P2548),P2548,0)))&lt;=Summary!$B$2),"Passes using beginning_balance - PreV_ETB differs from beginning_balance",IF(AND(ISNUMBER(O2548),O2548&lt;0,ABS(L2548-(Q2548-IF(ISNUMBER(N2548),N2548,0)+IF(ISNUMBER(P2548),P2548,0)))&lt;=Summary!$B$2),"Negative realized loss not applied - check sign",IF(R2548&lt;0,"Principal paid exceeds prior balance",IF(AND(L2548&gt;Q2548,NOT(ISNUMBER(P2548))),"Balance increased but no Deferred_interest reported",IF(L2548&gt;R2548,"Reported balance higher than expected (missing increase/OC build)","Reported balance lower than expected (missing decrease)"))))),""))</f>
        <v/>
      </c>
    </row>
    <row r="2549" customFormat="false" ht="15" hidden="false" customHeight="false" outlineLevel="0" collapsed="false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9"/>
      <c r="L2549" s="9"/>
      <c r="M2549" s="9"/>
      <c r="N2549" s="9"/>
      <c r="O2549" s="9"/>
      <c r="P2549" s="9"/>
      <c r="Q2549" s="9"/>
      <c r="R2549" s="9" t="str">
        <f aca="false">IF(AND(A2549&lt;&gt;"",ISNUMBER(Q2549),ISNUMBER(L2549)),ROUND(Q2549-IF(ISNUMBER(N2549),N2549,0)-IF(ISNUMBER(O2549),O2549,0)+IF(ISNUMBER(P2549),P2549,0),2),"")</f>
        <v/>
      </c>
      <c r="S2549" s="9" t="str">
        <f aca="false">IF(R2549="","",ROUND(L2549-R2549,2))</f>
        <v/>
      </c>
      <c r="T2549" s="8" t="str">
        <f aca="false">IF(A2549="","",IF(S2549="","BYPASS",IF(ABS(S2549)&lt;=Summary!$B$2,"PASS","FAIL")))</f>
        <v/>
      </c>
      <c r="U2549" s="8" t="str">
        <f aca="false">IF(T2549="BYPASS",IF(NOT(ISNUMBER(Q2549)),"PreV_ETB missing","End_tr_balance missing"),IF(T2549="FAIL",IF(AND(ISNUMBER(K2549),ISNUMBER(L2549),ABS(L2549-(K2549-IF(ISNUMBER(N2549),N2549,0)-IF(ISNUMBER(O2549),O2549,0)+IF(ISNUMBER(P2549),P2549,0)))&lt;=Summary!$B$2),"Passes using beginning_balance - PreV_ETB differs from beginning_balance",IF(AND(ISNUMBER(O2549),O2549&lt;0,ABS(L2549-(Q2549-IF(ISNUMBER(N2549),N2549,0)+IF(ISNUMBER(P2549),P2549,0)))&lt;=Summary!$B$2),"Negative realized loss not applied - check sign",IF(R2549&lt;0,"Principal paid exceeds prior balance",IF(AND(L2549&gt;Q2549,NOT(ISNUMBER(P2549))),"Balance increased but no Deferred_interest reported",IF(L2549&gt;R2549,"Reported balance higher than expected (missing increase/OC build)","Reported balance lower than expected (missing decrease)"))))),""))</f>
        <v/>
      </c>
    </row>
    <row r="2550" customFormat="false" ht="15" hidden="false" customHeight="false" outlineLevel="0" collapsed="false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9"/>
      <c r="L2550" s="9"/>
      <c r="M2550" s="9"/>
      <c r="N2550" s="9"/>
      <c r="O2550" s="9"/>
      <c r="P2550" s="9"/>
      <c r="Q2550" s="9"/>
      <c r="R2550" s="9" t="str">
        <f aca="false">IF(AND(A2550&lt;&gt;"",ISNUMBER(Q2550),ISNUMBER(L2550)),ROUND(Q2550-IF(ISNUMBER(N2550),N2550,0)-IF(ISNUMBER(O2550),O2550,0)+IF(ISNUMBER(P2550),P2550,0),2),"")</f>
        <v/>
      </c>
      <c r="S2550" s="9" t="str">
        <f aca="false">IF(R2550="","",ROUND(L2550-R2550,2))</f>
        <v/>
      </c>
      <c r="T2550" s="8" t="str">
        <f aca="false">IF(A2550="","",IF(S2550="","BYPASS",IF(ABS(S2550)&lt;=Summary!$B$2,"PASS","FAIL")))</f>
        <v/>
      </c>
      <c r="U2550" s="8" t="str">
        <f aca="false">IF(T2550="BYPASS",IF(NOT(ISNUMBER(Q2550)),"PreV_ETB missing","End_tr_balance missing"),IF(T2550="FAIL",IF(AND(ISNUMBER(K2550),ISNUMBER(L2550),ABS(L2550-(K2550-IF(ISNUMBER(N2550),N2550,0)-IF(ISNUMBER(O2550),O2550,0)+IF(ISNUMBER(P2550),P2550,0)))&lt;=Summary!$B$2),"Passes using beginning_balance - PreV_ETB differs from beginning_balance",IF(AND(ISNUMBER(O2550),O2550&lt;0,ABS(L2550-(Q2550-IF(ISNUMBER(N2550),N2550,0)+IF(ISNUMBER(P2550),P2550,0)))&lt;=Summary!$B$2),"Negative realized loss not applied - check sign",IF(R2550&lt;0,"Principal paid exceeds prior balance",IF(AND(L2550&gt;Q2550,NOT(ISNUMBER(P2550))),"Balance increased but no Deferred_interest reported",IF(L2550&gt;R2550,"Reported balance higher than expected (missing increase/OC build)","Reported balance lower than expected (missing decrease)"))))),""))</f>
        <v/>
      </c>
    </row>
    <row r="2551" customFormat="false" ht="15" hidden="false" customHeight="false" outlineLevel="0" collapsed="false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9"/>
      <c r="L2551" s="9"/>
      <c r="M2551" s="9"/>
      <c r="N2551" s="9"/>
      <c r="O2551" s="9"/>
      <c r="P2551" s="9"/>
      <c r="Q2551" s="9"/>
      <c r="R2551" s="9" t="str">
        <f aca="false">IF(AND(A2551&lt;&gt;"",ISNUMBER(Q2551),ISNUMBER(L2551)),ROUND(Q2551-IF(ISNUMBER(N2551),N2551,0)-IF(ISNUMBER(O2551),O2551,0)+IF(ISNUMBER(P2551),P2551,0),2),"")</f>
        <v/>
      </c>
      <c r="S2551" s="9" t="str">
        <f aca="false">IF(R2551="","",ROUND(L2551-R2551,2))</f>
        <v/>
      </c>
      <c r="T2551" s="8" t="str">
        <f aca="false">IF(A2551="","",IF(S2551="","BYPASS",IF(ABS(S2551)&lt;=Summary!$B$2,"PASS","FAIL")))</f>
        <v/>
      </c>
      <c r="U2551" s="8" t="str">
        <f aca="false">IF(T2551="BYPASS",IF(NOT(ISNUMBER(Q2551)),"PreV_ETB missing","End_tr_balance missing"),IF(T2551="FAIL",IF(AND(ISNUMBER(K2551),ISNUMBER(L2551),ABS(L2551-(K2551-IF(ISNUMBER(N2551),N2551,0)-IF(ISNUMBER(O2551),O2551,0)+IF(ISNUMBER(P2551),P2551,0)))&lt;=Summary!$B$2),"Passes using beginning_balance - PreV_ETB differs from beginning_balance",IF(AND(ISNUMBER(O2551),O2551&lt;0,ABS(L2551-(Q2551-IF(ISNUMBER(N2551),N2551,0)+IF(ISNUMBER(P2551),P2551,0)))&lt;=Summary!$B$2),"Negative realized loss not applied - check sign",IF(R2551&lt;0,"Principal paid exceeds prior balance",IF(AND(L2551&gt;Q2551,NOT(ISNUMBER(P2551))),"Balance increased but no Deferred_interest reported",IF(L2551&gt;R2551,"Reported balance higher than expected (missing increase/OC build)","Reported balance lower than expected (missing decrease)"))))),""))</f>
        <v/>
      </c>
    </row>
    <row r="2552" customFormat="false" ht="15" hidden="false" customHeight="false" outlineLevel="0" collapsed="false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9"/>
      <c r="L2552" s="9"/>
      <c r="M2552" s="9"/>
      <c r="N2552" s="9"/>
      <c r="O2552" s="9"/>
      <c r="P2552" s="9"/>
      <c r="Q2552" s="9"/>
      <c r="R2552" s="9" t="str">
        <f aca="false">IF(AND(A2552&lt;&gt;"",ISNUMBER(Q2552),ISNUMBER(L2552)),ROUND(Q2552-IF(ISNUMBER(N2552),N2552,0)-IF(ISNUMBER(O2552),O2552,0)+IF(ISNUMBER(P2552),P2552,0),2),"")</f>
        <v/>
      </c>
      <c r="S2552" s="9" t="str">
        <f aca="false">IF(R2552="","",ROUND(L2552-R2552,2))</f>
        <v/>
      </c>
      <c r="T2552" s="8" t="str">
        <f aca="false">IF(A2552="","",IF(S2552="","BYPASS",IF(ABS(S2552)&lt;=Summary!$B$2,"PASS","FAIL")))</f>
        <v/>
      </c>
      <c r="U2552" s="8" t="str">
        <f aca="false">IF(T2552="BYPASS",IF(NOT(ISNUMBER(Q2552)),"PreV_ETB missing","End_tr_balance missing"),IF(T2552="FAIL",IF(AND(ISNUMBER(K2552),ISNUMBER(L2552),ABS(L2552-(K2552-IF(ISNUMBER(N2552),N2552,0)-IF(ISNUMBER(O2552),O2552,0)+IF(ISNUMBER(P2552),P2552,0)))&lt;=Summary!$B$2),"Passes using beginning_balance - PreV_ETB differs from beginning_balance",IF(AND(ISNUMBER(O2552),O2552&lt;0,ABS(L2552-(Q2552-IF(ISNUMBER(N2552),N2552,0)+IF(ISNUMBER(P2552),P2552,0)))&lt;=Summary!$B$2),"Negative realized loss not applied - check sign",IF(R2552&lt;0,"Principal paid exceeds prior balance",IF(AND(L2552&gt;Q2552,NOT(ISNUMBER(P2552))),"Balance increased but no Deferred_interest reported",IF(L2552&gt;R2552,"Reported balance higher than expected (missing increase/OC build)","Reported balance lower than expected (missing decrease)"))))),""))</f>
        <v/>
      </c>
    </row>
    <row r="2553" customFormat="false" ht="15" hidden="false" customHeight="false" outlineLevel="0" collapsed="false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9"/>
      <c r="L2553" s="9"/>
      <c r="M2553" s="9"/>
      <c r="N2553" s="9"/>
      <c r="O2553" s="9"/>
      <c r="P2553" s="9"/>
      <c r="Q2553" s="9"/>
      <c r="R2553" s="9" t="str">
        <f aca="false">IF(AND(A2553&lt;&gt;"",ISNUMBER(Q2553),ISNUMBER(L2553)),ROUND(Q2553-IF(ISNUMBER(N2553),N2553,0)-IF(ISNUMBER(O2553),O2553,0)+IF(ISNUMBER(P2553),P2553,0),2),"")</f>
        <v/>
      </c>
      <c r="S2553" s="9" t="str">
        <f aca="false">IF(R2553="","",ROUND(L2553-R2553,2))</f>
        <v/>
      </c>
      <c r="T2553" s="8" t="str">
        <f aca="false">IF(A2553="","",IF(S2553="","BYPASS",IF(ABS(S2553)&lt;=Summary!$B$2,"PASS","FAIL")))</f>
        <v/>
      </c>
      <c r="U2553" s="8" t="str">
        <f aca="false">IF(T2553="BYPASS",IF(NOT(ISNUMBER(Q2553)),"PreV_ETB missing","End_tr_balance missing"),IF(T2553="FAIL",IF(AND(ISNUMBER(K2553),ISNUMBER(L2553),ABS(L2553-(K2553-IF(ISNUMBER(N2553),N2553,0)-IF(ISNUMBER(O2553),O2553,0)+IF(ISNUMBER(P2553),P2553,0)))&lt;=Summary!$B$2),"Passes using beginning_balance - PreV_ETB differs from beginning_balance",IF(AND(ISNUMBER(O2553),O2553&lt;0,ABS(L2553-(Q2553-IF(ISNUMBER(N2553),N2553,0)+IF(ISNUMBER(P2553),P2553,0)))&lt;=Summary!$B$2),"Negative realized loss not applied - check sign",IF(R2553&lt;0,"Principal paid exceeds prior balance",IF(AND(L2553&gt;Q2553,NOT(ISNUMBER(P2553))),"Balance increased but no Deferred_interest reported",IF(L2553&gt;R2553,"Reported balance higher than expected (missing increase/OC build)","Reported balance lower than expected (missing decrease)"))))),""))</f>
        <v/>
      </c>
    </row>
    <row r="2554" customFormat="false" ht="15" hidden="false" customHeight="false" outlineLevel="0" collapsed="false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9"/>
      <c r="L2554" s="9"/>
      <c r="M2554" s="9"/>
      <c r="N2554" s="9"/>
      <c r="O2554" s="9"/>
      <c r="P2554" s="9"/>
      <c r="Q2554" s="9"/>
      <c r="R2554" s="9" t="str">
        <f aca="false">IF(AND(A2554&lt;&gt;"",ISNUMBER(Q2554),ISNUMBER(L2554)),ROUND(Q2554-IF(ISNUMBER(N2554),N2554,0)-IF(ISNUMBER(O2554),O2554,0)+IF(ISNUMBER(P2554),P2554,0),2),"")</f>
        <v/>
      </c>
      <c r="S2554" s="9" t="str">
        <f aca="false">IF(R2554="","",ROUND(L2554-R2554,2))</f>
        <v/>
      </c>
      <c r="T2554" s="8" t="str">
        <f aca="false">IF(A2554="","",IF(S2554="","BYPASS",IF(ABS(S2554)&lt;=Summary!$B$2,"PASS","FAIL")))</f>
        <v/>
      </c>
      <c r="U2554" s="8" t="str">
        <f aca="false">IF(T2554="BYPASS",IF(NOT(ISNUMBER(Q2554)),"PreV_ETB missing","End_tr_balance missing"),IF(T2554="FAIL",IF(AND(ISNUMBER(K2554),ISNUMBER(L2554),ABS(L2554-(K2554-IF(ISNUMBER(N2554),N2554,0)-IF(ISNUMBER(O2554),O2554,0)+IF(ISNUMBER(P2554),P2554,0)))&lt;=Summary!$B$2),"Passes using beginning_balance - PreV_ETB differs from beginning_balance",IF(AND(ISNUMBER(O2554),O2554&lt;0,ABS(L2554-(Q2554-IF(ISNUMBER(N2554),N2554,0)+IF(ISNUMBER(P2554),P2554,0)))&lt;=Summary!$B$2),"Negative realized loss not applied - check sign",IF(R2554&lt;0,"Principal paid exceeds prior balance",IF(AND(L2554&gt;Q2554,NOT(ISNUMBER(P2554))),"Balance increased but no Deferred_interest reported",IF(L2554&gt;R2554,"Reported balance higher than expected (missing increase/OC build)","Reported balance lower than expected (missing decrease)"))))),""))</f>
        <v/>
      </c>
    </row>
    <row r="2555" customFormat="false" ht="15" hidden="false" customHeight="false" outlineLevel="0" collapsed="false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9"/>
      <c r="L2555" s="9"/>
      <c r="M2555" s="9"/>
      <c r="N2555" s="9"/>
      <c r="O2555" s="9"/>
      <c r="P2555" s="9"/>
      <c r="Q2555" s="9"/>
      <c r="R2555" s="9" t="str">
        <f aca="false">IF(AND(A2555&lt;&gt;"",ISNUMBER(Q2555),ISNUMBER(L2555)),ROUND(Q2555-IF(ISNUMBER(N2555),N2555,0)-IF(ISNUMBER(O2555),O2555,0)+IF(ISNUMBER(P2555),P2555,0),2),"")</f>
        <v/>
      </c>
      <c r="S2555" s="9" t="str">
        <f aca="false">IF(R2555="","",ROUND(L2555-R2555,2))</f>
        <v/>
      </c>
      <c r="T2555" s="8" t="str">
        <f aca="false">IF(A2555="","",IF(S2555="","BYPASS",IF(ABS(S2555)&lt;=Summary!$B$2,"PASS","FAIL")))</f>
        <v/>
      </c>
      <c r="U2555" s="8" t="str">
        <f aca="false">IF(T2555="BYPASS",IF(NOT(ISNUMBER(Q2555)),"PreV_ETB missing","End_tr_balance missing"),IF(T2555="FAIL",IF(AND(ISNUMBER(K2555),ISNUMBER(L2555),ABS(L2555-(K2555-IF(ISNUMBER(N2555),N2555,0)-IF(ISNUMBER(O2555),O2555,0)+IF(ISNUMBER(P2555),P2555,0)))&lt;=Summary!$B$2),"Passes using beginning_balance - PreV_ETB differs from beginning_balance",IF(AND(ISNUMBER(O2555),O2555&lt;0,ABS(L2555-(Q2555-IF(ISNUMBER(N2555),N2555,0)+IF(ISNUMBER(P2555),P2555,0)))&lt;=Summary!$B$2),"Negative realized loss not applied - check sign",IF(R2555&lt;0,"Principal paid exceeds prior balance",IF(AND(L2555&gt;Q2555,NOT(ISNUMBER(P2555))),"Balance increased but no Deferred_interest reported",IF(L2555&gt;R2555,"Reported balance higher than expected (missing increase/OC build)","Reported balance lower than expected (missing decrease)"))))),""))</f>
        <v/>
      </c>
    </row>
    <row r="2556" customFormat="false" ht="15" hidden="false" customHeight="false" outlineLevel="0" collapsed="false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9"/>
      <c r="L2556" s="9"/>
      <c r="M2556" s="9"/>
      <c r="N2556" s="9"/>
      <c r="O2556" s="9"/>
      <c r="P2556" s="9"/>
      <c r="Q2556" s="9"/>
      <c r="R2556" s="9" t="str">
        <f aca="false">IF(AND(A2556&lt;&gt;"",ISNUMBER(Q2556),ISNUMBER(L2556)),ROUND(Q2556-IF(ISNUMBER(N2556),N2556,0)-IF(ISNUMBER(O2556),O2556,0)+IF(ISNUMBER(P2556),P2556,0),2),"")</f>
        <v/>
      </c>
      <c r="S2556" s="9" t="str">
        <f aca="false">IF(R2556="","",ROUND(L2556-R2556,2))</f>
        <v/>
      </c>
      <c r="T2556" s="8" t="str">
        <f aca="false">IF(A2556="","",IF(S2556="","BYPASS",IF(ABS(S2556)&lt;=Summary!$B$2,"PASS","FAIL")))</f>
        <v/>
      </c>
      <c r="U2556" s="8" t="str">
        <f aca="false">IF(T2556="BYPASS",IF(NOT(ISNUMBER(Q2556)),"PreV_ETB missing","End_tr_balance missing"),IF(T2556="FAIL",IF(AND(ISNUMBER(K2556),ISNUMBER(L2556),ABS(L2556-(K2556-IF(ISNUMBER(N2556),N2556,0)-IF(ISNUMBER(O2556),O2556,0)+IF(ISNUMBER(P2556),P2556,0)))&lt;=Summary!$B$2),"Passes using beginning_balance - PreV_ETB differs from beginning_balance",IF(AND(ISNUMBER(O2556),O2556&lt;0,ABS(L2556-(Q2556-IF(ISNUMBER(N2556),N2556,0)+IF(ISNUMBER(P2556),P2556,0)))&lt;=Summary!$B$2),"Negative realized loss not applied - check sign",IF(R2556&lt;0,"Principal paid exceeds prior balance",IF(AND(L2556&gt;Q2556,NOT(ISNUMBER(P2556))),"Balance increased but no Deferred_interest reported",IF(L2556&gt;R2556,"Reported balance higher than expected (missing increase/OC build)","Reported balance lower than expected (missing decrease)"))))),""))</f>
        <v/>
      </c>
    </row>
    <row r="2557" customFormat="false" ht="15" hidden="false" customHeight="false" outlineLevel="0" collapsed="false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9"/>
      <c r="L2557" s="9"/>
      <c r="M2557" s="9"/>
      <c r="N2557" s="9"/>
      <c r="O2557" s="9"/>
      <c r="P2557" s="9"/>
      <c r="Q2557" s="9"/>
      <c r="R2557" s="9" t="str">
        <f aca="false">IF(AND(A2557&lt;&gt;"",ISNUMBER(Q2557),ISNUMBER(L2557)),ROUND(Q2557-IF(ISNUMBER(N2557),N2557,0)-IF(ISNUMBER(O2557),O2557,0)+IF(ISNUMBER(P2557),P2557,0),2),"")</f>
        <v/>
      </c>
      <c r="S2557" s="9" t="str">
        <f aca="false">IF(R2557="","",ROUND(L2557-R2557,2))</f>
        <v/>
      </c>
      <c r="T2557" s="8" t="str">
        <f aca="false">IF(A2557="","",IF(S2557="","BYPASS",IF(ABS(S2557)&lt;=Summary!$B$2,"PASS","FAIL")))</f>
        <v/>
      </c>
      <c r="U2557" s="8" t="str">
        <f aca="false">IF(T2557="BYPASS",IF(NOT(ISNUMBER(Q2557)),"PreV_ETB missing","End_tr_balance missing"),IF(T2557="FAIL",IF(AND(ISNUMBER(K2557),ISNUMBER(L2557),ABS(L2557-(K2557-IF(ISNUMBER(N2557),N2557,0)-IF(ISNUMBER(O2557),O2557,0)+IF(ISNUMBER(P2557),P2557,0)))&lt;=Summary!$B$2),"Passes using beginning_balance - PreV_ETB differs from beginning_balance",IF(AND(ISNUMBER(O2557),O2557&lt;0,ABS(L2557-(Q2557-IF(ISNUMBER(N2557),N2557,0)+IF(ISNUMBER(P2557),P2557,0)))&lt;=Summary!$B$2),"Negative realized loss not applied - check sign",IF(R2557&lt;0,"Principal paid exceeds prior balance",IF(AND(L2557&gt;Q2557,NOT(ISNUMBER(P2557))),"Balance increased but no Deferred_interest reported",IF(L2557&gt;R2557,"Reported balance higher than expected (missing increase/OC build)","Reported balance lower than expected (missing decrease)"))))),""))</f>
        <v/>
      </c>
    </row>
    <row r="2558" customFormat="false" ht="15" hidden="false" customHeight="false" outlineLevel="0" collapsed="false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9"/>
      <c r="L2558" s="9"/>
      <c r="M2558" s="9"/>
      <c r="N2558" s="9"/>
      <c r="O2558" s="9"/>
      <c r="P2558" s="9"/>
      <c r="Q2558" s="9"/>
      <c r="R2558" s="9" t="str">
        <f aca="false">IF(AND(A2558&lt;&gt;"",ISNUMBER(Q2558),ISNUMBER(L2558)),ROUND(Q2558-IF(ISNUMBER(N2558),N2558,0)-IF(ISNUMBER(O2558),O2558,0)+IF(ISNUMBER(P2558),P2558,0),2),"")</f>
        <v/>
      </c>
      <c r="S2558" s="9" t="str">
        <f aca="false">IF(R2558="","",ROUND(L2558-R2558,2))</f>
        <v/>
      </c>
      <c r="T2558" s="8" t="str">
        <f aca="false">IF(A2558="","",IF(S2558="","BYPASS",IF(ABS(S2558)&lt;=Summary!$B$2,"PASS","FAIL")))</f>
        <v/>
      </c>
      <c r="U2558" s="8" t="str">
        <f aca="false">IF(T2558="BYPASS",IF(NOT(ISNUMBER(Q2558)),"PreV_ETB missing","End_tr_balance missing"),IF(T2558="FAIL",IF(AND(ISNUMBER(K2558),ISNUMBER(L2558),ABS(L2558-(K2558-IF(ISNUMBER(N2558),N2558,0)-IF(ISNUMBER(O2558),O2558,0)+IF(ISNUMBER(P2558),P2558,0)))&lt;=Summary!$B$2),"Passes using beginning_balance - PreV_ETB differs from beginning_balance",IF(AND(ISNUMBER(O2558),O2558&lt;0,ABS(L2558-(Q2558-IF(ISNUMBER(N2558),N2558,0)+IF(ISNUMBER(P2558),P2558,0)))&lt;=Summary!$B$2),"Negative realized loss not applied - check sign",IF(R2558&lt;0,"Principal paid exceeds prior balance",IF(AND(L2558&gt;Q2558,NOT(ISNUMBER(P2558))),"Balance increased but no Deferred_interest reported",IF(L2558&gt;R2558,"Reported balance higher than expected (missing increase/OC build)","Reported balance lower than expected (missing decrease)"))))),""))</f>
        <v/>
      </c>
    </row>
    <row r="2559" customFormat="false" ht="15" hidden="false" customHeight="false" outlineLevel="0" collapsed="false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9"/>
      <c r="L2559" s="9"/>
      <c r="M2559" s="9"/>
      <c r="N2559" s="9"/>
      <c r="O2559" s="9"/>
      <c r="P2559" s="9"/>
      <c r="Q2559" s="9"/>
      <c r="R2559" s="9" t="str">
        <f aca="false">IF(AND(A2559&lt;&gt;"",ISNUMBER(Q2559),ISNUMBER(L2559)),ROUND(Q2559-IF(ISNUMBER(N2559),N2559,0)-IF(ISNUMBER(O2559),O2559,0)+IF(ISNUMBER(P2559),P2559,0),2),"")</f>
        <v/>
      </c>
      <c r="S2559" s="9" t="str">
        <f aca="false">IF(R2559="","",ROUND(L2559-R2559,2))</f>
        <v/>
      </c>
      <c r="T2559" s="8" t="str">
        <f aca="false">IF(A2559="","",IF(S2559="","BYPASS",IF(ABS(S2559)&lt;=Summary!$B$2,"PASS","FAIL")))</f>
        <v/>
      </c>
      <c r="U2559" s="8" t="str">
        <f aca="false">IF(T2559="BYPASS",IF(NOT(ISNUMBER(Q2559)),"PreV_ETB missing","End_tr_balance missing"),IF(T2559="FAIL",IF(AND(ISNUMBER(K2559),ISNUMBER(L2559),ABS(L2559-(K2559-IF(ISNUMBER(N2559),N2559,0)-IF(ISNUMBER(O2559),O2559,0)+IF(ISNUMBER(P2559),P2559,0)))&lt;=Summary!$B$2),"Passes using beginning_balance - PreV_ETB differs from beginning_balance",IF(AND(ISNUMBER(O2559),O2559&lt;0,ABS(L2559-(Q2559-IF(ISNUMBER(N2559),N2559,0)+IF(ISNUMBER(P2559),P2559,0)))&lt;=Summary!$B$2),"Negative realized loss not applied - check sign",IF(R2559&lt;0,"Principal paid exceeds prior balance",IF(AND(L2559&gt;Q2559,NOT(ISNUMBER(P2559))),"Balance increased but no Deferred_interest reported",IF(L2559&gt;R2559,"Reported balance higher than expected (missing increase/OC build)","Reported balance lower than expected (missing decrease)"))))),""))</f>
        <v/>
      </c>
    </row>
    <row r="2560" customFormat="false" ht="15" hidden="false" customHeight="false" outlineLevel="0" collapsed="false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9"/>
      <c r="L2560" s="9"/>
      <c r="M2560" s="9"/>
      <c r="N2560" s="9"/>
      <c r="O2560" s="9"/>
      <c r="P2560" s="9"/>
      <c r="Q2560" s="9"/>
      <c r="R2560" s="9" t="str">
        <f aca="false">IF(AND(A2560&lt;&gt;"",ISNUMBER(Q2560),ISNUMBER(L2560)),ROUND(Q2560-IF(ISNUMBER(N2560),N2560,0)-IF(ISNUMBER(O2560),O2560,0)+IF(ISNUMBER(P2560),P2560,0),2),"")</f>
        <v/>
      </c>
      <c r="S2560" s="9" t="str">
        <f aca="false">IF(R2560="","",ROUND(L2560-R2560,2))</f>
        <v/>
      </c>
      <c r="T2560" s="8" t="str">
        <f aca="false">IF(A2560="","",IF(S2560="","BYPASS",IF(ABS(S2560)&lt;=Summary!$B$2,"PASS","FAIL")))</f>
        <v/>
      </c>
      <c r="U2560" s="8" t="str">
        <f aca="false">IF(T2560="BYPASS",IF(NOT(ISNUMBER(Q2560)),"PreV_ETB missing","End_tr_balance missing"),IF(T2560="FAIL",IF(AND(ISNUMBER(K2560),ISNUMBER(L2560),ABS(L2560-(K2560-IF(ISNUMBER(N2560),N2560,0)-IF(ISNUMBER(O2560),O2560,0)+IF(ISNUMBER(P2560),P2560,0)))&lt;=Summary!$B$2),"Passes using beginning_balance - PreV_ETB differs from beginning_balance",IF(AND(ISNUMBER(O2560),O2560&lt;0,ABS(L2560-(Q2560-IF(ISNUMBER(N2560),N2560,0)+IF(ISNUMBER(P2560),P2560,0)))&lt;=Summary!$B$2),"Negative realized loss not applied - check sign",IF(R2560&lt;0,"Principal paid exceeds prior balance",IF(AND(L2560&gt;Q2560,NOT(ISNUMBER(P2560))),"Balance increased but no Deferred_interest reported",IF(L2560&gt;R2560,"Reported balance higher than expected (missing increase/OC build)","Reported balance lower than expected (missing decrease)"))))),""))</f>
        <v/>
      </c>
    </row>
    <row r="2561" customFormat="false" ht="15" hidden="false" customHeight="false" outlineLevel="0" collapsed="false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9"/>
      <c r="L2561" s="9"/>
      <c r="M2561" s="9"/>
      <c r="N2561" s="9"/>
      <c r="O2561" s="9"/>
      <c r="P2561" s="9"/>
      <c r="Q2561" s="9"/>
      <c r="R2561" s="9" t="str">
        <f aca="false">IF(AND(A2561&lt;&gt;"",ISNUMBER(Q2561),ISNUMBER(L2561)),ROUND(Q2561-IF(ISNUMBER(N2561),N2561,0)-IF(ISNUMBER(O2561),O2561,0)+IF(ISNUMBER(P2561),P2561,0),2),"")</f>
        <v/>
      </c>
      <c r="S2561" s="9" t="str">
        <f aca="false">IF(R2561="","",ROUND(L2561-R2561,2))</f>
        <v/>
      </c>
      <c r="T2561" s="8" t="str">
        <f aca="false">IF(A2561="","",IF(S2561="","BYPASS",IF(ABS(S2561)&lt;=Summary!$B$2,"PASS","FAIL")))</f>
        <v/>
      </c>
      <c r="U2561" s="8" t="str">
        <f aca="false">IF(T2561="BYPASS",IF(NOT(ISNUMBER(Q2561)),"PreV_ETB missing","End_tr_balance missing"),IF(T2561="FAIL",IF(AND(ISNUMBER(K2561),ISNUMBER(L2561),ABS(L2561-(K2561-IF(ISNUMBER(N2561),N2561,0)-IF(ISNUMBER(O2561),O2561,0)+IF(ISNUMBER(P2561),P2561,0)))&lt;=Summary!$B$2),"Passes using beginning_balance - PreV_ETB differs from beginning_balance",IF(AND(ISNUMBER(O2561),O2561&lt;0,ABS(L2561-(Q2561-IF(ISNUMBER(N2561),N2561,0)+IF(ISNUMBER(P2561),P2561,0)))&lt;=Summary!$B$2),"Negative realized loss not applied - check sign",IF(R2561&lt;0,"Principal paid exceeds prior balance",IF(AND(L2561&gt;Q2561,NOT(ISNUMBER(P2561))),"Balance increased but no Deferred_interest reported",IF(L2561&gt;R2561,"Reported balance higher than expected (missing increase/OC build)","Reported balance lower than expected (missing decrease)"))))),""))</f>
        <v/>
      </c>
    </row>
    <row r="2562" customFormat="false" ht="15" hidden="false" customHeight="false" outlineLevel="0" collapsed="false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9"/>
      <c r="L2562" s="9"/>
      <c r="M2562" s="9"/>
      <c r="N2562" s="9"/>
      <c r="O2562" s="9"/>
      <c r="P2562" s="9"/>
      <c r="Q2562" s="9"/>
      <c r="R2562" s="9" t="str">
        <f aca="false">IF(AND(A2562&lt;&gt;"",ISNUMBER(Q2562),ISNUMBER(L2562)),ROUND(Q2562-IF(ISNUMBER(N2562),N2562,0)-IF(ISNUMBER(O2562),O2562,0)+IF(ISNUMBER(P2562),P2562,0),2),"")</f>
        <v/>
      </c>
      <c r="S2562" s="9" t="str">
        <f aca="false">IF(R2562="","",ROUND(L2562-R2562,2))</f>
        <v/>
      </c>
      <c r="T2562" s="8" t="str">
        <f aca="false">IF(A2562="","",IF(S2562="","BYPASS",IF(ABS(S2562)&lt;=Summary!$B$2,"PASS","FAIL")))</f>
        <v/>
      </c>
      <c r="U2562" s="8" t="str">
        <f aca="false">IF(T2562="BYPASS",IF(NOT(ISNUMBER(Q2562)),"PreV_ETB missing","End_tr_balance missing"),IF(T2562="FAIL",IF(AND(ISNUMBER(K2562),ISNUMBER(L2562),ABS(L2562-(K2562-IF(ISNUMBER(N2562),N2562,0)-IF(ISNUMBER(O2562),O2562,0)+IF(ISNUMBER(P2562),P2562,0)))&lt;=Summary!$B$2),"Passes using beginning_balance - PreV_ETB differs from beginning_balance",IF(AND(ISNUMBER(O2562),O2562&lt;0,ABS(L2562-(Q2562-IF(ISNUMBER(N2562),N2562,0)+IF(ISNUMBER(P2562),P2562,0)))&lt;=Summary!$B$2),"Negative realized loss not applied - check sign",IF(R2562&lt;0,"Principal paid exceeds prior balance",IF(AND(L2562&gt;Q2562,NOT(ISNUMBER(P2562))),"Balance increased but no Deferred_interest reported",IF(L2562&gt;R2562,"Reported balance higher than expected (missing increase/OC build)","Reported balance lower than expected (missing decrease)"))))),""))</f>
        <v/>
      </c>
    </row>
    <row r="2563" customFormat="false" ht="15" hidden="false" customHeight="false" outlineLevel="0" collapsed="false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9"/>
      <c r="L2563" s="9"/>
      <c r="M2563" s="9"/>
      <c r="N2563" s="9"/>
      <c r="O2563" s="9"/>
      <c r="P2563" s="9"/>
      <c r="Q2563" s="9"/>
      <c r="R2563" s="9" t="str">
        <f aca="false">IF(AND(A2563&lt;&gt;"",ISNUMBER(Q2563),ISNUMBER(L2563)),ROUND(Q2563-IF(ISNUMBER(N2563),N2563,0)-IF(ISNUMBER(O2563),O2563,0)+IF(ISNUMBER(P2563),P2563,0),2),"")</f>
        <v/>
      </c>
      <c r="S2563" s="9" t="str">
        <f aca="false">IF(R2563="","",ROUND(L2563-R2563,2))</f>
        <v/>
      </c>
      <c r="T2563" s="8" t="str">
        <f aca="false">IF(A2563="","",IF(S2563="","BYPASS",IF(ABS(S2563)&lt;=Summary!$B$2,"PASS","FAIL")))</f>
        <v/>
      </c>
      <c r="U2563" s="8" t="str">
        <f aca="false">IF(T2563="BYPASS",IF(NOT(ISNUMBER(Q2563)),"PreV_ETB missing","End_tr_balance missing"),IF(T2563="FAIL",IF(AND(ISNUMBER(K2563),ISNUMBER(L2563),ABS(L2563-(K2563-IF(ISNUMBER(N2563),N2563,0)-IF(ISNUMBER(O2563),O2563,0)+IF(ISNUMBER(P2563),P2563,0)))&lt;=Summary!$B$2),"Passes using beginning_balance - PreV_ETB differs from beginning_balance",IF(AND(ISNUMBER(O2563),O2563&lt;0,ABS(L2563-(Q2563-IF(ISNUMBER(N2563),N2563,0)+IF(ISNUMBER(P2563),P2563,0)))&lt;=Summary!$B$2),"Negative realized loss not applied - check sign",IF(R2563&lt;0,"Principal paid exceeds prior balance",IF(AND(L2563&gt;Q2563,NOT(ISNUMBER(P2563))),"Balance increased but no Deferred_interest reported",IF(L2563&gt;R2563,"Reported balance higher than expected (missing increase/OC build)","Reported balance lower than expected (missing decrease)"))))),""))</f>
        <v/>
      </c>
    </row>
    <row r="2564" customFormat="false" ht="15" hidden="false" customHeight="false" outlineLevel="0" collapsed="false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9"/>
      <c r="L2564" s="9"/>
      <c r="M2564" s="9"/>
      <c r="N2564" s="9"/>
      <c r="O2564" s="9"/>
      <c r="P2564" s="9"/>
      <c r="Q2564" s="9"/>
      <c r="R2564" s="9" t="str">
        <f aca="false">IF(AND(A2564&lt;&gt;"",ISNUMBER(Q2564),ISNUMBER(L2564)),ROUND(Q2564-IF(ISNUMBER(N2564),N2564,0)-IF(ISNUMBER(O2564),O2564,0)+IF(ISNUMBER(P2564),P2564,0),2),"")</f>
        <v/>
      </c>
      <c r="S2564" s="9" t="str">
        <f aca="false">IF(R2564="","",ROUND(L2564-R2564,2))</f>
        <v/>
      </c>
      <c r="T2564" s="8" t="str">
        <f aca="false">IF(A2564="","",IF(S2564="","BYPASS",IF(ABS(S2564)&lt;=Summary!$B$2,"PASS","FAIL")))</f>
        <v/>
      </c>
      <c r="U2564" s="8" t="str">
        <f aca="false">IF(T2564="BYPASS",IF(NOT(ISNUMBER(Q2564)),"PreV_ETB missing","End_tr_balance missing"),IF(T2564="FAIL",IF(AND(ISNUMBER(K2564),ISNUMBER(L2564),ABS(L2564-(K2564-IF(ISNUMBER(N2564),N2564,0)-IF(ISNUMBER(O2564),O2564,0)+IF(ISNUMBER(P2564),P2564,0)))&lt;=Summary!$B$2),"Passes using beginning_balance - PreV_ETB differs from beginning_balance",IF(AND(ISNUMBER(O2564),O2564&lt;0,ABS(L2564-(Q2564-IF(ISNUMBER(N2564),N2564,0)+IF(ISNUMBER(P2564),P2564,0)))&lt;=Summary!$B$2),"Negative realized loss not applied - check sign",IF(R2564&lt;0,"Principal paid exceeds prior balance",IF(AND(L2564&gt;Q2564,NOT(ISNUMBER(P2564))),"Balance increased but no Deferred_interest reported",IF(L2564&gt;R2564,"Reported balance higher than expected (missing increase/OC build)","Reported balance lower than expected (missing decrease)"))))),""))</f>
        <v/>
      </c>
    </row>
    <row r="2565" customFormat="false" ht="15" hidden="false" customHeight="false" outlineLevel="0" collapsed="false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9"/>
      <c r="L2565" s="9"/>
      <c r="M2565" s="9"/>
      <c r="N2565" s="9"/>
      <c r="O2565" s="9"/>
      <c r="P2565" s="9"/>
      <c r="Q2565" s="9"/>
      <c r="R2565" s="9" t="str">
        <f aca="false">IF(AND(A2565&lt;&gt;"",ISNUMBER(Q2565),ISNUMBER(L2565)),ROUND(Q2565-IF(ISNUMBER(N2565),N2565,0)-IF(ISNUMBER(O2565),O2565,0)+IF(ISNUMBER(P2565),P2565,0),2),"")</f>
        <v/>
      </c>
      <c r="S2565" s="9" t="str">
        <f aca="false">IF(R2565="","",ROUND(L2565-R2565,2))</f>
        <v/>
      </c>
      <c r="T2565" s="8" t="str">
        <f aca="false">IF(A2565="","",IF(S2565="","BYPASS",IF(ABS(S2565)&lt;=Summary!$B$2,"PASS","FAIL")))</f>
        <v/>
      </c>
      <c r="U2565" s="8" t="str">
        <f aca="false">IF(T2565="BYPASS",IF(NOT(ISNUMBER(Q2565)),"PreV_ETB missing","End_tr_balance missing"),IF(T2565="FAIL",IF(AND(ISNUMBER(K2565),ISNUMBER(L2565),ABS(L2565-(K2565-IF(ISNUMBER(N2565),N2565,0)-IF(ISNUMBER(O2565),O2565,0)+IF(ISNUMBER(P2565),P2565,0)))&lt;=Summary!$B$2),"Passes using beginning_balance - PreV_ETB differs from beginning_balance",IF(AND(ISNUMBER(O2565),O2565&lt;0,ABS(L2565-(Q2565-IF(ISNUMBER(N2565),N2565,0)+IF(ISNUMBER(P2565),P2565,0)))&lt;=Summary!$B$2),"Negative realized loss not applied - check sign",IF(R2565&lt;0,"Principal paid exceeds prior balance",IF(AND(L2565&gt;Q2565,NOT(ISNUMBER(P2565))),"Balance increased but no Deferred_interest reported",IF(L2565&gt;R2565,"Reported balance higher than expected (missing increase/OC build)","Reported balance lower than expected (missing decrease)"))))),""))</f>
        <v/>
      </c>
    </row>
    <row r="2566" customFormat="false" ht="15" hidden="false" customHeight="false" outlineLevel="0" collapsed="false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9"/>
      <c r="L2566" s="9"/>
      <c r="M2566" s="9"/>
      <c r="N2566" s="9"/>
      <c r="O2566" s="9"/>
      <c r="P2566" s="9"/>
      <c r="Q2566" s="9"/>
      <c r="R2566" s="9" t="str">
        <f aca="false">IF(AND(A2566&lt;&gt;"",ISNUMBER(Q2566),ISNUMBER(L2566)),ROUND(Q2566-IF(ISNUMBER(N2566),N2566,0)-IF(ISNUMBER(O2566),O2566,0)+IF(ISNUMBER(P2566),P2566,0),2),"")</f>
        <v/>
      </c>
      <c r="S2566" s="9" t="str">
        <f aca="false">IF(R2566="","",ROUND(L2566-R2566,2))</f>
        <v/>
      </c>
      <c r="T2566" s="8" t="str">
        <f aca="false">IF(A2566="","",IF(S2566="","BYPASS",IF(ABS(S2566)&lt;=Summary!$B$2,"PASS","FAIL")))</f>
        <v/>
      </c>
      <c r="U2566" s="8" t="str">
        <f aca="false">IF(T2566="BYPASS",IF(NOT(ISNUMBER(Q2566)),"PreV_ETB missing","End_tr_balance missing"),IF(T2566="FAIL",IF(AND(ISNUMBER(K2566),ISNUMBER(L2566),ABS(L2566-(K2566-IF(ISNUMBER(N2566),N2566,0)-IF(ISNUMBER(O2566),O2566,0)+IF(ISNUMBER(P2566),P2566,0)))&lt;=Summary!$B$2),"Passes using beginning_balance - PreV_ETB differs from beginning_balance",IF(AND(ISNUMBER(O2566),O2566&lt;0,ABS(L2566-(Q2566-IF(ISNUMBER(N2566),N2566,0)+IF(ISNUMBER(P2566),P2566,0)))&lt;=Summary!$B$2),"Negative realized loss not applied - check sign",IF(R2566&lt;0,"Principal paid exceeds prior balance",IF(AND(L2566&gt;Q2566,NOT(ISNUMBER(P2566))),"Balance increased but no Deferred_interest reported",IF(L2566&gt;R2566,"Reported balance higher than expected (missing increase/OC build)","Reported balance lower than expected (missing decrease)"))))),""))</f>
        <v/>
      </c>
    </row>
    <row r="2567" customFormat="false" ht="15" hidden="false" customHeight="false" outlineLevel="0" collapsed="false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9"/>
      <c r="L2567" s="9"/>
      <c r="M2567" s="9"/>
      <c r="N2567" s="9"/>
      <c r="O2567" s="9"/>
      <c r="P2567" s="9"/>
      <c r="Q2567" s="9"/>
      <c r="R2567" s="9" t="str">
        <f aca="false">IF(AND(A2567&lt;&gt;"",ISNUMBER(Q2567),ISNUMBER(L2567)),ROUND(Q2567-IF(ISNUMBER(N2567),N2567,0)-IF(ISNUMBER(O2567),O2567,0)+IF(ISNUMBER(P2567),P2567,0),2),"")</f>
        <v/>
      </c>
      <c r="S2567" s="9" t="str">
        <f aca="false">IF(R2567="","",ROUND(L2567-R2567,2))</f>
        <v/>
      </c>
      <c r="T2567" s="8" t="str">
        <f aca="false">IF(A2567="","",IF(S2567="","BYPASS",IF(ABS(S2567)&lt;=Summary!$B$2,"PASS","FAIL")))</f>
        <v/>
      </c>
      <c r="U2567" s="8" t="str">
        <f aca="false">IF(T2567="BYPASS",IF(NOT(ISNUMBER(Q2567)),"PreV_ETB missing","End_tr_balance missing"),IF(T2567="FAIL",IF(AND(ISNUMBER(K2567),ISNUMBER(L2567),ABS(L2567-(K2567-IF(ISNUMBER(N2567),N2567,0)-IF(ISNUMBER(O2567),O2567,0)+IF(ISNUMBER(P2567),P2567,0)))&lt;=Summary!$B$2),"Passes using beginning_balance - PreV_ETB differs from beginning_balance",IF(AND(ISNUMBER(O2567),O2567&lt;0,ABS(L2567-(Q2567-IF(ISNUMBER(N2567),N2567,0)+IF(ISNUMBER(P2567),P2567,0)))&lt;=Summary!$B$2),"Negative realized loss not applied - check sign",IF(R2567&lt;0,"Principal paid exceeds prior balance",IF(AND(L2567&gt;Q2567,NOT(ISNUMBER(P2567))),"Balance increased but no Deferred_interest reported",IF(L2567&gt;R2567,"Reported balance higher than expected (missing increase/OC build)","Reported balance lower than expected (missing decrease)"))))),""))</f>
        <v/>
      </c>
    </row>
    <row r="2568" customFormat="false" ht="15" hidden="false" customHeight="false" outlineLevel="0" collapsed="false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9"/>
      <c r="L2568" s="9"/>
      <c r="M2568" s="9"/>
      <c r="N2568" s="9"/>
      <c r="O2568" s="9"/>
      <c r="P2568" s="9"/>
      <c r="Q2568" s="9"/>
      <c r="R2568" s="9" t="str">
        <f aca="false">IF(AND(A2568&lt;&gt;"",ISNUMBER(Q2568),ISNUMBER(L2568)),ROUND(Q2568-IF(ISNUMBER(N2568),N2568,0)-IF(ISNUMBER(O2568),O2568,0)+IF(ISNUMBER(P2568),P2568,0),2),"")</f>
        <v/>
      </c>
      <c r="S2568" s="9" t="str">
        <f aca="false">IF(R2568="","",ROUND(L2568-R2568,2))</f>
        <v/>
      </c>
      <c r="T2568" s="8" t="str">
        <f aca="false">IF(A2568="","",IF(S2568="","BYPASS",IF(ABS(S2568)&lt;=Summary!$B$2,"PASS","FAIL")))</f>
        <v/>
      </c>
      <c r="U2568" s="8" t="str">
        <f aca="false">IF(T2568="BYPASS",IF(NOT(ISNUMBER(Q2568)),"PreV_ETB missing","End_tr_balance missing"),IF(T2568="FAIL",IF(AND(ISNUMBER(K2568),ISNUMBER(L2568),ABS(L2568-(K2568-IF(ISNUMBER(N2568),N2568,0)-IF(ISNUMBER(O2568),O2568,0)+IF(ISNUMBER(P2568),P2568,0)))&lt;=Summary!$B$2),"Passes using beginning_balance - PreV_ETB differs from beginning_balance",IF(AND(ISNUMBER(O2568),O2568&lt;0,ABS(L2568-(Q2568-IF(ISNUMBER(N2568),N2568,0)+IF(ISNUMBER(P2568),P2568,0)))&lt;=Summary!$B$2),"Negative realized loss not applied - check sign",IF(R2568&lt;0,"Principal paid exceeds prior balance",IF(AND(L2568&gt;Q2568,NOT(ISNUMBER(P2568))),"Balance increased but no Deferred_interest reported",IF(L2568&gt;R2568,"Reported balance higher than expected (missing increase/OC build)","Reported balance lower than expected (missing decrease)"))))),""))</f>
        <v/>
      </c>
    </row>
    <row r="2569" customFormat="false" ht="15" hidden="false" customHeight="false" outlineLevel="0" collapsed="false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9"/>
      <c r="L2569" s="9"/>
      <c r="M2569" s="9"/>
      <c r="N2569" s="9"/>
      <c r="O2569" s="9"/>
      <c r="P2569" s="9"/>
      <c r="Q2569" s="9"/>
      <c r="R2569" s="9" t="str">
        <f aca="false">IF(AND(A2569&lt;&gt;"",ISNUMBER(Q2569),ISNUMBER(L2569)),ROUND(Q2569-IF(ISNUMBER(N2569),N2569,0)-IF(ISNUMBER(O2569),O2569,0)+IF(ISNUMBER(P2569),P2569,0),2),"")</f>
        <v/>
      </c>
      <c r="S2569" s="9" t="str">
        <f aca="false">IF(R2569="","",ROUND(L2569-R2569,2))</f>
        <v/>
      </c>
      <c r="T2569" s="8" t="str">
        <f aca="false">IF(A2569="","",IF(S2569="","BYPASS",IF(ABS(S2569)&lt;=Summary!$B$2,"PASS","FAIL")))</f>
        <v/>
      </c>
      <c r="U2569" s="8" t="str">
        <f aca="false">IF(T2569="BYPASS",IF(NOT(ISNUMBER(Q2569)),"PreV_ETB missing","End_tr_balance missing"),IF(T2569="FAIL",IF(AND(ISNUMBER(K2569),ISNUMBER(L2569),ABS(L2569-(K2569-IF(ISNUMBER(N2569),N2569,0)-IF(ISNUMBER(O2569),O2569,0)+IF(ISNUMBER(P2569),P2569,0)))&lt;=Summary!$B$2),"Passes using beginning_balance - PreV_ETB differs from beginning_balance",IF(AND(ISNUMBER(O2569),O2569&lt;0,ABS(L2569-(Q2569-IF(ISNUMBER(N2569),N2569,0)+IF(ISNUMBER(P2569),P2569,0)))&lt;=Summary!$B$2),"Negative realized loss not applied - check sign",IF(R2569&lt;0,"Principal paid exceeds prior balance",IF(AND(L2569&gt;Q2569,NOT(ISNUMBER(P2569))),"Balance increased but no Deferred_interest reported",IF(L2569&gt;R2569,"Reported balance higher than expected (missing increase/OC build)","Reported balance lower than expected (missing decrease)"))))),""))</f>
        <v/>
      </c>
    </row>
    <row r="2570" customFormat="false" ht="15" hidden="false" customHeight="false" outlineLevel="0" collapsed="false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9"/>
      <c r="L2570" s="9"/>
      <c r="M2570" s="9"/>
      <c r="N2570" s="9"/>
      <c r="O2570" s="9"/>
      <c r="P2570" s="9"/>
      <c r="Q2570" s="9"/>
      <c r="R2570" s="9" t="str">
        <f aca="false">IF(AND(A2570&lt;&gt;"",ISNUMBER(Q2570),ISNUMBER(L2570)),ROUND(Q2570-IF(ISNUMBER(N2570),N2570,0)-IF(ISNUMBER(O2570),O2570,0)+IF(ISNUMBER(P2570),P2570,0),2),"")</f>
        <v/>
      </c>
      <c r="S2570" s="9" t="str">
        <f aca="false">IF(R2570="","",ROUND(L2570-R2570,2))</f>
        <v/>
      </c>
      <c r="T2570" s="8" t="str">
        <f aca="false">IF(A2570="","",IF(S2570="","BYPASS",IF(ABS(S2570)&lt;=Summary!$B$2,"PASS","FAIL")))</f>
        <v/>
      </c>
      <c r="U2570" s="8" t="str">
        <f aca="false">IF(T2570="BYPASS",IF(NOT(ISNUMBER(Q2570)),"PreV_ETB missing","End_tr_balance missing"),IF(T2570="FAIL",IF(AND(ISNUMBER(K2570),ISNUMBER(L2570),ABS(L2570-(K2570-IF(ISNUMBER(N2570),N2570,0)-IF(ISNUMBER(O2570),O2570,0)+IF(ISNUMBER(P2570),P2570,0)))&lt;=Summary!$B$2),"Passes using beginning_balance - PreV_ETB differs from beginning_balance",IF(AND(ISNUMBER(O2570),O2570&lt;0,ABS(L2570-(Q2570-IF(ISNUMBER(N2570),N2570,0)+IF(ISNUMBER(P2570),P2570,0)))&lt;=Summary!$B$2),"Negative realized loss not applied - check sign",IF(R2570&lt;0,"Principal paid exceeds prior balance",IF(AND(L2570&gt;Q2570,NOT(ISNUMBER(P2570))),"Balance increased but no Deferred_interest reported",IF(L2570&gt;R2570,"Reported balance higher than expected (missing increase/OC build)","Reported balance lower than expected (missing decrease)"))))),""))</f>
        <v/>
      </c>
    </row>
    <row r="2571" customFormat="false" ht="15" hidden="false" customHeight="false" outlineLevel="0" collapsed="false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9"/>
      <c r="L2571" s="9"/>
      <c r="M2571" s="9"/>
      <c r="N2571" s="9"/>
      <c r="O2571" s="9"/>
      <c r="P2571" s="9"/>
      <c r="Q2571" s="9"/>
      <c r="R2571" s="9" t="str">
        <f aca="false">IF(AND(A2571&lt;&gt;"",ISNUMBER(Q2571),ISNUMBER(L2571)),ROUND(Q2571-IF(ISNUMBER(N2571),N2571,0)-IF(ISNUMBER(O2571),O2571,0)+IF(ISNUMBER(P2571),P2571,0),2),"")</f>
        <v/>
      </c>
      <c r="S2571" s="9" t="str">
        <f aca="false">IF(R2571="","",ROUND(L2571-R2571,2))</f>
        <v/>
      </c>
      <c r="T2571" s="8" t="str">
        <f aca="false">IF(A2571="","",IF(S2571="","BYPASS",IF(ABS(S2571)&lt;=Summary!$B$2,"PASS","FAIL")))</f>
        <v/>
      </c>
      <c r="U2571" s="8" t="str">
        <f aca="false">IF(T2571="BYPASS",IF(NOT(ISNUMBER(Q2571)),"PreV_ETB missing","End_tr_balance missing"),IF(T2571="FAIL",IF(AND(ISNUMBER(K2571),ISNUMBER(L2571),ABS(L2571-(K2571-IF(ISNUMBER(N2571),N2571,0)-IF(ISNUMBER(O2571),O2571,0)+IF(ISNUMBER(P2571),P2571,0)))&lt;=Summary!$B$2),"Passes using beginning_balance - PreV_ETB differs from beginning_balance",IF(AND(ISNUMBER(O2571),O2571&lt;0,ABS(L2571-(Q2571-IF(ISNUMBER(N2571),N2571,0)+IF(ISNUMBER(P2571),P2571,0)))&lt;=Summary!$B$2),"Negative realized loss not applied - check sign",IF(R2571&lt;0,"Principal paid exceeds prior balance",IF(AND(L2571&gt;Q2571,NOT(ISNUMBER(P2571))),"Balance increased but no Deferred_interest reported",IF(L2571&gt;R2571,"Reported balance higher than expected (missing increase/OC build)","Reported balance lower than expected (missing decrease)"))))),""))</f>
        <v/>
      </c>
    </row>
    <row r="2572" customFormat="false" ht="15" hidden="false" customHeight="false" outlineLevel="0" collapsed="false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9"/>
      <c r="L2572" s="9"/>
      <c r="M2572" s="9"/>
      <c r="N2572" s="9"/>
      <c r="O2572" s="9"/>
      <c r="P2572" s="9"/>
      <c r="Q2572" s="9"/>
      <c r="R2572" s="9" t="str">
        <f aca="false">IF(AND(A2572&lt;&gt;"",ISNUMBER(Q2572),ISNUMBER(L2572)),ROUND(Q2572-IF(ISNUMBER(N2572),N2572,0)-IF(ISNUMBER(O2572),O2572,0)+IF(ISNUMBER(P2572),P2572,0),2),"")</f>
        <v/>
      </c>
      <c r="S2572" s="9" t="str">
        <f aca="false">IF(R2572="","",ROUND(L2572-R2572,2))</f>
        <v/>
      </c>
      <c r="T2572" s="8" t="str">
        <f aca="false">IF(A2572="","",IF(S2572="","BYPASS",IF(ABS(S2572)&lt;=Summary!$B$2,"PASS","FAIL")))</f>
        <v/>
      </c>
      <c r="U2572" s="8" t="str">
        <f aca="false">IF(T2572="BYPASS",IF(NOT(ISNUMBER(Q2572)),"PreV_ETB missing","End_tr_balance missing"),IF(T2572="FAIL",IF(AND(ISNUMBER(K2572),ISNUMBER(L2572),ABS(L2572-(K2572-IF(ISNUMBER(N2572),N2572,0)-IF(ISNUMBER(O2572),O2572,0)+IF(ISNUMBER(P2572),P2572,0)))&lt;=Summary!$B$2),"Passes using beginning_balance - PreV_ETB differs from beginning_balance",IF(AND(ISNUMBER(O2572),O2572&lt;0,ABS(L2572-(Q2572-IF(ISNUMBER(N2572),N2572,0)+IF(ISNUMBER(P2572),P2572,0)))&lt;=Summary!$B$2),"Negative realized loss not applied - check sign",IF(R2572&lt;0,"Principal paid exceeds prior balance",IF(AND(L2572&gt;Q2572,NOT(ISNUMBER(P2572))),"Balance increased but no Deferred_interest reported",IF(L2572&gt;R2572,"Reported balance higher than expected (missing increase/OC build)","Reported balance lower than expected (missing decrease)"))))),""))</f>
        <v/>
      </c>
    </row>
    <row r="2573" customFormat="false" ht="15" hidden="false" customHeight="false" outlineLevel="0" collapsed="false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9"/>
      <c r="L2573" s="9"/>
      <c r="M2573" s="9"/>
      <c r="N2573" s="9"/>
      <c r="O2573" s="9"/>
      <c r="P2573" s="9"/>
      <c r="Q2573" s="9"/>
      <c r="R2573" s="9" t="str">
        <f aca="false">IF(AND(A2573&lt;&gt;"",ISNUMBER(Q2573),ISNUMBER(L2573)),ROUND(Q2573-IF(ISNUMBER(N2573),N2573,0)-IF(ISNUMBER(O2573),O2573,0)+IF(ISNUMBER(P2573),P2573,0),2),"")</f>
        <v/>
      </c>
      <c r="S2573" s="9" t="str">
        <f aca="false">IF(R2573="","",ROUND(L2573-R2573,2))</f>
        <v/>
      </c>
      <c r="T2573" s="8" t="str">
        <f aca="false">IF(A2573="","",IF(S2573="","BYPASS",IF(ABS(S2573)&lt;=Summary!$B$2,"PASS","FAIL")))</f>
        <v/>
      </c>
      <c r="U2573" s="8" t="str">
        <f aca="false">IF(T2573="BYPASS",IF(NOT(ISNUMBER(Q2573)),"PreV_ETB missing","End_tr_balance missing"),IF(T2573="FAIL",IF(AND(ISNUMBER(K2573),ISNUMBER(L2573),ABS(L2573-(K2573-IF(ISNUMBER(N2573),N2573,0)-IF(ISNUMBER(O2573),O2573,0)+IF(ISNUMBER(P2573),P2573,0)))&lt;=Summary!$B$2),"Passes using beginning_balance - PreV_ETB differs from beginning_balance",IF(AND(ISNUMBER(O2573),O2573&lt;0,ABS(L2573-(Q2573-IF(ISNUMBER(N2573),N2573,0)+IF(ISNUMBER(P2573),P2573,0)))&lt;=Summary!$B$2),"Negative realized loss not applied - check sign",IF(R2573&lt;0,"Principal paid exceeds prior balance",IF(AND(L2573&gt;Q2573,NOT(ISNUMBER(P2573))),"Balance increased but no Deferred_interest reported",IF(L2573&gt;R2573,"Reported balance higher than expected (missing increase/OC build)","Reported balance lower than expected (missing decrease)"))))),""))</f>
        <v/>
      </c>
    </row>
    <row r="2574" customFormat="false" ht="15" hidden="false" customHeight="false" outlineLevel="0" collapsed="false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9"/>
      <c r="L2574" s="9"/>
      <c r="M2574" s="9"/>
      <c r="N2574" s="9"/>
      <c r="O2574" s="9"/>
      <c r="P2574" s="9"/>
      <c r="Q2574" s="9"/>
      <c r="R2574" s="9" t="str">
        <f aca="false">IF(AND(A2574&lt;&gt;"",ISNUMBER(Q2574),ISNUMBER(L2574)),ROUND(Q2574-IF(ISNUMBER(N2574),N2574,0)-IF(ISNUMBER(O2574),O2574,0)+IF(ISNUMBER(P2574),P2574,0),2),"")</f>
        <v/>
      </c>
      <c r="S2574" s="9" t="str">
        <f aca="false">IF(R2574="","",ROUND(L2574-R2574,2))</f>
        <v/>
      </c>
      <c r="T2574" s="8" t="str">
        <f aca="false">IF(A2574="","",IF(S2574="","BYPASS",IF(ABS(S2574)&lt;=Summary!$B$2,"PASS","FAIL")))</f>
        <v/>
      </c>
      <c r="U2574" s="8" t="str">
        <f aca="false">IF(T2574="BYPASS",IF(NOT(ISNUMBER(Q2574)),"PreV_ETB missing","End_tr_balance missing"),IF(T2574="FAIL",IF(AND(ISNUMBER(K2574),ISNUMBER(L2574),ABS(L2574-(K2574-IF(ISNUMBER(N2574),N2574,0)-IF(ISNUMBER(O2574),O2574,0)+IF(ISNUMBER(P2574),P2574,0)))&lt;=Summary!$B$2),"Passes using beginning_balance - PreV_ETB differs from beginning_balance",IF(AND(ISNUMBER(O2574),O2574&lt;0,ABS(L2574-(Q2574-IF(ISNUMBER(N2574),N2574,0)+IF(ISNUMBER(P2574),P2574,0)))&lt;=Summary!$B$2),"Negative realized loss not applied - check sign",IF(R2574&lt;0,"Principal paid exceeds prior balance",IF(AND(L2574&gt;Q2574,NOT(ISNUMBER(P2574))),"Balance increased but no Deferred_interest reported",IF(L2574&gt;R2574,"Reported balance higher than expected (missing increase/OC build)","Reported balance lower than expected (missing decrease)"))))),""))</f>
        <v/>
      </c>
    </row>
    <row r="2575" customFormat="false" ht="15" hidden="false" customHeight="false" outlineLevel="0" collapsed="false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9"/>
      <c r="L2575" s="9"/>
      <c r="M2575" s="9"/>
      <c r="N2575" s="9"/>
      <c r="O2575" s="9"/>
      <c r="P2575" s="9"/>
      <c r="Q2575" s="9"/>
      <c r="R2575" s="9" t="str">
        <f aca="false">IF(AND(A2575&lt;&gt;"",ISNUMBER(Q2575),ISNUMBER(L2575)),ROUND(Q2575-IF(ISNUMBER(N2575),N2575,0)-IF(ISNUMBER(O2575),O2575,0)+IF(ISNUMBER(P2575),P2575,0),2),"")</f>
        <v/>
      </c>
      <c r="S2575" s="9" t="str">
        <f aca="false">IF(R2575="","",ROUND(L2575-R2575,2))</f>
        <v/>
      </c>
      <c r="T2575" s="8" t="str">
        <f aca="false">IF(A2575="","",IF(S2575="","BYPASS",IF(ABS(S2575)&lt;=Summary!$B$2,"PASS","FAIL")))</f>
        <v/>
      </c>
      <c r="U2575" s="8" t="str">
        <f aca="false">IF(T2575="BYPASS",IF(NOT(ISNUMBER(Q2575)),"PreV_ETB missing","End_tr_balance missing"),IF(T2575="FAIL",IF(AND(ISNUMBER(K2575),ISNUMBER(L2575),ABS(L2575-(K2575-IF(ISNUMBER(N2575),N2575,0)-IF(ISNUMBER(O2575),O2575,0)+IF(ISNUMBER(P2575),P2575,0)))&lt;=Summary!$B$2),"Passes using beginning_balance - PreV_ETB differs from beginning_balance",IF(AND(ISNUMBER(O2575),O2575&lt;0,ABS(L2575-(Q2575-IF(ISNUMBER(N2575),N2575,0)+IF(ISNUMBER(P2575),P2575,0)))&lt;=Summary!$B$2),"Negative realized loss not applied - check sign",IF(R2575&lt;0,"Principal paid exceeds prior balance",IF(AND(L2575&gt;Q2575,NOT(ISNUMBER(P2575))),"Balance increased but no Deferred_interest reported",IF(L2575&gt;R2575,"Reported balance higher than expected (missing increase/OC build)","Reported balance lower than expected (missing decrease)"))))),""))</f>
        <v/>
      </c>
    </row>
    <row r="2576" customFormat="false" ht="15" hidden="false" customHeight="false" outlineLevel="0" collapsed="false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9"/>
      <c r="L2576" s="9"/>
      <c r="M2576" s="9"/>
      <c r="N2576" s="9"/>
      <c r="O2576" s="9"/>
      <c r="P2576" s="9"/>
      <c r="Q2576" s="9"/>
      <c r="R2576" s="9" t="str">
        <f aca="false">IF(AND(A2576&lt;&gt;"",ISNUMBER(Q2576),ISNUMBER(L2576)),ROUND(Q2576-IF(ISNUMBER(N2576),N2576,0)-IF(ISNUMBER(O2576),O2576,0)+IF(ISNUMBER(P2576),P2576,0),2),"")</f>
        <v/>
      </c>
      <c r="S2576" s="9" t="str">
        <f aca="false">IF(R2576="","",ROUND(L2576-R2576,2))</f>
        <v/>
      </c>
      <c r="T2576" s="8" t="str">
        <f aca="false">IF(A2576="","",IF(S2576="","BYPASS",IF(ABS(S2576)&lt;=Summary!$B$2,"PASS","FAIL")))</f>
        <v/>
      </c>
      <c r="U2576" s="8" t="str">
        <f aca="false">IF(T2576="BYPASS",IF(NOT(ISNUMBER(Q2576)),"PreV_ETB missing","End_tr_balance missing"),IF(T2576="FAIL",IF(AND(ISNUMBER(K2576),ISNUMBER(L2576),ABS(L2576-(K2576-IF(ISNUMBER(N2576),N2576,0)-IF(ISNUMBER(O2576),O2576,0)+IF(ISNUMBER(P2576),P2576,0)))&lt;=Summary!$B$2),"Passes using beginning_balance - PreV_ETB differs from beginning_balance",IF(AND(ISNUMBER(O2576),O2576&lt;0,ABS(L2576-(Q2576-IF(ISNUMBER(N2576),N2576,0)+IF(ISNUMBER(P2576),P2576,0)))&lt;=Summary!$B$2),"Negative realized loss not applied - check sign",IF(R2576&lt;0,"Principal paid exceeds prior balance",IF(AND(L2576&gt;Q2576,NOT(ISNUMBER(P2576))),"Balance increased but no Deferred_interest reported",IF(L2576&gt;R2576,"Reported balance higher than expected (missing increase/OC build)","Reported balance lower than expected (missing decrease)"))))),""))</f>
        <v/>
      </c>
    </row>
    <row r="2577" customFormat="false" ht="15" hidden="false" customHeight="false" outlineLevel="0" collapsed="false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9"/>
      <c r="L2577" s="9"/>
      <c r="M2577" s="9"/>
      <c r="N2577" s="9"/>
      <c r="O2577" s="9"/>
      <c r="P2577" s="9"/>
      <c r="Q2577" s="9"/>
      <c r="R2577" s="9" t="str">
        <f aca="false">IF(AND(A2577&lt;&gt;"",ISNUMBER(Q2577),ISNUMBER(L2577)),ROUND(Q2577-IF(ISNUMBER(N2577),N2577,0)-IF(ISNUMBER(O2577),O2577,0)+IF(ISNUMBER(P2577),P2577,0),2),"")</f>
        <v/>
      </c>
      <c r="S2577" s="9" t="str">
        <f aca="false">IF(R2577="","",ROUND(L2577-R2577,2))</f>
        <v/>
      </c>
      <c r="T2577" s="8" t="str">
        <f aca="false">IF(A2577="","",IF(S2577="","BYPASS",IF(ABS(S2577)&lt;=Summary!$B$2,"PASS","FAIL")))</f>
        <v/>
      </c>
      <c r="U2577" s="8" t="str">
        <f aca="false">IF(T2577="BYPASS",IF(NOT(ISNUMBER(Q2577)),"PreV_ETB missing","End_tr_balance missing"),IF(T2577="FAIL",IF(AND(ISNUMBER(K2577),ISNUMBER(L2577),ABS(L2577-(K2577-IF(ISNUMBER(N2577),N2577,0)-IF(ISNUMBER(O2577),O2577,0)+IF(ISNUMBER(P2577),P2577,0)))&lt;=Summary!$B$2),"Passes using beginning_balance - PreV_ETB differs from beginning_balance",IF(AND(ISNUMBER(O2577),O2577&lt;0,ABS(L2577-(Q2577-IF(ISNUMBER(N2577),N2577,0)+IF(ISNUMBER(P2577),P2577,0)))&lt;=Summary!$B$2),"Negative realized loss not applied - check sign",IF(R2577&lt;0,"Principal paid exceeds prior balance",IF(AND(L2577&gt;Q2577,NOT(ISNUMBER(P2577))),"Balance increased but no Deferred_interest reported",IF(L2577&gt;R2577,"Reported balance higher than expected (missing increase/OC build)","Reported balance lower than expected (missing decrease)"))))),""))</f>
        <v/>
      </c>
    </row>
    <row r="2578" customFormat="false" ht="15" hidden="false" customHeight="false" outlineLevel="0" collapsed="false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9"/>
      <c r="L2578" s="9"/>
      <c r="M2578" s="9"/>
      <c r="N2578" s="9"/>
      <c r="O2578" s="9"/>
      <c r="P2578" s="9"/>
      <c r="Q2578" s="9"/>
      <c r="R2578" s="9" t="str">
        <f aca="false">IF(AND(A2578&lt;&gt;"",ISNUMBER(Q2578),ISNUMBER(L2578)),ROUND(Q2578-IF(ISNUMBER(N2578),N2578,0)-IF(ISNUMBER(O2578),O2578,0)+IF(ISNUMBER(P2578),P2578,0),2),"")</f>
        <v/>
      </c>
      <c r="S2578" s="9" t="str">
        <f aca="false">IF(R2578="","",ROUND(L2578-R2578,2))</f>
        <v/>
      </c>
      <c r="T2578" s="8" t="str">
        <f aca="false">IF(A2578="","",IF(S2578="","BYPASS",IF(ABS(S2578)&lt;=Summary!$B$2,"PASS","FAIL")))</f>
        <v/>
      </c>
      <c r="U2578" s="8" t="str">
        <f aca="false">IF(T2578="BYPASS",IF(NOT(ISNUMBER(Q2578)),"PreV_ETB missing","End_tr_balance missing"),IF(T2578="FAIL",IF(AND(ISNUMBER(K2578),ISNUMBER(L2578),ABS(L2578-(K2578-IF(ISNUMBER(N2578),N2578,0)-IF(ISNUMBER(O2578),O2578,0)+IF(ISNUMBER(P2578),P2578,0)))&lt;=Summary!$B$2),"Passes using beginning_balance - PreV_ETB differs from beginning_balance",IF(AND(ISNUMBER(O2578),O2578&lt;0,ABS(L2578-(Q2578-IF(ISNUMBER(N2578),N2578,0)+IF(ISNUMBER(P2578),P2578,0)))&lt;=Summary!$B$2),"Negative realized loss not applied - check sign",IF(R2578&lt;0,"Principal paid exceeds prior balance",IF(AND(L2578&gt;Q2578,NOT(ISNUMBER(P2578))),"Balance increased but no Deferred_interest reported",IF(L2578&gt;R2578,"Reported balance higher than expected (missing increase/OC build)","Reported balance lower than expected (missing decrease)"))))),""))</f>
        <v/>
      </c>
    </row>
    <row r="2579" customFormat="false" ht="15" hidden="false" customHeight="false" outlineLevel="0" collapsed="false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9"/>
      <c r="L2579" s="9"/>
      <c r="M2579" s="9"/>
      <c r="N2579" s="9"/>
      <c r="O2579" s="9"/>
      <c r="P2579" s="9"/>
      <c r="Q2579" s="9"/>
      <c r="R2579" s="9" t="str">
        <f aca="false">IF(AND(A2579&lt;&gt;"",ISNUMBER(Q2579),ISNUMBER(L2579)),ROUND(Q2579-IF(ISNUMBER(N2579),N2579,0)-IF(ISNUMBER(O2579),O2579,0)+IF(ISNUMBER(P2579),P2579,0),2),"")</f>
        <v/>
      </c>
      <c r="S2579" s="9" t="str">
        <f aca="false">IF(R2579="","",ROUND(L2579-R2579,2))</f>
        <v/>
      </c>
      <c r="T2579" s="8" t="str">
        <f aca="false">IF(A2579="","",IF(S2579="","BYPASS",IF(ABS(S2579)&lt;=Summary!$B$2,"PASS","FAIL")))</f>
        <v/>
      </c>
      <c r="U2579" s="8" t="str">
        <f aca="false">IF(T2579="BYPASS",IF(NOT(ISNUMBER(Q2579)),"PreV_ETB missing","End_tr_balance missing"),IF(T2579="FAIL",IF(AND(ISNUMBER(K2579),ISNUMBER(L2579),ABS(L2579-(K2579-IF(ISNUMBER(N2579),N2579,0)-IF(ISNUMBER(O2579),O2579,0)+IF(ISNUMBER(P2579),P2579,0)))&lt;=Summary!$B$2),"Passes using beginning_balance - PreV_ETB differs from beginning_balance",IF(AND(ISNUMBER(O2579),O2579&lt;0,ABS(L2579-(Q2579-IF(ISNUMBER(N2579),N2579,0)+IF(ISNUMBER(P2579),P2579,0)))&lt;=Summary!$B$2),"Negative realized loss not applied - check sign",IF(R2579&lt;0,"Principal paid exceeds prior balance",IF(AND(L2579&gt;Q2579,NOT(ISNUMBER(P2579))),"Balance increased but no Deferred_interest reported",IF(L2579&gt;R2579,"Reported balance higher than expected (missing increase/OC build)","Reported balance lower than expected (missing decrease)"))))),""))</f>
        <v/>
      </c>
    </row>
    <row r="2580" customFormat="false" ht="15" hidden="false" customHeight="false" outlineLevel="0" collapsed="false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9"/>
      <c r="L2580" s="9"/>
      <c r="M2580" s="9"/>
      <c r="N2580" s="9"/>
      <c r="O2580" s="9"/>
      <c r="P2580" s="9"/>
      <c r="Q2580" s="9"/>
      <c r="R2580" s="9" t="str">
        <f aca="false">IF(AND(A2580&lt;&gt;"",ISNUMBER(Q2580),ISNUMBER(L2580)),ROUND(Q2580-IF(ISNUMBER(N2580),N2580,0)-IF(ISNUMBER(O2580),O2580,0)+IF(ISNUMBER(P2580),P2580,0),2),"")</f>
        <v/>
      </c>
      <c r="S2580" s="9" t="str">
        <f aca="false">IF(R2580="","",ROUND(L2580-R2580,2))</f>
        <v/>
      </c>
      <c r="T2580" s="8" t="str">
        <f aca="false">IF(A2580="","",IF(S2580="","BYPASS",IF(ABS(S2580)&lt;=Summary!$B$2,"PASS","FAIL")))</f>
        <v/>
      </c>
      <c r="U2580" s="8" t="str">
        <f aca="false">IF(T2580="BYPASS",IF(NOT(ISNUMBER(Q2580)),"PreV_ETB missing","End_tr_balance missing"),IF(T2580="FAIL",IF(AND(ISNUMBER(K2580),ISNUMBER(L2580),ABS(L2580-(K2580-IF(ISNUMBER(N2580),N2580,0)-IF(ISNUMBER(O2580),O2580,0)+IF(ISNUMBER(P2580),P2580,0)))&lt;=Summary!$B$2),"Passes using beginning_balance - PreV_ETB differs from beginning_balance",IF(AND(ISNUMBER(O2580),O2580&lt;0,ABS(L2580-(Q2580-IF(ISNUMBER(N2580),N2580,0)+IF(ISNUMBER(P2580),P2580,0)))&lt;=Summary!$B$2),"Negative realized loss not applied - check sign",IF(R2580&lt;0,"Principal paid exceeds prior balance",IF(AND(L2580&gt;Q2580,NOT(ISNUMBER(P2580))),"Balance increased but no Deferred_interest reported",IF(L2580&gt;R2580,"Reported balance higher than expected (missing increase/OC build)","Reported balance lower than expected (missing decrease)"))))),""))</f>
        <v/>
      </c>
    </row>
    <row r="2581" customFormat="false" ht="15" hidden="false" customHeight="false" outlineLevel="0" collapsed="false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9"/>
      <c r="L2581" s="9"/>
      <c r="M2581" s="9"/>
      <c r="N2581" s="9"/>
      <c r="O2581" s="9"/>
      <c r="P2581" s="9"/>
      <c r="Q2581" s="9"/>
      <c r="R2581" s="9" t="str">
        <f aca="false">IF(AND(A2581&lt;&gt;"",ISNUMBER(Q2581),ISNUMBER(L2581)),ROUND(Q2581-IF(ISNUMBER(N2581),N2581,0)-IF(ISNUMBER(O2581),O2581,0)+IF(ISNUMBER(P2581),P2581,0),2),"")</f>
        <v/>
      </c>
      <c r="S2581" s="9" t="str">
        <f aca="false">IF(R2581="","",ROUND(L2581-R2581,2))</f>
        <v/>
      </c>
      <c r="T2581" s="8" t="str">
        <f aca="false">IF(A2581="","",IF(S2581="","BYPASS",IF(ABS(S2581)&lt;=Summary!$B$2,"PASS","FAIL")))</f>
        <v/>
      </c>
      <c r="U2581" s="8" t="str">
        <f aca="false">IF(T2581="BYPASS",IF(NOT(ISNUMBER(Q2581)),"PreV_ETB missing","End_tr_balance missing"),IF(T2581="FAIL",IF(AND(ISNUMBER(K2581),ISNUMBER(L2581),ABS(L2581-(K2581-IF(ISNUMBER(N2581),N2581,0)-IF(ISNUMBER(O2581),O2581,0)+IF(ISNUMBER(P2581),P2581,0)))&lt;=Summary!$B$2),"Passes using beginning_balance - PreV_ETB differs from beginning_balance",IF(AND(ISNUMBER(O2581),O2581&lt;0,ABS(L2581-(Q2581-IF(ISNUMBER(N2581),N2581,0)+IF(ISNUMBER(P2581),P2581,0)))&lt;=Summary!$B$2),"Negative realized loss not applied - check sign",IF(R2581&lt;0,"Principal paid exceeds prior balance",IF(AND(L2581&gt;Q2581,NOT(ISNUMBER(P2581))),"Balance increased but no Deferred_interest reported",IF(L2581&gt;R2581,"Reported balance higher than expected (missing increase/OC build)","Reported balance lower than expected (missing decrease)"))))),""))</f>
        <v/>
      </c>
    </row>
    <row r="2582" customFormat="false" ht="15" hidden="false" customHeight="false" outlineLevel="0" collapsed="false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9"/>
      <c r="L2582" s="9"/>
      <c r="M2582" s="9"/>
      <c r="N2582" s="9"/>
      <c r="O2582" s="9"/>
      <c r="P2582" s="9"/>
      <c r="Q2582" s="9"/>
      <c r="R2582" s="9" t="str">
        <f aca="false">IF(AND(A2582&lt;&gt;"",ISNUMBER(Q2582),ISNUMBER(L2582)),ROUND(Q2582-IF(ISNUMBER(N2582),N2582,0)-IF(ISNUMBER(O2582),O2582,0)+IF(ISNUMBER(P2582),P2582,0),2),"")</f>
        <v/>
      </c>
      <c r="S2582" s="9" t="str">
        <f aca="false">IF(R2582="","",ROUND(L2582-R2582,2))</f>
        <v/>
      </c>
      <c r="T2582" s="8" t="str">
        <f aca="false">IF(A2582="","",IF(S2582="","BYPASS",IF(ABS(S2582)&lt;=Summary!$B$2,"PASS","FAIL")))</f>
        <v/>
      </c>
      <c r="U2582" s="8" t="str">
        <f aca="false">IF(T2582="BYPASS",IF(NOT(ISNUMBER(Q2582)),"PreV_ETB missing","End_tr_balance missing"),IF(T2582="FAIL",IF(AND(ISNUMBER(K2582),ISNUMBER(L2582),ABS(L2582-(K2582-IF(ISNUMBER(N2582),N2582,0)-IF(ISNUMBER(O2582),O2582,0)+IF(ISNUMBER(P2582),P2582,0)))&lt;=Summary!$B$2),"Passes using beginning_balance - PreV_ETB differs from beginning_balance",IF(AND(ISNUMBER(O2582),O2582&lt;0,ABS(L2582-(Q2582-IF(ISNUMBER(N2582),N2582,0)+IF(ISNUMBER(P2582),P2582,0)))&lt;=Summary!$B$2),"Negative realized loss not applied - check sign",IF(R2582&lt;0,"Principal paid exceeds prior balance",IF(AND(L2582&gt;Q2582,NOT(ISNUMBER(P2582))),"Balance increased but no Deferred_interest reported",IF(L2582&gt;R2582,"Reported balance higher than expected (missing increase/OC build)","Reported balance lower than expected (missing decrease)"))))),""))</f>
        <v/>
      </c>
    </row>
    <row r="2583" customFormat="false" ht="15" hidden="false" customHeight="false" outlineLevel="0" collapsed="false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9"/>
      <c r="L2583" s="9"/>
      <c r="M2583" s="9"/>
      <c r="N2583" s="9"/>
      <c r="O2583" s="9"/>
      <c r="P2583" s="9"/>
      <c r="Q2583" s="9"/>
      <c r="R2583" s="9" t="str">
        <f aca="false">IF(AND(A2583&lt;&gt;"",ISNUMBER(Q2583),ISNUMBER(L2583)),ROUND(Q2583-IF(ISNUMBER(N2583),N2583,0)-IF(ISNUMBER(O2583),O2583,0)+IF(ISNUMBER(P2583),P2583,0),2),"")</f>
        <v/>
      </c>
      <c r="S2583" s="9" t="str">
        <f aca="false">IF(R2583="","",ROUND(L2583-R2583,2))</f>
        <v/>
      </c>
      <c r="T2583" s="8" t="str">
        <f aca="false">IF(A2583="","",IF(S2583="","BYPASS",IF(ABS(S2583)&lt;=Summary!$B$2,"PASS","FAIL")))</f>
        <v/>
      </c>
      <c r="U2583" s="8" t="str">
        <f aca="false">IF(T2583="BYPASS",IF(NOT(ISNUMBER(Q2583)),"PreV_ETB missing","End_tr_balance missing"),IF(T2583="FAIL",IF(AND(ISNUMBER(K2583),ISNUMBER(L2583),ABS(L2583-(K2583-IF(ISNUMBER(N2583),N2583,0)-IF(ISNUMBER(O2583),O2583,0)+IF(ISNUMBER(P2583),P2583,0)))&lt;=Summary!$B$2),"Passes using beginning_balance - PreV_ETB differs from beginning_balance",IF(AND(ISNUMBER(O2583),O2583&lt;0,ABS(L2583-(Q2583-IF(ISNUMBER(N2583),N2583,0)+IF(ISNUMBER(P2583),P2583,0)))&lt;=Summary!$B$2),"Negative realized loss not applied - check sign",IF(R2583&lt;0,"Principal paid exceeds prior balance",IF(AND(L2583&gt;Q2583,NOT(ISNUMBER(P2583))),"Balance increased but no Deferred_interest reported",IF(L2583&gt;R2583,"Reported balance higher than expected (missing increase/OC build)","Reported balance lower than expected (missing decrease)"))))),""))</f>
        <v/>
      </c>
    </row>
    <row r="2584" customFormat="false" ht="15" hidden="false" customHeight="false" outlineLevel="0" collapsed="false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9"/>
      <c r="L2584" s="9"/>
      <c r="M2584" s="9"/>
      <c r="N2584" s="9"/>
      <c r="O2584" s="9"/>
      <c r="P2584" s="9"/>
      <c r="Q2584" s="9"/>
      <c r="R2584" s="9" t="str">
        <f aca="false">IF(AND(A2584&lt;&gt;"",ISNUMBER(Q2584),ISNUMBER(L2584)),ROUND(Q2584-IF(ISNUMBER(N2584),N2584,0)-IF(ISNUMBER(O2584),O2584,0)+IF(ISNUMBER(P2584),P2584,0),2),"")</f>
        <v/>
      </c>
      <c r="S2584" s="9" t="str">
        <f aca="false">IF(R2584="","",ROUND(L2584-R2584,2))</f>
        <v/>
      </c>
      <c r="T2584" s="8" t="str">
        <f aca="false">IF(A2584="","",IF(S2584="","BYPASS",IF(ABS(S2584)&lt;=Summary!$B$2,"PASS","FAIL")))</f>
        <v/>
      </c>
      <c r="U2584" s="8" t="str">
        <f aca="false">IF(T2584="BYPASS",IF(NOT(ISNUMBER(Q2584)),"PreV_ETB missing","End_tr_balance missing"),IF(T2584="FAIL",IF(AND(ISNUMBER(K2584),ISNUMBER(L2584),ABS(L2584-(K2584-IF(ISNUMBER(N2584),N2584,0)-IF(ISNUMBER(O2584),O2584,0)+IF(ISNUMBER(P2584),P2584,0)))&lt;=Summary!$B$2),"Passes using beginning_balance - PreV_ETB differs from beginning_balance",IF(AND(ISNUMBER(O2584),O2584&lt;0,ABS(L2584-(Q2584-IF(ISNUMBER(N2584),N2584,0)+IF(ISNUMBER(P2584),P2584,0)))&lt;=Summary!$B$2),"Negative realized loss not applied - check sign",IF(R2584&lt;0,"Principal paid exceeds prior balance",IF(AND(L2584&gt;Q2584,NOT(ISNUMBER(P2584))),"Balance increased but no Deferred_interest reported",IF(L2584&gt;R2584,"Reported balance higher than expected (missing increase/OC build)","Reported balance lower than expected (missing decrease)"))))),""))</f>
        <v/>
      </c>
    </row>
    <row r="2585" customFormat="false" ht="15" hidden="false" customHeight="false" outlineLevel="0" collapsed="false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9"/>
      <c r="L2585" s="9"/>
      <c r="M2585" s="9"/>
      <c r="N2585" s="9"/>
      <c r="O2585" s="9"/>
      <c r="P2585" s="9"/>
      <c r="Q2585" s="9"/>
      <c r="R2585" s="9" t="str">
        <f aca="false">IF(AND(A2585&lt;&gt;"",ISNUMBER(Q2585),ISNUMBER(L2585)),ROUND(Q2585-IF(ISNUMBER(N2585),N2585,0)-IF(ISNUMBER(O2585),O2585,0)+IF(ISNUMBER(P2585),P2585,0),2),"")</f>
        <v/>
      </c>
      <c r="S2585" s="9" t="str">
        <f aca="false">IF(R2585="","",ROUND(L2585-R2585,2))</f>
        <v/>
      </c>
      <c r="T2585" s="8" t="str">
        <f aca="false">IF(A2585="","",IF(S2585="","BYPASS",IF(ABS(S2585)&lt;=Summary!$B$2,"PASS","FAIL")))</f>
        <v/>
      </c>
      <c r="U2585" s="8" t="str">
        <f aca="false">IF(T2585="BYPASS",IF(NOT(ISNUMBER(Q2585)),"PreV_ETB missing","End_tr_balance missing"),IF(T2585="FAIL",IF(AND(ISNUMBER(K2585),ISNUMBER(L2585),ABS(L2585-(K2585-IF(ISNUMBER(N2585),N2585,0)-IF(ISNUMBER(O2585),O2585,0)+IF(ISNUMBER(P2585),P2585,0)))&lt;=Summary!$B$2),"Passes using beginning_balance - PreV_ETB differs from beginning_balance",IF(AND(ISNUMBER(O2585),O2585&lt;0,ABS(L2585-(Q2585-IF(ISNUMBER(N2585),N2585,0)+IF(ISNUMBER(P2585),P2585,0)))&lt;=Summary!$B$2),"Negative realized loss not applied - check sign",IF(R2585&lt;0,"Principal paid exceeds prior balance",IF(AND(L2585&gt;Q2585,NOT(ISNUMBER(P2585))),"Balance increased but no Deferred_interest reported",IF(L2585&gt;R2585,"Reported balance higher than expected (missing increase/OC build)","Reported balance lower than expected (missing decrease)"))))),""))</f>
        <v/>
      </c>
    </row>
    <row r="2586" customFormat="false" ht="15" hidden="false" customHeight="false" outlineLevel="0" collapsed="false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9"/>
      <c r="L2586" s="9"/>
      <c r="M2586" s="9"/>
      <c r="N2586" s="9"/>
      <c r="O2586" s="9"/>
      <c r="P2586" s="9"/>
      <c r="Q2586" s="9"/>
      <c r="R2586" s="9" t="str">
        <f aca="false">IF(AND(A2586&lt;&gt;"",ISNUMBER(Q2586),ISNUMBER(L2586)),ROUND(Q2586-IF(ISNUMBER(N2586),N2586,0)-IF(ISNUMBER(O2586),O2586,0)+IF(ISNUMBER(P2586),P2586,0),2),"")</f>
        <v/>
      </c>
      <c r="S2586" s="9" t="str">
        <f aca="false">IF(R2586="","",ROUND(L2586-R2586,2))</f>
        <v/>
      </c>
      <c r="T2586" s="8" t="str">
        <f aca="false">IF(A2586="","",IF(S2586="","BYPASS",IF(ABS(S2586)&lt;=Summary!$B$2,"PASS","FAIL")))</f>
        <v/>
      </c>
      <c r="U2586" s="8" t="str">
        <f aca="false">IF(T2586="BYPASS",IF(NOT(ISNUMBER(Q2586)),"PreV_ETB missing","End_tr_balance missing"),IF(T2586="FAIL",IF(AND(ISNUMBER(K2586),ISNUMBER(L2586),ABS(L2586-(K2586-IF(ISNUMBER(N2586),N2586,0)-IF(ISNUMBER(O2586),O2586,0)+IF(ISNUMBER(P2586),P2586,0)))&lt;=Summary!$B$2),"Passes using beginning_balance - PreV_ETB differs from beginning_balance",IF(AND(ISNUMBER(O2586),O2586&lt;0,ABS(L2586-(Q2586-IF(ISNUMBER(N2586),N2586,0)+IF(ISNUMBER(P2586),P2586,0)))&lt;=Summary!$B$2),"Negative realized loss not applied - check sign",IF(R2586&lt;0,"Principal paid exceeds prior balance",IF(AND(L2586&gt;Q2586,NOT(ISNUMBER(P2586))),"Balance increased but no Deferred_interest reported",IF(L2586&gt;R2586,"Reported balance higher than expected (missing increase/OC build)","Reported balance lower than expected (missing decrease)"))))),""))</f>
        <v/>
      </c>
    </row>
    <row r="2587" customFormat="false" ht="15" hidden="false" customHeight="false" outlineLevel="0" collapsed="false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9"/>
      <c r="L2587" s="9"/>
      <c r="M2587" s="9"/>
      <c r="N2587" s="9"/>
      <c r="O2587" s="9"/>
      <c r="P2587" s="9"/>
      <c r="Q2587" s="9"/>
      <c r="R2587" s="9" t="str">
        <f aca="false">IF(AND(A2587&lt;&gt;"",ISNUMBER(Q2587),ISNUMBER(L2587)),ROUND(Q2587-IF(ISNUMBER(N2587),N2587,0)-IF(ISNUMBER(O2587),O2587,0)+IF(ISNUMBER(P2587),P2587,0),2),"")</f>
        <v/>
      </c>
      <c r="S2587" s="9" t="str">
        <f aca="false">IF(R2587="","",ROUND(L2587-R2587,2))</f>
        <v/>
      </c>
      <c r="T2587" s="8" t="str">
        <f aca="false">IF(A2587="","",IF(S2587="","BYPASS",IF(ABS(S2587)&lt;=Summary!$B$2,"PASS","FAIL")))</f>
        <v/>
      </c>
      <c r="U2587" s="8" t="str">
        <f aca="false">IF(T2587="BYPASS",IF(NOT(ISNUMBER(Q2587)),"PreV_ETB missing","End_tr_balance missing"),IF(T2587="FAIL",IF(AND(ISNUMBER(K2587),ISNUMBER(L2587),ABS(L2587-(K2587-IF(ISNUMBER(N2587),N2587,0)-IF(ISNUMBER(O2587),O2587,0)+IF(ISNUMBER(P2587),P2587,0)))&lt;=Summary!$B$2),"Passes using beginning_balance - PreV_ETB differs from beginning_balance",IF(AND(ISNUMBER(O2587),O2587&lt;0,ABS(L2587-(Q2587-IF(ISNUMBER(N2587),N2587,0)+IF(ISNUMBER(P2587),P2587,0)))&lt;=Summary!$B$2),"Negative realized loss not applied - check sign",IF(R2587&lt;0,"Principal paid exceeds prior balance",IF(AND(L2587&gt;Q2587,NOT(ISNUMBER(P2587))),"Balance increased but no Deferred_interest reported",IF(L2587&gt;R2587,"Reported balance higher than expected (missing increase/OC build)","Reported balance lower than expected (missing decrease)"))))),""))</f>
        <v/>
      </c>
    </row>
    <row r="2588" customFormat="false" ht="15" hidden="false" customHeight="false" outlineLevel="0" collapsed="false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9"/>
      <c r="L2588" s="9"/>
      <c r="M2588" s="9"/>
      <c r="N2588" s="9"/>
      <c r="O2588" s="9"/>
      <c r="P2588" s="9"/>
      <c r="Q2588" s="9"/>
      <c r="R2588" s="9" t="str">
        <f aca="false">IF(AND(A2588&lt;&gt;"",ISNUMBER(Q2588),ISNUMBER(L2588)),ROUND(Q2588-IF(ISNUMBER(N2588),N2588,0)-IF(ISNUMBER(O2588),O2588,0)+IF(ISNUMBER(P2588),P2588,0),2),"")</f>
        <v/>
      </c>
      <c r="S2588" s="9" t="str">
        <f aca="false">IF(R2588="","",ROUND(L2588-R2588,2))</f>
        <v/>
      </c>
      <c r="T2588" s="8" t="str">
        <f aca="false">IF(A2588="","",IF(S2588="","BYPASS",IF(ABS(S2588)&lt;=Summary!$B$2,"PASS","FAIL")))</f>
        <v/>
      </c>
      <c r="U2588" s="8" t="str">
        <f aca="false">IF(T2588="BYPASS",IF(NOT(ISNUMBER(Q2588)),"PreV_ETB missing","End_tr_balance missing"),IF(T2588="FAIL",IF(AND(ISNUMBER(K2588),ISNUMBER(L2588),ABS(L2588-(K2588-IF(ISNUMBER(N2588),N2588,0)-IF(ISNUMBER(O2588),O2588,0)+IF(ISNUMBER(P2588),P2588,0)))&lt;=Summary!$B$2),"Passes using beginning_balance - PreV_ETB differs from beginning_balance",IF(AND(ISNUMBER(O2588),O2588&lt;0,ABS(L2588-(Q2588-IF(ISNUMBER(N2588),N2588,0)+IF(ISNUMBER(P2588),P2588,0)))&lt;=Summary!$B$2),"Negative realized loss not applied - check sign",IF(R2588&lt;0,"Principal paid exceeds prior balance",IF(AND(L2588&gt;Q2588,NOT(ISNUMBER(P2588))),"Balance increased but no Deferred_interest reported",IF(L2588&gt;R2588,"Reported balance higher than expected (missing increase/OC build)","Reported balance lower than expected (missing decrease)"))))),""))</f>
        <v/>
      </c>
    </row>
    <row r="2589" customFormat="false" ht="15" hidden="false" customHeight="false" outlineLevel="0" collapsed="false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9"/>
      <c r="L2589" s="9"/>
      <c r="M2589" s="9"/>
      <c r="N2589" s="9"/>
      <c r="O2589" s="9"/>
      <c r="P2589" s="9"/>
      <c r="Q2589" s="9"/>
      <c r="R2589" s="9" t="str">
        <f aca="false">IF(AND(A2589&lt;&gt;"",ISNUMBER(Q2589),ISNUMBER(L2589)),ROUND(Q2589-IF(ISNUMBER(N2589),N2589,0)-IF(ISNUMBER(O2589),O2589,0)+IF(ISNUMBER(P2589),P2589,0),2),"")</f>
        <v/>
      </c>
      <c r="S2589" s="9" t="str">
        <f aca="false">IF(R2589="","",ROUND(L2589-R2589,2))</f>
        <v/>
      </c>
      <c r="T2589" s="8" t="str">
        <f aca="false">IF(A2589="","",IF(S2589="","BYPASS",IF(ABS(S2589)&lt;=Summary!$B$2,"PASS","FAIL")))</f>
        <v/>
      </c>
      <c r="U2589" s="8" t="str">
        <f aca="false">IF(T2589="BYPASS",IF(NOT(ISNUMBER(Q2589)),"PreV_ETB missing","End_tr_balance missing"),IF(T2589="FAIL",IF(AND(ISNUMBER(K2589),ISNUMBER(L2589),ABS(L2589-(K2589-IF(ISNUMBER(N2589),N2589,0)-IF(ISNUMBER(O2589),O2589,0)+IF(ISNUMBER(P2589),P2589,0)))&lt;=Summary!$B$2),"Passes using beginning_balance - PreV_ETB differs from beginning_balance",IF(AND(ISNUMBER(O2589),O2589&lt;0,ABS(L2589-(Q2589-IF(ISNUMBER(N2589),N2589,0)+IF(ISNUMBER(P2589),P2589,0)))&lt;=Summary!$B$2),"Negative realized loss not applied - check sign",IF(R2589&lt;0,"Principal paid exceeds prior balance",IF(AND(L2589&gt;Q2589,NOT(ISNUMBER(P2589))),"Balance increased but no Deferred_interest reported",IF(L2589&gt;R2589,"Reported balance higher than expected (missing increase/OC build)","Reported balance lower than expected (missing decrease)"))))),""))</f>
        <v/>
      </c>
    </row>
    <row r="2590" customFormat="false" ht="15" hidden="false" customHeight="false" outlineLevel="0" collapsed="false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9"/>
      <c r="L2590" s="9"/>
      <c r="M2590" s="9"/>
      <c r="N2590" s="9"/>
      <c r="O2590" s="9"/>
      <c r="P2590" s="9"/>
      <c r="Q2590" s="9"/>
      <c r="R2590" s="9" t="str">
        <f aca="false">IF(AND(A2590&lt;&gt;"",ISNUMBER(Q2590),ISNUMBER(L2590)),ROUND(Q2590-IF(ISNUMBER(N2590),N2590,0)-IF(ISNUMBER(O2590),O2590,0)+IF(ISNUMBER(P2590),P2590,0),2),"")</f>
        <v/>
      </c>
      <c r="S2590" s="9" t="str">
        <f aca="false">IF(R2590="","",ROUND(L2590-R2590,2))</f>
        <v/>
      </c>
      <c r="T2590" s="8" t="str">
        <f aca="false">IF(A2590="","",IF(S2590="","BYPASS",IF(ABS(S2590)&lt;=Summary!$B$2,"PASS","FAIL")))</f>
        <v/>
      </c>
      <c r="U2590" s="8" t="str">
        <f aca="false">IF(T2590="BYPASS",IF(NOT(ISNUMBER(Q2590)),"PreV_ETB missing","End_tr_balance missing"),IF(T2590="FAIL",IF(AND(ISNUMBER(K2590),ISNUMBER(L2590),ABS(L2590-(K2590-IF(ISNUMBER(N2590),N2590,0)-IF(ISNUMBER(O2590),O2590,0)+IF(ISNUMBER(P2590),P2590,0)))&lt;=Summary!$B$2),"Passes using beginning_balance - PreV_ETB differs from beginning_balance",IF(AND(ISNUMBER(O2590),O2590&lt;0,ABS(L2590-(Q2590-IF(ISNUMBER(N2590),N2590,0)+IF(ISNUMBER(P2590),P2590,0)))&lt;=Summary!$B$2),"Negative realized loss not applied - check sign",IF(R2590&lt;0,"Principal paid exceeds prior balance",IF(AND(L2590&gt;Q2590,NOT(ISNUMBER(P2590))),"Balance increased but no Deferred_interest reported",IF(L2590&gt;R2590,"Reported balance higher than expected (missing increase/OC build)","Reported balance lower than expected (missing decrease)"))))),""))</f>
        <v/>
      </c>
    </row>
    <row r="2591" customFormat="false" ht="15" hidden="false" customHeight="false" outlineLevel="0" collapsed="false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9"/>
      <c r="L2591" s="9"/>
      <c r="M2591" s="9"/>
      <c r="N2591" s="9"/>
      <c r="O2591" s="9"/>
      <c r="P2591" s="9"/>
      <c r="Q2591" s="9"/>
      <c r="R2591" s="9" t="str">
        <f aca="false">IF(AND(A2591&lt;&gt;"",ISNUMBER(Q2591),ISNUMBER(L2591)),ROUND(Q2591-IF(ISNUMBER(N2591),N2591,0)-IF(ISNUMBER(O2591),O2591,0)+IF(ISNUMBER(P2591),P2591,0),2),"")</f>
        <v/>
      </c>
      <c r="S2591" s="9" t="str">
        <f aca="false">IF(R2591="","",ROUND(L2591-R2591,2))</f>
        <v/>
      </c>
      <c r="T2591" s="8" t="str">
        <f aca="false">IF(A2591="","",IF(S2591="","BYPASS",IF(ABS(S2591)&lt;=Summary!$B$2,"PASS","FAIL")))</f>
        <v/>
      </c>
      <c r="U2591" s="8" t="str">
        <f aca="false">IF(T2591="BYPASS",IF(NOT(ISNUMBER(Q2591)),"PreV_ETB missing","End_tr_balance missing"),IF(T2591="FAIL",IF(AND(ISNUMBER(K2591),ISNUMBER(L2591),ABS(L2591-(K2591-IF(ISNUMBER(N2591),N2591,0)-IF(ISNUMBER(O2591),O2591,0)+IF(ISNUMBER(P2591),P2591,0)))&lt;=Summary!$B$2),"Passes using beginning_balance - PreV_ETB differs from beginning_balance",IF(AND(ISNUMBER(O2591),O2591&lt;0,ABS(L2591-(Q2591-IF(ISNUMBER(N2591),N2591,0)+IF(ISNUMBER(P2591),P2591,0)))&lt;=Summary!$B$2),"Negative realized loss not applied - check sign",IF(R2591&lt;0,"Principal paid exceeds prior balance",IF(AND(L2591&gt;Q2591,NOT(ISNUMBER(P2591))),"Balance increased but no Deferred_interest reported",IF(L2591&gt;R2591,"Reported balance higher than expected (missing increase/OC build)","Reported balance lower than expected (missing decrease)"))))),""))</f>
        <v/>
      </c>
    </row>
    <row r="2592" customFormat="false" ht="15" hidden="false" customHeight="false" outlineLevel="0" collapsed="false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9"/>
      <c r="L2592" s="9"/>
      <c r="M2592" s="9"/>
      <c r="N2592" s="9"/>
      <c r="O2592" s="9"/>
      <c r="P2592" s="9"/>
      <c r="Q2592" s="9"/>
      <c r="R2592" s="9" t="str">
        <f aca="false">IF(AND(A2592&lt;&gt;"",ISNUMBER(Q2592),ISNUMBER(L2592)),ROUND(Q2592-IF(ISNUMBER(N2592),N2592,0)-IF(ISNUMBER(O2592),O2592,0)+IF(ISNUMBER(P2592),P2592,0),2),"")</f>
        <v/>
      </c>
      <c r="S2592" s="9" t="str">
        <f aca="false">IF(R2592="","",ROUND(L2592-R2592,2))</f>
        <v/>
      </c>
      <c r="T2592" s="8" t="str">
        <f aca="false">IF(A2592="","",IF(S2592="","BYPASS",IF(ABS(S2592)&lt;=Summary!$B$2,"PASS","FAIL")))</f>
        <v/>
      </c>
      <c r="U2592" s="8" t="str">
        <f aca="false">IF(T2592="BYPASS",IF(NOT(ISNUMBER(Q2592)),"PreV_ETB missing","End_tr_balance missing"),IF(T2592="FAIL",IF(AND(ISNUMBER(K2592),ISNUMBER(L2592),ABS(L2592-(K2592-IF(ISNUMBER(N2592),N2592,0)-IF(ISNUMBER(O2592),O2592,0)+IF(ISNUMBER(P2592),P2592,0)))&lt;=Summary!$B$2),"Passes using beginning_balance - PreV_ETB differs from beginning_balance",IF(AND(ISNUMBER(O2592),O2592&lt;0,ABS(L2592-(Q2592-IF(ISNUMBER(N2592),N2592,0)+IF(ISNUMBER(P2592),P2592,0)))&lt;=Summary!$B$2),"Negative realized loss not applied - check sign",IF(R2592&lt;0,"Principal paid exceeds prior balance",IF(AND(L2592&gt;Q2592,NOT(ISNUMBER(P2592))),"Balance increased but no Deferred_interest reported",IF(L2592&gt;R2592,"Reported balance higher than expected (missing increase/OC build)","Reported balance lower than expected (missing decrease)"))))),""))</f>
        <v/>
      </c>
    </row>
    <row r="2593" customFormat="false" ht="15" hidden="false" customHeight="false" outlineLevel="0" collapsed="false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9"/>
      <c r="L2593" s="9"/>
      <c r="M2593" s="9"/>
      <c r="N2593" s="9"/>
      <c r="O2593" s="9"/>
      <c r="P2593" s="9"/>
      <c r="Q2593" s="9"/>
      <c r="R2593" s="9" t="str">
        <f aca="false">IF(AND(A2593&lt;&gt;"",ISNUMBER(Q2593),ISNUMBER(L2593)),ROUND(Q2593-IF(ISNUMBER(N2593),N2593,0)-IF(ISNUMBER(O2593),O2593,0)+IF(ISNUMBER(P2593),P2593,0),2),"")</f>
        <v/>
      </c>
      <c r="S2593" s="9" t="str">
        <f aca="false">IF(R2593="","",ROUND(L2593-R2593,2))</f>
        <v/>
      </c>
      <c r="T2593" s="8" t="str">
        <f aca="false">IF(A2593="","",IF(S2593="","BYPASS",IF(ABS(S2593)&lt;=Summary!$B$2,"PASS","FAIL")))</f>
        <v/>
      </c>
      <c r="U2593" s="8" t="str">
        <f aca="false">IF(T2593="BYPASS",IF(NOT(ISNUMBER(Q2593)),"PreV_ETB missing","End_tr_balance missing"),IF(T2593="FAIL",IF(AND(ISNUMBER(K2593),ISNUMBER(L2593),ABS(L2593-(K2593-IF(ISNUMBER(N2593),N2593,0)-IF(ISNUMBER(O2593),O2593,0)+IF(ISNUMBER(P2593),P2593,0)))&lt;=Summary!$B$2),"Passes using beginning_balance - PreV_ETB differs from beginning_balance",IF(AND(ISNUMBER(O2593),O2593&lt;0,ABS(L2593-(Q2593-IF(ISNUMBER(N2593),N2593,0)+IF(ISNUMBER(P2593),P2593,0)))&lt;=Summary!$B$2),"Negative realized loss not applied - check sign",IF(R2593&lt;0,"Principal paid exceeds prior balance",IF(AND(L2593&gt;Q2593,NOT(ISNUMBER(P2593))),"Balance increased but no Deferred_interest reported",IF(L2593&gt;R2593,"Reported balance higher than expected (missing increase/OC build)","Reported balance lower than expected (missing decrease)"))))),""))</f>
        <v/>
      </c>
    </row>
    <row r="2594" customFormat="false" ht="15" hidden="false" customHeight="false" outlineLevel="0" collapsed="false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9"/>
      <c r="L2594" s="9"/>
      <c r="M2594" s="9"/>
      <c r="N2594" s="9"/>
      <c r="O2594" s="9"/>
      <c r="P2594" s="9"/>
      <c r="Q2594" s="9"/>
      <c r="R2594" s="9" t="str">
        <f aca="false">IF(AND(A2594&lt;&gt;"",ISNUMBER(Q2594),ISNUMBER(L2594)),ROUND(Q2594-IF(ISNUMBER(N2594),N2594,0)-IF(ISNUMBER(O2594),O2594,0)+IF(ISNUMBER(P2594),P2594,0),2),"")</f>
        <v/>
      </c>
      <c r="S2594" s="9" t="str">
        <f aca="false">IF(R2594="","",ROUND(L2594-R2594,2))</f>
        <v/>
      </c>
      <c r="T2594" s="8" t="str">
        <f aca="false">IF(A2594="","",IF(S2594="","BYPASS",IF(ABS(S2594)&lt;=Summary!$B$2,"PASS","FAIL")))</f>
        <v/>
      </c>
      <c r="U2594" s="8" t="str">
        <f aca="false">IF(T2594="BYPASS",IF(NOT(ISNUMBER(Q2594)),"PreV_ETB missing","End_tr_balance missing"),IF(T2594="FAIL",IF(AND(ISNUMBER(K2594),ISNUMBER(L2594),ABS(L2594-(K2594-IF(ISNUMBER(N2594),N2594,0)-IF(ISNUMBER(O2594),O2594,0)+IF(ISNUMBER(P2594),P2594,0)))&lt;=Summary!$B$2),"Passes using beginning_balance - PreV_ETB differs from beginning_balance",IF(AND(ISNUMBER(O2594),O2594&lt;0,ABS(L2594-(Q2594-IF(ISNUMBER(N2594),N2594,0)+IF(ISNUMBER(P2594),P2594,0)))&lt;=Summary!$B$2),"Negative realized loss not applied - check sign",IF(R2594&lt;0,"Principal paid exceeds prior balance",IF(AND(L2594&gt;Q2594,NOT(ISNUMBER(P2594))),"Balance increased but no Deferred_interest reported",IF(L2594&gt;R2594,"Reported balance higher than expected (missing increase/OC build)","Reported balance lower than expected (missing decrease)"))))),""))</f>
        <v/>
      </c>
    </row>
    <row r="2595" customFormat="false" ht="15" hidden="false" customHeight="false" outlineLevel="0" collapsed="false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9"/>
      <c r="L2595" s="9"/>
      <c r="M2595" s="9"/>
      <c r="N2595" s="9"/>
      <c r="O2595" s="9"/>
      <c r="P2595" s="9"/>
      <c r="Q2595" s="9"/>
      <c r="R2595" s="9" t="str">
        <f aca="false">IF(AND(A2595&lt;&gt;"",ISNUMBER(Q2595),ISNUMBER(L2595)),ROUND(Q2595-IF(ISNUMBER(N2595),N2595,0)-IF(ISNUMBER(O2595),O2595,0)+IF(ISNUMBER(P2595),P2595,0),2),"")</f>
        <v/>
      </c>
      <c r="S2595" s="9" t="str">
        <f aca="false">IF(R2595="","",ROUND(L2595-R2595,2))</f>
        <v/>
      </c>
      <c r="T2595" s="8" t="str">
        <f aca="false">IF(A2595="","",IF(S2595="","BYPASS",IF(ABS(S2595)&lt;=Summary!$B$2,"PASS","FAIL")))</f>
        <v/>
      </c>
      <c r="U2595" s="8" t="str">
        <f aca="false">IF(T2595="BYPASS",IF(NOT(ISNUMBER(Q2595)),"PreV_ETB missing","End_tr_balance missing"),IF(T2595="FAIL",IF(AND(ISNUMBER(K2595),ISNUMBER(L2595),ABS(L2595-(K2595-IF(ISNUMBER(N2595),N2595,0)-IF(ISNUMBER(O2595),O2595,0)+IF(ISNUMBER(P2595),P2595,0)))&lt;=Summary!$B$2),"Passes using beginning_balance - PreV_ETB differs from beginning_balance",IF(AND(ISNUMBER(O2595),O2595&lt;0,ABS(L2595-(Q2595-IF(ISNUMBER(N2595),N2595,0)+IF(ISNUMBER(P2595),P2595,0)))&lt;=Summary!$B$2),"Negative realized loss not applied - check sign",IF(R2595&lt;0,"Principal paid exceeds prior balance",IF(AND(L2595&gt;Q2595,NOT(ISNUMBER(P2595))),"Balance increased but no Deferred_interest reported",IF(L2595&gt;R2595,"Reported balance higher than expected (missing increase/OC build)","Reported balance lower than expected (missing decrease)"))))),""))</f>
        <v/>
      </c>
    </row>
    <row r="2596" customFormat="false" ht="15" hidden="false" customHeight="false" outlineLevel="0" collapsed="false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9"/>
      <c r="L2596" s="9"/>
      <c r="M2596" s="9"/>
      <c r="N2596" s="9"/>
      <c r="O2596" s="9"/>
      <c r="P2596" s="9"/>
      <c r="Q2596" s="9"/>
      <c r="R2596" s="9" t="str">
        <f aca="false">IF(AND(A2596&lt;&gt;"",ISNUMBER(Q2596),ISNUMBER(L2596)),ROUND(Q2596-IF(ISNUMBER(N2596),N2596,0)-IF(ISNUMBER(O2596),O2596,0)+IF(ISNUMBER(P2596),P2596,0),2),"")</f>
        <v/>
      </c>
      <c r="S2596" s="9" t="str">
        <f aca="false">IF(R2596="","",ROUND(L2596-R2596,2))</f>
        <v/>
      </c>
      <c r="T2596" s="8" t="str">
        <f aca="false">IF(A2596="","",IF(S2596="","BYPASS",IF(ABS(S2596)&lt;=Summary!$B$2,"PASS","FAIL")))</f>
        <v/>
      </c>
      <c r="U2596" s="8" t="str">
        <f aca="false">IF(T2596="BYPASS",IF(NOT(ISNUMBER(Q2596)),"PreV_ETB missing","End_tr_balance missing"),IF(T2596="FAIL",IF(AND(ISNUMBER(K2596),ISNUMBER(L2596),ABS(L2596-(K2596-IF(ISNUMBER(N2596),N2596,0)-IF(ISNUMBER(O2596),O2596,0)+IF(ISNUMBER(P2596),P2596,0)))&lt;=Summary!$B$2),"Passes using beginning_balance - PreV_ETB differs from beginning_balance",IF(AND(ISNUMBER(O2596),O2596&lt;0,ABS(L2596-(Q2596-IF(ISNUMBER(N2596),N2596,0)+IF(ISNUMBER(P2596),P2596,0)))&lt;=Summary!$B$2),"Negative realized loss not applied - check sign",IF(R2596&lt;0,"Principal paid exceeds prior balance",IF(AND(L2596&gt;Q2596,NOT(ISNUMBER(P2596))),"Balance increased but no Deferred_interest reported",IF(L2596&gt;R2596,"Reported balance higher than expected (missing increase/OC build)","Reported balance lower than expected (missing decrease)"))))),""))</f>
        <v/>
      </c>
    </row>
    <row r="2597" customFormat="false" ht="15" hidden="false" customHeight="false" outlineLevel="0" collapsed="false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9"/>
      <c r="L2597" s="9"/>
      <c r="M2597" s="9"/>
      <c r="N2597" s="9"/>
      <c r="O2597" s="9"/>
      <c r="P2597" s="9"/>
      <c r="Q2597" s="9"/>
      <c r="R2597" s="9" t="str">
        <f aca="false">IF(AND(A2597&lt;&gt;"",ISNUMBER(Q2597),ISNUMBER(L2597)),ROUND(Q2597-IF(ISNUMBER(N2597),N2597,0)-IF(ISNUMBER(O2597),O2597,0)+IF(ISNUMBER(P2597),P2597,0),2),"")</f>
        <v/>
      </c>
      <c r="S2597" s="9" t="str">
        <f aca="false">IF(R2597="","",ROUND(L2597-R2597,2))</f>
        <v/>
      </c>
      <c r="T2597" s="8" t="str">
        <f aca="false">IF(A2597="","",IF(S2597="","BYPASS",IF(ABS(S2597)&lt;=Summary!$B$2,"PASS","FAIL")))</f>
        <v/>
      </c>
      <c r="U2597" s="8" t="str">
        <f aca="false">IF(T2597="BYPASS",IF(NOT(ISNUMBER(Q2597)),"PreV_ETB missing","End_tr_balance missing"),IF(T2597="FAIL",IF(AND(ISNUMBER(K2597),ISNUMBER(L2597),ABS(L2597-(K2597-IF(ISNUMBER(N2597),N2597,0)-IF(ISNUMBER(O2597),O2597,0)+IF(ISNUMBER(P2597),P2597,0)))&lt;=Summary!$B$2),"Passes using beginning_balance - PreV_ETB differs from beginning_balance",IF(AND(ISNUMBER(O2597),O2597&lt;0,ABS(L2597-(Q2597-IF(ISNUMBER(N2597),N2597,0)+IF(ISNUMBER(P2597),P2597,0)))&lt;=Summary!$B$2),"Negative realized loss not applied - check sign",IF(R2597&lt;0,"Principal paid exceeds prior balance",IF(AND(L2597&gt;Q2597,NOT(ISNUMBER(P2597))),"Balance increased but no Deferred_interest reported",IF(L2597&gt;R2597,"Reported balance higher than expected (missing increase/OC build)","Reported balance lower than expected (missing decrease)"))))),""))</f>
        <v/>
      </c>
    </row>
    <row r="2598" customFormat="false" ht="15" hidden="false" customHeight="false" outlineLevel="0" collapsed="false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9"/>
      <c r="L2598" s="9"/>
      <c r="M2598" s="9"/>
      <c r="N2598" s="9"/>
      <c r="O2598" s="9"/>
      <c r="P2598" s="9"/>
      <c r="Q2598" s="9"/>
      <c r="R2598" s="9" t="str">
        <f aca="false">IF(AND(A2598&lt;&gt;"",ISNUMBER(Q2598),ISNUMBER(L2598)),ROUND(Q2598-IF(ISNUMBER(N2598),N2598,0)-IF(ISNUMBER(O2598),O2598,0)+IF(ISNUMBER(P2598),P2598,0),2),"")</f>
        <v/>
      </c>
      <c r="S2598" s="9" t="str">
        <f aca="false">IF(R2598="","",ROUND(L2598-R2598,2))</f>
        <v/>
      </c>
      <c r="T2598" s="8" t="str">
        <f aca="false">IF(A2598="","",IF(S2598="","BYPASS",IF(ABS(S2598)&lt;=Summary!$B$2,"PASS","FAIL")))</f>
        <v/>
      </c>
      <c r="U2598" s="8" t="str">
        <f aca="false">IF(T2598="BYPASS",IF(NOT(ISNUMBER(Q2598)),"PreV_ETB missing","End_tr_balance missing"),IF(T2598="FAIL",IF(AND(ISNUMBER(K2598),ISNUMBER(L2598),ABS(L2598-(K2598-IF(ISNUMBER(N2598),N2598,0)-IF(ISNUMBER(O2598),O2598,0)+IF(ISNUMBER(P2598),P2598,0)))&lt;=Summary!$B$2),"Passes using beginning_balance - PreV_ETB differs from beginning_balance",IF(AND(ISNUMBER(O2598),O2598&lt;0,ABS(L2598-(Q2598-IF(ISNUMBER(N2598),N2598,0)+IF(ISNUMBER(P2598),P2598,0)))&lt;=Summary!$B$2),"Negative realized loss not applied - check sign",IF(R2598&lt;0,"Principal paid exceeds prior balance",IF(AND(L2598&gt;Q2598,NOT(ISNUMBER(P2598))),"Balance increased but no Deferred_interest reported",IF(L2598&gt;R2598,"Reported balance higher than expected (missing increase/OC build)","Reported balance lower than expected (missing decrease)"))))),""))</f>
        <v/>
      </c>
    </row>
    <row r="2599" customFormat="false" ht="15" hidden="false" customHeight="false" outlineLevel="0" collapsed="false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9"/>
      <c r="L2599" s="9"/>
      <c r="M2599" s="9"/>
      <c r="N2599" s="9"/>
      <c r="O2599" s="9"/>
      <c r="P2599" s="9"/>
      <c r="Q2599" s="9"/>
      <c r="R2599" s="9" t="str">
        <f aca="false">IF(AND(A2599&lt;&gt;"",ISNUMBER(Q2599),ISNUMBER(L2599)),ROUND(Q2599-IF(ISNUMBER(N2599),N2599,0)-IF(ISNUMBER(O2599),O2599,0)+IF(ISNUMBER(P2599),P2599,0),2),"")</f>
        <v/>
      </c>
      <c r="S2599" s="9" t="str">
        <f aca="false">IF(R2599="","",ROUND(L2599-R2599,2))</f>
        <v/>
      </c>
      <c r="T2599" s="8" t="str">
        <f aca="false">IF(A2599="","",IF(S2599="","BYPASS",IF(ABS(S2599)&lt;=Summary!$B$2,"PASS","FAIL")))</f>
        <v/>
      </c>
      <c r="U2599" s="8" t="str">
        <f aca="false">IF(T2599="BYPASS",IF(NOT(ISNUMBER(Q2599)),"PreV_ETB missing","End_tr_balance missing"),IF(T2599="FAIL",IF(AND(ISNUMBER(K2599),ISNUMBER(L2599),ABS(L2599-(K2599-IF(ISNUMBER(N2599),N2599,0)-IF(ISNUMBER(O2599),O2599,0)+IF(ISNUMBER(P2599),P2599,0)))&lt;=Summary!$B$2),"Passes using beginning_balance - PreV_ETB differs from beginning_balance",IF(AND(ISNUMBER(O2599),O2599&lt;0,ABS(L2599-(Q2599-IF(ISNUMBER(N2599),N2599,0)+IF(ISNUMBER(P2599),P2599,0)))&lt;=Summary!$B$2),"Negative realized loss not applied - check sign",IF(R2599&lt;0,"Principal paid exceeds prior balance",IF(AND(L2599&gt;Q2599,NOT(ISNUMBER(P2599))),"Balance increased but no Deferred_interest reported",IF(L2599&gt;R2599,"Reported balance higher than expected (missing increase/OC build)","Reported balance lower than expected (missing decrease)"))))),""))</f>
        <v/>
      </c>
    </row>
    <row r="2600" customFormat="false" ht="15" hidden="false" customHeight="false" outlineLevel="0" collapsed="false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9"/>
      <c r="L2600" s="9"/>
      <c r="M2600" s="9"/>
      <c r="N2600" s="9"/>
      <c r="O2600" s="9"/>
      <c r="P2600" s="9"/>
      <c r="Q2600" s="9"/>
      <c r="R2600" s="9" t="str">
        <f aca="false">IF(AND(A2600&lt;&gt;"",ISNUMBER(Q2600),ISNUMBER(L2600)),ROUND(Q2600-IF(ISNUMBER(N2600),N2600,0)-IF(ISNUMBER(O2600),O2600,0)+IF(ISNUMBER(P2600),P2600,0),2),"")</f>
        <v/>
      </c>
      <c r="S2600" s="9" t="str">
        <f aca="false">IF(R2600="","",ROUND(L2600-R2600,2))</f>
        <v/>
      </c>
      <c r="T2600" s="8" t="str">
        <f aca="false">IF(A2600="","",IF(S2600="","BYPASS",IF(ABS(S2600)&lt;=Summary!$B$2,"PASS","FAIL")))</f>
        <v/>
      </c>
      <c r="U2600" s="8" t="str">
        <f aca="false">IF(T2600="BYPASS",IF(NOT(ISNUMBER(Q2600)),"PreV_ETB missing","End_tr_balance missing"),IF(T2600="FAIL",IF(AND(ISNUMBER(K2600),ISNUMBER(L2600),ABS(L2600-(K2600-IF(ISNUMBER(N2600),N2600,0)-IF(ISNUMBER(O2600),O2600,0)+IF(ISNUMBER(P2600),P2600,0)))&lt;=Summary!$B$2),"Passes using beginning_balance - PreV_ETB differs from beginning_balance",IF(AND(ISNUMBER(O2600),O2600&lt;0,ABS(L2600-(Q2600-IF(ISNUMBER(N2600),N2600,0)+IF(ISNUMBER(P2600),P2600,0)))&lt;=Summary!$B$2),"Negative realized loss not applied - check sign",IF(R2600&lt;0,"Principal paid exceeds prior balance",IF(AND(L2600&gt;Q2600,NOT(ISNUMBER(P2600))),"Balance increased but no Deferred_interest reported",IF(L2600&gt;R2600,"Reported balance higher than expected (missing increase/OC build)","Reported balance lower than expected (missing decrease)"))))),""))</f>
        <v/>
      </c>
    </row>
    <row r="2601" customFormat="false" ht="15" hidden="false" customHeight="false" outlineLevel="0" collapsed="false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9"/>
      <c r="L2601" s="9"/>
      <c r="M2601" s="9"/>
      <c r="N2601" s="9"/>
      <c r="O2601" s="9"/>
      <c r="P2601" s="9"/>
      <c r="Q2601" s="9"/>
      <c r="R2601" s="9" t="str">
        <f aca="false">IF(AND(A2601&lt;&gt;"",ISNUMBER(Q2601),ISNUMBER(L2601)),ROUND(Q2601-IF(ISNUMBER(N2601),N2601,0)-IF(ISNUMBER(O2601),O2601,0)+IF(ISNUMBER(P2601),P2601,0),2),"")</f>
        <v/>
      </c>
      <c r="S2601" s="9" t="str">
        <f aca="false">IF(R2601="","",ROUND(L2601-R2601,2))</f>
        <v/>
      </c>
      <c r="T2601" s="8" t="str">
        <f aca="false">IF(A2601="","",IF(S2601="","BYPASS",IF(ABS(S2601)&lt;=Summary!$B$2,"PASS","FAIL")))</f>
        <v/>
      </c>
      <c r="U2601" s="8" t="str">
        <f aca="false">IF(T2601="BYPASS",IF(NOT(ISNUMBER(Q2601)),"PreV_ETB missing","End_tr_balance missing"),IF(T2601="FAIL",IF(AND(ISNUMBER(K2601),ISNUMBER(L2601),ABS(L2601-(K2601-IF(ISNUMBER(N2601),N2601,0)-IF(ISNUMBER(O2601),O2601,0)+IF(ISNUMBER(P2601),P2601,0)))&lt;=Summary!$B$2),"Passes using beginning_balance - PreV_ETB differs from beginning_balance",IF(AND(ISNUMBER(O2601),O2601&lt;0,ABS(L2601-(Q2601-IF(ISNUMBER(N2601),N2601,0)+IF(ISNUMBER(P2601),P2601,0)))&lt;=Summary!$B$2),"Negative realized loss not applied - check sign",IF(R2601&lt;0,"Principal paid exceeds prior balance",IF(AND(L2601&gt;Q2601,NOT(ISNUMBER(P2601))),"Balance increased but no Deferred_interest reported",IF(L2601&gt;R2601,"Reported balance higher than expected (missing increase/OC build)","Reported balance lower than expected (missing decrease)"))))),""))</f>
        <v/>
      </c>
    </row>
    <row r="2602" customFormat="false" ht="15" hidden="false" customHeight="false" outlineLevel="0" collapsed="false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9"/>
      <c r="L2602" s="9"/>
      <c r="M2602" s="9"/>
      <c r="N2602" s="9"/>
      <c r="O2602" s="9"/>
      <c r="P2602" s="9"/>
      <c r="Q2602" s="9"/>
      <c r="R2602" s="9" t="str">
        <f aca="false">IF(AND(A2602&lt;&gt;"",ISNUMBER(Q2602),ISNUMBER(L2602)),ROUND(Q2602-IF(ISNUMBER(N2602),N2602,0)-IF(ISNUMBER(O2602),O2602,0)+IF(ISNUMBER(P2602),P2602,0),2),"")</f>
        <v/>
      </c>
      <c r="S2602" s="9" t="str">
        <f aca="false">IF(R2602="","",ROUND(L2602-R2602,2))</f>
        <v/>
      </c>
      <c r="T2602" s="8" t="str">
        <f aca="false">IF(A2602="","",IF(S2602="","BYPASS",IF(ABS(S2602)&lt;=Summary!$B$2,"PASS","FAIL")))</f>
        <v/>
      </c>
      <c r="U2602" s="8" t="str">
        <f aca="false">IF(T2602="BYPASS",IF(NOT(ISNUMBER(Q2602)),"PreV_ETB missing","End_tr_balance missing"),IF(T2602="FAIL",IF(AND(ISNUMBER(K2602),ISNUMBER(L2602),ABS(L2602-(K2602-IF(ISNUMBER(N2602),N2602,0)-IF(ISNUMBER(O2602),O2602,0)+IF(ISNUMBER(P2602),P2602,0)))&lt;=Summary!$B$2),"Passes using beginning_balance - PreV_ETB differs from beginning_balance",IF(AND(ISNUMBER(O2602),O2602&lt;0,ABS(L2602-(Q2602-IF(ISNUMBER(N2602),N2602,0)+IF(ISNUMBER(P2602),P2602,0)))&lt;=Summary!$B$2),"Negative realized loss not applied - check sign",IF(R2602&lt;0,"Principal paid exceeds prior balance",IF(AND(L2602&gt;Q2602,NOT(ISNUMBER(P2602))),"Balance increased but no Deferred_interest reported",IF(L2602&gt;R2602,"Reported balance higher than expected (missing increase/OC build)","Reported balance lower than expected (missing decrease)"))))),""))</f>
        <v/>
      </c>
    </row>
    <row r="2603" customFormat="false" ht="15" hidden="false" customHeight="false" outlineLevel="0" collapsed="false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9"/>
      <c r="L2603" s="9"/>
      <c r="M2603" s="9"/>
      <c r="N2603" s="9"/>
      <c r="O2603" s="9"/>
      <c r="P2603" s="9"/>
      <c r="Q2603" s="9"/>
      <c r="R2603" s="9" t="str">
        <f aca="false">IF(AND(A2603&lt;&gt;"",ISNUMBER(Q2603),ISNUMBER(L2603)),ROUND(Q2603-IF(ISNUMBER(N2603),N2603,0)-IF(ISNUMBER(O2603),O2603,0)+IF(ISNUMBER(P2603),P2603,0),2),"")</f>
        <v/>
      </c>
      <c r="S2603" s="9" t="str">
        <f aca="false">IF(R2603="","",ROUND(L2603-R2603,2))</f>
        <v/>
      </c>
      <c r="T2603" s="8" t="str">
        <f aca="false">IF(A2603="","",IF(S2603="","BYPASS",IF(ABS(S2603)&lt;=Summary!$B$2,"PASS","FAIL")))</f>
        <v/>
      </c>
      <c r="U2603" s="8" t="str">
        <f aca="false">IF(T2603="BYPASS",IF(NOT(ISNUMBER(Q2603)),"PreV_ETB missing","End_tr_balance missing"),IF(T2603="FAIL",IF(AND(ISNUMBER(K2603),ISNUMBER(L2603),ABS(L2603-(K2603-IF(ISNUMBER(N2603),N2603,0)-IF(ISNUMBER(O2603),O2603,0)+IF(ISNUMBER(P2603),P2603,0)))&lt;=Summary!$B$2),"Passes using beginning_balance - PreV_ETB differs from beginning_balance",IF(AND(ISNUMBER(O2603),O2603&lt;0,ABS(L2603-(Q2603-IF(ISNUMBER(N2603),N2603,0)+IF(ISNUMBER(P2603),P2603,0)))&lt;=Summary!$B$2),"Negative realized loss not applied - check sign",IF(R2603&lt;0,"Principal paid exceeds prior balance",IF(AND(L2603&gt;Q2603,NOT(ISNUMBER(P2603))),"Balance increased but no Deferred_interest reported",IF(L2603&gt;R2603,"Reported balance higher than expected (missing increase/OC build)","Reported balance lower than expected (missing decrease)"))))),""))</f>
        <v/>
      </c>
    </row>
    <row r="2604" customFormat="false" ht="15" hidden="false" customHeight="false" outlineLevel="0" collapsed="false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9"/>
      <c r="L2604" s="9"/>
      <c r="M2604" s="9"/>
      <c r="N2604" s="9"/>
      <c r="O2604" s="9"/>
      <c r="P2604" s="9"/>
      <c r="Q2604" s="9"/>
      <c r="R2604" s="9" t="str">
        <f aca="false">IF(AND(A2604&lt;&gt;"",ISNUMBER(Q2604),ISNUMBER(L2604)),ROUND(Q2604-IF(ISNUMBER(N2604),N2604,0)-IF(ISNUMBER(O2604),O2604,0)+IF(ISNUMBER(P2604),P2604,0),2),"")</f>
        <v/>
      </c>
      <c r="S2604" s="9" t="str">
        <f aca="false">IF(R2604="","",ROUND(L2604-R2604,2))</f>
        <v/>
      </c>
      <c r="T2604" s="8" t="str">
        <f aca="false">IF(A2604="","",IF(S2604="","BYPASS",IF(ABS(S2604)&lt;=Summary!$B$2,"PASS","FAIL")))</f>
        <v/>
      </c>
      <c r="U2604" s="8" t="str">
        <f aca="false">IF(T2604="BYPASS",IF(NOT(ISNUMBER(Q2604)),"PreV_ETB missing","End_tr_balance missing"),IF(T2604="FAIL",IF(AND(ISNUMBER(K2604),ISNUMBER(L2604),ABS(L2604-(K2604-IF(ISNUMBER(N2604),N2604,0)-IF(ISNUMBER(O2604),O2604,0)+IF(ISNUMBER(P2604),P2604,0)))&lt;=Summary!$B$2),"Passes using beginning_balance - PreV_ETB differs from beginning_balance",IF(AND(ISNUMBER(O2604),O2604&lt;0,ABS(L2604-(Q2604-IF(ISNUMBER(N2604),N2604,0)+IF(ISNUMBER(P2604),P2604,0)))&lt;=Summary!$B$2),"Negative realized loss not applied - check sign",IF(R2604&lt;0,"Principal paid exceeds prior balance",IF(AND(L2604&gt;Q2604,NOT(ISNUMBER(P2604))),"Balance increased but no Deferred_interest reported",IF(L2604&gt;R2604,"Reported balance higher than expected (missing increase/OC build)","Reported balance lower than expected (missing decrease)"))))),""))</f>
        <v/>
      </c>
    </row>
    <row r="2605" customFormat="false" ht="15" hidden="false" customHeight="false" outlineLevel="0" collapsed="false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9"/>
      <c r="L2605" s="9"/>
      <c r="M2605" s="9"/>
      <c r="N2605" s="9"/>
      <c r="O2605" s="9"/>
      <c r="P2605" s="9"/>
      <c r="Q2605" s="9"/>
      <c r="R2605" s="9" t="str">
        <f aca="false">IF(AND(A2605&lt;&gt;"",ISNUMBER(Q2605),ISNUMBER(L2605)),ROUND(Q2605-IF(ISNUMBER(N2605),N2605,0)-IF(ISNUMBER(O2605),O2605,0)+IF(ISNUMBER(P2605),P2605,0),2),"")</f>
        <v/>
      </c>
      <c r="S2605" s="9" t="str">
        <f aca="false">IF(R2605="","",ROUND(L2605-R2605,2))</f>
        <v/>
      </c>
      <c r="T2605" s="8" t="str">
        <f aca="false">IF(A2605="","",IF(S2605="","BYPASS",IF(ABS(S2605)&lt;=Summary!$B$2,"PASS","FAIL")))</f>
        <v/>
      </c>
      <c r="U2605" s="8" t="str">
        <f aca="false">IF(T2605="BYPASS",IF(NOT(ISNUMBER(Q2605)),"PreV_ETB missing","End_tr_balance missing"),IF(T2605="FAIL",IF(AND(ISNUMBER(K2605),ISNUMBER(L2605),ABS(L2605-(K2605-IF(ISNUMBER(N2605),N2605,0)-IF(ISNUMBER(O2605),O2605,0)+IF(ISNUMBER(P2605),P2605,0)))&lt;=Summary!$B$2),"Passes using beginning_balance - PreV_ETB differs from beginning_balance",IF(AND(ISNUMBER(O2605),O2605&lt;0,ABS(L2605-(Q2605-IF(ISNUMBER(N2605),N2605,0)+IF(ISNUMBER(P2605),P2605,0)))&lt;=Summary!$B$2),"Negative realized loss not applied - check sign",IF(R2605&lt;0,"Principal paid exceeds prior balance",IF(AND(L2605&gt;Q2605,NOT(ISNUMBER(P2605))),"Balance increased but no Deferred_interest reported",IF(L2605&gt;R2605,"Reported balance higher than expected (missing increase/OC build)","Reported balance lower than expected (missing decrease)"))))),""))</f>
        <v/>
      </c>
    </row>
    <row r="2606" customFormat="false" ht="15" hidden="false" customHeight="false" outlineLevel="0" collapsed="false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9"/>
      <c r="L2606" s="9"/>
      <c r="M2606" s="9"/>
      <c r="N2606" s="9"/>
      <c r="O2606" s="9"/>
      <c r="P2606" s="9"/>
      <c r="Q2606" s="9"/>
      <c r="R2606" s="9" t="str">
        <f aca="false">IF(AND(A2606&lt;&gt;"",ISNUMBER(Q2606),ISNUMBER(L2606)),ROUND(Q2606-IF(ISNUMBER(N2606),N2606,0)-IF(ISNUMBER(O2606),O2606,0)+IF(ISNUMBER(P2606),P2606,0),2),"")</f>
        <v/>
      </c>
      <c r="S2606" s="9" t="str">
        <f aca="false">IF(R2606="","",ROUND(L2606-R2606,2))</f>
        <v/>
      </c>
      <c r="T2606" s="8" t="str">
        <f aca="false">IF(A2606="","",IF(S2606="","BYPASS",IF(ABS(S2606)&lt;=Summary!$B$2,"PASS","FAIL")))</f>
        <v/>
      </c>
      <c r="U2606" s="8" t="str">
        <f aca="false">IF(T2606="BYPASS",IF(NOT(ISNUMBER(Q2606)),"PreV_ETB missing","End_tr_balance missing"),IF(T2606="FAIL",IF(AND(ISNUMBER(K2606),ISNUMBER(L2606),ABS(L2606-(K2606-IF(ISNUMBER(N2606),N2606,0)-IF(ISNUMBER(O2606),O2606,0)+IF(ISNUMBER(P2606),P2606,0)))&lt;=Summary!$B$2),"Passes using beginning_balance - PreV_ETB differs from beginning_balance",IF(AND(ISNUMBER(O2606),O2606&lt;0,ABS(L2606-(Q2606-IF(ISNUMBER(N2606),N2606,0)+IF(ISNUMBER(P2606),P2606,0)))&lt;=Summary!$B$2),"Negative realized loss not applied - check sign",IF(R2606&lt;0,"Principal paid exceeds prior balance",IF(AND(L2606&gt;Q2606,NOT(ISNUMBER(P2606))),"Balance increased but no Deferred_interest reported",IF(L2606&gt;R2606,"Reported balance higher than expected (missing increase/OC build)","Reported balance lower than expected (missing decrease)"))))),""))</f>
        <v/>
      </c>
    </row>
    <row r="2607" customFormat="false" ht="15" hidden="false" customHeight="false" outlineLevel="0" collapsed="false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9"/>
      <c r="L2607" s="9"/>
      <c r="M2607" s="9"/>
      <c r="N2607" s="9"/>
      <c r="O2607" s="9"/>
      <c r="P2607" s="9"/>
      <c r="Q2607" s="9"/>
      <c r="R2607" s="9" t="str">
        <f aca="false">IF(AND(A2607&lt;&gt;"",ISNUMBER(Q2607),ISNUMBER(L2607)),ROUND(Q2607-IF(ISNUMBER(N2607),N2607,0)-IF(ISNUMBER(O2607),O2607,0)+IF(ISNUMBER(P2607),P2607,0),2),"")</f>
        <v/>
      </c>
      <c r="S2607" s="9" t="str">
        <f aca="false">IF(R2607="","",ROUND(L2607-R2607,2))</f>
        <v/>
      </c>
      <c r="T2607" s="8" t="str">
        <f aca="false">IF(A2607="","",IF(S2607="","BYPASS",IF(ABS(S2607)&lt;=Summary!$B$2,"PASS","FAIL")))</f>
        <v/>
      </c>
      <c r="U2607" s="8" t="str">
        <f aca="false">IF(T2607="BYPASS",IF(NOT(ISNUMBER(Q2607)),"PreV_ETB missing","End_tr_balance missing"),IF(T2607="FAIL",IF(AND(ISNUMBER(K2607),ISNUMBER(L2607),ABS(L2607-(K2607-IF(ISNUMBER(N2607),N2607,0)-IF(ISNUMBER(O2607),O2607,0)+IF(ISNUMBER(P2607),P2607,0)))&lt;=Summary!$B$2),"Passes using beginning_balance - PreV_ETB differs from beginning_balance",IF(AND(ISNUMBER(O2607),O2607&lt;0,ABS(L2607-(Q2607-IF(ISNUMBER(N2607),N2607,0)+IF(ISNUMBER(P2607),P2607,0)))&lt;=Summary!$B$2),"Negative realized loss not applied - check sign",IF(R2607&lt;0,"Principal paid exceeds prior balance",IF(AND(L2607&gt;Q2607,NOT(ISNUMBER(P2607))),"Balance increased but no Deferred_interest reported",IF(L2607&gt;R2607,"Reported balance higher than expected (missing increase/OC build)","Reported balance lower than expected (missing decrease)"))))),""))</f>
        <v/>
      </c>
    </row>
    <row r="2608" customFormat="false" ht="15" hidden="false" customHeight="false" outlineLevel="0" collapsed="false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9"/>
      <c r="L2608" s="9"/>
      <c r="M2608" s="9"/>
      <c r="N2608" s="9"/>
      <c r="O2608" s="9"/>
      <c r="P2608" s="9"/>
      <c r="Q2608" s="9"/>
      <c r="R2608" s="9" t="str">
        <f aca="false">IF(AND(A2608&lt;&gt;"",ISNUMBER(Q2608),ISNUMBER(L2608)),ROUND(Q2608-IF(ISNUMBER(N2608),N2608,0)-IF(ISNUMBER(O2608),O2608,0)+IF(ISNUMBER(P2608),P2608,0),2),"")</f>
        <v/>
      </c>
      <c r="S2608" s="9" t="str">
        <f aca="false">IF(R2608="","",ROUND(L2608-R2608,2))</f>
        <v/>
      </c>
      <c r="T2608" s="8" t="str">
        <f aca="false">IF(A2608="","",IF(S2608="","BYPASS",IF(ABS(S2608)&lt;=Summary!$B$2,"PASS","FAIL")))</f>
        <v/>
      </c>
      <c r="U2608" s="8" t="str">
        <f aca="false">IF(T2608="BYPASS",IF(NOT(ISNUMBER(Q2608)),"PreV_ETB missing","End_tr_balance missing"),IF(T2608="FAIL",IF(AND(ISNUMBER(K2608),ISNUMBER(L2608),ABS(L2608-(K2608-IF(ISNUMBER(N2608),N2608,0)-IF(ISNUMBER(O2608),O2608,0)+IF(ISNUMBER(P2608),P2608,0)))&lt;=Summary!$B$2),"Passes using beginning_balance - PreV_ETB differs from beginning_balance",IF(AND(ISNUMBER(O2608),O2608&lt;0,ABS(L2608-(Q2608-IF(ISNUMBER(N2608),N2608,0)+IF(ISNUMBER(P2608),P2608,0)))&lt;=Summary!$B$2),"Negative realized loss not applied - check sign",IF(R2608&lt;0,"Principal paid exceeds prior balance",IF(AND(L2608&gt;Q2608,NOT(ISNUMBER(P2608))),"Balance increased but no Deferred_interest reported",IF(L2608&gt;R2608,"Reported balance higher than expected (missing increase/OC build)","Reported balance lower than expected (missing decrease)"))))),""))</f>
        <v/>
      </c>
    </row>
    <row r="2609" customFormat="false" ht="15" hidden="false" customHeight="false" outlineLevel="0" collapsed="false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9"/>
      <c r="L2609" s="9"/>
      <c r="M2609" s="9"/>
      <c r="N2609" s="9"/>
      <c r="O2609" s="9"/>
      <c r="P2609" s="9"/>
      <c r="Q2609" s="9"/>
      <c r="R2609" s="9" t="str">
        <f aca="false">IF(AND(A2609&lt;&gt;"",ISNUMBER(Q2609),ISNUMBER(L2609)),ROUND(Q2609-IF(ISNUMBER(N2609),N2609,0)-IF(ISNUMBER(O2609),O2609,0)+IF(ISNUMBER(P2609),P2609,0),2),"")</f>
        <v/>
      </c>
      <c r="S2609" s="9" t="str">
        <f aca="false">IF(R2609="","",ROUND(L2609-R2609,2))</f>
        <v/>
      </c>
      <c r="T2609" s="8" t="str">
        <f aca="false">IF(A2609="","",IF(S2609="","BYPASS",IF(ABS(S2609)&lt;=Summary!$B$2,"PASS","FAIL")))</f>
        <v/>
      </c>
      <c r="U2609" s="8" t="str">
        <f aca="false">IF(T2609="BYPASS",IF(NOT(ISNUMBER(Q2609)),"PreV_ETB missing","End_tr_balance missing"),IF(T2609="FAIL",IF(AND(ISNUMBER(K2609),ISNUMBER(L2609),ABS(L2609-(K2609-IF(ISNUMBER(N2609),N2609,0)-IF(ISNUMBER(O2609),O2609,0)+IF(ISNUMBER(P2609),P2609,0)))&lt;=Summary!$B$2),"Passes using beginning_balance - PreV_ETB differs from beginning_balance",IF(AND(ISNUMBER(O2609),O2609&lt;0,ABS(L2609-(Q2609-IF(ISNUMBER(N2609),N2609,0)+IF(ISNUMBER(P2609),P2609,0)))&lt;=Summary!$B$2),"Negative realized loss not applied - check sign",IF(R2609&lt;0,"Principal paid exceeds prior balance",IF(AND(L2609&gt;Q2609,NOT(ISNUMBER(P2609))),"Balance increased but no Deferred_interest reported",IF(L2609&gt;R2609,"Reported balance higher than expected (missing increase/OC build)","Reported balance lower than expected (missing decrease)"))))),""))</f>
        <v/>
      </c>
    </row>
    <row r="2610" customFormat="false" ht="15" hidden="false" customHeight="false" outlineLevel="0" collapsed="false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9"/>
      <c r="L2610" s="9"/>
      <c r="M2610" s="9"/>
      <c r="N2610" s="9"/>
      <c r="O2610" s="9"/>
      <c r="P2610" s="9"/>
      <c r="Q2610" s="9"/>
      <c r="R2610" s="9" t="str">
        <f aca="false">IF(AND(A2610&lt;&gt;"",ISNUMBER(Q2610),ISNUMBER(L2610)),ROUND(Q2610-IF(ISNUMBER(N2610),N2610,0)-IF(ISNUMBER(O2610),O2610,0)+IF(ISNUMBER(P2610),P2610,0),2),"")</f>
        <v/>
      </c>
      <c r="S2610" s="9" t="str">
        <f aca="false">IF(R2610="","",ROUND(L2610-R2610,2))</f>
        <v/>
      </c>
      <c r="T2610" s="8" t="str">
        <f aca="false">IF(A2610="","",IF(S2610="","BYPASS",IF(ABS(S2610)&lt;=Summary!$B$2,"PASS","FAIL")))</f>
        <v/>
      </c>
      <c r="U2610" s="8" t="str">
        <f aca="false">IF(T2610="BYPASS",IF(NOT(ISNUMBER(Q2610)),"PreV_ETB missing","End_tr_balance missing"),IF(T2610="FAIL",IF(AND(ISNUMBER(K2610),ISNUMBER(L2610),ABS(L2610-(K2610-IF(ISNUMBER(N2610),N2610,0)-IF(ISNUMBER(O2610),O2610,0)+IF(ISNUMBER(P2610),P2610,0)))&lt;=Summary!$B$2),"Passes using beginning_balance - PreV_ETB differs from beginning_balance",IF(AND(ISNUMBER(O2610),O2610&lt;0,ABS(L2610-(Q2610-IF(ISNUMBER(N2610),N2610,0)+IF(ISNUMBER(P2610),P2610,0)))&lt;=Summary!$B$2),"Negative realized loss not applied - check sign",IF(R2610&lt;0,"Principal paid exceeds prior balance",IF(AND(L2610&gt;Q2610,NOT(ISNUMBER(P2610))),"Balance increased but no Deferred_interest reported",IF(L2610&gt;R2610,"Reported balance higher than expected (missing increase/OC build)","Reported balance lower than expected (missing decrease)"))))),""))</f>
        <v/>
      </c>
    </row>
    <row r="2611" customFormat="false" ht="15" hidden="false" customHeight="false" outlineLevel="0" collapsed="false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9"/>
      <c r="L2611" s="9"/>
      <c r="M2611" s="9"/>
      <c r="N2611" s="9"/>
      <c r="O2611" s="9"/>
      <c r="P2611" s="9"/>
      <c r="Q2611" s="9"/>
      <c r="R2611" s="9" t="str">
        <f aca="false">IF(AND(A2611&lt;&gt;"",ISNUMBER(Q2611),ISNUMBER(L2611)),ROUND(Q2611-IF(ISNUMBER(N2611),N2611,0)-IF(ISNUMBER(O2611),O2611,0)+IF(ISNUMBER(P2611),P2611,0),2),"")</f>
        <v/>
      </c>
      <c r="S2611" s="9" t="str">
        <f aca="false">IF(R2611="","",ROUND(L2611-R2611,2))</f>
        <v/>
      </c>
      <c r="T2611" s="8" t="str">
        <f aca="false">IF(A2611="","",IF(S2611="","BYPASS",IF(ABS(S2611)&lt;=Summary!$B$2,"PASS","FAIL")))</f>
        <v/>
      </c>
      <c r="U2611" s="8" t="str">
        <f aca="false">IF(T2611="BYPASS",IF(NOT(ISNUMBER(Q2611)),"PreV_ETB missing","End_tr_balance missing"),IF(T2611="FAIL",IF(AND(ISNUMBER(K2611),ISNUMBER(L2611),ABS(L2611-(K2611-IF(ISNUMBER(N2611),N2611,0)-IF(ISNUMBER(O2611),O2611,0)+IF(ISNUMBER(P2611),P2611,0)))&lt;=Summary!$B$2),"Passes using beginning_balance - PreV_ETB differs from beginning_balance",IF(AND(ISNUMBER(O2611),O2611&lt;0,ABS(L2611-(Q2611-IF(ISNUMBER(N2611),N2611,0)+IF(ISNUMBER(P2611),P2611,0)))&lt;=Summary!$B$2),"Negative realized loss not applied - check sign",IF(R2611&lt;0,"Principal paid exceeds prior balance",IF(AND(L2611&gt;Q2611,NOT(ISNUMBER(P2611))),"Balance increased but no Deferred_interest reported",IF(L2611&gt;R2611,"Reported balance higher than expected (missing increase/OC build)","Reported balance lower than expected (missing decrease)"))))),""))</f>
        <v/>
      </c>
    </row>
    <row r="2612" customFormat="false" ht="15" hidden="false" customHeight="false" outlineLevel="0" collapsed="false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9"/>
      <c r="L2612" s="9"/>
      <c r="M2612" s="9"/>
      <c r="N2612" s="9"/>
      <c r="O2612" s="9"/>
      <c r="P2612" s="9"/>
      <c r="Q2612" s="9"/>
      <c r="R2612" s="9" t="str">
        <f aca="false">IF(AND(A2612&lt;&gt;"",ISNUMBER(Q2612),ISNUMBER(L2612)),ROUND(Q2612-IF(ISNUMBER(N2612),N2612,0)-IF(ISNUMBER(O2612),O2612,0)+IF(ISNUMBER(P2612),P2612,0),2),"")</f>
        <v/>
      </c>
      <c r="S2612" s="9" t="str">
        <f aca="false">IF(R2612="","",ROUND(L2612-R2612,2))</f>
        <v/>
      </c>
      <c r="T2612" s="8" t="str">
        <f aca="false">IF(A2612="","",IF(S2612="","BYPASS",IF(ABS(S2612)&lt;=Summary!$B$2,"PASS","FAIL")))</f>
        <v/>
      </c>
      <c r="U2612" s="8" t="str">
        <f aca="false">IF(T2612="BYPASS",IF(NOT(ISNUMBER(Q2612)),"PreV_ETB missing","End_tr_balance missing"),IF(T2612="FAIL",IF(AND(ISNUMBER(K2612),ISNUMBER(L2612),ABS(L2612-(K2612-IF(ISNUMBER(N2612),N2612,0)-IF(ISNUMBER(O2612),O2612,0)+IF(ISNUMBER(P2612),P2612,0)))&lt;=Summary!$B$2),"Passes using beginning_balance - PreV_ETB differs from beginning_balance",IF(AND(ISNUMBER(O2612),O2612&lt;0,ABS(L2612-(Q2612-IF(ISNUMBER(N2612),N2612,0)+IF(ISNUMBER(P2612),P2612,0)))&lt;=Summary!$B$2),"Negative realized loss not applied - check sign",IF(R2612&lt;0,"Principal paid exceeds prior balance",IF(AND(L2612&gt;Q2612,NOT(ISNUMBER(P2612))),"Balance increased but no Deferred_interest reported",IF(L2612&gt;R2612,"Reported balance higher than expected (missing increase/OC build)","Reported balance lower than expected (missing decrease)"))))),""))</f>
        <v/>
      </c>
    </row>
    <row r="2613" customFormat="false" ht="15" hidden="false" customHeight="false" outlineLevel="0" collapsed="false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9"/>
      <c r="L2613" s="9"/>
      <c r="M2613" s="9"/>
      <c r="N2613" s="9"/>
      <c r="O2613" s="9"/>
      <c r="P2613" s="9"/>
      <c r="Q2613" s="9"/>
      <c r="R2613" s="9" t="str">
        <f aca="false">IF(AND(A2613&lt;&gt;"",ISNUMBER(Q2613),ISNUMBER(L2613)),ROUND(Q2613-IF(ISNUMBER(N2613),N2613,0)-IF(ISNUMBER(O2613),O2613,0)+IF(ISNUMBER(P2613),P2613,0),2),"")</f>
        <v/>
      </c>
      <c r="S2613" s="9" t="str">
        <f aca="false">IF(R2613="","",ROUND(L2613-R2613,2))</f>
        <v/>
      </c>
      <c r="T2613" s="8" t="str">
        <f aca="false">IF(A2613="","",IF(S2613="","BYPASS",IF(ABS(S2613)&lt;=Summary!$B$2,"PASS","FAIL")))</f>
        <v/>
      </c>
      <c r="U2613" s="8" t="str">
        <f aca="false">IF(T2613="BYPASS",IF(NOT(ISNUMBER(Q2613)),"PreV_ETB missing","End_tr_balance missing"),IF(T2613="FAIL",IF(AND(ISNUMBER(K2613),ISNUMBER(L2613),ABS(L2613-(K2613-IF(ISNUMBER(N2613),N2613,0)-IF(ISNUMBER(O2613),O2613,0)+IF(ISNUMBER(P2613),P2613,0)))&lt;=Summary!$B$2),"Passes using beginning_balance - PreV_ETB differs from beginning_balance",IF(AND(ISNUMBER(O2613),O2613&lt;0,ABS(L2613-(Q2613-IF(ISNUMBER(N2613),N2613,0)+IF(ISNUMBER(P2613),P2613,0)))&lt;=Summary!$B$2),"Negative realized loss not applied - check sign",IF(R2613&lt;0,"Principal paid exceeds prior balance",IF(AND(L2613&gt;Q2613,NOT(ISNUMBER(P2613))),"Balance increased but no Deferred_interest reported",IF(L2613&gt;R2613,"Reported balance higher than expected (missing increase/OC build)","Reported balance lower than expected (missing decrease)"))))),""))</f>
        <v/>
      </c>
    </row>
    <row r="2614" customFormat="false" ht="15" hidden="false" customHeight="false" outlineLevel="0" collapsed="false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9"/>
      <c r="L2614" s="9"/>
      <c r="M2614" s="9"/>
      <c r="N2614" s="9"/>
      <c r="O2614" s="9"/>
      <c r="P2614" s="9"/>
      <c r="Q2614" s="9"/>
      <c r="R2614" s="9" t="str">
        <f aca="false">IF(AND(A2614&lt;&gt;"",ISNUMBER(Q2614),ISNUMBER(L2614)),ROUND(Q2614-IF(ISNUMBER(N2614),N2614,0)-IF(ISNUMBER(O2614),O2614,0)+IF(ISNUMBER(P2614),P2614,0),2),"")</f>
        <v/>
      </c>
      <c r="S2614" s="9" t="str">
        <f aca="false">IF(R2614="","",ROUND(L2614-R2614,2))</f>
        <v/>
      </c>
      <c r="T2614" s="8" t="str">
        <f aca="false">IF(A2614="","",IF(S2614="","BYPASS",IF(ABS(S2614)&lt;=Summary!$B$2,"PASS","FAIL")))</f>
        <v/>
      </c>
      <c r="U2614" s="8" t="str">
        <f aca="false">IF(T2614="BYPASS",IF(NOT(ISNUMBER(Q2614)),"PreV_ETB missing","End_tr_balance missing"),IF(T2614="FAIL",IF(AND(ISNUMBER(K2614),ISNUMBER(L2614),ABS(L2614-(K2614-IF(ISNUMBER(N2614),N2614,0)-IF(ISNUMBER(O2614),O2614,0)+IF(ISNUMBER(P2614),P2614,0)))&lt;=Summary!$B$2),"Passes using beginning_balance - PreV_ETB differs from beginning_balance",IF(AND(ISNUMBER(O2614),O2614&lt;0,ABS(L2614-(Q2614-IF(ISNUMBER(N2614),N2614,0)+IF(ISNUMBER(P2614),P2614,0)))&lt;=Summary!$B$2),"Negative realized loss not applied - check sign",IF(R2614&lt;0,"Principal paid exceeds prior balance",IF(AND(L2614&gt;Q2614,NOT(ISNUMBER(P2614))),"Balance increased but no Deferred_interest reported",IF(L2614&gt;R2614,"Reported balance higher than expected (missing increase/OC build)","Reported balance lower than expected (missing decrease)"))))),""))</f>
        <v/>
      </c>
    </row>
    <row r="2615" customFormat="false" ht="15" hidden="false" customHeight="false" outlineLevel="0" collapsed="false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9"/>
      <c r="L2615" s="9"/>
      <c r="M2615" s="9"/>
      <c r="N2615" s="9"/>
      <c r="O2615" s="9"/>
      <c r="P2615" s="9"/>
      <c r="Q2615" s="9"/>
      <c r="R2615" s="9" t="str">
        <f aca="false">IF(AND(A2615&lt;&gt;"",ISNUMBER(Q2615),ISNUMBER(L2615)),ROUND(Q2615-IF(ISNUMBER(N2615),N2615,0)-IF(ISNUMBER(O2615),O2615,0)+IF(ISNUMBER(P2615),P2615,0),2),"")</f>
        <v/>
      </c>
      <c r="S2615" s="9" t="str">
        <f aca="false">IF(R2615="","",ROUND(L2615-R2615,2))</f>
        <v/>
      </c>
      <c r="T2615" s="8" t="str">
        <f aca="false">IF(A2615="","",IF(S2615="","BYPASS",IF(ABS(S2615)&lt;=Summary!$B$2,"PASS","FAIL")))</f>
        <v/>
      </c>
      <c r="U2615" s="8" t="str">
        <f aca="false">IF(T2615="BYPASS",IF(NOT(ISNUMBER(Q2615)),"PreV_ETB missing","End_tr_balance missing"),IF(T2615="FAIL",IF(AND(ISNUMBER(K2615),ISNUMBER(L2615),ABS(L2615-(K2615-IF(ISNUMBER(N2615),N2615,0)-IF(ISNUMBER(O2615),O2615,0)+IF(ISNUMBER(P2615),P2615,0)))&lt;=Summary!$B$2),"Passes using beginning_balance - PreV_ETB differs from beginning_balance",IF(AND(ISNUMBER(O2615),O2615&lt;0,ABS(L2615-(Q2615-IF(ISNUMBER(N2615),N2615,0)+IF(ISNUMBER(P2615),P2615,0)))&lt;=Summary!$B$2),"Negative realized loss not applied - check sign",IF(R2615&lt;0,"Principal paid exceeds prior balance",IF(AND(L2615&gt;Q2615,NOT(ISNUMBER(P2615))),"Balance increased but no Deferred_interest reported",IF(L2615&gt;R2615,"Reported balance higher than expected (missing increase/OC build)","Reported balance lower than expected (missing decrease)"))))),""))</f>
        <v/>
      </c>
    </row>
    <row r="2616" customFormat="false" ht="15" hidden="false" customHeight="false" outlineLevel="0" collapsed="false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9"/>
      <c r="L2616" s="9"/>
      <c r="M2616" s="9"/>
      <c r="N2616" s="9"/>
      <c r="O2616" s="9"/>
      <c r="P2616" s="9"/>
      <c r="Q2616" s="9"/>
      <c r="R2616" s="9" t="str">
        <f aca="false">IF(AND(A2616&lt;&gt;"",ISNUMBER(Q2616),ISNUMBER(L2616)),ROUND(Q2616-IF(ISNUMBER(N2616),N2616,0)-IF(ISNUMBER(O2616),O2616,0)+IF(ISNUMBER(P2616),P2616,0),2),"")</f>
        <v/>
      </c>
      <c r="S2616" s="9" t="str">
        <f aca="false">IF(R2616="","",ROUND(L2616-R2616,2))</f>
        <v/>
      </c>
      <c r="T2616" s="8" t="str">
        <f aca="false">IF(A2616="","",IF(S2616="","BYPASS",IF(ABS(S2616)&lt;=Summary!$B$2,"PASS","FAIL")))</f>
        <v/>
      </c>
      <c r="U2616" s="8" t="str">
        <f aca="false">IF(T2616="BYPASS",IF(NOT(ISNUMBER(Q2616)),"PreV_ETB missing","End_tr_balance missing"),IF(T2616="FAIL",IF(AND(ISNUMBER(K2616),ISNUMBER(L2616),ABS(L2616-(K2616-IF(ISNUMBER(N2616),N2616,0)-IF(ISNUMBER(O2616),O2616,0)+IF(ISNUMBER(P2616),P2616,0)))&lt;=Summary!$B$2),"Passes using beginning_balance - PreV_ETB differs from beginning_balance",IF(AND(ISNUMBER(O2616),O2616&lt;0,ABS(L2616-(Q2616-IF(ISNUMBER(N2616),N2616,0)+IF(ISNUMBER(P2616),P2616,0)))&lt;=Summary!$B$2),"Negative realized loss not applied - check sign",IF(R2616&lt;0,"Principal paid exceeds prior balance",IF(AND(L2616&gt;Q2616,NOT(ISNUMBER(P2616))),"Balance increased but no Deferred_interest reported",IF(L2616&gt;R2616,"Reported balance higher than expected (missing increase/OC build)","Reported balance lower than expected (missing decrease)"))))),""))</f>
        <v/>
      </c>
    </row>
    <row r="2617" customFormat="false" ht="15" hidden="false" customHeight="false" outlineLevel="0" collapsed="false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9"/>
      <c r="L2617" s="9"/>
      <c r="M2617" s="9"/>
      <c r="N2617" s="9"/>
      <c r="O2617" s="9"/>
      <c r="P2617" s="9"/>
      <c r="Q2617" s="9"/>
      <c r="R2617" s="9" t="str">
        <f aca="false">IF(AND(A2617&lt;&gt;"",ISNUMBER(Q2617),ISNUMBER(L2617)),ROUND(Q2617-IF(ISNUMBER(N2617),N2617,0)-IF(ISNUMBER(O2617),O2617,0)+IF(ISNUMBER(P2617),P2617,0),2),"")</f>
        <v/>
      </c>
      <c r="S2617" s="9" t="str">
        <f aca="false">IF(R2617="","",ROUND(L2617-R2617,2))</f>
        <v/>
      </c>
      <c r="T2617" s="8" t="str">
        <f aca="false">IF(A2617="","",IF(S2617="","BYPASS",IF(ABS(S2617)&lt;=Summary!$B$2,"PASS","FAIL")))</f>
        <v/>
      </c>
      <c r="U2617" s="8" t="str">
        <f aca="false">IF(T2617="BYPASS",IF(NOT(ISNUMBER(Q2617)),"PreV_ETB missing","End_tr_balance missing"),IF(T2617="FAIL",IF(AND(ISNUMBER(K2617),ISNUMBER(L2617),ABS(L2617-(K2617-IF(ISNUMBER(N2617),N2617,0)-IF(ISNUMBER(O2617),O2617,0)+IF(ISNUMBER(P2617),P2617,0)))&lt;=Summary!$B$2),"Passes using beginning_balance - PreV_ETB differs from beginning_balance",IF(AND(ISNUMBER(O2617),O2617&lt;0,ABS(L2617-(Q2617-IF(ISNUMBER(N2617),N2617,0)+IF(ISNUMBER(P2617),P2617,0)))&lt;=Summary!$B$2),"Negative realized loss not applied - check sign",IF(R2617&lt;0,"Principal paid exceeds prior balance",IF(AND(L2617&gt;Q2617,NOT(ISNUMBER(P2617))),"Balance increased but no Deferred_interest reported",IF(L2617&gt;R2617,"Reported balance higher than expected (missing increase/OC build)","Reported balance lower than expected (missing decrease)"))))),""))</f>
        <v/>
      </c>
    </row>
    <row r="2618" customFormat="false" ht="15" hidden="false" customHeight="false" outlineLevel="0" collapsed="false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9"/>
      <c r="L2618" s="9"/>
      <c r="M2618" s="9"/>
      <c r="N2618" s="9"/>
      <c r="O2618" s="9"/>
      <c r="P2618" s="9"/>
      <c r="Q2618" s="9"/>
      <c r="R2618" s="9" t="str">
        <f aca="false">IF(AND(A2618&lt;&gt;"",ISNUMBER(Q2618),ISNUMBER(L2618)),ROUND(Q2618-IF(ISNUMBER(N2618),N2618,0)-IF(ISNUMBER(O2618),O2618,0)+IF(ISNUMBER(P2618),P2618,0),2),"")</f>
        <v/>
      </c>
      <c r="S2618" s="9" t="str">
        <f aca="false">IF(R2618="","",ROUND(L2618-R2618,2))</f>
        <v/>
      </c>
      <c r="T2618" s="8" t="str">
        <f aca="false">IF(A2618="","",IF(S2618="","BYPASS",IF(ABS(S2618)&lt;=Summary!$B$2,"PASS","FAIL")))</f>
        <v/>
      </c>
      <c r="U2618" s="8" t="str">
        <f aca="false">IF(T2618="BYPASS",IF(NOT(ISNUMBER(Q2618)),"PreV_ETB missing","End_tr_balance missing"),IF(T2618="FAIL",IF(AND(ISNUMBER(K2618),ISNUMBER(L2618),ABS(L2618-(K2618-IF(ISNUMBER(N2618),N2618,0)-IF(ISNUMBER(O2618),O2618,0)+IF(ISNUMBER(P2618),P2618,0)))&lt;=Summary!$B$2),"Passes using beginning_balance - PreV_ETB differs from beginning_balance",IF(AND(ISNUMBER(O2618),O2618&lt;0,ABS(L2618-(Q2618-IF(ISNUMBER(N2618),N2618,0)+IF(ISNUMBER(P2618),P2618,0)))&lt;=Summary!$B$2),"Negative realized loss not applied - check sign",IF(R2618&lt;0,"Principal paid exceeds prior balance",IF(AND(L2618&gt;Q2618,NOT(ISNUMBER(P2618))),"Balance increased but no Deferred_interest reported",IF(L2618&gt;R2618,"Reported balance higher than expected (missing increase/OC build)","Reported balance lower than expected (missing decrease)"))))),""))</f>
        <v/>
      </c>
    </row>
    <row r="2619" customFormat="false" ht="15" hidden="false" customHeight="false" outlineLevel="0" collapsed="false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9"/>
      <c r="L2619" s="9"/>
      <c r="M2619" s="9"/>
      <c r="N2619" s="9"/>
      <c r="O2619" s="9"/>
      <c r="P2619" s="9"/>
      <c r="Q2619" s="9"/>
      <c r="R2619" s="9" t="str">
        <f aca="false">IF(AND(A2619&lt;&gt;"",ISNUMBER(Q2619),ISNUMBER(L2619)),ROUND(Q2619-IF(ISNUMBER(N2619),N2619,0)-IF(ISNUMBER(O2619),O2619,0)+IF(ISNUMBER(P2619),P2619,0),2),"")</f>
        <v/>
      </c>
      <c r="S2619" s="9" t="str">
        <f aca="false">IF(R2619="","",ROUND(L2619-R2619,2))</f>
        <v/>
      </c>
      <c r="T2619" s="8" t="str">
        <f aca="false">IF(A2619="","",IF(S2619="","BYPASS",IF(ABS(S2619)&lt;=Summary!$B$2,"PASS","FAIL")))</f>
        <v/>
      </c>
      <c r="U2619" s="8" t="str">
        <f aca="false">IF(T2619="BYPASS",IF(NOT(ISNUMBER(Q2619)),"PreV_ETB missing","End_tr_balance missing"),IF(T2619="FAIL",IF(AND(ISNUMBER(K2619),ISNUMBER(L2619),ABS(L2619-(K2619-IF(ISNUMBER(N2619),N2619,0)-IF(ISNUMBER(O2619),O2619,0)+IF(ISNUMBER(P2619),P2619,0)))&lt;=Summary!$B$2),"Passes using beginning_balance - PreV_ETB differs from beginning_balance",IF(AND(ISNUMBER(O2619),O2619&lt;0,ABS(L2619-(Q2619-IF(ISNUMBER(N2619),N2619,0)+IF(ISNUMBER(P2619),P2619,0)))&lt;=Summary!$B$2),"Negative realized loss not applied - check sign",IF(R2619&lt;0,"Principal paid exceeds prior balance",IF(AND(L2619&gt;Q2619,NOT(ISNUMBER(P2619))),"Balance increased but no Deferred_interest reported",IF(L2619&gt;R2619,"Reported balance higher than expected (missing increase/OC build)","Reported balance lower than expected (missing decrease)"))))),""))</f>
        <v/>
      </c>
    </row>
    <row r="2620" customFormat="false" ht="15" hidden="false" customHeight="false" outlineLevel="0" collapsed="false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9"/>
      <c r="L2620" s="9"/>
      <c r="M2620" s="9"/>
      <c r="N2620" s="9"/>
      <c r="O2620" s="9"/>
      <c r="P2620" s="9"/>
      <c r="Q2620" s="9"/>
      <c r="R2620" s="9" t="str">
        <f aca="false">IF(AND(A2620&lt;&gt;"",ISNUMBER(Q2620),ISNUMBER(L2620)),ROUND(Q2620-IF(ISNUMBER(N2620),N2620,0)-IF(ISNUMBER(O2620),O2620,0)+IF(ISNUMBER(P2620),P2620,0),2),"")</f>
        <v/>
      </c>
      <c r="S2620" s="9" t="str">
        <f aca="false">IF(R2620="","",ROUND(L2620-R2620,2))</f>
        <v/>
      </c>
      <c r="T2620" s="8" t="str">
        <f aca="false">IF(A2620="","",IF(S2620="","BYPASS",IF(ABS(S2620)&lt;=Summary!$B$2,"PASS","FAIL")))</f>
        <v/>
      </c>
      <c r="U2620" s="8" t="str">
        <f aca="false">IF(T2620="BYPASS",IF(NOT(ISNUMBER(Q2620)),"PreV_ETB missing","End_tr_balance missing"),IF(T2620="FAIL",IF(AND(ISNUMBER(K2620),ISNUMBER(L2620),ABS(L2620-(K2620-IF(ISNUMBER(N2620),N2620,0)-IF(ISNUMBER(O2620),O2620,0)+IF(ISNUMBER(P2620),P2620,0)))&lt;=Summary!$B$2),"Passes using beginning_balance - PreV_ETB differs from beginning_balance",IF(AND(ISNUMBER(O2620),O2620&lt;0,ABS(L2620-(Q2620-IF(ISNUMBER(N2620),N2620,0)+IF(ISNUMBER(P2620),P2620,0)))&lt;=Summary!$B$2),"Negative realized loss not applied - check sign",IF(R2620&lt;0,"Principal paid exceeds prior balance",IF(AND(L2620&gt;Q2620,NOT(ISNUMBER(P2620))),"Balance increased but no Deferred_interest reported",IF(L2620&gt;R2620,"Reported balance higher than expected (missing increase/OC build)","Reported balance lower than expected (missing decrease)"))))),""))</f>
        <v/>
      </c>
    </row>
    <row r="2621" customFormat="false" ht="15" hidden="false" customHeight="false" outlineLevel="0" collapsed="false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9"/>
      <c r="L2621" s="9"/>
      <c r="M2621" s="9"/>
      <c r="N2621" s="9"/>
      <c r="O2621" s="9"/>
      <c r="P2621" s="9"/>
      <c r="Q2621" s="9"/>
      <c r="R2621" s="9" t="str">
        <f aca="false">IF(AND(A2621&lt;&gt;"",ISNUMBER(Q2621),ISNUMBER(L2621)),ROUND(Q2621-IF(ISNUMBER(N2621),N2621,0)-IF(ISNUMBER(O2621),O2621,0)+IF(ISNUMBER(P2621),P2621,0),2),"")</f>
        <v/>
      </c>
      <c r="S2621" s="9" t="str">
        <f aca="false">IF(R2621="","",ROUND(L2621-R2621,2))</f>
        <v/>
      </c>
      <c r="T2621" s="8" t="str">
        <f aca="false">IF(A2621="","",IF(S2621="","BYPASS",IF(ABS(S2621)&lt;=Summary!$B$2,"PASS","FAIL")))</f>
        <v/>
      </c>
      <c r="U2621" s="8" t="str">
        <f aca="false">IF(T2621="BYPASS",IF(NOT(ISNUMBER(Q2621)),"PreV_ETB missing","End_tr_balance missing"),IF(T2621="FAIL",IF(AND(ISNUMBER(K2621),ISNUMBER(L2621),ABS(L2621-(K2621-IF(ISNUMBER(N2621),N2621,0)-IF(ISNUMBER(O2621),O2621,0)+IF(ISNUMBER(P2621),P2621,0)))&lt;=Summary!$B$2),"Passes using beginning_balance - PreV_ETB differs from beginning_balance",IF(AND(ISNUMBER(O2621),O2621&lt;0,ABS(L2621-(Q2621-IF(ISNUMBER(N2621),N2621,0)+IF(ISNUMBER(P2621),P2621,0)))&lt;=Summary!$B$2),"Negative realized loss not applied - check sign",IF(R2621&lt;0,"Principal paid exceeds prior balance",IF(AND(L2621&gt;Q2621,NOT(ISNUMBER(P2621))),"Balance increased but no Deferred_interest reported",IF(L2621&gt;R2621,"Reported balance higher than expected (missing increase/OC build)","Reported balance lower than expected (missing decrease)"))))),""))</f>
        <v/>
      </c>
    </row>
    <row r="2622" customFormat="false" ht="15" hidden="false" customHeight="false" outlineLevel="0" collapsed="false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9"/>
      <c r="L2622" s="9"/>
      <c r="M2622" s="9"/>
      <c r="N2622" s="9"/>
      <c r="O2622" s="9"/>
      <c r="P2622" s="9"/>
      <c r="Q2622" s="9"/>
      <c r="R2622" s="9" t="str">
        <f aca="false">IF(AND(A2622&lt;&gt;"",ISNUMBER(Q2622),ISNUMBER(L2622)),ROUND(Q2622-IF(ISNUMBER(N2622),N2622,0)-IF(ISNUMBER(O2622),O2622,0)+IF(ISNUMBER(P2622),P2622,0),2),"")</f>
        <v/>
      </c>
      <c r="S2622" s="9" t="str">
        <f aca="false">IF(R2622="","",ROUND(L2622-R2622,2))</f>
        <v/>
      </c>
      <c r="T2622" s="8" t="str">
        <f aca="false">IF(A2622="","",IF(S2622="","BYPASS",IF(ABS(S2622)&lt;=Summary!$B$2,"PASS","FAIL")))</f>
        <v/>
      </c>
      <c r="U2622" s="8" t="str">
        <f aca="false">IF(T2622="BYPASS",IF(NOT(ISNUMBER(Q2622)),"PreV_ETB missing","End_tr_balance missing"),IF(T2622="FAIL",IF(AND(ISNUMBER(K2622),ISNUMBER(L2622),ABS(L2622-(K2622-IF(ISNUMBER(N2622),N2622,0)-IF(ISNUMBER(O2622),O2622,0)+IF(ISNUMBER(P2622),P2622,0)))&lt;=Summary!$B$2),"Passes using beginning_balance - PreV_ETB differs from beginning_balance",IF(AND(ISNUMBER(O2622),O2622&lt;0,ABS(L2622-(Q2622-IF(ISNUMBER(N2622),N2622,0)+IF(ISNUMBER(P2622),P2622,0)))&lt;=Summary!$B$2),"Negative realized loss not applied - check sign",IF(R2622&lt;0,"Principal paid exceeds prior balance",IF(AND(L2622&gt;Q2622,NOT(ISNUMBER(P2622))),"Balance increased but no Deferred_interest reported",IF(L2622&gt;R2622,"Reported balance higher than expected (missing increase/OC build)","Reported balance lower than expected (missing decrease)"))))),""))</f>
        <v/>
      </c>
    </row>
    <row r="2623" customFormat="false" ht="15" hidden="false" customHeight="false" outlineLevel="0" collapsed="false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9"/>
      <c r="L2623" s="9"/>
      <c r="M2623" s="9"/>
      <c r="N2623" s="9"/>
      <c r="O2623" s="9"/>
      <c r="P2623" s="9"/>
      <c r="Q2623" s="9"/>
      <c r="R2623" s="9" t="str">
        <f aca="false">IF(AND(A2623&lt;&gt;"",ISNUMBER(Q2623),ISNUMBER(L2623)),ROUND(Q2623-IF(ISNUMBER(N2623),N2623,0)-IF(ISNUMBER(O2623),O2623,0)+IF(ISNUMBER(P2623),P2623,0),2),"")</f>
        <v/>
      </c>
      <c r="S2623" s="9" t="str">
        <f aca="false">IF(R2623="","",ROUND(L2623-R2623,2))</f>
        <v/>
      </c>
      <c r="T2623" s="8" t="str">
        <f aca="false">IF(A2623="","",IF(S2623="","BYPASS",IF(ABS(S2623)&lt;=Summary!$B$2,"PASS","FAIL")))</f>
        <v/>
      </c>
      <c r="U2623" s="8" t="str">
        <f aca="false">IF(T2623="BYPASS",IF(NOT(ISNUMBER(Q2623)),"PreV_ETB missing","End_tr_balance missing"),IF(T2623="FAIL",IF(AND(ISNUMBER(K2623),ISNUMBER(L2623),ABS(L2623-(K2623-IF(ISNUMBER(N2623),N2623,0)-IF(ISNUMBER(O2623),O2623,0)+IF(ISNUMBER(P2623),P2623,0)))&lt;=Summary!$B$2),"Passes using beginning_balance - PreV_ETB differs from beginning_balance",IF(AND(ISNUMBER(O2623),O2623&lt;0,ABS(L2623-(Q2623-IF(ISNUMBER(N2623),N2623,0)+IF(ISNUMBER(P2623),P2623,0)))&lt;=Summary!$B$2),"Negative realized loss not applied - check sign",IF(R2623&lt;0,"Principal paid exceeds prior balance",IF(AND(L2623&gt;Q2623,NOT(ISNUMBER(P2623))),"Balance increased but no Deferred_interest reported",IF(L2623&gt;R2623,"Reported balance higher than expected (missing increase/OC build)","Reported balance lower than expected (missing decrease)"))))),""))</f>
        <v/>
      </c>
    </row>
    <row r="2624" customFormat="false" ht="15" hidden="false" customHeight="false" outlineLevel="0" collapsed="false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9"/>
      <c r="L2624" s="9"/>
      <c r="M2624" s="9"/>
      <c r="N2624" s="9"/>
      <c r="O2624" s="9"/>
      <c r="P2624" s="9"/>
      <c r="Q2624" s="9"/>
      <c r="R2624" s="9" t="str">
        <f aca="false">IF(AND(A2624&lt;&gt;"",ISNUMBER(Q2624),ISNUMBER(L2624)),ROUND(Q2624-IF(ISNUMBER(N2624),N2624,0)-IF(ISNUMBER(O2624),O2624,0)+IF(ISNUMBER(P2624),P2624,0),2),"")</f>
        <v/>
      </c>
      <c r="S2624" s="9" t="str">
        <f aca="false">IF(R2624="","",ROUND(L2624-R2624,2))</f>
        <v/>
      </c>
      <c r="T2624" s="8" t="str">
        <f aca="false">IF(A2624="","",IF(S2624="","BYPASS",IF(ABS(S2624)&lt;=Summary!$B$2,"PASS","FAIL")))</f>
        <v/>
      </c>
      <c r="U2624" s="8" t="str">
        <f aca="false">IF(T2624="BYPASS",IF(NOT(ISNUMBER(Q2624)),"PreV_ETB missing","End_tr_balance missing"),IF(T2624="FAIL",IF(AND(ISNUMBER(K2624),ISNUMBER(L2624),ABS(L2624-(K2624-IF(ISNUMBER(N2624),N2624,0)-IF(ISNUMBER(O2624),O2624,0)+IF(ISNUMBER(P2624),P2624,0)))&lt;=Summary!$B$2),"Passes using beginning_balance - PreV_ETB differs from beginning_balance",IF(AND(ISNUMBER(O2624),O2624&lt;0,ABS(L2624-(Q2624-IF(ISNUMBER(N2624),N2624,0)+IF(ISNUMBER(P2624),P2624,0)))&lt;=Summary!$B$2),"Negative realized loss not applied - check sign",IF(R2624&lt;0,"Principal paid exceeds prior balance",IF(AND(L2624&gt;Q2624,NOT(ISNUMBER(P2624))),"Balance increased but no Deferred_interest reported",IF(L2624&gt;R2624,"Reported balance higher than expected (missing increase/OC build)","Reported balance lower than expected (missing decrease)"))))),""))</f>
        <v/>
      </c>
    </row>
    <row r="2625" customFormat="false" ht="15" hidden="false" customHeight="false" outlineLevel="0" collapsed="false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9"/>
      <c r="L2625" s="9"/>
      <c r="M2625" s="9"/>
      <c r="N2625" s="9"/>
      <c r="O2625" s="9"/>
      <c r="P2625" s="9"/>
      <c r="Q2625" s="9"/>
      <c r="R2625" s="9" t="str">
        <f aca="false">IF(AND(A2625&lt;&gt;"",ISNUMBER(Q2625),ISNUMBER(L2625)),ROUND(Q2625-IF(ISNUMBER(N2625),N2625,0)-IF(ISNUMBER(O2625),O2625,0)+IF(ISNUMBER(P2625),P2625,0),2),"")</f>
        <v/>
      </c>
      <c r="S2625" s="9" t="str">
        <f aca="false">IF(R2625="","",ROUND(L2625-R2625,2))</f>
        <v/>
      </c>
      <c r="T2625" s="8" t="str">
        <f aca="false">IF(A2625="","",IF(S2625="","BYPASS",IF(ABS(S2625)&lt;=Summary!$B$2,"PASS","FAIL")))</f>
        <v/>
      </c>
      <c r="U2625" s="8" t="str">
        <f aca="false">IF(T2625="BYPASS",IF(NOT(ISNUMBER(Q2625)),"PreV_ETB missing","End_tr_balance missing"),IF(T2625="FAIL",IF(AND(ISNUMBER(K2625),ISNUMBER(L2625),ABS(L2625-(K2625-IF(ISNUMBER(N2625),N2625,0)-IF(ISNUMBER(O2625),O2625,0)+IF(ISNUMBER(P2625),P2625,0)))&lt;=Summary!$B$2),"Passes using beginning_balance - PreV_ETB differs from beginning_balance",IF(AND(ISNUMBER(O2625),O2625&lt;0,ABS(L2625-(Q2625-IF(ISNUMBER(N2625),N2625,0)+IF(ISNUMBER(P2625),P2625,0)))&lt;=Summary!$B$2),"Negative realized loss not applied - check sign",IF(R2625&lt;0,"Principal paid exceeds prior balance",IF(AND(L2625&gt;Q2625,NOT(ISNUMBER(P2625))),"Balance increased but no Deferred_interest reported",IF(L2625&gt;R2625,"Reported balance higher than expected (missing increase/OC build)","Reported balance lower than expected (missing decrease)"))))),""))</f>
        <v/>
      </c>
    </row>
    <row r="2626" customFormat="false" ht="15" hidden="false" customHeight="false" outlineLevel="0" collapsed="false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9"/>
      <c r="L2626" s="9"/>
      <c r="M2626" s="9"/>
      <c r="N2626" s="9"/>
      <c r="O2626" s="9"/>
      <c r="P2626" s="9"/>
      <c r="Q2626" s="9"/>
      <c r="R2626" s="9" t="str">
        <f aca="false">IF(AND(A2626&lt;&gt;"",ISNUMBER(Q2626),ISNUMBER(L2626)),ROUND(Q2626-IF(ISNUMBER(N2626),N2626,0)-IF(ISNUMBER(O2626),O2626,0)+IF(ISNUMBER(P2626),P2626,0),2),"")</f>
        <v/>
      </c>
      <c r="S2626" s="9" t="str">
        <f aca="false">IF(R2626="","",ROUND(L2626-R2626,2))</f>
        <v/>
      </c>
      <c r="T2626" s="8" t="str">
        <f aca="false">IF(A2626="","",IF(S2626="","BYPASS",IF(ABS(S2626)&lt;=Summary!$B$2,"PASS","FAIL")))</f>
        <v/>
      </c>
      <c r="U2626" s="8" t="str">
        <f aca="false">IF(T2626="BYPASS",IF(NOT(ISNUMBER(Q2626)),"PreV_ETB missing","End_tr_balance missing"),IF(T2626="FAIL",IF(AND(ISNUMBER(K2626),ISNUMBER(L2626),ABS(L2626-(K2626-IF(ISNUMBER(N2626),N2626,0)-IF(ISNUMBER(O2626),O2626,0)+IF(ISNUMBER(P2626),P2626,0)))&lt;=Summary!$B$2),"Passes using beginning_balance - PreV_ETB differs from beginning_balance",IF(AND(ISNUMBER(O2626),O2626&lt;0,ABS(L2626-(Q2626-IF(ISNUMBER(N2626),N2626,0)+IF(ISNUMBER(P2626),P2626,0)))&lt;=Summary!$B$2),"Negative realized loss not applied - check sign",IF(R2626&lt;0,"Principal paid exceeds prior balance",IF(AND(L2626&gt;Q2626,NOT(ISNUMBER(P2626))),"Balance increased but no Deferred_interest reported",IF(L2626&gt;R2626,"Reported balance higher than expected (missing increase/OC build)","Reported balance lower than expected (missing decrease)"))))),""))</f>
        <v/>
      </c>
    </row>
    <row r="2627" customFormat="false" ht="15" hidden="false" customHeight="false" outlineLevel="0" collapsed="false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9"/>
      <c r="L2627" s="9"/>
      <c r="M2627" s="9"/>
      <c r="N2627" s="9"/>
      <c r="O2627" s="9"/>
      <c r="P2627" s="9"/>
      <c r="Q2627" s="9"/>
      <c r="R2627" s="9" t="str">
        <f aca="false">IF(AND(A2627&lt;&gt;"",ISNUMBER(Q2627),ISNUMBER(L2627)),ROUND(Q2627-IF(ISNUMBER(N2627),N2627,0)-IF(ISNUMBER(O2627),O2627,0)+IF(ISNUMBER(P2627),P2627,0),2),"")</f>
        <v/>
      </c>
      <c r="S2627" s="9" t="str">
        <f aca="false">IF(R2627="","",ROUND(L2627-R2627,2))</f>
        <v/>
      </c>
      <c r="T2627" s="8" t="str">
        <f aca="false">IF(A2627="","",IF(S2627="","BYPASS",IF(ABS(S2627)&lt;=Summary!$B$2,"PASS","FAIL")))</f>
        <v/>
      </c>
      <c r="U2627" s="8" t="str">
        <f aca="false">IF(T2627="BYPASS",IF(NOT(ISNUMBER(Q2627)),"PreV_ETB missing","End_tr_balance missing"),IF(T2627="FAIL",IF(AND(ISNUMBER(K2627),ISNUMBER(L2627),ABS(L2627-(K2627-IF(ISNUMBER(N2627),N2627,0)-IF(ISNUMBER(O2627),O2627,0)+IF(ISNUMBER(P2627),P2627,0)))&lt;=Summary!$B$2),"Passes using beginning_balance - PreV_ETB differs from beginning_balance",IF(AND(ISNUMBER(O2627),O2627&lt;0,ABS(L2627-(Q2627-IF(ISNUMBER(N2627),N2627,0)+IF(ISNUMBER(P2627),P2627,0)))&lt;=Summary!$B$2),"Negative realized loss not applied - check sign",IF(R2627&lt;0,"Principal paid exceeds prior balance",IF(AND(L2627&gt;Q2627,NOT(ISNUMBER(P2627))),"Balance increased but no Deferred_interest reported",IF(L2627&gt;R2627,"Reported balance higher than expected (missing increase/OC build)","Reported balance lower than expected (missing decrease)"))))),""))</f>
        <v/>
      </c>
    </row>
    <row r="2628" customFormat="false" ht="15" hidden="false" customHeight="false" outlineLevel="0" collapsed="false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9"/>
      <c r="L2628" s="9"/>
      <c r="M2628" s="9"/>
      <c r="N2628" s="9"/>
      <c r="O2628" s="9"/>
      <c r="P2628" s="9"/>
      <c r="Q2628" s="9"/>
      <c r="R2628" s="9" t="str">
        <f aca="false">IF(AND(A2628&lt;&gt;"",ISNUMBER(Q2628),ISNUMBER(L2628)),ROUND(Q2628-IF(ISNUMBER(N2628),N2628,0)-IF(ISNUMBER(O2628),O2628,0)+IF(ISNUMBER(P2628),P2628,0),2),"")</f>
        <v/>
      </c>
      <c r="S2628" s="9" t="str">
        <f aca="false">IF(R2628="","",ROUND(L2628-R2628,2))</f>
        <v/>
      </c>
      <c r="T2628" s="8" t="str">
        <f aca="false">IF(A2628="","",IF(S2628="","BYPASS",IF(ABS(S2628)&lt;=Summary!$B$2,"PASS","FAIL")))</f>
        <v/>
      </c>
      <c r="U2628" s="8" t="str">
        <f aca="false">IF(T2628="BYPASS",IF(NOT(ISNUMBER(Q2628)),"PreV_ETB missing","End_tr_balance missing"),IF(T2628="FAIL",IF(AND(ISNUMBER(K2628),ISNUMBER(L2628),ABS(L2628-(K2628-IF(ISNUMBER(N2628),N2628,0)-IF(ISNUMBER(O2628),O2628,0)+IF(ISNUMBER(P2628),P2628,0)))&lt;=Summary!$B$2),"Passes using beginning_balance - PreV_ETB differs from beginning_balance",IF(AND(ISNUMBER(O2628),O2628&lt;0,ABS(L2628-(Q2628-IF(ISNUMBER(N2628),N2628,0)+IF(ISNUMBER(P2628),P2628,0)))&lt;=Summary!$B$2),"Negative realized loss not applied - check sign",IF(R2628&lt;0,"Principal paid exceeds prior balance",IF(AND(L2628&gt;Q2628,NOT(ISNUMBER(P2628))),"Balance increased but no Deferred_interest reported",IF(L2628&gt;R2628,"Reported balance higher than expected (missing increase/OC build)","Reported balance lower than expected (missing decrease)"))))),""))</f>
        <v/>
      </c>
    </row>
    <row r="2629" customFormat="false" ht="15" hidden="false" customHeight="false" outlineLevel="0" collapsed="false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9"/>
      <c r="L2629" s="9"/>
      <c r="M2629" s="9"/>
      <c r="N2629" s="9"/>
      <c r="O2629" s="9"/>
      <c r="P2629" s="9"/>
      <c r="Q2629" s="9"/>
      <c r="R2629" s="9" t="str">
        <f aca="false">IF(AND(A2629&lt;&gt;"",ISNUMBER(Q2629),ISNUMBER(L2629)),ROUND(Q2629-IF(ISNUMBER(N2629),N2629,0)-IF(ISNUMBER(O2629),O2629,0)+IF(ISNUMBER(P2629),P2629,0),2),"")</f>
        <v/>
      </c>
      <c r="S2629" s="9" t="str">
        <f aca="false">IF(R2629="","",ROUND(L2629-R2629,2))</f>
        <v/>
      </c>
      <c r="T2629" s="8" t="str">
        <f aca="false">IF(A2629="","",IF(S2629="","BYPASS",IF(ABS(S2629)&lt;=Summary!$B$2,"PASS","FAIL")))</f>
        <v/>
      </c>
      <c r="U2629" s="8" t="str">
        <f aca="false">IF(T2629="BYPASS",IF(NOT(ISNUMBER(Q2629)),"PreV_ETB missing","End_tr_balance missing"),IF(T2629="FAIL",IF(AND(ISNUMBER(K2629),ISNUMBER(L2629),ABS(L2629-(K2629-IF(ISNUMBER(N2629),N2629,0)-IF(ISNUMBER(O2629),O2629,0)+IF(ISNUMBER(P2629),P2629,0)))&lt;=Summary!$B$2),"Passes using beginning_balance - PreV_ETB differs from beginning_balance",IF(AND(ISNUMBER(O2629),O2629&lt;0,ABS(L2629-(Q2629-IF(ISNUMBER(N2629),N2629,0)+IF(ISNUMBER(P2629),P2629,0)))&lt;=Summary!$B$2),"Negative realized loss not applied - check sign",IF(R2629&lt;0,"Principal paid exceeds prior balance",IF(AND(L2629&gt;Q2629,NOT(ISNUMBER(P2629))),"Balance increased but no Deferred_interest reported",IF(L2629&gt;R2629,"Reported balance higher than expected (missing increase/OC build)","Reported balance lower than expected (missing decrease)"))))),""))</f>
        <v/>
      </c>
    </row>
    <row r="2630" customFormat="false" ht="15" hidden="false" customHeight="false" outlineLevel="0" collapsed="false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9"/>
      <c r="L2630" s="9"/>
      <c r="M2630" s="9"/>
      <c r="N2630" s="9"/>
      <c r="O2630" s="9"/>
      <c r="P2630" s="9"/>
      <c r="Q2630" s="9"/>
      <c r="R2630" s="9" t="str">
        <f aca="false">IF(AND(A2630&lt;&gt;"",ISNUMBER(Q2630),ISNUMBER(L2630)),ROUND(Q2630-IF(ISNUMBER(N2630),N2630,0)-IF(ISNUMBER(O2630),O2630,0)+IF(ISNUMBER(P2630),P2630,0),2),"")</f>
        <v/>
      </c>
      <c r="S2630" s="9" t="str">
        <f aca="false">IF(R2630="","",ROUND(L2630-R2630,2))</f>
        <v/>
      </c>
      <c r="T2630" s="8" t="str">
        <f aca="false">IF(A2630="","",IF(S2630="","BYPASS",IF(ABS(S2630)&lt;=Summary!$B$2,"PASS","FAIL")))</f>
        <v/>
      </c>
      <c r="U2630" s="8" t="str">
        <f aca="false">IF(T2630="BYPASS",IF(NOT(ISNUMBER(Q2630)),"PreV_ETB missing","End_tr_balance missing"),IF(T2630="FAIL",IF(AND(ISNUMBER(K2630),ISNUMBER(L2630),ABS(L2630-(K2630-IF(ISNUMBER(N2630),N2630,0)-IF(ISNUMBER(O2630),O2630,0)+IF(ISNUMBER(P2630),P2630,0)))&lt;=Summary!$B$2),"Passes using beginning_balance - PreV_ETB differs from beginning_balance",IF(AND(ISNUMBER(O2630),O2630&lt;0,ABS(L2630-(Q2630-IF(ISNUMBER(N2630),N2630,0)+IF(ISNUMBER(P2630),P2630,0)))&lt;=Summary!$B$2),"Negative realized loss not applied - check sign",IF(R2630&lt;0,"Principal paid exceeds prior balance",IF(AND(L2630&gt;Q2630,NOT(ISNUMBER(P2630))),"Balance increased but no Deferred_interest reported",IF(L2630&gt;R2630,"Reported balance higher than expected (missing increase/OC build)","Reported balance lower than expected (missing decrease)"))))),""))</f>
        <v/>
      </c>
    </row>
    <row r="2631" customFormat="false" ht="15" hidden="false" customHeight="false" outlineLevel="0" collapsed="false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9"/>
      <c r="L2631" s="9"/>
      <c r="M2631" s="9"/>
      <c r="N2631" s="9"/>
      <c r="O2631" s="9"/>
      <c r="P2631" s="9"/>
      <c r="Q2631" s="9"/>
      <c r="R2631" s="9" t="str">
        <f aca="false">IF(AND(A2631&lt;&gt;"",ISNUMBER(Q2631),ISNUMBER(L2631)),ROUND(Q2631-IF(ISNUMBER(N2631),N2631,0)-IF(ISNUMBER(O2631),O2631,0)+IF(ISNUMBER(P2631),P2631,0),2),"")</f>
        <v/>
      </c>
      <c r="S2631" s="9" t="str">
        <f aca="false">IF(R2631="","",ROUND(L2631-R2631,2))</f>
        <v/>
      </c>
      <c r="T2631" s="8" t="str">
        <f aca="false">IF(A2631="","",IF(S2631="","BYPASS",IF(ABS(S2631)&lt;=Summary!$B$2,"PASS","FAIL")))</f>
        <v/>
      </c>
      <c r="U2631" s="8" t="str">
        <f aca="false">IF(T2631="BYPASS",IF(NOT(ISNUMBER(Q2631)),"PreV_ETB missing","End_tr_balance missing"),IF(T2631="FAIL",IF(AND(ISNUMBER(K2631),ISNUMBER(L2631),ABS(L2631-(K2631-IF(ISNUMBER(N2631),N2631,0)-IF(ISNUMBER(O2631),O2631,0)+IF(ISNUMBER(P2631),P2631,0)))&lt;=Summary!$B$2),"Passes using beginning_balance - PreV_ETB differs from beginning_balance",IF(AND(ISNUMBER(O2631),O2631&lt;0,ABS(L2631-(Q2631-IF(ISNUMBER(N2631),N2631,0)+IF(ISNUMBER(P2631),P2631,0)))&lt;=Summary!$B$2),"Negative realized loss not applied - check sign",IF(R2631&lt;0,"Principal paid exceeds prior balance",IF(AND(L2631&gt;Q2631,NOT(ISNUMBER(P2631))),"Balance increased but no Deferred_interest reported",IF(L2631&gt;R2631,"Reported balance higher than expected (missing increase/OC build)","Reported balance lower than expected (missing decrease)"))))),""))</f>
        <v/>
      </c>
    </row>
    <row r="2632" customFormat="false" ht="15" hidden="false" customHeight="false" outlineLevel="0" collapsed="false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9"/>
      <c r="L2632" s="9"/>
      <c r="M2632" s="9"/>
      <c r="N2632" s="9"/>
      <c r="O2632" s="9"/>
      <c r="P2632" s="9"/>
      <c r="Q2632" s="9"/>
      <c r="R2632" s="9" t="str">
        <f aca="false">IF(AND(A2632&lt;&gt;"",ISNUMBER(Q2632),ISNUMBER(L2632)),ROUND(Q2632-IF(ISNUMBER(N2632),N2632,0)-IF(ISNUMBER(O2632),O2632,0)+IF(ISNUMBER(P2632),P2632,0),2),"")</f>
        <v/>
      </c>
      <c r="S2632" s="9" t="str">
        <f aca="false">IF(R2632="","",ROUND(L2632-R2632,2))</f>
        <v/>
      </c>
      <c r="T2632" s="8" t="str">
        <f aca="false">IF(A2632="","",IF(S2632="","BYPASS",IF(ABS(S2632)&lt;=Summary!$B$2,"PASS","FAIL")))</f>
        <v/>
      </c>
      <c r="U2632" s="8" t="str">
        <f aca="false">IF(T2632="BYPASS",IF(NOT(ISNUMBER(Q2632)),"PreV_ETB missing","End_tr_balance missing"),IF(T2632="FAIL",IF(AND(ISNUMBER(K2632),ISNUMBER(L2632),ABS(L2632-(K2632-IF(ISNUMBER(N2632),N2632,0)-IF(ISNUMBER(O2632),O2632,0)+IF(ISNUMBER(P2632),P2632,0)))&lt;=Summary!$B$2),"Passes using beginning_balance - PreV_ETB differs from beginning_balance",IF(AND(ISNUMBER(O2632),O2632&lt;0,ABS(L2632-(Q2632-IF(ISNUMBER(N2632),N2632,0)+IF(ISNUMBER(P2632),P2632,0)))&lt;=Summary!$B$2),"Negative realized loss not applied - check sign",IF(R2632&lt;0,"Principal paid exceeds prior balance",IF(AND(L2632&gt;Q2632,NOT(ISNUMBER(P2632))),"Balance increased but no Deferred_interest reported",IF(L2632&gt;R2632,"Reported balance higher than expected (missing increase/OC build)","Reported balance lower than expected (missing decrease)"))))),""))</f>
        <v/>
      </c>
    </row>
    <row r="2633" customFormat="false" ht="15" hidden="false" customHeight="false" outlineLevel="0" collapsed="false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9"/>
      <c r="L2633" s="9"/>
      <c r="M2633" s="9"/>
      <c r="N2633" s="9"/>
      <c r="O2633" s="9"/>
      <c r="P2633" s="9"/>
      <c r="Q2633" s="9"/>
      <c r="R2633" s="9" t="str">
        <f aca="false">IF(AND(A2633&lt;&gt;"",ISNUMBER(Q2633),ISNUMBER(L2633)),ROUND(Q2633-IF(ISNUMBER(N2633),N2633,0)-IF(ISNUMBER(O2633),O2633,0)+IF(ISNUMBER(P2633),P2633,0),2),"")</f>
        <v/>
      </c>
      <c r="S2633" s="9" t="str">
        <f aca="false">IF(R2633="","",ROUND(L2633-R2633,2))</f>
        <v/>
      </c>
      <c r="T2633" s="8" t="str">
        <f aca="false">IF(A2633="","",IF(S2633="","BYPASS",IF(ABS(S2633)&lt;=Summary!$B$2,"PASS","FAIL")))</f>
        <v/>
      </c>
      <c r="U2633" s="8" t="str">
        <f aca="false">IF(T2633="BYPASS",IF(NOT(ISNUMBER(Q2633)),"PreV_ETB missing","End_tr_balance missing"),IF(T2633="FAIL",IF(AND(ISNUMBER(K2633),ISNUMBER(L2633),ABS(L2633-(K2633-IF(ISNUMBER(N2633),N2633,0)-IF(ISNUMBER(O2633),O2633,0)+IF(ISNUMBER(P2633),P2633,0)))&lt;=Summary!$B$2),"Passes using beginning_balance - PreV_ETB differs from beginning_balance",IF(AND(ISNUMBER(O2633),O2633&lt;0,ABS(L2633-(Q2633-IF(ISNUMBER(N2633),N2633,0)+IF(ISNUMBER(P2633),P2633,0)))&lt;=Summary!$B$2),"Negative realized loss not applied - check sign",IF(R2633&lt;0,"Principal paid exceeds prior balance",IF(AND(L2633&gt;Q2633,NOT(ISNUMBER(P2633))),"Balance increased but no Deferred_interest reported",IF(L2633&gt;R2633,"Reported balance higher than expected (missing increase/OC build)","Reported balance lower than expected (missing decrease)"))))),""))</f>
        <v/>
      </c>
    </row>
    <row r="2634" customFormat="false" ht="15" hidden="false" customHeight="false" outlineLevel="0" collapsed="false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9"/>
      <c r="L2634" s="9"/>
      <c r="M2634" s="9"/>
      <c r="N2634" s="9"/>
      <c r="O2634" s="9"/>
      <c r="P2634" s="9"/>
      <c r="Q2634" s="9"/>
      <c r="R2634" s="9" t="str">
        <f aca="false">IF(AND(A2634&lt;&gt;"",ISNUMBER(Q2634),ISNUMBER(L2634)),ROUND(Q2634-IF(ISNUMBER(N2634),N2634,0)-IF(ISNUMBER(O2634),O2634,0)+IF(ISNUMBER(P2634),P2634,0),2),"")</f>
        <v/>
      </c>
      <c r="S2634" s="9" t="str">
        <f aca="false">IF(R2634="","",ROUND(L2634-R2634,2))</f>
        <v/>
      </c>
      <c r="T2634" s="8" t="str">
        <f aca="false">IF(A2634="","",IF(S2634="","BYPASS",IF(ABS(S2634)&lt;=Summary!$B$2,"PASS","FAIL")))</f>
        <v/>
      </c>
      <c r="U2634" s="8" t="str">
        <f aca="false">IF(T2634="BYPASS",IF(NOT(ISNUMBER(Q2634)),"PreV_ETB missing","End_tr_balance missing"),IF(T2634="FAIL",IF(AND(ISNUMBER(K2634),ISNUMBER(L2634),ABS(L2634-(K2634-IF(ISNUMBER(N2634),N2634,0)-IF(ISNUMBER(O2634),O2634,0)+IF(ISNUMBER(P2634),P2634,0)))&lt;=Summary!$B$2),"Passes using beginning_balance - PreV_ETB differs from beginning_balance",IF(AND(ISNUMBER(O2634),O2634&lt;0,ABS(L2634-(Q2634-IF(ISNUMBER(N2634),N2634,0)+IF(ISNUMBER(P2634),P2634,0)))&lt;=Summary!$B$2),"Negative realized loss not applied - check sign",IF(R2634&lt;0,"Principal paid exceeds prior balance",IF(AND(L2634&gt;Q2634,NOT(ISNUMBER(P2634))),"Balance increased but no Deferred_interest reported",IF(L2634&gt;R2634,"Reported balance higher than expected (missing increase/OC build)","Reported balance lower than expected (missing decrease)"))))),""))</f>
        <v/>
      </c>
    </row>
    <row r="2635" customFormat="false" ht="15" hidden="false" customHeight="false" outlineLevel="0" collapsed="false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9"/>
      <c r="L2635" s="9"/>
      <c r="M2635" s="9"/>
      <c r="N2635" s="9"/>
      <c r="O2635" s="9"/>
      <c r="P2635" s="9"/>
      <c r="Q2635" s="9"/>
      <c r="R2635" s="9" t="str">
        <f aca="false">IF(AND(A2635&lt;&gt;"",ISNUMBER(Q2635),ISNUMBER(L2635)),ROUND(Q2635-IF(ISNUMBER(N2635),N2635,0)-IF(ISNUMBER(O2635),O2635,0)+IF(ISNUMBER(P2635),P2635,0),2),"")</f>
        <v/>
      </c>
      <c r="S2635" s="9" t="str">
        <f aca="false">IF(R2635="","",ROUND(L2635-R2635,2))</f>
        <v/>
      </c>
      <c r="T2635" s="8" t="str">
        <f aca="false">IF(A2635="","",IF(S2635="","BYPASS",IF(ABS(S2635)&lt;=Summary!$B$2,"PASS","FAIL")))</f>
        <v/>
      </c>
      <c r="U2635" s="8" t="str">
        <f aca="false">IF(T2635="BYPASS",IF(NOT(ISNUMBER(Q2635)),"PreV_ETB missing","End_tr_balance missing"),IF(T2635="FAIL",IF(AND(ISNUMBER(K2635),ISNUMBER(L2635),ABS(L2635-(K2635-IF(ISNUMBER(N2635),N2635,0)-IF(ISNUMBER(O2635),O2635,0)+IF(ISNUMBER(P2635),P2635,0)))&lt;=Summary!$B$2),"Passes using beginning_balance - PreV_ETB differs from beginning_balance",IF(AND(ISNUMBER(O2635),O2635&lt;0,ABS(L2635-(Q2635-IF(ISNUMBER(N2635),N2635,0)+IF(ISNUMBER(P2635),P2635,0)))&lt;=Summary!$B$2),"Negative realized loss not applied - check sign",IF(R2635&lt;0,"Principal paid exceeds prior balance",IF(AND(L2635&gt;Q2635,NOT(ISNUMBER(P2635))),"Balance increased but no Deferred_interest reported",IF(L2635&gt;R2635,"Reported balance higher than expected (missing increase/OC build)","Reported balance lower than expected (missing decrease)"))))),""))</f>
        <v/>
      </c>
    </row>
    <row r="2636" customFormat="false" ht="15" hidden="false" customHeight="false" outlineLevel="0" collapsed="false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9"/>
      <c r="L2636" s="9"/>
      <c r="M2636" s="9"/>
      <c r="N2636" s="9"/>
      <c r="O2636" s="9"/>
      <c r="P2636" s="9"/>
      <c r="Q2636" s="9"/>
      <c r="R2636" s="9" t="str">
        <f aca="false">IF(AND(A2636&lt;&gt;"",ISNUMBER(Q2636),ISNUMBER(L2636)),ROUND(Q2636-IF(ISNUMBER(N2636),N2636,0)-IF(ISNUMBER(O2636),O2636,0)+IF(ISNUMBER(P2636),P2636,0),2),"")</f>
        <v/>
      </c>
      <c r="S2636" s="9" t="str">
        <f aca="false">IF(R2636="","",ROUND(L2636-R2636,2))</f>
        <v/>
      </c>
      <c r="T2636" s="8" t="str">
        <f aca="false">IF(A2636="","",IF(S2636="","BYPASS",IF(ABS(S2636)&lt;=Summary!$B$2,"PASS","FAIL")))</f>
        <v/>
      </c>
      <c r="U2636" s="8" t="str">
        <f aca="false">IF(T2636="BYPASS",IF(NOT(ISNUMBER(Q2636)),"PreV_ETB missing","End_tr_balance missing"),IF(T2636="FAIL",IF(AND(ISNUMBER(K2636),ISNUMBER(L2636),ABS(L2636-(K2636-IF(ISNUMBER(N2636),N2636,0)-IF(ISNUMBER(O2636),O2636,0)+IF(ISNUMBER(P2636),P2636,0)))&lt;=Summary!$B$2),"Passes using beginning_balance - PreV_ETB differs from beginning_balance",IF(AND(ISNUMBER(O2636),O2636&lt;0,ABS(L2636-(Q2636-IF(ISNUMBER(N2636),N2636,0)+IF(ISNUMBER(P2636),P2636,0)))&lt;=Summary!$B$2),"Negative realized loss not applied - check sign",IF(R2636&lt;0,"Principal paid exceeds prior balance",IF(AND(L2636&gt;Q2636,NOT(ISNUMBER(P2636))),"Balance increased but no Deferred_interest reported",IF(L2636&gt;R2636,"Reported balance higher than expected (missing increase/OC build)","Reported balance lower than expected (missing decrease)"))))),""))</f>
        <v/>
      </c>
    </row>
    <row r="2637" customFormat="false" ht="15" hidden="false" customHeight="false" outlineLevel="0" collapsed="false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9"/>
      <c r="L2637" s="9"/>
      <c r="M2637" s="9"/>
      <c r="N2637" s="9"/>
      <c r="O2637" s="9"/>
      <c r="P2637" s="9"/>
      <c r="Q2637" s="9"/>
      <c r="R2637" s="9" t="str">
        <f aca="false">IF(AND(A2637&lt;&gt;"",ISNUMBER(Q2637),ISNUMBER(L2637)),ROUND(Q2637-IF(ISNUMBER(N2637),N2637,0)-IF(ISNUMBER(O2637),O2637,0)+IF(ISNUMBER(P2637),P2637,0),2),"")</f>
        <v/>
      </c>
      <c r="S2637" s="9" t="str">
        <f aca="false">IF(R2637="","",ROUND(L2637-R2637,2))</f>
        <v/>
      </c>
      <c r="T2637" s="8" t="str">
        <f aca="false">IF(A2637="","",IF(S2637="","BYPASS",IF(ABS(S2637)&lt;=Summary!$B$2,"PASS","FAIL")))</f>
        <v/>
      </c>
      <c r="U2637" s="8" t="str">
        <f aca="false">IF(T2637="BYPASS",IF(NOT(ISNUMBER(Q2637)),"PreV_ETB missing","End_tr_balance missing"),IF(T2637="FAIL",IF(AND(ISNUMBER(K2637),ISNUMBER(L2637),ABS(L2637-(K2637-IF(ISNUMBER(N2637),N2637,0)-IF(ISNUMBER(O2637),O2637,0)+IF(ISNUMBER(P2637),P2637,0)))&lt;=Summary!$B$2),"Passes using beginning_balance - PreV_ETB differs from beginning_balance",IF(AND(ISNUMBER(O2637),O2637&lt;0,ABS(L2637-(Q2637-IF(ISNUMBER(N2637),N2637,0)+IF(ISNUMBER(P2637),P2637,0)))&lt;=Summary!$B$2),"Negative realized loss not applied - check sign",IF(R2637&lt;0,"Principal paid exceeds prior balance",IF(AND(L2637&gt;Q2637,NOT(ISNUMBER(P2637))),"Balance increased but no Deferred_interest reported",IF(L2637&gt;R2637,"Reported balance higher than expected (missing increase/OC build)","Reported balance lower than expected (missing decrease)"))))),""))</f>
        <v/>
      </c>
    </row>
    <row r="2638" customFormat="false" ht="15" hidden="false" customHeight="false" outlineLevel="0" collapsed="false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9"/>
      <c r="L2638" s="9"/>
      <c r="M2638" s="9"/>
      <c r="N2638" s="9"/>
      <c r="O2638" s="9"/>
      <c r="P2638" s="9"/>
      <c r="Q2638" s="9"/>
      <c r="R2638" s="9" t="str">
        <f aca="false">IF(AND(A2638&lt;&gt;"",ISNUMBER(Q2638),ISNUMBER(L2638)),ROUND(Q2638-IF(ISNUMBER(N2638),N2638,0)-IF(ISNUMBER(O2638),O2638,0)+IF(ISNUMBER(P2638),P2638,0),2),"")</f>
        <v/>
      </c>
      <c r="S2638" s="9" t="str">
        <f aca="false">IF(R2638="","",ROUND(L2638-R2638,2))</f>
        <v/>
      </c>
      <c r="T2638" s="8" t="str">
        <f aca="false">IF(A2638="","",IF(S2638="","BYPASS",IF(ABS(S2638)&lt;=Summary!$B$2,"PASS","FAIL")))</f>
        <v/>
      </c>
      <c r="U2638" s="8" t="str">
        <f aca="false">IF(T2638="BYPASS",IF(NOT(ISNUMBER(Q2638)),"PreV_ETB missing","End_tr_balance missing"),IF(T2638="FAIL",IF(AND(ISNUMBER(K2638),ISNUMBER(L2638),ABS(L2638-(K2638-IF(ISNUMBER(N2638),N2638,0)-IF(ISNUMBER(O2638),O2638,0)+IF(ISNUMBER(P2638),P2638,0)))&lt;=Summary!$B$2),"Passes using beginning_balance - PreV_ETB differs from beginning_balance",IF(AND(ISNUMBER(O2638),O2638&lt;0,ABS(L2638-(Q2638-IF(ISNUMBER(N2638),N2638,0)+IF(ISNUMBER(P2638),P2638,0)))&lt;=Summary!$B$2),"Negative realized loss not applied - check sign",IF(R2638&lt;0,"Principal paid exceeds prior balance",IF(AND(L2638&gt;Q2638,NOT(ISNUMBER(P2638))),"Balance increased but no Deferred_interest reported",IF(L2638&gt;R2638,"Reported balance higher than expected (missing increase/OC build)","Reported balance lower than expected (missing decrease)"))))),""))</f>
        <v/>
      </c>
    </row>
    <row r="2639" customFormat="false" ht="15" hidden="false" customHeight="false" outlineLevel="0" collapsed="false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9"/>
      <c r="L2639" s="9"/>
      <c r="M2639" s="9"/>
      <c r="N2639" s="9"/>
      <c r="O2639" s="9"/>
      <c r="P2639" s="9"/>
      <c r="Q2639" s="9"/>
      <c r="R2639" s="9" t="str">
        <f aca="false">IF(AND(A2639&lt;&gt;"",ISNUMBER(Q2639),ISNUMBER(L2639)),ROUND(Q2639-IF(ISNUMBER(N2639),N2639,0)-IF(ISNUMBER(O2639),O2639,0)+IF(ISNUMBER(P2639),P2639,0),2),"")</f>
        <v/>
      </c>
      <c r="S2639" s="9" t="str">
        <f aca="false">IF(R2639="","",ROUND(L2639-R2639,2))</f>
        <v/>
      </c>
      <c r="T2639" s="8" t="str">
        <f aca="false">IF(A2639="","",IF(S2639="","BYPASS",IF(ABS(S2639)&lt;=Summary!$B$2,"PASS","FAIL")))</f>
        <v/>
      </c>
      <c r="U2639" s="8" t="str">
        <f aca="false">IF(T2639="BYPASS",IF(NOT(ISNUMBER(Q2639)),"PreV_ETB missing","End_tr_balance missing"),IF(T2639="FAIL",IF(AND(ISNUMBER(K2639),ISNUMBER(L2639),ABS(L2639-(K2639-IF(ISNUMBER(N2639),N2639,0)-IF(ISNUMBER(O2639),O2639,0)+IF(ISNUMBER(P2639),P2639,0)))&lt;=Summary!$B$2),"Passes using beginning_balance - PreV_ETB differs from beginning_balance",IF(AND(ISNUMBER(O2639),O2639&lt;0,ABS(L2639-(Q2639-IF(ISNUMBER(N2639),N2639,0)+IF(ISNUMBER(P2639),P2639,0)))&lt;=Summary!$B$2),"Negative realized loss not applied - check sign",IF(R2639&lt;0,"Principal paid exceeds prior balance",IF(AND(L2639&gt;Q2639,NOT(ISNUMBER(P2639))),"Balance increased but no Deferred_interest reported",IF(L2639&gt;R2639,"Reported balance higher than expected (missing increase/OC build)","Reported balance lower than expected (missing decrease)"))))),""))</f>
        <v/>
      </c>
    </row>
    <row r="2640" customFormat="false" ht="15" hidden="false" customHeight="false" outlineLevel="0" collapsed="false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9"/>
      <c r="L2640" s="9"/>
      <c r="M2640" s="9"/>
      <c r="N2640" s="9"/>
      <c r="O2640" s="9"/>
      <c r="P2640" s="9"/>
      <c r="Q2640" s="9"/>
      <c r="R2640" s="9" t="str">
        <f aca="false">IF(AND(A2640&lt;&gt;"",ISNUMBER(Q2640),ISNUMBER(L2640)),ROUND(Q2640-IF(ISNUMBER(N2640),N2640,0)-IF(ISNUMBER(O2640),O2640,0)+IF(ISNUMBER(P2640),P2640,0),2),"")</f>
        <v/>
      </c>
      <c r="S2640" s="9" t="str">
        <f aca="false">IF(R2640="","",ROUND(L2640-R2640,2))</f>
        <v/>
      </c>
      <c r="T2640" s="8" t="str">
        <f aca="false">IF(A2640="","",IF(S2640="","BYPASS",IF(ABS(S2640)&lt;=Summary!$B$2,"PASS","FAIL")))</f>
        <v/>
      </c>
      <c r="U2640" s="8" t="str">
        <f aca="false">IF(T2640="BYPASS",IF(NOT(ISNUMBER(Q2640)),"PreV_ETB missing","End_tr_balance missing"),IF(T2640="FAIL",IF(AND(ISNUMBER(K2640),ISNUMBER(L2640),ABS(L2640-(K2640-IF(ISNUMBER(N2640),N2640,0)-IF(ISNUMBER(O2640),O2640,0)+IF(ISNUMBER(P2640),P2640,0)))&lt;=Summary!$B$2),"Passes using beginning_balance - PreV_ETB differs from beginning_balance",IF(AND(ISNUMBER(O2640),O2640&lt;0,ABS(L2640-(Q2640-IF(ISNUMBER(N2640),N2640,0)+IF(ISNUMBER(P2640),P2640,0)))&lt;=Summary!$B$2),"Negative realized loss not applied - check sign",IF(R2640&lt;0,"Principal paid exceeds prior balance",IF(AND(L2640&gt;Q2640,NOT(ISNUMBER(P2640))),"Balance increased but no Deferred_interest reported",IF(L2640&gt;R2640,"Reported balance higher than expected (missing increase/OC build)","Reported balance lower than expected (missing decrease)"))))),""))</f>
        <v/>
      </c>
    </row>
    <row r="2641" customFormat="false" ht="15" hidden="false" customHeight="false" outlineLevel="0" collapsed="false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9"/>
      <c r="L2641" s="9"/>
      <c r="M2641" s="9"/>
      <c r="N2641" s="9"/>
      <c r="O2641" s="9"/>
      <c r="P2641" s="9"/>
      <c r="Q2641" s="9"/>
      <c r="R2641" s="9" t="str">
        <f aca="false">IF(AND(A2641&lt;&gt;"",ISNUMBER(Q2641),ISNUMBER(L2641)),ROUND(Q2641-IF(ISNUMBER(N2641),N2641,0)-IF(ISNUMBER(O2641),O2641,0)+IF(ISNUMBER(P2641),P2641,0),2),"")</f>
        <v/>
      </c>
      <c r="S2641" s="9" t="str">
        <f aca="false">IF(R2641="","",ROUND(L2641-R2641,2))</f>
        <v/>
      </c>
      <c r="T2641" s="8" t="str">
        <f aca="false">IF(A2641="","",IF(S2641="","BYPASS",IF(ABS(S2641)&lt;=Summary!$B$2,"PASS","FAIL")))</f>
        <v/>
      </c>
      <c r="U2641" s="8" t="str">
        <f aca="false">IF(T2641="BYPASS",IF(NOT(ISNUMBER(Q2641)),"PreV_ETB missing","End_tr_balance missing"),IF(T2641="FAIL",IF(AND(ISNUMBER(K2641),ISNUMBER(L2641),ABS(L2641-(K2641-IF(ISNUMBER(N2641),N2641,0)-IF(ISNUMBER(O2641),O2641,0)+IF(ISNUMBER(P2641),P2641,0)))&lt;=Summary!$B$2),"Passes using beginning_balance - PreV_ETB differs from beginning_balance",IF(AND(ISNUMBER(O2641),O2641&lt;0,ABS(L2641-(Q2641-IF(ISNUMBER(N2641),N2641,0)+IF(ISNUMBER(P2641),P2641,0)))&lt;=Summary!$B$2),"Negative realized loss not applied - check sign",IF(R2641&lt;0,"Principal paid exceeds prior balance",IF(AND(L2641&gt;Q2641,NOT(ISNUMBER(P2641))),"Balance increased but no Deferred_interest reported",IF(L2641&gt;R2641,"Reported balance higher than expected (missing increase/OC build)","Reported balance lower than expected (missing decrease)"))))),""))</f>
        <v/>
      </c>
    </row>
    <row r="2642" customFormat="false" ht="15" hidden="false" customHeight="false" outlineLevel="0" collapsed="false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9"/>
      <c r="L2642" s="9"/>
      <c r="M2642" s="9"/>
      <c r="N2642" s="9"/>
      <c r="O2642" s="9"/>
      <c r="P2642" s="9"/>
      <c r="Q2642" s="9"/>
      <c r="R2642" s="9" t="str">
        <f aca="false">IF(AND(A2642&lt;&gt;"",ISNUMBER(Q2642),ISNUMBER(L2642)),ROUND(Q2642-IF(ISNUMBER(N2642),N2642,0)-IF(ISNUMBER(O2642),O2642,0)+IF(ISNUMBER(P2642),P2642,0),2),"")</f>
        <v/>
      </c>
      <c r="S2642" s="9" t="str">
        <f aca="false">IF(R2642="","",ROUND(L2642-R2642,2))</f>
        <v/>
      </c>
      <c r="T2642" s="8" t="str">
        <f aca="false">IF(A2642="","",IF(S2642="","BYPASS",IF(ABS(S2642)&lt;=Summary!$B$2,"PASS","FAIL")))</f>
        <v/>
      </c>
      <c r="U2642" s="8" t="str">
        <f aca="false">IF(T2642="BYPASS",IF(NOT(ISNUMBER(Q2642)),"PreV_ETB missing","End_tr_balance missing"),IF(T2642="FAIL",IF(AND(ISNUMBER(K2642),ISNUMBER(L2642),ABS(L2642-(K2642-IF(ISNUMBER(N2642),N2642,0)-IF(ISNUMBER(O2642),O2642,0)+IF(ISNUMBER(P2642),P2642,0)))&lt;=Summary!$B$2),"Passes using beginning_balance - PreV_ETB differs from beginning_balance",IF(AND(ISNUMBER(O2642),O2642&lt;0,ABS(L2642-(Q2642-IF(ISNUMBER(N2642),N2642,0)+IF(ISNUMBER(P2642),P2642,0)))&lt;=Summary!$B$2),"Negative realized loss not applied - check sign",IF(R2642&lt;0,"Principal paid exceeds prior balance",IF(AND(L2642&gt;Q2642,NOT(ISNUMBER(P2642))),"Balance increased but no Deferred_interest reported",IF(L2642&gt;R2642,"Reported balance higher than expected (missing increase/OC build)","Reported balance lower than expected (missing decrease)"))))),""))</f>
        <v/>
      </c>
    </row>
    <row r="2643" customFormat="false" ht="15" hidden="false" customHeight="false" outlineLevel="0" collapsed="false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9"/>
      <c r="L2643" s="9"/>
      <c r="M2643" s="9"/>
      <c r="N2643" s="9"/>
      <c r="O2643" s="9"/>
      <c r="P2643" s="9"/>
      <c r="Q2643" s="9"/>
      <c r="R2643" s="9" t="str">
        <f aca="false">IF(AND(A2643&lt;&gt;"",ISNUMBER(Q2643),ISNUMBER(L2643)),ROUND(Q2643-IF(ISNUMBER(N2643),N2643,0)-IF(ISNUMBER(O2643),O2643,0)+IF(ISNUMBER(P2643),P2643,0),2),"")</f>
        <v/>
      </c>
      <c r="S2643" s="9" t="str">
        <f aca="false">IF(R2643="","",ROUND(L2643-R2643,2))</f>
        <v/>
      </c>
      <c r="T2643" s="8" t="str">
        <f aca="false">IF(A2643="","",IF(S2643="","BYPASS",IF(ABS(S2643)&lt;=Summary!$B$2,"PASS","FAIL")))</f>
        <v/>
      </c>
      <c r="U2643" s="8" t="str">
        <f aca="false">IF(T2643="BYPASS",IF(NOT(ISNUMBER(Q2643)),"PreV_ETB missing","End_tr_balance missing"),IF(T2643="FAIL",IF(AND(ISNUMBER(K2643),ISNUMBER(L2643),ABS(L2643-(K2643-IF(ISNUMBER(N2643),N2643,0)-IF(ISNUMBER(O2643),O2643,0)+IF(ISNUMBER(P2643),P2643,0)))&lt;=Summary!$B$2),"Passes using beginning_balance - PreV_ETB differs from beginning_balance",IF(AND(ISNUMBER(O2643),O2643&lt;0,ABS(L2643-(Q2643-IF(ISNUMBER(N2643),N2643,0)+IF(ISNUMBER(P2643),P2643,0)))&lt;=Summary!$B$2),"Negative realized loss not applied - check sign",IF(R2643&lt;0,"Principal paid exceeds prior balance",IF(AND(L2643&gt;Q2643,NOT(ISNUMBER(P2643))),"Balance increased but no Deferred_interest reported",IF(L2643&gt;R2643,"Reported balance higher than expected (missing increase/OC build)","Reported balance lower than expected (missing decrease)"))))),""))</f>
        <v/>
      </c>
    </row>
    <row r="2644" customFormat="false" ht="15" hidden="false" customHeight="false" outlineLevel="0" collapsed="false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9"/>
      <c r="L2644" s="9"/>
      <c r="M2644" s="9"/>
      <c r="N2644" s="9"/>
      <c r="O2644" s="9"/>
      <c r="P2644" s="9"/>
      <c r="Q2644" s="9"/>
      <c r="R2644" s="9" t="str">
        <f aca="false">IF(AND(A2644&lt;&gt;"",ISNUMBER(Q2644),ISNUMBER(L2644)),ROUND(Q2644-IF(ISNUMBER(N2644),N2644,0)-IF(ISNUMBER(O2644),O2644,0)+IF(ISNUMBER(P2644),P2644,0),2),"")</f>
        <v/>
      </c>
      <c r="S2644" s="9" t="str">
        <f aca="false">IF(R2644="","",ROUND(L2644-R2644,2))</f>
        <v/>
      </c>
      <c r="T2644" s="8" t="str">
        <f aca="false">IF(A2644="","",IF(S2644="","BYPASS",IF(ABS(S2644)&lt;=Summary!$B$2,"PASS","FAIL")))</f>
        <v/>
      </c>
      <c r="U2644" s="8" t="str">
        <f aca="false">IF(T2644="BYPASS",IF(NOT(ISNUMBER(Q2644)),"PreV_ETB missing","End_tr_balance missing"),IF(T2644="FAIL",IF(AND(ISNUMBER(K2644),ISNUMBER(L2644),ABS(L2644-(K2644-IF(ISNUMBER(N2644),N2644,0)-IF(ISNUMBER(O2644),O2644,0)+IF(ISNUMBER(P2644),P2644,0)))&lt;=Summary!$B$2),"Passes using beginning_balance - PreV_ETB differs from beginning_balance",IF(AND(ISNUMBER(O2644),O2644&lt;0,ABS(L2644-(Q2644-IF(ISNUMBER(N2644),N2644,0)+IF(ISNUMBER(P2644),P2644,0)))&lt;=Summary!$B$2),"Negative realized loss not applied - check sign",IF(R2644&lt;0,"Principal paid exceeds prior balance",IF(AND(L2644&gt;Q2644,NOT(ISNUMBER(P2644))),"Balance increased but no Deferred_interest reported",IF(L2644&gt;R2644,"Reported balance higher than expected (missing increase/OC build)","Reported balance lower than expected (missing decrease)"))))),""))</f>
        <v/>
      </c>
    </row>
    <row r="2645" customFormat="false" ht="15" hidden="false" customHeight="false" outlineLevel="0" collapsed="false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9"/>
      <c r="L2645" s="9"/>
      <c r="M2645" s="9"/>
      <c r="N2645" s="9"/>
      <c r="O2645" s="9"/>
      <c r="P2645" s="9"/>
      <c r="Q2645" s="9"/>
      <c r="R2645" s="9" t="str">
        <f aca="false">IF(AND(A2645&lt;&gt;"",ISNUMBER(Q2645),ISNUMBER(L2645)),ROUND(Q2645-IF(ISNUMBER(N2645),N2645,0)-IF(ISNUMBER(O2645),O2645,0)+IF(ISNUMBER(P2645),P2645,0),2),"")</f>
        <v/>
      </c>
      <c r="S2645" s="9" t="str">
        <f aca="false">IF(R2645="","",ROUND(L2645-R2645,2))</f>
        <v/>
      </c>
      <c r="T2645" s="8" t="str">
        <f aca="false">IF(A2645="","",IF(S2645="","BYPASS",IF(ABS(S2645)&lt;=Summary!$B$2,"PASS","FAIL")))</f>
        <v/>
      </c>
      <c r="U2645" s="8" t="str">
        <f aca="false">IF(T2645="BYPASS",IF(NOT(ISNUMBER(Q2645)),"PreV_ETB missing","End_tr_balance missing"),IF(T2645="FAIL",IF(AND(ISNUMBER(K2645),ISNUMBER(L2645),ABS(L2645-(K2645-IF(ISNUMBER(N2645),N2645,0)-IF(ISNUMBER(O2645),O2645,0)+IF(ISNUMBER(P2645),P2645,0)))&lt;=Summary!$B$2),"Passes using beginning_balance - PreV_ETB differs from beginning_balance",IF(AND(ISNUMBER(O2645),O2645&lt;0,ABS(L2645-(Q2645-IF(ISNUMBER(N2645),N2645,0)+IF(ISNUMBER(P2645),P2645,0)))&lt;=Summary!$B$2),"Negative realized loss not applied - check sign",IF(R2645&lt;0,"Principal paid exceeds prior balance",IF(AND(L2645&gt;Q2645,NOT(ISNUMBER(P2645))),"Balance increased but no Deferred_interest reported",IF(L2645&gt;R2645,"Reported balance higher than expected (missing increase/OC build)","Reported balance lower than expected (missing decrease)"))))),""))</f>
        <v/>
      </c>
    </row>
    <row r="2646" customFormat="false" ht="15" hidden="false" customHeight="false" outlineLevel="0" collapsed="false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9"/>
      <c r="L2646" s="9"/>
      <c r="M2646" s="9"/>
      <c r="N2646" s="9"/>
      <c r="O2646" s="9"/>
      <c r="P2646" s="9"/>
      <c r="Q2646" s="9"/>
      <c r="R2646" s="9" t="str">
        <f aca="false">IF(AND(A2646&lt;&gt;"",ISNUMBER(Q2646),ISNUMBER(L2646)),ROUND(Q2646-IF(ISNUMBER(N2646),N2646,0)-IF(ISNUMBER(O2646),O2646,0)+IF(ISNUMBER(P2646),P2646,0),2),"")</f>
        <v/>
      </c>
      <c r="S2646" s="9" t="str">
        <f aca="false">IF(R2646="","",ROUND(L2646-R2646,2))</f>
        <v/>
      </c>
      <c r="T2646" s="8" t="str">
        <f aca="false">IF(A2646="","",IF(S2646="","BYPASS",IF(ABS(S2646)&lt;=Summary!$B$2,"PASS","FAIL")))</f>
        <v/>
      </c>
      <c r="U2646" s="8" t="str">
        <f aca="false">IF(T2646="BYPASS",IF(NOT(ISNUMBER(Q2646)),"PreV_ETB missing","End_tr_balance missing"),IF(T2646="FAIL",IF(AND(ISNUMBER(K2646),ISNUMBER(L2646),ABS(L2646-(K2646-IF(ISNUMBER(N2646),N2646,0)-IF(ISNUMBER(O2646),O2646,0)+IF(ISNUMBER(P2646),P2646,0)))&lt;=Summary!$B$2),"Passes using beginning_balance - PreV_ETB differs from beginning_balance",IF(AND(ISNUMBER(O2646),O2646&lt;0,ABS(L2646-(Q2646-IF(ISNUMBER(N2646),N2646,0)+IF(ISNUMBER(P2646),P2646,0)))&lt;=Summary!$B$2),"Negative realized loss not applied - check sign",IF(R2646&lt;0,"Principal paid exceeds prior balance",IF(AND(L2646&gt;Q2646,NOT(ISNUMBER(P2646))),"Balance increased but no Deferred_interest reported",IF(L2646&gt;R2646,"Reported balance higher than expected (missing increase/OC build)","Reported balance lower than expected (missing decrease)"))))),""))</f>
        <v/>
      </c>
    </row>
    <row r="2647" customFormat="false" ht="15" hidden="false" customHeight="false" outlineLevel="0" collapsed="false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9"/>
      <c r="L2647" s="9"/>
      <c r="M2647" s="9"/>
      <c r="N2647" s="9"/>
      <c r="O2647" s="9"/>
      <c r="P2647" s="9"/>
      <c r="Q2647" s="9"/>
      <c r="R2647" s="9" t="str">
        <f aca="false">IF(AND(A2647&lt;&gt;"",ISNUMBER(Q2647),ISNUMBER(L2647)),ROUND(Q2647-IF(ISNUMBER(N2647),N2647,0)-IF(ISNUMBER(O2647),O2647,0)+IF(ISNUMBER(P2647),P2647,0),2),"")</f>
        <v/>
      </c>
      <c r="S2647" s="9" t="str">
        <f aca="false">IF(R2647="","",ROUND(L2647-R2647,2))</f>
        <v/>
      </c>
      <c r="T2647" s="8" t="str">
        <f aca="false">IF(A2647="","",IF(S2647="","BYPASS",IF(ABS(S2647)&lt;=Summary!$B$2,"PASS","FAIL")))</f>
        <v/>
      </c>
      <c r="U2647" s="8" t="str">
        <f aca="false">IF(T2647="BYPASS",IF(NOT(ISNUMBER(Q2647)),"PreV_ETB missing","End_tr_balance missing"),IF(T2647="FAIL",IF(AND(ISNUMBER(K2647),ISNUMBER(L2647),ABS(L2647-(K2647-IF(ISNUMBER(N2647),N2647,0)-IF(ISNUMBER(O2647),O2647,0)+IF(ISNUMBER(P2647),P2647,0)))&lt;=Summary!$B$2),"Passes using beginning_balance - PreV_ETB differs from beginning_balance",IF(AND(ISNUMBER(O2647),O2647&lt;0,ABS(L2647-(Q2647-IF(ISNUMBER(N2647),N2647,0)+IF(ISNUMBER(P2647),P2647,0)))&lt;=Summary!$B$2),"Negative realized loss not applied - check sign",IF(R2647&lt;0,"Principal paid exceeds prior balance",IF(AND(L2647&gt;Q2647,NOT(ISNUMBER(P2647))),"Balance increased but no Deferred_interest reported",IF(L2647&gt;R2647,"Reported balance higher than expected (missing increase/OC build)","Reported balance lower than expected (missing decrease)"))))),""))</f>
        <v/>
      </c>
    </row>
    <row r="2648" customFormat="false" ht="15" hidden="false" customHeight="false" outlineLevel="0" collapsed="false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9"/>
      <c r="L2648" s="9"/>
      <c r="M2648" s="9"/>
      <c r="N2648" s="9"/>
      <c r="O2648" s="9"/>
      <c r="P2648" s="9"/>
      <c r="Q2648" s="9"/>
      <c r="R2648" s="9" t="str">
        <f aca="false">IF(AND(A2648&lt;&gt;"",ISNUMBER(Q2648),ISNUMBER(L2648)),ROUND(Q2648-IF(ISNUMBER(N2648),N2648,0)-IF(ISNUMBER(O2648),O2648,0)+IF(ISNUMBER(P2648),P2648,0),2),"")</f>
        <v/>
      </c>
      <c r="S2648" s="9" t="str">
        <f aca="false">IF(R2648="","",ROUND(L2648-R2648,2))</f>
        <v/>
      </c>
      <c r="T2648" s="8" t="str">
        <f aca="false">IF(A2648="","",IF(S2648="","BYPASS",IF(ABS(S2648)&lt;=Summary!$B$2,"PASS","FAIL")))</f>
        <v/>
      </c>
      <c r="U2648" s="8" t="str">
        <f aca="false">IF(T2648="BYPASS",IF(NOT(ISNUMBER(Q2648)),"PreV_ETB missing","End_tr_balance missing"),IF(T2648="FAIL",IF(AND(ISNUMBER(K2648),ISNUMBER(L2648),ABS(L2648-(K2648-IF(ISNUMBER(N2648),N2648,0)-IF(ISNUMBER(O2648),O2648,0)+IF(ISNUMBER(P2648),P2648,0)))&lt;=Summary!$B$2),"Passes using beginning_balance - PreV_ETB differs from beginning_balance",IF(AND(ISNUMBER(O2648),O2648&lt;0,ABS(L2648-(Q2648-IF(ISNUMBER(N2648),N2648,0)+IF(ISNUMBER(P2648),P2648,0)))&lt;=Summary!$B$2),"Negative realized loss not applied - check sign",IF(R2648&lt;0,"Principal paid exceeds prior balance",IF(AND(L2648&gt;Q2648,NOT(ISNUMBER(P2648))),"Balance increased but no Deferred_interest reported",IF(L2648&gt;R2648,"Reported balance higher than expected (missing increase/OC build)","Reported balance lower than expected (missing decrease)"))))),""))</f>
        <v/>
      </c>
    </row>
    <row r="2649" customFormat="false" ht="15" hidden="false" customHeight="false" outlineLevel="0" collapsed="false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9"/>
      <c r="L2649" s="9"/>
      <c r="M2649" s="9"/>
      <c r="N2649" s="9"/>
      <c r="O2649" s="9"/>
      <c r="P2649" s="9"/>
      <c r="Q2649" s="9"/>
      <c r="R2649" s="9" t="str">
        <f aca="false">IF(AND(A2649&lt;&gt;"",ISNUMBER(Q2649),ISNUMBER(L2649)),ROUND(Q2649-IF(ISNUMBER(N2649),N2649,0)-IF(ISNUMBER(O2649),O2649,0)+IF(ISNUMBER(P2649),P2649,0),2),"")</f>
        <v/>
      </c>
      <c r="S2649" s="9" t="str">
        <f aca="false">IF(R2649="","",ROUND(L2649-R2649,2))</f>
        <v/>
      </c>
      <c r="T2649" s="8" t="str">
        <f aca="false">IF(A2649="","",IF(S2649="","BYPASS",IF(ABS(S2649)&lt;=Summary!$B$2,"PASS","FAIL")))</f>
        <v/>
      </c>
      <c r="U2649" s="8" t="str">
        <f aca="false">IF(T2649="BYPASS",IF(NOT(ISNUMBER(Q2649)),"PreV_ETB missing","End_tr_balance missing"),IF(T2649="FAIL",IF(AND(ISNUMBER(K2649),ISNUMBER(L2649),ABS(L2649-(K2649-IF(ISNUMBER(N2649),N2649,0)-IF(ISNUMBER(O2649),O2649,0)+IF(ISNUMBER(P2649),P2649,0)))&lt;=Summary!$B$2),"Passes using beginning_balance - PreV_ETB differs from beginning_balance",IF(AND(ISNUMBER(O2649),O2649&lt;0,ABS(L2649-(Q2649-IF(ISNUMBER(N2649),N2649,0)+IF(ISNUMBER(P2649),P2649,0)))&lt;=Summary!$B$2),"Negative realized loss not applied - check sign",IF(R2649&lt;0,"Principal paid exceeds prior balance",IF(AND(L2649&gt;Q2649,NOT(ISNUMBER(P2649))),"Balance increased but no Deferred_interest reported",IF(L2649&gt;R2649,"Reported balance higher than expected (missing increase/OC build)","Reported balance lower than expected (missing decrease)"))))),""))</f>
        <v/>
      </c>
    </row>
    <row r="2650" customFormat="false" ht="15" hidden="false" customHeight="false" outlineLevel="0" collapsed="false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9"/>
      <c r="L2650" s="9"/>
      <c r="M2650" s="9"/>
      <c r="N2650" s="9"/>
      <c r="O2650" s="9"/>
      <c r="P2650" s="9"/>
      <c r="Q2650" s="9"/>
      <c r="R2650" s="9" t="str">
        <f aca="false">IF(AND(A2650&lt;&gt;"",ISNUMBER(Q2650),ISNUMBER(L2650)),ROUND(Q2650-IF(ISNUMBER(N2650),N2650,0)-IF(ISNUMBER(O2650),O2650,0)+IF(ISNUMBER(P2650),P2650,0),2),"")</f>
        <v/>
      </c>
      <c r="S2650" s="9" t="str">
        <f aca="false">IF(R2650="","",ROUND(L2650-R2650,2))</f>
        <v/>
      </c>
      <c r="T2650" s="8" t="str">
        <f aca="false">IF(A2650="","",IF(S2650="","BYPASS",IF(ABS(S2650)&lt;=Summary!$B$2,"PASS","FAIL")))</f>
        <v/>
      </c>
      <c r="U2650" s="8" t="str">
        <f aca="false">IF(T2650="BYPASS",IF(NOT(ISNUMBER(Q2650)),"PreV_ETB missing","End_tr_balance missing"),IF(T2650="FAIL",IF(AND(ISNUMBER(K2650),ISNUMBER(L2650),ABS(L2650-(K2650-IF(ISNUMBER(N2650),N2650,0)-IF(ISNUMBER(O2650),O2650,0)+IF(ISNUMBER(P2650),P2650,0)))&lt;=Summary!$B$2),"Passes using beginning_balance - PreV_ETB differs from beginning_balance",IF(AND(ISNUMBER(O2650),O2650&lt;0,ABS(L2650-(Q2650-IF(ISNUMBER(N2650),N2650,0)+IF(ISNUMBER(P2650),P2650,0)))&lt;=Summary!$B$2),"Negative realized loss not applied - check sign",IF(R2650&lt;0,"Principal paid exceeds prior balance",IF(AND(L2650&gt;Q2650,NOT(ISNUMBER(P2650))),"Balance increased but no Deferred_interest reported",IF(L2650&gt;R2650,"Reported balance higher than expected (missing increase/OC build)","Reported balance lower than expected (missing decrease)"))))),""))</f>
        <v/>
      </c>
    </row>
    <row r="2651" customFormat="false" ht="15" hidden="false" customHeight="false" outlineLevel="0" collapsed="false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9"/>
      <c r="L2651" s="9"/>
      <c r="M2651" s="9"/>
      <c r="N2651" s="9"/>
      <c r="O2651" s="9"/>
      <c r="P2651" s="9"/>
      <c r="Q2651" s="9"/>
      <c r="R2651" s="9" t="str">
        <f aca="false">IF(AND(A2651&lt;&gt;"",ISNUMBER(Q2651),ISNUMBER(L2651)),ROUND(Q2651-IF(ISNUMBER(N2651),N2651,0)-IF(ISNUMBER(O2651),O2651,0)+IF(ISNUMBER(P2651),P2651,0),2),"")</f>
        <v/>
      </c>
      <c r="S2651" s="9" t="str">
        <f aca="false">IF(R2651="","",ROUND(L2651-R2651,2))</f>
        <v/>
      </c>
      <c r="T2651" s="8" t="str">
        <f aca="false">IF(A2651="","",IF(S2651="","BYPASS",IF(ABS(S2651)&lt;=Summary!$B$2,"PASS","FAIL")))</f>
        <v/>
      </c>
      <c r="U2651" s="8" t="str">
        <f aca="false">IF(T2651="BYPASS",IF(NOT(ISNUMBER(Q2651)),"PreV_ETB missing","End_tr_balance missing"),IF(T2651="FAIL",IF(AND(ISNUMBER(K2651),ISNUMBER(L2651),ABS(L2651-(K2651-IF(ISNUMBER(N2651),N2651,0)-IF(ISNUMBER(O2651),O2651,0)+IF(ISNUMBER(P2651),P2651,0)))&lt;=Summary!$B$2),"Passes using beginning_balance - PreV_ETB differs from beginning_balance",IF(AND(ISNUMBER(O2651),O2651&lt;0,ABS(L2651-(Q2651-IF(ISNUMBER(N2651),N2651,0)+IF(ISNUMBER(P2651),P2651,0)))&lt;=Summary!$B$2),"Negative realized loss not applied - check sign",IF(R2651&lt;0,"Principal paid exceeds prior balance",IF(AND(L2651&gt;Q2651,NOT(ISNUMBER(P2651))),"Balance increased but no Deferred_interest reported",IF(L2651&gt;R2651,"Reported balance higher than expected (missing increase/OC build)","Reported balance lower than expected (missing decrease)"))))),""))</f>
        <v/>
      </c>
    </row>
    <row r="2652" customFormat="false" ht="15" hidden="false" customHeight="false" outlineLevel="0" collapsed="false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9"/>
      <c r="L2652" s="9"/>
      <c r="M2652" s="9"/>
      <c r="N2652" s="9"/>
      <c r="O2652" s="9"/>
      <c r="P2652" s="9"/>
      <c r="Q2652" s="9"/>
      <c r="R2652" s="9" t="str">
        <f aca="false">IF(AND(A2652&lt;&gt;"",ISNUMBER(Q2652),ISNUMBER(L2652)),ROUND(Q2652-IF(ISNUMBER(N2652),N2652,0)-IF(ISNUMBER(O2652),O2652,0)+IF(ISNUMBER(P2652),P2652,0),2),"")</f>
        <v/>
      </c>
      <c r="S2652" s="9" t="str">
        <f aca="false">IF(R2652="","",ROUND(L2652-R2652,2))</f>
        <v/>
      </c>
      <c r="T2652" s="8" t="str">
        <f aca="false">IF(A2652="","",IF(S2652="","BYPASS",IF(ABS(S2652)&lt;=Summary!$B$2,"PASS","FAIL")))</f>
        <v/>
      </c>
      <c r="U2652" s="8" t="str">
        <f aca="false">IF(T2652="BYPASS",IF(NOT(ISNUMBER(Q2652)),"PreV_ETB missing","End_tr_balance missing"),IF(T2652="FAIL",IF(AND(ISNUMBER(K2652),ISNUMBER(L2652),ABS(L2652-(K2652-IF(ISNUMBER(N2652),N2652,0)-IF(ISNUMBER(O2652),O2652,0)+IF(ISNUMBER(P2652),P2652,0)))&lt;=Summary!$B$2),"Passes using beginning_balance - PreV_ETB differs from beginning_balance",IF(AND(ISNUMBER(O2652),O2652&lt;0,ABS(L2652-(Q2652-IF(ISNUMBER(N2652),N2652,0)+IF(ISNUMBER(P2652),P2652,0)))&lt;=Summary!$B$2),"Negative realized loss not applied - check sign",IF(R2652&lt;0,"Principal paid exceeds prior balance",IF(AND(L2652&gt;Q2652,NOT(ISNUMBER(P2652))),"Balance increased but no Deferred_interest reported",IF(L2652&gt;R2652,"Reported balance higher than expected (missing increase/OC build)","Reported balance lower than expected (missing decrease)"))))),""))</f>
        <v/>
      </c>
    </row>
    <row r="2653" customFormat="false" ht="15" hidden="false" customHeight="false" outlineLevel="0" collapsed="false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9"/>
      <c r="L2653" s="9"/>
      <c r="M2653" s="9"/>
      <c r="N2653" s="9"/>
      <c r="O2653" s="9"/>
      <c r="P2653" s="9"/>
      <c r="Q2653" s="9"/>
      <c r="R2653" s="9" t="str">
        <f aca="false">IF(AND(A2653&lt;&gt;"",ISNUMBER(Q2653),ISNUMBER(L2653)),ROUND(Q2653-IF(ISNUMBER(N2653),N2653,0)-IF(ISNUMBER(O2653),O2653,0)+IF(ISNUMBER(P2653),P2653,0),2),"")</f>
        <v/>
      </c>
      <c r="S2653" s="9" t="str">
        <f aca="false">IF(R2653="","",ROUND(L2653-R2653,2))</f>
        <v/>
      </c>
      <c r="T2653" s="8" t="str">
        <f aca="false">IF(A2653="","",IF(S2653="","BYPASS",IF(ABS(S2653)&lt;=Summary!$B$2,"PASS","FAIL")))</f>
        <v/>
      </c>
      <c r="U2653" s="8" t="str">
        <f aca="false">IF(T2653="BYPASS",IF(NOT(ISNUMBER(Q2653)),"PreV_ETB missing","End_tr_balance missing"),IF(T2653="FAIL",IF(AND(ISNUMBER(K2653),ISNUMBER(L2653),ABS(L2653-(K2653-IF(ISNUMBER(N2653),N2653,0)-IF(ISNUMBER(O2653),O2653,0)+IF(ISNUMBER(P2653),P2653,0)))&lt;=Summary!$B$2),"Passes using beginning_balance - PreV_ETB differs from beginning_balance",IF(AND(ISNUMBER(O2653),O2653&lt;0,ABS(L2653-(Q2653-IF(ISNUMBER(N2653),N2653,0)+IF(ISNUMBER(P2653),P2653,0)))&lt;=Summary!$B$2),"Negative realized loss not applied - check sign",IF(R2653&lt;0,"Principal paid exceeds prior balance",IF(AND(L2653&gt;Q2653,NOT(ISNUMBER(P2653))),"Balance increased but no Deferred_interest reported",IF(L2653&gt;R2653,"Reported balance higher than expected (missing increase/OC build)","Reported balance lower than expected (missing decrease)"))))),""))</f>
        <v/>
      </c>
    </row>
    <row r="2654" customFormat="false" ht="15" hidden="false" customHeight="false" outlineLevel="0" collapsed="false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9"/>
      <c r="L2654" s="9"/>
      <c r="M2654" s="9"/>
      <c r="N2654" s="9"/>
      <c r="O2654" s="9"/>
      <c r="P2654" s="9"/>
      <c r="Q2654" s="9"/>
      <c r="R2654" s="9" t="str">
        <f aca="false">IF(AND(A2654&lt;&gt;"",ISNUMBER(Q2654),ISNUMBER(L2654)),ROUND(Q2654-IF(ISNUMBER(N2654),N2654,0)-IF(ISNUMBER(O2654),O2654,0)+IF(ISNUMBER(P2654),P2654,0),2),"")</f>
        <v/>
      </c>
      <c r="S2654" s="9" t="str">
        <f aca="false">IF(R2654="","",ROUND(L2654-R2654,2))</f>
        <v/>
      </c>
      <c r="T2654" s="8" t="str">
        <f aca="false">IF(A2654="","",IF(S2654="","BYPASS",IF(ABS(S2654)&lt;=Summary!$B$2,"PASS","FAIL")))</f>
        <v/>
      </c>
      <c r="U2654" s="8" t="str">
        <f aca="false">IF(T2654="BYPASS",IF(NOT(ISNUMBER(Q2654)),"PreV_ETB missing","End_tr_balance missing"),IF(T2654="FAIL",IF(AND(ISNUMBER(K2654),ISNUMBER(L2654),ABS(L2654-(K2654-IF(ISNUMBER(N2654),N2654,0)-IF(ISNUMBER(O2654),O2654,0)+IF(ISNUMBER(P2654),P2654,0)))&lt;=Summary!$B$2),"Passes using beginning_balance - PreV_ETB differs from beginning_balance",IF(AND(ISNUMBER(O2654),O2654&lt;0,ABS(L2654-(Q2654-IF(ISNUMBER(N2654),N2654,0)+IF(ISNUMBER(P2654),P2654,0)))&lt;=Summary!$B$2),"Negative realized loss not applied - check sign",IF(R2654&lt;0,"Principal paid exceeds prior balance",IF(AND(L2654&gt;Q2654,NOT(ISNUMBER(P2654))),"Balance increased but no Deferred_interest reported",IF(L2654&gt;R2654,"Reported balance higher than expected (missing increase/OC build)","Reported balance lower than expected (missing decrease)"))))),""))</f>
        <v/>
      </c>
    </row>
    <row r="2655" customFormat="false" ht="15" hidden="false" customHeight="false" outlineLevel="0" collapsed="false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9"/>
      <c r="L2655" s="9"/>
      <c r="M2655" s="9"/>
      <c r="N2655" s="9"/>
      <c r="O2655" s="9"/>
      <c r="P2655" s="9"/>
      <c r="Q2655" s="9"/>
      <c r="R2655" s="9" t="str">
        <f aca="false">IF(AND(A2655&lt;&gt;"",ISNUMBER(Q2655),ISNUMBER(L2655)),ROUND(Q2655-IF(ISNUMBER(N2655),N2655,0)-IF(ISNUMBER(O2655),O2655,0)+IF(ISNUMBER(P2655),P2655,0),2),"")</f>
        <v/>
      </c>
      <c r="S2655" s="9" t="str">
        <f aca="false">IF(R2655="","",ROUND(L2655-R2655,2))</f>
        <v/>
      </c>
      <c r="T2655" s="8" t="str">
        <f aca="false">IF(A2655="","",IF(S2655="","BYPASS",IF(ABS(S2655)&lt;=Summary!$B$2,"PASS","FAIL")))</f>
        <v/>
      </c>
      <c r="U2655" s="8" t="str">
        <f aca="false">IF(T2655="BYPASS",IF(NOT(ISNUMBER(Q2655)),"PreV_ETB missing","End_tr_balance missing"),IF(T2655="FAIL",IF(AND(ISNUMBER(K2655),ISNUMBER(L2655),ABS(L2655-(K2655-IF(ISNUMBER(N2655),N2655,0)-IF(ISNUMBER(O2655),O2655,0)+IF(ISNUMBER(P2655),P2655,0)))&lt;=Summary!$B$2),"Passes using beginning_balance - PreV_ETB differs from beginning_balance",IF(AND(ISNUMBER(O2655),O2655&lt;0,ABS(L2655-(Q2655-IF(ISNUMBER(N2655),N2655,0)+IF(ISNUMBER(P2655),P2655,0)))&lt;=Summary!$B$2),"Negative realized loss not applied - check sign",IF(R2655&lt;0,"Principal paid exceeds prior balance",IF(AND(L2655&gt;Q2655,NOT(ISNUMBER(P2655))),"Balance increased but no Deferred_interest reported",IF(L2655&gt;R2655,"Reported balance higher than expected (missing increase/OC build)","Reported balance lower than expected (missing decrease)"))))),""))</f>
        <v/>
      </c>
    </row>
    <row r="2656" customFormat="false" ht="15" hidden="false" customHeight="false" outlineLevel="0" collapsed="false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9"/>
      <c r="L2656" s="9"/>
      <c r="M2656" s="9"/>
      <c r="N2656" s="9"/>
      <c r="O2656" s="9"/>
      <c r="P2656" s="9"/>
      <c r="Q2656" s="9"/>
      <c r="R2656" s="9" t="str">
        <f aca="false">IF(AND(A2656&lt;&gt;"",ISNUMBER(Q2656),ISNUMBER(L2656)),ROUND(Q2656-IF(ISNUMBER(N2656),N2656,0)-IF(ISNUMBER(O2656),O2656,0)+IF(ISNUMBER(P2656),P2656,0),2),"")</f>
        <v/>
      </c>
      <c r="S2656" s="9" t="str">
        <f aca="false">IF(R2656="","",ROUND(L2656-R2656,2))</f>
        <v/>
      </c>
      <c r="T2656" s="8" t="str">
        <f aca="false">IF(A2656="","",IF(S2656="","BYPASS",IF(ABS(S2656)&lt;=Summary!$B$2,"PASS","FAIL")))</f>
        <v/>
      </c>
      <c r="U2656" s="8" t="str">
        <f aca="false">IF(T2656="BYPASS",IF(NOT(ISNUMBER(Q2656)),"PreV_ETB missing","End_tr_balance missing"),IF(T2656="FAIL",IF(AND(ISNUMBER(K2656),ISNUMBER(L2656),ABS(L2656-(K2656-IF(ISNUMBER(N2656),N2656,0)-IF(ISNUMBER(O2656),O2656,0)+IF(ISNUMBER(P2656),P2656,0)))&lt;=Summary!$B$2),"Passes using beginning_balance - PreV_ETB differs from beginning_balance",IF(AND(ISNUMBER(O2656),O2656&lt;0,ABS(L2656-(Q2656-IF(ISNUMBER(N2656),N2656,0)+IF(ISNUMBER(P2656),P2656,0)))&lt;=Summary!$B$2),"Negative realized loss not applied - check sign",IF(R2656&lt;0,"Principal paid exceeds prior balance",IF(AND(L2656&gt;Q2656,NOT(ISNUMBER(P2656))),"Balance increased but no Deferred_interest reported",IF(L2656&gt;R2656,"Reported balance higher than expected (missing increase/OC build)","Reported balance lower than expected (missing decrease)"))))),""))</f>
        <v/>
      </c>
    </row>
    <row r="2657" customFormat="false" ht="15" hidden="false" customHeight="false" outlineLevel="0" collapsed="false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9"/>
      <c r="L2657" s="9"/>
      <c r="M2657" s="9"/>
      <c r="N2657" s="9"/>
      <c r="O2657" s="9"/>
      <c r="P2657" s="9"/>
      <c r="Q2657" s="9"/>
      <c r="R2657" s="9" t="str">
        <f aca="false">IF(AND(A2657&lt;&gt;"",ISNUMBER(Q2657),ISNUMBER(L2657)),ROUND(Q2657-IF(ISNUMBER(N2657),N2657,0)-IF(ISNUMBER(O2657),O2657,0)+IF(ISNUMBER(P2657),P2657,0),2),"")</f>
        <v/>
      </c>
      <c r="S2657" s="9" t="str">
        <f aca="false">IF(R2657="","",ROUND(L2657-R2657,2))</f>
        <v/>
      </c>
      <c r="T2657" s="8" t="str">
        <f aca="false">IF(A2657="","",IF(S2657="","BYPASS",IF(ABS(S2657)&lt;=Summary!$B$2,"PASS","FAIL")))</f>
        <v/>
      </c>
      <c r="U2657" s="8" t="str">
        <f aca="false">IF(T2657="BYPASS",IF(NOT(ISNUMBER(Q2657)),"PreV_ETB missing","End_tr_balance missing"),IF(T2657="FAIL",IF(AND(ISNUMBER(K2657),ISNUMBER(L2657),ABS(L2657-(K2657-IF(ISNUMBER(N2657),N2657,0)-IF(ISNUMBER(O2657),O2657,0)+IF(ISNUMBER(P2657),P2657,0)))&lt;=Summary!$B$2),"Passes using beginning_balance - PreV_ETB differs from beginning_balance",IF(AND(ISNUMBER(O2657),O2657&lt;0,ABS(L2657-(Q2657-IF(ISNUMBER(N2657),N2657,0)+IF(ISNUMBER(P2657),P2657,0)))&lt;=Summary!$B$2),"Negative realized loss not applied - check sign",IF(R2657&lt;0,"Principal paid exceeds prior balance",IF(AND(L2657&gt;Q2657,NOT(ISNUMBER(P2657))),"Balance increased but no Deferred_interest reported",IF(L2657&gt;R2657,"Reported balance higher than expected (missing increase/OC build)","Reported balance lower than expected (missing decrease)"))))),""))</f>
        <v/>
      </c>
    </row>
    <row r="2658" customFormat="false" ht="15" hidden="false" customHeight="false" outlineLevel="0" collapsed="false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9"/>
      <c r="L2658" s="9"/>
      <c r="M2658" s="9"/>
      <c r="N2658" s="9"/>
      <c r="O2658" s="9"/>
      <c r="P2658" s="9"/>
      <c r="Q2658" s="9"/>
      <c r="R2658" s="9" t="str">
        <f aca="false">IF(AND(A2658&lt;&gt;"",ISNUMBER(Q2658),ISNUMBER(L2658)),ROUND(Q2658-IF(ISNUMBER(N2658),N2658,0)-IF(ISNUMBER(O2658),O2658,0)+IF(ISNUMBER(P2658),P2658,0),2),"")</f>
        <v/>
      </c>
      <c r="S2658" s="9" t="str">
        <f aca="false">IF(R2658="","",ROUND(L2658-R2658,2))</f>
        <v/>
      </c>
      <c r="T2658" s="8" t="str">
        <f aca="false">IF(A2658="","",IF(S2658="","BYPASS",IF(ABS(S2658)&lt;=Summary!$B$2,"PASS","FAIL")))</f>
        <v/>
      </c>
      <c r="U2658" s="8" t="str">
        <f aca="false">IF(T2658="BYPASS",IF(NOT(ISNUMBER(Q2658)),"PreV_ETB missing","End_tr_balance missing"),IF(T2658="FAIL",IF(AND(ISNUMBER(K2658),ISNUMBER(L2658),ABS(L2658-(K2658-IF(ISNUMBER(N2658),N2658,0)-IF(ISNUMBER(O2658),O2658,0)+IF(ISNUMBER(P2658),P2658,0)))&lt;=Summary!$B$2),"Passes using beginning_balance - PreV_ETB differs from beginning_balance",IF(AND(ISNUMBER(O2658),O2658&lt;0,ABS(L2658-(Q2658-IF(ISNUMBER(N2658),N2658,0)+IF(ISNUMBER(P2658),P2658,0)))&lt;=Summary!$B$2),"Negative realized loss not applied - check sign",IF(R2658&lt;0,"Principal paid exceeds prior balance",IF(AND(L2658&gt;Q2658,NOT(ISNUMBER(P2658))),"Balance increased but no Deferred_interest reported",IF(L2658&gt;R2658,"Reported balance higher than expected (missing increase/OC build)","Reported balance lower than expected (missing decrease)"))))),""))</f>
        <v/>
      </c>
    </row>
    <row r="2659" customFormat="false" ht="15" hidden="false" customHeight="false" outlineLevel="0" collapsed="false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9"/>
      <c r="L2659" s="9"/>
      <c r="M2659" s="9"/>
      <c r="N2659" s="9"/>
      <c r="O2659" s="9"/>
      <c r="P2659" s="9"/>
      <c r="Q2659" s="9"/>
      <c r="R2659" s="9" t="str">
        <f aca="false">IF(AND(A2659&lt;&gt;"",ISNUMBER(Q2659),ISNUMBER(L2659)),ROUND(Q2659-IF(ISNUMBER(N2659),N2659,0)-IF(ISNUMBER(O2659),O2659,0)+IF(ISNUMBER(P2659),P2659,0),2),"")</f>
        <v/>
      </c>
      <c r="S2659" s="9" t="str">
        <f aca="false">IF(R2659="","",ROUND(L2659-R2659,2))</f>
        <v/>
      </c>
      <c r="T2659" s="8" t="str">
        <f aca="false">IF(A2659="","",IF(S2659="","BYPASS",IF(ABS(S2659)&lt;=Summary!$B$2,"PASS","FAIL")))</f>
        <v/>
      </c>
      <c r="U2659" s="8" t="str">
        <f aca="false">IF(T2659="BYPASS",IF(NOT(ISNUMBER(Q2659)),"PreV_ETB missing","End_tr_balance missing"),IF(T2659="FAIL",IF(AND(ISNUMBER(K2659),ISNUMBER(L2659),ABS(L2659-(K2659-IF(ISNUMBER(N2659),N2659,0)-IF(ISNUMBER(O2659),O2659,0)+IF(ISNUMBER(P2659),P2659,0)))&lt;=Summary!$B$2),"Passes using beginning_balance - PreV_ETB differs from beginning_balance",IF(AND(ISNUMBER(O2659),O2659&lt;0,ABS(L2659-(Q2659-IF(ISNUMBER(N2659),N2659,0)+IF(ISNUMBER(P2659),P2659,0)))&lt;=Summary!$B$2),"Negative realized loss not applied - check sign",IF(R2659&lt;0,"Principal paid exceeds prior balance",IF(AND(L2659&gt;Q2659,NOT(ISNUMBER(P2659))),"Balance increased but no Deferred_interest reported",IF(L2659&gt;R2659,"Reported balance higher than expected (missing increase/OC build)","Reported balance lower than expected (missing decrease)"))))),""))</f>
        <v/>
      </c>
    </row>
    <row r="2660" customFormat="false" ht="15" hidden="false" customHeight="false" outlineLevel="0" collapsed="false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9"/>
      <c r="L2660" s="9"/>
      <c r="M2660" s="9"/>
      <c r="N2660" s="9"/>
      <c r="O2660" s="9"/>
      <c r="P2660" s="9"/>
      <c r="Q2660" s="9"/>
      <c r="R2660" s="9" t="str">
        <f aca="false">IF(AND(A2660&lt;&gt;"",ISNUMBER(Q2660),ISNUMBER(L2660)),ROUND(Q2660-IF(ISNUMBER(N2660),N2660,0)-IF(ISNUMBER(O2660),O2660,0)+IF(ISNUMBER(P2660),P2660,0),2),"")</f>
        <v/>
      </c>
      <c r="S2660" s="9" t="str">
        <f aca="false">IF(R2660="","",ROUND(L2660-R2660,2))</f>
        <v/>
      </c>
      <c r="T2660" s="8" t="str">
        <f aca="false">IF(A2660="","",IF(S2660="","BYPASS",IF(ABS(S2660)&lt;=Summary!$B$2,"PASS","FAIL")))</f>
        <v/>
      </c>
      <c r="U2660" s="8" t="str">
        <f aca="false">IF(T2660="BYPASS",IF(NOT(ISNUMBER(Q2660)),"PreV_ETB missing","End_tr_balance missing"),IF(T2660="FAIL",IF(AND(ISNUMBER(K2660),ISNUMBER(L2660),ABS(L2660-(K2660-IF(ISNUMBER(N2660),N2660,0)-IF(ISNUMBER(O2660),O2660,0)+IF(ISNUMBER(P2660),P2660,0)))&lt;=Summary!$B$2),"Passes using beginning_balance - PreV_ETB differs from beginning_balance",IF(AND(ISNUMBER(O2660),O2660&lt;0,ABS(L2660-(Q2660-IF(ISNUMBER(N2660),N2660,0)+IF(ISNUMBER(P2660),P2660,0)))&lt;=Summary!$B$2),"Negative realized loss not applied - check sign",IF(R2660&lt;0,"Principal paid exceeds prior balance",IF(AND(L2660&gt;Q2660,NOT(ISNUMBER(P2660))),"Balance increased but no Deferred_interest reported",IF(L2660&gt;R2660,"Reported balance higher than expected (missing increase/OC build)","Reported balance lower than expected (missing decrease)"))))),""))</f>
        <v/>
      </c>
    </row>
    <row r="2661" customFormat="false" ht="15" hidden="false" customHeight="false" outlineLevel="0" collapsed="false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9"/>
      <c r="L2661" s="9"/>
      <c r="M2661" s="9"/>
      <c r="N2661" s="9"/>
      <c r="O2661" s="9"/>
      <c r="P2661" s="9"/>
      <c r="Q2661" s="9"/>
      <c r="R2661" s="9" t="str">
        <f aca="false">IF(AND(A2661&lt;&gt;"",ISNUMBER(Q2661),ISNUMBER(L2661)),ROUND(Q2661-IF(ISNUMBER(N2661),N2661,0)-IF(ISNUMBER(O2661),O2661,0)+IF(ISNUMBER(P2661),P2661,0),2),"")</f>
        <v/>
      </c>
      <c r="S2661" s="9" t="str">
        <f aca="false">IF(R2661="","",ROUND(L2661-R2661,2))</f>
        <v/>
      </c>
      <c r="T2661" s="8" t="str">
        <f aca="false">IF(A2661="","",IF(S2661="","BYPASS",IF(ABS(S2661)&lt;=Summary!$B$2,"PASS","FAIL")))</f>
        <v/>
      </c>
      <c r="U2661" s="8" t="str">
        <f aca="false">IF(T2661="BYPASS",IF(NOT(ISNUMBER(Q2661)),"PreV_ETB missing","End_tr_balance missing"),IF(T2661="FAIL",IF(AND(ISNUMBER(K2661),ISNUMBER(L2661),ABS(L2661-(K2661-IF(ISNUMBER(N2661),N2661,0)-IF(ISNUMBER(O2661),O2661,0)+IF(ISNUMBER(P2661),P2661,0)))&lt;=Summary!$B$2),"Passes using beginning_balance - PreV_ETB differs from beginning_balance",IF(AND(ISNUMBER(O2661),O2661&lt;0,ABS(L2661-(Q2661-IF(ISNUMBER(N2661),N2661,0)+IF(ISNUMBER(P2661),P2661,0)))&lt;=Summary!$B$2),"Negative realized loss not applied - check sign",IF(R2661&lt;0,"Principal paid exceeds prior balance",IF(AND(L2661&gt;Q2661,NOT(ISNUMBER(P2661))),"Balance increased but no Deferred_interest reported",IF(L2661&gt;R2661,"Reported balance higher than expected (missing increase/OC build)","Reported balance lower than expected (missing decrease)"))))),""))</f>
        <v/>
      </c>
    </row>
    <row r="2662" customFormat="false" ht="15" hidden="false" customHeight="false" outlineLevel="0" collapsed="false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9"/>
      <c r="L2662" s="9"/>
      <c r="M2662" s="9"/>
      <c r="N2662" s="9"/>
      <c r="O2662" s="9"/>
      <c r="P2662" s="9"/>
      <c r="Q2662" s="9"/>
      <c r="R2662" s="9" t="str">
        <f aca="false">IF(AND(A2662&lt;&gt;"",ISNUMBER(Q2662),ISNUMBER(L2662)),ROUND(Q2662-IF(ISNUMBER(N2662),N2662,0)-IF(ISNUMBER(O2662),O2662,0)+IF(ISNUMBER(P2662),P2662,0),2),"")</f>
        <v/>
      </c>
      <c r="S2662" s="9" t="str">
        <f aca="false">IF(R2662="","",ROUND(L2662-R2662,2))</f>
        <v/>
      </c>
      <c r="T2662" s="8" t="str">
        <f aca="false">IF(A2662="","",IF(S2662="","BYPASS",IF(ABS(S2662)&lt;=Summary!$B$2,"PASS","FAIL")))</f>
        <v/>
      </c>
      <c r="U2662" s="8" t="str">
        <f aca="false">IF(T2662="BYPASS",IF(NOT(ISNUMBER(Q2662)),"PreV_ETB missing","End_tr_balance missing"),IF(T2662="FAIL",IF(AND(ISNUMBER(K2662),ISNUMBER(L2662),ABS(L2662-(K2662-IF(ISNUMBER(N2662),N2662,0)-IF(ISNUMBER(O2662),O2662,0)+IF(ISNUMBER(P2662),P2662,0)))&lt;=Summary!$B$2),"Passes using beginning_balance - PreV_ETB differs from beginning_balance",IF(AND(ISNUMBER(O2662),O2662&lt;0,ABS(L2662-(Q2662-IF(ISNUMBER(N2662),N2662,0)+IF(ISNUMBER(P2662),P2662,0)))&lt;=Summary!$B$2),"Negative realized loss not applied - check sign",IF(R2662&lt;0,"Principal paid exceeds prior balance",IF(AND(L2662&gt;Q2662,NOT(ISNUMBER(P2662))),"Balance increased but no Deferred_interest reported",IF(L2662&gt;R2662,"Reported balance higher than expected (missing increase/OC build)","Reported balance lower than expected (missing decrease)"))))),""))</f>
        <v/>
      </c>
    </row>
    <row r="2663" customFormat="false" ht="15" hidden="false" customHeight="false" outlineLevel="0" collapsed="false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9"/>
      <c r="L2663" s="9"/>
      <c r="M2663" s="9"/>
      <c r="N2663" s="9"/>
      <c r="O2663" s="9"/>
      <c r="P2663" s="9"/>
      <c r="Q2663" s="9"/>
      <c r="R2663" s="9" t="str">
        <f aca="false">IF(AND(A2663&lt;&gt;"",ISNUMBER(Q2663),ISNUMBER(L2663)),ROUND(Q2663-IF(ISNUMBER(N2663),N2663,0)-IF(ISNUMBER(O2663),O2663,0)+IF(ISNUMBER(P2663),P2663,0),2),"")</f>
        <v/>
      </c>
      <c r="S2663" s="9" t="str">
        <f aca="false">IF(R2663="","",ROUND(L2663-R2663,2))</f>
        <v/>
      </c>
      <c r="T2663" s="8" t="str">
        <f aca="false">IF(A2663="","",IF(S2663="","BYPASS",IF(ABS(S2663)&lt;=Summary!$B$2,"PASS","FAIL")))</f>
        <v/>
      </c>
      <c r="U2663" s="8" t="str">
        <f aca="false">IF(T2663="BYPASS",IF(NOT(ISNUMBER(Q2663)),"PreV_ETB missing","End_tr_balance missing"),IF(T2663="FAIL",IF(AND(ISNUMBER(K2663),ISNUMBER(L2663),ABS(L2663-(K2663-IF(ISNUMBER(N2663),N2663,0)-IF(ISNUMBER(O2663),O2663,0)+IF(ISNUMBER(P2663),P2663,0)))&lt;=Summary!$B$2),"Passes using beginning_balance - PreV_ETB differs from beginning_balance",IF(AND(ISNUMBER(O2663),O2663&lt;0,ABS(L2663-(Q2663-IF(ISNUMBER(N2663),N2663,0)+IF(ISNUMBER(P2663),P2663,0)))&lt;=Summary!$B$2),"Negative realized loss not applied - check sign",IF(R2663&lt;0,"Principal paid exceeds prior balance",IF(AND(L2663&gt;Q2663,NOT(ISNUMBER(P2663))),"Balance increased but no Deferred_interest reported",IF(L2663&gt;R2663,"Reported balance higher than expected (missing increase/OC build)","Reported balance lower than expected (missing decrease)"))))),""))</f>
        <v/>
      </c>
    </row>
    <row r="2664" customFormat="false" ht="15" hidden="false" customHeight="false" outlineLevel="0" collapsed="false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9"/>
      <c r="L2664" s="9"/>
      <c r="M2664" s="9"/>
      <c r="N2664" s="9"/>
      <c r="O2664" s="9"/>
      <c r="P2664" s="9"/>
      <c r="Q2664" s="9"/>
      <c r="R2664" s="9" t="str">
        <f aca="false">IF(AND(A2664&lt;&gt;"",ISNUMBER(Q2664),ISNUMBER(L2664)),ROUND(Q2664-IF(ISNUMBER(N2664),N2664,0)-IF(ISNUMBER(O2664),O2664,0)+IF(ISNUMBER(P2664),P2664,0),2),"")</f>
        <v/>
      </c>
      <c r="S2664" s="9" t="str">
        <f aca="false">IF(R2664="","",ROUND(L2664-R2664,2))</f>
        <v/>
      </c>
      <c r="T2664" s="8" t="str">
        <f aca="false">IF(A2664="","",IF(S2664="","BYPASS",IF(ABS(S2664)&lt;=Summary!$B$2,"PASS","FAIL")))</f>
        <v/>
      </c>
      <c r="U2664" s="8" t="str">
        <f aca="false">IF(T2664="BYPASS",IF(NOT(ISNUMBER(Q2664)),"PreV_ETB missing","End_tr_balance missing"),IF(T2664="FAIL",IF(AND(ISNUMBER(K2664),ISNUMBER(L2664),ABS(L2664-(K2664-IF(ISNUMBER(N2664),N2664,0)-IF(ISNUMBER(O2664),O2664,0)+IF(ISNUMBER(P2664),P2664,0)))&lt;=Summary!$B$2),"Passes using beginning_balance - PreV_ETB differs from beginning_balance",IF(AND(ISNUMBER(O2664),O2664&lt;0,ABS(L2664-(Q2664-IF(ISNUMBER(N2664),N2664,0)+IF(ISNUMBER(P2664),P2664,0)))&lt;=Summary!$B$2),"Negative realized loss not applied - check sign",IF(R2664&lt;0,"Principal paid exceeds prior balance",IF(AND(L2664&gt;Q2664,NOT(ISNUMBER(P2664))),"Balance increased but no Deferred_interest reported",IF(L2664&gt;R2664,"Reported balance higher than expected (missing increase/OC build)","Reported balance lower than expected (missing decrease)"))))),""))</f>
        <v/>
      </c>
    </row>
    <row r="2665" customFormat="false" ht="15" hidden="false" customHeight="false" outlineLevel="0" collapsed="false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9"/>
      <c r="L2665" s="9"/>
      <c r="M2665" s="9"/>
      <c r="N2665" s="9"/>
      <c r="O2665" s="9"/>
      <c r="P2665" s="9"/>
      <c r="Q2665" s="9"/>
      <c r="R2665" s="9" t="str">
        <f aca="false">IF(AND(A2665&lt;&gt;"",ISNUMBER(Q2665),ISNUMBER(L2665)),ROUND(Q2665-IF(ISNUMBER(N2665),N2665,0)-IF(ISNUMBER(O2665),O2665,0)+IF(ISNUMBER(P2665),P2665,0),2),"")</f>
        <v/>
      </c>
      <c r="S2665" s="9" t="str">
        <f aca="false">IF(R2665="","",ROUND(L2665-R2665,2))</f>
        <v/>
      </c>
      <c r="T2665" s="8" t="str">
        <f aca="false">IF(A2665="","",IF(S2665="","BYPASS",IF(ABS(S2665)&lt;=Summary!$B$2,"PASS","FAIL")))</f>
        <v/>
      </c>
      <c r="U2665" s="8" t="str">
        <f aca="false">IF(T2665="BYPASS",IF(NOT(ISNUMBER(Q2665)),"PreV_ETB missing","End_tr_balance missing"),IF(T2665="FAIL",IF(AND(ISNUMBER(K2665),ISNUMBER(L2665),ABS(L2665-(K2665-IF(ISNUMBER(N2665),N2665,0)-IF(ISNUMBER(O2665),O2665,0)+IF(ISNUMBER(P2665),P2665,0)))&lt;=Summary!$B$2),"Passes using beginning_balance - PreV_ETB differs from beginning_balance",IF(AND(ISNUMBER(O2665),O2665&lt;0,ABS(L2665-(Q2665-IF(ISNUMBER(N2665),N2665,0)+IF(ISNUMBER(P2665),P2665,0)))&lt;=Summary!$B$2),"Negative realized loss not applied - check sign",IF(R2665&lt;0,"Principal paid exceeds prior balance",IF(AND(L2665&gt;Q2665,NOT(ISNUMBER(P2665))),"Balance increased but no Deferred_interest reported",IF(L2665&gt;R2665,"Reported balance higher than expected (missing increase/OC build)","Reported balance lower than expected (missing decrease)"))))),""))</f>
        <v/>
      </c>
    </row>
    <row r="2666" customFormat="false" ht="15" hidden="false" customHeight="false" outlineLevel="0" collapsed="false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9"/>
      <c r="L2666" s="9"/>
      <c r="M2666" s="9"/>
      <c r="N2666" s="9"/>
      <c r="O2666" s="9"/>
      <c r="P2666" s="9"/>
      <c r="Q2666" s="9"/>
      <c r="R2666" s="9" t="str">
        <f aca="false">IF(AND(A2666&lt;&gt;"",ISNUMBER(Q2666),ISNUMBER(L2666)),ROUND(Q2666-IF(ISNUMBER(N2666),N2666,0)-IF(ISNUMBER(O2666),O2666,0)+IF(ISNUMBER(P2666),P2666,0),2),"")</f>
        <v/>
      </c>
      <c r="S2666" s="9" t="str">
        <f aca="false">IF(R2666="","",ROUND(L2666-R2666,2))</f>
        <v/>
      </c>
      <c r="T2666" s="8" t="str">
        <f aca="false">IF(A2666="","",IF(S2666="","BYPASS",IF(ABS(S2666)&lt;=Summary!$B$2,"PASS","FAIL")))</f>
        <v/>
      </c>
      <c r="U2666" s="8" t="str">
        <f aca="false">IF(T2666="BYPASS",IF(NOT(ISNUMBER(Q2666)),"PreV_ETB missing","End_tr_balance missing"),IF(T2666="FAIL",IF(AND(ISNUMBER(K2666),ISNUMBER(L2666),ABS(L2666-(K2666-IF(ISNUMBER(N2666),N2666,0)-IF(ISNUMBER(O2666),O2666,0)+IF(ISNUMBER(P2666),P2666,0)))&lt;=Summary!$B$2),"Passes using beginning_balance - PreV_ETB differs from beginning_balance",IF(AND(ISNUMBER(O2666),O2666&lt;0,ABS(L2666-(Q2666-IF(ISNUMBER(N2666),N2666,0)+IF(ISNUMBER(P2666),P2666,0)))&lt;=Summary!$B$2),"Negative realized loss not applied - check sign",IF(R2666&lt;0,"Principal paid exceeds prior balance",IF(AND(L2666&gt;Q2666,NOT(ISNUMBER(P2666))),"Balance increased but no Deferred_interest reported",IF(L2666&gt;R2666,"Reported balance higher than expected (missing increase/OC build)","Reported balance lower than expected (missing decrease)"))))),""))</f>
        <v/>
      </c>
    </row>
    <row r="2667" customFormat="false" ht="15" hidden="false" customHeight="false" outlineLevel="0" collapsed="false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9"/>
      <c r="L2667" s="9"/>
      <c r="M2667" s="9"/>
      <c r="N2667" s="9"/>
      <c r="O2667" s="9"/>
      <c r="P2667" s="9"/>
      <c r="Q2667" s="9"/>
      <c r="R2667" s="9" t="str">
        <f aca="false">IF(AND(A2667&lt;&gt;"",ISNUMBER(Q2667),ISNUMBER(L2667)),ROUND(Q2667-IF(ISNUMBER(N2667),N2667,0)-IF(ISNUMBER(O2667),O2667,0)+IF(ISNUMBER(P2667),P2667,0),2),"")</f>
        <v/>
      </c>
      <c r="S2667" s="9" t="str">
        <f aca="false">IF(R2667="","",ROUND(L2667-R2667,2))</f>
        <v/>
      </c>
      <c r="T2667" s="8" t="str">
        <f aca="false">IF(A2667="","",IF(S2667="","BYPASS",IF(ABS(S2667)&lt;=Summary!$B$2,"PASS","FAIL")))</f>
        <v/>
      </c>
      <c r="U2667" s="8" t="str">
        <f aca="false">IF(T2667="BYPASS",IF(NOT(ISNUMBER(Q2667)),"PreV_ETB missing","End_tr_balance missing"),IF(T2667="FAIL",IF(AND(ISNUMBER(K2667),ISNUMBER(L2667),ABS(L2667-(K2667-IF(ISNUMBER(N2667),N2667,0)-IF(ISNUMBER(O2667),O2667,0)+IF(ISNUMBER(P2667),P2667,0)))&lt;=Summary!$B$2),"Passes using beginning_balance - PreV_ETB differs from beginning_balance",IF(AND(ISNUMBER(O2667),O2667&lt;0,ABS(L2667-(Q2667-IF(ISNUMBER(N2667),N2667,0)+IF(ISNUMBER(P2667),P2667,0)))&lt;=Summary!$B$2),"Negative realized loss not applied - check sign",IF(R2667&lt;0,"Principal paid exceeds prior balance",IF(AND(L2667&gt;Q2667,NOT(ISNUMBER(P2667))),"Balance increased but no Deferred_interest reported",IF(L2667&gt;R2667,"Reported balance higher than expected (missing increase/OC build)","Reported balance lower than expected (missing decrease)"))))),""))</f>
        <v/>
      </c>
    </row>
    <row r="2668" customFormat="false" ht="15" hidden="false" customHeight="false" outlineLevel="0" collapsed="false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9"/>
      <c r="L2668" s="9"/>
      <c r="M2668" s="9"/>
      <c r="N2668" s="9"/>
      <c r="O2668" s="9"/>
      <c r="P2668" s="9"/>
      <c r="Q2668" s="9"/>
      <c r="R2668" s="9" t="str">
        <f aca="false">IF(AND(A2668&lt;&gt;"",ISNUMBER(Q2668),ISNUMBER(L2668)),ROUND(Q2668-IF(ISNUMBER(N2668),N2668,0)-IF(ISNUMBER(O2668),O2668,0)+IF(ISNUMBER(P2668),P2668,0),2),"")</f>
        <v/>
      </c>
      <c r="S2668" s="9" t="str">
        <f aca="false">IF(R2668="","",ROUND(L2668-R2668,2))</f>
        <v/>
      </c>
      <c r="T2668" s="8" t="str">
        <f aca="false">IF(A2668="","",IF(S2668="","BYPASS",IF(ABS(S2668)&lt;=Summary!$B$2,"PASS","FAIL")))</f>
        <v/>
      </c>
      <c r="U2668" s="8" t="str">
        <f aca="false">IF(T2668="BYPASS",IF(NOT(ISNUMBER(Q2668)),"PreV_ETB missing","End_tr_balance missing"),IF(T2668="FAIL",IF(AND(ISNUMBER(K2668),ISNUMBER(L2668),ABS(L2668-(K2668-IF(ISNUMBER(N2668),N2668,0)-IF(ISNUMBER(O2668),O2668,0)+IF(ISNUMBER(P2668),P2668,0)))&lt;=Summary!$B$2),"Passes using beginning_balance - PreV_ETB differs from beginning_balance",IF(AND(ISNUMBER(O2668),O2668&lt;0,ABS(L2668-(Q2668-IF(ISNUMBER(N2668),N2668,0)+IF(ISNUMBER(P2668),P2668,0)))&lt;=Summary!$B$2),"Negative realized loss not applied - check sign",IF(R2668&lt;0,"Principal paid exceeds prior balance",IF(AND(L2668&gt;Q2668,NOT(ISNUMBER(P2668))),"Balance increased but no Deferred_interest reported",IF(L2668&gt;R2668,"Reported balance higher than expected (missing increase/OC build)","Reported balance lower than expected (missing decrease)"))))),""))</f>
        <v/>
      </c>
    </row>
    <row r="2669" customFormat="false" ht="15" hidden="false" customHeight="false" outlineLevel="0" collapsed="false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9"/>
      <c r="L2669" s="9"/>
      <c r="M2669" s="9"/>
      <c r="N2669" s="9"/>
      <c r="O2669" s="9"/>
      <c r="P2669" s="9"/>
      <c r="Q2669" s="9"/>
      <c r="R2669" s="9" t="str">
        <f aca="false">IF(AND(A2669&lt;&gt;"",ISNUMBER(Q2669),ISNUMBER(L2669)),ROUND(Q2669-IF(ISNUMBER(N2669),N2669,0)-IF(ISNUMBER(O2669),O2669,0)+IF(ISNUMBER(P2669),P2669,0),2),"")</f>
        <v/>
      </c>
      <c r="S2669" s="9" t="str">
        <f aca="false">IF(R2669="","",ROUND(L2669-R2669,2))</f>
        <v/>
      </c>
      <c r="T2669" s="8" t="str">
        <f aca="false">IF(A2669="","",IF(S2669="","BYPASS",IF(ABS(S2669)&lt;=Summary!$B$2,"PASS","FAIL")))</f>
        <v/>
      </c>
      <c r="U2669" s="8" t="str">
        <f aca="false">IF(T2669="BYPASS",IF(NOT(ISNUMBER(Q2669)),"PreV_ETB missing","End_tr_balance missing"),IF(T2669="FAIL",IF(AND(ISNUMBER(K2669),ISNUMBER(L2669),ABS(L2669-(K2669-IF(ISNUMBER(N2669),N2669,0)-IF(ISNUMBER(O2669),O2669,0)+IF(ISNUMBER(P2669),P2669,0)))&lt;=Summary!$B$2),"Passes using beginning_balance - PreV_ETB differs from beginning_balance",IF(AND(ISNUMBER(O2669),O2669&lt;0,ABS(L2669-(Q2669-IF(ISNUMBER(N2669),N2669,0)+IF(ISNUMBER(P2669),P2669,0)))&lt;=Summary!$B$2),"Negative realized loss not applied - check sign",IF(R2669&lt;0,"Principal paid exceeds prior balance",IF(AND(L2669&gt;Q2669,NOT(ISNUMBER(P2669))),"Balance increased but no Deferred_interest reported",IF(L2669&gt;R2669,"Reported balance higher than expected (missing increase/OC build)","Reported balance lower than expected (missing decrease)"))))),""))</f>
        <v/>
      </c>
    </row>
    <row r="2670" customFormat="false" ht="15" hidden="false" customHeight="false" outlineLevel="0" collapsed="false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9"/>
      <c r="L2670" s="9"/>
      <c r="M2670" s="9"/>
      <c r="N2670" s="9"/>
      <c r="O2670" s="9"/>
      <c r="P2670" s="9"/>
      <c r="Q2670" s="9"/>
      <c r="R2670" s="9" t="str">
        <f aca="false">IF(AND(A2670&lt;&gt;"",ISNUMBER(Q2670),ISNUMBER(L2670)),ROUND(Q2670-IF(ISNUMBER(N2670),N2670,0)-IF(ISNUMBER(O2670),O2670,0)+IF(ISNUMBER(P2670),P2670,0),2),"")</f>
        <v/>
      </c>
      <c r="S2670" s="9" t="str">
        <f aca="false">IF(R2670="","",ROUND(L2670-R2670,2))</f>
        <v/>
      </c>
      <c r="T2670" s="8" t="str">
        <f aca="false">IF(A2670="","",IF(S2670="","BYPASS",IF(ABS(S2670)&lt;=Summary!$B$2,"PASS","FAIL")))</f>
        <v/>
      </c>
      <c r="U2670" s="8" t="str">
        <f aca="false">IF(T2670="BYPASS",IF(NOT(ISNUMBER(Q2670)),"PreV_ETB missing","End_tr_balance missing"),IF(T2670="FAIL",IF(AND(ISNUMBER(K2670),ISNUMBER(L2670),ABS(L2670-(K2670-IF(ISNUMBER(N2670),N2670,0)-IF(ISNUMBER(O2670),O2670,0)+IF(ISNUMBER(P2670),P2670,0)))&lt;=Summary!$B$2),"Passes using beginning_balance - PreV_ETB differs from beginning_balance",IF(AND(ISNUMBER(O2670),O2670&lt;0,ABS(L2670-(Q2670-IF(ISNUMBER(N2670),N2670,0)+IF(ISNUMBER(P2670),P2670,0)))&lt;=Summary!$B$2),"Negative realized loss not applied - check sign",IF(R2670&lt;0,"Principal paid exceeds prior balance",IF(AND(L2670&gt;Q2670,NOT(ISNUMBER(P2670))),"Balance increased but no Deferred_interest reported",IF(L2670&gt;R2670,"Reported balance higher than expected (missing increase/OC build)","Reported balance lower than expected (missing decrease)"))))),""))</f>
        <v/>
      </c>
    </row>
    <row r="2671" customFormat="false" ht="15" hidden="false" customHeight="false" outlineLevel="0" collapsed="false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9"/>
      <c r="L2671" s="9"/>
      <c r="M2671" s="9"/>
      <c r="N2671" s="9"/>
      <c r="O2671" s="9"/>
      <c r="P2671" s="9"/>
      <c r="Q2671" s="9"/>
      <c r="R2671" s="9" t="str">
        <f aca="false">IF(AND(A2671&lt;&gt;"",ISNUMBER(Q2671),ISNUMBER(L2671)),ROUND(Q2671-IF(ISNUMBER(N2671),N2671,0)-IF(ISNUMBER(O2671),O2671,0)+IF(ISNUMBER(P2671),P2671,0),2),"")</f>
        <v/>
      </c>
      <c r="S2671" s="9" t="str">
        <f aca="false">IF(R2671="","",ROUND(L2671-R2671,2))</f>
        <v/>
      </c>
      <c r="T2671" s="8" t="str">
        <f aca="false">IF(A2671="","",IF(S2671="","BYPASS",IF(ABS(S2671)&lt;=Summary!$B$2,"PASS","FAIL")))</f>
        <v/>
      </c>
      <c r="U2671" s="8" t="str">
        <f aca="false">IF(T2671="BYPASS",IF(NOT(ISNUMBER(Q2671)),"PreV_ETB missing","End_tr_balance missing"),IF(T2671="FAIL",IF(AND(ISNUMBER(K2671),ISNUMBER(L2671),ABS(L2671-(K2671-IF(ISNUMBER(N2671),N2671,0)-IF(ISNUMBER(O2671),O2671,0)+IF(ISNUMBER(P2671),P2671,0)))&lt;=Summary!$B$2),"Passes using beginning_balance - PreV_ETB differs from beginning_balance",IF(AND(ISNUMBER(O2671),O2671&lt;0,ABS(L2671-(Q2671-IF(ISNUMBER(N2671),N2671,0)+IF(ISNUMBER(P2671),P2671,0)))&lt;=Summary!$B$2),"Negative realized loss not applied - check sign",IF(R2671&lt;0,"Principal paid exceeds prior balance",IF(AND(L2671&gt;Q2671,NOT(ISNUMBER(P2671))),"Balance increased but no Deferred_interest reported",IF(L2671&gt;R2671,"Reported balance higher than expected (missing increase/OC build)","Reported balance lower than expected (missing decrease)"))))),""))</f>
        <v/>
      </c>
    </row>
    <row r="2672" customFormat="false" ht="15" hidden="false" customHeight="false" outlineLevel="0" collapsed="false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9"/>
      <c r="L2672" s="9"/>
      <c r="M2672" s="9"/>
      <c r="N2672" s="9"/>
      <c r="O2672" s="9"/>
      <c r="P2672" s="9"/>
      <c r="Q2672" s="9"/>
      <c r="R2672" s="9" t="str">
        <f aca="false">IF(AND(A2672&lt;&gt;"",ISNUMBER(Q2672),ISNUMBER(L2672)),ROUND(Q2672-IF(ISNUMBER(N2672),N2672,0)-IF(ISNUMBER(O2672),O2672,0)+IF(ISNUMBER(P2672),P2672,0),2),"")</f>
        <v/>
      </c>
      <c r="S2672" s="9" t="str">
        <f aca="false">IF(R2672="","",ROUND(L2672-R2672,2))</f>
        <v/>
      </c>
      <c r="T2672" s="8" t="str">
        <f aca="false">IF(A2672="","",IF(S2672="","BYPASS",IF(ABS(S2672)&lt;=Summary!$B$2,"PASS","FAIL")))</f>
        <v/>
      </c>
      <c r="U2672" s="8" t="str">
        <f aca="false">IF(T2672="BYPASS",IF(NOT(ISNUMBER(Q2672)),"PreV_ETB missing","End_tr_balance missing"),IF(T2672="FAIL",IF(AND(ISNUMBER(K2672),ISNUMBER(L2672),ABS(L2672-(K2672-IF(ISNUMBER(N2672),N2672,0)-IF(ISNUMBER(O2672),O2672,0)+IF(ISNUMBER(P2672),P2672,0)))&lt;=Summary!$B$2),"Passes using beginning_balance - PreV_ETB differs from beginning_balance",IF(AND(ISNUMBER(O2672),O2672&lt;0,ABS(L2672-(Q2672-IF(ISNUMBER(N2672),N2672,0)+IF(ISNUMBER(P2672),P2672,0)))&lt;=Summary!$B$2),"Negative realized loss not applied - check sign",IF(R2672&lt;0,"Principal paid exceeds prior balance",IF(AND(L2672&gt;Q2672,NOT(ISNUMBER(P2672))),"Balance increased but no Deferred_interest reported",IF(L2672&gt;R2672,"Reported balance higher than expected (missing increase/OC build)","Reported balance lower than expected (missing decrease)"))))),""))</f>
        <v/>
      </c>
    </row>
    <row r="2673" customFormat="false" ht="15" hidden="false" customHeight="false" outlineLevel="0" collapsed="false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9"/>
      <c r="L2673" s="9"/>
      <c r="M2673" s="9"/>
      <c r="N2673" s="9"/>
      <c r="O2673" s="9"/>
      <c r="P2673" s="9"/>
      <c r="Q2673" s="9"/>
      <c r="R2673" s="9" t="str">
        <f aca="false">IF(AND(A2673&lt;&gt;"",ISNUMBER(Q2673),ISNUMBER(L2673)),ROUND(Q2673-IF(ISNUMBER(N2673),N2673,0)-IF(ISNUMBER(O2673),O2673,0)+IF(ISNUMBER(P2673),P2673,0),2),"")</f>
        <v/>
      </c>
      <c r="S2673" s="9" t="str">
        <f aca="false">IF(R2673="","",ROUND(L2673-R2673,2))</f>
        <v/>
      </c>
      <c r="T2673" s="8" t="str">
        <f aca="false">IF(A2673="","",IF(S2673="","BYPASS",IF(ABS(S2673)&lt;=Summary!$B$2,"PASS","FAIL")))</f>
        <v/>
      </c>
      <c r="U2673" s="8" t="str">
        <f aca="false">IF(T2673="BYPASS",IF(NOT(ISNUMBER(Q2673)),"PreV_ETB missing","End_tr_balance missing"),IF(T2673="FAIL",IF(AND(ISNUMBER(K2673),ISNUMBER(L2673),ABS(L2673-(K2673-IF(ISNUMBER(N2673),N2673,0)-IF(ISNUMBER(O2673),O2673,0)+IF(ISNUMBER(P2673),P2673,0)))&lt;=Summary!$B$2),"Passes using beginning_balance - PreV_ETB differs from beginning_balance",IF(AND(ISNUMBER(O2673),O2673&lt;0,ABS(L2673-(Q2673-IF(ISNUMBER(N2673),N2673,0)+IF(ISNUMBER(P2673),P2673,0)))&lt;=Summary!$B$2),"Negative realized loss not applied - check sign",IF(R2673&lt;0,"Principal paid exceeds prior balance",IF(AND(L2673&gt;Q2673,NOT(ISNUMBER(P2673))),"Balance increased but no Deferred_interest reported",IF(L2673&gt;R2673,"Reported balance higher than expected (missing increase/OC build)","Reported balance lower than expected (missing decrease)"))))),""))</f>
        <v/>
      </c>
    </row>
    <row r="2674" customFormat="false" ht="15" hidden="false" customHeight="false" outlineLevel="0" collapsed="false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9"/>
      <c r="L2674" s="9"/>
      <c r="M2674" s="9"/>
      <c r="N2674" s="9"/>
      <c r="O2674" s="9"/>
      <c r="P2674" s="9"/>
      <c r="Q2674" s="9"/>
      <c r="R2674" s="9" t="str">
        <f aca="false">IF(AND(A2674&lt;&gt;"",ISNUMBER(Q2674),ISNUMBER(L2674)),ROUND(Q2674-IF(ISNUMBER(N2674),N2674,0)-IF(ISNUMBER(O2674),O2674,0)+IF(ISNUMBER(P2674),P2674,0),2),"")</f>
        <v/>
      </c>
      <c r="S2674" s="9" t="str">
        <f aca="false">IF(R2674="","",ROUND(L2674-R2674,2))</f>
        <v/>
      </c>
      <c r="T2674" s="8" t="str">
        <f aca="false">IF(A2674="","",IF(S2674="","BYPASS",IF(ABS(S2674)&lt;=Summary!$B$2,"PASS","FAIL")))</f>
        <v/>
      </c>
      <c r="U2674" s="8" t="str">
        <f aca="false">IF(T2674="BYPASS",IF(NOT(ISNUMBER(Q2674)),"PreV_ETB missing","End_tr_balance missing"),IF(T2674="FAIL",IF(AND(ISNUMBER(K2674),ISNUMBER(L2674),ABS(L2674-(K2674-IF(ISNUMBER(N2674),N2674,0)-IF(ISNUMBER(O2674),O2674,0)+IF(ISNUMBER(P2674),P2674,0)))&lt;=Summary!$B$2),"Passes using beginning_balance - PreV_ETB differs from beginning_balance",IF(AND(ISNUMBER(O2674),O2674&lt;0,ABS(L2674-(Q2674-IF(ISNUMBER(N2674),N2674,0)+IF(ISNUMBER(P2674),P2674,0)))&lt;=Summary!$B$2),"Negative realized loss not applied - check sign",IF(R2674&lt;0,"Principal paid exceeds prior balance",IF(AND(L2674&gt;Q2674,NOT(ISNUMBER(P2674))),"Balance increased but no Deferred_interest reported",IF(L2674&gt;R2674,"Reported balance higher than expected (missing increase/OC build)","Reported balance lower than expected (missing decrease)"))))),""))</f>
        <v/>
      </c>
    </row>
    <row r="2675" customFormat="false" ht="15" hidden="false" customHeight="false" outlineLevel="0" collapsed="false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9"/>
      <c r="L2675" s="9"/>
      <c r="M2675" s="9"/>
      <c r="N2675" s="9"/>
      <c r="O2675" s="9"/>
      <c r="P2675" s="9"/>
      <c r="Q2675" s="9"/>
      <c r="R2675" s="9" t="str">
        <f aca="false">IF(AND(A2675&lt;&gt;"",ISNUMBER(Q2675),ISNUMBER(L2675)),ROUND(Q2675-IF(ISNUMBER(N2675),N2675,0)-IF(ISNUMBER(O2675),O2675,0)+IF(ISNUMBER(P2675),P2675,0),2),"")</f>
        <v/>
      </c>
      <c r="S2675" s="9" t="str">
        <f aca="false">IF(R2675="","",ROUND(L2675-R2675,2))</f>
        <v/>
      </c>
      <c r="T2675" s="8" t="str">
        <f aca="false">IF(A2675="","",IF(S2675="","BYPASS",IF(ABS(S2675)&lt;=Summary!$B$2,"PASS","FAIL")))</f>
        <v/>
      </c>
      <c r="U2675" s="8" t="str">
        <f aca="false">IF(T2675="BYPASS",IF(NOT(ISNUMBER(Q2675)),"PreV_ETB missing","End_tr_balance missing"),IF(T2675="FAIL",IF(AND(ISNUMBER(K2675),ISNUMBER(L2675),ABS(L2675-(K2675-IF(ISNUMBER(N2675),N2675,0)-IF(ISNUMBER(O2675),O2675,0)+IF(ISNUMBER(P2675),P2675,0)))&lt;=Summary!$B$2),"Passes using beginning_balance - PreV_ETB differs from beginning_balance",IF(AND(ISNUMBER(O2675),O2675&lt;0,ABS(L2675-(Q2675-IF(ISNUMBER(N2675),N2675,0)+IF(ISNUMBER(P2675),P2675,0)))&lt;=Summary!$B$2),"Negative realized loss not applied - check sign",IF(R2675&lt;0,"Principal paid exceeds prior balance",IF(AND(L2675&gt;Q2675,NOT(ISNUMBER(P2675))),"Balance increased but no Deferred_interest reported",IF(L2675&gt;R2675,"Reported balance higher than expected (missing increase/OC build)","Reported balance lower than expected (missing decrease)"))))),""))</f>
        <v/>
      </c>
    </row>
    <row r="2676" customFormat="false" ht="15" hidden="false" customHeight="false" outlineLevel="0" collapsed="false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9"/>
      <c r="L2676" s="9"/>
      <c r="M2676" s="9"/>
      <c r="N2676" s="9"/>
      <c r="O2676" s="9"/>
      <c r="P2676" s="9"/>
      <c r="Q2676" s="9"/>
      <c r="R2676" s="9" t="str">
        <f aca="false">IF(AND(A2676&lt;&gt;"",ISNUMBER(Q2676),ISNUMBER(L2676)),ROUND(Q2676-IF(ISNUMBER(N2676),N2676,0)-IF(ISNUMBER(O2676),O2676,0)+IF(ISNUMBER(P2676),P2676,0),2),"")</f>
        <v/>
      </c>
      <c r="S2676" s="9" t="str">
        <f aca="false">IF(R2676="","",ROUND(L2676-R2676,2))</f>
        <v/>
      </c>
      <c r="T2676" s="8" t="str">
        <f aca="false">IF(A2676="","",IF(S2676="","BYPASS",IF(ABS(S2676)&lt;=Summary!$B$2,"PASS","FAIL")))</f>
        <v/>
      </c>
      <c r="U2676" s="8" t="str">
        <f aca="false">IF(T2676="BYPASS",IF(NOT(ISNUMBER(Q2676)),"PreV_ETB missing","End_tr_balance missing"),IF(T2676="FAIL",IF(AND(ISNUMBER(K2676),ISNUMBER(L2676),ABS(L2676-(K2676-IF(ISNUMBER(N2676),N2676,0)-IF(ISNUMBER(O2676),O2676,0)+IF(ISNUMBER(P2676),P2676,0)))&lt;=Summary!$B$2),"Passes using beginning_balance - PreV_ETB differs from beginning_balance",IF(AND(ISNUMBER(O2676),O2676&lt;0,ABS(L2676-(Q2676-IF(ISNUMBER(N2676),N2676,0)+IF(ISNUMBER(P2676),P2676,0)))&lt;=Summary!$B$2),"Negative realized loss not applied - check sign",IF(R2676&lt;0,"Principal paid exceeds prior balance",IF(AND(L2676&gt;Q2676,NOT(ISNUMBER(P2676))),"Balance increased but no Deferred_interest reported",IF(L2676&gt;R2676,"Reported balance higher than expected (missing increase/OC build)","Reported balance lower than expected (missing decrease)"))))),""))</f>
        <v/>
      </c>
    </row>
    <row r="2677" customFormat="false" ht="15" hidden="false" customHeight="false" outlineLevel="0" collapsed="false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9"/>
      <c r="L2677" s="9"/>
      <c r="M2677" s="9"/>
      <c r="N2677" s="9"/>
      <c r="O2677" s="9"/>
      <c r="P2677" s="9"/>
      <c r="Q2677" s="9"/>
      <c r="R2677" s="9" t="str">
        <f aca="false">IF(AND(A2677&lt;&gt;"",ISNUMBER(Q2677),ISNUMBER(L2677)),ROUND(Q2677-IF(ISNUMBER(N2677),N2677,0)-IF(ISNUMBER(O2677),O2677,0)+IF(ISNUMBER(P2677),P2677,0),2),"")</f>
        <v/>
      </c>
      <c r="S2677" s="9" t="str">
        <f aca="false">IF(R2677="","",ROUND(L2677-R2677,2))</f>
        <v/>
      </c>
      <c r="T2677" s="8" t="str">
        <f aca="false">IF(A2677="","",IF(S2677="","BYPASS",IF(ABS(S2677)&lt;=Summary!$B$2,"PASS","FAIL")))</f>
        <v/>
      </c>
      <c r="U2677" s="8" t="str">
        <f aca="false">IF(T2677="BYPASS",IF(NOT(ISNUMBER(Q2677)),"PreV_ETB missing","End_tr_balance missing"),IF(T2677="FAIL",IF(AND(ISNUMBER(K2677),ISNUMBER(L2677),ABS(L2677-(K2677-IF(ISNUMBER(N2677),N2677,0)-IF(ISNUMBER(O2677),O2677,0)+IF(ISNUMBER(P2677),P2677,0)))&lt;=Summary!$B$2),"Passes using beginning_balance - PreV_ETB differs from beginning_balance",IF(AND(ISNUMBER(O2677),O2677&lt;0,ABS(L2677-(Q2677-IF(ISNUMBER(N2677),N2677,0)+IF(ISNUMBER(P2677),P2677,0)))&lt;=Summary!$B$2),"Negative realized loss not applied - check sign",IF(R2677&lt;0,"Principal paid exceeds prior balance",IF(AND(L2677&gt;Q2677,NOT(ISNUMBER(P2677))),"Balance increased but no Deferred_interest reported",IF(L2677&gt;R2677,"Reported balance higher than expected (missing increase/OC build)","Reported balance lower than expected (missing decrease)"))))),""))</f>
        <v/>
      </c>
    </row>
    <row r="2678" customFormat="false" ht="15" hidden="false" customHeight="false" outlineLevel="0" collapsed="false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9"/>
      <c r="L2678" s="9"/>
      <c r="M2678" s="9"/>
      <c r="N2678" s="9"/>
      <c r="O2678" s="9"/>
      <c r="P2678" s="9"/>
      <c r="Q2678" s="9"/>
      <c r="R2678" s="9" t="str">
        <f aca="false">IF(AND(A2678&lt;&gt;"",ISNUMBER(Q2678),ISNUMBER(L2678)),ROUND(Q2678-IF(ISNUMBER(N2678),N2678,0)-IF(ISNUMBER(O2678),O2678,0)+IF(ISNUMBER(P2678),P2678,0),2),"")</f>
        <v/>
      </c>
      <c r="S2678" s="9" t="str">
        <f aca="false">IF(R2678="","",ROUND(L2678-R2678,2))</f>
        <v/>
      </c>
      <c r="T2678" s="8" t="str">
        <f aca="false">IF(A2678="","",IF(S2678="","BYPASS",IF(ABS(S2678)&lt;=Summary!$B$2,"PASS","FAIL")))</f>
        <v/>
      </c>
      <c r="U2678" s="8" t="str">
        <f aca="false">IF(T2678="BYPASS",IF(NOT(ISNUMBER(Q2678)),"PreV_ETB missing","End_tr_balance missing"),IF(T2678="FAIL",IF(AND(ISNUMBER(K2678),ISNUMBER(L2678),ABS(L2678-(K2678-IF(ISNUMBER(N2678),N2678,0)-IF(ISNUMBER(O2678),O2678,0)+IF(ISNUMBER(P2678),P2678,0)))&lt;=Summary!$B$2),"Passes using beginning_balance - PreV_ETB differs from beginning_balance",IF(AND(ISNUMBER(O2678),O2678&lt;0,ABS(L2678-(Q2678-IF(ISNUMBER(N2678),N2678,0)+IF(ISNUMBER(P2678),P2678,0)))&lt;=Summary!$B$2),"Negative realized loss not applied - check sign",IF(R2678&lt;0,"Principal paid exceeds prior balance",IF(AND(L2678&gt;Q2678,NOT(ISNUMBER(P2678))),"Balance increased but no Deferred_interest reported",IF(L2678&gt;R2678,"Reported balance higher than expected (missing increase/OC build)","Reported balance lower than expected (missing decrease)"))))),""))</f>
        <v/>
      </c>
    </row>
    <row r="2679" customFormat="false" ht="15" hidden="false" customHeight="false" outlineLevel="0" collapsed="false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9"/>
      <c r="L2679" s="9"/>
      <c r="M2679" s="9"/>
      <c r="N2679" s="9"/>
      <c r="O2679" s="9"/>
      <c r="P2679" s="9"/>
      <c r="Q2679" s="9"/>
      <c r="R2679" s="9" t="str">
        <f aca="false">IF(AND(A2679&lt;&gt;"",ISNUMBER(Q2679),ISNUMBER(L2679)),ROUND(Q2679-IF(ISNUMBER(N2679),N2679,0)-IF(ISNUMBER(O2679),O2679,0)+IF(ISNUMBER(P2679),P2679,0),2),"")</f>
        <v/>
      </c>
      <c r="S2679" s="9" t="str">
        <f aca="false">IF(R2679="","",ROUND(L2679-R2679,2))</f>
        <v/>
      </c>
      <c r="T2679" s="8" t="str">
        <f aca="false">IF(A2679="","",IF(S2679="","BYPASS",IF(ABS(S2679)&lt;=Summary!$B$2,"PASS","FAIL")))</f>
        <v/>
      </c>
      <c r="U2679" s="8" t="str">
        <f aca="false">IF(T2679="BYPASS",IF(NOT(ISNUMBER(Q2679)),"PreV_ETB missing","End_tr_balance missing"),IF(T2679="FAIL",IF(AND(ISNUMBER(K2679),ISNUMBER(L2679),ABS(L2679-(K2679-IF(ISNUMBER(N2679),N2679,0)-IF(ISNUMBER(O2679),O2679,0)+IF(ISNUMBER(P2679),P2679,0)))&lt;=Summary!$B$2),"Passes using beginning_balance - PreV_ETB differs from beginning_balance",IF(AND(ISNUMBER(O2679),O2679&lt;0,ABS(L2679-(Q2679-IF(ISNUMBER(N2679),N2679,0)+IF(ISNUMBER(P2679),P2679,0)))&lt;=Summary!$B$2),"Negative realized loss not applied - check sign",IF(R2679&lt;0,"Principal paid exceeds prior balance",IF(AND(L2679&gt;Q2679,NOT(ISNUMBER(P2679))),"Balance increased but no Deferred_interest reported",IF(L2679&gt;R2679,"Reported balance higher than expected (missing increase/OC build)","Reported balance lower than expected (missing decrease)"))))),""))</f>
        <v/>
      </c>
    </row>
    <row r="2680" customFormat="false" ht="15" hidden="false" customHeight="false" outlineLevel="0" collapsed="false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9"/>
      <c r="L2680" s="9"/>
      <c r="M2680" s="9"/>
      <c r="N2680" s="9"/>
      <c r="O2680" s="9"/>
      <c r="P2680" s="9"/>
      <c r="Q2680" s="9"/>
      <c r="R2680" s="9" t="str">
        <f aca="false">IF(AND(A2680&lt;&gt;"",ISNUMBER(Q2680),ISNUMBER(L2680)),ROUND(Q2680-IF(ISNUMBER(N2680),N2680,0)-IF(ISNUMBER(O2680),O2680,0)+IF(ISNUMBER(P2680),P2680,0),2),"")</f>
        <v/>
      </c>
      <c r="S2680" s="9" t="str">
        <f aca="false">IF(R2680="","",ROUND(L2680-R2680,2))</f>
        <v/>
      </c>
      <c r="T2680" s="8" t="str">
        <f aca="false">IF(A2680="","",IF(S2680="","BYPASS",IF(ABS(S2680)&lt;=Summary!$B$2,"PASS","FAIL")))</f>
        <v/>
      </c>
      <c r="U2680" s="8" t="str">
        <f aca="false">IF(T2680="BYPASS",IF(NOT(ISNUMBER(Q2680)),"PreV_ETB missing","End_tr_balance missing"),IF(T2680="FAIL",IF(AND(ISNUMBER(K2680),ISNUMBER(L2680),ABS(L2680-(K2680-IF(ISNUMBER(N2680),N2680,0)-IF(ISNUMBER(O2680),O2680,0)+IF(ISNUMBER(P2680),P2680,0)))&lt;=Summary!$B$2),"Passes using beginning_balance - PreV_ETB differs from beginning_balance",IF(AND(ISNUMBER(O2680),O2680&lt;0,ABS(L2680-(Q2680-IF(ISNUMBER(N2680),N2680,0)+IF(ISNUMBER(P2680),P2680,0)))&lt;=Summary!$B$2),"Negative realized loss not applied - check sign",IF(R2680&lt;0,"Principal paid exceeds prior balance",IF(AND(L2680&gt;Q2680,NOT(ISNUMBER(P2680))),"Balance increased but no Deferred_interest reported",IF(L2680&gt;R2680,"Reported balance higher than expected (missing increase/OC build)","Reported balance lower than expected (missing decrease)"))))),""))</f>
        <v/>
      </c>
    </row>
    <row r="2681" customFormat="false" ht="15" hidden="false" customHeight="false" outlineLevel="0" collapsed="false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9"/>
      <c r="L2681" s="9"/>
      <c r="M2681" s="9"/>
      <c r="N2681" s="9"/>
      <c r="O2681" s="9"/>
      <c r="P2681" s="9"/>
      <c r="Q2681" s="9"/>
      <c r="R2681" s="9" t="str">
        <f aca="false">IF(AND(A2681&lt;&gt;"",ISNUMBER(Q2681),ISNUMBER(L2681)),ROUND(Q2681-IF(ISNUMBER(N2681),N2681,0)-IF(ISNUMBER(O2681),O2681,0)+IF(ISNUMBER(P2681),P2681,0),2),"")</f>
        <v/>
      </c>
      <c r="S2681" s="9" t="str">
        <f aca="false">IF(R2681="","",ROUND(L2681-R2681,2))</f>
        <v/>
      </c>
      <c r="T2681" s="8" t="str">
        <f aca="false">IF(A2681="","",IF(S2681="","BYPASS",IF(ABS(S2681)&lt;=Summary!$B$2,"PASS","FAIL")))</f>
        <v/>
      </c>
      <c r="U2681" s="8" t="str">
        <f aca="false">IF(T2681="BYPASS",IF(NOT(ISNUMBER(Q2681)),"PreV_ETB missing","End_tr_balance missing"),IF(T2681="FAIL",IF(AND(ISNUMBER(K2681),ISNUMBER(L2681),ABS(L2681-(K2681-IF(ISNUMBER(N2681),N2681,0)-IF(ISNUMBER(O2681),O2681,0)+IF(ISNUMBER(P2681),P2681,0)))&lt;=Summary!$B$2),"Passes using beginning_balance - PreV_ETB differs from beginning_balance",IF(AND(ISNUMBER(O2681),O2681&lt;0,ABS(L2681-(Q2681-IF(ISNUMBER(N2681),N2681,0)+IF(ISNUMBER(P2681),P2681,0)))&lt;=Summary!$B$2),"Negative realized loss not applied - check sign",IF(R2681&lt;0,"Principal paid exceeds prior balance",IF(AND(L2681&gt;Q2681,NOT(ISNUMBER(P2681))),"Balance increased but no Deferred_interest reported",IF(L2681&gt;R2681,"Reported balance higher than expected (missing increase/OC build)","Reported balance lower than expected (missing decrease)"))))),""))</f>
        <v/>
      </c>
    </row>
    <row r="2682" customFormat="false" ht="15" hidden="false" customHeight="false" outlineLevel="0" collapsed="false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9"/>
      <c r="L2682" s="9"/>
      <c r="M2682" s="9"/>
      <c r="N2682" s="9"/>
      <c r="O2682" s="9"/>
      <c r="P2682" s="9"/>
      <c r="Q2682" s="9"/>
      <c r="R2682" s="9" t="str">
        <f aca="false">IF(AND(A2682&lt;&gt;"",ISNUMBER(Q2682),ISNUMBER(L2682)),ROUND(Q2682-IF(ISNUMBER(N2682),N2682,0)-IF(ISNUMBER(O2682),O2682,0)+IF(ISNUMBER(P2682),P2682,0),2),"")</f>
        <v/>
      </c>
      <c r="S2682" s="9" t="str">
        <f aca="false">IF(R2682="","",ROUND(L2682-R2682,2))</f>
        <v/>
      </c>
      <c r="T2682" s="8" t="str">
        <f aca="false">IF(A2682="","",IF(S2682="","BYPASS",IF(ABS(S2682)&lt;=Summary!$B$2,"PASS","FAIL")))</f>
        <v/>
      </c>
      <c r="U2682" s="8" t="str">
        <f aca="false">IF(T2682="BYPASS",IF(NOT(ISNUMBER(Q2682)),"PreV_ETB missing","End_tr_balance missing"),IF(T2682="FAIL",IF(AND(ISNUMBER(K2682),ISNUMBER(L2682),ABS(L2682-(K2682-IF(ISNUMBER(N2682),N2682,0)-IF(ISNUMBER(O2682),O2682,0)+IF(ISNUMBER(P2682),P2682,0)))&lt;=Summary!$B$2),"Passes using beginning_balance - PreV_ETB differs from beginning_balance",IF(AND(ISNUMBER(O2682),O2682&lt;0,ABS(L2682-(Q2682-IF(ISNUMBER(N2682),N2682,0)+IF(ISNUMBER(P2682),P2682,0)))&lt;=Summary!$B$2),"Negative realized loss not applied - check sign",IF(R2682&lt;0,"Principal paid exceeds prior balance",IF(AND(L2682&gt;Q2682,NOT(ISNUMBER(P2682))),"Balance increased but no Deferred_interest reported",IF(L2682&gt;R2682,"Reported balance higher than expected (missing increase/OC build)","Reported balance lower than expected (missing decrease)"))))),""))</f>
        <v/>
      </c>
    </row>
    <row r="2683" customFormat="false" ht="15" hidden="false" customHeight="false" outlineLevel="0" collapsed="false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9"/>
      <c r="L2683" s="9"/>
      <c r="M2683" s="9"/>
      <c r="N2683" s="9"/>
      <c r="O2683" s="9"/>
      <c r="P2683" s="9"/>
      <c r="Q2683" s="9"/>
      <c r="R2683" s="9" t="str">
        <f aca="false">IF(AND(A2683&lt;&gt;"",ISNUMBER(Q2683),ISNUMBER(L2683)),ROUND(Q2683-IF(ISNUMBER(N2683),N2683,0)-IF(ISNUMBER(O2683),O2683,0)+IF(ISNUMBER(P2683),P2683,0),2),"")</f>
        <v/>
      </c>
      <c r="S2683" s="9" t="str">
        <f aca="false">IF(R2683="","",ROUND(L2683-R2683,2))</f>
        <v/>
      </c>
      <c r="T2683" s="8" t="str">
        <f aca="false">IF(A2683="","",IF(S2683="","BYPASS",IF(ABS(S2683)&lt;=Summary!$B$2,"PASS","FAIL")))</f>
        <v/>
      </c>
      <c r="U2683" s="8" t="str">
        <f aca="false">IF(T2683="BYPASS",IF(NOT(ISNUMBER(Q2683)),"PreV_ETB missing","End_tr_balance missing"),IF(T2683="FAIL",IF(AND(ISNUMBER(K2683),ISNUMBER(L2683),ABS(L2683-(K2683-IF(ISNUMBER(N2683),N2683,0)-IF(ISNUMBER(O2683),O2683,0)+IF(ISNUMBER(P2683),P2683,0)))&lt;=Summary!$B$2),"Passes using beginning_balance - PreV_ETB differs from beginning_balance",IF(AND(ISNUMBER(O2683),O2683&lt;0,ABS(L2683-(Q2683-IF(ISNUMBER(N2683),N2683,0)+IF(ISNUMBER(P2683),P2683,0)))&lt;=Summary!$B$2),"Negative realized loss not applied - check sign",IF(R2683&lt;0,"Principal paid exceeds prior balance",IF(AND(L2683&gt;Q2683,NOT(ISNUMBER(P2683))),"Balance increased but no Deferred_interest reported",IF(L2683&gt;R2683,"Reported balance higher than expected (missing increase/OC build)","Reported balance lower than expected (missing decrease)"))))),""))</f>
        <v/>
      </c>
    </row>
    <row r="2684" customFormat="false" ht="15" hidden="false" customHeight="false" outlineLevel="0" collapsed="false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9"/>
      <c r="L2684" s="9"/>
      <c r="M2684" s="9"/>
      <c r="N2684" s="9"/>
      <c r="O2684" s="9"/>
      <c r="P2684" s="9"/>
      <c r="Q2684" s="9"/>
      <c r="R2684" s="9" t="str">
        <f aca="false">IF(AND(A2684&lt;&gt;"",ISNUMBER(Q2684),ISNUMBER(L2684)),ROUND(Q2684-IF(ISNUMBER(N2684),N2684,0)-IF(ISNUMBER(O2684),O2684,0)+IF(ISNUMBER(P2684),P2684,0),2),"")</f>
        <v/>
      </c>
      <c r="S2684" s="9" t="str">
        <f aca="false">IF(R2684="","",ROUND(L2684-R2684,2))</f>
        <v/>
      </c>
      <c r="T2684" s="8" t="str">
        <f aca="false">IF(A2684="","",IF(S2684="","BYPASS",IF(ABS(S2684)&lt;=Summary!$B$2,"PASS","FAIL")))</f>
        <v/>
      </c>
      <c r="U2684" s="8" t="str">
        <f aca="false">IF(T2684="BYPASS",IF(NOT(ISNUMBER(Q2684)),"PreV_ETB missing","End_tr_balance missing"),IF(T2684="FAIL",IF(AND(ISNUMBER(K2684),ISNUMBER(L2684),ABS(L2684-(K2684-IF(ISNUMBER(N2684),N2684,0)-IF(ISNUMBER(O2684),O2684,0)+IF(ISNUMBER(P2684),P2684,0)))&lt;=Summary!$B$2),"Passes using beginning_balance - PreV_ETB differs from beginning_balance",IF(AND(ISNUMBER(O2684),O2684&lt;0,ABS(L2684-(Q2684-IF(ISNUMBER(N2684),N2684,0)+IF(ISNUMBER(P2684),P2684,0)))&lt;=Summary!$B$2),"Negative realized loss not applied - check sign",IF(R2684&lt;0,"Principal paid exceeds prior balance",IF(AND(L2684&gt;Q2684,NOT(ISNUMBER(P2684))),"Balance increased but no Deferred_interest reported",IF(L2684&gt;R2684,"Reported balance higher than expected (missing increase/OC build)","Reported balance lower than expected (missing decrease)"))))),""))</f>
        <v/>
      </c>
    </row>
    <row r="2685" customFormat="false" ht="15" hidden="false" customHeight="false" outlineLevel="0" collapsed="false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9"/>
      <c r="L2685" s="9"/>
      <c r="M2685" s="9"/>
      <c r="N2685" s="9"/>
      <c r="O2685" s="9"/>
      <c r="P2685" s="9"/>
      <c r="Q2685" s="9"/>
      <c r="R2685" s="9" t="str">
        <f aca="false">IF(AND(A2685&lt;&gt;"",ISNUMBER(Q2685),ISNUMBER(L2685)),ROUND(Q2685-IF(ISNUMBER(N2685),N2685,0)-IF(ISNUMBER(O2685),O2685,0)+IF(ISNUMBER(P2685),P2685,0),2),"")</f>
        <v/>
      </c>
      <c r="S2685" s="9" t="str">
        <f aca="false">IF(R2685="","",ROUND(L2685-R2685,2))</f>
        <v/>
      </c>
      <c r="T2685" s="8" t="str">
        <f aca="false">IF(A2685="","",IF(S2685="","BYPASS",IF(ABS(S2685)&lt;=Summary!$B$2,"PASS","FAIL")))</f>
        <v/>
      </c>
      <c r="U2685" s="8" t="str">
        <f aca="false">IF(T2685="BYPASS",IF(NOT(ISNUMBER(Q2685)),"PreV_ETB missing","End_tr_balance missing"),IF(T2685="FAIL",IF(AND(ISNUMBER(K2685),ISNUMBER(L2685),ABS(L2685-(K2685-IF(ISNUMBER(N2685),N2685,0)-IF(ISNUMBER(O2685),O2685,0)+IF(ISNUMBER(P2685),P2685,0)))&lt;=Summary!$B$2),"Passes using beginning_balance - PreV_ETB differs from beginning_balance",IF(AND(ISNUMBER(O2685),O2685&lt;0,ABS(L2685-(Q2685-IF(ISNUMBER(N2685),N2685,0)+IF(ISNUMBER(P2685),P2685,0)))&lt;=Summary!$B$2),"Negative realized loss not applied - check sign",IF(R2685&lt;0,"Principal paid exceeds prior balance",IF(AND(L2685&gt;Q2685,NOT(ISNUMBER(P2685))),"Balance increased but no Deferred_interest reported",IF(L2685&gt;R2685,"Reported balance higher than expected (missing increase/OC build)","Reported balance lower than expected (missing decrease)"))))),""))</f>
        <v/>
      </c>
    </row>
    <row r="2686" customFormat="false" ht="15" hidden="false" customHeight="false" outlineLevel="0" collapsed="false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9"/>
      <c r="L2686" s="9"/>
      <c r="M2686" s="9"/>
      <c r="N2686" s="9"/>
      <c r="O2686" s="9"/>
      <c r="P2686" s="9"/>
      <c r="Q2686" s="9"/>
      <c r="R2686" s="9" t="str">
        <f aca="false">IF(AND(A2686&lt;&gt;"",ISNUMBER(Q2686),ISNUMBER(L2686)),ROUND(Q2686-IF(ISNUMBER(N2686),N2686,0)-IF(ISNUMBER(O2686),O2686,0)+IF(ISNUMBER(P2686),P2686,0),2),"")</f>
        <v/>
      </c>
      <c r="S2686" s="9" t="str">
        <f aca="false">IF(R2686="","",ROUND(L2686-R2686,2))</f>
        <v/>
      </c>
      <c r="T2686" s="8" t="str">
        <f aca="false">IF(A2686="","",IF(S2686="","BYPASS",IF(ABS(S2686)&lt;=Summary!$B$2,"PASS","FAIL")))</f>
        <v/>
      </c>
      <c r="U2686" s="8" t="str">
        <f aca="false">IF(T2686="BYPASS",IF(NOT(ISNUMBER(Q2686)),"PreV_ETB missing","End_tr_balance missing"),IF(T2686="FAIL",IF(AND(ISNUMBER(K2686),ISNUMBER(L2686),ABS(L2686-(K2686-IF(ISNUMBER(N2686),N2686,0)-IF(ISNUMBER(O2686),O2686,0)+IF(ISNUMBER(P2686),P2686,0)))&lt;=Summary!$B$2),"Passes using beginning_balance - PreV_ETB differs from beginning_balance",IF(AND(ISNUMBER(O2686),O2686&lt;0,ABS(L2686-(Q2686-IF(ISNUMBER(N2686),N2686,0)+IF(ISNUMBER(P2686),P2686,0)))&lt;=Summary!$B$2),"Negative realized loss not applied - check sign",IF(R2686&lt;0,"Principal paid exceeds prior balance",IF(AND(L2686&gt;Q2686,NOT(ISNUMBER(P2686))),"Balance increased but no Deferred_interest reported",IF(L2686&gt;R2686,"Reported balance higher than expected (missing increase/OC build)","Reported balance lower than expected (missing decrease)"))))),""))</f>
        <v/>
      </c>
    </row>
    <row r="2687" customFormat="false" ht="15" hidden="false" customHeight="false" outlineLevel="0" collapsed="false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9"/>
      <c r="L2687" s="9"/>
      <c r="M2687" s="9"/>
      <c r="N2687" s="9"/>
      <c r="O2687" s="9"/>
      <c r="P2687" s="9"/>
      <c r="Q2687" s="9"/>
      <c r="R2687" s="9" t="str">
        <f aca="false">IF(AND(A2687&lt;&gt;"",ISNUMBER(Q2687),ISNUMBER(L2687)),ROUND(Q2687-IF(ISNUMBER(N2687),N2687,0)-IF(ISNUMBER(O2687),O2687,0)+IF(ISNUMBER(P2687),P2687,0),2),"")</f>
        <v/>
      </c>
      <c r="S2687" s="9" t="str">
        <f aca="false">IF(R2687="","",ROUND(L2687-R2687,2))</f>
        <v/>
      </c>
      <c r="T2687" s="8" t="str">
        <f aca="false">IF(A2687="","",IF(S2687="","BYPASS",IF(ABS(S2687)&lt;=Summary!$B$2,"PASS","FAIL")))</f>
        <v/>
      </c>
      <c r="U2687" s="8" t="str">
        <f aca="false">IF(T2687="BYPASS",IF(NOT(ISNUMBER(Q2687)),"PreV_ETB missing","End_tr_balance missing"),IF(T2687="FAIL",IF(AND(ISNUMBER(K2687),ISNUMBER(L2687),ABS(L2687-(K2687-IF(ISNUMBER(N2687),N2687,0)-IF(ISNUMBER(O2687),O2687,0)+IF(ISNUMBER(P2687),P2687,0)))&lt;=Summary!$B$2),"Passes using beginning_balance - PreV_ETB differs from beginning_balance",IF(AND(ISNUMBER(O2687),O2687&lt;0,ABS(L2687-(Q2687-IF(ISNUMBER(N2687),N2687,0)+IF(ISNUMBER(P2687),P2687,0)))&lt;=Summary!$B$2),"Negative realized loss not applied - check sign",IF(R2687&lt;0,"Principal paid exceeds prior balance",IF(AND(L2687&gt;Q2687,NOT(ISNUMBER(P2687))),"Balance increased but no Deferred_interest reported",IF(L2687&gt;R2687,"Reported balance higher than expected (missing increase/OC build)","Reported balance lower than expected (missing decrease)"))))),""))</f>
        <v/>
      </c>
    </row>
    <row r="2688" customFormat="false" ht="15" hidden="false" customHeight="false" outlineLevel="0" collapsed="false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9"/>
      <c r="L2688" s="9"/>
      <c r="M2688" s="9"/>
      <c r="N2688" s="9"/>
      <c r="O2688" s="9"/>
      <c r="P2688" s="9"/>
      <c r="Q2688" s="9"/>
      <c r="R2688" s="9" t="str">
        <f aca="false">IF(AND(A2688&lt;&gt;"",ISNUMBER(Q2688),ISNUMBER(L2688)),ROUND(Q2688-IF(ISNUMBER(N2688),N2688,0)-IF(ISNUMBER(O2688),O2688,0)+IF(ISNUMBER(P2688),P2688,0),2),"")</f>
        <v/>
      </c>
      <c r="S2688" s="9" t="str">
        <f aca="false">IF(R2688="","",ROUND(L2688-R2688,2))</f>
        <v/>
      </c>
      <c r="T2688" s="8" t="str">
        <f aca="false">IF(A2688="","",IF(S2688="","BYPASS",IF(ABS(S2688)&lt;=Summary!$B$2,"PASS","FAIL")))</f>
        <v/>
      </c>
      <c r="U2688" s="8" t="str">
        <f aca="false">IF(T2688="BYPASS",IF(NOT(ISNUMBER(Q2688)),"PreV_ETB missing","End_tr_balance missing"),IF(T2688="FAIL",IF(AND(ISNUMBER(K2688),ISNUMBER(L2688),ABS(L2688-(K2688-IF(ISNUMBER(N2688),N2688,0)-IF(ISNUMBER(O2688),O2688,0)+IF(ISNUMBER(P2688),P2688,0)))&lt;=Summary!$B$2),"Passes using beginning_balance - PreV_ETB differs from beginning_balance",IF(AND(ISNUMBER(O2688),O2688&lt;0,ABS(L2688-(Q2688-IF(ISNUMBER(N2688),N2688,0)+IF(ISNUMBER(P2688),P2688,0)))&lt;=Summary!$B$2),"Negative realized loss not applied - check sign",IF(R2688&lt;0,"Principal paid exceeds prior balance",IF(AND(L2688&gt;Q2688,NOT(ISNUMBER(P2688))),"Balance increased but no Deferred_interest reported",IF(L2688&gt;R2688,"Reported balance higher than expected (missing increase/OC build)","Reported balance lower than expected (missing decrease)"))))),""))</f>
        <v/>
      </c>
    </row>
    <row r="2689" customFormat="false" ht="15" hidden="false" customHeight="false" outlineLevel="0" collapsed="false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9"/>
      <c r="L2689" s="9"/>
      <c r="M2689" s="9"/>
      <c r="N2689" s="9"/>
      <c r="O2689" s="9"/>
      <c r="P2689" s="9"/>
      <c r="Q2689" s="9"/>
      <c r="R2689" s="9" t="str">
        <f aca="false">IF(AND(A2689&lt;&gt;"",ISNUMBER(Q2689),ISNUMBER(L2689)),ROUND(Q2689-IF(ISNUMBER(N2689),N2689,0)-IF(ISNUMBER(O2689),O2689,0)+IF(ISNUMBER(P2689),P2689,0),2),"")</f>
        <v/>
      </c>
      <c r="S2689" s="9" t="str">
        <f aca="false">IF(R2689="","",ROUND(L2689-R2689,2))</f>
        <v/>
      </c>
      <c r="T2689" s="8" t="str">
        <f aca="false">IF(A2689="","",IF(S2689="","BYPASS",IF(ABS(S2689)&lt;=Summary!$B$2,"PASS","FAIL")))</f>
        <v/>
      </c>
      <c r="U2689" s="8" t="str">
        <f aca="false">IF(T2689="BYPASS",IF(NOT(ISNUMBER(Q2689)),"PreV_ETB missing","End_tr_balance missing"),IF(T2689="FAIL",IF(AND(ISNUMBER(K2689),ISNUMBER(L2689),ABS(L2689-(K2689-IF(ISNUMBER(N2689),N2689,0)-IF(ISNUMBER(O2689),O2689,0)+IF(ISNUMBER(P2689),P2689,0)))&lt;=Summary!$B$2),"Passes using beginning_balance - PreV_ETB differs from beginning_balance",IF(AND(ISNUMBER(O2689),O2689&lt;0,ABS(L2689-(Q2689-IF(ISNUMBER(N2689),N2689,0)+IF(ISNUMBER(P2689),P2689,0)))&lt;=Summary!$B$2),"Negative realized loss not applied - check sign",IF(R2689&lt;0,"Principal paid exceeds prior balance",IF(AND(L2689&gt;Q2689,NOT(ISNUMBER(P2689))),"Balance increased but no Deferred_interest reported",IF(L2689&gt;R2689,"Reported balance higher than expected (missing increase/OC build)","Reported balance lower than expected (missing decrease)"))))),""))</f>
        <v/>
      </c>
    </row>
    <row r="2690" customFormat="false" ht="15" hidden="false" customHeight="false" outlineLevel="0" collapsed="false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9"/>
      <c r="L2690" s="9"/>
      <c r="M2690" s="9"/>
      <c r="N2690" s="9"/>
      <c r="O2690" s="9"/>
      <c r="P2690" s="9"/>
      <c r="Q2690" s="9"/>
      <c r="R2690" s="9" t="str">
        <f aca="false">IF(AND(A2690&lt;&gt;"",ISNUMBER(Q2690),ISNUMBER(L2690)),ROUND(Q2690-IF(ISNUMBER(N2690),N2690,0)-IF(ISNUMBER(O2690),O2690,0)+IF(ISNUMBER(P2690),P2690,0),2),"")</f>
        <v/>
      </c>
      <c r="S2690" s="9" t="str">
        <f aca="false">IF(R2690="","",ROUND(L2690-R2690,2))</f>
        <v/>
      </c>
      <c r="T2690" s="8" t="str">
        <f aca="false">IF(A2690="","",IF(S2690="","BYPASS",IF(ABS(S2690)&lt;=Summary!$B$2,"PASS","FAIL")))</f>
        <v/>
      </c>
      <c r="U2690" s="8" t="str">
        <f aca="false">IF(T2690="BYPASS",IF(NOT(ISNUMBER(Q2690)),"PreV_ETB missing","End_tr_balance missing"),IF(T2690="FAIL",IF(AND(ISNUMBER(K2690),ISNUMBER(L2690),ABS(L2690-(K2690-IF(ISNUMBER(N2690),N2690,0)-IF(ISNUMBER(O2690),O2690,0)+IF(ISNUMBER(P2690),P2690,0)))&lt;=Summary!$B$2),"Passes using beginning_balance - PreV_ETB differs from beginning_balance",IF(AND(ISNUMBER(O2690),O2690&lt;0,ABS(L2690-(Q2690-IF(ISNUMBER(N2690),N2690,0)+IF(ISNUMBER(P2690),P2690,0)))&lt;=Summary!$B$2),"Negative realized loss not applied - check sign",IF(R2690&lt;0,"Principal paid exceeds prior balance",IF(AND(L2690&gt;Q2690,NOT(ISNUMBER(P2690))),"Balance increased but no Deferred_interest reported",IF(L2690&gt;R2690,"Reported balance higher than expected (missing increase/OC build)","Reported balance lower than expected (missing decrease)"))))),""))</f>
        <v/>
      </c>
    </row>
    <row r="2691" customFormat="false" ht="15" hidden="false" customHeight="false" outlineLevel="0" collapsed="false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9"/>
      <c r="L2691" s="9"/>
      <c r="M2691" s="9"/>
      <c r="N2691" s="9"/>
      <c r="O2691" s="9"/>
      <c r="P2691" s="9"/>
      <c r="Q2691" s="9"/>
      <c r="R2691" s="9" t="str">
        <f aca="false">IF(AND(A2691&lt;&gt;"",ISNUMBER(Q2691),ISNUMBER(L2691)),ROUND(Q2691-IF(ISNUMBER(N2691),N2691,0)-IF(ISNUMBER(O2691),O2691,0)+IF(ISNUMBER(P2691),P2691,0),2),"")</f>
        <v/>
      </c>
      <c r="S2691" s="9" t="str">
        <f aca="false">IF(R2691="","",ROUND(L2691-R2691,2))</f>
        <v/>
      </c>
      <c r="T2691" s="8" t="str">
        <f aca="false">IF(A2691="","",IF(S2691="","BYPASS",IF(ABS(S2691)&lt;=Summary!$B$2,"PASS","FAIL")))</f>
        <v/>
      </c>
      <c r="U2691" s="8" t="str">
        <f aca="false">IF(T2691="BYPASS",IF(NOT(ISNUMBER(Q2691)),"PreV_ETB missing","End_tr_balance missing"),IF(T2691="FAIL",IF(AND(ISNUMBER(K2691),ISNUMBER(L2691),ABS(L2691-(K2691-IF(ISNUMBER(N2691),N2691,0)-IF(ISNUMBER(O2691),O2691,0)+IF(ISNUMBER(P2691),P2691,0)))&lt;=Summary!$B$2),"Passes using beginning_balance - PreV_ETB differs from beginning_balance",IF(AND(ISNUMBER(O2691),O2691&lt;0,ABS(L2691-(Q2691-IF(ISNUMBER(N2691),N2691,0)+IF(ISNUMBER(P2691),P2691,0)))&lt;=Summary!$B$2),"Negative realized loss not applied - check sign",IF(R2691&lt;0,"Principal paid exceeds prior balance",IF(AND(L2691&gt;Q2691,NOT(ISNUMBER(P2691))),"Balance increased but no Deferred_interest reported",IF(L2691&gt;R2691,"Reported balance higher than expected (missing increase/OC build)","Reported balance lower than expected (missing decrease)"))))),""))</f>
        <v/>
      </c>
    </row>
    <row r="2692" customFormat="false" ht="15" hidden="false" customHeight="false" outlineLevel="0" collapsed="false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9"/>
      <c r="L2692" s="9"/>
      <c r="M2692" s="9"/>
      <c r="N2692" s="9"/>
      <c r="O2692" s="9"/>
      <c r="P2692" s="9"/>
      <c r="Q2692" s="9"/>
      <c r="R2692" s="9" t="str">
        <f aca="false">IF(AND(A2692&lt;&gt;"",ISNUMBER(Q2692),ISNUMBER(L2692)),ROUND(Q2692-IF(ISNUMBER(N2692),N2692,0)-IF(ISNUMBER(O2692),O2692,0)+IF(ISNUMBER(P2692),P2692,0),2),"")</f>
        <v/>
      </c>
      <c r="S2692" s="9" t="str">
        <f aca="false">IF(R2692="","",ROUND(L2692-R2692,2))</f>
        <v/>
      </c>
      <c r="T2692" s="8" t="str">
        <f aca="false">IF(A2692="","",IF(S2692="","BYPASS",IF(ABS(S2692)&lt;=Summary!$B$2,"PASS","FAIL")))</f>
        <v/>
      </c>
      <c r="U2692" s="8" t="str">
        <f aca="false">IF(T2692="BYPASS",IF(NOT(ISNUMBER(Q2692)),"PreV_ETB missing","End_tr_balance missing"),IF(T2692="FAIL",IF(AND(ISNUMBER(K2692),ISNUMBER(L2692),ABS(L2692-(K2692-IF(ISNUMBER(N2692),N2692,0)-IF(ISNUMBER(O2692),O2692,0)+IF(ISNUMBER(P2692),P2692,0)))&lt;=Summary!$B$2),"Passes using beginning_balance - PreV_ETB differs from beginning_balance",IF(AND(ISNUMBER(O2692),O2692&lt;0,ABS(L2692-(Q2692-IF(ISNUMBER(N2692),N2692,0)+IF(ISNUMBER(P2692),P2692,0)))&lt;=Summary!$B$2),"Negative realized loss not applied - check sign",IF(R2692&lt;0,"Principal paid exceeds prior balance",IF(AND(L2692&gt;Q2692,NOT(ISNUMBER(P2692))),"Balance increased but no Deferred_interest reported",IF(L2692&gt;R2692,"Reported balance higher than expected (missing increase/OC build)","Reported balance lower than expected (missing decrease)"))))),""))</f>
        <v/>
      </c>
    </row>
    <row r="2693" customFormat="false" ht="15" hidden="false" customHeight="false" outlineLevel="0" collapsed="false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9"/>
      <c r="L2693" s="9"/>
      <c r="M2693" s="9"/>
      <c r="N2693" s="9"/>
      <c r="O2693" s="9"/>
      <c r="P2693" s="9"/>
      <c r="Q2693" s="9"/>
      <c r="R2693" s="9" t="str">
        <f aca="false">IF(AND(A2693&lt;&gt;"",ISNUMBER(Q2693),ISNUMBER(L2693)),ROUND(Q2693-IF(ISNUMBER(N2693),N2693,0)-IF(ISNUMBER(O2693),O2693,0)+IF(ISNUMBER(P2693),P2693,0),2),"")</f>
        <v/>
      </c>
      <c r="S2693" s="9" t="str">
        <f aca="false">IF(R2693="","",ROUND(L2693-R2693,2))</f>
        <v/>
      </c>
      <c r="T2693" s="8" t="str">
        <f aca="false">IF(A2693="","",IF(S2693="","BYPASS",IF(ABS(S2693)&lt;=Summary!$B$2,"PASS","FAIL")))</f>
        <v/>
      </c>
      <c r="U2693" s="8" t="str">
        <f aca="false">IF(T2693="BYPASS",IF(NOT(ISNUMBER(Q2693)),"PreV_ETB missing","End_tr_balance missing"),IF(T2693="FAIL",IF(AND(ISNUMBER(K2693),ISNUMBER(L2693),ABS(L2693-(K2693-IF(ISNUMBER(N2693),N2693,0)-IF(ISNUMBER(O2693),O2693,0)+IF(ISNUMBER(P2693),P2693,0)))&lt;=Summary!$B$2),"Passes using beginning_balance - PreV_ETB differs from beginning_balance",IF(AND(ISNUMBER(O2693),O2693&lt;0,ABS(L2693-(Q2693-IF(ISNUMBER(N2693),N2693,0)+IF(ISNUMBER(P2693),P2693,0)))&lt;=Summary!$B$2),"Negative realized loss not applied - check sign",IF(R2693&lt;0,"Principal paid exceeds prior balance",IF(AND(L2693&gt;Q2693,NOT(ISNUMBER(P2693))),"Balance increased but no Deferred_interest reported",IF(L2693&gt;R2693,"Reported balance higher than expected (missing increase/OC build)","Reported balance lower than expected (missing decrease)"))))),""))</f>
        <v/>
      </c>
    </row>
    <row r="2694" customFormat="false" ht="15" hidden="false" customHeight="false" outlineLevel="0" collapsed="false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9"/>
      <c r="L2694" s="9"/>
      <c r="M2694" s="9"/>
      <c r="N2694" s="9"/>
      <c r="O2694" s="9"/>
      <c r="P2694" s="9"/>
      <c r="Q2694" s="9"/>
      <c r="R2694" s="9" t="str">
        <f aca="false">IF(AND(A2694&lt;&gt;"",ISNUMBER(Q2694),ISNUMBER(L2694)),ROUND(Q2694-IF(ISNUMBER(N2694),N2694,0)-IF(ISNUMBER(O2694),O2694,0)+IF(ISNUMBER(P2694),P2694,0),2),"")</f>
        <v/>
      </c>
      <c r="S2694" s="9" t="str">
        <f aca="false">IF(R2694="","",ROUND(L2694-R2694,2))</f>
        <v/>
      </c>
      <c r="T2694" s="8" t="str">
        <f aca="false">IF(A2694="","",IF(S2694="","BYPASS",IF(ABS(S2694)&lt;=Summary!$B$2,"PASS","FAIL")))</f>
        <v/>
      </c>
      <c r="U2694" s="8" t="str">
        <f aca="false">IF(T2694="BYPASS",IF(NOT(ISNUMBER(Q2694)),"PreV_ETB missing","End_tr_balance missing"),IF(T2694="FAIL",IF(AND(ISNUMBER(K2694),ISNUMBER(L2694),ABS(L2694-(K2694-IF(ISNUMBER(N2694),N2694,0)-IF(ISNUMBER(O2694),O2694,0)+IF(ISNUMBER(P2694),P2694,0)))&lt;=Summary!$B$2),"Passes using beginning_balance - PreV_ETB differs from beginning_balance",IF(AND(ISNUMBER(O2694),O2694&lt;0,ABS(L2694-(Q2694-IF(ISNUMBER(N2694),N2694,0)+IF(ISNUMBER(P2694),P2694,0)))&lt;=Summary!$B$2),"Negative realized loss not applied - check sign",IF(R2694&lt;0,"Principal paid exceeds prior balance",IF(AND(L2694&gt;Q2694,NOT(ISNUMBER(P2694))),"Balance increased but no Deferred_interest reported",IF(L2694&gt;R2694,"Reported balance higher than expected (missing increase/OC build)","Reported balance lower than expected (missing decrease)"))))),""))</f>
        <v/>
      </c>
    </row>
    <row r="2695" customFormat="false" ht="15" hidden="false" customHeight="false" outlineLevel="0" collapsed="false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9"/>
      <c r="L2695" s="9"/>
      <c r="M2695" s="9"/>
      <c r="N2695" s="9"/>
      <c r="O2695" s="9"/>
      <c r="P2695" s="9"/>
      <c r="Q2695" s="9"/>
      <c r="R2695" s="9" t="str">
        <f aca="false">IF(AND(A2695&lt;&gt;"",ISNUMBER(Q2695),ISNUMBER(L2695)),ROUND(Q2695-IF(ISNUMBER(N2695),N2695,0)-IF(ISNUMBER(O2695),O2695,0)+IF(ISNUMBER(P2695),P2695,0),2),"")</f>
        <v/>
      </c>
      <c r="S2695" s="9" t="str">
        <f aca="false">IF(R2695="","",ROUND(L2695-R2695,2))</f>
        <v/>
      </c>
      <c r="T2695" s="8" t="str">
        <f aca="false">IF(A2695="","",IF(S2695="","BYPASS",IF(ABS(S2695)&lt;=Summary!$B$2,"PASS","FAIL")))</f>
        <v/>
      </c>
      <c r="U2695" s="8" t="str">
        <f aca="false">IF(T2695="BYPASS",IF(NOT(ISNUMBER(Q2695)),"PreV_ETB missing","End_tr_balance missing"),IF(T2695="FAIL",IF(AND(ISNUMBER(K2695),ISNUMBER(L2695),ABS(L2695-(K2695-IF(ISNUMBER(N2695),N2695,0)-IF(ISNUMBER(O2695),O2695,0)+IF(ISNUMBER(P2695),P2695,0)))&lt;=Summary!$B$2),"Passes using beginning_balance - PreV_ETB differs from beginning_balance",IF(AND(ISNUMBER(O2695),O2695&lt;0,ABS(L2695-(Q2695-IF(ISNUMBER(N2695),N2695,0)+IF(ISNUMBER(P2695),P2695,0)))&lt;=Summary!$B$2),"Negative realized loss not applied - check sign",IF(R2695&lt;0,"Principal paid exceeds prior balance",IF(AND(L2695&gt;Q2695,NOT(ISNUMBER(P2695))),"Balance increased but no Deferred_interest reported",IF(L2695&gt;R2695,"Reported balance higher than expected (missing increase/OC build)","Reported balance lower than expected (missing decrease)"))))),""))</f>
        <v/>
      </c>
    </row>
    <row r="2696" customFormat="false" ht="15" hidden="false" customHeight="false" outlineLevel="0" collapsed="false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9"/>
      <c r="L2696" s="9"/>
      <c r="M2696" s="9"/>
      <c r="N2696" s="9"/>
      <c r="O2696" s="9"/>
      <c r="P2696" s="9"/>
      <c r="Q2696" s="9"/>
      <c r="R2696" s="9" t="str">
        <f aca="false">IF(AND(A2696&lt;&gt;"",ISNUMBER(Q2696),ISNUMBER(L2696)),ROUND(Q2696-IF(ISNUMBER(N2696),N2696,0)-IF(ISNUMBER(O2696),O2696,0)+IF(ISNUMBER(P2696),P2696,0),2),"")</f>
        <v/>
      </c>
      <c r="S2696" s="9" t="str">
        <f aca="false">IF(R2696="","",ROUND(L2696-R2696,2))</f>
        <v/>
      </c>
      <c r="T2696" s="8" t="str">
        <f aca="false">IF(A2696="","",IF(S2696="","BYPASS",IF(ABS(S2696)&lt;=Summary!$B$2,"PASS","FAIL")))</f>
        <v/>
      </c>
      <c r="U2696" s="8" t="str">
        <f aca="false">IF(T2696="BYPASS",IF(NOT(ISNUMBER(Q2696)),"PreV_ETB missing","End_tr_balance missing"),IF(T2696="FAIL",IF(AND(ISNUMBER(K2696),ISNUMBER(L2696),ABS(L2696-(K2696-IF(ISNUMBER(N2696),N2696,0)-IF(ISNUMBER(O2696),O2696,0)+IF(ISNUMBER(P2696),P2696,0)))&lt;=Summary!$B$2),"Passes using beginning_balance - PreV_ETB differs from beginning_balance",IF(AND(ISNUMBER(O2696),O2696&lt;0,ABS(L2696-(Q2696-IF(ISNUMBER(N2696),N2696,0)+IF(ISNUMBER(P2696),P2696,0)))&lt;=Summary!$B$2),"Negative realized loss not applied - check sign",IF(R2696&lt;0,"Principal paid exceeds prior balance",IF(AND(L2696&gt;Q2696,NOT(ISNUMBER(P2696))),"Balance increased but no Deferred_interest reported",IF(L2696&gt;R2696,"Reported balance higher than expected (missing increase/OC build)","Reported balance lower than expected (missing decrease)"))))),""))</f>
        <v/>
      </c>
    </row>
    <row r="2697" customFormat="false" ht="15" hidden="false" customHeight="false" outlineLevel="0" collapsed="false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9"/>
      <c r="L2697" s="9"/>
      <c r="M2697" s="9"/>
      <c r="N2697" s="9"/>
      <c r="O2697" s="9"/>
      <c r="P2697" s="9"/>
      <c r="Q2697" s="9"/>
      <c r="R2697" s="9" t="str">
        <f aca="false">IF(AND(A2697&lt;&gt;"",ISNUMBER(Q2697),ISNUMBER(L2697)),ROUND(Q2697-IF(ISNUMBER(N2697),N2697,0)-IF(ISNUMBER(O2697),O2697,0)+IF(ISNUMBER(P2697),P2697,0),2),"")</f>
        <v/>
      </c>
      <c r="S2697" s="9" t="str">
        <f aca="false">IF(R2697="","",ROUND(L2697-R2697,2))</f>
        <v/>
      </c>
      <c r="T2697" s="8" t="str">
        <f aca="false">IF(A2697="","",IF(S2697="","BYPASS",IF(ABS(S2697)&lt;=Summary!$B$2,"PASS","FAIL")))</f>
        <v/>
      </c>
      <c r="U2697" s="8" t="str">
        <f aca="false">IF(T2697="BYPASS",IF(NOT(ISNUMBER(Q2697)),"PreV_ETB missing","End_tr_balance missing"),IF(T2697="FAIL",IF(AND(ISNUMBER(K2697),ISNUMBER(L2697),ABS(L2697-(K2697-IF(ISNUMBER(N2697),N2697,0)-IF(ISNUMBER(O2697),O2697,0)+IF(ISNUMBER(P2697),P2697,0)))&lt;=Summary!$B$2),"Passes using beginning_balance - PreV_ETB differs from beginning_balance",IF(AND(ISNUMBER(O2697),O2697&lt;0,ABS(L2697-(Q2697-IF(ISNUMBER(N2697),N2697,0)+IF(ISNUMBER(P2697),P2697,0)))&lt;=Summary!$B$2),"Negative realized loss not applied - check sign",IF(R2697&lt;0,"Principal paid exceeds prior balance",IF(AND(L2697&gt;Q2697,NOT(ISNUMBER(P2697))),"Balance increased but no Deferred_interest reported",IF(L2697&gt;R2697,"Reported balance higher than expected (missing increase/OC build)","Reported balance lower than expected (missing decrease)"))))),""))</f>
        <v/>
      </c>
    </row>
    <row r="2698" customFormat="false" ht="15" hidden="false" customHeight="false" outlineLevel="0" collapsed="false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9"/>
      <c r="L2698" s="9"/>
      <c r="M2698" s="9"/>
      <c r="N2698" s="9"/>
      <c r="O2698" s="9"/>
      <c r="P2698" s="9"/>
      <c r="Q2698" s="9"/>
      <c r="R2698" s="9" t="str">
        <f aca="false">IF(AND(A2698&lt;&gt;"",ISNUMBER(Q2698),ISNUMBER(L2698)),ROUND(Q2698-IF(ISNUMBER(N2698),N2698,0)-IF(ISNUMBER(O2698),O2698,0)+IF(ISNUMBER(P2698),P2698,0),2),"")</f>
        <v/>
      </c>
      <c r="S2698" s="9" t="str">
        <f aca="false">IF(R2698="","",ROUND(L2698-R2698,2))</f>
        <v/>
      </c>
      <c r="T2698" s="8" t="str">
        <f aca="false">IF(A2698="","",IF(S2698="","BYPASS",IF(ABS(S2698)&lt;=Summary!$B$2,"PASS","FAIL")))</f>
        <v/>
      </c>
      <c r="U2698" s="8" t="str">
        <f aca="false">IF(T2698="BYPASS",IF(NOT(ISNUMBER(Q2698)),"PreV_ETB missing","End_tr_balance missing"),IF(T2698="FAIL",IF(AND(ISNUMBER(K2698),ISNUMBER(L2698),ABS(L2698-(K2698-IF(ISNUMBER(N2698),N2698,0)-IF(ISNUMBER(O2698),O2698,0)+IF(ISNUMBER(P2698),P2698,0)))&lt;=Summary!$B$2),"Passes using beginning_balance - PreV_ETB differs from beginning_balance",IF(AND(ISNUMBER(O2698),O2698&lt;0,ABS(L2698-(Q2698-IF(ISNUMBER(N2698),N2698,0)+IF(ISNUMBER(P2698),P2698,0)))&lt;=Summary!$B$2),"Negative realized loss not applied - check sign",IF(R2698&lt;0,"Principal paid exceeds prior balance",IF(AND(L2698&gt;Q2698,NOT(ISNUMBER(P2698))),"Balance increased but no Deferred_interest reported",IF(L2698&gt;R2698,"Reported balance higher than expected (missing increase/OC build)","Reported balance lower than expected (missing decrease)"))))),""))</f>
        <v/>
      </c>
    </row>
    <row r="2699" customFormat="false" ht="15" hidden="false" customHeight="false" outlineLevel="0" collapsed="false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9"/>
      <c r="L2699" s="9"/>
      <c r="M2699" s="9"/>
      <c r="N2699" s="9"/>
      <c r="O2699" s="9"/>
      <c r="P2699" s="9"/>
      <c r="Q2699" s="9"/>
      <c r="R2699" s="9" t="str">
        <f aca="false">IF(AND(A2699&lt;&gt;"",ISNUMBER(Q2699),ISNUMBER(L2699)),ROUND(Q2699-IF(ISNUMBER(N2699),N2699,0)-IF(ISNUMBER(O2699),O2699,0)+IF(ISNUMBER(P2699),P2699,0),2),"")</f>
        <v/>
      </c>
      <c r="S2699" s="9" t="str">
        <f aca="false">IF(R2699="","",ROUND(L2699-R2699,2))</f>
        <v/>
      </c>
      <c r="T2699" s="8" t="str">
        <f aca="false">IF(A2699="","",IF(S2699="","BYPASS",IF(ABS(S2699)&lt;=Summary!$B$2,"PASS","FAIL")))</f>
        <v/>
      </c>
      <c r="U2699" s="8" t="str">
        <f aca="false">IF(T2699="BYPASS",IF(NOT(ISNUMBER(Q2699)),"PreV_ETB missing","End_tr_balance missing"),IF(T2699="FAIL",IF(AND(ISNUMBER(K2699),ISNUMBER(L2699),ABS(L2699-(K2699-IF(ISNUMBER(N2699),N2699,0)-IF(ISNUMBER(O2699),O2699,0)+IF(ISNUMBER(P2699),P2699,0)))&lt;=Summary!$B$2),"Passes using beginning_balance - PreV_ETB differs from beginning_balance",IF(AND(ISNUMBER(O2699),O2699&lt;0,ABS(L2699-(Q2699-IF(ISNUMBER(N2699),N2699,0)+IF(ISNUMBER(P2699),P2699,0)))&lt;=Summary!$B$2),"Negative realized loss not applied - check sign",IF(R2699&lt;0,"Principal paid exceeds prior balance",IF(AND(L2699&gt;Q2699,NOT(ISNUMBER(P2699))),"Balance increased but no Deferred_interest reported",IF(L2699&gt;R2699,"Reported balance higher than expected (missing increase/OC build)","Reported balance lower than expected (missing decrease)"))))),""))</f>
        <v/>
      </c>
    </row>
    <row r="2700" customFormat="false" ht="15" hidden="false" customHeight="false" outlineLevel="0" collapsed="false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9"/>
      <c r="L2700" s="9"/>
      <c r="M2700" s="9"/>
      <c r="N2700" s="9"/>
      <c r="O2700" s="9"/>
      <c r="P2700" s="9"/>
      <c r="Q2700" s="9"/>
      <c r="R2700" s="9" t="str">
        <f aca="false">IF(AND(A2700&lt;&gt;"",ISNUMBER(Q2700),ISNUMBER(L2700)),ROUND(Q2700-IF(ISNUMBER(N2700),N2700,0)-IF(ISNUMBER(O2700),O2700,0)+IF(ISNUMBER(P2700),P2700,0),2),"")</f>
        <v/>
      </c>
      <c r="S2700" s="9" t="str">
        <f aca="false">IF(R2700="","",ROUND(L2700-R2700,2))</f>
        <v/>
      </c>
      <c r="T2700" s="8" t="str">
        <f aca="false">IF(A2700="","",IF(S2700="","BYPASS",IF(ABS(S2700)&lt;=Summary!$B$2,"PASS","FAIL")))</f>
        <v/>
      </c>
      <c r="U2700" s="8" t="str">
        <f aca="false">IF(T2700="BYPASS",IF(NOT(ISNUMBER(Q2700)),"PreV_ETB missing","End_tr_balance missing"),IF(T2700="FAIL",IF(AND(ISNUMBER(K2700),ISNUMBER(L2700),ABS(L2700-(K2700-IF(ISNUMBER(N2700),N2700,0)-IF(ISNUMBER(O2700),O2700,0)+IF(ISNUMBER(P2700),P2700,0)))&lt;=Summary!$B$2),"Passes using beginning_balance - PreV_ETB differs from beginning_balance",IF(AND(ISNUMBER(O2700),O2700&lt;0,ABS(L2700-(Q2700-IF(ISNUMBER(N2700),N2700,0)+IF(ISNUMBER(P2700),P2700,0)))&lt;=Summary!$B$2),"Negative realized loss not applied - check sign",IF(R2700&lt;0,"Principal paid exceeds prior balance",IF(AND(L2700&gt;Q2700,NOT(ISNUMBER(P2700))),"Balance increased but no Deferred_interest reported",IF(L2700&gt;R2700,"Reported balance higher than expected (missing increase/OC build)","Reported balance lower than expected (missing decrease)"))))),""))</f>
        <v/>
      </c>
    </row>
    <row r="2701" customFormat="false" ht="15" hidden="false" customHeight="false" outlineLevel="0" collapsed="false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9"/>
      <c r="L2701" s="9"/>
      <c r="M2701" s="9"/>
      <c r="N2701" s="9"/>
      <c r="O2701" s="9"/>
      <c r="P2701" s="9"/>
      <c r="Q2701" s="9"/>
      <c r="R2701" s="9" t="str">
        <f aca="false">IF(AND(A2701&lt;&gt;"",ISNUMBER(Q2701),ISNUMBER(L2701)),ROUND(Q2701-IF(ISNUMBER(N2701),N2701,0)-IF(ISNUMBER(O2701),O2701,0)+IF(ISNUMBER(P2701),P2701,0),2),"")</f>
        <v/>
      </c>
      <c r="S2701" s="9" t="str">
        <f aca="false">IF(R2701="","",ROUND(L2701-R2701,2))</f>
        <v/>
      </c>
      <c r="T2701" s="8" t="str">
        <f aca="false">IF(A2701="","",IF(S2701="","BYPASS",IF(ABS(S2701)&lt;=Summary!$B$2,"PASS","FAIL")))</f>
        <v/>
      </c>
      <c r="U2701" s="8" t="str">
        <f aca="false">IF(T2701="BYPASS",IF(NOT(ISNUMBER(Q2701)),"PreV_ETB missing","End_tr_balance missing"),IF(T2701="FAIL",IF(AND(ISNUMBER(K2701),ISNUMBER(L2701),ABS(L2701-(K2701-IF(ISNUMBER(N2701),N2701,0)-IF(ISNUMBER(O2701),O2701,0)+IF(ISNUMBER(P2701),P2701,0)))&lt;=Summary!$B$2),"Passes using beginning_balance - PreV_ETB differs from beginning_balance",IF(AND(ISNUMBER(O2701),O2701&lt;0,ABS(L2701-(Q2701-IF(ISNUMBER(N2701),N2701,0)+IF(ISNUMBER(P2701),P2701,0)))&lt;=Summary!$B$2),"Negative realized loss not applied - check sign",IF(R2701&lt;0,"Principal paid exceeds prior balance",IF(AND(L2701&gt;Q2701,NOT(ISNUMBER(P2701))),"Balance increased but no Deferred_interest reported",IF(L2701&gt;R2701,"Reported balance higher than expected (missing increase/OC build)","Reported balance lower than expected (missing decrease)"))))),""))</f>
        <v/>
      </c>
    </row>
    <row r="2702" customFormat="false" ht="15" hidden="false" customHeight="false" outlineLevel="0" collapsed="false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9"/>
      <c r="L2702" s="9"/>
      <c r="M2702" s="9"/>
      <c r="N2702" s="9"/>
      <c r="O2702" s="9"/>
      <c r="P2702" s="9"/>
      <c r="Q2702" s="9"/>
      <c r="R2702" s="9" t="str">
        <f aca="false">IF(AND(A2702&lt;&gt;"",ISNUMBER(Q2702),ISNUMBER(L2702)),ROUND(Q2702-IF(ISNUMBER(N2702),N2702,0)-IF(ISNUMBER(O2702),O2702,0)+IF(ISNUMBER(P2702),P2702,0),2),"")</f>
        <v/>
      </c>
      <c r="S2702" s="9" t="str">
        <f aca="false">IF(R2702="","",ROUND(L2702-R2702,2))</f>
        <v/>
      </c>
      <c r="T2702" s="8" t="str">
        <f aca="false">IF(A2702="","",IF(S2702="","BYPASS",IF(ABS(S2702)&lt;=Summary!$B$2,"PASS","FAIL")))</f>
        <v/>
      </c>
      <c r="U2702" s="8" t="str">
        <f aca="false">IF(T2702="BYPASS",IF(NOT(ISNUMBER(Q2702)),"PreV_ETB missing","End_tr_balance missing"),IF(T2702="FAIL",IF(AND(ISNUMBER(K2702),ISNUMBER(L2702),ABS(L2702-(K2702-IF(ISNUMBER(N2702),N2702,0)-IF(ISNUMBER(O2702),O2702,0)+IF(ISNUMBER(P2702),P2702,0)))&lt;=Summary!$B$2),"Passes using beginning_balance - PreV_ETB differs from beginning_balance",IF(AND(ISNUMBER(O2702),O2702&lt;0,ABS(L2702-(Q2702-IF(ISNUMBER(N2702),N2702,0)+IF(ISNUMBER(P2702),P2702,0)))&lt;=Summary!$B$2),"Negative realized loss not applied - check sign",IF(R2702&lt;0,"Principal paid exceeds prior balance",IF(AND(L2702&gt;Q2702,NOT(ISNUMBER(P2702))),"Balance increased but no Deferred_interest reported",IF(L2702&gt;R2702,"Reported balance higher than expected (missing increase/OC build)","Reported balance lower than expected (missing decrease)"))))),""))</f>
        <v/>
      </c>
    </row>
    <row r="2703" customFormat="false" ht="15" hidden="false" customHeight="false" outlineLevel="0" collapsed="false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9"/>
      <c r="L2703" s="9"/>
      <c r="M2703" s="9"/>
      <c r="N2703" s="9"/>
      <c r="O2703" s="9"/>
      <c r="P2703" s="9"/>
      <c r="Q2703" s="9"/>
      <c r="R2703" s="9" t="str">
        <f aca="false">IF(AND(A2703&lt;&gt;"",ISNUMBER(Q2703),ISNUMBER(L2703)),ROUND(Q2703-IF(ISNUMBER(N2703),N2703,0)-IF(ISNUMBER(O2703),O2703,0)+IF(ISNUMBER(P2703),P2703,0),2),"")</f>
        <v/>
      </c>
      <c r="S2703" s="9" t="str">
        <f aca="false">IF(R2703="","",ROUND(L2703-R2703,2))</f>
        <v/>
      </c>
      <c r="T2703" s="8" t="str">
        <f aca="false">IF(A2703="","",IF(S2703="","BYPASS",IF(ABS(S2703)&lt;=Summary!$B$2,"PASS","FAIL")))</f>
        <v/>
      </c>
      <c r="U2703" s="8" t="str">
        <f aca="false">IF(T2703="BYPASS",IF(NOT(ISNUMBER(Q2703)),"PreV_ETB missing","End_tr_balance missing"),IF(T2703="FAIL",IF(AND(ISNUMBER(K2703),ISNUMBER(L2703),ABS(L2703-(K2703-IF(ISNUMBER(N2703),N2703,0)-IF(ISNUMBER(O2703),O2703,0)+IF(ISNUMBER(P2703),P2703,0)))&lt;=Summary!$B$2),"Passes using beginning_balance - PreV_ETB differs from beginning_balance",IF(AND(ISNUMBER(O2703),O2703&lt;0,ABS(L2703-(Q2703-IF(ISNUMBER(N2703),N2703,0)+IF(ISNUMBER(P2703),P2703,0)))&lt;=Summary!$B$2),"Negative realized loss not applied - check sign",IF(R2703&lt;0,"Principal paid exceeds prior balance",IF(AND(L2703&gt;Q2703,NOT(ISNUMBER(P2703))),"Balance increased but no Deferred_interest reported",IF(L2703&gt;R2703,"Reported balance higher than expected (missing increase/OC build)","Reported balance lower than expected (missing decrease)"))))),""))</f>
        <v/>
      </c>
    </row>
    <row r="2704" customFormat="false" ht="15" hidden="false" customHeight="false" outlineLevel="0" collapsed="false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9"/>
      <c r="L2704" s="9"/>
      <c r="M2704" s="9"/>
      <c r="N2704" s="9"/>
      <c r="O2704" s="9"/>
      <c r="P2704" s="9"/>
      <c r="Q2704" s="9"/>
      <c r="R2704" s="9" t="str">
        <f aca="false">IF(AND(A2704&lt;&gt;"",ISNUMBER(Q2704),ISNUMBER(L2704)),ROUND(Q2704-IF(ISNUMBER(N2704),N2704,0)-IF(ISNUMBER(O2704),O2704,0)+IF(ISNUMBER(P2704),P2704,0),2),"")</f>
        <v/>
      </c>
      <c r="S2704" s="9" t="str">
        <f aca="false">IF(R2704="","",ROUND(L2704-R2704,2))</f>
        <v/>
      </c>
      <c r="T2704" s="8" t="str">
        <f aca="false">IF(A2704="","",IF(S2704="","BYPASS",IF(ABS(S2704)&lt;=Summary!$B$2,"PASS","FAIL")))</f>
        <v/>
      </c>
      <c r="U2704" s="8" t="str">
        <f aca="false">IF(T2704="BYPASS",IF(NOT(ISNUMBER(Q2704)),"PreV_ETB missing","End_tr_balance missing"),IF(T2704="FAIL",IF(AND(ISNUMBER(K2704),ISNUMBER(L2704),ABS(L2704-(K2704-IF(ISNUMBER(N2704),N2704,0)-IF(ISNUMBER(O2704),O2704,0)+IF(ISNUMBER(P2704),P2704,0)))&lt;=Summary!$B$2),"Passes using beginning_balance - PreV_ETB differs from beginning_balance",IF(AND(ISNUMBER(O2704),O2704&lt;0,ABS(L2704-(Q2704-IF(ISNUMBER(N2704),N2704,0)+IF(ISNUMBER(P2704),P2704,0)))&lt;=Summary!$B$2),"Negative realized loss not applied - check sign",IF(R2704&lt;0,"Principal paid exceeds prior balance",IF(AND(L2704&gt;Q2704,NOT(ISNUMBER(P2704))),"Balance increased but no Deferred_interest reported",IF(L2704&gt;R2704,"Reported balance higher than expected (missing increase/OC build)","Reported balance lower than expected (missing decrease)"))))),""))</f>
        <v/>
      </c>
    </row>
    <row r="2705" customFormat="false" ht="15" hidden="false" customHeight="false" outlineLevel="0" collapsed="false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9"/>
      <c r="L2705" s="9"/>
      <c r="M2705" s="9"/>
      <c r="N2705" s="9"/>
      <c r="O2705" s="9"/>
      <c r="P2705" s="9"/>
      <c r="Q2705" s="9"/>
      <c r="R2705" s="9" t="str">
        <f aca="false">IF(AND(A2705&lt;&gt;"",ISNUMBER(Q2705),ISNUMBER(L2705)),ROUND(Q2705-IF(ISNUMBER(N2705),N2705,0)-IF(ISNUMBER(O2705),O2705,0)+IF(ISNUMBER(P2705),P2705,0),2),"")</f>
        <v/>
      </c>
      <c r="S2705" s="9" t="str">
        <f aca="false">IF(R2705="","",ROUND(L2705-R2705,2))</f>
        <v/>
      </c>
      <c r="T2705" s="8" t="str">
        <f aca="false">IF(A2705="","",IF(S2705="","BYPASS",IF(ABS(S2705)&lt;=Summary!$B$2,"PASS","FAIL")))</f>
        <v/>
      </c>
      <c r="U2705" s="8" t="str">
        <f aca="false">IF(T2705="BYPASS",IF(NOT(ISNUMBER(Q2705)),"PreV_ETB missing","End_tr_balance missing"),IF(T2705="FAIL",IF(AND(ISNUMBER(K2705),ISNUMBER(L2705),ABS(L2705-(K2705-IF(ISNUMBER(N2705),N2705,0)-IF(ISNUMBER(O2705),O2705,0)+IF(ISNUMBER(P2705),P2705,0)))&lt;=Summary!$B$2),"Passes using beginning_balance - PreV_ETB differs from beginning_balance",IF(AND(ISNUMBER(O2705),O2705&lt;0,ABS(L2705-(Q2705-IF(ISNUMBER(N2705),N2705,0)+IF(ISNUMBER(P2705),P2705,0)))&lt;=Summary!$B$2),"Negative realized loss not applied - check sign",IF(R2705&lt;0,"Principal paid exceeds prior balance",IF(AND(L2705&gt;Q2705,NOT(ISNUMBER(P2705))),"Balance increased but no Deferred_interest reported",IF(L2705&gt;R2705,"Reported balance higher than expected (missing increase/OC build)","Reported balance lower than expected (missing decrease)"))))),""))</f>
        <v/>
      </c>
    </row>
    <row r="2706" customFormat="false" ht="15" hidden="false" customHeight="false" outlineLevel="0" collapsed="false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9"/>
      <c r="L2706" s="9"/>
      <c r="M2706" s="9"/>
      <c r="N2706" s="9"/>
      <c r="O2706" s="9"/>
      <c r="P2706" s="9"/>
      <c r="Q2706" s="9"/>
      <c r="R2706" s="9" t="str">
        <f aca="false">IF(AND(A2706&lt;&gt;"",ISNUMBER(Q2706),ISNUMBER(L2706)),ROUND(Q2706-IF(ISNUMBER(N2706),N2706,0)-IF(ISNUMBER(O2706),O2706,0)+IF(ISNUMBER(P2706),P2706,0),2),"")</f>
        <v/>
      </c>
      <c r="S2706" s="9" t="str">
        <f aca="false">IF(R2706="","",ROUND(L2706-R2706,2))</f>
        <v/>
      </c>
      <c r="T2706" s="8" t="str">
        <f aca="false">IF(A2706="","",IF(S2706="","BYPASS",IF(ABS(S2706)&lt;=Summary!$B$2,"PASS","FAIL")))</f>
        <v/>
      </c>
      <c r="U2706" s="8" t="str">
        <f aca="false">IF(T2706="BYPASS",IF(NOT(ISNUMBER(Q2706)),"PreV_ETB missing","End_tr_balance missing"),IF(T2706="FAIL",IF(AND(ISNUMBER(K2706),ISNUMBER(L2706),ABS(L2706-(K2706-IF(ISNUMBER(N2706),N2706,0)-IF(ISNUMBER(O2706),O2706,0)+IF(ISNUMBER(P2706),P2706,0)))&lt;=Summary!$B$2),"Passes using beginning_balance - PreV_ETB differs from beginning_balance",IF(AND(ISNUMBER(O2706),O2706&lt;0,ABS(L2706-(Q2706-IF(ISNUMBER(N2706),N2706,0)+IF(ISNUMBER(P2706),P2706,0)))&lt;=Summary!$B$2),"Negative realized loss not applied - check sign",IF(R2706&lt;0,"Principal paid exceeds prior balance",IF(AND(L2706&gt;Q2706,NOT(ISNUMBER(P2706))),"Balance increased but no Deferred_interest reported",IF(L2706&gt;R2706,"Reported balance higher than expected (missing increase/OC build)","Reported balance lower than expected (missing decrease)"))))),""))</f>
        <v/>
      </c>
    </row>
    <row r="2707" customFormat="false" ht="15" hidden="false" customHeight="false" outlineLevel="0" collapsed="false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9"/>
      <c r="L2707" s="9"/>
      <c r="M2707" s="9"/>
      <c r="N2707" s="9"/>
      <c r="O2707" s="9"/>
      <c r="P2707" s="9"/>
      <c r="Q2707" s="9"/>
      <c r="R2707" s="9" t="str">
        <f aca="false">IF(AND(A2707&lt;&gt;"",ISNUMBER(Q2707),ISNUMBER(L2707)),ROUND(Q2707-IF(ISNUMBER(N2707),N2707,0)-IF(ISNUMBER(O2707),O2707,0)+IF(ISNUMBER(P2707),P2707,0),2),"")</f>
        <v/>
      </c>
      <c r="S2707" s="9" t="str">
        <f aca="false">IF(R2707="","",ROUND(L2707-R2707,2))</f>
        <v/>
      </c>
      <c r="T2707" s="8" t="str">
        <f aca="false">IF(A2707="","",IF(S2707="","BYPASS",IF(ABS(S2707)&lt;=Summary!$B$2,"PASS","FAIL")))</f>
        <v/>
      </c>
      <c r="U2707" s="8" t="str">
        <f aca="false">IF(T2707="BYPASS",IF(NOT(ISNUMBER(Q2707)),"PreV_ETB missing","End_tr_balance missing"),IF(T2707="FAIL",IF(AND(ISNUMBER(K2707),ISNUMBER(L2707),ABS(L2707-(K2707-IF(ISNUMBER(N2707),N2707,0)-IF(ISNUMBER(O2707),O2707,0)+IF(ISNUMBER(P2707),P2707,0)))&lt;=Summary!$B$2),"Passes using beginning_balance - PreV_ETB differs from beginning_balance",IF(AND(ISNUMBER(O2707),O2707&lt;0,ABS(L2707-(Q2707-IF(ISNUMBER(N2707),N2707,0)+IF(ISNUMBER(P2707),P2707,0)))&lt;=Summary!$B$2),"Negative realized loss not applied - check sign",IF(R2707&lt;0,"Principal paid exceeds prior balance",IF(AND(L2707&gt;Q2707,NOT(ISNUMBER(P2707))),"Balance increased but no Deferred_interest reported",IF(L2707&gt;R2707,"Reported balance higher than expected (missing increase/OC build)","Reported balance lower than expected (missing decrease)"))))),""))</f>
        <v/>
      </c>
    </row>
    <row r="2708" customFormat="false" ht="15" hidden="false" customHeight="false" outlineLevel="0" collapsed="false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9"/>
      <c r="L2708" s="9"/>
      <c r="M2708" s="9"/>
      <c r="N2708" s="9"/>
      <c r="O2708" s="9"/>
      <c r="P2708" s="9"/>
      <c r="Q2708" s="9"/>
      <c r="R2708" s="9" t="str">
        <f aca="false">IF(AND(A2708&lt;&gt;"",ISNUMBER(Q2708),ISNUMBER(L2708)),ROUND(Q2708-IF(ISNUMBER(N2708),N2708,0)-IF(ISNUMBER(O2708),O2708,0)+IF(ISNUMBER(P2708),P2708,0),2),"")</f>
        <v/>
      </c>
      <c r="S2708" s="9" t="str">
        <f aca="false">IF(R2708="","",ROUND(L2708-R2708,2))</f>
        <v/>
      </c>
      <c r="T2708" s="8" t="str">
        <f aca="false">IF(A2708="","",IF(S2708="","BYPASS",IF(ABS(S2708)&lt;=Summary!$B$2,"PASS","FAIL")))</f>
        <v/>
      </c>
      <c r="U2708" s="8" t="str">
        <f aca="false">IF(T2708="BYPASS",IF(NOT(ISNUMBER(Q2708)),"PreV_ETB missing","End_tr_balance missing"),IF(T2708="FAIL",IF(AND(ISNUMBER(K2708),ISNUMBER(L2708),ABS(L2708-(K2708-IF(ISNUMBER(N2708),N2708,0)-IF(ISNUMBER(O2708),O2708,0)+IF(ISNUMBER(P2708),P2708,0)))&lt;=Summary!$B$2),"Passes using beginning_balance - PreV_ETB differs from beginning_balance",IF(AND(ISNUMBER(O2708),O2708&lt;0,ABS(L2708-(Q2708-IF(ISNUMBER(N2708),N2708,0)+IF(ISNUMBER(P2708),P2708,0)))&lt;=Summary!$B$2),"Negative realized loss not applied - check sign",IF(R2708&lt;0,"Principal paid exceeds prior balance",IF(AND(L2708&gt;Q2708,NOT(ISNUMBER(P2708))),"Balance increased but no Deferred_interest reported",IF(L2708&gt;R2708,"Reported balance higher than expected (missing increase/OC build)","Reported balance lower than expected (missing decrease)"))))),""))</f>
        <v/>
      </c>
    </row>
    <row r="2709" customFormat="false" ht="15" hidden="false" customHeight="false" outlineLevel="0" collapsed="false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9"/>
      <c r="L2709" s="9"/>
      <c r="M2709" s="9"/>
      <c r="N2709" s="9"/>
      <c r="O2709" s="9"/>
      <c r="P2709" s="9"/>
      <c r="Q2709" s="9"/>
      <c r="R2709" s="9" t="str">
        <f aca="false">IF(AND(A2709&lt;&gt;"",ISNUMBER(Q2709),ISNUMBER(L2709)),ROUND(Q2709-IF(ISNUMBER(N2709),N2709,0)-IF(ISNUMBER(O2709),O2709,0)+IF(ISNUMBER(P2709),P2709,0),2),"")</f>
        <v/>
      </c>
      <c r="S2709" s="9" t="str">
        <f aca="false">IF(R2709="","",ROUND(L2709-R2709,2))</f>
        <v/>
      </c>
      <c r="T2709" s="8" t="str">
        <f aca="false">IF(A2709="","",IF(S2709="","BYPASS",IF(ABS(S2709)&lt;=Summary!$B$2,"PASS","FAIL")))</f>
        <v/>
      </c>
      <c r="U2709" s="8" t="str">
        <f aca="false">IF(T2709="BYPASS",IF(NOT(ISNUMBER(Q2709)),"PreV_ETB missing","End_tr_balance missing"),IF(T2709="FAIL",IF(AND(ISNUMBER(K2709),ISNUMBER(L2709),ABS(L2709-(K2709-IF(ISNUMBER(N2709),N2709,0)-IF(ISNUMBER(O2709),O2709,0)+IF(ISNUMBER(P2709),P2709,0)))&lt;=Summary!$B$2),"Passes using beginning_balance - PreV_ETB differs from beginning_balance",IF(AND(ISNUMBER(O2709),O2709&lt;0,ABS(L2709-(Q2709-IF(ISNUMBER(N2709),N2709,0)+IF(ISNUMBER(P2709),P2709,0)))&lt;=Summary!$B$2),"Negative realized loss not applied - check sign",IF(R2709&lt;0,"Principal paid exceeds prior balance",IF(AND(L2709&gt;Q2709,NOT(ISNUMBER(P2709))),"Balance increased but no Deferred_interest reported",IF(L2709&gt;R2709,"Reported balance higher than expected (missing increase/OC build)","Reported balance lower than expected (missing decrease)"))))),""))</f>
        <v/>
      </c>
    </row>
    <row r="2710" customFormat="false" ht="15" hidden="false" customHeight="false" outlineLevel="0" collapsed="false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9"/>
      <c r="L2710" s="9"/>
      <c r="M2710" s="9"/>
      <c r="N2710" s="9"/>
      <c r="O2710" s="9"/>
      <c r="P2710" s="9"/>
      <c r="Q2710" s="9"/>
      <c r="R2710" s="9" t="str">
        <f aca="false">IF(AND(A2710&lt;&gt;"",ISNUMBER(Q2710),ISNUMBER(L2710)),ROUND(Q2710-IF(ISNUMBER(N2710),N2710,0)-IF(ISNUMBER(O2710),O2710,0)+IF(ISNUMBER(P2710),P2710,0),2),"")</f>
        <v/>
      </c>
      <c r="S2710" s="9" t="str">
        <f aca="false">IF(R2710="","",ROUND(L2710-R2710,2))</f>
        <v/>
      </c>
      <c r="T2710" s="8" t="str">
        <f aca="false">IF(A2710="","",IF(S2710="","BYPASS",IF(ABS(S2710)&lt;=Summary!$B$2,"PASS","FAIL")))</f>
        <v/>
      </c>
      <c r="U2710" s="8" t="str">
        <f aca="false">IF(T2710="BYPASS",IF(NOT(ISNUMBER(Q2710)),"PreV_ETB missing","End_tr_balance missing"),IF(T2710="FAIL",IF(AND(ISNUMBER(K2710),ISNUMBER(L2710),ABS(L2710-(K2710-IF(ISNUMBER(N2710),N2710,0)-IF(ISNUMBER(O2710),O2710,0)+IF(ISNUMBER(P2710),P2710,0)))&lt;=Summary!$B$2),"Passes using beginning_balance - PreV_ETB differs from beginning_balance",IF(AND(ISNUMBER(O2710),O2710&lt;0,ABS(L2710-(Q2710-IF(ISNUMBER(N2710),N2710,0)+IF(ISNUMBER(P2710),P2710,0)))&lt;=Summary!$B$2),"Negative realized loss not applied - check sign",IF(R2710&lt;0,"Principal paid exceeds prior balance",IF(AND(L2710&gt;Q2710,NOT(ISNUMBER(P2710))),"Balance increased but no Deferred_interest reported",IF(L2710&gt;R2710,"Reported balance higher than expected (missing increase/OC build)","Reported balance lower than expected (missing decrease)"))))),""))</f>
        <v/>
      </c>
    </row>
    <row r="2711" customFormat="false" ht="15" hidden="false" customHeight="false" outlineLevel="0" collapsed="false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9"/>
      <c r="L2711" s="9"/>
      <c r="M2711" s="9"/>
      <c r="N2711" s="9"/>
      <c r="O2711" s="9"/>
      <c r="P2711" s="9"/>
      <c r="Q2711" s="9"/>
      <c r="R2711" s="9" t="str">
        <f aca="false">IF(AND(A2711&lt;&gt;"",ISNUMBER(Q2711),ISNUMBER(L2711)),ROUND(Q2711-IF(ISNUMBER(N2711),N2711,0)-IF(ISNUMBER(O2711),O2711,0)+IF(ISNUMBER(P2711),P2711,0),2),"")</f>
        <v/>
      </c>
      <c r="S2711" s="9" t="str">
        <f aca="false">IF(R2711="","",ROUND(L2711-R2711,2))</f>
        <v/>
      </c>
      <c r="T2711" s="8" t="str">
        <f aca="false">IF(A2711="","",IF(S2711="","BYPASS",IF(ABS(S2711)&lt;=Summary!$B$2,"PASS","FAIL")))</f>
        <v/>
      </c>
      <c r="U2711" s="8" t="str">
        <f aca="false">IF(T2711="BYPASS",IF(NOT(ISNUMBER(Q2711)),"PreV_ETB missing","End_tr_balance missing"),IF(T2711="FAIL",IF(AND(ISNUMBER(K2711),ISNUMBER(L2711),ABS(L2711-(K2711-IF(ISNUMBER(N2711),N2711,0)-IF(ISNUMBER(O2711),O2711,0)+IF(ISNUMBER(P2711),P2711,0)))&lt;=Summary!$B$2),"Passes using beginning_balance - PreV_ETB differs from beginning_balance",IF(AND(ISNUMBER(O2711),O2711&lt;0,ABS(L2711-(Q2711-IF(ISNUMBER(N2711),N2711,0)+IF(ISNUMBER(P2711),P2711,0)))&lt;=Summary!$B$2),"Negative realized loss not applied - check sign",IF(R2711&lt;0,"Principal paid exceeds prior balance",IF(AND(L2711&gt;Q2711,NOT(ISNUMBER(P2711))),"Balance increased but no Deferred_interest reported",IF(L2711&gt;R2711,"Reported balance higher than expected (missing increase/OC build)","Reported balance lower than expected (missing decrease)"))))),""))</f>
        <v/>
      </c>
    </row>
    <row r="2712" customFormat="false" ht="15" hidden="false" customHeight="false" outlineLevel="0" collapsed="false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9"/>
      <c r="L2712" s="9"/>
      <c r="M2712" s="9"/>
      <c r="N2712" s="9"/>
      <c r="O2712" s="9"/>
      <c r="P2712" s="9"/>
      <c r="Q2712" s="9"/>
      <c r="R2712" s="9" t="str">
        <f aca="false">IF(AND(A2712&lt;&gt;"",ISNUMBER(Q2712),ISNUMBER(L2712)),ROUND(Q2712-IF(ISNUMBER(N2712),N2712,0)-IF(ISNUMBER(O2712),O2712,0)+IF(ISNUMBER(P2712),P2712,0),2),"")</f>
        <v/>
      </c>
      <c r="S2712" s="9" t="str">
        <f aca="false">IF(R2712="","",ROUND(L2712-R2712,2))</f>
        <v/>
      </c>
      <c r="T2712" s="8" t="str">
        <f aca="false">IF(A2712="","",IF(S2712="","BYPASS",IF(ABS(S2712)&lt;=Summary!$B$2,"PASS","FAIL")))</f>
        <v/>
      </c>
      <c r="U2712" s="8" t="str">
        <f aca="false">IF(T2712="BYPASS",IF(NOT(ISNUMBER(Q2712)),"PreV_ETB missing","End_tr_balance missing"),IF(T2712="FAIL",IF(AND(ISNUMBER(K2712),ISNUMBER(L2712),ABS(L2712-(K2712-IF(ISNUMBER(N2712),N2712,0)-IF(ISNUMBER(O2712),O2712,0)+IF(ISNUMBER(P2712),P2712,0)))&lt;=Summary!$B$2),"Passes using beginning_balance - PreV_ETB differs from beginning_balance",IF(AND(ISNUMBER(O2712),O2712&lt;0,ABS(L2712-(Q2712-IF(ISNUMBER(N2712),N2712,0)+IF(ISNUMBER(P2712),P2712,0)))&lt;=Summary!$B$2),"Negative realized loss not applied - check sign",IF(R2712&lt;0,"Principal paid exceeds prior balance",IF(AND(L2712&gt;Q2712,NOT(ISNUMBER(P2712))),"Balance increased but no Deferred_interest reported",IF(L2712&gt;R2712,"Reported balance higher than expected (missing increase/OC build)","Reported balance lower than expected (missing decrease)"))))),""))</f>
        <v/>
      </c>
    </row>
    <row r="2713" customFormat="false" ht="15" hidden="false" customHeight="false" outlineLevel="0" collapsed="false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9"/>
      <c r="L2713" s="9"/>
      <c r="M2713" s="9"/>
      <c r="N2713" s="9"/>
      <c r="O2713" s="9"/>
      <c r="P2713" s="9"/>
      <c r="Q2713" s="9"/>
      <c r="R2713" s="9" t="str">
        <f aca="false">IF(AND(A2713&lt;&gt;"",ISNUMBER(Q2713),ISNUMBER(L2713)),ROUND(Q2713-IF(ISNUMBER(N2713),N2713,0)-IF(ISNUMBER(O2713),O2713,0)+IF(ISNUMBER(P2713),P2713,0),2),"")</f>
        <v/>
      </c>
      <c r="S2713" s="9" t="str">
        <f aca="false">IF(R2713="","",ROUND(L2713-R2713,2))</f>
        <v/>
      </c>
      <c r="T2713" s="8" t="str">
        <f aca="false">IF(A2713="","",IF(S2713="","BYPASS",IF(ABS(S2713)&lt;=Summary!$B$2,"PASS","FAIL")))</f>
        <v/>
      </c>
      <c r="U2713" s="8" t="str">
        <f aca="false">IF(T2713="BYPASS",IF(NOT(ISNUMBER(Q2713)),"PreV_ETB missing","End_tr_balance missing"),IF(T2713="FAIL",IF(AND(ISNUMBER(K2713),ISNUMBER(L2713),ABS(L2713-(K2713-IF(ISNUMBER(N2713),N2713,0)-IF(ISNUMBER(O2713),O2713,0)+IF(ISNUMBER(P2713),P2713,0)))&lt;=Summary!$B$2),"Passes using beginning_balance - PreV_ETB differs from beginning_balance",IF(AND(ISNUMBER(O2713),O2713&lt;0,ABS(L2713-(Q2713-IF(ISNUMBER(N2713),N2713,0)+IF(ISNUMBER(P2713),P2713,0)))&lt;=Summary!$B$2),"Negative realized loss not applied - check sign",IF(R2713&lt;0,"Principal paid exceeds prior balance",IF(AND(L2713&gt;Q2713,NOT(ISNUMBER(P2713))),"Balance increased but no Deferred_interest reported",IF(L2713&gt;R2713,"Reported balance higher than expected (missing increase/OC build)","Reported balance lower than expected (missing decrease)"))))),""))</f>
        <v/>
      </c>
    </row>
    <row r="2714" customFormat="false" ht="15" hidden="false" customHeight="false" outlineLevel="0" collapsed="false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9"/>
      <c r="L2714" s="9"/>
      <c r="M2714" s="9"/>
      <c r="N2714" s="9"/>
      <c r="O2714" s="9"/>
      <c r="P2714" s="9"/>
      <c r="Q2714" s="9"/>
      <c r="R2714" s="9" t="str">
        <f aca="false">IF(AND(A2714&lt;&gt;"",ISNUMBER(Q2714),ISNUMBER(L2714)),ROUND(Q2714-IF(ISNUMBER(N2714),N2714,0)-IF(ISNUMBER(O2714),O2714,0)+IF(ISNUMBER(P2714),P2714,0),2),"")</f>
        <v/>
      </c>
      <c r="S2714" s="9" t="str">
        <f aca="false">IF(R2714="","",ROUND(L2714-R2714,2))</f>
        <v/>
      </c>
      <c r="T2714" s="8" t="str">
        <f aca="false">IF(A2714="","",IF(S2714="","BYPASS",IF(ABS(S2714)&lt;=Summary!$B$2,"PASS","FAIL")))</f>
        <v/>
      </c>
      <c r="U2714" s="8" t="str">
        <f aca="false">IF(T2714="BYPASS",IF(NOT(ISNUMBER(Q2714)),"PreV_ETB missing","End_tr_balance missing"),IF(T2714="FAIL",IF(AND(ISNUMBER(K2714),ISNUMBER(L2714),ABS(L2714-(K2714-IF(ISNUMBER(N2714),N2714,0)-IF(ISNUMBER(O2714),O2714,0)+IF(ISNUMBER(P2714),P2714,0)))&lt;=Summary!$B$2),"Passes using beginning_balance - PreV_ETB differs from beginning_balance",IF(AND(ISNUMBER(O2714),O2714&lt;0,ABS(L2714-(Q2714-IF(ISNUMBER(N2714),N2714,0)+IF(ISNUMBER(P2714),P2714,0)))&lt;=Summary!$B$2),"Negative realized loss not applied - check sign",IF(R2714&lt;0,"Principal paid exceeds prior balance",IF(AND(L2714&gt;Q2714,NOT(ISNUMBER(P2714))),"Balance increased but no Deferred_interest reported",IF(L2714&gt;R2714,"Reported balance higher than expected (missing increase/OC build)","Reported balance lower than expected (missing decrease)"))))),""))</f>
        <v/>
      </c>
    </row>
    <row r="2715" customFormat="false" ht="15" hidden="false" customHeight="false" outlineLevel="0" collapsed="false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9"/>
      <c r="L2715" s="9"/>
      <c r="M2715" s="9"/>
      <c r="N2715" s="9"/>
      <c r="O2715" s="9"/>
      <c r="P2715" s="9"/>
      <c r="Q2715" s="9"/>
      <c r="R2715" s="9" t="str">
        <f aca="false">IF(AND(A2715&lt;&gt;"",ISNUMBER(Q2715),ISNUMBER(L2715)),ROUND(Q2715-IF(ISNUMBER(N2715),N2715,0)-IF(ISNUMBER(O2715),O2715,0)+IF(ISNUMBER(P2715),P2715,0),2),"")</f>
        <v/>
      </c>
      <c r="S2715" s="9" t="str">
        <f aca="false">IF(R2715="","",ROUND(L2715-R2715,2))</f>
        <v/>
      </c>
      <c r="T2715" s="8" t="str">
        <f aca="false">IF(A2715="","",IF(S2715="","BYPASS",IF(ABS(S2715)&lt;=Summary!$B$2,"PASS","FAIL")))</f>
        <v/>
      </c>
      <c r="U2715" s="8" t="str">
        <f aca="false">IF(T2715="BYPASS",IF(NOT(ISNUMBER(Q2715)),"PreV_ETB missing","End_tr_balance missing"),IF(T2715="FAIL",IF(AND(ISNUMBER(K2715),ISNUMBER(L2715),ABS(L2715-(K2715-IF(ISNUMBER(N2715),N2715,0)-IF(ISNUMBER(O2715),O2715,0)+IF(ISNUMBER(P2715),P2715,0)))&lt;=Summary!$B$2),"Passes using beginning_balance - PreV_ETB differs from beginning_balance",IF(AND(ISNUMBER(O2715),O2715&lt;0,ABS(L2715-(Q2715-IF(ISNUMBER(N2715),N2715,0)+IF(ISNUMBER(P2715),P2715,0)))&lt;=Summary!$B$2),"Negative realized loss not applied - check sign",IF(R2715&lt;0,"Principal paid exceeds prior balance",IF(AND(L2715&gt;Q2715,NOT(ISNUMBER(P2715))),"Balance increased but no Deferred_interest reported",IF(L2715&gt;R2715,"Reported balance higher than expected (missing increase/OC build)","Reported balance lower than expected (missing decrease)"))))),""))</f>
        <v/>
      </c>
    </row>
    <row r="2716" customFormat="false" ht="15" hidden="false" customHeight="false" outlineLevel="0" collapsed="false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9"/>
      <c r="L2716" s="9"/>
      <c r="M2716" s="9"/>
      <c r="N2716" s="9"/>
      <c r="O2716" s="9"/>
      <c r="P2716" s="9"/>
      <c r="Q2716" s="9"/>
      <c r="R2716" s="9" t="str">
        <f aca="false">IF(AND(A2716&lt;&gt;"",ISNUMBER(Q2716),ISNUMBER(L2716)),ROUND(Q2716-IF(ISNUMBER(N2716),N2716,0)-IF(ISNUMBER(O2716),O2716,0)+IF(ISNUMBER(P2716),P2716,0),2),"")</f>
        <v/>
      </c>
      <c r="S2716" s="9" t="str">
        <f aca="false">IF(R2716="","",ROUND(L2716-R2716,2))</f>
        <v/>
      </c>
      <c r="T2716" s="8" t="str">
        <f aca="false">IF(A2716="","",IF(S2716="","BYPASS",IF(ABS(S2716)&lt;=Summary!$B$2,"PASS","FAIL")))</f>
        <v/>
      </c>
      <c r="U2716" s="8" t="str">
        <f aca="false">IF(T2716="BYPASS",IF(NOT(ISNUMBER(Q2716)),"PreV_ETB missing","End_tr_balance missing"),IF(T2716="FAIL",IF(AND(ISNUMBER(K2716),ISNUMBER(L2716),ABS(L2716-(K2716-IF(ISNUMBER(N2716),N2716,0)-IF(ISNUMBER(O2716),O2716,0)+IF(ISNUMBER(P2716),P2716,0)))&lt;=Summary!$B$2),"Passes using beginning_balance - PreV_ETB differs from beginning_balance",IF(AND(ISNUMBER(O2716),O2716&lt;0,ABS(L2716-(Q2716-IF(ISNUMBER(N2716),N2716,0)+IF(ISNUMBER(P2716),P2716,0)))&lt;=Summary!$B$2),"Negative realized loss not applied - check sign",IF(R2716&lt;0,"Principal paid exceeds prior balance",IF(AND(L2716&gt;Q2716,NOT(ISNUMBER(P2716))),"Balance increased but no Deferred_interest reported",IF(L2716&gt;R2716,"Reported balance higher than expected (missing increase/OC build)","Reported balance lower than expected (missing decrease)"))))),""))</f>
        <v/>
      </c>
    </row>
    <row r="2717" customFormat="false" ht="15" hidden="false" customHeight="false" outlineLevel="0" collapsed="false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9"/>
      <c r="L2717" s="9"/>
      <c r="M2717" s="9"/>
      <c r="N2717" s="9"/>
      <c r="O2717" s="9"/>
      <c r="P2717" s="9"/>
      <c r="Q2717" s="9"/>
      <c r="R2717" s="9" t="str">
        <f aca="false">IF(AND(A2717&lt;&gt;"",ISNUMBER(Q2717),ISNUMBER(L2717)),ROUND(Q2717-IF(ISNUMBER(N2717),N2717,0)-IF(ISNUMBER(O2717),O2717,0)+IF(ISNUMBER(P2717),P2717,0),2),"")</f>
        <v/>
      </c>
      <c r="S2717" s="9" t="str">
        <f aca="false">IF(R2717="","",ROUND(L2717-R2717,2))</f>
        <v/>
      </c>
      <c r="T2717" s="8" t="str">
        <f aca="false">IF(A2717="","",IF(S2717="","BYPASS",IF(ABS(S2717)&lt;=Summary!$B$2,"PASS","FAIL")))</f>
        <v/>
      </c>
      <c r="U2717" s="8" t="str">
        <f aca="false">IF(T2717="BYPASS",IF(NOT(ISNUMBER(Q2717)),"PreV_ETB missing","End_tr_balance missing"),IF(T2717="FAIL",IF(AND(ISNUMBER(K2717),ISNUMBER(L2717),ABS(L2717-(K2717-IF(ISNUMBER(N2717),N2717,0)-IF(ISNUMBER(O2717),O2717,0)+IF(ISNUMBER(P2717),P2717,0)))&lt;=Summary!$B$2),"Passes using beginning_balance - PreV_ETB differs from beginning_balance",IF(AND(ISNUMBER(O2717),O2717&lt;0,ABS(L2717-(Q2717-IF(ISNUMBER(N2717),N2717,0)+IF(ISNUMBER(P2717),P2717,0)))&lt;=Summary!$B$2),"Negative realized loss not applied - check sign",IF(R2717&lt;0,"Principal paid exceeds prior balance",IF(AND(L2717&gt;Q2717,NOT(ISNUMBER(P2717))),"Balance increased but no Deferred_interest reported",IF(L2717&gt;R2717,"Reported balance higher than expected (missing increase/OC build)","Reported balance lower than expected (missing decrease)"))))),""))</f>
        <v/>
      </c>
    </row>
    <row r="2718" customFormat="false" ht="15" hidden="false" customHeight="false" outlineLevel="0" collapsed="false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9"/>
      <c r="L2718" s="9"/>
      <c r="M2718" s="9"/>
      <c r="N2718" s="9"/>
      <c r="O2718" s="9"/>
      <c r="P2718" s="9"/>
      <c r="Q2718" s="9"/>
      <c r="R2718" s="9" t="str">
        <f aca="false">IF(AND(A2718&lt;&gt;"",ISNUMBER(Q2718),ISNUMBER(L2718)),ROUND(Q2718-IF(ISNUMBER(N2718),N2718,0)-IF(ISNUMBER(O2718),O2718,0)+IF(ISNUMBER(P2718),P2718,0),2),"")</f>
        <v/>
      </c>
      <c r="S2718" s="9" t="str">
        <f aca="false">IF(R2718="","",ROUND(L2718-R2718,2))</f>
        <v/>
      </c>
      <c r="T2718" s="8" t="str">
        <f aca="false">IF(A2718="","",IF(S2718="","BYPASS",IF(ABS(S2718)&lt;=Summary!$B$2,"PASS","FAIL")))</f>
        <v/>
      </c>
      <c r="U2718" s="8" t="str">
        <f aca="false">IF(T2718="BYPASS",IF(NOT(ISNUMBER(Q2718)),"PreV_ETB missing","End_tr_balance missing"),IF(T2718="FAIL",IF(AND(ISNUMBER(K2718),ISNUMBER(L2718),ABS(L2718-(K2718-IF(ISNUMBER(N2718),N2718,0)-IF(ISNUMBER(O2718),O2718,0)+IF(ISNUMBER(P2718),P2718,0)))&lt;=Summary!$B$2),"Passes using beginning_balance - PreV_ETB differs from beginning_balance",IF(AND(ISNUMBER(O2718),O2718&lt;0,ABS(L2718-(Q2718-IF(ISNUMBER(N2718),N2718,0)+IF(ISNUMBER(P2718),P2718,0)))&lt;=Summary!$B$2),"Negative realized loss not applied - check sign",IF(R2718&lt;0,"Principal paid exceeds prior balance",IF(AND(L2718&gt;Q2718,NOT(ISNUMBER(P2718))),"Balance increased but no Deferred_interest reported",IF(L2718&gt;R2718,"Reported balance higher than expected (missing increase/OC build)","Reported balance lower than expected (missing decrease)"))))),""))</f>
        <v/>
      </c>
    </row>
    <row r="2719" customFormat="false" ht="15" hidden="false" customHeight="false" outlineLevel="0" collapsed="false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9"/>
      <c r="L2719" s="9"/>
      <c r="M2719" s="9"/>
      <c r="N2719" s="9"/>
      <c r="O2719" s="9"/>
      <c r="P2719" s="9"/>
      <c r="Q2719" s="9"/>
      <c r="R2719" s="9" t="str">
        <f aca="false">IF(AND(A2719&lt;&gt;"",ISNUMBER(Q2719),ISNUMBER(L2719)),ROUND(Q2719-IF(ISNUMBER(N2719),N2719,0)-IF(ISNUMBER(O2719),O2719,0)+IF(ISNUMBER(P2719),P2719,0),2),"")</f>
        <v/>
      </c>
      <c r="S2719" s="9" t="str">
        <f aca="false">IF(R2719="","",ROUND(L2719-R2719,2))</f>
        <v/>
      </c>
      <c r="T2719" s="8" t="str">
        <f aca="false">IF(A2719="","",IF(S2719="","BYPASS",IF(ABS(S2719)&lt;=Summary!$B$2,"PASS","FAIL")))</f>
        <v/>
      </c>
      <c r="U2719" s="8" t="str">
        <f aca="false">IF(T2719="BYPASS",IF(NOT(ISNUMBER(Q2719)),"PreV_ETB missing","End_tr_balance missing"),IF(T2719="FAIL",IF(AND(ISNUMBER(K2719),ISNUMBER(L2719),ABS(L2719-(K2719-IF(ISNUMBER(N2719),N2719,0)-IF(ISNUMBER(O2719),O2719,0)+IF(ISNUMBER(P2719),P2719,0)))&lt;=Summary!$B$2),"Passes using beginning_balance - PreV_ETB differs from beginning_balance",IF(AND(ISNUMBER(O2719),O2719&lt;0,ABS(L2719-(Q2719-IF(ISNUMBER(N2719),N2719,0)+IF(ISNUMBER(P2719),P2719,0)))&lt;=Summary!$B$2),"Negative realized loss not applied - check sign",IF(R2719&lt;0,"Principal paid exceeds prior balance",IF(AND(L2719&gt;Q2719,NOT(ISNUMBER(P2719))),"Balance increased but no Deferred_interest reported",IF(L2719&gt;R2719,"Reported balance higher than expected (missing increase/OC build)","Reported balance lower than expected (missing decrease)"))))),""))</f>
        <v/>
      </c>
    </row>
    <row r="2720" customFormat="false" ht="15" hidden="false" customHeight="false" outlineLevel="0" collapsed="false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9"/>
      <c r="L2720" s="9"/>
      <c r="M2720" s="9"/>
      <c r="N2720" s="9"/>
      <c r="O2720" s="9"/>
      <c r="P2720" s="9"/>
      <c r="Q2720" s="9"/>
      <c r="R2720" s="9" t="str">
        <f aca="false">IF(AND(A2720&lt;&gt;"",ISNUMBER(Q2720),ISNUMBER(L2720)),ROUND(Q2720-IF(ISNUMBER(N2720),N2720,0)-IF(ISNUMBER(O2720),O2720,0)+IF(ISNUMBER(P2720),P2720,0),2),"")</f>
        <v/>
      </c>
      <c r="S2720" s="9" t="str">
        <f aca="false">IF(R2720="","",ROUND(L2720-R2720,2))</f>
        <v/>
      </c>
      <c r="T2720" s="8" t="str">
        <f aca="false">IF(A2720="","",IF(S2720="","BYPASS",IF(ABS(S2720)&lt;=Summary!$B$2,"PASS","FAIL")))</f>
        <v/>
      </c>
      <c r="U2720" s="8" t="str">
        <f aca="false">IF(T2720="BYPASS",IF(NOT(ISNUMBER(Q2720)),"PreV_ETB missing","End_tr_balance missing"),IF(T2720="FAIL",IF(AND(ISNUMBER(K2720),ISNUMBER(L2720),ABS(L2720-(K2720-IF(ISNUMBER(N2720),N2720,0)-IF(ISNUMBER(O2720),O2720,0)+IF(ISNUMBER(P2720),P2720,0)))&lt;=Summary!$B$2),"Passes using beginning_balance - PreV_ETB differs from beginning_balance",IF(AND(ISNUMBER(O2720),O2720&lt;0,ABS(L2720-(Q2720-IF(ISNUMBER(N2720),N2720,0)+IF(ISNUMBER(P2720),P2720,0)))&lt;=Summary!$B$2),"Negative realized loss not applied - check sign",IF(R2720&lt;0,"Principal paid exceeds prior balance",IF(AND(L2720&gt;Q2720,NOT(ISNUMBER(P2720))),"Balance increased but no Deferred_interest reported",IF(L2720&gt;R2720,"Reported balance higher than expected (missing increase/OC build)","Reported balance lower than expected (missing decrease)"))))),""))</f>
        <v/>
      </c>
    </row>
    <row r="2721" customFormat="false" ht="15" hidden="false" customHeight="false" outlineLevel="0" collapsed="false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9"/>
      <c r="L2721" s="9"/>
      <c r="M2721" s="9"/>
      <c r="N2721" s="9"/>
      <c r="O2721" s="9"/>
      <c r="P2721" s="9"/>
      <c r="Q2721" s="9"/>
      <c r="R2721" s="9" t="str">
        <f aca="false">IF(AND(A2721&lt;&gt;"",ISNUMBER(Q2721),ISNUMBER(L2721)),ROUND(Q2721-IF(ISNUMBER(N2721),N2721,0)-IF(ISNUMBER(O2721),O2721,0)+IF(ISNUMBER(P2721),P2721,0),2),"")</f>
        <v/>
      </c>
      <c r="S2721" s="9" t="str">
        <f aca="false">IF(R2721="","",ROUND(L2721-R2721,2))</f>
        <v/>
      </c>
      <c r="T2721" s="8" t="str">
        <f aca="false">IF(A2721="","",IF(S2721="","BYPASS",IF(ABS(S2721)&lt;=Summary!$B$2,"PASS","FAIL")))</f>
        <v/>
      </c>
      <c r="U2721" s="8" t="str">
        <f aca="false">IF(T2721="BYPASS",IF(NOT(ISNUMBER(Q2721)),"PreV_ETB missing","End_tr_balance missing"),IF(T2721="FAIL",IF(AND(ISNUMBER(K2721),ISNUMBER(L2721),ABS(L2721-(K2721-IF(ISNUMBER(N2721),N2721,0)-IF(ISNUMBER(O2721),O2721,0)+IF(ISNUMBER(P2721),P2721,0)))&lt;=Summary!$B$2),"Passes using beginning_balance - PreV_ETB differs from beginning_balance",IF(AND(ISNUMBER(O2721),O2721&lt;0,ABS(L2721-(Q2721-IF(ISNUMBER(N2721),N2721,0)+IF(ISNUMBER(P2721),P2721,0)))&lt;=Summary!$B$2),"Negative realized loss not applied - check sign",IF(R2721&lt;0,"Principal paid exceeds prior balance",IF(AND(L2721&gt;Q2721,NOT(ISNUMBER(P2721))),"Balance increased but no Deferred_interest reported",IF(L2721&gt;R2721,"Reported balance higher than expected (missing increase/OC build)","Reported balance lower than expected (missing decrease)"))))),""))</f>
        <v/>
      </c>
    </row>
    <row r="2722" customFormat="false" ht="15" hidden="false" customHeight="false" outlineLevel="0" collapsed="false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9"/>
      <c r="L2722" s="9"/>
      <c r="M2722" s="9"/>
      <c r="N2722" s="9"/>
      <c r="O2722" s="9"/>
      <c r="P2722" s="9"/>
      <c r="Q2722" s="9"/>
      <c r="R2722" s="9" t="str">
        <f aca="false">IF(AND(A2722&lt;&gt;"",ISNUMBER(Q2722),ISNUMBER(L2722)),ROUND(Q2722-IF(ISNUMBER(N2722),N2722,0)-IF(ISNUMBER(O2722),O2722,0)+IF(ISNUMBER(P2722),P2722,0),2),"")</f>
        <v/>
      </c>
      <c r="S2722" s="9" t="str">
        <f aca="false">IF(R2722="","",ROUND(L2722-R2722,2))</f>
        <v/>
      </c>
      <c r="T2722" s="8" t="str">
        <f aca="false">IF(A2722="","",IF(S2722="","BYPASS",IF(ABS(S2722)&lt;=Summary!$B$2,"PASS","FAIL")))</f>
        <v/>
      </c>
      <c r="U2722" s="8" t="str">
        <f aca="false">IF(T2722="BYPASS",IF(NOT(ISNUMBER(Q2722)),"PreV_ETB missing","End_tr_balance missing"),IF(T2722="FAIL",IF(AND(ISNUMBER(K2722),ISNUMBER(L2722),ABS(L2722-(K2722-IF(ISNUMBER(N2722),N2722,0)-IF(ISNUMBER(O2722),O2722,0)+IF(ISNUMBER(P2722),P2722,0)))&lt;=Summary!$B$2),"Passes using beginning_balance - PreV_ETB differs from beginning_balance",IF(AND(ISNUMBER(O2722),O2722&lt;0,ABS(L2722-(Q2722-IF(ISNUMBER(N2722),N2722,0)+IF(ISNUMBER(P2722),P2722,0)))&lt;=Summary!$B$2),"Negative realized loss not applied - check sign",IF(R2722&lt;0,"Principal paid exceeds prior balance",IF(AND(L2722&gt;Q2722,NOT(ISNUMBER(P2722))),"Balance increased but no Deferred_interest reported",IF(L2722&gt;R2722,"Reported balance higher than expected (missing increase/OC build)","Reported balance lower than expected (missing decrease)"))))),""))</f>
        <v/>
      </c>
    </row>
    <row r="2723" customFormat="false" ht="15" hidden="false" customHeight="false" outlineLevel="0" collapsed="false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9"/>
      <c r="L2723" s="9"/>
      <c r="M2723" s="9"/>
      <c r="N2723" s="9"/>
      <c r="O2723" s="9"/>
      <c r="P2723" s="9"/>
      <c r="Q2723" s="9"/>
      <c r="R2723" s="9" t="str">
        <f aca="false">IF(AND(A2723&lt;&gt;"",ISNUMBER(Q2723),ISNUMBER(L2723)),ROUND(Q2723-IF(ISNUMBER(N2723),N2723,0)-IF(ISNUMBER(O2723),O2723,0)+IF(ISNUMBER(P2723),P2723,0),2),"")</f>
        <v/>
      </c>
      <c r="S2723" s="9" t="str">
        <f aca="false">IF(R2723="","",ROUND(L2723-R2723,2))</f>
        <v/>
      </c>
      <c r="T2723" s="8" t="str">
        <f aca="false">IF(A2723="","",IF(S2723="","BYPASS",IF(ABS(S2723)&lt;=Summary!$B$2,"PASS","FAIL")))</f>
        <v/>
      </c>
      <c r="U2723" s="8" t="str">
        <f aca="false">IF(T2723="BYPASS",IF(NOT(ISNUMBER(Q2723)),"PreV_ETB missing","End_tr_balance missing"),IF(T2723="FAIL",IF(AND(ISNUMBER(K2723),ISNUMBER(L2723),ABS(L2723-(K2723-IF(ISNUMBER(N2723),N2723,0)-IF(ISNUMBER(O2723),O2723,0)+IF(ISNUMBER(P2723),P2723,0)))&lt;=Summary!$B$2),"Passes using beginning_balance - PreV_ETB differs from beginning_balance",IF(AND(ISNUMBER(O2723),O2723&lt;0,ABS(L2723-(Q2723-IF(ISNUMBER(N2723),N2723,0)+IF(ISNUMBER(P2723),P2723,0)))&lt;=Summary!$B$2),"Negative realized loss not applied - check sign",IF(R2723&lt;0,"Principal paid exceeds prior balance",IF(AND(L2723&gt;Q2723,NOT(ISNUMBER(P2723))),"Balance increased but no Deferred_interest reported",IF(L2723&gt;R2723,"Reported balance higher than expected (missing increase/OC build)","Reported balance lower than expected (missing decrease)"))))),""))</f>
        <v/>
      </c>
    </row>
    <row r="2724" customFormat="false" ht="15" hidden="false" customHeight="false" outlineLevel="0" collapsed="false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9"/>
      <c r="L2724" s="9"/>
      <c r="M2724" s="9"/>
      <c r="N2724" s="9"/>
      <c r="O2724" s="9"/>
      <c r="P2724" s="9"/>
      <c r="Q2724" s="9"/>
      <c r="R2724" s="9" t="str">
        <f aca="false">IF(AND(A2724&lt;&gt;"",ISNUMBER(Q2724),ISNUMBER(L2724)),ROUND(Q2724-IF(ISNUMBER(N2724),N2724,0)-IF(ISNUMBER(O2724),O2724,0)+IF(ISNUMBER(P2724),P2724,0),2),"")</f>
        <v/>
      </c>
      <c r="S2724" s="9" t="str">
        <f aca="false">IF(R2724="","",ROUND(L2724-R2724,2))</f>
        <v/>
      </c>
      <c r="T2724" s="8" t="str">
        <f aca="false">IF(A2724="","",IF(S2724="","BYPASS",IF(ABS(S2724)&lt;=Summary!$B$2,"PASS","FAIL")))</f>
        <v/>
      </c>
      <c r="U2724" s="8" t="str">
        <f aca="false">IF(T2724="BYPASS",IF(NOT(ISNUMBER(Q2724)),"PreV_ETB missing","End_tr_balance missing"),IF(T2724="FAIL",IF(AND(ISNUMBER(K2724),ISNUMBER(L2724),ABS(L2724-(K2724-IF(ISNUMBER(N2724),N2724,0)-IF(ISNUMBER(O2724),O2724,0)+IF(ISNUMBER(P2724),P2724,0)))&lt;=Summary!$B$2),"Passes using beginning_balance - PreV_ETB differs from beginning_balance",IF(AND(ISNUMBER(O2724),O2724&lt;0,ABS(L2724-(Q2724-IF(ISNUMBER(N2724),N2724,0)+IF(ISNUMBER(P2724),P2724,0)))&lt;=Summary!$B$2),"Negative realized loss not applied - check sign",IF(R2724&lt;0,"Principal paid exceeds prior balance",IF(AND(L2724&gt;Q2724,NOT(ISNUMBER(P2724))),"Balance increased but no Deferred_interest reported",IF(L2724&gt;R2724,"Reported balance higher than expected (missing increase/OC build)","Reported balance lower than expected (missing decrease)"))))),""))</f>
        <v/>
      </c>
    </row>
    <row r="2725" customFormat="false" ht="15" hidden="false" customHeight="false" outlineLevel="0" collapsed="false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9"/>
      <c r="L2725" s="9"/>
      <c r="M2725" s="9"/>
      <c r="N2725" s="9"/>
      <c r="O2725" s="9"/>
      <c r="P2725" s="9"/>
      <c r="Q2725" s="9"/>
      <c r="R2725" s="9" t="str">
        <f aca="false">IF(AND(A2725&lt;&gt;"",ISNUMBER(Q2725),ISNUMBER(L2725)),ROUND(Q2725-IF(ISNUMBER(N2725),N2725,0)-IF(ISNUMBER(O2725),O2725,0)+IF(ISNUMBER(P2725),P2725,0),2),"")</f>
        <v/>
      </c>
      <c r="S2725" s="9" t="str">
        <f aca="false">IF(R2725="","",ROUND(L2725-R2725,2))</f>
        <v/>
      </c>
      <c r="T2725" s="8" t="str">
        <f aca="false">IF(A2725="","",IF(S2725="","BYPASS",IF(ABS(S2725)&lt;=Summary!$B$2,"PASS","FAIL")))</f>
        <v/>
      </c>
      <c r="U2725" s="8" t="str">
        <f aca="false">IF(T2725="BYPASS",IF(NOT(ISNUMBER(Q2725)),"PreV_ETB missing","End_tr_balance missing"),IF(T2725="FAIL",IF(AND(ISNUMBER(K2725),ISNUMBER(L2725),ABS(L2725-(K2725-IF(ISNUMBER(N2725),N2725,0)-IF(ISNUMBER(O2725),O2725,0)+IF(ISNUMBER(P2725),P2725,0)))&lt;=Summary!$B$2),"Passes using beginning_balance - PreV_ETB differs from beginning_balance",IF(AND(ISNUMBER(O2725),O2725&lt;0,ABS(L2725-(Q2725-IF(ISNUMBER(N2725),N2725,0)+IF(ISNUMBER(P2725),P2725,0)))&lt;=Summary!$B$2),"Negative realized loss not applied - check sign",IF(R2725&lt;0,"Principal paid exceeds prior balance",IF(AND(L2725&gt;Q2725,NOT(ISNUMBER(P2725))),"Balance increased but no Deferred_interest reported",IF(L2725&gt;R2725,"Reported balance higher than expected (missing increase/OC build)","Reported balance lower than expected (missing decrease)"))))),""))</f>
        <v/>
      </c>
    </row>
    <row r="2726" customFormat="false" ht="15" hidden="false" customHeight="false" outlineLevel="0" collapsed="false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9"/>
      <c r="L2726" s="9"/>
      <c r="M2726" s="9"/>
      <c r="N2726" s="9"/>
      <c r="O2726" s="9"/>
      <c r="P2726" s="9"/>
      <c r="Q2726" s="9"/>
      <c r="R2726" s="9" t="str">
        <f aca="false">IF(AND(A2726&lt;&gt;"",ISNUMBER(Q2726),ISNUMBER(L2726)),ROUND(Q2726-IF(ISNUMBER(N2726),N2726,0)-IF(ISNUMBER(O2726),O2726,0)+IF(ISNUMBER(P2726),P2726,0),2),"")</f>
        <v/>
      </c>
      <c r="S2726" s="9" t="str">
        <f aca="false">IF(R2726="","",ROUND(L2726-R2726,2))</f>
        <v/>
      </c>
      <c r="T2726" s="8" t="str">
        <f aca="false">IF(A2726="","",IF(S2726="","BYPASS",IF(ABS(S2726)&lt;=Summary!$B$2,"PASS","FAIL")))</f>
        <v/>
      </c>
      <c r="U2726" s="8" t="str">
        <f aca="false">IF(T2726="BYPASS",IF(NOT(ISNUMBER(Q2726)),"PreV_ETB missing","End_tr_balance missing"),IF(T2726="FAIL",IF(AND(ISNUMBER(K2726),ISNUMBER(L2726),ABS(L2726-(K2726-IF(ISNUMBER(N2726),N2726,0)-IF(ISNUMBER(O2726),O2726,0)+IF(ISNUMBER(P2726),P2726,0)))&lt;=Summary!$B$2),"Passes using beginning_balance - PreV_ETB differs from beginning_balance",IF(AND(ISNUMBER(O2726),O2726&lt;0,ABS(L2726-(Q2726-IF(ISNUMBER(N2726),N2726,0)+IF(ISNUMBER(P2726),P2726,0)))&lt;=Summary!$B$2),"Negative realized loss not applied - check sign",IF(R2726&lt;0,"Principal paid exceeds prior balance",IF(AND(L2726&gt;Q2726,NOT(ISNUMBER(P2726))),"Balance increased but no Deferred_interest reported",IF(L2726&gt;R2726,"Reported balance higher than expected (missing increase/OC build)","Reported balance lower than expected (missing decrease)"))))),""))</f>
        <v/>
      </c>
    </row>
    <row r="2727" customFormat="false" ht="15" hidden="false" customHeight="false" outlineLevel="0" collapsed="false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9"/>
      <c r="L2727" s="9"/>
      <c r="M2727" s="9"/>
      <c r="N2727" s="9"/>
      <c r="O2727" s="9"/>
      <c r="P2727" s="9"/>
      <c r="Q2727" s="9"/>
      <c r="R2727" s="9" t="str">
        <f aca="false">IF(AND(A2727&lt;&gt;"",ISNUMBER(Q2727),ISNUMBER(L2727)),ROUND(Q2727-IF(ISNUMBER(N2727),N2727,0)-IF(ISNUMBER(O2727),O2727,0)+IF(ISNUMBER(P2727),P2727,0),2),"")</f>
        <v/>
      </c>
      <c r="S2727" s="9" t="str">
        <f aca="false">IF(R2727="","",ROUND(L2727-R2727,2))</f>
        <v/>
      </c>
      <c r="T2727" s="8" t="str">
        <f aca="false">IF(A2727="","",IF(S2727="","BYPASS",IF(ABS(S2727)&lt;=Summary!$B$2,"PASS","FAIL")))</f>
        <v/>
      </c>
      <c r="U2727" s="8" t="str">
        <f aca="false">IF(T2727="BYPASS",IF(NOT(ISNUMBER(Q2727)),"PreV_ETB missing","End_tr_balance missing"),IF(T2727="FAIL",IF(AND(ISNUMBER(K2727),ISNUMBER(L2727),ABS(L2727-(K2727-IF(ISNUMBER(N2727),N2727,0)-IF(ISNUMBER(O2727),O2727,0)+IF(ISNUMBER(P2727),P2727,0)))&lt;=Summary!$B$2),"Passes using beginning_balance - PreV_ETB differs from beginning_balance",IF(AND(ISNUMBER(O2727),O2727&lt;0,ABS(L2727-(Q2727-IF(ISNUMBER(N2727),N2727,0)+IF(ISNUMBER(P2727),P2727,0)))&lt;=Summary!$B$2),"Negative realized loss not applied - check sign",IF(R2727&lt;0,"Principal paid exceeds prior balance",IF(AND(L2727&gt;Q2727,NOT(ISNUMBER(P2727))),"Balance increased but no Deferred_interest reported",IF(L2727&gt;R2727,"Reported balance higher than expected (missing increase/OC build)","Reported balance lower than expected (missing decrease)"))))),""))</f>
        <v/>
      </c>
    </row>
    <row r="2728" customFormat="false" ht="15" hidden="false" customHeight="false" outlineLevel="0" collapsed="false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9"/>
      <c r="L2728" s="9"/>
      <c r="M2728" s="9"/>
      <c r="N2728" s="9"/>
      <c r="O2728" s="9"/>
      <c r="P2728" s="9"/>
      <c r="Q2728" s="9"/>
      <c r="R2728" s="9" t="str">
        <f aca="false">IF(AND(A2728&lt;&gt;"",ISNUMBER(Q2728),ISNUMBER(L2728)),ROUND(Q2728-IF(ISNUMBER(N2728),N2728,0)-IF(ISNUMBER(O2728),O2728,0)+IF(ISNUMBER(P2728),P2728,0),2),"")</f>
        <v/>
      </c>
      <c r="S2728" s="9" t="str">
        <f aca="false">IF(R2728="","",ROUND(L2728-R2728,2))</f>
        <v/>
      </c>
      <c r="T2728" s="8" t="str">
        <f aca="false">IF(A2728="","",IF(S2728="","BYPASS",IF(ABS(S2728)&lt;=Summary!$B$2,"PASS","FAIL")))</f>
        <v/>
      </c>
      <c r="U2728" s="8" t="str">
        <f aca="false">IF(T2728="BYPASS",IF(NOT(ISNUMBER(Q2728)),"PreV_ETB missing","End_tr_balance missing"),IF(T2728="FAIL",IF(AND(ISNUMBER(K2728),ISNUMBER(L2728),ABS(L2728-(K2728-IF(ISNUMBER(N2728),N2728,0)-IF(ISNUMBER(O2728),O2728,0)+IF(ISNUMBER(P2728),P2728,0)))&lt;=Summary!$B$2),"Passes using beginning_balance - PreV_ETB differs from beginning_balance",IF(AND(ISNUMBER(O2728),O2728&lt;0,ABS(L2728-(Q2728-IF(ISNUMBER(N2728),N2728,0)+IF(ISNUMBER(P2728),P2728,0)))&lt;=Summary!$B$2),"Negative realized loss not applied - check sign",IF(R2728&lt;0,"Principal paid exceeds prior balance",IF(AND(L2728&gt;Q2728,NOT(ISNUMBER(P2728))),"Balance increased but no Deferred_interest reported",IF(L2728&gt;R2728,"Reported balance higher than expected (missing increase/OC build)","Reported balance lower than expected (missing decrease)"))))),""))</f>
        <v/>
      </c>
    </row>
    <row r="2729" customFormat="false" ht="15" hidden="false" customHeight="false" outlineLevel="0" collapsed="false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9"/>
      <c r="L2729" s="9"/>
      <c r="M2729" s="9"/>
      <c r="N2729" s="9"/>
      <c r="O2729" s="9"/>
      <c r="P2729" s="9"/>
      <c r="Q2729" s="9"/>
      <c r="R2729" s="9" t="str">
        <f aca="false">IF(AND(A2729&lt;&gt;"",ISNUMBER(Q2729),ISNUMBER(L2729)),ROUND(Q2729-IF(ISNUMBER(N2729),N2729,0)-IF(ISNUMBER(O2729),O2729,0)+IF(ISNUMBER(P2729),P2729,0),2),"")</f>
        <v/>
      </c>
      <c r="S2729" s="9" t="str">
        <f aca="false">IF(R2729="","",ROUND(L2729-R2729,2))</f>
        <v/>
      </c>
      <c r="T2729" s="8" t="str">
        <f aca="false">IF(A2729="","",IF(S2729="","BYPASS",IF(ABS(S2729)&lt;=Summary!$B$2,"PASS","FAIL")))</f>
        <v/>
      </c>
      <c r="U2729" s="8" t="str">
        <f aca="false">IF(T2729="BYPASS",IF(NOT(ISNUMBER(Q2729)),"PreV_ETB missing","End_tr_balance missing"),IF(T2729="FAIL",IF(AND(ISNUMBER(K2729),ISNUMBER(L2729),ABS(L2729-(K2729-IF(ISNUMBER(N2729),N2729,0)-IF(ISNUMBER(O2729),O2729,0)+IF(ISNUMBER(P2729),P2729,0)))&lt;=Summary!$B$2),"Passes using beginning_balance - PreV_ETB differs from beginning_balance",IF(AND(ISNUMBER(O2729),O2729&lt;0,ABS(L2729-(Q2729-IF(ISNUMBER(N2729),N2729,0)+IF(ISNUMBER(P2729),P2729,0)))&lt;=Summary!$B$2),"Negative realized loss not applied - check sign",IF(R2729&lt;0,"Principal paid exceeds prior balance",IF(AND(L2729&gt;Q2729,NOT(ISNUMBER(P2729))),"Balance increased but no Deferred_interest reported",IF(L2729&gt;R2729,"Reported balance higher than expected (missing increase/OC build)","Reported balance lower than expected (missing decrease)"))))),""))</f>
        <v/>
      </c>
    </row>
    <row r="2730" customFormat="false" ht="15" hidden="false" customHeight="false" outlineLevel="0" collapsed="false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9"/>
      <c r="L2730" s="9"/>
      <c r="M2730" s="9"/>
      <c r="N2730" s="9"/>
      <c r="O2730" s="9"/>
      <c r="P2730" s="9"/>
      <c r="Q2730" s="9"/>
      <c r="R2730" s="9" t="str">
        <f aca="false">IF(AND(A2730&lt;&gt;"",ISNUMBER(Q2730),ISNUMBER(L2730)),ROUND(Q2730-IF(ISNUMBER(N2730),N2730,0)-IF(ISNUMBER(O2730),O2730,0)+IF(ISNUMBER(P2730),P2730,0),2),"")</f>
        <v/>
      </c>
      <c r="S2730" s="9" t="str">
        <f aca="false">IF(R2730="","",ROUND(L2730-R2730,2))</f>
        <v/>
      </c>
      <c r="T2730" s="8" t="str">
        <f aca="false">IF(A2730="","",IF(S2730="","BYPASS",IF(ABS(S2730)&lt;=Summary!$B$2,"PASS","FAIL")))</f>
        <v/>
      </c>
      <c r="U2730" s="8" t="str">
        <f aca="false">IF(T2730="BYPASS",IF(NOT(ISNUMBER(Q2730)),"PreV_ETB missing","End_tr_balance missing"),IF(T2730="FAIL",IF(AND(ISNUMBER(K2730),ISNUMBER(L2730),ABS(L2730-(K2730-IF(ISNUMBER(N2730),N2730,0)-IF(ISNUMBER(O2730),O2730,0)+IF(ISNUMBER(P2730),P2730,0)))&lt;=Summary!$B$2),"Passes using beginning_balance - PreV_ETB differs from beginning_balance",IF(AND(ISNUMBER(O2730),O2730&lt;0,ABS(L2730-(Q2730-IF(ISNUMBER(N2730),N2730,0)+IF(ISNUMBER(P2730),P2730,0)))&lt;=Summary!$B$2),"Negative realized loss not applied - check sign",IF(R2730&lt;0,"Principal paid exceeds prior balance",IF(AND(L2730&gt;Q2730,NOT(ISNUMBER(P2730))),"Balance increased but no Deferred_interest reported",IF(L2730&gt;R2730,"Reported balance higher than expected (missing increase/OC build)","Reported balance lower than expected (missing decrease)"))))),""))</f>
        <v/>
      </c>
    </row>
    <row r="2731" customFormat="false" ht="15" hidden="false" customHeight="false" outlineLevel="0" collapsed="false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9"/>
      <c r="L2731" s="9"/>
      <c r="M2731" s="9"/>
      <c r="N2731" s="9"/>
      <c r="O2731" s="9"/>
      <c r="P2731" s="9"/>
      <c r="Q2731" s="9"/>
      <c r="R2731" s="9" t="str">
        <f aca="false">IF(AND(A2731&lt;&gt;"",ISNUMBER(Q2731),ISNUMBER(L2731)),ROUND(Q2731-IF(ISNUMBER(N2731),N2731,0)-IF(ISNUMBER(O2731),O2731,0)+IF(ISNUMBER(P2731),P2731,0),2),"")</f>
        <v/>
      </c>
      <c r="S2731" s="9" t="str">
        <f aca="false">IF(R2731="","",ROUND(L2731-R2731,2))</f>
        <v/>
      </c>
      <c r="T2731" s="8" t="str">
        <f aca="false">IF(A2731="","",IF(S2731="","BYPASS",IF(ABS(S2731)&lt;=Summary!$B$2,"PASS","FAIL")))</f>
        <v/>
      </c>
      <c r="U2731" s="8" t="str">
        <f aca="false">IF(T2731="BYPASS",IF(NOT(ISNUMBER(Q2731)),"PreV_ETB missing","End_tr_balance missing"),IF(T2731="FAIL",IF(AND(ISNUMBER(K2731),ISNUMBER(L2731),ABS(L2731-(K2731-IF(ISNUMBER(N2731),N2731,0)-IF(ISNUMBER(O2731),O2731,0)+IF(ISNUMBER(P2731),P2731,0)))&lt;=Summary!$B$2),"Passes using beginning_balance - PreV_ETB differs from beginning_balance",IF(AND(ISNUMBER(O2731),O2731&lt;0,ABS(L2731-(Q2731-IF(ISNUMBER(N2731),N2731,0)+IF(ISNUMBER(P2731),P2731,0)))&lt;=Summary!$B$2),"Negative realized loss not applied - check sign",IF(R2731&lt;0,"Principal paid exceeds prior balance",IF(AND(L2731&gt;Q2731,NOT(ISNUMBER(P2731))),"Balance increased but no Deferred_interest reported",IF(L2731&gt;R2731,"Reported balance higher than expected (missing increase/OC build)","Reported balance lower than expected (missing decrease)"))))),""))</f>
        <v/>
      </c>
    </row>
    <row r="2732" customFormat="false" ht="15" hidden="false" customHeight="false" outlineLevel="0" collapsed="false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9"/>
      <c r="L2732" s="9"/>
      <c r="M2732" s="9"/>
      <c r="N2732" s="9"/>
      <c r="O2732" s="9"/>
      <c r="P2732" s="9"/>
      <c r="Q2732" s="9"/>
      <c r="R2732" s="9" t="str">
        <f aca="false">IF(AND(A2732&lt;&gt;"",ISNUMBER(Q2732),ISNUMBER(L2732)),ROUND(Q2732-IF(ISNUMBER(N2732),N2732,0)-IF(ISNUMBER(O2732),O2732,0)+IF(ISNUMBER(P2732),P2732,0),2),"")</f>
        <v/>
      </c>
      <c r="S2732" s="9" t="str">
        <f aca="false">IF(R2732="","",ROUND(L2732-R2732,2))</f>
        <v/>
      </c>
      <c r="T2732" s="8" t="str">
        <f aca="false">IF(A2732="","",IF(S2732="","BYPASS",IF(ABS(S2732)&lt;=Summary!$B$2,"PASS","FAIL")))</f>
        <v/>
      </c>
      <c r="U2732" s="8" t="str">
        <f aca="false">IF(T2732="BYPASS",IF(NOT(ISNUMBER(Q2732)),"PreV_ETB missing","End_tr_balance missing"),IF(T2732="FAIL",IF(AND(ISNUMBER(K2732),ISNUMBER(L2732),ABS(L2732-(K2732-IF(ISNUMBER(N2732),N2732,0)-IF(ISNUMBER(O2732),O2732,0)+IF(ISNUMBER(P2732),P2732,0)))&lt;=Summary!$B$2),"Passes using beginning_balance - PreV_ETB differs from beginning_balance",IF(AND(ISNUMBER(O2732),O2732&lt;0,ABS(L2732-(Q2732-IF(ISNUMBER(N2732),N2732,0)+IF(ISNUMBER(P2732),P2732,0)))&lt;=Summary!$B$2),"Negative realized loss not applied - check sign",IF(R2732&lt;0,"Principal paid exceeds prior balance",IF(AND(L2732&gt;Q2732,NOT(ISNUMBER(P2732))),"Balance increased but no Deferred_interest reported",IF(L2732&gt;R2732,"Reported balance higher than expected (missing increase/OC build)","Reported balance lower than expected (missing decrease)"))))),""))</f>
        <v/>
      </c>
    </row>
    <row r="2733" customFormat="false" ht="15" hidden="false" customHeight="false" outlineLevel="0" collapsed="false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9"/>
      <c r="L2733" s="9"/>
      <c r="M2733" s="9"/>
      <c r="N2733" s="9"/>
      <c r="O2733" s="9"/>
      <c r="P2733" s="9"/>
      <c r="Q2733" s="9"/>
      <c r="R2733" s="9" t="str">
        <f aca="false">IF(AND(A2733&lt;&gt;"",ISNUMBER(Q2733),ISNUMBER(L2733)),ROUND(Q2733-IF(ISNUMBER(N2733),N2733,0)-IF(ISNUMBER(O2733),O2733,0)+IF(ISNUMBER(P2733),P2733,0),2),"")</f>
        <v/>
      </c>
      <c r="S2733" s="9" t="str">
        <f aca="false">IF(R2733="","",ROUND(L2733-R2733,2))</f>
        <v/>
      </c>
      <c r="T2733" s="8" t="str">
        <f aca="false">IF(A2733="","",IF(S2733="","BYPASS",IF(ABS(S2733)&lt;=Summary!$B$2,"PASS","FAIL")))</f>
        <v/>
      </c>
      <c r="U2733" s="8" t="str">
        <f aca="false">IF(T2733="BYPASS",IF(NOT(ISNUMBER(Q2733)),"PreV_ETB missing","End_tr_balance missing"),IF(T2733="FAIL",IF(AND(ISNUMBER(K2733),ISNUMBER(L2733),ABS(L2733-(K2733-IF(ISNUMBER(N2733),N2733,0)-IF(ISNUMBER(O2733),O2733,0)+IF(ISNUMBER(P2733),P2733,0)))&lt;=Summary!$B$2),"Passes using beginning_balance - PreV_ETB differs from beginning_balance",IF(AND(ISNUMBER(O2733),O2733&lt;0,ABS(L2733-(Q2733-IF(ISNUMBER(N2733),N2733,0)+IF(ISNUMBER(P2733),P2733,0)))&lt;=Summary!$B$2),"Negative realized loss not applied - check sign",IF(R2733&lt;0,"Principal paid exceeds prior balance",IF(AND(L2733&gt;Q2733,NOT(ISNUMBER(P2733))),"Balance increased but no Deferred_interest reported",IF(L2733&gt;R2733,"Reported balance higher than expected (missing increase/OC build)","Reported balance lower than expected (missing decrease)"))))),""))</f>
        <v/>
      </c>
    </row>
    <row r="2734" customFormat="false" ht="15" hidden="false" customHeight="false" outlineLevel="0" collapsed="false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9"/>
      <c r="L2734" s="9"/>
      <c r="M2734" s="9"/>
      <c r="N2734" s="9"/>
      <c r="O2734" s="9"/>
      <c r="P2734" s="9"/>
      <c r="Q2734" s="9"/>
      <c r="R2734" s="9" t="str">
        <f aca="false">IF(AND(A2734&lt;&gt;"",ISNUMBER(Q2734),ISNUMBER(L2734)),ROUND(Q2734-IF(ISNUMBER(N2734),N2734,0)-IF(ISNUMBER(O2734),O2734,0)+IF(ISNUMBER(P2734),P2734,0),2),"")</f>
        <v/>
      </c>
      <c r="S2734" s="9" t="str">
        <f aca="false">IF(R2734="","",ROUND(L2734-R2734,2))</f>
        <v/>
      </c>
      <c r="T2734" s="8" t="str">
        <f aca="false">IF(A2734="","",IF(S2734="","BYPASS",IF(ABS(S2734)&lt;=Summary!$B$2,"PASS","FAIL")))</f>
        <v/>
      </c>
      <c r="U2734" s="8" t="str">
        <f aca="false">IF(T2734="BYPASS",IF(NOT(ISNUMBER(Q2734)),"PreV_ETB missing","End_tr_balance missing"),IF(T2734="FAIL",IF(AND(ISNUMBER(K2734),ISNUMBER(L2734),ABS(L2734-(K2734-IF(ISNUMBER(N2734),N2734,0)-IF(ISNUMBER(O2734),O2734,0)+IF(ISNUMBER(P2734),P2734,0)))&lt;=Summary!$B$2),"Passes using beginning_balance - PreV_ETB differs from beginning_balance",IF(AND(ISNUMBER(O2734),O2734&lt;0,ABS(L2734-(Q2734-IF(ISNUMBER(N2734),N2734,0)+IF(ISNUMBER(P2734),P2734,0)))&lt;=Summary!$B$2),"Negative realized loss not applied - check sign",IF(R2734&lt;0,"Principal paid exceeds prior balance",IF(AND(L2734&gt;Q2734,NOT(ISNUMBER(P2734))),"Balance increased but no Deferred_interest reported",IF(L2734&gt;R2734,"Reported balance higher than expected (missing increase/OC build)","Reported balance lower than expected (missing decrease)"))))),""))</f>
        <v/>
      </c>
    </row>
    <row r="2735" customFormat="false" ht="15" hidden="false" customHeight="false" outlineLevel="0" collapsed="false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9"/>
      <c r="L2735" s="9"/>
      <c r="M2735" s="9"/>
      <c r="N2735" s="9"/>
      <c r="O2735" s="9"/>
      <c r="P2735" s="9"/>
      <c r="Q2735" s="9"/>
      <c r="R2735" s="9" t="str">
        <f aca="false">IF(AND(A2735&lt;&gt;"",ISNUMBER(Q2735),ISNUMBER(L2735)),ROUND(Q2735-IF(ISNUMBER(N2735),N2735,0)-IF(ISNUMBER(O2735),O2735,0)+IF(ISNUMBER(P2735),P2735,0),2),"")</f>
        <v/>
      </c>
      <c r="S2735" s="9" t="str">
        <f aca="false">IF(R2735="","",ROUND(L2735-R2735,2))</f>
        <v/>
      </c>
      <c r="T2735" s="8" t="str">
        <f aca="false">IF(A2735="","",IF(S2735="","BYPASS",IF(ABS(S2735)&lt;=Summary!$B$2,"PASS","FAIL")))</f>
        <v/>
      </c>
      <c r="U2735" s="8" t="str">
        <f aca="false">IF(T2735="BYPASS",IF(NOT(ISNUMBER(Q2735)),"PreV_ETB missing","End_tr_balance missing"),IF(T2735="FAIL",IF(AND(ISNUMBER(K2735),ISNUMBER(L2735),ABS(L2735-(K2735-IF(ISNUMBER(N2735),N2735,0)-IF(ISNUMBER(O2735),O2735,0)+IF(ISNUMBER(P2735),P2735,0)))&lt;=Summary!$B$2),"Passes using beginning_balance - PreV_ETB differs from beginning_balance",IF(AND(ISNUMBER(O2735),O2735&lt;0,ABS(L2735-(Q2735-IF(ISNUMBER(N2735),N2735,0)+IF(ISNUMBER(P2735),P2735,0)))&lt;=Summary!$B$2),"Negative realized loss not applied - check sign",IF(R2735&lt;0,"Principal paid exceeds prior balance",IF(AND(L2735&gt;Q2735,NOT(ISNUMBER(P2735))),"Balance increased but no Deferred_interest reported",IF(L2735&gt;R2735,"Reported balance higher than expected (missing increase/OC build)","Reported balance lower than expected (missing decrease)"))))),""))</f>
        <v/>
      </c>
    </row>
    <row r="2736" customFormat="false" ht="15" hidden="false" customHeight="false" outlineLevel="0" collapsed="false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9"/>
      <c r="L2736" s="9"/>
      <c r="M2736" s="9"/>
      <c r="N2736" s="9"/>
      <c r="O2736" s="9"/>
      <c r="P2736" s="9"/>
      <c r="Q2736" s="9"/>
      <c r="R2736" s="9" t="str">
        <f aca="false">IF(AND(A2736&lt;&gt;"",ISNUMBER(Q2736),ISNUMBER(L2736)),ROUND(Q2736-IF(ISNUMBER(N2736),N2736,0)-IF(ISNUMBER(O2736),O2736,0)+IF(ISNUMBER(P2736),P2736,0),2),"")</f>
        <v/>
      </c>
      <c r="S2736" s="9" t="str">
        <f aca="false">IF(R2736="","",ROUND(L2736-R2736,2))</f>
        <v/>
      </c>
      <c r="T2736" s="8" t="str">
        <f aca="false">IF(A2736="","",IF(S2736="","BYPASS",IF(ABS(S2736)&lt;=Summary!$B$2,"PASS","FAIL")))</f>
        <v/>
      </c>
      <c r="U2736" s="8" t="str">
        <f aca="false">IF(T2736="BYPASS",IF(NOT(ISNUMBER(Q2736)),"PreV_ETB missing","End_tr_balance missing"),IF(T2736="FAIL",IF(AND(ISNUMBER(K2736),ISNUMBER(L2736),ABS(L2736-(K2736-IF(ISNUMBER(N2736),N2736,0)-IF(ISNUMBER(O2736),O2736,0)+IF(ISNUMBER(P2736),P2736,0)))&lt;=Summary!$B$2),"Passes using beginning_balance - PreV_ETB differs from beginning_balance",IF(AND(ISNUMBER(O2736),O2736&lt;0,ABS(L2736-(Q2736-IF(ISNUMBER(N2736),N2736,0)+IF(ISNUMBER(P2736),P2736,0)))&lt;=Summary!$B$2),"Negative realized loss not applied - check sign",IF(R2736&lt;0,"Principal paid exceeds prior balance",IF(AND(L2736&gt;Q2736,NOT(ISNUMBER(P2736))),"Balance increased but no Deferred_interest reported",IF(L2736&gt;R2736,"Reported balance higher than expected (missing increase/OC build)","Reported balance lower than expected (missing decrease)"))))),""))</f>
        <v/>
      </c>
    </row>
    <row r="2737" customFormat="false" ht="15" hidden="false" customHeight="false" outlineLevel="0" collapsed="false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9"/>
      <c r="L2737" s="9"/>
      <c r="M2737" s="9"/>
      <c r="N2737" s="9"/>
      <c r="O2737" s="9"/>
      <c r="P2737" s="9"/>
      <c r="Q2737" s="9"/>
      <c r="R2737" s="9" t="str">
        <f aca="false">IF(AND(A2737&lt;&gt;"",ISNUMBER(Q2737),ISNUMBER(L2737)),ROUND(Q2737-IF(ISNUMBER(N2737),N2737,0)-IF(ISNUMBER(O2737),O2737,0)+IF(ISNUMBER(P2737),P2737,0),2),"")</f>
        <v/>
      </c>
      <c r="S2737" s="9" t="str">
        <f aca="false">IF(R2737="","",ROUND(L2737-R2737,2))</f>
        <v/>
      </c>
      <c r="T2737" s="8" t="str">
        <f aca="false">IF(A2737="","",IF(S2737="","BYPASS",IF(ABS(S2737)&lt;=Summary!$B$2,"PASS","FAIL")))</f>
        <v/>
      </c>
      <c r="U2737" s="8" t="str">
        <f aca="false">IF(T2737="BYPASS",IF(NOT(ISNUMBER(Q2737)),"PreV_ETB missing","End_tr_balance missing"),IF(T2737="FAIL",IF(AND(ISNUMBER(K2737),ISNUMBER(L2737),ABS(L2737-(K2737-IF(ISNUMBER(N2737),N2737,0)-IF(ISNUMBER(O2737),O2737,0)+IF(ISNUMBER(P2737),P2737,0)))&lt;=Summary!$B$2),"Passes using beginning_balance - PreV_ETB differs from beginning_balance",IF(AND(ISNUMBER(O2737),O2737&lt;0,ABS(L2737-(Q2737-IF(ISNUMBER(N2737),N2737,0)+IF(ISNUMBER(P2737),P2737,0)))&lt;=Summary!$B$2),"Negative realized loss not applied - check sign",IF(R2737&lt;0,"Principal paid exceeds prior balance",IF(AND(L2737&gt;Q2737,NOT(ISNUMBER(P2737))),"Balance increased but no Deferred_interest reported",IF(L2737&gt;R2737,"Reported balance higher than expected (missing increase/OC build)","Reported balance lower than expected (missing decrease)"))))),""))</f>
        <v/>
      </c>
    </row>
    <row r="2738" customFormat="false" ht="15" hidden="false" customHeight="false" outlineLevel="0" collapsed="false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9"/>
      <c r="L2738" s="9"/>
      <c r="M2738" s="9"/>
      <c r="N2738" s="9"/>
      <c r="O2738" s="9"/>
      <c r="P2738" s="9"/>
      <c r="Q2738" s="9"/>
      <c r="R2738" s="9" t="str">
        <f aca="false">IF(AND(A2738&lt;&gt;"",ISNUMBER(Q2738),ISNUMBER(L2738)),ROUND(Q2738-IF(ISNUMBER(N2738),N2738,0)-IF(ISNUMBER(O2738),O2738,0)+IF(ISNUMBER(P2738),P2738,0),2),"")</f>
        <v/>
      </c>
      <c r="S2738" s="9" t="str">
        <f aca="false">IF(R2738="","",ROUND(L2738-R2738,2))</f>
        <v/>
      </c>
      <c r="T2738" s="8" t="str">
        <f aca="false">IF(A2738="","",IF(S2738="","BYPASS",IF(ABS(S2738)&lt;=Summary!$B$2,"PASS","FAIL")))</f>
        <v/>
      </c>
      <c r="U2738" s="8" t="str">
        <f aca="false">IF(T2738="BYPASS",IF(NOT(ISNUMBER(Q2738)),"PreV_ETB missing","End_tr_balance missing"),IF(T2738="FAIL",IF(AND(ISNUMBER(K2738),ISNUMBER(L2738),ABS(L2738-(K2738-IF(ISNUMBER(N2738),N2738,0)-IF(ISNUMBER(O2738),O2738,0)+IF(ISNUMBER(P2738),P2738,0)))&lt;=Summary!$B$2),"Passes using beginning_balance - PreV_ETB differs from beginning_balance",IF(AND(ISNUMBER(O2738),O2738&lt;0,ABS(L2738-(Q2738-IF(ISNUMBER(N2738),N2738,0)+IF(ISNUMBER(P2738),P2738,0)))&lt;=Summary!$B$2),"Negative realized loss not applied - check sign",IF(R2738&lt;0,"Principal paid exceeds prior balance",IF(AND(L2738&gt;Q2738,NOT(ISNUMBER(P2738))),"Balance increased but no Deferred_interest reported",IF(L2738&gt;R2738,"Reported balance higher than expected (missing increase/OC build)","Reported balance lower than expected (missing decrease)"))))),""))</f>
        <v/>
      </c>
    </row>
    <row r="2739" customFormat="false" ht="15" hidden="false" customHeight="false" outlineLevel="0" collapsed="false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9"/>
      <c r="L2739" s="9"/>
      <c r="M2739" s="9"/>
      <c r="N2739" s="9"/>
      <c r="O2739" s="9"/>
      <c r="P2739" s="9"/>
      <c r="Q2739" s="9"/>
      <c r="R2739" s="9" t="str">
        <f aca="false">IF(AND(A2739&lt;&gt;"",ISNUMBER(Q2739),ISNUMBER(L2739)),ROUND(Q2739-IF(ISNUMBER(N2739),N2739,0)-IF(ISNUMBER(O2739),O2739,0)+IF(ISNUMBER(P2739),P2739,0),2),"")</f>
        <v/>
      </c>
      <c r="S2739" s="9" t="str">
        <f aca="false">IF(R2739="","",ROUND(L2739-R2739,2))</f>
        <v/>
      </c>
      <c r="T2739" s="8" t="str">
        <f aca="false">IF(A2739="","",IF(S2739="","BYPASS",IF(ABS(S2739)&lt;=Summary!$B$2,"PASS","FAIL")))</f>
        <v/>
      </c>
      <c r="U2739" s="8" t="str">
        <f aca="false">IF(T2739="BYPASS",IF(NOT(ISNUMBER(Q2739)),"PreV_ETB missing","End_tr_balance missing"),IF(T2739="FAIL",IF(AND(ISNUMBER(K2739),ISNUMBER(L2739),ABS(L2739-(K2739-IF(ISNUMBER(N2739),N2739,0)-IF(ISNUMBER(O2739),O2739,0)+IF(ISNUMBER(P2739),P2739,0)))&lt;=Summary!$B$2),"Passes using beginning_balance - PreV_ETB differs from beginning_balance",IF(AND(ISNUMBER(O2739),O2739&lt;0,ABS(L2739-(Q2739-IF(ISNUMBER(N2739),N2739,0)+IF(ISNUMBER(P2739),P2739,0)))&lt;=Summary!$B$2),"Negative realized loss not applied - check sign",IF(R2739&lt;0,"Principal paid exceeds prior balance",IF(AND(L2739&gt;Q2739,NOT(ISNUMBER(P2739))),"Balance increased but no Deferred_interest reported",IF(L2739&gt;R2739,"Reported balance higher than expected (missing increase/OC build)","Reported balance lower than expected (missing decrease)"))))),""))</f>
        <v/>
      </c>
    </row>
    <row r="2740" customFormat="false" ht="15" hidden="false" customHeight="false" outlineLevel="0" collapsed="false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9"/>
      <c r="L2740" s="9"/>
      <c r="M2740" s="9"/>
      <c r="N2740" s="9"/>
      <c r="O2740" s="9"/>
      <c r="P2740" s="9"/>
      <c r="Q2740" s="9"/>
      <c r="R2740" s="9" t="str">
        <f aca="false">IF(AND(A2740&lt;&gt;"",ISNUMBER(Q2740),ISNUMBER(L2740)),ROUND(Q2740-IF(ISNUMBER(N2740),N2740,0)-IF(ISNUMBER(O2740),O2740,0)+IF(ISNUMBER(P2740),P2740,0),2),"")</f>
        <v/>
      </c>
      <c r="S2740" s="9" t="str">
        <f aca="false">IF(R2740="","",ROUND(L2740-R2740,2))</f>
        <v/>
      </c>
      <c r="T2740" s="8" t="str">
        <f aca="false">IF(A2740="","",IF(S2740="","BYPASS",IF(ABS(S2740)&lt;=Summary!$B$2,"PASS","FAIL")))</f>
        <v/>
      </c>
      <c r="U2740" s="8" t="str">
        <f aca="false">IF(T2740="BYPASS",IF(NOT(ISNUMBER(Q2740)),"PreV_ETB missing","End_tr_balance missing"),IF(T2740="FAIL",IF(AND(ISNUMBER(K2740),ISNUMBER(L2740),ABS(L2740-(K2740-IF(ISNUMBER(N2740),N2740,0)-IF(ISNUMBER(O2740),O2740,0)+IF(ISNUMBER(P2740),P2740,0)))&lt;=Summary!$B$2),"Passes using beginning_balance - PreV_ETB differs from beginning_balance",IF(AND(ISNUMBER(O2740),O2740&lt;0,ABS(L2740-(Q2740-IF(ISNUMBER(N2740),N2740,0)+IF(ISNUMBER(P2740),P2740,0)))&lt;=Summary!$B$2),"Negative realized loss not applied - check sign",IF(R2740&lt;0,"Principal paid exceeds prior balance",IF(AND(L2740&gt;Q2740,NOT(ISNUMBER(P2740))),"Balance increased but no Deferred_interest reported",IF(L2740&gt;R2740,"Reported balance higher than expected (missing increase/OC build)","Reported balance lower than expected (missing decrease)"))))),""))</f>
        <v/>
      </c>
    </row>
    <row r="2741" customFormat="false" ht="15" hidden="false" customHeight="false" outlineLevel="0" collapsed="false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9"/>
      <c r="L2741" s="9"/>
      <c r="M2741" s="9"/>
      <c r="N2741" s="9"/>
      <c r="O2741" s="9"/>
      <c r="P2741" s="9"/>
      <c r="Q2741" s="9"/>
      <c r="R2741" s="9" t="str">
        <f aca="false">IF(AND(A2741&lt;&gt;"",ISNUMBER(Q2741),ISNUMBER(L2741)),ROUND(Q2741-IF(ISNUMBER(N2741),N2741,0)-IF(ISNUMBER(O2741),O2741,0)+IF(ISNUMBER(P2741),P2741,0),2),"")</f>
        <v/>
      </c>
      <c r="S2741" s="9" t="str">
        <f aca="false">IF(R2741="","",ROUND(L2741-R2741,2))</f>
        <v/>
      </c>
      <c r="T2741" s="8" t="str">
        <f aca="false">IF(A2741="","",IF(S2741="","BYPASS",IF(ABS(S2741)&lt;=Summary!$B$2,"PASS","FAIL")))</f>
        <v/>
      </c>
      <c r="U2741" s="8" t="str">
        <f aca="false">IF(T2741="BYPASS",IF(NOT(ISNUMBER(Q2741)),"PreV_ETB missing","End_tr_balance missing"),IF(T2741="FAIL",IF(AND(ISNUMBER(K2741),ISNUMBER(L2741),ABS(L2741-(K2741-IF(ISNUMBER(N2741),N2741,0)-IF(ISNUMBER(O2741),O2741,0)+IF(ISNUMBER(P2741),P2741,0)))&lt;=Summary!$B$2),"Passes using beginning_balance - PreV_ETB differs from beginning_balance",IF(AND(ISNUMBER(O2741),O2741&lt;0,ABS(L2741-(Q2741-IF(ISNUMBER(N2741),N2741,0)+IF(ISNUMBER(P2741),P2741,0)))&lt;=Summary!$B$2),"Negative realized loss not applied - check sign",IF(R2741&lt;0,"Principal paid exceeds prior balance",IF(AND(L2741&gt;Q2741,NOT(ISNUMBER(P2741))),"Balance increased but no Deferred_interest reported",IF(L2741&gt;R2741,"Reported balance higher than expected (missing increase/OC build)","Reported balance lower than expected (missing decrease)"))))),""))</f>
        <v/>
      </c>
    </row>
    <row r="2742" customFormat="false" ht="15" hidden="false" customHeight="false" outlineLevel="0" collapsed="false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9"/>
      <c r="L2742" s="9"/>
      <c r="M2742" s="9"/>
      <c r="N2742" s="9"/>
      <c r="O2742" s="9"/>
      <c r="P2742" s="9"/>
      <c r="Q2742" s="9"/>
      <c r="R2742" s="9" t="str">
        <f aca="false">IF(AND(A2742&lt;&gt;"",ISNUMBER(Q2742),ISNUMBER(L2742)),ROUND(Q2742-IF(ISNUMBER(N2742),N2742,0)-IF(ISNUMBER(O2742),O2742,0)+IF(ISNUMBER(P2742),P2742,0),2),"")</f>
        <v/>
      </c>
      <c r="S2742" s="9" t="str">
        <f aca="false">IF(R2742="","",ROUND(L2742-R2742,2))</f>
        <v/>
      </c>
      <c r="T2742" s="8" t="str">
        <f aca="false">IF(A2742="","",IF(S2742="","BYPASS",IF(ABS(S2742)&lt;=Summary!$B$2,"PASS","FAIL")))</f>
        <v/>
      </c>
      <c r="U2742" s="8" t="str">
        <f aca="false">IF(T2742="BYPASS",IF(NOT(ISNUMBER(Q2742)),"PreV_ETB missing","End_tr_balance missing"),IF(T2742="FAIL",IF(AND(ISNUMBER(K2742),ISNUMBER(L2742),ABS(L2742-(K2742-IF(ISNUMBER(N2742),N2742,0)-IF(ISNUMBER(O2742),O2742,0)+IF(ISNUMBER(P2742),P2742,0)))&lt;=Summary!$B$2),"Passes using beginning_balance - PreV_ETB differs from beginning_balance",IF(AND(ISNUMBER(O2742),O2742&lt;0,ABS(L2742-(Q2742-IF(ISNUMBER(N2742),N2742,0)+IF(ISNUMBER(P2742),P2742,0)))&lt;=Summary!$B$2),"Negative realized loss not applied - check sign",IF(R2742&lt;0,"Principal paid exceeds prior balance",IF(AND(L2742&gt;Q2742,NOT(ISNUMBER(P2742))),"Balance increased but no Deferred_interest reported",IF(L2742&gt;R2742,"Reported balance higher than expected (missing increase/OC build)","Reported balance lower than expected (missing decrease)"))))),""))</f>
        <v/>
      </c>
    </row>
    <row r="2743" customFormat="false" ht="15" hidden="false" customHeight="false" outlineLevel="0" collapsed="false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9"/>
      <c r="L2743" s="9"/>
      <c r="M2743" s="9"/>
      <c r="N2743" s="9"/>
      <c r="O2743" s="9"/>
      <c r="P2743" s="9"/>
      <c r="Q2743" s="9"/>
      <c r="R2743" s="9" t="str">
        <f aca="false">IF(AND(A2743&lt;&gt;"",ISNUMBER(Q2743),ISNUMBER(L2743)),ROUND(Q2743-IF(ISNUMBER(N2743),N2743,0)-IF(ISNUMBER(O2743),O2743,0)+IF(ISNUMBER(P2743),P2743,0),2),"")</f>
        <v/>
      </c>
      <c r="S2743" s="9" t="str">
        <f aca="false">IF(R2743="","",ROUND(L2743-R2743,2))</f>
        <v/>
      </c>
      <c r="T2743" s="8" t="str">
        <f aca="false">IF(A2743="","",IF(S2743="","BYPASS",IF(ABS(S2743)&lt;=Summary!$B$2,"PASS","FAIL")))</f>
        <v/>
      </c>
      <c r="U2743" s="8" t="str">
        <f aca="false">IF(T2743="BYPASS",IF(NOT(ISNUMBER(Q2743)),"PreV_ETB missing","End_tr_balance missing"),IF(T2743="FAIL",IF(AND(ISNUMBER(K2743),ISNUMBER(L2743),ABS(L2743-(K2743-IF(ISNUMBER(N2743),N2743,0)-IF(ISNUMBER(O2743),O2743,0)+IF(ISNUMBER(P2743),P2743,0)))&lt;=Summary!$B$2),"Passes using beginning_balance - PreV_ETB differs from beginning_balance",IF(AND(ISNUMBER(O2743),O2743&lt;0,ABS(L2743-(Q2743-IF(ISNUMBER(N2743),N2743,0)+IF(ISNUMBER(P2743),P2743,0)))&lt;=Summary!$B$2),"Negative realized loss not applied - check sign",IF(R2743&lt;0,"Principal paid exceeds prior balance",IF(AND(L2743&gt;Q2743,NOT(ISNUMBER(P2743))),"Balance increased but no Deferred_interest reported",IF(L2743&gt;R2743,"Reported balance higher than expected (missing increase/OC build)","Reported balance lower than expected (missing decrease)"))))),""))</f>
        <v/>
      </c>
    </row>
    <row r="2744" customFormat="false" ht="15" hidden="false" customHeight="false" outlineLevel="0" collapsed="false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9"/>
      <c r="L2744" s="9"/>
      <c r="M2744" s="9"/>
      <c r="N2744" s="9"/>
      <c r="O2744" s="9"/>
      <c r="P2744" s="9"/>
      <c r="Q2744" s="9"/>
      <c r="R2744" s="9" t="str">
        <f aca="false">IF(AND(A2744&lt;&gt;"",ISNUMBER(Q2744),ISNUMBER(L2744)),ROUND(Q2744-IF(ISNUMBER(N2744),N2744,0)-IF(ISNUMBER(O2744),O2744,0)+IF(ISNUMBER(P2744),P2744,0),2),"")</f>
        <v/>
      </c>
      <c r="S2744" s="9" t="str">
        <f aca="false">IF(R2744="","",ROUND(L2744-R2744,2))</f>
        <v/>
      </c>
      <c r="T2744" s="8" t="str">
        <f aca="false">IF(A2744="","",IF(S2744="","BYPASS",IF(ABS(S2744)&lt;=Summary!$B$2,"PASS","FAIL")))</f>
        <v/>
      </c>
      <c r="U2744" s="8" t="str">
        <f aca="false">IF(T2744="BYPASS",IF(NOT(ISNUMBER(Q2744)),"PreV_ETB missing","End_tr_balance missing"),IF(T2744="FAIL",IF(AND(ISNUMBER(K2744),ISNUMBER(L2744),ABS(L2744-(K2744-IF(ISNUMBER(N2744),N2744,0)-IF(ISNUMBER(O2744),O2744,0)+IF(ISNUMBER(P2744),P2744,0)))&lt;=Summary!$B$2),"Passes using beginning_balance - PreV_ETB differs from beginning_balance",IF(AND(ISNUMBER(O2744),O2744&lt;0,ABS(L2744-(Q2744-IF(ISNUMBER(N2744),N2744,0)+IF(ISNUMBER(P2744),P2744,0)))&lt;=Summary!$B$2),"Negative realized loss not applied - check sign",IF(R2744&lt;0,"Principal paid exceeds prior balance",IF(AND(L2744&gt;Q2744,NOT(ISNUMBER(P2744))),"Balance increased but no Deferred_interest reported",IF(L2744&gt;R2744,"Reported balance higher than expected (missing increase/OC build)","Reported balance lower than expected (missing decrease)"))))),""))</f>
        <v/>
      </c>
    </row>
    <row r="2745" customFormat="false" ht="15" hidden="false" customHeight="false" outlineLevel="0" collapsed="false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9"/>
      <c r="L2745" s="9"/>
      <c r="M2745" s="9"/>
      <c r="N2745" s="9"/>
      <c r="O2745" s="9"/>
      <c r="P2745" s="9"/>
      <c r="Q2745" s="9"/>
      <c r="R2745" s="9" t="str">
        <f aca="false">IF(AND(A2745&lt;&gt;"",ISNUMBER(Q2745),ISNUMBER(L2745)),ROUND(Q2745-IF(ISNUMBER(N2745),N2745,0)-IF(ISNUMBER(O2745),O2745,0)+IF(ISNUMBER(P2745),P2745,0),2),"")</f>
        <v/>
      </c>
      <c r="S2745" s="9" t="str">
        <f aca="false">IF(R2745="","",ROUND(L2745-R2745,2))</f>
        <v/>
      </c>
      <c r="T2745" s="8" t="str">
        <f aca="false">IF(A2745="","",IF(S2745="","BYPASS",IF(ABS(S2745)&lt;=Summary!$B$2,"PASS","FAIL")))</f>
        <v/>
      </c>
      <c r="U2745" s="8" t="str">
        <f aca="false">IF(T2745="BYPASS",IF(NOT(ISNUMBER(Q2745)),"PreV_ETB missing","End_tr_balance missing"),IF(T2745="FAIL",IF(AND(ISNUMBER(K2745),ISNUMBER(L2745),ABS(L2745-(K2745-IF(ISNUMBER(N2745),N2745,0)-IF(ISNUMBER(O2745),O2745,0)+IF(ISNUMBER(P2745),P2745,0)))&lt;=Summary!$B$2),"Passes using beginning_balance - PreV_ETB differs from beginning_balance",IF(AND(ISNUMBER(O2745),O2745&lt;0,ABS(L2745-(Q2745-IF(ISNUMBER(N2745),N2745,0)+IF(ISNUMBER(P2745),P2745,0)))&lt;=Summary!$B$2),"Negative realized loss not applied - check sign",IF(R2745&lt;0,"Principal paid exceeds prior balance",IF(AND(L2745&gt;Q2745,NOT(ISNUMBER(P2745))),"Balance increased but no Deferred_interest reported",IF(L2745&gt;R2745,"Reported balance higher than expected (missing increase/OC build)","Reported balance lower than expected (missing decrease)"))))),""))</f>
        <v/>
      </c>
    </row>
    <row r="2746" customFormat="false" ht="15" hidden="false" customHeight="false" outlineLevel="0" collapsed="false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9"/>
      <c r="L2746" s="9"/>
      <c r="M2746" s="9"/>
      <c r="N2746" s="9"/>
      <c r="O2746" s="9"/>
      <c r="P2746" s="9"/>
      <c r="Q2746" s="9"/>
      <c r="R2746" s="9" t="str">
        <f aca="false">IF(AND(A2746&lt;&gt;"",ISNUMBER(Q2746),ISNUMBER(L2746)),ROUND(Q2746-IF(ISNUMBER(N2746),N2746,0)-IF(ISNUMBER(O2746),O2746,0)+IF(ISNUMBER(P2746),P2746,0),2),"")</f>
        <v/>
      </c>
      <c r="S2746" s="9" t="str">
        <f aca="false">IF(R2746="","",ROUND(L2746-R2746,2))</f>
        <v/>
      </c>
      <c r="T2746" s="8" t="str">
        <f aca="false">IF(A2746="","",IF(S2746="","BYPASS",IF(ABS(S2746)&lt;=Summary!$B$2,"PASS","FAIL")))</f>
        <v/>
      </c>
      <c r="U2746" s="8" t="str">
        <f aca="false">IF(T2746="BYPASS",IF(NOT(ISNUMBER(Q2746)),"PreV_ETB missing","End_tr_balance missing"),IF(T2746="FAIL",IF(AND(ISNUMBER(K2746),ISNUMBER(L2746),ABS(L2746-(K2746-IF(ISNUMBER(N2746),N2746,0)-IF(ISNUMBER(O2746),O2746,0)+IF(ISNUMBER(P2746),P2746,0)))&lt;=Summary!$B$2),"Passes using beginning_balance - PreV_ETB differs from beginning_balance",IF(AND(ISNUMBER(O2746),O2746&lt;0,ABS(L2746-(Q2746-IF(ISNUMBER(N2746),N2746,0)+IF(ISNUMBER(P2746),P2746,0)))&lt;=Summary!$B$2),"Negative realized loss not applied - check sign",IF(R2746&lt;0,"Principal paid exceeds prior balance",IF(AND(L2746&gt;Q2746,NOT(ISNUMBER(P2746))),"Balance increased but no Deferred_interest reported",IF(L2746&gt;R2746,"Reported balance higher than expected (missing increase/OC build)","Reported balance lower than expected (missing decrease)"))))),""))</f>
        <v/>
      </c>
    </row>
    <row r="2747" customFormat="false" ht="15" hidden="false" customHeight="false" outlineLevel="0" collapsed="false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9"/>
      <c r="L2747" s="9"/>
      <c r="M2747" s="9"/>
      <c r="N2747" s="9"/>
      <c r="O2747" s="9"/>
      <c r="P2747" s="9"/>
      <c r="Q2747" s="9"/>
      <c r="R2747" s="9" t="str">
        <f aca="false">IF(AND(A2747&lt;&gt;"",ISNUMBER(Q2747),ISNUMBER(L2747)),ROUND(Q2747-IF(ISNUMBER(N2747),N2747,0)-IF(ISNUMBER(O2747),O2747,0)+IF(ISNUMBER(P2747),P2747,0),2),"")</f>
        <v/>
      </c>
      <c r="S2747" s="9" t="str">
        <f aca="false">IF(R2747="","",ROUND(L2747-R2747,2))</f>
        <v/>
      </c>
      <c r="T2747" s="8" t="str">
        <f aca="false">IF(A2747="","",IF(S2747="","BYPASS",IF(ABS(S2747)&lt;=Summary!$B$2,"PASS","FAIL")))</f>
        <v/>
      </c>
      <c r="U2747" s="8" t="str">
        <f aca="false">IF(T2747="BYPASS",IF(NOT(ISNUMBER(Q2747)),"PreV_ETB missing","End_tr_balance missing"),IF(T2747="FAIL",IF(AND(ISNUMBER(K2747),ISNUMBER(L2747),ABS(L2747-(K2747-IF(ISNUMBER(N2747),N2747,0)-IF(ISNUMBER(O2747),O2747,0)+IF(ISNUMBER(P2747),P2747,0)))&lt;=Summary!$B$2),"Passes using beginning_balance - PreV_ETB differs from beginning_balance",IF(AND(ISNUMBER(O2747),O2747&lt;0,ABS(L2747-(Q2747-IF(ISNUMBER(N2747),N2747,0)+IF(ISNUMBER(P2747),P2747,0)))&lt;=Summary!$B$2),"Negative realized loss not applied - check sign",IF(R2747&lt;0,"Principal paid exceeds prior balance",IF(AND(L2747&gt;Q2747,NOT(ISNUMBER(P2747))),"Balance increased but no Deferred_interest reported",IF(L2747&gt;R2747,"Reported balance higher than expected (missing increase/OC build)","Reported balance lower than expected (missing decrease)"))))),""))</f>
        <v/>
      </c>
    </row>
    <row r="2748" customFormat="false" ht="15" hidden="false" customHeight="false" outlineLevel="0" collapsed="false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9"/>
      <c r="L2748" s="9"/>
      <c r="M2748" s="9"/>
      <c r="N2748" s="9"/>
      <c r="O2748" s="9"/>
      <c r="P2748" s="9"/>
      <c r="Q2748" s="9"/>
      <c r="R2748" s="9" t="str">
        <f aca="false">IF(AND(A2748&lt;&gt;"",ISNUMBER(Q2748),ISNUMBER(L2748)),ROUND(Q2748-IF(ISNUMBER(N2748),N2748,0)-IF(ISNUMBER(O2748),O2748,0)+IF(ISNUMBER(P2748),P2748,0),2),"")</f>
        <v/>
      </c>
      <c r="S2748" s="9" t="str">
        <f aca="false">IF(R2748="","",ROUND(L2748-R2748,2))</f>
        <v/>
      </c>
      <c r="T2748" s="8" t="str">
        <f aca="false">IF(A2748="","",IF(S2748="","BYPASS",IF(ABS(S2748)&lt;=Summary!$B$2,"PASS","FAIL")))</f>
        <v/>
      </c>
      <c r="U2748" s="8" t="str">
        <f aca="false">IF(T2748="BYPASS",IF(NOT(ISNUMBER(Q2748)),"PreV_ETB missing","End_tr_balance missing"),IF(T2748="FAIL",IF(AND(ISNUMBER(K2748),ISNUMBER(L2748),ABS(L2748-(K2748-IF(ISNUMBER(N2748),N2748,0)-IF(ISNUMBER(O2748),O2748,0)+IF(ISNUMBER(P2748),P2748,0)))&lt;=Summary!$B$2),"Passes using beginning_balance - PreV_ETB differs from beginning_balance",IF(AND(ISNUMBER(O2748),O2748&lt;0,ABS(L2748-(Q2748-IF(ISNUMBER(N2748),N2748,0)+IF(ISNUMBER(P2748),P2748,0)))&lt;=Summary!$B$2),"Negative realized loss not applied - check sign",IF(R2748&lt;0,"Principal paid exceeds prior balance",IF(AND(L2748&gt;Q2748,NOT(ISNUMBER(P2748))),"Balance increased but no Deferred_interest reported",IF(L2748&gt;R2748,"Reported balance higher than expected (missing increase/OC build)","Reported balance lower than expected (missing decrease)"))))),""))</f>
        <v/>
      </c>
    </row>
    <row r="2749" customFormat="false" ht="15" hidden="false" customHeight="false" outlineLevel="0" collapsed="false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9"/>
      <c r="L2749" s="9"/>
      <c r="M2749" s="9"/>
      <c r="N2749" s="9"/>
      <c r="O2749" s="9"/>
      <c r="P2749" s="9"/>
      <c r="Q2749" s="9"/>
      <c r="R2749" s="9" t="str">
        <f aca="false">IF(AND(A2749&lt;&gt;"",ISNUMBER(Q2749),ISNUMBER(L2749)),ROUND(Q2749-IF(ISNUMBER(N2749),N2749,0)-IF(ISNUMBER(O2749),O2749,0)+IF(ISNUMBER(P2749),P2749,0),2),"")</f>
        <v/>
      </c>
      <c r="S2749" s="9" t="str">
        <f aca="false">IF(R2749="","",ROUND(L2749-R2749,2))</f>
        <v/>
      </c>
      <c r="T2749" s="8" t="str">
        <f aca="false">IF(A2749="","",IF(S2749="","BYPASS",IF(ABS(S2749)&lt;=Summary!$B$2,"PASS","FAIL")))</f>
        <v/>
      </c>
      <c r="U2749" s="8" t="str">
        <f aca="false">IF(T2749="BYPASS",IF(NOT(ISNUMBER(Q2749)),"PreV_ETB missing","End_tr_balance missing"),IF(T2749="FAIL",IF(AND(ISNUMBER(K2749),ISNUMBER(L2749),ABS(L2749-(K2749-IF(ISNUMBER(N2749),N2749,0)-IF(ISNUMBER(O2749),O2749,0)+IF(ISNUMBER(P2749),P2749,0)))&lt;=Summary!$B$2),"Passes using beginning_balance - PreV_ETB differs from beginning_balance",IF(AND(ISNUMBER(O2749),O2749&lt;0,ABS(L2749-(Q2749-IF(ISNUMBER(N2749),N2749,0)+IF(ISNUMBER(P2749),P2749,0)))&lt;=Summary!$B$2),"Negative realized loss not applied - check sign",IF(R2749&lt;0,"Principal paid exceeds prior balance",IF(AND(L2749&gt;Q2749,NOT(ISNUMBER(P2749))),"Balance increased but no Deferred_interest reported",IF(L2749&gt;R2749,"Reported balance higher than expected (missing increase/OC build)","Reported balance lower than expected (missing decrease)"))))),""))</f>
        <v/>
      </c>
    </row>
    <row r="2750" customFormat="false" ht="15" hidden="false" customHeight="false" outlineLevel="0" collapsed="false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9"/>
      <c r="L2750" s="9"/>
      <c r="M2750" s="9"/>
      <c r="N2750" s="9"/>
      <c r="O2750" s="9"/>
      <c r="P2750" s="9"/>
      <c r="Q2750" s="9"/>
      <c r="R2750" s="9" t="str">
        <f aca="false">IF(AND(A2750&lt;&gt;"",ISNUMBER(Q2750),ISNUMBER(L2750)),ROUND(Q2750-IF(ISNUMBER(N2750),N2750,0)-IF(ISNUMBER(O2750),O2750,0)+IF(ISNUMBER(P2750),P2750,0),2),"")</f>
        <v/>
      </c>
      <c r="S2750" s="9" t="str">
        <f aca="false">IF(R2750="","",ROUND(L2750-R2750,2))</f>
        <v/>
      </c>
      <c r="T2750" s="8" t="str">
        <f aca="false">IF(A2750="","",IF(S2750="","BYPASS",IF(ABS(S2750)&lt;=Summary!$B$2,"PASS","FAIL")))</f>
        <v/>
      </c>
      <c r="U2750" s="8" t="str">
        <f aca="false">IF(T2750="BYPASS",IF(NOT(ISNUMBER(Q2750)),"PreV_ETB missing","End_tr_balance missing"),IF(T2750="FAIL",IF(AND(ISNUMBER(K2750),ISNUMBER(L2750),ABS(L2750-(K2750-IF(ISNUMBER(N2750),N2750,0)-IF(ISNUMBER(O2750),O2750,0)+IF(ISNUMBER(P2750),P2750,0)))&lt;=Summary!$B$2),"Passes using beginning_balance - PreV_ETB differs from beginning_balance",IF(AND(ISNUMBER(O2750),O2750&lt;0,ABS(L2750-(Q2750-IF(ISNUMBER(N2750),N2750,0)+IF(ISNUMBER(P2750),P2750,0)))&lt;=Summary!$B$2),"Negative realized loss not applied - check sign",IF(R2750&lt;0,"Principal paid exceeds prior balance",IF(AND(L2750&gt;Q2750,NOT(ISNUMBER(P2750))),"Balance increased but no Deferred_interest reported",IF(L2750&gt;R2750,"Reported balance higher than expected (missing increase/OC build)","Reported balance lower than expected (missing decrease)"))))),""))</f>
        <v/>
      </c>
    </row>
    <row r="2751" customFormat="false" ht="15" hidden="false" customHeight="false" outlineLevel="0" collapsed="false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9"/>
      <c r="L2751" s="9"/>
      <c r="M2751" s="9"/>
      <c r="N2751" s="9"/>
      <c r="O2751" s="9"/>
      <c r="P2751" s="9"/>
      <c r="Q2751" s="9"/>
      <c r="R2751" s="9" t="str">
        <f aca="false">IF(AND(A2751&lt;&gt;"",ISNUMBER(Q2751),ISNUMBER(L2751)),ROUND(Q2751-IF(ISNUMBER(N2751),N2751,0)-IF(ISNUMBER(O2751),O2751,0)+IF(ISNUMBER(P2751),P2751,0),2),"")</f>
        <v/>
      </c>
      <c r="S2751" s="9" t="str">
        <f aca="false">IF(R2751="","",ROUND(L2751-R2751,2))</f>
        <v/>
      </c>
      <c r="T2751" s="8" t="str">
        <f aca="false">IF(A2751="","",IF(S2751="","BYPASS",IF(ABS(S2751)&lt;=Summary!$B$2,"PASS","FAIL")))</f>
        <v/>
      </c>
      <c r="U2751" s="8" t="str">
        <f aca="false">IF(T2751="BYPASS",IF(NOT(ISNUMBER(Q2751)),"PreV_ETB missing","End_tr_balance missing"),IF(T2751="FAIL",IF(AND(ISNUMBER(K2751),ISNUMBER(L2751),ABS(L2751-(K2751-IF(ISNUMBER(N2751),N2751,0)-IF(ISNUMBER(O2751),O2751,0)+IF(ISNUMBER(P2751),P2751,0)))&lt;=Summary!$B$2),"Passes using beginning_balance - PreV_ETB differs from beginning_balance",IF(AND(ISNUMBER(O2751),O2751&lt;0,ABS(L2751-(Q2751-IF(ISNUMBER(N2751),N2751,0)+IF(ISNUMBER(P2751),P2751,0)))&lt;=Summary!$B$2),"Negative realized loss not applied - check sign",IF(R2751&lt;0,"Principal paid exceeds prior balance",IF(AND(L2751&gt;Q2751,NOT(ISNUMBER(P2751))),"Balance increased but no Deferred_interest reported",IF(L2751&gt;R2751,"Reported balance higher than expected (missing increase/OC build)","Reported balance lower than expected (missing decrease)"))))),""))</f>
        <v/>
      </c>
    </row>
    <row r="2752" customFormat="false" ht="15" hidden="false" customHeight="false" outlineLevel="0" collapsed="false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9"/>
      <c r="L2752" s="9"/>
      <c r="M2752" s="9"/>
      <c r="N2752" s="9"/>
      <c r="O2752" s="9"/>
      <c r="P2752" s="9"/>
      <c r="Q2752" s="9"/>
      <c r="R2752" s="9" t="str">
        <f aca="false">IF(AND(A2752&lt;&gt;"",ISNUMBER(Q2752),ISNUMBER(L2752)),ROUND(Q2752-IF(ISNUMBER(N2752),N2752,0)-IF(ISNUMBER(O2752),O2752,0)+IF(ISNUMBER(P2752),P2752,0),2),"")</f>
        <v/>
      </c>
      <c r="S2752" s="9" t="str">
        <f aca="false">IF(R2752="","",ROUND(L2752-R2752,2))</f>
        <v/>
      </c>
      <c r="T2752" s="8" t="str">
        <f aca="false">IF(A2752="","",IF(S2752="","BYPASS",IF(ABS(S2752)&lt;=Summary!$B$2,"PASS","FAIL")))</f>
        <v/>
      </c>
      <c r="U2752" s="8" t="str">
        <f aca="false">IF(T2752="BYPASS",IF(NOT(ISNUMBER(Q2752)),"PreV_ETB missing","End_tr_balance missing"),IF(T2752="FAIL",IF(AND(ISNUMBER(K2752),ISNUMBER(L2752),ABS(L2752-(K2752-IF(ISNUMBER(N2752),N2752,0)-IF(ISNUMBER(O2752),O2752,0)+IF(ISNUMBER(P2752),P2752,0)))&lt;=Summary!$B$2),"Passes using beginning_balance - PreV_ETB differs from beginning_balance",IF(AND(ISNUMBER(O2752),O2752&lt;0,ABS(L2752-(Q2752-IF(ISNUMBER(N2752),N2752,0)+IF(ISNUMBER(P2752),P2752,0)))&lt;=Summary!$B$2),"Negative realized loss not applied - check sign",IF(R2752&lt;0,"Principal paid exceeds prior balance",IF(AND(L2752&gt;Q2752,NOT(ISNUMBER(P2752))),"Balance increased but no Deferred_interest reported",IF(L2752&gt;R2752,"Reported balance higher than expected (missing increase/OC build)","Reported balance lower than expected (missing decrease)"))))),""))</f>
        <v/>
      </c>
    </row>
    <row r="2753" customFormat="false" ht="15" hidden="false" customHeight="false" outlineLevel="0" collapsed="false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9"/>
      <c r="L2753" s="9"/>
      <c r="M2753" s="9"/>
      <c r="N2753" s="9"/>
      <c r="O2753" s="9"/>
      <c r="P2753" s="9"/>
      <c r="Q2753" s="9"/>
      <c r="R2753" s="9" t="str">
        <f aca="false">IF(AND(A2753&lt;&gt;"",ISNUMBER(Q2753),ISNUMBER(L2753)),ROUND(Q2753-IF(ISNUMBER(N2753),N2753,0)-IF(ISNUMBER(O2753),O2753,0)+IF(ISNUMBER(P2753),P2753,0),2),"")</f>
        <v/>
      </c>
      <c r="S2753" s="9" t="str">
        <f aca="false">IF(R2753="","",ROUND(L2753-R2753,2))</f>
        <v/>
      </c>
      <c r="T2753" s="8" t="str">
        <f aca="false">IF(A2753="","",IF(S2753="","BYPASS",IF(ABS(S2753)&lt;=Summary!$B$2,"PASS","FAIL")))</f>
        <v/>
      </c>
      <c r="U2753" s="8" t="str">
        <f aca="false">IF(T2753="BYPASS",IF(NOT(ISNUMBER(Q2753)),"PreV_ETB missing","End_tr_balance missing"),IF(T2753="FAIL",IF(AND(ISNUMBER(K2753),ISNUMBER(L2753),ABS(L2753-(K2753-IF(ISNUMBER(N2753),N2753,0)-IF(ISNUMBER(O2753),O2753,0)+IF(ISNUMBER(P2753),P2753,0)))&lt;=Summary!$B$2),"Passes using beginning_balance - PreV_ETB differs from beginning_balance",IF(AND(ISNUMBER(O2753),O2753&lt;0,ABS(L2753-(Q2753-IF(ISNUMBER(N2753),N2753,0)+IF(ISNUMBER(P2753),P2753,0)))&lt;=Summary!$B$2),"Negative realized loss not applied - check sign",IF(R2753&lt;0,"Principal paid exceeds prior balance",IF(AND(L2753&gt;Q2753,NOT(ISNUMBER(P2753))),"Balance increased but no Deferred_interest reported",IF(L2753&gt;R2753,"Reported balance higher than expected (missing increase/OC build)","Reported balance lower than expected (missing decrease)"))))),""))</f>
        <v/>
      </c>
    </row>
    <row r="2754" customFormat="false" ht="15" hidden="false" customHeight="false" outlineLevel="0" collapsed="false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9"/>
      <c r="L2754" s="9"/>
      <c r="M2754" s="9"/>
      <c r="N2754" s="9"/>
      <c r="O2754" s="9"/>
      <c r="P2754" s="9"/>
      <c r="Q2754" s="9"/>
      <c r="R2754" s="9" t="str">
        <f aca="false">IF(AND(A2754&lt;&gt;"",ISNUMBER(Q2754),ISNUMBER(L2754)),ROUND(Q2754-IF(ISNUMBER(N2754),N2754,0)-IF(ISNUMBER(O2754),O2754,0)+IF(ISNUMBER(P2754),P2754,0),2),"")</f>
        <v/>
      </c>
      <c r="S2754" s="9" t="str">
        <f aca="false">IF(R2754="","",ROUND(L2754-R2754,2))</f>
        <v/>
      </c>
      <c r="T2754" s="8" t="str">
        <f aca="false">IF(A2754="","",IF(S2754="","BYPASS",IF(ABS(S2754)&lt;=Summary!$B$2,"PASS","FAIL")))</f>
        <v/>
      </c>
      <c r="U2754" s="8" t="str">
        <f aca="false">IF(T2754="BYPASS",IF(NOT(ISNUMBER(Q2754)),"PreV_ETB missing","End_tr_balance missing"),IF(T2754="FAIL",IF(AND(ISNUMBER(K2754),ISNUMBER(L2754),ABS(L2754-(K2754-IF(ISNUMBER(N2754),N2754,0)-IF(ISNUMBER(O2754),O2754,0)+IF(ISNUMBER(P2754),P2754,0)))&lt;=Summary!$B$2),"Passes using beginning_balance - PreV_ETB differs from beginning_balance",IF(AND(ISNUMBER(O2754),O2754&lt;0,ABS(L2754-(Q2754-IF(ISNUMBER(N2754),N2754,0)+IF(ISNUMBER(P2754),P2754,0)))&lt;=Summary!$B$2),"Negative realized loss not applied - check sign",IF(R2754&lt;0,"Principal paid exceeds prior balance",IF(AND(L2754&gt;Q2754,NOT(ISNUMBER(P2754))),"Balance increased but no Deferred_interest reported",IF(L2754&gt;R2754,"Reported balance higher than expected (missing increase/OC build)","Reported balance lower than expected (missing decrease)"))))),""))</f>
        <v/>
      </c>
    </row>
    <row r="2755" customFormat="false" ht="15" hidden="false" customHeight="false" outlineLevel="0" collapsed="false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9"/>
      <c r="L2755" s="9"/>
      <c r="M2755" s="9"/>
      <c r="N2755" s="9"/>
      <c r="O2755" s="9"/>
      <c r="P2755" s="9"/>
      <c r="Q2755" s="9"/>
      <c r="R2755" s="9" t="str">
        <f aca="false">IF(AND(A2755&lt;&gt;"",ISNUMBER(Q2755),ISNUMBER(L2755)),ROUND(Q2755-IF(ISNUMBER(N2755),N2755,0)-IF(ISNUMBER(O2755),O2755,0)+IF(ISNUMBER(P2755),P2755,0),2),"")</f>
        <v/>
      </c>
      <c r="S2755" s="9" t="str">
        <f aca="false">IF(R2755="","",ROUND(L2755-R2755,2))</f>
        <v/>
      </c>
      <c r="T2755" s="8" t="str">
        <f aca="false">IF(A2755="","",IF(S2755="","BYPASS",IF(ABS(S2755)&lt;=Summary!$B$2,"PASS","FAIL")))</f>
        <v/>
      </c>
      <c r="U2755" s="8" t="str">
        <f aca="false">IF(T2755="BYPASS",IF(NOT(ISNUMBER(Q2755)),"PreV_ETB missing","End_tr_balance missing"),IF(T2755="FAIL",IF(AND(ISNUMBER(K2755),ISNUMBER(L2755),ABS(L2755-(K2755-IF(ISNUMBER(N2755),N2755,0)-IF(ISNUMBER(O2755),O2755,0)+IF(ISNUMBER(P2755),P2755,0)))&lt;=Summary!$B$2),"Passes using beginning_balance - PreV_ETB differs from beginning_balance",IF(AND(ISNUMBER(O2755),O2755&lt;0,ABS(L2755-(Q2755-IF(ISNUMBER(N2755),N2755,0)+IF(ISNUMBER(P2755),P2755,0)))&lt;=Summary!$B$2),"Negative realized loss not applied - check sign",IF(R2755&lt;0,"Principal paid exceeds prior balance",IF(AND(L2755&gt;Q2755,NOT(ISNUMBER(P2755))),"Balance increased but no Deferred_interest reported",IF(L2755&gt;R2755,"Reported balance higher than expected (missing increase/OC build)","Reported balance lower than expected (missing decrease)"))))),""))</f>
        <v/>
      </c>
    </row>
    <row r="2756" customFormat="false" ht="15" hidden="false" customHeight="false" outlineLevel="0" collapsed="false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9"/>
      <c r="L2756" s="9"/>
      <c r="M2756" s="9"/>
      <c r="N2756" s="9"/>
      <c r="O2756" s="9"/>
      <c r="P2756" s="9"/>
      <c r="Q2756" s="9"/>
      <c r="R2756" s="9" t="str">
        <f aca="false">IF(AND(A2756&lt;&gt;"",ISNUMBER(Q2756),ISNUMBER(L2756)),ROUND(Q2756-IF(ISNUMBER(N2756),N2756,0)-IF(ISNUMBER(O2756),O2756,0)+IF(ISNUMBER(P2756),P2756,0),2),"")</f>
        <v/>
      </c>
      <c r="S2756" s="9" t="str">
        <f aca="false">IF(R2756="","",ROUND(L2756-R2756,2))</f>
        <v/>
      </c>
      <c r="T2756" s="8" t="str">
        <f aca="false">IF(A2756="","",IF(S2756="","BYPASS",IF(ABS(S2756)&lt;=Summary!$B$2,"PASS","FAIL")))</f>
        <v/>
      </c>
      <c r="U2756" s="8" t="str">
        <f aca="false">IF(T2756="BYPASS",IF(NOT(ISNUMBER(Q2756)),"PreV_ETB missing","End_tr_balance missing"),IF(T2756="FAIL",IF(AND(ISNUMBER(K2756),ISNUMBER(L2756),ABS(L2756-(K2756-IF(ISNUMBER(N2756),N2756,0)-IF(ISNUMBER(O2756),O2756,0)+IF(ISNUMBER(P2756),P2756,0)))&lt;=Summary!$B$2),"Passes using beginning_balance - PreV_ETB differs from beginning_balance",IF(AND(ISNUMBER(O2756),O2756&lt;0,ABS(L2756-(Q2756-IF(ISNUMBER(N2756),N2756,0)+IF(ISNUMBER(P2756),P2756,0)))&lt;=Summary!$B$2),"Negative realized loss not applied - check sign",IF(R2756&lt;0,"Principal paid exceeds prior balance",IF(AND(L2756&gt;Q2756,NOT(ISNUMBER(P2756))),"Balance increased but no Deferred_interest reported",IF(L2756&gt;R2756,"Reported balance higher than expected (missing increase/OC build)","Reported balance lower than expected (missing decrease)"))))),""))</f>
        <v/>
      </c>
    </row>
    <row r="2757" customFormat="false" ht="15" hidden="false" customHeight="false" outlineLevel="0" collapsed="false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9"/>
      <c r="L2757" s="9"/>
      <c r="M2757" s="9"/>
      <c r="N2757" s="9"/>
      <c r="O2757" s="9"/>
      <c r="P2757" s="9"/>
      <c r="Q2757" s="9"/>
      <c r="R2757" s="9" t="str">
        <f aca="false">IF(AND(A2757&lt;&gt;"",ISNUMBER(Q2757),ISNUMBER(L2757)),ROUND(Q2757-IF(ISNUMBER(N2757),N2757,0)-IF(ISNUMBER(O2757),O2757,0)+IF(ISNUMBER(P2757),P2757,0),2),"")</f>
        <v/>
      </c>
      <c r="S2757" s="9" t="str">
        <f aca="false">IF(R2757="","",ROUND(L2757-R2757,2))</f>
        <v/>
      </c>
      <c r="T2757" s="8" t="str">
        <f aca="false">IF(A2757="","",IF(S2757="","BYPASS",IF(ABS(S2757)&lt;=Summary!$B$2,"PASS","FAIL")))</f>
        <v/>
      </c>
      <c r="U2757" s="8" t="str">
        <f aca="false">IF(T2757="BYPASS",IF(NOT(ISNUMBER(Q2757)),"PreV_ETB missing","End_tr_balance missing"),IF(T2757="FAIL",IF(AND(ISNUMBER(K2757),ISNUMBER(L2757),ABS(L2757-(K2757-IF(ISNUMBER(N2757),N2757,0)-IF(ISNUMBER(O2757),O2757,0)+IF(ISNUMBER(P2757),P2757,0)))&lt;=Summary!$B$2),"Passes using beginning_balance - PreV_ETB differs from beginning_balance",IF(AND(ISNUMBER(O2757),O2757&lt;0,ABS(L2757-(Q2757-IF(ISNUMBER(N2757),N2757,0)+IF(ISNUMBER(P2757),P2757,0)))&lt;=Summary!$B$2),"Negative realized loss not applied - check sign",IF(R2757&lt;0,"Principal paid exceeds prior balance",IF(AND(L2757&gt;Q2757,NOT(ISNUMBER(P2757))),"Balance increased but no Deferred_interest reported",IF(L2757&gt;R2757,"Reported balance higher than expected (missing increase/OC build)","Reported balance lower than expected (missing decrease)"))))),""))</f>
        <v/>
      </c>
    </row>
    <row r="2758" customFormat="false" ht="15" hidden="false" customHeight="false" outlineLevel="0" collapsed="false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9"/>
      <c r="L2758" s="9"/>
      <c r="M2758" s="9"/>
      <c r="N2758" s="9"/>
      <c r="O2758" s="9"/>
      <c r="P2758" s="9"/>
      <c r="Q2758" s="9"/>
      <c r="R2758" s="9" t="str">
        <f aca="false">IF(AND(A2758&lt;&gt;"",ISNUMBER(Q2758),ISNUMBER(L2758)),ROUND(Q2758-IF(ISNUMBER(N2758),N2758,0)-IF(ISNUMBER(O2758),O2758,0)+IF(ISNUMBER(P2758),P2758,0),2),"")</f>
        <v/>
      </c>
      <c r="S2758" s="9" t="str">
        <f aca="false">IF(R2758="","",ROUND(L2758-R2758,2))</f>
        <v/>
      </c>
      <c r="T2758" s="8" t="str">
        <f aca="false">IF(A2758="","",IF(S2758="","BYPASS",IF(ABS(S2758)&lt;=Summary!$B$2,"PASS","FAIL")))</f>
        <v/>
      </c>
      <c r="U2758" s="8" t="str">
        <f aca="false">IF(T2758="BYPASS",IF(NOT(ISNUMBER(Q2758)),"PreV_ETB missing","End_tr_balance missing"),IF(T2758="FAIL",IF(AND(ISNUMBER(K2758),ISNUMBER(L2758),ABS(L2758-(K2758-IF(ISNUMBER(N2758),N2758,0)-IF(ISNUMBER(O2758),O2758,0)+IF(ISNUMBER(P2758),P2758,0)))&lt;=Summary!$B$2),"Passes using beginning_balance - PreV_ETB differs from beginning_balance",IF(AND(ISNUMBER(O2758),O2758&lt;0,ABS(L2758-(Q2758-IF(ISNUMBER(N2758),N2758,0)+IF(ISNUMBER(P2758),P2758,0)))&lt;=Summary!$B$2),"Negative realized loss not applied - check sign",IF(R2758&lt;0,"Principal paid exceeds prior balance",IF(AND(L2758&gt;Q2758,NOT(ISNUMBER(P2758))),"Balance increased but no Deferred_interest reported",IF(L2758&gt;R2758,"Reported balance higher than expected (missing increase/OC build)","Reported balance lower than expected (missing decrease)"))))),""))</f>
        <v/>
      </c>
    </row>
    <row r="2759" customFormat="false" ht="15" hidden="false" customHeight="false" outlineLevel="0" collapsed="false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9"/>
      <c r="L2759" s="9"/>
      <c r="M2759" s="9"/>
      <c r="N2759" s="9"/>
      <c r="O2759" s="9"/>
      <c r="P2759" s="9"/>
      <c r="Q2759" s="9"/>
      <c r="R2759" s="9" t="str">
        <f aca="false">IF(AND(A2759&lt;&gt;"",ISNUMBER(Q2759),ISNUMBER(L2759)),ROUND(Q2759-IF(ISNUMBER(N2759),N2759,0)-IF(ISNUMBER(O2759),O2759,0)+IF(ISNUMBER(P2759),P2759,0),2),"")</f>
        <v/>
      </c>
      <c r="S2759" s="9" t="str">
        <f aca="false">IF(R2759="","",ROUND(L2759-R2759,2))</f>
        <v/>
      </c>
      <c r="T2759" s="8" t="str">
        <f aca="false">IF(A2759="","",IF(S2759="","BYPASS",IF(ABS(S2759)&lt;=Summary!$B$2,"PASS","FAIL")))</f>
        <v/>
      </c>
      <c r="U2759" s="8" t="str">
        <f aca="false">IF(T2759="BYPASS",IF(NOT(ISNUMBER(Q2759)),"PreV_ETB missing","End_tr_balance missing"),IF(T2759="FAIL",IF(AND(ISNUMBER(K2759),ISNUMBER(L2759),ABS(L2759-(K2759-IF(ISNUMBER(N2759),N2759,0)-IF(ISNUMBER(O2759),O2759,0)+IF(ISNUMBER(P2759),P2759,0)))&lt;=Summary!$B$2),"Passes using beginning_balance - PreV_ETB differs from beginning_balance",IF(AND(ISNUMBER(O2759),O2759&lt;0,ABS(L2759-(Q2759-IF(ISNUMBER(N2759),N2759,0)+IF(ISNUMBER(P2759),P2759,0)))&lt;=Summary!$B$2),"Negative realized loss not applied - check sign",IF(R2759&lt;0,"Principal paid exceeds prior balance",IF(AND(L2759&gt;Q2759,NOT(ISNUMBER(P2759))),"Balance increased but no Deferred_interest reported",IF(L2759&gt;R2759,"Reported balance higher than expected (missing increase/OC build)","Reported balance lower than expected (missing decrease)"))))),""))</f>
        <v/>
      </c>
    </row>
    <row r="2760" customFormat="false" ht="15" hidden="false" customHeight="false" outlineLevel="0" collapsed="false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9"/>
      <c r="L2760" s="9"/>
      <c r="M2760" s="9"/>
      <c r="N2760" s="9"/>
      <c r="O2760" s="9"/>
      <c r="P2760" s="9"/>
      <c r="Q2760" s="9"/>
      <c r="R2760" s="9" t="str">
        <f aca="false">IF(AND(A2760&lt;&gt;"",ISNUMBER(Q2760),ISNUMBER(L2760)),ROUND(Q2760-IF(ISNUMBER(N2760),N2760,0)-IF(ISNUMBER(O2760),O2760,0)+IF(ISNUMBER(P2760),P2760,0),2),"")</f>
        <v/>
      </c>
      <c r="S2760" s="9" t="str">
        <f aca="false">IF(R2760="","",ROUND(L2760-R2760,2))</f>
        <v/>
      </c>
      <c r="T2760" s="8" t="str">
        <f aca="false">IF(A2760="","",IF(S2760="","BYPASS",IF(ABS(S2760)&lt;=Summary!$B$2,"PASS","FAIL")))</f>
        <v/>
      </c>
      <c r="U2760" s="8" t="str">
        <f aca="false">IF(T2760="BYPASS",IF(NOT(ISNUMBER(Q2760)),"PreV_ETB missing","End_tr_balance missing"),IF(T2760="FAIL",IF(AND(ISNUMBER(K2760),ISNUMBER(L2760),ABS(L2760-(K2760-IF(ISNUMBER(N2760),N2760,0)-IF(ISNUMBER(O2760),O2760,0)+IF(ISNUMBER(P2760),P2760,0)))&lt;=Summary!$B$2),"Passes using beginning_balance - PreV_ETB differs from beginning_balance",IF(AND(ISNUMBER(O2760),O2760&lt;0,ABS(L2760-(Q2760-IF(ISNUMBER(N2760),N2760,0)+IF(ISNUMBER(P2760),P2760,0)))&lt;=Summary!$B$2),"Negative realized loss not applied - check sign",IF(R2760&lt;0,"Principal paid exceeds prior balance",IF(AND(L2760&gt;Q2760,NOT(ISNUMBER(P2760))),"Balance increased but no Deferred_interest reported",IF(L2760&gt;R2760,"Reported balance higher than expected (missing increase/OC build)","Reported balance lower than expected (missing decrease)"))))),""))</f>
        <v/>
      </c>
    </row>
    <row r="2761" customFormat="false" ht="15" hidden="false" customHeight="false" outlineLevel="0" collapsed="false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9"/>
      <c r="L2761" s="9"/>
      <c r="M2761" s="9"/>
      <c r="N2761" s="9"/>
      <c r="O2761" s="9"/>
      <c r="P2761" s="9"/>
      <c r="Q2761" s="9"/>
      <c r="R2761" s="9" t="str">
        <f aca="false">IF(AND(A2761&lt;&gt;"",ISNUMBER(Q2761),ISNUMBER(L2761)),ROUND(Q2761-IF(ISNUMBER(N2761),N2761,0)-IF(ISNUMBER(O2761),O2761,0)+IF(ISNUMBER(P2761),P2761,0),2),"")</f>
        <v/>
      </c>
      <c r="S2761" s="9" t="str">
        <f aca="false">IF(R2761="","",ROUND(L2761-R2761,2))</f>
        <v/>
      </c>
      <c r="T2761" s="8" t="str">
        <f aca="false">IF(A2761="","",IF(S2761="","BYPASS",IF(ABS(S2761)&lt;=Summary!$B$2,"PASS","FAIL")))</f>
        <v/>
      </c>
      <c r="U2761" s="8" t="str">
        <f aca="false">IF(T2761="BYPASS",IF(NOT(ISNUMBER(Q2761)),"PreV_ETB missing","End_tr_balance missing"),IF(T2761="FAIL",IF(AND(ISNUMBER(K2761),ISNUMBER(L2761),ABS(L2761-(K2761-IF(ISNUMBER(N2761),N2761,0)-IF(ISNUMBER(O2761),O2761,0)+IF(ISNUMBER(P2761),P2761,0)))&lt;=Summary!$B$2),"Passes using beginning_balance - PreV_ETB differs from beginning_balance",IF(AND(ISNUMBER(O2761),O2761&lt;0,ABS(L2761-(Q2761-IF(ISNUMBER(N2761),N2761,0)+IF(ISNUMBER(P2761),P2761,0)))&lt;=Summary!$B$2),"Negative realized loss not applied - check sign",IF(R2761&lt;0,"Principal paid exceeds prior balance",IF(AND(L2761&gt;Q2761,NOT(ISNUMBER(P2761))),"Balance increased but no Deferred_interest reported",IF(L2761&gt;R2761,"Reported balance higher than expected (missing increase/OC build)","Reported balance lower than expected (missing decrease)"))))),""))</f>
        <v/>
      </c>
    </row>
    <row r="2762" customFormat="false" ht="15" hidden="false" customHeight="false" outlineLevel="0" collapsed="false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9"/>
      <c r="L2762" s="9"/>
      <c r="M2762" s="9"/>
      <c r="N2762" s="9"/>
      <c r="O2762" s="9"/>
      <c r="P2762" s="9"/>
      <c r="Q2762" s="9"/>
      <c r="R2762" s="9" t="str">
        <f aca="false">IF(AND(A2762&lt;&gt;"",ISNUMBER(Q2762),ISNUMBER(L2762)),ROUND(Q2762-IF(ISNUMBER(N2762),N2762,0)-IF(ISNUMBER(O2762),O2762,0)+IF(ISNUMBER(P2762),P2762,0),2),"")</f>
        <v/>
      </c>
      <c r="S2762" s="9" t="str">
        <f aca="false">IF(R2762="","",ROUND(L2762-R2762,2))</f>
        <v/>
      </c>
      <c r="T2762" s="8" t="str">
        <f aca="false">IF(A2762="","",IF(S2762="","BYPASS",IF(ABS(S2762)&lt;=Summary!$B$2,"PASS","FAIL")))</f>
        <v/>
      </c>
      <c r="U2762" s="8" t="str">
        <f aca="false">IF(T2762="BYPASS",IF(NOT(ISNUMBER(Q2762)),"PreV_ETB missing","End_tr_balance missing"),IF(T2762="FAIL",IF(AND(ISNUMBER(K2762),ISNUMBER(L2762),ABS(L2762-(K2762-IF(ISNUMBER(N2762),N2762,0)-IF(ISNUMBER(O2762),O2762,0)+IF(ISNUMBER(P2762),P2762,0)))&lt;=Summary!$B$2),"Passes using beginning_balance - PreV_ETB differs from beginning_balance",IF(AND(ISNUMBER(O2762),O2762&lt;0,ABS(L2762-(Q2762-IF(ISNUMBER(N2762),N2762,0)+IF(ISNUMBER(P2762),P2762,0)))&lt;=Summary!$B$2),"Negative realized loss not applied - check sign",IF(R2762&lt;0,"Principal paid exceeds prior balance",IF(AND(L2762&gt;Q2762,NOT(ISNUMBER(P2762))),"Balance increased but no Deferred_interest reported",IF(L2762&gt;R2762,"Reported balance higher than expected (missing increase/OC build)","Reported balance lower than expected (missing decrease)"))))),""))</f>
        <v/>
      </c>
    </row>
    <row r="2763" customFormat="false" ht="15" hidden="false" customHeight="false" outlineLevel="0" collapsed="false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9"/>
      <c r="L2763" s="9"/>
      <c r="M2763" s="9"/>
      <c r="N2763" s="9"/>
      <c r="O2763" s="9"/>
      <c r="P2763" s="9"/>
      <c r="Q2763" s="9"/>
      <c r="R2763" s="9" t="str">
        <f aca="false">IF(AND(A2763&lt;&gt;"",ISNUMBER(Q2763),ISNUMBER(L2763)),ROUND(Q2763-IF(ISNUMBER(N2763),N2763,0)-IF(ISNUMBER(O2763),O2763,0)+IF(ISNUMBER(P2763),P2763,0),2),"")</f>
        <v/>
      </c>
      <c r="S2763" s="9" t="str">
        <f aca="false">IF(R2763="","",ROUND(L2763-R2763,2))</f>
        <v/>
      </c>
      <c r="T2763" s="8" t="str">
        <f aca="false">IF(A2763="","",IF(S2763="","BYPASS",IF(ABS(S2763)&lt;=Summary!$B$2,"PASS","FAIL")))</f>
        <v/>
      </c>
      <c r="U2763" s="8" t="str">
        <f aca="false">IF(T2763="BYPASS",IF(NOT(ISNUMBER(Q2763)),"PreV_ETB missing","End_tr_balance missing"),IF(T2763="FAIL",IF(AND(ISNUMBER(K2763),ISNUMBER(L2763),ABS(L2763-(K2763-IF(ISNUMBER(N2763),N2763,0)-IF(ISNUMBER(O2763),O2763,0)+IF(ISNUMBER(P2763),P2763,0)))&lt;=Summary!$B$2),"Passes using beginning_balance - PreV_ETB differs from beginning_balance",IF(AND(ISNUMBER(O2763),O2763&lt;0,ABS(L2763-(Q2763-IF(ISNUMBER(N2763),N2763,0)+IF(ISNUMBER(P2763),P2763,0)))&lt;=Summary!$B$2),"Negative realized loss not applied - check sign",IF(R2763&lt;0,"Principal paid exceeds prior balance",IF(AND(L2763&gt;Q2763,NOT(ISNUMBER(P2763))),"Balance increased but no Deferred_interest reported",IF(L2763&gt;R2763,"Reported balance higher than expected (missing increase/OC build)","Reported balance lower than expected (missing decrease)"))))),""))</f>
        <v/>
      </c>
    </row>
    <row r="2764" customFormat="false" ht="15" hidden="false" customHeight="false" outlineLevel="0" collapsed="false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9"/>
      <c r="L2764" s="9"/>
      <c r="M2764" s="9"/>
      <c r="N2764" s="9"/>
      <c r="O2764" s="9"/>
      <c r="P2764" s="9"/>
      <c r="Q2764" s="9"/>
      <c r="R2764" s="9" t="str">
        <f aca="false">IF(AND(A2764&lt;&gt;"",ISNUMBER(Q2764),ISNUMBER(L2764)),ROUND(Q2764-IF(ISNUMBER(N2764),N2764,0)-IF(ISNUMBER(O2764),O2764,0)+IF(ISNUMBER(P2764),P2764,0),2),"")</f>
        <v/>
      </c>
      <c r="S2764" s="9" t="str">
        <f aca="false">IF(R2764="","",ROUND(L2764-R2764,2))</f>
        <v/>
      </c>
      <c r="T2764" s="8" t="str">
        <f aca="false">IF(A2764="","",IF(S2764="","BYPASS",IF(ABS(S2764)&lt;=Summary!$B$2,"PASS","FAIL")))</f>
        <v/>
      </c>
      <c r="U2764" s="8" t="str">
        <f aca="false">IF(T2764="BYPASS",IF(NOT(ISNUMBER(Q2764)),"PreV_ETB missing","End_tr_balance missing"),IF(T2764="FAIL",IF(AND(ISNUMBER(K2764),ISNUMBER(L2764),ABS(L2764-(K2764-IF(ISNUMBER(N2764),N2764,0)-IF(ISNUMBER(O2764),O2764,0)+IF(ISNUMBER(P2764),P2764,0)))&lt;=Summary!$B$2),"Passes using beginning_balance - PreV_ETB differs from beginning_balance",IF(AND(ISNUMBER(O2764),O2764&lt;0,ABS(L2764-(Q2764-IF(ISNUMBER(N2764),N2764,0)+IF(ISNUMBER(P2764),P2764,0)))&lt;=Summary!$B$2),"Negative realized loss not applied - check sign",IF(R2764&lt;0,"Principal paid exceeds prior balance",IF(AND(L2764&gt;Q2764,NOT(ISNUMBER(P2764))),"Balance increased but no Deferred_interest reported",IF(L2764&gt;R2764,"Reported balance higher than expected (missing increase/OC build)","Reported balance lower than expected (missing decrease)"))))),""))</f>
        <v/>
      </c>
    </row>
    <row r="2765" customFormat="false" ht="15" hidden="false" customHeight="false" outlineLevel="0" collapsed="false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9"/>
      <c r="L2765" s="9"/>
      <c r="M2765" s="9"/>
      <c r="N2765" s="9"/>
      <c r="O2765" s="9"/>
      <c r="P2765" s="9"/>
      <c r="Q2765" s="9"/>
      <c r="R2765" s="9" t="str">
        <f aca="false">IF(AND(A2765&lt;&gt;"",ISNUMBER(Q2765),ISNUMBER(L2765)),ROUND(Q2765-IF(ISNUMBER(N2765),N2765,0)-IF(ISNUMBER(O2765),O2765,0)+IF(ISNUMBER(P2765),P2765,0),2),"")</f>
        <v/>
      </c>
      <c r="S2765" s="9" t="str">
        <f aca="false">IF(R2765="","",ROUND(L2765-R2765,2))</f>
        <v/>
      </c>
      <c r="T2765" s="8" t="str">
        <f aca="false">IF(A2765="","",IF(S2765="","BYPASS",IF(ABS(S2765)&lt;=Summary!$B$2,"PASS","FAIL")))</f>
        <v/>
      </c>
      <c r="U2765" s="8" t="str">
        <f aca="false">IF(T2765="BYPASS",IF(NOT(ISNUMBER(Q2765)),"PreV_ETB missing","End_tr_balance missing"),IF(T2765="FAIL",IF(AND(ISNUMBER(K2765),ISNUMBER(L2765),ABS(L2765-(K2765-IF(ISNUMBER(N2765),N2765,0)-IF(ISNUMBER(O2765),O2765,0)+IF(ISNUMBER(P2765),P2765,0)))&lt;=Summary!$B$2),"Passes using beginning_balance - PreV_ETB differs from beginning_balance",IF(AND(ISNUMBER(O2765),O2765&lt;0,ABS(L2765-(Q2765-IF(ISNUMBER(N2765),N2765,0)+IF(ISNUMBER(P2765),P2765,0)))&lt;=Summary!$B$2),"Negative realized loss not applied - check sign",IF(R2765&lt;0,"Principal paid exceeds prior balance",IF(AND(L2765&gt;Q2765,NOT(ISNUMBER(P2765))),"Balance increased but no Deferred_interest reported",IF(L2765&gt;R2765,"Reported balance higher than expected (missing increase/OC build)","Reported balance lower than expected (missing decrease)"))))),""))</f>
        <v/>
      </c>
    </row>
    <row r="2766" customFormat="false" ht="15" hidden="false" customHeight="false" outlineLevel="0" collapsed="false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9"/>
      <c r="L2766" s="9"/>
      <c r="M2766" s="9"/>
      <c r="N2766" s="9"/>
      <c r="O2766" s="9"/>
      <c r="P2766" s="9"/>
      <c r="Q2766" s="9"/>
      <c r="R2766" s="9" t="str">
        <f aca="false">IF(AND(A2766&lt;&gt;"",ISNUMBER(Q2766),ISNUMBER(L2766)),ROUND(Q2766-IF(ISNUMBER(N2766),N2766,0)-IF(ISNUMBER(O2766),O2766,0)+IF(ISNUMBER(P2766),P2766,0),2),"")</f>
        <v/>
      </c>
      <c r="S2766" s="9" t="str">
        <f aca="false">IF(R2766="","",ROUND(L2766-R2766,2))</f>
        <v/>
      </c>
      <c r="T2766" s="8" t="str">
        <f aca="false">IF(A2766="","",IF(S2766="","BYPASS",IF(ABS(S2766)&lt;=Summary!$B$2,"PASS","FAIL")))</f>
        <v/>
      </c>
      <c r="U2766" s="8" t="str">
        <f aca="false">IF(T2766="BYPASS",IF(NOT(ISNUMBER(Q2766)),"PreV_ETB missing","End_tr_balance missing"),IF(T2766="FAIL",IF(AND(ISNUMBER(K2766),ISNUMBER(L2766),ABS(L2766-(K2766-IF(ISNUMBER(N2766),N2766,0)-IF(ISNUMBER(O2766),O2766,0)+IF(ISNUMBER(P2766),P2766,0)))&lt;=Summary!$B$2),"Passes using beginning_balance - PreV_ETB differs from beginning_balance",IF(AND(ISNUMBER(O2766),O2766&lt;0,ABS(L2766-(Q2766-IF(ISNUMBER(N2766),N2766,0)+IF(ISNUMBER(P2766),P2766,0)))&lt;=Summary!$B$2),"Negative realized loss not applied - check sign",IF(R2766&lt;0,"Principal paid exceeds prior balance",IF(AND(L2766&gt;Q2766,NOT(ISNUMBER(P2766))),"Balance increased but no Deferred_interest reported",IF(L2766&gt;R2766,"Reported balance higher than expected (missing increase/OC build)","Reported balance lower than expected (missing decrease)"))))),""))</f>
        <v/>
      </c>
    </row>
    <row r="2767" customFormat="false" ht="15" hidden="false" customHeight="false" outlineLevel="0" collapsed="false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9"/>
      <c r="L2767" s="9"/>
      <c r="M2767" s="9"/>
      <c r="N2767" s="9"/>
      <c r="O2767" s="9"/>
      <c r="P2767" s="9"/>
      <c r="Q2767" s="9"/>
      <c r="R2767" s="9" t="str">
        <f aca="false">IF(AND(A2767&lt;&gt;"",ISNUMBER(Q2767),ISNUMBER(L2767)),ROUND(Q2767-IF(ISNUMBER(N2767),N2767,0)-IF(ISNUMBER(O2767),O2767,0)+IF(ISNUMBER(P2767),P2767,0),2),"")</f>
        <v/>
      </c>
      <c r="S2767" s="9" t="str">
        <f aca="false">IF(R2767="","",ROUND(L2767-R2767,2))</f>
        <v/>
      </c>
      <c r="T2767" s="8" t="str">
        <f aca="false">IF(A2767="","",IF(S2767="","BYPASS",IF(ABS(S2767)&lt;=Summary!$B$2,"PASS","FAIL")))</f>
        <v/>
      </c>
      <c r="U2767" s="8" t="str">
        <f aca="false">IF(T2767="BYPASS",IF(NOT(ISNUMBER(Q2767)),"PreV_ETB missing","End_tr_balance missing"),IF(T2767="FAIL",IF(AND(ISNUMBER(K2767),ISNUMBER(L2767),ABS(L2767-(K2767-IF(ISNUMBER(N2767),N2767,0)-IF(ISNUMBER(O2767),O2767,0)+IF(ISNUMBER(P2767),P2767,0)))&lt;=Summary!$B$2),"Passes using beginning_balance - PreV_ETB differs from beginning_balance",IF(AND(ISNUMBER(O2767),O2767&lt;0,ABS(L2767-(Q2767-IF(ISNUMBER(N2767),N2767,0)+IF(ISNUMBER(P2767),P2767,0)))&lt;=Summary!$B$2),"Negative realized loss not applied - check sign",IF(R2767&lt;0,"Principal paid exceeds prior balance",IF(AND(L2767&gt;Q2767,NOT(ISNUMBER(P2767))),"Balance increased but no Deferred_interest reported",IF(L2767&gt;R2767,"Reported balance higher than expected (missing increase/OC build)","Reported balance lower than expected (missing decrease)"))))),""))</f>
        <v/>
      </c>
    </row>
    <row r="2768" customFormat="false" ht="15" hidden="false" customHeight="false" outlineLevel="0" collapsed="false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9"/>
      <c r="L2768" s="9"/>
      <c r="M2768" s="9"/>
      <c r="N2768" s="9"/>
      <c r="O2768" s="9"/>
      <c r="P2768" s="9"/>
      <c r="Q2768" s="9"/>
      <c r="R2768" s="9" t="str">
        <f aca="false">IF(AND(A2768&lt;&gt;"",ISNUMBER(Q2768),ISNUMBER(L2768)),ROUND(Q2768-IF(ISNUMBER(N2768),N2768,0)-IF(ISNUMBER(O2768),O2768,0)+IF(ISNUMBER(P2768),P2768,0),2),"")</f>
        <v/>
      </c>
      <c r="S2768" s="9" t="str">
        <f aca="false">IF(R2768="","",ROUND(L2768-R2768,2))</f>
        <v/>
      </c>
      <c r="T2768" s="8" t="str">
        <f aca="false">IF(A2768="","",IF(S2768="","BYPASS",IF(ABS(S2768)&lt;=Summary!$B$2,"PASS","FAIL")))</f>
        <v/>
      </c>
      <c r="U2768" s="8" t="str">
        <f aca="false">IF(T2768="BYPASS",IF(NOT(ISNUMBER(Q2768)),"PreV_ETB missing","End_tr_balance missing"),IF(T2768="FAIL",IF(AND(ISNUMBER(K2768),ISNUMBER(L2768),ABS(L2768-(K2768-IF(ISNUMBER(N2768),N2768,0)-IF(ISNUMBER(O2768),O2768,0)+IF(ISNUMBER(P2768),P2768,0)))&lt;=Summary!$B$2),"Passes using beginning_balance - PreV_ETB differs from beginning_balance",IF(AND(ISNUMBER(O2768),O2768&lt;0,ABS(L2768-(Q2768-IF(ISNUMBER(N2768),N2768,0)+IF(ISNUMBER(P2768),P2768,0)))&lt;=Summary!$B$2),"Negative realized loss not applied - check sign",IF(R2768&lt;0,"Principal paid exceeds prior balance",IF(AND(L2768&gt;Q2768,NOT(ISNUMBER(P2768))),"Balance increased but no Deferred_interest reported",IF(L2768&gt;R2768,"Reported balance higher than expected (missing increase/OC build)","Reported balance lower than expected (missing decrease)"))))),""))</f>
        <v/>
      </c>
    </row>
    <row r="2769" customFormat="false" ht="15" hidden="false" customHeight="false" outlineLevel="0" collapsed="false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9"/>
      <c r="L2769" s="9"/>
      <c r="M2769" s="9"/>
      <c r="N2769" s="9"/>
      <c r="O2769" s="9"/>
      <c r="P2769" s="9"/>
      <c r="Q2769" s="9"/>
      <c r="R2769" s="9" t="str">
        <f aca="false">IF(AND(A2769&lt;&gt;"",ISNUMBER(Q2769),ISNUMBER(L2769)),ROUND(Q2769-IF(ISNUMBER(N2769),N2769,0)-IF(ISNUMBER(O2769),O2769,0)+IF(ISNUMBER(P2769),P2769,0),2),"")</f>
        <v/>
      </c>
      <c r="S2769" s="9" t="str">
        <f aca="false">IF(R2769="","",ROUND(L2769-R2769,2))</f>
        <v/>
      </c>
      <c r="T2769" s="8" t="str">
        <f aca="false">IF(A2769="","",IF(S2769="","BYPASS",IF(ABS(S2769)&lt;=Summary!$B$2,"PASS","FAIL")))</f>
        <v/>
      </c>
      <c r="U2769" s="8" t="str">
        <f aca="false">IF(T2769="BYPASS",IF(NOT(ISNUMBER(Q2769)),"PreV_ETB missing","End_tr_balance missing"),IF(T2769="FAIL",IF(AND(ISNUMBER(K2769),ISNUMBER(L2769),ABS(L2769-(K2769-IF(ISNUMBER(N2769),N2769,0)-IF(ISNUMBER(O2769),O2769,0)+IF(ISNUMBER(P2769),P2769,0)))&lt;=Summary!$B$2),"Passes using beginning_balance - PreV_ETB differs from beginning_balance",IF(AND(ISNUMBER(O2769),O2769&lt;0,ABS(L2769-(Q2769-IF(ISNUMBER(N2769),N2769,0)+IF(ISNUMBER(P2769),P2769,0)))&lt;=Summary!$B$2),"Negative realized loss not applied - check sign",IF(R2769&lt;0,"Principal paid exceeds prior balance",IF(AND(L2769&gt;Q2769,NOT(ISNUMBER(P2769))),"Balance increased but no Deferred_interest reported",IF(L2769&gt;R2769,"Reported balance higher than expected (missing increase/OC build)","Reported balance lower than expected (missing decrease)"))))),""))</f>
        <v/>
      </c>
    </row>
    <row r="2770" customFormat="false" ht="15" hidden="false" customHeight="false" outlineLevel="0" collapsed="false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9"/>
      <c r="L2770" s="9"/>
      <c r="M2770" s="9"/>
      <c r="N2770" s="9"/>
      <c r="O2770" s="9"/>
      <c r="P2770" s="9"/>
      <c r="Q2770" s="9"/>
      <c r="R2770" s="9" t="str">
        <f aca="false">IF(AND(A2770&lt;&gt;"",ISNUMBER(Q2770),ISNUMBER(L2770)),ROUND(Q2770-IF(ISNUMBER(N2770),N2770,0)-IF(ISNUMBER(O2770),O2770,0)+IF(ISNUMBER(P2770),P2770,0),2),"")</f>
        <v/>
      </c>
      <c r="S2770" s="9" t="str">
        <f aca="false">IF(R2770="","",ROUND(L2770-R2770,2))</f>
        <v/>
      </c>
      <c r="T2770" s="8" t="str">
        <f aca="false">IF(A2770="","",IF(S2770="","BYPASS",IF(ABS(S2770)&lt;=Summary!$B$2,"PASS","FAIL")))</f>
        <v/>
      </c>
      <c r="U2770" s="8" t="str">
        <f aca="false">IF(T2770="BYPASS",IF(NOT(ISNUMBER(Q2770)),"PreV_ETB missing","End_tr_balance missing"),IF(T2770="FAIL",IF(AND(ISNUMBER(K2770),ISNUMBER(L2770),ABS(L2770-(K2770-IF(ISNUMBER(N2770),N2770,0)-IF(ISNUMBER(O2770),O2770,0)+IF(ISNUMBER(P2770),P2770,0)))&lt;=Summary!$B$2),"Passes using beginning_balance - PreV_ETB differs from beginning_balance",IF(AND(ISNUMBER(O2770),O2770&lt;0,ABS(L2770-(Q2770-IF(ISNUMBER(N2770),N2770,0)+IF(ISNUMBER(P2770),P2770,0)))&lt;=Summary!$B$2),"Negative realized loss not applied - check sign",IF(R2770&lt;0,"Principal paid exceeds prior balance",IF(AND(L2770&gt;Q2770,NOT(ISNUMBER(P2770))),"Balance increased but no Deferred_interest reported",IF(L2770&gt;R2770,"Reported balance higher than expected (missing increase/OC build)","Reported balance lower than expected (missing decrease)"))))),""))</f>
        <v/>
      </c>
    </row>
    <row r="2771" customFormat="false" ht="15" hidden="false" customHeight="false" outlineLevel="0" collapsed="false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9"/>
      <c r="L2771" s="9"/>
      <c r="M2771" s="9"/>
      <c r="N2771" s="9"/>
      <c r="O2771" s="9"/>
      <c r="P2771" s="9"/>
      <c r="Q2771" s="9"/>
      <c r="R2771" s="9" t="str">
        <f aca="false">IF(AND(A2771&lt;&gt;"",ISNUMBER(Q2771),ISNUMBER(L2771)),ROUND(Q2771-IF(ISNUMBER(N2771),N2771,0)-IF(ISNUMBER(O2771),O2771,0)+IF(ISNUMBER(P2771),P2771,0),2),"")</f>
        <v/>
      </c>
      <c r="S2771" s="9" t="str">
        <f aca="false">IF(R2771="","",ROUND(L2771-R2771,2))</f>
        <v/>
      </c>
      <c r="T2771" s="8" t="str">
        <f aca="false">IF(A2771="","",IF(S2771="","BYPASS",IF(ABS(S2771)&lt;=Summary!$B$2,"PASS","FAIL")))</f>
        <v/>
      </c>
      <c r="U2771" s="8" t="str">
        <f aca="false">IF(T2771="BYPASS",IF(NOT(ISNUMBER(Q2771)),"PreV_ETB missing","End_tr_balance missing"),IF(T2771="FAIL",IF(AND(ISNUMBER(K2771),ISNUMBER(L2771),ABS(L2771-(K2771-IF(ISNUMBER(N2771),N2771,0)-IF(ISNUMBER(O2771),O2771,0)+IF(ISNUMBER(P2771),P2771,0)))&lt;=Summary!$B$2),"Passes using beginning_balance - PreV_ETB differs from beginning_balance",IF(AND(ISNUMBER(O2771),O2771&lt;0,ABS(L2771-(Q2771-IF(ISNUMBER(N2771),N2771,0)+IF(ISNUMBER(P2771),P2771,0)))&lt;=Summary!$B$2),"Negative realized loss not applied - check sign",IF(R2771&lt;0,"Principal paid exceeds prior balance",IF(AND(L2771&gt;Q2771,NOT(ISNUMBER(P2771))),"Balance increased but no Deferred_interest reported",IF(L2771&gt;R2771,"Reported balance higher than expected (missing increase/OC build)","Reported balance lower than expected (missing decrease)"))))),""))</f>
        <v/>
      </c>
    </row>
    <row r="2772" customFormat="false" ht="15" hidden="false" customHeight="false" outlineLevel="0" collapsed="false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9"/>
      <c r="L2772" s="9"/>
      <c r="M2772" s="9"/>
      <c r="N2772" s="9"/>
      <c r="O2772" s="9"/>
      <c r="P2772" s="9"/>
      <c r="Q2772" s="9"/>
      <c r="R2772" s="9" t="str">
        <f aca="false">IF(AND(A2772&lt;&gt;"",ISNUMBER(Q2772),ISNUMBER(L2772)),ROUND(Q2772-IF(ISNUMBER(N2772),N2772,0)-IF(ISNUMBER(O2772),O2772,0)+IF(ISNUMBER(P2772),P2772,0),2),"")</f>
        <v/>
      </c>
      <c r="S2772" s="9" t="str">
        <f aca="false">IF(R2772="","",ROUND(L2772-R2772,2))</f>
        <v/>
      </c>
      <c r="T2772" s="8" t="str">
        <f aca="false">IF(A2772="","",IF(S2772="","BYPASS",IF(ABS(S2772)&lt;=Summary!$B$2,"PASS","FAIL")))</f>
        <v/>
      </c>
      <c r="U2772" s="8" t="str">
        <f aca="false">IF(T2772="BYPASS",IF(NOT(ISNUMBER(Q2772)),"PreV_ETB missing","End_tr_balance missing"),IF(T2772="FAIL",IF(AND(ISNUMBER(K2772),ISNUMBER(L2772),ABS(L2772-(K2772-IF(ISNUMBER(N2772),N2772,0)-IF(ISNUMBER(O2772),O2772,0)+IF(ISNUMBER(P2772),P2772,0)))&lt;=Summary!$B$2),"Passes using beginning_balance - PreV_ETB differs from beginning_balance",IF(AND(ISNUMBER(O2772),O2772&lt;0,ABS(L2772-(Q2772-IF(ISNUMBER(N2772),N2772,0)+IF(ISNUMBER(P2772),P2772,0)))&lt;=Summary!$B$2),"Negative realized loss not applied - check sign",IF(R2772&lt;0,"Principal paid exceeds prior balance",IF(AND(L2772&gt;Q2772,NOT(ISNUMBER(P2772))),"Balance increased but no Deferred_interest reported",IF(L2772&gt;R2772,"Reported balance higher than expected (missing increase/OC build)","Reported balance lower than expected (missing decrease)"))))),""))</f>
        <v/>
      </c>
    </row>
    <row r="2773" customFormat="false" ht="15" hidden="false" customHeight="false" outlineLevel="0" collapsed="false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9"/>
      <c r="L2773" s="9"/>
      <c r="M2773" s="9"/>
      <c r="N2773" s="9"/>
      <c r="O2773" s="9"/>
      <c r="P2773" s="9"/>
      <c r="Q2773" s="9"/>
      <c r="R2773" s="9" t="str">
        <f aca="false">IF(AND(A2773&lt;&gt;"",ISNUMBER(Q2773),ISNUMBER(L2773)),ROUND(Q2773-IF(ISNUMBER(N2773),N2773,0)-IF(ISNUMBER(O2773),O2773,0)+IF(ISNUMBER(P2773),P2773,0),2),"")</f>
        <v/>
      </c>
      <c r="S2773" s="9" t="str">
        <f aca="false">IF(R2773="","",ROUND(L2773-R2773,2))</f>
        <v/>
      </c>
      <c r="T2773" s="8" t="str">
        <f aca="false">IF(A2773="","",IF(S2773="","BYPASS",IF(ABS(S2773)&lt;=Summary!$B$2,"PASS","FAIL")))</f>
        <v/>
      </c>
      <c r="U2773" s="8" t="str">
        <f aca="false">IF(T2773="BYPASS",IF(NOT(ISNUMBER(Q2773)),"PreV_ETB missing","End_tr_balance missing"),IF(T2773="FAIL",IF(AND(ISNUMBER(K2773),ISNUMBER(L2773),ABS(L2773-(K2773-IF(ISNUMBER(N2773),N2773,0)-IF(ISNUMBER(O2773),O2773,0)+IF(ISNUMBER(P2773),P2773,0)))&lt;=Summary!$B$2),"Passes using beginning_balance - PreV_ETB differs from beginning_balance",IF(AND(ISNUMBER(O2773),O2773&lt;0,ABS(L2773-(Q2773-IF(ISNUMBER(N2773),N2773,0)+IF(ISNUMBER(P2773),P2773,0)))&lt;=Summary!$B$2),"Negative realized loss not applied - check sign",IF(R2773&lt;0,"Principal paid exceeds prior balance",IF(AND(L2773&gt;Q2773,NOT(ISNUMBER(P2773))),"Balance increased but no Deferred_interest reported",IF(L2773&gt;R2773,"Reported balance higher than expected (missing increase/OC build)","Reported balance lower than expected (missing decrease)"))))),""))</f>
        <v/>
      </c>
    </row>
    <row r="2774" customFormat="false" ht="15" hidden="false" customHeight="false" outlineLevel="0" collapsed="false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9"/>
      <c r="L2774" s="9"/>
      <c r="M2774" s="9"/>
      <c r="N2774" s="9"/>
      <c r="O2774" s="9"/>
      <c r="P2774" s="9"/>
      <c r="Q2774" s="9"/>
      <c r="R2774" s="9" t="str">
        <f aca="false">IF(AND(A2774&lt;&gt;"",ISNUMBER(Q2774),ISNUMBER(L2774)),ROUND(Q2774-IF(ISNUMBER(N2774),N2774,0)-IF(ISNUMBER(O2774),O2774,0)+IF(ISNUMBER(P2774),P2774,0),2),"")</f>
        <v/>
      </c>
      <c r="S2774" s="9" t="str">
        <f aca="false">IF(R2774="","",ROUND(L2774-R2774,2))</f>
        <v/>
      </c>
      <c r="T2774" s="8" t="str">
        <f aca="false">IF(A2774="","",IF(S2774="","BYPASS",IF(ABS(S2774)&lt;=Summary!$B$2,"PASS","FAIL")))</f>
        <v/>
      </c>
      <c r="U2774" s="8" t="str">
        <f aca="false">IF(T2774="BYPASS",IF(NOT(ISNUMBER(Q2774)),"PreV_ETB missing","End_tr_balance missing"),IF(T2774="FAIL",IF(AND(ISNUMBER(K2774),ISNUMBER(L2774),ABS(L2774-(K2774-IF(ISNUMBER(N2774),N2774,0)-IF(ISNUMBER(O2774),O2774,0)+IF(ISNUMBER(P2774),P2774,0)))&lt;=Summary!$B$2),"Passes using beginning_balance - PreV_ETB differs from beginning_balance",IF(AND(ISNUMBER(O2774),O2774&lt;0,ABS(L2774-(Q2774-IF(ISNUMBER(N2774),N2774,0)+IF(ISNUMBER(P2774),P2774,0)))&lt;=Summary!$B$2),"Negative realized loss not applied - check sign",IF(R2774&lt;0,"Principal paid exceeds prior balance",IF(AND(L2774&gt;Q2774,NOT(ISNUMBER(P2774))),"Balance increased but no Deferred_interest reported",IF(L2774&gt;R2774,"Reported balance higher than expected (missing increase/OC build)","Reported balance lower than expected (missing decrease)"))))),""))</f>
        <v/>
      </c>
    </row>
    <row r="2775" customFormat="false" ht="15" hidden="false" customHeight="false" outlineLevel="0" collapsed="false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9"/>
      <c r="L2775" s="9"/>
      <c r="M2775" s="9"/>
      <c r="N2775" s="9"/>
      <c r="O2775" s="9"/>
      <c r="P2775" s="9"/>
      <c r="Q2775" s="9"/>
      <c r="R2775" s="9" t="str">
        <f aca="false">IF(AND(A2775&lt;&gt;"",ISNUMBER(Q2775),ISNUMBER(L2775)),ROUND(Q2775-IF(ISNUMBER(N2775),N2775,0)-IF(ISNUMBER(O2775),O2775,0)+IF(ISNUMBER(P2775),P2775,0),2),"")</f>
        <v/>
      </c>
      <c r="S2775" s="9" t="str">
        <f aca="false">IF(R2775="","",ROUND(L2775-R2775,2))</f>
        <v/>
      </c>
      <c r="T2775" s="8" t="str">
        <f aca="false">IF(A2775="","",IF(S2775="","BYPASS",IF(ABS(S2775)&lt;=Summary!$B$2,"PASS","FAIL")))</f>
        <v/>
      </c>
      <c r="U2775" s="8" t="str">
        <f aca="false">IF(T2775="BYPASS",IF(NOT(ISNUMBER(Q2775)),"PreV_ETB missing","End_tr_balance missing"),IF(T2775="FAIL",IF(AND(ISNUMBER(K2775),ISNUMBER(L2775),ABS(L2775-(K2775-IF(ISNUMBER(N2775),N2775,0)-IF(ISNUMBER(O2775),O2775,0)+IF(ISNUMBER(P2775),P2775,0)))&lt;=Summary!$B$2),"Passes using beginning_balance - PreV_ETB differs from beginning_balance",IF(AND(ISNUMBER(O2775),O2775&lt;0,ABS(L2775-(Q2775-IF(ISNUMBER(N2775),N2775,0)+IF(ISNUMBER(P2775),P2775,0)))&lt;=Summary!$B$2),"Negative realized loss not applied - check sign",IF(R2775&lt;0,"Principal paid exceeds prior balance",IF(AND(L2775&gt;Q2775,NOT(ISNUMBER(P2775))),"Balance increased but no Deferred_interest reported",IF(L2775&gt;R2775,"Reported balance higher than expected (missing increase/OC build)","Reported balance lower than expected (missing decrease)"))))),""))</f>
        <v/>
      </c>
    </row>
    <row r="2776" customFormat="false" ht="15" hidden="false" customHeight="false" outlineLevel="0" collapsed="false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9"/>
      <c r="L2776" s="9"/>
      <c r="M2776" s="9"/>
      <c r="N2776" s="9"/>
      <c r="O2776" s="9"/>
      <c r="P2776" s="9"/>
      <c r="Q2776" s="9"/>
      <c r="R2776" s="9" t="str">
        <f aca="false">IF(AND(A2776&lt;&gt;"",ISNUMBER(Q2776),ISNUMBER(L2776)),ROUND(Q2776-IF(ISNUMBER(N2776),N2776,0)-IF(ISNUMBER(O2776),O2776,0)+IF(ISNUMBER(P2776),P2776,0),2),"")</f>
        <v/>
      </c>
      <c r="S2776" s="9" t="str">
        <f aca="false">IF(R2776="","",ROUND(L2776-R2776,2))</f>
        <v/>
      </c>
      <c r="T2776" s="8" t="str">
        <f aca="false">IF(A2776="","",IF(S2776="","BYPASS",IF(ABS(S2776)&lt;=Summary!$B$2,"PASS","FAIL")))</f>
        <v/>
      </c>
      <c r="U2776" s="8" t="str">
        <f aca="false">IF(T2776="BYPASS",IF(NOT(ISNUMBER(Q2776)),"PreV_ETB missing","End_tr_balance missing"),IF(T2776="FAIL",IF(AND(ISNUMBER(K2776),ISNUMBER(L2776),ABS(L2776-(K2776-IF(ISNUMBER(N2776),N2776,0)-IF(ISNUMBER(O2776),O2776,0)+IF(ISNUMBER(P2776),P2776,0)))&lt;=Summary!$B$2),"Passes using beginning_balance - PreV_ETB differs from beginning_balance",IF(AND(ISNUMBER(O2776),O2776&lt;0,ABS(L2776-(Q2776-IF(ISNUMBER(N2776),N2776,0)+IF(ISNUMBER(P2776),P2776,0)))&lt;=Summary!$B$2),"Negative realized loss not applied - check sign",IF(R2776&lt;0,"Principal paid exceeds prior balance",IF(AND(L2776&gt;Q2776,NOT(ISNUMBER(P2776))),"Balance increased but no Deferred_interest reported",IF(L2776&gt;R2776,"Reported balance higher than expected (missing increase/OC build)","Reported balance lower than expected (missing decrease)"))))),""))</f>
        <v/>
      </c>
    </row>
    <row r="2777" customFormat="false" ht="15" hidden="false" customHeight="false" outlineLevel="0" collapsed="false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9"/>
      <c r="L2777" s="9"/>
      <c r="M2777" s="9"/>
      <c r="N2777" s="9"/>
      <c r="O2777" s="9"/>
      <c r="P2777" s="9"/>
      <c r="Q2777" s="9"/>
      <c r="R2777" s="9" t="str">
        <f aca="false">IF(AND(A2777&lt;&gt;"",ISNUMBER(Q2777),ISNUMBER(L2777)),ROUND(Q2777-IF(ISNUMBER(N2777),N2777,0)-IF(ISNUMBER(O2777),O2777,0)+IF(ISNUMBER(P2777),P2777,0),2),"")</f>
        <v/>
      </c>
      <c r="S2777" s="9" t="str">
        <f aca="false">IF(R2777="","",ROUND(L2777-R2777,2))</f>
        <v/>
      </c>
      <c r="T2777" s="8" t="str">
        <f aca="false">IF(A2777="","",IF(S2777="","BYPASS",IF(ABS(S2777)&lt;=Summary!$B$2,"PASS","FAIL")))</f>
        <v/>
      </c>
      <c r="U2777" s="8" t="str">
        <f aca="false">IF(T2777="BYPASS",IF(NOT(ISNUMBER(Q2777)),"PreV_ETB missing","End_tr_balance missing"),IF(T2777="FAIL",IF(AND(ISNUMBER(K2777),ISNUMBER(L2777),ABS(L2777-(K2777-IF(ISNUMBER(N2777),N2777,0)-IF(ISNUMBER(O2777),O2777,0)+IF(ISNUMBER(P2777),P2777,0)))&lt;=Summary!$B$2),"Passes using beginning_balance - PreV_ETB differs from beginning_balance",IF(AND(ISNUMBER(O2777),O2777&lt;0,ABS(L2777-(Q2777-IF(ISNUMBER(N2777),N2777,0)+IF(ISNUMBER(P2777),P2777,0)))&lt;=Summary!$B$2),"Negative realized loss not applied - check sign",IF(R2777&lt;0,"Principal paid exceeds prior balance",IF(AND(L2777&gt;Q2777,NOT(ISNUMBER(P2777))),"Balance increased but no Deferred_interest reported",IF(L2777&gt;R2777,"Reported balance higher than expected (missing increase/OC build)","Reported balance lower than expected (missing decrease)"))))),""))</f>
        <v/>
      </c>
    </row>
    <row r="2778" customFormat="false" ht="15" hidden="false" customHeight="false" outlineLevel="0" collapsed="false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9"/>
      <c r="L2778" s="9"/>
      <c r="M2778" s="9"/>
      <c r="N2778" s="9"/>
      <c r="O2778" s="9"/>
      <c r="P2778" s="9"/>
      <c r="Q2778" s="9"/>
      <c r="R2778" s="9" t="str">
        <f aca="false">IF(AND(A2778&lt;&gt;"",ISNUMBER(Q2778),ISNUMBER(L2778)),ROUND(Q2778-IF(ISNUMBER(N2778),N2778,0)-IF(ISNUMBER(O2778),O2778,0)+IF(ISNUMBER(P2778),P2778,0),2),"")</f>
        <v/>
      </c>
      <c r="S2778" s="9" t="str">
        <f aca="false">IF(R2778="","",ROUND(L2778-R2778,2))</f>
        <v/>
      </c>
      <c r="T2778" s="8" t="str">
        <f aca="false">IF(A2778="","",IF(S2778="","BYPASS",IF(ABS(S2778)&lt;=Summary!$B$2,"PASS","FAIL")))</f>
        <v/>
      </c>
      <c r="U2778" s="8" t="str">
        <f aca="false">IF(T2778="BYPASS",IF(NOT(ISNUMBER(Q2778)),"PreV_ETB missing","End_tr_balance missing"),IF(T2778="FAIL",IF(AND(ISNUMBER(K2778),ISNUMBER(L2778),ABS(L2778-(K2778-IF(ISNUMBER(N2778),N2778,0)-IF(ISNUMBER(O2778),O2778,0)+IF(ISNUMBER(P2778),P2778,0)))&lt;=Summary!$B$2),"Passes using beginning_balance - PreV_ETB differs from beginning_balance",IF(AND(ISNUMBER(O2778),O2778&lt;0,ABS(L2778-(Q2778-IF(ISNUMBER(N2778),N2778,0)+IF(ISNUMBER(P2778),P2778,0)))&lt;=Summary!$B$2),"Negative realized loss not applied - check sign",IF(R2778&lt;0,"Principal paid exceeds prior balance",IF(AND(L2778&gt;Q2778,NOT(ISNUMBER(P2778))),"Balance increased but no Deferred_interest reported",IF(L2778&gt;R2778,"Reported balance higher than expected (missing increase/OC build)","Reported balance lower than expected (missing decrease)"))))),""))</f>
        <v/>
      </c>
    </row>
    <row r="2779" customFormat="false" ht="15" hidden="false" customHeight="false" outlineLevel="0" collapsed="false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9"/>
      <c r="L2779" s="9"/>
      <c r="M2779" s="9"/>
      <c r="N2779" s="9"/>
      <c r="O2779" s="9"/>
      <c r="P2779" s="9"/>
      <c r="Q2779" s="9"/>
      <c r="R2779" s="9" t="str">
        <f aca="false">IF(AND(A2779&lt;&gt;"",ISNUMBER(Q2779),ISNUMBER(L2779)),ROUND(Q2779-IF(ISNUMBER(N2779),N2779,0)-IF(ISNUMBER(O2779),O2779,0)+IF(ISNUMBER(P2779),P2779,0),2),"")</f>
        <v/>
      </c>
      <c r="S2779" s="9" t="str">
        <f aca="false">IF(R2779="","",ROUND(L2779-R2779,2))</f>
        <v/>
      </c>
      <c r="T2779" s="8" t="str">
        <f aca="false">IF(A2779="","",IF(S2779="","BYPASS",IF(ABS(S2779)&lt;=Summary!$B$2,"PASS","FAIL")))</f>
        <v/>
      </c>
      <c r="U2779" s="8" t="str">
        <f aca="false">IF(T2779="BYPASS",IF(NOT(ISNUMBER(Q2779)),"PreV_ETB missing","End_tr_balance missing"),IF(T2779="FAIL",IF(AND(ISNUMBER(K2779),ISNUMBER(L2779),ABS(L2779-(K2779-IF(ISNUMBER(N2779),N2779,0)-IF(ISNUMBER(O2779),O2779,0)+IF(ISNUMBER(P2779),P2779,0)))&lt;=Summary!$B$2),"Passes using beginning_balance - PreV_ETB differs from beginning_balance",IF(AND(ISNUMBER(O2779),O2779&lt;0,ABS(L2779-(Q2779-IF(ISNUMBER(N2779),N2779,0)+IF(ISNUMBER(P2779),P2779,0)))&lt;=Summary!$B$2),"Negative realized loss not applied - check sign",IF(R2779&lt;0,"Principal paid exceeds prior balance",IF(AND(L2779&gt;Q2779,NOT(ISNUMBER(P2779))),"Balance increased but no Deferred_interest reported",IF(L2779&gt;R2779,"Reported balance higher than expected (missing increase/OC build)","Reported balance lower than expected (missing decrease)"))))),""))</f>
        <v/>
      </c>
    </row>
    <row r="2780" customFormat="false" ht="15" hidden="false" customHeight="false" outlineLevel="0" collapsed="false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9"/>
      <c r="L2780" s="9"/>
      <c r="M2780" s="9"/>
      <c r="N2780" s="9"/>
      <c r="O2780" s="9"/>
      <c r="P2780" s="9"/>
      <c r="Q2780" s="9"/>
      <c r="R2780" s="9" t="str">
        <f aca="false">IF(AND(A2780&lt;&gt;"",ISNUMBER(Q2780),ISNUMBER(L2780)),ROUND(Q2780-IF(ISNUMBER(N2780),N2780,0)-IF(ISNUMBER(O2780),O2780,0)+IF(ISNUMBER(P2780),P2780,0),2),"")</f>
        <v/>
      </c>
      <c r="S2780" s="9" t="str">
        <f aca="false">IF(R2780="","",ROUND(L2780-R2780,2))</f>
        <v/>
      </c>
      <c r="T2780" s="8" t="str">
        <f aca="false">IF(A2780="","",IF(S2780="","BYPASS",IF(ABS(S2780)&lt;=Summary!$B$2,"PASS","FAIL")))</f>
        <v/>
      </c>
      <c r="U2780" s="8" t="str">
        <f aca="false">IF(T2780="BYPASS",IF(NOT(ISNUMBER(Q2780)),"PreV_ETB missing","End_tr_balance missing"),IF(T2780="FAIL",IF(AND(ISNUMBER(K2780),ISNUMBER(L2780),ABS(L2780-(K2780-IF(ISNUMBER(N2780),N2780,0)-IF(ISNUMBER(O2780),O2780,0)+IF(ISNUMBER(P2780),P2780,0)))&lt;=Summary!$B$2),"Passes using beginning_balance - PreV_ETB differs from beginning_balance",IF(AND(ISNUMBER(O2780),O2780&lt;0,ABS(L2780-(Q2780-IF(ISNUMBER(N2780),N2780,0)+IF(ISNUMBER(P2780),P2780,0)))&lt;=Summary!$B$2),"Negative realized loss not applied - check sign",IF(R2780&lt;0,"Principal paid exceeds prior balance",IF(AND(L2780&gt;Q2780,NOT(ISNUMBER(P2780))),"Balance increased but no Deferred_interest reported",IF(L2780&gt;R2780,"Reported balance higher than expected (missing increase/OC build)","Reported balance lower than expected (missing decrease)"))))),""))</f>
        <v/>
      </c>
    </row>
    <row r="2781" customFormat="false" ht="15" hidden="false" customHeight="false" outlineLevel="0" collapsed="false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9"/>
      <c r="L2781" s="9"/>
      <c r="M2781" s="9"/>
      <c r="N2781" s="9"/>
      <c r="O2781" s="9"/>
      <c r="P2781" s="9"/>
      <c r="Q2781" s="9"/>
      <c r="R2781" s="9" t="str">
        <f aca="false">IF(AND(A2781&lt;&gt;"",ISNUMBER(Q2781),ISNUMBER(L2781)),ROUND(Q2781-IF(ISNUMBER(N2781),N2781,0)-IF(ISNUMBER(O2781),O2781,0)+IF(ISNUMBER(P2781),P2781,0),2),"")</f>
        <v/>
      </c>
      <c r="S2781" s="9" t="str">
        <f aca="false">IF(R2781="","",ROUND(L2781-R2781,2))</f>
        <v/>
      </c>
      <c r="T2781" s="8" t="str">
        <f aca="false">IF(A2781="","",IF(S2781="","BYPASS",IF(ABS(S2781)&lt;=Summary!$B$2,"PASS","FAIL")))</f>
        <v/>
      </c>
      <c r="U2781" s="8" t="str">
        <f aca="false">IF(T2781="BYPASS",IF(NOT(ISNUMBER(Q2781)),"PreV_ETB missing","End_tr_balance missing"),IF(T2781="FAIL",IF(AND(ISNUMBER(K2781),ISNUMBER(L2781),ABS(L2781-(K2781-IF(ISNUMBER(N2781),N2781,0)-IF(ISNUMBER(O2781),O2781,0)+IF(ISNUMBER(P2781),P2781,0)))&lt;=Summary!$B$2),"Passes using beginning_balance - PreV_ETB differs from beginning_balance",IF(AND(ISNUMBER(O2781),O2781&lt;0,ABS(L2781-(Q2781-IF(ISNUMBER(N2781),N2781,0)+IF(ISNUMBER(P2781),P2781,0)))&lt;=Summary!$B$2),"Negative realized loss not applied - check sign",IF(R2781&lt;0,"Principal paid exceeds prior balance",IF(AND(L2781&gt;Q2781,NOT(ISNUMBER(P2781))),"Balance increased but no Deferred_interest reported",IF(L2781&gt;R2781,"Reported balance higher than expected (missing increase/OC build)","Reported balance lower than expected (missing decrease)"))))),""))</f>
        <v/>
      </c>
    </row>
    <row r="2782" customFormat="false" ht="15" hidden="false" customHeight="false" outlineLevel="0" collapsed="false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9"/>
      <c r="L2782" s="9"/>
      <c r="M2782" s="9"/>
      <c r="N2782" s="9"/>
      <c r="O2782" s="9"/>
      <c r="P2782" s="9"/>
      <c r="Q2782" s="9"/>
      <c r="R2782" s="9" t="str">
        <f aca="false">IF(AND(A2782&lt;&gt;"",ISNUMBER(Q2782),ISNUMBER(L2782)),ROUND(Q2782-IF(ISNUMBER(N2782),N2782,0)-IF(ISNUMBER(O2782),O2782,0)+IF(ISNUMBER(P2782),P2782,0),2),"")</f>
        <v/>
      </c>
      <c r="S2782" s="9" t="str">
        <f aca="false">IF(R2782="","",ROUND(L2782-R2782,2))</f>
        <v/>
      </c>
      <c r="T2782" s="8" t="str">
        <f aca="false">IF(A2782="","",IF(S2782="","BYPASS",IF(ABS(S2782)&lt;=Summary!$B$2,"PASS","FAIL")))</f>
        <v/>
      </c>
      <c r="U2782" s="8" t="str">
        <f aca="false">IF(T2782="BYPASS",IF(NOT(ISNUMBER(Q2782)),"PreV_ETB missing","End_tr_balance missing"),IF(T2782="FAIL",IF(AND(ISNUMBER(K2782),ISNUMBER(L2782),ABS(L2782-(K2782-IF(ISNUMBER(N2782),N2782,0)-IF(ISNUMBER(O2782),O2782,0)+IF(ISNUMBER(P2782),P2782,0)))&lt;=Summary!$B$2),"Passes using beginning_balance - PreV_ETB differs from beginning_balance",IF(AND(ISNUMBER(O2782),O2782&lt;0,ABS(L2782-(Q2782-IF(ISNUMBER(N2782),N2782,0)+IF(ISNUMBER(P2782),P2782,0)))&lt;=Summary!$B$2),"Negative realized loss not applied - check sign",IF(R2782&lt;0,"Principal paid exceeds prior balance",IF(AND(L2782&gt;Q2782,NOT(ISNUMBER(P2782))),"Balance increased but no Deferred_interest reported",IF(L2782&gt;R2782,"Reported balance higher than expected (missing increase/OC build)","Reported balance lower than expected (missing decrease)"))))),""))</f>
        <v/>
      </c>
    </row>
    <row r="2783" customFormat="false" ht="15" hidden="false" customHeight="false" outlineLevel="0" collapsed="false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9"/>
      <c r="L2783" s="9"/>
      <c r="M2783" s="9"/>
      <c r="N2783" s="9"/>
      <c r="O2783" s="9"/>
      <c r="P2783" s="9"/>
      <c r="Q2783" s="9"/>
      <c r="R2783" s="9" t="str">
        <f aca="false">IF(AND(A2783&lt;&gt;"",ISNUMBER(Q2783),ISNUMBER(L2783)),ROUND(Q2783-IF(ISNUMBER(N2783),N2783,0)-IF(ISNUMBER(O2783),O2783,0)+IF(ISNUMBER(P2783),P2783,0),2),"")</f>
        <v/>
      </c>
      <c r="S2783" s="9" t="str">
        <f aca="false">IF(R2783="","",ROUND(L2783-R2783,2))</f>
        <v/>
      </c>
      <c r="T2783" s="8" t="str">
        <f aca="false">IF(A2783="","",IF(S2783="","BYPASS",IF(ABS(S2783)&lt;=Summary!$B$2,"PASS","FAIL")))</f>
        <v/>
      </c>
      <c r="U2783" s="8" t="str">
        <f aca="false">IF(T2783="BYPASS",IF(NOT(ISNUMBER(Q2783)),"PreV_ETB missing","End_tr_balance missing"),IF(T2783="FAIL",IF(AND(ISNUMBER(K2783),ISNUMBER(L2783),ABS(L2783-(K2783-IF(ISNUMBER(N2783),N2783,0)-IF(ISNUMBER(O2783),O2783,0)+IF(ISNUMBER(P2783),P2783,0)))&lt;=Summary!$B$2),"Passes using beginning_balance - PreV_ETB differs from beginning_balance",IF(AND(ISNUMBER(O2783),O2783&lt;0,ABS(L2783-(Q2783-IF(ISNUMBER(N2783),N2783,0)+IF(ISNUMBER(P2783),P2783,0)))&lt;=Summary!$B$2),"Negative realized loss not applied - check sign",IF(R2783&lt;0,"Principal paid exceeds prior balance",IF(AND(L2783&gt;Q2783,NOT(ISNUMBER(P2783))),"Balance increased but no Deferred_interest reported",IF(L2783&gt;R2783,"Reported balance higher than expected (missing increase/OC build)","Reported balance lower than expected (missing decrease)"))))),""))</f>
        <v/>
      </c>
    </row>
    <row r="2784" customFormat="false" ht="15" hidden="false" customHeight="false" outlineLevel="0" collapsed="false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9"/>
      <c r="L2784" s="9"/>
      <c r="M2784" s="9"/>
      <c r="N2784" s="9"/>
      <c r="O2784" s="9"/>
      <c r="P2784" s="9"/>
      <c r="Q2784" s="9"/>
      <c r="R2784" s="9" t="str">
        <f aca="false">IF(AND(A2784&lt;&gt;"",ISNUMBER(Q2784),ISNUMBER(L2784)),ROUND(Q2784-IF(ISNUMBER(N2784),N2784,0)-IF(ISNUMBER(O2784),O2784,0)+IF(ISNUMBER(P2784),P2784,0),2),"")</f>
        <v/>
      </c>
      <c r="S2784" s="9" t="str">
        <f aca="false">IF(R2784="","",ROUND(L2784-R2784,2))</f>
        <v/>
      </c>
      <c r="T2784" s="8" t="str">
        <f aca="false">IF(A2784="","",IF(S2784="","BYPASS",IF(ABS(S2784)&lt;=Summary!$B$2,"PASS","FAIL")))</f>
        <v/>
      </c>
      <c r="U2784" s="8" t="str">
        <f aca="false">IF(T2784="BYPASS",IF(NOT(ISNUMBER(Q2784)),"PreV_ETB missing","End_tr_balance missing"),IF(T2784="FAIL",IF(AND(ISNUMBER(K2784),ISNUMBER(L2784),ABS(L2784-(K2784-IF(ISNUMBER(N2784),N2784,0)-IF(ISNUMBER(O2784),O2784,0)+IF(ISNUMBER(P2784),P2784,0)))&lt;=Summary!$B$2),"Passes using beginning_balance - PreV_ETB differs from beginning_balance",IF(AND(ISNUMBER(O2784),O2784&lt;0,ABS(L2784-(Q2784-IF(ISNUMBER(N2784),N2784,0)+IF(ISNUMBER(P2784),P2784,0)))&lt;=Summary!$B$2),"Negative realized loss not applied - check sign",IF(R2784&lt;0,"Principal paid exceeds prior balance",IF(AND(L2784&gt;Q2784,NOT(ISNUMBER(P2784))),"Balance increased but no Deferred_interest reported",IF(L2784&gt;R2784,"Reported balance higher than expected (missing increase/OC build)","Reported balance lower than expected (missing decrease)"))))),""))</f>
        <v/>
      </c>
    </row>
    <row r="2785" customFormat="false" ht="15" hidden="false" customHeight="false" outlineLevel="0" collapsed="false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9"/>
      <c r="L2785" s="9"/>
      <c r="M2785" s="9"/>
      <c r="N2785" s="9"/>
      <c r="O2785" s="9"/>
      <c r="P2785" s="9"/>
      <c r="Q2785" s="9"/>
      <c r="R2785" s="9" t="str">
        <f aca="false">IF(AND(A2785&lt;&gt;"",ISNUMBER(Q2785),ISNUMBER(L2785)),ROUND(Q2785-IF(ISNUMBER(N2785),N2785,0)-IF(ISNUMBER(O2785),O2785,0)+IF(ISNUMBER(P2785),P2785,0),2),"")</f>
        <v/>
      </c>
      <c r="S2785" s="9" t="str">
        <f aca="false">IF(R2785="","",ROUND(L2785-R2785,2))</f>
        <v/>
      </c>
      <c r="T2785" s="8" t="str">
        <f aca="false">IF(A2785="","",IF(S2785="","BYPASS",IF(ABS(S2785)&lt;=Summary!$B$2,"PASS","FAIL")))</f>
        <v/>
      </c>
      <c r="U2785" s="8" t="str">
        <f aca="false">IF(T2785="BYPASS",IF(NOT(ISNUMBER(Q2785)),"PreV_ETB missing","End_tr_balance missing"),IF(T2785="FAIL",IF(AND(ISNUMBER(K2785),ISNUMBER(L2785),ABS(L2785-(K2785-IF(ISNUMBER(N2785),N2785,0)-IF(ISNUMBER(O2785),O2785,0)+IF(ISNUMBER(P2785),P2785,0)))&lt;=Summary!$B$2),"Passes using beginning_balance - PreV_ETB differs from beginning_balance",IF(AND(ISNUMBER(O2785),O2785&lt;0,ABS(L2785-(Q2785-IF(ISNUMBER(N2785),N2785,0)+IF(ISNUMBER(P2785),P2785,0)))&lt;=Summary!$B$2),"Negative realized loss not applied - check sign",IF(R2785&lt;0,"Principal paid exceeds prior balance",IF(AND(L2785&gt;Q2785,NOT(ISNUMBER(P2785))),"Balance increased but no Deferred_interest reported",IF(L2785&gt;R2785,"Reported balance higher than expected (missing increase/OC build)","Reported balance lower than expected (missing decrease)"))))),""))</f>
        <v/>
      </c>
    </row>
    <row r="2786" customFormat="false" ht="15" hidden="false" customHeight="false" outlineLevel="0" collapsed="false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9"/>
      <c r="L2786" s="9"/>
      <c r="M2786" s="9"/>
      <c r="N2786" s="9"/>
      <c r="O2786" s="9"/>
      <c r="P2786" s="9"/>
      <c r="Q2786" s="9"/>
      <c r="R2786" s="9" t="str">
        <f aca="false">IF(AND(A2786&lt;&gt;"",ISNUMBER(Q2786),ISNUMBER(L2786)),ROUND(Q2786-IF(ISNUMBER(N2786),N2786,0)-IF(ISNUMBER(O2786),O2786,0)+IF(ISNUMBER(P2786),P2786,0),2),"")</f>
        <v/>
      </c>
      <c r="S2786" s="9" t="str">
        <f aca="false">IF(R2786="","",ROUND(L2786-R2786,2))</f>
        <v/>
      </c>
      <c r="T2786" s="8" t="str">
        <f aca="false">IF(A2786="","",IF(S2786="","BYPASS",IF(ABS(S2786)&lt;=Summary!$B$2,"PASS","FAIL")))</f>
        <v/>
      </c>
      <c r="U2786" s="8" t="str">
        <f aca="false">IF(T2786="BYPASS",IF(NOT(ISNUMBER(Q2786)),"PreV_ETB missing","End_tr_balance missing"),IF(T2786="FAIL",IF(AND(ISNUMBER(K2786),ISNUMBER(L2786),ABS(L2786-(K2786-IF(ISNUMBER(N2786),N2786,0)-IF(ISNUMBER(O2786),O2786,0)+IF(ISNUMBER(P2786),P2786,0)))&lt;=Summary!$B$2),"Passes using beginning_balance - PreV_ETB differs from beginning_balance",IF(AND(ISNUMBER(O2786),O2786&lt;0,ABS(L2786-(Q2786-IF(ISNUMBER(N2786),N2786,0)+IF(ISNUMBER(P2786),P2786,0)))&lt;=Summary!$B$2),"Negative realized loss not applied - check sign",IF(R2786&lt;0,"Principal paid exceeds prior balance",IF(AND(L2786&gt;Q2786,NOT(ISNUMBER(P2786))),"Balance increased but no Deferred_interest reported",IF(L2786&gt;R2786,"Reported balance higher than expected (missing increase/OC build)","Reported balance lower than expected (missing decrease)"))))),""))</f>
        <v/>
      </c>
    </row>
    <row r="2787" customFormat="false" ht="15" hidden="false" customHeight="false" outlineLevel="0" collapsed="false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9"/>
      <c r="L2787" s="9"/>
      <c r="M2787" s="9"/>
      <c r="N2787" s="9"/>
      <c r="O2787" s="9"/>
      <c r="P2787" s="9"/>
      <c r="Q2787" s="9"/>
      <c r="R2787" s="9" t="str">
        <f aca="false">IF(AND(A2787&lt;&gt;"",ISNUMBER(Q2787),ISNUMBER(L2787)),ROUND(Q2787-IF(ISNUMBER(N2787),N2787,0)-IF(ISNUMBER(O2787),O2787,0)+IF(ISNUMBER(P2787),P2787,0),2),"")</f>
        <v/>
      </c>
      <c r="S2787" s="9" t="str">
        <f aca="false">IF(R2787="","",ROUND(L2787-R2787,2))</f>
        <v/>
      </c>
      <c r="T2787" s="8" t="str">
        <f aca="false">IF(A2787="","",IF(S2787="","BYPASS",IF(ABS(S2787)&lt;=Summary!$B$2,"PASS","FAIL")))</f>
        <v/>
      </c>
      <c r="U2787" s="8" t="str">
        <f aca="false">IF(T2787="BYPASS",IF(NOT(ISNUMBER(Q2787)),"PreV_ETB missing","End_tr_balance missing"),IF(T2787="FAIL",IF(AND(ISNUMBER(K2787),ISNUMBER(L2787),ABS(L2787-(K2787-IF(ISNUMBER(N2787),N2787,0)-IF(ISNUMBER(O2787),O2787,0)+IF(ISNUMBER(P2787),P2787,0)))&lt;=Summary!$B$2),"Passes using beginning_balance - PreV_ETB differs from beginning_balance",IF(AND(ISNUMBER(O2787),O2787&lt;0,ABS(L2787-(Q2787-IF(ISNUMBER(N2787),N2787,0)+IF(ISNUMBER(P2787),P2787,0)))&lt;=Summary!$B$2),"Negative realized loss not applied - check sign",IF(R2787&lt;0,"Principal paid exceeds prior balance",IF(AND(L2787&gt;Q2787,NOT(ISNUMBER(P2787))),"Balance increased but no Deferred_interest reported",IF(L2787&gt;R2787,"Reported balance higher than expected (missing increase/OC build)","Reported balance lower than expected (missing decrease)"))))),""))</f>
        <v/>
      </c>
    </row>
    <row r="2788" customFormat="false" ht="15" hidden="false" customHeight="false" outlineLevel="0" collapsed="false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9"/>
      <c r="L2788" s="9"/>
      <c r="M2788" s="9"/>
      <c r="N2788" s="9"/>
      <c r="O2788" s="9"/>
      <c r="P2788" s="9"/>
      <c r="Q2788" s="9"/>
      <c r="R2788" s="9" t="str">
        <f aca="false">IF(AND(A2788&lt;&gt;"",ISNUMBER(Q2788),ISNUMBER(L2788)),ROUND(Q2788-IF(ISNUMBER(N2788),N2788,0)-IF(ISNUMBER(O2788),O2788,0)+IF(ISNUMBER(P2788),P2788,0),2),"")</f>
        <v/>
      </c>
      <c r="S2788" s="9" t="str">
        <f aca="false">IF(R2788="","",ROUND(L2788-R2788,2))</f>
        <v/>
      </c>
      <c r="T2788" s="8" t="str">
        <f aca="false">IF(A2788="","",IF(S2788="","BYPASS",IF(ABS(S2788)&lt;=Summary!$B$2,"PASS","FAIL")))</f>
        <v/>
      </c>
      <c r="U2788" s="8" t="str">
        <f aca="false">IF(T2788="BYPASS",IF(NOT(ISNUMBER(Q2788)),"PreV_ETB missing","End_tr_balance missing"),IF(T2788="FAIL",IF(AND(ISNUMBER(K2788),ISNUMBER(L2788),ABS(L2788-(K2788-IF(ISNUMBER(N2788),N2788,0)-IF(ISNUMBER(O2788),O2788,0)+IF(ISNUMBER(P2788),P2788,0)))&lt;=Summary!$B$2),"Passes using beginning_balance - PreV_ETB differs from beginning_balance",IF(AND(ISNUMBER(O2788),O2788&lt;0,ABS(L2788-(Q2788-IF(ISNUMBER(N2788),N2788,0)+IF(ISNUMBER(P2788),P2788,0)))&lt;=Summary!$B$2),"Negative realized loss not applied - check sign",IF(R2788&lt;0,"Principal paid exceeds prior balance",IF(AND(L2788&gt;Q2788,NOT(ISNUMBER(P2788))),"Balance increased but no Deferred_interest reported",IF(L2788&gt;R2788,"Reported balance higher than expected (missing increase/OC build)","Reported balance lower than expected (missing decrease)"))))),""))</f>
        <v/>
      </c>
    </row>
    <row r="2789" customFormat="false" ht="15" hidden="false" customHeight="false" outlineLevel="0" collapsed="false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9"/>
      <c r="L2789" s="9"/>
      <c r="M2789" s="9"/>
      <c r="N2789" s="9"/>
      <c r="O2789" s="9"/>
      <c r="P2789" s="9"/>
      <c r="Q2789" s="9"/>
      <c r="R2789" s="9" t="str">
        <f aca="false">IF(AND(A2789&lt;&gt;"",ISNUMBER(Q2789),ISNUMBER(L2789)),ROUND(Q2789-IF(ISNUMBER(N2789),N2789,0)-IF(ISNUMBER(O2789),O2789,0)+IF(ISNUMBER(P2789),P2789,0),2),"")</f>
        <v/>
      </c>
      <c r="S2789" s="9" t="str">
        <f aca="false">IF(R2789="","",ROUND(L2789-R2789,2))</f>
        <v/>
      </c>
      <c r="T2789" s="8" t="str">
        <f aca="false">IF(A2789="","",IF(S2789="","BYPASS",IF(ABS(S2789)&lt;=Summary!$B$2,"PASS","FAIL")))</f>
        <v/>
      </c>
      <c r="U2789" s="8" t="str">
        <f aca="false">IF(T2789="BYPASS",IF(NOT(ISNUMBER(Q2789)),"PreV_ETB missing","End_tr_balance missing"),IF(T2789="FAIL",IF(AND(ISNUMBER(K2789),ISNUMBER(L2789),ABS(L2789-(K2789-IF(ISNUMBER(N2789),N2789,0)-IF(ISNUMBER(O2789),O2789,0)+IF(ISNUMBER(P2789),P2789,0)))&lt;=Summary!$B$2),"Passes using beginning_balance - PreV_ETB differs from beginning_balance",IF(AND(ISNUMBER(O2789),O2789&lt;0,ABS(L2789-(Q2789-IF(ISNUMBER(N2789),N2789,0)+IF(ISNUMBER(P2789),P2789,0)))&lt;=Summary!$B$2),"Negative realized loss not applied - check sign",IF(R2789&lt;0,"Principal paid exceeds prior balance",IF(AND(L2789&gt;Q2789,NOT(ISNUMBER(P2789))),"Balance increased but no Deferred_interest reported",IF(L2789&gt;R2789,"Reported balance higher than expected (missing increase/OC build)","Reported balance lower than expected (missing decrease)"))))),""))</f>
        <v/>
      </c>
    </row>
    <row r="2790" customFormat="false" ht="15" hidden="false" customHeight="false" outlineLevel="0" collapsed="false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9"/>
      <c r="L2790" s="9"/>
      <c r="M2790" s="9"/>
      <c r="N2790" s="9"/>
      <c r="O2790" s="9"/>
      <c r="P2790" s="9"/>
      <c r="Q2790" s="9"/>
      <c r="R2790" s="9" t="str">
        <f aca="false">IF(AND(A2790&lt;&gt;"",ISNUMBER(Q2790),ISNUMBER(L2790)),ROUND(Q2790-IF(ISNUMBER(N2790),N2790,0)-IF(ISNUMBER(O2790),O2790,0)+IF(ISNUMBER(P2790),P2790,0),2),"")</f>
        <v/>
      </c>
      <c r="S2790" s="9" t="str">
        <f aca="false">IF(R2790="","",ROUND(L2790-R2790,2))</f>
        <v/>
      </c>
      <c r="T2790" s="8" t="str">
        <f aca="false">IF(A2790="","",IF(S2790="","BYPASS",IF(ABS(S2790)&lt;=Summary!$B$2,"PASS","FAIL")))</f>
        <v/>
      </c>
      <c r="U2790" s="8" t="str">
        <f aca="false">IF(T2790="BYPASS",IF(NOT(ISNUMBER(Q2790)),"PreV_ETB missing","End_tr_balance missing"),IF(T2790="FAIL",IF(AND(ISNUMBER(K2790),ISNUMBER(L2790),ABS(L2790-(K2790-IF(ISNUMBER(N2790),N2790,0)-IF(ISNUMBER(O2790),O2790,0)+IF(ISNUMBER(P2790),P2790,0)))&lt;=Summary!$B$2),"Passes using beginning_balance - PreV_ETB differs from beginning_balance",IF(AND(ISNUMBER(O2790),O2790&lt;0,ABS(L2790-(Q2790-IF(ISNUMBER(N2790),N2790,0)+IF(ISNUMBER(P2790),P2790,0)))&lt;=Summary!$B$2),"Negative realized loss not applied - check sign",IF(R2790&lt;0,"Principal paid exceeds prior balance",IF(AND(L2790&gt;Q2790,NOT(ISNUMBER(P2790))),"Balance increased but no Deferred_interest reported",IF(L2790&gt;R2790,"Reported balance higher than expected (missing increase/OC build)","Reported balance lower than expected (missing decrease)"))))),""))</f>
        <v/>
      </c>
    </row>
    <row r="2791" customFormat="false" ht="15" hidden="false" customHeight="false" outlineLevel="0" collapsed="false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9"/>
      <c r="L2791" s="9"/>
      <c r="M2791" s="9"/>
      <c r="N2791" s="9"/>
      <c r="O2791" s="9"/>
      <c r="P2791" s="9"/>
      <c r="Q2791" s="9"/>
      <c r="R2791" s="9" t="str">
        <f aca="false">IF(AND(A2791&lt;&gt;"",ISNUMBER(Q2791),ISNUMBER(L2791)),ROUND(Q2791-IF(ISNUMBER(N2791),N2791,0)-IF(ISNUMBER(O2791),O2791,0)+IF(ISNUMBER(P2791),P2791,0),2),"")</f>
        <v/>
      </c>
      <c r="S2791" s="9" t="str">
        <f aca="false">IF(R2791="","",ROUND(L2791-R2791,2))</f>
        <v/>
      </c>
      <c r="T2791" s="8" t="str">
        <f aca="false">IF(A2791="","",IF(S2791="","BYPASS",IF(ABS(S2791)&lt;=Summary!$B$2,"PASS","FAIL")))</f>
        <v/>
      </c>
      <c r="U2791" s="8" t="str">
        <f aca="false">IF(T2791="BYPASS",IF(NOT(ISNUMBER(Q2791)),"PreV_ETB missing","End_tr_balance missing"),IF(T2791="FAIL",IF(AND(ISNUMBER(K2791),ISNUMBER(L2791),ABS(L2791-(K2791-IF(ISNUMBER(N2791),N2791,0)-IF(ISNUMBER(O2791),O2791,0)+IF(ISNUMBER(P2791),P2791,0)))&lt;=Summary!$B$2),"Passes using beginning_balance - PreV_ETB differs from beginning_balance",IF(AND(ISNUMBER(O2791),O2791&lt;0,ABS(L2791-(Q2791-IF(ISNUMBER(N2791),N2791,0)+IF(ISNUMBER(P2791),P2791,0)))&lt;=Summary!$B$2),"Negative realized loss not applied - check sign",IF(R2791&lt;0,"Principal paid exceeds prior balance",IF(AND(L2791&gt;Q2791,NOT(ISNUMBER(P2791))),"Balance increased but no Deferred_interest reported",IF(L2791&gt;R2791,"Reported balance higher than expected (missing increase/OC build)","Reported balance lower than expected (missing decrease)"))))),""))</f>
        <v/>
      </c>
    </row>
    <row r="2792" customFormat="false" ht="15" hidden="false" customHeight="false" outlineLevel="0" collapsed="false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9"/>
      <c r="L2792" s="9"/>
      <c r="M2792" s="9"/>
      <c r="N2792" s="9"/>
      <c r="O2792" s="9"/>
      <c r="P2792" s="9"/>
      <c r="Q2792" s="9"/>
      <c r="R2792" s="9" t="str">
        <f aca="false">IF(AND(A2792&lt;&gt;"",ISNUMBER(Q2792),ISNUMBER(L2792)),ROUND(Q2792-IF(ISNUMBER(N2792),N2792,0)-IF(ISNUMBER(O2792),O2792,0)+IF(ISNUMBER(P2792),P2792,0),2),"")</f>
        <v/>
      </c>
      <c r="S2792" s="9" t="str">
        <f aca="false">IF(R2792="","",ROUND(L2792-R2792,2))</f>
        <v/>
      </c>
      <c r="T2792" s="8" t="str">
        <f aca="false">IF(A2792="","",IF(S2792="","BYPASS",IF(ABS(S2792)&lt;=Summary!$B$2,"PASS","FAIL")))</f>
        <v/>
      </c>
      <c r="U2792" s="8" t="str">
        <f aca="false">IF(T2792="BYPASS",IF(NOT(ISNUMBER(Q2792)),"PreV_ETB missing","End_tr_balance missing"),IF(T2792="FAIL",IF(AND(ISNUMBER(K2792),ISNUMBER(L2792),ABS(L2792-(K2792-IF(ISNUMBER(N2792),N2792,0)-IF(ISNUMBER(O2792),O2792,0)+IF(ISNUMBER(P2792),P2792,0)))&lt;=Summary!$B$2),"Passes using beginning_balance - PreV_ETB differs from beginning_balance",IF(AND(ISNUMBER(O2792),O2792&lt;0,ABS(L2792-(Q2792-IF(ISNUMBER(N2792),N2792,0)+IF(ISNUMBER(P2792),P2792,0)))&lt;=Summary!$B$2),"Negative realized loss not applied - check sign",IF(R2792&lt;0,"Principal paid exceeds prior balance",IF(AND(L2792&gt;Q2792,NOT(ISNUMBER(P2792))),"Balance increased but no Deferred_interest reported",IF(L2792&gt;R2792,"Reported balance higher than expected (missing increase/OC build)","Reported balance lower than expected (missing decrease)"))))),""))</f>
        <v/>
      </c>
    </row>
    <row r="2793" customFormat="false" ht="15" hidden="false" customHeight="false" outlineLevel="0" collapsed="false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9"/>
      <c r="L2793" s="9"/>
      <c r="M2793" s="9"/>
      <c r="N2793" s="9"/>
      <c r="O2793" s="9"/>
      <c r="P2793" s="9"/>
      <c r="Q2793" s="9"/>
      <c r="R2793" s="9" t="str">
        <f aca="false">IF(AND(A2793&lt;&gt;"",ISNUMBER(Q2793),ISNUMBER(L2793)),ROUND(Q2793-IF(ISNUMBER(N2793),N2793,0)-IF(ISNUMBER(O2793),O2793,0)+IF(ISNUMBER(P2793),P2793,0),2),"")</f>
        <v/>
      </c>
      <c r="S2793" s="9" t="str">
        <f aca="false">IF(R2793="","",ROUND(L2793-R2793,2))</f>
        <v/>
      </c>
      <c r="T2793" s="8" t="str">
        <f aca="false">IF(A2793="","",IF(S2793="","BYPASS",IF(ABS(S2793)&lt;=Summary!$B$2,"PASS","FAIL")))</f>
        <v/>
      </c>
      <c r="U2793" s="8" t="str">
        <f aca="false">IF(T2793="BYPASS",IF(NOT(ISNUMBER(Q2793)),"PreV_ETB missing","End_tr_balance missing"),IF(T2793="FAIL",IF(AND(ISNUMBER(K2793),ISNUMBER(L2793),ABS(L2793-(K2793-IF(ISNUMBER(N2793),N2793,0)-IF(ISNUMBER(O2793),O2793,0)+IF(ISNUMBER(P2793),P2793,0)))&lt;=Summary!$B$2),"Passes using beginning_balance - PreV_ETB differs from beginning_balance",IF(AND(ISNUMBER(O2793),O2793&lt;0,ABS(L2793-(Q2793-IF(ISNUMBER(N2793),N2793,0)+IF(ISNUMBER(P2793),P2793,0)))&lt;=Summary!$B$2),"Negative realized loss not applied - check sign",IF(R2793&lt;0,"Principal paid exceeds prior balance",IF(AND(L2793&gt;Q2793,NOT(ISNUMBER(P2793))),"Balance increased but no Deferred_interest reported",IF(L2793&gt;R2793,"Reported balance higher than expected (missing increase/OC build)","Reported balance lower than expected (missing decrease)"))))),""))</f>
        <v/>
      </c>
    </row>
    <row r="2794" customFormat="false" ht="15" hidden="false" customHeight="false" outlineLevel="0" collapsed="false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9"/>
      <c r="L2794" s="9"/>
      <c r="M2794" s="9"/>
      <c r="N2794" s="9"/>
      <c r="O2794" s="9"/>
      <c r="P2794" s="9"/>
      <c r="Q2794" s="9"/>
      <c r="R2794" s="9" t="str">
        <f aca="false">IF(AND(A2794&lt;&gt;"",ISNUMBER(Q2794),ISNUMBER(L2794)),ROUND(Q2794-IF(ISNUMBER(N2794),N2794,0)-IF(ISNUMBER(O2794),O2794,0)+IF(ISNUMBER(P2794),P2794,0),2),"")</f>
        <v/>
      </c>
      <c r="S2794" s="9" t="str">
        <f aca="false">IF(R2794="","",ROUND(L2794-R2794,2))</f>
        <v/>
      </c>
      <c r="T2794" s="8" t="str">
        <f aca="false">IF(A2794="","",IF(S2794="","BYPASS",IF(ABS(S2794)&lt;=Summary!$B$2,"PASS","FAIL")))</f>
        <v/>
      </c>
      <c r="U2794" s="8" t="str">
        <f aca="false">IF(T2794="BYPASS",IF(NOT(ISNUMBER(Q2794)),"PreV_ETB missing","End_tr_balance missing"),IF(T2794="FAIL",IF(AND(ISNUMBER(K2794),ISNUMBER(L2794),ABS(L2794-(K2794-IF(ISNUMBER(N2794),N2794,0)-IF(ISNUMBER(O2794),O2794,0)+IF(ISNUMBER(P2794),P2794,0)))&lt;=Summary!$B$2),"Passes using beginning_balance - PreV_ETB differs from beginning_balance",IF(AND(ISNUMBER(O2794),O2794&lt;0,ABS(L2794-(Q2794-IF(ISNUMBER(N2794),N2794,0)+IF(ISNUMBER(P2794),P2794,0)))&lt;=Summary!$B$2),"Negative realized loss not applied - check sign",IF(R2794&lt;0,"Principal paid exceeds prior balance",IF(AND(L2794&gt;Q2794,NOT(ISNUMBER(P2794))),"Balance increased but no Deferred_interest reported",IF(L2794&gt;R2794,"Reported balance higher than expected (missing increase/OC build)","Reported balance lower than expected (missing decrease)"))))),""))</f>
        <v/>
      </c>
    </row>
    <row r="2795" customFormat="false" ht="15" hidden="false" customHeight="false" outlineLevel="0" collapsed="false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9"/>
      <c r="L2795" s="9"/>
      <c r="M2795" s="9"/>
      <c r="N2795" s="9"/>
      <c r="O2795" s="9"/>
      <c r="P2795" s="9"/>
      <c r="Q2795" s="9"/>
      <c r="R2795" s="9" t="str">
        <f aca="false">IF(AND(A2795&lt;&gt;"",ISNUMBER(Q2795),ISNUMBER(L2795)),ROUND(Q2795-IF(ISNUMBER(N2795),N2795,0)-IF(ISNUMBER(O2795),O2795,0)+IF(ISNUMBER(P2795),P2795,0),2),"")</f>
        <v/>
      </c>
      <c r="S2795" s="9" t="str">
        <f aca="false">IF(R2795="","",ROUND(L2795-R2795,2))</f>
        <v/>
      </c>
      <c r="T2795" s="8" t="str">
        <f aca="false">IF(A2795="","",IF(S2795="","BYPASS",IF(ABS(S2795)&lt;=Summary!$B$2,"PASS","FAIL")))</f>
        <v/>
      </c>
      <c r="U2795" s="8" t="str">
        <f aca="false">IF(T2795="BYPASS",IF(NOT(ISNUMBER(Q2795)),"PreV_ETB missing","End_tr_balance missing"),IF(T2795="FAIL",IF(AND(ISNUMBER(K2795),ISNUMBER(L2795),ABS(L2795-(K2795-IF(ISNUMBER(N2795),N2795,0)-IF(ISNUMBER(O2795),O2795,0)+IF(ISNUMBER(P2795),P2795,0)))&lt;=Summary!$B$2),"Passes using beginning_balance - PreV_ETB differs from beginning_balance",IF(AND(ISNUMBER(O2795),O2795&lt;0,ABS(L2795-(Q2795-IF(ISNUMBER(N2795),N2795,0)+IF(ISNUMBER(P2795),P2795,0)))&lt;=Summary!$B$2),"Negative realized loss not applied - check sign",IF(R2795&lt;0,"Principal paid exceeds prior balance",IF(AND(L2795&gt;Q2795,NOT(ISNUMBER(P2795))),"Balance increased but no Deferred_interest reported",IF(L2795&gt;R2795,"Reported balance higher than expected (missing increase/OC build)","Reported balance lower than expected (missing decrease)"))))),""))</f>
        <v/>
      </c>
    </row>
    <row r="2796" customFormat="false" ht="15" hidden="false" customHeight="false" outlineLevel="0" collapsed="false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9"/>
      <c r="L2796" s="9"/>
      <c r="M2796" s="9"/>
      <c r="N2796" s="9"/>
      <c r="O2796" s="9"/>
      <c r="P2796" s="9"/>
      <c r="Q2796" s="9"/>
      <c r="R2796" s="9" t="str">
        <f aca="false">IF(AND(A2796&lt;&gt;"",ISNUMBER(Q2796),ISNUMBER(L2796)),ROUND(Q2796-IF(ISNUMBER(N2796),N2796,0)-IF(ISNUMBER(O2796),O2796,0)+IF(ISNUMBER(P2796),P2796,0),2),"")</f>
        <v/>
      </c>
      <c r="S2796" s="9" t="str">
        <f aca="false">IF(R2796="","",ROUND(L2796-R2796,2))</f>
        <v/>
      </c>
      <c r="T2796" s="8" t="str">
        <f aca="false">IF(A2796="","",IF(S2796="","BYPASS",IF(ABS(S2796)&lt;=Summary!$B$2,"PASS","FAIL")))</f>
        <v/>
      </c>
      <c r="U2796" s="8" t="str">
        <f aca="false">IF(T2796="BYPASS",IF(NOT(ISNUMBER(Q2796)),"PreV_ETB missing","End_tr_balance missing"),IF(T2796="FAIL",IF(AND(ISNUMBER(K2796),ISNUMBER(L2796),ABS(L2796-(K2796-IF(ISNUMBER(N2796),N2796,0)-IF(ISNUMBER(O2796),O2796,0)+IF(ISNUMBER(P2796),P2796,0)))&lt;=Summary!$B$2),"Passes using beginning_balance - PreV_ETB differs from beginning_balance",IF(AND(ISNUMBER(O2796),O2796&lt;0,ABS(L2796-(Q2796-IF(ISNUMBER(N2796),N2796,0)+IF(ISNUMBER(P2796),P2796,0)))&lt;=Summary!$B$2),"Negative realized loss not applied - check sign",IF(R2796&lt;0,"Principal paid exceeds prior balance",IF(AND(L2796&gt;Q2796,NOT(ISNUMBER(P2796))),"Balance increased but no Deferred_interest reported",IF(L2796&gt;R2796,"Reported balance higher than expected (missing increase/OC build)","Reported balance lower than expected (missing decrease)"))))),""))</f>
        <v/>
      </c>
    </row>
    <row r="2797" customFormat="false" ht="15" hidden="false" customHeight="false" outlineLevel="0" collapsed="false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9"/>
      <c r="L2797" s="9"/>
      <c r="M2797" s="9"/>
      <c r="N2797" s="9"/>
      <c r="O2797" s="9"/>
      <c r="P2797" s="9"/>
      <c r="Q2797" s="9"/>
      <c r="R2797" s="9" t="str">
        <f aca="false">IF(AND(A2797&lt;&gt;"",ISNUMBER(Q2797),ISNUMBER(L2797)),ROUND(Q2797-IF(ISNUMBER(N2797),N2797,0)-IF(ISNUMBER(O2797),O2797,0)+IF(ISNUMBER(P2797),P2797,0),2),"")</f>
        <v/>
      </c>
      <c r="S2797" s="9" t="str">
        <f aca="false">IF(R2797="","",ROUND(L2797-R2797,2))</f>
        <v/>
      </c>
      <c r="T2797" s="8" t="str">
        <f aca="false">IF(A2797="","",IF(S2797="","BYPASS",IF(ABS(S2797)&lt;=Summary!$B$2,"PASS","FAIL")))</f>
        <v/>
      </c>
      <c r="U2797" s="8" t="str">
        <f aca="false">IF(T2797="BYPASS",IF(NOT(ISNUMBER(Q2797)),"PreV_ETB missing","End_tr_balance missing"),IF(T2797="FAIL",IF(AND(ISNUMBER(K2797),ISNUMBER(L2797),ABS(L2797-(K2797-IF(ISNUMBER(N2797),N2797,0)-IF(ISNUMBER(O2797),O2797,0)+IF(ISNUMBER(P2797),P2797,0)))&lt;=Summary!$B$2),"Passes using beginning_balance - PreV_ETB differs from beginning_balance",IF(AND(ISNUMBER(O2797),O2797&lt;0,ABS(L2797-(Q2797-IF(ISNUMBER(N2797),N2797,0)+IF(ISNUMBER(P2797),P2797,0)))&lt;=Summary!$B$2),"Negative realized loss not applied - check sign",IF(R2797&lt;0,"Principal paid exceeds prior balance",IF(AND(L2797&gt;Q2797,NOT(ISNUMBER(P2797))),"Balance increased but no Deferred_interest reported",IF(L2797&gt;R2797,"Reported balance higher than expected (missing increase/OC build)","Reported balance lower than expected (missing decrease)"))))),""))</f>
        <v/>
      </c>
    </row>
    <row r="2798" customFormat="false" ht="15" hidden="false" customHeight="false" outlineLevel="0" collapsed="false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9"/>
      <c r="L2798" s="9"/>
      <c r="M2798" s="9"/>
      <c r="N2798" s="9"/>
      <c r="O2798" s="9"/>
      <c r="P2798" s="9"/>
      <c r="Q2798" s="9"/>
      <c r="R2798" s="9" t="str">
        <f aca="false">IF(AND(A2798&lt;&gt;"",ISNUMBER(Q2798),ISNUMBER(L2798)),ROUND(Q2798-IF(ISNUMBER(N2798),N2798,0)-IF(ISNUMBER(O2798),O2798,0)+IF(ISNUMBER(P2798),P2798,0),2),"")</f>
        <v/>
      </c>
      <c r="S2798" s="9" t="str">
        <f aca="false">IF(R2798="","",ROUND(L2798-R2798,2))</f>
        <v/>
      </c>
      <c r="T2798" s="8" t="str">
        <f aca="false">IF(A2798="","",IF(S2798="","BYPASS",IF(ABS(S2798)&lt;=Summary!$B$2,"PASS","FAIL")))</f>
        <v/>
      </c>
      <c r="U2798" s="8" t="str">
        <f aca="false">IF(T2798="BYPASS",IF(NOT(ISNUMBER(Q2798)),"PreV_ETB missing","End_tr_balance missing"),IF(T2798="FAIL",IF(AND(ISNUMBER(K2798),ISNUMBER(L2798),ABS(L2798-(K2798-IF(ISNUMBER(N2798),N2798,0)-IF(ISNUMBER(O2798),O2798,0)+IF(ISNUMBER(P2798),P2798,0)))&lt;=Summary!$B$2),"Passes using beginning_balance - PreV_ETB differs from beginning_balance",IF(AND(ISNUMBER(O2798),O2798&lt;0,ABS(L2798-(Q2798-IF(ISNUMBER(N2798),N2798,0)+IF(ISNUMBER(P2798),P2798,0)))&lt;=Summary!$B$2),"Negative realized loss not applied - check sign",IF(R2798&lt;0,"Principal paid exceeds prior balance",IF(AND(L2798&gt;Q2798,NOT(ISNUMBER(P2798))),"Balance increased but no Deferred_interest reported",IF(L2798&gt;R2798,"Reported balance higher than expected (missing increase/OC build)","Reported balance lower than expected (missing decrease)"))))),""))</f>
        <v/>
      </c>
    </row>
    <row r="2799" customFormat="false" ht="15" hidden="false" customHeight="false" outlineLevel="0" collapsed="false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9"/>
      <c r="L2799" s="9"/>
      <c r="M2799" s="9"/>
      <c r="N2799" s="9"/>
      <c r="O2799" s="9"/>
      <c r="P2799" s="9"/>
      <c r="Q2799" s="9"/>
      <c r="R2799" s="9" t="str">
        <f aca="false">IF(AND(A2799&lt;&gt;"",ISNUMBER(Q2799),ISNUMBER(L2799)),ROUND(Q2799-IF(ISNUMBER(N2799),N2799,0)-IF(ISNUMBER(O2799),O2799,0)+IF(ISNUMBER(P2799),P2799,0),2),"")</f>
        <v/>
      </c>
      <c r="S2799" s="9" t="str">
        <f aca="false">IF(R2799="","",ROUND(L2799-R2799,2))</f>
        <v/>
      </c>
      <c r="T2799" s="8" t="str">
        <f aca="false">IF(A2799="","",IF(S2799="","BYPASS",IF(ABS(S2799)&lt;=Summary!$B$2,"PASS","FAIL")))</f>
        <v/>
      </c>
      <c r="U2799" s="8" t="str">
        <f aca="false">IF(T2799="BYPASS",IF(NOT(ISNUMBER(Q2799)),"PreV_ETB missing","End_tr_balance missing"),IF(T2799="FAIL",IF(AND(ISNUMBER(K2799),ISNUMBER(L2799),ABS(L2799-(K2799-IF(ISNUMBER(N2799),N2799,0)-IF(ISNUMBER(O2799),O2799,0)+IF(ISNUMBER(P2799),P2799,0)))&lt;=Summary!$B$2),"Passes using beginning_balance - PreV_ETB differs from beginning_balance",IF(AND(ISNUMBER(O2799),O2799&lt;0,ABS(L2799-(Q2799-IF(ISNUMBER(N2799),N2799,0)+IF(ISNUMBER(P2799),P2799,0)))&lt;=Summary!$B$2),"Negative realized loss not applied - check sign",IF(R2799&lt;0,"Principal paid exceeds prior balance",IF(AND(L2799&gt;Q2799,NOT(ISNUMBER(P2799))),"Balance increased but no Deferred_interest reported",IF(L2799&gt;R2799,"Reported balance higher than expected (missing increase/OC build)","Reported balance lower than expected (missing decrease)"))))),""))</f>
        <v/>
      </c>
    </row>
    <row r="2800" customFormat="false" ht="15" hidden="false" customHeight="false" outlineLevel="0" collapsed="false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9"/>
      <c r="L2800" s="9"/>
      <c r="M2800" s="9"/>
      <c r="N2800" s="9"/>
      <c r="O2800" s="9"/>
      <c r="P2800" s="9"/>
      <c r="Q2800" s="9"/>
      <c r="R2800" s="9" t="str">
        <f aca="false">IF(AND(A2800&lt;&gt;"",ISNUMBER(Q2800),ISNUMBER(L2800)),ROUND(Q2800-IF(ISNUMBER(N2800),N2800,0)-IF(ISNUMBER(O2800),O2800,0)+IF(ISNUMBER(P2800),P2800,0),2),"")</f>
        <v/>
      </c>
      <c r="S2800" s="9" t="str">
        <f aca="false">IF(R2800="","",ROUND(L2800-R2800,2))</f>
        <v/>
      </c>
      <c r="T2800" s="8" t="str">
        <f aca="false">IF(A2800="","",IF(S2800="","BYPASS",IF(ABS(S2800)&lt;=Summary!$B$2,"PASS","FAIL")))</f>
        <v/>
      </c>
      <c r="U2800" s="8" t="str">
        <f aca="false">IF(T2800="BYPASS",IF(NOT(ISNUMBER(Q2800)),"PreV_ETB missing","End_tr_balance missing"),IF(T2800="FAIL",IF(AND(ISNUMBER(K2800),ISNUMBER(L2800),ABS(L2800-(K2800-IF(ISNUMBER(N2800),N2800,0)-IF(ISNUMBER(O2800),O2800,0)+IF(ISNUMBER(P2800),P2800,0)))&lt;=Summary!$B$2),"Passes using beginning_balance - PreV_ETB differs from beginning_balance",IF(AND(ISNUMBER(O2800),O2800&lt;0,ABS(L2800-(Q2800-IF(ISNUMBER(N2800),N2800,0)+IF(ISNUMBER(P2800),P2800,0)))&lt;=Summary!$B$2),"Negative realized loss not applied - check sign",IF(R2800&lt;0,"Principal paid exceeds prior balance",IF(AND(L2800&gt;Q2800,NOT(ISNUMBER(P2800))),"Balance increased but no Deferred_interest reported",IF(L2800&gt;R2800,"Reported balance higher than expected (missing increase/OC build)","Reported balance lower than expected (missing decrease)"))))),""))</f>
        <v/>
      </c>
    </row>
    <row r="2801" customFormat="false" ht="15" hidden="false" customHeight="false" outlineLevel="0" collapsed="false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9"/>
      <c r="L2801" s="9"/>
      <c r="M2801" s="9"/>
      <c r="N2801" s="9"/>
      <c r="O2801" s="9"/>
      <c r="P2801" s="9"/>
      <c r="Q2801" s="9"/>
      <c r="R2801" s="9" t="str">
        <f aca="false">IF(AND(A2801&lt;&gt;"",ISNUMBER(Q2801),ISNUMBER(L2801)),ROUND(Q2801-IF(ISNUMBER(N2801),N2801,0)-IF(ISNUMBER(O2801),O2801,0)+IF(ISNUMBER(P2801),P2801,0),2),"")</f>
        <v/>
      </c>
      <c r="S2801" s="9" t="str">
        <f aca="false">IF(R2801="","",ROUND(L2801-R2801,2))</f>
        <v/>
      </c>
      <c r="T2801" s="8" t="str">
        <f aca="false">IF(A2801="","",IF(S2801="","BYPASS",IF(ABS(S2801)&lt;=Summary!$B$2,"PASS","FAIL")))</f>
        <v/>
      </c>
      <c r="U2801" s="8" t="str">
        <f aca="false">IF(T2801="BYPASS",IF(NOT(ISNUMBER(Q2801)),"PreV_ETB missing","End_tr_balance missing"),IF(T2801="FAIL",IF(AND(ISNUMBER(K2801),ISNUMBER(L2801),ABS(L2801-(K2801-IF(ISNUMBER(N2801),N2801,0)-IF(ISNUMBER(O2801),O2801,0)+IF(ISNUMBER(P2801),P2801,0)))&lt;=Summary!$B$2),"Passes using beginning_balance - PreV_ETB differs from beginning_balance",IF(AND(ISNUMBER(O2801),O2801&lt;0,ABS(L2801-(Q2801-IF(ISNUMBER(N2801),N2801,0)+IF(ISNUMBER(P2801),P2801,0)))&lt;=Summary!$B$2),"Negative realized loss not applied - check sign",IF(R2801&lt;0,"Principal paid exceeds prior balance",IF(AND(L2801&gt;Q2801,NOT(ISNUMBER(P2801))),"Balance increased but no Deferred_interest reported",IF(L2801&gt;R2801,"Reported balance higher than expected (missing increase/OC build)","Reported balance lower than expected (missing decrease)"))))),""))</f>
        <v/>
      </c>
    </row>
    <row r="2802" customFormat="false" ht="15" hidden="false" customHeight="false" outlineLevel="0" collapsed="false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9"/>
      <c r="L2802" s="9"/>
      <c r="M2802" s="9"/>
      <c r="N2802" s="9"/>
      <c r="O2802" s="9"/>
      <c r="P2802" s="9"/>
      <c r="Q2802" s="9"/>
      <c r="R2802" s="9" t="str">
        <f aca="false">IF(AND(A2802&lt;&gt;"",ISNUMBER(Q2802),ISNUMBER(L2802)),ROUND(Q2802-IF(ISNUMBER(N2802),N2802,0)-IF(ISNUMBER(O2802),O2802,0)+IF(ISNUMBER(P2802),P2802,0),2),"")</f>
        <v/>
      </c>
      <c r="S2802" s="9" t="str">
        <f aca="false">IF(R2802="","",ROUND(L2802-R2802,2))</f>
        <v/>
      </c>
      <c r="T2802" s="8" t="str">
        <f aca="false">IF(A2802="","",IF(S2802="","BYPASS",IF(ABS(S2802)&lt;=Summary!$B$2,"PASS","FAIL")))</f>
        <v/>
      </c>
      <c r="U2802" s="8" t="str">
        <f aca="false">IF(T2802="BYPASS",IF(NOT(ISNUMBER(Q2802)),"PreV_ETB missing","End_tr_balance missing"),IF(T2802="FAIL",IF(AND(ISNUMBER(K2802),ISNUMBER(L2802),ABS(L2802-(K2802-IF(ISNUMBER(N2802),N2802,0)-IF(ISNUMBER(O2802),O2802,0)+IF(ISNUMBER(P2802),P2802,0)))&lt;=Summary!$B$2),"Passes using beginning_balance - PreV_ETB differs from beginning_balance",IF(AND(ISNUMBER(O2802),O2802&lt;0,ABS(L2802-(Q2802-IF(ISNUMBER(N2802),N2802,0)+IF(ISNUMBER(P2802),P2802,0)))&lt;=Summary!$B$2),"Negative realized loss not applied - check sign",IF(R2802&lt;0,"Principal paid exceeds prior balance",IF(AND(L2802&gt;Q2802,NOT(ISNUMBER(P2802))),"Balance increased but no Deferred_interest reported",IF(L2802&gt;R2802,"Reported balance higher than expected (missing increase/OC build)","Reported balance lower than expected (missing decrease)"))))),""))</f>
        <v/>
      </c>
    </row>
    <row r="2803" customFormat="false" ht="15" hidden="false" customHeight="false" outlineLevel="0" collapsed="false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9"/>
      <c r="L2803" s="9"/>
      <c r="M2803" s="9"/>
      <c r="N2803" s="9"/>
      <c r="O2803" s="9"/>
      <c r="P2803" s="9"/>
      <c r="Q2803" s="9"/>
      <c r="R2803" s="9" t="str">
        <f aca="false">IF(AND(A2803&lt;&gt;"",ISNUMBER(Q2803),ISNUMBER(L2803)),ROUND(Q2803-IF(ISNUMBER(N2803),N2803,0)-IF(ISNUMBER(O2803),O2803,0)+IF(ISNUMBER(P2803),P2803,0),2),"")</f>
        <v/>
      </c>
      <c r="S2803" s="9" t="str">
        <f aca="false">IF(R2803="","",ROUND(L2803-R2803,2))</f>
        <v/>
      </c>
      <c r="T2803" s="8" t="str">
        <f aca="false">IF(A2803="","",IF(S2803="","BYPASS",IF(ABS(S2803)&lt;=Summary!$B$2,"PASS","FAIL")))</f>
        <v/>
      </c>
      <c r="U2803" s="8" t="str">
        <f aca="false">IF(T2803="BYPASS",IF(NOT(ISNUMBER(Q2803)),"PreV_ETB missing","End_tr_balance missing"),IF(T2803="FAIL",IF(AND(ISNUMBER(K2803),ISNUMBER(L2803),ABS(L2803-(K2803-IF(ISNUMBER(N2803),N2803,0)-IF(ISNUMBER(O2803),O2803,0)+IF(ISNUMBER(P2803),P2803,0)))&lt;=Summary!$B$2),"Passes using beginning_balance - PreV_ETB differs from beginning_balance",IF(AND(ISNUMBER(O2803),O2803&lt;0,ABS(L2803-(Q2803-IF(ISNUMBER(N2803),N2803,0)+IF(ISNUMBER(P2803),P2803,0)))&lt;=Summary!$B$2),"Negative realized loss not applied - check sign",IF(R2803&lt;0,"Principal paid exceeds prior balance",IF(AND(L2803&gt;Q2803,NOT(ISNUMBER(P2803))),"Balance increased but no Deferred_interest reported",IF(L2803&gt;R2803,"Reported balance higher than expected (missing increase/OC build)","Reported balance lower than expected (missing decrease)"))))),""))</f>
        <v/>
      </c>
    </row>
    <row r="2804" customFormat="false" ht="15" hidden="false" customHeight="false" outlineLevel="0" collapsed="false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9"/>
      <c r="L2804" s="9"/>
      <c r="M2804" s="9"/>
      <c r="N2804" s="9"/>
      <c r="O2804" s="9"/>
      <c r="P2804" s="9"/>
      <c r="Q2804" s="9"/>
      <c r="R2804" s="9" t="str">
        <f aca="false">IF(AND(A2804&lt;&gt;"",ISNUMBER(Q2804),ISNUMBER(L2804)),ROUND(Q2804-IF(ISNUMBER(N2804),N2804,0)-IF(ISNUMBER(O2804),O2804,0)+IF(ISNUMBER(P2804),P2804,0),2),"")</f>
        <v/>
      </c>
      <c r="S2804" s="9" t="str">
        <f aca="false">IF(R2804="","",ROUND(L2804-R2804,2))</f>
        <v/>
      </c>
      <c r="T2804" s="8" t="str">
        <f aca="false">IF(A2804="","",IF(S2804="","BYPASS",IF(ABS(S2804)&lt;=Summary!$B$2,"PASS","FAIL")))</f>
        <v/>
      </c>
      <c r="U2804" s="8" t="str">
        <f aca="false">IF(T2804="BYPASS",IF(NOT(ISNUMBER(Q2804)),"PreV_ETB missing","End_tr_balance missing"),IF(T2804="FAIL",IF(AND(ISNUMBER(K2804),ISNUMBER(L2804),ABS(L2804-(K2804-IF(ISNUMBER(N2804),N2804,0)-IF(ISNUMBER(O2804),O2804,0)+IF(ISNUMBER(P2804),P2804,0)))&lt;=Summary!$B$2),"Passes using beginning_balance - PreV_ETB differs from beginning_balance",IF(AND(ISNUMBER(O2804),O2804&lt;0,ABS(L2804-(Q2804-IF(ISNUMBER(N2804),N2804,0)+IF(ISNUMBER(P2804),P2804,0)))&lt;=Summary!$B$2),"Negative realized loss not applied - check sign",IF(R2804&lt;0,"Principal paid exceeds prior balance",IF(AND(L2804&gt;Q2804,NOT(ISNUMBER(P2804))),"Balance increased but no Deferred_interest reported",IF(L2804&gt;R2804,"Reported balance higher than expected (missing increase/OC build)","Reported balance lower than expected (missing decrease)"))))),""))</f>
        <v/>
      </c>
    </row>
    <row r="2805" customFormat="false" ht="15" hidden="false" customHeight="false" outlineLevel="0" collapsed="false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9"/>
      <c r="L2805" s="9"/>
      <c r="M2805" s="9"/>
      <c r="N2805" s="9"/>
      <c r="O2805" s="9"/>
      <c r="P2805" s="9"/>
      <c r="Q2805" s="9"/>
      <c r="R2805" s="9" t="str">
        <f aca="false">IF(AND(A2805&lt;&gt;"",ISNUMBER(Q2805),ISNUMBER(L2805)),ROUND(Q2805-IF(ISNUMBER(N2805),N2805,0)-IF(ISNUMBER(O2805),O2805,0)+IF(ISNUMBER(P2805),P2805,0),2),"")</f>
        <v/>
      </c>
      <c r="S2805" s="9" t="str">
        <f aca="false">IF(R2805="","",ROUND(L2805-R2805,2))</f>
        <v/>
      </c>
      <c r="T2805" s="8" t="str">
        <f aca="false">IF(A2805="","",IF(S2805="","BYPASS",IF(ABS(S2805)&lt;=Summary!$B$2,"PASS","FAIL")))</f>
        <v/>
      </c>
      <c r="U2805" s="8" t="str">
        <f aca="false">IF(T2805="BYPASS",IF(NOT(ISNUMBER(Q2805)),"PreV_ETB missing","End_tr_balance missing"),IF(T2805="FAIL",IF(AND(ISNUMBER(K2805),ISNUMBER(L2805),ABS(L2805-(K2805-IF(ISNUMBER(N2805),N2805,0)-IF(ISNUMBER(O2805),O2805,0)+IF(ISNUMBER(P2805),P2805,0)))&lt;=Summary!$B$2),"Passes using beginning_balance - PreV_ETB differs from beginning_balance",IF(AND(ISNUMBER(O2805),O2805&lt;0,ABS(L2805-(Q2805-IF(ISNUMBER(N2805),N2805,0)+IF(ISNUMBER(P2805),P2805,0)))&lt;=Summary!$B$2),"Negative realized loss not applied - check sign",IF(R2805&lt;0,"Principal paid exceeds prior balance",IF(AND(L2805&gt;Q2805,NOT(ISNUMBER(P2805))),"Balance increased but no Deferred_interest reported",IF(L2805&gt;R2805,"Reported balance higher than expected (missing increase/OC build)","Reported balance lower than expected (missing decrease)"))))),""))</f>
        <v/>
      </c>
    </row>
    <row r="2806" customFormat="false" ht="15" hidden="false" customHeight="false" outlineLevel="0" collapsed="false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9"/>
      <c r="L2806" s="9"/>
      <c r="M2806" s="9"/>
      <c r="N2806" s="9"/>
      <c r="O2806" s="9"/>
      <c r="P2806" s="9"/>
      <c r="Q2806" s="9"/>
      <c r="R2806" s="9" t="str">
        <f aca="false">IF(AND(A2806&lt;&gt;"",ISNUMBER(Q2806),ISNUMBER(L2806)),ROUND(Q2806-IF(ISNUMBER(N2806),N2806,0)-IF(ISNUMBER(O2806),O2806,0)+IF(ISNUMBER(P2806),P2806,0),2),"")</f>
        <v/>
      </c>
      <c r="S2806" s="9" t="str">
        <f aca="false">IF(R2806="","",ROUND(L2806-R2806,2))</f>
        <v/>
      </c>
      <c r="T2806" s="8" t="str">
        <f aca="false">IF(A2806="","",IF(S2806="","BYPASS",IF(ABS(S2806)&lt;=Summary!$B$2,"PASS","FAIL")))</f>
        <v/>
      </c>
      <c r="U2806" s="8" t="str">
        <f aca="false">IF(T2806="BYPASS",IF(NOT(ISNUMBER(Q2806)),"PreV_ETB missing","End_tr_balance missing"),IF(T2806="FAIL",IF(AND(ISNUMBER(K2806),ISNUMBER(L2806),ABS(L2806-(K2806-IF(ISNUMBER(N2806),N2806,0)-IF(ISNUMBER(O2806),O2806,0)+IF(ISNUMBER(P2806),P2806,0)))&lt;=Summary!$B$2),"Passes using beginning_balance - PreV_ETB differs from beginning_balance",IF(AND(ISNUMBER(O2806),O2806&lt;0,ABS(L2806-(Q2806-IF(ISNUMBER(N2806),N2806,0)+IF(ISNUMBER(P2806),P2806,0)))&lt;=Summary!$B$2),"Negative realized loss not applied - check sign",IF(R2806&lt;0,"Principal paid exceeds prior balance",IF(AND(L2806&gt;Q2806,NOT(ISNUMBER(P2806))),"Balance increased but no Deferred_interest reported",IF(L2806&gt;R2806,"Reported balance higher than expected (missing increase/OC build)","Reported balance lower than expected (missing decrease)"))))),""))</f>
        <v/>
      </c>
    </row>
    <row r="2807" customFormat="false" ht="15" hidden="false" customHeight="false" outlineLevel="0" collapsed="false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9"/>
      <c r="L2807" s="9"/>
      <c r="M2807" s="9"/>
      <c r="N2807" s="9"/>
      <c r="O2807" s="9"/>
      <c r="P2807" s="9"/>
      <c r="Q2807" s="9"/>
      <c r="R2807" s="9" t="str">
        <f aca="false">IF(AND(A2807&lt;&gt;"",ISNUMBER(Q2807),ISNUMBER(L2807)),ROUND(Q2807-IF(ISNUMBER(N2807),N2807,0)-IF(ISNUMBER(O2807),O2807,0)+IF(ISNUMBER(P2807),P2807,0),2),"")</f>
        <v/>
      </c>
      <c r="S2807" s="9" t="str">
        <f aca="false">IF(R2807="","",ROUND(L2807-R2807,2))</f>
        <v/>
      </c>
      <c r="T2807" s="8" t="str">
        <f aca="false">IF(A2807="","",IF(S2807="","BYPASS",IF(ABS(S2807)&lt;=Summary!$B$2,"PASS","FAIL")))</f>
        <v/>
      </c>
      <c r="U2807" s="8" t="str">
        <f aca="false">IF(T2807="BYPASS",IF(NOT(ISNUMBER(Q2807)),"PreV_ETB missing","End_tr_balance missing"),IF(T2807="FAIL",IF(AND(ISNUMBER(K2807),ISNUMBER(L2807),ABS(L2807-(K2807-IF(ISNUMBER(N2807),N2807,0)-IF(ISNUMBER(O2807),O2807,0)+IF(ISNUMBER(P2807),P2807,0)))&lt;=Summary!$B$2),"Passes using beginning_balance - PreV_ETB differs from beginning_balance",IF(AND(ISNUMBER(O2807),O2807&lt;0,ABS(L2807-(Q2807-IF(ISNUMBER(N2807),N2807,0)+IF(ISNUMBER(P2807),P2807,0)))&lt;=Summary!$B$2),"Negative realized loss not applied - check sign",IF(R2807&lt;0,"Principal paid exceeds prior balance",IF(AND(L2807&gt;Q2807,NOT(ISNUMBER(P2807))),"Balance increased but no Deferred_interest reported",IF(L2807&gt;R2807,"Reported balance higher than expected (missing increase/OC build)","Reported balance lower than expected (missing decrease)"))))),""))</f>
        <v/>
      </c>
    </row>
    <row r="2808" customFormat="false" ht="15" hidden="false" customHeight="false" outlineLevel="0" collapsed="false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9"/>
      <c r="L2808" s="9"/>
      <c r="M2808" s="9"/>
      <c r="N2808" s="9"/>
      <c r="O2808" s="9"/>
      <c r="P2808" s="9"/>
      <c r="Q2808" s="9"/>
      <c r="R2808" s="9" t="str">
        <f aca="false">IF(AND(A2808&lt;&gt;"",ISNUMBER(Q2808),ISNUMBER(L2808)),ROUND(Q2808-IF(ISNUMBER(N2808),N2808,0)-IF(ISNUMBER(O2808),O2808,0)+IF(ISNUMBER(P2808),P2808,0),2),"")</f>
        <v/>
      </c>
      <c r="S2808" s="9" t="str">
        <f aca="false">IF(R2808="","",ROUND(L2808-R2808,2))</f>
        <v/>
      </c>
      <c r="T2808" s="8" t="str">
        <f aca="false">IF(A2808="","",IF(S2808="","BYPASS",IF(ABS(S2808)&lt;=Summary!$B$2,"PASS","FAIL")))</f>
        <v/>
      </c>
      <c r="U2808" s="8" t="str">
        <f aca="false">IF(T2808="BYPASS",IF(NOT(ISNUMBER(Q2808)),"PreV_ETB missing","End_tr_balance missing"),IF(T2808="FAIL",IF(AND(ISNUMBER(K2808),ISNUMBER(L2808),ABS(L2808-(K2808-IF(ISNUMBER(N2808),N2808,0)-IF(ISNUMBER(O2808),O2808,0)+IF(ISNUMBER(P2808),P2808,0)))&lt;=Summary!$B$2),"Passes using beginning_balance - PreV_ETB differs from beginning_balance",IF(AND(ISNUMBER(O2808),O2808&lt;0,ABS(L2808-(Q2808-IF(ISNUMBER(N2808),N2808,0)+IF(ISNUMBER(P2808),P2808,0)))&lt;=Summary!$B$2),"Negative realized loss not applied - check sign",IF(R2808&lt;0,"Principal paid exceeds prior balance",IF(AND(L2808&gt;Q2808,NOT(ISNUMBER(P2808))),"Balance increased but no Deferred_interest reported",IF(L2808&gt;R2808,"Reported balance higher than expected (missing increase/OC build)","Reported balance lower than expected (missing decrease)"))))),""))</f>
        <v/>
      </c>
    </row>
    <row r="2809" customFormat="false" ht="15" hidden="false" customHeight="false" outlineLevel="0" collapsed="false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9"/>
      <c r="L2809" s="9"/>
      <c r="M2809" s="9"/>
      <c r="N2809" s="9"/>
      <c r="O2809" s="9"/>
      <c r="P2809" s="9"/>
      <c r="Q2809" s="9"/>
      <c r="R2809" s="9" t="str">
        <f aca="false">IF(AND(A2809&lt;&gt;"",ISNUMBER(Q2809),ISNUMBER(L2809)),ROUND(Q2809-IF(ISNUMBER(N2809),N2809,0)-IF(ISNUMBER(O2809),O2809,0)+IF(ISNUMBER(P2809),P2809,0),2),"")</f>
        <v/>
      </c>
      <c r="S2809" s="9" t="str">
        <f aca="false">IF(R2809="","",ROUND(L2809-R2809,2))</f>
        <v/>
      </c>
      <c r="T2809" s="8" t="str">
        <f aca="false">IF(A2809="","",IF(S2809="","BYPASS",IF(ABS(S2809)&lt;=Summary!$B$2,"PASS","FAIL")))</f>
        <v/>
      </c>
      <c r="U2809" s="8" t="str">
        <f aca="false">IF(T2809="BYPASS",IF(NOT(ISNUMBER(Q2809)),"PreV_ETB missing","End_tr_balance missing"),IF(T2809="FAIL",IF(AND(ISNUMBER(K2809),ISNUMBER(L2809),ABS(L2809-(K2809-IF(ISNUMBER(N2809),N2809,0)-IF(ISNUMBER(O2809),O2809,0)+IF(ISNUMBER(P2809),P2809,0)))&lt;=Summary!$B$2),"Passes using beginning_balance - PreV_ETB differs from beginning_balance",IF(AND(ISNUMBER(O2809),O2809&lt;0,ABS(L2809-(Q2809-IF(ISNUMBER(N2809),N2809,0)+IF(ISNUMBER(P2809),P2809,0)))&lt;=Summary!$B$2),"Negative realized loss not applied - check sign",IF(R2809&lt;0,"Principal paid exceeds prior balance",IF(AND(L2809&gt;Q2809,NOT(ISNUMBER(P2809))),"Balance increased but no Deferred_interest reported",IF(L2809&gt;R2809,"Reported balance higher than expected (missing increase/OC build)","Reported balance lower than expected (missing decrease)"))))),""))</f>
        <v/>
      </c>
    </row>
    <row r="2810" customFormat="false" ht="15" hidden="false" customHeight="false" outlineLevel="0" collapsed="false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9"/>
      <c r="L2810" s="9"/>
      <c r="M2810" s="9"/>
      <c r="N2810" s="9"/>
      <c r="O2810" s="9"/>
      <c r="P2810" s="9"/>
      <c r="Q2810" s="9"/>
      <c r="R2810" s="9" t="str">
        <f aca="false">IF(AND(A2810&lt;&gt;"",ISNUMBER(Q2810),ISNUMBER(L2810)),ROUND(Q2810-IF(ISNUMBER(N2810),N2810,0)-IF(ISNUMBER(O2810),O2810,0)+IF(ISNUMBER(P2810),P2810,0),2),"")</f>
        <v/>
      </c>
      <c r="S2810" s="9" t="str">
        <f aca="false">IF(R2810="","",ROUND(L2810-R2810,2))</f>
        <v/>
      </c>
      <c r="T2810" s="8" t="str">
        <f aca="false">IF(A2810="","",IF(S2810="","BYPASS",IF(ABS(S2810)&lt;=Summary!$B$2,"PASS","FAIL")))</f>
        <v/>
      </c>
      <c r="U2810" s="8" t="str">
        <f aca="false">IF(T2810="BYPASS",IF(NOT(ISNUMBER(Q2810)),"PreV_ETB missing","End_tr_balance missing"),IF(T2810="FAIL",IF(AND(ISNUMBER(K2810),ISNUMBER(L2810),ABS(L2810-(K2810-IF(ISNUMBER(N2810),N2810,0)-IF(ISNUMBER(O2810),O2810,0)+IF(ISNUMBER(P2810),P2810,0)))&lt;=Summary!$B$2),"Passes using beginning_balance - PreV_ETB differs from beginning_balance",IF(AND(ISNUMBER(O2810),O2810&lt;0,ABS(L2810-(Q2810-IF(ISNUMBER(N2810),N2810,0)+IF(ISNUMBER(P2810),P2810,0)))&lt;=Summary!$B$2),"Negative realized loss not applied - check sign",IF(R2810&lt;0,"Principal paid exceeds prior balance",IF(AND(L2810&gt;Q2810,NOT(ISNUMBER(P2810))),"Balance increased but no Deferred_interest reported",IF(L2810&gt;R2810,"Reported balance higher than expected (missing increase/OC build)","Reported balance lower than expected (missing decrease)"))))),""))</f>
        <v/>
      </c>
    </row>
    <row r="2811" customFormat="false" ht="15" hidden="false" customHeight="false" outlineLevel="0" collapsed="false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9"/>
      <c r="L2811" s="9"/>
      <c r="M2811" s="9"/>
      <c r="N2811" s="9"/>
      <c r="O2811" s="9"/>
      <c r="P2811" s="9"/>
      <c r="Q2811" s="9"/>
      <c r="R2811" s="9" t="str">
        <f aca="false">IF(AND(A2811&lt;&gt;"",ISNUMBER(Q2811),ISNUMBER(L2811)),ROUND(Q2811-IF(ISNUMBER(N2811),N2811,0)-IF(ISNUMBER(O2811),O2811,0)+IF(ISNUMBER(P2811),P2811,0),2),"")</f>
        <v/>
      </c>
      <c r="S2811" s="9" t="str">
        <f aca="false">IF(R2811="","",ROUND(L2811-R2811,2))</f>
        <v/>
      </c>
      <c r="T2811" s="8" t="str">
        <f aca="false">IF(A2811="","",IF(S2811="","BYPASS",IF(ABS(S2811)&lt;=Summary!$B$2,"PASS","FAIL")))</f>
        <v/>
      </c>
      <c r="U2811" s="8" t="str">
        <f aca="false">IF(T2811="BYPASS",IF(NOT(ISNUMBER(Q2811)),"PreV_ETB missing","End_tr_balance missing"),IF(T2811="FAIL",IF(AND(ISNUMBER(K2811),ISNUMBER(L2811),ABS(L2811-(K2811-IF(ISNUMBER(N2811),N2811,0)-IF(ISNUMBER(O2811),O2811,0)+IF(ISNUMBER(P2811),P2811,0)))&lt;=Summary!$B$2),"Passes using beginning_balance - PreV_ETB differs from beginning_balance",IF(AND(ISNUMBER(O2811),O2811&lt;0,ABS(L2811-(Q2811-IF(ISNUMBER(N2811),N2811,0)+IF(ISNUMBER(P2811),P2811,0)))&lt;=Summary!$B$2),"Negative realized loss not applied - check sign",IF(R2811&lt;0,"Principal paid exceeds prior balance",IF(AND(L2811&gt;Q2811,NOT(ISNUMBER(P2811))),"Balance increased but no Deferred_interest reported",IF(L2811&gt;R2811,"Reported balance higher than expected (missing increase/OC build)","Reported balance lower than expected (missing decrease)"))))),""))</f>
        <v/>
      </c>
    </row>
    <row r="2812" customFormat="false" ht="15" hidden="false" customHeight="false" outlineLevel="0" collapsed="false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9"/>
      <c r="L2812" s="9"/>
      <c r="M2812" s="9"/>
      <c r="N2812" s="9"/>
      <c r="O2812" s="9"/>
      <c r="P2812" s="9"/>
      <c r="Q2812" s="9"/>
      <c r="R2812" s="9" t="str">
        <f aca="false">IF(AND(A2812&lt;&gt;"",ISNUMBER(Q2812),ISNUMBER(L2812)),ROUND(Q2812-IF(ISNUMBER(N2812),N2812,0)-IF(ISNUMBER(O2812),O2812,0)+IF(ISNUMBER(P2812),P2812,0),2),"")</f>
        <v/>
      </c>
      <c r="S2812" s="9" t="str">
        <f aca="false">IF(R2812="","",ROUND(L2812-R2812,2))</f>
        <v/>
      </c>
      <c r="T2812" s="8" t="str">
        <f aca="false">IF(A2812="","",IF(S2812="","BYPASS",IF(ABS(S2812)&lt;=Summary!$B$2,"PASS","FAIL")))</f>
        <v/>
      </c>
      <c r="U2812" s="8" t="str">
        <f aca="false">IF(T2812="BYPASS",IF(NOT(ISNUMBER(Q2812)),"PreV_ETB missing","End_tr_balance missing"),IF(T2812="FAIL",IF(AND(ISNUMBER(K2812),ISNUMBER(L2812),ABS(L2812-(K2812-IF(ISNUMBER(N2812),N2812,0)-IF(ISNUMBER(O2812),O2812,0)+IF(ISNUMBER(P2812),P2812,0)))&lt;=Summary!$B$2),"Passes using beginning_balance - PreV_ETB differs from beginning_balance",IF(AND(ISNUMBER(O2812),O2812&lt;0,ABS(L2812-(Q2812-IF(ISNUMBER(N2812),N2812,0)+IF(ISNUMBER(P2812),P2812,0)))&lt;=Summary!$B$2),"Negative realized loss not applied - check sign",IF(R2812&lt;0,"Principal paid exceeds prior balance",IF(AND(L2812&gt;Q2812,NOT(ISNUMBER(P2812))),"Balance increased but no Deferred_interest reported",IF(L2812&gt;R2812,"Reported balance higher than expected (missing increase/OC build)","Reported balance lower than expected (missing decrease)"))))),""))</f>
        <v/>
      </c>
    </row>
    <row r="2813" customFormat="false" ht="15" hidden="false" customHeight="false" outlineLevel="0" collapsed="false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9"/>
      <c r="L2813" s="9"/>
      <c r="M2813" s="9"/>
      <c r="N2813" s="9"/>
      <c r="O2813" s="9"/>
      <c r="P2813" s="9"/>
      <c r="Q2813" s="9"/>
      <c r="R2813" s="9" t="str">
        <f aca="false">IF(AND(A2813&lt;&gt;"",ISNUMBER(Q2813),ISNUMBER(L2813)),ROUND(Q2813-IF(ISNUMBER(N2813),N2813,0)-IF(ISNUMBER(O2813),O2813,0)+IF(ISNUMBER(P2813),P2813,0),2),"")</f>
        <v/>
      </c>
      <c r="S2813" s="9" t="str">
        <f aca="false">IF(R2813="","",ROUND(L2813-R2813,2))</f>
        <v/>
      </c>
      <c r="T2813" s="8" t="str">
        <f aca="false">IF(A2813="","",IF(S2813="","BYPASS",IF(ABS(S2813)&lt;=Summary!$B$2,"PASS","FAIL")))</f>
        <v/>
      </c>
      <c r="U2813" s="8" t="str">
        <f aca="false">IF(T2813="BYPASS",IF(NOT(ISNUMBER(Q2813)),"PreV_ETB missing","End_tr_balance missing"),IF(T2813="FAIL",IF(AND(ISNUMBER(K2813),ISNUMBER(L2813),ABS(L2813-(K2813-IF(ISNUMBER(N2813),N2813,0)-IF(ISNUMBER(O2813),O2813,0)+IF(ISNUMBER(P2813),P2813,0)))&lt;=Summary!$B$2),"Passes using beginning_balance - PreV_ETB differs from beginning_balance",IF(AND(ISNUMBER(O2813),O2813&lt;0,ABS(L2813-(Q2813-IF(ISNUMBER(N2813),N2813,0)+IF(ISNUMBER(P2813),P2813,0)))&lt;=Summary!$B$2),"Negative realized loss not applied - check sign",IF(R2813&lt;0,"Principal paid exceeds prior balance",IF(AND(L2813&gt;Q2813,NOT(ISNUMBER(P2813))),"Balance increased but no Deferred_interest reported",IF(L2813&gt;R2813,"Reported balance higher than expected (missing increase/OC build)","Reported balance lower than expected (missing decrease)"))))),""))</f>
        <v/>
      </c>
    </row>
    <row r="2814" customFormat="false" ht="15" hidden="false" customHeight="false" outlineLevel="0" collapsed="false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9"/>
      <c r="L2814" s="9"/>
      <c r="M2814" s="9"/>
      <c r="N2814" s="9"/>
      <c r="O2814" s="9"/>
      <c r="P2814" s="9"/>
      <c r="Q2814" s="9"/>
      <c r="R2814" s="9" t="str">
        <f aca="false">IF(AND(A2814&lt;&gt;"",ISNUMBER(Q2814),ISNUMBER(L2814)),ROUND(Q2814-IF(ISNUMBER(N2814),N2814,0)-IF(ISNUMBER(O2814),O2814,0)+IF(ISNUMBER(P2814),P2814,0),2),"")</f>
        <v/>
      </c>
      <c r="S2814" s="9" t="str">
        <f aca="false">IF(R2814="","",ROUND(L2814-R2814,2))</f>
        <v/>
      </c>
      <c r="T2814" s="8" t="str">
        <f aca="false">IF(A2814="","",IF(S2814="","BYPASS",IF(ABS(S2814)&lt;=Summary!$B$2,"PASS","FAIL")))</f>
        <v/>
      </c>
      <c r="U2814" s="8" t="str">
        <f aca="false">IF(T2814="BYPASS",IF(NOT(ISNUMBER(Q2814)),"PreV_ETB missing","End_tr_balance missing"),IF(T2814="FAIL",IF(AND(ISNUMBER(K2814),ISNUMBER(L2814),ABS(L2814-(K2814-IF(ISNUMBER(N2814),N2814,0)-IF(ISNUMBER(O2814),O2814,0)+IF(ISNUMBER(P2814),P2814,0)))&lt;=Summary!$B$2),"Passes using beginning_balance - PreV_ETB differs from beginning_balance",IF(AND(ISNUMBER(O2814),O2814&lt;0,ABS(L2814-(Q2814-IF(ISNUMBER(N2814),N2814,0)+IF(ISNUMBER(P2814),P2814,0)))&lt;=Summary!$B$2),"Negative realized loss not applied - check sign",IF(R2814&lt;0,"Principal paid exceeds prior balance",IF(AND(L2814&gt;Q2814,NOT(ISNUMBER(P2814))),"Balance increased but no Deferred_interest reported",IF(L2814&gt;R2814,"Reported balance higher than expected (missing increase/OC build)","Reported balance lower than expected (missing decrease)"))))),""))</f>
        <v/>
      </c>
    </row>
    <row r="2815" customFormat="false" ht="15" hidden="false" customHeight="false" outlineLevel="0" collapsed="false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9"/>
      <c r="L2815" s="9"/>
      <c r="M2815" s="9"/>
      <c r="N2815" s="9"/>
      <c r="O2815" s="9"/>
      <c r="P2815" s="9"/>
      <c r="Q2815" s="9"/>
      <c r="R2815" s="9" t="str">
        <f aca="false">IF(AND(A2815&lt;&gt;"",ISNUMBER(Q2815),ISNUMBER(L2815)),ROUND(Q2815-IF(ISNUMBER(N2815),N2815,0)-IF(ISNUMBER(O2815),O2815,0)+IF(ISNUMBER(P2815),P2815,0),2),"")</f>
        <v/>
      </c>
      <c r="S2815" s="9" t="str">
        <f aca="false">IF(R2815="","",ROUND(L2815-R2815,2))</f>
        <v/>
      </c>
      <c r="T2815" s="8" t="str">
        <f aca="false">IF(A2815="","",IF(S2815="","BYPASS",IF(ABS(S2815)&lt;=Summary!$B$2,"PASS","FAIL")))</f>
        <v/>
      </c>
      <c r="U2815" s="8" t="str">
        <f aca="false">IF(T2815="BYPASS",IF(NOT(ISNUMBER(Q2815)),"PreV_ETB missing","End_tr_balance missing"),IF(T2815="FAIL",IF(AND(ISNUMBER(K2815),ISNUMBER(L2815),ABS(L2815-(K2815-IF(ISNUMBER(N2815),N2815,0)-IF(ISNUMBER(O2815),O2815,0)+IF(ISNUMBER(P2815),P2815,0)))&lt;=Summary!$B$2),"Passes using beginning_balance - PreV_ETB differs from beginning_balance",IF(AND(ISNUMBER(O2815),O2815&lt;0,ABS(L2815-(Q2815-IF(ISNUMBER(N2815),N2815,0)+IF(ISNUMBER(P2815),P2815,0)))&lt;=Summary!$B$2),"Negative realized loss not applied - check sign",IF(R2815&lt;0,"Principal paid exceeds prior balance",IF(AND(L2815&gt;Q2815,NOT(ISNUMBER(P2815))),"Balance increased but no Deferred_interest reported",IF(L2815&gt;R2815,"Reported balance higher than expected (missing increase/OC build)","Reported balance lower than expected (missing decrease)"))))),""))</f>
        <v/>
      </c>
    </row>
    <row r="2816" customFormat="false" ht="15" hidden="false" customHeight="false" outlineLevel="0" collapsed="false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9"/>
      <c r="L2816" s="9"/>
      <c r="M2816" s="9"/>
      <c r="N2816" s="9"/>
      <c r="O2816" s="9"/>
      <c r="P2816" s="9"/>
      <c r="Q2816" s="9"/>
      <c r="R2816" s="9" t="str">
        <f aca="false">IF(AND(A2816&lt;&gt;"",ISNUMBER(Q2816),ISNUMBER(L2816)),ROUND(Q2816-IF(ISNUMBER(N2816),N2816,0)-IF(ISNUMBER(O2816),O2816,0)+IF(ISNUMBER(P2816),P2816,0),2),"")</f>
        <v/>
      </c>
      <c r="S2816" s="9" t="str">
        <f aca="false">IF(R2816="","",ROUND(L2816-R2816,2))</f>
        <v/>
      </c>
      <c r="T2816" s="8" t="str">
        <f aca="false">IF(A2816="","",IF(S2816="","BYPASS",IF(ABS(S2816)&lt;=Summary!$B$2,"PASS","FAIL")))</f>
        <v/>
      </c>
      <c r="U2816" s="8" t="str">
        <f aca="false">IF(T2816="BYPASS",IF(NOT(ISNUMBER(Q2816)),"PreV_ETB missing","End_tr_balance missing"),IF(T2816="FAIL",IF(AND(ISNUMBER(K2816),ISNUMBER(L2816),ABS(L2816-(K2816-IF(ISNUMBER(N2816),N2816,0)-IF(ISNUMBER(O2816),O2816,0)+IF(ISNUMBER(P2816),P2816,0)))&lt;=Summary!$B$2),"Passes using beginning_balance - PreV_ETB differs from beginning_balance",IF(AND(ISNUMBER(O2816),O2816&lt;0,ABS(L2816-(Q2816-IF(ISNUMBER(N2816),N2816,0)+IF(ISNUMBER(P2816),P2816,0)))&lt;=Summary!$B$2),"Negative realized loss not applied - check sign",IF(R2816&lt;0,"Principal paid exceeds prior balance",IF(AND(L2816&gt;Q2816,NOT(ISNUMBER(P2816))),"Balance increased but no Deferred_interest reported",IF(L2816&gt;R2816,"Reported balance higher than expected (missing increase/OC build)","Reported balance lower than expected (missing decrease)"))))),""))</f>
        <v/>
      </c>
    </row>
    <row r="2817" customFormat="false" ht="15" hidden="false" customHeight="false" outlineLevel="0" collapsed="false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9"/>
      <c r="L2817" s="9"/>
      <c r="M2817" s="9"/>
      <c r="N2817" s="9"/>
      <c r="O2817" s="9"/>
      <c r="P2817" s="9"/>
      <c r="Q2817" s="9"/>
      <c r="R2817" s="9" t="str">
        <f aca="false">IF(AND(A2817&lt;&gt;"",ISNUMBER(Q2817),ISNUMBER(L2817)),ROUND(Q2817-IF(ISNUMBER(N2817),N2817,0)-IF(ISNUMBER(O2817),O2817,0)+IF(ISNUMBER(P2817),P2817,0),2),"")</f>
        <v/>
      </c>
      <c r="S2817" s="9" t="str">
        <f aca="false">IF(R2817="","",ROUND(L2817-R2817,2))</f>
        <v/>
      </c>
      <c r="T2817" s="8" t="str">
        <f aca="false">IF(A2817="","",IF(S2817="","BYPASS",IF(ABS(S2817)&lt;=Summary!$B$2,"PASS","FAIL")))</f>
        <v/>
      </c>
      <c r="U2817" s="8" t="str">
        <f aca="false">IF(T2817="BYPASS",IF(NOT(ISNUMBER(Q2817)),"PreV_ETB missing","End_tr_balance missing"),IF(T2817="FAIL",IF(AND(ISNUMBER(K2817),ISNUMBER(L2817),ABS(L2817-(K2817-IF(ISNUMBER(N2817),N2817,0)-IF(ISNUMBER(O2817),O2817,0)+IF(ISNUMBER(P2817),P2817,0)))&lt;=Summary!$B$2),"Passes using beginning_balance - PreV_ETB differs from beginning_balance",IF(AND(ISNUMBER(O2817),O2817&lt;0,ABS(L2817-(Q2817-IF(ISNUMBER(N2817),N2817,0)+IF(ISNUMBER(P2817),P2817,0)))&lt;=Summary!$B$2),"Negative realized loss not applied - check sign",IF(R2817&lt;0,"Principal paid exceeds prior balance",IF(AND(L2817&gt;Q2817,NOT(ISNUMBER(P2817))),"Balance increased but no Deferred_interest reported",IF(L2817&gt;R2817,"Reported balance higher than expected (missing increase/OC build)","Reported balance lower than expected (missing decrease)"))))),""))</f>
        <v/>
      </c>
    </row>
    <row r="2818" customFormat="false" ht="15" hidden="false" customHeight="false" outlineLevel="0" collapsed="false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9"/>
      <c r="L2818" s="9"/>
      <c r="M2818" s="9"/>
      <c r="N2818" s="9"/>
      <c r="O2818" s="9"/>
      <c r="P2818" s="9"/>
      <c r="Q2818" s="9"/>
      <c r="R2818" s="9" t="str">
        <f aca="false">IF(AND(A2818&lt;&gt;"",ISNUMBER(Q2818),ISNUMBER(L2818)),ROUND(Q2818-IF(ISNUMBER(N2818),N2818,0)-IF(ISNUMBER(O2818),O2818,0)+IF(ISNUMBER(P2818),P2818,0),2),"")</f>
        <v/>
      </c>
      <c r="S2818" s="9" t="str">
        <f aca="false">IF(R2818="","",ROUND(L2818-R2818,2))</f>
        <v/>
      </c>
      <c r="T2818" s="8" t="str">
        <f aca="false">IF(A2818="","",IF(S2818="","BYPASS",IF(ABS(S2818)&lt;=Summary!$B$2,"PASS","FAIL")))</f>
        <v/>
      </c>
      <c r="U2818" s="8" t="str">
        <f aca="false">IF(T2818="BYPASS",IF(NOT(ISNUMBER(Q2818)),"PreV_ETB missing","End_tr_balance missing"),IF(T2818="FAIL",IF(AND(ISNUMBER(K2818),ISNUMBER(L2818),ABS(L2818-(K2818-IF(ISNUMBER(N2818),N2818,0)-IF(ISNUMBER(O2818),O2818,0)+IF(ISNUMBER(P2818),P2818,0)))&lt;=Summary!$B$2),"Passes using beginning_balance - PreV_ETB differs from beginning_balance",IF(AND(ISNUMBER(O2818),O2818&lt;0,ABS(L2818-(Q2818-IF(ISNUMBER(N2818),N2818,0)+IF(ISNUMBER(P2818),P2818,0)))&lt;=Summary!$B$2),"Negative realized loss not applied - check sign",IF(R2818&lt;0,"Principal paid exceeds prior balance",IF(AND(L2818&gt;Q2818,NOT(ISNUMBER(P2818))),"Balance increased but no Deferred_interest reported",IF(L2818&gt;R2818,"Reported balance higher than expected (missing increase/OC build)","Reported balance lower than expected (missing decrease)"))))),""))</f>
        <v/>
      </c>
    </row>
    <row r="2819" customFormat="false" ht="15" hidden="false" customHeight="false" outlineLevel="0" collapsed="false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9"/>
      <c r="L2819" s="9"/>
      <c r="M2819" s="9"/>
      <c r="N2819" s="9"/>
      <c r="O2819" s="9"/>
      <c r="P2819" s="9"/>
      <c r="Q2819" s="9"/>
      <c r="R2819" s="9" t="str">
        <f aca="false">IF(AND(A2819&lt;&gt;"",ISNUMBER(Q2819),ISNUMBER(L2819)),ROUND(Q2819-IF(ISNUMBER(N2819),N2819,0)-IF(ISNUMBER(O2819),O2819,0)+IF(ISNUMBER(P2819),P2819,0),2),"")</f>
        <v/>
      </c>
      <c r="S2819" s="9" t="str">
        <f aca="false">IF(R2819="","",ROUND(L2819-R2819,2))</f>
        <v/>
      </c>
      <c r="T2819" s="8" t="str">
        <f aca="false">IF(A2819="","",IF(S2819="","BYPASS",IF(ABS(S2819)&lt;=Summary!$B$2,"PASS","FAIL")))</f>
        <v/>
      </c>
      <c r="U2819" s="8" t="str">
        <f aca="false">IF(T2819="BYPASS",IF(NOT(ISNUMBER(Q2819)),"PreV_ETB missing","End_tr_balance missing"),IF(T2819="FAIL",IF(AND(ISNUMBER(K2819),ISNUMBER(L2819),ABS(L2819-(K2819-IF(ISNUMBER(N2819),N2819,0)-IF(ISNUMBER(O2819),O2819,0)+IF(ISNUMBER(P2819),P2819,0)))&lt;=Summary!$B$2),"Passes using beginning_balance - PreV_ETB differs from beginning_balance",IF(AND(ISNUMBER(O2819),O2819&lt;0,ABS(L2819-(Q2819-IF(ISNUMBER(N2819),N2819,0)+IF(ISNUMBER(P2819),P2819,0)))&lt;=Summary!$B$2),"Negative realized loss not applied - check sign",IF(R2819&lt;0,"Principal paid exceeds prior balance",IF(AND(L2819&gt;Q2819,NOT(ISNUMBER(P2819))),"Balance increased but no Deferred_interest reported",IF(L2819&gt;R2819,"Reported balance higher than expected (missing increase/OC build)","Reported balance lower than expected (missing decrease)"))))),""))</f>
        <v/>
      </c>
    </row>
    <row r="2820" customFormat="false" ht="15" hidden="false" customHeight="false" outlineLevel="0" collapsed="false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9"/>
      <c r="L2820" s="9"/>
      <c r="M2820" s="9"/>
      <c r="N2820" s="9"/>
      <c r="O2820" s="9"/>
      <c r="P2820" s="9"/>
      <c r="Q2820" s="9"/>
      <c r="R2820" s="9" t="str">
        <f aca="false">IF(AND(A2820&lt;&gt;"",ISNUMBER(Q2820),ISNUMBER(L2820)),ROUND(Q2820-IF(ISNUMBER(N2820),N2820,0)-IF(ISNUMBER(O2820),O2820,0)+IF(ISNUMBER(P2820),P2820,0),2),"")</f>
        <v/>
      </c>
      <c r="S2820" s="9" t="str">
        <f aca="false">IF(R2820="","",ROUND(L2820-R2820,2))</f>
        <v/>
      </c>
      <c r="T2820" s="8" t="str">
        <f aca="false">IF(A2820="","",IF(S2820="","BYPASS",IF(ABS(S2820)&lt;=Summary!$B$2,"PASS","FAIL")))</f>
        <v/>
      </c>
      <c r="U2820" s="8" t="str">
        <f aca="false">IF(T2820="BYPASS",IF(NOT(ISNUMBER(Q2820)),"PreV_ETB missing","End_tr_balance missing"),IF(T2820="FAIL",IF(AND(ISNUMBER(K2820),ISNUMBER(L2820),ABS(L2820-(K2820-IF(ISNUMBER(N2820),N2820,0)-IF(ISNUMBER(O2820),O2820,0)+IF(ISNUMBER(P2820),P2820,0)))&lt;=Summary!$B$2),"Passes using beginning_balance - PreV_ETB differs from beginning_balance",IF(AND(ISNUMBER(O2820),O2820&lt;0,ABS(L2820-(Q2820-IF(ISNUMBER(N2820),N2820,0)+IF(ISNUMBER(P2820),P2820,0)))&lt;=Summary!$B$2),"Negative realized loss not applied - check sign",IF(R2820&lt;0,"Principal paid exceeds prior balance",IF(AND(L2820&gt;Q2820,NOT(ISNUMBER(P2820))),"Balance increased but no Deferred_interest reported",IF(L2820&gt;R2820,"Reported balance higher than expected (missing increase/OC build)","Reported balance lower than expected (missing decrease)"))))),""))</f>
        <v/>
      </c>
    </row>
    <row r="2821" customFormat="false" ht="15" hidden="false" customHeight="false" outlineLevel="0" collapsed="false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9"/>
      <c r="L2821" s="9"/>
      <c r="M2821" s="9"/>
      <c r="N2821" s="9"/>
      <c r="O2821" s="9"/>
      <c r="P2821" s="9"/>
      <c r="Q2821" s="9"/>
      <c r="R2821" s="9" t="str">
        <f aca="false">IF(AND(A2821&lt;&gt;"",ISNUMBER(Q2821),ISNUMBER(L2821)),ROUND(Q2821-IF(ISNUMBER(N2821),N2821,0)-IF(ISNUMBER(O2821),O2821,0)+IF(ISNUMBER(P2821),P2821,0),2),"")</f>
        <v/>
      </c>
      <c r="S2821" s="9" t="str">
        <f aca="false">IF(R2821="","",ROUND(L2821-R2821,2))</f>
        <v/>
      </c>
      <c r="T2821" s="8" t="str">
        <f aca="false">IF(A2821="","",IF(S2821="","BYPASS",IF(ABS(S2821)&lt;=Summary!$B$2,"PASS","FAIL")))</f>
        <v/>
      </c>
      <c r="U2821" s="8" t="str">
        <f aca="false">IF(T2821="BYPASS",IF(NOT(ISNUMBER(Q2821)),"PreV_ETB missing","End_tr_balance missing"),IF(T2821="FAIL",IF(AND(ISNUMBER(K2821),ISNUMBER(L2821),ABS(L2821-(K2821-IF(ISNUMBER(N2821),N2821,0)-IF(ISNUMBER(O2821),O2821,0)+IF(ISNUMBER(P2821),P2821,0)))&lt;=Summary!$B$2),"Passes using beginning_balance - PreV_ETB differs from beginning_balance",IF(AND(ISNUMBER(O2821),O2821&lt;0,ABS(L2821-(Q2821-IF(ISNUMBER(N2821),N2821,0)+IF(ISNUMBER(P2821),P2821,0)))&lt;=Summary!$B$2),"Negative realized loss not applied - check sign",IF(R2821&lt;0,"Principal paid exceeds prior balance",IF(AND(L2821&gt;Q2821,NOT(ISNUMBER(P2821))),"Balance increased but no Deferred_interest reported",IF(L2821&gt;R2821,"Reported balance higher than expected (missing increase/OC build)","Reported balance lower than expected (missing decrease)"))))),""))</f>
        <v/>
      </c>
    </row>
    <row r="2822" customFormat="false" ht="15" hidden="false" customHeight="false" outlineLevel="0" collapsed="false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9"/>
      <c r="L2822" s="9"/>
      <c r="M2822" s="9"/>
      <c r="N2822" s="9"/>
      <c r="O2822" s="9"/>
      <c r="P2822" s="9"/>
      <c r="Q2822" s="9"/>
      <c r="R2822" s="9" t="str">
        <f aca="false">IF(AND(A2822&lt;&gt;"",ISNUMBER(Q2822),ISNUMBER(L2822)),ROUND(Q2822-IF(ISNUMBER(N2822),N2822,0)-IF(ISNUMBER(O2822),O2822,0)+IF(ISNUMBER(P2822),P2822,0),2),"")</f>
        <v/>
      </c>
      <c r="S2822" s="9" t="str">
        <f aca="false">IF(R2822="","",ROUND(L2822-R2822,2))</f>
        <v/>
      </c>
      <c r="T2822" s="8" t="str">
        <f aca="false">IF(A2822="","",IF(S2822="","BYPASS",IF(ABS(S2822)&lt;=Summary!$B$2,"PASS","FAIL")))</f>
        <v/>
      </c>
      <c r="U2822" s="8" t="str">
        <f aca="false">IF(T2822="BYPASS",IF(NOT(ISNUMBER(Q2822)),"PreV_ETB missing","End_tr_balance missing"),IF(T2822="FAIL",IF(AND(ISNUMBER(K2822),ISNUMBER(L2822),ABS(L2822-(K2822-IF(ISNUMBER(N2822),N2822,0)-IF(ISNUMBER(O2822),O2822,0)+IF(ISNUMBER(P2822),P2822,0)))&lt;=Summary!$B$2),"Passes using beginning_balance - PreV_ETB differs from beginning_balance",IF(AND(ISNUMBER(O2822),O2822&lt;0,ABS(L2822-(Q2822-IF(ISNUMBER(N2822),N2822,0)+IF(ISNUMBER(P2822),P2822,0)))&lt;=Summary!$B$2),"Negative realized loss not applied - check sign",IF(R2822&lt;0,"Principal paid exceeds prior balance",IF(AND(L2822&gt;Q2822,NOT(ISNUMBER(P2822))),"Balance increased but no Deferred_interest reported",IF(L2822&gt;R2822,"Reported balance higher than expected (missing increase/OC build)","Reported balance lower than expected (missing decrease)"))))),""))</f>
        <v/>
      </c>
    </row>
    <row r="2823" customFormat="false" ht="15" hidden="false" customHeight="false" outlineLevel="0" collapsed="false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9"/>
      <c r="L2823" s="9"/>
      <c r="M2823" s="9"/>
      <c r="N2823" s="9"/>
      <c r="O2823" s="9"/>
      <c r="P2823" s="9"/>
      <c r="Q2823" s="9"/>
      <c r="R2823" s="9" t="str">
        <f aca="false">IF(AND(A2823&lt;&gt;"",ISNUMBER(Q2823),ISNUMBER(L2823)),ROUND(Q2823-IF(ISNUMBER(N2823),N2823,0)-IF(ISNUMBER(O2823),O2823,0)+IF(ISNUMBER(P2823),P2823,0),2),"")</f>
        <v/>
      </c>
      <c r="S2823" s="9" t="str">
        <f aca="false">IF(R2823="","",ROUND(L2823-R2823,2))</f>
        <v/>
      </c>
      <c r="T2823" s="8" t="str">
        <f aca="false">IF(A2823="","",IF(S2823="","BYPASS",IF(ABS(S2823)&lt;=Summary!$B$2,"PASS","FAIL")))</f>
        <v/>
      </c>
      <c r="U2823" s="8" t="str">
        <f aca="false">IF(T2823="BYPASS",IF(NOT(ISNUMBER(Q2823)),"PreV_ETB missing","End_tr_balance missing"),IF(T2823="FAIL",IF(AND(ISNUMBER(K2823),ISNUMBER(L2823),ABS(L2823-(K2823-IF(ISNUMBER(N2823),N2823,0)-IF(ISNUMBER(O2823),O2823,0)+IF(ISNUMBER(P2823),P2823,0)))&lt;=Summary!$B$2),"Passes using beginning_balance - PreV_ETB differs from beginning_balance",IF(AND(ISNUMBER(O2823),O2823&lt;0,ABS(L2823-(Q2823-IF(ISNUMBER(N2823),N2823,0)+IF(ISNUMBER(P2823),P2823,0)))&lt;=Summary!$B$2),"Negative realized loss not applied - check sign",IF(R2823&lt;0,"Principal paid exceeds prior balance",IF(AND(L2823&gt;Q2823,NOT(ISNUMBER(P2823))),"Balance increased but no Deferred_interest reported",IF(L2823&gt;R2823,"Reported balance higher than expected (missing increase/OC build)","Reported balance lower than expected (missing decrease)"))))),""))</f>
        <v/>
      </c>
    </row>
    <row r="2824" customFormat="false" ht="15" hidden="false" customHeight="false" outlineLevel="0" collapsed="false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9"/>
      <c r="L2824" s="9"/>
      <c r="M2824" s="9"/>
      <c r="N2824" s="9"/>
      <c r="O2824" s="9"/>
      <c r="P2824" s="9"/>
      <c r="Q2824" s="9"/>
      <c r="R2824" s="9" t="str">
        <f aca="false">IF(AND(A2824&lt;&gt;"",ISNUMBER(Q2824),ISNUMBER(L2824)),ROUND(Q2824-IF(ISNUMBER(N2824),N2824,0)-IF(ISNUMBER(O2824),O2824,0)+IF(ISNUMBER(P2824),P2824,0),2),"")</f>
        <v/>
      </c>
      <c r="S2824" s="9" t="str">
        <f aca="false">IF(R2824="","",ROUND(L2824-R2824,2))</f>
        <v/>
      </c>
      <c r="T2824" s="8" t="str">
        <f aca="false">IF(A2824="","",IF(S2824="","BYPASS",IF(ABS(S2824)&lt;=Summary!$B$2,"PASS","FAIL")))</f>
        <v/>
      </c>
      <c r="U2824" s="8" t="str">
        <f aca="false">IF(T2824="BYPASS",IF(NOT(ISNUMBER(Q2824)),"PreV_ETB missing","End_tr_balance missing"),IF(T2824="FAIL",IF(AND(ISNUMBER(K2824),ISNUMBER(L2824),ABS(L2824-(K2824-IF(ISNUMBER(N2824),N2824,0)-IF(ISNUMBER(O2824),O2824,0)+IF(ISNUMBER(P2824),P2824,0)))&lt;=Summary!$B$2),"Passes using beginning_balance - PreV_ETB differs from beginning_balance",IF(AND(ISNUMBER(O2824),O2824&lt;0,ABS(L2824-(Q2824-IF(ISNUMBER(N2824),N2824,0)+IF(ISNUMBER(P2824),P2824,0)))&lt;=Summary!$B$2),"Negative realized loss not applied - check sign",IF(R2824&lt;0,"Principal paid exceeds prior balance",IF(AND(L2824&gt;Q2824,NOT(ISNUMBER(P2824))),"Balance increased but no Deferred_interest reported",IF(L2824&gt;R2824,"Reported balance higher than expected (missing increase/OC build)","Reported balance lower than expected (missing decrease)"))))),""))</f>
        <v/>
      </c>
    </row>
    <row r="2825" customFormat="false" ht="15" hidden="false" customHeight="false" outlineLevel="0" collapsed="false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9"/>
      <c r="L2825" s="9"/>
      <c r="M2825" s="9"/>
      <c r="N2825" s="9"/>
      <c r="O2825" s="9"/>
      <c r="P2825" s="9"/>
      <c r="Q2825" s="9"/>
      <c r="R2825" s="9" t="str">
        <f aca="false">IF(AND(A2825&lt;&gt;"",ISNUMBER(Q2825),ISNUMBER(L2825)),ROUND(Q2825-IF(ISNUMBER(N2825),N2825,0)-IF(ISNUMBER(O2825),O2825,0)+IF(ISNUMBER(P2825),P2825,0),2),"")</f>
        <v/>
      </c>
      <c r="S2825" s="9" t="str">
        <f aca="false">IF(R2825="","",ROUND(L2825-R2825,2))</f>
        <v/>
      </c>
      <c r="T2825" s="8" t="str">
        <f aca="false">IF(A2825="","",IF(S2825="","BYPASS",IF(ABS(S2825)&lt;=Summary!$B$2,"PASS","FAIL")))</f>
        <v/>
      </c>
      <c r="U2825" s="8" t="str">
        <f aca="false">IF(T2825="BYPASS",IF(NOT(ISNUMBER(Q2825)),"PreV_ETB missing","End_tr_balance missing"),IF(T2825="FAIL",IF(AND(ISNUMBER(K2825),ISNUMBER(L2825),ABS(L2825-(K2825-IF(ISNUMBER(N2825),N2825,0)-IF(ISNUMBER(O2825),O2825,0)+IF(ISNUMBER(P2825),P2825,0)))&lt;=Summary!$B$2),"Passes using beginning_balance - PreV_ETB differs from beginning_balance",IF(AND(ISNUMBER(O2825),O2825&lt;0,ABS(L2825-(Q2825-IF(ISNUMBER(N2825),N2825,0)+IF(ISNUMBER(P2825),P2825,0)))&lt;=Summary!$B$2),"Negative realized loss not applied - check sign",IF(R2825&lt;0,"Principal paid exceeds prior balance",IF(AND(L2825&gt;Q2825,NOT(ISNUMBER(P2825))),"Balance increased but no Deferred_interest reported",IF(L2825&gt;R2825,"Reported balance higher than expected (missing increase/OC build)","Reported balance lower than expected (missing decrease)"))))),""))</f>
        <v/>
      </c>
    </row>
    <row r="2826" customFormat="false" ht="15" hidden="false" customHeight="false" outlineLevel="0" collapsed="false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9"/>
      <c r="L2826" s="9"/>
      <c r="M2826" s="9"/>
      <c r="N2826" s="9"/>
      <c r="O2826" s="9"/>
      <c r="P2826" s="9"/>
      <c r="Q2826" s="9"/>
      <c r="R2826" s="9" t="str">
        <f aca="false">IF(AND(A2826&lt;&gt;"",ISNUMBER(Q2826),ISNUMBER(L2826)),ROUND(Q2826-IF(ISNUMBER(N2826),N2826,0)-IF(ISNUMBER(O2826),O2826,0)+IF(ISNUMBER(P2826),P2826,0),2),"")</f>
        <v/>
      </c>
      <c r="S2826" s="9" t="str">
        <f aca="false">IF(R2826="","",ROUND(L2826-R2826,2))</f>
        <v/>
      </c>
      <c r="T2826" s="8" t="str">
        <f aca="false">IF(A2826="","",IF(S2826="","BYPASS",IF(ABS(S2826)&lt;=Summary!$B$2,"PASS","FAIL")))</f>
        <v/>
      </c>
      <c r="U2826" s="8" t="str">
        <f aca="false">IF(T2826="BYPASS",IF(NOT(ISNUMBER(Q2826)),"PreV_ETB missing","End_tr_balance missing"),IF(T2826="FAIL",IF(AND(ISNUMBER(K2826),ISNUMBER(L2826),ABS(L2826-(K2826-IF(ISNUMBER(N2826),N2826,0)-IF(ISNUMBER(O2826),O2826,0)+IF(ISNUMBER(P2826),P2826,0)))&lt;=Summary!$B$2),"Passes using beginning_balance - PreV_ETB differs from beginning_balance",IF(AND(ISNUMBER(O2826),O2826&lt;0,ABS(L2826-(Q2826-IF(ISNUMBER(N2826),N2826,0)+IF(ISNUMBER(P2826),P2826,0)))&lt;=Summary!$B$2),"Negative realized loss not applied - check sign",IF(R2826&lt;0,"Principal paid exceeds prior balance",IF(AND(L2826&gt;Q2826,NOT(ISNUMBER(P2826))),"Balance increased but no Deferred_interest reported",IF(L2826&gt;R2826,"Reported balance higher than expected (missing increase/OC build)","Reported balance lower than expected (missing decrease)"))))),""))</f>
        <v/>
      </c>
    </row>
    <row r="2827" customFormat="false" ht="15" hidden="false" customHeight="false" outlineLevel="0" collapsed="false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9"/>
      <c r="L2827" s="9"/>
      <c r="M2827" s="9"/>
      <c r="N2827" s="9"/>
      <c r="O2827" s="9"/>
      <c r="P2827" s="9"/>
      <c r="Q2827" s="9"/>
      <c r="R2827" s="9" t="str">
        <f aca="false">IF(AND(A2827&lt;&gt;"",ISNUMBER(Q2827),ISNUMBER(L2827)),ROUND(Q2827-IF(ISNUMBER(N2827),N2827,0)-IF(ISNUMBER(O2827),O2827,0)+IF(ISNUMBER(P2827),P2827,0),2),"")</f>
        <v/>
      </c>
      <c r="S2827" s="9" t="str">
        <f aca="false">IF(R2827="","",ROUND(L2827-R2827,2))</f>
        <v/>
      </c>
      <c r="T2827" s="8" t="str">
        <f aca="false">IF(A2827="","",IF(S2827="","BYPASS",IF(ABS(S2827)&lt;=Summary!$B$2,"PASS","FAIL")))</f>
        <v/>
      </c>
      <c r="U2827" s="8" t="str">
        <f aca="false">IF(T2827="BYPASS",IF(NOT(ISNUMBER(Q2827)),"PreV_ETB missing","End_tr_balance missing"),IF(T2827="FAIL",IF(AND(ISNUMBER(K2827),ISNUMBER(L2827),ABS(L2827-(K2827-IF(ISNUMBER(N2827),N2827,0)-IF(ISNUMBER(O2827),O2827,0)+IF(ISNUMBER(P2827),P2827,0)))&lt;=Summary!$B$2),"Passes using beginning_balance - PreV_ETB differs from beginning_balance",IF(AND(ISNUMBER(O2827),O2827&lt;0,ABS(L2827-(Q2827-IF(ISNUMBER(N2827),N2827,0)+IF(ISNUMBER(P2827),P2827,0)))&lt;=Summary!$B$2),"Negative realized loss not applied - check sign",IF(R2827&lt;0,"Principal paid exceeds prior balance",IF(AND(L2827&gt;Q2827,NOT(ISNUMBER(P2827))),"Balance increased but no Deferred_interest reported",IF(L2827&gt;R2827,"Reported balance higher than expected (missing increase/OC build)","Reported balance lower than expected (missing decrease)"))))),""))</f>
        <v/>
      </c>
    </row>
    <row r="2828" customFormat="false" ht="15" hidden="false" customHeight="false" outlineLevel="0" collapsed="false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9"/>
      <c r="L2828" s="9"/>
      <c r="M2828" s="9"/>
      <c r="N2828" s="9"/>
      <c r="O2828" s="9"/>
      <c r="P2828" s="9"/>
      <c r="Q2828" s="9"/>
      <c r="R2828" s="9" t="str">
        <f aca="false">IF(AND(A2828&lt;&gt;"",ISNUMBER(Q2828),ISNUMBER(L2828)),ROUND(Q2828-IF(ISNUMBER(N2828),N2828,0)-IF(ISNUMBER(O2828),O2828,0)+IF(ISNUMBER(P2828),P2828,0),2),"")</f>
        <v/>
      </c>
      <c r="S2828" s="9" t="str">
        <f aca="false">IF(R2828="","",ROUND(L2828-R2828,2))</f>
        <v/>
      </c>
      <c r="T2828" s="8" t="str">
        <f aca="false">IF(A2828="","",IF(S2828="","BYPASS",IF(ABS(S2828)&lt;=Summary!$B$2,"PASS","FAIL")))</f>
        <v/>
      </c>
      <c r="U2828" s="8" t="str">
        <f aca="false">IF(T2828="BYPASS",IF(NOT(ISNUMBER(Q2828)),"PreV_ETB missing","End_tr_balance missing"),IF(T2828="FAIL",IF(AND(ISNUMBER(K2828),ISNUMBER(L2828),ABS(L2828-(K2828-IF(ISNUMBER(N2828),N2828,0)-IF(ISNUMBER(O2828),O2828,0)+IF(ISNUMBER(P2828),P2828,0)))&lt;=Summary!$B$2),"Passes using beginning_balance - PreV_ETB differs from beginning_balance",IF(AND(ISNUMBER(O2828),O2828&lt;0,ABS(L2828-(Q2828-IF(ISNUMBER(N2828),N2828,0)+IF(ISNUMBER(P2828),P2828,0)))&lt;=Summary!$B$2),"Negative realized loss not applied - check sign",IF(R2828&lt;0,"Principal paid exceeds prior balance",IF(AND(L2828&gt;Q2828,NOT(ISNUMBER(P2828))),"Balance increased but no Deferred_interest reported",IF(L2828&gt;R2828,"Reported balance higher than expected (missing increase/OC build)","Reported balance lower than expected (missing decrease)"))))),""))</f>
        <v/>
      </c>
    </row>
    <row r="2829" customFormat="false" ht="15" hidden="false" customHeight="false" outlineLevel="0" collapsed="false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9"/>
      <c r="L2829" s="9"/>
      <c r="M2829" s="9"/>
      <c r="N2829" s="9"/>
      <c r="O2829" s="9"/>
      <c r="P2829" s="9"/>
      <c r="Q2829" s="9"/>
      <c r="R2829" s="9" t="str">
        <f aca="false">IF(AND(A2829&lt;&gt;"",ISNUMBER(Q2829),ISNUMBER(L2829)),ROUND(Q2829-IF(ISNUMBER(N2829),N2829,0)-IF(ISNUMBER(O2829),O2829,0)+IF(ISNUMBER(P2829),P2829,0),2),"")</f>
        <v/>
      </c>
      <c r="S2829" s="9" t="str">
        <f aca="false">IF(R2829="","",ROUND(L2829-R2829,2))</f>
        <v/>
      </c>
      <c r="T2829" s="8" t="str">
        <f aca="false">IF(A2829="","",IF(S2829="","BYPASS",IF(ABS(S2829)&lt;=Summary!$B$2,"PASS","FAIL")))</f>
        <v/>
      </c>
      <c r="U2829" s="8" t="str">
        <f aca="false">IF(T2829="BYPASS",IF(NOT(ISNUMBER(Q2829)),"PreV_ETB missing","End_tr_balance missing"),IF(T2829="FAIL",IF(AND(ISNUMBER(K2829),ISNUMBER(L2829),ABS(L2829-(K2829-IF(ISNUMBER(N2829),N2829,0)-IF(ISNUMBER(O2829),O2829,0)+IF(ISNUMBER(P2829),P2829,0)))&lt;=Summary!$B$2),"Passes using beginning_balance - PreV_ETB differs from beginning_balance",IF(AND(ISNUMBER(O2829),O2829&lt;0,ABS(L2829-(Q2829-IF(ISNUMBER(N2829),N2829,0)+IF(ISNUMBER(P2829),P2829,0)))&lt;=Summary!$B$2),"Negative realized loss not applied - check sign",IF(R2829&lt;0,"Principal paid exceeds prior balance",IF(AND(L2829&gt;Q2829,NOT(ISNUMBER(P2829))),"Balance increased but no Deferred_interest reported",IF(L2829&gt;R2829,"Reported balance higher than expected (missing increase/OC build)","Reported balance lower than expected (missing decrease)"))))),""))</f>
        <v/>
      </c>
    </row>
    <row r="2830" customFormat="false" ht="15" hidden="false" customHeight="false" outlineLevel="0" collapsed="false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9"/>
      <c r="L2830" s="9"/>
      <c r="M2830" s="9"/>
      <c r="N2830" s="9"/>
      <c r="O2830" s="9"/>
      <c r="P2830" s="9"/>
      <c r="Q2830" s="9"/>
      <c r="R2830" s="9" t="str">
        <f aca="false">IF(AND(A2830&lt;&gt;"",ISNUMBER(Q2830),ISNUMBER(L2830)),ROUND(Q2830-IF(ISNUMBER(N2830),N2830,0)-IF(ISNUMBER(O2830),O2830,0)+IF(ISNUMBER(P2830),P2830,0),2),"")</f>
        <v/>
      </c>
      <c r="S2830" s="9" t="str">
        <f aca="false">IF(R2830="","",ROUND(L2830-R2830,2))</f>
        <v/>
      </c>
      <c r="T2830" s="8" t="str">
        <f aca="false">IF(A2830="","",IF(S2830="","BYPASS",IF(ABS(S2830)&lt;=Summary!$B$2,"PASS","FAIL")))</f>
        <v/>
      </c>
      <c r="U2830" s="8" t="str">
        <f aca="false">IF(T2830="BYPASS",IF(NOT(ISNUMBER(Q2830)),"PreV_ETB missing","End_tr_balance missing"),IF(T2830="FAIL",IF(AND(ISNUMBER(K2830),ISNUMBER(L2830),ABS(L2830-(K2830-IF(ISNUMBER(N2830),N2830,0)-IF(ISNUMBER(O2830),O2830,0)+IF(ISNUMBER(P2830),P2830,0)))&lt;=Summary!$B$2),"Passes using beginning_balance - PreV_ETB differs from beginning_balance",IF(AND(ISNUMBER(O2830),O2830&lt;0,ABS(L2830-(Q2830-IF(ISNUMBER(N2830),N2830,0)+IF(ISNUMBER(P2830),P2830,0)))&lt;=Summary!$B$2),"Negative realized loss not applied - check sign",IF(R2830&lt;0,"Principal paid exceeds prior balance",IF(AND(L2830&gt;Q2830,NOT(ISNUMBER(P2830))),"Balance increased but no Deferred_interest reported",IF(L2830&gt;R2830,"Reported balance higher than expected (missing increase/OC build)","Reported balance lower than expected (missing decrease)"))))),""))</f>
        <v/>
      </c>
    </row>
    <row r="2831" customFormat="false" ht="15" hidden="false" customHeight="false" outlineLevel="0" collapsed="false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9"/>
      <c r="L2831" s="9"/>
      <c r="M2831" s="9"/>
      <c r="N2831" s="9"/>
      <c r="O2831" s="9"/>
      <c r="P2831" s="9"/>
      <c r="Q2831" s="9"/>
      <c r="R2831" s="9" t="str">
        <f aca="false">IF(AND(A2831&lt;&gt;"",ISNUMBER(Q2831),ISNUMBER(L2831)),ROUND(Q2831-IF(ISNUMBER(N2831),N2831,0)-IF(ISNUMBER(O2831),O2831,0)+IF(ISNUMBER(P2831),P2831,0),2),"")</f>
        <v/>
      </c>
      <c r="S2831" s="9" t="str">
        <f aca="false">IF(R2831="","",ROUND(L2831-R2831,2))</f>
        <v/>
      </c>
      <c r="T2831" s="8" t="str">
        <f aca="false">IF(A2831="","",IF(S2831="","BYPASS",IF(ABS(S2831)&lt;=Summary!$B$2,"PASS","FAIL")))</f>
        <v/>
      </c>
      <c r="U2831" s="8" t="str">
        <f aca="false">IF(T2831="BYPASS",IF(NOT(ISNUMBER(Q2831)),"PreV_ETB missing","End_tr_balance missing"),IF(T2831="FAIL",IF(AND(ISNUMBER(K2831),ISNUMBER(L2831),ABS(L2831-(K2831-IF(ISNUMBER(N2831),N2831,0)-IF(ISNUMBER(O2831),O2831,0)+IF(ISNUMBER(P2831),P2831,0)))&lt;=Summary!$B$2),"Passes using beginning_balance - PreV_ETB differs from beginning_balance",IF(AND(ISNUMBER(O2831),O2831&lt;0,ABS(L2831-(Q2831-IF(ISNUMBER(N2831),N2831,0)+IF(ISNUMBER(P2831),P2831,0)))&lt;=Summary!$B$2),"Negative realized loss not applied - check sign",IF(R2831&lt;0,"Principal paid exceeds prior balance",IF(AND(L2831&gt;Q2831,NOT(ISNUMBER(P2831))),"Balance increased but no Deferred_interest reported",IF(L2831&gt;R2831,"Reported balance higher than expected (missing increase/OC build)","Reported balance lower than expected (missing decrease)"))))),""))</f>
        <v/>
      </c>
    </row>
    <row r="2832" customFormat="false" ht="15" hidden="false" customHeight="false" outlineLevel="0" collapsed="false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9"/>
      <c r="L2832" s="9"/>
      <c r="M2832" s="9"/>
      <c r="N2832" s="9"/>
      <c r="O2832" s="9"/>
      <c r="P2832" s="9"/>
      <c r="Q2832" s="9"/>
      <c r="R2832" s="9" t="str">
        <f aca="false">IF(AND(A2832&lt;&gt;"",ISNUMBER(Q2832),ISNUMBER(L2832)),ROUND(Q2832-IF(ISNUMBER(N2832),N2832,0)-IF(ISNUMBER(O2832),O2832,0)+IF(ISNUMBER(P2832),P2832,0),2),"")</f>
        <v/>
      </c>
      <c r="S2832" s="9" t="str">
        <f aca="false">IF(R2832="","",ROUND(L2832-R2832,2))</f>
        <v/>
      </c>
      <c r="T2832" s="8" t="str">
        <f aca="false">IF(A2832="","",IF(S2832="","BYPASS",IF(ABS(S2832)&lt;=Summary!$B$2,"PASS","FAIL")))</f>
        <v/>
      </c>
      <c r="U2832" s="8" t="str">
        <f aca="false">IF(T2832="BYPASS",IF(NOT(ISNUMBER(Q2832)),"PreV_ETB missing","End_tr_balance missing"),IF(T2832="FAIL",IF(AND(ISNUMBER(K2832),ISNUMBER(L2832),ABS(L2832-(K2832-IF(ISNUMBER(N2832),N2832,0)-IF(ISNUMBER(O2832),O2832,0)+IF(ISNUMBER(P2832),P2832,0)))&lt;=Summary!$B$2),"Passes using beginning_balance - PreV_ETB differs from beginning_balance",IF(AND(ISNUMBER(O2832),O2832&lt;0,ABS(L2832-(Q2832-IF(ISNUMBER(N2832),N2832,0)+IF(ISNUMBER(P2832),P2832,0)))&lt;=Summary!$B$2),"Negative realized loss not applied - check sign",IF(R2832&lt;0,"Principal paid exceeds prior balance",IF(AND(L2832&gt;Q2832,NOT(ISNUMBER(P2832))),"Balance increased but no Deferred_interest reported",IF(L2832&gt;R2832,"Reported balance higher than expected (missing increase/OC build)","Reported balance lower than expected (missing decrease)"))))),""))</f>
        <v/>
      </c>
    </row>
    <row r="2833" customFormat="false" ht="15" hidden="false" customHeight="false" outlineLevel="0" collapsed="false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9"/>
      <c r="L2833" s="9"/>
      <c r="M2833" s="9"/>
      <c r="N2833" s="9"/>
      <c r="O2833" s="9"/>
      <c r="P2833" s="9"/>
      <c r="Q2833" s="9"/>
      <c r="R2833" s="9" t="str">
        <f aca="false">IF(AND(A2833&lt;&gt;"",ISNUMBER(Q2833),ISNUMBER(L2833)),ROUND(Q2833-IF(ISNUMBER(N2833),N2833,0)-IF(ISNUMBER(O2833),O2833,0)+IF(ISNUMBER(P2833),P2833,0),2),"")</f>
        <v/>
      </c>
      <c r="S2833" s="9" t="str">
        <f aca="false">IF(R2833="","",ROUND(L2833-R2833,2))</f>
        <v/>
      </c>
      <c r="T2833" s="8" t="str">
        <f aca="false">IF(A2833="","",IF(S2833="","BYPASS",IF(ABS(S2833)&lt;=Summary!$B$2,"PASS","FAIL")))</f>
        <v/>
      </c>
      <c r="U2833" s="8" t="str">
        <f aca="false">IF(T2833="BYPASS",IF(NOT(ISNUMBER(Q2833)),"PreV_ETB missing","End_tr_balance missing"),IF(T2833="FAIL",IF(AND(ISNUMBER(K2833),ISNUMBER(L2833),ABS(L2833-(K2833-IF(ISNUMBER(N2833),N2833,0)-IF(ISNUMBER(O2833),O2833,0)+IF(ISNUMBER(P2833),P2833,0)))&lt;=Summary!$B$2),"Passes using beginning_balance - PreV_ETB differs from beginning_balance",IF(AND(ISNUMBER(O2833),O2833&lt;0,ABS(L2833-(Q2833-IF(ISNUMBER(N2833),N2833,0)+IF(ISNUMBER(P2833),P2833,0)))&lt;=Summary!$B$2),"Negative realized loss not applied - check sign",IF(R2833&lt;0,"Principal paid exceeds prior balance",IF(AND(L2833&gt;Q2833,NOT(ISNUMBER(P2833))),"Balance increased but no Deferred_interest reported",IF(L2833&gt;R2833,"Reported balance higher than expected (missing increase/OC build)","Reported balance lower than expected (missing decrease)"))))),""))</f>
        <v/>
      </c>
    </row>
    <row r="2834" customFormat="false" ht="15" hidden="false" customHeight="false" outlineLevel="0" collapsed="false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9"/>
      <c r="L2834" s="9"/>
      <c r="M2834" s="9"/>
      <c r="N2834" s="9"/>
      <c r="O2834" s="9"/>
      <c r="P2834" s="9"/>
      <c r="Q2834" s="9"/>
      <c r="R2834" s="9" t="str">
        <f aca="false">IF(AND(A2834&lt;&gt;"",ISNUMBER(Q2834),ISNUMBER(L2834)),ROUND(Q2834-IF(ISNUMBER(N2834),N2834,0)-IF(ISNUMBER(O2834),O2834,0)+IF(ISNUMBER(P2834),P2834,0),2),"")</f>
        <v/>
      </c>
      <c r="S2834" s="9" t="str">
        <f aca="false">IF(R2834="","",ROUND(L2834-R2834,2))</f>
        <v/>
      </c>
      <c r="T2834" s="8" t="str">
        <f aca="false">IF(A2834="","",IF(S2834="","BYPASS",IF(ABS(S2834)&lt;=Summary!$B$2,"PASS","FAIL")))</f>
        <v/>
      </c>
      <c r="U2834" s="8" t="str">
        <f aca="false">IF(T2834="BYPASS",IF(NOT(ISNUMBER(Q2834)),"PreV_ETB missing","End_tr_balance missing"),IF(T2834="FAIL",IF(AND(ISNUMBER(K2834),ISNUMBER(L2834),ABS(L2834-(K2834-IF(ISNUMBER(N2834),N2834,0)-IF(ISNUMBER(O2834),O2834,0)+IF(ISNUMBER(P2834),P2834,0)))&lt;=Summary!$B$2),"Passes using beginning_balance - PreV_ETB differs from beginning_balance",IF(AND(ISNUMBER(O2834),O2834&lt;0,ABS(L2834-(Q2834-IF(ISNUMBER(N2834),N2834,0)+IF(ISNUMBER(P2834),P2834,0)))&lt;=Summary!$B$2),"Negative realized loss not applied - check sign",IF(R2834&lt;0,"Principal paid exceeds prior balance",IF(AND(L2834&gt;Q2834,NOT(ISNUMBER(P2834))),"Balance increased but no Deferred_interest reported",IF(L2834&gt;R2834,"Reported balance higher than expected (missing increase/OC build)","Reported balance lower than expected (missing decrease)"))))),""))</f>
        <v/>
      </c>
    </row>
    <row r="2835" customFormat="false" ht="15" hidden="false" customHeight="false" outlineLevel="0" collapsed="false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9"/>
      <c r="L2835" s="9"/>
      <c r="M2835" s="9"/>
      <c r="N2835" s="9"/>
      <c r="O2835" s="9"/>
      <c r="P2835" s="9"/>
      <c r="Q2835" s="9"/>
      <c r="R2835" s="9" t="str">
        <f aca="false">IF(AND(A2835&lt;&gt;"",ISNUMBER(Q2835),ISNUMBER(L2835)),ROUND(Q2835-IF(ISNUMBER(N2835),N2835,0)-IF(ISNUMBER(O2835),O2835,0)+IF(ISNUMBER(P2835),P2835,0),2),"")</f>
        <v/>
      </c>
      <c r="S2835" s="9" t="str">
        <f aca="false">IF(R2835="","",ROUND(L2835-R2835,2))</f>
        <v/>
      </c>
      <c r="T2835" s="8" t="str">
        <f aca="false">IF(A2835="","",IF(S2835="","BYPASS",IF(ABS(S2835)&lt;=Summary!$B$2,"PASS","FAIL")))</f>
        <v/>
      </c>
      <c r="U2835" s="8" t="str">
        <f aca="false">IF(T2835="BYPASS",IF(NOT(ISNUMBER(Q2835)),"PreV_ETB missing","End_tr_balance missing"),IF(T2835="FAIL",IF(AND(ISNUMBER(K2835),ISNUMBER(L2835),ABS(L2835-(K2835-IF(ISNUMBER(N2835),N2835,0)-IF(ISNUMBER(O2835),O2835,0)+IF(ISNUMBER(P2835),P2835,0)))&lt;=Summary!$B$2),"Passes using beginning_balance - PreV_ETB differs from beginning_balance",IF(AND(ISNUMBER(O2835),O2835&lt;0,ABS(L2835-(Q2835-IF(ISNUMBER(N2835),N2835,0)+IF(ISNUMBER(P2835),P2835,0)))&lt;=Summary!$B$2),"Negative realized loss not applied - check sign",IF(R2835&lt;0,"Principal paid exceeds prior balance",IF(AND(L2835&gt;Q2835,NOT(ISNUMBER(P2835))),"Balance increased but no Deferred_interest reported",IF(L2835&gt;R2835,"Reported balance higher than expected (missing increase/OC build)","Reported balance lower than expected (missing decrease)"))))),""))</f>
        <v/>
      </c>
    </row>
    <row r="2836" customFormat="false" ht="15" hidden="false" customHeight="false" outlineLevel="0" collapsed="false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9"/>
      <c r="L2836" s="9"/>
      <c r="M2836" s="9"/>
      <c r="N2836" s="9"/>
      <c r="O2836" s="9"/>
      <c r="P2836" s="9"/>
      <c r="Q2836" s="9"/>
      <c r="R2836" s="9" t="str">
        <f aca="false">IF(AND(A2836&lt;&gt;"",ISNUMBER(Q2836),ISNUMBER(L2836)),ROUND(Q2836-IF(ISNUMBER(N2836),N2836,0)-IF(ISNUMBER(O2836),O2836,0)+IF(ISNUMBER(P2836),P2836,0),2),"")</f>
        <v/>
      </c>
      <c r="S2836" s="9" t="str">
        <f aca="false">IF(R2836="","",ROUND(L2836-R2836,2))</f>
        <v/>
      </c>
      <c r="T2836" s="8" t="str">
        <f aca="false">IF(A2836="","",IF(S2836="","BYPASS",IF(ABS(S2836)&lt;=Summary!$B$2,"PASS","FAIL")))</f>
        <v/>
      </c>
      <c r="U2836" s="8" t="str">
        <f aca="false">IF(T2836="BYPASS",IF(NOT(ISNUMBER(Q2836)),"PreV_ETB missing","End_tr_balance missing"),IF(T2836="FAIL",IF(AND(ISNUMBER(K2836),ISNUMBER(L2836),ABS(L2836-(K2836-IF(ISNUMBER(N2836),N2836,0)-IF(ISNUMBER(O2836),O2836,0)+IF(ISNUMBER(P2836),P2836,0)))&lt;=Summary!$B$2),"Passes using beginning_balance - PreV_ETB differs from beginning_balance",IF(AND(ISNUMBER(O2836),O2836&lt;0,ABS(L2836-(Q2836-IF(ISNUMBER(N2836),N2836,0)+IF(ISNUMBER(P2836),P2836,0)))&lt;=Summary!$B$2),"Negative realized loss not applied - check sign",IF(R2836&lt;0,"Principal paid exceeds prior balance",IF(AND(L2836&gt;Q2836,NOT(ISNUMBER(P2836))),"Balance increased but no Deferred_interest reported",IF(L2836&gt;R2836,"Reported balance higher than expected (missing increase/OC build)","Reported balance lower than expected (missing decrease)"))))),""))</f>
        <v/>
      </c>
    </row>
    <row r="2837" customFormat="false" ht="15" hidden="false" customHeight="false" outlineLevel="0" collapsed="false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9"/>
      <c r="L2837" s="9"/>
      <c r="M2837" s="9"/>
      <c r="N2837" s="9"/>
      <c r="O2837" s="9"/>
      <c r="P2837" s="9"/>
      <c r="Q2837" s="9"/>
      <c r="R2837" s="9" t="str">
        <f aca="false">IF(AND(A2837&lt;&gt;"",ISNUMBER(Q2837),ISNUMBER(L2837)),ROUND(Q2837-IF(ISNUMBER(N2837),N2837,0)-IF(ISNUMBER(O2837),O2837,0)+IF(ISNUMBER(P2837),P2837,0),2),"")</f>
        <v/>
      </c>
      <c r="S2837" s="9" t="str">
        <f aca="false">IF(R2837="","",ROUND(L2837-R2837,2))</f>
        <v/>
      </c>
      <c r="T2837" s="8" t="str">
        <f aca="false">IF(A2837="","",IF(S2837="","BYPASS",IF(ABS(S2837)&lt;=Summary!$B$2,"PASS","FAIL")))</f>
        <v/>
      </c>
      <c r="U2837" s="8" t="str">
        <f aca="false">IF(T2837="BYPASS",IF(NOT(ISNUMBER(Q2837)),"PreV_ETB missing","End_tr_balance missing"),IF(T2837="FAIL",IF(AND(ISNUMBER(K2837),ISNUMBER(L2837),ABS(L2837-(K2837-IF(ISNUMBER(N2837),N2837,0)-IF(ISNUMBER(O2837),O2837,0)+IF(ISNUMBER(P2837),P2837,0)))&lt;=Summary!$B$2),"Passes using beginning_balance - PreV_ETB differs from beginning_balance",IF(AND(ISNUMBER(O2837),O2837&lt;0,ABS(L2837-(Q2837-IF(ISNUMBER(N2837),N2837,0)+IF(ISNUMBER(P2837),P2837,0)))&lt;=Summary!$B$2),"Negative realized loss not applied - check sign",IF(R2837&lt;0,"Principal paid exceeds prior balance",IF(AND(L2837&gt;Q2837,NOT(ISNUMBER(P2837))),"Balance increased but no Deferred_interest reported",IF(L2837&gt;R2837,"Reported balance higher than expected (missing increase/OC build)","Reported balance lower than expected (missing decrease)"))))),""))</f>
        <v/>
      </c>
    </row>
    <row r="2838" customFormat="false" ht="15" hidden="false" customHeight="false" outlineLevel="0" collapsed="false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9"/>
      <c r="L2838" s="9"/>
      <c r="M2838" s="9"/>
      <c r="N2838" s="9"/>
      <c r="O2838" s="9"/>
      <c r="P2838" s="9"/>
      <c r="Q2838" s="9"/>
      <c r="R2838" s="9" t="str">
        <f aca="false">IF(AND(A2838&lt;&gt;"",ISNUMBER(Q2838),ISNUMBER(L2838)),ROUND(Q2838-IF(ISNUMBER(N2838),N2838,0)-IF(ISNUMBER(O2838),O2838,0)+IF(ISNUMBER(P2838),P2838,0),2),"")</f>
        <v/>
      </c>
      <c r="S2838" s="9" t="str">
        <f aca="false">IF(R2838="","",ROUND(L2838-R2838,2))</f>
        <v/>
      </c>
      <c r="T2838" s="8" t="str">
        <f aca="false">IF(A2838="","",IF(S2838="","BYPASS",IF(ABS(S2838)&lt;=Summary!$B$2,"PASS","FAIL")))</f>
        <v/>
      </c>
      <c r="U2838" s="8" t="str">
        <f aca="false">IF(T2838="BYPASS",IF(NOT(ISNUMBER(Q2838)),"PreV_ETB missing","End_tr_balance missing"),IF(T2838="FAIL",IF(AND(ISNUMBER(K2838),ISNUMBER(L2838),ABS(L2838-(K2838-IF(ISNUMBER(N2838),N2838,0)-IF(ISNUMBER(O2838),O2838,0)+IF(ISNUMBER(P2838),P2838,0)))&lt;=Summary!$B$2),"Passes using beginning_balance - PreV_ETB differs from beginning_balance",IF(AND(ISNUMBER(O2838),O2838&lt;0,ABS(L2838-(Q2838-IF(ISNUMBER(N2838),N2838,0)+IF(ISNUMBER(P2838),P2838,0)))&lt;=Summary!$B$2),"Negative realized loss not applied - check sign",IF(R2838&lt;0,"Principal paid exceeds prior balance",IF(AND(L2838&gt;Q2838,NOT(ISNUMBER(P2838))),"Balance increased but no Deferred_interest reported",IF(L2838&gt;R2838,"Reported balance higher than expected (missing increase/OC build)","Reported balance lower than expected (missing decrease)"))))),""))</f>
        <v/>
      </c>
    </row>
    <row r="2839" customFormat="false" ht="15" hidden="false" customHeight="false" outlineLevel="0" collapsed="false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9"/>
      <c r="L2839" s="9"/>
      <c r="M2839" s="9"/>
      <c r="N2839" s="9"/>
      <c r="O2839" s="9"/>
      <c r="P2839" s="9"/>
      <c r="Q2839" s="9"/>
      <c r="R2839" s="9" t="str">
        <f aca="false">IF(AND(A2839&lt;&gt;"",ISNUMBER(Q2839),ISNUMBER(L2839)),ROUND(Q2839-IF(ISNUMBER(N2839),N2839,0)-IF(ISNUMBER(O2839),O2839,0)+IF(ISNUMBER(P2839),P2839,0),2),"")</f>
        <v/>
      </c>
      <c r="S2839" s="9" t="str">
        <f aca="false">IF(R2839="","",ROUND(L2839-R2839,2))</f>
        <v/>
      </c>
      <c r="T2839" s="8" t="str">
        <f aca="false">IF(A2839="","",IF(S2839="","BYPASS",IF(ABS(S2839)&lt;=Summary!$B$2,"PASS","FAIL")))</f>
        <v/>
      </c>
      <c r="U2839" s="8" t="str">
        <f aca="false">IF(T2839="BYPASS",IF(NOT(ISNUMBER(Q2839)),"PreV_ETB missing","End_tr_balance missing"),IF(T2839="FAIL",IF(AND(ISNUMBER(K2839),ISNUMBER(L2839),ABS(L2839-(K2839-IF(ISNUMBER(N2839),N2839,0)-IF(ISNUMBER(O2839),O2839,0)+IF(ISNUMBER(P2839),P2839,0)))&lt;=Summary!$B$2),"Passes using beginning_balance - PreV_ETB differs from beginning_balance",IF(AND(ISNUMBER(O2839),O2839&lt;0,ABS(L2839-(Q2839-IF(ISNUMBER(N2839),N2839,0)+IF(ISNUMBER(P2839),P2839,0)))&lt;=Summary!$B$2),"Negative realized loss not applied - check sign",IF(R2839&lt;0,"Principal paid exceeds prior balance",IF(AND(L2839&gt;Q2839,NOT(ISNUMBER(P2839))),"Balance increased but no Deferred_interest reported",IF(L2839&gt;R2839,"Reported balance higher than expected (missing increase/OC build)","Reported balance lower than expected (missing decrease)"))))),""))</f>
        <v/>
      </c>
    </row>
    <row r="2840" customFormat="false" ht="15" hidden="false" customHeight="false" outlineLevel="0" collapsed="false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9"/>
      <c r="L2840" s="9"/>
      <c r="M2840" s="9"/>
      <c r="N2840" s="9"/>
      <c r="O2840" s="9"/>
      <c r="P2840" s="9"/>
      <c r="Q2840" s="9"/>
      <c r="R2840" s="9" t="str">
        <f aca="false">IF(AND(A2840&lt;&gt;"",ISNUMBER(Q2840),ISNUMBER(L2840)),ROUND(Q2840-IF(ISNUMBER(N2840),N2840,0)-IF(ISNUMBER(O2840),O2840,0)+IF(ISNUMBER(P2840),P2840,0),2),"")</f>
        <v/>
      </c>
      <c r="S2840" s="9" t="str">
        <f aca="false">IF(R2840="","",ROUND(L2840-R2840,2))</f>
        <v/>
      </c>
      <c r="T2840" s="8" t="str">
        <f aca="false">IF(A2840="","",IF(S2840="","BYPASS",IF(ABS(S2840)&lt;=Summary!$B$2,"PASS","FAIL")))</f>
        <v/>
      </c>
      <c r="U2840" s="8" t="str">
        <f aca="false">IF(T2840="BYPASS",IF(NOT(ISNUMBER(Q2840)),"PreV_ETB missing","End_tr_balance missing"),IF(T2840="FAIL",IF(AND(ISNUMBER(K2840),ISNUMBER(L2840),ABS(L2840-(K2840-IF(ISNUMBER(N2840),N2840,0)-IF(ISNUMBER(O2840),O2840,0)+IF(ISNUMBER(P2840),P2840,0)))&lt;=Summary!$B$2),"Passes using beginning_balance - PreV_ETB differs from beginning_balance",IF(AND(ISNUMBER(O2840),O2840&lt;0,ABS(L2840-(Q2840-IF(ISNUMBER(N2840),N2840,0)+IF(ISNUMBER(P2840),P2840,0)))&lt;=Summary!$B$2),"Negative realized loss not applied - check sign",IF(R2840&lt;0,"Principal paid exceeds prior balance",IF(AND(L2840&gt;Q2840,NOT(ISNUMBER(P2840))),"Balance increased but no Deferred_interest reported",IF(L2840&gt;R2840,"Reported balance higher than expected (missing increase/OC build)","Reported balance lower than expected (missing decrease)"))))),""))</f>
        <v/>
      </c>
    </row>
    <row r="2841" customFormat="false" ht="15" hidden="false" customHeight="false" outlineLevel="0" collapsed="false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9"/>
      <c r="L2841" s="9"/>
      <c r="M2841" s="9"/>
      <c r="N2841" s="9"/>
      <c r="O2841" s="9"/>
      <c r="P2841" s="9"/>
      <c r="Q2841" s="9"/>
      <c r="R2841" s="9" t="str">
        <f aca="false">IF(AND(A2841&lt;&gt;"",ISNUMBER(Q2841),ISNUMBER(L2841)),ROUND(Q2841-IF(ISNUMBER(N2841),N2841,0)-IF(ISNUMBER(O2841),O2841,0)+IF(ISNUMBER(P2841),P2841,0),2),"")</f>
        <v/>
      </c>
      <c r="S2841" s="9" t="str">
        <f aca="false">IF(R2841="","",ROUND(L2841-R2841,2))</f>
        <v/>
      </c>
      <c r="T2841" s="8" t="str">
        <f aca="false">IF(A2841="","",IF(S2841="","BYPASS",IF(ABS(S2841)&lt;=Summary!$B$2,"PASS","FAIL")))</f>
        <v/>
      </c>
      <c r="U2841" s="8" t="str">
        <f aca="false">IF(T2841="BYPASS",IF(NOT(ISNUMBER(Q2841)),"PreV_ETB missing","End_tr_balance missing"),IF(T2841="FAIL",IF(AND(ISNUMBER(K2841),ISNUMBER(L2841),ABS(L2841-(K2841-IF(ISNUMBER(N2841),N2841,0)-IF(ISNUMBER(O2841),O2841,0)+IF(ISNUMBER(P2841),P2841,0)))&lt;=Summary!$B$2),"Passes using beginning_balance - PreV_ETB differs from beginning_balance",IF(AND(ISNUMBER(O2841),O2841&lt;0,ABS(L2841-(Q2841-IF(ISNUMBER(N2841),N2841,0)+IF(ISNUMBER(P2841),P2841,0)))&lt;=Summary!$B$2),"Negative realized loss not applied - check sign",IF(R2841&lt;0,"Principal paid exceeds prior balance",IF(AND(L2841&gt;Q2841,NOT(ISNUMBER(P2841))),"Balance increased but no Deferred_interest reported",IF(L2841&gt;R2841,"Reported balance higher than expected (missing increase/OC build)","Reported balance lower than expected (missing decrease)"))))),""))</f>
        <v/>
      </c>
    </row>
    <row r="2842" customFormat="false" ht="15" hidden="false" customHeight="false" outlineLevel="0" collapsed="false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9"/>
      <c r="L2842" s="9"/>
      <c r="M2842" s="9"/>
      <c r="N2842" s="9"/>
      <c r="O2842" s="9"/>
      <c r="P2842" s="9"/>
      <c r="Q2842" s="9"/>
      <c r="R2842" s="9" t="str">
        <f aca="false">IF(AND(A2842&lt;&gt;"",ISNUMBER(Q2842),ISNUMBER(L2842)),ROUND(Q2842-IF(ISNUMBER(N2842),N2842,0)-IF(ISNUMBER(O2842),O2842,0)+IF(ISNUMBER(P2842),P2842,0),2),"")</f>
        <v/>
      </c>
      <c r="S2842" s="9" t="str">
        <f aca="false">IF(R2842="","",ROUND(L2842-R2842,2))</f>
        <v/>
      </c>
      <c r="T2842" s="8" t="str">
        <f aca="false">IF(A2842="","",IF(S2842="","BYPASS",IF(ABS(S2842)&lt;=Summary!$B$2,"PASS","FAIL")))</f>
        <v/>
      </c>
      <c r="U2842" s="8" t="str">
        <f aca="false">IF(T2842="BYPASS",IF(NOT(ISNUMBER(Q2842)),"PreV_ETB missing","End_tr_balance missing"),IF(T2842="FAIL",IF(AND(ISNUMBER(K2842),ISNUMBER(L2842),ABS(L2842-(K2842-IF(ISNUMBER(N2842),N2842,0)-IF(ISNUMBER(O2842),O2842,0)+IF(ISNUMBER(P2842),P2842,0)))&lt;=Summary!$B$2),"Passes using beginning_balance - PreV_ETB differs from beginning_balance",IF(AND(ISNUMBER(O2842),O2842&lt;0,ABS(L2842-(Q2842-IF(ISNUMBER(N2842),N2842,0)+IF(ISNUMBER(P2842),P2842,0)))&lt;=Summary!$B$2),"Negative realized loss not applied - check sign",IF(R2842&lt;0,"Principal paid exceeds prior balance",IF(AND(L2842&gt;Q2842,NOT(ISNUMBER(P2842))),"Balance increased but no Deferred_interest reported",IF(L2842&gt;R2842,"Reported balance higher than expected (missing increase/OC build)","Reported balance lower than expected (missing decrease)"))))),""))</f>
        <v/>
      </c>
    </row>
    <row r="2843" customFormat="false" ht="15" hidden="false" customHeight="false" outlineLevel="0" collapsed="false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9"/>
      <c r="L2843" s="9"/>
      <c r="M2843" s="9"/>
      <c r="N2843" s="9"/>
      <c r="O2843" s="9"/>
      <c r="P2843" s="9"/>
      <c r="Q2843" s="9"/>
      <c r="R2843" s="9" t="str">
        <f aca="false">IF(AND(A2843&lt;&gt;"",ISNUMBER(Q2843),ISNUMBER(L2843)),ROUND(Q2843-IF(ISNUMBER(N2843),N2843,0)-IF(ISNUMBER(O2843),O2843,0)+IF(ISNUMBER(P2843),P2843,0),2),"")</f>
        <v/>
      </c>
      <c r="S2843" s="9" t="str">
        <f aca="false">IF(R2843="","",ROUND(L2843-R2843,2))</f>
        <v/>
      </c>
      <c r="T2843" s="8" t="str">
        <f aca="false">IF(A2843="","",IF(S2843="","BYPASS",IF(ABS(S2843)&lt;=Summary!$B$2,"PASS","FAIL")))</f>
        <v/>
      </c>
      <c r="U2843" s="8" t="str">
        <f aca="false">IF(T2843="BYPASS",IF(NOT(ISNUMBER(Q2843)),"PreV_ETB missing","End_tr_balance missing"),IF(T2843="FAIL",IF(AND(ISNUMBER(K2843),ISNUMBER(L2843),ABS(L2843-(K2843-IF(ISNUMBER(N2843),N2843,0)-IF(ISNUMBER(O2843),O2843,0)+IF(ISNUMBER(P2843),P2843,0)))&lt;=Summary!$B$2),"Passes using beginning_balance - PreV_ETB differs from beginning_balance",IF(AND(ISNUMBER(O2843),O2843&lt;0,ABS(L2843-(Q2843-IF(ISNUMBER(N2843),N2843,0)+IF(ISNUMBER(P2843),P2843,0)))&lt;=Summary!$B$2),"Negative realized loss not applied - check sign",IF(R2843&lt;0,"Principal paid exceeds prior balance",IF(AND(L2843&gt;Q2843,NOT(ISNUMBER(P2843))),"Balance increased but no Deferred_interest reported",IF(L2843&gt;R2843,"Reported balance higher than expected (missing increase/OC build)","Reported balance lower than expected (missing decrease)"))))),""))</f>
        <v/>
      </c>
    </row>
    <row r="2844" customFormat="false" ht="15" hidden="false" customHeight="false" outlineLevel="0" collapsed="false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9"/>
      <c r="L2844" s="9"/>
      <c r="M2844" s="9"/>
      <c r="N2844" s="9"/>
      <c r="O2844" s="9"/>
      <c r="P2844" s="9"/>
      <c r="Q2844" s="9"/>
      <c r="R2844" s="9" t="str">
        <f aca="false">IF(AND(A2844&lt;&gt;"",ISNUMBER(Q2844),ISNUMBER(L2844)),ROUND(Q2844-IF(ISNUMBER(N2844),N2844,0)-IF(ISNUMBER(O2844),O2844,0)+IF(ISNUMBER(P2844),P2844,0),2),"")</f>
        <v/>
      </c>
      <c r="S2844" s="9" t="str">
        <f aca="false">IF(R2844="","",ROUND(L2844-R2844,2))</f>
        <v/>
      </c>
      <c r="T2844" s="8" t="str">
        <f aca="false">IF(A2844="","",IF(S2844="","BYPASS",IF(ABS(S2844)&lt;=Summary!$B$2,"PASS","FAIL")))</f>
        <v/>
      </c>
      <c r="U2844" s="8" t="str">
        <f aca="false">IF(T2844="BYPASS",IF(NOT(ISNUMBER(Q2844)),"PreV_ETB missing","End_tr_balance missing"),IF(T2844="FAIL",IF(AND(ISNUMBER(K2844),ISNUMBER(L2844),ABS(L2844-(K2844-IF(ISNUMBER(N2844),N2844,0)-IF(ISNUMBER(O2844),O2844,0)+IF(ISNUMBER(P2844),P2844,0)))&lt;=Summary!$B$2),"Passes using beginning_balance - PreV_ETB differs from beginning_balance",IF(AND(ISNUMBER(O2844),O2844&lt;0,ABS(L2844-(Q2844-IF(ISNUMBER(N2844),N2844,0)+IF(ISNUMBER(P2844),P2844,0)))&lt;=Summary!$B$2),"Negative realized loss not applied - check sign",IF(R2844&lt;0,"Principal paid exceeds prior balance",IF(AND(L2844&gt;Q2844,NOT(ISNUMBER(P2844))),"Balance increased but no Deferred_interest reported",IF(L2844&gt;R2844,"Reported balance higher than expected (missing increase/OC build)","Reported balance lower than expected (missing decrease)"))))),""))</f>
        <v/>
      </c>
    </row>
    <row r="2845" customFormat="false" ht="15" hidden="false" customHeight="false" outlineLevel="0" collapsed="false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9"/>
      <c r="L2845" s="9"/>
      <c r="M2845" s="9"/>
      <c r="N2845" s="9"/>
      <c r="O2845" s="9"/>
      <c r="P2845" s="9"/>
      <c r="Q2845" s="9"/>
      <c r="R2845" s="9" t="str">
        <f aca="false">IF(AND(A2845&lt;&gt;"",ISNUMBER(Q2845),ISNUMBER(L2845)),ROUND(Q2845-IF(ISNUMBER(N2845),N2845,0)-IF(ISNUMBER(O2845),O2845,0)+IF(ISNUMBER(P2845),P2845,0),2),"")</f>
        <v/>
      </c>
      <c r="S2845" s="9" t="str">
        <f aca="false">IF(R2845="","",ROUND(L2845-R2845,2))</f>
        <v/>
      </c>
      <c r="T2845" s="8" t="str">
        <f aca="false">IF(A2845="","",IF(S2845="","BYPASS",IF(ABS(S2845)&lt;=Summary!$B$2,"PASS","FAIL")))</f>
        <v/>
      </c>
      <c r="U2845" s="8" t="str">
        <f aca="false">IF(T2845="BYPASS",IF(NOT(ISNUMBER(Q2845)),"PreV_ETB missing","End_tr_balance missing"),IF(T2845="FAIL",IF(AND(ISNUMBER(K2845),ISNUMBER(L2845),ABS(L2845-(K2845-IF(ISNUMBER(N2845),N2845,0)-IF(ISNUMBER(O2845),O2845,0)+IF(ISNUMBER(P2845),P2845,0)))&lt;=Summary!$B$2),"Passes using beginning_balance - PreV_ETB differs from beginning_balance",IF(AND(ISNUMBER(O2845),O2845&lt;0,ABS(L2845-(Q2845-IF(ISNUMBER(N2845),N2845,0)+IF(ISNUMBER(P2845),P2845,0)))&lt;=Summary!$B$2),"Negative realized loss not applied - check sign",IF(R2845&lt;0,"Principal paid exceeds prior balance",IF(AND(L2845&gt;Q2845,NOT(ISNUMBER(P2845))),"Balance increased but no Deferred_interest reported",IF(L2845&gt;R2845,"Reported balance higher than expected (missing increase/OC build)","Reported balance lower than expected (missing decrease)"))))),""))</f>
        <v/>
      </c>
    </row>
    <row r="2846" customFormat="false" ht="15" hidden="false" customHeight="false" outlineLevel="0" collapsed="false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9"/>
      <c r="L2846" s="9"/>
      <c r="M2846" s="9"/>
      <c r="N2846" s="9"/>
      <c r="O2846" s="9"/>
      <c r="P2846" s="9"/>
      <c r="Q2846" s="9"/>
      <c r="R2846" s="9" t="str">
        <f aca="false">IF(AND(A2846&lt;&gt;"",ISNUMBER(Q2846),ISNUMBER(L2846)),ROUND(Q2846-IF(ISNUMBER(N2846),N2846,0)-IF(ISNUMBER(O2846),O2846,0)+IF(ISNUMBER(P2846),P2846,0),2),"")</f>
        <v/>
      </c>
      <c r="S2846" s="9" t="str">
        <f aca="false">IF(R2846="","",ROUND(L2846-R2846,2))</f>
        <v/>
      </c>
      <c r="T2846" s="8" t="str">
        <f aca="false">IF(A2846="","",IF(S2846="","BYPASS",IF(ABS(S2846)&lt;=Summary!$B$2,"PASS","FAIL")))</f>
        <v/>
      </c>
      <c r="U2846" s="8" t="str">
        <f aca="false">IF(T2846="BYPASS",IF(NOT(ISNUMBER(Q2846)),"PreV_ETB missing","End_tr_balance missing"),IF(T2846="FAIL",IF(AND(ISNUMBER(K2846),ISNUMBER(L2846),ABS(L2846-(K2846-IF(ISNUMBER(N2846),N2846,0)-IF(ISNUMBER(O2846),O2846,0)+IF(ISNUMBER(P2846),P2846,0)))&lt;=Summary!$B$2),"Passes using beginning_balance - PreV_ETB differs from beginning_balance",IF(AND(ISNUMBER(O2846),O2846&lt;0,ABS(L2846-(Q2846-IF(ISNUMBER(N2846),N2846,0)+IF(ISNUMBER(P2846),P2846,0)))&lt;=Summary!$B$2),"Negative realized loss not applied - check sign",IF(R2846&lt;0,"Principal paid exceeds prior balance",IF(AND(L2846&gt;Q2846,NOT(ISNUMBER(P2846))),"Balance increased but no Deferred_interest reported",IF(L2846&gt;R2846,"Reported balance higher than expected (missing increase/OC build)","Reported balance lower than expected (missing decrease)"))))),""))</f>
        <v/>
      </c>
    </row>
    <row r="2847" customFormat="false" ht="15" hidden="false" customHeight="false" outlineLevel="0" collapsed="false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9"/>
      <c r="L2847" s="9"/>
      <c r="M2847" s="9"/>
      <c r="N2847" s="9"/>
      <c r="O2847" s="9"/>
      <c r="P2847" s="9"/>
      <c r="Q2847" s="9"/>
      <c r="R2847" s="9" t="str">
        <f aca="false">IF(AND(A2847&lt;&gt;"",ISNUMBER(Q2847),ISNUMBER(L2847)),ROUND(Q2847-IF(ISNUMBER(N2847),N2847,0)-IF(ISNUMBER(O2847),O2847,0)+IF(ISNUMBER(P2847),P2847,0),2),"")</f>
        <v/>
      </c>
      <c r="S2847" s="9" t="str">
        <f aca="false">IF(R2847="","",ROUND(L2847-R2847,2))</f>
        <v/>
      </c>
      <c r="T2847" s="8" t="str">
        <f aca="false">IF(A2847="","",IF(S2847="","BYPASS",IF(ABS(S2847)&lt;=Summary!$B$2,"PASS","FAIL")))</f>
        <v/>
      </c>
      <c r="U2847" s="8" t="str">
        <f aca="false">IF(T2847="BYPASS",IF(NOT(ISNUMBER(Q2847)),"PreV_ETB missing","End_tr_balance missing"),IF(T2847="FAIL",IF(AND(ISNUMBER(K2847),ISNUMBER(L2847),ABS(L2847-(K2847-IF(ISNUMBER(N2847),N2847,0)-IF(ISNUMBER(O2847),O2847,0)+IF(ISNUMBER(P2847),P2847,0)))&lt;=Summary!$B$2),"Passes using beginning_balance - PreV_ETB differs from beginning_balance",IF(AND(ISNUMBER(O2847),O2847&lt;0,ABS(L2847-(Q2847-IF(ISNUMBER(N2847),N2847,0)+IF(ISNUMBER(P2847),P2847,0)))&lt;=Summary!$B$2),"Negative realized loss not applied - check sign",IF(R2847&lt;0,"Principal paid exceeds prior balance",IF(AND(L2847&gt;Q2847,NOT(ISNUMBER(P2847))),"Balance increased but no Deferred_interest reported",IF(L2847&gt;R2847,"Reported balance higher than expected (missing increase/OC build)","Reported balance lower than expected (missing decrease)"))))),""))</f>
        <v/>
      </c>
    </row>
    <row r="2848" customFormat="false" ht="15" hidden="false" customHeight="false" outlineLevel="0" collapsed="false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9"/>
      <c r="L2848" s="9"/>
      <c r="M2848" s="9"/>
      <c r="N2848" s="9"/>
      <c r="O2848" s="9"/>
      <c r="P2848" s="9"/>
      <c r="Q2848" s="9"/>
      <c r="R2848" s="9" t="str">
        <f aca="false">IF(AND(A2848&lt;&gt;"",ISNUMBER(Q2848),ISNUMBER(L2848)),ROUND(Q2848-IF(ISNUMBER(N2848),N2848,0)-IF(ISNUMBER(O2848),O2848,0)+IF(ISNUMBER(P2848),P2848,0),2),"")</f>
        <v/>
      </c>
      <c r="S2848" s="9" t="str">
        <f aca="false">IF(R2848="","",ROUND(L2848-R2848,2))</f>
        <v/>
      </c>
      <c r="T2848" s="8" t="str">
        <f aca="false">IF(A2848="","",IF(S2848="","BYPASS",IF(ABS(S2848)&lt;=Summary!$B$2,"PASS","FAIL")))</f>
        <v/>
      </c>
      <c r="U2848" s="8" t="str">
        <f aca="false">IF(T2848="BYPASS",IF(NOT(ISNUMBER(Q2848)),"PreV_ETB missing","End_tr_balance missing"),IF(T2848="FAIL",IF(AND(ISNUMBER(K2848),ISNUMBER(L2848),ABS(L2848-(K2848-IF(ISNUMBER(N2848),N2848,0)-IF(ISNUMBER(O2848),O2848,0)+IF(ISNUMBER(P2848),P2848,0)))&lt;=Summary!$B$2),"Passes using beginning_balance - PreV_ETB differs from beginning_balance",IF(AND(ISNUMBER(O2848),O2848&lt;0,ABS(L2848-(Q2848-IF(ISNUMBER(N2848),N2848,0)+IF(ISNUMBER(P2848),P2848,0)))&lt;=Summary!$B$2),"Negative realized loss not applied - check sign",IF(R2848&lt;0,"Principal paid exceeds prior balance",IF(AND(L2848&gt;Q2848,NOT(ISNUMBER(P2848))),"Balance increased but no Deferred_interest reported",IF(L2848&gt;R2848,"Reported balance higher than expected (missing increase/OC build)","Reported balance lower than expected (missing decrease)"))))),""))</f>
        <v/>
      </c>
    </row>
    <row r="2849" customFormat="false" ht="15" hidden="false" customHeight="false" outlineLevel="0" collapsed="false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9"/>
      <c r="L2849" s="9"/>
      <c r="M2849" s="9"/>
      <c r="N2849" s="9"/>
      <c r="O2849" s="9"/>
      <c r="P2849" s="9"/>
      <c r="Q2849" s="9"/>
      <c r="R2849" s="9" t="str">
        <f aca="false">IF(AND(A2849&lt;&gt;"",ISNUMBER(Q2849),ISNUMBER(L2849)),ROUND(Q2849-IF(ISNUMBER(N2849),N2849,0)-IF(ISNUMBER(O2849),O2849,0)+IF(ISNUMBER(P2849),P2849,0),2),"")</f>
        <v/>
      </c>
      <c r="S2849" s="9" t="str">
        <f aca="false">IF(R2849="","",ROUND(L2849-R2849,2))</f>
        <v/>
      </c>
      <c r="T2849" s="8" t="str">
        <f aca="false">IF(A2849="","",IF(S2849="","BYPASS",IF(ABS(S2849)&lt;=Summary!$B$2,"PASS","FAIL")))</f>
        <v/>
      </c>
      <c r="U2849" s="8" t="str">
        <f aca="false">IF(T2849="BYPASS",IF(NOT(ISNUMBER(Q2849)),"PreV_ETB missing","End_tr_balance missing"),IF(T2849="FAIL",IF(AND(ISNUMBER(K2849),ISNUMBER(L2849),ABS(L2849-(K2849-IF(ISNUMBER(N2849),N2849,0)-IF(ISNUMBER(O2849),O2849,0)+IF(ISNUMBER(P2849),P2849,0)))&lt;=Summary!$B$2),"Passes using beginning_balance - PreV_ETB differs from beginning_balance",IF(AND(ISNUMBER(O2849),O2849&lt;0,ABS(L2849-(Q2849-IF(ISNUMBER(N2849),N2849,0)+IF(ISNUMBER(P2849),P2849,0)))&lt;=Summary!$B$2),"Negative realized loss not applied - check sign",IF(R2849&lt;0,"Principal paid exceeds prior balance",IF(AND(L2849&gt;Q2849,NOT(ISNUMBER(P2849))),"Balance increased but no Deferred_interest reported",IF(L2849&gt;R2849,"Reported balance higher than expected (missing increase/OC build)","Reported balance lower than expected (missing decrease)"))))),""))</f>
        <v/>
      </c>
    </row>
    <row r="2850" customFormat="false" ht="15" hidden="false" customHeight="false" outlineLevel="0" collapsed="false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9"/>
      <c r="L2850" s="9"/>
      <c r="M2850" s="9"/>
      <c r="N2850" s="9"/>
      <c r="O2850" s="9"/>
      <c r="P2850" s="9"/>
      <c r="Q2850" s="9"/>
      <c r="R2850" s="9" t="str">
        <f aca="false">IF(AND(A2850&lt;&gt;"",ISNUMBER(Q2850),ISNUMBER(L2850)),ROUND(Q2850-IF(ISNUMBER(N2850),N2850,0)-IF(ISNUMBER(O2850),O2850,0)+IF(ISNUMBER(P2850),P2850,0),2),"")</f>
        <v/>
      </c>
      <c r="S2850" s="9" t="str">
        <f aca="false">IF(R2850="","",ROUND(L2850-R2850,2))</f>
        <v/>
      </c>
      <c r="T2850" s="8" t="str">
        <f aca="false">IF(A2850="","",IF(S2850="","BYPASS",IF(ABS(S2850)&lt;=Summary!$B$2,"PASS","FAIL")))</f>
        <v/>
      </c>
      <c r="U2850" s="8" t="str">
        <f aca="false">IF(T2850="BYPASS",IF(NOT(ISNUMBER(Q2850)),"PreV_ETB missing","End_tr_balance missing"),IF(T2850="FAIL",IF(AND(ISNUMBER(K2850),ISNUMBER(L2850),ABS(L2850-(K2850-IF(ISNUMBER(N2850),N2850,0)-IF(ISNUMBER(O2850),O2850,0)+IF(ISNUMBER(P2850),P2850,0)))&lt;=Summary!$B$2),"Passes using beginning_balance - PreV_ETB differs from beginning_balance",IF(AND(ISNUMBER(O2850),O2850&lt;0,ABS(L2850-(Q2850-IF(ISNUMBER(N2850),N2850,0)+IF(ISNUMBER(P2850),P2850,0)))&lt;=Summary!$B$2),"Negative realized loss not applied - check sign",IF(R2850&lt;0,"Principal paid exceeds prior balance",IF(AND(L2850&gt;Q2850,NOT(ISNUMBER(P2850))),"Balance increased but no Deferred_interest reported",IF(L2850&gt;R2850,"Reported balance higher than expected (missing increase/OC build)","Reported balance lower than expected (missing decrease)"))))),""))</f>
        <v/>
      </c>
    </row>
    <row r="2851" customFormat="false" ht="15" hidden="false" customHeight="false" outlineLevel="0" collapsed="false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9"/>
      <c r="L2851" s="9"/>
      <c r="M2851" s="9"/>
      <c r="N2851" s="9"/>
      <c r="O2851" s="9"/>
      <c r="P2851" s="9"/>
      <c r="Q2851" s="9"/>
      <c r="R2851" s="9" t="str">
        <f aca="false">IF(AND(A2851&lt;&gt;"",ISNUMBER(Q2851),ISNUMBER(L2851)),ROUND(Q2851-IF(ISNUMBER(N2851),N2851,0)-IF(ISNUMBER(O2851),O2851,0)+IF(ISNUMBER(P2851),P2851,0),2),"")</f>
        <v/>
      </c>
      <c r="S2851" s="9" t="str">
        <f aca="false">IF(R2851="","",ROUND(L2851-R2851,2))</f>
        <v/>
      </c>
      <c r="T2851" s="8" t="str">
        <f aca="false">IF(A2851="","",IF(S2851="","BYPASS",IF(ABS(S2851)&lt;=Summary!$B$2,"PASS","FAIL")))</f>
        <v/>
      </c>
      <c r="U2851" s="8" t="str">
        <f aca="false">IF(T2851="BYPASS",IF(NOT(ISNUMBER(Q2851)),"PreV_ETB missing","End_tr_balance missing"),IF(T2851="FAIL",IF(AND(ISNUMBER(K2851),ISNUMBER(L2851),ABS(L2851-(K2851-IF(ISNUMBER(N2851),N2851,0)-IF(ISNUMBER(O2851),O2851,0)+IF(ISNUMBER(P2851),P2851,0)))&lt;=Summary!$B$2),"Passes using beginning_balance - PreV_ETB differs from beginning_balance",IF(AND(ISNUMBER(O2851),O2851&lt;0,ABS(L2851-(Q2851-IF(ISNUMBER(N2851),N2851,0)+IF(ISNUMBER(P2851),P2851,0)))&lt;=Summary!$B$2),"Negative realized loss not applied - check sign",IF(R2851&lt;0,"Principal paid exceeds prior balance",IF(AND(L2851&gt;Q2851,NOT(ISNUMBER(P2851))),"Balance increased but no Deferred_interest reported",IF(L2851&gt;R2851,"Reported balance higher than expected (missing increase/OC build)","Reported balance lower than expected (missing decrease)"))))),""))</f>
        <v/>
      </c>
    </row>
    <row r="2852" customFormat="false" ht="15" hidden="false" customHeight="false" outlineLevel="0" collapsed="false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9"/>
      <c r="L2852" s="9"/>
      <c r="M2852" s="9"/>
      <c r="N2852" s="9"/>
      <c r="O2852" s="9"/>
      <c r="P2852" s="9"/>
      <c r="Q2852" s="9"/>
      <c r="R2852" s="9" t="str">
        <f aca="false">IF(AND(A2852&lt;&gt;"",ISNUMBER(Q2852),ISNUMBER(L2852)),ROUND(Q2852-IF(ISNUMBER(N2852),N2852,0)-IF(ISNUMBER(O2852),O2852,0)+IF(ISNUMBER(P2852),P2852,0),2),"")</f>
        <v/>
      </c>
      <c r="S2852" s="9" t="str">
        <f aca="false">IF(R2852="","",ROUND(L2852-R2852,2))</f>
        <v/>
      </c>
      <c r="T2852" s="8" t="str">
        <f aca="false">IF(A2852="","",IF(S2852="","BYPASS",IF(ABS(S2852)&lt;=Summary!$B$2,"PASS","FAIL")))</f>
        <v/>
      </c>
      <c r="U2852" s="8" t="str">
        <f aca="false">IF(T2852="BYPASS",IF(NOT(ISNUMBER(Q2852)),"PreV_ETB missing","End_tr_balance missing"),IF(T2852="FAIL",IF(AND(ISNUMBER(K2852),ISNUMBER(L2852),ABS(L2852-(K2852-IF(ISNUMBER(N2852),N2852,0)-IF(ISNUMBER(O2852),O2852,0)+IF(ISNUMBER(P2852),P2852,0)))&lt;=Summary!$B$2),"Passes using beginning_balance - PreV_ETB differs from beginning_balance",IF(AND(ISNUMBER(O2852),O2852&lt;0,ABS(L2852-(Q2852-IF(ISNUMBER(N2852),N2852,0)+IF(ISNUMBER(P2852),P2852,0)))&lt;=Summary!$B$2),"Negative realized loss not applied - check sign",IF(R2852&lt;0,"Principal paid exceeds prior balance",IF(AND(L2852&gt;Q2852,NOT(ISNUMBER(P2852))),"Balance increased but no Deferred_interest reported",IF(L2852&gt;R2852,"Reported balance higher than expected (missing increase/OC build)","Reported balance lower than expected (missing decrease)"))))),""))</f>
        <v/>
      </c>
    </row>
    <row r="2853" customFormat="false" ht="15" hidden="false" customHeight="false" outlineLevel="0" collapsed="false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9"/>
      <c r="L2853" s="9"/>
      <c r="M2853" s="9"/>
      <c r="N2853" s="9"/>
      <c r="O2853" s="9"/>
      <c r="P2853" s="9"/>
      <c r="Q2853" s="9"/>
      <c r="R2853" s="9" t="str">
        <f aca="false">IF(AND(A2853&lt;&gt;"",ISNUMBER(Q2853),ISNUMBER(L2853)),ROUND(Q2853-IF(ISNUMBER(N2853),N2853,0)-IF(ISNUMBER(O2853),O2853,0)+IF(ISNUMBER(P2853),P2853,0),2),"")</f>
        <v/>
      </c>
      <c r="S2853" s="9" t="str">
        <f aca="false">IF(R2853="","",ROUND(L2853-R2853,2))</f>
        <v/>
      </c>
      <c r="T2853" s="8" t="str">
        <f aca="false">IF(A2853="","",IF(S2853="","BYPASS",IF(ABS(S2853)&lt;=Summary!$B$2,"PASS","FAIL")))</f>
        <v/>
      </c>
      <c r="U2853" s="8" t="str">
        <f aca="false">IF(T2853="BYPASS",IF(NOT(ISNUMBER(Q2853)),"PreV_ETB missing","End_tr_balance missing"),IF(T2853="FAIL",IF(AND(ISNUMBER(K2853),ISNUMBER(L2853),ABS(L2853-(K2853-IF(ISNUMBER(N2853),N2853,0)-IF(ISNUMBER(O2853),O2853,0)+IF(ISNUMBER(P2853),P2853,0)))&lt;=Summary!$B$2),"Passes using beginning_balance - PreV_ETB differs from beginning_balance",IF(AND(ISNUMBER(O2853),O2853&lt;0,ABS(L2853-(Q2853-IF(ISNUMBER(N2853),N2853,0)+IF(ISNUMBER(P2853),P2853,0)))&lt;=Summary!$B$2),"Negative realized loss not applied - check sign",IF(R2853&lt;0,"Principal paid exceeds prior balance",IF(AND(L2853&gt;Q2853,NOT(ISNUMBER(P2853))),"Balance increased but no Deferred_interest reported",IF(L2853&gt;R2853,"Reported balance higher than expected (missing increase/OC build)","Reported balance lower than expected (missing decrease)"))))),""))</f>
        <v/>
      </c>
    </row>
    <row r="2854" customFormat="false" ht="15" hidden="false" customHeight="false" outlineLevel="0" collapsed="false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9"/>
      <c r="L2854" s="9"/>
      <c r="M2854" s="9"/>
      <c r="N2854" s="9"/>
      <c r="O2854" s="9"/>
      <c r="P2854" s="9"/>
      <c r="Q2854" s="9"/>
      <c r="R2854" s="9" t="str">
        <f aca="false">IF(AND(A2854&lt;&gt;"",ISNUMBER(Q2854),ISNUMBER(L2854)),ROUND(Q2854-IF(ISNUMBER(N2854),N2854,0)-IF(ISNUMBER(O2854),O2854,0)+IF(ISNUMBER(P2854),P2854,0),2),"")</f>
        <v/>
      </c>
      <c r="S2854" s="9" t="str">
        <f aca="false">IF(R2854="","",ROUND(L2854-R2854,2))</f>
        <v/>
      </c>
      <c r="T2854" s="8" t="str">
        <f aca="false">IF(A2854="","",IF(S2854="","BYPASS",IF(ABS(S2854)&lt;=Summary!$B$2,"PASS","FAIL")))</f>
        <v/>
      </c>
      <c r="U2854" s="8" t="str">
        <f aca="false">IF(T2854="BYPASS",IF(NOT(ISNUMBER(Q2854)),"PreV_ETB missing","End_tr_balance missing"),IF(T2854="FAIL",IF(AND(ISNUMBER(K2854),ISNUMBER(L2854),ABS(L2854-(K2854-IF(ISNUMBER(N2854),N2854,0)-IF(ISNUMBER(O2854),O2854,0)+IF(ISNUMBER(P2854),P2854,0)))&lt;=Summary!$B$2),"Passes using beginning_balance - PreV_ETB differs from beginning_balance",IF(AND(ISNUMBER(O2854),O2854&lt;0,ABS(L2854-(Q2854-IF(ISNUMBER(N2854),N2854,0)+IF(ISNUMBER(P2854),P2854,0)))&lt;=Summary!$B$2),"Negative realized loss not applied - check sign",IF(R2854&lt;0,"Principal paid exceeds prior balance",IF(AND(L2854&gt;Q2854,NOT(ISNUMBER(P2854))),"Balance increased but no Deferred_interest reported",IF(L2854&gt;R2854,"Reported balance higher than expected (missing increase/OC build)","Reported balance lower than expected (missing decrease)"))))),""))</f>
        <v/>
      </c>
    </row>
    <row r="2855" customFormat="false" ht="15" hidden="false" customHeight="false" outlineLevel="0" collapsed="false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9"/>
      <c r="L2855" s="9"/>
      <c r="M2855" s="9"/>
      <c r="N2855" s="9"/>
      <c r="O2855" s="9"/>
      <c r="P2855" s="9"/>
      <c r="Q2855" s="9"/>
      <c r="R2855" s="9" t="str">
        <f aca="false">IF(AND(A2855&lt;&gt;"",ISNUMBER(Q2855),ISNUMBER(L2855)),ROUND(Q2855-IF(ISNUMBER(N2855),N2855,0)-IF(ISNUMBER(O2855),O2855,0)+IF(ISNUMBER(P2855),P2855,0),2),"")</f>
        <v/>
      </c>
      <c r="S2855" s="9" t="str">
        <f aca="false">IF(R2855="","",ROUND(L2855-R2855,2))</f>
        <v/>
      </c>
      <c r="T2855" s="8" t="str">
        <f aca="false">IF(A2855="","",IF(S2855="","BYPASS",IF(ABS(S2855)&lt;=Summary!$B$2,"PASS","FAIL")))</f>
        <v/>
      </c>
      <c r="U2855" s="8" t="str">
        <f aca="false">IF(T2855="BYPASS",IF(NOT(ISNUMBER(Q2855)),"PreV_ETB missing","End_tr_balance missing"),IF(T2855="FAIL",IF(AND(ISNUMBER(K2855),ISNUMBER(L2855),ABS(L2855-(K2855-IF(ISNUMBER(N2855),N2855,0)-IF(ISNUMBER(O2855),O2855,0)+IF(ISNUMBER(P2855),P2855,0)))&lt;=Summary!$B$2),"Passes using beginning_balance - PreV_ETB differs from beginning_balance",IF(AND(ISNUMBER(O2855),O2855&lt;0,ABS(L2855-(Q2855-IF(ISNUMBER(N2855),N2855,0)+IF(ISNUMBER(P2855),P2855,0)))&lt;=Summary!$B$2),"Negative realized loss not applied - check sign",IF(R2855&lt;0,"Principal paid exceeds prior balance",IF(AND(L2855&gt;Q2855,NOT(ISNUMBER(P2855))),"Balance increased but no Deferred_interest reported",IF(L2855&gt;R2855,"Reported balance higher than expected (missing increase/OC build)","Reported balance lower than expected (missing decrease)"))))),""))</f>
        <v/>
      </c>
    </row>
    <row r="2856" customFormat="false" ht="15" hidden="false" customHeight="false" outlineLevel="0" collapsed="false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9"/>
      <c r="L2856" s="9"/>
      <c r="M2856" s="9"/>
      <c r="N2856" s="9"/>
      <c r="O2856" s="9"/>
      <c r="P2856" s="9"/>
      <c r="Q2856" s="9"/>
      <c r="R2856" s="9" t="str">
        <f aca="false">IF(AND(A2856&lt;&gt;"",ISNUMBER(Q2856),ISNUMBER(L2856)),ROUND(Q2856-IF(ISNUMBER(N2856),N2856,0)-IF(ISNUMBER(O2856),O2856,0)+IF(ISNUMBER(P2856),P2856,0),2),"")</f>
        <v/>
      </c>
      <c r="S2856" s="9" t="str">
        <f aca="false">IF(R2856="","",ROUND(L2856-R2856,2))</f>
        <v/>
      </c>
      <c r="T2856" s="8" t="str">
        <f aca="false">IF(A2856="","",IF(S2856="","BYPASS",IF(ABS(S2856)&lt;=Summary!$B$2,"PASS","FAIL")))</f>
        <v/>
      </c>
      <c r="U2856" s="8" t="str">
        <f aca="false">IF(T2856="BYPASS",IF(NOT(ISNUMBER(Q2856)),"PreV_ETB missing","End_tr_balance missing"),IF(T2856="FAIL",IF(AND(ISNUMBER(K2856),ISNUMBER(L2856),ABS(L2856-(K2856-IF(ISNUMBER(N2856),N2856,0)-IF(ISNUMBER(O2856),O2856,0)+IF(ISNUMBER(P2856),P2856,0)))&lt;=Summary!$B$2),"Passes using beginning_balance - PreV_ETB differs from beginning_balance",IF(AND(ISNUMBER(O2856),O2856&lt;0,ABS(L2856-(Q2856-IF(ISNUMBER(N2856),N2856,0)+IF(ISNUMBER(P2856),P2856,0)))&lt;=Summary!$B$2),"Negative realized loss not applied - check sign",IF(R2856&lt;0,"Principal paid exceeds prior balance",IF(AND(L2856&gt;Q2856,NOT(ISNUMBER(P2856))),"Balance increased but no Deferred_interest reported",IF(L2856&gt;R2856,"Reported balance higher than expected (missing increase/OC build)","Reported balance lower than expected (missing decrease)"))))),""))</f>
        <v/>
      </c>
    </row>
    <row r="2857" customFormat="false" ht="15" hidden="false" customHeight="false" outlineLevel="0" collapsed="false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9"/>
      <c r="L2857" s="9"/>
      <c r="M2857" s="9"/>
      <c r="N2857" s="9"/>
      <c r="O2857" s="9"/>
      <c r="P2857" s="9"/>
      <c r="Q2857" s="9"/>
      <c r="R2857" s="9" t="str">
        <f aca="false">IF(AND(A2857&lt;&gt;"",ISNUMBER(Q2857),ISNUMBER(L2857)),ROUND(Q2857-IF(ISNUMBER(N2857),N2857,0)-IF(ISNUMBER(O2857),O2857,0)+IF(ISNUMBER(P2857),P2857,0),2),"")</f>
        <v/>
      </c>
      <c r="S2857" s="9" t="str">
        <f aca="false">IF(R2857="","",ROUND(L2857-R2857,2))</f>
        <v/>
      </c>
      <c r="T2857" s="8" t="str">
        <f aca="false">IF(A2857="","",IF(S2857="","BYPASS",IF(ABS(S2857)&lt;=Summary!$B$2,"PASS","FAIL")))</f>
        <v/>
      </c>
      <c r="U2857" s="8" t="str">
        <f aca="false">IF(T2857="BYPASS",IF(NOT(ISNUMBER(Q2857)),"PreV_ETB missing","End_tr_balance missing"),IF(T2857="FAIL",IF(AND(ISNUMBER(K2857),ISNUMBER(L2857),ABS(L2857-(K2857-IF(ISNUMBER(N2857),N2857,0)-IF(ISNUMBER(O2857),O2857,0)+IF(ISNUMBER(P2857),P2857,0)))&lt;=Summary!$B$2),"Passes using beginning_balance - PreV_ETB differs from beginning_balance",IF(AND(ISNUMBER(O2857),O2857&lt;0,ABS(L2857-(Q2857-IF(ISNUMBER(N2857),N2857,0)+IF(ISNUMBER(P2857),P2857,0)))&lt;=Summary!$B$2),"Negative realized loss not applied - check sign",IF(R2857&lt;0,"Principal paid exceeds prior balance",IF(AND(L2857&gt;Q2857,NOT(ISNUMBER(P2857))),"Balance increased but no Deferred_interest reported",IF(L2857&gt;R2857,"Reported balance higher than expected (missing increase/OC build)","Reported balance lower than expected (missing decrease)"))))),""))</f>
        <v/>
      </c>
    </row>
    <row r="2858" customFormat="false" ht="15" hidden="false" customHeight="false" outlineLevel="0" collapsed="false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9"/>
      <c r="L2858" s="9"/>
      <c r="M2858" s="9"/>
      <c r="N2858" s="9"/>
      <c r="O2858" s="9"/>
      <c r="P2858" s="9"/>
      <c r="Q2858" s="9"/>
      <c r="R2858" s="9" t="str">
        <f aca="false">IF(AND(A2858&lt;&gt;"",ISNUMBER(Q2858),ISNUMBER(L2858)),ROUND(Q2858-IF(ISNUMBER(N2858),N2858,0)-IF(ISNUMBER(O2858),O2858,0)+IF(ISNUMBER(P2858),P2858,0),2),"")</f>
        <v/>
      </c>
      <c r="S2858" s="9" t="str">
        <f aca="false">IF(R2858="","",ROUND(L2858-R2858,2))</f>
        <v/>
      </c>
      <c r="T2858" s="8" t="str">
        <f aca="false">IF(A2858="","",IF(S2858="","BYPASS",IF(ABS(S2858)&lt;=Summary!$B$2,"PASS","FAIL")))</f>
        <v/>
      </c>
      <c r="U2858" s="8" t="str">
        <f aca="false">IF(T2858="BYPASS",IF(NOT(ISNUMBER(Q2858)),"PreV_ETB missing","End_tr_balance missing"),IF(T2858="FAIL",IF(AND(ISNUMBER(K2858),ISNUMBER(L2858),ABS(L2858-(K2858-IF(ISNUMBER(N2858),N2858,0)-IF(ISNUMBER(O2858),O2858,0)+IF(ISNUMBER(P2858),P2858,0)))&lt;=Summary!$B$2),"Passes using beginning_balance - PreV_ETB differs from beginning_balance",IF(AND(ISNUMBER(O2858),O2858&lt;0,ABS(L2858-(Q2858-IF(ISNUMBER(N2858),N2858,0)+IF(ISNUMBER(P2858),P2858,0)))&lt;=Summary!$B$2),"Negative realized loss not applied - check sign",IF(R2858&lt;0,"Principal paid exceeds prior balance",IF(AND(L2858&gt;Q2858,NOT(ISNUMBER(P2858))),"Balance increased but no Deferred_interest reported",IF(L2858&gt;R2858,"Reported balance higher than expected (missing increase/OC build)","Reported balance lower than expected (missing decrease)"))))),""))</f>
        <v/>
      </c>
    </row>
    <row r="2859" customFormat="false" ht="15" hidden="false" customHeight="false" outlineLevel="0" collapsed="false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9"/>
      <c r="L2859" s="9"/>
      <c r="M2859" s="9"/>
      <c r="N2859" s="9"/>
      <c r="O2859" s="9"/>
      <c r="P2859" s="9"/>
      <c r="Q2859" s="9"/>
      <c r="R2859" s="9" t="str">
        <f aca="false">IF(AND(A2859&lt;&gt;"",ISNUMBER(Q2859),ISNUMBER(L2859)),ROUND(Q2859-IF(ISNUMBER(N2859),N2859,0)-IF(ISNUMBER(O2859),O2859,0)+IF(ISNUMBER(P2859),P2859,0),2),"")</f>
        <v/>
      </c>
      <c r="S2859" s="9" t="str">
        <f aca="false">IF(R2859="","",ROUND(L2859-R2859,2))</f>
        <v/>
      </c>
      <c r="T2859" s="8" t="str">
        <f aca="false">IF(A2859="","",IF(S2859="","BYPASS",IF(ABS(S2859)&lt;=Summary!$B$2,"PASS","FAIL")))</f>
        <v/>
      </c>
      <c r="U2859" s="8" t="str">
        <f aca="false">IF(T2859="BYPASS",IF(NOT(ISNUMBER(Q2859)),"PreV_ETB missing","End_tr_balance missing"),IF(T2859="FAIL",IF(AND(ISNUMBER(K2859),ISNUMBER(L2859),ABS(L2859-(K2859-IF(ISNUMBER(N2859),N2859,0)-IF(ISNUMBER(O2859),O2859,0)+IF(ISNUMBER(P2859),P2859,0)))&lt;=Summary!$B$2),"Passes using beginning_balance - PreV_ETB differs from beginning_balance",IF(AND(ISNUMBER(O2859),O2859&lt;0,ABS(L2859-(Q2859-IF(ISNUMBER(N2859),N2859,0)+IF(ISNUMBER(P2859),P2859,0)))&lt;=Summary!$B$2),"Negative realized loss not applied - check sign",IF(R2859&lt;0,"Principal paid exceeds prior balance",IF(AND(L2859&gt;Q2859,NOT(ISNUMBER(P2859))),"Balance increased but no Deferred_interest reported",IF(L2859&gt;R2859,"Reported balance higher than expected (missing increase/OC build)","Reported balance lower than expected (missing decrease)"))))),""))</f>
        <v/>
      </c>
    </row>
    <row r="2860" customFormat="false" ht="15" hidden="false" customHeight="false" outlineLevel="0" collapsed="false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9"/>
      <c r="L2860" s="9"/>
      <c r="M2860" s="9"/>
      <c r="N2860" s="9"/>
      <c r="O2860" s="9"/>
      <c r="P2860" s="9"/>
      <c r="Q2860" s="9"/>
      <c r="R2860" s="9" t="str">
        <f aca="false">IF(AND(A2860&lt;&gt;"",ISNUMBER(Q2860),ISNUMBER(L2860)),ROUND(Q2860-IF(ISNUMBER(N2860),N2860,0)-IF(ISNUMBER(O2860),O2860,0)+IF(ISNUMBER(P2860),P2860,0),2),"")</f>
        <v/>
      </c>
      <c r="S2860" s="9" t="str">
        <f aca="false">IF(R2860="","",ROUND(L2860-R2860,2))</f>
        <v/>
      </c>
      <c r="T2860" s="8" t="str">
        <f aca="false">IF(A2860="","",IF(S2860="","BYPASS",IF(ABS(S2860)&lt;=Summary!$B$2,"PASS","FAIL")))</f>
        <v/>
      </c>
      <c r="U2860" s="8" t="str">
        <f aca="false">IF(T2860="BYPASS",IF(NOT(ISNUMBER(Q2860)),"PreV_ETB missing","End_tr_balance missing"),IF(T2860="FAIL",IF(AND(ISNUMBER(K2860),ISNUMBER(L2860),ABS(L2860-(K2860-IF(ISNUMBER(N2860),N2860,0)-IF(ISNUMBER(O2860),O2860,0)+IF(ISNUMBER(P2860),P2860,0)))&lt;=Summary!$B$2),"Passes using beginning_balance - PreV_ETB differs from beginning_balance",IF(AND(ISNUMBER(O2860),O2860&lt;0,ABS(L2860-(Q2860-IF(ISNUMBER(N2860),N2860,0)+IF(ISNUMBER(P2860),P2860,0)))&lt;=Summary!$B$2),"Negative realized loss not applied - check sign",IF(R2860&lt;0,"Principal paid exceeds prior balance",IF(AND(L2860&gt;Q2860,NOT(ISNUMBER(P2860))),"Balance increased but no Deferred_interest reported",IF(L2860&gt;R2860,"Reported balance higher than expected (missing increase/OC build)","Reported balance lower than expected (missing decrease)"))))),""))</f>
        <v/>
      </c>
    </row>
    <row r="2861" customFormat="false" ht="15" hidden="false" customHeight="false" outlineLevel="0" collapsed="false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9"/>
      <c r="L2861" s="9"/>
      <c r="M2861" s="9"/>
      <c r="N2861" s="9"/>
      <c r="O2861" s="9"/>
      <c r="P2861" s="9"/>
      <c r="Q2861" s="9"/>
      <c r="R2861" s="9" t="str">
        <f aca="false">IF(AND(A2861&lt;&gt;"",ISNUMBER(Q2861),ISNUMBER(L2861)),ROUND(Q2861-IF(ISNUMBER(N2861),N2861,0)-IF(ISNUMBER(O2861),O2861,0)+IF(ISNUMBER(P2861),P2861,0),2),"")</f>
        <v/>
      </c>
      <c r="S2861" s="9" t="str">
        <f aca="false">IF(R2861="","",ROUND(L2861-R2861,2))</f>
        <v/>
      </c>
      <c r="T2861" s="8" t="str">
        <f aca="false">IF(A2861="","",IF(S2861="","BYPASS",IF(ABS(S2861)&lt;=Summary!$B$2,"PASS","FAIL")))</f>
        <v/>
      </c>
      <c r="U2861" s="8" t="str">
        <f aca="false">IF(T2861="BYPASS",IF(NOT(ISNUMBER(Q2861)),"PreV_ETB missing","End_tr_balance missing"),IF(T2861="FAIL",IF(AND(ISNUMBER(K2861),ISNUMBER(L2861),ABS(L2861-(K2861-IF(ISNUMBER(N2861),N2861,0)-IF(ISNUMBER(O2861),O2861,0)+IF(ISNUMBER(P2861),P2861,0)))&lt;=Summary!$B$2),"Passes using beginning_balance - PreV_ETB differs from beginning_balance",IF(AND(ISNUMBER(O2861),O2861&lt;0,ABS(L2861-(Q2861-IF(ISNUMBER(N2861),N2861,0)+IF(ISNUMBER(P2861),P2861,0)))&lt;=Summary!$B$2),"Negative realized loss not applied - check sign",IF(R2861&lt;0,"Principal paid exceeds prior balance",IF(AND(L2861&gt;Q2861,NOT(ISNUMBER(P2861))),"Balance increased but no Deferred_interest reported",IF(L2861&gt;R2861,"Reported balance higher than expected (missing increase/OC build)","Reported balance lower than expected (missing decrease)"))))),""))</f>
        <v/>
      </c>
    </row>
    <row r="2862" customFormat="false" ht="15" hidden="false" customHeight="false" outlineLevel="0" collapsed="false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9"/>
      <c r="L2862" s="9"/>
      <c r="M2862" s="9"/>
      <c r="N2862" s="9"/>
      <c r="O2862" s="9"/>
      <c r="P2862" s="9"/>
      <c r="Q2862" s="9"/>
      <c r="R2862" s="9" t="str">
        <f aca="false">IF(AND(A2862&lt;&gt;"",ISNUMBER(Q2862),ISNUMBER(L2862)),ROUND(Q2862-IF(ISNUMBER(N2862),N2862,0)-IF(ISNUMBER(O2862),O2862,0)+IF(ISNUMBER(P2862),P2862,0),2),"")</f>
        <v/>
      </c>
      <c r="S2862" s="9" t="str">
        <f aca="false">IF(R2862="","",ROUND(L2862-R2862,2))</f>
        <v/>
      </c>
      <c r="T2862" s="8" t="str">
        <f aca="false">IF(A2862="","",IF(S2862="","BYPASS",IF(ABS(S2862)&lt;=Summary!$B$2,"PASS","FAIL")))</f>
        <v/>
      </c>
      <c r="U2862" s="8" t="str">
        <f aca="false">IF(T2862="BYPASS",IF(NOT(ISNUMBER(Q2862)),"PreV_ETB missing","End_tr_balance missing"),IF(T2862="FAIL",IF(AND(ISNUMBER(K2862),ISNUMBER(L2862),ABS(L2862-(K2862-IF(ISNUMBER(N2862),N2862,0)-IF(ISNUMBER(O2862),O2862,0)+IF(ISNUMBER(P2862),P2862,0)))&lt;=Summary!$B$2),"Passes using beginning_balance - PreV_ETB differs from beginning_balance",IF(AND(ISNUMBER(O2862),O2862&lt;0,ABS(L2862-(Q2862-IF(ISNUMBER(N2862),N2862,0)+IF(ISNUMBER(P2862),P2862,0)))&lt;=Summary!$B$2),"Negative realized loss not applied - check sign",IF(R2862&lt;0,"Principal paid exceeds prior balance",IF(AND(L2862&gt;Q2862,NOT(ISNUMBER(P2862))),"Balance increased but no Deferred_interest reported",IF(L2862&gt;R2862,"Reported balance higher than expected (missing increase/OC build)","Reported balance lower than expected (missing decrease)"))))),""))</f>
        <v/>
      </c>
    </row>
    <row r="2863" customFormat="false" ht="15" hidden="false" customHeight="false" outlineLevel="0" collapsed="false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9"/>
      <c r="L2863" s="9"/>
      <c r="M2863" s="9"/>
      <c r="N2863" s="9"/>
      <c r="O2863" s="9"/>
      <c r="P2863" s="9"/>
      <c r="Q2863" s="9"/>
      <c r="R2863" s="9" t="str">
        <f aca="false">IF(AND(A2863&lt;&gt;"",ISNUMBER(Q2863),ISNUMBER(L2863)),ROUND(Q2863-IF(ISNUMBER(N2863),N2863,0)-IF(ISNUMBER(O2863),O2863,0)+IF(ISNUMBER(P2863),P2863,0),2),"")</f>
        <v/>
      </c>
      <c r="S2863" s="9" t="str">
        <f aca="false">IF(R2863="","",ROUND(L2863-R2863,2))</f>
        <v/>
      </c>
      <c r="T2863" s="8" t="str">
        <f aca="false">IF(A2863="","",IF(S2863="","BYPASS",IF(ABS(S2863)&lt;=Summary!$B$2,"PASS","FAIL")))</f>
        <v/>
      </c>
      <c r="U2863" s="8" t="str">
        <f aca="false">IF(T2863="BYPASS",IF(NOT(ISNUMBER(Q2863)),"PreV_ETB missing","End_tr_balance missing"),IF(T2863="FAIL",IF(AND(ISNUMBER(K2863),ISNUMBER(L2863),ABS(L2863-(K2863-IF(ISNUMBER(N2863),N2863,0)-IF(ISNUMBER(O2863),O2863,0)+IF(ISNUMBER(P2863),P2863,0)))&lt;=Summary!$B$2),"Passes using beginning_balance - PreV_ETB differs from beginning_balance",IF(AND(ISNUMBER(O2863),O2863&lt;0,ABS(L2863-(Q2863-IF(ISNUMBER(N2863),N2863,0)+IF(ISNUMBER(P2863),P2863,0)))&lt;=Summary!$B$2),"Negative realized loss not applied - check sign",IF(R2863&lt;0,"Principal paid exceeds prior balance",IF(AND(L2863&gt;Q2863,NOT(ISNUMBER(P2863))),"Balance increased but no Deferred_interest reported",IF(L2863&gt;R2863,"Reported balance higher than expected (missing increase/OC build)","Reported balance lower than expected (missing decrease)"))))),""))</f>
        <v/>
      </c>
    </row>
    <row r="2864" customFormat="false" ht="15" hidden="false" customHeight="false" outlineLevel="0" collapsed="false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9"/>
      <c r="L2864" s="9"/>
      <c r="M2864" s="9"/>
      <c r="N2864" s="9"/>
      <c r="O2864" s="9"/>
      <c r="P2864" s="9"/>
      <c r="Q2864" s="9"/>
      <c r="R2864" s="9" t="str">
        <f aca="false">IF(AND(A2864&lt;&gt;"",ISNUMBER(Q2864),ISNUMBER(L2864)),ROUND(Q2864-IF(ISNUMBER(N2864),N2864,0)-IF(ISNUMBER(O2864),O2864,0)+IF(ISNUMBER(P2864),P2864,0),2),"")</f>
        <v/>
      </c>
      <c r="S2864" s="9" t="str">
        <f aca="false">IF(R2864="","",ROUND(L2864-R2864,2))</f>
        <v/>
      </c>
      <c r="T2864" s="8" t="str">
        <f aca="false">IF(A2864="","",IF(S2864="","BYPASS",IF(ABS(S2864)&lt;=Summary!$B$2,"PASS","FAIL")))</f>
        <v/>
      </c>
      <c r="U2864" s="8" t="str">
        <f aca="false">IF(T2864="BYPASS",IF(NOT(ISNUMBER(Q2864)),"PreV_ETB missing","End_tr_balance missing"),IF(T2864="FAIL",IF(AND(ISNUMBER(K2864),ISNUMBER(L2864),ABS(L2864-(K2864-IF(ISNUMBER(N2864),N2864,0)-IF(ISNUMBER(O2864),O2864,0)+IF(ISNUMBER(P2864),P2864,0)))&lt;=Summary!$B$2),"Passes using beginning_balance - PreV_ETB differs from beginning_balance",IF(AND(ISNUMBER(O2864),O2864&lt;0,ABS(L2864-(Q2864-IF(ISNUMBER(N2864),N2864,0)+IF(ISNUMBER(P2864),P2864,0)))&lt;=Summary!$B$2),"Negative realized loss not applied - check sign",IF(R2864&lt;0,"Principal paid exceeds prior balance",IF(AND(L2864&gt;Q2864,NOT(ISNUMBER(P2864))),"Balance increased but no Deferred_interest reported",IF(L2864&gt;R2864,"Reported balance higher than expected (missing increase/OC build)","Reported balance lower than expected (missing decrease)"))))),""))</f>
        <v/>
      </c>
    </row>
    <row r="2865" customFormat="false" ht="15" hidden="false" customHeight="false" outlineLevel="0" collapsed="false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9"/>
      <c r="L2865" s="9"/>
      <c r="M2865" s="9"/>
      <c r="N2865" s="9"/>
      <c r="O2865" s="9"/>
      <c r="P2865" s="9"/>
      <c r="Q2865" s="9"/>
      <c r="R2865" s="9" t="str">
        <f aca="false">IF(AND(A2865&lt;&gt;"",ISNUMBER(Q2865),ISNUMBER(L2865)),ROUND(Q2865-IF(ISNUMBER(N2865),N2865,0)-IF(ISNUMBER(O2865),O2865,0)+IF(ISNUMBER(P2865),P2865,0),2),"")</f>
        <v/>
      </c>
      <c r="S2865" s="9" t="str">
        <f aca="false">IF(R2865="","",ROUND(L2865-R2865,2))</f>
        <v/>
      </c>
      <c r="T2865" s="8" t="str">
        <f aca="false">IF(A2865="","",IF(S2865="","BYPASS",IF(ABS(S2865)&lt;=Summary!$B$2,"PASS","FAIL")))</f>
        <v/>
      </c>
      <c r="U2865" s="8" t="str">
        <f aca="false">IF(T2865="BYPASS",IF(NOT(ISNUMBER(Q2865)),"PreV_ETB missing","End_tr_balance missing"),IF(T2865="FAIL",IF(AND(ISNUMBER(K2865),ISNUMBER(L2865),ABS(L2865-(K2865-IF(ISNUMBER(N2865),N2865,0)-IF(ISNUMBER(O2865),O2865,0)+IF(ISNUMBER(P2865),P2865,0)))&lt;=Summary!$B$2),"Passes using beginning_balance - PreV_ETB differs from beginning_balance",IF(AND(ISNUMBER(O2865),O2865&lt;0,ABS(L2865-(Q2865-IF(ISNUMBER(N2865),N2865,0)+IF(ISNUMBER(P2865),P2865,0)))&lt;=Summary!$B$2),"Negative realized loss not applied - check sign",IF(R2865&lt;0,"Principal paid exceeds prior balance",IF(AND(L2865&gt;Q2865,NOT(ISNUMBER(P2865))),"Balance increased but no Deferred_interest reported",IF(L2865&gt;R2865,"Reported balance higher than expected (missing increase/OC build)","Reported balance lower than expected (missing decrease)"))))),""))</f>
        <v/>
      </c>
    </row>
    <row r="2866" customFormat="false" ht="15" hidden="false" customHeight="false" outlineLevel="0" collapsed="false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9"/>
      <c r="L2866" s="9"/>
      <c r="M2866" s="9"/>
      <c r="N2866" s="9"/>
      <c r="O2866" s="9"/>
      <c r="P2866" s="9"/>
      <c r="Q2866" s="9"/>
      <c r="R2866" s="9" t="str">
        <f aca="false">IF(AND(A2866&lt;&gt;"",ISNUMBER(Q2866),ISNUMBER(L2866)),ROUND(Q2866-IF(ISNUMBER(N2866),N2866,0)-IF(ISNUMBER(O2866),O2866,0)+IF(ISNUMBER(P2866),P2866,0),2),"")</f>
        <v/>
      </c>
      <c r="S2866" s="9" t="str">
        <f aca="false">IF(R2866="","",ROUND(L2866-R2866,2))</f>
        <v/>
      </c>
      <c r="T2866" s="8" t="str">
        <f aca="false">IF(A2866="","",IF(S2866="","BYPASS",IF(ABS(S2866)&lt;=Summary!$B$2,"PASS","FAIL")))</f>
        <v/>
      </c>
      <c r="U2866" s="8" t="str">
        <f aca="false">IF(T2866="BYPASS",IF(NOT(ISNUMBER(Q2866)),"PreV_ETB missing","End_tr_balance missing"),IF(T2866="FAIL",IF(AND(ISNUMBER(K2866),ISNUMBER(L2866),ABS(L2866-(K2866-IF(ISNUMBER(N2866),N2866,0)-IF(ISNUMBER(O2866),O2866,0)+IF(ISNUMBER(P2866),P2866,0)))&lt;=Summary!$B$2),"Passes using beginning_balance - PreV_ETB differs from beginning_balance",IF(AND(ISNUMBER(O2866),O2866&lt;0,ABS(L2866-(Q2866-IF(ISNUMBER(N2866),N2866,0)+IF(ISNUMBER(P2866),P2866,0)))&lt;=Summary!$B$2),"Negative realized loss not applied - check sign",IF(R2866&lt;0,"Principal paid exceeds prior balance",IF(AND(L2866&gt;Q2866,NOT(ISNUMBER(P2866))),"Balance increased but no Deferred_interest reported",IF(L2866&gt;R2866,"Reported balance higher than expected (missing increase/OC build)","Reported balance lower than expected (missing decrease)"))))),""))</f>
        <v/>
      </c>
    </row>
    <row r="2867" customFormat="false" ht="15" hidden="false" customHeight="false" outlineLevel="0" collapsed="false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9"/>
      <c r="L2867" s="9"/>
      <c r="M2867" s="9"/>
      <c r="N2867" s="9"/>
      <c r="O2867" s="9"/>
      <c r="P2867" s="9"/>
      <c r="Q2867" s="9"/>
      <c r="R2867" s="9" t="str">
        <f aca="false">IF(AND(A2867&lt;&gt;"",ISNUMBER(Q2867),ISNUMBER(L2867)),ROUND(Q2867-IF(ISNUMBER(N2867),N2867,0)-IF(ISNUMBER(O2867),O2867,0)+IF(ISNUMBER(P2867),P2867,0),2),"")</f>
        <v/>
      </c>
      <c r="S2867" s="9" t="str">
        <f aca="false">IF(R2867="","",ROUND(L2867-R2867,2))</f>
        <v/>
      </c>
      <c r="T2867" s="8" t="str">
        <f aca="false">IF(A2867="","",IF(S2867="","BYPASS",IF(ABS(S2867)&lt;=Summary!$B$2,"PASS","FAIL")))</f>
        <v/>
      </c>
      <c r="U2867" s="8" t="str">
        <f aca="false">IF(T2867="BYPASS",IF(NOT(ISNUMBER(Q2867)),"PreV_ETB missing","End_tr_balance missing"),IF(T2867="FAIL",IF(AND(ISNUMBER(K2867),ISNUMBER(L2867),ABS(L2867-(K2867-IF(ISNUMBER(N2867),N2867,0)-IF(ISNUMBER(O2867),O2867,0)+IF(ISNUMBER(P2867),P2867,0)))&lt;=Summary!$B$2),"Passes using beginning_balance - PreV_ETB differs from beginning_balance",IF(AND(ISNUMBER(O2867),O2867&lt;0,ABS(L2867-(Q2867-IF(ISNUMBER(N2867),N2867,0)+IF(ISNUMBER(P2867),P2867,0)))&lt;=Summary!$B$2),"Negative realized loss not applied - check sign",IF(R2867&lt;0,"Principal paid exceeds prior balance",IF(AND(L2867&gt;Q2867,NOT(ISNUMBER(P2867))),"Balance increased but no Deferred_interest reported",IF(L2867&gt;R2867,"Reported balance higher than expected (missing increase/OC build)","Reported balance lower than expected (missing decrease)"))))),""))</f>
        <v/>
      </c>
    </row>
    <row r="2868" customFormat="false" ht="15" hidden="false" customHeight="false" outlineLevel="0" collapsed="false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9"/>
      <c r="L2868" s="9"/>
      <c r="M2868" s="9"/>
      <c r="N2868" s="9"/>
      <c r="O2868" s="9"/>
      <c r="P2868" s="9"/>
      <c r="Q2868" s="9"/>
      <c r="R2868" s="9" t="str">
        <f aca="false">IF(AND(A2868&lt;&gt;"",ISNUMBER(Q2868),ISNUMBER(L2868)),ROUND(Q2868-IF(ISNUMBER(N2868),N2868,0)-IF(ISNUMBER(O2868),O2868,0)+IF(ISNUMBER(P2868),P2868,0),2),"")</f>
        <v/>
      </c>
      <c r="S2868" s="9" t="str">
        <f aca="false">IF(R2868="","",ROUND(L2868-R2868,2))</f>
        <v/>
      </c>
      <c r="T2868" s="8" t="str">
        <f aca="false">IF(A2868="","",IF(S2868="","BYPASS",IF(ABS(S2868)&lt;=Summary!$B$2,"PASS","FAIL")))</f>
        <v/>
      </c>
      <c r="U2868" s="8" t="str">
        <f aca="false">IF(T2868="BYPASS",IF(NOT(ISNUMBER(Q2868)),"PreV_ETB missing","End_tr_balance missing"),IF(T2868="FAIL",IF(AND(ISNUMBER(K2868),ISNUMBER(L2868),ABS(L2868-(K2868-IF(ISNUMBER(N2868),N2868,0)-IF(ISNUMBER(O2868),O2868,0)+IF(ISNUMBER(P2868),P2868,0)))&lt;=Summary!$B$2),"Passes using beginning_balance - PreV_ETB differs from beginning_balance",IF(AND(ISNUMBER(O2868),O2868&lt;0,ABS(L2868-(Q2868-IF(ISNUMBER(N2868),N2868,0)+IF(ISNUMBER(P2868),P2868,0)))&lt;=Summary!$B$2),"Negative realized loss not applied - check sign",IF(R2868&lt;0,"Principal paid exceeds prior balance",IF(AND(L2868&gt;Q2868,NOT(ISNUMBER(P2868))),"Balance increased but no Deferred_interest reported",IF(L2868&gt;R2868,"Reported balance higher than expected (missing increase/OC build)","Reported balance lower than expected (missing decrease)"))))),""))</f>
        <v/>
      </c>
    </row>
    <row r="2869" customFormat="false" ht="15" hidden="false" customHeight="false" outlineLevel="0" collapsed="false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9"/>
      <c r="L2869" s="9"/>
      <c r="M2869" s="9"/>
      <c r="N2869" s="9"/>
      <c r="O2869" s="9"/>
      <c r="P2869" s="9"/>
      <c r="Q2869" s="9"/>
      <c r="R2869" s="9" t="str">
        <f aca="false">IF(AND(A2869&lt;&gt;"",ISNUMBER(Q2869),ISNUMBER(L2869)),ROUND(Q2869-IF(ISNUMBER(N2869),N2869,0)-IF(ISNUMBER(O2869),O2869,0)+IF(ISNUMBER(P2869),P2869,0),2),"")</f>
        <v/>
      </c>
      <c r="S2869" s="9" t="str">
        <f aca="false">IF(R2869="","",ROUND(L2869-R2869,2))</f>
        <v/>
      </c>
      <c r="T2869" s="8" t="str">
        <f aca="false">IF(A2869="","",IF(S2869="","BYPASS",IF(ABS(S2869)&lt;=Summary!$B$2,"PASS","FAIL")))</f>
        <v/>
      </c>
      <c r="U2869" s="8" t="str">
        <f aca="false">IF(T2869="BYPASS",IF(NOT(ISNUMBER(Q2869)),"PreV_ETB missing","End_tr_balance missing"),IF(T2869="FAIL",IF(AND(ISNUMBER(K2869),ISNUMBER(L2869),ABS(L2869-(K2869-IF(ISNUMBER(N2869),N2869,0)-IF(ISNUMBER(O2869),O2869,0)+IF(ISNUMBER(P2869),P2869,0)))&lt;=Summary!$B$2),"Passes using beginning_balance - PreV_ETB differs from beginning_balance",IF(AND(ISNUMBER(O2869),O2869&lt;0,ABS(L2869-(Q2869-IF(ISNUMBER(N2869),N2869,0)+IF(ISNUMBER(P2869),P2869,0)))&lt;=Summary!$B$2),"Negative realized loss not applied - check sign",IF(R2869&lt;0,"Principal paid exceeds prior balance",IF(AND(L2869&gt;Q2869,NOT(ISNUMBER(P2869))),"Balance increased but no Deferred_interest reported",IF(L2869&gt;R2869,"Reported balance higher than expected (missing increase/OC build)","Reported balance lower than expected (missing decrease)"))))),""))</f>
        <v/>
      </c>
    </row>
    <row r="2870" customFormat="false" ht="15" hidden="false" customHeight="false" outlineLevel="0" collapsed="false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9"/>
      <c r="L2870" s="9"/>
      <c r="M2870" s="9"/>
      <c r="N2870" s="9"/>
      <c r="O2870" s="9"/>
      <c r="P2870" s="9"/>
      <c r="Q2870" s="9"/>
      <c r="R2870" s="9" t="str">
        <f aca="false">IF(AND(A2870&lt;&gt;"",ISNUMBER(Q2870),ISNUMBER(L2870)),ROUND(Q2870-IF(ISNUMBER(N2870),N2870,0)-IF(ISNUMBER(O2870),O2870,0)+IF(ISNUMBER(P2870),P2870,0),2),"")</f>
        <v/>
      </c>
      <c r="S2870" s="9" t="str">
        <f aca="false">IF(R2870="","",ROUND(L2870-R2870,2))</f>
        <v/>
      </c>
      <c r="T2870" s="8" t="str">
        <f aca="false">IF(A2870="","",IF(S2870="","BYPASS",IF(ABS(S2870)&lt;=Summary!$B$2,"PASS","FAIL")))</f>
        <v/>
      </c>
      <c r="U2870" s="8" t="str">
        <f aca="false">IF(T2870="BYPASS",IF(NOT(ISNUMBER(Q2870)),"PreV_ETB missing","End_tr_balance missing"),IF(T2870="FAIL",IF(AND(ISNUMBER(K2870),ISNUMBER(L2870),ABS(L2870-(K2870-IF(ISNUMBER(N2870),N2870,0)-IF(ISNUMBER(O2870),O2870,0)+IF(ISNUMBER(P2870),P2870,0)))&lt;=Summary!$B$2),"Passes using beginning_balance - PreV_ETB differs from beginning_balance",IF(AND(ISNUMBER(O2870),O2870&lt;0,ABS(L2870-(Q2870-IF(ISNUMBER(N2870),N2870,0)+IF(ISNUMBER(P2870),P2870,0)))&lt;=Summary!$B$2),"Negative realized loss not applied - check sign",IF(R2870&lt;0,"Principal paid exceeds prior balance",IF(AND(L2870&gt;Q2870,NOT(ISNUMBER(P2870))),"Balance increased but no Deferred_interest reported",IF(L2870&gt;R2870,"Reported balance higher than expected (missing increase/OC build)","Reported balance lower than expected (missing decrease)"))))),""))</f>
        <v/>
      </c>
    </row>
    <row r="2871" customFormat="false" ht="15" hidden="false" customHeight="false" outlineLevel="0" collapsed="false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9"/>
      <c r="L2871" s="9"/>
      <c r="M2871" s="9"/>
      <c r="N2871" s="9"/>
      <c r="O2871" s="9"/>
      <c r="P2871" s="9"/>
      <c r="Q2871" s="9"/>
      <c r="R2871" s="9" t="str">
        <f aca="false">IF(AND(A2871&lt;&gt;"",ISNUMBER(Q2871),ISNUMBER(L2871)),ROUND(Q2871-IF(ISNUMBER(N2871),N2871,0)-IF(ISNUMBER(O2871),O2871,0)+IF(ISNUMBER(P2871),P2871,0),2),"")</f>
        <v/>
      </c>
      <c r="S2871" s="9" t="str">
        <f aca="false">IF(R2871="","",ROUND(L2871-R2871,2))</f>
        <v/>
      </c>
      <c r="T2871" s="8" t="str">
        <f aca="false">IF(A2871="","",IF(S2871="","BYPASS",IF(ABS(S2871)&lt;=Summary!$B$2,"PASS","FAIL")))</f>
        <v/>
      </c>
      <c r="U2871" s="8" t="str">
        <f aca="false">IF(T2871="BYPASS",IF(NOT(ISNUMBER(Q2871)),"PreV_ETB missing","End_tr_balance missing"),IF(T2871="FAIL",IF(AND(ISNUMBER(K2871),ISNUMBER(L2871),ABS(L2871-(K2871-IF(ISNUMBER(N2871),N2871,0)-IF(ISNUMBER(O2871),O2871,0)+IF(ISNUMBER(P2871),P2871,0)))&lt;=Summary!$B$2),"Passes using beginning_balance - PreV_ETB differs from beginning_balance",IF(AND(ISNUMBER(O2871),O2871&lt;0,ABS(L2871-(Q2871-IF(ISNUMBER(N2871),N2871,0)+IF(ISNUMBER(P2871),P2871,0)))&lt;=Summary!$B$2),"Negative realized loss not applied - check sign",IF(R2871&lt;0,"Principal paid exceeds prior balance",IF(AND(L2871&gt;Q2871,NOT(ISNUMBER(P2871))),"Balance increased but no Deferred_interest reported",IF(L2871&gt;R2871,"Reported balance higher than expected (missing increase/OC build)","Reported balance lower than expected (missing decrease)"))))),""))</f>
        <v/>
      </c>
    </row>
    <row r="2872" customFormat="false" ht="15" hidden="false" customHeight="false" outlineLevel="0" collapsed="false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9"/>
      <c r="L2872" s="9"/>
      <c r="M2872" s="9"/>
      <c r="N2872" s="9"/>
      <c r="O2872" s="9"/>
      <c r="P2872" s="9"/>
      <c r="Q2872" s="9"/>
      <c r="R2872" s="9" t="str">
        <f aca="false">IF(AND(A2872&lt;&gt;"",ISNUMBER(Q2872),ISNUMBER(L2872)),ROUND(Q2872-IF(ISNUMBER(N2872),N2872,0)-IF(ISNUMBER(O2872),O2872,0)+IF(ISNUMBER(P2872),P2872,0),2),"")</f>
        <v/>
      </c>
      <c r="S2872" s="9" t="str">
        <f aca="false">IF(R2872="","",ROUND(L2872-R2872,2))</f>
        <v/>
      </c>
      <c r="T2872" s="8" t="str">
        <f aca="false">IF(A2872="","",IF(S2872="","BYPASS",IF(ABS(S2872)&lt;=Summary!$B$2,"PASS","FAIL")))</f>
        <v/>
      </c>
      <c r="U2872" s="8" t="str">
        <f aca="false">IF(T2872="BYPASS",IF(NOT(ISNUMBER(Q2872)),"PreV_ETB missing","End_tr_balance missing"),IF(T2872="FAIL",IF(AND(ISNUMBER(K2872),ISNUMBER(L2872),ABS(L2872-(K2872-IF(ISNUMBER(N2872),N2872,0)-IF(ISNUMBER(O2872),O2872,0)+IF(ISNUMBER(P2872),P2872,0)))&lt;=Summary!$B$2),"Passes using beginning_balance - PreV_ETB differs from beginning_balance",IF(AND(ISNUMBER(O2872),O2872&lt;0,ABS(L2872-(Q2872-IF(ISNUMBER(N2872),N2872,0)+IF(ISNUMBER(P2872),P2872,0)))&lt;=Summary!$B$2),"Negative realized loss not applied - check sign",IF(R2872&lt;0,"Principal paid exceeds prior balance",IF(AND(L2872&gt;Q2872,NOT(ISNUMBER(P2872))),"Balance increased but no Deferred_interest reported",IF(L2872&gt;R2872,"Reported balance higher than expected (missing increase/OC build)","Reported balance lower than expected (missing decrease)"))))),""))</f>
        <v/>
      </c>
    </row>
    <row r="2873" customFormat="false" ht="15" hidden="false" customHeight="false" outlineLevel="0" collapsed="false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9"/>
      <c r="L2873" s="9"/>
      <c r="M2873" s="9"/>
      <c r="N2873" s="9"/>
      <c r="O2873" s="9"/>
      <c r="P2873" s="9"/>
      <c r="Q2873" s="9"/>
      <c r="R2873" s="9" t="str">
        <f aca="false">IF(AND(A2873&lt;&gt;"",ISNUMBER(Q2873),ISNUMBER(L2873)),ROUND(Q2873-IF(ISNUMBER(N2873),N2873,0)-IF(ISNUMBER(O2873),O2873,0)+IF(ISNUMBER(P2873),P2873,0),2),"")</f>
        <v/>
      </c>
      <c r="S2873" s="9" t="str">
        <f aca="false">IF(R2873="","",ROUND(L2873-R2873,2))</f>
        <v/>
      </c>
      <c r="T2873" s="8" t="str">
        <f aca="false">IF(A2873="","",IF(S2873="","BYPASS",IF(ABS(S2873)&lt;=Summary!$B$2,"PASS","FAIL")))</f>
        <v/>
      </c>
      <c r="U2873" s="8" t="str">
        <f aca="false">IF(T2873="BYPASS",IF(NOT(ISNUMBER(Q2873)),"PreV_ETB missing","End_tr_balance missing"),IF(T2873="FAIL",IF(AND(ISNUMBER(K2873),ISNUMBER(L2873),ABS(L2873-(K2873-IF(ISNUMBER(N2873),N2873,0)-IF(ISNUMBER(O2873),O2873,0)+IF(ISNUMBER(P2873),P2873,0)))&lt;=Summary!$B$2),"Passes using beginning_balance - PreV_ETB differs from beginning_balance",IF(AND(ISNUMBER(O2873),O2873&lt;0,ABS(L2873-(Q2873-IF(ISNUMBER(N2873),N2873,0)+IF(ISNUMBER(P2873),P2873,0)))&lt;=Summary!$B$2),"Negative realized loss not applied - check sign",IF(R2873&lt;0,"Principal paid exceeds prior balance",IF(AND(L2873&gt;Q2873,NOT(ISNUMBER(P2873))),"Balance increased but no Deferred_interest reported",IF(L2873&gt;R2873,"Reported balance higher than expected (missing increase/OC build)","Reported balance lower than expected (missing decrease)"))))),""))</f>
        <v/>
      </c>
    </row>
    <row r="2874" customFormat="false" ht="15" hidden="false" customHeight="false" outlineLevel="0" collapsed="false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9"/>
      <c r="L2874" s="9"/>
      <c r="M2874" s="9"/>
      <c r="N2874" s="9"/>
      <c r="O2874" s="9"/>
      <c r="P2874" s="9"/>
      <c r="Q2874" s="9"/>
      <c r="R2874" s="9" t="str">
        <f aca="false">IF(AND(A2874&lt;&gt;"",ISNUMBER(Q2874),ISNUMBER(L2874)),ROUND(Q2874-IF(ISNUMBER(N2874),N2874,0)-IF(ISNUMBER(O2874),O2874,0)+IF(ISNUMBER(P2874),P2874,0),2),"")</f>
        <v/>
      </c>
      <c r="S2874" s="9" t="str">
        <f aca="false">IF(R2874="","",ROUND(L2874-R2874,2))</f>
        <v/>
      </c>
      <c r="T2874" s="8" t="str">
        <f aca="false">IF(A2874="","",IF(S2874="","BYPASS",IF(ABS(S2874)&lt;=Summary!$B$2,"PASS","FAIL")))</f>
        <v/>
      </c>
      <c r="U2874" s="8" t="str">
        <f aca="false">IF(T2874="BYPASS",IF(NOT(ISNUMBER(Q2874)),"PreV_ETB missing","End_tr_balance missing"),IF(T2874="FAIL",IF(AND(ISNUMBER(K2874),ISNUMBER(L2874),ABS(L2874-(K2874-IF(ISNUMBER(N2874),N2874,0)-IF(ISNUMBER(O2874),O2874,0)+IF(ISNUMBER(P2874),P2874,0)))&lt;=Summary!$B$2),"Passes using beginning_balance - PreV_ETB differs from beginning_balance",IF(AND(ISNUMBER(O2874),O2874&lt;0,ABS(L2874-(Q2874-IF(ISNUMBER(N2874),N2874,0)+IF(ISNUMBER(P2874),P2874,0)))&lt;=Summary!$B$2),"Negative realized loss not applied - check sign",IF(R2874&lt;0,"Principal paid exceeds prior balance",IF(AND(L2874&gt;Q2874,NOT(ISNUMBER(P2874))),"Balance increased but no Deferred_interest reported",IF(L2874&gt;R2874,"Reported balance higher than expected (missing increase/OC build)","Reported balance lower than expected (missing decrease)"))))),""))</f>
        <v/>
      </c>
    </row>
    <row r="2875" customFormat="false" ht="15" hidden="false" customHeight="false" outlineLevel="0" collapsed="false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9"/>
      <c r="L2875" s="9"/>
      <c r="M2875" s="9"/>
      <c r="N2875" s="9"/>
      <c r="O2875" s="9"/>
      <c r="P2875" s="9"/>
      <c r="Q2875" s="9"/>
      <c r="R2875" s="9" t="str">
        <f aca="false">IF(AND(A2875&lt;&gt;"",ISNUMBER(Q2875),ISNUMBER(L2875)),ROUND(Q2875-IF(ISNUMBER(N2875),N2875,0)-IF(ISNUMBER(O2875),O2875,0)+IF(ISNUMBER(P2875),P2875,0),2),"")</f>
        <v/>
      </c>
      <c r="S2875" s="9" t="str">
        <f aca="false">IF(R2875="","",ROUND(L2875-R2875,2))</f>
        <v/>
      </c>
      <c r="T2875" s="8" t="str">
        <f aca="false">IF(A2875="","",IF(S2875="","BYPASS",IF(ABS(S2875)&lt;=Summary!$B$2,"PASS","FAIL")))</f>
        <v/>
      </c>
      <c r="U2875" s="8" t="str">
        <f aca="false">IF(T2875="BYPASS",IF(NOT(ISNUMBER(Q2875)),"PreV_ETB missing","End_tr_balance missing"),IF(T2875="FAIL",IF(AND(ISNUMBER(K2875),ISNUMBER(L2875),ABS(L2875-(K2875-IF(ISNUMBER(N2875),N2875,0)-IF(ISNUMBER(O2875),O2875,0)+IF(ISNUMBER(P2875),P2875,0)))&lt;=Summary!$B$2),"Passes using beginning_balance - PreV_ETB differs from beginning_balance",IF(AND(ISNUMBER(O2875),O2875&lt;0,ABS(L2875-(Q2875-IF(ISNUMBER(N2875),N2875,0)+IF(ISNUMBER(P2875),P2875,0)))&lt;=Summary!$B$2),"Negative realized loss not applied - check sign",IF(R2875&lt;0,"Principal paid exceeds prior balance",IF(AND(L2875&gt;Q2875,NOT(ISNUMBER(P2875))),"Balance increased but no Deferred_interest reported",IF(L2875&gt;R2875,"Reported balance higher than expected (missing increase/OC build)","Reported balance lower than expected (missing decrease)"))))),""))</f>
        <v/>
      </c>
    </row>
    <row r="2876" customFormat="false" ht="15" hidden="false" customHeight="false" outlineLevel="0" collapsed="false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9"/>
      <c r="L2876" s="9"/>
      <c r="M2876" s="9"/>
      <c r="N2876" s="9"/>
      <c r="O2876" s="9"/>
      <c r="P2876" s="9"/>
      <c r="Q2876" s="9"/>
      <c r="R2876" s="9" t="str">
        <f aca="false">IF(AND(A2876&lt;&gt;"",ISNUMBER(Q2876),ISNUMBER(L2876)),ROUND(Q2876-IF(ISNUMBER(N2876),N2876,0)-IF(ISNUMBER(O2876),O2876,0)+IF(ISNUMBER(P2876),P2876,0),2),"")</f>
        <v/>
      </c>
      <c r="S2876" s="9" t="str">
        <f aca="false">IF(R2876="","",ROUND(L2876-R2876,2))</f>
        <v/>
      </c>
      <c r="T2876" s="8" t="str">
        <f aca="false">IF(A2876="","",IF(S2876="","BYPASS",IF(ABS(S2876)&lt;=Summary!$B$2,"PASS","FAIL")))</f>
        <v/>
      </c>
      <c r="U2876" s="8" t="str">
        <f aca="false">IF(T2876="BYPASS",IF(NOT(ISNUMBER(Q2876)),"PreV_ETB missing","End_tr_balance missing"),IF(T2876="FAIL",IF(AND(ISNUMBER(K2876),ISNUMBER(L2876),ABS(L2876-(K2876-IF(ISNUMBER(N2876),N2876,0)-IF(ISNUMBER(O2876),O2876,0)+IF(ISNUMBER(P2876),P2876,0)))&lt;=Summary!$B$2),"Passes using beginning_balance - PreV_ETB differs from beginning_balance",IF(AND(ISNUMBER(O2876),O2876&lt;0,ABS(L2876-(Q2876-IF(ISNUMBER(N2876),N2876,0)+IF(ISNUMBER(P2876),P2876,0)))&lt;=Summary!$B$2),"Negative realized loss not applied - check sign",IF(R2876&lt;0,"Principal paid exceeds prior balance",IF(AND(L2876&gt;Q2876,NOT(ISNUMBER(P2876))),"Balance increased but no Deferred_interest reported",IF(L2876&gt;R2876,"Reported balance higher than expected (missing increase/OC build)","Reported balance lower than expected (missing decrease)"))))),""))</f>
        <v/>
      </c>
    </row>
    <row r="2877" customFormat="false" ht="15" hidden="false" customHeight="false" outlineLevel="0" collapsed="false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9"/>
      <c r="L2877" s="9"/>
      <c r="M2877" s="9"/>
      <c r="N2877" s="9"/>
      <c r="O2877" s="9"/>
      <c r="P2877" s="9"/>
      <c r="Q2877" s="9"/>
      <c r="R2877" s="9" t="str">
        <f aca="false">IF(AND(A2877&lt;&gt;"",ISNUMBER(Q2877),ISNUMBER(L2877)),ROUND(Q2877-IF(ISNUMBER(N2877),N2877,0)-IF(ISNUMBER(O2877),O2877,0)+IF(ISNUMBER(P2877),P2877,0),2),"")</f>
        <v/>
      </c>
      <c r="S2877" s="9" t="str">
        <f aca="false">IF(R2877="","",ROUND(L2877-R2877,2))</f>
        <v/>
      </c>
      <c r="T2877" s="8" t="str">
        <f aca="false">IF(A2877="","",IF(S2877="","BYPASS",IF(ABS(S2877)&lt;=Summary!$B$2,"PASS","FAIL")))</f>
        <v/>
      </c>
      <c r="U2877" s="8" t="str">
        <f aca="false">IF(T2877="BYPASS",IF(NOT(ISNUMBER(Q2877)),"PreV_ETB missing","End_tr_balance missing"),IF(T2877="FAIL",IF(AND(ISNUMBER(K2877),ISNUMBER(L2877),ABS(L2877-(K2877-IF(ISNUMBER(N2877),N2877,0)-IF(ISNUMBER(O2877),O2877,0)+IF(ISNUMBER(P2877),P2877,0)))&lt;=Summary!$B$2),"Passes using beginning_balance - PreV_ETB differs from beginning_balance",IF(AND(ISNUMBER(O2877),O2877&lt;0,ABS(L2877-(Q2877-IF(ISNUMBER(N2877),N2877,0)+IF(ISNUMBER(P2877),P2877,0)))&lt;=Summary!$B$2),"Negative realized loss not applied - check sign",IF(R2877&lt;0,"Principal paid exceeds prior balance",IF(AND(L2877&gt;Q2877,NOT(ISNUMBER(P2877))),"Balance increased but no Deferred_interest reported",IF(L2877&gt;R2877,"Reported balance higher than expected (missing increase/OC build)","Reported balance lower than expected (missing decrease)"))))),""))</f>
        <v/>
      </c>
    </row>
    <row r="2878" customFormat="false" ht="15" hidden="false" customHeight="false" outlineLevel="0" collapsed="false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9"/>
      <c r="L2878" s="9"/>
      <c r="M2878" s="9"/>
      <c r="N2878" s="9"/>
      <c r="O2878" s="9"/>
      <c r="P2878" s="9"/>
      <c r="Q2878" s="9"/>
      <c r="R2878" s="9" t="str">
        <f aca="false">IF(AND(A2878&lt;&gt;"",ISNUMBER(Q2878),ISNUMBER(L2878)),ROUND(Q2878-IF(ISNUMBER(N2878),N2878,0)-IF(ISNUMBER(O2878),O2878,0)+IF(ISNUMBER(P2878),P2878,0),2),"")</f>
        <v/>
      </c>
      <c r="S2878" s="9" t="str">
        <f aca="false">IF(R2878="","",ROUND(L2878-R2878,2))</f>
        <v/>
      </c>
      <c r="T2878" s="8" t="str">
        <f aca="false">IF(A2878="","",IF(S2878="","BYPASS",IF(ABS(S2878)&lt;=Summary!$B$2,"PASS","FAIL")))</f>
        <v/>
      </c>
      <c r="U2878" s="8" t="str">
        <f aca="false">IF(T2878="BYPASS",IF(NOT(ISNUMBER(Q2878)),"PreV_ETB missing","End_tr_balance missing"),IF(T2878="FAIL",IF(AND(ISNUMBER(K2878),ISNUMBER(L2878),ABS(L2878-(K2878-IF(ISNUMBER(N2878),N2878,0)-IF(ISNUMBER(O2878),O2878,0)+IF(ISNUMBER(P2878),P2878,0)))&lt;=Summary!$B$2),"Passes using beginning_balance - PreV_ETB differs from beginning_balance",IF(AND(ISNUMBER(O2878),O2878&lt;0,ABS(L2878-(Q2878-IF(ISNUMBER(N2878),N2878,0)+IF(ISNUMBER(P2878),P2878,0)))&lt;=Summary!$B$2),"Negative realized loss not applied - check sign",IF(R2878&lt;0,"Principal paid exceeds prior balance",IF(AND(L2878&gt;Q2878,NOT(ISNUMBER(P2878))),"Balance increased but no Deferred_interest reported",IF(L2878&gt;R2878,"Reported balance higher than expected (missing increase/OC build)","Reported balance lower than expected (missing decrease)"))))),""))</f>
        <v/>
      </c>
    </row>
    <row r="2879" customFormat="false" ht="15" hidden="false" customHeight="false" outlineLevel="0" collapsed="false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9"/>
      <c r="L2879" s="9"/>
      <c r="M2879" s="9"/>
      <c r="N2879" s="9"/>
      <c r="O2879" s="9"/>
      <c r="P2879" s="9"/>
      <c r="Q2879" s="9"/>
      <c r="R2879" s="9" t="str">
        <f aca="false">IF(AND(A2879&lt;&gt;"",ISNUMBER(Q2879),ISNUMBER(L2879)),ROUND(Q2879-IF(ISNUMBER(N2879),N2879,0)-IF(ISNUMBER(O2879),O2879,0)+IF(ISNUMBER(P2879),P2879,0),2),"")</f>
        <v/>
      </c>
      <c r="S2879" s="9" t="str">
        <f aca="false">IF(R2879="","",ROUND(L2879-R2879,2))</f>
        <v/>
      </c>
      <c r="T2879" s="8" t="str">
        <f aca="false">IF(A2879="","",IF(S2879="","BYPASS",IF(ABS(S2879)&lt;=Summary!$B$2,"PASS","FAIL")))</f>
        <v/>
      </c>
      <c r="U2879" s="8" t="str">
        <f aca="false">IF(T2879="BYPASS",IF(NOT(ISNUMBER(Q2879)),"PreV_ETB missing","End_tr_balance missing"),IF(T2879="FAIL",IF(AND(ISNUMBER(K2879),ISNUMBER(L2879),ABS(L2879-(K2879-IF(ISNUMBER(N2879),N2879,0)-IF(ISNUMBER(O2879),O2879,0)+IF(ISNUMBER(P2879),P2879,0)))&lt;=Summary!$B$2),"Passes using beginning_balance - PreV_ETB differs from beginning_balance",IF(AND(ISNUMBER(O2879),O2879&lt;0,ABS(L2879-(Q2879-IF(ISNUMBER(N2879),N2879,0)+IF(ISNUMBER(P2879),P2879,0)))&lt;=Summary!$B$2),"Negative realized loss not applied - check sign",IF(R2879&lt;0,"Principal paid exceeds prior balance",IF(AND(L2879&gt;Q2879,NOT(ISNUMBER(P2879))),"Balance increased but no Deferred_interest reported",IF(L2879&gt;R2879,"Reported balance higher than expected (missing increase/OC build)","Reported balance lower than expected (missing decrease)"))))),""))</f>
        <v/>
      </c>
    </row>
    <row r="2880" customFormat="false" ht="15" hidden="false" customHeight="false" outlineLevel="0" collapsed="false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9"/>
      <c r="L2880" s="9"/>
      <c r="M2880" s="9"/>
      <c r="N2880" s="9"/>
      <c r="O2880" s="9"/>
      <c r="P2880" s="9"/>
      <c r="Q2880" s="9"/>
      <c r="R2880" s="9" t="str">
        <f aca="false">IF(AND(A2880&lt;&gt;"",ISNUMBER(Q2880),ISNUMBER(L2880)),ROUND(Q2880-IF(ISNUMBER(N2880),N2880,0)-IF(ISNUMBER(O2880),O2880,0)+IF(ISNUMBER(P2880),P2880,0),2),"")</f>
        <v/>
      </c>
      <c r="S2880" s="9" t="str">
        <f aca="false">IF(R2880="","",ROUND(L2880-R2880,2))</f>
        <v/>
      </c>
      <c r="T2880" s="8" t="str">
        <f aca="false">IF(A2880="","",IF(S2880="","BYPASS",IF(ABS(S2880)&lt;=Summary!$B$2,"PASS","FAIL")))</f>
        <v/>
      </c>
      <c r="U2880" s="8" t="str">
        <f aca="false">IF(T2880="BYPASS",IF(NOT(ISNUMBER(Q2880)),"PreV_ETB missing","End_tr_balance missing"),IF(T2880="FAIL",IF(AND(ISNUMBER(K2880),ISNUMBER(L2880),ABS(L2880-(K2880-IF(ISNUMBER(N2880),N2880,0)-IF(ISNUMBER(O2880),O2880,0)+IF(ISNUMBER(P2880),P2880,0)))&lt;=Summary!$B$2),"Passes using beginning_balance - PreV_ETB differs from beginning_balance",IF(AND(ISNUMBER(O2880),O2880&lt;0,ABS(L2880-(Q2880-IF(ISNUMBER(N2880),N2880,0)+IF(ISNUMBER(P2880),P2880,0)))&lt;=Summary!$B$2),"Negative realized loss not applied - check sign",IF(R2880&lt;0,"Principal paid exceeds prior balance",IF(AND(L2880&gt;Q2880,NOT(ISNUMBER(P2880))),"Balance increased but no Deferred_interest reported",IF(L2880&gt;R2880,"Reported balance higher than expected (missing increase/OC build)","Reported balance lower than expected (missing decrease)"))))),""))</f>
        <v/>
      </c>
    </row>
    <row r="2881" customFormat="false" ht="15" hidden="false" customHeight="false" outlineLevel="0" collapsed="false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9"/>
      <c r="L2881" s="9"/>
      <c r="M2881" s="9"/>
      <c r="N2881" s="9"/>
      <c r="O2881" s="9"/>
      <c r="P2881" s="9"/>
      <c r="Q2881" s="9"/>
      <c r="R2881" s="9" t="str">
        <f aca="false">IF(AND(A2881&lt;&gt;"",ISNUMBER(Q2881),ISNUMBER(L2881)),ROUND(Q2881-IF(ISNUMBER(N2881),N2881,0)-IF(ISNUMBER(O2881),O2881,0)+IF(ISNUMBER(P2881),P2881,0),2),"")</f>
        <v/>
      </c>
      <c r="S2881" s="9" t="str">
        <f aca="false">IF(R2881="","",ROUND(L2881-R2881,2))</f>
        <v/>
      </c>
      <c r="T2881" s="8" t="str">
        <f aca="false">IF(A2881="","",IF(S2881="","BYPASS",IF(ABS(S2881)&lt;=Summary!$B$2,"PASS","FAIL")))</f>
        <v/>
      </c>
      <c r="U2881" s="8" t="str">
        <f aca="false">IF(T2881="BYPASS",IF(NOT(ISNUMBER(Q2881)),"PreV_ETB missing","End_tr_balance missing"),IF(T2881="FAIL",IF(AND(ISNUMBER(K2881),ISNUMBER(L2881),ABS(L2881-(K2881-IF(ISNUMBER(N2881),N2881,0)-IF(ISNUMBER(O2881),O2881,0)+IF(ISNUMBER(P2881),P2881,0)))&lt;=Summary!$B$2),"Passes using beginning_balance - PreV_ETB differs from beginning_balance",IF(AND(ISNUMBER(O2881),O2881&lt;0,ABS(L2881-(Q2881-IF(ISNUMBER(N2881),N2881,0)+IF(ISNUMBER(P2881),P2881,0)))&lt;=Summary!$B$2),"Negative realized loss not applied - check sign",IF(R2881&lt;0,"Principal paid exceeds prior balance",IF(AND(L2881&gt;Q2881,NOT(ISNUMBER(P2881))),"Balance increased but no Deferred_interest reported",IF(L2881&gt;R2881,"Reported balance higher than expected (missing increase/OC build)","Reported balance lower than expected (missing decrease)"))))),""))</f>
        <v/>
      </c>
    </row>
    <row r="2882" customFormat="false" ht="15" hidden="false" customHeight="false" outlineLevel="0" collapsed="false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9"/>
      <c r="L2882" s="9"/>
      <c r="M2882" s="9"/>
      <c r="N2882" s="9"/>
      <c r="O2882" s="9"/>
      <c r="P2882" s="9"/>
      <c r="Q2882" s="9"/>
      <c r="R2882" s="9" t="str">
        <f aca="false">IF(AND(A2882&lt;&gt;"",ISNUMBER(Q2882),ISNUMBER(L2882)),ROUND(Q2882-IF(ISNUMBER(N2882),N2882,0)-IF(ISNUMBER(O2882),O2882,0)+IF(ISNUMBER(P2882),P2882,0),2),"")</f>
        <v/>
      </c>
      <c r="S2882" s="9" t="str">
        <f aca="false">IF(R2882="","",ROUND(L2882-R2882,2))</f>
        <v/>
      </c>
      <c r="T2882" s="8" t="str">
        <f aca="false">IF(A2882="","",IF(S2882="","BYPASS",IF(ABS(S2882)&lt;=Summary!$B$2,"PASS","FAIL")))</f>
        <v/>
      </c>
      <c r="U2882" s="8" t="str">
        <f aca="false">IF(T2882="BYPASS",IF(NOT(ISNUMBER(Q2882)),"PreV_ETB missing","End_tr_balance missing"),IF(T2882="FAIL",IF(AND(ISNUMBER(K2882),ISNUMBER(L2882),ABS(L2882-(K2882-IF(ISNUMBER(N2882),N2882,0)-IF(ISNUMBER(O2882),O2882,0)+IF(ISNUMBER(P2882),P2882,0)))&lt;=Summary!$B$2),"Passes using beginning_balance - PreV_ETB differs from beginning_balance",IF(AND(ISNUMBER(O2882),O2882&lt;0,ABS(L2882-(Q2882-IF(ISNUMBER(N2882),N2882,0)+IF(ISNUMBER(P2882),P2882,0)))&lt;=Summary!$B$2),"Negative realized loss not applied - check sign",IF(R2882&lt;0,"Principal paid exceeds prior balance",IF(AND(L2882&gt;Q2882,NOT(ISNUMBER(P2882))),"Balance increased but no Deferred_interest reported",IF(L2882&gt;R2882,"Reported balance higher than expected (missing increase/OC build)","Reported balance lower than expected (missing decrease)"))))),""))</f>
        <v/>
      </c>
    </row>
    <row r="2883" customFormat="false" ht="15" hidden="false" customHeight="false" outlineLevel="0" collapsed="false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9"/>
      <c r="L2883" s="9"/>
      <c r="M2883" s="9"/>
      <c r="N2883" s="9"/>
      <c r="O2883" s="9"/>
      <c r="P2883" s="9"/>
      <c r="Q2883" s="9"/>
      <c r="R2883" s="9" t="str">
        <f aca="false">IF(AND(A2883&lt;&gt;"",ISNUMBER(Q2883),ISNUMBER(L2883)),ROUND(Q2883-IF(ISNUMBER(N2883),N2883,0)-IF(ISNUMBER(O2883),O2883,0)+IF(ISNUMBER(P2883),P2883,0),2),"")</f>
        <v/>
      </c>
      <c r="S2883" s="9" t="str">
        <f aca="false">IF(R2883="","",ROUND(L2883-R2883,2))</f>
        <v/>
      </c>
      <c r="T2883" s="8" t="str">
        <f aca="false">IF(A2883="","",IF(S2883="","BYPASS",IF(ABS(S2883)&lt;=Summary!$B$2,"PASS","FAIL")))</f>
        <v/>
      </c>
      <c r="U2883" s="8" t="str">
        <f aca="false">IF(T2883="BYPASS",IF(NOT(ISNUMBER(Q2883)),"PreV_ETB missing","End_tr_balance missing"),IF(T2883="FAIL",IF(AND(ISNUMBER(K2883),ISNUMBER(L2883),ABS(L2883-(K2883-IF(ISNUMBER(N2883),N2883,0)-IF(ISNUMBER(O2883),O2883,0)+IF(ISNUMBER(P2883),P2883,0)))&lt;=Summary!$B$2),"Passes using beginning_balance - PreV_ETB differs from beginning_balance",IF(AND(ISNUMBER(O2883),O2883&lt;0,ABS(L2883-(Q2883-IF(ISNUMBER(N2883),N2883,0)+IF(ISNUMBER(P2883),P2883,0)))&lt;=Summary!$B$2),"Negative realized loss not applied - check sign",IF(R2883&lt;0,"Principal paid exceeds prior balance",IF(AND(L2883&gt;Q2883,NOT(ISNUMBER(P2883))),"Balance increased but no Deferred_interest reported",IF(L2883&gt;R2883,"Reported balance higher than expected (missing increase/OC build)","Reported balance lower than expected (missing decrease)"))))),""))</f>
        <v/>
      </c>
    </row>
    <row r="2884" customFormat="false" ht="15" hidden="false" customHeight="false" outlineLevel="0" collapsed="false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9"/>
      <c r="L2884" s="9"/>
      <c r="M2884" s="9"/>
      <c r="N2884" s="9"/>
      <c r="O2884" s="9"/>
      <c r="P2884" s="9"/>
      <c r="Q2884" s="9"/>
      <c r="R2884" s="9" t="str">
        <f aca="false">IF(AND(A2884&lt;&gt;"",ISNUMBER(Q2884),ISNUMBER(L2884)),ROUND(Q2884-IF(ISNUMBER(N2884),N2884,0)-IF(ISNUMBER(O2884),O2884,0)+IF(ISNUMBER(P2884),P2884,0),2),"")</f>
        <v/>
      </c>
      <c r="S2884" s="9" t="str">
        <f aca="false">IF(R2884="","",ROUND(L2884-R2884,2))</f>
        <v/>
      </c>
      <c r="T2884" s="8" t="str">
        <f aca="false">IF(A2884="","",IF(S2884="","BYPASS",IF(ABS(S2884)&lt;=Summary!$B$2,"PASS","FAIL")))</f>
        <v/>
      </c>
      <c r="U2884" s="8" t="str">
        <f aca="false">IF(T2884="BYPASS",IF(NOT(ISNUMBER(Q2884)),"PreV_ETB missing","End_tr_balance missing"),IF(T2884="FAIL",IF(AND(ISNUMBER(K2884),ISNUMBER(L2884),ABS(L2884-(K2884-IF(ISNUMBER(N2884),N2884,0)-IF(ISNUMBER(O2884),O2884,0)+IF(ISNUMBER(P2884),P2884,0)))&lt;=Summary!$B$2),"Passes using beginning_balance - PreV_ETB differs from beginning_balance",IF(AND(ISNUMBER(O2884),O2884&lt;0,ABS(L2884-(Q2884-IF(ISNUMBER(N2884),N2884,0)+IF(ISNUMBER(P2884),P2884,0)))&lt;=Summary!$B$2),"Negative realized loss not applied - check sign",IF(R2884&lt;0,"Principal paid exceeds prior balance",IF(AND(L2884&gt;Q2884,NOT(ISNUMBER(P2884))),"Balance increased but no Deferred_interest reported",IF(L2884&gt;R2884,"Reported balance higher than expected (missing increase/OC build)","Reported balance lower than expected (missing decrease)"))))),""))</f>
        <v/>
      </c>
    </row>
    <row r="2885" customFormat="false" ht="15" hidden="false" customHeight="false" outlineLevel="0" collapsed="false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9"/>
      <c r="L2885" s="9"/>
      <c r="M2885" s="9"/>
      <c r="N2885" s="9"/>
      <c r="O2885" s="9"/>
      <c r="P2885" s="9"/>
      <c r="Q2885" s="9"/>
      <c r="R2885" s="9" t="str">
        <f aca="false">IF(AND(A2885&lt;&gt;"",ISNUMBER(Q2885),ISNUMBER(L2885)),ROUND(Q2885-IF(ISNUMBER(N2885),N2885,0)-IF(ISNUMBER(O2885),O2885,0)+IF(ISNUMBER(P2885),P2885,0),2),"")</f>
        <v/>
      </c>
      <c r="S2885" s="9" t="str">
        <f aca="false">IF(R2885="","",ROUND(L2885-R2885,2))</f>
        <v/>
      </c>
      <c r="T2885" s="8" t="str">
        <f aca="false">IF(A2885="","",IF(S2885="","BYPASS",IF(ABS(S2885)&lt;=Summary!$B$2,"PASS","FAIL")))</f>
        <v/>
      </c>
      <c r="U2885" s="8" t="str">
        <f aca="false">IF(T2885="BYPASS",IF(NOT(ISNUMBER(Q2885)),"PreV_ETB missing","End_tr_balance missing"),IF(T2885="FAIL",IF(AND(ISNUMBER(K2885),ISNUMBER(L2885),ABS(L2885-(K2885-IF(ISNUMBER(N2885),N2885,0)-IF(ISNUMBER(O2885),O2885,0)+IF(ISNUMBER(P2885),P2885,0)))&lt;=Summary!$B$2),"Passes using beginning_balance - PreV_ETB differs from beginning_balance",IF(AND(ISNUMBER(O2885),O2885&lt;0,ABS(L2885-(Q2885-IF(ISNUMBER(N2885),N2885,0)+IF(ISNUMBER(P2885),P2885,0)))&lt;=Summary!$B$2),"Negative realized loss not applied - check sign",IF(R2885&lt;0,"Principal paid exceeds prior balance",IF(AND(L2885&gt;Q2885,NOT(ISNUMBER(P2885))),"Balance increased but no Deferred_interest reported",IF(L2885&gt;R2885,"Reported balance higher than expected (missing increase/OC build)","Reported balance lower than expected (missing decrease)"))))),""))</f>
        <v/>
      </c>
    </row>
    <row r="2886" customFormat="false" ht="15" hidden="false" customHeight="false" outlineLevel="0" collapsed="false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9"/>
      <c r="L2886" s="9"/>
      <c r="M2886" s="9"/>
      <c r="N2886" s="9"/>
      <c r="O2886" s="9"/>
      <c r="P2886" s="9"/>
      <c r="Q2886" s="9"/>
      <c r="R2886" s="9" t="str">
        <f aca="false">IF(AND(A2886&lt;&gt;"",ISNUMBER(Q2886),ISNUMBER(L2886)),ROUND(Q2886-IF(ISNUMBER(N2886),N2886,0)-IF(ISNUMBER(O2886),O2886,0)+IF(ISNUMBER(P2886),P2886,0),2),"")</f>
        <v/>
      </c>
      <c r="S2886" s="9" t="str">
        <f aca="false">IF(R2886="","",ROUND(L2886-R2886,2))</f>
        <v/>
      </c>
      <c r="T2886" s="8" t="str">
        <f aca="false">IF(A2886="","",IF(S2886="","BYPASS",IF(ABS(S2886)&lt;=Summary!$B$2,"PASS","FAIL")))</f>
        <v/>
      </c>
      <c r="U2886" s="8" t="str">
        <f aca="false">IF(T2886="BYPASS",IF(NOT(ISNUMBER(Q2886)),"PreV_ETB missing","End_tr_balance missing"),IF(T2886="FAIL",IF(AND(ISNUMBER(K2886),ISNUMBER(L2886),ABS(L2886-(K2886-IF(ISNUMBER(N2886),N2886,0)-IF(ISNUMBER(O2886),O2886,0)+IF(ISNUMBER(P2886),P2886,0)))&lt;=Summary!$B$2),"Passes using beginning_balance - PreV_ETB differs from beginning_balance",IF(AND(ISNUMBER(O2886),O2886&lt;0,ABS(L2886-(Q2886-IF(ISNUMBER(N2886),N2886,0)+IF(ISNUMBER(P2886),P2886,0)))&lt;=Summary!$B$2),"Negative realized loss not applied - check sign",IF(R2886&lt;0,"Principal paid exceeds prior balance",IF(AND(L2886&gt;Q2886,NOT(ISNUMBER(P2886))),"Balance increased but no Deferred_interest reported",IF(L2886&gt;R2886,"Reported balance higher than expected (missing increase/OC build)","Reported balance lower than expected (missing decrease)"))))),""))</f>
        <v/>
      </c>
    </row>
    <row r="2887" customFormat="false" ht="15" hidden="false" customHeight="false" outlineLevel="0" collapsed="false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9"/>
      <c r="L2887" s="9"/>
      <c r="M2887" s="9"/>
      <c r="N2887" s="9"/>
      <c r="O2887" s="9"/>
      <c r="P2887" s="9"/>
      <c r="Q2887" s="9"/>
      <c r="R2887" s="9" t="str">
        <f aca="false">IF(AND(A2887&lt;&gt;"",ISNUMBER(Q2887),ISNUMBER(L2887)),ROUND(Q2887-IF(ISNUMBER(N2887),N2887,0)-IF(ISNUMBER(O2887),O2887,0)+IF(ISNUMBER(P2887),P2887,0),2),"")</f>
        <v/>
      </c>
      <c r="S2887" s="9" t="str">
        <f aca="false">IF(R2887="","",ROUND(L2887-R2887,2))</f>
        <v/>
      </c>
      <c r="T2887" s="8" t="str">
        <f aca="false">IF(A2887="","",IF(S2887="","BYPASS",IF(ABS(S2887)&lt;=Summary!$B$2,"PASS","FAIL")))</f>
        <v/>
      </c>
      <c r="U2887" s="8" t="str">
        <f aca="false">IF(T2887="BYPASS",IF(NOT(ISNUMBER(Q2887)),"PreV_ETB missing","End_tr_balance missing"),IF(T2887="FAIL",IF(AND(ISNUMBER(K2887),ISNUMBER(L2887),ABS(L2887-(K2887-IF(ISNUMBER(N2887),N2887,0)-IF(ISNUMBER(O2887),O2887,0)+IF(ISNUMBER(P2887),P2887,0)))&lt;=Summary!$B$2),"Passes using beginning_balance - PreV_ETB differs from beginning_balance",IF(AND(ISNUMBER(O2887),O2887&lt;0,ABS(L2887-(Q2887-IF(ISNUMBER(N2887),N2887,0)+IF(ISNUMBER(P2887),P2887,0)))&lt;=Summary!$B$2),"Negative realized loss not applied - check sign",IF(R2887&lt;0,"Principal paid exceeds prior balance",IF(AND(L2887&gt;Q2887,NOT(ISNUMBER(P2887))),"Balance increased but no Deferred_interest reported",IF(L2887&gt;R2887,"Reported balance higher than expected (missing increase/OC build)","Reported balance lower than expected (missing decrease)"))))),""))</f>
        <v/>
      </c>
    </row>
    <row r="2888" customFormat="false" ht="15" hidden="false" customHeight="false" outlineLevel="0" collapsed="false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9"/>
      <c r="L2888" s="9"/>
      <c r="M2888" s="9"/>
      <c r="N2888" s="9"/>
      <c r="O2888" s="9"/>
      <c r="P2888" s="9"/>
      <c r="Q2888" s="9"/>
      <c r="R2888" s="9" t="str">
        <f aca="false">IF(AND(A2888&lt;&gt;"",ISNUMBER(Q2888),ISNUMBER(L2888)),ROUND(Q2888-IF(ISNUMBER(N2888),N2888,0)-IF(ISNUMBER(O2888),O2888,0)+IF(ISNUMBER(P2888),P2888,0),2),"")</f>
        <v/>
      </c>
      <c r="S2888" s="9" t="str">
        <f aca="false">IF(R2888="","",ROUND(L2888-R2888,2))</f>
        <v/>
      </c>
      <c r="T2888" s="8" t="str">
        <f aca="false">IF(A2888="","",IF(S2888="","BYPASS",IF(ABS(S2888)&lt;=Summary!$B$2,"PASS","FAIL")))</f>
        <v/>
      </c>
      <c r="U2888" s="8" t="str">
        <f aca="false">IF(T2888="BYPASS",IF(NOT(ISNUMBER(Q2888)),"PreV_ETB missing","End_tr_balance missing"),IF(T2888="FAIL",IF(AND(ISNUMBER(K2888),ISNUMBER(L2888),ABS(L2888-(K2888-IF(ISNUMBER(N2888),N2888,0)-IF(ISNUMBER(O2888),O2888,0)+IF(ISNUMBER(P2888),P2888,0)))&lt;=Summary!$B$2),"Passes using beginning_balance - PreV_ETB differs from beginning_balance",IF(AND(ISNUMBER(O2888),O2888&lt;0,ABS(L2888-(Q2888-IF(ISNUMBER(N2888),N2888,0)+IF(ISNUMBER(P2888),P2888,0)))&lt;=Summary!$B$2),"Negative realized loss not applied - check sign",IF(R2888&lt;0,"Principal paid exceeds prior balance",IF(AND(L2888&gt;Q2888,NOT(ISNUMBER(P2888))),"Balance increased but no Deferred_interest reported",IF(L2888&gt;R2888,"Reported balance higher than expected (missing increase/OC build)","Reported balance lower than expected (missing decrease)"))))),""))</f>
        <v/>
      </c>
    </row>
    <row r="2889" customFormat="false" ht="15" hidden="false" customHeight="false" outlineLevel="0" collapsed="false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9"/>
      <c r="L2889" s="9"/>
      <c r="M2889" s="9"/>
      <c r="N2889" s="9"/>
      <c r="O2889" s="9"/>
      <c r="P2889" s="9"/>
      <c r="Q2889" s="9"/>
      <c r="R2889" s="9" t="str">
        <f aca="false">IF(AND(A2889&lt;&gt;"",ISNUMBER(Q2889),ISNUMBER(L2889)),ROUND(Q2889-IF(ISNUMBER(N2889),N2889,0)-IF(ISNUMBER(O2889),O2889,0)+IF(ISNUMBER(P2889),P2889,0),2),"")</f>
        <v/>
      </c>
      <c r="S2889" s="9" t="str">
        <f aca="false">IF(R2889="","",ROUND(L2889-R2889,2))</f>
        <v/>
      </c>
      <c r="T2889" s="8" t="str">
        <f aca="false">IF(A2889="","",IF(S2889="","BYPASS",IF(ABS(S2889)&lt;=Summary!$B$2,"PASS","FAIL")))</f>
        <v/>
      </c>
      <c r="U2889" s="8" t="str">
        <f aca="false">IF(T2889="BYPASS",IF(NOT(ISNUMBER(Q2889)),"PreV_ETB missing","End_tr_balance missing"),IF(T2889="FAIL",IF(AND(ISNUMBER(K2889),ISNUMBER(L2889),ABS(L2889-(K2889-IF(ISNUMBER(N2889),N2889,0)-IF(ISNUMBER(O2889),O2889,0)+IF(ISNUMBER(P2889),P2889,0)))&lt;=Summary!$B$2),"Passes using beginning_balance - PreV_ETB differs from beginning_balance",IF(AND(ISNUMBER(O2889),O2889&lt;0,ABS(L2889-(Q2889-IF(ISNUMBER(N2889),N2889,0)+IF(ISNUMBER(P2889),P2889,0)))&lt;=Summary!$B$2),"Negative realized loss not applied - check sign",IF(R2889&lt;0,"Principal paid exceeds prior balance",IF(AND(L2889&gt;Q2889,NOT(ISNUMBER(P2889))),"Balance increased but no Deferred_interest reported",IF(L2889&gt;R2889,"Reported balance higher than expected (missing increase/OC build)","Reported balance lower than expected (missing decrease)"))))),""))</f>
        <v/>
      </c>
    </row>
    <row r="2890" customFormat="false" ht="15" hidden="false" customHeight="false" outlineLevel="0" collapsed="false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9"/>
      <c r="L2890" s="9"/>
      <c r="M2890" s="9"/>
      <c r="N2890" s="9"/>
      <c r="O2890" s="9"/>
      <c r="P2890" s="9"/>
      <c r="Q2890" s="9"/>
      <c r="R2890" s="9" t="str">
        <f aca="false">IF(AND(A2890&lt;&gt;"",ISNUMBER(Q2890),ISNUMBER(L2890)),ROUND(Q2890-IF(ISNUMBER(N2890),N2890,0)-IF(ISNUMBER(O2890),O2890,0)+IF(ISNUMBER(P2890),P2890,0),2),"")</f>
        <v/>
      </c>
      <c r="S2890" s="9" t="str">
        <f aca="false">IF(R2890="","",ROUND(L2890-R2890,2))</f>
        <v/>
      </c>
      <c r="T2890" s="8" t="str">
        <f aca="false">IF(A2890="","",IF(S2890="","BYPASS",IF(ABS(S2890)&lt;=Summary!$B$2,"PASS","FAIL")))</f>
        <v/>
      </c>
      <c r="U2890" s="8" t="str">
        <f aca="false">IF(T2890="BYPASS",IF(NOT(ISNUMBER(Q2890)),"PreV_ETB missing","End_tr_balance missing"),IF(T2890="FAIL",IF(AND(ISNUMBER(K2890),ISNUMBER(L2890),ABS(L2890-(K2890-IF(ISNUMBER(N2890),N2890,0)-IF(ISNUMBER(O2890),O2890,0)+IF(ISNUMBER(P2890),P2890,0)))&lt;=Summary!$B$2),"Passes using beginning_balance - PreV_ETB differs from beginning_balance",IF(AND(ISNUMBER(O2890),O2890&lt;0,ABS(L2890-(Q2890-IF(ISNUMBER(N2890),N2890,0)+IF(ISNUMBER(P2890),P2890,0)))&lt;=Summary!$B$2),"Negative realized loss not applied - check sign",IF(R2890&lt;0,"Principal paid exceeds prior balance",IF(AND(L2890&gt;Q2890,NOT(ISNUMBER(P2890))),"Balance increased but no Deferred_interest reported",IF(L2890&gt;R2890,"Reported balance higher than expected (missing increase/OC build)","Reported balance lower than expected (missing decrease)"))))),""))</f>
        <v/>
      </c>
    </row>
    <row r="2891" customFormat="false" ht="15" hidden="false" customHeight="false" outlineLevel="0" collapsed="false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9"/>
      <c r="L2891" s="9"/>
      <c r="M2891" s="9"/>
      <c r="N2891" s="9"/>
      <c r="O2891" s="9"/>
      <c r="P2891" s="9"/>
      <c r="Q2891" s="9"/>
      <c r="R2891" s="9" t="str">
        <f aca="false">IF(AND(A2891&lt;&gt;"",ISNUMBER(Q2891),ISNUMBER(L2891)),ROUND(Q2891-IF(ISNUMBER(N2891),N2891,0)-IF(ISNUMBER(O2891),O2891,0)+IF(ISNUMBER(P2891),P2891,0),2),"")</f>
        <v/>
      </c>
      <c r="S2891" s="9" t="str">
        <f aca="false">IF(R2891="","",ROUND(L2891-R2891,2))</f>
        <v/>
      </c>
      <c r="T2891" s="8" t="str">
        <f aca="false">IF(A2891="","",IF(S2891="","BYPASS",IF(ABS(S2891)&lt;=Summary!$B$2,"PASS","FAIL")))</f>
        <v/>
      </c>
      <c r="U2891" s="8" t="str">
        <f aca="false">IF(T2891="BYPASS",IF(NOT(ISNUMBER(Q2891)),"PreV_ETB missing","End_tr_balance missing"),IF(T2891="FAIL",IF(AND(ISNUMBER(K2891),ISNUMBER(L2891),ABS(L2891-(K2891-IF(ISNUMBER(N2891),N2891,0)-IF(ISNUMBER(O2891),O2891,0)+IF(ISNUMBER(P2891),P2891,0)))&lt;=Summary!$B$2),"Passes using beginning_balance - PreV_ETB differs from beginning_balance",IF(AND(ISNUMBER(O2891),O2891&lt;0,ABS(L2891-(Q2891-IF(ISNUMBER(N2891),N2891,0)+IF(ISNUMBER(P2891),P2891,0)))&lt;=Summary!$B$2),"Negative realized loss not applied - check sign",IF(R2891&lt;0,"Principal paid exceeds prior balance",IF(AND(L2891&gt;Q2891,NOT(ISNUMBER(P2891))),"Balance increased but no Deferred_interest reported",IF(L2891&gt;R2891,"Reported balance higher than expected (missing increase/OC build)","Reported balance lower than expected (missing decrease)"))))),""))</f>
        <v/>
      </c>
    </row>
    <row r="2892" customFormat="false" ht="15" hidden="false" customHeight="false" outlineLevel="0" collapsed="false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9"/>
      <c r="L2892" s="9"/>
      <c r="M2892" s="9"/>
      <c r="N2892" s="9"/>
      <c r="O2892" s="9"/>
      <c r="P2892" s="9"/>
      <c r="Q2892" s="9"/>
      <c r="R2892" s="9" t="str">
        <f aca="false">IF(AND(A2892&lt;&gt;"",ISNUMBER(Q2892),ISNUMBER(L2892)),ROUND(Q2892-IF(ISNUMBER(N2892),N2892,0)-IF(ISNUMBER(O2892),O2892,0)+IF(ISNUMBER(P2892),P2892,0),2),"")</f>
        <v/>
      </c>
      <c r="S2892" s="9" t="str">
        <f aca="false">IF(R2892="","",ROUND(L2892-R2892,2))</f>
        <v/>
      </c>
      <c r="T2892" s="8" t="str">
        <f aca="false">IF(A2892="","",IF(S2892="","BYPASS",IF(ABS(S2892)&lt;=Summary!$B$2,"PASS","FAIL")))</f>
        <v/>
      </c>
      <c r="U2892" s="8" t="str">
        <f aca="false">IF(T2892="BYPASS",IF(NOT(ISNUMBER(Q2892)),"PreV_ETB missing","End_tr_balance missing"),IF(T2892="FAIL",IF(AND(ISNUMBER(K2892),ISNUMBER(L2892),ABS(L2892-(K2892-IF(ISNUMBER(N2892),N2892,0)-IF(ISNUMBER(O2892),O2892,0)+IF(ISNUMBER(P2892),P2892,0)))&lt;=Summary!$B$2),"Passes using beginning_balance - PreV_ETB differs from beginning_balance",IF(AND(ISNUMBER(O2892),O2892&lt;0,ABS(L2892-(Q2892-IF(ISNUMBER(N2892),N2892,0)+IF(ISNUMBER(P2892),P2892,0)))&lt;=Summary!$B$2),"Negative realized loss not applied - check sign",IF(R2892&lt;0,"Principal paid exceeds prior balance",IF(AND(L2892&gt;Q2892,NOT(ISNUMBER(P2892))),"Balance increased but no Deferred_interest reported",IF(L2892&gt;R2892,"Reported balance higher than expected (missing increase/OC build)","Reported balance lower than expected (missing decrease)"))))),""))</f>
        <v/>
      </c>
    </row>
    <row r="2893" customFormat="false" ht="15" hidden="false" customHeight="false" outlineLevel="0" collapsed="false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9"/>
      <c r="L2893" s="9"/>
      <c r="M2893" s="9"/>
      <c r="N2893" s="9"/>
      <c r="O2893" s="9"/>
      <c r="P2893" s="9"/>
      <c r="Q2893" s="9"/>
      <c r="R2893" s="9" t="str">
        <f aca="false">IF(AND(A2893&lt;&gt;"",ISNUMBER(Q2893),ISNUMBER(L2893)),ROUND(Q2893-IF(ISNUMBER(N2893),N2893,0)-IF(ISNUMBER(O2893),O2893,0)+IF(ISNUMBER(P2893),P2893,0),2),"")</f>
        <v/>
      </c>
      <c r="S2893" s="9" t="str">
        <f aca="false">IF(R2893="","",ROUND(L2893-R2893,2))</f>
        <v/>
      </c>
      <c r="T2893" s="8" t="str">
        <f aca="false">IF(A2893="","",IF(S2893="","BYPASS",IF(ABS(S2893)&lt;=Summary!$B$2,"PASS","FAIL")))</f>
        <v/>
      </c>
      <c r="U2893" s="8" t="str">
        <f aca="false">IF(T2893="BYPASS",IF(NOT(ISNUMBER(Q2893)),"PreV_ETB missing","End_tr_balance missing"),IF(T2893="FAIL",IF(AND(ISNUMBER(K2893),ISNUMBER(L2893),ABS(L2893-(K2893-IF(ISNUMBER(N2893),N2893,0)-IF(ISNUMBER(O2893),O2893,0)+IF(ISNUMBER(P2893),P2893,0)))&lt;=Summary!$B$2),"Passes using beginning_balance - PreV_ETB differs from beginning_balance",IF(AND(ISNUMBER(O2893),O2893&lt;0,ABS(L2893-(Q2893-IF(ISNUMBER(N2893),N2893,0)+IF(ISNUMBER(P2893),P2893,0)))&lt;=Summary!$B$2),"Negative realized loss not applied - check sign",IF(R2893&lt;0,"Principal paid exceeds prior balance",IF(AND(L2893&gt;Q2893,NOT(ISNUMBER(P2893))),"Balance increased but no Deferred_interest reported",IF(L2893&gt;R2893,"Reported balance higher than expected (missing increase/OC build)","Reported balance lower than expected (missing decrease)"))))),""))</f>
        <v/>
      </c>
    </row>
    <row r="2894" customFormat="false" ht="15" hidden="false" customHeight="false" outlineLevel="0" collapsed="false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9"/>
      <c r="L2894" s="9"/>
      <c r="M2894" s="9"/>
      <c r="N2894" s="9"/>
      <c r="O2894" s="9"/>
      <c r="P2894" s="9"/>
      <c r="Q2894" s="9"/>
      <c r="R2894" s="9" t="str">
        <f aca="false">IF(AND(A2894&lt;&gt;"",ISNUMBER(Q2894),ISNUMBER(L2894)),ROUND(Q2894-IF(ISNUMBER(N2894),N2894,0)-IF(ISNUMBER(O2894),O2894,0)+IF(ISNUMBER(P2894),P2894,0),2),"")</f>
        <v/>
      </c>
      <c r="S2894" s="9" t="str">
        <f aca="false">IF(R2894="","",ROUND(L2894-R2894,2))</f>
        <v/>
      </c>
      <c r="T2894" s="8" t="str">
        <f aca="false">IF(A2894="","",IF(S2894="","BYPASS",IF(ABS(S2894)&lt;=Summary!$B$2,"PASS","FAIL")))</f>
        <v/>
      </c>
      <c r="U2894" s="8" t="str">
        <f aca="false">IF(T2894="BYPASS",IF(NOT(ISNUMBER(Q2894)),"PreV_ETB missing","End_tr_balance missing"),IF(T2894="FAIL",IF(AND(ISNUMBER(K2894),ISNUMBER(L2894),ABS(L2894-(K2894-IF(ISNUMBER(N2894),N2894,0)-IF(ISNUMBER(O2894),O2894,0)+IF(ISNUMBER(P2894),P2894,0)))&lt;=Summary!$B$2),"Passes using beginning_balance - PreV_ETB differs from beginning_balance",IF(AND(ISNUMBER(O2894),O2894&lt;0,ABS(L2894-(Q2894-IF(ISNUMBER(N2894),N2894,0)+IF(ISNUMBER(P2894),P2894,0)))&lt;=Summary!$B$2),"Negative realized loss not applied - check sign",IF(R2894&lt;0,"Principal paid exceeds prior balance",IF(AND(L2894&gt;Q2894,NOT(ISNUMBER(P2894))),"Balance increased but no Deferred_interest reported",IF(L2894&gt;R2894,"Reported balance higher than expected (missing increase/OC build)","Reported balance lower than expected (missing decrease)"))))),""))</f>
        <v/>
      </c>
    </row>
    <row r="2895" customFormat="false" ht="15" hidden="false" customHeight="false" outlineLevel="0" collapsed="false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9"/>
      <c r="L2895" s="9"/>
      <c r="M2895" s="9"/>
      <c r="N2895" s="9"/>
      <c r="O2895" s="9"/>
      <c r="P2895" s="9"/>
      <c r="Q2895" s="9"/>
      <c r="R2895" s="9" t="str">
        <f aca="false">IF(AND(A2895&lt;&gt;"",ISNUMBER(Q2895),ISNUMBER(L2895)),ROUND(Q2895-IF(ISNUMBER(N2895),N2895,0)-IF(ISNUMBER(O2895),O2895,0)+IF(ISNUMBER(P2895),P2895,0),2),"")</f>
        <v/>
      </c>
      <c r="S2895" s="9" t="str">
        <f aca="false">IF(R2895="","",ROUND(L2895-R2895,2))</f>
        <v/>
      </c>
      <c r="T2895" s="8" t="str">
        <f aca="false">IF(A2895="","",IF(S2895="","BYPASS",IF(ABS(S2895)&lt;=Summary!$B$2,"PASS","FAIL")))</f>
        <v/>
      </c>
      <c r="U2895" s="8" t="str">
        <f aca="false">IF(T2895="BYPASS",IF(NOT(ISNUMBER(Q2895)),"PreV_ETB missing","End_tr_balance missing"),IF(T2895="FAIL",IF(AND(ISNUMBER(K2895),ISNUMBER(L2895),ABS(L2895-(K2895-IF(ISNUMBER(N2895),N2895,0)-IF(ISNUMBER(O2895),O2895,0)+IF(ISNUMBER(P2895),P2895,0)))&lt;=Summary!$B$2),"Passes using beginning_balance - PreV_ETB differs from beginning_balance",IF(AND(ISNUMBER(O2895),O2895&lt;0,ABS(L2895-(Q2895-IF(ISNUMBER(N2895),N2895,0)+IF(ISNUMBER(P2895),P2895,0)))&lt;=Summary!$B$2),"Negative realized loss not applied - check sign",IF(R2895&lt;0,"Principal paid exceeds prior balance",IF(AND(L2895&gt;Q2895,NOT(ISNUMBER(P2895))),"Balance increased but no Deferred_interest reported",IF(L2895&gt;R2895,"Reported balance higher than expected (missing increase/OC build)","Reported balance lower than expected (missing decrease)"))))),""))</f>
        <v/>
      </c>
    </row>
    <row r="2896" customFormat="false" ht="15" hidden="false" customHeight="false" outlineLevel="0" collapsed="false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9"/>
      <c r="L2896" s="9"/>
      <c r="M2896" s="9"/>
      <c r="N2896" s="9"/>
      <c r="O2896" s="9"/>
      <c r="P2896" s="9"/>
      <c r="Q2896" s="9"/>
      <c r="R2896" s="9" t="str">
        <f aca="false">IF(AND(A2896&lt;&gt;"",ISNUMBER(Q2896),ISNUMBER(L2896)),ROUND(Q2896-IF(ISNUMBER(N2896),N2896,0)-IF(ISNUMBER(O2896),O2896,0)+IF(ISNUMBER(P2896),P2896,0),2),"")</f>
        <v/>
      </c>
      <c r="S2896" s="9" t="str">
        <f aca="false">IF(R2896="","",ROUND(L2896-R2896,2))</f>
        <v/>
      </c>
      <c r="T2896" s="8" t="str">
        <f aca="false">IF(A2896="","",IF(S2896="","BYPASS",IF(ABS(S2896)&lt;=Summary!$B$2,"PASS","FAIL")))</f>
        <v/>
      </c>
      <c r="U2896" s="8" t="str">
        <f aca="false">IF(T2896="BYPASS",IF(NOT(ISNUMBER(Q2896)),"PreV_ETB missing","End_tr_balance missing"),IF(T2896="FAIL",IF(AND(ISNUMBER(K2896),ISNUMBER(L2896),ABS(L2896-(K2896-IF(ISNUMBER(N2896),N2896,0)-IF(ISNUMBER(O2896),O2896,0)+IF(ISNUMBER(P2896),P2896,0)))&lt;=Summary!$B$2),"Passes using beginning_balance - PreV_ETB differs from beginning_balance",IF(AND(ISNUMBER(O2896),O2896&lt;0,ABS(L2896-(Q2896-IF(ISNUMBER(N2896),N2896,0)+IF(ISNUMBER(P2896),P2896,0)))&lt;=Summary!$B$2),"Negative realized loss not applied - check sign",IF(R2896&lt;0,"Principal paid exceeds prior balance",IF(AND(L2896&gt;Q2896,NOT(ISNUMBER(P2896))),"Balance increased but no Deferred_interest reported",IF(L2896&gt;R2896,"Reported balance higher than expected (missing increase/OC build)","Reported balance lower than expected (missing decrease)"))))),""))</f>
        <v/>
      </c>
    </row>
    <row r="2897" customFormat="false" ht="15" hidden="false" customHeight="false" outlineLevel="0" collapsed="false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9"/>
      <c r="L2897" s="9"/>
      <c r="M2897" s="9"/>
      <c r="N2897" s="9"/>
      <c r="O2897" s="9"/>
      <c r="P2897" s="9"/>
      <c r="Q2897" s="9"/>
      <c r="R2897" s="9" t="str">
        <f aca="false">IF(AND(A2897&lt;&gt;"",ISNUMBER(Q2897),ISNUMBER(L2897)),ROUND(Q2897-IF(ISNUMBER(N2897),N2897,0)-IF(ISNUMBER(O2897),O2897,0)+IF(ISNUMBER(P2897),P2897,0),2),"")</f>
        <v/>
      </c>
      <c r="S2897" s="9" t="str">
        <f aca="false">IF(R2897="","",ROUND(L2897-R2897,2))</f>
        <v/>
      </c>
      <c r="T2897" s="8" t="str">
        <f aca="false">IF(A2897="","",IF(S2897="","BYPASS",IF(ABS(S2897)&lt;=Summary!$B$2,"PASS","FAIL")))</f>
        <v/>
      </c>
      <c r="U2897" s="8" t="str">
        <f aca="false">IF(T2897="BYPASS",IF(NOT(ISNUMBER(Q2897)),"PreV_ETB missing","End_tr_balance missing"),IF(T2897="FAIL",IF(AND(ISNUMBER(K2897),ISNUMBER(L2897),ABS(L2897-(K2897-IF(ISNUMBER(N2897),N2897,0)-IF(ISNUMBER(O2897),O2897,0)+IF(ISNUMBER(P2897),P2897,0)))&lt;=Summary!$B$2),"Passes using beginning_balance - PreV_ETB differs from beginning_balance",IF(AND(ISNUMBER(O2897),O2897&lt;0,ABS(L2897-(Q2897-IF(ISNUMBER(N2897),N2897,0)+IF(ISNUMBER(P2897),P2897,0)))&lt;=Summary!$B$2),"Negative realized loss not applied - check sign",IF(R2897&lt;0,"Principal paid exceeds prior balance",IF(AND(L2897&gt;Q2897,NOT(ISNUMBER(P2897))),"Balance increased but no Deferred_interest reported",IF(L2897&gt;R2897,"Reported balance higher than expected (missing increase/OC build)","Reported balance lower than expected (missing decrease)"))))),""))</f>
        <v/>
      </c>
    </row>
    <row r="2898" customFormat="false" ht="15" hidden="false" customHeight="false" outlineLevel="0" collapsed="false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9"/>
      <c r="L2898" s="9"/>
      <c r="M2898" s="9"/>
      <c r="N2898" s="9"/>
      <c r="O2898" s="9"/>
      <c r="P2898" s="9"/>
      <c r="Q2898" s="9"/>
      <c r="R2898" s="9" t="str">
        <f aca="false">IF(AND(A2898&lt;&gt;"",ISNUMBER(Q2898),ISNUMBER(L2898)),ROUND(Q2898-IF(ISNUMBER(N2898),N2898,0)-IF(ISNUMBER(O2898),O2898,0)+IF(ISNUMBER(P2898),P2898,0),2),"")</f>
        <v/>
      </c>
      <c r="S2898" s="9" t="str">
        <f aca="false">IF(R2898="","",ROUND(L2898-R2898,2))</f>
        <v/>
      </c>
      <c r="T2898" s="8" t="str">
        <f aca="false">IF(A2898="","",IF(S2898="","BYPASS",IF(ABS(S2898)&lt;=Summary!$B$2,"PASS","FAIL")))</f>
        <v/>
      </c>
      <c r="U2898" s="8" t="str">
        <f aca="false">IF(T2898="BYPASS",IF(NOT(ISNUMBER(Q2898)),"PreV_ETB missing","End_tr_balance missing"),IF(T2898="FAIL",IF(AND(ISNUMBER(K2898),ISNUMBER(L2898),ABS(L2898-(K2898-IF(ISNUMBER(N2898),N2898,0)-IF(ISNUMBER(O2898),O2898,0)+IF(ISNUMBER(P2898),P2898,0)))&lt;=Summary!$B$2),"Passes using beginning_balance - PreV_ETB differs from beginning_balance",IF(AND(ISNUMBER(O2898),O2898&lt;0,ABS(L2898-(Q2898-IF(ISNUMBER(N2898),N2898,0)+IF(ISNUMBER(P2898),P2898,0)))&lt;=Summary!$B$2),"Negative realized loss not applied - check sign",IF(R2898&lt;0,"Principal paid exceeds prior balance",IF(AND(L2898&gt;Q2898,NOT(ISNUMBER(P2898))),"Balance increased but no Deferred_interest reported",IF(L2898&gt;R2898,"Reported balance higher than expected (missing increase/OC build)","Reported balance lower than expected (missing decrease)"))))),""))</f>
        <v/>
      </c>
    </row>
    <row r="2899" customFormat="false" ht="15" hidden="false" customHeight="false" outlineLevel="0" collapsed="false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9"/>
      <c r="L2899" s="9"/>
      <c r="M2899" s="9"/>
      <c r="N2899" s="9"/>
      <c r="O2899" s="9"/>
      <c r="P2899" s="9"/>
      <c r="Q2899" s="9"/>
      <c r="R2899" s="9" t="str">
        <f aca="false">IF(AND(A2899&lt;&gt;"",ISNUMBER(Q2899),ISNUMBER(L2899)),ROUND(Q2899-IF(ISNUMBER(N2899),N2899,0)-IF(ISNUMBER(O2899),O2899,0)+IF(ISNUMBER(P2899),P2899,0),2),"")</f>
        <v/>
      </c>
      <c r="S2899" s="9" t="str">
        <f aca="false">IF(R2899="","",ROUND(L2899-R2899,2))</f>
        <v/>
      </c>
      <c r="T2899" s="8" t="str">
        <f aca="false">IF(A2899="","",IF(S2899="","BYPASS",IF(ABS(S2899)&lt;=Summary!$B$2,"PASS","FAIL")))</f>
        <v/>
      </c>
      <c r="U2899" s="8" t="str">
        <f aca="false">IF(T2899="BYPASS",IF(NOT(ISNUMBER(Q2899)),"PreV_ETB missing","End_tr_balance missing"),IF(T2899="FAIL",IF(AND(ISNUMBER(K2899),ISNUMBER(L2899),ABS(L2899-(K2899-IF(ISNUMBER(N2899),N2899,0)-IF(ISNUMBER(O2899),O2899,0)+IF(ISNUMBER(P2899),P2899,0)))&lt;=Summary!$B$2),"Passes using beginning_balance - PreV_ETB differs from beginning_balance",IF(AND(ISNUMBER(O2899),O2899&lt;0,ABS(L2899-(Q2899-IF(ISNUMBER(N2899),N2899,0)+IF(ISNUMBER(P2899),P2899,0)))&lt;=Summary!$B$2),"Negative realized loss not applied - check sign",IF(R2899&lt;0,"Principal paid exceeds prior balance",IF(AND(L2899&gt;Q2899,NOT(ISNUMBER(P2899))),"Balance increased but no Deferred_interest reported",IF(L2899&gt;R2899,"Reported balance higher than expected (missing increase/OC build)","Reported balance lower than expected (missing decrease)"))))),""))</f>
        <v/>
      </c>
    </row>
    <row r="2900" customFormat="false" ht="15" hidden="false" customHeight="false" outlineLevel="0" collapsed="false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9"/>
      <c r="L2900" s="9"/>
      <c r="M2900" s="9"/>
      <c r="N2900" s="9"/>
      <c r="O2900" s="9"/>
      <c r="P2900" s="9"/>
      <c r="Q2900" s="9"/>
      <c r="R2900" s="9" t="str">
        <f aca="false">IF(AND(A2900&lt;&gt;"",ISNUMBER(Q2900),ISNUMBER(L2900)),ROUND(Q2900-IF(ISNUMBER(N2900),N2900,0)-IF(ISNUMBER(O2900),O2900,0)+IF(ISNUMBER(P2900),P2900,0),2),"")</f>
        <v/>
      </c>
      <c r="S2900" s="9" t="str">
        <f aca="false">IF(R2900="","",ROUND(L2900-R2900,2))</f>
        <v/>
      </c>
      <c r="T2900" s="8" t="str">
        <f aca="false">IF(A2900="","",IF(S2900="","BYPASS",IF(ABS(S2900)&lt;=Summary!$B$2,"PASS","FAIL")))</f>
        <v/>
      </c>
      <c r="U2900" s="8" t="str">
        <f aca="false">IF(T2900="BYPASS",IF(NOT(ISNUMBER(Q2900)),"PreV_ETB missing","End_tr_balance missing"),IF(T2900="FAIL",IF(AND(ISNUMBER(K2900),ISNUMBER(L2900),ABS(L2900-(K2900-IF(ISNUMBER(N2900),N2900,0)-IF(ISNUMBER(O2900),O2900,0)+IF(ISNUMBER(P2900),P2900,0)))&lt;=Summary!$B$2),"Passes using beginning_balance - PreV_ETB differs from beginning_balance",IF(AND(ISNUMBER(O2900),O2900&lt;0,ABS(L2900-(Q2900-IF(ISNUMBER(N2900),N2900,0)+IF(ISNUMBER(P2900),P2900,0)))&lt;=Summary!$B$2),"Negative realized loss not applied - check sign",IF(R2900&lt;0,"Principal paid exceeds prior balance",IF(AND(L2900&gt;Q2900,NOT(ISNUMBER(P2900))),"Balance increased but no Deferred_interest reported",IF(L2900&gt;R2900,"Reported balance higher than expected (missing increase/OC build)","Reported balance lower than expected (missing decrease)"))))),""))</f>
        <v/>
      </c>
    </row>
    <row r="2901" customFormat="false" ht="15" hidden="false" customHeight="false" outlineLevel="0" collapsed="false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9"/>
      <c r="L2901" s="9"/>
      <c r="M2901" s="9"/>
      <c r="N2901" s="9"/>
      <c r="O2901" s="9"/>
      <c r="P2901" s="9"/>
      <c r="Q2901" s="9"/>
      <c r="R2901" s="9" t="str">
        <f aca="false">IF(AND(A2901&lt;&gt;"",ISNUMBER(Q2901),ISNUMBER(L2901)),ROUND(Q2901-IF(ISNUMBER(N2901),N2901,0)-IF(ISNUMBER(O2901),O2901,0)+IF(ISNUMBER(P2901),P2901,0),2),"")</f>
        <v/>
      </c>
      <c r="S2901" s="9" t="str">
        <f aca="false">IF(R2901="","",ROUND(L2901-R2901,2))</f>
        <v/>
      </c>
      <c r="T2901" s="8" t="str">
        <f aca="false">IF(A2901="","",IF(S2901="","BYPASS",IF(ABS(S2901)&lt;=Summary!$B$2,"PASS","FAIL")))</f>
        <v/>
      </c>
      <c r="U2901" s="8" t="str">
        <f aca="false">IF(T2901="BYPASS",IF(NOT(ISNUMBER(Q2901)),"PreV_ETB missing","End_tr_balance missing"),IF(T2901="FAIL",IF(AND(ISNUMBER(K2901),ISNUMBER(L2901),ABS(L2901-(K2901-IF(ISNUMBER(N2901),N2901,0)-IF(ISNUMBER(O2901),O2901,0)+IF(ISNUMBER(P2901),P2901,0)))&lt;=Summary!$B$2),"Passes using beginning_balance - PreV_ETB differs from beginning_balance",IF(AND(ISNUMBER(O2901),O2901&lt;0,ABS(L2901-(Q2901-IF(ISNUMBER(N2901),N2901,0)+IF(ISNUMBER(P2901),P2901,0)))&lt;=Summary!$B$2),"Negative realized loss not applied - check sign",IF(R2901&lt;0,"Principal paid exceeds prior balance",IF(AND(L2901&gt;Q2901,NOT(ISNUMBER(P2901))),"Balance increased but no Deferred_interest reported",IF(L2901&gt;R2901,"Reported balance higher than expected (missing increase/OC build)","Reported balance lower than expected (missing decrease)"))))),""))</f>
        <v/>
      </c>
    </row>
    <row r="2902" customFormat="false" ht="15" hidden="false" customHeight="false" outlineLevel="0" collapsed="false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9"/>
      <c r="L2902" s="9"/>
      <c r="M2902" s="9"/>
      <c r="N2902" s="9"/>
      <c r="O2902" s="9"/>
      <c r="P2902" s="9"/>
      <c r="Q2902" s="9"/>
      <c r="R2902" s="9" t="str">
        <f aca="false">IF(AND(A2902&lt;&gt;"",ISNUMBER(Q2902),ISNUMBER(L2902)),ROUND(Q2902-IF(ISNUMBER(N2902),N2902,0)-IF(ISNUMBER(O2902),O2902,0)+IF(ISNUMBER(P2902),P2902,0),2),"")</f>
        <v/>
      </c>
      <c r="S2902" s="9" t="str">
        <f aca="false">IF(R2902="","",ROUND(L2902-R2902,2))</f>
        <v/>
      </c>
      <c r="T2902" s="8" t="str">
        <f aca="false">IF(A2902="","",IF(S2902="","BYPASS",IF(ABS(S2902)&lt;=Summary!$B$2,"PASS","FAIL")))</f>
        <v/>
      </c>
      <c r="U2902" s="8" t="str">
        <f aca="false">IF(T2902="BYPASS",IF(NOT(ISNUMBER(Q2902)),"PreV_ETB missing","End_tr_balance missing"),IF(T2902="FAIL",IF(AND(ISNUMBER(K2902),ISNUMBER(L2902),ABS(L2902-(K2902-IF(ISNUMBER(N2902),N2902,0)-IF(ISNUMBER(O2902),O2902,0)+IF(ISNUMBER(P2902),P2902,0)))&lt;=Summary!$B$2),"Passes using beginning_balance - PreV_ETB differs from beginning_balance",IF(AND(ISNUMBER(O2902),O2902&lt;0,ABS(L2902-(Q2902-IF(ISNUMBER(N2902),N2902,0)+IF(ISNUMBER(P2902),P2902,0)))&lt;=Summary!$B$2),"Negative realized loss not applied - check sign",IF(R2902&lt;0,"Principal paid exceeds prior balance",IF(AND(L2902&gt;Q2902,NOT(ISNUMBER(P2902))),"Balance increased but no Deferred_interest reported",IF(L2902&gt;R2902,"Reported balance higher than expected (missing increase/OC build)","Reported balance lower than expected (missing decrease)"))))),""))</f>
        <v/>
      </c>
    </row>
    <row r="2903" customFormat="false" ht="15" hidden="false" customHeight="false" outlineLevel="0" collapsed="false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9"/>
      <c r="L2903" s="9"/>
      <c r="M2903" s="9"/>
      <c r="N2903" s="9"/>
      <c r="O2903" s="9"/>
      <c r="P2903" s="9"/>
      <c r="Q2903" s="9"/>
      <c r="R2903" s="9" t="str">
        <f aca="false">IF(AND(A2903&lt;&gt;"",ISNUMBER(Q2903),ISNUMBER(L2903)),ROUND(Q2903-IF(ISNUMBER(N2903),N2903,0)-IF(ISNUMBER(O2903),O2903,0)+IF(ISNUMBER(P2903),P2903,0),2),"")</f>
        <v/>
      </c>
      <c r="S2903" s="9" t="str">
        <f aca="false">IF(R2903="","",ROUND(L2903-R2903,2))</f>
        <v/>
      </c>
      <c r="T2903" s="8" t="str">
        <f aca="false">IF(A2903="","",IF(S2903="","BYPASS",IF(ABS(S2903)&lt;=Summary!$B$2,"PASS","FAIL")))</f>
        <v/>
      </c>
      <c r="U2903" s="8" t="str">
        <f aca="false">IF(T2903="BYPASS",IF(NOT(ISNUMBER(Q2903)),"PreV_ETB missing","End_tr_balance missing"),IF(T2903="FAIL",IF(AND(ISNUMBER(K2903),ISNUMBER(L2903),ABS(L2903-(K2903-IF(ISNUMBER(N2903),N2903,0)-IF(ISNUMBER(O2903),O2903,0)+IF(ISNUMBER(P2903),P2903,0)))&lt;=Summary!$B$2),"Passes using beginning_balance - PreV_ETB differs from beginning_balance",IF(AND(ISNUMBER(O2903),O2903&lt;0,ABS(L2903-(Q2903-IF(ISNUMBER(N2903),N2903,0)+IF(ISNUMBER(P2903),P2903,0)))&lt;=Summary!$B$2),"Negative realized loss not applied - check sign",IF(R2903&lt;0,"Principal paid exceeds prior balance",IF(AND(L2903&gt;Q2903,NOT(ISNUMBER(P2903))),"Balance increased but no Deferred_interest reported",IF(L2903&gt;R2903,"Reported balance higher than expected (missing increase/OC build)","Reported balance lower than expected (missing decrease)"))))),""))</f>
        <v/>
      </c>
    </row>
    <row r="2904" customFormat="false" ht="15" hidden="false" customHeight="false" outlineLevel="0" collapsed="false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9"/>
      <c r="L2904" s="9"/>
      <c r="M2904" s="9"/>
      <c r="N2904" s="9"/>
      <c r="O2904" s="9"/>
      <c r="P2904" s="9"/>
      <c r="Q2904" s="9"/>
      <c r="R2904" s="9" t="str">
        <f aca="false">IF(AND(A2904&lt;&gt;"",ISNUMBER(Q2904),ISNUMBER(L2904)),ROUND(Q2904-IF(ISNUMBER(N2904),N2904,0)-IF(ISNUMBER(O2904),O2904,0)+IF(ISNUMBER(P2904),P2904,0),2),"")</f>
        <v/>
      </c>
      <c r="S2904" s="9" t="str">
        <f aca="false">IF(R2904="","",ROUND(L2904-R2904,2))</f>
        <v/>
      </c>
      <c r="T2904" s="8" t="str">
        <f aca="false">IF(A2904="","",IF(S2904="","BYPASS",IF(ABS(S2904)&lt;=Summary!$B$2,"PASS","FAIL")))</f>
        <v/>
      </c>
      <c r="U2904" s="8" t="str">
        <f aca="false">IF(T2904="BYPASS",IF(NOT(ISNUMBER(Q2904)),"PreV_ETB missing","End_tr_balance missing"),IF(T2904="FAIL",IF(AND(ISNUMBER(K2904),ISNUMBER(L2904),ABS(L2904-(K2904-IF(ISNUMBER(N2904),N2904,0)-IF(ISNUMBER(O2904),O2904,0)+IF(ISNUMBER(P2904),P2904,0)))&lt;=Summary!$B$2),"Passes using beginning_balance - PreV_ETB differs from beginning_balance",IF(AND(ISNUMBER(O2904),O2904&lt;0,ABS(L2904-(Q2904-IF(ISNUMBER(N2904),N2904,0)+IF(ISNUMBER(P2904),P2904,0)))&lt;=Summary!$B$2),"Negative realized loss not applied - check sign",IF(R2904&lt;0,"Principal paid exceeds prior balance",IF(AND(L2904&gt;Q2904,NOT(ISNUMBER(P2904))),"Balance increased but no Deferred_interest reported",IF(L2904&gt;R2904,"Reported balance higher than expected (missing increase/OC build)","Reported balance lower than expected (missing decrease)"))))),""))</f>
        <v/>
      </c>
    </row>
    <row r="2905" customFormat="false" ht="15" hidden="false" customHeight="false" outlineLevel="0" collapsed="false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9"/>
      <c r="L2905" s="9"/>
      <c r="M2905" s="9"/>
      <c r="N2905" s="9"/>
      <c r="O2905" s="9"/>
      <c r="P2905" s="9"/>
      <c r="Q2905" s="9"/>
      <c r="R2905" s="9" t="str">
        <f aca="false">IF(AND(A2905&lt;&gt;"",ISNUMBER(Q2905),ISNUMBER(L2905)),ROUND(Q2905-IF(ISNUMBER(N2905),N2905,0)-IF(ISNUMBER(O2905),O2905,0)+IF(ISNUMBER(P2905),P2905,0),2),"")</f>
        <v/>
      </c>
      <c r="S2905" s="9" t="str">
        <f aca="false">IF(R2905="","",ROUND(L2905-R2905,2))</f>
        <v/>
      </c>
      <c r="T2905" s="8" t="str">
        <f aca="false">IF(A2905="","",IF(S2905="","BYPASS",IF(ABS(S2905)&lt;=Summary!$B$2,"PASS","FAIL")))</f>
        <v/>
      </c>
      <c r="U2905" s="8" t="str">
        <f aca="false">IF(T2905="BYPASS",IF(NOT(ISNUMBER(Q2905)),"PreV_ETB missing","End_tr_balance missing"),IF(T2905="FAIL",IF(AND(ISNUMBER(K2905),ISNUMBER(L2905),ABS(L2905-(K2905-IF(ISNUMBER(N2905),N2905,0)-IF(ISNUMBER(O2905),O2905,0)+IF(ISNUMBER(P2905),P2905,0)))&lt;=Summary!$B$2),"Passes using beginning_balance - PreV_ETB differs from beginning_balance",IF(AND(ISNUMBER(O2905),O2905&lt;0,ABS(L2905-(Q2905-IF(ISNUMBER(N2905),N2905,0)+IF(ISNUMBER(P2905),P2905,0)))&lt;=Summary!$B$2),"Negative realized loss not applied - check sign",IF(R2905&lt;0,"Principal paid exceeds prior balance",IF(AND(L2905&gt;Q2905,NOT(ISNUMBER(P2905))),"Balance increased but no Deferred_interest reported",IF(L2905&gt;R2905,"Reported balance higher than expected (missing increase/OC build)","Reported balance lower than expected (missing decrease)"))))),""))</f>
        <v/>
      </c>
    </row>
    <row r="2906" customFormat="false" ht="15" hidden="false" customHeight="false" outlineLevel="0" collapsed="false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9"/>
      <c r="L2906" s="9"/>
      <c r="M2906" s="9"/>
      <c r="N2906" s="9"/>
      <c r="O2906" s="9"/>
      <c r="P2906" s="9"/>
      <c r="Q2906" s="9"/>
      <c r="R2906" s="9" t="str">
        <f aca="false">IF(AND(A2906&lt;&gt;"",ISNUMBER(Q2906),ISNUMBER(L2906)),ROUND(Q2906-IF(ISNUMBER(N2906),N2906,0)-IF(ISNUMBER(O2906),O2906,0)+IF(ISNUMBER(P2906),P2906,0),2),"")</f>
        <v/>
      </c>
      <c r="S2906" s="9" t="str">
        <f aca="false">IF(R2906="","",ROUND(L2906-R2906,2))</f>
        <v/>
      </c>
      <c r="T2906" s="8" t="str">
        <f aca="false">IF(A2906="","",IF(S2906="","BYPASS",IF(ABS(S2906)&lt;=Summary!$B$2,"PASS","FAIL")))</f>
        <v/>
      </c>
      <c r="U2906" s="8" t="str">
        <f aca="false">IF(T2906="BYPASS",IF(NOT(ISNUMBER(Q2906)),"PreV_ETB missing","End_tr_balance missing"),IF(T2906="FAIL",IF(AND(ISNUMBER(K2906),ISNUMBER(L2906),ABS(L2906-(K2906-IF(ISNUMBER(N2906),N2906,0)-IF(ISNUMBER(O2906),O2906,0)+IF(ISNUMBER(P2906),P2906,0)))&lt;=Summary!$B$2),"Passes using beginning_balance - PreV_ETB differs from beginning_balance",IF(AND(ISNUMBER(O2906),O2906&lt;0,ABS(L2906-(Q2906-IF(ISNUMBER(N2906),N2906,0)+IF(ISNUMBER(P2906),P2906,0)))&lt;=Summary!$B$2),"Negative realized loss not applied - check sign",IF(R2906&lt;0,"Principal paid exceeds prior balance",IF(AND(L2906&gt;Q2906,NOT(ISNUMBER(P2906))),"Balance increased but no Deferred_interest reported",IF(L2906&gt;R2906,"Reported balance higher than expected (missing increase/OC build)","Reported balance lower than expected (missing decrease)"))))),""))</f>
        <v/>
      </c>
    </row>
    <row r="2907" customFormat="false" ht="15" hidden="false" customHeight="false" outlineLevel="0" collapsed="false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9"/>
      <c r="L2907" s="9"/>
      <c r="M2907" s="9"/>
      <c r="N2907" s="9"/>
      <c r="O2907" s="9"/>
      <c r="P2907" s="9"/>
      <c r="Q2907" s="9"/>
      <c r="R2907" s="9" t="str">
        <f aca="false">IF(AND(A2907&lt;&gt;"",ISNUMBER(Q2907),ISNUMBER(L2907)),ROUND(Q2907-IF(ISNUMBER(N2907),N2907,0)-IF(ISNUMBER(O2907),O2907,0)+IF(ISNUMBER(P2907),P2907,0),2),"")</f>
        <v/>
      </c>
      <c r="S2907" s="9" t="str">
        <f aca="false">IF(R2907="","",ROUND(L2907-R2907,2))</f>
        <v/>
      </c>
      <c r="T2907" s="8" t="str">
        <f aca="false">IF(A2907="","",IF(S2907="","BYPASS",IF(ABS(S2907)&lt;=Summary!$B$2,"PASS","FAIL")))</f>
        <v/>
      </c>
      <c r="U2907" s="8" t="str">
        <f aca="false">IF(T2907="BYPASS",IF(NOT(ISNUMBER(Q2907)),"PreV_ETB missing","End_tr_balance missing"),IF(T2907="FAIL",IF(AND(ISNUMBER(K2907),ISNUMBER(L2907),ABS(L2907-(K2907-IF(ISNUMBER(N2907),N2907,0)-IF(ISNUMBER(O2907),O2907,0)+IF(ISNUMBER(P2907),P2907,0)))&lt;=Summary!$B$2),"Passes using beginning_balance - PreV_ETB differs from beginning_balance",IF(AND(ISNUMBER(O2907),O2907&lt;0,ABS(L2907-(Q2907-IF(ISNUMBER(N2907),N2907,0)+IF(ISNUMBER(P2907),P2907,0)))&lt;=Summary!$B$2),"Negative realized loss not applied - check sign",IF(R2907&lt;0,"Principal paid exceeds prior balance",IF(AND(L2907&gt;Q2907,NOT(ISNUMBER(P2907))),"Balance increased but no Deferred_interest reported",IF(L2907&gt;R2907,"Reported balance higher than expected (missing increase/OC build)","Reported balance lower than expected (missing decrease)"))))),""))</f>
        <v/>
      </c>
    </row>
    <row r="2908" customFormat="false" ht="15" hidden="false" customHeight="false" outlineLevel="0" collapsed="false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9"/>
      <c r="L2908" s="9"/>
      <c r="M2908" s="9"/>
      <c r="N2908" s="9"/>
      <c r="O2908" s="9"/>
      <c r="P2908" s="9"/>
      <c r="Q2908" s="9"/>
      <c r="R2908" s="9" t="str">
        <f aca="false">IF(AND(A2908&lt;&gt;"",ISNUMBER(Q2908),ISNUMBER(L2908)),ROUND(Q2908-IF(ISNUMBER(N2908),N2908,0)-IF(ISNUMBER(O2908),O2908,0)+IF(ISNUMBER(P2908),P2908,0),2),"")</f>
        <v/>
      </c>
      <c r="S2908" s="9" t="str">
        <f aca="false">IF(R2908="","",ROUND(L2908-R2908,2))</f>
        <v/>
      </c>
      <c r="T2908" s="8" t="str">
        <f aca="false">IF(A2908="","",IF(S2908="","BYPASS",IF(ABS(S2908)&lt;=Summary!$B$2,"PASS","FAIL")))</f>
        <v/>
      </c>
      <c r="U2908" s="8" t="str">
        <f aca="false">IF(T2908="BYPASS",IF(NOT(ISNUMBER(Q2908)),"PreV_ETB missing","End_tr_balance missing"),IF(T2908="FAIL",IF(AND(ISNUMBER(K2908),ISNUMBER(L2908),ABS(L2908-(K2908-IF(ISNUMBER(N2908),N2908,0)-IF(ISNUMBER(O2908),O2908,0)+IF(ISNUMBER(P2908),P2908,0)))&lt;=Summary!$B$2),"Passes using beginning_balance - PreV_ETB differs from beginning_balance",IF(AND(ISNUMBER(O2908),O2908&lt;0,ABS(L2908-(Q2908-IF(ISNUMBER(N2908),N2908,0)+IF(ISNUMBER(P2908),P2908,0)))&lt;=Summary!$B$2),"Negative realized loss not applied - check sign",IF(R2908&lt;0,"Principal paid exceeds prior balance",IF(AND(L2908&gt;Q2908,NOT(ISNUMBER(P2908))),"Balance increased but no Deferred_interest reported",IF(L2908&gt;R2908,"Reported balance higher than expected (missing increase/OC build)","Reported balance lower than expected (missing decrease)"))))),""))</f>
        <v/>
      </c>
    </row>
    <row r="2909" customFormat="false" ht="15" hidden="false" customHeight="false" outlineLevel="0" collapsed="false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9"/>
      <c r="L2909" s="9"/>
      <c r="M2909" s="9"/>
      <c r="N2909" s="9"/>
      <c r="O2909" s="9"/>
      <c r="P2909" s="9"/>
      <c r="Q2909" s="9"/>
      <c r="R2909" s="9" t="str">
        <f aca="false">IF(AND(A2909&lt;&gt;"",ISNUMBER(Q2909),ISNUMBER(L2909)),ROUND(Q2909-IF(ISNUMBER(N2909),N2909,0)-IF(ISNUMBER(O2909),O2909,0)+IF(ISNUMBER(P2909),P2909,0),2),"")</f>
        <v/>
      </c>
      <c r="S2909" s="9" t="str">
        <f aca="false">IF(R2909="","",ROUND(L2909-R2909,2))</f>
        <v/>
      </c>
      <c r="T2909" s="8" t="str">
        <f aca="false">IF(A2909="","",IF(S2909="","BYPASS",IF(ABS(S2909)&lt;=Summary!$B$2,"PASS","FAIL")))</f>
        <v/>
      </c>
      <c r="U2909" s="8" t="str">
        <f aca="false">IF(T2909="BYPASS",IF(NOT(ISNUMBER(Q2909)),"PreV_ETB missing","End_tr_balance missing"),IF(T2909="FAIL",IF(AND(ISNUMBER(K2909),ISNUMBER(L2909),ABS(L2909-(K2909-IF(ISNUMBER(N2909),N2909,0)-IF(ISNUMBER(O2909),O2909,0)+IF(ISNUMBER(P2909),P2909,0)))&lt;=Summary!$B$2),"Passes using beginning_balance - PreV_ETB differs from beginning_balance",IF(AND(ISNUMBER(O2909),O2909&lt;0,ABS(L2909-(Q2909-IF(ISNUMBER(N2909),N2909,0)+IF(ISNUMBER(P2909),P2909,0)))&lt;=Summary!$B$2),"Negative realized loss not applied - check sign",IF(R2909&lt;0,"Principal paid exceeds prior balance",IF(AND(L2909&gt;Q2909,NOT(ISNUMBER(P2909))),"Balance increased but no Deferred_interest reported",IF(L2909&gt;R2909,"Reported balance higher than expected (missing increase/OC build)","Reported balance lower than expected (missing decrease)"))))),""))</f>
        <v/>
      </c>
    </row>
    <row r="2910" customFormat="false" ht="15" hidden="false" customHeight="false" outlineLevel="0" collapsed="false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9"/>
      <c r="L2910" s="9"/>
      <c r="M2910" s="9"/>
      <c r="N2910" s="9"/>
      <c r="O2910" s="9"/>
      <c r="P2910" s="9"/>
      <c r="Q2910" s="9"/>
      <c r="R2910" s="9" t="str">
        <f aca="false">IF(AND(A2910&lt;&gt;"",ISNUMBER(Q2910),ISNUMBER(L2910)),ROUND(Q2910-IF(ISNUMBER(N2910),N2910,0)-IF(ISNUMBER(O2910),O2910,0)+IF(ISNUMBER(P2910),P2910,0),2),"")</f>
        <v/>
      </c>
      <c r="S2910" s="9" t="str">
        <f aca="false">IF(R2910="","",ROUND(L2910-R2910,2))</f>
        <v/>
      </c>
      <c r="T2910" s="8" t="str">
        <f aca="false">IF(A2910="","",IF(S2910="","BYPASS",IF(ABS(S2910)&lt;=Summary!$B$2,"PASS","FAIL")))</f>
        <v/>
      </c>
      <c r="U2910" s="8" t="str">
        <f aca="false">IF(T2910="BYPASS",IF(NOT(ISNUMBER(Q2910)),"PreV_ETB missing","End_tr_balance missing"),IF(T2910="FAIL",IF(AND(ISNUMBER(K2910),ISNUMBER(L2910),ABS(L2910-(K2910-IF(ISNUMBER(N2910),N2910,0)-IF(ISNUMBER(O2910),O2910,0)+IF(ISNUMBER(P2910),P2910,0)))&lt;=Summary!$B$2),"Passes using beginning_balance - PreV_ETB differs from beginning_balance",IF(AND(ISNUMBER(O2910),O2910&lt;0,ABS(L2910-(Q2910-IF(ISNUMBER(N2910),N2910,0)+IF(ISNUMBER(P2910),P2910,0)))&lt;=Summary!$B$2),"Negative realized loss not applied - check sign",IF(R2910&lt;0,"Principal paid exceeds prior balance",IF(AND(L2910&gt;Q2910,NOT(ISNUMBER(P2910))),"Balance increased but no Deferred_interest reported",IF(L2910&gt;R2910,"Reported balance higher than expected (missing increase/OC build)","Reported balance lower than expected (missing decrease)"))))),""))</f>
        <v/>
      </c>
    </row>
    <row r="2911" customFormat="false" ht="15" hidden="false" customHeight="false" outlineLevel="0" collapsed="false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9"/>
      <c r="L2911" s="9"/>
      <c r="M2911" s="9"/>
      <c r="N2911" s="9"/>
      <c r="O2911" s="9"/>
      <c r="P2911" s="9"/>
      <c r="Q2911" s="9"/>
      <c r="R2911" s="9" t="str">
        <f aca="false">IF(AND(A2911&lt;&gt;"",ISNUMBER(Q2911),ISNUMBER(L2911)),ROUND(Q2911-IF(ISNUMBER(N2911),N2911,0)-IF(ISNUMBER(O2911),O2911,0)+IF(ISNUMBER(P2911),P2911,0),2),"")</f>
        <v/>
      </c>
      <c r="S2911" s="9" t="str">
        <f aca="false">IF(R2911="","",ROUND(L2911-R2911,2))</f>
        <v/>
      </c>
      <c r="T2911" s="8" t="str">
        <f aca="false">IF(A2911="","",IF(S2911="","BYPASS",IF(ABS(S2911)&lt;=Summary!$B$2,"PASS","FAIL")))</f>
        <v/>
      </c>
      <c r="U2911" s="8" t="str">
        <f aca="false">IF(T2911="BYPASS",IF(NOT(ISNUMBER(Q2911)),"PreV_ETB missing","End_tr_balance missing"),IF(T2911="FAIL",IF(AND(ISNUMBER(K2911),ISNUMBER(L2911),ABS(L2911-(K2911-IF(ISNUMBER(N2911),N2911,0)-IF(ISNUMBER(O2911),O2911,0)+IF(ISNUMBER(P2911),P2911,0)))&lt;=Summary!$B$2),"Passes using beginning_balance - PreV_ETB differs from beginning_balance",IF(AND(ISNUMBER(O2911),O2911&lt;0,ABS(L2911-(Q2911-IF(ISNUMBER(N2911),N2911,0)+IF(ISNUMBER(P2911),P2911,0)))&lt;=Summary!$B$2),"Negative realized loss not applied - check sign",IF(R2911&lt;0,"Principal paid exceeds prior balance",IF(AND(L2911&gt;Q2911,NOT(ISNUMBER(P2911))),"Balance increased but no Deferred_interest reported",IF(L2911&gt;R2911,"Reported balance higher than expected (missing increase/OC build)","Reported balance lower than expected (missing decrease)"))))),""))</f>
        <v/>
      </c>
    </row>
    <row r="2912" customFormat="false" ht="15" hidden="false" customHeight="false" outlineLevel="0" collapsed="false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9"/>
      <c r="L2912" s="9"/>
      <c r="M2912" s="9"/>
      <c r="N2912" s="9"/>
      <c r="O2912" s="9"/>
      <c r="P2912" s="9"/>
      <c r="Q2912" s="9"/>
      <c r="R2912" s="9" t="str">
        <f aca="false">IF(AND(A2912&lt;&gt;"",ISNUMBER(Q2912),ISNUMBER(L2912)),ROUND(Q2912-IF(ISNUMBER(N2912),N2912,0)-IF(ISNUMBER(O2912),O2912,0)+IF(ISNUMBER(P2912),P2912,0),2),"")</f>
        <v/>
      </c>
      <c r="S2912" s="9" t="str">
        <f aca="false">IF(R2912="","",ROUND(L2912-R2912,2))</f>
        <v/>
      </c>
      <c r="T2912" s="8" t="str">
        <f aca="false">IF(A2912="","",IF(S2912="","BYPASS",IF(ABS(S2912)&lt;=Summary!$B$2,"PASS","FAIL")))</f>
        <v/>
      </c>
      <c r="U2912" s="8" t="str">
        <f aca="false">IF(T2912="BYPASS",IF(NOT(ISNUMBER(Q2912)),"PreV_ETB missing","End_tr_balance missing"),IF(T2912="FAIL",IF(AND(ISNUMBER(K2912),ISNUMBER(L2912),ABS(L2912-(K2912-IF(ISNUMBER(N2912),N2912,0)-IF(ISNUMBER(O2912),O2912,0)+IF(ISNUMBER(P2912),P2912,0)))&lt;=Summary!$B$2),"Passes using beginning_balance - PreV_ETB differs from beginning_balance",IF(AND(ISNUMBER(O2912),O2912&lt;0,ABS(L2912-(Q2912-IF(ISNUMBER(N2912),N2912,0)+IF(ISNUMBER(P2912),P2912,0)))&lt;=Summary!$B$2),"Negative realized loss not applied - check sign",IF(R2912&lt;0,"Principal paid exceeds prior balance",IF(AND(L2912&gt;Q2912,NOT(ISNUMBER(P2912))),"Balance increased but no Deferred_interest reported",IF(L2912&gt;R2912,"Reported balance higher than expected (missing increase/OC build)","Reported balance lower than expected (missing decrease)"))))),""))</f>
        <v/>
      </c>
    </row>
    <row r="2913" customFormat="false" ht="15" hidden="false" customHeight="false" outlineLevel="0" collapsed="false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9"/>
      <c r="L2913" s="9"/>
      <c r="M2913" s="9"/>
      <c r="N2913" s="9"/>
      <c r="O2913" s="9"/>
      <c r="P2913" s="9"/>
      <c r="Q2913" s="9"/>
      <c r="R2913" s="9" t="str">
        <f aca="false">IF(AND(A2913&lt;&gt;"",ISNUMBER(Q2913),ISNUMBER(L2913)),ROUND(Q2913-IF(ISNUMBER(N2913),N2913,0)-IF(ISNUMBER(O2913),O2913,0)+IF(ISNUMBER(P2913),P2913,0),2),"")</f>
        <v/>
      </c>
      <c r="S2913" s="9" t="str">
        <f aca="false">IF(R2913="","",ROUND(L2913-R2913,2))</f>
        <v/>
      </c>
      <c r="T2913" s="8" t="str">
        <f aca="false">IF(A2913="","",IF(S2913="","BYPASS",IF(ABS(S2913)&lt;=Summary!$B$2,"PASS","FAIL")))</f>
        <v/>
      </c>
      <c r="U2913" s="8" t="str">
        <f aca="false">IF(T2913="BYPASS",IF(NOT(ISNUMBER(Q2913)),"PreV_ETB missing","End_tr_balance missing"),IF(T2913="FAIL",IF(AND(ISNUMBER(K2913),ISNUMBER(L2913),ABS(L2913-(K2913-IF(ISNUMBER(N2913),N2913,0)-IF(ISNUMBER(O2913),O2913,0)+IF(ISNUMBER(P2913),P2913,0)))&lt;=Summary!$B$2),"Passes using beginning_balance - PreV_ETB differs from beginning_balance",IF(AND(ISNUMBER(O2913),O2913&lt;0,ABS(L2913-(Q2913-IF(ISNUMBER(N2913),N2913,0)+IF(ISNUMBER(P2913),P2913,0)))&lt;=Summary!$B$2),"Negative realized loss not applied - check sign",IF(R2913&lt;0,"Principal paid exceeds prior balance",IF(AND(L2913&gt;Q2913,NOT(ISNUMBER(P2913))),"Balance increased but no Deferred_interest reported",IF(L2913&gt;R2913,"Reported balance higher than expected (missing increase/OC build)","Reported balance lower than expected (missing decrease)"))))),""))</f>
        <v/>
      </c>
    </row>
    <row r="2914" customFormat="false" ht="15" hidden="false" customHeight="false" outlineLevel="0" collapsed="false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9"/>
      <c r="L2914" s="9"/>
      <c r="M2914" s="9"/>
      <c r="N2914" s="9"/>
      <c r="O2914" s="9"/>
      <c r="P2914" s="9"/>
      <c r="Q2914" s="9"/>
      <c r="R2914" s="9" t="str">
        <f aca="false">IF(AND(A2914&lt;&gt;"",ISNUMBER(Q2914),ISNUMBER(L2914)),ROUND(Q2914-IF(ISNUMBER(N2914),N2914,0)-IF(ISNUMBER(O2914),O2914,0)+IF(ISNUMBER(P2914),P2914,0),2),"")</f>
        <v/>
      </c>
      <c r="S2914" s="9" t="str">
        <f aca="false">IF(R2914="","",ROUND(L2914-R2914,2))</f>
        <v/>
      </c>
      <c r="T2914" s="8" t="str">
        <f aca="false">IF(A2914="","",IF(S2914="","BYPASS",IF(ABS(S2914)&lt;=Summary!$B$2,"PASS","FAIL")))</f>
        <v/>
      </c>
      <c r="U2914" s="8" t="str">
        <f aca="false">IF(T2914="BYPASS",IF(NOT(ISNUMBER(Q2914)),"PreV_ETB missing","End_tr_balance missing"),IF(T2914="FAIL",IF(AND(ISNUMBER(K2914),ISNUMBER(L2914),ABS(L2914-(K2914-IF(ISNUMBER(N2914),N2914,0)-IF(ISNUMBER(O2914),O2914,0)+IF(ISNUMBER(P2914),P2914,0)))&lt;=Summary!$B$2),"Passes using beginning_balance - PreV_ETB differs from beginning_balance",IF(AND(ISNUMBER(O2914),O2914&lt;0,ABS(L2914-(Q2914-IF(ISNUMBER(N2914),N2914,0)+IF(ISNUMBER(P2914),P2914,0)))&lt;=Summary!$B$2),"Negative realized loss not applied - check sign",IF(R2914&lt;0,"Principal paid exceeds prior balance",IF(AND(L2914&gt;Q2914,NOT(ISNUMBER(P2914))),"Balance increased but no Deferred_interest reported",IF(L2914&gt;R2914,"Reported balance higher than expected (missing increase/OC build)","Reported balance lower than expected (missing decrease)"))))),""))</f>
        <v/>
      </c>
    </row>
    <row r="2915" customFormat="false" ht="15" hidden="false" customHeight="false" outlineLevel="0" collapsed="false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9"/>
      <c r="L2915" s="9"/>
      <c r="M2915" s="9"/>
      <c r="N2915" s="9"/>
      <c r="O2915" s="9"/>
      <c r="P2915" s="9"/>
      <c r="Q2915" s="9"/>
      <c r="R2915" s="9" t="str">
        <f aca="false">IF(AND(A2915&lt;&gt;"",ISNUMBER(Q2915),ISNUMBER(L2915)),ROUND(Q2915-IF(ISNUMBER(N2915),N2915,0)-IF(ISNUMBER(O2915),O2915,0)+IF(ISNUMBER(P2915),P2915,0),2),"")</f>
        <v/>
      </c>
      <c r="S2915" s="9" t="str">
        <f aca="false">IF(R2915="","",ROUND(L2915-R2915,2))</f>
        <v/>
      </c>
      <c r="T2915" s="8" t="str">
        <f aca="false">IF(A2915="","",IF(S2915="","BYPASS",IF(ABS(S2915)&lt;=Summary!$B$2,"PASS","FAIL")))</f>
        <v/>
      </c>
      <c r="U2915" s="8" t="str">
        <f aca="false">IF(T2915="BYPASS",IF(NOT(ISNUMBER(Q2915)),"PreV_ETB missing","End_tr_balance missing"),IF(T2915="FAIL",IF(AND(ISNUMBER(K2915),ISNUMBER(L2915),ABS(L2915-(K2915-IF(ISNUMBER(N2915),N2915,0)-IF(ISNUMBER(O2915),O2915,0)+IF(ISNUMBER(P2915),P2915,0)))&lt;=Summary!$B$2),"Passes using beginning_balance - PreV_ETB differs from beginning_balance",IF(AND(ISNUMBER(O2915),O2915&lt;0,ABS(L2915-(Q2915-IF(ISNUMBER(N2915),N2915,0)+IF(ISNUMBER(P2915),P2915,0)))&lt;=Summary!$B$2),"Negative realized loss not applied - check sign",IF(R2915&lt;0,"Principal paid exceeds prior balance",IF(AND(L2915&gt;Q2915,NOT(ISNUMBER(P2915))),"Balance increased but no Deferred_interest reported",IF(L2915&gt;R2915,"Reported balance higher than expected (missing increase/OC build)","Reported balance lower than expected (missing decrease)"))))),""))</f>
        <v/>
      </c>
    </row>
    <row r="2916" customFormat="false" ht="15" hidden="false" customHeight="false" outlineLevel="0" collapsed="false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9"/>
      <c r="L2916" s="9"/>
      <c r="M2916" s="9"/>
      <c r="N2916" s="9"/>
      <c r="O2916" s="9"/>
      <c r="P2916" s="9"/>
      <c r="Q2916" s="9"/>
      <c r="R2916" s="9" t="str">
        <f aca="false">IF(AND(A2916&lt;&gt;"",ISNUMBER(Q2916),ISNUMBER(L2916)),ROUND(Q2916-IF(ISNUMBER(N2916),N2916,0)-IF(ISNUMBER(O2916),O2916,0)+IF(ISNUMBER(P2916),P2916,0),2),"")</f>
        <v/>
      </c>
      <c r="S2916" s="9" t="str">
        <f aca="false">IF(R2916="","",ROUND(L2916-R2916,2))</f>
        <v/>
      </c>
      <c r="T2916" s="8" t="str">
        <f aca="false">IF(A2916="","",IF(S2916="","BYPASS",IF(ABS(S2916)&lt;=Summary!$B$2,"PASS","FAIL")))</f>
        <v/>
      </c>
      <c r="U2916" s="8" t="str">
        <f aca="false">IF(T2916="BYPASS",IF(NOT(ISNUMBER(Q2916)),"PreV_ETB missing","End_tr_balance missing"),IF(T2916="FAIL",IF(AND(ISNUMBER(K2916),ISNUMBER(L2916),ABS(L2916-(K2916-IF(ISNUMBER(N2916),N2916,0)-IF(ISNUMBER(O2916),O2916,0)+IF(ISNUMBER(P2916),P2916,0)))&lt;=Summary!$B$2),"Passes using beginning_balance - PreV_ETB differs from beginning_balance",IF(AND(ISNUMBER(O2916),O2916&lt;0,ABS(L2916-(Q2916-IF(ISNUMBER(N2916),N2916,0)+IF(ISNUMBER(P2916),P2916,0)))&lt;=Summary!$B$2),"Negative realized loss not applied - check sign",IF(R2916&lt;0,"Principal paid exceeds prior balance",IF(AND(L2916&gt;Q2916,NOT(ISNUMBER(P2916))),"Balance increased but no Deferred_interest reported",IF(L2916&gt;R2916,"Reported balance higher than expected (missing increase/OC build)","Reported balance lower than expected (missing decrease)"))))),""))</f>
        <v/>
      </c>
    </row>
    <row r="2917" customFormat="false" ht="15" hidden="false" customHeight="false" outlineLevel="0" collapsed="false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9"/>
      <c r="L2917" s="9"/>
      <c r="M2917" s="9"/>
      <c r="N2917" s="9"/>
      <c r="O2917" s="9"/>
      <c r="P2917" s="9"/>
      <c r="Q2917" s="9"/>
      <c r="R2917" s="9" t="str">
        <f aca="false">IF(AND(A2917&lt;&gt;"",ISNUMBER(Q2917),ISNUMBER(L2917)),ROUND(Q2917-IF(ISNUMBER(N2917),N2917,0)-IF(ISNUMBER(O2917),O2917,0)+IF(ISNUMBER(P2917),P2917,0),2),"")</f>
        <v/>
      </c>
      <c r="S2917" s="9" t="str">
        <f aca="false">IF(R2917="","",ROUND(L2917-R2917,2))</f>
        <v/>
      </c>
      <c r="T2917" s="8" t="str">
        <f aca="false">IF(A2917="","",IF(S2917="","BYPASS",IF(ABS(S2917)&lt;=Summary!$B$2,"PASS","FAIL")))</f>
        <v/>
      </c>
      <c r="U2917" s="8" t="str">
        <f aca="false">IF(T2917="BYPASS",IF(NOT(ISNUMBER(Q2917)),"PreV_ETB missing","End_tr_balance missing"),IF(T2917="FAIL",IF(AND(ISNUMBER(K2917),ISNUMBER(L2917),ABS(L2917-(K2917-IF(ISNUMBER(N2917),N2917,0)-IF(ISNUMBER(O2917),O2917,0)+IF(ISNUMBER(P2917),P2917,0)))&lt;=Summary!$B$2),"Passes using beginning_balance - PreV_ETB differs from beginning_balance",IF(AND(ISNUMBER(O2917),O2917&lt;0,ABS(L2917-(Q2917-IF(ISNUMBER(N2917),N2917,0)+IF(ISNUMBER(P2917),P2917,0)))&lt;=Summary!$B$2),"Negative realized loss not applied - check sign",IF(R2917&lt;0,"Principal paid exceeds prior balance",IF(AND(L2917&gt;Q2917,NOT(ISNUMBER(P2917))),"Balance increased but no Deferred_interest reported",IF(L2917&gt;R2917,"Reported balance higher than expected (missing increase/OC build)","Reported balance lower than expected (missing decrease)"))))),""))</f>
        <v/>
      </c>
    </row>
    <row r="2918" customFormat="false" ht="15" hidden="false" customHeight="false" outlineLevel="0" collapsed="false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9"/>
      <c r="L2918" s="9"/>
      <c r="M2918" s="9"/>
      <c r="N2918" s="9"/>
      <c r="O2918" s="9"/>
      <c r="P2918" s="9"/>
      <c r="Q2918" s="9"/>
      <c r="R2918" s="9" t="str">
        <f aca="false">IF(AND(A2918&lt;&gt;"",ISNUMBER(Q2918),ISNUMBER(L2918)),ROUND(Q2918-IF(ISNUMBER(N2918),N2918,0)-IF(ISNUMBER(O2918),O2918,0)+IF(ISNUMBER(P2918),P2918,0),2),"")</f>
        <v/>
      </c>
      <c r="S2918" s="9" t="str">
        <f aca="false">IF(R2918="","",ROUND(L2918-R2918,2))</f>
        <v/>
      </c>
      <c r="T2918" s="8" t="str">
        <f aca="false">IF(A2918="","",IF(S2918="","BYPASS",IF(ABS(S2918)&lt;=Summary!$B$2,"PASS","FAIL")))</f>
        <v/>
      </c>
      <c r="U2918" s="8" t="str">
        <f aca="false">IF(T2918="BYPASS",IF(NOT(ISNUMBER(Q2918)),"PreV_ETB missing","End_tr_balance missing"),IF(T2918="FAIL",IF(AND(ISNUMBER(K2918),ISNUMBER(L2918),ABS(L2918-(K2918-IF(ISNUMBER(N2918),N2918,0)-IF(ISNUMBER(O2918),O2918,0)+IF(ISNUMBER(P2918),P2918,0)))&lt;=Summary!$B$2),"Passes using beginning_balance - PreV_ETB differs from beginning_balance",IF(AND(ISNUMBER(O2918),O2918&lt;0,ABS(L2918-(Q2918-IF(ISNUMBER(N2918),N2918,0)+IF(ISNUMBER(P2918),P2918,0)))&lt;=Summary!$B$2),"Negative realized loss not applied - check sign",IF(R2918&lt;0,"Principal paid exceeds prior balance",IF(AND(L2918&gt;Q2918,NOT(ISNUMBER(P2918))),"Balance increased but no Deferred_interest reported",IF(L2918&gt;R2918,"Reported balance higher than expected (missing increase/OC build)","Reported balance lower than expected (missing decrease)"))))),""))</f>
        <v/>
      </c>
    </row>
    <row r="2919" customFormat="false" ht="15" hidden="false" customHeight="false" outlineLevel="0" collapsed="false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9"/>
      <c r="L2919" s="9"/>
      <c r="M2919" s="9"/>
      <c r="N2919" s="9"/>
      <c r="O2919" s="9"/>
      <c r="P2919" s="9"/>
      <c r="Q2919" s="9"/>
      <c r="R2919" s="9" t="str">
        <f aca="false">IF(AND(A2919&lt;&gt;"",ISNUMBER(Q2919),ISNUMBER(L2919)),ROUND(Q2919-IF(ISNUMBER(N2919),N2919,0)-IF(ISNUMBER(O2919),O2919,0)+IF(ISNUMBER(P2919),P2919,0),2),"")</f>
        <v/>
      </c>
      <c r="S2919" s="9" t="str">
        <f aca="false">IF(R2919="","",ROUND(L2919-R2919,2))</f>
        <v/>
      </c>
      <c r="T2919" s="8" t="str">
        <f aca="false">IF(A2919="","",IF(S2919="","BYPASS",IF(ABS(S2919)&lt;=Summary!$B$2,"PASS","FAIL")))</f>
        <v/>
      </c>
      <c r="U2919" s="8" t="str">
        <f aca="false">IF(T2919="BYPASS",IF(NOT(ISNUMBER(Q2919)),"PreV_ETB missing","End_tr_balance missing"),IF(T2919="FAIL",IF(AND(ISNUMBER(K2919),ISNUMBER(L2919),ABS(L2919-(K2919-IF(ISNUMBER(N2919),N2919,0)-IF(ISNUMBER(O2919),O2919,0)+IF(ISNUMBER(P2919),P2919,0)))&lt;=Summary!$B$2),"Passes using beginning_balance - PreV_ETB differs from beginning_balance",IF(AND(ISNUMBER(O2919),O2919&lt;0,ABS(L2919-(Q2919-IF(ISNUMBER(N2919),N2919,0)+IF(ISNUMBER(P2919),P2919,0)))&lt;=Summary!$B$2),"Negative realized loss not applied - check sign",IF(R2919&lt;0,"Principal paid exceeds prior balance",IF(AND(L2919&gt;Q2919,NOT(ISNUMBER(P2919))),"Balance increased but no Deferred_interest reported",IF(L2919&gt;R2919,"Reported balance higher than expected (missing increase/OC build)","Reported balance lower than expected (missing decrease)"))))),""))</f>
        <v/>
      </c>
    </row>
    <row r="2920" customFormat="false" ht="15" hidden="false" customHeight="false" outlineLevel="0" collapsed="false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9"/>
      <c r="L2920" s="9"/>
      <c r="M2920" s="9"/>
      <c r="N2920" s="9"/>
      <c r="O2920" s="9"/>
      <c r="P2920" s="9"/>
      <c r="Q2920" s="9"/>
      <c r="R2920" s="9" t="str">
        <f aca="false">IF(AND(A2920&lt;&gt;"",ISNUMBER(Q2920),ISNUMBER(L2920)),ROUND(Q2920-IF(ISNUMBER(N2920),N2920,0)-IF(ISNUMBER(O2920),O2920,0)+IF(ISNUMBER(P2920),P2920,0),2),"")</f>
        <v/>
      </c>
      <c r="S2920" s="9" t="str">
        <f aca="false">IF(R2920="","",ROUND(L2920-R2920,2))</f>
        <v/>
      </c>
      <c r="T2920" s="8" t="str">
        <f aca="false">IF(A2920="","",IF(S2920="","BYPASS",IF(ABS(S2920)&lt;=Summary!$B$2,"PASS","FAIL")))</f>
        <v/>
      </c>
      <c r="U2920" s="8" t="str">
        <f aca="false">IF(T2920="BYPASS",IF(NOT(ISNUMBER(Q2920)),"PreV_ETB missing","End_tr_balance missing"),IF(T2920="FAIL",IF(AND(ISNUMBER(K2920),ISNUMBER(L2920),ABS(L2920-(K2920-IF(ISNUMBER(N2920),N2920,0)-IF(ISNUMBER(O2920),O2920,0)+IF(ISNUMBER(P2920),P2920,0)))&lt;=Summary!$B$2),"Passes using beginning_balance - PreV_ETB differs from beginning_balance",IF(AND(ISNUMBER(O2920),O2920&lt;0,ABS(L2920-(Q2920-IF(ISNUMBER(N2920),N2920,0)+IF(ISNUMBER(P2920),P2920,0)))&lt;=Summary!$B$2),"Negative realized loss not applied - check sign",IF(R2920&lt;0,"Principal paid exceeds prior balance",IF(AND(L2920&gt;Q2920,NOT(ISNUMBER(P2920))),"Balance increased but no Deferred_interest reported",IF(L2920&gt;R2920,"Reported balance higher than expected (missing increase/OC build)","Reported balance lower than expected (missing decrease)"))))),""))</f>
        <v/>
      </c>
    </row>
    <row r="2921" customFormat="false" ht="15" hidden="false" customHeight="false" outlineLevel="0" collapsed="false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9"/>
      <c r="L2921" s="9"/>
      <c r="M2921" s="9"/>
      <c r="N2921" s="9"/>
      <c r="O2921" s="9"/>
      <c r="P2921" s="9"/>
      <c r="Q2921" s="9"/>
      <c r="R2921" s="9" t="str">
        <f aca="false">IF(AND(A2921&lt;&gt;"",ISNUMBER(Q2921),ISNUMBER(L2921)),ROUND(Q2921-IF(ISNUMBER(N2921),N2921,0)-IF(ISNUMBER(O2921),O2921,0)+IF(ISNUMBER(P2921),P2921,0),2),"")</f>
        <v/>
      </c>
      <c r="S2921" s="9" t="str">
        <f aca="false">IF(R2921="","",ROUND(L2921-R2921,2))</f>
        <v/>
      </c>
      <c r="T2921" s="8" t="str">
        <f aca="false">IF(A2921="","",IF(S2921="","BYPASS",IF(ABS(S2921)&lt;=Summary!$B$2,"PASS","FAIL")))</f>
        <v/>
      </c>
      <c r="U2921" s="8" t="str">
        <f aca="false">IF(T2921="BYPASS",IF(NOT(ISNUMBER(Q2921)),"PreV_ETB missing","End_tr_balance missing"),IF(T2921="FAIL",IF(AND(ISNUMBER(K2921),ISNUMBER(L2921),ABS(L2921-(K2921-IF(ISNUMBER(N2921),N2921,0)-IF(ISNUMBER(O2921),O2921,0)+IF(ISNUMBER(P2921),P2921,0)))&lt;=Summary!$B$2),"Passes using beginning_balance - PreV_ETB differs from beginning_balance",IF(AND(ISNUMBER(O2921),O2921&lt;0,ABS(L2921-(Q2921-IF(ISNUMBER(N2921),N2921,0)+IF(ISNUMBER(P2921),P2921,0)))&lt;=Summary!$B$2),"Negative realized loss not applied - check sign",IF(R2921&lt;0,"Principal paid exceeds prior balance",IF(AND(L2921&gt;Q2921,NOT(ISNUMBER(P2921))),"Balance increased but no Deferred_interest reported",IF(L2921&gt;R2921,"Reported balance higher than expected (missing increase/OC build)","Reported balance lower than expected (missing decrease)"))))),""))</f>
        <v/>
      </c>
    </row>
    <row r="2922" customFormat="false" ht="15" hidden="false" customHeight="false" outlineLevel="0" collapsed="false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9"/>
      <c r="L2922" s="9"/>
      <c r="M2922" s="9"/>
      <c r="N2922" s="9"/>
      <c r="O2922" s="9"/>
      <c r="P2922" s="9"/>
      <c r="Q2922" s="9"/>
      <c r="R2922" s="9" t="str">
        <f aca="false">IF(AND(A2922&lt;&gt;"",ISNUMBER(Q2922),ISNUMBER(L2922)),ROUND(Q2922-IF(ISNUMBER(N2922),N2922,0)-IF(ISNUMBER(O2922),O2922,0)+IF(ISNUMBER(P2922),P2922,0),2),"")</f>
        <v/>
      </c>
      <c r="S2922" s="9" t="str">
        <f aca="false">IF(R2922="","",ROUND(L2922-R2922,2))</f>
        <v/>
      </c>
      <c r="T2922" s="8" t="str">
        <f aca="false">IF(A2922="","",IF(S2922="","BYPASS",IF(ABS(S2922)&lt;=Summary!$B$2,"PASS","FAIL")))</f>
        <v/>
      </c>
      <c r="U2922" s="8" t="str">
        <f aca="false">IF(T2922="BYPASS",IF(NOT(ISNUMBER(Q2922)),"PreV_ETB missing","End_tr_balance missing"),IF(T2922="FAIL",IF(AND(ISNUMBER(K2922),ISNUMBER(L2922),ABS(L2922-(K2922-IF(ISNUMBER(N2922),N2922,0)-IF(ISNUMBER(O2922),O2922,0)+IF(ISNUMBER(P2922),P2922,0)))&lt;=Summary!$B$2),"Passes using beginning_balance - PreV_ETB differs from beginning_balance",IF(AND(ISNUMBER(O2922),O2922&lt;0,ABS(L2922-(Q2922-IF(ISNUMBER(N2922),N2922,0)+IF(ISNUMBER(P2922),P2922,0)))&lt;=Summary!$B$2),"Negative realized loss not applied - check sign",IF(R2922&lt;0,"Principal paid exceeds prior balance",IF(AND(L2922&gt;Q2922,NOT(ISNUMBER(P2922))),"Balance increased but no Deferred_interest reported",IF(L2922&gt;R2922,"Reported balance higher than expected (missing increase/OC build)","Reported balance lower than expected (missing decrease)"))))),""))</f>
        <v/>
      </c>
    </row>
    <row r="2923" customFormat="false" ht="15" hidden="false" customHeight="false" outlineLevel="0" collapsed="false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9"/>
      <c r="L2923" s="9"/>
      <c r="M2923" s="9"/>
      <c r="N2923" s="9"/>
      <c r="O2923" s="9"/>
      <c r="P2923" s="9"/>
      <c r="Q2923" s="9"/>
      <c r="R2923" s="9" t="str">
        <f aca="false">IF(AND(A2923&lt;&gt;"",ISNUMBER(Q2923),ISNUMBER(L2923)),ROUND(Q2923-IF(ISNUMBER(N2923),N2923,0)-IF(ISNUMBER(O2923),O2923,0)+IF(ISNUMBER(P2923),P2923,0),2),"")</f>
        <v/>
      </c>
      <c r="S2923" s="9" t="str">
        <f aca="false">IF(R2923="","",ROUND(L2923-R2923,2))</f>
        <v/>
      </c>
      <c r="T2923" s="8" t="str">
        <f aca="false">IF(A2923="","",IF(S2923="","BYPASS",IF(ABS(S2923)&lt;=Summary!$B$2,"PASS","FAIL")))</f>
        <v/>
      </c>
      <c r="U2923" s="8" t="str">
        <f aca="false">IF(T2923="BYPASS",IF(NOT(ISNUMBER(Q2923)),"PreV_ETB missing","End_tr_balance missing"),IF(T2923="FAIL",IF(AND(ISNUMBER(K2923),ISNUMBER(L2923),ABS(L2923-(K2923-IF(ISNUMBER(N2923),N2923,0)-IF(ISNUMBER(O2923),O2923,0)+IF(ISNUMBER(P2923),P2923,0)))&lt;=Summary!$B$2),"Passes using beginning_balance - PreV_ETB differs from beginning_balance",IF(AND(ISNUMBER(O2923),O2923&lt;0,ABS(L2923-(Q2923-IF(ISNUMBER(N2923),N2923,0)+IF(ISNUMBER(P2923),P2923,0)))&lt;=Summary!$B$2),"Negative realized loss not applied - check sign",IF(R2923&lt;0,"Principal paid exceeds prior balance",IF(AND(L2923&gt;Q2923,NOT(ISNUMBER(P2923))),"Balance increased but no Deferred_interest reported",IF(L2923&gt;R2923,"Reported balance higher than expected (missing increase/OC build)","Reported balance lower than expected (missing decrease)"))))),""))</f>
        <v/>
      </c>
    </row>
    <row r="2924" customFormat="false" ht="15" hidden="false" customHeight="false" outlineLevel="0" collapsed="false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9"/>
      <c r="L2924" s="9"/>
      <c r="M2924" s="9"/>
      <c r="N2924" s="9"/>
      <c r="O2924" s="9"/>
      <c r="P2924" s="9"/>
      <c r="Q2924" s="9"/>
      <c r="R2924" s="9" t="str">
        <f aca="false">IF(AND(A2924&lt;&gt;"",ISNUMBER(Q2924),ISNUMBER(L2924)),ROUND(Q2924-IF(ISNUMBER(N2924),N2924,0)-IF(ISNUMBER(O2924),O2924,0)+IF(ISNUMBER(P2924),P2924,0),2),"")</f>
        <v/>
      </c>
      <c r="S2924" s="9" t="str">
        <f aca="false">IF(R2924="","",ROUND(L2924-R2924,2))</f>
        <v/>
      </c>
      <c r="T2924" s="8" t="str">
        <f aca="false">IF(A2924="","",IF(S2924="","BYPASS",IF(ABS(S2924)&lt;=Summary!$B$2,"PASS","FAIL")))</f>
        <v/>
      </c>
      <c r="U2924" s="8" t="str">
        <f aca="false">IF(T2924="BYPASS",IF(NOT(ISNUMBER(Q2924)),"PreV_ETB missing","End_tr_balance missing"),IF(T2924="FAIL",IF(AND(ISNUMBER(K2924),ISNUMBER(L2924),ABS(L2924-(K2924-IF(ISNUMBER(N2924),N2924,0)-IF(ISNUMBER(O2924),O2924,0)+IF(ISNUMBER(P2924),P2924,0)))&lt;=Summary!$B$2),"Passes using beginning_balance - PreV_ETB differs from beginning_balance",IF(AND(ISNUMBER(O2924),O2924&lt;0,ABS(L2924-(Q2924-IF(ISNUMBER(N2924),N2924,0)+IF(ISNUMBER(P2924),P2924,0)))&lt;=Summary!$B$2),"Negative realized loss not applied - check sign",IF(R2924&lt;0,"Principal paid exceeds prior balance",IF(AND(L2924&gt;Q2924,NOT(ISNUMBER(P2924))),"Balance increased but no Deferred_interest reported",IF(L2924&gt;R2924,"Reported balance higher than expected (missing increase/OC build)","Reported balance lower than expected (missing decrease)"))))),""))</f>
        <v/>
      </c>
    </row>
    <row r="2925" customFormat="false" ht="15" hidden="false" customHeight="false" outlineLevel="0" collapsed="false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9"/>
      <c r="L2925" s="9"/>
      <c r="M2925" s="9"/>
      <c r="N2925" s="9"/>
      <c r="O2925" s="9"/>
      <c r="P2925" s="9"/>
      <c r="Q2925" s="9"/>
      <c r="R2925" s="9" t="str">
        <f aca="false">IF(AND(A2925&lt;&gt;"",ISNUMBER(Q2925),ISNUMBER(L2925)),ROUND(Q2925-IF(ISNUMBER(N2925),N2925,0)-IF(ISNUMBER(O2925),O2925,0)+IF(ISNUMBER(P2925),P2925,0),2),"")</f>
        <v/>
      </c>
      <c r="S2925" s="9" t="str">
        <f aca="false">IF(R2925="","",ROUND(L2925-R2925,2))</f>
        <v/>
      </c>
      <c r="T2925" s="8" t="str">
        <f aca="false">IF(A2925="","",IF(S2925="","BYPASS",IF(ABS(S2925)&lt;=Summary!$B$2,"PASS","FAIL")))</f>
        <v/>
      </c>
      <c r="U2925" s="8" t="str">
        <f aca="false">IF(T2925="BYPASS",IF(NOT(ISNUMBER(Q2925)),"PreV_ETB missing","End_tr_balance missing"),IF(T2925="FAIL",IF(AND(ISNUMBER(K2925),ISNUMBER(L2925),ABS(L2925-(K2925-IF(ISNUMBER(N2925),N2925,0)-IF(ISNUMBER(O2925),O2925,0)+IF(ISNUMBER(P2925),P2925,0)))&lt;=Summary!$B$2),"Passes using beginning_balance - PreV_ETB differs from beginning_balance",IF(AND(ISNUMBER(O2925),O2925&lt;0,ABS(L2925-(Q2925-IF(ISNUMBER(N2925),N2925,0)+IF(ISNUMBER(P2925),P2925,0)))&lt;=Summary!$B$2),"Negative realized loss not applied - check sign",IF(R2925&lt;0,"Principal paid exceeds prior balance",IF(AND(L2925&gt;Q2925,NOT(ISNUMBER(P2925))),"Balance increased but no Deferred_interest reported",IF(L2925&gt;R2925,"Reported balance higher than expected (missing increase/OC build)","Reported balance lower than expected (missing decrease)"))))),""))</f>
        <v/>
      </c>
    </row>
    <row r="2926" customFormat="false" ht="15" hidden="false" customHeight="false" outlineLevel="0" collapsed="false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9"/>
      <c r="L2926" s="9"/>
      <c r="M2926" s="9"/>
      <c r="N2926" s="9"/>
      <c r="O2926" s="9"/>
      <c r="P2926" s="9"/>
      <c r="Q2926" s="9"/>
      <c r="R2926" s="9" t="str">
        <f aca="false">IF(AND(A2926&lt;&gt;"",ISNUMBER(Q2926),ISNUMBER(L2926)),ROUND(Q2926-IF(ISNUMBER(N2926),N2926,0)-IF(ISNUMBER(O2926),O2926,0)+IF(ISNUMBER(P2926),P2926,0),2),"")</f>
        <v/>
      </c>
      <c r="S2926" s="9" t="str">
        <f aca="false">IF(R2926="","",ROUND(L2926-R2926,2))</f>
        <v/>
      </c>
      <c r="T2926" s="8" t="str">
        <f aca="false">IF(A2926="","",IF(S2926="","BYPASS",IF(ABS(S2926)&lt;=Summary!$B$2,"PASS","FAIL")))</f>
        <v/>
      </c>
      <c r="U2926" s="8" t="str">
        <f aca="false">IF(T2926="BYPASS",IF(NOT(ISNUMBER(Q2926)),"PreV_ETB missing","End_tr_balance missing"),IF(T2926="FAIL",IF(AND(ISNUMBER(K2926),ISNUMBER(L2926),ABS(L2926-(K2926-IF(ISNUMBER(N2926),N2926,0)-IF(ISNUMBER(O2926),O2926,0)+IF(ISNUMBER(P2926),P2926,0)))&lt;=Summary!$B$2),"Passes using beginning_balance - PreV_ETB differs from beginning_balance",IF(AND(ISNUMBER(O2926),O2926&lt;0,ABS(L2926-(Q2926-IF(ISNUMBER(N2926),N2926,0)+IF(ISNUMBER(P2926),P2926,0)))&lt;=Summary!$B$2),"Negative realized loss not applied - check sign",IF(R2926&lt;0,"Principal paid exceeds prior balance",IF(AND(L2926&gt;Q2926,NOT(ISNUMBER(P2926))),"Balance increased but no Deferred_interest reported",IF(L2926&gt;R2926,"Reported balance higher than expected (missing increase/OC build)","Reported balance lower than expected (missing decrease)"))))),""))</f>
        <v/>
      </c>
    </row>
    <row r="2927" customFormat="false" ht="15" hidden="false" customHeight="false" outlineLevel="0" collapsed="false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9"/>
      <c r="L2927" s="9"/>
      <c r="M2927" s="9"/>
      <c r="N2927" s="9"/>
      <c r="O2927" s="9"/>
      <c r="P2927" s="9"/>
      <c r="Q2927" s="9"/>
      <c r="R2927" s="9" t="str">
        <f aca="false">IF(AND(A2927&lt;&gt;"",ISNUMBER(Q2927),ISNUMBER(L2927)),ROUND(Q2927-IF(ISNUMBER(N2927),N2927,0)-IF(ISNUMBER(O2927),O2927,0)+IF(ISNUMBER(P2927),P2927,0),2),"")</f>
        <v/>
      </c>
      <c r="S2927" s="9" t="str">
        <f aca="false">IF(R2927="","",ROUND(L2927-R2927,2))</f>
        <v/>
      </c>
      <c r="T2927" s="8" t="str">
        <f aca="false">IF(A2927="","",IF(S2927="","BYPASS",IF(ABS(S2927)&lt;=Summary!$B$2,"PASS","FAIL")))</f>
        <v/>
      </c>
      <c r="U2927" s="8" t="str">
        <f aca="false">IF(T2927="BYPASS",IF(NOT(ISNUMBER(Q2927)),"PreV_ETB missing","End_tr_balance missing"),IF(T2927="FAIL",IF(AND(ISNUMBER(K2927),ISNUMBER(L2927),ABS(L2927-(K2927-IF(ISNUMBER(N2927),N2927,0)-IF(ISNUMBER(O2927),O2927,0)+IF(ISNUMBER(P2927),P2927,0)))&lt;=Summary!$B$2),"Passes using beginning_balance - PreV_ETB differs from beginning_balance",IF(AND(ISNUMBER(O2927),O2927&lt;0,ABS(L2927-(Q2927-IF(ISNUMBER(N2927),N2927,0)+IF(ISNUMBER(P2927),P2927,0)))&lt;=Summary!$B$2),"Negative realized loss not applied - check sign",IF(R2927&lt;0,"Principal paid exceeds prior balance",IF(AND(L2927&gt;Q2927,NOT(ISNUMBER(P2927))),"Balance increased but no Deferred_interest reported",IF(L2927&gt;R2927,"Reported balance higher than expected (missing increase/OC build)","Reported balance lower than expected (missing decrease)"))))),""))</f>
        <v/>
      </c>
    </row>
    <row r="2928" customFormat="false" ht="15" hidden="false" customHeight="false" outlineLevel="0" collapsed="false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9"/>
      <c r="L2928" s="9"/>
      <c r="M2928" s="9"/>
      <c r="N2928" s="9"/>
      <c r="O2928" s="9"/>
      <c r="P2928" s="9"/>
      <c r="Q2928" s="9"/>
      <c r="R2928" s="9" t="str">
        <f aca="false">IF(AND(A2928&lt;&gt;"",ISNUMBER(Q2928),ISNUMBER(L2928)),ROUND(Q2928-IF(ISNUMBER(N2928),N2928,0)-IF(ISNUMBER(O2928),O2928,0)+IF(ISNUMBER(P2928),P2928,0),2),"")</f>
        <v/>
      </c>
      <c r="S2928" s="9" t="str">
        <f aca="false">IF(R2928="","",ROUND(L2928-R2928,2))</f>
        <v/>
      </c>
      <c r="T2928" s="8" t="str">
        <f aca="false">IF(A2928="","",IF(S2928="","BYPASS",IF(ABS(S2928)&lt;=Summary!$B$2,"PASS","FAIL")))</f>
        <v/>
      </c>
      <c r="U2928" s="8" t="str">
        <f aca="false">IF(T2928="BYPASS",IF(NOT(ISNUMBER(Q2928)),"PreV_ETB missing","End_tr_balance missing"),IF(T2928="FAIL",IF(AND(ISNUMBER(K2928),ISNUMBER(L2928),ABS(L2928-(K2928-IF(ISNUMBER(N2928),N2928,0)-IF(ISNUMBER(O2928),O2928,0)+IF(ISNUMBER(P2928),P2928,0)))&lt;=Summary!$B$2),"Passes using beginning_balance - PreV_ETB differs from beginning_balance",IF(AND(ISNUMBER(O2928),O2928&lt;0,ABS(L2928-(Q2928-IF(ISNUMBER(N2928),N2928,0)+IF(ISNUMBER(P2928),P2928,0)))&lt;=Summary!$B$2),"Negative realized loss not applied - check sign",IF(R2928&lt;0,"Principal paid exceeds prior balance",IF(AND(L2928&gt;Q2928,NOT(ISNUMBER(P2928))),"Balance increased but no Deferred_interest reported",IF(L2928&gt;R2928,"Reported balance higher than expected (missing increase/OC build)","Reported balance lower than expected (missing decrease)"))))),""))</f>
        <v/>
      </c>
    </row>
    <row r="2929" customFormat="false" ht="15" hidden="false" customHeight="false" outlineLevel="0" collapsed="false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9"/>
      <c r="L2929" s="9"/>
      <c r="M2929" s="9"/>
      <c r="N2929" s="9"/>
      <c r="O2929" s="9"/>
      <c r="P2929" s="9"/>
      <c r="Q2929" s="9"/>
      <c r="R2929" s="9" t="str">
        <f aca="false">IF(AND(A2929&lt;&gt;"",ISNUMBER(Q2929),ISNUMBER(L2929)),ROUND(Q2929-IF(ISNUMBER(N2929),N2929,0)-IF(ISNUMBER(O2929),O2929,0)+IF(ISNUMBER(P2929),P2929,0),2),"")</f>
        <v/>
      </c>
      <c r="S2929" s="9" t="str">
        <f aca="false">IF(R2929="","",ROUND(L2929-R2929,2))</f>
        <v/>
      </c>
      <c r="T2929" s="8" t="str">
        <f aca="false">IF(A2929="","",IF(S2929="","BYPASS",IF(ABS(S2929)&lt;=Summary!$B$2,"PASS","FAIL")))</f>
        <v/>
      </c>
      <c r="U2929" s="8" t="str">
        <f aca="false">IF(T2929="BYPASS",IF(NOT(ISNUMBER(Q2929)),"PreV_ETB missing","End_tr_balance missing"),IF(T2929="FAIL",IF(AND(ISNUMBER(K2929),ISNUMBER(L2929),ABS(L2929-(K2929-IF(ISNUMBER(N2929),N2929,0)-IF(ISNUMBER(O2929),O2929,0)+IF(ISNUMBER(P2929),P2929,0)))&lt;=Summary!$B$2),"Passes using beginning_balance - PreV_ETB differs from beginning_balance",IF(AND(ISNUMBER(O2929),O2929&lt;0,ABS(L2929-(Q2929-IF(ISNUMBER(N2929),N2929,0)+IF(ISNUMBER(P2929),P2929,0)))&lt;=Summary!$B$2),"Negative realized loss not applied - check sign",IF(R2929&lt;0,"Principal paid exceeds prior balance",IF(AND(L2929&gt;Q2929,NOT(ISNUMBER(P2929))),"Balance increased but no Deferred_interest reported",IF(L2929&gt;R2929,"Reported balance higher than expected (missing increase/OC build)","Reported balance lower than expected (missing decrease)"))))),""))</f>
        <v/>
      </c>
    </row>
    <row r="2930" customFormat="false" ht="15" hidden="false" customHeight="false" outlineLevel="0" collapsed="false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9"/>
      <c r="L2930" s="9"/>
      <c r="M2930" s="9"/>
      <c r="N2930" s="9"/>
      <c r="O2930" s="9"/>
      <c r="P2930" s="9"/>
      <c r="Q2930" s="9"/>
      <c r="R2930" s="9" t="str">
        <f aca="false">IF(AND(A2930&lt;&gt;"",ISNUMBER(Q2930),ISNUMBER(L2930)),ROUND(Q2930-IF(ISNUMBER(N2930),N2930,0)-IF(ISNUMBER(O2930),O2930,0)+IF(ISNUMBER(P2930),P2930,0),2),"")</f>
        <v/>
      </c>
      <c r="S2930" s="9" t="str">
        <f aca="false">IF(R2930="","",ROUND(L2930-R2930,2))</f>
        <v/>
      </c>
      <c r="T2930" s="8" t="str">
        <f aca="false">IF(A2930="","",IF(S2930="","BYPASS",IF(ABS(S2930)&lt;=Summary!$B$2,"PASS","FAIL")))</f>
        <v/>
      </c>
      <c r="U2930" s="8" t="str">
        <f aca="false">IF(T2930="BYPASS",IF(NOT(ISNUMBER(Q2930)),"PreV_ETB missing","End_tr_balance missing"),IF(T2930="FAIL",IF(AND(ISNUMBER(K2930),ISNUMBER(L2930),ABS(L2930-(K2930-IF(ISNUMBER(N2930),N2930,0)-IF(ISNUMBER(O2930),O2930,0)+IF(ISNUMBER(P2930),P2930,0)))&lt;=Summary!$B$2),"Passes using beginning_balance - PreV_ETB differs from beginning_balance",IF(AND(ISNUMBER(O2930),O2930&lt;0,ABS(L2930-(Q2930-IF(ISNUMBER(N2930),N2930,0)+IF(ISNUMBER(P2930),P2930,0)))&lt;=Summary!$B$2),"Negative realized loss not applied - check sign",IF(R2930&lt;0,"Principal paid exceeds prior balance",IF(AND(L2930&gt;Q2930,NOT(ISNUMBER(P2930))),"Balance increased but no Deferred_interest reported",IF(L2930&gt;R2930,"Reported balance higher than expected (missing increase/OC build)","Reported balance lower than expected (missing decrease)"))))),""))</f>
        <v/>
      </c>
    </row>
    <row r="2931" customFormat="false" ht="15" hidden="false" customHeight="false" outlineLevel="0" collapsed="false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9"/>
      <c r="L2931" s="9"/>
      <c r="M2931" s="9"/>
      <c r="N2931" s="9"/>
      <c r="O2931" s="9"/>
      <c r="P2931" s="9"/>
      <c r="Q2931" s="9"/>
      <c r="R2931" s="9" t="str">
        <f aca="false">IF(AND(A2931&lt;&gt;"",ISNUMBER(Q2931),ISNUMBER(L2931)),ROUND(Q2931-IF(ISNUMBER(N2931),N2931,0)-IF(ISNUMBER(O2931),O2931,0)+IF(ISNUMBER(P2931),P2931,0),2),"")</f>
        <v/>
      </c>
      <c r="S2931" s="9" t="str">
        <f aca="false">IF(R2931="","",ROUND(L2931-R2931,2))</f>
        <v/>
      </c>
      <c r="T2931" s="8" t="str">
        <f aca="false">IF(A2931="","",IF(S2931="","BYPASS",IF(ABS(S2931)&lt;=Summary!$B$2,"PASS","FAIL")))</f>
        <v/>
      </c>
      <c r="U2931" s="8" t="str">
        <f aca="false">IF(T2931="BYPASS",IF(NOT(ISNUMBER(Q2931)),"PreV_ETB missing","End_tr_balance missing"),IF(T2931="FAIL",IF(AND(ISNUMBER(K2931),ISNUMBER(L2931),ABS(L2931-(K2931-IF(ISNUMBER(N2931),N2931,0)-IF(ISNUMBER(O2931),O2931,0)+IF(ISNUMBER(P2931),P2931,0)))&lt;=Summary!$B$2),"Passes using beginning_balance - PreV_ETB differs from beginning_balance",IF(AND(ISNUMBER(O2931),O2931&lt;0,ABS(L2931-(Q2931-IF(ISNUMBER(N2931),N2931,0)+IF(ISNUMBER(P2931),P2931,0)))&lt;=Summary!$B$2),"Negative realized loss not applied - check sign",IF(R2931&lt;0,"Principal paid exceeds prior balance",IF(AND(L2931&gt;Q2931,NOT(ISNUMBER(P2931))),"Balance increased but no Deferred_interest reported",IF(L2931&gt;R2931,"Reported balance higher than expected (missing increase/OC build)","Reported balance lower than expected (missing decrease)"))))),""))</f>
        <v/>
      </c>
    </row>
    <row r="2932" customFormat="false" ht="15" hidden="false" customHeight="false" outlineLevel="0" collapsed="false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9"/>
      <c r="L2932" s="9"/>
      <c r="M2932" s="9"/>
      <c r="N2932" s="9"/>
      <c r="O2932" s="9"/>
      <c r="P2932" s="9"/>
      <c r="Q2932" s="9"/>
      <c r="R2932" s="9" t="str">
        <f aca="false">IF(AND(A2932&lt;&gt;"",ISNUMBER(Q2932),ISNUMBER(L2932)),ROUND(Q2932-IF(ISNUMBER(N2932),N2932,0)-IF(ISNUMBER(O2932),O2932,0)+IF(ISNUMBER(P2932),P2932,0),2),"")</f>
        <v/>
      </c>
      <c r="S2932" s="9" t="str">
        <f aca="false">IF(R2932="","",ROUND(L2932-R2932,2))</f>
        <v/>
      </c>
      <c r="T2932" s="8" t="str">
        <f aca="false">IF(A2932="","",IF(S2932="","BYPASS",IF(ABS(S2932)&lt;=Summary!$B$2,"PASS","FAIL")))</f>
        <v/>
      </c>
      <c r="U2932" s="8" t="str">
        <f aca="false">IF(T2932="BYPASS",IF(NOT(ISNUMBER(Q2932)),"PreV_ETB missing","End_tr_balance missing"),IF(T2932="FAIL",IF(AND(ISNUMBER(K2932),ISNUMBER(L2932),ABS(L2932-(K2932-IF(ISNUMBER(N2932),N2932,0)-IF(ISNUMBER(O2932),O2932,0)+IF(ISNUMBER(P2932),P2932,0)))&lt;=Summary!$B$2),"Passes using beginning_balance - PreV_ETB differs from beginning_balance",IF(AND(ISNUMBER(O2932),O2932&lt;0,ABS(L2932-(Q2932-IF(ISNUMBER(N2932),N2932,0)+IF(ISNUMBER(P2932),P2932,0)))&lt;=Summary!$B$2),"Negative realized loss not applied - check sign",IF(R2932&lt;0,"Principal paid exceeds prior balance",IF(AND(L2932&gt;Q2932,NOT(ISNUMBER(P2932))),"Balance increased but no Deferred_interest reported",IF(L2932&gt;R2932,"Reported balance higher than expected (missing increase/OC build)","Reported balance lower than expected (missing decrease)"))))),""))</f>
        <v/>
      </c>
    </row>
    <row r="2933" customFormat="false" ht="15" hidden="false" customHeight="false" outlineLevel="0" collapsed="false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9"/>
      <c r="L2933" s="9"/>
      <c r="M2933" s="9"/>
      <c r="N2933" s="9"/>
      <c r="O2933" s="9"/>
      <c r="P2933" s="9"/>
      <c r="Q2933" s="9"/>
      <c r="R2933" s="9" t="str">
        <f aca="false">IF(AND(A2933&lt;&gt;"",ISNUMBER(Q2933),ISNUMBER(L2933)),ROUND(Q2933-IF(ISNUMBER(N2933),N2933,0)-IF(ISNUMBER(O2933),O2933,0)+IF(ISNUMBER(P2933),P2933,0),2),"")</f>
        <v/>
      </c>
      <c r="S2933" s="9" t="str">
        <f aca="false">IF(R2933="","",ROUND(L2933-R2933,2))</f>
        <v/>
      </c>
      <c r="T2933" s="8" t="str">
        <f aca="false">IF(A2933="","",IF(S2933="","BYPASS",IF(ABS(S2933)&lt;=Summary!$B$2,"PASS","FAIL")))</f>
        <v/>
      </c>
      <c r="U2933" s="8" t="str">
        <f aca="false">IF(T2933="BYPASS",IF(NOT(ISNUMBER(Q2933)),"PreV_ETB missing","End_tr_balance missing"),IF(T2933="FAIL",IF(AND(ISNUMBER(K2933),ISNUMBER(L2933),ABS(L2933-(K2933-IF(ISNUMBER(N2933),N2933,0)-IF(ISNUMBER(O2933),O2933,0)+IF(ISNUMBER(P2933),P2933,0)))&lt;=Summary!$B$2),"Passes using beginning_balance - PreV_ETB differs from beginning_balance",IF(AND(ISNUMBER(O2933),O2933&lt;0,ABS(L2933-(Q2933-IF(ISNUMBER(N2933),N2933,0)+IF(ISNUMBER(P2933),P2933,0)))&lt;=Summary!$B$2),"Negative realized loss not applied - check sign",IF(R2933&lt;0,"Principal paid exceeds prior balance",IF(AND(L2933&gt;Q2933,NOT(ISNUMBER(P2933))),"Balance increased but no Deferred_interest reported",IF(L2933&gt;R2933,"Reported balance higher than expected (missing increase/OC build)","Reported balance lower than expected (missing decrease)"))))),""))</f>
        <v/>
      </c>
    </row>
    <row r="2934" customFormat="false" ht="15" hidden="false" customHeight="false" outlineLevel="0" collapsed="false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9"/>
      <c r="L2934" s="9"/>
      <c r="M2934" s="9"/>
      <c r="N2934" s="9"/>
      <c r="O2934" s="9"/>
      <c r="P2934" s="9"/>
      <c r="Q2934" s="9"/>
      <c r="R2934" s="9" t="str">
        <f aca="false">IF(AND(A2934&lt;&gt;"",ISNUMBER(Q2934),ISNUMBER(L2934)),ROUND(Q2934-IF(ISNUMBER(N2934),N2934,0)-IF(ISNUMBER(O2934),O2934,0)+IF(ISNUMBER(P2934),P2934,0),2),"")</f>
        <v/>
      </c>
      <c r="S2934" s="9" t="str">
        <f aca="false">IF(R2934="","",ROUND(L2934-R2934,2))</f>
        <v/>
      </c>
      <c r="T2934" s="8" t="str">
        <f aca="false">IF(A2934="","",IF(S2934="","BYPASS",IF(ABS(S2934)&lt;=Summary!$B$2,"PASS","FAIL")))</f>
        <v/>
      </c>
      <c r="U2934" s="8" t="str">
        <f aca="false">IF(T2934="BYPASS",IF(NOT(ISNUMBER(Q2934)),"PreV_ETB missing","End_tr_balance missing"),IF(T2934="FAIL",IF(AND(ISNUMBER(K2934),ISNUMBER(L2934),ABS(L2934-(K2934-IF(ISNUMBER(N2934),N2934,0)-IF(ISNUMBER(O2934),O2934,0)+IF(ISNUMBER(P2934),P2934,0)))&lt;=Summary!$B$2),"Passes using beginning_balance - PreV_ETB differs from beginning_balance",IF(AND(ISNUMBER(O2934),O2934&lt;0,ABS(L2934-(Q2934-IF(ISNUMBER(N2934),N2934,0)+IF(ISNUMBER(P2934),P2934,0)))&lt;=Summary!$B$2),"Negative realized loss not applied - check sign",IF(R2934&lt;0,"Principal paid exceeds prior balance",IF(AND(L2934&gt;Q2934,NOT(ISNUMBER(P2934))),"Balance increased but no Deferred_interest reported",IF(L2934&gt;R2934,"Reported balance higher than expected (missing increase/OC build)","Reported balance lower than expected (missing decrease)"))))),""))</f>
        <v/>
      </c>
    </row>
    <row r="2935" customFormat="false" ht="15" hidden="false" customHeight="false" outlineLevel="0" collapsed="false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9"/>
      <c r="L2935" s="9"/>
      <c r="M2935" s="9"/>
      <c r="N2935" s="9"/>
      <c r="O2935" s="9"/>
      <c r="P2935" s="9"/>
      <c r="Q2935" s="9"/>
      <c r="R2935" s="9" t="str">
        <f aca="false">IF(AND(A2935&lt;&gt;"",ISNUMBER(Q2935),ISNUMBER(L2935)),ROUND(Q2935-IF(ISNUMBER(N2935),N2935,0)-IF(ISNUMBER(O2935),O2935,0)+IF(ISNUMBER(P2935),P2935,0),2),"")</f>
        <v/>
      </c>
      <c r="S2935" s="9" t="str">
        <f aca="false">IF(R2935="","",ROUND(L2935-R2935,2))</f>
        <v/>
      </c>
      <c r="T2935" s="8" t="str">
        <f aca="false">IF(A2935="","",IF(S2935="","BYPASS",IF(ABS(S2935)&lt;=Summary!$B$2,"PASS","FAIL")))</f>
        <v/>
      </c>
      <c r="U2935" s="8" t="str">
        <f aca="false">IF(T2935="BYPASS",IF(NOT(ISNUMBER(Q2935)),"PreV_ETB missing","End_tr_balance missing"),IF(T2935="FAIL",IF(AND(ISNUMBER(K2935),ISNUMBER(L2935),ABS(L2935-(K2935-IF(ISNUMBER(N2935),N2935,0)-IF(ISNUMBER(O2935),O2935,0)+IF(ISNUMBER(P2935),P2935,0)))&lt;=Summary!$B$2),"Passes using beginning_balance - PreV_ETB differs from beginning_balance",IF(AND(ISNUMBER(O2935),O2935&lt;0,ABS(L2935-(Q2935-IF(ISNUMBER(N2935),N2935,0)+IF(ISNUMBER(P2935),P2935,0)))&lt;=Summary!$B$2),"Negative realized loss not applied - check sign",IF(R2935&lt;0,"Principal paid exceeds prior balance",IF(AND(L2935&gt;Q2935,NOT(ISNUMBER(P2935))),"Balance increased but no Deferred_interest reported",IF(L2935&gt;R2935,"Reported balance higher than expected (missing increase/OC build)","Reported balance lower than expected (missing decrease)"))))),""))</f>
        <v/>
      </c>
    </row>
    <row r="2936" customFormat="false" ht="15" hidden="false" customHeight="false" outlineLevel="0" collapsed="false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9"/>
      <c r="L2936" s="9"/>
      <c r="M2936" s="9"/>
      <c r="N2936" s="9"/>
      <c r="O2936" s="9"/>
      <c r="P2936" s="9"/>
      <c r="Q2936" s="9"/>
      <c r="R2936" s="9" t="str">
        <f aca="false">IF(AND(A2936&lt;&gt;"",ISNUMBER(Q2936),ISNUMBER(L2936)),ROUND(Q2936-IF(ISNUMBER(N2936),N2936,0)-IF(ISNUMBER(O2936),O2936,0)+IF(ISNUMBER(P2936),P2936,0),2),"")</f>
        <v/>
      </c>
      <c r="S2936" s="9" t="str">
        <f aca="false">IF(R2936="","",ROUND(L2936-R2936,2))</f>
        <v/>
      </c>
      <c r="T2936" s="8" t="str">
        <f aca="false">IF(A2936="","",IF(S2936="","BYPASS",IF(ABS(S2936)&lt;=Summary!$B$2,"PASS","FAIL")))</f>
        <v/>
      </c>
      <c r="U2936" s="8" t="str">
        <f aca="false">IF(T2936="BYPASS",IF(NOT(ISNUMBER(Q2936)),"PreV_ETB missing","End_tr_balance missing"),IF(T2936="FAIL",IF(AND(ISNUMBER(K2936),ISNUMBER(L2936),ABS(L2936-(K2936-IF(ISNUMBER(N2936),N2936,0)-IF(ISNUMBER(O2936),O2936,0)+IF(ISNUMBER(P2936),P2936,0)))&lt;=Summary!$B$2),"Passes using beginning_balance - PreV_ETB differs from beginning_balance",IF(AND(ISNUMBER(O2936),O2936&lt;0,ABS(L2936-(Q2936-IF(ISNUMBER(N2936),N2936,0)+IF(ISNUMBER(P2936),P2936,0)))&lt;=Summary!$B$2),"Negative realized loss not applied - check sign",IF(R2936&lt;0,"Principal paid exceeds prior balance",IF(AND(L2936&gt;Q2936,NOT(ISNUMBER(P2936))),"Balance increased but no Deferred_interest reported",IF(L2936&gt;R2936,"Reported balance higher than expected (missing increase/OC build)","Reported balance lower than expected (missing decrease)"))))),""))</f>
        <v/>
      </c>
    </row>
    <row r="2937" customFormat="false" ht="15" hidden="false" customHeight="false" outlineLevel="0" collapsed="false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9"/>
      <c r="L2937" s="9"/>
      <c r="M2937" s="9"/>
      <c r="N2937" s="9"/>
      <c r="O2937" s="9"/>
      <c r="P2937" s="9"/>
      <c r="Q2937" s="9"/>
      <c r="R2937" s="9" t="str">
        <f aca="false">IF(AND(A2937&lt;&gt;"",ISNUMBER(Q2937),ISNUMBER(L2937)),ROUND(Q2937-IF(ISNUMBER(N2937),N2937,0)-IF(ISNUMBER(O2937),O2937,0)+IF(ISNUMBER(P2937),P2937,0),2),"")</f>
        <v/>
      </c>
      <c r="S2937" s="9" t="str">
        <f aca="false">IF(R2937="","",ROUND(L2937-R2937,2))</f>
        <v/>
      </c>
      <c r="T2937" s="8" t="str">
        <f aca="false">IF(A2937="","",IF(S2937="","BYPASS",IF(ABS(S2937)&lt;=Summary!$B$2,"PASS","FAIL")))</f>
        <v/>
      </c>
      <c r="U2937" s="8" t="str">
        <f aca="false">IF(T2937="BYPASS",IF(NOT(ISNUMBER(Q2937)),"PreV_ETB missing","End_tr_balance missing"),IF(T2937="FAIL",IF(AND(ISNUMBER(K2937),ISNUMBER(L2937),ABS(L2937-(K2937-IF(ISNUMBER(N2937),N2937,0)-IF(ISNUMBER(O2937),O2937,0)+IF(ISNUMBER(P2937),P2937,0)))&lt;=Summary!$B$2),"Passes using beginning_balance - PreV_ETB differs from beginning_balance",IF(AND(ISNUMBER(O2937),O2937&lt;0,ABS(L2937-(Q2937-IF(ISNUMBER(N2937),N2937,0)+IF(ISNUMBER(P2937),P2937,0)))&lt;=Summary!$B$2),"Negative realized loss not applied - check sign",IF(R2937&lt;0,"Principal paid exceeds prior balance",IF(AND(L2937&gt;Q2937,NOT(ISNUMBER(P2937))),"Balance increased but no Deferred_interest reported",IF(L2937&gt;R2937,"Reported balance higher than expected (missing increase/OC build)","Reported balance lower than expected (missing decrease)"))))),""))</f>
        <v/>
      </c>
    </row>
    <row r="2938" customFormat="false" ht="15" hidden="false" customHeight="false" outlineLevel="0" collapsed="false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9"/>
      <c r="L2938" s="9"/>
      <c r="M2938" s="9"/>
      <c r="N2938" s="9"/>
      <c r="O2938" s="9"/>
      <c r="P2938" s="9"/>
      <c r="Q2938" s="9"/>
      <c r="R2938" s="9" t="str">
        <f aca="false">IF(AND(A2938&lt;&gt;"",ISNUMBER(Q2938),ISNUMBER(L2938)),ROUND(Q2938-IF(ISNUMBER(N2938),N2938,0)-IF(ISNUMBER(O2938),O2938,0)+IF(ISNUMBER(P2938),P2938,0),2),"")</f>
        <v/>
      </c>
      <c r="S2938" s="9" t="str">
        <f aca="false">IF(R2938="","",ROUND(L2938-R2938,2))</f>
        <v/>
      </c>
      <c r="T2938" s="8" t="str">
        <f aca="false">IF(A2938="","",IF(S2938="","BYPASS",IF(ABS(S2938)&lt;=Summary!$B$2,"PASS","FAIL")))</f>
        <v/>
      </c>
      <c r="U2938" s="8" t="str">
        <f aca="false">IF(T2938="BYPASS",IF(NOT(ISNUMBER(Q2938)),"PreV_ETB missing","End_tr_balance missing"),IF(T2938="FAIL",IF(AND(ISNUMBER(K2938),ISNUMBER(L2938),ABS(L2938-(K2938-IF(ISNUMBER(N2938),N2938,0)-IF(ISNUMBER(O2938),O2938,0)+IF(ISNUMBER(P2938),P2938,0)))&lt;=Summary!$B$2),"Passes using beginning_balance - PreV_ETB differs from beginning_balance",IF(AND(ISNUMBER(O2938),O2938&lt;0,ABS(L2938-(Q2938-IF(ISNUMBER(N2938),N2938,0)+IF(ISNUMBER(P2938),P2938,0)))&lt;=Summary!$B$2),"Negative realized loss not applied - check sign",IF(R2938&lt;0,"Principal paid exceeds prior balance",IF(AND(L2938&gt;Q2938,NOT(ISNUMBER(P2938))),"Balance increased but no Deferred_interest reported",IF(L2938&gt;R2938,"Reported balance higher than expected (missing increase/OC build)","Reported balance lower than expected (missing decrease)"))))),""))</f>
        <v/>
      </c>
    </row>
    <row r="2939" customFormat="false" ht="15" hidden="false" customHeight="false" outlineLevel="0" collapsed="false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9"/>
      <c r="L2939" s="9"/>
      <c r="M2939" s="9"/>
      <c r="N2939" s="9"/>
      <c r="O2939" s="9"/>
      <c r="P2939" s="9"/>
      <c r="Q2939" s="9"/>
      <c r="R2939" s="9" t="str">
        <f aca="false">IF(AND(A2939&lt;&gt;"",ISNUMBER(Q2939),ISNUMBER(L2939)),ROUND(Q2939-IF(ISNUMBER(N2939),N2939,0)-IF(ISNUMBER(O2939),O2939,0)+IF(ISNUMBER(P2939),P2939,0),2),"")</f>
        <v/>
      </c>
      <c r="S2939" s="9" t="str">
        <f aca="false">IF(R2939="","",ROUND(L2939-R2939,2))</f>
        <v/>
      </c>
      <c r="T2939" s="8" t="str">
        <f aca="false">IF(A2939="","",IF(S2939="","BYPASS",IF(ABS(S2939)&lt;=Summary!$B$2,"PASS","FAIL")))</f>
        <v/>
      </c>
      <c r="U2939" s="8" t="str">
        <f aca="false">IF(T2939="BYPASS",IF(NOT(ISNUMBER(Q2939)),"PreV_ETB missing","End_tr_balance missing"),IF(T2939="FAIL",IF(AND(ISNUMBER(K2939),ISNUMBER(L2939),ABS(L2939-(K2939-IF(ISNUMBER(N2939),N2939,0)-IF(ISNUMBER(O2939),O2939,0)+IF(ISNUMBER(P2939),P2939,0)))&lt;=Summary!$B$2),"Passes using beginning_balance - PreV_ETB differs from beginning_balance",IF(AND(ISNUMBER(O2939),O2939&lt;0,ABS(L2939-(Q2939-IF(ISNUMBER(N2939),N2939,0)+IF(ISNUMBER(P2939),P2939,0)))&lt;=Summary!$B$2),"Negative realized loss not applied - check sign",IF(R2939&lt;0,"Principal paid exceeds prior balance",IF(AND(L2939&gt;Q2939,NOT(ISNUMBER(P2939))),"Balance increased but no Deferred_interest reported",IF(L2939&gt;R2939,"Reported balance higher than expected (missing increase/OC build)","Reported balance lower than expected (missing decrease)"))))),""))</f>
        <v/>
      </c>
    </row>
    <row r="2940" customFormat="false" ht="15" hidden="false" customHeight="false" outlineLevel="0" collapsed="false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9"/>
      <c r="L2940" s="9"/>
      <c r="M2940" s="9"/>
      <c r="N2940" s="9"/>
      <c r="O2940" s="9"/>
      <c r="P2940" s="9"/>
      <c r="Q2940" s="9"/>
      <c r="R2940" s="9" t="str">
        <f aca="false">IF(AND(A2940&lt;&gt;"",ISNUMBER(Q2940),ISNUMBER(L2940)),ROUND(Q2940-IF(ISNUMBER(N2940),N2940,0)-IF(ISNUMBER(O2940),O2940,0)+IF(ISNUMBER(P2940),P2940,0),2),"")</f>
        <v/>
      </c>
      <c r="S2940" s="9" t="str">
        <f aca="false">IF(R2940="","",ROUND(L2940-R2940,2))</f>
        <v/>
      </c>
      <c r="T2940" s="8" t="str">
        <f aca="false">IF(A2940="","",IF(S2940="","BYPASS",IF(ABS(S2940)&lt;=Summary!$B$2,"PASS","FAIL")))</f>
        <v/>
      </c>
      <c r="U2940" s="8" t="str">
        <f aca="false">IF(T2940="BYPASS",IF(NOT(ISNUMBER(Q2940)),"PreV_ETB missing","End_tr_balance missing"),IF(T2940="FAIL",IF(AND(ISNUMBER(K2940),ISNUMBER(L2940),ABS(L2940-(K2940-IF(ISNUMBER(N2940),N2940,0)-IF(ISNUMBER(O2940),O2940,0)+IF(ISNUMBER(P2940),P2940,0)))&lt;=Summary!$B$2),"Passes using beginning_balance - PreV_ETB differs from beginning_balance",IF(AND(ISNUMBER(O2940),O2940&lt;0,ABS(L2940-(Q2940-IF(ISNUMBER(N2940),N2940,0)+IF(ISNUMBER(P2940),P2940,0)))&lt;=Summary!$B$2),"Negative realized loss not applied - check sign",IF(R2940&lt;0,"Principal paid exceeds prior balance",IF(AND(L2940&gt;Q2940,NOT(ISNUMBER(P2940))),"Balance increased but no Deferred_interest reported",IF(L2940&gt;R2940,"Reported balance higher than expected (missing increase/OC build)","Reported balance lower than expected (missing decrease)"))))),""))</f>
        <v/>
      </c>
    </row>
    <row r="2941" customFormat="false" ht="15" hidden="false" customHeight="false" outlineLevel="0" collapsed="false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9"/>
      <c r="L2941" s="9"/>
      <c r="M2941" s="9"/>
      <c r="N2941" s="9"/>
      <c r="O2941" s="9"/>
      <c r="P2941" s="9"/>
      <c r="Q2941" s="9"/>
      <c r="R2941" s="9" t="str">
        <f aca="false">IF(AND(A2941&lt;&gt;"",ISNUMBER(Q2941),ISNUMBER(L2941)),ROUND(Q2941-IF(ISNUMBER(N2941),N2941,0)-IF(ISNUMBER(O2941),O2941,0)+IF(ISNUMBER(P2941),P2941,0),2),"")</f>
        <v/>
      </c>
      <c r="S2941" s="9" t="str">
        <f aca="false">IF(R2941="","",ROUND(L2941-R2941,2))</f>
        <v/>
      </c>
      <c r="T2941" s="8" t="str">
        <f aca="false">IF(A2941="","",IF(S2941="","BYPASS",IF(ABS(S2941)&lt;=Summary!$B$2,"PASS","FAIL")))</f>
        <v/>
      </c>
      <c r="U2941" s="8" t="str">
        <f aca="false">IF(T2941="BYPASS",IF(NOT(ISNUMBER(Q2941)),"PreV_ETB missing","End_tr_balance missing"),IF(T2941="FAIL",IF(AND(ISNUMBER(K2941),ISNUMBER(L2941),ABS(L2941-(K2941-IF(ISNUMBER(N2941),N2941,0)-IF(ISNUMBER(O2941),O2941,0)+IF(ISNUMBER(P2941),P2941,0)))&lt;=Summary!$B$2),"Passes using beginning_balance - PreV_ETB differs from beginning_balance",IF(AND(ISNUMBER(O2941),O2941&lt;0,ABS(L2941-(Q2941-IF(ISNUMBER(N2941),N2941,0)+IF(ISNUMBER(P2941),P2941,0)))&lt;=Summary!$B$2),"Negative realized loss not applied - check sign",IF(R2941&lt;0,"Principal paid exceeds prior balance",IF(AND(L2941&gt;Q2941,NOT(ISNUMBER(P2941))),"Balance increased but no Deferred_interest reported",IF(L2941&gt;R2941,"Reported balance higher than expected (missing increase/OC build)","Reported balance lower than expected (missing decrease)"))))),""))</f>
        <v/>
      </c>
    </row>
    <row r="2942" customFormat="false" ht="15" hidden="false" customHeight="false" outlineLevel="0" collapsed="false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9"/>
      <c r="L2942" s="9"/>
      <c r="M2942" s="9"/>
      <c r="N2942" s="9"/>
      <c r="O2942" s="9"/>
      <c r="P2942" s="9"/>
      <c r="Q2942" s="9"/>
      <c r="R2942" s="9" t="str">
        <f aca="false">IF(AND(A2942&lt;&gt;"",ISNUMBER(Q2942),ISNUMBER(L2942)),ROUND(Q2942-IF(ISNUMBER(N2942),N2942,0)-IF(ISNUMBER(O2942),O2942,0)+IF(ISNUMBER(P2942),P2942,0),2),"")</f>
        <v/>
      </c>
      <c r="S2942" s="9" t="str">
        <f aca="false">IF(R2942="","",ROUND(L2942-R2942,2))</f>
        <v/>
      </c>
      <c r="T2942" s="8" t="str">
        <f aca="false">IF(A2942="","",IF(S2942="","BYPASS",IF(ABS(S2942)&lt;=Summary!$B$2,"PASS","FAIL")))</f>
        <v/>
      </c>
      <c r="U2942" s="8" t="str">
        <f aca="false">IF(T2942="BYPASS",IF(NOT(ISNUMBER(Q2942)),"PreV_ETB missing","End_tr_balance missing"),IF(T2942="FAIL",IF(AND(ISNUMBER(K2942),ISNUMBER(L2942),ABS(L2942-(K2942-IF(ISNUMBER(N2942),N2942,0)-IF(ISNUMBER(O2942),O2942,0)+IF(ISNUMBER(P2942),P2942,0)))&lt;=Summary!$B$2),"Passes using beginning_balance - PreV_ETB differs from beginning_balance",IF(AND(ISNUMBER(O2942),O2942&lt;0,ABS(L2942-(Q2942-IF(ISNUMBER(N2942),N2942,0)+IF(ISNUMBER(P2942),P2942,0)))&lt;=Summary!$B$2),"Negative realized loss not applied - check sign",IF(R2942&lt;0,"Principal paid exceeds prior balance",IF(AND(L2942&gt;Q2942,NOT(ISNUMBER(P2942))),"Balance increased but no Deferred_interest reported",IF(L2942&gt;R2942,"Reported balance higher than expected (missing increase/OC build)","Reported balance lower than expected (missing decrease)"))))),""))</f>
        <v/>
      </c>
    </row>
    <row r="2943" customFormat="false" ht="15" hidden="false" customHeight="false" outlineLevel="0" collapsed="false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9"/>
      <c r="L2943" s="9"/>
      <c r="M2943" s="9"/>
      <c r="N2943" s="9"/>
      <c r="O2943" s="9"/>
      <c r="P2943" s="9"/>
      <c r="Q2943" s="9"/>
      <c r="R2943" s="9" t="str">
        <f aca="false">IF(AND(A2943&lt;&gt;"",ISNUMBER(Q2943),ISNUMBER(L2943)),ROUND(Q2943-IF(ISNUMBER(N2943),N2943,0)-IF(ISNUMBER(O2943),O2943,0)+IF(ISNUMBER(P2943),P2943,0),2),"")</f>
        <v/>
      </c>
      <c r="S2943" s="9" t="str">
        <f aca="false">IF(R2943="","",ROUND(L2943-R2943,2))</f>
        <v/>
      </c>
      <c r="T2943" s="8" t="str">
        <f aca="false">IF(A2943="","",IF(S2943="","BYPASS",IF(ABS(S2943)&lt;=Summary!$B$2,"PASS","FAIL")))</f>
        <v/>
      </c>
      <c r="U2943" s="8" t="str">
        <f aca="false">IF(T2943="BYPASS",IF(NOT(ISNUMBER(Q2943)),"PreV_ETB missing","End_tr_balance missing"),IF(T2943="FAIL",IF(AND(ISNUMBER(K2943),ISNUMBER(L2943),ABS(L2943-(K2943-IF(ISNUMBER(N2943),N2943,0)-IF(ISNUMBER(O2943),O2943,0)+IF(ISNUMBER(P2943),P2943,0)))&lt;=Summary!$B$2),"Passes using beginning_balance - PreV_ETB differs from beginning_balance",IF(AND(ISNUMBER(O2943),O2943&lt;0,ABS(L2943-(Q2943-IF(ISNUMBER(N2943),N2943,0)+IF(ISNUMBER(P2943),P2943,0)))&lt;=Summary!$B$2),"Negative realized loss not applied - check sign",IF(R2943&lt;0,"Principal paid exceeds prior balance",IF(AND(L2943&gt;Q2943,NOT(ISNUMBER(P2943))),"Balance increased but no Deferred_interest reported",IF(L2943&gt;R2943,"Reported balance higher than expected (missing increase/OC build)","Reported balance lower than expected (missing decrease)"))))),""))</f>
        <v/>
      </c>
    </row>
    <row r="2944" customFormat="false" ht="15" hidden="false" customHeight="false" outlineLevel="0" collapsed="false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9"/>
      <c r="L2944" s="9"/>
      <c r="M2944" s="9"/>
      <c r="N2944" s="9"/>
      <c r="O2944" s="9"/>
      <c r="P2944" s="9"/>
      <c r="Q2944" s="9"/>
      <c r="R2944" s="9" t="str">
        <f aca="false">IF(AND(A2944&lt;&gt;"",ISNUMBER(Q2944),ISNUMBER(L2944)),ROUND(Q2944-IF(ISNUMBER(N2944),N2944,0)-IF(ISNUMBER(O2944),O2944,0)+IF(ISNUMBER(P2944),P2944,0),2),"")</f>
        <v/>
      </c>
      <c r="S2944" s="9" t="str">
        <f aca="false">IF(R2944="","",ROUND(L2944-R2944,2))</f>
        <v/>
      </c>
      <c r="T2944" s="8" t="str">
        <f aca="false">IF(A2944="","",IF(S2944="","BYPASS",IF(ABS(S2944)&lt;=Summary!$B$2,"PASS","FAIL")))</f>
        <v/>
      </c>
      <c r="U2944" s="8" t="str">
        <f aca="false">IF(T2944="BYPASS",IF(NOT(ISNUMBER(Q2944)),"PreV_ETB missing","End_tr_balance missing"),IF(T2944="FAIL",IF(AND(ISNUMBER(K2944),ISNUMBER(L2944),ABS(L2944-(K2944-IF(ISNUMBER(N2944),N2944,0)-IF(ISNUMBER(O2944),O2944,0)+IF(ISNUMBER(P2944),P2944,0)))&lt;=Summary!$B$2),"Passes using beginning_balance - PreV_ETB differs from beginning_balance",IF(AND(ISNUMBER(O2944),O2944&lt;0,ABS(L2944-(Q2944-IF(ISNUMBER(N2944),N2944,0)+IF(ISNUMBER(P2944),P2944,0)))&lt;=Summary!$B$2),"Negative realized loss not applied - check sign",IF(R2944&lt;0,"Principal paid exceeds prior balance",IF(AND(L2944&gt;Q2944,NOT(ISNUMBER(P2944))),"Balance increased but no Deferred_interest reported",IF(L2944&gt;R2944,"Reported balance higher than expected (missing increase/OC build)","Reported balance lower than expected (missing decrease)"))))),""))</f>
        <v/>
      </c>
    </row>
    <row r="2945" customFormat="false" ht="15" hidden="false" customHeight="false" outlineLevel="0" collapsed="false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9"/>
      <c r="L2945" s="9"/>
      <c r="M2945" s="9"/>
      <c r="N2945" s="9"/>
      <c r="O2945" s="9"/>
      <c r="P2945" s="9"/>
      <c r="Q2945" s="9"/>
      <c r="R2945" s="9" t="str">
        <f aca="false">IF(AND(A2945&lt;&gt;"",ISNUMBER(Q2945),ISNUMBER(L2945)),ROUND(Q2945-IF(ISNUMBER(N2945),N2945,0)-IF(ISNUMBER(O2945),O2945,0)+IF(ISNUMBER(P2945),P2945,0),2),"")</f>
        <v/>
      </c>
      <c r="S2945" s="9" t="str">
        <f aca="false">IF(R2945="","",ROUND(L2945-R2945,2))</f>
        <v/>
      </c>
      <c r="T2945" s="8" t="str">
        <f aca="false">IF(A2945="","",IF(S2945="","BYPASS",IF(ABS(S2945)&lt;=Summary!$B$2,"PASS","FAIL")))</f>
        <v/>
      </c>
      <c r="U2945" s="8" t="str">
        <f aca="false">IF(T2945="BYPASS",IF(NOT(ISNUMBER(Q2945)),"PreV_ETB missing","End_tr_balance missing"),IF(T2945="FAIL",IF(AND(ISNUMBER(K2945),ISNUMBER(L2945),ABS(L2945-(K2945-IF(ISNUMBER(N2945),N2945,0)-IF(ISNUMBER(O2945),O2945,0)+IF(ISNUMBER(P2945),P2945,0)))&lt;=Summary!$B$2),"Passes using beginning_balance - PreV_ETB differs from beginning_balance",IF(AND(ISNUMBER(O2945),O2945&lt;0,ABS(L2945-(Q2945-IF(ISNUMBER(N2945),N2945,0)+IF(ISNUMBER(P2945),P2945,0)))&lt;=Summary!$B$2),"Negative realized loss not applied - check sign",IF(R2945&lt;0,"Principal paid exceeds prior balance",IF(AND(L2945&gt;Q2945,NOT(ISNUMBER(P2945))),"Balance increased but no Deferred_interest reported",IF(L2945&gt;R2945,"Reported balance higher than expected (missing increase/OC build)","Reported balance lower than expected (missing decrease)"))))),""))</f>
        <v/>
      </c>
    </row>
    <row r="2946" customFormat="false" ht="15" hidden="false" customHeight="false" outlineLevel="0" collapsed="false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9"/>
      <c r="L2946" s="9"/>
      <c r="M2946" s="9"/>
      <c r="N2946" s="9"/>
      <c r="O2946" s="9"/>
      <c r="P2946" s="9"/>
      <c r="Q2946" s="9"/>
      <c r="R2946" s="9" t="str">
        <f aca="false">IF(AND(A2946&lt;&gt;"",ISNUMBER(Q2946),ISNUMBER(L2946)),ROUND(Q2946-IF(ISNUMBER(N2946),N2946,0)-IF(ISNUMBER(O2946),O2946,0)+IF(ISNUMBER(P2946),P2946,0),2),"")</f>
        <v/>
      </c>
      <c r="S2946" s="9" t="str">
        <f aca="false">IF(R2946="","",ROUND(L2946-R2946,2))</f>
        <v/>
      </c>
      <c r="T2946" s="8" t="str">
        <f aca="false">IF(A2946="","",IF(S2946="","BYPASS",IF(ABS(S2946)&lt;=Summary!$B$2,"PASS","FAIL")))</f>
        <v/>
      </c>
      <c r="U2946" s="8" t="str">
        <f aca="false">IF(T2946="BYPASS",IF(NOT(ISNUMBER(Q2946)),"PreV_ETB missing","End_tr_balance missing"),IF(T2946="FAIL",IF(AND(ISNUMBER(K2946),ISNUMBER(L2946),ABS(L2946-(K2946-IF(ISNUMBER(N2946),N2946,0)-IF(ISNUMBER(O2946),O2946,0)+IF(ISNUMBER(P2946),P2946,0)))&lt;=Summary!$B$2),"Passes using beginning_balance - PreV_ETB differs from beginning_balance",IF(AND(ISNUMBER(O2946),O2946&lt;0,ABS(L2946-(Q2946-IF(ISNUMBER(N2946),N2946,0)+IF(ISNUMBER(P2946),P2946,0)))&lt;=Summary!$B$2),"Negative realized loss not applied - check sign",IF(R2946&lt;0,"Principal paid exceeds prior balance",IF(AND(L2946&gt;Q2946,NOT(ISNUMBER(P2946))),"Balance increased but no Deferred_interest reported",IF(L2946&gt;R2946,"Reported balance higher than expected (missing increase/OC build)","Reported balance lower than expected (missing decrease)"))))),""))</f>
        <v/>
      </c>
    </row>
    <row r="2947" customFormat="false" ht="15" hidden="false" customHeight="false" outlineLevel="0" collapsed="false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9"/>
      <c r="L2947" s="9"/>
      <c r="M2947" s="9"/>
      <c r="N2947" s="9"/>
      <c r="O2947" s="9"/>
      <c r="P2947" s="9"/>
      <c r="Q2947" s="9"/>
      <c r="R2947" s="9" t="str">
        <f aca="false">IF(AND(A2947&lt;&gt;"",ISNUMBER(Q2947),ISNUMBER(L2947)),ROUND(Q2947-IF(ISNUMBER(N2947),N2947,0)-IF(ISNUMBER(O2947),O2947,0)+IF(ISNUMBER(P2947),P2947,0),2),"")</f>
        <v/>
      </c>
      <c r="S2947" s="9" t="str">
        <f aca="false">IF(R2947="","",ROUND(L2947-R2947,2))</f>
        <v/>
      </c>
      <c r="T2947" s="8" t="str">
        <f aca="false">IF(A2947="","",IF(S2947="","BYPASS",IF(ABS(S2947)&lt;=Summary!$B$2,"PASS","FAIL")))</f>
        <v/>
      </c>
      <c r="U2947" s="8" t="str">
        <f aca="false">IF(T2947="BYPASS",IF(NOT(ISNUMBER(Q2947)),"PreV_ETB missing","End_tr_balance missing"),IF(T2947="FAIL",IF(AND(ISNUMBER(K2947),ISNUMBER(L2947),ABS(L2947-(K2947-IF(ISNUMBER(N2947),N2947,0)-IF(ISNUMBER(O2947),O2947,0)+IF(ISNUMBER(P2947),P2947,0)))&lt;=Summary!$B$2),"Passes using beginning_balance - PreV_ETB differs from beginning_balance",IF(AND(ISNUMBER(O2947),O2947&lt;0,ABS(L2947-(Q2947-IF(ISNUMBER(N2947),N2947,0)+IF(ISNUMBER(P2947),P2947,0)))&lt;=Summary!$B$2),"Negative realized loss not applied - check sign",IF(R2947&lt;0,"Principal paid exceeds prior balance",IF(AND(L2947&gt;Q2947,NOT(ISNUMBER(P2947))),"Balance increased but no Deferred_interest reported",IF(L2947&gt;R2947,"Reported balance higher than expected (missing increase/OC build)","Reported balance lower than expected (missing decrease)"))))),""))</f>
        <v/>
      </c>
    </row>
    <row r="2948" customFormat="false" ht="15" hidden="false" customHeight="false" outlineLevel="0" collapsed="false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9"/>
      <c r="L2948" s="9"/>
      <c r="M2948" s="9"/>
      <c r="N2948" s="9"/>
      <c r="O2948" s="9"/>
      <c r="P2948" s="9"/>
      <c r="Q2948" s="9"/>
      <c r="R2948" s="9" t="str">
        <f aca="false">IF(AND(A2948&lt;&gt;"",ISNUMBER(Q2948),ISNUMBER(L2948)),ROUND(Q2948-IF(ISNUMBER(N2948),N2948,0)-IF(ISNUMBER(O2948),O2948,0)+IF(ISNUMBER(P2948),P2948,0),2),"")</f>
        <v/>
      </c>
      <c r="S2948" s="9" t="str">
        <f aca="false">IF(R2948="","",ROUND(L2948-R2948,2))</f>
        <v/>
      </c>
      <c r="T2948" s="8" t="str">
        <f aca="false">IF(A2948="","",IF(S2948="","BYPASS",IF(ABS(S2948)&lt;=Summary!$B$2,"PASS","FAIL")))</f>
        <v/>
      </c>
      <c r="U2948" s="8" t="str">
        <f aca="false">IF(T2948="BYPASS",IF(NOT(ISNUMBER(Q2948)),"PreV_ETB missing","End_tr_balance missing"),IF(T2948="FAIL",IF(AND(ISNUMBER(K2948),ISNUMBER(L2948),ABS(L2948-(K2948-IF(ISNUMBER(N2948),N2948,0)-IF(ISNUMBER(O2948),O2948,0)+IF(ISNUMBER(P2948),P2948,0)))&lt;=Summary!$B$2),"Passes using beginning_balance - PreV_ETB differs from beginning_balance",IF(AND(ISNUMBER(O2948),O2948&lt;0,ABS(L2948-(Q2948-IF(ISNUMBER(N2948),N2948,0)+IF(ISNUMBER(P2948),P2948,0)))&lt;=Summary!$B$2),"Negative realized loss not applied - check sign",IF(R2948&lt;0,"Principal paid exceeds prior balance",IF(AND(L2948&gt;Q2948,NOT(ISNUMBER(P2948))),"Balance increased but no Deferred_interest reported",IF(L2948&gt;R2948,"Reported balance higher than expected (missing increase/OC build)","Reported balance lower than expected (missing decrease)"))))),""))</f>
        <v/>
      </c>
    </row>
    <row r="2949" customFormat="false" ht="15" hidden="false" customHeight="false" outlineLevel="0" collapsed="false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9"/>
      <c r="L2949" s="9"/>
      <c r="M2949" s="9"/>
      <c r="N2949" s="9"/>
      <c r="O2949" s="9"/>
      <c r="P2949" s="9"/>
      <c r="Q2949" s="9"/>
      <c r="R2949" s="9" t="str">
        <f aca="false">IF(AND(A2949&lt;&gt;"",ISNUMBER(Q2949),ISNUMBER(L2949)),ROUND(Q2949-IF(ISNUMBER(N2949),N2949,0)-IF(ISNUMBER(O2949),O2949,0)+IF(ISNUMBER(P2949),P2949,0),2),"")</f>
        <v/>
      </c>
      <c r="S2949" s="9" t="str">
        <f aca="false">IF(R2949="","",ROUND(L2949-R2949,2))</f>
        <v/>
      </c>
      <c r="T2949" s="8" t="str">
        <f aca="false">IF(A2949="","",IF(S2949="","BYPASS",IF(ABS(S2949)&lt;=Summary!$B$2,"PASS","FAIL")))</f>
        <v/>
      </c>
      <c r="U2949" s="8" t="str">
        <f aca="false">IF(T2949="BYPASS",IF(NOT(ISNUMBER(Q2949)),"PreV_ETB missing","End_tr_balance missing"),IF(T2949="FAIL",IF(AND(ISNUMBER(K2949),ISNUMBER(L2949),ABS(L2949-(K2949-IF(ISNUMBER(N2949),N2949,0)-IF(ISNUMBER(O2949),O2949,0)+IF(ISNUMBER(P2949),P2949,0)))&lt;=Summary!$B$2),"Passes using beginning_balance - PreV_ETB differs from beginning_balance",IF(AND(ISNUMBER(O2949),O2949&lt;0,ABS(L2949-(Q2949-IF(ISNUMBER(N2949),N2949,0)+IF(ISNUMBER(P2949),P2949,0)))&lt;=Summary!$B$2),"Negative realized loss not applied - check sign",IF(R2949&lt;0,"Principal paid exceeds prior balance",IF(AND(L2949&gt;Q2949,NOT(ISNUMBER(P2949))),"Balance increased but no Deferred_interest reported",IF(L2949&gt;R2949,"Reported balance higher than expected (missing increase/OC build)","Reported balance lower than expected (missing decrease)"))))),""))</f>
        <v/>
      </c>
    </row>
    <row r="2950" customFormat="false" ht="15" hidden="false" customHeight="false" outlineLevel="0" collapsed="false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9"/>
      <c r="L2950" s="9"/>
      <c r="M2950" s="9"/>
      <c r="N2950" s="9"/>
      <c r="O2950" s="9"/>
      <c r="P2950" s="9"/>
      <c r="Q2950" s="9"/>
      <c r="R2950" s="9" t="str">
        <f aca="false">IF(AND(A2950&lt;&gt;"",ISNUMBER(Q2950),ISNUMBER(L2950)),ROUND(Q2950-IF(ISNUMBER(N2950),N2950,0)-IF(ISNUMBER(O2950),O2950,0)+IF(ISNUMBER(P2950),P2950,0),2),"")</f>
        <v/>
      </c>
      <c r="S2950" s="9" t="str">
        <f aca="false">IF(R2950="","",ROUND(L2950-R2950,2))</f>
        <v/>
      </c>
      <c r="T2950" s="8" t="str">
        <f aca="false">IF(A2950="","",IF(S2950="","BYPASS",IF(ABS(S2950)&lt;=Summary!$B$2,"PASS","FAIL")))</f>
        <v/>
      </c>
      <c r="U2950" s="8" t="str">
        <f aca="false">IF(T2950="BYPASS",IF(NOT(ISNUMBER(Q2950)),"PreV_ETB missing","End_tr_balance missing"),IF(T2950="FAIL",IF(AND(ISNUMBER(K2950),ISNUMBER(L2950),ABS(L2950-(K2950-IF(ISNUMBER(N2950),N2950,0)-IF(ISNUMBER(O2950),O2950,0)+IF(ISNUMBER(P2950),P2950,0)))&lt;=Summary!$B$2),"Passes using beginning_balance - PreV_ETB differs from beginning_balance",IF(AND(ISNUMBER(O2950),O2950&lt;0,ABS(L2950-(Q2950-IF(ISNUMBER(N2950),N2950,0)+IF(ISNUMBER(P2950),P2950,0)))&lt;=Summary!$B$2),"Negative realized loss not applied - check sign",IF(R2950&lt;0,"Principal paid exceeds prior balance",IF(AND(L2950&gt;Q2950,NOT(ISNUMBER(P2950))),"Balance increased but no Deferred_interest reported",IF(L2950&gt;R2950,"Reported balance higher than expected (missing increase/OC build)","Reported balance lower than expected (missing decrease)"))))),""))</f>
        <v/>
      </c>
    </row>
    <row r="2951" customFormat="false" ht="15" hidden="false" customHeight="false" outlineLevel="0" collapsed="false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9"/>
      <c r="L2951" s="9"/>
      <c r="M2951" s="9"/>
      <c r="N2951" s="9"/>
      <c r="O2951" s="9"/>
      <c r="P2951" s="9"/>
      <c r="Q2951" s="9"/>
      <c r="R2951" s="9" t="str">
        <f aca="false">IF(AND(A2951&lt;&gt;"",ISNUMBER(Q2951),ISNUMBER(L2951)),ROUND(Q2951-IF(ISNUMBER(N2951),N2951,0)-IF(ISNUMBER(O2951),O2951,0)+IF(ISNUMBER(P2951),P2951,0),2),"")</f>
        <v/>
      </c>
      <c r="S2951" s="9" t="str">
        <f aca="false">IF(R2951="","",ROUND(L2951-R2951,2))</f>
        <v/>
      </c>
      <c r="T2951" s="8" t="str">
        <f aca="false">IF(A2951="","",IF(S2951="","BYPASS",IF(ABS(S2951)&lt;=Summary!$B$2,"PASS","FAIL")))</f>
        <v/>
      </c>
      <c r="U2951" s="8" t="str">
        <f aca="false">IF(T2951="BYPASS",IF(NOT(ISNUMBER(Q2951)),"PreV_ETB missing","End_tr_balance missing"),IF(T2951="FAIL",IF(AND(ISNUMBER(K2951),ISNUMBER(L2951),ABS(L2951-(K2951-IF(ISNUMBER(N2951),N2951,0)-IF(ISNUMBER(O2951),O2951,0)+IF(ISNUMBER(P2951),P2951,0)))&lt;=Summary!$B$2),"Passes using beginning_balance - PreV_ETB differs from beginning_balance",IF(AND(ISNUMBER(O2951),O2951&lt;0,ABS(L2951-(Q2951-IF(ISNUMBER(N2951),N2951,0)+IF(ISNUMBER(P2951),P2951,0)))&lt;=Summary!$B$2),"Negative realized loss not applied - check sign",IF(R2951&lt;0,"Principal paid exceeds prior balance",IF(AND(L2951&gt;Q2951,NOT(ISNUMBER(P2951))),"Balance increased but no Deferred_interest reported",IF(L2951&gt;R2951,"Reported balance higher than expected (missing increase/OC build)","Reported balance lower than expected (missing decrease)"))))),""))</f>
        <v/>
      </c>
    </row>
    <row r="2952" customFormat="false" ht="15" hidden="false" customHeight="false" outlineLevel="0" collapsed="false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9"/>
      <c r="L2952" s="9"/>
      <c r="M2952" s="9"/>
      <c r="N2952" s="9"/>
      <c r="O2952" s="9"/>
      <c r="P2952" s="9"/>
      <c r="Q2952" s="9"/>
      <c r="R2952" s="9" t="str">
        <f aca="false">IF(AND(A2952&lt;&gt;"",ISNUMBER(Q2952),ISNUMBER(L2952)),ROUND(Q2952-IF(ISNUMBER(N2952),N2952,0)-IF(ISNUMBER(O2952),O2952,0)+IF(ISNUMBER(P2952),P2952,0),2),"")</f>
        <v/>
      </c>
      <c r="S2952" s="9" t="str">
        <f aca="false">IF(R2952="","",ROUND(L2952-R2952,2))</f>
        <v/>
      </c>
      <c r="T2952" s="8" t="str">
        <f aca="false">IF(A2952="","",IF(S2952="","BYPASS",IF(ABS(S2952)&lt;=Summary!$B$2,"PASS","FAIL")))</f>
        <v/>
      </c>
      <c r="U2952" s="8" t="str">
        <f aca="false">IF(T2952="BYPASS",IF(NOT(ISNUMBER(Q2952)),"PreV_ETB missing","End_tr_balance missing"),IF(T2952="FAIL",IF(AND(ISNUMBER(K2952),ISNUMBER(L2952),ABS(L2952-(K2952-IF(ISNUMBER(N2952),N2952,0)-IF(ISNUMBER(O2952),O2952,0)+IF(ISNUMBER(P2952),P2952,0)))&lt;=Summary!$B$2),"Passes using beginning_balance - PreV_ETB differs from beginning_balance",IF(AND(ISNUMBER(O2952),O2952&lt;0,ABS(L2952-(Q2952-IF(ISNUMBER(N2952),N2952,0)+IF(ISNUMBER(P2952),P2952,0)))&lt;=Summary!$B$2),"Negative realized loss not applied - check sign",IF(R2952&lt;0,"Principal paid exceeds prior balance",IF(AND(L2952&gt;Q2952,NOT(ISNUMBER(P2952))),"Balance increased but no Deferred_interest reported",IF(L2952&gt;R2952,"Reported balance higher than expected (missing increase/OC build)","Reported balance lower than expected (missing decrease)"))))),""))</f>
        <v/>
      </c>
    </row>
    <row r="2953" customFormat="false" ht="15" hidden="false" customHeight="false" outlineLevel="0" collapsed="false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9"/>
      <c r="L2953" s="9"/>
      <c r="M2953" s="9"/>
      <c r="N2953" s="9"/>
      <c r="O2953" s="9"/>
      <c r="P2953" s="9"/>
      <c r="Q2953" s="9"/>
      <c r="R2953" s="9" t="str">
        <f aca="false">IF(AND(A2953&lt;&gt;"",ISNUMBER(Q2953),ISNUMBER(L2953)),ROUND(Q2953-IF(ISNUMBER(N2953),N2953,0)-IF(ISNUMBER(O2953),O2953,0)+IF(ISNUMBER(P2953),P2953,0),2),"")</f>
        <v/>
      </c>
      <c r="S2953" s="9" t="str">
        <f aca="false">IF(R2953="","",ROUND(L2953-R2953,2))</f>
        <v/>
      </c>
      <c r="T2953" s="8" t="str">
        <f aca="false">IF(A2953="","",IF(S2953="","BYPASS",IF(ABS(S2953)&lt;=Summary!$B$2,"PASS","FAIL")))</f>
        <v/>
      </c>
      <c r="U2953" s="8" t="str">
        <f aca="false">IF(T2953="BYPASS",IF(NOT(ISNUMBER(Q2953)),"PreV_ETB missing","End_tr_balance missing"),IF(T2953="FAIL",IF(AND(ISNUMBER(K2953),ISNUMBER(L2953),ABS(L2953-(K2953-IF(ISNUMBER(N2953),N2953,0)-IF(ISNUMBER(O2953),O2953,0)+IF(ISNUMBER(P2953),P2953,0)))&lt;=Summary!$B$2),"Passes using beginning_balance - PreV_ETB differs from beginning_balance",IF(AND(ISNUMBER(O2953),O2953&lt;0,ABS(L2953-(Q2953-IF(ISNUMBER(N2953),N2953,0)+IF(ISNUMBER(P2953),P2953,0)))&lt;=Summary!$B$2),"Negative realized loss not applied - check sign",IF(R2953&lt;0,"Principal paid exceeds prior balance",IF(AND(L2953&gt;Q2953,NOT(ISNUMBER(P2953))),"Balance increased but no Deferred_interest reported",IF(L2953&gt;R2953,"Reported balance higher than expected (missing increase/OC build)","Reported balance lower than expected (missing decrease)"))))),""))</f>
        <v/>
      </c>
    </row>
    <row r="2954" customFormat="false" ht="15" hidden="false" customHeight="false" outlineLevel="0" collapsed="false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9"/>
      <c r="L2954" s="9"/>
      <c r="M2954" s="9"/>
      <c r="N2954" s="9"/>
      <c r="O2954" s="9"/>
      <c r="P2954" s="9"/>
      <c r="Q2954" s="9"/>
      <c r="R2954" s="9" t="str">
        <f aca="false">IF(AND(A2954&lt;&gt;"",ISNUMBER(Q2954),ISNUMBER(L2954)),ROUND(Q2954-IF(ISNUMBER(N2954),N2954,0)-IF(ISNUMBER(O2954),O2954,0)+IF(ISNUMBER(P2954),P2954,0),2),"")</f>
        <v/>
      </c>
      <c r="S2954" s="9" t="str">
        <f aca="false">IF(R2954="","",ROUND(L2954-R2954,2))</f>
        <v/>
      </c>
      <c r="T2954" s="8" t="str">
        <f aca="false">IF(A2954="","",IF(S2954="","BYPASS",IF(ABS(S2954)&lt;=Summary!$B$2,"PASS","FAIL")))</f>
        <v/>
      </c>
      <c r="U2954" s="8" t="str">
        <f aca="false">IF(T2954="BYPASS",IF(NOT(ISNUMBER(Q2954)),"PreV_ETB missing","End_tr_balance missing"),IF(T2954="FAIL",IF(AND(ISNUMBER(K2954),ISNUMBER(L2954),ABS(L2954-(K2954-IF(ISNUMBER(N2954),N2954,0)-IF(ISNUMBER(O2954),O2954,0)+IF(ISNUMBER(P2954),P2954,0)))&lt;=Summary!$B$2),"Passes using beginning_balance - PreV_ETB differs from beginning_balance",IF(AND(ISNUMBER(O2954),O2954&lt;0,ABS(L2954-(Q2954-IF(ISNUMBER(N2954),N2954,0)+IF(ISNUMBER(P2954),P2954,0)))&lt;=Summary!$B$2),"Negative realized loss not applied - check sign",IF(R2954&lt;0,"Principal paid exceeds prior balance",IF(AND(L2954&gt;Q2954,NOT(ISNUMBER(P2954))),"Balance increased but no Deferred_interest reported",IF(L2954&gt;R2954,"Reported balance higher than expected (missing increase/OC build)","Reported balance lower than expected (missing decrease)"))))),""))</f>
        <v/>
      </c>
    </row>
    <row r="2955" customFormat="false" ht="15" hidden="false" customHeight="false" outlineLevel="0" collapsed="false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9"/>
      <c r="L2955" s="9"/>
      <c r="M2955" s="9"/>
      <c r="N2955" s="9"/>
      <c r="O2955" s="9"/>
      <c r="P2955" s="9"/>
      <c r="Q2955" s="9"/>
      <c r="R2955" s="9" t="str">
        <f aca="false">IF(AND(A2955&lt;&gt;"",ISNUMBER(Q2955),ISNUMBER(L2955)),ROUND(Q2955-IF(ISNUMBER(N2955),N2955,0)-IF(ISNUMBER(O2955),O2955,0)+IF(ISNUMBER(P2955),P2955,0),2),"")</f>
        <v/>
      </c>
      <c r="S2955" s="9" t="str">
        <f aca="false">IF(R2955="","",ROUND(L2955-R2955,2))</f>
        <v/>
      </c>
      <c r="T2955" s="8" t="str">
        <f aca="false">IF(A2955="","",IF(S2955="","BYPASS",IF(ABS(S2955)&lt;=Summary!$B$2,"PASS","FAIL")))</f>
        <v/>
      </c>
      <c r="U2955" s="8" t="str">
        <f aca="false">IF(T2955="BYPASS",IF(NOT(ISNUMBER(Q2955)),"PreV_ETB missing","End_tr_balance missing"),IF(T2955="FAIL",IF(AND(ISNUMBER(K2955),ISNUMBER(L2955),ABS(L2955-(K2955-IF(ISNUMBER(N2955),N2955,0)-IF(ISNUMBER(O2955),O2955,0)+IF(ISNUMBER(P2955),P2955,0)))&lt;=Summary!$B$2),"Passes using beginning_balance - PreV_ETB differs from beginning_balance",IF(AND(ISNUMBER(O2955),O2955&lt;0,ABS(L2955-(Q2955-IF(ISNUMBER(N2955),N2955,0)+IF(ISNUMBER(P2955),P2955,0)))&lt;=Summary!$B$2),"Negative realized loss not applied - check sign",IF(R2955&lt;0,"Principal paid exceeds prior balance",IF(AND(L2955&gt;Q2955,NOT(ISNUMBER(P2955))),"Balance increased but no Deferred_interest reported",IF(L2955&gt;R2955,"Reported balance higher than expected (missing increase/OC build)","Reported balance lower than expected (missing decrease)"))))),""))</f>
        <v/>
      </c>
    </row>
    <row r="2956" customFormat="false" ht="15" hidden="false" customHeight="false" outlineLevel="0" collapsed="false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9"/>
      <c r="L2956" s="9"/>
      <c r="M2956" s="9"/>
      <c r="N2956" s="9"/>
      <c r="O2956" s="9"/>
      <c r="P2956" s="9"/>
      <c r="Q2956" s="9"/>
      <c r="R2956" s="9" t="str">
        <f aca="false">IF(AND(A2956&lt;&gt;"",ISNUMBER(Q2956),ISNUMBER(L2956)),ROUND(Q2956-IF(ISNUMBER(N2956),N2956,0)-IF(ISNUMBER(O2956),O2956,0)+IF(ISNUMBER(P2956),P2956,0),2),"")</f>
        <v/>
      </c>
      <c r="S2956" s="9" t="str">
        <f aca="false">IF(R2956="","",ROUND(L2956-R2956,2))</f>
        <v/>
      </c>
      <c r="T2956" s="8" t="str">
        <f aca="false">IF(A2956="","",IF(S2956="","BYPASS",IF(ABS(S2956)&lt;=Summary!$B$2,"PASS","FAIL")))</f>
        <v/>
      </c>
      <c r="U2956" s="8" t="str">
        <f aca="false">IF(T2956="BYPASS",IF(NOT(ISNUMBER(Q2956)),"PreV_ETB missing","End_tr_balance missing"),IF(T2956="FAIL",IF(AND(ISNUMBER(K2956),ISNUMBER(L2956),ABS(L2956-(K2956-IF(ISNUMBER(N2956),N2956,0)-IF(ISNUMBER(O2956),O2956,0)+IF(ISNUMBER(P2956),P2956,0)))&lt;=Summary!$B$2),"Passes using beginning_balance - PreV_ETB differs from beginning_balance",IF(AND(ISNUMBER(O2956),O2956&lt;0,ABS(L2956-(Q2956-IF(ISNUMBER(N2956),N2956,0)+IF(ISNUMBER(P2956),P2956,0)))&lt;=Summary!$B$2),"Negative realized loss not applied - check sign",IF(R2956&lt;0,"Principal paid exceeds prior balance",IF(AND(L2956&gt;Q2956,NOT(ISNUMBER(P2956))),"Balance increased but no Deferred_interest reported",IF(L2956&gt;R2956,"Reported balance higher than expected (missing increase/OC build)","Reported balance lower than expected (missing decrease)"))))),""))</f>
        <v/>
      </c>
    </row>
    <row r="2957" customFormat="false" ht="15" hidden="false" customHeight="false" outlineLevel="0" collapsed="false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9"/>
      <c r="L2957" s="9"/>
      <c r="M2957" s="9"/>
      <c r="N2957" s="9"/>
      <c r="O2957" s="9"/>
      <c r="P2957" s="9"/>
      <c r="Q2957" s="9"/>
      <c r="R2957" s="9" t="str">
        <f aca="false">IF(AND(A2957&lt;&gt;"",ISNUMBER(Q2957),ISNUMBER(L2957)),ROUND(Q2957-IF(ISNUMBER(N2957),N2957,0)-IF(ISNUMBER(O2957),O2957,0)+IF(ISNUMBER(P2957),P2957,0),2),"")</f>
        <v/>
      </c>
      <c r="S2957" s="9" t="str">
        <f aca="false">IF(R2957="","",ROUND(L2957-R2957,2))</f>
        <v/>
      </c>
      <c r="T2957" s="8" t="str">
        <f aca="false">IF(A2957="","",IF(S2957="","BYPASS",IF(ABS(S2957)&lt;=Summary!$B$2,"PASS","FAIL")))</f>
        <v/>
      </c>
      <c r="U2957" s="8" t="str">
        <f aca="false">IF(T2957="BYPASS",IF(NOT(ISNUMBER(Q2957)),"PreV_ETB missing","End_tr_balance missing"),IF(T2957="FAIL",IF(AND(ISNUMBER(K2957),ISNUMBER(L2957),ABS(L2957-(K2957-IF(ISNUMBER(N2957),N2957,0)-IF(ISNUMBER(O2957),O2957,0)+IF(ISNUMBER(P2957),P2957,0)))&lt;=Summary!$B$2),"Passes using beginning_balance - PreV_ETB differs from beginning_balance",IF(AND(ISNUMBER(O2957),O2957&lt;0,ABS(L2957-(Q2957-IF(ISNUMBER(N2957),N2957,0)+IF(ISNUMBER(P2957),P2957,0)))&lt;=Summary!$B$2),"Negative realized loss not applied - check sign",IF(R2957&lt;0,"Principal paid exceeds prior balance",IF(AND(L2957&gt;Q2957,NOT(ISNUMBER(P2957))),"Balance increased but no Deferred_interest reported",IF(L2957&gt;R2957,"Reported balance higher than expected (missing increase/OC build)","Reported balance lower than expected (missing decrease)"))))),""))</f>
        <v/>
      </c>
    </row>
    <row r="2958" customFormat="false" ht="15" hidden="false" customHeight="false" outlineLevel="0" collapsed="false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9"/>
      <c r="L2958" s="9"/>
      <c r="M2958" s="9"/>
      <c r="N2958" s="9"/>
      <c r="O2958" s="9"/>
      <c r="P2958" s="9"/>
      <c r="Q2958" s="9"/>
      <c r="R2958" s="9" t="str">
        <f aca="false">IF(AND(A2958&lt;&gt;"",ISNUMBER(Q2958),ISNUMBER(L2958)),ROUND(Q2958-IF(ISNUMBER(N2958),N2958,0)-IF(ISNUMBER(O2958),O2958,0)+IF(ISNUMBER(P2958),P2958,0),2),"")</f>
        <v/>
      </c>
      <c r="S2958" s="9" t="str">
        <f aca="false">IF(R2958="","",ROUND(L2958-R2958,2))</f>
        <v/>
      </c>
      <c r="T2958" s="8" t="str">
        <f aca="false">IF(A2958="","",IF(S2958="","BYPASS",IF(ABS(S2958)&lt;=Summary!$B$2,"PASS","FAIL")))</f>
        <v/>
      </c>
      <c r="U2958" s="8" t="str">
        <f aca="false">IF(T2958="BYPASS",IF(NOT(ISNUMBER(Q2958)),"PreV_ETB missing","End_tr_balance missing"),IF(T2958="FAIL",IF(AND(ISNUMBER(K2958),ISNUMBER(L2958),ABS(L2958-(K2958-IF(ISNUMBER(N2958),N2958,0)-IF(ISNUMBER(O2958),O2958,0)+IF(ISNUMBER(P2958),P2958,0)))&lt;=Summary!$B$2),"Passes using beginning_balance - PreV_ETB differs from beginning_balance",IF(AND(ISNUMBER(O2958),O2958&lt;0,ABS(L2958-(Q2958-IF(ISNUMBER(N2958),N2958,0)+IF(ISNUMBER(P2958),P2958,0)))&lt;=Summary!$B$2),"Negative realized loss not applied - check sign",IF(R2958&lt;0,"Principal paid exceeds prior balance",IF(AND(L2958&gt;Q2958,NOT(ISNUMBER(P2958))),"Balance increased but no Deferred_interest reported",IF(L2958&gt;R2958,"Reported balance higher than expected (missing increase/OC build)","Reported balance lower than expected (missing decrease)"))))),""))</f>
        <v/>
      </c>
    </row>
    <row r="2959" customFormat="false" ht="15" hidden="false" customHeight="false" outlineLevel="0" collapsed="false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9"/>
      <c r="L2959" s="9"/>
      <c r="M2959" s="9"/>
      <c r="N2959" s="9"/>
      <c r="O2959" s="9"/>
      <c r="P2959" s="9"/>
      <c r="Q2959" s="9"/>
      <c r="R2959" s="9" t="str">
        <f aca="false">IF(AND(A2959&lt;&gt;"",ISNUMBER(Q2959),ISNUMBER(L2959)),ROUND(Q2959-IF(ISNUMBER(N2959),N2959,0)-IF(ISNUMBER(O2959),O2959,0)+IF(ISNUMBER(P2959),P2959,0),2),"")</f>
        <v/>
      </c>
      <c r="S2959" s="9" t="str">
        <f aca="false">IF(R2959="","",ROUND(L2959-R2959,2))</f>
        <v/>
      </c>
      <c r="T2959" s="8" t="str">
        <f aca="false">IF(A2959="","",IF(S2959="","BYPASS",IF(ABS(S2959)&lt;=Summary!$B$2,"PASS","FAIL")))</f>
        <v/>
      </c>
      <c r="U2959" s="8" t="str">
        <f aca="false">IF(T2959="BYPASS",IF(NOT(ISNUMBER(Q2959)),"PreV_ETB missing","End_tr_balance missing"),IF(T2959="FAIL",IF(AND(ISNUMBER(K2959),ISNUMBER(L2959),ABS(L2959-(K2959-IF(ISNUMBER(N2959),N2959,0)-IF(ISNUMBER(O2959),O2959,0)+IF(ISNUMBER(P2959),P2959,0)))&lt;=Summary!$B$2),"Passes using beginning_balance - PreV_ETB differs from beginning_balance",IF(AND(ISNUMBER(O2959),O2959&lt;0,ABS(L2959-(Q2959-IF(ISNUMBER(N2959),N2959,0)+IF(ISNUMBER(P2959),P2959,0)))&lt;=Summary!$B$2),"Negative realized loss not applied - check sign",IF(R2959&lt;0,"Principal paid exceeds prior balance",IF(AND(L2959&gt;Q2959,NOT(ISNUMBER(P2959))),"Balance increased but no Deferred_interest reported",IF(L2959&gt;R2959,"Reported balance higher than expected (missing increase/OC build)","Reported balance lower than expected (missing decrease)"))))),""))</f>
        <v/>
      </c>
    </row>
    <row r="2960" customFormat="false" ht="15" hidden="false" customHeight="false" outlineLevel="0" collapsed="false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9"/>
      <c r="L2960" s="9"/>
      <c r="M2960" s="9"/>
      <c r="N2960" s="9"/>
      <c r="O2960" s="9"/>
      <c r="P2960" s="9"/>
      <c r="Q2960" s="9"/>
      <c r="R2960" s="9" t="str">
        <f aca="false">IF(AND(A2960&lt;&gt;"",ISNUMBER(Q2960),ISNUMBER(L2960)),ROUND(Q2960-IF(ISNUMBER(N2960),N2960,0)-IF(ISNUMBER(O2960),O2960,0)+IF(ISNUMBER(P2960),P2960,0),2),"")</f>
        <v/>
      </c>
      <c r="S2960" s="9" t="str">
        <f aca="false">IF(R2960="","",ROUND(L2960-R2960,2))</f>
        <v/>
      </c>
      <c r="T2960" s="8" t="str">
        <f aca="false">IF(A2960="","",IF(S2960="","BYPASS",IF(ABS(S2960)&lt;=Summary!$B$2,"PASS","FAIL")))</f>
        <v/>
      </c>
      <c r="U2960" s="8" t="str">
        <f aca="false">IF(T2960="BYPASS",IF(NOT(ISNUMBER(Q2960)),"PreV_ETB missing","End_tr_balance missing"),IF(T2960="FAIL",IF(AND(ISNUMBER(K2960),ISNUMBER(L2960),ABS(L2960-(K2960-IF(ISNUMBER(N2960),N2960,0)-IF(ISNUMBER(O2960),O2960,0)+IF(ISNUMBER(P2960),P2960,0)))&lt;=Summary!$B$2),"Passes using beginning_balance - PreV_ETB differs from beginning_balance",IF(AND(ISNUMBER(O2960),O2960&lt;0,ABS(L2960-(Q2960-IF(ISNUMBER(N2960),N2960,0)+IF(ISNUMBER(P2960),P2960,0)))&lt;=Summary!$B$2),"Negative realized loss not applied - check sign",IF(R2960&lt;0,"Principal paid exceeds prior balance",IF(AND(L2960&gt;Q2960,NOT(ISNUMBER(P2960))),"Balance increased but no Deferred_interest reported",IF(L2960&gt;R2960,"Reported balance higher than expected (missing increase/OC build)","Reported balance lower than expected (missing decrease)"))))),""))</f>
        <v/>
      </c>
    </row>
    <row r="2961" customFormat="false" ht="15" hidden="false" customHeight="false" outlineLevel="0" collapsed="false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9"/>
      <c r="L2961" s="9"/>
      <c r="M2961" s="9"/>
      <c r="N2961" s="9"/>
      <c r="O2961" s="9"/>
      <c r="P2961" s="9"/>
      <c r="Q2961" s="9"/>
      <c r="R2961" s="9" t="str">
        <f aca="false">IF(AND(A2961&lt;&gt;"",ISNUMBER(Q2961),ISNUMBER(L2961)),ROUND(Q2961-IF(ISNUMBER(N2961),N2961,0)-IF(ISNUMBER(O2961),O2961,0)+IF(ISNUMBER(P2961),P2961,0),2),"")</f>
        <v/>
      </c>
      <c r="S2961" s="9" t="str">
        <f aca="false">IF(R2961="","",ROUND(L2961-R2961,2))</f>
        <v/>
      </c>
      <c r="T2961" s="8" t="str">
        <f aca="false">IF(A2961="","",IF(S2961="","BYPASS",IF(ABS(S2961)&lt;=Summary!$B$2,"PASS","FAIL")))</f>
        <v/>
      </c>
      <c r="U2961" s="8" t="str">
        <f aca="false">IF(T2961="BYPASS",IF(NOT(ISNUMBER(Q2961)),"PreV_ETB missing","End_tr_balance missing"),IF(T2961="FAIL",IF(AND(ISNUMBER(K2961),ISNUMBER(L2961),ABS(L2961-(K2961-IF(ISNUMBER(N2961),N2961,0)-IF(ISNUMBER(O2961),O2961,0)+IF(ISNUMBER(P2961),P2961,0)))&lt;=Summary!$B$2),"Passes using beginning_balance - PreV_ETB differs from beginning_balance",IF(AND(ISNUMBER(O2961),O2961&lt;0,ABS(L2961-(Q2961-IF(ISNUMBER(N2961),N2961,0)+IF(ISNUMBER(P2961),P2961,0)))&lt;=Summary!$B$2),"Negative realized loss not applied - check sign",IF(R2961&lt;0,"Principal paid exceeds prior balance",IF(AND(L2961&gt;Q2961,NOT(ISNUMBER(P2961))),"Balance increased but no Deferred_interest reported",IF(L2961&gt;R2961,"Reported balance higher than expected (missing increase/OC build)","Reported balance lower than expected (missing decrease)"))))),""))</f>
        <v/>
      </c>
    </row>
    <row r="2962" customFormat="false" ht="15" hidden="false" customHeight="false" outlineLevel="0" collapsed="false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9"/>
      <c r="L2962" s="9"/>
      <c r="M2962" s="9"/>
      <c r="N2962" s="9"/>
      <c r="O2962" s="9"/>
      <c r="P2962" s="9"/>
      <c r="Q2962" s="9"/>
      <c r="R2962" s="9" t="str">
        <f aca="false">IF(AND(A2962&lt;&gt;"",ISNUMBER(Q2962),ISNUMBER(L2962)),ROUND(Q2962-IF(ISNUMBER(N2962),N2962,0)-IF(ISNUMBER(O2962),O2962,0)+IF(ISNUMBER(P2962),P2962,0),2),"")</f>
        <v/>
      </c>
      <c r="S2962" s="9" t="str">
        <f aca="false">IF(R2962="","",ROUND(L2962-R2962,2))</f>
        <v/>
      </c>
      <c r="T2962" s="8" t="str">
        <f aca="false">IF(A2962="","",IF(S2962="","BYPASS",IF(ABS(S2962)&lt;=Summary!$B$2,"PASS","FAIL")))</f>
        <v/>
      </c>
      <c r="U2962" s="8" t="str">
        <f aca="false">IF(T2962="BYPASS",IF(NOT(ISNUMBER(Q2962)),"PreV_ETB missing","End_tr_balance missing"),IF(T2962="FAIL",IF(AND(ISNUMBER(K2962),ISNUMBER(L2962),ABS(L2962-(K2962-IF(ISNUMBER(N2962),N2962,0)-IF(ISNUMBER(O2962),O2962,0)+IF(ISNUMBER(P2962),P2962,0)))&lt;=Summary!$B$2),"Passes using beginning_balance - PreV_ETB differs from beginning_balance",IF(AND(ISNUMBER(O2962),O2962&lt;0,ABS(L2962-(Q2962-IF(ISNUMBER(N2962),N2962,0)+IF(ISNUMBER(P2962),P2962,0)))&lt;=Summary!$B$2),"Negative realized loss not applied - check sign",IF(R2962&lt;0,"Principal paid exceeds prior balance",IF(AND(L2962&gt;Q2962,NOT(ISNUMBER(P2962))),"Balance increased but no Deferred_interest reported",IF(L2962&gt;R2962,"Reported balance higher than expected (missing increase/OC build)","Reported balance lower than expected (missing decrease)"))))),""))</f>
        <v/>
      </c>
    </row>
    <row r="2963" customFormat="false" ht="15" hidden="false" customHeight="false" outlineLevel="0" collapsed="false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9"/>
      <c r="L2963" s="9"/>
      <c r="M2963" s="9"/>
      <c r="N2963" s="9"/>
      <c r="O2963" s="9"/>
      <c r="P2963" s="9"/>
      <c r="Q2963" s="9"/>
      <c r="R2963" s="9" t="str">
        <f aca="false">IF(AND(A2963&lt;&gt;"",ISNUMBER(Q2963),ISNUMBER(L2963)),ROUND(Q2963-IF(ISNUMBER(N2963),N2963,0)-IF(ISNUMBER(O2963),O2963,0)+IF(ISNUMBER(P2963),P2963,0),2),"")</f>
        <v/>
      </c>
      <c r="S2963" s="9" t="str">
        <f aca="false">IF(R2963="","",ROUND(L2963-R2963,2))</f>
        <v/>
      </c>
      <c r="T2963" s="8" t="str">
        <f aca="false">IF(A2963="","",IF(S2963="","BYPASS",IF(ABS(S2963)&lt;=Summary!$B$2,"PASS","FAIL")))</f>
        <v/>
      </c>
      <c r="U2963" s="8" t="str">
        <f aca="false">IF(T2963="BYPASS",IF(NOT(ISNUMBER(Q2963)),"PreV_ETB missing","End_tr_balance missing"),IF(T2963="FAIL",IF(AND(ISNUMBER(K2963),ISNUMBER(L2963),ABS(L2963-(K2963-IF(ISNUMBER(N2963),N2963,0)-IF(ISNUMBER(O2963),O2963,0)+IF(ISNUMBER(P2963),P2963,0)))&lt;=Summary!$B$2),"Passes using beginning_balance - PreV_ETB differs from beginning_balance",IF(AND(ISNUMBER(O2963),O2963&lt;0,ABS(L2963-(Q2963-IF(ISNUMBER(N2963),N2963,0)+IF(ISNUMBER(P2963),P2963,0)))&lt;=Summary!$B$2),"Negative realized loss not applied - check sign",IF(R2963&lt;0,"Principal paid exceeds prior balance",IF(AND(L2963&gt;Q2963,NOT(ISNUMBER(P2963))),"Balance increased but no Deferred_interest reported",IF(L2963&gt;R2963,"Reported balance higher than expected (missing increase/OC build)","Reported balance lower than expected (missing decrease)"))))),""))</f>
        <v/>
      </c>
    </row>
    <row r="2964" customFormat="false" ht="15" hidden="false" customHeight="false" outlineLevel="0" collapsed="false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9"/>
      <c r="L2964" s="9"/>
      <c r="M2964" s="9"/>
      <c r="N2964" s="9"/>
      <c r="O2964" s="9"/>
      <c r="P2964" s="9"/>
      <c r="Q2964" s="9"/>
      <c r="R2964" s="9" t="str">
        <f aca="false">IF(AND(A2964&lt;&gt;"",ISNUMBER(Q2964),ISNUMBER(L2964)),ROUND(Q2964-IF(ISNUMBER(N2964),N2964,0)-IF(ISNUMBER(O2964),O2964,0)+IF(ISNUMBER(P2964),P2964,0),2),"")</f>
        <v/>
      </c>
      <c r="S2964" s="9" t="str">
        <f aca="false">IF(R2964="","",ROUND(L2964-R2964,2))</f>
        <v/>
      </c>
      <c r="T2964" s="8" t="str">
        <f aca="false">IF(A2964="","",IF(S2964="","BYPASS",IF(ABS(S2964)&lt;=Summary!$B$2,"PASS","FAIL")))</f>
        <v/>
      </c>
      <c r="U2964" s="8" t="str">
        <f aca="false">IF(T2964="BYPASS",IF(NOT(ISNUMBER(Q2964)),"PreV_ETB missing","End_tr_balance missing"),IF(T2964="FAIL",IF(AND(ISNUMBER(K2964),ISNUMBER(L2964),ABS(L2964-(K2964-IF(ISNUMBER(N2964),N2964,0)-IF(ISNUMBER(O2964),O2964,0)+IF(ISNUMBER(P2964),P2964,0)))&lt;=Summary!$B$2),"Passes using beginning_balance - PreV_ETB differs from beginning_balance",IF(AND(ISNUMBER(O2964),O2964&lt;0,ABS(L2964-(Q2964-IF(ISNUMBER(N2964),N2964,0)+IF(ISNUMBER(P2964),P2964,0)))&lt;=Summary!$B$2),"Negative realized loss not applied - check sign",IF(R2964&lt;0,"Principal paid exceeds prior balance",IF(AND(L2964&gt;Q2964,NOT(ISNUMBER(P2964))),"Balance increased but no Deferred_interest reported",IF(L2964&gt;R2964,"Reported balance higher than expected (missing increase/OC build)","Reported balance lower than expected (missing decrease)"))))),""))</f>
        <v/>
      </c>
    </row>
    <row r="2965" customFormat="false" ht="15" hidden="false" customHeight="false" outlineLevel="0" collapsed="false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9"/>
      <c r="L2965" s="9"/>
      <c r="M2965" s="9"/>
      <c r="N2965" s="9"/>
      <c r="O2965" s="9"/>
      <c r="P2965" s="9"/>
      <c r="Q2965" s="9"/>
      <c r="R2965" s="9" t="str">
        <f aca="false">IF(AND(A2965&lt;&gt;"",ISNUMBER(Q2965),ISNUMBER(L2965)),ROUND(Q2965-IF(ISNUMBER(N2965),N2965,0)-IF(ISNUMBER(O2965),O2965,0)+IF(ISNUMBER(P2965),P2965,0),2),"")</f>
        <v/>
      </c>
      <c r="S2965" s="9" t="str">
        <f aca="false">IF(R2965="","",ROUND(L2965-R2965,2))</f>
        <v/>
      </c>
      <c r="T2965" s="8" t="str">
        <f aca="false">IF(A2965="","",IF(S2965="","BYPASS",IF(ABS(S2965)&lt;=Summary!$B$2,"PASS","FAIL")))</f>
        <v/>
      </c>
      <c r="U2965" s="8" t="str">
        <f aca="false">IF(T2965="BYPASS",IF(NOT(ISNUMBER(Q2965)),"PreV_ETB missing","End_tr_balance missing"),IF(T2965="FAIL",IF(AND(ISNUMBER(K2965),ISNUMBER(L2965),ABS(L2965-(K2965-IF(ISNUMBER(N2965),N2965,0)-IF(ISNUMBER(O2965),O2965,0)+IF(ISNUMBER(P2965),P2965,0)))&lt;=Summary!$B$2),"Passes using beginning_balance - PreV_ETB differs from beginning_balance",IF(AND(ISNUMBER(O2965),O2965&lt;0,ABS(L2965-(Q2965-IF(ISNUMBER(N2965),N2965,0)+IF(ISNUMBER(P2965),P2965,0)))&lt;=Summary!$B$2),"Negative realized loss not applied - check sign",IF(R2965&lt;0,"Principal paid exceeds prior balance",IF(AND(L2965&gt;Q2965,NOT(ISNUMBER(P2965))),"Balance increased but no Deferred_interest reported",IF(L2965&gt;R2965,"Reported balance higher than expected (missing increase/OC build)","Reported balance lower than expected (missing decrease)"))))),""))</f>
        <v/>
      </c>
    </row>
    <row r="2966" customFormat="false" ht="15" hidden="false" customHeight="false" outlineLevel="0" collapsed="false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9"/>
      <c r="L2966" s="9"/>
      <c r="M2966" s="9"/>
      <c r="N2966" s="9"/>
      <c r="O2966" s="9"/>
      <c r="P2966" s="9"/>
      <c r="Q2966" s="9"/>
      <c r="R2966" s="9" t="str">
        <f aca="false">IF(AND(A2966&lt;&gt;"",ISNUMBER(Q2966),ISNUMBER(L2966)),ROUND(Q2966-IF(ISNUMBER(N2966),N2966,0)-IF(ISNUMBER(O2966),O2966,0)+IF(ISNUMBER(P2966),P2966,0),2),"")</f>
        <v/>
      </c>
      <c r="S2966" s="9" t="str">
        <f aca="false">IF(R2966="","",ROUND(L2966-R2966,2))</f>
        <v/>
      </c>
      <c r="T2966" s="8" t="str">
        <f aca="false">IF(A2966="","",IF(S2966="","BYPASS",IF(ABS(S2966)&lt;=Summary!$B$2,"PASS","FAIL")))</f>
        <v/>
      </c>
      <c r="U2966" s="8" t="str">
        <f aca="false">IF(T2966="BYPASS",IF(NOT(ISNUMBER(Q2966)),"PreV_ETB missing","End_tr_balance missing"),IF(T2966="FAIL",IF(AND(ISNUMBER(K2966),ISNUMBER(L2966),ABS(L2966-(K2966-IF(ISNUMBER(N2966),N2966,0)-IF(ISNUMBER(O2966),O2966,0)+IF(ISNUMBER(P2966),P2966,0)))&lt;=Summary!$B$2),"Passes using beginning_balance - PreV_ETB differs from beginning_balance",IF(AND(ISNUMBER(O2966),O2966&lt;0,ABS(L2966-(Q2966-IF(ISNUMBER(N2966),N2966,0)+IF(ISNUMBER(P2966),P2966,0)))&lt;=Summary!$B$2),"Negative realized loss not applied - check sign",IF(R2966&lt;0,"Principal paid exceeds prior balance",IF(AND(L2966&gt;Q2966,NOT(ISNUMBER(P2966))),"Balance increased but no Deferred_interest reported",IF(L2966&gt;R2966,"Reported balance higher than expected (missing increase/OC build)","Reported balance lower than expected (missing decrease)"))))),""))</f>
        <v/>
      </c>
    </row>
    <row r="2967" customFormat="false" ht="15" hidden="false" customHeight="false" outlineLevel="0" collapsed="false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9"/>
      <c r="L2967" s="9"/>
      <c r="M2967" s="9"/>
      <c r="N2967" s="9"/>
      <c r="O2967" s="9"/>
      <c r="P2967" s="9"/>
      <c r="Q2967" s="9"/>
      <c r="R2967" s="9" t="str">
        <f aca="false">IF(AND(A2967&lt;&gt;"",ISNUMBER(Q2967),ISNUMBER(L2967)),ROUND(Q2967-IF(ISNUMBER(N2967),N2967,0)-IF(ISNUMBER(O2967),O2967,0)+IF(ISNUMBER(P2967),P2967,0),2),"")</f>
        <v/>
      </c>
      <c r="S2967" s="9" t="str">
        <f aca="false">IF(R2967="","",ROUND(L2967-R2967,2))</f>
        <v/>
      </c>
      <c r="T2967" s="8" t="str">
        <f aca="false">IF(A2967="","",IF(S2967="","BYPASS",IF(ABS(S2967)&lt;=Summary!$B$2,"PASS","FAIL")))</f>
        <v/>
      </c>
      <c r="U2967" s="8" t="str">
        <f aca="false">IF(T2967="BYPASS",IF(NOT(ISNUMBER(Q2967)),"PreV_ETB missing","End_tr_balance missing"),IF(T2967="FAIL",IF(AND(ISNUMBER(K2967),ISNUMBER(L2967),ABS(L2967-(K2967-IF(ISNUMBER(N2967),N2967,0)-IF(ISNUMBER(O2967),O2967,0)+IF(ISNUMBER(P2967),P2967,0)))&lt;=Summary!$B$2),"Passes using beginning_balance - PreV_ETB differs from beginning_balance",IF(AND(ISNUMBER(O2967),O2967&lt;0,ABS(L2967-(Q2967-IF(ISNUMBER(N2967),N2967,0)+IF(ISNUMBER(P2967),P2967,0)))&lt;=Summary!$B$2),"Negative realized loss not applied - check sign",IF(R2967&lt;0,"Principal paid exceeds prior balance",IF(AND(L2967&gt;Q2967,NOT(ISNUMBER(P2967))),"Balance increased but no Deferred_interest reported",IF(L2967&gt;R2967,"Reported balance higher than expected (missing increase/OC build)","Reported balance lower than expected (missing decrease)"))))),""))</f>
        <v/>
      </c>
    </row>
    <row r="2968" customFormat="false" ht="15" hidden="false" customHeight="false" outlineLevel="0" collapsed="false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9"/>
      <c r="L2968" s="9"/>
      <c r="M2968" s="9"/>
      <c r="N2968" s="9"/>
      <c r="O2968" s="9"/>
      <c r="P2968" s="9"/>
      <c r="Q2968" s="9"/>
      <c r="R2968" s="9" t="str">
        <f aca="false">IF(AND(A2968&lt;&gt;"",ISNUMBER(Q2968),ISNUMBER(L2968)),ROUND(Q2968-IF(ISNUMBER(N2968),N2968,0)-IF(ISNUMBER(O2968),O2968,0)+IF(ISNUMBER(P2968),P2968,0),2),"")</f>
        <v/>
      </c>
      <c r="S2968" s="9" t="str">
        <f aca="false">IF(R2968="","",ROUND(L2968-R2968,2))</f>
        <v/>
      </c>
      <c r="T2968" s="8" t="str">
        <f aca="false">IF(A2968="","",IF(S2968="","BYPASS",IF(ABS(S2968)&lt;=Summary!$B$2,"PASS","FAIL")))</f>
        <v/>
      </c>
      <c r="U2968" s="8" t="str">
        <f aca="false">IF(T2968="BYPASS",IF(NOT(ISNUMBER(Q2968)),"PreV_ETB missing","End_tr_balance missing"),IF(T2968="FAIL",IF(AND(ISNUMBER(K2968),ISNUMBER(L2968),ABS(L2968-(K2968-IF(ISNUMBER(N2968),N2968,0)-IF(ISNUMBER(O2968),O2968,0)+IF(ISNUMBER(P2968),P2968,0)))&lt;=Summary!$B$2),"Passes using beginning_balance - PreV_ETB differs from beginning_balance",IF(AND(ISNUMBER(O2968),O2968&lt;0,ABS(L2968-(Q2968-IF(ISNUMBER(N2968),N2968,0)+IF(ISNUMBER(P2968),P2968,0)))&lt;=Summary!$B$2),"Negative realized loss not applied - check sign",IF(R2968&lt;0,"Principal paid exceeds prior balance",IF(AND(L2968&gt;Q2968,NOT(ISNUMBER(P2968))),"Balance increased but no Deferred_interest reported",IF(L2968&gt;R2968,"Reported balance higher than expected (missing increase/OC build)","Reported balance lower than expected (missing decrease)"))))),""))</f>
        <v/>
      </c>
    </row>
    <row r="2969" customFormat="false" ht="15" hidden="false" customHeight="false" outlineLevel="0" collapsed="false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9"/>
      <c r="L2969" s="9"/>
      <c r="M2969" s="9"/>
      <c r="N2969" s="9"/>
      <c r="O2969" s="9"/>
      <c r="P2969" s="9"/>
      <c r="Q2969" s="9"/>
      <c r="R2969" s="9" t="str">
        <f aca="false">IF(AND(A2969&lt;&gt;"",ISNUMBER(Q2969),ISNUMBER(L2969)),ROUND(Q2969-IF(ISNUMBER(N2969),N2969,0)-IF(ISNUMBER(O2969),O2969,0)+IF(ISNUMBER(P2969),P2969,0),2),"")</f>
        <v/>
      </c>
      <c r="S2969" s="9" t="str">
        <f aca="false">IF(R2969="","",ROUND(L2969-R2969,2))</f>
        <v/>
      </c>
      <c r="T2969" s="8" t="str">
        <f aca="false">IF(A2969="","",IF(S2969="","BYPASS",IF(ABS(S2969)&lt;=Summary!$B$2,"PASS","FAIL")))</f>
        <v/>
      </c>
      <c r="U2969" s="8" t="str">
        <f aca="false">IF(T2969="BYPASS",IF(NOT(ISNUMBER(Q2969)),"PreV_ETB missing","End_tr_balance missing"),IF(T2969="FAIL",IF(AND(ISNUMBER(K2969),ISNUMBER(L2969),ABS(L2969-(K2969-IF(ISNUMBER(N2969),N2969,0)-IF(ISNUMBER(O2969),O2969,0)+IF(ISNUMBER(P2969),P2969,0)))&lt;=Summary!$B$2),"Passes using beginning_balance - PreV_ETB differs from beginning_balance",IF(AND(ISNUMBER(O2969),O2969&lt;0,ABS(L2969-(Q2969-IF(ISNUMBER(N2969),N2969,0)+IF(ISNUMBER(P2969),P2969,0)))&lt;=Summary!$B$2),"Negative realized loss not applied - check sign",IF(R2969&lt;0,"Principal paid exceeds prior balance",IF(AND(L2969&gt;Q2969,NOT(ISNUMBER(P2969))),"Balance increased but no Deferred_interest reported",IF(L2969&gt;R2969,"Reported balance higher than expected (missing increase/OC build)","Reported balance lower than expected (missing decrease)"))))),""))</f>
        <v/>
      </c>
    </row>
    <row r="2970" customFormat="false" ht="15" hidden="false" customHeight="false" outlineLevel="0" collapsed="false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9"/>
      <c r="L2970" s="9"/>
      <c r="M2970" s="9"/>
      <c r="N2970" s="9"/>
      <c r="O2970" s="9"/>
      <c r="P2970" s="9"/>
      <c r="Q2970" s="9"/>
      <c r="R2970" s="9" t="str">
        <f aca="false">IF(AND(A2970&lt;&gt;"",ISNUMBER(Q2970),ISNUMBER(L2970)),ROUND(Q2970-IF(ISNUMBER(N2970),N2970,0)-IF(ISNUMBER(O2970),O2970,0)+IF(ISNUMBER(P2970),P2970,0),2),"")</f>
        <v/>
      </c>
      <c r="S2970" s="9" t="str">
        <f aca="false">IF(R2970="","",ROUND(L2970-R2970,2))</f>
        <v/>
      </c>
      <c r="T2970" s="8" t="str">
        <f aca="false">IF(A2970="","",IF(S2970="","BYPASS",IF(ABS(S2970)&lt;=Summary!$B$2,"PASS","FAIL")))</f>
        <v/>
      </c>
      <c r="U2970" s="8" t="str">
        <f aca="false">IF(T2970="BYPASS",IF(NOT(ISNUMBER(Q2970)),"PreV_ETB missing","End_tr_balance missing"),IF(T2970="FAIL",IF(AND(ISNUMBER(K2970),ISNUMBER(L2970),ABS(L2970-(K2970-IF(ISNUMBER(N2970),N2970,0)-IF(ISNUMBER(O2970),O2970,0)+IF(ISNUMBER(P2970),P2970,0)))&lt;=Summary!$B$2),"Passes using beginning_balance - PreV_ETB differs from beginning_balance",IF(AND(ISNUMBER(O2970),O2970&lt;0,ABS(L2970-(Q2970-IF(ISNUMBER(N2970),N2970,0)+IF(ISNUMBER(P2970),P2970,0)))&lt;=Summary!$B$2),"Negative realized loss not applied - check sign",IF(R2970&lt;0,"Principal paid exceeds prior balance",IF(AND(L2970&gt;Q2970,NOT(ISNUMBER(P2970))),"Balance increased but no Deferred_interest reported",IF(L2970&gt;R2970,"Reported balance higher than expected (missing increase/OC build)","Reported balance lower than expected (missing decrease)"))))),""))</f>
        <v/>
      </c>
    </row>
    <row r="2971" customFormat="false" ht="15" hidden="false" customHeight="false" outlineLevel="0" collapsed="false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9"/>
      <c r="L2971" s="9"/>
      <c r="M2971" s="9"/>
      <c r="N2971" s="9"/>
      <c r="O2971" s="9"/>
      <c r="P2971" s="9"/>
      <c r="Q2971" s="9"/>
      <c r="R2971" s="9" t="str">
        <f aca="false">IF(AND(A2971&lt;&gt;"",ISNUMBER(Q2971),ISNUMBER(L2971)),ROUND(Q2971-IF(ISNUMBER(N2971),N2971,0)-IF(ISNUMBER(O2971),O2971,0)+IF(ISNUMBER(P2971),P2971,0),2),"")</f>
        <v/>
      </c>
      <c r="S2971" s="9" t="str">
        <f aca="false">IF(R2971="","",ROUND(L2971-R2971,2))</f>
        <v/>
      </c>
      <c r="T2971" s="8" t="str">
        <f aca="false">IF(A2971="","",IF(S2971="","BYPASS",IF(ABS(S2971)&lt;=Summary!$B$2,"PASS","FAIL")))</f>
        <v/>
      </c>
      <c r="U2971" s="8" t="str">
        <f aca="false">IF(T2971="BYPASS",IF(NOT(ISNUMBER(Q2971)),"PreV_ETB missing","End_tr_balance missing"),IF(T2971="FAIL",IF(AND(ISNUMBER(K2971),ISNUMBER(L2971),ABS(L2971-(K2971-IF(ISNUMBER(N2971),N2971,0)-IF(ISNUMBER(O2971),O2971,0)+IF(ISNUMBER(P2971),P2971,0)))&lt;=Summary!$B$2),"Passes using beginning_balance - PreV_ETB differs from beginning_balance",IF(AND(ISNUMBER(O2971),O2971&lt;0,ABS(L2971-(Q2971-IF(ISNUMBER(N2971),N2971,0)+IF(ISNUMBER(P2971),P2971,0)))&lt;=Summary!$B$2),"Negative realized loss not applied - check sign",IF(R2971&lt;0,"Principal paid exceeds prior balance",IF(AND(L2971&gt;Q2971,NOT(ISNUMBER(P2971))),"Balance increased but no Deferred_interest reported",IF(L2971&gt;R2971,"Reported balance higher than expected (missing increase/OC build)","Reported balance lower than expected (missing decrease)"))))),""))</f>
        <v/>
      </c>
    </row>
    <row r="2972" customFormat="false" ht="15" hidden="false" customHeight="false" outlineLevel="0" collapsed="false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9"/>
      <c r="L2972" s="9"/>
      <c r="M2972" s="9"/>
      <c r="N2972" s="9"/>
      <c r="O2972" s="9"/>
      <c r="P2972" s="9"/>
      <c r="Q2972" s="9"/>
      <c r="R2972" s="9" t="str">
        <f aca="false">IF(AND(A2972&lt;&gt;"",ISNUMBER(Q2972),ISNUMBER(L2972)),ROUND(Q2972-IF(ISNUMBER(N2972),N2972,0)-IF(ISNUMBER(O2972),O2972,0)+IF(ISNUMBER(P2972),P2972,0),2),"")</f>
        <v/>
      </c>
      <c r="S2972" s="9" t="str">
        <f aca="false">IF(R2972="","",ROUND(L2972-R2972,2))</f>
        <v/>
      </c>
      <c r="T2972" s="8" t="str">
        <f aca="false">IF(A2972="","",IF(S2972="","BYPASS",IF(ABS(S2972)&lt;=Summary!$B$2,"PASS","FAIL")))</f>
        <v/>
      </c>
      <c r="U2972" s="8" t="str">
        <f aca="false">IF(T2972="BYPASS",IF(NOT(ISNUMBER(Q2972)),"PreV_ETB missing","End_tr_balance missing"),IF(T2972="FAIL",IF(AND(ISNUMBER(K2972),ISNUMBER(L2972),ABS(L2972-(K2972-IF(ISNUMBER(N2972),N2972,0)-IF(ISNUMBER(O2972),O2972,0)+IF(ISNUMBER(P2972),P2972,0)))&lt;=Summary!$B$2),"Passes using beginning_balance - PreV_ETB differs from beginning_balance",IF(AND(ISNUMBER(O2972),O2972&lt;0,ABS(L2972-(Q2972-IF(ISNUMBER(N2972),N2972,0)+IF(ISNUMBER(P2972),P2972,0)))&lt;=Summary!$B$2),"Negative realized loss not applied - check sign",IF(R2972&lt;0,"Principal paid exceeds prior balance",IF(AND(L2972&gt;Q2972,NOT(ISNUMBER(P2972))),"Balance increased but no Deferred_interest reported",IF(L2972&gt;R2972,"Reported balance higher than expected (missing increase/OC build)","Reported balance lower than expected (missing decrease)"))))),""))</f>
        <v/>
      </c>
    </row>
    <row r="2973" customFormat="false" ht="15" hidden="false" customHeight="false" outlineLevel="0" collapsed="false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9"/>
      <c r="L2973" s="9"/>
      <c r="M2973" s="9"/>
      <c r="N2973" s="9"/>
      <c r="O2973" s="9"/>
      <c r="P2973" s="9"/>
      <c r="Q2973" s="9"/>
      <c r="R2973" s="9" t="str">
        <f aca="false">IF(AND(A2973&lt;&gt;"",ISNUMBER(Q2973),ISNUMBER(L2973)),ROUND(Q2973-IF(ISNUMBER(N2973),N2973,0)-IF(ISNUMBER(O2973),O2973,0)+IF(ISNUMBER(P2973),P2973,0),2),"")</f>
        <v/>
      </c>
      <c r="S2973" s="9" t="str">
        <f aca="false">IF(R2973="","",ROUND(L2973-R2973,2))</f>
        <v/>
      </c>
      <c r="T2973" s="8" t="str">
        <f aca="false">IF(A2973="","",IF(S2973="","BYPASS",IF(ABS(S2973)&lt;=Summary!$B$2,"PASS","FAIL")))</f>
        <v/>
      </c>
      <c r="U2973" s="8" t="str">
        <f aca="false">IF(T2973="BYPASS",IF(NOT(ISNUMBER(Q2973)),"PreV_ETB missing","End_tr_balance missing"),IF(T2973="FAIL",IF(AND(ISNUMBER(K2973),ISNUMBER(L2973),ABS(L2973-(K2973-IF(ISNUMBER(N2973),N2973,0)-IF(ISNUMBER(O2973),O2973,0)+IF(ISNUMBER(P2973),P2973,0)))&lt;=Summary!$B$2),"Passes using beginning_balance - PreV_ETB differs from beginning_balance",IF(AND(ISNUMBER(O2973),O2973&lt;0,ABS(L2973-(Q2973-IF(ISNUMBER(N2973),N2973,0)+IF(ISNUMBER(P2973),P2973,0)))&lt;=Summary!$B$2),"Negative realized loss not applied - check sign",IF(R2973&lt;0,"Principal paid exceeds prior balance",IF(AND(L2973&gt;Q2973,NOT(ISNUMBER(P2973))),"Balance increased but no Deferred_interest reported",IF(L2973&gt;R2973,"Reported balance higher than expected (missing increase/OC build)","Reported balance lower than expected (missing decrease)"))))),""))</f>
        <v/>
      </c>
    </row>
    <row r="2974" customFormat="false" ht="15" hidden="false" customHeight="false" outlineLevel="0" collapsed="false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9"/>
      <c r="L2974" s="9"/>
      <c r="M2974" s="9"/>
      <c r="N2974" s="9"/>
      <c r="O2974" s="9"/>
      <c r="P2974" s="9"/>
      <c r="Q2974" s="9"/>
      <c r="R2974" s="9" t="str">
        <f aca="false">IF(AND(A2974&lt;&gt;"",ISNUMBER(Q2974),ISNUMBER(L2974)),ROUND(Q2974-IF(ISNUMBER(N2974),N2974,0)-IF(ISNUMBER(O2974),O2974,0)+IF(ISNUMBER(P2974),P2974,0),2),"")</f>
        <v/>
      </c>
      <c r="S2974" s="9" t="str">
        <f aca="false">IF(R2974="","",ROUND(L2974-R2974,2))</f>
        <v/>
      </c>
      <c r="T2974" s="8" t="str">
        <f aca="false">IF(A2974="","",IF(S2974="","BYPASS",IF(ABS(S2974)&lt;=Summary!$B$2,"PASS","FAIL")))</f>
        <v/>
      </c>
      <c r="U2974" s="8" t="str">
        <f aca="false">IF(T2974="BYPASS",IF(NOT(ISNUMBER(Q2974)),"PreV_ETB missing","End_tr_balance missing"),IF(T2974="FAIL",IF(AND(ISNUMBER(K2974),ISNUMBER(L2974),ABS(L2974-(K2974-IF(ISNUMBER(N2974),N2974,0)-IF(ISNUMBER(O2974),O2974,0)+IF(ISNUMBER(P2974),P2974,0)))&lt;=Summary!$B$2),"Passes using beginning_balance - PreV_ETB differs from beginning_balance",IF(AND(ISNUMBER(O2974),O2974&lt;0,ABS(L2974-(Q2974-IF(ISNUMBER(N2974),N2974,0)+IF(ISNUMBER(P2974),P2974,0)))&lt;=Summary!$B$2),"Negative realized loss not applied - check sign",IF(R2974&lt;0,"Principal paid exceeds prior balance",IF(AND(L2974&gt;Q2974,NOT(ISNUMBER(P2974))),"Balance increased but no Deferred_interest reported",IF(L2974&gt;R2974,"Reported balance higher than expected (missing increase/OC build)","Reported balance lower than expected (missing decrease)"))))),""))</f>
        <v/>
      </c>
    </row>
    <row r="2975" customFormat="false" ht="15" hidden="false" customHeight="false" outlineLevel="0" collapsed="false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9"/>
      <c r="L2975" s="9"/>
      <c r="M2975" s="9"/>
      <c r="N2975" s="9"/>
      <c r="O2975" s="9"/>
      <c r="P2975" s="9"/>
      <c r="Q2975" s="9"/>
      <c r="R2975" s="9" t="str">
        <f aca="false">IF(AND(A2975&lt;&gt;"",ISNUMBER(Q2975),ISNUMBER(L2975)),ROUND(Q2975-IF(ISNUMBER(N2975),N2975,0)-IF(ISNUMBER(O2975),O2975,0)+IF(ISNUMBER(P2975),P2975,0),2),"")</f>
        <v/>
      </c>
      <c r="S2975" s="9" t="str">
        <f aca="false">IF(R2975="","",ROUND(L2975-R2975,2))</f>
        <v/>
      </c>
      <c r="T2975" s="8" t="str">
        <f aca="false">IF(A2975="","",IF(S2975="","BYPASS",IF(ABS(S2975)&lt;=Summary!$B$2,"PASS","FAIL")))</f>
        <v/>
      </c>
      <c r="U2975" s="8" t="str">
        <f aca="false">IF(T2975="BYPASS",IF(NOT(ISNUMBER(Q2975)),"PreV_ETB missing","End_tr_balance missing"),IF(T2975="FAIL",IF(AND(ISNUMBER(K2975),ISNUMBER(L2975),ABS(L2975-(K2975-IF(ISNUMBER(N2975),N2975,0)-IF(ISNUMBER(O2975),O2975,0)+IF(ISNUMBER(P2975),P2975,0)))&lt;=Summary!$B$2),"Passes using beginning_balance - PreV_ETB differs from beginning_balance",IF(AND(ISNUMBER(O2975),O2975&lt;0,ABS(L2975-(Q2975-IF(ISNUMBER(N2975),N2975,0)+IF(ISNUMBER(P2975),P2975,0)))&lt;=Summary!$B$2),"Negative realized loss not applied - check sign",IF(R2975&lt;0,"Principal paid exceeds prior balance",IF(AND(L2975&gt;Q2975,NOT(ISNUMBER(P2975))),"Balance increased but no Deferred_interest reported",IF(L2975&gt;R2975,"Reported balance higher than expected (missing increase/OC build)","Reported balance lower than expected (missing decrease)"))))),""))</f>
        <v/>
      </c>
    </row>
    <row r="2976" customFormat="false" ht="15" hidden="false" customHeight="false" outlineLevel="0" collapsed="false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9"/>
      <c r="L2976" s="9"/>
      <c r="M2976" s="9"/>
      <c r="N2976" s="9"/>
      <c r="O2976" s="9"/>
      <c r="P2976" s="9"/>
      <c r="Q2976" s="9"/>
      <c r="R2976" s="9" t="str">
        <f aca="false">IF(AND(A2976&lt;&gt;"",ISNUMBER(Q2976),ISNUMBER(L2976)),ROUND(Q2976-IF(ISNUMBER(N2976),N2976,0)-IF(ISNUMBER(O2976),O2976,0)+IF(ISNUMBER(P2976),P2976,0),2),"")</f>
        <v/>
      </c>
      <c r="S2976" s="9" t="str">
        <f aca="false">IF(R2976="","",ROUND(L2976-R2976,2))</f>
        <v/>
      </c>
      <c r="T2976" s="8" t="str">
        <f aca="false">IF(A2976="","",IF(S2976="","BYPASS",IF(ABS(S2976)&lt;=Summary!$B$2,"PASS","FAIL")))</f>
        <v/>
      </c>
      <c r="U2976" s="8" t="str">
        <f aca="false">IF(T2976="BYPASS",IF(NOT(ISNUMBER(Q2976)),"PreV_ETB missing","End_tr_balance missing"),IF(T2976="FAIL",IF(AND(ISNUMBER(K2976),ISNUMBER(L2976),ABS(L2976-(K2976-IF(ISNUMBER(N2976),N2976,0)-IF(ISNUMBER(O2976),O2976,0)+IF(ISNUMBER(P2976),P2976,0)))&lt;=Summary!$B$2),"Passes using beginning_balance - PreV_ETB differs from beginning_balance",IF(AND(ISNUMBER(O2976),O2976&lt;0,ABS(L2976-(Q2976-IF(ISNUMBER(N2976),N2976,0)+IF(ISNUMBER(P2976),P2976,0)))&lt;=Summary!$B$2),"Negative realized loss not applied - check sign",IF(R2976&lt;0,"Principal paid exceeds prior balance",IF(AND(L2976&gt;Q2976,NOT(ISNUMBER(P2976))),"Balance increased but no Deferred_interest reported",IF(L2976&gt;R2976,"Reported balance higher than expected (missing increase/OC build)","Reported balance lower than expected (missing decrease)"))))),""))</f>
        <v/>
      </c>
    </row>
    <row r="2977" customFormat="false" ht="15" hidden="false" customHeight="false" outlineLevel="0" collapsed="false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9"/>
      <c r="L2977" s="9"/>
      <c r="M2977" s="9"/>
      <c r="N2977" s="9"/>
      <c r="O2977" s="9"/>
      <c r="P2977" s="9"/>
      <c r="Q2977" s="9"/>
      <c r="R2977" s="9" t="str">
        <f aca="false">IF(AND(A2977&lt;&gt;"",ISNUMBER(Q2977),ISNUMBER(L2977)),ROUND(Q2977-IF(ISNUMBER(N2977),N2977,0)-IF(ISNUMBER(O2977),O2977,0)+IF(ISNUMBER(P2977),P2977,0),2),"")</f>
        <v/>
      </c>
      <c r="S2977" s="9" t="str">
        <f aca="false">IF(R2977="","",ROUND(L2977-R2977,2))</f>
        <v/>
      </c>
      <c r="T2977" s="8" t="str">
        <f aca="false">IF(A2977="","",IF(S2977="","BYPASS",IF(ABS(S2977)&lt;=Summary!$B$2,"PASS","FAIL")))</f>
        <v/>
      </c>
      <c r="U2977" s="8" t="str">
        <f aca="false">IF(T2977="BYPASS",IF(NOT(ISNUMBER(Q2977)),"PreV_ETB missing","End_tr_balance missing"),IF(T2977="FAIL",IF(AND(ISNUMBER(K2977),ISNUMBER(L2977),ABS(L2977-(K2977-IF(ISNUMBER(N2977),N2977,0)-IF(ISNUMBER(O2977),O2977,0)+IF(ISNUMBER(P2977),P2977,0)))&lt;=Summary!$B$2),"Passes using beginning_balance - PreV_ETB differs from beginning_balance",IF(AND(ISNUMBER(O2977),O2977&lt;0,ABS(L2977-(Q2977-IF(ISNUMBER(N2977),N2977,0)+IF(ISNUMBER(P2977),P2977,0)))&lt;=Summary!$B$2),"Negative realized loss not applied - check sign",IF(R2977&lt;0,"Principal paid exceeds prior balance",IF(AND(L2977&gt;Q2977,NOT(ISNUMBER(P2977))),"Balance increased but no Deferred_interest reported",IF(L2977&gt;R2977,"Reported balance higher than expected (missing increase/OC build)","Reported balance lower than expected (missing decrease)"))))),""))</f>
        <v/>
      </c>
    </row>
    <row r="2978" customFormat="false" ht="15" hidden="false" customHeight="false" outlineLevel="0" collapsed="false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9"/>
      <c r="L2978" s="9"/>
      <c r="M2978" s="9"/>
      <c r="N2978" s="9"/>
      <c r="O2978" s="9"/>
      <c r="P2978" s="9"/>
      <c r="Q2978" s="9"/>
      <c r="R2978" s="9" t="str">
        <f aca="false">IF(AND(A2978&lt;&gt;"",ISNUMBER(Q2978),ISNUMBER(L2978)),ROUND(Q2978-IF(ISNUMBER(N2978),N2978,0)-IF(ISNUMBER(O2978),O2978,0)+IF(ISNUMBER(P2978),P2978,0),2),"")</f>
        <v/>
      </c>
      <c r="S2978" s="9" t="str">
        <f aca="false">IF(R2978="","",ROUND(L2978-R2978,2))</f>
        <v/>
      </c>
      <c r="T2978" s="8" t="str">
        <f aca="false">IF(A2978="","",IF(S2978="","BYPASS",IF(ABS(S2978)&lt;=Summary!$B$2,"PASS","FAIL")))</f>
        <v/>
      </c>
      <c r="U2978" s="8" t="str">
        <f aca="false">IF(T2978="BYPASS",IF(NOT(ISNUMBER(Q2978)),"PreV_ETB missing","End_tr_balance missing"),IF(T2978="FAIL",IF(AND(ISNUMBER(K2978),ISNUMBER(L2978),ABS(L2978-(K2978-IF(ISNUMBER(N2978),N2978,0)-IF(ISNUMBER(O2978),O2978,0)+IF(ISNUMBER(P2978),P2978,0)))&lt;=Summary!$B$2),"Passes using beginning_balance - PreV_ETB differs from beginning_balance",IF(AND(ISNUMBER(O2978),O2978&lt;0,ABS(L2978-(Q2978-IF(ISNUMBER(N2978),N2978,0)+IF(ISNUMBER(P2978),P2978,0)))&lt;=Summary!$B$2),"Negative realized loss not applied - check sign",IF(R2978&lt;0,"Principal paid exceeds prior balance",IF(AND(L2978&gt;Q2978,NOT(ISNUMBER(P2978))),"Balance increased but no Deferred_interest reported",IF(L2978&gt;R2978,"Reported balance higher than expected (missing increase/OC build)","Reported balance lower than expected (missing decrease)"))))),""))</f>
        <v/>
      </c>
    </row>
    <row r="2979" customFormat="false" ht="15" hidden="false" customHeight="false" outlineLevel="0" collapsed="false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9"/>
      <c r="L2979" s="9"/>
      <c r="M2979" s="9"/>
      <c r="N2979" s="9"/>
      <c r="O2979" s="9"/>
      <c r="P2979" s="9"/>
      <c r="Q2979" s="9"/>
      <c r="R2979" s="9" t="str">
        <f aca="false">IF(AND(A2979&lt;&gt;"",ISNUMBER(Q2979),ISNUMBER(L2979)),ROUND(Q2979-IF(ISNUMBER(N2979),N2979,0)-IF(ISNUMBER(O2979),O2979,0)+IF(ISNUMBER(P2979),P2979,0),2),"")</f>
        <v/>
      </c>
      <c r="S2979" s="9" t="str">
        <f aca="false">IF(R2979="","",ROUND(L2979-R2979,2))</f>
        <v/>
      </c>
      <c r="T2979" s="8" t="str">
        <f aca="false">IF(A2979="","",IF(S2979="","BYPASS",IF(ABS(S2979)&lt;=Summary!$B$2,"PASS","FAIL")))</f>
        <v/>
      </c>
      <c r="U2979" s="8" t="str">
        <f aca="false">IF(T2979="BYPASS",IF(NOT(ISNUMBER(Q2979)),"PreV_ETB missing","End_tr_balance missing"),IF(T2979="FAIL",IF(AND(ISNUMBER(K2979),ISNUMBER(L2979),ABS(L2979-(K2979-IF(ISNUMBER(N2979),N2979,0)-IF(ISNUMBER(O2979),O2979,0)+IF(ISNUMBER(P2979),P2979,0)))&lt;=Summary!$B$2),"Passes using beginning_balance - PreV_ETB differs from beginning_balance",IF(AND(ISNUMBER(O2979),O2979&lt;0,ABS(L2979-(Q2979-IF(ISNUMBER(N2979),N2979,0)+IF(ISNUMBER(P2979),P2979,0)))&lt;=Summary!$B$2),"Negative realized loss not applied - check sign",IF(R2979&lt;0,"Principal paid exceeds prior balance",IF(AND(L2979&gt;Q2979,NOT(ISNUMBER(P2979))),"Balance increased but no Deferred_interest reported",IF(L2979&gt;R2979,"Reported balance higher than expected (missing increase/OC build)","Reported balance lower than expected (missing decrease)"))))),""))</f>
        <v/>
      </c>
    </row>
    <row r="2980" customFormat="false" ht="15" hidden="false" customHeight="false" outlineLevel="0" collapsed="false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9"/>
      <c r="L2980" s="9"/>
      <c r="M2980" s="9"/>
      <c r="N2980" s="9"/>
      <c r="O2980" s="9"/>
      <c r="P2980" s="9"/>
      <c r="Q2980" s="9"/>
      <c r="R2980" s="9" t="str">
        <f aca="false">IF(AND(A2980&lt;&gt;"",ISNUMBER(Q2980),ISNUMBER(L2980)),ROUND(Q2980-IF(ISNUMBER(N2980),N2980,0)-IF(ISNUMBER(O2980),O2980,0)+IF(ISNUMBER(P2980),P2980,0),2),"")</f>
        <v/>
      </c>
      <c r="S2980" s="9" t="str">
        <f aca="false">IF(R2980="","",ROUND(L2980-R2980,2))</f>
        <v/>
      </c>
      <c r="T2980" s="8" t="str">
        <f aca="false">IF(A2980="","",IF(S2980="","BYPASS",IF(ABS(S2980)&lt;=Summary!$B$2,"PASS","FAIL")))</f>
        <v/>
      </c>
      <c r="U2980" s="8" t="str">
        <f aca="false">IF(T2980="BYPASS",IF(NOT(ISNUMBER(Q2980)),"PreV_ETB missing","End_tr_balance missing"),IF(T2980="FAIL",IF(AND(ISNUMBER(K2980),ISNUMBER(L2980),ABS(L2980-(K2980-IF(ISNUMBER(N2980),N2980,0)-IF(ISNUMBER(O2980),O2980,0)+IF(ISNUMBER(P2980),P2980,0)))&lt;=Summary!$B$2),"Passes using beginning_balance - PreV_ETB differs from beginning_balance",IF(AND(ISNUMBER(O2980),O2980&lt;0,ABS(L2980-(Q2980-IF(ISNUMBER(N2980),N2980,0)+IF(ISNUMBER(P2980),P2980,0)))&lt;=Summary!$B$2),"Negative realized loss not applied - check sign",IF(R2980&lt;0,"Principal paid exceeds prior balance",IF(AND(L2980&gt;Q2980,NOT(ISNUMBER(P2980))),"Balance increased but no Deferred_interest reported",IF(L2980&gt;R2980,"Reported balance higher than expected (missing increase/OC build)","Reported balance lower than expected (missing decrease)"))))),""))</f>
        <v/>
      </c>
    </row>
    <row r="2981" customFormat="false" ht="15" hidden="false" customHeight="false" outlineLevel="0" collapsed="false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9"/>
      <c r="L2981" s="9"/>
      <c r="M2981" s="9"/>
      <c r="N2981" s="9"/>
      <c r="O2981" s="9"/>
      <c r="P2981" s="9"/>
      <c r="Q2981" s="9"/>
      <c r="R2981" s="9" t="str">
        <f aca="false">IF(AND(A2981&lt;&gt;"",ISNUMBER(Q2981),ISNUMBER(L2981)),ROUND(Q2981-IF(ISNUMBER(N2981),N2981,0)-IF(ISNUMBER(O2981),O2981,0)+IF(ISNUMBER(P2981),P2981,0),2),"")</f>
        <v/>
      </c>
      <c r="S2981" s="9" t="str">
        <f aca="false">IF(R2981="","",ROUND(L2981-R2981,2))</f>
        <v/>
      </c>
      <c r="T2981" s="8" t="str">
        <f aca="false">IF(A2981="","",IF(S2981="","BYPASS",IF(ABS(S2981)&lt;=Summary!$B$2,"PASS","FAIL")))</f>
        <v/>
      </c>
      <c r="U2981" s="8" t="str">
        <f aca="false">IF(T2981="BYPASS",IF(NOT(ISNUMBER(Q2981)),"PreV_ETB missing","End_tr_balance missing"),IF(T2981="FAIL",IF(AND(ISNUMBER(K2981),ISNUMBER(L2981),ABS(L2981-(K2981-IF(ISNUMBER(N2981),N2981,0)-IF(ISNUMBER(O2981),O2981,0)+IF(ISNUMBER(P2981),P2981,0)))&lt;=Summary!$B$2),"Passes using beginning_balance - PreV_ETB differs from beginning_balance",IF(AND(ISNUMBER(O2981),O2981&lt;0,ABS(L2981-(Q2981-IF(ISNUMBER(N2981),N2981,0)+IF(ISNUMBER(P2981),P2981,0)))&lt;=Summary!$B$2),"Negative realized loss not applied - check sign",IF(R2981&lt;0,"Principal paid exceeds prior balance",IF(AND(L2981&gt;Q2981,NOT(ISNUMBER(P2981))),"Balance increased but no Deferred_interest reported",IF(L2981&gt;R2981,"Reported balance higher than expected (missing increase/OC build)","Reported balance lower than expected (missing decrease)"))))),""))</f>
        <v/>
      </c>
    </row>
    <row r="2982" customFormat="false" ht="15" hidden="false" customHeight="false" outlineLevel="0" collapsed="false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9"/>
      <c r="L2982" s="9"/>
      <c r="M2982" s="9"/>
      <c r="N2982" s="9"/>
      <c r="O2982" s="9"/>
      <c r="P2982" s="9"/>
      <c r="Q2982" s="9"/>
      <c r="R2982" s="9" t="str">
        <f aca="false">IF(AND(A2982&lt;&gt;"",ISNUMBER(Q2982),ISNUMBER(L2982)),ROUND(Q2982-IF(ISNUMBER(N2982),N2982,0)-IF(ISNUMBER(O2982),O2982,0)+IF(ISNUMBER(P2982),P2982,0),2),"")</f>
        <v/>
      </c>
      <c r="S2982" s="9" t="str">
        <f aca="false">IF(R2982="","",ROUND(L2982-R2982,2))</f>
        <v/>
      </c>
      <c r="T2982" s="8" t="str">
        <f aca="false">IF(A2982="","",IF(S2982="","BYPASS",IF(ABS(S2982)&lt;=Summary!$B$2,"PASS","FAIL")))</f>
        <v/>
      </c>
      <c r="U2982" s="8" t="str">
        <f aca="false">IF(T2982="BYPASS",IF(NOT(ISNUMBER(Q2982)),"PreV_ETB missing","End_tr_balance missing"),IF(T2982="FAIL",IF(AND(ISNUMBER(K2982),ISNUMBER(L2982),ABS(L2982-(K2982-IF(ISNUMBER(N2982),N2982,0)-IF(ISNUMBER(O2982),O2982,0)+IF(ISNUMBER(P2982),P2982,0)))&lt;=Summary!$B$2),"Passes using beginning_balance - PreV_ETB differs from beginning_balance",IF(AND(ISNUMBER(O2982),O2982&lt;0,ABS(L2982-(Q2982-IF(ISNUMBER(N2982),N2982,0)+IF(ISNUMBER(P2982),P2982,0)))&lt;=Summary!$B$2),"Negative realized loss not applied - check sign",IF(R2982&lt;0,"Principal paid exceeds prior balance",IF(AND(L2982&gt;Q2982,NOT(ISNUMBER(P2982))),"Balance increased but no Deferred_interest reported",IF(L2982&gt;R2982,"Reported balance higher than expected (missing increase/OC build)","Reported balance lower than expected (missing decrease)"))))),""))</f>
        <v/>
      </c>
    </row>
    <row r="2983" customFormat="false" ht="15" hidden="false" customHeight="false" outlineLevel="0" collapsed="false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9"/>
      <c r="L2983" s="9"/>
      <c r="M2983" s="9"/>
      <c r="N2983" s="9"/>
      <c r="O2983" s="9"/>
      <c r="P2983" s="9"/>
      <c r="Q2983" s="9"/>
      <c r="R2983" s="9" t="str">
        <f aca="false">IF(AND(A2983&lt;&gt;"",ISNUMBER(Q2983),ISNUMBER(L2983)),ROUND(Q2983-IF(ISNUMBER(N2983),N2983,0)-IF(ISNUMBER(O2983),O2983,0)+IF(ISNUMBER(P2983),P2983,0),2),"")</f>
        <v/>
      </c>
      <c r="S2983" s="9" t="str">
        <f aca="false">IF(R2983="","",ROUND(L2983-R2983,2))</f>
        <v/>
      </c>
      <c r="T2983" s="8" t="str">
        <f aca="false">IF(A2983="","",IF(S2983="","BYPASS",IF(ABS(S2983)&lt;=Summary!$B$2,"PASS","FAIL")))</f>
        <v/>
      </c>
      <c r="U2983" s="8" t="str">
        <f aca="false">IF(T2983="BYPASS",IF(NOT(ISNUMBER(Q2983)),"PreV_ETB missing","End_tr_balance missing"),IF(T2983="FAIL",IF(AND(ISNUMBER(K2983),ISNUMBER(L2983),ABS(L2983-(K2983-IF(ISNUMBER(N2983),N2983,0)-IF(ISNUMBER(O2983),O2983,0)+IF(ISNUMBER(P2983),P2983,0)))&lt;=Summary!$B$2),"Passes using beginning_balance - PreV_ETB differs from beginning_balance",IF(AND(ISNUMBER(O2983),O2983&lt;0,ABS(L2983-(Q2983-IF(ISNUMBER(N2983),N2983,0)+IF(ISNUMBER(P2983),P2983,0)))&lt;=Summary!$B$2),"Negative realized loss not applied - check sign",IF(R2983&lt;0,"Principal paid exceeds prior balance",IF(AND(L2983&gt;Q2983,NOT(ISNUMBER(P2983))),"Balance increased but no Deferred_interest reported",IF(L2983&gt;R2983,"Reported balance higher than expected (missing increase/OC build)","Reported balance lower than expected (missing decrease)"))))),""))</f>
        <v/>
      </c>
    </row>
    <row r="2984" customFormat="false" ht="15" hidden="false" customHeight="false" outlineLevel="0" collapsed="false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9"/>
      <c r="L2984" s="9"/>
      <c r="M2984" s="9"/>
      <c r="N2984" s="9"/>
      <c r="O2984" s="9"/>
      <c r="P2984" s="9"/>
      <c r="Q2984" s="9"/>
      <c r="R2984" s="9" t="str">
        <f aca="false">IF(AND(A2984&lt;&gt;"",ISNUMBER(Q2984),ISNUMBER(L2984)),ROUND(Q2984-IF(ISNUMBER(N2984),N2984,0)-IF(ISNUMBER(O2984),O2984,0)+IF(ISNUMBER(P2984),P2984,0),2),"")</f>
        <v/>
      </c>
      <c r="S2984" s="9" t="str">
        <f aca="false">IF(R2984="","",ROUND(L2984-R2984,2))</f>
        <v/>
      </c>
      <c r="T2984" s="8" t="str">
        <f aca="false">IF(A2984="","",IF(S2984="","BYPASS",IF(ABS(S2984)&lt;=Summary!$B$2,"PASS","FAIL")))</f>
        <v/>
      </c>
      <c r="U2984" s="8" t="str">
        <f aca="false">IF(T2984="BYPASS",IF(NOT(ISNUMBER(Q2984)),"PreV_ETB missing","End_tr_balance missing"),IF(T2984="FAIL",IF(AND(ISNUMBER(K2984),ISNUMBER(L2984),ABS(L2984-(K2984-IF(ISNUMBER(N2984),N2984,0)-IF(ISNUMBER(O2984),O2984,0)+IF(ISNUMBER(P2984),P2984,0)))&lt;=Summary!$B$2),"Passes using beginning_balance - PreV_ETB differs from beginning_balance",IF(AND(ISNUMBER(O2984),O2984&lt;0,ABS(L2984-(Q2984-IF(ISNUMBER(N2984),N2984,0)+IF(ISNUMBER(P2984),P2984,0)))&lt;=Summary!$B$2),"Negative realized loss not applied - check sign",IF(R2984&lt;0,"Principal paid exceeds prior balance",IF(AND(L2984&gt;Q2984,NOT(ISNUMBER(P2984))),"Balance increased but no Deferred_interest reported",IF(L2984&gt;R2984,"Reported balance higher than expected (missing increase/OC build)","Reported balance lower than expected (missing decrease)"))))),""))</f>
        <v/>
      </c>
    </row>
    <row r="2985" customFormat="false" ht="15" hidden="false" customHeight="false" outlineLevel="0" collapsed="false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9"/>
      <c r="L2985" s="9"/>
      <c r="M2985" s="9"/>
      <c r="N2985" s="9"/>
      <c r="O2985" s="9"/>
      <c r="P2985" s="9"/>
      <c r="Q2985" s="9"/>
      <c r="R2985" s="9" t="str">
        <f aca="false">IF(AND(A2985&lt;&gt;"",ISNUMBER(Q2985),ISNUMBER(L2985)),ROUND(Q2985-IF(ISNUMBER(N2985),N2985,0)-IF(ISNUMBER(O2985),O2985,0)+IF(ISNUMBER(P2985),P2985,0),2),"")</f>
        <v/>
      </c>
      <c r="S2985" s="9" t="str">
        <f aca="false">IF(R2985="","",ROUND(L2985-R2985,2))</f>
        <v/>
      </c>
      <c r="T2985" s="8" t="str">
        <f aca="false">IF(A2985="","",IF(S2985="","BYPASS",IF(ABS(S2985)&lt;=Summary!$B$2,"PASS","FAIL")))</f>
        <v/>
      </c>
      <c r="U2985" s="8" t="str">
        <f aca="false">IF(T2985="BYPASS",IF(NOT(ISNUMBER(Q2985)),"PreV_ETB missing","End_tr_balance missing"),IF(T2985="FAIL",IF(AND(ISNUMBER(K2985),ISNUMBER(L2985),ABS(L2985-(K2985-IF(ISNUMBER(N2985),N2985,0)-IF(ISNUMBER(O2985),O2985,0)+IF(ISNUMBER(P2985),P2985,0)))&lt;=Summary!$B$2),"Passes using beginning_balance - PreV_ETB differs from beginning_balance",IF(AND(ISNUMBER(O2985),O2985&lt;0,ABS(L2985-(Q2985-IF(ISNUMBER(N2985),N2985,0)+IF(ISNUMBER(P2985),P2985,0)))&lt;=Summary!$B$2),"Negative realized loss not applied - check sign",IF(R2985&lt;0,"Principal paid exceeds prior balance",IF(AND(L2985&gt;Q2985,NOT(ISNUMBER(P2985))),"Balance increased but no Deferred_interest reported",IF(L2985&gt;R2985,"Reported balance higher than expected (missing increase/OC build)","Reported balance lower than expected (missing decrease)"))))),""))</f>
        <v/>
      </c>
    </row>
    <row r="2986" customFormat="false" ht="15" hidden="false" customHeight="false" outlineLevel="0" collapsed="false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9"/>
      <c r="L2986" s="9"/>
      <c r="M2986" s="9"/>
      <c r="N2986" s="9"/>
      <c r="O2986" s="9"/>
      <c r="P2986" s="9"/>
      <c r="Q2986" s="9"/>
      <c r="R2986" s="9" t="str">
        <f aca="false">IF(AND(A2986&lt;&gt;"",ISNUMBER(Q2986),ISNUMBER(L2986)),ROUND(Q2986-IF(ISNUMBER(N2986),N2986,0)-IF(ISNUMBER(O2986),O2986,0)+IF(ISNUMBER(P2986),P2986,0),2),"")</f>
        <v/>
      </c>
      <c r="S2986" s="9" t="str">
        <f aca="false">IF(R2986="","",ROUND(L2986-R2986,2))</f>
        <v/>
      </c>
      <c r="T2986" s="8" t="str">
        <f aca="false">IF(A2986="","",IF(S2986="","BYPASS",IF(ABS(S2986)&lt;=Summary!$B$2,"PASS","FAIL")))</f>
        <v/>
      </c>
      <c r="U2986" s="8" t="str">
        <f aca="false">IF(T2986="BYPASS",IF(NOT(ISNUMBER(Q2986)),"PreV_ETB missing","End_tr_balance missing"),IF(T2986="FAIL",IF(AND(ISNUMBER(K2986),ISNUMBER(L2986),ABS(L2986-(K2986-IF(ISNUMBER(N2986),N2986,0)-IF(ISNUMBER(O2986),O2986,0)+IF(ISNUMBER(P2986),P2986,0)))&lt;=Summary!$B$2),"Passes using beginning_balance - PreV_ETB differs from beginning_balance",IF(AND(ISNUMBER(O2986),O2986&lt;0,ABS(L2986-(Q2986-IF(ISNUMBER(N2986),N2986,0)+IF(ISNUMBER(P2986),P2986,0)))&lt;=Summary!$B$2),"Negative realized loss not applied - check sign",IF(R2986&lt;0,"Principal paid exceeds prior balance",IF(AND(L2986&gt;Q2986,NOT(ISNUMBER(P2986))),"Balance increased but no Deferred_interest reported",IF(L2986&gt;R2986,"Reported balance higher than expected (missing increase/OC build)","Reported balance lower than expected (missing decrease)"))))),""))</f>
        <v/>
      </c>
    </row>
    <row r="2987" customFormat="false" ht="15" hidden="false" customHeight="false" outlineLevel="0" collapsed="false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9"/>
      <c r="L2987" s="9"/>
      <c r="M2987" s="9"/>
      <c r="N2987" s="9"/>
      <c r="O2987" s="9"/>
      <c r="P2987" s="9"/>
      <c r="Q2987" s="9"/>
      <c r="R2987" s="9" t="str">
        <f aca="false">IF(AND(A2987&lt;&gt;"",ISNUMBER(Q2987),ISNUMBER(L2987)),ROUND(Q2987-IF(ISNUMBER(N2987),N2987,0)-IF(ISNUMBER(O2987),O2987,0)+IF(ISNUMBER(P2987),P2987,0),2),"")</f>
        <v/>
      </c>
      <c r="S2987" s="9" t="str">
        <f aca="false">IF(R2987="","",ROUND(L2987-R2987,2))</f>
        <v/>
      </c>
      <c r="T2987" s="8" t="str">
        <f aca="false">IF(A2987="","",IF(S2987="","BYPASS",IF(ABS(S2987)&lt;=Summary!$B$2,"PASS","FAIL")))</f>
        <v/>
      </c>
      <c r="U2987" s="8" t="str">
        <f aca="false">IF(T2987="BYPASS",IF(NOT(ISNUMBER(Q2987)),"PreV_ETB missing","End_tr_balance missing"),IF(T2987="FAIL",IF(AND(ISNUMBER(K2987),ISNUMBER(L2987),ABS(L2987-(K2987-IF(ISNUMBER(N2987),N2987,0)-IF(ISNUMBER(O2987),O2987,0)+IF(ISNUMBER(P2987),P2987,0)))&lt;=Summary!$B$2),"Passes using beginning_balance - PreV_ETB differs from beginning_balance",IF(AND(ISNUMBER(O2987),O2987&lt;0,ABS(L2987-(Q2987-IF(ISNUMBER(N2987),N2987,0)+IF(ISNUMBER(P2987),P2987,0)))&lt;=Summary!$B$2),"Negative realized loss not applied - check sign",IF(R2987&lt;0,"Principal paid exceeds prior balance",IF(AND(L2987&gt;Q2987,NOT(ISNUMBER(P2987))),"Balance increased but no Deferred_interest reported",IF(L2987&gt;R2987,"Reported balance higher than expected (missing increase/OC build)","Reported balance lower than expected (missing decrease)"))))),""))</f>
        <v/>
      </c>
    </row>
    <row r="2988" customFormat="false" ht="15" hidden="false" customHeight="false" outlineLevel="0" collapsed="false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9"/>
      <c r="L2988" s="9"/>
      <c r="M2988" s="9"/>
      <c r="N2988" s="9"/>
      <c r="O2988" s="9"/>
      <c r="P2988" s="9"/>
      <c r="Q2988" s="9"/>
      <c r="R2988" s="9" t="str">
        <f aca="false">IF(AND(A2988&lt;&gt;"",ISNUMBER(Q2988),ISNUMBER(L2988)),ROUND(Q2988-IF(ISNUMBER(N2988),N2988,0)-IF(ISNUMBER(O2988),O2988,0)+IF(ISNUMBER(P2988),P2988,0),2),"")</f>
        <v/>
      </c>
      <c r="S2988" s="9" t="str">
        <f aca="false">IF(R2988="","",ROUND(L2988-R2988,2))</f>
        <v/>
      </c>
      <c r="T2988" s="8" t="str">
        <f aca="false">IF(A2988="","",IF(S2988="","BYPASS",IF(ABS(S2988)&lt;=Summary!$B$2,"PASS","FAIL")))</f>
        <v/>
      </c>
      <c r="U2988" s="8" t="str">
        <f aca="false">IF(T2988="BYPASS",IF(NOT(ISNUMBER(Q2988)),"PreV_ETB missing","End_tr_balance missing"),IF(T2988="FAIL",IF(AND(ISNUMBER(K2988),ISNUMBER(L2988),ABS(L2988-(K2988-IF(ISNUMBER(N2988),N2988,0)-IF(ISNUMBER(O2988),O2988,0)+IF(ISNUMBER(P2988),P2988,0)))&lt;=Summary!$B$2),"Passes using beginning_balance - PreV_ETB differs from beginning_balance",IF(AND(ISNUMBER(O2988),O2988&lt;0,ABS(L2988-(Q2988-IF(ISNUMBER(N2988),N2988,0)+IF(ISNUMBER(P2988),P2988,0)))&lt;=Summary!$B$2),"Negative realized loss not applied - check sign",IF(R2988&lt;0,"Principal paid exceeds prior balance",IF(AND(L2988&gt;Q2988,NOT(ISNUMBER(P2988))),"Balance increased but no Deferred_interest reported",IF(L2988&gt;R2988,"Reported balance higher than expected (missing increase/OC build)","Reported balance lower than expected (missing decrease)"))))),""))</f>
        <v/>
      </c>
    </row>
    <row r="2989" customFormat="false" ht="15" hidden="false" customHeight="false" outlineLevel="0" collapsed="false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9"/>
      <c r="L2989" s="9"/>
      <c r="M2989" s="9"/>
      <c r="N2989" s="9"/>
      <c r="O2989" s="9"/>
      <c r="P2989" s="9"/>
      <c r="Q2989" s="9"/>
      <c r="R2989" s="9" t="str">
        <f aca="false">IF(AND(A2989&lt;&gt;"",ISNUMBER(Q2989),ISNUMBER(L2989)),ROUND(Q2989-IF(ISNUMBER(N2989),N2989,0)-IF(ISNUMBER(O2989),O2989,0)+IF(ISNUMBER(P2989),P2989,0),2),"")</f>
        <v/>
      </c>
      <c r="S2989" s="9" t="str">
        <f aca="false">IF(R2989="","",ROUND(L2989-R2989,2))</f>
        <v/>
      </c>
      <c r="T2989" s="8" t="str">
        <f aca="false">IF(A2989="","",IF(S2989="","BYPASS",IF(ABS(S2989)&lt;=Summary!$B$2,"PASS","FAIL")))</f>
        <v/>
      </c>
      <c r="U2989" s="8" t="str">
        <f aca="false">IF(T2989="BYPASS",IF(NOT(ISNUMBER(Q2989)),"PreV_ETB missing","End_tr_balance missing"),IF(T2989="FAIL",IF(AND(ISNUMBER(K2989),ISNUMBER(L2989),ABS(L2989-(K2989-IF(ISNUMBER(N2989),N2989,0)-IF(ISNUMBER(O2989),O2989,0)+IF(ISNUMBER(P2989),P2989,0)))&lt;=Summary!$B$2),"Passes using beginning_balance - PreV_ETB differs from beginning_balance",IF(AND(ISNUMBER(O2989),O2989&lt;0,ABS(L2989-(Q2989-IF(ISNUMBER(N2989),N2989,0)+IF(ISNUMBER(P2989),P2989,0)))&lt;=Summary!$B$2),"Negative realized loss not applied - check sign",IF(R2989&lt;0,"Principal paid exceeds prior balance",IF(AND(L2989&gt;Q2989,NOT(ISNUMBER(P2989))),"Balance increased but no Deferred_interest reported",IF(L2989&gt;R2989,"Reported balance higher than expected (missing increase/OC build)","Reported balance lower than expected (missing decrease)"))))),""))</f>
        <v/>
      </c>
    </row>
    <row r="2990" customFormat="false" ht="15" hidden="false" customHeight="false" outlineLevel="0" collapsed="false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9"/>
      <c r="L2990" s="9"/>
      <c r="M2990" s="9"/>
      <c r="N2990" s="9"/>
      <c r="O2990" s="9"/>
      <c r="P2990" s="9"/>
      <c r="Q2990" s="9"/>
      <c r="R2990" s="9" t="str">
        <f aca="false">IF(AND(A2990&lt;&gt;"",ISNUMBER(Q2990),ISNUMBER(L2990)),ROUND(Q2990-IF(ISNUMBER(N2990),N2990,0)-IF(ISNUMBER(O2990),O2990,0)+IF(ISNUMBER(P2990),P2990,0),2),"")</f>
        <v/>
      </c>
      <c r="S2990" s="9" t="str">
        <f aca="false">IF(R2990="","",ROUND(L2990-R2990,2))</f>
        <v/>
      </c>
      <c r="T2990" s="8" t="str">
        <f aca="false">IF(A2990="","",IF(S2990="","BYPASS",IF(ABS(S2990)&lt;=Summary!$B$2,"PASS","FAIL")))</f>
        <v/>
      </c>
      <c r="U2990" s="8" t="str">
        <f aca="false">IF(T2990="BYPASS",IF(NOT(ISNUMBER(Q2990)),"PreV_ETB missing","End_tr_balance missing"),IF(T2990="FAIL",IF(AND(ISNUMBER(K2990),ISNUMBER(L2990),ABS(L2990-(K2990-IF(ISNUMBER(N2990),N2990,0)-IF(ISNUMBER(O2990),O2990,0)+IF(ISNUMBER(P2990),P2990,0)))&lt;=Summary!$B$2),"Passes using beginning_balance - PreV_ETB differs from beginning_balance",IF(AND(ISNUMBER(O2990),O2990&lt;0,ABS(L2990-(Q2990-IF(ISNUMBER(N2990),N2990,0)+IF(ISNUMBER(P2990),P2990,0)))&lt;=Summary!$B$2),"Negative realized loss not applied - check sign",IF(R2990&lt;0,"Principal paid exceeds prior balance",IF(AND(L2990&gt;Q2990,NOT(ISNUMBER(P2990))),"Balance increased but no Deferred_interest reported",IF(L2990&gt;R2990,"Reported balance higher than expected (missing increase/OC build)","Reported balance lower than expected (missing decrease)"))))),""))</f>
        <v/>
      </c>
    </row>
    <row r="2991" customFormat="false" ht="15" hidden="false" customHeight="false" outlineLevel="0" collapsed="false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9"/>
      <c r="L2991" s="9"/>
      <c r="M2991" s="9"/>
      <c r="N2991" s="9"/>
      <c r="O2991" s="9"/>
      <c r="P2991" s="9"/>
      <c r="Q2991" s="9"/>
      <c r="R2991" s="9" t="str">
        <f aca="false">IF(AND(A2991&lt;&gt;"",ISNUMBER(Q2991),ISNUMBER(L2991)),ROUND(Q2991-IF(ISNUMBER(N2991),N2991,0)-IF(ISNUMBER(O2991),O2991,0)+IF(ISNUMBER(P2991),P2991,0),2),"")</f>
        <v/>
      </c>
      <c r="S2991" s="9" t="str">
        <f aca="false">IF(R2991="","",ROUND(L2991-R2991,2))</f>
        <v/>
      </c>
      <c r="T2991" s="8" t="str">
        <f aca="false">IF(A2991="","",IF(S2991="","BYPASS",IF(ABS(S2991)&lt;=Summary!$B$2,"PASS","FAIL")))</f>
        <v/>
      </c>
      <c r="U2991" s="8" t="str">
        <f aca="false">IF(T2991="BYPASS",IF(NOT(ISNUMBER(Q2991)),"PreV_ETB missing","End_tr_balance missing"),IF(T2991="FAIL",IF(AND(ISNUMBER(K2991),ISNUMBER(L2991),ABS(L2991-(K2991-IF(ISNUMBER(N2991),N2991,0)-IF(ISNUMBER(O2991),O2991,0)+IF(ISNUMBER(P2991),P2991,0)))&lt;=Summary!$B$2),"Passes using beginning_balance - PreV_ETB differs from beginning_balance",IF(AND(ISNUMBER(O2991),O2991&lt;0,ABS(L2991-(Q2991-IF(ISNUMBER(N2991),N2991,0)+IF(ISNUMBER(P2991),P2991,0)))&lt;=Summary!$B$2),"Negative realized loss not applied - check sign",IF(R2991&lt;0,"Principal paid exceeds prior balance",IF(AND(L2991&gt;Q2991,NOT(ISNUMBER(P2991))),"Balance increased but no Deferred_interest reported",IF(L2991&gt;R2991,"Reported balance higher than expected (missing increase/OC build)","Reported balance lower than expected (missing decrease)"))))),""))</f>
        <v/>
      </c>
    </row>
    <row r="2992" customFormat="false" ht="15" hidden="false" customHeight="false" outlineLevel="0" collapsed="false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9"/>
      <c r="L2992" s="9"/>
      <c r="M2992" s="9"/>
      <c r="N2992" s="9"/>
      <c r="O2992" s="9"/>
      <c r="P2992" s="9"/>
      <c r="Q2992" s="9"/>
      <c r="R2992" s="9" t="str">
        <f aca="false">IF(AND(A2992&lt;&gt;"",ISNUMBER(Q2992),ISNUMBER(L2992)),ROUND(Q2992-IF(ISNUMBER(N2992),N2992,0)-IF(ISNUMBER(O2992),O2992,0)+IF(ISNUMBER(P2992),P2992,0),2),"")</f>
        <v/>
      </c>
      <c r="S2992" s="9" t="str">
        <f aca="false">IF(R2992="","",ROUND(L2992-R2992,2))</f>
        <v/>
      </c>
      <c r="T2992" s="8" t="str">
        <f aca="false">IF(A2992="","",IF(S2992="","BYPASS",IF(ABS(S2992)&lt;=Summary!$B$2,"PASS","FAIL")))</f>
        <v/>
      </c>
      <c r="U2992" s="8" t="str">
        <f aca="false">IF(T2992="BYPASS",IF(NOT(ISNUMBER(Q2992)),"PreV_ETB missing","End_tr_balance missing"),IF(T2992="FAIL",IF(AND(ISNUMBER(K2992),ISNUMBER(L2992),ABS(L2992-(K2992-IF(ISNUMBER(N2992),N2992,0)-IF(ISNUMBER(O2992),O2992,0)+IF(ISNUMBER(P2992),P2992,0)))&lt;=Summary!$B$2),"Passes using beginning_balance - PreV_ETB differs from beginning_balance",IF(AND(ISNUMBER(O2992),O2992&lt;0,ABS(L2992-(Q2992-IF(ISNUMBER(N2992),N2992,0)+IF(ISNUMBER(P2992),P2992,0)))&lt;=Summary!$B$2),"Negative realized loss not applied - check sign",IF(R2992&lt;0,"Principal paid exceeds prior balance",IF(AND(L2992&gt;Q2992,NOT(ISNUMBER(P2992))),"Balance increased but no Deferred_interest reported",IF(L2992&gt;R2992,"Reported balance higher than expected (missing increase/OC build)","Reported balance lower than expected (missing decrease)"))))),""))</f>
        <v/>
      </c>
    </row>
    <row r="2993" customFormat="false" ht="15" hidden="false" customHeight="false" outlineLevel="0" collapsed="false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9"/>
      <c r="L2993" s="9"/>
      <c r="M2993" s="9"/>
      <c r="N2993" s="9"/>
      <c r="O2993" s="9"/>
      <c r="P2993" s="9"/>
      <c r="Q2993" s="9"/>
      <c r="R2993" s="9" t="str">
        <f aca="false">IF(AND(A2993&lt;&gt;"",ISNUMBER(Q2993),ISNUMBER(L2993)),ROUND(Q2993-IF(ISNUMBER(N2993),N2993,0)-IF(ISNUMBER(O2993),O2993,0)+IF(ISNUMBER(P2993),P2993,0),2),"")</f>
        <v/>
      </c>
      <c r="S2993" s="9" t="str">
        <f aca="false">IF(R2993="","",ROUND(L2993-R2993,2))</f>
        <v/>
      </c>
      <c r="T2993" s="8" t="str">
        <f aca="false">IF(A2993="","",IF(S2993="","BYPASS",IF(ABS(S2993)&lt;=Summary!$B$2,"PASS","FAIL")))</f>
        <v/>
      </c>
      <c r="U2993" s="8" t="str">
        <f aca="false">IF(T2993="BYPASS",IF(NOT(ISNUMBER(Q2993)),"PreV_ETB missing","End_tr_balance missing"),IF(T2993="FAIL",IF(AND(ISNUMBER(K2993),ISNUMBER(L2993),ABS(L2993-(K2993-IF(ISNUMBER(N2993),N2993,0)-IF(ISNUMBER(O2993),O2993,0)+IF(ISNUMBER(P2993),P2993,0)))&lt;=Summary!$B$2),"Passes using beginning_balance - PreV_ETB differs from beginning_balance",IF(AND(ISNUMBER(O2993),O2993&lt;0,ABS(L2993-(Q2993-IF(ISNUMBER(N2993),N2993,0)+IF(ISNUMBER(P2993),P2993,0)))&lt;=Summary!$B$2),"Negative realized loss not applied - check sign",IF(R2993&lt;0,"Principal paid exceeds prior balance",IF(AND(L2993&gt;Q2993,NOT(ISNUMBER(P2993))),"Balance increased but no Deferred_interest reported",IF(L2993&gt;R2993,"Reported balance higher than expected (missing increase/OC build)","Reported balance lower than expected (missing decrease)"))))),""))</f>
        <v/>
      </c>
    </row>
    <row r="2994" customFormat="false" ht="15" hidden="false" customHeight="false" outlineLevel="0" collapsed="false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9"/>
      <c r="L2994" s="9"/>
      <c r="M2994" s="9"/>
      <c r="N2994" s="9"/>
      <c r="O2994" s="9"/>
      <c r="P2994" s="9"/>
      <c r="Q2994" s="9"/>
      <c r="R2994" s="9" t="str">
        <f aca="false">IF(AND(A2994&lt;&gt;"",ISNUMBER(Q2994),ISNUMBER(L2994)),ROUND(Q2994-IF(ISNUMBER(N2994),N2994,0)-IF(ISNUMBER(O2994),O2994,0)+IF(ISNUMBER(P2994),P2994,0),2),"")</f>
        <v/>
      </c>
      <c r="S2994" s="9" t="str">
        <f aca="false">IF(R2994="","",ROUND(L2994-R2994,2))</f>
        <v/>
      </c>
      <c r="T2994" s="8" t="str">
        <f aca="false">IF(A2994="","",IF(S2994="","BYPASS",IF(ABS(S2994)&lt;=Summary!$B$2,"PASS","FAIL")))</f>
        <v/>
      </c>
      <c r="U2994" s="8" t="str">
        <f aca="false">IF(T2994="BYPASS",IF(NOT(ISNUMBER(Q2994)),"PreV_ETB missing","End_tr_balance missing"),IF(T2994="FAIL",IF(AND(ISNUMBER(K2994),ISNUMBER(L2994),ABS(L2994-(K2994-IF(ISNUMBER(N2994),N2994,0)-IF(ISNUMBER(O2994),O2994,0)+IF(ISNUMBER(P2994),P2994,0)))&lt;=Summary!$B$2),"Passes using beginning_balance - PreV_ETB differs from beginning_balance",IF(AND(ISNUMBER(O2994),O2994&lt;0,ABS(L2994-(Q2994-IF(ISNUMBER(N2994),N2994,0)+IF(ISNUMBER(P2994),P2994,0)))&lt;=Summary!$B$2),"Negative realized loss not applied - check sign",IF(R2994&lt;0,"Principal paid exceeds prior balance",IF(AND(L2994&gt;Q2994,NOT(ISNUMBER(P2994))),"Balance increased but no Deferred_interest reported",IF(L2994&gt;R2994,"Reported balance higher than expected (missing increase/OC build)","Reported balance lower than expected (missing decrease)"))))),""))</f>
        <v/>
      </c>
    </row>
    <row r="2995" customFormat="false" ht="15" hidden="false" customHeight="false" outlineLevel="0" collapsed="false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9"/>
      <c r="L2995" s="9"/>
      <c r="M2995" s="9"/>
      <c r="N2995" s="9"/>
      <c r="O2995" s="9"/>
      <c r="P2995" s="9"/>
      <c r="Q2995" s="9"/>
      <c r="R2995" s="9" t="str">
        <f aca="false">IF(AND(A2995&lt;&gt;"",ISNUMBER(Q2995),ISNUMBER(L2995)),ROUND(Q2995-IF(ISNUMBER(N2995),N2995,0)-IF(ISNUMBER(O2995),O2995,0)+IF(ISNUMBER(P2995),P2995,0),2),"")</f>
        <v/>
      </c>
      <c r="S2995" s="9" t="str">
        <f aca="false">IF(R2995="","",ROUND(L2995-R2995,2))</f>
        <v/>
      </c>
      <c r="T2995" s="8" t="str">
        <f aca="false">IF(A2995="","",IF(S2995="","BYPASS",IF(ABS(S2995)&lt;=Summary!$B$2,"PASS","FAIL")))</f>
        <v/>
      </c>
      <c r="U2995" s="8" t="str">
        <f aca="false">IF(T2995="BYPASS",IF(NOT(ISNUMBER(Q2995)),"PreV_ETB missing","End_tr_balance missing"),IF(T2995="FAIL",IF(AND(ISNUMBER(K2995),ISNUMBER(L2995),ABS(L2995-(K2995-IF(ISNUMBER(N2995),N2995,0)-IF(ISNUMBER(O2995),O2995,0)+IF(ISNUMBER(P2995),P2995,0)))&lt;=Summary!$B$2),"Passes using beginning_balance - PreV_ETB differs from beginning_balance",IF(AND(ISNUMBER(O2995),O2995&lt;0,ABS(L2995-(Q2995-IF(ISNUMBER(N2995),N2995,0)+IF(ISNUMBER(P2995),P2995,0)))&lt;=Summary!$B$2),"Negative realized loss not applied - check sign",IF(R2995&lt;0,"Principal paid exceeds prior balance",IF(AND(L2995&gt;Q2995,NOT(ISNUMBER(P2995))),"Balance increased but no Deferred_interest reported",IF(L2995&gt;R2995,"Reported balance higher than expected (missing increase/OC build)","Reported balance lower than expected (missing decrease)"))))),""))</f>
        <v/>
      </c>
    </row>
    <row r="2996" customFormat="false" ht="15" hidden="false" customHeight="false" outlineLevel="0" collapsed="false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9"/>
      <c r="L2996" s="9"/>
      <c r="M2996" s="9"/>
      <c r="N2996" s="9"/>
      <c r="O2996" s="9"/>
      <c r="P2996" s="9"/>
      <c r="Q2996" s="9"/>
      <c r="R2996" s="9" t="str">
        <f aca="false">IF(AND(A2996&lt;&gt;"",ISNUMBER(Q2996),ISNUMBER(L2996)),ROUND(Q2996-IF(ISNUMBER(N2996),N2996,0)-IF(ISNUMBER(O2996),O2996,0)+IF(ISNUMBER(P2996),P2996,0),2),"")</f>
        <v/>
      </c>
      <c r="S2996" s="9" t="str">
        <f aca="false">IF(R2996="","",ROUND(L2996-R2996,2))</f>
        <v/>
      </c>
      <c r="T2996" s="8" t="str">
        <f aca="false">IF(A2996="","",IF(S2996="","BYPASS",IF(ABS(S2996)&lt;=Summary!$B$2,"PASS","FAIL")))</f>
        <v/>
      </c>
      <c r="U2996" s="8" t="str">
        <f aca="false">IF(T2996="BYPASS",IF(NOT(ISNUMBER(Q2996)),"PreV_ETB missing","End_tr_balance missing"),IF(T2996="FAIL",IF(AND(ISNUMBER(K2996),ISNUMBER(L2996),ABS(L2996-(K2996-IF(ISNUMBER(N2996),N2996,0)-IF(ISNUMBER(O2996),O2996,0)+IF(ISNUMBER(P2996),P2996,0)))&lt;=Summary!$B$2),"Passes using beginning_balance - PreV_ETB differs from beginning_balance",IF(AND(ISNUMBER(O2996),O2996&lt;0,ABS(L2996-(Q2996-IF(ISNUMBER(N2996),N2996,0)+IF(ISNUMBER(P2996),P2996,0)))&lt;=Summary!$B$2),"Negative realized loss not applied - check sign",IF(R2996&lt;0,"Principal paid exceeds prior balance",IF(AND(L2996&gt;Q2996,NOT(ISNUMBER(P2996))),"Balance increased but no Deferred_interest reported",IF(L2996&gt;R2996,"Reported balance higher than expected (missing increase/OC build)","Reported balance lower than expected (missing decrease)"))))),""))</f>
        <v/>
      </c>
    </row>
    <row r="2997" customFormat="false" ht="15" hidden="false" customHeight="false" outlineLevel="0" collapsed="false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9"/>
      <c r="L2997" s="9"/>
      <c r="M2997" s="9"/>
      <c r="N2997" s="9"/>
      <c r="O2997" s="9"/>
      <c r="P2997" s="9"/>
      <c r="Q2997" s="9"/>
      <c r="R2997" s="9" t="str">
        <f aca="false">IF(AND(A2997&lt;&gt;"",ISNUMBER(Q2997),ISNUMBER(L2997)),ROUND(Q2997-IF(ISNUMBER(N2997),N2997,0)-IF(ISNUMBER(O2997),O2997,0)+IF(ISNUMBER(P2997),P2997,0),2),"")</f>
        <v/>
      </c>
      <c r="S2997" s="9" t="str">
        <f aca="false">IF(R2997="","",ROUND(L2997-R2997,2))</f>
        <v/>
      </c>
      <c r="T2997" s="8" t="str">
        <f aca="false">IF(A2997="","",IF(S2997="","BYPASS",IF(ABS(S2997)&lt;=Summary!$B$2,"PASS","FAIL")))</f>
        <v/>
      </c>
      <c r="U2997" s="8" t="str">
        <f aca="false">IF(T2997="BYPASS",IF(NOT(ISNUMBER(Q2997)),"PreV_ETB missing","End_tr_balance missing"),IF(T2997="FAIL",IF(AND(ISNUMBER(K2997),ISNUMBER(L2997),ABS(L2997-(K2997-IF(ISNUMBER(N2997),N2997,0)-IF(ISNUMBER(O2997),O2997,0)+IF(ISNUMBER(P2997),P2997,0)))&lt;=Summary!$B$2),"Passes using beginning_balance - PreV_ETB differs from beginning_balance",IF(AND(ISNUMBER(O2997),O2997&lt;0,ABS(L2997-(Q2997-IF(ISNUMBER(N2997),N2997,0)+IF(ISNUMBER(P2997),P2997,0)))&lt;=Summary!$B$2),"Negative realized loss not applied - check sign",IF(R2997&lt;0,"Principal paid exceeds prior balance",IF(AND(L2997&gt;Q2997,NOT(ISNUMBER(P2997))),"Balance increased but no Deferred_interest reported",IF(L2997&gt;R2997,"Reported balance higher than expected (missing increase/OC build)","Reported balance lower than expected (missing decrease)"))))),""))</f>
        <v/>
      </c>
    </row>
    <row r="2998" customFormat="false" ht="15" hidden="false" customHeight="false" outlineLevel="0" collapsed="false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9"/>
      <c r="L2998" s="9"/>
      <c r="M2998" s="9"/>
      <c r="N2998" s="9"/>
      <c r="O2998" s="9"/>
      <c r="P2998" s="9"/>
      <c r="Q2998" s="9"/>
      <c r="R2998" s="9" t="str">
        <f aca="false">IF(AND(A2998&lt;&gt;"",ISNUMBER(Q2998),ISNUMBER(L2998)),ROUND(Q2998-IF(ISNUMBER(N2998),N2998,0)-IF(ISNUMBER(O2998),O2998,0)+IF(ISNUMBER(P2998),P2998,0),2),"")</f>
        <v/>
      </c>
      <c r="S2998" s="9" t="str">
        <f aca="false">IF(R2998="","",ROUND(L2998-R2998,2))</f>
        <v/>
      </c>
      <c r="T2998" s="8" t="str">
        <f aca="false">IF(A2998="","",IF(S2998="","BYPASS",IF(ABS(S2998)&lt;=Summary!$B$2,"PASS","FAIL")))</f>
        <v/>
      </c>
      <c r="U2998" s="8" t="str">
        <f aca="false">IF(T2998="BYPASS",IF(NOT(ISNUMBER(Q2998)),"PreV_ETB missing","End_tr_balance missing"),IF(T2998="FAIL",IF(AND(ISNUMBER(K2998),ISNUMBER(L2998),ABS(L2998-(K2998-IF(ISNUMBER(N2998),N2998,0)-IF(ISNUMBER(O2998),O2998,0)+IF(ISNUMBER(P2998),P2998,0)))&lt;=Summary!$B$2),"Passes using beginning_balance - PreV_ETB differs from beginning_balance",IF(AND(ISNUMBER(O2998),O2998&lt;0,ABS(L2998-(Q2998-IF(ISNUMBER(N2998),N2998,0)+IF(ISNUMBER(P2998),P2998,0)))&lt;=Summary!$B$2),"Negative realized loss not applied - check sign",IF(R2998&lt;0,"Principal paid exceeds prior balance",IF(AND(L2998&gt;Q2998,NOT(ISNUMBER(P2998))),"Balance increased but no Deferred_interest reported",IF(L2998&gt;R2998,"Reported balance higher than expected (missing increase/OC build)","Reported balance lower than expected (missing decrease)"))))),""))</f>
        <v/>
      </c>
    </row>
    <row r="2999" customFormat="false" ht="15" hidden="false" customHeight="false" outlineLevel="0" collapsed="false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9"/>
      <c r="L2999" s="9"/>
      <c r="M2999" s="9"/>
      <c r="N2999" s="9"/>
      <c r="O2999" s="9"/>
      <c r="P2999" s="9"/>
      <c r="Q2999" s="9"/>
      <c r="R2999" s="9" t="str">
        <f aca="false">IF(AND(A2999&lt;&gt;"",ISNUMBER(Q2999),ISNUMBER(L2999)),ROUND(Q2999-IF(ISNUMBER(N2999),N2999,0)-IF(ISNUMBER(O2999),O2999,0)+IF(ISNUMBER(P2999),P2999,0),2),"")</f>
        <v/>
      </c>
      <c r="S2999" s="9" t="str">
        <f aca="false">IF(R2999="","",ROUND(L2999-R2999,2))</f>
        <v/>
      </c>
      <c r="T2999" s="8" t="str">
        <f aca="false">IF(A2999="","",IF(S2999="","BYPASS",IF(ABS(S2999)&lt;=Summary!$B$2,"PASS","FAIL")))</f>
        <v/>
      </c>
      <c r="U2999" s="8" t="str">
        <f aca="false">IF(T2999="BYPASS",IF(NOT(ISNUMBER(Q2999)),"PreV_ETB missing","End_tr_balance missing"),IF(T2999="FAIL",IF(AND(ISNUMBER(K2999),ISNUMBER(L2999),ABS(L2999-(K2999-IF(ISNUMBER(N2999),N2999,0)-IF(ISNUMBER(O2999),O2999,0)+IF(ISNUMBER(P2999),P2999,0)))&lt;=Summary!$B$2),"Passes using beginning_balance - PreV_ETB differs from beginning_balance",IF(AND(ISNUMBER(O2999),O2999&lt;0,ABS(L2999-(Q2999-IF(ISNUMBER(N2999),N2999,0)+IF(ISNUMBER(P2999),P2999,0)))&lt;=Summary!$B$2),"Negative realized loss not applied - check sign",IF(R2999&lt;0,"Principal paid exceeds prior balance",IF(AND(L2999&gt;Q2999,NOT(ISNUMBER(P2999))),"Balance increased but no Deferred_interest reported",IF(L2999&gt;R2999,"Reported balance higher than expected (missing increase/OC build)","Reported balance lower than expected (missing decrease)"))))),""))</f>
        <v/>
      </c>
    </row>
    <row r="3000" customFormat="false" ht="15" hidden="false" customHeight="false" outlineLevel="0" collapsed="false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9"/>
      <c r="L3000" s="9"/>
      <c r="M3000" s="9"/>
      <c r="N3000" s="9"/>
      <c r="O3000" s="9"/>
      <c r="P3000" s="9"/>
      <c r="Q3000" s="9"/>
      <c r="R3000" s="9" t="str">
        <f aca="false">IF(AND(A3000&lt;&gt;"",ISNUMBER(Q3000),ISNUMBER(L3000)),ROUND(Q3000-IF(ISNUMBER(N3000),N3000,0)-IF(ISNUMBER(O3000),O3000,0)+IF(ISNUMBER(P3000),P3000,0),2),"")</f>
        <v/>
      </c>
      <c r="S3000" s="9" t="str">
        <f aca="false">IF(R3000="","",ROUND(L3000-R3000,2))</f>
        <v/>
      </c>
      <c r="T3000" s="8" t="str">
        <f aca="false">IF(A3000="","",IF(S3000="","BYPASS",IF(ABS(S3000)&lt;=Summary!$B$2,"PASS","FAIL")))</f>
        <v/>
      </c>
      <c r="U3000" s="8" t="str">
        <f aca="false">IF(T3000="BYPASS",IF(NOT(ISNUMBER(Q3000)),"PreV_ETB missing","End_tr_balance missing"),IF(T3000="FAIL",IF(AND(ISNUMBER(K3000),ISNUMBER(L3000),ABS(L3000-(K3000-IF(ISNUMBER(N3000),N3000,0)-IF(ISNUMBER(O3000),O3000,0)+IF(ISNUMBER(P3000),P3000,0)))&lt;=Summary!$B$2),"Passes using beginning_balance - PreV_ETB differs from beginning_balance",IF(AND(ISNUMBER(O3000),O3000&lt;0,ABS(L3000-(Q3000-IF(ISNUMBER(N3000),N3000,0)+IF(ISNUMBER(P3000),P3000,0)))&lt;=Summary!$B$2),"Negative realized loss not applied - check sign",IF(R3000&lt;0,"Principal paid exceeds prior balance",IF(AND(L3000&gt;Q3000,NOT(ISNUMBER(P3000))),"Balance increased but no Deferred_interest reported",IF(L3000&gt;R3000,"Reported balance higher than expected (missing increase/OC build)","Reported balance lower than expected (missing decrease)"))))),""))</f>
        <v/>
      </c>
    </row>
    <row r="3001" customFormat="false" ht="15" hidden="false" customHeight="false" outlineLevel="0" collapsed="false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9"/>
      <c r="L3001" s="9"/>
      <c r="M3001" s="9"/>
      <c r="N3001" s="9"/>
      <c r="O3001" s="9"/>
      <c r="P3001" s="9"/>
      <c r="Q3001" s="9"/>
      <c r="R3001" s="9" t="str">
        <f aca="false">IF(AND(A3001&lt;&gt;"",ISNUMBER(Q3001),ISNUMBER(L3001)),ROUND(Q3001-IF(ISNUMBER(N3001),N3001,0)-IF(ISNUMBER(O3001),O3001,0)+IF(ISNUMBER(P3001),P3001,0),2),"")</f>
        <v/>
      </c>
      <c r="S3001" s="9" t="str">
        <f aca="false">IF(R3001="","",ROUND(L3001-R3001,2))</f>
        <v/>
      </c>
      <c r="T3001" s="8" t="str">
        <f aca="false">IF(A3001="","",IF(S3001="","BYPASS",IF(ABS(S3001)&lt;=Summary!$B$2,"PASS","FAIL")))</f>
        <v/>
      </c>
      <c r="U3001" s="8" t="str">
        <f aca="false">IF(T3001="BYPASS",IF(NOT(ISNUMBER(Q3001)),"PreV_ETB missing","End_tr_balance missing"),IF(T3001="FAIL",IF(AND(ISNUMBER(K3001),ISNUMBER(L3001),ABS(L3001-(K3001-IF(ISNUMBER(N3001),N3001,0)-IF(ISNUMBER(O3001),O3001,0)+IF(ISNUMBER(P3001),P3001,0)))&lt;=Summary!$B$2),"Passes using beginning_balance - PreV_ETB differs from beginning_balance",IF(AND(ISNUMBER(O3001),O3001&lt;0,ABS(L3001-(Q3001-IF(ISNUMBER(N3001),N3001,0)+IF(ISNUMBER(P3001),P3001,0)))&lt;=Summary!$B$2),"Negative realized loss not applied - check sign",IF(R3001&lt;0,"Principal paid exceeds prior balance",IF(AND(L3001&gt;Q3001,NOT(ISNUMBER(P3001))),"Balance increased but no Deferred_interest reported",IF(L3001&gt;R3001,"Reported balance higher than expected (missing increase/OC build)","Reported balance lower than expected (missing decrease)"))))),""))</f>
        <v/>
      </c>
    </row>
    <row r="3002" customFormat="false" ht="15" hidden="false" customHeight="false" outlineLevel="0" collapsed="false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9"/>
      <c r="L3002" s="9"/>
      <c r="M3002" s="9"/>
      <c r="N3002" s="9"/>
      <c r="O3002" s="9"/>
      <c r="P3002" s="9"/>
      <c r="Q3002" s="9"/>
      <c r="R3002" s="9" t="str">
        <f aca="false">IF(AND(A3002&lt;&gt;"",ISNUMBER(Q3002),ISNUMBER(L3002)),ROUND(Q3002-IF(ISNUMBER(N3002),N3002,0)-IF(ISNUMBER(O3002),O3002,0)+IF(ISNUMBER(P3002),P3002,0),2),"")</f>
        <v/>
      </c>
      <c r="S3002" s="9" t="str">
        <f aca="false">IF(R3002="","",ROUND(L3002-R3002,2))</f>
        <v/>
      </c>
      <c r="T3002" s="8" t="str">
        <f aca="false">IF(A3002="","",IF(S3002="","BYPASS",IF(ABS(S3002)&lt;=Summary!$B$2,"PASS","FAIL")))</f>
        <v/>
      </c>
      <c r="U3002" s="8" t="str">
        <f aca="false">IF(T3002="BYPASS",IF(NOT(ISNUMBER(Q3002)),"PreV_ETB missing","End_tr_balance missing"),IF(T3002="FAIL",IF(AND(ISNUMBER(K3002),ISNUMBER(L3002),ABS(L3002-(K3002-IF(ISNUMBER(N3002),N3002,0)-IF(ISNUMBER(O3002),O3002,0)+IF(ISNUMBER(P3002),P3002,0)))&lt;=Summary!$B$2),"Passes using beginning_balance - PreV_ETB differs from beginning_balance",IF(AND(ISNUMBER(O3002),O3002&lt;0,ABS(L3002-(Q3002-IF(ISNUMBER(N3002),N3002,0)+IF(ISNUMBER(P3002),P3002,0)))&lt;=Summary!$B$2),"Negative realized loss not applied - check sign",IF(R3002&lt;0,"Principal paid exceeds prior balance",IF(AND(L3002&gt;Q3002,NOT(ISNUMBER(P3002))),"Balance increased but no Deferred_interest reported",IF(L3002&gt;R3002,"Reported balance higher than expected (missing increase/OC build)","Reported balance lower than expected (missing decrease)"))))),""))</f>
        <v/>
      </c>
    </row>
    <row r="3003" customFormat="false" ht="15" hidden="false" customHeight="false" outlineLevel="0" collapsed="false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9"/>
      <c r="L3003" s="9"/>
      <c r="M3003" s="9"/>
      <c r="N3003" s="9"/>
      <c r="O3003" s="9"/>
      <c r="P3003" s="9"/>
      <c r="Q3003" s="9"/>
      <c r="R3003" s="9" t="str">
        <f aca="false">IF(AND(A3003&lt;&gt;"",ISNUMBER(Q3003),ISNUMBER(L3003)),ROUND(Q3003-IF(ISNUMBER(N3003),N3003,0)-IF(ISNUMBER(O3003),O3003,0)+IF(ISNUMBER(P3003),P3003,0),2),"")</f>
        <v/>
      </c>
      <c r="S3003" s="9" t="str">
        <f aca="false">IF(R3003="","",ROUND(L3003-R3003,2))</f>
        <v/>
      </c>
      <c r="T3003" s="8" t="str">
        <f aca="false">IF(A3003="","",IF(S3003="","BYPASS",IF(ABS(S3003)&lt;=Summary!$B$2,"PASS","FAIL")))</f>
        <v/>
      </c>
      <c r="U3003" s="8" t="str">
        <f aca="false">IF(T3003="BYPASS",IF(NOT(ISNUMBER(Q3003)),"PreV_ETB missing","End_tr_balance missing"),IF(T3003="FAIL",IF(AND(ISNUMBER(K3003),ISNUMBER(L3003),ABS(L3003-(K3003-IF(ISNUMBER(N3003),N3003,0)-IF(ISNUMBER(O3003),O3003,0)+IF(ISNUMBER(P3003),P3003,0)))&lt;=Summary!$B$2),"Passes using beginning_balance - PreV_ETB differs from beginning_balance",IF(AND(ISNUMBER(O3003),O3003&lt;0,ABS(L3003-(Q3003-IF(ISNUMBER(N3003),N3003,0)+IF(ISNUMBER(P3003),P3003,0)))&lt;=Summary!$B$2),"Negative realized loss not applied - check sign",IF(R3003&lt;0,"Principal paid exceeds prior balance",IF(AND(L3003&gt;Q3003,NOT(ISNUMBER(P3003))),"Balance increased but no Deferred_interest reported",IF(L3003&gt;R3003,"Reported balance higher than expected (missing increase/OC build)","Reported balance lower than expected (missing decrease)"))))),""))</f>
        <v/>
      </c>
    </row>
    <row r="3004" customFormat="false" ht="15" hidden="false" customHeight="false" outlineLevel="0" collapsed="false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9"/>
      <c r="L3004" s="9"/>
      <c r="M3004" s="9"/>
      <c r="N3004" s="9"/>
      <c r="O3004" s="9"/>
      <c r="P3004" s="9"/>
      <c r="Q3004" s="9"/>
      <c r="R3004" s="9" t="str">
        <f aca="false">IF(AND(A3004&lt;&gt;"",ISNUMBER(Q3004),ISNUMBER(L3004)),ROUND(Q3004-IF(ISNUMBER(N3004),N3004,0)-IF(ISNUMBER(O3004),O3004,0)+IF(ISNUMBER(P3004),P3004,0),2),"")</f>
        <v/>
      </c>
      <c r="S3004" s="9" t="str">
        <f aca="false">IF(R3004="","",ROUND(L3004-R3004,2))</f>
        <v/>
      </c>
      <c r="T3004" s="8" t="str">
        <f aca="false">IF(A3004="","",IF(S3004="","BYPASS",IF(ABS(S3004)&lt;=Summary!$B$2,"PASS","FAIL")))</f>
        <v/>
      </c>
      <c r="U3004" s="8" t="str">
        <f aca="false">IF(T3004="BYPASS",IF(NOT(ISNUMBER(Q3004)),"PreV_ETB missing","End_tr_balance missing"),IF(T3004="FAIL",IF(AND(ISNUMBER(K3004),ISNUMBER(L3004),ABS(L3004-(K3004-IF(ISNUMBER(N3004),N3004,0)-IF(ISNUMBER(O3004),O3004,0)+IF(ISNUMBER(P3004),P3004,0)))&lt;=Summary!$B$2),"Passes using beginning_balance - PreV_ETB differs from beginning_balance",IF(AND(ISNUMBER(O3004),O3004&lt;0,ABS(L3004-(Q3004-IF(ISNUMBER(N3004),N3004,0)+IF(ISNUMBER(P3004),P3004,0)))&lt;=Summary!$B$2),"Negative realized loss not applied - check sign",IF(R3004&lt;0,"Principal paid exceeds prior balance",IF(AND(L3004&gt;Q3004,NOT(ISNUMBER(P3004))),"Balance increased but no Deferred_interest reported",IF(L3004&gt;R3004,"Reported balance higher than expected (missing increase/OC build)","Reported balance lower than expected (missing decrease)"))))),""))</f>
        <v/>
      </c>
    </row>
    <row r="3005" customFormat="false" ht="15" hidden="false" customHeight="false" outlineLevel="0" collapsed="false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9"/>
      <c r="L3005" s="9"/>
      <c r="M3005" s="9"/>
      <c r="N3005" s="9"/>
      <c r="O3005" s="9"/>
      <c r="P3005" s="9"/>
      <c r="Q3005" s="9"/>
      <c r="R3005" s="9" t="str">
        <f aca="false">IF(AND(A3005&lt;&gt;"",ISNUMBER(Q3005),ISNUMBER(L3005)),ROUND(Q3005-IF(ISNUMBER(N3005),N3005,0)-IF(ISNUMBER(O3005),O3005,0)+IF(ISNUMBER(P3005),P3005,0),2),"")</f>
        <v/>
      </c>
      <c r="S3005" s="9" t="str">
        <f aca="false">IF(R3005="","",ROUND(L3005-R3005,2))</f>
        <v/>
      </c>
      <c r="T3005" s="8" t="str">
        <f aca="false">IF(A3005="","",IF(S3005="","BYPASS",IF(ABS(S3005)&lt;=Summary!$B$2,"PASS","FAIL")))</f>
        <v/>
      </c>
      <c r="U3005" s="8" t="str">
        <f aca="false">IF(T3005="BYPASS",IF(NOT(ISNUMBER(Q3005)),"PreV_ETB missing","End_tr_balance missing"),IF(T3005="FAIL",IF(AND(ISNUMBER(K3005),ISNUMBER(L3005),ABS(L3005-(K3005-IF(ISNUMBER(N3005),N3005,0)-IF(ISNUMBER(O3005),O3005,0)+IF(ISNUMBER(P3005),P3005,0)))&lt;=Summary!$B$2),"Passes using beginning_balance - PreV_ETB differs from beginning_balance",IF(AND(ISNUMBER(O3005),O3005&lt;0,ABS(L3005-(Q3005-IF(ISNUMBER(N3005),N3005,0)+IF(ISNUMBER(P3005),P3005,0)))&lt;=Summary!$B$2),"Negative realized loss not applied - check sign",IF(R3005&lt;0,"Principal paid exceeds prior balance",IF(AND(L3005&gt;Q3005,NOT(ISNUMBER(P3005))),"Balance increased but no Deferred_interest reported",IF(L3005&gt;R3005,"Reported balance higher than expected (missing increase/OC build)","Reported balance lower than expected (missing decrease)"))))),""))</f>
        <v/>
      </c>
    </row>
    <row r="3006" customFormat="false" ht="15" hidden="false" customHeight="false" outlineLevel="0" collapsed="false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9"/>
      <c r="L3006" s="9"/>
      <c r="M3006" s="9"/>
      <c r="N3006" s="9"/>
      <c r="O3006" s="9"/>
      <c r="P3006" s="9"/>
      <c r="Q3006" s="9"/>
      <c r="R3006" s="9" t="str">
        <f aca="false">IF(AND(A3006&lt;&gt;"",ISNUMBER(Q3006),ISNUMBER(L3006)),ROUND(Q3006-IF(ISNUMBER(N3006),N3006,0)-IF(ISNUMBER(O3006),O3006,0)+IF(ISNUMBER(P3006),P3006,0),2),"")</f>
        <v/>
      </c>
      <c r="S3006" s="9" t="str">
        <f aca="false">IF(R3006="","",ROUND(L3006-R3006,2))</f>
        <v/>
      </c>
      <c r="T3006" s="8" t="str">
        <f aca="false">IF(A3006="","",IF(S3006="","BYPASS",IF(ABS(S3006)&lt;=Summary!$B$2,"PASS","FAIL")))</f>
        <v/>
      </c>
      <c r="U3006" s="8" t="str">
        <f aca="false">IF(T3006="BYPASS",IF(NOT(ISNUMBER(Q3006)),"PreV_ETB missing","End_tr_balance missing"),IF(T3006="FAIL",IF(AND(ISNUMBER(K3006),ISNUMBER(L3006),ABS(L3006-(K3006-IF(ISNUMBER(N3006),N3006,0)-IF(ISNUMBER(O3006),O3006,0)+IF(ISNUMBER(P3006),P3006,0)))&lt;=Summary!$B$2),"Passes using beginning_balance - PreV_ETB differs from beginning_balance",IF(AND(ISNUMBER(O3006),O3006&lt;0,ABS(L3006-(Q3006-IF(ISNUMBER(N3006),N3006,0)+IF(ISNUMBER(P3006),P3006,0)))&lt;=Summary!$B$2),"Negative realized loss not applied - check sign",IF(R3006&lt;0,"Principal paid exceeds prior balance",IF(AND(L3006&gt;Q3006,NOT(ISNUMBER(P3006))),"Balance increased but no Deferred_interest reported",IF(L3006&gt;R3006,"Reported balance higher than expected (missing increase/OC build)","Reported balance lower than expected (missing decrease)"))))),""))</f>
        <v/>
      </c>
    </row>
    <row r="3007" customFormat="false" ht="15" hidden="false" customHeight="false" outlineLevel="0" collapsed="false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9"/>
      <c r="L3007" s="9"/>
      <c r="M3007" s="9"/>
      <c r="N3007" s="9"/>
      <c r="O3007" s="9"/>
      <c r="P3007" s="9"/>
      <c r="Q3007" s="9"/>
      <c r="R3007" s="9" t="str">
        <f aca="false">IF(AND(A3007&lt;&gt;"",ISNUMBER(Q3007),ISNUMBER(L3007)),ROUND(Q3007-IF(ISNUMBER(N3007),N3007,0)-IF(ISNUMBER(O3007),O3007,0)+IF(ISNUMBER(P3007),P3007,0),2),"")</f>
        <v/>
      </c>
      <c r="S3007" s="9" t="str">
        <f aca="false">IF(R3007="","",ROUND(L3007-R3007,2))</f>
        <v/>
      </c>
      <c r="T3007" s="8" t="str">
        <f aca="false">IF(A3007="","",IF(S3007="","BYPASS",IF(ABS(S3007)&lt;=Summary!$B$2,"PASS","FAIL")))</f>
        <v/>
      </c>
      <c r="U3007" s="8" t="str">
        <f aca="false">IF(T3007="BYPASS",IF(NOT(ISNUMBER(Q3007)),"PreV_ETB missing","End_tr_balance missing"),IF(T3007="FAIL",IF(AND(ISNUMBER(K3007),ISNUMBER(L3007),ABS(L3007-(K3007-IF(ISNUMBER(N3007),N3007,0)-IF(ISNUMBER(O3007),O3007,0)+IF(ISNUMBER(P3007),P3007,0)))&lt;=Summary!$B$2),"Passes using beginning_balance - PreV_ETB differs from beginning_balance",IF(AND(ISNUMBER(O3007),O3007&lt;0,ABS(L3007-(Q3007-IF(ISNUMBER(N3007),N3007,0)+IF(ISNUMBER(P3007),P3007,0)))&lt;=Summary!$B$2),"Negative realized loss not applied - check sign",IF(R3007&lt;0,"Principal paid exceeds prior balance",IF(AND(L3007&gt;Q3007,NOT(ISNUMBER(P3007))),"Balance increased but no Deferred_interest reported",IF(L3007&gt;R3007,"Reported balance higher than expected (missing increase/OC build)","Reported balance lower than expected (missing decrease)"))))),""))</f>
        <v/>
      </c>
    </row>
    <row r="3008" customFormat="false" ht="15" hidden="false" customHeight="false" outlineLevel="0" collapsed="false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9"/>
      <c r="L3008" s="9"/>
      <c r="M3008" s="9"/>
      <c r="N3008" s="9"/>
      <c r="O3008" s="9"/>
      <c r="P3008" s="9"/>
      <c r="Q3008" s="9"/>
      <c r="R3008" s="9" t="str">
        <f aca="false">IF(AND(A3008&lt;&gt;"",ISNUMBER(Q3008),ISNUMBER(L3008)),ROUND(Q3008-IF(ISNUMBER(N3008),N3008,0)-IF(ISNUMBER(O3008),O3008,0)+IF(ISNUMBER(P3008),P3008,0),2),"")</f>
        <v/>
      </c>
      <c r="S3008" s="9" t="str">
        <f aca="false">IF(R3008="","",ROUND(L3008-R3008,2))</f>
        <v/>
      </c>
      <c r="T3008" s="8" t="str">
        <f aca="false">IF(A3008="","",IF(S3008="","BYPASS",IF(ABS(S3008)&lt;=Summary!$B$2,"PASS","FAIL")))</f>
        <v/>
      </c>
      <c r="U3008" s="8" t="str">
        <f aca="false">IF(T3008="BYPASS",IF(NOT(ISNUMBER(Q3008)),"PreV_ETB missing","End_tr_balance missing"),IF(T3008="FAIL",IF(AND(ISNUMBER(K3008),ISNUMBER(L3008),ABS(L3008-(K3008-IF(ISNUMBER(N3008),N3008,0)-IF(ISNUMBER(O3008),O3008,0)+IF(ISNUMBER(P3008),P3008,0)))&lt;=Summary!$B$2),"Passes using beginning_balance - PreV_ETB differs from beginning_balance",IF(AND(ISNUMBER(O3008),O3008&lt;0,ABS(L3008-(Q3008-IF(ISNUMBER(N3008),N3008,0)+IF(ISNUMBER(P3008),P3008,0)))&lt;=Summary!$B$2),"Negative realized loss not applied - check sign",IF(R3008&lt;0,"Principal paid exceeds prior balance",IF(AND(L3008&gt;Q3008,NOT(ISNUMBER(P3008))),"Balance increased but no Deferred_interest reported",IF(L3008&gt;R3008,"Reported balance higher than expected (missing increase/OC build)","Reported balance lower than expected (missing decrease)"))))),""))</f>
        <v/>
      </c>
    </row>
    <row r="3009" customFormat="false" ht="15" hidden="false" customHeight="false" outlineLevel="0" collapsed="false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9"/>
      <c r="L3009" s="9"/>
      <c r="M3009" s="9"/>
      <c r="N3009" s="9"/>
      <c r="O3009" s="9"/>
      <c r="P3009" s="9"/>
      <c r="Q3009" s="9"/>
      <c r="R3009" s="9" t="str">
        <f aca="false">IF(AND(A3009&lt;&gt;"",ISNUMBER(Q3009),ISNUMBER(L3009)),ROUND(Q3009-IF(ISNUMBER(N3009),N3009,0)-IF(ISNUMBER(O3009),O3009,0)+IF(ISNUMBER(P3009),P3009,0),2),"")</f>
        <v/>
      </c>
      <c r="S3009" s="9" t="str">
        <f aca="false">IF(R3009="","",ROUND(L3009-R3009,2))</f>
        <v/>
      </c>
      <c r="T3009" s="8" t="str">
        <f aca="false">IF(A3009="","",IF(S3009="","BYPASS",IF(ABS(S3009)&lt;=Summary!$B$2,"PASS","FAIL")))</f>
        <v/>
      </c>
      <c r="U3009" s="8" t="str">
        <f aca="false">IF(T3009="BYPASS",IF(NOT(ISNUMBER(Q3009)),"PreV_ETB missing","End_tr_balance missing"),IF(T3009="FAIL",IF(AND(ISNUMBER(K3009),ISNUMBER(L3009),ABS(L3009-(K3009-IF(ISNUMBER(N3009),N3009,0)-IF(ISNUMBER(O3009),O3009,0)+IF(ISNUMBER(P3009),P3009,0)))&lt;=Summary!$B$2),"Passes using beginning_balance - PreV_ETB differs from beginning_balance",IF(AND(ISNUMBER(O3009),O3009&lt;0,ABS(L3009-(Q3009-IF(ISNUMBER(N3009),N3009,0)+IF(ISNUMBER(P3009),P3009,0)))&lt;=Summary!$B$2),"Negative realized loss not applied - check sign",IF(R3009&lt;0,"Principal paid exceeds prior balance",IF(AND(L3009&gt;Q3009,NOT(ISNUMBER(P3009))),"Balance increased but no Deferred_interest reported",IF(L3009&gt;R3009,"Reported balance higher than expected (missing increase/OC build)","Reported balance lower than expected (missing decrease)"))))),""))</f>
        <v/>
      </c>
    </row>
    <row r="3010" customFormat="false" ht="15" hidden="false" customHeight="false" outlineLevel="0" collapsed="false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9"/>
      <c r="L3010" s="9"/>
      <c r="M3010" s="9"/>
      <c r="N3010" s="9"/>
      <c r="O3010" s="9"/>
      <c r="P3010" s="9"/>
      <c r="Q3010" s="9"/>
      <c r="R3010" s="9" t="str">
        <f aca="false">IF(AND(A3010&lt;&gt;"",ISNUMBER(Q3010),ISNUMBER(L3010)),ROUND(Q3010-IF(ISNUMBER(N3010),N3010,0)-IF(ISNUMBER(O3010),O3010,0)+IF(ISNUMBER(P3010),P3010,0),2),"")</f>
        <v/>
      </c>
      <c r="S3010" s="9" t="str">
        <f aca="false">IF(R3010="","",ROUND(L3010-R3010,2))</f>
        <v/>
      </c>
      <c r="T3010" s="8" t="str">
        <f aca="false">IF(A3010="","",IF(S3010="","BYPASS",IF(ABS(S3010)&lt;=Summary!$B$2,"PASS","FAIL")))</f>
        <v/>
      </c>
      <c r="U3010" s="8" t="str">
        <f aca="false">IF(T3010="BYPASS",IF(NOT(ISNUMBER(Q3010)),"PreV_ETB missing","End_tr_balance missing"),IF(T3010="FAIL",IF(AND(ISNUMBER(K3010),ISNUMBER(L3010),ABS(L3010-(K3010-IF(ISNUMBER(N3010),N3010,0)-IF(ISNUMBER(O3010),O3010,0)+IF(ISNUMBER(P3010),P3010,0)))&lt;=Summary!$B$2),"Passes using beginning_balance - PreV_ETB differs from beginning_balance",IF(AND(ISNUMBER(O3010),O3010&lt;0,ABS(L3010-(Q3010-IF(ISNUMBER(N3010),N3010,0)+IF(ISNUMBER(P3010),P3010,0)))&lt;=Summary!$B$2),"Negative realized loss not applied - check sign",IF(R3010&lt;0,"Principal paid exceeds prior balance",IF(AND(L3010&gt;Q3010,NOT(ISNUMBER(P3010))),"Balance increased but no Deferred_interest reported",IF(L3010&gt;R3010,"Reported balance higher than expected (missing increase/OC build)","Reported balance lower than expected (missing decrease)"))))),""))</f>
        <v/>
      </c>
    </row>
    <row r="3011" customFormat="false" ht="15" hidden="false" customHeight="false" outlineLevel="0" collapsed="false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9"/>
      <c r="L3011" s="9"/>
      <c r="M3011" s="9"/>
      <c r="N3011" s="9"/>
      <c r="O3011" s="9"/>
      <c r="P3011" s="9"/>
      <c r="Q3011" s="9"/>
      <c r="R3011" s="9" t="str">
        <f aca="false">IF(AND(A3011&lt;&gt;"",ISNUMBER(Q3011),ISNUMBER(L3011)),ROUND(Q3011-IF(ISNUMBER(N3011),N3011,0)-IF(ISNUMBER(O3011),O3011,0)+IF(ISNUMBER(P3011),P3011,0),2),"")</f>
        <v/>
      </c>
      <c r="S3011" s="9" t="str">
        <f aca="false">IF(R3011="","",ROUND(L3011-R3011,2))</f>
        <v/>
      </c>
      <c r="T3011" s="8" t="str">
        <f aca="false">IF(A3011="","",IF(S3011="","BYPASS",IF(ABS(S3011)&lt;=Summary!$B$2,"PASS","FAIL")))</f>
        <v/>
      </c>
      <c r="U3011" s="8" t="str">
        <f aca="false">IF(T3011="BYPASS",IF(NOT(ISNUMBER(Q3011)),"PreV_ETB missing","End_tr_balance missing"),IF(T3011="FAIL",IF(AND(ISNUMBER(K3011),ISNUMBER(L3011),ABS(L3011-(K3011-IF(ISNUMBER(N3011),N3011,0)-IF(ISNUMBER(O3011),O3011,0)+IF(ISNUMBER(P3011),P3011,0)))&lt;=Summary!$B$2),"Passes using beginning_balance - PreV_ETB differs from beginning_balance",IF(AND(ISNUMBER(O3011),O3011&lt;0,ABS(L3011-(Q3011-IF(ISNUMBER(N3011),N3011,0)+IF(ISNUMBER(P3011),P3011,0)))&lt;=Summary!$B$2),"Negative realized loss not applied - check sign",IF(R3011&lt;0,"Principal paid exceeds prior balance",IF(AND(L3011&gt;Q3011,NOT(ISNUMBER(P3011))),"Balance increased but no Deferred_interest reported",IF(L3011&gt;R3011,"Reported balance higher than expected (missing increase/OC build)","Reported balance lower than expected (missing decrease)"))))),""))</f>
        <v/>
      </c>
    </row>
    <row r="3012" customFormat="false" ht="15" hidden="false" customHeight="false" outlineLevel="0" collapsed="false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9"/>
      <c r="L3012" s="9"/>
      <c r="M3012" s="9"/>
      <c r="N3012" s="9"/>
      <c r="O3012" s="9"/>
      <c r="P3012" s="9"/>
      <c r="Q3012" s="9"/>
      <c r="R3012" s="9" t="str">
        <f aca="false">IF(AND(A3012&lt;&gt;"",ISNUMBER(Q3012),ISNUMBER(L3012)),ROUND(Q3012-IF(ISNUMBER(N3012),N3012,0)-IF(ISNUMBER(O3012),O3012,0)+IF(ISNUMBER(P3012),P3012,0),2),"")</f>
        <v/>
      </c>
      <c r="S3012" s="9" t="str">
        <f aca="false">IF(R3012="","",ROUND(L3012-R3012,2))</f>
        <v/>
      </c>
      <c r="T3012" s="8" t="str">
        <f aca="false">IF(A3012="","",IF(S3012="","BYPASS",IF(ABS(S3012)&lt;=Summary!$B$2,"PASS","FAIL")))</f>
        <v/>
      </c>
      <c r="U3012" s="8" t="str">
        <f aca="false">IF(T3012="BYPASS",IF(NOT(ISNUMBER(Q3012)),"PreV_ETB missing","End_tr_balance missing"),IF(T3012="FAIL",IF(AND(ISNUMBER(K3012),ISNUMBER(L3012),ABS(L3012-(K3012-IF(ISNUMBER(N3012),N3012,0)-IF(ISNUMBER(O3012),O3012,0)+IF(ISNUMBER(P3012),P3012,0)))&lt;=Summary!$B$2),"Passes using beginning_balance - PreV_ETB differs from beginning_balance",IF(AND(ISNUMBER(O3012),O3012&lt;0,ABS(L3012-(Q3012-IF(ISNUMBER(N3012),N3012,0)+IF(ISNUMBER(P3012),P3012,0)))&lt;=Summary!$B$2),"Negative realized loss not applied - check sign",IF(R3012&lt;0,"Principal paid exceeds prior balance",IF(AND(L3012&gt;Q3012,NOT(ISNUMBER(P3012))),"Balance increased but no Deferred_interest reported",IF(L3012&gt;R3012,"Reported balance higher than expected (missing increase/OC build)","Reported balance lower than expected (missing decrease)"))))),""))</f>
        <v/>
      </c>
    </row>
    <row r="3013" customFormat="false" ht="15" hidden="false" customHeight="false" outlineLevel="0" collapsed="false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9"/>
      <c r="L3013" s="9"/>
      <c r="M3013" s="9"/>
      <c r="N3013" s="9"/>
      <c r="O3013" s="9"/>
      <c r="P3013" s="9"/>
      <c r="Q3013" s="9"/>
      <c r="R3013" s="9" t="str">
        <f aca="false">IF(AND(A3013&lt;&gt;"",ISNUMBER(Q3013),ISNUMBER(L3013)),ROUND(Q3013-IF(ISNUMBER(N3013),N3013,0)-IF(ISNUMBER(O3013),O3013,0)+IF(ISNUMBER(P3013),P3013,0),2),"")</f>
        <v/>
      </c>
      <c r="S3013" s="9" t="str">
        <f aca="false">IF(R3013="","",ROUND(L3013-R3013,2))</f>
        <v/>
      </c>
      <c r="T3013" s="8" t="str">
        <f aca="false">IF(A3013="","",IF(S3013="","BYPASS",IF(ABS(S3013)&lt;=Summary!$B$2,"PASS","FAIL")))</f>
        <v/>
      </c>
      <c r="U3013" s="8" t="str">
        <f aca="false">IF(T3013="BYPASS",IF(NOT(ISNUMBER(Q3013)),"PreV_ETB missing","End_tr_balance missing"),IF(T3013="FAIL",IF(AND(ISNUMBER(K3013),ISNUMBER(L3013),ABS(L3013-(K3013-IF(ISNUMBER(N3013),N3013,0)-IF(ISNUMBER(O3013),O3013,0)+IF(ISNUMBER(P3013),P3013,0)))&lt;=Summary!$B$2),"Passes using beginning_balance - PreV_ETB differs from beginning_balance",IF(AND(ISNUMBER(O3013),O3013&lt;0,ABS(L3013-(Q3013-IF(ISNUMBER(N3013),N3013,0)+IF(ISNUMBER(P3013),P3013,0)))&lt;=Summary!$B$2),"Negative realized loss not applied - check sign",IF(R3013&lt;0,"Principal paid exceeds prior balance",IF(AND(L3013&gt;Q3013,NOT(ISNUMBER(P3013))),"Balance increased but no Deferred_interest reported",IF(L3013&gt;R3013,"Reported balance higher than expected (missing increase/OC build)","Reported balance lower than expected (missing decrease)"))))),""))</f>
        <v/>
      </c>
    </row>
    <row r="3014" customFormat="false" ht="15" hidden="false" customHeight="false" outlineLevel="0" collapsed="false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9"/>
      <c r="L3014" s="9"/>
      <c r="M3014" s="9"/>
      <c r="N3014" s="9"/>
      <c r="O3014" s="9"/>
      <c r="P3014" s="9"/>
      <c r="Q3014" s="9"/>
      <c r="R3014" s="9" t="str">
        <f aca="false">IF(AND(A3014&lt;&gt;"",ISNUMBER(Q3014),ISNUMBER(L3014)),ROUND(Q3014-IF(ISNUMBER(N3014),N3014,0)-IF(ISNUMBER(O3014),O3014,0)+IF(ISNUMBER(P3014),P3014,0),2),"")</f>
        <v/>
      </c>
      <c r="S3014" s="9" t="str">
        <f aca="false">IF(R3014="","",ROUND(L3014-R3014,2))</f>
        <v/>
      </c>
      <c r="T3014" s="8" t="str">
        <f aca="false">IF(A3014="","",IF(S3014="","BYPASS",IF(ABS(S3014)&lt;=Summary!$B$2,"PASS","FAIL")))</f>
        <v/>
      </c>
      <c r="U3014" s="8" t="str">
        <f aca="false">IF(T3014="BYPASS",IF(NOT(ISNUMBER(Q3014)),"PreV_ETB missing","End_tr_balance missing"),IF(T3014="FAIL",IF(AND(ISNUMBER(K3014),ISNUMBER(L3014),ABS(L3014-(K3014-IF(ISNUMBER(N3014),N3014,0)-IF(ISNUMBER(O3014),O3014,0)+IF(ISNUMBER(P3014),P3014,0)))&lt;=Summary!$B$2),"Passes using beginning_balance - PreV_ETB differs from beginning_balance",IF(AND(ISNUMBER(O3014),O3014&lt;0,ABS(L3014-(Q3014-IF(ISNUMBER(N3014),N3014,0)+IF(ISNUMBER(P3014),P3014,0)))&lt;=Summary!$B$2),"Negative realized loss not applied - check sign",IF(R3014&lt;0,"Principal paid exceeds prior balance",IF(AND(L3014&gt;Q3014,NOT(ISNUMBER(P3014))),"Balance increased but no Deferred_interest reported",IF(L3014&gt;R3014,"Reported balance higher than expected (missing increase/OC build)","Reported balance lower than expected (missing decrease)"))))),""))</f>
        <v/>
      </c>
    </row>
    <row r="3015" customFormat="false" ht="15" hidden="false" customHeight="false" outlineLevel="0" collapsed="false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9"/>
      <c r="L3015" s="9"/>
      <c r="M3015" s="9"/>
      <c r="N3015" s="9"/>
      <c r="O3015" s="9"/>
      <c r="P3015" s="9"/>
      <c r="Q3015" s="9"/>
      <c r="R3015" s="9" t="str">
        <f aca="false">IF(AND(A3015&lt;&gt;"",ISNUMBER(Q3015),ISNUMBER(L3015)),ROUND(Q3015-IF(ISNUMBER(N3015),N3015,0)-IF(ISNUMBER(O3015),O3015,0)+IF(ISNUMBER(P3015),P3015,0),2),"")</f>
        <v/>
      </c>
      <c r="S3015" s="9" t="str">
        <f aca="false">IF(R3015="","",ROUND(L3015-R3015,2))</f>
        <v/>
      </c>
      <c r="T3015" s="8" t="str">
        <f aca="false">IF(A3015="","",IF(S3015="","BYPASS",IF(ABS(S3015)&lt;=Summary!$B$2,"PASS","FAIL")))</f>
        <v/>
      </c>
      <c r="U3015" s="8" t="str">
        <f aca="false">IF(T3015="BYPASS",IF(NOT(ISNUMBER(Q3015)),"PreV_ETB missing","End_tr_balance missing"),IF(T3015="FAIL",IF(AND(ISNUMBER(K3015),ISNUMBER(L3015),ABS(L3015-(K3015-IF(ISNUMBER(N3015),N3015,0)-IF(ISNUMBER(O3015),O3015,0)+IF(ISNUMBER(P3015),P3015,0)))&lt;=Summary!$B$2),"Passes using beginning_balance - PreV_ETB differs from beginning_balance",IF(AND(ISNUMBER(O3015),O3015&lt;0,ABS(L3015-(Q3015-IF(ISNUMBER(N3015),N3015,0)+IF(ISNUMBER(P3015),P3015,0)))&lt;=Summary!$B$2),"Negative realized loss not applied - check sign",IF(R3015&lt;0,"Principal paid exceeds prior balance",IF(AND(L3015&gt;Q3015,NOT(ISNUMBER(P3015))),"Balance increased but no Deferred_interest reported",IF(L3015&gt;R3015,"Reported balance higher than expected (missing increase/OC build)","Reported balance lower than expected (missing decrease)"))))),""))</f>
        <v/>
      </c>
    </row>
    <row r="3016" customFormat="false" ht="15" hidden="false" customHeight="false" outlineLevel="0" collapsed="false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9"/>
      <c r="L3016" s="9"/>
      <c r="M3016" s="9"/>
      <c r="N3016" s="9"/>
      <c r="O3016" s="9"/>
      <c r="P3016" s="9"/>
      <c r="Q3016" s="9"/>
      <c r="R3016" s="9" t="str">
        <f aca="false">IF(AND(A3016&lt;&gt;"",ISNUMBER(Q3016),ISNUMBER(L3016)),ROUND(Q3016-IF(ISNUMBER(N3016),N3016,0)-IF(ISNUMBER(O3016),O3016,0)+IF(ISNUMBER(P3016),P3016,0),2),"")</f>
        <v/>
      </c>
      <c r="S3016" s="9" t="str">
        <f aca="false">IF(R3016="","",ROUND(L3016-R3016,2))</f>
        <v/>
      </c>
      <c r="T3016" s="8" t="str">
        <f aca="false">IF(A3016="","",IF(S3016="","BYPASS",IF(ABS(S3016)&lt;=Summary!$B$2,"PASS","FAIL")))</f>
        <v/>
      </c>
      <c r="U3016" s="8" t="str">
        <f aca="false">IF(T3016="BYPASS",IF(NOT(ISNUMBER(Q3016)),"PreV_ETB missing","End_tr_balance missing"),IF(T3016="FAIL",IF(AND(ISNUMBER(K3016),ISNUMBER(L3016),ABS(L3016-(K3016-IF(ISNUMBER(N3016),N3016,0)-IF(ISNUMBER(O3016),O3016,0)+IF(ISNUMBER(P3016),P3016,0)))&lt;=Summary!$B$2),"Passes using beginning_balance - PreV_ETB differs from beginning_balance",IF(AND(ISNUMBER(O3016),O3016&lt;0,ABS(L3016-(Q3016-IF(ISNUMBER(N3016),N3016,0)+IF(ISNUMBER(P3016),P3016,0)))&lt;=Summary!$B$2),"Negative realized loss not applied - check sign",IF(R3016&lt;0,"Principal paid exceeds prior balance",IF(AND(L3016&gt;Q3016,NOT(ISNUMBER(P3016))),"Balance increased but no Deferred_interest reported",IF(L3016&gt;R3016,"Reported balance higher than expected (missing increase/OC build)","Reported balance lower than expected (missing decrease)"))))),""))</f>
        <v/>
      </c>
    </row>
    <row r="3017" customFormat="false" ht="15" hidden="false" customHeight="false" outlineLevel="0" collapsed="false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9"/>
      <c r="L3017" s="9"/>
      <c r="M3017" s="9"/>
      <c r="N3017" s="9"/>
      <c r="O3017" s="9"/>
      <c r="P3017" s="9"/>
      <c r="Q3017" s="9"/>
      <c r="R3017" s="9" t="str">
        <f aca="false">IF(AND(A3017&lt;&gt;"",ISNUMBER(Q3017),ISNUMBER(L3017)),ROUND(Q3017-IF(ISNUMBER(N3017),N3017,0)-IF(ISNUMBER(O3017),O3017,0)+IF(ISNUMBER(P3017),P3017,0),2),"")</f>
        <v/>
      </c>
      <c r="S3017" s="9" t="str">
        <f aca="false">IF(R3017="","",ROUND(L3017-R3017,2))</f>
        <v/>
      </c>
      <c r="T3017" s="8" t="str">
        <f aca="false">IF(A3017="","",IF(S3017="","BYPASS",IF(ABS(S3017)&lt;=Summary!$B$2,"PASS","FAIL")))</f>
        <v/>
      </c>
      <c r="U3017" s="8" t="str">
        <f aca="false">IF(T3017="BYPASS",IF(NOT(ISNUMBER(Q3017)),"PreV_ETB missing","End_tr_balance missing"),IF(T3017="FAIL",IF(AND(ISNUMBER(K3017),ISNUMBER(L3017),ABS(L3017-(K3017-IF(ISNUMBER(N3017),N3017,0)-IF(ISNUMBER(O3017),O3017,0)+IF(ISNUMBER(P3017),P3017,0)))&lt;=Summary!$B$2),"Passes using beginning_balance - PreV_ETB differs from beginning_balance",IF(AND(ISNUMBER(O3017),O3017&lt;0,ABS(L3017-(Q3017-IF(ISNUMBER(N3017),N3017,0)+IF(ISNUMBER(P3017),P3017,0)))&lt;=Summary!$B$2),"Negative realized loss not applied - check sign",IF(R3017&lt;0,"Principal paid exceeds prior balance",IF(AND(L3017&gt;Q3017,NOT(ISNUMBER(P3017))),"Balance increased but no Deferred_interest reported",IF(L3017&gt;R3017,"Reported balance higher than expected (missing increase/OC build)","Reported balance lower than expected (missing decrease)"))))),""))</f>
        <v/>
      </c>
    </row>
    <row r="3018" customFormat="false" ht="15" hidden="false" customHeight="false" outlineLevel="0" collapsed="false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9"/>
      <c r="L3018" s="9"/>
      <c r="M3018" s="9"/>
      <c r="N3018" s="9"/>
      <c r="O3018" s="9"/>
      <c r="P3018" s="9"/>
      <c r="Q3018" s="9"/>
      <c r="R3018" s="9" t="str">
        <f aca="false">IF(AND(A3018&lt;&gt;"",ISNUMBER(Q3018),ISNUMBER(L3018)),ROUND(Q3018-IF(ISNUMBER(N3018),N3018,0)-IF(ISNUMBER(O3018),O3018,0)+IF(ISNUMBER(P3018),P3018,0),2),"")</f>
        <v/>
      </c>
      <c r="S3018" s="9" t="str">
        <f aca="false">IF(R3018="","",ROUND(L3018-R3018,2))</f>
        <v/>
      </c>
      <c r="T3018" s="8" t="str">
        <f aca="false">IF(A3018="","",IF(S3018="","BYPASS",IF(ABS(S3018)&lt;=Summary!$B$2,"PASS","FAIL")))</f>
        <v/>
      </c>
      <c r="U3018" s="8" t="str">
        <f aca="false">IF(T3018="BYPASS",IF(NOT(ISNUMBER(Q3018)),"PreV_ETB missing","End_tr_balance missing"),IF(T3018="FAIL",IF(AND(ISNUMBER(K3018),ISNUMBER(L3018),ABS(L3018-(K3018-IF(ISNUMBER(N3018),N3018,0)-IF(ISNUMBER(O3018),O3018,0)+IF(ISNUMBER(P3018),P3018,0)))&lt;=Summary!$B$2),"Passes using beginning_balance - PreV_ETB differs from beginning_balance",IF(AND(ISNUMBER(O3018),O3018&lt;0,ABS(L3018-(Q3018-IF(ISNUMBER(N3018),N3018,0)+IF(ISNUMBER(P3018),P3018,0)))&lt;=Summary!$B$2),"Negative realized loss not applied - check sign",IF(R3018&lt;0,"Principal paid exceeds prior balance",IF(AND(L3018&gt;Q3018,NOT(ISNUMBER(P3018))),"Balance increased but no Deferred_interest reported",IF(L3018&gt;R3018,"Reported balance higher than expected (missing increase/OC build)","Reported balance lower than expected (missing decrease)"))))),""))</f>
        <v/>
      </c>
    </row>
    <row r="3019" customFormat="false" ht="15" hidden="false" customHeight="false" outlineLevel="0" collapsed="false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9"/>
      <c r="L3019" s="9"/>
      <c r="M3019" s="9"/>
      <c r="N3019" s="9"/>
      <c r="O3019" s="9"/>
      <c r="P3019" s="9"/>
      <c r="Q3019" s="9"/>
      <c r="R3019" s="9" t="str">
        <f aca="false">IF(AND(A3019&lt;&gt;"",ISNUMBER(Q3019),ISNUMBER(L3019)),ROUND(Q3019-IF(ISNUMBER(N3019),N3019,0)-IF(ISNUMBER(O3019),O3019,0)+IF(ISNUMBER(P3019),P3019,0),2),"")</f>
        <v/>
      </c>
      <c r="S3019" s="9" t="str">
        <f aca="false">IF(R3019="","",ROUND(L3019-R3019,2))</f>
        <v/>
      </c>
      <c r="T3019" s="8" t="str">
        <f aca="false">IF(A3019="","",IF(S3019="","BYPASS",IF(ABS(S3019)&lt;=Summary!$B$2,"PASS","FAIL")))</f>
        <v/>
      </c>
      <c r="U3019" s="8" t="str">
        <f aca="false">IF(T3019="BYPASS",IF(NOT(ISNUMBER(Q3019)),"PreV_ETB missing","End_tr_balance missing"),IF(T3019="FAIL",IF(AND(ISNUMBER(K3019),ISNUMBER(L3019),ABS(L3019-(K3019-IF(ISNUMBER(N3019),N3019,0)-IF(ISNUMBER(O3019),O3019,0)+IF(ISNUMBER(P3019),P3019,0)))&lt;=Summary!$B$2),"Passes using beginning_balance - PreV_ETB differs from beginning_balance",IF(AND(ISNUMBER(O3019),O3019&lt;0,ABS(L3019-(Q3019-IF(ISNUMBER(N3019),N3019,0)+IF(ISNUMBER(P3019),P3019,0)))&lt;=Summary!$B$2),"Negative realized loss not applied - check sign",IF(R3019&lt;0,"Principal paid exceeds prior balance",IF(AND(L3019&gt;Q3019,NOT(ISNUMBER(P3019))),"Balance increased but no Deferred_interest reported",IF(L3019&gt;R3019,"Reported balance higher than expected (missing increase/OC build)","Reported balance lower than expected (missing decrease)"))))),""))</f>
        <v/>
      </c>
    </row>
    <row r="3020" customFormat="false" ht="15" hidden="false" customHeight="false" outlineLevel="0" collapsed="false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9"/>
      <c r="L3020" s="9"/>
      <c r="M3020" s="9"/>
      <c r="N3020" s="9"/>
      <c r="O3020" s="9"/>
      <c r="P3020" s="9"/>
      <c r="Q3020" s="9"/>
      <c r="R3020" s="9" t="str">
        <f aca="false">IF(AND(A3020&lt;&gt;"",ISNUMBER(Q3020),ISNUMBER(L3020)),ROUND(Q3020-IF(ISNUMBER(N3020),N3020,0)-IF(ISNUMBER(O3020),O3020,0)+IF(ISNUMBER(P3020),P3020,0),2),"")</f>
        <v/>
      </c>
      <c r="S3020" s="9" t="str">
        <f aca="false">IF(R3020="","",ROUND(L3020-R3020,2))</f>
        <v/>
      </c>
      <c r="T3020" s="8" t="str">
        <f aca="false">IF(A3020="","",IF(S3020="","BYPASS",IF(ABS(S3020)&lt;=Summary!$B$2,"PASS","FAIL")))</f>
        <v/>
      </c>
      <c r="U3020" s="8" t="str">
        <f aca="false">IF(T3020="BYPASS",IF(NOT(ISNUMBER(Q3020)),"PreV_ETB missing","End_tr_balance missing"),IF(T3020="FAIL",IF(AND(ISNUMBER(K3020),ISNUMBER(L3020),ABS(L3020-(K3020-IF(ISNUMBER(N3020),N3020,0)-IF(ISNUMBER(O3020),O3020,0)+IF(ISNUMBER(P3020),P3020,0)))&lt;=Summary!$B$2),"Passes using beginning_balance - PreV_ETB differs from beginning_balance",IF(AND(ISNUMBER(O3020),O3020&lt;0,ABS(L3020-(Q3020-IF(ISNUMBER(N3020),N3020,0)+IF(ISNUMBER(P3020),P3020,0)))&lt;=Summary!$B$2),"Negative realized loss not applied - check sign",IF(R3020&lt;0,"Principal paid exceeds prior balance",IF(AND(L3020&gt;Q3020,NOT(ISNUMBER(P3020))),"Balance increased but no Deferred_interest reported",IF(L3020&gt;R3020,"Reported balance higher than expected (missing increase/OC build)","Reported balance lower than expected (missing decrease)"))))),""))</f>
        <v/>
      </c>
    </row>
    <row r="3021" customFormat="false" ht="15" hidden="false" customHeight="false" outlineLevel="0" collapsed="false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9"/>
      <c r="L3021" s="9"/>
      <c r="M3021" s="9"/>
      <c r="N3021" s="9"/>
      <c r="O3021" s="9"/>
      <c r="P3021" s="9"/>
      <c r="Q3021" s="9"/>
      <c r="R3021" s="9" t="str">
        <f aca="false">IF(AND(A3021&lt;&gt;"",ISNUMBER(Q3021),ISNUMBER(L3021)),ROUND(Q3021-IF(ISNUMBER(N3021),N3021,0)-IF(ISNUMBER(O3021),O3021,0)+IF(ISNUMBER(P3021),P3021,0),2),"")</f>
        <v/>
      </c>
      <c r="S3021" s="9" t="str">
        <f aca="false">IF(R3021="","",ROUND(L3021-R3021,2))</f>
        <v/>
      </c>
      <c r="T3021" s="8" t="str">
        <f aca="false">IF(A3021="","",IF(S3021="","BYPASS",IF(ABS(S3021)&lt;=Summary!$B$2,"PASS","FAIL")))</f>
        <v/>
      </c>
      <c r="U3021" s="8" t="str">
        <f aca="false">IF(T3021="BYPASS",IF(NOT(ISNUMBER(Q3021)),"PreV_ETB missing","End_tr_balance missing"),IF(T3021="FAIL",IF(AND(ISNUMBER(K3021),ISNUMBER(L3021),ABS(L3021-(K3021-IF(ISNUMBER(N3021),N3021,0)-IF(ISNUMBER(O3021),O3021,0)+IF(ISNUMBER(P3021),P3021,0)))&lt;=Summary!$B$2),"Passes using beginning_balance - PreV_ETB differs from beginning_balance",IF(AND(ISNUMBER(O3021),O3021&lt;0,ABS(L3021-(Q3021-IF(ISNUMBER(N3021),N3021,0)+IF(ISNUMBER(P3021),P3021,0)))&lt;=Summary!$B$2),"Negative realized loss not applied - check sign",IF(R3021&lt;0,"Principal paid exceeds prior balance",IF(AND(L3021&gt;Q3021,NOT(ISNUMBER(P3021))),"Balance increased but no Deferred_interest reported",IF(L3021&gt;R3021,"Reported balance higher than expected (missing increase/OC build)","Reported balance lower than expected (missing decrease)"))))),""))</f>
        <v/>
      </c>
    </row>
    <row r="3022" customFormat="false" ht="15" hidden="false" customHeight="false" outlineLevel="0" collapsed="false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9"/>
      <c r="L3022" s="9"/>
      <c r="M3022" s="9"/>
      <c r="N3022" s="9"/>
      <c r="O3022" s="9"/>
      <c r="P3022" s="9"/>
      <c r="Q3022" s="9"/>
      <c r="R3022" s="9" t="str">
        <f aca="false">IF(AND(A3022&lt;&gt;"",ISNUMBER(Q3022),ISNUMBER(L3022)),ROUND(Q3022-IF(ISNUMBER(N3022),N3022,0)-IF(ISNUMBER(O3022),O3022,0)+IF(ISNUMBER(P3022),P3022,0),2),"")</f>
        <v/>
      </c>
      <c r="S3022" s="9" t="str">
        <f aca="false">IF(R3022="","",ROUND(L3022-R3022,2))</f>
        <v/>
      </c>
      <c r="T3022" s="8" t="str">
        <f aca="false">IF(A3022="","",IF(S3022="","BYPASS",IF(ABS(S3022)&lt;=Summary!$B$2,"PASS","FAIL")))</f>
        <v/>
      </c>
      <c r="U3022" s="8" t="str">
        <f aca="false">IF(T3022="BYPASS",IF(NOT(ISNUMBER(Q3022)),"PreV_ETB missing","End_tr_balance missing"),IF(T3022="FAIL",IF(AND(ISNUMBER(K3022),ISNUMBER(L3022),ABS(L3022-(K3022-IF(ISNUMBER(N3022),N3022,0)-IF(ISNUMBER(O3022),O3022,0)+IF(ISNUMBER(P3022),P3022,0)))&lt;=Summary!$B$2),"Passes using beginning_balance - PreV_ETB differs from beginning_balance",IF(AND(ISNUMBER(O3022),O3022&lt;0,ABS(L3022-(Q3022-IF(ISNUMBER(N3022),N3022,0)+IF(ISNUMBER(P3022),P3022,0)))&lt;=Summary!$B$2),"Negative realized loss not applied - check sign",IF(R3022&lt;0,"Principal paid exceeds prior balance",IF(AND(L3022&gt;Q3022,NOT(ISNUMBER(P3022))),"Balance increased but no Deferred_interest reported",IF(L3022&gt;R3022,"Reported balance higher than expected (missing increase/OC build)","Reported balance lower than expected (missing decrease)"))))),""))</f>
        <v/>
      </c>
    </row>
    <row r="3023" customFormat="false" ht="15" hidden="false" customHeight="false" outlineLevel="0" collapsed="false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9"/>
      <c r="L3023" s="9"/>
      <c r="M3023" s="9"/>
      <c r="N3023" s="9"/>
      <c r="O3023" s="9"/>
      <c r="P3023" s="9"/>
      <c r="Q3023" s="9"/>
      <c r="R3023" s="9" t="str">
        <f aca="false">IF(AND(A3023&lt;&gt;"",ISNUMBER(Q3023),ISNUMBER(L3023)),ROUND(Q3023-IF(ISNUMBER(N3023),N3023,0)-IF(ISNUMBER(O3023),O3023,0)+IF(ISNUMBER(P3023),P3023,0),2),"")</f>
        <v/>
      </c>
      <c r="S3023" s="9" t="str">
        <f aca="false">IF(R3023="","",ROUND(L3023-R3023,2))</f>
        <v/>
      </c>
      <c r="T3023" s="8" t="str">
        <f aca="false">IF(A3023="","",IF(S3023="","BYPASS",IF(ABS(S3023)&lt;=Summary!$B$2,"PASS","FAIL")))</f>
        <v/>
      </c>
      <c r="U3023" s="8" t="str">
        <f aca="false">IF(T3023="BYPASS",IF(NOT(ISNUMBER(Q3023)),"PreV_ETB missing","End_tr_balance missing"),IF(T3023="FAIL",IF(AND(ISNUMBER(K3023),ISNUMBER(L3023),ABS(L3023-(K3023-IF(ISNUMBER(N3023),N3023,0)-IF(ISNUMBER(O3023),O3023,0)+IF(ISNUMBER(P3023),P3023,0)))&lt;=Summary!$B$2),"Passes using beginning_balance - PreV_ETB differs from beginning_balance",IF(AND(ISNUMBER(O3023),O3023&lt;0,ABS(L3023-(Q3023-IF(ISNUMBER(N3023),N3023,0)+IF(ISNUMBER(P3023),P3023,0)))&lt;=Summary!$B$2),"Negative realized loss not applied - check sign",IF(R3023&lt;0,"Principal paid exceeds prior balance",IF(AND(L3023&gt;Q3023,NOT(ISNUMBER(P3023))),"Balance increased but no Deferred_interest reported",IF(L3023&gt;R3023,"Reported balance higher than expected (missing increase/OC build)","Reported balance lower than expected (missing decrease)"))))),""))</f>
        <v/>
      </c>
    </row>
    <row r="3024" customFormat="false" ht="15" hidden="false" customHeight="false" outlineLevel="0" collapsed="false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9"/>
      <c r="L3024" s="9"/>
      <c r="M3024" s="9"/>
      <c r="N3024" s="9"/>
      <c r="O3024" s="9"/>
      <c r="P3024" s="9"/>
      <c r="Q3024" s="9"/>
      <c r="R3024" s="9" t="str">
        <f aca="false">IF(AND(A3024&lt;&gt;"",ISNUMBER(Q3024),ISNUMBER(L3024)),ROUND(Q3024-IF(ISNUMBER(N3024),N3024,0)-IF(ISNUMBER(O3024),O3024,0)+IF(ISNUMBER(P3024),P3024,0),2),"")</f>
        <v/>
      </c>
      <c r="S3024" s="9" t="str">
        <f aca="false">IF(R3024="","",ROUND(L3024-R3024,2))</f>
        <v/>
      </c>
      <c r="T3024" s="8" t="str">
        <f aca="false">IF(A3024="","",IF(S3024="","BYPASS",IF(ABS(S3024)&lt;=Summary!$B$2,"PASS","FAIL")))</f>
        <v/>
      </c>
      <c r="U3024" s="8" t="str">
        <f aca="false">IF(T3024="BYPASS",IF(NOT(ISNUMBER(Q3024)),"PreV_ETB missing","End_tr_balance missing"),IF(T3024="FAIL",IF(AND(ISNUMBER(K3024),ISNUMBER(L3024),ABS(L3024-(K3024-IF(ISNUMBER(N3024),N3024,0)-IF(ISNUMBER(O3024),O3024,0)+IF(ISNUMBER(P3024),P3024,0)))&lt;=Summary!$B$2),"Passes using beginning_balance - PreV_ETB differs from beginning_balance",IF(AND(ISNUMBER(O3024),O3024&lt;0,ABS(L3024-(Q3024-IF(ISNUMBER(N3024),N3024,0)+IF(ISNUMBER(P3024),P3024,0)))&lt;=Summary!$B$2),"Negative realized loss not applied - check sign",IF(R3024&lt;0,"Principal paid exceeds prior balance",IF(AND(L3024&gt;Q3024,NOT(ISNUMBER(P3024))),"Balance increased but no Deferred_interest reported",IF(L3024&gt;R3024,"Reported balance higher than expected (missing increase/OC build)","Reported balance lower than expected (missing decrease)"))))),""))</f>
        <v/>
      </c>
    </row>
    <row r="3025" customFormat="false" ht="15" hidden="false" customHeight="false" outlineLevel="0" collapsed="false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9"/>
      <c r="L3025" s="9"/>
      <c r="M3025" s="9"/>
      <c r="N3025" s="9"/>
      <c r="O3025" s="9"/>
      <c r="P3025" s="9"/>
      <c r="Q3025" s="9"/>
      <c r="R3025" s="9" t="str">
        <f aca="false">IF(AND(A3025&lt;&gt;"",ISNUMBER(Q3025),ISNUMBER(L3025)),ROUND(Q3025-IF(ISNUMBER(N3025),N3025,0)-IF(ISNUMBER(O3025),O3025,0)+IF(ISNUMBER(P3025),P3025,0),2),"")</f>
        <v/>
      </c>
      <c r="S3025" s="9" t="str">
        <f aca="false">IF(R3025="","",ROUND(L3025-R3025,2))</f>
        <v/>
      </c>
      <c r="T3025" s="8" t="str">
        <f aca="false">IF(A3025="","",IF(S3025="","BYPASS",IF(ABS(S3025)&lt;=Summary!$B$2,"PASS","FAIL")))</f>
        <v/>
      </c>
      <c r="U3025" s="8" t="str">
        <f aca="false">IF(T3025="BYPASS",IF(NOT(ISNUMBER(Q3025)),"PreV_ETB missing","End_tr_balance missing"),IF(T3025="FAIL",IF(AND(ISNUMBER(K3025),ISNUMBER(L3025),ABS(L3025-(K3025-IF(ISNUMBER(N3025),N3025,0)-IF(ISNUMBER(O3025),O3025,0)+IF(ISNUMBER(P3025),P3025,0)))&lt;=Summary!$B$2),"Passes using beginning_balance - PreV_ETB differs from beginning_balance",IF(AND(ISNUMBER(O3025),O3025&lt;0,ABS(L3025-(Q3025-IF(ISNUMBER(N3025),N3025,0)+IF(ISNUMBER(P3025),P3025,0)))&lt;=Summary!$B$2),"Negative realized loss not applied - check sign",IF(R3025&lt;0,"Principal paid exceeds prior balance",IF(AND(L3025&gt;Q3025,NOT(ISNUMBER(P3025))),"Balance increased but no Deferred_interest reported",IF(L3025&gt;R3025,"Reported balance higher than expected (missing increase/OC build)","Reported balance lower than expected (missing decrease)"))))),""))</f>
        <v/>
      </c>
    </row>
    <row r="3026" customFormat="false" ht="15" hidden="false" customHeight="false" outlineLevel="0" collapsed="false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9"/>
      <c r="L3026" s="9"/>
      <c r="M3026" s="9"/>
      <c r="N3026" s="9"/>
      <c r="O3026" s="9"/>
      <c r="P3026" s="9"/>
      <c r="Q3026" s="9"/>
      <c r="R3026" s="9" t="str">
        <f aca="false">IF(AND(A3026&lt;&gt;"",ISNUMBER(Q3026),ISNUMBER(L3026)),ROUND(Q3026-IF(ISNUMBER(N3026),N3026,0)-IF(ISNUMBER(O3026),O3026,0)+IF(ISNUMBER(P3026),P3026,0),2),"")</f>
        <v/>
      </c>
      <c r="S3026" s="9" t="str">
        <f aca="false">IF(R3026="","",ROUND(L3026-R3026,2))</f>
        <v/>
      </c>
      <c r="T3026" s="8" t="str">
        <f aca="false">IF(A3026="","",IF(S3026="","BYPASS",IF(ABS(S3026)&lt;=Summary!$B$2,"PASS","FAIL")))</f>
        <v/>
      </c>
      <c r="U3026" s="8" t="str">
        <f aca="false">IF(T3026="BYPASS",IF(NOT(ISNUMBER(Q3026)),"PreV_ETB missing","End_tr_balance missing"),IF(T3026="FAIL",IF(AND(ISNUMBER(K3026),ISNUMBER(L3026),ABS(L3026-(K3026-IF(ISNUMBER(N3026),N3026,0)-IF(ISNUMBER(O3026),O3026,0)+IF(ISNUMBER(P3026),P3026,0)))&lt;=Summary!$B$2),"Passes using beginning_balance - PreV_ETB differs from beginning_balance",IF(AND(ISNUMBER(O3026),O3026&lt;0,ABS(L3026-(Q3026-IF(ISNUMBER(N3026),N3026,0)+IF(ISNUMBER(P3026),P3026,0)))&lt;=Summary!$B$2),"Negative realized loss not applied - check sign",IF(R3026&lt;0,"Principal paid exceeds prior balance",IF(AND(L3026&gt;Q3026,NOT(ISNUMBER(P3026))),"Balance increased but no Deferred_interest reported",IF(L3026&gt;R3026,"Reported balance higher than expected (missing increase/OC build)","Reported balance lower than expected (missing decrease)"))))),""))</f>
        <v/>
      </c>
    </row>
    <row r="3027" customFormat="false" ht="15" hidden="false" customHeight="false" outlineLevel="0" collapsed="false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9"/>
      <c r="L3027" s="9"/>
      <c r="M3027" s="9"/>
      <c r="N3027" s="9"/>
      <c r="O3027" s="9"/>
      <c r="P3027" s="9"/>
      <c r="Q3027" s="9"/>
      <c r="R3027" s="9" t="str">
        <f aca="false">IF(AND(A3027&lt;&gt;"",ISNUMBER(Q3027),ISNUMBER(L3027)),ROUND(Q3027-IF(ISNUMBER(N3027),N3027,0)-IF(ISNUMBER(O3027),O3027,0)+IF(ISNUMBER(P3027),P3027,0),2),"")</f>
        <v/>
      </c>
      <c r="S3027" s="9" t="str">
        <f aca="false">IF(R3027="","",ROUND(L3027-R3027,2))</f>
        <v/>
      </c>
      <c r="T3027" s="8" t="str">
        <f aca="false">IF(A3027="","",IF(S3027="","BYPASS",IF(ABS(S3027)&lt;=Summary!$B$2,"PASS","FAIL")))</f>
        <v/>
      </c>
      <c r="U3027" s="8" t="str">
        <f aca="false">IF(T3027="BYPASS",IF(NOT(ISNUMBER(Q3027)),"PreV_ETB missing","End_tr_balance missing"),IF(T3027="FAIL",IF(AND(ISNUMBER(K3027),ISNUMBER(L3027),ABS(L3027-(K3027-IF(ISNUMBER(N3027),N3027,0)-IF(ISNUMBER(O3027),O3027,0)+IF(ISNUMBER(P3027),P3027,0)))&lt;=Summary!$B$2),"Passes using beginning_balance - PreV_ETB differs from beginning_balance",IF(AND(ISNUMBER(O3027),O3027&lt;0,ABS(L3027-(Q3027-IF(ISNUMBER(N3027),N3027,0)+IF(ISNUMBER(P3027),P3027,0)))&lt;=Summary!$B$2),"Negative realized loss not applied - check sign",IF(R3027&lt;0,"Principal paid exceeds prior balance",IF(AND(L3027&gt;Q3027,NOT(ISNUMBER(P3027))),"Balance increased but no Deferred_interest reported",IF(L3027&gt;R3027,"Reported balance higher than expected (missing increase/OC build)","Reported balance lower than expected (missing decrease)"))))),""))</f>
        <v/>
      </c>
    </row>
    <row r="3028" customFormat="false" ht="15" hidden="false" customHeight="false" outlineLevel="0" collapsed="false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9"/>
      <c r="L3028" s="9"/>
      <c r="M3028" s="9"/>
      <c r="N3028" s="9"/>
      <c r="O3028" s="9"/>
      <c r="P3028" s="9"/>
      <c r="Q3028" s="9"/>
      <c r="R3028" s="9" t="str">
        <f aca="false">IF(AND(A3028&lt;&gt;"",ISNUMBER(Q3028),ISNUMBER(L3028)),ROUND(Q3028-IF(ISNUMBER(N3028),N3028,0)-IF(ISNUMBER(O3028),O3028,0)+IF(ISNUMBER(P3028),P3028,0),2),"")</f>
        <v/>
      </c>
      <c r="S3028" s="9" t="str">
        <f aca="false">IF(R3028="","",ROUND(L3028-R3028,2))</f>
        <v/>
      </c>
      <c r="T3028" s="8" t="str">
        <f aca="false">IF(A3028="","",IF(S3028="","BYPASS",IF(ABS(S3028)&lt;=Summary!$B$2,"PASS","FAIL")))</f>
        <v/>
      </c>
      <c r="U3028" s="8" t="str">
        <f aca="false">IF(T3028="BYPASS",IF(NOT(ISNUMBER(Q3028)),"PreV_ETB missing","End_tr_balance missing"),IF(T3028="FAIL",IF(AND(ISNUMBER(K3028),ISNUMBER(L3028),ABS(L3028-(K3028-IF(ISNUMBER(N3028),N3028,0)-IF(ISNUMBER(O3028),O3028,0)+IF(ISNUMBER(P3028),P3028,0)))&lt;=Summary!$B$2),"Passes using beginning_balance - PreV_ETB differs from beginning_balance",IF(AND(ISNUMBER(O3028),O3028&lt;0,ABS(L3028-(Q3028-IF(ISNUMBER(N3028),N3028,0)+IF(ISNUMBER(P3028),P3028,0)))&lt;=Summary!$B$2),"Negative realized loss not applied - check sign",IF(R3028&lt;0,"Principal paid exceeds prior balance",IF(AND(L3028&gt;Q3028,NOT(ISNUMBER(P3028))),"Balance increased but no Deferred_interest reported",IF(L3028&gt;R3028,"Reported balance higher than expected (missing increase/OC build)","Reported balance lower than expected (missing decrease)"))))),""))</f>
        <v/>
      </c>
    </row>
    <row r="3029" customFormat="false" ht="15" hidden="false" customHeight="false" outlineLevel="0" collapsed="false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9"/>
      <c r="L3029" s="9"/>
      <c r="M3029" s="9"/>
      <c r="N3029" s="9"/>
      <c r="O3029" s="9"/>
      <c r="P3029" s="9"/>
      <c r="Q3029" s="9"/>
      <c r="R3029" s="9" t="str">
        <f aca="false">IF(AND(A3029&lt;&gt;"",ISNUMBER(Q3029),ISNUMBER(L3029)),ROUND(Q3029-IF(ISNUMBER(N3029),N3029,0)-IF(ISNUMBER(O3029),O3029,0)+IF(ISNUMBER(P3029),P3029,0),2),"")</f>
        <v/>
      </c>
      <c r="S3029" s="9" t="str">
        <f aca="false">IF(R3029="","",ROUND(L3029-R3029,2))</f>
        <v/>
      </c>
      <c r="T3029" s="8" t="str">
        <f aca="false">IF(A3029="","",IF(S3029="","BYPASS",IF(ABS(S3029)&lt;=Summary!$B$2,"PASS","FAIL")))</f>
        <v/>
      </c>
      <c r="U3029" s="8" t="str">
        <f aca="false">IF(T3029="BYPASS",IF(NOT(ISNUMBER(Q3029)),"PreV_ETB missing","End_tr_balance missing"),IF(T3029="FAIL",IF(AND(ISNUMBER(K3029),ISNUMBER(L3029),ABS(L3029-(K3029-IF(ISNUMBER(N3029),N3029,0)-IF(ISNUMBER(O3029),O3029,0)+IF(ISNUMBER(P3029),P3029,0)))&lt;=Summary!$B$2),"Passes using beginning_balance - PreV_ETB differs from beginning_balance",IF(AND(ISNUMBER(O3029),O3029&lt;0,ABS(L3029-(Q3029-IF(ISNUMBER(N3029),N3029,0)+IF(ISNUMBER(P3029),P3029,0)))&lt;=Summary!$B$2),"Negative realized loss not applied - check sign",IF(R3029&lt;0,"Principal paid exceeds prior balance",IF(AND(L3029&gt;Q3029,NOT(ISNUMBER(P3029))),"Balance increased but no Deferred_interest reported",IF(L3029&gt;R3029,"Reported balance higher than expected (missing increase/OC build)","Reported balance lower than expected (missing decrease)"))))),""))</f>
        <v/>
      </c>
    </row>
    <row r="3030" customFormat="false" ht="15" hidden="false" customHeight="false" outlineLevel="0" collapsed="false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9"/>
      <c r="L3030" s="9"/>
      <c r="M3030" s="9"/>
      <c r="N3030" s="9"/>
      <c r="O3030" s="9"/>
      <c r="P3030" s="9"/>
      <c r="Q3030" s="9"/>
      <c r="R3030" s="9" t="str">
        <f aca="false">IF(AND(A3030&lt;&gt;"",ISNUMBER(Q3030),ISNUMBER(L3030)),ROUND(Q3030-IF(ISNUMBER(N3030),N3030,0)-IF(ISNUMBER(O3030),O3030,0)+IF(ISNUMBER(P3030),P3030,0),2),"")</f>
        <v/>
      </c>
      <c r="S3030" s="9" t="str">
        <f aca="false">IF(R3030="","",ROUND(L3030-R3030,2))</f>
        <v/>
      </c>
      <c r="T3030" s="8" t="str">
        <f aca="false">IF(A3030="","",IF(S3030="","BYPASS",IF(ABS(S3030)&lt;=Summary!$B$2,"PASS","FAIL")))</f>
        <v/>
      </c>
      <c r="U3030" s="8" t="str">
        <f aca="false">IF(T3030="BYPASS",IF(NOT(ISNUMBER(Q3030)),"PreV_ETB missing","End_tr_balance missing"),IF(T3030="FAIL",IF(AND(ISNUMBER(K3030),ISNUMBER(L3030),ABS(L3030-(K3030-IF(ISNUMBER(N3030),N3030,0)-IF(ISNUMBER(O3030),O3030,0)+IF(ISNUMBER(P3030),P3030,0)))&lt;=Summary!$B$2),"Passes using beginning_balance - PreV_ETB differs from beginning_balance",IF(AND(ISNUMBER(O3030),O3030&lt;0,ABS(L3030-(Q3030-IF(ISNUMBER(N3030),N3030,0)+IF(ISNUMBER(P3030),P3030,0)))&lt;=Summary!$B$2),"Negative realized loss not applied - check sign",IF(R3030&lt;0,"Principal paid exceeds prior balance",IF(AND(L3030&gt;Q3030,NOT(ISNUMBER(P3030))),"Balance increased but no Deferred_interest reported",IF(L3030&gt;R3030,"Reported balance higher than expected (missing increase/OC build)","Reported balance lower than expected (missing decrease)"))))),""))</f>
        <v/>
      </c>
    </row>
    <row r="3031" customFormat="false" ht="15" hidden="false" customHeight="false" outlineLevel="0" collapsed="false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9"/>
      <c r="L3031" s="9"/>
      <c r="M3031" s="9"/>
      <c r="N3031" s="9"/>
      <c r="O3031" s="9"/>
      <c r="P3031" s="9"/>
      <c r="Q3031" s="9"/>
      <c r="R3031" s="9" t="str">
        <f aca="false">IF(AND(A3031&lt;&gt;"",ISNUMBER(Q3031),ISNUMBER(L3031)),ROUND(Q3031-IF(ISNUMBER(N3031),N3031,0)-IF(ISNUMBER(O3031),O3031,0)+IF(ISNUMBER(P3031),P3031,0),2),"")</f>
        <v/>
      </c>
      <c r="S3031" s="9" t="str">
        <f aca="false">IF(R3031="","",ROUND(L3031-R3031,2))</f>
        <v/>
      </c>
      <c r="T3031" s="8" t="str">
        <f aca="false">IF(A3031="","",IF(S3031="","BYPASS",IF(ABS(S3031)&lt;=Summary!$B$2,"PASS","FAIL")))</f>
        <v/>
      </c>
      <c r="U3031" s="8" t="str">
        <f aca="false">IF(T3031="BYPASS",IF(NOT(ISNUMBER(Q3031)),"PreV_ETB missing","End_tr_balance missing"),IF(T3031="FAIL",IF(AND(ISNUMBER(K3031),ISNUMBER(L3031),ABS(L3031-(K3031-IF(ISNUMBER(N3031),N3031,0)-IF(ISNUMBER(O3031),O3031,0)+IF(ISNUMBER(P3031),P3031,0)))&lt;=Summary!$B$2),"Passes using beginning_balance - PreV_ETB differs from beginning_balance",IF(AND(ISNUMBER(O3031),O3031&lt;0,ABS(L3031-(Q3031-IF(ISNUMBER(N3031),N3031,0)+IF(ISNUMBER(P3031),P3031,0)))&lt;=Summary!$B$2),"Negative realized loss not applied - check sign",IF(R3031&lt;0,"Principal paid exceeds prior balance",IF(AND(L3031&gt;Q3031,NOT(ISNUMBER(P3031))),"Balance increased but no Deferred_interest reported",IF(L3031&gt;R3031,"Reported balance higher than expected (missing increase/OC build)","Reported balance lower than expected (missing decrease)"))))),""))</f>
        <v/>
      </c>
    </row>
    <row r="3032" customFormat="false" ht="15" hidden="false" customHeight="false" outlineLevel="0" collapsed="false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9"/>
      <c r="L3032" s="9"/>
      <c r="M3032" s="9"/>
      <c r="N3032" s="9"/>
      <c r="O3032" s="9"/>
      <c r="P3032" s="9"/>
      <c r="Q3032" s="9"/>
      <c r="R3032" s="9" t="str">
        <f aca="false">IF(AND(A3032&lt;&gt;"",ISNUMBER(Q3032),ISNUMBER(L3032)),ROUND(Q3032-IF(ISNUMBER(N3032),N3032,0)-IF(ISNUMBER(O3032),O3032,0)+IF(ISNUMBER(P3032),P3032,0),2),"")</f>
        <v/>
      </c>
      <c r="S3032" s="9" t="str">
        <f aca="false">IF(R3032="","",ROUND(L3032-R3032,2))</f>
        <v/>
      </c>
      <c r="T3032" s="8" t="str">
        <f aca="false">IF(A3032="","",IF(S3032="","BYPASS",IF(ABS(S3032)&lt;=Summary!$B$2,"PASS","FAIL")))</f>
        <v/>
      </c>
      <c r="U3032" s="8" t="str">
        <f aca="false">IF(T3032="BYPASS",IF(NOT(ISNUMBER(Q3032)),"PreV_ETB missing","End_tr_balance missing"),IF(T3032="FAIL",IF(AND(ISNUMBER(K3032),ISNUMBER(L3032),ABS(L3032-(K3032-IF(ISNUMBER(N3032),N3032,0)-IF(ISNUMBER(O3032),O3032,0)+IF(ISNUMBER(P3032),P3032,0)))&lt;=Summary!$B$2),"Passes using beginning_balance - PreV_ETB differs from beginning_balance",IF(AND(ISNUMBER(O3032),O3032&lt;0,ABS(L3032-(Q3032-IF(ISNUMBER(N3032),N3032,0)+IF(ISNUMBER(P3032),P3032,0)))&lt;=Summary!$B$2),"Negative realized loss not applied - check sign",IF(R3032&lt;0,"Principal paid exceeds prior balance",IF(AND(L3032&gt;Q3032,NOT(ISNUMBER(P3032))),"Balance increased but no Deferred_interest reported",IF(L3032&gt;R3032,"Reported balance higher than expected (missing increase/OC build)","Reported balance lower than expected (missing decrease)"))))),""))</f>
        <v/>
      </c>
    </row>
    <row r="3033" customFormat="false" ht="15" hidden="false" customHeight="false" outlineLevel="0" collapsed="false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9"/>
      <c r="L3033" s="9"/>
      <c r="M3033" s="9"/>
      <c r="N3033" s="9"/>
      <c r="O3033" s="9"/>
      <c r="P3033" s="9"/>
      <c r="Q3033" s="9"/>
      <c r="R3033" s="9" t="str">
        <f aca="false">IF(AND(A3033&lt;&gt;"",ISNUMBER(Q3033),ISNUMBER(L3033)),ROUND(Q3033-IF(ISNUMBER(N3033),N3033,0)-IF(ISNUMBER(O3033),O3033,0)+IF(ISNUMBER(P3033),P3033,0),2),"")</f>
        <v/>
      </c>
      <c r="S3033" s="9" t="str">
        <f aca="false">IF(R3033="","",ROUND(L3033-R3033,2))</f>
        <v/>
      </c>
      <c r="T3033" s="8" t="str">
        <f aca="false">IF(A3033="","",IF(S3033="","BYPASS",IF(ABS(S3033)&lt;=Summary!$B$2,"PASS","FAIL")))</f>
        <v/>
      </c>
      <c r="U3033" s="8" t="str">
        <f aca="false">IF(T3033="BYPASS",IF(NOT(ISNUMBER(Q3033)),"PreV_ETB missing","End_tr_balance missing"),IF(T3033="FAIL",IF(AND(ISNUMBER(K3033),ISNUMBER(L3033),ABS(L3033-(K3033-IF(ISNUMBER(N3033),N3033,0)-IF(ISNUMBER(O3033),O3033,0)+IF(ISNUMBER(P3033),P3033,0)))&lt;=Summary!$B$2),"Passes using beginning_balance - PreV_ETB differs from beginning_balance",IF(AND(ISNUMBER(O3033),O3033&lt;0,ABS(L3033-(Q3033-IF(ISNUMBER(N3033),N3033,0)+IF(ISNUMBER(P3033),P3033,0)))&lt;=Summary!$B$2),"Negative realized loss not applied - check sign",IF(R3033&lt;0,"Principal paid exceeds prior balance",IF(AND(L3033&gt;Q3033,NOT(ISNUMBER(P3033))),"Balance increased but no Deferred_interest reported",IF(L3033&gt;R3033,"Reported balance higher than expected (missing increase/OC build)","Reported balance lower than expected (missing decrease)"))))),""))</f>
        <v/>
      </c>
    </row>
    <row r="3034" customFormat="false" ht="15" hidden="false" customHeight="false" outlineLevel="0" collapsed="false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9"/>
      <c r="L3034" s="9"/>
      <c r="M3034" s="9"/>
      <c r="N3034" s="9"/>
      <c r="O3034" s="9"/>
      <c r="P3034" s="9"/>
      <c r="Q3034" s="9"/>
      <c r="R3034" s="9" t="str">
        <f aca="false">IF(AND(A3034&lt;&gt;"",ISNUMBER(Q3034),ISNUMBER(L3034)),ROUND(Q3034-IF(ISNUMBER(N3034),N3034,0)-IF(ISNUMBER(O3034),O3034,0)+IF(ISNUMBER(P3034),P3034,0),2),"")</f>
        <v/>
      </c>
      <c r="S3034" s="9" t="str">
        <f aca="false">IF(R3034="","",ROUND(L3034-R3034,2))</f>
        <v/>
      </c>
      <c r="T3034" s="8" t="str">
        <f aca="false">IF(A3034="","",IF(S3034="","BYPASS",IF(ABS(S3034)&lt;=Summary!$B$2,"PASS","FAIL")))</f>
        <v/>
      </c>
      <c r="U3034" s="8" t="str">
        <f aca="false">IF(T3034="BYPASS",IF(NOT(ISNUMBER(Q3034)),"PreV_ETB missing","End_tr_balance missing"),IF(T3034="FAIL",IF(AND(ISNUMBER(K3034),ISNUMBER(L3034),ABS(L3034-(K3034-IF(ISNUMBER(N3034),N3034,0)-IF(ISNUMBER(O3034),O3034,0)+IF(ISNUMBER(P3034),P3034,0)))&lt;=Summary!$B$2),"Passes using beginning_balance - PreV_ETB differs from beginning_balance",IF(AND(ISNUMBER(O3034),O3034&lt;0,ABS(L3034-(Q3034-IF(ISNUMBER(N3034),N3034,0)+IF(ISNUMBER(P3034),P3034,0)))&lt;=Summary!$B$2),"Negative realized loss not applied - check sign",IF(R3034&lt;0,"Principal paid exceeds prior balance",IF(AND(L3034&gt;Q3034,NOT(ISNUMBER(P3034))),"Balance increased but no Deferred_interest reported",IF(L3034&gt;R3034,"Reported balance higher than expected (missing increase/OC build)","Reported balance lower than expected (missing decrease)"))))),""))</f>
        <v/>
      </c>
    </row>
    <row r="3035" customFormat="false" ht="15" hidden="false" customHeight="false" outlineLevel="0" collapsed="false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9"/>
      <c r="L3035" s="9"/>
      <c r="M3035" s="9"/>
      <c r="N3035" s="9"/>
      <c r="O3035" s="9"/>
      <c r="P3035" s="9"/>
      <c r="Q3035" s="9"/>
      <c r="R3035" s="9" t="str">
        <f aca="false">IF(AND(A3035&lt;&gt;"",ISNUMBER(Q3035),ISNUMBER(L3035)),ROUND(Q3035-IF(ISNUMBER(N3035),N3035,0)-IF(ISNUMBER(O3035),O3035,0)+IF(ISNUMBER(P3035),P3035,0),2),"")</f>
        <v/>
      </c>
      <c r="S3035" s="9" t="str">
        <f aca="false">IF(R3035="","",ROUND(L3035-R3035,2))</f>
        <v/>
      </c>
      <c r="T3035" s="8" t="str">
        <f aca="false">IF(A3035="","",IF(S3035="","BYPASS",IF(ABS(S3035)&lt;=Summary!$B$2,"PASS","FAIL")))</f>
        <v/>
      </c>
      <c r="U3035" s="8" t="str">
        <f aca="false">IF(T3035="BYPASS",IF(NOT(ISNUMBER(Q3035)),"PreV_ETB missing","End_tr_balance missing"),IF(T3035="FAIL",IF(AND(ISNUMBER(K3035),ISNUMBER(L3035),ABS(L3035-(K3035-IF(ISNUMBER(N3035),N3035,0)-IF(ISNUMBER(O3035),O3035,0)+IF(ISNUMBER(P3035),P3035,0)))&lt;=Summary!$B$2),"Passes using beginning_balance - PreV_ETB differs from beginning_balance",IF(AND(ISNUMBER(O3035),O3035&lt;0,ABS(L3035-(Q3035-IF(ISNUMBER(N3035),N3035,0)+IF(ISNUMBER(P3035),P3035,0)))&lt;=Summary!$B$2),"Negative realized loss not applied - check sign",IF(R3035&lt;0,"Principal paid exceeds prior balance",IF(AND(L3035&gt;Q3035,NOT(ISNUMBER(P3035))),"Balance increased but no Deferred_interest reported",IF(L3035&gt;R3035,"Reported balance higher than expected (missing increase/OC build)","Reported balance lower than expected (missing decrease)"))))),""))</f>
        <v/>
      </c>
    </row>
    <row r="3036" customFormat="false" ht="15" hidden="false" customHeight="false" outlineLevel="0" collapsed="false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9"/>
      <c r="L3036" s="9"/>
      <c r="M3036" s="9"/>
      <c r="N3036" s="9"/>
      <c r="O3036" s="9"/>
      <c r="P3036" s="9"/>
      <c r="Q3036" s="9"/>
      <c r="R3036" s="9" t="str">
        <f aca="false">IF(AND(A3036&lt;&gt;"",ISNUMBER(Q3036),ISNUMBER(L3036)),ROUND(Q3036-IF(ISNUMBER(N3036),N3036,0)-IF(ISNUMBER(O3036),O3036,0)+IF(ISNUMBER(P3036),P3036,0),2),"")</f>
        <v/>
      </c>
      <c r="S3036" s="9" t="str">
        <f aca="false">IF(R3036="","",ROUND(L3036-R3036,2))</f>
        <v/>
      </c>
      <c r="T3036" s="8" t="str">
        <f aca="false">IF(A3036="","",IF(S3036="","BYPASS",IF(ABS(S3036)&lt;=Summary!$B$2,"PASS","FAIL")))</f>
        <v/>
      </c>
      <c r="U3036" s="8" t="str">
        <f aca="false">IF(T3036="BYPASS",IF(NOT(ISNUMBER(Q3036)),"PreV_ETB missing","End_tr_balance missing"),IF(T3036="FAIL",IF(AND(ISNUMBER(K3036),ISNUMBER(L3036),ABS(L3036-(K3036-IF(ISNUMBER(N3036),N3036,0)-IF(ISNUMBER(O3036),O3036,0)+IF(ISNUMBER(P3036),P3036,0)))&lt;=Summary!$B$2),"Passes using beginning_balance - PreV_ETB differs from beginning_balance",IF(AND(ISNUMBER(O3036),O3036&lt;0,ABS(L3036-(Q3036-IF(ISNUMBER(N3036),N3036,0)+IF(ISNUMBER(P3036),P3036,0)))&lt;=Summary!$B$2),"Negative realized loss not applied - check sign",IF(R3036&lt;0,"Principal paid exceeds prior balance",IF(AND(L3036&gt;Q3036,NOT(ISNUMBER(P3036))),"Balance increased but no Deferred_interest reported",IF(L3036&gt;R3036,"Reported balance higher than expected (missing increase/OC build)","Reported balance lower than expected (missing decrease)"))))),""))</f>
        <v/>
      </c>
    </row>
    <row r="3037" customFormat="false" ht="15" hidden="false" customHeight="false" outlineLevel="0" collapsed="false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9"/>
      <c r="L3037" s="9"/>
      <c r="M3037" s="9"/>
      <c r="N3037" s="9"/>
      <c r="O3037" s="9"/>
      <c r="P3037" s="9"/>
      <c r="Q3037" s="9"/>
      <c r="R3037" s="9" t="str">
        <f aca="false">IF(AND(A3037&lt;&gt;"",ISNUMBER(Q3037),ISNUMBER(L3037)),ROUND(Q3037-IF(ISNUMBER(N3037),N3037,0)-IF(ISNUMBER(O3037),O3037,0)+IF(ISNUMBER(P3037),P3037,0),2),"")</f>
        <v/>
      </c>
      <c r="S3037" s="9" t="str">
        <f aca="false">IF(R3037="","",ROUND(L3037-R3037,2))</f>
        <v/>
      </c>
      <c r="T3037" s="8" t="str">
        <f aca="false">IF(A3037="","",IF(S3037="","BYPASS",IF(ABS(S3037)&lt;=Summary!$B$2,"PASS","FAIL")))</f>
        <v/>
      </c>
      <c r="U3037" s="8" t="str">
        <f aca="false">IF(T3037="BYPASS",IF(NOT(ISNUMBER(Q3037)),"PreV_ETB missing","End_tr_balance missing"),IF(T3037="FAIL",IF(AND(ISNUMBER(K3037),ISNUMBER(L3037),ABS(L3037-(K3037-IF(ISNUMBER(N3037),N3037,0)-IF(ISNUMBER(O3037),O3037,0)+IF(ISNUMBER(P3037),P3037,0)))&lt;=Summary!$B$2),"Passes using beginning_balance - PreV_ETB differs from beginning_balance",IF(AND(ISNUMBER(O3037),O3037&lt;0,ABS(L3037-(Q3037-IF(ISNUMBER(N3037),N3037,0)+IF(ISNUMBER(P3037),P3037,0)))&lt;=Summary!$B$2),"Negative realized loss not applied - check sign",IF(R3037&lt;0,"Principal paid exceeds prior balance",IF(AND(L3037&gt;Q3037,NOT(ISNUMBER(P3037))),"Balance increased but no Deferred_interest reported",IF(L3037&gt;R3037,"Reported balance higher than expected (missing increase/OC build)","Reported balance lower than expected (missing decrease)"))))),""))</f>
        <v/>
      </c>
    </row>
    <row r="3038" customFormat="false" ht="15" hidden="false" customHeight="false" outlineLevel="0" collapsed="false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9"/>
      <c r="L3038" s="9"/>
      <c r="M3038" s="9"/>
      <c r="N3038" s="9"/>
      <c r="O3038" s="9"/>
      <c r="P3038" s="9"/>
      <c r="Q3038" s="9"/>
      <c r="R3038" s="9" t="str">
        <f aca="false">IF(AND(A3038&lt;&gt;"",ISNUMBER(Q3038),ISNUMBER(L3038)),ROUND(Q3038-IF(ISNUMBER(N3038),N3038,0)-IF(ISNUMBER(O3038),O3038,0)+IF(ISNUMBER(P3038),P3038,0),2),"")</f>
        <v/>
      </c>
      <c r="S3038" s="9" t="str">
        <f aca="false">IF(R3038="","",ROUND(L3038-R3038,2))</f>
        <v/>
      </c>
      <c r="T3038" s="8" t="str">
        <f aca="false">IF(A3038="","",IF(S3038="","BYPASS",IF(ABS(S3038)&lt;=Summary!$B$2,"PASS","FAIL")))</f>
        <v/>
      </c>
      <c r="U3038" s="8" t="str">
        <f aca="false">IF(T3038="BYPASS",IF(NOT(ISNUMBER(Q3038)),"PreV_ETB missing","End_tr_balance missing"),IF(T3038="FAIL",IF(AND(ISNUMBER(K3038),ISNUMBER(L3038),ABS(L3038-(K3038-IF(ISNUMBER(N3038),N3038,0)-IF(ISNUMBER(O3038),O3038,0)+IF(ISNUMBER(P3038),P3038,0)))&lt;=Summary!$B$2),"Passes using beginning_balance - PreV_ETB differs from beginning_balance",IF(AND(ISNUMBER(O3038),O3038&lt;0,ABS(L3038-(Q3038-IF(ISNUMBER(N3038),N3038,0)+IF(ISNUMBER(P3038),P3038,0)))&lt;=Summary!$B$2),"Negative realized loss not applied - check sign",IF(R3038&lt;0,"Principal paid exceeds prior balance",IF(AND(L3038&gt;Q3038,NOT(ISNUMBER(P3038))),"Balance increased but no Deferred_interest reported",IF(L3038&gt;R3038,"Reported balance higher than expected (missing increase/OC build)","Reported balance lower than expected (missing decrease)"))))),""))</f>
        <v/>
      </c>
    </row>
    <row r="3039" customFormat="false" ht="15" hidden="false" customHeight="false" outlineLevel="0" collapsed="false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9"/>
      <c r="L3039" s="9"/>
      <c r="M3039" s="9"/>
      <c r="N3039" s="9"/>
      <c r="O3039" s="9"/>
      <c r="P3039" s="9"/>
      <c r="Q3039" s="9"/>
      <c r="R3039" s="9" t="str">
        <f aca="false">IF(AND(A3039&lt;&gt;"",ISNUMBER(Q3039),ISNUMBER(L3039)),ROUND(Q3039-IF(ISNUMBER(N3039),N3039,0)-IF(ISNUMBER(O3039),O3039,0)+IF(ISNUMBER(P3039),P3039,0),2),"")</f>
        <v/>
      </c>
      <c r="S3039" s="9" t="str">
        <f aca="false">IF(R3039="","",ROUND(L3039-R3039,2))</f>
        <v/>
      </c>
      <c r="T3039" s="8" t="str">
        <f aca="false">IF(A3039="","",IF(S3039="","BYPASS",IF(ABS(S3039)&lt;=Summary!$B$2,"PASS","FAIL")))</f>
        <v/>
      </c>
      <c r="U3039" s="8" t="str">
        <f aca="false">IF(T3039="BYPASS",IF(NOT(ISNUMBER(Q3039)),"PreV_ETB missing","End_tr_balance missing"),IF(T3039="FAIL",IF(AND(ISNUMBER(K3039),ISNUMBER(L3039),ABS(L3039-(K3039-IF(ISNUMBER(N3039),N3039,0)-IF(ISNUMBER(O3039),O3039,0)+IF(ISNUMBER(P3039),P3039,0)))&lt;=Summary!$B$2),"Passes using beginning_balance - PreV_ETB differs from beginning_balance",IF(AND(ISNUMBER(O3039),O3039&lt;0,ABS(L3039-(Q3039-IF(ISNUMBER(N3039),N3039,0)+IF(ISNUMBER(P3039),P3039,0)))&lt;=Summary!$B$2),"Negative realized loss not applied - check sign",IF(R3039&lt;0,"Principal paid exceeds prior balance",IF(AND(L3039&gt;Q3039,NOT(ISNUMBER(P3039))),"Balance increased but no Deferred_interest reported",IF(L3039&gt;R3039,"Reported balance higher than expected (missing increase/OC build)","Reported balance lower than expected (missing decrease)"))))),""))</f>
        <v/>
      </c>
    </row>
    <row r="3040" customFormat="false" ht="15" hidden="false" customHeight="false" outlineLevel="0" collapsed="false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9"/>
      <c r="L3040" s="9"/>
      <c r="M3040" s="9"/>
      <c r="N3040" s="9"/>
      <c r="O3040" s="9"/>
      <c r="P3040" s="9"/>
      <c r="Q3040" s="9"/>
      <c r="R3040" s="9" t="str">
        <f aca="false">IF(AND(A3040&lt;&gt;"",ISNUMBER(Q3040),ISNUMBER(L3040)),ROUND(Q3040-IF(ISNUMBER(N3040),N3040,0)-IF(ISNUMBER(O3040),O3040,0)+IF(ISNUMBER(P3040),P3040,0),2),"")</f>
        <v/>
      </c>
      <c r="S3040" s="9" t="str">
        <f aca="false">IF(R3040="","",ROUND(L3040-R3040,2))</f>
        <v/>
      </c>
      <c r="T3040" s="8" t="str">
        <f aca="false">IF(A3040="","",IF(S3040="","BYPASS",IF(ABS(S3040)&lt;=Summary!$B$2,"PASS","FAIL")))</f>
        <v/>
      </c>
      <c r="U3040" s="8" t="str">
        <f aca="false">IF(T3040="BYPASS",IF(NOT(ISNUMBER(Q3040)),"PreV_ETB missing","End_tr_balance missing"),IF(T3040="FAIL",IF(AND(ISNUMBER(K3040),ISNUMBER(L3040),ABS(L3040-(K3040-IF(ISNUMBER(N3040),N3040,0)-IF(ISNUMBER(O3040),O3040,0)+IF(ISNUMBER(P3040),P3040,0)))&lt;=Summary!$B$2),"Passes using beginning_balance - PreV_ETB differs from beginning_balance",IF(AND(ISNUMBER(O3040),O3040&lt;0,ABS(L3040-(Q3040-IF(ISNUMBER(N3040),N3040,0)+IF(ISNUMBER(P3040),P3040,0)))&lt;=Summary!$B$2),"Negative realized loss not applied - check sign",IF(R3040&lt;0,"Principal paid exceeds prior balance",IF(AND(L3040&gt;Q3040,NOT(ISNUMBER(P3040))),"Balance increased but no Deferred_interest reported",IF(L3040&gt;R3040,"Reported balance higher than expected (missing increase/OC build)","Reported balance lower than expected (missing decrease)"))))),""))</f>
        <v/>
      </c>
    </row>
    <row r="3041" customFormat="false" ht="15" hidden="false" customHeight="false" outlineLevel="0" collapsed="false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9"/>
      <c r="L3041" s="9"/>
      <c r="M3041" s="9"/>
      <c r="N3041" s="9"/>
      <c r="O3041" s="9"/>
      <c r="P3041" s="9"/>
      <c r="Q3041" s="9"/>
      <c r="R3041" s="9" t="str">
        <f aca="false">IF(AND(A3041&lt;&gt;"",ISNUMBER(Q3041),ISNUMBER(L3041)),ROUND(Q3041-IF(ISNUMBER(N3041),N3041,0)-IF(ISNUMBER(O3041),O3041,0)+IF(ISNUMBER(P3041),P3041,0),2),"")</f>
        <v/>
      </c>
      <c r="S3041" s="9" t="str">
        <f aca="false">IF(R3041="","",ROUND(L3041-R3041,2))</f>
        <v/>
      </c>
      <c r="T3041" s="8" t="str">
        <f aca="false">IF(A3041="","",IF(S3041="","BYPASS",IF(ABS(S3041)&lt;=Summary!$B$2,"PASS","FAIL")))</f>
        <v/>
      </c>
      <c r="U3041" s="8" t="str">
        <f aca="false">IF(T3041="BYPASS",IF(NOT(ISNUMBER(Q3041)),"PreV_ETB missing","End_tr_balance missing"),IF(T3041="FAIL",IF(AND(ISNUMBER(K3041),ISNUMBER(L3041),ABS(L3041-(K3041-IF(ISNUMBER(N3041),N3041,0)-IF(ISNUMBER(O3041),O3041,0)+IF(ISNUMBER(P3041),P3041,0)))&lt;=Summary!$B$2),"Passes using beginning_balance - PreV_ETB differs from beginning_balance",IF(AND(ISNUMBER(O3041),O3041&lt;0,ABS(L3041-(Q3041-IF(ISNUMBER(N3041),N3041,0)+IF(ISNUMBER(P3041),P3041,0)))&lt;=Summary!$B$2),"Negative realized loss not applied - check sign",IF(R3041&lt;0,"Principal paid exceeds prior balance",IF(AND(L3041&gt;Q3041,NOT(ISNUMBER(P3041))),"Balance increased but no Deferred_interest reported",IF(L3041&gt;R3041,"Reported balance higher than expected (missing increase/OC build)","Reported balance lower than expected (missing decrease)"))))),""))</f>
        <v/>
      </c>
    </row>
    <row r="3042" customFormat="false" ht="15" hidden="false" customHeight="false" outlineLevel="0" collapsed="false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9"/>
      <c r="L3042" s="9"/>
      <c r="M3042" s="9"/>
      <c r="N3042" s="9"/>
      <c r="O3042" s="9"/>
      <c r="P3042" s="9"/>
      <c r="Q3042" s="9"/>
      <c r="R3042" s="9" t="str">
        <f aca="false">IF(AND(A3042&lt;&gt;"",ISNUMBER(Q3042),ISNUMBER(L3042)),ROUND(Q3042-IF(ISNUMBER(N3042),N3042,0)-IF(ISNUMBER(O3042),O3042,0)+IF(ISNUMBER(P3042),P3042,0),2),"")</f>
        <v/>
      </c>
      <c r="S3042" s="9" t="str">
        <f aca="false">IF(R3042="","",ROUND(L3042-R3042,2))</f>
        <v/>
      </c>
      <c r="T3042" s="8" t="str">
        <f aca="false">IF(A3042="","",IF(S3042="","BYPASS",IF(ABS(S3042)&lt;=Summary!$B$2,"PASS","FAIL")))</f>
        <v/>
      </c>
      <c r="U3042" s="8" t="str">
        <f aca="false">IF(T3042="BYPASS",IF(NOT(ISNUMBER(Q3042)),"PreV_ETB missing","End_tr_balance missing"),IF(T3042="FAIL",IF(AND(ISNUMBER(K3042),ISNUMBER(L3042),ABS(L3042-(K3042-IF(ISNUMBER(N3042),N3042,0)-IF(ISNUMBER(O3042),O3042,0)+IF(ISNUMBER(P3042),P3042,0)))&lt;=Summary!$B$2),"Passes using beginning_balance - PreV_ETB differs from beginning_balance",IF(AND(ISNUMBER(O3042),O3042&lt;0,ABS(L3042-(Q3042-IF(ISNUMBER(N3042),N3042,0)+IF(ISNUMBER(P3042),P3042,0)))&lt;=Summary!$B$2),"Negative realized loss not applied - check sign",IF(R3042&lt;0,"Principal paid exceeds prior balance",IF(AND(L3042&gt;Q3042,NOT(ISNUMBER(P3042))),"Balance increased but no Deferred_interest reported",IF(L3042&gt;R3042,"Reported balance higher than expected (missing increase/OC build)","Reported balance lower than expected (missing decrease)"))))),""))</f>
        <v/>
      </c>
    </row>
    <row r="3043" customFormat="false" ht="15" hidden="false" customHeight="false" outlineLevel="0" collapsed="false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9"/>
      <c r="L3043" s="9"/>
      <c r="M3043" s="9"/>
      <c r="N3043" s="9"/>
      <c r="O3043" s="9"/>
      <c r="P3043" s="9"/>
      <c r="Q3043" s="9"/>
      <c r="R3043" s="9" t="str">
        <f aca="false">IF(AND(A3043&lt;&gt;"",ISNUMBER(Q3043),ISNUMBER(L3043)),ROUND(Q3043-IF(ISNUMBER(N3043),N3043,0)-IF(ISNUMBER(O3043),O3043,0)+IF(ISNUMBER(P3043),P3043,0),2),"")</f>
        <v/>
      </c>
      <c r="S3043" s="9" t="str">
        <f aca="false">IF(R3043="","",ROUND(L3043-R3043,2))</f>
        <v/>
      </c>
      <c r="T3043" s="8" t="str">
        <f aca="false">IF(A3043="","",IF(S3043="","BYPASS",IF(ABS(S3043)&lt;=Summary!$B$2,"PASS","FAIL")))</f>
        <v/>
      </c>
      <c r="U3043" s="8" t="str">
        <f aca="false">IF(T3043="BYPASS",IF(NOT(ISNUMBER(Q3043)),"PreV_ETB missing","End_tr_balance missing"),IF(T3043="FAIL",IF(AND(ISNUMBER(K3043),ISNUMBER(L3043),ABS(L3043-(K3043-IF(ISNUMBER(N3043),N3043,0)-IF(ISNUMBER(O3043),O3043,0)+IF(ISNUMBER(P3043),P3043,0)))&lt;=Summary!$B$2),"Passes using beginning_balance - PreV_ETB differs from beginning_balance",IF(AND(ISNUMBER(O3043),O3043&lt;0,ABS(L3043-(Q3043-IF(ISNUMBER(N3043),N3043,0)+IF(ISNUMBER(P3043),P3043,0)))&lt;=Summary!$B$2),"Negative realized loss not applied - check sign",IF(R3043&lt;0,"Principal paid exceeds prior balance",IF(AND(L3043&gt;Q3043,NOT(ISNUMBER(P3043))),"Balance increased but no Deferred_interest reported",IF(L3043&gt;R3043,"Reported balance higher than expected (missing increase/OC build)","Reported balance lower than expected (missing decrease)"))))),""))</f>
        <v/>
      </c>
    </row>
    <row r="3044" customFormat="false" ht="15" hidden="false" customHeight="false" outlineLevel="0" collapsed="false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9"/>
      <c r="L3044" s="9"/>
      <c r="M3044" s="9"/>
      <c r="N3044" s="9"/>
      <c r="O3044" s="9"/>
      <c r="P3044" s="9"/>
      <c r="Q3044" s="9"/>
      <c r="R3044" s="9" t="str">
        <f aca="false">IF(AND(A3044&lt;&gt;"",ISNUMBER(Q3044),ISNUMBER(L3044)),ROUND(Q3044-IF(ISNUMBER(N3044),N3044,0)-IF(ISNUMBER(O3044),O3044,0)+IF(ISNUMBER(P3044),P3044,0),2),"")</f>
        <v/>
      </c>
      <c r="S3044" s="9" t="str">
        <f aca="false">IF(R3044="","",ROUND(L3044-R3044,2))</f>
        <v/>
      </c>
      <c r="T3044" s="8" t="str">
        <f aca="false">IF(A3044="","",IF(S3044="","BYPASS",IF(ABS(S3044)&lt;=Summary!$B$2,"PASS","FAIL")))</f>
        <v/>
      </c>
      <c r="U3044" s="8" t="str">
        <f aca="false">IF(T3044="BYPASS",IF(NOT(ISNUMBER(Q3044)),"PreV_ETB missing","End_tr_balance missing"),IF(T3044="FAIL",IF(AND(ISNUMBER(K3044),ISNUMBER(L3044),ABS(L3044-(K3044-IF(ISNUMBER(N3044),N3044,0)-IF(ISNUMBER(O3044),O3044,0)+IF(ISNUMBER(P3044),P3044,0)))&lt;=Summary!$B$2),"Passes using beginning_balance - PreV_ETB differs from beginning_balance",IF(AND(ISNUMBER(O3044),O3044&lt;0,ABS(L3044-(Q3044-IF(ISNUMBER(N3044),N3044,0)+IF(ISNUMBER(P3044),P3044,0)))&lt;=Summary!$B$2),"Negative realized loss not applied - check sign",IF(R3044&lt;0,"Principal paid exceeds prior balance",IF(AND(L3044&gt;Q3044,NOT(ISNUMBER(P3044))),"Balance increased but no Deferred_interest reported",IF(L3044&gt;R3044,"Reported balance higher than expected (missing increase/OC build)","Reported balance lower than expected (missing decrease)"))))),""))</f>
        <v/>
      </c>
    </row>
    <row r="3045" customFormat="false" ht="15" hidden="false" customHeight="false" outlineLevel="0" collapsed="false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9"/>
      <c r="L3045" s="9"/>
      <c r="M3045" s="9"/>
      <c r="N3045" s="9"/>
      <c r="O3045" s="9"/>
      <c r="P3045" s="9"/>
      <c r="Q3045" s="9"/>
      <c r="R3045" s="9" t="str">
        <f aca="false">IF(AND(A3045&lt;&gt;"",ISNUMBER(Q3045),ISNUMBER(L3045)),ROUND(Q3045-IF(ISNUMBER(N3045),N3045,0)-IF(ISNUMBER(O3045),O3045,0)+IF(ISNUMBER(P3045),P3045,0),2),"")</f>
        <v/>
      </c>
      <c r="S3045" s="9" t="str">
        <f aca="false">IF(R3045="","",ROUND(L3045-R3045,2))</f>
        <v/>
      </c>
      <c r="T3045" s="8" t="str">
        <f aca="false">IF(A3045="","",IF(S3045="","BYPASS",IF(ABS(S3045)&lt;=Summary!$B$2,"PASS","FAIL")))</f>
        <v/>
      </c>
      <c r="U3045" s="8" t="str">
        <f aca="false">IF(T3045="BYPASS",IF(NOT(ISNUMBER(Q3045)),"PreV_ETB missing","End_tr_balance missing"),IF(T3045="FAIL",IF(AND(ISNUMBER(K3045),ISNUMBER(L3045),ABS(L3045-(K3045-IF(ISNUMBER(N3045),N3045,0)-IF(ISNUMBER(O3045),O3045,0)+IF(ISNUMBER(P3045),P3045,0)))&lt;=Summary!$B$2),"Passes using beginning_balance - PreV_ETB differs from beginning_balance",IF(AND(ISNUMBER(O3045),O3045&lt;0,ABS(L3045-(Q3045-IF(ISNUMBER(N3045),N3045,0)+IF(ISNUMBER(P3045),P3045,0)))&lt;=Summary!$B$2),"Negative realized loss not applied - check sign",IF(R3045&lt;0,"Principal paid exceeds prior balance",IF(AND(L3045&gt;Q3045,NOT(ISNUMBER(P3045))),"Balance increased but no Deferred_interest reported",IF(L3045&gt;R3045,"Reported balance higher than expected (missing increase/OC build)","Reported balance lower than expected (missing decrease)"))))),""))</f>
        <v/>
      </c>
    </row>
    <row r="3046" customFormat="false" ht="15" hidden="false" customHeight="false" outlineLevel="0" collapsed="false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9"/>
      <c r="L3046" s="9"/>
      <c r="M3046" s="9"/>
      <c r="N3046" s="9"/>
      <c r="O3046" s="9"/>
      <c r="P3046" s="9"/>
      <c r="Q3046" s="9"/>
      <c r="R3046" s="9" t="str">
        <f aca="false">IF(AND(A3046&lt;&gt;"",ISNUMBER(Q3046),ISNUMBER(L3046)),ROUND(Q3046-IF(ISNUMBER(N3046),N3046,0)-IF(ISNUMBER(O3046),O3046,0)+IF(ISNUMBER(P3046),P3046,0),2),"")</f>
        <v/>
      </c>
      <c r="S3046" s="9" t="str">
        <f aca="false">IF(R3046="","",ROUND(L3046-R3046,2))</f>
        <v/>
      </c>
      <c r="T3046" s="8" t="str">
        <f aca="false">IF(A3046="","",IF(S3046="","BYPASS",IF(ABS(S3046)&lt;=Summary!$B$2,"PASS","FAIL")))</f>
        <v/>
      </c>
      <c r="U3046" s="8" t="str">
        <f aca="false">IF(T3046="BYPASS",IF(NOT(ISNUMBER(Q3046)),"PreV_ETB missing","End_tr_balance missing"),IF(T3046="FAIL",IF(AND(ISNUMBER(K3046),ISNUMBER(L3046),ABS(L3046-(K3046-IF(ISNUMBER(N3046),N3046,0)-IF(ISNUMBER(O3046),O3046,0)+IF(ISNUMBER(P3046),P3046,0)))&lt;=Summary!$B$2),"Passes using beginning_balance - PreV_ETB differs from beginning_balance",IF(AND(ISNUMBER(O3046),O3046&lt;0,ABS(L3046-(Q3046-IF(ISNUMBER(N3046),N3046,0)+IF(ISNUMBER(P3046),P3046,0)))&lt;=Summary!$B$2),"Negative realized loss not applied - check sign",IF(R3046&lt;0,"Principal paid exceeds prior balance",IF(AND(L3046&gt;Q3046,NOT(ISNUMBER(P3046))),"Balance increased but no Deferred_interest reported",IF(L3046&gt;R3046,"Reported balance higher than expected (missing increase/OC build)","Reported balance lower than expected (missing decrease)"))))),""))</f>
        <v/>
      </c>
    </row>
    <row r="3047" customFormat="false" ht="15" hidden="false" customHeight="false" outlineLevel="0" collapsed="false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9"/>
      <c r="L3047" s="9"/>
      <c r="M3047" s="9"/>
      <c r="N3047" s="9"/>
      <c r="O3047" s="9"/>
      <c r="P3047" s="9"/>
      <c r="Q3047" s="9"/>
      <c r="R3047" s="9" t="str">
        <f aca="false">IF(AND(A3047&lt;&gt;"",ISNUMBER(Q3047),ISNUMBER(L3047)),ROUND(Q3047-IF(ISNUMBER(N3047),N3047,0)-IF(ISNUMBER(O3047),O3047,0)+IF(ISNUMBER(P3047),P3047,0),2),"")</f>
        <v/>
      </c>
      <c r="S3047" s="9" t="str">
        <f aca="false">IF(R3047="","",ROUND(L3047-R3047,2))</f>
        <v/>
      </c>
      <c r="T3047" s="8" t="str">
        <f aca="false">IF(A3047="","",IF(S3047="","BYPASS",IF(ABS(S3047)&lt;=Summary!$B$2,"PASS","FAIL")))</f>
        <v/>
      </c>
      <c r="U3047" s="8" t="str">
        <f aca="false">IF(T3047="BYPASS",IF(NOT(ISNUMBER(Q3047)),"PreV_ETB missing","End_tr_balance missing"),IF(T3047="FAIL",IF(AND(ISNUMBER(K3047),ISNUMBER(L3047),ABS(L3047-(K3047-IF(ISNUMBER(N3047),N3047,0)-IF(ISNUMBER(O3047),O3047,0)+IF(ISNUMBER(P3047),P3047,0)))&lt;=Summary!$B$2),"Passes using beginning_balance - PreV_ETB differs from beginning_balance",IF(AND(ISNUMBER(O3047),O3047&lt;0,ABS(L3047-(Q3047-IF(ISNUMBER(N3047),N3047,0)+IF(ISNUMBER(P3047),P3047,0)))&lt;=Summary!$B$2),"Negative realized loss not applied - check sign",IF(R3047&lt;0,"Principal paid exceeds prior balance",IF(AND(L3047&gt;Q3047,NOT(ISNUMBER(P3047))),"Balance increased but no Deferred_interest reported",IF(L3047&gt;R3047,"Reported balance higher than expected (missing increase/OC build)","Reported balance lower than expected (missing decrease)"))))),""))</f>
        <v/>
      </c>
    </row>
    <row r="3048" customFormat="false" ht="15" hidden="false" customHeight="false" outlineLevel="0" collapsed="false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9"/>
      <c r="L3048" s="9"/>
      <c r="M3048" s="9"/>
      <c r="N3048" s="9"/>
      <c r="O3048" s="9"/>
      <c r="P3048" s="9"/>
      <c r="Q3048" s="9"/>
      <c r="R3048" s="9" t="str">
        <f aca="false">IF(AND(A3048&lt;&gt;"",ISNUMBER(Q3048),ISNUMBER(L3048)),ROUND(Q3048-IF(ISNUMBER(N3048),N3048,0)-IF(ISNUMBER(O3048),O3048,0)+IF(ISNUMBER(P3048),P3048,0),2),"")</f>
        <v/>
      </c>
      <c r="S3048" s="9" t="str">
        <f aca="false">IF(R3048="","",ROUND(L3048-R3048,2))</f>
        <v/>
      </c>
      <c r="T3048" s="8" t="str">
        <f aca="false">IF(A3048="","",IF(S3048="","BYPASS",IF(ABS(S3048)&lt;=Summary!$B$2,"PASS","FAIL")))</f>
        <v/>
      </c>
      <c r="U3048" s="8" t="str">
        <f aca="false">IF(T3048="BYPASS",IF(NOT(ISNUMBER(Q3048)),"PreV_ETB missing","End_tr_balance missing"),IF(T3048="FAIL",IF(AND(ISNUMBER(K3048),ISNUMBER(L3048),ABS(L3048-(K3048-IF(ISNUMBER(N3048),N3048,0)-IF(ISNUMBER(O3048),O3048,0)+IF(ISNUMBER(P3048),P3048,0)))&lt;=Summary!$B$2),"Passes using beginning_balance - PreV_ETB differs from beginning_balance",IF(AND(ISNUMBER(O3048),O3048&lt;0,ABS(L3048-(Q3048-IF(ISNUMBER(N3048),N3048,0)+IF(ISNUMBER(P3048),P3048,0)))&lt;=Summary!$B$2),"Negative realized loss not applied - check sign",IF(R3048&lt;0,"Principal paid exceeds prior balance",IF(AND(L3048&gt;Q3048,NOT(ISNUMBER(P3048))),"Balance increased but no Deferred_interest reported",IF(L3048&gt;R3048,"Reported balance higher than expected (missing increase/OC build)","Reported balance lower than expected (missing decrease)"))))),""))</f>
        <v/>
      </c>
    </row>
    <row r="3049" customFormat="false" ht="15" hidden="false" customHeight="false" outlineLevel="0" collapsed="false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9"/>
      <c r="L3049" s="9"/>
      <c r="M3049" s="9"/>
      <c r="N3049" s="9"/>
      <c r="O3049" s="9"/>
      <c r="P3049" s="9"/>
      <c r="Q3049" s="9"/>
      <c r="R3049" s="9" t="str">
        <f aca="false">IF(AND(A3049&lt;&gt;"",ISNUMBER(Q3049),ISNUMBER(L3049)),ROUND(Q3049-IF(ISNUMBER(N3049),N3049,0)-IF(ISNUMBER(O3049),O3049,0)+IF(ISNUMBER(P3049),P3049,0),2),"")</f>
        <v/>
      </c>
      <c r="S3049" s="9" t="str">
        <f aca="false">IF(R3049="","",ROUND(L3049-R3049,2))</f>
        <v/>
      </c>
      <c r="T3049" s="8" t="str">
        <f aca="false">IF(A3049="","",IF(S3049="","BYPASS",IF(ABS(S3049)&lt;=Summary!$B$2,"PASS","FAIL")))</f>
        <v/>
      </c>
      <c r="U3049" s="8" t="str">
        <f aca="false">IF(T3049="BYPASS",IF(NOT(ISNUMBER(Q3049)),"PreV_ETB missing","End_tr_balance missing"),IF(T3049="FAIL",IF(AND(ISNUMBER(K3049),ISNUMBER(L3049),ABS(L3049-(K3049-IF(ISNUMBER(N3049),N3049,0)-IF(ISNUMBER(O3049),O3049,0)+IF(ISNUMBER(P3049),P3049,0)))&lt;=Summary!$B$2),"Passes using beginning_balance - PreV_ETB differs from beginning_balance",IF(AND(ISNUMBER(O3049),O3049&lt;0,ABS(L3049-(Q3049-IF(ISNUMBER(N3049),N3049,0)+IF(ISNUMBER(P3049),P3049,0)))&lt;=Summary!$B$2),"Negative realized loss not applied - check sign",IF(R3049&lt;0,"Principal paid exceeds prior balance",IF(AND(L3049&gt;Q3049,NOT(ISNUMBER(P3049))),"Balance increased but no Deferred_interest reported",IF(L3049&gt;R3049,"Reported balance higher than expected (missing increase/OC build)","Reported balance lower than expected (missing decrease)"))))),""))</f>
        <v/>
      </c>
    </row>
    <row r="3050" customFormat="false" ht="15" hidden="false" customHeight="false" outlineLevel="0" collapsed="false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9"/>
      <c r="L3050" s="9"/>
      <c r="M3050" s="9"/>
      <c r="N3050" s="9"/>
      <c r="O3050" s="9"/>
      <c r="P3050" s="9"/>
      <c r="Q3050" s="9"/>
      <c r="R3050" s="9" t="str">
        <f aca="false">IF(AND(A3050&lt;&gt;"",ISNUMBER(Q3050),ISNUMBER(L3050)),ROUND(Q3050-IF(ISNUMBER(N3050),N3050,0)-IF(ISNUMBER(O3050),O3050,0)+IF(ISNUMBER(P3050),P3050,0),2),"")</f>
        <v/>
      </c>
      <c r="S3050" s="9" t="str">
        <f aca="false">IF(R3050="","",ROUND(L3050-R3050,2))</f>
        <v/>
      </c>
      <c r="T3050" s="8" t="str">
        <f aca="false">IF(A3050="","",IF(S3050="","BYPASS",IF(ABS(S3050)&lt;=Summary!$B$2,"PASS","FAIL")))</f>
        <v/>
      </c>
      <c r="U3050" s="8" t="str">
        <f aca="false">IF(T3050="BYPASS",IF(NOT(ISNUMBER(Q3050)),"PreV_ETB missing","End_tr_balance missing"),IF(T3050="FAIL",IF(AND(ISNUMBER(K3050),ISNUMBER(L3050),ABS(L3050-(K3050-IF(ISNUMBER(N3050),N3050,0)-IF(ISNUMBER(O3050),O3050,0)+IF(ISNUMBER(P3050),P3050,0)))&lt;=Summary!$B$2),"Passes using beginning_balance - PreV_ETB differs from beginning_balance",IF(AND(ISNUMBER(O3050),O3050&lt;0,ABS(L3050-(Q3050-IF(ISNUMBER(N3050),N3050,0)+IF(ISNUMBER(P3050),P3050,0)))&lt;=Summary!$B$2),"Negative realized loss not applied - check sign",IF(R3050&lt;0,"Principal paid exceeds prior balance",IF(AND(L3050&gt;Q3050,NOT(ISNUMBER(P3050))),"Balance increased but no Deferred_interest reported",IF(L3050&gt;R3050,"Reported balance higher than expected (missing increase/OC build)","Reported balance lower than expected (missing decrease)"))))),""))</f>
        <v/>
      </c>
    </row>
    <row r="3051" customFormat="false" ht="15" hidden="false" customHeight="false" outlineLevel="0" collapsed="false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9"/>
      <c r="L3051" s="9"/>
      <c r="M3051" s="9"/>
      <c r="N3051" s="9"/>
      <c r="O3051" s="9"/>
      <c r="P3051" s="9"/>
      <c r="Q3051" s="9"/>
      <c r="R3051" s="9" t="str">
        <f aca="false">IF(AND(A3051&lt;&gt;"",ISNUMBER(Q3051),ISNUMBER(L3051)),ROUND(Q3051-IF(ISNUMBER(N3051),N3051,0)-IF(ISNUMBER(O3051),O3051,0)+IF(ISNUMBER(P3051),P3051,0),2),"")</f>
        <v/>
      </c>
      <c r="S3051" s="9" t="str">
        <f aca="false">IF(R3051="","",ROUND(L3051-R3051,2))</f>
        <v/>
      </c>
      <c r="T3051" s="8" t="str">
        <f aca="false">IF(A3051="","",IF(S3051="","BYPASS",IF(ABS(S3051)&lt;=Summary!$B$2,"PASS","FAIL")))</f>
        <v/>
      </c>
      <c r="U3051" s="8" t="str">
        <f aca="false">IF(T3051="BYPASS",IF(NOT(ISNUMBER(Q3051)),"PreV_ETB missing","End_tr_balance missing"),IF(T3051="FAIL",IF(AND(ISNUMBER(K3051),ISNUMBER(L3051),ABS(L3051-(K3051-IF(ISNUMBER(N3051),N3051,0)-IF(ISNUMBER(O3051),O3051,0)+IF(ISNUMBER(P3051),P3051,0)))&lt;=Summary!$B$2),"Passes using beginning_balance - PreV_ETB differs from beginning_balance",IF(AND(ISNUMBER(O3051),O3051&lt;0,ABS(L3051-(Q3051-IF(ISNUMBER(N3051),N3051,0)+IF(ISNUMBER(P3051),P3051,0)))&lt;=Summary!$B$2),"Negative realized loss not applied - check sign",IF(R3051&lt;0,"Principal paid exceeds prior balance",IF(AND(L3051&gt;Q3051,NOT(ISNUMBER(P3051))),"Balance increased but no Deferred_interest reported",IF(L3051&gt;R3051,"Reported balance higher than expected (missing increase/OC build)","Reported balance lower than expected (missing decrease)"))))),""))</f>
        <v/>
      </c>
    </row>
    <row r="3052" customFormat="false" ht="15" hidden="false" customHeight="false" outlineLevel="0" collapsed="false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9"/>
      <c r="L3052" s="9"/>
      <c r="M3052" s="9"/>
      <c r="N3052" s="9"/>
      <c r="O3052" s="9"/>
      <c r="P3052" s="9"/>
      <c r="Q3052" s="9"/>
      <c r="R3052" s="9" t="str">
        <f aca="false">IF(AND(A3052&lt;&gt;"",ISNUMBER(Q3052),ISNUMBER(L3052)),ROUND(Q3052-IF(ISNUMBER(N3052),N3052,0)-IF(ISNUMBER(O3052),O3052,0)+IF(ISNUMBER(P3052),P3052,0),2),"")</f>
        <v/>
      </c>
      <c r="S3052" s="9" t="str">
        <f aca="false">IF(R3052="","",ROUND(L3052-R3052,2))</f>
        <v/>
      </c>
      <c r="T3052" s="8" t="str">
        <f aca="false">IF(A3052="","",IF(S3052="","BYPASS",IF(ABS(S3052)&lt;=Summary!$B$2,"PASS","FAIL")))</f>
        <v/>
      </c>
      <c r="U3052" s="8" t="str">
        <f aca="false">IF(T3052="BYPASS",IF(NOT(ISNUMBER(Q3052)),"PreV_ETB missing","End_tr_balance missing"),IF(T3052="FAIL",IF(AND(ISNUMBER(K3052),ISNUMBER(L3052),ABS(L3052-(K3052-IF(ISNUMBER(N3052),N3052,0)-IF(ISNUMBER(O3052),O3052,0)+IF(ISNUMBER(P3052),P3052,0)))&lt;=Summary!$B$2),"Passes using beginning_balance - PreV_ETB differs from beginning_balance",IF(AND(ISNUMBER(O3052),O3052&lt;0,ABS(L3052-(Q3052-IF(ISNUMBER(N3052),N3052,0)+IF(ISNUMBER(P3052),P3052,0)))&lt;=Summary!$B$2),"Negative realized loss not applied - check sign",IF(R3052&lt;0,"Principal paid exceeds prior balance",IF(AND(L3052&gt;Q3052,NOT(ISNUMBER(P3052))),"Balance increased but no Deferred_interest reported",IF(L3052&gt;R3052,"Reported balance higher than expected (missing increase/OC build)","Reported balance lower than expected (missing decrease)"))))),""))</f>
        <v/>
      </c>
    </row>
    <row r="3053" customFormat="false" ht="15" hidden="false" customHeight="false" outlineLevel="0" collapsed="false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9"/>
      <c r="L3053" s="9"/>
      <c r="M3053" s="9"/>
      <c r="N3053" s="9"/>
      <c r="O3053" s="9"/>
      <c r="P3053" s="9"/>
      <c r="Q3053" s="9"/>
      <c r="R3053" s="9" t="str">
        <f aca="false">IF(AND(A3053&lt;&gt;"",ISNUMBER(Q3053),ISNUMBER(L3053)),ROUND(Q3053-IF(ISNUMBER(N3053),N3053,0)-IF(ISNUMBER(O3053),O3053,0)+IF(ISNUMBER(P3053),P3053,0),2),"")</f>
        <v/>
      </c>
      <c r="S3053" s="9" t="str">
        <f aca="false">IF(R3053="","",ROUND(L3053-R3053,2))</f>
        <v/>
      </c>
      <c r="T3053" s="8" t="str">
        <f aca="false">IF(A3053="","",IF(S3053="","BYPASS",IF(ABS(S3053)&lt;=Summary!$B$2,"PASS","FAIL")))</f>
        <v/>
      </c>
      <c r="U3053" s="8" t="str">
        <f aca="false">IF(T3053="BYPASS",IF(NOT(ISNUMBER(Q3053)),"PreV_ETB missing","End_tr_balance missing"),IF(T3053="FAIL",IF(AND(ISNUMBER(K3053),ISNUMBER(L3053),ABS(L3053-(K3053-IF(ISNUMBER(N3053),N3053,0)-IF(ISNUMBER(O3053),O3053,0)+IF(ISNUMBER(P3053),P3053,0)))&lt;=Summary!$B$2),"Passes using beginning_balance - PreV_ETB differs from beginning_balance",IF(AND(ISNUMBER(O3053),O3053&lt;0,ABS(L3053-(Q3053-IF(ISNUMBER(N3053),N3053,0)+IF(ISNUMBER(P3053),P3053,0)))&lt;=Summary!$B$2),"Negative realized loss not applied - check sign",IF(R3053&lt;0,"Principal paid exceeds prior balance",IF(AND(L3053&gt;Q3053,NOT(ISNUMBER(P3053))),"Balance increased but no Deferred_interest reported",IF(L3053&gt;R3053,"Reported balance higher than expected (missing increase/OC build)","Reported balance lower than expected (missing decrease)"))))),""))</f>
        <v/>
      </c>
    </row>
    <row r="3054" customFormat="false" ht="15" hidden="false" customHeight="false" outlineLevel="0" collapsed="false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9"/>
      <c r="L3054" s="9"/>
      <c r="M3054" s="9"/>
      <c r="N3054" s="9"/>
      <c r="O3054" s="9"/>
      <c r="P3054" s="9"/>
      <c r="Q3054" s="9"/>
      <c r="R3054" s="9" t="str">
        <f aca="false">IF(AND(A3054&lt;&gt;"",ISNUMBER(Q3054),ISNUMBER(L3054)),ROUND(Q3054-IF(ISNUMBER(N3054),N3054,0)-IF(ISNUMBER(O3054),O3054,0)+IF(ISNUMBER(P3054),P3054,0),2),"")</f>
        <v/>
      </c>
      <c r="S3054" s="9" t="str">
        <f aca="false">IF(R3054="","",ROUND(L3054-R3054,2))</f>
        <v/>
      </c>
      <c r="T3054" s="8" t="str">
        <f aca="false">IF(A3054="","",IF(S3054="","BYPASS",IF(ABS(S3054)&lt;=Summary!$B$2,"PASS","FAIL")))</f>
        <v/>
      </c>
      <c r="U3054" s="8" t="str">
        <f aca="false">IF(T3054="BYPASS",IF(NOT(ISNUMBER(Q3054)),"PreV_ETB missing","End_tr_balance missing"),IF(T3054="FAIL",IF(AND(ISNUMBER(K3054),ISNUMBER(L3054),ABS(L3054-(K3054-IF(ISNUMBER(N3054),N3054,0)-IF(ISNUMBER(O3054),O3054,0)+IF(ISNUMBER(P3054),P3054,0)))&lt;=Summary!$B$2),"Passes using beginning_balance - PreV_ETB differs from beginning_balance",IF(AND(ISNUMBER(O3054),O3054&lt;0,ABS(L3054-(Q3054-IF(ISNUMBER(N3054),N3054,0)+IF(ISNUMBER(P3054),P3054,0)))&lt;=Summary!$B$2),"Negative realized loss not applied - check sign",IF(R3054&lt;0,"Principal paid exceeds prior balance",IF(AND(L3054&gt;Q3054,NOT(ISNUMBER(P3054))),"Balance increased but no Deferred_interest reported",IF(L3054&gt;R3054,"Reported balance higher than expected (missing increase/OC build)","Reported balance lower than expected (missing decrease)"))))),""))</f>
        <v/>
      </c>
    </row>
    <row r="3055" customFormat="false" ht="15" hidden="false" customHeight="false" outlineLevel="0" collapsed="false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9"/>
      <c r="L3055" s="9"/>
      <c r="M3055" s="9"/>
      <c r="N3055" s="9"/>
      <c r="O3055" s="9"/>
      <c r="P3055" s="9"/>
      <c r="Q3055" s="9"/>
      <c r="R3055" s="9" t="str">
        <f aca="false">IF(AND(A3055&lt;&gt;"",ISNUMBER(Q3055),ISNUMBER(L3055)),ROUND(Q3055-IF(ISNUMBER(N3055),N3055,0)-IF(ISNUMBER(O3055),O3055,0)+IF(ISNUMBER(P3055),P3055,0),2),"")</f>
        <v/>
      </c>
      <c r="S3055" s="9" t="str">
        <f aca="false">IF(R3055="","",ROUND(L3055-R3055,2))</f>
        <v/>
      </c>
      <c r="T3055" s="8" t="str">
        <f aca="false">IF(A3055="","",IF(S3055="","BYPASS",IF(ABS(S3055)&lt;=Summary!$B$2,"PASS","FAIL")))</f>
        <v/>
      </c>
      <c r="U3055" s="8" t="str">
        <f aca="false">IF(T3055="BYPASS",IF(NOT(ISNUMBER(Q3055)),"PreV_ETB missing","End_tr_balance missing"),IF(T3055="FAIL",IF(AND(ISNUMBER(K3055),ISNUMBER(L3055),ABS(L3055-(K3055-IF(ISNUMBER(N3055),N3055,0)-IF(ISNUMBER(O3055),O3055,0)+IF(ISNUMBER(P3055),P3055,0)))&lt;=Summary!$B$2),"Passes using beginning_balance - PreV_ETB differs from beginning_balance",IF(AND(ISNUMBER(O3055),O3055&lt;0,ABS(L3055-(Q3055-IF(ISNUMBER(N3055),N3055,0)+IF(ISNUMBER(P3055),P3055,0)))&lt;=Summary!$B$2),"Negative realized loss not applied - check sign",IF(R3055&lt;0,"Principal paid exceeds prior balance",IF(AND(L3055&gt;Q3055,NOT(ISNUMBER(P3055))),"Balance increased but no Deferred_interest reported",IF(L3055&gt;R3055,"Reported balance higher than expected (missing increase/OC build)","Reported balance lower than expected (missing decrease)"))))),""))</f>
        <v/>
      </c>
    </row>
    <row r="3056" customFormat="false" ht="15" hidden="false" customHeight="false" outlineLevel="0" collapsed="false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9"/>
      <c r="L3056" s="9"/>
      <c r="M3056" s="9"/>
      <c r="N3056" s="9"/>
      <c r="O3056" s="9"/>
      <c r="P3056" s="9"/>
      <c r="Q3056" s="9"/>
      <c r="R3056" s="9" t="str">
        <f aca="false">IF(AND(A3056&lt;&gt;"",ISNUMBER(Q3056),ISNUMBER(L3056)),ROUND(Q3056-IF(ISNUMBER(N3056),N3056,0)-IF(ISNUMBER(O3056),O3056,0)+IF(ISNUMBER(P3056),P3056,0),2),"")</f>
        <v/>
      </c>
      <c r="S3056" s="9" t="str">
        <f aca="false">IF(R3056="","",ROUND(L3056-R3056,2))</f>
        <v/>
      </c>
      <c r="T3056" s="8" t="str">
        <f aca="false">IF(A3056="","",IF(S3056="","BYPASS",IF(ABS(S3056)&lt;=Summary!$B$2,"PASS","FAIL")))</f>
        <v/>
      </c>
      <c r="U3056" s="8" t="str">
        <f aca="false">IF(T3056="BYPASS",IF(NOT(ISNUMBER(Q3056)),"PreV_ETB missing","End_tr_balance missing"),IF(T3056="FAIL",IF(AND(ISNUMBER(K3056),ISNUMBER(L3056),ABS(L3056-(K3056-IF(ISNUMBER(N3056),N3056,0)-IF(ISNUMBER(O3056),O3056,0)+IF(ISNUMBER(P3056),P3056,0)))&lt;=Summary!$B$2),"Passes using beginning_balance - PreV_ETB differs from beginning_balance",IF(AND(ISNUMBER(O3056),O3056&lt;0,ABS(L3056-(Q3056-IF(ISNUMBER(N3056),N3056,0)+IF(ISNUMBER(P3056),P3056,0)))&lt;=Summary!$B$2),"Negative realized loss not applied - check sign",IF(R3056&lt;0,"Principal paid exceeds prior balance",IF(AND(L3056&gt;Q3056,NOT(ISNUMBER(P3056))),"Balance increased but no Deferred_interest reported",IF(L3056&gt;R3056,"Reported balance higher than expected (missing increase/OC build)","Reported balance lower than expected (missing decrease)"))))),""))</f>
        <v/>
      </c>
    </row>
    <row r="3057" customFormat="false" ht="15" hidden="false" customHeight="false" outlineLevel="0" collapsed="false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9"/>
      <c r="L3057" s="9"/>
      <c r="M3057" s="9"/>
      <c r="N3057" s="9"/>
      <c r="O3057" s="9"/>
      <c r="P3057" s="9"/>
      <c r="Q3057" s="9"/>
      <c r="R3057" s="9" t="str">
        <f aca="false">IF(AND(A3057&lt;&gt;"",ISNUMBER(Q3057),ISNUMBER(L3057)),ROUND(Q3057-IF(ISNUMBER(N3057),N3057,0)-IF(ISNUMBER(O3057),O3057,0)+IF(ISNUMBER(P3057),P3057,0),2),"")</f>
        <v/>
      </c>
      <c r="S3057" s="9" t="str">
        <f aca="false">IF(R3057="","",ROUND(L3057-R3057,2))</f>
        <v/>
      </c>
      <c r="T3057" s="8" t="str">
        <f aca="false">IF(A3057="","",IF(S3057="","BYPASS",IF(ABS(S3057)&lt;=Summary!$B$2,"PASS","FAIL")))</f>
        <v/>
      </c>
      <c r="U3057" s="8" t="str">
        <f aca="false">IF(T3057="BYPASS",IF(NOT(ISNUMBER(Q3057)),"PreV_ETB missing","End_tr_balance missing"),IF(T3057="FAIL",IF(AND(ISNUMBER(K3057),ISNUMBER(L3057),ABS(L3057-(K3057-IF(ISNUMBER(N3057),N3057,0)-IF(ISNUMBER(O3057),O3057,0)+IF(ISNUMBER(P3057),P3057,0)))&lt;=Summary!$B$2),"Passes using beginning_balance - PreV_ETB differs from beginning_balance",IF(AND(ISNUMBER(O3057),O3057&lt;0,ABS(L3057-(Q3057-IF(ISNUMBER(N3057),N3057,0)+IF(ISNUMBER(P3057),P3057,0)))&lt;=Summary!$B$2),"Negative realized loss not applied - check sign",IF(R3057&lt;0,"Principal paid exceeds prior balance",IF(AND(L3057&gt;Q3057,NOT(ISNUMBER(P3057))),"Balance increased but no Deferred_interest reported",IF(L3057&gt;R3057,"Reported balance higher than expected (missing increase/OC build)","Reported balance lower than expected (missing decrease)"))))),""))</f>
        <v/>
      </c>
    </row>
    <row r="3058" customFormat="false" ht="15" hidden="false" customHeight="false" outlineLevel="0" collapsed="false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9"/>
      <c r="L3058" s="9"/>
      <c r="M3058" s="9"/>
      <c r="N3058" s="9"/>
      <c r="O3058" s="9"/>
      <c r="P3058" s="9"/>
      <c r="Q3058" s="9"/>
      <c r="R3058" s="9" t="str">
        <f aca="false">IF(AND(A3058&lt;&gt;"",ISNUMBER(Q3058),ISNUMBER(L3058)),ROUND(Q3058-IF(ISNUMBER(N3058),N3058,0)-IF(ISNUMBER(O3058),O3058,0)+IF(ISNUMBER(P3058),P3058,0),2),"")</f>
        <v/>
      </c>
      <c r="S3058" s="9" t="str">
        <f aca="false">IF(R3058="","",ROUND(L3058-R3058,2))</f>
        <v/>
      </c>
      <c r="T3058" s="8" t="str">
        <f aca="false">IF(A3058="","",IF(S3058="","BYPASS",IF(ABS(S3058)&lt;=Summary!$B$2,"PASS","FAIL")))</f>
        <v/>
      </c>
      <c r="U3058" s="8" t="str">
        <f aca="false">IF(T3058="BYPASS",IF(NOT(ISNUMBER(Q3058)),"PreV_ETB missing","End_tr_balance missing"),IF(T3058="FAIL",IF(AND(ISNUMBER(K3058),ISNUMBER(L3058),ABS(L3058-(K3058-IF(ISNUMBER(N3058),N3058,0)-IF(ISNUMBER(O3058),O3058,0)+IF(ISNUMBER(P3058),P3058,0)))&lt;=Summary!$B$2),"Passes using beginning_balance - PreV_ETB differs from beginning_balance",IF(AND(ISNUMBER(O3058),O3058&lt;0,ABS(L3058-(Q3058-IF(ISNUMBER(N3058),N3058,0)+IF(ISNUMBER(P3058),P3058,0)))&lt;=Summary!$B$2),"Negative realized loss not applied - check sign",IF(R3058&lt;0,"Principal paid exceeds prior balance",IF(AND(L3058&gt;Q3058,NOT(ISNUMBER(P3058))),"Balance increased but no Deferred_interest reported",IF(L3058&gt;R3058,"Reported balance higher than expected (missing increase/OC build)","Reported balance lower than expected (missing decrease)"))))),""))</f>
        <v/>
      </c>
    </row>
    <row r="3059" customFormat="false" ht="15" hidden="false" customHeight="false" outlineLevel="0" collapsed="false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9"/>
      <c r="L3059" s="9"/>
      <c r="M3059" s="9"/>
      <c r="N3059" s="9"/>
      <c r="O3059" s="9"/>
      <c r="P3059" s="9"/>
      <c r="Q3059" s="9"/>
      <c r="R3059" s="9" t="str">
        <f aca="false">IF(AND(A3059&lt;&gt;"",ISNUMBER(Q3059),ISNUMBER(L3059)),ROUND(Q3059-IF(ISNUMBER(N3059),N3059,0)-IF(ISNUMBER(O3059),O3059,0)+IF(ISNUMBER(P3059),P3059,0),2),"")</f>
        <v/>
      </c>
      <c r="S3059" s="9" t="str">
        <f aca="false">IF(R3059="","",ROUND(L3059-R3059,2))</f>
        <v/>
      </c>
      <c r="T3059" s="8" t="str">
        <f aca="false">IF(A3059="","",IF(S3059="","BYPASS",IF(ABS(S3059)&lt;=Summary!$B$2,"PASS","FAIL")))</f>
        <v/>
      </c>
      <c r="U3059" s="8" t="str">
        <f aca="false">IF(T3059="BYPASS",IF(NOT(ISNUMBER(Q3059)),"PreV_ETB missing","End_tr_balance missing"),IF(T3059="FAIL",IF(AND(ISNUMBER(K3059),ISNUMBER(L3059),ABS(L3059-(K3059-IF(ISNUMBER(N3059),N3059,0)-IF(ISNUMBER(O3059),O3059,0)+IF(ISNUMBER(P3059),P3059,0)))&lt;=Summary!$B$2),"Passes using beginning_balance - PreV_ETB differs from beginning_balance",IF(AND(ISNUMBER(O3059),O3059&lt;0,ABS(L3059-(Q3059-IF(ISNUMBER(N3059),N3059,0)+IF(ISNUMBER(P3059),P3059,0)))&lt;=Summary!$B$2),"Negative realized loss not applied - check sign",IF(R3059&lt;0,"Principal paid exceeds prior balance",IF(AND(L3059&gt;Q3059,NOT(ISNUMBER(P3059))),"Balance increased but no Deferred_interest reported",IF(L3059&gt;R3059,"Reported balance higher than expected (missing increase/OC build)","Reported balance lower than expected (missing decrease)"))))),""))</f>
        <v/>
      </c>
    </row>
    <row r="3060" customFormat="false" ht="15" hidden="false" customHeight="false" outlineLevel="0" collapsed="false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9"/>
      <c r="L3060" s="9"/>
      <c r="M3060" s="9"/>
      <c r="N3060" s="9"/>
      <c r="O3060" s="9"/>
      <c r="P3060" s="9"/>
      <c r="Q3060" s="9"/>
      <c r="R3060" s="9" t="str">
        <f aca="false">IF(AND(A3060&lt;&gt;"",ISNUMBER(Q3060),ISNUMBER(L3060)),ROUND(Q3060-IF(ISNUMBER(N3060),N3060,0)-IF(ISNUMBER(O3060),O3060,0)+IF(ISNUMBER(P3060),P3060,0),2),"")</f>
        <v/>
      </c>
      <c r="S3060" s="9" t="str">
        <f aca="false">IF(R3060="","",ROUND(L3060-R3060,2))</f>
        <v/>
      </c>
      <c r="T3060" s="8" t="str">
        <f aca="false">IF(A3060="","",IF(S3060="","BYPASS",IF(ABS(S3060)&lt;=Summary!$B$2,"PASS","FAIL")))</f>
        <v/>
      </c>
      <c r="U3060" s="8" t="str">
        <f aca="false">IF(T3060="BYPASS",IF(NOT(ISNUMBER(Q3060)),"PreV_ETB missing","End_tr_balance missing"),IF(T3060="FAIL",IF(AND(ISNUMBER(K3060),ISNUMBER(L3060),ABS(L3060-(K3060-IF(ISNUMBER(N3060),N3060,0)-IF(ISNUMBER(O3060),O3060,0)+IF(ISNUMBER(P3060),P3060,0)))&lt;=Summary!$B$2),"Passes using beginning_balance - PreV_ETB differs from beginning_balance",IF(AND(ISNUMBER(O3060),O3060&lt;0,ABS(L3060-(Q3060-IF(ISNUMBER(N3060),N3060,0)+IF(ISNUMBER(P3060),P3060,0)))&lt;=Summary!$B$2),"Negative realized loss not applied - check sign",IF(R3060&lt;0,"Principal paid exceeds prior balance",IF(AND(L3060&gt;Q3060,NOT(ISNUMBER(P3060))),"Balance increased but no Deferred_interest reported",IF(L3060&gt;R3060,"Reported balance higher than expected (missing increase/OC build)","Reported balance lower than expected (missing decrease)"))))),""))</f>
        <v/>
      </c>
    </row>
    <row r="3061" customFormat="false" ht="15" hidden="false" customHeight="false" outlineLevel="0" collapsed="false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9"/>
      <c r="L3061" s="9"/>
      <c r="M3061" s="9"/>
      <c r="N3061" s="9"/>
      <c r="O3061" s="9"/>
      <c r="P3061" s="9"/>
      <c r="Q3061" s="9"/>
      <c r="R3061" s="9" t="str">
        <f aca="false">IF(AND(A3061&lt;&gt;"",ISNUMBER(Q3061),ISNUMBER(L3061)),ROUND(Q3061-IF(ISNUMBER(N3061),N3061,0)-IF(ISNUMBER(O3061),O3061,0)+IF(ISNUMBER(P3061),P3061,0),2),"")</f>
        <v/>
      </c>
      <c r="S3061" s="9" t="str">
        <f aca="false">IF(R3061="","",ROUND(L3061-R3061,2))</f>
        <v/>
      </c>
      <c r="T3061" s="8" t="str">
        <f aca="false">IF(A3061="","",IF(S3061="","BYPASS",IF(ABS(S3061)&lt;=Summary!$B$2,"PASS","FAIL")))</f>
        <v/>
      </c>
      <c r="U3061" s="8" t="str">
        <f aca="false">IF(T3061="BYPASS",IF(NOT(ISNUMBER(Q3061)),"PreV_ETB missing","End_tr_balance missing"),IF(T3061="FAIL",IF(AND(ISNUMBER(K3061),ISNUMBER(L3061),ABS(L3061-(K3061-IF(ISNUMBER(N3061),N3061,0)-IF(ISNUMBER(O3061),O3061,0)+IF(ISNUMBER(P3061),P3061,0)))&lt;=Summary!$B$2),"Passes using beginning_balance - PreV_ETB differs from beginning_balance",IF(AND(ISNUMBER(O3061),O3061&lt;0,ABS(L3061-(Q3061-IF(ISNUMBER(N3061),N3061,0)+IF(ISNUMBER(P3061),P3061,0)))&lt;=Summary!$B$2),"Negative realized loss not applied - check sign",IF(R3061&lt;0,"Principal paid exceeds prior balance",IF(AND(L3061&gt;Q3061,NOT(ISNUMBER(P3061))),"Balance increased but no Deferred_interest reported",IF(L3061&gt;R3061,"Reported balance higher than expected (missing increase/OC build)","Reported balance lower than expected (missing decrease)"))))),""))</f>
        <v/>
      </c>
    </row>
    <row r="3062" customFormat="false" ht="15" hidden="false" customHeight="false" outlineLevel="0" collapsed="false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9"/>
      <c r="L3062" s="9"/>
      <c r="M3062" s="9"/>
      <c r="N3062" s="9"/>
      <c r="O3062" s="9"/>
      <c r="P3062" s="9"/>
      <c r="Q3062" s="9"/>
      <c r="R3062" s="9" t="str">
        <f aca="false">IF(AND(A3062&lt;&gt;"",ISNUMBER(Q3062),ISNUMBER(L3062)),ROUND(Q3062-IF(ISNUMBER(N3062),N3062,0)-IF(ISNUMBER(O3062),O3062,0)+IF(ISNUMBER(P3062),P3062,0),2),"")</f>
        <v/>
      </c>
      <c r="S3062" s="9" t="str">
        <f aca="false">IF(R3062="","",ROUND(L3062-R3062,2))</f>
        <v/>
      </c>
      <c r="T3062" s="8" t="str">
        <f aca="false">IF(A3062="","",IF(S3062="","BYPASS",IF(ABS(S3062)&lt;=Summary!$B$2,"PASS","FAIL")))</f>
        <v/>
      </c>
      <c r="U3062" s="8" t="str">
        <f aca="false">IF(T3062="BYPASS",IF(NOT(ISNUMBER(Q3062)),"PreV_ETB missing","End_tr_balance missing"),IF(T3062="FAIL",IF(AND(ISNUMBER(K3062),ISNUMBER(L3062),ABS(L3062-(K3062-IF(ISNUMBER(N3062),N3062,0)-IF(ISNUMBER(O3062),O3062,0)+IF(ISNUMBER(P3062),P3062,0)))&lt;=Summary!$B$2),"Passes using beginning_balance - PreV_ETB differs from beginning_balance",IF(AND(ISNUMBER(O3062),O3062&lt;0,ABS(L3062-(Q3062-IF(ISNUMBER(N3062),N3062,0)+IF(ISNUMBER(P3062),P3062,0)))&lt;=Summary!$B$2),"Negative realized loss not applied - check sign",IF(R3062&lt;0,"Principal paid exceeds prior balance",IF(AND(L3062&gt;Q3062,NOT(ISNUMBER(P3062))),"Balance increased but no Deferred_interest reported",IF(L3062&gt;R3062,"Reported balance higher than expected (missing increase/OC build)","Reported balance lower than expected (missing decrease)"))))),""))</f>
        <v/>
      </c>
    </row>
    <row r="3063" customFormat="false" ht="15" hidden="false" customHeight="false" outlineLevel="0" collapsed="false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9"/>
      <c r="L3063" s="9"/>
      <c r="M3063" s="9"/>
      <c r="N3063" s="9"/>
      <c r="O3063" s="9"/>
      <c r="P3063" s="9"/>
      <c r="Q3063" s="9"/>
      <c r="R3063" s="9" t="str">
        <f aca="false">IF(AND(A3063&lt;&gt;"",ISNUMBER(Q3063),ISNUMBER(L3063)),ROUND(Q3063-IF(ISNUMBER(N3063),N3063,0)-IF(ISNUMBER(O3063),O3063,0)+IF(ISNUMBER(P3063),P3063,0),2),"")</f>
        <v/>
      </c>
      <c r="S3063" s="9" t="str">
        <f aca="false">IF(R3063="","",ROUND(L3063-R3063,2))</f>
        <v/>
      </c>
      <c r="T3063" s="8" t="str">
        <f aca="false">IF(A3063="","",IF(S3063="","BYPASS",IF(ABS(S3063)&lt;=Summary!$B$2,"PASS","FAIL")))</f>
        <v/>
      </c>
      <c r="U3063" s="8" t="str">
        <f aca="false">IF(T3063="BYPASS",IF(NOT(ISNUMBER(Q3063)),"PreV_ETB missing","End_tr_balance missing"),IF(T3063="FAIL",IF(AND(ISNUMBER(K3063),ISNUMBER(L3063),ABS(L3063-(K3063-IF(ISNUMBER(N3063),N3063,0)-IF(ISNUMBER(O3063),O3063,0)+IF(ISNUMBER(P3063),P3063,0)))&lt;=Summary!$B$2),"Passes using beginning_balance - PreV_ETB differs from beginning_balance",IF(AND(ISNUMBER(O3063),O3063&lt;0,ABS(L3063-(Q3063-IF(ISNUMBER(N3063),N3063,0)+IF(ISNUMBER(P3063),P3063,0)))&lt;=Summary!$B$2),"Negative realized loss not applied - check sign",IF(R3063&lt;0,"Principal paid exceeds prior balance",IF(AND(L3063&gt;Q3063,NOT(ISNUMBER(P3063))),"Balance increased but no Deferred_interest reported",IF(L3063&gt;R3063,"Reported balance higher than expected (missing increase/OC build)","Reported balance lower than expected (missing decrease)"))))),""))</f>
        <v/>
      </c>
    </row>
    <row r="3064" customFormat="false" ht="15" hidden="false" customHeight="false" outlineLevel="0" collapsed="false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9"/>
      <c r="L3064" s="9"/>
      <c r="M3064" s="9"/>
      <c r="N3064" s="9"/>
      <c r="O3064" s="9"/>
      <c r="P3064" s="9"/>
      <c r="Q3064" s="9"/>
      <c r="R3064" s="9" t="str">
        <f aca="false">IF(AND(A3064&lt;&gt;"",ISNUMBER(Q3064),ISNUMBER(L3064)),ROUND(Q3064-IF(ISNUMBER(N3064),N3064,0)-IF(ISNUMBER(O3064),O3064,0)+IF(ISNUMBER(P3064),P3064,0),2),"")</f>
        <v/>
      </c>
      <c r="S3064" s="9" t="str">
        <f aca="false">IF(R3064="","",ROUND(L3064-R3064,2))</f>
        <v/>
      </c>
      <c r="T3064" s="8" t="str">
        <f aca="false">IF(A3064="","",IF(S3064="","BYPASS",IF(ABS(S3064)&lt;=Summary!$B$2,"PASS","FAIL")))</f>
        <v/>
      </c>
      <c r="U3064" s="8" t="str">
        <f aca="false">IF(T3064="BYPASS",IF(NOT(ISNUMBER(Q3064)),"PreV_ETB missing","End_tr_balance missing"),IF(T3064="FAIL",IF(AND(ISNUMBER(K3064),ISNUMBER(L3064),ABS(L3064-(K3064-IF(ISNUMBER(N3064),N3064,0)-IF(ISNUMBER(O3064),O3064,0)+IF(ISNUMBER(P3064),P3064,0)))&lt;=Summary!$B$2),"Passes using beginning_balance - PreV_ETB differs from beginning_balance",IF(AND(ISNUMBER(O3064),O3064&lt;0,ABS(L3064-(Q3064-IF(ISNUMBER(N3064),N3064,0)+IF(ISNUMBER(P3064),P3064,0)))&lt;=Summary!$B$2),"Negative realized loss not applied - check sign",IF(R3064&lt;0,"Principal paid exceeds prior balance",IF(AND(L3064&gt;Q3064,NOT(ISNUMBER(P3064))),"Balance increased but no Deferred_interest reported",IF(L3064&gt;R3064,"Reported balance higher than expected (missing increase/OC build)","Reported balance lower than expected (missing decrease)"))))),""))</f>
        <v/>
      </c>
    </row>
    <row r="3065" customFormat="false" ht="15" hidden="false" customHeight="false" outlineLevel="0" collapsed="false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9"/>
      <c r="L3065" s="9"/>
      <c r="M3065" s="9"/>
      <c r="N3065" s="9"/>
      <c r="O3065" s="9"/>
      <c r="P3065" s="9"/>
      <c r="Q3065" s="9"/>
      <c r="R3065" s="9" t="str">
        <f aca="false">IF(AND(A3065&lt;&gt;"",ISNUMBER(Q3065),ISNUMBER(L3065)),ROUND(Q3065-IF(ISNUMBER(N3065),N3065,0)-IF(ISNUMBER(O3065),O3065,0)+IF(ISNUMBER(P3065),P3065,0),2),"")</f>
        <v/>
      </c>
      <c r="S3065" s="9" t="str">
        <f aca="false">IF(R3065="","",ROUND(L3065-R3065,2))</f>
        <v/>
      </c>
      <c r="T3065" s="8" t="str">
        <f aca="false">IF(A3065="","",IF(S3065="","BYPASS",IF(ABS(S3065)&lt;=Summary!$B$2,"PASS","FAIL")))</f>
        <v/>
      </c>
      <c r="U3065" s="8" t="str">
        <f aca="false">IF(T3065="BYPASS",IF(NOT(ISNUMBER(Q3065)),"PreV_ETB missing","End_tr_balance missing"),IF(T3065="FAIL",IF(AND(ISNUMBER(K3065),ISNUMBER(L3065),ABS(L3065-(K3065-IF(ISNUMBER(N3065),N3065,0)-IF(ISNUMBER(O3065),O3065,0)+IF(ISNUMBER(P3065),P3065,0)))&lt;=Summary!$B$2),"Passes using beginning_balance - PreV_ETB differs from beginning_balance",IF(AND(ISNUMBER(O3065),O3065&lt;0,ABS(L3065-(Q3065-IF(ISNUMBER(N3065),N3065,0)+IF(ISNUMBER(P3065),P3065,0)))&lt;=Summary!$B$2),"Negative realized loss not applied - check sign",IF(R3065&lt;0,"Principal paid exceeds prior balance",IF(AND(L3065&gt;Q3065,NOT(ISNUMBER(P3065))),"Balance increased but no Deferred_interest reported",IF(L3065&gt;R3065,"Reported balance higher than expected (missing increase/OC build)","Reported balance lower than expected (missing decrease)"))))),""))</f>
        <v/>
      </c>
    </row>
    <row r="3066" customFormat="false" ht="15" hidden="false" customHeight="false" outlineLevel="0" collapsed="false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9"/>
      <c r="L3066" s="9"/>
      <c r="M3066" s="9"/>
      <c r="N3066" s="9"/>
      <c r="O3066" s="9"/>
      <c r="P3066" s="9"/>
      <c r="Q3066" s="9"/>
      <c r="R3066" s="9" t="str">
        <f aca="false">IF(AND(A3066&lt;&gt;"",ISNUMBER(Q3066),ISNUMBER(L3066)),ROUND(Q3066-IF(ISNUMBER(N3066),N3066,0)-IF(ISNUMBER(O3066),O3066,0)+IF(ISNUMBER(P3066),P3066,0),2),"")</f>
        <v/>
      </c>
      <c r="S3066" s="9" t="str">
        <f aca="false">IF(R3066="","",ROUND(L3066-R3066,2))</f>
        <v/>
      </c>
      <c r="T3066" s="8" t="str">
        <f aca="false">IF(A3066="","",IF(S3066="","BYPASS",IF(ABS(S3066)&lt;=Summary!$B$2,"PASS","FAIL")))</f>
        <v/>
      </c>
      <c r="U3066" s="8" t="str">
        <f aca="false">IF(T3066="BYPASS",IF(NOT(ISNUMBER(Q3066)),"PreV_ETB missing","End_tr_balance missing"),IF(T3066="FAIL",IF(AND(ISNUMBER(K3066),ISNUMBER(L3066),ABS(L3066-(K3066-IF(ISNUMBER(N3066),N3066,0)-IF(ISNUMBER(O3066),O3066,0)+IF(ISNUMBER(P3066),P3066,0)))&lt;=Summary!$B$2),"Passes using beginning_balance - PreV_ETB differs from beginning_balance",IF(AND(ISNUMBER(O3066),O3066&lt;0,ABS(L3066-(Q3066-IF(ISNUMBER(N3066),N3066,0)+IF(ISNUMBER(P3066),P3066,0)))&lt;=Summary!$B$2),"Negative realized loss not applied - check sign",IF(R3066&lt;0,"Principal paid exceeds prior balance",IF(AND(L3066&gt;Q3066,NOT(ISNUMBER(P3066))),"Balance increased but no Deferred_interest reported",IF(L3066&gt;R3066,"Reported balance higher than expected (missing increase/OC build)","Reported balance lower than expected (missing decrease)"))))),""))</f>
        <v/>
      </c>
    </row>
    <row r="3067" customFormat="false" ht="15" hidden="false" customHeight="false" outlineLevel="0" collapsed="false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9"/>
      <c r="L3067" s="9"/>
      <c r="M3067" s="9"/>
      <c r="N3067" s="9"/>
      <c r="O3067" s="9"/>
      <c r="P3067" s="9"/>
      <c r="Q3067" s="9"/>
      <c r="R3067" s="9" t="str">
        <f aca="false">IF(AND(A3067&lt;&gt;"",ISNUMBER(Q3067),ISNUMBER(L3067)),ROUND(Q3067-IF(ISNUMBER(N3067),N3067,0)-IF(ISNUMBER(O3067),O3067,0)+IF(ISNUMBER(P3067),P3067,0),2),"")</f>
        <v/>
      </c>
      <c r="S3067" s="9" t="str">
        <f aca="false">IF(R3067="","",ROUND(L3067-R3067,2))</f>
        <v/>
      </c>
      <c r="T3067" s="8" t="str">
        <f aca="false">IF(A3067="","",IF(S3067="","BYPASS",IF(ABS(S3067)&lt;=Summary!$B$2,"PASS","FAIL")))</f>
        <v/>
      </c>
      <c r="U3067" s="8" t="str">
        <f aca="false">IF(T3067="BYPASS",IF(NOT(ISNUMBER(Q3067)),"PreV_ETB missing","End_tr_balance missing"),IF(T3067="FAIL",IF(AND(ISNUMBER(K3067),ISNUMBER(L3067),ABS(L3067-(K3067-IF(ISNUMBER(N3067),N3067,0)-IF(ISNUMBER(O3067),O3067,0)+IF(ISNUMBER(P3067),P3067,0)))&lt;=Summary!$B$2),"Passes using beginning_balance - PreV_ETB differs from beginning_balance",IF(AND(ISNUMBER(O3067),O3067&lt;0,ABS(L3067-(Q3067-IF(ISNUMBER(N3067),N3067,0)+IF(ISNUMBER(P3067),P3067,0)))&lt;=Summary!$B$2),"Negative realized loss not applied - check sign",IF(R3067&lt;0,"Principal paid exceeds prior balance",IF(AND(L3067&gt;Q3067,NOT(ISNUMBER(P3067))),"Balance increased but no Deferred_interest reported",IF(L3067&gt;R3067,"Reported balance higher than expected (missing increase/OC build)","Reported balance lower than expected (missing decrease)"))))),""))</f>
        <v/>
      </c>
    </row>
    <row r="3068" customFormat="false" ht="15" hidden="false" customHeight="false" outlineLevel="0" collapsed="false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9"/>
      <c r="L3068" s="9"/>
      <c r="M3068" s="9"/>
      <c r="N3068" s="9"/>
      <c r="O3068" s="9"/>
      <c r="P3068" s="9"/>
      <c r="Q3068" s="9"/>
      <c r="R3068" s="9" t="str">
        <f aca="false">IF(AND(A3068&lt;&gt;"",ISNUMBER(Q3068),ISNUMBER(L3068)),ROUND(Q3068-IF(ISNUMBER(N3068),N3068,0)-IF(ISNUMBER(O3068),O3068,0)+IF(ISNUMBER(P3068),P3068,0),2),"")</f>
        <v/>
      </c>
      <c r="S3068" s="9" t="str">
        <f aca="false">IF(R3068="","",ROUND(L3068-R3068,2))</f>
        <v/>
      </c>
      <c r="T3068" s="8" t="str">
        <f aca="false">IF(A3068="","",IF(S3068="","BYPASS",IF(ABS(S3068)&lt;=Summary!$B$2,"PASS","FAIL")))</f>
        <v/>
      </c>
      <c r="U3068" s="8" t="str">
        <f aca="false">IF(T3068="BYPASS",IF(NOT(ISNUMBER(Q3068)),"PreV_ETB missing","End_tr_balance missing"),IF(T3068="FAIL",IF(AND(ISNUMBER(K3068),ISNUMBER(L3068),ABS(L3068-(K3068-IF(ISNUMBER(N3068),N3068,0)-IF(ISNUMBER(O3068),O3068,0)+IF(ISNUMBER(P3068),P3068,0)))&lt;=Summary!$B$2),"Passes using beginning_balance - PreV_ETB differs from beginning_balance",IF(AND(ISNUMBER(O3068),O3068&lt;0,ABS(L3068-(Q3068-IF(ISNUMBER(N3068),N3068,0)+IF(ISNUMBER(P3068),P3068,0)))&lt;=Summary!$B$2),"Negative realized loss not applied - check sign",IF(R3068&lt;0,"Principal paid exceeds prior balance",IF(AND(L3068&gt;Q3068,NOT(ISNUMBER(P3068))),"Balance increased but no Deferred_interest reported",IF(L3068&gt;R3068,"Reported balance higher than expected (missing increase/OC build)","Reported balance lower than expected (missing decrease)"))))),""))</f>
        <v/>
      </c>
    </row>
    <row r="3069" customFormat="false" ht="15" hidden="false" customHeight="false" outlineLevel="0" collapsed="false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9"/>
      <c r="L3069" s="9"/>
      <c r="M3069" s="9"/>
      <c r="N3069" s="9"/>
      <c r="O3069" s="9"/>
      <c r="P3069" s="9"/>
      <c r="Q3069" s="9"/>
      <c r="R3069" s="9" t="str">
        <f aca="false">IF(AND(A3069&lt;&gt;"",ISNUMBER(Q3069),ISNUMBER(L3069)),ROUND(Q3069-IF(ISNUMBER(N3069),N3069,0)-IF(ISNUMBER(O3069),O3069,0)+IF(ISNUMBER(P3069),P3069,0),2),"")</f>
        <v/>
      </c>
      <c r="S3069" s="9" t="str">
        <f aca="false">IF(R3069="","",ROUND(L3069-R3069,2))</f>
        <v/>
      </c>
      <c r="T3069" s="8" t="str">
        <f aca="false">IF(A3069="","",IF(S3069="","BYPASS",IF(ABS(S3069)&lt;=Summary!$B$2,"PASS","FAIL")))</f>
        <v/>
      </c>
      <c r="U3069" s="8" t="str">
        <f aca="false">IF(T3069="BYPASS",IF(NOT(ISNUMBER(Q3069)),"PreV_ETB missing","End_tr_balance missing"),IF(T3069="FAIL",IF(AND(ISNUMBER(K3069),ISNUMBER(L3069),ABS(L3069-(K3069-IF(ISNUMBER(N3069),N3069,0)-IF(ISNUMBER(O3069),O3069,0)+IF(ISNUMBER(P3069),P3069,0)))&lt;=Summary!$B$2),"Passes using beginning_balance - PreV_ETB differs from beginning_balance",IF(AND(ISNUMBER(O3069),O3069&lt;0,ABS(L3069-(Q3069-IF(ISNUMBER(N3069),N3069,0)+IF(ISNUMBER(P3069),P3069,0)))&lt;=Summary!$B$2),"Negative realized loss not applied - check sign",IF(R3069&lt;0,"Principal paid exceeds prior balance",IF(AND(L3069&gt;Q3069,NOT(ISNUMBER(P3069))),"Balance increased but no Deferred_interest reported",IF(L3069&gt;R3069,"Reported balance higher than expected (missing increase/OC build)","Reported balance lower than expected (missing decrease)"))))),""))</f>
        <v/>
      </c>
    </row>
    <row r="3070" customFormat="false" ht="15" hidden="false" customHeight="false" outlineLevel="0" collapsed="false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9"/>
      <c r="L3070" s="9"/>
      <c r="M3070" s="9"/>
      <c r="N3070" s="9"/>
      <c r="O3070" s="9"/>
      <c r="P3070" s="9"/>
      <c r="Q3070" s="9"/>
      <c r="R3070" s="9" t="str">
        <f aca="false">IF(AND(A3070&lt;&gt;"",ISNUMBER(Q3070),ISNUMBER(L3070)),ROUND(Q3070-IF(ISNUMBER(N3070),N3070,0)-IF(ISNUMBER(O3070),O3070,0)+IF(ISNUMBER(P3070),P3070,0),2),"")</f>
        <v/>
      </c>
      <c r="S3070" s="9" t="str">
        <f aca="false">IF(R3070="","",ROUND(L3070-R3070,2))</f>
        <v/>
      </c>
      <c r="T3070" s="8" t="str">
        <f aca="false">IF(A3070="","",IF(S3070="","BYPASS",IF(ABS(S3070)&lt;=Summary!$B$2,"PASS","FAIL")))</f>
        <v/>
      </c>
      <c r="U3070" s="8" t="str">
        <f aca="false">IF(T3070="BYPASS",IF(NOT(ISNUMBER(Q3070)),"PreV_ETB missing","End_tr_balance missing"),IF(T3070="FAIL",IF(AND(ISNUMBER(K3070),ISNUMBER(L3070),ABS(L3070-(K3070-IF(ISNUMBER(N3070),N3070,0)-IF(ISNUMBER(O3070),O3070,0)+IF(ISNUMBER(P3070),P3070,0)))&lt;=Summary!$B$2),"Passes using beginning_balance - PreV_ETB differs from beginning_balance",IF(AND(ISNUMBER(O3070),O3070&lt;0,ABS(L3070-(Q3070-IF(ISNUMBER(N3070),N3070,0)+IF(ISNUMBER(P3070),P3070,0)))&lt;=Summary!$B$2),"Negative realized loss not applied - check sign",IF(R3070&lt;0,"Principal paid exceeds prior balance",IF(AND(L3070&gt;Q3070,NOT(ISNUMBER(P3070))),"Balance increased but no Deferred_interest reported",IF(L3070&gt;R3070,"Reported balance higher than expected (missing increase/OC build)","Reported balance lower than expected (missing decrease)"))))),""))</f>
        <v/>
      </c>
    </row>
    <row r="3071" customFormat="false" ht="15" hidden="false" customHeight="false" outlineLevel="0" collapsed="false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9"/>
      <c r="L3071" s="9"/>
      <c r="M3071" s="9"/>
      <c r="N3071" s="9"/>
      <c r="O3071" s="9"/>
      <c r="P3071" s="9"/>
      <c r="Q3071" s="9"/>
      <c r="R3071" s="9" t="str">
        <f aca="false">IF(AND(A3071&lt;&gt;"",ISNUMBER(Q3071),ISNUMBER(L3071)),ROUND(Q3071-IF(ISNUMBER(N3071),N3071,0)-IF(ISNUMBER(O3071),O3071,0)+IF(ISNUMBER(P3071),P3071,0),2),"")</f>
        <v/>
      </c>
      <c r="S3071" s="9" t="str">
        <f aca="false">IF(R3071="","",ROUND(L3071-R3071,2))</f>
        <v/>
      </c>
      <c r="T3071" s="8" t="str">
        <f aca="false">IF(A3071="","",IF(S3071="","BYPASS",IF(ABS(S3071)&lt;=Summary!$B$2,"PASS","FAIL")))</f>
        <v/>
      </c>
      <c r="U3071" s="8" t="str">
        <f aca="false">IF(T3071="BYPASS",IF(NOT(ISNUMBER(Q3071)),"PreV_ETB missing","End_tr_balance missing"),IF(T3071="FAIL",IF(AND(ISNUMBER(K3071),ISNUMBER(L3071),ABS(L3071-(K3071-IF(ISNUMBER(N3071),N3071,0)-IF(ISNUMBER(O3071),O3071,0)+IF(ISNUMBER(P3071),P3071,0)))&lt;=Summary!$B$2),"Passes using beginning_balance - PreV_ETB differs from beginning_balance",IF(AND(ISNUMBER(O3071),O3071&lt;0,ABS(L3071-(Q3071-IF(ISNUMBER(N3071),N3071,0)+IF(ISNUMBER(P3071),P3071,0)))&lt;=Summary!$B$2),"Negative realized loss not applied - check sign",IF(R3071&lt;0,"Principal paid exceeds prior balance",IF(AND(L3071&gt;Q3071,NOT(ISNUMBER(P3071))),"Balance increased but no Deferred_interest reported",IF(L3071&gt;R3071,"Reported balance higher than expected (missing increase/OC build)","Reported balance lower than expected (missing decrease)"))))),""))</f>
        <v/>
      </c>
    </row>
    <row r="3072" customFormat="false" ht="15" hidden="false" customHeight="false" outlineLevel="0" collapsed="false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9"/>
      <c r="L3072" s="9"/>
      <c r="M3072" s="9"/>
      <c r="N3072" s="9"/>
      <c r="O3072" s="9"/>
      <c r="P3072" s="9"/>
      <c r="Q3072" s="9"/>
      <c r="R3072" s="9" t="str">
        <f aca="false">IF(AND(A3072&lt;&gt;"",ISNUMBER(Q3072),ISNUMBER(L3072)),ROUND(Q3072-IF(ISNUMBER(N3072),N3072,0)-IF(ISNUMBER(O3072),O3072,0)+IF(ISNUMBER(P3072),P3072,0),2),"")</f>
        <v/>
      </c>
      <c r="S3072" s="9" t="str">
        <f aca="false">IF(R3072="","",ROUND(L3072-R3072,2))</f>
        <v/>
      </c>
      <c r="T3072" s="8" t="str">
        <f aca="false">IF(A3072="","",IF(S3072="","BYPASS",IF(ABS(S3072)&lt;=Summary!$B$2,"PASS","FAIL")))</f>
        <v/>
      </c>
      <c r="U3072" s="8" t="str">
        <f aca="false">IF(T3072="BYPASS",IF(NOT(ISNUMBER(Q3072)),"PreV_ETB missing","End_tr_balance missing"),IF(T3072="FAIL",IF(AND(ISNUMBER(K3072),ISNUMBER(L3072),ABS(L3072-(K3072-IF(ISNUMBER(N3072),N3072,0)-IF(ISNUMBER(O3072),O3072,0)+IF(ISNUMBER(P3072),P3072,0)))&lt;=Summary!$B$2),"Passes using beginning_balance - PreV_ETB differs from beginning_balance",IF(AND(ISNUMBER(O3072),O3072&lt;0,ABS(L3072-(Q3072-IF(ISNUMBER(N3072),N3072,0)+IF(ISNUMBER(P3072),P3072,0)))&lt;=Summary!$B$2),"Negative realized loss not applied - check sign",IF(R3072&lt;0,"Principal paid exceeds prior balance",IF(AND(L3072&gt;Q3072,NOT(ISNUMBER(P3072))),"Balance increased but no Deferred_interest reported",IF(L3072&gt;R3072,"Reported balance higher than expected (missing increase/OC build)","Reported balance lower than expected (missing decrease)"))))),""))</f>
        <v/>
      </c>
    </row>
    <row r="3073" customFormat="false" ht="15" hidden="false" customHeight="false" outlineLevel="0" collapsed="false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9"/>
      <c r="L3073" s="9"/>
      <c r="M3073" s="9"/>
      <c r="N3073" s="9"/>
      <c r="O3073" s="9"/>
      <c r="P3073" s="9"/>
      <c r="Q3073" s="9"/>
      <c r="R3073" s="9" t="str">
        <f aca="false">IF(AND(A3073&lt;&gt;"",ISNUMBER(Q3073),ISNUMBER(L3073)),ROUND(Q3073-IF(ISNUMBER(N3073),N3073,0)-IF(ISNUMBER(O3073),O3073,0)+IF(ISNUMBER(P3073),P3073,0),2),"")</f>
        <v/>
      </c>
      <c r="S3073" s="9" t="str">
        <f aca="false">IF(R3073="","",ROUND(L3073-R3073,2))</f>
        <v/>
      </c>
      <c r="T3073" s="8" t="str">
        <f aca="false">IF(A3073="","",IF(S3073="","BYPASS",IF(ABS(S3073)&lt;=Summary!$B$2,"PASS","FAIL")))</f>
        <v/>
      </c>
      <c r="U3073" s="8" t="str">
        <f aca="false">IF(T3073="BYPASS",IF(NOT(ISNUMBER(Q3073)),"PreV_ETB missing","End_tr_balance missing"),IF(T3073="FAIL",IF(AND(ISNUMBER(K3073),ISNUMBER(L3073),ABS(L3073-(K3073-IF(ISNUMBER(N3073),N3073,0)-IF(ISNUMBER(O3073),O3073,0)+IF(ISNUMBER(P3073),P3073,0)))&lt;=Summary!$B$2),"Passes using beginning_balance - PreV_ETB differs from beginning_balance",IF(AND(ISNUMBER(O3073),O3073&lt;0,ABS(L3073-(Q3073-IF(ISNUMBER(N3073),N3073,0)+IF(ISNUMBER(P3073),P3073,0)))&lt;=Summary!$B$2),"Negative realized loss not applied - check sign",IF(R3073&lt;0,"Principal paid exceeds prior balance",IF(AND(L3073&gt;Q3073,NOT(ISNUMBER(P3073))),"Balance increased but no Deferred_interest reported",IF(L3073&gt;R3073,"Reported balance higher than expected (missing increase/OC build)","Reported balance lower than expected (missing decrease)"))))),""))</f>
        <v/>
      </c>
    </row>
    <row r="3074" customFormat="false" ht="15" hidden="false" customHeight="false" outlineLevel="0" collapsed="false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9"/>
      <c r="L3074" s="9"/>
      <c r="M3074" s="9"/>
      <c r="N3074" s="9"/>
      <c r="O3074" s="9"/>
      <c r="P3074" s="9"/>
      <c r="Q3074" s="9"/>
      <c r="R3074" s="9" t="str">
        <f aca="false">IF(AND(A3074&lt;&gt;"",ISNUMBER(Q3074),ISNUMBER(L3074)),ROUND(Q3074-IF(ISNUMBER(N3074),N3074,0)-IF(ISNUMBER(O3074),O3074,0)+IF(ISNUMBER(P3074),P3074,0),2),"")</f>
        <v/>
      </c>
      <c r="S3074" s="9" t="str">
        <f aca="false">IF(R3074="","",ROUND(L3074-R3074,2))</f>
        <v/>
      </c>
      <c r="T3074" s="8" t="str">
        <f aca="false">IF(A3074="","",IF(S3074="","BYPASS",IF(ABS(S3074)&lt;=Summary!$B$2,"PASS","FAIL")))</f>
        <v/>
      </c>
      <c r="U3074" s="8" t="str">
        <f aca="false">IF(T3074="BYPASS",IF(NOT(ISNUMBER(Q3074)),"PreV_ETB missing","End_tr_balance missing"),IF(T3074="FAIL",IF(AND(ISNUMBER(K3074),ISNUMBER(L3074),ABS(L3074-(K3074-IF(ISNUMBER(N3074),N3074,0)-IF(ISNUMBER(O3074),O3074,0)+IF(ISNUMBER(P3074),P3074,0)))&lt;=Summary!$B$2),"Passes using beginning_balance - PreV_ETB differs from beginning_balance",IF(AND(ISNUMBER(O3074),O3074&lt;0,ABS(L3074-(Q3074-IF(ISNUMBER(N3074),N3074,0)+IF(ISNUMBER(P3074),P3074,0)))&lt;=Summary!$B$2),"Negative realized loss not applied - check sign",IF(R3074&lt;0,"Principal paid exceeds prior balance",IF(AND(L3074&gt;Q3074,NOT(ISNUMBER(P3074))),"Balance increased but no Deferred_interest reported",IF(L3074&gt;R3074,"Reported balance higher than expected (missing increase/OC build)","Reported balance lower than expected (missing decrease)"))))),""))</f>
        <v/>
      </c>
    </row>
    <row r="3075" customFormat="false" ht="15" hidden="false" customHeight="false" outlineLevel="0" collapsed="false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9"/>
      <c r="L3075" s="9"/>
      <c r="M3075" s="9"/>
      <c r="N3075" s="9"/>
      <c r="O3075" s="9"/>
      <c r="P3075" s="9"/>
      <c r="Q3075" s="9"/>
      <c r="R3075" s="9" t="str">
        <f aca="false">IF(AND(A3075&lt;&gt;"",ISNUMBER(Q3075),ISNUMBER(L3075)),ROUND(Q3075-IF(ISNUMBER(N3075),N3075,0)-IF(ISNUMBER(O3075),O3075,0)+IF(ISNUMBER(P3075),P3075,0),2),"")</f>
        <v/>
      </c>
      <c r="S3075" s="9" t="str">
        <f aca="false">IF(R3075="","",ROUND(L3075-R3075,2))</f>
        <v/>
      </c>
      <c r="T3075" s="8" t="str">
        <f aca="false">IF(A3075="","",IF(S3075="","BYPASS",IF(ABS(S3075)&lt;=Summary!$B$2,"PASS","FAIL")))</f>
        <v/>
      </c>
      <c r="U3075" s="8" t="str">
        <f aca="false">IF(T3075="BYPASS",IF(NOT(ISNUMBER(Q3075)),"PreV_ETB missing","End_tr_balance missing"),IF(T3075="FAIL",IF(AND(ISNUMBER(K3075),ISNUMBER(L3075),ABS(L3075-(K3075-IF(ISNUMBER(N3075),N3075,0)-IF(ISNUMBER(O3075),O3075,0)+IF(ISNUMBER(P3075),P3075,0)))&lt;=Summary!$B$2),"Passes using beginning_balance - PreV_ETB differs from beginning_balance",IF(AND(ISNUMBER(O3075),O3075&lt;0,ABS(L3075-(Q3075-IF(ISNUMBER(N3075),N3075,0)+IF(ISNUMBER(P3075),P3075,0)))&lt;=Summary!$B$2),"Negative realized loss not applied - check sign",IF(R3075&lt;0,"Principal paid exceeds prior balance",IF(AND(L3075&gt;Q3075,NOT(ISNUMBER(P3075))),"Balance increased but no Deferred_interest reported",IF(L3075&gt;R3075,"Reported balance higher than expected (missing increase/OC build)","Reported balance lower than expected (missing decrease)"))))),""))</f>
        <v/>
      </c>
    </row>
    <row r="3076" customFormat="false" ht="15" hidden="false" customHeight="false" outlineLevel="0" collapsed="false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9"/>
      <c r="L3076" s="9"/>
      <c r="M3076" s="9"/>
      <c r="N3076" s="9"/>
      <c r="O3076" s="9"/>
      <c r="P3076" s="9"/>
      <c r="Q3076" s="9"/>
      <c r="R3076" s="9" t="str">
        <f aca="false">IF(AND(A3076&lt;&gt;"",ISNUMBER(Q3076),ISNUMBER(L3076)),ROUND(Q3076-IF(ISNUMBER(N3076),N3076,0)-IF(ISNUMBER(O3076),O3076,0)+IF(ISNUMBER(P3076),P3076,0),2),"")</f>
        <v/>
      </c>
      <c r="S3076" s="9" t="str">
        <f aca="false">IF(R3076="","",ROUND(L3076-R3076,2))</f>
        <v/>
      </c>
      <c r="T3076" s="8" t="str">
        <f aca="false">IF(A3076="","",IF(S3076="","BYPASS",IF(ABS(S3076)&lt;=Summary!$B$2,"PASS","FAIL")))</f>
        <v/>
      </c>
      <c r="U3076" s="8" t="str">
        <f aca="false">IF(T3076="BYPASS",IF(NOT(ISNUMBER(Q3076)),"PreV_ETB missing","End_tr_balance missing"),IF(T3076="FAIL",IF(AND(ISNUMBER(K3076),ISNUMBER(L3076),ABS(L3076-(K3076-IF(ISNUMBER(N3076),N3076,0)-IF(ISNUMBER(O3076),O3076,0)+IF(ISNUMBER(P3076),P3076,0)))&lt;=Summary!$B$2),"Passes using beginning_balance - PreV_ETB differs from beginning_balance",IF(AND(ISNUMBER(O3076),O3076&lt;0,ABS(L3076-(Q3076-IF(ISNUMBER(N3076),N3076,0)+IF(ISNUMBER(P3076),P3076,0)))&lt;=Summary!$B$2),"Negative realized loss not applied - check sign",IF(R3076&lt;0,"Principal paid exceeds prior balance",IF(AND(L3076&gt;Q3076,NOT(ISNUMBER(P3076))),"Balance increased but no Deferred_interest reported",IF(L3076&gt;R3076,"Reported balance higher than expected (missing increase/OC build)","Reported balance lower than expected (missing decrease)"))))),""))</f>
        <v/>
      </c>
    </row>
    <row r="3077" customFormat="false" ht="15" hidden="false" customHeight="false" outlineLevel="0" collapsed="false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9"/>
      <c r="L3077" s="9"/>
      <c r="M3077" s="9"/>
      <c r="N3077" s="9"/>
      <c r="O3077" s="9"/>
      <c r="P3077" s="9"/>
      <c r="Q3077" s="9"/>
      <c r="R3077" s="9" t="str">
        <f aca="false">IF(AND(A3077&lt;&gt;"",ISNUMBER(Q3077),ISNUMBER(L3077)),ROUND(Q3077-IF(ISNUMBER(N3077),N3077,0)-IF(ISNUMBER(O3077),O3077,0)+IF(ISNUMBER(P3077),P3077,0),2),"")</f>
        <v/>
      </c>
      <c r="S3077" s="9" t="str">
        <f aca="false">IF(R3077="","",ROUND(L3077-R3077,2))</f>
        <v/>
      </c>
      <c r="T3077" s="8" t="str">
        <f aca="false">IF(A3077="","",IF(S3077="","BYPASS",IF(ABS(S3077)&lt;=Summary!$B$2,"PASS","FAIL")))</f>
        <v/>
      </c>
      <c r="U3077" s="8" t="str">
        <f aca="false">IF(T3077="BYPASS",IF(NOT(ISNUMBER(Q3077)),"PreV_ETB missing","End_tr_balance missing"),IF(T3077="FAIL",IF(AND(ISNUMBER(K3077),ISNUMBER(L3077),ABS(L3077-(K3077-IF(ISNUMBER(N3077),N3077,0)-IF(ISNUMBER(O3077),O3077,0)+IF(ISNUMBER(P3077),P3077,0)))&lt;=Summary!$B$2),"Passes using beginning_balance - PreV_ETB differs from beginning_balance",IF(AND(ISNUMBER(O3077),O3077&lt;0,ABS(L3077-(Q3077-IF(ISNUMBER(N3077),N3077,0)+IF(ISNUMBER(P3077),P3077,0)))&lt;=Summary!$B$2),"Negative realized loss not applied - check sign",IF(R3077&lt;0,"Principal paid exceeds prior balance",IF(AND(L3077&gt;Q3077,NOT(ISNUMBER(P3077))),"Balance increased but no Deferred_interest reported",IF(L3077&gt;R3077,"Reported balance higher than expected (missing increase/OC build)","Reported balance lower than expected (missing decrease)"))))),""))</f>
        <v/>
      </c>
    </row>
    <row r="3078" customFormat="false" ht="15" hidden="false" customHeight="false" outlineLevel="0" collapsed="false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9"/>
      <c r="L3078" s="9"/>
      <c r="M3078" s="9"/>
      <c r="N3078" s="9"/>
      <c r="O3078" s="9"/>
      <c r="P3078" s="9"/>
      <c r="Q3078" s="9"/>
      <c r="R3078" s="9" t="str">
        <f aca="false">IF(AND(A3078&lt;&gt;"",ISNUMBER(Q3078),ISNUMBER(L3078)),ROUND(Q3078-IF(ISNUMBER(N3078),N3078,0)-IF(ISNUMBER(O3078),O3078,0)+IF(ISNUMBER(P3078),P3078,0),2),"")</f>
        <v/>
      </c>
      <c r="S3078" s="9" t="str">
        <f aca="false">IF(R3078="","",ROUND(L3078-R3078,2))</f>
        <v/>
      </c>
      <c r="T3078" s="8" t="str">
        <f aca="false">IF(A3078="","",IF(S3078="","BYPASS",IF(ABS(S3078)&lt;=Summary!$B$2,"PASS","FAIL")))</f>
        <v/>
      </c>
      <c r="U3078" s="8" t="str">
        <f aca="false">IF(T3078="BYPASS",IF(NOT(ISNUMBER(Q3078)),"PreV_ETB missing","End_tr_balance missing"),IF(T3078="FAIL",IF(AND(ISNUMBER(K3078),ISNUMBER(L3078),ABS(L3078-(K3078-IF(ISNUMBER(N3078),N3078,0)-IF(ISNUMBER(O3078),O3078,0)+IF(ISNUMBER(P3078),P3078,0)))&lt;=Summary!$B$2),"Passes using beginning_balance - PreV_ETB differs from beginning_balance",IF(AND(ISNUMBER(O3078),O3078&lt;0,ABS(L3078-(Q3078-IF(ISNUMBER(N3078),N3078,0)+IF(ISNUMBER(P3078),P3078,0)))&lt;=Summary!$B$2),"Negative realized loss not applied - check sign",IF(R3078&lt;0,"Principal paid exceeds prior balance",IF(AND(L3078&gt;Q3078,NOT(ISNUMBER(P3078))),"Balance increased but no Deferred_interest reported",IF(L3078&gt;R3078,"Reported balance higher than expected (missing increase/OC build)","Reported balance lower than expected (missing decrease)"))))),""))</f>
        <v/>
      </c>
    </row>
    <row r="3079" customFormat="false" ht="15" hidden="false" customHeight="false" outlineLevel="0" collapsed="false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9"/>
      <c r="L3079" s="9"/>
      <c r="M3079" s="9"/>
      <c r="N3079" s="9"/>
      <c r="O3079" s="9"/>
      <c r="P3079" s="9"/>
      <c r="Q3079" s="9"/>
      <c r="R3079" s="9" t="str">
        <f aca="false">IF(AND(A3079&lt;&gt;"",ISNUMBER(Q3079),ISNUMBER(L3079)),ROUND(Q3079-IF(ISNUMBER(N3079),N3079,0)-IF(ISNUMBER(O3079),O3079,0)+IF(ISNUMBER(P3079),P3079,0),2),"")</f>
        <v/>
      </c>
      <c r="S3079" s="9" t="str">
        <f aca="false">IF(R3079="","",ROUND(L3079-R3079,2))</f>
        <v/>
      </c>
      <c r="T3079" s="8" t="str">
        <f aca="false">IF(A3079="","",IF(S3079="","BYPASS",IF(ABS(S3079)&lt;=Summary!$B$2,"PASS","FAIL")))</f>
        <v/>
      </c>
      <c r="U3079" s="8" t="str">
        <f aca="false">IF(T3079="BYPASS",IF(NOT(ISNUMBER(Q3079)),"PreV_ETB missing","End_tr_balance missing"),IF(T3079="FAIL",IF(AND(ISNUMBER(K3079),ISNUMBER(L3079),ABS(L3079-(K3079-IF(ISNUMBER(N3079),N3079,0)-IF(ISNUMBER(O3079),O3079,0)+IF(ISNUMBER(P3079),P3079,0)))&lt;=Summary!$B$2),"Passes using beginning_balance - PreV_ETB differs from beginning_balance",IF(AND(ISNUMBER(O3079),O3079&lt;0,ABS(L3079-(Q3079-IF(ISNUMBER(N3079),N3079,0)+IF(ISNUMBER(P3079),P3079,0)))&lt;=Summary!$B$2),"Negative realized loss not applied - check sign",IF(R3079&lt;0,"Principal paid exceeds prior balance",IF(AND(L3079&gt;Q3079,NOT(ISNUMBER(P3079))),"Balance increased but no Deferred_interest reported",IF(L3079&gt;R3079,"Reported balance higher than expected (missing increase/OC build)","Reported balance lower than expected (missing decrease)"))))),""))</f>
        <v/>
      </c>
    </row>
    <row r="3080" customFormat="false" ht="15" hidden="false" customHeight="false" outlineLevel="0" collapsed="false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9"/>
      <c r="L3080" s="9"/>
      <c r="M3080" s="9"/>
      <c r="N3080" s="9"/>
      <c r="O3080" s="9"/>
      <c r="P3080" s="9"/>
      <c r="Q3080" s="9"/>
      <c r="R3080" s="9" t="str">
        <f aca="false">IF(AND(A3080&lt;&gt;"",ISNUMBER(Q3080),ISNUMBER(L3080)),ROUND(Q3080-IF(ISNUMBER(N3080),N3080,0)-IF(ISNUMBER(O3080),O3080,0)+IF(ISNUMBER(P3080),P3080,0),2),"")</f>
        <v/>
      </c>
      <c r="S3080" s="9" t="str">
        <f aca="false">IF(R3080="","",ROUND(L3080-R3080,2))</f>
        <v/>
      </c>
      <c r="T3080" s="8" t="str">
        <f aca="false">IF(A3080="","",IF(S3080="","BYPASS",IF(ABS(S3080)&lt;=Summary!$B$2,"PASS","FAIL")))</f>
        <v/>
      </c>
      <c r="U3080" s="8" t="str">
        <f aca="false">IF(T3080="BYPASS",IF(NOT(ISNUMBER(Q3080)),"PreV_ETB missing","End_tr_balance missing"),IF(T3080="FAIL",IF(AND(ISNUMBER(K3080),ISNUMBER(L3080),ABS(L3080-(K3080-IF(ISNUMBER(N3080),N3080,0)-IF(ISNUMBER(O3080),O3080,0)+IF(ISNUMBER(P3080),P3080,0)))&lt;=Summary!$B$2),"Passes using beginning_balance - PreV_ETB differs from beginning_balance",IF(AND(ISNUMBER(O3080),O3080&lt;0,ABS(L3080-(Q3080-IF(ISNUMBER(N3080),N3080,0)+IF(ISNUMBER(P3080),P3080,0)))&lt;=Summary!$B$2),"Negative realized loss not applied - check sign",IF(R3080&lt;0,"Principal paid exceeds prior balance",IF(AND(L3080&gt;Q3080,NOT(ISNUMBER(P3080))),"Balance increased but no Deferred_interest reported",IF(L3080&gt;R3080,"Reported balance higher than expected (missing increase/OC build)","Reported balance lower than expected (missing decrease)"))))),""))</f>
        <v/>
      </c>
    </row>
    <row r="3081" customFormat="false" ht="15" hidden="false" customHeight="false" outlineLevel="0" collapsed="false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9"/>
      <c r="L3081" s="9"/>
      <c r="M3081" s="9"/>
      <c r="N3081" s="9"/>
      <c r="O3081" s="9"/>
      <c r="P3081" s="9"/>
      <c r="Q3081" s="9"/>
      <c r="R3081" s="9" t="str">
        <f aca="false">IF(AND(A3081&lt;&gt;"",ISNUMBER(Q3081),ISNUMBER(L3081)),ROUND(Q3081-IF(ISNUMBER(N3081),N3081,0)-IF(ISNUMBER(O3081),O3081,0)+IF(ISNUMBER(P3081),P3081,0),2),"")</f>
        <v/>
      </c>
      <c r="S3081" s="9" t="str">
        <f aca="false">IF(R3081="","",ROUND(L3081-R3081,2))</f>
        <v/>
      </c>
      <c r="T3081" s="8" t="str">
        <f aca="false">IF(A3081="","",IF(S3081="","BYPASS",IF(ABS(S3081)&lt;=Summary!$B$2,"PASS","FAIL")))</f>
        <v/>
      </c>
      <c r="U3081" s="8" t="str">
        <f aca="false">IF(T3081="BYPASS",IF(NOT(ISNUMBER(Q3081)),"PreV_ETB missing","End_tr_balance missing"),IF(T3081="FAIL",IF(AND(ISNUMBER(K3081),ISNUMBER(L3081),ABS(L3081-(K3081-IF(ISNUMBER(N3081),N3081,0)-IF(ISNUMBER(O3081),O3081,0)+IF(ISNUMBER(P3081),P3081,0)))&lt;=Summary!$B$2),"Passes using beginning_balance - PreV_ETB differs from beginning_balance",IF(AND(ISNUMBER(O3081),O3081&lt;0,ABS(L3081-(Q3081-IF(ISNUMBER(N3081),N3081,0)+IF(ISNUMBER(P3081),P3081,0)))&lt;=Summary!$B$2),"Negative realized loss not applied - check sign",IF(R3081&lt;0,"Principal paid exceeds prior balance",IF(AND(L3081&gt;Q3081,NOT(ISNUMBER(P3081))),"Balance increased but no Deferred_interest reported",IF(L3081&gt;R3081,"Reported balance higher than expected (missing increase/OC build)","Reported balance lower than expected (missing decrease)"))))),""))</f>
        <v/>
      </c>
    </row>
    <row r="3082" customFormat="false" ht="15" hidden="false" customHeight="false" outlineLevel="0" collapsed="false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9"/>
      <c r="L3082" s="9"/>
      <c r="M3082" s="9"/>
      <c r="N3082" s="9"/>
      <c r="O3082" s="9"/>
      <c r="P3082" s="9"/>
      <c r="Q3082" s="9"/>
      <c r="R3082" s="9" t="str">
        <f aca="false">IF(AND(A3082&lt;&gt;"",ISNUMBER(Q3082),ISNUMBER(L3082)),ROUND(Q3082-IF(ISNUMBER(N3082),N3082,0)-IF(ISNUMBER(O3082),O3082,0)+IF(ISNUMBER(P3082),P3082,0),2),"")</f>
        <v/>
      </c>
      <c r="S3082" s="9" t="str">
        <f aca="false">IF(R3082="","",ROUND(L3082-R3082,2))</f>
        <v/>
      </c>
      <c r="T3082" s="8" t="str">
        <f aca="false">IF(A3082="","",IF(S3082="","BYPASS",IF(ABS(S3082)&lt;=Summary!$B$2,"PASS","FAIL")))</f>
        <v/>
      </c>
      <c r="U3082" s="8" t="str">
        <f aca="false">IF(T3082="BYPASS",IF(NOT(ISNUMBER(Q3082)),"PreV_ETB missing","End_tr_balance missing"),IF(T3082="FAIL",IF(AND(ISNUMBER(K3082),ISNUMBER(L3082),ABS(L3082-(K3082-IF(ISNUMBER(N3082),N3082,0)-IF(ISNUMBER(O3082),O3082,0)+IF(ISNUMBER(P3082),P3082,0)))&lt;=Summary!$B$2),"Passes using beginning_balance - PreV_ETB differs from beginning_balance",IF(AND(ISNUMBER(O3082),O3082&lt;0,ABS(L3082-(Q3082-IF(ISNUMBER(N3082),N3082,0)+IF(ISNUMBER(P3082),P3082,0)))&lt;=Summary!$B$2),"Negative realized loss not applied - check sign",IF(R3082&lt;0,"Principal paid exceeds prior balance",IF(AND(L3082&gt;Q3082,NOT(ISNUMBER(P3082))),"Balance increased but no Deferred_interest reported",IF(L3082&gt;R3082,"Reported balance higher than expected (missing increase/OC build)","Reported balance lower than expected (missing decrease)"))))),""))</f>
        <v/>
      </c>
    </row>
    <row r="3083" customFormat="false" ht="15" hidden="false" customHeight="false" outlineLevel="0" collapsed="false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9"/>
      <c r="L3083" s="9"/>
      <c r="M3083" s="9"/>
      <c r="N3083" s="9"/>
      <c r="O3083" s="9"/>
      <c r="P3083" s="9"/>
      <c r="Q3083" s="9"/>
      <c r="R3083" s="9" t="str">
        <f aca="false">IF(AND(A3083&lt;&gt;"",ISNUMBER(Q3083),ISNUMBER(L3083)),ROUND(Q3083-IF(ISNUMBER(N3083),N3083,0)-IF(ISNUMBER(O3083),O3083,0)+IF(ISNUMBER(P3083),P3083,0),2),"")</f>
        <v/>
      </c>
      <c r="S3083" s="9" t="str">
        <f aca="false">IF(R3083="","",ROUND(L3083-R3083,2))</f>
        <v/>
      </c>
      <c r="T3083" s="8" t="str">
        <f aca="false">IF(A3083="","",IF(S3083="","BYPASS",IF(ABS(S3083)&lt;=Summary!$B$2,"PASS","FAIL")))</f>
        <v/>
      </c>
      <c r="U3083" s="8" t="str">
        <f aca="false">IF(T3083="BYPASS",IF(NOT(ISNUMBER(Q3083)),"PreV_ETB missing","End_tr_balance missing"),IF(T3083="FAIL",IF(AND(ISNUMBER(K3083),ISNUMBER(L3083),ABS(L3083-(K3083-IF(ISNUMBER(N3083),N3083,0)-IF(ISNUMBER(O3083),O3083,0)+IF(ISNUMBER(P3083),P3083,0)))&lt;=Summary!$B$2),"Passes using beginning_balance - PreV_ETB differs from beginning_balance",IF(AND(ISNUMBER(O3083),O3083&lt;0,ABS(L3083-(Q3083-IF(ISNUMBER(N3083),N3083,0)+IF(ISNUMBER(P3083),P3083,0)))&lt;=Summary!$B$2),"Negative realized loss not applied - check sign",IF(R3083&lt;0,"Principal paid exceeds prior balance",IF(AND(L3083&gt;Q3083,NOT(ISNUMBER(P3083))),"Balance increased but no Deferred_interest reported",IF(L3083&gt;R3083,"Reported balance higher than expected (missing increase/OC build)","Reported balance lower than expected (missing decrease)"))))),""))</f>
        <v/>
      </c>
    </row>
    <row r="3084" customFormat="false" ht="15" hidden="false" customHeight="false" outlineLevel="0" collapsed="false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9"/>
      <c r="L3084" s="9"/>
      <c r="M3084" s="9"/>
      <c r="N3084" s="9"/>
      <c r="O3084" s="9"/>
      <c r="P3084" s="9"/>
      <c r="Q3084" s="9"/>
      <c r="R3084" s="9" t="str">
        <f aca="false">IF(AND(A3084&lt;&gt;"",ISNUMBER(Q3084),ISNUMBER(L3084)),ROUND(Q3084-IF(ISNUMBER(N3084),N3084,0)-IF(ISNUMBER(O3084),O3084,0)+IF(ISNUMBER(P3084),P3084,0),2),"")</f>
        <v/>
      </c>
      <c r="S3084" s="9" t="str">
        <f aca="false">IF(R3084="","",ROUND(L3084-R3084,2))</f>
        <v/>
      </c>
      <c r="T3084" s="8" t="str">
        <f aca="false">IF(A3084="","",IF(S3084="","BYPASS",IF(ABS(S3084)&lt;=Summary!$B$2,"PASS","FAIL")))</f>
        <v/>
      </c>
      <c r="U3084" s="8" t="str">
        <f aca="false">IF(T3084="BYPASS",IF(NOT(ISNUMBER(Q3084)),"PreV_ETB missing","End_tr_balance missing"),IF(T3084="FAIL",IF(AND(ISNUMBER(K3084),ISNUMBER(L3084),ABS(L3084-(K3084-IF(ISNUMBER(N3084),N3084,0)-IF(ISNUMBER(O3084),O3084,0)+IF(ISNUMBER(P3084),P3084,0)))&lt;=Summary!$B$2),"Passes using beginning_balance - PreV_ETB differs from beginning_balance",IF(AND(ISNUMBER(O3084),O3084&lt;0,ABS(L3084-(Q3084-IF(ISNUMBER(N3084),N3084,0)+IF(ISNUMBER(P3084),P3084,0)))&lt;=Summary!$B$2),"Negative realized loss not applied - check sign",IF(R3084&lt;0,"Principal paid exceeds prior balance",IF(AND(L3084&gt;Q3084,NOT(ISNUMBER(P3084))),"Balance increased but no Deferred_interest reported",IF(L3084&gt;R3084,"Reported balance higher than expected (missing increase/OC build)","Reported balance lower than expected (missing decrease)"))))),""))</f>
        <v/>
      </c>
    </row>
    <row r="3085" customFormat="false" ht="15" hidden="false" customHeight="false" outlineLevel="0" collapsed="false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9"/>
      <c r="L3085" s="9"/>
      <c r="M3085" s="9"/>
      <c r="N3085" s="9"/>
      <c r="O3085" s="9"/>
      <c r="P3085" s="9"/>
      <c r="Q3085" s="9"/>
      <c r="R3085" s="9" t="str">
        <f aca="false">IF(AND(A3085&lt;&gt;"",ISNUMBER(Q3085),ISNUMBER(L3085)),ROUND(Q3085-IF(ISNUMBER(N3085),N3085,0)-IF(ISNUMBER(O3085),O3085,0)+IF(ISNUMBER(P3085),P3085,0),2),"")</f>
        <v/>
      </c>
      <c r="S3085" s="9" t="str">
        <f aca="false">IF(R3085="","",ROUND(L3085-R3085,2))</f>
        <v/>
      </c>
      <c r="T3085" s="8" t="str">
        <f aca="false">IF(A3085="","",IF(S3085="","BYPASS",IF(ABS(S3085)&lt;=Summary!$B$2,"PASS","FAIL")))</f>
        <v/>
      </c>
      <c r="U3085" s="8" t="str">
        <f aca="false">IF(T3085="BYPASS",IF(NOT(ISNUMBER(Q3085)),"PreV_ETB missing","End_tr_balance missing"),IF(T3085="FAIL",IF(AND(ISNUMBER(K3085),ISNUMBER(L3085),ABS(L3085-(K3085-IF(ISNUMBER(N3085),N3085,0)-IF(ISNUMBER(O3085),O3085,0)+IF(ISNUMBER(P3085),P3085,0)))&lt;=Summary!$B$2),"Passes using beginning_balance - PreV_ETB differs from beginning_balance",IF(AND(ISNUMBER(O3085),O3085&lt;0,ABS(L3085-(Q3085-IF(ISNUMBER(N3085),N3085,0)+IF(ISNUMBER(P3085),P3085,0)))&lt;=Summary!$B$2),"Negative realized loss not applied - check sign",IF(R3085&lt;0,"Principal paid exceeds prior balance",IF(AND(L3085&gt;Q3085,NOT(ISNUMBER(P3085))),"Balance increased but no Deferred_interest reported",IF(L3085&gt;R3085,"Reported balance higher than expected (missing increase/OC build)","Reported balance lower than expected (missing decrease)"))))),""))</f>
        <v/>
      </c>
    </row>
    <row r="3086" customFormat="false" ht="15" hidden="false" customHeight="false" outlineLevel="0" collapsed="false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9"/>
      <c r="L3086" s="9"/>
      <c r="M3086" s="9"/>
      <c r="N3086" s="9"/>
      <c r="O3086" s="9"/>
      <c r="P3086" s="9"/>
      <c r="Q3086" s="9"/>
      <c r="R3086" s="9" t="str">
        <f aca="false">IF(AND(A3086&lt;&gt;"",ISNUMBER(Q3086),ISNUMBER(L3086)),ROUND(Q3086-IF(ISNUMBER(N3086),N3086,0)-IF(ISNUMBER(O3086),O3086,0)+IF(ISNUMBER(P3086),P3086,0),2),"")</f>
        <v/>
      </c>
      <c r="S3086" s="9" t="str">
        <f aca="false">IF(R3086="","",ROUND(L3086-R3086,2))</f>
        <v/>
      </c>
      <c r="T3086" s="8" t="str">
        <f aca="false">IF(A3086="","",IF(S3086="","BYPASS",IF(ABS(S3086)&lt;=Summary!$B$2,"PASS","FAIL")))</f>
        <v/>
      </c>
      <c r="U3086" s="8" t="str">
        <f aca="false">IF(T3086="BYPASS",IF(NOT(ISNUMBER(Q3086)),"PreV_ETB missing","End_tr_balance missing"),IF(T3086="FAIL",IF(AND(ISNUMBER(K3086),ISNUMBER(L3086),ABS(L3086-(K3086-IF(ISNUMBER(N3086),N3086,0)-IF(ISNUMBER(O3086),O3086,0)+IF(ISNUMBER(P3086),P3086,0)))&lt;=Summary!$B$2),"Passes using beginning_balance - PreV_ETB differs from beginning_balance",IF(AND(ISNUMBER(O3086),O3086&lt;0,ABS(L3086-(Q3086-IF(ISNUMBER(N3086),N3086,0)+IF(ISNUMBER(P3086),P3086,0)))&lt;=Summary!$B$2),"Negative realized loss not applied - check sign",IF(R3086&lt;0,"Principal paid exceeds prior balance",IF(AND(L3086&gt;Q3086,NOT(ISNUMBER(P3086))),"Balance increased but no Deferred_interest reported",IF(L3086&gt;R3086,"Reported balance higher than expected (missing increase/OC build)","Reported balance lower than expected (missing decrease)"))))),""))</f>
        <v/>
      </c>
    </row>
    <row r="3087" customFormat="false" ht="15" hidden="false" customHeight="false" outlineLevel="0" collapsed="false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9"/>
      <c r="L3087" s="9"/>
      <c r="M3087" s="9"/>
      <c r="N3087" s="9"/>
      <c r="O3087" s="9"/>
      <c r="P3087" s="9"/>
      <c r="Q3087" s="9"/>
      <c r="R3087" s="9" t="str">
        <f aca="false">IF(AND(A3087&lt;&gt;"",ISNUMBER(Q3087),ISNUMBER(L3087)),ROUND(Q3087-IF(ISNUMBER(N3087),N3087,0)-IF(ISNUMBER(O3087),O3087,0)+IF(ISNUMBER(P3087),P3087,0),2),"")</f>
        <v/>
      </c>
      <c r="S3087" s="9" t="str">
        <f aca="false">IF(R3087="","",ROUND(L3087-R3087,2))</f>
        <v/>
      </c>
      <c r="T3087" s="8" t="str">
        <f aca="false">IF(A3087="","",IF(S3087="","BYPASS",IF(ABS(S3087)&lt;=Summary!$B$2,"PASS","FAIL")))</f>
        <v/>
      </c>
      <c r="U3087" s="8" t="str">
        <f aca="false">IF(T3087="BYPASS",IF(NOT(ISNUMBER(Q3087)),"PreV_ETB missing","End_tr_balance missing"),IF(T3087="FAIL",IF(AND(ISNUMBER(K3087),ISNUMBER(L3087),ABS(L3087-(K3087-IF(ISNUMBER(N3087),N3087,0)-IF(ISNUMBER(O3087),O3087,0)+IF(ISNUMBER(P3087),P3087,0)))&lt;=Summary!$B$2),"Passes using beginning_balance - PreV_ETB differs from beginning_balance",IF(AND(ISNUMBER(O3087),O3087&lt;0,ABS(L3087-(Q3087-IF(ISNUMBER(N3087),N3087,0)+IF(ISNUMBER(P3087),P3087,0)))&lt;=Summary!$B$2),"Negative realized loss not applied - check sign",IF(R3087&lt;0,"Principal paid exceeds prior balance",IF(AND(L3087&gt;Q3087,NOT(ISNUMBER(P3087))),"Balance increased but no Deferred_interest reported",IF(L3087&gt;R3087,"Reported balance higher than expected (missing increase/OC build)","Reported balance lower than expected (missing decrease)"))))),""))</f>
        <v/>
      </c>
    </row>
    <row r="3088" customFormat="false" ht="15" hidden="false" customHeight="false" outlineLevel="0" collapsed="false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9"/>
      <c r="L3088" s="9"/>
      <c r="M3088" s="9"/>
      <c r="N3088" s="9"/>
      <c r="O3088" s="9"/>
      <c r="P3088" s="9"/>
      <c r="Q3088" s="9"/>
      <c r="R3088" s="9" t="str">
        <f aca="false">IF(AND(A3088&lt;&gt;"",ISNUMBER(Q3088),ISNUMBER(L3088)),ROUND(Q3088-IF(ISNUMBER(N3088),N3088,0)-IF(ISNUMBER(O3088),O3088,0)+IF(ISNUMBER(P3088),P3088,0),2),"")</f>
        <v/>
      </c>
      <c r="S3088" s="9" t="str">
        <f aca="false">IF(R3088="","",ROUND(L3088-R3088,2))</f>
        <v/>
      </c>
      <c r="T3088" s="8" t="str">
        <f aca="false">IF(A3088="","",IF(S3088="","BYPASS",IF(ABS(S3088)&lt;=Summary!$B$2,"PASS","FAIL")))</f>
        <v/>
      </c>
      <c r="U3088" s="8" t="str">
        <f aca="false">IF(T3088="BYPASS",IF(NOT(ISNUMBER(Q3088)),"PreV_ETB missing","End_tr_balance missing"),IF(T3088="FAIL",IF(AND(ISNUMBER(K3088),ISNUMBER(L3088),ABS(L3088-(K3088-IF(ISNUMBER(N3088),N3088,0)-IF(ISNUMBER(O3088),O3088,0)+IF(ISNUMBER(P3088),P3088,0)))&lt;=Summary!$B$2),"Passes using beginning_balance - PreV_ETB differs from beginning_balance",IF(AND(ISNUMBER(O3088),O3088&lt;0,ABS(L3088-(Q3088-IF(ISNUMBER(N3088),N3088,0)+IF(ISNUMBER(P3088),P3088,0)))&lt;=Summary!$B$2),"Negative realized loss not applied - check sign",IF(R3088&lt;0,"Principal paid exceeds prior balance",IF(AND(L3088&gt;Q3088,NOT(ISNUMBER(P3088))),"Balance increased but no Deferred_interest reported",IF(L3088&gt;R3088,"Reported balance higher than expected (missing increase/OC build)","Reported balance lower than expected (missing decrease)"))))),""))</f>
        <v/>
      </c>
    </row>
    <row r="3089" customFormat="false" ht="15" hidden="false" customHeight="false" outlineLevel="0" collapsed="false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9"/>
      <c r="L3089" s="9"/>
      <c r="M3089" s="9"/>
      <c r="N3089" s="9"/>
      <c r="O3089" s="9"/>
      <c r="P3089" s="9"/>
      <c r="Q3089" s="9"/>
      <c r="R3089" s="9" t="str">
        <f aca="false">IF(AND(A3089&lt;&gt;"",ISNUMBER(Q3089),ISNUMBER(L3089)),ROUND(Q3089-IF(ISNUMBER(N3089),N3089,0)-IF(ISNUMBER(O3089),O3089,0)+IF(ISNUMBER(P3089),P3089,0),2),"")</f>
        <v/>
      </c>
      <c r="S3089" s="9" t="str">
        <f aca="false">IF(R3089="","",ROUND(L3089-R3089,2))</f>
        <v/>
      </c>
      <c r="T3089" s="8" t="str">
        <f aca="false">IF(A3089="","",IF(S3089="","BYPASS",IF(ABS(S3089)&lt;=Summary!$B$2,"PASS","FAIL")))</f>
        <v/>
      </c>
      <c r="U3089" s="8" t="str">
        <f aca="false">IF(T3089="BYPASS",IF(NOT(ISNUMBER(Q3089)),"PreV_ETB missing","End_tr_balance missing"),IF(T3089="FAIL",IF(AND(ISNUMBER(K3089),ISNUMBER(L3089),ABS(L3089-(K3089-IF(ISNUMBER(N3089),N3089,0)-IF(ISNUMBER(O3089),O3089,0)+IF(ISNUMBER(P3089),P3089,0)))&lt;=Summary!$B$2),"Passes using beginning_balance - PreV_ETB differs from beginning_balance",IF(AND(ISNUMBER(O3089),O3089&lt;0,ABS(L3089-(Q3089-IF(ISNUMBER(N3089),N3089,0)+IF(ISNUMBER(P3089),P3089,0)))&lt;=Summary!$B$2),"Negative realized loss not applied - check sign",IF(R3089&lt;0,"Principal paid exceeds prior balance",IF(AND(L3089&gt;Q3089,NOT(ISNUMBER(P3089))),"Balance increased but no Deferred_interest reported",IF(L3089&gt;R3089,"Reported balance higher than expected (missing increase/OC build)","Reported balance lower than expected (missing decrease)"))))),""))</f>
        <v/>
      </c>
    </row>
    <row r="3090" customFormat="false" ht="15" hidden="false" customHeight="false" outlineLevel="0" collapsed="false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9"/>
      <c r="L3090" s="9"/>
      <c r="M3090" s="9"/>
      <c r="N3090" s="9"/>
      <c r="O3090" s="9"/>
      <c r="P3090" s="9"/>
      <c r="Q3090" s="9"/>
      <c r="R3090" s="9" t="str">
        <f aca="false">IF(AND(A3090&lt;&gt;"",ISNUMBER(Q3090),ISNUMBER(L3090)),ROUND(Q3090-IF(ISNUMBER(N3090),N3090,0)-IF(ISNUMBER(O3090),O3090,0)+IF(ISNUMBER(P3090),P3090,0),2),"")</f>
        <v/>
      </c>
      <c r="S3090" s="9" t="str">
        <f aca="false">IF(R3090="","",ROUND(L3090-R3090,2))</f>
        <v/>
      </c>
      <c r="T3090" s="8" t="str">
        <f aca="false">IF(A3090="","",IF(S3090="","BYPASS",IF(ABS(S3090)&lt;=Summary!$B$2,"PASS","FAIL")))</f>
        <v/>
      </c>
      <c r="U3090" s="8" t="str">
        <f aca="false">IF(T3090="BYPASS",IF(NOT(ISNUMBER(Q3090)),"PreV_ETB missing","End_tr_balance missing"),IF(T3090="FAIL",IF(AND(ISNUMBER(K3090),ISNUMBER(L3090),ABS(L3090-(K3090-IF(ISNUMBER(N3090),N3090,0)-IF(ISNUMBER(O3090),O3090,0)+IF(ISNUMBER(P3090),P3090,0)))&lt;=Summary!$B$2),"Passes using beginning_balance - PreV_ETB differs from beginning_balance",IF(AND(ISNUMBER(O3090),O3090&lt;0,ABS(L3090-(Q3090-IF(ISNUMBER(N3090),N3090,0)+IF(ISNUMBER(P3090),P3090,0)))&lt;=Summary!$B$2),"Negative realized loss not applied - check sign",IF(R3090&lt;0,"Principal paid exceeds prior balance",IF(AND(L3090&gt;Q3090,NOT(ISNUMBER(P3090))),"Balance increased but no Deferred_interest reported",IF(L3090&gt;R3090,"Reported balance higher than expected (missing increase/OC build)","Reported balance lower than expected (missing decrease)"))))),""))</f>
        <v/>
      </c>
    </row>
    <row r="3091" customFormat="false" ht="15" hidden="false" customHeight="false" outlineLevel="0" collapsed="false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9"/>
      <c r="L3091" s="9"/>
      <c r="M3091" s="9"/>
      <c r="N3091" s="9"/>
      <c r="O3091" s="9"/>
      <c r="P3091" s="9"/>
      <c r="Q3091" s="9"/>
      <c r="R3091" s="9" t="str">
        <f aca="false">IF(AND(A3091&lt;&gt;"",ISNUMBER(Q3091),ISNUMBER(L3091)),ROUND(Q3091-IF(ISNUMBER(N3091),N3091,0)-IF(ISNUMBER(O3091),O3091,0)+IF(ISNUMBER(P3091),P3091,0),2),"")</f>
        <v/>
      </c>
      <c r="S3091" s="9" t="str">
        <f aca="false">IF(R3091="","",ROUND(L3091-R3091,2))</f>
        <v/>
      </c>
      <c r="T3091" s="8" t="str">
        <f aca="false">IF(A3091="","",IF(S3091="","BYPASS",IF(ABS(S3091)&lt;=Summary!$B$2,"PASS","FAIL")))</f>
        <v/>
      </c>
      <c r="U3091" s="8" t="str">
        <f aca="false">IF(T3091="BYPASS",IF(NOT(ISNUMBER(Q3091)),"PreV_ETB missing","End_tr_balance missing"),IF(T3091="FAIL",IF(AND(ISNUMBER(K3091),ISNUMBER(L3091),ABS(L3091-(K3091-IF(ISNUMBER(N3091),N3091,0)-IF(ISNUMBER(O3091),O3091,0)+IF(ISNUMBER(P3091),P3091,0)))&lt;=Summary!$B$2),"Passes using beginning_balance - PreV_ETB differs from beginning_balance",IF(AND(ISNUMBER(O3091),O3091&lt;0,ABS(L3091-(Q3091-IF(ISNUMBER(N3091),N3091,0)+IF(ISNUMBER(P3091),P3091,0)))&lt;=Summary!$B$2),"Negative realized loss not applied - check sign",IF(R3091&lt;0,"Principal paid exceeds prior balance",IF(AND(L3091&gt;Q3091,NOT(ISNUMBER(P3091))),"Balance increased but no Deferred_interest reported",IF(L3091&gt;R3091,"Reported balance higher than expected (missing increase/OC build)","Reported balance lower than expected (missing decrease)"))))),""))</f>
        <v/>
      </c>
    </row>
    <row r="3092" customFormat="false" ht="15" hidden="false" customHeight="false" outlineLevel="0" collapsed="false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9"/>
      <c r="L3092" s="9"/>
      <c r="M3092" s="9"/>
      <c r="N3092" s="9"/>
      <c r="O3092" s="9"/>
      <c r="P3092" s="9"/>
      <c r="Q3092" s="9"/>
      <c r="R3092" s="9" t="str">
        <f aca="false">IF(AND(A3092&lt;&gt;"",ISNUMBER(Q3092),ISNUMBER(L3092)),ROUND(Q3092-IF(ISNUMBER(N3092),N3092,0)-IF(ISNUMBER(O3092),O3092,0)+IF(ISNUMBER(P3092),P3092,0),2),"")</f>
        <v/>
      </c>
      <c r="S3092" s="9" t="str">
        <f aca="false">IF(R3092="","",ROUND(L3092-R3092,2))</f>
        <v/>
      </c>
      <c r="T3092" s="8" t="str">
        <f aca="false">IF(A3092="","",IF(S3092="","BYPASS",IF(ABS(S3092)&lt;=Summary!$B$2,"PASS","FAIL")))</f>
        <v/>
      </c>
      <c r="U3092" s="8" t="str">
        <f aca="false">IF(T3092="BYPASS",IF(NOT(ISNUMBER(Q3092)),"PreV_ETB missing","End_tr_balance missing"),IF(T3092="FAIL",IF(AND(ISNUMBER(K3092),ISNUMBER(L3092),ABS(L3092-(K3092-IF(ISNUMBER(N3092),N3092,0)-IF(ISNUMBER(O3092),O3092,0)+IF(ISNUMBER(P3092),P3092,0)))&lt;=Summary!$B$2),"Passes using beginning_balance - PreV_ETB differs from beginning_balance",IF(AND(ISNUMBER(O3092),O3092&lt;0,ABS(L3092-(Q3092-IF(ISNUMBER(N3092),N3092,0)+IF(ISNUMBER(P3092),P3092,0)))&lt;=Summary!$B$2),"Negative realized loss not applied - check sign",IF(R3092&lt;0,"Principal paid exceeds prior balance",IF(AND(L3092&gt;Q3092,NOT(ISNUMBER(P3092))),"Balance increased but no Deferred_interest reported",IF(L3092&gt;R3092,"Reported balance higher than expected (missing increase/OC build)","Reported balance lower than expected (missing decrease)"))))),""))</f>
        <v/>
      </c>
    </row>
    <row r="3093" customFormat="false" ht="15" hidden="false" customHeight="false" outlineLevel="0" collapsed="false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9"/>
      <c r="L3093" s="9"/>
      <c r="M3093" s="9"/>
      <c r="N3093" s="9"/>
      <c r="O3093" s="9"/>
      <c r="P3093" s="9"/>
      <c r="Q3093" s="9"/>
      <c r="R3093" s="9" t="str">
        <f aca="false">IF(AND(A3093&lt;&gt;"",ISNUMBER(Q3093),ISNUMBER(L3093)),ROUND(Q3093-IF(ISNUMBER(N3093),N3093,0)-IF(ISNUMBER(O3093),O3093,0)+IF(ISNUMBER(P3093),P3093,0),2),"")</f>
        <v/>
      </c>
      <c r="S3093" s="9" t="str">
        <f aca="false">IF(R3093="","",ROUND(L3093-R3093,2))</f>
        <v/>
      </c>
      <c r="T3093" s="8" t="str">
        <f aca="false">IF(A3093="","",IF(S3093="","BYPASS",IF(ABS(S3093)&lt;=Summary!$B$2,"PASS","FAIL")))</f>
        <v/>
      </c>
      <c r="U3093" s="8" t="str">
        <f aca="false">IF(T3093="BYPASS",IF(NOT(ISNUMBER(Q3093)),"PreV_ETB missing","End_tr_balance missing"),IF(T3093="FAIL",IF(AND(ISNUMBER(K3093),ISNUMBER(L3093),ABS(L3093-(K3093-IF(ISNUMBER(N3093),N3093,0)-IF(ISNUMBER(O3093),O3093,0)+IF(ISNUMBER(P3093),P3093,0)))&lt;=Summary!$B$2),"Passes using beginning_balance - PreV_ETB differs from beginning_balance",IF(AND(ISNUMBER(O3093),O3093&lt;0,ABS(L3093-(Q3093-IF(ISNUMBER(N3093),N3093,0)+IF(ISNUMBER(P3093),P3093,0)))&lt;=Summary!$B$2),"Negative realized loss not applied - check sign",IF(R3093&lt;0,"Principal paid exceeds prior balance",IF(AND(L3093&gt;Q3093,NOT(ISNUMBER(P3093))),"Balance increased but no Deferred_interest reported",IF(L3093&gt;R3093,"Reported balance higher than expected (missing increase/OC build)","Reported balance lower than expected (missing decrease)"))))),""))</f>
        <v/>
      </c>
    </row>
    <row r="3094" customFormat="false" ht="15" hidden="false" customHeight="false" outlineLevel="0" collapsed="false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9"/>
      <c r="L3094" s="9"/>
      <c r="M3094" s="9"/>
      <c r="N3094" s="9"/>
      <c r="O3094" s="9"/>
      <c r="P3094" s="9"/>
      <c r="Q3094" s="9"/>
      <c r="R3094" s="9" t="str">
        <f aca="false">IF(AND(A3094&lt;&gt;"",ISNUMBER(Q3094),ISNUMBER(L3094)),ROUND(Q3094-IF(ISNUMBER(N3094),N3094,0)-IF(ISNUMBER(O3094),O3094,0)+IF(ISNUMBER(P3094),P3094,0),2),"")</f>
        <v/>
      </c>
      <c r="S3094" s="9" t="str">
        <f aca="false">IF(R3094="","",ROUND(L3094-R3094,2))</f>
        <v/>
      </c>
      <c r="T3094" s="8" t="str">
        <f aca="false">IF(A3094="","",IF(S3094="","BYPASS",IF(ABS(S3094)&lt;=Summary!$B$2,"PASS","FAIL")))</f>
        <v/>
      </c>
      <c r="U3094" s="8" t="str">
        <f aca="false">IF(T3094="BYPASS",IF(NOT(ISNUMBER(Q3094)),"PreV_ETB missing","End_tr_balance missing"),IF(T3094="FAIL",IF(AND(ISNUMBER(K3094),ISNUMBER(L3094),ABS(L3094-(K3094-IF(ISNUMBER(N3094),N3094,0)-IF(ISNUMBER(O3094),O3094,0)+IF(ISNUMBER(P3094),P3094,0)))&lt;=Summary!$B$2),"Passes using beginning_balance - PreV_ETB differs from beginning_balance",IF(AND(ISNUMBER(O3094),O3094&lt;0,ABS(L3094-(Q3094-IF(ISNUMBER(N3094),N3094,0)+IF(ISNUMBER(P3094),P3094,0)))&lt;=Summary!$B$2),"Negative realized loss not applied - check sign",IF(R3094&lt;0,"Principal paid exceeds prior balance",IF(AND(L3094&gt;Q3094,NOT(ISNUMBER(P3094))),"Balance increased but no Deferred_interest reported",IF(L3094&gt;R3094,"Reported balance higher than expected (missing increase/OC build)","Reported balance lower than expected (missing decrease)"))))),""))</f>
        <v/>
      </c>
    </row>
    <row r="3095" customFormat="false" ht="15" hidden="false" customHeight="false" outlineLevel="0" collapsed="false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9"/>
      <c r="L3095" s="9"/>
      <c r="M3095" s="9"/>
      <c r="N3095" s="9"/>
      <c r="O3095" s="9"/>
      <c r="P3095" s="9"/>
      <c r="Q3095" s="9"/>
      <c r="R3095" s="9" t="str">
        <f aca="false">IF(AND(A3095&lt;&gt;"",ISNUMBER(Q3095),ISNUMBER(L3095)),ROUND(Q3095-IF(ISNUMBER(N3095),N3095,0)-IF(ISNUMBER(O3095),O3095,0)+IF(ISNUMBER(P3095),P3095,0),2),"")</f>
        <v/>
      </c>
      <c r="S3095" s="9" t="str">
        <f aca="false">IF(R3095="","",ROUND(L3095-R3095,2))</f>
        <v/>
      </c>
      <c r="T3095" s="8" t="str">
        <f aca="false">IF(A3095="","",IF(S3095="","BYPASS",IF(ABS(S3095)&lt;=Summary!$B$2,"PASS","FAIL")))</f>
        <v/>
      </c>
      <c r="U3095" s="8" t="str">
        <f aca="false">IF(T3095="BYPASS",IF(NOT(ISNUMBER(Q3095)),"PreV_ETB missing","End_tr_balance missing"),IF(T3095="FAIL",IF(AND(ISNUMBER(K3095),ISNUMBER(L3095),ABS(L3095-(K3095-IF(ISNUMBER(N3095),N3095,0)-IF(ISNUMBER(O3095),O3095,0)+IF(ISNUMBER(P3095),P3095,0)))&lt;=Summary!$B$2),"Passes using beginning_balance - PreV_ETB differs from beginning_balance",IF(AND(ISNUMBER(O3095),O3095&lt;0,ABS(L3095-(Q3095-IF(ISNUMBER(N3095),N3095,0)+IF(ISNUMBER(P3095),P3095,0)))&lt;=Summary!$B$2),"Negative realized loss not applied - check sign",IF(R3095&lt;0,"Principal paid exceeds prior balance",IF(AND(L3095&gt;Q3095,NOT(ISNUMBER(P3095))),"Balance increased but no Deferred_interest reported",IF(L3095&gt;R3095,"Reported balance higher than expected (missing increase/OC build)","Reported balance lower than expected (missing decrease)"))))),""))</f>
        <v/>
      </c>
    </row>
    <row r="3096" customFormat="false" ht="15" hidden="false" customHeight="false" outlineLevel="0" collapsed="false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9"/>
      <c r="L3096" s="9"/>
      <c r="M3096" s="9"/>
      <c r="N3096" s="9"/>
      <c r="O3096" s="9"/>
      <c r="P3096" s="9"/>
      <c r="Q3096" s="9"/>
      <c r="R3096" s="9" t="str">
        <f aca="false">IF(AND(A3096&lt;&gt;"",ISNUMBER(Q3096),ISNUMBER(L3096)),ROUND(Q3096-IF(ISNUMBER(N3096),N3096,0)-IF(ISNUMBER(O3096),O3096,0)+IF(ISNUMBER(P3096),P3096,0),2),"")</f>
        <v/>
      </c>
      <c r="S3096" s="9" t="str">
        <f aca="false">IF(R3096="","",ROUND(L3096-R3096,2))</f>
        <v/>
      </c>
      <c r="T3096" s="8" t="str">
        <f aca="false">IF(A3096="","",IF(S3096="","BYPASS",IF(ABS(S3096)&lt;=Summary!$B$2,"PASS","FAIL")))</f>
        <v/>
      </c>
      <c r="U3096" s="8" t="str">
        <f aca="false">IF(T3096="BYPASS",IF(NOT(ISNUMBER(Q3096)),"PreV_ETB missing","End_tr_balance missing"),IF(T3096="FAIL",IF(AND(ISNUMBER(K3096),ISNUMBER(L3096),ABS(L3096-(K3096-IF(ISNUMBER(N3096),N3096,0)-IF(ISNUMBER(O3096),O3096,0)+IF(ISNUMBER(P3096),P3096,0)))&lt;=Summary!$B$2),"Passes using beginning_balance - PreV_ETB differs from beginning_balance",IF(AND(ISNUMBER(O3096),O3096&lt;0,ABS(L3096-(Q3096-IF(ISNUMBER(N3096),N3096,0)+IF(ISNUMBER(P3096),P3096,0)))&lt;=Summary!$B$2),"Negative realized loss not applied - check sign",IF(R3096&lt;0,"Principal paid exceeds prior balance",IF(AND(L3096&gt;Q3096,NOT(ISNUMBER(P3096))),"Balance increased but no Deferred_interest reported",IF(L3096&gt;R3096,"Reported balance higher than expected (missing increase/OC build)","Reported balance lower than expected (missing decrease)"))))),""))</f>
        <v/>
      </c>
    </row>
    <row r="3097" customFormat="false" ht="15" hidden="false" customHeight="false" outlineLevel="0" collapsed="false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9"/>
      <c r="L3097" s="9"/>
      <c r="M3097" s="9"/>
      <c r="N3097" s="9"/>
      <c r="O3097" s="9"/>
      <c r="P3097" s="9"/>
      <c r="Q3097" s="9"/>
      <c r="R3097" s="9" t="str">
        <f aca="false">IF(AND(A3097&lt;&gt;"",ISNUMBER(Q3097),ISNUMBER(L3097)),ROUND(Q3097-IF(ISNUMBER(N3097),N3097,0)-IF(ISNUMBER(O3097),O3097,0)+IF(ISNUMBER(P3097),P3097,0),2),"")</f>
        <v/>
      </c>
      <c r="S3097" s="9" t="str">
        <f aca="false">IF(R3097="","",ROUND(L3097-R3097,2))</f>
        <v/>
      </c>
      <c r="T3097" s="8" t="str">
        <f aca="false">IF(A3097="","",IF(S3097="","BYPASS",IF(ABS(S3097)&lt;=Summary!$B$2,"PASS","FAIL")))</f>
        <v/>
      </c>
      <c r="U3097" s="8" t="str">
        <f aca="false">IF(T3097="BYPASS",IF(NOT(ISNUMBER(Q3097)),"PreV_ETB missing","End_tr_balance missing"),IF(T3097="FAIL",IF(AND(ISNUMBER(K3097),ISNUMBER(L3097),ABS(L3097-(K3097-IF(ISNUMBER(N3097),N3097,0)-IF(ISNUMBER(O3097),O3097,0)+IF(ISNUMBER(P3097),P3097,0)))&lt;=Summary!$B$2),"Passes using beginning_balance - PreV_ETB differs from beginning_balance",IF(AND(ISNUMBER(O3097),O3097&lt;0,ABS(L3097-(Q3097-IF(ISNUMBER(N3097),N3097,0)+IF(ISNUMBER(P3097),P3097,0)))&lt;=Summary!$B$2),"Negative realized loss not applied - check sign",IF(R3097&lt;0,"Principal paid exceeds prior balance",IF(AND(L3097&gt;Q3097,NOT(ISNUMBER(P3097))),"Balance increased but no Deferred_interest reported",IF(L3097&gt;R3097,"Reported balance higher than expected (missing increase/OC build)","Reported balance lower than expected (missing decrease)"))))),""))</f>
        <v/>
      </c>
    </row>
    <row r="3098" customFormat="false" ht="15" hidden="false" customHeight="false" outlineLevel="0" collapsed="false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9"/>
      <c r="L3098" s="9"/>
      <c r="M3098" s="9"/>
      <c r="N3098" s="9"/>
      <c r="O3098" s="9"/>
      <c r="P3098" s="9"/>
      <c r="Q3098" s="9"/>
      <c r="R3098" s="9" t="str">
        <f aca="false">IF(AND(A3098&lt;&gt;"",ISNUMBER(Q3098),ISNUMBER(L3098)),ROUND(Q3098-IF(ISNUMBER(N3098),N3098,0)-IF(ISNUMBER(O3098),O3098,0)+IF(ISNUMBER(P3098),P3098,0),2),"")</f>
        <v/>
      </c>
      <c r="S3098" s="9" t="str">
        <f aca="false">IF(R3098="","",ROUND(L3098-R3098,2))</f>
        <v/>
      </c>
      <c r="T3098" s="8" t="str">
        <f aca="false">IF(A3098="","",IF(S3098="","BYPASS",IF(ABS(S3098)&lt;=Summary!$B$2,"PASS","FAIL")))</f>
        <v/>
      </c>
      <c r="U3098" s="8" t="str">
        <f aca="false">IF(T3098="BYPASS",IF(NOT(ISNUMBER(Q3098)),"PreV_ETB missing","End_tr_balance missing"),IF(T3098="FAIL",IF(AND(ISNUMBER(K3098),ISNUMBER(L3098),ABS(L3098-(K3098-IF(ISNUMBER(N3098),N3098,0)-IF(ISNUMBER(O3098),O3098,0)+IF(ISNUMBER(P3098),P3098,0)))&lt;=Summary!$B$2),"Passes using beginning_balance - PreV_ETB differs from beginning_balance",IF(AND(ISNUMBER(O3098),O3098&lt;0,ABS(L3098-(Q3098-IF(ISNUMBER(N3098),N3098,0)+IF(ISNUMBER(P3098),P3098,0)))&lt;=Summary!$B$2),"Negative realized loss not applied - check sign",IF(R3098&lt;0,"Principal paid exceeds prior balance",IF(AND(L3098&gt;Q3098,NOT(ISNUMBER(P3098))),"Balance increased but no Deferred_interest reported",IF(L3098&gt;R3098,"Reported balance higher than expected (missing increase/OC build)","Reported balance lower than expected (missing decrease)"))))),""))</f>
        <v/>
      </c>
    </row>
    <row r="3099" customFormat="false" ht="15" hidden="false" customHeight="false" outlineLevel="0" collapsed="false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9"/>
      <c r="L3099" s="9"/>
      <c r="M3099" s="9"/>
      <c r="N3099" s="9"/>
      <c r="O3099" s="9"/>
      <c r="P3099" s="9"/>
      <c r="Q3099" s="9"/>
      <c r="R3099" s="9" t="str">
        <f aca="false">IF(AND(A3099&lt;&gt;"",ISNUMBER(Q3099),ISNUMBER(L3099)),ROUND(Q3099-IF(ISNUMBER(N3099),N3099,0)-IF(ISNUMBER(O3099),O3099,0)+IF(ISNUMBER(P3099),P3099,0),2),"")</f>
        <v/>
      </c>
      <c r="S3099" s="9" t="str">
        <f aca="false">IF(R3099="","",ROUND(L3099-R3099,2))</f>
        <v/>
      </c>
      <c r="T3099" s="8" t="str">
        <f aca="false">IF(A3099="","",IF(S3099="","BYPASS",IF(ABS(S3099)&lt;=Summary!$B$2,"PASS","FAIL")))</f>
        <v/>
      </c>
      <c r="U3099" s="8" t="str">
        <f aca="false">IF(T3099="BYPASS",IF(NOT(ISNUMBER(Q3099)),"PreV_ETB missing","End_tr_balance missing"),IF(T3099="FAIL",IF(AND(ISNUMBER(K3099),ISNUMBER(L3099),ABS(L3099-(K3099-IF(ISNUMBER(N3099),N3099,0)-IF(ISNUMBER(O3099),O3099,0)+IF(ISNUMBER(P3099),P3099,0)))&lt;=Summary!$B$2),"Passes using beginning_balance - PreV_ETB differs from beginning_balance",IF(AND(ISNUMBER(O3099),O3099&lt;0,ABS(L3099-(Q3099-IF(ISNUMBER(N3099),N3099,0)+IF(ISNUMBER(P3099),P3099,0)))&lt;=Summary!$B$2),"Negative realized loss not applied - check sign",IF(R3099&lt;0,"Principal paid exceeds prior balance",IF(AND(L3099&gt;Q3099,NOT(ISNUMBER(P3099))),"Balance increased but no Deferred_interest reported",IF(L3099&gt;R3099,"Reported balance higher than expected (missing increase/OC build)","Reported balance lower than expected (missing decrease)"))))),""))</f>
        <v/>
      </c>
    </row>
    <row r="3100" customFormat="false" ht="15" hidden="false" customHeight="false" outlineLevel="0" collapsed="false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9"/>
      <c r="L3100" s="9"/>
      <c r="M3100" s="9"/>
      <c r="N3100" s="9"/>
      <c r="O3100" s="9"/>
      <c r="P3100" s="9"/>
      <c r="Q3100" s="9"/>
      <c r="R3100" s="9" t="str">
        <f aca="false">IF(AND(A3100&lt;&gt;"",ISNUMBER(Q3100),ISNUMBER(L3100)),ROUND(Q3100-IF(ISNUMBER(N3100),N3100,0)-IF(ISNUMBER(O3100),O3100,0)+IF(ISNUMBER(P3100),P3100,0),2),"")</f>
        <v/>
      </c>
      <c r="S3100" s="9" t="str">
        <f aca="false">IF(R3100="","",ROUND(L3100-R3100,2))</f>
        <v/>
      </c>
      <c r="T3100" s="8" t="str">
        <f aca="false">IF(A3100="","",IF(S3100="","BYPASS",IF(ABS(S3100)&lt;=Summary!$B$2,"PASS","FAIL")))</f>
        <v/>
      </c>
      <c r="U3100" s="8" t="str">
        <f aca="false">IF(T3100="BYPASS",IF(NOT(ISNUMBER(Q3100)),"PreV_ETB missing","End_tr_balance missing"),IF(T3100="FAIL",IF(AND(ISNUMBER(K3100),ISNUMBER(L3100),ABS(L3100-(K3100-IF(ISNUMBER(N3100),N3100,0)-IF(ISNUMBER(O3100),O3100,0)+IF(ISNUMBER(P3100),P3100,0)))&lt;=Summary!$B$2),"Passes using beginning_balance - PreV_ETB differs from beginning_balance",IF(AND(ISNUMBER(O3100),O3100&lt;0,ABS(L3100-(Q3100-IF(ISNUMBER(N3100),N3100,0)+IF(ISNUMBER(P3100),P3100,0)))&lt;=Summary!$B$2),"Negative realized loss not applied - check sign",IF(R3100&lt;0,"Principal paid exceeds prior balance",IF(AND(L3100&gt;Q3100,NOT(ISNUMBER(P3100))),"Balance increased but no Deferred_interest reported",IF(L3100&gt;R3100,"Reported balance higher than expected (missing increase/OC build)","Reported balance lower than expected (missing decrease)"))))),""))</f>
        <v/>
      </c>
    </row>
    <row r="3101" customFormat="false" ht="15" hidden="false" customHeight="false" outlineLevel="0" collapsed="false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9"/>
      <c r="L3101" s="9"/>
      <c r="M3101" s="9"/>
      <c r="N3101" s="9"/>
      <c r="O3101" s="9"/>
      <c r="P3101" s="9"/>
      <c r="Q3101" s="9"/>
      <c r="R3101" s="9" t="str">
        <f aca="false">IF(AND(A3101&lt;&gt;"",ISNUMBER(Q3101),ISNUMBER(L3101)),ROUND(Q3101-IF(ISNUMBER(N3101),N3101,0)-IF(ISNUMBER(O3101),O3101,0)+IF(ISNUMBER(P3101),P3101,0),2),"")</f>
        <v/>
      </c>
      <c r="S3101" s="9" t="str">
        <f aca="false">IF(R3101="","",ROUND(L3101-R3101,2))</f>
        <v/>
      </c>
      <c r="T3101" s="8" t="str">
        <f aca="false">IF(A3101="","",IF(S3101="","BYPASS",IF(ABS(S3101)&lt;=Summary!$B$2,"PASS","FAIL")))</f>
        <v/>
      </c>
      <c r="U3101" s="8" t="str">
        <f aca="false">IF(T3101="BYPASS",IF(NOT(ISNUMBER(Q3101)),"PreV_ETB missing","End_tr_balance missing"),IF(T3101="FAIL",IF(AND(ISNUMBER(K3101),ISNUMBER(L3101),ABS(L3101-(K3101-IF(ISNUMBER(N3101),N3101,0)-IF(ISNUMBER(O3101),O3101,0)+IF(ISNUMBER(P3101),P3101,0)))&lt;=Summary!$B$2),"Passes using beginning_balance - PreV_ETB differs from beginning_balance",IF(AND(ISNUMBER(O3101),O3101&lt;0,ABS(L3101-(Q3101-IF(ISNUMBER(N3101),N3101,0)+IF(ISNUMBER(P3101),P3101,0)))&lt;=Summary!$B$2),"Negative realized loss not applied - check sign",IF(R3101&lt;0,"Principal paid exceeds prior balance",IF(AND(L3101&gt;Q3101,NOT(ISNUMBER(P3101))),"Balance increased but no Deferred_interest reported",IF(L3101&gt;R3101,"Reported balance higher than expected (missing increase/OC build)","Reported balance lower than expected (missing decrease)"))))),""))</f>
        <v/>
      </c>
    </row>
    <row r="3102" customFormat="false" ht="15" hidden="false" customHeight="false" outlineLevel="0" collapsed="false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9"/>
      <c r="L3102" s="9"/>
      <c r="M3102" s="9"/>
      <c r="N3102" s="9"/>
      <c r="O3102" s="9"/>
      <c r="P3102" s="9"/>
      <c r="Q3102" s="9"/>
      <c r="R3102" s="9" t="str">
        <f aca="false">IF(AND(A3102&lt;&gt;"",ISNUMBER(Q3102),ISNUMBER(L3102)),ROUND(Q3102-IF(ISNUMBER(N3102),N3102,0)-IF(ISNUMBER(O3102),O3102,0)+IF(ISNUMBER(P3102),P3102,0),2),"")</f>
        <v/>
      </c>
      <c r="S3102" s="9" t="str">
        <f aca="false">IF(R3102="","",ROUND(L3102-R3102,2))</f>
        <v/>
      </c>
      <c r="T3102" s="8" t="str">
        <f aca="false">IF(A3102="","",IF(S3102="","BYPASS",IF(ABS(S3102)&lt;=Summary!$B$2,"PASS","FAIL")))</f>
        <v/>
      </c>
      <c r="U3102" s="8" t="str">
        <f aca="false">IF(T3102="BYPASS",IF(NOT(ISNUMBER(Q3102)),"PreV_ETB missing","End_tr_balance missing"),IF(T3102="FAIL",IF(AND(ISNUMBER(K3102),ISNUMBER(L3102),ABS(L3102-(K3102-IF(ISNUMBER(N3102),N3102,0)-IF(ISNUMBER(O3102),O3102,0)+IF(ISNUMBER(P3102),P3102,0)))&lt;=Summary!$B$2),"Passes using beginning_balance - PreV_ETB differs from beginning_balance",IF(AND(ISNUMBER(O3102),O3102&lt;0,ABS(L3102-(Q3102-IF(ISNUMBER(N3102),N3102,0)+IF(ISNUMBER(P3102),P3102,0)))&lt;=Summary!$B$2),"Negative realized loss not applied - check sign",IF(R3102&lt;0,"Principal paid exceeds prior balance",IF(AND(L3102&gt;Q3102,NOT(ISNUMBER(P3102))),"Balance increased but no Deferred_interest reported",IF(L3102&gt;R3102,"Reported balance higher than expected (missing increase/OC build)","Reported balance lower than expected (missing decrease)"))))),""))</f>
        <v/>
      </c>
    </row>
    <row r="3103" customFormat="false" ht="15" hidden="false" customHeight="false" outlineLevel="0" collapsed="false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9"/>
      <c r="L3103" s="9"/>
      <c r="M3103" s="9"/>
      <c r="N3103" s="9"/>
      <c r="O3103" s="9"/>
      <c r="P3103" s="9"/>
      <c r="Q3103" s="9"/>
      <c r="R3103" s="9" t="str">
        <f aca="false">IF(AND(A3103&lt;&gt;"",ISNUMBER(Q3103),ISNUMBER(L3103)),ROUND(Q3103-IF(ISNUMBER(N3103),N3103,0)-IF(ISNUMBER(O3103),O3103,0)+IF(ISNUMBER(P3103),P3103,0),2),"")</f>
        <v/>
      </c>
      <c r="S3103" s="9" t="str">
        <f aca="false">IF(R3103="","",ROUND(L3103-R3103,2))</f>
        <v/>
      </c>
      <c r="T3103" s="8" t="str">
        <f aca="false">IF(A3103="","",IF(S3103="","BYPASS",IF(ABS(S3103)&lt;=Summary!$B$2,"PASS","FAIL")))</f>
        <v/>
      </c>
      <c r="U3103" s="8" t="str">
        <f aca="false">IF(T3103="BYPASS",IF(NOT(ISNUMBER(Q3103)),"PreV_ETB missing","End_tr_balance missing"),IF(T3103="FAIL",IF(AND(ISNUMBER(K3103),ISNUMBER(L3103),ABS(L3103-(K3103-IF(ISNUMBER(N3103),N3103,0)-IF(ISNUMBER(O3103),O3103,0)+IF(ISNUMBER(P3103),P3103,0)))&lt;=Summary!$B$2),"Passes using beginning_balance - PreV_ETB differs from beginning_balance",IF(AND(ISNUMBER(O3103),O3103&lt;0,ABS(L3103-(Q3103-IF(ISNUMBER(N3103),N3103,0)+IF(ISNUMBER(P3103),P3103,0)))&lt;=Summary!$B$2),"Negative realized loss not applied - check sign",IF(R3103&lt;0,"Principal paid exceeds prior balance",IF(AND(L3103&gt;Q3103,NOT(ISNUMBER(P3103))),"Balance increased but no Deferred_interest reported",IF(L3103&gt;R3103,"Reported balance higher than expected (missing increase/OC build)","Reported balance lower than expected (missing decrease)"))))),""))</f>
        <v/>
      </c>
    </row>
    <row r="3104" customFormat="false" ht="15" hidden="false" customHeight="false" outlineLevel="0" collapsed="false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9"/>
      <c r="L3104" s="9"/>
      <c r="M3104" s="9"/>
      <c r="N3104" s="9"/>
      <c r="O3104" s="9"/>
      <c r="P3104" s="9"/>
      <c r="Q3104" s="9"/>
      <c r="R3104" s="9" t="str">
        <f aca="false">IF(AND(A3104&lt;&gt;"",ISNUMBER(Q3104),ISNUMBER(L3104)),ROUND(Q3104-IF(ISNUMBER(N3104),N3104,0)-IF(ISNUMBER(O3104),O3104,0)+IF(ISNUMBER(P3104),P3104,0),2),"")</f>
        <v/>
      </c>
      <c r="S3104" s="9" t="str">
        <f aca="false">IF(R3104="","",ROUND(L3104-R3104,2))</f>
        <v/>
      </c>
      <c r="T3104" s="8" t="str">
        <f aca="false">IF(A3104="","",IF(S3104="","BYPASS",IF(ABS(S3104)&lt;=Summary!$B$2,"PASS","FAIL")))</f>
        <v/>
      </c>
      <c r="U3104" s="8" t="str">
        <f aca="false">IF(T3104="BYPASS",IF(NOT(ISNUMBER(Q3104)),"PreV_ETB missing","End_tr_balance missing"),IF(T3104="FAIL",IF(AND(ISNUMBER(K3104),ISNUMBER(L3104),ABS(L3104-(K3104-IF(ISNUMBER(N3104),N3104,0)-IF(ISNUMBER(O3104),O3104,0)+IF(ISNUMBER(P3104),P3104,0)))&lt;=Summary!$B$2),"Passes using beginning_balance - PreV_ETB differs from beginning_balance",IF(AND(ISNUMBER(O3104),O3104&lt;0,ABS(L3104-(Q3104-IF(ISNUMBER(N3104),N3104,0)+IF(ISNUMBER(P3104),P3104,0)))&lt;=Summary!$B$2),"Negative realized loss not applied - check sign",IF(R3104&lt;0,"Principal paid exceeds prior balance",IF(AND(L3104&gt;Q3104,NOT(ISNUMBER(P3104))),"Balance increased but no Deferred_interest reported",IF(L3104&gt;R3104,"Reported balance higher than expected (missing increase/OC build)","Reported balance lower than expected (missing decrease)"))))),""))</f>
        <v/>
      </c>
    </row>
    <row r="3105" customFormat="false" ht="15" hidden="false" customHeight="false" outlineLevel="0" collapsed="false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9"/>
      <c r="L3105" s="9"/>
      <c r="M3105" s="9"/>
      <c r="N3105" s="9"/>
      <c r="O3105" s="9"/>
      <c r="P3105" s="9"/>
      <c r="Q3105" s="9"/>
      <c r="R3105" s="9" t="str">
        <f aca="false">IF(AND(A3105&lt;&gt;"",ISNUMBER(Q3105),ISNUMBER(L3105)),ROUND(Q3105-IF(ISNUMBER(N3105),N3105,0)-IF(ISNUMBER(O3105),O3105,0)+IF(ISNUMBER(P3105),P3105,0),2),"")</f>
        <v/>
      </c>
      <c r="S3105" s="9" t="str">
        <f aca="false">IF(R3105="","",ROUND(L3105-R3105,2))</f>
        <v/>
      </c>
      <c r="T3105" s="8" t="str">
        <f aca="false">IF(A3105="","",IF(S3105="","BYPASS",IF(ABS(S3105)&lt;=Summary!$B$2,"PASS","FAIL")))</f>
        <v/>
      </c>
      <c r="U3105" s="8" t="str">
        <f aca="false">IF(T3105="BYPASS",IF(NOT(ISNUMBER(Q3105)),"PreV_ETB missing","End_tr_balance missing"),IF(T3105="FAIL",IF(AND(ISNUMBER(K3105),ISNUMBER(L3105),ABS(L3105-(K3105-IF(ISNUMBER(N3105),N3105,0)-IF(ISNUMBER(O3105),O3105,0)+IF(ISNUMBER(P3105),P3105,0)))&lt;=Summary!$B$2),"Passes using beginning_balance - PreV_ETB differs from beginning_balance",IF(AND(ISNUMBER(O3105),O3105&lt;0,ABS(L3105-(Q3105-IF(ISNUMBER(N3105),N3105,0)+IF(ISNUMBER(P3105),P3105,0)))&lt;=Summary!$B$2),"Negative realized loss not applied - check sign",IF(R3105&lt;0,"Principal paid exceeds prior balance",IF(AND(L3105&gt;Q3105,NOT(ISNUMBER(P3105))),"Balance increased but no Deferred_interest reported",IF(L3105&gt;R3105,"Reported balance higher than expected (missing increase/OC build)","Reported balance lower than expected (missing decrease)"))))),""))</f>
        <v/>
      </c>
    </row>
    <row r="3106" customFormat="false" ht="15" hidden="false" customHeight="false" outlineLevel="0" collapsed="false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9"/>
      <c r="L3106" s="9"/>
      <c r="M3106" s="9"/>
      <c r="N3106" s="9"/>
      <c r="O3106" s="9"/>
      <c r="P3106" s="9"/>
      <c r="Q3106" s="9"/>
      <c r="R3106" s="9" t="str">
        <f aca="false">IF(AND(A3106&lt;&gt;"",ISNUMBER(Q3106),ISNUMBER(L3106)),ROUND(Q3106-IF(ISNUMBER(N3106),N3106,0)-IF(ISNUMBER(O3106),O3106,0)+IF(ISNUMBER(P3106),P3106,0),2),"")</f>
        <v/>
      </c>
      <c r="S3106" s="9" t="str">
        <f aca="false">IF(R3106="","",ROUND(L3106-R3106,2))</f>
        <v/>
      </c>
      <c r="T3106" s="8" t="str">
        <f aca="false">IF(A3106="","",IF(S3106="","BYPASS",IF(ABS(S3106)&lt;=Summary!$B$2,"PASS","FAIL")))</f>
        <v/>
      </c>
      <c r="U3106" s="8" t="str">
        <f aca="false">IF(T3106="BYPASS",IF(NOT(ISNUMBER(Q3106)),"PreV_ETB missing","End_tr_balance missing"),IF(T3106="FAIL",IF(AND(ISNUMBER(K3106),ISNUMBER(L3106),ABS(L3106-(K3106-IF(ISNUMBER(N3106),N3106,0)-IF(ISNUMBER(O3106),O3106,0)+IF(ISNUMBER(P3106),P3106,0)))&lt;=Summary!$B$2),"Passes using beginning_balance - PreV_ETB differs from beginning_balance",IF(AND(ISNUMBER(O3106),O3106&lt;0,ABS(L3106-(Q3106-IF(ISNUMBER(N3106),N3106,0)+IF(ISNUMBER(P3106),P3106,0)))&lt;=Summary!$B$2),"Negative realized loss not applied - check sign",IF(R3106&lt;0,"Principal paid exceeds prior balance",IF(AND(L3106&gt;Q3106,NOT(ISNUMBER(P3106))),"Balance increased but no Deferred_interest reported",IF(L3106&gt;R3106,"Reported balance higher than expected (missing increase/OC build)","Reported balance lower than expected (missing decrease)"))))),""))</f>
        <v/>
      </c>
    </row>
    <row r="3107" customFormat="false" ht="15" hidden="false" customHeight="false" outlineLevel="0" collapsed="false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9"/>
      <c r="L3107" s="9"/>
      <c r="M3107" s="9"/>
      <c r="N3107" s="9"/>
      <c r="O3107" s="9"/>
      <c r="P3107" s="9"/>
      <c r="Q3107" s="9"/>
      <c r="R3107" s="9" t="str">
        <f aca="false">IF(AND(A3107&lt;&gt;"",ISNUMBER(Q3107),ISNUMBER(L3107)),ROUND(Q3107-IF(ISNUMBER(N3107),N3107,0)-IF(ISNUMBER(O3107),O3107,0)+IF(ISNUMBER(P3107),P3107,0),2),"")</f>
        <v/>
      </c>
      <c r="S3107" s="9" t="str">
        <f aca="false">IF(R3107="","",ROUND(L3107-R3107,2))</f>
        <v/>
      </c>
      <c r="T3107" s="8" t="str">
        <f aca="false">IF(A3107="","",IF(S3107="","BYPASS",IF(ABS(S3107)&lt;=Summary!$B$2,"PASS","FAIL")))</f>
        <v/>
      </c>
      <c r="U3107" s="8" t="str">
        <f aca="false">IF(T3107="BYPASS",IF(NOT(ISNUMBER(Q3107)),"PreV_ETB missing","End_tr_balance missing"),IF(T3107="FAIL",IF(AND(ISNUMBER(K3107),ISNUMBER(L3107),ABS(L3107-(K3107-IF(ISNUMBER(N3107),N3107,0)-IF(ISNUMBER(O3107),O3107,0)+IF(ISNUMBER(P3107),P3107,0)))&lt;=Summary!$B$2),"Passes using beginning_balance - PreV_ETB differs from beginning_balance",IF(AND(ISNUMBER(O3107),O3107&lt;0,ABS(L3107-(Q3107-IF(ISNUMBER(N3107),N3107,0)+IF(ISNUMBER(P3107),P3107,0)))&lt;=Summary!$B$2),"Negative realized loss not applied - check sign",IF(R3107&lt;0,"Principal paid exceeds prior balance",IF(AND(L3107&gt;Q3107,NOT(ISNUMBER(P3107))),"Balance increased but no Deferred_interest reported",IF(L3107&gt;R3107,"Reported balance higher than expected (missing increase/OC build)","Reported balance lower than expected (missing decrease)"))))),""))</f>
        <v/>
      </c>
    </row>
    <row r="3108" customFormat="false" ht="15" hidden="false" customHeight="false" outlineLevel="0" collapsed="false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9"/>
      <c r="L3108" s="9"/>
      <c r="M3108" s="9"/>
      <c r="N3108" s="9"/>
      <c r="O3108" s="9"/>
      <c r="P3108" s="9"/>
      <c r="Q3108" s="9"/>
      <c r="R3108" s="9" t="str">
        <f aca="false">IF(AND(A3108&lt;&gt;"",ISNUMBER(Q3108),ISNUMBER(L3108)),ROUND(Q3108-IF(ISNUMBER(N3108),N3108,0)-IF(ISNUMBER(O3108),O3108,0)+IF(ISNUMBER(P3108),P3108,0),2),"")</f>
        <v/>
      </c>
      <c r="S3108" s="9" t="str">
        <f aca="false">IF(R3108="","",ROUND(L3108-R3108,2))</f>
        <v/>
      </c>
      <c r="T3108" s="8" t="str">
        <f aca="false">IF(A3108="","",IF(S3108="","BYPASS",IF(ABS(S3108)&lt;=Summary!$B$2,"PASS","FAIL")))</f>
        <v/>
      </c>
      <c r="U3108" s="8" t="str">
        <f aca="false">IF(T3108="BYPASS",IF(NOT(ISNUMBER(Q3108)),"PreV_ETB missing","End_tr_balance missing"),IF(T3108="FAIL",IF(AND(ISNUMBER(K3108),ISNUMBER(L3108),ABS(L3108-(K3108-IF(ISNUMBER(N3108),N3108,0)-IF(ISNUMBER(O3108),O3108,0)+IF(ISNUMBER(P3108),P3108,0)))&lt;=Summary!$B$2),"Passes using beginning_balance - PreV_ETB differs from beginning_balance",IF(AND(ISNUMBER(O3108),O3108&lt;0,ABS(L3108-(Q3108-IF(ISNUMBER(N3108),N3108,0)+IF(ISNUMBER(P3108),P3108,0)))&lt;=Summary!$B$2),"Negative realized loss not applied - check sign",IF(R3108&lt;0,"Principal paid exceeds prior balance",IF(AND(L3108&gt;Q3108,NOT(ISNUMBER(P3108))),"Balance increased but no Deferred_interest reported",IF(L3108&gt;R3108,"Reported balance higher than expected (missing increase/OC build)","Reported balance lower than expected (missing decrease)"))))),""))</f>
        <v/>
      </c>
    </row>
    <row r="3109" customFormat="false" ht="15" hidden="false" customHeight="false" outlineLevel="0" collapsed="false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9"/>
      <c r="L3109" s="9"/>
      <c r="M3109" s="9"/>
      <c r="N3109" s="9"/>
      <c r="O3109" s="9"/>
      <c r="P3109" s="9"/>
      <c r="Q3109" s="9"/>
      <c r="R3109" s="9" t="str">
        <f aca="false">IF(AND(A3109&lt;&gt;"",ISNUMBER(Q3109),ISNUMBER(L3109)),ROUND(Q3109-IF(ISNUMBER(N3109),N3109,0)-IF(ISNUMBER(O3109),O3109,0)+IF(ISNUMBER(P3109),P3109,0),2),"")</f>
        <v/>
      </c>
      <c r="S3109" s="9" t="str">
        <f aca="false">IF(R3109="","",ROUND(L3109-R3109,2))</f>
        <v/>
      </c>
      <c r="T3109" s="8" t="str">
        <f aca="false">IF(A3109="","",IF(S3109="","BYPASS",IF(ABS(S3109)&lt;=Summary!$B$2,"PASS","FAIL")))</f>
        <v/>
      </c>
      <c r="U3109" s="8" t="str">
        <f aca="false">IF(T3109="BYPASS",IF(NOT(ISNUMBER(Q3109)),"PreV_ETB missing","End_tr_balance missing"),IF(T3109="FAIL",IF(AND(ISNUMBER(K3109),ISNUMBER(L3109),ABS(L3109-(K3109-IF(ISNUMBER(N3109),N3109,0)-IF(ISNUMBER(O3109),O3109,0)+IF(ISNUMBER(P3109),P3109,0)))&lt;=Summary!$B$2),"Passes using beginning_balance - PreV_ETB differs from beginning_balance",IF(AND(ISNUMBER(O3109),O3109&lt;0,ABS(L3109-(Q3109-IF(ISNUMBER(N3109),N3109,0)+IF(ISNUMBER(P3109),P3109,0)))&lt;=Summary!$B$2),"Negative realized loss not applied - check sign",IF(R3109&lt;0,"Principal paid exceeds prior balance",IF(AND(L3109&gt;Q3109,NOT(ISNUMBER(P3109))),"Balance increased but no Deferred_interest reported",IF(L3109&gt;R3109,"Reported balance higher than expected (missing increase/OC build)","Reported balance lower than expected (missing decrease)"))))),""))</f>
        <v/>
      </c>
    </row>
    <row r="3110" customFormat="false" ht="15" hidden="false" customHeight="false" outlineLevel="0" collapsed="false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9"/>
      <c r="L3110" s="9"/>
      <c r="M3110" s="9"/>
      <c r="N3110" s="9"/>
      <c r="O3110" s="9"/>
      <c r="P3110" s="9"/>
      <c r="Q3110" s="9"/>
      <c r="R3110" s="9" t="str">
        <f aca="false">IF(AND(A3110&lt;&gt;"",ISNUMBER(Q3110),ISNUMBER(L3110)),ROUND(Q3110-IF(ISNUMBER(N3110),N3110,0)-IF(ISNUMBER(O3110),O3110,0)+IF(ISNUMBER(P3110),P3110,0),2),"")</f>
        <v/>
      </c>
      <c r="S3110" s="9" t="str">
        <f aca="false">IF(R3110="","",ROUND(L3110-R3110,2))</f>
        <v/>
      </c>
      <c r="T3110" s="8" t="str">
        <f aca="false">IF(A3110="","",IF(S3110="","BYPASS",IF(ABS(S3110)&lt;=Summary!$B$2,"PASS","FAIL")))</f>
        <v/>
      </c>
      <c r="U3110" s="8" t="str">
        <f aca="false">IF(T3110="BYPASS",IF(NOT(ISNUMBER(Q3110)),"PreV_ETB missing","End_tr_balance missing"),IF(T3110="FAIL",IF(AND(ISNUMBER(K3110),ISNUMBER(L3110),ABS(L3110-(K3110-IF(ISNUMBER(N3110),N3110,0)-IF(ISNUMBER(O3110),O3110,0)+IF(ISNUMBER(P3110),P3110,0)))&lt;=Summary!$B$2),"Passes using beginning_balance - PreV_ETB differs from beginning_balance",IF(AND(ISNUMBER(O3110),O3110&lt;0,ABS(L3110-(Q3110-IF(ISNUMBER(N3110),N3110,0)+IF(ISNUMBER(P3110),P3110,0)))&lt;=Summary!$B$2),"Negative realized loss not applied - check sign",IF(R3110&lt;0,"Principal paid exceeds prior balance",IF(AND(L3110&gt;Q3110,NOT(ISNUMBER(P3110))),"Balance increased but no Deferred_interest reported",IF(L3110&gt;R3110,"Reported balance higher than expected (missing increase/OC build)","Reported balance lower than expected (missing decrease)"))))),""))</f>
        <v/>
      </c>
    </row>
    <row r="3111" customFormat="false" ht="15" hidden="false" customHeight="false" outlineLevel="0" collapsed="false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9"/>
      <c r="L3111" s="9"/>
      <c r="M3111" s="9"/>
      <c r="N3111" s="9"/>
      <c r="O3111" s="9"/>
      <c r="P3111" s="9"/>
      <c r="Q3111" s="9"/>
      <c r="R3111" s="9" t="str">
        <f aca="false">IF(AND(A3111&lt;&gt;"",ISNUMBER(Q3111),ISNUMBER(L3111)),ROUND(Q3111-IF(ISNUMBER(N3111),N3111,0)-IF(ISNUMBER(O3111),O3111,0)+IF(ISNUMBER(P3111),P3111,0),2),"")</f>
        <v/>
      </c>
      <c r="S3111" s="9" t="str">
        <f aca="false">IF(R3111="","",ROUND(L3111-R3111,2))</f>
        <v/>
      </c>
      <c r="T3111" s="8" t="str">
        <f aca="false">IF(A3111="","",IF(S3111="","BYPASS",IF(ABS(S3111)&lt;=Summary!$B$2,"PASS","FAIL")))</f>
        <v/>
      </c>
      <c r="U3111" s="8" t="str">
        <f aca="false">IF(T3111="BYPASS",IF(NOT(ISNUMBER(Q3111)),"PreV_ETB missing","End_tr_balance missing"),IF(T3111="FAIL",IF(AND(ISNUMBER(K3111),ISNUMBER(L3111),ABS(L3111-(K3111-IF(ISNUMBER(N3111),N3111,0)-IF(ISNUMBER(O3111),O3111,0)+IF(ISNUMBER(P3111),P3111,0)))&lt;=Summary!$B$2),"Passes using beginning_balance - PreV_ETB differs from beginning_balance",IF(AND(ISNUMBER(O3111),O3111&lt;0,ABS(L3111-(Q3111-IF(ISNUMBER(N3111),N3111,0)+IF(ISNUMBER(P3111),P3111,0)))&lt;=Summary!$B$2),"Negative realized loss not applied - check sign",IF(R3111&lt;0,"Principal paid exceeds prior balance",IF(AND(L3111&gt;Q3111,NOT(ISNUMBER(P3111))),"Balance increased but no Deferred_interest reported",IF(L3111&gt;R3111,"Reported balance higher than expected (missing increase/OC build)","Reported balance lower than expected (missing decrease)"))))),""))</f>
        <v/>
      </c>
    </row>
    <row r="3112" customFormat="false" ht="15" hidden="false" customHeight="false" outlineLevel="0" collapsed="false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9"/>
      <c r="L3112" s="9"/>
      <c r="M3112" s="9"/>
      <c r="N3112" s="9"/>
      <c r="O3112" s="9"/>
      <c r="P3112" s="9"/>
      <c r="Q3112" s="9"/>
      <c r="R3112" s="9" t="str">
        <f aca="false">IF(AND(A3112&lt;&gt;"",ISNUMBER(Q3112),ISNUMBER(L3112)),ROUND(Q3112-IF(ISNUMBER(N3112),N3112,0)-IF(ISNUMBER(O3112),O3112,0)+IF(ISNUMBER(P3112),P3112,0),2),"")</f>
        <v/>
      </c>
      <c r="S3112" s="9" t="str">
        <f aca="false">IF(R3112="","",ROUND(L3112-R3112,2))</f>
        <v/>
      </c>
      <c r="T3112" s="8" t="str">
        <f aca="false">IF(A3112="","",IF(S3112="","BYPASS",IF(ABS(S3112)&lt;=Summary!$B$2,"PASS","FAIL")))</f>
        <v/>
      </c>
      <c r="U3112" s="8" t="str">
        <f aca="false">IF(T3112="BYPASS",IF(NOT(ISNUMBER(Q3112)),"PreV_ETB missing","End_tr_balance missing"),IF(T3112="FAIL",IF(AND(ISNUMBER(K3112),ISNUMBER(L3112),ABS(L3112-(K3112-IF(ISNUMBER(N3112),N3112,0)-IF(ISNUMBER(O3112),O3112,0)+IF(ISNUMBER(P3112),P3112,0)))&lt;=Summary!$B$2),"Passes using beginning_balance - PreV_ETB differs from beginning_balance",IF(AND(ISNUMBER(O3112),O3112&lt;0,ABS(L3112-(Q3112-IF(ISNUMBER(N3112),N3112,0)+IF(ISNUMBER(P3112),P3112,0)))&lt;=Summary!$B$2),"Negative realized loss not applied - check sign",IF(R3112&lt;0,"Principal paid exceeds prior balance",IF(AND(L3112&gt;Q3112,NOT(ISNUMBER(P3112))),"Balance increased but no Deferred_interest reported",IF(L3112&gt;R3112,"Reported balance higher than expected (missing increase/OC build)","Reported balance lower than expected (missing decrease)"))))),""))</f>
        <v/>
      </c>
    </row>
    <row r="3113" customFormat="false" ht="15" hidden="false" customHeight="false" outlineLevel="0" collapsed="false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9"/>
      <c r="L3113" s="9"/>
      <c r="M3113" s="9"/>
      <c r="N3113" s="9"/>
      <c r="O3113" s="9"/>
      <c r="P3113" s="9"/>
      <c r="Q3113" s="9"/>
      <c r="R3113" s="9" t="str">
        <f aca="false">IF(AND(A3113&lt;&gt;"",ISNUMBER(Q3113),ISNUMBER(L3113)),ROUND(Q3113-IF(ISNUMBER(N3113),N3113,0)-IF(ISNUMBER(O3113),O3113,0)+IF(ISNUMBER(P3113),P3113,0),2),"")</f>
        <v/>
      </c>
      <c r="S3113" s="9" t="str">
        <f aca="false">IF(R3113="","",ROUND(L3113-R3113,2))</f>
        <v/>
      </c>
      <c r="T3113" s="8" t="str">
        <f aca="false">IF(A3113="","",IF(S3113="","BYPASS",IF(ABS(S3113)&lt;=Summary!$B$2,"PASS","FAIL")))</f>
        <v/>
      </c>
      <c r="U3113" s="8" t="str">
        <f aca="false">IF(T3113="BYPASS",IF(NOT(ISNUMBER(Q3113)),"PreV_ETB missing","End_tr_balance missing"),IF(T3113="FAIL",IF(AND(ISNUMBER(K3113),ISNUMBER(L3113),ABS(L3113-(K3113-IF(ISNUMBER(N3113),N3113,0)-IF(ISNUMBER(O3113),O3113,0)+IF(ISNUMBER(P3113),P3113,0)))&lt;=Summary!$B$2),"Passes using beginning_balance - PreV_ETB differs from beginning_balance",IF(AND(ISNUMBER(O3113),O3113&lt;0,ABS(L3113-(Q3113-IF(ISNUMBER(N3113),N3113,0)+IF(ISNUMBER(P3113),P3113,0)))&lt;=Summary!$B$2),"Negative realized loss not applied - check sign",IF(R3113&lt;0,"Principal paid exceeds prior balance",IF(AND(L3113&gt;Q3113,NOT(ISNUMBER(P3113))),"Balance increased but no Deferred_interest reported",IF(L3113&gt;R3113,"Reported balance higher than expected (missing increase/OC build)","Reported balance lower than expected (missing decrease)"))))),""))</f>
        <v/>
      </c>
    </row>
    <row r="3114" customFormat="false" ht="15" hidden="false" customHeight="false" outlineLevel="0" collapsed="false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9"/>
      <c r="L3114" s="9"/>
      <c r="M3114" s="9"/>
      <c r="N3114" s="9"/>
      <c r="O3114" s="9"/>
      <c r="P3114" s="9"/>
      <c r="Q3114" s="9"/>
      <c r="R3114" s="9" t="str">
        <f aca="false">IF(AND(A3114&lt;&gt;"",ISNUMBER(Q3114),ISNUMBER(L3114)),ROUND(Q3114-IF(ISNUMBER(N3114),N3114,0)-IF(ISNUMBER(O3114),O3114,0)+IF(ISNUMBER(P3114),P3114,0),2),"")</f>
        <v/>
      </c>
      <c r="S3114" s="9" t="str">
        <f aca="false">IF(R3114="","",ROUND(L3114-R3114,2))</f>
        <v/>
      </c>
      <c r="T3114" s="8" t="str">
        <f aca="false">IF(A3114="","",IF(S3114="","BYPASS",IF(ABS(S3114)&lt;=Summary!$B$2,"PASS","FAIL")))</f>
        <v/>
      </c>
      <c r="U3114" s="8" t="str">
        <f aca="false">IF(T3114="BYPASS",IF(NOT(ISNUMBER(Q3114)),"PreV_ETB missing","End_tr_balance missing"),IF(T3114="FAIL",IF(AND(ISNUMBER(K3114),ISNUMBER(L3114),ABS(L3114-(K3114-IF(ISNUMBER(N3114),N3114,0)-IF(ISNUMBER(O3114),O3114,0)+IF(ISNUMBER(P3114),P3114,0)))&lt;=Summary!$B$2),"Passes using beginning_balance - PreV_ETB differs from beginning_balance",IF(AND(ISNUMBER(O3114),O3114&lt;0,ABS(L3114-(Q3114-IF(ISNUMBER(N3114),N3114,0)+IF(ISNUMBER(P3114),P3114,0)))&lt;=Summary!$B$2),"Negative realized loss not applied - check sign",IF(R3114&lt;0,"Principal paid exceeds prior balance",IF(AND(L3114&gt;Q3114,NOT(ISNUMBER(P3114))),"Balance increased but no Deferred_interest reported",IF(L3114&gt;R3114,"Reported balance higher than expected (missing increase/OC build)","Reported balance lower than expected (missing decrease)"))))),""))</f>
        <v/>
      </c>
    </row>
    <row r="3115" customFormat="false" ht="15" hidden="false" customHeight="false" outlineLevel="0" collapsed="false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9"/>
      <c r="L3115" s="9"/>
      <c r="M3115" s="9"/>
      <c r="N3115" s="9"/>
      <c r="O3115" s="9"/>
      <c r="P3115" s="9"/>
      <c r="Q3115" s="9"/>
      <c r="R3115" s="9" t="str">
        <f aca="false">IF(AND(A3115&lt;&gt;"",ISNUMBER(Q3115),ISNUMBER(L3115)),ROUND(Q3115-IF(ISNUMBER(N3115),N3115,0)-IF(ISNUMBER(O3115),O3115,0)+IF(ISNUMBER(P3115),P3115,0),2),"")</f>
        <v/>
      </c>
      <c r="S3115" s="9" t="str">
        <f aca="false">IF(R3115="","",ROUND(L3115-R3115,2))</f>
        <v/>
      </c>
      <c r="T3115" s="8" t="str">
        <f aca="false">IF(A3115="","",IF(S3115="","BYPASS",IF(ABS(S3115)&lt;=Summary!$B$2,"PASS","FAIL")))</f>
        <v/>
      </c>
      <c r="U3115" s="8" t="str">
        <f aca="false">IF(T3115="BYPASS",IF(NOT(ISNUMBER(Q3115)),"PreV_ETB missing","End_tr_balance missing"),IF(T3115="FAIL",IF(AND(ISNUMBER(K3115),ISNUMBER(L3115),ABS(L3115-(K3115-IF(ISNUMBER(N3115),N3115,0)-IF(ISNUMBER(O3115),O3115,0)+IF(ISNUMBER(P3115),P3115,0)))&lt;=Summary!$B$2),"Passes using beginning_balance - PreV_ETB differs from beginning_balance",IF(AND(ISNUMBER(O3115),O3115&lt;0,ABS(L3115-(Q3115-IF(ISNUMBER(N3115),N3115,0)+IF(ISNUMBER(P3115),P3115,0)))&lt;=Summary!$B$2),"Negative realized loss not applied - check sign",IF(R3115&lt;0,"Principal paid exceeds prior balance",IF(AND(L3115&gt;Q3115,NOT(ISNUMBER(P3115))),"Balance increased but no Deferred_interest reported",IF(L3115&gt;R3115,"Reported balance higher than expected (missing increase/OC build)","Reported balance lower than expected (missing decrease)"))))),""))</f>
        <v/>
      </c>
    </row>
    <row r="3116" customFormat="false" ht="15" hidden="false" customHeight="false" outlineLevel="0" collapsed="false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9"/>
      <c r="L3116" s="9"/>
      <c r="M3116" s="9"/>
      <c r="N3116" s="9"/>
      <c r="O3116" s="9"/>
      <c r="P3116" s="9"/>
      <c r="Q3116" s="9"/>
      <c r="R3116" s="9" t="str">
        <f aca="false">IF(AND(A3116&lt;&gt;"",ISNUMBER(Q3116),ISNUMBER(L3116)),ROUND(Q3116-IF(ISNUMBER(N3116),N3116,0)-IF(ISNUMBER(O3116),O3116,0)+IF(ISNUMBER(P3116),P3116,0),2),"")</f>
        <v/>
      </c>
      <c r="S3116" s="9" t="str">
        <f aca="false">IF(R3116="","",ROUND(L3116-R3116,2))</f>
        <v/>
      </c>
      <c r="T3116" s="8" t="str">
        <f aca="false">IF(A3116="","",IF(S3116="","BYPASS",IF(ABS(S3116)&lt;=Summary!$B$2,"PASS","FAIL")))</f>
        <v/>
      </c>
      <c r="U3116" s="8" t="str">
        <f aca="false">IF(T3116="BYPASS",IF(NOT(ISNUMBER(Q3116)),"PreV_ETB missing","End_tr_balance missing"),IF(T3116="FAIL",IF(AND(ISNUMBER(K3116),ISNUMBER(L3116),ABS(L3116-(K3116-IF(ISNUMBER(N3116),N3116,0)-IF(ISNUMBER(O3116),O3116,0)+IF(ISNUMBER(P3116),P3116,0)))&lt;=Summary!$B$2),"Passes using beginning_balance - PreV_ETB differs from beginning_balance",IF(AND(ISNUMBER(O3116),O3116&lt;0,ABS(L3116-(Q3116-IF(ISNUMBER(N3116),N3116,0)+IF(ISNUMBER(P3116),P3116,0)))&lt;=Summary!$B$2),"Negative realized loss not applied - check sign",IF(R3116&lt;0,"Principal paid exceeds prior balance",IF(AND(L3116&gt;Q3116,NOT(ISNUMBER(P3116))),"Balance increased but no Deferred_interest reported",IF(L3116&gt;R3116,"Reported balance higher than expected (missing increase/OC build)","Reported balance lower than expected (missing decrease)"))))),""))</f>
        <v/>
      </c>
    </row>
    <row r="3117" customFormat="false" ht="15" hidden="false" customHeight="false" outlineLevel="0" collapsed="false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9"/>
      <c r="L3117" s="9"/>
      <c r="M3117" s="9"/>
      <c r="N3117" s="9"/>
      <c r="O3117" s="9"/>
      <c r="P3117" s="9"/>
      <c r="Q3117" s="9"/>
      <c r="R3117" s="9" t="str">
        <f aca="false">IF(AND(A3117&lt;&gt;"",ISNUMBER(Q3117),ISNUMBER(L3117)),ROUND(Q3117-IF(ISNUMBER(N3117),N3117,0)-IF(ISNUMBER(O3117),O3117,0)+IF(ISNUMBER(P3117),P3117,0),2),"")</f>
        <v/>
      </c>
      <c r="S3117" s="9" t="str">
        <f aca="false">IF(R3117="","",ROUND(L3117-R3117,2))</f>
        <v/>
      </c>
      <c r="T3117" s="8" t="str">
        <f aca="false">IF(A3117="","",IF(S3117="","BYPASS",IF(ABS(S3117)&lt;=Summary!$B$2,"PASS","FAIL")))</f>
        <v/>
      </c>
      <c r="U3117" s="8" t="str">
        <f aca="false">IF(T3117="BYPASS",IF(NOT(ISNUMBER(Q3117)),"PreV_ETB missing","End_tr_balance missing"),IF(T3117="FAIL",IF(AND(ISNUMBER(K3117),ISNUMBER(L3117),ABS(L3117-(K3117-IF(ISNUMBER(N3117),N3117,0)-IF(ISNUMBER(O3117),O3117,0)+IF(ISNUMBER(P3117),P3117,0)))&lt;=Summary!$B$2),"Passes using beginning_balance - PreV_ETB differs from beginning_balance",IF(AND(ISNUMBER(O3117),O3117&lt;0,ABS(L3117-(Q3117-IF(ISNUMBER(N3117),N3117,0)+IF(ISNUMBER(P3117),P3117,0)))&lt;=Summary!$B$2),"Negative realized loss not applied - check sign",IF(R3117&lt;0,"Principal paid exceeds prior balance",IF(AND(L3117&gt;Q3117,NOT(ISNUMBER(P3117))),"Balance increased but no Deferred_interest reported",IF(L3117&gt;R3117,"Reported balance higher than expected (missing increase/OC build)","Reported balance lower than expected (missing decrease)"))))),""))</f>
        <v/>
      </c>
    </row>
    <row r="3118" customFormat="false" ht="15" hidden="false" customHeight="false" outlineLevel="0" collapsed="false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9"/>
      <c r="L3118" s="9"/>
      <c r="M3118" s="9"/>
      <c r="N3118" s="9"/>
      <c r="O3118" s="9"/>
      <c r="P3118" s="9"/>
      <c r="Q3118" s="9"/>
      <c r="R3118" s="9" t="str">
        <f aca="false">IF(AND(A3118&lt;&gt;"",ISNUMBER(Q3118),ISNUMBER(L3118)),ROUND(Q3118-IF(ISNUMBER(N3118),N3118,0)-IF(ISNUMBER(O3118),O3118,0)+IF(ISNUMBER(P3118),P3118,0),2),"")</f>
        <v/>
      </c>
      <c r="S3118" s="9" t="str">
        <f aca="false">IF(R3118="","",ROUND(L3118-R3118,2))</f>
        <v/>
      </c>
      <c r="T3118" s="8" t="str">
        <f aca="false">IF(A3118="","",IF(S3118="","BYPASS",IF(ABS(S3118)&lt;=Summary!$B$2,"PASS","FAIL")))</f>
        <v/>
      </c>
      <c r="U3118" s="8" t="str">
        <f aca="false">IF(T3118="BYPASS",IF(NOT(ISNUMBER(Q3118)),"PreV_ETB missing","End_tr_balance missing"),IF(T3118="FAIL",IF(AND(ISNUMBER(K3118),ISNUMBER(L3118),ABS(L3118-(K3118-IF(ISNUMBER(N3118),N3118,0)-IF(ISNUMBER(O3118),O3118,0)+IF(ISNUMBER(P3118),P3118,0)))&lt;=Summary!$B$2),"Passes using beginning_balance - PreV_ETB differs from beginning_balance",IF(AND(ISNUMBER(O3118),O3118&lt;0,ABS(L3118-(Q3118-IF(ISNUMBER(N3118),N3118,0)+IF(ISNUMBER(P3118),P3118,0)))&lt;=Summary!$B$2),"Negative realized loss not applied - check sign",IF(R3118&lt;0,"Principal paid exceeds prior balance",IF(AND(L3118&gt;Q3118,NOT(ISNUMBER(P3118))),"Balance increased but no Deferred_interest reported",IF(L3118&gt;R3118,"Reported balance higher than expected (missing increase/OC build)","Reported balance lower than expected (missing decrease)"))))),""))</f>
        <v/>
      </c>
    </row>
    <row r="3119" customFormat="false" ht="15" hidden="false" customHeight="false" outlineLevel="0" collapsed="false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9"/>
      <c r="L3119" s="9"/>
      <c r="M3119" s="9"/>
      <c r="N3119" s="9"/>
      <c r="O3119" s="9"/>
      <c r="P3119" s="9"/>
      <c r="Q3119" s="9"/>
      <c r="R3119" s="9" t="str">
        <f aca="false">IF(AND(A3119&lt;&gt;"",ISNUMBER(Q3119),ISNUMBER(L3119)),ROUND(Q3119-IF(ISNUMBER(N3119),N3119,0)-IF(ISNUMBER(O3119),O3119,0)+IF(ISNUMBER(P3119),P3119,0),2),"")</f>
        <v/>
      </c>
      <c r="S3119" s="9" t="str">
        <f aca="false">IF(R3119="","",ROUND(L3119-R3119,2))</f>
        <v/>
      </c>
      <c r="T3119" s="8" t="str">
        <f aca="false">IF(A3119="","",IF(S3119="","BYPASS",IF(ABS(S3119)&lt;=Summary!$B$2,"PASS","FAIL")))</f>
        <v/>
      </c>
      <c r="U3119" s="8" t="str">
        <f aca="false">IF(T3119="BYPASS",IF(NOT(ISNUMBER(Q3119)),"PreV_ETB missing","End_tr_balance missing"),IF(T3119="FAIL",IF(AND(ISNUMBER(K3119),ISNUMBER(L3119),ABS(L3119-(K3119-IF(ISNUMBER(N3119),N3119,0)-IF(ISNUMBER(O3119),O3119,0)+IF(ISNUMBER(P3119),P3119,0)))&lt;=Summary!$B$2),"Passes using beginning_balance - PreV_ETB differs from beginning_balance",IF(AND(ISNUMBER(O3119),O3119&lt;0,ABS(L3119-(Q3119-IF(ISNUMBER(N3119),N3119,0)+IF(ISNUMBER(P3119),P3119,0)))&lt;=Summary!$B$2),"Negative realized loss not applied - check sign",IF(R3119&lt;0,"Principal paid exceeds prior balance",IF(AND(L3119&gt;Q3119,NOT(ISNUMBER(P3119))),"Balance increased but no Deferred_interest reported",IF(L3119&gt;R3119,"Reported balance higher than expected (missing increase/OC build)","Reported balance lower than expected (missing decrease)"))))),""))</f>
        <v/>
      </c>
    </row>
    <row r="3120" customFormat="false" ht="15" hidden="false" customHeight="false" outlineLevel="0" collapsed="false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9"/>
      <c r="L3120" s="9"/>
      <c r="M3120" s="9"/>
      <c r="N3120" s="9"/>
      <c r="O3120" s="9"/>
      <c r="P3120" s="9"/>
      <c r="Q3120" s="9"/>
      <c r="R3120" s="9" t="str">
        <f aca="false">IF(AND(A3120&lt;&gt;"",ISNUMBER(Q3120),ISNUMBER(L3120)),ROUND(Q3120-IF(ISNUMBER(N3120),N3120,0)-IF(ISNUMBER(O3120),O3120,0)+IF(ISNUMBER(P3120),P3120,0),2),"")</f>
        <v/>
      </c>
      <c r="S3120" s="9" t="str">
        <f aca="false">IF(R3120="","",ROUND(L3120-R3120,2))</f>
        <v/>
      </c>
      <c r="T3120" s="8" t="str">
        <f aca="false">IF(A3120="","",IF(S3120="","BYPASS",IF(ABS(S3120)&lt;=Summary!$B$2,"PASS","FAIL")))</f>
        <v/>
      </c>
      <c r="U3120" s="8" t="str">
        <f aca="false">IF(T3120="BYPASS",IF(NOT(ISNUMBER(Q3120)),"PreV_ETB missing","End_tr_balance missing"),IF(T3120="FAIL",IF(AND(ISNUMBER(K3120),ISNUMBER(L3120),ABS(L3120-(K3120-IF(ISNUMBER(N3120),N3120,0)-IF(ISNUMBER(O3120),O3120,0)+IF(ISNUMBER(P3120),P3120,0)))&lt;=Summary!$B$2),"Passes using beginning_balance - PreV_ETB differs from beginning_balance",IF(AND(ISNUMBER(O3120),O3120&lt;0,ABS(L3120-(Q3120-IF(ISNUMBER(N3120),N3120,0)+IF(ISNUMBER(P3120),P3120,0)))&lt;=Summary!$B$2),"Negative realized loss not applied - check sign",IF(R3120&lt;0,"Principal paid exceeds prior balance",IF(AND(L3120&gt;Q3120,NOT(ISNUMBER(P3120))),"Balance increased but no Deferred_interest reported",IF(L3120&gt;R3120,"Reported balance higher than expected (missing increase/OC build)","Reported balance lower than expected (missing decrease)"))))),""))</f>
        <v/>
      </c>
    </row>
    <row r="3121" customFormat="false" ht="15" hidden="false" customHeight="false" outlineLevel="0" collapsed="false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9"/>
      <c r="L3121" s="9"/>
      <c r="M3121" s="9"/>
      <c r="N3121" s="9"/>
      <c r="O3121" s="9"/>
      <c r="P3121" s="9"/>
      <c r="Q3121" s="9"/>
      <c r="R3121" s="9" t="str">
        <f aca="false">IF(AND(A3121&lt;&gt;"",ISNUMBER(Q3121),ISNUMBER(L3121)),ROUND(Q3121-IF(ISNUMBER(N3121),N3121,0)-IF(ISNUMBER(O3121),O3121,0)+IF(ISNUMBER(P3121),P3121,0),2),"")</f>
        <v/>
      </c>
      <c r="S3121" s="9" t="str">
        <f aca="false">IF(R3121="","",ROUND(L3121-R3121,2))</f>
        <v/>
      </c>
      <c r="T3121" s="8" t="str">
        <f aca="false">IF(A3121="","",IF(S3121="","BYPASS",IF(ABS(S3121)&lt;=Summary!$B$2,"PASS","FAIL")))</f>
        <v/>
      </c>
      <c r="U3121" s="8" t="str">
        <f aca="false">IF(T3121="BYPASS",IF(NOT(ISNUMBER(Q3121)),"PreV_ETB missing","End_tr_balance missing"),IF(T3121="FAIL",IF(AND(ISNUMBER(K3121),ISNUMBER(L3121),ABS(L3121-(K3121-IF(ISNUMBER(N3121),N3121,0)-IF(ISNUMBER(O3121),O3121,0)+IF(ISNUMBER(P3121),P3121,0)))&lt;=Summary!$B$2),"Passes using beginning_balance - PreV_ETB differs from beginning_balance",IF(AND(ISNUMBER(O3121),O3121&lt;0,ABS(L3121-(Q3121-IF(ISNUMBER(N3121),N3121,0)+IF(ISNUMBER(P3121),P3121,0)))&lt;=Summary!$B$2),"Negative realized loss not applied - check sign",IF(R3121&lt;0,"Principal paid exceeds prior balance",IF(AND(L3121&gt;Q3121,NOT(ISNUMBER(P3121))),"Balance increased but no Deferred_interest reported",IF(L3121&gt;R3121,"Reported balance higher than expected (missing increase/OC build)","Reported balance lower than expected (missing decrease)"))))),""))</f>
        <v/>
      </c>
    </row>
    <row r="3122" customFormat="false" ht="15" hidden="false" customHeight="false" outlineLevel="0" collapsed="false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9"/>
      <c r="L3122" s="9"/>
      <c r="M3122" s="9"/>
      <c r="N3122" s="9"/>
      <c r="O3122" s="9"/>
      <c r="P3122" s="9"/>
      <c r="Q3122" s="9"/>
      <c r="R3122" s="9" t="str">
        <f aca="false">IF(AND(A3122&lt;&gt;"",ISNUMBER(Q3122),ISNUMBER(L3122)),ROUND(Q3122-IF(ISNUMBER(N3122),N3122,0)-IF(ISNUMBER(O3122),O3122,0)+IF(ISNUMBER(P3122),P3122,0),2),"")</f>
        <v/>
      </c>
      <c r="S3122" s="9" t="str">
        <f aca="false">IF(R3122="","",ROUND(L3122-R3122,2))</f>
        <v/>
      </c>
      <c r="T3122" s="8" t="str">
        <f aca="false">IF(A3122="","",IF(S3122="","BYPASS",IF(ABS(S3122)&lt;=Summary!$B$2,"PASS","FAIL")))</f>
        <v/>
      </c>
      <c r="U3122" s="8" t="str">
        <f aca="false">IF(T3122="BYPASS",IF(NOT(ISNUMBER(Q3122)),"PreV_ETB missing","End_tr_balance missing"),IF(T3122="FAIL",IF(AND(ISNUMBER(K3122),ISNUMBER(L3122),ABS(L3122-(K3122-IF(ISNUMBER(N3122),N3122,0)-IF(ISNUMBER(O3122),O3122,0)+IF(ISNUMBER(P3122),P3122,0)))&lt;=Summary!$B$2),"Passes using beginning_balance - PreV_ETB differs from beginning_balance",IF(AND(ISNUMBER(O3122),O3122&lt;0,ABS(L3122-(Q3122-IF(ISNUMBER(N3122),N3122,0)+IF(ISNUMBER(P3122),P3122,0)))&lt;=Summary!$B$2),"Negative realized loss not applied - check sign",IF(R3122&lt;0,"Principal paid exceeds prior balance",IF(AND(L3122&gt;Q3122,NOT(ISNUMBER(P3122))),"Balance increased but no Deferred_interest reported",IF(L3122&gt;R3122,"Reported balance higher than expected (missing increase/OC build)","Reported balance lower than expected (missing decrease)"))))),""))</f>
        <v/>
      </c>
    </row>
    <row r="3123" customFormat="false" ht="15" hidden="false" customHeight="false" outlineLevel="0" collapsed="false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9"/>
      <c r="L3123" s="9"/>
      <c r="M3123" s="9"/>
      <c r="N3123" s="9"/>
      <c r="O3123" s="9"/>
      <c r="P3123" s="9"/>
      <c r="Q3123" s="9"/>
      <c r="R3123" s="9" t="str">
        <f aca="false">IF(AND(A3123&lt;&gt;"",ISNUMBER(Q3123),ISNUMBER(L3123)),ROUND(Q3123-IF(ISNUMBER(N3123),N3123,0)-IF(ISNUMBER(O3123),O3123,0)+IF(ISNUMBER(P3123),P3123,0),2),"")</f>
        <v/>
      </c>
      <c r="S3123" s="9" t="str">
        <f aca="false">IF(R3123="","",ROUND(L3123-R3123,2))</f>
        <v/>
      </c>
      <c r="T3123" s="8" t="str">
        <f aca="false">IF(A3123="","",IF(S3123="","BYPASS",IF(ABS(S3123)&lt;=Summary!$B$2,"PASS","FAIL")))</f>
        <v/>
      </c>
      <c r="U3123" s="8" t="str">
        <f aca="false">IF(T3123="BYPASS",IF(NOT(ISNUMBER(Q3123)),"PreV_ETB missing","End_tr_balance missing"),IF(T3123="FAIL",IF(AND(ISNUMBER(K3123),ISNUMBER(L3123),ABS(L3123-(K3123-IF(ISNUMBER(N3123),N3123,0)-IF(ISNUMBER(O3123),O3123,0)+IF(ISNUMBER(P3123),P3123,0)))&lt;=Summary!$B$2),"Passes using beginning_balance - PreV_ETB differs from beginning_balance",IF(AND(ISNUMBER(O3123),O3123&lt;0,ABS(L3123-(Q3123-IF(ISNUMBER(N3123),N3123,0)+IF(ISNUMBER(P3123),P3123,0)))&lt;=Summary!$B$2),"Negative realized loss not applied - check sign",IF(R3123&lt;0,"Principal paid exceeds prior balance",IF(AND(L3123&gt;Q3123,NOT(ISNUMBER(P3123))),"Balance increased but no Deferred_interest reported",IF(L3123&gt;R3123,"Reported balance higher than expected (missing increase/OC build)","Reported balance lower than expected (missing decrease)"))))),""))</f>
        <v/>
      </c>
    </row>
    <row r="3124" customFormat="false" ht="15" hidden="false" customHeight="false" outlineLevel="0" collapsed="false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9"/>
      <c r="L3124" s="9"/>
      <c r="M3124" s="9"/>
      <c r="N3124" s="9"/>
      <c r="O3124" s="9"/>
      <c r="P3124" s="9"/>
      <c r="Q3124" s="9"/>
      <c r="R3124" s="9" t="str">
        <f aca="false">IF(AND(A3124&lt;&gt;"",ISNUMBER(Q3124),ISNUMBER(L3124)),ROUND(Q3124-IF(ISNUMBER(N3124),N3124,0)-IF(ISNUMBER(O3124),O3124,0)+IF(ISNUMBER(P3124),P3124,0),2),"")</f>
        <v/>
      </c>
      <c r="S3124" s="9" t="str">
        <f aca="false">IF(R3124="","",ROUND(L3124-R3124,2))</f>
        <v/>
      </c>
      <c r="T3124" s="8" t="str">
        <f aca="false">IF(A3124="","",IF(S3124="","BYPASS",IF(ABS(S3124)&lt;=Summary!$B$2,"PASS","FAIL")))</f>
        <v/>
      </c>
      <c r="U3124" s="8" t="str">
        <f aca="false">IF(T3124="BYPASS",IF(NOT(ISNUMBER(Q3124)),"PreV_ETB missing","End_tr_balance missing"),IF(T3124="FAIL",IF(AND(ISNUMBER(K3124),ISNUMBER(L3124),ABS(L3124-(K3124-IF(ISNUMBER(N3124),N3124,0)-IF(ISNUMBER(O3124),O3124,0)+IF(ISNUMBER(P3124),P3124,0)))&lt;=Summary!$B$2),"Passes using beginning_balance - PreV_ETB differs from beginning_balance",IF(AND(ISNUMBER(O3124),O3124&lt;0,ABS(L3124-(Q3124-IF(ISNUMBER(N3124),N3124,0)+IF(ISNUMBER(P3124),P3124,0)))&lt;=Summary!$B$2),"Negative realized loss not applied - check sign",IF(R3124&lt;0,"Principal paid exceeds prior balance",IF(AND(L3124&gt;Q3124,NOT(ISNUMBER(P3124))),"Balance increased but no Deferred_interest reported",IF(L3124&gt;R3124,"Reported balance higher than expected (missing increase/OC build)","Reported balance lower than expected (missing decrease)"))))),""))</f>
        <v/>
      </c>
    </row>
    <row r="3125" customFormat="false" ht="15" hidden="false" customHeight="false" outlineLevel="0" collapsed="false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9"/>
      <c r="L3125" s="9"/>
      <c r="M3125" s="9"/>
      <c r="N3125" s="9"/>
      <c r="O3125" s="9"/>
      <c r="P3125" s="9"/>
      <c r="Q3125" s="9"/>
      <c r="R3125" s="9" t="str">
        <f aca="false">IF(AND(A3125&lt;&gt;"",ISNUMBER(Q3125),ISNUMBER(L3125)),ROUND(Q3125-IF(ISNUMBER(N3125),N3125,0)-IF(ISNUMBER(O3125),O3125,0)+IF(ISNUMBER(P3125),P3125,0),2),"")</f>
        <v/>
      </c>
      <c r="S3125" s="9" t="str">
        <f aca="false">IF(R3125="","",ROUND(L3125-R3125,2))</f>
        <v/>
      </c>
      <c r="T3125" s="8" t="str">
        <f aca="false">IF(A3125="","",IF(S3125="","BYPASS",IF(ABS(S3125)&lt;=Summary!$B$2,"PASS","FAIL")))</f>
        <v/>
      </c>
      <c r="U3125" s="8" t="str">
        <f aca="false">IF(T3125="BYPASS",IF(NOT(ISNUMBER(Q3125)),"PreV_ETB missing","End_tr_balance missing"),IF(T3125="FAIL",IF(AND(ISNUMBER(K3125),ISNUMBER(L3125),ABS(L3125-(K3125-IF(ISNUMBER(N3125),N3125,0)-IF(ISNUMBER(O3125),O3125,0)+IF(ISNUMBER(P3125),P3125,0)))&lt;=Summary!$B$2),"Passes using beginning_balance - PreV_ETB differs from beginning_balance",IF(AND(ISNUMBER(O3125),O3125&lt;0,ABS(L3125-(Q3125-IF(ISNUMBER(N3125),N3125,0)+IF(ISNUMBER(P3125),P3125,0)))&lt;=Summary!$B$2),"Negative realized loss not applied - check sign",IF(R3125&lt;0,"Principal paid exceeds prior balance",IF(AND(L3125&gt;Q3125,NOT(ISNUMBER(P3125))),"Balance increased but no Deferred_interest reported",IF(L3125&gt;R3125,"Reported balance higher than expected (missing increase/OC build)","Reported balance lower than expected (missing decrease)"))))),""))</f>
        <v/>
      </c>
    </row>
    <row r="3126" customFormat="false" ht="15" hidden="false" customHeight="false" outlineLevel="0" collapsed="false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9"/>
      <c r="L3126" s="9"/>
      <c r="M3126" s="9"/>
      <c r="N3126" s="9"/>
      <c r="O3126" s="9"/>
      <c r="P3126" s="9"/>
      <c r="Q3126" s="9"/>
      <c r="R3126" s="9" t="str">
        <f aca="false">IF(AND(A3126&lt;&gt;"",ISNUMBER(Q3126),ISNUMBER(L3126)),ROUND(Q3126-IF(ISNUMBER(N3126),N3126,0)-IF(ISNUMBER(O3126),O3126,0)+IF(ISNUMBER(P3126),P3126,0),2),"")</f>
        <v/>
      </c>
      <c r="S3126" s="9" t="str">
        <f aca="false">IF(R3126="","",ROUND(L3126-R3126,2))</f>
        <v/>
      </c>
      <c r="T3126" s="8" t="str">
        <f aca="false">IF(A3126="","",IF(S3126="","BYPASS",IF(ABS(S3126)&lt;=Summary!$B$2,"PASS","FAIL")))</f>
        <v/>
      </c>
      <c r="U3126" s="8" t="str">
        <f aca="false">IF(T3126="BYPASS",IF(NOT(ISNUMBER(Q3126)),"PreV_ETB missing","End_tr_balance missing"),IF(T3126="FAIL",IF(AND(ISNUMBER(K3126),ISNUMBER(L3126),ABS(L3126-(K3126-IF(ISNUMBER(N3126),N3126,0)-IF(ISNUMBER(O3126),O3126,0)+IF(ISNUMBER(P3126),P3126,0)))&lt;=Summary!$B$2),"Passes using beginning_balance - PreV_ETB differs from beginning_balance",IF(AND(ISNUMBER(O3126),O3126&lt;0,ABS(L3126-(Q3126-IF(ISNUMBER(N3126),N3126,0)+IF(ISNUMBER(P3126),P3126,0)))&lt;=Summary!$B$2),"Negative realized loss not applied - check sign",IF(R3126&lt;0,"Principal paid exceeds prior balance",IF(AND(L3126&gt;Q3126,NOT(ISNUMBER(P3126))),"Balance increased but no Deferred_interest reported",IF(L3126&gt;R3126,"Reported balance higher than expected (missing increase/OC build)","Reported balance lower than expected (missing decrease)"))))),""))</f>
        <v/>
      </c>
    </row>
    <row r="3127" customFormat="false" ht="15" hidden="false" customHeight="false" outlineLevel="0" collapsed="false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9"/>
      <c r="L3127" s="9"/>
      <c r="M3127" s="9"/>
      <c r="N3127" s="9"/>
      <c r="O3127" s="9"/>
      <c r="P3127" s="9"/>
      <c r="Q3127" s="9"/>
      <c r="R3127" s="9" t="str">
        <f aca="false">IF(AND(A3127&lt;&gt;"",ISNUMBER(Q3127),ISNUMBER(L3127)),ROUND(Q3127-IF(ISNUMBER(N3127),N3127,0)-IF(ISNUMBER(O3127),O3127,0)+IF(ISNUMBER(P3127),P3127,0),2),"")</f>
        <v/>
      </c>
      <c r="S3127" s="9" t="str">
        <f aca="false">IF(R3127="","",ROUND(L3127-R3127,2))</f>
        <v/>
      </c>
      <c r="T3127" s="8" t="str">
        <f aca="false">IF(A3127="","",IF(S3127="","BYPASS",IF(ABS(S3127)&lt;=Summary!$B$2,"PASS","FAIL")))</f>
        <v/>
      </c>
      <c r="U3127" s="8" t="str">
        <f aca="false">IF(T3127="BYPASS",IF(NOT(ISNUMBER(Q3127)),"PreV_ETB missing","End_tr_balance missing"),IF(T3127="FAIL",IF(AND(ISNUMBER(K3127),ISNUMBER(L3127),ABS(L3127-(K3127-IF(ISNUMBER(N3127),N3127,0)-IF(ISNUMBER(O3127),O3127,0)+IF(ISNUMBER(P3127),P3127,0)))&lt;=Summary!$B$2),"Passes using beginning_balance - PreV_ETB differs from beginning_balance",IF(AND(ISNUMBER(O3127),O3127&lt;0,ABS(L3127-(Q3127-IF(ISNUMBER(N3127),N3127,0)+IF(ISNUMBER(P3127),P3127,0)))&lt;=Summary!$B$2),"Negative realized loss not applied - check sign",IF(R3127&lt;0,"Principal paid exceeds prior balance",IF(AND(L3127&gt;Q3127,NOT(ISNUMBER(P3127))),"Balance increased but no Deferred_interest reported",IF(L3127&gt;R3127,"Reported balance higher than expected (missing increase/OC build)","Reported balance lower than expected (missing decrease)"))))),""))</f>
        <v/>
      </c>
    </row>
    <row r="3128" customFormat="false" ht="15" hidden="false" customHeight="false" outlineLevel="0" collapsed="false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9"/>
      <c r="L3128" s="9"/>
      <c r="M3128" s="9"/>
      <c r="N3128" s="9"/>
      <c r="O3128" s="9"/>
      <c r="P3128" s="9"/>
      <c r="Q3128" s="9"/>
      <c r="R3128" s="9" t="str">
        <f aca="false">IF(AND(A3128&lt;&gt;"",ISNUMBER(Q3128),ISNUMBER(L3128)),ROUND(Q3128-IF(ISNUMBER(N3128),N3128,0)-IF(ISNUMBER(O3128),O3128,0)+IF(ISNUMBER(P3128),P3128,0),2),"")</f>
        <v/>
      </c>
      <c r="S3128" s="9" t="str">
        <f aca="false">IF(R3128="","",ROUND(L3128-R3128,2))</f>
        <v/>
      </c>
      <c r="T3128" s="8" t="str">
        <f aca="false">IF(A3128="","",IF(S3128="","BYPASS",IF(ABS(S3128)&lt;=Summary!$B$2,"PASS","FAIL")))</f>
        <v/>
      </c>
      <c r="U3128" s="8" t="str">
        <f aca="false">IF(T3128="BYPASS",IF(NOT(ISNUMBER(Q3128)),"PreV_ETB missing","End_tr_balance missing"),IF(T3128="FAIL",IF(AND(ISNUMBER(K3128),ISNUMBER(L3128),ABS(L3128-(K3128-IF(ISNUMBER(N3128),N3128,0)-IF(ISNUMBER(O3128),O3128,0)+IF(ISNUMBER(P3128),P3128,0)))&lt;=Summary!$B$2),"Passes using beginning_balance - PreV_ETB differs from beginning_balance",IF(AND(ISNUMBER(O3128),O3128&lt;0,ABS(L3128-(Q3128-IF(ISNUMBER(N3128),N3128,0)+IF(ISNUMBER(P3128),P3128,0)))&lt;=Summary!$B$2),"Negative realized loss not applied - check sign",IF(R3128&lt;0,"Principal paid exceeds prior balance",IF(AND(L3128&gt;Q3128,NOT(ISNUMBER(P3128))),"Balance increased but no Deferred_interest reported",IF(L3128&gt;R3128,"Reported balance higher than expected (missing increase/OC build)","Reported balance lower than expected (missing decrease)"))))),""))</f>
        <v/>
      </c>
    </row>
    <row r="3129" customFormat="false" ht="15" hidden="false" customHeight="false" outlineLevel="0" collapsed="false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9"/>
      <c r="L3129" s="9"/>
      <c r="M3129" s="9"/>
      <c r="N3129" s="9"/>
      <c r="O3129" s="9"/>
      <c r="P3129" s="9"/>
      <c r="Q3129" s="9"/>
      <c r="R3129" s="9" t="str">
        <f aca="false">IF(AND(A3129&lt;&gt;"",ISNUMBER(Q3129),ISNUMBER(L3129)),ROUND(Q3129-IF(ISNUMBER(N3129),N3129,0)-IF(ISNUMBER(O3129),O3129,0)+IF(ISNUMBER(P3129),P3129,0),2),"")</f>
        <v/>
      </c>
      <c r="S3129" s="9" t="str">
        <f aca="false">IF(R3129="","",ROUND(L3129-R3129,2))</f>
        <v/>
      </c>
      <c r="T3129" s="8" t="str">
        <f aca="false">IF(A3129="","",IF(S3129="","BYPASS",IF(ABS(S3129)&lt;=Summary!$B$2,"PASS","FAIL")))</f>
        <v/>
      </c>
      <c r="U3129" s="8" t="str">
        <f aca="false">IF(T3129="BYPASS",IF(NOT(ISNUMBER(Q3129)),"PreV_ETB missing","End_tr_balance missing"),IF(T3129="FAIL",IF(AND(ISNUMBER(K3129),ISNUMBER(L3129),ABS(L3129-(K3129-IF(ISNUMBER(N3129),N3129,0)-IF(ISNUMBER(O3129),O3129,0)+IF(ISNUMBER(P3129),P3129,0)))&lt;=Summary!$B$2),"Passes using beginning_balance - PreV_ETB differs from beginning_balance",IF(AND(ISNUMBER(O3129),O3129&lt;0,ABS(L3129-(Q3129-IF(ISNUMBER(N3129),N3129,0)+IF(ISNUMBER(P3129),P3129,0)))&lt;=Summary!$B$2),"Negative realized loss not applied - check sign",IF(R3129&lt;0,"Principal paid exceeds prior balance",IF(AND(L3129&gt;Q3129,NOT(ISNUMBER(P3129))),"Balance increased but no Deferred_interest reported",IF(L3129&gt;R3129,"Reported balance higher than expected (missing increase/OC build)","Reported balance lower than expected (missing decrease)"))))),""))</f>
        <v/>
      </c>
    </row>
    <row r="3130" customFormat="false" ht="15" hidden="false" customHeight="false" outlineLevel="0" collapsed="false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9"/>
      <c r="L3130" s="9"/>
      <c r="M3130" s="9"/>
      <c r="N3130" s="9"/>
      <c r="O3130" s="9"/>
      <c r="P3130" s="9"/>
      <c r="Q3130" s="9"/>
      <c r="R3130" s="9" t="str">
        <f aca="false">IF(AND(A3130&lt;&gt;"",ISNUMBER(Q3130),ISNUMBER(L3130)),ROUND(Q3130-IF(ISNUMBER(N3130),N3130,0)-IF(ISNUMBER(O3130),O3130,0)+IF(ISNUMBER(P3130),P3130,0),2),"")</f>
        <v/>
      </c>
      <c r="S3130" s="9" t="str">
        <f aca="false">IF(R3130="","",ROUND(L3130-R3130,2))</f>
        <v/>
      </c>
      <c r="T3130" s="8" t="str">
        <f aca="false">IF(A3130="","",IF(S3130="","BYPASS",IF(ABS(S3130)&lt;=Summary!$B$2,"PASS","FAIL")))</f>
        <v/>
      </c>
      <c r="U3130" s="8" t="str">
        <f aca="false">IF(T3130="BYPASS",IF(NOT(ISNUMBER(Q3130)),"PreV_ETB missing","End_tr_balance missing"),IF(T3130="FAIL",IF(AND(ISNUMBER(K3130),ISNUMBER(L3130),ABS(L3130-(K3130-IF(ISNUMBER(N3130),N3130,0)-IF(ISNUMBER(O3130),O3130,0)+IF(ISNUMBER(P3130),P3130,0)))&lt;=Summary!$B$2),"Passes using beginning_balance - PreV_ETB differs from beginning_balance",IF(AND(ISNUMBER(O3130),O3130&lt;0,ABS(L3130-(Q3130-IF(ISNUMBER(N3130),N3130,0)+IF(ISNUMBER(P3130),P3130,0)))&lt;=Summary!$B$2),"Negative realized loss not applied - check sign",IF(R3130&lt;0,"Principal paid exceeds prior balance",IF(AND(L3130&gt;Q3130,NOT(ISNUMBER(P3130))),"Balance increased but no Deferred_interest reported",IF(L3130&gt;R3130,"Reported balance higher than expected (missing increase/OC build)","Reported balance lower than expected (missing decrease)"))))),""))</f>
        <v/>
      </c>
    </row>
    <row r="3131" customFormat="false" ht="15" hidden="false" customHeight="false" outlineLevel="0" collapsed="false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9"/>
      <c r="L3131" s="9"/>
      <c r="M3131" s="9"/>
      <c r="N3131" s="9"/>
      <c r="O3131" s="9"/>
      <c r="P3131" s="9"/>
      <c r="Q3131" s="9"/>
      <c r="R3131" s="9" t="str">
        <f aca="false">IF(AND(A3131&lt;&gt;"",ISNUMBER(Q3131),ISNUMBER(L3131)),ROUND(Q3131-IF(ISNUMBER(N3131),N3131,0)-IF(ISNUMBER(O3131),O3131,0)+IF(ISNUMBER(P3131),P3131,0),2),"")</f>
        <v/>
      </c>
      <c r="S3131" s="9" t="str">
        <f aca="false">IF(R3131="","",ROUND(L3131-R3131,2))</f>
        <v/>
      </c>
      <c r="T3131" s="8" t="str">
        <f aca="false">IF(A3131="","",IF(S3131="","BYPASS",IF(ABS(S3131)&lt;=Summary!$B$2,"PASS","FAIL")))</f>
        <v/>
      </c>
      <c r="U3131" s="8" t="str">
        <f aca="false">IF(T3131="BYPASS",IF(NOT(ISNUMBER(Q3131)),"PreV_ETB missing","End_tr_balance missing"),IF(T3131="FAIL",IF(AND(ISNUMBER(K3131),ISNUMBER(L3131),ABS(L3131-(K3131-IF(ISNUMBER(N3131),N3131,0)-IF(ISNUMBER(O3131),O3131,0)+IF(ISNUMBER(P3131),P3131,0)))&lt;=Summary!$B$2),"Passes using beginning_balance - PreV_ETB differs from beginning_balance",IF(AND(ISNUMBER(O3131),O3131&lt;0,ABS(L3131-(Q3131-IF(ISNUMBER(N3131),N3131,0)+IF(ISNUMBER(P3131),P3131,0)))&lt;=Summary!$B$2),"Negative realized loss not applied - check sign",IF(R3131&lt;0,"Principal paid exceeds prior balance",IF(AND(L3131&gt;Q3131,NOT(ISNUMBER(P3131))),"Balance increased but no Deferred_interest reported",IF(L3131&gt;R3131,"Reported balance higher than expected (missing increase/OC build)","Reported balance lower than expected (missing decrease)"))))),""))</f>
        <v/>
      </c>
    </row>
    <row r="3132" customFormat="false" ht="15" hidden="false" customHeight="false" outlineLevel="0" collapsed="false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9"/>
      <c r="L3132" s="9"/>
      <c r="M3132" s="9"/>
      <c r="N3132" s="9"/>
      <c r="O3132" s="9"/>
      <c r="P3132" s="9"/>
      <c r="Q3132" s="9"/>
      <c r="R3132" s="9" t="str">
        <f aca="false">IF(AND(A3132&lt;&gt;"",ISNUMBER(Q3132),ISNUMBER(L3132)),ROUND(Q3132-IF(ISNUMBER(N3132),N3132,0)-IF(ISNUMBER(O3132),O3132,0)+IF(ISNUMBER(P3132),P3132,0),2),"")</f>
        <v/>
      </c>
      <c r="S3132" s="9" t="str">
        <f aca="false">IF(R3132="","",ROUND(L3132-R3132,2))</f>
        <v/>
      </c>
      <c r="T3132" s="8" t="str">
        <f aca="false">IF(A3132="","",IF(S3132="","BYPASS",IF(ABS(S3132)&lt;=Summary!$B$2,"PASS","FAIL")))</f>
        <v/>
      </c>
      <c r="U3132" s="8" t="str">
        <f aca="false">IF(T3132="BYPASS",IF(NOT(ISNUMBER(Q3132)),"PreV_ETB missing","End_tr_balance missing"),IF(T3132="FAIL",IF(AND(ISNUMBER(K3132),ISNUMBER(L3132),ABS(L3132-(K3132-IF(ISNUMBER(N3132),N3132,0)-IF(ISNUMBER(O3132),O3132,0)+IF(ISNUMBER(P3132),P3132,0)))&lt;=Summary!$B$2),"Passes using beginning_balance - PreV_ETB differs from beginning_balance",IF(AND(ISNUMBER(O3132),O3132&lt;0,ABS(L3132-(Q3132-IF(ISNUMBER(N3132),N3132,0)+IF(ISNUMBER(P3132),P3132,0)))&lt;=Summary!$B$2),"Negative realized loss not applied - check sign",IF(R3132&lt;0,"Principal paid exceeds prior balance",IF(AND(L3132&gt;Q3132,NOT(ISNUMBER(P3132))),"Balance increased but no Deferred_interest reported",IF(L3132&gt;R3132,"Reported balance higher than expected (missing increase/OC build)","Reported balance lower than expected (missing decrease)"))))),""))</f>
        <v/>
      </c>
    </row>
    <row r="3133" customFormat="false" ht="15" hidden="false" customHeight="false" outlineLevel="0" collapsed="false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9"/>
      <c r="L3133" s="9"/>
      <c r="M3133" s="9"/>
      <c r="N3133" s="9"/>
      <c r="O3133" s="9"/>
      <c r="P3133" s="9"/>
      <c r="Q3133" s="9"/>
      <c r="R3133" s="9" t="str">
        <f aca="false">IF(AND(A3133&lt;&gt;"",ISNUMBER(Q3133),ISNUMBER(L3133)),ROUND(Q3133-IF(ISNUMBER(N3133),N3133,0)-IF(ISNUMBER(O3133),O3133,0)+IF(ISNUMBER(P3133),P3133,0),2),"")</f>
        <v/>
      </c>
      <c r="S3133" s="9" t="str">
        <f aca="false">IF(R3133="","",ROUND(L3133-R3133,2))</f>
        <v/>
      </c>
      <c r="T3133" s="8" t="str">
        <f aca="false">IF(A3133="","",IF(S3133="","BYPASS",IF(ABS(S3133)&lt;=Summary!$B$2,"PASS","FAIL")))</f>
        <v/>
      </c>
      <c r="U3133" s="8" t="str">
        <f aca="false">IF(T3133="BYPASS",IF(NOT(ISNUMBER(Q3133)),"PreV_ETB missing","End_tr_balance missing"),IF(T3133="FAIL",IF(AND(ISNUMBER(K3133),ISNUMBER(L3133),ABS(L3133-(K3133-IF(ISNUMBER(N3133),N3133,0)-IF(ISNUMBER(O3133),O3133,0)+IF(ISNUMBER(P3133),P3133,0)))&lt;=Summary!$B$2),"Passes using beginning_balance - PreV_ETB differs from beginning_balance",IF(AND(ISNUMBER(O3133),O3133&lt;0,ABS(L3133-(Q3133-IF(ISNUMBER(N3133),N3133,0)+IF(ISNUMBER(P3133),P3133,0)))&lt;=Summary!$B$2),"Negative realized loss not applied - check sign",IF(R3133&lt;0,"Principal paid exceeds prior balance",IF(AND(L3133&gt;Q3133,NOT(ISNUMBER(P3133))),"Balance increased but no Deferred_interest reported",IF(L3133&gt;R3133,"Reported balance higher than expected (missing increase/OC build)","Reported balance lower than expected (missing decrease)"))))),""))</f>
        <v/>
      </c>
    </row>
    <row r="3134" customFormat="false" ht="15" hidden="false" customHeight="false" outlineLevel="0" collapsed="false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9"/>
      <c r="L3134" s="9"/>
      <c r="M3134" s="9"/>
      <c r="N3134" s="9"/>
      <c r="O3134" s="9"/>
      <c r="P3134" s="9"/>
      <c r="Q3134" s="9"/>
      <c r="R3134" s="9" t="str">
        <f aca="false">IF(AND(A3134&lt;&gt;"",ISNUMBER(Q3134),ISNUMBER(L3134)),ROUND(Q3134-IF(ISNUMBER(N3134),N3134,0)-IF(ISNUMBER(O3134),O3134,0)+IF(ISNUMBER(P3134),P3134,0),2),"")</f>
        <v/>
      </c>
      <c r="S3134" s="9" t="str">
        <f aca="false">IF(R3134="","",ROUND(L3134-R3134,2))</f>
        <v/>
      </c>
      <c r="T3134" s="8" t="str">
        <f aca="false">IF(A3134="","",IF(S3134="","BYPASS",IF(ABS(S3134)&lt;=Summary!$B$2,"PASS","FAIL")))</f>
        <v/>
      </c>
      <c r="U3134" s="8" t="str">
        <f aca="false">IF(T3134="BYPASS",IF(NOT(ISNUMBER(Q3134)),"PreV_ETB missing","End_tr_balance missing"),IF(T3134="FAIL",IF(AND(ISNUMBER(K3134),ISNUMBER(L3134),ABS(L3134-(K3134-IF(ISNUMBER(N3134),N3134,0)-IF(ISNUMBER(O3134),O3134,0)+IF(ISNUMBER(P3134),P3134,0)))&lt;=Summary!$B$2),"Passes using beginning_balance - PreV_ETB differs from beginning_balance",IF(AND(ISNUMBER(O3134),O3134&lt;0,ABS(L3134-(Q3134-IF(ISNUMBER(N3134),N3134,0)+IF(ISNUMBER(P3134),P3134,0)))&lt;=Summary!$B$2),"Negative realized loss not applied - check sign",IF(R3134&lt;0,"Principal paid exceeds prior balance",IF(AND(L3134&gt;Q3134,NOT(ISNUMBER(P3134))),"Balance increased but no Deferred_interest reported",IF(L3134&gt;R3134,"Reported balance higher than expected (missing increase/OC build)","Reported balance lower than expected (missing decrease)"))))),""))</f>
        <v/>
      </c>
    </row>
    <row r="3135" customFormat="false" ht="15" hidden="false" customHeight="false" outlineLevel="0" collapsed="false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9"/>
      <c r="L3135" s="9"/>
      <c r="M3135" s="9"/>
      <c r="N3135" s="9"/>
      <c r="O3135" s="9"/>
      <c r="P3135" s="9"/>
      <c r="Q3135" s="9"/>
      <c r="R3135" s="9" t="str">
        <f aca="false">IF(AND(A3135&lt;&gt;"",ISNUMBER(Q3135),ISNUMBER(L3135)),ROUND(Q3135-IF(ISNUMBER(N3135),N3135,0)-IF(ISNUMBER(O3135),O3135,0)+IF(ISNUMBER(P3135),P3135,0),2),"")</f>
        <v/>
      </c>
      <c r="S3135" s="9" t="str">
        <f aca="false">IF(R3135="","",ROUND(L3135-R3135,2))</f>
        <v/>
      </c>
      <c r="T3135" s="8" t="str">
        <f aca="false">IF(A3135="","",IF(S3135="","BYPASS",IF(ABS(S3135)&lt;=Summary!$B$2,"PASS","FAIL")))</f>
        <v/>
      </c>
      <c r="U3135" s="8" t="str">
        <f aca="false">IF(T3135="BYPASS",IF(NOT(ISNUMBER(Q3135)),"PreV_ETB missing","End_tr_balance missing"),IF(T3135="FAIL",IF(AND(ISNUMBER(K3135),ISNUMBER(L3135),ABS(L3135-(K3135-IF(ISNUMBER(N3135),N3135,0)-IF(ISNUMBER(O3135),O3135,0)+IF(ISNUMBER(P3135),P3135,0)))&lt;=Summary!$B$2),"Passes using beginning_balance - PreV_ETB differs from beginning_balance",IF(AND(ISNUMBER(O3135),O3135&lt;0,ABS(L3135-(Q3135-IF(ISNUMBER(N3135),N3135,0)+IF(ISNUMBER(P3135),P3135,0)))&lt;=Summary!$B$2),"Negative realized loss not applied - check sign",IF(R3135&lt;0,"Principal paid exceeds prior balance",IF(AND(L3135&gt;Q3135,NOT(ISNUMBER(P3135))),"Balance increased but no Deferred_interest reported",IF(L3135&gt;R3135,"Reported balance higher than expected (missing increase/OC build)","Reported balance lower than expected (missing decrease)"))))),""))</f>
        <v/>
      </c>
    </row>
    <row r="3136" customFormat="false" ht="15" hidden="false" customHeight="false" outlineLevel="0" collapsed="false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9"/>
      <c r="L3136" s="9"/>
      <c r="M3136" s="9"/>
      <c r="N3136" s="9"/>
      <c r="O3136" s="9"/>
      <c r="P3136" s="9"/>
      <c r="Q3136" s="9"/>
      <c r="R3136" s="9" t="str">
        <f aca="false">IF(AND(A3136&lt;&gt;"",ISNUMBER(Q3136),ISNUMBER(L3136)),ROUND(Q3136-IF(ISNUMBER(N3136),N3136,0)-IF(ISNUMBER(O3136),O3136,0)+IF(ISNUMBER(P3136),P3136,0),2),"")</f>
        <v/>
      </c>
      <c r="S3136" s="9" t="str">
        <f aca="false">IF(R3136="","",ROUND(L3136-R3136,2))</f>
        <v/>
      </c>
      <c r="T3136" s="8" t="str">
        <f aca="false">IF(A3136="","",IF(S3136="","BYPASS",IF(ABS(S3136)&lt;=Summary!$B$2,"PASS","FAIL")))</f>
        <v/>
      </c>
      <c r="U3136" s="8" t="str">
        <f aca="false">IF(T3136="BYPASS",IF(NOT(ISNUMBER(Q3136)),"PreV_ETB missing","End_tr_balance missing"),IF(T3136="FAIL",IF(AND(ISNUMBER(K3136),ISNUMBER(L3136),ABS(L3136-(K3136-IF(ISNUMBER(N3136),N3136,0)-IF(ISNUMBER(O3136),O3136,0)+IF(ISNUMBER(P3136),P3136,0)))&lt;=Summary!$B$2),"Passes using beginning_balance - PreV_ETB differs from beginning_balance",IF(AND(ISNUMBER(O3136),O3136&lt;0,ABS(L3136-(Q3136-IF(ISNUMBER(N3136),N3136,0)+IF(ISNUMBER(P3136),P3136,0)))&lt;=Summary!$B$2),"Negative realized loss not applied - check sign",IF(R3136&lt;0,"Principal paid exceeds prior balance",IF(AND(L3136&gt;Q3136,NOT(ISNUMBER(P3136))),"Balance increased but no Deferred_interest reported",IF(L3136&gt;R3136,"Reported balance higher than expected (missing increase/OC build)","Reported balance lower than expected (missing decrease)"))))),""))</f>
        <v/>
      </c>
    </row>
    <row r="3137" customFormat="false" ht="15" hidden="false" customHeight="false" outlineLevel="0" collapsed="false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9"/>
      <c r="L3137" s="9"/>
      <c r="M3137" s="9"/>
      <c r="N3137" s="9"/>
      <c r="O3137" s="9"/>
      <c r="P3137" s="9"/>
      <c r="Q3137" s="9"/>
      <c r="R3137" s="9" t="str">
        <f aca="false">IF(AND(A3137&lt;&gt;"",ISNUMBER(Q3137),ISNUMBER(L3137)),ROUND(Q3137-IF(ISNUMBER(N3137),N3137,0)-IF(ISNUMBER(O3137),O3137,0)+IF(ISNUMBER(P3137),P3137,0),2),"")</f>
        <v/>
      </c>
      <c r="S3137" s="9" t="str">
        <f aca="false">IF(R3137="","",ROUND(L3137-R3137,2))</f>
        <v/>
      </c>
      <c r="T3137" s="8" t="str">
        <f aca="false">IF(A3137="","",IF(S3137="","BYPASS",IF(ABS(S3137)&lt;=Summary!$B$2,"PASS","FAIL")))</f>
        <v/>
      </c>
      <c r="U3137" s="8" t="str">
        <f aca="false">IF(T3137="BYPASS",IF(NOT(ISNUMBER(Q3137)),"PreV_ETB missing","End_tr_balance missing"),IF(T3137="FAIL",IF(AND(ISNUMBER(K3137),ISNUMBER(L3137),ABS(L3137-(K3137-IF(ISNUMBER(N3137),N3137,0)-IF(ISNUMBER(O3137),O3137,0)+IF(ISNUMBER(P3137),P3137,0)))&lt;=Summary!$B$2),"Passes using beginning_balance - PreV_ETB differs from beginning_balance",IF(AND(ISNUMBER(O3137),O3137&lt;0,ABS(L3137-(Q3137-IF(ISNUMBER(N3137),N3137,0)+IF(ISNUMBER(P3137),P3137,0)))&lt;=Summary!$B$2),"Negative realized loss not applied - check sign",IF(R3137&lt;0,"Principal paid exceeds prior balance",IF(AND(L3137&gt;Q3137,NOT(ISNUMBER(P3137))),"Balance increased but no Deferred_interest reported",IF(L3137&gt;R3137,"Reported balance higher than expected (missing increase/OC build)","Reported balance lower than expected (missing decrease)"))))),""))</f>
        <v/>
      </c>
    </row>
    <row r="3138" customFormat="false" ht="15" hidden="false" customHeight="false" outlineLevel="0" collapsed="false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9"/>
      <c r="L3138" s="9"/>
      <c r="M3138" s="9"/>
      <c r="N3138" s="9"/>
      <c r="O3138" s="9"/>
      <c r="P3138" s="9"/>
      <c r="Q3138" s="9"/>
      <c r="R3138" s="9" t="str">
        <f aca="false">IF(AND(A3138&lt;&gt;"",ISNUMBER(Q3138),ISNUMBER(L3138)),ROUND(Q3138-IF(ISNUMBER(N3138),N3138,0)-IF(ISNUMBER(O3138),O3138,0)+IF(ISNUMBER(P3138),P3138,0),2),"")</f>
        <v/>
      </c>
      <c r="S3138" s="9" t="str">
        <f aca="false">IF(R3138="","",ROUND(L3138-R3138,2))</f>
        <v/>
      </c>
      <c r="T3138" s="8" t="str">
        <f aca="false">IF(A3138="","",IF(S3138="","BYPASS",IF(ABS(S3138)&lt;=Summary!$B$2,"PASS","FAIL")))</f>
        <v/>
      </c>
      <c r="U3138" s="8" t="str">
        <f aca="false">IF(T3138="BYPASS",IF(NOT(ISNUMBER(Q3138)),"PreV_ETB missing","End_tr_balance missing"),IF(T3138="FAIL",IF(AND(ISNUMBER(K3138),ISNUMBER(L3138),ABS(L3138-(K3138-IF(ISNUMBER(N3138),N3138,0)-IF(ISNUMBER(O3138),O3138,0)+IF(ISNUMBER(P3138),P3138,0)))&lt;=Summary!$B$2),"Passes using beginning_balance - PreV_ETB differs from beginning_balance",IF(AND(ISNUMBER(O3138),O3138&lt;0,ABS(L3138-(Q3138-IF(ISNUMBER(N3138),N3138,0)+IF(ISNUMBER(P3138),P3138,0)))&lt;=Summary!$B$2),"Negative realized loss not applied - check sign",IF(R3138&lt;0,"Principal paid exceeds prior balance",IF(AND(L3138&gt;Q3138,NOT(ISNUMBER(P3138))),"Balance increased but no Deferred_interest reported",IF(L3138&gt;R3138,"Reported balance higher than expected (missing increase/OC build)","Reported balance lower than expected (missing decrease)"))))),""))</f>
        <v/>
      </c>
    </row>
    <row r="3139" customFormat="false" ht="15" hidden="false" customHeight="false" outlineLevel="0" collapsed="false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9"/>
      <c r="L3139" s="9"/>
      <c r="M3139" s="9"/>
      <c r="N3139" s="9"/>
      <c r="O3139" s="9"/>
      <c r="P3139" s="9"/>
      <c r="Q3139" s="9"/>
      <c r="R3139" s="9" t="str">
        <f aca="false">IF(AND(A3139&lt;&gt;"",ISNUMBER(Q3139),ISNUMBER(L3139)),ROUND(Q3139-IF(ISNUMBER(N3139),N3139,0)-IF(ISNUMBER(O3139),O3139,0)+IF(ISNUMBER(P3139),P3139,0),2),"")</f>
        <v/>
      </c>
      <c r="S3139" s="9" t="str">
        <f aca="false">IF(R3139="","",ROUND(L3139-R3139,2))</f>
        <v/>
      </c>
      <c r="T3139" s="8" t="str">
        <f aca="false">IF(A3139="","",IF(S3139="","BYPASS",IF(ABS(S3139)&lt;=Summary!$B$2,"PASS","FAIL")))</f>
        <v/>
      </c>
      <c r="U3139" s="8" t="str">
        <f aca="false">IF(T3139="BYPASS",IF(NOT(ISNUMBER(Q3139)),"PreV_ETB missing","End_tr_balance missing"),IF(T3139="FAIL",IF(AND(ISNUMBER(K3139),ISNUMBER(L3139),ABS(L3139-(K3139-IF(ISNUMBER(N3139),N3139,0)-IF(ISNUMBER(O3139),O3139,0)+IF(ISNUMBER(P3139),P3139,0)))&lt;=Summary!$B$2),"Passes using beginning_balance - PreV_ETB differs from beginning_balance",IF(AND(ISNUMBER(O3139),O3139&lt;0,ABS(L3139-(Q3139-IF(ISNUMBER(N3139),N3139,0)+IF(ISNUMBER(P3139),P3139,0)))&lt;=Summary!$B$2),"Negative realized loss not applied - check sign",IF(R3139&lt;0,"Principal paid exceeds prior balance",IF(AND(L3139&gt;Q3139,NOT(ISNUMBER(P3139))),"Balance increased but no Deferred_interest reported",IF(L3139&gt;R3139,"Reported balance higher than expected (missing increase/OC build)","Reported balance lower than expected (missing decrease)"))))),""))</f>
        <v/>
      </c>
    </row>
    <row r="3140" customFormat="false" ht="15" hidden="false" customHeight="false" outlineLevel="0" collapsed="false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9"/>
      <c r="L3140" s="9"/>
      <c r="M3140" s="9"/>
      <c r="N3140" s="9"/>
      <c r="O3140" s="9"/>
      <c r="P3140" s="9"/>
      <c r="Q3140" s="9"/>
      <c r="R3140" s="9" t="str">
        <f aca="false">IF(AND(A3140&lt;&gt;"",ISNUMBER(Q3140),ISNUMBER(L3140)),ROUND(Q3140-IF(ISNUMBER(N3140),N3140,0)-IF(ISNUMBER(O3140),O3140,0)+IF(ISNUMBER(P3140),P3140,0),2),"")</f>
        <v/>
      </c>
      <c r="S3140" s="9" t="str">
        <f aca="false">IF(R3140="","",ROUND(L3140-R3140,2))</f>
        <v/>
      </c>
      <c r="T3140" s="8" t="str">
        <f aca="false">IF(A3140="","",IF(S3140="","BYPASS",IF(ABS(S3140)&lt;=Summary!$B$2,"PASS","FAIL")))</f>
        <v/>
      </c>
      <c r="U3140" s="8" t="str">
        <f aca="false">IF(T3140="BYPASS",IF(NOT(ISNUMBER(Q3140)),"PreV_ETB missing","End_tr_balance missing"),IF(T3140="FAIL",IF(AND(ISNUMBER(K3140),ISNUMBER(L3140),ABS(L3140-(K3140-IF(ISNUMBER(N3140),N3140,0)-IF(ISNUMBER(O3140),O3140,0)+IF(ISNUMBER(P3140),P3140,0)))&lt;=Summary!$B$2),"Passes using beginning_balance - PreV_ETB differs from beginning_balance",IF(AND(ISNUMBER(O3140),O3140&lt;0,ABS(L3140-(Q3140-IF(ISNUMBER(N3140),N3140,0)+IF(ISNUMBER(P3140),P3140,0)))&lt;=Summary!$B$2),"Negative realized loss not applied - check sign",IF(R3140&lt;0,"Principal paid exceeds prior balance",IF(AND(L3140&gt;Q3140,NOT(ISNUMBER(P3140))),"Balance increased but no Deferred_interest reported",IF(L3140&gt;R3140,"Reported balance higher than expected (missing increase/OC build)","Reported balance lower than expected (missing decrease)"))))),""))</f>
        <v/>
      </c>
    </row>
    <row r="3141" customFormat="false" ht="15" hidden="false" customHeight="false" outlineLevel="0" collapsed="false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9"/>
      <c r="L3141" s="9"/>
      <c r="M3141" s="9"/>
      <c r="N3141" s="9"/>
      <c r="O3141" s="9"/>
      <c r="P3141" s="9"/>
      <c r="Q3141" s="9"/>
      <c r="R3141" s="9" t="str">
        <f aca="false">IF(AND(A3141&lt;&gt;"",ISNUMBER(Q3141),ISNUMBER(L3141)),ROUND(Q3141-IF(ISNUMBER(N3141),N3141,0)-IF(ISNUMBER(O3141),O3141,0)+IF(ISNUMBER(P3141),P3141,0),2),"")</f>
        <v/>
      </c>
      <c r="S3141" s="9" t="str">
        <f aca="false">IF(R3141="","",ROUND(L3141-R3141,2))</f>
        <v/>
      </c>
      <c r="T3141" s="8" t="str">
        <f aca="false">IF(A3141="","",IF(S3141="","BYPASS",IF(ABS(S3141)&lt;=Summary!$B$2,"PASS","FAIL")))</f>
        <v/>
      </c>
      <c r="U3141" s="8" t="str">
        <f aca="false">IF(T3141="BYPASS",IF(NOT(ISNUMBER(Q3141)),"PreV_ETB missing","End_tr_balance missing"),IF(T3141="FAIL",IF(AND(ISNUMBER(K3141),ISNUMBER(L3141),ABS(L3141-(K3141-IF(ISNUMBER(N3141),N3141,0)-IF(ISNUMBER(O3141),O3141,0)+IF(ISNUMBER(P3141),P3141,0)))&lt;=Summary!$B$2),"Passes using beginning_balance - PreV_ETB differs from beginning_balance",IF(AND(ISNUMBER(O3141),O3141&lt;0,ABS(L3141-(Q3141-IF(ISNUMBER(N3141),N3141,0)+IF(ISNUMBER(P3141),P3141,0)))&lt;=Summary!$B$2),"Negative realized loss not applied - check sign",IF(R3141&lt;0,"Principal paid exceeds prior balance",IF(AND(L3141&gt;Q3141,NOT(ISNUMBER(P3141))),"Balance increased but no Deferred_interest reported",IF(L3141&gt;R3141,"Reported balance higher than expected (missing increase/OC build)","Reported balance lower than expected (missing decrease)"))))),""))</f>
        <v/>
      </c>
    </row>
    <row r="3142" customFormat="false" ht="15" hidden="false" customHeight="false" outlineLevel="0" collapsed="false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9"/>
      <c r="L3142" s="9"/>
      <c r="M3142" s="9"/>
      <c r="N3142" s="9"/>
      <c r="O3142" s="9"/>
      <c r="P3142" s="9"/>
      <c r="Q3142" s="9"/>
      <c r="R3142" s="9" t="str">
        <f aca="false">IF(AND(A3142&lt;&gt;"",ISNUMBER(Q3142),ISNUMBER(L3142)),ROUND(Q3142-IF(ISNUMBER(N3142),N3142,0)-IF(ISNUMBER(O3142),O3142,0)+IF(ISNUMBER(P3142),P3142,0),2),"")</f>
        <v/>
      </c>
      <c r="S3142" s="9" t="str">
        <f aca="false">IF(R3142="","",ROUND(L3142-R3142,2))</f>
        <v/>
      </c>
      <c r="T3142" s="8" t="str">
        <f aca="false">IF(A3142="","",IF(S3142="","BYPASS",IF(ABS(S3142)&lt;=Summary!$B$2,"PASS","FAIL")))</f>
        <v/>
      </c>
      <c r="U3142" s="8" t="str">
        <f aca="false">IF(T3142="BYPASS",IF(NOT(ISNUMBER(Q3142)),"PreV_ETB missing","End_tr_balance missing"),IF(T3142="FAIL",IF(AND(ISNUMBER(K3142),ISNUMBER(L3142),ABS(L3142-(K3142-IF(ISNUMBER(N3142),N3142,0)-IF(ISNUMBER(O3142),O3142,0)+IF(ISNUMBER(P3142),P3142,0)))&lt;=Summary!$B$2),"Passes using beginning_balance - PreV_ETB differs from beginning_balance",IF(AND(ISNUMBER(O3142),O3142&lt;0,ABS(L3142-(Q3142-IF(ISNUMBER(N3142),N3142,0)+IF(ISNUMBER(P3142),P3142,0)))&lt;=Summary!$B$2),"Negative realized loss not applied - check sign",IF(R3142&lt;0,"Principal paid exceeds prior balance",IF(AND(L3142&gt;Q3142,NOT(ISNUMBER(P3142))),"Balance increased but no Deferred_interest reported",IF(L3142&gt;R3142,"Reported balance higher than expected (missing increase/OC build)","Reported balance lower than expected (missing decrease)"))))),""))</f>
        <v/>
      </c>
    </row>
    <row r="3143" customFormat="false" ht="15" hidden="false" customHeight="false" outlineLevel="0" collapsed="false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9"/>
      <c r="L3143" s="9"/>
      <c r="M3143" s="9"/>
      <c r="N3143" s="9"/>
      <c r="O3143" s="9"/>
      <c r="P3143" s="9"/>
      <c r="Q3143" s="9"/>
      <c r="R3143" s="9" t="str">
        <f aca="false">IF(AND(A3143&lt;&gt;"",ISNUMBER(Q3143),ISNUMBER(L3143)),ROUND(Q3143-IF(ISNUMBER(N3143),N3143,0)-IF(ISNUMBER(O3143),O3143,0)+IF(ISNUMBER(P3143),P3143,0),2),"")</f>
        <v/>
      </c>
      <c r="S3143" s="9" t="str">
        <f aca="false">IF(R3143="","",ROUND(L3143-R3143,2))</f>
        <v/>
      </c>
      <c r="T3143" s="8" t="str">
        <f aca="false">IF(A3143="","",IF(S3143="","BYPASS",IF(ABS(S3143)&lt;=Summary!$B$2,"PASS","FAIL")))</f>
        <v/>
      </c>
      <c r="U3143" s="8" t="str">
        <f aca="false">IF(T3143="BYPASS",IF(NOT(ISNUMBER(Q3143)),"PreV_ETB missing","End_tr_balance missing"),IF(T3143="FAIL",IF(AND(ISNUMBER(K3143),ISNUMBER(L3143),ABS(L3143-(K3143-IF(ISNUMBER(N3143),N3143,0)-IF(ISNUMBER(O3143),O3143,0)+IF(ISNUMBER(P3143),P3143,0)))&lt;=Summary!$B$2),"Passes using beginning_balance - PreV_ETB differs from beginning_balance",IF(AND(ISNUMBER(O3143),O3143&lt;0,ABS(L3143-(Q3143-IF(ISNUMBER(N3143),N3143,0)+IF(ISNUMBER(P3143),P3143,0)))&lt;=Summary!$B$2),"Negative realized loss not applied - check sign",IF(R3143&lt;0,"Principal paid exceeds prior balance",IF(AND(L3143&gt;Q3143,NOT(ISNUMBER(P3143))),"Balance increased but no Deferred_interest reported",IF(L3143&gt;R3143,"Reported balance higher than expected (missing increase/OC build)","Reported balance lower than expected (missing decrease)"))))),""))</f>
        <v/>
      </c>
    </row>
    <row r="3144" customFormat="false" ht="15" hidden="false" customHeight="false" outlineLevel="0" collapsed="false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9"/>
      <c r="L3144" s="9"/>
      <c r="M3144" s="9"/>
      <c r="N3144" s="9"/>
      <c r="O3144" s="9"/>
      <c r="P3144" s="9"/>
      <c r="Q3144" s="9"/>
      <c r="R3144" s="9" t="str">
        <f aca="false">IF(AND(A3144&lt;&gt;"",ISNUMBER(Q3144),ISNUMBER(L3144)),ROUND(Q3144-IF(ISNUMBER(N3144),N3144,0)-IF(ISNUMBER(O3144),O3144,0)+IF(ISNUMBER(P3144),P3144,0),2),"")</f>
        <v/>
      </c>
      <c r="S3144" s="9" t="str">
        <f aca="false">IF(R3144="","",ROUND(L3144-R3144,2))</f>
        <v/>
      </c>
      <c r="T3144" s="8" t="str">
        <f aca="false">IF(A3144="","",IF(S3144="","BYPASS",IF(ABS(S3144)&lt;=Summary!$B$2,"PASS","FAIL")))</f>
        <v/>
      </c>
      <c r="U3144" s="8" t="str">
        <f aca="false">IF(T3144="BYPASS",IF(NOT(ISNUMBER(Q3144)),"PreV_ETB missing","End_tr_balance missing"),IF(T3144="FAIL",IF(AND(ISNUMBER(K3144),ISNUMBER(L3144),ABS(L3144-(K3144-IF(ISNUMBER(N3144),N3144,0)-IF(ISNUMBER(O3144),O3144,0)+IF(ISNUMBER(P3144),P3144,0)))&lt;=Summary!$B$2),"Passes using beginning_balance - PreV_ETB differs from beginning_balance",IF(AND(ISNUMBER(O3144),O3144&lt;0,ABS(L3144-(Q3144-IF(ISNUMBER(N3144),N3144,0)+IF(ISNUMBER(P3144),P3144,0)))&lt;=Summary!$B$2),"Negative realized loss not applied - check sign",IF(R3144&lt;0,"Principal paid exceeds prior balance",IF(AND(L3144&gt;Q3144,NOT(ISNUMBER(P3144))),"Balance increased but no Deferred_interest reported",IF(L3144&gt;R3144,"Reported balance higher than expected (missing increase/OC build)","Reported balance lower than expected (missing decrease)"))))),""))</f>
        <v/>
      </c>
    </row>
    <row r="3145" customFormat="false" ht="15" hidden="false" customHeight="false" outlineLevel="0" collapsed="false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9"/>
      <c r="L3145" s="9"/>
      <c r="M3145" s="9"/>
      <c r="N3145" s="9"/>
      <c r="O3145" s="9"/>
      <c r="P3145" s="9"/>
      <c r="Q3145" s="9"/>
      <c r="R3145" s="9" t="str">
        <f aca="false">IF(AND(A3145&lt;&gt;"",ISNUMBER(Q3145),ISNUMBER(L3145)),ROUND(Q3145-IF(ISNUMBER(N3145),N3145,0)-IF(ISNUMBER(O3145),O3145,0)+IF(ISNUMBER(P3145),P3145,0),2),"")</f>
        <v/>
      </c>
      <c r="S3145" s="9" t="str">
        <f aca="false">IF(R3145="","",ROUND(L3145-R3145,2))</f>
        <v/>
      </c>
      <c r="T3145" s="8" t="str">
        <f aca="false">IF(A3145="","",IF(S3145="","BYPASS",IF(ABS(S3145)&lt;=Summary!$B$2,"PASS","FAIL")))</f>
        <v/>
      </c>
      <c r="U3145" s="8" t="str">
        <f aca="false">IF(T3145="BYPASS",IF(NOT(ISNUMBER(Q3145)),"PreV_ETB missing","End_tr_balance missing"),IF(T3145="FAIL",IF(AND(ISNUMBER(K3145),ISNUMBER(L3145),ABS(L3145-(K3145-IF(ISNUMBER(N3145),N3145,0)-IF(ISNUMBER(O3145),O3145,0)+IF(ISNUMBER(P3145),P3145,0)))&lt;=Summary!$B$2),"Passes using beginning_balance - PreV_ETB differs from beginning_balance",IF(AND(ISNUMBER(O3145),O3145&lt;0,ABS(L3145-(Q3145-IF(ISNUMBER(N3145),N3145,0)+IF(ISNUMBER(P3145),P3145,0)))&lt;=Summary!$B$2),"Negative realized loss not applied - check sign",IF(R3145&lt;0,"Principal paid exceeds prior balance",IF(AND(L3145&gt;Q3145,NOT(ISNUMBER(P3145))),"Balance increased but no Deferred_interest reported",IF(L3145&gt;R3145,"Reported balance higher than expected (missing increase/OC build)","Reported balance lower than expected (missing decrease)"))))),""))</f>
        <v/>
      </c>
    </row>
    <row r="3146" customFormat="false" ht="15" hidden="false" customHeight="false" outlineLevel="0" collapsed="false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9"/>
      <c r="L3146" s="9"/>
      <c r="M3146" s="9"/>
      <c r="N3146" s="9"/>
      <c r="O3146" s="9"/>
      <c r="P3146" s="9"/>
      <c r="Q3146" s="9"/>
      <c r="R3146" s="9" t="str">
        <f aca="false">IF(AND(A3146&lt;&gt;"",ISNUMBER(Q3146),ISNUMBER(L3146)),ROUND(Q3146-IF(ISNUMBER(N3146),N3146,0)-IF(ISNUMBER(O3146),O3146,0)+IF(ISNUMBER(P3146),P3146,0),2),"")</f>
        <v/>
      </c>
      <c r="S3146" s="9" t="str">
        <f aca="false">IF(R3146="","",ROUND(L3146-R3146,2))</f>
        <v/>
      </c>
      <c r="T3146" s="8" t="str">
        <f aca="false">IF(A3146="","",IF(S3146="","BYPASS",IF(ABS(S3146)&lt;=Summary!$B$2,"PASS","FAIL")))</f>
        <v/>
      </c>
      <c r="U3146" s="8" t="str">
        <f aca="false">IF(T3146="BYPASS",IF(NOT(ISNUMBER(Q3146)),"PreV_ETB missing","End_tr_balance missing"),IF(T3146="FAIL",IF(AND(ISNUMBER(K3146),ISNUMBER(L3146),ABS(L3146-(K3146-IF(ISNUMBER(N3146),N3146,0)-IF(ISNUMBER(O3146),O3146,0)+IF(ISNUMBER(P3146),P3146,0)))&lt;=Summary!$B$2),"Passes using beginning_balance - PreV_ETB differs from beginning_balance",IF(AND(ISNUMBER(O3146),O3146&lt;0,ABS(L3146-(Q3146-IF(ISNUMBER(N3146),N3146,0)+IF(ISNUMBER(P3146),P3146,0)))&lt;=Summary!$B$2),"Negative realized loss not applied - check sign",IF(R3146&lt;0,"Principal paid exceeds prior balance",IF(AND(L3146&gt;Q3146,NOT(ISNUMBER(P3146))),"Balance increased but no Deferred_interest reported",IF(L3146&gt;R3146,"Reported balance higher than expected (missing increase/OC build)","Reported balance lower than expected (missing decrease)"))))),""))</f>
        <v/>
      </c>
    </row>
    <row r="3147" customFormat="false" ht="15" hidden="false" customHeight="false" outlineLevel="0" collapsed="false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9"/>
      <c r="L3147" s="9"/>
      <c r="M3147" s="9"/>
      <c r="N3147" s="9"/>
      <c r="O3147" s="9"/>
      <c r="P3147" s="9"/>
      <c r="Q3147" s="9"/>
      <c r="R3147" s="9" t="str">
        <f aca="false">IF(AND(A3147&lt;&gt;"",ISNUMBER(Q3147),ISNUMBER(L3147)),ROUND(Q3147-IF(ISNUMBER(N3147),N3147,0)-IF(ISNUMBER(O3147),O3147,0)+IF(ISNUMBER(P3147),P3147,0),2),"")</f>
        <v/>
      </c>
      <c r="S3147" s="9" t="str">
        <f aca="false">IF(R3147="","",ROUND(L3147-R3147,2))</f>
        <v/>
      </c>
      <c r="T3147" s="8" t="str">
        <f aca="false">IF(A3147="","",IF(S3147="","BYPASS",IF(ABS(S3147)&lt;=Summary!$B$2,"PASS","FAIL")))</f>
        <v/>
      </c>
      <c r="U3147" s="8" t="str">
        <f aca="false">IF(T3147="BYPASS",IF(NOT(ISNUMBER(Q3147)),"PreV_ETB missing","End_tr_balance missing"),IF(T3147="FAIL",IF(AND(ISNUMBER(K3147),ISNUMBER(L3147),ABS(L3147-(K3147-IF(ISNUMBER(N3147),N3147,0)-IF(ISNUMBER(O3147),O3147,0)+IF(ISNUMBER(P3147),P3147,0)))&lt;=Summary!$B$2),"Passes using beginning_balance - PreV_ETB differs from beginning_balance",IF(AND(ISNUMBER(O3147),O3147&lt;0,ABS(L3147-(Q3147-IF(ISNUMBER(N3147),N3147,0)+IF(ISNUMBER(P3147),P3147,0)))&lt;=Summary!$B$2),"Negative realized loss not applied - check sign",IF(R3147&lt;0,"Principal paid exceeds prior balance",IF(AND(L3147&gt;Q3147,NOT(ISNUMBER(P3147))),"Balance increased but no Deferred_interest reported",IF(L3147&gt;R3147,"Reported balance higher than expected (missing increase/OC build)","Reported balance lower than expected (missing decrease)"))))),""))</f>
        <v/>
      </c>
    </row>
    <row r="3148" customFormat="false" ht="15" hidden="false" customHeight="false" outlineLevel="0" collapsed="false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9"/>
      <c r="L3148" s="9"/>
      <c r="M3148" s="9"/>
      <c r="N3148" s="9"/>
      <c r="O3148" s="9"/>
      <c r="P3148" s="9"/>
      <c r="Q3148" s="9"/>
      <c r="R3148" s="9" t="str">
        <f aca="false">IF(AND(A3148&lt;&gt;"",ISNUMBER(Q3148),ISNUMBER(L3148)),ROUND(Q3148-IF(ISNUMBER(N3148),N3148,0)-IF(ISNUMBER(O3148),O3148,0)+IF(ISNUMBER(P3148),P3148,0),2),"")</f>
        <v/>
      </c>
      <c r="S3148" s="9" t="str">
        <f aca="false">IF(R3148="","",ROUND(L3148-R3148,2))</f>
        <v/>
      </c>
      <c r="T3148" s="8" t="str">
        <f aca="false">IF(A3148="","",IF(S3148="","BYPASS",IF(ABS(S3148)&lt;=Summary!$B$2,"PASS","FAIL")))</f>
        <v/>
      </c>
      <c r="U3148" s="8" t="str">
        <f aca="false">IF(T3148="BYPASS",IF(NOT(ISNUMBER(Q3148)),"PreV_ETB missing","End_tr_balance missing"),IF(T3148="FAIL",IF(AND(ISNUMBER(K3148),ISNUMBER(L3148),ABS(L3148-(K3148-IF(ISNUMBER(N3148),N3148,0)-IF(ISNUMBER(O3148),O3148,0)+IF(ISNUMBER(P3148),P3148,0)))&lt;=Summary!$B$2),"Passes using beginning_balance - PreV_ETB differs from beginning_balance",IF(AND(ISNUMBER(O3148),O3148&lt;0,ABS(L3148-(Q3148-IF(ISNUMBER(N3148),N3148,0)+IF(ISNUMBER(P3148),P3148,0)))&lt;=Summary!$B$2),"Negative realized loss not applied - check sign",IF(R3148&lt;0,"Principal paid exceeds prior balance",IF(AND(L3148&gt;Q3148,NOT(ISNUMBER(P3148))),"Balance increased but no Deferred_interest reported",IF(L3148&gt;R3148,"Reported balance higher than expected (missing increase/OC build)","Reported balance lower than expected (missing decrease)"))))),""))</f>
        <v/>
      </c>
    </row>
    <row r="3149" customFormat="false" ht="15" hidden="false" customHeight="false" outlineLevel="0" collapsed="false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9"/>
      <c r="L3149" s="9"/>
      <c r="M3149" s="9"/>
      <c r="N3149" s="9"/>
      <c r="O3149" s="9"/>
      <c r="P3149" s="9"/>
      <c r="Q3149" s="9"/>
      <c r="R3149" s="9" t="str">
        <f aca="false">IF(AND(A3149&lt;&gt;"",ISNUMBER(Q3149),ISNUMBER(L3149)),ROUND(Q3149-IF(ISNUMBER(N3149),N3149,0)-IF(ISNUMBER(O3149),O3149,0)+IF(ISNUMBER(P3149),P3149,0),2),"")</f>
        <v/>
      </c>
      <c r="S3149" s="9" t="str">
        <f aca="false">IF(R3149="","",ROUND(L3149-R3149,2))</f>
        <v/>
      </c>
      <c r="T3149" s="8" t="str">
        <f aca="false">IF(A3149="","",IF(S3149="","BYPASS",IF(ABS(S3149)&lt;=Summary!$B$2,"PASS","FAIL")))</f>
        <v/>
      </c>
      <c r="U3149" s="8" t="str">
        <f aca="false">IF(T3149="BYPASS",IF(NOT(ISNUMBER(Q3149)),"PreV_ETB missing","End_tr_balance missing"),IF(T3149="FAIL",IF(AND(ISNUMBER(K3149),ISNUMBER(L3149),ABS(L3149-(K3149-IF(ISNUMBER(N3149),N3149,0)-IF(ISNUMBER(O3149),O3149,0)+IF(ISNUMBER(P3149),P3149,0)))&lt;=Summary!$B$2),"Passes using beginning_balance - PreV_ETB differs from beginning_balance",IF(AND(ISNUMBER(O3149),O3149&lt;0,ABS(L3149-(Q3149-IF(ISNUMBER(N3149),N3149,0)+IF(ISNUMBER(P3149),P3149,0)))&lt;=Summary!$B$2),"Negative realized loss not applied - check sign",IF(R3149&lt;0,"Principal paid exceeds prior balance",IF(AND(L3149&gt;Q3149,NOT(ISNUMBER(P3149))),"Balance increased but no Deferred_interest reported",IF(L3149&gt;R3149,"Reported balance higher than expected (missing increase/OC build)","Reported balance lower than expected (missing decrease)"))))),""))</f>
        <v/>
      </c>
    </row>
    <row r="3150" customFormat="false" ht="15" hidden="false" customHeight="false" outlineLevel="0" collapsed="false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9"/>
      <c r="L3150" s="9"/>
      <c r="M3150" s="9"/>
      <c r="N3150" s="9"/>
      <c r="O3150" s="9"/>
      <c r="P3150" s="9"/>
      <c r="Q3150" s="9"/>
      <c r="R3150" s="9" t="str">
        <f aca="false">IF(AND(A3150&lt;&gt;"",ISNUMBER(Q3150),ISNUMBER(L3150)),ROUND(Q3150-IF(ISNUMBER(N3150),N3150,0)-IF(ISNUMBER(O3150),O3150,0)+IF(ISNUMBER(P3150),P3150,0),2),"")</f>
        <v/>
      </c>
      <c r="S3150" s="9" t="str">
        <f aca="false">IF(R3150="","",ROUND(L3150-R3150,2))</f>
        <v/>
      </c>
      <c r="T3150" s="8" t="str">
        <f aca="false">IF(A3150="","",IF(S3150="","BYPASS",IF(ABS(S3150)&lt;=Summary!$B$2,"PASS","FAIL")))</f>
        <v/>
      </c>
      <c r="U3150" s="8" t="str">
        <f aca="false">IF(T3150="BYPASS",IF(NOT(ISNUMBER(Q3150)),"PreV_ETB missing","End_tr_balance missing"),IF(T3150="FAIL",IF(AND(ISNUMBER(K3150),ISNUMBER(L3150),ABS(L3150-(K3150-IF(ISNUMBER(N3150),N3150,0)-IF(ISNUMBER(O3150),O3150,0)+IF(ISNUMBER(P3150),P3150,0)))&lt;=Summary!$B$2),"Passes using beginning_balance - PreV_ETB differs from beginning_balance",IF(AND(ISNUMBER(O3150),O3150&lt;0,ABS(L3150-(Q3150-IF(ISNUMBER(N3150),N3150,0)+IF(ISNUMBER(P3150),P3150,0)))&lt;=Summary!$B$2),"Negative realized loss not applied - check sign",IF(R3150&lt;0,"Principal paid exceeds prior balance",IF(AND(L3150&gt;Q3150,NOT(ISNUMBER(P3150))),"Balance increased but no Deferred_interest reported",IF(L3150&gt;R3150,"Reported balance higher than expected (missing increase/OC build)","Reported balance lower than expected (missing decrease)"))))),""))</f>
        <v/>
      </c>
    </row>
    <row r="3151" customFormat="false" ht="15" hidden="false" customHeight="false" outlineLevel="0" collapsed="false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9"/>
      <c r="L3151" s="9"/>
      <c r="M3151" s="9"/>
      <c r="N3151" s="9"/>
      <c r="O3151" s="9"/>
      <c r="P3151" s="9"/>
      <c r="Q3151" s="9"/>
      <c r="R3151" s="9" t="str">
        <f aca="false">IF(AND(A3151&lt;&gt;"",ISNUMBER(Q3151),ISNUMBER(L3151)),ROUND(Q3151-IF(ISNUMBER(N3151),N3151,0)-IF(ISNUMBER(O3151),O3151,0)+IF(ISNUMBER(P3151),P3151,0),2),"")</f>
        <v/>
      </c>
      <c r="S3151" s="9" t="str">
        <f aca="false">IF(R3151="","",ROUND(L3151-R3151,2))</f>
        <v/>
      </c>
      <c r="T3151" s="8" t="str">
        <f aca="false">IF(A3151="","",IF(S3151="","BYPASS",IF(ABS(S3151)&lt;=Summary!$B$2,"PASS","FAIL")))</f>
        <v/>
      </c>
      <c r="U3151" s="8" t="str">
        <f aca="false">IF(T3151="BYPASS",IF(NOT(ISNUMBER(Q3151)),"PreV_ETB missing","End_tr_balance missing"),IF(T3151="FAIL",IF(AND(ISNUMBER(K3151),ISNUMBER(L3151),ABS(L3151-(K3151-IF(ISNUMBER(N3151),N3151,0)-IF(ISNUMBER(O3151),O3151,0)+IF(ISNUMBER(P3151),P3151,0)))&lt;=Summary!$B$2),"Passes using beginning_balance - PreV_ETB differs from beginning_balance",IF(AND(ISNUMBER(O3151),O3151&lt;0,ABS(L3151-(Q3151-IF(ISNUMBER(N3151),N3151,0)+IF(ISNUMBER(P3151),P3151,0)))&lt;=Summary!$B$2),"Negative realized loss not applied - check sign",IF(R3151&lt;0,"Principal paid exceeds prior balance",IF(AND(L3151&gt;Q3151,NOT(ISNUMBER(P3151))),"Balance increased but no Deferred_interest reported",IF(L3151&gt;R3151,"Reported balance higher than expected (missing increase/OC build)","Reported balance lower than expected (missing decrease)"))))),""))</f>
        <v/>
      </c>
    </row>
    <row r="3152" customFormat="false" ht="15" hidden="false" customHeight="false" outlineLevel="0" collapsed="false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9"/>
      <c r="L3152" s="9"/>
      <c r="M3152" s="9"/>
      <c r="N3152" s="9"/>
      <c r="O3152" s="9"/>
      <c r="P3152" s="9"/>
      <c r="Q3152" s="9"/>
      <c r="R3152" s="9" t="str">
        <f aca="false">IF(AND(A3152&lt;&gt;"",ISNUMBER(Q3152),ISNUMBER(L3152)),ROUND(Q3152-IF(ISNUMBER(N3152),N3152,0)-IF(ISNUMBER(O3152),O3152,0)+IF(ISNUMBER(P3152),P3152,0),2),"")</f>
        <v/>
      </c>
      <c r="S3152" s="9" t="str">
        <f aca="false">IF(R3152="","",ROUND(L3152-R3152,2))</f>
        <v/>
      </c>
      <c r="T3152" s="8" t="str">
        <f aca="false">IF(A3152="","",IF(S3152="","BYPASS",IF(ABS(S3152)&lt;=Summary!$B$2,"PASS","FAIL")))</f>
        <v/>
      </c>
      <c r="U3152" s="8" t="str">
        <f aca="false">IF(T3152="BYPASS",IF(NOT(ISNUMBER(Q3152)),"PreV_ETB missing","End_tr_balance missing"),IF(T3152="FAIL",IF(AND(ISNUMBER(K3152),ISNUMBER(L3152),ABS(L3152-(K3152-IF(ISNUMBER(N3152),N3152,0)-IF(ISNUMBER(O3152),O3152,0)+IF(ISNUMBER(P3152),P3152,0)))&lt;=Summary!$B$2),"Passes using beginning_balance - PreV_ETB differs from beginning_balance",IF(AND(ISNUMBER(O3152),O3152&lt;0,ABS(L3152-(Q3152-IF(ISNUMBER(N3152),N3152,0)+IF(ISNUMBER(P3152),P3152,0)))&lt;=Summary!$B$2),"Negative realized loss not applied - check sign",IF(R3152&lt;0,"Principal paid exceeds prior balance",IF(AND(L3152&gt;Q3152,NOT(ISNUMBER(P3152))),"Balance increased but no Deferred_interest reported",IF(L3152&gt;R3152,"Reported balance higher than expected (missing increase/OC build)","Reported balance lower than expected (missing decrease)"))))),""))</f>
        <v/>
      </c>
    </row>
    <row r="3153" customFormat="false" ht="15" hidden="false" customHeight="false" outlineLevel="0" collapsed="false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9"/>
      <c r="L3153" s="9"/>
      <c r="M3153" s="9"/>
      <c r="N3153" s="9"/>
      <c r="O3153" s="9"/>
      <c r="P3153" s="9"/>
      <c r="Q3153" s="9"/>
      <c r="R3153" s="9" t="str">
        <f aca="false">IF(AND(A3153&lt;&gt;"",ISNUMBER(Q3153),ISNUMBER(L3153)),ROUND(Q3153-IF(ISNUMBER(N3153),N3153,0)-IF(ISNUMBER(O3153),O3153,0)+IF(ISNUMBER(P3153),P3153,0),2),"")</f>
        <v/>
      </c>
      <c r="S3153" s="9" t="str">
        <f aca="false">IF(R3153="","",ROUND(L3153-R3153,2))</f>
        <v/>
      </c>
      <c r="T3153" s="8" t="str">
        <f aca="false">IF(A3153="","",IF(S3153="","BYPASS",IF(ABS(S3153)&lt;=Summary!$B$2,"PASS","FAIL")))</f>
        <v/>
      </c>
      <c r="U3153" s="8" t="str">
        <f aca="false">IF(T3153="BYPASS",IF(NOT(ISNUMBER(Q3153)),"PreV_ETB missing","End_tr_balance missing"),IF(T3153="FAIL",IF(AND(ISNUMBER(K3153),ISNUMBER(L3153),ABS(L3153-(K3153-IF(ISNUMBER(N3153),N3153,0)-IF(ISNUMBER(O3153),O3153,0)+IF(ISNUMBER(P3153),P3153,0)))&lt;=Summary!$B$2),"Passes using beginning_balance - PreV_ETB differs from beginning_balance",IF(AND(ISNUMBER(O3153),O3153&lt;0,ABS(L3153-(Q3153-IF(ISNUMBER(N3153),N3153,0)+IF(ISNUMBER(P3153),P3153,0)))&lt;=Summary!$B$2),"Negative realized loss not applied - check sign",IF(R3153&lt;0,"Principal paid exceeds prior balance",IF(AND(L3153&gt;Q3153,NOT(ISNUMBER(P3153))),"Balance increased but no Deferred_interest reported",IF(L3153&gt;R3153,"Reported balance higher than expected (missing increase/OC build)","Reported balance lower than expected (missing decrease)"))))),""))</f>
        <v/>
      </c>
    </row>
    <row r="3154" customFormat="false" ht="15" hidden="false" customHeight="false" outlineLevel="0" collapsed="false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9"/>
      <c r="L3154" s="9"/>
      <c r="M3154" s="9"/>
      <c r="N3154" s="9"/>
      <c r="O3154" s="9"/>
      <c r="P3154" s="9"/>
      <c r="Q3154" s="9"/>
      <c r="R3154" s="9" t="str">
        <f aca="false">IF(AND(A3154&lt;&gt;"",ISNUMBER(Q3154),ISNUMBER(L3154)),ROUND(Q3154-IF(ISNUMBER(N3154),N3154,0)-IF(ISNUMBER(O3154),O3154,0)+IF(ISNUMBER(P3154),P3154,0),2),"")</f>
        <v/>
      </c>
      <c r="S3154" s="9" t="str">
        <f aca="false">IF(R3154="","",ROUND(L3154-R3154,2))</f>
        <v/>
      </c>
      <c r="T3154" s="8" t="str">
        <f aca="false">IF(A3154="","",IF(S3154="","BYPASS",IF(ABS(S3154)&lt;=Summary!$B$2,"PASS","FAIL")))</f>
        <v/>
      </c>
      <c r="U3154" s="8" t="str">
        <f aca="false">IF(T3154="BYPASS",IF(NOT(ISNUMBER(Q3154)),"PreV_ETB missing","End_tr_balance missing"),IF(T3154="FAIL",IF(AND(ISNUMBER(K3154),ISNUMBER(L3154),ABS(L3154-(K3154-IF(ISNUMBER(N3154),N3154,0)-IF(ISNUMBER(O3154),O3154,0)+IF(ISNUMBER(P3154),P3154,0)))&lt;=Summary!$B$2),"Passes using beginning_balance - PreV_ETB differs from beginning_balance",IF(AND(ISNUMBER(O3154),O3154&lt;0,ABS(L3154-(Q3154-IF(ISNUMBER(N3154),N3154,0)+IF(ISNUMBER(P3154),P3154,0)))&lt;=Summary!$B$2),"Negative realized loss not applied - check sign",IF(R3154&lt;0,"Principal paid exceeds prior balance",IF(AND(L3154&gt;Q3154,NOT(ISNUMBER(P3154))),"Balance increased but no Deferred_interest reported",IF(L3154&gt;R3154,"Reported balance higher than expected (missing increase/OC build)","Reported balance lower than expected (missing decrease)"))))),""))</f>
        <v/>
      </c>
    </row>
    <row r="3155" customFormat="false" ht="15" hidden="false" customHeight="false" outlineLevel="0" collapsed="false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9"/>
      <c r="L3155" s="9"/>
      <c r="M3155" s="9"/>
      <c r="N3155" s="9"/>
      <c r="O3155" s="9"/>
      <c r="P3155" s="9"/>
      <c r="Q3155" s="9"/>
      <c r="R3155" s="9" t="str">
        <f aca="false">IF(AND(A3155&lt;&gt;"",ISNUMBER(Q3155),ISNUMBER(L3155)),ROUND(Q3155-IF(ISNUMBER(N3155),N3155,0)-IF(ISNUMBER(O3155),O3155,0)+IF(ISNUMBER(P3155),P3155,0),2),"")</f>
        <v/>
      </c>
      <c r="S3155" s="9" t="str">
        <f aca="false">IF(R3155="","",ROUND(L3155-R3155,2))</f>
        <v/>
      </c>
      <c r="T3155" s="8" t="str">
        <f aca="false">IF(A3155="","",IF(S3155="","BYPASS",IF(ABS(S3155)&lt;=Summary!$B$2,"PASS","FAIL")))</f>
        <v/>
      </c>
      <c r="U3155" s="8" t="str">
        <f aca="false">IF(T3155="BYPASS",IF(NOT(ISNUMBER(Q3155)),"PreV_ETB missing","End_tr_balance missing"),IF(T3155="FAIL",IF(AND(ISNUMBER(K3155),ISNUMBER(L3155),ABS(L3155-(K3155-IF(ISNUMBER(N3155),N3155,0)-IF(ISNUMBER(O3155),O3155,0)+IF(ISNUMBER(P3155),P3155,0)))&lt;=Summary!$B$2),"Passes using beginning_balance - PreV_ETB differs from beginning_balance",IF(AND(ISNUMBER(O3155),O3155&lt;0,ABS(L3155-(Q3155-IF(ISNUMBER(N3155),N3155,0)+IF(ISNUMBER(P3155),P3155,0)))&lt;=Summary!$B$2),"Negative realized loss not applied - check sign",IF(R3155&lt;0,"Principal paid exceeds prior balance",IF(AND(L3155&gt;Q3155,NOT(ISNUMBER(P3155))),"Balance increased but no Deferred_interest reported",IF(L3155&gt;R3155,"Reported balance higher than expected (missing increase/OC build)","Reported balance lower than expected (missing decrease)"))))),""))</f>
        <v/>
      </c>
    </row>
    <row r="3156" customFormat="false" ht="15" hidden="false" customHeight="false" outlineLevel="0" collapsed="false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9"/>
      <c r="L3156" s="9"/>
      <c r="M3156" s="9"/>
      <c r="N3156" s="9"/>
      <c r="O3156" s="9"/>
      <c r="P3156" s="9"/>
      <c r="Q3156" s="9"/>
      <c r="R3156" s="9" t="str">
        <f aca="false">IF(AND(A3156&lt;&gt;"",ISNUMBER(Q3156),ISNUMBER(L3156)),ROUND(Q3156-IF(ISNUMBER(N3156),N3156,0)-IF(ISNUMBER(O3156),O3156,0)+IF(ISNUMBER(P3156),P3156,0),2),"")</f>
        <v/>
      </c>
      <c r="S3156" s="9" t="str">
        <f aca="false">IF(R3156="","",ROUND(L3156-R3156,2))</f>
        <v/>
      </c>
      <c r="T3156" s="8" t="str">
        <f aca="false">IF(A3156="","",IF(S3156="","BYPASS",IF(ABS(S3156)&lt;=Summary!$B$2,"PASS","FAIL")))</f>
        <v/>
      </c>
      <c r="U3156" s="8" t="str">
        <f aca="false">IF(T3156="BYPASS",IF(NOT(ISNUMBER(Q3156)),"PreV_ETB missing","End_tr_balance missing"),IF(T3156="FAIL",IF(AND(ISNUMBER(K3156),ISNUMBER(L3156),ABS(L3156-(K3156-IF(ISNUMBER(N3156),N3156,0)-IF(ISNUMBER(O3156),O3156,0)+IF(ISNUMBER(P3156),P3156,0)))&lt;=Summary!$B$2),"Passes using beginning_balance - PreV_ETB differs from beginning_balance",IF(AND(ISNUMBER(O3156),O3156&lt;0,ABS(L3156-(Q3156-IF(ISNUMBER(N3156),N3156,0)+IF(ISNUMBER(P3156),P3156,0)))&lt;=Summary!$B$2),"Negative realized loss not applied - check sign",IF(R3156&lt;0,"Principal paid exceeds prior balance",IF(AND(L3156&gt;Q3156,NOT(ISNUMBER(P3156))),"Balance increased but no Deferred_interest reported",IF(L3156&gt;R3156,"Reported balance higher than expected (missing increase/OC build)","Reported balance lower than expected (missing decrease)"))))),""))</f>
        <v/>
      </c>
    </row>
    <row r="3157" customFormat="false" ht="15" hidden="false" customHeight="false" outlineLevel="0" collapsed="false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9"/>
      <c r="L3157" s="9"/>
      <c r="M3157" s="9"/>
      <c r="N3157" s="9"/>
      <c r="O3157" s="9"/>
      <c r="P3157" s="9"/>
      <c r="Q3157" s="9"/>
      <c r="R3157" s="9" t="str">
        <f aca="false">IF(AND(A3157&lt;&gt;"",ISNUMBER(Q3157),ISNUMBER(L3157)),ROUND(Q3157-IF(ISNUMBER(N3157),N3157,0)-IF(ISNUMBER(O3157),O3157,0)+IF(ISNUMBER(P3157),P3157,0),2),"")</f>
        <v/>
      </c>
      <c r="S3157" s="9" t="str">
        <f aca="false">IF(R3157="","",ROUND(L3157-R3157,2))</f>
        <v/>
      </c>
      <c r="T3157" s="8" t="str">
        <f aca="false">IF(A3157="","",IF(S3157="","BYPASS",IF(ABS(S3157)&lt;=Summary!$B$2,"PASS","FAIL")))</f>
        <v/>
      </c>
      <c r="U3157" s="8" t="str">
        <f aca="false">IF(T3157="BYPASS",IF(NOT(ISNUMBER(Q3157)),"PreV_ETB missing","End_tr_balance missing"),IF(T3157="FAIL",IF(AND(ISNUMBER(K3157),ISNUMBER(L3157),ABS(L3157-(K3157-IF(ISNUMBER(N3157),N3157,0)-IF(ISNUMBER(O3157),O3157,0)+IF(ISNUMBER(P3157),P3157,0)))&lt;=Summary!$B$2),"Passes using beginning_balance - PreV_ETB differs from beginning_balance",IF(AND(ISNUMBER(O3157),O3157&lt;0,ABS(L3157-(Q3157-IF(ISNUMBER(N3157),N3157,0)+IF(ISNUMBER(P3157),P3157,0)))&lt;=Summary!$B$2),"Negative realized loss not applied - check sign",IF(R3157&lt;0,"Principal paid exceeds prior balance",IF(AND(L3157&gt;Q3157,NOT(ISNUMBER(P3157))),"Balance increased but no Deferred_interest reported",IF(L3157&gt;R3157,"Reported balance higher than expected (missing increase/OC build)","Reported balance lower than expected (missing decrease)"))))),""))</f>
        <v/>
      </c>
    </row>
    <row r="3158" customFormat="false" ht="15" hidden="false" customHeight="false" outlineLevel="0" collapsed="false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9"/>
      <c r="L3158" s="9"/>
      <c r="M3158" s="9"/>
      <c r="N3158" s="9"/>
      <c r="O3158" s="9"/>
      <c r="P3158" s="9"/>
      <c r="Q3158" s="9"/>
      <c r="R3158" s="9" t="str">
        <f aca="false">IF(AND(A3158&lt;&gt;"",ISNUMBER(Q3158),ISNUMBER(L3158)),ROUND(Q3158-IF(ISNUMBER(N3158),N3158,0)-IF(ISNUMBER(O3158),O3158,0)+IF(ISNUMBER(P3158),P3158,0),2),"")</f>
        <v/>
      </c>
      <c r="S3158" s="9" t="str">
        <f aca="false">IF(R3158="","",ROUND(L3158-R3158,2))</f>
        <v/>
      </c>
      <c r="T3158" s="8" t="str">
        <f aca="false">IF(A3158="","",IF(S3158="","BYPASS",IF(ABS(S3158)&lt;=Summary!$B$2,"PASS","FAIL")))</f>
        <v/>
      </c>
      <c r="U3158" s="8" t="str">
        <f aca="false">IF(T3158="BYPASS",IF(NOT(ISNUMBER(Q3158)),"PreV_ETB missing","End_tr_balance missing"),IF(T3158="FAIL",IF(AND(ISNUMBER(K3158),ISNUMBER(L3158),ABS(L3158-(K3158-IF(ISNUMBER(N3158),N3158,0)-IF(ISNUMBER(O3158),O3158,0)+IF(ISNUMBER(P3158),P3158,0)))&lt;=Summary!$B$2),"Passes using beginning_balance - PreV_ETB differs from beginning_balance",IF(AND(ISNUMBER(O3158),O3158&lt;0,ABS(L3158-(Q3158-IF(ISNUMBER(N3158),N3158,0)+IF(ISNUMBER(P3158),P3158,0)))&lt;=Summary!$B$2),"Negative realized loss not applied - check sign",IF(R3158&lt;0,"Principal paid exceeds prior balance",IF(AND(L3158&gt;Q3158,NOT(ISNUMBER(P3158))),"Balance increased but no Deferred_interest reported",IF(L3158&gt;R3158,"Reported balance higher than expected (missing increase/OC build)","Reported balance lower than expected (missing decrease)"))))),""))</f>
        <v/>
      </c>
    </row>
    <row r="3159" customFormat="false" ht="15" hidden="false" customHeight="false" outlineLevel="0" collapsed="false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9"/>
      <c r="L3159" s="9"/>
      <c r="M3159" s="9"/>
      <c r="N3159" s="9"/>
      <c r="O3159" s="9"/>
      <c r="P3159" s="9"/>
      <c r="Q3159" s="9"/>
      <c r="R3159" s="9" t="str">
        <f aca="false">IF(AND(A3159&lt;&gt;"",ISNUMBER(Q3159),ISNUMBER(L3159)),ROUND(Q3159-IF(ISNUMBER(N3159),N3159,0)-IF(ISNUMBER(O3159),O3159,0)+IF(ISNUMBER(P3159),P3159,0),2),"")</f>
        <v/>
      </c>
      <c r="S3159" s="9" t="str">
        <f aca="false">IF(R3159="","",ROUND(L3159-R3159,2))</f>
        <v/>
      </c>
      <c r="T3159" s="8" t="str">
        <f aca="false">IF(A3159="","",IF(S3159="","BYPASS",IF(ABS(S3159)&lt;=Summary!$B$2,"PASS","FAIL")))</f>
        <v/>
      </c>
      <c r="U3159" s="8" t="str">
        <f aca="false">IF(T3159="BYPASS",IF(NOT(ISNUMBER(Q3159)),"PreV_ETB missing","End_tr_balance missing"),IF(T3159="FAIL",IF(AND(ISNUMBER(K3159),ISNUMBER(L3159),ABS(L3159-(K3159-IF(ISNUMBER(N3159),N3159,0)-IF(ISNUMBER(O3159),O3159,0)+IF(ISNUMBER(P3159),P3159,0)))&lt;=Summary!$B$2),"Passes using beginning_balance - PreV_ETB differs from beginning_balance",IF(AND(ISNUMBER(O3159),O3159&lt;0,ABS(L3159-(Q3159-IF(ISNUMBER(N3159),N3159,0)+IF(ISNUMBER(P3159),P3159,0)))&lt;=Summary!$B$2),"Negative realized loss not applied - check sign",IF(R3159&lt;0,"Principal paid exceeds prior balance",IF(AND(L3159&gt;Q3159,NOT(ISNUMBER(P3159))),"Balance increased but no Deferred_interest reported",IF(L3159&gt;R3159,"Reported balance higher than expected (missing increase/OC build)","Reported balance lower than expected (missing decrease)"))))),""))</f>
        <v/>
      </c>
    </row>
    <row r="3160" customFormat="false" ht="15" hidden="false" customHeight="false" outlineLevel="0" collapsed="false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9"/>
      <c r="L3160" s="9"/>
      <c r="M3160" s="9"/>
      <c r="N3160" s="9"/>
      <c r="O3160" s="9"/>
      <c r="P3160" s="9"/>
      <c r="Q3160" s="9"/>
      <c r="R3160" s="9" t="str">
        <f aca="false">IF(AND(A3160&lt;&gt;"",ISNUMBER(Q3160),ISNUMBER(L3160)),ROUND(Q3160-IF(ISNUMBER(N3160),N3160,0)-IF(ISNUMBER(O3160),O3160,0)+IF(ISNUMBER(P3160),P3160,0),2),"")</f>
        <v/>
      </c>
      <c r="S3160" s="9" t="str">
        <f aca="false">IF(R3160="","",ROUND(L3160-R3160,2))</f>
        <v/>
      </c>
      <c r="T3160" s="8" t="str">
        <f aca="false">IF(A3160="","",IF(S3160="","BYPASS",IF(ABS(S3160)&lt;=Summary!$B$2,"PASS","FAIL")))</f>
        <v/>
      </c>
      <c r="U3160" s="8" t="str">
        <f aca="false">IF(T3160="BYPASS",IF(NOT(ISNUMBER(Q3160)),"PreV_ETB missing","End_tr_balance missing"),IF(T3160="FAIL",IF(AND(ISNUMBER(K3160),ISNUMBER(L3160),ABS(L3160-(K3160-IF(ISNUMBER(N3160),N3160,0)-IF(ISNUMBER(O3160),O3160,0)+IF(ISNUMBER(P3160),P3160,0)))&lt;=Summary!$B$2),"Passes using beginning_balance - PreV_ETB differs from beginning_balance",IF(AND(ISNUMBER(O3160),O3160&lt;0,ABS(L3160-(Q3160-IF(ISNUMBER(N3160),N3160,0)+IF(ISNUMBER(P3160),P3160,0)))&lt;=Summary!$B$2),"Negative realized loss not applied - check sign",IF(R3160&lt;0,"Principal paid exceeds prior balance",IF(AND(L3160&gt;Q3160,NOT(ISNUMBER(P3160))),"Balance increased but no Deferred_interest reported",IF(L3160&gt;R3160,"Reported balance higher than expected (missing increase/OC build)","Reported balance lower than expected (missing decrease)"))))),""))</f>
        <v/>
      </c>
    </row>
    <row r="3161" customFormat="false" ht="15" hidden="false" customHeight="false" outlineLevel="0" collapsed="false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9"/>
      <c r="L3161" s="9"/>
      <c r="M3161" s="9"/>
      <c r="N3161" s="9"/>
      <c r="O3161" s="9"/>
      <c r="P3161" s="9"/>
      <c r="Q3161" s="9"/>
      <c r="R3161" s="9" t="str">
        <f aca="false">IF(AND(A3161&lt;&gt;"",ISNUMBER(Q3161),ISNUMBER(L3161)),ROUND(Q3161-IF(ISNUMBER(N3161),N3161,0)-IF(ISNUMBER(O3161),O3161,0)+IF(ISNUMBER(P3161),P3161,0),2),"")</f>
        <v/>
      </c>
      <c r="S3161" s="9" t="str">
        <f aca="false">IF(R3161="","",ROUND(L3161-R3161,2))</f>
        <v/>
      </c>
      <c r="T3161" s="8" t="str">
        <f aca="false">IF(A3161="","",IF(S3161="","BYPASS",IF(ABS(S3161)&lt;=Summary!$B$2,"PASS","FAIL")))</f>
        <v/>
      </c>
      <c r="U3161" s="8" t="str">
        <f aca="false">IF(T3161="BYPASS",IF(NOT(ISNUMBER(Q3161)),"PreV_ETB missing","End_tr_balance missing"),IF(T3161="FAIL",IF(AND(ISNUMBER(K3161),ISNUMBER(L3161),ABS(L3161-(K3161-IF(ISNUMBER(N3161),N3161,0)-IF(ISNUMBER(O3161),O3161,0)+IF(ISNUMBER(P3161),P3161,0)))&lt;=Summary!$B$2),"Passes using beginning_balance - PreV_ETB differs from beginning_balance",IF(AND(ISNUMBER(O3161),O3161&lt;0,ABS(L3161-(Q3161-IF(ISNUMBER(N3161),N3161,0)+IF(ISNUMBER(P3161),P3161,0)))&lt;=Summary!$B$2),"Negative realized loss not applied - check sign",IF(R3161&lt;0,"Principal paid exceeds prior balance",IF(AND(L3161&gt;Q3161,NOT(ISNUMBER(P3161))),"Balance increased but no Deferred_interest reported",IF(L3161&gt;R3161,"Reported balance higher than expected (missing increase/OC build)","Reported balance lower than expected (missing decrease)"))))),""))</f>
        <v/>
      </c>
    </row>
    <row r="3162" customFormat="false" ht="15" hidden="false" customHeight="false" outlineLevel="0" collapsed="false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9"/>
      <c r="L3162" s="9"/>
      <c r="M3162" s="9"/>
      <c r="N3162" s="9"/>
      <c r="O3162" s="9"/>
      <c r="P3162" s="9"/>
      <c r="Q3162" s="9"/>
      <c r="R3162" s="9" t="str">
        <f aca="false">IF(AND(A3162&lt;&gt;"",ISNUMBER(Q3162),ISNUMBER(L3162)),ROUND(Q3162-IF(ISNUMBER(N3162),N3162,0)-IF(ISNUMBER(O3162),O3162,0)+IF(ISNUMBER(P3162),P3162,0),2),"")</f>
        <v/>
      </c>
      <c r="S3162" s="9" t="str">
        <f aca="false">IF(R3162="","",ROUND(L3162-R3162,2))</f>
        <v/>
      </c>
      <c r="T3162" s="8" t="str">
        <f aca="false">IF(A3162="","",IF(S3162="","BYPASS",IF(ABS(S3162)&lt;=Summary!$B$2,"PASS","FAIL")))</f>
        <v/>
      </c>
      <c r="U3162" s="8" t="str">
        <f aca="false">IF(T3162="BYPASS",IF(NOT(ISNUMBER(Q3162)),"PreV_ETB missing","End_tr_balance missing"),IF(T3162="FAIL",IF(AND(ISNUMBER(K3162),ISNUMBER(L3162),ABS(L3162-(K3162-IF(ISNUMBER(N3162),N3162,0)-IF(ISNUMBER(O3162),O3162,0)+IF(ISNUMBER(P3162),P3162,0)))&lt;=Summary!$B$2),"Passes using beginning_balance - PreV_ETB differs from beginning_balance",IF(AND(ISNUMBER(O3162),O3162&lt;0,ABS(L3162-(Q3162-IF(ISNUMBER(N3162),N3162,0)+IF(ISNUMBER(P3162),P3162,0)))&lt;=Summary!$B$2),"Negative realized loss not applied - check sign",IF(R3162&lt;0,"Principal paid exceeds prior balance",IF(AND(L3162&gt;Q3162,NOT(ISNUMBER(P3162))),"Balance increased but no Deferred_interest reported",IF(L3162&gt;R3162,"Reported balance higher than expected (missing increase/OC build)","Reported balance lower than expected (missing decrease)"))))),""))</f>
        <v/>
      </c>
    </row>
    <row r="3163" customFormat="false" ht="15" hidden="false" customHeight="false" outlineLevel="0" collapsed="false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9"/>
      <c r="L3163" s="9"/>
      <c r="M3163" s="9"/>
      <c r="N3163" s="9"/>
      <c r="O3163" s="9"/>
      <c r="P3163" s="9"/>
      <c r="Q3163" s="9"/>
      <c r="R3163" s="9" t="str">
        <f aca="false">IF(AND(A3163&lt;&gt;"",ISNUMBER(Q3163),ISNUMBER(L3163)),ROUND(Q3163-IF(ISNUMBER(N3163),N3163,0)-IF(ISNUMBER(O3163),O3163,0)+IF(ISNUMBER(P3163),P3163,0),2),"")</f>
        <v/>
      </c>
      <c r="S3163" s="9" t="str">
        <f aca="false">IF(R3163="","",ROUND(L3163-R3163,2))</f>
        <v/>
      </c>
      <c r="T3163" s="8" t="str">
        <f aca="false">IF(A3163="","",IF(S3163="","BYPASS",IF(ABS(S3163)&lt;=Summary!$B$2,"PASS","FAIL")))</f>
        <v/>
      </c>
      <c r="U3163" s="8" t="str">
        <f aca="false">IF(T3163="BYPASS",IF(NOT(ISNUMBER(Q3163)),"PreV_ETB missing","End_tr_balance missing"),IF(T3163="FAIL",IF(AND(ISNUMBER(K3163),ISNUMBER(L3163),ABS(L3163-(K3163-IF(ISNUMBER(N3163),N3163,0)-IF(ISNUMBER(O3163),O3163,0)+IF(ISNUMBER(P3163),P3163,0)))&lt;=Summary!$B$2),"Passes using beginning_balance - PreV_ETB differs from beginning_balance",IF(AND(ISNUMBER(O3163),O3163&lt;0,ABS(L3163-(Q3163-IF(ISNUMBER(N3163),N3163,0)+IF(ISNUMBER(P3163),P3163,0)))&lt;=Summary!$B$2),"Negative realized loss not applied - check sign",IF(R3163&lt;0,"Principal paid exceeds prior balance",IF(AND(L3163&gt;Q3163,NOT(ISNUMBER(P3163))),"Balance increased but no Deferred_interest reported",IF(L3163&gt;R3163,"Reported balance higher than expected (missing increase/OC build)","Reported balance lower than expected (missing decrease)"))))),""))</f>
        <v/>
      </c>
    </row>
    <row r="3164" customFormat="false" ht="15" hidden="false" customHeight="false" outlineLevel="0" collapsed="false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9"/>
      <c r="L3164" s="9"/>
      <c r="M3164" s="9"/>
      <c r="N3164" s="9"/>
      <c r="O3164" s="9"/>
      <c r="P3164" s="9"/>
      <c r="Q3164" s="9"/>
      <c r="R3164" s="9" t="str">
        <f aca="false">IF(AND(A3164&lt;&gt;"",ISNUMBER(Q3164),ISNUMBER(L3164)),ROUND(Q3164-IF(ISNUMBER(N3164),N3164,0)-IF(ISNUMBER(O3164),O3164,0)+IF(ISNUMBER(P3164),P3164,0),2),"")</f>
        <v/>
      </c>
      <c r="S3164" s="9" t="str">
        <f aca="false">IF(R3164="","",ROUND(L3164-R3164,2))</f>
        <v/>
      </c>
      <c r="T3164" s="8" t="str">
        <f aca="false">IF(A3164="","",IF(S3164="","BYPASS",IF(ABS(S3164)&lt;=Summary!$B$2,"PASS","FAIL")))</f>
        <v/>
      </c>
      <c r="U3164" s="8" t="str">
        <f aca="false">IF(T3164="BYPASS",IF(NOT(ISNUMBER(Q3164)),"PreV_ETB missing","End_tr_balance missing"),IF(T3164="FAIL",IF(AND(ISNUMBER(K3164),ISNUMBER(L3164),ABS(L3164-(K3164-IF(ISNUMBER(N3164),N3164,0)-IF(ISNUMBER(O3164),O3164,0)+IF(ISNUMBER(P3164),P3164,0)))&lt;=Summary!$B$2),"Passes using beginning_balance - PreV_ETB differs from beginning_balance",IF(AND(ISNUMBER(O3164),O3164&lt;0,ABS(L3164-(Q3164-IF(ISNUMBER(N3164),N3164,0)+IF(ISNUMBER(P3164),P3164,0)))&lt;=Summary!$B$2),"Negative realized loss not applied - check sign",IF(R3164&lt;0,"Principal paid exceeds prior balance",IF(AND(L3164&gt;Q3164,NOT(ISNUMBER(P3164))),"Balance increased but no Deferred_interest reported",IF(L3164&gt;R3164,"Reported balance higher than expected (missing increase/OC build)","Reported balance lower than expected (missing decrease)"))))),""))</f>
        <v/>
      </c>
    </row>
    <row r="3165" customFormat="false" ht="15" hidden="false" customHeight="false" outlineLevel="0" collapsed="false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9"/>
      <c r="L3165" s="9"/>
      <c r="M3165" s="9"/>
      <c r="N3165" s="9"/>
      <c r="O3165" s="9"/>
      <c r="P3165" s="9"/>
      <c r="Q3165" s="9"/>
      <c r="R3165" s="9" t="str">
        <f aca="false">IF(AND(A3165&lt;&gt;"",ISNUMBER(Q3165),ISNUMBER(L3165)),ROUND(Q3165-IF(ISNUMBER(N3165),N3165,0)-IF(ISNUMBER(O3165),O3165,0)+IF(ISNUMBER(P3165),P3165,0),2),"")</f>
        <v/>
      </c>
      <c r="S3165" s="9" t="str">
        <f aca="false">IF(R3165="","",ROUND(L3165-R3165,2))</f>
        <v/>
      </c>
      <c r="T3165" s="8" t="str">
        <f aca="false">IF(A3165="","",IF(S3165="","BYPASS",IF(ABS(S3165)&lt;=Summary!$B$2,"PASS","FAIL")))</f>
        <v/>
      </c>
      <c r="U3165" s="8" t="str">
        <f aca="false">IF(T3165="BYPASS",IF(NOT(ISNUMBER(Q3165)),"PreV_ETB missing","End_tr_balance missing"),IF(T3165="FAIL",IF(AND(ISNUMBER(K3165),ISNUMBER(L3165),ABS(L3165-(K3165-IF(ISNUMBER(N3165),N3165,0)-IF(ISNUMBER(O3165),O3165,0)+IF(ISNUMBER(P3165),P3165,0)))&lt;=Summary!$B$2),"Passes using beginning_balance - PreV_ETB differs from beginning_balance",IF(AND(ISNUMBER(O3165),O3165&lt;0,ABS(L3165-(Q3165-IF(ISNUMBER(N3165),N3165,0)+IF(ISNUMBER(P3165),P3165,0)))&lt;=Summary!$B$2),"Negative realized loss not applied - check sign",IF(R3165&lt;0,"Principal paid exceeds prior balance",IF(AND(L3165&gt;Q3165,NOT(ISNUMBER(P3165))),"Balance increased but no Deferred_interest reported",IF(L3165&gt;R3165,"Reported balance higher than expected (missing increase/OC build)","Reported balance lower than expected (missing decrease)"))))),""))</f>
        <v/>
      </c>
    </row>
    <row r="3166" customFormat="false" ht="15" hidden="false" customHeight="false" outlineLevel="0" collapsed="false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9"/>
      <c r="L3166" s="9"/>
      <c r="M3166" s="9"/>
      <c r="N3166" s="9"/>
      <c r="O3166" s="9"/>
      <c r="P3166" s="9"/>
      <c r="Q3166" s="9"/>
      <c r="R3166" s="9" t="str">
        <f aca="false">IF(AND(A3166&lt;&gt;"",ISNUMBER(Q3166),ISNUMBER(L3166)),ROUND(Q3166-IF(ISNUMBER(N3166),N3166,0)-IF(ISNUMBER(O3166),O3166,0)+IF(ISNUMBER(P3166),P3166,0),2),"")</f>
        <v/>
      </c>
      <c r="S3166" s="9" t="str">
        <f aca="false">IF(R3166="","",ROUND(L3166-R3166,2))</f>
        <v/>
      </c>
      <c r="T3166" s="8" t="str">
        <f aca="false">IF(A3166="","",IF(S3166="","BYPASS",IF(ABS(S3166)&lt;=Summary!$B$2,"PASS","FAIL")))</f>
        <v/>
      </c>
      <c r="U3166" s="8" t="str">
        <f aca="false">IF(T3166="BYPASS",IF(NOT(ISNUMBER(Q3166)),"PreV_ETB missing","End_tr_balance missing"),IF(T3166="FAIL",IF(AND(ISNUMBER(K3166),ISNUMBER(L3166),ABS(L3166-(K3166-IF(ISNUMBER(N3166),N3166,0)-IF(ISNUMBER(O3166),O3166,0)+IF(ISNUMBER(P3166),P3166,0)))&lt;=Summary!$B$2),"Passes using beginning_balance - PreV_ETB differs from beginning_balance",IF(AND(ISNUMBER(O3166),O3166&lt;0,ABS(L3166-(Q3166-IF(ISNUMBER(N3166),N3166,0)+IF(ISNUMBER(P3166),P3166,0)))&lt;=Summary!$B$2),"Negative realized loss not applied - check sign",IF(R3166&lt;0,"Principal paid exceeds prior balance",IF(AND(L3166&gt;Q3166,NOT(ISNUMBER(P3166))),"Balance increased but no Deferred_interest reported",IF(L3166&gt;R3166,"Reported balance higher than expected (missing increase/OC build)","Reported balance lower than expected (missing decrease)"))))),""))</f>
        <v/>
      </c>
    </row>
    <row r="3167" customFormat="false" ht="15" hidden="false" customHeight="false" outlineLevel="0" collapsed="false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9"/>
      <c r="L3167" s="9"/>
      <c r="M3167" s="9"/>
      <c r="N3167" s="9"/>
      <c r="O3167" s="9"/>
      <c r="P3167" s="9"/>
      <c r="Q3167" s="9"/>
      <c r="R3167" s="9" t="str">
        <f aca="false">IF(AND(A3167&lt;&gt;"",ISNUMBER(Q3167),ISNUMBER(L3167)),ROUND(Q3167-IF(ISNUMBER(N3167),N3167,0)-IF(ISNUMBER(O3167),O3167,0)+IF(ISNUMBER(P3167),P3167,0),2),"")</f>
        <v/>
      </c>
      <c r="S3167" s="9" t="str">
        <f aca="false">IF(R3167="","",ROUND(L3167-R3167,2))</f>
        <v/>
      </c>
      <c r="T3167" s="8" t="str">
        <f aca="false">IF(A3167="","",IF(S3167="","BYPASS",IF(ABS(S3167)&lt;=Summary!$B$2,"PASS","FAIL")))</f>
        <v/>
      </c>
      <c r="U3167" s="8" t="str">
        <f aca="false">IF(T3167="BYPASS",IF(NOT(ISNUMBER(Q3167)),"PreV_ETB missing","End_tr_balance missing"),IF(T3167="FAIL",IF(AND(ISNUMBER(K3167),ISNUMBER(L3167),ABS(L3167-(K3167-IF(ISNUMBER(N3167),N3167,0)-IF(ISNUMBER(O3167),O3167,0)+IF(ISNUMBER(P3167),P3167,0)))&lt;=Summary!$B$2),"Passes using beginning_balance - PreV_ETB differs from beginning_balance",IF(AND(ISNUMBER(O3167),O3167&lt;0,ABS(L3167-(Q3167-IF(ISNUMBER(N3167),N3167,0)+IF(ISNUMBER(P3167),P3167,0)))&lt;=Summary!$B$2),"Negative realized loss not applied - check sign",IF(R3167&lt;0,"Principal paid exceeds prior balance",IF(AND(L3167&gt;Q3167,NOT(ISNUMBER(P3167))),"Balance increased but no Deferred_interest reported",IF(L3167&gt;R3167,"Reported balance higher than expected (missing increase/OC build)","Reported balance lower than expected (missing decrease)"))))),""))</f>
        <v/>
      </c>
    </row>
    <row r="3168" customFormat="false" ht="15" hidden="false" customHeight="false" outlineLevel="0" collapsed="false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9"/>
      <c r="L3168" s="9"/>
      <c r="M3168" s="9"/>
      <c r="N3168" s="9"/>
      <c r="O3168" s="9"/>
      <c r="P3168" s="9"/>
      <c r="Q3168" s="9"/>
      <c r="R3168" s="9" t="str">
        <f aca="false">IF(AND(A3168&lt;&gt;"",ISNUMBER(Q3168),ISNUMBER(L3168)),ROUND(Q3168-IF(ISNUMBER(N3168),N3168,0)-IF(ISNUMBER(O3168),O3168,0)+IF(ISNUMBER(P3168),P3168,0),2),"")</f>
        <v/>
      </c>
      <c r="S3168" s="9" t="str">
        <f aca="false">IF(R3168="","",ROUND(L3168-R3168,2))</f>
        <v/>
      </c>
      <c r="T3168" s="8" t="str">
        <f aca="false">IF(A3168="","",IF(S3168="","BYPASS",IF(ABS(S3168)&lt;=Summary!$B$2,"PASS","FAIL")))</f>
        <v/>
      </c>
      <c r="U3168" s="8" t="str">
        <f aca="false">IF(T3168="BYPASS",IF(NOT(ISNUMBER(Q3168)),"PreV_ETB missing","End_tr_balance missing"),IF(T3168="FAIL",IF(AND(ISNUMBER(K3168),ISNUMBER(L3168),ABS(L3168-(K3168-IF(ISNUMBER(N3168),N3168,0)-IF(ISNUMBER(O3168),O3168,0)+IF(ISNUMBER(P3168),P3168,0)))&lt;=Summary!$B$2),"Passes using beginning_balance - PreV_ETB differs from beginning_balance",IF(AND(ISNUMBER(O3168),O3168&lt;0,ABS(L3168-(Q3168-IF(ISNUMBER(N3168),N3168,0)+IF(ISNUMBER(P3168),P3168,0)))&lt;=Summary!$B$2),"Negative realized loss not applied - check sign",IF(R3168&lt;0,"Principal paid exceeds prior balance",IF(AND(L3168&gt;Q3168,NOT(ISNUMBER(P3168))),"Balance increased but no Deferred_interest reported",IF(L3168&gt;R3168,"Reported balance higher than expected (missing increase/OC build)","Reported balance lower than expected (missing decrease)"))))),""))</f>
        <v/>
      </c>
    </row>
    <row r="3169" customFormat="false" ht="15" hidden="false" customHeight="false" outlineLevel="0" collapsed="false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9"/>
      <c r="L3169" s="9"/>
      <c r="M3169" s="9"/>
      <c r="N3169" s="9"/>
      <c r="O3169" s="9"/>
      <c r="P3169" s="9"/>
      <c r="Q3169" s="9"/>
      <c r="R3169" s="9" t="str">
        <f aca="false">IF(AND(A3169&lt;&gt;"",ISNUMBER(Q3169),ISNUMBER(L3169)),ROUND(Q3169-IF(ISNUMBER(N3169),N3169,0)-IF(ISNUMBER(O3169),O3169,0)+IF(ISNUMBER(P3169),P3169,0),2),"")</f>
        <v/>
      </c>
      <c r="S3169" s="9" t="str">
        <f aca="false">IF(R3169="","",ROUND(L3169-R3169,2))</f>
        <v/>
      </c>
      <c r="T3169" s="8" t="str">
        <f aca="false">IF(A3169="","",IF(S3169="","BYPASS",IF(ABS(S3169)&lt;=Summary!$B$2,"PASS","FAIL")))</f>
        <v/>
      </c>
      <c r="U3169" s="8" t="str">
        <f aca="false">IF(T3169="BYPASS",IF(NOT(ISNUMBER(Q3169)),"PreV_ETB missing","End_tr_balance missing"),IF(T3169="FAIL",IF(AND(ISNUMBER(K3169),ISNUMBER(L3169),ABS(L3169-(K3169-IF(ISNUMBER(N3169),N3169,0)-IF(ISNUMBER(O3169),O3169,0)+IF(ISNUMBER(P3169),P3169,0)))&lt;=Summary!$B$2),"Passes using beginning_balance - PreV_ETB differs from beginning_balance",IF(AND(ISNUMBER(O3169),O3169&lt;0,ABS(L3169-(Q3169-IF(ISNUMBER(N3169),N3169,0)+IF(ISNUMBER(P3169),P3169,0)))&lt;=Summary!$B$2),"Negative realized loss not applied - check sign",IF(R3169&lt;0,"Principal paid exceeds prior balance",IF(AND(L3169&gt;Q3169,NOT(ISNUMBER(P3169))),"Balance increased but no Deferred_interest reported",IF(L3169&gt;R3169,"Reported balance higher than expected (missing increase/OC build)","Reported balance lower than expected (missing decrease)"))))),""))</f>
        <v/>
      </c>
    </row>
    <row r="3170" customFormat="false" ht="15" hidden="false" customHeight="false" outlineLevel="0" collapsed="false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9"/>
      <c r="L3170" s="9"/>
      <c r="M3170" s="9"/>
      <c r="N3170" s="9"/>
      <c r="O3170" s="9"/>
      <c r="P3170" s="9"/>
      <c r="Q3170" s="9"/>
      <c r="R3170" s="9" t="str">
        <f aca="false">IF(AND(A3170&lt;&gt;"",ISNUMBER(Q3170),ISNUMBER(L3170)),ROUND(Q3170-IF(ISNUMBER(N3170),N3170,0)-IF(ISNUMBER(O3170),O3170,0)+IF(ISNUMBER(P3170),P3170,0),2),"")</f>
        <v/>
      </c>
      <c r="S3170" s="9" t="str">
        <f aca="false">IF(R3170="","",ROUND(L3170-R3170,2))</f>
        <v/>
      </c>
      <c r="T3170" s="8" t="str">
        <f aca="false">IF(A3170="","",IF(S3170="","BYPASS",IF(ABS(S3170)&lt;=Summary!$B$2,"PASS","FAIL")))</f>
        <v/>
      </c>
      <c r="U3170" s="8" t="str">
        <f aca="false">IF(T3170="BYPASS",IF(NOT(ISNUMBER(Q3170)),"PreV_ETB missing","End_tr_balance missing"),IF(T3170="FAIL",IF(AND(ISNUMBER(K3170),ISNUMBER(L3170),ABS(L3170-(K3170-IF(ISNUMBER(N3170),N3170,0)-IF(ISNUMBER(O3170),O3170,0)+IF(ISNUMBER(P3170),P3170,0)))&lt;=Summary!$B$2),"Passes using beginning_balance - PreV_ETB differs from beginning_balance",IF(AND(ISNUMBER(O3170),O3170&lt;0,ABS(L3170-(Q3170-IF(ISNUMBER(N3170),N3170,0)+IF(ISNUMBER(P3170),P3170,0)))&lt;=Summary!$B$2),"Negative realized loss not applied - check sign",IF(R3170&lt;0,"Principal paid exceeds prior balance",IF(AND(L3170&gt;Q3170,NOT(ISNUMBER(P3170))),"Balance increased but no Deferred_interest reported",IF(L3170&gt;R3170,"Reported balance higher than expected (missing increase/OC build)","Reported balance lower than expected (missing decrease)"))))),""))</f>
        <v/>
      </c>
    </row>
    <row r="3171" customFormat="false" ht="15" hidden="false" customHeight="false" outlineLevel="0" collapsed="false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9"/>
      <c r="L3171" s="9"/>
      <c r="M3171" s="9"/>
      <c r="N3171" s="9"/>
      <c r="O3171" s="9"/>
      <c r="P3171" s="9"/>
      <c r="Q3171" s="9"/>
      <c r="R3171" s="9" t="str">
        <f aca="false">IF(AND(A3171&lt;&gt;"",ISNUMBER(Q3171),ISNUMBER(L3171)),ROUND(Q3171-IF(ISNUMBER(N3171),N3171,0)-IF(ISNUMBER(O3171),O3171,0)+IF(ISNUMBER(P3171),P3171,0),2),"")</f>
        <v/>
      </c>
      <c r="S3171" s="9" t="str">
        <f aca="false">IF(R3171="","",ROUND(L3171-R3171,2))</f>
        <v/>
      </c>
      <c r="T3171" s="8" t="str">
        <f aca="false">IF(A3171="","",IF(S3171="","BYPASS",IF(ABS(S3171)&lt;=Summary!$B$2,"PASS","FAIL")))</f>
        <v/>
      </c>
      <c r="U3171" s="8" t="str">
        <f aca="false">IF(T3171="BYPASS",IF(NOT(ISNUMBER(Q3171)),"PreV_ETB missing","End_tr_balance missing"),IF(T3171="FAIL",IF(AND(ISNUMBER(K3171),ISNUMBER(L3171),ABS(L3171-(K3171-IF(ISNUMBER(N3171),N3171,0)-IF(ISNUMBER(O3171),O3171,0)+IF(ISNUMBER(P3171),P3171,0)))&lt;=Summary!$B$2),"Passes using beginning_balance - PreV_ETB differs from beginning_balance",IF(AND(ISNUMBER(O3171),O3171&lt;0,ABS(L3171-(Q3171-IF(ISNUMBER(N3171),N3171,0)+IF(ISNUMBER(P3171),P3171,0)))&lt;=Summary!$B$2),"Negative realized loss not applied - check sign",IF(R3171&lt;0,"Principal paid exceeds prior balance",IF(AND(L3171&gt;Q3171,NOT(ISNUMBER(P3171))),"Balance increased but no Deferred_interest reported",IF(L3171&gt;R3171,"Reported balance higher than expected (missing increase/OC build)","Reported balance lower than expected (missing decrease)"))))),""))</f>
        <v/>
      </c>
    </row>
    <row r="3172" customFormat="false" ht="15" hidden="false" customHeight="false" outlineLevel="0" collapsed="false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9"/>
      <c r="L3172" s="9"/>
      <c r="M3172" s="9"/>
      <c r="N3172" s="9"/>
      <c r="O3172" s="9"/>
      <c r="P3172" s="9"/>
      <c r="Q3172" s="9"/>
      <c r="R3172" s="9" t="str">
        <f aca="false">IF(AND(A3172&lt;&gt;"",ISNUMBER(Q3172),ISNUMBER(L3172)),ROUND(Q3172-IF(ISNUMBER(N3172),N3172,0)-IF(ISNUMBER(O3172),O3172,0)+IF(ISNUMBER(P3172),P3172,0),2),"")</f>
        <v/>
      </c>
      <c r="S3172" s="9" t="str">
        <f aca="false">IF(R3172="","",ROUND(L3172-R3172,2))</f>
        <v/>
      </c>
      <c r="T3172" s="8" t="str">
        <f aca="false">IF(A3172="","",IF(S3172="","BYPASS",IF(ABS(S3172)&lt;=Summary!$B$2,"PASS","FAIL")))</f>
        <v/>
      </c>
      <c r="U3172" s="8" t="str">
        <f aca="false">IF(T3172="BYPASS",IF(NOT(ISNUMBER(Q3172)),"PreV_ETB missing","End_tr_balance missing"),IF(T3172="FAIL",IF(AND(ISNUMBER(K3172),ISNUMBER(L3172),ABS(L3172-(K3172-IF(ISNUMBER(N3172),N3172,0)-IF(ISNUMBER(O3172),O3172,0)+IF(ISNUMBER(P3172),P3172,0)))&lt;=Summary!$B$2),"Passes using beginning_balance - PreV_ETB differs from beginning_balance",IF(AND(ISNUMBER(O3172),O3172&lt;0,ABS(L3172-(Q3172-IF(ISNUMBER(N3172),N3172,0)+IF(ISNUMBER(P3172),P3172,0)))&lt;=Summary!$B$2),"Negative realized loss not applied - check sign",IF(R3172&lt;0,"Principal paid exceeds prior balance",IF(AND(L3172&gt;Q3172,NOT(ISNUMBER(P3172))),"Balance increased but no Deferred_interest reported",IF(L3172&gt;R3172,"Reported balance higher than expected (missing increase/OC build)","Reported balance lower than expected (missing decrease)"))))),""))</f>
        <v/>
      </c>
    </row>
    <row r="3173" customFormat="false" ht="15" hidden="false" customHeight="false" outlineLevel="0" collapsed="false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9"/>
      <c r="L3173" s="9"/>
      <c r="M3173" s="9"/>
      <c r="N3173" s="9"/>
      <c r="O3173" s="9"/>
      <c r="P3173" s="9"/>
      <c r="Q3173" s="9"/>
      <c r="R3173" s="9" t="str">
        <f aca="false">IF(AND(A3173&lt;&gt;"",ISNUMBER(Q3173),ISNUMBER(L3173)),ROUND(Q3173-IF(ISNUMBER(N3173),N3173,0)-IF(ISNUMBER(O3173),O3173,0)+IF(ISNUMBER(P3173),P3173,0),2),"")</f>
        <v/>
      </c>
      <c r="S3173" s="9" t="str">
        <f aca="false">IF(R3173="","",ROUND(L3173-R3173,2))</f>
        <v/>
      </c>
      <c r="T3173" s="8" t="str">
        <f aca="false">IF(A3173="","",IF(S3173="","BYPASS",IF(ABS(S3173)&lt;=Summary!$B$2,"PASS","FAIL")))</f>
        <v/>
      </c>
      <c r="U3173" s="8" t="str">
        <f aca="false">IF(T3173="BYPASS",IF(NOT(ISNUMBER(Q3173)),"PreV_ETB missing","End_tr_balance missing"),IF(T3173="FAIL",IF(AND(ISNUMBER(K3173),ISNUMBER(L3173),ABS(L3173-(K3173-IF(ISNUMBER(N3173),N3173,0)-IF(ISNUMBER(O3173),O3173,0)+IF(ISNUMBER(P3173),P3173,0)))&lt;=Summary!$B$2),"Passes using beginning_balance - PreV_ETB differs from beginning_balance",IF(AND(ISNUMBER(O3173),O3173&lt;0,ABS(L3173-(Q3173-IF(ISNUMBER(N3173),N3173,0)+IF(ISNUMBER(P3173),P3173,0)))&lt;=Summary!$B$2),"Negative realized loss not applied - check sign",IF(R3173&lt;0,"Principal paid exceeds prior balance",IF(AND(L3173&gt;Q3173,NOT(ISNUMBER(P3173))),"Balance increased but no Deferred_interest reported",IF(L3173&gt;R3173,"Reported balance higher than expected (missing increase/OC build)","Reported balance lower than expected (missing decrease)"))))),""))</f>
        <v/>
      </c>
    </row>
    <row r="3174" customFormat="false" ht="15" hidden="false" customHeight="false" outlineLevel="0" collapsed="false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9"/>
      <c r="L3174" s="9"/>
      <c r="M3174" s="9"/>
      <c r="N3174" s="9"/>
      <c r="O3174" s="9"/>
      <c r="P3174" s="9"/>
      <c r="Q3174" s="9"/>
      <c r="R3174" s="9" t="str">
        <f aca="false">IF(AND(A3174&lt;&gt;"",ISNUMBER(Q3174),ISNUMBER(L3174)),ROUND(Q3174-IF(ISNUMBER(N3174),N3174,0)-IF(ISNUMBER(O3174),O3174,0)+IF(ISNUMBER(P3174),P3174,0),2),"")</f>
        <v/>
      </c>
      <c r="S3174" s="9" t="str">
        <f aca="false">IF(R3174="","",ROUND(L3174-R3174,2))</f>
        <v/>
      </c>
      <c r="T3174" s="8" t="str">
        <f aca="false">IF(A3174="","",IF(S3174="","BYPASS",IF(ABS(S3174)&lt;=Summary!$B$2,"PASS","FAIL")))</f>
        <v/>
      </c>
      <c r="U3174" s="8" t="str">
        <f aca="false">IF(T3174="BYPASS",IF(NOT(ISNUMBER(Q3174)),"PreV_ETB missing","End_tr_balance missing"),IF(T3174="FAIL",IF(AND(ISNUMBER(K3174),ISNUMBER(L3174),ABS(L3174-(K3174-IF(ISNUMBER(N3174),N3174,0)-IF(ISNUMBER(O3174),O3174,0)+IF(ISNUMBER(P3174),P3174,0)))&lt;=Summary!$B$2),"Passes using beginning_balance - PreV_ETB differs from beginning_balance",IF(AND(ISNUMBER(O3174),O3174&lt;0,ABS(L3174-(Q3174-IF(ISNUMBER(N3174),N3174,0)+IF(ISNUMBER(P3174),P3174,0)))&lt;=Summary!$B$2),"Negative realized loss not applied - check sign",IF(R3174&lt;0,"Principal paid exceeds prior balance",IF(AND(L3174&gt;Q3174,NOT(ISNUMBER(P3174))),"Balance increased but no Deferred_interest reported",IF(L3174&gt;R3174,"Reported balance higher than expected (missing increase/OC build)","Reported balance lower than expected (missing decrease)"))))),""))</f>
        <v/>
      </c>
    </row>
    <row r="3175" customFormat="false" ht="15" hidden="false" customHeight="false" outlineLevel="0" collapsed="false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9"/>
      <c r="L3175" s="9"/>
      <c r="M3175" s="9"/>
      <c r="N3175" s="9"/>
      <c r="O3175" s="9"/>
      <c r="P3175" s="9"/>
      <c r="Q3175" s="9"/>
      <c r="R3175" s="9" t="str">
        <f aca="false">IF(AND(A3175&lt;&gt;"",ISNUMBER(Q3175),ISNUMBER(L3175)),ROUND(Q3175-IF(ISNUMBER(N3175),N3175,0)-IF(ISNUMBER(O3175),O3175,0)+IF(ISNUMBER(P3175),P3175,0),2),"")</f>
        <v/>
      </c>
      <c r="S3175" s="9" t="str">
        <f aca="false">IF(R3175="","",ROUND(L3175-R3175,2))</f>
        <v/>
      </c>
      <c r="T3175" s="8" t="str">
        <f aca="false">IF(A3175="","",IF(S3175="","BYPASS",IF(ABS(S3175)&lt;=Summary!$B$2,"PASS","FAIL")))</f>
        <v/>
      </c>
      <c r="U3175" s="8" t="str">
        <f aca="false">IF(T3175="BYPASS",IF(NOT(ISNUMBER(Q3175)),"PreV_ETB missing","End_tr_balance missing"),IF(T3175="FAIL",IF(AND(ISNUMBER(K3175),ISNUMBER(L3175),ABS(L3175-(K3175-IF(ISNUMBER(N3175),N3175,0)-IF(ISNUMBER(O3175),O3175,0)+IF(ISNUMBER(P3175),P3175,0)))&lt;=Summary!$B$2),"Passes using beginning_balance - PreV_ETB differs from beginning_balance",IF(AND(ISNUMBER(O3175),O3175&lt;0,ABS(L3175-(Q3175-IF(ISNUMBER(N3175),N3175,0)+IF(ISNUMBER(P3175),P3175,0)))&lt;=Summary!$B$2),"Negative realized loss not applied - check sign",IF(R3175&lt;0,"Principal paid exceeds prior balance",IF(AND(L3175&gt;Q3175,NOT(ISNUMBER(P3175))),"Balance increased but no Deferred_interest reported",IF(L3175&gt;R3175,"Reported balance higher than expected (missing increase/OC build)","Reported balance lower than expected (missing decrease)"))))),""))</f>
        <v/>
      </c>
    </row>
    <row r="3176" customFormat="false" ht="15" hidden="false" customHeight="false" outlineLevel="0" collapsed="false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9"/>
      <c r="L3176" s="9"/>
      <c r="M3176" s="9"/>
      <c r="N3176" s="9"/>
      <c r="O3176" s="9"/>
      <c r="P3176" s="9"/>
      <c r="Q3176" s="9"/>
      <c r="R3176" s="9" t="str">
        <f aca="false">IF(AND(A3176&lt;&gt;"",ISNUMBER(Q3176),ISNUMBER(L3176)),ROUND(Q3176-IF(ISNUMBER(N3176),N3176,0)-IF(ISNUMBER(O3176),O3176,0)+IF(ISNUMBER(P3176),P3176,0),2),"")</f>
        <v/>
      </c>
      <c r="S3176" s="9" t="str">
        <f aca="false">IF(R3176="","",ROUND(L3176-R3176,2))</f>
        <v/>
      </c>
      <c r="T3176" s="8" t="str">
        <f aca="false">IF(A3176="","",IF(S3176="","BYPASS",IF(ABS(S3176)&lt;=Summary!$B$2,"PASS","FAIL")))</f>
        <v/>
      </c>
      <c r="U3176" s="8" t="str">
        <f aca="false">IF(T3176="BYPASS",IF(NOT(ISNUMBER(Q3176)),"PreV_ETB missing","End_tr_balance missing"),IF(T3176="FAIL",IF(AND(ISNUMBER(K3176),ISNUMBER(L3176),ABS(L3176-(K3176-IF(ISNUMBER(N3176),N3176,0)-IF(ISNUMBER(O3176),O3176,0)+IF(ISNUMBER(P3176),P3176,0)))&lt;=Summary!$B$2),"Passes using beginning_balance - PreV_ETB differs from beginning_balance",IF(AND(ISNUMBER(O3176),O3176&lt;0,ABS(L3176-(Q3176-IF(ISNUMBER(N3176),N3176,0)+IF(ISNUMBER(P3176),P3176,0)))&lt;=Summary!$B$2),"Negative realized loss not applied - check sign",IF(R3176&lt;0,"Principal paid exceeds prior balance",IF(AND(L3176&gt;Q3176,NOT(ISNUMBER(P3176))),"Balance increased but no Deferred_interest reported",IF(L3176&gt;R3176,"Reported balance higher than expected (missing increase/OC build)","Reported balance lower than expected (missing decrease)"))))),""))</f>
        <v/>
      </c>
    </row>
    <row r="3177" customFormat="false" ht="15" hidden="false" customHeight="false" outlineLevel="0" collapsed="false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9"/>
      <c r="L3177" s="9"/>
      <c r="M3177" s="9"/>
      <c r="N3177" s="9"/>
      <c r="O3177" s="9"/>
      <c r="P3177" s="9"/>
      <c r="Q3177" s="9"/>
      <c r="R3177" s="9" t="str">
        <f aca="false">IF(AND(A3177&lt;&gt;"",ISNUMBER(Q3177),ISNUMBER(L3177)),ROUND(Q3177-IF(ISNUMBER(N3177),N3177,0)-IF(ISNUMBER(O3177),O3177,0)+IF(ISNUMBER(P3177),P3177,0),2),"")</f>
        <v/>
      </c>
      <c r="S3177" s="9" t="str">
        <f aca="false">IF(R3177="","",ROUND(L3177-R3177,2))</f>
        <v/>
      </c>
      <c r="T3177" s="8" t="str">
        <f aca="false">IF(A3177="","",IF(S3177="","BYPASS",IF(ABS(S3177)&lt;=Summary!$B$2,"PASS","FAIL")))</f>
        <v/>
      </c>
      <c r="U3177" s="8" t="str">
        <f aca="false">IF(T3177="BYPASS",IF(NOT(ISNUMBER(Q3177)),"PreV_ETB missing","End_tr_balance missing"),IF(T3177="FAIL",IF(AND(ISNUMBER(K3177),ISNUMBER(L3177),ABS(L3177-(K3177-IF(ISNUMBER(N3177),N3177,0)-IF(ISNUMBER(O3177),O3177,0)+IF(ISNUMBER(P3177),P3177,0)))&lt;=Summary!$B$2),"Passes using beginning_balance - PreV_ETB differs from beginning_balance",IF(AND(ISNUMBER(O3177),O3177&lt;0,ABS(L3177-(Q3177-IF(ISNUMBER(N3177),N3177,0)+IF(ISNUMBER(P3177),P3177,0)))&lt;=Summary!$B$2),"Negative realized loss not applied - check sign",IF(R3177&lt;0,"Principal paid exceeds prior balance",IF(AND(L3177&gt;Q3177,NOT(ISNUMBER(P3177))),"Balance increased but no Deferred_interest reported",IF(L3177&gt;R3177,"Reported balance higher than expected (missing increase/OC build)","Reported balance lower than expected (missing decrease)"))))),""))</f>
        <v/>
      </c>
    </row>
    <row r="3178" customFormat="false" ht="15" hidden="false" customHeight="false" outlineLevel="0" collapsed="false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9"/>
      <c r="L3178" s="9"/>
      <c r="M3178" s="9"/>
      <c r="N3178" s="9"/>
      <c r="O3178" s="9"/>
      <c r="P3178" s="9"/>
      <c r="Q3178" s="9"/>
      <c r="R3178" s="9" t="str">
        <f aca="false">IF(AND(A3178&lt;&gt;"",ISNUMBER(Q3178),ISNUMBER(L3178)),ROUND(Q3178-IF(ISNUMBER(N3178),N3178,0)-IF(ISNUMBER(O3178),O3178,0)+IF(ISNUMBER(P3178),P3178,0),2),"")</f>
        <v/>
      </c>
      <c r="S3178" s="9" t="str">
        <f aca="false">IF(R3178="","",ROUND(L3178-R3178,2))</f>
        <v/>
      </c>
      <c r="T3178" s="8" t="str">
        <f aca="false">IF(A3178="","",IF(S3178="","BYPASS",IF(ABS(S3178)&lt;=Summary!$B$2,"PASS","FAIL")))</f>
        <v/>
      </c>
      <c r="U3178" s="8" t="str">
        <f aca="false">IF(T3178="BYPASS",IF(NOT(ISNUMBER(Q3178)),"PreV_ETB missing","End_tr_balance missing"),IF(T3178="FAIL",IF(AND(ISNUMBER(K3178),ISNUMBER(L3178),ABS(L3178-(K3178-IF(ISNUMBER(N3178),N3178,0)-IF(ISNUMBER(O3178),O3178,0)+IF(ISNUMBER(P3178),P3178,0)))&lt;=Summary!$B$2),"Passes using beginning_balance - PreV_ETB differs from beginning_balance",IF(AND(ISNUMBER(O3178),O3178&lt;0,ABS(L3178-(Q3178-IF(ISNUMBER(N3178),N3178,0)+IF(ISNUMBER(P3178),P3178,0)))&lt;=Summary!$B$2),"Negative realized loss not applied - check sign",IF(R3178&lt;0,"Principal paid exceeds prior balance",IF(AND(L3178&gt;Q3178,NOT(ISNUMBER(P3178))),"Balance increased but no Deferred_interest reported",IF(L3178&gt;R3178,"Reported balance higher than expected (missing increase/OC build)","Reported balance lower than expected (missing decrease)"))))),""))</f>
        <v/>
      </c>
    </row>
    <row r="3179" customFormat="false" ht="15" hidden="false" customHeight="false" outlineLevel="0" collapsed="false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9"/>
      <c r="L3179" s="9"/>
      <c r="M3179" s="9"/>
      <c r="N3179" s="9"/>
      <c r="O3179" s="9"/>
      <c r="P3179" s="9"/>
      <c r="Q3179" s="9"/>
      <c r="R3179" s="9" t="str">
        <f aca="false">IF(AND(A3179&lt;&gt;"",ISNUMBER(Q3179),ISNUMBER(L3179)),ROUND(Q3179-IF(ISNUMBER(N3179),N3179,0)-IF(ISNUMBER(O3179),O3179,0)+IF(ISNUMBER(P3179),P3179,0),2),"")</f>
        <v/>
      </c>
      <c r="S3179" s="9" t="str">
        <f aca="false">IF(R3179="","",ROUND(L3179-R3179,2))</f>
        <v/>
      </c>
      <c r="T3179" s="8" t="str">
        <f aca="false">IF(A3179="","",IF(S3179="","BYPASS",IF(ABS(S3179)&lt;=Summary!$B$2,"PASS","FAIL")))</f>
        <v/>
      </c>
      <c r="U3179" s="8" t="str">
        <f aca="false">IF(T3179="BYPASS",IF(NOT(ISNUMBER(Q3179)),"PreV_ETB missing","End_tr_balance missing"),IF(T3179="FAIL",IF(AND(ISNUMBER(K3179),ISNUMBER(L3179),ABS(L3179-(K3179-IF(ISNUMBER(N3179),N3179,0)-IF(ISNUMBER(O3179),O3179,0)+IF(ISNUMBER(P3179),P3179,0)))&lt;=Summary!$B$2),"Passes using beginning_balance - PreV_ETB differs from beginning_balance",IF(AND(ISNUMBER(O3179),O3179&lt;0,ABS(L3179-(Q3179-IF(ISNUMBER(N3179),N3179,0)+IF(ISNUMBER(P3179),P3179,0)))&lt;=Summary!$B$2),"Negative realized loss not applied - check sign",IF(R3179&lt;0,"Principal paid exceeds prior balance",IF(AND(L3179&gt;Q3179,NOT(ISNUMBER(P3179))),"Balance increased but no Deferred_interest reported",IF(L3179&gt;R3179,"Reported balance higher than expected (missing increase/OC build)","Reported balance lower than expected (missing decrease)"))))),""))</f>
        <v/>
      </c>
    </row>
    <row r="3180" customFormat="false" ht="15" hidden="false" customHeight="false" outlineLevel="0" collapsed="false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9"/>
      <c r="L3180" s="9"/>
      <c r="M3180" s="9"/>
      <c r="N3180" s="9"/>
      <c r="O3180" s="9"/>
      <c r="P3180" s="9"/>
      <c r="Q3180" s="9"/>
      <c r="R3180" s="9" t="str">
        <f aca="false">IF(AND(A3180&lt;&gt;"",ISNUMBER(Q3180),ISNUMBER(L3180)),ROUND(Q3180-IF(ISNUMBER(N3180),N3180,0)-IF(ISNUMBER(O3180),O3180,0)+IF(ISNUMBER(P3180),P3180,0),2),"")</f>
        <v/>
      </c>
      <c r="S3180" s="9" t="str">
        <f aca="false">IF(R3180="","",ROUND(L3180-R3180,2))</f>
        <v/>
      </c>
      <c r="T3180" s="8" t="str">
        <f aca="false">IF(A3180="","",IF(S3180="","BYPASS",IF(ABS(S3180)&lt;=Summary!$B$2,"PASS","FAIL")))</f>
        <v/>
      </c>
      <c r="U3180" s="8" t="str">
        <f aca="false">IF(T3180="BYPASS",IF(NOT(ISNUMBER(Q3180)),"PreV_ETB missing","End_tr_balance missing"),IF(T3180="FAIL",IF(AND(ISNUMBER(K3180),ISNUMBER(L3180),ABS(L3180-(K3180-IF(ISNUMBER(N3180),N3180,0)-IF(ISNUMBER(O3180),O3180,0)+IF(ISNUMBER(P3180),P3180,0)))&lt;=Summary!$B$2),"Passes using beginning_balance - PreV_ETB differs from beginning_balance",IF(AND(ISNUMBER(O3180),O3180&lt;0,ABS(L3180-(Q3180-IF(ISNUMBER(N3180),N3180,0)+IF(ISNUMBER(P3180),P3180,0)))&lt;=Summary!$B$2),"Negative realized loss not applied - check sign",IF(R3180&lt;0,"Principal paid exceeds prior balance",IF(AND(L3180&gt;Q3180,NOT(ISNUMBER(P3180))),"Balance increased but no Deferred_interest reported",IF(L3180&gt;R3180,"Reported balance higher than expected (missing increase/OC build)","Reported balance lower than expected (missing decrease)"))))),""))</f>
        <v/>
      </c>
    </row>
    <row r="3181" customFormat="false" ht="15" hidden="false" customHeight="false" outlineLevel="0" collapsed="false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9"/>
      <c r="L3181" s="9"/>
      <c r="M3181" s="9"/>
      <c r="N3181" s="9"/>
      <c r="O3181" s="9"/>
      <c r="P3181" s="9"/>
      <c r="Q3181" s="9"/>
      <c r="R3181" s="9" t="str">
        <f aca="false">IF(AND(A3181&lt;&gt;"",ISNUMBER(Q3181),ISNUMBER(L3181)),ROUND(Q3181-IF(ISNUMBER(N3181),N3181,0)-IF(ISNUMBER(O3181),O3181,0)+IF(ISNUMBER(P3181),P3181,0),2),"")</f>
        <v/>
      </c>
      <c r="S3181" s="9" t="str">
        <f aca="false">IF(R3181="","",ROUND(L3181-R3181,2))</f>
        <v/>
      </c>
      <c r="T3181" s="8" t="str">
        <f aca="false">IF(A3181="","",IF(S3181="","BYPASS",IF(ABS(S3181)&lt;=Summary!$B$2,"PASS","FAIL")))</f>
        <v/>
      </c>
      <c r="U3181" s="8" t="str">
        <f aca="false">IF(T3181="BYPASS",IF(NOT(ISNUMBER(Q3181)),"PreV_ETB missing","End_tr_balance missing"),IF(T3181="FAIL",IF(AND(ISNUMBER(K3181),ISNUMBER(L3181),ABS(L3181-(K3181-IF(ISNUMBER(N3181),N3181,0)-IF(ISNUMBER(O3181),O3181,0)+IF(ISNUMBER(P3181),P3181,0)))&lt;=Summary!$B$2),"Passes using beginning_balance - PreV_ETB differs from beginning_balance",IF(AND(ISNUMBER(O3181),O3181&lt;0,ABS(L3181-(Q3181-IF(ISNUMBER(N3181),N3181,0)+IF(ISNUMBER(P3181),P3181,0)))&lt;=Summary!$B$2),"Negative realized loss not applied - check sign",IF(R3181&lt;0,"Principal paid exceeds prior balance",IF(AND(L3181&gt;Q3181,NOT(ISNUMBER(P3181))),"Balance increased but no Deferred_interest reported",IF(L3181&gt;R3181,"Reported balance higher than expected (missing increase/OC build)","Reported balance lower than expected (missing decrease)"))))),""))</f>
        <v/>
      </c>
    </row>
    <row r="3182" customFormat="false" ht="15" hidden="false" customHeight="false" outlineLevel="0" collapsed="false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9"/>
      <c r="L3182" s="9"/>
      <c r="M3182" s="9"/>
      <c r="N3182" s="9"/>
      <c r="O3182" s="9"/>
      <c r="P3182" s="9"/>
      <c r="Q3182" s="9"/>
      <c r="R3182" s="9" t="str">
        <f aca="false">IF(AND(A3182&lt;&gt;"",ISNUMBER(Q3182),ISNUMBER(L3182)),ROUND(Q3182-IF(ISNUMBER(N3182),N3182,0)-IF(ISNUMBER(O3182),O3182,0)+IF(ISNUMBER(P3182),P3182,0),2),"")</f>
        <v/>
      </c>
      <c r="S3182" s="9" t="str">
        <f aca="false">IF(R3182="","",ROUND(L3182-R3182,2))</f>
        <v/>
      </c>
      <c r="T3182" s="8" t="str">
        <f aca="false">IF(A3182="","",IF(S3182="","BYPASS",IF(ABS(S3182)&lt;=Summary!$B$2,"PASS","FAIL")))</f>
        <v/>
      </c>
      <c r="U3182" s="8" t="str">
        <f aca="false">IF(T3182="BYPASS",IF(NOT(ISNUMBER(Q3182)),"PreV_ETB missing","End_tr_balance missing"),IF(T3182="FAIL",IF(AND(ISNUMBER(K3182),ISNUMBER(L3182),ABS(L3182-(K3182-IF(ISNUMBER(N3182),N3182,0)-IF(ISNUMBER(O3182),O3182,0)+IF(ISNUMBER(P3182),P3182,0)))&lt;=Summary!$B$2),"Passes using beginning_balance - PreV_ETB differs from beginning_balance",IF(AND(ISNUMBER(O3182),O3182&lt;0,ABS(L3182-(Q3182-IF(ISNUMBER(N3182),N3182,0)+IF(ISNUMBER(P3182),P3182,0)))&lt;=Summary!$B$2),"Negative realized loss not applied - check sign",IF(R3182&lt;0,"Principal paid exceeds prior balance",IF(AND(L3182&gt;Q3182,NOT(ISNUMBER(P3182))),"Balance increased but no Deferred_interest reported",IF(L3182&gt;R3182,"Reported balance higher than expected (missing increase/OC build)","Reported balance lower than expected (missing decrease)"))))),""))</f>
        <v/>
      </c>
    </row>
    <row r="3183" customFormat="false" ht="15" hidden="false" customHeight="false" outlineLevel="0" collapsed="false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9"/>
      <c r="L3183" s="9"/>
      <c r="M3183" s="9"/>
      <c r="N3183" s="9"/>
      <c r="O3183" s="9"/>
      <c r="P3183" s="9"/>
      <c r="Q3183" s="9"/>
      <c r="R3183" s="9" t="str">
        <f aca="false">IF(AND(A3183&lt;&gt;"",ISNUMBER(Q3183),ISNUMBER(L3183)),ROUND(Q3183-IF(ISNUMBER(N3183),N3183,0)-IF(ISNUMBER(O3183),O3183,0)+IF(ISNUMBER(P3183),P3183,0),2),"")</f>
        <v/>
      </c>
      <c r="S3183" s="9" t="str">
        <f aca="false">IF(R3183="","",ROUND(L3183-R3183,2))</f>
        <v/>
      </c>
      <c r="T3183" s="8" t="str">
        <f aca="false">IF(A3183="","",IF(S3183="","BYPASS",IF(ABS(S3183)&lt;=Summary!$B$2,"PASS","FAIL")))</f>
        <v/>
      </c>
      <c r="U3183" s="8" t="str">
        <f aca="false">IF(T3183="BYPASS",IF(NOT(ISNUMBER(Q3183)),"PreV_ETB missing","End_tr_balance missing"),IF(T3183="FAIL",IF(AND(ISNUMBER(K3183),ISNUMBER(L3183),ABS(L3183-(K3183-IF(ISNUMBER(N3183),N3183,0)-IF(ISNUMBER(O3183),O3183,0)+IF(ISNUMBER(P3183),P3183,0)))&lt;=Summary!$B$2),"Passes using beginning_balance - PreV_ETB differs from beginning_balance",IF(AND(ISNUMBER(O3183),O3183&lt;0,ABS(L3183-(Q3183-IF(ISNUMBER(N3183),N3183,0)+IF(ISNUMBER(P3183),P3183,0)))&lt;=Summary!$B$2),"Negative realized loss not applied - check sign",IF(R3183&lt;0,"Principal paid exceeds prior balance",IF(AND(L3183&gt;Q3183,NOT(ISNUMBER(P3183))),"Balance increased but no Deferred_interest reported",IF(L3183&gt;R3183,"Reported balance higher than expected (missing increase/OC build)","Reported balance lower than expected (missing decrease)"))))),""))</f>
        <v/>
      </c>
    </row>
    <row r="3184" customFormat="false" ht="15" hidden="false" customHeight="false" outlineLevel="0" collapsed="false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9"/>
      <c r="L3184" s="9"/>
      <c r="M3184" s="9"/>
      <c r="N3184" s="9"/>
      <c r="O3184" s="9"/>
      <c r="P3184" s="9"/>
      <c r="Q3184" s="9"/>
      <c r="R3184" s="9" t="str">
        <f aca="false">IF(AND(A3184&lt;&gt;"",ISNUMBER(Q3184),ISNUMBER(L3184)),ROUND(Q3184-IF(ISNUMBER(N3184),N3184,0)-IF(ISNUMBER(O3184),O3184,0)+IF(ISNUMBER(P3184),P3184,0),2),"")</f>
        <v/>
      </c>
      <c r="S3184" s="9" t="str">
        <f aca="false">IF(R3184="","",ROUND(L3184-R3184,2))</f>
        <v/>
      </c>
      <c r="T3184" s="8" t="str">
        <f aca="false">IF(A3184="","",IF(S3184="","BYPASS",IF(ABS(S3184)&lt;=Summary!$B$2,"PASS","FAIL")))</f>
        <v/>
      </c>
      <c r="U3184" s="8" t="str">
        <f aca="false">IF(T3184="BYPASS",IF(NOT(ISNUMBER(Q3184)),"PreV_ETB missing","End_tr_balance missing"),IF(T3184="FAIL",IF(AND(ISNUMBER(K3184),ISNUMBER(L3184),ABS(L3184-(K3184-IF(ISNUMBER(N3184),N3184,0)-IF(ISNUMBER(O3184),O3184,0)+IF(ISNUMBER(P3184),P3184,0)))&lt;=Summary!$B$2),"Passes using beginning_balance - PreV_ETB differs from beginning_balance",IF(AND(ISNUMBER(O3184),O3184&lt;0,ABS(L3184-(Q3184-IF(ISNUMBER(N3184),N3184,0)+IF(ISNUMBER(P3184),P3184,0)))&lt;=Summary!$B$2),"Negative realized loss not applied - check sign",IF(R3184&lt;0,"Principal paid exceeds prior balance",IF(AND(L3184&gt;Q3184,NOT(ISNUMBER(P3184))),"Balance increased but no Deferred_interest reported",IF(L3184&gt;R3184,"Reported balance higher than expected (missing increase/OC build)","Reported balance lower than expected (missing decrease)"))))),""))</f>
        <v/>
      </c>
    </row>
    <row r="3185" customFormat="false" ht="15" hidden="false" customHeight="false" outlineLevel="0" collapsed="false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9"/>
      <c r="L3185" s="9"/>
      <c r="M3185" s="9"/>
      <c r="N3185" s="9"/>
      <c r="O3185" s="9"/>
      <c r="P3185" s="9"/>
      <c r="Q3185" s="9"/>
      <c r="R3185" s="9" t="str">
        <f aca="false">IF(AND(A3185&lt;&gt;"",ISNUMBER(Q3185),ISNUMBER(L3185)),ROUND(Q3185-IF(ISNUMBER(N3185),N3185,0)-IF(ISNUMBER(O3185),O3185,0)+IF(ISNUMBER(P3185),P3185,0),2),"")</f>
        <v/>
      </c>
      <c r="S3185" s="9" t="str">
        <f aca="false">IF(R3185="","",ROUND(L3185-R3185,2))</f>
        <v/>
      </c>
      <c r="T3185" s="8" t="str">
        <f aca="false">IF(A3185="","",IF(S3185="","BYPASS",IF(ABS(S3185)&lt;=Summary!$B$2,"PASS","FAIL")))</f>
        <v/>
      </c>
      <c r="U3185" s="8" t="str">
        <f aca="false">IF(T3185="BYPASS",IF(NOT(ISNUMBER(Q3185)),"PreV_ETB missing","End_tr_balance missing"),IF(T3185="FAIL",IF(AND(ISNUMBER(K3185),ISNUMBER(L3185),ABS(L3185-(K3185-IF(ISNUMBER(N3185),N3185,0)-IF(ISNUMBER(O3185),O3185,0)+IF(ISNUMBER(P3185),P3185,0)))&lt;=Summary!$B$2),"Passes using beginning_balance - PreV_ETB differs from beginning_balance",IF(AND(ISNUMBER(O3185),O3185&lt;0,ABS(L3185-(Q3185-IF(ISNUMBER(N3185),N3185,0)+IF(ISNUMBER(P3185),P3185,0)))&lt;=Summary!$B$2),"Negative realized loss not applied - check sign",IF(R3185&lt;0,"Principal paid exceeds prior balance",IF(AND(L3185&gt;Q3185,NOT(ISNUMBER(P3185))),"Balance increased but no Deferred_interest reported",IF(L3185&gt;R3185,"Reported balance higher than expected (missing increase/OC build)","Reported balance lower than expected (missing decrease)"))))),""))</f>
        <v/>
      </c>
    </row>
    <row r="3186" customFormat="false" ht="15" hidden="false" customHeight="false" outlineLevel="0" collapsed="false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9"/>
      <c r="L3186" s="9"/>
      <c r="M3186" s="9"/>
      <c r="N3186" s="9"/>
      <c r="O3186" s="9"/>
      <c r="P3186" s="9"/>
      <c r="Q3186" s="9"/>
      <c r="R3186" s="9" t="str">
        <f aca="false">IF(AND(A3186&lt;&gt;"",ISNUMBER(Q3186),ISNUMBER(L3186)),ROUND(Q3186-IF(ISNUMBER(N3186),N3186,0)-IF(ISNUMBER(O3186),O3186,0)+IF(ISNUMBER(P3186),P3186,0),2),"")</f>
        <v/>
      </c>
      <c r="S3186" s="9" t="str">
        <f aca="false">IF(R3186="","",ROUND(L3186-R3186,2))</f>
        <v/>
      </c>
      <c r="T3186" s="8" t="str">
        <f aca="false">IF(A3186="","",IF(S3186="","BYPASS",IF(ABS(S3186)&lt;=Summary!$B$2,"PASS","FAIL")))</f>
        <v/>
      </c>
      <c r="U3186" s="8" t="str">
        <f aca="false">IF(T3186="BYPASS",IF(NOT(ISNUMBER(Q3186)),"PreV_ETB missing","End_tr_balance missing"),IF(T3186="FAIL",IF(AND(ISNUMBER(K3186),ISNUMBER(L3186),ABS(L3186-(K3186-IF(ISNUMBER(N3186),N3186,0)-IF(ISNUMBER(O3186),O3186,0)+IF(ISNUMBER(P3186),P3186,0)))&lt;=Summary!$B$2),"Passes using beginning_balance - PreV_ETB differs from beginning_balance",IF(AND(ISNUMBER(O3186),O3186&lt;0,ABS(L3186-(Q3186-IF(ISNUMBER(N3186),N3186,0)+IF(ISNUMBER(P3186),P3186,0)))&lt;=Summary!$B$2),"Negative realized loss not applied - check sign",IF(R3186&lt;0,"Principal paid exceeds prior balance",IF(AND(L3186&gt;Q3186,NOT(ISNUMBER(P3186))),"Balance increased but no Deferred_interest reported",IF(L3186&gt;R3186,"Reported balance higher than expected (missing increase/OC build)","Reported balance lower than expected (missing decrease)"))))),""))</f>
        <v/>
      </c>
    </row>
    <row r="3187" customFormat="false" ht="15" hidden="false" customHeight="false" outlineLevel="0" collapsed="false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9"/>
      <c r="L3187" s="9"/>
      <c r="M3187" s="9"/>
      <c r="N3187" s="9"/>
      <c r="O3187" s="9"/>
      <c r="P3187" s="9"/>
      <c r="Q3187" s="9"/>
      <c r="R3187" s="9" t="str">
        <f aca="false">IF(AND(A3187&lt;&gt;"",ISNUMBER(Q3187),ISNUMBER(L3187)),ROUND(Q3187-IF(ISNUMBER(N3187),N3187,0)-IF(ISNUMBER(O3187),O3187,0)+IF(ISNUMBER(P3187),P3187,0),2),"")</f>
        <v/>
      </c>
      <c r="S3187" s="9" t="str">
        <f aca="false">IF(R3187="","",ROUND(L3187-R3187,2))</f>
        <v/>
      </c>
      <c r="T3187" s="8" t="str">
        <f aca="false">IF(A3187="","",IF(S3187="","BYPASS",IF(ABS(S3187)&lt;=Summary!$B$2,"PASS","FAIL")))</f>
        <v/>
      </c>
      <c r="U3187" s="8" t="str">
        <f aca="false">IF(T3187="BYPASS",IF(NOT(ISNUMBER(Q3187)),"PreV_ETB missing","End_tr_balance missing"),IF(T3187="FAIL",IF(AND(ISNUMBER(K3187),ISNUMBER(L3187),ABS(L3187-(K3187-IF(ISNUMBER(N3187),N3187,0)-IF(ISNUMBER(O3187),O3187,0)+IF(ISNUMBER(P3187),P3187,0)))&lt;=Summary!$B$2),"Passes using beginning_balance - PreV_ETB differs from beginning_balance",IF(AND(ISNUMBER(O3187),O3187&lt;0,ABS(L3187-(Q3187-IF(ISNUMBER(N3187),N3187,0)+IF(ISNUMBER(P3187),P3187,0)))&lt;=Summary!$B$2),"Negative realized loss not applied - check sign",IF(R3187&lt;0,"Principal paid exceeds prior balance",IF(AND(L3187&gt;Q3187,NOT(ISNUMBER(P3187))),"Balance increased but no Deferred_interest reported",IF(L3187&gt;R3187,"Reported balance higher than expected (missing increase/OC build)","Reported balance lower than expected (missing decrease)"))))),""))</f>
        <v/>
      </c>
    </row>
    <row r="3188" customFormat="false" ht="15" hidden="false" customHeight="false" outlineLevel="0" collapsed="false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9"/>
      <c r="L3188" s="9"/>
      <c r="M3188" s="9"/>
      <c r="N3188" s="9"/>
      <c r="O3188" s="9"/>
      <c r="P3188" s="9"/>
      <c r="Q3188" s="9"/>
      <c r="R3188" s="9" t="str">
        <f aca="false">IF(AND(A3188&lt;&gt;"",ISNUMBER(Q3188),ISNUMBER(L3188)),ROUND(Q3188-IF(ISNUMBER(N3188),N3188,0)-IF(ISNUMBER(O3188),O3188,0)+IF(ISNUMBER(P3188),P3188,0),2),"")</f>
        <v/>
      </c>
      <c r="S3188" s="9" t="str">
        <f aca="false">IF(R3188="","",ROUND(L3188-R3188,2))</f>
        <v/>
      </c>
      <c r="T3188" s="8" t="str">
        <f aca="false">IF(A3188="","",IF(S3188="","BYPASS",IF(ABS(S3188)&lt;=Summary!$B$2,"PASS","FAIL")))</f>
        <v/>
      </c>
      <c r="U3188" s="8" t="str">
        <f aca="false">IF(T3188="BYPASS",IF(NOT(ISNUMBER(Q3188)),"PreV_ETB missing","End_tr_balance missing"),IF(T3188="FAIL",IF(AND(ISNUMBER(K3188),ISNUMBER(L3188),ABS(L3188-(K3188-IF(ISNUMBER(N3188),N3188,0)-IF(ISNUMBER(O3188),O3188,0)+IF(ISNUMBER(P3188),P3188,0)))&lt;=Summary!$B$2),"Passes using beginning_balance - PreV_ETB differs from beginning_balance",IF(AND(ISNUMBER(O3188),O3188&lt;0,ABS(L3188-(Q3188-IF(ISNUMBER(N3188),N3188,0)+IF(ISNUMBER(P3188),P3188,0)))&lt;=Summary!$B$2),"Negative realized loss not applied - check sign",IF(R3188&lt;0,"Principal paid exceeds prior balance",IF(AND(L3188&gt;Q3188,NOT(ISNUMBER(P3188))),"Balance increased but no Deferred_interest reported",IF(L3188&gt;R3188,"Reported balance higher than expected (missing increase/OC build)","Reported balance lower than expected (missing decrease)"))))),""))</f>
        <v/>
      </c>
    </row>
    <row r="3189" customFormat="false" ht="15" hidden="false" customHeight="false" outlineLevel="0" collapsed="false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9"/>
      <c r="L3189" s="9"/>
      <c r="M3189" s="9"/>
      <c r="N3189" s="9"/>
      <c r="O3189" s="9"/>
      <c r="P3189" s="9"/>
      <c r="Q3189" s="9"/>
      <c r="R3189" s="9" t="str">
        <f aca="false">IF(AND(A3189&lt;&gt;"",ISNUMBER(Q3189),ISNUMBER(L3189)),ROUND(Q3189-IF(ISNUMBER(N3189),N3189,0)-IF(ISNUMBER(O3189),O3189,0)+IF(ISNUMBER(P3189),P3189,0),2),"")</f>
        <v/>
      </c>
      <c r="S3189" s="9" t="str">
        <f aca="false">IF(R3189="","",ROUND(L3189-R3189,2))</f>
        <v/>
      </c>
      <c r="T3189" s="8" t="str">
        <f aca="false">IF(A3189="","",IF(S3189="","BYPASS",IF(ABS(S3189)&lt;=Summary!$B$2,"PASS","FAIL")))</f>
        <v/>
      </c>
      <c r="U3189" s="8" t="str">
        <f aca="false">IF(T3189="BYPASS",IF(NOT(ISNUMBER(Q3189)),"PreV_ETB missing","End_tr_balance missing"),IF(T3189="FAIL",IF(AND(ISNUMBER(K3189),ISNUMBER(L3189),ABS(L3189-(K3189-IF(ISNUMBER(N3189),N3189,0)-IF(ISNUMBER(O3189),O3189,0)+IF(ISNUMBER(P3189),P3189,0)))&lt;=Summary!$B$2),"Passes using beginning_balance - PreV_ETB differs from beginning_balance",IF(AND(ISNUMBER(O3189),O3189&lt;0,ABS(L3189-(Q3189-IF(ISNUMBER(N3189),N3189,0)+IF(ISNUMBER(P3189),P3189,0)))&lt;=Summary!$B$2),"Negative realized loss not applied - check sign",IF(R3189&lt;0,"Principal paid exceeds prior balance",IF(AND(L3189&gt;Q3189,NOT(ISNUMBER(P3189))),"Balance increased but no Deferred_interest reported",IF(L3189&gt;R3189,"Reported balance higher than expected (missing increase/OC build)","Reported balance lower than expected (missing decrease)"))))),""))</f>
        <v/>
      </c>
    </row>
    <row r="3190" customFormat="false" ht="15" hidden="false" customHeight="false" outlineLevel="0" collapsed="false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9"/>
      <c r="L3190" s="9"/>
      <c r="M3190" s="9"/>
      <c r="N3190" s="9"/>
      <c r="O3190" s="9"/>
      <c r="P3190" s="9"/>
      <c r="Q3190" s="9"/>
      <c r="R3190" s="9" t="str">
        <f aca="false">IF(AND(A3190&lt;&gt;"",ISNUMBER(Q3190),ISNUMBER(L3190)),ROUND(Q3190-IF(ISNUMBER(N3190),N3190,0)-IF(ISNUMBER(O3190),O3190,0)+IF(ISNUMBER(P3190),P3190,0),2),"")</f>
        <v/>
      </c>
      <c r="S3190" s="9" t="str">
        <f aca="false">IF(R3190="","",ROUND(L3190-R3190,2))</f>
        <v/>
      </c>
      <c r="T3190" s="8" t="str">
        <f aca="false">IF(A3190="","",IF(S3190="","BYPASS",IF(ABS(S3190)&lt;=Summary!$B$2,"PASS","FAIL")))</f>
        <v/>
      </c>
      <c r="U3190" s="8" t="str">
        <f aca="false">IF(T3190="BYPASS",IF(NOT(ISNUMBER(Q3190)),"PreV_ETB missing","End_tr_balance missing"),IF(T3190="FAIL",IF(AND(ISNUMBER(K3190),ISNUMBER(L3190),ABS(L3190-(K3190-IF(ISNUMBER(N3190),N3190,0)-IF(ISNUMBER(O3190),O3190,0)+IF(ISNUMBER(P3190),P3190,0)))&lt;=Summary!$B$2),"Passes using beginning_balance - PreV_ETB differs from beginning_balance",IF(AND(ISNUMBER(O3190),O3190&lt;0,ABS(L3190-(Q3190-IF(ISNUMBER(N3190),N3190,0)+IF(ISNUMBER(P3190),P3190,0)))&lt;=Summary!$B$2),"Negative realized loss not applied - check sign",IF(R3190&lt;0,"Principal paid exceeds prior balance",IF(AND(L3190&gt;Q3190,NOT(ISNUMBER(P3190))),"Balance increased but no Deferred_interest reported",IF(L3190&gt;R3190,"Reported balance higher than expected (missing increase/OC build)","Reported balance lower than expected (missing decrease)"))))),""))</f>
        <v/>
      </c>
    </row>
    <row r="3191" customFormat="false" ht="15" hidden="false" customHeight="false" outlineLevel="0" collapsed="false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9"/>
      <c r="L3191" s="9"/>
      <c r="M3191" s="9"/>
      <c r="N3191" s="9"/>
      <c r="O3191" s="9"/>
      <c r="P3191" s="9"/>
      <c r="Q3191" s="9"/>
      <c r="R3191" s="9" t="str">
        <f aca="false">IF(AND(A3191&lt;&gt;"",ISNUMBER(Q3191),ISNUMBER(L3191)),ROUND(Q3191-IF(ISNUMBER(N3191),N3191,0)-IF(ISNUMBER(O3191),O3191,0)+IF(ISNUMBER(P3191),P3191,0),2),"")</f>
        <v/>
      </c>
      <c r="S3191" s="9" t="str">
        <f aca="false">IF(R3191="","",ROUND(L3191-R3191,2))</f>
        <v/>
      </c>
      <c r="T3191" s="8" t="str">
        <f aca="false">IF(A3191="","",IF(S3191="","BYPASS",IF(ABS(S3191)&lt;=Summary!$B$2,"PASS","FAIL")))</f>
        <v/>
      </c>
      <c r="U3191" s="8" t="str">
        <f aca="false">IF(T3191="BYPASS",IF(NOT(ISNUMBER(Q3191)),"PreV_ETB missing","End_tr_balance missing"),IF(T3191="FAIL",IF(AND(ISNUMBER(K3191),ISNUMBER(L3191),ABS(L3191-(K3191-IF(ISNUMBER(N3191),N3191,0)-IF(ISNUMBER(O3191),O3191,0)+IF(ISNUMBER(P3191),P3191,0)))&lt;=Summary!$B$2),"Passes using beginning_balance - PreV_ETB differs from beginning_balance",IF(AND(ISNUMBER(O3191),O3191&lt;0,ABS(L3191-(Q3191-IF(ISNUMBER(N3191),N3191,0)+IF(ISNUMBER(P3191),P3191,0)))&lt;=Summary!$B$2),"Negative realized loss not applied - check sign",IF(R3191&lt;0,"Principal paid exceeds prior balance",IF(AND(L3191&gt;Q3191,NOT(ISNUMBER(P3191))),"Balance increased but no Deferred_interest reported",IF(L3191&gt;R3191,"Reported balance higher than expected (missing increase/OC build)","Reported balance lower than expected (missing decrease)"))))),""))</f>
        <v/>
      </c>
    </row>
    <row r="3192" customFormat="false" ht="15" hidden="false" customHeight="false" outlineLevel="0" collapsed="false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9"/>
      <c r="L3192" s="9"/>
      <c r="M3192" s="9"/>
      <c r="N3192" s="9"/>
      <c r="O3192" s="9"/>
      <c r="P3192" s="9"/>
      <c r="Q3192" s="9"/>
      <c r="R3192" s="9" t="str">
        <f aca="false">IF(AND(A3192&lt;&gt;"",ISNUMBER(Q3192),ISNUMBER(L3192)),ROUND(Q3192-IF(ISNUMBER(N3192),N3192,0)-IF(ISNUMBER(O3192),O3192,0)+IF(ISNUMBER(P3192),P3192,0),2),"")</f>
        <v/>
      </c>
      <c r="S3192" s="9" t="str">
        <f aca="false">IF(R3192="","",ROUND(L3192-R3192,2))</f>
        <v/>
      </c>
      <c r="T3192" s="8" t="str">
        <f aca="false">IF(A3192="","",IF(S3192="","BYPASS",IF(ABS(S3192)&lt;=Summary!$B$2,"PASS","FAIL")))</f>
        <v/>
      </c>
      <c r="U3192" s="8" t="str">
        <f aca="false">IF(T3192="BYPASS",IF(NOT(ISNUMBER(Q3192)),"PreV_ETB missing","End_tr_balance missing"),IF(T3192="FAIL",IF(AND(ISNUMBER(K3192),ISNUMBER(L3192),ABS(L3192-(K3192-IF(ISNUMBER(N3192),N3192,0)-IF(ISNUMBER(O3192),O3192,0)+IF(ISNUMBER(P3192),P3192,0)))&lt;=Summary!$B$2),"Passes using beginning_balance - PreV_ETB differs from beginning_balance",IF(AND(ISNUMBER(O3192),O3192&lt;0,ABS(L3192-(Q3192-IF(ISNUMBER(N3192),N3192,0)+IF(ISNUMBER(P3192),P3192,0)))&lt;=Summary!$B$2),"Negative realized loss not applied - check sign",IF(R3192&lt;0,"Principal paid exceeds prior balance",IF(AND(L3192&gt;Q3192,NOT(ISNUMBER(P3192))),"Balance increased but no Deferred_interest reported",IF(L3192&gt;R3192,"Reported balance higher than expected (missing increase/OC build)","Reported balance lower than expected (missing decrease)"))))),""))</f>
        <v/>
      </c>
    </row>
    <row r="3193" customFormat="false" ht="15" hidden="false" customHeight="false" outlineLevel="0" collapsed="false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9"/>
      <c r="L3193" s="9"/>
      <c r="M3193" s="9"/>
      <c r="N3193" s="9"/>
      <c r="O3193" s="9"/>
      <c r="P3193" s="9"/>
      <c r="Q3193" s="9"/>
      <c r="R3193" s="9" t="str">
        <f aca="false">IF(AND(A3193&lt;&gt;"",ISNUMBER(Q3193),ISNUMBER(L3193)),ROUND(Q3193-IF(ISNUMBER(N3193),N3193,0)-IF(ISNUMBER(O3193),O3193,0)+IF(ISNUMBER(P3193),P3193,0),2),"")</f>
        <v/>
      </c>
      <c r="S3193" s="9" t="str">
        <f aca="false">IF(R3193="","",ROUND(L3193-R3193,2))</f>
        <v/>
      </c>
      <c r="T3193" s="8" t="str">
        <f aca="false">IF(A3193="","",IF(S3193="","BYPASS",IF(ABS(S3193)&lt;=Summary!$B$2,"PASS","FAIL")))</f>
        <v/>
      </c>
      <c r="U3193" s="8" t="str">
        <f aca="false">IF(T3193="BYPASS",IF(NOT(ISNUMBER(Q3193)),"PreV_ETB missing","End_tr_balance missing"),IF(T3193="FAIL",IF(AND(ISNUMBER(K3193),ISNUMBER(L3193),ABS(L3193-(K3193-IF(ISNUMBER(N3193),N3193,0)-IF(ISNUMBER(O3193),O3193,0)+IF(ISNUMBER(P3193),P3193,0)))&lt;=Summary!$B$2),"Passes using beginning_balance - PreV_ETB differs from beginning_balance",IF(AND(ISNUMBER(O3193),O3193&lt;0,ABS(L3193-(Q3193-IF(ISNUMBER(N3193),N3193,0)+IF(ISNUMBER(P3193),P3193,0)))&lt;=Summary!$B$2),"Negative realized loss not applied - check sign",IF(R3193&lt;0,"Principal paid exceeds prior balance",IF(AND(L3193&gt;Q3193,NOT(ISNUMBER(P3193))),"Balance increased but no Deferred_interest reported",IF(L3193&gt;R3193,"Reported balance higher than expected (missing increase/OC build)","Reported balance lower than expected (missing decrease)"))))),""))</f>
        <v/>
      </c>
    </row>
    <row r="3194" customFormat="false" ht="15" hidden="false" customHeight="false" outlineLevel="0" collapsed="false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9"/>
      <c r="L3194" s="9"/>
      <c r="M3194" s="9"/>
      <c r="N3194" s="9"/>
      <c r="O3194" s="9"/>
      <c r="P3194" s="9"/>
      <c r="Q3194" s="9"/>
      <c r="R3194" s="9" t="str">
        <f aca="false">IF(AND(A3194&lt;&gt;"",ISNUMBER(Q3194),ISNUMBER(L3194)),ROUND(Q3194-IF(ISNUMBER(N3194),N3194,0)-IF(ISNUMBER(O3194),O3194,0)+IF(ISNUMBER(P3194),P3194,0),2),"")</f>
        <v/>
      </c>
      <c r="S3194" s="9" t="str">
        <f aca="false">IF(R3194="","",ROUND(L3194-R3194,2))</f>
        <v/>
      </c>
      <c r="T3194" s="8" t="str">
        <f aca="false">IF(A3194="","",IF(S3194="","BYPASS",IF(ABS(S3194)&lt;=Summary!$B$2,"PASS","FAIL")))</f>
        <v/>
      </c>
      <c r="U3194" s="8" t="str">
        <f aca="false">IF(T3194="BYPASS",IF(NOT(ISNUMBER(Q3194)),"PreV_ETB missing","End_tr_balance missing"),IF(T3194="FAIL",IF(AND(ISNUMBER(K3194),ISNUMBER(L3194),ABS(L3194-(K3194-IF(ISNUMBER(N3194),N3194,0)-IF(ISNUMBER(O3194),O3194,0)+IF(ISNUMBER(P3194),P3194,0)))&lt;=Summary!$B$2),"Passes using beginning_balance - PreV_ETB differs from beginning_balance",IF(AND(ISNUMBER(O3194),O3194&lt;0,ABS(L3194-(Q3194-IF(ISNUMBER(N3194),N3194,0)+IF(ISNUMBER(P3194),P3194,0)))&lt;=Summary!$B$2),"Negative realized loss not applied - check sign",IF(R3194&lt;0,"Principal paid exceeds prior balance",IF(AND(L3194&gt;Q3194,NOT(ISNUMBER(P3194))),"Balance increased but no Deferred_interest reported",IF(L3194&gt;R3194,"Reported balance higher than expected (missing increase/OC build)","Reported balance lower than expected (missing decrease)"))))),""))</f>
        <v/>
      </c>
    </row>
    <row r="3195" customFormat="false" ht="15" hidden="false" customHeight="false" outlineLevel="0" collapsed="false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9"/>
      <c r="L3195" s="9"/>
      <c r="M3195" s="9"/>
      <c r="N3195" s="9"/>
      <c r="O3195" s="9"/>
      <c r="P3195" s="9"/>
      <c r="Q3195" s="9"/>
      <c r="R3195" s="9" t="str">
        <f aca="false">IF(AND(A3195&lt;&gt;"",ISNUMBER(Q3195),ISNUMBER(L3195)),ROUND(Q3195-IF(ISNUMBER(N3195),N3195,0)-IF(ISNUMBER(O3195),O3195,0)+IF(ISNUMBER(P3195),P3195,0),2),"")</f>
        <v/>
      </c>
      <c r="S3195" s="9" t="str">
        <f aca="false">IF(R3195="","",ROUND(L3195-R3195,2))</f>
        <v/>
      </c>
      <c r="T3195" s="8" t="str">
        <f aca="false">IF(A3195="","",IF(S3195="","BYPASS",IF(ABS(S3195)&lt;=Summary!$B$2,"PASS","FAIL")))</f>
        <v/>
      </c>
      <c r="U3195" s="8" t="str">
        <f aca="false">IF(T3195="BYPASS",IF(NOT(ISNUMBER(Q3195)),"PreV_ETB missing","End_tr_balance missing"),IF(T3195="FAIL",IF(AND(ISNUMBER(K3195),ISNUMBER(L3195),ABS(L3195-(K3195-IF(ISNUMBER(N3195),N3195,0)-IF(ISNUMBER(O3195),O3195,0)+IF(ISNUMBER(P3195),P3195,0)))&lt;=Summary!$B$2),"Passes using beginning_balance - PreV_ETB differs from beginning_balance",IF(AND(ISNUMBER(O3195),O3195&lt;0,ABS(L3195-(Q3195-IF(ISNUMBER(N3195),N3195,0)+IF(ISNUMBER(P3195),P3195,0)))&lt;=Summary!$B$2),"Negative realized loss not applied - check sign",IF(R3195&lt;0,"Principal paid exceeds prior balance",IF(AND(L3195&gt;Q3195,NOT(ISNUMBER(P3195))),"Balance increased but no Deferred_interest reported",IF(L3195&gt;R3195,"Reported balance higher than expected (missing increase/OC build)","Reported balance lower than expected (missing decrease)"))))),""))</f>
        <v/>
      </c>
    </row>
    <row r="3196" customFormat="false" ht="15" hidden="false" customHeight="false" outlineLevel="0" collapsed="false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9"/>
      <c r="L3196" s="9"/>
      <c r="M3196" s="9"/>
      <c r="N3196" s="9"/>
      <c r="O3196" s="9"/>
      <c r="P3196" s="9"/>
      <c r="Q3196" s="9"/>
      <c r="R3196" s="9" t="str">
        <f aca="false">IF(AND(A3196&lt;&gt;"",ISNUMBER(Q3196),ISNUMBER(L3196)),ROUND(Q3196-IF(ISNUMBER(N3196),N3196,0)-IF(ISNUMBER(O3196),O3196,0)+IF(ISNUMBER(P3196),P3196,0),2),"")</f>
        <v/>
      </c>
      <c r="S3196" s="9" t="str">
        <f aca="false">IF(R3196="","",ROUND(L3196-R3196,2))</f>
        <v/>
      </c>
      <c r="T3196" s="8" t="str">
        <f aca="false">IF(A3196="","",IF(S3196="","BYPASS",IF(ABS(S3196)&lt;=Summary!$B$2,"PASS","FAIL")))</f>
        <v/>
      </c>
      <c r="U3196" s="8" t="str">
        <f aca="false">IF(T3196="BYPASS",IF(NOT(ISNUMBER(Q3196)),"PreV_ETB missing","End_tr_balance missing"),IF(T3196="FAIL",IF(AND(ISNUMBER(K3196),ISNUMBER(L3196),ABS(L3196-(K3196-IF(ISNUMBER(N3196),N3196,0)-IF(ISNUMBER(O3196),O3196,0)+IF(ISNUMBER(P3196),P3196,0)))&lt;=Summary!$B$2),"Passes using beginning_balance - PreV_ETB differs from beginning_balance",IF(AND(ISNUMBER(O3196),O3196&lt;0,ABS(L3196-(Q3196-IF(ISNUMBER(N3196),N3196,0)+IF(ISNUMBER(P3196),P3196,0)))&lt;=Summary!$B$2),"Negative realized loss not applied - check sign",IF(R3196&lt;0,"Principal paid exceeds prior balance",IF(AND(L3196&gt;Q3196,NOT(ISNUMBER(P3196))),"Balance increased but no Deferred_interest reported",IF(L3196&gt;R3196,"Reported balance higher than expected (missing increase/OC build)","Reported balance lower than expected (missing decrease)"))))),""))</f>
        <v/>
      </c>
    </row>
    <row r="3197" customFormat="false" ht="15" hidden="false" customHeight="false" outlineLevel="0" collapsed="false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9"/>
      <c r="L3197" s="9"/>
      <c r="M3197" s="9"/>
      <c r="N3197" s="9"/>
      <c r="O3197" s="9"/>
      <c r="P3197" s="9"/>
      <c r="Q3197" s="9"/>
      <c r="R3197" s="9" t="str">
        <f aca="false">IF(AND(A3197&lt;&gt;"",ISNUMBER(Q3197),ISNUMBER(L3197)),ROUND(Q3197-IF(ISNUMBER(N3197),N3197,0)-IF(ISNUMBER(O3197),O3197,0)+IF(ISNUMBER(P3197),P3197,0),2),"")</f>
        <v/>
      </c>
      <c r="S3197" s="9" t="str">
        <f aca="false">IF(R3197="","",ROUND(L3197-R3197,2))</f>
        <v/>
      </c>
      <c r="T3197" s="8" t="str">
        <f aca="false">IF(A3197="","",IF(S3197="","BYPASS",IF(ABS(S3197)&lt;=Summary!$B$2,"PASS","FAIL")))</f>
        <v/>
      </c>
      <c r="U3197" s="8" t="str">
        <f aca="false">IF(T3197="BYPASS",IF(NOT(ISNUMBER(Q3197)),"PreV_ETB missing","End_tr_balance missing"),IF(T3197="FAIL",IF(AND(ISNUMBER(K3197),ISNUMBER(L3197),ABS(L3197-(K3197-IF(ISNUMBER(N3197),N3197,0)-IF(ISNUMBER(O3197),O3197,0)+IF(ISNUMBER(P3197),P3197,0)))&lt;=Summary!$B$2),"Passes using beginning_balance - PreV_ETB differs from beginning_balance",IF(AND(ISNUMBER(O3197),O3197&lt;0,ABS(L3197-(Q3197-IF(ISNUMBER(N3197),N3197,0)+IF(ISNUMBER(P3197),P3197,0)))&lt;=Summary!$B$2),"Negative realized loss not applied - check sign",IF(R3197&lt;0,"Principal paid exceeds prior balance",IF(AND(L3197&gt;Q3197,NOT(ISNUMBER(P3197))),"Balance increased but no Deferred_interest reported",IF(L3197&gt;R3197,"Reported balance higher than expected (missing increase/OC build)","Reported balance lower than expected (missing decrease)"))))),""))</f>
        <v/>
      </c>
    </row>
    <row r="3198" customFormat="false" ht="15" hidden="false" customHeight="false" outlineLevel="0" collapsed="false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9"/>
      <c r="L3198" s="9"/>
      <c r="M3198" s="9"/>
      <c r="N3198" s="9"/>
      <c r="O3198" s="9"/>
      <c r="P3198" s="9"/>
      <c r="Q3198" s="9"/>
      <c r="R3198" s="9" t="str">
        <f aca="false">IF(AND(A3198&lt;&gt;"",ISNUMBER(Q3198),ISNUMBER(L3198)),ROUND(Q3198-IF(ISNUMBER(N3198),N3198,0)-IF(ISNUMBER(O3198),O3198,0)+IF(ISNUMBER(P3198),P3198,0),2),"")</f>
        <v/>
      </c>
      <c r="S3198" s="9" t="str">
        <f aca="false">IF(R3198="","",ROUND(L3198-R3198,2))</f>
        <v/>
      </c>
      <c r="T3198" s="8" t="str">
        <f aca="false">IF(A3198="","",IF(S3198="","BYPASS",IF(ABS(S3198)&lt;=Summary!$B$2,"PASS","FAIL")))</f>
        <v/>
      </c>
      <c r="U3198" s="8" t="str">
        <f aca="false">IF(T3198="BYPASS",IF(NOT(ISNUMBER(Q3198)),"PreV_ETB missing","End_tr_balance missing"),IF(T3198="FAIL",IF(AND(ISNUMBER(K3198),ISNUMBER(L3198),ABS(L3198-(K3198-IF(ISNUMBER(N3198),N3198,0)-IF(ISNUMBER(O3198),O3198,0)+IF(ISNUMBER(P3198),P3198,0)))&lt;=Summary!$B$2),"Passes using beginning_balance - PreV_ETB differs from beginning_balance",IF(AND(ISNUMBER(O3198),O3198&lt;0,ABS(L3198-(Q3198-IF(ISNUMBER(N3198),N3198,0)+IF(ISNUMBER(P3198),P3198,0)))&lt;=Summary!$B$2),"Negative realized loss not applied - check sign",IF(R3198&lt;0,"Principal paid exceeds prior balance",IF(AND(L3198&gt;Q3198,NOT(ISNUMBER(P3198))),"Balance increased but no Deferred_interest reported",IF(L3198&gt;R3198,"Reported balance higher than expected (missing increase/OC build)","Reported balance lower than expected (missing decrease)"))))),""))</f>
        <v/>
      </c>
    </row>
    <row r="3199" customFormat="false" ht="15" hidden="false" customHeight="false" outlineLevel="0" collapsed="false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9"/>
      <c r="L3199" s="9"/>
      <c r="M3199" s="9"/>
      <c r="N3199" s="9"/>
      <c r="O3199" s="9"/>
      <c r="P3199" s="9"/>
      <c r="Q3199" s="9"/>
      <c r="R3199" s="9" t="str">
        <f aca="false">IF(AND(A3199&lt;&gt;"",ISNUMBER(Q3199),ISNUMBER(L3199)),ROUND(Q3199-IF(ISNUMBER(N3199),N3199,0)-IF(ISNUMBER(O3199),O3199,0)+IF(ISNUMBER(P3199),P3199,0),2),"")</f>
        <v/>
      </c>
      <c r="S3199" s="9" t="str">
        <f aca="false">IF(R3199="","",ROUND(L3199-R3199,2))</f>
        <v/>
      </c>
      <c r="T3199" s="8" t="str">
        <f aca="false">IF(A3199="","",IF(S3199="","BYPASS",IF(ABS(S3199)&lt;=Summary!$B$2,"PASS","FAIL")))</f>
        <v/>
      </c>
      <c r="U3199" s="8" t="str">
        <f aca="false">IF(T3199="BYPASS",IF(NOT(ISNUMBER(Q3199)),"PreV_ETB missing","End_tr_balance missing"),IF(T3199="FAIL",IF(AND(ISNUMBER(K3199),ISNUMBER(L3199),ABS(L3199-(K3199-IF(ISNUMBER(N3199),N3199,0)-IF(ISNUMBER(O3199),O3199,0)+IF(ISNUMBER(P3199),P3199,0)))&lt;=Summary!$B$2),"Passes using beginning_balance - PreV_ETB differs from beginning_balance",IF(AND(ISNUMBER(O3199),O3199&lt;0,ABS(L3199-(Q3199-IF(ISNUMBER(N3199),N3199,0)+IF(ISNUMBER(P3199),P3199,0)))&lt;=Summary!$B$2),"Negative realized loss not applied - check sign",IF(R3199&lt;0,"Principal paid exceeds prior balance",IF(AND(L3199&gt;Q3199,NOT(ISNUMBER(P3199))),"Balance increased but no Deferred_interest reported",IF(L3199&gt;R3199,"Reported balance higher than expected (missing increase/OC build)","Reported balance lower than expected (missing decrease)"))))),""))</f>
        <v/>
      </c>
    </row>
    <row r="3200" customFormat="false" ht="15" hidden="false" customHeight="false" outlineLevel="0" collapsed="false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9"/>
      <c r="L3200" s="9"/>
      <c r="M3200" s="9"/>
      <c r="N3200" s="9"/>
      <c r="O3200" s="9"/>
      <c r="P3200" s="9"/>
      <c r="Q3200" s="9"/>
      <c r="R3200" s="9" t="str">
        <f aca="false">IF(AND(A3200&lt;&gt;"",ISNUMBER(Q3200),ISNUMBER(L3200)),ROUND(Q3200-IF(ISNUMBER(N3200),N3200,0)-IF(ISNUMBER(O3200),O3200,0)+IF(ISNUMBER(P3200),P3200,0),2),"")</f>
        <v/>
      </c>
      <c r="S3200" s="9" t="str">
        <f aca="false">IF(R3200="","",ROUND(L3200-R3200,2))</f>
        <v/>
      </c>
      <c r="T3200" s="8" t="str">
        <f aca="false">IF(A3200="","",IF(S3200="","BYPASS",IF(ABS(S3200)&lt;=Summary!$B$2,"PASS","FAIL")))</f>
        <v/>
      </c>
      <c r="U3200" s="8" t="str">
        <f aca="false">IF(T3200="BYPASS",IF(NOT(ISNUMBER(Q3200)),"PreV_ETB missing","End_tr_balance missing"),IF(T3200="FAIL",IF(AND(ISNUMBER(K3200),ISNUMBER(L3200),ABS(L3200-(K3200-IF(ISNUMBER(N3200),N3200,0)-IF(ISNUMBER(O3200),O3200,0)+IF(ISNUMBER(P3200),P3200,0)))&lt;=Summary!$B$2),"Passes using beginning_balance - PreV_ETB differs from beginning_balance",IF(AND(ISNUMBER(O3200),O3200&lt;0,ABS(L3200-(Q3200-IF(ISNUMBER(N3200),N3200,0)+IF(ISNUMBER(P3200),P3200,0)))&lt;=Summary!$B$2),"Negative realized loss not applied - check sign",IF(R3200&lt;0,"Principal paid exceeds prior balance",IF(AND(L3200&gt;Q3200,NOT(ISNUMBER(P3200))),"Balance increased but no Deferred_interest reported",IF(L3200&gt;R3200,"Reported balance higher than expected (missing increase/OC build)","Reported balance lower than expected (missing decrease)"))))),""))</f>
        <v/>
      </c>
    </row>
    <row r="3201" customFormat="false" ht="15" hidden="false" customHeight="false" outlineLevel="0" collapsed="false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9"/>
      <c r="L3201" s="9"/>
      <c r="M3201" s="9"/>
      <c r="N3201" s="9"/>
      <c r="O3201" s="9"/>
      <c r="P3201" s="9"/>
      <c r="Q3201" s="9"/>
      <c r="R3201" s="9" t="str">
        <f aca="false">IF(AND(A3201&lt;&gt;"",ISNUMBER(Q3201),ISNUMBER(L3201)),ROUND(Q3201-IF(ISNUMBER(N3201),N3201,0)-IF(ISNUMBER(O3201),O3201,0)+IF(ISNUMBER(P3201),P3201,0),2),"")</f>
        <v/>
      </c>
      <c r="S3201" s="9" t="str">
        <f aca="false">IF(R3201="","",ROUND(L3201-R3201,2))</f>
        <v/>
      </c>
      <c r="T3201" s="8" t="str">
        <f aca="false">IF(A3201="","",IF(S3201="","BYPASS",IF(ABS(S3201)&lt;=Summary!$B$2,"PASS","FAIL")))</f>
        <v/>
      </c>
      <c r="U3201" s="8" t="str">
        <f aca="false">IF(T3201="BYPASS",IF(NOT(ISNUMBER(Q3201)),"PreV_ETB missing","End_tr_balance missing"),IF(T3201="FAIL",IF(AND(ISNUMBER(K3201),ISNUMBER(L3201),ABS(L3201-(K3201-IF(ISNUMBER(N3201),N3201,0)-IF(ISNUMBER(O3201),O3201,0)+IF(ISNUMBER(P3201),P3201,0)))&lt;=Summary!$B$2),"Passes using beginning_balance - PreV_ETB differs from beginning_balance",IF(AND(ISNUMBER(O3201),O3201&lt;0,ABS(L3201-(Q3201-IF(ISNUMBER(N3201),N3201,0)+IF(ISNUMBER(P3201),P3201,0)))&lt;=Summary!$B$2),"Negative realized loss not applied - check sign",IF(R3201&lt;0,"Principal paid exceeds prior balance",IF(AND(L3201&gt;Q3201,NOT(ISNUMBER(P3201))),"Balance increased but no Deferred_interest reported",IF(L3201&gt;R3201,"Reported balance higher than expected (missing increase/OC build)","Reported balance lower than expected (missing decrease)"))))),""))</f>
        <v/>
      </c>
    </row>
    <row r="3202" customFormat="false" ht="15" hidden="false" customHeight="false" outlineLevel="0" collapsed="false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9"/>
      <c r="L3202" s="9"/>
      <c r="M3202" s="9"/>
      <c r="N3202" s="9"/>
      <c r="O3202" s="9"/>
      <c r="P3202" s="9"/>
      <c r="Q3202" s="9"/>
      <c r="R3202" s="9" t="str">
        <f aca="false">IF(AND(A3202&lt;&gt;"",ISNUMBER(Q3202),ISNUMBER(L3202)),ROUND(Q3202-IF(ISNUMBER(N3202),N3202,0)-IF(ISNUMBER(O3202),O3202,0)+IF(ISNUMBER(P3202),P3202,0),2),"")</f>
        <v/>
      </c>
      <c r="S3202" s="9" t="str">
        <f aca="false">IF(R3202="","",ROUND(L3202-R3202,2))</f>
        <v/>
      </c>
      <c r="T3202" s="8" t="str">
        <f aca="false">IF(A3202="","",IF(S3202="","BYPASS",IF(ABS(S3202)&lt;=Summary!$B$2,"PASS","FAIL")))</f>
        <v/>
      </c>
      <c r="U3202" s="8" t="str">
        <f aca="false">IF(T3202="BYPASS",IF(NOT(ISNUMBER(Q3202)),"PreV_ETB missing","End_tr_balance missing"),IF(T3202="FAIL",IF(AND(ISNUMBER(K3202),ISNUMBER(L3202),ABS(L3202-(K3202-IF(ISNUMBER(N3202),N3202,0)-IF(ISNUMBER(O3202),O3202,0)+IF(ISNUMBER(P3202),P3202,0)))&lt;=Summary!$B$2),"Passes using beginning_balance - PreV_ETB differs from beginning_balance",IF(AND(ISNUMBER(O3202),O3202&lt;0,ABS(L3202-(Q3202-IF(ISNUMBER(N3202),N3202,0)+IF(ISNUMBER(P3202),P3202,0)))&lt;=Summary!$B$2),"Negative realized loss not applied - check sign",IF(R3202&lt;0,"Principal paid exceeds prior balance",IF(AND(L3202&gt;Q3202,NOT(ISNUMBER(P3202))),"Balance increased but no Deferred_interest reported",IF(L3202&gt;R3202,"Reported balance higher than expected (missing increase/OC build)","Reported balance lower than expected (missing decrease)"))))),""))</f>
        <v/>
      </c>
    </row>
    <row r="3203" customFormat="false" ht="15" hidden="false" customHeight="false" outlineLevel="0" collapsed="false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9"/>
      <c r="L3203" s="9"/>
      <c r="M3203" s="9"/>
      <c r="N3203" s="9"/>
      <c r="O3203" s="9"/>
      <c r="P3203" s="9"/>
      <c r="Q3203" s="9"/>
      <c r="R3203" s="9" t="str">
        <f aca="false">IF(AND(A3203&lt;&gt;"",ISNUMBER(Q3203),ISNUMBER(L3203)),ROUND(Q3203-IF(ISNUMBER(N3203),N3203,0)-IF(ISNUMBER(O3203),O3203,0)+IF(ISNUMBER(P3203),P3203,0),2),"")</f>
        <v/>
      </c>
      <c r="S3203" s="9" t="str">
        <f aca="false">IF(R3203="","",ROUND(L3203-R3203,2))</f>
        <v/>
      </c>
      <c r="T3203" s="8" t="str">
        <f aca="false">IF(A3203="","",IF(S3203="","BYPASS",IF(ABS(S3203)&lt;=Summary!$B$2,"PASS","FAIL")))</f>
        <v/>
      </c>
      <c r="U3203" s="8" t="str">
        <f aca="false">IF(T3203="BYPASS",IF(NOT(ISNUMBER(Q3203)),"PreV_ETB missing","End_tr_balance missing"),IF(T3203="FAIL",IF(AND(ISNUMBER(K3203),ISNUMBER(L3203),ABS(L3203-(K3203-IF(ISNUMBER(N3203),N3203,0)-IF(ISNUMBER(O3203),O3203,0)+IF(ISNUMBER(P3203),P3203,0)))&lt;=Summary!$B$2),"Passes using beginning_balance - PreV_ETB differs from beginning_balance",IF(AND(ISNUMBER(O3203),O3203&lt;0,ABS(L3203-(Q3203-IF(ISNUMBER(N3203),N3203,0)+IF(ISNUMBER(P3203),P3203,0)))&lt;=Summary!$B$2),"Negative realized loss not applied - check sign",IF(R3203&lt;0,"Principal paid exceeds prior balance",IF(AND(L3203&gt;Q3203,NOT(ISNUMBER(P3203))),"Balance increased but no Deferred_interest reported",IF(L3203&gt;R3203,"Reported balance higher than expected (missing increase/OC build)","Reported balance lower than expected (missing decrease)"))))),""))</f>
        <v/>
      </c>
    </row>
    <row r="3204" customFormat="false" ht="15" hidden="false" customHeight="false" outlineLevel="0" collapsed="false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9"/>
      <c r="L3204" s="9"/>
      <c r="M3204" s="9"/>
      <c r="N3204" s="9"/>
      <c r="O3204" s="9"/>
      <c r="P3204" s="9"/>
      <c r="Q3204" s="9"/>
      <c r="R3204" s="9" t="str">
        <f aca="false">IF(AND(A3204&lt;&gt;"",ISNUMBER(Q3204),ISNUMBER(L3204)),ROUND(Q3204-IF(ISNUMBER(N3204),N3204,0)-IF(ISNUMBER(O3204),O3204,0)+IF(ISNUMBER(P3204),P3204,0),2),"")</f>
        <v/>
      </c>
      <c r="S3204" s="9" t="str">
        <f aca="false">IF(R3204="","",ROUND(L3204-R3204,2))</f>
        <v/>
      </c>
      <c r="T3204" s="8" t="str">
        <f aca="false">IF(A3204="","",IF(S3204="","BYPASS",IF(ABS(S3204)&lt;=Summary!$B$2,"PASS","FAIL")))</f>
        <v/>
      </c>
      <c r="U3204" s="8" t="str">
        <f aca="false">IF(T3204="BYPASS",IF(NOT(ISNUMBER(Q3204)),"PreV_ETB missing","End_tr_balance missing"),IF(T3204="FAIL",IF(AND(ISNUMBER(K3204),ISNUMBER(L3204),ABS(L3204-(K3204-IF(ISNUMBER(N3204),N3204,0)-IF(ISNUMBER(O3204),O3204,0)+IF(ISNUMBER(P3204),P3204,0)))&lt;=Summary!$B$2),"Passes using beginning_balance - PreV_ETB differs from beginning_balance",IF(AND(ISNUMBER(O3204),O3204&lt;0,ABS(L3204-(Q3204-IF(ISNUMBER(N3204),N3204,0)+IF(ISNUMBER(P3204),P3204,0)))&lt;=Summary!$B$2),"Negative realized loss not applied - check sign",IF(R3204&lt;0,"Principal paid exceeds prior balance",IF(AND(L3204&gt;Q3204,NOT(ISNUMBER(P3204))),"Balance increased but no Deferred_interest reported",IF(L3204&gt;R3204,"Reported balance higher than expected (missing increase/OC build)","Reported balance lower than expected (missing decrease)"))))),""))</f>
        <v/>
      </c>
    </row>
    <row r="3205" customFormat="false" ht="15" hidden="false" customHeight="false" outlineLevel="0" collapsed="false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9"/>
      <c r="L3205" s="9"/>
      <c r="M3205" s="9"/>
      <c r="N3205" s="9"/>
      <c r="O3205" s="9"/>
      <c r="P3205" s="9"/>
      <c r="Q3205" s="9"/>
      <c r="R3205" s="9" t="str">
        <f aca="false">IF(AND(A3205&lt;&gt;"",ISNUMBER(Q3205),ISNUMBER(L3205)),ROUND(Q3205-IF(ISNUMBER(N3205),N3205,0)-IF(ISNUMBER(O3205),O3205,0)+IF(ISNUMBER(P3205),P3205,0),2),"")</f>
        <v/>
      </c>
      <c r="S3205" s="9" t="str">
        <f aca="false">IF(R3205="","",ROUND(L3205-R3205,2))</f>
        <v/>
      </c>
      <c r="T3205" s="8" t="str">
        <f aca="false">IF(A3205="","",IF(S3205="","BYPASS",IF(ABS(S3205)&lt;=Summary!$B$2,"PASS","FAIL")))</f>
        <v/>
      </c>
      <c r="U3205" s="8" t="str">
        <f aca="false">IF(T3205="BYPASS",IF(NOT(ISNUMBER(Q3205)),"PreV_ETB missing","End_tr_balance missing"),IF(T3205="FAIL",IF(AND(ISNUMBER(K3205),ISNUMBER(L3205),ABS(L3205-(K3205-IF(ISNUMBER(N3205),N3205,0)-IF(ISNUMBER(O3205),O3205,0)+IF(ISNUMBER(P3205),P3205,0)))&lt;=Summary!$B$2),"Passes using beginning_balance - PreV_ETB differs from beginning_balance",IF(AND(ISNUMBER(O3205),O3205&lt;0,ABS(L3205-(Q3205-IF(ISNUMBER(N3205),N3205,0)+IF(ISNUMBER(P3205),P3205,0)))&lt;=Summary!$B$2),"Negative realized loss not applied - check sign",IF(R3205&lt;0,"Principal paid exceeds prior balance",IF(AND(L3205&gt;Q3205,NOT(ISNUMBER(P3205))),"Balance increased but no Deferred_interest reported",IF(L3205&gt;R3205,"Reported balance higher than expected (missing increase/OC build)","Reported balance lower than expected (missing decrease)"))))),""))</f>
        <v/>
      </c>
    </row>
    <row r="3206" customFormat="false" ht="15" hidden="false" customHeight="false" outlineLevel="0" collapsed="false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9"/>
      <c r="L3206" s="9"/>
      <c r="M3206" s="9"/>
      <c r="N3206" s="9"/>
      <c r="O3206" s="9"/>
      <c r="P3206" s="9"/>
      <c r="Q3206" s="9"/>
      <c r="R3206" s="9" t="str">
        <f aca="false">IF(AND(A3206&lt;&gt;"",ISNUMBER(Q3206),ISNUMBER(L3206)),ROUND(Q3206-IF(ISNUMBER(N3206),N3206,0)-IF(ISNUMBER(O3206),O3206,0)+IF(ISNUMBER(P3206),P3206,0),2),"")</f>
        <v/>
      </c>
      <c r="S3206" s="9" t="str">
        <f aca="false">IF(R3206="","",ROUND(L3206-R3206,2))</f>
        <v/>
      </c>
      <c r="T3206" s="8" t="str">
        <f aca="false">IF(A3206="","",IF(S3206="","BYPASS",IF(ABS(S3206)&lt;=Summary!$B$2,"PASS","FAIL")))</f>
        <v/>
      </c>
      <c r="U3206" s="8" t="str">
        <f aca="false">IF(T3206="BYPASS",IF(NOT(ISNUMBER(Q3206)),"PreV_ETB missing","End_tr_balance missing"),IF(T3206="FAIL",IF(AND(ISNUMBER(K3206),ISNUMBER(L3206),ABS(L3206-(K3206-IF(ISNUMBER(N3206),N3206,0)-IF(ISNUMBER(O3206),O3206,0)+IF(ISNUMBER(P3206),P3206,0)))&lt;=Summary!$B$2),"Passes using beginning_balance - PreV_ETB differs from beginning_balance",IF(AND(ISNUMBER(O3206),O3206&lt;0,ABS(L3206-(Q3206-IF(ISNUMBER(N3206),N3206,0)+IF(ISNUMBER(P3206),P3206,0)))&lt;=Summary!$B$2),"Negative realized loss not applied - check sign",IF(R3206&lt;0,"Principal paid exceeds prior balance",IF(AND(L3206&gt;Q3206,NOT(ISNUMBER(P3206))),"Balance increased but no Deferred_interest reported",IF(L3206&gt;R3206,"Reported balance higher than expected (missing increase/OC build)","Reported balance lower than expected (missing decrease)"))))),""))</f>
        <v/>
      </c>
    </row>
    <row r="3207" customFormat="false" ht="15" hidden="false" customHeight="false" outlineLevel="0" collapsed="false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9"/>
      <c r="L3207" s="9"/>
      <c r="M3207" s="9"/>
      <c r="N3207" s="9"/>
      <c r="O3207" s="9"/>
      <c r="P3207" s="9"/>
      <c r="Q3207" s="9"/>
      <c r="R3207" s="9" t="str">
        <f aca="false">IF(AND(A3207&lt;&gt;"",ISNUMBER(Q3207),ISNUMBER(L3207)),ROUND(Q3207-IF(ISNUMBER(N3207),N3207,0)-IF(ISNUMBER(O3207),O3207,0)+IF(ISNUMBER(P3207),P3207,0),2),"")</f>
        <v/>
      </c>
      <c r="S3207" s="9" t="str">
        <f aca="false">IF(R3207="","",ROUND(L3207-R3207,2))</f>
        <v/>
      </c>
      <c r="T3207" s="8" t="str">
        <f aca="false">IF(A3207="","",IF(S3207="","BYPASS",IF(ABS(S3207)&lt;=Summary!$B$2,"PASS","FAIL")))</f>
        <v/>
      </c>
      <c r="U3207" s="8" t="str">
        <f aca="false">IF(T3207="BYPASS",IF(NOT(ISNUMBER(Q3207)),"PreV_ETB missing","End_tr_balance missing"),IF(T3207="FAIL",IF(AND(ISNUMBER(K3207),ISNUMBER(L3207),ABS(L3207-(K3207-IF(ISNUMBER(N3207),N3207,0)-IF(ISNUMBER(O3207),O3207,0)+IF(ISNUMBER(P3207),P3207,0)))&lt;=Summary!$B$2),"Passes using beginning_balance - PreV_ETB differs from beginning_balance",IF(AND(ISNUMBER(O3207),O3207&lt;0,ABS(L3207-(Q3207-IF(ISNUMBER(N3207),N3207,0)+IF(ISNUMBER(P3207),P3207,0)))&lt;=Summary!$B$2),"Negative realized loss not applied - check sign",IF(R3207&lt;0,"Principal paid exceeds prior balance",IF(AND(L3207&gt;Q3207,NOT(ISNUMBER(P3207))),"Balance increased but no Deferred_interest reported",IF(L3207&gt;R3207,"Reported balance higher than expected (missing increase/OC build)","Reported balance lower than expected (missing decrease)"))))),""))</f>
        <v/>
      </c>
    </row>
    <row r="3208" customFormat="false" ht="15" hidden="false" customHeight="false" outlineLevel="0" collapsed="false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9"/>
      <c r="L3208" s="9"/>
      <c r="M3208" s="9"/>
      <c r="N3208" s="9"/>
      <c r="O3208" s="9"/>
      <c r="P3208" s="9"/>
      <c r="Q3208" s="9"/>
      <c r="R3208" s="9" t="str">
        <f aca="false">IF(AND(A3208&lt;&gt;"",ISNUMBER(Q3208),ISNUMBER(L3208)),ROUND(Q3208-IF(ISNUMBER(N3208),N3208,0)-IF(ISNUMBER(O3208),O3208,0)+IF(ISNUMBER(P3208),P3208,0),2),"")</f>
        <v/>
      </c>
      <c r="S3208" s="9" t="str">
        <f aca="false">IF(R3208="","",ROUND(L3208-R3208,2))</f>
        <v/>
      </c>
      <c r="T3208" s="8" t="str">
        <f aca="false">IF(A3208="","",IF(S3208="","BYPASS",IF(ABS(S3208)&lt;=Summary!$B$2,"PASS","FAIL")))</f>
        <v/>
      </c>
      <c r="U3208" s="8" t="str">
        <f aca="false">IF(T3208="BYPASS",IF(NOT(ISNUMBER(Q3208)),"PreV_ETB missing","End_tr_balance missing"),IF(T3208="FAIL",IF(AND(ISNUMBER(K3208),ISNUMBER(L3208),ABS(L3208-(K3208-IF(ISNUMBER(N3208),N3208,0)-IF(ISNUMBER(O3208),O3208,0)+IF(ISNUMBER(P3208),P3208,0)))&lt;=Summary!$B$2),"Passes using beginning_balance - PreV_ETB differs from beginning_balance",IF(AND(ISNUMBER(O3208),O3208&lt;0,ABS(L3208-(Q3208-IF(ISNUMBER(N3208),N3208,0)+IF(ISNUMBER(P3208),P3208,0)))&lt;=Summary!$B$2),"Negative realized loss not applied - check sign",IF(R3208&lt;0,"Principal paid exceeds prior balance",IF(AND(L3208&gt;Q3208,NOT(ISNUMBER(P3208))),"Balance increased but no Deferred_interest reported",IF(L3208&gt;R3208,"Reported balance higher than expected (missing increase/OC build)","Reported balance lower than expected (missing decrease)"))))),""))</f>
        <v/>
      </c>
    </row>
    <row r="3209" customFormat="false" ht="15" hidden="false" customHeight="false" outlineLevel="0" collapsed="false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9"/>
      <c r="L3209" s="9"/>
      <c r="M3209" s="9"/>
      <c r="N3209" s="9"/>
      <c r="O3209" s="9"/>
      <c r="P3209" s="9"/>
      <c r="Q3209" s="9"/>
      <c r="R3209" s="9" t="str">
        <f aca="false">IF(AND(A3209&lt;&gt;"",ISNUMBER(Q3209),ISNUMBER(L3209)),ROUND(Q3209-IF(ISNUMBER(N3209),N3209,0)-IF(ISNUMBER(O3209),O3209,0)+IF(ISNUMBER(P3209),P3209,0),2),"")</f>
        <v/>
      </c>
      <c r="S3209" s="9" t="str">
        <f aca="false">IF(R3209="","",ROUND(L3209-R3209,2))</f>
        <v/>
      </c>
      <c r="T3209" s="8" t="str">
        <f aca="false">IF(A3209="","",IF(S3209="","BYPASS",IF(ABS(S3209)&lt;=Summary!$B$2,"PASS","FAIL")))</f>
        <v/>
      </c>
      <c r="U3209" s="8" t="str">
        <f aca="false">IF(T3209="BYPASS",IF(NOT(ISNUMBER(Q3209)),"PreV_ETB missing","End_tr_balance missing"),IF(T3209="FAIL",IF(AND(ISNUMBER(K3209),ISNUMBER(L3209),ABS(L3209-(K3209-IF(ISNUMBER(N3209),N3209,0)-IF(ISNUMBER(O3209),O3209,0)+IF(ISNUMBER(P3209),P3209,0)))&lt;=Summary!$B$2),"Passes using beginning_balance - PreV_ETB differs from beginning_balance",IF(AND(ISNUMBER(O3209),O3209&lt;0,ABS(L3209-(Q3209-IF(ISNUMBER(N3209),N3209,0)+IF(ISNUMBER(P3209),P3209,0)))&lt;=Summary!$B$2),"Negative realized loss not applied - check sign",IF(R3209&lt;0,"Principal paid exceeds prior balance",IF(AND(L3209&gt;Q3209,NOT(ISNUMBER(P3209))),"Balance increased but no Deferred_interest reported",IF(L3209&gt;R3209,"Reported balance higher than expected (missing increase/OC build)","Reported balance lower than expected (missing decrease)"))))),""))</f>
        <v/>
      </c>
    </row>
    <row r="3210" customFormat="false" ht="15" hidden="false" customHeight="false" outlineLevel="0" collapsed="false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9"/>
      <c r="L3210" s="9"/>
      <c r="M3210" s="9"/>
      <c r="N3210" s="9"/>
      <c r="O3210" s="9"/>
      <c r="P3210" s="9"/>
      <c r="Q3210" s="9"/>
      <c r="R3210" s="9" t="str">
        <f aca="false">IF(AND(A3210&lt;&gt;"",ISNUMBER(Q3210),ISNUMBER(L3210)),ROUND(Q3210-IF(ISNUMBER(N3210),N3210,0)-IF(ISNUMBER(O3210),O3210,0)+IF(ISNUMBER(P3210),P3210,0),2),"")</f>
        <v/>
      </c>
      <c r="S3210" s="9" t="str">
        <f aca="false">IF(R3210="","",ROUND(L3210-R3210,2))</f>
        <v/>
      </c>
      <c r="T3210" s="8" t="str">
        <f aca="false">IF(A3210="","",IF(S3210="","BYPASS",IF(ABS(S3210)&lt;=Summary!$B$2,"PASS","FAIL")))</f>
        <v/>
      </c>
      <c r="U3210" s="8" t="str">
        <f aca="false">IF(T3210="BYPASS",IF(NOT(ISNUMBER(Q3210)),"PreV_ETB missing","End_tr_balance missing"),IF(T3210="FAIL",IF(AND(ISNUMBER(K3210),ISNUMBER(L3210),ABS(L3210-(K3210-IF(ISNUMBER(N3210),N3210,0)-IF(ISNUMBER(O3210),O3210,0)+IF(ISNUMBER(P3210),P3210,0)))&lt;=Summary!$B$2),"Passes using beginning_balance - PreV_ETB differs from beginning_balance",IF(AND(ISNUMBER(O3210),O3210&lt;0,ABS(L3210-(Q3210-IF(ISNUMBER(N3210),N3210,0)+IF(ISNUMBER(P3210),P3210,0)))&lt;=Summary!$B$2),"Negative realized loss not applied - check sign",IF(R3210&lt;0,"Principal paid exceeds prior balance",IF(AND(L3210&gt;Q3210,NOT(ISNUMBER(P3210))),"Balance increased but no Deferred_interest reported",IF(L3210&gt;R3210,"Reported balance higher than expected (missing increase/OC build)","Reported balance lower than expected (missing decrease)"))))),""))</f>
        <v/>
      </c>
    </row>
    <row r="3211" customFormat="false" ht="15" hidden="false" customHeight="false" outlineLevel="0" collapsed="false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9"/>
      <c r="L3211" s="9"/>
      <c r="M3211" s="9"/>
      <c r="N3211" s="9"/>
      <c r="O3211" s="9"/>
      <c r="P3211" s="9"/>
      <c r="Q3211" s="9"/>
      <c r="R3211" s="9" t="str">
        <f aca="false">IF(AND(A3211&lt;&gt;"",ISNUMBER(Q3211),ISNUMBER(L3211)),ROUND(Q3211-IF(ISNUMBER(N3211),N3211,0)-IF(ISNUMBER(O3211),O3211,0)+IF(ISNUMBER(P3211),P3211,0),2),"")</f>
        <v/>
      </c>
      <c r="S3211" s="9" t="str">
        <f aca="false">IF(R3211="","",ROUND(L3211-R3211,2))</f>
        <v/>
      </c>
      <c r="T3211" s="8" t="str">
        <f aca="false">IF(A3211="","",IF(S3211="","BYPASS",IF(ABS(S3211)&lt;=Summary!$B$2,"PASS","FAIL")))</f>
        <v/>
      </c>
      <c r="U3211" s="8" t="str">
        <f aca="false">IF(T3211="BYPASS",IF(NOT(ISNUMBER(Q3211)),"PreV_ETB missing","End_tr_balance missing"),IF(T3211="FAIL",IF(AND(ISNUMBER(K3211),ISNUMBER(L3211),ABS(L3211-(K3211-IF(ISNUMBER(N3211),N3211,0)-IF(ISNUMBER(O3211),O3211,0)+IF(ISNUMBER(P3211),P3211,0)))&lt;=Summary!$B$2),"Passes using beginning_balance - PreV_ETB differs from beginning_balance",IF(AND(ISNUMBER(O3211),O3211&lt;0,ABS(L3211-(Q3211-IF(ISNUMBER(N3211),N3211,0)+IF(ISNUMBER(P3211),P3211,0)))&lt;=Summary!$B$2),"Negative realized loss not applied - check sign",IF(R3211&lt;0,"Principal paid exceeds prior balance",IF(AND(L3211&gt;Q3211,NOT(ISNUMBER(P3211))),"Balance increased but no Deferred_interest reported",IF(L3211&gt;R3211,"Reported balance higher than expected (missing increase/OC build)","Reported balance lower than expected (missing decrease)"))))),""))</f>
        <v/>
      </c>
    </row>
    <row r="3212" customFormat="false" ht="15" hidden="false" customHeight="false" outlineLevel="0" collapsed="false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9"/>
      <c r="L3212" s="9"/>
      <c r="M3212" s="9"/>
      <c r="N3212" s="9"/>
      <c r="O3212" s="9"/>
      <c r="P3212" s="9"/>
      <c r="Q3212" s="9"/>
      <c r="R3212" s="9" t="str">
        <f aca="false">IF(AND(A3212&lt;&gt;"",ISNUMBER(Q3212),ISNUMBER(L3212)),ROUND(Q3212-IF(ISNUMBER(N3212),N3212,0)-IF(ISNUMBER(O3212),O3212,0)+IF(ISNUMBER(P3212),P3212,0),2),"")</f>
        <v/>
      </c>
      <c r="S3212" s="9" t="str">
        <f aca="false">IF(R3212="","",ROUND(L3212-R3212,2))</f>
        <v/>
      </c>
      <c r="T3212" s="8" t="str">
        <f aca="false">IF(A3212="","",IF(S3212="","BYPASS",IF(ABS(S3212)&lt;=Summary!$B$2,"PASS","FAIL")))</f>
        <v/>
      </c>
      <c r="U3212" s="8" t="str">
        <f aca="false">IF(T3212="BYPASS",IF(NOT(ISNUMBER(Q3212)),"PreV_ETB missing","End_tr_balance missing"),IF(T3212="FAIL",IF(AND(ISNUMBER(K3212),ISNUMBER(L3212),ABS(L3212-(K3212-IF(ISNUMBER(N3212),N3212,0)-IF(ISNUMBER(O3212),O3212,0)+IF(ISNUMBER(P3212),P3212,0)))&lt;=Summary!$B$2),"Passes using beginning_balance - PreV_ETB differs from beginning_balance",IF(AND(ISNUMBER(O3212),O3212&lt;0,ABS(L3212-(Q3212-IF(ISNUMBER(N3212),N3212,0)+IF(ISNUMBER(P3212),P3212,0)))&lt;=Summary!$B$2),"Negative realized loss not applied - check sign",IF(R3212&lt;0,"Principal paid exceeds prior balance",IF(AND(L3212&gt;Q3212,NOT(ISNUMBER(P3212))),"Balance increased but no Deferred_interest reported",IF(L3212&gt;R3212,"Reported balance higher than expected (missing increase/OC build)","Reported balance lower than expected (missing decrease)"))))),""))</f>
        <v/>
      </c>
    </row>
    <row r="3213" customFormat="false" ht="15" hidden="false" customHeight="false" outlineLevel="0" collapsed="false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9"/>
      <c r="L3213" s="9"/>
      <c r="M3213" s="9"/>
      <c r="N3213" s="9"/>
      <c r="O3213" s="9"/>
      <c r="P3213" s="9"/>
      <c r="Q3213" s="9"/>
      <c r="R3213" s="9" t="str">
        <f aca="false">IF(AND(A3213&lt;&gt;"",ISNUMBER(Q3213),ISNUMBER(L3213)),ROUND(Q3213-IF(ISNUMBER(N3213),N3213,0)-IF(ISNUMBER(O3213),O3213,0)+IF(ISNUMBER(P3213),P3213,0),2),"")</f>
        <v/>
      </c>
      <c r="S3213" s="9" t="str">
        <f aca="false">IF(R3213="","",ROUND(L3213-R3213,2))</f>
        <v/>
      </c>
      <c r="T3213" s="8" t="str">
        <f aca="false">IF(A3213="","",IF(S3213="","BYPASS",IF(ABS(S3213)&lt;=Summary!$B$2,"PASS","FAIL")))</f>
        <v/>
      </c>
      <c r="U3213" s="8" t="str">
        <f aca="false">IF(T3213="BYPASS",IF(NOT(ISNUMBER(Q3213)),"PreV_ETB missing","End_tr_balance missing"),IF(T3213="FAIL",IF(AND(ISNUMBER(K3213),ISNUMBER(L3213),ABS(L3213-(K3213-IF(ISNUMBER(N3213),N3213,0)-IF(ISNUMBER(O3213),O3213,0)+IF(ISNUMBER(P3213),P3213,0)))&lt;=Summary!$B$2),"Passes using beginning_balance - PreV_ETB differs from beginning_balance",IF(AND(ISNUMBER(O3213),O3213&lt;0,ABS(L3213-(Q3213-IF(ISNUMBER(N3213),N3213,0)+IF(ISNUMBER(P3213),P3213,0)))&lt;=Summary!$B$2),"Negative realized loss not applied - check sign",IF(R3213&lt;0,"Principal paid exceeds prior balance",IF(AND(L3213&gt;Q3213,NOT(ISNUMBER(P3213))),"Balance increased but no Deferred_interest reported",IF(L3213&gt;R3213,"Reported balance higher than expected (missing increase/OC build)","Reported balance lower than expected (missing decrease)"))))),""))</f>
        <v/>
      </c>
    </row>
    <row r="3214" customFormat="false" ht="15" hidden="false" customHeight="false" outlineLevel="0" collapsed="false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9"/>
      <c r="L3214" s="9"/>
      <c r="M3214" s="9"/>
      <c r="N3214" s="9"/>
      <c r="O3214" s="9"/>
      <c r="P3214" s="9"/>
      <c r="Q3214" s="9"/>
      <c r="R3214" s="9" t="str">
        <f aca="false">IF(AND(A3214&lt;&gt;"",ISNUMBER(Q3214),ISNUMBER(L3214)),ROUND(Q3214-IF(ISNUMBER(N3214),N3214,0)-IF(ISNUMBER(O3214),O3214,0)+IF(ISNUMBER(P3214),P3214,0),2),"")</f>
        <v/>
      </c>
      <c r="S3214" s="9" t="str">
        <f aca="false">IF(R3214="","",ROUND(L3214-R3214,2))</f>
        <v/>
      </c>
      <c r="T3214" s="8" t="str">
        <f aca="false">IF(A3214="","",IF(S3214="","BYPASS",IF(ABS(S3214)&lt;=Summary!$B$2,"PASS","FAIL")))</f>
        <v/>
      </c>
      <c r="U3214" s="8" t="str">
        <f aca="false">IF(T3214="BYPASS",IF(NOT(ISNUMBER(Q3214)),"PreV_ETB missing","End_tr_balance missing"),IF(T3214="FAIL",IF(AND(ISNUMBER(K3214),ISNUMBER(L3214),ABS(L3214-(K3214-IF(ISNUMBER(N3214),N3214,0)-IF(ISNUMBER(O3214),O3214,0)+IF(ISNUMBER(P3214),P3214,0)))&lt;=Summary!$B$2),"Passes using beginning_balance - PreV_ETB differs from beginning_balance",IF(AND(ISNUMBER(O3214),O3214&lt;0,ABS(L3214-(Q3214-IF(ISNUMBER(N3214),N3214,0)+IF(ISNUMBER(P3214),P3214,0)))&lt;=Summary!$B$2),"Negative realized loss not applied - check sign",IF(R3214&lt;0,"Principal paid exceeds prior balance",IF(AND(L3214&gt;Q3214,NOT(ISNUMBER(P3214))),"Balance increased but no Deferred_interest reported",IF(L3214&gt;R3214,"Reported balance higher than expected (missing increase/OC build)","Reported balance lower than expected (missing decrease)"))))),""))</f>
        <v/>
      </c>
    </row>
    <row r="3215" customFormat="false" ht="15" hidden="false" customHeight="false" outlineLevel="0" collapsed="false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9"/>
      <c r="L3215" s="9"/>
      <c r="M3215" s="9"/>
      <c r="N3215" s="9"/>
      <c r="O3215" s="9"/>
      <c r="P3215" s="9"/>
      <c r="Q3215" s="9"/>
      <c r="R3215" s="9" t="str">
        <f aca="false">IF(AND(A3215&lt;&gt;"",ISNUMBER(Q3215),ISNUMBER(L3215)),ROUND(Q3215-IF(ISNUMBER(N3215),N3215,0)-IF(ISNUMBER(O3215),O3215,0)+IF(ISNUMBER(P3215),P3215,0),2),"")</f>
        <v/>
      </c>
      <c r="S3215" s="9" t="str">
        <f aca="false">IF(R3215="","",ROUND(L3215-R3215,2))</f>
        <v/>
      </c>
      <c r="T3215" s="8" t="str">
        <f aca="false">IF(A3215="","",IF(S3215="","BYPASS",IF(ABS(S3215)&lt;=Summary!$B$2,"PASS","FAIL")))</f>
        <v/>
      </c>
      <c r="U3215" s="8" t="str">
        <f aca="false">IF(T3215="BYPASS",IF(NOT(ISNUMBER(Q3215)),"PreV_ETB missing","End_tr_balance missing"),IF(T3215="FAIL",IF(AND(ISNUMBER(K3215),ISNUMBER(L3215),ABS(L3215-(K3215-IF(ISNUMBER(N3215),N3215,0)-IF(ISNUMBER(O3215),O3215,0)+IF(ISNUMBER(P3215),P3215,0)))&lt;=Summary!$B$2),"Passes using beginning_balance - PreV_ETB differs from beginning_balance",IF(AND(ISNUMBER(O3215),O3215&lt;0,ABS(L3215-(Q3215-IF(ISNUMBER(N3215),N3215,0)+IF(ISNUMBER(P3215),P3215,0)))&lt;=Summary!$B$2),"Negative realized loss not applied - check sign",IF(R3215&lt;0,"Principal paid exceeds prior balance",IF(AND(L3215&gt;Q3215,NOT(ISNUMBER(P3215))),"Balance increased but no Deferred_interest reported",IF(L3215&gt;R3215,"Reported balance higher than expected (missing increase/OC build)","Reported balance lower than expected (missing decrease)"))))),""))</f>
        <v/>
      </c>
    </row>
    <row r="3216" customFormat="false" ht="15" hidden="false" customHeight="false" outlineLevel="0" collapsed="false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9"/>
      <c r="L3216" s="9"/>
      <c r="M3216" s="9"/>
      <c r="N3216" s="9"/>
      <c r="O3216" s="9"/>
      <c r="P3216" s="9"/>
      <c r="Q3216" s="9"/>
      <c r="R3216" s="9" t="str">
        <f aca="false">IF(AND(A3216&lt;&gt;"",ISNUMBER(Q3216),ISNUMBER(L3216)),ROUND(Q3216-IF(ISNUMBER(N3216),N3216,0)-IF(ISNUMBER(O3216),O3216,0)+IF(ISNUMBER(P3216),P3216,0),2),"")</f>
        <v/>
      </c>
      <c r="S3216" s="9" t="str">
        <f aca="false">IF(R3216="","",ROUND(L3216-R3216,2))</f>
        <v/>
      </c>
      <c r="T3216" s="8" t="str">
        <f aca="false">IF(A3216="","",IF(S3216="","BYPASS",IF(ABS(S3216)&lt;=Summary!$B$2,"PASS","FAIL")))</f>
        <v/>
      </c>
      <c r="U3216" s="8" t="str">
        <f aca="false">IF(T3216="BYPASS",IF(NOT(ISNUMBER(Q3216)),"PreV_ETB missing","End_tr_balance missing"),IF(T3216="FAIL",IF(AND(ISNUMBER(K3216),ISNUMBER(L3216),ABS(L3216-(K3216-IF(ISNUMBER(N3216),N3216,0)-IF(ISNUMBER(O3216),O3216,0)+IF(ISNUMBER(P3216),P3216,0)))&lt;=Summary!$B$2),"Passes using beginning_balance - PreV_ETB differs from beginning_balance",IF(AND(ISNUMBER(O3216),O3216&lt;0,ABS(L3216-(Q3216-IF(ISNUMBER(N3216),N3216,0)+IF(ISNUMBER(P3216),P3216,0)))&lt;=Summary!$B$2),"Negative realized loss not applied - check sign",IF(R3216&lt;0,"Principal paid exceeds prior balance",IF(AND(L3216&gt;Q3216,NOT(ISNUMBER(P3216))),"Balance increased but no Deferred_interest reported",IF(L3216&gt;R3216,"Reported balance higher than expected (missing increase/OC build)","Reported balance lower than expected (missing decrease)"))))),""))</f>
        <v/>
      </c>
    </row>
    <row r="3217" customFormat="false" ht="15" hidden="false" customHeight="false" outlineLevel="0" collapsed="false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9"/>
      <c r="L3217" s="9"/>
      <c r="M3217" s="9"/>
      <c r="N3217" s="9"/>
      <c r="O3217" s="9"/>
      <c r="P3217" s="9"/>
      <c r="Q3217" s="9"/>
      <c r="R3217" s="9" t="str">
        <f aca="false">IF(AND(A3217&lt;&gt;"",ISNUMBER(Q3217),ISNUMBER(L3217)),ROUND(Q3217-IF(ISNUMBER(N3217),N3217,0)-IF(ISNUMBER(O3217),O3217,0)+IF(ISNUMBER(P3217),P3217,0),2),"")</f>
        <v/>
      </c>
      <c r="S3217" s="9" t="str">
        <f aca="false">IF(R3217="","",ROUND(L3217-R3217,2))</f>
        <v/>
      </c>
      <c r="T3217" s="8" t="str">
        <f aca="false">IF(A3217="","",IF(S3217="","BYPASS",IF(ABS(S3217)&lt;=Summary!$B$2,"PASS","FAIL")))</f>
        <v/>
      </c>
      <c r="U3217" s="8" t="str">
        <f aca="false">IF(T3217="BYPASS",IF(NOT(ISNUMBER(Q3217)),"PreV_ETB missing","End_tr_balance missing"),IF(T3217="FAIL",IF(AND(ISNUMBER(K3217),ISNUMBER(L3217),ABS(L3217-(K3217-IF(ISNUMBER(N3217),N3217,0)-IF(ISNUMBER(O3217),O3217,0)+IF(ISNUMBER(P3217),P3217,0)))&lt;=Summary!$B$2),"Passes using beginning_balance - PreV_ETB differs from beginning_balance",IF(AND(ISNUMBER(O3217),O3217&lt;0,ABS(L3217-(Q3217-IF(ISNUMBER(N3217),N3217,0)+IF(ISNUMBER(P3217),P3217,0)))&lt;=Summary!$B$2),"Negative realized loss not applied - check sign",IF(R3217&lt;0,"Principal paid exceeds prior balance",IF(AND(L3217&gt;Q3217,NOT(ISNUMBER(P3217))),"Balance increased but no Deferred_interest reported",IF(L3217&gt;R3217,"Reported balance higher than expected (missing increase/OC build)","Reported balance lower than expected (missing decrease)"))))),""))</f>
        <v/>
      </c>
    </row>
    <row r="3218" customFormat="false" ht="15" hidden="false" customHeight="false" outlineLevel="0" collapsed="false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9"/>
      <c r="L3218" s="9"/>
      <c r="M3218" s="9"/>
      <c r="N3218" s="9"/>
      <c r="O3218" s="9"/>
      <c r="P3218" s="9"/>
      <c r="Q3218" s="9"/>
      <c r="R3218" s="9" t="str">
        <f aca="false">IF(AND(A3218&lt;&gt;"",ISNUMBER(Q3218),ISNUMBER(L3218)),ROUND(Q3218-IF(ISNUMBER(N3218),N3218,0)-IF(ISNUMBER(O3218),O3218,0)+IF(ISNUMBER(P3218),P3218,0),2),"")</f>
        <v/>
      </c>
      <c r="S3218" s="9" t="str">
        <f aca="false">IF(R3218="","",ROUND(L3218-R3218,2))</f>
        <v/>
      </c>
      <c r="T3218" s="8" t="str">
        <f aca="false">IF(A3218="","",IF(S3218="","BYPASS",IF(ABS(S3218)&lt;=Summary!$B$2,"PASS","FAIL")))</f>
        <v/>
      </c>
      <c r="U3218" s="8" t="str">
        <f aca="false">IF(T3218="BYPASS",IF(NOT(ISNUMBER(Q3218)),"PreV_ETB missing","End_tr_balance missing"),IF(T3218="FAIL",IF(AND(ISNUMBER(K3218),ISNUMBER(L3218),ABS(L3218-(K3218-IF(ISNUMBER(N3218),N3218,0)-IF(ISNUMBER(O3218),O3218,0)+IF(ISNUMBER(P3218),P3218,0)))&lt;=Summary!$B$2),"Passes using beginning_balance - PreV_ETB differs from beginning_balance",IF(AND(ISNUMBER(O3218),O3218&lt;0,ABS(L3218-(Q3218-IF(ISNUMBER(N3218),N3218,0)+IF(ISNUMBER(P3218),P3218,0)))&lt;=Summary!$B$2),"Negative realized loss not applied - check sign",IF(R3218&lt;0,"Principal paid exceeds prior balance",IF(AND(L3218&gt;Q3218,NOT(ISNUMBER(P3218))),"Balance increased but no Deferred_interest reported",IF(L3218&gt;R3218,"Reported balance higher than expected (missing increase/OC build)","Reported balance lower than expected (missing decrease)"))))),""))</f>
        <v/>
      </c>
    </row>
    <row r="3219" customFormat="false" ht="15" hidden="false" customHeight="false" outlineLevel="0" collapsed="false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9"/>
      <c r="L3219" s="9"/>
      <c r="M3219" s="9"/>
      <c r="N3219" s="9"/>
      <c r="O3219" s="9"/>
      <c r="P3219" s="9"/>
      <c r="Q3219" s="9"/>
      <c r="R3219" s="9" t="str">
        <f aca="false">IF(AND(A3219&lt;&gt;"",ISNUMBER(Q3219),ISNUMBER(L3219)),ROUND(Q3219-IF(ISNUMBER(N3219),N3219,0)-IF(ISNUMBER(O3219),O3219,0)+IF(ISNUMBER(P3219),P3219,0),2),"")</f>
        <v/>
      </c>
      <c r="S3219" s="9" t="str">
        <f aca="false">IF(R3219="","",ROUND(L3219-R3219,2))</f>
        <v/>
      </c>
      <c r="T3219" s="8" t="str">
        <f aca="false">IF(A3219="","",IF(S3219="","BYPASS",IF(ABS(S3219)&lt;=Summary!$B$2,"PASS","FAIL")))</f>
        <v/>
      </c>
      <c r="U3219" s="8" t="str">
        <f aca="false">IF(T3219="BYPASS",IF(NOT(ISNUMBER(Q3219)),"PreV_ETB missing","End_tr_balance missing"),IF(T3219="FAIL",IF(AND(ISNUMBER(K3219),ISNUMBER(L3219),ABS(L3219-(K3219-IF(ISNUMBER(N3219),N3219,0)-IF(ISNUMBER(O3219),O3219,0)+IF(ISNUMBER(P3219),P3219,0)))&lt;=Summary!$B$2),"Passes using beginning_balance - PreV_ETB differs from beginning_balance",IF(AND(ISNUMBER(O3219),O3219&lt;0,ABS(L3219-(Q3219-IF(ISNUMBER(N3219),N3219,0)+IF(ISNUMBER(P3219),P3219,0)))&lt;=Summary!$B$2),"Negative realized loss not applied - check sign",IF(R3219&lt;0,"Principal paid exceeds prior balance",IF(AND(L3219&gt;Q3219,NOT(ISNUMBER(P3219))),"Balance increased but no Deferred_interest reported",IF(L3219&gt;R3219,"Reported balance higher than expected (missing increase/OC build)","Reported balance lower than expected (missing decrease)"))))),""))</f>
        <v/>
      </c>
    </row>
    <row r="3220" customFormat="false" ht="15" hidden="false" customHeight="false" outlineLevel="0" collapsed="false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9"/>
      <c r="L3220" s="9"/>
      <c r="M3220" s="9"/>
      <c r="N3220" s="9"/>
      <c r="O3220" s="9"/>
      <c r="P3220" s="9"/>
      <c r="Q3220" s="9"/>
      <c r="R3220" s="9" t="str">
        <f aca="false">IF(AND(A3220&lt;&gt;"",ISNUMBER(Q3220),ISNUMBER(L3220)),ROUND(Q3220-IF(ISNUMBER(N3220),N3220,0)-IF(ISNUMBER(O3220),O3220,0)+IF(ISNUMBER(P3220),P3220,0),2),"")</f>
        <v/>
      </c>
      <c r="S3220" s="9" t="str">
        <f aca="false">IF(R3220="","",ROUND(L3220-R3220,2))</f>
        <v/>
      </c>
      <c r="T3220" s="8" t="str">
        <f aca="false">IF(A3220="","",IF(S3220="","BYPASS",IF(ABS(S3220)&lt;=Summary!$B$2,"PASS","FAIL")))</f>
        <v/>
      </c>
      <c r="U3220" s="8" t="str">
        <f aca="false">IF(T3220="BYPASS",IF(NOT(ISNUMBER(Q3220)),"PreV_ETB missing","End_tr_balance missing"),IF(T3220="FAIL",IF(AND(ISNUMBER(K3220),ISNUMBER(L3220),ABS(L3220-(K3220-IF(ISNUMBER(N3220),N3220,0)-IF(ISNUMBER(O3220),O3220,0)+IF(ISNUMBER(P3220),P3220,0)))&lt;=Summary!$B$2),"Passes using beginning_balance - PreV_ETB differs from beginning_balance",IF(AND(ISNUMBER(O3220),O3220&lt;0,ABS(L3220-(Q3220-IF(ISNUMBER(N3220),N3220,0)+IF(ISNUMBER(P3220),P3220,0)))&lt;=Summary!$B$2),"Negative realized loss not applied - check sign",IF(R3220&lt;0,"Principal paid exceeds prior balance",IF(AND(L3220&gt;Q3220,NOT(ISNUMBER(P3220))),"Balance increased but no Deferred_interest reported",IF(L3220&gt;R3220,"Reported balance higher than expected (missing increase/OC build)","Reported balance lower than expected (missing decrease)"))))),""))</f>
        <v/>
      </c>
    </row>
    <row r="3221" customFormat="false" ht="15" hidden="false" customHeight="false" outlineLevel="0" collapsed="false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9"/>
      <c r="L3221" s="9"/>
      <c r="M3221" s="9"/>
      <c r="N3221" s="9"/>
      <c r="O3221" s="9"/>
      <c r="P3221" s="9"/>
      <c r="Q3221" s="9"/>
      <c r="R3221" s="9" t="str">
        <f aca="false">IF(AND(A3221&lt;&gt;"",ISNUMBER(Q3221),ISNUMBER(L3221)),ROUND(Q3221-IF(ISNUMBER(N3221),N3221,0)-IF(ISNUMBER(O3221),O3221,0)+IF(ISNUMBER(P3221),P3221,0),2),"")</f>
        <v/>
      </c>
      <c r="S3221" s="9" t="str">
        <f aca="false">IF(R3221="","",ROUND(L3221-R3221,2))</f>
        <v/>
      </c>
      <c r="T3221" s="8" t="str">
        <f aca="false">IF(A3221="","",IF(S3221="","BYPASS",IF(ABS(S3221)&lt;=Summary!$B$2,"PASS","FAIL")))</f>
        <v/>
      </c>
      <c r="U3221" s="8" t="str">
        <f aca="false">IF(T3221="BYPASS",IF(NOT(ISNUMBER(Q3221)),"PreV_ETB missing","End_tr_balance missing"),IF(T3221="FAIL",IF(AND(ISNUMBER(K3221),ISNUMBER(L3221),ABS(L3221-(K3221-IF(ISNUMBER(N3221),N3221,0)-IF(ISNUMBER(O3221),O3221,0)+IF(ISNUMBER(P3221),P3221,0)))&lt;=Summary!$B$2),"Passes using beginning_balance - PreV_ETB differs from beginning_balance",IF(AND(ISNUMBER(O3221),O3221&lt;0,ABS(L3221-(Q3221-IF(ISNUMBER(N3221),N3221,0)+IF(ISNUMBER(P3221),P3221,0)))&lt;=Summary!$B$2),"Negative realized loss not applied - check sign",IF(R3221&lt;0,"Principal paid exceeds prior balance",IF(AND(L3221&gt;Q3221,NOT(ISNUMBER(P3221))),"Balance increased but no Deferred_interest reported",IF(L3221&gt;R3221,"Reported balance higher than expected (missing increase/OC build)","Reported balance lower than expected (missing decrease)"))))),""))</f>
        <v/>
      </c>
    </row>
    <row r="3222" customFormat="false" ht="15" hidden="false" customHeight="false" outlineLevel="0" collapsed="false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9"/>
      <c r="L3222" s="9"/>
      <c r="M3222" s="9"/>
      <c r="N3222" s="9"/>
      <c r="O3222" s="9"/>
      <c r="P3222" s="9"/>
      <c r="Q3222" s="9"/>
      <c r="R3222" s="9" t="str">
        <f aca="false">IF(AND(A3222&lt;&gt;"",ISNUMBER(Q3222),ISNUMBER(L3222)),ROUND(Q3222-IF(ISNUMBER(N3222),N3222,0)-IF(ISNUMBER(O3222),O3222,0)+IF(ISNUMBER(P3222),P3222,0),2),"")</f>
        <v/>
      </c>
      <c r="S3222" s="9" t="str">
        <f aca="false">IF(R3222="","",ROUND(L3222-R3222,2))</f>
        <v/>
      </c>
      <c r="T3222" s="8" t="str">
        <f aca="false">IF(A3222="","",IF(S3222="","BYPASS",IF(ABS(S3222)&lt;=Summary!$B$2,"PASS","FAIL")))</f>
        <v/>
      </c>
      <c r="U3222" s="8" t="str">
        <f aca="false">IF(T3222="BYPASS",IF(NOT(ISNUMBER(Q3222)),"PreV_ETB missing","End_tr_balance missing"),IF(T3222="FAIL",IF(AND(ISNUMBER(K3222),ISNUMBER(L3222),ABS(L3222-(K3222-IF(ISNUMBER(N3222),N3222,0)-IF(ISNUMBER(O3222),O3222,0)+IF(ISNUMBER(P3222),P3222,0)))&lt;=Summary!$B$2),"Passes using beginning_balance - PreV_ETB differs from beginning_balance",IF(AND(ISNUMBER(O3222),O3222&lt;0,ABS(L3222-(Q3222-IF(ISNUMBER(N3222),N3222,0)+IF(ISNUMBER(P3222),P3222,0)))&lt;=Summary!$B$2),"Negative realized loss not applied - check sign",IF(R3222&lt;0,"Principal paid exceeds prior balance",IF(AND(L3222&gt;Q3222,NOT(ISNUMBER(P3222))),"Balance increased but no Deferred_interest reported",IF(L3222&gt;R3222,"Reported balance higher than expected (missing increase/OC build)","Reported balance lower than expected (missing decrease)"))))),""))</f>
        <v/>
      </c>
    </row>
    <row r="3223" customFormat="false" ht="15" hidden="false" customHeight="false" outlineLevel="0" collapsed="false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9"/>
      <c r="L3223" s="9"/>
      <c r="M3223" s="9"/>
      <c r="N3223" s="9"/>
      <c r="O3223" s="9"/>
      <c r="P3223" s="9"/>
      <c r="Q3223" s="9"/>
      <c r="R3223" s="9" t="str">
        <f aca="false">IF(AND(A3223&lt;&gt;"",ISNUMBER(Q3223),ISNUMBER(L3223)),ROUND(Q3223-IF(ISNUMBER(N3223),N3223,0)-IF(ISNUMBER(O3223),O3223,0)+IF(ISNUMBER(P3223),P3223,0),2),"")</f>
        <v/>
      </c>
      <c r="S3223" s="9" t="str">
        <f aca="false">IF(R3223="","",ROUND(L3223-R3223,2))</f>
        <v/>
      </c>
      <c r="T3223" s="8" t="str">
        <f aca="false">IF(A3223="","",IF(S3223="","BYPASS",IF(ABS(S3223)&lt;=Summary!$B$2,"PASS","FAIL")))</f>
        <v/>
      </c>
      <c r="U3223" s="8" t="str">
        <f aca="false">IF(T3223="BYPASS",IF(NOT(ISNUMBER(Q3223)),"PreV_ETB missing","End_tr_balance missing"),IF(T3223="FAIL",IF(AND(ISNUMBER(K3223),ISNUMBER(L3223),ABS(L3223-(K3223-IF(ISNUMBER(N3223),N3223,0)-IF(ISNUMBER(O3223),O3223,0)+IF(ISNUMBER(P3223),P3223,0)))&lt;=Summary!$B$2),"Passes using beginning_balance - PreV_ETB differs from beginning_balance",IF(AND(ISNUMBER(O3223),O3223&lt;0,ABS(L3223-(Q3223-IF(ISNUMBER(N3223),N3223,0)+IF(ISNUMBER(P3223),P3223,0)))&lt;=Summary!$B$2),"Negative realized loss not applied - check sign",IF(R3223&lt;0,"Principal paid exceeds prior balance",IF(AND(L3223&gt;Q3223,NOT(ISNUMBER(P3223))),"Balance increased but no Deferred_interest reported",IF(L3223&gt;R3223,"Reported balance higher than expected (missing increase/OC build)","Reported balance lower than expected (missing decrease)"))))),""))</f>
        <v/>
      </c>
    </row>
    <row r="3224" customFormat="false" ht="15" hidden="false" customHeight="false" outlineLevel="0" collapsed="false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9"/>
      <c r="L3224" s="9"/>
      <c r="M3224" s="9"/>
      <c r="N3224" s="9"/>
      <c r="O3224" s="9"/>
      <c r="P3224" s="9"/>
      <c r="Q3224" s="9"/>
      <c r="R3224" s="9" t="str">
        <f aca="false">IF(AND(A3224&lt;&gt;"",ISNUMBER(Q3224),ISNUMBER(L3224)),ROUND(Q3224-IF(ISNUMBER(N3224),N3224,0)-IF(ISNUMBER(O3224),O3224,0)+IF(ISNUMBER(P3224),P3224,0),2),"")</f>
        <v/>
      </c>
      <c r="S3224" s="9" t="str">
        <f aca="false">IF(R3224="","",ROUND(L3224-R3224,2))</f>
        <v/>
      </c>
      <c r="T3224" s="8" t="str">
        <f aca="false">IF(A3224="","",IF(S3224="","BYPASS",IF(ABS(S3224)&lt;=Summary!$B$2,"PASS","FAIL")))</f>
        <v/>
      </c>
      <c r="U3224" s="8" t="str">
        <f aca="false">IF(T3224="BYPASS",IF(NOT(ISNUMBER(Q3224)),"PreV_ETB missing","End_tr_balance missing"),IF(T3224="FAIL",IF(AND(ISNUMBER(K3224),ISNUMBER(L3224),ABS(L3224-(K3224-IF(ISNUMBER(N3224),N3224,0)-IF(ISNUMBER(O3224),O3224,0)+IF(ISNUMBER(P3224),P3224,0)))&lt;=Summary!$B$2),"Passes using beginning_balance - PreV_ETB differs from beginning_balance",IF(AND(ISNUMBER(O3224),O3224&lt;0,ABS(L3224-(Q3224-IF(ISNUMBER(N3224),N3224,0)+IF(ISNUMBER(P3224),P3224,0)))&lt;=Summary!$B$2),"Negative realized loss not applied - check sign",IF(R3224&lt;0,"Principal paid exceeds prior balance",IF(AND(L3224&gt;Q3224,NOT(ISNUMBER(P3224))),"Balance increased but no Deferred_interest reported",IF(L3224&gt;R3224,"Reported balance higher than expected (missing increase/OC build)","Reported balance lower than expected (missing decrease)"))))),""))</f>
        <v/>
      </c>
    </row>
    <row r="3225" customFormat="false" ht="15" hidden="false" customHeight="false" outlineLevel="0" collapsed="false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9"/>
      <c r="L3225" s="9"/>
      <c r="M3225" s="9"/>
      <c r="N3225" s="9"/>
      <c r="O3225" s="9"/>
      <c r="P3225" s="9"/>
      <c r="Q3225" s="9"/>
      <c r="R3225" s="9" t="str">
        <f aca="false">IF(AND(A3225&lt;&gt;"",ISNUMBER(Q3225),ISNUMBER(L3225)),ROUND(Q3225-IF(ISNUMBER(N3225),N3225,0)-IF(ISNUMBER(O3225),O3225,0)+IF(ISNUMBER(P3225),P3225,0),2),"")</f>
        <v/>
      </c>
      <c r="S3225" s="9" t="str">
        <f aca="false">IF(R3225="","",ROUND(L3225-R3225,2))</f>
        <v/>
      </c>
      <c r="T3225" s="8" t="str">
        <f aca="false">IF(A3225="","",IF(S3225="","BYPASS",IF(ABS(S3225)&lt;=Summary!$B$2,"PASS","FAIL")))</f>
        <v/>
      </c>
      <c r="U3225" s="8" t="str">
        <f aca="false">IF(T3225="BYPASS",IF(NOT(ISNUMBER(Q3225)),"PreV_ETB missing","End_tr_balance missing"),IF(T3225="FAIL",IF(AND(ISNUMBER(K3225),ISNUMBER(L3225),ABS(L3225-(K3225-IF(ISNUMBER(N3225),N3225,0)-IF(ISNUMBER(O3225),O3225,0)+IF(ISNUMBER(P3225),P3225,0)))&lt;=Summary!$B$2),"Passes using beginning_balance - PreV_ETB differs from beginning_balance",IF(AND(ISNUMBER(O3225),O3225&lt;0,ABS(L3225-(Q3225-IF(ISNUMBER(N3225),N3225,0)+IF(ISNUMBER(P3225),P3225,0)))&lt;=Summary!$B$2),"Negative realized loss not applied - check sign",IF(R3225&lt;0,"Principal paid exceeds prior balance",IF(AND(L3225&gt;Q3225,NOT(ISNUMBER(P3225))),"Balance increased but no Deferred_interest reported",IF(L3225&gt;R3225,"Reported balance higher than expected (missing increase/OC build)","Reported balance lower than expected (missing decrease)"))))),""))</f>
        <v/>
      </c>
    </row>
    <row r="3226" customFormat="false" ht="15" hidden="false" customHeight="false" outlineLevel="0" collapsed="false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9"/>
      <c r="L3226" s="9"/>
      <c r="M3226" s="9"/>
      <c r="N3226" s="9"/>
      <c r="O3226" s="9"/>
      <c r="P3226" s="9"/>
      <c r="Q3226" s="9"/>
      <c r="R3226" s="9" t="str">
        <f aca="false">IF(AND(A3226&lt;&gt;"",ISNUMBER(Q3226),ISNUMBER(L3226)),ROUND(Q3226-IF(ISNUMBER(N3226),N3226,0)-IF(ISNUMBER(O3226),O3226,0)+IF(ISNUMBER(P3226),P3226,0),2),"")</f>
        <v/>
      </c>
      <c r="S3226" s="9" t="str">
        <f aca="false">IF(R3226="","",ROUND(L3226-R3226,2))</f>
        <v/>
      </c>
      <c r="T3226" s="8" t="str">
        <f aca="false">IF(A3226="","",IF(S3226="","BYPASS",IF(ABS(S3226)&lt;=Summary!$B$2,"PASS","FAIL")))</f>
        <v/>
      </c>
      <c r="U3226" s="8" t="str">
        <f aca="false">IF(T3226="BYPASS",IF(NOT(ISNUMBER(Q3226)),"PreV_ETB missing","End_tr_balance missing"),IF(T3226="FAIL",IF(AND(ISNUMBER(K3226),ISNUMBER(L3226),ABS(L3226-(K3226-IF(ISNUMBER(N3226),N3226,0)-IF(ISNUMBER(O3226),O3226,0)+IF(ISNUMBER(P3226),P3226,0)))&lt;=Summary!$B$2),"Passes using beginning_balance - PreV_ETB differs from beginning_balance",IF(AND(ISNUMBER(O3226),O3226&lt;0,ABS(L3226-(Q3226-IF(ISNUMBER(N3226),N3226,0)+IF(ISNUMBER(P3226),P3226,0)))&lt;=Summary!$B$2),"Negative realized loss not applied - check sign",IF(R3226&lt;0,"Principal paid exceeds prior balance",IF(AND(L3226&gt;Q3226,NOT(ISNUMBER(P3226))),"Balance increased but no Deferred_interest reported",IF(L3226&gt;R3226,"Reported balance higher than expected (missing increase/OC build)","Reported balance lower than expected (missing decrease)"))))),""))</f>
        <v/>
      </c>
    </row>
    <row r="3227" customFormat="false" ht="15" hidden="false" customHeight="false" outlineLevel="0" collapsed="false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9"/>
      <c r="L3227" s="9"/>
      <c r="M3227" s="9"/>
      <c r="N3227" s="9"/>
      <c r="O3227" s="9"/>
      <c r="P3227" s="9"/>
      <c r="Q3227" s="9"/>
      <c r="R3227" s="9" t="str">
        <f aca="false">IF(AND(A3227&lt;&gt;"",ISNUMBER(Q3227),ISNUMBER(L3227)),ROUND(Q3227-IF(ISNUMBER(N3227),N3227,0)-IF(ISNUMBER(O3227),O3227,0)+IF(ISNUMBER(P3227),P3227,0),2),"")</f>
        <v/>
      </c>
      <c r="S3227" s="9" t="str">
        <f aca="false">IF(R3227="","",ROUND(L3227-R3227,2))</f>
        <v/>
      </c>
      <c r="T3227" s="8" t="str">
        <f aca="false">IF(A3227="","",IF(S3227="","BYPASS",IF(ABS(S3227)&lt;=Summary!$B$2,"PASS","FAIL")))</f>
        <v/>
      </c>
      <c r="U3227" s="8" t="str">
        <f aca="false">IF(T3227="BYPASS",IF(NOT(ISNUMBER(Q3227)),"PreV_ETB missing","End_tr_balance missing"),IF(T3227="FAIL",IF(AND(ISNUMBER(K3227),ISNUMBER(L3227),ABS(L3227-(K3227-IF(ISNUMBER(N3227),N3227,0)-IF(ISNUMBER(O3227),O3227,0)+IF(ISNUMBER(P3227),P3227,0)))&lt;=Summary!$B$2),"Passes using beginning_balance - PreV_ETB differs from beginning_balance",IF(AND(ISNUMBER(O3227),O3227&lt;0,ABS(L3227-(Q3227-IF(ISNUMBER(N3227),N3227,0)+IF(ISNUMBER(P3227),P3227,0)))&lt;=Summary!$B$2),"Negative realized loss not applied - check sign",IF(R3227&lt;0,"Principal paid exceeds prior balance",IF(AND(L3227&gt;Q3227,NOT(ISNUMBER(P3227))),"Balance increased but no Deferred_interest reported",IF(L3227&gt;R3227,"Reported balance higher than expected (missing increase/OC build)","Reported balance lower than expected (missing decrease)"))))),""))</f>
        <v/>
      </c>
    </row>
    <row r="3228" customFormat="false" ht="15" hidden="false" customHeight="false" outlineLevel="0" collapsed="false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9"/>
      <c r="L3228" s="9"/>
      <c r="M3228" s="9"/>
      <c r="N3228" s="9"/>
      <c r="O3228" s="9"/>
      <c r="P3228" s="9"/>
      <c r="Q3228" s="9"/>
      <c r="R3228" s="9" t="str">
        <f aca="false">IF(AND(A3228&lt;&gt;"",ISNUMBER(Q3228),ISNUMBER(L3228)),ROUND(Q3228-IF(ISNUMBER(N3228),N3228,0)-IF(ISNUMBER(O3228),O3228,0)+IF(ISNUMBER(P3228),P3228,0),2),"")</f>
        <v/>
      </c>
      <c r="S3228" s="9" t="str">
        <f aca="false">IF(R3228="","",ROUND(L3228-R3228,2))</f>
        <v/>
      </c>
      <c r="T3228" s="8" t="str">
        <f aca="false">IF(A3228="","",IF(S3228="","BYPASS",IF(ABS(S3228)&lt;=Summary!$B$2,"PASS","FAIL")))</f>
        <v/>
      </c>
      <c r="U3228" s="8" t="str">
        <f aca="false">IF(T3228="BYPASS",IF(NOT(ISNUMBER(Q3228)),"PreV_ETB missing","End_tr_balance missing"),IF(T3228="FAIL",IF(AND(ISNUMBER(K3228),ISNUMBER(L3228),ABS(L3228-(K3228-IF(ISNUMBER(N3228),N3228,0)-IF(ISNUMBER(O3228),O3228,0)+IF(ISNUMBER(P3228),P3228,0)))&lt;=Summary!$B$2),"Passes using beginning_balance - PreV_ETB differs from beginning_balance",IF(AND(ISNUMBER(O3228),O3228&lt;0,ABS(L3228-(Q3228-IF(ISNUMBER(N3228),N3228,0)+IF(ISNUMBER(P3228),P3228,0)))&lt;=Summary!$B$2),"Negative realized loss not applied - check sign",IF(R3228&lt;0,"Principal paid exceeds prior balance",IF(AND(L3228&gt;Q3228,NOT(ISNUMBER(P3228))),"Balance increased but no Deferred_interest reported",IF(L3228&gt;R3228,"Reported balance higher than expected (missing increase/OC build)","Reported balance lower than expected (missing decrease)"))))),""))</f>
        <v/>
      </c>
    </row>
    <row r="3229" customFormat="false" ht="15" hidden="false" customHeight="false" outlineLevel="0" collapsed="false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9"/>
      <c r="L3229" s="9"/>
      <c r="M3229" s="9"/>
      <c r="N3229" s="9"/>
      <c r="O3229" s="9"/>
      <c r="P3229" s="9"/>
      <c r="Q3229" s="9"/>
      <c r="R3229" s="9" t="str">
        <f aca="false">IF(AND(A3229&lt;&gt;"",ISNUMBER(Q3229),ISNUMBER(L3229)),ROUND(Q3229-IF(ISNUMBER(N3229),N3229,0)-IF(ISNUMBER(O3229),O3229,0)+IF(ISNUMBER(P3229),P3229,0),2),"")</f>
        <v/>
      </c>
      <c r="S3229" s="9" t="str">
        <f aca="false">IF(R3229="","",ROUND(L3229-R3229,2))</f>
        <v/>
      </c>
      <c r="T3229" s="8" t="str">
        <f aca="false">IF(A3229="","",IF(S3229="","BYPASS",IF(ABS(S3229)&lt;=Summary!$B$2,"PASS","FAIL")))</f>
        <v/>
      </c>
      <c r="U3229" s="8" t="str">
        <f aca="false">IF(T3229="BYPASS",IF(NOT(ISNUMBER(Q3229)),"PreV_ETB missing","End_tr_balance missing"),IF(T3229="FAIL",IF(AND(ISNUMBER(K3229),ISNUMBER(L3229),ABS(L3229-(K3229-IF(ISNUMBER(N3229),N3229,0)-IF(ISNUMBER(O3229),O3229,0)+IF(ISNUMBER(P3229),P3229,0)))&lt;=Summary!$B$2),"Passes using beginning_balance - PreV_ETB differs from beginning_balance",IF(AND(ISNUMBER(O3229),O3229&lt;0,ABS(L3229-(Q3229-IF(ISNUMBER(N3229),N3229,0)+IF(ISNUMBER(P3229),P3229,0)))&lt;=Summary!$B$2),"Negative realized loss not applied - check sign",IF(R3229&lt;0,"Principal paid exceeds prior balance",IF(AND(L3229&gt;Q3229,NOT(ISNUMBER(P3229))),"Balance increased but no Deferred_interest reported",IF(L3229&gt;R3229,"Reported balance higher than expected (missing increase/OC build)","Reported balance lower than expected (missing decrease)"))))),""))</f>
        <v/>
      </c>
    </row>
    <row r="3230" customFormat="false" ht="15" hidden="false" customHeight="false" outlineLevel="0" collapsed="false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9"/>
      <c r="L3230" s="9"/>
      <c r="M3230" s="9"/>
      <c r="N3230" s="9"/>
      <c r="O3230" s="9"/>
      <c r="P3230" s="9"/>
      <c r="Q3230" s="9"/>
      <c r="R3230" s="9" t="str">
        <f aca="false">IF(AND(A3230&lt;&gt;"",ISNUMBER(Q3230),ISNUMBER(L3230)),ROUND(Q3230-IF(ISNUMBER(N3230),N3230,0)-IF(ISNUMBER(O3230),O3230,0)+IF(ISNUMBER(P3230),P3230,0),2),"")</f>
        <v/>
      </c>
      <c r="S3230" s="9" t="str">
        <f aca="false">IF(R3230="","",ROUND(L3230-R3230,2))</f>
        <v/>
      </c>
      <c r="T3230" s="8" t="str">
        <f aca="false">IF(A3230="","",IF(S3230="","BYPASS",IF(ABS(S3230)&lt;=Summary!$B$2,"PASS","FAIL")))</f>
        <v/>
      </c>
      <c r="U3230" s="8" t="str">
        <f aca="false">IF(T3230="BYPASS",IF(NOT(ISNUMBER(Q3230)),"PreV_ETB missing","End_tr_balance missing"),IF(T3230="FAIL",IF(AND(ISNUMBER(K3230),ISNUMBER(L3230),ABS(L3230-(K3230-IF(ISNUMBER(N3230),N3230,0)-IF(ISNUMBER(O3230),O3230,0)+IF(ISNUMBER(P3230),P3230,0)))&lt;=Summary!$B$2),"Passes using beginning_balance - PreV_ETB differs from beginning_balance",IF(AND(ISNUMBER(O3230),O3230&lt;0,ABS(L3230-(Q3230-IF(ISNUMBER(N3230),N3230,0)+IF(ISNUMBER(P3230),P3230,0)))&lt;=Summary!$B$2),"Negative realized loss not applied - check sign",IF(R3230&lt;0,"Principal paid exceeds prior balance",IF(AND(L3230&gt;Q3230,NOT(ISNUMBER(P3230))),"Balance increased but no Deferred_interest reported",IF(L3230&gt;R3230,"Reported balance higher than expected (missing increase/OC build)","Reported balance lower than expected (missing decrease)"))))),""))</f>
        <v/>
      </c>
    </row>
    <row r="3231" customFormat="false" ht="15" hidden="false" customHeight="false" outlineLevel="0" collapsed="false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9"/>
      <c r="L3231" s="9"/>
      <c r="M3231" s="9"/>
      <c r="N3231" s="9"/>
      <c r="O3231" s="9"/>
      <c r="P3231" s="9"/>
      <c r="Q3231" s="9"/>
      <c r="R3231" s="9" t="str">
        <f aca="false">IF(AND(A3231&lt;&gt;"",ISNUMBER(Q3231),ISNUMBER(L3231)),ROUND(Q3231-IF(ISNUMBER(N3231),N3231,0)-IF(ISNUMBER(O3231),O3231,0)+IF(ISNUMBER(P3231),P3231,0),2),"")</f>
        <v/>
      </c>
      <c r="S3231" s="9" t="str">
        <f aca="false">IF(R3231="","",ROUND(L3231-R3231,2))</f>
        <v/>
      </c>
      <c r="T3231" s="8" t="str">
        <f aca="false">IF(A3231="","",IF(S3231="","BYPASS",IF(ABS(S3231)&lt;=Summary!$B$2,"PASS","FAIL")))</f>
        <v/>
      </c>
      <c r="U3231" s="8" t="str">
        <f aca="false">IF(T3231="BYPASS",IF(NOT(ISNUMBER(Q3231)),"PreV_ETB missing","End_tr_balance missing"),IF(T3231="FAIL",IF(AND(ISNUMBER(K3231),ISNUMBER(L3231),ABS(L3231-(K3231-IF(ISNUMBER(N3231),N3231,0)-IF(ISNUMBER(O3231),O3231,0)+IF(ISNUMBER(P3231),P3231,0)))&lt;=Summary!$B$2),"Passes using beginning_balance - PreV_ETB differs from beginning_balance",IF(AND(ISNUMBER(O3231),O3231&lt;0,ABS(L3231-(Q3231-IF(ISNUMBER(N3231),N3231,0)+IF(ISNUMBER(P3231),P3231,0)))&lt;=Summary!$B$2),"Negative realized loss not applied - check sign",IF(R3231&lt;0,"Principal paid exceeds prior balance",IF(AND(L3231&gt;Q3231,NOT(ISNUMBER(P3231))),"Balance increased but no Deferred_interest reported",IF(L3231&gt;R3231,"Reported balance higher than expected (missing increase/OC build)","Reported balance lower than expected (missing decrease)"))))),""))</f>
        <v/>
      </c>
    </row>
    <row r="3232" customFormat="false" ht="15" hidden="false" customHeight="false" outlineLevel="0" collapsed="false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9"/>
      <c r="L3232" s="9"/>
      <c r="M3232" s="9"/>
      <c r="N3232" s="9"/>
      <c r="O3232" s="9"/>
      <c r="P3232" s="9"/>
      <c r="Q3232" s="9"/>
      <c r="R3232" s="9" t="str">
        <f aca="false">IF(AND(A3232&lt;&gt;"",ISNUMBER(Q3232),ISNUMBER(L3232)),ROUND(Q3232-IF(ISNUMBER(N3232),N3232,0)-IF(ISNUMBER(O3232),O3232,0)+IF(ISNUMBER(P3232),P3232,0),2),"")</f>
        <v/>
      </c>
      <c r="S3232" s="9" t="str">
        <f aca="false">IF(R3232="","",ROUND(L3232-R3232,2))</f>
        <v/>
      </c>
      <c r="T3232" s="8" t="str">
        <f aca="false">IF(A3232="","",IF(S3232="","BYPASS",IF(ABS(S3232)&lt;=Summary!$B$2,"PASS","FAIL")))</f>
        <v/>
      </c>
      <c r="U3232" s="8" t="str">
        <f aca="false">IF(T3232="BYPASS",IF(NOT(ISNUMBER(Q3232)),"PreV_ETB missing","End_tr_balance missing"),IF(T3232="FAIL",IF(AND(ISNUMBER(K3232),ISNUMBER(L3232),ABS(L3232-(K3232-IF(ISNUMBER(N3232),N3232,0)-IF(ISNUMBER(O3232),O3232,0)+IF(ISNUMBER(P3232),P3232,0)))&lt;=Summary!$B$2),"Passes using beginning_balance - PreV_ETB differs from beginning_balance",IF(AND(ISNUMBER(O3232),O3232&lt;0,ABS(L3232-(Q3232-IF(ISNUMBER(N3232),N3232,0)+IF(ISNUMBER(P3232),P3232,0)))&lt;=Summary!$B$2),"Negative realized loss not applied - check sign",IF(R3232&lt;0,"Principal paid exceeds prior balance",IF(AND(L3232&gt;Q3232,NOT(ISNUMBER(P3232))),"Balance increased but no Deferred_interest reported",IF(L3232&gt;R3232,"Reported balance higher than expected (missing increase/OC build)","Reported balance lower than expected (missing decrease)"))))),""))</f>
        <v/>
      </c>
    </row>
    <row r="3233" customFormat="false" ht="15" hidden="false" customHeight="false" outlineLevel="0" collapsed="false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9"/>
      <c r="L3233" s="9"/>
      <c r="M3233" s="9"/>
      <c r="N3233" s="9"/>
      <c r="O3233" s="9"/>
      <c r="P3233" s="9"/>
      <c r="Q3233" s="9"/>
      <c r="R3233" s="9" t="str">
        <f aca="false">IF(AND(A3233&lt;&gt;"",ISNUMBER(Q3233),ISNUMBER(L3233)),ROUND(Q3233-IF(ISNUMBER(N3233),N3233,0)-IF(ISNUMBER(O3233),O3233,0)+IF(ISNUMBER(P3233),P3233,0),2),"")</f>
        <v/>
      </c>
      <c r="S3233" s="9" t="str">
        <f aca="false">IF(R3233="","",ROUND(L3233-R3233,2))</f>
        <v/>
      </c>
      <c r="T3233" s="8" t="str">
        <f aca="false">IF(A3233="","",IF(S3233="","BYPASS",IF(ABS(S3233)&lt;=Summary!$B$2,"PASS","FAIL")))</f>
        <v/>
      </c>
      <c r="U3233" s="8" t="str">
        <f aca="false">IF(T3233="BYPASS",IF(NOT(ISNUMBER(Q3233)),"PreV_ETB missing","End_tr_balance missing"),IF(T3233="FAIL",IF(AND(ISNUMBER(K3233),ISNUMBER(L3233),ABS(L3233-(K3233-IF(ISNUMBER(N3233),N3233,0)-IF(ISNUMBER(O3233),O3233,0)+IF(ISNUMBER(P3233),P3233,0)))&lt;=Summary!$B$2),"Passes using beginning_balance - PreV_ETB differs from beginning_balance",IF(AND(ISNUMBER(O3233),O3233&lt;0,ABS(L3233-(Q3233-IF(ISNUMBER(N3233),N3233,0)+IF(ISNUMBER(P3233),P3233,0)))&lt;=Summary!$B$2),"Negative realized loss not applied - check sign",IF(R3233&lt;0,"Principal paid exceeds prior balance",IF(AND(L3233&gt;Q3233,NOT(ISNUMBER(P3233))),"Balance increased but no Deferred_interest reported",IF(L3233&gt;R3233,"Reported balance higher than expected (missing increase/OC build)","Reported balance lower than expected (missing decrease)"))))),""))</f>
        <v/>
      </c>
    </row>
    <row r="3234" customFormat="false" ht="15" hidden="false" customHeight="false" outlineLevel="0" collapsed="false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9"/>
      <c r="L3234" s="9"/>
      <c r="M3234" s="9"/>
      <c r="N3234" s="9"/>
      <c r="O3234" s="9"/>
      <c r="P3234" s="9"/>
      <c r="Q3234" s="9"/>
      <c r="R3234" s="9" t="str">
        <f aca="false">IF(AND(A3234&lt;&gt;"",ISNUMBER(Q3234),ISNUMBER(L3234)),ROUND(Q3234-IF(ISNUMBER(N3234),N3234,0)-IF(ISNUMBER(O3234),O3234,0)+IF(ISNUMBER(P3234),P3234,0),2),"")</f>
        <v/>
      </c>
      <c r="S3234" s="9" t="str">
        <f aca="false">IF(R3234="","",ROUND(L3234-R3234,2))</f>
        <v/>
      </c>
      <c r="T3234" s="8" t="str">
        <f aca="false">IF(A3234="","",IF(S3234="","BYPASS",IF(ABS(S3234)&lt;=Summary!$B$2,"PASS","FAIL")))</f>
        <v/>
      </c>
      <c r="U3234" s="8" t="str">
        <f aca="false">IF(T3234="BYPASS",IF(NOT(ISNUMBER(Q3234)),"PreV_ETB missing","End_tr_balance missing"),IF(T3234="FAIL",IF(AND(ISNUMBER(K3234),ISNUMBER(L3234),ABS(L3234-(K3234-IF(ISNUMBER(N3234),N3234,0)-IF(ISNUMBER(O3234),O3234,0)+IF(ISNUMBER(P3234),P3234,0)))&lt;=Summary!$B$2),"Passes using beginning_balance - PreV_ETB differs from beginning_balance",IF(AND(ISNUMBER(O3234),O3234&lt;0,ABS(L3234-(Q3234-IF(ISNUMBER(N3234),N3234,0)+IF(ISNUMBER(P3234),P3234,0)))&lt;=Summary!$B$2),"Negative realized loss not applied - check sign",IF(R3234&lt;0,"Principal paid exceeds prior balance",IF(AND(L3234&gt;Q3234,NOT(ISNUMBER(P3234))),"Balance increased but no Deferred_interest reported",IF(L3234&gt;R3234,"Reported balance higher than expected (missing increase/OC build)","Reported balance lower than expected (missing decrease)"))))),""))</f>
        <v/>
      </c>
    </row>
    <row r="3235" customFormat="false" ht="15" hidden="false" customHeight="false" outlineLevel="0" collapsed="false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9"/>
      <c r="L3235" s="9"/>
      <c r="M3235" s="9"/>
      <c r="N3235" s="9"/>
      <c r="O3235" s="9"/>
      <c r="P3235" s="9"/>
      <c r="Q3235" s="9"/>
      <c r="R3235" s="9" t="str">
        <f aca="false">IF(AND(A3235&lt;&gt;"",ISNUMBER(Q3235),ISNUMBER(L3235)),ROUND(Q3235-IF(ISNUMBER(N3235),N3235,0)-IF(ISNUMBER(O3235),O3235,0)+IF(ISNUMBER(P3235),P3235,0),2),"")</f>
        <v/>
      </c>
      <c r="S3235" s="9" t="str">
        <f aca="false">IF(R3235="","",ROUND(L3235-R3235,2))</f>
        <v/>
      </c>
      <c r="T3235" s="8" t="str">
        <f aca="false">IF(A3235="","",IF(S3235="","BYPASS",IF(ABS(S3235)&lt;=Summary!$B$2,"PASS","FAIL")))</f>
        <v/>
      </c>
      <c r="U3235" s="8" t="str">
        <f aca="false">IF(T3235="BYPASS",IF(NOT(ISNUMBER(Q3235)),"PreV_ETB missing","End_tr_balance missing"),IF(T3235="FAIL",IF(AND(ISNUMBER(K3235),ISNUMBER(L3235),ABS(L3235-(K3235-IF(ISNUMBER(N3235),N3235,0)-IF(ISNUMBER(O3235),O3235,0)+IF(ISNUMBER(P3235),P3235,0)))&lt;=Summary!$B$2),"Passes using beginning_balance - PreV_ETB differs from beginning_balance",IF(AND(ISNUMBER(O3235),O3235&lt;0,ABS(L3235-(Q3235-IF(ISNUMBER(N3235),N3235,0)+IF(ISNUMBER(P3235),P3235,0)))&lt;=Summary!$B$2),"Negative realized loss not applied - check sign",IF(R3235&lt;0,"Principal paid exceeds prior balance",IF(AND(L3235&gt;Q3235,NOT(ISNUMBER(P3235))),"Balance increased but no Deferred_interest reported",IF(L3235&gt;R3235,"Reported balance higher than expected (missing increase/OC build)","Reported balance lower than expected (missing decrease)"))))),""))</f>
        <v/>
      </c>
    </row>
    <row r="3236" customFormat="false" ht="15" hidden="false" customHeight="false" outlineLevel="0" collapsed="false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9"/>
      <c r="L3236" s="9"/>
      <c r="M3236" s="9"/>
      <c r="N3236" s="9"/>
      <c r="O3236" s="9"/>
      <c r="P3236" s="9"/>
      <c r="Q3236" s="9"/>
      <c r="R3236" s="9" t="str">
        <f aca="false">IF(AND(A3236&lt;&gt;"",ISNUMBER(Q3236),ISNUMBER(L3236)),ROUND(Q3236-IF(ISNUMBER(N3236),N3236,0)-IF(ISNUMBER(O3236),O3236,0)+IF(ISNUMBER(P3236),P3236,0),2),"")</f>
        <v/>
      </c>
      <c r="S3236" s="9" t="str">
        <f aca="false">IF(R3236="","",ROUND(L3236-R3236,2))</f>
        <v/>
      </c>
      <c r="T3236" s="8" t="str">
        <f aca="false">IF(A3236="","",IF(S3236="","BYPASS",IF(ABS(S3236)&lt;=Summary!$B$2,"PASS","FAIL")))</f>
        <v/>
      </c>
      <c r="U3236" s="8" t="str">
        <f aca="false">IF(T3236="BYPASS",IF(NOT(ISNUMBER(Q3236)),"PreV_ETB missing","End_tr_balance missing"),IF(T3236="FAIL",IF(AND(ISNUMBER(K3236),ISNUMBER(L3236),ABS(L3236-(K3236-IF(ISNUMBER(N3236),N3236,0)-IF(ISNUMBER(O3236),O3236,0)+IF(ISNUMBER(P3236),P3236,0)))&lt;=Summary!$B$2),"Passes using beginning_balance - PreV_ETB differs from beginning_balance",IF(AND(ISNUMBER(O3236),O3236&lt;0,ABS(L3236-(Q3236-IF(ISNUMBER(N3236),N3236,0)+IF(ISNUMBER(P3236),P3236,0)))&lt;=Summary!$B$2),"Negative realized loss not applied - check sign",IF(R3236&lt;0,"Principal paid exceeds prior balance",IF(AND(L3236&gt;Q3236,NOT(ISNUMBER(P3236))),"Balance increased but no Deferred_interest reported",IF(L3236&gt;R3236,"Reported balance higher than expected (missing increase/OC build)","Reported balance lower than expected (missing decrease)"))))),""))</f>
        <v/>
      </c>
    </row>
    <row r="3237" customFormat="false" ht="15" hidden="false" customHeight="false" outlineLevel="0" collapsed="false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9"/>
      <c r="L3237" s="9"/>
      <c r="M3237" s="9"/>
      <c r="N3237" s="9"/>
      <c r="O3237" s="9"/>
      <c r="P3237" s="9"/>
      <c r="Q3237" s="9"/>
      <c r="R3237" s="9" t="str">
        <f aca="false">IF(AND(A3237&lt;&gt;"",ISNUMBER(Q3237),ISNUMBER(L3237)),ROUND(Q3237-IF(ISNUMBER(N3237),N3237,0)-IF(ISNUMBER(O3237),O3237,0)+IF(ISNUMBER(P3237),P3237,0),2),"")</f>
        <v/>
      </c>
      <c r="S3237" s="9" t="str">
        <f aca="false">IF(R3237="","",ROUND(L3237-R3237,2))</f>
        <v/>
      </c>
      <c r="T3237" s="8" t="str">
        <f aca="false">IF(A3237="","",IF(S3237="","BYPASS",IF(ABS(S3237)&lt;=Summary!$B$2,"PASS","FAIL")))</f>
        <v/>
      </c>
      <c r="U3237" s="8" t="str">
        <f aca="false">IF(T3237="BYPASS",IF(NOT(ISNUMBER(Q3237)),"PreV_ETB missing","End_tr_balance missing"),IF(T3237="FAIL",IF(AND(ISNUMBER(K3237),ISNUMBER(L3237),ABS(L3237-(K3237-IF(ISNUMBER(N3237),N3237,0)-IF(ISNUMBER(O3237),O3237,0)+IF(ISNUMBER(P3237),P3237,0)))&lt;=Summary!$B$2),"Passes using beginning_balance - PreV_ETB differs from beginning_balance",IF(AND(ISNUMBER(O3237),O3237&lt;0,ABS(L3237-(Q3237-IF(ISNUMBER(N3237),N3237,0)+IF(ISNUMBER(P3237),P3237,0)))&lt;=Summary!$B$2),"Negative realized loss not applied - check sign",IF(R3237&lt;0,"Principal paid exceeds prior balance",IF(AND(L3237&gt;Q3237,NOT(ISNUMBER(P3237))),"Balance increased but no Deferred_interest reported",IF(L3237&gt;R3237,"Reported balance higher than expected (missing increase/OC build)","Reported balance lower than expected (missing decrease)"))))),""))</f>
        <v/>
      </c>
    </row>
    <row r="3238" customFormat="false" ht="15" hidden="false" customHeight="false" outlineLevel="0" collapsed="false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9"/>
      <c r="L3238" s="9"/>
      <c r="M3238" s="9"/>
      <c r="N3238" s="9"/>
      <c r="O3238" s="9"/>
      <c r="P3238" s="9"/>
      <c r="Q3238" s="9"/>
      <c r="R3238" s="9" t="str">
        <f aca="false">IF(AND(A3238&lt;&gt;"",ISNUMBER(Q3238),ISNUMBER(L3238)),ROUND(Q3238-IF(ISNUMBER(N3238),N3238,0)-IF(ISNUMBER(O3238),O3238,0)+IF(ISNUMBER(P3238),P3238,0),2),"")</f>
        <v/>
      </c>
      <c r="S3238" s="9" t="str">
        <f aca="false">IF(R3238="","",ROUND(L3238-R3238,2))</f>
        <v/>
      </c>
      <c r="T3238" s="8" t="str">
        <f aca="false">IF(A3238="","",IF(S3238="","BYPASS",IF(ABS(S3238)&lt;=Summary!$B$2,"PASS","FAIL")))</f>
        <v/>
      </c>
      <c r="U3238" s="8" t="str">
        <f aca="false">IF(T3238="BYPASS",IF(NOT(ISNUMBER(Q3238)),"PreV_ETB missing","End_tr_balance missing"),IF(T3238="FAIL",IF(AND(ISNUMBER(K3238),ISNUMBER(L3238),ABS(L3238-(K3238-IF(ISNUMBER(N3238),N3238,0)-IF(ISNUMBER(O3238),O3238,0)+IF(ISNUMBER(P3238),P3238,0)))&lt;=Summary!$B$2),"Passes using beginning_balance - PreV_ETB differs from beginning_balance",IF(AND(ISNUMBER(O3238),O3238&lt;0,ABS(L3238-(Q3238-IF(ISNUMBER(N3238),N3238,0)+IF(ISNUMBER(P3238),P3238,0)))&lt;=Summary!$B$2),"Negative realized loss not applied - check sign",IF(R3238&lt;0,"Principal paid exceeds prior balance",IF(AND(L3238&gt;Q3238,NOT(ISNUMBER(P3238))),"Balance increased but no Deferred_interest reported",IF(L3238&gt;R3238,"Reported balance higher than expected (missing increase/OC build)","Reported balance lower than expected (missing decrease)"))))),""))</f>
        <v/>
      </c>
    </row>
    <row r="3239" customFormat="false" ht="15" hidden="false" customHeight="false" outlineLevel="0" collapsed="false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9"/>
      <c r="L3239" s="9"/>
      <c r="M3239" s="9"/>
      <c r="N3239" s="9"/>
      <c r="O3239" s="9"/>
      <c r="P3239" s="9"/>
      <c r="Q3239" s="9"/>
      <c r="R3239" s="9" t="str">
        <f aca="false">IF(AND(A3239&lt;&gt;"",ISNUMBER(Q3239),ISNUMBER(L3239)),ROUND(Q3239-IF(ISNUMBER(N3239),N3239,0)-IF(ISNUMBER(O3239),O3239,0)+IF(ISNUMBER(P3239),P3239,0),2),"")</f>
        <v/>
      </c>
      <c r="S3239" s="9" t="str">
        <f aca="false">IF(R3239="","",ROUND(L3239-R3239,2))</f>
        <v/>
      </c>
      <c r="T3239" s="8" t="str">
        <f aca="false">IF(A3239="","",IF(S3239="","BYPASS",IF(ABS(S3239)&lt;=Summary!$B$2,"PASS","FAIL")))</f>
        <v/>
      </c>
      <c r="U3239" s="8" t="str">
        <f aca="false">IF(T3239="BYPASS",IF(NOT(ISNUMBER(Q3239)),"PreV_ETB missing","End_tr_balance missing"),IF(T3239="FAIL",IF(AND(ISNUMBER(K3239),ISNUMBER(L3239),ABS(L3239-(K3239-IF(ISNUMBER(N3239),N3239,0)-IF(ISNUMBER(O3239),O3239,0)+IF(ISNUMBER(P3239),P3239,0)))&lt;=Summary!$B$2),"Passes using beginning_balance - PreV_ETB differs from beginning_balance",IF(AND(ISNUMBER(O3239),O3239&lt;0,ABS(L3239-(Q3239-IF(ISNUMBER(N3239),N3239,0)+IF(ISNUMBER(P3239),P3239,0)))&lt;=Summary!$B$2),"Negative realized loss not applied - check sign",IF(R3239&lt;0,"Principal paid exceeds prior balance",IF(AND(L3239&gt;Q3239,NOT(ISNUMBER(P3239))),"Balance increased but no Deferred_interest reported",IF(L3239&gt;R3239,"Reported balance higher than expected (missing increase/OC build)","Reported balance lower than expected (missing decrease)"))))),""))</f>
        <v/>
      </c>
    </row>
    <row r="3240" customFormat="false" ht="15" hidden="false" customHeight="false" outlineLevel="0" collapsed="false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9"/>
      <c r="L3240" s="9"/>
      <c r="M3240" s="9"/>
      <c r="N3240" s="9"/>
      <c r="O3240" s="9"/>
      <c r="P3240" s="9"/>
      <c r="Q3240" s="9"/>
      <c r="R3240" s="9" t="str">
        <f aca="false">IF(AND(A3240&lt;&gt;"",ISNUMBER(Q3240),ISNUMBER(L3240)),ROUND(Q3240-IF(ISNUMBER(N3240),N3240,0)-IF(ISNUMBER(O3240),O3240,0)+IF(ISNUMBER(P3240),P3240,0),2),"")</f>
        <v/>
      </c>
      <c r="S3240" s="9" t="str">
        <f aca="false">IF(R3240="","",ROUND(L3240-R3240,2))</f>
        <v/>
      </c>
      <c r="T3240" s="8" t="str">
        <f aca="false">IF(A3240="","",IF(S3240="","BYPASS",IF(ABS(S3240)&lt;=Summary!$B$2,"PASS","FAIL")))</f>
        <v/>
      </c>
      <c r="U3240" s="8" t="str">
        <f aca="false">IF(T3240="BYPASS",IF(NOT(ISNUMBER(Q3240)),"PreV_ETB missing","End_tr_balance missing"),IF(T3240="FAIL",IF(AND(ISNUMBER(K3240),ISNUMBER(L3240),ABS(L3240-(K3240-IF(ISNUMBER(N3240),N3240,0)-IF(ISNUMBER(O3240),O3240,0)+IF(ISNUMBER(P3240),P3240,0)))&lt;=Summary!$B$2),"Passes using beginning_balance - PreV_ETB differs from beginning_balance",IF(AND(ISNUMBER(O3240),O3240&lt;0,ABS(L3240-(Q3240-IF(ISNUMBER(N3240),N3240,0)+IF(ISNUMBER(P3240),P3240,0)))&lt;=Summary!$B$2),"Negative realized loss not applied - check sign",IF(R3240&lt;0,"Principal paid exceeds prior balance",IF(AND(L3240&gt;Q3240,NOT(ISNUMBER(P3240))),"Balance increased but no Deferred_interest reported",IF(L3240&gt;R3240,"Reported balance higher than expected (missing increase/OC build)","Reported balance lower than expected (missing decrease)"))))),""))</f>
        <v/>
      </c>
    </row>
    <row r="3241" customFormat="false" ht="15" hidden="false" customHeight="false" outlineLevel="0" collapsed="false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9"/>
      <c r="L3241" s="9"/>
      <c r="M3241" s="9"/>
      <c r="N3241" s="9"/>
      <c r="O3241" s="9"/>
      <c r="P3241" s="9"/>
      <c r="Q3241" s="9"/>
      <c r="R3241" s="9" t="str">
        <f aca="false">IF(AND(A3241&lt;&gt;"",ISNUMBER(Q3241),ISNUMBER(L3241)),ROUND(Q3241-IF(ISNUMBER(N3241),N3241,0)-IF(ISNUMBER(O3241),O3241,0)+IF(ISNUMBER(P3241),P3241,0),2),"")</f>
        <v/>
      </c>
      <c r="S3241" s="9" t="str">
        <f aca="false">IF(R3241="","",ROUND(L3241-R3241,2))</f>
        <v/>
      </c>
      <c r="T3241" s="8" t="str">
        <f aca="false">IF(A3241="","",IF(S3241="","BYPASS",IF(ABS(S3241)&lt;=Summary!$B$2,"PASS","FAIL")))</f>
        <v/>
      </c>
      <c r="U3241" s="8" t="str">
        <f aca="false">IF(T3241="BYPASS",IF(NOT(ISNUMBER(Q3241)),"PreV_ETB missing","End_tr_balance missing"),IF(T3241="FAIL",IF(AND(ISNUMBER(K3241),ISNUMBER(L3241),ABS(L3241-(K3241-IF(ISNUMBER(N3241),N3241,0)-IF(ISNUMBER(O3241),O3241,0)+IF(ISNUMBER(P3241),P3241,0)))&lt;=Summary!$B$2),"Passes using beginning_balance - PreV_ETB differs from beginning_balance",IF(AND(ISNUMBER(O3241),O3241&lt;0,ABS(L3241-(Q3241-IF(ISNUMBER(N3241),N3241,0)+IF(ISNUMBER(P3241),P3241,0)))&lt;=Summary!$B$2),"Negative realized loss not applied - check sign",IF(R3241&lt;0,"Principal paid exceeds prior balance",IF(AND(L3241&gt;Q3241,NOT(ISNUMBER(P3241))),"Balance increased but no Deferred_interest reported",IF(L3241&gt;R3241,"Reported balance higher than expected (missing increase/OC build)","Reported balance lower than expected (missing decrease)"))))),""))</f>
        <v/>
      </c>
    </row>
    <row r="3242" customFormat="false" ht="15" hidden="false" customHeight="false" outlineLevel="0" collapsed="false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9"/>
      <c r="L3242" s="9"/>
      <c r="M3242" s="9"/>
      <c r="N3242" s="9"/>
      <c r="O3242" s="9"/>
      <c r="P3242" s="9"/>
      <c r="Q3242" s="9"/>
      <c r="R3242" s="9" t="str">
        <f aca="false">IF(AND(A3242&lt;&gt;"",ISNUMBER(Q3242),ISNUMBER(L3242)),ROUND(Q3242-IF(ISNUMBER(N3242),N3242,0)-IF(ISNUMBER(O3242),O3242,0)+IF(ISNUMBER(P3242),P3242,0),2),"")</f>
        <v/>
      </c>
      <c r="S3242" s="9" t="str">
        <f aca="false">IF(R3242="","",ROUND(L3242-R3242,2))</f>
        <v/>
      </c>
      <c r="T3242" s="8" t="str">
        <f aca="false">IF(A3242="","",IF(S3242="","BYPASS",IF(ABS(S3242)&lt;=Summary!$B$2,"PASS","FAIL")))</f>
        <v/>
      </c>
      <c r="U3242" s="8" t="str">
        <f aca="false">IF(T3242="BYPASS",IF(NOT(ISNUMBER(Q3242)),"PreV_ETB missing","End_tr_balance missing"),IF(T3242="FAIL",IF(AND(ISNUMBER(K3242),ISNUMBER(L3242),ABS(L3242-(K3242-IF(ISNUMBER(N3242),N3242,0)-IF(ISNUMBER(O3242),O3242,0)+IF(ISNUMBER(P3242),P3242,0)))&lt;=Summary!$B$2),"Passes using beginning_balance - PreV_ETB differs from beginning_balance",IF(AND(ISNUMBER(O3242),O3242&lt;0,ABS(L3242-(Q3242-IF(ISNUMBER(N3242),N3242,0)+IF(ISNUMBER(P3242),P3242,0)))&lt;=Summary!$B$2),"Negative realized loss not applied - check sign",IF(R3242&lt;0,"Principal paid exceeds prior balance",IF(AND(L3242&gt;Q3242,NOT(ISNUMBER(P3242))),"Balance increased but no Deferred_interest reported",IF(L3242&gt;R3242,"Reported balance higher than expected (missing increase/OC build)","Reported balance lower than expected (missing decrease)"))))),""))</f>
        <v/>
      </c>
    </row>
    <row r="3243" customFormat="false" ht="15" hidden="false" customHeight="false" outlineLevel="0" collapsed="false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9"/>
      <c r="L3243" s="9"/>
      <c r="M3243" s="9"/>
      <c r="N3243" s="9"/>
      <c r="O3243" s="9"/>
      <c r="P3243" s="9"/>
      <c r="Q3243" s="9"/>
      <c r="R3243" s="9" t="str">
        <f aca="false">IF(AND(A3243&lt;&gt;"",ISNUMBER(Q3243),ISNUMBER(L3243)),ROUND(Q3243-IF(ISNUMBER(N3243),N3243,0)-IF(ISNUMBER(O3243),O3243,0)+IF(ISNUMBER(P3243),P3243,0),2),"")</f>
        <v/>
      </c>
      <c r="S3243" s="9" t="str">
        <f aca="false">IF(R3243="","",ROUND(L3243-R3243,2))</f>
        <v/>
      </c>
      <c r="T3243" s="8" t="str">
        <f aca="false">IF(A3243="","",IF(S3243="","BYPASS",IF(ABS(S3243)&lt;=Summary!$B$2,"PASS","FAIL")))</f>
        <v/>
      </c>
      <c r="U3243" s="8" t="str">
        <f aca="false">IF(T3243="BYPASS",IF(NOT(ISNUMBER(Q3243)),"PreV_ETB missing","End_tr_balance missing"),IF(T3243="FAIL",IF(AND(ISNUMBER(K3243),ISNUMBER(L3243),ABS(L3243-(K3243-IF(ISNUMBER(N3243),N3243,0)-IF(ISNUMBER(O3243),O3243,0)+IF(ISNUMBER(P3243),P3243,0)))&lt;=Summary!$B$2),"Passes using beginning_balance - PreV_ETB differs from beginning_balance",IF(AND(ISNUMBER(O3243),O3243&lt;0,ABS(L3243-(Q3243-IF(ISNUMBER(N3243),N3243,0)+IF(ISNUMBER(P3243),P3243,0)))&lt;=Summary!$B$2),"Negative realized loss not applied - check sign",IF(R3243&lt;0,"Principal paid exceeds prior balance",IF(AND(L3243&gt;Q3243,NOT(ISNUMBER(P3243))),"Balance increased but no Deferred_interest reported",IF(L3243&gt;R3243,"Reported balance higher than expected (missing increase/OC build)","Reported balance lower than expected (missing decrease)"))))),""))</f>
        <v/>
      </c>
    </row>
    <row r="3244" customFormat="false" ht="15" hidden="false" customHeight="false" outlineLevel="0" collapsed="false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9"/>
      <c r="L3244" s="9"/>
      <c r="M3244" s="9"/>
      <c r="N3244" s="9"/>
      <c r="O3244" s="9"/>
      <c r="P3244" s="9"/>
      <c r="Q3244" s="9"/>
      <c r="R3244" s="9" t="str">
        <f aca="false">IF(AND(A3244&lt;&gt;"",ISNUMBER(Q3244),ISNUMBER(L3244)),ROUND(Q3244-IF(ISNUMBER(N3244),N3244,0)-IF(ISNUMBER(O3244),O3244,0)+IF(ISNUMBER(P3244),P3244,0),2),"")</f>
        <v/>
      </c>
      <c r="S3244" s="9" t="str">
        <f aca="false">IF(R3244="","",ROUND(L3244-R3244,2))</f>
        <v/>
      </c>
      <c r="T3244" s="8" t="str">
        <f aca="false">IF(A3244="","",IF(S3244="","BYPASS",IF(ABS(S3244)&lt;=Summary!$B$2,"PASS","FAIL")))</f>
        <v/>
      </c>
      <c r="U3244" s="8" t="str">
        <f aca="false">IF(T3244="BYPASS",IF(NOT(ISNUMBER(Q3244)),"PreV_ETB missing","End_tr_balance missing"),IF(T3244="FAIL",IF(AND(ISNUMBER(K3244),ISNUMBER(L3244),ABS(L3244-(K3244-IF(ISNUMBER(N3244),N3244,0)-IF(ISNUMBER(O3244),O3244,0)+IF(ISNUMBER(P3244),P3244,0)))&lt;=Summary!$B$2),"Passes using beginning_balance - PreV_ETB differs from beginning_balance",IF(AND(ISNUMBER(O3244),O3244&lt;0,ABS(L3244-(Q3244-IF(ISNUMBER(N3244),N3244,0)+IF(ISNUMBER(P3244),P3244,0)))&lt;=Summary!$B$2),"Negative realized loss not applied - check sign",IF(R3244&lt;0,"Principal paid exceeds prior balance",IF(AND(L3244&gt;Q3244,NOT(ISNUMBER(P3244))),"Balance increased but no Deferred_interest reported",IF(L3244&gt;R3244,"Reported balance higher than expected (missing increase/OC build)","Reported balance lower than expected (missing decrease)"))))),""))</f>
        <v/>
      </c>
    </row>
    <row r="3245" customFormat="false" ht="15" hidden="false" customHeight="false" outlineLevel="0" collapsed="false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9"/>
      <c r="L3245" s="9"/>
      <c r="M3245" s="9"/>
      <c r="N3245" s="9"/>
      <c r="O3245" s="9"/>
      <c r="P3245" s="9"/>
      <c r="Q3245" s="9"/>
      <c r="R3245" s="9" t="str">
        <f aca="false">IF(AND(A3245&lt;&gt;"",ISNUMBER(Q3245),ISNUMBER(L3245)),ROUND(Q3245-IF(ISNUMBER(N3245),N3245,0)-IF(ISNUMBER(O3245),O3245,0)+IF(ISNUMBER(P3245),P3245,0),2),"")</f>
        <v/>
      </c>
      <c r="S3245" s="9" t="str">
        <f aca="false">IF(R3245="","",ROUND(L3245-R3245,2))</f>
        <v/>
      </c>
      <c r="T3245" s="8" t="str">
        <f aca="false">IF(A3245="","",IF(S3245="","BYPASS",IF(ABS(S3245)&lt;=Summary!$B$2,"PASS","FAIL")))</f>
        <v/>
      </c>
      <c r="U3245" s="8" t="str">
        <f aca="false">IF(T3245="BYPASS",IF(NOT(ISNUMBER(Q3245)),"PreV_ETB missing","End_tr_balance missing"),IF(T3245="FAIL",IF(AND(ISNUMBER(K3245),ISNUMBER(L3245),ABS(L3245-(K3245-IF(ISNUMBER(N3245),N3245,0)-IF(ISNUMBER(O3245),O3245,0)+IF(ISNUMBER(P3245),P3245,0)))&lt;=Summary!$B$2),"Passes using beginning_balance - PreV_ETB differs from beginning_balance",IF(AND(ISNUMBER(O3245),O3245&lt;0,ABS(L3245-(Q3245-IF(ISNUMBER(N3245),N3245,0)+IF(ISNUMBER(P3245),P3245,0)))&lt;=Summary!$B$2),"Negative realized loss not applied - check sign",IF(R3245&lt;0,"Principal paid exceeds prior balance",IF(AND(L3245&gt;Q3245,NOT(ISNUMBER(P3245))),"Balance increased but no Deferred_interest reported",IF(L3245&gt;R3245,"Reported balance higher than expected (missing increase/OC build)","Reported balance lower than expected (missing decrease)"))))),""))</f>
        <v/>
      </c>
    </row>
    <row r="3246" customFormat="false" ht="15" hidden="false" customHeight="false" outlineLevel="0" collapsed="false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9"/>
      <c r="L3246" s="9"/>
      <c r="M3246" s="9"/>
      <c r="N3246" s="9"/>
      <c r="O3246" s="9"/>
      <c r="P3246" s="9"/>
      <c r="Q3246" s="9"/>
      <c r="R3246" s="9" t="str">
        <f aca="false">IF(AND(A3246&lt;&gt;"",ISNUMBER(Q3246),ISNUMBER(L3246)),ROUND(Q3246-IF(ISNUMBER(N3246),N3246,0)-IF(ISNUMBER(O3246),O3246,0)+IF(ISNUMBER(P3246),P3246,0),2),"")</f>
        <v/>
      </c>
      <c r="S3246" s="9" t="str">
        <f aca="false">IF(R3246="","",ROUND(L3246-R3246,2))</f>
        <v/>
      </c>
      <c r="T3246" s="8" t="str">
        <f aca="false">IF(A3246="","",IF(S3246="","BYPASS",IF(ABS(S3246)&lt;=Summary!$B$2,"PASS","FAIL")))</f>
        <v/>
      </c>
      <c r="U3246" s="8" t="str">
        <f aca="false">IF(T3246="BYPASS",IF(NOT(ISNUMBER(Q3246)),"PreV_ETB missing","End_tr_balance missing"),IF(T3246="FAIL",IF(AND(ISNUMBER(K3246),ISNUMBER(L3246),ABS(L3246-(K3246-IF(ISNUMBER(N3246),N3246,0)-IF(ISNUMBER(O3246),O3246,0)+IF(ISNUMBER(P3246),P3246,0)))&lt;=Summary!$B$2),"Passes using beginning_balance - PreV_ETB differs from beginning_balance",IF(AND(ISNUMBER(O3246),O3246&lt;0,ABS(L3246-(Q3246-IF(ISNUMBER(N3246),N3246,0)+IF(ISNUMBER(P3246),P3246,0)))&lt;=Summary!$B$2),"Negative realized loss not applied - check sign",IF(R3246&lt;0,"Principal paid exceeds prior balance",IF(AND(L3246&gt;Q3246,NOT(ISNUMBER(P3246))),"Balance increased but no Deferred_interest reported",IF(L3246&gt;R3246,"Reported balance higher than expected (missing increase/OC build)","Reported balance lower than expected (missing decrease)"))))),""))</f>
        <v/>
      </c>
    </row>
    <row r="3247" customFormat="false" ht="15" hidden="false" customHeight="false" outlineLevel="0" collapsed="false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9"/>
      <c r="L3247" s="9"/>
      <c r="M3247" s="9"/>
      <c r="N3247" s="9"/>
      <c r="O3247" s="9"/>
      <c r="P3247" s="9"/>
      <c r="Q3247" s="9"/>
      <c r="R3247" s="9" t="str">
        <f aca="false">IF(AND(A3247&lt;&gt;"",ISNUMBER(Q3247),ISNUMBER(L3247)),ROUND(Q3247-IF(ISNUMBER(N3247),N3247,0)-IF(ISNUMBER(O3247),O3247,0)+IF(ISNUMBER(P3247),P3247,0),2),"")</f>
        <v/>
      </c>
      <c r="S3247" s="9" t="str">
        <f aca="false">IF(R3247="","",ROUND(L3247-R3247,2))</f>
        <v/>
      </c>
      <c r="T3247" s="8" t="str">
        <f aca="false">IF(A3247="","",IF(S3247="","BYPASS",IF(ABS(S3247)&lt;=Summary!$B$2,"PASS","FAIL")))</f>
        <v/>
      </c>
      <c r="U3247" s="8" t="str">
        <f aca="false">IF(T3247="BYPASS",IF(NOT(ISNUMBER(Q3247)),"PreV_ETB missing","End_tr_balance missing"),IF(T3247="FAIL",IF(AND(ISNUMBER(K3247),ISNUMBER(L3247),ABS(L3247-(K3247-IF(ISNUMBER(N3247),N3247,0)-IF(ISNUMBER(O3247),O3247,0)+IF(ISNUMBER(P3247),P3247,0)))&lt;=Summary!$B$2),"Passes using beginning_balance - PreV_ETB differs from beginning_balance",IF(AND(ISNUMBER(O3247),O3247&lt;0,ABS(L3247-(Q3247-IF(ISNUMBER(N3247),N3247,0)+IF(ISNUMBER(P3247),P3247,0)))&lt;=Summary!$B$2),"Negative realized loss not applied - check sign",IF(R3247&lt;0,"Principal paid exceeds prior balance",IF(AND(L3247&gt;Q3247,NOT(ISNUMBER(P3247))),"Balance increased but no Deferred_interest reported",IF(L3247&gt;R3247,"Reported balance higher than expected (missing increase/OC build)","Reported balance lower than expected (missing decrease)"))))),""))</f>
        <v/>
      </c>
    </row>
    <row r="3248" customFormat="false" ht="15" hidden="false" customHeight="false" outlineLevel="0" collapsed="false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9"/>
      <c r="L3248" s="9"/>
      <c r="M3248" s="9"/>
      <c r="N3248" s="9"/>
      <c r="O3248" s="9"/>
      <c r="P3248" s="9"/>
      <c r="Q3248" s="9"/>
      <c r="R3248" s="9" t="str">
        <f aca="false">IF(AND(A3248&lt;&gt;"",ISNUMBER(Q3248),ISNUMBER(L3248)),ROUND(Q3248-IF(ISNUMBER(N3248),N3248,0)-IF(ISNUMBER(O3248),O3248,0)+IF(ISNUMBER(P3248),P3248,0),2),"")</f>
        <v/>
      </c>
      <c r="S3248" s="9" t="str">
        <f aca="false">IF(R3248="","",ROUND(L3248-R3248,2))</f>
        <v/>
      </c>
      <c r="T3248" s="8" t="str">
        <f aca="false">IF(A3248="","",IF(S3248="","BYPASS",IF(ABS(S3248)&lt;=Summary!$B$2,"PASS","FAIL")))</f>
        <v/>
      </c>
      <c r="U3248" s="8" t="str">
        <f aca="false">IF(T3248="BYPASS",IF(NOT(ISNUMBER(Q3248)),"PreV_ETB missing","End_tr_balance missing"),IF(T3248="FAIL",IF(AND(ISNUMBER(K3248),ISNUMBER(L3248),ABS(L3248-(K3248-IF(ISNUMBER(N3248),N3248,0)-IF(ISNUMBER(O3248),O3248,0)+IF(ISNUMBER(P3248),P3248,0)))&lt;=Summary!$B$2),"Passes using beginning_balance - PreV_ETB differs from beginning_balance",IF(AND(ISNUMBER(O3248),O3248&lt;0,ABS(L3248-(Q3248-IF(ISNUMBER(N3248),N3248,0)+IF(ISNUMBER(P3248),P3248,0)))&lt;=Summary!$B$2),"Negative realized loss not applied - check sign",IF(R3248&lt;0,"Principal paid exceeds prior balance",IF(AND(L3248&gt;Q3248,NOT(ISNUMBER(P3248))),"Balance increased but no Deferred_interest reported",IF(L3248&gt;R3248,"Reported balance higher than expected (missing increase/OC build)","Reported balance lower than expected (missing decrease)"))))),""))</f>
        <v/>
      </c>
    </row>
    <row r="3249" customFormat="false" ht="15" hidden="false" customHeight="false" outlineLevel="0" collapsed="false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9"/>
      <c r="L3249" s="9"/>
      <c r="M3249" s="9"/>
      <c r="N3249" s="9"/>
      <c r="O3249" s="9"/>
      <c r="P3249" s="9"/>
      <c r="Q3249" s="9"/>
      <c r="R3249" s="9" t="str">
        <f aca="false">IF(AND(A3249&lt;&gt;"",ISNUMBER(Q3249),ISNUMBER(L3249)),ROUND(Q3249-IF(ISNUMBER(N3249),N3249,0)-IF(ISNUMBER(O3249),O3249,0)+IF(ISNUMBER(P3249),P3249,0),2),"")</f>
        <v/>
      </c>
      <c r="S3249" s="9" t="str">
        <f aca="false">IF(R3249="","",ROUND(L3249-R3249,2))</f>
        <v/>
      </c>
      <c r="T3249" s="8" t="str">
        <f aca="false">IF(A3249="","",IF(S3249="","BYPASS",IF(ABS(S3249)&lt;=Summary!$B$2,"PASS","FAIL")))</f>
        <v/>
      </c>
      <c r="U3249" s="8" t="str">
        <f aca="false">IF(T3249="BYPASS",IF(NOT(ISNUMBER(Q3249)),"PreV_ETB missing","End_tr_balance missing"),IF(T3249="FAIL",IF(AND(ISNUMBER(K3249),ISNUMBER(L3249),ABS(L3249-(K3249-IF(ISNUMBER(N3249),N3249,0)-IF(ISNUMBER(O3249),O3249,0)+IF(ISNUMBER(P3249),P3249,0)))&lt;=Summary!$B$2),"Passes using beginning_balance - PreV_ETB differs from beginning_balance",IF(AND(ISNUMBER(O3249),O3249&lt;0,ABS(L3249-(Q3249-IF(ISNUMBER(N3249),N3249,0)+IF(ISNUMBER(P3249),P3249,0)))&lt;=Summary!$B$2),"Negative realized loss not applied - check sign",IF(R3249&lt;0,"Principal paid exceeds prior balance",IF(AND(L3249&gt;Q3249,NOT(ISNUMBER(P3249))),"Balance increased but no Deferred_interest reported",IF(L3249&gt;R3249,"Reported balance higher than expected (missing increase/OC build)","Reported balance lower than expected (missing decrease)"))))),""))</f>
        <v/>
      </c>
    </row>
    <row r="3250" customFormat="false" ht="15" hidden="false" customHeight="false" outlineLevel="0" collapsed="false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9"/>
      <c r="L3250" s="9"/>
      <c r="M3250" s="9"/>
      <c r="N3250" s="9"/>
      <c r="O3250" s="9"/>
      <c r="P3250" s="9"/>
      <c r="Q3250" s="9"/>
      <c r="R3250" s="9" t="str">
        <f aca="false">IF(AND(A3250&lt;&gt;"",ISNUMBER(Q3250),ISNUMBER(L3250)),ROUND(Q3250-IF(ISNUMBER(N3250),N3250,0)-IF(ISNUMBER(O3250),O3250,0)+IF(ISNUMBER(P3250),P3250,0),2),"")</f>
        <v/>
      </c>
      <c r="S3250" s="9" t="str">
        <f aca="false">IF(R3250="","",ROUND(L3250-R3250,2))</f>
        <v/>
      </c>
      <c r="T3250" s="8" t="str">
        <f aca="false">IF(A3250="","",IF(S3250="","BYPASS",IF(ABS(S3250)&lt;=Summary!$B$2,"PASS","FAIL")))</f>
        <v/>
      </c>
      <c r="U3250" s="8" t="str">
        <f aca="false">IF(T3250="BYPASS",IF(NOT(ISNUMBER(Q3250)),"PreV_ETB missing","End_tr_balance missing"),IF(T3250="FAIL",IF(AND(ISNUMBER(K3250),ISNUMBER(L3250),ABS(L3250-(K3250-IF(ISNUMBER(N3250),N3250,0)-IF(ISNUMBER(O3250),O3250,0)+IF(ISNUMBER(P3250),P3250,0)))&lt;=Summary!$B$2),"Passes using beginning_balance - PreV_ETB differs from beginning_balance",IF(AND(ISNUMBER(O3250),O3250&lt;0,ABS(L3250-(Q3250-IF(ISNUMBER(N3250),N3250,0)+IF(ISNUMBER(P3250),P3250,0)))&lt;=Summary!$B$2),"Negative realized loss not applied - check sign",IF(R3250&lt;0,"Principal paid exceeds prior balance",IF(AND(L3250&gt;Q3250,NOT(ISNUMBER(P3250))),"Balance increased but no Deferred_interest reported",IF(L3250&gt;R3250,"Reported balance higher than expected (missing increase/OC build)","Reported balance lower than expected (missing decrease)"))))),""))</f>
        <v/>
      </c>
    </row>
    <row r="3251" customFormat="false" ht="15" hidden="false" customHeight="false" outlineLevel="0" collapsed="false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9"/>
      <c r="L3251" s="9"/>
      <c r="M3251" s="9"/>
      <c r="N3251" s="9"/>
      <c r="O3251" s="9"/>
      <c r="P3251" s="9"/>
      <c r="Q3251" s="9"/>
      <c r="R3251" s="9" t="str">
        <f aca="false">IF(AND(A3251&lt;&gt;"",ISNUMBER(Q3251),ISNUMBER(L3251)),ROUND(Q3251-IF(ISNUMBER(N3251),N3251,0)-IF(ISNUMBER(O3251),O3251,0)+IF(ISNUMBER(P3251),P3251,0),2),"")</f>
        <v/>
      </c>
      <c r="S3251" s="9" t="str">
        <f aca="false">IF(R3251="","",ROUND(L3251-R3251,2))</f>
        <v/>
      </c>
      <c r="T3251" s="8" t="str">
        <f aca="false">IF(A3251="","",IF(S3251="","BYPASS",IF(ABS(S3251)&lt;=Summary!$B$2,"PASS","FAIL")))</f>
        <v/>
      </c>
      <c r="U3251" s="8" t="str">
        <f aca="false">IF(T3251="BYPASS",IF(NOT(ISNUMBER(Q3251)),"PreV_ETB missing","End_tr_balance missing"),IF(T3251="FAIL",IF(AND(ISNUMBER(K3251),ISNUMBER(L3251),ABS(L3251-(K3251-IF(ISNUMBER(N3251),N3251,0)-IF(ISNUMBER(O3251),O3251,0)+IF(ISNUMBER(P3251),P3251,0)))&lt;=Summary!$B$2),"Passes using beginning_balance - PreV_ETB differs from beginning_balance",IF(AND(ISNUMBER(O3251),O3251&lt;0,ABS(L3251-(Q3251-IF(ISNUMBER(N3251),N3251,0)+IF(ISNUMBER(P3251),P3251,0)))&lt;=Summary!$B$2),"Negative realized loss not applied - check sign",IF(R3251&lt;0,"Principal paid exceeds prior balance",IF(AND(L3251&gt;Q3251,NOT(ISNUMBER(P3251))),"Balance increased but no Deferred_interest reported",IF(L3251&gt;R3251,"Reported balance higher than expected (missing increase/OC build)","Reported balance lower than expected (missing decrease)"))))),""))</f>
        <v/>
      </c>
    </row>
    <row r="3252" customFormat="false" ht="15" hidden="false" customHeight="false" outlineLevel="0" collapsed="false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9"/>
      <c r="L3252" s="9"/>
      <c r="M3252" s="9"/>
      <c r="N3252" s="9"/>
      <c r="O3252" s="9"/>
      <c r="P3252" s="9"/>
      <c r="Q3252" s="9"/>
      <c r="R3252" s="9" t="str">
        <f aca="false">IF(AND(A3252&lt;&gt;"",ISNUMBER(Q3252),ISNUMBER(L3252)),ROUND(Q3252-IF(ISNUMBER(N3252),N3252,0)-IF(ISNUMBER(O3252),O3252,0)+IF(ISNUMBER(P3252),P3252,0),2),"")</f>
        <v/>
      </c>
      <c r="S3252" s="9" t="str">
        <f aca="false">IF(R3252="","",ROUND(L3252-R3252,2))</f>
        <v/>
      </c>
      <c r="T3252" s="8" t="str">
        <f aca="false">IF(A3252="","",IF(S3252="","BYPASS",IF(ABS(S3252)&lt;=Summary!$B$2,"PASS","FAIL")))</f>
        <v/>
      </c>
      <c r="U3252" s="8" t="str">
        <f aca="false">IF(T3252="BYPASS",IF(NOT(ISNUMBER(Q3252)),"PreV_ETB missing","End_tr_balance missing"),IF(T3252="FAIL",IF(AND(ISNUMBER(K3252),ISNUMBER(L3252),ABS(L3252-(K3252-IF(ISNUMBER(N3252),N3252,0)-IF(ISNUMBER(O3252),O3252,0)+IF(ISNUMBER(P3252),P3252,0)))&lt;=Summary!$B$2),"Passes using beginning_balance - PreV_ETB differs from beginning_balance",IF(AND(ISNUMBER(O3252),O3252&lt;0,ABS(L3252-(Q3252-IF(ISNUMBER(N3252),N3252,0)+IF(ISNUMBER(P3252),P3252,0)))&lt;=Summary!$B$2),"Negative realized loss not applied - check sign",IF(R3252&lt;0,"Principal paid exceeds prior balance",IF(AND(L3252&gt;Q3252,NOT(ISNUMBER(P3252))),"Balance increased but no Deferred_interest reported",IF(L3252&gt;R3252,"Reported balance higher than expected (missing increase/OC build)","Reported balance lower than expected (missing decrease)"))))),""))</f>
        <v/>
      </c>
    </row>
    <row r="3253" customFormat="false" ht="15" hidden="false" customHeight="false" outlineLevel="0" collapsed="false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9"/>
      <c r="L3253" s="9"/>
      <c r="M3253" s="9"/>
      <c r="N3253" s="9"/>
      <c r="O3253" s="9"/>
      <c r="P3253" s="9"/>
      <c r="Q3253" s="9"/>
      <c r="R3253" s="9" t="str">
        <f aca="false">IF(AND(A3253&lt;&gt;"",ISNUMBER(Q3253),ISNUMBER(L3253)),ROUND(Q3253-IF(ISNUMBER(N3253),N3253,0)-IF(ISNUMBER(O3253),O3253,0)+IF(ISNUMBER(P3253),P3253,0),2),"")</f>
        <v/>
      </c>
      <c r="S3253" s="9" t="str">
        <f aca="false">IF(R3253="","",ROUND(L3253-R3253,2))</f>
        <v/>
      </c>
      <c r="T3253" s="8" t="str">
        <f aca="false">IF(A3253="","",IF(S3253="","BYPASS",IF(ABS(S3253)&lt;=Summary!$B$2,"PASS","FAIL")))</f>
        <v/>
      </c>
      <c r="U3253" s="8" t="str">
        <f aca="false">IF(T3253="BYPASS",IF(NOT(ISNUMBER(Q3253)),"PreV_ETB missing","End_tr_balance missing"),IF(T3253="FAIL",IF(AND(ISNUMBER(K3253),ISNUMBER(L3253),ABS(L3253-(K3253-IF(ISNUMBER(N3253),N3253,0)-IF(ISNUMBER(O3253),O3253,0)+IF(ISNUMBER(P3253),P3253,0)))&lt;=Summary!$B$2),"Passes using beginning_balance - PreV_ETB differs from beginning_balance",IF(AND(ISNUMBER(O3253),O3253&lt;0,ABS(L3253-(Q3253-IF(ISNUMBER(N3253),N3253,0)+IF(ISNUMBER(P3253),P3253,0)))&lt;=Summary!$B$2),"Negative realized loss not applied - check sign",IF(R3253&lt;0,"Principal paid exceeds prior balance",IF(AND(L3253&gt;Q3253,NOT(ISNUMBER(P3253))),"Balance increased but no Deferred_interest reported",IF(L3253&gt;R3253,"Reported balance higher than expected (missing increase/OC build)","Reported balance lower than expected (missing decrease)"))))),""))</f>
        <v/>
      </c>
    </row>
    <row r="3254" customFormat="false" ht="15" hidden="false" customHeight="false" outlineLevel="0" collapsed="false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9"/>
      <c r="L3254" s="9"/>
      <c r="M3254" s="9"/>
      <c r="N3254" s="9"/>
      <c r="O3254" s="9"/>
      <c r="P3254" s="9"/>
      <c r="Q3254" s="9"/>
      <c r="R3254" s="9" t="str">
        <f aca="false">IF(AND(A3254&lt;&gt;"",ISNUMBER(Q3254),ISNUMBER(L3254)),ROUND(Q3254-IF(ISNUMBER(N3254),N3254,0)-IF(ISNUMBER(O3254),O3254,0)+IF(ISNUMBER(P3254),P3254,0),2),"")</f>
        <v/>
      </c>
      <c r="S3254" s="9" t="str">
        <f aca="false">IF(R3254="","",ROUND(L3254-R3254,2))</f>
        <v/>
      </c>
      <c r="T3254" s="8" t="str">
        <f aca="false">IF(A3254="","",IF(S3254="","BYPASS",IF(ABS(S3254)&lt;=Summary!$B$2,"PASS","FAIL")))</f>
        <v/>
      </c>
      <c r="U3254" s="8" t="str">
        <f aca="false">IF(T3254="BYPASS",IF(NOT(ISNUMBER(Q3254)),"PreV_ETB missing","End_tr_balance missing"),IF(T3254="FAIL",IF(AND(ISNUMBER(K3254),ISNUMBER(L3254),ABS(L3254-(K3254-IF(ISNUMBER(N3254),N3254,0)-IF(ISNUMBER(O3254),O3254,0)+IF(ISNUMBER(P3254),P3254,0)))&lt;=Summary!$B$2),"Passes using beginning_balance - PreV_ETB differs from beginning_balance",IF(AND(ISNUMBER(O3254),O3254&lt;0,ABS(L3254-(Q3254-IF(ISNUMBER(N3254),N3254,0)+IF(ISNUMBER(P3254),P3254,0)))&lt;=Summary!$B$2),"Negative realized loss not applied - check sign",IF(R3254&lt;0,"Principal paid exceeds prior balance",IF(AND(L3254&gt;Q3254,NOT(ISNUMBER(P3254))),"Balance increased but no Deferred_interest reported",IF(L3254&gt;R3254,"Reported balance higher than expected (missing increase/OC build)","Reported balance lower than expected (missing decrease)"))))),""))</f>
        <v/>
      </c>
    </row>
    <row r="3255" customFormat="false" ht="15" hidden="false" customHeight="false" outlineLevel="0" collapsed="false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9"/>
      <c r="L3255" s="9"/>
      <c r="M3255" s="9"/>
      <c r="N3255" s="9"/>
      <c r="O3255" s="9"/>
      <c r="P3255" s="9"/>
      <c r="Q3255" s="9"/>
      <c r="R3255" s="9" t="str">
        <f aca="false">IF(AND(A3255&lt;&gt;"",ISNUMBER(Q3255),ISNUMBER(L3255)),ROUND(Q3255-IF(ISNUMBER(N3255),N3255,0)-IF(ISNUMBER(O3255),O3255,0)+IF(ISNUMBER(P3255),P3255,0),2),"")</f>
        <v/>
      </c>
      <c r="S3255" s="9" t="str">
        <f aca="false">IF(R3255="","",ROUND(L3255-R3255,2))</f>
        <v/>
      </c>
      <c r="T3255" s="8" t="str">
        <f aca="false">IF(A3255="","",IF(S3255="","BYPASS",IF(ABS(S3255)&lt;=Summary!$B$2,"PASS","FAIL")))</f>
        <v/>
      </c>
      <c r="U3255" s="8" t="str">
        <f aca="false">IF(T3255="BYPASS",IF(NOT(ISNUMBER(Q3255)),"PreV_ETB missing","End_tr_balance missing"),IF(T3255="FAIL",IF(AND(ISNUMBER(K3255),ISNUMBER(L3255),ABS(L3255-(K3255-IF(ISNUMBER(N3255),N3255,0)-IF(ISNUMBER(O3255),O3255,0)+IF(ISNUMBER(P3255),P3255,0)))&lt;=Summary!$B$2),"Passes using beginning_balance - PreV_ETB differs from beginning_balance",IF(AND(ISNUMBER(O3255),O3255&lt;0,ABS(L3255-(Q3255-IF(ISNUMBER(N3255),N3255,0)+IF(ISNUMBER(P3255),P3255,0)))&lt;=Summary!$B$2),"Negative realized loss not applied - check sign",IF(R3255&lt;0,"Principal paid exceeds prior balance",IF(AND(L3255&gt;Q3255,NOT(ISNUMBER(P3255))),"Balance increased but no Deferred_interest reported",IF(L3255&gt;R3255,"Reported balance higher than expected (missing increase/OC build)","Reported balance lower than expected (missing decrease)"))))),""))</f>
        <v/>
      </c>
    </row>
    <row r="3256" customFormat="false" ht="15" hidden="false" customHeight="false" outlineLevel="0" collapsed="false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9"/>
      <c r="L3256" s="9"/>
      <c r="M3256" s="9"/>
      <c r="N3256" s="9"/>
      <c r="O3256" s="9"/>
      <c r="P3256" s="9"/>
      <c r="Q3256" s="9"/>
      <c r="R3256" s="9" t="str">
        <f aca="false">IF(AND(A3256&lt;&gt;"",ISNUMBER(Q3256),ISNUMBER(L3256)),ROUND(Q3256-IF(ISNUMBER(N3256),N3256,0)-IF(ISNUMBER(O3256),O3256,0)+IF(ISNUMBER(P3256),P3256,0),2),"")</f>
        <v/>
      </c>
      <c r="S3256" s="9" t="str">
        <f aca="false">IF(R3256="","",ROUND(L3256-R3256,2))</f>
        <v/>
      </c>
      <c r="T3256" s="8" t="str">
        <f aca="false">IF(A3256="","",IF(S3256="","BYPASS",IF(ABS(S3256)&lt;=Summary!$B$2,"PASS","FAIL")))</f>
        <v/>
      </c>
      <c r="U3256" s="8" t="str">
        <f aca="false">IF(T3256="BYPASS",IF(NOT(ISNUMBER(Q3256)),"PreV_ETB missing","End_tr_balance missing"),IF(T3256="FAIL",IF(AND(ISNUMBER(K3256),ISNUMBER(L3256),ABS(L3256-(K3256-IF(ISNUMBER(N3256),N3256,0)-IF(ISNUMBER(O3256),O3256,0)+IF(ISNUMBER(P3256),P3256,0)))&lt;=Summary!$B$2),"Passes using beginning_balance - PreV_ETB differs from beginning_balance",IF(AND(ISNUMBER(O3256),O3256&lt;0,ABS(L3256-(Q3256-IF(ISNUMBER(N3256),N3256,0)+IF(ISNUMBER(P3256),P3256,0)))&lt;=Summary!$B$2),"Negative realized loss not applied - check sign",IF(R3256&lt;0,"Principal paid exceeds prior balance",IF(AND(L3256&gt;Q3256,NOT(ISNUMBER(P3256))),"Balance increased but no Deferred_interest reported",IF(L3256&gt;R3256,"Reported balance higher than expected (missing increase/OC build)","Reported balance lower than expected (missing decrease)"))))),""))</f>
        <v/>
      </c>
    </row>
    <row r="3257" customFormat="false" ht="15" hidden="false" customHeight="false" outlineLevel="0" collapsed="false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9"/>
      <c r="L3257" s="9"/>
      <c r="M3257" s="9"/>
      <c r="N3257" s="9"/>
      <c r="O3257" s="9"/>
      <c r="P3257" s="9"/>
      <c r="Q3257" s="9"/>
      <c r="R3257" s="9" t="str">
        <f aca="false">IF(AND(A3257&lt;&gt;"",ISNUMBER(Q3257),ISNUMBER(L3257)),ROUND(Q3257-IF(ISNUMBER(N3257),N3257,0)-IF(ISNUMBER(O3257),O3257,0)+IF(ISNUMBER(P3257),P3257,0),2),"")</f>
        <v/>
      </c>
      <c r="S3257" s="9" t="str">
        <f aca="false">IF(R3257="","",ROUND(L3257-R3257,2))</f>
        <v/>
      </c>
      <c r="T3257" s="8" t="str">
        <f aca="false">IF(A3257="","",IF(S3257="","BYPASS",IF(ABS(S3257)&lt;=Summary!$B$2,"PASS","FAIL")))</f>
        <v/>
      </c>
      <c r="U3257" s="8" t="str">
        <f aca="false">IF(T3257="BYPASS",IF(NOT(ISNUMBER(Q3257)),"PreV_ETB missing","End_tr_balance missing"),IF(T3257="FAIL",IF(AND(ISNUMBER(K3257),ISNUMBER(L3257),ABS(L3257-(K3257-IF(ISNUMBER(N3257),N3257,0)-IF(ISNUMBER(O3257),O3257,0)+IF(ISNUMBER(P3257),P3257,0)))&lt;=Summary!$B$2),"Passes using beginning_balance - PreV_ETB differs from beginning_balance",IF(AND(ISNUMBER(O3257),O3257&lt;0,ABS(L3257-(Q3257-IF(ISNUMBER(N3257),N3257,0)+IF(ISNUMBER(P3257),P3257,0)))&lt;=Summary!$B$2),"Negative realized loss not applied - check sign",IF(R3257&lt;0,"Principal paid exceeds prior balance",IF(AND(L3257&gt;Q3257,NOT(ISNUMBER(P3257))),"Balance increased but no Deferred_interest reported",IF(L3257&gt;R3257,"Reported balance higher than expected (missing increase/OC build)","Reported balance lower than expected (missing decrease)"))))),""))</f>
        <v/>
      </c>
    </row>
    <row r="3258" customFormat="false" ht="15" hidden="false" customHeight="false" outlineLevel="0" collapsed="false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9"/>
      <c r="L3258" s="9"/>
      <c r="M3258" s="9"/>
      <c r="N3258" s="9"/>
      <c r="O3258" s="9"/>
      <c r="P3258" s="9"/>
      <c r="Q3258" s="9"/>
      <c r="R3258" s="9" t="str">
        <f aca="false">IF(AND(A3258&lt;&gt;"",ISNUMBER(Q3258),ISNUMBER(L3258)),ROUND(Q3258-IF(ISNUMBER(N3258),N3258,0)-IF(ISNUMBER(O3258),O3258,0)+IF(ISNUMBER(P3258),P3258,0),2),"")</f>
        <v/>
      </c>
      <c r="S3258" s="9" t="str">
        <f aca="false">IF(R3258="","",ROUND(L3258-R3258,2))</f>
        <v/>
      </c>
      <c r="T3258" s="8" t="str">
        <f aca="false">IF(A3258="","",IF(S3258="","BYPASS",IF(ABS(S3258)&lt;=Summary!$B$2,"PASS","FAIL")))</f>
        <v/>
      </c>
      <c r="U3258" s="8" t="str">
        <f aca="false">IF(T3258="BYPASS",IF(NOT(ISNUMBER(Q3258)),"PreV_ETB missing","End_tr_balance missing"),IF(T3258="FAIL",IF(AND(ISNUMBER(K3258),ISNUMBER(L3258),ABS(L3258-(K3258-IF(ISNUMBER(N3258),N3258,0)-IF(ISNUMBER(O3258),O3258,0)+IF(ISNUMBER(P3258),P3258,0)))&lt;=Summary!$B$2),"Passes using beginning_balance - PreV_ETB differs from beginning_balance",IF(AND(ISNUMBER(O3258),O3258&lt;0,ABS(L3258-(Q3258-IF(ISNUMBER(N3258),N3258,0)+IF(ISNUMBER(P3258),P3258,0)))&lt;=Summary!$B$2),"Negative realized loss not applied - check sign",IF(R3258&lt;0,"Principal paid exceeds prior balance",IF(AND(L3258&gt;Q3258,NOT(ISNUMBER(P3258))),"Balance increased but no Deferred_interest reported",IF(L3258&gt;R3258,"Reported balance higher than expected (missing increase/OC build)","Reported balance lower than expected (missing decrease)"))))),""))</f>
        <v/>
      </c>
    </row>
    <row r="3259" customFormat="false" ht="15" hidden="false" customHeight="false" outlineLevel="0" collapsed="false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9"/>
      <c r="L3259" s="9"/>
      <c r="M3259" s="9"/>
      <c r="N3259" s="9"/>
      <c r="O3259" s="9"/>
      <c r="P3259" s="9"/>
      <c r="Q3259" s="9"/>
      <c r="R3259" s="9" t="str">
        <f aca="false">IF(AND(A3259&lt;&gt;"",ISNUMBER(Q3259),ISNUMBER(L3259)),ROUND(Q3259-IF(ISNUMBER(N3259),N3259,0)-IF(ISNUMBER(O3259),O3259,0)+IF(ISNUMBER(P3259),P3259,0),2),"")</f>
        <v/>
      </c>
      <c r="S3259" s="9" t="str">
        <f aca="false">IF(R3259="","",ROUND(L3259-R3259,2))</f>
        <v/>
      </c>
      <c r="T3259" s="8" t="str">
        <f aca="false">IF(A3259="","",IF(S3259="","BYPASS",IF(ABS(S3259)&lt;=Summary!$B$2,"PASS","FAIL")))</f>
        <v/>
      </c>
      <c r="U3259" s="8" t="str">
        <f aca="false">IF(T3259="BYPASS",IF(NOT(ISNUMBER(Q3259)),"PreV_ETB missing","End_tr_balance missing"),IF(T3259="FAIL",IF(AND(ISNUMBER(K3259),ISNUMBER(L3259),ABS(L3259-(K3259-IF(ISNUMBER(N3259),N3259,0)-IF(ISNUMBER(O3259),O3259,0)+IF(ISNUMBER(P3259),P3259,0)))&lt;=Summary!$B$2),"Passes using beginning_balance - PreV_ETB differs from beginning_balance",IF(AND(ISNUMBER(O3259),O3259&lt;0,ABS(L3259-(Q3259-IF(ISNUMBER(N3259),N3259,0)+IF(ISNUMBER(P3259),P3259,0)))&lt;=Summary!$B$2),"Negative realized loss not applied - check sign",IF(R3259&lt;0,"Principal paid exceeds prior balance",IF(AND(L3259&gt;Q3259,NOT(ISNUMBER(P3259))),"Balance increased but no Deferred_interest reported",IF(L3259&gt;R3259,"Reported balance higher than expected (missing increase/OC build)","Reported balance lower than expected (missing decrease)"))))),""))</f>
        <v/>
      </c>
    </row>
    <row r="3260" customFormat="false" ht="15" hidden="false" customHeight="false" outlineLevel="0" collapsed="false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9"/>
      <c r="L3260" s="9"/>
      <c r="M3260" s="9"/>
      <c r="N3260" s="9"/>
      <c r="O3260" s="9"/>
      <c r="P3260" s="9"/>
      <c r="Q3260" s="9"/>
      <c r="R3260" s="9" t="str">
        <f aca="false">IF(AND(A3260&lt;&gt;"",ISNUMBER(Q3260),ISNUMBER(L3260)),ROUND(Q3260-IF(ISNUMBER(N3260),N3260,0)-IF(ISNUMBER(O3260),O3260,0)+IF(ISNUMBER(P3260),P3260,0),2),"")</f>
        <v/>
      </c>
      <c r="S3260" s="9" t="str">
        <f aca="false">IF(R3260="","",ROUND(L3260-R3260,2))</f>
        <v/>
      </c>
      <c r="T3260" s="8" t="str">
        <f aca="false">IF(A3260="","",IF(S3260="","BYPASS",IF(ABS(S3260)&lt;=Summary!$B$2,"PASS","FAIL")))</f>
        <v/>
      </c>
      <c r="U3260" s="8" t="str">
        <f aca="false">IF(T3260="BYPASS",IF(NOT(ISNUMBER(Q3260)),"PreV_ETB missing","End_tr_balance missing"),IF(T3260="FAIL",IF(AND(ISNUMBER(K3260),ISNUMBER(L3260),ABS(L3260-(K3260-IF(ISNUMBER(N3260),N3260,0)-IF(ISNUMBER(O3260),O3260,0)+IF(ISNUMBER(P3260),P3260,0)))&lt;=Summary!$B$2),"Passes using beginning_balance - PreV_ETB differs from beginning_balance",IF(AND(ISNUMBER(O3260),O3260&lt;0,ABS(L3260-(Q3260-IF(ISNUMBER(N3260),N3260,0)+IF(ISNUMBER(P3260),P3260,0)))&lt;=Summary!$B$2),"Negative realized loss not applied - check sign",IF(R3260&lt;0,"Principal paid exceeds prior balance",IF(AND(L3260&gt;Q3260,NOT(ISNUMBER(P3260))),"Balance increased but no Deferred_interest reported",IF(L3260&gt;R3260,"Reported balance higher than expected (missing increase/OC build)","Reported balance lower than expected (missing decrease)"))))),""))</f>
        <v/>
      </c>
    </row>
    <row r="3261" customFormat="false" ht="15" hidden="false" customHeight="false" outlineLevel="0" collapsed="false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9"/>
      <c r="L3261" s="9"/>
      <c r="M3261" s="9"/>
      <c r="N3261" s="9"/>
      <c r="O3261" s="9"/>
      <c r="P3261" s="9"/>
      <c r="Q3261" s="9"/>
      <c r="R3261" s="9" t="str">
        <f aca="false">IF(AND(A3261&lt;&gt;"",ISNUMBER(Q3261),ISNUMBER(L3261)),ROUND(Q3261-IF(ISNUMBER(N3261),N3261,0)-IF(ISNUMBER(O3261),O3261,0)+IF(ISNUMBER(P3261),P3261,0),2),"")</f>
        <v/>
      </c>
      <c r="S3261" s="9" t="str">
        <f aca="false">IF(R3261="","",ROUND(L3261-R3261,2))</f>
        <v/>
      </c>
      <c r="T3261" s="8" t="str">
        <f aca="false">IF(A3261="","",IF(S3261="","BYPASS",IF(ABS(S3261)&lt;=Summary!$B$2,"PASS","FAIL")))</f>
        <v/>
      </c>
      <c r="U3261" s="8" t="str">
        <f aca="false">IF(T3261="BYPASS",IF(NOT(ISNUMBER(Q3261)),"PreV_ETB missing","End_tr_balance missing"),IF(T3261="FAIL",IF(AND(ISNUMBER(K3261),ISNUMBER(L3261),ABS(L3261-(K3261-IF(ISNUMBER(N3261),N3261,0)-IF(ISNUMBER(O3261),O3261,0)+IF(ISNUMBER(P3261),P3261,0)))&lt;=Summary!$B$2),"Passes using beginning_balance - PreV_ETB differs from beginning_balance",IF(AND(ISNUMBER(O3261),O3261&lt;0,ABS(L3261-(Q3261-IF(ISNUMBER(N3261),N3261,0)+IF(ISNUMBER(P3261),P3261,0)))&lt;=Summary!$B$2),"Negative realized loss not applied - check sign",IF(R3261&lt;0,"Principal paid exceeds prior balance",IF(AND(L3261&gt;Q3261,NOT(ISNUMBER(P3261))),"Balance increased but no Deferred_interest reported",IF(L3261&gt;R3261,"Reported balance higher than expected (missing increase/OC build)","Reported balance lower than expected (missing decrease)"))))),""))</f>
        <v/>
      </c>
    </row>
    <row r="3262" customFormat="false" ht="15" hidden="false" customHeight="false" outlineLevel="0" collapsed="false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9"/>
      <c r="L3262" s="9"/>
      <c r="M3262" s="9"/>
      <c r="N3262" s="9"/>
      <c r="O3262" s="9"/>
      <c r="P3262" s="9"/>
      <c r="Q3262" s="9"/>
      <c r="R3262" s="9" t="str">
        <f aca="false">IF(AND(A3262&lt;&gt;"",ISNUMBER(Q3262),ISNUMBER(L3262)),ROUND(Q3262-IF(ISNUMBER(N3262),N3262,0)-IF(ISNUMBER(O3262),O3262,0)+IF(ISNUMBER(P3262),P3262,0),2),"")</f>
        <v/>
      </c>
      <c r="S3262" s="9" t="str">
        <f aca="false">IF(R3262="","",ROUND(L3262-R3262,2))</f>
        <v/>
      </c>
      <c r="T3262" s="8" t="str">
        <f aca="false">IF(A3262="","",IF(S3262="","BYPASS",IF(ABS(S3262)&lt;=Summary!$B$2,"PASS","FAIL")))</f>
        <v/>
      </c>
      <c r="U3262" s="8" t="str">
        <f aca="false">IF(T3262="BYPASS",IF(NOT(ISNUMBER(Q3262)),"PreV_ETB missing","End_tr_balance missing"),IF(T3262="FAIL",IF(AND(ISNUMBER(K3262),ISNUMBER(L3262),ABS(L3262-(K3262-IF(ISNUMBER(N3262),N3262,0)-IF(ISNUMBER(O3262),O3262,0)+IF(ISNUMBER(P3262),P3262,0)))&lt;=Summary!$B$2),"Passes using beginning_balance - PreV_ETB differs from beginning_balance",IF(AND(ISNUMBER(O3262),O3262&lt;0,ABS(L3262-(Q3262-IF(ISNUMBER(N3262),N3262,0)+IF(ISNUMBER(P3262),P3262,0)))&lt;=Summary!$B$2),"Negative realized loss not applied - check sign",IF(R3262&lt;0,"Principal paid exceeds prior balance",IF(AND(L3262&gt;Q3262,NOT(ISNUMBER(P3262))),"Balance increased but no Deferred_interest reported",IF(L3262&gt;R3262,"Reported balance higher than expected (missing increase/OC build)","Reported balance lower than expected (missing decrease)"))))),""))</f>
        <v/>
      </c>
    </row>
    <row r="3263" customFormat="false" ht="15" hidden="false" customHeight="false" outlineLevel="0" collapsed="false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9"/>
      <c r="L3263" s="9"/>
      <c r="M3263" s="9"/>
      <c r="N3263" s="9"/>
      <c r="O3263" s="9"/>
      <c r="P3263" s="9"/>
      <c r="Q3263" s="9"/>
      <c r="R3263" s="9" t="str">
        <f aca="false">IF(AND(A3263&lt;&gt;"",ISNUMBER(Q3263),ISNUMBER(L3263)),ROUND(Q3263-IF(ISNUMBER(N3263),N3263,0)-IF(ISNUMBER(O3263),O3263,0)+IF(ISNUMBER(P3263),P3263,0),2),"")</f>
        <v/>
      </c>
      <c r="S3263" s="9" t="str">
        <f aca="false">IF(R3263="","",ROUND(L3263-R3263,2))</f>
        <v/>
      </c>
      <c r="T3263" s="8" t="str">
        <f aca="false">IF(A3263="","",IF(S3263="","BYPASS",IF(ABS(S3263)&lt;=Summary!$B$2,"PASS","FAIL")))</f>
        <v/>
      </c>
      <c r="U3263" s="8" t="str">
        <f aca="false">IF(T3263="BYPASS",IF(NOT(ISNUMBER(Q3263)),"PreV_ETB missing","End_tr_balance missing"),IF(T3263="FAIL",IF(AND(ISNUMBER(K3263),ISNUMBER(L3263),ABS(L3263-(K3263-IF(ISNUMBER(N3263),N3263,0)-IF(ISNUMBER(O3263),O3263,0)+IF(ISNUMBER(P3263),P3263,0)))&lt;=Summary!$B$2),"Passes using beginning_balance - PreV_ETB differs from beginning_balance",IF(AND(ISNUMBER(O3263),O3263&lt;0,ABS(L3263-(Q3263-IF(ISNUMBER(N3263),N3263,0)+IF(ISNUMBER(P3263),P3263,0)))&lt;=Summary!$B$2),"Negative realized loss not applied - check sign",IF(R3263&lt;0,"Principal paid exceeds prior balance",IF(AND(L3263&gt;Q3263,NOT(ISNUMBER(P3263))),"Balance increased but no Deferred_interest reported",IF(L3263&gt;R3263,"Reported balance higher than expected (missing increase/OC build)","Reported balance lower than expected (missing decrease)"))))),""))</f>
        <v/>
      </c>
    </row>
    <row r="3264" customFormat="false" ht="15" hidden="false" customHeight="false" outlineLevel="0" collapsed="false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9"/>
      <c r="L3264" s="9"/>
      <c r="M3264" s="9"/>
      <c r="N3264" s="9"/>
      <c r="O3264" s="9"/>
      <c r="P3264" s="9"/>
      <c r="Q3264" s="9"/>
      <c r="R3264" s="9" t="str">
        <f aca="false">IF(AND(A3264&lt;&gt;"",ISNUMBER(Q3264),ISNUMBER(L3264)),ROUND(Q3264-IF(ISNUMBER(N3264),N3264,0)-IF(ISNUMBER(O3264),O3264,0)+IF(ISNUMBER(P3264),P3264,0),2),"")</f>
        <v/>
      </c>
      <c r="S3264" s="9" t="str">
        <f aca="false">IF(R3264="","",ROUND(L3264-R3264,2))</f>
        <v/>
      </c>
      <c r="T3264" s="8" t="str">
        <f aca="false">IF(A3264="","",IF(S3264="","BYPASS",IF(ABS(S3264)&lt;=Summary!$B$2,"PASS","FAIL")))</f>
        <v/>
      </c>
      <c r="U3264" s="8" t="str">
        <f aca="false">IF(T3264="BYPASS",IF(NOT(ISNUMBER(Q3264)),"PreV_ETB missing","End_tr_balance missing"),IF(T3264="FAIL",IF(AND(ISNUMBER(K3264),ISNUMBER(L3264),ABS(L3264-(K3264-IF(ISNUMBER(N3264),N3264,0)-IF(ISNUMBER(O3264),O3264,0)+IF(ISNUMBER(P3264),P3264,0)))&lt;=Summary!$B$2),"Passes using beginning_balance - PreV_ETB differs from beginning_balance",IF(AND(ISNUMBER(O3264),O3264&lt;0,ABS(L3264-(Q3264-IF(ISNUMBER(N3264),N3264,0)+IF(ISNUMBER(P3264),P3264,0)))&lt;=Summary!$B$2),"Negative realized loss not applied - check sign",IF(R3264&lt;0,"Principal paid exceeds prior balance",IF(AND(L3264&gt;Q3264,NOT(ISNUMBER(P3264))),"Balance increased but no Deferred_interest reported",IF(L3264&gt;R3264,"Reported balance higher than expected (missing increase/OC build)","Reported balance lower than expected (missing decrease)"))))),""))</f>
        <v/>
      </c>
    </row>
    <row r="3265" customFormat="false" ht="15" hidden="false" customHeight="false" outlineLevel="0" collapsed="false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9"/>
      <c r="L3265" s="9"/>
      <c r="M3265" s="9"/>
      <c r="N3265" s="9"/>
      <c r="O3265" s="9"/>
      <c r="P3265" s="9"/>
      <c r="Q3265" s="9"/>
      <c r="R3265" s="9" t="str">
        <f aca="false">IF(AND(A3265&lt;&gt;"",ISNUMBER(Q3265),ISNUMBER(L3265)),ROUND(Q3265-IF(ISNUMBER(N3265),N3265,0)-IF(ISNUMBER(O3265),O3265,0)+IF(ISNUMBER(P3265),P3265,0),2),"")</f>
        <v/>
      </c>
      <c r="S3265" s="9" t="str">
        <f aca="false">IF(R3265="","",ROUND(L3265-R3265,2))</f>
        <v/>
      </c>
      <c r="T3265" s="8" t="str">
        <f aca="false">IF(A3265="","",IF(S3265="","BYPASS",IF(ABS(S3265)&lt;=Summary!$B$2,"PASS","FAIL")))</f>
        <v/>
      </c>
      <c r="U3265" s="8" t="str">
        <f aca="false">IF(T3265="BYPASS",IF(NOT(ISNUMBER(Q3265)),"PreV_ETB missing","End_tr_balance missing"),IF(T3265="FAIL",IF(AND(ISNUMBER(K3265),ISNUMBER(L3265),ABS(L3265-(K3265-IF(ISNUMBER(N3265),N3265,0)-IF(ISNUMBER(O3265),O3265,0)+IF(ISNUMBER(P3265),P3265,0)))&lt;=Summary!$B$2),"Passes using beginning_balance - PreV_ETB differs from beginning_balance",IF(AND(ISNUMBER(O3265),O3265&lt;0,ABS(L3265-(Q3265-IF(ISNUMBER(N3265),N3265,0)+IF(ISNUMBER(P3265),P3265,0)))&lt;=Summary!$B$2),"Negative realized loss not applied - check sign",IF(R3265&lt;0,"Principal paid exceeds prior balance",IF(AND(L3265&gt;Q3265,NOT(ISNUMBER(P3265))),"Balance increased but no Deferred_interest reported",IF(L3265&gt;R3265,"Reported balance higher than expected (missing increase/OC build)","Reported balance lower than expected (missing decrease)"))))),""))</f>
        <v/>
      </c>
    </row>
    <row r="3266" customFormat="false" ht="15" hidden="false" customHeight="false" outlineLevel="0" collapsed="false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9"/>
      <c r="L3266" s="9"/>
      <c r="M3266" s="9"/>
      <c r="N3266" s="9"/>
      <c r="O3266" s="9"/>
      <c r="P3266" s="9"/>
      <c r="Q3266" s="9"/>
      <c r="R3266" s="9" t="str">
        <f aca="false">IF(AND(A3266&lt;&gt;"",ISNUMBER(Q3266),ISNUMBER(L3266)),ROUND(Q3266-IF(ISNUMBER(N3266),N3266,0)-IF(ISNUMBER(O3266),O3266,0)+IF(ISNUMBER(P3266),P3266,0),2),"")</f>
        <v/>
      </c>
      <c r="S3266" s="9" t="str">
        <f aca="false">IF(R3266="","",ROUND(L3266-R3266,2))</f>
        <v/>
      </c>
      <c r="T3266" s="8" t="str">
        <f aca="false">IF(A3266="","",IF(S3266="","BYPASS",IF(ABS(S3266)&lt;=Summary!$B$2,"PASS","FAIL")))</f>
        <v/>
      </c>
      <c r="U3266" s="8" t="str">
        <f aca="false">IF(T3266="BYPASS",IF(NOT(ISNUMBER(Q3266)),"PreV_ETB missing","End_tr_balance missing"),IF(T3266="FAIL",IF(AND(ISNUMBER(K3266),ISNUMBER(L3266),ABS(L3266-(K3266-IF(ISNUMBER(N3266),N3266,0)-IF(ISNUMBER(O3266),O3266,0)+IF(ISNUMBER(P3266),P3266,0)))&lt;=Summary!$B$2),"Passes using beginning_balance - PreV_ETB differs from beginning_balance",IF(AND(ISNUMBER(O3266),O3266&lt;0,ABS(L3266-(Q3266-IF(ISNUMBER(N3266),N3266,0)+IF(ISNUMBER(P3266),P3266,0)))&lt;=Summary!$B$2),"Negative realized loss not applied - check sign",IF(R3266&lt;0,"Principal paid exceeds prior balance",IF(AND(L3266&gt;Q3266,NOT(ISNUMBER(P3266))),"Balance increased but no Deferred_interest reported",IF(L3266&gt;R3266,"Reported balance higher than expected (missing increase/OC build)","Reported balance lower than expected (missing decrease)"))))),""))</f>
        <v/>
      </c>
    </row>
    <row r="3267" customFormat="false" ht="15" hidden="false" customHeight="false" outlineLevel="0" collapsed="false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9"/>
      <c r="L3267" s="9"/>
      <c r="M3267" s="9"/>
      <c r="N3267" s="9"/>
      <c r="O3267" s="9"/>
      <c r="P3267" s="9"/>
      <c r="Q3267" s="9"/>
      <c r="R3267" s="9" t="str">
        <f aca="false">IF(AND(A3267&lt;&gt;"",ISNUMBER(Q3267),ISNUMBER(L3267)),ROUND(Q3267-IF(ISNUMBER(N3267),N3267,0)-IF(ISNUMBER(O3267),O3267,0)+IF(ISNUMBER(P3267),P3267,0),2),"")</f>
        <v/>
      </c>
      <c r="S3267" s="9" t="str">
        <f aca="false">IF(R3267="","",ROUND(L3267-R3267,2))</f>
        <v/>
      </c>
      <c r="T3267" s="8" t="str">
        <f aca="false">IF(A3267="","",IF(S3267="","BYPASS",IF(ABS(S3267)&lt;=Summary!$B$2,"PASS","FAIL")))</f>
        <v/>
      </c>
      <c r="U3267" s="8" t="str">
        <f aca="false">IF(T3267="BYPASS",IF(NOT(ISNUMBER(Q3267)),"PreV_ETB missing","End_tr_balance missing"),IF(T3267="FAIL",IF(AND(ISNUMBER(K3267),ISNUMBER(L3267),ABS(L3267-(K3267-IF(ISNUMBER(N3267),N3267,0)-IF(ISNUMBER(O3267),O3267,0)+IF(ISNUMBER(P3267),P3267,0)))&lt;=Summary!$B$2),"Passes using beginning_balance - PreV_ETB differs from beginning_balance",IF(AND(ISNUMBER(O3267),O3267&lt;0,ABS(L3267-(Q3267-IF(ISNUMBER(N3267),N3267,0)+IF(ISNUMBER(P3267),P3267,0)))&lt;=Summary!$B$2),"Negative realized loss not applied - check sign",IF(R3267&lt;0,"Principal paid exceeds prior balance",IF(AND(L3267&gt;Q3267,NOT(ISNUMBER(P3267))),"Balance increased but no Deferred_interest reported",IF(L3267&gt;R3267,"Reported balance higher than expected (missing increase/OC build)","Reported balance lower than expected (missing decrease)"))))),""))</f>
        <v/>
      </c>
    </row>
    <row r="3268" customFormat="false" ht="15" hidden="false" customHeight="false" outlineLevel="0" collapsed="false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9"/>
      <c r="L3268" s="9"/>
      <c r="M3268" s="9"/>
      <c r="N3268" s="9"/>
      <c r="O3268" s="9"/>
      <c r="P3268" s="9"/>
      <c r="Q3268" s="9"/>
      <c r="R3268" s="9" t="str">
        <f aca="false">IF(AND(A3268&lt;&gt;"",ISNUMBER(Q3268),ISNUMBER(L3268)),ROUND(Q3268-IF(ISNUMBER(N3268),N3268,0)-IF(ISNUMBER(O3268),O3268,0)+IF(ISNUMBER(P3268),P3268,0),2),"")</f>
        <v/>
      </c>
      <c r="S3268" s="9" t="str">
        <f aca="false">IF(R3268="","",ROUND(L3268-R3268,2))</f>
        <v/>
      </c>
      <c r="T3268" s="8" t="str">
        <f aca="false">IF(A3268="","",IF(S3268="","BYPASS",IF(ABS(S3268)&lt;=Summary!$B$2,"PASS","FAIL")))</f>
        <v/>
      </c>
      <c r="U3268" s="8" t="str">
        <f aca="false">IF(T3268="BYPASS",IF(NOT(ISNUMBER(Q3268)),"PreV_ETB missing","End_tr_balance missing"),IF(T3268="FAIL",IF(AND(ISNUMBER(K3268),ISNUMBER(L3268),ABS(L3268-(K3268-IF(ISNUMBER(N3268),N3268,0)-IF(ISNUMBER(O3268),O3268,0)+IF(ISNUMBER(P3268),P3268,0)))&lt;=Summary!$B$2),"Passes using beginning_balance - PreV_ETB differs from beginning_balance",IF(AND(ISNUMBER(O3268),O3268&lt;0,ABS(L3268-(Q3268-IF(ISNUMBER(N3268),N3268,0)+IF(ISNUMBER(P3268),P3268,0)))&lt;=Summary!$B$2),"Negative realized loss not applied - check sign",IF(R3268&lt;0,"Principal paid exceeds prior balance",IF(AND(L3268&gt;Q3268,NOT(ISNUMBER(P3268))),"Balance increased but no Deferred_interest reported",IF(L3268&gt;R3268,"Reported balance higher than expected (missing increase/OC build)","Reported balance lower than expected (missing decrease)"))))),""))</f>
        <v/>
      </c>
    </row>
    <row r="3269" customFormat="false" ht="15" hidden="false" customHeight="false" outlineLevel="0" collapsed="false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9"/>
      <c r="L3269" s="9"/>
      <c r="M3269" s="9"/>
      <c r="N3269" s="9"/>
      <c r="O3269" s="9"/>
      <c r="P3269" s="9"/>
      <c r="Q3269" s="9"/>
      <c r="R3269" s="9" t="str">
        <f aca="false">IF(AND(A3269&lt;&gt;"",ISNUMBER(Q3269),ISNUMBER(L3269)),ROUND(Q3269-IF(ISNUMBER(N3269),N3269,0)-IF(ISNUMBER(O3269),O3269,0)+IF(ISNUMBER(P3269),P3269,0),2),"")</f>
        <v/>
      </c>
      <c r="S3269" s="9" t="str">
        <f aca="false">IF(R3269="","",ROUND(L3269-R3269,2))</f>
        <v/>
      </c>
      <c r="T3269" s="8" t="str">
        <f aca="false">IF(A3269="","",IF(S3269="","BYPASS",IF(ABS(S3269)&lt;=Summary!$B$2,"PASS","FAIL")))</f>
        <v/>
      </c>
      <c r="U3269" s="8" t="str">
        <f aca="false">IF(T3269="BYPASS",IF(NOT(ISNUMBER(Q3269)),"PreV_ETB missing","End_tr_balance missing"),IF(T3269="FAIL",IF(AND(ISNUMBER(K3269),ISNUMBER(L3269),ABS(L3269-(K3269-IF(ISNUMBER(N3269),N3269,0)-IF(ISNUMBER(O3269),O3269,0)+IF(ISNUMBER(P3269),P3269,0)))&lt;=Summary!$B$2),"Passes using beginning_balance - PreV_ETB differs from beginning_balance",IF(AND(ISNUMBER(O3269),O3269&lt;0,ABS(L3269-(Q3269-IF(ISNUMBER(N3269),N3269,0)+IF(ISNUMBER(P3269),P3269,0)))&lt;=Summary!$B$2),"Negative realized loss not applied - check sign",IF(R3269&lt;0,"Principal paid exceeds prior balance",IF(AND(L3269&gt;Q3269,NOT(ISNUMBER(P3269))),"Balance increased but no Deferred_interest reported",IF(L3269&gt;R3269,"Reported balance higher than expected (missing increase/OC build)","Reported balance lower than expected (missing decrease)"))))),""))</f>
        <v/>
      </c>
    </row>
    <row r="3270" customFormat="false" ht="15" hidden="false" customHeight="false" outlineLevel="0" collapsed="false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9"/>
      <c r="L3270" s="9"/>
      <c r="M3270" s="9"/>
      <c r="N3270" s="9"/>
      <c r="O3270" s="9"/>
      <c r="P3270" s="9"/>
      <c r="Q3270" s="9"/>
      <c r="R3270" s="9" t="str">
        <f aca="false">IF(AND(A3270&lt;&gt;"",ISNUMBER(Q3270),ISNUMBER(L3270)),ROUND(Q3270-IF(ISNUMBER(N3270),N3270,0)-IF(ISNUMBER(O3270),O3270,0)+IF(ISNUMBER(P3270),P3270,0),2),"")</f>
        <v/>
      </c>
      <c r="S3270" s="9" t="str">
        <f aca="false">IF(R3270="","",ROUND(L3270-R3270,2))</f>
        <v/>
      </c>
      <c r="T3270" s="8" t="str">
        <f aca="false">IF(A3270="","",IF(S3270="","BYPASS",IF(ABS(S3270)&lt;=Summary!$B$2,"PASS","FAIL")))</f>
        <v/>
      </c>
      <c r="U3270" s="8" t="str">
        <f aca="false">IF(T3270="BYPASS",IF(NOT(ISNUMBER(Q3270)),"PreV_ETB missing","End_tr_balance missing"),IF(T3270="FAIL",IF(AND(ISNUMBER(K3270),ISNUMBER(L3270),ABS(L3270-(K3270-IF(ISNUMBER(N3270),N3270,0)-IF(ISNUMBER(O3270),O3270,0)+IF(ISNUMBER(P3270),P3270,0)))&lt;=Summary!$B$2),"Passes using beginning_balance - PreV_ETB differs from beginning_balance",IF(AND(ISNUMBER(O3270),O3270&lt;0,ABS(L3270-(Q3270-IF(ISNUMBER(N3270),N3270,0)+IF(ISNUMBER(P3270),P3270,0)))&lt;=Summary!$B$2),"Negative realized loss not applied - check sign",IF(R3270&lt;0,"Principal paid exceeds prior balance",IF(AND(L3270&gt;Q3270,NOT(ISNUMBER(P3270))),"Balance increased but no Deferred_interest reported",IF(L3270&gt;R3270,"Reported balance higher than expected (missing increase/OC build)","Reported balance lower than expected (missing decrease)"))))),""))</f>
        <v/>
      </c>
    </row>
    <row r="3271" customFormat="false" ht="15" hidden="false" customHeight="false" outlineLevel="0" collapsed="false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9"/>
      <c r="L3271" s="9"/>
      <c r="M3271" s="9"/>
      <c r="N3271" s="9"/>
      <c r="O3271" s="9"/>
      <c r="P3271" s="9"/>
      <c r="Q3271" s="9"/>
      <c r="R3271" s="9" t="str">
        <f aca="false">IF(AND(A3271&lt;&gt;"",ISNUMBER(Q3271),ISNUMBER(L3271)),ROUND(Q3271-IF(ISNUMBER(N3271),N3271,0)-IF(ISNUMBER(O3271),O3271,0)+IF(ISNUMBER(P3271),P3271,0),2),"")</f>
        <v/>
      </c>
      <c r="S3271" s="9" t="str">
        <f aca="false">IF(R3271="","",ROUND(L3271-R3271,2))</f>
        <v/>
      </c>
      <c r="T3271" s="8" t="str">
        <f aca="false">IF(A3271="","",IF(S3271="","BYPASS",IF(ABS(S3271)&lt;=Summary!$B$2,"PASS","FAIL")))</f>
        <v/>
      </c>
      <c r="U3271" s="8" t="str">
        <f aca="false">IF(T3271="BYPASS",IF(NOT(ISNUMBER(Q3271)),"PreV_ETB missing","End_tr_balance missing"),IF(T3271="FAIL",IF(AND(ISNUMBER(K3271),ISNUMBER(L3271),ABS(L3271-(K3271-IF(ISNUMBER(N3271),N3271,0)-IF(ISNUMBER(O3271),O3271,0)+IF(ISNUMBER(P3271),P3271,0)))&lt;=Summary!$B$2),"Passes using beginning_balance - PreV_ETB differs from beginning_balance",IF(AND(ISNUMBER(O3271),O3271&lt;0,ABS(L3271-(Q3271-IF(ISNUMBER(N3271),N3271,0)+IF(ISNUMBER(P3271),P3271,0)))&lt;=Summary!$B$2),"Negative realized loss not applied - check sign",IF(R3271&lt;0,"Principal paid exceeds prior balance",IF(AND(L3271&gt;Q3271,NOT(ISNUMBER(P3271))),"Balance increased but no Deferred_interest reported",IF(L3271&gt;R3271,"Reported balance higher than expected (missing increase/OC build)","Reported balance lower than expected (missing decrease)"))))),""))</f>
        <v/>
      </c>
    </row>
    <row r="3272" customFormat="false" ht="15" hidden="false" customHeight="false" outlineLevel="0" collapsed="false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9"/>
      <c r="L3272" s="9"/>
      <c r="M3272" s="9"/>
      <c r="N3272" s="9"/>
      <c r="O3272" s="9"/>
      <c r="P3272" s="9"/>
      <c r="Q3272" s="9"/>
      <c r="R3272" s="9" t="str">
        <f aca="false">IF(AND(A3272&lt;&gt;"",ISNUMBER(Q3272),ISNUMBER(L3272)),ROUND(Q3272-IF(ISNUMBER(N3272),N3272,0)-IF(ISNUMBER(O3272),O3272,0)+IF(ISNUMBER(P3272),P3272,0),2),"")</f>
        <v/>
      </c>
      <c r="S3272" s="9" t="str">
        <f aca="false">IF(R3272="","",ROUND(L3272-R3272,2))</f>
        <v/>
      </c>
      <c r="T3272" s="8" t="str">
        <f aca="false">IF(A3272="","",IF(S3272="","BYPASS",IF(ABS(S3272)&lt;=Summary!$B$2,"PASS","FAIL")))</f>
        <v/>
      </c>
      <c r="U3272" s="8" t="str">
        <f aca="false">IF(T3272="BYPASS",IF(NOT(ISNUMBER(Q3272)),"PreV_ETB missing","End_tr_balance missing"),IF(T3272="FAIL",IF(AND(ISNUMBER(K3272),ISNUMBER(L3272),ABS(L3272-(K3272-IF(ISNUMBER(N3272),N3272,0)-IF(ISNUMBER(O3272),O3272,0)+IF(ISNUMBER(P3272),P3272,0)))&lt;=Summary!$B$2),"Passes using beginning_balance - PreV_ETB differs from beginning_balance",IF(AND(ISNUMBER(O3272),O3272&lt;0,ABS(L3272-(Q3272-IF(ISNUMBER(N3272),N3272,0)+IF(ISNUMBER(P3272),P3272,0)))&lt;=Summary!$B$2),"Negative realized loss not applied - check sign",IF(R3272&lt;0,"Principal paid exceeds prior balance",IF(AND(L3272&gt;Q3272,NOT(ISNUMBER(P3272))),"Balance increased but no Deferred_interest reported",IF(L3272&gt;R3272,"Reported balance higher than expected (missing increase/OC build)","Reported balance lower than expected (missing decrease)"))))),""))</f>
        <v/>
      </c>
    </row>
    <row r="3273" customFormat="false" ht="15" hidden="false" customHeight="false" outlineLevel="0" collapsed="false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9"/>
      <c r="L3273" s="9"/>
      <c r="M3273" s="9"/>
      <c r="N3273" s="9"/>
      <c r="O3273" s="9"/>
      <c r="P3273" s="9"/>
      <c r="Q3273" s="9"/>
      <c r="R3273" s="9" t="str">
        <f aca="false">IF(AND(A3273&lt;&gt;"",ISNUMBER(Q3273),ISNUMBER(L3273)),ROUND(Q3273-IF(ISNUMBER(N3273),N3273,0)-IF(ISNUMBER(O3273),O3273,0)+IF(ISNUMBER(P3273),P3273,0),2),"")</f>
        <v/>
      </c>
      <c r="S3273" s="9" t="str">
        <f aca="false">IF(R3273="","",ROUND(L3273-R3273,2))</f>
        <v/>
      </c>
      <c r="T3273" s="8" t="str">
        <f aca="false">IF(A3273="","",IF(S3273="","BYPASS",IF(ABS(S3273)&lt;=Summary!$B$2,"PASS","FAIL")))</f>
        <v/>
      </c>
      <c r="U3273" s="8" t="str">
        <f aca="false">IF(T3273="BYPASS",IF(NOT(ISNUMBER(Q3273)),"PreV_ETB missing","End_tr_balance missing"),IF(T3273="FAIL",IF(AND(ISNUMBER(K3273),ISNUMBER(L3273),ABS(L3273-(K3273-IF(ISNUMBER(N3273),N3273,0)-IF(ISNUMBER(O3273),O3273,0)+IF(ISNUMBER(P3273),P3273,0)))&lt;=Summary!$B$2),"Passes using beginning_balance - PreV_ETB differs from beginning_balance",IF(AND(ISNUMBER(O3273),O3273&lt;0,ABS(L3273-(Q3273-IF(ISNUMBER(N3273),N3273,0)+IF(ISNUMBER(P3273),P3273,0)))&lt;=Summary!$B$2),"Negative realized loss not applied - check sign",IF(R3273&lt;0,"Principal paid exceeds prior balance",IF(AND(L3273&gt;Q3273,NOT(ISNUMBER(P3273))),"Balance increased but no Deferred_interest reported",IF(L3273&gt;R3273,"Reported balance higher than expected (missing increase/OC build)","Reported balance lower than expected (missing decrease)"))))),""))</f>
        <v/>
      </c>
    </row>
    <row r="3274" customFormat="false" ht="15" hidden="false" customHeight="false" outlineLevel="0" collapsed="false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9"/>
      <c r="L3274" s="9"/>
      <c r="M3274" s="9"/>
      <c r="N3274" s="9"/>
      <c r="O3274" s="9"/>
      <c r="P3274" s="9"/>
      <c r="Q3274" s="9"/>
      <c r="R3274" s="9" t="str">
        <f aca="false">IF(AND(A3274&lt;&gt;"",ISNUMBER(Q3274),ISNUMBER(L3274)),ROUND(Q3274-IF(ISNUMBER(N3274),N3274,0)-IF(ISNUMBER(O3274),O3274,0)+IF(ISNUMBER(P3274),P3274,0),2),"")</f>
        <v/>
      </c>
      <c r="S3274" s="9" t="str">
        <f aca="false">IF(R3274="","",ROUND(L3274-R3274,2))</f>
        <v/>
      </c>
      <c r="T3274" s="8" t="str">
        <f aca="false">IF(A3274="","",IF(S3274="","BYPASS",IF(ABS(S3274)&lt;=Summary!$B$2,"PASS","FAIL")))</f>
        <v/>
      </c>
      <c r="U3274" s="8" t="str">
        <f aca="false">IF(T3274="BYPASS",IF(NOT(ISNUMBER(Q3274)),"PreV_ETB missing","End_tr_balance missing"),IF(T3274="FAIL",IF(AND(ISNUMBER(K3274),ISNUMBER(L3274),ABS(L3274-(K3274-IF(ISNUMBER(N3274),N3274,0)-IF(ISNUMBER(O3274),O3274,0)+IF(ISNUMBER(P3274),P3274,0)))&lt;=Summary!$B$2),"Passes using beginning_balance - PreV_ETB differs from beginning_balance",IF(AND(ISNUMBER(O3274),O3274&lt;0,ABS(L3274-(Q3274-IF(ISNUMBER(N3274),N3274,0)+IF(ISNUMBER(P3274),P3274,0)))&lt;=Summary!$B$2),"Negative realized loss not applied - check sign",IF(R3274&lt;0,"Principal paid exceeds prior balance",IF(AND(L3274&gt;Q3274,NOT(ISNUMBER(P3274))),"Balance increased but no Deferred_interest reported",IF(L3274&gt;R3274,"Reported balance higher than expected (missing increase/OC build)","Reported balance lower than expected (missing decrease)"))))),""))</f>
        <v/>
      </c>
    </row>
    <row r="3275" customFormat="false" ht="15" hidden="false" customHeight="false" outlineLevel="0" collapsed="false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9"/>
      <c r="L3275" s="9"/>
      <c r="M3275" s="9"/>
      <c r="N3275" s="9"/>
      <c r="O3275" s="9"/>
      <c r="P3275" s="9"/>
      <c r="Q3275" s="9"/>
      <c r="R3275" s="9" t="str">
        <f aca="false">IF(AND(A3275&lt;&gt;"",ISNUMBER(Q3275),ISNUMBER(L3275)),ROUND(Q3275-IF(ISNUMBER(N3275),N3275,0)-IF(ISNUMBER(O3275),O3275,0)+IF(ISNUMBER(P3275),P3275,0),2),"")</f>
        <v/>
      </c>
      <c r="S3275" s="9" t="str">
        <f aca="false">IF(R3275="","",ROUND(L3275-R3275,2))</f>
        <v/>
      </c>
      <c r="T3275" s="8" t="str">
        <f aca="false">IF(A3275="","",IF(S3275="","BYPASS",IF(ABS(S3275)&lt;=Summary!$B$2,"PASS","FAIL")))</f>
        <v/>
      </c>
      <c r="U3275" s="8" t="str">
        <f aca="false">IF(T3275="BYPASS",IF(NOT(ISNUMBER(Q3275)),"PreV_ETB missing","End_tr_balance missing"),IF(T3275="FAIL",IF(AND(ISNUMBER(K3275),ISNUMBER(L3275),ABS(L3275-(K3275-IF(ISNUMBER(N3275),N3275,0)-IF(ISNUMBER(O3275),O3275,0)+IF(ISNUMBER(P3275),P3275,0)))&lt;=Summary!$B$2),"Passes using beginning_balance - PreV_ETB differs from beginning_balance",IF(AND(ISNUMBER(O3275),O3275&lt;0,ABS(L3275-(Q3275-IF(ISNUMBER(N3275),N3275,0)+IF(ISNUMBER(P3275),P3275,0)))&lt;=Summary!$B$2),"Negative realized loss not applied - check sign",IF(R3275&lt;0,"Principal paid exceeds prior balance",IF(AND(L3275&gt;Q3275,NOT(ISNUMBER(P3275))),"Balance increased but no Deferred_interest reported",IF(L3275&gt;R3275,"Reported balance higher than expected (missing increase/OC build)","Reported balance lower than expected (missing decrease)"))))),""))</f>
        <v/>
      </c>
    </row>
    <row r="3276" customFormat="false" ht="15" hidden="false" customHeight="false" outlineLevel="0" collapsed="false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9"/>
      <c r="L3276" s="9"/>
      <c r="M3276" s="9"/>
      <c r="N3276" s="9"/>
      <c r="O3276" s="9"/>
      <c r="P3276" s="9"/>
      <c r="Q3276" s="9"/>
      <c r="R3276" s="9" t="str">
        <f aca="false">IF(AND(A3276&lt;&gt;"",ISNUMBER(Q3276),ISNUMBER(L3276)),ROUND(Q3276-IF(ISNUMBER(N3276),N3276,0)-IF(ISNUMBER(O3276),O3276,0)+IF(ISNUMBER(P3276),P3276,0),2),"")</f>
        <v/>
      </c>
      <c r="S3276" s="9" t="str">
        <f aca="false">IF(R3276="","",ROUND(L3276-R3276,2))</f>
        <v/>
      </c>
      <c r="T3276" s="8" t="str">
        <f aca="false">IF(A3276="","",IF(S3276="","BYPASS",IF(ABS(S3276)&lt;=Summary!$B$2,"PASS","FAIL")))</f>
        <v/>
      </c>
      <c r="U3276" s="8" t="str">
        <f aca="false">IF(T3276="BYPASS",IF(NOT(ISNUMBER(Q3276)),"PreV_ETB missing","End_tr_balance missing"),IF(T3276="FAIL",IF(AND(ISNUMBER(K3276),ISNUMBER(L3276),ABS(L3276-(K3276-IF(ISNUMBER(N3276),N3276,0)-IF(ISNUMBER(O3276),O3276,0)+IF(ISNUMBER(P3276),P3276,0)))&lt;=Summary!$B$2),"Passes using beginning_balance - PreV_ETB differs from beginning_balance",IF(AND(ISNUMBER(O3276),O3276&lt;0,ABS(L3276-(Q3276-IF(ISNUMBER(N3276),N3276,0)+IF(ISNUMBER(P3276),P3276,0)))&lt;=Summary!$B$2),"Negative realized loss not applied - check sign",IF(R3276&lt;0,"Principal paid exceeds prior balance",IF(AND(L3276&gt;Q3276,NOT(ISNUMBER(P3276))),"Balance increased but no Deferred_interest reported",IF(L3276&gt;R3276,"Reported balance higher than expected (missing increase/OC build)","Reported balance lower than expected (missing decrease)"))))),""))</f>
        <v/>
      </c>
    </row>
    <row r="3277" customFormat="false" ht="15" hidden="false" customHeight="false" outlineLevel="0" collapsed="false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9"/>
      <c r="L3277" s="9"/>
      <c r="M3277" s="9"/>
      <c r="N3277" s="9"/>
      <c r="O3277" s="9"/>
      <c r="P3277" s="9"/>
      <c r="Q3277" s="9"/>
      <c r="R3277" s="9" t="str">
        <f aca="false">IF(AND(A3277&lt;&gt;"",ISNUMBER(Q3277),ISNUMBER(L3277)),ROUND(Q3277-IF(ISNUMBER(N3277),N3277,0)-IF(ISNUMBER(O3277),O3277,0)+IF(ISNUMBER(P3277),P3277,0),2),"")</f>
        <v/>
      </c>
      <c r="S3277" s="9" t="str">
        <f aca="false">IF(R3277="","",ROUND(L3277-R3277,2))</f>
        <v/>
      </c>
      <c r="T3277" s="8" t="str">
        <f aca="false">IF(A3277="","",IF(S3277="","BYPASS",IF(ABS(S3277)&lt;=Summary!$B$2,"PASS","FAIL")))</f>
        <v/>
      </c>
      <c r="U3277" s="8" t="str">
        <f aca="false">IF(T3277="BYPASS",IF(NOT(ISNUMBER(Q3277)),"PreV_ETB missing","End_tr_balance missing"),IF(T3277="FAIL",IF(AND(ISNUMBER(K3277),ISNUMBER(L3277),ABS(L3277-(K3277-IF(ISNUMBER(N3277),N3277,0)-IF(ISNUMBER(O3277),O3277,0)+IF(ISNUMBER(P3277),P3277,0)))&lt;=Summary!$B$2),"Passes using beginning_balance - PreV_ETB differs from beginning_balance",IF(AND(ISNUMBER(O3277),O3277&lt;0,ABS(L3277-(Q3277-IF(ISNUMBER(N3277),N3277,0)+IF(ISNUMBER(P3277),P3277,0)))&lt;=Summary!$B$2),"Negative realized loss not applied - check sign",IF(R3277&lt;0,"Principal paid exceeds prior balance",IF(AND(L3277&gt;Q3277,NOT(ISNUMBER(P3277))),"Balance increased but no Deferred_interest reported",IF(L3277&gt;R3277,"Reported balance higher than expected (missing increase/OC build)","Reported balance lower than expected (missing decrease)"))))),""))</f>
        <v/>
      </c>
    </row>
    <row r="3278" customFormat="false" ht="15" hidden="false" customHeight="false" outlineLevel="0" collapsed="false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9"/>
      <c r="L3278" s="9"/>
      <c r="M3278" s="9"/>
      <c r="N3278" s="9"/>
      <c r="O3278" s="9"/>
      <c r="P3278" s="9"/>
      <c r="Q3278" s="9"/>
      <c r="R3278" s="9" t="str">
        <f aca="false">IF(AND(A3278&lt;&gt;"",ISNUMBER(Q3278),ISNUMBER(L3278)),ROUND(Q3278-IF(ISNUMBER(N3278),N3278,0)-IF(ISNUMBER(O3278),O3278,0)+IF(ISNUMBER(P3278),P3278,0),2),"")</f>
        <v/>
      </c>
      <c r="S3278" s="9" t="str">
        <f aca="false">IF(R3278="","",ROUND(L3278-R3278,2))</f>
        <v/>
      </c>
      <c r="T3278" s="8" t="str">
        <f aca="false">IF(A3278="","",IF(S3278="","BYPASS",IF(ABS(S3278)&lt;=Summary!$B$2,"PASS","FAIL")))</f>
        <v/>
      </c>
      <c r="U3278" s="8" t="str">
        <f aca="false">IF(T3278="BYPASS",IF(NOT(ISNUMBER(Q3278)),"PreV_ETB missing","End_tr_balance missing"),IF(T3278="FAIL",IF(AND(ISNUMBER(K3278),ISNUMBER(L3278),ABS(L3278-(K3278-IF(ISNUMBER(N3278),N3278,0)-IF(ISNUMBER(O3278),O3278,0)+IF(ISNUMBER(P3278),P3278,0)))&lt;=Summary!$B$2),"Passes using beginning_balance - PreV_ETB differs from beginning_balance",IF(AND(ISNUMBER(O3278),O3278&lt;0,ABS(L3278-(Q3278-IF(ISNUMBER(N3278),N3278,0)+IF(ISNUMBER(P3278),P3278,0)))&lt;=Summary!$B$2),"Negative realized loss not applied - check sign",IF(R3278&lt;0,"Principal paid exceeds prior balance",IF(AND(L3278&gt;Q3278,NOT(ISNUMBER(P3278))),"Balance increased but no Deferred_interest reported",IF(L3278&gt;R3278,"Reported balance higher than expected (missing increase/OC build)","Reported balance lower than expected (missing decrease)"))))),""))</f>
        <v/>
      </c>
    </row>
    <row r="3279" customFormat="false" ht="15" hidden="false" customHeight="false" outlineLevel="0" collapsed="false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9"/>
      <c r="L3279" s="9"/>
      <c r="M3279" s="9"/>
      <c r="N3279" s="9"/>
      <c r="O3279" s="9"/>
      <c r="P3279" s="9"/>
      <c r="Q3279" s="9"/>
      <c r="R3279" s="9" t="str">
        <f aca="false">IF(AND(A3279&lt;&gt;"",ISNUMBER(Q3279),ISNUMBER(L3279)),ROUND(Q3279-IF(ISNUMBER(N3279),N3279,0)-IF(ISNUMBER(O3279),O3279,0)+IF(ISNUMBER(P3279),P3279,0),2),"")</f>
        <v/>
      </c>
      <c r="S3279" s="9" t="str">
        <f aca="false">IF(R3279="","",ROUND(L3279-R3279,2))</f>
        <v/>
      </c>
      <c r="T3279" s="8" t="str">
        <f aca="false">IF(A3279="","",IF(S3279="","BYPASS",IF(ABS(S3279)&lt;=Summary!$B$2,"PASS","FAIL")))</f>
        <v/>
      </c>
      <c r="U3279" s="8" t="str">
        <f aca="false">IF(T3279="BYPASS",IF(NOT(ISNUMBER(Q3279)),"PreV_ETB missing","End_tr_balance missing"),IF(T3279="FAIL",IF(AND(ISNUMBER(K3279),ISNUMBER(L3279),ABS(L3279-(K3279-IF(ISNUMBER(N3279),N3279,0)-IF(ISNUMBER(O3279),O3279,0)+IF(ISNUMBER(P3279),P3279,0)))&lt;=Summary!$B$2),"Passes using beginning_balance - PreV_ETB differs from beginning_balance",IF(AND(ISNUMBER(O3279),O3279&lt;0,ABS(L3279-(Q3279-IF(ISNUMBER(N3279),N3279,0)+IF(ISNUMBER(P3279),P3279,0)))&lt;=Summary!$B$2),"Negative realized loss not applied - check sign",IF(R3279&lt;0,"Principal paid exceeds prior balance",IF(AND(L3279&gt;Q3279,NOT(ISNUMBER(P3279))),"Balance increased but no Deferred_interest reported",IF(L3279&gt;R3279,"Reported balance higher than expected (missing increase/OC build)","Reported balance lower than expected (missing decrease)"))))),""))</f>
        <v/>
      </c>
    </row>
    <row r="3280" customFormat="false" ht="15" hidden="false" customHeight="false" outlineLevel="0" collapsed="false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9"/>
      <c r="L3280" s="9"/>
      <c r="M3280" s="9"/>
      <c r="N3280" s="9"/>
      <c r="O3280" s="9"/>
      <c r="P3280" s="9"/>
      <c r="Q3280" s="9"/>
      <c r="R3280" s="9" t="str">
        <f aca="false">IF(AND(A3280&lt;&gt;"",ISNUMBER(Q3280),ISNUMBER(L3280)),ROUND(Q3280-IF(ISNUMBER(N3280),N3280,0)-IF(ISNUMBER(O3280),O3280,0)+IF(ISNUMBER(P3280),P3280,0),2),"")</f>
        <v/>
      </c>
      <c r="S3280" s="9" t="str">
        <f aca="false">IF(R3280="","",ROUND(L3280-R3280,2))</f>
        <v/>
      </c>
      <c r="T3280" s="8" t="str">
        <f aca="false">IF(A3280="","",IF(S3280="","BYPASS",IF(ABS(S3280)&lt;=Summary!$B$2,"PASS","FAIL")))</f>
        <v/>
      </c>
      <c r="U3280" s="8" t="str">
        <f aca="false">IF(T3280="BYPASS",IF(NOT(ISNUMBER(Q3280)),"PreV_ETB missing","End_tr_balance missing"),IF(T3280="FAIL",IF(AND(ISNUMBER(K3280),ISNUMBER(L3280),ABS(L3280-(K3280-IF(ISNUMBER(N3280),N3280,0)-IF(ISNUMBER(O3280),O3280,0)+IF(ISNUMBER(P3280),P3280,0)))&lt;=Summary!$B$2),"Passes using beginning_balance - PreV_ETB differs from beginning_balance",IF(AND(ISNUMBER(O3280),O3280&lt;0,ABS(L3280-(Q3280-IF(ISNUMBER(N3280),N3280,0)+IF(ISNUMBER(P3280),P3280,0)))&lt;=Summary!$B$2),"Negative realized loss not applied - check sign",IF(R3280&lt;0,"Principal paid exceeds prior balance",IF(AND(L3280&gt;Q3280,NOT(ISNUMBER(P3280))),"Balance increased but no Deferred_interest reported",IF(L3280&gt;R3280,"Reported balance higher than expected (missing increase/OC build)","Reported balance lower than expected (missing decrease)"))))),""))</f>
        <v/>
      </c>
    </row>
    <row r="3281" customFormat="false" ht="15" hidden="false" customHeight="false" outlineLevel="0" collapsed="false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9"/>
      <c r="L3281" s="9"/>
      <c r="M3281" s="9"/>
      <c r="N3281" s="9"/>
      <c r="O3281" s="9"/>
      <c r="P3281" s="9"/>
      <c r="Q3281" s="9"/>
      <c r="R3281" s="9" t="str">
        <f aca="false">IF(AND(A3281&lt;&gt;"",ISNUMBER(Q3281),ISNUMBER(L3281)),ROUND(Q3281-IF(ISNUMBER(N3281),N3281,0)-IF(ISNUMBER(O3281),O3281,0)+IF(ISNUMBER(P3281),P3281,0),2),"")</f>
        <v/>
      </c>
      <c r="S3281" s="9" t="str">
        <f aca="false">IF(R3281="","",ROUND(L3281-R3281,2))</f>
        <v/>
      </c>
      <c r="T3281" s="8" t="str">
        <f aca="false">IF(A3281="","",IF(S3281="","BYPASS",IF(ABS(S3281)&lt;=Summary!$B$2,"PASS","FAIL")))</f>
        <v/>
      </c>
      <c r="U3281" s="8" t="str">
        <f aca="false">IF(T3281="BYPASS",IF(NOT(ISNUMBER(Q3281)),"PreV_ETB missing","End_tr_balance missing"),IF(T3281="FAIL",IF(AND(ISNUMBER(K3281),ISNUMBER(L3281),ABS(L3281-(K3281-IF(ISNUMBER(N3281),N3281,0)-IF(ISNUMBER(O3281),O3281,0)+IF(ISNUMBER(P3281),P3281,0)))&lt;=Summary!$B$2),"Passes using beginning_balance - PreV_ETB differs from beginning_balance",IF(AND(ISNUMBER(O3281),O3281&lt;0,ABS(L3281-(Q3281-IF(ISNUMBER(N3281),N3281,0)+IF(ISNUMBER(P3281),P3281,0)))&lt;=Summary!$B$2),"Negative realized loss not applied - check sign",IF(R3281&lt;0,"Principal paid exceeds prior balance",IF(AND(L3281&gt;Q3281,NOT(ISNUMBER(P3281))),"Balance increased but no Deferred_interest reported",IF(L3281&gt;R3281,"Reported balance higher than expected (missing increase/OC build)","Reported balance lower than expected (missing decrease)"))))),""))</f>
        <v/>
      </c>
    </row>
    <row r="3282" customFormat="false" ht="15" hidden="false" customHeight="false" outlineLevel="0" collapsed="false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9"/>
      <c r="L3282" s="9"/>
      <c r="M3282" s="9"/>
      <c r="N3282" s="9"/>
      <c r="O3282" s="9"/>
      <c r="P3282" s="9"/>
      <c r="Q3282" s="9"/>
      <c r="R3282" s="9" t="str">
        <f aca="false">IF(AND(A3282&lt;&gt;"",ISNUMBER(Q3282),ISNUMBER(L3282)),ROUND(Q3282-IF(ISNUMBER(N3282),N3282,0)-IF(ISNUMBER(O3282),O3282,0)+IF(ISNUMBER(P3282),P3282,0),2),"")</f>
        <v/>
      </c>
      <c r="S3282" s="9" t="str">
        <f aca="false">IF(R3282="","",ROUND(L3282-R3282,2))</f>
        <v/>
      </c>
      <c r="T3282" s="8" t="str">
        <f aca="false">IF(A3282="","",IF(S3282="","BYPASS",IF(ABS(S3282)&lt;=Summary!$B$2,"PASS","FAIL")))</f>
        <v/>
      </c>
      <c r="U3282" s="8" t="str">
        <f aca="false">IF(T3282="BYPASS",IF(NOT(ISNUMBER(Q3282)),"PreV_ETB missing","End_tr_balance missing"),IF(T3282="FAIL",IF(AND(ISNUMBER(K3282),ISNUMBER(L3282),ABS(L3282-(K3282-IF(ISNUMBER(N3282),N3282,0)-IF(ISNUMBER(O3282),O3282,0)+IF(ISNUMBER(P3282),P3282,0)))&lt;=Summary!$B$2),"Passes using beginning_balance - PreV_ETB differs from beginning_balance",IF(AND(ISNUMBER(O3282),O3282&lt;0,ABS(L3282-(Q3282-IF(ISNUMBER(N3282),N3282,0)+IF(ISNUMBER(P3282),P3282,0)))&lt;=Summary!$B$2),"Negative realized loss not applied - check sign",IF(R3282&lt;0,"Principal paid exceeds prior balance",IF(AND(L3282&gt;Q3282,NOT(ISNUMBER(P3282))),"Balance increased but no Deferred_interest reported",IF(L3282&gt;R3282,"Reported balance higher than expected (missing increase/OC build)","Reported balance lower than expected (missing decrease)"))))),""))</f>
        <v/>
      </c>
    </row>
    <row r="3283" customFormat="false" ht="15" hidden="false" customHeight="false" outlineLevel="0" collapsed="false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9"/>
      <c r="L3283" s="9"/>
      <c r="M3283" s="9"/>
      <c r="N3283" s="9"/>
      <c r="O3283" s="9"/>
      <c r="P3283" s="9"/>
      <c r="Q3283" s="9"/>
      <c r="R3283" s="9" t="str">
        <f aca="false">IF(AND(A3283&lt;&gt;"",ISNUMBER(Q3283),ISNUMBER(L3283)),ROUND(Q3283-IF(ISNUMBER(N3283),N3283,0)-IF(ISNUMBER(O3283),O3283,0)+IF(ISNUMBER(P3283),P3283,0),2),"")</f>
        <v/>
      </c>
      <c r="S3283" s="9" t="str">
        <f aca="false">IF(R3283="","",ROUND(L3283-R3283,2))</f>
        <v/>
      </c>
      <c r="T3283" s="8" t="str">
        <f aca="false">IF(A3283="","",IF(S3283="","BYPASS",IF(ABS(S3283)&lt;=Summary!$B$2,"PASS","FAIL")))</f>
        <v/>
      </c>
      <c r="U3283" s="8" t="str">
        <f aca="false">IF(T3283="BYPASS",IF(NOT(ISNUMBER(Q3283)),"PreV_ETB missing","End_tr_balance missing"),IF(T3283="FAIL",IF(AND(ISNUMBER(K3283),ISNUMBER(L3283),ABS(L3283-(K3283-IF(ISNUMBER(N3283),N3283,0)-IF(ISNUMBER(O3283),O3283,0)+IF(ISNUMBER(P3283),P3283,0)))&lt;=Summary!$B$2),"Passes using beginning_balance - PreV_ETB differs from beginning_balance",IF(AND(ISNUMBER(O3283),O3283&lt;0,ABS(L3283-(Q3283-IF(ISNUMBER(N3283),N3283,0)+IF(ISNUMBER(P3283),P3283,0)))&lt;=Summary!$B$2),"Negative realized loss not applied - check sign",IF(R3283&lt;0,"Principal paid exceeds prior balance",IF(AND(L3283&gt;Q3283,NOT(ISNUMBER(P3283))),"Balance increased but no Deferred_interest reported",IF(L3283&gt;R3283,"Reported balance higher than expected (missing increase/OC build)","Reported balance lower than expected (missing decrease)"))))),""))</f>
        <v/>
      </c>
    </row>
    <row r="3284" customFormat="false" ht="15" hidden="false" customHeight="false" outlineLevel="0" collapsed="false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9"/>
      <c r="L3284" s="9"/>
      <c r="M3284" s="9"/>
      <c r="N3284" s="9"/>
      <c r="O3284" s="9"/>
      <c r="P3284" s="9"/>
      <c r="Q3284" s="9"/>
      <c r="R3284" s="9" t="str">
        <f aca="false">IF(AND(A3284&lt;&gt;"",ISNUMBER(Q3284),ISNUMBER(L3284)),ROUND(Q3284-IF(ISNUMBER(N3284),N3284,0)-IF(ISNUMBER(O3284),O3284,0)+IF(ISNUMBER(P3284),P3284,0),2),"")</f>
        <v/>
      </c>
      <c r="S3284" s="9" t="str">
        <f aca="false">IF(R3284="","",ROUND(L3284-R3284,2))</f>
        <v/>
      </c>
      <c r="T3284" s="8" t="str">
        <f aca="false">IF(A3284="","",IF(S3284="","BYPASS",IF(ABS(S3284)&lt;=Summary!$B$2,"PASS","FAIL")))</f>
        <v/>
      </c>
      <c r="U3284" s="8" t="str">
        <f aca="false">IF(T3284="BYPASS",IF(NOT(ISNUMBER(Q3284)),"PreV_ETB missing","End_tr_balance missing"),IF(T3284="FAIL",IF(AND(ISNUMBER(K3284),ISNUMBER(L3284),ABS(L3284-(K3284-IF(ISNUMBER(N3284),N3284,0)-IF(ISNUMBER(O3284),O3284,0)+IF(ISNUMBER(P3284),P3284,0)))&lt;=Summary!$B$2),"Passes using beginning_balance - PreV_ETB differs from beginning_balance",IF(AND(ISNUMBER(O3284),O3284&lt;0,ABS(L3284-(Q3284-IF(ISNUMBER(N3284),N3284,0)+IF(ISNUMBER(P3284),P3284,0)))&lt;=Summary!$B$2),"Negative realized loss not applied - check sign",IF(R3284&lt;0,"Principal paid exceeds prior balance",IF(AND(L3284&gt;Q3284,NOT(ISNUMBER(P3284))),"Balance increased but no Deferred_interest reported",IF(L3284&gt;R3284,"Reported balance higher than expected (missing increase/OC build)","Reported balance lower than expected (missing decrease)"))))),""))</f>
        <v/>
      </c>
    </row>
    <row r="3285" customFormat="false" ht="15" hidden="false" customHeight="false" outlineLevel="0" collapsed="false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9"/>
      <c r="L3285" s="9"/>
      <c r="M3285" s="9"/>
      <c r="N3285" s="9"/>
      <c r="O3285" s="9"/>
      <c r="P3285" s="9"/>
      <c r="Q3285" s="9"/>
      <c r="R3285" s="9" t="str">
        <f aca="false">IF(AND(A3285&lt;&gt;"",ISNUMBER(Q3285),ISNUMBER(L3285)),ROUND(Q3285-IF(ISNUMBER(N3285),N3285,0)-IF(ISNUMBER(O3285),O3285,0)+IF(ISNUMBER(P3285),P3285,0),2),"")</f>
        <v/>
      </c>
      <c r="S3285" s="9" t="str">
        <f aca="false">IF(R3285="","",ROUND(L3285-R3285,2))</f>
        <v/>
      </c>
      <c r="T3285" s="8" t="str">
        <f aca="false">IF(A3285="","",IF(S3285="","BYPASS",IF(ABS(S3285)&lt;=Summary!$B$2,"PASS","FAIL")))</f>
        <v/>
      </c>
      <c r="U3285" s="8" t="str">
        <f aca="false">IF(T3285="BYPASS",IF(NOT(ISNUMBER(Q3285)),"PreV_ETB missing","End_tr_balance missing"),IF(T3285="FAIL",IF(AND(ISNUMBER(K3285),ISNUMBER(L3285),ABS(L3285-(K3285-IF(ISNUMBER(N3285),N3285,0)-IF(ISNUMBER(O3285),O3285,0)+IF(ISNUMBER(P3285),P3285,0)))&lt;=Summary!$B$2),"Passes using beginning_balance - PreV_ETB differs from beginning_balance",IF(AND(ISNUMBER(O3285),O3285&lt;0,ABS(L3285-(Q3285-IF(ISNUMBER(N3285),N3285,0)+IF(ISNUMBER(P3285),P3285,0)))&lt;=Summary!$B$2),"Negative realized loss not applied - check sign",IF(R3285&lt;0,"Principal paid exceeds prior balance",IF(AND(L3285&gt;Q3285,NOT(ISNUMBER(P3285))),"Balance increased but no Deferred_interest reported",IF(L3285&gt;R3285,"Reported balance higher than expected (missing increase/OC build)","Reported balance lower than expected (missing decrease)"))))),""))</f>
        <v/>
      </c>
    </row>
    <row r="3286" customFormat="false" ht="15" hidden="false" customHeight="false" outlineLevel="0" collapsed="false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9"/>
      <c r="L3286" s="9"/>
      <c r="M3286" s="9"/>
      <c r="N3286" s="9"/>
      <c r="O3286" s="9"/>
      <c r="P3286" s="9"/>
      <c r="Q3286" s="9"/>
      <c r="R3286" s="9" t="str">
        <f aca="false">IF(AND(A3286&lt;&gt;"",ISNUMBER(Q3286),ISNUMBER(L3286)),ROUND(Q3286-IF(ISNUMBER(N3286),N3286,0)-IF(ISNUMBER(O3286),O3286,0)+IF(ISNUMBER(P3286),P3286,0),2),"")</f>
        <v/>
      </c>
      <c r="S3286" s="9" t="str">
        <f aca="false">IF(R3286="","",ROUND(L3286-R3286,2))</f>
        <v/>
      </c>
      <c r="T3286" s="8" t="str">
        <f aca="false">IF(A3286="","",IF(S3286="","BYPASS",IF(ABS(S3286)&lt;=Summary!$B$2,"PASS","FAIL")))</f>
        <v/>
      </c>
      <c r="U3286" s="8" t="str">
        <f aca="false">IF(T3286="BYPASS",IF(NOT(ISNUMBER(Q3286)),"PreV_ETB missing","End_tr_balance missing"),IF(T3286="FAIL",IF(AND(ISNUMBER(K3286),ISNUMBER(L3286),ABS(L3286-(K3286-IF(ISNUMBER(N3286),N3286,0)-IF(ISNUMBER(O3286),O3286,0)+IF(ISNUMBER(P3286),P3286,0)))&lt;=Summary!$B$2),"Passes using beginning_balance - PreV_ETB differs from beginning_balance",IF(AND(ISNUMBER(O3286),O3286&lt;0,ABS(L3286-(Q3286-IF(ISNUMBER(N3286),N3286,0)+IF(ISNUMBER(P3286),P3286,0)))&lt;=Summary!$B$2),"Negative realized loss not applied - check sign",IF(R3286&lt;0,"Principal paid exceeds prior balance",IF(AND(L3286&gt;Q3286,NOT(ISNUMBER(P3286))),"Balance increased but no Deferred_interest reported",IF(L3286&gt;R3286,"Reported balance higher than expected (missing increase/OC build)","Reported balance lower than expected (missing decrease)"))))),""))</f>
        <v/>
      </c>
    </row>
    <row r="3287" customFormat="false" ht="15" hidden="false" customHeight="false" outlineLevel="0" collapsed="false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9"/>
      <c r="L3287" s="9"/>
      <c r="M3287" s="9"/>
      <c r="N3287" s="9"/>
      <c r="O3287" s="9"/>
      <c r="P3287" s="9"/>
      <c r="Q3287" s="9"/>
      <c r="R3287" s="9" t="str">
        <f aca="false">IF(AND(A3287&lt;&gt;"",ISNUMBER(Q3287),ISNUMBER(L3287)),ROUND(Q3287-IF(ISNUMBER(N3287),N3287,0)-IF(ISNUMBER(O3287),O3287,0)+IF(ISNUMBER(P3287),P3287,0),2),"")</f>
        <v/>
      </c>
      <c r="S3287" s="9" t="str">
        <f aca="false">IF(R3287="","",ROUND(L3287-R3287,2))</f>
        <v/>
      </c>
      <c r="T3287" s="8" t="str">
        <f aca="false">IF(A3287="","",IF(S3287="","BYPASS",IF(ABS(S3287)&lt;=Summary!$B$2,"PASS","FAIL")))</f>
        <v/>
      </c>
      <c r="U3287" s="8" t="str">
        <f aca="false">IF(T3287="BYPASS",IF(NOT(ISNUMBER(Q3287)),"PreV_ETB missing","End_tr_balance missing"),IF(T3287="FAIL",IF(AND(ISNUMBER(K3287),ISNUMBER(L3287),ABS(L3287-(K3287-IF(ISNUMBER(N3287),N3287,0)-IF(ISNUMBER(O3287),O3287,0)+IF(ISNUMBER(P3287),P3287,0)))&lt;=Summary!$B$2),"Passes using beginning_balance - PreV_ETB differs from beginning_balance",IF(AND(ISNUMBER(O3287),O3287&lt;0,ABS(L3287-(Q3287-IF(ISNUMBER(N3287),N3287,0)+IF(ISNUMBER(P3287),P3287,0)))&lt;=Summary!$B$2),"Negative realized loss not applied - check sign",IF(R3287&lt;0,"Principal paid exceeds prior balance",IF(AND(L3287&gt;Q3287,NOT(ISNUMBER(P3287))),"Balance increased but no Deferred_interest reported",IF(L3287&gt;R3287,"Reported balance higher than expected (missing increase/OC build)","Reported balance lower than expected (missing decrease)"))))),""))</f>
        <v/>
      </c>
    </row>
    <row r="3288" customFormat="false" ht="15" hidden="false" customHeight="false" outlineLevel="0" collapsed="false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9"/>
      <c r="L3288" s="9"/>
      <c r="M3288" s="9"/>
      <c r="N3288" s="9"/>
      <c r="O3288" s="9"/>
      <c r="P3288" s="9"/>
      <c r="Q3288" s="9"/>
      <c r="R3288" s="9" t="str">
        <f aca="false">IF(AND(A3288&lt;&gt;"",ISNUMBER(Q3288),ISNUMBER(L3288)),ROUND(Q3288-IF(ISNUMBER(N3288),N3288,0)-IF(ISNUMBER(O3288),O3288,0)+IF(ISNUMBER(P3288),P3288,0),2),"")</f>
        <v/>
      </c>
      <c r="S3288" s="9" t="str">
        <f aca="false">IF(R3288="","",ROUND(L3288-R3288,2))</f>
        <v/>
      </c>
      <c r="T3288" s="8" t="str">
        <f aca="false">IF(A3288="","",IF(S3288="","BYPASS",IF(ABS(S3288)&lt;=Summary!$B$2,"PASS","FAIL")))</f>
        <v/>
      </c>
      <c r="U3288" s="8" t="str">
        <f aca="false">IF(T3288="BYPASS",IF(NOT(ISNUMBER(Q3288)),"PreV_ETB missing","End_tr_balance missing"),IF(T3288="FAIL",IF(AND(ISNUMBER(K3288),ISNUMBER(L3288),ABS(L3288-(K3288-IF(ISNUMBER(N3288),N3288,0)-IF(ISNUMBER(O3288),O3288,0)+IF(ISNUMBER(P3288),P3288,0)))&lt;=Summary!$B$2),"Passes using beginning_balance - PreV_ETB differs from beginning_balance",IF(AND(ISNUMBER(O3288),O3288&lt;0,ABS(L3288-(Q3288-IF(ISNUMBER(N3288),N3288,0)+IF(ISNUMBER(P3288),P3288,0)))&lt;=Summary!$B$2),"Negative realized loss not applied - check sign",IF(R3288&lt;0,"Principal paid exceeds prior balance",IF(AND(L3288&gt;Q3288,NOT(ISNUMBER(P3288))),"Balance increased but no Deferred_interest reported",IF(L3288&gt;R3288,"Reported balance higher than expected (missing increase/OC build)","Reported balance lower than expected (missing decrease)"))))),""))</f>
        <v/>
      </c>
    </row>
    <row r="3289" customFormat="false" ht="15" hidden="false" customHeight="false" outlineLevel="0" collapsed="false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9"/>
      <c r="L3289" s="9"/>
      <c r="M3289" s="9"/>
      <c r="N3289" s="9"/>
      <c r="O3289" s="9"/>
      <c r="P3289" s="9"/>
      <c r="Q3289" s="9"/>
      <c r="R3289" s="9" t="str">
        <f aca="false">IF(AND(A3289&lt;&gt;"",ISNUMBER(Q3289),ISNUMBER(L3289)),ROUND(Q3289-IF(ISNUMBER(N3289),N3289,0)-IF(ISNUMBER(O3289),O3289,0)+IF(ISNUMBER(P3289),P3289,0),2),"")</f>
        <v/>
      </c>
      <c r="S3289" s="9" t="str">
        <f aca="false">IF(R3289="","",ROUND(L3289-R3289,2))</f>
        <v/>
      </c>
      <c r="T3289" s="8" t="str">
        <f aca="false">IF(A3289="","",IF(S3289="","BYPASS",IF(ABS(S3289)&lt;=Summary!$B$2,"PASS","FAIL")))</f>
        <v/>
      </c>
      <c r="U3289" s="8" t="str">
        <f aca="false">IF(T3289="BYPASS",IF(NOT(ISNUMBER(Q3289)),"PreV_ETB missing","End_tr_balance missing"),IF(T3289="FAIL",IF(AND(ISNUMBER(K3289),ISNUMBER(L3289),ABS(L3289-(K3289-IF(ISNUMBER(N3289),N3289,0)-IF(ISNUMBER(O3289),O3289,0)+IF(ISNUMBER(P3289),P3289,0)))&lt;=Summary!$B$2),"Passes using beginning_balance - PreV_ETB differs from beginning_balance",IF(AND(ISNUMBER(O3289),O3289&lt;0,ABS(L3289-(Q3289-IF(ISNUMBER(N3289),N3289,0)+IF(ISNUMBER(P3289),P3289,0)))&lt;=Summary!$B$2),"Negative realized loss not applied - check sign",IF(R3289&lt;0,"Principal paid exceeds prior balance",IF(AND(L3289&gt;Q3289,NOT(ISNUMBER(P3289))),"Balance increased but no Deferred_interest reported",IF(L3289&gt;R3289,"Reported balance higher than expected (missing increase/OC build)","Reported balance lower than expected (missing decrease)"))))),""))</f>
        <v/>
      </c>
    </row>
    <row r="3290" customFormat="false" ht="15" hidden="false" customHeight="false" outlineLevel="0" collapsed="false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9"/>
      <c r="L3290" s="9"/>
      <c r="M3290" s="9"/>
      <c r="N3290" s="9"/>
      <c r="O3290" s="9"/>
      <c r="P3290" s="9"/>
      <c r="Q3290" s="9"/>
      <c r="R3290" s="9" t="str">
        <f aca="false">IF(AND(A3290&lt;&gt;"",ISNUMBER(Q3290),ISNUMBER(L3290)),ROUND(Q3290-IF(ISNUMBER(N3290),N3290,0)-IF(ISNUMBER(O3290),O3290,0)+IF(ISNUMBER(P3290),P3290,0),2),"")</f>
        <v/>
      </c>
      <c r="S3290" s="9" t="str">
        <f aca="false">IF(R3290="","",ROUND(L3290-R3290,2))</f>
        <v/>
      </c>
      <c r="T3290" s="8" t="str">
        <f aca="false">IF(A3290="","",IF(S3290="","BYPASS",IF(ABS(S3290)&lt;=Summary!$B$2,"PASS","FAIL")))</f>
        <v/>
      </c>
      <c r="U3290" s="8" t="str">
        <f aca="false">IF(T3290="BYPASS",IF(NOT(ISNUMBER(Q3290)),"PreV_ETB missing","End_tr_balance missing"),IF(T3290="FAIL",IF(AND(ISNUMBER(K3290),ISNUMBER(L3290),ABS(L3290-(K3290-IF(ISNUMBER(N3290),N3290,0)-IF(ISNUMBER(O3290),O3290,0)+IF(ISNUMBER(P3290),P3290,0)))&lt;=Summary!$B$2),"Passes using beginning_balance - PreV_ETB differs from beginning_balance",IF(AND(ISNUMBER(O3290),O3290&lt;0,ABS(L3290-(Q3290-IF(ISNUMBER(N3290),N3290,0)+IF(ISNUMBER(P3290),P3290,0)))&lt;=Summary!$B$2),"Negative realized loss not applied - check sign",IF(R3290&lt;0,"Principal paid exceeds prior balance",IF(AND(L3290&gt;Q3290,NOT(ISNUMBER(P3290))),"Balance increased but no Deferred_interest reported",IF(L3290&gt;R3290,"Reported balance higher than expected (missing increase/OC build)","Reported balance lower than expected (missing decrease)"))))),""))</f>
        <v/>
      </c>
    </row>
    <row r="3291" customFormat="false" ht="15" hidden="false" customHeight="false" outlineLevel="0" collapsed="false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9"/>
      <c r="L3291" s="9"/>
      <c r="M3291" s="9"/>
      <c r="N3291" s="9"/>
      <c r="O3291" s="9"/>
      <c r="P3291" s="9"/>
      <c r="Q3291" s="9"/>
      <c r="R3291" s="9" t="str">
        <f aca="false">IF(AND(A3291&lt;&gt;"",ISNUMBER(Q3291),ISNUMBER(L3291)),ROUND(Q3291-IF(ISNUMBER(N3291),N3291,0)-IF(ISNUMBER(O3291),O3291,0)+IF(ISNUMBER(P3291),P3291,0),2),"")</f>
        <v/>
      </c>
      <c r="S3291" s="9" t="str">
        <f aca="false">IF(R3291="","",ROUND(L3291-R3291,2))</f>
        <v/>
      </c>
      <c r="T3291" s="8" t="str">
        <f aca="false">IF(A3291="","",IF(S3291="","BYPASS",IF(ABS(S3291)&lt;=Summary!$B$2,"PASS","FAIL")))</f>
        <v/>
      </c>
      <c r="U3291" s="8" t="str">
        <f aca="false">IF(T3291="BYPASS",IF(NOT(ISNUMBER(Q3291)),"PreV_ETB missing","End_tr_balance missing"),IF(T3291="FAIL",IF(AND(ISNUMBER(K3291),ISNUMBER(L3291),ABS(L3291-(K3291-IF(ISNUMBER(N3291),N3291,0)-IF(ISNUMBER(O3291),O3291,0)+IF(ISNUMBER(P3291),P3291,0)))&lt;=Summary!$B$2),"Passes using beginning_balance - PreV_ETB differs from beginning_balance",IF(AND(ISNUMBER(O3291),O3291&lt;0,ABS(L3291-(Q3291-IF(ISNUMBER(N3291),N3291,0)+IF(ISNUMBER(P3291),P3291,0)))&lt;=Summary!$B$2),"Negative realized loss not applied - check sign",IF(R3291&lt;0,"Principal paid exceeds prior balance",IF(AND(L3291&gt;Q3291,NOT(ISNUMBER(P3291))),"Balance increased but no Deferred_interest reported",IF(L3291&gt;R3291,"Reported balance higher than expected (missing increase/OC build)","Reported balance lower than expected (missing decrease)"))))),""))</f>
        <v/>
      </c>
    </row>
    <row r="3292" customFormat="false" ht="15" hidden="false" customHeight="false" outlineLevel="0" collapsed="false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9"/>
      <c r="L3292" s="9"/>
      <c r="M3292" s="9"/>
      <c r="N3292" s="9"/>
      <c r="O3292" s="9"/>
      <c r="P3292" s="9"/>
      <c r="Q3292" s="9"/>
      <c r="R3292" s="9" t="str">
        <f aca="false">IF(AND(A3292&lt;&gt;"",ISNUMBER(Q3292),ISNUMBER(L3292)),ROUND(Q3292-IF(ISNUMBER(N3292),N3292,0)-IF(ISNUMBER(O3292),O3292,0)+IF(ISNUMBER(P3292),P3292,0),2),"")</f>
        <v/>
      </c>
      <c r="S3292" s="9" t="str">
        <f aca="false">IF(R3292="","",ROUND(L3292-R3292,2))</f>
        <v/>
      </c>
      <c r="T3292" s="8" t="str">
        <f aca="false">IF(A3292="","",IF(S3292="","BYPASS",IF(ABS(S3292)&lt;=Summary!$B$2,"PASS","FAIL")))</f>
        <v/>
      </c>
      <c r="U3292" s="8" t="str">
        <f aca="false">IF(T3292="BYPASS",IF(NOT(ISNUMBER(Q3292)),"PreV_ETB missing","End_tr_balance missing"),IF(T3292="FAIL",IF(AND(ISNUMBER(K3292),ISNUMBER(L3292),ABS(L3292-(K3292-IF(ISNUMBER(N3292),N3292,0)-IF(ISNUMBER(O3292),O3292,0)+IF(ISNUMBER(P3292),P3292,0)))&lt;=Summary!$B$2),"Passes using beginning_balance - PreV_ETB differs from beginning_balance",IF(AND(ISNUMBER(O3292),O3292&lt;0,ABS(L3292-(Q3292-IF(ISNUMBER(N3292),N3292,0)+IF(ISNUMBER(P3292),P3292,0)))&lt;=Summary!$B$2),"Negative realized loss not applied - check sign",IF(R3292&lt;0,"Principal paid exceeds prior balance",IF(AND(L3292&gt;Q3292,NOT(ISNUMBER(P3292))),"Balance increased but no Deferred_interest reported",IF(L3292&gt;R3292,"Reported balance higher than expected (missing increase/OC build)","Reported balance lower than expected (missing decrease)"))))),""))</f>
        <v/>
      </c>
    </row>
    <row r="3293" customFormat="false" ht="15" hidden="false" customHeight="false" outlineLevel="0" collapsed="false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9"/>
      <c r="L3293" s="9"/>
      <c r="M3293" s="9"/>
      <c r="N3293" s="9"/>
      <c r="O3293" s="9"/>
      <c r="P3293" s="9"/>
      <c r="Q3293" s="9"/>
      <c r="R3293" s="9" t="str">
        <f aca="false">IF(AND(A3293&lt;&gt;"",ISNUMBER(Q3293),ISNUMBER(L3293)),ROUND(Q3293-IF(ISNUMBER(N3293),N3293,0)-IF(ISNUMBER(O3293),O3293,0)+IF(ISNUMBER(P3293),P3293,0),2),"")</f>
        <v/>
      </c>
      <c r="S3293" s="9" t="str">
        <f aca="false">IF(R3293="","",ROUND(L3293-R3293,2))</f>
        <v/>
      </c>
      <c r="T3293" s="8" t="str">
        <f aca="false">IF(A3293="","",IF(S3293="","BYPASS",IF(ABS(S3293)&lt;=Summary!$B$2,"PASS","FAIL")))</f>
        <v/>
      </c>
      <c r="U3293" s="8" t="str">
        <f aca="false">IF(T3293="BYPASS",IF(NOT(ISNUMBER(Q3293)),"PreV_ETB missing","End_tr_balance missing"),IF(T3293="FAIL",IF(AND(ISNUMBER(K3293),ISNUMBER(L3293),ABS(L3293-(K3293-IF(ISNUMBER(N3293),N3293,0)-IF(ISNUMBER(O3293),O3293,0)+IF(ISNUMBER(P3293),P3293,0)))&lt;=Summary!$B$2),"Passes using beginning_balance - PreV_ETB differs from beginning_balance",IF(AND(ISNUMBER(O3293),O3293&lt;0,ABS(L3293-(Q3293-IF(ISNUMBER(N3293),N3293,0)+IF(ISNUMBER(P3293),P3293,0)))&lt;=Summary!$B$2),"Negative realized loss not applied - check sign",IF(R3293&lt;0,"Principal paid exceeds prior balance",IF(AND(L3293&gt;Q3293,NOT(ISNUMBER(P3293))),"Balance increased but no Deferred_interest reported",IF(L3293&gt;R3293,"Reported balance higher than expected (missing increase/OC build)","Reported balance lower than expected (missing decrease)"))))),""))</f>
        <v/>
      </c>
    </row>
    <row r="3294" customFormat="false" ht="15" hidden="false" customHeight="false" outlineLevel="0" collapsed="false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9"/>
      <c r="L3294" s="9"/>
      <c r="M3294" s="9"/>
      <c r="N3294" s="9"/>
      <c r="O3294" s="9"/>
      <c r="P3294" s="9"/>
      <c r="Q3294" s="9"/>
      <c r="R3294" s="9" t="str">
        <f aca="false">IF(AND(A3294&lt;&gt;"",ISNUMBER(Q3294),ISNUMBER(L3294)),ROUND(Q3294-IF(ISNUMBER(N3294),N3294,0)-IF(ISNUMBER(O3294),O3294,0)+IF(ISNUMBER(P3294),P3294,0),2),"")</f>
        <v/>
      </c>
      <c r="S3294" s="9" t="str">
        <f aca="false">IF(R3294="","",ROUND(L3294-R3294,2))</f>
        <v/>
      </c>
      <c r="T3294" s="8" t="str">
        <f aca="false">IF(A3294="","",IF(S3294="","BYPASS",IF(ABS(S3294)&lt;=Summary!$B$2,"PASS","FAIL")))</f>
        <v/>
      </c>
      <c r="U3294" s="8" t="str">
        <f aca="false">IF(T3294="BYPASS",IF(NOT(ISNUMBER(Q3294)),"PreV_ETB missing","End_tr_balance missing"),IF(T3294="FAIL",IF(AND(ISNUMBER(K3294),ISNUMBER(L3294),ABS(L3294-(K3294-IF(ISNUMBER(N3294),N3294,0)-IF(ISNUMBER(O3294),O3294,0)+IF(ISNUMBER(P3294),P3294,0)))&lt;=Summary!$B$2),"Passes using beginning_balance - PreV_ETB differs from beginning_balance",IF(AND(ISNUMBER(O3294),O3294&lt;0,ABS(L3294-(Q3294-IF(ISNUMBER(N3294),N3294,0)+IF(ISNUMBER(P3294),P3294,0)))&lt;=Summary!$B$2),"Negative realized loss not applied - check sign",IF(R3294&lt;0,"Principal paid exceeds prior balance",IF(AND(L3294&gt;Q3294,NOT(ISNUMBER(P3294))),"Balance increased but no Deferred_interest reported",IF(L3294&gt;R3294,"Reported balance higher than expected (missing increase/OC build)","Reported balance lower than expected (missing decrease)"))))),""))</f>
        <v/>
      </c>
    </row>
    <row r="3295" customFormat="false" ht="15" hidden="false" customHeight="false" outlineLevel="0" collapsed="false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9"/>
      <c r="L3295" s="9"/>
      <c r="M3295" s="9"/>
      <c r="N3295" s="9"/>
      <c r="O3295" s="9"/>
      <c r="P3295" s="9"/>
      <c r="Q3295" s="9"/>
      <c r="R3295" s="9" t="str">
        <f aca="false">IF(AND(A3295&lt;&gt;"",ISNUMBER(Q3295),ISNUMBER(L3295)),ROUND(Q3295-IF(ISNUMBER(N3295),N3295,0)-IF(ISNUMBER(O3295),O3295,0)+IF(ISNUMBER(P3295),P3295,0),2),"")</f>
        <v/>
      </c>
      <c r="S3295" s="9" t="str">
        <f aca="false">IF(R3295="","",ROUND(L3295-R3295,2))</f>
        <v/>
      </c>
      <c r="T3295" s="8" t="str">
        <f aca="false">IF(A3295="","",IF(S3295="","BYPASS",IF(ABS(S3295)&lt;=Summary!$B$2,"PASS","FAIL")))</f>
        <v/>
      </c>
      <c r="U3295" s="8" t="str">
        <f aca="false">IF(T3295="BYPASS",IF(NOT(ISNUMBER(Q3295)),"PreV_ETB missing","End_tr_balance missing"),IF(T3295="FAIL",IF(AND(ISNUMBER(K3295),ISNUMBER(L3295),ABS(L3295-(K3295-IF(ISNUMBER(N3295),N3295,0)-IF(ISNUMBER(O3295),O3295,0)+IF(ISNUMBER(P3295),P3295,0)))&lt;=Summary!$B$2),"Passes using beginning_balance - PreV_ETB differs from beginning_balance",IF(AND(ISNUMBER(O3295),O3295&lt;0,ABS(L3295-(Q3295-IF(ISNUMBER(N3295),N3295,0)+IF(ISNUMBER(P3295),P3295,0)))&lt;=Summary!$B$2),"Negative realized loss not applied - check sign",IF(R3295&lt;0,"Principal paid exceeds prior balance",IF(AND(L3295&gt;Q3295,NOT(ISNUMBER(P3295))),"Balance increased but no Deferred_interest reported",IF(L3295&gt;R3295,"Reported balance higher than expected (missing increase/OC build)","Reported balance lower than expected (missing decrease)"))))),""))</f>
        <v/>
      </c>
    </row>
    <row r="3296" customFormat="false" ht="15" hidden="false" customHeight="false" outlineLevel="0" collapsed="false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9"/>
      <c r="L3296" s="9"/>
      <c r="M3296" s="9"/>
      <c r="N3296" s="9"/>
      <c r="O3296" s="9"/>
      <c r="P3296" s="9"/>
      <c r="Q3296" s="9"/>
      <c r="R3296" s="9" t="str">
        <f aca="false">IF(AND(A3296&lt;&gt;"",ISNUMBER(Q3296),ISNUMBER(L3296)),ROUND(Q3296-IF(ISNUMBER(N3296),N3296,0)-IF(ISNUMBER(O3296),O3296,0)+IF(ISNUMBER(P3296),P3296,0),2),"")</f>
        <v/>
      </c>
      <c r="S3296" s="9" t="str">
        <f aca="false">IF(R3296="","",ROUND(L3296-R3296,2))</f>
        <v/>
      </c>
      <c r="T3296" s="8" t="str">
        <f aca="false">IF(A3296="","",IF(S3296="","BYPASS",IF(ABS(S3296)&lt;=Summary!$B$2,"PASS","FAIL")))</f>
        <v/>
      </c>
      <c r="U3296" s="8" t="str">
        <f aca="false">IF(T3296="BYPASS",IF(NOT(ISNUMBER(Q3296)),"PreV_ETB missing","End_tr_balance missing"),IF(T3296="FAIL",IF(AND(ISNUMBER(K3296),ISNUMBER(L3296),ABS(L3296-(K3296-IF(ISNUMBER(N3296),N3296,0)-IF(ISNUMBER(O3296),O3296,0)+IF(ISNUMBER(P3296),P3296,0)))&lt;=Summary!$B$2),"Passes using beginning_balance - PreV_ETB differs from beginning_balance",IF(AND(ISNUMBER(O3296),O3296&lt;0,ABS(L3296-(Q3296-IF(ISNUMBER(N3296),N3296,0)+IF(ISNUMBER(P3296),P3296,0)))&lt;=Summary!$B$2),"Negative realized loss not applied - check sign",IF(R3296&lt;0,"Principal paid exceeds prior balance",IF(AND(L3296&gt;Q3296,NOT(ISNUMBER(P3296))),"Balance increased but no Deferred_interest reported",IF(L3296&gt;R3296,"Reported balance higher than expected (missing increase/OC build)","Reported balance lower than expected (missing decrease)"))))),""))</f>
        <v/>
      </c>
    </row>
    <row r="3297" customFormat="false" ht="15" hidden="false" customHeight="false" outlineLevel="0" collapsed="false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9"/>
      <c r="L3297" s="9"/>
      <c r="M3297" s="9"/>
      <c r="N3297" s="9"/>
      <c r="O3297" s="9"/>
      <c r="P3297" s="9"/>
      <c r="Q3297" s="9"/>
      <c r="R3297" s="9" t="str">
        <f aca="false">IF(AND(A3297&lt;&gt;"",ISNUMBER(Q3297),ISNUMBER(L3297)),ROUND(Q3297-IF(ISNUMBER(N3297),N3297,0)-IF(ISNUMBER(O3297),O3297,0)+IF(ISNUMBER(P3297),P3297,0),2),"")</f>
        <v/>
      </c>
      <c r="S3297" s="9" t="str">
        <f aca="false">IF(R3297="","",ROUND(L3297-R3297,2))</f>
        <v/>
      </c>
      <c r="T3297" s="8" t="str">
        <f aca="false">IF(A3297="","",IF(S3297="","BYPASS",IF(ABS(S3297)&lt;=Summary!$B$2,"PASS","FAIL")))</f>
        <v/>
      </c>
      <c r="U3297" s="8" t="str">
        <f aca="false">IF(T3297="BYPASS",IF(NOT(ISNUMBER(Q3297)),"PreV_ETB missing","End_tr_balance missing"),IF(T3297="FAIL",IF(AND(ISNUMBER(K3297),ISNUMBER(L3297),ABS(L3297-(K3297-IF(ISNUMBER(N3297),N3297,0)-IF(ISNUMBER(O3297),O3297,0)+IF(ISNUMBER(P3297),P3297,0)))&lt;=Summary!$B$2),"Passes using beginning_balance - PreV_ETB differs from beginning_balance",IF(AND(ISNUMBER(O3297),O3297&lt;0,ABS(L3297-(Q3297-IF(ISNUMBER(N3297),N3297,0)+IF(ISNUMBER(P3297),P3297,0)))&lt;=Summary!$B$2),"Negative realized loss not applied - check sign",IF(R3297&lt;0,"Principal paid exceeds prior balance",IF(AND(L3297&gt;Q3297,NOT(ISNUMBER(P3297))),"Balance increased but no Deferred_interest reported",IF(L3297&gt;R3297,"Reported balance higher than expected (missing increase/OC build)","Reported balance lower than expected (missing decrease)"))))),""))</f>
        <v/>
      </c>
    </row>
    <row r="3298" customFormat="false" ht="15" hidden="false" customHeight="false" outlineLevel="0" collapsed="false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9"/>
      <c r="L3298" s="9"/>
      <c r="M3298" s="9"/>
      <c r="N3298" s="9"/>
      <c r="O3298" s="9"/>
      <c r="P3298" s="9"/>
      <c r="Q3298" s="9"/>
      <c r="R3298" s="9" t="str">
        <f aca="false">IF(AND(A3298&lt;&gt;"",ISNUMBER(Q3298),ISNUMBER(L3298)),ROUND(Q3298-IF(ISNUMBER(N3298),N3298,0)-IF(ISNUMBER(O3298),O3298,0)+IF(ISNUMBER(P3298),P3298,0),2),"")</f>
        <v/>
      </c>
      <c r="S3298" s="9" t="str">
        <f aca="false">IF(R3298="","",ROUND(L3298-R3298,2))</f>
        <v/>
      </c>
      <c r="T3298" s="8" t="str">
        <f aca="false">IF(A3298="","",IF(S3298="","BYPASS",IF(ABS(S3298)&lt;=Summary!$B$2,"PASS","FAIL")))</f>
        <v/>
      </c>
      <c r="U3298" s="8" t="str">
        <f aca="false">IF(T3298="BYPASS",IF(NOT(ISNUMBER(Q3298)),"PreV_ETB missing","End_tr_balance missing"),IF(T3298="FAIL",IF(AND(ISNUMBER(K3298),ISNUMBER(L3298),ABS(L3298-(K3298-IF(ISNUMBER(N3298),N3298,0)-IF(ISNUMBER(O3298),O3298,0)+IF(ISNUMBER(P3298),P3298,0)))&lt;=Summary!$B$2),"Passes using beginning_balance - PreV_ETB differs from beginning_balance",IF(AND(ISNUMBER(O3298),O3298&lt;0,ABS(L3298-(Q3298-IF(ISNUMBER(N3298),N3298,0)+IF(ISNUMBER(P3298),P3298,0)))&lt;=Summary!$B$2),"Negative realized loss not applied - check sign",IF(R3298&lt;0,"Principal paid exceeds prior balance",IF(AND(L3298&gt;Q3298,NOT(ISNUMBER(P3298))),"Balance increased but no Deferred_interest reported",IF(L3298&gt;R3298,"Reported balance higher than expected (missing increase/OC build)","Reported balance lower than expected (missing decrease)"))))),""))</f>
        <v/>
      </c>
    </row>
    <row r="3299" customFormat="false" ht="15" hidden="false" customHeight="false" outlineLevel="0" collapsed="false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9"/>
      <c r="L3299" s="9"/>
      <c r="M3299" s="9"/>
      <c r="N3299" s="9"/>
      <c r="O3299" s="9"/>
      <c r="P3299" s="9"/>
      <c r="Q3299" s="9"/>
      <c r="R3299" s="9" t="str">
        <f aca="false">IF(AND(A3299&lt;&gt;"",ISNUMBER(Q3299),ISNUMBER(L3299)),ROUND(Q3299-IF(ISNUMBER(N3299),N3299,0)-IF(ISNUMBER(O3299),O3299,0)+IF(ISNUMBER(P3299),P3299,0),2),"")</f>
        <v/>
      </c>
      <c r="S3299" s="9" t="str">
        <f aca="false">IF(R3299="","",ROUND(L3299-R3299,2))</f>
        <v/>
      </c>
      <c r="T3299" s="8" t="str">
        <f aca="false">IF(A3299="","",IF(S3299="","BYPASS",IF(ABS(S3299)&lt;=Summary!$B$2,"PASS","FAIL")))</f>
        <v/>
      </c>
      <c r="U3299" s="8" t="str">
        <f aca="false">IF(T3299="BYPASS",IF(NOT(ISNUMBER(Q3299)),"PreV_ETB missing","End_tr_balance missing"),IF(T3299="FAIL",IF(AND(ISNUMBER(K3299),ISNUMBER(L3299),ABS(L3299-(K3299-IF(ISNUMBER(N3299),N3299,0)-IF(ISNUMBER(O3299),O3299,0)+IF(ISNUMBER(P3299),P3299,0)))&lt;=Summary!$B$2),"Passes using beginning_balance - PreV_ETB differs from beginning_balance",IF(AND(ISNUMBER(O3299),O3299&lt;0,ABS(L3299-(Q3299-IF(ISNUMBER(N3299),N3299,0)+IF(ISNUMBER(P3299),P3299,0)))&lt;=Summary!$B$2),"Negative realized loss not applied - check sign",IF(R3299&lt;0,"Principal paid exceeds prior balance",IF(AND(L3299&gt;Q3299,NOT(ISNUMBER(P3299))),"Balance increased but no Deferred_interest reported",IF(L3299&gt;R3299,"Reported balance higher than expected (missing increase/OC build)","Reported balance lower than expected (missing decrease)"))))),""))</f>
        <v/>
      </c>
    </row>
    <row r="3300" customFormat="false" ht="15" hidden="false" customHeight="false" outlineLevel="0" collapsed="false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9"/>
      <c r="L3300" s="9"/>
      <c r="M3300" s="9"/>
      <c r="N3300" s="9"/>
      <c r="O3300" s="9"/>
      <c r="P3300" s="9"/>
      <c r="Q3300" s="9"/>
      <c r="R3300" s="9" t="str">
        <f aca="false">IF(AND(A3300&lt;&gt;"",ISNUMBER(Q3300),ISNUMBER(L3300)),ROUND(Q3300-IF(ISNUMBER(N3300),N3300,0)-IF(ISNUMBER(O3300),O3300,0)+IF(ISNUMBER(P3300),P3300,0),2),"")</f>
        <v/>
      </c>
      <c r="S3300" s="9" t="str">
        <f aca="false">IF(R3300="","",ROUND(L3300-R3300,2))</f>
        <v/>
      </c>
      <c r="T3300" s="8" t="str">
        <f aca="false">IF(A3300="","",IF(S3300="","BYPASS",IF(ABS(S3300)&lt;=Summary!$B$2,"PASS","FAIL")))</f>
        <v/>
      </c>
      <c r="U3300" s="8" t="str">
        <f aca="false">IF(T3300="BYPASS",IF(NOT(ISNUMBER(Q3300)),"PreV_ETB missing","End_tr_balance missing"),IF(T3300="FAIL",IF(AND(ISNUMBER(K3300),ISNUMBER(L3300),ABS(L3300-(K3300-IF(ISNUMBER(N3300),N3300,0)-IF(ISNUMBER(O3300),O3300,0)+IF(ISNUMBER(P3300),P3300,0)))&lt;=Summary!$B$2),"Passes using beginning_balance - PreV_ETB differs from beginning_balance",IF(AND(ISNUMBER(O3300),O3300&lt;0,ABS(L3300-(Q3300-IF(ISNUMBER(N3300),N3300,0)+IF(ISNUMBER(P3300),P3300,0)))&lt;=Summary!$B$2),"Negative realized loss not applied - check sign",IF(R3300&lt;0,"Principal paid exceeds prior balance",IF(AND(L3300&gt;Q3300,NOT(ISNUMBER(P3300))),"Balance increased but no Deferred_interest reported",IF(L3300&gt;R3300,"Reported balance higher than expected (missing increase/OC build)","Reported balance lower than expected (missing decrease)"))))),""))</f>
        <v/>
      </c>
    </row>
    <row r="3301" customFormat="false" ht="15" hidden="false" customHeight="false" outlineLevel="0" collapsed="false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9"/>
      <c r="L3301" s="9"/>
      <c r="M3301" s="9"/>
      <c r="N3301" s="9"/>
      <c r="O3301" s="9"/>
      <c r="P3301" s="9"/>
      <c r="Q3301" s="9"/>
      <c r="R3301" s="9" t="str">
        <f aca="false">IF(AND(A3301&lt;&gt;"",ISNUMBER(Q3301),ISNUMBER(L3301)),ROUND(Q3301-IF(ISNUMBER(N3301),N3301,0)-IF(ISNUMBER(O3301),O3301,0)+IF(ISNUMBER(P3301),P3301,0),2),"")</f>
        <v/>
      </c>
      <c r="S3301" s="9" t="str">
        <f aca="false">IF(R3301="","",ROUND(L3301-R3301,2))</f>
        <v/>
      </c>
      <c r="T3301" s="8" t="str">
        <f aca="false">IF(A3301="","",IF(S3301="","BYPASS",IF(ABS(S3301)&lt;=Summary!$B$2,"PASS","FAIL")))</f>
        <v/>
      </c>
      <c r="U3301" s="8" t="str">
        <f aca="false">IF(T3301="BYPASS",IF(NOT(ISNUMBER(Q3301)),"PreV_ETB missing","End_tr_balance missing"),IF(T3301="FAIL",IF(AND(ISNUMBER(K3301),ISNUMBER(L3301),ABS(L3301-(K3301-IF(ISNUMBER(N3301),N3301,0)-IF(ISNUMBER(O3301),O3301,0)+IF(ISNUMBER(P3301),P3301,0)))&lt;=Summary!$B$2),"Passes using beginning_balance - PreV_ETB differs from beginning_balance",IF(AND(ISNUMBER(O3301),O3301&lt;0,ABS(L3301-(Q3301-IF(ISNUMBER(N3301),N3301,0)+IF(ISNUMBER(P3301),P3301,0)))&lt;=Summary!$B$2),"Negative realized loss not applied - check sign",IF(R3301&lt;0,"Principal paid exceeds prior balance",IF(AND(L3301&gt;Q3301,NOT(ISNUMBER(P3301))),"Balance increased but no Deferred_interest reported",IF(L3301&gt;R3301,"Reported balance higher than expected (missing increase/OC build)","Reported balance lower than expected (missing decrease)"))))),""))</f>
        <v/>
      </c>
    </row>
    <row r="3302" customFormat="false" ht="15" hidden="false" customHeight="false" outlineLevel="0" collapsed="false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9"/>
      <c r="L3302" s="9"/>
      <c r="M3302" s="9"/>
      <c r="N3302" s="9"/>
      <c r="O3302" s="9"/>
      <c r="P3302" s="9"/>
      <c r="Q3302" s="9"/>
      <c r="R3302" s="9" t="str">
        <f aca="false">IF(AND(A3302&lt;&gt;"",ISNUMBER(Q3302),ISNUMBER(L3302)),ROUND(Q3302-IF(ISNUMBER(N3302),N3302,0)-IF(ISNUMBER(O3302),O3302,0)+IF(ISNUMBER(P3302),P3302,0),2),"")</f>
        <v/>
      </c>
      <c r="S3302" s="9" t="str">
        <f aca="false">IF(R3302="","",ROUND(L3302-R3302,2))</f>
        <v/>
      </c>
      <c r="T3302" s="8" t="str">
        <f aca="false">IF(A3302="","",IF(S3302="","BYPASS",IF(ABS(S3302)&lt;=Summary!$B$2,"PASS","FAIL")))</f>
        <v/>
      </c>
      <c r="U3302" s="8" t="str">
        <f aca="false">IF(T3302="BYPASS",IF(NOT(ISNUMBER(Q3302)),"PreV_ETB missing","End_tr_balance missing"),IF(T3302="FAIL",IF(AND(ISNUMBER(K3302),ISNUMBER(L3302),ABS(L3302-(K3302-IF(ISNUMBER(N3302),N3302,0)-IF(ISNUMBER(O3302),O3302,0)+IF(ISNUMBER(P3302),P3302,0)))&lt;=Summary!$B$2),"Passes using beginning_balance - PreV_ETB differs from beginning_balance",IF(AND(ISNUMBER(O3302),O3302&lt;0,ABS(L3302-(Q3302-IF(ISNUMBER(N3302),N3302,0)+IF(ISNUMBER(P3302),P3302,0)))&lt;=Summary!$B$2),"Negative realized loss not applied - check sign",IF(R3302&lt;0,"Principal paid exceeds prior balance",IF(AND(L3302&gt;Q3302,NOT(ISNUMBER(P3302))),"Balance increased but no Deferred_interest reported",IF(L3302&gt;R3302,"Reported balance higher than expected (missing increase/OC build)","Reported balance lower than expected (missing decrease)"))))),""))</f>
        <v/>
      </c>
    </row>
    <row r="3303" customFormat="false" ht="15" hidden="false" customHeight="false" outlineLevel="0" collapsed="false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9"/>
      <c r="L3303" s="9"/>
      <c r="M3303" s="9"/>
      <c r="N3303" s="9"/>
      <c r="O3303" s="9"/>
      <c r="P3303" s="9"/>
      <c r="Q3303" s="9"/>
      <c r="R3303" s="9" t="str">
        <f aca="false">IF(AND(A3303&lt;&gt;"",ISNUMBER(Q3303),ISNUMBER(L3303)),ROUND(Q3303-IF(ISNUMBER(N3303),N3303,0)-IF(ISNUMBER(O3303),O3303,0)+IF(ISNUMBER(P3303),P3303,0),2),"")</f>
        <v/>
      </c>
      <c r="S3303" s="9" t="str">
        <f aca="false">IF(R3303="","",ROUND(L3303-R3303,2))</f>
        <v/>
      </c>
      <c r="T3303" s="8" t="str">
        <f aca="false">IF(A3303="","",IF(S3303="","BYPASS",IF(ABS(S3303)&lt;=Summary!$B$2,"PASS","FAIL")))</f>
        <v/>
      </c>
      <c r="U3303" s="8" t="str">
        <f aca="false">IF(T3303="BYPASS",IF(NOT(ISNUMBER(Q3303)),"PreV_ETB missing","End_tr_balance missing"),IF(T3303="FAIL",IF(AND(ISNUMBER(K3303),ISNUMBER(L3303),ABS(L3303-(K3303-IF(ISNUMBER(N3303),N3303,0)-IF(ISNUMBER(O3303),O3303,0)+IF(ISNUMBER(P3303),P3303,0)))&lt;=Summary!$B$2),"Passes using beginning_balance - PreV_ETB differs from beginning_balance",IF(AND(ISNUMBER(O3303),O3303&lt;0,ABS(L3303-(Q3303-IF(ISNUMBER(N3303),N3303,0)+IF(ISNUMBER(P3303),P3303,0)))&lt;=Summary!$B$2),"Negative realized loss not applied - check sign",IF(R3303&lt;0,"Principal paid exceeds prior balance",IF(AND(L3303&gt;Q3303,NOT(ISNUMBER(P3303))),"Balance increased but no Deferred_interest reported",IF(L3303&gt;R3303,"Reported balance higher than expected (missing increase/OC build)","Reported balance lower than expected (missing decrease)"))))),""))</f>
        <v/>
      </c>
    </row>
    <row r="3304" customFormat="false" ht="15" hidden="false" customHeight="false" outlineLevel="0" collapsed="false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9"/>
      <c r="L3304" s="9"/>
      <c r="M3304" s="9"/>
      <c r="N3304" s="9"/>
      <c r="O3304" s="9"/>
      <c r="P3304" s="9"/>
      <c r="Q3304" s="9"/>
      <c r="R3304" s="9" t="str">
        <f aca="false">IF(AND(A3304&lt;&gt;"",ISNUMBER(Q3304),ISNUMBER(L3304)),ROUND(Q3304-IF(ISNUMBER(N3304),N3304,0)-IF(ISNUMBER(O3304),O3304,0)+IF(ISNUMBER(P3304),P3304,0),2),"")</f>
        <v/>
      </c>
      <c r="S3304" s="9" t="str">
        <f aca="false">IF(R3304="","",ROUND(L3304-R3304,2))</f>
        <v/>
      </c>
      <c r="T3304" s="8" t="str">
        <f aca="false">IF(A3304="","",IF(S3304="","BYPASS",IF(ABS(S3304)&lt;=Summary!$B$2,"PASS","FAIL")))</f>
        <v/>
      </c>
      <c r="U3304" s="8" t="str">
        <f aca="false">IF(T3304="BYPASS",IF(NOT(ISNUMBER(Q3304)),"PreV_ETB missing","End_tr_balance missing"),IF(T3304="FAIL",IF(AND(ISNUMBER(K3304),ISNUMBER(L3304),ABS(L3304-(K3304-IF(ISNUMBER(N3304),N3304,0)-IF(ISNUMBER(O3304),O3304,0)+IF(ISNUMBER(P3304),P3304,0)))&lt;=Summary!$B$2),"Passes using beginning_balance - PreV_ETB differs from beginning_balance",IF(AND(ISNUMBER(O3304),O3304&lt;0,ABS(L3304-(Q3304-IF(ISNUMBER(N3304),N3304,0)+IF(ISNUMBER(P3304),P3304,0)))&lt;=Summary!$B$2),"Negative realized loss not applied - check sign",IF(R3304&lt;0,"Principal paid exceeds prior balance",IF(AND(L3304&gt;Q3304,NOT(ISNUMBER(P3304))),"Balance increased but no Deferred_interest reported",IF(L3304&gt;R3304,"Reported balance higher than expected (missing increase/OC build)","Reported balance lower than expected (missing decrease)"))))),""))</f>
        <v/>
      </c>
    </row>
    <row r="3305" customFormat="false" ht="15" hidden="false" customHeight="false" outlineLevel="0" collapsed="false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9"/>
      <c r="L3305" s="9"/>
      <c r="M3305" s="9"/>
      <c r="N3305" s="9"/>
      <c r="O3305" s="9"/>
      <c r="P3305" s="9"/>
      <c r="Q3305" s="9"/>
      <c r="R3305" s="9" t="str">
        <f aca="false">IF(AND(A3305&lt;&gt;"",ISNUMBER(Q3305),ISNUMBER(L3305)),ROUND(Q3305-IF(ISNUMBER(N3305),N3305,0)-IF(ISNUMBER(O3305),O3305,0)+IF(ISNUMBER(P3305),P3305,0),2),"")</f>
        <v/>
      </c>
      <c r="S3305" s="9" t="str">
        <f aca="false">IF(R3305="","",ROUND(L3305-R3305,2))</f>
        <v/>
      </c>
      <c r="T3305" s="8" t="str">
        <f aca="false">IF(A3305="","",IF(S3305="","BYPASS",IF(ABS(S3305)&lt;=Summary!$B$2,"PASS","FAIL")))</f>
        <v/>
      </c>
      <c r="U3305" s="8" t="str">
        <f aca="false">IF(T3305="BYPASS",IF(NOT(ISNUMBER(Q3305)),"PreV_ETB missing","End_tr_balance missing"),IF(T3305="FAIL",IF(AND(ISNUMBER(K3305),ISNUMBER(L3305),ABS(L3305-(K3305-IF(ISNUMBER(N3305),N3305,0)-IF(ISNUMBER(O3305),O3305,0)+IF(ISNUMBER(P3305),P3305,0)))&lt;=Summary!$B$2),"Passes using beginning_balance - PreV_ETB differs from beginning_balance",IF(AND(ISNUMBER(O3305),O3305&lt;0,ABS(L3305-(Q3305-IF(ISNUMBER(N3305),N3305,0)+IF(ISNUMBER(P3305),P3305,0)))&lt;=Summary!$B$2),"Negative realized loss not applied - check sign",IF(R3305&lt;0,"Principal paid exceeds prior balance",IF(AND(L3305&gt;Q3305,NOT(ISNUMBER(P3305))),"Balance increased but no Deferred_interest reported",IF(L3305&gt;R3305,"Reported balance higher than expected (missing increase/OC build)","Reported balance lower than expected (missing decrease)"))))),""))</f>
        <v/>
      </c>
    </row>
    <row r="3306" customFormat="false" ht="15" hidden="false" customHeight="false" outlineLevel="0" collapsed="false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9"/>
      <c r="L3306" s="9"/>
      <c r="M3306" s="9"/>
      <c r="N3306" s="9"/>
      <c r="O3306" s="9"/>
      <c r="P3306" s="9"/>
      <c r="Q3306" s="9"/>
      <c r="R3306" s="9" t="str">
        <f aca="false">IF(AND(A3306&lt;&gt;"",ISNUMBER(Q3306),ISNUMBER(L3306)),ROUND(Q3306-IF(ISNUMBER(N3306),N3306,0)-IF(ISNUMBER(O3306),O3306,0)+IF(ISNUMBER(P3306),P3306,0),2),"")</f>
        <v/>
      </c>
      <c r="S3306" s="9" t="str">
        <f aca="false">IF(R3306="","",ROUND(L3306-R3306,2))</f>
        <v/>
      </c>
      <c r="T3306" s="8" t="str">
        <f aca="false">IF(A3306="","",IF(S3306="","BYPASS",IF(ABS(S3306)&lt;=Summary!$B$2,"PASS","FAIL")))</f>
        <v/>
      </c>
      <c r="U3306" s="8" t="str">
        <f aca="false">IF(T3306="BYPASS",IF(NOT(ISNUMBER(Q3306)),"PreV_ETB missing","End_tr_balance missing"),IF(T3306="FAIL",IF(AND(ISNUMBER(K3306),ISNUMBER(L3306),ABS(L3306-(K3306-IF(ISNUMBER(N3306),N3306,0)-IF(ISNUMBER(O3306),O3306,0)+IF(ISNUMBER(P3306),P3306,0)))&lt;=Summary!$B$2),"Passes using beginning_balance - PreV_ETB differs from beginning_balance",IF(AND(ISNUMBER(O3306),O3306&lt;0,ABS(L3306-(Q3306-IF(ISNUMBER(N3306),N3306,0)+IF(ISNUMBER(P3306),P3306,0)))&lt;=Summary!$B$2),"Negative realized loss not applied - check sign",IF(R3306&lt;0,"Principal paid exceeds prior balance",IF(AND(L3306&gt;Q3306,NOT(ISNUMBER(P3306))),"Balance increased but no Deferred_interest reported",IF(L3306&gt;R3306,"Reported balance higher than expected (missing increase/OC build)","Reported balance lower than expected (missing decrease)"))))),""))</f>
        <v/>
      </c>
    </row>
    <row r="3307" customFormat="false" ht="15" hidden="false" customHeight="false" outlineLevel="0" collapsed="false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9"/>
      <c r="L3307" s="9"/>
      <c r="M3307" s="9"/>
      <c r="N3307" s="9"/>
      <c r="O3307" s="9"/>
      <c r="P3307" s="9"/>
      <c r="Q3307" s="9"/>
      <c r="R3307" s="9" t="str">
        <f aca="false">IF(AND(A3307&lt;&gt;"",ISNUMBER(Q3307),ISNUMBER(L3307)),ROUND(Q3307-IF(ISNUMBER(N3307),N3307,0)-IF(ISNUMBER(O3307),O3307,0)+IF(ISNUMBER(P3307),P3307,0),2),"")</f>
        <v/>
      </c>
      <c r="S3307" s="9" t="str">
        <f aca="false">IF(R3307="","",ROUND(L3307-R3307,2))</f>
        <v/>
      </c>
      <c r="T3307" s="8" t="str">
        <f aca="false">IF(A3307="","",IF(S3307="","BYPASS",IF(ABS(S3307)&lt;=Summary!$B$2,"PASS","FAIL")))</f>
        <v/>
      </c>
      <c r="U3307" s="8" t="str">
        <f aca="false">IF(T3307="BYPASS",IF(NOT(ISNUMBER(Q3307)),"PreV_ETB missing","End_tr_balance missing"),IF(T3307="FAIL",IF(AND(ISNUMBER(K3307),ISNUMBER(L3307),ABS(L3307-(K3307-IF(ISNUMBER(N3307),N3307,0)-IF(ISNUMBER(O3307),O3307,0)+IF(ISNUMBER(P3307),P3307,0)))&lt;=Summary!$B$2),"Passes using beginning_balance - PreV_ETB differs from beginning_balance",IF(AND(ISNUMBER(O3307),O3307&lt;0,ABS(L3307-(Q3307-IF(ISNUMBER(N3307),N3307,0)+IF(ISNUMBER(P3307),P3307,0)))&lt;=Summary!$B$2),"Negative realized loss not applied - check sign",IF(R3307&lt;0,"Principal paid exceeds prior balance",IF(AND(L3307&gt;Q3307,NOT(ISNUMBER(P3307))),"Balance increased but no Deferred_interest reported",IF(L3307&gt;R3307,"Reported balance higher than expected (missing increase/OC build)","Reported balance lower than expected (missing decrease)"))))),""))</f>
        <v/>
      </c>
    </row>
    <row r="3308" customFormat="false" ht="15" hidden="false" customHeight="false" outlineLevel="0" collapsed="false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9"/>
      <c r="L3308" s="9"/>
      <c r="M3308" s="9"/>
      <c r="N3308" s="9"/>
      <c r="O3308" s="9"/>
      <c r="P3308" s="9"/>
      <c r="Q3308" s="9"/>
      <c r="R3308" s="9" t="str">
        <f aca="false">IF(AND(A3308&lt;&gt;"",ISNUMBER(Q3308),ISNUMBER(L3308)),ROUND(Q3308-IF(ISNUMBER(N3308),N3308,0)-IF(ISNUMBER(O3308),O3308,0)+IF(ISNUMBER(P3308),P3308,0),2),"")</f>
        <v/>
      </c>
      <c r="S3308" s="9" t="str">
        <f aca="false">IF(R3308="","",ROUND(L3308-R3308,2))</f>
        <v/>
      </c>
      <c r="T3308" s="8" t="str">
        <f aca="false">IF(A3308="","",IF(S3308="","BYPASS",IF(ABS(S3308)&lt;=Summary!$B$2,"PASS","FAIL")))</f>
        <v/>
      </c>
      <c r="U3308" s="8" t="str">
        <f aca="false">IF(T3308="BYPASS",IF(NOT(ISNUMBER(Q3308)),"PreV_ETB missing","End_tr_balance missing"),IF(T3308="FAIL",IF(AND(ISNUMBER(K3308),ISNUMBER(L3308),ABS(L3308-(K3308-IF(ISNUMBER(N3308),N3308,0)-IF(ISNUMBER(O3308),O3308,0)+IF(ISNUMBER(P3308),P3308,0)))&lt;=Summary!$B$2),"Passes using beginning_balance - PreV_ETB differs from beginning_balance",IF(AND(ISNUMBER(O3308),O3308&lt;0,ABS(L3308-(Q3308-IF(ISNUMBER(N3308),N3308,0)+IF(ISNUMBER(P3308),P3308,0)))&lt;=Summary!$B$2),"Negative realized loss not applied - check sign",IF(R3308&lt;0,"Principal paid exceeds prior balance",IF(AND(L3308&gt;Q3308,NOT(ISNUMBER(P3308))),"Balance increased but no Deferred_interest reported",IF(L3308&gt;R3308,"Reported balance higher than expected (missing increase/OC build)","Reported balance lower than expected (missing decrease)"))))),""))</f>
        <v/>
      </c>
    </row>
    <row r="3309" customFormat="false" ht="15" hidden="false" customHeight="false" outlineLevel="0" collapsed="false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9"/>
      <c r="L3309" s="9"/>
      <c r="M3309" s="9"/>
      <c r="N3309" s="9"/>
      <c r="O3309" s="9"/>
      <c r="P3309" s="9"/>
      <c r="Q3309" s="9"/>
      <c r="R3309" s="9" t="str">
        <f aca="false">IF(AND(A3309&lt;&gt;"",ISNUMBER(Q3309),ISNUMBER(L3309)),ROUND(Q3309-IF(ISNUMBER(N3309),N3309,0)-IF(ISNUMBER(O3309),O3309,0)+IF(ISNUMBER(P3309),P3309,0),2),"")</f>
        <v/>
      </c>
      <c r="S3309" s="9" t="str">
        <f aca="false">IF(R3309="","",ROUND(L3309-R3309,2))</f>
        <v/>
      </c>
      <c r="T3309" s="8" t="str">
        <f aca="false">IF(A3309="","",IF(S3309="","BYPASS",IF(ABS(S3309)&lt;=Summary!$B$2,"PASS","FAIL")))</f>
        <v/>
      </c>
      <c r="U3309" s="8" t="str">
        <f aca="false">IF(T3309="BYPASS",IF(NOT(ISNUMBER(Q3309)),"PreV_ETB missing","End_tr_balance missing"),IF(T3309="FAIL",IF(AND(ISNUMBER(K3309),ISNUMBER(L3309),ABS(L3309-(K3309-IF(ISNUMBER(N3309),N3309,0)-IF(ISNUMBER(O3309),O3309,0)+IF(ISNUMBER(P3309),P3309,0)))&lt;=Summary!$B$2),"Passes using beginning_balance - PreV_ETB differs from beginning_balance",IF(AND(ISNUMBER(O3309),O3309&lt;0,ABS(L3309-(Q3309-IF(ISNUMBER(N3309),N3309,0)+IF(ISNUMBER(P3309),P3309,0)))&lt;=Summary!$B$2),"Negative realized loss not applied - check sign",IF(R3309&lt;0,"Principal paid exceeds prior balance",IF(AND(L3309&gt;Q3309,NOT(ISNUMBER(P3309))),"Balance increased but no Deferred_interest reported",IF(L3309&gt;R3309,"Reported balance higher than expected (missing increase/OC build)","Reported balance lower than expected (missing decrease)"))))),""))</f>
        <v/>
      </c>
    </row>
    <row r="3310" customFormat="false" ht="15" hidden="false" customHeight="false" outlineLevel="0" collapsed="false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9"/>
      <c r="L3310" s="9"/>
      <c r="M3310" s="9"/>
      <c r="N3310" s="9"/>
      <c r="O3310" s="9"/>
      <c r="P3310" s="9"/>
      <c r="Q3310" s="9"/>
      <c r="R3310" s="9" t="str">
        <f aca="false">IF(AND(A3310&lt;&gt;"",ISNUMBER(Q3310),ISNUMBER(L3310)),ROUND(Q3310-IF(ISNUMBER(N3310),N3310,0)-IF(ISNUMBER(O3310),O3310,0)+IF(ISNUMBER(P3310),P3310,0),2),"")</f>
        <v/>
      </c>
      <c r="S3310" s="9" t="str">
        <f aca="false">IF(R3310="","",ROUND(L3310-R3310,2))</f>
        <v/>
      </c>
      <c r="T3310" s="8" t="str">
        <f aca="false">IF(A3310="","",IF(S3310="","BYPASS",IF(ABS(S3310)&lt;=Summary!$B$2,"PASS","FAIL")))</f>
        <v/>
      </c>
      <c r="U3310" s="8" t="str">
        <f aca="false">IF(T3310="BYPASS",IF(NOT(ISNUMBER(Q3310)),"PreV_ETB missing","End_tr_balance missing"),IF(T3310="FAIL",IF(AND(ISNUMBER(K3310),ISNUMBER(L3310),ABS(L3310-(K3310-IF(ISNUMBER(N3310),N3310,0)-IF(ISNUMBER(O3310),O3310,0)+IF(ISNUMBER(P3310),P3310,0)))&lt;=Summary!$B$2),"Passes using beginning_balance - PreV_ETB differs from beginning_balance",IF(AND(ISNUMBER(O3310),O3310&lt;0,ABS(L3310-(Q3310-IF(ISNUMBER(N3310),N3310,0)+IF(ISNUMBER(P3310),P3310,0)))&lt;=Summary!$B$2),"Negative realized loss not applied - check sign",IF(R3310&lt;0,"Principal paid exceeds prior balance",IF(AND(L3310&gt;Q3310,NOT(ISNUMBER(P3310))),"Balance increased but no Deferred_interest reported",IF(L3310&gt;R3310,"Reported balance higher than expected (missing increase/OC build)","Reported balance lower than expected (missing decrease)"))))),""))</f>
        <v/>
      </c>
    </row>
    <row r="3311" customFormat="false" ht="15" hidden="false" customHeight="false" outlineLevel="0" collapsed="false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9"/>
      <c r="L3311" s="9"/>
      <c r="M3311" s="9"/>
      <c r="N3311" s="9"/>
      <c r="O3311" s="9"/>
      <c r="P3311" s="9"/>
      <c r="Q3311" s="9"/>
      <c r="R3311" s="9" t="str">
        <f aca="false">IF(AND(A3311&lt;&gt;"",ISNUMBER(Q3311),ISNUMBER(L3311)),ROUND(Q3311-IF(ISNUMBER(N3311),N3311,0)-IF(ISNUMBER(O3311),O3311,0)+IF(ISNUMBER(P3311),P3311,0),2),"")</f>
        <v/>
      </c>
      <c r="S3311" s="9" t="str">
        <f aca="false">IF(R3311="","",ROUND(L3311-R3311,2))</f>
        <v/>
      </c>
      <c r="T3311" s="8" t="str">
        <f aca="false">IF(A3311="","",IF(S3311="","BYPASS",IF(ABS(S3311)&lt;=Summary!$B$2,"PASS","FAIL")))</f>
        <v/>
      </c>
      <c r="U3311" s="8" t="str">
        <f aca="false">IF(T3311="BYPASS",IF(NOT(ISNUMBER(Q3311)),"PreV_ETB missing","End_tr_balance missing"),IF(T3311="FAIL",IF(AND(ISNUMBER(K3311),ISNUMBER(L3311),ABS(L3311-(K3311-IF(ISNUMBER(N3311),N3311,0)-IF(ISNUMBER(O3311),O3311,0)+IF(ISNUMBER(P3311),P3311,0)))&lt;=Summary!$B$2),"Passes using beginning_balance - PreV_ETB differs from beginning_balance",IF(AND(ISNUMBER(O3311),O3311&lt;0,ABS(L3311-(Q3311-IF(ISNUMBER(N3311),N3311,0)+IF(ISNUMBER(P3311),P3311,0)))&lt;=Summary!$B$2),"Negative realized loss not applied - check sign",IF(R3311&lt;0,"Principal paid exceeds prior balance",IF(AND(L3311&gt;Q3311,NOT(ISNUMBER(P3311))),"Balance increased but no Deferred_interest reported",IF(L3311&gt;R3311,"Reported balance higher than expected (missing increase/OC build)","Reported balance lower than expected (missing decrease)"))))),""))</f>
        <v/>
      </c>
    </row>
    <row r="3312" customFormat="false" ht="15" hidden="false" customHeight="false" outlineLevel="0" collapsed="false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9"/>
      <c r="L3312" s="9"/>
      <c r="M3312" s="9"/>
      <c r="N3312" s="9"/>
      <c r="O3312" s="9"/>
      <c r="P3312" s="9"/>
      <c r="Q3312" s="9"/>
      <c r="R3312" s="9" t="str">
        <f aca="false">IF(AND(A3312&lt;&gt;"",ISNUMBER(Q3312),ISNUMBER(L3312)),ROUND(Q3312-IF(ISNUMBER(N3312),N3312,0)-IF(ISNUMBER(O3312),O3312,0)+IF(ISNUMBER(P3312),P3312,0),2),"")</f>
        <v/>
      </c>
      <c r="S3312" s="9" t="str">
        <f aca="false">IF(R3312="","",ROUND(L3312-R3312,2))</f>
        <v/>
      </c>
      <c r="T3312" s="8" t="str">
        <f aca="false">IF(A3312="","",IF(S3312="","BYPASS",IF(ABS(S3312)&lt;=Summary!$B$2,"PASS","FAIL")))</f>
        <v/>
      </c>
      <c r="U3312" s="8" t="str">
        <f aca="false">IF(T3312="BYPASS",IF(NOT(ISNUMBER(Q3312)),"PreV_ETB missing","End_tr_balance missing"),IF(T3312="FAIL",IF(AND(ISNUMBER(K3312),ISNUMBER(L3312),ABS(L3312-(K3312-IF(ISNUMBER(N3312),N3312,0)-IF(ISNUMBER(O3312),O3312,0)+IF(ISNUMBER(P3312),P3312,0)))&lt;=Summary!$B$2),"Passes using beginning_balance - PreV_ETB differs from beginning_balance",IF(AND(ISNUMBER(O3312),O3312&lt;0,ABS(L3312-(Q3312-IF(ISNUMBER(N3312),N3312,0)+IF(ISNUMBER(P3312),P3312,0)))&lt;=Summary!$B$2),"Negative realized loss not applied - check sign",IF(R3312&lt;0,"Principal paid exceeds prior balance",IF(AND(L3312&gt;Q3312,NOT(ISNUMBER(P3312))),"Balance increased but no Deferred_interest reported",IF(L3312&gt;R3312,"Reported balance higher than expected (missing increase/OC build)","Reported balance lower than expected (missing decrease)"))))),""))</f>
        <v/>
      </c>
    </row>
    <row r="3313" customFormat="false" ht="15" hidden="false" customHeight="false" outlineLevel="0" collapsed="false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9"/>
      <c r="L3313" s="9"/>
      <c r="M3313" s="9"/>
      <c r="N3313" s="9"/>
      <c r="O3313" s="9"/>
      <c r="P3313" s="9"/>
      <c r="Q3313" s="9"/>
      <c r="R3313" s="9" t="str">
        <f aca="false">IF(AND(A3313&lt;&gt;"",ISNUMBER(Q3313),ISNUMBER(L3313)),ROUND(Q3313-IF(ISNUMBER(N3313),N3313,0)-IF(ISNUMBER(O3313),O3313,0)+IF(ISNUMBER(P3313),P3313,0),2),"")</f>
        <v/>
      </c>
      <c r="S3313" s="9" t="str">
        <f aca="false">IF(R3313="","",ROUND(L3313-R3313,2))</f>
        <v/>
      </c>
      <c r="T3313" s="8" t="str">
        <f aca="false">IF(A3313="","",IF(S3313="","BYPASS",IF(ABS(S3313)&lt;=Summary!$B$2,"PASS","FAIL")))</f>
        <v/>
      </c>
      <c r="U3313" s="8" t="str">
        <f aca="false">IF(T3313="BYPASS",IF(NOT(ISNUMBER(Q3313)),"PreV_ETB missing","End_tr_balance missing"),IF(T3313="FAIL",IF(AND(ISNUMBER(K3313),ISNUMBER(L3313),ABS(L3313-(K3313-IF(ISNUMBER(N3313),N3313,0)-IF(ISNUMBER(O3313),O3313,0)+IF(ISNUMBER(P3313),P3313,0)))&lt;=Summary!$B$2),"Passes using beginning_balance - PreV_ETB differs from beginning_balance",IF(AND(ISNUMBER(O3313),O3313&lt;0,ABS(L3313-(Q3313-IF(ISNUMBER(N3313),N3313,0)+IF(ISNUMBER(P3313),P3313,0)))&lt;=Summary!$B$2),"Negative realized loss not applied - check sign",IF(R3313&lt;0,"Principal paid exceeds prior balance",IF(AND(L3313&gt;Q3313,NOT(ISNUMBER(P3313))),"Balance increased but no Deferred_interest reported",IF(L3313&gt;R3313,"Reported balance higher than expected (missing increase/OC build)","Reported balance lower than expected (missing decrease)"))))),""))</f>
        <v/>
      </c>
    </row>
    <row r="3314" customFormat="false" ht="15" hidden="false" customHeight="false" outlineLevel="0" collapsed="false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9"/>
      <c r="L3314" s="9"/>
      <c r="M3314" s="9"/>
      <c r="N3314" s="9"/>
      <c r="O3314" s="9"/>
      <c r="P3314" s="9"/>
      <c r="Q3314" s="9"/>
      <c r="R3314" s="9" t="str">
        <f aca="false">IF(AND(A3314&lt;&gt;"",ISNUMBER(Q3314),ISNUMBER(L3314)),ROUND(Q3314-IF(ISNUMBER(N3314),N3314,0)-IF(ISNUMBER(O3314),O3314,0)+IF(ISNUMBER(P3314),P3314,0),2),"")</f>
        <v/>
      </c>
      <c r="S3314" s="9" t="str">
        <f aca="false">IF(R3314="","",ROUND(L3314-R3314,2))</f>
        <v/>
      </c>
      <c r="T3314" s="8" t="str">
        <f aca="false">IF(A3314="","",IF(S3314="","BYPASS",IF(ABS(S3314)&lt;=Summary!$B$2,"PASS","FAIL")))</f>
        <v/>
      </c>
      <c r="U3314" s="8" t="str">
        <f aca="false">IF(T3314="BYPASS",IF(NOT(ISNUMBER(Q3314)),"PreV_ETB missing","End_tr_balance missing"),IF(T3314="FAIL",IF(AND(ISNUMBER(K3314),ISNUMBER(L3314),ABS(L3314-(K3314-IF(ISNUMBER(N3314),N3314,0)-IF(ISNUMBER(O3314),O3314,0)+IF(ISNUMBER(P3314),P3314,0)))&lt;=Summary!$B$2),"Passes using beginning_balance - PreV_ETB differs from beginning_balance",IF(AND(ISNUMBER(O3314),O3314&lt;0,ABS(L3314-(Q3314-IF(ISNUMBER(N3314),N3314,0)+IF(ISNUMBER(P3314),P3314,0)))&lt;=Summary!$B$2),"Negative realized loss not applied - check sign",IF(R3314&lt;0,"Principal paid exceeds prior balance",IF(AND(L3314&gt;Q3314,NOT(ISNUMBER(P3314))),"Balance increased but no Deferred_interest reported",IF(L3314&gt;R3314,"Reported balance higher than expected (missing increase/OC build)","Reported balance lower than expected (missing decrease)"))))),""))</f>
        <v/>
      </c>
    </row>
    <row r="3315" customFormat="false" ht="15" hidden="false" customHeight="false" outlineLevel="0" collapsed="false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9"/>
      <c r="L3315" s="9"/>
      <c r="M3315" s="9"/>
      <c r="N3315" s="9"/>
      <c r="O3315" s="9"/>
      <c r="P3315" s="9"/>
      <c r="Q3315" s="9"/>
      <c r="R3315" s="9" t="str">
        <f aca="false">IF(AND(A3315&lt;&gt;"",ISNUMBER(Q3315),ISNUMBER(L3315)),ROUND(Q3315-IF(ISNUMBER(N3315),N3315,0)-IF(ISNUMBER(O3315),O3315,0)+IF(ISNUMBER(P3315),P3315,0),2),"")</f>
        <v/>
      </c>
      <c r="S3315" s="9" t="str">
        <f aca="false">IF(R3315="","",ROUND(L3315-R3315,2))</f>
        <v/>
      </c>
      <c r="T3315" s="8" t="str">
        <f aca="false">IF(A3315="","",IF(S3315="","BYPASS",IF(ABS(S3315)&lt;=Summary!$B$2,"PASS","FAIL")))</f>
        <v/>
      </c>
      <c r="U3315" s="8" t="str">
        <f aca="false">IF(T3315="BYPASS",IF(NOT(ISNUMBER(Q3315)),"PreV_ETB missing","End_tr_balance missing"),IF(T3315="FAIL",IF(AND(ISNUMBER(K3315),ISNUMBER(L3315),ABS(L3315-(K3315-IF(ISNUMBER(N3315),N3315,0)-IF(ISNUMBER(O3315),O3315,0)+IF(ISNUMBER(P3315),P3315,0)))&lt;=Summary!$B$2),"Passes using beginning_balance - PreV_ETB differs from beginning_balance",IF(AND(ISNUMBER(O3315),O3315&lt;0,ABS(L3315-(Q3315-IF(ISNUMBER(N3315),N3315,0)+IF(ISNUMBER(P3315),P3315,0)))&lt;=Summary!$B$2),"Negative realized loss not applied - check sign",IF(R3315&lt;0,"Principal paid exceeds prior balance",IF(AND(L3315&gt;Q3315,NOT(ISNUMBER(P3315))),"Balance increased but no Deferred_interest reported",IF(L3315&gt;R3315,"Reported balance higher than expected (missing increase/OC build)","Reported balance lower than expected (missing decrease)"))))),""))</f>
        <v/>
      </c>
    </row>
    <row r="3316" customFormat="false" ht="15" hidden="false" customHeight="false" outlineLevel="0" collapsed="false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9"/>
      <c r="L3316" s="9"/>
      <c r="M3316" s="9"/>
      <c r="N3316" s="9"/>
      <c r="O3316" s="9"/>
      <c r="P3316" s="9"/>
      <c r="Q3316" s="9"/>
      <c r="R3316" s="9" t="str">
        <f aca="false">IF(AND(A3316&lt;&gt;"",ISNUMBER(Q3316),ISNUMBER(L3316)),ROUND(Q3316-IF(ISNUMBER(N3316),N3316,0)-IF(ISNUMBER(O3316),O3316,0)+IF(ISNUMBER(P3316),P3316,0),2),"")</f>
        <v/>
      </c>
      <c r="S3316" s="9" t="str">
        <f aca="false">IF(R3316="","",ROUND(L3316-R3316,2))</f>
        <v/>
      </c>
      <c r="T3316" s="8" t="str">
        <f aca="false">IF(A3316="","",IF(S3316="","BYPASS",IF(ABS(S3316)&lt;=Summary!$B$2,"PASS","FAIL")))</f>
        <v/>
      </c>
      <c r="U3316" s="8" t="str">
        <f aca="false">IF(T3316="BYPASS",IF(NOT(ISNUMBER(Q3316)),"PreV_ETB missing","End_tr_balance missing"),IF(T3316="FAIL",IF(AND(ISNUMBER(K3316),ISNUMBER(L3316),ABS(L3316-(K3316-IF(ISNUMBER(N3316),N3316,0)-IF(ISNUMBER(O3316),O3316,0)+IF(ISNUMBER(P3316),P3316,0)))&lt;=Summary!$B$2),"Passes using beginning_balance - PreV_ETB differs from beginning_balance",IF(AND(ISNUMBER(O3316),O3316&lt;0,ABS(L3316-(Q3316-IF(ISNUMBER(N3316),N3316,0)+IF(ISNUMBER(P3316),P3316,0)))&lt;=Summary!$B$2),"Negative realized loss not applied - check sign",IF(R3316&lt;0,"Principal paid exceeds prior balance",IF(AND(L3316&gt;Q3316,NOT(ISNUMBER(P3316))),"Balance increased but no Deferred_interest reported",IF(L3316&gt;R3316,"Reported balance higher than expected (missing increase/OC build)","Reported balance lower than expected (missing decrease)"))))),""))</f>
        <v/>
      </c>
    </row>
    <row r="3317" customFormat="false" ht="15" hidden="false" customHeight="false" outlineLevel="0" collapsed="false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9"/>
      <c r="L3317" s="9"/>
      <c r="M3317" s="9"/>
      <c r="N3317" s="9"/>
      <c r="O3317" s="9"/>
      <c r="P3317" s="9"/>
      <c r="Q3317" s="9"/>
      <c r="R3317" s="9" t="str">
        <f aca="false">IF(AND(A3317&lt;&gt;"",ISNUMBER(Q3317),ISNUMBER(L3317)),ROUND(Q3317-IF(ISNUMBER(N3317),N3317,0)-IF(ISNUMBER(O3317),O3317,0)+IF(ISNUMBER(P3317),P3317,0),2),"")</f>
        <v/>
      </c>
      <c r="S3317" s="9" t="str">
        <f aca="false">IF(R3317="","",ROUND(L3317-R3317,2))</f>
        <v/>
      </c>
      <c r="T3317" s="8" t="str">
        <f aca="false">IF(A3317="","",IF(S3317="","BYPASS",IF(ABS(S3317)&lt;=Summary!$B$2,"PASS","FAIL")))</f>
        <v/>
      </c>
      <c r="U3317" s="8" t="str">
        <f aca="false">IF(T3317="BYPASS",IF(NOT(ISNUMBER(Q3317)),"PreV_ETB missing","End_tr_balance missing"),IF(T3317="FAIL",IF(AND(ISNUMBER(K3317),ISNUMBER(L3317),ABS(L3317-(K3317-IF(ISNUMBER(N3317),N3317,0)-IF(ISNUMBER(O3317),O3317,0)+IF(ISNUMBER(P3317),P3317,0)))&lt;=Summary!$B$2),"Passes using beginning_balance - PreV_ETB differs from beginning_balance",IF(AND(ISNUMBER(O3317),O3317&lt;0,ABS(L3317-(Q3317-IF(ISNUMBER(N3317),N3317,0)+IF(ISNUMBER(P3317),P3317,0)))&lt;=Summary!$B$2),"Negative realized loss not applied - check sign",IF(R3317&lt;0,"Principal paid exceeds prior balance",IF(AND(L3317&gt;Q3317,NOT(ISNUMBER(P3317))),"Balance increased but no Deferred_interest reported",IF(L3317&gt;R3317,"Reported balance higher than expected (missing increase/OC build)","Reported balance lower than expected (missing decrease)"))))),""))</f>
        <v/>
      </c>
    </row>
    <row r="3318" customFormat="false" ht="15" hidden="false" customHeight="false" outlineLevel="0" collapsed="false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9"/>
      <c r="L3318" s="9"/>
      <c r="M3318" s="9"/>
      <c r="N3318" s="9"/>
      <c r="O3318" s="9"/>
      <c r="P3318" s="9"/>
      <c r="Q3318" s="9"/>
      <c r="R3318" s="9" t="str">
        <f aca="false">IF(AND(A3318&lt;&gt;"",ISNUMBER(Q3318),ISNUMBER(L3318)),ROUND(Q3318-IF(ISNUMBER(N3318),N3318,0)-IF(ISNUMBER(O3318),O3318,0)+IF(ISNUMBER(P3318),P3318,0),2),"")</f>
        <v/>
      </c>
      <c r="S3318" s="9" t="str">
        <f aca="false">IF(R3318="","",ROUND(L3318-R3318,2))</f>
        <v/>
      </c>
      <c r="T3318" s="8" t="str">
        <f aca="false">IF(A3318="","",IF(S3318="","BYPASS",IF(ABS(S3318)&lt;=Summary!$B$2,"PASS","FAIL")))</f>
        <v/>
      </c>
      <c r="U3318" s="8" t="str">
        <f aca="false">IF(T3318="BYPASS",IF(NOT(ISNUMBER(Q3318)),"PreV_ETB missing","End_tr_balance missing"),IF(T3318="FAIL",IF(AND(ISNUMBER(K3318),ISNUMBER(L3318),ABS(L3318-(K3318-IF(ISNUMBER(N3318),N3318,0)-IF(ISNUMBER(O3318),O3318,0)+IF(ISNUMBER(P3318),P3318,0)))&lt;=Summary!$B$2),"Passes using beginning_balance - PreV_ETB differs from beginning_balance",IF(AND(ISNUMBER(O3318),O3318&lt;0,ABS(L3318-(Q3318-IF(ISNUMBER(N3318),N3318,0)+IF(ISNUMBER(P3318),P3318,0)))&lt;=Summary!$B$2),"Negative realized loss not applied - check sign",IF(R3318&lt;0,"Principal paid exceeds prior balance",IF(AND(L3318&gt;Q3318,NOT(ISNUMBER(P3318))),"Balance increased but no Deferred_interest reported",IF(L3318&gt;R3318,"Reported balance higher than expected (missing increase/OC build)","Reported balance lower than expected (missing decrease)"))))),""))</f>
        <v/>
      </c>
    </row>
    <row r="3319" customFormat="false" ht="15" hidden="false" customHeight="false" outlineLevel="0" collapsed="false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9"/>
      <c r="L3319" s="9"/>
      <c r="M3319" s="9"/>
      <c r="N3319" s="9"/>
      <c r="O3319" s="9"/>
      <c r="P3319" s="9"/>
      <c r="Q3319" s="9"/>
      <c r="R3319" s="9" t="str">
        <f aca="false">IF(AND(A3319&lt;&gt;"",ISNUMBER(Q3319),ISNUMBER(L3319)),ROUND(Q3319-IF(ISNUMBER(N3319),N3319,0)-IF(ISNUMBER(O3319),O3319,0)+IF(ISNUMBER(P3319),P3319,0),2),"")</f>
        <v/>
      </c>
      <c r="S3319" s="9" t="str">
        <f aca="false">IF(R3319="","",ROUND(L3319-R3319,2))</f>
        <v/>
      </c>
      <c r="T3319" s="8" t="str">
        <f aca="false">IF(A3319="","",IF(S3319="","BYPASS",IF(ABS(S3319)&lt;=Summary!$B$2,"PASS","FAIL")))</f>
        <v/>
      </c>
      <c r="U3319" s="8" t="str">
        <f aca="false">IF(T3319="BYPASS",IF(NOT(ISNUMBER(Q3319)),"PreV_ETB missing","End_tr_balance missing"),IF(T3319="FAIL",IF(AND(ISNUMBER(K3319),ISNUMBER(L3319),ABS(L3319-(K3319-IF(ISNUMBER(N3319),N3319,0)-IF(ISNUMBER(O3319),O3319,0)+IF(ISNUMBER(P3319),P3319,0)))&lt;=Summary!$B$2),"Passes using beginning_balance - PreV_ETB differs from beginning_balance",IF(AND(ISNUMBER(O3319),O3319&lt;0,ABS(L3319-(Q3319-IF(ISNUMBER(N3319),N3319,0)+IF(ISNUMBER(P3319),P3319,0)))&lt;=Summary!$B$2),"Negative realized loss not applied - check sign",IF(R3319&lt;0,"Principal paid exceeds prior balance",IF(AND(L3319&gt;Q3319,NOT(ISNUMBER(P3319))),"Balance increased but no Deferred_interest reported",IF(L3319&gt;R3319,"Reported balance higher than expected (missing increase/OC build)","Reported balance lower than expected (missing decrease)"))))),""))</f>
        <v/>
      </c>
    </row>
    <row r="3320" customFormat="false" ht="15" hidden="false" customHeight="false" outlineLevel="0" collapsed="false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9"/>
      <c r="L3320" s="9"/>
      <c r="M3320" s="9"/>
      <c r="N3320" s="9"/>
      <c r="O3320" s="9"/>
      <c r="P3320" s="9"/>
      <c r="Q3320" s="9"/>
      <c r="R3320" s="9" t="str">
        <f aca="false">IF(AND(A3320&lt;&gt;"",ISNUMBER(Q3320),ISNUMBER(L3320)),ROUND(Q3320-IF(ISNUMBER(N3320),N3320,0)-IF(ISNUMBER(O3320),O3320,0)+IF(ISNUMBER(P3320),P3320,0),2),"")</f>
        <v/>
      </c>
      <c r="S3320" s="9" t="str">
        <f aca="false">IF(R3320="","",ROUND(L3320-R3320,2))</f>
        <v/>
      </c>
      <c r="T3320" s="8" t="str">
        <f aca="false">IF(A3320="","",IF(S3320="","BYPASS",IF(ABS(S3320)&lt;=Summary!$B$2,"PASS","FAIL")))</f>
        <v/>
      </c>
      <c r="U3320" s="8" t="str">
        <f aca="false">IF(T3320="BYPASS",IF(NOT(ISNUMBER(Q3320)),"PreV_ETB missing","End_tr_balance missing"),IF(T3320="FAIL",IF(AND(ISNUMBER(K3320),ISNUMBER(L3320),ABS(L3320-(K3320-IF(ISNUMBER(N3320),N3320,0)-IF(ISNUMBER(O3320),O3320,0)+IF(ISNUMBER(P3320),P3320,0)))&lt;=Summary!$B$2),"Passes using beginning_balance - PreV_ETB differs from beginning_balance",IF(AND(ISNUMBER(O3320),O3320&lt;0,ABS(L3320-(Q3320-IF(ISNUMBER(N3320),N3320,0)+IF(ISNUMBER(P3320),P3320,0)))&lt;=Summary!$B$2),"Negative realized loss not applied - check sign",IF(R3320&lt;0,"Principal paid exceeds prior balance",IF(AND(L3320&gt;Q3320,NOT(ISNUMBER(P3320))),"Balance increased but no Deferred_interest reported",IF(L3320&gt;R3320,"Reported balance higher than expected (missing increase/OC build)","Reported balance lower than expected (missing decrease)"))))),""))</f>
        <v/>
      </c>
    </row>
    <row r="3321" customFormat="false" ht="15" hidden="false" customHeight="false" outlineLevel="0" collapsed="false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9"/>
      <c r="L3321" s="9"/>
      <c r="M3321" s="9"/>
      <c r="N3321" s="9"/>
      <c r="O3321" s="9"/>
      <c r="P3321" s="9"/>
      <c r="Q3321" s="9"/>
      <c r="R3321" s="9" t="str">
        <f aca="false">IF(AND(A3321&lt;&gt;"",ISNUMBER(Q3321),ISNUMBER(L3321)),ROUND(Q3321-IF(ISNUMBER(N3321),N3321,0)-IF(ISNUMBER(O3321),O3321,0)+IF(ISNUMBER(P3321),P3321,0),2),"")</f>
        <v/>
      </c>
      <c r="S3321" s="9" t="str">
        <f aca="false">IF(R3321="","",ROUND(L3321-R3321,2))</f>
        <v/>
      </c>
      <c r="T3321" s="8" t="str">
        <f aca="false">IF(A3321="","",IF(S3321="","BYPASS",IF(ABS(S3321)&lt;=Summary!$B$2,"PASS","FAIL")))</f>
        <v/>
      </c>
      <c r="U3321" s="8" t="str">
        <f aca="false">IF(T3321="BYPASS",IF(NOT(ISNUMBER(Q3321)),"PreV_ETB missing","End_tr_balance missing"),IF(T3321="FAIL",IF(AND(ISNUMBER(K3321),ISNUMBER(L3321),ABS(L3321-(K3321-IF(ISNUMBER(N3321),N3321,0)-IF(ISNUMBER(O3321),O3321,0)+IF(ISNUMBER(P3321),P3321,0)))&lt;=Summary!$B$2),"Passes using beginning_balance - PreV_ETB differs from beginning_balance",IF(AND(ISNUMBER(O3321),O3321&lt;0,ABS(L3321-(Q3321-IF(ISNUMBER(N3321),N3321,0)+IF(ISNUMBER(P3321),P3321,0)))&lt;=Summary!$B$2),"Negative realized loss not applied - check sign",IF(R3321&lt;0,"Principal paid exceeds prior balance",IF(AND(L3321&gt;Q3321,NOT(ISNUMBER(P3321))),"Balance increased but no Deferred_interest reported",IF(L3321&gt;R3321,"Reported balance higher than expected (missing increase/OC build)","Reported balance lower than expected (missing decrease)"))))),""))</f>
        <v/>
      </c>
    </row>
    <row r="3322" customFormat="false" ht="15" hidden="false" customHeight="false" outlineLevel="0" collapsed="false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9"/>
      <c r="L3322" s="9"/>
      <c r="M3322" s="9"/>
      <c r="N3322" s="9"/>
      <c r="O3322" s="9"/>
      <c r="P3322" s="9"/>
      <c r="Q3322" s="9"/>
      <c r="R3322" s="9" t="str">
        <f aca="false">IF(AND(A3322&lt;&gt;"",ISNUMBER(Q3322),ISNUMBER(L3322)),ROUND(Q3322-IF(ISNUMBER(N3322),N3322,0)-IF(ISNUMBER(O3322),O3322,0)+IF(ISNUMBER(P3322),P3322,0),2),"")</f>
        <v/>
      </c>
      <c r="S3322" s="9" t="str">
        <f aca="false">IF(R3322="","",ROUND(L3322-R3322,2))</f>
        <v/>
      </c>
      <c r="T3322" s="8" t="str">
        <f aca="false">IF(A3322="","",IF(S3322="","BYPASS",IF(ABS(S3322)&lt;=Summary!$B$2,"PASS","FAIL")))</f>
        <v/>
      </c>
      <c r="U3322" s="8" t="str">
        <f aca="false">IF(T3322="BYPASS",IF(NOT(ISNUMBER(Q3322)),"PreV_ETB missing","End_tr_balance missing"),IF(T3322="FAIL",IF(AND(ISNUMBER(K3322),ISNUMBER(L3322),ABS(L3322-(K3322-IF(ISNUMBER(N3322),N3322,0)-IF(ISNUMBER(O3322),O3322,0)+IF(ISNUMBER(P3322),P3322,0)))&lt;=Summary!$B$2),"Passes using beginning_balance - PreV_ETB differs from beginning_balance",IF(AND(ISNUMBER(O3322),O3322&lt;0,ABS(L3322-(Q3322-IF(ISNUMBER(N3322),N3322,0)+IF(ISNUMBER(P3322),P3322,0)))&lt;=Summary!$B$2),"Negative realized loss not applied - check sign",IF(R3322&lt;0,"Principal paid exceeds prior balance",IF(AND(L3322&gt;Q3322,NOT(ISNUMBER(P3322))),"Balance increased but no Deferred_interest reported",IF(L3322&gt;R3322,"Reported balance higher than expected (missing increase/OC build)","Reported balance lower than expected (missing decrease)"))))),""))</f>
        <v/>
      </c>
    </row>
    <row r="3323" customFormat="false" ht="15" hidden="false" customHeight="false" outlineLevel="0" collapsed="false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9"/>
      <c r="L3323" s="9"/>
      <c r="M3323" s="9"/>
      <c r="N3323" s="9"/>
      <c r="O3323" s="9"/>
      <c r="P3323" s="9"/>
      <c r="Q3323" s="9"/>
      <c r="R3323" s="9" t="str">
        <f aca="false">IF(AND(A3323&lt;&gt;"",ISNUMBER(Q3323),ISNUMBER(L3323)),ROUND(Q3323-IF(ISNUMBER(N3323),N3323,0)-IF(ISNUMBER(O3323),O3323,0)+IF(ISNUMBER(P3323),P3323,0),2),"")</f>
        <v/>
      </c>
      <c r="S3323" s="9" t="str">
        <f aca="false">IF(R3323="","",ROUND(L3323-R3323,2))</f>
        <v/>
      </c>
      <c r="T3323" s="8" t="str">
        <f aca="false">IF(A3323="","",IF(S3323="","BYPASS",IF(ABS(S3323)&lt;=Summary!$B$2,"PASS","FAIL")))</f>
        <v/>
      </c>
      <c r="U3323" s="8" t="str">
        <f aca="false">IF(T3323="BYPASS",IF(NOT(ISNUMBER(Q3323)),"PreV_ETB missing","End_tr_balance missing"),IF(T3323="FAIL",IF(AND(ISNUMBER(K3323),ISNUMBER(L3323),ABS(L3323-(K3323-IF(ISNUMBER(N3323),N3323,0)-IF(ISNUMBER(O3323),O3323,0)+IF(ISNUMBER(P3323),P3323,0)))&lt;=Summary!$B$2),"Passes using beginning_balance - PreV_ETB differs from beginning_balance",IF(AND(ISNUMBER(O3323),O3323&lt;0,ABS(L3323-(Q3323-IF(ISNUMBER(N3323),N3323,0)+IF(ISNUMBER(P3323),P3323,0)))&lt;=Summary!$B$2),"Negative realized loss not applied - check sign",IF(R3323&lt;0,"Principal paid exceeds prior balance",IF(AND(L3323&gt;Q3323,NOT(ISNUMBER(P3323))),"Balance increased but no Deferred_interest reported",IF(L3323&gt;R3323,"Reported balance higher than expected (missing increase/OC build)","Reported balance lower than expected (missing decrease)"))))),""))</f>
        <v/>
      </c>
    </row>
    <row r="3324" customFormat="false" ht="15" hidden="false" customHeight="false" outlineLevel="0" collapsed="false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9"/>
      <c r="L3324" s="9"/>
      <c r="M3324" s="9"/>
      <c r="N3324" s="9"/>
      <c r="O3324" s="9"/>
      <c r="P3324" s="9"/>
      <c r="Q3324" s="9"/>
      <c r="R3324" s="9" t="str">
        <f aca="false">IF(AND(A3324&lt;&gt;"",ISNUMBER(Q3324),ISNUMBER(L3324)),ROUND(Q3324-IF(ISNUMBER(N3324),N3324,0)-IF(ISNUMBER(O3324),O3324,0)+IF(ISNUMBER(P3324),P3324,0),2),"")</f>
        <v/>
      </c>
      <c r="S3324" s="9" t="str">
        <f aca="false">IF(R3324="","",ROUND(L3324-R3324,2))</f>
        <v/>
      </c>
      <c r="T3324" s="8" t="str">
        <f aca="false">IF(A3324="","",IF(S3324="","BYPASS",IF(ABS(S3324)&lt;=Summary!$B$2,"PASS","FAIL")))</f>
        <v/>
      </c>
      <c r="U3324" s="8" t="str">
        <f aca="false">IF(T3324="BYPASS",IF(NOT(ISNUMBER(Q3324)),"PreV_ETB missing","End_tr_balance missing"),IF(T3324="FAIL",IF(AND(ISNUMBER(K3324),ISNUMBER(L3324),ABS(L3324-(K3324-IF(ISNUMBER(N3324),N3324,0)-IF(ISNUMBER(O3324),O3324,0)+IF(ISNUMBER(P3324),P3324,0)))&lt;=Summary!$B$2),"Passes using beginning_balance - PreV_ETB differs from beginning_balance",IF(AND(ISNUMBER(O3324),O3324&lt;0,ABS(L3324-(Q3324-IF(ISNUMBER(N3324),N3324,0)+IF(ISNUMBER(P3324),P3324,0)))&lt;=Summary!$B$2),"Negative realized loss not applied - check sign",IF(R3324&lt;0,"Principal paid exceeds prior balance",IF(AND(L3324&gt;Q3324,NOT(ISNUMBER(P3324))),"Balance increased but no Deferred_interest reported",IF(L3324&gt;R3324,"Reported balance higher than expected (missing increase/OC build)","Reported balance lower than expected (missing decrease)"))))),""))</f>
        <v/>
      </c>
    </row>
    <row r="3325" customFormat="false" ht="15" hidden="false" customHeight="false" outlineLevel="0" collapsed="false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9"/>
      <c r="L3325" s="9"/>
      <c r="M3325" s="9"/>
      <c r="N3325" s="9"/>
      <c r="O3325" s="9"/>
      <c r="P3325" s="9"/>
      <c r="Q3325" s="9"/>
      <c r="R3325" s="9" t="str">
        <f aca="false">IF(AND(A3325&lt;&gt;"",ISNUMBER(Q3325),ISNUMBER(L3325)),ROUND(Q3325-IF(ISNUMBER(N3325),N3325,0)-IF(ISNUMBER(O3325),O3325,0)+IF(ISNUMBER(P3325),P3325,0),2),"")</f>
        <v/>
      </c>
      <c r="S3325" s="9" t="str">
        <f aca="false">IF(R3325="","",ROUND(L3325-R3325,2))</f>
        <v/>
      </c>
      <c r="T3325" s="8" t="str">
        <f aca="false">IF(A3325="","",IF(S3325="","BYPASS",IF(ABS(S3325)&lt;=Summary!$B$2,"PASS","FAIL")))</f>
        <v/>
      </c>
      <c r="U3325" s="8" t="str">
        <f aca="false">IF(T3325="BYPASS",IF(NOT(ISNUMBER(Q3325)),"PreV_ETB missing","End_tr_balance missing"),IF(T3325="FAIL",IF(AND(ISNUMBER(K3325),ISNUMBER(L3325),ABS(L3325-(K3325-IF(ISNUMBER(N3325),N3325,0)-IF(ISNUMBER(O3325),O3325,0)+IF(ISNUMBER(P3325),P3325,0)))&lt;=Summary!$B$2),"Passes using beginning_balance - PreV_ETB differs from beginning_balance",IF(AND(ISNUMBER(O3325),O3325&lt;0,ABS(L3325-(Q3325-IF(ISNUMBER(N3325),N3325,0)+IF(ISNUMBER(P3325),P3325,0)))&lt;=Summary!$B$2),"Negative realized loss not applied - check sign",IF(R3325&lt;0,"Principal paid exceeds prior balance",IF(AND(L3325&gt;Q3325,NOT(ISNUMBER(P3325))),"Balance increased but no Deferred_interest reported",IF(L3325&gt;R3325,"Reported balance higher than expected (missing increase/OC build)","Reported balance lower than expected (missing decrease)"))))),""))</f>
        <v/>
      </c>
    </row>
    <row r="3326" customFormat="false" ht="15" hidden="false" customHeight="false" outlineLevel="0" collapsed="false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9"/>
      <c r="L3326" s="9"/>
      <c r="M3326" s="9"/>
      <c r="N3326" s="9"/>
      <c r="O3326" s="9"/>
      <c r="P3326" s="9"/>
      <c r="Q3326" s="9"/>
      <c r="R3326" s="9" t="str">
        <f aca="false">IF(AND(A3326&lt;&gt;"",ISNUMBER(Q3326),ISNUMBER(L3326)),ROUND(Q3326-IF(ISNUMBER(N3326),N3326,0)-IF(ISNUMBER(O3326),O3326,0)+IF(ISNUMBER(P3326),P3326,0),2),"")</f>
        <v/>
      </c>
      <c r="S3326" s="9" t="str">
        <f aca="false">IF(R3326="","",ROUND(L3326-R3326,2))</f>
        <v/>
      </c>
      <c r="T3326" s="8" t="str">
        <f aca="false">IF(A3326="","",IF(S3326="","BYPASS",IF(ABS(S3326)&lt;=Summary!$B$2,"PASS","FAIL")))</f>
        <v/>
      </c>
      <c r="U3326" s="8" t="str">
        <f aca="false">IF(T3326="BYPASS",IF(NOT(ISNUMBER(Q3326)),"PreV_ETB missing","End_tr_balance missing"),IF(T3326="FAIL",IF(AND(ISNUMBER(K3326),ISNUMBER(L3326),ABS(L3326-(K3326-IF(ISNUMBER(N3326),N3326,0)-IF(ISNUMBER(O3326),O3326,0)+IF(ISNUMBER(P3326),P3326,0)))&lt;=Summary!$B$2),"Passes using beginning_balance - PreV_ETB differs from beginning_balance",IF(AND(ISNUMBER(O3326),O3326&lt;0,ABS(L3326-(Q3326-IF(ISNUMBER(N3326),N3326,0)+IF(ISNUMBER(P3326),P3326,0)))&lt;=Summary!$B$2),"Negative realized loss not applied - check sign",IF(R3326&lt;0,"Principal paid exceeds prior balance",IF(AND(L3326&gt;Q3326,NOT(ISNUMBER(P3326))),"Balance increased but no Deferred_interest reported",IF(L3326&gt;R3326,"Reported balance higher than expected (missing increase/OC build)","Reported balance lower than expected (missing decrease)"))))),""))</f>
        <v/>
      </c>
    </row>
    <row r="3327" customFormat="false" ht="15" hidden="false" customHeight="false" outlineLevel="0" collapsed="false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9"/>
      <c r="L3327" s="9"/>
      <c r="M3327" s="9"/>
      <c r="N3327" s="9"/>
      <c r="O3327" s="9"/>
      <c r="P3327" s="9"/>
      <c r="Q3327" s="9"/>
      <c r="R3327" s="9" t="str">
        <f aca="false">IF(AND(A3327&lt;&gt;"",ISNUMBER(Q3327),ISNUMBER(L3327)),ROUND(Q3327-IF(ISNUMBER(N3327),N3327,0)-IF(ISNUMBER(O3327),O3327,0)+IF(ISNUMBER(P3327),P3327,0),2),"")</f>
        <v/>
      </c>
      <c r="S3327" s="9" t="str">
        <f aca="false">IF(R3327="","",ROUND(L3327-R3327,2))</f>
        <v/>
      </c>
      <c r="T3327" s="8" t="str">
        <f aca="false">IF(A3327="","",IF(S3327="","BYPASS",IF(ABS(S3327)&lt;=Summary!$B$2,"PASS","FAIL")))</f>
        <v/>
      </c>
      <c r="U3327" s="8" t="str">
        <f aca="false">IF(T3327="BYPASS",IF(NOT(ISNUMBER(Q3327)),"PreV_ETB missing","End_tr_balance missing"),IF(T3327="FAIL",IF(AND(ISNUMBER(K3327),ISNUMBER(L3327),ABS(L3327-(K3327-IF(ISNUMBER(N3327),N3327,0)-IF(ISNUMBER(O3327),O3327,0)+IF(ISNUMBER(P3327),P3327,0)))&lt;=Summary!$B$2),"Passes using beginning_balance - PreV_ETB differs from beginning_balance",IF(AND(ISNUMBER(O3327),O3327&lt;0,ABS(L3327-(Q3327-IF(ISNUMBER(N3327),N3327,0)+IF(ISNUMBER(P3327),P3327,0)))&lt;=Summary!$B$2),"Negative realized loss not applied - check sign",IF(R3327&lt;0,"Principal paid exceeds prior balance",IF(AND(L3327&gt;Q3327,NOT(ISNUMBER(P3327))),"Balance increased but no Deferred_interest reported",IF(L3327&gt;R3327,"Reported balance higher than expected (missing increase/OC build)","Reported balance lower than expected (missing decrease)"))))),""))</f>
        <v/>
      </c>
    </row>
    <row r="3328" customFormat="false" ht="15" hidden="false" customHeight="false" outlineLevel="0" collapsed="false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9"/>
      <c r="L3328" s="9"/>
      <c r="M3328" s="9"/>
      <c r="N3328" s="9"/>
      <c r="O3328" s="9"/>
      <c r="P3328" s="9"/>
      <c r="Q3328" s="9"/>
      <c r="R3328" s="9" t="str">
        <f aca="false">IF(AND(A3328&lt;&gt;"",ISNUMBER(Q3328),ISNUMBER(L3328)),ROUND(Q3328-IF(ISNUMBER(N3328),N3328,0)-IF(ISNUMBER(O3328),O3328,0)+IF(ISNUMBER(P3328),P3328,0),2),"")</f>
        <v/>
      </c>
      <c r="S3328" s="9" t="str">
        <f aca="false">IF(R3328="","",ROUND(L3328-R3328,2))</f>
        <v/>
      </c>
      <c r="T3328" s="8" t="str">
        <f aca="false">IF(A3328="","",IF(S3328="","BYPASS",IF(ABS(S3328)&lt;=Summary!$B$2,"PASS","FAIL")))</f>
        <v/>
      </c>
      <c r="U3328" s="8" t="str">
        <f aca="false">IF(T3328="BYPASS",IF(NOT(ISNUMBER(Q3328)),"PreV_ETB missing","End_tr_balance missing"),IF(T3328="FAIL",IF(AND(ISNUMBER(K3328),ISNUMBER(L3328),ABS(L3328-(K3328-IF(ISNUMBER(N3328),N3328,0)-IF(ISNUMBER(O3328),O3328,0)+IF(ISNUMBER(P3328),P3328,0)))&lt;=Summary!$B$2),"Passes using beginning_balance - PreV_ETB differs from beginning_balance",IF(AND(ISNUMBER(O3328),O3328&lt;0,ABS(L3328-(Q3328-IF(ISNUMBER(N3328),N3328,0)+IF(ISNUMBER(P3328),P3328,0)))&lt;=Summary!$B$2),"Negative realized loss not applied - check sign",IF(R3328&lt;0,"Principal paid exceeds prior balance",IF(AND(L3328&gt;Q3328,NOT(ISNUMBER(P3328))),"Balance increased but no Deferred_interest reported",IF(L3328&gt;R3328,"Reported balance higher than expected (missing increase/OC build)","Reported balance lower than expected (missing decrease)"))))),""))</f>
        <v/>
      </c>
    </row>
    <row r="3329" customFormat="false" ht="15" hidden="false" customHeight="false" outlineLevel="0" collapsed="false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9"/>
      <c r="L3329" s="9"/>
      <c r="M3329" s="9"/>
      <c r="N3329" s="9"/>
      <c r="O3329" s="9"/>
      <c r="P3329" s="9"/>
      <c r="Q3329" s="9"/>
      <c r="R3329" s="9" t="str">
        <f aca="false">IF(AND(A3329&lt;&gt;"",ISNUMBER(Q3329),ISNUMBER(L3329)),ROUND(Q3329-IF(ISNUMBER(N3329),N3329,0)-IF(ISNUMBER(O3329),O3329,0)+IF(ISNUMBER(P3329),P3329,0),2),"")</f>
        <v/>
      </c>
      <c r="S3329" s="9" t="str">
        <f aca="false">IF(R3329="","",ROUND(L3329-R3329,2))</f>
        <v/>
      </c>
      <c r="T3329" s="8" t="str">
        <f aca="false">IF(A3329="","",IF(S3329="","BYPASS",IF(ABS(S3329)&lt;=Summary!$B$2,"PASS","FAIL")))</f>
        <v/>
      </c>
      <c r="U3329" s="8" t="str">
        <f aca="false">IF(T3329="BYPASS",IF(NOT(ISNUMBER(Q3329)),"PreV_ETB missing","End_tr_balance missing"),IF(T3329="FAIL",IF(AND(ISNUMBER(K3329),ISNUMBER(L3329),ABS(L3329-(K3329-IF(ISNUMBER(N3329),N3329,0)-IF(ISNUMBER(O3329),O3329,0)+IF(ISNUMBER(P3329),P3329,0)))&lt;=Summary!$B$2),"Passes using beginning_balance - PreV_ETB differs from beginning_balance",IF(AND(ISNUMBER(O3329),O3329&lt;0,ABS(L3329-(Q3329-IF(ISNUMBER(N3329),N3329,0)+IF(ISNUMBER(P3329),P3329,0)))&lt;=Summary!$B$2),"Negative realized loss not applied - check sign",IF(R3329&lt;0,"Principal paid exceeds prior balance",IF(AND(L3329&gt;Q3329,NOT(ISNUMBER(P3329))),"Balance increased but no Deferred_interest reported",IF(L3329&gt;R3329,"Reported balance higher than expected (missing increase/OC build)","Reported balance lower than expected (missing decrease)"))))),""))</f>
        <v/>
      </c>
    </row>
    <row r="3330" customFormat="false" ht="15" hidden="false" customHeight="false" outlineLevel="0" collapsed="false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9"/>
      <c r="L3330" s="9"/>
      <c r="M3330" s="9"/>
      <c r="N3330" s="9"/>
      <c r="O3330" s="9"/>
      <c r="P3330" s="9"/>
      <c r="Q3330" s="9"/>
      <c r="R3330" s="9" t="str">
        <f aca="false">IF(AND(A3330&lt;&gt;"",ISNUMBER(Q3330),ISNUMBER(L3330)),ROUND(Q3330-IF(ISNUMBER(N3330),N3330,0)-IF(ISNUMBER(O3330),O3330,0)+IF(ISNUMBER(P3330),P3330,0),2),"")</f>
        <v/>
      </c>
      <c r="S3330" s="9" t="str">
        <f aca="false">IF(R3330="","",ROUND(L3330-R3330,2))</f>
        <v/>
      </c>
      <c r="T3330" s="8" t="str">
        <f aca="false">IF(A3330="","",IF(S3330="","BYPASS",IF(ABS(S3330)&lt;=Summary!$B$2,"PASS","FAIL")))</f>
        <v/>
      </c>
      <c r="U3330" s="8" t="str">
        <f aca="false">IF(T3330="BYPASS",IF(NOT(ISNUMBER(Q3330)),"PreV_ETB missing","End_tr_balance missing"),IF(T3330="FAIL",IF(AND(ISNUMBER(K3330),ISNUMBER(L3330),ABS(L3330-(K3330-IF(ISNUMBER(N3330),N3330,0)-IF(ISNUMBER(O3330),O3330,0)+IF(ISNUMBER(P3330),P3330,0)))&lt;=Summary!$B$2),"Passes using beginning_balance - PreV_ETB differs from beginning_balance",IF(AND(ISNUMBER(O3330),O3330&lt;0,ABS(L3330-(Q3330-IF(ISNUMBER(N3330),N3330,0)+IF(ISNUMBER(P3330),P3330,0)))&lt;=Summary!$B$2),"Negative realized loss not applied - check sign",IF(R3330&lt;0,"Principal paid exceeds prior balance",IF(AND(L3330&gt;Q3330,NOT(ISNUMBER(P3330))),"Balance increased but no Deferred_interest reported",IF(L3330&gt;R3330,"Reported balance higher than expected (missing increase/OC build)","Reported balance lower than expected (missing decrease)"))))),""))</f>
        <v/>
      </c>
    </row>
    <row r="3331" customFormat="false" ht="15" hidden="false" customHeight="false" outlineLevel="0" collapsed="false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9"/>
      <c r="L3331" s="9"/>
      <c r="M3331" s="9"/>
      <c r="N3331" s="9"/>
      <c r="O3331" s="9"/>
      <c r="P3331" s="9"/>
      <c r="Q3331" s="9"/>
      <c r="R3331" s="9" t="str">
        <f aca="false">IF(AND(A3331&lt;&gt;"",ISNUMBER(Q3331),ISNUMBER(L3331)),ROUND(Q3331-IF(ISNUMBER(N3331),N3331,0)-IF(ISNUMBER(O3331),O3331,0)+IF(ISNUMBER(P3331),P3331,0),2),"")</f>
        <v/>
      </c>
      <c r="S3331" s="9" t="str">
        <f aca="false">IF(R3331="","",ROUND(L3331-R3331,2))</f>
        <v/>
      </c>
      <c r="T3331" s="8" t="str">
        <f aca="false">IF(A3331="","",IF(S3331="","BYPASS",IF(ABS(S3331)&lt;=Summary!$B$2,"PASS","FAIL")))</f>
        <v/>
      </c>
      <c r="U3331" s="8" t="str">
        <f aca="false">IF(T3331="BYPASS",IF(NOT(ISNUMBER(Q3331)),"PreV_ETB missing","End_tr_balance missing"),IF(T3331="FAIL",IF(AND(ISNUMBER(K3331),ISNUMBER(L3331),ABS(L3331-(K3331-IF(ISNUMBER(N3331),N3331,0)-IF(ISNUMBER(O3331),O3331,0)+IF(ISNUMBER(P3331),P3331,0)))&lt;=Summary!$B$2),"Passes using beginning_balance - PreV_ETB differs from beginning_balance",IF(AND(ISNUMBER(O3331),O3331&lt;0,ABS(L3331-(Q3331-IF(ISNUMBER(N3331),N3331,0)+IF(ISNUMBER(P3331),P3331,0)))&lt;=Summary!$B$2),"Negative realized loss not applied - check sign",IF(R3331&lt;0,"Principal paid exceeds prior balance",IF(AND(L3331&gt;Q3331,NOT(ISNUMBER(P3331))),"Balance increased but no Deferred_interest reported",IF(L3331&gt;R3331,"Reported balance higher than expected (missing increase/OC build)","Reported balance lower than expected (missing decrease)"))))),""))</f>
        <v/>
      </c>
    </row>
    <row r="3332" customFormat="false" ht="15" hidden="false" customHeight="false" outlineLevel="0" collapsed="false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9"/>
      <c r="L3332" s="9"/>
      <c r="M3332" s="9"/>
      <c r="N3332" s="9"/>
      <c r="O3332" s="9"/>
      <c r="P3332" s="9"/>
      <c r="Q3332" s="9"/>
      <c r="R3332" s="9" t="str">
        <f aca="false">IF(AND(A3332&lt;&gt;"",ISNUMBER(Q3332),ISNUMBER(L3332)),ROUND(Q3332-IF(ISNUMBER(N3332),N3332,0)-IF(ISNUMBER(O3332),O3332,0)+IF(ISNUMBER(P3332),P3332,0),2),"")</f>
        <v/>
      </c>
      <c r="S3332" s="9" t="str">
        <f aca="false">IF(R3332="","",ROUND(L3332-R3332,2))</f>
        <v/>
      </c>
      <c r="T3332" s="8" t="str">
        <f aca="false">IF(A3332="","",IF(S3332="","BYPASS",IF(ABS(S3332)&lt;=Summary!$B$2,"PASS","FAIL")))</f>
        <v/>
      </c>
      <c r="U3332" s="8" t="str">
        <f aca="false">IF(T3332="BYPASS",IF(NOT(ISNUMBER(Q3332)),"PreV_ETB missing","End_tr_balance missing"),IF(T3332="FAIL",IF(AND(ISNUMBER(K3332),ISNUMBER(L3332),ABS(L3332-(K3332-IF(ISNUMBER(N3332),N3332,0)-IF(ISNUMBER(O3332),O3332,0)+IF(ISNUMBER(P3332),P3332,0)))&lt;=Summary!$B$2),"Passes using beginning_balance - PreV_ETB differs from beginning_balance",IF(AND(ISNUMBER(O3332),O3332&lt;0,ABS(L3332-(Q3332-IF(ISNUMBER(N3332),N3332,0)+IF(ISNUMBER(P3332),P3332,0)))&lt;=Summary!$B$2),"Negative realized loss not applied - check sign",IF(R3332&lt;0,"Principal paid exceeds prior balance",IF(AND(L3332&gt;Q3332,NOT(ISNUMBER(P3332))),"Balance increased but no Deferred_interest reported",IF(L3332&gt;R3332,"Reported balance higher than expected (missing increase/OC build)","Reported balance lower than expected (missing decrease)"))))),""))</f>
        <v/>
      </c>
    </row>
    <row r="3333" customFormat="false" ht="15" hidden="false" customHeight="false" outlineLevel="0" collapsed="false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9"/>
      <c r="L3333" s="9"/>
      <c r="M3333" s="9"/>
      <c r="N3333" s="9"/>
      <c r="O3333" s="9"/>
      <c r="P3333" s="9"/>
      <c r="Q3333" s="9"/>
      <c r="R3333" s="9" t="str">
        <f aca="false">IF(AND(A3333&lt;&gt;"",ISNUMBER(Q3333),ISNUMBER(L3333)),ROUND(Q3333-IF(ISNUMBER(N3333),N3333,0)-IF(ISNUMBER(O3333),O3333,0)+IF(ISNUMBER(P3333),P3333,0),2),"")</f>
        <v/>
      </c>
      <c r="S3333" s="9" t="str">
        <f aca="false">IF(R3333="","",ROUND(L3333-R3333,2))</f>
        <v/>
      </c>
      <c r="T3333" s="8" t="str">
        <f aca="false">IF(A3333="","",IF(S3333="","BYPASS",IF(ABS(S3333)&lt;=Summary!$B$2,"PASS","FAIL")))</f>
        <v/>
      </c>
      <c r="U3333" s="8" t="str">
        <f aca="false">IF(T3333="BYPASS",IF(NOT(ISNUMBER(Q3333)),"PreV_ETB missing","End_tr_balance missing"),IF(T3333="FAIL",IF(AND(ISNUMBER(K3333),ISNUMBER(L3333),ABS(L3333-(K3333-IF(ISNUMBER(N3333),N3333,0)-IF(ISNUMBER(O3333),O3333,0)+IF(ISNUMBER(P3333),P3333,0)))&lt;=Summary!$B$2),"Passes using beginning_balance - PreV_ETB differs from beginning_balance",IF(AND(ISNUMBER(O3333),O3333&lt;0,ABS(L3333-(Q3333-IF(ISNUMBER(N3333),N3333,0)+IF(ISNUMBER(P3333),P3333,0)))&lt;=Summary!$B$2),"Negative realized loss not applied - check sign",IF(R3333&lt;0,"Principal paid exceeds prior balance",IF(AND(L3333&gt;Q3333,NOT(ISNUMBER(P3333))),"Balance increased but no Deferred_interest reported",IF(L3333&gt;R3333,"Reported balance higher than expected (missing increase/OC build)","Reported balance lower than expected (missing decrease)"))))),""))</f>
        <v/>
      </c>
    </row>
    <row r="3334" customFormat="false" ht="15" hidden="false" customHeight="false" outlineLevel="0" collapsed="false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9"/>
      <c r="L3334" s="9"/>
      <c r="M3334" s="9"/>
      <c r="N3334" s="9"/>
      <c r="O3334" s="9"/>
      <c r="P3334" s="9"/>
      <c r="Q3334" s="9"/>
      <c r="R3334" s="9" t="str">
        <f aca="false">IF(AND(A3334&lt;&gt;"",ISNUMBER(Q3334),ISNUMBER(L3334)),ROUND(Q3334-IF(ISNUMBER(N3334),N3334,0)-IF(ISNUMBER(O3334),O3334,0)+IF(ISNUMBER(P3334),P3334,0),2),"")</f>
        <v/>
      </c>
      <c r="S3334" s="9" t="str">
        <f aca="false">IF(R3334="","",ROUND(L3334-R3334,2))</f>
        <v/>
      </c>
      <c r="T3334" s="8" t="str">
        <f aca="false">IF(A3334="","",IF(S3334="","BYPASS",IF(ABS(S3334)&lt;=Summary!$B$2,"PASS","FAIL")))</f>
        <v/>
      </c>
      <c r="U3334" s="8" t="str">
        <f aca="false">IF(T3334="BYPASS",IF(NOT(ISNUMBER(Q3334)),"PreV_ETB missing","End_tr_balance missing"),IF(T3334="FAIL",IF(AND(ISNUMBER(K3334),ISNUMBER(L3334),ABS(L3334-(K3334-IF(ISNUMBER(N3334),N3334,0)-IF(ISNUMBER(O3334),O3334,0)+IF(ISNUMBER(P3334),P3334,0)))&lt;=Summary!$B$2),"Passes using beginning_balance - PreV_ETB differs from beginning_balance",IF(AND(ISNUMBER(O3334),O3334&lt;0,ABS(L3334-(Q3334-IF(ISNUMBER(N3334),N3334,0)+IF(ISNUMBER(P3334),P3334,0)))&lt;=Summary!$B$2),"Negative realized loss not applied - check sign",IF(R3334&lt;0,"Principal paid exceeds prior balance",IF(AND(L3334&gt;Q3334,NOT(ISNUMBER(P3334))),"Balance increased but no Deferred_interest reported",IF(L3334&gt;R3334,"Reported balance higher than expected (missing increase/OC build)","Reported balance lower than expected (missing decrease)"))))),""))</f>
        <v/>
      </c>
    </row>
    <row r="3335" customFormat="false" ht="15" hidden="false" customHeight="false" outlineLevel="0" collapsed="false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9"/>
      <c r="L3335" s="9"/>
      <c r="M3335" s="9"/>
      <c r="N3335" s="9"/>
      <c r="O3335" s="9"/>
      <c r="P3335" s="9"/>
      <c r="Q3335" s="9"/>
      <c r="R3335" s="9" t="str">
        <f aca="false">IF(AND(A3335&lt;&gt;"",ISNUMBER(Q3335),ISNUMBER(L3335)),ROUND(Q3335-IF(ISNUMBER(N3335),N3335,0)-IF(ISNUMBER(O3335),O3335,0)+IF(ISNUMBER(P3335),P3335,0),2),"")</f>
        <v/>
      </c>
      <c r="S3335" s="9" t="str">
        <f aca="false">IF(R3335="","",ROUND(L3335-R3335,2))</f>
        <v/>
      </c>
      <c r="T3335" s="8" t="str">
        <f aca="false">IF(A3335="","",IF(S3335="","BYPASS",IF(ABS(S3335)&lt;=Summary!$B$2,"PASS","FAIL")))</f>
        <v/>
      </c>
      <c r="U3335" s="8" t="str">
        <f aca="false">IF(T3335="BYPASS",IF(NOT(ISNUMBER(Q3335)),"PreV_ETB missing","End_tr_balance missing"),IF(T3335="FAIL",IF(AND(ISNUMBER(K3335),ISNUMBER(L3335),ABS(L3335-(K3335-IF(ISNUMBER(N3335),N3335,0)-IF(ISNUMBER(O3335),O3335,0)+IF(ISNUMBER(P3335),P3335,0)))&lt;=Summary!$B$2),"Passes using beginning_balance - PreV_ETB differs from beginning_balance",IF(AND(ISNUMBER(O3335),O3335&lt;0,ABS(L3335-(Q3335-IF(ISNUMBER(N3335),N3335,0)+IF(ISNUMBER(P3335),P3335,0)))&lt;=Summary!$B$2),"Negative realized loss not applied - check sign",IF(R3335&lt;0,"Principal paid exceeds prior balance",IF(AND(L3335&gt;Q3335,NOT(ISNUMBER(P3335))),"Balance increased but no Deferred_interest reported",IF(L3335&gt;R3335,"Reported balance higher than expected (missing increase/OC build)","Reported balance lower than expected (missing decrease)"))))),""))</f>
        <v/>
      </c>
    </row>
    <row r="3336" customFormat="false" ht="15" hidden="false" customHeight="false" outlineLevel="0" collapsed="false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9"/>
      <c r="L3336" s="9"/>
      <c r="M3336" s="9"/>
      <c r="N3336" s="9"/>
      <c r="O3336" s="9"/>
      <c r="P3336" s="9"/>
      <c r="Q3336" s="9"/>
      <c r="R3336" s="9" t="str">
        <f aca="false">IF(AND(A3336&lt;&gt;"",ISNUMBER(Q3336),ISNUMBER(L3336)),ROUND(Q3336-IF(ISNUMBER(N3336),N3336,0)-IF(ISNUMBER(O3336),O3336,0)+IF(ISNUMBER(P3336),P3336,0),2),"")</f>
        <v/>
      </c>
      <c r="S3336" s="9" t="str">
        <f aca="false">IF(R3336="","",ROUND(L3336-R3336,2))</f>
        <v/>
      </c>
      <c r="T3336" s="8" t="str">
        <f aca="false">IF(A3336="","",IF(S3336="","BYPASS",IF(ABS(S3336)&lt;=Summary!$B$2,"PASS","FAIL")))</f>
        <v/>
      </c>
      <c r="U3336" s="8" t="str">
        <f aca="false">IF(T3336="BYPASS",IF(NOT(ISNUMBER(Q3336)),"PreV_ETB missing","End_tr_balance missing"),IF(T3336="FAIL",IF(AND(ISNUMBER(K3336),ISNUMBER(L3336),ABS(L3336-(K3336-IF(ISNUMBER(N3336),N3336,0)-IF(ISNUMBER(O3336),O3336,0)+IF(ISNUMBER(P3336),P3336,0)))&lt;=Summary!$B$2),"Passes using beginning_balance - PreV_ETB differs from beginning_balance",IF(AND(ISNUMBER(O3336),O3336&lt;0,ABS(L3336-(Q3336-IF(ISNUMBER(N3336),N3336,0)+IF(ISNUMBER(P3336),P3336,0)))&lt;=Summary!$B$2),"Negative realized loss not applied - check sign",IF(R3336&lt;0,"Principal paid exceeds prior balance",IF(AND(L3336&gt;Q3336,NOT(ISNUMBER(P3336))),"Balance increased but no Deferred_interest reported",IF(L3336&gt;R3336,"Reported balance higher than expected (missing increase/OC build)","Reported balance lower than expected (missing decrease)"))))),""))</f>
        <v/>
      </c>
    </row>
    <row r="3337" customFormat="false" ht="15" hidden="false" customHeight="false" outlineLevel="0" collapsed="false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9"/>
      <c r="L3337" s="9"/>
      <c r="M3337" s="9"/>
      <c r="N3337" s="9"/>
      <c r="O3337" s="9"/>
      <c r="P3337" s="9"/>
      <c r="Q3337" s="9"/>
      <c r="R3337" s="9" t="str">
        <f aca="false">IF(AND(A3337&lt;&gt;"",ISNUMBER(Q3337),ISNUMBER(L3337)),ROUND(Q3337-IF(ISNUMBER(N3337),N3337,0)-IF(ISNUMBER(O3337),O3337,0)+IF(ISNUMBER(P3337),P3337,0),2),"")</f>
        <v/>
      </c>
      <c r="S3337" s="9" t="str">
        <f aca="false">IF(R3337="","",ROUND(L3337-R3337,2))</f>
        <v/>
      </c>
      <c r="T3337" s="8" t="str">
        <f aca="false">IF(A3337="","",IF(S3337="","BYPASS",IF(ABS(S3337)&lt;=Summary!$B$2,"PASS","FAIL")))</f>
        <v/>
      </c>
      <c r="U3337" s="8" t="str">
        <f aca="false">IF(T3337="BYPASS",IF(NOT(ISNUMBER(Q3337)),"PreV_ETB missing","End_tr_balance missing"),IF(T3337="FAIL",IF(AND(ISNUMBER(K3337),ISNUMBER(L3337),ABS(L3337-(K3337-IF(ISNUMBER(N3337),N3337,0)-IF(ISNUMBER(O3337),O3337,0)+IF(ISNUMBER(P3337),P3337,0)))&lt;=Summary!$B$2),"Passes using beginning_balance - PreV_ETB differs from beginning_balance",IF(AND(ISNUMBER(O3337),O3337&lt;0,ABS(L3337-(Q3337-IF(ISNUMBER(N3337),N3337,0)+IF(ISNUMBER(P3337),P3337,0)))&lt;=Summary!$B$2),"Negative realized loss not applied - check sign",IF(R3337&lt;0,"Principal paid exceeds prior balance",IF(AND(L3337&gt;Q3337,NOT(ISNUMBER(P3337))),"Balance increased but no Deferred_interest reported",IF(L3337&gt;R3337,"Reported balance higher than expected (missing increase/OC build)","Reported balance lower than expected (missing decrease)"))))),""))</f>
        <v/>
      </c>
    </row>
    <row r="3338" customFormat="false" ht="15" hidden="false" customHeight="false" outlineLevel="0" collapsed="false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9"/>
      <c r="L3338" s="9"/>
      <c r="M3338" s="9"/>
      <c r="N3338" s="9"/>
      <c r="O3338" s="9"/>
      <c r="P3338" s="9"/>
      <c r="Q3338" s="9"/>
      <c r="R3338" s="9" t="str">
        <f aca="false">IF(AND(A3338&lt;&gt;"",ISNUMBER(Q3338),ISNUMBER(L3338)),ROUND(Q3338-IF(ISNUMBER(N3338),N3338,0)-IF(ISNUMBER(O3338),O3338,0)+IF(ISNUMBER(P3338),P3338,0),2),"")</f>
        <v/>
      </c>
      <c r="S3338" s="9" t="str">
        <f aca="false">IF(R3338="","",ROUND(L3338-R3338,2))</f>
        <v/>
      </c>
      <c r="T3338" s="8" t="str">
        <f aca="false">IF(A3338="","",IF(S3338="","BYPASS",IF(ABS(S3338)&lt;=Summary!$B$2,"PASS","FAIL")))</f>
        <v/>
      </c>
      <c r="U3338" s="8" t="str">
        <f aca="false">IF(T3338="BYPASS",IF(NOT(ISNUMBER(Q3338)),"PreV_ETB missing","End_tr_balance missing"),IF(T3338="FAIL",IF(AND(ISNUMBER(K3338),ISNUMBER(L3338),ABS(L3338-(K3338-IF(ISNUMBER(N3338),N3338,0)-IF(ISNUMBER(O3338),O3338,0)+IF(ISNUMBER(P3338),P3338,0)))&lt;=Summary!$B$2),"Passes using beginning_balance - PreV_ETB differs from beginning_balance",IF(AND(ISNUMBER(O3338),O3338&lt;0,ABS(L3338-(Q3338-IF(ISNUMBER(N3338),N3338,0)+IF(ISNUMBER(P3338),P3338,0)))&lt;=Summary!$B$2),"Negative realized loss not applied - check sign",IF(R3338&lt;0,"Principal paid exceeds prior balance",IF(AND(L3338&gt;Q3338,NOT(ISNUMBER(P3338))),"Balance increased but no Deferred_interest reported",IF(L3338&gt;R3338,"Reported balance higher than expected (missing increase/OC build)","Reported balance lower than expected (missing decrease)"))))),""))</f>
        <v/>
      </c>
    </row>
    <row r="3339" customFormat="false" ht="15" hidden="false" customHeight="false" outlineLevel="0" collapsed="false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9"/>
      <c r="L3339" s="9"/>
      <c r="M3339" s="9"/>
      <c r="N3339" s="9"/>
      <c r="O3339" s="9"/>
      <c r="P3339" s="9"/>
      <c r="Q3339" s="9"/>
      <c r="R3339" s="9" t="str">
        <f aca="false">IF(AND(A3339&lt;&gt;"",ISNUMBER(Q3339),ISNUMBER(L3339)),ROUND(Q3339-IF(ISNUMBER(N3339),N3339,0)-IF(ISNUMBER(O3339),O3339,0)+IF(ISNUMBER(P3339),P3339,0),2),"")</f>
        <v/>
      </c>
      <c r="S3339" s="9" t="str">
        <f aca="false">IF(R3339="","",ROUND(L3339-R3339,2))</f>
        <v/>
      </c>
      <c r="T3339" s="8" t="str">
        <f aca="false">IF(A3339="","",IF(S3339="","BYPASS",IF(ABS(S3339)&lt;=Summary!$B$2,"PASS","FAIL")))</f>
        <v/>
      </c>
      <c r="U3339" s="8" t="str">
        <f aca="false">IF(T3339="BYPASS",IF(NOT(ISNUMBER(Q3339)),"PreV_ETB missing","End_tr_balance missing"),IF(T3339="FAIL",IF(AND(ISNUMBER(K3339),ISNUMBER(L3339),ABS(L3339-(K3339-IF(ISNUMBER(N3339),N3339,0)-IF(ISNUMBER(O3339),O3339,0)+IF(ISNUMBER(P3339),P3339,0)))&lt;=Summary!$B$2),"Passes using beginning_balance - PreV_ETB differs from beginning_balance",IF(AND(ISNUMBER(O3339),O3339&lt;0,ABS(L3339-(Q3339-IF(ISNUMBER(N3339),N3339,0)+IF(ISNUMBER(P3339),P3339,0)))&lt;=Summary!$B$2),"Negative realized loss not applied - check sign",IF(R3339&lt;0,"Principal paid exceeds prior balance",IF(AND(L3339&gt;Q3339,NOT(ISNUMBER(P3339))),"Balance increased but no Deferred_interest reported",IF(L3339&gt;R3339,"Reported balance higher than expected (missing increase/OC build)","Reported balance lower than expected (missing decrease)"))))),""))</f>
        <v/>
      </c>
    </row>
    <row r="3340" customFormat="false" ht="15" hidden="false" customHeight="false" outlineLevel="0" collapsed="false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9"/>
      <c r="L3340" s="9"/>
      <c r="M3340" s="9"/>
      <c r="N3340" s="9"/>
      <c r="O3340" s="9"/>
      <c r="P3340" s="9"/>
      <c r="Q3340" s="9"/>
      <c r="R3340" s="9" t="str">
        <f aca="false">IF(AND(A3340&lt;&gt;"",ISNUMBER(Q3340),ISNUMBER(L3340)),ROUND(Q3340-IF(ISNUMBER(N3340),N3340,0)-IF(ISNUMBER(O3340),O3340,0)+IF(ISNUMBER(P3340),P3340,0),2),"")</f>
        <v/>
      </c>
      <c r="S3340" s="9" t="str">
        <f aca="false">IF(R3340="","",ROUND(L3340-R3340,2))</f>
        <v/>
      </c>
      <c r="T3340" s="8" t="str">
        <f aca="false">IF(A3340="","",IF(S3340="","BYPASS",IF(ABS(S3340)&lt;=Summary!$B$2,"PASS","FAIL")))</f>
        <v/>
      </c>
      <c r="U3340" s="8" t="str">
        <f aca="false">IF(T3340="BYPASS",IF(NOT(ISNUMBER(Q3340)),"PreV_ETB missing","End_tr_balance missing"),IF(T3340="FAIL",IF(AND(ISNUMBER(K3340),ISNUMBER(L3340),ABS(L3340-(K3340-IF(ISNUMBER(N3340),N3340,0)-IF(ISNUMBER(O3340),O3340,0)+IF(ISNUMBER(P3340),P3340,0)))&lt;=Summary!$B$2),"Passes using beginning_balance - PreV_ETB differs from beginning_balance",IF(AND(ISNUMBER(O3340),O3340&lt;0,ABS(L3340-(Q3340-IF(ISNUMBER(N3340),N3340,0)+IF(ISNUMBER(P3340),P3340,0)))&lt;=Summary!$B$2),"Negative realized loss not applied - check sign",IF(R3340&lt;0,"Principal paid exceeds prior balance",IF(AND(L3340&gt;Q3340,NOT(ISNUMBER(P3340))),"Balance increased but no Deferred_interest reported",IF(L3340&gt;R3340,"Reported balance higher than expected (missing increase/OC build)","Reported balance lower than expected (missing decrease)"))))),""))</f>
        <v/>
      </c>
    </row>
    <row r="3341" customFormat="false" ht="15" hidden="false" customHeight="false" outlineLevel="0" collapsed="false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9"/>
      <c r="L3341" s="9"/>
      <c r="M3341" s="9"/>
      <c r="N3341" s="9"/>
      <c r="O3341" s="9"/>
      <c r="P3341" s="9"/>
      <c r="Q3341" s="9"/>
      <c r="R3341" s="9" t="str">
        <f aca="false">IF(AND(A3341&lt;&gt;"",ISNUMBER(Q3341),ISNUMBER(L3341)),ROUND(Q3341-IF(ISNUMBER(N3341),N3341,0)-IF(ISNUMBER(O3341),O3341,0)+IF(ISNUMBER(P3341),P3341,0),2),"")</f>
        <v/>
      </c>
      <c r="S3341" s="9" t="str">
        <f aca="false">IF(R3341="","",ROUND(L3341-R3341,2))</f>
        <v/>
      </c>
      <c r="T3341" s="8" t="str">
        <f aca="false">IF(A3341="","",IF(S3341="","BYPASS",IF(ABS(S3341)&lt;=Summary!$B$2,"PASS","FAIL")))</f>
        <v/>
      </c>
      <c r="U3341" s="8" t="str">
        <f aca="false">IF(T3341="BYPASS",IF(NOT(ISNUMBER(Q3341)),"PreV_ETB missing","End_tr_balance missing"),IF(T3341="FAIL",IF(AND(ISNUMBER(K3341),ISNUMBER(L3341),ABS(L3341-(K3341-IF(ISNUMBER(N3341),N3341,0)-IF(ISNUMBER(O3341),O3341,0)+IF(ISNUMBER(P3341),P3341,0)))&lt;=Summary!$B$2),"Passes using beginning_balance - PreV_ETB differs from beginning_balance",IF(AND(ISNUMBER(O3341),O3341&lt;0,ABS(L3341-(Q3341-IF(ISNUMBER(N3341),N3341,0)+IF(ISNUMBER(P3341),P3341,0)))&lt;=Summary!$B$2),"Negative realized loss not applied - check sign",IF(R3341&lt;0,"Principal paid exceeds prior balance",IF(AND(L3341&gt;Q3341,NOT(ISNUMBER(P3341))),"Balance increased but no Deferred_interest reported",IF(L3341&gt;R3341,"Reported balance higher than expected (missing increase/OC build)","Reported balance lower than expected (missing decrease)"))))),""))</f>
        <v/>
      </c>
    </row>
    <row r="3342" customFormat="false" ht="15" hidden="false" customHeight="false" outlineLevel="0" collapsed="false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9"/>
      <c r="L3342" s="9"/>
      <c r="M3342" s="9"/>
      <c r="N3342" s="9"/>
      <c r="O3342" s="9"/>
      <c r="P3342" s="9"/>
      <c r="Q3342" s="9"/>
      <c r="R3342" s="9" t="str">
        <f aca="false">IF(AND(A3342&lt;&gt;"",ISNUMBER(Q3342),ISNUMBER(L3342)),ROUND(Q3342-IF(ISNUMBER(N3342),N3342,0)-IF(ISNUMBER(O3342),O3342,0)+IF(ISNUMBER(P3342),P3342,0),2),"")</f>
        <v/>
      </c>
      <c r="S3342" s="9" t="str">
        <f aca="false">IF(R3342="","",ROUND(L3342-R3342,2))</f>
        <v/>
      </c>
      <c r="T3342" s="8" t="str">
        <f aca="false">IF(A3342="","",IF(S3342="","BYPASS",IF(ABS(S3342)&lt;=Summary!$B$2,"PASS","FAIL")))</f>
        <v/>
      </c>
      <c r="U3342" s="8" t="str">
        <f aca="false">IF(T3342="BYPASS",IF(NOT(ISNUMBER(Q3342)),"PreV_ETB missing","End_tr_balance missing"),IF(T3342="FAIL",IF(AND(ISNUMBER(K3342),ISNUMBER(L3342),ABS(L3342-(K3342-IF(ISNUMBER(N3342),N3342,0)-IF(ISNUMBER(O3342),O3342,0)+IF(ISNUMBER(P3342),P3342,0)))&lt;=Summary!$B$2),"Passes using beginning_balance - PreV_ETB differs from beginning_balance",IF(AND(ISNUMBER(O3342),O3342&lt;0,ABS(L3342-(Q3342-IF(ISNUMBER(N3342),N3342,0)+IF(ISNUMBER(P3342),P3342,0)))&lt;=Summary!$B$2),"Negative realized loss not applied - check sign",IF(R3342&lt;0,"Principal paid exceeds prior balance",IF(AND(L3342&gt;Q3342,NOT(ISNUMBER(P3342))),"Balance increased but no Deferred_interest reported",IF(L3342&gt;R3342,"Reported balance higher than expected (missing increase/OC build)","Reported balance lower than expected (missing decrease)"))))),""))</f>
        <v/>
      </c>
    </row>
    <row r="3343" customFormat="false" ht="15" hidden="false" customHeight="false" outlineLevel="0" collapsed="false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9"/>
      <c r="L3343" s="9"/>
      <c r="M3343" s="9"/>
      <c r="N3343" s="9"/>
      <c r="O3343" s="9"/>
      <c r="P3343" s="9"/>
      <c r="Q3343" s="9"/>
      <c r="R3343" s="9" t="str">
        <f aca="false">IF(AND(A3343&lt;&gt;"",ISNUMBER(Q3343),ISNUMBER(L3343)),ROUND(Q3343-IF(ISNUMBER(N3343),N3343,0)-IF(ISNUMBER(O3343),O3343,0)+IF(ISNUMBER(P3343),P3343,0),2),"")</f>
        <v/>
      </c>
      <c r="S3343" s="9" t="str">
        <f aca="false">IF(R3343="","",ROUND(L3343-R3343,2))</f>
        <v/>
      </c>
      <c r="T3343" s="8" t="str">
        <f aca="false">IF(A3343="","",IF(S3343="","BYPASS",IF(ABS(S3343)&lt;=Summary!$B$2,"PASS","FAIL")))</f>
        <v/>
      </c>
      <c r="U3343" s="8" t="str">
        <f aca="false">IF(T3343="BYPASS",IF(NOT(ISNUMBER(Q3343)),"PreV_ETB missing","End_tr_balance missing"),IF(T3343="FAIL",IF(AND(ISNUMBER(K3343),ISNUMBER(L3343),ABS(L3343-(K3343-IF(ISNUMBER(N3343),N3343,0)-IF(ISNUMBER(O3343),O3343,0)+IF(ISNUMBER(P3343),P3343,0)))&lt;=Summary!$B$2),"Passes using beginning_balance - PreV_ETB differs from beginning_balance",IF(AND(ISNUMBER(O3343),O3343&lt;0,ABS(L3343-(Q3343-IF(ISNUMBER(N3343),N3343,0)+IF(ISNUMBER(P3343),P3343,0)))&lt;=Summary!$B$2),"Negative realized loss not applied - check sign",IF(R3343&lt;0,"Principal paid exceeds prior balance",IF(AND(L3343&gt;Q3343,NOT(ISNUMBER(P3343))),"Balance increased but no Deferred_interest reported",IF(L3343&gt;R3343,"Reported balance higher than expected (missing increase/OC build)","Reported balance lower than expected (missing decrease)"))))),""))</f>
        <v/>
      </c>
    </row>
    <row r="3344" customFormat="false" ht="15" hidden="false" customHeight="false" outlineLevel="0" collapsed="false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9"/>
      <c r="L3344" s="9"/>
      <c r="M3344" s="9"/>
      <c r="N3344" s="9"/>
      <c r="O3344" s="9"/>
      <c r="P3344" s="9"/>
      <c r="Q3344" s="9"/>
      <c r="R3344" s="9" t="str">
        <f aca="false">IF(AND(A3344&lt;&gt;"",ISNUMBER(Q3344),ISNUMBER(L3344)),ROUND(Q3344-IF(ISNUMBER(N3344),N3344,0)-IF(ISNUMBER(O3344),O3344,0)+IF(ISNUMBER(P3344),P3344,0),2),"")</f>
        <v/>
      </c>
      <c r="S3344" s="9" t="str">
        <f aca="false">IF(R3344="","",ROUND(L3344-R3344,2))</f>
        <v/>
      </c>
      <c r="T3344" s="8" t="str">
        <f aca="false">IF(A3344="","",IF(S3344="","BYPASS",IF(ABS(S3344)&lt;=Summary!$B$2,"PASS","FAIL")))</f>
        <v/>
      </c>
      <c r="U3344" s="8" t="str">
        <f aca="false">IF(T3344="BYPASS",IF(NOT(ISNUMBER(Q3344)),"PreV_ETB missing","End_tr_balance missing"),IF(T3344="FAIL",IF(AND(ISNUMBER(K3344),ISNUMBER(L3344),ABS(L3344-(K3344-IF(ISNUMBER(N3344),N3344,0)-IF(ISNUMBER(O3344),O3344,0)+IF(ISNUMBER(P3344),P3344,0)))&lt;=Summary!$B$2),"Passes using beginning_balance - PreV_ETB differs from beginning_balance",IF(AND(ISNUMBER(O3344),O3344&lt;0,ABS(L3344-(Q3344-IF(ISNUMBER(N3344),N3344,0)+IF(ISNUMBER(P3344),P3344,0)))&lt;=Summary!$B$2),"Negative realized loss not applied - check sign",IF(R3344&lt;0,"Principal paid exceeds prior balance",IF(AND(L3344&gt;Q3344,NOT(ISNUMBER(P3344))),"Balance increased but no Deferred_interest reported",IF(L3344&gt;R3344,"Reported balance higher than expected (missing increase/OC build)","Reported balance lower than expected (missing decrease)"))))),""))</f>
        <v/>
      </c>
    </row>
    <row r="3345" customFormat="false" ht="15" hidden="false" customHeight="false" outlineLevel="0" collapsed="false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9"/>
      <c r="L3345" s="9"/>
      <c r="M3345" s="9"/>
      <c r="N3345" s="9"/>
      <c r="O3345" s="9"/>
      <c r="P3345" s="9"/>
      <c r="Q3345" s="9"/>
      <c r="R3345" s="9" t="str">
        <f aca="false">IF(AND(A3345&lt;&gt;"",ISNUMBER(Q3345),ISNUMBER(L3345)),ROUND(Q3345-IF(ISNUMBER(N3345),N3345,0)-IF(ISNUMBER(O3345),O3345,0)+IF(ISNUMBER(P3345),P3345,0),2),"")</f>
        <v/>
      </c>
      <c r="S3345" s="9" t="str">
        <f aca="false">IF(R3345="","",ROUND(L3345-R3345,2))</f>
        <v/>
      </c>
      <c r="T3345" s="8" t="str">
        <f aca="false">IF(A3345="","",IF(S3345="","BYPASS",IF(ABS(S3345)&lt;=Summary!$B$2,"PASS","FAIL")))</f>
        <v/>
      </c>
      <c r="U3345" s="8" t="str">
        <f aca="false">IF(T3345="BYPASS",IF(NOT(ISNUMBER(Q3345)),"PreV_ETB missing","End_tr_balance missing"),IF(T3345="FAIL",IF(AND(ISNUMBER(K3345),ISNUMBER(L3345),ABS(L3345-(K3345-IF(ISNUMBER(N3345),N3345,0)-IF(ISNUMBER(O3345),O3345,0)+IF(ISNUMBER(P3345),P3345,0)))&lt;=Summary!$B$2),"Passes using beginning_balance - PreV_ETB differs from beginning_balance",IF(AND(ISNUMBER(O3345),O3345&lt;0,ABS(L3345-(Q3345-IF(ISNUMBER(N3345),N3345,0)+IF(ISNUMBER(P3345),P3345,0)))&lt;=Summary!$B$2),"Negative realized loss not applied - check sign",IF(R3345&lt;0,"Principal paid exceeds prior balance",IF(AND(L3345&gt;Q3345,NOT(ISNUMBER(P3345))),"Balance increased but no Deferred_interest reported",IF(L3345&gt;R3345,"Reported balance higher than expected (missing increase/OC build)","Reported balance lower than expected (missing decrease)"))))),""))</f>
        <v/>
      </c>
    </row>
    <row r="3346" customFormat="false" ht="15" hidden="false" customHeight="false" outlineLevel="0" collapsed="false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9"/>
      <c r="L3346" s="9"/>
      <c r="M3346" s="9"/>
      <c r="N3346" s="9"/>
      <c r="O3346" s="9"/>
      <c r="P3346" s="9"/>
      <c r="Q3346" s="9"/>
      <c r="R3346" s="9" t="str">
        <f aca="false">IF(AND(A3346&lt;&gt;"",ISNUMBER(Q3346),ISNUMBER(L3346)),ROUND(Q3346-IF(ISNUMBER(N3346),N3346,0)-IF(ISNUMBER(O3346),O3346,0)+IF(ISNUMBER(P3346),P3346,0),2),"")</f>
        <v/>
      </c>
      <c r="S3346" s="9" t="str">
        <f aca="false">IF(R3346="","",ROUND(L3346-R3346,2))</f>
        <v/>
      </c>
      <c r="T3346" s="8" t="str">
        <f aca="false">IF(A3346="","",IF(S3346="","BYPASS",IF(ABS(S3346)&lt;=Summary!$B$2,"PASS","FAIL")))</f>
        <v/>
      </c>
      <c r="U3346" s="8" t="str">
        <f aca="false">IF(T3346="BYPASS",IF(NOT(ISNUMBER(Q3346)),"PreV_ETB missing","End_tr_balance missing"),IF(T3346="FAIL",IF(AND(ISNUMBER(K3346),ISNUMBER(L3346),ABS(L3346-(K3346-IF(ISNUMBER(N3346),N3346,0)-IF(ISNUMBER(O3346),O3346,0)+IF(ISNUMBER(P3346),P3346,0)))&lt;=Summary!$B$2),"Passes using beginning_balance - PreV_ETB differs from beginning_balance",IF(AND(ISNUMBER(O3346),O3346&lt;0,ABS(L3346-(Q3346-IF(ISNUMBER(N3346),N3346,0)+IF(ISNUMBER(P3346),P3346,0)))&lt;=Summary!$B$2),"Negative realized loss not applied - check sign",IF(R3346&lt;0,"Principal paid exceeds prior balance",IF(AND(L3346&gt;Q3346,NOT(ISNUMBER(P3346))),"Balance increased but no Deferred_interest reported",IF(L3346&gt;R3346,"Reported balance higher than expected (missing increase/OC build)","Reported balance lower than expected (missing decrease)"))))),""))</f>
        <v/>
      </c>
    </row>
    <row r="3347" customFormat="false" ht="15" hidden="false" customHeight="false" outlineLevel="0" collapsed="false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9"/>
      <c r="L3347" s="9"/>
      <c r="M3347" s="9"/>
      <c r="N3347" s="9"/>
      <c r="O3347" s="9"/>
      <c r="P3347" s="9"/>
      <c r="Q3347" s="9"/>
      <c r="R3347" s="9" t="str">
        <f aca="false">IF(AND(A3347&lt;&gt;"",ISNUMBER(Q3347),ISNUMBER(L3347)),ROUND(Q3347-IF(ISNUMBER(N3347),N3347,0)-IF(ISNUMBER(O3347),O3347,0)+IF(ISNUMBER(P3347),P3347,0),2),"")</f>
        <v/>
      </c>
      <c r="S3347" s="9" t="str">
        <f aca="false">IF(R3347="","",ROUND(L3347-R3347,2))</f>
        <v/>
      </c>
      <c r="T3347" s="8" t="str">
        <f aca="false">IF(A3347="","",IF(S3347="","BYPASS",IF(ABS(S3347)&lt;=Summary!$B$2,"PASS","FAIL")))</f>
        <v/>
      </c>
      <c r="U3347" s="8" t="str">
        <f aca="false">IF(T3347="BYPASS",IF(NOT(ISNUMBER(Q3347)),"PreV_ETB missing","End_tr_balance missing"),IF(T3347="FAIL",IF(AND(ISNUMBER(K3347),ISNUMBER(L3347),ABS(L3347-(K3347-IF(ISNUMBER(N3347),N3347,0)-IF(ISNUMBER(O3347),O3347,0)+IF(ISNUMBER(P3347),P3347,0)))&lt;=Summary!$B$2),"Passes using beginning_balance - PreV_ETB differs from beginning_balance",IF(AND(ISNUMBER(O3347),O3347&lt;0,ABS(L3347-(Q3347-IF(ISNUMBER(N3347),N3347,0)+IF(ISNUMBER(P3347),P3347,0)))&lt;=Summary!$B$2),"Negative realized loss not applied - check sign",IF(R3347&lt;0,"Principal paid exceeds prior balance",IF(AND(L3347&gt;Q3347,NOT(ISNUMBER(P3347))),"Balance increased but no Deferred_interest reported",IF(L3347&gt;R3347,"Reported balance higher than expected (missing increase/OC build)","Reported balance lower than expected (missing decrease)"))))),""))</f>
        <v/>
      </c>
    </row>
    <row r="3348" customFormat="false" ht="15" hidden="false" customHeight="false" outlineLevel="0" collapsed="false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9"/>
      <c r="L3348" s="9"/>
      <c r="M3348" s="9"/>
      <c r="N3348" s="9"/>
      <c r="O3348" s="9"/>
      <c r="P3348" s="9"/>
      <c r="Q3348" s="9"/>
      <c r="R3348" s="9" t="str">
        <f aca="false">IF(AND(A3348&lt;&gt;"",ISNUMBER(Q3348),ISNUMBER(L3348)),ROUND(Q3348-IF(ISNUMBER(N3348),N3348,0)-IF(ISNUMBER(O3348),O3348,0)+IF(ISNUMBER(P3348),P3348,0),2),"")</f>
        <v/>
      </c>
      <c r="S3348" s="9" t="str">
        <f aca="false">IF(R3348="","",ROUND(L3348-R3348,2))</f>
        <v/>
      </c>
      <c r="T3348" s="8" t="str">
        <f aca="false">IF(A3348="","",IF(S3348="","BYPASS",IF(ABS(S3348)&lt;=Summary!$B$2,"PASS","FAIL")))</f>
        <v/>
      </c>
      <c r="U3348" s="8" t="str">
        <f aca="false">IF(T3348="BYPASS",IF(NOT(ISNUMBER(Q3348)),"PreV_ETB missing","End_tr_balance missing"),IF(T3348="FAIL",IF(AND(ISNUMBER(K3348),ISNUMBER(L3348),ABS(L3348-(K3348-IF(ISNUMBER(N3348),N3348,0)-IF(ISNUMBER(O3348),O3348,0)+IF(ISNUMBER(P3348),P3348,0)))&lt;=Summary!$B$2),"Passes using beginning_balance - PreV_ETB differs from beginning_balance",IF(AND(ISNUMBER(O3348),O3348&lt;0,ABS(L3348-(Q3348-IF(ISNUMBER(N3348),N3348,0)+IF(ISNUMBER(P3348),P3348,0)))&lt;=Summary!$B$2),"Negative realized loss not applied - check sign",IF(R3348&lt;0,"Principal paid exceeds prior balance",IF(AND(L3348&gt;Q3348,NOT(ISNUMBER(P3348))),"Balance increased but no Deferred_interest reported",IF(L3348&gt;R3348,"Reported balance higher than expected (missing increase/OC build)","Reported balance lower than expected (missing decrease)"))))),""))</f>
        <v/>
      </c>
    </row>
    <row r="3349" customFormat="false" ht="15" hidden="false" customHeight="false" outlineLevel="0" collapsed="false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9"/>
      <c r="L3349" s="9"/>
      <c r="M3349" s="9"/>
      <c r="N3349" s="9"/>
      <c r="O3349" s="9"/>
      <c r="P3349" s="9"/>
      <c r="Q3349" s="9"/>
      <c r="R3349" s="9" t="str">
        <f aca="false">IF(AND(A3349&lt;&gt;"",ISNUMBER(Q3349),ISNUMBER(L3349)),ROUND(Q3349-IF(ISNUMBER(N3349),N3349,0)-IF(ISNUMBER(O3349),O3349,0)+IF(ISNUMBER(P3349),P3349,0),2),"")</f>
        <v/>
      </c>
      <c r="S3349" s="9" t="str">
        <f aca="false">IF(R3349="","",ROUND(L3349-R3349,2))</f>
        <v/>
      </c>
      <c r="T3349" s="8" t="str">
        <f aca="false">IF(A3349="","",IF(S3349="","BYPASS",IF(ABS(S3349)&lt;=Summary!$B$2,"PASS","FAIL")))</f>
        <v/>
      </c>
      <c r="U3349" s="8" t="str">
        <f aca="false">IF(T3349="BYPASS",IF(NOT(ISNUMBER(Q3349)),"PreV_ETB missing","End_tr_balance missing"),IF(T3349="FAIL",IF(AND(ISNUMBER(K3349),ISNUMBER(L3349),ABS(L3349-(K3349-IF(ISNUMBER(N3349),N3349,0)-IF(ISNUMBER(O3349),O3349,0)+IF(ISNUMBER(P3349),P3349,0)))&lt;=Summary!$B$2),"Passes using beginning_balance - PreV_ETB differs from beginning_balance",IF(AND(ISNUMBER(O3349),O3349&lt;0,ABS(L3349-(Q3349-IF(ISNUMBER(N3349),N3349,0)+IF(ISNUMBER(P3349),P3349,0)))&lt;=Summary!$B$2),"Negative realized loss not applied - check sign",IF(R3349&lt;0,"Principal paid exceeds prior balance",IF(AND(L3349&gt;Q3349,NOT(ISNUMBER(P3349))),"Balance increased but no Deferred_interest reported",IF(L3349&gt;R3349,"Reported balance higher than expected (missing increase/OC build)","Reported balance lower than expected (missing decrease)"))))),""))</f>
        <v/>
      </c>
    </row>
    <row r="3350" customFormat="false" ht="15" hidden="false" customHeight="false" outlineLevel="0" collapsed="false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9"/>
      <c r="L3350" s="9"/>
      <c r="M3350" s="9"/>
      <c r="N3350" s="9"/>
      <c r="O3350" s="9"/>
      <c r="P3350" s="9"/>
      <c r="Q3350" s="9"/>
      <c r="R3350" s="9" t="str">
        <f aca="false">IF(AND(A3350&lt;&gt;"",ISNUMBER(Q3350),ISNUMBER(L3350)),ROUND(Q3350-IF(ISNUMBER(N3350),N3350,0)-IF(ISNUMBER(O3350),O3350,0)+IF(ISNUMBER(P3350),P3350,0),2),"")</f>
        <v/>
      </c>
      <c r="S3350" s="9" t="str">
        <f aca="false">IF(R3350="","",ROUND(L3350-R3350,2))</f>
        <v/>
      </c>
      <c r="T3350" s="8" t="str">
        <f aca="false">IF(A3350="","",IF(S3350="","BYPASS",IF(ABS(S3350)&lt;=Summary!$B$2,"PASS","FAIL")))</f>
        <v/>
      </c>
      <c r="U3350" s="8" t="str">
        <f aca="false">IF(T3350="BYPASS",IF(NOT(ISNUMBER(Q3350)),"PreV_ETB missing","End_tr_balance missing"),IF(T3350="FAIL",IF(AND(ISNUMBER(K3350),ISNUMBER(L3350),ABS(L3350-(K3350-IF(ISNUMBER(N3350),N3350,0)-IF(ISNUMBER(O3350),O3350,0)+IF(ISNUMBER(P3350),P3350,0)))&lt;=Summary!$B$2),"Passes using beginning_balance - PreV_ETB differs from beginning_balance",IF(AND(ISNUMBER(O3350),O3350&lt;0,ABS(L3350-(Q3350-IF(ISNUMBER(N3350),N3350,0)+IF(ISNUMBER(P3350),P3350,0)))&lt;=Summary!$B$2),"Negative realized loss not applied - check sign",IF(R3350&lt;0,"Principal paid exceeds prior balance",IF(AND(L3350&gt;Q3350,NOT(ISNUMBER(P3350))),"Balance increased but no Deferred_interest reported",IF(L3350&gt;R3350,"Reported balance higher than expected (missing increase/OC build)","Reported balance lower than expected (missing decrease)"))))),""))</f>
        <v/>
      </c>
    </row>
    <row r="3351" customFormat="false" ht="15" hidden="false" customHeight="false" outlineLevel="0" collapsed="false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9"/>
      <c r="L3351" s="9"/>
      <c r="M3351" s="9"/>
      <c r="N3351" s="9"/>
      <c r="O3351" s="9"/>
      <c r="P3351" s="9"/>
      <c r="Q3351" s="9"/>
      <c r="R3351" s="9" t="str">
        <f aca="false">IF(AND(A3351&lt;&gt;"",ISNUMBER(Q3351),ISNUMBER(L3351)),ROUND(Q3351-IF(ISNUMBER(N3351),N3351,0)-IF(ISNUMBER(O3351),O3351,0)+IF(ISNUMBER(P3351),P3351,0),2),"")</f>
        <v/>
      </c>
      <c r="S3351" s="9" t="str">
        <f aca="false">IF(R3351="","",ROUND(L3351-R3351,2))</f>
        <v/>
      </c>
      <c r="T3351" s="8" t="str">
        <f aca="false">IF(A3351="","",IF(S3351="","BYPASS",IF(ABS(S3351)&lt;=Summary!$B$2,"PASS","FAIL")))</f>
        <v/>
      </c>
      <c r="U3351" s="8" t="str">
        <f aca="false">IF(T3351="BYPASS",IF(NOT(ISNUMBER(Q3351)),"PreV_ETB missing","End_tr_balance missing"),IF(T3351="FAIL",IF(AND(ISNUMBER(K3351),ISNUMBER(L3351),ABS(L3351-(K3351-IF(ISNUMBER(N3351),N3351,0)-IF(ISNUMBER(O3351),O3351,0)+IF(ISNUMBER(P3351),P3351,0)))&lt;=Summary!$B$2),"Passes using beginning_balance - PreV_ETB differs from beginning_balance",IF(AND(ISNUMBER(O3351),O3351&lt;0,ABS(L3351-(Q3351-IF(ISNUMBER(N3351),N3351,0)+IF(ISNUMBER(P3351),P3351,0)))&lt;=Summary!$B$2),"Negative realized loss not applied - check sign",IF(R3351&lt;0,"Principal paid exceeds prior balance",IF(AND(L3351&gt;Q3351,NOT(ISNUMBER(P3351))),"Balance increased but no Deferred_interest reported",IF(L3351&gt;R3351,"Reported balance higher than expected (missing increase/OC build)","Reported balance lower than expected (missing decrease)"))))),""))</f>
        <v/>
      </c>
    </row>
    <row r="3352" customFormat="false" ht="15" hidden="false" customHeight="false" outlineLevel="0" collapsed="false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9"/>
      <c r="L3352" s="9"/>
      <c r="M3352" s="9"/>
      <c r="N3352" s="9"/>
      <c r="O3352" s="9"/>
      <c r="P3352" s="9"/>
      <c r="Q3352" s="9"/>
      <c r="R3352" s="9" t="str">
        <f aca="false">IF(AND(A3352&lt;&gt;"",ISNUMBER(Q3352),ISNUMBER(L3352)),ROUND(Q3352-IF(ISNUMBER(N3352),N3352,0)-IF(ISNUMBER(O3352),O3352,0)+IF(ISNUMBER(P3352),P3352,0),2),"")</f>
        <v/>
      </c>
      <c r="S3352" s="9" t="str">
        <f aca="false">IF(R3352="","",ROUND(L3352-R3352,2))</f>
        <v/>
      </c>
      <c r="T3352" s="8" t="str">
        <f aca="false">IF(A3352="","",IF(S3352="","BYPASS",IF(ABS(S3352)&lt;=Summary!$B$2,"PASS","FAIL")))</f>
        <v/>
      </c>
      <c r="U3352" s="8" t="str">
        <f aca="false">IF(T3352="BYPASS",IF(NOT(ISNUMBER(Q3352)),"PreV_ETB missing","End_tr_balance missing"),IF(T3352="FAIL",IF(AND(ISNUMBER(K3352),ISNUMBER(L3352),ABS(L3352-(K3352-IF(ISNUMBER(N3352),N3352,0)-IF(ISNUMBER(O3352),O3352,0)+IF(ISNUMBER(P3352),P3352,0)))&lt;=Summary!$B$2),"Passes using beginning_balance - PreV_ETB differs from beginning_balance",IF(AND(ISNUMBER(O3352),O3352&lt;0,ABS(L3352-(Q3352-IF(ISNUMBER(N3352),N3352,0)+IF(ISNUMBER(P3352),P3352,0)))&lt;=Summary!$B$2),"Negative realized loss not applied - check sign",IF(R3352&lt;0,"Principal paid exceeds prior balance",IF(AND(L3352&gt;Q3352,NOT(ISNUMBER(P3352))),"Balance increased but no Deferred_interest reported",IF(L3352&gt;R3352,"Reported balance higher than expected (missing increase/OC build)","Reported balance lower than expected (missing decrease)"))))),""))</f>
        <v/>
      </c>
    </row>
    <row r="3353" customFormat="false" ht="15" hidden="false" customHeight="false" outlineLevel="0" collapsed="false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9"/>
      <c r="L3353" s="9"/>
      <c r="M3353" s="9"/>
      <c r="N3353" s="9"/>
      <c r="O3353" s="9"/>
      <c r="P3353" s="9"/>
      <c r="Q3353" s="9"/>
      <c r="R3353" s="9" t="str">
        <f aca="false">IF(AND(A3353&lt;&gt;"",ISNUMBER(Q3353),ISNUMBER(L3353)),ROUND(Q3353-IF(ISNUMBER(N3353),N3353,0)-IF(ISNUMBER(O3353),O3353,0)+IF(ISNUMBER(P3353),P3353,0),2),"")</f>
        <v/>
      </c>
      <c r="S3353" s="9" t="str">
        <f aca="false">IF(R3353="","",ROUND(L3353-R3353,2))</f>
        <v/>
      </c>
      <c r="T3353" s="8" t="str">
        <f aca="false">IF(A3353="","",IF(S3353="","BYPASS",IF(ABS(S3353)&lt;=Summary!$B$2,"PASS","FAIL")))</f>
        <v/>
      </c>
      <c r="U3353" s="8" t="str">
        <f aca="false">IF(T3353="BYPASS",IF(NOT(ISNUMBER(Q3353)),"PreV_ETB missing","End_tr_balance missing"),IF(T3353="FAIL",IF(AND(ISNUMBER(K3353),ISNUMBER(L3353),ABS(L3353-(K3353-IF(ISNUMBER(N3353),N3353,0)-IF(ISNUMBER(O3353),O3353,0)+IF(ISNUMBER(P3353),P3353,0)))&lt;=Summary!$B$2),"Passes using beginning_balance - PreV_ETB differs from beginning_balance",IF(AND(ISNUMBER(O3353),O3353&lt;0,ABS(L3353-(Q3353-IF(ISNUMBER(N3353),N3353,0)+IF(ISNUMBER(P3353),P3353,0)))&lt;=Summary!$B$2),"Negative realized loss not applied - check sign",IF(R3353&lt;0,"Principal paid exceeds prior balance",IF(AND(L3353&gt;Q3353,NOT(ISNUMBER(P3353))),"Balance increased but no Deferred_interest reported",IF(L3353&gt;R3353,"Reported balance higher than expected (missing increase/OC build)","Reported balance lower than expected (missing decrease)"))))),""))</f>
        <v/>
      </c>
    </row>
    <row r="3354" customFormat="false" ht="15" hidden="false" customHeight="false" outlineLevel="0" collapsed="false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9"/>
      <c r="L3354" s="9"/>
      <c r="M3354" s="9"/>
      <c r="N3354" s="9"/>
      <c r="O3354" s="9"/>
      <c r="P3354" s="9"/>
      <c r="Q3354" s="9"/>
      <c r="R3354" s="9" t="str">
        <f aca="false">IF(AND(A3354&lt;&gt;"",ISNUMBER(Q3354),ISNUMBER(L3354)),ROUND(Q3354-IF(ISNUMBER(N3354),N3354,0)-IF(ISNUMBER(O3354),O3354,0)+IF(ISNUMBER(P3354),P3354,0),2),"")</f>
        <v/>
      </c>
      <c r="S3354" s="9" t="str">
        <f aca="false">IF(R3354="","",ROUND(L3354-R3354,2))</f>
        <v/>
      </c>
      <c r="T3354" s="8" t="str">
        <f aca="false">IF(A3354="","",IF(S3354="","BYPASS",IF(ABS(S3354)&lt;=Summary!$B$2,"PASS","FAIL")))</f>
        <v/>
      </c>
      <c r="U3354" s="8" t="str">
        <f aca="false">IF(T3354="BYPASS",IF(NOT(ISNUMBER(Q3354)),"PreV_ETB missing","End_tr_balance missing"),IF(T3354="FAIL",IF(AND(ISNUMBER(K3354),ISNUMBER(L3354),ABS(L3354-(K3354-IF(ISNUMBER(N3354),N3354,0)-IF(ISNUMBER(O3354),O3354,0)+IF(ISNUMBER(P3354),P3354,0)))&lt;=Summary!$B$2),"Passes using beginning_balance - PreV_ETB differs from beginning_balance",IF(AND(ISNUMBER(O3354),O3354&lt;0,ABS(L3354-(Q3354-IF(ISNUMBER(N3354),N3354,0)+IF(ISNUMBER(P3354),P3354,0)))&lt;=Summary!$B$2),"Negative realized loss not applied - check sign",IF(R3354&lt;0,"Principal paid exceeds prior balance",IF(AND(L3354&gt;Q3354,NOT(ISNUMBER(P3354))),"Balance increased but no Deferred_interest reported",IF(L3354&gt;R3354,"Reported balance higher than expected (missing increase/OC build)","Reported balance lower than expected (missing decrease)"))))),""))</f>
        <v/>
      </c>
    </row>
    <row r="3355" customFormat="false" ht="15" hidden="false" customHeight="false" outlineLevel="0" collapsed="false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9"/>
      <c r="L3355" s="9"/>
      <c r="M3355" s="9"/>
      <c r="N3355" s="9"/>
      <c r="O3355" s="9"/>
      <c r="P3355" s="9"/>
      <c r="Q3355" s="9"/>
      <c r="R3355" s="9" t="str">
        <f aca="false">IF(AND(A3355&lt;&gt;"",ISNUMBER(Q3355),ISNUMBER(L3355)),ROUND(Q3355-IF(ISNUMBER(N3355),N3355,0)-IF(ISNUMBER(O3355),O3355,0)+IF(ISNUMBER(P3355),P3355,0),2),"")</f>
        <v/>
      </c>
      <c r="S3355" s="9" t="str">
        <f aca="false">IF(R3355="","",ROUND(L3355-R3355,2))</f>
        <v/>
      </c>
      <c r="T3355" s="8" t="str">
        <f aca="false">IF(A3355="","",IF(S3355="","BYPASS",IF(ABS(S3355)&lt;=Summary!$B$2,"PASS","FAIL")))</f>
        <v/>
      </c>
      <c r="U3355" s="8" t="str">
        <f aca="false">IF(T3355="BYPASS",IF(NOT(ISNUMBER(Q3355)),"PreV_ETB missing","End_tr_balance missing"),IF(T3355="FAIL",IF(AND(ISNUMBER(K3355),ISNUMBER(L3355),ABS(L3355-(K3355-IF(ISNUMBER(N3355),N3355,0)-IF(ISNUMBER(O3355),O3355,0)+IF(ISNUMBER(P3355),P3355,0)))&lt;=Summary!$B$2),"Passes using beginning_balance - PreV_ETB differs from beginning_balance",IF(AND(ISNUMBER(O3355),O3355&lt;0,ABS(L3355-(Q3355-IF(ISNUMBER(N3355),N3355,0)+IF(ISNUMBER(P3355),P3355,0)))&lt;=Summary!$B$2),"Negative realized loss not applied - check sign",IF(R3355&lt;0,"Principal paid exceeds prior balance",IF(AND(L3355&gt;Q3355,NOT(ISNUMBER(P3355))),"Balance increased but no Deferred_interest reported",IF(L3355&gt;R3355,"Reported balance higher than expected (missing increase/OC build)","Reported balance lower than expected (missing decrease)"))))),""))</f>
        <v/>
      </c>
    </row>
    <row r="3356" customFormat="false" ht="15" hidden="false" customHeight="false" outlineLevel="0" collapsed="false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9"/>
      <c r="L3356" s="9"/>
      <c r="M3356" s="9"/>
      <c r="N3356" s="9"/>
      <c r="O3356" s="9"/>
      <c r="P3356" s="9"/>
      <c r="Q3356" s="9"/>
      <c r="R3356" s="9" t="str">
        <f aca="false">IF(AND(A3356&lt;&gt;"",ISNUMBER(Q3356),ISNUMBER(L3356)),ROUND(Q3356-IF(ISNUMBER(N3356),N3356,0)-IF(ISNUMBER(O3356),O3356,0)+IF(ISNUMBER(P3356),P3356,0),2),"")</f>
        <v/>
      </c>
      <c r="S3356" s="9" t="str">
        <f aca="false">IF(R3356="","",ROUND(L3356-R3356,2))</f>
        <v/>
      </c>
      <c r="T3356" s="8" t="str">
        <f aca="false">IF(A3356="","",IF(S3356="","BYPASS",IF(ABS(S3356)&lt;=Summary!$B$2,"PASS","FAIL")))</f>
        <v/>
      </c>
      <c r="U3356" s="8" t="str">
        <f aca="false">IF(T3356="BYPASS",IF(NOT(ISNUMBER(Q3356)),"PreV_ETB missing","End_tr_balance missing"),IF(T3356="FAIL",IF(AND(ISNUMBER(K3356),ISNUMBER(L3356),ABS(L3356-(K3356-IF(ISNUMBER(N3356),N3356,0)-IF(ISNUMBER(O3356),O3356,0)+IF(ISNUMBER(P3356),P3356,0)))&lt;=Summary!$B$2),"Passes using beginning_balance - PreV_ETB differs from beginning_balance",IF(AND(ISNUMBER(O3356),O3356&lt;0,ABS(L3356-(Q3356-IF(ISNUMBER(N3356),N3356,0)+IF(ISNUMBER(P3356),P3356,0)))&lt;=Summary!$B$2),"Negative realized loss not applied - check sign",IF(R3356&lt;0,"Principal paid exceeds prior balance",IF(AND(L3356&gt;Q3356,NOT(ISNUMBER(P3356))),"Balance increased but no Deferred_interest reported",IF(L3356&gt;R3356,"Reported balance higher than expected (missing increase/OC build)","Reported balance lower than expected (missing decrease)"))))),""))</f>
        <v/>
      </c>
    </row>
    <row r="3357" customFormat="false" ht="15" hidden="false" customHeight="false" outlineLevel="0" collapsed="false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9"/>
      <c r="L3357" s="9"/>
      <c r="M3357" s="9"/>
      <c r="N3357" s="9"/>
      <c r="O3357" s="9"/>
      <c r="P3357" s="9"/>
      <c r="Q3357" s="9"/>
      <c r="R3357" s="9" t="str">
        <f aca="false">IF(AND(A3357&lt;&gt;"",ISNUMBER(Q3357),ISNUMBER(L3357)),ROUND(Q3357-IF(ISNUMBER(N3357),N3357,0)-IF(ISNUMBER(O3357),O3357,0)+IF(ISNUMBER(P3357),P3357,0),2),"")</f>
        <v/>
      </c>
      <c r="S3357" s="9" t="str">
        <f aca="false">IF(R3357="","",ROUND(L3357-R3357,2))</f>
        <v/>
      </c>
      <c r="T3357" s="8" t="str">
        <f aca="false">IF(A3357="","",IF(S3357="","BYPASS",IF(ABS(S3357)&lt;=Summary!$B$2,"PASS","FAIL")))</f>
        <v/>
      </c>
      <c r="U3357" s="8" t="str">
        <f aca="false">IF(T3357="BYPASS",IF(NOT(ISNUMBER(Q3357)),"PreV_ETB missing","End_tr_balance missing"),IF(T3357="FAIL",IF(AND(ISNUMBER(K3357),ISNUMBER(L3357),ABS(L3357-(K3357-IF(ISNUMBER(N3357),N3357,0)-IF(ISNUMBER(O3357),O3357,0)+IF(ISNUMBER(P3357),P3357,0)))&lt;=Summary!$B$2),"Passes using beginning_balance - PreV_ETB differs from beginning_balance",IF(AND(ISNUMBER(O3357),O3357&lt;0,ABS(L3357-(Q3357-IF(ISNUMBER(N3357),N3357,0)+IF(ISNUMBER(P3357),P3357,0)))&lt;=Summary!$B$2),"Negative realized loss not applied - check sign",IF(R3357&lt;0,"Principal paid exceeds prior balance",IF(AND(L3357&gt;Q3357,NOT(ISNUMBER(P3357))),"Balance increased but no Deferred_interest reported",IF(L3357&gt;R3357,"Reported balance higher than expected (missing increase/OC build)","Reported balance lower than expected (missing decrease)"))))),""))</f>
        <v/>
      </c>
    </row>
    <row r="3358" customFormat="false" ht="15" hidden="false" customHeight="false" outlineLevel="0" collapsed="false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9"/>
      <c r="L3358" s="9"/>
      <c r="M3358" s="9"/>
      <c r="N3358" s="9"/>
      <c r="O3358" s="9"/>
      <c r="P3358" s="9"/>
      <c r="Q3358" s="9"/>
      <c r="R3358" s="9" t="str">
        <f aca="false">IF(AND(A3358&lt;&gt;"",ISNUMBER(Q3358),ISNUMBER(L3358)),ROUND(Q3358-IF(ISNUMBER(N3358),N3358,0)-IF(ISNUMBER(O3358),O3358,0)+IF(ISNUMBER(P3358),P3358,0),2),"")</f>
        <v/>
      </c>
      <c r="S3358" s="9" t="str">
        <f aca="false">IF(R3358="","",ROUND(L3358-R3358,2))</f>
        <v/>
      </c>
      <c r="T3358" s="8" t="str">
        <f aca="false">IF(A3358="","",IF(S3358="","BYPASS",IF(ABS(S3358)&lt;=Summary!$B$2,"PASS","FAIL")))</f>
        <v/>
      </c>
      <c r="U3358" s="8" t="str">
        <f aca="false">IF(T3358="BYPASS",IF(NOT(ISNUMBER(Q3358)),"PreV_ETB missing","End_tr_balance missing"),IF(T3358="FAIL",IF(AND(ISNUMBER(K3358),ISNUMBER(L3358),ABS(L3358-(K3358-IF(ISNUMBER(N3358),N3358,0)-IF(ISNUMBER(O3358),O3358,0)+IF(ISNUMBER(P3358),P3358,0)))&lt;=Summary!$B$2),"Passes using beginning_balance - PreV_ETB differs from beginning_balance",IF(AND(ISNUMBER(O3358),O3358&lt;0,ABS(L3358-(Q3358-IF(ISNUMBER(N3358),N3358,0)+IF(ISNUMBER(P3358),P3358,0)))&lt;=Summary!$B$2),"Negative realized loss not applied - check sign",IF(R3358&lt;0,"Principal paid exceeds prior balance",IF(AND(L3358&gt;Q3358,NOT(ISNUMBER(P3358))),"Balance increased but no Deferred_interest reported",IF(L3358&gt;R3358,"Reported balance higher than expected (missing increase/OC build)","Reported balance lower than expected (missing decrease)"))))),""))</f>
        <v/>
      </c>
    </row>
    <row r="3359" customFormat="false" ht="15" hidden="false" customHeight="false" outlineLevel="0" collapsed="false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9"/>
      <c r="L3359" s="9"/>
      <c r="M3359" s="9"/>
      <c r="N3359" s="9"/>
      <c r="O3359" s="9"/>
      <c r="P3359" s="9"/>
      <c r="Q3359" s="9"/>
      <c r="R3359" s="9" t="str">
        <f aca="false">IF(AND(A3359&lt;&gt;"",ISNUMBER(Q3359),ISNUMBER(L3359)),ROUND(Q3359-IF(ISNUMBER(N3359),N3359,0)-IF(ISNUMBER(O3359),O3359,0)+IF(ISNUMBER(P3359),P3359,0),2),"")</f>
        <v/>
      </c>
      <c r="S3359" s="9" t="str">
        <f aca="false">IF(R3359="","",ROUND(L3359-R3359,2))</f>
        <v/>
      </c>
      <c r="T3359" s="8" t="str">
        <f aca="false">IF(A3359="","",IF(S3359="","BYPASS",IF(ABS(S3359)&lt;=Summary!$B$2,"PASS","FAIL")))</f>
        <v/>
      </c>
      <c r="U3359" s="8" t="str">
        <f aca="false">IF(T3359="BYPASS",IF(NOT(ISNUMBER(Q3359)),"PreV_ETB missing","End_tr_balance missing"),IF(T3359="FAIL",IF(AND(ISNUMBER(K3359),ISNUMBER(L3359),ABS(L3359-(K3359-IF(ISNUMBER(N3359),N3359,0)-IF(ISNUMBER(O3359),O3359,0)+IF(ISNUMBER(P3359),P3359,0)))&lt;=Summary!$B$2),"Passes using beginning_balance - PreV_ETB differs from beginning_balance",IF(AND(ISNUMBER(O3359),O3359&lt;0,ABS(L3359-(Q3359-IF(ISNUMBER(N3359),N3359,0)+IF(ISNUMBER(P3359),P3359,0)))&lt;=Summary!$B$2),"Negative realized loss not applied - check sign",IF(R3359&lt;0,"Principal paid exceeds prior balance",IF(AND(L3359&gt;Q3359,NOT(ISNUMBER(P3359))),"Balance increased but no Deferred_interest reported",IF(L3359&gt;R3359,"Reported balance higher than expected (missing increase/OC build)","Reported balance lower than expected (missing decrease)"))))),""))</f>
        <v/>
      </c>
    </row>
    <row r="3360" customFormat="false" ht="15" hidden="false" customHeight="false" outlineLevel="0" collapsed="false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9"/>
      <c r="L3360" s="9"/>
      <c r="M3360" s="9"/>
      <c r="N3360" s="9"/>
      <c r="O3360" s="9"/>
      <c r="P3360" s="9"/>
      <c r="Q3360" s="9"/>
      <c r="R3360" s="9" t="str">
        <f aca="false">IF(AND(A3360&lt;&gt;"",ISNUMBER(Q3360),ISNUMBER(L3360)),ROUND(Q3360-IF(ISNUMBER(N3360),N3360,0)-IF(ISNUMBER(O3360),O3360,0)+IF(ISNUMBER(P3360),P3360,0),2),"")</f>
        <v/>
      </c>
      <c r="S3360" s="9" t="str">
        <f aca="false">IF(R3360="","",ROUND(L3360-R3360,2))</f>
        <v/>
      </c>
      <c r="T3360" s="8" t="str">
        <f aca="false">IF(A3360="","",IF(S3360="","BYPASS",IF(ABS(S3360)&lt;=Summary!$B$2,"PASS","FAIL")))</f>
        <v/>
      </c>
      <c r="U3360" s="8" t="str">
        <f aca="false">IF(T3360="BYPASS",IF(NOT(ISNUMBER(Q3360)),"PreV_ETB missing","End_tr_balance missing"),IF(T3360="FAIL",IF(AND(ISNUMBER(K3360),ISNUMBER(L3360),ABS(L3360-(K3360-IF(ISNUMBER(N3360),N3360,0)-IF(ISNUMBER(O3360),O3360,0)+IF(ISNUMBER(P3360),P3360,0)))&lt;=Summary!$B$2),"Passes using beginning_balance - PreV_ETB differs from beginning_balance",IF(AND(ISNUMBER(O3360),O3360&lt;0,ABS(L3360-(Q3360-IF(ISNUMBER(N3360),N3360,0)+IF(ISNUMBER(P3360),P3360,0)))&lt;=Summary!$B$2),"Negative realized loss not applied - check sign",IF(R3360&lt;0,"Principal paid exceeds prior balance",IF(AND(L3360&gt;Q3360,NOT(ISNUMBER(P3360))),"Balance increased but no Deferred_interest reported",IF(L3360&gt;R3360,"Reported balance higher than expected (missing increase/OC build)","Reported balance lower than expected (missing decrease)"))))),""))</f>
        <v/>
      </c>
    </row>
    <row r="3361" customFormat="false" ht="15" hidden="false" customHeight="false" outlineLevel="0" collapsed="false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9"/>
      <c r="L3361" s="9"/>
      <c r="M3361" s="9"/>
      <c r="N3361" s="9"/>
      <c r="O3361" s="9"/>
      <c r="P3361" s="9"/>
      <c r="Q3361" s="9"/>
      <c r="R3361" s="9" t="str">
        <f aca="false">IF(AND(A3361&lt;&gt;"",ISNUMBER(Q3361),ISNUMBER(L3361)),ROUND(Q3361-IF(ISNUMBER(N3361),N3361,0)-IF(ISNUMBER(O3361),O3361,0)+IF(ISNUMBER(P3361),P3361,0),2),"")</f>
        <v/>
      </c>
      <c r="S3361" s="9" t="str">
        <f aca="false">IF(R3361="","",ROUND(L3361-R3361,2))</f>
        <v/>
      </c>
      <c r="T3361" s="8" t="str">
        <f aca="false">IF(A3361="","",IF(S3361="","BYPASS",IF(ABS(S3361)&lt;=Summary!$B$2,"PASS","FAIL")))</f>
        <v/>
      </c>
      <c r="U3361" s="8" t="str">
        <f aca="false">IF(T3361="BYPASS",IF(NOT(ISNUMBER(Q3361)),"PreV_ETB missing","End_tr_balance missing"),IF(T3361="FAIL",IF(AND(ISNUMBER(K3361),ISNUMBER(L3361),ABS(L3361-(K3361-IF(ISNUMBER(N3361),N3361,0)-IF(ISNUMBER(O3361),O3361,0)+IF(ISNUMBER(P3361),P3361,0)))&lt;=Summary!$B$2),"Passes using beginning_balance - PreV_ETB differs from beginning_balance",IF(AND(ISNUMBER(O3361),O3361&lt;0,ABS(L3361-(Q3361-IF(ISNUMBER(N3361),N3361,0)+IF(ISNUMBER(P3361),P3361,0)))&lt;=Summary!$B$2),"Negative realized loss not applied - check sign",IF(R3361&lt;0,"Principal paid exceeds prior balance",IF(AND(L3361&gt;Q3361,NOT(ISNUMBER(P3361))),"Balance increased but no Deferred_interest reported",IF(L3361&gt;R3361,"Reported balance higher than expected (missing increase/OC build)","Reported balance lower than expected (missing decrease)"))))),""))</f>
        <v/>
      </c>
    </row>
    <row r="3362" customFormat="false" ht="15" hidden="false" customHeight="false" outlineLevel="0" collapsed="false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9"/>
      <c r="L3362" s="9"/>
      <c r="M3362" s="9"/>
      <c r="N3362" s="9"/>
      <c r="O3362" s="9"/>
      <c r="P3362" s="9"/>
      <c r="Q3362" s="9"/>
      <c r="R3362" s="9" t="str">
        <f aca="false">IF(AND(A3362&lt;&gt;"",ISNUMBER(Q3362),ISNUMBER(L3362)),ROUND(Q3362-IF(ISNUMBER(N3362),N3362,0)-IF(ISNUMBER(O3362),O3362,0)+IF(ISNUMBER(P3362),P3362,0),2),"")</f>
        <v/>
      </c>
      <c r="S3362" s="9" t="str">
        <f aca="false">IF(R3362="","",ROUND(L3362-R3362,2))</f>
        <v/>
      </c>
      <c r="T3362" s="8" t="str">
        <f aca="false">IF(A3362="","",IF(S3362="","BYPASS",IF(ABS(S3362)&lt;=Summary!$B$2,"PASS","FAIL")))</f>
        <v/>
      </c>
      <c r="U3362" s="8" t="str">
        <f aca="false">IF(T3362="BYPASS",IF(NOT(ISNUMBER(Q3362)),"PreV_ETB missing","End_tr_balance missing"),IF(T3362="FAIL",IF(AND(ISNUMBER(K3362),ISNUMBER(L3362),ABS(L3362-(K3362-IF(ISNUMBER(N3362),N3362,0)-IF(ISNUMBER(O3362),O3362,0)+IF(ISNUMBER(P3362),P3362,0)))&lt;=Summary!$B$2),"Passes using beginning_balance - PreV_ETB differs from beginning_balance",IF(AND(ISNUMBER(O3362),O3362&lt;0,ABS(L3362-(Q3362-IF(ISNUMBER(N3362),N3362,0)+IF(ISNUMBER(P3362),P3362,0)))&lt;=Summary!$B$2),"Negative realized loss not applied - check sign",IF(R3362&lt;0,"Principal paid exceeds prior balance",IF(AND(L3362&gt;Q3362,NOT(ISNUMBER(P3362))),"Balance increased but no Deferred_interest reported",IF(L3362&gt;R3362,"Reported balance higher than expected (missing increase/OC build)","Reported balance lower than expected (missing decrease)"))))),""))</f>
        <v/>
      </c>
    </row>
    <row r="3363" customFormat="false" ht="15" hidden="false" customHeight="false" outlineLevel="0" collapsed="false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9"/>
      <c r="L3363" s="9"/>
      <c r="M3363" s="9"/>
      <c r="N3363" s="9"/>
      <c r="O3363" s="9"/>
      <c r="P3363" s="9"/>
      <c r="Q3363" s="9"/>
      <c r="R3363" s="9" t="str">
        <f aca="false">IF(AND(A3363&lt;&gt;"",ISNUMBER(Q3363),ISNUMBER(L3363)),ROUND(Q3363-IF(ISNUMBER(N3363),N3363,0)-IF(ISNUMBER(O3363),O3363,0)+IF(ISNUMBER(P3363),P3363,0),2),"")</f>
        <v/>
      </c>
      <c r="S3363" s="9" t="str">
        <f aca="false">IF(R3363="","",ROUND(L3363-R3363,2))</f>
        <v/>
      </c>
      <c r="T3363" s="8" t="str">
        <f aca="false">IF(A3363="","",IF(S3363="","BYPASS",IF(ABS(S3363)&lt;=Summary!$B$2,"PASS","FAIL")))</f>
        <v/>
      </c>
      <c r="U3363" s="8" t="str">
        <f aca="false">IF(T3363="BYPASS",IF(NOT(ISNUMBER(Q3363)),"PreV_ETB missing","End_tr_balance missing"),IF(T3363="FAIL",IF(AND(ISNUMBER(K3363),ISNUMBER(L3363),ABS(L3363-(K3363-IF(ISNUMBER(N3363),N3363,0)-IF(ISNUMBER(O3363),O3363,0)+IF(ISNUMBER(P3363),P3363,0)))&lt;=Summary!$B$2),"Passes using beginning_balance - PreV_ETB differs from beginning_balance",IF(AND(ISNUMBER(O3363),O3363&lt;0,ABS(L3363-(Q3363-IF(ISNUMBER(N3363),N3363,0)+IF(ISNUMBER(P3363),P3363,0)))&lt;=Summary!$B$2),"Negative realized loss not applied - check sign",IF(R3363&lt;0,"Principal paid exceeds prior balance",IF(AND(L3363&gt;Q3363,NOT(ISNUMBER(P3363))),"Balance increased but no Deferred_interest reported",IF(L3363&gt;R3363,"Reported balance higher than expected (missing increase/OC build)","Reported balance lower than expected (missing decrease)"))))),""))</f>
        <v/>
      </c>
    </row>
    <row r="3364" customFormat="false" ht="15" hidden="false" customHeight="false" outlineLevel="0" collapsed="false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9"/>
      <c r="L3364" s="9"/>
      <c r="M3364" s="9"/>
      <c r="N3364" s="9"/>
      <c r="O3364" s="9"/>
      <c r="P3364" s="9"/>
      <c r="Q3364" s="9"/>
      <c r="R3364" s="9" t="str">
        <f aca="false">IF(AND(A3364&lt;&gt;"",ISNUMBER(Q3364),ISNUMBER(L3364)),ROUND(Q3364-IF(ISNUMBER(N3364),N3364,0)-IF(ISNUMBER(O3364),O3364,0)+IF(ISNUMBER(P3364),P3364,0),2),"")</f>
        <v/>
      </c>
      <c r="S3364" s="9" t="str">
        <f aca="false">IF(R3364="","",ROUND(L3364-R3364,2))</f>
        <v/>
      </c>
      <c r="T3364" s="8" t="str">
        <f aca="false">IF(A3364="","",IF(S3364="","BYPASS",IF(ABS(S3364)&lt;=Summary!$B$2,"PASS","FAIL")))</f>
        <v/>
      </c>
      <c r="U3364" s="8" t="str">
        <f aca="false">IF(T3364="BYPASS",IF(NOT(ISNUMBER(Q3364)),"PreV_ETB missing","End_tr_balance missing"),IF(T3364="FAIL",IF(AND(ISNUMBER(K3364),ISNUMBER(L3364),ABS(L3364-(K3364-IF(ISNUMBER(N3364),N3364,0)-IF(ISNUMBER(O3364),O3364,0)+IF(ISNUMBER(P3364),P3364,0)))&lt;=Summary!$B$2),"Passes using beginning_balance - PreV_ETB differs from beginning_balance",IF(AND(ISNUMBER(O3364),O3364&lt;0,ABS(L3364-(Q3364-IF(ISNUMBER(N3364),N3364,0)+IF(ISNUMBER(P3364),P3364,0)))&lt;=Summary!$B$2),"Negative realized loss not applied - check sign",IF(R3364&lt;0,"Principal paid exceeds prior balance",IF(AND(L3364&gt;Q3364,NOT(ISNUMBER(P3364))),"Balance increased but no Deferred_interest reported",IF(L3364&gt;R3364,"Reported balance higher than expected (missing increase/OC build)","Reported balance lower than expected (missing decrease)"))))),""))</f>
        <v/>
      </c>
    </row>
    <row r="3365" customFormat="false" ht="15" hidden="false" customHeight="false" outlineLevel="0" collapsed="false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9"/>
      <c r="L3365" s="9"/>
      <c r="M3365" s="9"/>
      <c r="N3365" s="9"/>
      <c r="O3365" s="9"/>
      <c r="P3365" s="9"/>
      <c r="Q3365" s="9"/>
      <c r="R3365" s="9" t="str">
        <f aca="false">IF(AND(A3365&lt;&gt;"",ISNUMBER(Q3365),ISNUMBER(L3365)),ROUND(Q3365-IF(ISNUMBER(N3365),N3365,0)-IF(ISNUMBER(O3365),O3365,0)+IF(ISNUMBER(P3365),P3365,0),2),"")</f>
        <v/>
      </c>
      <c r="S3365" s="9" t="str">
        <f aca="false">IF(R3365="","",ROUND(L3365-R3365,2))</f>
        <v/>
      </c>
      <c r="T3365" s="8" t="str">
        <f aca="false">IF(A3365="","",IF(S3365="","BYPASS",IF(ABS(S3365)&lt;=Summary!$B$2,"PASS","FAIL")))</f>
        <v/>
      </c>
      <c r="U3365" s="8" t="str">
        <f aca="false">IF(T3365="BYPASS",IF(NOT(ISNUMBER(Q3365)),"PreV_ETB missing","End_tr_balance missing"),IF(T3365="FAIL",IF(AND(ISNUMBER(K3365),ISNUMBER(L3365),ABS(L3365-(K3365-IF(ISNUMBER(N3365),N3365,0)-IF(ISNUMBER(O3365),O3365,0)+IF(ISNUMBER(P3365),P3365,0)))&lt;=Summary!$B$2),"Passes using beginning_balance - PreV_ETB differs from beginning_balance",IF(AND(ISNUMBER(O3365),O3365&lt;0,ABS(L3365-(Q3365-IF(ISNUMBER(N3365),N3365,0)+IF(ISNUMBER(P3365),P3365,0)))&lt;=Summary!$B$2),"Negative realized loss not applied - check sign",IF(R3365&lt;0,"Principal paid exceeds prior balance",IF(AND(L3365&gt;Q3365,NOT(ISNUMBER(P3365))),"Balance increased but no Deferred_interest reported",IF(L3365&gt;R3365,"Reported balance higher than expected (missing increase/OC build)","Reported balance lower than expected (missing decrease)"))))),""))</f>
        <v/>
      </c>
    </row>
    <row r="3366" customFormat="false" ht="15" hidden="false" customHeight="false" outlineLevel="0" collapsed="false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9"/>
      <c r="L3366" s="9"/>
      <c r="M3366" s="9"/>
      <c r="N3366" s="9"/>
      <c r="O3366" s="9"/>
      <c r="P3366" s="9"/>
      <c r="Q3366" s="9"/>
      <c r="R3366" s="9" t="str">
        <f aca="false">IF(AND(A3366&lt;&gt;"",ISNUMBER(Q3366),ISNUMBER(L3366)),ROUND(Q3366-IF(ISNUMBER(N3366),N3366,0)-IF(ISNUMBER(O3366),O3366,0)+IF(ISNUMBER(P3366),P3366,0),2),"")</f>
        <v/>
      </c>
      <c r="S3366" s="9" t="str">
        <f aca="false">IF(R3366="","",ROUND(L3366-R3366,2))</f>
        <v/>
      </c>
      <c r="T3366" s="8" t="str">
        <f aca="false">IF(A3366="","",IF(S3366="","BYPASS",IF(ABS(S3366)&lt;=Summary!$B$2,"PASS","FAIL")))</f>
        <v/>
      </c>
      <c r="U3366" s="8" t="str">
        <f aca="false">IF(T3366="BYPASS",IF(NOT(ISNUMBER(Q3366)),"PreV_ETB missing","End_tr_balance missing"),IF(T3366="FAIL",IF(AND(ISNUMBER(K3366),ISNUMBER(L3366),ABS(L3366-(K3366-IF(ISNUMBER(N3366),N3366,0)-IF(ISNUMBER(O3366),O3366,0)+IF(ISNUMBER(P3366),P3366,0)))&lt;=Summary!$B$2),"Passes using beginning_balance - PreV_ETB differs from beginning_balance",IF(AND(ISNUMBER(O3366),O3366&lt;0,ABS(L3366-(Q3366-IF(ISNUMBER(N3366),N3366,0)+IF(ISNUMBER(P3366),P3366,0)))&lt;=Summary!$B$2),"Negative realized loss not applied - check sign",IF(R3366&lt;0,"Principal paid exceeds prior balance",IF(AND(L3366&gt;Q3366,NOT(ISNUMBER(P3366))),"Balance increased but no Deferred_interest reported",IF(L3366&gt;R3366,"Reported balance higher than expected (missing increase/OC build)","Reported balance lower than expected (missing decrease)"))))),""))</f>
        <v/>
      </c>
    </row>
    <row r="3367" customFormat="false" ht="15" hidden="false" customHeight="false" outlineLevel="0" collapsed="false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9"/>
      <c r="L3367" s="9"/>
      <c r="M3367" s="9"/>
      <c r="N3367" s="9"/>
      <c r="O3367" s="9"/>
      <c r="P3367" s="9"/>
      <c r="Q3367" s="9"/>
      <c r="R3367" s="9" t="str">
        <f aca="false">IF(AND(A3367&lt;&gt;"",ISNUMBER(Q3367),ISNUMBER(L3367)),ROUND(Q3367-IF(ISNUMBER(N3367),N3367,0)-IF(ISNUMBER(O3367),O3367,0)+IF(ISNUMBER(P3367),P3367,0),2),"")</f>
        <v/>
      </c>
      <c r="S3367" s="9" t="str">
        <f aca="false">IF(R3367="","",ROUND(L3367-R3367,2))</f>
        <v/>
      </c>
      <c r="T3367" s="8" t="str">
        <f aca="false">IF(A3367="","",IF(S3367="","BYPASS",IF(ABS(S3367)&lt;=Summary!$B$2,"PASS","FAIL")))</f>
        <v/>
      </c>
      <c r="U3367" s="8" t="str">
        <f aca="false">IF(T3367="BYPASS",IF(NOT(ISNUMBER(Q3367)),"PreV_ETB missing","End_tr_balance missing"),IF(T3367="FAIL",IF(AND(ISNUMBER(K3367),ISNUMBER(L3367),ABS(L3367-(K3367-IF(ISNUMBER(N3367),N3367,0)-IF(ISNUMBER(O3367),O3367,0)+IF(ISNUMBER(P3367),P3367,0)))&lt;=Summary!$B$2),"Passes using beginning_balance - PreV_ETB differs from beginning_balance",IF(AND(ISNUMBER(O3367),O3367&lt;0,ABS(L3367-(Q3367-IF(ISNUMBER(N3367),N3367,0)+IF(ISNUMBER(P3367),P3367,0)))&lt;=Summary!$B$2),"Negative realized loss not applied - check sign",IF(R3367&lt;0,"Principal paid exceeds prior balance",IF(AND(L3367&gt;Q3367,NOT(ISNUMBER(P3367))),"Balance increased but no Deferred_interest reported",IF(L3367&gt;R3367,"Reported balance higher than expected (missing increase/OC build)","Reported balance lower than expected (missing decrease)"))))),""))</f>
        <v/>
      </c>
    </row>
    <row r="3368" customFormat="false" ht="15" hidden="false" customHeight="false" outlineLevel="0" collapsed="false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9"/>
      <c r="L3368" s="9"/>
      <c r="M3368" s="9"/>
      <c r="N3368" s="9"/>
      <c r="O3368" s="9"/>
      <c r="P3368" s="9"/>
      <c r="Q3368" s="9"/>
      <c r="R3368" s="9" t="str">
        <f aca="false">IF(AND(A3368&lt;&gt;"",ISNUMBER(Q3368),ISNUMBER(L3368)),ROUND(Q3368-IF(ISNUMBER(N3368),N3368,0)-IF(ISNUMBER(O3368),O3368,0)+IF(ISNUMBER(P3368),P3368,0),2),"")</f>
        <v/>
      </c>
      <c r="S3368" s="9" t="str">
        <f aca="false">IF(R3368="","",ROUND(L3368-R3368,2))</f>
        <v/>
      </c>
      <c r="T3368" s="8" t="str">
        <f aca="false">IF(A3368="","",IF(S3368="","BYPASS",IF(ABS(S3368)&lt;=Summary!$B$2,"PASS","FAIL")))</f>
        <v/>
      </c>
      <c r="U3368" s="8" t="str">
        <f aca="false">IF(T3368="BYPASS",IF(NOT(ISNUMBER(Q3368)),"PreV_ETB missing","End_tr_balance missing"),IF(T3368="FAIL",IF(AND(ISNUMBER(K3368),ISNUMBER(L3368),ABS(L3368-(K3368-IF(ISNUMBER(N3368),N3368,0)-IF(ISNUMBER(O3368),O3368,0)+IF(ISNUMBER(P3368),P3368,0)))&lt;=Summary!$B$2),"Passes using beginning_balance - PreV_ETB differs from beginning_balance",IF(AND(ISNUMBER(O3368),O3368&lt;0,ABS(L3368-(Q3368-IF(ISNUMBER(N3368),N3368,0)+IF(ISNUMBER(P3368),P3368,0)))&lt;=Summary!$B$2),"Negative realized loss not applied - check sign",IF(R3368&lt;0,"Principal paid exceeds prior balance",IF(AND(L3368&gt;Q3368,NOT(ISNUMBER(P3368))),"Balance increased but no Deferred_interest reported",IF(L3368&gt;R3368,"Reported balance higher than expected (missing increase/OC build)","Reported balance lower than expected (missing decrease)"))))),""))</f>
        <v/>
      </c>
    </row>
    <row r="3369" customFormat="false" ht="15" hidden="false" customHeight="false" outlineLevel="0" collapsed="false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9"/>
      <c r="L3369" s="9"/>
      <c r="M3369" s="9"/>
      <c r="N3369" s="9"/>
      <c r="O3369" s="9"/>
      <c r="P3369" s="9"/>
      <c r="Q3369" s="9"/>
      <c r="R3369" s="9" t="str">
        <f aca="false">IF(AND(A3369&lt;&gt;"",ISNUMBER(Q3369),ISNUMBER(L3369)),ROUND(Q3369-IF(ISNUMBER(N3369),N3369,0)-IF(ISNUMBER(O3369),O3369,0)+IF(ISNUMBER(P3369),P3369,0),2),"")</f>
        <v/>
      </c>
      <c r="S3369" s="9" t="str">
        <f aca="false">IF(R3369="","",ROUND(L3369-R3369,2))</f>
        <v/>
      </c>
      <c r="T3369" s="8" t="str">
        <f aca="false">IF(A3369="","",IF(S3369="","BYPASS",IF(ABS(S3369)&lt;=Summary!$B$2,"PASS","FAIL")))</f>
        <v/>
      </c>
      <c r="U3369" s="8" t="str">
        <f aca="false">IF(T3369="BYPASS",IF(NOT(ISNUMBER(Q3369)),"PreV_ETB missing","End_tr_balance missing"),IF(T3369="FAIL",IF(AND(ISNUMBER(K3369),ISNUMBER(L3369),ABS(L3369-(K3369-IF(ISNUMBER(N3369),N3369,0)-IF(ISNUMBER(O3369),O3369,0)+IF(ISNUMBER(P3369),P3369,0)))&lt;=Summary!$B$2),"Passes using beginning_balance - PreV_ETB differs from beginning_balance",IF(AND(ISNUMBER(O3369),O3369&lt;0,ABS(L3369-(Q3369-IF(ISNUMBER(N3369),N3369,0)+IF(ISNUMBER(P3369),P3369,0)))&lt;=Summary!$B$2),"Negative realized loss not applied - check sign",IF(R3369&lt;0,"Principal paid exceeds prior balance",IF(AND(L3369&gt;Q3369,NOT(ISNUMBER(P3369))),"Balance increased but no Deferred_interest reported",IF(L3369&gt;R3369,"Reported balance higher than expected (missing increase/OC build)","Reported balance lower than expected (missing decrease)"))))),""))</f>
        <v/>
      </c>
    </row>
    <row r="3370" customFormat="false" ht="15" hidden="false" customHeight="false" outlineLevel="0" collapsed="false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9"/>
      <c r="L3370" s="9"/>
      <c r="M3370" s="9"/>
      <c r="N3370" s="9"/>
      <c r="O3370" s="9"/>
      <c r="P3370" s="9"/>
      <c r="Q3370" s="9"/>
      <c r="R3370" s="9" t="str">
        <f aca="false">IF(AND(A3370&lt;&gt;"",ISNUMBER(Q3370),ISNUMBER(L3370)),ROUND(Q3370-IF(ISNUMBER(N3370),N3370,0)-IF(ISNUMBER(O3370),O3370,0)+IF(ISNUMBER(P3370),P3370,0),2),"")</f>
        <v/>
      </c>
      <c r="S3370" s="9" t="str">
        <f aca="false">IF(R3370="","",ROUND(L3370-R3370,2))</f>
        <v/>
      </c>
      <c r="T3370" s="8" t="str">
        <f aca="false">IF(A3370="","",IF(S3370="","BYPASS",IF(ABS(S3370)&lt;=Summary!$B$2,"PASS","FAIL")))</f>
        <v/>
      </c>
      <c r="U3370" s="8" t="str">
        <f aca="false">IF(T3370="BYPASS",IF(NOT(ISNUMBER(Q3370)),"PreV_ETB missing","End_tr_balance missing"),IF(T3370="FAIL",IF(AND(ISNUMBER(K3370),ISNUMBER(L3370),ABS(L3370-(K3370-IF(ISNUMBER(N3370),N3370,0)-IF(ISNUMBER(O3370),O3370,0)+IF(ISNUMBER(P3370),P3370,0)))&lt;=Summary!$B$2),"Passes using beginning_balance - PreV_ETB differs from beginning_balance",IF(AND(ISNUMBER(O3370),O3370&lt;0,ABS(L3370-(Q3370-IF(ISNUMBER(N3370),N3370,0)+IF(ISNUMBER(P3370),P3370,0)))&lt;=Summary!$B$2),"Negative realized loss not applied - check sign",IF(R3370&lt;0,"Principal paid exceeds prior balance",IF(AND(L3370&gt;Q3370,NOT(ISNUMBER(P3370))),"Balance increased but no Deferred_interest reported",IF(L3370&gt;R3370,"Reported balance higher than expected (missing increase/OC build)","Reported balance lower than expected (missing decrease)"))))),""))</f>
        <v/>
      </c>
    </row>
    <row r="3371" customFormat="false" ht="15" hidden="false" customHeight="false" outlineLevel="0" collapsed="false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9"/>
      <c r="L3371" s="9"/>
      <c r="M3371" s="9"/>
      <c r="N3371" s="9"/>
      <c r="O3371" s="9"/>
      <c r="P3371" s="9"/>
      <c r="Q3371" s="9"/>
      <c r="R3371" s="9" t="str">
        <f aca="false">IF(AND(A3371&lt;&gt;"",ISNUMBER(Q3371),ISNUMBER(L3371)),ROUND(Q3371-IF(ISNUMBER(N3371),N3371,0)-IF(ISNUMBER(O3371),O3371,0)+IF(ISNUMBER(P3371),P3371,0),2),"")</f>
        <v/>
      </c>
      <c r="S3371" s="9" t="str">
        <f aca="false">IF(R3371="","",ROUND(L3371-R3371,2))</f>
        <v/>
      </c>
      <c r="T3371" s="8" t="str">
        <f aca="false">IF(A3371="","",IF(S3371="","BYPASS",IF(ABS(S3371)&lt;=Summary!$B$2,"PASS","FAIL")))</f>
        <v/>
      </c>
      <c r="U3371" s="8" t="str">
        <f aca="false">IF(T3371="BYPASS",IF(NOT(ISNUMBER(Q3371)),"PreV_ETB missing","End_tr_balance missing"),IF(T3371="FAIL",IF(AND(ISNUMBER(K3371),ISNUMBER(L3371),ABS(L3371-(K3371-IF(ISNUMBER(N3371),N3371,0)-IF(ISNUMBER(O3371),O3371,0)+IF(ISNUMBER(P3371),P3371,0)))&lt;=Summary!$B$2),"Passes using beginning_balance - PreV_ETB differs from beginning_balance",IF(AND(ISNUMBER(O3371),O3371&lt;0,ABS(L3371-(Q3371-IF(ISNUMBER(N3371),N3371,0)+IF(ISNUMBER(P3371),P3371,0)))&lt;=Summary!$B$2),"Negative realized loss not applied - check sign",IF(R3371&lt;0,"Principal paid exceeds prior balance",IF(AND(L3371&gt;Q3371,NOT(ISNUMBER(P3371))),"Balance increased but no Deferred_interest reported",IF(L3371&gt;R3371,"Reported balance higher than expected (missing increase/OC build)","Reported balance lower than expected (missing decrease)"))))),""))</f>
        <v/>
      </c>
    </row>
    <row r="3372" customFormat="false" ht="15" hidden="false" customHeight="false" outlineLevel="0" collapsed="false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9"/>
      <c r="L3372" s="9"/>
      <c r="M3372" s="9"/>
      <c r="N3372" s="9"/>
      <c r="O3372" s="9"/>
      <c r="P3372" s="9"/>
      <c r="Q3372" s="9"/>
      <c r="R3372" s="9" t="str">
        <f aca="false">IF(AND(A3372&lt;&gt;"",ISNUMBER(Q3372),ISNUMBER(L3372)),ROUND(Q3372-IF(ISNUMBER(N3372),N3372,0)-IF(ISNUMBER(O3372),O3372,0)+IF(ISNUMBER(P3372),P3372,0),2),"")</f>
        <v/>
      </c>
      <c r="S3372" s="9" t="str">
        <f aca="false">IF(R3372="","",ROUND(L3372-R3372,2))</f>
        <v/>
      </c>
      <c r="T3372" s="8" t="str">
        <f aca="false">IF(A3372="","",IF(S3372="","BYPASS",IF(ABS(S3372)&lt;=Summary!$B$2,"PASS","FAIL")))</f>
        <v/>
      </c>
      <c r="U3372" s="8" t="str">
        <f aca="false">IF(T3372="BYPASS",IF(NOT(ISNUMBER(Q3372)),"PreV_ETB missing","End_tr_balance missing"),IF(T3372="FAIL",IF(AND(ISNUMBER(K3372),ISNUMBER(L3372),ABS(L3372-(K3372-IF(ISNUMBER(N3372),N3372,0)-IF(ISNUMBER(O3372),O3372,0)+IF(ISNUMBER(P3372),P3372,0)))&lt;=Summary!$B$2),"Passes using beginning_balance - PreV_ETB differs from beginning_balance",IF(AND(ISNUMBER(O3372),O3372&lt;0,ABS(L3372-(Q3372-IF(ISNUMBER(N3372),N3372,0)+IF(ISNUMBER(P3372),P3372,0)))&lt;=Summary!$B$2),"Negative realized loss not applied - check sign",IF(R3372&lt;0,"Principal paid exceeds prior balance",IF(AND(L3372&gt;Q3372,NOT(ISNUMBER(P3372))),"Balance increased but no Deferred_interest reported",IF(L3372&gt;R3372,"Reported balance higher than expected (missing increase/OC build)","Reported balance lower than expected (missing decrease)"))))),""))</f>
        <v/>
      </c>
    </row>
    <row r="3373" customFormat="false" ht="15" hidden="false" customHeight="false" outlineLevel="0" collapsed="false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9"/>
      <c r="L3373" s="9"/>
      <c r="M3373" s="9"/>
      <c r="N3373" s="9"/>
      <c r="O3373" s="9"/>
      <c r="P3373" s="9"/>
      <c r="Q3373" s="9"/>
      <c r="R3373" s="9" t="str">
        <f aca="false">IF(AND(A3373&lt;&gt;"",ISNUMBER(Q3373),ISNUMBER(L3373)),ROUND(Q3373-IF(ISNUMBER(N3373),N3373,0)-IF(ISNUMBER(O3373),O3373,0)+IF(ISNUMBER(P3373),P3373,0),2),"")</f>
        <v/>
      </c>
      <c r="S3373" s="9" t="str">
        <f aca="false">IF(R3373="","",ROUND(L3373-R3373,2))</f>
        <v/>
      </c>
      <c r="T3373" s="8" t="str">
        <f aca="false">IF(A3373="","",IF(S3373="","BYPASS",IF(ABS(S3373)&lt;=Summary!$B$2,"PASS","FAIL")))</f>
        <v/>
      </c>
      <c r="U3373" s="8" t="str">
        <f aca="false">IF(T3373="BYPASS",IF(NOT(ISNUMBER(Q3373)),"PreV_ETB missing","End_tr_balance missing"),IF(T3373="FAIL",IF(AND(ISNUMBER(K3373),ISNUMBER(L3373),ABS(L3373-(K3373-IF(ISNUMBER(N3373),N3373,0)-IF(ISNUMBER(O3373),O3373,0)+IF(ISNUMBER(P3373),P3373,0)))&lt;=Summary!$B$2),"Passes using beginning_balance - PreV_ETB differs from beginning_balance",IF(AND(ISNUMBER(O3373),O3373&lt;0,ABS(L3373-(Q3373-IF(ISNUMBER(N3373),N3373,0)+IF(ISNUMBER(P3373),P3373,0)))&lt;=Summary!$B$2),"Negative realized loss not applied - check sign",IF(R3373&lt;0,"Principal paid exceeds prior balance",IF(AND(L3373&gt;Q3373,NOT(ISNUMBER(P3373))),"Balance increased but no Deferred_interest reported",IF(L3373&gt;R3373,"Reported balance higher than expected (missing increase/OC build)","Reported balance lower than expected (missing decrease)"))))),""))</f>
        <v/>
      </c>
    </row>
    <row r="3374" customFormat="false" ht="15" hidden="false" customHeight="false" outlineLevel="0" collapsed="false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9"/>
      <c r="L3374" s="9"/>
      <c r="M3374" s="9"/>
      <c r="N3374" s="9"/>
      <c r="O3374" s="9"/>
      <c r="P3374" s="9"/>
      <c r="Q3374" s="9"/>
      <c r="R3374" s="9" t="str">
        <f aca="false">IF(AND(A3374&lt;&gt;"",ISNUMBER(Q3374),ISNUMBER(L3374)),ROUND(Q3374-IF(ISNUMBER(N3374),N3374,0)-IF(ISNUMBER(O3374),O3374,0)+IF(ISNUMBER(P3374),P3374,0),2),"")</f>
        <v/>
      </c>
      <c r="S3374" s="9" t="str">
        <f aca="false">IF(R3374="","",ROUND(L3374-R3374,2))</f>
        <v/>
      </c>
      <c r="T3374" s="8" t="str">
        <f aca="false">IF(A3374="","",IF(S3374="","BYPASS",IF(ABS(S3374)&lt;=Summary!$B$2,"PASS","FAIL")))</f>
        <v/>
      </c>
      <c r="U3374" s="8" t="str">
        <f aca="false">IF(T3374="BYPASS",IF(NOT(ISNUMBER(Q3374)),"PreV_ETB missing","End_tr_balance missing"),IF(T3374="FAIL",IF(AND(ISNUMBER(K3374),ISNUMBER(L3374),ABS(L3374-(K3374-IF(ISNUMBER(N3374),N3374,0)-IF(ISNUMBER(O3374),O3374,0)+IF(ISNUMBER(P3374),P3374,0)))&lt;=Summary!$B$2),"Passes using beginning_balance - PreV_ETB differs from beginning_balance",IF(AND(ISNUMBER(O3374),O3374&lt;0,ABS(L3374-(Q3374-IF(ISNUMBER(N3374),N3374,0)+IF(ISNUMBER(P3374),P3374,0)))&lt;=Summary!$B$2),"Negative realized loss not applied - check sign",IF(R3374&lt;0,"Principal paid exceeds prior balance",IF(AND(L3374&gt;Q3374,NOT(ISNUMBER(P3374))),"Balance increased but no Deferred_interest reported",IF(L3374&gt;R3374,"Reported balance higher than expected (missing increase/OC build)","Reported balance lower than expected (missing decrease)"))))),""))</f>
        <v/>
      </c>
    </row>
    <row r="3375" customFormat="false" ht="15" hidden="false" customHeight="false" outlineLevel="0" collapsed="false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9"/>
      <c r="L3375" s="9"/>
      <c r="M3375" s="9"/>
      <c r="N3375" s="9"/>
      <c r="O3375" s="9"/>
      <c r="P3375" s="9"/>
      <c r="Q3375" s="9"/>
      <c r="R3375" s="9" t="str">
        <f aca="false">IF(AND(A3375&lt;&gt;"",ISNUMBER(Q3375),ISNUMBER(L3375)),ROUND(Q3375-IF(ISNUMBER(N3375),N3375,0)-IF(ISNUMBER(O3375),O3375,0)+IF(ISNUMBER(P3375),P3375,0),2),"")</f>
        <v/>
      </c>
      <c r="S3375" s="9" t="str">
        <f aca="false">IF(R3375="","",ROUND(L3375-R3375,2))</f>
        <v/>
      </c>
      <c r="T3375" s="8" t="str">
        <f aca="false">IF(A3375="","",IF(S3375="","BYPASS",IF(ABS(S3375)&lt;=Summary!$B$2,"PASS","FAIL")))</f>
        <v/>
      </c>
      <c r="U3375" s="8" t="str">
        <f aca="false">IF(T3375="BYPASS",IF(NOT(ISNUMBER(Q3375)),"PreV_ETB missing","End_tr_balance missing"),IF(T3375="FAIL",IF(AND(ISNUMBER(K3375),ISNUMBER(L3375),ABS(L3375-(K3375-IF(ISNUMBER(N3375),N3375,0)-IF(ISNUMBER(O3375),O3375,0)+IF(ISNUMBER(P3375),P3375,0)))&lt;=Summary!$B$2),"Passes using beginning_balance - PreV_ETB differs from beginning_balance",IF(AND(ISNUMBER(O3375),O3375&lt;0,ABS(L3375-(Q3375-IF(ISNUMBER(N3375),N3375,0)+IF(ISNUMBER(P3375),P3375,0)))&lt;=Summary!$B$2),"Negative realized loss not applied - check sign",IF(R3375&lt;0,"Principal paid exceeds prior balance",IF(AND(L3375&gt;Q3375,NOT(ISNUMBER(P3375))),"Balance increased but no Deferred_interest reported",IF(L3375&gt;R3375,"Reported balance higher than expected (missing increase/OC build)","Reported balance lower than expected (missing decrease)"))))),""))</f>
        <v/>
      </c>
    </row>
    <row r="3376" customFormat="false" ht="15" hidden="false" customHeight="false" outlineLevel="0" collapsed="false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9"/>
      <c r="L3376" s="9"/>
      <c r="M3376" s="9"/>
      <c r="N3376" s="9"/>
      <c r="O3376" s="9"/>
      <c r="P3376" s="9"/>
      <c r="Q3376" s="9"/>
      <c r="R3376" s="9" t="str">
        <f aca="false">IF(AND(A3376&lt;&gt;"",ISNUMBER(Q3376),ISNUMBER(L3376)),ROUND(Q3376-IF(ISNUMBER(N3376),N3376,0)-IF(ISNUMBER(O3376),O3376,0)+IF(ISNUMBER(P3376),P3376,0),2),"")</f>
        <v/>
      </c>
      <c r="S3376" s="9" t="str">
        <f aca="false">IF(R3376="","",ROUND(L3376-R3376,2))</f>
        <v/>
      </c>
      <c r="T3376" s="8" t="str">
        <f aca="false">IF(A3376="","",IF(S3376="","BYPASS",IF(ABS(S3376)&lt;=Summary!$B$2,"PASS","FAIL")))</f>
        <v/>
      </c>
      <c r="U3376" s="8" t="str">
        <f aca="false">IF(T3376="BYPASS",IF(NOT(ISNUMBER(Q3376)),"PreV_ETB missing","End_tr_balance missing"),IF(T3376="FAIL",IF(AND(ISNUMBER(K3376),ISNUMBER(L3376),ABS(L3376-(K3376-IF(ISNUMBER(N3376),N3376,0)-IF(ISNUMBER(O3376),O3376,0)+IF(ISNUMBER(P3376),P3376,0)))&lt;=Summary!$B$2),"Passes using beginning_balance - PreV_ETB differs from beginning_balance",IF(AND(ISNUMBER(O3376),O3376&lt;0,ABS(L3376-(Q3376-IF(ISNUMBER(N3376),N3376,0)+IF(ISNUMBER(P3376),P3376,0)))&lt;=Summary!$B$2),"Negative realized loss not applied - check sign",IF(R3376&lt;0,"Principal paid exceeds prior balance",IF(AND(L3376&gt;Q3376,NOT(ISNUMBER(P3376))),"Balance increased but no Deferred_interest reported",IF(L3376&gt;R3376,"Reported balance higher than expected (missing increase/OC build)","Reported balance lower than expected (missing decrease)"))))),""))</f>
        <v/>
      </c>
    </row>
    <row r="3377" customFormat="false" ht="15" hidden="false" customHeight="false" outlineLevel="0" collapsed="false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9"/>
      <c r="L3377" s="9"/>
      <c r="M3377" s="9"/>
      <c r="N3377" s="9"/>
      <c r="O3377" s="9"/>
      <c r="P3377" s="9"/>
      <c r="Q3377" s="9"/>
      <c r="R3377" s="9" t="str">
        <f aca="false">IF(AND(A3377&lt;&gt;"",ISNUMBER(Q3377),ISNUMBER(L3377)),ROUND(Q3377-IF(ISNUMBER(N3377),N3377,0)-IF(ISNUMBER(O3377),O3377,0)+IF(ISNUMBER(P3377),P3377,0),2),"")</f>
        <v/>
      </c>
      <c r="S3377" s="9" t="str">
        <f aca="false">IF(R3377="","",ROUND(L3377-R3377,2))</f>
        <v/>
      </c>
      <c r="T3377" s="8" t="str">
        <f aca="false">IF(A3377="","",IF(S3377="","BYPASS",IF(ABS(S3377)&lt;=Summary!$B$2,"PASS","FAIL")))</f>
        <v/>
      </c>
      <c r="U3377" s="8" t="str">
        <f aca="false">IF(T3377="BYPASS",IF(NOT(ISNUMBER(Q3377)),"PreV_ETB missing","End_tr_balance missing"),IF(T3377="FAIL",IF(AND(ISNUMBER(K3377),ISNUMBER(L3377),ABS(L3377-(K3377-IF(ISNUMBER(N3377),N3377,0)-IF(ISNUMBER(O3377),O3377,0)+IF(ISNUMBER(P3377),P3377,0)))&lt;=Summary!$B$2),"Passes using beginning_balance - PreV_ETB differs from beginning_balance",IF(AND(ISNUMBER(O3377),O3377&lt;0,ABS(L3377-(Q3377-IF(ISNUMBER(N3377),N3377,0)+IF(ISNUMBER(P3377),P3377,0)))&lt;=Summary!$B$2),"Negative realized loss not applied - check sign",IF(R3377&lt;0,"Principal paid exceeds prior balance",IF(AND(L3377&gt;Q3377,NOT(ISNUMBER(P3377))),"Balance increased but no Deferred_interest reported",IF(L3377&gt;R3377,"Reported balance higher than expected (missing increase/OC build)","Reported balance lower than expected (missing decrease)"))))),""))</f>
        <v/>
      </c>
    </row>
    <row r="3378" customFormat="false" ht="15" hidden="false" customHeight="false" outlineLevel="0" collapsed="false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9"/>
      <c r="L3378" s="9"/>
      <c r="M3378" s="9"/>
      <c r="N3378" s="9"/>
      <c r="O3378" s="9"/>
      <c r="P3378" s="9"/>
      <c r="Q3378" s="9"/>
      <c r="R3378" s="9" t="str">
        <f aca="false">IF(AND(A3378&lt;&gt;"",ISNUMBER(Q3378),ISNUMBER(L3378)),ROUND(Q3378-IF(ISNUMBER(N3378),N3378,0)-IF(ISNUMBER(O3378),O3378,0)+IF(ISNUMBER(P3378),P3378,0),2),"")</f>
        <v/>
      </c>
      <c r="S3378" s="9" t="str">
        <f aca="false">IF(R3378="","",ROUND(L3378-R3378,2))</f>
        <v/>
      </c>
      <c r="T3378" s="8" t="str">
        <f aca="false">IF(A3378="","",IF(S3378="","BYPASS",IF(ABS(S3378)&lt;=Summary!$B$2,"PASS","FAIL")))</f>
        <v/>
      </c>
      <c r="U3378" s="8" t="str">
        <f aca="false">IF(T3378="BYPASS",IF(NOT(ISNUMBER(Q3378)),"PreV_ETB missing","End_tr_balance missing"),IF(T3378="FAIL",IF(AND(ISNUMBER(K3378),ISNUMBER(L3378),ABS(L3378-(K3378-IF(ISNUMBER(N3378),N3378,0)-IF(ISNUMBER(O3378),O3378,0)+IF(ISNUMBER(P3378),P3378,0)))&lt;=Summary!$B$2),"Passes using beginning_balance - PreV_ETB differs from beginning_balance",IF(AND(ISNUMBER(O3378),O3378&lt;0,ABS(L3378-(Q3378-IF(ISNUMBER(N3378),N3378,0)+IF(ISNUMBER(P3378),P3378,0)))&lt;=Summary!$B$2),"Negative realized loss not applied - check sign",IF(R3378&lt;0,"Principal paid exceeds prior balance",IF(AND(L3378&gt;Q3378,NOT(ISNUMBER(P3378))),"Balance increased but no Deferred_interest reported",IF(L3378&gt;R3378,"Reported balance higher than expected (missing increase/OC build)","Reported balance lower than expected (missing decrease)"))))),""))</f>
        <v/>
      </c>
    </row>
    <row r="3379" customFormat="false" ht="15" hidden="false" customHeight="false" outlineLevel="0" collapsed="false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9"/>
      <c r="L3379" s="9"/>
      <c r="M3379" s="9"/>
      <c r="N3379" s="9"/>
      <c r="O3379" s="9"/>
      <c r="P3379" s="9"/>
      <c r="Q3379" s="9"/>
      <c r="R3379" s="9" t="str">
        <f aca="false">IF(AND(A3379&lt;&gt;"",ISNUMBER(Q3379),ISNUMBER(L3379)),ROUND(Q3379-IF(ISNUMBER(N3379),N3379,0)-IF(ISNUMBER(O3379),O3379,0)+IF(ISNUMBER(P3379),P3379,0),2),"")</f>
        <v/>
      </c>
      <c r="S3379" s="9" t="str">
        <f aca="false">IF(R3379="","",ROUND(L3379-R3379,2))</f>
        <v/>
      </c>
      <c r="T3379" s="8" t="str">
        <f aca="false">IF(A3379="","",IF(S3379="","BYPASS",IF(ABS(S3379)&lt;=Summary!$B$2,"PASS","FAIL")))</f>
        <v/>
      </c>
      <c r="U3379" s="8" t="str">
        <f aca="false">IF(T3379="BYPASS",IF(NOT(ISNUMBER(Q3379)),"PreV_ETB missing","End_tr_balance missing"),IF(T3379="FAIL",IF(AND(ISNUMBER(K3379),ISNUMBER(L3379),ABS(L3379-(K3379-IF(ISNUMBER(N3379),N3379,0)-IF(ISNUMBER(O3379),O3379,0)+IF(ISNUMBER(P3379),P3379,0)))&lt;=Summary!$B$2),"Passes using beginning_balance - PreV_ETB differs from beginning_balance",IF(AND(ISNUMBER(O3379),O3379&lt;0,ABS(L3379-(Q3379-IF(ISNUMBER(N3379),N3379,0)+IF(ISNUMBER(P3379),P3379,0)))&lt;=Summary!$B$2),"Negative realized loss not applied - check sign",IF(R3379&lt;0,"Principal paid exceeds prior balance",IF(AND(L3379&gt;Q3379,NOT(ISNUMBER(P3379))),"Balance increased but no Deferred_interest reported",IF(L3379&gt;R3379,"Reported balance higher than expected (missing increase/OC build)","Reported balance lower than expected (missing decrease)"))))),""))</f>
        <v/>
      </c>
    </row>
    <row r="3380" customFormat="false" ht="15" hidden="false" customHeight="false" outlineLevel="0" collapsed="false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9"/>
      <c r="L3380" s="9"/>
      <c r="M3380" s="9"/>
      <c r="N3380" s="9"/>
      <c r="O3380" s="9"/>
      <c r="P3380" s="9"/>
      <c r="Q3380" s="9"/>
      <c r="R3380" s="9" t="str">
        <f aca="false">IF(AND(A3380&lt;&gt;"",ISNUMBER(Q3380),ISNUMBER(L3380)),ROUND(Q3380-IF(ISNUMBER(N3380),N3380,0)-IF(ISNUMBER(O3380),O3380,0)+IF(ISNUMBER(P3380),P3380,0),2),"")</f>
        <v/>
      </c>
      <c r="S3380" s="9" t="str">
        <f aca="false">IF(R3380="","",ROUND(L3380-R3380,2))</f>
        <v/>
      </c>
      <c r="T3380" s="8" t="str">
        <f aca="false">IF(A3380="","",IF(S3380="","BYPASS",IF(ABS(S3380)&lt;=Summary!$B$2,"PASS","FAIL")))</f>
        <v/>
      </c>
      <c r="U3380" s="8" t="str">
        <f aca="false">IF(T3380="BYPASS",IF(NOT(ISNUMBER(Q3380)),"PreV_ETB missing","End_tr_balance missing"),IF(T3380="FAIL",IF(AND(ISNUMBER(K3380),ISNUMBER(L3380),ABS(L3380-(K3380-IF(ISNUMBER(N3380),N3380,0)-IF(ISNUMBER(O3380),O3380,0)+IF(ISNUMBER(P3380),P3380,0)))&lt;=Summary!$B$2),"Passes using beginning_balance - PreV_ETB differs from beginning_balance",IF(AND(ISNUMBER(O3380),O3380&lt;0,ABS(L3380-(Q3380-IF(ISNUMBER(N3380),N3380,0)+IF(ISNUMBER(P3380),P3380,0)))&lt;=Summary!$B$2),"Negative realized loss not applied - check sign",IF(R3380&lt;0,"Principal paid exceeds prior balance",IF(AND(L3380&gt;Q3380,NOT(ISNUMBER(P3380))),"Balance increased but no Deferred_interest reported",IF(L3380&gt;R3380,"Reported balance higher than expected (missing increase/OC build)","Reported balance lower than expected (missing decrease)"))))),""))</f>
        <v/>
      </c>
    </row>
    <row r="3381" customFormat="false" ht="15" hidden="false" customHeight="false" outlineLevel="0" collapsed="false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9"/>
      <c r="L3381" s="9"/>
      <c r="M3381" s="9"/>
      <c r="N3381" s="9"/>
      <c r="O3381" s="9"/>
      <c r="P3381" s="9"/>
      <c r="Q3381" s="9"/>
      <c r="R3381" s="9" t="str">
        <f aca="false">IF(AND(A3381&lt;&gt;"",ISNUMBER(Q3381),ISNUMBER(L3381)),ROUND(Q3381-IF(ISNUMBER(N3381),N3381,0)-IF(ISNUMBER(O3381),O3381,0)+IF(ISNUMBER(P3381),P3381,0),2),"")</f>
        <v/>
      </c>
      <c r="S3381" s="9" t="str">
        <f aca="false">IF(R3381="","",ROUND(L3381-R3381,2))</f>
        <v/>
      </c>
      <c r="T3381" s="8" t="str">
        <f aca="false">IF(A3381="","",IF(S3381="","BYPASS",IF(ABS(S3381)&lt;=Summary!$B$2,"PASS","FAIL")))</f>
        <v/>
      </c>
      <c r="U3381" s="8" t="str">
        <f aca="false">IF(T3381="BYPASS",IF(NOT(ISNUMBER(Q3381)),"PreV_ETB missing","End_tr_balance missing"),IF(T3381="FAIL",IF(AND(ISNUMBER(K3381),ISNUMBER(L3381),ABS(L3381-(K3381-IF(ISNUMBER(N3381),N3381,0)-IF(ISNUMBER(O3381),O3381,0)+IF(ISNUMBER(P3381),P3381,0)))&lt;=Summary!$B$2),"Passes using beginning_balance - PreV_ETB differs from beginning_balance",IF(AND(ISNUMBER(O3381),O3381&lt;0,ABS(L3381-(Q3381-IF(ISNUMBER(N3381),N3381,0)+IF(ISNUMBER(P3381),P3381,0)))&lt;=Summary!$B$2),"Negative realized loss not applied - check sign",IF(R3381&lt;0,"Principal paid exceeds prior balance",IF(AND(L3381&gt;Q3381,NOT(ISNUMBER(P3381))),"Balance increased but no Deferred_interest reported",IF(L3381&gt;R3381,"Reported balance higher than expected (missing increase/OC build)","Reported balance lower than expected (missing decrease)"))))),""))</f>
        <v/>
      </c>
    </row>
    <row r="3382" customFormat="false" ht="15" hidden="false" customHeight="false" outlineLevel="0" collapsed="false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9"/>
      <c r="L3382" s="9"/>
      <c r="M3382" s="9"/>
      <c r="N3382" s="9"/>
      <c r="O3382" s="9"/>
      <c r="P3382" s="9"/>
      <c r="Q3382" s="9"/>
      <c r="R3382" s="9" t="str">
        <f aca="false">IF(AND(A3382&lt;&gt;"",ISNUMBER(Q3382),ISNUMBER(L3382)),ROUND(Q3382-IF(ISNUMBER(N3382),N3382,0)-IF(ISNUMBER(O3382),O3382,0)+IF(ISNUMBER(P3382),P3382,0),2),"")</f>
        <v/>
      </c>
      <c r="S3382" s="9" t="str">
        <f aca="false">IF(R3382="","",ROUND(L3382-R3382,2))</f>
        <v/>
      </c>
      <c r="T3382" s="8" t="str">
        <f aca="false">IF(A3382="","",IF(S3382="","BYPASS",IF(ABS(S3382)&lt;=Summary!$B$2,"PASS","FAIL")))</f>
        <v/>
      </c>
      <c r="U3382" s="8" t="str">
        <f aca="false">IF(T3382="BYPASS",IF(NOT(ISNUMBER(Q3382)),"PreV_ETB missing","End_tr_balance missing"),IF(T3382="FAIL",IF(AND(ISNUMBER(K3382),ISNUMBER(L3382),ABS(L3382-(K3382-IF(ISNUMBER(N3382),N3382,0)-IF(ISNUMBER(O3382),O3382,0)+IF(ISNUMBER(P3382),P3382,0)))&lt;=Summary!$B$2),"Passes using beginning_balance - PreV_ETB differs from beginning_balance",IF(AND(ISNUMBER(O3382),O3382&lt;0,ABS(L3382-(Q3382-IF(ISNUMBER(N3382),N3382,0)+IF(ISNUMBER(P3382),P3382,0)))&lt;=Summary!$B$2),"Negative realized loss not applied - check sign",IF(R3382&lt;0,"Principal paid exceeds prior balance",IF(AND(L3382&gt;Q3382,NOT(ISNUMBER(P3382))),"Balance increased but no Deferred_interest reported",IF(L3382&gt;R3382,"Reported balance higher than expected (missing increase/OC build)","Reported balance lower than expected (missing decrease)"))))),""))</f>
        <v/>
      </c>
    </row>
    <row r="3383" customFormat="false" ht="15" hidden="false" customHeight="false" outlineLevel="0" collapsed="false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9"/>
      <c r="L3383" s="9"/>
      <c r="M3383" s="9"/>
      <c r="N3383" s="9"/>
      <c r="O3383" s="9"/>
      <c r="P3383" s="9"/>
      <c r="Q3383" s="9"/>
      <c r="R3383" s="9" t="str">
        <f aca="false">IF(AND(A3383&lt;&gt;"",ISNUMBER(Q3383),ISNUMBER(L3383)),ROUND(Q3383-IF(ISNUMBER(N3383),N3383,0)-IF(ISNUMBER(O3383),O3383,0)+IF(ISNUMBER(P3383),P3383,0),2),"")</f>
        <v/>
      </c>
      <c r="S3383" s="9" t="str">
        <f aca="false">IF(R3383="","",ROUND(L3383-R3383,2))</f>
        <v/>
      </c>
      <c r="T3383" s="8" t="str">
        <f aca="false">IF(A3383="","",IF(S3383="","BYPASS",IF(ABS(S3383)&lt;=Summary!$B$2,"PASS","FAIL")))</f>
        <v/>
      </c>
      <c r="U3383" s="8" t="str">
        <f aca="false">IF(T3383="BYPASS",IF(NOT(ISNUMBER(Q3383)),"PreV_ETB missing","End_tr_balance missing"),IF(T3383="FAIL",IF(AND(ISNUMBER(K3383),ISNUMBER(L3383),ABS(L3383-(K3383-IF(ISNUMBER(N3383),N3383,0)-IF(ISNUMBER(O3383),O3383,0)+IF(ISNUMBER(P3383),P3383,0)))&lt;=Summary!$B$2),"Passes using beginning_balance - PreV_ETB differs from beginning_balance",IF(AND(ISNUMBER(O3383),O3383&lt;0,ABS(L3383-(Q3383-IF(ISNUMBER(N3383),N3383,0)+IF(ISNUMBER(P3383),P3383,0)))&lt;=Summary!$B$2),"Negative realized loss not applied - check sign",IF(R3383&lt;0,"Principal paid exceeds prior balance",IF(AND(L3383&gt;Q3383,NOT(ISNUMBER(P3383))),"Balance increased but no Deferred_interest reported",IF(L3383&gt;R3383,"Reported balance higher than expected (missing increase/OC build)","Reported balance lower than expected (missing decrease)"))))),""))</f>
        <v/>
      </c>
    </row>
    <row r="3384" customFormat="false" ht="15" hidden="false" customHeight="false" outlineLevel="0" collapsed="false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9"/>
      <c r="L3384" s="9"/>
      <c r="M3384" s="9"/>
      <c r="N3384" s="9"/>
      <c r="O3384" s="9"/>
      <c r="P3384" s="9"/>
      <c r="Q3384" s="9"/>
      <c r="R3384" s="9" t="str">
        <f aca="false">IF(AND(A3384&lt;&gt;"",ISNUMBER(Q3384),ISNUMBER(L3384)),ROUND(Q3384-IF(ISNUMBER(N3384),N3384,0)-IF(ISNUMBER(O3384),O3384,0)+IF(ISNUMBER(P3384),P3384,0),2),"")</f>
        <v/>
      </c>
      <c r="S3384" s="9" t="str">
        <f aca="false">IF(R3384="","",ROUND(L3384-R3384,2))</f>
        <v/>
      </c>
      <c r="T3384" s="8" t="str">
        <f aca="false">IF(A3384="","",IF(S3384="","BYPASS",IF(ABS(S3384)&lt;=Summary!$B$2,"PASS","FAIL")))</f>
        <v/>
      </c>
      <c r="U3384" s="8" t="str">
        <f aca="false">IF(T3384="BYPASS",IF(NOT(ISNUMBER(Q3384)),"PreV_ETB missing","End_tr_balance missing"),IF(T3384="FAIL",IF(AND(ISNUMBER(K3384),ISNUMBER(L3384),ABS(L3384-(K3384-IF(ISNUMBER(N3384),N3384,0)-IF(ISNUMBER(O3384),O3384,0)+IF(ISNUMBER(P3384),P3384,0)))&lt;=Summary!$B$2),"Passes using beginning_balance - PreV_ETB differs from beginning_balance",IF(AND(ISNUMBER(O3384),O3384&lt;0,ABS(L3384-(Q3384-IF(ISNUMBER(N3384),N3384,0)+IF(ISNUMBER(P3384),P3384,0)))&lt;=Summary!$B$2),"Negative realized loss not applied - check sign",IF(R3384&lt;0,"Principal paid exceeds prior balance",IF(AND(L3384&gt;Q3384,NOT(ISNUMBER(P3384))),"Balance increased but no Deferred_interest reported",IF(L3384&gt;R3384,"Reported balance higher than expected (missing increase/OC build)","Reported balance lower than expected (missing decrease)"))))),""))</f>
        <v/>
      </c>
    </row>
    <row r="3385" customFormat="false" ht="15" hidden="false" customHeight="false" outlineLevel="0" collapsed="false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9"/>
      <c r="L3385" s="9"/>
      <c r="M3385" s="9"/>
      <c r="N3385" s="9"/>
      <c r="O3385" s="9"/>
      <c r="P3385" s="9"/>
      <c r="Q3385" s="9"/>
      <c r="R3385" s="9" t="str">
        <f aca="false">IF(AND(A3385&lt;&gt;"",ISNUMBER(Q3385),ISNUMBER(L3385)),ROUND(Q3385-IF(ISNUMBER(N3385),N3385,0)-IF(ISNUMBER(O3385),O3385,0)+IF(ISNUMBER(P3385),P3385,0),2),"")</f>
        <v/>
      </c>
      <c r="S3385" s="9" t="str">
        <f aca="false">IF(R3385="","",ROUND(L3385-R3385,2))</f>
        <v/>
      </c>
      <c r="T3385" s="8" t="str">
        <f aca="false">IF(A3385="","",IF(S3385="","BYPASS",IF(ABS(S3385)&lt;=Summary!$B$2,"PASS","FAIL")))</f>
        <v/>
      </c>
      <c r="U3385" s="8" t="str">
        <f aca="false">IF(T3385="BYPASS",IF(NOT(ISNUMBER(Q3385)),"PreV_ETB missing","End_tr_balance missing"),IF(T3385="FAIL",IF(AND(ISNUMBER(K3385),ISNUMBER(L3385),ABS(L3385-(K3385-IF(ISNUMBER(N3385),N3385,0)-IF(ISNUMBER(O3385),O3385,0)+IF(ISNUMBER(P3385),P3385,0)))&lt;=Summary!$B$2),"Passes using beginning_balance - PreV_ETB differs from beginning_balance",IF(AND(ISNUMBER(O3385),O3385&lt;0,ABS(L3385-(Q3385-IF(ISNUMBER(N3385),N3385,0)+IF(ISNUMBER(P3385),P3385,0)))&lt;=Summary!$B$2),"Negative realized loss not applied - check sign",IF(R3385&lt;0,"Principal paid exceeds prior balance",IF(AND(L3385&gt;Q3385,NOT(ISNUMBER(P3385))),"Balance increased but no Deferred_interest reported",IF(L3385&gt;R3385,"Reported balance higher than expected (missing increase/OC build)","Reported balance lower than expected (missing decrease)"))))),""))</f>
        <v/>
      </c>
    </row>
    <row r="3386" customFormat="false" ht="15" hidden="false" customHeight="false" outlineLevel="0" collapsed="false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9"/>
      <c r="L3386" s="9"/>
      <c r="M3386" s="9"/>
      <c r="N3386" s="9"/>
      <c r="O3386" s="9"/>
      <c r="P3386" s="9"/>
      <c r="Q3386" s="9"/>
      <c r="R3386" s="9" t="str">
        <f aca="false">IF(AND(A3386&lt;&gt;"",ISNUMBER(Q3386),ISNUMBER(L3386)),ROUND(Q3386-IF(ISNUMBER(N3386),N3386,0)-IF(ISNUMBER(O3386),O3386,0)+IF(ISNUMBER(P3386),P3386,0),2),"")</f>
        <v/>
      </c>
      <c r="S3386" s="9" t="str">
        <f aca="false">IF(R3386="","",ROUND(L3386-R3386,2))</f>
        <v/>
      </c>
      <c r="T3386" s="8" t="str">
        <f aca="false">IF(A3386="","",IF(S3386="","BYPASS",IF(ABS(S3386)&lt;=Summary!$B$2,"PASS","FAIL")))</f>
        <v/>
      </c>
      <c r="U3386" s="8" t="str">
        <f aca="false">IF(T3386="BYPASS",IF(NOT(ISNUMBER(Q3386)),"PreV_ETB missing","End_tr_balance missing"),IF(T3386="FAIL",IF(AND(ISNUMBER(K3386),ISNUMBER(L3386),ABS(L3386-(K3386-IF(ISNUMBER(N3386),N3386,0)-IF(ISNUMBER(O3386),O3386,0)+IF(ISNUMBER(P3386),P3386,0)))&lt;=Summary!$B$2),"Passes using beginning_balance - PreV_ETB differs from beginning_balance",IF(AND(ISNUMBER(O3386),O3386&lt;0,ABS(L3386-(Q3386-IF(ISNUMBER(N3386),N3386,0)+IF(ISNUMBER(P3386),P3386,0)))&lt;=Summary!$B$2),"Negative realized loss not applied - check sign",IF(R3386&lt;0,"Principal paid exceeds prior balance",IF(AND(L3386&gt;Q3386,NOT(ISNUMBER(P3386))),"Balance increased but no Deferred_interest reported",IF(L3386&gt;R3386,"Reported balance higher than expected (missing increase/OC build)","Reported balance lower than expected (missing decrease)"))))),""))</f>
        <v/>
      </c>
    </row>
    <row r="3387" customFormat="false" ht="15" hidden="false" customHeight="false" outlineLevel="0" collapsed="false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9"/>
      <c r="L3387" s="9"/>
      <c r="M3387" s="9"/>
      <c r="N3387" s="9"/>
      <c r="O3387" s="9"/>
      <c r="P3387" s="9"/>
      <c r="Q3387" s="9"/>
      <c r="R3387" s="9" t="str">
        <f aca="false">IF(AND(A3387&lt;&gt;"",ISNUMBER(Q3387),ISNUMBER(L3387)),ROUND(Q3387-IF(ISNUMBER(N3387),N3387,0)-IF(ISNUMBER(O3387),O3387,0)+IF(ISNUMBER(P3387),P3387,0),2),"")</f>
        <v/>
      </c>
      <c r="S3387" s="9" t="str">
        <f aca="false">IF(R3387="","",ROUND(L3387-R3387,2))</f>
        <v/>
      </c>
      <c r="T3387" s="8" t="str">
        <f aca="false">IF(A3387="","",IF(S3387="","BYPASS",IF(ABS(S3387)&lt;=Summary!$B$2,"PASS","FAIL")))</f>
        <v/>
      </c>
      <c r="U3387" s="8" t="str">
        <f aca="false">IF(T3387="BYPASS",IF(NOT(ISNUMBER(Q3387)),"PreV_ETB missing","End_tr_balance missing"),IF(T3387="FAIL",IF(AND(ISNUMBER(K3387),ISNUMBER(L3387),ABS(L3387-(K3387-IF(ISNUMBER(N3387),N3387,0)-IF(ISNUMBER(O3387),O3387,0)+IF(ISNUMBER(P3387),P3387,0)))&lt;=Summary!$B$2),"Passes using beginning_balance - PreV_ETB differs from beginning_balance",IF(AND(ISNUMBER(O3387),O3387&lt;0,ABS(L3387-(Q3387-IF(ISNUMBER(N3387),N3387,0)+IF(ISNUMBER(P3387),P3387,0)))&lt;=Summary!$B$2),"Negative realized loss not applied - check sign",IF(R3387&lt;0,"Principal paid exceeds prior balance",IF(AND(L3387&gt;Q3387,NOT(ISNUMBER(P3387))),"Balance increased but no Deferred_interest reported",IF(L3387&gt;R3387,"Reported balance higher than expected (missing increase/OC build)","Reported balance lower than expected (missing decrease)"))))),""))</f>
        <v/>
      </c>
    </row>
    <row r="3388" customFormat="false" ht="15" hidden="false" customHeight="false" outlineLevel="0" collapsed="false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9"/>
      <c r="L3388" s="9"/>
      <c r="M3388" s="9"/>
      <c r="N3388" s="9"/>
      <c r="O3388" s="9"/>
      <c r="P3388" s="9"/>
      <c r="Q3388" s="9"/>
      <c r="R3388" s="9" t="str">
        <f aca="false">IF(AND(A3388&lt;&gt;"",ISNUMBER(Q3388),ISNUMBER(L3388)),ROUND(Q3388-IF(ISNUMBER(N3388),N3388,0)-IF(ISNUMBER(O3388),O3388,0)+IF(ISNUMBER(P3388),P3388,0),2),"")</f>
        <v/>
      </c>
      <c r="S3388" s="9" t="str">
        <f aca="false">IF(R3388="","",ROUND(L3388-R3388,2))</f>
        <v/>
      </c>
      <c r="T3388" s="8" t="str">
        <f aca="false">IF(A3388="","",IF(S3388="","BYPASS",IF(ABS(S3388)&lt;=Summary!$B$2,"PASS","FAIL")))</f>
        <v/>
      </c>
      <c r="U3388" s="8" t="str">
        <f aca="false">IF(T3388="BYPASS",IF(NOT(ISNUMBER(Q3388)),"PreV_ETB missing","End_tr_balance missing"),IF(T3388="FAIL",IF(AND(ISNUMBER(K3388),ISNUMBER(L3388),ABS(L3388-(K3388-IF(ISNUMBER(N3388),N3388,0)-IF(ISNUMBER(O3388),O3388,0)+IF(ISNUMBER(P3388),P3388,0)))&lt;=Summary!$B$2),"Passes using beginning_balance - PreV_ETB differs from beginning_balance",IF(AND(ISNUMBER(O3388),O3388&lt;0,ABS(L3388-(Q3388-IF(ISNUMBER(N3388),N3388,0)+IF(ISNUMBER(P3388),P3388,0)))&lt;=Summary!$B$2),"Negative realized loss not applied - check sign",IF(R3388&lt;0,"Principal paid exceeds prior balance",IF(AND(L3388&gt;Q3388,NOT(ISNUMBER(P3388))),"Balance increased but no Deferred_interest reported",IF(L3388&gt;R3388,"Reported balance higher than expected (missing increase/OC build)","Reported balance lower than expected (missing decrease)"))))),""))</f>
        <v/>
      </c>
    </row>
    <row r="3389" customFormat="false" ht="15" hidden="false" customHeight="false" outlineLevel="0" collapsed="false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9"/>
      <c r="L3389" s="9"/>
      <c r="M3389" s="9"/>
      <c r="N3389" s="9"/>
      <c r="O3389" s="9"/>
      <c r="P3389" s="9"/>
      <c r="Q3389" s="9"/>
      <c r="R3389" s="9" t="str">
        <f aca="false">IF(AND(A3389&lt;&gt;"",ISNUMBER(Q3389),ISNUMBER(L3389)),ROUND(Q3389-IF(ISNUMBER(N3389),N3389,0)-IF(ISNUMBER(O3389),O3389,0)+IF(ISNUMBER(P3389),P3389,0),2),"")</f>
        <v/>
      </c>
      <c r="S3389" s="9" t="str">
        <f aca="false">IF(R3389="","",ROUND(L3389-R3389,2))</f>
        <v/>
      </c>
      <c r="T3389" s="8" t="str">
        <f aca="false">IF(A3389="","",IF(S3389="","BYPASS",IF(ABS(S3389)&lt;=Summary!$B$2,"PASS","FAIL")))</f>
        <v/>
      </c>
      <c r="U3389" s="8" t="str">
        <f aca="false">IF(T3389="BYPASS",IF(NOT(ISNUMBER(Q3389)),"PreV_ETB missing","End_tr_balance missing"),IF(T3389="FAIL",IF(AND(ISNUMBER(K3389),ISNUMBER(L3389),ABS(L3389-(K3389-IF(ISNUMBER(N3389),N3389,0)-IF(ISNUMBER(O3389),O3389,0)+IF(ISNUMBER(P3389),P3389,0)))&lt;=Summary!$B$2),"Passes using beginning_balance - PreV_ETB differs from beginning_balance",IF(AND(ISNUMBER(O3389),O3389&lt;0,ABS(L3389-(Q3389-IF(ISNUMBER(N3389),N3389,0)+IF(ISNUMBER(P3389),P3389,0)))&lt;=Summary!$B$2),"Negative realized loss not applied - check sign",IF(R3389&lt;0,"Principal paid exceeds prior balance",IF(AND(L3389&gt;Q3389,NOT(ISNUMBER(P3389))),"Balance increased but no Deferred_interest reported",IF(L3389&gt;R3389,"Reported balance higher than expected (missing increase/OC build)","Reported balance lower than expected (missing decrease)"))))),""))</f>
        <v/>
      </c>
    </row>
    <row r="3390" customFormat="false" ht="15" hidden="false" customHeight="false" outlineLevel="0" collapsed="false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9"/>
      <c r="L3390" s="9"/>
      <c r="M3390" s="9"/>
      <c r="N3390" s="9"/>
      <c r="O3390" s="9"/>
      <c r="P3390" s="9"/>
      <c r="Q3390" s="9"/>
      <c r="R3390" s="9" t="str">
        <f aca="false">IF(AND(A3390&lt;&gt;"",ISNUMBER(Q3390),ISNUMBER(L3390)),ROUND(Q3390-IF(ISNUMBER(N3390),N3390,0)-IF(ISNUMBER(O3390),O3390,0)+IF(ISNUMBER(P3390),P3390,0),2),"")</f>
        <v/>
      </c>
      <c r="S3390" s="9" t="str">
        <f aca="false">IF(R3390="","",ROUND(L3390-R3390,2))</f>
        <v/>
      </c>
      <c r="T3390" s="8" t="str">
        <f aca="false">IF(A3390="","",IF(S3390="","BYPASS",IF(ABS(S3390)&lt;=Summary!$B$2,"PASS","FAIL")))</f>
        <v/>
      </c>
      <c r="U3390" s="8" t="str">
        <f aca="false">IF(T3390="BYPASS",IF(NOT(ISNUMBER(Q3390)),"PreV_ETB missing","End_tr_balance missing"),IF(T3390="FAIL",IF(AND(ISNUMBER(K3390),ISNUMBER(L3390),ABS(L3390-(K3390-IF(ISNUMBER(N3390),N3390,0)-IF(ISNUMBER(O3390),O3390,0)+IF(ISNUMBER(P3390),P3390,0)))&lt;=Summary!$B$2),"Passes using beginning_balance - PreV_ETB differs from beginning_balance",IF(AND(ISNUMBER(O3390),O3390&lt;0,ABS(L3390-(Q3390-IF(ISNUMBER(N3390),N3390,0)+IF(ISNUMBER(P3390),P3390,0)))&lt;=Summary!$B$2),"Negative realized loss not applied - check sign",IF(R3390&lt;0,"Principal paid exceeds prior balance",IF(AND(L3390&gt;Q3390,NOT(ISNUMBER(P3390))),"Balance increased but no Deferred_interest reported",IF(L3390&gt;R3390,"Reported balance higher than expected (missing increase/OC build)","Reported balance lower than expected (missing decrease)"))))),""))</f>
        <v/>
      </c>
    </row>
    <row r="3391" customFormat="false" ht="15" hidden="false" customHeight="false" outlineLevel="0" collapsed="false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9"/>
      <c r="L3391" s="9"/>
      <c r="M3391" s="9"/>
      <c r="N3391" s="9"/>
      <c r="O3391" s="9"/>
      <c r="P3391" s="9"/>
      <c r="Q3391" s="9"/>
      <c r="R3391" s="9" t="str">
        <f aca="false">IF(AND(A3391&lt;&gt;"",ISNUMBER(Q3391),ISNUMBER(L3391)),ROUND(Q3391-IF(ISNUMBER(N3391),N3391,0)-IF(ISNUMBER(O3391),O3391,0)+IF(ISNUMBER(P3391),P3391,0),2),"")</f>
        <v/>
      </c>
      <c r="S3391" s="9" t="str">
        <f aca="false">IF(R3391="","",ROUND(L3391-R3391,2))</f>
        <v/>
      </c>
      <c r="T3391" s="8" t="str">
        <f aca="false">IF(A3391="","",IF(S3391="","BYPASS",IF(ABS(S3391)&lt;=Summary!$B$2,"PASS","FAIL")))</f>
        <v/>
      </c>
      <c r="U3391" s="8" t="str">
        <f aca="false">IF(T3391="BYPASS",IF(NOT(ISNUMBER(Q3391)),"PreV_ETB missing","End_tr_balance missing"),IF(T3391="FAIL",IF(AND(ISNUMBER(K3391),ISNUMBER(L3391),ABS(L3391-(K3391-IF(ISNUMBER(N3391),N3391,0)-IF(ISNUMBER(O3391),O3391,0)+IF(ISNUMBER(P3391),P3391,0)))&lt;=Summary!$B$2),"Passes using beginning_balance - PreV_ETB differs from beginning_balance",IF(AND(ISNUMBER(O3391),O3391&lt;0,ABS(L3391-(Q3391-IF(ISNUMBER(N3391),N3391,0)+IF(ISNUMBER(P3391),P3391,0)))&lt;=Summary!$B$2),"Negative realized loss not applied - check sign",IF(R3391&lt;0,"Principal paid exceeds prior balance",IF(AND(L3391&gt;Q3391,NOT(ISNUMBER(P3391))),"Balance increased but no Deferred_interest reported",IF(L3391&gt;R3391,"Reported balance higher than expected (missing increase/OC build)","Reported balance lower than expected (missing decrease)"))))),""))</f>
        <v/>
      </c>
    </row>
    <row r="3392" customFormat="false" ht="15" hidden="false" customHeight="false" outlineLevel="0" collapsed="false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9"/>
      <c r="L3392" s="9"/>
      <c r="M3392" s="9"/>
      <c r="N3392" s="9"/>
      <c r="O3392" s="9"/>
      <c r="P3392" s="9"/>
      <c r="Q3392" s="9"/>
      <c r="R3392" s="9" t="str">
        <f aca="false">IF(AND(A3392&lt;&gt;"",ISNUMBER(Q3392),ISNUMBER(L3392)),ROUND(Q3392-IF(ISNUMBER(N3392),N3392,0)-IF(ISNUMBER(O3392),O3392,0)+IF(ISNUMBER(P3392),P3392,0),2),"")</f>
        <v/>
      </c>
      <c r="S3392" s="9" t="str">
        <f aca="false">IF(R3392="","",ROUND(L3392-R3392,2))</f>
        <v/>
      </c>
      <c r="T3392" s="8" t="str">
        <f aca="false">IF(A3392="","",IF(S3392="","BYPASS",IF(ABS(S3392)&lt;=Summary!$B$2,"PASS","FAIL")))</f>
        <v/>
      </c>
      <c r="U3392" s="8" t="str">
        <f aca="false">IF(T3392="BYPASS",IF(NOT(ISNUMBER(Q3392)),"PreV_ETB missing","End_tr_balance missing"),IF(T3392="FAIL",IF(AND(ISNUMBER(K3392),ISNUMBER(L3392),ABS(L3392-(K3392-IF(ISNUMBER(N3392),N3392,0)-IF(ISNUMBER(O3392),O3392,0)+IF(ISNUMBER(P3392),P3392,0)))&lt;=Summary!$B$2),"Passes using beginning_balance - PreV_ETB differs from beginning_balance",IF(AND(ISNUMBER(O3392),O3392&lt;0,ABS(L3392-(Q3392-IF(ISNUMBER(N3392),N3392,0)+IF(ISNUMBER(P3392),P3392,0)))&lt;=Summary!$B$2),"Negative realized loss not applied - check sign",IF(R3392&lt;0,"Principal paid exceeds prior balance",IF(AND(L3392&gt;Q3392,NOT(ISNUMBER(P3392))),"Balance increased but no Deferred_interest reported",IF(L3392&gt;R3392,"Reported balance higher than expected (missing increase/OC build)","Reported balance lower than expected (missing decrease)"))))),""))</f>
        <v/>
      </c>
    </row>
    <row r="3393" customFormat="false" ht="15" hidden="false" customHeight="false" outlineLevel="0" collapsed="false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9"/>
      <c r="L3393" s="9"/>
      <c r="M3393" s="9"/>
      <c r="N3393" s="9"/>
      <c r="O3393" s="9"/>
      <c r="P3393" s="9"/>
      <c r="Q3393" s="9"/>
      <c r="R3393" s="9" t="str">
        <f aca="false">IF(AND(A3393&lt;&gt;"",ISNUMBER(Q3393),ISNUMBER(L3393)),ROUND(Q3393-IF(ISNUMBER(N3393),N3393,0)-IF(ISNUMBER(O3393),O3393,0)+IF(ISNUMBER(P3393),P3393,0),2),"")</f>
        <v/>
      </c>
      <c r="S3393" s="9" t="str">
        <f aca="false">IF(R3393="","",ROUND(L3393-R3393,2))</f>
        <v/>
      </c>
      <c r="T3393" s="8" t="str">
        <f aca="false">IF(A3393="","",IF(S3393="","BYPASS",IF(ABS(S3393)&lt;=Summary!$B$2,"PASS","FAIL")))</f>
        <v/>
      </c>
      <c r="U3393" s="8" t="str">
        <f aca="false">IF(T3393="BYPASS",IF(NOT(ISNUMBER(Q3393)),"PreV_ETB missing","End_tr_balance missing"),IF(T3393="FAIL",IF(AND(ISNUMBER(K3393),ISNUMBER(L3393),ABS(L3393-(K3393-IF(ISNUMBER(N3393),N3393,0)-IF(ISNUMBER(O3393),O3393,0)+IF(ISNUMBER(P3393),P3393,0)))&lt;=Summary!$B$2),"Passes using beginning_balance - PreV_ETB differs from beginning_balance",IF(AND(ISNUMBER(O3393),O3393&lt;0,ABS(L3393-(Q3393-IF(ISNUMBER(N3393),N3393,0)+IF(ISNUMBER(P3393),P3393,0)))&lt;=Summary!$B$2),"Negative realized loss not applied - check sign",IF(R3393&lt;0,"Principal paid exceeds prior balance",IF(AND(L3393&gt;Q3393,NOT(ISNUMBER(P3393))),"Balance increased but no Deferred_interest reported",IF(L3393&gt;R3393,"Reported balance higher than expected (missing increase/OC build)","Reported balance lower than expected (missing decrease)"))))),""))</f>
        <v/>
      </c>
    </row>
    <row r="3394" customFormat="false" ht="15" hidden="false" customHeight="false" outlineLevel="0" collapsed="false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9"/>
      <c r="L3394" s="9"/>
      <c r="M3394" s="9"/>
      <c r="N3394" s="9"/>
      <c r="O3394" s="9"/>
      <c r="P3394" s="9"/>
      <c r="Q3394" s="9"/>
      <c r="R3394" s="9" t="str">
        <f aca="false">IF(AND(A3394&lt;&gt;"",ISNUMBER(Q3394),ISNUMBER(L3394)),ROUND(Q3394-IF(ISNUMBER(N3394),N3394,0)-IF(ISNUMBER(O3394),O3394,0)+IF(ISNUMBER(P3394),P3394,0),2),"")</f>
        <v/>
      </c>
      <c r="S3394" s="9" t="str">
        <f aca="false">IF(R3394="","",ROUND(L3394-R3394,2))</f>
        <v/>
      </c>
      <c r="T3394" s="8" t="str">
        <f aca="false">IF(A3394="","",IF(S3394="","BYPASS",IF(ABS(S3394)&lt;=Summary!$B$2,"PASS","FAIL")))</f>
        <v/>
      </c>
      <c r="U3394" s="8" t="str">
        <f aca="false">IF(T3394="BYPASS",IF(NOT(ISNUMBER(Q3394)),"PreV_ETB missing","End_tr_balance missing"),IF(T3394="FAIL",IF(AND(ISNUMBER(K3394),ISNUMBER(L3394),ABS(L3394-(K3394-IF(ISNUMBER(N3394),N3394,0)-IF(ISNUMBER(O3394),O3394,0)+IF(ISNUMBER(P3394),P3394,0)))&lt;=Summary!$B$2),"Passes using beginning_balance - PreV_ETB differs from beginning_balance",IF(AND(ISNUMBER(O3394),O3394&lt;0,ABS(L3394-(Q3394-IF(ISNUMBER(N3394),N3394,0)+IF(ISNUMBER(P3394),P3394,0)))&lt;=Summary!$B$2),"Negative realized loss not applied - check sign",IF(R3394&lt;0,"Principal paid exceeds prior balance",IF(AND(L3394&gt;Q3394,NOT(ISNUMBER(P3394))),"Balance increased but no Deferred_interest reported",IF(L3394&gt;R3394,"Reported balance higher than expected (missing increase/OC build)","Reported balance lower than expected (missing decrease)"))))),""))</f>
        <v/>
      </c>
    </row>
    <row r="3395" customFormat="false" ht="15" hidden="false" customHeight="false" outlineLevel="0" collapsed="false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9"/>
      <c r="L3395" s="9"/>
      <c r="M3395" s="9"/>
      <c r="N3395" s="9"/>
      <c r="O3395" s="9"/>
      <c r="P3395" s="9"/>
      <c r="Q3395" s="9"/>
      <c r="R3395" s="9" t="str">
        <f aca="false">IF(AND(A3395&lt;&gt;"",ISNUMBER(Q3395),ISNUMBER(L3395)),ROUND(Q3395-IF(ISNUMBER(N3395),N3395,0)-IF(ISNUMBER(O3395),O3395,0)+IF(ISNUMBER(P3395),P3395,0),2),"")</f>
        <v/>
      </c>
      <c r="S3395" s="9" t="str">
        <f aca="false">IF(R3395="","",ROUND(L3395-R3395,2))</f>
        <v/>
      </c>
      <c r="T3395" s="8" t="str">
        <f aca="false">IF(A3395="","",IF(S3395="","BYPASS",IF(ABS(S3395)&lt;=Summary!$B$2,"PASS","FAIL")))</f>
        <v/>
      </c>
      <c r="U3395" s="8" t="str">
        <f aca="false">IF(T3395="BYPASS",IF(NOT(ISNUMBER(Q3395)),"PreV_ETB missing","End_tr_balance missing"),IF(T3395="FAIL",IF(AND(ISNUMBER(K3395),ISNUMBER(L3395),ABS(L3395-(K3395-IF(ISNUMBER(N3395),N3395,0)-IF(ISNUMBER(O3395),O3395,0)+IF(ISNUMBER(P3395),P3395,0)))&lt;=Summary!$B$2),"Passes using beginning_balance - PreV_ETB differs from beginning_balance",IF(AND(ISNUMBER(O3395),O3395&lt;0,ABS(L3395-(Q3395-IF(ISNUMBER(N3395),N3395,0)+IF(ISNUMBER(P3395),P3395,0)))&lt;=Summary!$B$2),"Negative realized loss not applied - check sign",IF(R3395&lt;0,"Principal paid exceeds prior balance",IF(AND(L3395&gt;Q3395,NOT(ISNUMBER(P3395))),"Balance increased but no Deferred_interest reported",IF(L3395&gt;R3395,"Reported balance higher than expected (missing increase/OC build)","Reported balance lower than expected (missing decrease)"))))),""))</f>
        <v/>
      </c>
    </row>
    <row r="3396" customFormat="false" ht="15" hidden="false" customHeight="false" outlineLevel="0" collapsed="false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9"/>
      <c r="L3396" s="9"/>
      <c r="M3396" s="9"/>
      <c r="N3396" s="9"/>
      <c r="O3396" s="9"/>
      <c r="P3396" s="9"/>
      <c r="Q3396" s="9"/>
      <c r="R3396" s="9" t="str">
        <f aca="false">IF(AND(A3396&lt;&gt;"",ISNUMBER(Q3396),ISNUMBER(L3396)),ROUND(Q3396-IF(ISNUMBER(N3396),N3396,0)-IF(ISNUMBER(O3396),O3396,0)+IF(ISNUMBER(P3396),P3396,0),2),"")</f>
        <v/>
      </c>
      <c r="S3396" s="9" t="str">
        <f aca="false">IF(R3396="","",ROUND(L3396-R3396,2))</f>
        <v/>
      </c>
      <c r="T3396" s="8" t="str">
        <f aca="false">IF(A3396="","",IF(S3396="","BYPASS",IF(ABS(S3396)&lt;=Summary!$B$2,"PASS","FAIL")))</f>
        <v/>
      </c>
      <c r="U3396" s="8" t="str">
        <f aca="false">IF(T3396="BYPASS",IF(NOT(ISNUMBER(Q3396)),"PreV_ETB missing","End_tr_balance missing"),IF(T3396="FAIL",IF(AND(ISNUMBER(K3396),ISNUMBER(L3396),ABS(L3396-(K3396-IF(ISNUMBER(N3396),N3396,0)-IF(ISNUMBER(O3396),O3396,0)+IF(ISNUMBER(P3396),P3396,0)))&lt;=Summary!$B$2),"Passes using beginning_balance - PreV_ETB differs from beginning_balance",IF(AND(ISNUMBER(O3396),O3396&lt;0,ABS(L3396-(Q3396-IF(ISNUMBER(N3396),N3396,0)+IF(ISNUMBER(P3396),P3396,0)))&lt;=Summary!$B$2),"Negative realized loss not applied - check sign",IF(R3396&lt;0,"Principal paid exceeds prior balance",IF(AND(L3396&gt;Q3396,NOT(ISNUMBER(P3396))),"Balance increased but no Deferred_interest reported",IF(L3396&gt;R3396,"Reported balance higher than expected (missing increase/OC build)","Reported balance lower than expected (missing decrease)"))))),""))</f>
        <v/>
      </c>
    </row>
    <row r="3397" customFormat="false" ht="15" hidden="false" customHeight="false" outlineLevel="0" collapsed="false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9"/>
      <c r="L3397" s="9"/>
      <c r="M3397" s="9"/>
      <c r="N3397" s="9"/>
      <c r="O3397" s="9"/>
      <c r="P3397" s="9"/>
      <c r="Q3397" s="9"/>
      <c r="R3397" s="9" t="str">
        <f aca="false">IF(AND(A3397&lt;&gt;"",ISNUMBER(Q3397),ISNUMBER(L3397)),ROUND(Q3397-IF(ISNUMBER(N3397),N3397,0)-IF(ISNUMBER(O3397),O3397,0)+IF(ISNUMBER(P3397),P3397,0),2),"")</f>
        <v/>
      </c>
      <c r="S3397" s="9" t="str">
        <f aca="false">IF(R3397="","",ROUND(L3397-R3397,2))</f>
        <v/>
      </c>
      <c r="T3397" s="8" t="str">
        <f aca="false">IF(A3397="","",IF(S3397="","BYPASS",IF(ABS(S3397)&lt;=Summary!$B$2,"PASS","FAIL")))</f>
        <v/>
      </c>
      <c r="U3397" s="8" t="str">
        <f aca="false">IF(T3397="BYPASS",IF(NOT(ISNUMBER(Q3397)),"PreV_ETB missing","End_tr_balance missing"),IF(T3397="FAIL",IF(AND(ISNUMBER(K3397),ISNUMBER(L3397),ABS(L3397-(K3397-IF(ISNUMBER(N3397),N3397,0)-IF(ISNUMBER(O3397),O3397,0)+IF(ISNUMBER(P3397),P3397,0)))&lt;=Summary!$B$2),"Passes using beginning_balance - PreV_ETB differs from beginning_balance",IF(AND(ISNUMBER(O3397),O3397&lt;0,ABS(L3397-(Q3397-IF(ISNUMBER(N3397),N3397,0)+IF(ISNUMBER(P3397),P3397,0)))&lt;=Summary!$B$2),"Negative realized loss not applied - check sign",IF(R3397&lt;0,"Principal paid exceeds prior balance",IF(AND(L3397&gt;Q3397,NOT(ISNUMBER(P3397))),"Balance increased but no Deferred_interest reported",IF(L3397&gt;R3397,"Reported balance higher than expected (missing increase/OC build)","Reported balance lower than expected (missing decrease)"))))),""))</f>
        <v/>
      </c>
    </row>
    <row r="3398" customFormat="false" ht="15" hidden="false" customHeight="false" outlineLevel="0" collapsed="false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9"/>
      <c r="L3398" s="9"/>
      <c r="M3398" s="9"/>
      <c r="N3398" s="9"/>
      <c r="O3398" s="9"/>
      <c r="P3398" s="9"/>
      <c r="Q3398" s="9"/>
      <c r="R3398" s="9" t="str">
        <f aca="false">IF(AND(A3398&lt;&gt;"",ISNUMBER(Q3398),ISNUMBER(L3398)),ROUND(Q3398-IF(ISNUMBER(N3398),N3398,0)-IF(ISNUMBER(O3398),O3398,0)+IF(ISNUMBER(P3398),P3398,0),2),"")</f>
        <v/>
      </c>
      <c r="S3398" s="9" t="str">
        <f aca="false">IF(R3398="","",ROUND(L3398-R3398,2))</f>
        <v/>
      </c>
      <c r="T3398" s="8" t="str">
        <f aca="false">IF(A3398="","",IF(S3398="","BYPASS",IF(ABS(S3398)&lt;=Summary!$B$2,"PASS","FAIL")))</f>
        <v/>
      </c>
      <c r="U3398" s="8" t="str">
        <f aca="false">IF(T3398="BYPASS",IF(NOT(ISNUMBER(Q3398)),"PreV_ETB missing","End_tr_balance missing"),IF(T3398="FAIL",IF(AND(ISNUMBER(K3398),ISNUMBER(L3398),ABS(L3398-(K3398-IF(ISNUMBER(N3398),N3398,0)-IF(ISNUMBER(O3398),O3398,0)+IF(ISNUMBER(P3398),P3398,0)))&lt;=Summary!$B$2),"Passes using beginning_balance - PreV_ETB differs from beginning_balance",IF(AND(ISNUMBER(O3398),O3398&lt;0,ABS(L3398-(Q3398-IF(ISNUMBER(N3398),N3398,0)+IF(ISNUMBER(P3398),P3398,0)))&lt;=Summary!$B$2),"Negative realized loss not applied - check sign",IF(R3398&lt;0,"Principal paid exceeds prior balance",IF(AND(L3398&gt;Q3398,NOT(ISNUMBER(P3398))),"Balance increased but no Deferred_interest reported",IF(L3398&gt;R3398,"Reported balance higher than expected (missing increase/OC build)","Reported balance lower than expected (missing decrease)"))))),""))</f>
        <v/>
      </c>
    </row>
    <row r="3399" customFormat="false" ht="15" hidden="false" customHeight="false" outlineLevel="0" collapsed="false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9"/>
      <c r="L3399" s="9"/>
      <c r="M3399" s="9"/>
      <c r="N3399" s="9"/>
      <c r="O3399" s="9"/>
      <c r="P3399" s="9"/>
      <c r="Q3399" s="9"/>
      <c r="R3399" s="9" t="str">
        <f aca="false">IF(AND(A3399&lt;&gt;"",ISNUMBER(Q3399),ISNUMBER(L3399)),ROUND(Q3399-IF(ISNUMBER(N3399),N3399,0)-IF(ISNUMBER(O3399),O3399,0)+IF(ISNUMBER(P3399),P3399,0),2),"")</f>
        <v/>
      </c>
      <c r="S3399" s="9" t="str">
        <f aca="false">IF(R3399="","",ROUND(L3399-R3399,2))</f>
        <v/>
      </c>
      <c r="T3399" s="8" t="str">
        <f aca="false">IF(A3399="","",IF(S3399="","BYPASS",IF(ABS(S3399)&lt;=Summary!$B$2,"PASS","FAIL")))</f>
        <v/>
      </c>
      <c r="U3399" s="8" t="str">
        <f aca="false">IF(T3399="BYPASS",IF(NOT(ISNUMBER(Q3399)),"PreV_ETB missing","End_tr_balance missing"),IF(T3399="FAIL",IF(AND(ISNUMBER(K3399),ISNUMBER(L3399),ABS(L3399-(K3399-IF(ISNUMBER(N3399),N3399,0)-IF(ISNUMBER(O3399),O3399,0)+IF(ISNUMBER(P3399),P3399,0)))&lt;=Summary!$B$2),"Passes using beginning_balance - PreV_ETB differs from beginning_balance",IF(AND(ISNUMBER(O3399),O3399&lt;0,ABS(L3399-(Q3399-IF(ISNUMBER(N3399),N3399,0)+IF(ISNUMBER(P3399),P3399,0)))&lt;=Summary!$B$2),"Negative realized loss not applied - check sign",IF(R3399&lt;0,"Principal paid exceeds prior balance",IF(AND(L3399&gt;Q3399,NOT(ISNUMBER(P3399))),"Balance increased but no Deferred_interest reported",IF(L3399&gt;R3399,"Reported balance higher than expected (missing increase/OC build)","Reported balance lower than expected (missing decrease)"))))),""))</f>
        <v/>
      </c>
    </row>
    <row r="3400" customFormat="false" ht="15" hidden="false" customHeight="false" outlineLevel="0" collapsed="false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9"/>
      <c r="L3400" s="9"/>
      <c r="M3400" s="9"/>
      <c r="N3400" s="9"/>
      <c r="O3400" s="9"/>
      <c r="P3400" s="9"/>
      <c r="Q3400" s="9"/>
      <c r="R3400" s="9" t="str">
        <f aca="false">IF(AND(A3400&lt;&gt;"",ISNUMBER(Q3400),ISNUMBER(L3400)),ROUND(Q3400-IF(ISNUMBER(N3400),N3400,0)-IF(ISNUMBER(O3400),O3400,0)+IF(ISNUMBER(P3400),P3400,0),2),"")</f>
        <v/>
      </c>
      <c r="S3400" s="9" t="str">
        <f aca="false">IF(R3400="","",ROUND(L3400-R3400,2))</f>
        <v/>
      </c>
      <c r="T3400" s="8" t="str">
        <f aca="false">IF(A3400="","",IF(S3400="","BYPASS",IF(ABS(S3400)&lt;=Summary!$B$2,"PASS","FAIL")))</f>
        <v/>
      </c>
      <c r="U3400" s="8" t="str">
        <f aca="false">IF(T3400="BYPASS",IF(NOT(ISNUMBER(Q3400)),"PreV_ETB missing","End_tr_balance missing"),IF(T3400="FAIL",IF(AND(ISNUMBER(K3400),ISNUMBER(L3400),ABS(L3400-(K3400-IF(ISNUMBER(N3400),N3400,0)-IF(ISNUMBER(O3400),O3400,0)+IF(ISNUMBER(P3400),P3400,0)))&lt;=Summary!$B$2),"Passes using beginning_balance - PreV_ETB differs from beginning_balance",IF(AND(ISNUMBER(O3400),O3400&lt;0,ABS(L3400-(Q3400-IF(ISNUMBER(N3400),N3400,0)+IF(ISNUMBER(P3400),P3400,0)))&lt;=Summary!$B$2),"Negative realized loss not applied - check sign",IF(R3400&lt;0,"Principal paid exceeds prior balance",IF(AND(L3400&gt;Q3400,NOT(ISNUMBER(P3400))),"Balance increased but no Deferred_interest reported",IF(L3400&gt;R3400,"Reported balance higher than expected (missing increase/OC build)","Reported balance lower than expected (missing decrease)"))))),""))</f>
        <v/>
      </c>
    </row>
    <row r="3401" customFormat="false" ht="15" hidden="false" customHeight="false" outlineLevel="0" collapsed="false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9"/>
      <c r="L3401" s="9"/>
      <c r="M3401" s="9"/>
      <c r="N3401" s="9"/>
      <c r="O3401" s="9"/>
      <c r="P3401" s="9"/>
      <c r="Q3401" s="9"/>
      <c r="R3401" s="9" t="str">
        <f aca="false">IF(AND(A3401&lt;&gt;"",ISNUMBER(Q3401),ISNUMBER(L3401)),ROUND(Q3401-IF(ISNUMBER(N3401),N3401,0)-IF(ISNUMBER(O3401),O3401,0)+IF(ISNUMBER(P3401),P3401,0),2),"")</f>
        <v/>
      </c>
      <c r="S3401" s="9" t="str">
        <f aca="false">IF(R3401="","",ROUND(L3401-R3401,2))</f>
        <v/>
      </c>
      <c r="T3401" s="8" t="str">
        <f aca="false">IF(A3401="","",IF(S3401="","BYPASS",IF(ABS(S3401)&lt;=Summary!$B$2,"PASS","FAIL")))</f>
        <v/>
      </c>
      <c r="U3401" s="8" t="str">
        <f aca="false">IF(T3401="BYPASS",IF(NOT(ISNUMBER(Q3401)),"PreV_ETB missing","End_tr_balance missing"),IF(T3401="FAIL",IF(AND(ISNUMBER(K3401),ISNUMBER(L3401),ABS(L3401-(K3401-IF(ISNUMBER(N3401),N3401,0)-IF(ISNUMBER(O3401),O3401,0)+IF(ISNUMBER(P3401),P3401,0)))&lt;=Summary!$B$2),"Passes using beginning_balance - PreV_ETB differs from beginning_balance",IF(AND(ISNUMBER(O3401),O3401&lt;0,ABS(L3401-(Q3401-IF(ISNUMBER(N3401),N3401,0)+IF(ISNUMBER(P3401),P3401,0)))&lt;=Summary!$B$2),"Negative realized loss not applied - check sign",IF(R3401&lt;0,"Principal paid exceeds prior balance",IF(AND(L3401&gt;Q3401,NOT(ISNUMBER(P3401))),"Balance increased but no Deferred_interest reported",IF(L3401&gt;R3401,"Reported balance higher than expected (missing increase/OC build)","Reported balance lower than expected (missing decrease)"))))),""))</f>
        <v/>
      </c>
    </row>
    <row r="3402" customFormat="false" ht="15" hidden="false" customHeight="false" outlineLevel="0" collapsed="false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9"/>
      <c r="L3402" s="9"/>
      <c r="M3402" s="9"/>
      <c r="N3402" s="9"/>
      <c r="O3402" s="9"/>
      <c r="P3402" s="9"/>
      <c r="Q3402" s="9"/>
      <c r="R3402" s="9" t="str">
        <f aca="false">IF(AND(A3402&lt;&gt;"",ISNUMBER(Q3402),ISNUMBER(L3402)),ROUND(Q3402-IF(ISNUMBER(N3402),N3402,0)-IF(ISNUMBER(O3402),O3402,0)+IF(ISNUMBER(P3402),P3402,0),2),"")</f>
        <v/>
      </c>
      <c r="S3402" s="9" t="str">
        <f aca="false">IF(R3402="","",ROUND(L3402-R3402,2))</f>
        <v/>
      </c>
      <c r="T3402" s="8" t="str">
        <f aca="false">IF(A3402="","",IF(S3402="","BYPASS",IF(ABS(S3402)&lt;=Summary!$B$2,"PASS","FAIL")))</f>
        <v/>
      </c>
      <c r="U3402" s="8" t="str">
        <f aca="false">IF(T3402="BYPASS",IF(NOT(ISNUMBER(Q3402)),"PreV_ETB missing","End_tr_balance missing"),IF(T3402="FAIL",IF(AND(ISNUMBER(K3402),ISNUMBER(L3402),ABS(L3402-(K3402-IF(ISNUMBER(N3402),N3402,0)-IF(ISNUMBER(O3402),O3402,0)+IF(ISNUMBER(P3402),P3402,0)))&lt;=Summary!$B$2),"Passes using beginning_balance - PreV_ETB differs from beginning_balance",IF(AND(ISNUMBER(O3402),O3402&lt;0,ABS(L3402-(Q3402-IF(ISNUMBER(N3402),N3402,0)+IF(ISNUMBER(P3402),P3402,0)))&lt;=Summary!$B$2),"Negative realized loss not applied - check sign",IF(R3402&lt;0,"Principal paid exceeds prior balance",IF(AND(L3402&gt;Q3402,NOT(ISNUMBER(P3402))),"Balance increased but no Deferred_interest reported",IF(L3402&gt;R3402,"Reported balance higher than expected (missing increase/OC build)","Reported balance lower than expected (missing decrease)"))))),""))</f>
        <v/>
      </c>
    </row>
    <row r="3403" customFormat="false" ht="15" hidden="false" customHeight="false" outlineLevel="0" collapsed="false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9"/>
      <c r="L3403" s="9"/>
      <c r="M3403" s="9"/>
      <c r="N3403" s="9"/>
      <c r="O3403" s="9"/>
      <c r="P3403" s="9"/>
      <c r="Q3403" s="9"/>
      <c r="R3403" s="9" t="str">
        <f aca="false">IF(AND(A3403&lt;&gt;"",ISNUMBER(Q3403),ISNUMBER(L3403)),ROUND(Q3403-IF(ISNUMBER(N3403),N3403,0)-IF(ISNUMBER(O3403),O3403,0)+IF(ISNUMBER(P3403),P3403,0),2),"")</f>
        <v/>
      </c>
      <c r="S3403" s="9" t="str">
        <f aca="false">IF(R3403="","",ROUND(L3403-R3403,2))</f>
        <v/>
      </c>
      <c r="T3403" s="8" t="str">
        <f aca="false">IF(A3403="","",IF(S3403="","BYPASS",IF(ABS(S3403)&lt;=Summary!$B$2,"PASS","FAIL")))</f>
        <v/>
      </c>
      <c r="U3403" s="8" t="str">
        <f aca="false">IF(T3403="BYPASS",IF(NOT(ISNUMBER(Q3403)),"PreV_ETB missing","End_tr_balance missing"),IF(T3403="FAIL",IF(AND(ISNUMBER(K3403),ISNUMBER(L3403),ABS(L3403-(K3403-IF(ISNUMBER(N3403),N3403,0)-IF(ISNUMBER(O3403),O3403,0)+IF(ISNUMBER(P3403),P3403,0)))&lt;=Summary!$B$2),"Passes using beginning_balance - PreV_ETB differs from beginning_balance",IF(AND(ISNUMBER(O3403),O3403&lt;0,ABS(L3403-(Q3403-IF(ISNUMBER(N3403),N3403,0)+IF(ISNUMBER(P3403),P3403,0)))&lt;=Summary!$B$2),"Negative realized loss not applied - check sign",IF(R3403&lt;0,"Principal paid exceeds prior balance",IF(AND(L3403&gt;Q3403,NOT(ISNUMBER(P3403))),"Balance increased but no Deferred_interest reported",IF(L3403&gt;R3403,"Reported balance higher than expected (missing increase/OC build)","Reported balance lower than expected (missing decrease)"))))),""))</f>
        <v/>
      </c>
    </row>
    <row r="3404" customFormat="false" ht="15" hidden="false" customHeight="false" outlineLevel="0" collapsed="false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9"/>
      <c r="L3404" s="9"/>
      <c r="M3404" s="9"/>
      <c r="N3404" s="9"/>
      <c r="O3404" s="9"/>
      <c r="P3404" s="9"/>
      <c r="Q3404" s="9"/>
      <c r="R3404" s="9" t="str">
        <f aca="false">IF(AND(A3404&lt;&gt;"",ISNUMBER(Q3404),ISNUMBER(L3404)),ROUND(Q3404-IF(ISNUMBER(N3404),N3404,0)-IF(ISNUMBER(O3404),O3404,0)+IF(ISNUMBER(P3404),P3404,0),2),"")</f>
        <v/>
      </c>
      <c r="S3404" s="9" t="str">
        <f aca="false">IF(R3404="","",ROUND(L3404-R3404,2))</f>
        <v/>
      </c>
      <c r="T3404" s="8" t="str">
        <f aca="false">IF(A3404="","",IF(S3404="","BYPASS",IF(ABS(S3404)&lt;=Summary!$B$2,"PASS","FAIL")))</f>
        <v/>
      </c>
      <c r="U3404" s="8" t="str">
        <f aca="false">IF(T3404="BYPASS",IF(NOT(ISNUMBER(Q3404)),"PreV_ETB missing","End_tr_balance missing"),IF(T3404="FAIL",IF(AND(ISNUMBER(K3404),ISNUMBER(L3404),ABS(L3404-(K3404-IF(ISNUMBER(N3404),N3404,0)-IF(ISNUMBER(O3404),O3404,0)+IF(ISNUMBER(P3404),P3404,0)))&lt;=Summary!$B$2),"Passes using beginning_balance - PreV_ETB differs from beginning_balance",IF(AND(ISNUMBER(O3404),O3404&lt;0,ABS(L3404-(Q3404-IF(ISNUMBER(N3404),N3404,0)+IF(ISNUMBER(P3404),P3404,0)))&lt;=Summary!$B$2),"Negative realized loss not applied - check sign",IF(R3404&lt;0,"Principal paid exceeds prior balance",IF(AND(L3404&gt;Q3404,NOT(ISNUMBER(P3404))),"Balance increased but no Deferred_interest reported",IF(L3404&gt;R3404,"Reported balance higher than expected (missing increase/OC build)","Reported balance lower than expected (missing decrease)"))))),""))</f>
        <v/>
      </c>
    </row>
    <row r="3405" customFormat="false" ht="15" hidden="false" customHeight="false" outlineLevel="0" collapsed="false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9"/>
      <c r="L3405" s="9"/>
      <c r="M3405" s="9"/>
      <c r="N3405" s="9"/>
      <c r="O3405" s="9"/>
      <c r="P3405" s="9"/>
      <c r="Q3405" s="9"/>
      <c r="R3405" s="9" t="str">
        <f aca="false">IF(AND(A3405&lt;&gt;"",ISNUMBER(Q3405),ISNUMBER(L3405)),ROUND(Q3405-IF(ISNUMBER(N3405),N3405,0)-IF(ISNUMBER(O3405),O3405,0)+IF(ISNUMBER(P3405),P3405,0),2),"")</f>
        <v/>
      </c>
      <c r="S3405" s="9" t="str">
        <f aca="false">IF(R3405="","",ROUND(L3405-R3405,2))</f>
        <v/>
      </c>
      <c r="T3405" s="8" t="str">
        <f aca="false">IF(A3405="","",IF(S3405="","BYPASS",IF(ABS(S3405)&lt;=Summary!$B$2,"PASS","FAIL")))</f>
        <v/>
      </c>
      <c r="U3405" s="8" t="str">
        <f aca="false">IF(T3405="BYPASS",IF(NOT(ISNUMBER(Q3405)),"PreV_ETB missing","End_tr_balance missing"),IF(T3405="FAIL",IF(AND(ISNUMBER(K3405),ISNUMBER(L3405),ABS(L3405-(K3405-IF(ISNUMBER(N3405),N3405,0)-IF(ISNUMBER(O3405),O3405,0)+IF(ISNUMBER(P3405),P3405,0)))&lt;=Summary!$B$2),"Passes using beginning_balance - PreV_ETB differs from beginning_balance",IF(AND(ISNUMBER(O3405),O3405&lt;0,ABS(L3405-(Q3405-IF(ISNUMBER(N3405),N3405,0)+IF(ISNUMBER(P3405),P3405,0)))&lt;=Summary!$B$2),"Negative realized loss not applied - check sign",IF(R3405&lt;0,"Principal paid exceeds prior balance",IF(AND(L3405&gt;Q3405,NOT(ISNUMBER(P3405))),"Balance increased but no Deferred_interest reported",IF(L3405&gt;R3405,"Reported balance higher than expected (missing increase/OC build)","Reported balance lower than expected (missing decrease)"))))),""))</f>
        <v/>
      </c>
    </row>
    <row r="3406" customFormat="false" ht="15" hidden="false" customHeight="false" outlineLevel="0" collapsed="false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9"/>
      <c r="L3406" s="9"/>
      <c r="M3406" s="9"/>
      <c r="N3406" s="9"/>
      <c r="O3406" s="9"/>
      <c r="P3406" s="9"/>
      <c r="Q3406" s="9"/>
      <c r="R3406" s="9" t="str">
        <f aca="false">IF(AND(A3406&lt;&gt;"",ISNUMBER(Q3406),ISNUMBER(L3406)),ROUND(Q3406-IF(ISNUMBER(N3406),N3406,0)-IF(ISNUMBER(O3406),O3406,0)+IF(ISNUMBER(P3406),P3406,0),2),"")</f>
        <v/>
      </c>
      <c r="S3406" s="9" t="str">
        <f aca="false">IF(R3406="","",ROUND(L3406-R3406,2))</f>
        <v/>
      </c>
      <c r="T3406" s="8" t="str">
        <f aca="false">IF(A3406="","",IF(S3406="","BYPASS",IF(ABS(S3406)&lt;=Summary!$B$2,"PASS","FAIL")))</f>
        <v/>
      </c>
      <c r="U3406" s="8" t="str">
        <f aca="false">IF(T3406="BYPASS",IF(NOT(ISNUMBER(Q3406)),"PreV_ETB missing","End_tr_balance missing"),IF(T3406="FAIL",IF(AND(ISNUMBER(K3406),ISNUMBER(L3406),ABS(L3406-(K3406-IF(ISNUMBER(N3406),N3406,0)-IF(ISNUMBER(O3406),O3406,0)+IF(ISNUMBER(P3406),P3406,0)))&lt;=Summary!$B$2),"Passes using beginning_balance - PreV_ETB differs from beginning_balance",IF(AND(ISNUMBER(O3406),O3406&lt;0,ABS(L3406-(Q3406-IF(ISNUMBER(N3406),N3406,0)+IF(ISNUMBER(P3406),P3406,0)))&lt;=Summary!$B$2),"Negative realized loss not applied - check sign",IF(R3406&lt;0,"Principal paid exceeds prior balance",IF(AND(L3406&gt;Q3406,NOT(ISNUMBER(P3406))),"Balance increased but no Deferred_interest reported",IF(L3406&gt;R3406,"Reported balance higher than expected (missing increase/OC build)","Reported balance lower than expected (missing decrease)"))))),""))</f>
        <v/>
      </c>
    </row>
    <row r="3407" customFormat="false" ht="15" hidden="false" customHeight="false" outlineLevel="0" collapsed="false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9"/>
      <c r="L3407" s="9"/>
      <c r="M3407" s="9"/>
      <c r="N3407" s="9"/>
      <c r="O3407" s="9"/>
      <c r="P3407" s="9"/>
      <c r="Q3407" s="9"/>
      <c r="R3407" s="9" t="str">
        <f aca="false">IF(AND(A3407&lt;&gt;"",ISNUMBER(Q3407),ISNUMBER(L3407)),ROUND(Q3407-IF(ISNUMBER(N3407),N3407,0)-IF(ISNUMBER(O3407),O3407,0)+IF(ISNUMBER(P3407),P3407,0),2),"")</f>
        <v/>
      </c>
      <c r="S3407" s="9" t="str">
        <f aca="false">IF(R3407="","",ROUND(L3407-R3407,2))</f>
        <v/>
      </c>
      <c r="T3407" s="8" t="str">
        <f aca="false">IF(A3407="","",IF(S3407="","BYPASS",IF(ABS(S3407)&lt;=Summary!$B$2,"PASS","FAIL")))</f>
        <v/>
      </c>
      <c r="U3407" s="8" t="str">
        <f aca="false">IF(T3407="BYPASS",IF(NOT(ISNUMBER(Q3407)),"PreV_ETB missing","End_tr_balance missing"),IF(T3407="FAIL",IF(AND(ISNUMBER(K3407),ISNUMBER(L3407),ABS(L3407-(K3407-IF(ISNUMBER(N3407),N3407,0)-IF(ISNUMBER(O3407),O3407,0)+IF(ISNUMBER(P3407),P3407,0)))&lt;=Summary!$B$2),"Passes using beginning_balance - PreV_ETB differs from beginning_balance",IF(AND(ISNUMBER(O3407),O3407&lt;0,ABS(L3407-(Q3407-IF(ISNUMBER(N3407),N3407,0)+IF(ISNUMBER(P3407),P3407,0)))&lt;=Summary!$B$2),"Negative realized loss not applied - check sign",IF(R3407&lt;0,"Principal paid exceeds prior balance",IF(AND(L3407&gt;Q3407,NOT(ISNUMBER(P3407))),"Balance increased but no Deferred_interest reported",IF(L3407&gt;R3407,"Reported balance higher than expected (missing increase/OC build)","Reported balance lower than expected (missing decrease)"))))),""))</f>
        <v/>
      </c>
    </row>
    <row r="3408" customFormat="false" ht="15" hidden="false" customHeight="false" outlineLevel="0" collapsed="false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9"/>
      <c r="L3408" s="9"/>
      <c r="M3408" s="9"/>
      <c r="N3408" s="9"/>
      <c r="O3408" s="9"/>
      <c r="P3408" s="9"/>
      <c r="Q3408" s="9"/>
      <c r="R3408" s="9" t="str">
        <f aca="false">IF(AND(A3408&lt;&gt;"",ISNUMBER(Q3408),ISNUMBER(L3408)),ROUND(Q3408-IF(ISNUMBER(N3408),N3408,0)-IF(ISNUMBER(O3408),O3408,0)+IF(ISNUMBER(P3408),P3408,0),2),"")</f>
        <v/>
      </c>
      <c r="S3408" s="9" t="str">
        <f aca="false">IF(R3408="","",ROUND(L3408-R3408,2))</f>
        <v/>
      </c>
      <c r="T3408" s="8" t="str">
        <f aca="false">IF(A3408="","",IF(S3408="","BYPASS",IF(ABS(S3408)&lt;=Summary!$B$2,"PASS","FAIL")))</f>
        <v/>
      </c>
      <c r="U3408" s="8" t="str">
        <f aca="false">IF(T3408="BYPASS",IF(NOT(ISNUMBER(Q3408)),"PreV_ETB missing","End_tr_balance missing"),IF(T3408="FAIL",IF(AND(ISNUMBER(K3408),ISNUMBER(L3408),ABS(L3408-(K3408-IF(ISNUMBER(N3408),N3408,0)-IF(ISNUMBER(O3408),O3408,0)+IF(ISNUMBER(P3408),P3408,0)))&lt;=Summary!$B$2),"Passes using beginning_balance - PreV_ETB differs from beginning_balance",IF(AND(ISNUMBER(O3408),O3408&lt;0,ABS(L3408-(Q3408-IF(ISNUMBER(N3408),N3408,0)+IF(ISNUMBER(P3408),P3408,0)))&lt;=Summary!$B$2),"Negative realized loss not applied - check sign",IF(R3408&lt;0,"Principal paid exceeds prior balance",IF(AND(L3408&gt;Q3408,NOT(ISNUMBER(P3408))),"Balance increased but no Deferred_interest reported",IF(L3408&gt;R3408,"Reported balance higher than expected (missing increase/OC build)","Reported balance lower than expected (missing decrease)"))))),""))</f>
        <v/>
      </c>
    </row>
    <row r="3409" customFormat="false" ht="15" hidden="false" customHeight="false" outlineLevel="0" collapsed="false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9"/>
      <c r="L3409" s="9"/>
      <c r="M3409" s="9"/>
      <c r="N3409" s="9"/>
      <c r="O3409" s="9"/>
      <c r="P3409" s="9"/>
      <c r="Q3409" s="9"/>
      <c r="R3409" s="9" t="str">
        <f aca="false">IF(AND(A3409&lt;&gt;"",ISNUMBER(Q3409),ISNUMBER(L3409)),ROUND(Q3409-IF(ISNUMBER(N3409),N3409,0)-IF(ISNUMBER(O3409),O3409,0)+IF(ISNUMBER(P3409),P3409,0),2),"")</f>
        <v/>
      </c>
      <c r="S3409" s="9" t="str">
        <f aca="false">IF(R3409="","",ROUND(L3409-R3409,2))</f>
        <v/>
      </c>
      <c r="T3409" s="8" t="str">
        <f aca="false">IF(A3409="","",IF(S3409="","BYPASS",IF(ABS(S3409)&lt;=Summary!$B$2,"PASS","FAIL")))</f>
        <v/>
      </c>
      <c r="U3409" s="8" t="str">
        <f aca="false">IF(T3409="BYPASS",IF(NOT(ISNUMBER(Q3409)),"PreV_ETB missing","End_tr_balance missing"),IF(T3409="FAIL",IF(AND(ISNUMBER(K3409),ISNUMBER(L3409),ABS(L3409-(K3409-IF(ISNUMBER(N3409),N3409,0)-IF(ISNUMBER(O3409),O3409,0)+IF(ISNUMBER(P3409),P3409,0)))&lt;=Summary!$B$2),"Passes using beginning_balance - PreV_ETB differs from beginning_balance",IF(AND(ISNUMBER(O3409),O3409&lt;0,ABS(L3409-(Q3409-IF(ISNUMBER(N3409),N3409,0)+IF(ISNUMBER(P3409),P3409,0)))&lt;=Summary!$B$2),"Negative realized loss not applied - check sign",IF(R3409&lt;0,"Principal paid exceeds prior balance",IF(AND(L3409&gt;Q3409,NOT(ISNUMBER(P3409))),"Balance increased but no Deferred_interest reported",IF(L3409&gt;R3409,"Reported balance higher than expected (missing increase/OC build)","Reported balance lower than expected (missing decrease)"))))),""))</f>
        <v/>
      </c>
    </row>
    <row r="3410" customFormat="false" ht="15" hidden="false" customHeight="false" outlineLevel="0" collapsed="false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9"/>
      <c r="L3410" s="9"/>
      <c r="M3410" s="9"/>
      <c r="N3410" s="9"/>
      <c r="O3410" s="9"/>
      <c r="P3410" s="9"/>
      <c r="Q3410" s="9"/>
      <c r="R3410" s="9" t="str">
        <f aca="false">IF(AND(A3410&lt;&gt;"",ISNUMBER(Q3410),ISNUMBER(L3410)),ROUND(Q3410-IF(ISNUMBER(N3410),N3410,0)-IF(ISNUMBER(O3410),O3410,0)+IF(ISNUMBER(P3410),P3410,0),2),"")</f>
        <v/>
      </c>
      <c r="S3410" s="9" t="str">
        <f aca="false">IF(R3410="","",ROUND(L3410-R3410,2))</f>
        <v/>
      </c>
      <c r="T3410" s="8" t="str">
        <f aca="false">IF(A3410="","",IF(S3410="","BYPASS",IF(ABS(S3410)&lt;=Summary!$B$2,"PASS","FAIL")))</f>
        <v/>
      </c>
      <c r="U3410" s="8" t="str">
        <f aca="false">IF(T3410="BYPASS",IF(NOT(ISNUMBER(Q3410)),"PreV_ETB missing","End_tr_balance missing"),IF(T3410="FAIL",IF(AND(ISNUMBER(K3410),ISNUMBER(L3410),ABS(L3410-(K3410-IF(ISNUMBER(N3410),N3410,0)-IF(ISNUMBER(O3410),O3410,0)+IF(ISNUMBER(P3410),P3410,0)))&lt;=Summary!$B$2),"Passes using beginning_balance - PreV_ETB differs from beginning_balance",IF(AND(ISNUMBER(O3410),O3410&lt;0,ABS(L3410-(Q3410-IF(ISNUMBER(N3410),N3410,0)+IF(ISNUMBER(P3410),P3410,0)))&lt;=Summary!$B$2),"Negative realized loss not applied - check sign",IF(R3410&lt;0,"Principal paid exceeds prior balance",IF(AND(L3410&gt;Q3410,NOT(ISNUMBER(P3410))),"Balance increased but no Deferred_interest reported",IF(L3410&gt;R3410,"Reported balance higher than expected (missing increase/OC build)","Reported balance lower than expected (missing decrease)"))))),""))</f>
        <v/>
      </c>
    </row>
    <row r="3411" customFormat="false" ht="15" hidden="false" customHeight="false" outlineLevel="0" collapsed="false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9"/>
      <c r="L3411" s="9"/>
      <c r="M3411" s="9"/>
      <c r="N3411" s="9"/>
      <c r="O3411" s="9"/>
      <c r="P3411" s="9"/>
      <c r="Q3411" s="9"/>
      <c r="R3411" s="9" t="str">
        <f aca="false">IF(AND(A3411&lt;&gt;"",ISNUMBER(Q3411),ISNUMBER(L3411)),ROUND(Q3411-IF(ISNUMBER(N3411),N3411,0)-IF(ISNUMBER(O3411),O3411,0)+IF(ISNUMBER(P3411),P3411,0),2),"")</f>
        <v/>
      </c>
      <c r="S3411" s="9" t="str">
        <f aca="false">IF(R3411="","",ROUND(L3411-R3411,2))</f>
        <v/>
      </c>
      <c r="T3411" s="8" t="str">
        <f aca="false">IF(A3411="","",IF(S3411="","BYPASS",IF(ABS(S3411)&lt;=Summary!$B$2,"PASS","FAIL")))</f>
        <v/>
      </c>
      <c r="U3411" s="8" t="str">
        <f aca="false">IF(T3411="BYPASS",IF(NOT(ISNUMBER(Q3411)),"PreV_ETB missing","End_tr_balance missing"),IF(T3411="FAIL",IF(AND(ISNUMBER(K3411),ISNUMBER(L3411),ABS(L3411-(K3411-IF(ISNUMBER(N3411),N3411,0)-IF(ISNUMBER(O3411),O3411,0)+IF(ISNUMBER(P3411),P3411,0)))&lt;=Summary!$B$2),"Passes using beginning_balance - PreV_ETB differs from beginning_balance",IF(AND(ISNUMBER(O3411),O3411&lt;0,ABS(L3411-(Q3411-IF(ISNUMBER(N3411),N3411,0)+IF(ISNUMBER(P3411),P3411,0)))&lt;=Summary!$B$2),"Negative realized loss not applied - check sign",IF(R3411&lt;0,"Principal paid exceeds prior balance",IF(AND(L3411&gt;Q3411,NOT(ISNUMBER(P3411))),"Balance increased but no Deferred_interest reported",IF(L3411&gt;R3411,"Reported balance higher than expected (missing increase/OC build)","Reported balance lower than expected (missing decrease)"))))),""))</f>
        <v/>
      </c>
    </row>
    <row r="3412" customFormat="false" ht="15" hidden="false" customHeight="false" outlineLevel="0" collapsed="false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9"/>
      <c r="L3412" s="9"/>
      <c r="M3412" s="9"/>
      <c r="N3412" s="9"/>
      <c r="O3412" s="9"/>
      <c r="P3412" s="9"/>
      <c r="Q3412" s="9"/>
      <c r="R3412" s="9" t="str">
        <f aca="false">IF(AND(A3412&lt;&gt;"",ISNUMBER(Q3412),ISNUMBER(L3412)),ROUND(Q3412-IF(ISNUMBER(N3412),N3412,0)-IF(ISNUMBER(O3412),O3412,0)+IF(ISNUMBER(P3412),P3412,0),2),"")</f>
        <v/>
      </c>
      <c r="S3412" s="9" t="str">
        <f aca="false">IF(R3412="","",ROUND(L3412-R3412,2))</f>
        <v/>
      </c>
      <c r="T3412" s="8" t="str">
        <f aca="false">IF(A3412="","",IF(S3412="","BYPASS",IF(ABS(S3412)&lt;=Summary!$B$2,"PASS","FAIL")))</f>
        <v/>
      </c>
      <c r="U3412" s="8" t="str">
        <f aca="false">IF(T3412="BYPASS",IF(NOT(ISNUMBER(Q3412)),"PreV_ETB missing","End_tr_balance missing"),IF(T3412="FAIL",IF(AND(ISNUMBER(K3412),ISNUMBER(L3412),ABS(L3412-(K3412-IF(ISNUMBER(N3412),N3412,0)-IF(ISNUMBER(O3412),O3412,0)+IF(ISNUMBER(P3412),P3412,0)))&lt;=Summary!$B$2),"Passes using beginning_balance - PreV_ETB differs from beginning_balance",IF(AND(ISNUMBER(O3412),O3412&lt;0,ABS(L3412-(Q3412-IF(ISNUMBER(N3412),N3412,0)+IF(ISNUMBER(P3412),P3412,0)))&lt;=Summary!$B$2),"Negative realized loss not applied - check sign",IF(R3412&lt;0,"Principal paid exceeds prior balance",IF(AND(L3412&gt;Q3412,NOT(ISNUMBER(P3412))),"Balance increased but no Deferred_interest reported",IF(L3412&gt;R3412,"Reported balance higher than expected (missing increase/OC build)","Reported balance lower than expected (missing decrease)"))))),""))</f>
        <v/>
      </c>
    </row>
    <row r="3413" customFormat="false" ht="15" hidden="false" customHeight="false" outlineLevel="0" collapsed="false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9"/>
      <c r="L3413" s="9"/>
      <c r="M3413" s="9"/>
      <c r="N3413" s="9"/>
      <c r="O3413" s="9"/>
      <c r="P3413" s="9"/>
      <c r="Q3413" s="9"/>
      <c r="R3413" s="9" t="str">
        <f aca="false">IF(AND(A3413&lt;&gt;"",ISNUMBER(Q3413),ISNUMBER(L3413)),ROUND(Q3413-IF(ISNUMBER(N3413),N3413,0)-IF(ISNUMBER(O3413),O3413,0)+IF(ISNUMBER(P3413),P3413,0),2),"")</f>
        <v/>
      </c>
      <c r="S3413" s="9" t="str">
        <f aca="false">IF(R3413="","",ROUND(L3413-R3413,2))</f>
        <v/>
      </c>
      <c r="T3413" s="8" t="str">
        <f aca="false">IF(A3413="","",IF(S3413="","BYPASS",IF(ABS(S3413)&lt;=Summary!$B$2,"PASS","FAIL")))</f>
        <v/>
      </c>
      <c r="U3413" s="8" t="str">
        <f aca="false">IF(T3413="BYPASS",IF(NOT(ISNUMBER(Q3413)),"PreV_ETB missing","End_tr_balance missing"),IF(T3413="FAIL",IF(AND(ISNUMBER(K3413),ISNUMBER(L3413),ABS(L3413-(K3413-IF(ISNUMBER(N3413),N3413,0)-IF(ISNUMBER(O3413),O3413,0)+IF(ISNUMBER(P3413),P3413,0)))&lt;=Summary!$B$2),"Passes using beginning_balance - PreV_ETB differs from beginning_balance",IF(AND(ISNUMBER(O3413),O3413&lt;0,ABS(L3413-(Q3413-IF(ISNUMBER(N3413),N3413,0)+IF(ISNUMBER(P3413),P3413,0)))&lt;=Summary!$B$2),"Negative realized loss not applied - check sign",IF(R3413&lt;0,"Principal paid exceeds prior balance",IF(AND(L3413&gt;Q3413,NOT(ISNUMBER(P3413))),"Balance increased but no Deferred_interest reported",IF(L3413&gt;R3413,"Reported balance higher than expected (missing increase/OC build)","Reported balance lower than expected (missing decrease)"))))),""))</f>
        <v/>
      </c>
    </row>
    <row r="3414" customFormat="false" ht="15" hidden="false" customHeight="false" outlineLevel="0" collapsed="false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9"/>
      <c r="L3414" s="9"/>
      <c r="M3414" s="9"/>
      <c r="N3414" s="9"/>
      <c r="O3414" s="9"/>
      <c r="P3414" s="9"/>
      <c r="Q3414" s="9"/>
      <c r="R3414" s="9" t="str">
        <f aca="false">IF(AND(A3414&lt;&gt;"",ISNUMBER(Q3414),ISNUMBER(L3414)),ROUND(Q3414-IF(ISNUMBER(N3414),N3414,0)-IF(ISNUMBER(O3414),O3414,0)+IF(ISNUMBER(P3414),P3414,0),2),"")</f>
        <v/>
      </c>
      <c r="S3414" s="9" t="str">
        <f aca="false">IF(R3414="","",ROUND(L3414-R3414,2))</f>
        <v/>
      </c>
      <c r="T3414" s="8" t="str">
        <f aca="false">IF(A3414="","",IF(S3414="","BYPASS",IF(ABS(S3414)&lt;=Summary!$B$2,"PASS","FAIL")))</f>
        <v/>
      </c>
      <c r="U3414" s="8" t="str">
        <f aca="false">IF(T3414="BYPASS",IF(NOT(ISNUMBER(Q3414)),"PreV_ETB missing","End_tr_balance missing"),IF(T3414="FAIL",IF(AND(ISNUMBER(K3414),ISNUMBER(L3414),ABS(L3414-(K3414-IF(ISNUMBER(N3414),N3414,0)-IF(ISNUMBER(O3414),O3414,0)+IF(ISNUMBER(P3414),P3414,0)))&lt;=Summary!$B$2),"Passes using beginning_balance - PreV_ETB differs from beginning_balance",IF(AND(ISNUMBER(O3414),O3414&lt;0,ABS(L3414-(Q3414-IF(ISNUMBER(N3414),N3414,0)+IF(ISNUMBER(P3414),P3414,0)))&lt;=Summary!$B$2),"Negative realized loss not applied - check sign",IF(R3414&lt;0,"Principal paid exceeds prior balance",IF(AND(L3414&gt;Q3414,NOT(ISNUMBER(P3414))),"Balance increased but no Deferred_interest reported",IF(L3414&gt;R3414,"Reported balance higher than expected (missing increase/OC build)","Reported balance lower than expected (missing decrease)"))))),""))</f>
        <v/>
      </c>
    </row>
    <row r="3415" customFormat="false" ht="15" hidden="false" customHeight="false" outlineLevel="0" collapsed="false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9"/>
      <c r="L3415" s="9"/>
      <c r="M3415" s="9"/>
      <c r="N3415" s="9"/>
      <c r="O3415" s="9"/>
      <c r="P3415" s="9"/>
      <c r="Q3415" s="9"/>
      <c r="R3415" s="9" t="str">
        <f aca="false">IF(AND(A3415&lt;&gt;"",ISNUMBER(Q3415),ISNUMBER(L3415)),ROUND(Q3415-IF(ISNUMBER(N3415),N3415,0)-IF(ISNUMBER(O3415),O3415,0)+IF(ISNUMBER(P3415),P3415,0),2),"")</f>
        <v/>
      </c>
      <c r="S3415" s="9" t="str">
        <f aca="false">IF(R3415="","",ROUND(L3415-R3415,2))</f>
        <v/>
      </c>
      <c r="T3415" s="8" t="str">
        <f aca="false">IF(A3415="","",IF(S3415="","BYPASS",IF(ABS(S3415)&lt;=Summary!$B$2,"PASS","FAIL")))</f>
        <v/>
      </c>
      <c r="U3415" s="8" t="str">
        <f aca="false">IF(T3415="BYPASS",IF(NOT(ISNUMBER(Q3415)),"PreV_ETB missing","End_tr_balance missing"),IF(T3415="FAIL",IF(AND(ISNUMBER(K3415),ISNUMBER(L3415),ABS(L3415-(K3415-IF(ISNUMBER(N3415),N3415,0)-IF(ISNUMBER(O3415),O3415,0)+IF(ISNUMBER(P3415),P3415,0)))&lt;=Summary!$B$2),"Passes using beginning_balance - PreV_ETB differs from beginning_balance",IF(AND(ISNUMBER(O3415),O3415&lt;0,ABS(L3415-(Q3415-IF(ISNUMBER(N3415),N3415,0)+IF(ISNUMBER(P3415),P3415,0)))&lt;=Summary!$B$2),"Negative realized loss not applied - check sign",IF(R3415&lt;0,"Principal paid exceeds prior balance",IF(AND(L3415&gt;Q3415,NOT(ISNUMBER(P3415))),"Balance increased but no Deferred_interest reported",IF(L3415&gt;R3415,"Reported balance higher than expected (missing increase/OC build)","Reported balance lower than expected (missing decrease)"))))),""))</f>
        <v/>
      </c>
    </row>
    <row r="3416" customFormat="false" ht="15" hidden="false" customHeight="false" outlineLevel="0" collapsed="false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9"/>
      <c r="L3416" s="9"/>
      <c r="M3416" s="9"/>
      <c r="N3416" s="9"/>
      <c r="O3416" s="9"/>
      <c r="P3416" s="9"/>
      <c r="Q3416" s="9"/>
      <c r="R3416" s="9" t="str">
        <f aca="false">IF(AND(A3416&lt;&gt;"",ISNUMBER(Q3416),ISNUMBER(L3416)),ROUND(Q3416-IF(ISNUMBER(N3416),N3416,0)-IF(ISNUMBER(O3416),O3416,0)+IF(ISNUMBER(P3416),P3416,0),2),"")</f>
        <v/>
      </c>
      <c r="S3416" s="9" t="str">
        <f aca="false">IF(R3416="","",ROUND(L3416-R3416,2))</f>
        <v/>
      </c>
      <c r="T3416" s="8" t="str">
        <f aca="false">IF(A3416="","",IF(S3416="","BYPASS",IF(ABS(S3416)&lt;=Summary!$B$2,"PASS","FAIL")))</f>
        <v/>
      </c>
      <c r="U3416" s="8" t="str">
        <f aca="false">IF(T3416="BYPASS",IF(NOT(ISNUMBER(Q3416)),"PreV_ETB missing","End_tr_balance missing"),IF(T3416="FAIL",IF(AND(ISNUMBER(K3416),ISNUMBER(L3416),ABS(L3416-(K3416-IF(ISNUMBER(N3416),N3416,0)-IF(ISNUMBER(O3416),O3416,0)+IF(ISNUMBER(P3416),P3416,0)))&lt;=Summary!$B$2),"Passes using beginning_balance - PreV_ETB differs from beginning_balance",IF(AND(ISNUMBER(O3416),O3416&lt;0,ABS(L3416-(Q3416-IF(ISNUMBER(N3416),N3416,0)+IF(ISNUMBER(P3416),P3416,0)))&lt;=Summary!$B$2),"Negative realized loss not applied - check sign",IF(R3416&lt;0,"Principal paid exceeds prior balance",IF(AND(L3416&gt;Q3416,NOT(ISNUMBER(P3416))),"Balance increased but no Deferred_interest reported",IF(L3416&gt;R3416,"Reported balance higher than expected (missing increase/OC build)","Reported balance lower than expected (missing decrease)"))))),""))</f>
        <v/>
      </c>
    </row>
    <row r="3417" customFormat="false" ht="15" hidden="false" customHeight="false" outlineLevel="0" collapsed="false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9"/>
      <c r="L3417" s="9"/>
      <c r="M3417" s="9"/>
      <c r="N3417" s="9"/>
      <c r="O3417" s="9"/>
      <c r="P3417" s="9"/>
      <c r="Q3417" s="9"/>
      <c r="R3417" s="9" t="str">
        <f aca="false">IF(AND(A3417&lt;&gt;"",ISNUMBER(Q3417),ISNUMBER(L3417)),ROUND(Q3417-IF(ISNUMBER(N3417),N3417,0)-IF(ISNUMBER(O3417),O3417,0)+IF(ISNUMBER(P3417),P3417,0),2),"")</f>
        <v/>
      </c>
      <c r="S3417" s="9" t="str">
        <f aca="false">IF(R3417="","",ROUND(L3417-R3417,2))</f>
        <v/>
      </c>
      <c r="T3417" s="8" t="str">
        <f aca="false">IF(A3417="","",IF(S3417="","BYPASS",IF(ABS(S3417)&lt;=Summary!$B$2,"PASS","FAIL")))</f>
        <v/>
      </c>
      <c r="U3417" s="8" t="str">
        <f aca="false">IF(T3417="BYPASS",IF(NOT(ISNUMBER(Q3417)),"PreV_ETB missing","End_tr_balance missing"),IF(T3417="FAIL",IF(AND(ISNUMBER(K3417),ISNUMBER(L3417),ABS(L3417-(K3417-IF(ISNUMBER(N3417),N3417,0)-IF(ISNUMBER(O3417),O3417,0)+IF(ISNUMBER(P3417),P3417,0)))&lt;=Summary!$B$2),"Passes using beginning_balance - PreV_ETB differs from beginning_balance",IF(AND(ISNUMBER(O3417),O3417&lt;0,ABS(L3417-(Q3417-IF(ISNUMBER(N3417),N3417,0)+IF(ISNUMBER(P3417),P3417,0)))&lt;=Summary!$B$2),"Negative realized loss not applied - check sign",IF(R3417&lt;0,"Principal paid exceeds prior balance",IF(AND(L3417&gt;Q3417,NOT(ISNUMBER(P3417))),"Balance increased but no Deferred_interest reported",IF(L3417&gt;R3417,"Reported balance higher than expected (missing increase/OC build)","Reported balance lower than expected (missing decrease)"))))),""))</f>
        <v/>
      </c>
    </row>
    <row r="3418" customFormat="false" ht="15" hidden="false" customHeight="false" outlineLevel="0" collapsed="false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9"/>
      <c r="L3418" s="9"/>
      <c r="M3418" s="9"/>
      <c r="N3418" s="9"/>
      <c r="O3418" s="9"/>
      <c r="P3418" s="9"/>
      <c r="Q3418" s="9"/>
      <c r="R3418" s="9" t="str">
        <f aca="false">IF(AND(A3418&lt;&gt;"",ISNUMBER(Q3418),ISNUMBER(L3418)),ROUND(Q3418-IF(ISNUMBER(N3418),N3418,0)-IF(ISNUMBER(O3418),O3418,0)+IF(ISNUMBER(P3418),P3418,0),2),"")</f>
        <v/>
      </c>
      <c r="S3418" s="9" t="str">
        <f aca="false">IF(R3418="","",ROUND(L3418-R3418,2))</f>
        <v/>
      </c>
      <c r="T3418" s="8" t="str">
        <f aca="false">IF(A3418="","",IF(S3418="","BYPASS",IF(ABS(S3418)&lt;=Summary!$B$2,"PASS","FAIL")))</f>
        <v/>
      </c>
      <c r="U3418" s="8" t="str">
        <f aca="false">IF(T3418="BYPASS",IF(NOT(ISNUMBER(Q3418)),"PreV_ETB missing","End_tr_balance missing"),IF(T3418="FAIL",IF(AND(ISNUMBER(K3418),ISNUMBER(L3418),ABS(L3418-(K3418-IF(ISNUMBER(N3418),N3418,0)-IF(ISNUMBER(O3418),O3418,0)+IF(ISNUMBER(P3418),P3418,0)))&lt;=Summary!$B$2),"Passes using beginning_balance - PreV_ETB differs from beginning_balance",IF(AND(ISNUMBER(O3418),O3418&lt;0,ABS(L3418-(Q3418-IF(ISNUMBER(N3418),N3418,0)+IF(ISNUMBER(P3418),P3418,0)))&lt;=Summary!$B$2),"Negative realized loss not applied - check sign",IF(R3418&lt;0,"Principal paid exceeds prior balance",IF(AND(L3418&gt;Q3418,NOT(ISNUMBER(P3418))),"Balance increased but no Deferred_interest reported",IF(L3418&gt;R3418,"Reported balance higher than expected (missing increase/OC build)","Reported balance lower than expected (missing decrease)"))))),""))</f>
        <v/>
      </c>
    </row>
    <row r="3419" customFormat="false" ht="15" hidden="false" customHeight="false" outlineLevel="0" collapsed="false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9"/>
      <c r="L3419" s="9"/>
      <c r="M3419" s="9"/>
      <c r="N3419" s="9"/>
      <c r="O3419" s="9"/>
      <c r="P3419" s="9"/>
      <c r="Q3419" s="9"/>
      <c r="R3419" s="9" t="str">
        <f aca="false">IF(AND(A3419&lt;&gt;"",ISNUMBER(Q3419),ISNUMBER(L3419)),ROUND(Q3419-IF(ISNUMBER(N3419),N3419,0)-IF(ISNUMBER(O3419),O3419,0)+IF(ISNUMBER(P3419),P3419,0),2),"")</f>
        <v/>
      </c>
      <c r="S3419" s="9" t="str">
        <f aca="false">IF(R3419="","",ROUND(L3419-R3419,2))</f>
        <v/>
      </c>
      <c r="T3419" s="8" t="str">
        <f aca="false">IF(A3419="","",IF(S3419="","BYPASS",IF(ABS(S3419)&lt;=Summary!$B$2,"PASS","FAIL")))</f>
        <v/>
      </c>
      <c r="U3419" s="8" t="str">
        <f aca="false">IF(T3419="BYPASS",IF(NOT(ISNUMBER(Q3419)),"PreV_ETB missing","End_tr_balance missing"),IF(T3419="FAIL",IF(AND(ISNUMBER(K3419),ISNUMBER(L3419),ABS(L3419-(K3419-IF(ISNUMBER(N3419),N3419,0)-IF(ISNUMBER(O3419),O3419,0)+IF(ISNUMBER(P3419),P3419,0)))&lt;=Summary!$B$2),"Passes using beginning_balance - PreV_ETB differs from beginning_balance",IF(AND(ISNUMBER(O3419),O3419&lt;0,ABS(L3419-(Q3419-IF(ISNUMBER(N3419),N3419,0)+IF(ISNUMBER(P3419),P3419,0)))&lt;=Summary!$B$2),"Negative realized loss not applied - check sign",IF(R3419&lt;0,"Principal paid exceeds prior balance",IF(AND(L3419&gt;Q3419,NOT(ISNUMBER(P3419))),"Balance increased but no Deferred_interest reported",IF(L3419&gt;R3419,"Reported balance higher than expected (missing increase/OC build)","Reported balance lower than expected (missing decrease)"))))),""))</f>
        <v/>
      </c>
    </row>
    <row r="3420" customFormat="false" ht="15" hidden="false" customHeight="false" outlineLevel="0" collapsed="false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9"/>
      <c r="L3420" s="9"/>
      <c r="M3420" s="9"/>
      <c r="N3420" s="9"/>
      <c r="O3420" s="9"/>
      <c r="P3420" s="9"/>
      <c r="Q3420" s="9"/>
      <c r="R3420" s="9" t="str">
        <f aca="false">IF(AND(A3420&lt;&gt;"",ISNUMBER(Q3420),ISNUMBER(L3420)),ROUND(Q3420-IF(ISNUMBER(N3420),N3420,0)-IF(ISNUMBER(O3420),O3420,0)+IF(ISNUMBER(P3420),P3420,0),2),"")</f>
        <v/>
      </c>
      <c r="S3420" s="9" t="str">
        <f aca="false">IF(R3420="","",ROUND(L3420-R3420,2))</f>
        <v/>
      </c>
      <c r="T3420" s="8" t="str">
        <f aca="false">IF(A3420="","",IF(S3420="","BYPASS",IF(ABS(S3420)&lt;=Summary!$B$2,"PASS","FAIL")))</f>
        <v/>
      </c>
      <c r="U3420" s="8" t="str">
        <f aca="false">IF(T3420="BYPASS",IF(NOT(ISNUMBER(Q3420)),"PreV_ETB missing","End_tr_balance missing"),IF(T3420="FAIL",IF(AND(ISNUMBER(K3420),ISNUMBER(L3420),ABS(L3420-(K3420-IF(ISNUMBER(N3420),N3420,0)-IF(ISNUMBER(O3420),O3420,0)+IF(ISNUMBER(P3420),P3420,0)))&lt;=Summary!$B$2),"Passes using beginning_balance - PreV_ETB differs from beginning_balance",IF(AND(ISNUMBER(O3420),O3420&lt;0,ABS(L3420-(Q3420-IF(ISNUMBER(N3420),N3420,0)+IF(ISNUMBER(P3420),P3420,0)))&lt;=Summary!$B$2),"Negative realized loss not applied - check sign",IF(R3420&lt;0,"Principal paid exceeds prior balance",IF(AND(L3420&gt;Q3420,NOT(ISNUMBER(P3420))),"Balance increased but no Deferred_interest reported",IF(L3420&gt;R3420,"Reported balance higher than expected (missing increase/OC build)","Reported balance lower than expected (missing decrease)"))))),""))</f>
        <v/>
      </c>
    </row>
    <row r="3421" customFormat="false" ht="15" hidden="false" customHeight="false" outlineLevel="0" collapsed="false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9"/>
      <c r="L3421" s="9"/>
      <c r="M3421" s="9"/>
      <c r="N3421" s="9"/>
      <c r="O3421" s="9"/>
      <c r="P3421" s="9"/>
      <c r="Q3421" s="9"/>
      <c r="R3421" s="9" t="str">
        <f aca="false">IF(AND(A3421&lt;&gt;"",ISNUMBER(Q3421),ISNUMBER(L3421)),ROUND(Q3421-IF(ISNUMBER(N3421),N3421,0)-IF(ISNUMBER(O3421),O3421,0)+IF(ISNUMBER(P3421),P3421,0),2),"")</f>
        <v/>
      </c>
      <c r="S3421" s="9" t="str">
        <f aca="false">IF(R3421="","",ROUND(L3421-R3421,2))</f>
        <v/>
      </c>
      <c r="T3421" s="8" t="str">
        <f aca="false">IF(A3421="","",IF(S3421="","BYPASS",IF(ABS(S3421)&lt;=Summary!$B$2,"PASS","FAIL")))</f>
        <v/>
      </c>
      <c r="U3421" s="8" t="str">
        <f aca="false">IF(T3421="BYPASS",IF(NOT(ISNUMBER(Q3421)),"PreV_ETB missing","End_tr_balance missing"),IF(T3421="FAIL",IF(AND(ISNUMBER(K3421),ISNUMBER(L3421),ABS(L3421-(K3421-IF(ISNUMBER(N3421),N3421,0)-IF(ISNUMBER(O3421),O3421,0)+IF(ISNUMBER(P3421),P3421,0)))&lt;=Summary!$B$2),"Passes using beginning_balance - PreV_ETB differs from beginning_balance",IF(AND(ISNUMBER(O3421),O3421&lt;0,ABS(L3421-(Q3421-IF(ISNUMBER(N3421),N3421,0)+IF(ISNUMBER(P3421),P3421,0)))&lt;=Summary!$B$2),"Negative realized loss not applied - check sign",IF(R3421&lt;0,"Principal paid exceeds prior balance",IF(AND(L3421&gt;Q3421,NOT(ISNUMBER(P3421))),"Balance increased but no Deferred_interest reported",IF(L3421&gt;R3421,"Reported balance higher than expected (missing increase/OC build)","Reported balance lower than expected (missing decrease)"))))),""))</f>
        <v/>
      </c>
    </row>
    <row r="3422" customFormat="false" ht="15" hidden="false" customHeight="false" outlineLevel="0" collapsed="false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9"/>
      <c r="L3422" s="9"/>
      <c r="M3422" s="9"/>
      <c r="N3422" s="9"/>
      <c r="O3422" s="9"/>
      <c r="P3422" s="9"/>
      <c r="Q3422" s="9"/>
      <c r="R3422" s="9" t="str">
        <f aca="false">IF(AND(A3422&lt;&gt;"",ISNUMBER(Q3422),ISNUMBER(L3422)),ROUND(Q3422-IF(ISNUMBER(N3422),N3422,0)-IF(ISNUMBER(O3422),O3422,0)+IF(ISNUMBER(P3422),P3422,0),2),"")</f>
        <v/>
      </c>
      <c r="S3422" s="9" t="str">
        <f aca="false">IF(R3422="","",ROUND(L3422-R3422,2))</f>
        <v/>
      </c>
      <c r="T3422" s="8" t="str">
        <f aca="false">IF(A3422="","",IF(S3422="","BYPASS",IF(ABS(S3422)&lt;=Summary!$B$2,"PASS","FAIL")))</f>
        <v/>
      </c>
      <c r="U3422" s="8" t="str">
        <f aca="false">IF(T3422="BYPASS",IF(NOT(ISNUMBER(Q3422)),"PreV_ETB missing","End_tr_balance missing"),IF(T3422="FAIL",IF(AND(ISNUMBER(K3422),ISNUMBER(L3422),ABS(L3422-(K3422-IF(ISNUMBER(N3422),N3422,0)-IF(ISNUMBER(O3422),O3422,0)+IF(ISNUMBER(P3422),P3422,0)))&lt;=Summary!$B$2),"Passes using beginning_balance - PreV_ETB differs from beginning_balance",IF(AND(ISNUMBER(O3422),O3422&lt;0,ABS(L3422-(Q3422-IF(ISNUMBER(N3422),N3422,0)+IF(ISNUMBER(P3422),P3422,0)))&lt;=Summary!$B$2),"Negative realized loss not applied - check sign",IF(R3422&lt;0,"Principal paid exceeds prior balance",IF(AND(L3422&gt;Q3422,NOT(ISNUMBER(P3422))),"Balance increased but no Deferred_interest reported",IF(L3422&gt;R3422,"Reported balance higher than expected (missing increase/OC build)","Reported balance lower than expected (missing decrease)"))))),""))</f>
        <v/>
      </c>
    </row>
    <row r="3423" customFormat="false" ht="15" hidden="false" customHeight="false" outlineLevel="0" collapsed="false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9"/>
      <c r="L3423" s="9"/>
      <c r="M3423" s="9"/>
      <c r="N3423" s="9"/>
      <c r="O3423" s="9"/>
      <c r="P3423" s="9"/>
      <c r="Q3423" s="9"/>
      <c r="R3423" s="9" t="str">
        <f aca="false">IF(AND(A3423&lt;&gt;"",ISNUMBER(Q3423),ISNUMBER(L3423)),ROUND(Q3423-IF(ISNUMBER(N3423),N3423,0)-IF(ISNUMBER(O3423),O3423,0)+IF(ISNUMBER(P3423),P3423,0),2),"")</f>
        <v/>
      </c>
      <c r="S3423" s="9" t="str">
        <f aca="false">IF(R3423="","",ROUND(L3423-R3423,2))</f>
        <v/>
      </c>
      <c r="T3423" s="8" t="str">
        <f aca="false">IF(A3423="","",IF(S3423="","BYPASS",IF(ABS(S3423)&lt;=Summary!$B$2,"PASS","FAIL")))</f>
        <v/>
      </c>
      <c r="U3423" s="8" t="str">
        <f aca="false">IF(T3423="BYPASS",IF(NOT(ISNUMBER(Q3423)),"PreV_ETB missing","End_tr_balance missing"),IF(T3423="FAIL",IF(AND(ISNUMBER(K3423),ISNUMBER(L3423),ABS(L3423-(K3423-IF(ISNUMBER(N3423),N3423,0)-IF(ISNUMBER(O3423),O3423,0)+IF(ISNUMBER(P3423),P3423,0)))&lt;=Summary!$B$2),"Passes using beginning_balance - PreV_ETB differs from beginning_balance",IF(AND(ISNUMBER(O3423),O3423&lt;0,ABS(L3423-(Q3423-IF(ISNUMBER(N3423),N3423,0)+IF(ISNUMBER(P3423),P3423,0)))&lt;=Summary!$B$2),"Negative realized loss not applied - check sign",IF(R3423&lt;0,"Principal paid exceeds prior balance",IF(AND(L3423&gt;Q3423,NOT(ISNUMBER(P3423))),"Balance increased but no Deferred_interest reported",IF(L3423&gt;R3423,"Reported balance higher than expected (missing increase/OC build)","Reported balance lower than expected (missing decrease)"))))),""))</f>
        <v/>
      </c>
    </row>
    <row r="3424" customFormat="false" ht="15" hidden="false" customHeight="false" outlineLevel="0" collapsed="false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9"/>
      <c r="L3424" s="9"/>
      <c r="M3424" s="9"/>
      <c r="N3424" s="9"/>
      <c r="O3424" s="9"/>
      <c r="P3424" s="9"/>
      <c r="Q3424" s="9"/>
      <c r="R3424" s="9" t="str">
        <f aca="false">IF(AND(A3424&lt;&gt;"",ISNUMBER(Q3424),ISNUMBER(L3424)),ROUND(Q3424-IF(ISNUMBER(N3424),N3424,0)-IF(ISNUMBER(O3424),O3424,0)+IF(ISNUMBER(P3424),P3424,0),2),"")</f>
        <v/>
      </c>
      <c r="S3424" s="9" t="str">
        <f aca="false">IF(R3424="","",ROUND(L3424-R3424,2))</f>
        <v/>
      </c>
      <c r="T3424" s="8" t="str">
        <f aca="false">IF(A3424="","",IF(S3424="","BYPASS",IF(ABS(S3424)&lt;=Summary!$B$2,"PASS","FAIL")))</f>
        <v/>
      </c>
      <c r="U3424" s="8" t="str">
        <f aca="false">IF(T3424="BYPASS",IF(NOT(ISNUMBER(Q3424)),"PreV_ETB missing","End_tr_balance missing"),IF(T3424="FAIL",IF(AND(ISNUMBER(K3424),ISNUMBER(L3424),ABS(L3424-(K3424-IF(ISNUMBER(N3424),N3424,0)-IF(ISNUMBER(O3424),O3424,0)+IF(ISNUMBER(P3424),P3424,0)))&lt;=Summary!$B$2),"Passes using beginning_balance - PreV_ETB differs from beginning_balance",IF(AND(ISNUMBER(O3424),O3424&lt;0,ABS(L3424-(Q3424-IF(ISNUMBER(N3424),N3424,0)+IF(ISNUMBER(P3424),P3424,0)))&lt;=Summary!$B$2),"Negative realized loss not applied - check sign",IF(R3424&lt;0,"Principal paid exceeds prior balance",IF(AND(L3424&gt;Q3424,NOT(ISNUMBER(P3424))),"Balance increased but no Deferred_interest reported",IF(L3424&gt;R3424,"Reported balance higher than expected (missing increase/OC build)","Reported balance lower than expected (missing decrease)"))))),""))</f>
        <v/>
      </c>
    </row>
    <row r="3425" customFormat="false" ht="15" hidden="false" customHeight="false" outlineLevel="0" collapsed="false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9"/>
      <c r="L3425" s="9"/>
      <c r="M3425" s="9"/>
      <c r="N3425" s="9"/>
      <c r="O3425" s="9"/>
      <c r="P3425" s="9"/>
      <c r="Q3425" s="9"/>
      <c r="R3425" s="9" t="str">
        <f aca="false">IF(AND(A3425&lt;&gt;"",ISNUMBER(Q3425),ISNUMBER(L3425)),ROUND(Q3425-IF(ISNUMBER(N3425),N3425,0)-IF(ISNUMBER(O3425),O3425,0)+IF(ISNUMBER(P3425),P3425,0),2),"")</f>
        <v/>
      </c>
      <c r="S3425" s="9" t="str">
        <f aca="false">IF(R3425="","",ROUND(L3425-R3425,2))</f>
        <v/>
      </c>
      <c r="T3425" s="8" t="str">
        <f aca="false">IF(A3425="","",IF(S3425="","BYPASS",IF(ABS(S3425)&lt;=Summary!$B$2,"PASS","FAIL")))</f>
        <v/>
      </c>
      <c r="U3425" s="8" t="str">
        <f aca="false">IF(T3425="BYPASS",IF(NOT(ISNUMBER(Q3425)),"PreV_ETB missing","End_tr_balance missing"),IF(T3425="FAIL",IF(AND(ISNUMBER(K3425),ISNUMBER(L3425),ABS(L3425-(K3425-IF(ISNUMBER(N3425),N3425,0)-IF(ISNUMBER(O3425),O3425,0)+IF(ISNUMBER(P3425),P3425,0)))&lt;=Summary!$B$2),"Passes using beginning_balance - PreV_ETB differs from beginning_balance",IF(AND(ISNUMBER(O3425),O3425&lt;0,ABS(L3425-(Q3425-IF(ISNUMBER(N3425),N3425,0)+IF(ISNUMBER(P3425),P3425,0)))&lt;=Summary!$B$2),"Negative realized loss not applied - check sign",IF(R3425&lt;0,"Principal paid exceeds prior balance",IF(AND(L3425&gt;Q3425,NOT(ISNUMBER(P3425))),"Balance increased but no Deferred_interest reported",IF(L3425&gt;R3425,"Reported balance higher than expected (missing increase/OC build)","Reported balance lower than expected (missing decrease)"))))),""))</f>
        <v/>
      </c>
    </row>
    <row r="3426" customFormat="false" ht="15" hidden="false" customHeight="false" outlineLevel="0" collapsed="false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9"/>
      <c r="L3426" s="9"/>
      <c r="M3426" s="9"/>
      <c r="N3426" s="9"/>
      <c r="O3426" s="9"/>
      <c r="P3426" s="9"/>
      <c r="Q3426" s="9"/>
      <c r="R3426" s="9" t="str">
        <f aca="false">IF(AND(A3426&lt;&gt;"",ISNUMBER(Q3426),ISNUMBER(L3426)),ROUND(Q3426-IF(ISNUMBER(N3426),N3426,0)-IF(ISNUMBER(O3426),O3426,0)+IF(ISNUMBER(P3426),P3426,0),2),"")</f>
        <v/>
      </c>
      <c r="S3426" s="9" t="str">
        <f aca="false">IF(R3426="","",ROUND(L3426-R3426,2))</f>
        <v/>
      </c>
      <c r="T3426" s="8" t="str">
        <f aca="false">IF(A3426="","",IF(S3426="","BYPASS",IF(ABS(S3426)&lt;=Summary!$B$2,"PASS","FAIL")))</f>
        <v/>
      </c>
      <c r="U3426" s="8" t="str">
        <f aca="false">IF(T3426="BYPASS",IF(NOT(ISNUMBER(Q3426)),"PreV_ETB missing","End_tr_balance missing"),IF(T3426="FAIL",IF(AND(ISNUMBER(K3426),ISNUMBER(L3426),ABS(L3426-(K3426-IF(ISNUMBER(N3426),N3426,0)-IF(ISNUMBER(O3426),O3426,0)+IF(ISNUMBER(P3426),P3426,0)))&lt;=Summary!$B$2),"Passes using beginning_balance - PreV_ETB differs from beginning_balance",IF(AND(ISNUMBER(O3426),O3426&lt;0,ABS(L3426-(Q3426-IF(ISNUMBER(N3426),N3426,0)+IF(ISNUMBER(P3426),P3426,0)))&lt;=Summary!$B$2),"Negative realized loss not applied - check sign",IF(R3426&lt;0,"Principal paid exceeds prior balance",IF(AND(L3426&gt;Q3426,NOT(ISNUMBER(P3426))),"Balance increased but no Deferred_interest reported",IF(L3426&gt;R3426,"Reported balance higher than expected (missing increase/OC build)","Reported balance lower than expected (missing decrease)"))))),""))</f>
        <v/>
      </c>
    </row>
    <row r="3427" customFormat="false" ht="15" hidden="false" customHeight="false" outlineLevel="0" collapsed="false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9"/>
      <c r="L3427" s="9"/>
      <c r="M3427" s="9"/>
      <c r="N3427" s="9"/>
      <c r="O3427" s="9"/>
      <c r="P3427" s="9"/>
      <c r="Q3427" s="9"/>
      <c r="R3427" s="9" t="str">
        <f aca="false">IF(AND(A3427&lt;&gt;"",ISNUMBER(Q3427),ISNUMBER(L3427)),ROUND(Q3427-IF(ISNUMBER(N3427),N3427,0)-IF(ISNUMBER(O3427),O3427,0)+IF(ISNUMBER(P3427),P3427,0),2),"")</f>
        <v/>
      </c>
      <c r="S3427" s="9" t="str">
        <f aca="false">IF(R3427="","",ROUND(L3427-R3427,2))</f>
        <v/>
      </c>
      <c r="T3427" s="8" t="str">
        <f aca="false">IF(A3427="","",IF(S3427="","BYPASS",IF(ABS(S3427)&lt;=Summary!$B$2,"PASS","FAIL")))</f>
        <v/>
      </c>
      <c r="U3427" s="8" t="str">
        <f aca="false">IF(T3427="BYPASS",IF(NOT(ISNUMBER(Q3427)),"PreV_ETB missing","End_tr_balance missing"),IF(T3427="FAIL",IF(AND(ISNUMBER(K3427),ISNUMBER(L3427),ABS(L3427-(K3427-IF(ISNUMBER(N3427),N3427,0)-IF(ISNUMBER(O3427),O3427,0)+IF(ISNUMBER(P3427),P3427,0)))&lt;=Summary!$B$2),"Passes using beginning_balance - PreV_ETB differs from beginning_balance",IF(AND(ISNUMBER(O3427),O3427&lt;0,ABS(L3427-(Q3427-IF(ISNUMBER(N3427),N3427,0)+IF(ISNUMBER(P3427),P3427,0)))&lt;=Summary!$B$2),"Negative realized loss not applied - check sign",IF(R3427&lt;0,"Principal paid exceeds prior balance",IF(AND(L3427&gt;Q3427,NOT(ISNUMBER(P3427))),"Balance increased but no Deferred_interest reported",IF(L3427&gt;R3427,"Reported balance higher than expected (missing increase/OC build)","Reported balance lower than expected (missing decrease)"))))),""))</f>
        <v/>
      </c>
    </row>
    <row r="3428" customFormat="false" ht="15" hidden="false" customHeight="false" outlineLevel="0" collapsed="false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9"/>
      <c r="L3428" s="9"/>
      <c r="M3428" s="9"/>
      <c r="N3428" s="9"/>
      <c r="O3428" s="9"/>
      <c r="P3428" s="9"/>
      <c r="Q3428" s="9"/>
      <c r="R3428" s="9" t="str">
        <f aca="false">IF(AND(A3428&lt;&gt;"",ISNUMBER(Q3428),ISNUMBER(L3428)),ROUND(Q3428-IF(ISNUMBER(N3428),N3428,0)-IF(ISNUMBER(O3428),O3428,0)+IF(ISNUMBER(P3428),P3428,0),2),"")</f>
        <v/>
      </c>
      <c r="S3428" s="9" t="str">
        <f aca="false">IF(R3428="","",ROUND(L3428-R3428,2))</f>
        <v/>
      </c>
      <c r="T3428" s="8" t="str">
        <f aca="false">IF(A3428="","",IF(S3428="","BYPASS",IF(ABS(S3428)&lt;=Summary!$B$2,"PASS","FAIL")))</f>
        <v/>
      </c>
      <c r="U3428" s="8" t="str">
        <f aca="false">IF(T3428="BYPASS",IF(NOT(ISNUMBER(Q3428)),"PreV_ETB missing","End_tr_balance missing"),IF(T3428="FAIL",IF(AND(ISNUMBER(K3428),ISNUMBER(L3428),ABS(L3428-(K3428-IF(ISNUMBER(N3428),N3428,0)-IF(ISNUMBER(O3428),O3428,0)+IF(ISNUMBER(P3428),P3428,0)))&lt;=Summary!$B$2),"Passes using beginning_balance - PreV_ETB differs from beginning_balance",IF(AND(ISNUMBER(O3428),O3428&lt;0,ABS(L3428-(Q3428-IF(ISNUMBER(N3428),N3428,0)+IF(ISNUMBER(P3428),P3428,0)))&lt;=Summary!$B$2),"Negative realized loss not applied - check sign",IF(R3428&lt;0,"Principal paid exceeds prior balance",IF(AND(L3428&gt;Q3428,NOT(ISNUMBER(P3428))),"Balance increased but no Deferred_interest reported",IF(L3428&gt;R3428,"Reported balance higher than expected (missing increase/OC build)","Reported balance lower than expected (missing decrease)"))))),""))</f>
        <v/>
      </c>
    </row>
    <row r="3429" customFormat="false" ht="15" hidden="false" customHeight="false" outlineLevel="0" collapsed="false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9"/>
      <c r="L3429" s="9"/>
      <c r="M3429" s="9"/>
      <c r="N3429" s="9"/>
      <c r="O3429" s="9"/>
      <c r="P3429" s="9"/>
      <c r="Q3429" s="9"/>
      <c r="R3429" s="9" t="str">
        <f aca="false">IF(AND(A3429&lt;&gt;"",ISNUMBER(Q3429),ISNUMBER(L3429)),ROUND(Q3429-IF(ISNUMBER(N3429),N3429,0)-IF(ISNUMBER(O3429),O3429,0)+IF(ISNUMBER(P3429),P3429,0),2),"")</f>
        <v/>
      </c>
      <c r="S3429" s="9" t="str">
        <f aca="false">IF(R3429="","",ROUND(L3429-R3429,2))</f>
        <v/>
      </c>
      <c r="T3429" s="8" t="str">
        <f aca="false">IF(A3429="","",IF(S3429="","BYPASS",IF(ABS(S3429)&lt;=Summary!$B$2,"PASS","FAIL")))</f>
        <v/>
      </c>
      <c r="U3429" s="8" t="str">
        <f aca="false">IF(T3429="BYPASS",IF(NOT(ISNUMBER(Q3429)),"PreV_ETB missing","End_tr_balance missing"),IF(T3429="FAIL",IF(AND(ISNUMBER(K3429),ISNUMBER(L3429),ABS(L3429-(K3429-IF(ISNUMBER(N3429),N3429,0)-IF(ISNUMBER(O3429),O3429,0)+IF(ISNUMBER(P3429),P3429,0)))&lt;=Summary!$B$2),"Passes using beginning_balance - PreV_ETB differs from beginning_balance",IF(AND(ISNUMBER(O3429),O3429&lt;0,ABS(L3429-(Q3429-IF(ISNUMBER(N3429),N3429,0)+IF(ISNUMBER(P3429),P3429,0)))&lt;=Summary!$B$2),"Negative realized loss not applied - check sign",IF(R3429&lt;0,"Principal paid exceeds prior balance",IF(AND(L3429&gt;Q3429,NOT(ISNUMBER(P3429))),"Balance increased but no Deferred_interest reported",IF(L3429&gt;R3429,"Reported balance higher than expected (missing increase/OC build)","Reported balance lower than expected (missing decrease)"))))),""))</f>
        <v/>
      </c>
    </row>
    <row r="3430" customFormat="false" ht="15" hidden="false" customHeight="false" outlineLevel="0" collapsed="false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9"/>
      <c r="L3430" s="9"/>
      <c r="M3430" s="9"/>
      <c r="N3430" s="9"/>
      <c r="O3430" s="9"/>
      <c r="P3430" s="9"/>
      <c r="Q3430" s="9"/>
      <c r="R3430" s="9" t="str">
        <f aca="false">IF(AND(A3430&lt;&gt;"",ISNUMBER(Q3430),ISNUMBER(L3430)),ROUND(Q3430-IF(ISNUMBER(N3430),N3430,0)-IF(ISNUMBER(O3430),O3430,0)+IF(ISNUMBER(P3430),P3430,0),2),"")</f>
        <v/>
      </c>
      <c r="S3430" s="9" t="str">
        <f aca="false">IF(R3430="","",ROUND(L3430-R3430,2))</f>
        <v/>
      </c>
      <c r="T3430" s="8" t="str">
        <f aca="false">IF(A3430="","",IF(S3430="","BYPASS",IF(ABS(S3430)&lt;=Summary!$B$2,"PASS","FAIL")))</f>
        <v/>
      </c>
      <c r="U3430" s="8" t="str">
        <f aca="false">IF(T3430="BYPASS",IF(NOT(ISNUMBER(Q3430)),"PreV_ETB missing","End_tr_balance missing"),IF(T3430="FAIL",IF(AND(ISNUMBER(K3430),ISNUMBER(L3430),ABS(L3430-(K3430-IF(ISNUMBER(N3430),N3430,0)-IF(ISNUMBER(O3430),O3430,0)+IF(ISNUMBER(P3430),P3430,0)))&lt;=Summary!$B$2),"Passes using beginning_balance - PreV_ETB differs from beginning_balance",IF(AND(ISNUMBER(O3430),O3430&lt;0,ABS(L3430-(Q3430-IF(ISNUMBER(N3430),N3430,0)+IF(ISNUMBER(P3430),P3430,0)))&lt;=Summary!$B$2),"Negative realized loss not applied - check sign",IF(R3430&lt;0,"Principal paid exceeds prior balance",IF(AND(L3430&gt;Q3430,NOT(ISNUMBER(P3430))),"Balance increased but no Deferred_interest reported",IF(L3430&gt;R3430,"Reported balance higher than expected (missing increase/OC build)","Reported balance lower than expected (missing decrease)"))))),""))</f>
        <v/>
      </c>
    </row>
    <row r="3431" customFormat="false" ht="15" hidden="false" customHeight="false" outlineLevel="0" collapsed="false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9"/>
      <c r="L3431" s="9"/>
      <c r="M3431" s="9"/>
      <c r="N3431" s="9"/>
      <c r="O3431" s="9"/>
      <c r="P3431" s="9"/>
      <c r="Q3431" s="9"/>
      <c r="R3431" s="9" t="str">
        <f aca="false">IF(AND(A3431&lt;&gt;"",ISNUMBER(Q3431),ISNUMBER(L3431)),ROUND(Q3431-IF(ISNUMBER(N3431),N3431,0)-IF(ISNUMBER(O3431),O3431,0)+IF(ISNUMBER(P3431),P3431,0),2),"")</f>
        <v/>
      </c>
      <c r="S3431" s="9" t="str">
        <f aca="false">IF(R3431="","",ROUND(L3431-R3431,2))</f>
        <v/>
      </c>
      <c r="T3431" s="8" t="str">
        <f aca="false">IF(A3431="","",IF(S3431="","BYPASS",IF(ABS(S3431)&lt;=Summary!$B$2,"PASS","FAIL")))</f>
        <v/>
      </c>
      <c r="U3431" s="8" t="str">
        <f aca="false">IF(T3431="BYPASS",IF(NOT(ISNUMBER(Q3431)),"PreV_ETB missing","End_tr_balance missing"),IF(T3431="FAIL",IF(AND(ISNUMBER(K3431),ISNUMBER(L3431),ABS(L3431-(K3431-IF(ISNUMBER(N3431),N3431,0)-IF(ISNUMBER(O3431),O3431,0)+IF(ISNUMBER(P3431),P3431,0)))&lt;=Summary!$B$2),"Passes using beginning_balance - PreV_ETB differs from beginning_balance",IF(AND(ISNUMBER(O3431),O3431&lt;0,ABS(L3431-(Q3431-IF(ISNUMBER(N3431),N3431,0)+IF(ISNUMBER(P3431),P3431,0)))&lt;=Summary!$B$2),"Negative realized loss not applied - check sign",IF(R3431&lt;0,"Principal paid exceeds prior balance",IF(AND(L3431&gt;Q3431,NOT(ISNUMBER(P3431))),"Balance increased but no Deferred_interest reported",IF(L3431&gt;R3431,"Reported balance higher than expected (missing increase/OC build)","Reported balance lower than expected (missing decrease)"))))),""))</f>
        <v/>
      </c>
    </row>
    <row r="3432" customFormat="false" ht="15" hidden="false" customHeight="false" outlineLevel="0" collapsed="false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9"/>
      <c r="L3432" s="9"/>
      <c r="M3432" s="9"/>
      <c r="N3432" s="9"/>
      <c r="O3432" s="9"/>
      <c r="P3432" s="9"/>
      <c r="Q3432" s="9"/>
      <c r="R3432" s="9" t="str">
        <f aca="false">IF(AND(A3432&lt;&gt;"",ISNUMBER(Q3432),ISNUMBER(L3432)),ROUND(Q3432-IF(ISNUMBER(N3432),N3432,0)-IF(ISNUMBER(O3432),O3432,0)+IF(ISNUMBER(P3432),P3432,0),2),"")</f>
        <v/>
      </c>
      <c r="S3432" s="9" t="str">
        <f aca="false">IF(R3432="","",ROUND(L3432-R3432,2))</f>
        <v/>
      </c>
      <c r="T3432" s="8" t="str">
        <f aca="false">IF(A3432="","",IF(S3432="","BYPASS",IF(ABS(S3432)&lt;=Summary!$B$2,"PASS","FAIL")))</f>
        <v/>
      </c>
      <c r="U3432" s="8" t="str">
        <f aca="false">IF(T3432="BYPASS",IF(NOT(ISNUMBER(Q3432)),"PreV_ETB missing","End_tr_balance missing"),IF(T3432="FAIL",IF(AND(ISNUMBER(K3432),ISNUMBER(L3432),ABS(L3432-(K3432-IF(ISNUMBER(N3432),N3432,0)-IF(ISNUMBER(O3432),O3432,0)+IF(ISNUMBER(P3432),P3432,0)))&lt;=Summary!$B$2),"Passes using beginning_balance - PreV_ETB differs from beginning_balance",IF(AND(ISNUMBER(O3432),O3432&lt;0,ABS(L3432-(Q3432-IF(ISNUMBER(N3432),N3432,0)+IF(ISNUMBER(P3432),P3432,0)))&lt;=Summary!$B$2),"Negative realized loss not applied - check sign",IF(R3432&lt;0,"Principal paid exceeds prior balance",IF(AND(L3432&gt;Q3432,NOT(ISNUMBER(P3432))),"Balance increased but no Deferred_interest reported",IF(L3432&gt;R3432,"Reported balance higher than expected (missing increase/OC build)","Reported balance lower than expected (missing decrease)"))))),""))</f>
        <v/>
      </c>
    </row>
    <row r="3433" customFormat="false" ht="15" hidden="false" customHeight="false" outlineLevel="0" collapsed="false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9"/>
      <c r="L3433" s="9"/>
      <c r="M3433" s="9"/>
      <c r="N3433" s="9"/>
      <c r="O3433" s="9"/>
      <c r="P3433" s="9"/>
      <c r="Q3433" s="9"/>
      <c r="R3433" s="9" t="str">
        <f aca="false">IF(AND(A3433&lt;&gt;"",ISNUMBER(Q3433),ISNUMBER(L3433)),ROUND(Q3433-IF(ISNUMBER(N3433),N3433,0)-IF(ISNUMBER(O3433),O3433,0)+IF(ISNUMBER(P3433),P3433,0),2),"")</f>
        <v/>
      </c>
      <c r="S3433" s="9" t="str">
        <f aca="false">IF(R3433="","",ROUND(L3433-R3433,2))</f>
        <v/>
      </c>
      <c r="T3433" s="8" t="str">
        <f aca="false">IF(A3433="","",IF(S3433="","BYPASS",IF(ABS(S3433)&lt;=Summary!$B$2,"PASS","FAIL")))</f>
        <v/>
      </c>
      <c r="U3433" s="8" t="str">
        <f aca="false">IF(T3433="BYPASS",IF(NOT(ISNUMBER(Q3433)),"PreV_ETB missing","End_tr_balance missing"),IF(T3433="FAIL",IF(AND(ISNUMBER(K3433),ISNUMBER(L3433),ABS(L3433-(K3433-IF(ISNUMBER(N3433),N3433,0)-IF(ISNUMBER(O3433),O3433,0)+IF(ISNUMBER(P3433),P3433,0)))&lt;=Summary!$B$2),"Passes using beginning_balance - PreV_ETB differs from beginning_balance",IF(AND(ISNUMBER(O3433),O3433&lt;0,ABS(L3433-(Q3433-IF(ISNUMBER(N3433),N3433,0)+IF(ISNUMBER(P3433),P3433,0)))&lt;=Summary!$B$2),"Negative realized loss not applied - check sign",IF(R3433&lt;0,"Principal paid exceeds prior balance",IF(AND(L3433&gt;Q3433,NOT(ISNUMBER(P3433))),"Balance increased but no Deferred_interest reported",IF(L3433&gt;R3433,"Reported balance higher than expected (missing increase/OC build)","Reported balance lower than expected (missing decrease)"))))),""))</f>
        <v/>
      </c>
    </row>
    <row r="3434" customFormat="false" ht="15" hidden="false" customHeight="false" outlineLevel="0" collapsed="false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9"/>
      <c r="L3434" s="9"/>
      <c r="M3434" s="9"/>
      <c r="N3434" s="9"/>
      <c r="O3434" s="9"/>
      <c r="P3434" s="9"/>
      <c r="Q3434" s="9"/>
      <c r="R3434" s="9" t="str">
        <f aca="false">IF(AND(A3434&lt;&gt;"",ISNUMBER(Q3434),ISNUMBER(L3434)),ROUND(Q3434-IF(ISNUMBER(N3434),N3434,0)-IF(ISNUMBER(O3434),O3434,0)+IF(ISNUMBER(P3434),P3434,0),2),"")</f>
        <v/>
      </c>
      <c r="S3434" s="9" t="str">
        <f aca="false">IF(R3434="","",ROUND(L3434-R3434,2))</f>
        <v/>
      </c>
      <c r="T3434" s="8" t="str">
        <f aca="false">IF(A3434="","",IF(S3434="","BYPASS",IF(ABS(S3434)&lt;=Summary!$B$2,"PASS","FAIL")))</f>
        <v/>
      </c>
      <c r="U3434" s="8" t="str">
        <f aca="false">IF(T3434="BYPASS",IF(NOT(ISNUMBER(Q3434)),"PreV_ETB missing","End_tr_balance missing"),IF(T3434="FAIL",IF(AND(ISNUMBER(K3434),ISNUMBER(L3434),ABS(L3434-(K3434-IF(ISNUMBER(N3434),N3434,0)-IF(ISNUMBER(O3434),O3434,0)+IF(ISNUMBER(P3434),P3434,0)))&lt;=Summary!$B$2),"Passes using beginning_balance - PreV_ETB differs from beginning_balance",IF(AND(ISNUMBER(O3434),O3434&lt;0,ABS(L3434-(Q3434-IF(ISNUMBER(N3434),N3434,0)+IF(ISNUMBER(P3434),P3434,0)))&lt;=Summary!$B$2),"Negative realized loss not applied - check sign",IF(R3434&lt;0,"Principal paid exceeds prior balance",IF(AND(L3434&gt;Q3434,NOT(ISNUMBER(P3434))),"Balance increased but no Deferred_interest reported",IF(L3434&gt;R3434,"Reported balance higher than expected (missing increase/OC build)","Reported balance lower than expected (missing decrease)"))))),""))</f>
        <v/>
      </c>
    </row>
    <row r="3435" customFormat="false" ht="15" hidden="false" customHeight="false" outlineLevel="0" collapsed="false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9"/>
      <c r="L3435" s="9"/>
      <c r="M3435" s="9"/>
      <c r="N3435" s="9"/>
      <c r="O3435" s="9"/>
      <c r="P3435" s="9"/>
      <c r="Q3435" s="9"/>
      <c r="R3435" s="9" t="str">
        <f aca="false">IF(AND(A3435&lt;&gt;"",ISNUMBER(Q3435),ISNUMBER(L3435)),ROUND(Q3435-IF(ISNUMBER(N3435),N3435,0)-IF(ISNUMBER(O3435),O3435,0)+IF(ISNUMBER(P3435),P3435,0),2),"")</f>
        <v/>
      </c>
      <c r="S3435" s="9" t="str">
        <f aca="false">IF(R3435="","",ROUND(L3435-R3435,2))</f>
        <v/>
      </c>
      <c r="T3435" s="8" t="str">
        <f aca="false">IF(A3435="","",IF(S3435="","BYPASS",IF(ABS(S3435)&lt;=Summary!$B$2,"PASS","FAIL")))</f>
        <v/>
      </c>
      <c r="U3435" s="8" t="str">
        <f aca="false">IF(T3435="BYPASS",IF(NOT(ISNUMBER(Q3435)),"PreV_ETB missing","End_tr_balance missing"),IF(T3435="FAIL",IF(AND(ISNUMBER(K3435),ISNUMBER(L3435),ABS(L3435-(K3435-IF(ISNUMBER(N3435),N3435,0)-IF(ISNUMBER(O3435),O3435,0)+IF(ISNUMBER(P3435),P3435,0)))&lt;=Summary!$B$2),"Passes using beginning_balance - PreV_ETB differs from beginning_balance",IF(AND(ISNUMBER(O3435),O3435&lt;0,ABS(L3435-(Q3435-IF(ISNUMBER(N3435),N3435,0)+IF(ISNUMBER(P3435),P3435,0)))&lt;=Summary!$B$2),"Negative realized loss not applied - check sign",IF(R3435&lt;0,"Principal paid exceeds prior balance",IF(AND(L3435&gt;Q3435,NOT(ISNUMBER(P3435))),"Balance increased but no Deferred_interest reported",IF(L3435&gt;R3435,"Reported balance higher than expected (missing increase/OC build)","Reported balance lower than expected (missing decrease)"))))),""))</f>
        <v/>
      </c>
    </row>
    <row r="3436" customFormat="false" ht="15" hidden="false" customHeight="false" outlineLevel="0" collapsed="false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9"/>
      <c r="L3436" s="9"/>
      <c r="M3436" s="9"/>
      <c r="N3436" s="9"/>
      <c r="O3436" s="9"/>
      <c r="P3436" s="9"/>
      <c r="Q3436" s="9"/>
      <c r="R3436" s="9" t="str">
        <f aca="false">IF(AND(A3436&lt;&gt;"",ISNUMBER(Q3436),ISNUMBER(L3436)),ROUND(Q3436-IF(ISNUMBER(N3436),N3436,0)-IF(ISNUMBER(O3436),O3436,0)+IF(ISNUMBER(P3436),P3436,0),2),"")</f>
        <v/>
      </c>
      <c r="S3436" s="9" t="str">
        <f aca="false">IF(R3436="","",ROUND(L3436-R3436,2))</f>
        <v/>
      </c>
      <c r="T3436" s="8" t="str">
        <f aca="false">IF(A3436="","",IF(S3436="","BYPASS",IF(ABS(S3436)&lt;=Summary!$B$2,"PASS","FAIL")))</f>
        <v/>
      </c>
      <c r="U3436" s="8" t="str">
        <f aca="false">IF(T3436="BYPASS",IF(NOT(ISNUMBER(Q3436)),"PreV_ETB missing","End_tr_balance missing"),IF(T3436="FAIL",IF(AND(ISNUMBER(K3436),ISNUMBER(L3436),ABS(L3436-(K3436-IF(ISNUMBER(N3436),N3436,0)-IF(ISNUMBER(O3436),O3436,0)+IF(ISNUMBER(P3436),P3436,0)))&lt;=Summary!$B$2),"Passes using beginning_balance - PreV_ETB differs from beginning_balance",IF(AND(ISNUMBER(O3436),O3436&lt;0,ABS(L3436-(Q3436-IF(ISNUMBER(N3436),N3436,0)+IF(ISNUMBER(P3436),P3436,0)))&lt;=Summary!$B$2),"Negative realized loss not applied - check sign",IF(R3436&lt;0,"Principal paid exceeds prior balance",IF(AND(L3436&gt;Q3436,NOT(ISNUMBER(P3436))),"Balance increased but no Deferred_interest reported",IF(L3436&gt;R3436,"Reported balance higher than expected (missing increase/OC build)","Reported balance lower than expected (missing decrease)"))))),""))</f>
        <v/>
      </c>
    </row>
    <row r="3437" customFormat="false" ht="15" hidden="false" customHeight="false" outlineLevel="0" collapsed="false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9"/>
      <c r="L3437" s="9"/>
      <c r="M3437" s="9"/>
      <c r="N3437" s="9"/>
      <c r="O3437" s="9"/>
      <c r="P3437" s="9"/>
      <c r="Q3437" s="9"/>
      <c r="R3437" s="9" t="str">
        <f aca="false">IF(AND(A3437&lt;&gt;"",ISNUMBER(Q3437),ISNUMBER(L3437)),ROUND(Q3437-IF(ISNUMBER(N3437),N3437,0)-IF(ISNUMBER(O3437),O3437,0)+IF(ISNUMBER(P3437),P3437,0),2),"")</f>
        <v/>
      </c>
      <c r="S3437" s="9" t="str">
        <f aca="false">IF(R3437="","",ROUND(L3437-R3437,2))</f>
        <v/>
      </c>
      <c r="T3437" s="8" t="str">
        <f aca="false">IF(A3437="","",IF(S3437="","BYPASS",IF(ABS(S3437)&lt;=Summary!$B$2,"PASS","FAIL")))</f>
        <v/>
      </c>
      <c r="U3437" s="8" t="str">
        <f aca="false">IF(T3437="BYPASS",IF(NOT(ISNUMBER(Q3437)),"PreV_ETB missing","End_tr_balance missing"),IF(T3437="FAIL",IF(AND(ISNUMBER(K3437),ISNUMBER(L3437),ABS(L3437-(K3437-IF(ISNUMBER(N3437),N3437,0)-IF(ISNUMBER(O3437),O3437,0)+IF(ISNUMBER(P3437),P3437,0)))&lt;=Summary!$B$2),"Passes using beginning_balance - PreV_ETB differs from beginning_balance",IF(AND(ISNUMBER(O3437),O3437&lt;0,ABS(L3437-(Q3437-IF(ISNUMBER(N3437),N3437,0)+IF(ISNUMBER(P3437),P3437,0)))&lt;=Summary!$B$2),"Negative realized loss not applied - check sign",IF(R3437&lt;0,"Principal paid exceeds prior balance",IF(AND(L3437&gt;Q3437,NOT(ISNUMBER(P3437))),"Balance increased but no Deferred_interest reported",IF(L3437&gt;R3437,"Reported balance higher than expected (missing increase/OC build)","Reported balance lower than expected (missing decrease)"))))),""))</f>
        <v/>
      </c>
    </row>
    <row r="3438" customFormat="false" ht="15" hidden="false" customHeight="false" outlineLevel="0" collapsed="false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9"/>
      <c r="L3438" s="9"/>
      <c r="M3438" s="9"/>
      <c r="N3438" s="9"/>
      <c r="O3438" s="9"/>
      <c r="P3438" s="9"/>
      <c r="Q3438" s="9"/>
      <c r="R3438" s="9" t="str">
        <f aca="false">IF(AND(A3438&lt;&gt;"",ISNUMBER(Q3438),ISNUMBER(L3438)),ROUND(Q3438-IF(ISNUMBER(N3438),N3438,0)-IF(ISNUMBER(O3438),O3438,0)+IF(ISNUMBER(P3438),P3438,0),2),"")</f>
        <v/>
      </c>
      <c r="S3438" s="9" t="str">
        <f aca="false">IF(R3438="","",ROUND(L3438-R3438,2))</f>
        <v/>
      </c>
      <c r="T3438" s="8" t="str">
        <f aca="false">IF(A3438="","",IF(S3438="","BYPASS",IF(ABS(S3438)&lt;=Summary!$B$2,"PASS","FAIL")))</f>
        <v/>
      </c>
      <c r="U3438" s="8" t="str">
        <f aca="false">IF(T3438="BYPASS",IF(NOT(ISNUMBER(Q3438)),"PreV_ETB missing","End_tr_balance missing"),IF(T3438="FAIL",IF(AND(ISNUMBER(K3438),ISNUMBER(L3438),ABS(L3438-(K3438-IF(ISNUMBER(N3438),N3438,0)-IF(ISNUMBER(O3438),O3438,0)+IF(ISNUMBER(P3438),P3438,0)))&lt;=Summary!$B$2),"Passes using beginning_balance - PreV_ETB differs from beginning_balance",IF(AND(ISNUMBER(O3438),O3438&lt;0,ABS(L3438-(Q3438-IF(ISNUMBER(N3438),N3438,0)+IF(ISNUMBER(P3438),P3438,0)))&lt;=Summary!$B$2),"Negative realized loss not applied - check sign",IF(R3438&lt;0,"Principal paid exceeds prior balance",IF(AND(L3438&gt;Q3438,NOT(ISNUMBER(P3438))),"Balance increased but no Deferred_interest reported",IF(L3438&gt;R3438,"Reported balance higher than expected (missing increase/OC build)","Reported balance lower than expected (missing decrease)"))))),""))</f>
        <v/>
      </c>
    </row>
    <row r="3439" customFormat="false" ht="15" hidden="false" customHeight="false" outlineLevel="0" collapsed="false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9"/>
      <c r="L3439" s="9"/>
      <c r="M3439" s="9"/>
      <c r="N3439" s="9"/>
      <c r="O3439" s="9"/>
      <c r="P3439" s="9"/>
      <c r="Q3439" s="9"/>
      <c r="R3439" s="9" t="str">
        <f aca="false">IF(AND(A3439&lt;&gt;"",ISNUMBER(Q3439),ISNUMBER(L3439)),ROUND(Q3439-IF(ISNUMBER(N3439),N3439,0)-IF(ISNUMBER(O3439),O3439,0)+IF(ISNUMBER(P3439),P3439,0),2),"")</f>
        <v/>
      </c>
      <c r="S3439" s="9" t="str">
        <f aca="false">IF(R3439="","",ROUND(L3439-R3439,2))</f>
        <v/>
      </c>
      <c r="T3439" s="8" t="str">
        <f aca="false">IF(A3439="","",IF(S3439="","BYPASS",IF(ABS(S3439)&lt;=Summary!$B$2,"PASS","FAIL")))</f>
        <v/>
      </c>
      <c r="U3439" s="8" t="str">
        <f aca="false">IF(T3439="BYPASS",IF(NOT(ISNUMBER(Q3439)),"PreV_ETB missing","End_tr_balance missing"),IF(T3439="FAIL",IF(AND(ISNUMBER(K3439),ISNUMBER(L3439),ABS(L3439-(K3439-IF(ISNUMBER(N3439),N3439,0)-IF(ISNUMBER(O3439),O3439,0)+IF(ISNUMBER(P3439),P3439,0)))&lt;=Summary!$B$2),"Passes using beginning_balance - PreV_ETB differs from beginning_balance",IF(AND(ISNUMBER(O3439),O3439&lt;0,ABS(L3439-(Q3439-IF(ISNUMBER(N3439),N3439,0)+IF(ISNUMBER(P3439),P3439,0)))&lt;=Summary!$B$2),"Negative realized loss not applied - check sign",IF(R3439&lt;0,"Principal paid exceeds prior balance",IF(AND(L3439&gt;Q3439,NOT(ISNUMBER(P3439))),"Balance increased but no Deferred_interest reported",IF(L3439&gt;R3439,"Reported balance higher than expected (missing increase/OC build)","Reported balance lower than expected (missing decrease)"))))),""))</f>
        <v/>
      </c>
    </row>
    <row r="3440" customFormat="false" ht="15" hidden="false" customHeight="false" outlineLevel="0" collapsed="false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9"/>
      <c r="L3440" s="9"/>
      <c r="M3440" s="9"/>
      <c r="N3440" s="9"/>
      <c r="O3440" s="9"/>
      <c r="P3440" s="9"/>
      <c r="Q3440" s="9"/>
      <c r="R3440" s="9" t="str">
        <f aca="false">IF(AND(A3440&lt;&gt;"",ISNUMBER(Q3440),ISNUMBER(L3440)),ROUND(Q3440-IF(ISNUMBER(N3440),N3440,0)-IF(ISNUMBER(O3440),O3440,0)+IF(ISNUMBER(P3440),P3440,0),2),"")</f>
        <v/>
      </c>
      <c r="S3440" s="9" t="str">
        <f aca="false">IF(R3440="","",ROUND(L3440-R3440,2))</f>
        <v/>
      </c>
      <c r="T3440" s="8" t="str">
        <f aca="false">IF(A3440="","",IF(S3440="","BYPASS",IF(ABS(S3440)&lt;=Summary!$B$2,"PASS","FAIL")))</f>
        <v/>
      </c>
      <c r="U3440" s="8" t="str">
        <f aca="false">IF(T3440="BYPASS",IF(NOT(ISNUMBER(Q3440)),"PreV_ETB missing","End_tr_balance missing"),IF(T3440="FAIL",IF(AND(ISNUMBER(K3440),ISNUMBER(L3440),ABS(L3440-(K3440-IF(ISNUMBER(N3440),N3440,0)-IF(ISNUMBER(O3440),O3440,0)+IF(ISNUMBER(P3440),P3440,0)))&lt;=Summary!$B$2),"Passes using beginning_balance - PreV_ETB differs from beginning_balance",IF(AND(ISNUMBER(O3440),O3440&lt;0,ABS(L3440-(Q3440-IF(ISNUMBER(N3440),N3440,0)+IF(ISNUMBER(P3440),P3440,0)))&lt;=Summary!$B$2),"Negative realized loss not applied - check sign",IF(R3440&lt;0,"Principal paid exceeds prior balance",IF(AND(L3440&gt;Q3440,NOT(ISNUMBER(P3440))),"Balance increased but no Deferred_interest reported",IF(L3440&gt;R3440,"Reported balance higher than expected (missing increase/OC build)","Reported balance lower than expected (missing decrease)"))))),""))</f>
        <v/>
      </c>
    </row>
    <row r="3441" customFormat="false" ht="15" hidden="false" customHeight="false" outlineLevel="0" collapsed="false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9"/>
      <c r="L3441" s="9"/>
      <c r="M3441" s="9"/>
      <c r="N3441" s="9"/>
      <c r="O3441" s="9"/>
      <c r="P3441" s="9"/>
      <c r="Q3441" s="9"/>
      <c r="R3441" s="9" t="str">
        <f aca="false">IF(AND(A3441&lt;&gt;"",ISNUMBER(Q3441),ISNUMBER(L3441)),ROUND(Q3441-IF(ISNUMBER(N3441),N3441,0)-IF(ISNUMBER(O3441),O3441,0)+IF(ISNUMBER(P3441),P3441,0),2),"")</f>
        <v/>
      </c>
      <c r="S3441" s="9" t="str">
        <f aca="false">IF(R3441="","",ROUND(L3441-R3441,2))</f>
        <v/>
      </c>
      <c r="T3441" s="8" t="str">
        <f aca="false">IF(A3441="","",IF(S3441="","BYPASS",IF(ABS(S3441)&lt;=Summary!$B$2,"PASS","FAIL")))</f>
        <v/>
      </c>
      <c r="U3441" s="8" t="str">
        <f aca="false">IF(T3441="BYPASS",IF(NOT(ISNUMBER(Q3441)),"PreV_ETB missing","End_tr_balance missing"),IF(T3441="FAIL",IF(AND(ISNUMBER(K3441),ISNUMBER(L3441),ABS(L3441-(K3441-IF(ISNUMBER(N3441),N3441,0)-IF(ISNUMBER(O3441),O3441,0)+IF(ISNUMBER(P3441),P3441,0)))&lt;=Summary!$B$2),"Passes using beginning_balance - PreV_ETB differs from beginning_balance",IF(AND(ISNUMBER(O3441),O3441&lt;0,ABS(L3441-(Q3441-IF(ISNUMBER(N3441),N3441,0)+IF(ISNUMBER(P3441),P3441,0)))&lt;=Summary!$B$2),"Negative realized loss not applied - check sign",IF(R3441&lt;0,"Principal paid exceeds prior balance",IF(AND(L3441&gt;Q3441,NOT(ISNUMBER(P3441))),"Balance increased but no Deferred_interest reported",IF(L3441&gt;R3441,"Reported balance higher than expected (missing increase/OC build)","Reported balance lower than expected (missing decrease)"))))),""))</f>
        <v/>
      </c>
    </row>
    <row r="3442" customFormat="false" ht="15" hidden="false" customHeight="false" outlineLevel="0" collapsed="false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9"/>
      <c r="L3442" s="9"/>
      <c r="M3442" s="9"/>
      <c r="N3442" s="9"/>
      <c r="O3442" s="9"/>
      <c r="P3442" s="9"/>
      <c r="Q3442" s="9"/>
      <c r="R3442" s="9" t="str">
        <f aca="false">IF(AND(A3442&lt;&gt;"",ISNUMBER(Q3442),ISNUMBER(L3442)),ROUND(Q3442-IF(ISNUMBER(N3442),N3442,0)-IF(ISNUMBER(O3442),O3442,0)+IF(ISNUMBER(P3442),P3442,0),2),"")</f>
        <v/>
      </c>
      <c r="S3442" s="9" t="str">
        <f aca="false">IF(R3442="","",ROUND(L3442-R3442,2))</f>
        <v/>
      </c>
      <c r="T3442" s="8" t="str">
        <f aca="false">IF(A3442="","",IF(S3442="","BYPASS",IF(ABS(S3442)&lt;=Summary!$B$2,"PASS","FAIL")))</f>
        <v/>
      </c>
      <c r="U3442" s="8" t="str">
        <f aca="false">IF(T3442="BYPASS",IF(NOT(ISNUMBER(Q3442)),"PreV_ETB missing","End_tr_balance missing"),IF(T3442="FAIL",IF(AND(ISNUMBER(K3442),ISNUMBER(L3442),ABS(L3442-(K3442-IF(ISNUMBER(N3442),N3442,0)-IF(ISNUMBER(O3442),O3442,0)+IF(ISNUMBER(P3442),P3442,0)))&lt;=Summary!$B$2),"Passes using beginning_balance - PreV_ETB differs from beginning_balance",IF(AND(ISNUMBER(O3442),O3442&lt;0,ABS(L3442-(Q3442-IF(ISNUMBER(N3442),N3442,0)+IF(ISNUMBER(P3442),P3442,0)))&lt;=Summary!$B$2),"Negative realized loss not applied - check sign",IF(R3442&lt;0,"Principal paid exceeds prior balance",IF(AND(L3442&gt;Q3442,NOT(ISNUMBER(P3442))),"Balance increased but no Deferred_interest reported",IF(L3442&gt;R3442,"Reported balance higher than expected (missing increase/OC build)","Reported balance lower than expected (missing decrease)"))))),""))</f>
        <v/>
      </c>
    </row>
    <row r="3443" customFormat="false" ht="15" hidden="false" customHeight="false" outlineLevel="0" collapsed="false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9"/>
      <c r="L3443" s="9"/>
      <c r="M3443" s="9"/>
      <c r="N3443" s="9"/>
      <c r="O3443" s="9"/>
      <c r="P3443" s="9"/>
      <c r="Q3443" s="9"/>
      <c r="R3443" s="9" t="str">
        <f aca="false">IF(AND(A3443&lt;&gt;"",ISNUMBER(Q3443),ISNUMBER(L3443)),ROUND(Q3443-IF(ISNUMBER(N3443),N3443,0)-IF(ISNUMBER(O3443),O3443,0)+IF(ISNUMBER(P3443),P3443,0),2),"")</f>
        <v/>
      </c>
      <c r="S3443" s="9" t="str">
        <f aca="false">IF(R3443="","",ROUND(L3443-R3443,2))</f>
        <v/>
      </c>
      <c r="T3443" s="8" t="str">
        <f aca="false">IF(A3443="","",IF(S3443="","BYPASS",IF(ABS(S3443)&lt;=Summary!$B$2,"PASS","FAIL")))</f>
        <v/>
      </c>
      <c r="U3443" s="8" t="str">
        <f aca="false">IF(T3443="BYPASS",IF(NOT(ISNUMBER(Q3443)),"PreV_ETB missing","End_tr_balance missing"),IF(T3443="FAIL",IF(AND(ISNUMBER(K3443),ISNUMBER(L3443),ABS(L3443-(K3443-IF(ISNUMBER(N3443),N3443,0)-IF(ISNUMBER(O3443),O3443,0)+IF(ISNUMBER(P3443),P3443,0)))&lt;=Summary!$B$2),"Passes using beginning_balance - PreV_ETB differs from beginning_balance",IF(AND(ISNUMBER(O3443),O3443&lt;0,ABS(L3443-(Q3443-IF(ISNUMBER(N3443),N3443,0)+IF(ISNUMBER(P3443),P3443,0)))&lt;=Summary!$B$2),"Negative realized loss not applied - check sign",IF(R3443&lt;0,"Principal paid exceeds prior balance",IF(AND(L3443&gt;Q3443,NOT(ISNUMBER(P3443))),"Balance increased but no Deferred_interest reported",IF(L3443&gt;R3443,"Reported balance higher than expected (missing increase/OC build)","Reported balance lower than expected (missing decrease)"))))),""))</f>
        <v/>
      </c>
    </row>
    <row r="3444" customFormat="false" ht="15" hidden="false" customHeight="false" outlineLevel="0" collapsed="false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9"/>
      <c r="L3444" s="9"/>
      <c r="M3444" s="9"/>
      <c r="N3444" s="9"/>
      <c r="O3444" s="9"/>
      <c r="P3444" s="9"/>
      <c r="Q3444" s="9"/>
      <c r="R3444" s="9" t="str">
        <f aca="false">IF(AND(A3444&lt;&gt;"",ISNUMBER(Q3444),ISNUMBER(L3444)),ROUND(Q3444-IF(ISNUMBER(N3444),N3444,0)-IF(ISNUMBER(O3444),O3444,0)+IF(ISNUMBER(P3444),P3444,0),2),"")</f>
        <v/>
      </c>
      <c r="S3444" s="9" t="str">
        <f aca="false">IF(R3444="","",ROUND(L3444-R3444,2))</f>
        <v/>
      </c>
      <c r="T3444" s="8" t="str">
        <f aca="false">IF(A3444="","",IF(S3444="","BYPASS",IF(ABS(S3444)&lt;=Summary!$B$2,"PASS","FAIL")))</f>
        <v/>
      </c>
      <c r="U3444" s="8" t="str">
        <f aca="false">IF(T3444="BYPASS",IF(NOT(ISNUMBER(Q3444)),"PreV_ETB missing","End_tr_balance missing"),IF(T3444="FAIL",IF(AND(ISNUMBER(K3444),ISNUMBER(L3444),ABS(L3444-(K3444-IF(ISNUMBER(N3444),N3444,0)-IF(ISNUMBER(O3444),O3444,0)+IF(ISNUMBER(P3444),P3444,0)))&lt;=Summary!$B$2),"Passes using beginning_balance - PreV_ETB differs from beginning_balance",IF(AND(ISNUMBER(O3444),O3444&lt;0,ABS(L3444-(Q3444-IF(ISNUMBER(N3444),N3444,0)+IF(ISNUMBER(P3444),P3444,0)))&lt;=Summary!$B$2),"Negative realized loss not applied - check sign",IF(R3444&lt;0,"Principal paid exceeds prior balance",IF(AND(L3444&gt;Q3444,NOT(ISNUMBER(P3444))),"Balance increased but no Deferred_interest reported",IF(L3444&gt;R3444,"Reported balance higher than expected (missing increase/OC build)","Reported balance lower than expected (missing decrease)"))))),""))</f>
        <v/>
      </c>
    </row>
    <row r="3445" customFormat="false" ht="15" hidden="false" customHeight="false" outlineLevel="0" collapsed="false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9"/>
      <c r="L3445" s="9"/>
      <c r="M3445" s="9"/>
      <c r="N3445" s="9"/>
      <c r="O3445" s="9"/>
      <c r="P3445" s="9"/>
      <c r="Q3445" s="9"/>
      <c r="R3445" s="9" t="str">
        <f aca="false">IF(AND(A3445&lt;&gt;"",ISNUMBER(Q3445),ISNUMBER(L3445)),ROUND(Q3445-IF(ISNUMBER(N3445),N3445,0)-IF(ISNUMBER(O3445),O3445,0)+IF(ISNUMBER(P3445),P3445,0),2),"")</f>
        <v/>
      </c>
      <c r="S3445" s="9" t="str">
        <f aca="false">IF(R3445="","",ROUND(L3445-R3445,2))</f>
        <v/>
      </c>
      <c r="T3445" s="8" t="str">
        <f aca="false">IF(A3445="","",IF(S3445="","BYPASS",IF(ABS(S3445)&lt;=Summary!$B$2,"PASS","FAIL")))</f>
        <v/>
      </c>
      <c r="U3445" s="8" t="str">
        <f aca="false">IF(T3445="BYPASS",IF(NOT(ISNUMBER(Q3445)),"PreV_ETB missing","End_tr_balance missing"),IF(T3445="FAIL",IF(AND(ISNUMBER(K3445),ISNUMBER(L3445),ABS(L3445-(K3445-IF(ISNUMBER(N3445),N3445,0)-IF(ISNUMBER(O3445),O3445,0)+IF(ISNUMBER(P3445),P3445,0)))&lt;=Summary!$B$2),"Passes using beginning_balance - PreV_ETB differs from beginning_balance",IF(AND(ISNUMBER(O3445),O3445&lt;0,ABS(L3445-(Q3445-IF(ISNUMBER(N3445),N3445,0)+IF(ISNUMBER(P3445),P3445,0)))&lt;=Summary!$B$2),"Negative realized loss not applied - check sign",IF(R3445&lt;0,"Principal paid exceeds prior balance",IF(AND(L3445&gt;Q3445,NOT(ISNUMBER(P3445))),"Balance increased but no Deferred_interest reported",IF(L3445&gt;R3445,"Reported balance higher than expected (missing increase/OC build)","Reported balance lower than expected (missing decrease)"))))),""))</f>
        <v/>
      </c>
    </row>
    <row r="3446" customFormat="false" ht="15" hidden="false" customHeight="false" outlineLevel="0" collapsed="false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9"/>
      <c r="L3446" s="9"/>
      <c r="M3446" s="9"/>
      <c r="N3446" s="9"/>
      <c r="O3446" s="9"/>
      <c r="P3446" s="9"/>
      <c r="Q3446" s="9"/>
      <c r="R3446" s="9" t="str">
        <f aca="false">IF(AND(A3446&lt;&gt;"",ISNUMBER(Q3446),ISNUMBER(L3446)),ROUND(Q3446-IF(ISNUMBER(N3446),N3446,0)-IF(ISNUMBER(O3446),O3446,0)+IF(ISNUMBER(P3446),P3446,0),2),"")</f>
        <v/>
      </c>
      <c r="S3446" s="9" t="str">
        <f aca="false">IF(R3446="","",ROUND(L3446-R3446,2))</f>
        <v/>
      </c>
      <c r="T3446" s="8" t="str">
        <f aca="false">IF(A3446="","",IF(S3446="","BYPASS",IF(ABS(S3446)&lt;=Summary!$B$2,"PASS","FAIL")))</f>
        <v/>
      </c>
      <c r="U3446" s="8" t="str">
        <f aca="false">IF(T3446="BYPASS",IF(NOT(ISNUMBER(Q3446)),"PreV_ETB missing","End_tr_balance missing"),IF(T3446="FAIL",IF(AND(ISNUMBER(K3446),ISNUMBER(L3446),ABS(L3446-(K3446-IF(ISNUMBER(N3446),N3446,0)-IF(ISNUMBER(O3446),O3446,0)+IF(ISNUMBER(P3446),P3446,0)))&lt;=Summary!$B$2),"Passes using beginning_balance - PreV_ETB differs from beginning_balance",IF(AND(ISNUMBER(O3446),O3446&lt;0,ABS(L3446-(Q3446-IF(ISNUMBER(N3446),N3446,0)+IF(ISNUMBER(P3446),P3446,0)))&lt;=Summary!$B$2),"Negative realized loss not applied - check sign",IF(R3446&lt;0,"Principal paid exceeds prior balance",IF(AND(L3446&gt;Q3446,NOT(ISNUMBER(P3446))),"Balance increased but no Deferred_interest reported",IF(L3446&gt;R3446,"Reported balance higher than expected (missing increase/OC build)","Reported balance lower than expected (missing decrease)"))))),""))</f>
        <v/>
      </c>
    </row>
    <row r="3447" customFormat="false" ht="15" hidden="false" customHeight="false" outlineLevel="0" collapsed="false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9"/>
      <c r="L3447" s="9"/>
      <c r="M3447" s="9"/>
      <c r="N3447" s="9"/>
      <c r="O3447" s="9"/>
      <c r="P3447" s="9"/>
      <c r="Q3447" s="9"/>
      <c r="R3447" s="9" t="str">
        <f aca="false">IF(AND(A3447&lt;&gt;"",ISNUMBER(Q3447),ISNUMBER(L3447)),ROUND(Q3447-IF(ISNUMBER(N3447),N3447,0)-IF(ISNUMBER(O3447),O3447,0)+IF(ISNUMBER(P3447),P3447,0),2),"")</f>
        <v/>
      </c>
      <c r="S3447" s="9" t="str">
        <f aca="false">IF(R3447="","",ROUND(L3447-R3447,2))</f>
        <v/>
      </c>
      <c r="T3447" s="8" t="str">
        <f aca="false">IF(A3447="","",IF(S3447="","BYPASS",IF(ABS(S3447)&lt;=Summary!$B$2,"PASS","FAIL")))</f>
        <v/>
      </c>
      <c r="U3447" s="8" t="str">
        <f aca="false">IF(T3447="BYPASS",IF(NOT(ISNUMBER(Q3447)),"PreV_ETB missing","End_tr_balance missing"),IF(T3447="FAIL",IF(AND(ISNUMBER(K3447),ISNUMBER(L3447),ABS(L3447-(K3447-IF(ISNUMBER(N3447),N3447,0)-IF(ISNUMBER(O3447),O3447,0)+IF(ISNUMBER(P3447),P3447,0)))&lt;=Summary!$B$2),"Passes using beginning_balance - PreV_ETB differs from beginning_balance",IF(AND(ISNUMBER(O3447),O3447&lt;0,ABS(L3447-(Q3447-IF(ISNUMBER(N3447),N3447,0)+IF(ISNUMBER(P3447),P3447,0)))&lt;=Summary!$B$2),"Negative realized loss not applied - check sign",IF(R3447&lt;0,"Principal paid exceeds prior balance",IF(AND(L3447&gt;Q3447,NOT(ISNUMBER(P3447))),"Balance increased but no Deferred_interest reported",IF(L3447&gt;R3447,"Reported balance higher than expected (missing increase/OC build)","Reported balance lower than expected (missing decrease)"))))),""))</f>
        <v/>
      </c>
    </row>
    <row r="3448" customFormat="false" ht="15" hidden="false" customHeight="false" outlineLevel="0" collapsed="false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9"/>
      <c r="L3448" s="9"/>
      <c r="M3448" s="9"/>
      <c r="N3448" s="9"/>
      <c r="O3448" s="9"/>
      <c r="P3448" s="9"/>
      <c r="Q3448" s="9"/>
      <c r="R3448" s="9" t="str">
        <f aca="false">IF(AND(A3448&lt;&gt;"",ISNUMBER(Q3448),ISNUMBER(L3448)),ROUND(Q3448-IF(ISNUMBER(N3448),N3448,0)-IF(ISNUMBER(O3448),O3448,0)+IF(ISNUMBER(P3448),P3448,0),2),"")</f>
        <v/>
      </c>
      <c r="S3448" s="9" t="str">
        <f aca="false">IF(R3448="","",ROUND(L3448-R3448,2))</f>
        <v/>
      </c>
      <c r="T3448" s="8" t="str">
        <f aca="false">IF(A3448="","",IF(S3448="","BYPASS",IF(ABS(S3448)&lt;=Summary!$B$2,"PASS","FAIL")))</f>
        <v/>
      </c>
      <c r="U3448" s="8" t="str">
        <f aca="false">IF(T3448="BYPASS",IF(NOT(ISNUMBER(Q3448)),"PreV_ETB missing","End_tr_balance missing"),IF(T3448="FAIL",IF(AND(ISNUMBER(K3448),ISNUMBER(L3448),ABS(L3448-(K3448-IF(ISNUMBER(N3448),N3448,0)-IF(ISNUMBER(O3448),O3448,0)+IF(ISNUMBER(P3448),P3448,0)))&lt;=Summary!$B$2),"Passes using beginning_balance - PreV_ETB differs from beginning_balance",IF(AND(ISNUMBER(O3448),O3448&lt;0,ABS(L3448-(Q3448-IF(ISNUMBER(N3448),N3448,0)+IF(ISNUMBER(P3448),P3448,0)))&lt;=Summary!$B$2),"Negative realized loss not applied - check sign",IF(R3448&lt;0,"Principal paid exceeds prior balance",IF(AND(L3448&gt;Q3448,NOT(ISNUMBER(P3448))),"Balance increased but no Deferred_interest reported",IF(L3448&gt;R3448,"Reported balance higher than expected (missing increase/OC build)","Reported balance lower than expected (missing decrease)"))))),""))</f>
        <v/>
      </c>
    </row>
    <row r="3449" customFormat="false" ht="15" hidden="false" customHeight="false" outlineLevel="0" collapsed="false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9"/>
      <c r="L3449" s="9"/>
      <c r="M3449" s="9"/>
      <c r="N3449" s="9"/>
      <c r="O3449" s="9"/>
      <c r="P3449" s="9"/>
      <c r="Q3449" s="9"/>
      <c r="R3449" s="9" t="str">
        <f aca="false">IF(AND(A3449&lt;&gt;"",ISNUMBER(Q3449),ISNUMBER(L3449)),ROUND(Q3449-IF(ISNUMBER(N3449),N3449,0)-IF(ISNUMBER(O3449),O3449,0)+IF(ISNUMBER(P3449),P3449,0),2),"")</f>
        <v/>
      </c>
      <c r="S3449" s="9" t="str">
        <f aca="false">IF(R3449="","",ROUND(L3449-R3449,2))</f>
        <v/>
      </c>
      <c r="T3449" s="8" t="str">
        <f aca="false">IF(A3449="","",IF(S3449="","BYPASS",IF(ABS(S3449)&lt;=Summary!$B$2,"PASS","FAIL")))</f>
        <v/>
      </c>
      <c r="U3449" s="8" t="str">
        <f aca="false">IF(T3449="BYPASS",IF(NOT(ISNUMBER(Q3449)),"PreV_ETB missing","End_tr_balance missing"),IF(T3449="FAIL",IF(AND(ISNUMBER(K3449),ISNUMBER(L3449),ABS(L3449-(K3449-IF(ISNUMBER(N3449),N3449,0)-IF(ISNUMBER(O3449),O3449,0)+IF(ISNUMBER(P3449),P3449,0)))&lt;=Summary!$B$2),"Passes using beginning_balance - PreV_ETB differs from beginning_balance",IF(AND(ISNUMBER(O3449),O3449&lt;0,ABS(L3449-(Q3449-IF(ISNUMBER(N3449),N3449,0)+IF(ISNUMBER(P3449),P3449,0)))&lt;=Summary!$B$2),"Negative realized loss not applied - check sign",IF(R3449&lt;0,"Principal paid exceeds prior balance",IF(AND(L3449&gt;Q3449,NOT(ISNUMBER(P3449))),"Balance increased but no Deferred_interest reported",IF(L3449&gt;R3449,"Reported balance higher than expected (missing increase/OC build)","Reported balance lower than expected (missing decrease)"))))),""))</f>
        <v/>
      </c>
    </row>
    <row r="3450" customFormat="false" ht="15" hidden="false" customHeight="false" outlineLevel="0" collapsed="false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9"/>
      <c r="L3450" s="9"/>
      <c r="M3450" s="9"/>
      <c r="N3450" s="9"/>
      <c r="O3450" s="9"/>
      <c r="P3450" s="9"/>
      <c r="Q3450" s="9"/>
      <c r="R3450" s="9" t="str">
        <f aca="false">IF(AND(A3450&lt;&gt;"",ISNUMBER(Q3450),ISNUMBER(L3450)),ROUND(Q3450-IF(ISNUMBER(N3450),N3450,0)-IF(ISNUMBER(O3450),O3450,0)+IF(ISNUMBER(P3450),P3450,0),2),"")</f>
        <v/>
      </c>
      <c r="S3450" s="9" t="str">
        <f aca="false">IF(R3450="","",ROUND(L3450-R3450,2))</f>
        <v/>
      </c>
      <c r="T3450" s="8" t="str">
        <f aca="false">IF(A3450="","",IF(S3450="","BYPASS",IF(ABS(S3450)&lt;=Summary!$B$2,"PASS","FAIL")))</f>
        <v/>
      </c>
      <c r="U3450" s="8" t="str">
        <f aca="false">IF(T3450="BYPASS",IF(NOT(ISNUMBER(Q3450)),"PreV_ETB missing","End_tr_balance missing"),IF(T3450="FAIL",IF(AND(ISNUMBER(K3450),ISNUMBER(L3450),ABS(L3450-(K3450-IF(ISNUMBER(N3450),N3450,0)-IF(ISNUMBER(O3450),O3450,0)+IF(ISNUMBER(P3450),P3450,0)))&lt;=Summary!$B$2),"Passes using beginning_balance - PreV_ETB differs from beginning_balance",IF(AND(ISNUMBER(O3450),O3450&lt;0,ABS(L3450-(Q3450-IF(ISNUMBER(N3450),N3450,0)+IF(ISNUMBER(P3450),P3450,0)))&lt;=Summary!$B$2),"Negative realized loss not applied - check sign",IF(R3450&lt;0,"Principal paid exceeds prior balance",IF(AND(L3450&gt;Q3450,NOT(ISNUMBER(P3450))),"Balance increased but no Deferred_interest reported",IF(L3450&gt;R3450,"Reported balance higher than expected (missing increase/OC build)","Reported balance lower than expected (missing decrease)"))))),""))</f>
        <v/>
      </c>
    </row>
    <row r="3451" customFormat="false" ht="15" hidden="false" customHeight="false" outlineLevel="0" collapsed="false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9"/>
      <c r="L3451" s="9"/>
      <c r="M3451" s="9"/>
      <c r="N3451" s="9"/>
      <c r="O3451" s="9"/>
      <c r="P3451" s="9"/>
      <c r="Q3451" s="9"/>
      <c r="R3451" s="9" t="str">
        <f aca="false">IF(AND(A3451&lt;&gt;"",ISNUMBER(Q3451),ISNUMBER(L3451)),ROUND(Q3451-IF(ISNUMBER(N3451),N3451,0)-IF(ISNUMBER(O3451),O3451,0)+IF(ISNUMBER(P3451),P3451,0),2),"")</f>
        <v/>
      </c>
      <c r="S3451" s="9" t="str">
        <f aca="false">IF(R3451="","",ROUND(L3451-R3451,2))</f>
        <v/>
      </c>
      <c r="T3451" s="8" t="str">
        <f aca="false">IF(A3451="","",IF(S3451="","BYPASS",IF(ABS(S3451)&lt;=Summary!$B$2,"PASS","FAIL")))</f>
        <v/>
      </c>
      <c r="U3451" s="8" t="str">
        <f aca="false">IF(T3451="BYPASS",IF(NOT(ISNUMBER(Q3451)),"PreV_ETB missing","End_tr_balance missing"),IF(T3451="FAIL",IF(AND(ISNUMBER(K3451),ISNUMBER(L3451),ABS(L3451-(K3451-IF(ISNUMBER(N3451),N3451,0)-IF(ISNUMBER(O3451),O3451,0)+IF(ISNUMBER(P3451),P3451,0)))&lt;=Summary!$B$2),"Passes using beginning_balance - PreV_ETB differs from beginning_balance",IF(AND(ISNUMBER(O3451),O3451&lt;0,ABS(L3451-(Q3451-IF(ISNUMBER(N3451),N3451,0)+IF(ISNUMBER(P3451),P3451,0)))&lt;=Summary!$B$2),"Negative realized loss not applied - check sign",IF(R3451&lt;0,"Principal paid exceeds prior balance",IF(AND(L3451&gt;Q3451,NOT(ISNUMBER(P3451))),"Balance increased but no Deferred_interest reported",IF(L3451&gt;R3451,"Reported balance higher than expected (missing increase/OC build)","Reported balance lower than expected (missing decrease)"))))),""))</f>
        <v/>
      </c>
    </row>
    <row r="3452" customFormat="false" ht="15" hidden="false" customHeight="false" outlineLevel="0" collapsed="false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9"/>
      <c r="L3452" s="9"/>
      <c r="M3452" s="9"/>
      <c r="N3452" s="9"/>
      <c r="O3452" s="9"/>
      <c r="P3452" s="9"/>
      <c r="Q3452" s="9"/>
      <c r="R3452" s="9" t="str">
        <f aca="false">IF(AND(A3452&lt;&gt;"",ISNUMBER(Q3452),ISNUMBER(L3452)),ROUND(Q3452-IF(ISNUMBER(N3452),N3452,0)-IF(ISNUMBER(O3452),O3452,0)+IF(ISNUMBER(P3452),P3452,0),2),"")</f>
        <v/>
      </c>
      <c r="S3452" s="9" t="str">
        <f aca="false">IF(R3452="","",ROUND(L3452-R3452,2))</f>
        <v/>
      </c>
      <c r="T3452" s="8" t="str">
        <f aca="false">IF(A3452="","",IF(S3452="","BYPASS",IF(ABS(S3452)&lt;=Summary!$B$2,"PASS","FAIL")))</f>
        <v/>
      </c>
      <c r="U3452" s="8" t="str">
        <f aca="false">IF(T3452="BYPASS",IF(NOT(ISNUMBER(Q3452)),"PreV_ETB missing","End_tr_balance missing"),IF(T3452="FAIL",IF(AND(ISNUMBER(K3452),ISNUMBER(L3452),ABS(L3452-(K3452-IF(ISNUMBER(N3452),N3452,0)-IF(ISNUMBER(O3452),O3452,0)+IF(ISNUMBER(P3452),P3452,0)))&lt;=Summary!$B$2),"Passes using beginning_balance - PreV_ETB differs from beginning_balance",IF(AND(ISNUMBER(O3452),O3452&lt;0,ABS(L3452-(Q3452-IF(ISNUMBER(N3452),N3452,0)+IF(ISNUMBER(P3452),P3452,0)))&lt;=Summary!$B$2),"Negative realized loss not applied - check sign",IF(R3452&lt;0,"Principal paid exceeds prior balance",IF(AND(L3452&gt;Q3452,NOT(ISNUMBER(P3452))),"Balance increased but no Deferred_interest reported",IF(L3452&gt;R3452,"Reported balance higher than expected (missing increase/OC build)","Reported balance lower than expected (missing decrease)"))))),""))</f>
        <v/>
      </c>
    </row>
    <row r="3453" customFormat="false" ht="15" hidden="false" customHeight="false" outlineLevel="0" collapsed="false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9"/>
      <c r="L3453" s="9"/>
      <c r="M3453" s="9"/>
      <c r="N3453" s="9"/>
      <c r="O3453" s="9"/>
      <c r="P3453" s="9"/>
      <c r="Q3453" s="9"/>
      <c r="R3453" s="9" t="str">
        <f aca="false">IF(AND(A3453&lt;&gt;"",ISNUMBER(Q3453),ISNUMBER(L3453)),ROUND(Q3453-IF(ISNUMBER(N3453),N3453,0)-IF(ISNUMBER(O3453),O3453,0)+IF(ISNUMBER(P3453),P3453,0),2),"")</f>
        <v/>
      </c>
      <c r="S3453" s="9" t="str">
        <f aca="false">IF(R3453="","",ROUND(L3453-R3453,2))</f>
        <v/>
      </c>
      <c r="T3453" s="8" t="str">
        <f aca="false">IF(A3453="","",IF(S3453="","BYPASS",IF(ABS(S3453)&lt;=Summary!$B$2,"PASS","FAIL")))</f>
        <v/>
      </c>
      <c r="U3453" s="8" t="str">
        <f aca="false">IF(T3453="BYPASS",IF(NOT(ISNUMBER(Q3453)),"PreV_ETB missing","End_tr_balance missing"),IF(T3453="FAIL",IF(AND(ISNUMBER(K3453),ISNUMBER(L3453),ABS(L3453-(K3453-IF(ISNUMBER(N3453),N3453,0)-IF(ISNUMBER(O3453),O3453,0)+IF(ISNUMBER(P3453),P3453,0)))&lt;=Summary!$B$2),"Passes using beginning_balance - PreV_ETB differs from beginning_balance",IF(AND(ISNUMBER(O3453),O3453&lt;0,ABS(L3453-(Q3453-IF(ISNUMBER(N3453),N3453,0)+IF(ISNUMBER(P3453),P3453,0)))&lt;=Summary!$B$2),"Negative realized loss not applied - check sign",IF(R3453&lt;0,"Principal paid exceeds prior balance",IF(AND(L3453&gt;Q3453,NOT(ISNUMBER(P3453))),"Balance increased but no Deferred_interest reported",IF(L3453&gt;R3453,"Reported balance higher than expected (missing increase/OC build)","Reported balance lower than expected (missing decrease)"))))),""))</f>
        <v/>
      </c>
    </row>
    <row r="3454" customFormat="false" ht="15" hidden="false" customHeight="false" outlineLevel="0" collapsed="false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9"/>
      <c r="L3454" s="9"/>
      <c r="M3454" s="9"/>
      <c r="N3454" s="9"/>
      <c r="O3454" s="9"/>
      <c r="P3454" s="9"/>
      <c r="Q3454" s="9"/>
      <c r="R3454" s="9" t="str">
        <f aca="false">IF(AND(A3454&lt;&gt;"",ISNUMBER(Q3454),ISNUMBER(L3454)),ROUND(Q3454-IF(ISNUMBER(N3454),N3454,0)-IF(ISNUMBER(O3454),O3454,0)+IF(ISNUMBER(P3454),P3454,0),2),"")</f>
        <v/>
      </c>
      <c r="S3454" s="9" t="str">
        <f aca="false">IF(R3454="","",ROUND(L3454-R3454,2))</f>
        <v/>
      </c>
      <c r="T3454" s="8" t="str">
        <f aca="false">IF(A3454="","",IF(S3454="","BYPASS",IF(ABS(S3454)&lt;=Summary!$B$2,"PASS","FAIL")))</f>
        <v/>
      </c>
      <c r="U3454" s="8" t="str">
        <f aca="false">IF(T3454="BYPASS",IF(NOT(ISNUMBER(Q3454)),"PreV_ETB missing","End_tr_balance missing"),IF(T3454="FAIL",IF(AND(ISNUMBER(K3454),ISNUMBER(L3454),ABS(L3454-(K3454-IF(ISNUMBER(N3454),N3454,0)-IF(ISNUMBER(O3454),O3454,0)+IF(ISNUMBER(P3454),P3454,0)))&lt;=Summary!$B$2),"Passes using beginning_balance - PreV_ETB differs from beginning_balance",IF(AND(ISNUMBER(O3454),O3454&lt;0,ABS(L3454-(Q3454-IF(ISNUMBER(N3454),N3454,0)+IF(ISNUMBER(P3454),P3454,0)))&lt;=Summary!$B$2),"Negative realized loss not applied - check sign",IF(R3454&lt;0,"Principal paid exceeds prior balance",IF(AND(L3454&gt;Q3454,NOT(ISNUMBER(P3454))),"Balance increased but no Deferred_interest reported",IF(L3454&gt;R3454,"Reported balance higher than expected (missing increase/OC build)","Reported balance lower than expected (missing decrease)"))))),""))</f>
        <v/>
      </c>
    </row>
    <row r="3455" customFormat="false" ht="15" hidden="false" customHeight="false" outlineLevel="0" collapsed="false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9"/>
      <c r="L3455" s="9"/>
      <c r="M3455" s="9"/>
      <c r="N3455" s="9"/>
      <c r="O3455" s="9"/>
      <c r="P3455" s="9"/>
      <c r="Q3455" s="9"/>
      <c r="R3455" s="9" t="str">
        <f aca="false">IF(AND(A3455&lt;&gt;"",ISNUMBER(Q3455),ISNUMBER(L3455)),ROUND(Q3455-IF(ISNUMBER(N3455),N3455,0)-IF(ISNUMBER(O3455),O3455,0)+IF(ISNUMBER(P3455),P3455,0),2),"")</f>
        <v/>
      </c>
      <c r="S3455" s="9" t="str">
        <f aca="false">IF(R3455="","",ROUND(L3455-R3455,2))</f>
        <v/>
      </c>
      <c r="T3455" s="8" t="str">
        <f aca="false">IF(A3455="","",IF(S3455="","BYPASS",IF(ABS(S3455)&lt;=Summary!$B$2,"PASS","FAIL")))</f>
        <v/>
      </c>
      <c r="U3455" s="8" t="str">
        <f aca="false">IF(T3455="BYPASS",IF(NOT(ISNUMBER(Q3455)),"PreV_ETB missing","End_tr_balance missing"),IF(T3455="FAIL",IF(AND(ISNUMBER(K3455),ISNUMBER(L3455),ABS(L3455-(K3455-IF(ISNUMBER(N3455),N3455,0)-IF(ISNUMBER(O3455),O3455,0)+IF(ISNUMBER(P3455),P3455,0)))&lt;=Summary!$B$2),"Passes using beginning_balance - PreV_ETB differs from beginning_balance",IF(AND(ISNUMBER(O3455),O3455&lt;0,ABS(L3455-(Q3455-IF(ISNUMBER(N3455),N3455,0)+IF(ISNUMBER(P3455),P3455,0)))&lt;=Summary!$B$2),"Negative realized loss not applied - check sign",IF(R3455&lt;0,"Principal paid exceeds prior balance",IF(AND(L3455&gt;Q3455,NOT(ISNUMBER(P3455))),"Balance increased but no Deferred_interest reported",IF(L3455&gt;R3455,"Reported balance higher than expected (missing increase/OC build)","Reported balance lower than expected (missing decrease)"))))),""))</f>
        <v/>
      </c>
    </row>
    <row r="3456" customFormat="false" ht="15" hidden="false" customHeight="false" outlineLevel="0" collapsed="false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9"/>
      <c r="L3456" s="9"/>
      <c r="M3456" s="9"/>
      <c r="N3456" s="9"/>
      <c r="O3456" s="9"/>
      <c r="P3456" s="9"/>
      <c r="Q3456" s="9"/>
      <c r="R3456" s="9" t="str">
        <f aca="false">IF(AND(A3456&lt;&gt;"",ISNUMBER(Q3456),ISNUMBER(L3456)),ROUND(Q3456-IF(ISNUMBER(N3456),N3456,0)-IF(ISNUMBER(O3456),O3456,0)+IF(ISNUMBER(P3456),P3456,0),2),"")</f>
        <v/>
      </c>
      <c r="S3456" s="9" t="str">
        <f aca="false">IF(R3456="","",ROUND(L3456-R3456,2))</f>
        <v/>
      </c>
      <c r="T3456" s="8" t="str">
        <f aca="false">IF(A3456="","",IF(S3456="","BYPASS",IF(ABS(S3456)&lt;=Summary!$B$2,"PASS","FAIL")))</f>
        <v/>
      </c>
      <c r="U3456" s="8" t="str">
        <f aca="false">IF(T3456="BYPASS",IF(NOT(ISNUMBER(Q3456)),"PreV_ETB missing","End_tr_balance missing"),IF(T3456="FAIL",IF(AND(ISNUMBER(K3456),ISNUMBER(L3456),ABS(L3456-(K3456-IF(ISNUMBER(N3456),N3456,0)-IF(ISNUMBER(O3456),O3456,0)+IF(ISNUMBER(P3456),P3456,0)))&lt;=Summary!$B$2),"Passes using beginning_balance - PreV_ETB differs from beginning_balance",IF(AND(ISNUMBER(O3456),O3456&lt;0,ABS(L3456-(Q3456-IF(ISNUMBER(N3456),N3456,0)+IF(ISNUMBER(P3456),P3456,0)))&lt;=Summary!$B$2),"Negative realized loss not applied - check sign",IF(R3456&lt;0,"Principal paid exceeds prior balance",IF(AND(L3456&gt;Q3456,NOT(ISNUMBER(P3456))),"Balance increased but no Deferred_interest reported",IF(L3456&gt;R3456,"Reported balance higher than expected (missing increase/OC build)","Reported balance lower than expected (missing decrease)"))))),""))</f>
        <v/>
      </c>
    </row>
    <row r="3457" customFormat="false" ht="15" hidden="false" customHeight="false" outlineLevel="0" collapsed="false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9"/>
      <c r="L3457" s="9"/>
      <c r="M3457" s="9"/>
      <c r="N3457" s="9"/>
      <c r="O3457" s="9"/>
      <c r="P3457" s="9"/>
      <c r="Q3457" s="9"/>
      <c r="R3457" s="9" t="str">
        <f aca="false">IF(AND(A3457&lt;&gt;"",ISNUMBER(Q3457),ISNUMBER(L3457)),ROUND(Q3457-IF(ISNUMBER(N3457),N3457,0)-IF(ISNUMBER(O3457),O3457,0)+IF(ISNUMBER(P3457),P3457,0),2),"")</f>
        <v/>
      </c>
      <c r="S3457" s="9" t="str">
        <f aca="false">IF(R3457="","",ROUND(L3457-R3457,2))</f>
        <v/>
      </c>
      <c r="T3457" s="8" t="str">
        <f aca="false">IF(A3457="","",IF(S3457="","BYPASS",IF(ABS(S3457)&lt;=Summary!$B$2,"PASS","FAIL")))</f>
        <v/>
      </c>
      <c r="U3457" s="8" t="str">
        <f aca="false">IF(T3457="BYPASS",IF(NOT(ISNUMBER(Q3457)),"PreV_ETB missing","End_tr_balance missing"),IF(T3457="FAIL",IF(AND(ISNUMBER(K3457),ISNUMBER(L3457),ABS(L3457-(K3457-IF(ISNUMBER(N3457),N3457,0)-IF(ISNUMBER(O3457),O3457,0)+IF(ISNUMBER(P3457),P3457,0)))&lt;=Summary!$B$2),"Passes using beginning_balance - PreV_ETB differs from beginning_balance",IF(AND(ISNUMBER(O3457),O3457&lt;0,ABS(L3457-(Q3457-IF(ISNUMBER(N3457),N3457,0)+IF(ISNUMBER(P3457),P3457,0)))&lt;=Summary!$B$2),"Negative realized loss not applied - check sign",IF(R3457&lt;0,"Principal paid exceeds prior balance",IF(AND(L3457&gt;Q3457,NOT(ISNUMBER(P3457))),"Balance increased but no Deferred_interest reported",IF(L3457&gt;R3457,"Reported balance higher than expected (missing increase/OC build)","Reported balance lower than expected (missing decrease)"))))),""))</f>
        <v/>
      </c>
    </row>
    <row r="3458" customFormat="false" ht="15" hidden="false" customHeight="false" outlineLevel="0" collapsed="false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9"/>
      <c r="L3458" s="9"/>
      <c r="M3458" s="9"/>
      <c r="N3458" s="9"/>
      <c r="O3458" s="9"/>
      <c r="P3458" s="9"/>
      <c r="Q3458" s="9"/>
      <c r="R3458" s="9" t="str">
        <f aca="false">IF(AND(A3458&lt;&gt;"",ISNUMBER(Q3458),ISNUMBER(L3458)),ROUND(Q3458-IF(ISNUMBER(N3458),N3458,0)-IF(ISNUMBER(O3458),O3458,0)+IF(ISNUMBER(P3458),P3458,0),2),"")</f>
        <v/>
      </c>
      <c r="S3458" s="9" t="str">
        <f aca="false">IF(R3458="","",ROUND(L3458-R3458,2))</f>
        <v/>
      </c>
      <c r="T3458" s="8" t="str">
        <f aca="false">IF(A3458="","",IF(S3458="","BYPASS",IF(ABS(S3458)&lt;=Summary!$B$2,"PASS","FAIL")))</f>
        <v/>
      </c>
      <c r="U3458" s="8" t="str">
        <f aca="false">IF(T3458="BYPASS",IF(NOT(ISNUMBER(Q3458)),"PreV_ETB missing","End_tr_balance missing"),IF(T3458="FAIL",IF(AND(ISNUMBER(K3458),ISNUMBER(L3458),ABS(L3458-(K3458-IF(ISNUMBER(N3458),N3458,0)-IF(ISNUMBER(O3458),O3458,0)+IF(ISNUMBER(P3458),P3458,0)))&lt;=Summary!$B$2),"Passes using beginning_balance - PreV_ETB differs from beginning_balance",IF(AND(ISNUMBER(O3458),O3458&lt;0,ABS(L3458-(Q3458-IF(ISNUMBER(N3458),N3458,0)+IF(ISNUMBER(P3458),P3458,0)))&lt;=Summary!$B$2),"Negative realized loss not applied - check sign",IF(R3458&lt;0,"Principal paid exceeds prior balance",IF(AND(L3458&gt;Q3458,NOT(ISNUMBER(P3458))),"Balance increased but no Deferred_interest reported",IF(L3458&gt;R3458,"Reported balance higher than expected (missing increase/OC build)","Reported balance lower than expected (missing decrease)"))))),""))</f>
        <v/>
      </c>
    </row>
    <row r="3459" customFormat="false" ht="15" hidden="false" customHeight="false" outlineLevel="0" collapsed="false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9"/>
      <c r="L3459" s="9"/>
      <c r="M3459" s="9"/>
      <c r="N3459" s="9"/>
      <c r="O3459" s="9"/>
      <c r="P3459" s="9"/>
      <c r="Q3459" s="9"/>
      <c r="R3459" s="9" t="str">
        <f aca="false">IF(AND(A3459&lt;&gt;"",ISNUMBER(Q3459),ISNUMBER(L3459)),ROUND(Q3459-IF(ISNUMBER(N3459),N3459,0)-IF(ISNUMBER(O3459),O3459,0)+IF(ISNUMBER(P3459),P3459,0),2),"")</f>
        <v/>
      </c>
      <c r="S3459" s="9" t="str">
        <f aca="false">IF(R3459="","",ROUND(L3459-R3459,2))</f>
        <v/>
      </c>
      <c r="T3459" s="8" t="str">
        <f aca="false">IF(A3459="","",IF(S3459="","BYPASS",IF(ABS(S3459)&lt;=Summary!$B$2,"PASS","FAIL")))</f>
        <v/>
      </c>
      <c r="U3459" s="8" t="str">
        <f aca="false">IF(T3459="BYPASS",IF(NOT(ISNUMBER(Q3459)),"PreV_ETB missing","End_tr_balance missing"),IF(T3459="FAIL",IF(AND(ISNUMBER(K3459),ISNUMBER(L3459),ABS(L3459-(K3459-IF(ISNUMBER(N3459),N3459,0)-IF(ISNUMBER(O3459),O3459,0)+IF(ISNUMBER(P3459),P3459,0)))&lt;=Summary!$B$2),"Passes using beginning_balance - PreV_ETB differs from beginning_balance",IF(AND(ISNUMBER(O3459),O3459&lt;0,ABS(L3459-(Q3459-IF(ISNUMBER(N3459),N3459,0)+IF(ISNUMBER(P3459),P3459,0)))&lt;=Summary!$B$2),"Negative realized loss not applied - check sign",IF(R3459&lt;0,"Principal paid exceeds prior balance",IF(AND(L3459&gt;Q3459,NOT(ISNUMBER(P3459))),"Balance increased but no Deferred_interest reported",IF(L3459&gt;R3459,"Reported balance higher than expected (missing increase/OC build)","Reported balance lower than expected (missing decrease)"))))),""))</f>
        <v/>
      </c>
    </row>
    <row r="3460" customFormat="false" ht="15" hidden="false" customHeight="false" outlineLevel="0" collapsed="false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9"/>
      <c r="L3460" s="9"/>
      <c r="M3460" s="9"/>
      <c r="N3460" s="9"/>
      <c r="O3460" s="9"/>
      <c r="P3460" s="9"/>
      <c r="Q3460" s="9"/>
      <c r="R3460" s="9" t="str">
        <f aca="false">IF(AND(A3460&lt;&gt;"",ISNUMBER(Q3460),ISNUMBER(L3460)),ROUND(Q3460-IF(ISNUMBER(N3460),N3460,0)-IF(ISNUMBER(O3460),O3460,0)+IF(ISNUMBER(P3460),P3460,0),2),"")</f>
        <v/>
      </c>
      <c r="S3460" s="9" t="str">
        <f aca="false">IF(R3460="","",ROUND(L3460-R3460,2))</f>
        <v/>
      </c>
      <c r="T3460" s="8" t="str">
        <f aca="false">IF(A3460="","",IF(S3460="","BYPASS",IF(ABS(S3460)&lt;=Summary!$B$2,"PASS","FAIL")))</f>
        <v/>
      </c>
      <c r="U3460" s="8" t="str">
        <f aca="false">IF(T3460="BYPASS",IF(NOT(ISNUMBER(Q3460)),"PreV_ETB missing","End_tr_balance missing"),IF(T3460="FAIL",IF(AND(ISNUMBER(K3460),ISNUMBER(L3460),ABS(L3460-(K3460-IF(ISNUMBER(N3460),N3460,0)-IF(ISNUMBER(O3460),O3460,0)+IF(ISNUMBER(P3460),P3460,0)))&lt;=Summary!$B$2),"Passes using beginning_balance - PreV_ETB differs from beginning_balance",IF(AND(ISNUMBER(O3460),O3460&lt;0,ABS(L3460-(Q3460-IF(ISNUMBER(N3460),N3460,0)+IF(ISNUMBER(P3460),P3460,0)))&lt;=Summary!$B$2),"Negative realized loss not applied - check sign",IF(R3460&lt;0,"Principal paid exceeds prior balance",IF(AND(L3460&gt;Q3460,NOT(ISNUMBER(P3460))),"Balance increased but no Deferred_interest reported",IF(L3460&gt;R3460,"Reported balance higher than expected (missing increase/OC build)","Reported balance lower than expected (missing decrease)"))))),""))</f>
        <v/>
      </c>
    </row>
    <row r="3461" customFormat="false" ht="15" hidden="false" customHeight="false" outlineLevel="0" collapsed="false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9"/>
      <c r="L3461" s="9"/>
      <c r="M3461" s="9"/>
      <c r="N3461" s="9"/>
      <c r="O3461" s="9"/>
      <c r="P3461" s="9"/>
      <c r="Q3461" s="9"/>
      <c r="R3461" s="9" t="str">
        <f aca="false">IF(AND(A3461&lt;&gt;"",ISNUMBER(Q3461),ISNUMBER(L3461)),ROUND(Q3461-IF(ISNUMBER(N3461),N3461,0)-IF(ISNUMBER(O3461),O3461,0)+IF(ISNUMBER(P3461),P3461,0),2),"")</f>
        <v/>
      </c>
      <c r="S3461" s="9" t="str">
        <f aca="false">IF(R3461="","",ROUND(L3461-R3461,2))</f>
        <v/>
      </c>
      <c r="T3461" s="8" t="str">
        <f aca="false">IF(A3461="","",IF(S3461="","BYPASS",IF(ABS(S3461)&lt;=Summary!$B$2,"PASS","FAIL")))</f>
        <v/>
      </c>
      <c r="U3461" s="8" t="str">
        <f aca="false">IF(T3461="BYPASS",IF(NOT(ISNUMBER(Q3461)),"PreV_ETB missing","End_tr_balance missing"),IF(T3461="FAIL",IF(AND(ISNUMBER(K3461),ISNUMBER(L3461),ABS(L3461-(K3461-IF(ISNUMBER(N3461),N3461,0)-IF(ISNUMBER(O3461),O3461,0)+IF(ISNUMBER(P3461),P3461,0)))&lt;=Summary!$B$2),"Passes using beginning_balance - PreV_ETB differs from beginning_balance",IF(AND(ISNUMBER(O3461),O3461&lt;0,ABS(L3461-(Q3461-IF(ISNUMBER(N3461),N3461,0)+IF(ISNUMBER(P3461),P3461,0)))&lt;=Summary!$B$2),"Negative realized loss not applied - check sign",IF(R3461&lt;0,"Principal paid exceeds prior balance",IF(AND(L3461&gt;Q3461,NOT(ISNUMBER(P3461))),"Balance increased but no Deferred_interest reported",IF(L3461&gt;R3461,"Reported balance higher than expected (missing increase/OC build)","Reported balance lower than expected (missing decrease)"))))),""))</f>
        <v/>
      </c>
    </row>
    <row r="3462" customFormat="false" ht="15" hidden="false" customHeight="false" outlineLevel="0" collapsed="false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9"/>
      <c r="L3462" s="9"/>
      <c r="M3462" s="9"/>
      <c r="N3462" s="9"/>
      <c r="O3462" s="9"/>
      <c r="P3462" s="9"/>
      <c r="Q3462" s="9"/>
      <c r="R3462" s="9" t="str">
        <f aca="false">IF(AND(A3462&lt;&gt;"",ISNUMBER(Q3462),ISNUMBER(L3462)),ROUND(Q3462-IF(ISNUMBER(N3462),N3462,0)-IF(ISNUMBER(O3462),O3462,0)+IF(ISNUMBER(P3462),P3462,0),2),"")</f>
        <v/>
      </c>
      <c r="S3462" s="9" t="str">
        <f aca="false">IF(R3462="","",ROUND(L3462-R3462,2))</f>
        <v/>
      </c>
      <c r="T3462" s="8" t="str">
        <f aca="false">IF(A3462="","",IF(S3462="","BYPASS",IF(ABS(S3462)&lt;=Summary!$B$2,"PASS","FAIL")))</f>
        <v/>
      </c>
      <c r="U3462" s="8" t="str">
        <f aca="false">IF(T3462="BYPASS",IF(NOT(ISNUMBER(Q3462)),"PreV_ETB missing","End_tr_balance missing"),IF(T3462="FAIL",IF(AND(ISNUMBER(K3462),ISNUMBER(L3462),ABS(L3462-(K3462-IF(ISNUMBER(N3462),N3462,0)-IF(ISNUMBER(O3462),O3462,0)+IF(ISNUMBER(P3462),P3462,0)))&lt;=Summary!$B$2),"Passes using beginning_balance - PreV_ETB differs from beginning_balance",IF(AND(ISNUMBER(O3462),O3462&lt;0,ABS(L3462-(Q3462-IF(ISNUMBER(N3462),N3462,0)+IF(ISNUMBER(P3462),P3462,0)))&lt;=Summary!$B$2),"Negative realized loss not applied - check sign",IF(R3462&lt;0,"Principal paid exceeds prior balance",IF(AND(L3462&gt;Q3462,NOT(ISNUMBER(P3462))),"Balance increased but no Deferred_interest reported",IF(L3462&gt;R3462,"Reported balance higher than expected (missing increase/OC build)","Reported balance lower than expected (missing decrease)"))))),""))</f>
        <v/>
      </c>
    </row>
    <row r="3463" customFormat="false" ht="15" hidden="false" customHeight="false" outlineLevel="0" collapsed="false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9"/>
      <c r="L3463" s="9"/>
      <c r="M3463" s="9"/>
      <c r="N3463" s="9"/>
      <c r="O3463" s="9"/>
      <c r="P3463" s="9"/>
      <c r="Q3463" s="9"/>
      <c r="R3463" s="9" t="str">
        <f aca="false">IF(AND(A3463&lt;&gt;"",ISNUMBER(Q3463),ISNUMBER(L3463)),ROUND(Q3463-IF(ISNUMBER(N3463),N3463,0)-IF(ISNUMBER(O3463),O3463,0)+IF(ISNUMBER(P3463),P3463,0),2),"")</f>
        <v/>
      </c>
      <c r="S3463" s="9" t="str">
        <f aca="false">IF(R3463="","",ROUND(L3463-R3463,2))</f>
        <v/>
      </c>
      <c r="T3463" s="8" t="str">
        <f aca="false">IF(A3463="","",IF(S3463="","BYPASS",IF(ABS(S3463)&lt;=Summary!$B$2,"PASS","FAIL")))</f>
        <v/>
      </c>
      <c r="U3463" s="8" t="str">
        <f aca="false">IF(T3463="BYPASS",IF(NOT(ISNUMBER(Q3463)),"PreV_ETB missing","End_tr_balance missing"),IF(T3463="FAIL",IF(AND(ISNUMBER(K3463),ISNUMBER(L3463),ABS(L3463-(K3463-IF(ISNUMBER(N3463),N3463,0)-IF(ISNUMBER(O3463),O3463,0)+IF(ISNUMBER(P3463),P3463,0)))&lt;=Summary!$B$2),"Passes using beginning_balance - PreV_ETB differs from beginning_balance",IF(AND(ISNUMBER(O3463),O3463&lt;0,ABS(L3463-(Q3463-IF(ISNUMBER(N3463),N3463,0)+IF(ISNUMBER(P3463),P3463,0)))&lt;=Summary!$B$2),"Negative realized loss not applied - check sign",IF(R3463&lt;0,"Principal paid exceeds prior balance",IF(AND(L3463&gt;Q3463,NOT(ISNUMBER(P3463))),"Balance increased but no Deferred_interest reported",IF(L3463&gt;R3463,"Reported balance higher than expected (missing increase/OC build)","Reported balance lower than expected (missing decrease)"))))),""))</f>
        <v/>
      </c>
    </row>
    <row r="3464" customFormat="false" ht="15" hidden="false" customHeight="false" outlineLevel="0" collapsed="false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9"/>
      <c r="L3464" s="9"/>
      <c r="M3464" s="9"/>
      <c r="N3464" s="9"/>
      <c r="O3464" s="9"/>
      <c r="P3464" s="9"/>
      <c r="Q3464" s="9"/>
      <c r="R3464" s="9" t="str">
        <f aca="false">IF(AND(A3464&lt;&gt;"",ISNUMBER(Q3464),ISNUMBER(L3464)),ROUND(Q3464-IF(ISNUMBER(N3464),N3464,0)-IF(ISNUMBER(O3464),O3464,0)+IF(ISNUMBER(P3464),P3464,0),2),"")</f>
        <v/>
      </c>
      <c r="S3464" s="9" t="str">
        <f aca="false">IF(R3464="","",ROUND(L3464-R3464,2))</f>
        <v/>
      </c>
      <c r="T3464" s="8" t="str">
        <f aca="false">IF(A3464="","",IF(S3464="","BYPASS",IF(ABS(S3464)&lt;=Summary!$B$2,"PASS","FAIL")))</f>
        <v/>
      </c>
      <c r="U3464" s="8" t="str">
        <f aca="false">IF(T3464="BYPASS",IF(NOT(ISNUMBER(Q3464)),"PreV_ETB missing","End_tr_balance missing"),IF(T3464="FAIL",IF(AND(ISNUMBER(K3464),ISNUMBER(L3464),ABS(L3464-(K3464-IF(ISNUMBER(N3464),N3464,0)-IF(ISNUMBER(O3464),O3464,0)+IF(ISNUMBER(P3464),P3464,0)))&lt;=Summary!$B$2),"Passes using beginning_balance - PreV_ETB differs from beginning_balance",IF(AND(ISNUMBER(O3464),O3464&lt;0,ABS(L3464-(Q3464-IF(ISNUMBER(N3464),N3464,0)+IF(ISNUMBER(P3464),P3464,0)))&lt;=Summary!$B$2),"Negative realized loss not applied - check sign",IF(R3464&lt;0,"Principal paid exceeds prior balance",IF(AND(L3464&gt;Q3464,NOT(ISNUMBER(P3464))),"Balance increased but no Deferred_interest reported",IF(L3464&gt;R3464,"Reported balance higher than expected (missing increase/OC build)","Reported balance lower than expected (missing decrease)"))))),""))</f>
        <v/>
      </c>
    </row>
    <row r="3465" customFormat="false" ht="15" hidden="false" customHeight="false" outlineLevel="0" collapsed="false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9"/>
      <c r="L3465" s="9"/>
      <c r="M3465" s="9"/>
      <c r="N3465" s="9"/>
      <c r="O3465" s="9"/>
      <c r="P3465" s="9"/>
      <c r="Q3465" s="9"/>
      <c r="R3465" s="9" t="str">
        <f aca="false">IF(AND(A3465&lt;&gt;"",ISNUMBER(Q3465),ISNUMBER(L3465)),ROUND(Q3465-IF(ISNUMBER(N3465),N3465,0)-IF(ISNUMBER(O3465),O3465,0)+IF(ISNUMBER(P3465),P3465,0),2),"")</f>
        <v/>
      </c>
      <c r="S3465" s="9" t="str">
        <f aca="false">IF(R3465="","",ROUND(L3465-R3465,2))</f>
        <v/>
      </c>
      <c r="T3465" s="8" t="str">
        <f aca="false">IF(A3465="","",IF(S3465="","BYPASS",IF(ABS(S3465)&lt;=Summary!$B$2,"PASS","FAIL")))</f>
        <v/>
      </c>
      <c r="U3465" s="8" t="str">
        <f aca="false">IF(T3465="BYPASS",IF(NOT(ISNUMBER(Q3465)),"PreV_ETB missing","End_tr_balance missing"),IF(T3465="FAIL",IF(AND(ISNUMBER(K3465),ISNUMBER(L3465),ABS(L3465-(K3465-IF(ISNUMBER(N3465),N3465,0)-IF(ISNUMBER(O3465),O3465,0)+IF(ISNUMBER(P3465),P3465,0)))&lt;=Summary!$B$2),"Passes using beginning_balance - PreV_ETB differs from beginning_balance",IF(AND(ISNUMBER(O3465),O3465&lt;0,ABS(L3465-(Q3465-IF(ISNUMBER(N3465),N3465,0)+IF(ISNUMBER(P3465),P3465,0)))&lt;=Summary!$B$2),"Negative realized loss not applied - check sign",IF(R3465&lt;0,"Principal paid exceeds prior balance",IF(AND(L3465&gt;Q3465,NOT(ISNUMBER(P3465))),"Balance increased but no Deferred_interest reported",IF(L3465&gt;R3465,"Reported balance higher than expected (missing increase/OC build)","Reported balance lower than expected (missing decrease)"))))),""))</f>
        <v/>
      </c>
    </row>
    <row r="3466" customFormat="false" ht="15" hidden="false" customHeight="false" outlineLevel="0" collapsed="false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9"/>
      <c r="L3466" s="9"/>
      <c r="M3466" s="9"/>
      <c r="N3466" s="9"/>
      <c r="O3466" s="9"/>
      <c r="P3466" s="9"/>
      <c r="Q3466" s="9"/>
      <c r="R3466" s="9" t="str">
        <f aca="false">IF(AND(A3466&lt;&gt;"",ISNUMBER(Q3466),ISNUMBER(L3466)),ROUND(Q3466-IF(ISNUMBER(N3466),N3466,0)-IF(ISNUMBER(O3466),O3466,0)+IF(ISNUMBER(P3466),P3466,0),2),"")</f>
        <v/>
      </c>
      <c r="S3466" s="9" t="str">
        <f aca="false">IF(R3466="","",ROUND(L3466-R3466,2))</f>
        <v/>
      </c>
      <c r="T3466" s="8" t="str">
        <f aca="false">IF(A3466="","",IF(S3466="","BYPASS",IF(ABS(S3466)&lt;=Summary!$B$2,"PASS","FAIL")))</f>
        <v/>
      </c>
      <c r="U3466" s="8" t="str">
        <f aca="false">IF(T3466="BYPASS",IF(NOT(ISNUMBER(Q3466)),"PreV_ETB missing","End_tr_balance missing"),IF(T3466="FAIL",IF(AND(ISNUMBER(K3466),ISNUMBER(L3466),ABS(L3466-(K3466-IF(ISNUMBER(N3466),N3466,0)-IF(ISNUMBER(O3466),O3466,0)+IF(ISNUMBER(P3466),P3466,0)))&lt;=Summary!$B$2),"Passes using beginning_balance - PreV_ETB differs from beginning_balance",IF(AND(ISNUMBER(O3466),O3466&lt;0,ABS(L3466-(Q3466-IF(ISNUMBER(N3466),N3466,0)+IF(ISNUMBER(P3466),P3466,0)))&lt;=Summary!$B$2),"Negative realized loss not applied - check sign",IF(R3466&lt;0,"Principal paid exceeds prior balance",IF(AND(L3466&gt;Q3466,NOT(ISNUMBER(P3466))),"Balance increased but no Deferred_interest reported",IF(L3466&gt;R3466,"Reported balance higher than expected (missing increase/OC build)","Reported balance lower than expected (missing decrease)"))))),""))</f>
        <v/>
      </c>
    </row>
    <row r="3467" customFormat="false" ht="15" hidden="false" customHeight="false" outlineLevel="0" collapsed="false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9"/>
      <c r="L3467" s="9"/>
      <c r="M3467" s="9"/>
      <c r="N3467" s="9"/>
      <c r="O3467" s="9"/>
      <c r="P3467" s="9"/>
      <c r="Q3467" s="9"/>
      <c r="R3467" s="9" t="str">
        <f aca="false">IF(AND(A3467&lt;&gt;"",ISNUMBER(Q3467),ISNUMBER(L3467)),ROUND(Q3467-IF(ISNUMBER(N3467),N3467,0)-IF(ISNUMBER(O3467),O3467,0)+IF(ISNUMBER(P3467),P3467,0),2),"")</f>
        <v/>
      </c>
      <c r="S3467" s="9" t="str">
        <f aca="false">IF(R3467="","",ROUND(L3467-R3467,2))</f>
        <v/>
      </c>
      <c r="T3467" s="8" t="str">
        <f aca="false">IF(A3467="","",IF(S3467="","BYPASS",IF(ABS(S3467)&lt;=Summary!$B$2,"PASS","FAIL")))</f>
        <v/>
      </c>
      <c r="U3467" s="8" t="str">
        <f aca="false">IF(T3467="BYPASS",IF(NOT(ISNUMBER(Q3467)),"PreV_ETB missing","End_tr_balance missing"),IF(T3467="FAIL",IF(AND(ISNUMBER(K3467),ISNUMBER(L3467),ABS(L3467-(K3467-IF(ISNUMBER(N3467),N3467,0)-IF(ISNUMBER(O3467),O3467,0)+IF(ISNUMBER(P3467),P3467,0)))&lt;=Summary!$B$2),"Passes using beginning_balance - PreV_ETB differs from beginning_balance",IF(AND(ISNUMBER(O3467),O3467&lt;0,ABS(L3467-(Q3467-IF(ISNUMBER(N3467),N3467,0)+IF(ISNUMBER(P3467),P3467,0)))&lt;=Summary!$B$2),"Negative realized loss not applied - check sign",IF(R3467&lt;0,"Principal paid exceeds prior balance",IF(AND(L3467&gt;Q3467,NOT(ISNUMBER(P3467))),"Balance increased but no Deferred_interest reported",IF(L3467&gt;R3467,"Reported balance higher than expected (missing increase/OC build)","Reported balance lower than expected (missing decrease)"))))),""))</f>
        <v/>
      </c>
    </row>
    <row r="3468" customFormat="false" ht="15" hidden="false" customHeight="false" outlineLevel="0" collapsed="false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9"/>
      <c r="L3468" s="9"/>
      <c r="M3468" s="9"/>
      <c r="N3468" s="9"/>
      <c r="O3468" s="9"/>
      <c r="P3468" s="9"/>
      <c r="Q3468" s="9"/>
      <c r="R3468" s="9" t="str">
        <f aca="false">IF(AND(A3468&lt;&gt;"",ISNUMBER(Q3468),ISNUMBER(L3468)),ROUND(Q3468-IF(ISNUMBER(N3468),N3468,0)-IF(ISNUMBER(O3468),O3468,0)+IF(ISNUMBER(P3468),P3468,0),2),"")</f>
        <v/>
      </c>
      <c r="S3468" s="9" t="str">
        <f aca="false">IF(R3468="","",ROUND(L3468-R3468,2))</f>
        <v/>
      </c>
      <c r="T3468" s="8" t="str">
        <f aca="false">IF(A3468="","",IF(S3468="","BYPASS",IF(ABS(S3468)&lt;=Summary!$B$2,"PASS","FAIL")))</f>
        <v/>
      </c>
      <c r="U3468" s="8" t="str">
        <f aca="false">IF(T3468="BYPASS",IF(NOT(ISNUMBER(Q3468)),"PreV_ETB missing","End_tr_balance missing"),IF(T3468="FAIL",IF(AND(ISNUMBER(K3468),ISNUMBER(L3468),ABS(L3468-(K3468-IF(ISNUMBER(N3468),N3468,0)-IF(ISNUMBER(O3468),O3468,0)+IF(ISNUMBER(P3468),P3468,0)))&lt;=Summary!$B$2),"Passes using beginning_balance - PreV_ETB differs from beginning_balance",IF(AND(ISNUMBER(O3468),O3468&lt;0,ABS(L3468-(Q3468-IF(ISNUMBER(N3468),N3468,0)+IF(ISNUMBER(P3468),P3468,0)))&lt;=Summary!$B$2),"Negative realized loss not applied - check sign",IF(R3468&lt;0,"Principal paid exceeds prior balance",IF(AND(L3468&gt;Q3468,NOT(ISNUMBER(P3468))),"Balance increased but no Deferred_interest reported",IF(L3468&gt;R3468,"Reported balance higher than expected (missing increase/OC build)","Reported balance lower than expected (missing decrease)"))))),""))</f>
        <v/>
      </c>
    </row>
    <row r="3469" customFormat="false" ht="15" hidden="false" customHeight="false" outlineLevel="0" collapsed="false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9"/>
      <c r="L3469" s="9"/>
      <c r="M3469" s="9"/>
      <c r="N3469" s="9"/>
      <c r="O3469" s="9"/>
      <c r="P3469" s="9"/>
      <c r="Q3469" s="9"/>
      <c r="R3469" s="9" t="str">
        <f aca="false">IF(AND(A3469&lt;&gt;"",ISNUMBER(Q3469),ISNUMBER(L3469)),ROUND(Q3469-IF(ISNUMBER(N3469),N3469,0)-IF(ISNUMBER(O3469),O3469,0)+IF(ISNUMBER(P3469),P3469,0),2),"")</f>
        <v/>
      </c>
      <c r="S3469" s="9" t="str">
        <f aca="false">IF(R3469="","",ROUND(L3469-R3469,2))</f>
        <v/>
      </c>
      <c r="T3469" s="8" t="str">
        <f aca="false">IF(A3469="","",IF(S3469="","BYPASS",IF(ABS(S3469)&lt;=Summary!$B$2,"PASS","FAIL")))</f>
        <v/>
      </c>
      <c r="U3469" s="8" t="str">
        <f aca="false">IF(T3469="BYPASS",IF(NOT(ISNUMBER(Q3469)),"PreV_ETB missing","End_tr_balance missing"),IF(T3469="FAIL",IF(AND(ISNUMBER(K3469),ISNUMBER(L3469),ABS(L3469-(K3469-IF(ISNUMBER(N3469),N3469,0)-IF(ISNUMBER(O3469),O3469,0)+IF(ISNUMBER(P3469),P3469,0)))&lt;=Summary!$B$2),"Passes using beginning_balance - PreV_ETB differs from beginning_balance",IF(AND(ISNUMBER(O3469),O3469&lt;0,ABS(L3469-(Q3469-IF(ISNUMBER(N3469),N3469,0)+IF(ISNUMBER(P3469),P3469,0)))&lt;=Summary!$B$2),"Negative realized loss not applied - check sign",IF(R3469&lt;0,"Principal paid exceeds prior balance",IF(AND(L3469&gt;Q3469,NOT(ISNUMBER(P3469))),"Balance increased but no Deferred_interest reported",IF(L3469&gt;R3469,"Reported balance higher than expected (missing increase/OC build)","Reported balance lower than expected (missing decrease)"))))),""))</f>
        <v/>
      </c>
    </row>
    <row r="3470" customFormat="false" ht="15" hidden="false" customHeight="false" outlineLevel="0" collapsed="false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9"/>
      <c r="L3470" s="9"/>
      <c r="M3470" s="9"/>
      <c r="N3470" s="9"/>
      <c r="O3470" s="9"/>
      <c r="P3470" s="9"/>
      <c r="Q3470" s="9"/>
      <c r="R3470" s="9" t="str">
        <f aca="false">IF(AND(A3470&lt;&gt;"",ISNUMBER(Q3470),ISNUMBER(L3470)),ROUND(Q3470-IF(ISNUMBER(N3470),N3470,0)-IF(ISNUMBER(O3470),O3470,0)+IF(ISNUMBER(P3470),P3470,0),2),"")</f>
        <v/>
      </c>
      <c r="S3470" s="9" t="str">
        <f aca="false">IF(R3470="","",ROUND(L3470-R3470,2))</f>
        <v/>
      </c>
      <c r="T3470" s="8" t="str">
        <f aca="false">IF(A3470="","",IF(S3470="","BYPASS",IF(ABS(S3470)&lt;=Summary!$B$2,"PASS","FAIL")))</f>
        <v/>
      </c>
      <c r="U3470" s="8" t="str">
        <f aca="false">IF(T3470="BYPASS",IF(NOT(ISNUMBER(Q3470)),"PreV_ETB missing","End_tr_balance missing"),IF(T3470="FAIL",IF(AND(ISNUMBER(K3470),ISNUMBER(L3470),ABS(L3470-(K3470-IF(ISNUMBER(N3470),N3470,0)-IF(ISNUMBER(O3470),O3470,0)+IF(ISNUMBER(P3470),P3470,0)))&lt;=Summary!$B$2),"Passes using beginning_balance - PreV_ETB differs from beginning_balance",IF(AND(ISNUMBER(O3470),O3470&lt;0,ABS(L3470-(Q3470-IF(ISNUMBER(N3470),N3470,0)+IF(ISNUMBER(P3470),P3470,0)))&lt;=Summary!$B$2),"Negative realized loss not applied - check sign",IF(R3470&lt;0,"Principal paid exceeds prior balance",IF(AND(L3470&gt;Q3470,NOT(ISNUMBER(P3470))),"Balance increased but no Deferred_interest reported",IF(L3470&gt;R3470,"Reported balance higher than expected (missing increase/OC build)","Reported balance lower than expected (missing decrease)"))))),""))</f>
        <v/>
      </c>
    </row>
    <row r="3471" customFormat="false" ht="15" hidden="false" customHeight="false" outlineLevel="0" collapsed="false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9"/>
      <c r="L3471" s="9"/>
      <c r="M3471" s="9"/>
      <c r="N3471" s="9"/>
      <c r="O3471" s="9"/>
      <c r="P3471" s="9"/>
      <c r="Q3471" s="9"/>
      <c r="R3471" s="9" t="str">
        <f aca="false">IF(AND(A3471&lt;&gt;"",ISNUMBER(Q3471),ISNUMBER(L3471)),ROUND(Q3471-IF(ISNUMBER(N3471),N3471,0)-IF(ISNUMBER(O3471),O3471,0)+IF(ISNUMBER(P3471),P3471,0),2),"")</f>
        <v/>
      </c>
      <c r="S3471" s="9" t="str">
        <f aca="false">IF(R3471="","",ROUND(L3471-R3471,2))</f>
        <v/>
      </c>
      <c r="T3471" s="8" t="str">
        <f aca="false">IF(A3471="","",IF(S3471="","BYPASS",IF(ABS(S3471)&lt;=Summary!$B$2,"PASS","FAIL")))</f>
        <v/>
      </c>
      <c r="U3471" s="8" t="str">
        <f aca="false">IF(T3471="BYPASS",IF(NOT(ISNUMBER(Q3471)),"PreV_ETB missing","End_tr_balance missing"),IF(T3471="FAIL",IF(AND(ISNUMBER(K3471),ISNUMBER(L3471),ABS(L3471-(K3471-IF(ISNUMBER(N3471),N3471,0)-IF(ISNUMBER(O3471),O3471,0)+IF(ISNUMBER(P3471),P3471,0)))&lt;=Summary!$B$2),"Passes using beginning_balance - PreV_ETB differs from beginning_balance",IF(AND(ISNUMBER(O3471),O3471&lt;0,ABS(L3471-(Q3471-IF(ISNUMBER(N3471),N3471,0)+IF(ISNUMBER(P3471),P3471,0)))&lt;=Summary!$B$2),"Negative realized loss not applied - check sign",IF(R3471&lt;0,"Principal paid exceeds prior balance",IF(AND(L3471&gt;Q3471,NOT(ISNUMBER(P3471))),"Balance increased but no Deferred_interest reported",IF(L3471&gt;R3471,"Reported balance higher than expected (missing increase/OC build)","Reported balance lower than expected (missing decrease)"))))),""))</f>
        <v/>
      </c>
    </row>
    <row r="3472" customFormat="false" ht="15" hidden="false" customHeight="false" outlineLevel="0" collapsed="false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9"/>
      <c r="L3472" s="9"/>
      <c r="M3472" s="9"/>
      <c r="N3472" s="9"/>
      <c r="O3472" s="9"/>
      <c r="P3472" s="9"/>
      <c r="Q3472" s="9"/>
      <c r="R3472" s="9" t="str">
        <f aca="false">IF(AND(A3472&lt;&gt;"",ISNUMBER(Q3472),ISNUMBER(L3472)),ROUND(Q3472-IF(ISNUMBER(N3472),N3472,0)-IF(ISNUMBER(O3472),O3472,0)+IF(ISNUMBER(P3472),P3472,0),2),"")</f>
        <v/>
      </c>
      <c r="S3472" s="9" t="str">
        <f aca="false">IF(R3472="","",ROUND(L3472-R3472,2))</f>
        <v/>
      </c>
      <c r="T3472" s="8" t="str">
        <f aca="false">IF(A3472="","",IF(S3472="","BYPASS",IF(ABS(S3472)&lt;=Summary!$B$2,"PASS","FAIL")))</f>
        <v/>
      </c>
      <c r="U3472" s="8" t="str">
        <f aca="false">IF(T3472="BYPASS",IF(NOT(ISNUMBER(Q3472)),"PreV_ETB missing","End_tr_balance missing"),IF(T3472="FAIL",IF(AND(ISNUMBER(K3472),ISNUMBER(L3472),ABS(L3472-(K3472-IF(ISNUMBER(N3472),N3472,0)-IF(ISNUMBER(O3472),O3472,0)+IF(ISNUMBER(P3472),P3472,0)))&lt;=Summary!$B$2),"Passes using beginning_balance - PreV_ETB differs from beginning_balance",IF(AND(ISNUMBER(O3472),O3472&lt;0,ABS(L3472-(Q3472-IF(ISNUMBER(N3472),N3472,0)+IF(ISNUMBER(P3472),P3472,0)))&lt;=Summary!$B$2),"Negative realized loss not applied - check sign",IF(R3472&lt;0,"Principal paid exceeds prior balance",IF(AND(L3472&gt;Q3472,NOT(ISNUMBER(P3472))),"Balance increased but no Deferred_interest reported",IF(L3472&gt;R3472,"Reported balance higher than expected (missing increase/OC build)","Reported balance lower than expected (missing decrease)"))))),""))</f>
        <v/>
      </c>
    </row>
    <row r="3473" customFormat="false" ht="15" hidden="false" customHeight="false" outlineLevel="0" collapsed="false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9"/>
      <c r="L3473" s="9"/>
      <c r="M3473" s="9"/>
      <c r="N3473" s="9"/>
      <c r="O3473" s="9"/>
      <c r="P3473" s="9"/>
      <c r="Q3473" s="9"/>
      <c r="R3473" s="9" t="str">
        <f aca="false">IF(AND(A3473&lt;&gt;"",ISNUMBER(Q3473),ISNUMBER(L3473)),ROUND(Q3473-IF(ISNUMBER(N3473),N3473,0)-IF(ISNUMBER(O3473),O3473,0)+IF(ISNUMBER(P3473),P3473,0),2),"")</f>
        <v/>
      </c>
      <c r="S3473" s="9" t="str">
        <f aca="false">IF(R3473="","",ROUND(L3473-R3473,2))</f>
        <v/>
      </c>
      <c r="T3473" s="8" t="str">
        <f aca="false">IF(A3473="","",IF(S3473="","BYPASS",IF(ABS(S3473)&lt;=Summary!$B$2,"PASS","FAIL")))</f>
        <v/>
      </c>
      <c r="U3473" s="8" t="str">
        <f aca="false">IF(T3473="BYPASS",IF(NOT(ISNUMBER(Q3473)),"PreV_ETB missing","End_tr_balance missing"),IF(T3473="FAIL",IF(AND(ISNUMBER(K3473),ISNUMBER(L3473),ABS(L3473-(K3473-IF(ISNUMBER(N3473),N3473,0)-IF(ISNUMBER(O3473),O3473,0)+IF(ISNUMBER(P3473),P3473,0)))&lt;=Summary!$B$2),"Passes using beginning_balance - PreV_ETB differs from beginning_balance",IF(AND(ISNUMBER(O3473),O3473&lt;0,ABS(L3473-(Q3473-IF(ISNUMBER(N3473),N3473,0)+IF(ISNUMBER(P3473),P3473,0)))&lt;=Summary!$B$2),"Negative realized loss not applied - check sign",IF(R3473&lt;0,"Principal paid exceeds prior balance",IF(AND(L3473&gt;Q3473,NOT(ISNUMBER(P3473))),"Balance increased but no Deferred_interest reported",IF(L3473&gt;R3473,"Reported balance higher than expected (missing increase/OC build)","Reported balance lower than expected (missing decrease)"))))),""))</f>
        <v/>
      </c>
    </row>
    <row r="3474" customFormat="false" ht="15" hidden="false" customHeight="false" outlineLevel="0" collapsed="false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9"/>
      <c r="L3474" s="9"/>
      <c r="M3474" s="9"/>
      <c r="N3474" s="9"/>
      <c r="O3474" s="9"/>
      <c r="P3474" s="9"/>
      <c r="Q3474" s="9"/>
      <c r="R3474" s="9" t="str">
        <f aca="false">IF(AND(A3474&lt;&gt;"",ISNUMBER(Q3474),ISNUMBER(L3474)),ROUND(Q3474-IF(ISNUMBER(N3474),N3474,0)-IF(ISNUMBER(O3474),O3474,0)+IF(ISNUMBER(P3474),P3474,0),2),"")</f>
        <v/>
      </c>
      <c r="S3474" s="9" t="str">
        <f aca="false">IF(R3474="","",ROUND(L3474-R3474,2))</f>
        <v/>
      </c>
      <c r="T3474" s="8" t="str">
        <f aca="false">IF(A3474="","",IF(S3474="","BYPASS",IF(ABS(S3474)&lt;=Summary!$B$2,"PASS","FAIL")))</f>
        <v/>
      </c>
      <c r="U3474" s="8" t="str">
        <f aca="false">IF(T3474="BYPASS",IF(NOT(ISNUMBER(Q3474)),"PreV_ETB missing","End_tr_balance missing"),IF(T3474="FAIL",IF(AND(ISNUMBER(K3474),ISNUMBER(L3474),ABS(L3474-(K3474-IF(ISNUMBER(N3474),N3474,0)-IF(ISNUMBER(O3474),O3474,0)+IF(ISNUMBER(P3474),P3474,0)))&lt;=Summary!$B$2),"Passes using beginning_balance - PreV_ETB differs from beginning_balance",IF(AND(ISNUMBER(O3474),O3474&lt;0,ABS(L3474-(Q3474-IF(ISNUMBER(N3474),N3474,0)+IF(ISNUMBER(P3474),P3474,0)))&lt;=Summary!$B$2),"Negative realized loss not applied - check sign",IF(R3474&lt;0,"Principal paid exceeds prior balance",IF(AND(L3474&gt;Q3474,NOT(ISNUMBER(P3474))),"Balance increased but no Deferred_interest reported",IF(L3474&gt;R3474,"Reported balance higher than expected (missing increase/OC build)","Reported balance lower than expected (missing decrease)"))))),""))</f>
        <v/>
      </c>
    </row>
    <row r="3475" customFormat="false" ht="15" hidden="false" customHeight="false" outlineLevel="0" collapsed="false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9"/>
      <c r="L3475" s="9"/>
      <c r="M3475" s="9"/>
      <c r="N3475" s="9"/>
      <c r="O3475" s="9"/>
      <c r="P3475" s="9"/>
      <c r="Q3475" s="9"/>
      <c r="R3475" s="9" t="str">
        <f aca="false">IF(AND(A3475&lt;&gt;"",ISNUMBER(Q3475),ISNUMBER(L3475)),ROUND(Q3475-IF(ISNUMBER(N3475),N3475,0)-IF(ISNUMBER(O3475),O3475,0)+IF(ISNUMBER(P3475),P3475,0),2),"")</f>
        <v/>
      </c>
      <c r="S3475" s="9" t="str">
        <f aca="false">IF(R3475="","",ROUND(L3475-R3475,2))</f>
        <v/>
      </c>
      <c r="T3475" s="8" t="str">
        <f aca="false">IF(A3475="","",IF(S3475="","BYPASS",IF(ABS(S3475)&lt;=Summary!$B$2,"PASS","FAIL")))</f>
        <v/>
      </c>
      <c r="U3475" s="8" t="str">
        <f aca="false">IF(T3475="BYPASS",IF(NOT(ISNUMBER(Q3475)),"PreV_ETB missing","End_tr_balance missing"),IF(T3475="FAIL",IF(AND(ISNUMBER(K3475),ISNUMBER(L3475),ABS(L3475-(K3475-IF(ISNUMBER(N3475),N3475,0)-IF(ISNUMBER(O3475),O3475,0)+IF(ISNUMBER(P3475),P3475,0)))&lt;=Summary!$B$2),"Passes using beginning_balance - PreV_ETB differs from beginning_balance",IF(AND(ISNUMBER(O3475),O3475&lt;0,ABS(L3475-(Q3475-IF(ISNUMBER(N3475),N3475,0)+IF(ISNUMBER(P3475),P3475,0)))&lt;=Summary!$B$2),"Negative realized loss not applied - check sign",IF(R3475&lt;0,"Principal paid exceeds prior balance",IF(AND(L3475&gt;Q3475,NOT(ISNUMBER(P3475))),"Balance increased but no Deferred_interest reported",IF(L3475&gt;R3475,"Reported balance higher than expected (missing increase/OC build)","Reported balance lower than expected (missing decrease)"))))),""))</f>
        <v/>
      </c>
    </row>
    <row r="3476" customFormat="false" ht="15" hidden="false" customHeight="false" outlineLevel="0" collapsed="false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9"/>
      <c r="L3476" s="9"/>
      <c r="M3476" s="9"/>
      <c r="N3476" s="9"/>
      <c r="O3476" s="9"/>
      <c r="P3476" s="9"/>
      <c r="Q3476" s="9"/>
      <c r="R3476" s="9" t="str">
        <f aca="false">IF(AND(A3476&lt;&gt;"",ISNUMBER(Q3476),ISNUMBER(L3476)),ROUND(Q3476-IF(ISNUMBER(N3476),N3476,0)-IF(ISNUMBER(O3476),O3476,0)+IF(ISNUMBER(P3476),P3476,0),2),"")</f>
        <v/>
      </c>
      <c r="S3476" s="9" t="str">
        <f aca="false">IF(R3476="","",ROUND(L3476-R3476,2))</f>
        <v/>
      </c>
      <c r="T3476" s="8" t="str">
        <f aca="false">IF(A3476="","",IF(S3476="","BYPASS",IF(ABS(S3476)&lt;=Summary!$B$2,"PASS","FAIL")))</f>
        <v/>
      </c>
      <c r="U3476" s="8" t="str">
        <f aca="false">IF(T3476="BYPASS",IF(NOT(ISNUMBER(Q3476)),"PreV_ETB missing","End_tr_balance missing"),IF(T3476="FAIL",IF(AND(ISNUMBER(K3476),ISNUMBER(L3476),ABS(L3476-(K3476-IF(ISNUMBER(N3476),N3476,0)-IF(ISNUMBER(O3476),O3476,0)+IF(ISNUMBER(P3476),P3476,0)))&lt;=Summary!$B$2),"Passes using beginning_balance - PreV_ETB differs from beginning_balance",IF(AND(ISNUMBER(O3476),O3476&lt;0,ABS(L3476-(Q3476-IF(ISNUMBER(N3476),N3476,0)+IF(ISNUMBER(P3476),P3476,0)))&lt;=Summary!$B$2),"Negative realized loss not applied - check sign",IF(R3476&lt;0,"Principal paid exceeds prior balance",IF(AND(L3476&gt;Q3476,NOT(ISNUMBER(P3476))),"Balance increased but no Deferred_interest reported",IF(L3476&gt;R3476,"Reported balance higher than expected (missing increase/OC build)","Reported balance lower than expected (missing decrease)"))))),""))</f>
        <v/>
      </c>
    </row>
    <row r="3477" customFormat="false" ht="15" hidden="false" customHeight="false" outlineLevel="0" collapsed="false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9"/>
      <c r="L3477" s="9"/>
      <c r="M3477" s="9"/>
      <c r="N3477" s="9"/>
      <c r="O3477" s="9"/>
      <c r="P3477" s="9"/>
      <c r="Q3477" s="9"/>
      <c r="R3477" s="9" t="str">
        <f aca="false">IF(AND(A3477&lt;&gt;"",ISNUMBER(Q3477),ISNUMBER(L3477)),ROUND(Q3477-IF(ISNUMBER(N3477),N3477,0)-IF(ISNUMBER(O3477),O3477,0)+IF(ISNUMBER(P3477),P3477,0),2),"")</f>
        <v/>
      </c>
      <c r="S3477" s="9" t="str">
        <f aca="false">IF(R3477="","",ROUND(L3477-R3477,2))</f>
        <v/>
      </c>
      <c r="T3477" s="8" t="str">
        <f aca="false">IF(A3477="","",IF(S3477="","BYPASS",IF(ABS(S3477)&lt;=Summary!$B$2,"PASS","FAIL")))</f>
        <v/>
      </c>
      <c r="U3477" s="8" t="str">
        <f aca="false">IF(T3477="BYPASS",IF(NOT(ISNUMBER(Q3477)),"PreV_ETB missing","End_tr_balance missing"),IF(T3477="FAIL",IF(AND(ISNUMBER(K3477),ISNUMBER(L3477),ABS(L3477-(K3477-IF(ISNUMBER(N3477),N3477,0)-IF(ISNUMBER(O3477),O3477,0)+IF(ISNUMBER(P3477),P3477,0)))&lt;=Summary!$B$2),"Passes using beginning_balance - PreV_ETB differs from beginning_balance",IF(AND(ISNUMBER(O3477),O3477&lt;0,ABS(L3477-(Q3477-IF(ISNUMBER(N3477),N3477,0)+IF(ISNUMBER(P3477),P3477,0)))&lt;=Summary!$B$2),"Negative realized loss not applied - check sign",IF(R3477&lt;0,"Principal paid exceeds prior balance",IF(AND(L3477&gt;Q3477,NOT(ISNUMBER(P3477))),"Balance increased but no Deferred_interest reported",IF(L3477&gt;R3477,"Reported balance higher than expected (missing increase/OC build)","Reported balance lower than expected (missing decrease)"))))),""))</f>
        <v/>
      </c>
    </row>
    <row r="3478" customFormat="false" ht="15" hidden="false" customHeight="false" outlineLevel="0" collapsed="false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9"/>
      <c r="L3478" s="9"/>
      <c r="M3478" s="9"/>
      <c r="N3478" s="9"/>
      <c r="O3478" s="9"/>
      <c r="P3478" s="9"/>
      <c r="Q3478" s="9"/>
      <c r="R3478" s="9" t="str">
        <f aca="false">IF(AND(A3478&lt;&gt;"",ISNUMBER(Q3478),ISNUMBER(L3478)),ROUND(Q3478-IF(ISNUMBER(N3478),N3478,0)-IF(ISNUMBER(O3478),O3478,0)+IF(ISNUMBER(P3478),P3478,0),2),"")</f>
        <v/>
      </c>
      <c r="S3478" s="9" t="str">
        <f aca="false">IF(R3478="","",ROUND(L3478-R3478,2))</f>
        <v/>
      </c>
      <c r="T3478" s="8" t="str">
        <f aca="false">IF(A3478="","",IF(S3478="","BYPASS",IF(ABS(S3478)&lt;=Summary!$B$2,"PASS","FAIL")))</f>
        <v/>
      </c>
      <c r="U3478" s="8" t="str">
        <f aca="false">IF(T3478="BYPASS",IF(NOT(ISNUMBER(Q3478)),"PreV_ETB missing","End_tr_balance missing"),IF(T3478="FAIL",IF(AND(ISNUMBER(K3478),ISNUMBER(L3478),ABS(L3478-(K3478-IF(ISNUMBER(N3478),N3478,0)-IF(ISNUMBER(O3478),O3478,0)+IF(ISNUMBER(P3478),P3478,0)))&lt;=Summary!$B$2),"Passes using beginning_balance - PreV_ETB differs from beginning_balance",IF(AND(ISNUMBER(O3478),O3478&lt;0,ABS(L3478-(Q3478-IF(ISNUMBER(N3478),N3478,0)+IF(ISNUMBER(P3478),P3478,0)))&lt;=Summary!$B$2),"Negative realized loss not applied - check sign",IF(R3478&lt;0,"Principal paid exceeds prior balance",IF(AND(L3478&gt;Q3478,NOT(ISNUMBER(P3478))),"Balance increased but no Deferred_interest reported",IF(L3478&gt;R3478,"Reported balance higher than expected (missing increase/OC build)","Reported balance lower than expected (missing decrease)"))))),""))</f>
        <v/>
      </c>
    </row>
    <row r="3479" customFormat="false" ht="15" hidden="false" customHeight="false" outlineLevel="0" collapsed="false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9"/>
      <c r="L3479" s="9"/>
      <c r="M3479" s="9"/>
      <c r="N3479" s="9"/>
      <c r="O3479" s="9"/>
      <c r="P3479" s="9"/>
      <c r="Q3479" s="9"/>
      <c r="R3479" s="9" t="str">
        <f aca="false">IF(AND(A3479&lt;&gt;"",ISNUMBER(Q3479),ISNUMBER(L3479)),ROUND(Q3479-IF(ISNUMBER(N3479),N3479,0)-IF(ISNUMBER(O3479),O3479,0)+IF(ISNUMBER(P3479),P3479,0),2),"")</f>
        <v/>
      </c>
      <c r="S3479" s="9" t="str">
        <f aca="false">IF(R3479="","",ROUND(L3479-R3479,2))</f>
        <v/>
      </c>
      <c r="T3479" s="8" t="str">
        <f aca="false">IF(A3479="","",IF(S3479="","BYPASS",IF(ABS(S3479)&lt;=Summary!$B$2,"PASS","FAIL")))</f>
        <v/>
      </c>
      <c r="U3479" s="8" t="str">
        <f aca="false">IF(T3479="BYPASS",IF(NOT(ISNUMBER(Q3479)),"PreV_ETB missing","End_tr_balance missing"),IF(T3479="FAIL",IF(AND(ISNUMBER(K3479),ISNUMBER(L3479),ABS(L3479-(K3479-IF(ISNUMBER(N3479),N3479,0)-IF(ISNUMBER(O3479),O3479,0)+IF(ISNUMBER(P3479),P3479,0)))&lt;=Summary!$B$2),"Passes using beginning_balance - PreV_ETB differs from beginning_balance",IF(AND(ISNUMBER(O3479),O3479&lt;0,ABS(L3479-(Q3479-IF(ISNUMBER(N3479),N3479,0)+IF(ISNUMBER(P3479),P3479,0)))&lt;=Summary!$B$2),"Negative realized loss not applied - check sign",IF(R3479&lt;0,"Principal paid exceeds prior balance",IF(AND(L3479&gt;Q3479,NOT(ISNUMBER(P3479))),"Balance increased but no Deferred_interest reported",IF(L3479&gt;R3479,"Reported balance higher than expected (missing increase/OC build)","Reported balance lower than expected (missing decrease)"))))),""))</f>
        <v/>
      </c>
    </row>
    <row r="3480" customFormat="false" ht="15" hidden="false" customHeight="false" outlineLevel="0" collapsed="false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9"/>
      <c r="L3480" s="9"/>
      <c r="M3480" s="9"/>
      <c r="N3480" s="9"/>
      <c r="O3480" s="9"/>
      <c r="P3480" s="9"/>
      <c r="Q3480" s="9"/>
      <c r="R3480" s="9" t="str">
        <f aca="false">IF(AND(A3480&lt;&gt;"",ISNUMBER(Q3480),ISNUMBER(L3480)),ROUND(Q3480-IF(ISNUMBER(N3480),N3480,0)-IF(ISNUMBER(O3480),O3480,0)+IF(ISNUMBER(P3480),P3480,0),2),"")</f>
        <v/>
      </c>
      <c r="S3480" s="9" t="str">
        <f aca="false">IF(R3480="","",ROUND(L3480-R3480,2))</f>
        <v/>
      </c>
      <c r="T3480" s="8" t="str">
        <f aca="false">IF(A3480="","",IF(S3480="","BYPASS",IF(ABS(S3480)&lt;=Summary!$B$2,"PASS","FAIL")))</f>
        <v/>
      </c>
      <c r="U3480" s="8" t="str">
        <f aca="false">IF(T3480="BYPASS",IF(NOT(ISNUMBER(Q3480)),"PreV_ETB missing","End_tr_balance missing"),IF(T3480="FAIL",IF(AND(ISNUMBER(K3480),ISNUMBER(L3480),ABS(L3480-(K3480-IF(ISNUMBER(N3480),N3480,0)-IF(ISNUMBER(O3480),O3480,0)+IF(ISNUMBER(P3480),P3480,0)))&lt;=Summary!$B$2),"Passes using beginning_balance - PreV_ETB differs from beginning_balance",IF(AND(ISNUMBER(O3480),O3480&lt;0,ABS(L3480-(Q3480-IF(ISNUMBER(N3480),N3480,0)+IF(ISNUMBER(P3480),P3480,0)))&lt;=Summary!$B$2),"Negative realized loss not applied - check sign",IF(R3480&lt;0,"Principal paid exceeds prior balance",IF(AND(L3480&gt;Q3480,NOT(ISNUMBER(P3480))),"Balance increased but no Deferred_interest reported",IF(L3480&gt;R3480,"Reported balance higher than expected (missing increase/OC build)","Reported balance lower than expected (missing decrease)"))))),""))</f>
        <v/>
      </c>
    </row>
    <row r="3481" customFormat="false" ht="15" hidden="false" customHeight="false" outlineLevel="0" collapsed="false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9"/>
      <c r="L3481" s="9"/>
      <c r="M3481" s="9"/>
      <c r="N3481" s="9"/>
      <c r="O3481" s="9"/>
      <c r="P3481" s="9"/>
      <c r="Q3481" s="9"/>
      <c r="R3481" s="9" t="str">
        <f aca="false">IF(AND(A3481&lt;&gt;"",ISNUMBER(Q3481),ISNUMBER(L3481)),ROUND(Q3481-IF(ISNUMBER(N3481),N3481,0)-IF(ISNUMBER(O3481),O3481,0)+IF(ISNUMBER(P3481),P3481,0),2),"")</f>
        <v/>
      </c>
      <c r="S3481" s="9" t="str">
        <f aca="false">IF(R3481="","",ROUND(L3481-R3481,2))</f>
        <v/>
      </c>
      <c r="T3481" s="8" t="str">
        <f aca="false">IF(A3481="","",IF(S3481="","BYPASS",IF(ABS(S3481)&lt;=Summary!$B$2,"PASS","FAIL")))</f>
        <v/>
      </c>
      <c r="U3481" s="8" t="str">
        <f aca="false">IF(T3481="BYPASS",IF(NOT(ISNUMBER(Q3481)),"PreV_ETB missing","End_tr_balance missing"),IF(T3481="FAIL",IF(AND(ISNUMBER(K3481),ISNUMBER(L3481),ABS(L3481-(K3481-IF(ISNUMBER(N3481),N3481,0)-IF(ISNUMBER(O3481),O3481,0)+IF(ISNUMBER(P3481),P3481,0)))&lt;=Summary!$B$2),"Passes using beginning_balance - PreV_ETB differs from beginning_balance",IF(AND(ISNUMBER(O3481),O3481&lt;0,ABS(L3481-(Q3481-IF(ISNUMBER(N3481),N3481,0)+IF(ISNUMBER(P3481),P3481,0)))&lt;=Summary!$B$2),"Negative realized loss not applied - check sign",IF(R3481&lt;0,"Principal paid exceeds prior balance",IF(AND(L3481&gt;Q3481,NOT(ISNUMBER(P3481))),"Balance increased but no Deferred_interest reported",IF(L3481&gt;R3481,"Reported balance higher than expected (missing increase/OC build)","Reported balance lower than expected (missing decrease)"))))),""))</f>
        <v/>
      </c>
    </row>
    <row r="3482" customFormat="false" ht="15" hidden="false" customHeight="false" outlineLevel="0" collapsed="false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9"/>
      <c r="L3482" s="9"/>
      <c r="M3482" s="9"/>
      <c r="N3482" s="9"/>
      <c r="O3482" s="9"/>
      <c r="P3482" s="9"/>
      <c r="Q3482" s="9"/>
      <c r="R3482" s="9" t="str">
        <f aca="false">IF(AND(A3482&lt;&gt;"",ISNUMBER(Q3482),ISNUMBER(L3482)),ROUND(Q3482-IF(ISNUMBER(N3482),N3482,0)-IF(ISNUMBER(O3482),O3482,0)+IF(ISNUMBER(P3482),P3482,0),2),"")</f>
        <v/>
      </c>
      <c r="S3482" s="9" t="str">
        <f aca="false">IF(R3482="","",ROUND(L3482-R3482,2))</f>
        <v/>
      </c>
      <c r="T3482" s="8" t="str">
        <f aca="false">IF(A3482="","",IF(S3482="","BYPASS",IF(ABS(S3482)&lt;=Summary!$B$2,"PASS","FAIL")))</f>
        <v/>
      </c>
      <c r="U3482" s="8" t="str">
        <f aca="false">IF(T3482="BYPASS",IF(NOT(ISNUMBER(Q3482)),"PreV_ETB missing","End_tr_balance missing"),IF(T3482="FAIL",IF(AND(ISNUMBER(K3482),ISNUMBER(L3482),ABS(L3482-(K3482-IF(ISNUMBER(N3482),N3482,0)-IF(ISNUMBER(O3482),O3482,0)+IF(ISNUMBER(P3482),P3482,0)))&lt;=Summary!$B$2),"Passes using beginning_balance - PreV_ETB differs from beginning_balance",IF(AND(ISNUMBER(O3482),O3482&lt;0,ABS(L3482-(Q3482-IF(ISNUMBER(N3482),N3482,0)+IF(ISNUMBER(P3482),P3482,0)))&lt;=Summary!$B$2),"Negative realized loss not applied - check sign",IF(R3482&lt;0,"Principal paid exceeds prior balance",IF(AND(L3482&gt;Q3482,NOT(ISNUMBER(P3482))),"Balance increased but no Deferred_interest reported",IF(L3482&gt;R3482,"Reported balance higher than expected (missing increase/OC build)","Reported balance lower than expected (missing decrease)"))))),""))</f>
        <v/>
      </c>
    </row>
    <row r="3483" customFormat="false" ht="15" hidden="false" customHeight="false" outlineLevel="0" collapsed="false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9"/>
      <c r="L3483" s="9"/>
      <c r="M3483" s="9"/>
      <c r="N3483" s="9"/>
      <c r="O3483" s="9"/>
      <c r="P3483" s="9"/>
      <c r="Q3483" s="9"/>
      <c r="R3483" s="9" t="str">
        <f aca="false">IF(AND(A3483&lt;&gt;"",ISNUMBER(Q3483),ISNUMBER(L3483)),ROUND(Q3483-IF(ISNUMBER(N3483),N3483,0)-IF(ISNUMBER(O3483),O3483,0)+IF(ISNUMBER(P3483),P3483,0),2),"")</f>
        <v/>
      </c>
      <c r="S3483" s="9" t="str">
        <f aca="false">IF(R3483="","",ROUND(L3483-R3483,2))</f>
        <v/>
      </c>
      <c r="T3483" s="8" t="str">
        <f aca="false">IF(A3483="","",IF(S3483="","BYPASS",IF(ABS(S3483)&lt;=Summary!$B$2,"PASS","FAIL")))</f>
        <v/>
      </c>
      <c r="U3483" s="8" t="str">
        <f aca="false">IF(T3483="BYPASS",IF(NOT(ISNUMBER(Q3483)),"PreV_ETB missing","End_tr_balance missing"),IF(T3483="FAIL",IF(AND(ISNUMBER(K3483),ISNUMBER(L3483),ABS(L3483-(K3483-IF(ISNUMBER(N3483),N3483,0)-IF(ISNUMBER(O3483),O3483,0)+IF(ISNUMBER(P3483),P3483,0)))&lt;=Summary!$B$2),"Passes using beginning_balance - PreV_ETB differs from beginning_balance",IF(AND(ISNUMBER(O3483),O3483&lt;0,ABS(L3483-(Q3483-IF(ISNUMBER(N3483),N3483,0)+IF(ISNUMBER(P3483),P3483,0)))&lt;=Summary!$B$2),"Negative realized loss not applied - check sign",IF(R3483&lt;0,"Principal paid exceeds prior balance",IF(AND(L3483&gt;Q3483,NOT(ISNUMBER(P3483))),"Balance increased but no Deferred_interest reported",IF(L3483&gt;R3483,"Reported balance higher than expected (missing increase/OC build)","Reported balance lower than expected (missing decrease)"))))),""))</f>
        <v/>
      </c>
    </row>
    <row r="3484" customFormat="false" ht="15" hidden="false" customHeight="false" outlineLevel="0" collapsed="false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9"/>
      <c r="L3484" s="9"/>
      <c r="M3484" s="9"/>
      <c r="N3484" s="9"/>
      <c r="O3484" s="9"/>
      <c r="P3484" s="9"/>
      <c r="Q3484" s="9"/>
      <c r="R3484" s="9" t="str">
        <f aca="false">IF(AND(A3484&lt;&gt;"",ISNUMBER(Q3484),ISNUMBER(L3484)),ROUND(Q3484-IF(ISNUMBER(N3484),N3484,0)-IF(ISNUMBER(O3484),O3484,0)+IF(ISNUMBER(P3484),P3484,0),2),"")</f>
        <v/>
      </c>
      <c r="S3484" s="9" t="str">
        <f aca="false">IF(R3484="","",ROUND(L3484-R3484,2))</f>
        <v/>
      </c>
      <c r="T3484" s="8" t="str">
        <f aca="false">IF(A3484="","",IF(S3484="","BYPASS",IF(ABS(S3484)&lt;=Summary!$B$2,"PASS","FAIL")))</f>
        <v/>
      </c>
      <c r="U3484" s="8" t="str">
        <f aca="false">IF(T3484="BYPASS",IF(NOT(ISNUMBER(Q3484)),"PreV_ETB missing","End_tr_balance missing"),IF(T3484="FAIL",IF(AND(ISNUMBER(K3484),ISNUMBER(L3484),ABS(L3484-(K3484-IF(ISNUMBER(N3484),N3484,0)-IF(ISNUMBER(O3484),O3484,0)+IF(ISNUMBER(P3484),P3484,0)))&lt;=Summary!$B$2),"Passes using beginning_balance - PreV_ETB differs from beginning_balance",IF(AND(ISNUMBER(O3484),O3484&lt;0,ABS(L3484-(Q3484-IF(ISNUMBER(N3484),N3484,0)+IF(ISNUMBER(P3484),P3484,0)))&lt;=Summary!$B$2),"Negative realized loss not applied - check sign",IF(R3484&lt;0,"Principal paid exceeds prior balance",IF(AND(L3484&gt;Q3484,NOT(ISNUMBER(P3484))),"Balance increased but no Deferred_interest reported",IF(L3484&gt;R3484,"Reported balance higher than expected (missing increase/OC build)","Reported balance lower than expected (missing decrease)"))))),""))</f>
        <v/>
      </c>
    </row>
    <row r="3485" customFormat="false" ht="15" hidden="false" customHeight="false" outlineLevel="0" collapsed="false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9"/>
      <c r="L3485" s="9"/>
      <c r="M3485" s="9"/>
      <c r="N3485" s="9"/>
      <c r="O3485" s="9"/>
      <c r="P3485" s="9"/>
      <c r="Q3485" s="9"/>
      <c r="R3485" s="9" t="str">
        <f aca="false">IF(AND(A3485&lt;&gt;"",ISNUMBER(Q3485),ISNUMBER(L3485)),ROUND(Q3485-IF(ISNUMBER(N3485),N3485,0)-IF(ISNUMBER(O3485),O3485,0)+IF(ISNUMBER(P3485),P3485,0),2),"")</f>
        <v/>
      </c>
      <c r="S3485" s="9" t="str">
        <f aca="false">IF(R3485="","",ROUND(L3485-R3485,2))</f>
        <v/>
      </c>
      <c r="T3485" s="8" t="str">
        <f aca="false">IF(A3485="","",IF(S3485="","BYPASS",IF(ABS(S3485)&lt;=Summary!$B$2,"PASS","FAIL")))</f>
        <v/>
      </c>
      <c r="U3485" s="8" t="str">
        <f aca="false">IF(T3485="BYPASS",IF(NOT(ISNUMBER(Q3485)),"PreV_ETB missing","End_tr_balance missing"),IF(T3485="FAIL",IF(AND(ISNUMBER(K3485),ISNUMBER(L3485),ABS(L3485-(K3485-IF(ISNUMBER(N3485),N3485,0)-IF(ISNUMBER(O3485),O3485,0)+IF(ISNUMBER(P3485),P3485,0)))&lt;=Summary!$B$2),"Passes using beginning_balance - PreV_ETB differs from beginning_balance",IF(AND(ISNUMBER(O3485),O3485&lt;0,ABS(L3485-(Q3485-IF(ISNUMBER(N3485),N3485,0)+IF(ISNUMBER(P3485),P3485,0)))&lt;=Summary!$B$2),"Negative realized loss not applied - check sign",IF(R3485&lt;0,"Principal paid exceeds prior balance",IF(AND(L3485&gt;Q3485,NOT(ISNUMBER(P3485))),"Balance increased but no Deferred_interest reported",IF(L3485&gt;R3485,"Reported balance higher than expected (missing increase/OC build)","Reported balance lower than expected (missing decrease)"))))),""))</f>
        <v/>
      </c>
    </row>
    <row r="3486" customFormat="false" ht="15" hidden="false" customHeight="false" outlineLevel="0" collapsed="false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9"/>
      <c r="L3486" s="9"/>
      <c r="M3486" s="9"/>
      <c r="N3486" s="9"/>
      <c r="O3486" s="9"/>
      <c r="P3486" s="9"/>
      <c r="Q3486" s="9"/>
      <c r="R3486" s="9" t="str">
        <f aca="false">IF(AND(A3486&lt;&gt;"",ISNUMBER(Q3486),ISNUMBER(L3486)),ROUND(Q3486-IF(ISNUMBER(N3486),N3486,0)-IF(ISNUMBER(O3486),O3486,0)+IF(ISNUMBER(P3486),P3486,0),2),"")</f>
        <v/>
      </c>
      <c r="S3486" s="9" t="str">
        <f aca="false">IF(R3486="","",ROUND(L3486-R3486,2))</f>
        <v/>
      </c>
      <c r="T3486" s="8" t="str">
        <f aca="false">IF(A3486="","",IF(S3486="","BYPASS",IF(ABS(S3486)&lt;=Summary!$B$2,"PASS","FAIL")))</f>
        <v/>
      </c>
      <c r="U3486" s="8" t="str">
        <f aca="false">IF(T3486="BYPASS",IF(NOT(ISNUMBER(Q3486)),"PreV_ETB missing","End_tr_balance missing"),IF(T3486="FAIL",IF(AND(ISNUMBER(K3486),ISNUMBER(L3486),ABS(L3486-(K3486-IF(ISNUMBER(N3486),N3486,0)-IF(ISNUMBER(O3486),O3486,0)+IF(ISNUMBER(P3486),P3486,0)))&lt;=Summary!$B$2),"Passes using beginning_balance - PreV_ETB differs from beginning_balance",IF(AND(ISNUMBER(O3486),O3486&lt;0,ABS(L3486-(Q3486-IF(ISNUMBER(N3486),N3486,0)+IF(ISNUMBER(P3486),P3486,0)))&lt;=Summary!$B$2),"Negative realized loss not applied - check sign",IF(R3486&lt;0,"Principal paid exceeds prior balance",IF(AND(L3486&gt;Q3486,NOT(ISNUMBER(P3486))),"Balance increased but no Deferred_interest reported",IF(L3486&gt;R3486,"Reported balance higher than expected (missing increase/OC build)","Reported balance lower than expected (missing decrease)"))))),""))</f>
        <v/>
      </c>
    </row>
    <row r="3487" customFormat="false" ht="15" hidden="false" customHeight="false" outlineLevel="0" collapsed="false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9"/>
      <c r="L3487" s="9"/>
      <c r="M3487" s="9"/>
      <c r="N3487" s="9"/>
      <c r="O3487" s="9"/>
      <c r="P3487" s="9"/>
      <c r="Q3487" s="9"/>
      <c r="R3487" s="9" t="str">
        <f aca="false">IF(AND(A3487&lt;&gt;"",ISNUMBER(Q3487),ISNUMBER(L3487)),ROUND(Q3487-IF(ISNUMBER(N3487),N3487,0)-IF(ISNUMBER(O3487),O3487,0)+IF(ISNUMBER(P3487),P3487,0),2),"")</f>
        <v/>
      </c>
      <c r="S3487" s="9" t="str">
        <f aca="false">IF(R3487="","",ROUND(L3487-R3487,2))</f>
        <v/>
      </c>
      <c r="T3487" s="8" t="str">
        <f aca="false">IF(A3487="","",IF(S3487="","BYPASS",IF(ABS(S3487)&lt;=Summary!$B$2,"PASS","FAIL")))</f>
        <v/>
      </c>
      <c r="U3487" s="8" t="str">
        <f aca="false">IF(T3487="BYPASS",IF(NOT(ISNUMBER(Q3487)),"PreV_ETB missing","End_tr_balance missing"),IF(T3487="FAIL",IF(AND(ISNUMBER(K3487),ISNUMBER(L3487),ABS(L3487-(K3487-IF(ISNUMBER(N3487),N3487,0)-IF(ISNUMBER(O3487),O3487,0)+IF(ISNUMBER(P3487),P3487,0)))&lt;=Summary!$B$2),"Passes using beginning_balance - PreV_ETB differs from beginning_balance",IF(AND(ISNUMBER(O3487),O3487&lt;0,ABS(L3487-(Q3487-IF(ISNUMBER(N3487),N3487,0)+IF(ISNUMBER(P3487),P3487,0)))&lt;=Summary!$B$2),"Negative realized loss not applied - check sign",IF(R3487&lt;0,"Principal paid exceeds prior balance",IF(AND(L3487&gt;Q3487,NOT(ISNUMBER(P3487))),"Balance increased but no Deferred_interest reported",IF(L3487&gt;R3487,"Reported balance higher than expected (missing increase/OC build)","Reported balance lower than expected (missing decrease)"))))),""))</f>
        <v/>
      </c>
    </row>
    <row r="3488" customFormat="false" ht="15" hidden="false" customHeight="false" outlineLevel="0" collapsed="false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9"/>
      <c r="L3488" s="9"/>
      <c r="M3488" s="9"/>
      <c r="N3488" s="9"/>
      <c r="O3488" s="9"/>
      <c r="P3488" s="9"/>
      <c r="Q3488" s="9"/>
      <c r="R3488" s="9" t="str">
        <f aca="false">IF(AND(A3488&lt;&gt;"",ISNUMBER(Q3488),ISNUMBER(L3488)),ROUND(Q3488-IF(ISNUMBER(N3488),N3488,0)-IF(ISNUMBER(O3488),O3488,0)+IF(ISNUMBER(P3488),P3488,0),2),"")</f>
        <v/>
      </c>
      <c r="S3488" s="9" t="str">
        <f aca="false">IF(R3488="","",ROUND(L3488-R3488,2))</f>
        <v/>
      </c>
      <c r="T3488" s="8" t="str">
        <f aca="false">IF(A3488="","",IF(S3488="","BYPASS",IF(ABS(S3488)&lt;=Summary!$B$2,"PASS","FAIL")))</f>
        <v/>
      </c>
      <c r="U3488" s="8" t="str">
        <f aca="false">IF(T3488="BYPASS",IF(NOT(ISNUMBER(Q3488)),"PreV_ETB missing","End_tr_balance missing"),IF(T3488="FAIL",IF(AND(ISNUMBER(K3488),ISNUMBER(L3488),ABS(L3488-(K3488-IF(ISNUMBER(N3488),N3488,0)-IF(ISNUMBER(O3488),O3488,0)+IF(ISNUMBER(P3488),P3488,0)))&lt;=Summary!$B$2),"Passes using beginning_balance - PreV_ETB differs from beginning_balance",IF(AND(ISNUMBER(O3488),O3488&lt;0,ABS(L3488-(Q3488-IF(ISNUMBER(N3488),N3488,0)+IF(ISNUMBER(P3488),P3488,0)))&lt;=Summary!$B$2),"Negative realized loss not applied - check sign",IF(R3488&lt;0,"Principal paid exceeds prior balance",IF(AND(L3488&gt;Q3488,NOT(ISNUMBER(P3488))),"Balance increased but no Deferred_interest reported",IF(L3488&gt;R3488,"Reported balance higher than expected (missing increase/OC build)","Reported balance lower than expected (missing decrease)"))))),""))</f>
        <v/>
      </c>
    </row>
    <row r="3489" customFormat="false" ht="15" hidden="false" customHeight="false" outlineLevel="0" collapsed="false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9"/>
      <c r="L3489" s="9"/>
      <c r="M3489" s="9"/>
      <c r="N3489" s="9"/>
      <c r="O3489" s="9"/>
      <c r="P3489" s="9"/>
      <c r="Q3489" s="9"/>
      <c r="R3489" s="9" t="str">
        <f aca="false">IF(AND(A3489&lt;&gt;"",ISNUMBER(Q3489),ISNUMBER(L3489)),ROUND(Q3489-IF(ISNUMBER(N3489),N3489,0)-IF(ISNUMBER(O3489),O3489,0)+IF(ISNUMBER(P3489),P3489,0),2),"")</f>
        <v/>
      </c>
      <c r="S3489" s="9" t="str">
        <f aca="false">IF(R3489="","",ROUND(L3489-R3489,2))</f>
        <v/>
      </c>
      <c r="T3489" s="8" t="str">
        <f aca="false">IF(A3489="","",IF(S3489="","BYPASS",IF(ABS(S3489)&lt;=Summary!$B$2,"PASS","FAIL")))</f>
        <v/>
      </c>
      <c r="U3489" s="8" t="str">
        <f aca="false">IF(T3489="BYPASS",IF(NOT(ISNUMBER(Q3489)),"PreV_ETB missing","End_tr_balance missing"),IF(T3489="FAIL",IF(AND(ISNUMBER(K3489),ISNUMBER(L3489),ABS(L3489-(K3489-IF(ISNUMBER(N3489),N3489,0)-IF(ISNUMBER(O3489),O3489,0)+IF(ISNUMBER(P3489),P3489,0)))&lt;=Summary!$B$2),"Passes using beginning_balance - PreV_ETB differs from beginning_balance",IF(AND(ISNUMBER(O3489),O3489&lt;0,ABS(L3489-(Q3489-IF(ISNUMBER(N3489),N3489,0)+IF(ISNUMBER(P3489),P3489,0)))&lt;=Summary!$B$2),"Negative realized loss not applied - check sign",IF(R3489&lt;0,"Principal paid exceeds prior balance",IF(AND(L3489&gt;Q3489,NOT(ISNUMBER(P3489))),"Balance increased but no Deferred_interest reported",IF(L3489&gt;R3489,"Reported balance higher than expected (missing increase/OC build)","Reported balance lower than expected (missing decrease)"))))),""))</f>
        <v/>
      </c>
    </row>
    <row r="3490" customFormat="false" ht="15" hidden="false" customHeight="false" outlineLevel="0" collapsed="false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9"/>
      <c r="L3490" s="9"/>
      <c r="M3490" s="9"/>
      <c r="N3490" s="9"/>
      <c r="O3490" s="9"/>
      <c r="P3490" s="9"/>
      <c r="Q3490" s="9"/>
      <c r="R3490" s="9" t="str">
        <f aca="false">IF(AND(A3490&lt;&gt;"",ISNUMBER(Q3490),ISNUMBER(L3490)),ROUND(Q3490-IF(ISNUMBER(N3490),N3490,0)-IF(ISNUMBER(O3490),O3490,0)+IF(ISNUMBER(P3490),P3490,0),2),"")</f>
        <v/>
      </c>
      <c r="S3490" s="9" t="str">
        <f aca="false">IF(R3490="","",ROUND(L3490-R3490,2))</f>
        <v/>
      </c>
      <c r="T3490" s="8" t="str">
        <f aca="false">IF(A3490="","",IF(S3490="","BYPASS",IF(ABS(S3490)&lt;=Summary!$B$2,"PASS","FAIL")))</f>
        <v/>
      </c>
      <c r="U3490" s="8" t="str">
        <f aca="false">IF(T3490="BYPASS",IF(NOT(ISNUMBER(Q3490)),"PreV_ETB missing","End_tr_balance missing"),IF(T3490="FAIL",IF(AND(ISNUMBER(K3490),ISNUMBER(L3490),ABS(L3490-(K3490-IF(ISNUMBER(N3490),N3490,0)-IF(ISNUMBER(O3490),O3490,0)+IF(ISNUMBER(P3490),P3490,0)))&lt;=Summary!$B$2),"Passes using beginning_balance - PreV_ETB differs from beginning_balance",IF(AND(ISNUMBER(O3490),O3490&lt;0,ABS(L3490-(Q3490-IF(ISNUMBER(N3490),N3490,0)+IF(ISNUMBER(P3490),P3490,0)))&lt;=Summary!$B$2),"Negative realized loss not applied - check sign",IF(R3490&lt;0,"Principal paid exceeds prior balance",IF(AND(L3490&gt;Q3490,NOT(ISNUMBER(P3490))),"Balance increased but no Deferred_interest reported",IF(L3490&gt;R3490,"Reported balance higher than expected (missing increase/OC build)","Reported balance lower than expected (missing decrease)"))))),""))</f>
        <v/>
      </c>
    </row>
    <row r="3491" customFormat="false" ht="15" hidden="false" customHeight="false" outlineLevel="0" collapsed="false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9"/>
      <c r="L3491" s="9"/>
      <c r="M3491" s="9"/>
      <c r="N3491" s="9"/>
      <c r="O3491" s="9"/>
      <c r="P3491" s="9"/>
      <c r="Q3491" s="9"/>
      <c r="R3491" s="9" t="str">
        <f aca="false">IF(AND(A3491&lt;&gt;"",ISNUMBER(Q3491),ISNUMBER(L3491)),ROUND(Q3491-IF(ISNUMBER(N3491),N3491,0)-IF(ISNUMBER(O3491),O3491,0)+IF(ISNUMBER(P3491),P3491,0),2),"")</f>
        <v/>
      </c>
      <c r="S3491" s="9" t="str">
        <f aca="false">IF(R3491="","",ROUND(L3491-R3491,2))</f>
        <v/>
      </c>
      <c r="T3491" s="8" t="str">
        <f aca="false">IF(A3491="","",IF(S3491="","BYPASS",IF(ABS(S3491)&lt;=Summary!$B$2,"PASS","FAIL")))</f>
        <v/>
      </c>
      <c r="U3491" s="8" t="str">
        <f aca="false">IF(T3491="BYPASS",IF(NOT(ISNUMBER(Q3491)),"PreV_ETB missing","End_tr_balance missing"),IF(T3491="FAIL",IF(AND(ISNUMBER(K3491),ISNUMBER(L3491),ABS(L3491-(K3491-IF(ISNUMBER(N3491),N3491,0)-IF(ISNUMBER(O3491),O3491,0)+IF(ISNUMBER(P3491),P3491,0)))&lt;=Summary!$B$2),"Passes using beginning_balance - PreV_ETB differs from beginning_balance",IF(AND(ISNUMBER(O3491),O3491&lt;0,ABS(L3491-(Q3491-IF(ISNUMBER(N3491),N3491,0)+IF(ISNUMBER(P3491),P3491,0)))&lt;=Summary!$B$2),"Negative realized loss not applied - check sign",IF(R3491&lt;0,"Principal paid exceeds prior balance",IF(AND(L3491&gt;Q3491,NOT(ISNUMBER(P3491))),"Balance increased but no Deferred_interest reported",IF(L3491&gt;R3491,"Reported balance higher than expected (missing increase/OC build)","Reported balance lower than expected (missing decrease)"))))),""))</f>
        <v/>
      </c>
    </row>
    <row r="3492" customFormat="false" ht="15" hidden="false" customHeight="false" outlineLevel="0" collapsed="false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9"/>
      <c r="L3492" s="9"/>
      <c r="M3492" s="9"/>
      <c r="N3492" s="9"/>
      <c r="O3492" s="9"/>
      <c r="P3492" s="9"/>
      <c r="Q3492" s="9"/>
      <c r="R3492" s="9" t="str">
        <f aca="false">IF(AND(A3492&lt;&gt;"",ISNUMBER(Q3492),ISNUMBER(L3492)),ROUND(Q3492-IF(ISNUMBER(N3492),N3492,0)-IF(ISNUMBER(O3492),O3492,0)+IF(ISNUMBER(P3492),P3492,0),2),"")</f>
        <v/>
      </c>
      <c r="S3492" s="9" t="str">
        <f aca="false">IF(R3492="","",ROUND(L3492-R3492,2))</f>
        <v/>
      </c>
      <c r="T3492" s="8" t="str">
        <f aca="false">IF(A3492="","",IF(S3492="","BYPASS",IF(ABS(S3492)&lt;=Summary!$B$2,"PASS","FAIL")))</f>
        <v/>
      </c>
      <c r="U3492" s="8" t="str">
        <f aca="false">IF(T3492="BYPASS",IF(NOT(ISNUMBER(Q3492)),"PreV_ETB missing","End_tr_balance missing"),IF(T3492="FAIL",IF(AND(ISNUMBER(K3492),ISNUMBER(L3492),ABS(L3492-(K3492-IF(ISNUMBER(N3492),N3492,0)-IF(ISNUMBER(O3492),O3492,0)+IF(ISNUMBER(P3492),P3492,0)))&lt;=Summary!$B$2),"Passes using beginning_balance - PreV_ETB differs from beginning_balance",IF(AND(ISNUMBER(O3492),O3492&lt;0,ABS(L3492-(Q3492-IF(ISNUMBER(N3492),N3492,0)+IF(ISNUMBER(P3492),P3492,0)))&lt;=Summary!$B$2),"Negative realized loss not applied - check sign",IF(R3492&lt;0,"Principal paid exceeds prior balance",IF(AND(L3492&gt;Q3492,NOT(ISNUMBER(P3492))),"Balance increased but no Deferred_interest reported",IF(L3492&gt;R3492,"Reported balance higher than expected (missing increase/OC build)","Reported balance lower than expected (missing decrease)"))))),""))</f>
        <v/>
      </c>
    </row>
    <row r="3493" customFormat="false" ht="15" hidden="false" customHeight="false" outlineLevel="0" collapsed="false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9"/>
      <c r="L3493" s="9"/>
      <c r="M3493" s="9"/>
      <c r="N3493" s="9"/>
      <c r="O3493" s="9"/>
      <c r="P3493" s="9"/>
      <c r="Q3493" s="9"/>
      <c r="R3493" s="9" t="str">
        <f aca="false">IF(AND(A3493&lt;&gt;"",ISNUMBER(Q3493),ISNUMBER(L3493)),ROUND(Q3493-IF(ISNUMBER(N3493),N3493,0)-IF(ISNUMBER(O3493),O3493,0)+IF(ISNUMBER(P3493),P3493,0),2),"")</f>
        <v/>
      </c>
      <c r="S3493" s="9" t="str">
        <f aca="false">IF(R3493="","",ROUND(L3493-R3493,2))</f>
        <v/>
      </c>
      <c r="T3493" s="8" t="str">
        <f aca="false">IF(A3493="","",IF(S3493="","BYPASS",IF(ABS(S3493)&lt;=Summary!$B$2,"PASS","FAIL")))</f>
        <v/>
      </c>
      <c r="U3493" s="8" t="str">
        <f aca="false">IF(T3493="BYPASS",IF(NOT(ISNUMBER(Q3493)),"PreV_ETB missing","End_tr_balance missing"),IF(T3493="FAIL",IF(AND(ISNUMBER(K3493),ISNUMBER(L3493),ABS(L3493-(K3493-IF(ISNUMBER(N3493),N3493,0)-IF(ISNUMBER(O3493),O3493,0)+IF(ISNUMBER(P3493),P3493,0)))&lt;=Summary!$B$2),"Passes using beginning_balance - PreV_ETB differs from beginning_balance",IF(AND(ISNUMBER(O3493),O3493&lt;0,ABS(L3493-(Q3493-IF(ISNUMBER(N3493),N3493,0)+IF(ISNUMBER(P3493),P3493,0)))&lt;=Summary!$B$2),"Negative realized loss not applied - check sign",IF(R3493&lt;0,"Principal paid exceeds prior balance",IF(AND(L3493&gt;Q3493,NOT(ISNUMBER(P3493))),"Balance increased but no Deferred_interest reported",IF(L3493&gt;R3493,"Reported balance higher than expected (missing increase/OC build)","Reported balance lower than expected (missing decrease)"))))),""))</f>
        <v/>
      </c>
    </row>
    <row r="3494" customFormat="false" ht="15" hidden="false" customHeight="false" outlineLevel="0" collapsed="false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9"/>
      <c r="L3494" s="9"/>
      <c r="M3494" s="9"/>
      <c r="N3494" s="9"/>
      <c r="O3494" s="9"/>
      <c r="P3494" s="9"/>
      <c r="Q3494" s="9"/>
      <c r="R3494" s="9" t="str">
        <f aca="false">IF(AND(A3494&lt;&gt;"",ISNUMBER(Q3494),ISNUMBER(L3494)),ROUND(Q3494-IF(ISNUMBER(N3494),N3494,0)-IF(ISNUMBER(O3494),O3494,0)+IF(ISNUMBER(P3494),P3494,0),2),"")</f>
        <v/>
      </c>
      <c r="S3494" s="9" t="str">
        <f aca="false">IF(R3494="","",ROUND(L3494-R3494,2))</f>
        <v/>
      </c>
      <c r="T3494" s="8" t="str">
        <f aca="false">IF(A3494="","",IF(S3494="","BYPASS",IF(ABS(S3494)&lt;=Summary!$B$2,"PASS","FAIL")))</f>
        <v/>
      </c>
      <c r="U3494" s="8" t="str">
        <f aca="false">IF(T3494="BYPASS",IF(NOT(ISNUMBER(Q3494)),"PreV_ETB missing","End_tr_balance missing"),IF(T3494="FAIL",IF(AND(ISNUMBER(K3494),ISNUMBER(L3494),ABS(L3494-(K3494-IF(ISNUMBER(N3494),N3494,0)-IF(ISNUMBER(O3494),O3494,0)+IF(ISNUMBER(P3494),P3494,0)))&lt;=Summary!$B$2),"Passes using beginning_balance - PreV_ETB differs from beginning_balance",IF(AND(ISNUMBER(O3494),O3494&lt;0,ABS(L3494-(Q3494-IF(ISNUMBER(N3494),N3494,0)+IF(ISNUMBER(P3494),P3494,0)))&lt;=Summary!$B$2),"Negative realized loss not applied - check sign",IF(R3494&lt;0,"Principal paid exceeds prior balance",IF(AND(L3494&gt;Q3494,NOT(ISNUMBER(P3494))),"Balance increased but no Deferred_interest reported",IF(L3494&gt;R3494,"Reported balance higher than expected (missing increase/OC build)","Reported balance lower than expected (missing decrease)"))))),""))</f>
        <v/>
      </c>
    </row>
    <row r="3495" customFormat="false" ht="15" hidden="false" customHeight="false" outlineLevel="0" collapsed="false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9"/>
      <c r="L3495" s="9"/>
      <c r="M3495" s="9"/>
      <c r="N3495" s="9"/>
      <c r="O3495" s="9"/>
      <c r="P3495" s="9"/>
      <c r="Q3495" s="9"/>
      <c r="R3495" s="9" t="str">
        <f aca="false">IF(AND(A3495&lt;&gt;"",ISNUMBER(Q3495),ISNUMBER(L3495)),ROUND(Q3495-IF(ISNUMBER(N3495),N3495,0)-IF(ISNUMBER(O3495),O3495,0)+IF(ISNUMBER(P3495),P3495,0),2),"")</f>
        <v/>
      </c>
      <c r="S3495" s="9" t="str">
        <f aca="false">IF(R3495="","",ROUND(L3495-R3495,2))</f>
        <v/>
      </c>
      <c r="T3495" s="8" t="str">
        <f aca="false">IF(A3495="","",IF(S3495="","BYPASS",IF(ABS(S3495)&lt;=Summary!$B$2,"PASS","FAIL")))</f>
        <v/>
      </c>
      <c r="U3495" s="8" t="str">
        <f aca="false">IF(T3495="BYPASS",IF(NOT(ISNUMBER(Q3495)),"PreV_ETB missing","End_tr_balance missing"),IF(T3495="FAIL",IF(AND(ISNUMBER(K3495),ISNUMBER(L3495),ABS(L3495-(K3495-IF(ISNUMBER(N3495),N3495,0)-IF(ISNUMBER(O3495),O3495,0)+IF(ISNUMBER(P3495),P3495,0)))&lt;=Summary!$B$2),"Passes using beginning_balance - PreV_ETB differs from beginning_balance",IF(AND(ISNUMBER(O3495),O3495&lt;0,ABS(L3495-(Q3495-IF(ISNUMBER(N3495),N3495,0)+IF(ISNUMBER(P3495),P3495,0)))&lt;=Summary!$B$2),"Negative realized loss not applied - check sign",IF(R3495&lt;0,"Principal paid exceeds prior balance",IF(AND(L3495&gt;Q3495,NOT(ISNUMBER(P3495))),"Balance increased but no Deferred_interest reported",IF(L3495&gt;R3495,"Reported balance higher than expected (missing increase/OC build)","Reported balance lower than expected (missing decrease)"))))),""))</f>
        <v/>
      </c>
    </row>
    <row r="3496" customFormat="false" ht="15" hidden="false" customHeight="false" outlineLevel="0" collapsed="false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9"/>
      <c r="L3496" s="9"/>
      <c r="M3496" s="9"/>
      <c r="N3496" s="9"/>
      <c r="O3496" s="9"/>
      <c r="P3496" s="9"/>
      <c r="Q3496" s="9"/>
      <c r="R3496" s="9" t="str">
        <f aca="false">IF(AND(A3496&lt;&gt;"",ISNUMBER(Q3496),ISNUMBER(L3496)),ROUND(Q3496-IF(ISNUMBER(N3496),N3496,0)-IF(ISNUMBER(O3496),O3496,0)+IF(ISNUMBER(P3496),P3496,0),2),"")</f>
        <v/>
      </c>
      <c r="S3496" s="9" t="str">
        <f aca="false">IF(R3496="","",ROUND(L3496-R3496,2))</f>
        <v/>
      </c>
      <c r="T3496" s="8" t="str">
        <f aca="false">IF(A3496="","",IF(S3496="","BYPASS",IF(ABS(S3496)&lt;=Summary!$B$2,"PASS","FAIL")))</f>
        <v/>
      </c>
      <c r="U3496" s="8" t="str">
        <f aca="false">IF(T3496="BYPASS",IF(NOT(ISNUMBER(Q3496)),"PreV_ETB missing","End_tr_balance missing"),IF(T3496="FAIL",IF(AND(ISNUMBER(K3496),ISNUMBER(L3496),ABS(L3496-(K3496-IF(ISNUMBER(N3496),N3496,0)-IF(ISNUMBER(O3496),O3496,0)+IF(ISNUMBER(P3496),P3496,0)))&lt;=Summary!$B$2),"Passes using beginning_balance - PreV_ETB differs from beginning_balance",IF(AND(ISNUMBER(O3496),O3496&lt;0,ABS(L3496-(Q3496-IF(ISNUMBER(N3496),N3496,0)+IF(ISNUMBER(P3496),P3496,0)))&lt;=Summary!$B$2),"Negative realized loss not applied - check sign",IF(R3496&lt;0,"Principal paid exceeds prior balance",IF(AND(L3496&gt;Q3496,NOT(ISNUMBER(P3496))),"Balance increased but no Deferred_interest reported",IF(L3496&gt;R3496,"Reported balance higher than expected (missing increase/OC build)","Reported balance lower than expected (missing decrease)"))))),""))</f>
        <v/>
      </c>
    </row>
    <row r="3497" customFormat="false" ht="15" hidden="false" customHeight="false" outlineLevel="0" collapsed="false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9"/>
      <c r="L3497" s="9"/>
      <c r="M3497" s="9"/>
      <c r="N3497" s="9"/>
      <c r="O3497" s="9"/>
      <c r="P3497" s="9"/>
      <c r="Q3497" s="9"/>
      <c r="R3497" s="9" t="str">
        <f aca="false">IF(AND(A3497&lt;&gt;"",ISNUMBER(Q3497),ISNUMBER(L3497)),ROUND(Q3497-IF(ISNUMBER(N3497),N3497,0)-IF(ISNUMBER(O3497),O3497,0)+IF(ISNUMBER(P3497),P3497,0),2),"")</f>
        <v/>
      </c>
      <c r="S3497" s="9" t="str">
        <f aca="false">IF(R3497="","",ROUND(L3497-R3497,2))</f>
        <v/>
      </c>
      <c r="T3497" s="8" t="str">
        <f aca="false">IF(A3497="","",IF(S3497="","BYPASS",IF(ABS(S3497)&lt;=Summary!$B$2,"PASS","FAIL")))</f>
        <v/>
      </c>
      <c r="U3497" s="8" t="str">
        <f aca="false">IF(T3497="BYPASS",IF(NOT(ISNUMBER(Q3497)),"PreV_ETB missing","End_tr_balance missing"),IF(T3497="FAIL",IF(AND(ISNUMBER(K3497),ISNUMBER(L3497),ABS(L3497-(K3497-IF(ISNUMBER(N3497),N3497,0)-IF(ISNUMBER(O3497),O3497,0)+IF(ISNUMBER(P3497),P3497,0)))&lt;=Summary!$B$2),"Passes using beginning_balance - PreV_ETB differs from beginning_balance",IF(AND(ISNUMBER(O3497),O3497&lt;0,ABS(L3497-(Q3497-IF(ISNUMBER(N3497),N3497,0)+IF(ISNUMBER(P3497),P3497,0)))&lt;=Summary!$B$2),"Negative realized loss not applied - check sign",IF(R3497&lt;0,"Principal paid exceeds prior balance",IF(AND(L3497&gt;Q3497,NOT(ISNUMBER(P3497))),"Balance increased but no Deferred_interest reported",IF(L3497&gt;R3497,"Reported balance higher than expected (missing increase/OC build)","Reported balance lower than expected (missing decrease)"))))),""))</f>
        <v/>
      </c>
    </row>
    <row r="3498" customFormat="false" ht="15" hidden="false" customHeight="false" outlineLevel="0" collapsed="false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9"/>
      <c r="L3498" s="9"/>
      <c r="M3498" s="9"/>
      <c r="N3498" s="9"/>
      <c r="O3498" s="9"/>
      <c r="P3498" s="9"/>
      <c r="Q3498" s="9"/>
      <c r="R3498" s="9" t="str">
        <f aca="false">IF(AND(A3498&lt;&gt;"",ISNUMBER(Q3498),ISNUMBER(L3498)),ROUND(Q3498-IF(ISNUMBER(N3498),N3498,0)-IF(ISNUMBER(O3498),O3498,0)+IF(ISNUMBER(P3498),P3498,0),2),"")</f>
        <v/>
      </c>
      <c r="S3498" s="9" t="str">
        <f aca="false">IF(R3498="","",ROUND(L3498-R3498,2))</f>
        <v/>
      </c>
      <c r="T3498" s="8" t="str">
        <f aca="false">IF(A3498="","",IF(S3498="","BYPASS",IF(ABS(S3498)&lt;=Summary!$B$2,"PASS","FAIL")))</f>
        <v/>
      </c>
      <c r="U3498" s="8" t="str">
        <f aca="false">IF(T3498="BYPASS",IF(NOT(ISNUMBER(Q3498)),"PreV_ETB missing","End_tr_balance missing"),IF(T3498="FAIL",IF(AND(ISNUMBER(K3498),ISNUMBER(L3498),ABS(L3498-(K3498-IF(ISNUMBER(N3498),N3498,0)-IF(ISNUMBER(O3498),O3498,0)+IF(ISNUMBER(P3498),P3498,0)))&lt;=Summary!$B$2),"Passes using beginning_balance - PreV_ETB differs from beginning_balance",IF(AND(ISNUMBER(O3498),O3498&lt;0,ABS(L3498-(Q3498-IF(ISNUMBER(N3498),N3498,0)+IF(ISNUMBER(P3498),P3498,0)))&lt;=Summary!$B$2),"Negative realized loss not applied - check sign",IF(R3498&lt;0,"Principal paid exceeds prior balance",IF(AND(L3498&gt;Q3498,NOT(ISNUMBER(P3498))),"Balance increased but no Deferred_interest reported",IF(L3498&gt;R3498,"Reported balance higher than expected (missing increase/OC build)","Reported balance lower than expected (missing decrease)"))))),""))</f>
        <v/>
      </c>
    </row>
    <row r="3499" customFormat="false" ht="15" hidden="false" customHeight="false" outlineLevel="0" collapsed="false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9"/>
      <c r="L3499" s="9"/>
      <c r="M3499" s="9"/>
      <c r="N3499" s="9"/>
      <c r="O3499" s="9"/>
      <c r="P3499" s="9"/>
      <c r="Q3499" s="9"/>
      <c r="R3499" s="9" t="str">
        <f aca="false">IF(AND(A3499&lt;&gt;"",ISNUMBER(Q3499),ISNUMBER(L3499)),ROUND(Q3499-IF(ISNUMBER(N3499),N3499,0)-IF(ISNUMBER(O3499),O3499,0)+IF(ISNUMBER(P3499),P3499,0),2),"")</f>
        <v/>
      </c>
      <c r="S3499" s="9" t="str">
        <f aca="false">IF(R3499="","",ROUND(L3499-R3499,2))</f>
        <v/>
      </c>
      <c r="T3499" s="8" t="str">
        <f aca="false">IF(A3499="","",IF(S3499="","BYPASS",IF(ABS(S3499)&lt;=Summary!$B$2,"PASS","FAIL")))</f>
        <v/>
      </c>
      <c r="U3499" s="8" t="str">
        <f aca="false">IF(T3499="BYPASS",IF(NOT(ISNUMBER(Q3499)),"PreV_ETB missing","End_tr_balance missing"),IF(T3499="FAIL",IF(AND(ISNUMBER(K3499),ISNUMBER(L3499),ABS(L3499-(K3499-IF(ISNUMBER(N3499),N3499,0)-IF(ISNUMBER(O3499),O3499,0)+IF(ISNUMBER(P3499),P3499,0)))&lt;=Summary!$B$2),"Passes using beginning_balance - PreV_ETB differs from beginning_balance",IF(AND(ISNUMBER(O3499),O3499&lt;0,ABS(L3499-(Q3499-IF(ISNUMBER(N3499),N3499,0)+IF(ISNUMBER(P3499),P3499,0)))&lt;=Summary!$B$2),"Negative realized loss not applied - check sign",IF(R3499&lt;0,"Principal paid exceeds prior balance",IF(AND(L3499&gt;Q3499,NOT(ISNUMBER(P3499))),"Balance increased but no Deferred_interest reported",IF(L3499&gt;R3499,"Reported balance higher than expected (missing increase/OC build)","Reported balance lower than expected (missing decrease)"))))),""))</f>
        <v/>
      </c>
    </row>
    <row r="3500" customFormat="false" ht="15" hidden="false" customHeight="false" outlineLevel="0" collapsed="false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9"/>
      <c r="L3500" s="9"/>
      <c r="M3500" s="9"/>
      <c r="N3500" s="9"/>
      <c r="O3500" s="9"/>
      <c r="P3500" s="9"/>
      <c r="Q3500" s="9"/>
      <c r="R3500" s="9" t="str">
        <f aca="false">IF(AND(A3500&lt;&gt;"",ISNUMBER(Q3500),ISNUMBER(L3500)),ROUND(Q3500-IF(ISNUMBER(N3500),N3500,0)-IF(ISNUMBER(O3500),O3500,0)+IF(ISNUMBER(P3500),P3500,0),2),"")</f>
        <v/>
      </c>
      <c r="S3500" s="9" t="str">
        <f aca="false">IF(R3500="","",ROUND(L3500-R3500,2))</f>
        <v/>
      </c>
      <c r="T3500" s="8" t="str">
        <f aca="false">IF(A3500="","",IF(S3500="","BYPASS",IF(ABS(S3500)&lt;=Summary!$B$2,"PASS","FAIL")))</f>
        <v/>
      </c>
      <c r="U3500" s="8" t="str">
        <f aca="false">IF(T3500="BYPASS",IF(NOT(ISNUMBER(Q3500)),"PreV_ETB missing","End_tr_balance missing"),IF(T3500="FAIL",IF(AND(ISNUMBER(K3500),ISNUMBER(L3500),ABS(L3500-(K3500-IF(ISNUMBER(N3500),N3500,0)-IF(ISNUMBER(O3500),O3500,0)+IF(ISNUMBER(P3500),P3500,0)))&lt;=Summary!$B$2),"Passes using beginning_balance - PreV_ETB differs from beginning_balance",IF(AND(ISNUMBER(O3500),O3500&lt;0,ABS(L3500-(Q3500-IF(ISNUMBER(N3500),N3500,0)+IF(ISNUMBER(P3500),P3500,0)))&lt;=Summary!$B$2),"Negative realized loss not applied - check sign",IF(R3500&lt;0,"Principal paid exceeds prior balance",IF(AND(L3500&gt;Q3500,NOT(ISNUMBER(P3500))),"Balance increased but no Deferred_interest reported",IF(L3500&gt;R3500,"Reported balance higher than expected (missing increase/OC build)","Reported balance lower than expected (missing decrease)"))))),""))</f>
        <v/>
      </c>
    </row>
    <row r="3501" customFormat="false" ht="15" hidden="false" customHeight="false" outlineLevel="0" collapsed="false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9"/>
      <c r="L3501" s="9"/>
      <c r="M3501" s="9"/>
      <c r="N3501" s="9"/>
      <c r="O3501" s="9"/>
      <c r="P3501" s="9"/>
      <c r="Q3501" s="9"/>
      <c r="R3501" s="9" t="str">
        <f aca="false">IF(AND(A3501&lt;&gt;"",ISNUMBER(Q3501),ISNUMBER(L3501)),ROUND(Q3501-IF(ISNUMBER(N3501),N3501,0)-IF(ISNUMBER(O3501),O3501,0)+IF(ISNUMBER(P3501),P3501,0),2),"")</f>
        <v/>
      </c>
      <c r="S3501" s="9" t="str">
        <f aca="false">IF(R3501="","",ROUND(L3501-R3501,2))</f>
        <v/>
      </c>
      <c r="T3501" s="8" t="str">
        <f aca="false">IF(A3501="","",IF(S3501="","BYPASS",IF(ABS(S3501)&lt;=Summary!$B$2,"PASS","FAIL")))</f>
        <v/>
      </c>
      <c r="U3501" s="8" t="str">
        <f aca="false">IF(T3501="BYPASS",IF(NOT(ISNUMBER(Q3501)),"PreV_ETB missing","End_tr_balance missing"),IF(T3501="FAIL",IF(AND(ISNUMBER(K3501),ISNUMBER(L3501),ABS(L3501-(K3501-IF(ISNUMBER(N3501),N3501,0)-IF(ISNUMBER(O3501),O3501,0)+IF(ISNUMBER(P3501),P3501,0)))&lt;=Summary!$B$2),"Passes using beginning_balance - PreV_ETB differs from beginning_balance",IF(AND(ISNUMBER(O3501),O3501&lt;0,ABS(L3501-(Q3501-IF(ISNUMBER(N3501),N3501,0)+IF(ISNUMBER(P3501),P3501,0)))&lt;=Summary!$B$2),"Negative realized loss not applied - check sign",IF(R3501&lt;0,"Principal paid exceeds prior balance",IF(AND(L3501&gt;Q3501,NOT(ISNUMBER(P3501))),"Balance increased but no Deferred_interest reported",IF(L3501&gt;R3501,"Reported balance higher than expected (missing increase/OC build)","Reported balance lower than expected (missing decrease)"))))),""))</f>
        <v/>
      </c>
    </row>
    <row r="3502" customFormat="false" ht="15" hidden="false" customHeight="false" outlineLevel="0" collapsed="false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9"/>
      <c r="L3502" s="9"/>
      <c r="M3502" s="9"/>
      <c r="N3502" s="9"/>
      <c r="O3502" s="9"/>
      <c r="P3502" s="9"/>
      <c r="Q3502" s="9"/>
      <c r="R3502" s="9" t="str">
        <f aca="false">IF(AND(A3502&lt;&gt;"",ISNUMBER(Q3502),ISNUMBER(L3502)),ROUND(Q3502-IF(ISNUMBER(N3502),N3502,0)-IF(ISNUMBER(O3502),O3502,0)+IF(ISNUMBER(P3502),P3502,0),2),"")</f>
        <v/>
      </c>
      <c r="S3502" s="9" t="str">
        <f aca="false">IF(R3502="","",ROUND(L3502-R3502,2))</f>
        <v/>
      </c>
      <c r="T3502" s="8" t="str">
        <f aca="false">IF(A3502="","",IF(S3502="","BYPASS",IF(ABS(S3502)&lt;=Summary!$B$2,"PASS","FAIL")))</f>
        <v/>
      </c>
      <c r="U3502" s="8" t="str">
        <f aca="false">IF(T3502="BYPASS",IF(NOT(ISNUMBER(Q3502)),"PreV_ETB missing","End_tr_balance missing"),IF(T3502="FAIL",IF(AND(ISNUMBER(K3502),ISNUMBER(L3502),ABS(L3502-(K3502-IF(ISNUMBER(N3502),N3502,0)-IF(ISNUMBER(O3502),O3502,0)+IF(ISNUMBER(P3502),P3502,0)))&lt;=Summary!$B$2),"Passes using beginning_balance - PreV_ETB differs from beginning_balance",IF(AND(ISNUMBER(O3502),O3502&lt;0,ABS(L3502-(Q3502-IF(ISNUMBER(N3502),N3502,0)+IF(ISNUMBER(P3502),P3502,0)))&lt;=Summary!$B$2),"Negative realized loss not applied - check sign",IF(R3502&lt;0,"Principal paid exceeds prior balance",IF(AND(L3502&gt;Q3502,NOT(ISNUMBER(P3502))),"Balance increased but no Deferred_interest reported",IF(L3502&gt;R3502,"Reported balance higher than expected (missing increase/OC build)","Reported balance lower than expected (missing decrease)"))))),""))</f>
        <v/>
      </c>
    </row>
    <row r="3503" customFormat="false" ht="15" hidden="false" customHeight="false" outlineLevel="0" collapsed="false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9"/>
      <c r="L3503" s="9"/>
      <c r="M3503" s="9"/>
      <c r="N3503" s="9"/>
      <c r="O3503" s="9"/>
      <c r="P3503" s="9"/>
      <c r="Q3503" s="9"/>
      <c r="R3503" s="9" t="str">
        <f aca="false">IF(AND(A3503&lt;&gt;"",ISNUMBER(Q3503),ISNUMBER(L3503)),ROUND(Q3503-IF(ISNUMBER(N3503),N3503,0)-IF(ISNUMBER(O3503),O3503,0)+IF(ISNUMBER(P3503),P3503,0),2),"")</f>
        <v/>
      </c>
      <c r="S3503" s="9" t="str">
        <f aca="false">IF(R3503="","",ROUND(L3503-R3503,2))</f>
        <v/>
      </c>
      <c r="T3503" s="8" t="str">
        <f aca="false">IF(A3503="","",IF(S3503="","BYPASS",IF(ABS(S3503)&lt;=Summary!$B$2,"PASS","FAIL")))</f>
        <v/>
      </c>
      <c r="U3503" s="8" t="str">
        <f aca="false">IF(T3503="BYPASS",IF(NOT(ISNUMBER(Q3503)),"PreV_ETB missing","End_tr_balance missing"),IF(T3503="FAIL",IF(AND(ISNUMBER(K3503),ISNUMBER(L3503),ABS(L3503-(K3503-IF(ISNUMBER(N3503),N3503,0)-IF(ISNUMBER(O3503),O3503,0)+IF(ISNUMBER(P3503),P3503,0)))&lt;=Summary!$B$2),"Passes using beginning_balance - PreV_ETB differs from beginning_balance",IF(AND(ISNUMBER(O3503),O3503&lt;0,ABS(L3503-(Q3503-IF(ISNUMBER(N3503),N3503,0)+IF(ISNUMBER(P3503),P3503,0)))&lt;=Summary!$B$2),"Negative realized loss not applied - check sign",IF(R3503&lt;0,"Principal paid exceeds prior balance",IF(AND(L3503&gt;Q3503,NOT(ISNUMBER(P3503))),"Balance increased but no Deferred_interest reported",IF(L3503&gt;R3503,"Reported balance higher than expected (missing increase/OC build)","Reported balance lower than expected (missing decrease)"))))),""))</f>
        <v/>
      </c>
    </row>
    <row r="3504" customFormat="false" ht="15" hidden="false" customHeight="false" outlineLevel="0" collapsed="false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9"/>
      <c r="L3504" s="9"/>
      <c r="M3504" s="9"/>
      <c r="N3504" s="9"/>
      <c r="O3504" s="9"/>
      <c r="P3504" s="9"/>
      <c r="Q3504" s="9"/>
      <c r="R3504" s="9" t="str">
        <f aca="false">IF(AND(A3504&lt;&gt;"",ISNUMBER(Q3504),ISNUMBER(L3504)),ROUND(Q3504-IF(ISNUMBER(N3504),N3504,0)-IF(ISNUMBER(O3504),O3504,0)+IF(ISNUMBER(P3504),P3504,0),2),"")</f>
        <v/>
      </c>
      <c r="S3504" s="9" t="str">
        <f aca="false">IF(R3504="","",ROUND(L3504-R3504,2))</f>
        <v/>
      </c>
      <c r="T3504" s="8" t="str">
        <f aca="false">IF(A3504="","",IF(S3504="","BYPASS",IF(ABS(S3504)&lt;=Summary!$B$2,"PASS","FAIL")))</f>
        <v/>
      </c>
      <c r="U3504" s="8" t="str">
        <f aca="false">IF(T3504="BYPASS",IF(NOT(ISNUMBER(Q3504)),"PreV_ETB missing","End_tr_balance missing"),IF(T3504="FAIL",IF(AND(ISNUMBER(K3504),ISNUMBER(L3504),ABS(L3504-(K3504-IF(ISNUMBER(N3504),N3504,0)-IF(ISNUMBER(O3504),O3504,0)+IF(ISNUMBER(P3504),P3504,0)))&lt;=Summary!$B$2),"Passes using beginning_balance - PreV_ETB differs from beginning_balance",IF(AND(ISNUMBER(O3504),O3504&lt;0,ABS(L3504-(Q3504-IF(ISNUMBER(N3504),N3504,0)+IF(ISNUMBER(P3504),P3504,0)))&lt;=Summary!$B$2),"Negative realized loss not applied - check sign",IF(R3504&lt;0,"Principal paid exceeds prior balance",IF(AND(L3504&gt;Q3504,NOT(ISNUMBER(P3504))),"Balance increased but no Deferred_interest reported",IF(L3504&gt;R3504,"Reported balance higher than expected (missing increase/OC build)","Reported balance lower than expected (missing decrease)"))))),""))</f>
        <v/>
      </c>
    </row>
    <row r="3505" customFormat="false" ht="15" hidden="false" customHeight="false" outlineLevel="0" collapsed="false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9"/>
      <c r="L3505" s="9"/>
      <c r="M3505" s="9"/>
      <c r="N3505" s="9"/>
      <c r="O3505" s="9"/>
      <c r="P3505" s="9"/>
      <c r="Q3505" s="9"/>
      <c r="R3505" s="9" t="str">
        <f aca="false">IF(AND(A3505&lt;&gt;"",ISNUMBER(Q3505),ISNUMBER(L3505)),ROUND(Q3505-IF(ISNUMBER(N3505),N3505,0)-IF(ISNUMBER(O3505),O3505,0)+IF(ISNUMBER(P3505),P3505,0),2),"")</f>
        <v/>
      </c>
      <c r="S3505" s="9" t="str">
        <f aca="false">IF(R3505="","",ROUND(L3505-R3505,2))</f>
        <v/>
      </c>
      <c r="T3505" s="8" t="str">
        <f aca="false">IF(A3505="","",IF(S3505="","BYPASS",IF(ABS(S3505)&lt;=Summary!$B$2,"PASS","FAIL")))</f>
        <v/>
      </c>
      <c r="U3505" s="8" t="str">
        <f aca="false">IF(T3505="BYPASS",IF(NOT(ISNUMBER(Q3505)),"PreV_ETB missing","End_tr_balance missing"),IF(T3505="FAIL",IF(AND(ISNUMBER(K3505),ISNUMBER(L3505),ABS(L3505-(K3505-IF(ISNUMBER(N3505),N3505,0)-IF(ISNUMBER(O3505),O3505,0)+IF(ISNUMBER(P3505),P3505,0)))&lt;=Summary!$B$2),"Passes using beginning_balance - PreV_ETB differs from beginning_balance",IF(AND(ISNUMBER(O3505),O3505&lt;0,ABS(L3505-(Q3505-IF(ISNUMBER(N3505),N3505,0)+IF(ISNUMBER(P3505),P3505,0)))&lt;=Summary!$B$2),"Negative realized loss not applied - check sign",IF(R3505&lt;0,"Principal paid exceeds prior balance",IF(AND(L3505&gt;Q3505,NOT(ISNUMBER(P3505))),"Balance increased but no Deferred_interest reported",IF(L3505&gt;R3505,"Reported balance higher than expected (missing increase/OC build)","Reported balance lower than expected (missing decrease)"))))),""))</f>
        <v/>
      </c>
    </row>
    <row r="3506" customFormat="false" ht="15" hidden="false" customHeight="false" outlineLevel="0" collapsed="false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9"/>
      <c r="L3506" s="9"/>
      <c r="M3506" s="9"/>
      <c r="N3506" s="9"/>
      <c r="O3506" s="9"/>
      <c r="P3506" s="9"/>
      <c r="Q3506" s="9"/>
      <c r="R3506" s="9" t="str">
        <f aca="false">IF(AND(A3506&lt;&gt;"",ISNUMBER(Q3506),ISNUMBER(L3506)),ROUND(Q3506-IF(ISNUMBER(N3506),N3506,0)-IF(ISNUMBER(O3506),O3506,0)+IF(ISNUMBER(P3506),P3506,0),2),"")</f>
        <v/>
      </c>
      <c r="S3506" s="9" t="str">
        <f aca="false">IF(R3506="","",ROUND(L3506-R3506,2))</f>
        <v/>
      </c>
      <c r="T3506" s="8" t="str">
        <f aca="false">IF(A3506="","",IF(S3506="","BYPASS",IF(ABS(S3506)&lt;=Summary!$B$2,"PASS","FAIL")))</f>
        <v/>
      </c>
      <c r="U3506" s="8" t="str">
        <f aca="false">IF(T3506="BYPASS",IF(NOT(ISNUMBER(Q3506)),"PreV_ETB missing","End_tr_balance missing"),IF(T3506="FAIL",IF(AND(ISNUMBER(K3506),ISNUMBER(L3506),ABS(L3506-(K3506-IF(ISNUMBER(N3506),N3506,0)-IF(ISNUMBER(O3506),O3506,0)+IF(ISNUMBER(P3506),P3506,0)))&lt;=Summary!$B$2),"Passes using beginning_balance - PreV_ETB differs from beginning_balance",IF(AND(ISNUMBER(O3506),O3506&lt;0,ABS(L3506-(Q3506-IF(ISNUMBER(N3506),N3506,0)+IF(ISNUMBER(P3506),P3506,0)))&lt;=Summary!$B$2),"Negative realized loss not applied - check sign",IF(R3506&lt;0,"Principal paid exceeds prior balance",IF(AND(L3506&gt;Q3506,NOT(ISNUMBER(P3506))),"Balance increased but no Deferred_interest reported",IF(L3506&gt;R3506,"Reported balance higher than expected (missing increase/OC build)","Reported balance lower than expected (missing decrease)"))))),""))</f>
        <v/>
      </c>
    </row>
    <row r="3507" customFormat="false" ht="15" hidden="false" customHeight="false" outlineLevel="0" collapsed="false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9"/>
      <c r="L3507" s="9"/>
      <c r="M3507" s="9"/>
      <c r="N3507" s="9"/>
      <c r="O3507" s="9"/>
      <c r="P3507" s="9"/>
      <c r="Q3507" s="9"/>
      <c r="R3507" s="9" t="str">
        <f aca="false">IF(AND(A3507&lt;&gt;"",ISNUMBER(Q3507),ISNUMBER(L3507)),ROUND(Q3507-IF(ISNUMBER(N3507),N3507,0)-IF(ISNUMBER(O3507),O3507,0)+IF(ISNUMBER(P3507),P3507,0),2),"")</f>
        <v/>
      </c>
      <c r="S3507" s="9" t="str">
        <f aca="false">IF(R3507="","",ROUND(L3507-R3507,2))</f>
        <v/>
      </c>
      <c r="T3507" s="8" t="str">
        <f aca="false">IF(A3507="","",IF(S3507="","BYPASS",IF(ABS(S3507)&lt;=Summary!$B$2,"PASS","FAIL")))</f>
        <v/>
      </c>
      <c r="U3507" s="8" t="str">
        <f aca="false">IF(T3507="BYPASS",IF(NOT(ISNUMBER(Q3507)),"PreV_ETB missing","End_tr_balance missing"),IF(T3507="FAIL",IF(AND(ISNUMBER(K3507),ISNUMBER(L3507),ABS(L3507-(K3507-IF(ISNUMBER(N3507),N3507,0)-IF(ISNUMBER(O3507),O3507,0)+IF(ISNUMBER(P3507),P3507,0)))&lt;=Summary!$B$2),"Passes using beginning_balance - PreV_ETB differs from beginning_balance",IF(AND(ISNUMBER(O3507),O3507&lt;0,ABS(L3507-(Q3507-IF(ISNUMBER(N3507),N3507,0)+IF(ISNUMBER(P3507),P3507,0)))&lt;=Summary!$B$2),"Negative realized loss not applied - check sign",IF(R3507&lt;0,"Principal paid exceeds prior balance",IF(AND(L3507&gt;Q3507,NOT(ISNUMBER(P3507))),"Balance increased but no Deferred_interest reported",IF(L3507&gt;R3507,"Reported balance higher than expected (missing increase/OC build)","Reported balance lower than expected (missing decrease)"))))),""))</f>
        <v/>
      </c>
    </row>
    <row r="3508" customFormat="false" ht="15" hidden="false" customHeight="false" outlineLevel="0" collapsed="false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9"/>
      <c r="L3508" s="9"/>
      <c r="M3508" s="9"/>
      <c r="N3508" s="9"/>
      <c r="O3508" s="9"/>
      <c r="P3508" s="9"/>
      <c r="Q3508" s="9"/>
      <c r="R3508" s="9" t="str">
        <f aca="false">IF(AND(A3508&lt;&gt;"",ISNUMBER(Q3508),ISNUMBER(L3508)),ROUND(Q3508-IF(ISNUMBER(N3508),N3508,0)-IF(ISNUMBER(O3508),O3508,0)+IF(ISNUMBER(P3508),P3508,0),2),"")</f>
        <v/>
      </c>
      <c r="S3508" s="9" t="str">
        <f aca="false">IF(R3508="","",ROUND(L3508-R3508,2))</f>
        <v/>
      </c>
      <c r="T3508" s="8" t="str">
        <f aca="false">IF(A3508="","",IF(S3508="","BYPASS",IF(ABS(S3508)&lt;=Summary!$B$2,"PASS","FAIL")))</f>
        <v/>
      </c>
      <c r="U3508" s="8" t="str">
        <f aca="false">IF(T3508="BYPASS",IF(NOT(ISNUMBER(Q3508)),"PreV_ETB missing","End_tr_balance missing"),IF(T3508="FAIL",IF(AND(ISNUMBER(K3508),ISNUMBER(L3508),ABS(L3508-(K3508-IF(ISNUMBER(N3508),N3508,0)-IF(ISNUMBER(O3508),O3508,0)+IF(ISNUMBER(P3508),P3508,0)))&lt;=Summary!$B$2),"Passes using beginning_balance - PreV_ETB differs from beginning_balance",IF(AND(ISNUMBER(O3508),O3508&lt;0,ABS(L3508-(Q3508-IF(ISNUMBER(N3508),N3508,0)+IF(ISNUMBER(P3508),P3508,0)))&lt;=Summary!$B$2),"Negative realized loss not applied - check sign",IF(R3508&lt;0,"Principal paid exceeds prior balance",IF(AND(L3508&gt;Q3508,NOT(ISNUMBER(P3508))),"Balance increased but no Deferred_interest reported",IF(L3508&gt;R3508,"Reported balance higher than expected (missing increase/OC build)","Reported balance lower than expected (missing decrease)"))))),""))</f>
        <v/>
      </c>
    </row>
    <row r="3509" customFormat="false" ht="15" hidden="false" customHeight="false" outlineLevel="0" collapsed="false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9"/>
      <c r="L3509" s="9"/>
      <c r="M3509" s="9"/>
      <c r="N3509" s="9"/>
      <c r="O3509" s="9"/>
      <c r="P3509" s="9"/>
      <c r="Q3509" s="9"/>
      <c r="R3509" s="9" t="str">
        <f aca="false">IF(AND(A3509&lt;&gt;"",ISNUMBER(Q3509),ISNUMBER(L3509)),ROUND(Q3509-IF(ISNUMBER(N3509),N3509,0)-IF(ISNUMBER(O3509),O3509,0)+IF(ISNUMBER(P3509),P3509,0),2),"")</f>
        <v/>
      </c>
      <c r="S3509" s="9" t="str">
        <f aca="false">IF(R3509="","",ROUND(L3509-R3509,2))</f>
        <v/>
      </c>
      <c r="T3509" s="8" t="str">
        <f aca="false">IF(A3509="","",IF(S3509="","BYPASS",IF(ABS(S3509)&lt;=Summary!$B$2,"PASS","FAIL")))</f>
        <v/>
      </c>
      <c r="U3509" s="8" t="str">
        <f aca="false">IF(T3509="BYPASS",IF(NOT(ISNUMBER(Q3509)),"PreV_ETB missing","End_tr_balance missing"),IF(T3509="FAIL",IF(AND(ISNUMBER(K3509),ISNUMBER(L3509),ABS(L3509-(K3509-IF(ISNUMBER(N3509),N3509,0)-IF(ISNUMBER(O3509),O3509,0)+IF(ISNUMBER(P3509),P3509,0)))&lt;=Summary!$B$2),"Passes using beginning_balance - PreV_ETB differs from beginning_balance",IF(AND(ISNUMBER(O3509),O3509&lt;0,ABS(L3509-(Q3509-IF(ISNUMBER(N3509),N3509,0)+IF(ISNUMBER(P3509),P3509,0)))&lt;=Summary!$B$2),"Negative realized loss not applied - check sign",IF(R3509&lt;0,"Principal paid exceeds prior balance",IF(AND(L3509&gt;Q3509,NOT(ISNUMBER(P3509))),"Balance increased but no Deferred_interest reported",IF(L3509&gt;R3509,"Reported balance higher than expected (missing increase/OC build)","Reported balance lower than expected (missing decrease)"))))),""))</f>
        <v/>
      </c>
    </row>
    <row r="3510" customFormat="false" ht="15" hidden="false" customHeight="false" outlineLevel="0" collapsed="false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9"/>
      <c r="L3510" s="9"/>
      <c r="M3510" s="9"/>
      <c r="N3510" s="9"/>
      <c r="O3510" s="9"/>
      <c r="P3510" s="9"/>
      <c r="Q3510" s="9"/>
      <c r="R3510" s="9" t="str">
        <f aca="false">IF(AND(A3510&lt;&gt;"",ISNUMBER(Q3510),ISNUMBER(L3510)),ROUND(Q3510-IF(ISNUMBER(N3510),N3510,0)-IF(ISNUMBER(O3510),O3510,0)+IF(ISNUMBER(P3510),P3510,0),2),"")</f>
        <v/>
      </c>
      <c r="S3510" s="9" t="str">
        <f aca="false">IF(R3510="","",ROUND(L3510-R3510,2))</f>
        <v/>
      </c>
      <c r="T3510" s="8" t="str">
        <f aca="false">IF(A3510="","",IF(S3510="","BYPASS",IF(ABS(S3510)&lt;=Summary!$B$2,"PASS","FAIL")))</f>
        <v/>
      </c>
      <c r="U3510" s="8" t="str">
        <f aca="false">IF(T3510="BYPASS",IF(NOT(ISNUMBER(Q3510)),"PreV_ETB missing","End_tr_balance missing"),IF(T3510="FAIL",IF(AND(ISNUMBER(K3510),ISNUMBER(L3510),ABS(L3510-(K3510-IF(ISNUMBER(N3510),N3510,0)-IF(ISNUMBER(O3510),O3510,0)+IF(ISNUMBER(P3510),P3510,0)))&lt;=Summary!$B$2),"Passes using beginning_balance - PreV_ETB differs from beginning_balance",IF(AND(ISNUMBER(O3510),O3510&lt;0,ABS(L3510-(Q3510-IF(ISNUMBER(N3510),N3510,0)+IF(ISNUMBER(P3510),P3510,0)))&lt;=Summary!$B$2),"Negative realized loss not applied - check sign",IF(R3510&lt;0,"Principal paid exceeds prior balance",IF(AND(L3510&gt;Q3510,NOT(ISNUMBER(P3510))),"Balance increased but no Deferred_interest reported",IF(L3510&gt;R3510,"Reported balance higher than expected (missing increase/OC build)","Reported balance lower than expected (missing decrease)"))))),""))</f>
        <v/>
      </c>
    </row>
    <row r="3511" customFormat="false" ht="15" hidden="false" customHeight="false" outlineLevel="0" collapsed="false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9"/>
      <c r="L3511" s="9"/>
      <c r="M3511" s="9"/>
      <c r="N3511" s="9"/>
      <c r="O3511" s="9"/>
      <c r="P3511" s="9"/>
      <c r="Q3511" s="9"/>
      <c r="R3511" s="9" t="str">
        <f aca="false">IF(AND(A3511&lt;&gt;"",ISNUMBER(Q3511),ISNUMBER(L3511)),ROUND(Q3511-IF(ISNUMBER(N3511),N3511,0)-IF(ISNUMBER(O3511),O3511,0)+IF(ISNUMBER(P3511),P3511,0),2),"")</f>
        <v/>
      </c>
      <c r="S3511" s="9" t="str">
        <f aca="false">IF(R3511="","",ROUND(L3511-R3511,2))</f>
        <v/>
      </c>
      <c r="T3511" s="8" t="str">
        <f aca="false">IF(A3511="","",IF(S3511="","BYPASS",IF(ABS(S3511)&lt;=Summary!$B$2,"PASS","FAIL")))</f>
        <v/>
      </c>
      <c r="U3511" s="8" t="str">
        <f aca="false">IF(T3511="BYPASS",IF(NOT(ISNUMBER(Q3511)),"PreV_ETB missing","End_tr_balance missing"),IF(T3511="FAIL",IF(AND(ISNUMBER(K3511),ISNUMBER(L3511),ABS(L3511-(K3511-IF(ISNUMBER(N3511),N3511,0)-IF(ISNUMBER(O3511),O3511,0)+IF(ISNUMBER(P3511),P3511,0)))&lt;=Summary!$B$2),"Passes using beginning_balance - PreV_ETB differs from beginning_balance",IF(AND(ISNUMBER(O3511),O3511&lt;0,ABS(L3511-(Q3511-IF(ISNUMBER(N3511),N3511,0)+IF(ISNUMBER(P3511),P3511,0)))&lt;=Summary!$B$2),"Negative realized loss not applied - check sign",IF(R3511&lt;0,"Principal paid exceeds prior balance",IF(AND(L3511&gt;Q3511,NOT(ISNUMBER(P3511))),"Balance increased but no Deferred_interest reported",IF(L3511&gt;R3511,"Reported balance higher than expected (missing increase/OC build)","Reported balance lower than expected (missing decrease)"))))),""))</f>
        <v/>
      </c>
    </row>
    <row r="3512" customFormat="false" ht="15" hidden="false" customHeight="false" outlineLevel="0" collapsed="false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9"/>
      <c r="L3512" s="9"/>
      <c r="M3512" s="9"/>
      <c r="N3512" s="9"/>
      <c r="O3512" s="9"/>
      <c r="P3512" s="9"/>
      <c r="Q3512" s="9"/>
      <c r="R3512" s="9" t="str">
        <f aca="false">IF(AND(A3512&lt;&gt;"",ISNUMBER(Q3512),ISNUMBER(L3512)),ROUND(Q3512-IF(ISNUMBER(N3512),N3512,0)-IF(ISNUMBER(O3512),O3512,0)+IF(ISNUMBER(P3512),P3512,0),2),"")</f>
        <v/>
      </c>
      <c r="S3512" s="9" t="str">
        <f aca="false">IF(R3512="","",ROUND(L3512-R3512,2))</f>
        <v/>
      </c>
      <c r="T3512" s="8" t="str">
        <f aca="false">IF(A3512="","",IF(S3512="","BYPASS",IF(ABS(S3512)&lt;=Summary!$B$2,"PASS","FAIL")))</f>
        <v/>
      </c>
      <c r="U3512" s="8" t="str">
        <f aca="false">IF(T3512="BYPASS",IF(NOT(ISNUMBER(Q3512)),"PreV_ETB missing","End_tr_balance missing"),IF(T3512="FAIL",IF(AND(ISNUMBER(K3512),ISNUMBER(L3512),ABS(L3512-(K3512-IF(ISNUMBER(N3512),N3512,0)-IF(ISNUMBER(O3512),O3512,0)+IF(ISNUMBER(P3512),P3512,0)))&lt;=Summary!$B$2),"Passes using beginning_balance - PreV_ETB differs from beginning_balance",IF(AND(ISNUMBER(O3512),O3512&lt;0,ABS(L3512-(Q3512-IF(ISNUMBER(N3512),N3512,0)+IF(ISNUMBER(P3512),P3512,0)))&lt;=Summary!$B$2),"Negative realized loss not applied - check sign",IF(R3512&lt;0,"Principal paid exceeds prior balance",IF(AND(L3512&gt;Q3512,NOT(ISNUMBER(P3512))),"Balance increased but no Deferred_interest reported",IF(L3512&gt;R3512,"Reported balance higher than expected (missing increase/OC build)","Reported balance lower than expected (missing decrease)"))))),""))</f>
        <v/>
      </c>
    </row>
    <row r="3513" customFormat="false" ht="15" hidden="false" customHeight="false" outlineLevel="0" collapsed="false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9"/>
      <c r="L3513" s="9"/>
      <c r="M3513" s="9"/>
      <c r="N3513" s="9"/>
      <c r="O3513" s="9"/>
      <c r="P3513" s="9"/>
      <c r="Q3513" s="9"/>
      <c r="R3513" s="9" t="str">
        <f aca="false">IF(AND(A3513&lt;&gt;"",ISNUMBER(Q3513),ISNUMBER(L3513)),ROUND(Q3513-IF(ISNUMBER(N3513),N3513,0)-IF(ISNUMBER(O3513),O3513,0)+IF(ISNUMBER(P3513),P3513,0),2),"")</f>
        <v/>
      </c>
      <c r="S3513" s="9" t="str">
        <f aca="false">IF(R3513="","",ROUND(L3513-R3513,2))</f>
        <v/>
      </c>
      <c r="T3513" s="8" t="str">
        <f aca="false">IF(A3513="","",IF(S3513="","BYPASS",IF(ABS(S3513)&lt;=Summary!$B$2,"PASS","FAIL")))</f>
        <v/>
      </c>
      <c r="U3513" s="8" t="str">
        <f aca="false">IF(T3513="BYPASS",IF(NOT(ISNUMBER(Q3513)),"PreV_ETB missing","End_tr_balance missing"),IF(T3513="FAIL",IF(AND(ISNUMBER(K3513),ISNUMBER(L3513),ABS(L3513-(K3513-IF(ISNUMBER(N3513),N3513,0)-IF(ISNUMBER(O3513),O3513,0)+IF(ISNUMBER(P3513),P3513,0)))&lt;=Summary!$B$2),"Passes using beginning_balance - PreV_ETB differs from beginning_balance",IF(AND(ISNUMBER(O3513),O3513&lt;0,ABS(L3513-(Q3513-IF(ISNUMBER(N3513),N3513,0)+IF(ISNUMBER(P3513),P3513,0)))&lt;=Summary!$B$2),"Negative realized loss not applied - check sign",IF(R3513&lt;0,"Principal paid exceeds prior balance",IF(AND(L3513&gt;Q3513,NOT(ISNUMBER(P3513))),"Balance increased but no Deferred_interest reported",IF(L3513&gt;R3513,"Reported balance higher than expected (missing increase/OC build)","Reported balance lower than expected (missing decrease)"))))),""))</f>
        <v/>
      </c>
    </row>
    <row r="3514" customFormat="false" ht="15" hidden="false" customHeight="false" outlineLevel="0" collapsed="false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9"/>
      <c r="L3514" s="9"/>
      <c r="M3514" s="9"/>
      <c r="N3514" s="9"/>
      <c r="O3514" s="9"/>
      <c r="P3514" s="9"/>
      <c r="Q3514" s="9"/>
      <c r="R3514" s="9" t="str">
        <f aca="false">IF(AND(A3514&lt;&gt;"",ISNUMBER(Q3514),ISNUMBER(L3514)),ROUND(Q3514-IF(ISNUMBER(N3514),N3514,0)-IF(ISNUMBER(O3514),O3514,0)+IF(ISNUMBER(P3514),P3514,0),2),"")</f>
        <v/>
      </c>
      <c r="S3514" s="9" t="str">
        <f aca="false">IF(R3514="","",ROUND(L3514-R3514,2))</f>
        <v/>
      </c>
      <c r="T3514" s="8" t="str">
        <f aca="false">IF(A3514="","",IF(S3514="","BYPASS",IF(ABS(S3514)&lt;=Summary!$B$2,"PASS","FAIL")))</f>
        <v/>
      </c>
      <c r="U3514" s="8" t="str">
        <f aca="false">IF(T3514="BYPASS",IF(NOT(ISNUMBER(Q3514)),"PreV_ETB missing","End_tr_balance missing"),IF(T3514="FAIL",IF(AND(ISNUMBER(K3514),ISNUMBER(L3514),ABS(L3514-(K3514-IF(ISNUMBER(N3514),N3514,0)-IF(ISNUMBER(O3514),O3514,0)+IF(ISNUMBER(P3514),P3514,0)))&lt;=Summary!$B$2),"Passes using beginning_balance - PreV_ETB differs from beginning_balance",IF(AND(ISNUMBER(O3514),O3514&lt;0,ABS(L3514-(Q3514-IF(ISNUMBER(N3514),N3514,0)+IF(ISNUMBER(P3514),P3514,0)))&lt;=Summary!$B$2),"Negative realized loss not applied - check sign",IF(R3514&lt;0,"Principal paid exceeds prior balance",IF(AND(L3514&gt;Q3514,NOT(ISNUMBER(P3514))),"Balance increased but no Deferred_interest reported",IF(L3514&gt;R3514,"Reported balance higher than expected (missing increase/OC build)","Reported balance lower than expected (missing decrease)"))))),""))</f>
        <v/>
      </c>
    </row>
    <row r="3515" customFormat="false" ht="15" hidden="false" customHeight="false" outlineLevel="0" collapsed="false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9"/>
      <c r="L3515" s="9"/>
      <c r="M3515" s="9"/>
      <c r="N3515" s="9"/>
      <c r="O3515" s="9"/>
      <c r="P3515" s="9"/>
      <c r="Q3515" s="9"/>
      <c r="R3515" s="9" t="str">
        <f aca="false">IF(AND(A3515&lt;&gt;"",ISNUMBER(Q3515),ISNUMBER(L3515)),ROUND(Q3515-IF(ISNUMBER(N3515),N3515,0)-IF(ISNUMBER(O3515),O3515,0)+IF(ISNUMBER(P3515),P3515,0),2),"")</f>
        <v/>
      </c>
      <c r="S3515" s="9" t="str">
        <f aca="false">IF(R3515="","",ROUND(L3515-R3515,2))</f>
        <v/>
      </c>
      <c r="T3515" s="8" t="str">
        <f aca="false">IF(A3515="","",IF(S3515="","BYPASS",IF(ABS(S3515)&lt;=Summary!$B$2,"PASS","FAIL")))</f>
        <v/>
      </c>
      <c r="U3515" s="8" t="str">
        <f aca="false">IF(T3515="BYPASS",IF(NOT(ISNUMBER(Q3515)),"PreV_ETB missing","End_tr_balance missing"),IF(T3515="FAIL",IF(AND(ISNUMBER(K3515),ISNUMBER(L3515),ABS(L3515-(K3515-IF(ISNUMBER(N3515),N3515,0)-IF(ISNUMBER(O3515),O3515,0)+IF(ISNUMBER(P3515),P3515,0)))&lt;=Summary!$B$2),"Passes using beginning_balance - PreV_ETB differs from beginning_balance",IF(AND(ISNUMBER(O3515),O3515&lt;0,ABS(L3515-(Q3515-IF(ISNUMBER(N3515),N3515,0)+IF(ISNUMBER(P3515),P3515,0)))&lt;=Summary!$B$2),"Negative realized loss not applied - check sign",IF(R3515&lt;0,"Principal paid exceeds prior balance",IF(AND(L3515&gt;Q3515,NOT(ISNUMBER(P3515))),"Balance increased but no Deferred_interest reported",IF(L3515&gt;R3515,"Reported balance higher than expected (missing increase/OC build)","Reported balance lower than expected (missing decrease)"))))),""))</f>
        <v/>
      </c>
    </row>
    <row r="3516" customFormat="false" ht="15" hidden="false" customHeight="false" outlineLevel="0" collapsed="false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9"/>
      <c r="L3516" s="9"/>
      <c r="M3516" s="9"/>
      <c r="N3516" s="9"/>
      <c r="O3516" s="9"/>
      <c r="P3516" s="9"/>
      <c r="Q3516" s="9"/>
      <c r="R3516" s="9" t="str">
        <f aca="false">IF(AND(A3516&lt;&gt;"",ISNUMBER(Q3516),ISNUMBER(L3516)),ROUND(Q3516-IF(ISNUMBER(N3516),N3516,0)-IF(ISNUMBER(O3516),O3516,0)+IF(ISNUMBER(P3516),P3516,0),2),"")</f>
        <v/>
      </c>
      <c r="S3516" s="9" t="str">
        <f aca="false">IF(R3516="","",ROUND(L3516-R3516,2))</f>
        <v/>
      </c>
      <c r="T3516" s="8" t="str">
        <f aca="false">IF(A3516="","",IF(S3516="","BYPASS",IF(ABS(S3516)&lt;=Summary!$B$2,"PASS","FAIL")))</f>
        <v/>
      </c>
      <c r="U3516" s="8" t="str">
        <f aca="false">IF(T3516="BYPASS",IF(NOT(ISNUMBER(Q3516)),"PreV_ETB missing","End_tr_balance missing"),IF(T3516="FAIL",IF(AND(ISNUMBER(K3516),ISNUMBER(L3516),ABS(L3516-(K3516-IF(ISNUMBER(N3516),N3516,0)-IF(ISNUMBER(O3516),O3516,0)+IF(ISNUMBER(P3516),P3516,0)))&lt;=Summary!$B$2),"Passes using beginning_balance - PreV_ETB differs from beginning_balance",IF(AND(ISNUMBER(O3516),O3516&lt;0,ABS(L3516-(Q3516-IF(ISNUMBER(N3516),N3516,0)+IF(ISNUMBER(P3516),P3516,0)))&lt;=Summary!$B$2),"Negative realized loss not applied - check sign",IF(R3516&lt;0,"Principal paid exceeds prior balance",IF(AND(L3516&gt;Q3516,NOT(ISNUMBER(P3516))),"Balance increased but no Deferred_interest reported",IF(L3516&gt;R3516,"Reported balance higher than expected (missing increase/OC build)","Reported balance lower than expected (missing decrease)"))))),""))</f>
        <v/>
      </c>
    </row>
    <row r="3517" customFormat="false" ht="15" hidden="false" customHeight="false" outlineLevel="0" collapsed="false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9"/>
      <c r="L3517" s="9"/>
      <c r="M3517" s="9"/>
      <c r="N3517" s="9"/>
      <c r="O3517" s="9"/>
      <c r="P3517" s="9"/>
      <c r="Q3517" s="9"/>
      <c r="R3517" s="9" t="str">
        <f aca="false">IF(AND(A3517&lt;&gt;"",ISNUMBER(Q3517),ISNUMBER(L3517)),ROUND(Q3517-IF(ISNUMBER(N3517),N3517,0)-IF(ISNUMBER(O3517),O3517,0)+IF(ISNUMBER(P3517),P3517,0),2),"")</f>
        <v/>
      </c>
      <c r="S3517" s="9" t="str">
        <f aca="false">IF(R3517="","",ROUND(L3517-R3517,2))</f>
        <v/>
      </c>
      <c r="T3517" s="8" t="str">
        <f aca="false">IF(A3517="","",IF(S3517="","BYPASS",IF(ABS(S3517)&lt;=Summary!$B$2,"PASS","FAIL")))</f>
        <v/>
      </c>
      <c r="U3517" s="8" t="str">
        <f aca="false">IF(T3517="BYPASS",IF(NOT(ISNUMBER(Q3517)),"PreV_ETB missing","End_tr_balance missing"),IF(T3517="FAIL",IF(AND(ISNUMBER(K3517),ISNUMBER(L3517),ABS(L3517-(K3517-IF(ISNUMBER(N3517),N3517,0)-IF(ISNUMBER(O3517),O3517,0)+IF(ISNUMBER(P3517),P3517,0)))&lt;=Summary!$B$2),"Passes using beginning_balance - PreV_ETB differs from beginning_balance",IF(AND(ISNUMBER(O3517),O3517&lt;0,ABS(L3517-(Q3517-IF(ISNUMBER(N3517),N3517,0)+IF(ISNUMBER(P3517),P3517,0)))&lt;=Summary!$B$2),"Negative realized loss not applied - check sign",IF(R3517&lt;0,"Principal paid exceeds prior balance",IF(AND(L3517&gt;Q3517,NOT(ISNUMBER(P3517))),"Balance increased but no Deferred_interest reported",IF(L3517&gt;R3517,"Reported balance higher than expected (missing increase/OC build)","Reported balance lower than expected (missing decrease)"))))),""))</f>
        <v/>
      </c>
    </row>
    <row r="3518" customFormat="false" ht="15" hidden="false" customHeight="false" outlineLevel="0" collapsed="false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9"/>
      <c r="L3518" s="9"/>
      <c r="M3518" s="9"/>
      <c r="N3518" s="9"/>
      <c r="O3518" s="9"/>
      <c r="P3518" s="9"/>
      <c r="Q3518" s="9"/>
      <c r="R3518" s="9" t="str">
        <f aca="false">IF(AND(A3518&lt;&gt;"",ISNUMBER(Q3518),ISNUMBER(L3518)),ROUND(Q3518-IF(ISNUMBER(N3518),N3518,0)-IF(ISNUMBER(O3518),O3518,0)+IF(ISNUMBER(P3518),P3518,0),2),"")</f>
        <v/>
      </c>
      <c r="S3518" s="9" t="str">
        <f aca="false">IF(R3518="","",ROUND(L3518-R3518,2))</f>
        <v/>
      </c>
      <c r="T3518" s="8" t="str">
        <f aca="false">IF(A3518="","",IF(S3518="","BYPASS",IF(ABS(S3518)&lt;=Summary!$B$2,"PASS","FAIL")))</f>
        <v/>
      </c>
      <c r="U3518" s="8" t="str">
        <f aca="false">IF(T3518="BYPASS",IF(NOT(ISNUMBER(Q3518)),"PreV_ETB missing","End_tr_balance missing"),IF(T3518="FAIL",IF(AND(ISNUMBER(K3518),ISNUMBER(L3518),ABS(L3518-(K3518-IF(ISNUMBER(N3518),N3518,0)-IF(ISNUMBER(O3518),O3518,0)+IF(ISNUMBER(P3518),P3518,0)))&lt;=Summary!$B$2),"Passes using beginning_balance - PreV_ETB differs from beginning_balance",IF(AND(ISNUMBER(O3518),O3518&lt;0,ABS(L3518-(Q3518-IF(ISNUMBER(N3518),N3518,0)+IF(ISNUMBER(P3518),P3518,0)))&lt;=Summary!$B$2),"Negative realized loss not applied - check sign",IF(R3518&lt;0,"Principal paid exceeds prior balance",IF(AND(L3518&gt;Q3518,NOT(ISNUMBER(P3518))),"Balance increased but no Deferred_interest reported",IF(L3518&gt;R3518,"Reported balance higher than expected (missing increase/OC build)","Reported balance lower than expected (missing decrease)"))))),""))</f>
        <v/>
      </c>
    </row>
    <row r="3519" customFormat="false" ht="15" hidden="false" customHeight="false" outlineLevel="0" collapsed="false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9"/>
      <c r="L3519" s="9"/>
      <c r="M3519" s="9"/>
      <c r="N3519" s="9"/>
      <c r="O3519" s="9"/>
      <c r="P3519" s="9"/>
      <c r="Q3519" s="9"/>
      <c r="R3519" s="9" t="str">
        <f aca="false">IF(AND(A3519&lt;&gt;"",ISNUMBER(Q3519),ISNUMBER(L3519)),ROUND(Q3519-IF(ISNUMBER(N3519),N3519,0)-IF(ISNUMBER(O3519),O3519,0)+IF(ISNUMBER(P3519),P3519,0),2),"")</f>
        <v/>
      </c>
      <c r="S3519" s="9" t="str">
        <f aca="false">IF(R3519="","",ROUND(L3519-R3519,2))</f>
        <v/>
      </c>
      <c r="T3519" s="8" t="str">
        <f aca="false">IF(A3519="","",IF(S3519="","BYPASS",IF(ABS(S3519)&lt;=Summary!$B$2,"PASS","FAIL")))</f>
        <v/>
      </c>
      <c r="U3519" s="8" t="str">
        <f aca="false">IF(T3519="BYPASS",IF(NOT(ISNUMBER(Q3519)),"PreV_ETB missing","End_tr_balance missing"),IF(T3519="FAIL",IF(AND(ISNUMBER(K3519),ISNUMBER(L3519),ABS(L3519-(K3519-IF(ISNUMBER(N3519),N3519,0)-IF(ISNUMBER(O3519),O3519,0)+IF(ISNUMBER(P3519),P3519,0)))&lt;=Summary!$B$2),"Passes using beginning_balance - PreV_ETB differs from beginning_balance",IF(AND(ISNUMBER(O3519),O3519&lt;0,ABS(L3519-(Q3519-IF(ISNUMBER(N3519),N3519,0)+IF(ISNUMBER(P3519),P3519,0)))&lt;=Summary!$B$2),"Negative realized loss not applied - check sign",IF(R3519&lt;0,"Principal paid exceeds prior balance",IF(AND(L3519&gt;Q3519,NOT(ISNUMBER(P3519))),"Balance increased but no Deferred_interest reported",IF(L3519&gt;R3519,"Reported balance higher than expected (missing increase/OC build)","Reported balance lower than expected (missing decrease)"))))),""))</f>
        <v/>
      </c>
    </row>
    <row r="3520" customFormat="false" ht="15" hidden="false" customHeight="false" outlineLevel="0" collapsed="false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9"/>
      <c r="L3520" s="9"/>
      <c r="M3520" s="9"/>
      <c r="N3520" s="9"/>
      <c r="O3520" s="9"/>
      <c r="P3520" s="9"/>
      <c r="Q3520" s="9"/>
      <c r="R3520" s="9" t="str">
        <f aca="false">IF(AND(A3520&lt;&gt;"",ISNUMBER(Q3520),ISNUMBER(L3520)),ROUND(Q3520-IF(ISNUMBER(N3520),N3520,0)-IF(ISNUMBER(O3520),O3520,0)+IF(ISNUMBER(P3520),P3520,0),2),"")</f>
        <v/>
      </c>
      <c r="S3520" s="9" t="str">
        <f aca="false">IF(R3520="","",ROUND(L3520-R3520,2))</f>
        <v/>
      </c>
      <c r="T3520" s="8" t="str">
        <f aca="false">IF(A3520="","",IF(S3520="","BYPASS",IF(ABS(S3520)&lt;=Summary!$B$2,"PASS","FAIL")))</f>
        <v/>
      </c>
      <c r="U3520" s="8" t="str">
        <f aca="false">IF(T3520="BYPASS",IF(NOT(ISNUMBER(Q3520)),"PreV_ETB missing","End_tr_balance missing"),IF(T3520="FAIL",IF(AND(ISNUMBER(K3520),ISNUMBER(L3520),ABS(L3520-(K3520-IF(ISNUMBER(N3520),N3520,0)-IF(ISNUMBER(O3520),O3520,0)+IF(ISNUMBER(P3520),P3520,0)))&lt;=Summary!$B$2),"Passes using beginning_balance - PreV_ETB differs from beginning_balance",IF(AND(ISNUMBER(O3520),O3520&lt;0,ABS(L3520-(Q3520-IF(ISNUMBER(N3520),N3520,0)+IF(ISNUMBER(P3520),P3520,0)))&lt;=Summary!$B$2),"Negative realized loss not applied - check sign",IF(R3520&lt;0,"Principal paid exceeds prior balance",IF(AND(L3520&gt;Q3520,NOT(ISNUMBER(P3520))),"Balance increased but no Deferred_interest reported",IF(L3520&gt;R3520,"Reported balance higher than expected (missing increase/OC build)","Reported balance lower than expected (missing decrease)"))))),""))</f>
        <v/>
      </c>
    </row>
    <row r="3521" customFormat="false" ht="15" hidden="false" customHeight="false" outlineLevel="0" collapsed="false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9"/>
      <c r="L3521" s="9"/>
      <c r="M3521" s="9"/>
      <c r="N3521" s="9"/>
      <c r="O3521" s="9"/>
      <c r="P3521" s="9"/>
      <c r="Q3521" s="9"/>
      <c r="R3521" s="9" t="str">
        <f aca="false">IF(AND(A3521&lt;&gt;"",ISNUMBER(Q3521),ISNUMBER(L3521)),ROUND(Q3521-IF(ISNUMBER(N3521),N3521,0)-IF(ISNUMBER(O3521),O3521,0)+IF(ISNUMBER(P3521),P3521,0),2),"")</f>
        <v/>
      </c>
      <c r="S3521" s="9" t="str">
        <f aca="false">IF(R3521="","",ROUND(L3521-R3521,2))</f>
        <v/>
      </c>
      <c r="T3521" s="8" t="str">
        <f aca="false">IF(A3521="","",IF(S3521="","BYPASS",IF(ABS(S3521)&lt;=Summary!$B$2,"PASS","FAIL")))</f>
        <v/>
      </c>
      <c r="U3521" s="8" t="str">
        <f aca="false">IF(T3521="BYPASS",IF(NOT(ISNUMBER(Q3521)),"PreV_ETB missing","End_tr_balance missing"),IF(T3521="FAIL",IF(AND(ISNUMBER(K3521),ISNUMBER(L3521),ABS(L3521-(K3521-IF(ISNUMBER(N3521),N3521,0)-IF(ISNUMBER(O3521),O3521,0)+IF(ISNUMBER(P3521),P3521,0)))&lt;=Summary!$B$2),"Passes using beginning_balance - PreV_ETB differs from beginning_balance",IF(AND(ISNUMBER(O3521),O3521&lt;0,ABS(L3521-(Q3521-IF(ISNUMBER(N3521),N3521,0)+IF(ISNUMBER(P3521),P3521,0)))&lt;=Summary!$B$2),"Negative realized loss not applied - check sign",IF(R3521&lt;0,"Principal paid exceeds prior balance",IF(AND(L3521&gt;Q3521,NOT(ISNUMBER(P3521))),"Balance increased but no Deferred_interest reported",IF(L3521&gt;R3521,"Reported balance higher than expected (missing increase/OC build)","Reported balance lower than expected (missing decrease)"))))),""))</f>
        <v/>
      </c>
    </row>
    <row r="3522" customFormat="false" ht="15" hidden="false" customHeight="false" outlineLevel="0" collapsed="false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9"/>
      <c r="L3522" s="9"/>
      <c r="M3522" s="9"/>
      <c r="N3522" s="9"/>
      <c r="O3522" s="9"/>
      <c r="P3522" s="9"/>
      <c r="Q3522" s="9"/>
      <c r="R3522" s="9" t="str">
        <f aca="false">IF(AND(A3522&lt;&gt;"",ISNUMBER(Q3522),ISNUMBER(L3522)),ROUND(Q3522-IF(ISNUMBER(N3522),N3522,0)-IF(ISNUMBER(O3522),O3522,0)+IF(ISNUMBER(P3522),P3522,0),2),"")</f>
        <v/>
      </c>
      <c r="S3522" s="9" t="str">
        <f aca="false">IF(R3522="","",ROUND(L3522-R3522,2))</f>
        <v/>
      </c>
      <c r="T3522" s="8" t="str">
        <f aca="false">IF(A3522="","",IF(S3522="","BYPASS",IF(ABS(S3522)&lt;=Summary!$B$2,"PASS","FAIL")))</f>
        <v/>
      </c>
      <c r="U3522" s="8" t="str">
        <f aca="false">IF(T3522="BYPASS",IF(NOT(ISNUMBER(Q3522)),"PreV_ETB missing","End_tr_balance missing"),IF(T3522="FAIL",IF(AND(ISNUMBER(K3522),ISNUMBER(L3522),ABS(L3522-(K3522-IF(ISNUMBER(N3522),N3522,0)-IF(ISNUMBER(O3522),O3522,0)+IF(ISNUMBER(P3522),P3522,0)))&lt;=Summary!$B$2),"Passes using beginning_balance - PreV_ETB differs from beginning_balance",IF(AND(ISNUMBER(O3522),O3522&lt;0,ABS(L3522-(Q3522-IF(ISNUMBER(N3522),N3522,0)+IF(ISNUMBER(P3522),P3522,0)))&lt;=Summary!$B$2),"Negative realized loss not applied - check sign",IF(R3522&lt;0,"Principal paid exceeds prior balance",IF(AND(L3522&gt;Q3522,NOT(ISNUMBER(P3522))),"Balance increased but no Deferred_interest reported",IF(L3522&gt;R3522,"Reported balance higher than expected (missing increase/OC build)","Reported balance lower than expected (missing decrease)"))))),""))</f>
        <v/>
      </c>
    </row>
    <row r="3523" customFormat="false" ht="15" hidden="false" customHeight="false" outlineLevel="0" collapsed="false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9"/>
      <c r="L3523" s="9"/>
      <c r="M3523" s="9"/>
      <c r="N3523" s="9"/>
      <c r="O3523" s="9"/>
      <c r="P3523" s="9"/>
      <c r="Q3523" s="9"/>
      <c r="R3523" s="9" t="str">
        <f aca="false">IF(AND(A3523&lt;&gt;"",ISNUMBER(Q3523),ISNUMBER(L3523)),ROUND(Q3523-IF(ISNUMBER(N3523),N3523,0)-IF(ISNUMBER(O3523),O3523,0)+IF(ISNUMBER(P3523),P3523,0),2),"")</f>
        <v/>
      </c>
      <c r="S3523" s="9" t="str">
        <f aca="false">IF(R3523="","",ROUND(L3523-R3523,2))</f>
        <v/>
      </c>
      <c r="T3523" s="8" t="str">
        <f aca="false">IF(A3523="","",IF(S3523="","BYPASS",IF(ABS(S3523)&lt;=Summary!$B$2,"PASS","FAIL")))</f>
        <v/>
      </c>
      <c r="U3523" s="8" t="str">
        <f aca="false">IF(T3523="BYPASS",IF(NOT(ISNUMBER(Q3523)),"PreV_ETB missing","End_tr_balance missing"),IF(T3523="FAIL",IF(AND(ISNUMBER(K3523),ISNUMBER(L3523),ABS(L3523-(K3523-IF(ISNUMBER(N3523),N3523,0)-IF(ISNUMBER(O3523),O3523,0)+IF(ISNUMBER(P3523),P3523,0)))&lt;=Summary!$B$2),"Passes using beginning_balance - PreV_ETB differs from beginning_balance",IF(AND(ISNUMBER(O3523),O3523&lt;0,ABS(L3523-(Q3523-IF(ISNUMBER(N3523),N3523,0)+IF(ISNUMBER(P3523),P3523,0)))&lt;=Summary!$B$2),"Negative realized loss not applied - check sign",IF(R3523&lt;0,"Principal paid exceeds prior balance",IF(AND(L3523&gt;Q3523,NOT(ISNUMBER(P3523))),"Balance increased but no Deferred_interest reported",IF(L3523&gt;R3523,"Reported balance higher than expected (missing increase/OC build)","Reported balance lower than expected (missing decrease)"))))),""))</f>
        <v/>
      </c>
    </row>
    <row r="3524" customFormat="false" ht="15" hidden="false" customHeight="false" outlineLevel="0" collapsed="false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9"/>
      <c r="L3524" s="9"/>
      <c r="M3524" s="9"/>
      <c r="N3524" s="9"/>
      <c r="O3524" s="9"/>
      <c r="P3524" s="9"/>
      <c r="Q3524" s="9"/>
      <c r="R3524" s="9" t="str">
        <f aca="false">IF(AND(A3524&lt;&gt;"",ISNUMBER(Q3524),ISNUMBER(L3524)),ROUND(Q3524-IF(ISNUMBER(N3524),N3524,0)-IF(ISNUMBER(O3524),O3524,0)+IF(ISNUMBER(P3524),P3524,0),2),"")</f>
        <v/>
      </c>
      <c r="S3524" s="9" t="str">
        <f aca="false">IF(R3524="","",ROUND(L3524-R3524,2))</f>
        <v/>
      </c>
      <c r="T3524" s="8" t="str">
        <f aca="false">IF(A3524="","",IF(S3524="","BYPASS",IF(ABS(S3524)&lt;=Summary!$B$2,"PASS","FAIL")))</f>
        <v/>
      </c>
      <c r="U3524" s="8" t="str">
        <f aca="false">IF(T3524="BYPASS",IF(NOT(ISNUMBER(Q3524)),"PreV_ETB missing","End_tr_balance missing"),IF(T3524="FAIL",IF(AND(ISNUMBER(K3524),ISNUMBER(L3524),ABS(L3524-(K3524-IF(ISNUMBER(N3524),N3524,0)-IF(ISNUMBER(O3524),O3524,0)+IF(ISNUMBER(P3524),P3524,0)))&lt;=Summary!$B$2),"Passes using beginning_balance - PreV_ETB differs from beginning_balance",IF(AND(ISNUMBER(O3524),O3524&lt;0,ABS(L3524-(Q3524-IF(ISNUMBER(N3524),N3524,0)+IF(ISNUMBER(P3524),P3524,0)))&lt;=Summary!$B$2),"Negative realized loss not applied - check sign",IF(R3524&lt;0,"Principal paid exceeds prior balance",IF(AND(L3524&gt;Q3524,NOT(ISNUMBER(P3524))),"Balance increased but no Deferred_interest reported",IF(L3524&gt;R3524,"Reported balance higher than expected (missing increase/OC build)","Reported balance lower than expected (missing decrease)"))))),""))</f>
        <v/>
      </c>
    </row>
    <row r="3525" customFormat="false" ht="15" hidden="false" customHeight="false" outlineLevel="0" collapsed="false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9"/>
      <c r="L3525" s="9"/>
      <c r="M3525" s="9"/>
      <c r="N3525" s="9"/>
      <c r="O3525" s="9"/>
      <c r="P3525" s="9"/>
      <c r="Q3525" s="9"/>
      <c r="R3525" s="9" t="str">
        <f aca="false">IF(AND(A3525&lt;&gt;"",ISNUMBER(Q3525),ISNUMBER(L3525)),ROUND(Q3525-IF(ISNUMBER(N3525),N3525,0)-IF(ISNUMBER(O3525),O3525,0)+IF(ISNUMBER(P3525),P3525,0),2),"")</f>
        <v/>
      </c>
      <c r="S3525" s="9" t="str">
        <f aca="false">IF(R3525="","",ROUND(L3525-R3525,2))</f>
        <v/>
      </c>
      <c r="T3525" s="8" t="str">
        <f aca="false">IF(A3525="","",IF(S3525="","BYPASS",IF(ABS(S3525)&lt;=Summary!$B$2,"PASS","FAIL")))</f>
        <v/>
      </c>
      <c r="U3525" s="8" t="str">
        <f aca="false">IF(T3525="BYPASS",IF(NOT(ISNUMBER(Q3525)),"PreV_ETB missing","End_tr_balance missing"),IF(T3525="FAIL",IF(AND(ISNUMBER(K3525),ISNUMBER(L3525),ABS(L3525-(K3525-IF(ISNUMBER(N3525),N3525,0)-IF(ISNUMBER(O3525),O3525,0)+IF(ISNUMBER(P3525),P3525,0)))&lt;=Summary!$B$2),"Passes using beginning_balance - PreV_ETB differs from beginning_balance",IF(AND(ISNUMBER(O3525),O3525&lt;0,ABS(L3525-(Q3525-IF(ISNUMBER(N3525),N3525,0)+IF(ISNUMBER(P3525),P3525,0)))&lt;=Summary!$B$2),"Negative realized loss not applied - check sign",IF(R3525&lt;0,"Principal paid exceeds prior balance",IF(AND(L3525&gt;Q3525,NOT(ISNUMBER(P3525))),"Balance increased but no Deferred_interest reported",IF(L3525&gt;R3525,"Reported balance higher than expected (missing increase/OC build)","Reported balance lower than expected (missing decrease)"))))),""))</f>
        <v/>
      </c>
    </row>
    <row r="3526" customFormat="false" ht="15" hidden="false" customHeight="false" outlineLevel="0" collapsed="false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9"/>
      <c r="L3526" s="9"/>
      <c r="M3526" s="9"/>
      <c r="N3526" s="9"/>
      <c r="O3526" s="9"/>
      <c r="P3526" s="9"/>
      <c r="Q3526" s="9"/>
      <c r="R3526" s="9" t="str">
        <f aca="false">IF(AND(A3526&lt;&gt;"",ISNUMBER(Q3526),ISNUMBER(L3526)),ROUND(Q3526-IF(ISNUMBER(N3526),N3526,0)-IF(ISNUMBER(O3526),O3526,0)+IF(ISNUMBER(P3526),P3526,0),2),"")</f>
        <v/>
      </c>
      <c r="S3526" s="9" t="str">
        <f aca="false">IF(R3526="","",ROUND(L3526-R3526,2))</f>
        <v/>
      </c>
      <c r="T3526" s="8" t="str">
        <f aca="false">IF(A3526="","",IF(S3526="","BYPASS",IF(ABS(S3526)&lt;=Summary!$B$2,"PASS","FAIL")))</f>
        <v/>
      </c>
      <c r="U3526" s="8" t="str">
        <f aca="false">IF(T3526="BYPASS",IF(NOT(ISNUMBER(Q3526)),"PreV_ETB missing","End_tr_balance missing"),IF(T3526="FAIL",IF(AND(ISNUMBER(K3526),ISNUMBER(L3526),ABS(L3526-(K3526-IF(ISNUMBER(N3526),N3526,0)-IF(ISNUMBER(O3526),O3526,0)+IF(ISNUMBER(P3526),P3526,0)))&lt;=Summary!$B$2),"Passes using beginning_balance - PreV_ETB differs from beginning_balance",IF(AND(ISNUMBER(O3526),O3526&lt;0,ABS(L3526-(Q3526-IF(ISNUMBER(N3526),N3526,0)+IF(ISNUMBER(P3526),P3526,0)))&lt;=Summary!$B$2),"Negative realized loss not applied - check sign",IF(R3526&lt;0,"Principal paid exceeds prior balance",IF(AND(L3526&gt;Q3526,NOT(ISNUMBER(P3526))),"Balance increased but no Deferred_interest reported",IF(L3526&gt;R3526,"Reported balance higher than expected (missing increase/OC build)","Reported balance lower than expected (missing decrease)"))))),""))</f>
        <v/>
      </c>
    </row>
    <row r="3527" customFormat="false" ht="15" hidden="false" customHeight="false" outlineLevel="0" collapsed="false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9"/>
      <c r="L3527" s="9"/>
      <c r="M3527" s="9"/>
      <c r="N3527" s="9"/>
      <c r="O3527" s="9"/>
      <c r="P3527" s="9"/>
      <c r="Q3527" s="9"/>
      <c r="R3527" s="9" t="str">
        <f aca="false">IF(AND(A3527&lt;&gt;"",ISNUMBER(Q3527),ISNUMBER(L3527)),ROUND(Q3527-IF(ISNUMBER(N3527),N3527,0)-IF(ISNUMBER(O3527),O3527,0)+IF(ISNUMBER(P3527),P3527,0),2),"")</f>
        <v/>
      </c>
      <c r="S3527" s="9" t="str">
        <f aca="false">IF(R3527="","",ROUND(L3527-R3527,2))</f>
        <v/>
      </c>
      <c r="T3527" s="8" t="str">
        <f aca="false">IF(A3527="","",IF(S3527="","BYPASS",IF(ABS(S3527)&lt;=Summary!$B$2,"PASS","FAIL")))</f>
        <v/>
      </c>
      <c r="U3527" s="8" t="str">
        <f aca="false">IF(T3527="BYPASS",IF(NOT(ISNUMBER(Q3527)),"PreV_ETB missing","End_tr_balance missing"),IF(T3527="FAIL",IF(AND(ISNUMBER(K3527),ISNUMBER(L3527),ABS(L3527-(K3527-IF(ISNUMBER(N3527),N3527,0)-IF(ISNUMBER(O3527),O3527,0)+IF(ISNUMBER(P3527),P3527,0)))&lt;=Summary!$B$2),"Passes using beginning_balance - PreV_ETB differs from beginning_balance",IF(AND(ISNUMBER(O3527),O3527&lt;0,ABS(L3527-(Q3527-IF(ISNUMBER(N3527),N3527,0)+IF(ISNUMBER(P3527),P3527,0)))&lt;=Summary!$B$2),"Negative realized loss not applied - check sign",IF(R3527&lt;0,"Principal paid exceeds prior balance",IF(AND(L3527&gt;Q3527,NOT(ISNUMBER(P3527))),"Balance increased but no Deferred_interest reported",IF(L3527&gt;R3527,"Reported balance higher than expected (missing increase/OC build)","Reported balance lower than expected (missing decrease)"))))),""))</f>
        <v/>
      </c>
    </row>
    <row r="3528" customFormat="false" ht="15" hidden="false" customHeight="false" outlineLevel="0" collapsed="false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9"/>
      <c r="L3528" s="9"/>
      <c r="M3528" s="9"/>
      <c r="N3528" s="9"/>
      <c r="O3528" s="9"/>
      <c r="P3528" s="9"/>
      <c r="Q3528" s="9"/>
      <c r="R3528" s="9" t="str">
        <f aca="false">IF(AND(A3528&lt;&gt;"",ISNUMBER(Q3528),ISNUMBER(L3528)),ROUND(Q3528-IF(ISNUMBER(N3528),N3528,0)-IF(ISNUMBER(O3528),O3528,0)+IF(ISNUMBER(P3528),P3528,0),2),"")</f>
        <v/>
      </c>
      <c r="S3528" s="9" t="str">
        <f aca="false">IF(R3528="","",ROUND(L3528-R3528,2))</f>
        <v/>
      </c>
      <c r="T3528" s="8" t="str">
        <f aca="false">IF(A3528="","",IF(S3528="","BYPASS",IF(ABS(S3528)&lt;=Summary!$B$2,"PASS","FAIL")))</f>
        <v/>
      </c>
      <c r="U3528" s="8" t="str">
        <f aca="false">IF(T3528="BYPASS",IF(NOT(ISNUMBER(Q3528)),"PreV_ETB missing","End_tr_balance missing"),IF(T3528="FAIL",IF(AND(ISNUMBER(K3528),ISNUMBER(L3528),ABS(L3528-(K3528-IF(ISNUMBER(N3528),N3528,0)-IF(ISNUMBER(O3528),O3528,0)+IF(ISNUMBER(P3528),P3528,0)))&lt;=Summary!$B$2),"Passes using beginning_balance - PreV_ETB differs from beginning_balance",IF(AND(ISNUMBER(O3528),O3528&lt;0,ABS(L3528-(Q3528-IF(ISNUMBER(N3528),N3528,0)+IF(ISNUMBER(P3528),P3528,0)))&lt;=Summary!$B$2),"Negative realized loss not applied - check sign",IF(R3528&lt;0,"Principal paid exceeds prior balance",IF(AND(L3528&gt;Q3528,NOT(ISNUMBER(P3528))),"Balance increased but no Deferred_interest reported",IF(L3528&gt;R3528,"Reported balance higher than expected (missing increase/OC build)","Reported balance lower than expected (missing decrease)"))))),""))</f>
        <v/>
      </c>
    </row>
    <row r="3529" customFormat="false" ht="15" hidden="false" customHeight="false" outlineLevel="0" collapsed="false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9"/>
      <c r="L3529" s="9"/>
      <c r="M3529" s="9"/>
      <c r="N3529" s="9"/>
      <c r="O3529" s="9"/>
      <c r="P3529" s="9"/>
      <c r="Q3529" s="9"/>
      <c r="R3529" s="9" t="str">
        <f aca="false">IF(AND(A3529&lt;&gt;"",ISNUMBER(Q3529),ISNUMBER(L3529)),ROUND(Q3529-IF(ISNUMBER(N3529),N3529,0)-IF(ISNUMBER(O3529),O3529,0)+IF(ISNUMBER(P3529),P3529,0),2),"")</f>
        <v/>
      </c>
      <c r="S3529" s="9" t="str">
        <f aca="false">IF(R3529="","",ROUND(L3529-R3529,2))</f>
        <v/>
      </c>
      <c r="T3529" s="8" t="str">
        <f aca="false">IF(A3529="","",IF(S3529="","BYPASS",IF(ABS(S3529)&lt;=Summary!$B$2,"PASS","FAIL")))</f>
        <v/>
      </c>
      <c r="U3529" s="8" t="str">
        <f aca="false">IF(T3529="BYPASS",IF(NOT(ISNUMBER(Q3529)),"PreV_ETB missing","End_tr_balance missing"),IF(T3529="FAIL",IF(AND(ISNUMBER(K3529),ISNUMBER(L3529),ABS(L3529-(K3529-IF(ISNUMBER(N3529),N3529,0)-IF(ISNUMBER(O3529),O3529,0)+IF(ISNUMBER(P3529),P3529,0)))&lt;=Summary!$B$2),"Passes using beginning_balance - PreV_ETB differs from beginning_balance",IF(AND(ISNUMBER(O3529),O3529&lt;0,ABS(L3529-(Q3529-IF(ISNUMBER(N3529),N3529,0)+IF(ISNUMBER(P3529),P3529,0)))&lt;=Summary!$B$2),"Negative realized loss not applied - check sign",IF(R3529&lt;0,"Principal paid exceeds prior balance",IF(AND(L3529&gt;Q3529,NOT(ISNUMBER(P3529))),"Balance increased but no Deferred_interest reported",IF(L3529&gt;R3529,"Reported balance higher than expected (missing increase/OC build)","Reported balance lower than expected (missing decrease)"))))),""))</f>
        <v/>
      </c>
    </row>
    <row r="3530" customFormat="false" ht="15" hidden="false" customHeight="false" outlineLevel="0" collapsed="false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9"/>
      <c r="L3530" s="9"/>
      <c r="M3530" s="9"/>
      <c r="N3530" s="9"/>
      <c r="O3530" s="9"/>
      <c r="P3530" s="9"/>
      <c r="Q3530" s="9"/>
      <c r="R3530" s="9" t="str">
        <f aca="false">IF(AND(A3530&lt;&gt;"",ISNUMBER(Q3530),ISNUMBER(L3530)),ROUND(Q3530-IF(ISNUMBER(N3530),N3530,0)-IF(ISNUMBER(O3530),O3530,0)+IF(ISNUMBER(P3530),P3530,0),2),"")</f>
        <v/>
      </c>
      <c r="S3530" s="9" t="str">
        <f aca="false">IF(R3530="","",ROUND(L3530-R3530,2))</f>
        <v/>
      </c>
      <c r="T3530" s="8" t="str">
        <f aca="false">IF(A3530="","",IF(S3530="","BYPASS",IF(ABS(S3530)&lt;=Summary!$B$2,"PASS","FAIL")))</f>
        <v/>
      </c>
      <c r="U3530" s="8" t="str">
        <f aca="false">IF(T3530="BYPASS",IF(NOT(ISNUMBER(Q3530)),"PreV_ETB missing","End_tr_balance missing"),IF(T3530="FAIL",IF(AND(ISNUMBER(K3530),ISNUMBER(L3530),ABS(L3530-(K3530-IF(ISNUMBER(N3530),N3530,0)-IF(ISNUMBER(O3530),O3530,0)+IF(ISNUMBER(P3530),P3530,0)))&lt;=Summary!$B$2),"Passes using beginning_balance - PreV_ETB differs from beginning_balance",IF(AND(ISNUMBER(O3530),O3530&lt;0,ABS(L3530-(Q3530-IF(ISNUMBER(N3530),N3530,0)+IF(ISNUMBER(P3530),P3530,0)))&lt;=Summary!$B$2),"Negative realized loss not applied - check sign",IF(R3530&lt;0,"Principal paid exceeds prior balance",IF(AND(L3530&gt;Q3530,NOT(ISNUMBER(P3530))),"Balance increased but no Deferred_interest reported",IF(L3530&gt;R3530,"Reported balance higher than expected (missing increase/OC build)","Reported balance lower than expected (missing decrease)"))))),""))</f>
        <v/>
      </c>
    </row>
    <row r="3531" customFormat="false" ht="15" hidden="false" customHeight="false" outlineLevel="0" collapsed="false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9"/>
      <c r="L3531" s="9"/>
      <c r="M3531" s="9"/>
      <c r="N3531" s="9"/>
      <c r="O3531" s="9"/>
      <c r="P3531" s="9"/>
      <c r="Q3531" s="9"/>
      <c r="R3531" s="9" t="str">
        <f aca="false">IF(AND(A3531&lt;&gt;"",ISNUMBER(Q3531),ISNUMBER(L3531)),ROUND(Q3531-IF(ISNUMBER(N3531),N3531,0)-IF(ISNUMBER(O3531),O3531,0)+IF(ISNUMBER(P3531),P3531,0),2),"")</f>
        <v/>
      </c>
      <c r="S3531" s="9" t="str">
        <f aca="false">IF(R3531="","",ROUND(L3531-R3531,2))</f>
        <v/>
      </c>
      <c r="T3531" s="8" t="str">
        <f aca="false">IF(A3531="","",IF(S3531="","BYPASS",IF(ABS(S3531)&lt;=Summary!$B$2,"PASS","FAIL")))</f>
        <v/>
      </c>
      <c r="U3531" s="8" t="str">
        <f aca="false">IF(T3531="BYPASS",IF(NOT(ISNUMBER(Q3531)),"PreV_ETB missing","End_tr_balance missing"),IF(T3531="FAIL",IF(AND(ISNUMBER(K3531),ISNUMBER(L3531),ABS(L3531-(K3531-IF(ISNUMBER(N3531),N3531,0)-IF(ISNUMBER(O3531),O3531,0)+IF(ISNUMBER(P3531),P3531,0)))&lt;=Summary!$B$2),"Passes using beginning_balance - PreV_ETB differs from beginning_balance",IF(AND(ISNUMBER(O3531),O3531&lt;0,ABS(L3531-(Q3531-IF(ISNUMBER(N3531),N3531,0)+IF(ISNUMBER(P3531),P3531,0)))&lt;=Summary!$B$2),"Negative realized loss not applied - check sign",IF(R3531&lt;0,"Principal paid exceeds prior balance",IF(AND(L3531&gt;Q3531,NOT(ISNUMBER(P3531))),"Balance increased but no Deferred_interest reported",IF(L3531&gt;R3531,"Reported balance higher than expected (missing increase/OC build)","Reported balance lower than expected (missing decrease)"))))),""))</f>
        <v/>
      </c>
    </row>
    <row r="3532" customFormat="false" ht="15" hidden="false" customHeight="false" outlineLevel="0" collapsed="false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9"/>
      <c r="L3532" s="9"/>
      <c r="M3532" s="9"/>
      <c r="N3532" s="9"/>
      <c r="O3532" s="9"/>
      <c r="P3532" s="9"/>
      <c r="Q3532" s="9"/>
      <c r="R3532" s="9" t="str">
        <f aca="false">IF(AND(A3532&lt;&gt;"",ISNUMBER(Q3532),ISNUMBER(L3532)),ROUND(Q3532-IF(ISNUMBER(N3532),N3532,0)-IF(ISNUMBER(O3532),O3532,0)+IF(ISNUMBER(P3532),P3532,0),2),"")</f>
        <v/>
      </c>
      <c r="S3532" s="9" t="str">
        <f aca="false">IF(R3532="","",ROUND(L3532-R3532,2))</f>
        <v/>
      </c>
      <c r="T3532" s="8" t="str">
        <f aca="false">IF(A3532="","",IF(S3532="","BYPASS",IF(ABS(S3532)&lt;=Summary!$B$2,"PASS","FAIL")))</f>
        <v/>
      </c>
      <c r="U3532" s="8" t="str">
        <f aca="false">IF(T3532="BYPASS",IF(NOT(ISNUMBER(Q3532)),"PreV_ETB missing","End_tr_balance missing"),IF(T3532="FAIL",IF(AND(ISNUMBER(K3532),ISNUMBER(L3532),ABS(L3532-(K3532-IF(ISNUMBER(N3532),N3532,0)-IF(ISNUMBER(O3532),O3532,0)+IF(ISNUMBER(P3532),P3532,0)))&lt;=Summary!$B$2),"Passes using beginning_balance - PreV_ETB differs from beginning_balance",IF(AND(ISNUMBER(O3532),O3532&lt;0,ABS(L3532-(Q3532-IF(ISNUMBER(N3532),N3532,0)+IF(ISNUMBER(P3532),P3532,0)))&lt;=Summary!$B$2),"Negative realized loss not applied - check sign",IF(R3532&lt;0,"Principal paid exceeds prior balance",IF(AND(L3532&gt;Q3532,NOT(ISNUMBER(P3532))),"Balance increased but no Deferred_interest reported",IF(L3532&gt;R3532,"Reported balance higher than expected (missing increase/OC build)","Reported balance lower than expected (missing decrease)"))))),""))</f>
        <v/>
      </c>
    </row>
    <row r="3533" customFormat="false" ht="15" hidden="false" customHeight="false" outlineLevel="0" collapsed="false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9"/>
      <c r="L3533" s="9"/>
      <c r="M3533" s="9"/>
      <c r="N3533" s="9"/>
      <c r="O3533" s="9"/>
      <c r="P3533" s="9"/>
      <c r="Q3533" s="9"/>
      <c r="R3533" s="9" t="str">
        <f aca="false">IF(AND(A3533&lt;&gt;"",ISNUMBER(Q3533),ISNUMBER(L3533)),ROUND(Q3533-IF(ISNUMBER(N3533),N3533,0)-IF(ISNUMBER(O3533),O3533,0)+IF(ISNUMBER(P3533),P3533,0),2),"")</f>
        <v/>
      </c>
      <c r="S3533" s="9" t="str">
        <f aca="false">IF(R3533="","",ROUND(L3533-R3533,2))</f>
        <v/>
      </c>
      <c r="T3533" s="8" t="str">
        <f aca="false">IF(A3533="","",IF(S3533="","BYPASS",IF(ABS(S3533)&lt;=Summary!$B$2,"PASS","FAIL")))</f>
        <v/>
      </c>
      <c r="U3533" s="8" t="str">
        <f aca="false">IF(T3533="BYPASS",IF(NOT(ISNUMBER(Q3533)),"PreV_ETB missing","End_tr_balance missing"),IF(T3533="FAIL",IF(AND(ISNUMBER(K3533),ISNUMBER(L3533),ABS(L3533-(K3533-IF(ISNUMBER(N3533),N3533,0)-IF(ISNUMBER(O3533),O3533,0)+IF(ISNUMBER(P3533),P3533,0)))&lt;=Summary!$B$2),"Passes using beginning_balance - PreV_ETB differs from beginning_balance",IF(AND(ISNUMBER(O3533),O3533&lt;0,ABS(L3533-(Q3533-IF(ISNUMBER(N3533),N3533,0)+IF(ISNUMBER(P3533),P3533,0)))&lt;=Summary!$B$2),"Negative realized loss not applied - check sign",IF(R3533&lt;0,"Principal paid exceeds prior balance",IF(AND(L3533&gt;Q3533,NOT(ISNUMBER(P3533))),"Balance increased but no Deferred_interest reported",IF(L3533&gt;R3533,"Reported balance higher than expected (missing increase/OC build)","Reported balance lower than expected (missing decrease)"))))),""))</f>
        <v/>
      </c>
    </row>
    <row r="3534" customFormat="false" ht="15" hidden="false" customHeight="false" outlineLevel="0" collapsed="false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9"/>
      <c r="L3534" s="9"/>
      <c r="M3534" s="9"/>
      <c r="N3534" s="9"/>
      <c r="O3534" s="9"/>
      <c r="P3534" s="9"/>
      <c r="Q3534" s="9"/>
      <c r="R3534" s="9" t="str">
        <f aca="false">IF(AND(A3534&lt;&gt;"",ISNUMBER(Q3534),ISNUMBER(L3534)),ROUND(Q3534-IF(ISNUMBER(N3534),N3534,0)-IF(ISNUMBER(O3534),O3534,0)+IF(ISNUMBER(P3534),P3534,0),2),"")</f>
        <v/>
      </c>
      <c r="S3534" s="9" t="str">
        <f aca="false">IF(R3534="","",ROUND(L3534-R3534,2))</f>
        <v/>
      </c>
      <c r="T3534" s="8" t="str">
        <f aca="false">IF(A3534="","",IF(S3534="","BYPASS",IF(ABS(S3534)&lt;=Summary!$B$2,"PASS","FAIL")))</f>
        <v/>
      </c>
      <c r="U3534" s="8" t="str">
        <f aca="false">IF(T3534="BYPASS",IF(NOT(ISNUMBER(Q3534)),"PreV_ETB missing","End_tr_balance missing"),IF(T3534="FAIL",IF(AND(ISNUMBER(K3534),ISNUMBER(L3534),ABS(L3534-(K3534-IF(ISNUMBER(N3534),N3534,0)-IF(ISNUMBER(O3534),O3534,0)+IF(ISNUMBER(P3534),P3534,0)))&lt;=Summary!$B$2),"Passes using beginning_balance - PreV_ETB differs from beginning_balance",IF(AND(ISNUMBER(O3534),O3534&lt;0,ABS(L3534-(Q3534-IF(ISNUMBER(N3534),N3534,0)+IF(ISNUMBER(P3534),P3534,0)))&lt;=Summary!$B$2),"Negative realized loss not applied - check sign",IF(R3534&lt;0,"Principal paid exceeds prior balance",IF(AND(L3534&gt;Q3534,NOT(ISNUMBER(P3534))),"Balance increased but no Deferred_interest reported",IF(L3534&gt;R3534,"Reported balance higher than expected (missing increase/OC build)","Reported balance lower than expected (missing decrease)"))))),""))</f>
        <v/>
      </c>
    </row>
    <row r="3535" customFormat="false" ht="15" hidden="false" customHeight="false" outlineLevel="0" collapsed="false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9"/>
      <c r="L3535" s="9"/>
      <c r="M3535" s="9"/>
      <c r="N3535" s="9"/>
      <c r="O3535" s="9"/>
      <c r="P3535" s="9"/>
      <c r="Q3535" s="9"/>
      <c r="R3535" s="9" t="str">
        <f aca="false">IF(AND(A3535&lt;&gt;"",ISNUMBER(Q3535),ISNUMBER(L3535)),ROUND(Q3535-IF(ISNUMBER(N3535),N3535,0)-IF(ISNUMBER(O3535),O3535,0)+IF(ISNUMBER(P3535),P3535,0),2),"")</f>
        <v/>
      </c>
      <c r="S3535" s="9" t="str">
        <f aca="false">IF(R3535="","",ROUND(L3535-R3535,2))</f>
        <v/>
      </c>
      <c r="T3535" s="8" t="str">
        <f aca="false">IF(A3535="","",IF(S3535="","BYPASS",IF(ABS(S3535)&lt;=Summary!$B$2,"PASS","FAIL")))</f>
        <v/>
      </c>
      <c r="U3535" s="8" t="str">
        <f aca="false">IF(T3535="BYPASS",IF(NOT(ISNUMBER(Q3535)),"PreV_ETB missing","End_tr_balance missing"),IF(T3535="FAIL",IF(AND(ISNUMBER(K3535),ISNUMBER(L3535),ABS(L3535-(K3535-IF(ISNUMBER(N3535),N3535,0)-IF(ISNUMBER(O3535),O3535,0)+IF(ISNUMBER(P3535),P3535,0)))&lt;=Summary!$B$2),"Passes using beginning_balance - PreV_ETB differs from beginning_balance",IF(AND(ISNUMBER(O3535),O3535&lt;0,ABS(L3535-(Q3535-IF(ISNUMBER(N3535),N3535,0)+IF(ISNUMBER(P3535),P3535,0)))&lt;=Summary!$B$2),"Negative realized loss not applied - check sign",IF(R3535&lt;0,"Principal paid exceeds prior balance",IF(AND(L3535&gt;Q3535,NOT(ISNUMBER(P3535))),"Balance increased but no Deferred_interest reported",IF(L3535&gt;R3535,"Reported balance higher than expected (missing increase/OC build)","Reported balance lower than expected (missing decrease)"))))),""))</f>
        <v/>
      </c>
    </row>
    <row r="3536" customFormat="false" ht="15" hidden="false" customHeight="false" outlineLevel="0" collapsed="false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9"/>
      <c r="L3536" s="9"/>
      <c r="M3536" s="9"/>
      <c r="N3536" s="9"/>
      <c r="O3536" s="9"/>
      <c r="P3536" s="9"/>
      <c r="Q3536" s="9"/>
      <c r="R3536" s="9" t="str">
        <f aca="false">IF(AND(A3536&lt;&gt;"",ISNUMBER(Q3536),ISNUMBER(L3536)),ROUND(Q3536-IF(ISNUMBER(N3536),N3536,0)-IF(ISNUMBER(O3536),O3536,0)+IF(ISNUMBER(P3536),P3536,0),2),"")</f>
        <v/>
      </c>
      <c r="S3536" s="9" t="str">
        <f aca="false">IF(R3536="","",ROUND(L3536-R3536,2))</f>
        <v/>
      </c>
      <c r="T3536" s="8" t="str">
        <f aca="false">IF(A3536="","",IF(S3536="","BYPASS",IF(ABS(S3536)&lt;=Summary!$B$2,"PASS","FAIL")))</f>
        <v/>
      </c>
      <c r="U3536" s="8" t="str">
        <f aca="false">IF(T3536="BYPASS",IF(NOT(ISNUMBER(Q3536)),"PreV_ETB missing","End_tr_balance missing"),IF(T3536="FAIL",IF(AND(ISNUMBER(K3536),ISNUMBER(L3536),ABS(L3536-(K3536-IF(ISNUMBER(N3536),N3536,0)-IF(ISNUMBER(O3536),O3536,0)+IF(ISNUMBER(P3536),P3536,0)))&lt;=Summary!$B$2),"Passes using beginning_balance - PreV_ETB differs from beginning_balance",IF(AND(ISNUMBER(O3536),O3536&lt;0,ABS(L3536-(Q3536-IF(ISNUMBER(N3536),N3536,0)+IF(ISNUMBER(P3536),P3536,0)))&lt;=Summary!$B$2),"Negative realized loss not applied - check sign",IF(R3536&lt;0,"Principal paid exceeds prior balance",IF(AND(L3536&gt;Q3536,NOT(ISNUMBER(P3536))),"Balance increased but no Deferred_interest reported",IF(L3536&gt;R3536,"Reported balance higher than expected (missing increase/OC build)","Reported balance lower than expected (missing decrease)"))))),""))</f>
        <v/>
      </c>
    </row>
    <row r="3537" customFormat="false" ht="15" hidden="false" customHeight="false" outlineLevel="0" collapsed="false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9"/>
      <c r="L3537" s="9"/>
      <c r="M3537" s="9"/>
      <c r="N3537" s="9"/>
      <c r="O3537" s="9"/>
      <c r="P3537" s="9"/>
      <c r="Q3537" s="9"/>
      <c r="R3537" s="9" t="str">
        <f aca="false">IF(AND(A3537&lt;&gt;"",ISNUMBER(Q3537),ISNUMBER(L3537)),ROUND(Q3537-IF(ISNUMBER(N3537),N3537,0)-IF(ISNUMBER(O3537),O3537,0)+IF(ISNUMBER(P3537),P3537,0),2),"")</f>
        <v/>
      </c>
      <c r="S3537" s="9" t="str">
        <f aca="false">IF(R3537="","",ROUND(L3537-R3537,2))</f>
        <v/>
      </c>
      <c r="T3537" s="8" t="str">
        <f aca="false">IF(A3537="","",IF(S3537="","BYPASS",IF(ABS(S3537)&lt;=Summary!$B$2,"PASS","FAIL")))</f>
        <v/>
      </c>
      <c r="U3537" s="8" t="str">
        <f aca="false">IF(T3537="BYPASS",IF(NOT(ISNUMBER(Q3537)),"PreV_ETB missing","End_tr_balance missing"),IF(T3537="FAIL",IF(AND(ISNUMBER(K3537),ISNUMBER(L3537),ABS(L3537-(K3537-IF(ISNUMBER(N3537),N3537,0)-IF(ISNUMBER(O3537),O3537,0)+IF(ISNUMBER(P3537),P3537,0)))&lt;=Summary!$B$2),"Passes using beginning_balance - PreV_ETB differs from beginning_balance",IF(AND(ISNUMBER(O3537),O3537&lt;0,ABS(L3537-(Q3537-IF(ISNUMBER(N3537),N3537,0)+IF(ISNUMBER(P3537),P3537,0)))&lt;=Summary!$B$2),"Negative realized loss not applied - check sign",IF(R3537&lt;0,"Principal paid exceeds prior balance",IF(AND(L3537&gt;Q3537,NOT(ISNUMBER(P3537))),"Balance increased but no Deferred_interest reported",IF(L3537&gt;R3537,"Reported balance higher than expected (missing increase/OC build)","Reported balance lower than expected (missing decrease)"))))),""))</f>
        <v/>
      </c>
    </row>
    <row r="3538" customFormat="false" ht="15" hidden="false" customHeight="false" outlineLevel="0" collapsed="false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9"/>
      <c r="L3538" s="9"/>
      <c r="M3538" s="9"/>
      <c r="N3538" s="9"/>
      <c r="O3538" s="9"/>
      <c r="P3538" s="9"/>
      <c r="Q3538" s="9"/>
      <c r="R3538" s="9" t="str">
        <f aca="false">IF(AND(A3538&lt;&gt;"",ISNUMBER(Q3538),ISNUMBER(L3538)),ROUND(Q3538-IF(ISNUMBER(N3538),N3538,0)-IF(ISNUMBER(O3538),O3538,0)+IF(ISNUMBER(P3538),P3538,0),2),"")</f>
        <v/>
      </c>
      <c r="S3538" s="9" t="str">
        <f aca="false">IF(R3538="","",ROUND(L3538-R3538,2))</f>
        <v/>
      </c>
      <c r="T3538" s="8" t="str">
        <f aca="false">IF(A3538="","",IF(S3538="","BYPASS",IF(ABS(S3538)&lt;=Summary!$B$2,"PASS","FAIL")))</f>
        <v/>
      </c>
      <c r="U3538" s="8" t="str">
        <f aca="false">IF(T3538="BYPASS",IF(NOT(ISNUMBER(Q3538)),"PreV_ETB missing","End_tr_balance missing"),IF(T3538="FAIL",IF(AND(ISNUMBER(K3538),ISNUMBER(L3538),ABS(L3538-(K3538-IF(ISNUMBER(N3538),N3538,0)-IF(ISNUMBER(O3538),O3538,0)+IF(ISNUMBER(P3538),P3538,0)))&lt;=Summary!$B$2),"Passes using beginning_balance - PreV_ETB differs from beginning_balance",IF(AND(ISNUMBER(O3538),O3538&lt;0,ABS(L3538-(Q3538-IF(ISNUMBER(N3538),N3538,0)+IF(ISNUMBER(P3538),P3538,0)))&lt;=Summary!$B$2),"Negative realized loss not applied - check sign",IF(R3538&lt;0,"Principal paid exceeds prior balance",IF(AND(L3538&gt;Q3538,NOT(ISNUMBER(P3538))),"Balance increased but no Deferred_interest reported",IF(L3538&gt;R3538,"Reported balance higher than expected (missing increase/OC build)","Reported balance lower than expected (missing decrease)"))))),""))</f>
        <v/>
      </c>
    </row>
    <row r="3539" customFormat="false" ht="15" hidden="false" customHeight="false" outlineLevel="0" collapsed="false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9"/>
      <c r="L3539" s="9"/>
      <c r="M3539" s="9"/>
      <c r="N3539" s="9"/>
      <c r="O3539" s="9"/>
      <c r="P3539" s="9"/>
      <c r="Q3539" s="9"/>
      <c r="R3539" s="9" t="str">
        <f aca="false">IF(AND(A3539&lt;&gt;"",ISNUMBER(Q3539),ISNUMBER(L3539)),ROUND(Q3539-IF(ISNUMBER(N3539),N3539,0)-IF(ISNUMBER(O3539),O3539,0)+IF(ISNUMBER(P3539),P3539,0),2),"")</f>
        <v/>
      </c>
      <c r="S3539" s="9" t="str">
        <f aca="false">IF(R3539="","",ROUND(L3539-R3539,2))</f>
        <v/>
      </c>
      <c r="T3539" s="8" t="str">
        <f aca="false">IF(A3539="","",IF(S3539="","BYPASS",IF(ABS(S3539)&lt;=Summary!$B$2,"PASS","FAIL")))</f>
        <v/>
      </c>
      <c r="U3539" s="8" t="str">
        <f aca="false">IF(T3539="BYPASS",IF(NOT(ISNUMBER(Q3539)),"PreV_ETB missing","End_tr_balance missing"),IF(T3539="FAIL",IF(AND(ISNUMBER(K3539),ISNUMBER(L3539),ABS(L3539-(K3539-IF(ISNUMBER(N3539),N3539,0)-IF(ISNUMBER(O3539),O3539,0)+IF(ISNUMBER(P3539),P3539,0)))&lt;=Summary!$B$2),"Passes using beginning_balance - PreV_ETB differs from beginning_balance",IF(AND(ISNUMBER(O3539),O3539&lt;0,ABS(L3539-(Q3539-IF(ISNUMBER(N3539),N3539,0)+IF(ISNUMBER(P3539),P3539,0)))&lt;=Summary!$B$2),"Negative realized loss not applied - check sign",IF(R3539&lt;0,"Principal paid exceeds prior balance",IF(AND(L3539&gt;Q3539,NOT(ISNUMBER(P3539))),"Balance increased but no Deferred_interest reported",IF(L3539&gt;R3539,"Reported balance higher than expected (missing increase/OC build)","Reported balance lower than expected (missing decrease)"))))),""))</f>
        <v/>
      </c>
    </row>
    <row r="3540" customFormat="false" ht="15" hidden="false" customHeight="false" outlineLevel="0" collapsed="false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9"/>
      <c r="L3540" s="9"/>
      <c r="M3540" s="9"/>
      <c r="N3540" s="9"/>
      <c r="O3540" s="9"/>
      <c r="P3540" s="9"/>
      <c r="Q3540" s="9"/>
      <c r="R3540" s="9" t="str">
        <f aca="false">IF(AND(A3540&lt;&gt;"",ISNUMBER(Q3540),ISNUMBER(L3540)),ROUND(Q3540-IF(ISNUMBER(N3540),N3540,0)-IF(ISNUMBER(O3540),O3540,0)+IF(ISNUMBER(P3540),P3540,0),2),"")</f>
        <v/>
      </c>
      <c r="S3540" s="9" t="str">
        <f aca="false">IF(R3540="","",ROUND(L3540-R3540,2))</f>
        <v/>
      </c>
      <c r="T3540" s="8" t="str">
        <f aca="false">IF(A3540="","",IF(S3540="","BYPASS",IF(ABS(S3540)&lt;=Summary!$B$2,"PASS","FAIL")))</f>
        <v/>
      </c>
      <c r="U3540" s="8" t="str">
        <f aca="false">IF(T3540="BYPASS",IF(NOT(ISNUMBER(Q3540)),"PreV_ETB missing","End_tr_balance missing"),IF(T3540="FAIL",IF(AND(ISNUMBER(K3540),ISNUMBER(L3540),ABS(L3540-(K3540-IF(ISNUMBER(N3540),N3540,0)-IF(ISNUMBER(O3540),O3540,0)+IF(ISNUMBER(P3540),P3540,0)))&lt;=Summary!$B$2),"Passes using beginning_balance - PreV_ETB differs from beginning_balance",IF(AND(ISNUMBER(O3540),O3540&lt;0,ABS(L3540-(Q3540-IF(ISNUMBER(N3540),N3540,0)+IF(ISNUMBER(P3540),P3540,0)))&lt;=Summary!$B$2),"Negative realized loss not applied - check sign",IF(R3540&lt;0,"Principal paid exceeds prior balance",IF(AND(L3540&gt;Q3540,NOT(ISNUMBER(P3540))),"Balance increased but no Deferred_interest reported",IF(L3540&gt;R3540,"Reported balance higher than expected (missing increase/OC build)","Reported balance lower than expected (missing decrease)"))))),""))</f>
        <v/>
      </c>
    </row>
    <row r="3541" customFormat="false" ht="15" hidden="false" customHeight="false" outlineLevel="0" collapsed="false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9"/>
      <c r="L3541" s="9"/>
      <c r="M3541" s="9"/>
      <c r="N3541" s="9"/>
      <c r="O3541" s="9"/>
      <c r="P3541" s="9"/>
      <c r="Q3541" s="9"/>
      <c r="R3541" s="9" t="str">
        <f aca="false">IF(AND(A3541&lt;&gt;"",ISNUMBER(Q3541),ISNUMBER(L3541)),ROUND(Q3541-IF(ISNUMBER(N3541),N3541,0)-IF(ISNUMBER(O3541),O3541,0)+IF(ISNUMBER(P3541),P3541,0),2),"")</f>
        <v/>
      </c>
      <c r="S3541" s="9" t="str">
        <f aca="false">IF(R3541="","",ROUND(L3541-R3541,2))</f>
        <v/>
      </c>
      <c r="T3541" s="8" t="str">
        <f aca="false">IF(A3541="","",IF(S3541="","BYPASS",IF(ABS(S3541)&lt;=Summary!$B$2,"PASS","FAIL")))</f>
        <v/>
      </c>
      <c r="U3541" s="8" t="str">
        <f aca="false">IF(T3541="BYPASS",IF(NOT(ISNUMBER(Q3541)),"PreV_ETB missing","End_tr_balance missing"),IF(T3541="FAIL",IF(AND(ISNUMBER(K3541),ISNUMBER(L3541),ABS(L3541-(K3541-IF(ISNUMBER(N3541),N3541,0)-IF(ISNUMBER(O3541),O3541,0)+IF(ISNUMBER(P3541),P3541,0)))&lt;=Summary!$B$2),"Passes using beginning_balance - PreV_ETB differs from beginning_balance",IF(AND(ISNUMBER(O3541),O3541&lt;0,ABS(L3541-(Q3541-IF(ISNUMBER(N3541),N3541,0)+IF(ISNUMBER(P3541),P3541,0)))&lt;=Summary!$B$2),"Negative realized loss not applied - check sign",IF(R3541&lt;0,"Principal paid exceeds prior balance",IF(AND(L3541&gt;Q3541,NOT(ISNUMBER(P3541))),"Balance increased but no Deferred_interest reported",IF(L3541&gt;R3541,"Reported balance higher than expected (missing increase/OC build)","Reported balance lower than expected (missing decrease)"))))),""))</f>
        <v/>
      </c>
    </row>
    <row r="3542" customFormat="false" ht="15" hidden="false" customHeight="false" outlineLevel="0" collapsed="false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9"/>
      <c r="L3542" s="9"/>
      <c r="M3542" s="9"/>
      <c r="N3542" s="9"/>
      <c r="O3542" s="9"/>
      <c r="P3542" s="9"/>
      <c r="Q3542" s="9"/>
      <c r="R3542" s="9" t="str">
        <f aca="false">IF(AND(A3542&lt;&gt;"",ISNUMBER(Q3542),ISNUMBER(L3542)),ROUND(Q3542-IF(ISNUMBER(N3542),N3542,0)-IF(ISNUMBER(O3542),O3542,0)+IF(ISNUMBER(P3542),P3542,0),2),"")</f>
        <v/>
      </c>
      <c r="S3542" s="9" t="str">
        <f aca="false">IF(R3542="","",ROUND(L3542-R3542,2))</f>
        <v/>
      </c>
      <c r="T3542" s="8" t="str">
        <f aca="false">IF(A3542="","",IF(S3542="","BYPASS",IF(ABS(S3542)&lt;=Summary!$B$2,"PASS","FAIL")))</f>
        <v/>
      </c>
      <c r="U3542" s="8" t="str">
        <f aca="false">IF(T3542="BYPASS",IF(NOT(ISNUMBER(Q3542)),"PreV_ETB missing","End_tr_balance missing"),IF(T3542="FAIL",IF(AND(ISNUMBER(K3542),ISNUMBER(L3542),ABS(L3542-(K3542-IF(ISNUMBER(N3542),N3542,0)-IF(ISNUMBER(O3542),O3542,0)+IF(ISNUMBER(P3542),P3542,0)))&lt;=Summary!$B$2),"Passes using beginning_balance - PreV_ETB differs from beginning_balance",IF(AND(ISNUMBER(O3542),O3542&lt;0,ABS(L3542-(Q3542-IF(ISNUMBER(N3542),N3542,0)+IF(ISNUMBER(P3542),P3542,0)))&lt;=Summary!$B$2),"Negative realized loss not applied - check sign",IF(R3542&lt;0,"Principal paid exceeds prior balance",IF(AND(L3542&gt;Q3542,NOT(ISNUMBER(P3542))),"Balance increased but no Deferred_interest reported",IF(L3542&gt;R3542,"Reported balance higher than expected (missing increase/OC build)","Reported balance lower than expected (missing decrease)"))))),""))</f>
        <v/>
      </c>
    </row>
    <row r="3543" customFormat="false" ht="15" hidden="false" customHeight="false" outlineLevel="0" collapsed="false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9"/>
      <c r="L3543" s="9"/>
      <c r="M3543" s="9"/>
      <c r="N3543" s="9"/>
      <c r="O3543" s="9"/>
      <c r="P3543" s="9"/>
      <c r="Q3543" s="9"/>
      <c r="R3543" s="9" t="str">
        <f aca="false">IF(AND(A3543&lt;&gt;"",ISNUMBER(Q3543),ISNUMBER(L3543)),ROUND(Q3543-IF(ISNUMBER(N3543),N3543,0)-IF(ISNUMBER(O3543),O3543,0)+IF(ISNUMBER(P3543),P3543,0),2),"")</f>
        <v/>
      </c>
      <c r="S3543" s="9" t="str">
        <f aca="false">IF(R3543="","",ROUND(L3543-R3543,2))</f>
        <v/>
      </c>
      <c r="T3543" s="8" t="str">
        <f aca="false">IF(A3543="","",IF(S3543="","BYPASS",IF(ABS(S3543)&lt;=Summary!$B$2,"PASS","FAIL")))</f>
        <v/>
      </c>
      <c r="U3543" s="8" t="str">
        <f aca="false">IF(T3543="BYPASS",IF(NOT(ISNUMBER(Q3543)),"PreV_ETB missing","End_tr_balance missing"),IF(T3543="FAIL",IF(AND(ISNUMBER(K3543),ISNUMBER(L3543),ABS(L3543-(K3543-IF(ISNUMBER(N3543),N3543,0)-IF(ISNUMBER(O3543),O3543,0)+IF(ISNUMBER(P3543),P3543,0)))&lt;=Summary!$B$2),"Passes using beginning_balance - PreV_ETB differs from beginning_balance",IF(AND(ISNUMBER(O3543),O3543&lt;0,ABS(L3543-(Q3543-IF(ISNUMBER(N3543),N3543,0)+IF(ISNUMBER(P3543),P3543,0)))&lt;=Summary!$B$2),"Negative realized loss not applied - check sign",IF(R3543&lt;0,"Principal paid exceeds prior balance",IF(AND(L3543&gt;Q3543,NOT(ISNUMBER(P3543))),"Balance increased but no Deferred_interest reported",IF(L3543&gt;R3543,"Reported balance higher than expected (missing increase/OC build)","Reported balance lower than expected (missing decrease)"))))),""))</f>
        <v/>
      </c>
    </row>
    <row r="3544" customFormat="false" ht="15" hidden="false" customHeight="false" outlineLevel="0" collapsed="false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9"/>
      <c r="L3544" s="9"/>
      <c r="M3544" s="9"/>
      <c r="N3544" s="9"/>
      <c r="O3544" s="9"/>
      <c r="P3544" s="9"/>
      <c r="Q3544" s="9"/>
      <c r="R3544" s="9" t="str">
        <f aca="false">IF(AND(A3544&lt;&gt;"",ISNUMBER(Q3544),ISNUMBER(L3544)),ROUND(Q3544-IF(ISNUMBER(N3544),N3544,0)-IF(ISNUMBER(O3544),O3544,0)+IF(ISNUMBER(P3544),P3544,0),2),"")</f>
        <v/>
      </c>
      <c r="S3544" s="9" t="str">
        <f aca="false">IF(R3544="","",ROUND(L3544-R3544,2))</f>
        <v/>
      </c>
      <c r="T3544" s="8" t="str">
        <f aca="false">IF(A3544="","",IF(S3544="","BYPASS",IF(ABS(S3544)&lt;=Summary!$B$2,"PASS","FAIL")))</f>
        <v/>
      </c>
      <c r="U3544" s="8" t="str">
        <f aca="false">IF(T3544="BYPASS",IF(NOT(ISNUMBER(Q3544)),"PreV_ETB missing","End_tr_balance missing"),IF(T3544="FAIL",IF(AND(ISNUMBER(K3544),ISNUMBER(L3544),ABS(L3544-(K3544-IF(ISNUMBER(N3544),N3544,0)-IF(ISNUMBER(O3544),O3544,0)+IF(ISNUMBER(P3544),P3544,0)))&lt;=Summary!$B$2),"Passes using beginning_balance - PreV_ETB differs from beginning_balance",IF(AND(ISNUMBER(O3544),O3544&lt;0,ABS(L3544-(Q3544-IF(ISNUMBER(N3544),N3544,0)+IF(ISNUMBER(P3544),P3544,0)))&lt;=Summary!$B$2),"Negative realized loss not applied - check sign",IF(R3544&lt;0,"Principal paid exceeds prior balance",IF(AND(L3544&gt;Q3544,NOT(ISNUMBER(P3544))),"Balance increased but no Deferred_interest reported",IF(L3544&gt;R3544,"Reported balance higher than expected (missing increase/OC build)","Reported balance lower than expected (missing decrease)"))))),""))</f>
        <v/>
      </c>
    </row>
    <row r="3545" customFormat="false" ht="15" hidden="false" customHeight="false" outlineLevel="0" collapsed="false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9"/>
      <c r="L3545" s="9"/>
      <c r="M3545" s="9"/>
      <c r="N3545" s="9"/>
      <c r="O3545" s="9"/>
      <c r="P3545" s="9"/>
      <c r="Q3545" s="9"/>
      <c r="R3545" s="9" t="str">
        <f aca="false">IF(AND(A3545&lt;&gt;"",ISNUMBER(Q3545),ISNUMBER(L3545)),ROUND(Q3545-IF(ISNUMBER(N3545),N3545,0)-IF(ISNUMBER(O3545),O3545,0)+IF(ISNUMBER(P3545),P3545,0),2),"")</f>
        <v/>
      </c>
      <c r="S3545" s="9" t="str">
        <f aca="false">IF(R3545="","",ROUND(L3545-R3545,2))</f>
        <v/>
      </c>
      <c r="T3545" s="8" t="str">
        <f aca="false">IF(A3545="","",IF(S3545="","BYPASS",IF(ABS(S3545)&lt;=Summary!$B$2,"PASS","FAIL")))</f>
        <v/>
      </c>
      <c r="U3545" s="8" t="str">
        <f aca="false">IF(T3545="BYPASS",IF(NOT(ISNUMBER(Q3545)),"PreV_ETB missing","End_tr_balance missing"),IF(T3545="FAIL",IF(AND(ISNUMBER(K3545),ISNUMBER(L3545),ABS(L3545-(K3545-IF(ISNUMBER(N3545),N3545,0)-IF(ISNUMBER(O3545),O3545,0)+IF(ISNUMBER(P3545),P3545,0)))&lt;=Summary!$B$2),"Passes using beginning_balance - PreV_ETB differs from beginning_balance",IF(AND(ISNUMBER(O3545),O3545&lt;0,ABS(L3545-(Q3545-IF(ISNUMBER(N3545),N3545,0)+IF(ISNUMBER(P3545),P3545,0)))&lt;=Summary!$B$2),"Negative realized loss not applied - check sign",IF(R3545&lt;0,"Principal paid exceeds prior balance",IF(AND(L3545&gt;Q3545,NOT(ISNUMBER(P3545))),"Balance increased but no Deferred_interest reported",IF(L3545&gt;R3545,"Reported balance higher than expected (missing increase/OC build)","Reported balance lower than expected (missing decrease)"))))),""))</f>
        <v/>
      </c>
    </row>
    <row r="3546" customFormat="false" ht="15" hidden="false" customHeight="false" outlineLevel="0" collapsed="false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9"/>
      <c r="L3546" s="9"/>
      <c r="M3546" s="9"/>
      <c r="N3546" s="9"/>
      <c r="O3546" s="9"/>
      <c r="P3546" s="9"/>
      <c r="Q3546" s="9"/>
      <c r="R3546" s="9" t="str">
        <f aca="false">IF(AND(A3546&lt;&gt;"",ISNUMBER(Q3546),ISNUMBER(L3546)),ROUND(Q3546-IF(ISNUMBER(N3546),N3546,0)-IF(ISNUMBER(O3546),O3546,0)+IF(ISNUMBER(P3546),P3546,0),2),"")</f>
        <v/>
      </c>
      <c r="S3546" s="9" t="str">
        <f aca="false">IF(R3546="","",ROUND(L3546-R3546,2))</f>
        <v/>
      </c>
      <c r="T3546" s="8" t="str">
        <f aca="false">IF(A3546="","",IF(S3546="","BYPASS",IF(ABS(S3546)&lt;=Summary!$B$2,"PASS","FAIL")))</f>
        <v/>
      </c>
      <c r="U3546" s="8" t="str">
        <f aca="false">IF(T3546="BYPASS",IF(NOT(ISNUMBER(Q3546)),"PreV_ETB missing","End_tr_balance missing"),IF(T3546="FAIL",IF(AND(ISNUMBER(K3546),ISNUMBER(L3546),ABS(L3546-(K3546-IF(ISNUMBER(N3546),N3546,0)-IF(ISNUMBER(O3546),O3546,0)+IF(ISNUMBER(P3546),P3546,0)))&lt;=Summary!$B$2),"Passes using beginning_balance - PreV_ETB differs from beginning_balance",IF(AND(ISNUMBER(O3546),O3546&lt;0,ABS(L3546-(Q3546-IF(ISNUMBER(N3546),N3546,0)+IF(ISNUMBER(P3546),P3546,0)))&lt;=Summary!$B$2),"Negative realized loss not applied - check sign",IF(R3546&lt;0,"Principal paid exceeds prior balance",IF(AND(L3546&gt;Q3546,NOT(ISNUMBER(P3546))),"Balance increased but no Deferred_interest reported",IF(L3546&gt;R3546,"Reported balance higher than expected (missing increase/OC build)","Reported balance lower than expected (missing decrease)"))))),""))</f>
        <v/>
      </c>
    </row>
    <row r="3547" customFormat="false" ht="15" hidden="false" customHeight="false" outlineLevel="0" collapsed="false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9"/>
      <c r="L3547" s="9"/>
      <c r="M3547" s="9"/>
      <c r="N3547" s="9"/>
      <c r="O3547" s="9"/>
      <c r="P3547" s="9"/>
      <c r="Q3547" s="9"/>
      <c r="R3547" s="9" t="str">
        <f aca="false">IF(AND(A3547&lt;&gt;"",ISNUMBER(Q3547),ISNUMBER(L3547)),ROUND(Q3547-IF(ISNUMBER(N3547),N3547,0)-IF(ISNUMBER(O3547),O3547,0)+IF(ISNUMBER(P3547),P3547,0),2),"")</f>
        <v/>
      </c>
      <c r="S3547" s="9" t="str">
        <f aca="false">IF(R3547="","",ROUND(L3547-R3547,2))</f>
        <v/>
      </c>
      <c r="T3547" s="8" t="str">
        <f aca="false">IF(A3547="","",IF(S3547="","BYPASS",IF(ABS(S3547)&lt;=Summary!$B$2,"PASS","FAIL")))</f>
        <v/>
      </c>
      <c r="U3547" s="8" t="str">
        <f aca="false">IF(T3547="BYPASS",IF(NOT(ISNUMBER(Q3547)),"PreV_ETB missing","End_tr_balance missing"),IF(T3547="FAIL",IF(AND(ISNUMBER(K3547),ISNUMBER(L3547),ABS(L3547-(K3547-IF(ISNUMBER(N3547),N3547,0)-IF(ISNUMBER(O3547),O3547,0)+IF(ISNUMBER(P3547),P3547,0)))&lt;=Summary!$B$2),"Passes using beginning_balance - PreV_ETB differs from beginning_balance",IF(AND(ISNUMBER(O3547),O3547&lt;0,ABS(L3547-(Q3547-IF(ISNUMBER(N3547),N3547,0)+IF(ISNUMBER(P3547),P3547,0)))&lt;=Summary!$B$2),"Negative realized loss not applied - check sign",IF(R3547&lt;0,"Principal paid exceeds prior balance",IF(AND(L3547&gt;Q3547,NOT(ISNUMBER(P3547))),"Balance increased but no Deferred_interest reported",IF(L3547&gt;R3547,"Reported balance higher than expected (missing increase/OC build)","Reported balance lower than expected (missing decrease)"))))),""))</f>
        <v/>
      </c>
    </row>
    <row r="3548" customFormat="false" ht="15" hidden="false" customHeight="false" outlineLevel="0" collapsed="false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9"/>
      <c r="L3548" s="9"/>
      <c r="M3548" s="9"/>
      <c r="N3548" s="9"/>
      <c r="O3548" s="9"/>
      <c r="P3548" s="9"/>
      <c r="Q3548" s="9"/>
      <c r="R3548" s="9" t="str">
        <f aca="false">IF(AND(A3548&lt;&gt;"",ISNUMBER(Q3548),ISNUMBER(L3548)),ROUND(Q3548-IF(ISNUMBER(N3548),N3548,0)-IF(ISNUMBER(O3548),O3548,0)+IF(ISNUMBER(P3548),P3548,0),2),"")</f>
        <v/>
      </c>
      <c r="S3548" s="9" t="str">
        <f aca="false">IF(R3548="","",ROUND(L3548-R3548,2))</f>
        <v/>
      </c>
      <c r="T3548" s="8" t="str">
        <f aca="false">IF(A3548="","",IF(S3548="","BYPASS",IF(ABS(S3548)&lt;=Summary!$B$2,"PASS","FAIL")))</f>
        <v/>
      </c>
      <c r="U3548" s="8" t="str">
        <f aca="false">IF(T3548="BYPASS",IF(NOT(ISNUMBER(Q3548)),"PreV_ETB missing","End_tr_balance missing"),IF(T3548="FAIL",IF(AND(ISNUMBER(K3548),ISNUMBER(L3548),ABS(L3548-(K3548-IF(ISNUMBER(N3548),N3548,0)-IF(ISNUMBER(O3548),O3548,0)+IF(ISNUMBER(P3548),P3548,0)))&lt;=Summary!$B$2),"Passes using beginning_balance - PreV_ETB differs from beginning_balance",IF(AND(ISNUMBER(O3548),O3548&lt;0,ABS(L3548-(Q3548-IF(ISNUMBER(N3548),N3548,0)+IF(ISNUMBER(P3548),P3548,0)))&lt;=Summary!$B$2),"Negative realized loss not applied - check sign",IF(R3548&lt;0,"Principal paid exceeds prior balance",IF(AND(L3548&gt;Q3548,NOT(ISNUMBER(P3548))),"Balance increased but no Deferred_interest reported",IF(L3548&gt;R3548,"Reported balance higher than expected (missing increase/OC build)","Reported balance lower than expected (missing decrease)"))))),""))</f>
        <v/>
      </c>
    </row>
    <row r="3549" customFormat="false" ht="15" hidden="false" customHeight="false" outlineLevel="0" collapsed="false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9"/>
      <c r="L3549" s="9"/>
      <c r="M3549" s="9"/>
      <c r="N3549" s="9"/>
      <c r="O3549" s="9"/>
      <c r="P3549" s="9"/>
      <c r="Q3549" s="9"/>
      <c r="R3549" s="9" t="str">
        <f aca="false">IF(AND(A3549&lt;&gt;"",ISNUMBER(Q3549),ISNUMBER(L3549)),ROUND(Q3549-IF(ISNUMBER(N3549),N3549,0)-IF(ISNUMBER(O3549),O3549,0)+IF(ISNUMBER(P3549),P3549,0),2),"")</f>
        <v/>
      </c>
      <c r="S3549" s="9" t="str">
        <f aca="false">IF(R3549="","",ROUND(L3549-R3549,2))</f>
        <v/>
      </c>
      <c r="T3549" s="8" t="str">
        <f aca="false">IF(A3549="","",IF(S3549="","BYPASS",IF(ABS(S3549)&lt;=Summary!$B$2,"PASS","FAIL")))</f>
        <v/>
      </c>
      <c r="U3549" s="8" t="str">
        <f aca="false">IF(T3549="BYPASS",IF(NOT(ISNUMBER(Q3549)),"PreV_ETB missing","End_tr_balance missing"),IF(T3549="FAIL",IF(AND(ISNUMBER(K3549),ISNUMBER(L3549),ABS(L3549-(K3549-IF(ISNUMBER(N3549),N3549,0)-IF(ISNUMBER(O3549),O3549,0)+IF(ISNUMBER(P3549),P3549,0)))&lt;=Summary!$B$2),"Passes using beginning_balance - PreV_ETB differs from beginning_balance",IF(AND(ISNUMBER(O3549),O3549&lt;0,ABS(L3549-(Q3549-IF(ISNUMBER(N3549),N3549,0)+IF(ISNUMBER(P3549),P3549,0)))&lt;=Summary!$B$2),"Negative realized loss not applied - check sign",IF(R3549&lt;0,"Principal paid exceeds prior balance",IF(AND(L3549&gt;Q3549,NOT(ISNUMBER(P3549))),"Balance increased but no Deferred_interest reported",IF(L3549&gt;R3549,"Reported balance higher than expected (missing increase/OC build)","Reported balance lower than expected (missing decrease)"))))),""))</f>
        <v/>
      </c>
    </row>
    <row r="3550" customFormat="false" ht="15" hidden="false" customHeight="false" outlineLevel="0" collapsed="false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9"/>
      <c r="L3550" s="9"/>
      <c r="M3550" s="9"/>
      <c r="N3550" s="9"/>
      <c r="O3550" s="9"/>
      <c r="P3550" s="9"/>
      <c r="Q3550" s="9"/>
      <c r="R3550" s="9" t="str">
        <f aca="false">IF(AND(A3550&lt;&gt;"",ISNUMBER(Q3550),ISNUMBER(L3550)),ROUND(Q3550-IF(ISNUMBER(N3550),N3550,0)-IF(ISNUMBER(O3550),O3550,0)+IF(ISNUMBER(P3550),P3550,0),2),"")</f>
        <v/>
      </c>
      <c r="S3550" s="9" t="str">
        <f aca="false">IF(R3550="","",ROUND(L3550-R3550,2))</f>
        <v/>
      </c>
      <c r="T3550" s="8" t="str">
        <f aca="false">IF(A3550="","",IF(S3550="","BYPASS",IF(ABS(S3550)&lt;=Summary!$B$2,"PASS","FAIL")))</f>
        <v/>
      </c>
      <c r="U3550" s="8" t="str">
        <f aca="false">IF(T3550="BYPASS",IF(NOT(ISNUMBER(Q3550)),"PreV_ETB missing","End_tr_balance missing"),IF(T3550="FAIL",IF(AND(ISNUMBER(K3550),ISNUMBER(L3550),ABS(L3550-(K3550-IF(ISNUMBER(N3550),N3550,0)-IF(ISNUMBER(O3550),O3550,0)+IF(ISNUMBER(P3550),P3550,0)))&lt;=Summary!$B$2),"Passes using beginning_balance - PreV_ETB differs from beginning_balance",IF(AND(ISNUMBER(O3550),O3550&lt;0,ABS(L3550-(Q3550-IF(ISNUMBER(N3550),N3550,0)+IF(ISNUMBER(P3550),P3550,0)))&lt;=Summary!$B$2),"Negative realized loss not applied - check sign",IF(R3550&lt;0,"Principal paid exceeds prior balance",IF(AND(L3550&gt;Q3550,NOT(ISNUMBER(P3550))),"Balance increased but no Deferred_interest reported",IF(L3550&gt;R3550,"Reported balance higher than expected (missing increase/OC build)","Reported balance lower than expected (missing decrease)"))))),""))</f>
        <v/>
      </c>
    </row>
    <row r="3551" customFormat="false" ht="15" hidden="false" customHeight="false" outlineLevel="0" collapsed="false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9"/>
      <c r="L3551" s="9"/>
      <c r="M3551" s="9"/>
      <c r="N3551" s="9"/>
      <c r="O3551" s="9"/>
      <c r="P3551" s="9"/>
      <c r="Q3551" s="9"/>
      <c r="R3551" s="9" t="str">
        <f aca="false">IF(AND(A3551&lt;&gt;"",ISNUMBER(Q3551),ISNUMBER(L3551)),ROUND(Q3551-IF(ISNUMBER(N3551),N3551,0)-IF(ISNUMBER(O3551),O3551,0)+IF(ISNUMBER(P3551),P3551,0),2),"")</f>
        <v/>
      </c>
      <c r="S3551" s="9" t="str">
        <f aca="false">IF(R3551="","",ROUND(L3551-R3551,2))</f>
        <v/>
      </c>
      <c r="T3551" s="8" t="str">
        <f aca="false">IF(A3551="","",IF(S3551="","BYPASS",IF(ABS(S3551)&lt;=Summary!$B$2,"PASS","FAIL")))</f>
        <v/>
      </c>
      <c r="U3551" s="8" t="str">
        <f aca="false">IF(T3551="BYPASS",IF(NOT(ISNUMBER(Q3551)),"PreV_ETB missing","End_tr_balance missing"),IF(T3551="FAIL",IF(AND(ISNUMBER(K3551),ISNUMBER(L3551),ABS(L3551-(K3551-IF(ISNUMBER(N3551),N3551,0)-IF(ISNUMBER(O3551),O3551,0)+IF(ISNUMBER(P3551),P3551,0)))&lt;=Summary!$B$2),"Passes using beginning_balance - PreV_ETB differs from beginning_balance",IF(AND(ISNUMBER(O3551),O3551&lt;0,ABS(L3551-(Q3551-IF(ISNUMBER(N3551),N3551,0)+IF(ISNUMBER(P3551),P3551,0)))&lt;=Summary!$B$2),"Negative realized loss not applied - check sign",IF(R3551&lt;0,"Principal paid exceeds prior balance",IF(AND(L3551&gt;Q3551,NOT(ISNUMBER(P3551))),"Balance increased but no Deferred_interest reported",IF(L3551&gt;R3551,"Reported balance higher than expected (missing increase/OC build)","Reported balance lower than expected (missing decrease)"))))),""))</f>
        <v/>
      </c>
    </row>
    <row r="3552" customFormat="false" ht="15" hidden="false" customHeight="false" outlineLevel="0" collapsed="false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9"/>
      <c r="L3552" s="9"/>
      <c r="M3552" s="9"/>
      <c r="N3552" s="9"/>
      <c r="O3552" s="9"/>
      <c r="P3552" s="9"/>
      <c r="Q3552" s="9"/>
      <c r="R3552" s="9" t="str">
        <f aca="false">IF(AND(A3552&lt;&gt;"",ISNUMBER(Q3552),ISNUMBER(L3552)),ROUND(Q3552-IF(ISNUMBER(N3552),N3552,0)-IF(ISNUMBER(O3552),O3552,0)+IF(ISNUMBER(P3552),P3552,0),2),"")</f>
        <v/>
      </c>
      <c r="S3552" s="9" t="str">
        <f aca="false">IF(R3552="","",ROUND(L3552-R3552,2))</f>
        <v/>
      </c>
      <c r="T3552" s="8" t="str">
        <f aca="false">IF(A3552="","",IF(S3552="","BYPASS",IF(ABS(S3552)&lt;=Summary!$B$2,"PASS","FAIL")))</f>
        <v/>
      </c>
      <c r="U3552" s="8" t="str">
        <f aca="false">IF(T3552="BYPASS",IF(NOT(ISNUMBER(Q3552)),"PreV_ETB missing","End_tr_balance missing"),IF(T3552="FAIL",IF(AND(ISNUMBER(K3552),ISNUMBER(L3552),ABS(L3552-(K3552-IF(ISNUMBER(N3552),N3552,0)-IF(ISNUMBER(O3552),O3552,0)+IF(ISNUMBER(P3552),P3552,0)))&lt;=Summary!$B$2),"Passes using beginning_balance - PreV_ETB differs from beginning_balance",IF(AND(ISNUMBER(O3552),O3552&lt;0,ABS(L3552-(Q3552-IF(ISNUMBER(N3552),N3552,0)+IF(ISNUMBER(P3552),P3552,0)))&lt;=Summary!$B$2),"Negative realized loss not applied - check sign",IF(R3552&lt;0,"Principal paid exceeds prior balance",IF(AND(L3552&gt;Q3552,NOT(ISNUMBER(P3552))),"Balance increased but no Deferred_interest reported",IF(L3552&gt;R3552,"Reported balance higher than expected (missing increase/OC build)","Reported balance lower than expected (missing decrease)"))))),""))</f>
        <v/>
      </c>
    </row>
    <row r="3553" customFormat="false" ht="15" hidden="false" customHeight="false" outlineLevel="0" collapsed="false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9"/>
      <c r="L3553" s="9"/>
      <c r="M3553" s="9"/>
      <c r="N3553" s="9"/>
      <c r="O3553" s="9"/>
      <c r="P3553" s="9"/>
      <c r="Q3553" s="9"/>
      <c r="R3553" s="9" t="str">
        <f aca="false">IF(AND(A3553&lt;&gt;"",ISNUMBER(Q3553),ISNUMBER(L3553)),ROUND(Q3553-IF(ISNUMBER(N3553),N3553,0)-IF(ISNUMBER(O3553),O3553,0)+IF(ISNUMBER(P3553),P3553,0),2),"")</f>
        <v/>
      </c>
      <c r="S3553" s="9" t="str">
        <f aca="false">IF(R3553="","",ROUND(L3553-R3553,2))</f>
        <v/>
      </c>
      <c r="T3553" s="8" t="str">
        <f aca="false">IF(A3553="","",IF(S3553="","BYPASS",IF(ABS(S3553)&lt;=Summary!$B$2,"PASS","FAIL")))</f>
        <v/>
      </c>
      <c r="U3553" s="8" t="str">
        <f aca="false">IF(T3553="BYPASS",IF(NOT(ISNUMBER(Q3553)),"PreV_ETB missing","End_tr_balance missing"),IF(T3553="FAIL",IF(AND(ISNUMBER(K3553),ISNUMBER(L3553),ABS(L3553-(K3553-IF(ISNUMBER(N3553),N3553,0)-IF(ISNUMBER(O3553),O3553,0)+IF(ISNUMBER(P3553),P3553,0)))&lt;=Summary!$B$2),"Passes using beginning_balance - PreV_ETB differs from beginning_balance",IF(AND(ISNUMBER(O3553),O3553&lt;0,ABS(L3553-(Q3553-IF(ISNUMBER(N3553),N3553,0)+IF(ISNUMBER(P3553),P3553,0)))&lt;=Summary!$B$2),"Negative realized loss not applied - check sign",IF(R3553&lt;0,"Principal paid exceeds prior balance",IF(AND(L3553&gt;Q3553,NOT(ISNUMBER(P3553))),"Balance increased but no Deferred_interest reported",IF(L3553&gt;R3553,"Reported balance higher than expected (missing increase/OC build)","Reported balance lower than expected (missing decrease)"))))),""))</f>
        <v/>
      </c>
    </row>
    <row r="3554" customFormat="false" ht="15" hidden="false" customHeight="false" outlineLevel="0" collapsed="false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9"/>
      <c r="L3554" s="9"/>
      <c r="M3554" s="9"/>
      <c r="N3554" s="9"/>
      <c r="O3554" s="9"/>
      <c r="P3554" s="9"/>
      <c r="Q3554" s="9"/>
      <c r="R3554" s="9" t="str">
        <f aca="false">IF(AND(A3554&lt;&gt;"",ISNUMBER(Q3554),ISNUMBER(L3554)),ROUND(Q3554-IF(ISNUMBER(N3554),N3554,0)-IF(ISNUMBER(O3554),O3554,0)+IF(ISNUMBER(P3554),P3554,0),2),"")</f>
        <v/>
      </c>
      <c r="S3554" s="9" t="str">
        <f aca="false">IF(R3554="","",ROUND(L3554-R3554,2))</f>
        <v/>
      </c>
      <c r="T3554" s="8" t="str">
        <f aca="false">IF(A3554="","",IF(S3554="","BYPASS",IF(ABS(S3554)&lt;=Summary!$B$2,"PASS","FAIL")))</f>
        <v/>
      </c>
      <c r="U3554" s="8" t="str">
        <f aca="false">IF(T3554="BYPASS",IF(NOT(ISNUMBER(Q3554)),"PreV_ETB missing","End_tr_balance missing"),IF(T3554="FAIL",IF(AND(ISNUMBER(K3554),ISNUMBER(L3554),ABS(L3554-(K3554-IF(ISNUMBER(N3554),N3554,0)-IF(ISNUMBER(O3554),O3554,0)+IF(ISNUMBER(P3554),P3554,0)))&lt;=Summary!$B$2),"Passes using beginning_balance - PreV_ETB differs from beginning_balance",IF(AND(ISNUMBER(O3554),O3554&lt;0,ABS(L3554-(Q3554-IF(ISNUMBER(N3554),N3554,0)+IF(ISNUMBER(P3554),P3554,0)))&lt;=Summary!$B$2),"Negative realized loss not applied - check sign",IF(R3554&lt;0,"Principal paid exceeds prior balance",IF(AND(L3554&gt;Q3554,NOT(ISNUMBER(P3554))),"Balance increased but no Deferred_interest reported",IF(L3554&gt;R3554,"Reported balance higher than expected (missing increase/OC build)","Reported balance lower than expected (missing decrease)"))))),""))</f>
        <v/>
      </c>
    </row>
    <row r="3555" customFormat="false" ht="15" hidden="false" customHeight="false" outlineLevel="0" collapsed="false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9"/>
      <c r="L3555" s="9"/>
      <c r="M3555" s="9"/>
      <c r="N3555" s="9"/>
      <c r="O3555" s="9"/>
      <c r="P3555" s="9"/>
      <c r="Q3555" s="9"/>
      <c r="R3555" s="9" t="str">
        <f aca="false">IF(AND(A3555&lt;&gt;"",ISNUMBER(Q3555),ISNUMBER(L3555)),ROUND(Q3555-IF(ISNUMBER(N3555),N3555,0)-IF(ISNUMBER(O3555),O3555,0)+IF(ISNUMBER(P3555),P3555,0),2),"")</f>
        <v/>
      </c>
      <c r="S3555" s="9" t="str">
        <f aca="false">IF(R3555="","",ROUND(L3555-R3555,2))</f>
        <v/>
      </c>
      <c r="T3555" s="8" t="str">
        <f aca="false">IF(A3555="","",IF(S3555="","BYPASS",IF(ABS(S3555)&lt;=Summary!$B$2,"PASS","FAIL")))</f>
        <v/>
      </c>
      <c r="U3555" s="8" t="str">
        <f aca="false">IF(T3555="BYPASS",IF(NOT(ISNUMBER(Q3555)),"PreV_ETB missing","End_tr_balance missing"),IF(T3555="FAIL",IF(AND(ISNUMBER(K3555),ISNUMBER(L3555),ABS(L3555-(K3555-IF(ISNUMBER(N3555),N3555,0)-IF(ISNUMBER(O3555),O3555,0)+IF(ISNUMBER(P3555),P3555,0)))&lt;=Summary!$B$2),"Passes using beginning_balance - PreV_ETB differs from beginning_balance",IF(AND(ISNUMBER(O3555),O3555&lt;0,ABS(L3555-(Q3555-IF(ISNUMBER(N3555),N3555,0)+IF(ISNUMBER(P3555),P3555,0)))&lt;=Summary!$B$2),"Negative realized loss not applied - check sign",IF(R3555&lt;0,"Principal paid exceeds prior balance",IF(AND(L3555&gt;Q3555,NOT(ISNUMBER(P3555))),"Balance increased but no Deferred_interest reported",IF(L3555&gt;R3555,"Reported balance higher than expected (missing increase/OC build)","Reported balance lower than expected (missing decrease)"))))),""))</f>
        <v/>
      </c>
    </row>
    <row r="3556" customFormat="false" ht="15" hidden="false" customHeight="false" outlineLevel="0" collapsed="false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9"/>
      <c r="L3556" s="9"/>
      <c r="M3556" s="9"/>
      <c r="N3556" s="9"/>
      <c r="O3556" s="9"/>
      <c r="P3556" s="9"/>
      <c r="Q3556" s="9"/>
      <c r="R3556" s="9" t="str">
        <f aca="false">IF(AND(A3556&lt;&gt;"",ISNUMBER(Q3556),ISNUMBER(L3556)),ROUND(Q3556-IF(ISNUMBER(N3556),N3556,0)-IF(ISNUMBER(O3556),O3556,0)+IF(ISNUMBER(P3556),P3556,0),2),"")</f>
        <v/>
      </c>
      <c r="S3556" s="9" t="str">
        <f aca="false">IF(R3556="","",ROUND(L3556-R3556,2))</f>
        <v/>
      </c>
      <c r="T3556" s="8" t="str">
        <f aca="false">IF(A3556="","",IF(S3556="","BYPASS",IF(ABS(S3556)&lt;=Summary!$B$2,"PASS","FAIL")))</f>
        <v/>
      </c>
      <c r="U3556" s="8" t="str">
        <f aca="false">IF(T3556="BYPASS",IF(NOT(ISNUMBER(Q3556)),"PreV_ETB missing","End_tr_balance missing"),IF(T3556="FAIL",IF(AND(ISNUMBER(K3556),ISNUMBER(L3556),ABS(L3556-(K3556-IF(ISNUMBER(N3556),N3556,0)-IF(ISNUMBER(O3556),O3556,0)+IF(ISNUMBER(P3556),P3556,0)))&lt;=Summary!$B$2),"Passes using beginning_balance - PreV_ETB differs from beginning_balance",IF(AND(ISNUMBER(O3556),O3556&lt;0,ABS(L3556-(Q3556-IF(ISNUMBER(N3556),N3556,0)+IF(ISNUMBER(P3556),P3556,0)))&lt;=Summary!$B$2),"Negative realized loss not applied - check sign",IF(R3556&lt;0,"Principal paid exceeds prior balance",IF(AND(L3556&gt;Q3556,NOT(ISNUMBER(P3556))),"Balance increased but no Deferred_interest reported",IF(L3556&gt;R3556,"Reported balance higher than expected (missing increase/OC build)","Reported balance lower than expected (missing decrease)"))))),""))</f>
        <v/>
      </c>
    </row>
    <row r="3557" customFormat="false" ht="15" hidden="false" customHeight="false" outlineLevel="0" collapsed="false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9"/>
      <c r="L3557" s="9"/>
      <c r="M3557" s="9"/>
      <c r="N3557" s="9"/>
      <c r="O3557" s="9"/>
      <c r="P3557" s="9"/>
      <c r="Q3557" s="9"/>
      <c r="R3557" s="9" t="str">
        <f aca="false">IF(AND(A3557&lt;&gt;"",ISNUMBER(Q3557),ISNUMBER(L3557)),ROUND(Q3557-IF(ISNUMBER(N3557),N3557,0)-IF(ISNUMBER(O3557),O3557,0)+IF(ISNUMBER(P3557),P3557,0),2),"")</f>
        <v/>
      </c>
      <c r="S3557" s="9" t="str">
        <f aca="false">IF(R3557="","",ROUND(L3557-R3557,2))</f>
        <v/>
      </c>
      <c r="T3557" s="8" t="str">
        <f aca="false">IF(A3557="","",IF(S3557="","BYPASS",IF(ABS(S3557)&lt;=Summary!$B$2,"PASS","FAIL")))</f>
        <v/>
      </c>
      <c r="U3557" s="8" t="str">
        <f aca="false">IF(T3557="BYPASS",IF(NOT(ISNUMBER(Q3557)),"PreV_ETB missing","End_tr_balance missing"),IF(T3557="FAIL",IF(AND(ISNUMBER(K3557),ISNUMBER(L3557),ABS(L3557-(K3557-IF(ISNUMBER(N3557),N3557,0)-IF(ISNUMBER(O3557),O3557,0)+IF(ISNUMBER(P3557),P3557,0)))&lt;=Summary!$B$2),"Passes using beginning_balance - PreV_ETB differs from beginning_balance",IF(AND(ISNUMBER(O3557),O3557&lt;0,ABS(L3557-(Q3557-IF(ISNUMBER(N3557),N3557,0)+IF(ISNUMBER(P3557),P3557,0)))&lt;=Summary!$B$2),"Negative realized loss not applied - check sign",IF(R3557&lt;0,"Principal paid exceeds prior balance",IF(AND(L3557&gt;Q3557,NOT(ISNUMBER(P3557))),"Balance increased but no Deferred_interest reported",IF(L3557&gt;R3557,"Reported balance higher than expected (missing increase/OC build)","Reported balance lower than expected (missing decrease)"))))),""))</f>
        <v/>
      </c>
    </row>
    <row r="3558" customFormat="false" ht="15" hidden="false" customHeight="false" outlineLevel="0" collapsed="false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9"/>
      <c r="L3558" s="9"/>
      <c r="M3558" s="9"/>
      <c r="N3558" s="9"/>
      <c r="O3558" s="9"/>
      <c r="P3558" s="9"/>
      <c r="Q3558" s="9"/>
      <c r="R3558" s="9" t="str">
        <f aca="false">IF(AND(A3558&lt;&gt;"",ISNUMBER(Q3558),ISNUMBER(L3558)),ROUND(Q3558-IF(ISNUMBER(N3558),N3558,0)-IF(ISNUMBER(O3558),O3558,0)+IF(ISNUMBER(P3558),P3558,0),2),"")</f>
        <v/>
      </c>
      <c r="S3558" s="9" t="str">
        <f aca="false">IF(R3558="","",ROUND(L3558-R3558,2))</f>
        <v/>
      </c>
      <c r="T3558" s="8" t="str">
        <f aca="false">IF(A3558="","",IF(S3558="","BYPASS",IF(ABS(S3558)&lt;=Summary!$B$2,"PASS","FAIL")))</f>
        <v/>
      </c>
      <c r="U3558" s="8" t="str">
        <f aca="false">IF(T3558="BYPASS",IF(NOT(ISNUMBER(Q3558)),"PreV_ETB missing","End_tr_balance missing"),IF(T3558="FAIL",IF(AND(ISNUMBER(K3558),ISNUMBER(L3558),ABS(L3558-(K3558-IF(ISNUMBER(N3558),N3558,0)-IF(ISNUMBER(O3558),O3558,0)+IF(ISNUMBER(P3558),P3558,0)))&lt;=Summary!$B$2),"Passes using beginning_balance - PreV_ETB differs from beginning_balance",IF(AND(ISNUMBER(O3558),O3558&lt;0,ABS(L3558-(Q3558-IF(ISNUMBER(N3558),N3558,0)+IF(ISNUMBER(P3558),P3558,0)))&lt;=Summary!$B$2),"Negative realized loss not applied - check sign",IF(R3558&lt;0,"Principal paid exceeds prior balance",IF(AND(L3558&gt;Q3558,NOT(ISNUMBER(P3558))),"Balance increased but no Deferred_interest reported",IF(L3558&gt;R3558,"Reported balance higher than expected (missing increase/OC build)","Reported balance lower than expected (missing decrease)"))))),""))</f>
        <v/>
      </c>
    </row>
    <row r="3559" customFormat="false" ht="15" hidden="false" customHeight="false" outlineLevel="0" collapsed="false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9"/>
      <c r="L3559" s="9"/>
      <c r="M3559" s="9"/>
      <c r="N3559" s="9"/>
      <c r="O3559" s="9"/>
      <c r="P3559" s="9"/>
      <c r="Q3559" s="9"/>
      <c r="R3559" s="9" t="str">
        <f aca="false">IF(AND(A3559&lt;&gt;"",ISNUMBER(Q3559),ISNUMBER(L3559)),ROUND(Q3559-IF(ISNUMBER(N3559),N3559,0)-IF(ISNUMBER(O3559),O3559,0)+IF(ISNUMBER(P3559),P3559,0),2),"")</f>
        <v/>
      </c>
      <c r="S3559" s="9" t="str">
        <f aca="false">IF(R3559="","",ROUND(L3559-R3559,2))</f>
        <v/>
      </c>
      <c r="T3559" s="8" t="str">
        <f aca="false">IF(A3559="","",IF(S3559="","BYPASS",IF(ABS(S3559)&lt;=Summary!$B$2,"PASS","FAIL")))</f>
        <v/>
      </c>
      <c r="U3559" s="8" t="str">
        <f aca="false">IF(T3559="BYPASS",IF(NOT(ISNUMBER(Q3559)),"PreV_ETB missing","End_tr_balance missing"),IF(T3559="FAIL",IF(AND(ISNUMBER(K3559),ISNUMBER(L3559),ABS(L3559-(K3559-IF(ISNUMBER(N3559),N3559,0)-IF(ISNUMBER(O3559),O3559,0)+IF(ISNUMBER(P3559),P3559,0)))&lt;=Summary!$B$2),"Passes using beginning_balance - PreV_ETB differs from beginning_balance",IF(AND(ISNUMBER(O3559),O3559&lt;0,ABS(L3559-(Q3559-IF(ISNUMBER(N3559),N3559,0)+IF(ISNUMBER(P3559),P3559,0)))&lt;=Summary!$B$2),"Negative realized loss not applied - check sign",IF(R3559&lt;0,"Principal paid exceeds prior balance",IF(AND(L3559&gt;Q3559,NOT(ISNUMBER(P3559))),"Balance increased but no Deferred_interest reported",IF(L3559&gt;R3559,"Reported balance higher than expected (missing increase/OC build)","Reported balance lower than expected (missing decrease)"))))),""))</f>
        <v/>
      </c>
    </row>
    <row r="3560" customFormat="false" ht="15" hidden="false" customHeight="false" outlineLevel="0" collapsed="false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9"/>
      <c r="L3560" s="9"/>
      <c r="M3560" s="9"/>
      <c r="N3560" s="9"/>
      <c r="O3560" s="9"/>
      <c r="P3560" s="9"/>
      <c r="Q3560" s="9"/>
      <c r="R3560" s="9" t="str">
        <f aca="false">IF(AND(A3560&lt;&gt;"",ISNUMBER(Q3560),ISNUMBER(L3560)),ROUND(Q3560-IF(ISNUMBER(N3560),N3560,0)-IF(ISNUMBER(O3560),O3560,0)+IF(ISNUMBER(P3560),P3560,0),2),"")</f>
        <v/>
      </c>
      <c r="S3560" s="9" t="str">
        <f aca="false">IF(R3560="","",ROUND(L3560-R3560,2))</f>
        <v/>
      </c>
      <c r="T3560" s="8" t="str">
        <f aca="false">IF(A3560="","",IF(S3560="","BYPASS",IF(ABS(S3560)&lt;=Summary!$B$2,"PASS","FAIL")))</f>
        <v/>
      </c>
      <c r="U3560" s="8" t="str">
        <f aca="false">IF(T3560="BYPASS",IF(NOT(ISNUMBER(Q3560)),"PreV_ETB missing","End_tr_balance missing"),IF(T3560="FAIL",IF(AND(ISNUMBER(K3560),ISNUMBER(L3560),ABS(L3560-(K3560-IF(ISNUMBER(N3560),N3560,0)-IF(ISNUMBER(O3560),O3560,0)+IF(ISNUMBER(P3560),P3560,0)))&lt;=Summary!$B$2),"Passes using beginning_balance - PreV_ETB differs from beginning_balance",IF(AND(ISNUMBER(O3560),O3560&lt;0,ABS(L3560-(Q3560-IF(ISNUMBER(N3560),N3560,0)+IF(ISNUMBER(P3560),P3560,0)))&lt;=Summary!$B$2),"Negative realized loss not applied - check sign",IF(R3560&lt;0,"Principal paid exceeds prior balance",IF(AND(L3560&gt;Q3560,NOT(ISNUMBER(P3560))),"Balance increased but no Deferred_interest reported",IF(L3560&gt;R3560,"Reported balance higher than expected (missing increase/OC build)","Reported balance lower than expected (missing decrease)"))))),""))</f>
        <v/>
      </c>
    </row>
    <row r="3561" customFormat="false" ht="15" hidden="false" customHeight="false" outlineLevel="0" collapsed="false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9"/>
      <c r="L3561" s="9"/>
      <c r="M3561" s="9"/>
      <c r="N3561" s="9"/>
      <c r="O3561" s="9"/>
      <c r="P3561" s="9"/>
      <c r="Q3561" s="9"/>
      <c r="R3561" s="9" t="str">
        <f aca="false">IF(AND(A3561&lt;&gt;"",ISNUMBER(Q3561),ISNUMBER(L3561)),ROUND(Q3561-IF(ISNUMBER(N3561),N3561,0)-IF(ISNUMBER(O3561),O3561,0)+IF(ISNUMBER(P3561),P3561,0),2),"")</f>
        <v/>
      </c>
      <c r="S3561" s="9" t="str">
        <f aca="false">IF(R3561="","",ROUND(L3561-R3561,2))</f>
        <v/>
      </c>
      <c r="T3561" s="8" t="str">
        <f aca="false">IF(A3561="","",IF(S3561="","BYPASS",IF(ABS(S3561)&lt;=Summary!$B$2,"PASS","FAIL")))</f>
        <v/>
      </c>
      <c r="U3561" s="8" t="str">
        <f aca="false">IF(T3561="BYPASS",IF(NOT(ISNUMBER(Q3561)),"PreV_ETB missing","End_tr_balance missing"),IF(T3561="FAIL",IF(AND(ISNUMBER(K3561),ISNUMBER(L3561),ABS(L3561-(K3561-IF(ISNUMBER(N3561),N3561,0)-IF(ISNUMBER(O3561),O3561,0)+IF(ISNUMBER(P3561),P3561,0)))&lt;=Summary!$B$2),"Passes using beginning_balance - PreV_ETB differs from beginning_balance",IF(AND(ISNUMBER(O3561),O3561&lt;0,ABS(L3561-(Q3561-IF(ISNUMBER(N3561),N3561,0)+IF(ISNUMBER(P3561),P3561,0)))&lt;=Summary!$B$2),"Negative realized loss not applied - check sign",IF(R3561&lt;0,"Principal paid exceeds prior balance",IF(AND(L3561&gt;Q3561,NOT(ISNUMBER(P3561))),"Balance increased but no Deferred_interest reported",IF(L3561&gt;R3561,"Reported balance higher than expected (missing increase/OC build)","Reported balance lower than expected (missing decrease)"))))),""))</f>
        <v/>
      </c>
    </row>
    <row r="3562" customFormat="false" ht="15" hidden="false" customHeight="false" outlineLevel="0" collapsed="false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9"/>
      <c r="L3562" s="9"/>
      <c r="M3562" s="9"/>
      <c r="N3562" s="9"/>
      <c r="O3562" s="9"/>
      <c r="P3562" s="9"/>
      <c r="Q3562" s="9"/>
      <c r="R3562" s="9" t="str">
        <f aca="false">IF(AND(A3562&lt;&gt;"",ISNUMBER(Q3562),ISNUMBER(L3562)),ROUND(Q3562-IF(ISNUMBER(N3562),N3562,0)-IF(ISNUMBER(O3562),O3562,0)+IF(ISNUMBER(P3562),P3562,0),2),"")</f>
        <v/>
      </c>
      <c r="S3562" s="9" t="str">
        <f aca="false">IF(R3562="","",ROUND(L3562-R3562,2))</f>
        <v/>
      </c>
      <c r="T3562" s="8" t="str">
        <f aca="false">IF(A3562="","",IF(S3562="","BYPASS",IF(ABS(S3562)&lt;=Summary!$B$2,"PASS","FAIL")))</f>
        <v/>
      </c>
      <c r="U3562" s="8" t="str">
        <f aca="false">IF(T3562="BYPASS",IF(NOT(ISNUMBER(Q3562)),"PreV_ETB missing","End_tr_balance missing"),IF(T3562="FAIL",IF(AND(ISNUMBER(K3562),ISNUMBER(L3562),ABS(L3562-(K3562-IF(ISNUMBER(N3562),N3562,0)-IF(ISNUMBER(O3562),O3562,0)+IF(ISNUMBER(P3562),P3562,0)))&lt;=Summary!$B$2),"Passes using beginning_balance - PreV_ETB differs from beginning_balance",IF(AND(ISNUMBER(O3562),O3562&lt;0,ABS(L3562-(Q3562-IF(ISNUMBER(N3562),N3562,0)+IF(ISNUMBER(P3562),P3562,0)))&lt;=Summary!$B$2),"Negative realized loss not applied - check sign",IF(R3562&lt;0,"Principal paid exceeds prior balance",IF(AND(L3562&gt;Q3562,NOT(ISNUMBER(P3562))),"Balance increased but no Deferred_interest reported",IF(L3562&gt;R3562,"Reported balance higher than expected (missing increase/OC build)","Reported balance lower than expected (missing decrease)"))))),""))</f>
        <v/>
      </c>
    </row>
    <row r="3563" customFormat="false" ht="15" hidden="false" customHeight="false" outlineLevel="0" collapsed="false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9"/>
      <c r="L3563" s="9"/>
      <c r="M3563" s="9"/>
      <c r="N3563" s="9"/>
      <c r="O3563" s="9"/>
      <c r="P3563" s="9"/>
      <c r="Q3563" s="9"/>
      <c r="R3563" s="9" t="str">
        <f aca="false">IF(AND(A3563&lt;&gt;"",ISNUMBER(Q3563),ISNUMBER(L3563)),ROUND(Q3563-IF(ISNUMBER(N3563),N3563,0)-IF(ISNUMBER(O3563),O3563,0)+IF(ISNUMBER(P3563),P3563,0),2),"")</f>
        <v/>
      </c>
      <c r="S3563" s="9" t="str">
        <f aca="false">IF(R3563="","",ROUND(L3563-R3563,2))</f>
        <v/>
      </c>
      <c r="T3563" s="8" t="str">
        <f aca="false">IF(A3563="","",IF(S3563="","BYPASS",IF(ABS(S3563)&lt;=Summary!$B$2,"PASS","FAIL")))</f>
        <v/>
      </c>
      <c r="U3563" s="8" t="str">
        <f aca="false">IF(T3563="BYPASS",IF(NOT(ISNUMBER(Q3563)),"PreV_ETB missing","End_tr_balance missing"),IF(T3563="FAIL",IF(AND(ISNUMBER(K3563),ISNUMBER(L3563),ABS(L3563-(K3563-IF(ISNUMBER(N3563),N3563,0)-IF(ISNUMBER(O3563),O3563,0)+IF(ISNUMBER(P3563),P3563,0)))&lt;=Summary!$B$2),"Passes using beginning_balance - PreV_ETB differs from beginning_balance",IF(AND(ISNUMBER(O3563),O3563&lt;0,ABS(L3563-(Q3563-IF(ISNUMBER(N3563),N3563,0)+IF(ISNUMBER(P3563),P3563,0)))&lt;=Summary!$B$2),"Negative realized loss not applied - check sign",IF(R3563&lt;0,"Principal paid exceeds prior balance",IF(AND(L3563&gt;Q3563,NOT(ISNUMBER(P3563))),"Balance increased but no Deferred_interest reported",IF(L3563&gt;R3563,"Reported balance higher than expected (missing increase/OC build)","Reported balance lower than expected (missing decrease)"))))),""))</f>
        <v/>
      </c>
    </row>
    <row r="3564" customFormat="false" ht="15" hidden="false" customHeight="false" outlineLevel="0" collapsed="false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9"/>
      <c r="L3564" s="9"/>
      <c r="M3564" s="9"/>
      <c r="N3564" s="9"/>
      <c r="O3564" s="9"/>
      <c r="P3564" s="9"/>
      <c r="Q3564" s="9"/>
      <c r="R3564" s="9" t="str">
        <f aca="false">IF(AND(A3564&lt;&gt;"",ISNUMBER(Q3564),ISNUMBER(L3564)),ROUND(Q3564-IF(ISNUMBER(N3564),N3564,0)-IF(ISNUMBER(O3564),O3564,0)+IF(ISNUMBER(P3564),P3564,0),2),"")</f>
        <v/>
      </c>
      <c r="S3564" s="9" t="str">
        <f aca="false">IF(R3564="","",ROUND(L3564-R3564,2))</f>
        <v/>
      </c>
      <c r="T3564" s="8" t="str">
        <f aca="false">IF(A3564="","",IF(S3564="","BYPASS",IF(ABS(S3564)&lt;=Summary!$B$2,"PASS","FAIL")))</f>
        <v/>
      </c>
      <c r="U3564" s="8" t="str">
        <f aca="false">IF(T3564="BYPASS",IF(NOT(ISNUMBER(Q3564)),"PreV_ETB missing","End_tr_balance missing"),IF(T3564="FAIL",IF(AND(ISNUMBER(K3564),ISNUMBER(L3564),ABS(L3564-(K3564-IF(ISNUMBER(N3564),N3564,0)-IF(ISNUMBER(O3564),O3564,0)+IF(ISNUMBER(P3564),P3564,0)))&lt;=Summary!$B$2),"Passes using beginning_balance - PreV_ETB differs from beginning_balance",IF(AND(ISNUMBER(O3564),O3564&lt;0,ABS(L3564-(Q3564-IF(ISNUMBER(N3564),N3564,0)+IF(ISNUMBER(P3564),P3564,0)))&lt;=Summary!$B$2),"Negative realized loss not applied - check sign",IF(R3564&lt;0,"Principal paid exceeds prior balance",IF(AND(L3564&gt;Q3564,NOT(ISNUMBER(P3564))),"Balance increased but no Deferred_interest reported",IF(L3564&gt;R3564,"Reported balance higher than expected (missing increase/OC build)","Reported balance lower than expected (missing decrease)"))))),""))</f>
        <v/>
      </c>
    </row>
    <row r="3565" customFormat="false" ht="15" hidden="false" customHeight="false" outlineLevel="0" collapsed="false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9"/>
      <c r="L3565" s="9"/>
      <c r="M3565" s="9"/>
      <c r="N3565" s="9"/>
      <c r="O3565" s="9"/>
      <c r="P3565" s="9"/>
      <c r="Q3565" s="9"/>
      <c r="R3565" s="9" t="str">
        <f aca="false">IF(AND(A3565&lt;&gt;"",ISNUMBER(Q3565),ISNUMBER(L3565)),ROUND(Q3565-IF(ISNUMBER(N3565),N3565,0)-IF(ISNUMBER(O3565),O3565,0)+IF(ISNUMBER(P3565),P3565,0),2),"")</f>
        <v/>
      </c>
      <c r="S3565" s="9" t="str">
        <f aca="false">IF(R3565="","",ROUND(L3565-R3565,2))</f>
        <v/>
      </c>
      <c r="T3565" s="8" t="str">
        <f aca="false">IF(A3565="","",IF(S3565="","BYPASS",IF(ABS(S3565)&lt;=Summary!$B$2,"PASS","FAIL")))</f>
        <v/>
      </c>
      <c r="U3565" s="8" t="str">
        <f aca="false">IF(T3565="BYPASS",IF(NOT(ISNUMBER(Q3565)),"PreV_ETB missing","End_tr_balance missing"),IF(T3565="FAIL",IF(AND(ISNUMBER(K3565),ISNUMBER(L3565),ABS(L3565-(K3565-IF(ISNUMBER(N3565),N3565,0)-IF(ISNUMBER(O3565),O3565,0)+IF(ISNUMBER(P3565),P3565,0)))&lt;=Summary!$B$2),"Passes using beginning_balance - PreV_ETB differs from beginning_balance",IF(AND(ISNUMBER(O3565),O3565&lt;0,ABS(L3565-(Q3565-IF(ISNUMBER(N3565),N3565,0)+IF(ISNUMBER(P3565),P3565,0)))&lt;=Summary!$B$2),"Negative realized loss not applied - check sign",IF(R3565&lt;0,"Principal paid exceeds prior balance",IF(AND(L3565&gt;Q3565,NOT(ISNUMBER(P3565))),"Balance increased but no Deferred_interest reported",IF(L3565&gt;R3565,"Reported balance higher than expected (missing increase/OC build)","Reported balance lower than expected (missing decrease)"))))),""))</f>
        <v/>
      </c>
    </row>
    <row r="3566" customFormat="false" ht="15" hidden="false" customHeight="false" outlineLevel="0" collapsed="false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9"/>
      <c r="L3566" s="9"/>
      <c r="M3566" s="9"/>
      <c r="N3566" s="9"/>
      <c r="O3566" s="9"/>
      <c r="P3566" s="9"/>
      <c r="Q3566" s="9"/>
      <c r="R3566" s="9" t="str">
        <f aca="false">IF(AND(A3566&lt;&gt;"",ISNUMBER(Q3566),ISNUMBER(L3566)),ROUND(Q3566-IF(ISNUMBER(N3566),N3566,0)-IF(ISNUMBER(O3566),O3566,0)+IF(ISNUMBER(P3566),P3566,0),2),"")</f>
        <v/>
      </c>
      <c r="S3566" s="9" t="str">
        <f aca="false">IF(R3566="","",ROUND(L3566-R3566,2))</f>
        <v/>
      </c>
      <c r="T3566" s="8" t="str">
        <f aca="false">IF(A3566="","",IF(S3566="","BYPASS",IF(ABS(S3566)&lt;=Summary!$B$2,"PASS","FAIL")))</f>
        <v/>
      </c>
      <c r="U3566" s="8" t="str">
        <f aca="false">IF(T3566="BYPASS",IF(NOT(ISNUMBER(Q3566)),"PreV_ETB missing","End_tr_balance missing"),IF(T3566="FAIL",IF(AND(ISNUMBER(K3566),ISNUMBER(L3566),ABS(L3566-(K3566-IF(ISNUMBER(N3566),N3566,0)-IF(ISNUMBER(O3566),O3566,0)+IF(ISNUMBER(P3566),P3566,0)))&lt;=Summary!$B$2),"Passes using beginning_balance - PreV_ETB differs from beginning_balance",IF(AND(ISNUMBER(O3566),O3566&lt;0,ABS(L3566-(Q3566-IF(ISNUMBER(N3566),N3566,0)+IF(ISNUMBER(P3566),P3566,0)))&lt;=Summary!$B$2),"Negative realized loss not applied - check sign",IF(R3566&lt;0,"Principal paid exceeds prior balance",IF(AND(L3566&gt;Q3566,NOT(ISNUMBER(P3566))),"Balance increased but no Deferred_interest reported",IF(L3566&gt;R3566,"Reported balance higher than expected (missing increase/OC build)","Reported balance lower than expected (missing decrease)"))))),""))</f>
        <v/>
      </c>
    </row>
    <row r="3567" customFormat="false" ht="15" hidden="false" customHeight="false" outlineLevel="0" collapsed="false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9"/>
      <c r="L3567" s="9"/>
      <c r="M3567" s="9"/>
      <c r="N3567" s="9"/>
      <c r="O3567" s="9"/>
      <c r="P3567" s="9"/>
      <c r="Q3567" s="9"/>
      <c r="R3567" s="9" t="str">
        <f aca="false">IF(AND(A3567&lt;&gt;"",ISNUMBER(Q3567),ISNUMBER(L3567)),ROUND(Q3567-IF(ISNUMBER(N3567),N3567,0)-IF(ISNUMBER(O3567),O3567,0)+IF(ISNUMBER(P3567),P3567,0),2),"")</f>
        <v/>
      </c>
      <c r="S3567" s="9" t="str">
        <f aca="false">IF(R3567="","",ROUND(L3567-R3567,2))</f>
        <v/>
      </c>
      <c r="T3567" s="8" t="str">
        <f aca="false">IF(A3567="","",IF(S3567="","BYPASS",IF(ABS(S3567)&lt;=Summary!$B$2,"PASS","FAIL")))</f>
        <v/>
      </c>
      <c r="U3567" s="8" t="str">
        <f aca="false">IF(T3567="BYPASS",IF(NOT(ISNUMBER(Q3567)),"PreV_ETB missing","End_tr_balance missing"),IF(T3567="FAIL",IF(AND(ISNUMBER(K3567),ISNUMBER(L3567),ABS(L3567-(K3567-IF(ISNUMBER(N3567),N3567,0)-IF(ISNUMBER(O3567),O3567,0)+IF(ISNUMBER(P3567),P3567,0)))&lt;=Summary!$B$2),"Passes using beginning_balance - PreV_ETB differs from beginning_balance",IF(AND(ISNUMBER(O3567),O3567&lt;0,ABS(L3567-(Q3567-IF(ISNUMBER(N3567),N3567,0)+IF(ISNUMBER(P3567),P3567,0)))&lt;=Summary!$B$2),"Negative realized loss not applied - check sign",IF(R3567&lt;0,"Principal paid exceeds prior balance",IF(AND(L3567&gt;Q3567,NOT(ISNUMBER(P3567))),"Balance increased but no Deferred_interest reported",IF(L3567&gt;R3567,"Reported balance higher than expected (missing increase/OC build)","Reported balance lower than expected (missing decrease)"))))),""))</f>
        <v/>
      </c>
    </row>
    <row r="3568" customFormat="false" ht="15" hidden="false" customHeight="false" outlineLevel="0" collapsed="false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9"/>
      <c r="L3568" s="9"/>
      <c r="M3568" s="9"/>
      <c r="N3568" s="9"/>
      <c r="O3568" s="9"/>
      <c r="P3568" s="9"/>
      <c r="Q3568" s="9"/>
      <c r="R3568" s="9" t="str">
        <f aca="false">IF(AND(A3568&lt;&gt;"",ISNUMBER(Q3568),ISNUMBER(L3568)),ROUND(Q3568-IF(ISNUMBER(N3568),N3568,0)-IF(ISNUMBER(O3568),O3568,0)+IF(ISNUMBER(P3568),P3568,0),2),"")</f>
        <v/>
      </c>
      <c r="S3568" s="9" t="str">
        <f aca="false">IF(R3568="","",ROUND(L3568-R3568,2))</f>
        <v/>
      </c>
      <c r="T3568" s="8" t="str">
        <f aca="false">IF(A3568="","",IF(S3568="","BYPASS",IF(ABS(S3568)&lt;=Summary!$B$2,"PASS","FAIL")))</f>
        <v/>
      </c>
      <c r="U3568" s="8" t="str">
        <f aca="false">IF(T3568="BYPASS",IF(NOT(ISNUMBER(Q3568)),"PreV_ETB missing","End_tr_balance missing"),IF(T3568="FAIL",IF(AND(ISNUMBER(K3568),ISNUMBER(L3568),ABS(L3568-(K3568-IF(ISNUMBER(N3568),N3568,0)-IF(ISNUMBER(O3568),O3568,0)+IF(ISNUMBER(P3568),P3568,0)))&lt;=Summary!$B$2),"Passes using beginning_balance - PreV_ETB differs from beginning_balance",IF(AND(ISNUMBER(O3568),O3568&lt;0,ABS(L3568-(Q3568-IF(ISNUMBER(N3568),N3568,0)+IF(ISNUMBER(P3568),P3568,0)))&lt;=Summary!$B$2),"Negative realized loss not applied - check sign",IF(R3568&lt;0,"Principal paid exceeds prior balance",IF(AND(L3568&gt;Q3568,NOT(ISNUMBER(P3568))),"Balance increased but no Deferred_interest reported",IF(L3568&gt;R3568,"Reported balance higher than expected (missing increase/OC build)","Reported balance lower than expected (missing decrease)"))))),""))</f>
        <v/>
      </c>
    </row>
    <row r="3569" customFormat="false" ht="15" hidden="false" customHeight="false" outlineLevel="0" collapsed="false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9"/>
      <c r="L3569" s="9"/>
      <c r="M3569" s="9"/>
      <c r="N3569" s="9"/>
      <c r="O3569" s="9"/>
      <c r="P3569" s="9"/>
      <c r="Q3569" s="9"/>
      <c r="R3569" s="9" t="str">
        <f aca="false">IF(AND(A3569&lt;&gt;"",ISNUMBER(Q3569),ISNUMBER(L3569)),ROUND(Q3569-IF(ISNUMBER(N3569),N3569,0)-IF(ISNUMBER(O3569),O3569,0)+IF(ISNUMBER(P3569),P3569,0),2),"")</f>
        <v/>
      </c>
      <c r="S3569" s="9" t="str">
        <f aca="false">IF(R3569="","",ROUND(L3569-R3569,2))</f>
        <v/>
      </c>
      <c r="T3569" s="8" t="str">
        <f aca="false">IF(A3569="","",IF(S3569="","BYPASS",IF(ABS(S3569)&lt;=Summary!$B$2,"PASS","FAIL")))</f>
        <v/>
      </c>
      <c r="U3569" s="8" t="str">
        <f aca="false">IF(T3569="BYPASS",IF(NOT(ISNUMBER(Q3569)),"PreV_ETB missing","End_tr_balance missing"),IF(T3569="FAIL",IF(AND(ISNUMBER(K3569),ISNUMBER(L3569),ABS(L3569-(K3569-IF(ISNUMBER(N3569),N3569,0)-IF(ISNUMBER(O3569),O3569,0)+IF(ISNUMBER(P3569),P3569,0)))&lt;=Summary!$B$2),"Passes using beginning_balance - PreV_ETB differs from beginning_balance",IF(AND(ISNUMBER(O3569),O3569&lt;0,ABS(L3569-(Q3569-IF(ISNUMBER(N3569),N3569,0)+IF(ISNUMBER(P3569),P3569,0)))&lt;=Summary!$B$2),"Negative realized loss not applied - check sign",IF(R3569&lt;0,"Principal paid exceeds prior balance",IF(AND(L3569&gt;Q3569,NOT(ISNUMBER(P3569))),"Balance increased but no Deferred_interest reported",IF(L3569&gt;R3569,"Reported balance higher than expected (missing increase/OC build)","Reported balance lower than expected (missing decrease)"))))),""))</f>
        <v/>
      </c>
    </row>
    <row r="3570" customFormat="false" ht="15" hidden="false" customHeight="false" outlineLevel="0" collapsed="false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9"/>
      <c r="L3570" s="9"/>
      <c r="M3570" s="9"/>
      <c r="N3570" s="9"/>
      <c r="O3570" s="9"/>
      <c r="P3570" s="9"/>
      <c r="Q3570" s="9"/>
      <c r="R3570" s="9" t="str">
        <f aca="false">IF(AND(A3570&lt;&gt;"",ISNUMBER(Q3570),ISNUMBER(L3570)),ROUND(Q3570-IF(ISNUMBER(N3570),N3570,0)-IF(ISNUMBER(O3570),O3570,0)+IF(ISNUMBER(P3570),P3570,0),2),"")</f>
        <v/>
      </c>
      <c r="S3570" s="9" t="str">
        <f aca="false">IF(R3570="","",ROUND(L3570-R3570,2))</f>
        <v/>
      </c>
      <c r="T3570" s="8" t="str">
        <f aca="false">IF(A3570="","",IF(S3570="","BYPASS",IF(ABS(S3570)&lt;=Summary!$B$2,"PASS","FAIL")))</f>
        <v/>
      </c>
      <c r="U3570" s="8" t="str">
        <f aca="false">IF(T3570="BYPASS",IF(NOT(ISNUMBER(Q3570)),"PreV_ETB missing","End_tr_balance missing"),IF(T3570="FAIL",IF(AND(ISNUMBER(K3570),ISNUMBER(L3570),ABS(L3570-(K3570-IF(ISNUMBER(N3570),N3570,0)-IF(ISNUMBER(O3570),O3570,0)+IF(ISNUMBER(P3570),P3570,0)))&lt;=Summary!$B$2),"Passes using beginning_balance - PreV_ETB differs from beginning_balance",IF(AND(ISNUMBER(O3570),O3570&lt;0,ABS(L3570-(Q3570-IF(ISNUMBER(N3570),N3570,0)+IF(ISNUMBER(P3570),P3570,0)))&lt;=Summary!$B$2),"Negative realized loss not applied - check sign",IF(R3570&lt;0,"Principal paid exceeds prior balance",IF(AND(L3570&gt;Q3570,NOT(ISNUMBER(P3570))),"Balance increased but no Deferred_interest reported",IF(L3570&gt;R3570,"Reported balance higher than expected (missing increase/OC build)","Reported balance lower than expected (missing decrease)"))))),""))</f>
        <v/>
      </c>
    </row>
    <row r="3571" customFormat="false" ht="15" hidden="false" customHeight="false" outlineLevel="0" collapsed="false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9"/>
      <c r="L3571" s="9"/>
      <c r="M3571" s="9"/>
      <c r="N3571" s="9"/>
      <c r="O3571" s="9"/>
      <c r="P3571" s="9"/>
      <c r="Q3571" s="9"/>
      <c r="R3571" s="9" t="str">
        <f aca="false">IF(AND(A3571&lt;&gt;"",ISNUMBER(Q3571),ISNUMBER(L3571)),ROUND(Q3571-IF(ISNUMBER(N3571),N3571,0)-IF(ISNUMBER(O3571),O3571,0)+IF(ISNUMBER(P3571),P3571,0),2),"")</f>
        <v/>
      </c>
      <c r="S3571" s="9" t="str">
        <f aca="false">IF(R3571="","",ROUND(L3571-R3571,2))</f>
        <v/>
      </c>
      <c r="T3571" s="8" t="str">
        <f aca="false">IF(A3571="","",IF(S3571="","BYPASS",IF(ABS(S3571)&lt;=Summary!$B$2,"PASS","FAIL")))</f>
        <v/>
      </c>
      <c r="U3571" s="8" t="str">
        <f aca="false">IF(T3571="BYPASS",IF(NOT(ISNUMBER(Q3571)),"PreV_ETB missing","End_tr_balance missing"),IF(T3571="FAIL",IF(AND(ISNUMBER(K3571),ISNUMBER(L3571),ABS(L3571-(K3571-IF(ISNUMBER(N3571),N3571,0)-IF(ISNUMBER(O3571),O3571,0)+IF(ISNUMBER(P3571),P3571,0)))&lt;=Summary!$B$2),"Passes using beginning_balance - PreV_ETB differs from beginning_balance",IF(AND(ISNUMBER(O3571),O3571&lt;0,ABS(L3571-(Q3571-IF(ISNUMBER(N3571),N3571,0)+IF(ISNUMBER(P3571),P3571,0)))&lt;=Summary!$B$2),"Negative realized loss not applied - check sign",IF(R3571&lt;0,"Principal paid exceeds prior balance",IF(AND(L3571&gt;Q3571,NOT(ISNUMBER(P3571))),"Balance increased but no Deferred_interest reported",IF(L3571&gt;R3571,"Reported balance higher than expected (missing increase/OC build)","Reported balance lower than expected (missing decrease)"))))),""))</f>
        <v/>
      </c>
    </row>
    <row r="3572" customFormat="false" ht="15" hidden="false" customHeight="false" outlineLevel="0" collapsed="false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9"/>
      <c r="L3572" s="9"/>
      <c r="M3572" s="9"/>
      <c r="N3572" s="9"/>
      <c r="O3572" s="9"/>
      <c r="P3572" s="9"/>
      <c r="Q3572" s="9"/>
      <c r="R3572" s="9" t="str">
        <f aca="false">IF(AND(A3572&lt;&gt;"",ISNUMBER(Q3572),ISNUMBER(L3572)),ROUND(Q3572-IF(ISNUMBER(N3572),N3572,0)-IF(ISNUMBER(O3572),O3572,0)+IF(ISNUMBER(P3572),P3572,0),2),"")</f>
        <v/>
      </c>
      <c r="S3572" s="9" t="str">
        <f aca="false">IF(R3572="","",ROUND(L3572-R3572,2))</f>
        <v/>
      </c>
      <c r="T3572" s="8" t="str">
        <f aca="false">IF(A3572="","",IF(S3572="","BYPASS",IF(ABS(S3572)&lt;=Summary!$B$2,"PASS","FAIL")))</f>
        <v/>
      </c>
      <c r="U3572" s="8" t="str">
        <f aca="false">IF(T3572="BYPASS",IF(NOT(ISNUMBER(Q3572)),"PreV_ETB missing","End_tr_balance missing"),IF(T3572="FAIL",IF(AND(ISNUMBER(K3572),ISNUMBER(L3572),ABS(L3572-(K3572-IF(ISNUMBER(N3572),N3572,0)-IF(ISNUMBER(O3572),O3572,0)+IF(ISNUMBER(P3572),P3572,0)))&lt;=Summary!$B$2),"Passes using beginning_balance - PreV_ETB differs from beginning_balance",IF(AND(ISNUMBER(O3572),O3572&lt;0,ABS(L3572-(Q3572-IF(ISNUMBER(N3572),N3572,0)+IF(ISNUMBER(P3572),P3572,0)))&lt;=Summary!$B$2),"Negative realized loss not applied - check sign",IF(R3572&lt;0,"Principal paid exceeds prior balance",IF(AND(L3572&gt;Q3572,NOT(ISNUMBER(P3572))),"Balance increased but no Deferred_interest reported",IF(L3572&gt;R3572,"Reported balance higher than expected (missing increase/OC build)","Reported balance lower than expected (missing decrease)"))))),""))</f>
        <v/>
      </c>
    </row>
    <row r="3573" customFormat="false" ht="15" hidden="false" customHeight="false" outlineLevel="0" collapsed="false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9"/>
      <c r="L3573" s="9"/>
      <c r="M3573" s="9"/>
      <c r="N3573" s="9"/>
      <c r="O3573" s="9"/>
      <c r="P3573" s="9"/>
      <c r="Q3573" s="9"/>
      <c r="R3573" s="9" t="str">
        <f aca="false">IF(AND(A3573&lt;&gt;"",ISNUMBER(Q3573),ISNUMBER(L3573)),ROUND(Q3573-IF(ISNUMBER(N3573),N3573,0)-IF(ISNUMBER(O3573),O3573,0)+IF(ISNUMBER(P3573),P3573,0),2),"")</f>
        <v/>
      </c>
      <c r="S3573" s="9" t="str">
        <f aca="false">IF(R3573="","",ROUND(L3573-R3573,2))</f>
        <v/>
      </c>
      <c r="T3573" s="8" t="str">
        <f aca="false">IF(A3573="","",IF(S3573="","BYPASS",IF(ABS(S3573)&lt;=Summary!$B$2,"PASS","FAIL")))</f>
        <v/>
      </c>
      <c r="U3573" s="8" t="str">
        <f aca="false">IF(T3573="BYPASS",IF(NOT(ISNUMBER(Q3573)),"PreV_ETB missing","End_tr_balance missing"),IF(T3573="FAIL",IF(AND(ISNUMBER(K3573),ISNUMBER(L3573),ABS(L3573-(K3573-IF(ISNUMBER(N3573),N3573,0)-IF(ISNUMBER(O3573),O3573,0)+IF(ISNUMBER(P3573),P3573,0)))&lt;=Summary!$B$2),"Passes using beginning_balance - PreV_ETB differs from beginning_balance",IF(AND(ISNUMBER(O3573),O3573&lt;0,ABS(L3573-(Q3573-IF(ISNUMBER(N3573),N3573,0)+IF(ISNUMBER(P3573),P3573,0)))&lt;=Summary!$B$2),"Negative realized loss not applied - check sign",IF(R3573&lt;0,"Principal paid exceeds prior balance",IF(AND(L3573&gt;Q3573,NOT(ISNUMBER(P3573))),"Balance increased but no Deferred_interest reported",IF(L3573&gt;R3573,"Reported balance higher than expected (missing increase/OC build)","Reported balance lower than expected (missing decrease)"))))),""))</f>
        <v/>
      </c>
    </row>
    <row r="3574" customFormat="false" ht="15" hidden="false" customHeight="false" outlineLevel="0" collapsed="false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9"/>
      <c r="L3574" s="9"/>
      <c r="M3574" s="9"/>
      <c r="N3574" s="9"/>
      <c r="O3574" s="9"/>
      <c r="P3574" s="9"/>
      <c r="Q3574" s="9"/>
      <c r="R3574" s="9" t="str">
        <f aca="false">IF(AND(A3574&lt;&gt;"",ISNUMBER(Q3574),ISNUMBER(L3574)),ROUND(Q3574-IF(ISNUMBER(N3574),N3574,0)-IF(ISNUMBER(O3574),O3574,0)+IF(ISNUMBER(P3574),P3574,0),2),"")</f>
        <v/>
      </c>
      <c r="S3574" s="9" t="str">
        <f aca="false">IF(R3574="","",ROUND(L3574-R3574,2))</f>
        <v/>
      </c>
      <c r="T3574" s="8" t="str">
        <f aca="false">IF(A3574="","",IF(S3574="","BYPASS",IF(ABS(S3574)&lt;=Summary!$B$2,"PASS","FAIL")))</f>
        <v/>
      </c>
      <c r="U3574" s="8" t="str">
        <f aca="false">IF(T3574="BYPASS",IF(NOT(ISNUMBER(Q3574)),"PreV_ETB missing","End_tr_balance missing"),IF(T3574="FAIL",IF(AND(ISNUMBER(K3574),ISNUMBER(L3574),ABS(L3574-(K3574-IF(ISNUMBER(N3574),N3574,0)-IF(ISNUMBER(O3574),O3574,0)+IF(ISNUMBER(P3574),P3574,0)))&lt;=Summary!$B$2),"Passes using beginning_balance - PreV_ETB differs from beginning_balance",IF(AND(ISNUMBER(O3574),O3574&lt;0,ABS(L3574-(Q3574-IF(ISNUMBER(N3574),N3574,0)+IF(ISNUMBER(P3574),P3574,0)))&lt;=Summary!$B$2),"Negative realized loss not applied - check sign",IF(R3574&lt;0,"Principal paid exceeds prior balance",IF(AND(L3574&gt;Q3574,NOT(ISNUMBER(P3574))),"Balance increased but no Deferred_interest reported",IF(L3574&gt;R3574,"Reported balance higher than expected (missing increase/OC build)","Reported balance lower than expected (missing decrease)"))))),""))</f>
        <v/>
      </c>
    </row>
    <row r="3575" customFormat="false" ht="15" hidden="false" customHeight="false" outlineLevel="0" collapsed="false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9"/>
      <c r="L3575" s="9"/>
      <c r="M3575" s="9"/>
      <c r="N3575" s="9"/>
      <c r="O3575" s="9"/>
      <c r="P3575" s="9"/>
      <c r="Q3575" s="9"/>
      <c r="R3575" s="9" t="str">
        <f aca="false">IF(AND(A3575&lt;&gt;"",ISNUMBER(Q3575),ISNUMBER(L3575)),ROUND(Q3575-IF(ISNUMBER(N3575),N3575,0)-IF(ISNUMBER(O3575),O3575,0)+IF(ISNUMBER(P3575),P3575,0),2),"")</f>
        <v/>
      </c>
      <c r="S3575" s="9" t="str">
        <f aca="false">IF(R3575="","",ROUND(L3575-R3575,2))</f>
        <v/>
      </c>
      <c r="T3575" s="8" t="str">
        <f aca="false">IF(A3575="","",IF(S3575="","BYPASS",IF(ABS(S3575)&lt;=Summary!$B$2,"PASS","FAIL")))</f>
        <v/>
      </c>
      <c r="U3575" s="8" t="str">
        <f aca="false">IF(T3575="BYPASS",IF(NOT(ISNUMBER(Q3575)),"PreV_ETB missing","End_tr_balance missing"),IF(T3575="FAIL",IF(AND(ISNUMBER(K3575),ISNUMBER(L3575),ABS(L3575-(K3575-IF(ISNUMBER(N3575),N3575,0)-IF(ISNUMBER(O3575),O3575,0)+IF(ISNUMBER(P3575),P3575,0)))&lt;=Summary!$B$2),"Passes using beginning_balance - PreV_ETB differs from beginning_balance",IF(AND(ISNUMBER(O3575),O3575&lt;0,ABS(L3575-(Q3575-IF(ISNUMBER(N3575),N3575,0)+IF(ISNUMBER(P3575),P3575,0)))&lt;=Summary!$B$2),"Negative realized loss not applied - check sign",IF(R3575&lt;0,"Principal paid exceeds prior balance",IF(AND(L3575&gt;Q3575,NOT(ISNUMBER(P3575))),"Balance increased but no Deferred_interest reported",IF(L3575&gt;R3575,"Reported balance higher than expected (missing increase/OC build)","Reported balance lower than expected (missing decrease)"))))),""))</f>
        <v/>
      </c>
    </row>
    <row r="3576" customFormat="false" ht="15" hidden="false" customHeight="false" outlineLevel="0" collapsed="false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9"/>
      <c r="L3576" s="9"/>
      <c r="M3576" s="9"/>
      <c r="N3576" s="9"/>
      <c r="O3576" s="9"/>
      <c r="P3576" s="9"/>
      <c r="Q3576" s="9"/>
      <c r="R3576" s="9" t="str">
        <f aca="false">IF(AND(A3576&lt;&gt;"",ISNUMBER(Q3576),ISNUMBER(L3576)),ROUND(Q3576-IF(ISNUMBER(N3576),N3576,0)-IF(ISNUMBER(O3576),O3576,0)+IF(ISNUMBER(P3576),P3576,0),2),"")</f>
        <v/>
      </c>
      <c r="S3576" s="9" t="str">
        <f aca="false">IF(R3576="","",ROUND(L3576-R3576,2))</f>
        <v/>
      </c>
      <c r="T3576" s="8" t="str">
        <f aca="false">IF(A3576="","",IF(S3576="","BYPASS",IF(ABS(S3576)&lt;=Summary!$B$2,"PASS","FAIL")))</f>
        <v/>
      </c>
      <c r="U3576" s="8" t="str">
        <f aca="false">IF(T3576="BYPASS",IF(NOT(ISNUMBER(Q3576)),"PreV_ETB missing","End_tr_balance missing"),IF(T3576="FAIL",IF(AND(ISNUMBER(K3576),ISNUMBER(L3576),ABS(L3576-(K3576-IF(ISNUMBER(N3576),N3576,0)-IF(ISNUMBER(O3576),O3576,0)+IF(ISNUMBER(P3576),P3576,0)))&lt;=Summary!$B$2),"Passes using beginning_balance - PreV_ETB differs from beginning_balance",IF(AND(ISNUMBER(O3576),O3576&lt;0,ABS(L3576-(Q3576-IF(ISNUMBER(N3576),N3576,0)+IF(ISNUMBER(P3576),P3576,0)))&lt;=Summary!$B$2),"Negative realized loss not applied - check sign",IF(R3576&lt;0,"Principal paid exceeds prior balance",IF(AND(L3576&gt;Q3576,NOT(ISNUMBER(P3576))),"Balance increased but no Deferred_interest reported",IF(L3576&gt;R3576,"Reported balance higher than expected (missing increase/OC build)","Reported balance lower than expected (missing decrease)"))))),""))</f>
        <v/>
      </c>
    </row>
    <row r="3577" customFormat="false" ht="15" hidden="false" customHeight="false" outlineLevel="0" collapsed="false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9"/>
      <c r="L3577" s="9"/>
      <c r="M3577" s="9"/>
      <c r="N3577" s="9"/>
      <c r="O3577" s="9"/>
      <c r="P3577" s="9"/>
      <c r="Q3577" s="9"/>
      <c r="R3577" s="9" t="str">
        <f aca="false">IF(AND(A3577&lt;&gt;"",ISNUMBER(Q3577),ISNUMBER(L3577)),ROUND(Q3577-IF(ISNUMBER(N3577),N3577,0)-IF(ISNUMBER(O3577),O3577,0)+IF(ISNUMBER(P3577),P3577,0),2),"")</f>
        <v/>
      </c>
      <c r="S3577" s="9" t="str">
        <f aca="false">IF(R3577="","",ROUND(L3577-R3577,2))</f>
        <v/>
      </c>
      <c r="T3577" s="8" t="str">
        <f aca="false">IF(A3577="","",IF(S3577="","BYPASS",IF(ABS(S3577)&lt;=Summary!$B$2,"PASS","FAIL")))</f>
        <v/>
      </c>
      <c r="U3577" s="8" t="str">
        <f aca="false">IF(T3577="BYPASS",IF(NOT(ISNUMBER(Q3577)),"PreV_ETB missing","End_tr_balance missing"),IF(T3577="FAIL",IF(AND(ISNUMBER(K3577),ISNUMBER(L3577),ABS(L3577-(K3577-IF(ISNUMBER(N3577),N3577,0)-IF(ISNUMBER(O3577),O3577,0)+IF(ISNUMBER(P3577),P3577,0)))&lt;=Summary!$B$2),"Passes using beginning_balance - PreV_ETB differs from beginning_balance",IF(AND(ISNUMBER(O3577),O3577&lt;0,ABS(L3577-(Q3577-IF(ISNUMBER(N3577),N3577,0)+IF(ISNUMBER(P3577),P3577,0)))&lt;=Summary!$B$2),"Negative realized loss not applied - check sign",IF(R3577&lt;0,"Principal paid exceeds prior balance",IF(AND(L3577&gt;Q3577,NOT(ISNUMBER(P3577))),"Balance increased but no Deferred_interest reported",IF(L3577&gt;R3577,"Reported balance higher than expected (missing increase/OC build)","Reported balance lower than expected (missing decrease)"))))),""))</f>
        <v/>
      </c>
    </row>
    <row r="3578" customFormat="false" ht="15" hidden="false" customHeight="false" outlineLevel="0" collapsed="false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9"/>
      <c r="L3578" s="9"/>
      <c r="M3578" s="9"/>
      <c r="N3578" s="9"/>
      <c r="O3578" s="9"/>
      <c r="P3578" s="9"/>
      <c r="Q3578" s="9"/>
      <c r="R3578" s="9" t="str">
        <f aca="false">IF(AND(A3578&lt;&gt;"",ISNUMBER(Q3578),ISNUMBER(L3578)),ROUND(Q3578-IF(ISNUMBER(N3578),N3578,0)-IF(ISNUMBER(O3578),O3578,0)+IF(ISNUMBER(P3578),P3578,0),2),"")</f>
        <v/>
      </c>
      <c r="S3578" s="9" t="str">
        <f aca="false">IF(R3578="","",ROUND(L3578-R3578,2))</f>
        <v/>
      </c>
      <c r="T3578" s="8" t="str">
        <f aca="false">IF(A3578="","",IF(S3578="","BYPASS",IF(ABS(S3578)&lt;=Summary!$B$2,"PASS","FAIL")))</f>
        <v/>
      </c>
      <c r="U3578" s="8" t="str">
        <f aca="false">IF(T3578="BYPASS",IF(NOT(ISNUMBER(Q3578)),"PreV_ETB missing","End_tr_balance missing"),IF(T3578="FAIL",IF(AND(ISNUMBER(K3578),ISNUMBER(L3578),ABS(L3578-(K3578-IF(ISNUMBER(N3578),N3578,0)-IF(ISNUMBER(O3578),O3578,0)+IF(ISNUMBER(P3578),P3578,0)))&lt;=Summary!$B$2),"Passes using beginning_balance - PreV_ETB differs from beginning_balance",IF(AND(ISNUMBER(O3578),O3578&lt;0,ABS(L3578-(Q3578-IF(ISNUMBER(N3578),N3578,0)+IF(ISNUMBER(P3578),P3578,0)))&lt;=Summary!$B$2),"Negative realized loss not applied - check sign",IF(R3578&lt;0,"Principal paid exceeds prior balance",IF(AND(L3578&gt;Q3578,NOT(ISNUMBER(P3578))),"Balance increased but no Deferred_interest reported",IF(L3578&gt;R3578,"Reported balance higher than expected (missing increase/OC build)","Reported balance lower than expected (missing decrease)"))))),""))</f>
        <v/>
      </c>
    </row>
    <row r="3579" customFormat="false" ht="15" hidden="false" customHeight="false" outlineLevel="0" collapsed="false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9"/>
      <c r="L3579" s="9"/>
      <c r="M3579" s="9"/>
      <c r="N3579" s="9"/>
      <c r="O3579" s="9"/>
      <c r="P3579" s="9"/>
      <c r="Q3579" s="9"/>
      <c r="R3579" s="9" t="str">
        <f aca="false">IF(AND(A3579&lt;&gt;"",ISNUMBER(Q3579),ISNUMBER(L3579)),ROUND(Q3579-IF(ISNUMBER(N3579),N3579,0)-IF(ISNUMBER(O3579),O3579,0)+IF(ISNUMBER(P3579),P3579,0),2),"")</f>
        <v/>
      </c>
      <c r="S3579" s="9" t="str">
        <f aca="false">IF(R3579="","",ROUND(L3579-R3579,2))</f>
        <v/>
      </c>
      <c r="T3579" s="8" t="str">
        <f aca="false">IF(A3579="","",IF(S3579="","BYPASS",IF(ABS(S3579)&lt;=Summary!$B$2,"PASS","FAIL")))</f>
        <v/>
      </c>
      <c r="U3579" s="8" t="str">
        <f aca="false">IF(T3579="BYPASS",IF(NOT(ISNUMBER(Q3579)),"PreV_ETB missing","End_tr_balance missing"),IF(T3579="FAIL",IF(AND(ISNUMBER(K3579),ISNUMBER(L3579),ABS(L3579-(K3579-IF(ISNUMBER(N3579),N3579,0)-IF(ISNUMBER(O3579),O3579,0)+IF(ISNUMBER(P3579),P3579,0)))&lt;=Summary!$B$2),"Passes using beginning_balance - PreV_ETB differs from beginning_balance",IF(AND(ISNUMBER(O3579),O3579&lt;0,ABS(L3579-(Q3579-IF(ISNUMBER(N3579),N3579,0)+IF(ISNUMBER(P3579),P3579,0)))&lt;=Summary!$B$2),"Negative realized loss not applied - check sign",IF(R3579&lt;0,"Principal paid exceeds prior balance",IF(AND(L3579&gt;Q3579,NOT(ISNUMBER(P3579))),"Balance increased but no Deferred_interest reported",IF(L3579&gt;R3579,"Reported balance higher than expected (missing increase/OC build)","Reported balance lower than expected (missing decrease)"))))),""))</f>
        <v/>
      </c>
    </row>
    <row r="3580" customFormat="false" ht="15" hidden="false" customHeight="false" outlineLevel="0" collapsed="false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9"/>
      <c r="L3580" s="9"/>
      <c r="M3580" s="9"/>
      <c r="N3580" s="9"/>
      <c r="O3580" s="9"/>
      <c r="P3580" s="9"/>
      <c r="Q3580" s="9"/>
      <c r="R3580" s="9" t="str">
        <f aca="false">IF(AND(A3580&lt;&gt;"",ISNUMBER(Q3580),ISNUMBER(L3580)),ROUND(Q3580-IF(ISNUMBER(N3580),N3580,0)-IF(ISNUMBER(O3580),O3580,0)+IF(ISNUMBER(P3580),P3580,0),2),"")</f>
        <v/>
      </c>
      <c r="S3580" s="9" t="str">
        <f aca="false">IF(R3580="","",ROUND(L3580-R3580,2))</f>
        <v/>
      </c>
      <c r="T3580" s="8" t="str">
        <f aca="false">IF(A3580="","",IF(S3580="","BYPASS",IF(ABS(S3580)&lt;=Summary!$B$2,"PASS","FAIL")))</f>
        <v/>
      </c>
      <c r="U3580" s="8" t="str">
        <f aca="false">IF(T3580="BYPASS",IF(NOT(ISNUMBER(Q3580)),"PreV_ETB missing","End_tr_balance missing"),IF(T3580="FAIL",IF(AND(ISNUMBER(K3580),ISNUMBER(L3580),ABS(L3580-(K3580-IF(ISNUMBER(N3580),N3580,0)-IF(ISNUMBER(O3580),O3580,0)+IF(ISNUMBER(P3580),P3580,0)))&lt;=Summary!$B$2),"Passes using beginning_balance - PreV_ETB differs from beginning_balance",IF(AND(ISNUMBER(O3580),O3580&lt;0,ABS(L3580-(Q3580-IF(ISNUMBER(N3580),N3580,0)+IF(ISNUMBER(P3580),P3580,0)))&lt;=Summary!$B$2),"Negative realized loss not applied - check sign",IF(R3580&lt;0,"Principal paid exceeds prior balance",IF(AND(L3580&gt;Q3580,NOT(ISNUMBER(P3580))),"Balance increased but no Deferred_interest reported",IF(L3580&gt;R3580,"Reported balance higher than expected (missing increase/OC build)","Reported balance lower than expected (missing decrease)"))))),""))</f>
        <v/>
      </c>
    </row>
    <row r="3581" customFormat="false" ht="15" hidden="false" customHeight="false" outlineLevel="0" collapsed="false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9"/>
      <c r="L3581" s="9"/>
      <c r="M3581" s="9"/>
      <c r="N3581" s="9"/>
      <c r="O3581" s="9"/>
      <c r="P3581" s="9"/>
      <c r="Q3581" s="9"/>
      <c r="R3581" s="9" t="str">
        <f aca="false">IF(AND(A3581&lt;&gt;"",ISNUMBER(Q3581),ISNUMBER(L3581)),ROUND(Q3581-IF(ISNUMBER(N3581),N3581,0)-IF(ISNUMBER(O3581),O3581,0)+IF(ISNUMBER(P3581),P3581,0),2),"")</f>
        <v/>
      </c>
      <c r="S3581" s="9" t="str">
        <f aca="false">IF(R3581="","",ROUND(L3581-R3581,2))</f>
        <v/>
      </c>
      <c r="T3581" s="8" t="str">
        <f aca="false">IF(A3581="","",IF(S3581="","BYPASS",IF(ABS(S3581)&lt;=Summary!$B$2,"PASS","FAIL")))</f>
        <v/>
      </c>
      <c r="U3581" s="8" t="str">
        <f aca="false">IF(T3581="BYPASS",IF(NOT(ISNUMBER(Q3581)),"PreV_ETB missing","End_tr_balance missing"),IF(T3581="FAIL",IF(AND(ISNUMBER(K3581),ISNUMBER(L3581),ABS(L3581-(K3581-IF(ISNUMBER(N3581),N3581,0)-IF(ISNUMBER(O3581),O3581,0)+IF(ISNUMBER(P3581),P3581,0)))&lt;=Summary!$B$2),"Passes using beginning_balance - PreV_ETB differs from beginning_balance",IF(AND(ISNUMBER(O3581),O3581&lt;0,ABS(L3581-(Q3581-IF(ISNUMBER(N3581),N3581,0)+IF(ISNUMBER(P3581),P3581,0)))&lt;=Summary!$B$2),"Negative realized loss not applied - check sign",IF(R3581&lt;0,"Principal paid exceeds prior balance",IF(AND(L3581&gt;Q3581,NOT(ISNUMBER(P3581))),"Balance increased but no Deferred_interest reported",IF(L3581&gt;R3581,"Reported balance higher than expected (missing increase/OC build)","Reported balance lower than expected (missing decrease)"))))),""))</f>
        <v/>
      </c>
    </row>
    <row r="3582" customFormat="false" ht="15" hidden="false" customHeight="false" outlineLevel="0" collapsed="false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9"/>
      <c r="L3582" s="9"/>
      <c r="M3582" s="9"/>
      <c r="N3582" s="9"/>
      <c r="O3582" s="9"/>
      <c r="P3582" s="9"/>
      <c r="Q3582" s="9"/>
      <c r="R3582" s="9" t="str">
        <f aca="false">IF(AND(A3582&lt;&gt;"",ISNUMBER(Q3582),ISNUMBER(L3582)),ROUND(Q3582-IF(ISNUMBER(N3582),N3582,0)-IF(ISNUMBER(O3582),O3582,0)+IF(ISNUMBER(P3582),P3582,0),2),"")</f>
        <v/>
      </c>
      <c r="S3582" s="9" t="str">
        <f aca="false">IF(R3582="","",ROUND(L3582-R3582,2))</f>
        <v/>
      </c>
      <c r="T3582" s="8" t="str">
        <f aca="false">IF(A3582="","",IF(S3582="","BYPASS",IF(ABS(S3582)&lt;=Summary!$B$2,"PASS","FAIL")))</f>
        <v/>
      </c>
      <c r="U3582" s="8" t="str">
        <f aca="false">IF(T3582="BYPASS",IF(NOT(ISNUMBER(Q3582)),"PreV_ETB missing","End_tr_balance missing"),IF(T3582="FAIL",IF(AND(ISNUMBER(K3582),ISNUMBER(L3582),ABS(L3582-(K3582-IF(ISNUMBER(N3582),N3582,0)-IF(ISNUMBER(O3582),O3582,0)+IF(ISNUMBER(P3582),P3582,0)))&lt;=Summary!$B$2),"Passes using beginning_balance - PreV_ETB differs from beginning_balance",IF(AND(ISNUMBER(O3582),O3582&lt;0,ABS(L3582-(Q3582-IF(ISNUMBER(N3582),N3582,0)+IF(ISNUMBER(P3582),P3582,0)))&lt;=Summary!$B$2),"Negative realized loss not applied - check sign",IF(R3582&lt;0,"Principal paid exceeds prior balance",IF(AND(L3582&gt;Q3582,NOT(ISNUMBER(P3582))),"Balance increased but no Deferred_interest reported",IF(L3582&gt;R3582,"Reported balance higher than expected (missing increase/OC build)","Reported balance lower than expected (missing decrease)"))))),""))</f>
        <v/>
      </c>
    </row>
    <row r="3583" customFormat="false" ht="15" hidden="false" customHeight="false" outlineLevel="0" collapsed="false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9"/>
      <c r="L3583" s="9"/>
      <c r="M3583" s="9"/>
      <c r="N3583" s="9"/>
      <c r="O3583" s="9"/>
      <c r="P3583" s="9"/>
      <c r="Q3583" s="9"/>
      <c r="R3583" s="9" t="str">
        <f aca="false">IF(AND(A3583&lt;&gt;"",ISNUMBER(Q3583),ISNUMBER(L3583)),ROUND(Q3583-IF(ISNUMBER(N3583),N3583,0)-IF(ISNUMBER(O3583),O3583,0)+IF(ISNUMBER(P3583),P3583,0),2),"")</f>
        <v/>
      </c>
      <c r="S3583" s="9" t="str">
        <f aca="false">IF(R3583="","",ROUND(L3583-R3583,2))</f>
        <v/>
      </c>
      <c r="T3583" s="8" t="str">
        <f aca="false">IF(A3583="","",IF(S3583="","BYPASS",IF(ABS(S3583)&lt;=Summary!$B$2,"PASS","FAIL")))</f>
        <v/>
      </c>
      <c r="U3583" s="8" t="str">
        <f aca="false">IF(T3583="BYPASS",IF(NOT(ISNUMBER(Q3583)),"PreV_ETB missing","End_tr_balance missing"),IF(T3583="FAIL",IF(AND(ISNUMBER(K3583),ISNUMBER(L3583),ABS(L3583-(K3583-IF(ISNUMBER(N3583),N3583,0)-IF(ISNUMBER(O3583),O3583,0)+IF(ISNUMBER(P3583),P3583,0)))&lt;=Summary!$B$2),"Passes using beginning_balance - PreV_ETB differs from beginning_balance",IF(AND(ISNUMBER(O3583),O3583&lt;0,ABS(L3583-(Q3583-IF(ISNUMBER(N3583),N3583,0)+IF(ISNUMBER(P3583),P3583,0)))&lt;=Summary!$B$2),"Negative realized loss not applied - check sign",IF(R3583&lt;0,"Principal paid exceeds prior balance",IF(AND(L3583&gt;Q3583,NOT(ISNUMBER(P3583))),"Balance increased but no Deferred_interest reported",IF(L3583&gt;R3583,"Reported balance higher than expected (missing increase/OC build)","Reported balance lower than expected (missing decrease)"))))),""))</f>
        <v/>
      </c>
    </row>
    <row r="3584" customFormat="false" ht="15" hidden="false" customHeight="false" outlineLevel="0" collapsed="false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9"/>
      <c r="L3584" s="9"/>
      <c r="M3584" s="9"/>
      <c r="N3584" s="9"/>
      <c r="O3584" s="9"/>
      <c r="P3584" s="9"/>
      <c r="Q3584" s="9"/>
      <c r="R3584" s="9" t="str">
        <f aca="false">IF(AND(A3584&lt;&gt;"",ISNUMBER(Q3584),ISNUMBER(L3584)),ROUND(Q3584-IF(ISNUMBER(N3584),N3584,0)-IF(ISNUMBER(O3584),O3584,0)+IF(ISNUMBER(P3584),P3584,0),2),"")</f>
        <v/>
      </c>
      <c r="S3584" s="9" t="str">
        <f aca="false">IF(R3584="","",ROUND(L3584-R3584,2))</f>
        <v/>
      </c>
      <c r="T3584" s="8" t="str">
        <f aca="false">IF(A3584="","",IF(S3584="","BYPASS",IF(ABS(S3584)&lt;=Summary!$B$2,"PASS","FAIL")))</f>
        <v/>
      </c>
      <c r="U3584" s="8" t="str">
        <f aca="false">IF(T3584="BYPASS",IF(NOT(ISNUMBER(Q3584)),"PreV_ETB missing","End_tr_balance missing"),IF(T3584="FAIL",IF(AND(ISNUMBER(K3584),ISNUMBER(L3584),ABS(L3584-(K3584-IF(ISNUMBER(N3584),N3584,0)-IF(ISNUMBER(O3584),O3584,0)+IF(ISNUMBER(P3584),P3584,0)))&lt;=Summary!$B$2),"Passes using beginning_balance - PreV_ETB differs from beginning_balance",IF(AND(ISNUMBER(O3584),O3584&lt;0,ABS(L3584-(Q3584-IF(ISNUMBER(N3584),N3584,0)+IF(ISNUMBER(P3584),P3584,0)))&lt;=Summary!$B$2),"Negative realized loss not applied - check sign",IF(R3584&lt;0,"Principal paid exceeds prior balance",IF(AND(L3584&gt;Q3584,NOT(ISNUMBER(P3584))),"Balance increased but no Deferred_interest reported",IF(L3584&gt;R3584,"Reported balance higher than expected (missing increase/OC build)","Reported balance lower than expected (missing decrease)"))))),""))</f>
        <v/>
      </c>
    </row>
    <row r="3585" customFormat="false" ht="15" hidden="false" customHeight="false" outlineLevel="0" collapsed="false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9"/>
      <c r="L3585" s="9"/>
      <c r="M3585" s="9"/>
      <c r="N3585" s="9"/>
      <c r="O3585" s="9"/>
      <c r="P3585" s="9"/>
      <c r="Q3585" s="9"/>
      <c r="R3585" s="9" t="str">
        <f aca="false">IF(AND(A3585&lt;&gt;"",ISNUMBER(Q3585),ISNUMBER(L3585)),ROUND(Q3585-IF(ISNUMBER(N3585),N3585,0)-IF(ISNUMBER(O3585),O3585,0)+IF(ISNUMBER(P3585),P3585,0),2),"")</f>
        <v/>
      </c>
      <c r="S3585" s="9" t="str">
        <f aca="false">IF(R3585="","",ROUND(L3585-R3585,2))</f>
        <v/>
      </c>
      <c r="T3585" s="8" t="str">
        <f aca="false">IF(A3585="","",IF(S3585="","BYPASS",IF(ABS(S3585)&lt;=Summary!$B$2,"PASS","FAIL")))</f>
        <v/>
      </c>
      <c r="U3585" s="8" t="str">
        <f aca="false">IF(T3585="BYPASS",IF(NOT(ISNUMBER(Q3585)),"PreV_ETB missing","End_tr_balance missing"),IF(T3585="FAIL",IF(AND(ISNUMBER(K3585),ISNUMBER(L3585),ABS(L3585-(K3585-IF(ISNUMBER(N3585),N3585,0)-IF(ISNUMBER(O3585),O3585,0)+IF(ISNUMBER(P3585),P3585,0)))&lt;=Summary!$B$2),"Passes using beginning_balance - PreV_ETB differs from beginning_balance",IF(AND(ISNUMBER(O3585),O3585&lt;0,ABS(L3585-(Q3585-IF(ISNUMBER(N3585),N3585,0)+IF(ISNUMBER(P3585),P3585,0)))&lt;=Summary!$B$2),"Negative realized loss not applied - check sign",IF(R3585&lt;0,"Principal paid exceeds prior balance",IF(AND(L3585&gt;Q3585,NOT(ISNUMBER(P3585))),"Balance increased but no Deferred_interest reported",IF(L3585&gt;R3585,"Reported balance higher than expected (missing increase/OC build)","Reported balance lower than expected (missing decrease)"))))),""))</f>
        <v/>
      </c>
    </row>
    <row r="3586" customFormat="false" ht="15" hidden="false" customHeight="false" outlineLevel="0" collapsed="false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9"/>
      <c r="L3586" s="9"/>
      <c r="M3586" s="9"/>
      <c r="N3586" s="9"/>
      <c r="O3586" s="9"/>
      <c r="P3586" s="9"/>
      <c r="Q3586" s="9"/>
      <c r="R3586" s="9" t="str">
        <f aca="false">IF(AND(A3586&lt;&gt;"",ISNUMBER(Q3586),ISNUMBER(L3586)),ROUND(Q3586-IF(ISNUMBER(N3586),N3586,0)-IF(ISNUMBER(O3586),O3586,0)+IF(ISNUMBER(P3586),P3586,0),2),"")</f>
        <v/>
      </c>
      <c r="S3586" s="9" t="str">
        <f aca="false">IF(R3586="","",ROUND(L3586-R3586,2))</f>
        <v/>
      </c>
      <c r="T3586" s="8" t="str">
        <f aca="false">IF(A3586="","",IF(S3586="","BYPASS",IF(ABS(S3586)&lt;=Summary!$B$2,"PASS","FAIL")))</f>
        <v/>
      </c>
      <c r="U3586" s="8" t="str">
        <f aca="false">IF(T3586="BYPASS",IF(NOT(ISNUMBER(Q3586)),"PreV_ETB missing","End_tr_balance missing"),IF(T3586="FAIL",IF(AND(ISNUMBER(K3586),ISNUMBER(L3586),ABS(L3586-(K3586-IF(ISNUMBER(N3586),N3586,0)-IF(ISNUMBER(O3586),O3586,0)+IF(ISNUMBER(P3586),P3586,0)))&lt;=Summary!$B$2),"Passes using beginning_balance - PreV_ETB differs from beginning_balance",IF(AND(ISNUMBER(O3586),O3586&lt;0,ABS(L3586-(Q3586-IF(ISNUMBER(N3586),N3586,0)+IF(ISNUMBER(P3586),P3586,0)))&lt;=Summary!$B$2),"Negative realized loss not applied - check sign",IF(R3586&lt;0,"Principal paid exceeds prior balance",IF(AND(L3586&gt;Q3586,NOT(ISNUMBER(P3586))),"Balance increased but no Deferred_interest reported",IF(L3586&gt;R3586,"Reported balance higher than expected (missing increase/OC build)","Reported balance lower than expected (missing decrease)"))))),""))</f>
        <v/>
      </c>
    </row>
    <row r="3587" customFormat="false" ht="15" hidden="false" customHeight="false" outlineLevel="0" collapsed="false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9"/>
      <c r="L3587" s="9"/>
      <c r="M3587" s="9"/>
      <c r="N3587" s="9"/>
      <c r="O3587" s="9"/>
      <c r="P3587" s="9"/>
      <c r="Q3587" s="9"/>
      <c r="R3587" s="9" t="str">
        <f aca="false">IF(AND(A3587&lt;&gt;"",ISNUMBER(Q3587),ISNUMBER(L3587)),ROUND(Q3587-IF(ISNUMBER(N3587),N3587,0)-IF(ISNUMBER(O3587),O3587,0)+IF(ISNUMBER(P3587),P3587,0),2),"")</f>
        <v/>
      </c>
      <c r="S3587" s="9" t="str">
        <f aca="false">IF(R3587="","",ROUND(L3587-R3587,2))</f>
        <v/>
      </c>
      <c r="T3587" s="8" t="str">
        <f aca="false">IF(A3587="","",IF(S3587="","BYPASS",IF(ABS(S3587)&lt;=Summary!$B$2,"PASS","FAIL")))</f>
        <v/>
      </c>
      <c r="U3587" s="8" t="str">
        <f aca="false">IF(T3587="BYPASS",IF(NOT(ISNUMBER(Q3587)),"PreV_ETB missing","End_tr_balance missing"),IF(T3587="FAIL",IF(AND(ISNUMBER(K3587),ISNUMBER(L3587),ABS(L3587-(K3587-IF(ISNUMBER(N3587),N3587,0)-IF(ISNUMBER(O3587),O3587,0)+IF(ISNUMBER(P3587),P3587,0)))&lt;=Summary!$B$2),"Passes using beginning_balance - PreV_ETB differs from beginning_balance",IF(AND(ISNUMBER(O3587),O3587&lt;0,ABS(L3587-(Q3587-IF(ISNUMBER(N3587),N3587,0)+IF(ISNUMBER(P3587),P3587,0)))&lt;=Summary!$B$2),"Negative realized loss not applied - check sign",IF(R3587&lt;0,"Principal paid exceeds prior balance",IF(AND(L3587&gt;Q3587,NOT(ISNUMBER(P3587))),"Balance increased but no Deferred_interest reported",IF(L3587&gt;R3587,"Reported balance higher than expected (missing increase/OC build)","Reported balance lower than expected (missing decrease)"))))),""))</f>
        <v/>
      </c>
    </row>
    <row r="3588" customFormat="false" ht="15" hidden="false" customHeight="false" outlineLevel="0" collapsed="false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9"/>
      <c r="L3588" s="9"/>
      <c r="M3588" s="9"/>
      <c r="N3588" s="9"/>
      <c r="O3588" s="9"/>
      <c r="P3588" s="9"/>
      <c r="Q3588" s="9"/>
      <c r="R3588" s="9" t="str">
        <f aca="false">IF(AND(A3588&lt;&gt;"",ISNUMBER(Q3588),ISNUMBER(L3588)),ROUND(Q3588-IF(ISNUMBER(N3588),N3588,0)-IF(ISNUMBER(O3588),O3588,0)+IF(ISNUMBER(P3588),P3588,0),2),"")</f>
        <v/>
      </c>
      <c r="S3588" s="9" t="str">
        <f aca="false">IF(R3588="","",ROUND(L3588-R3588,2))</f>
        <v/>
      </c>
      <c r="T3588" s="8" t="str">
        <f aca="false">IF(A3588="","",IF(S3588="","BYPASS",IF(ABS(S3588)&lt;=Summary!$B$2,"PASS","FAIL")))</f>
        <v/>
      </c>
      <c r="U3588" s="8" t="str">
        <f aca="false">IF(T3588="BYPASS",IF(NOT(ISNUMBER(Q3588)),"PreV_ETB missing","End_tr_balance missing"),IF(T3588="FAIL",IF(AND(ISNUMBER(K3588),ISNUMBER(L3588),ABS(L3588-(K3588-IF(ISNUMBER(N3588),N3588,0)-IF(ISNUMBER(O3588),O3588,0)+IF(ISNUMBER(P3588),P3588,0)))&lt;=Summary!$B$2),"Passes using beginning_balance - PreV_ETB differs from beginning_balance",IF(AND(ISNUMBER(O3588),O3588&lt;0,ABS(L3588-(Q3588-IF(ISNUMBER(N3588),N3588,0)+IF(ISNUMBER(P3588),P3588,0)))&lt;=Summary!$B$2),"Negative realized loss not applied - check sign",IF(R3588&lt;0,"Principal paid exceeds prior balance",IF(AND(L3588&gt;Q3588,NOT(ISNUMBER(P3588))),"Balance increased but no Deferred_interest reported",IF(L3588&gt;R3588,"Reported balance higher than expected (missing increase/OC build)","Reported balance lower than expected (missing decrease)"))))),""))</f>
        <v/>
      </c>
    </row>
    <row r="3589" customFormat="false" ht="15" hidden="false" customHeight="false" outlineLevel="0" collapsed="false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9"/>
      <c r="L3589" s="9"/>
      <c r="M3589" s="9"/>
      <c r="N3589" s="9"/>
      <c r="O3589" s="9"/>
      <c r="P3589" s="9"/>
      <c r="Q3589" s="9"/>
      <c r="R3589" s="9" t="str">
        <f aca="false">IF(AND(A3589&lt;&gt;"",ISNUMBER(Q3589),ISNUMBER(L3589)),ROUND(Q3589-IF(ISNUMBER(N3589),N3589,0)-IF(ISNUMBER(O3589),O3589,0)+IF(ISNUMBER(P3589),P3589,0),2),"")</f>
        <v/>
      </c>
      <c r="S3589" s="9" t="str">
        <f aca="false">IF(R3589="","",ROUND(L3589-R3589,2))</f>
        <v/>
      </c>
      <c r="T3589" s="8" t="str">
        <f aca="false">IF(A3589="","",IF(S3589="","BYPASS",IF(ABS(S3589)&lt;=Summary!$B$2,"PASS","FAIL")))</f>
        <v/>
      </c>
      <c r="U3589" s="8" t="str">
        <f aca="false">IF(T3589="BYPASS",IF(NOT(ISNUMBER(Q3589)),"PreV_ETB missing","End_tr_balance missing"),IF(T3589="FAIL",IF(AND(ISNUMBER(K3589),ISNUMBER(L3589),ABS(L3589-(K3589-IF(ISNUMBER(N3589),N3589,0)-IF(ISNUMBER(O3589),O3589,0)+IF(ISNUMBER(P3589),P3589,0)))&lt;=Summary!$B$2),"Passes using beginning_balance - PreV_ETB differs from beginning_balance",IF(AND(ISNUMBER(O3589),O3589&lt;0,ABS(L3589-(Q3589-IF(ISNUMBER(N3589),N3589,0)+IF(ISNUMBER(P3589),P3589,0)))&lt;=Summary!$B$2),"Negative realized loss not applied - check sign",IF(R3589&lt;0,"Principal paid exceeds prior balance",IF(AND(L3589&gt;Q3589,NOT(ISNUMBER(P3589))),"Balance increased but no Deferred_interest reported",IF(L3589&gt;R3589,"Reported balance higher than expected (missing increase/OC build)","Reported balance lower than expected (missing decrease)"))))),""))</f>
        <v/>
      </c>
    </row>
    <row r="3590" customFormat="false" ht="15" hidden="false" customHeight="false" outlineLevel="0" collapsed="false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9"/>
      <c r="L3590" s="9"/>
      <c r="M3590" s="9"/>
      <c r="N3590" s="9"/>
      <c r="O3590" s="9"/>
      <c r="P3590" s="9"/>
      <c r="Q3590" s="9"/>
      <c r="R3590" s="9" t="str">
        <f aca="false">IF(AND(A3590&lt;&gt;"",ISNUMBER(Q3590),ISNUMBER(L3590)),ROUND(Q3590-IF(ISNUMBER(N3590),N3590,0)-IF(ISNUMBER(O3590),O3590,0)+IF(ISNUMBER(P3590),P3590,0),2),"")</f>
        <v/>
      </c>
      <c r="S3590" s="9" t="str">
        <f aca="false">IF(R3590="","",ROUND(L3590-R3590,2))</f>
        <v/>
      </c>
      <c r="T3590" s="8" t="str">
        <f aca="false">IF(A3590="","",IF(S3590="","BYPASS",IF(ABS(S3590)&lt;=Summary!$B$2,"PASS","FAIL")))</f>
        <v/>
      </c>
      <c r="U3590" s="8" t="str">
        <f aca="false">IF(T3590="BYPASS",IF(NOT(ISNUMBER(Q3590)),"PreV_ETB missing","End_tr_balance missing"),IF(T3590="FAIL",IF(AND(ISNUMBER(K3590),ISNUMBER(L3590),ABS(L3590-(K3590-IF(ISNUMBER(N3590),N3590,0)-IF(ISNUMBER(O3590),O3590,0)+IF(ISNUMBER(P3590),P3590,0)))&lt;=Summary!$B$2),"Passes using beginning_balance - PreV_ETB differs from beginning_balance",IF(AND(ISNUMBER(O3590),O3590&lt;0,ABS(L3590-(Q3590-IF(ISNUMBER(N3590),N3590,0)+IF(ISNUMBER(P3590),P3590,0)))&lt;=Summary!$B$2),"Negative realized loss not applied - check sign",IF(R3590&lt;0,"Principal paid exceeds prior balance",IF(AND(L3590&gt;Q3590,NOT(ISNUMBER(P3590))),"Balance increased but no Deferred_interest reported",IF(L3590&gt;R3590,"Reported balance higher than expected (missing increase/OC build)","Reported balance lower than expected (missing decrease)"))))),""))</f>
        <v/>
      </c>
    </row>
    <row r="3591" customFormat="false" ht="15" hidden="false" customHeight="false" outlineLevel="0" collapsed="false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9"/>
      <c r="L3591" s="9"/>
      <c r="M3591" s="9"/>
      <c r="N3591" s="9"/>
      <c r="O3591" s="9"/>
      <c r="P3591" s="9"/>
      <c r="Q3591" s="9"/>
      <c r="R3591" s="9" t="str">
        <f aca="false">IF(AND(A3591&lt;&gt;"",ISNUMBER(Q3591),ISNUMBER(L3591)),ROUND(Q3591-IF(ISNUMBER(N3591),N3591,0)-IF(ISNUMBER(O3591),O3591,0)+IF(ISNUMBER(P3591),P3591,0),2),"")</f>
        <v/>
      </c>
      <c r="S3591" s="9" t="str">
        <f aca="false">IF(R3591="","",ROUND(L3591-R3591,2))</f>
        <v/>
      </c>
      <c r="T3591" s="8" t="str">
        <f aca="false">IF(A3591="","",IF(S3591="","BYPASS",IF(ABS(S3591)&lt;=Summary!$B$2,"PASS","FAIL")))</f>
        <v/>
      </c>
      <c r="U3591" s="8" t="str">
        <f aca="false">IF(T3591="BYPASS",IF(NOT(ISNUMBER(Q3591)),"PreV_ETB missing","End_tr_balance missing"),IF(T3591="FAIL",IF(AND(ISNUMBER(K3591),ISNUMBER(L3591),ABS(L3591-(K3591-IF(ISNUMBER(N3591),N3591,0)-IF(ISNUMBER(O3591),O3591,0)+IF(ISNUMBER(P3591),P3591,0)))&lt;=Summary!$B$2),"Passes using beginning_balance - PreV_ETB differs from beginning_balance",IF(AND(ISNUMBER(O3591),O3591&lt;0,ABS(L3591-(Q3591-IF(ISNUMBER(N3591),N3591,0)+IF(ISNUMBER(P3591),P3591,0)))&lt;=Summary!$B$2),"Negative realized loss not applied - check sign",IF(R3591&lt;0,"Principal paid exceeds prior balance",IF(AND(L3591&gt;Q3591,NOT(ISNUMBER(P3591))),"Balance increased but no Deferred_interest reported",IF(L3591&gt;R3591,"Reported balance higher than expected (missing increase/OC build)","Reported balance lower than expected (missing decrease)"))))),""))</f>
        <v/>
      </c>
    </row>
    <row r="3592" customFormat="false" ht="15" hidden="false" customHeight="false" outlineLevel="0" collapsed="false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9"/>
      <c r="L3592" s="9"/>
      <c r="M3592" s="9"/>
      <c r="N3592" s="9"/>
      <c r="O3592" s="9"/>
      <c r="P3592" s="9"/>
      <c r="Q3592" s="9"/>
      <c r="R3592" s="9" t="str">
        <f aca="false">IF(AND(A3592&lt;&gt;"",ISNUMBER(Q3592),ISNUMBER(L3592)),ROUND(Q3592-IF(ISNUMBER(N3592),N3592,0)-IF(ISNUMBER(O3592),O3592,0)+IF(ISNUMBER(P3592),P3592,0),2),"")</f>
        <v/>
      </c>
      <c r="S3592" s="9" t="str">
        <f aca="false">IF(R3592="","",ROUND(L3592-R3592,2))</f>
        <v/>
      </c>
      <c r="T3592" s="8" t="str">
        <f aca="false">IF(A3592="","",IF(S3592="","BYPASS",IF(ABS(S3592)&lt;=Summary!$B$2,"PASS","FAIL")))</f>
        <v/>
      </c>
      <c r="U3592" s="8" t="str">
        <f aca="false">IF(T3592="BYPASS",IF(NOT(ISNUMBER(Q3592)),"PreV_ETB missing","End_tr_balance missing"),IF(T3592="FAIL",IF(AND(ISNUMBER(K3592),ISNUMBER(L3592),ABS(L3592-(K3592-IF(ISNUMBER(N3592),N3592,0)-IF(ISNUMBER(O3592),O3592,0)+IF(ISNUMBER(P3592),P3592,0)))&lt;=Summary!$B$2),"Passes using beginning_balance - PreV_ETB differs from beginning_balance",IF(AND(ISNUMBER(O3592),O3592&lt;0,ABS(L3592-(Q3592-IF(ISNUMBER(N3592),N3592,0)+IF(ISNUMBER(P3592),P3592,0)))&lt;=Summary!$B$2),"Negative realized loss not applied - check sign",IF(R3592&lt;0,"Principal paid exceeds prior balance",IF(AND(L3592&gt;Q3592,NOT(ISNUMBER(P3592))),"Balance increased but no Deferred_interest reported",IF(L3592&gt;R3592,"Reported balance higher than expected (missing increase/OC build)","Reported balance lower than expected (missing decrease)"))))),""))</f>
        <v/>
      </c>
    </row>
    <row r="3593" customFormat="false" ht="15" hidden="false" customHeight="false" outlineLevel="0" collapsed="false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9"/>
      <c r="L3593" s="9"/>
      <c r="M3593" s="9"/>
      <c r="N3593" s="9"/>
      <c r="O3593" s="9"/>
      <c r="P3593" s="9"/>
      <c r="Q3593" s="9"/>
      <c r="R3593" s="9" t="str">
        <f aca="false">IF(AND(A3593&lt;&gt;"",ISNUMBER(Q3593),ISNUMBER(L3593)),ROUND(Q3593-IF(ISNUMBER(N3593),N3593,0)-IF(ISNUMBER(O3593),O3593,0)+IF(ISNUMBER(P3593),P3593,0),2),"")</f>
        <v/>
      </c>
      <c r="S3593" s="9" t="str">
        <f aca="false">IF(R3593="","",ROUND(L3593-R3593,2))</f>
        <v/>
      </c>
      <c r="T3593" s="8" t="str">
        <f aca="false">IF(A3593="","",IF(S3593="","BYPASS",IF(ABS(S3593)&lt;=Summary!$B$2,"PASS","FAIL")))</f>
        <v/>
      </c>
      <c r="U3593" s="8" t="str">
        <f aca="false">IF(T3593="BYPASS",IF(NOT(ISNUMBER(Q3593)),"PreV_ETB missing","End_tr_balance missing"),IF(T3593="FAIL",IF(AND(ISNUMBER(K3593),ISNUMBER(L3593),ABS(L3593-(K3593-IF(ISNUMBER(N3593),N3593,0)-IF(ISNUMBER(O3593),O3593,0)+IF(ISNUMBER(P3593),P3593,0)))&lt;=Summary!$B$2),"Passes using beginning_balance - PreV_ETB differs from beginning_balance",IF(AND(ISNUMBER(O3593),O3593&lt;0,ABS(L3593-(Q3593-IF(ISNUMBER(N3593),N3593,0)+IF(ISNUMBER(P3593),P3593,0)))&lt;=Summary!$B$2),"Negative realized loss not applied - check sign",IF(R3593&lt;0,"Principal paid exceeds prior balance",IF(AND(L3593&gt;Q3593,NOT(ISNUMBER(P3593))),"Balance increased but no Deferred_interest reported",IF(L3593&gt;R3593,"Reported balance higher than expected (missing increase/OC build)","Reported balance lower than expected (missing decrease)"))))),""))</f>
        <v/>
      </c>
    </row>
    <row r="3594" customFormat="false" ht="15" hidden="false" customHeight="false" outlineLevel="0" collapsed="false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9"/>
      <c r="L3594" s="9"/>
      <c r="M3594" s="9"/>
      <c r="N3594" s="9"/>
      <c r="O3594" s="9"/>
      <c r="P3594" s="9"/>
      <c r="Q3594" s="9"/>
      <c r="R3594" s="9" t="str">
        <f aca="false">IF(AND(A3594&lt;&gt;"",ISNUMBER(Q3594),ISNUMBER(L3594)),ROUND(Q3594-IF(ISNUMBER(N3594),N3594,0)-IF(ISNUMBER(O3594),O3594,0)+IF(ISNUMBER(P3594),P3594,0),2),"")</f>
        <v/>
      </c>
      <c r="S3594" s="9" t="str">
        <f aca="false">IF(R3594="","",ROUND(L3594-R3594,2))</f>
        <v/>
      </c>
      <c r="T3594" s="8" t="str">
        <f aca="false">IF(A3594="","",IF(S3594="","BYPASS",IF(ABS(S3594)&lt;=Summary!$B$2,"PASS","FAIL")))</f>
        <v/>
      </c>
      <c r="U3594" s="8" t="str">
        <f aca="false">IF(T3594="BYPASS",IF(NOT(ISNUMBER(Q3594)),"PreV_ETB missing","End_tr_balance missing"),IF(T3594="FAIL",IF(AND(ISNUMBER(K3594),ISNUMBER(L3594),ABS(L3594-(K3594-IF(ISNUMBER(N3594),N3594,0)-IF(ISNUMBER(O3594),O3594,0)+IF(ISNUMBER(P3594),P3594,0)))&lt;=Summary!$B$2),"Passes using beginning_balance - PreV_ETB differs from beginning_balance",IF(AND(ISNUMBER(O3594),O3594&lt;0,ABS(L3594-(Q3594-IF(ISNUMBER(N3594),N3594,0)+IF(ISNUMBER(P3594),P3594,0)))&lt;=Summary!$B$2),"Negative realized loss not applied - check sign",IF(R3594&lt;0,"Principal paid exceeds prior balance",IF(AND(L3594&gt;Q3594,NOT(ISNUMBER(P3594))),"Balance increased but no Deferred_interest reported",IF(L3594&gt;R3594,"Reported balance higher than expected (missing increase/OC build)","Reported balance lower than expected (missing decrease)"))))),""))</f>
        <v/>
      </c>
    </row>
    <row r="3595" customFormat="false" ht="15" hidden="false" customHeight="false" outlineLevel="0" collapsed="false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9"/>
      <c r="L3595" s="9"/>
      <c r="M3595" s="9"/>
      <c r="N3595" s="9"/>
      <c r="O3595" s="9"/>
      <c r="P3595" s="9"/>
      <c r="Q3595" s="9"/>
      <c r="R3595" s="9" t="str">
        <f aca="false">IF(AND(A3595&lt;&gt;"",ISNUMBER(Q3595),ISNUMBER(L3595)),ROUND(Q3595-IF(ISNUMBER(N3595),N3595,0)-IF(ISNUMBER(O3595),O3595,0)+IF(ISNUMBER(P3595),P3595,0),2),"")</f>
        <v/>
      </c>
      <c r="S3595" s="9" t="str">
        <f aca="false">IF(R3595="","",ROUND(L3595-R3595,2))</f>
        <v/>
      </c>
      <c r="T3595" s="8" t="str">
        <f aca="false">IF(A3595="","",IF(S3595="","BYPASS",IF(ABS(S3595)&lt;=Summary!$B$2,"PASS","FAIL")))</f>
        <v/>
      </c>
      <c r="U3595" s="8" t="str">
        <f aca="false">IF(T3595="BYPASS",IF(NOT(ISNUMBER(Q3595)),"PreV_ETB missing","End_tr_balance missing"),IF(T3595="FAIL",IF(AND(ISNUMBER(K3595),ISNUMBER(L3595),ABS(L3595-(K3595-IF(ISNUMBER(N3595),N3595,0)-IF(ISNUMBER(O3595),O3595,0)+IF(ISNUMBER(P3595),P3595,0)))&lt;=Summary!$B$2),"Passes using beginning_balance - PreV_ETB differs from beginning_balance",IF(AND(ISNUMBER(O3595),O3595&lt;0,ABS(L3595-(Q3595-IF(ISNUMBER(N3595),N3595,0)+IF(ISNUMBER(P3595),P3595,0)))&lt;=Summary!$B$2),"Negative realized loss not applied - check sign",IF(R3595&lt;0,"Principal paid exceeds prior balance",IF(AND(L3595&gt;Q3595,NOT(ISNUMBER(P3595))),"Balance increased but no Deferred_interest reported",IF(L3595&gt;R3595,"Reported balance higher than expected (missing increase/OC build)","Reported balance lower than expected (missing decrease)"))))),""))</f>
        <v/>
      </c>
    </row>
    <row r="3596" customFormat="false" ht="15" hidden="false" customHeight="false" outlineLevel="0" collapsed="false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9"/>
      <c r="L3596" s="9"/>
      <c r="M3596" s="9"/>
      <c r="N3596" s="9"/>
      <c r="O3596" s="9"/>
      <c r="P3596" s="9"/>
      <c r="Q3596" s="9"/>
      <c r="R3596" s="9" t="str">
        <f aca="false">IF(AND(A3596&lt;&gt;"",ISNUMBER(Q3596),ISNUMBER(L3596)),ROUND(Q3596-IF(ISNUMBER(N3596),N3596,0)-IF(ISNUMBER(O3596),O3596,0)+IF(ISNUMBER(P3596),P3596,0),2),"")</f>
        <v/>
      </c>
      <c r="S3596" s="9" t="str">
        <f aca="false">IF(R3596="","",ROUND(L3596-R3596,2))</f>
        <v/>
      </c>
      <c r="T3596" s="8" t="str">
        <f aca="false">IF(A3596="","",IF(S3596="","BYPASS",IF(ABS(S3596)&lt;=Summary!$B$2,"PASS","FAIL")))</f>
        <v/>
      </c>
      <c r="U3596" s="8" t="str">
        <f aca="false">IF(T3596="BYPASS",IF(NOT(ISNUMBER(Q3596)),"PreV_ETB missing","End_tr_balance missing"),IF(T3596="FAIL",IF(AND(ISNUMBER(K3596),ISNUMBER(L3596),ABS(L3596-(K3596-IF(ISNUMBER(N3596),N3596,0)-IF(ISNUMBER(O3596),O3596,0)+IF(ISNUMBER(P3596),P3596,0)))&lt;=Summary!$B$2),"Passes using beginning_balance - PreV_ETB differs from beginning_balance",IF(AND(ISNUMBER(O3596),O3596&lt;0,ABS(L3596-(Q3596-IF(ISNUMBER(N3596),N3596,0)+IF(ISNUMBER(P3596),P3596,0)))&lt;=Summary!$B$2),"Negative realized loss not applied - check sign",IF(R3596&lt;0,"Principal paid exceeds prior balance",IF(AND(L3596&gt;Q3596,NOT(ISNUMBER(P3596))),"Balance increased but no Deferred_interest reported",IF(L3596&gt;R3596,"Reported balance higher than expected (missing increase/OC build)","Reported balance lower than expected (missing decrease)"))))),""))</f>
        <v/>
      </c>
    </row>
    <row r="3597" customFormat="false" ht="15" hidden="false" customHeight="false" outlineLevel="0" collapsed="false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9"/>
      <c r="L3597" s="9"/>
      <c r="M3597" s="9"/>
      <c r="N3597" s="9"/>
      <c r="O3597" s="9"/>
      <c r="P3597" s="9"/>
      <c r="Q3597" s="9"/>
      <c r="R3597" s="9" t="str">
        <f aca="false">IF(AND(A3597&lt;&gt;"",ISNUMBER(Q3597),ISNUMBER(L3597)),ROUND(Q3597-IF(ISNUMBER(N3597),N3597,0)-IF(ISNUMBER(O3597),O3597,0)+IF(ISNUMBER(P3597),P3597,0),2),"")</f>
        <v/>
      </c>
      <c r="S3597" s="9" t="str">
        <f aca="false">IF(R3597="","",ROUND(L3597-R3597,2))</f>
        <v/>
      </c>
      <c r="T3597" s="8" t="str">
        <f aca="false">IF(A3597="","",IF(S3597="","BYPASS",IF(ABS(S3597)&lt;=Summary!$B$2,"PASS","FAIL")))</f>
        <v/>
      </c>
      <c r="U3597" s="8" t="str">
        <f aca="false">IF(T3597="BYPASS",IF(NOT(ISNUMBER(Q3597)),"PreV_ETB missing","End_tr_balance missing"),IF(T3597="FAIL",IF(AND(ISNUMBER(K3597),ISNUMBER(L3597),ABS(L3597-(K3597-IF(ISNUMBER(N3597),N3597,0)-IF(ISNUMBER(O3597),O3597,0)+IF(ISNUMBER(P3597),P3597,0)))&lt;=Summary!$B$2),"Passes using beginning_balance - PreV_ETB differs from beginning_balance",IF(AND(ISNUMBER(O3597),O3597&lt;0,ABS(L3597-(Q3597-IF(ISNUMBER(N3597),N3597,0)+IF(ISNUMBER(P3597),P3597,0)))&lt;=Summary!$B$2),"Negative realized loss not applied - check sign",IF(R3597&lt;0,"Principal paid exceeds prior balance",IF(AND(L3597&gt;Q3597,NOT(ISNUMBER(P3597))),"Balance increased but no Deferred_interest reported",IF(L3597&gt;R3597,"Reported balance higher than expected (missing increase/OC build)","Reported balance lower than expected (missing decrease)"))))),""))</f>
        <v/>
      </c>
    </row>
    <row r="3598" customFormat="false" ht="15" hidden="false" customHeight="false" outlineLevel="0" collapsed="false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9"/>
      <c r="L3598" s="9"/>
      <c r="M3598" s="9"/>
      <c r="N3598" s="9"/>
      <c r="O3598" s="9"/>
      <c r="P3598" s="9"/>
      <c r="Q3598" s="9"/>
      <c r="R3598" s="9" t="str">
        <f aca="false">IF(AND(A3598&lt;&gt;"",ISNUMBER(Q3598),ISNUMBER(L3598)),ROUND(Q3598-IF(ISNUMBER(N3598),N3598,0)-IF(ISNUMBER(O3598),O3598,0)+IF(ISNUMBER(P3598),P3598,0),2),"")</f>
        <v/>
      </c>
      <c r="S3598" s="9" t="str">
        <f aca="false">IF(R3598="","",ROUND(L3598-R3598,2))</f>
        <v/>
      </c>
      <c r="T3598" s="8" t="str">
        <f aca="false">IF(A3598="","",IF(S3598="","BYPASS",IF(ABS(S3598)&lt;=Summary!$B$2,"PASS","FAIL")))</f>
        <v/>
      </c>
      <c r="U3598" s="8" t="str">
        <f aca="false">IF(T3598="BYPASS",IF(NOT(ISNUMBER(Q3598)),"PreV_ETB missing","End_tr_balance missing"),IF(T3598="FAIL",IF(AND(ISNUMBER(K3598),ISNUMBER(L3598),ABS(L3598-(K3598-IF(ISNUMBER(N3598),N3598,0)-IF(ISNUMBER(O3598),O3598,0)+IF(ISNUMBER(P3598),P3598,0)))&lt;=Summary!$B$2),"Passes using beginning_balance - PreV_ETB differs from beginning_balance",IF(AND(ISNUMBER(O3598),O3598&lt;0,ABS(L3598-(Q3598-IF(ISNUMBER(N3598),N3598,0)+IF(ISNUMBER(P3598),P3598,0)))&lt;=Summary!$B$2),"Negative realized loss not applied - check sign",IF(R3598&lt;0,"Principal paid exceeds prior balance",IF(AND(L3598&gt;Q3598,NOT(ISNUMBER(P3598))),"Balance increased but no Deferred_interest reported",IF(L3598&gt;R3598,"Reported balance higher than expected (missing increase/OC build)","Reported balance lower than expected (missing decrease)"))))),""))</f>
        <v/>
      </c>
    </row>
    <row r="3599" customFormat="false" ht="15" hidden="false" customHeight="false" outlineLevel="0" collapsed="false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9"/>
      <c r="L3599" s="9"/>
      <c r="M3599" s="9"/>
      <c r="N3599" s="9"/>
      <c r="O3599" s="9"/>
      <c r="P3599" s="9"/>
      <c r="Q3599" s="9"/>
      <c r="R3599" s="9" t="str">
        <f aca="false">IF(AND(A3599&lt;&gt;"",ISNUMBER(Q3599),ISNUMBER(L3599)),ROUND(Q3599-IF(ISNUMBER(N3599),N3599,0)-IF(ISNUMBER(O3599),O3599,0)+IF(ISNUMBER(P3599),P3599,0),2),"")</f>
        <v/>
      </c>
      <c r="S3599" s="9" t="str">
        <f aca="false">IF(R3599="","",ROUND(L3599-R3599,2))</f>
        <v/>
      </c>
      <c r="T3599" s="8" t="str">
        <f aca="false">IF(A3599="","",IF(S3599="","BYPASS",IF(ABS(S3599)&lt;=Summary!$B$2,"PASS","FAIL")))</f>
        <v/>
      </c>
      <c r="U3599" s="8" t="str">
        <f aca="false">IF(T3599="BYPASS",IF(NOT(ISNUMBER(Q3599)),"PreV_ETB missing","End_tr_balance missing"),IF(T3599="FAIL",IF(AND(ISNUMBER(K3599),ISNUMBER(L3599),ABS(L3599-(K3599-IF(ISNUMBER(N3599),N3599,0)-IF(ISNUMBER(O3599),O3599,0)+IF(ISNUMBER(P3599),P3599,0)))&lt;=Summary!$B$2),"Passes using beginning_balance - PreV_ETB differs from beginning_balance",IF(AND(ISNUMBER(O3599),O3599&lt;0,ABS(L3599-(Q3599-IF(ISNUMBER(N3599),N3599,0)+IF(ISNUMBER(P3599),P3599,0)))&lt;=Summary!$B$2),"Negative realized loss not applied - check sign",IF(R3599&lt;0,"Principal paid exceeds prior balance",IF(AND(L3599&gt;Q3599,NOT(ISNUMBER(P3599))),"Balance increased but no Deferred_interest reported",IF(L3599&gt;R3599,"Reported balance higher than expected (missing increase/OC build)","Reported balance lower than expected (missing decrease)"))))),""))</f>
        <v/>
      </c>
    </row>
    <row r="3600" customFormat="false" ht="15" hidden="false" customHeight="false" outlineLevel="0" collapsed="false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9"/>
      <c r="L3600" s="9"/>
      <c r="M3600" s="9"/>
      <c r="N3600" s="9"/>
      <c r="O3600" s="9"/>
      <c r="P3600" s="9"/>
      <c r="Q3600" s="9"/>
      <c r="R3600" s="9" t="str">
        <f aca="false">IF(AND(A3600&lt;&gt;"",ISNUMBER(Q3600),ISNUMBER(L3600)),ROUND(Q3600-IF(ISNUMBER(N3600),N3600,0)-IF(ISNUMBER(O3600),O3600,0)+IF(ISNUMBER(P3600),P3600,0),2),"")</f>
        <v/>
      </c>
      <c r="S3600" s="9" t="str">
        <f aca="false">IF(R3600="","",ROUND(L3600-R3600,2))</f>
        <v/>
      </c>
      <c r="T3600" s="8" t="str">
        <f aca="false">IF(A3600="","",IF(S3600="","BYPASS",IF(ABS(S3600)&lt;=Summary!$B$2,"PASS","FAIL")))</f>
        <v/>
      </c>
      <c r="U3600" s="8" t="str">
        <f aca="false">IF(T3600="BYPASS",IF(NOT(ISNUMBER(Q3600)),"PreV_ETB missing","End_tr_balance missing"),IF(T3600="FAIL",IF(AND(ISNUMBER(K3600),ISNUMBER(L3600),ABS(L3600-(K3600-IF(ISNUMBER(N3600),N3600,0)-IF(ISNUMBER(O3600),O3600,0)+IF(ISNUMBER(P3600),P3600,0)))&lt;=Summary!$B$2),"Passes using beginning_balance - PreV_ETB differs from beginning_balance",IF(AND(ISNUMBER(O3600),O3600&lt;0,ABS(L3600-(Q3600-IF(ISNUMBER(N3600),N3600,0)+IF(ISNUMBER(P3600),P3600,0)))&lt;=Summary!$B$2),"Negative realized loss not applied - check sign",IF(R3600&lt;0,"Principal paid exceeds prior balance",IF(AND(L3600&gt;Q3600,NOT(ISNUMBER(P3600))),"Balance increased but no Deferred_interest reported",IF(L3600&gt;R3600,"Reported balance higher than expected (missing increase/OC build)","Reported balance lower than expected (missing decrease)"))))),""))</f>
        <v/>
      </c>
    </row>
    <row r="3601" customFormat="false" ht="15" hidden="false" customHeight="false" outlineLevel="0" collapsed="false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9"/>
      <c r="L3601" s="9"/>
      <c r="M3601" s="9"/>
      <c r="N3601" s="9"/>
      <c r="O3601" s="9"/>
      <c r="P3601" s="9"/>
      <c r="Q3601" s="9"/>
      <c r="R3601" s="9" t="str">
        <f aca="false">IF(AND(A3601&lt;&gt;"",ISNUMBER(Q3601),ISNUMBER(L3601)),ROUND(Q3601-IF(ISNUMBER(N3601),N3601,0)-IF(ISNUMBER(O3601),O3601,0)+IF(ISNUMBER(P3601),P3601,0),2),"")</f>
        <v/>
      </c>
      <c r="S3601" s="9" t="str">
        <f aca="false">IF(R3601="","",ROUND(L3601-R3601,2))</f>
        <v/>
      </c>
      <c r="T3601" s="8" t="str">
        <f aca="false">IF(A3601="","",IF(S3601="","BYPASS",IF(ABS(S3601)&lt;=Summary!$B$2,"PASS","FAIL")))</f>
        <v/>
      </c>
      <c r="U3601" s="8" t="str">
        <f aca="false">IF(T3601="BYPASS",IF(NOT(ISNUMBER(Q3601)),"PreV_ETB missing","End_tr_balance missing"),IF(T3601="FAIL",IF(AND(ISNUMBER(K3601),ISNUMBER(L3601),ABS(L3601-(K3601-IF(ISNUMBER(N3601),N3601,0)-IF(ISNUMBER(O3601),O3601,0)+IF(ISNUMBER(P3601),P3601,0)))&lt;=Summary!$B$2),"Passes using beginning_balance - PreV_ETB differs from beginning_balance",IF(AND(ISNUMBER(O3601),O3601&lt;0,ABS(L3601-(Q3601-IF(ISNUMBER(N3601),N3601,0)+IF(ISNUMBER(P3601),P3601,0)))&lt;=Summary!$B$2),"Negative realized loss not applied - check sign",IF(R3601&lt;0,"Principal paid exceeds prior balance",IF(AND(L3601&gt;Q3601,NOT(ISNUMBER(P3601))),"Balance increased but no Deferred_interest reported",IF(L3601&gt;R3601,"Reported balance higher than expected (missing increase/OC build)","Reported balance lower than expected (missing decrease)"))))),""))</f>
        <v/>
      </c>
    </row>
    <row r="3602" customFormat="false" ht="15" hidden="false" customHeight="false" outlineLevel="0" collapsed="false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9"/>
      <c r="L3602" s="9"/>
      <c r="M3602" s="9"/>
      <c r="N3602" s="9"/>
      <c r="O3602" s="9"/>
      <c r="P3602" s="9"/>
      <c r="Q3602" s="9"/>
      <c r="R3602" s="9" t="str">
        <f aca="false">IF(AND(A3602&lt;&gt;"",ISNUMBER(Q3602),ISNUMBER(L3602)),ROUND(Q3602-IF(ISNUMBER(N3602),N3602,0)-IF(ISNUMBER(O3602),O3602,0)+IF(ISNUMBER(P3602),P3602,0),2),"")</f>
        <v/>
      </c>
      <c r="S3602" s="9" t="str">
        <f aca="false">IF(R3602="","",ROUND(L3602-R3602,2))</f>
        <v/>
      </c>
      <c r="T3602" s="8" t="str">
        <f aca="false">IF(A3602="","",IF(S3602="","BYPASS",IF(ABS(S3602)&lt;=Summary!$B$2,"PASS","FAIL")))</f>
        <v/>
      </c>
      <c r="U3602" s="8" t="str">
        <f aca="false">IF(T3602="BYPASS",IF(NOT(ISNUMBER(Q3602)),"PreV_ETB missing","End_tr_balance missing"),IF(T3602="FAIL",IF(AND(ISNUMBER(K3602),ISNUMBER(L3602),ABS(L3602-(K3602-IF(ISNUMBER(N3602),N3602,0)-IF(ISNUMBER(O3602),O3602,0)+IF(ISNUMBER(P3602),P3602,0)))&lt;=Summary!$B$2),"Passes using beginning_balance - PreV_ETB differs from beginning_balance",IF(AND(ISNUMBER(O3602),O3602&lt;0,ABS(L3602-(Q3602-IF(ISNUMBER(N3602),N3602,0)+IF(ISNUMBER(P3602),P3602,0)))&lt;=Summary!$B$2),"Negative realized loss not applied - check sign",IF(R3602&lt;0,"Principal paid exceeds prior balance",IF(AND(L3602&gt;Q3602,NOT(ISNUMBER(P3602))),"Balance increased but no Deferred_interest reported",IF(L3602&gt;R3602,"Reported balance higher than expected (missing increase/OC build)","Reported balance lower than expected (missing decrease)"))))),""))</f>
        <v/>
      </c>
    </row>
    <row r="3603" customFormat="false" ht="15" hidden="false" customHeight="false" outlineLevel="0" collapsed="false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9"/>
      <c r="L3603" s="9"/>
      <c r="M3603" s="9"/>
      <c r="N3603" s="9"/>
      <c r="O3603" s="9"/>
      <c r="P3603" s="9"/>
      <c r="Q3603" s="9"/>
      <c r="R3603" s="9" t="str">
        <f aca="false">IF(AND(A3603&lt;&gt;"",ISNUMBER(Q3603),ISNUMBER(L3603)),ROUND(Q3603-IF(ISNUMBER(N3603),N3603,0)-IF(ISNUMBER(O3603),O3603,0)+IF(ISNUMBER(P3603),P3603,0),2),"")</f>
        <v/>
      </c>
      <c r="S3603" s="9" t="str">
        <f aca="false">IF(R3603="","",ROUND(L3603-R3603,2))</f>
        <v/>
      </c>
      <c r="T3603" s="8" t="str">
        <f aca="false">IF(A3603="","",IF(S3603="","BYPASS",IF(ABS(S3603)&lt;=Summary!$B$2,"PASS","FAIL")))</f>
        <v/>
      </c>
      <c r="U3603" s="8" t="str">
        <f aca="false">IF(T3603="BYPASS",IF(NOT(ISNUMBER(Q3603)),"PreV_ETB missing","End_tr_balance missing"),IF(T3603="FAIL",IF(AND(ISNUMBER(K3603),ISNUMBER(L3603),ABS(L3603-(K3603-IF(ISNUMBER(N3603),N3603,0)-IF(ISNUMBER(O3603),O3603,0)+IF(ISNUMBER(P3603),P3603,0)))&lt;=Summary!$B$2),"Passes using beginning_balance - PreV_ETB differs from beginning_balance",IF(AND(ISNUMBER(O3603),O3603&lt;0,ABS(L3603-(Q3603-IF(ISNUMBER(N3603),N3603,0)+IF(ISNUMBER(P3603),P3603,0)))&lt;=Summary!$B$2),"Negative realized loss not applied - check sign",IF(R3603&lt;0,"Principal paid exceeds prior balance",IF(AND(L3603&gt;Q3603,NOT(ISNUMBER(P3603))),"Balance increased but no Deferred_interest reported",IF(L3603&gt;R3603,"Reported balance higher than expected (missing increase/OC build)","Reported balance lower than expected (missing decrease)"))))),""))</f>
        <v/>
      </c>
    </row>
    <row r="3604" customFormat="false" ht="15" hidden="false" customHeight="false" outlineLevel="0" collapsed="false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9"/>
      <c r="L3604" s="9"/>
      <c r="M3604" s="9"/>
      <c r="N3604" s="9"/>
      <c r="O3604" s="9"/>
      <c r="P3604" s="9"/>
      <c r="Q3604" s="9"/>
      <c r="R3604" s="9" t="str">
        <f aca="false">IF(AND(A3604&lt;&gt;"",ISNUMBER(Q3604),ISNUMBER(L3604)),ROUND(Q3604-IF(ISNUMBER(N3604),N3604,0)-IF(ISNUMBER(O3604),O3604,0)+IF(ISNUMBER(P3604),P3604,0),2),"")</f>
        <v/>
      </c>
      <c r="S3604" s="9" t="str">
        <f aca="false">IF(R3604="","",ROUND(L3604-R3604,2))</f>
        <v/>
      </c>
      <c r="T3604" s="8" t="str">
        <f aca="false">IF(A3604="","",IF(S3604="","BYPASS",IF(ABS(S3604)&lt;=Summary!$B$2,"PASS","FAIL")))</f>
        <v/>
      </c>
      <c r="U3604" s="8" t="str">
        <f aca="false">IF(T3604="BYPASS",IF(NOT(ISNUMBER(Q3604)),"PreV_ETB missing","End_tr_balance missing"),IF(T3604="FAIL",IF(AND(ISNUMBER(K3604),ISNUMBER(L3604),ABS(L3604-(K3604-IF(ISNUMBER(N3604),N3604,0)-IF(ISNUMBER(O3604),O3604,0)+IF(ISNUMBER(P3604),P3604,0)))&lt;=Summary!$B$2),"Passes using beginning_balance - PreV_ETB differs from beginning_balance",IF(AND(ISNUMBER(O3604),O3604&lt;0,ABS(L3604-(Q3604-IF(ISNUMBER(N3604),N3604,0)+IF(ISNUMBER(P3604),P3604,0)))&lt;=Summary!$B$2),"Negative realized loss not applied - check sign",IF(R3604&lt;0,"Principal paid exceeds prior balance",IF(AND(L3604&gt;Q3604,NOT(ISNUMBER(P3604))),"Balance increased but no Deferred_interest reported",IF(L3604&gt;R3604,"Reported balance higher than expected (missing increase/OC build)","Reported balance lower than expected (missing decrease)"))))),""))</f>
        <v/>
      </c>
    </row>
    <row r="3605" customFormat="false" ht="15" hidden="false" customHeight="false" outlineLevel="0" collapsed="false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9"/>
      <c r="L3605" s="9"/>
      <c r="M3605" s="9"/>
      <c r="N3605" s="9"/>
      <c r="O3605" s="9"/>
      <c r="P3605" s="9"/>
      <c r="Q3605" s="9"/>
      <c r="R3605" s="9" t="str">
        <f aca="false">IF(AND(A3605&lt;&gt;"",ISNUMBER(Q3605),ISNUMBER(L3605)),ROUND(Q3605-IF(ISNUMBER(N3605),N3605,0)-IF(ISNUMBER(O3605),O3605,0)+IF(ISNUMBER(P3605),P3605,0),2),"")</f>
        <v/>
      </c>
      <c r="S3605" s="9" t="str">
        <f aca="false">IF(R3605="","",ROUND(L3605-R3605,2))</f>
        <v/>
      </c>
      <c r="T3605" s="8" t="str">
        <f aca="false">IF(A3605="","",IF(S3605="","BYPASS",IF(ABS(S3605)&lt;=Summary!$B$2,"PASS","FAIL")))</f>
        <v/>
      </c>
      <c r="U3605" s="8" t="str">
        <f aca="false">IF(T3605="BYPASS",IF(NOT(ISNUMBER(Q3605)),"PreV_ETB missing","End_tr_balance missing"),IF(T3605="FAIL",IF(AND(ISNUMBER(K3605),ISNUMBER(L3605),ABS(L3605-(K3605-IF(ISNUMBER(N3605),N3605,0)-IF(ISNUMBER(O3605),O3605,0)+IF(ISNUMBER(P3605),P3605,0)))&lt;=Summary!$B$2),"Passes using beginning_balance - PreV_ETB differs from beginning_balance",IF(AND(ISNUMBER(O3605),O3605&lt;0,ABS(L3605-(Q3605-IF(ISNUMBER(N3605),N3605,0)+IF(ISNUMBER(P3605),P3605,0)))&lt;=Summary!$B$2),"Negative realized loss not applied - check sign",IF(R3605&lt;0,"Principal paid exceeds prior balance",IF(AND(L3605&gt;Q3605,NOT(ISNUMBER(P3605))),"Balance increased but no Deferred_interest reported",IF(L3605&gt;R3605,"Reported balance higher than expected (missing increase/OC build)","Reported balance lower than expected (missing decrease)"))))),""))</f>
        <v/>
      </c>
    </row>
    <row r="3606" customFormat="false" ht="15" hidden="false" customHeight="false" outlineLevel="0" collapsed="false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9"/>
      <c r="L3606" s="9"/>
      <c r="M3606" s="9"/>
      <c r="N3606" s="9"/>
      <c r="O3606" s="9"/>
      <c r="P3606" s="9"/>
      <c r="Q3606" s="9"/>
      <c r="R3606" s="9" t="str">
        <f aca="false">IF(AND(A3606&lt;&gt;"",ISNUMBER(Q3606),ISNUMBER(L3606)),ROUND(Q3606-IF(ISNUMBER(N3606),N3606,0)-IF(ISNUMBER(O3606),O3606,0)+IF(ISNUMBER(P3606),P3606,0),2),"")</f>
        <v/>
      </c>
      <c r="S3606" s="9" t="str">
        <f aca="false">IF(R3606="","",ROUND(L3606-R3606,2))</f>
        <v/>
      </c>
      <c r="T3606" s="8" t="str">
        <f aca="false">IF(A3606="","",IF(S3606="","BYPASS",IF(ABS(S3606)&lt;=Summary!$B$2,"PASS","FAIL")))</f>
        <v/>
      </c>
      <c r="U3606" s="8" t="str">
        <f aca="false">IF(T3606="BYPASS",IF(NOT(ISNUMBER(Q3606)),"PreV_ETB missing","End_tr_balance missing"),IF(T3606="FAIL",IF(AND(ISNUMBER(K3606),ISNUMBER(L3606),ABS(L3606-(K3606-IF(ISNUMBER(N3606),N3606,0)-IF(ISNUMBER(O3606),O3606,0)+IF(ISNUMBER(P3606),P3606,0)))&lt;=Summary!$B$2),"Passes using beginning_balance - PreV_ETB differs from beginning_balance",IF(AND(ISNUMBER(O3606),O3606&lt;0,ABS(L3606-(Q3606-IF(ISNUMBER(N3606),N3606,0)+IF(ISNUMBER(P3606),P3606,0)))&lt;=Summary!$B$2),"Negative realized loss not applied - check sign",IF(R3606&lt;0,"Principal paid exceeds prior balance",IF(AND(L3606&gt;Q3606,NOT(ISNUMBER(P3606))),"Balance increased but no Deferred_interest reported",IF(L3606&gt;R3606,"Reported balance higher than expected (missing increase/OC build)","Reported balance lower than expected (missing decrease)"))))),""))</f>
        <v/>
      </c>
    </row>
    <row r="3607" customFormat="false" ht="15" hidden="false" customHeight="false" outlineLevel="0" collapsed="false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9"/>
      <c r="L3607" s="9"/>
      <c r="M3607" s="9"/>
      <c r="N3607" s="9"/>
      <c r="O3607" s="9"/>
      <c r="P3607" s="9"/>
      <c r="Q3607" s="9"/>
      <c r="R3607" s="9" t="str">
        <f aca="false">IF(AND(A3607&lt;&gt;"",ISNUMBER(Q3607),ISNUMBER(L3607)),ROUND(Q3607-IF(ISNUMBER(N3607),N3607,0)-IF(ISNUMBER(O3607),O3607,0)+IF(ISNUMBER(P3607),P3607,0),2),"")</f>
        <v/>
      </c>
      <c r="S3607" s="9" t="str">
        <f aca="false">IF(R3607="","",ROUND(L3607-R3607,2))</f>
        <v/>
      </c>
      <c r="T3607" s="8" t="str">
        <f aca="false">IF(A3607="","",IF(S3607="","BYPASS",IF(ABS(S3607)&lt;=Summary!$B$2,"PASS","FAIL")))</f>
        <v/>
      </c>
      <c r="U3607" s="8" t="str">
        <f aca="false">IF(T3607="BYPASS",IF(NOT(ISNUMBER(Q3607)),"PreV_ETB missing","End_tr_balance missing"),IF(T3607="FAIL",IF(AND(ISNUMBER(K3607),ISNUMBER(L3607),ABS(L3607-(K3607-IF(ISNUMBER(N3607),N3607,0)-IF(ISNUMBER(O3607),O3607,0)+IF(ISNUMBER(P3607),P3607,0)))&lt;=Summary!$B$2),"Passes using beginning_balance - PreV_ETB differs from beginning_balance",IF(AND(ISNUMBER(O3607),O3607&lt;0,ABS(L3607-(Q3607-IF(ISNUMBER(N3607),N3607,0)+IF(ISNUMBER(P3607),P3607,0)))&lt;=Summary!$B$2),"Negative realized loss not applied - check sign",IF(R3607&lt;0,"Principal paid exceeds prior balance",IF(AND(L3607&gt;Q3607,NOT(ISNUMBER(P3607))),"Balance increased but no Deferred_interest reported",IF(L3607&gt;R3607,"Reported balance higher than expected (missing increase/OC build)","Reported balance lower than expected (missing decrease)"))))),""))</f>
        <v/>
      </c>
    </row>
    <row r="3608" customFormat="false" ht="15" hidden="false" customHeight="false" outlineLevel="0" collapsed="false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9"/>
      <c r="L3608" s="9"/>
      <c r="M3608" s="9"/>
      <c r="N3608" s="9"/>
      <c r="O3608" s="9"/>
      <c r="P3608" s="9"/>
      <c r="Q3608" s="9"/>
      <c r="R3608" s="9" t="str">
        <f aca="false">IF(AND(A3608&lt;&gt;"",ISNUMBER(Q3608),ISNUMBER(L3608)),ROUND(Q3608-IF(ISNUMBER(N3608),N3608,0)-IF(ISNUMBER(O3608),O3608,0)+IF(ISNUMBER(P3608),P3608,0),2),"")</f>
        <v/>
      </c>
      <c r="S3608" s="9" t="str">
        <f aca="false">IF(R3608="","",ROUND(L3608-R3608,2))</f>
        <v/>
      </c>
      <c r="T3608" s="8" t="str">
        <f aca="false">IF(A3608="","",IF(S3608="","BYPASS",IF(ABS(S3608)&lt;=Summary!$B$2,"PASS","FAIL")))</f>
        <v/>
      </c>
      <c r="U3608" s="8" t="str">
        <f aca="false">IF(T3608="BYPASS",IF(NOT(ISNUMBER(Q3608)),"PreV_ETB missing","End_tr_balance missing"),IF(T3608="FAIL",IF(AND(ISNUMBER(K3608),ISNUMBER(L3608),ABS(L3608-(K3608-IF(ISNUMBER(N3608),N3608,0)-IF(ISNUMBER(O3608),O3608,0)+IF(ISNUMBER(P3608),P3608,0)))&lt;=Summary!$B$2),"Passes using beginning_balance - PreV_ETB differs from beginning_balance",IF(AND(ISNUMBER(O3608),O3608&lt;0,ABS(L3608-(Q3608-IF(ISNUMBER(N3608),N3608,0)+IF(ISNUMBER(P3608),P3608,0)))&lt;=Summary!$B$2),"Negative realized loss not applied - check sign",IF(R3608&lt;0,"Principal paid exceeds prior balance",IF(AND(L3608&gt;Q3608,NOT(ISNUMBER(P3608))),"Balance increased but no Deferred_interest reported",IF(L3608&gt;R3608,"Reported balance higher than expected (missing increase/OC build)","Reported balance lower than expected (missing decrease)"))))),""))</f>
        <v/>
      </c>
    </row>
    <row r="3609" customFormat="false" ht="15" hidden="false" customHeight="false" outlineLevel="0" collapsed="false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9"/>
      <c r="L3609" s="9"/>
      <c r="M3609" s="9"/>
      <c r="N3609" s="9"/>
      <c r="O3609" s="9"/>
      <c r="P3609" s="9"/>
      <c r="Q3609" s="9"/>
      <c r="R3609" s="9" t="str">
        <f aca="false">IF(AND(A3609&lt;&gt;"",ISNUMBER(Q3609),ISNUMBER(L3609)),ROUND(Q3609-IF(ISNUMBER(N3609),N3609,0)-IF(ISNUMBER(O3609),O3609,0)+IF(ISNUMBER(P3609),P3609,0),2),"")</f>
        <v/>
      </c>
      <c r="S3609" s="9" t="str">
        <f aca="false">IF(R3609="","",ROUND(L3609-R3609,2))</f>
        <v/>
      </c>
      <c r="T3609" s="8" t="str">
        <f aca="false">IF(A3609="","",IF(S3609="","BYPASS",IF(ABS(S3609)&lt;=Summary!$B$2,"PASS","FAIL")))</f>
        <v/>
      </c>
      <c r="U3609" s="8" t="str">
        <f aca="false">IF(T3609="BYPASS",IF(NOT(ISNUMBER(Q3609)),"PreV_ETB missing","End_tr_balance missing"),IF(T3609="FAIL",IF(AND(ISNUMBER(K3609),ISNUMBER(L3609),ABS(L3609-(K3609-IF(ISNUMBER(N3609),N3609,0)-IF(ISNUMBER(O3609),O3609,0)+IF(ISNUMBER(P3609),P3609,0)))&lt;=Summary!$B$2),"Passes using beginning_balance - PreV_ETB differs from beginning_balance",IF(AND(ISNUMBER(O3609),O3609&lt;0,ABS(L3609-(Q3609-IF(ISNUMBER(N3609),N3609,0)+IF(ISNUMBER(P3609),P3609,0)))&lt;=Summary!$B$2),"Negative realized loss not applied - check sign",IF(R3609&lt;0,"Principal paid exceeds prior balance",IF(AND(L3609&gt;Q3609,NOT(ISNUMBER(P3609))),"Balance increased but no Deferred_interest reported",IF(L3609&gt;R3609,"Reported balance higher than expected (missing increase/OC build)","Reported balance lower than expected (missing decrease)"))))),""))</f>
        <v/>
      </c>
    </row>
    <row r="3610" customFormat="false" ht="15" hidden="false" customHeight="false" outlineLevel="0" collapsed="false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9"/>
      <c r="L3610" s="9"/>
      <c r="M3610" s="9"/>
      <c r="N3610" s="9"/>
      <c r="O3610" s="9"/>
      <c r="P3610" s="9"/>
      <c r="Q3610" s="9"/>
      <c r="R3610" s="9" t="str">
        <f aca="false">IF(AND(A3610&lt;&gt;"",ISNUMBER(Q3610),ISNUMBER(L3610)),ROUND(Q3610-IF(ISNUMBER(N3610),N3610,0)-IF(ISNUMBER(O3610),O3610,0)+IF(ISNUMBER(P3610),P3610,0),2),"")</f>
        <v/>
      </c>
      <c r="S3610" s="9" t="str">
        <f aca="false">IF(R3610="","",ROUND(L3610-R3610,2))</f>
        <v/>
      </c>
      <c r="T3610" s="8" t="str">
        <f aca="false">IF(A3610="","",IF(S3610="","BYPASS",IF(ABS(S3610)&lt;=Summary!$B$2,"PASS","FAIL")))</f>
        <v/>
      </c>
      <c r="U3610" s="8" t="str">
        <f aca="false">IF(T3610="BYPASS",IF(NOT(ISNUMBER(Q3610)),"PreV_ETB missing","End_tr_balance missing"),IF(T3610="FAIL",IF(AND(ISNUMBER(K3610),ISNUMBER(L3610),ABS(L3610-(K3610-IF(ISNUMBER(N3610),N3610,0)-IF(ISNUMBER(O3610),O3610,0)+IF(ISNUMBER(P3610),P3610,0)))&lt;=Summary!$B$2),"Passes using beginning_balance - PreV_ETB differs from beginning_balance",IF(AND(ISNUMBER(O3610),O3610&lt;0,ABS(L3610-(Q3610-IF(ISNUMBER(N3610),N3610,0)+IF(ISNUMBER(P3610),P3610,0)))&lt;=Summary!$B$2),"Negative realized loss not applied - check sign",IF(R3610&lt;0,"Principal paid exceeds prior balance",IF(AND(L3610&gt;Q3610,NOT(ISNUMBER(P3610))),"Balance increased but no Deferred_interest reported",IF(L3610&gt;R3610,"Reported balance higher than expected (missing increase/OC build)","Reported balance lower than expected (missing decrease)"))))),""))</f>
        <v/>
      </c>
    </row>
    <row r="3611" customFormat="false" ht="15" hidden="false" customHeight="false" outlineLevel="0" collapsed="false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9"/>
      <c r="L3611" s="9"/>
      <c r="M3611" s="9"/>
      <c r="N3611" s="9"/>
      <c r="O3611" s="9"/>
      <c r="P3611" s="9"/>
      <c r="Q3611" s="9"/>
      <c r="R3611" s="9" t="str">
        <f aca="false">IF(AND(A3611&lt;&gt;"",ISNUMBER(Q3611),ISNUMBER(L3611)),ROUND(Q3611-IF(ISNUMBER(N3611),N3611,0)-IF(ISNUMBER(O3611),O3611,0)+IF(ISNUMBER(P3611),P3611,0),2),"")</f>
        <v/>
      </c>
      <c r="S3611" s="9" t="str">
        <f aca="false">IF(R3611="","",ROUND(L3611-R3611,2))</f>
        <v/>
      </c>
      <c r="T3611" s="8" t="str">
        <f aca="false">IF(A3611="","",IF(S3611="","BYPASS",IF(ABS(S3611)&lt;=Summary!$B$2,"PASS","FAIL")))</f>
        <v/>
      </c>
      <c r="U3611" s="8" t="str">
        <f aca="false">IF(T3611="BYPASS",IF(NOT(ISNUMBER(Q3611)),"PreV_ETB missing","End_tr_balance missing"),IF(T3611="FAIL",IF(AND(ISNUMBER(K3611),ISNUMBER(L3611),ABS(L3611-(K3611-IF(ISNUMBER(N3611),N3611,0)-IF(ISNUMBER(O3611),O3611,0)+IF(ISNUMBER(P3611),P3611,0)))&lt;=Summary!$B$2),"Passes using beginning_balance - PreV_ETB differs from beginning_balance",IF(AND(ISNUMBER(O3611),O3611&lt;0,ABS(L3611-(Q3611-IF(ISNUMBER(N3611),N3611,0)+IF(ISNUMBER(P3611),P3611,0)))&lt;=Summary!$B$2),"Negative realized loss not applied - check sign",IF(R3611&lt;0,"Principal paid exceeds prior balance",IF(AND(L3611&gt;Q3611,NOT(ISNUMBER(P3611))),"Balance increased but no Deferred_interest reported",IF(L3611&gt;R3611,"Reported balance higher than expected (missing increase/OC build)","Reported balance lower than expected (missing decrease)"))))),""))</f>
        <v/>
      </c>
    </row>
    <row r="3612" customFormat="false" ht="15" hidden="false" customHeight="false" outlineLevel="0" collapsed="false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9"/>
      <c r="L3612" s="9"/>
      <c r="M3612" s="9"/>
      <c r="N3612" s="9"/>
      <c r="O3612" s="9"/>
      <c r="P3612" s="9"/>
      <c r="Q3612" s="9"/>
      <c r="R3612" s="9" t="str">
        <f aca="false">IF(AND(A3612&lt;&gt;"",ISNUMBER(Q3612),ISNUMBER(L3612)),ROUND(Q3612-IF(ISNUMBER(N3612),N3612,0)-IF(ISNUMBER(O3612),O3612,0)+IF(ISNUMBER(P3612),P3612,0),2),"")</f>
        <v/>
      </c>
      <c r="S3612" s="9" t="str">
        <f aca="false">IF(R3612="","",ROUND(L3612-R3612,2))</f>
        <v/>
      </c>
      <c r="T3612" s="8" t="str">
        <f aca="false">IF(A3612="","",IF(S3612="","BYPASS",IF(ABS(S3612)&lt;=Summary!$B$2,"PASS","FAIL")))</f>
        <v/>
      </c>
      <c r="U3612" s="8" t="str">
        <f aca="false">IF(T3612="BYPASS",IF(NOT(ISNUMBER(Q3612)),"PreV_ETB missing","End_tr_balance missing"),IF(T3612="FAIL",IF(AND(ISNUMBER(K3612),ISNUMBER(L3612),ABS(L3612-(K3612-IF(ISNUMBER(N3612),N3612,0)-IF(ISNUMBER(O3612),O3612,0)+IF(ISNUMBER(P3612),P3612,0)))&lt;=Summary!$B$2),"Passes using beginning_balance - PreV_ETB differs from beginning_balance",IF(AND(ISNUMBER(O3612),O3612&lt;0,ABS(L3612-(Q3612-IF(ISNUMBER(N3612),N3612,0)+IF(ISNUMBER(P3612),P3612,0)))&lt;=Summary!$B$2),"Negative realized loss not applied - check sign",IF(R3612&lt;0,"Principal paid exceeds prior balance",IF(AND(L3612&gt;Q3612,NOT(ISNUMBER(P3612))),"Balance increased but no Deferred_interest reported",IF(L3612&gt;R3612,"Reported balance higher than expected (missing increase/OC build)","Reported balance lower than expected (missing decrease)"))))),""))</f>
        <v/>
      </c>
    </row>
    <row r="3613" customFormat="false" ht="15" hidden="false" customHeight="false" outlineLevel="0" collapsed="false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9"/>
      <c r="L3613" s="9"/>
      <c r="M3613" s="9"/>
      <c r="N3613" s="9"/>
      <c r="O3613" s="9"/>
      <c r="P3613" s="9"/>
      <c r="Q3613" s="9"/>
      <c r="R3613" s="9" t="str">
        <f aca="false">IF(AND(A3613&lt;&gt;"",ISNUMBER(Q3613),ISNUMBER(L3613)),ROUND(Q3613-IF(ISNUMBER(N3613),N3613,0)-IF(ISNUMBER(O3613),O3613,0)+IF(ISNUMBER(P3613),P3613,0),2),"")</f>
        <v/>
      </c>
      <c r="S3613" s="9" t="str">
        <f aca="false">IF(R3613="","",ROUND(L3613-R3613,2))</f>
        <v/>
      </c>
      <c r="T3613" s="8" t="str">
        <f aca="false">IF(A3613="","",IF(S3613="","BYPASS",IF(ABS(S3613)&lt;=Summary!$B$2,"PASS","FAIL")))</f>
        <v/>
      </c>
      <c r="U3613" s="8" t="str">
        <f aca="false">IF(T3613="BYPASS",IF(NOT(ISNUMBER(Q3613)),"PreV_ETB missing","End_tr_balance missing"),IF(T3613="FAIL",IF(AND(ISNUMBER(K3613),ISNUMBER(L3613),ABS(L3613-(K3613-IF(ISNUMBER(N3613),N3613,0)-IF(ISNUMBER(O3613),O3613,0)+IF(ISNUMBER(P3613),P3613,0)))&lt;=Summary!$B$2),"Passes using beginning_balance - PreV_ETB differs from beginning_balance",IF(AND(ISNUMBER(O3613),O3613&lt;0,ABS(L3613-(Q3613-IF(ISNUMBER(N3613),N3613,0)+IF(ISNUMBER(P3613),P3613,0)))&lt;=Summary!$B$2),"Negative realized loss not applied - check sign",IF(R3613&lt;0,"Principal paid exceeds prior balance",IF(AND(L3613&gt;Q3613,NOT(ISNUMBER(P3613))),"Balance increased but no Deferred_interest reported",IF(L3613&gt;R3613,"Reported balance higher than expected (missing increase/OC build)","Reported balance lower than expected (missing decrease)"))))),""))</f>
        <v/>
      </c>
    </row>
    <row r="3614" customFormat="false" ht="15" hidden="false" customHeight="false" outlineLevel="0" collapsed="false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9"/>
      <c r="L3614" s="9"/>
      <c r="M3614" s="9"/>
      <c r="N3614" s="9"/>
      <c r="O3614" s="9"/>
      <c r="P3614" s="9"/>
      <c r="Q3614" s="9"/>
      <c r="R3614" s="9" t="str">
        <f aca="false">IF(AND(A3614&lt;&gt;"",ISNUMBER(Q3614),ISNUMBER(L3614)),ROUND(Q3614-IF(ISNUMBER(N3614),N3614,0)-IF(ISNUMBER(O3614),O3614,0)+IF(ISNUMBER(P3614),P3614,0),2),"")</f>
        <v/>
      </c>
      <c r="S3614" s="9" t="str">
        <f aca="false">IF(R3614="","",ROUND(L3614-R3614,2))</f>
        <v/>
      </c>
      <c r="T3614" s="8" t="str">
        <f aca="false">IF(A3614="","",IF(S3614="","BYPASS",IF(ABS(S3614)&lt;=Summary!$B$2,"PASS","FAIL")))</f>
        <v/>
      </c>
      <c r="U3614" s="8" t="str">
        <f aca="false">IF(T3614="BYPASS",IF(NOT(ISNUMBER(Q3614)),"PreV_ETB missing","End_tr_balance missing"),IF(T3614="FAIL",IF(AND(ISNUMBER(K3614),ISNUMBER(L3614),ABS(L3614-(K3614-IF(ISNUMBER(N3614),N3614,0)-IF(ISNUMBER(O3614),O3614,0)+IF(ISNUMBER(P3614),P3614,0)))&lt;=Summary!$B$2),"Passes using beginning_balance - PreV_ETB differs from beginning_balance",IF(AND(ISNUMBER(O3614),O3614&lt;0,ABS(L3614-(Q3614-IF(ISNUMBER(N3614),N3614,0)+IF(ISNUMBER(P3614),P3614,0)))&lt;=Summary!$B$2),"Negative realized loss not applied - check sign",IF(R3614&lt;0,"Principal paid exceeds prior balance",IF(AND(L3614&gt;Q3614,NOT(ISNUMBER(P3614))),"Balance increased but no Deferred_interest reported",IF(L3614&gt;R3614,"Reported balance higher than expected (missing increase/OC build)","Reported balance lower than expected (missing decrease)"))))),""))</f>
        <v/>
      </c>
    </row>
    <row r="3615" customFormat="false" ht="15" hidden="false" customHeight="false" outlineLevel="0" collapsed="false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9"/>
      <c r="L3615" s="9"/>
      <c r="M3615" s="9"/>
      <c r="N3615" s="9"/>
      <c r="O3615" s="9"/>
      <c r="P3615" s="9"/>
      <c r="Q3615" s="9"/>
      <c r="R3615" s="9" t="str">
        <f aca="false">IF(AND(A3615&lt;&gt;"",ISNUMBER(Q3615),ISNUMBER(L3615)),ROUND(Q3615-IF(ISNUMBER(N3615),N3615,0)-IF(ISNUMBER(O3615),O3615,0)+IF(ISNUMBER(P3615),P3615,0),2),"")</f>
        <v/>
      </c>
      <c r="S3615" s="9" t="str">
        <f aca="false">IF(R3615="","",ROUND(L3615-R3615,2))</f>
        <v/>
      </c>
      <c r="T3615" s="8" t="str">
        <f aca="false">IF(A3615="","",IF(S3615="","BYPASS",IF(ABS(S3615)&lt;=Summary!$B$2,"PASS","FAIL")))</f>
        <v/>
      </c>
      <c r="U3615" s="8" t="str">
        <f aca="false">IF(T3615="BYPASS",IF(NOT(ISNUMBER(Q3615)),"PreV_ETB missing","End_tr_balance missing"),IF(T3615="FAIL",IF(AND(ISNUMBER(K3615),ISNUMBER(L3615),ABS(L3615-(K3615-IF(ISNUMBER(N3615),N3615,0)-IF(ISNUMBER(O3615),O3615,0)+IF(ISNUMBER(P3615),P3615,0)))&lt;=Summary!$B$2),"Passes using beginning_balance - PreV_ETB differs from beginning_balance",IF(AND(ISNUMBER(O3615),O3615&lt;0,ABS(L3615-(Q3615-IF(ISNUMBER(N3615),N3615,0)+IF(ISNUMBER(P3615),P3615,0)))&lt;=Summary!$B$2),"Negative realized loss not applied - check sign",IF(R3615&lt;0,"Principal paid exceeds prior balance",IF(AND(L3615&gt;Q3615,NOT(ISNUMBER(P3615))),"Balance increased but no Deferred_interest reported",IF(L3615&gt;R3615,"Reported balance higher than expected (missing increase/OC build)","Reported balance lower than expected (missing decrease)"))))),""))</f>
        <v/>
      </c>
    </row>
    <row r="3616" customFormat="false" ht="15" hidden="false" customHeight="false" outlineLevel="0" collapsed="false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9"/>
      <c r="L3616" s="9"/>
      <c r="M3616" s="9"/>
      <c r="N3616" s="9"/>
      <c r="O3616" s="9"/>
      <c r="P3616" s="9"/>
      <c r="Q3616" s="9"/>
      <c r="R3616" s="9" t="str">
        <f aca="false">IF(AND(A3616&lt;&gt;"",ISNUMBER(Q3616),ISNUMBER(L3616)),ROUND(Q3616-IF(ISNUMBER(N3616),N3616,0)-IF(ISNUMBER(O3616),O3616,0)+IF(ISNUMBER(P3616),P3616,0),2),"")</f>
        <v/>
      </c>
      <c r="S3616" s="9" t="str">
        <f aca="false">IF(R3616="","",ROUND(L3616-R3616,2))</f>
        <v/>
      </c>
      <c r="T3616" s="8" t="str">
        <f aca="false">IF(A3616="","",IF(S3616="","BYPASS",IF(ABS(S3616)&lt;=Summary!$B$2,"PASS","FAIL")))</f>
        <v/>
      </c>
      <c r="U3616" s="8" t="str">
        <f aca="false">IF(T3616="BYPASS",IF(NOT(ISNUMBER(Q3616)),"PreV_ETB missing","End_tr_balance missing"),IF(T3616="FAIL",IF(AND(ISNUMBER(K3616),ISNUMBER(L3616),ABS(L3616-(K3616-IF(ISNUMBER(N3616),N3616,0)-IF(ISNUMBER(O3616),O3616,0)+IF(ISNUMBER(P3616),P3616,0)))&lt;=Summary!$B$2),"Passes using beginning_balance - PreV_ETB differs from beginning_balance",IF(AND(ISNUMBER(O3616),O3616&lt;0,ABS(L3616-(Q3616-IF(ISNUMBER(N3616),N3616,0)+IF(ISNUMBER(P3616),P3616,0)))&lt;=Summary!$B$2),"Negative realized loss not applied - check sign",IF(R3616&lt;0,"Principal paid exceeds prior balance",IF(AND(L3616&gt;Q3616,NOT(ISNUMBER(P3616))),"Balance increased but no Deferred_interest reported",IF(L3616&gt;R3616,"Reported balance higher than expected (missing increase/OC build)","Reported balance lower than expected (missing decrease)"))))),""))</f>
        <v/>
      </c>
    </row>
    <row r="3617" customFormat="false" ht="15" hidden="false" customHeight="false" outlineLevel="0" collapsed="false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9"/>
      <c r="L3617" s="9"/>
      <c r="M3617" s="9"/>
      <c r="N3617" s="9"/>
      <c r="O3617" s="9"/>
      <c r="P3617" s="9"/>
      <c r="Q3617" s="9"/>
      <c r="R3617" s="9" t="str">
        <f aca="false">IF(AND(A3617&lt;&gt;"",ISNUMBER(Q3617),ISNUMBER(L3617)),ROUND(Q3617-IF(ISNUMBER(N3617),N3617,0)-IF(ISNUMBER(O3617),O3617,0)+IF(ISNUMBER(P3617),P3617,0),2),"")</f>
        <v/>
      </c>
      <c r="S3617" s="9" t="str">
        <f aca="false">IF(R3617="","",ROUND(L3617-R3617,2))</f>
        <v/>
      </c>
      <c r="T3617" s="8" t="str">
        <f aca="false">IF(A3617="","",IF(S3617="","BYPASS",IF(ABS(S3617)&lt;=Summary!$B$2,"PASS","FAIL")))</f>
        <v/>
      </c>
      <c r="U3617" s="8" t="str">
        <f aca="false">IF(T3617="BYPASS",IF(NOT(ISNUMBER(Q3617)),"PreV_ETB missing","End_tr_balance missing"),IF(T3617="FAIL",IF(AND(ISNUMBER(K3617),ISNUMBER(L3617),ABS(L3617-(K3617-IF(ISNUMBER(N3617),N3617,0)-IF(ISNUMBER(O3617),O3617,0)+IF(ISNUMBER(P3617),P3617,0)))&lt;=Summary!$B$2),"Passes using beginning_balance - PreV_ETB differs from beginning_balance",IF(AND(ISNUMBER(O3617),O3617&lt;0,ABS(L3617-(Q3617-IF(ISNUMBER(N3617),N3617,0)+IF(ISNUMBER(P3617),P3617,0)))&lt;=Summary!$B$2),"Negative realized loss not applied - check sign",IF(R3617&lt;0,"Principal paid exceeds prior balance",IF(AND(L3617&gt;Q3617,NOT(ISNUMBER(P3617))),"Balance increased but no Deferred_interest reported",IF(L3617&gt;R3617,"Reported balance higher than expected (missing increase/OC build)","Reported balance lower than expected (missing decrease)"))))),""))</f>
        <v/>
      </c>
    </row>
    <row r="3618" customFormat="false" ht="15" hidden="false" customHeight="false" outlineLevel="0" collapsed="false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9"/>
      <c r="L3618" s="9"/>
      <c r="M3618" s="9"/>
      <c r="N3618" s="9"/>
      <c r="O3618" s="9"/>
      <c r="P3618" s="9"/>
      <c r="Q3618" s="9"/>
      <c r="R3618" s="9" t="str">
        <f aca="false">IF(AND(A3618&lt;&gt;"",ISNUMBER(Q3618),ISNUMBER(L3618)),ROUND(Q3618-IF(ISNUMBER(N3618),N3618,0)-IF(ISNUMBER(O3618),O3618,0)+IF(ISNUMBER(P3618),P3618,0),2),"")</f>
        <v/>
      </c>
      <c r="S3618" s="9" t="str">
        <f aca="false">IF(R3618="","",ROUND(L3618-R3618,2))</f>
        <v/>
      </c>
      <c r="T3618" s="8" t="str">
        <f aca="false">IF(A3618="","",IF(S3618="","BYPASS",IF(ABS(S3618)&lt;=Summary!$B$2,"PASS","FAIL")))</f>
        <v/>
      </c>
      <c r="U3618" s="8" t="str">
        <f aca="false">IF(T3618="BYPASS",IF(NOT(ISNUMBER(Q3618)),"PreV_ETB missing","End_tr_balance missing"),IF(T3618="FAIL",IF(AND(ISNUMBER(K3618),ISNUMBER(L3618),ABS(L3618-(K3618-IF(ISNUMBER(N3618),N3618,0)-IF(ISNUMBER(O3618),O3618,0)+IF(ISNUMBER(P3618),P3618,0)))&lt;=Summary!$B$2),"Passes using beginning_balance - PreV_ETB differs from beginning_balance",IF(AND(ISNUMBER(O3618),O3618&lt;0,ABS(L3618-(Q3618-IF(ISNUMBER(N3618),N3618,0)+IF(ISNUMBER(P3618),P3618,0)))&lt;=Summary!$B$2),"Negative realized loss not applied - check sign",IF(R3618&lt;0,"Principal paid exceeds prior balance",IF(AND(L3618&gt;Q3618,NOT(ISNUMBER(P3618))),"Balance increased but no Deferred_interest reported",IF(L3618&gt;R3618,"Reported balance higher than expected (missing increase/OC build)","Reported balance lower than expected (missing decrease)"))))),""))</f>
        <v/>
      </c>
    </row>
    <row r="3619" customFormat="false" ht="15" hidden="false" customHeight="false" outlineLevel="0" collapsed="false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9"/>
      <c r="L3619" s="9"/>
      <c r="M3619" s="9"/>
      <c r="N3619" s="9"/>
      <c r="O3619" s="9"/>
      <c r="P3619" s="9"/>
      <c r="Q3619" s="9"/>
      <c r="R3619" s="9" t="str">
        <f aca="false">IF(AND(A3619&lt;&gt;"",ISNUMBER(Q3619),ISNUMBER(L3619)),ROUND(Q3619-IF(ISNUMBER(N3619),N3619,0)-IF(ISNUMBER(O3619),O3619,0)+IF(ISNUMBER(P3619),P3619,0),2),"")</f>
        <v/>
      </c>
      <c r="S3619" s="9" t="str">
        <f aca="false">IF(R3619="","",ROUND(L3619-R3619,2))</f>
        <v/>
      </c>
      <c r="T3619" s="8" t="str">
        <f aca="false">IF(A3619="","",IF(S3619="","BYPASS",IF(ABS(S3619)&lt;=Summary!$B$2,"PASS","FAIL")))</f>
        <v/>
      </c>
      <c r="U3619" s="8" t="str">
        <f aca="false">IF(T3619="BYPASS",IF(NOT(ISNUMBER(Q3619)),"PreV_ETB missing","End_tr_balance missing"),IF(T3619="FAIL",IF(AND(ISNUMBER(K3619),ISNUMBER(L3619),ABS(L3619-(K3619-IF(ISNUMBER(N3619),N3619,0)-IF(ISNUMBER(O3619),O3619,0)+IF(ISNUMBER(P3619),P3619,0)))&lt;=Summary!$B$2),"Passes using beginning_balance - PreV_ETB differs from beginning_balance",IF(AND(ISNUMBER(O3619),O3619&lt;0,ABS(L3619-(Q3619-IF(ISNUMBER(N3619),N3619,0)+IF(ISNUMBER(P3619),P3619,0)))&lt;=Summary!$B$2),"Negative realized loss not applied - check sign",IF(R3619&lt;0,"Principal paid exceeds prior balance",IF(AND(L3619&gt;Q3619,NOT(ISNUMBER(P3619))),"Balance increased but no Deferred_interest reported",IF(L3619&gt;R3619,"Reported balance higher than expected (missing increase/OC build)","Reported balance lower than expected (missing decrease)"))))),""))</f>
        <v/>
      </c>
    </row>
    <row r="3620" customFormat="false" ht="15" hidden="false" customHeight="false" outlineLevel="0" collapsed="false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9"/>
      <c r="L3620" s="9"/>
      <c r="M3620" s="9"/>
      <c r="N3620" s="9"/>
      <c r="O3620" s="9"/>
      <c r="P3620" s="9"/>
      <c r="Q3620" s="9"/>
      <c r="R3620" s="9" t="str">
        <f aca="false">IF(AND(A3620&lt;&gt;"",ISNUMBER(Q3620),ISNUMBER(L3620)),ROUND(Q3620-IF(ISNUMBER(N3620),N3620,0)-IF(ISNUMBER(O3620),O3620,0)+IF(ISNUMBER(P3620),P3620,0),2),"")</f>
        <v/>
      </c>
      <c r="S3620" s="9" t="str">
        <f aca="false">IF(R3620="","",ROUND(L3620-R3620,2))</f>
        <v/>
      </c>
      <c r="T3620" s="8" t="str">
        <f aca="false">IF(A3620="","",IF(S3620="","BYPASS",IF(ABS(S3620)&lt;=Summary!$B$2,"PASS","FAIL")))</f>
        <v/>
      </c>
      <c r="U3620" s="8" t="str">
        <f aca="false">IF(T3620="BYPASS",IF(NOT(ISNUMBER(Q3620)),"PreV_ETB missing","End_tr_balance missing"),IF(T3620="FAIL",IF(AND(ISNUMBER(K3620),ISNUMBER(L3620),ABS(L3620-(K3620-IF(ISNUMBER(N3620),N3620,0)-IF(ISNUMBER(O3620),O3620,0)+IF(ISNUMBER(P3620),P3620,0)))&lt;=Summary!$B$2),"Passes using beginning_balance - PreV_ETB differs from beginning_balance",IF(AND(ISNUMBER(O3620),O3620&lt;0,ABS(L3620-(Q3620-IF(ISNUMBER(N3620),N3620,0)+IF(ISNUMBER(P3620),P3620,0)))&lt;=Summary!$B$2),"Negative realized loss not applied - check sign",IF(R3620&lt;0,"Principal paid exceeds prior balance",IF(AND(L3620&gt;Q3620,NOT(ISNUMBER(P3620))),"Balance increased but no Deferred_interest reported",IF(L3620&gt;R3620,"Reported balance higher than expected (missing increase/OC build)","Reported balance lower than expected (missing decrease)"))))),""))</f>
        <v/>
      </c>
    </row>
    <row r="3621" customFormat="false" ht="15" hidden="false" customHeight="false" outlineLevel="0" collapsed="false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9"/>
      <c r="L3621" s="9"/>
      <c r="M3621" s="9"/>
      <c r="N3621" s="9"/>
      <c r="O3621" s="9"/>
      <c r="P3621" s="9"/>
      <c r="Q3621" s="9"/>
      <c r="R3621" s="9" t="str">
        <f aca="false">IF(AND(A3621&lt;&gt;"",ISNUMBER(Q3621),ISNUMBER(L3621)),ROUND(Q3621-IF(ISNUMBER(N3621),N3621,0)-IF(ISNUMBER(O3621),O3621,0)+IF(ISNUMBER(P3621),P3621,0),2),"")</f>
        <v/>
      </c>
      <c r="S3621" s="9" t="str">
        <f aca="false">IF(R3621="","",ROUND(L3621-R3621,2))</f>
        <v/>
      </c>
      <c r="T3621" s="8" t="str">
        <f aca="false">IF(A3621="","",IF(S3621="","BYPASS",IF(ABS(S3621)&lt;=Summary!$B$2,"PASS","FAIL")))</f>
        <v/>
      </c>
      <c r="U3621" s="8" t="str">
        <f aca="false">IF(T3621="BYPASS",IF(NOT(ISNUMBER(Q3621)),"PreV_ETB missing","End_tr_balance missing"),IF(T3621="FAIL",IF(AND(ISNUMBER(K3621),ISNUMBER(L3621),ABS(L3621-(K3621-IF(ISNUMBER(N3621),N3621,0)-IF(ISNUMBER(O3621),O3621,0)+IF(ISNUMBER(P3621),P3621,0)))&lt;=Summary!$B$2),"Passes using beginning_balance - PreV_ETB differs from beginning_balance",IF(AND(ISNUMBER(O3621),O3621&lt;0,ABS(L3621-(Q3621-IF(ISNUMBER(N3621),N3621,0)+IF(ISNUMBER(P3621),P3621,0)))&lt;=Summary!$B$2),"Negative realized loss not applied - check sign",IF(R3621&lt;0,"Principal paid exceeds prior balance",IF(AND(L3621&gt;Q3621,NOT(ISNUMBER(P3621))),"Balance increased but no Deferred_interest reported",IF(L3621&gt;R3621,"Reported balance higher than expected (missing increase/OC build)","Reported balance lower than expected (missing decrease)"))))),""))</f>
        <v/>
      </c>
    </row>
    <row r="3622" customFormat="false" ht="15" hidden="false" customHeight="false" outlineLevel="0" collapsed="false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9"/>
      <c r="L3622" s="9"/>
      <c r="M3622" s="9"/>
      <c r="N3622" s="9"/>
      <c r="O3622" s="9"/>
      <c r="P3622" s="9"/>
      <c r="Q3622" s="9"/>
      <c r="R3622" s="9" t="str">
        <f aca="false">IF(AND(A3622&lt;&gt;"",ISNUMBER(Q3622),ISNUMBER(L3622)),ROUND(Q3622-IF(ISNUMBER(N3622),N3622,0)-IF(ISNUMBER(O3622),O3622,0)+IF(ISNUMBER(P3622),P3622,0),2),"")</f>
        <v/>
      </c>
      <c r="S3622" s="9" t="str">
        <f aca="false">IF(R3622="","",ROUND(L3622-R3622,2))</f>
        <v/>
      </c>
      <c r="T3622" s="8" t="str">
        <f aca="false">IF(A3622="","",IF(S3622="","BYPASS",IF(ABS(S3622)&lt;=Summary!$B$2,"PASS","FAIL")))</f>
        <v/>
      </c>
      <c r="U3622" s="8" t="str">
        <f aca="false">IF(T3622="BYPASS",IF(NOT(ISNUMBER(Q3622)),"PreV_ETB missing","End_tr_balance missing"),IF(T3622="FAIL",IF(AND(ISNUMBER(K3622),ISNUMBER(L3622),ABS(L3622-(K3622-IF(ISNUMBER(N3622),N3622,0)-IF(ISNUMBER(O3622),O3622,0)+IF(ISNUMBER(P3622),P3622,0)))&lt;=Summary!$B$2),"Passes using beginning_balance - PreV_ETB differs from beginning_balance",IF(AND(ISNUMBER(O3622),O3622&lt;0,ABS(L3622-(Q3622-IF(ISNUMBER(N3622),N3622,0)+IF(ISNUMBER(P3622),P3622,0)))&lt;=Summary!$B$2),"Negative realized loss not applied - check sign",IF(R3622&lt;0,"Principal paid exceeds prior balance",IF(AND(L3622&gt;Q3622,NOT(ISNUMBER(P3622))),"Balance increased but no Deferred_interest reported",IF(L3622&gt;R3622,"Reported balance higher than expected (missing increase/OC build)","Reported balance lower than expected (missing decrease)"))))),""))</f>
        <v/>
      </c>
    </row>
    <row r="3623" customFormat="false" ht="15" hidden="false" customHeight="false" outlineLevel="0" collapsed="false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9"/>
      <c r="L3623" s="9"/>
      <c r="M3623" s="9"/>
      <c r="N3623" s="9"/>
      <c r="O3623" s="9"/>
      <c r="P3623" s="9"/>
      <c r="Q3623" s="9"/>
      <c r="R3623" s="9" t="str">
        <f aca="false">IF(AND(A3623&lt;&gt;"",ISNUMBER(Q3623),ISNUMBER(L3623)),ROUND(Q3623-IF(ISNUMBER(N3623),N3623,0)-IF(ISNUMBER(O3623),O3623,0)+IF(ISNUMBER(P3623),P3623,0),2),"")</f>
        <v/>
      </c>
      <c r="S3623" s="9" t="str">
        <f aca="false">IF(R3623="","",ROUND(L3623-R3623,2))</f>
        <v/>
      </c>
      <c r="T3623" s="8" t="str">
        <f aca="false">IF(A3623="","",IF(S3623="","BYPASS",IF(ABS(S3623)&lt;=Summary!$B$2,"PASS","FAIL")))</f>
        <v/>
      </c>
      <c r="U3623" s="8" t="str">
        <f aca="false">IF(T3623="BYPASS",IF(NOT(ISNUMBER(Q3623)),"PreV_ETB missing","End_tr_balance missing"),IF(T3623="FAIL",IF(AND(ISNUMBER(K3623),ISNUMBER(L3623),ABS(L3623-(K3623-IF(ISNUMBER(N3623),N3623,0)-IF(ISNUMBER(O3623),O3623,0)+IF(ISNUMBER(P3623),P3623,0)))&lt;=Summary!$B$2),"Passes using beginning_balance - PreV_ETB differs from beginning_balance",IF(AND(ISNUMBER(O3623),O3623&lt;0,ABS(L3623-(Q3623-IF(ISNUMBER(N3623),N3623,0)+IF(ISNUMBER(P3623),P3623,0)))&lt;=Summary!$B$2),"Negative realized loss not applied - check sign",IF(R3623&lt;0,"Principal paid exceeds prior balance",IF(AND(L3623&gt;Q3623,NOT(ISNUMBER(P3623))),"Balance increased but no Deferred_interest reported",IF(L3623&gt;R3623,"Reported balance higher than expected (missing increase/OC build)","Reported balance lower than expected (missing decrease)"))))),""))</f>
        <v/>
      </c>
    </row>
    <row r="3624" customFormat="false" ht="15" hidden="false" customHeight="false" outlineLevel="0" collapsed="false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9"/>
      <c r="L3624" s="9"/>
      <c r="M3624" s="9"/>
      <c r="N3624" s="9"/>
      <c r="O3624" s="9"/>
      <c r="P3624" s="9"/>
      <c r="Q3624" s="9"/>
      <c r="R3624" s="9" t="str">
        <f aca="false">IF(AND(A3624&lt;&gt;"",ISNUMBER(Q3624),ISNUMBER(L3624)),ROUND(Q3624-IF(ISNUMBER(N3624),N3624,0)-IF(ISNUMBER(O3624),O3624,0)+IF(ISNUMBER(P3624),P3624,0),2),"")</f>
        <v/>
      </c>
      <c r="S3624" s="9" t="str">
        <f aca="false">IF(R3624="","",ROUND(L3624-R3624,2))</f>
        <v/>
      </c>
      <c r="T3624" s="8" t="str">
        <f aca="false">IF(A3624="","",IF(S3624="","BYPASS",IF(ABS(S3624)&lt;=Summary!$B$2,"PASS","FAIL")))</f>
        <v/>
      </c>
      <c r="U3624" s="8" t="str">
        <f aca="false">IF(T3624="BYPASS",IF(NOT(ISNUMBER(Q3624)),"PreV_ETB missing","End_tr_balance missing"),IF(T3624="FAIL",IF(AND(ISNUMBER(K3624),ISNUMBER(L3624),ABS(L3624-(K3624-IF(ISNUMBER(N3624),N3624,0)-IF(ISNUMBER(O3624),O3624,0)+IF(ISNUMBER(P3624),P3624,0)))&lt;=Summary!$B$2),"Passes using beginning_balance - PreV_ETB differs from beginning_balance",IF(AND(ISNUMBER(O3624),O3624&lt;0,ABS(L3624-(Q3624-IF(ISNUMBER(N3624),N3624,0)+IF(ISNUMBER(P3624),P3624,0)))&lt;=Summary!$B$2),"Negative realized loss not applied - check sign",IF(R3624&lt;0,"Principal paid exceeds prior balance",IF(AND(L3624&gt;Q3624,NOT(ISNUMBER(P3624))),"Balance increased but no Deferred_interest reported",IF(L3624&gt;R3624,"Reported balance higher than expected (missing increase/OC build)","Reported balance lower than expected (missing decrease)"))))),""))</f>
        <v/>
      </c>
    </row>
    <row r="3625" customFormat="false" ht="15" hidden="false" customHeight="false" outlineLevel="0" collapsed="false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9"/>
      <c r="L3625" s="9"/>
      <c r="M3625" s="9"/>
      <c r="N3625" s="9"/>
      <c r="O3625" s="9"/>
      <c r="P3625" s="9"/>
      <c r="Q3625" s="9"/>
      <c r="R3625" s="9" t="str">
        <f aca="false">IF(AND(A3625&lt;&gt;"",ISNUMBER(Q3625),ISNUMBER(L3625)),ROUND(Q3625-IF(ISNUMBER(N3625),N3625,0)-IF(ISNUMBER(O3625),O3625,0)+IF(ISNUMBER(P3625),P3625,0),2),"")</f>
        <v/>
      </c>
      <c r="S3625" s="9" t="str">
        <f aca="false">IF(R3625="","",ROUND(L3625-R3625,2))</f>
        <v/>
      </c>
      <c r="T3625" s="8" t="str">
        <f aca="false">IF(A3625="","",IF(S3625="","BYPASS",IF(ABS(S3625)&lt;=Summary!$B$2,"PASS","FAIL")))</f>
        <v/>
      </c>
      <c r="U3625" s="8" t="str">
        <f aca="false">IF(T3625="BYPASS",IF(NOT(ISNUMBER(Q3625)),"PreV_ETB missing","End_tr_balance missing"),IF(T3625="FAIL",IF(AND(ISNUMBER(K3625),ISNUMBER(L3625),ABS(L3625-(K3625-IF(ISNUMBER(N3625),N3625,0)-IF(ISNUMBER(O3625),O3625,0)+IF(ISNUMBER(P3625),P3625,0)))&lt;=Summary!$B$2),"Passes using beginning_balance - PreV_ETB differs from beginning_balance",IF(AND(ISNUMBER(O3625),O3625&lt;0,ABS(L3625-(Q3625-IF(ISNUMBER(N3625),N3625,0)+IF(ISNUMBER(P3625),P3625,0)))&lt;=Summary!$B$2),"Negative realized loss not applied - check sign",IF(R3625&lt;0,"Principal paid exceeds prior balance",IF(AND(L3625&gt;Q3625,NOT(ISNUMBER(P3625))),"Balance increased but no Deferred_interest reported",IF(L3625&gt;R3625,"Reported balance higher than expected (missing increase/OC build)","Reported balance lower than expected (missing decrease)"))))),""))</f>
        <v/>
      </c>
    </row>
    <row r="3626" customFormat="false" ht="15" hidden="false" customHeight="false" outlineLevel="0" collapsed="false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9"/>
      <c r="L3626" s="9"/>
      <c r="M3626" s="9"/>
      <c r="N3626" s="9"/>
      <c r="O3626" s="9"/>
      <c r="P3626" s="9"/>
      <c r="Q3626" s="9"/>
      <c r="R3626" s="9" t="str">
        <f aca="false">IF(AND(A3626&lt;&gt;"",ISNUMBER(Q3626),ISNUMBER(L3626)),ROUND(Q3626-IF(ISNUMBER(N3626),N3626,0)-IF(ISNUMBER(O3626),O3626,0)+IF(ISNUMBER(P3626),P3626,0),2),"")</f>
        <v/>
      </c>
      <c r="S3626" s="9" t="str">
        <f aca="false">IF(R3626="","",ROUND(L3626-R3626,2))</f>
        <v/>
      </c>
      <c r="T3626" s="8" t="str">
        <f aca="false">IF(A3626="","",IF(S3626="","BYPASS",IF(ABS(S3626)&lt;=Summary!$B$2,"PASS","FAIL")))</f>
        <v/>
      </c>
      <c r="U3626" s="8" t="str">
        <f aca="false">IF(T3626="BYPASS",IF(NOT(ISNUMBER(Q3626)),"PreV_ETB missing","End_tr_balance missing"),IF(T3626="FAIL",IF(AND(ISNUMBER(K3626),ISNUMBER(L3626),ABS(L3626-(K3626-IF(ISNUMBER(N3626),N3626,0)-IF(ISNUMBER(O3626),O3626,0)+IF(ISNUMBER(P3626),P3626,0)))&lt;=Summary!$B$2),"Passes using beginning_balance - PreV_ETB differs from beginning_balance",IF(AND(ISNUMBER(O3626),O3626&lt;0,ABS(L3626-(Q3626-IF(ISNUMBER(N3626),N3626,0)+IF(ISNUMBER(P3626),P3626,0)))&lt;=Summary!$B$2),"Negative realized loss not applied - check sign",IF(R3626&lt;0,"Principal paid exceeds prior balance",IF(AND(L3626&gt;Q3626,NOT(ISNUMBER(P3626))),"Balance increased but no Deferred_interest reported",IF(L3626&gt;R3626,"Reported balance higher than expected (missing increase/OC build)","Reported balance lower than expected (missing decrease)"))))),""))</f>
        <v/>
      </c>
    </row>
    <row r="3627" customFormat="false" ht="15" hidden="false" customHeight="false" outlineLevel="0" collapsed="false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9"/>
      <c r="L3627" s="9"/>
      <c r="M3627" s="9"/>
      <c r="N3627" s="9"/>
      <c r="O3627" s="9"/>
      <c r="P3627" s="9"/>
      <c r="Q3627" s="9"/>
      <c r="R3627" s="9" t="str">
        <f aca="false">IF(AND(A3627&lt;&gt;"",ISNUMBER(Q3627),ISNUMBER(L3627)),ROUND(Q3627-IF(ISNUMBER(N3627),N3627,0)-IF(ISNUMBER(O3627),O3627,0)+IF(ISNUMBER(P3627),P3627,0),2),"")</f>
        <v/>
      </c>
      <c r="S3627" s="9" t="str">
        <f aca="false">IF(R3627="","",ROUND(L3627-R3627,2))</f>
        <v/>
      </c>
      <c r="T3627" s="8" t="str">
        <f aca="false">IF(A3627="","",IF(S3627="","BYPASS",IF(ABS(S3627)&lt;=Summary!$B$2,"PASS","FAIL")))</f>
        <v/>
      </c>
      <c r="U3627" s="8" t="str">
        <f aca="false">IF(T3627="BYPASS",IF(NOT(ISNUMBER(Q3627)),"PreV_ETB missing","End_tr_balance missing"),IF(T3627="FAIL",IF(AND(ISNUMBER(K3627),ISNUMBER(L3627),ABS(L3627-(K3627-IF(ISNUMBER(N3627),N3627,0)-IF(ISNUMBER(O3627),O3627,0)+IF(ISNUMBER(P3627),P3627,0)))&lt;=Summary!$B$2),"Passes using beginning_balance - PreV_ETB differs from beginning_balance",IF(AND(ISNUMBER(O3627),O3627&lt;0,ABS(L3627-(Q3627-IF(ISNUMBER(N3627),N3627,0)+IF(ISNUMBER(P3627),P3627,0)))&lt;=Summary!$B$2),"Negative realized loss not applied - check sign",IF(R3627&lt;0,"Principal paid exceeds prior balance",IF(AND(L3627&gt;Q3627,NOT(ISNUMBER(P3627))),"Balance increased but no Deferred_interest reported",IF(L3627&gt;R3627,"Reported balance higher than expected (missing increase/OC build)","Reported balance lower than expected (missing decrease)"))))),""))</f>
        <v/>
      </c>
    </row>
    <row r="3628" customFormat="false" ht="15" hidden="false" customHeight="false" outlineLevel="0" collapsed="false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9"/>
      <c r="L3628" s="9"/>
      <c r="M3628" s="9"/>
      <c r="N3628" s="9"/>
      <c r="O3628" s="9"/>
      <c r="P3628" s="9"/>
      <c r="Q3628" s="9"/>
      <c r="R3628" s="9" t="str">
        <f aca="false">IF(AND(A3628&lt;&gt;"",ISNUMBER(Q3628),ISNUMBER(L3628)),ROUND(Q3628-IF(ISNUMBER(N3628),N3628,0)-IF(ISNUMBER(O3628),O3628,0)+IF(ISNUMBER(P3628),P3628,0),2),"")</f>
        <v/>
      </c>
      <c r="S3628" s="9" t="str">
        <f aca="false">IF(R3628="","",ROUND(L3628-R3628,2))</f>
        <v/>
      </c>
      <c r="T3628" s="8" t="str">
        <f aca="false">IF(A3628="","",IF(S3628="","BYPASS",IF(ABS(S3628)&lt;=Summary!$B$2,"PASS","FAIL")))</f>
        <v/>
      </c>
      <c r="U3628" s="8" t="str">
        <f aca="false">IF(T3628="BYPASS",IF(NOT(ISNUMBER(Q3628)),"PreV_ETB missing","End_tr_balance missing"),IF(T3628="FAIL",IF(AND(ISNUMBER(K3628),ISNUMBER(L3628),ABS(L3628-(K3628-IF(ISNUMBER(N3628),N3628,0)-IF(ISNUMBER(O3628),O3628,0)+IF(ISNUMBER(P3628),P3628,0)))&lt;=Summary!$B$2),"Passes using beginning_balance - PreV_ETB differs from beginning_balance",IF(AND(ISNUMBER(O3628),O3628&lt;0,ABS(L3628-(Q3628-IF(ISNUMBER(N3628),N3628,0)+IF(ISNUMBER(P3628),P3628,0)))&lt;=Summary!$B$2),"Negative realized loss not applied - check sign",IF(R3628&lt;0,"Principal paid exceeds prior balance",IF(AND(L3628&gt;Q3628,NOT(ISNUMBER(P3628))),"Balance increased but no Deferred_interest reported",IF(L3628&gt;R3628,"Reported balance higher than expected (missing increase/OC build)","Reported balance lower than expected (missing decrease)"))))),""))</f>
        <v/>
      </c>
    </row>
    <row r="3629" customFormat="false" ht="15" hidden="false" customHeight="false" outlineLevel="0" collapsed="false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9"/>
      <c r="L3629" s="9"/>
      <c r="M3629" s="9"/>
      <c r="N3629" s="9"/>
      <c r="O3629" s="9"/>
      <c r="P3629" s="9"/>
      <c r="Q3629" s="9"/>
      <c r="R3629" s="9" t="str">
        <f aca="false">IF(AND(A3629&lt;&gt;"",ISNUMBER(Q3629),ISNUMBER(L3629)),ROUND(Q3629-IF(ISNUMBER(N3629),N3629,0)-IF(ISNUMBER(O3629),O3629,0)+IF(ISNUMBER(P3629),P3629,0),2),"")</f>
        <v/>
      </c>
      <c r="S3629" s="9" t="str">
        <f aca="false">IF(R3629="","",ROUND(L3629-R3629,2))</f>
        <v/>
      </c>
      <c r="T3629" s="8" t="str">
        <f aca="false">IF(A3629="","",IF(S3629="","BYPASS",IF(ABS(S3629)&lt;=Summary!$B$2,"PASS","FAIL")))</f>
        <v/>
      </c>
      <c r="U3629" s="8" t="str">
        <f aca="false">IF(T3629="BYPASS",IF(NOT(ISNUMBER(Q3629)),"PreV_ETB missing","End_tr_balance missing"),IF(T3629="FAIL",IF(AND(ISNUMBER(K3629),ISNUMBER(L3629),ABS(L3629-(K3629-IF(ISNUMBER(N3629),N3629,0)-IF(ISNUMBER(O3629),O3629,0)+IF(ISNUMBER(P3629),P3629,0)))&lt;=Summary!$B$2),"Passes using beginning_balance - PreV_ETB differs from beginning_balance",IF(AND(ISNUMBER(O3629),O3629&lt;0,ABS(L3629-(Q3629-IF(ISNUMBER(N3629),N3629,0)+IF(ISNUMBER(P3629),P3629,0)))&lt;=Summary!$B$2),"Negative realized loss not applied - check sign",IF(R3629&lt;0,"Principal paid exceeds prior balance",IF(AND(L3629&gt;Q3629,NOT(ISNUMBER(P3629))),"Balance increased but no Deferred_interest reported",IF(L3629&gt;R3629,"Reported balance higher than expected (missing increase/OC build)","Reported balance lower than expected (missing decrease)"))))),""))</f>
        <v/>
      </c>
    </row>
    <row r="3630" customFormat="false" ht="15" hidden="false" customHeight="false" outlineLevel="0" collapsed="false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9"/>
      <c r="L3630" s="9"/>
      <c r="M3630" s="9"/>
      <c r="N3630" s="9"/>
      <c r="O3630" s="9"/>
      <c r="P3630" s="9"/>
      <c r="Q3630" s="9"/>
      <c r="R3630" s="9" t="str">
        <f aca="false">IF(AND(A3630&lt;&gt;"",ISNUMBER(Q3630),ISNUMBER(L3630)),ROUND(Q3630-IF(ISNUMBER(N3630),N3630,0)-IF(ISNUMBER(O3630),O3630,0)+IF(ISNUMBER(P3630),P3630,0),2),"")</f>
        <v/>
      </c>
      <c r="S3630" s="9" t="str">
        <f aca="false">IF(R3630="","",ROUND(L3630-R3630,2))</f>
        <v/>
      </c>
      <c r="T3630" s="8" t="str">
        <f aca="false">IF(A3630="","",IF(S3630="","BYPASS",IF(ABS(S3630)&lt;=Summary!$B$2,"PASS","FAIL")))</f>
        <v/>
      </c>
      <c r="U3630" s="8" t="str">
        <f aca="false">IF(T3630="BYPASS",IF(NOT(ISNUMBER(Q3630)),"PreV_ETB missing","End_tr_balance missing"),IF(T3630="FAIL",IF(AND(ISNUMBER(K3630),ISNUMBER(L3630),ABS(L3630-(K3630-IF(ISNUMBER(N3630),N3630,0)-IF(ISNUMBER(O3630),O3630,0)+IF(ISNUMBER(P3630),P3630,0)))&lt;=Summary!$B$2),"Passes using beginning_balance - PreV_ETB differs from beginning_balance",IF(AND(ISNUMBER(O3630),O3630&lt;0,ABS(L3630-(Q3630-IF(ISNUMBER(N3630),N3630,0)+IF(ISNUMBER(P3630),P3630,0)))&lt;=Summary!$B$2),"Negative realized loss not applied - check sign",IF(R3630&lt;0,"Principal paid exceeds prior balance",IF(AND(L3630&gt;Q3630,NOT(ISNUMBER(P3630))),"Balance increased but no Deferred_interest reported",IF(L3630&gt;R3630,"Reported balance higher than expected (missing increase/OC build)","Reported balance lower than expected (missing decrease)"))))),""))</f>
        <v/>
      </c>
    </row>
    <row r="3631" customFormat="false" ht="15" hidden="false" customHeight="false" outlineLevel="0" collapsed="false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9"/>
      <c r="L3631" s="9"/>
      <c r="M3631" s="9"/>
      <c r="N3631" s="9"/>
      <c r="O3631" s="9"/>
      <c r="P3631" s="9"/>
      <c r="Q3631" s="9"/>
      <c r="R3631" s="9" t="str">
        <f aca="false">IF(AND(A3631&lt;&gt;"",ISNUMBER(Q3631),ISNUMBER(L3631)),ROUND(Q3631-IF(ISNUMBER(N3631),N3631,0)-IF(ISNUMBER(O3631),O3631,0)+IF(ISNUMBER(P3631),P3631,0),2),"")</f>
        <v/>
      </c>
      <c r="S3631" s="9" t="str">
        <f aca="false">IF(R3631="","",ROUND(L3631-R3631,2))</f>
        <v/>
      </c>
      <c r="T3631" s="8" t="str">
        <f aca="false">IF(A3631="","",IF(S3631="","BYPASS",IF(ABS(S3631)&lt;=Summary!$B$2,"PASS","FAIL")))</f>
        <v/>
      </c>
      <c r="U3631" s="8" t="str">
        <f aca="false">IF(T3631="BYPASS",IF(NOT(ISNUMBER(Q3631)),"PreV_ETB missing","End_tr_balance missing"),IF(T3631="FAIL",IF(AND(ISNUMBER(K3631),ISNUMBER(L3631),ABS(L3631-(K3631-IF(ISNUMBER(N3631),N3631,0)-IF(ISNUMBER(O3631),O3631,0)+IF(ISNUMBER(P3631),P3631,0)))&lt;=Summary!$B$2),"Passes using beginning_balance - PreV_ETB differs from beginning_balance",IF(AND(ISNUMBER(O3631),O3631&lt;0,ABS(L3631-(Q3631-IF(ISNUMBER(N3631),N3631,0)+IF(ISNUMBER(P3631),P3631,0)))&lt;=Summary!$B$2),"Negative realized loss not applied - check sign",IF(R3631&lt;0,"Principal paid exceeds prior balance",IF(AND(L3631&gt;Q3631,NOT(ISNUMBER(P3631))),"Balance increased but no Deferred_interest reported",IF(L3631&gt;R3631,"Reported balance higher than expected (missing increase/OC build)","Reported balance lower than expected (missing decrease)"))))),""))</f>
        <v/>
      </c>
    </row>
    <row r="3632" customFormat="false" ht="15" hidden="false" customHeight="false" outlineLevel="0" collapsed="false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9"/>
      <c r="L3632" s="9"/>
      <c r="M3632" s="9"/>
      <c r="N3632" s="9"/>
      <c r="O3632" s="9"/>
      <c r="P3632" s="9"/>
      <c r="Q3632" s="9"/>
      <c r="R3632" s="9" t="str">
        <f aca="false">IF(AND(A3632&lt;&gt;"",ISNUMBER(Q3632),ISNUMBER(L3632)),ROUND(Q3632-IF(ISNUMBER(N3632),N3632,0)-IF(ISNUMBER(O3632),O3632,0)+IF(ISNUMBER(P3632),P3632,0),2),"")</f>
        <v/>
      </c>
      <c r="S3632" s="9" t="str">
        <f aca="false">IF(R3632="","",ROUND(L3632-R3632,2))</f>
        <v/>
      </c>
      <c r="T3632" s="8" t="str">
        <f aca="false">IF(A3632="","",IF(S3632="","BYPASS",IF(ABS(S3632)&lt;=Summary!$B$2,"PASS","FAIL")))</f>
        <v/>
      </c>
      <c r="U3632" s="8" t="str">
        <f aca="false">IF(T3632="BYPASS",IF(NOT(ISNUMBER(Q3632)),"PreV_ETB missing","End_tr_balance missing"),IF(T3632="FAIL",IF(AND(ISNUMBER(K3632),ISNUMBER(L3632),ABS(L3632-(K3632-IF(ISNUMBER(N3632),N3632,0)-IF(ISNUMBER(O3632),O3632,0)+IF(ISNUMBER(P3632),P3632,0)))&lt;=Summary!$B$2),"Passes using beginning_balance - PreV_ETB differs from beginning_balance",IF(AND(ISNUMBER(O3632),O3632&lt;0,ABS(L3632-(Q3632-IF(ISNUMBER(N3632),N3632,0)+IF(ISNUMBER(P3632),P3632,0)))&lt;=Summary!$B$2),"Negative realized loss not applied - check sign",IF(R3632&lt;0,"Principal paid exceeds prior balance",IF(AND(L3632&gt;Q3632,NOT(ISNUMBER(P3632))),"Balance increased but no Deferred_interest reported",IF(L3632&gt;R3632,"Reported balance higher than expected (missing increase/OC build)","Reported balance lower than expected (missing decrease)"))))),""))</f>
        <v/>
      </c>
    </row>
    <row r="3633" customFormat="false" ht="15" hidden="false" customHeight="false" outlineLevel="0" collapsed="false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9"/>
      <c r="L3633" s="9"/>
      <c r="M3633" s="9"/>
      <c r="N3633" s="9"/>
      <c r="O3633" s="9"/>
      <c r="P3633" s="9"/>
      <c r="Q3633" s="9"/>
      <c r="R3633" s="9" t="str">
        <f aca="false">IF(AND(A3633&lt;&gt;"",ISNUMBER(Q3633),ISNUMBER(L3633)),ROUND(Q3633-IF(ISNUMBER(N3633),N3633,0)-IF(ISNUMBER(O3633),O3633,0)+IF(ISNUMBER(P3633),P3633,0),2),"")</f>
        <v/>
      </c>
      <c r="S3633" s="9" t="str">
        <f aca="false">IF(R3633="","",ROUND(L3633-R3633,2))</f>
        <v/>
      </c>
      <c r="T3633" s="8" t="str">
        <f aca="false">IF(A3633="","",IF(S3633="","BYPASS",IF(ABS(S3633)&lt;=Summary!$B$2,"PASS","FAIL")))</f>
        <v/>
      </c>
      <c r="U3633" s="8" t="str">
        <f aca="false">IF(T3633="BYPASS",IF(NOT(ISNUMBER(Q3633)),"PreV_ETB missing","End_tr_balance missing"),IF(T3633="FAIL",IF(AND(ISNUMBER(K3633),ISNUMBER(L3633),ABS(L3633-(K3633-IF(ISNUMBER(N3633),N3633,0)-IF(ISNUMBER(O3633),O3633,0)+IF(ISNUMBER(P3633),P3633,0)))&lt;=Summary!$B$2),"Passes using beginning_balance - PreV_ETB differs from beginning_balance",IF(AND(ISNUMBER(O3633),O3633&lt;0,ABS(L3633-(Q3633-IF(ISNUMBER(N3633),N3633,0)+IF(ISNUMBER(P3633),P3633,0)))&lt;=Summary!$B$2),"Negative realized loss not applied - check sign",IF(R3633&lt;0,"Principal paid exceeds prior balance",IF(AND(L3633&gt;Q3633,NOT(ISNUMBER(P3633))),"Balance increased but no Deferred_interest reported",IF(L3633&gt;R3633,"Reported balance higher than expected (missing increase/OC build)","Reported balance lower than expected (missing decrease)"))))),""))</f>
        <v/>
      </c>
    </row>
    <row r="3634" customFormat="false" ht="15" hidden="false" customHeight="false" outlineLevel="0" collapsed="false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9"/>
      <c r="L3634" s="9"/>
      <c r="M3634" s="9"/>
      <c r="N3634" s="9"/>
      <c r="O3634" s="9"/>
      <c r="P3634" s="9"/>
      <c r="Q3634" s="9"/>
      <c r="R3634" s="9" t="str">
        <f aca="false">IF(AND(A3634&lt;&gt;"",ISNUMBER(Q3634),ISNUMBER(L3634)),ROUND(Q3634-IF(ISNUMBER(N3634),N3634,0)-IF(ISNUMBER(O3634),O3634,0)+IF(ISNUMBER(P3634),P3634,0),2),"")</f>
        <v/>
      </c>
      <c r="S3634" s="9" t="str">
        <f aca="false">IF(R3634="","",ROUND(L3634-R3634,2))</f>
        <v/>
      </c>
      <c r="T3634" s="8" t="str">
        <f aca="false">IF(A3634="","",IF(S3634="","BYPASS",IF(ABS(S3634)&lt;=Summary!$B$2,"PASS","FAIL")))</f>
        <v/>
      </c>
      <c r="U3634" s="8" t="str">
        <f aca="false">IF(T3634="BYPASS",IF(NOT(ISNUMBER(Q3634)),"PreV_ETB missing","End_tr_balance missing"),IF(T3634="FAIL",IF(AND(ISNUMBER(K3634),ISNUMBER(L3634),ABS(L3634-(K3634-IF(ISNUMBER(N3634),N3634,0)-IF(ISNUMBER(O3634),O3634,0)+IF(ISNUMBER(P3634),P3634,0)))&lt;=Summary!$B$2),"Passes using beginning_balance - PreV_ETB differs from beginning_balance",IF(AND(ISNUMBER(O3634),O3634&lt;0,ABS(L3634-(Q3634-IF(ISNUMBER(N3634),N3634,0)+IF(ISNUMBER(P3634),P3634,0)))&lt;=Summary!$B$2),"Negative realized loss not applied - check sign",IF(R3634&lt;0,"Principal paid exceeds prior balance",IF(AND(L3634&gt;Q3634,NOT(ISNUMBER(P3634))),"Balance increased but no Deferred_interest reported",IF(L3634&gt;R3634,"Reported balance higher than expected (missing increase/OC build)","Reported balance lower than expected (missing decrease)"))))),""))</f>
        <v/>
      </c>
    </row>
    <row r="3635" customFormat="false" ht="15" hidden="false" customHeight="false" outlineLevel="0" collapsed="false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9"/>
      <c r="L3635" s="9"/>
      <c r="M3635" s="9"/>
      <c r="N3635" s="9"/>
      <c r="O3635" s="9"/>
      <c r="P3635" s="9"/>
      <c r="Q3635" s="9"/>
      <c r="R3635" s="9" t="str">
        <f aca="false">IF(AND(A3635&lt;&gt;"",ISNUMBER(Q3635),ISNUMBER(L3635)),ROUND(Q3635-IF(ISNUMBER(N3635),N3635,0)-IF(ISNUMBER(O3635),O3635,0)+IF(ISNUMBER(P3635),P3635,0),2),"")</f>
        <v/>
      </c>
      <c r="S3635" s="9" t="str">
        <f aca="false">IF(R3635="","",ROUND(L3635-R3635,2))</f>
        <v/>
      </c>
      <c r="T3635" s="8" t="str">
        <f aca="false">IF(A3635="","",IF(S3635="","BYPASS",IF(ABS(S3635)&lt;=Summary!$B$2,"PASS","FAIL")))</f>
        <v/>
      </c>
      <c r="U3635" s="8" t="str">
        <f aca="false">IF(T3635="BYPASS",IF(NOT(ISNUMBER(Q3635)),"PreV_ETB missing","End_tr_balance missing"),IF(T3635="FAIL",IF(AND(ISNUMBER(K3635),ISNUMBER(L3635),ABS(L3635-(K3635-IF(ISNUMBER(N3635),N3635,0)-IF(ISNUMBER(O3635),O3635,0)+IF(ISNUMBER(P3635),P3635,0)))&lt;=Summary!$B$2),"Passes using beginning_balance - PreV_ETB differs from beginning_balance",IF(AND(ISNUMBER(O3635),O3635&lt;0,ABS(L3635-(Q3635-IF(ISNUMBER(N3635),N3635,0)+IF(ISNUMBER(P3635),P3635,0)))&lt;=Summary!$B$2),"Negative realized loss not applied - check sign",IF(R3635&lt;0,"Principal paid exceeds prior balance",IF(AND(L3635&gt;Q3635,NOT(ISNUMBER(P3635))),"Balance increased but no Deferred_interest reported",IF(L3635&gt;R3635,"Reported balance higher than expected (missing increase/OC build)","Reported balance lower than expected (missing decrease)"))))),""))</f>
        <v/>
      </c>
    </row>
    <row r="3636" customFormat="false" ht="15" hidden="false" customHeight="false" outlineLevel="0" collapsed="false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9"/>
      <c r="L3636" s="9"/>
      <c r="M3636" s="9"/>
      <c r="N3636" s="9"/>
      <c r="O3636" s="9"/>
      <c r="P3636" s="9"/>
      <c r="Q3636" s="9"/>
      <c r="R3636" s="9" t="str">
        <f aca="false">IF(AND(A3636&lt;&gt;"",ISNUMBER(Q3636),ISNUMBER(L3636)),ROUND(Q3636-IF(ISNUMBER(N3636),N3636,0)-IF(ISNUMBER(O3636),O3636,0)+IF(ISNUMBER(P3636),P3636,0),2),"")</f>
        <v/>
      </c>
      <c r="S3636" s="9" t="str">
        <f aca="false">IF(R3636="","",ROUND(L3636-R3636,2))</f>
        <v/>
      </c>
      <c r="T3636" s="8" t="str">
        <f aca="false">IF(A3636="","",IF(S3636="","BYPASS",IF(ABS(S3636)&lt;=Summary!$B$2,"PASS","FAIL")))</f>
        <v/>
      </c>
      <c r="U3636" s="8" t="str">
        <f aca="false">IF(T3636="BYPASS",IF(NOT(ISNUMBER(Q3636)),"PreV_ETB missing","End_tr_balance missing"),IF(T3636="FAIL",IF(AND(ISNUMBER(K3636),ISNUMBER(L3636),ABS(L3636-(K3636-IF(ISNUMBER(N3636),N3636,0)-IF(ISNUMBER(O3636),O3636,0)+IF(ISNUMBER(P3636),P3636,0)))&lt;=Summary!$B$2),"Passes using beginning_balance - PreV_ETB differs from beginning_balance",IF(AND(ISNUMBER(O3636),O3636&lt;0,ABS(L3636-(Q3636-IF(ISNUMBER(N3636),N3636,0)+IF(ISNUMBER(P3636),P3636,0)))&lt;=Summary!$B$2),"Negative realized loss not applied - check sign",IF(R3636&lt;0,"Principal paid exceeds prior balance",IF(AND(L3636&gt;Q3636,NOT(ISNUMBER(P3636))),"Balance increased but no Deferred_interest reported",IF(L3636&gt;R3636,"Reported balance higher than expected (missing increase/OC build)","Reported balance lower than expected (missing decrease)"))))),""))</f>
        <v/>
      </c>
    </row>
    <row r="3637" customFormat="false" ht="15" hidden="false" customHeight="false" outlineLevel="0" collapsed="false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9"/>
      <c r="L3637" s="9"/>
      <c r="M3637" s="9"/>
      <c r="N3637" s="9"/>
      <c r="O3637" s="9"/>
      <c r="P3637" s="9"/>
      <c r="Q3637" s="9"/>
      <c r="R3637" s="9" t="str">
        <f aca="false">IF(AND(A3637&lt;&gt;"",ISNUMBER(Q3637),ISNUMBER(L3637)),ROUND(Q3637-IF(ISNUMBER(N3637),N3637,0)-IF(ISNUMBER(O3637),O3637,0)+IF(ISNUMBER(P3637),P3637,0),2),"")</f>
        <v/>
      </c>
      <c r="S3637" s="9" t="str">
        <f aca="false">IF(R3637="","",ROUND(L3637-R3637,2))</f>
        <v/>
      </c>
      <c r="T3637" s="8" t="str">
        <f aca="false">IF(A3637="","",IF(S3637="","BYPASS",IF(ABS(S3637)&lt;=Summary!$B$2,"PASS","FAIL")))</f>
        <v/>
      </c>
      <c r="U3637" s="8" t="str">
        <f aca="false">IF(T3637="BYPASS",IF(NOT(ISNUMBER(Q3637)),"PreV_ETB missing","End_tr_balance missing"),IF(T3637="FAIL",IF(AND(ISNUMBER(K3637),ISNUMBER(L3637),ABS(L3637-(K3637-IF(ISNUMBER(N3637),N3637,0)-IF(ISNUMBER(O3637),O3637,0)+IF(ISNUMBER(P3637),P3637,0)))&lt;=Summary!$B$2),"Passes using beginning_balance - PreV_ETB differs from beginning_balance",IF(AND(ISNUMBER(O3637),O3637&lt;0,ABS(L3637-(Q3637-IF(ISNUMBER(N3637),N3637,0)+IF(ISNUMBER(P3637),P3637,0)))&lt;=Summary!$B$2),"Negative realized loss not applied - check sign",IF(R3637&lt;0,"Principal paid exceeds prior balance",IF(AND(L3637&gt;Q3637,NOT(ISNUMBER(P3637))),"Balance increased but no Deferred_interest reported",IF(L3637&gt;R3637,"Reported balance higher than expected (missing increase/OC build)","Reported balance lower than expected (missing decrease)"))))),""))</f>
        <v/>
      </c>
    </row>
    <row r="3638" customFormat="false" ht="15" hidden="false" customHeight="false" outlineLevel="0" collapsed="false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9"/>
      <c r="L3638" s="9"/>
      <c r="M3638" s="9"/>
      <c r="N3638" s="9"/>
      <c r="O3638" s="9"/>
      <c r="P3638" s="9"/>
      <c r="Q3638" s="9"/>
      <c r="R3638" s="9" t="str">
        <f aca="false">IF(AND(A3638&lt;&gt;"",ISNUMBER(Q3638),ISNUMBER(L3638)),ROUND(Q3638-IF(ISNUMBER(N3638),N3638,0)-IF(ISNUMBER(O3638),O3638,0)+IF(ISNUMBER(P3638),P3638,0),2),"")</f>
        <v/>
      </c>
      <c r="S3638" s="9" t="str">
        <f aca="false">IF(R3638="","",ROUND(L3638-R3638,2))</f>
        <v/>
      </c>
      <c r="T3638" s="8" t="str">
        <f aca="false">IF(A3638="","",IF(S3638="","BYPASS",IF(ABS(S3638)&lt;=Summary!$B$2,"PASS","FAIL")))</f>
        <v/>
      </c>
      <c r="U3638" s="8" t="str">
        <f aca="false">IF(T3638="BYPASS",IF(NOT(ISNUMBER(Q3638)),"PreV_ETB missing","End_tr_balance missing"),IF(T3638="FAIL",IF(AND(ISNUMBER(K3638),ISNUMBER(L3638),ABS(L3638-(K3638-IF(ISNUMBER(N3638),N3638,0)-IF(ISNUMBER(O3638),O3638,0)+IF(ISNUMBER(P3638),P3638,0)))&lt;=Summary!$B$2),"Passes using beginning_balance - PreV_ETB differs from beginning_balance",IF(AND(ISNUMBER(O3638),O3638&lt;0,ABS(L3638-(Q3638-IF(ISNUMBER(N3638),N3638,0)+IF(ISNUMBER(P3638),P3638,0)))&lt;=Summary!$B$2),"Negative realized loss not applied - check sign",IF(R3638&lt;0,"Principal paid exceeds prior balance",IF(AND(L3638&gt;Q3638,NOT(ISNUMBER(P3638))),"Balance increased but no Deferred_interest reported",IF(L3638&gt;R3638,"Reported balance higher than expected (missing increase/OC build)","Reported balance lower than expected (missing decrease)"))))),""))</f>
        <v/>
      </c>
    </row>
    <row r="3639" customFormat="false" ht="15" hidden="false" customHeight="false" outlineLevel="0" collapsed="false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9"/>
      <c r="L3639" s="9"/>
      <c r="M3639" s="9"/>
      <c r="N3639" s="9"/>
      <c r="O3639" s="9"/>
      <c r="P3639" s="9"/>
      <c r="Q3639" s="9"/>
      <c r="R3639" s="9" t="str">
        <f aca="false">IF(AND(A3639&lt;&gt;"",ISNUMBER(Q3639),ISNUMBER(L3639)),ROUND(Q3639-IF(ISNUMBER(N3639),N3639,0)-IF(ISNUMBER(O3639),O3639,0)+IF(ISNUMBER(P3639),P3639,0),2),"")</f>
        <v/>
      </c>
      <c r="S3639" s="9" t="str">
        <f aca="false">IF(R3639="","",ROUND(L3639-R3639,2))</f>
        <v/>
      </c>
      <c r="T3639" s="8" t="str">
        <f aca="false">IF(A3639="","",IF(S3639="","BYPASS",IF(ABS(S3639)&lt;=Summary!$B$2,"PASS","FAIL")))</f>
        <v/>
      </c>
      <c r="U3639" s="8" t="str">
        <f aca="false">IF(T3639="BYPASS",IF(NOT(ISNUMBER(Q3639)),"PreV_ETB missing","End_tr_balance missing"),IF(T3639="FAIL",IF(AND(ISNUMBER(K3639),ISNUMBER(L3639),ABS(L3639-(K3639-IF(ISNUMBER(N3639),N3639,0)-IF(ISNUMBER(O3639),O3639,0)+IF(ISNUMBER(P3639),P3639,0)))&lt;=Summary!$B$2),"Passes using beginning_balance - PreV_ETB differs from beginning_balance",IF(AND(ISNUMBER(O3639),O3639&lt;0,ABS(L3639-(Q3639-IF(ISNUMBER(N3639),N3639,0)+IF(ISNUMBER(P3639),P3639,0)))&lt;=Summary!$B$2),"Negative realized loss not applied - check sign",IF(R3639&lt;0,"Principal paid exceeds prior balance",IF(AND(L3639&gt;Q3639,NOT(ISNUMBER(P3639))),"Balance increased but no Deferred_interest reported",IF(L3639&gt;R3639,"Reported balance higher than expected (missing increase/OC build)","Reported balance lower than expected (missing decrease)"))))),""))</f>
        <v/>
      </c>
    </row>
    <row r="3640" customFormat="false" ht="15" hidden="false" customHeight="false" outlineLevel="0" collapsed="false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9"/>
      <c r="L3640" s="9"/>
      <c r="M3640" s="9"/>
      <c r="N3640" s="9"/>
      <c r="O3640" s="9"/>
      <c r="P3640" s="9"/>
      <c r="Q3640" s="9"/>
      <c r="R3640" s="9" t="str">
        <f aca="false">IF(AND(A3640&lt;&gt;"",ISNUMBER(Q3640),ISNUMBER(L3640)),ROUND(Q3640-IF(ISNUMBER(N3640),N3640,0)-IF(ISNUMBER(O3640),O3640,0)+IF(ISNUMBER(P3640),P3640,0),2),"")</f>
        <v/>
      </c>
      <c r="S3640" s="9" t="str">
        <f aca="false">IF(R3640="","",ROUND(L3640-R3640,2))</f>
        <v/>
      </c>
      <c r="T3640" s="8" t="str">
        <f aca="false">IF(A3640="","",IF(S3640="","BYPASS",IF(ABS(S3640)&lt;=Summary!$B$2,"PASS","FAIL")))</f>
        <v/>
      </c>
      <c r="U3640" s="8" t="str">
        <f aca="false">IF(T3640="BYPASS",IF(NOT(ISNUMBER(Q3640)),"PreV_ETB missing","End_tr_balance missing"),IF(T3640="FAIL",IF(AND(ISNUMBER(K3640),ISNUMBER(L3640),ABS(L3640-(K3640-IF(ISNUMBER(N3640),N3640,0)-IF(ISNUMBER(O3640),O3640,0)+IF(ISNUMBER(P3640),P3640,0)))&lt;=Summary!$B$2),"Passes using beginning_balance - PreV_ETB differs from beginning_balance",IF(AND(ISNUMBER(O3640),O3640&lt;0,ABS(L3640-(Q3640-IF(ISNUMBER(N3640),N3640,0)+IF(ISNUMBER(P3640),P3640,0)))&lt;=Summary!$B$2),"Negative realized loss not applied - check sign",IF(R3640&lt;0,"Principal paid exceeds prior balance",IF(AND(L3640&gt;Q3640,NOT(ISNUMBER(P3640))),"Balance increased but no Deferred_interest reported",IF(L3640&gt;R3640,"Reported balance higher than expected (missing increase/OC build)","Reported balance lower than expected (missing decrease)"))))),""))</f>
        <v/>
      </c>
    </row>
    <row r="3641" customFormat="false" ht="15" hidden="false" customHeight="false" outlineLevel="0" collapsed="false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9"/>
      <c r="L3641" s="9"/>
      <c r="M3641" s="9"/>
      <c r="N3641" s="9"/>
      <c r="O3641" s="9"/>
      <c r="P3641" s="9"/>
      <c r="Q3641" s="9"/>
      <c r="R3641" s="9" t="str">
        <f aca="false">IF(AND(A3641&lt;&gt;"",ISNUMBER(Q3641),ISNUMBER(L3641)),ROUND(Q3641-IF(ISNUMBER(N3641),N3641,0)-IF(ISNUMBER(O3641),O3641,0)+IF(ISNUMBER(P3641),P3641,0),2),"")</f>
        <v/>
      </c>
      <c r="S3641" s="9" t="str">
        <f aca="false">IF(R3641="","",ROUND(L3641-R3641,2))</f>
        <v/>
      </c>
      <c r="T3641" s="8" t="str">
        <f aca="false">IF(A3641="","",IF(S3641="","BYPASS",IF(ABS(S3641)&lt;=Summary!$B$2,"PASS","FAIL")))</f>
        <v/>
      </c>
      <c r="U3641" s="8" t="str">
        <f aca="false">IF(T3641="BYPASS",IF(NOT(ISNUMBER(Q3641)),"PreV_ETB missing","End_tr_balance missing"),IF(T3641="FAIL",IF(AND(ISNUMBER(K3641),ISNUMBER(L3641),ABS(L3641-(K3641-IF(ISNUMBER(N3641),N3641,0)-IF(ISNUMBER(O3641),O3641,0)+IF(ISNUMBER(P3641),P3641,0)))&lt;=Summary!$B$2),"Passes using beginning_balance - PreV_ETB differs from beginning_balance",IF(AND(ISNUMBER(O3641),O3641&lt;0,ABS(L3641-(Q3641-IF(ISNUMBER(N3641),N3641,0)+IF(ISNUMBER(P3641),P3641,0)))&lt;=Summary!$B$2),"Negative realized loss not applied - check sign",IF(R3641&lt;0,"Principal paid exceeds prior balance",IF(AND(L3641&gt;Q3641,NOT(ISNUMBER(P3641))),"Balance increased but no Deferred_interest reported",IF(L3641&gt;R3641,"Reported balance higher than expected (missing increase/OC build)","Reported balance lower than expected (missing decrease)"))))),""))</f>
        <v/>
      </c>
    </row>
    <row r="3642" customFormat="false" ht="15" hidden="false" customHeight="false" outlineLevel="0" collapsed="false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9"/>
      <c r="L3642" s="9"/>
      <c r="M3642" s="9"/>
      <c r="N3642" s="9"/>
      <c r="O3642" s="9"/>
      <c r="P3642" s="9"/>
      <c r="Q3642" s="9"/>
      <c r="R3642" s="9" t="str">
        <f aca="false">IF(AND(A3642&lt;&gt;"",ISNUMBER(Q3642),ISNUMBER(L3642)),ROUND(Q3642-IF(ISNUMBER(N3642),N3642,0)-IF(ISNUMBER(O3642),O3642,0)+IF(ISNUMBER(P3642),P3642,0),2),"")</f>
        <v/>
      </c>
      <c r="S3642" s="9" t="str">
        <f aca="false">IF(R3642="","",ROUND(L3642-R3642,2))</f>
        <v/>
      </c>
      <c r="T3642" s="8" t="str">
        <f aca="false">IF(A3642="","",IF(S3642="","BYPASS",IF(ABS(S3642)&lt;=Summary!$B$2,"PASS","FAIL")))</f>
        <v/>
      </c>
      <c r="U3642" s="8" t="str">
        <f aca="false">IF(T3642="BYPASS",IF(NOT(ISNUMBER(Q3642)),"PreV_ETB missing","End_tr_balance missing"),IF(T3642="FAIL",IF(AND(ISNUMBER(K3642),ISNUMBER(L3642),ABS(L3642-(K3642-IF(ISNUMBER(N3642),N3642,0)-IF(ISNUMBER(O3642),O3642,0)+IF(ISNUMBER(P3642),P3642,0)))&lt;=Summary!$B$2),"Passes using beginning_balance - PreV_ETB differs from beginning_balance",IF(AND(ISNUMBER(O3642),O3642&lt;0,ABS(L3642-(Q3642-IF(ISNUMBER(N3642),N3642,0)+IF(ISNUMBER(P3642),P3642,0)))&lt;=Summary!$B$2),"Negative realized loss not applied - check sign",IF(R3642&lt;0,"Principal paid exceeds prior balance",IF(AND(L3642&gt;Q3642,NOT(ISNUMBER(P3642))),"Balance increased but no Deferred_interest reported",IF(L3642&gt;R3642,"Reported balance higher than expected (missing increase/OC build)","Reported balance lower than expected (missing decrease)"))))),""))</f>
        <v/>
      </c>
    </row>
    <row r="3643" customFormat="false" ht="15" hidden="false" customHeight="false" outlineLevel="0" collapsed="false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9"/>
      <c r="L3643" s="9"/>
      <c r="M3643" s="9"/>
      <c r="N3643" s="9"/>
      <c r="O3643" s="9"/>
      <c r="P3643" s="9"/>
      <c r="Q3643" s="9"/>
      <c r="R3643" s="9" t="str">
        <f aca="false">IF(AND(A3643&lt;&gt;"",ISNUMBER(Q3643),ISNUMBER(L3643)),ROUND(Q3643-IF(ISNUMBER(N3643),N3643,0)-IF(ISNUMBER(O3643),O3643,0)+IF(ISNUMBER(P3643),P3643,0),2),"")</f>
        <v/>
      </c>
      <c r="S3643" s="9" t="str">
        <f aca="false">IF(R3643="","",ROUND(L3643-R3643,2))</f>
        <v/>
      </c>
      <c r="T3643" s="8" t="str">
        <f aca="false">IF(A3643="","",IF(S3643="","BYPASS",IF(ABS(S3643)&lt;=Summary!$B$2,"PASS","FAIL")))</f>
        <v/>
      </c>
      <c r="U3643" s="8" t="str">
        <f aca="false">IF(T3643="BYPASS",IF(NOT(ISNUMBER(Q3643)),"PreV_ETB missing","End_tr_balance missing"),IF(T3643="FAIL",IF(AND(ISNUMBER(K3643),ISNUMBER(L3643),ABS(L3643-(K3643-IF(ISNUMBER(N3643),N3643,0)-IF(ISNUMBER(O3643),O3643,0)+IF(ISNUMBER(P3643),P3643,0)))&lt;=Summary!$B$2),"Passes using beginning_balance - PreV_ETB differs from beginning_balance",IF(AND(ISNUMBER(O3643),O3643&lt;0,ABS(L3643-(Q3643-IF(ISNUMBER(N3643),N3643,0)+IF(ISNUMBER(P3643),P3643,0)))&lt;=Summary!$B$2),"Negative realized loss not applied - check sign",IF(R3643&lt;0,"Principal paid exceeds prior balance",IF(AND(L3643&gt;Q3643,NOT(ISNUMBER(P3643))),"Balance increased but no Deferred_interest reported",IF(L3643&gt;R3643,"Reported balance higher than expected (missing increase/OC build)","Reported balance lower than expected (missing decrease)"))))),""))</f>
        <v/>
      </c>
    </row>
    <row r="3644" customFormat="false" ht="15" hidden="false" customHeight="false" outlineLevel="0" collapsed="false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9"/>
      <c r="L3644" s="9"/>
      <c r="M3644" s="9"/>
      <c r="N3644" s="9"/>
      <c r="O3644" s="9"/>
      <c r="P3644" s="9"/>
      <c r="Q3644" s="9"/>
      <c r="R3644" s="9" t="str">
        <f aca="false">IF(AND(A3644&lt;&gt;"",ISNUMBER(Q3644),ISNUMBER(L3644)),ROUND(Q3644-IF(ISNUMBER(N3644),N3644,0)-IF(ISNUMBER(O3644),O3644,0)+IF(ISNUMBER(P3644),P3644,0),2),"")</f>
        <v/>
      </c>
      <c r="S3644" s="9" t="str">
        <f aca="false">IF(R3644="","",ROUND(L3644-R3644,2))</f>
        <v/>
      </c>
      <c r="T3644" s="8" t="str">
        <f aca="false">IF(A3644="","",IF(S3644="","BYPASS",IF(ABS(S3644)&lt;=Summary!$B$2,"PASS","FAIL")))</f>
        <v/>
      </c>
      <c r="U3644" s="8" t="str">
        <f aca="false">IF(T3644="BYPASS",IF(NOT(ISNUMBER(Q3644)),"PreV_ETB missing","End_tr_balance missing"),IF(T3644="FAIL",IF(AND(ISNUMBER(K3644),ISNUMBER(L3644),ABS(L3644-(K3644-IF(ISNUMBER(N3644),N3644,0)-IF(ISNUMBER(O3644),O3644,0)+IF(ISNUMBER(P3644),P3644,0)))&lt;=Summary!$B$2),"Passes using beginning_balance - PreV_ETB differs from beginning_balance",IF(AND(ISNUMBER(O3644),O3644&lt;0,ABS(L3644-(Q3644-IF(ISNUMBER(N3644),N3644,0)+IF(ISNUMBER(P3644),P3644,0)))&lt;=Summary!$B$2),"Negative realized loss not applied - check sign",IF(R3644&lt;0,"Principal paid exceeds prior balance",IF(AND(L3644&gt;Q3644,NOT(ISNUMBER(P3644))),"Balance increased but no Deferred_interest reported",IF(L3644&gt;R3644,"Reported balance higher than expected (missing increase/OC build)","Reported balance lower than expected (missing decrease)"))))),""))</f>
        <v/>
      </c>
    </row>
    <row r="3645" customFormat="false" ht="15" hidden="false" customHeight="false" outlineLevel="0" collapsed="false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9"/>
      <c r="L3645" s="9"/>
      <c r="M3645" s="9"/>
      <c r="N3645" s="9"/>
      <c r="O3645" s="9"/>
      <c r="P3645" s="9"/>
      <c r="Q3645" s="9"/>
      <c r="R3645" s="9" t="str">
        <f aca="false">IF(AND(A3645&lt;&gt;"",ISNUMBER(Q3645),ISNUMBER(L3645)),ROUND(Q3645-IF(ISNUMBER(N3645),N3645,0)-IF(ISNUMBER(O3645),O3645,0)+IF(ISNUMBER(P3645),P3645,0),2),"")</f>
        <v/>
      </c>
      <c r="S3645" s="9" t="str">
        <f aca="false">IF(R3645="","",ROUND(L3645-R3645,2))</f>
        <v/>
      </c>
      <c r="T3645" s="8" t="str">
        <f aca="false">IF(A3645="","",IF(S3645="","BYPASS",IF(ABS(S3645)&lt;=Summary!$B$2,"PASS","FAIL")))</f>
        <v/>
      </c>
      <c r="U3645" s="8" t="str">
        <f aca="false">IF(T3645="BYPASS",IF(NOT(ISNUMBER(Q3645)),"PreV_ETB missing","End_tr_balance missing"),IF(T3645="FAIL",IF(AND(ISNUMBER(K3645),ISNUMBER(L3645),ABS(L3645-(K3645-IF(ISNUMBER(N3645),N3645,0)-IF(ISNUMBER(O3645),O3645,0)+IF(ISNUMBER(P3645),P3645,0)))&lt;=Summary!$B$2),"Passes using beginning_balance - PreV_ETB differs from beginning_balance",IF(AND(ISNUMBER(O3645),O3645&lt;0,ABS(L3645-(Q3645-IF(ISNUMBER(N3645),N3645,0)+IF(ISNUMBER(P3645),P3645,0)))&lt;=Summary!$B$2),"Negative realized loss not applied - check sign",IF(R3645&lt;0,"Principal paid exceeds prior balance",IF(AND(L3645&gt;Q3645,NOT(ISNUMBER(P3645))),"Balance increased but no Deferred_interest reported",IF(L3645&gt;R3645,"Reported balance higher than expected (missing increase/OC build)","Reported balance lower than expected (missing decrease)"))))),""))</f>
        <v/>
      </c>
    </row>
    <row r="3646" customFormat="false" ht="15" hidden="false" customHeight="false" outlineLevel="0" collapsed="false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9"/>
      <c r="L3646" s="9"/>
      <c r="M3646" s="9"/>
      <c r="N3646" s="9"/>
      <c r="O3646" s="9"/>
      <c r="P3646" s="9"/>
      <c r="Q3646" s="9"/>
      <c r="R3646" s="9" t="str">
        <f aca="false">IF(AND(A3646&lt;&gt;"",ISNUMBER(Q3646),ISNUMBER(L3646)),ROUND(Q3646-IF(ISNUMBER(N3646),N3646,0)-IF(ISNUMBER(O3646),O3646,0)+IF(ISNUMBER(P3646),P3646,0),2),"")</f>
        <v/>
      </c>
      <c r="S3646" s="9" t="str">
        <f aca="false">IF(R3646="","",ROUND(L3646-R3646,2))</f>
        <v/>
      </c>
      <c r="T3646" s="8" t="str">
        <f aca="false">IF(A3646="","",IF(S3646="","BYPASS",IF(ABS(S3646)&lt;=Summary!$B$2,"PASS","FAIL")))</f>
        <v/>
      </c>
      <c r="U3646" s="8" t="str">
        <f aca="false">IF(T3646="BYPASS",IF(NOT(ISNUMBER(Q3646)),"PreV_ETB missing","End_tr_balance missing"),IF(T3646="FAIL",IF(AND(ISNUMBER(K3646),ISNUMBER(L3646),ABS(L3646-(K3646-IF(ISNUMBER(N3646),N3646,0)-IF(ISNUMBER(O3646),O3646,0)+IF(ISNUMBER(P3646),P3646,0)))&lt;=Summary!$B$2),"Passes using beginning_balance - PreV_ETB differs from beginning_balance",IF(AND(ISNUMBER(O3646),O3646&lt;0,ABS(L3646-(Q3646-IF(ISNUMBER(N3646),N3646,0)+IF(ISNUMBER(P3646),P3646,0)))&lt;=Summary!$B$2),"Negative realized loss not applied - check sign",IF(R3646&lt;0,"Principal paid exceeds prior balance",IF(AND(L3646&gt;Q3646,NOT(ISNUMBER(P3646))),"Balance increased but no Deferred_interest reported",IF(L3646&gt;R3646,"Reported balance higher than expected (missing increase/OC build)","Reported balance lower than expected (missing decrease)"))))),""))</f>
        <v/>
      </c>
    </row>
    <row r="3647" customFormat="false" ht="15" hidden="false" customHeight="false" outlineLevel="0" collapsed="false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9"/>
      <c r="L3647" s="9"/>
      <c r="M3647" s="9"/>
      <c r="N3647" s="9"/>
      <c r="O3647" s="9"/>
      <c r="P3647" s="9"/>
      <c r="Q3647" s="9"/>
      <c r="R3647" s="9" t="str">
        <f aca="false">IF(AND(A3647&lt;&gt;"",ISNUMBER(Q3647),ISNUMBER(L3647)),ROUND(Q3647-IF(ISNUMBER(N3647),N3647,0)-IF(ISNUMBER(O3647),O3647,0)+IF(ISNUMBER(P3647),P3647,0),2),"")</f>
        <v/>
      </c>
      <c r="S3647" s="9" t="str">
        <f aca="false">IF(R3647="","",ROUND(L3647-R3647,2))</f>
        <v/>
      </c>
      <c r="T3647" s="8" t="str">
        <f aca="false">IF(A3647="","",IF(S3647="","BYPASS",IF(ABS(S3647)&lt;=Summary!$B$2,"PASS","FAIL")))</f>
        <v/>
      </c>
      <c r="U3647" s="8" t="str">
        <f aca="false">IF(T3647="BYPASS",IF(NOT(ISNUMBER(Q3647)),"PreV_ETB missing","End_tr_balance missing"),IF(T3647="FAIL",IF(AND(ISNUMBER(K3647),ISNUMBER(L3647),ABS(L3647-(K3647-IF(ISNUMBER(N3647),N3647,0)-IF(ISNUMBER(O3647),O3647,0)+IF(ISNUMBER(P3647),P3647,0)))&lt;=Summary!$B$2),"Passes using beginning_balance - PreV_ETB differs from beginning_balance",IF(AND(ISNUMBER(O3647),O3647&lt;0,ABS(L3647-(Q3647-IF(ISNUMBER(N3647),N3647,0)+IF(ISNUMBER(P3647),P3647,0)))&lt;=Summary!$B$2),"Negative realized loss not applied - check sign",IF(R3647&lt;0,"Principal paid exceeds prior balance",IF(AND(L3647&gt;Q3647,NOT(ISNUMBER(P3647))),"Balance increased but no Deferred_interest reported",IF(L3647&gt;R3647,"Reported balance higher than expected (missing increase/OC build)","Reported balance lower than expected (missing decrease)"))))),""))</f>
        <v/>
      </c>
    </row>
    <row r="3648" customFormat="false" ht="15" hidden="false" customHeight="false" outlineLevel="0" collapsed="false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9"/>
      <c r="L3648" s="9"/>
      <c r="M3648" s="9"/>
      <c r="N3648" s="9"/>
      <c r="O3648" s="9"/>
      <c r="P3648" s="9"/>
      <c r="Q3648" s="9"/>
      <c r="R3648" s="9" t="str">
        <f aca="false">IF(AND(A3648&lt;&gt;"",ISNUMBER(Q3648),ISNUMBER(L3648)),ROUND(Q3648-IF(ISNUMBER(N3648),N3648,0)-IF(ISNUMBER(O3648),O3648,0)+IF(ISNUMBER(P3648),P3648,0),2),"")</f>
        <v/>
      </c>
      <c r="S3648" s="9" t="str">
        <f aca="false">IF(R3648="","",ROUND(L3648-R3648,2))</f>
        <v/>
      </c>
      <c r="T3648" s="8" t="str">
        <f aca="false">IF(A3648="","",IF(S3648="","BYPASS",IF(ABS(S3648)&lt;=Summary!$B$2,"PASS","FAIL")))</f>
        <v/>
      </c>
      <c r="U3648" s="8" t="str">
        <f aca="false">IF(T3648="BYPASS",IF(NOT(ISNUMBER(Q3648)),"PreV_ETB missing","End_tr_balance missing"),IF(T3648="FAIL",IF(AND(ISNUMBER(K3648),ISNUMBER(L3648),ABS(L3648-(K3648-IF(ISNUMBER(N3648),N3648,0)-IF(ISNUMBER(O3648),O3648,0)+IF(ISNUMBER(P3648),P3648,0)))&lt;=Summary!$B$2),"Passes using beginning_balance - PreV_ETB differs from beginning_balance",IF(AND(ISNUMBER(O3648),O3648&lt;0,ABS(L3648-(Q3648-IF(ISNUMBER(N3648),N3648,0)+IF(ISNUMBER(P3648),P3648,0)))&lt;=Summary!$B$2),"Negative realized loss not applied - check sign",IF(R3648&lt;0,"Principal paid exceeds prior balance",IF(AND(L3648&gt;Q3648,NOT(ISNUMBER(P3648))),"Balance increased but no Deferred_interest reported",IF(L3648&gt;R3648,"Reported balance higher than expected (missing increase/OC build)","Reported balance lower than expected (missing decrease)"))))),""))</f>
        <v/>
      </c>
    </row>
    <row r="3649" customFormat="false" ht="15" hidden="false" customHeight="false" outlineLevel="0" collapsed="false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9"/>
      <c r="L3649" s="9"/>
      <c r="M3649" s="9"/>
      <c r="N3649" s="9"/>
      <c r="O3649" s="9"/>
      <c r="P3649" s="9"/>
      <c r="Q3649" s="9"/>
      <c r="R3649" s="9" t="str">
        <f aca="false">IF(AND(A3649&lt;&gt;"",ISNUMBER(Q3649),ISNUMBER(L3649)),ROUND(Q3649-IF(ISNUMBER(N3649),N3649,0)-IF(ISNUMBER(O3649),O3649,0)+IF(ISNUMBER(P3649),P3649,0),2),"")</f>
        <v/>
      </c>
      <c r="S3649" s="9" t="str">
        <f aca="false">IF(R3649="","",ROUND(L3649-R3649,2))</f>
        <v/>
      </c>
      <c r="T3649" s="8" t="str">
        <f aca="false">IF(A3649="","",IF(S3649="","BYPASS",IF(ABS(S3649)&lt;=Summary!$B$2,"PASS","FAIL")))</f>
        <v/>
      </c>
      <c r="U3649" s="8" t="str">
        <f aca="false">IF(T3649="BYPASS",IF(NOT(ISNUMBER(Q3649)),"PreV_ETB missing","End_tr_balance missing"),IF(T3649="FAIL",IF(AND(ISNUMBER(K3649),ISNUMBER(L3649),ABS(L3649-(K3649-IF(ISNUMBER(N3649),N3649,0)-IF(ISNUMBER(O3649),O3649,0)+IF(ISNUMBER(P3649),P3649,0)))&lt;=Summary!$B$2),"Passes using beginning_balance - PreV_ETB differs from beginning_balance",IF(AND(ISNUMBER(O3649),O3649&lt;0,ABS(L3649-(Q3649-IF(ISNUMBER(N3649),N3649,0)+IF(ISNUMBER(P3649),P3649,0)))&lt;=Summary!$B$2),"Negative realized loss not applied - check sign",IF(R3649&lt;0,"Principal paid exceeds prior balance",IF(AND(L3649&gt;Q3649,NOT(ISNUMBER(P3649))),"Balance increased but no Deferred_interest reported",IF(L3649&gt;R3649,"Reported balance higher than expected (missing increase/OC build)","Reported balance lower than expected (missing decrease)"))))),""))</f>
        <v/>
      </c>
    </row>
    <row r="3650" customFormat="false" ht="15" hidden="false" customHeight="false" outlineLevel="0" collapsed="false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9"/>
      <c r="L3650" s="9"/>
      <c r="M3650" s="9"/>
      <c r="N3650" s="9"/>
      <c r="O3650" s="9"/>
      <c r="P3650" s="9"/>
      <c r="Q3650" s="9"/>
      <c r="R3650" s="9" t="str">
        <f aca="false">IF(AND(A3650&lt;&gt;"",ISNUMBER(Q3650),ISNUMBER(L3650)),ROUND(Q3650-IF(ISNUMBER(N3650),N3650,0)-IF(ISNUMBER(O3650),O3650,0)+IF(ISNUMBER(P3650),P3650,0),2),"")</f>
        <v/>
      </c>
      <c r="S3650" s="9" t="str">
        <f aca="false">IF(R3650="","",ROUND(L3650-R3650,2))</f>
        <v/>
      </c>
      <c r="T3650" s="8" t="str">
        <f aca="false">IF(A3650="","",IF(S3650="","BYPASS",IF(ABS(S3650)&lt;=Summary!$B$2,"PASS","FAIL")))</f>
        <v/>
      </c>
      <c r="U3650" s="8" t="str">
        <f aca="false">IF(T3650="BYPASS",IF(NOT(ISNUMBER(Q3650)),"PreV_ETB missing","End_tr_balance missing"),IF(T3650="FAIL",IF(AND(ISNUMBER(K3650),ISNUMBER(L3650),ABS(L3650-(K3650-IF(ISNUMBER(N3650),N3650,0)-IF(ISNUMBER(O3650),O3650,0)+IF(ISNUMBER(P3650),P3650,0)))&lt;=Summary!$B$2),"Passes using beginning_balance - PreV_ETB differs from beginning_balance",IF(AND(ISNUMBER(O3650),O3650&lt;0,ABS(L3650-(Q3650-IF(ISNUMBER(N3650),N3650,0)+IF(ISNUMBER(P3650),P3650,0)))&lt;=Summary!$B$2),"Negative realized loss not applied - check sign",IF(R3650&lt;0,"Principal paid exceeds prior balance",IF(AND(L3650&gt;Q3650,NOT(ISNUMBER(P3650))),"Balance increased but no Deferred_interest reported",IF(L3650&gt;R3650,"Reported balance higher than expected (missing increase/OC build)","Reported balance lower than expected (missing decrease)"))))),""))</f>
        <v/>
      </c>
    </row>
    <row r="3651" customFormat="false" ht="15" hidden="false" customHeight="false" outlineLevel="0" collapsed="false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9"/>
      <c r="L3651" s="9"/>
      <c r="M3651" s="9"/>
      <c r="N3651" s="9"/>
      <c r="O3651" s="9"/>
      <c r="P3651" s="9"/>
      <c r="Q3651" s="9"/>
      <c r="R3651" s="9" t="str">
        <f aca="false">IF(AND(A3651&lt;&gt;"",ISNUMBER(Q3651),ISNUMBER(L3651)),ROUND(Q3651-IF(ISNUMBER(N3651),N3651,0)-IF(ISNUMBER(O3651),O3651,0)+IF(ISNUMBER(P3651),P3651,0),2),"")</f>
        <v/>
      </c>
      <c r="S3651" s="9" t="str">
        <f aca="false">IF(R3651="","",ROUND(L3651-R3651,2))</f>
        <v/>
      </c>
      <c r="T3651" s="8" t="str">
        <f aca="false">IF(A3651="","",IF(S3651="","BYPASS",IF(ABS(S3651)&lt;=Summary!$B$2,"PASS","FAIL")))</f>
        <v/>
      </c>
      <c r="U3651" s="8" t="str">
        <f aca="false">IF(T3651="BYPASS",IF(NOT(ISNUMBER(Q3651)),"PreV_ETB missing","End_tr_balance missing"),IF(T3651="FAIL",IF(AND(ISNUMBER(K3651),ISNUMBER(L3651),ABS(L3651-(K3651-IF(ISNUMBER(N3651),N3651,0)-IF(ISNUMBER(O3651),O3651,0)+IF(ISNUMBER(P3651),P3651,0)))&lt;=Summary!$B$2),"Passes using beginning_balance - PreV_ETB differs from beginning_balance",IF(AND(ISNUMBER(O3651),O3651&lt;0,ABS(L3651-(Q3651-IF(ISNUMBER(N3651),N3651,0)+IF(ISNUMBER(P3651),P3651,0)))&lt;=Summary!$B$2),"Negative realized loss not applied - check sign",IF(R3651&lt;0,"Principal paid exceeds prior balance",IF(AND(L3651&gt;Q3651,NOT(ISNUMBER(P3651))),"Balance increased but no Deferred_interest reported",IF(L3651&gt;R3651,"Reported balance higher than expected (missing increase/OC build)","Reported balance lower than expected (missing decrease)"))))),""))</f>
        <v/>
      </c>
    </row>
    <row r="3652" customFormat="false" ht="15" hidden="false" customHeight="false" outlineLevel="0" collapsed="false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9"/>
      <c r="L3652" s="9"/>
      <c r="M3652" s="9"/>
      <c r="N3652" s="9"/>
      <c r="O3652" s="9"/>
      <c r="P3652" s="9"/>
      <c r="Q3652" s="9"/>
      <c r="R3652" s="9" t="str">
        <f aca="false">IF(AND(A3652&lt;&gt;"",ISNUMBER(Q3652),ISNUMBER(L3652)),ROUND(Q3652-IF(ISNUMBER(N3652),N3652,0)-IF(ISNUMBER(O3652),O3652,0)+IF(ISNUMBER(P3652),P3652,0),2),"")</f>
        <v/>
      </c>
      <c r="S3652" s="9" t="str">
        <f aca="false">IF(R3652="","",ROUND(L3652-R3652,2))</f>
        <v/>
      </c>
      <c r="T3652" s="8" t="str">
        <f aca="false">IF(A3652="","",IF(S3652="","BYPASS",IF(ABS(S3652)&lt;=Summary!$B$2,"PASS","FAIL")))</f>
        <v/>
      </c>
      <c r="U3652" s="8" t="str">
        <f aca="false">IF(T3652="BYPASS",IF(NOT(ISNUMBER(Q3652)),"PreV_ETB missing","End_tr_balance missing"),IF(T3652="FAIL",IF(AND(ISNUMBER(K3652),ISNUMBER(L3652),ABS(L3652-(K3652-IF(ISNUMBER(N3652),N3652,0)-IF(ISNUMBER(O3652),O3652,0)+IF(ISNUMBER(P3652),P3652,0)))&lt;=Summary!$B$2),"Passes using beginning_balance - PreV_ETB differs from beginning_balance",IF(AND(ISNUMBER(O3652),O3652&lt;0,ABS(L3652-(Q3652-IF(ISNUMBER(N3652),N3652,0)+IF(ISNUMBER(P3652),P3652,0)))&lt;=Summary!$B$2),"Negative realized loss not applied - check sign",IF(R3652&lt;0,"Principal paid exceeds prior balance",IF(AND(L3652&gt;Q3652,NOT(ISNUMBER(P3652))),"Balance increased but no Deferred_interest reported",IF(L3652&gt;R3652,"Reported balance higher than expected (missing increase/OC build)","Reported balance lower than expected (missing decrease)"))))),""))</f>
        <v/>
      </c>
    </row>
    <row r="3653" customFormat="false" ht="15" hidden="false" customHeight="false" outlineLevel="0" collapsed="false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9"/>
      <c r="L3653" s="9"/>
      <c r="M3653" s="9"/>
      <c r="N3653" s="9"/>
      <c r="O3653" s="9"/>
      <c r="P3653" s="9"/>
      <c r="Q3653" s="9"/>
      <c r="R3653" s="9" t="str">
        <f aca="false">IF(AND(A3653&lt;&gt;"",ISNUMBER(Q3653),ISNUMBER(L3653)),ROUND(Q3653-IF(ISNUMBER(N3653),N3653,0)-IF(ISNUMBER(O3653),O3653,0)+IF(ISNUMBER(P3653),P3653,0),2),"")</f>
        <v/>
      </c>
      <c r="S3653" s="9" t="str">
        <f aca="false">IF(R3653="","",ROUND(L3653-R3653,2))</f>
        <v/>
      </c>
      <c r="T3653" s="8" t="str">
        <f aca="false">IF(A3653="","",IF(S3653="","BYPASS",IF(ABS(S3653)&lt;=Summary!$B$2,"PASS","FAIL")))</f>
        <v/>
      </c>
      <c r="U3653" s="8" t="str">
        <f aca="false">IF(T3653="BYPASS",IF(NOT(ISNUMBER(Q3653)),"PreV_ETB missing","End_tr_balance missing"),IF(T3653="FAIL",IF(AND(ISNUMBER(K3653),ISNUMBER(L3653),ABS(L3653-(K3653-IF(ISNUMBER(N3653),N3653,0)-IF(ISNUMBER(O3653),O3653,0)+IF(ISNUMBER(P3653),P3653,0)))&lt;=Summary!$B$2),"Passes using beginning_balance - PreV_ETB differs from beginning_balance",IF(AND(ISNUMBER(O3653),O3653&lt;0,ABS(L3653-(Q3653-IF(ISNUMBER(N3653),N3653,0)+IF(ISNUMBER(P3653),P3653,0)))&lt;=Summary!$B$2),"Negative realized loss not applied - check sign",IF(R3653&lt;0,"Principal paid exceeds prior balance",IF(AND(L3653&gt;Q3653,NOT(ISNUMBER(P3653))),"Balance increased but no Deferred_interest reported",IF(L3653&gt;R3653,"Reported balance higher than expected (missing increase/OC build)","Reported balance lower than expected (missing decrease)"))))),""))</f>
        <v/>
      </c>
    </row>
    <row r="3654" customFormat="false" ht="15" hidden="false" customHeight="false" outlineLevel="0" collapsed="false">
      <c r="A3654" s="8"/>
      <c r="B3654" s="8"/>
      <c r="C3654" s="8"/>
      <c r="D3654" s="8"/>
      <c r="E3654" s="8"/>
      <c r="F3654" s="8"/>
      <c r="G3654" s="8"/>
      <c r="H3654" s="8"/>
      <c r="I3654" s="8"/>
      <c r="J3654" s="8"/>
      <c r="K3654" s="9"/>
      <c r="L3654" s="9"/>
      <c r="M3654" s="9"/>
      <c r="N3654" s="9"/>
      <c r="O3654" s="9"/>
      <c r="P3654" s="9"/>
      <c r="Q3654" s="9"/>
      <c r="R3654" s="9" t="str">
        <f aca="false">IF(AND(A3654&lt;&gt;"",ISNUMBER(Q3654),ISNUMBER(L3654)),ROUND(Q3654-IF(ISNUMBER(N3654),N3654,0)-IF(ISNUMBER(O3654),O3654,0)+IF(ISNUMBER(P3654),P3654,0),2),"")</f>
        <v/>
      </c>
      <c r="S3654" s="9" t="str">
        <f aca="false">IF(R3654="","",ROUND(L3654-R3654,2))</f>
        <v/>
      </c>
      <c r="T3654" s="8" t="str">
        <f aca="false">IF(A3654="","",IF(S3654="","BYPASS",IF(ABS(S3654)&lt;=Summary!$B$2,"PASS","FAIL")))</f>
        <v/>
      </c>
      <c r="U3654" s="8" t="str">
        <f aca="false">IF(T3654="BYPASS",IF(NOT(ISNUMBER(Q3654)),"PreV_ETB missing","End_tr_balance missing"),IF(T3654="FAIL",IF(AND(ISNUMBER(K3654),ISNUMBER(L3654),ABS(L3654-(K3654-IF(ISNUMBER(N3654),N3654,0)-IF(ISNUMBER(O3654),O3654,0)+IF(ISNUMBER(P3654),P3654,0)))&lt;=Summary!$B$2),"Passes using beginning_balance - PreV_ETB differs from beginning_balance",IF(AND(ISNUMBER(O3654),O3654&lt;0,ABS(L3654-(Q3654-IF(ISNUMBER(N3654),N3654,0)+IF(ISNUMBER(P3654),P3654,0)))&lt;=Summary!$B$2),"Negative realized loss not applied - check sign",IF(R3654&lt;0,"Principal paid exceeds prior balance",IF(AND(L3654&gt;Q3654,NOT(ISNUMBER(P3654))),"Balance increased but no Deferred_interest reported",IF(L3654&gt;R3654,"Reported balance higher than expected (missing increase/OC build)","Reported balance lower than expected (missing decrease)"))))),""))</f>
        <v/>
      </c>
    </row>
    <row r="3655" customFormat="false" ht="15" hidden="false" customHeight="false" outlineLevel="0" collapsed="false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9"/>
      <c r="L3655" s="9"/>
      <c r="M3655" s="9"/>
      <c r="N3655" s="9"/>
      <c r="O3655" s="9"/>
      <c r="P3655" s="9"/>
      <c r="Q3655" s="9"/>
      <c r="R3655" s="9" t="str">
        <f aca="false">IF(AND(A3655&lt;&gt;"",ISNUMBER(Q3655),ISNUMBER(L3655)),ROUND(Q3655-IF(ISNUMBER(N3655),N3655,0)-IF(ISNUMBER(O3655),O3655,0)+IF(ISNUMBER(P3655),P3655,0),2),"")</f>
        <v/>
      </c>
      <c r="S3655" s="9" t="str">
        <f aca="false">IF(R3655="","",ROUND(L3655-R3655,2))</f>
        <v/>
      </c>
      <c r="T3655" s="8" t="str">
        <f aca="false">IF(A3655="","",IF(S3655="","BYPASS",IF(ABS(S3655)&lt;=Summary!$B$2,"PASS","FAIL")))</f>
        <v/>
      </c>
      <c r="U3655" s="8" t="str">
        <f aca="false">IF(T3655="BYPASS",IF(NOT(ISNUMBER(Q3655)),"PreV_ETB missing","End_tr_balance missing"),IF(T3655="FAIL",IF(AND(ISNUMBER(K3655),ISNUMBER(L3655),ABS(L3655-(K3655-IF(ISNUMBER(N3655),N3655,0)-IF(ISNUMBER(O3655),O3655,0)+IF(ISNUMBER(P3655),P3655,0)))&lt;=Summary!$B$2),"Passes using beginning_balance - PreV_ETB differs from beginning_balance",IF(AND(ISNUMBER(O3655),O3655&lt;0,ABS(L3655-(Q3655-IF(ISNUMBER(N3655),N3655,0)+IF(ISNUMBER(P3655),P3655,0)))&lt;=Summary!$B$2),"Negative realized loss not applied - check sign",IF(R3655&lt;0,"Principal paid exceeds prior balance",IF(AND(L3655&gt;Q3655,NOT(ISNUMBER(P3655))),"Balance increased but no Deferred_interest reported",IF(L3655&gt;R3655,"Reported balance higher than expected (missing increase/OC build)","Reported balance lower than expected (missing decrease)"))))),""))</f>
        <v/>
      </c>
    </row>
    <row r="3656" customFormat="false" ht="15" hidden="false" customHeight="false" outlineLevel="0" collapsed="false">
      <c r="A3656" s="8"/>
      <c r="B3656" s="8"/>
      <c r="C3656" s="8"/>
      <c r="D3656" s="8"/>
      <c r="E3656" s="8"/>
      <c r="F3656" s="8"/>
      <c r="G3656" s="8"/>
      <c r="H3656" s="8"/>
      <c r="I3656" s="8"/>
      <c r="J3656" s="8"/>
      <c r="K3656" s="9"/>
      <c r="L3656" s="9"/>
      <c r="M3656" s="9"/>
      <c r="N3656" s="9"/>
      <c r="O3656" s="9"/>
      <c r="P3656" s="9"/>
      <c r="Q3656" s="9"/>
      <c r="R3656" s="9" t="str">
        <f aca="false">IF(AND(A3656&lt;&gt;"",ISNUMBER(Q3656),ISNUMBER(L3656)),ROUND(Q3656-IF(ISNUMBER(N3656),N3656,0)-IF(ISNUMBER(O3656),O3656,0)+IF(ISNUMBER(P3656),P3656,0),2),"")</f>
        <v/>
      </c>
      <c r="S3656" s="9" t="str">
        <f aca="false">IF(R3656="","",ROUND(L3656-R3656,2))</f>
        <v/>
      </c>
      <c r="T3656" s="8" t="str">
        <f aca="false">IF(A3656="","",IF(S3656="","BYPASS",IF(ABS(S3656)&lt;=Summary!$B$2,"PASS","FAIL")))</f>
        <v/>
      </c>
      <c r="U3656" s="8" t="str">
        <f aca="false">IF(T3656="BYPASS",IF(NOT(ISNUMBER(Q3656)),"PreV_ETB missing","End_tr_balance missing"),IF(T3656="FAIL",IF(AND(ISNUMBER(K3656),ISNUMBER(L3656),ABS(L3656-(K3656-IF(ISNUMBER(N3656),N3656,0)-IF(ISNUMBER(O3656),O3656,0)+IF(ISNUMBER(P3656),P3656,0)))&lt;=Summary!$B$2),"Passes using beginning_balance - PreV_ETB differs from beginning_balance",IF(AND(ISNUMBER(O3656),O3656&lt;0,ABS(L3656-(Q3656-IF(ISNUMBER(N3656),N3656,0)+IF(ISNUMBER(P3656),P3656,0)))&lt;=Summary!$B$2),"Negative realized loss not applied - check sign",IF(R3656&lt;0,"Principal paid exceeds prior balance",IF(AND(L3656&gt;Q3656,NOT(ISNUMBER(P3656))),"Balance increased but no Deferred_interest reported",IF(L3656&gt;R3656,"Reported balance higher than expected (missing increase/OC build)","Reported balance lower than expected (missing decrease)"))))),""))</f>
        <v/>
      </c>
    </row>
    <row r="3657" customFormat="false" ht="15" hidden="false" customHeight="false" outlineLevel="0" collapsed="false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9"/>
      <c r="L3657" s="9"/>
      <c r="M3657" s="9"/>
      <c r="N3657" s="9"/>
      <c r="O3657" s="9"/>
      <c r="P3657" s="9"/>
      <c r="Q3657" s="9"/>
      <c r="R3657" s="9" t="str">
        <f aca="false">IF(AND(A3657&lt;&gt;"",ISNUMBER(Q3657),ISNUMBER(L3657)),ROUND(Q3657-IF(ISNUMBER(N3657),N3657,0)-IF(ISNUMBER(O3657),O3657,0)+IF(ISNUMBER(P3657),P3657,0),2),"")</f>
        <v/>
      </c>
      <c r="S3657" s="9" t="str">
        <f aca="false">IF(R3657="","",ROUND(L3657-R3657,2))</f>
        <v/>
      </c>
      <c r="T3657" s="8" t="str">
        <f aca="false">IF(A3657="","",IF(S3657="","BYPASS",IF(ABS(S3657)&lt;=Summary!$B$2,"PASS","FAIL")))</f>
        <v/>
      </c>
      <c r="U3657" s="8" t="str">
        <f aca="false">IF(T3657="BYPASS",IF(NOT(ISNUMBER(Q3657)),"PreV_ETB missing","End_tr_balance missing"),IF(T3657="FAIL",IF(AND(ISNUMBER(K3657),ISNUMBER(L3657),ABS(L3657-(K3657-IF(ISNUMBER(N3657),N3657,0)-IF(ISNUMBER(O3657),O3657,0)+IF(ISNUMBER(P3657),P3657,0)))&lt;=Summary!$B$2),"Passes using beginning_balance - PreV_ETB differs from beginning_balance",IF(AND(ISNUMBER(O3657),O3657&lt;0,ABS(L3657-(Q3657-IF(ISNUMBER(N3657),N3657,0)+IF(ISNUMBER(P3657),P3657,0)))&lt;=Summary!$B$2),"Negative realized loss not applied - check sign",IF(R3657&lt;0,"Principal paid exceeds prior balance",IF(AND(L3657&gt;Q3657,NOT(ISNUMBER(P3657))),"Balance increased but no Deferred_interest reported",IF(L3657&gt;R3657,"Reported balance higher than expected (missing increase/OC build)","Reported balance lower than expected (missing decrease)"))))),""))</f>
        <v/>
      </c>
    </row>
    <row r="3658" customFormat="false" ht="15" hidden="false" customHeight="false" outlineLevel="0" collapsed="false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9"/>
      <c r="L3658" s="9"/>
      <c r="M3658" s="9"/>
      <c r="N3658" s="9"/>
      <c r="O3658" s="9"/>
      <c r="P3658" s="9"/>
      <c r="Q3658" s="9"/>
      <c r="R3658" s="9" t="str">
        <f aca="false">IF(AND(A3658&lt;&gt;"",ISNUMBER(Q3658),ISNUMBER(L3658)),ROUND(Q3658-IF(ISNUMBER(N3658),N3658,0)-IF(ISNUMBER(O3658),O3658,0)+IF(ISNUMBER(P3658),P3658,0),2),"")</f>
        <v/>
      </c>
      <c r="S3658" s="9" t="str">
        <f aca="false">IF(R3658="","",ROUND(L3658-R3658,2))</f>
        <v/>
      </c>
      <c r="T3658" s="8" t="str">
        <f aca="false">IF(A3658="","",IF(S3658="","BYPASS",IF(ABS(S3658)&lt;=Summary!$B$2,"PASS","FAIL")))</f>
        <v/>
      </c>
      <c r="U3658" s="8" t="str">
        <f aca="false">IF(T3658="BYPASS",IF(NOT(ISNUMBER(Q3658)),"PreV_ETB missing","End_tr_balance missing"),IF(T3658="FAIL",IF(AND(ISNUMBER(K3658),ISNUMBER(L3658),ABS(L3658-(K3658-IF(ISNUMBER(N3658),N3658,0)-IF(ISNUMBER(O3658),O3658,0)+IF(ISNUMBER(P3658),P3658,0)))&lt;=Summary!$B$2),"Passes using beginning_balance - PreV_ETB differs from beginning_balance",IF(AND(ISNUMBER(O3658),O3658&lt;0,ABS(L3658-(Q3658-IF(ISNUMBER(N3658),N3658,0)+IF(ISNUMBER(P3658),P3658,0)))&lt;=Summary!$B$2),"Negative realized loss not applied - check sign",IF(R3658&lt;0,"Principal paid exceeds prior balance",IF(AND(L3658&gt;Q3658,NOT(ISNUMBER(P3658))),"Balance increased but no Deferred_interest reported",IF(L3658&gt;R3658,"Reported balance higher than expected (missing increase/OC build)","Reported balance lower than expected (missing decrease)"))))),""))</f>
        <v/>
      </c>
    </row>
    <row r="3659" customFormat="false" ht="15" hidden="false" customHeight="false" outlineLevel="0" collapsed="false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9"/>
      <c r="L3659" s="9"/>
      <c r="M3659" s="9"/>
      <c r="N3659" s="9"/>
      <c r="O3659" s="9"/>
      <c r="P3659" s="9"/>
      <c r="Q3659" s="9"/>
      <c r="R3659" s="9" t="str">
        <f aca="false">IF(AND(A3659&lt;&gt;"",ISNUMBER(Q3659),ISNUMBER(L3659)),ROUND(Q3659-IF(ISNUMBER(N3659),N3659,0)-IF(ISNUMBER(O3659),O3659,0)+IF(ISNUMBER(P3659),P3659,0),2),"")</f>
        <v/>
      </c>
      <c r="S3659" s="9" t="str">
        <f aca="false">IF(R3659="","",ROUND(L3659-R3659,2))</f>
        <v/>
      </c>
      <c r="T3659" s="8" t="str">
        <f aca="false">IF(A3659="","",IF(S3659="","BYPASS",IF(ABS(S3659)&lt;=Summary!$B$2,"PASS","FAIL")))</f>
        <v/>
      </c>
      <c r="U3659" s="8" t="str">
        <f aca="false">IF(T3659="BYPASS",IF(NOT(ISNUMBER(Q3659)),"PreV_ETB missing","End_tr_balance missing"),IF(T3659="FAIL",IF(AND(ISNUMBER(K3659),ISNUMBER(L3659),ABS(L3659-(K3659-IF(ISNUMBER(N3659),N3659,0)-IF(ISNUMBER(O3659),O3659,0)+IF(ISNUMBER(P3659),P3659,0)))&lt;=Summary!$B$2),"Passes using beginning_balance - PreV_ETB differs from beginning_balance",IF(AND(ISNUMBER(O3659),O3659&lt;0,ABS(L3659-(Q3659-IF(ISNUMBER(N3659),N3659,0)+IF(ISNUMBER(P3659),P3659,0)))&lt;=Summary!$B$2),"Negative realized loss not applied - check sign",IF(R3659&lt;0,"Principal paid exceeds prior balance",IF(AND(L3659&gt;Q3659,NOT(ISNUMBER(P3659))),"Balance increased but no Deferred_interest reported",IF(L3659&gt;R3659,"Reported balance higher than expected (missing increase/OC build)","Reported balance lower than expected (missing decrease)"))))),""))</f>
        <v/>
      </c>
    </row>
    <row r="3660" customFormat="false" ht="15" hidden="false" customHeight="false" outlineLevel="0" collapsed="false">
      <c r="A3660" s="8"/>
      <c r="B3660" s="8"/>
      <c r="C3660" s="8"/>
      <c r="D3660" s="8"/>
      <c r="E3660" s="8"/>
      <c r="F3660" s="8"/>
      <c r="G3660" s="8"/>
      <c r="H3660" s="8"/>
      <c r="I3660" s="8"/>
      <c r="J3660" s="8"/>
      <c r="K3660" s="9"/>
      <c r="L3660" s="9"/>
      <c r="M3660" s="9"/>
      <c r="N3660" s="9"/>
      <c r="O3660" s="9"/>
      <c r="P3660" s="9"/>
      <c r="Q3660" s="9"/>
      <c r="R3660" s="9" t="str">
        <f aca="false">IF(AND(A3660&lt;&gt;"",ISNUMBER(Q3660),ISNUMBER(L3660)),ROUND(Q3660-IF(ISNUMBER(N3660),N3660,0)-IF(ISNUMBER(O3660),O3660,0)+IF(ISNUMBER(P3660),P3660,0),2),"")</f>
        <v/>
      </c>
      <c r="S3660" s="9" t="str">
        <f aca="false">IF(R3660="","",ROUND(L3660-R3660,2))</f>
        <v/>
      </c>
      <c r="T3660" s="8" t="str">
        <f aca="false">IF(A3660="","",IF(S3660="","BYPASS",IF(ABS(S3660)&lt;=Summary!$B$2,"PASS","FAIL")))</f>
        <v/>
      </c>
      <c r="U3660" s="8" t="str">
        <f aca="false">IF(T3660="BYPASS",IF(NOT(ISNUMBER(Q3660)),"PreV_ETB missing","End_tr_balance missing"),IF(T3660="FAIL",IF(AND(ISNUMBER(K3660),ISNUMBER(L3660),ABS(L3660-(K3660-IF(ISNUMBER(N3660),N3660,0)-IF(ISNUMBER(O3660),O3660,0)+IF(ISNUMBER(P3660),P3660,0)))&lt;=Summary!$B$2),"Passes using beginning_balance - PreV_ETB differs from beginning_balance",IF(AND(ISNUMBER(O3660),O3660&lt;0,ABS(L3660-(Q3660-IF(ISNUMBER(N3660),N3660,0)+IF(ISNUMBER(P3660),P3660,0)))&lt;=Summary!$B$2),"Negative realized loss not applied - check sign",IF(R3660&lt;0,"Principal paid exceeds prior balance",IF(AND(L3660&gt;Q3660,NOT(ISNUMBER(P3660))),"Balance increased but no Deferred_interest reported",IF(L3660&gt;R3660,"Reported balance higher than expected (missing increase/OC build)","Reported balance lower than expected (missing decrease)"))))),""))</f>
        <v/>
      </c>
    </row>
    <row r="3661" customFormat="false" ht="15" hidden="false" customHeight="false" outlineLevel="0" collapsed="false">
      <c r="A3661" s="8"/>
      <c r="B3661" s="8"/>
      <c r="C3661" s="8"/>
      <c r="D3661" s="8"/>
      <c r="E3661" s="8"/>
      <c r="F3661" s="8"/>
      <c r="G3661" s="8"/>
      <c r="H3661" s="8"/>
      <c r="I3661" s="8"/>
      <c r="J3661" s="8"/>
      <c r="K3661" s="9"/>
      <c r="L3661" s="9"/>
      <c r="M3661" s="9"/>
      <c r="N3661" s="9"/>
      <c r="O3661" s="9"/>
      <c r="P3661" s="9"/>
      <c r="Q3661" s="9"/>
      <c r="R3661" s="9" t="str">
        <f aca="false">IF(AND(A3661&lt;&gt;"",ISNUMBER(Q3661),ISNUMBER(L3661)),ROUND(Q3661-IF(ISNUMBER(N3661),N3661,0)-IF(ISNUMBER(O3661),O3661,0)+IF(ISNUMBER(P3661),P3661,0),2),"")</f>
        <v/>
      </c>
      <c r="S3661" s="9" t="str">
        <f aca="false">IF(R3661="","",ROUND(L3661-R3661,2))</f>
        <v/>
      </c>
      <c r="T3661" s="8" t="str">
        <f aca="false">IF(A3661="","",IF(S3661="","BYPASS",IF(ABS(S3661)&lt;=Summary!$B$2,"PASS","FAIL")))</f>
        <v/>
      </c>
      <c r="U3661" s="8" t="str">
        <f aca="false">IF(T3661="BYPASS",IF(NOT(ISNUMBER(Q3661)),"PreV_ETB missing","End_tr_balance missing"),IF(T3661="FAIL",IF(AND(ISNUMBER(K3661),ISNUMBER(L3661),ABS(L3661-(K3661-IF(ISNUMBER(N3661),N3661,0)-IF(ISNUMBER(O3661),O3661,0)+IF(ISNUMBER(P3661),P3661,0)))&lt;=Summary!$B$2),"Passes using beginning_balance - PreV_ETB differs from beginning_balance",IF(AND(ISNUMBER(O3661),O3661&lt;0,ABS(L3661-(Q3661-IF(ISNUMBER(N3661),N3661,0)+IF(ISNUMBER(P3661),P3661,0)))&lt;=Summary!$B$2),"Negative realized loss not applied - check sign",IF(R3661&lt;0,"Principal paid exceeds prior balance",IF(AND(L3661&gt;Q3661,NOT(ISNUMBER(P3661))),"Balance increased but no Deferred_interest reported",IF(L3661&gt;R3661,"Reported balance higher than expected (missing increase/OC build)","Reported balance lower than expected (missing decrease)"))))),""))</f>
        <v/>
      </c>
    </row>
    <row r="3662" customFormat="false" ht="15" hidden="false" customHeight="false" outlineLevel="0" collapsed="false">
      <c r="A3662" s="8"/>
      <c r="B3662" s="8"/>
      <c r="C3662" s="8"/>
      <c r="D3662" s="8"/>
      <c r="E3662" s="8"/>
      <c r="F3662" s="8"/>
      <c r="G3662" s="8"/>
      <c r="H3662" s="8"/>
      <c r="I3662" s="8"/>
      <c r="J3662" s="8"/>
      <c r="K3662" s="9"/>
      <c r="L3662" s="9"/>
      <c r="M3662" s="9"/>
      <c r="N3662" s="9"/>
      <c r="O3662" s="9"/>
      <c r="P3662" s="9"/>
      <c r="Q3662" s="9"/>
      <c r="R3662" s="9" t="str">
        <f aca="false">IF(AND(A3662&lt;&gt;"",ISNUMBER(Q3662),ISNUMBER(L3662)),ROUND(Q3662-IF(ISNUMBER(N3662),N3662,0)-IF(ISNUMBER(O3662),O3662,0)+IF(ISNUMBER(P3662),P3662,0),2),"")</f>
        <v/>
      </c>
      <c r="S3662" s="9" t="str">
        <f aca="false">IF(R3662="","",ROUND(L3662-R3662,2))</f>
        <v/>
      </c>
      <c r="T3662" s="8" t="str">
        <f aca="false">IF(A3662="","",IF(S3662="","BYPASS",IF(ABS(S3662)&lt;=Summary!$B$2,"PASS","FAIL")))</f>
        <v/>
      </c>
      <c r="U3662" s="8" t="str">
        <f aca="false">IF(T3662="BYPASS",IF(NOT(ISNUMBER(Q3662)),"PreV_ETB missing","End_tr_balance missing"),IF(T3662="FAIL",IF(AND(ISNUMBER(K3662),ISNUMBER(L3662),ABS(L3662-(K3662-IF(ISNUMBER(N3662),N3662,0)-IF(ISNUMBER(O3662),O3662,0)+IF(ISNUMBER(P3662),P3662,0)))&lt;=Summary!$B$2),"Passes using beginning_balance - PreV_ETB differs from beginning_balance",IF(AND(ISNUMBER(O3662),O3662&lt;0,ABS(L3662-(Q3662-IF(ISNUMBER(N3662),N3662,0)+IF(ISNUMBER(P3662),P3662,0)))&lt;=Summary!$B$2),"Negative realized loss not applied - check sign",IF(R3662&lt;0,"Principal paid exceeds prior balance",IF(AND(L3662&gt;Q3662,NOT(ISNUMBER(P3662))),"Balance increased but no Deferred_interest reported",IF(L3662&gt;R3662,"Reported balance higher than expected (missing increase/OC build)","Reported balance lower than expected (missing decrease)"))))),""))</f>
        <v/>
      </c>
    </row>
    <row r="3663" customFormat="false" ht="15" hidden="false" customHeight="false" outlineLevel="0" collapsed="false">
      <c r="A3663" s="8"/>
      <c r="B3663" s="8"/>
      <c r="C3663" s="8"/>
      <c r="D3663" s="8"/>
      <c r="E3663" s="8"/>
      <c r="F3663" s="8"/>
      <c r="G3663" s="8"/>
      <c r="H3663" s="8"/>
      <c r="I3663" s="8"/>
      <c r="J3663" s="8"/>
      <c r="K3663" s="9"/>
      <c r="L3663" s="9"/>
      <c r="M3663" s="9"/>
      <c r="N3663" s="9"/>
      <c r="O3663" s="9"/>
      <c r="P3663" s="9"/>
      <c r="Q3663" s="9"/>
      <c r="R3663" s="9" t="str">
        <f aca="false">IF(AND(A3663&lt;&gt;"",ISNUMBER(Q3663),ISNUMBER(L3663)),ROUND(Q3663-IF(ISNUMBER(N3663),N3663,0)-IF(ISNUMBER(O3663),O3663,0)+IF(ISNUMBER(P3663),P3663,0),2),"")</f>
        <v/>
      </c>
      <c r="S3663" s="9" t="str">
        <f aca="false">IF(R3663="","",ROUND(L3663-R3663,2))</f>
        <v/>
      </c>
      <c r="T3663" s="8" t="str">
        <f aca="false">IF(A3663="","",IF(S3663="","BYPASS",IF(ABS(S3663)&lt;=Summary!$B$2,"PASS","FAIL")))</f>
        <v/>
      </c>
      <c r="U3663" s="8" t="str">
        <f aca="false">IF(T3663="BYPASS",IF(NOT(ISNUMBER(Q3663)),"PreV_ETB missing","End_tr_balance missing"),IF(T3663="FAIL",IF(AND(ISNUMBER(K3663),ISNUMBER(L3663),ABS(L3663-(K3663-IF(ISNUMBER(N3663),N3663,0)-IF(ISNUMBER(O3663),O3663,0)+IF(ISNUMBER(P3663),P3663,0)))&lt;=Summary!$B$2),"Passes using beginning_balance - PreV_ETB differs from beginning_balance",IF(AND(ISNUMBER(O3663),O3663&lt;0,ABS(L3663-(Q3663-IF(ISNUMBER(N3663),N3663,0)+IF(ISNUMBER(P3663),P3663,0)))&lt;=Summary!$B$2),"Negative realized loss not applied - check sign",IF(R3663&lt;0,"Principal paid exceeds prior balance",IF(AND(L3663&gt;Q3663,NOT(ISNUMBER(P3663))),"Balance increased but no Deferred_interest reported",IF(L3663&gt;R3663,"Reported balance higher than expected (missing increase/OC build)","Reported balance lower than expected (missing decrease)"))))),""))</f>
        <v/>
      </c>
    </row>
    <row r="3664" customFormat="false" ht="15" hidden="false" customHeight="false" outlineLevel="0" collapsed="false">
      <c r="A3664" s="8"/>
      <c r="B3664" s="8"/>
      <c r="C3664" s="8"/>
      <c r="D3664" s="8"/>
      <c r="E3664" s="8"/>
      <c r="F3664" s="8"/>
      <c r="G3664" s="8"/>
      <c r="H3664" s="8"/>
      <c r="I3664" s="8"/>
      <c r="J3664" s="8"/>
      <c r="K3664" s="9"/>
      <c r="L3664" s="9"/>
      <c r="M3664" s="9"/>
      <c r="N3664" s="9"/>
      <c r="O3664" s="9"/>
      <c r="P3664" s="9"/>
      <c r="Q3664" s="9"/>
      <c r="R3664" s="9" t="str">
        <f aca="false">IF(AND(A3664&lt;&gt;"",ISNUMBER(Q3664),ISNUMBER(L3664)),ROUND(Q3664-IF(ISNUMBER(N3664),N3664,0)-IF(ISNUMBER(O3664),O3664,0)+IF(ISNUMBER(P3664),P3664,0),2),"")</f>
        <v/>
      </c>
      <c r="S3664" s="9" t="str">
        <f aca="false">IF(R3664="","",ROUND(L3664-R3664,2))</f>
        <v/>
      </c>
      <c r="T3664" s="8" t="str">
        <f aca="false">IF(A3664="","",IF(S3664="","BYPASS",IF(ABS(S3664)&lt;=Summary!$B$2,"PASS","FAIL")))</f>
        <v/>
      </c>
      <c r="U3664" s="8" t="str">
        <f aca="false">IF(T3664="BYPASS",IF(NOT(ISNUMBER(Q3664)),"PreV_ETB missing","End_tr_balance missing"),IF(T3664="FAIL",IF(AND(ISNUMBER(K3664),ISNUMBER(L3664),ABS(L3664-(K3664-IF(ISNUMBER(N3664),N3664,0)-IF(ISNUMBER(O3664),O3664,0)+IF(ISNUMBER(P3664),P3664,0)))&lt;=Summary!$B$2),"Passes using beginning_balance - PreV_ETB differs from beginning_balance",IF(AND(ISNUMBER(O3664),O3664&lt;0,ABS(L3664-(Q3664-IF(ISNUMBER(N3664),N3664,0)+IF(ISNUMBER(P3664),P3664,0)))&lt;=Summary!$B$2),"Negative realized loss not applied - check sign",IF(R3664&lt;0,"Principal paid exceeds prior balance",IF(AND(L3664&gt;Q3664,NOT(ISNUMBER(P3664))),"Balance increased but no Deferred_interest reported",IF(L3664&gt;R3664,"Reported balance higher than expected (missing increase/OC build)","Reported balance lower than expected (missing decrease)"))))),""))</f>
        <v/>
      </c>
    </row>
    <row r="3665" customFormat="false" ht="15" hidden="false" customHeight="false" outlineLevel="0" collapsed="false">
      <c r="A3665" s="8"/>
      <c r="B3665" s="8"/>
      <c r="C3665" s="8"/>
      <c r="D3665" s="8"/>
      <c r="E3665" s="8"/>
      <c r="F3665" s="8"/>
      <c r="G3665" s="8"/>
      <c r="H3665" s="8"/>
      <c r="I3665" s="8"/>
      <c r="J3665" s="8"/>
      <c r="K3665" s="9"/>
      <c r="L3665" s="9"/>
      <c r="M3665" s="9"/>
      <c r="N3665" s="9"/>
      <c r="O3665" s="9"/>
      <c r="P3665" s="9"/>
      <c r="Q3665" s="9"/>
      <c r="R3665" s="9" t="str">
        <f aca="false">IF(AND(A3665&lt;&gt;"",ISNUMBER(Q3665),ISNUMBER(L3665)),ROUND(Q3665-IF(ISNUMBER(N3665),N3665,0)-IF(ISNUMBER(O3665),O3665,0)+IF(ISNUMBER(P3665),P3665,0),2),"")</f>
        <v/>
      </c>
      <c r="S3665" s="9" t="str">
        <f aca="false">IF(R3665="","",ROUND(L3665-R3665,2))</f>
        <v/>
      </c>
      <c r="T3665" s="8" t="str">
        <f aca="false">IF(A3665="","",IF(S3665="","BYPASS",IF(ABS(S3665)&lt;=Summary!$B$2,"PASS","FAIL")))</f>
        <v/>
      </c>
      <c r="U3665" s="8" t="str">
        <f aca="false">IF(T3665="BYPASS",IF(NOT(ISNUMBER(Q3665)),"PreV_ETB missing","End_tr_balance missing"),IF(T3665="FAIL",IF(AND(ISNUMBER(K3665),ISNUMBER(L3665),ABS(L3665-(K3665-IF(ISNUMBER(N3665),N3665,0)-IF(ISNUMBER(O3665),O3665,0)+IF(ISNUMBER(P3665),P3665,0)))&lt;=Summary!$B$2),"Passes using beginning_balance - PreV_ETB differs from beginning_balance",IF(AND(ISNUMBER(O3665),O3665&lt;0,ABS(L3665-(Q3665-IF(ISNUMBER(N3665),N3665,0)+IF(ISNUMBER(P3665),P3665,0)))&lt;=Summary!$B$2),"Negative realized loss not applied - check sign",IF(R3665&lt;0,"Principal paid exceeds prior balance",IF(AND(L3665&gt;Q3665,NOT(ISNUMBER(P3665))),"Balance increased but no Deferred_interest reported",IF(L3665&gt;R3665,"Reported balance higher than expected (missing increase/OC build)","Reported balance lower than expected (missing decrease)"))))),""))</f>
        <v/>
      </c>
    </row>
    <row r="3666" customFormat="false" ht="15" hidden="false" customHeight="false" outlineLevel="0" collapsed="false">
      <c r="A3666" s="8"/>
      <c r="B3666" s="8"/>
      <c r="C3666" s="8"/>
      <c r="D3666" s="8"/>
      <c r="E3666" s="8"/>
      <c r="F3666" s="8"/>
      <c r="G3666" s="8"/>
      <c r="H3666" s="8"/>
      <c r="I3666" s="8"/>
      <c r="J3666" s="8"/>
      <c r="K3666" s="9"/>
      <c r="L3666" s="9"/>
      <c r="M3666" s="9"/>
      <c r="N3666" s="9"/>
      <c r="O3666" s="9"/>
      <c r="P3666" s="9"/>
      <c r="Q3666" s="9"/>
      <c r="R3666" s="9" t="str">
        <f aca="false">IF(AND(A3666&lt;&gt;"",ISNUMBER(Q3666),ISNUMBER(L3666)),ROUND(Q3666-IF(ISNUMBER(N3666),N3666,0)-IF(ISNUMBER(O3666),O3666,0)+IF(ISNUMBER(P3666),P3666,0),2),"")</f>
        <v/>
      </c>
      <c r="S3666" s="9" t="str">
        <f aca="false">IF(R3666="","",ROUND(L3666-R3666,2))</f>
        <v/>
      </c>
      <c r="T3666" s="8" t="str">
        <f aca="false">IF(A3666="","",IF(S3666="","BYPASS",IF(ABS(S3666)&lt;=Summary!$B$2,"PASS","FAIL")))</f>
        <v/>
      </c>
      <c r="U3666" s="8" t="str">
        <f aca="false">IF(T3666="BYPASS",IF(NOT(ISNUMBER(Q3666)),"PreV_ETB missing","End_tr_balance missing"),IF(T3666="FAIL",IF(AND(ISNUMBER(K3666),ISNUMBER(L3666),ABS(L3666-(K3666-IF(ISNUMBER(N3666),N3666,0)-IF(ISNUMBER(O3666),O3666,0)+IF(ISNUMBER(P3666),P3666,0)))&lt;=Summary!$B$2),"Passes using beginning_balance - PreV_ETB differs from beginning_balance",IF(AND(ISNUMBER(O3666),O3666&lt;0,ABS(L3666-(Q3666-IF(ISNUMBER(N3666),N3666,0)+IF(ISNUMBER(P3666),P3666,0)))&lt;=Summary!$B$2),"Negative realized loss not applied - check sign",IF(R3666&lt;0,"Principal paid exceeds prior balance",IF(AND(L3666&gt;Q3666,NOT(ISNUMBER(P3666))),"Balance increased but no Deferred_interest reported",IF(L3666&gt;R3666,"Reported balance higher than expected (missing increase/OC build)","Reported balance lower than expected (missing decrease)"))))),""))</f>
        <v/>
      </c>
    </row>
    <row r="3667" customFormat="false" ht="15" hidden="false" customHeight="false" outlineLevel="0" collapsed="false">
      <c r="A3667" s="8"/>
      <c r="B3667" s="8"/>
      <c r="C3667" s="8"/>
      <c r="D3667" s="8"/>
      <c r="E3667" s="8"/>
      <c r="F3667" s="8"/>
      <c r="G3667" s="8"/>
      <c r="H3667" s="8"/>
      <c r="I3667" s="8"/>
      <c r="J3667" s="8"/>
      <c r="K3667" s="9"/>
      <c r="L3667" s="9"/>
      <c r="M3667" s="9"/>
      <c r="N3667" s="9"/>
      <c r="O3667" s="9"/>
      <c r="P3667" s="9"/>
      <c r="Q3667" s="9"/>
      <c r="R3667" s="9" t="str">
        <f aca="false">IF(AND(A3667&lt;&gt;"",ISNUMBER(Q3667),ISNUMBER(L3667)),ROUND(Q3667-IF(ISNUMBER(N3667),N3667,0)-IF(ISNUMBER(O3667),O3667,0)+IF(ISNUMBER(P3667),P3667,0),2),"")</f>
        <v/>
      </c>
      <c r="S3667" s="9" t="str">
        <f aca="false">IF(R3667="","",ROUND(L3667-R3667,2))</f>
        <v/>
      </c>
      <c r="T3667" s="8" t="str">
        <f aca="false">IF(A3667="","",IF(S3667="","BYPASS",IF(ABS(S3667)&lt;=Summary!$B$2,"PASS","FAIL")))</f>
        <v/>
      </c>
      <c r="U3667" s="8" t="str">
        <f aca="false">IF(T3667="BYPASS",IF(NOT(ISNUMBER(Q3667)),"PreV_ETB missing","End_tr_balance missing"),IF(T3667="FAIL",IF(AND(ISNUMBER(K3667),ISNUMBER(L3667),ABS(L3667-(K3667-IF(ISNUMBER(N3667),N3667,0)-IF(ISNUMBER(O3667),O3667,0)+IF(ISNUMBER(P3667),P3667,0)))&lt;=Summary!$B$2),"Passes using beginning_balance - PreV_ETB differs from beginning_balance",IF(AND(ISNUMBER(O3667),O3667&lt;0,ABS(L3667-(Q3667-IF(ISNUMBER(N3667),N3667,0)+IF(ISNUMBER(P3667),P3667,0)))&lt;=Summary!$B$2),"Negative realized loss not applied - check sign",IF(R3667&lt;0,"Principal paid exceeds prior balance",IF(AND(L3667&gt;Q3667,NOT(ISNUMBER(P3667))),"Balance increased but no Deferred_interest reported",IF(L3667&gt;R3667,"Reported balance higher than expected (missing increase/OC build)","Reported balance lower than expected (missing decrease)"))))),""))</f>
        <v/>
      </c>
    </row>
    <row r="3668" customFormat="false" ht="15" hidden="false" customHeight="false" outlineLevel="0" collapsed="false">
      <c r="A3668" s="8"/>
      <c r="B3668" s="8"/>
      <c r="C3668" s="8"/>
      <c r="D3668" s="8"/>
      <c r="E3668" s="8"/>
      <c r="F3668" s="8"/>
      <c r="G3668" s="8"/>
      <c r="H3668" s="8"/>
      <c r="I3668" s="8"/>
      <c r="J3668" s="8"/>
      <c r="K3668" s="9"/>
      <c r="L3668" s="9"/>
      <c r="M3668" s="9"/>
      <c r="N3668" s="9"/>
      <c r="O3668" s="9"/>
      <c r="P3668" s="9"/>
      <c r="Q3668" s="9"/>
      <c r="R3668" s="9" t="str">
        <f aca="false">IF(AND(A3668&lt;&gt;"",ISNUMBER(Q3668),ISNUMBER(L3668)),ROUND(Q3668-IF(ISNUMBER(N3668),N3668,0)-IF(ISNUMBER(O3668),O3668,0)+IF(ISNUMBER(P3668),P3668,0),2),"")</f>
        <v/>
      </c>
      <c r="S3668" s="9" t="str">
        <f aca="false">IF(R3668="","",ROUND(L3668-R3668,2))</f>
        <v/>
      </c>
      <c r="T3668" s="8" t="str">
        <f aca="false">IF(A3668="","",IF(S3668="","BYPASS",IF(ABS(S3668)&lt;=Summary!$B$2,"PASS","FAIL")))</f>
        <v/>
      </c>
      <c r="U3668" s="8" t="str">
        <f aca="false">IF(T3668="BYPASS",IF(NOT(ISNUMBER(Q3668)),"PreV_ETB missing","End_tr_balance missing"),IF(T3668="FAIL",IF(AND(ISNUMBER(K3668),ISNUMBER(L3668),ABS(L3668-(K3668-IF(ISNUMBER(N3668),N3668,0)-IF(ISNUMBER(O3668),O3668,0)+IF(ISNUMBER(P3668),P3668,0)))&lt;=Summary!$B$2),"Passes using beginning_balance - PreV_ETB differs from beginning_balance",IF(AND(ISNUMBER(O3668),O3668&lt;0,ABS(L3668-(Q3668-IF(ISNUMBER(N3668),N3668,0)+IF(ISNUMBER(P3668),P3668,0)))&lt;=Summary!$B$2),"Negative realized loss not applied - check sign",IF(R3668&lt;0,"Principal paid exceeds prior balance",IF(AND(L3668&gt;Q3668,NOT(ISNUMBER(P3668))),"Balance increased but no Deferred_interest reported",IF(L3668&gt;R3668,"Reported balance higher than expected (missing increase/OC build)","Reported balance lower than expected (missing decrease)"))))),""))</f>
        <v/>
      </c>
    </row>
    <row r="3669" customFormat="false" ht="15" hidden="false" customHeight="false" outlineLevel="0" collapsed="false">
      <c r="A3669" s="8"/>
      <c r="B3669" s="8"/>
      <c r="C3669" s="8"/>
      <c r="D3669" s="8"/>
      <c r="E3669" s="8"/>
      <c r="F3669" s="8"/>
      <c r="G3669" s="8"/>
      <c r="H3669" s="8"/>
      <c r="I3669" s="8"/>
      <c r="J3669" s="8"/>
      <c r="K3669" s="9"/>
      <c r="L3669" s="9"/>
      <c r="M3669" s="9"/>
      <c r="N3669" s="9"/>
      <c r="O3669" s="9"/>
      <c r="P3669" s="9"/>
      <c r="Q3669" s="9"/>
      <c r="R3669" s="9" t="str">
        <f aca="false">IF(AND(A3669&lt;&gt;"",ISNUMBER(Q3669),ISNUMBER(L3669)),ROUND(Q3669-IF(ISNUMBER(N3669),N3669,0)-IF(ISNUMBER(O3669),O3669,0)+IF(ISNUMBER(P3669),P3669,0),2),"")</f>
        <v/>
      </c>
      <c r="S3669" s="9" t="str">
        <f aca="false">IF(R3669="","",ROUND(L3669-R3669,2))</f>
        <v/>
      </c>
      <c r="T3669" s="8" t="str">
        <f aca="false">IF(A3669="","",IF(S3669="","BYPASS",IF(ABS(S3669)&lt;=Summary!$B$2,"PASS","FAIL")))</f>
        <v/>
      </c>
      <c r="U3669" s="8" t="str">
        <f aca="false">IF(T3669="BYPASS",IF(NOT(ISNUMBER(Q3669)),"PreV_ETB missing","End_tr_balance missing"),IF(T3669="FAIL",IF(AND(ISNUMBER(K3669),ISNUMBER(L3669),ABS(L3669-(K3669-IF(ISNUMBER(N3669),N3669,0)-IF(ISNUMBER(O3669),O3669,0)+IF(ISNUMBER(P3669),P3669,0)))&lt;=Summary!$B$2),"Passes using beginning_balance - PreV_ETB differs from beginning_balance",IF(AND(ISNUMBER(O3669),O3669&lt;0,ABS(L3669-(Q3669-IF(ISNUMBER(N3669),N3669,0)+IF(ISNUMBER(P3669),P3669,0)))&lt;=Summary!$B$2),"Negative realized loss not applied - check sign",IF(R3669&lt;0,"Principal paid exceeds prior balance",IF(AND(L3669&gt;Q3669,NOT(ISNUMBER(P3669))),"Balance increased but no Deferred_interest reported",IF(L3669&gt;R3669,"Reported balance higher than expected (missing increase/OC build)","Reported balance lower than expected (missing decrease)"))))),""))</f>
        <v/>
      </c>
    </row>
    <row r="3670" customFormat="false" ht="15" hidden="false" customHeight="false" outlineLevel="0" collapsed="false">
      <c r="A3670" s="8"/>
      <c r="B3670" s="8"/>
      <c r="C3670" s="8"/>
      <c r="D3670" s="8"/>
      <c r="E3670" s="8"/>
      <c r="F3670" s="8"/>
      <c r="G3670" s="8"/>
      <c r="H3670" s="8"/>
      <c r="I3670" s="8"/>
      <c r="J3670" s="8"/>
      <c r="K3670" s="9"/>
      <c r="L3670" s="9"/>
      <c r="M3670" s="9"/>
      <c r="N3670" s="9"/>
      <c r="O3670" s="9"/>
      <c r="P3670" s="9"/>
      <c r="Q3670" s="9"/>
      <c r="R3670" s="9" t="str">
        <f aca="false">IF(AND(A3670&lt;&gt;"",ISNUMBER(Q3670),ISNUMBER(L3670)),ROUND(Q3670-IF(ISNUMBER(N3670),N3670,0)-IF(ISNUMBER(O3670),O3670,0)+IF(ISNUMBER(P3670),P3670,0),2),"")</f>
        <v/>
      </c>
      <c r="S3670" s="9" t="str">
        <f aca="false">IF(R3670="","",ROUND(L3670-R3670,2))</f>
        <v/>
      </c>
      <c r="T3670" s="8" t="str">
        <f aca="false">IF(A3670="","",IF(S3670="","BYPASS",IF(ABS(S3670)&lt;=Summary!$B$2,"PASS","FAIL")))</f>
        <v/>
      </c>
      <c r="U3670" s="8" t="str">
        <f aca="false">IF(T3670="BYPASS",IF(NOT(ISNUMBER(Q3670)),"PreV_ETB missing","End_tr_balance missing"),IF(T3670="FAIL",IF(AND(ISNUMBER(K3670),ISNUMBER(L3670),ABS(L3670-(K3670-IF(ISNUMBER(N3670),N3670,0)-IF(ISNUMBER(O3670),O3670,0)+IF(ISNUMBER(P3670),P3670,0)))&lt;=Summary!$B$2),"Passes using beginning_balance - PreV_ETB differs from beginning_balance",IF(AND(ISNUMBER(O3670),O3670&lt;0,ABS(L3670-(Q3670-IF(ISNUMBER(N3670),N3670,0)+IF(ISNUMBER(P3670),P3670,0)))&lt;=Summary!$B$2),"Negative realized loss not applied - check sign",IF(R3670&lt;0,"Principal paid exceeds prior balance",IF(AND(L3670&gt;Q3670,NOT(ISNUMBER(P3670))),"Balance increased but no Deferred_interest reported",IF(L3670&gt;R3670,"Reported balance higher than expected (missing increase/OC build)","Reported balance lower than expected (missing decrease)"))))),""))</f>
        <v/>
      </c>
    </row>
    <row r="3671" customFormat="false" ht="15" hidden="false" customHeight="false" outlineLevel="0" collapsed="false">
      <c r="A3671" s="8"/>
      <c r="B3671" s="8"/>
      <c r="C3671" s="8"/>
      <c r="D3671" s="8"/>
      <c r="E3671" s="8"/>
      <c r="F3671" s="8"/>
      <c r="G3671" s="8"/>
      <c r="H3671" s="8"/>
      <c r="I3671" s="8"/>
      <c r="J3671" s="8"/>
      <c r="K3671" s="9"/>
      <c r="L3671" s="9"/>
      <c r="M3671" s="9"/>
      <c r="N3671" s="9"/>
      <c r="O3671" s="9"/>
      <c r="P3671" s="9"/>
      <c r="Q3671" s="9"/>
      <c r="R3671" s="9" t="str">
        <f aca="false">IF(AND(A3671&lt;&gt;"",ISNUMBER(Q3671),ISNUMBER(L3671)),ROUND(Q3671-IF(ISNUMBER(N3671),N3671,0)-IF(ISNUMBER(O3671),O3671,0)+IF(ISNUMBER(P3671),P3671,0),2),"")</f>
        <v/>
      </c>
      <c r="S3671" s="9" t="str">
        <f aca="false">IF(R3671="","",ROUND(L3671-R3671,2))</f>
        <v/>
      </c>
      <c r="T3671" s="8" t="str">
        <f aca="false">IF(A3671="","",IF(S3671="","BYPASS",IF(ABS(S3671)&lt;=Summary!$B$2,"PASS","FAIL")))</f>
        <v/>
      </c>
      <c r="U3671" s="8" t="str">
        <f aca="false">IF(T3671="BYPASS",IF(NOT(ISNUMBER(Q3671)),"PreV_ETB missing","End_tr_balance missing"),IF(T3671="FAIL",IF(AND(ISNUMBER(K3671),ISNUMBER(L3671),ABS(L3671-(K3671-IF(ISNUMBER(N3671),N3671,0)-IF(ISNUMBER(O3671),O3671,0)+IF(ISNUMBER(P3671),P3671,0)))&lt;=Summary!$B$2),"Passes using beginning_balance - PreV_ETB differs from beginning_balance",IF(AND(ISNUMBER(O3671),O3671&lt;0,ABS(L3671-(Q3671-IF(ISNUMBER(N3671),N3671,0)+IF(ISNUMBER(P3671),P3671,0)))&lt;=Summary!$B$2),"Negative realized loss not applied - check sign",IF(R3671&lt;0,"Principal paid exceeds prior balance",IF(AND(L3671&gt;Q3671,NOT(ISNUMBER(P3671))),"Balance increased but no Deferred_interest reported",IF(L3671&gt;R3671,"Reported balance higher than expected (missing increase/OC build)","Reported balance lower than expected (missing decrease)"))))),""))</f>
        <v/>
      </c>
    </row>
    <row r="3672" customFormat="false" ht="15" hidden="false" customHeight="false" outlineLevel="0" collapsed="false">
      <c r="A3672" s="8"/>
      <c r="B3672" s="8"/>
      <c r="C3672" s="8"/>
      <c r="D3672" s="8"/>
      <c r="E3672" s="8"/>
      <c r="F3672" s="8"/>
      <c r="G3672" s="8"/>
      <c r="H3672" s="8"/>
      <c r="I3672" s="8"/>
      <c r="J3672" s="8"/>
      <c r="K3672" s="9"/>
      <c r="L3672" s="9"/>
      <c r="M3672" s="9"/>
      <c r="N3672" s="9"/>
      <c r="O3672" s="9"/>
      <c r="P3672" s="9"/>
      <c r="Q3672" s="9"/>
      <c r="R3672" s="9" t="str">
        <f aca="false">IF(AND(A3672&lt;&gt;"",ISNUMBER(Q3672),ISNUMBER(L3672)),ROUND(Q3672-IF(ISNUMBER(N3672),N3672,0)-IF(ISNUMBER(O3672),O3672,0)+IF(ISNUMBER(P3672),P3672,0),2),"")</f>
        <v/>
      </c>
      <c r="S3672" s="9" t="str">
        <f aca="false">IF(R3672="","",ROUND(L3672-R3672,2))</f>
        <v/>
      </c>
      <c r="T3672" s="8" t="str">
        <f aca="false">IF(A3672="","",IF(S3672="","BYPASS",IF(ABS(S3672)&lt;=Summary!$B$2,"PASS","FAIL")))</f>
        <v/>
      </c>
      <c r="U3672" s="8" t="str">
        <f aca="false">IF(T3672="BYPASS",IF(NOT(ISNUMBER(Q3672)),"PreV_ETB missing","End_tr_balance missing"),IF(T3672="FAIL",IF(AND(ISNUMBER(K3672),ISNUMBER(L3672),ABS(L3672-(K3672-IF(ISNUMBER(N3672),N3672,0)-IF(ISNUMBER(O3672),O3672,0)+IF(ISNUMBER(P3672),P3672,0)))&lt;=Summary!$B$2),"Passes using beginning_balance - PreV_ETB differs from beginning_balance",IF(AND(ISNUMBER(O3672),O3672&lt;0,ABS(L3672-(Q3672-IF(ISNUMBER(N3672),N3672,0)+IF(ISNUMBER(P3672),P3672,0)))&lt;=Summary!$B$2),"Negative realized loss not applied - check sign",IF(R3672&lt;0,"Principal paid exceeds prior balance",IF(AND(L3672&gt;Q3672,NOT(ISNUMBER(P3672))),"Balance increased but no Deferred_interest reported",IF(L3672&gt;R3672,"Reported balance higher than expected (missing increase/OC build)","Reported balance lower than expected (missing decrease)"))))),""))</f>
        <v/>
      </c>
    </row>
    <row r="3673" customFormat="false" ht="15" hidden="false" customHeight="false" outlineLevel="0" collapsed="false">
      <c r="A3673" s="8"/>
      <c r="B3673" s="8"/>
      <c r="C3673" s="8"/>
      <c r="D3673" s="8"/>
      <c r="E3673" s="8"/>
      <c r="F3673" s="8"/>
      <c r="G3673" s="8"/>
      <c r="H3673" s="8"/>
      <c r="I3673" s="8"/>
      <c r="J3673" s="8"/>
      <c r="K3673" s="9"/>
      <c r="L3673" s="9"/>
      <c r="M3673" s="9"/>
      <c r="N3673" s="9"/>
      <c r="O3673" s="9"/>
      <c r="P3673" s="9"/>
      <c r="Q3673" s="9"/>
      <c r="R3673" s="9" t="str">
        <f aca="false">IF(AND(A3673&lt;&gt;"",ISNUMBER(Q3673),ISNUMBER(L3673)),ROUND(Q3673-IF(ISNUMBER(N3673),N3673,0)-IF(ISNUMBER(O3673),O3673,0)+IF(ISNUMBER(P3673),P3673,0),2),"")</f>
        <v/>
      </c>
      <c r="S3673" s="9" t="str">
        <f aca="false">IF(R3673="","",ROUND(L3673-R3673,2))</f>
        <v/>
      </c>
      <c r="T3673" s="8" t="str">
        <f aca="false">IF(A3673="","",IF(S3673="","BYPASS",IF(ABS(S3673)&lt;=Summary!$B$2,"PASS","FAIL")))</f>
        <v/>
      </c>
      <c r="U3673" s="8" t="str">
        <f aca="false">IF(T3673="BYPASS",IF(NOT(ISNUMBER(Q3673)),"PreV_ETB missing","End_tr_balance missing"),IF(T3673="FAIL",IF(AND(ISNUMBER(K3673),ISNUMBER(L3673),ABS(L3673-(K3673-IF(ISNUMBER(N3673),N3673,0)-IF(ISNUMBER(O3673),O3673,0)+IF(ISNUMBER(P3673),P3673,0)))&lt;=Summary!$B$2),"Passes using beginning_balance - PreV_ETB differs from beginning_balance",IF(AND(ISNUMBER(O3673),O3673&lt;0,ABS(L3673-(Q3673-IF(ISNUMBER(N3673),N3673,0)+IF(ISNUMBER(P3673),P3673,0)))&lt;=Summary!$B$2),"Negative realized loss not applied - check sign",IF(R3673&lt;0,"Principal paid exceeds prior balance",IF(AND(L3673&gt;Q3673,NOT(ISNUMBER(P3673))),"Balance increased but no Deferred_interest reported",IF(L3673&gt;R3673,"Reported balance higher than expected (missing increase/OC build)","Reported balance lower than expected (missing decrease)"))))),""))</f>
        <v/>
      </c>
    </row>
    <row r="3674" customFormat="false" ht="15" hidden="false" customHeight="false" outlineLevel="0" collapsed="false">
      <c r="A3674" s="8"/>
      <c r="B3674" s="8"/>
      <c r="C3674" s="8"/>
      <c r="D3674" s="8"/>
      <c r="E3674" s="8"/>
      <c r="F3674" s="8"/>
      <c r="G3674" s="8"/>
      <c r="H3674" s="8"/>
      <c r="I3674" s="8"/>
      <c r="J3674" s="8"/>
      <c r="K3674" s="9"/>
      <c r="L3674" s="9"/>
      <c r="M3674" s="9"/>
      <c r="N3674" s="9"/>
      <c r="O3674" s="9"/>
      <c r="P3674" s="9"/>
      <c r="Q3674" s="9"/>
      <c r="R3674" s="9" t="str">
        <f aca="false">IF(AND(A3674&lt;&gt;"",ISNUMBER(Q3674),ISNUMBER(L3674)),ROUND(Q3674-IF(ISNUMBER(N3674),N3674,0)-IF(ISNUMBER(O3674),O3674,0)+IF(ISNUMBER(P3674),P3674,0),2),"")</f>
        <v/>
      </c>
      <c r="S3674" s="9" t="str">
        <f aca="false">IF(R3674="","",ROUND(L3674-R3674,2))</f>
        <v/>
      </c>
      <c r="T3674" s="8" t="str">
        <f aca="false">IF(A3674="","",IF(S3674="","BYPASS",IF(ABS(S3674)&lt;=Summary!$B$2,"PASS","FAIL")))</f>
        <v/>
      </c>
      <c r="U3674" s="8" t="str">
        <f aca="false">IF(T3674="BYPASS",IF(NOT(ISNUMBER(Q3674)),"PreV_ETB missing","End_tr_balance missing"),IF(T3674="FAIL",IF(AND(ISNUMBER(K3674),ISNUMBER(L3674),ABS(L3674-(K3674-IF(ISNUMBER(N3674),N3674,0)-IF(ISNUMBER(O3674),O3674,0)+IF(ISNUMBER(P3674),P3674,0)))&lt;=Summary!$B$2),"Passes using beginning_balance - PreV_ETB differs from beginning_balance",IF(AND(ISNUMBER(O3674),O3674&lt;0,ABS(L3674-(Q3674-IF(ISNUMBER(N3674),N3674,0)+IF(ISNUMBER(P3674),P3674,0)))&lt;=Summary!$B$2),"Negative realized loss not applied - check sign",IF(R3674&lt;0,"Principal paid exceeds prior balance",IF(AND(L3674&gt;Q3674,NOT(ISNUMBER(P3674))),"Balance increased but no Deferred_interest reported",IF(L3674&gt;R3674,"Reported balance higher than expected (missing increase/OC build)","Reported balance lower than expected (missing decrease)"))))),""))</f>
        <v/>
      </c>
    </row>
    <row r="3675" customFormat="false" ht="15" hidden="false" customHeight="false" outlineLevel="0" collapsed="false">
      <c r="A3675" s="8"/>
      <c r="B3675" s="8"/>
      <c r="C3675" s="8"/>
      <c r="D3675" s="8"/>
      <c r="E3675" s="8"/>
      <c r="F3675" s="8"/>
      <c r="G3675" s="8"/>
      <c r="H3675" s="8"/>
      <c r="I3675" s="8"/>
      <c r="J3675" s="8"/>
      <c r="K3675" s="9"/>
      <c r="L3675" s="9"/>
      <c r="M3675" s="9"/>
      <c r="N3675" s="9"/>
      <c r="O3675" s="9"/>
      <c r="P3675" s="9"/>
      <c r="Q3675" s="9"/>
      <c r="R3675" s="9" t="str">
        <f aca="false">IF(AND(A3675&lt;&gt;"",ISNUMBER(Q3675),ISNUMBER(L3675)),ROUND(Q3675-IF(ISNUMBER(N3675),N3675,0)-IF(ISNUMBER(O3675),O3675,0)+IF(ISNUMBER(P3675),P3675,0),2),"")</f>
        <v/>
      </c>
      <c r="S3675" s="9" t="str">
        <f aca="false">IF(R3675="","",ROUND(L3675-R3675,2))</f>
        <v/>
      </c>
      <c r="T3675" s="8" t="str">
        <f aca="false">IF(A3675="","",IF(S3675="","BYPASS",IF(ABS(S3675)&lt;=Summary!$B$2,"PASS","FAIL")))</f>
        <v/>
      </c>
      <c r="U3675" s="8" t="str">
        <f aca="false">IF(T3675="BYPASS",IF(NOT(ISNUMBER(Q3675)),"PreV_ETB missing","End_tr_balance missing"),IF(T3675="FAIL",IF(AND(ISNUMBER(K3675),ISNUMBER(L3675),ABS(L3675-(K3675-IF(ISNUMBER(N3675),N3675,0)-IF(ISNUMBER(O3675),O3675,0)+IF(ISNUMBER(P3675),P3675,0)))&lt;=Summary!$B$2),"Passes using beginning_balance - PreV_ETB differs from beginning_balance",IF(AND(ISNUMBER(O3675),O3675&lt;0,ABS(L3675-(Q3675-IF(ISNUMBER(N3675),N3675,0)+IF(ISNUMBER(P3675),P3675,0)))&lt;=Summary!$B$2),"Negative realized loss not applied - check sign",IF(R3675&lt;0,"Principal paid exceeds prior balance",IF(AND(L3675&gt;Q3675,NOT(ISNUMBER(P3675))),"Balance increased but no Deferred_interest reported",IF(L3675&gt;R3675,"Reported balance higher than expected (missing increase/OC build)","Reported balance lower than expected (missing decrease)"))))),""))</f>
        <v/>
      </c>
    </row>
    <row r="3676" customFormat="false" ht="15" hidden="false" customHeight="false" outlineLevel="0" collapsed="false">
      <c r="A3676" s="8"/>
      <c r="B3676" s="8"/>
      <c r="C3676" s="8"/>
      <c r="D3676" s="8"/>
      <c r="E3676" s="8"/>
      <c r="F3676" s="8"/>
      <c r="G3676" s="8"/>
      <c r="H3676" s="8"/>
      <c r="I3676" s="8"/>
      <c r="J3676" s="8"/>
      <c r="K3676" s="9"/>
      <c r="L3676" s="9"/>
      <c r="M3676" s="9"/>
      <c r="N3676" s="9"/>
      <c r="O3676" s="9"/>
      <c r="P3676" s="9"/>
      <c r="Q3676" s="9"/>
      <c r="R3676" s="9" t="str">
        <f aca="false">IF(AND(A3676&lt;&gt;"",ISNUMBER(Q3676),ISNUMBER(L3676)),ROUND(Q3676-IF(ISNUMBER(N3676),N3676,0)-IF(ISNUMBER(O3676),O3676,0)+IF(ISNUMBER(P3676),P3676,0),2),"")</f>
        <v/>
      </c>
      <c r="S3676" s="9" t="str">
        <f aca="false">IF(R3676="","",ROUND(L3676-R3676,2))</f>
        <v/>
      </c>
      <c r="T3676" s="8" t="str">
        <f aca="false">IF(A3676="","",IF(S3676="","BYPASS",IF(ABS(S3676)&lt;=Summary!$B$2,"PASS","FAIL")))</f>
        <v/>
      </c>
      <c r="U3676" s="8" t="str">
        <f aca="false">IF(T3676="BYPASS",IF(NOT(ISNUMBER(Q3676)),"PreV_ETB missing","End_tr_balance missing"),IF(T3676="FAIL",IF(AND(ISNUMBER(K3676),ISNUMBER(L3676),ABS(L3676-(K3676-IF(ISNUMBER(N3676),N3676,0)-IF(ISNUMBER(O3676),O3676,0)+IF(ISNUMBER(P3676),P3676,0)))&lt;=Summary!$B$2),"Passes using beginning_balance - PreV_ETB differs from beginning_balance",IF(AND(ISNUMBER(O3676),O3676&lt;0,ABS(L3676-(Q3676-IF(ISNUMBER(N3676),N3676,0)+IF(ISNUMBER(P3676),P3676,0)))&lt;=Summary!$B$2),"Negative realized loss not applied - check sign",IF(R3676&lt;0,"Principal paid exceeds prior balance",IF(AND(L3676&gt;Q3676,NOT(ISNUMBER(P3676))),"Balance increased but no Deferred_interest reported",IF(L3676&gt;R3676,"Reported balance higher than expected (missing increase/OC build)","Reported balance lower than expected (missing decrease)"))))),""))</f>
        <v/>
      </c>
    </row>
    <row r="3677" customFormat="false" ht="15" hidden="false" customHeight="false" outlineLevel="0" collapsed="false">
      <c r="A3677" s="8"/>
      <c r="B3677" s="8"/>
      <c r="C3677" s="8"/>
      <c r="D3677" s="8"/>
      <c r="E3677" s="8"/>
      <c r="F3677" s="8"/>
      <c r="G3677" s="8"/>
      <c r="H3677" s="8"/>
      <c r="I3677" s="8"/>
      <c r="J3677" s="8"/>
      <c r="K3677" s="9"/>
      <c r="L3677" s="9"/>
      <c r="M3677" s="9"/>
      <c r="N3677" s="9"/>
      <c r="O3677" s="9"/>
      <c r="P3677" s="9"/>
      <c r="Q3677" s="9"/>
      <c r="R3677" s="9" t="str">
        <f aca="false">IF(AND(A3677&lt;&gt;"",ISNUMBER(Q3677),ISNUMBER(L3677)),ROUND(Q3677-IF(ISNUMBER(N3677),N3677,0)-IF(ISNUMBER(O3677),O3677,0)+IF(ISNUMBER(P3677),P3677,0),2),"")</f>
        <v/>
      </c>
      <c r="S3677" s="9" t="str">
        <f aca="false">IF(R3677="","",ROUND(L3677-R3677,2))</f>
        <v/>
      </c>
      <c r="T3677" s="8" t="str">
        <f aca="false">IF(A3677="","",IF(S3677="","BYPASS",IF(ABS(S3677)&lt;=Summary!$B$2,"PASS","FAIL")))</f>
        <v/>
      </c>
      <c r="U3677" s="8" t="str">
        <f aca="false">IF(T3677="BYPASS",IF(NOT(ISNUMBER(Q3677)),"PreV_ETB missing","End_tr_balance missing"),IF(T3677="FAIL",IF(AND(ISNUMBER(K3677),ISNUMBER(L3677),ABS(L3677-(K3677-IF(ISNUMBER(N3677),N3677,0)-IF(ISNUMBER(O3677),O3677,0)+IF(ISNUMBER(P3677),P3677,0)))&lt;=Summary!$B$2),"Passes using beginning_balance - PreV_ETB differs from beginning_balance",IF(AND(ISNUMBER(O3677),O3677&lt;0,ABS(L3677-(Q3677-IF(ISNUMBER(N3677),N3677,0)+IF(ISNUMBER(P3677),P3677,0)))&lt;=Summary!$B$2),"Negative realized loss not applied - check sign",IF(R3677&lt;0,"Principal paid exceeds prior balance",IF(AND(L3677&gt;Q3677,NOT(ISNUMBER(P3677))),"Balance increased but no Deferred_interest reported",IF(L3677&gt;R3677,"Reported balance higher than expected (missing increase/OC build)","Reported balance lower than expected (missing decrease)"))))),""))</f>
        <v/>
      </c>
    </row>
    <row r="3678" customFormat="false" ht="15" hidden="false" customHeight="false" outlineLevel="0" collapsed="false">
      <c r="A3678" s="8"/>
      <c r="B3678" s="8"/>
      <c r="C3678" s="8"/>
      <c r="D3678" s="8"/>
      <c r="E3678" s="8"/>
      <c r="F3678" s="8"/>
      <c r="G3678" s="8"/>
      <c r="H3678" s="8"/>
      <c r="I3678" s="8"/>
      <c r="J3678" s="8"/>
      <c r="K3678" s="9"/>
      <c r="L3678" s="9"/>
      <c r="M3678" s="9"/>
      <c r="N3678" s="9"/>
      <c r="O3678" s="9"/>
      <c r="P3678" s="9"/>
      <c r="Q3678" s="9"/>
      <c r="R3678" s="9" t="str">
        <f aca="false">IF(AND(A3678&lt;&gt;"",ISNUMBER(Q3678),ISNUMBER(L3678)),ROUND(Q3678-IF(ISNUMBER(N3678),N3678,0)-IF(ISNUMBER(O3678),O3678,0)+IF(ISNUMBER(P3678),P3678,0),2),"")</f>
        <v/>
      </c>
      <c r="S3678" s="9" t="str">
        <f aca="false">IF(R3678="","",ROUND(L3678-R3678,2))</f>
        <v/>
      </c>
      <c r="T3678" s="8" t="str">
        <f aca="false">IF(A3678="","",IF(S3678="","BYPASS",IF(ABS(S3678)&lt;=Summary!$B$2,"PASS","FAIL")))</f>
        <v/>
      </c>
      <c r="U3678" s="8" t="str">
        <f aca="false">IF(T3678="BYPASS",IF(NOT(ISNUMBER(Q3678)),"PreV_ETB missing","End_tr_balance missing"),IF(T3678="FAIL",IF(AND(ISNUMBER(K3678),ISNUMBER(L3678),ABS(L3678-(K3678-IF(ISNUMBER(N3678),N3678,0)-IF(ISNUMBER(O3678),O3678,0)+IF(ISNUMBER(P3678),P3678,0)))&lt;=Summary!$B$2),"Passes using beginning_balance - PreV_ETB differs from beginning_balance",IF(AND(ISNUMBER(O3678),O3678&lt;0,ABS(L3678-(Q3678-IF(ISNUMBER(N3678),N3678,0)+IF(ISNUMBER(P3678),P3678,0)))&lt;=Summary!$B$2),"Negative realized loss not applied - check sign",IF(R3678&lt;0,"Principal paid exceeds prior balance",IF(AND(L3678&gt;Q3678,NOT(ISNUMBER(P3678))),"Balance increased but no Deferred_interest reported",IF(L3678&gt;R3678,"Reported balance higher than expected (missing increase/OC build)","Reported balance lower than expected (missing decrease)"))))),""))</f>
        <v/>
      </c>
    </row>
    <row r="3679" customFormat="false" ht="15" hidden="false" customHeight="false" outlineLevel="0" collapsed="false">
      <c r="A3679" s="8"/>
      <c r="B3679" s="8"/>
      <c r="C3679" s="8"/>
      <c r="D3679" s="8"/>
      <c r="E3679" s="8"/>
      <c r="F3679" s="8"/>
      <c r="G3679" s="8"/>
      <c r="H3679" s="8"/>
      <c r="I3679" s="8"/>
      <c r="J3679" s="8"/>
      <c r="K3679" s="9"/>
      <c r="L3679" s="9"/>
      <c r="M3679" s="9"/>
      <c r="N3679" s="9"/>
      <c r="O3679" s="9"/>
      <c r="P3679" s="9"/>
      <c r="Q3679" s="9"/>
      <c r="R3679" s="9" t="str">
        <f aca="false">IF(AND(A3679&lt;&gt;"",ISNUMBER(Q3679),ISNUMBER(L3679)),ROUND(Q3679-IF(ISNUMBER(N3679),N3679,0)-IF(ISNUMBER(O3679),O3679,0)+IF(ISNUMBER(P3679),P3679,0),2),"")</f>
        <v/>
      </c>
      <c r="S3679" s="9" t="str">
        <f aca="false">IF(R3679="","",ROUND(L3679-R3679,2))</f>
        <v/>
      </c>
      <c r="T3679" s="8" t="str">
        <f aca="false">IF(A3679="","",IF(S3679="","BYPASS",IF(ABS(S3679)&lt;=Summary!$B$2,"PASS","FAIL")))</f>
        <v/>
      </c>
      <c r="U3679" s="8" t="str">
        <f aca="false">IF(T3679="BYPASS",IF(NOT(ISNUMBER(Q3679)),"PreV_ETB missing","End_tr_balance missing"),IF(T3679="FAIL",IF(AND(ISNUMBER(K3679),ISNUMBER(L3679),ABS(L3679-(K3679-IF(ISNUMBER(N3679),N3679,0)-IF(ISNUMBER(O3679),O3679,0)+IF(ISNUMBER(P3679),P3679,0)))&lt;=Summary!$B$2),"Passes using beginning_balance - PreV_ETB differs from beginning_balance",IF(AND(ISNUMBER(O3679),O3679&lt;0,ABS(L3679-(Q3679-IF(ISNUMBER(N3679),N3679,0)+IF(ISNUMBER(P3679),P3679,0)))&lt;=Summary!$B$2),"Negative realized loss not applied - check sign",IF(R3679&lt;0,"Principal paid exceeds prior balance",IF(AND(L3679&gt;Q3679,NOT(ISNUMBER(P3679))),"Balance increased but no Deferred_interest reported",IF(L3679&gt;R3679,"Reported balance higher than expected (missing increase/OC build)","Reported balance lower than expected (missing decrease)"))))),""))</f>
        <v/>
      </c>
    </row>
    <row r="3680" customFormat="false" ht="15" hidden="false" customHeight="false" outlineLevel="0" collapsed="false">
      <c r="A3680" s="8"/>
      <c r="B3680" s="8"/>
      <c r="C3680" s="8"/>
      <c r="D3680" s="8"/>
      <c r="E3680" s="8"/>
      <c r="F3680" s="8"/>
      <c r="G3680" s="8"/>
      <c r="H3680" s="8"/>
      <c r="I3680" s="8"/>
      <c r="J3680" s="8"/>
      <c r="K3680" s="9"/>
      <c r="L3680" s="9"/>
      <c r="M3680" s="9"/>
      <c r="N3680" s="9"/>
      <c r="O3680" s="9"/>
      <c r="P3680" s="9"/>
      <c r="Q3680" s="9"/>
      <c r="R3680" s="9" t="str">
        <f aca="false">IF(AND(A3680&lt;&gt;"",ISNUMBER(Q3680),ISNUMBER(L3680)),ROUND(Q3680-IF(ISNUMBER(N3680),N3680,0)-IF(ISNUMBER(O3680),O3680,0)+IF(ISNUMBER(P3680),P3680,0),2),"")</f>
        <v/>
      </c>
      <c r="S3680" s="9" t="str">
        <f aca="false">IF(R3680="","",ROUND(L3680-R3680,2))</f>
        <v/>
      </c>
      <c r="T3680" s="8" t="str">
        <f aca="false">IF(A3680="","",IF(S3680="","BYPASS",IF(ABS(S3680)&lt;=Summary!$B$2,"PASS","FAIL")))</f>
        <v/>
      </c>
      <c r="U3680" s="8" t="str">
        <f aca="false">IF(T3680="BYPASS",IF(NOT(ISNUMBER(Q3680)),"PreV_ETB missing","End_tr_balance missing"),IF(T3680="FAIL",IF(AND(ISNUMBER(K3680),ISNUMBER(L3680),ABS(L3680-(K3680-IF(ISNUMBER(N3680),N3680,0)-IF(ISNUMBER(O3680),O3680,0)+IF(ISNUMBER(P3680),P3680,0)))&lt;=Summary!$B$2),"Passes using beginning_balance - PreV_ETB differs from beginning_balance",IF(AND(ISNUMBER(O3680),O3680&lt;0,ABS(L3680-(Q3680-IF(ISNUMBER(N3680),N3680,0)+IF(ISNUMBER(P3680),P3680,0)))&lt;=Summary!$B$2),"Negative realized loss not applied - check sign",IF(R3680&lt;0,"Principal paid exceeds prior balance",IF(AND(L3680&gt;Q3680,NOT(ISNUMBER(P3680))),"Balance increased but no Deferred_interest reported",IF(L3680&gt;R3680,"Reported balance higher than expected (missing increase/OC build)","Reported balance lower than expected (missing decrease)"))))),""))</f>
        <v/>
      </c>
    </row>
    <row r="3681" customFormat="false" ht="15" hidden="false" customHeight="false" outlineLevel="0" collapsed="false">
      <c r="A3681" s="8"/>
      <c r="B3681" s="8"/>
      <c r="C3681" s="8"/>
      <c r="D3681" s="8"/>
      <c r="E3681" s="8"/>
      <c r="F3681" s="8"/>
      <c r="G3681" s="8"/>
      <c r="H3681" s="8"/>
      <c r="I3681" s="8"/>
      <c r="J3681" s="8"/>
      <c r="K3681" s="9"/>
      <c r="L3681" s="9"/>
      <c r="M3681" s="9"/>
      <c r="N3681" s="9"/>
      <c r="O3681" s="9"/>
      <c r="P3681" s="9"/>
      <c r="Q3681" s="9"/>
      <c r="R3681" s="9" t="str">
        <f aca="false">IF(AND(A3681&lt;&gt;"",ISNUMBER(Q3681),ISNUMBER(L3681)),ROUND(Q3681-IF(ISNUMBER(N3681),N3681,0)-IF(ISNUMBER(O3681),O3681,0)+IF(ISNUMBER(P3681),P3681,0),2),"")</f>
        <v/>
      </c>
      <c r="S3681" s="9" t="str">
        <f aca="false">IF(R3681="","",ROUND(L3681-R3681,2))</f>
        <v/>
      </c>
      <c r="T3681" s="8" t="str">
        <f aca="false">IF(A3681="","",IF(S3681="","BYPASS",IF(ABS(S3681)&lt;=Summary!$B$2,"PASS","FAIL")))</f>
        <v/>
      </c>
      <c r="U3681" s="8" t="str">
        <f aca="false">IF(T3681="BYPASS",IF(NOT(ISNUMBER(Q3681)),"PreV_ETB missing","End_tr_balance missing"),IF(T3681="FAIL",IF(AND(ISNUMBER(K3681),ISNUMBER(L3681),ABS(L3681-(K3681-IF(ISNUMBER(N3681),N3681,0)-IF(ISNUMBER(O3681),O3681,0)+IF(ISNUMBER(P3681),P3681,0)))&lt;=Summary!$B$2),"Passes using beginning_balance - PreV_ETB differs from beginning_balance",IF(AND(ISNUMBER(O3681),O3681&lt;0,ABS(L3681-(Q3681-IF(ISNUMBER(N3681),N3681,0)+IF(ISNUMBER(P3681),P3681,0)))&lt;=Summary!$B$2),"Negative realized loss not applied - check sign",IF(R3681&lt;0,"Principal paid exceeds prior balance",IF(AND(L3681&gt;Q3681,NOT(ISNUMBER(P3681))),"Balance increased but no Deferred_interest reported",IF(L3681&gt;R3681,"Reported balance higher than expected (missing increase/OC build)","Reported balance lower than expected (missing decrease)"))))),""))</f>
        <v/>
      </c>
    </row>
    <row r="3682" customFormat="false" ht="15" hidden="false" customHeight="false" outlineLevel="0" collapsed="false">
      <c r="A3682" s="8"/>
      <c r="B3682" s="8"/>
      <c r="C3682" s="8"/>
      <c r="D3682" s="8"/>
      <c r="E3682" s="8"/>
      <c r="F3682" s="8"/>
      <c r="G3682" s="8"/>
      <c r="H3682" s="8"/>
      <c r="I3682" s="8"/>
      <c r="J3682" s="8"/>
      <c r="K3682" s="9"/>
      <c r="L3682" s="9"/>
      <c r="M3682" s="9"/>
      <c r="N3682" s="9"/>
      <c r="O3682" s="9"/>
      <c r="P3682" s="9"/>
      <c r="Q3682" s="9"/>
      <c r="R3682" s="9" t="str">
        <f aca="false">IF(AND(A3682&lt;&gt;"",ISNUMBER(Q3682),ISNUMBER(L3682)),ROUND(Q3682-IF(ISNUMBER(N3682),N3682,0)-IF(ISNUMBER(O3682),O3682,0)+IF(ISNUMBER(P3682),P3682,0),2),"")</f>
        <v/>
      </c>
      <c r="S3682" s="9" t="str">
        <f aca="false">IF(R3682="","",ROUND(L3682-R3682,2))</f>
        <v/>
      </c>
      <c r="T3682" s="8" t="str">
        <f aca="false">IF(A3682="","",IF(S3682="","BYPASS",IF(ABS(S3682)&lt;=Summary!$B$2,"PASS","FAIL")))</f>
        <v/>
      </c>
      <c r="U3682" s="8" t="str">
        <f aca="false">IF(T3682="BYPASS",IF(NOT(ISNUMBER(Q3682)),"PreV_ETB missing","End_tr_balance missing"),IF(T3682="FAIL",IF(AND(ISNUMBER(K3682),ISNUMBER(L3682),ABS(L3682-(K3682-IF(ISNUMBER(N3682),N3682,0)-IF(ISNUMBER(O3682),O3682,0)+IF(ISNUMBER(P3682),P3682,0)))&lt;=Summary!$B$2),"Passes using beginning_balance - PreV_ETB differs from beginning_balance",IF(AND(ISNUMBER(O3682),O3682&lt;0,ABS(L3682-(Q3682-IF(ISNUMBER(N3682),N3682,0)+IF(ISNUMBER(P3682),P3682,0)))&lt;=Summary!$B$2),"Negative realized loss not applied - check sign",IF(R3682&lt;0,"Principal paid exceeds prior balance",IF(AND(L3682&gt;Q3682,NOT(ISNUMBER(P3682))),"Balance increased but no Deferred_interest reported",IF(L3682&gt;R3682,"Reported balance higher than expected (missing increase/OC build)","Reported balance lower than expected (missing decrease)"))))),""))</f>
        <v/>
      </c>
    </row>
    <row r="3683" customFormat="false" ht="15" hidden="false" customHeight="false" outlineLevel="0" collapsed="false">
      <c r="A3683" s="8"/>
      <c r="B3683" s="8"/>
      <c r="C3683" s="8"/>
      <c r="D3683" s="8"/>
      <c r="E3683" s="8"/>
      <c r="F3683" s="8"/>
      <c r="G3683" s="8"/>
      <c r="H3683" s="8"/>
      <c r="I3683" s="8"/>
      <c r="J3683" s="8"/>
      <c r="K3683" s="9"/>
      <c r="L3683" s="9"/>
      <c r="M3683" s="9"/>
      <c r="N3683" s="9"/>
      <c r="O3683" s="9"/>
      <c r="P3683" s="9"/>
      <c r="Q3683" s="9"/>
      <c r="R3683" s="9" t="str">
        <f aca="false">IF(AND(A3683&lt;&gt;"",ISNUMBER(Q3683),ISNUMBER(L3683)),ROUND(Q3683-IF(ISNUMBER(N3683),N3683,0)-IF(ISNUMBER(O3683),O3683,0)+IF(ISNUMBER(P3683),P3683,0),2),"")</f>
        <v/>
      </c>
      <c r="S3683" s="9" t="str">
        <f aca="false">IF(R3683="","",ROUND(L3683-R3683,2))</f>
        <v/>
      </c>
      <c r="T3683" s="8" t="str">
        <f aca="false">IF(A3683="","",IF(S3683="","BYPASS",IF(ABS(S3683)&lt;=Summary!$B$2,"PASS","FAIL")))</f>
        <v/>
      </c>
      <c r="U3683" s="8" t="str">
        <f aca="false">IF(T3683="BYPASS",IF(NOT(ISNUMBER(Q3683)),"PreV_ETB missing","End_tr_balance missing"),IF(T3683="FAIL",IF(AND(ISNUMBER(K3683),ISNUMBER(L3683),ABS(L3683-(K3683-IF(ISNUMBER(N3683),N3683,0)-IF(ISNUMBER(O3683),O3683,0)+IF(ISNUMBER(P3683),P3683,0)))&lt;=Summary!$B$2),"Passes using beginning_balance - PreV_ETB differs from beginning_balance",IF(AND(ISNUMBER(O3683),O3683&lt;0,ABS(L3683-(Q3683-IF(ISNUMBER(N3683),N3683,0)+IF(ISNUMBER(P3683),P3683,0)))&lt;=Summary!$B$2),"Negative realized loss not applied - check sign",IF(R3683&lt;0,"Principal paid exceeds prior balance",IF(AND(L3683&gt;Q3683,NOT(ISNUMBER(P3683))),"Balance increased but no Deferred_interest reported",IF(L3683&gt;R3683,"Reported balance higher than expected (missing increase/OC build)","Reported balance lower than expected (missing decrease)"))))),""))</f>
        <v/>
      </c>
    </row>
    <row r="3684" customFormat="false" ht="15" hidden="false" customHeight="false" outlineLevel="0" collapsed="false">
      <c r="A3684" s="8"/>
      <c r="B3684" s="8"/>
      <c r="C3684" s="8"/>
      <c r="D3684" s="8"/>
      <c r="E3684" s="8"/>
      <c r="F3684" s="8"/>
      <c r="G3684" s="8"/>
      <c r="H3684" s="8"/>
      <c r="I3684" s="8"/>
      <c r="J3684" s="8"/>
      <c r="K3684" s="9"/>
      <c r="L3684" s="9"/>
      <c r="M3684" s="9"/>
      <c r="N3684" s="9"/>
      <c r="O3684" s="9"/>
      <c r="P3684" s="9"/>
      <c r="Q3684" s="9"/>
      <c r="R3684" s="9" t="str">
        <f aca="false">IF(AND(A3684&lt;&gt;"",ISNUMBER(Q3684),ISNUMBER(L3684)),ROUND(Q3684-IF(ISNUMBER(N3684),N3684,0)-IF(ISNUMBER(O3684),O3684,0)+IF(ISNUMBER(P3684),P3684,0),2),"")</f>
        <v/>
      </c>
      <c r="S3684" s="9" t="str">
        <f aca="false">IF(R3684="","",ROUND(L3684-R3684,2))</f>
        <v/>
      </c>
      <c r="T3684" s="8" t="str">
        <f aca="false">IF(A3684="","",IF(S3684="","BYPASS",IF(ABS(S3684)&lt;=Summary!$B$2,"PASS","FAIL")))</f>
        <v/>
      </c>
      <c r="U3684" s="8" t="str">
        <f aca="false">IF(T3684="BYPASS",IF(NOT(ISNUMBER(Q3684)),"PreV_ETB missing","End_tr_balance missing"),IF(T3684="FAIL",IF(AND(ISNUMBER(K3684),ISNUMBER(L3684),ABS(L3684-(K3684-IF(ISNUMBER(N3684),N3684,0)-IF(ISNUMBER(O3684),O3684,0)+IF(ISNUMBER(P3684),P3684,0)))&lt;=Summary!$B$2),"Passes using beginning_balance - PreV_ETB differs from beginning_balance",IF(AND(ISNUMBER(O3684),O3684&lt;0,ABS(L3684-(Q3684-IF(ISNUMBER(N3684),N3684,0)+IF(ISNUMBER(P3684),P3684,0)))&lt;=Summary!$B$2),"Negative realized loss not applied - check sign",IF(R3684&lt;0,"Principal paid exceeds prior balance",IF(AND(L3684&gt;Q3684,NOT(ISNUMBER(P3684))),"Balance increased but no Deferred_interest reported",IF(L3684&gt;R3684,"Reported balance higher than expected (missing increase/OC build)","Reported balance lower than expected (missing decrease)"))))),""))</f>
        <v/>
      </c>
    </row>
    <row r="3685" customFormat="false" ht="15" hidden="false" customHeight="false" outlineLevel="0" collapsed="false">
      <c r="A3685" s="8"/>
      <c r="B3685" s="8"/>
      <c r="C3685" s="8"/>
      <c r="D3685" s="8"/>
      <c r="E3685" s="8"/>
      <c r="F3685" s="8"/>
      <c r="G3685" s="8"/>
      <c r="H3685" s="8"/>
      <c r="I3685" s="8"/>
      <c r="J3685" s="8"/>
      <c r="K3685" s="9"/>
      <c r="L3685" s="9"/>
      <c r="M3685" s="9"/>
      <c r="N3685" s="9"/>
      <c r="O3685" s="9"/>
      <c r="P3685" s="9"/>
      <c r="Q3685" s="9"/>
      <c r="R3685" s="9" t="str">
        <f aca="false">IF(AND(A3685&lt;&gt;"",ISNUMBER(Q3685),ISNUMBER(L3685)),ROUND(Q3685-IF(ISNUMBER(N3685),N3685,0)-IF(ISNUMBER(O3685),O3685,0)+IF(ISNUMBER(P3685),P3685,0),2),"")</f>
        <v/>
      </c>
      <c r="S3685" s="9" t="str">
        <f aca="false">IF(R3685="","",ROUND(L3685-R3685,2))</f>
        <v/>
      </c>
      <c r="T3685" s="8" t="str">
        <f aca="false">IF(A3685="","",IF(S3685="","BYPASS",IF(ABS(S3685)&lt;=Summary!$B$2,"PASS","FAIL")))</f>
        <v/>
      </c>
      <c r="U3685" s="8" t="str">
        <f aca="false">IF(T3685="BYPASS",IF(NOT(ISNUMBER(Q3685)),"PreV_ETB missing","End_tr_balance missing"),IF(T3685="FAIL",IF(AND(ISNUMBER(K3685),ISNUMBER(L3685),ABS(L3685-(K3685-IF(ISNUMBER(N3685),N3685,0)-IF(ISNUMBER(O3685),O3685,0)+IF(ISNUMBER(P3685),P3685,0)))&lt;=Summary!$B$2),"Passes using beginning_balance - PreV_ETB differs from beginning_balance",IF(AND(ISNUMBER(O3685),O3685&lt;0,ABS(L3685-(Q3685-IF(ISNUMBER(N3685),N3685,0)+IF(ISNUMBER(P3685),P3685,0)))&lt;=Summary!$B$2),"Negative realized loss not applied - check sign",IF(R3685&lt;0,"Principal paid exceeds prior balance",IF(AND(L3685&gt;Q3685,NOT(ISNUMBER(P3685))),"Balance increased but no Deferred_interest reported",IF(L3685&gt;R3685,"Reported balance higher than expected (missing increase/OC build)","Reported balance lower than expected (missing decrease)"))))),""))</f>
        <v/>
      </c>
    </row>
    <row r="3686" customFormat="false" ht="15" hidden="false" customHeight="false" outlineLevel="0" collapsed="false">
      <c r="A3686" s="8"/>
      <c r="B3686" s="8"/>
      <c r="C3686" s="8"/>
      <c r="D3686" s="8"/>
      <c r="E3686" s="8"/>
      <c r="F3686" s="8"/>
      <c r="G3686" s="8"/>
      <c r="H3686" s="8"/>
      <c r="I3686" s="8"/>
      <c r="J3686" s="8"/>
      <c r="K3686" s="9"/>
      <c r="L3686" s="9"/>
      <c r="M3686" s="9"/>
      <c r="N3686" s="9"/>
      <c r="O3686" s="9"/>
      <c r="P3686" s="9"/>
      <c r="Q3686" s="9"/>
      <c r="R3686" s="9" t="str">
        <f aca="false">IF(AND(A3686&lt;&gt;"",ISNUMBER(Q3686),ISNUMBER(L3686)),ROUND(Q3686-IF(ISNUMBER(N3686),N3686,0)-IF(ISNUMBER(O3686),O3686,0)+IF(ISNUMBER(P3686),P3686,0),2),"")</f>
        <v/>
      </c>
      <c r="S3686" s="9" t="str">
        <f aca="false">IF(R3686="","",ROUND(L3686-R3686,2))</f>
        <v/>
      </c>
      <c r="T3686" s="8" t="str">
        <f aca="false">IF(A3686="","",IF(S3686="","BYPASS",IF(ABS(S3686)&lt;=Summary!$B$2,"PASS","FAIL")))</f>
        <v/>
      </c>
      <c r="U3686" s="8" t="str">
        <f aca="false">IF(T3686="BYPASS",IF(NOT(ISNUMBER(Q3686)),"PreV_ETB missing","End_tr_balance missing"),IF(T3686="FAIL",IF(AND(ISNUMBER(K3686),ISNUMBER(L3686),ABS(L3686-(K3686-IF(ISNUMBER(N3686),N3686,0)-IF(ISNUMBER(O3686),O3686,0)+IF(ISNUMBER(P3686),P3686,0)))&lt;=Summary!$B$2),"Passes using beginning_balance - PreV_ETB differs from beginning_balance",IF(AND(ISNUMBER(O3686),O3686&lt;0,ABS(L3686-(Q3686-IF(ISNUMBER(N3686),N3686,0)+IF(ISNUMBER(P3686),P3686,0)))&lt;=Summary!$B$2),"Negative realized loss not applied - check sign",IF(R3686&lt;0,"Principal paid exceeds prior balance",IF(AND(L3686&gt;Q3686,NOT(ISNUMBER(P3686))),"Balance increased but no Deferred_interest reported",IF(L3686&gt;R3686,"Reported balance higher than expected (missing increase/OC build)","Reported balance lower than expected (missing decrease)"))))),""))</f>
        <v/>
      </c>
    </row>
    <row r="3687" customFormat="false" ht="15" hidden="false" customHeight="false" outlineLevel="0" collapsed="false">
      <c r="A3687" s="8"/>
      <c r="B3687" s="8"/>
      <c r="C3687" s="8"/>
      <c r="D3687" s="8"/>
      <c r="E3687" s="8"/>
      <c r="F3687" s="8"/>
      <c r="G3687" s="8"/>
      <c r="H3687" s="8"/>
      <c r="I3687" s="8"/>
      <c r="J3687" s="8"/>
      <c r="K3687" s="9"/>
      <c r="L3687" s="9"/>
      <c r="M3687" s="9"/>
      <c r="N3687" s="9"/>
      <c r="O3687" s="9"/>
      <c r="P3687" s="9"/>
      <c r="Q3687" s="9"/>
      <c r="R3687" s="9" t="str">
        <f aca="false">IF(AND(A3687&lt;&gt;"",ISNUMBER(Q3687),ISNUMBER(L3687)),ROUND(Q3687-IF(ISNUMBER(N3687),N3687,0)-IF(ISNUMBER(O3687),O3687,0)+IF(ISNUMBER(P3687),P3687,0),2),"")</f>
        <v/>
      </c>
      <c r="S3687" s="9" t="str">
        <f aca="false">IF(R3687="","",ROUND(L3687-R3687,2))</f>
        <v/>
      </c>
      <c r="T3687" s="8" t="str">
        <f aca="false">IF(A3687="","",IF(S3687="","BYPASS",IF(ABS(S3687)&lt;=Summary!$B$2,"PASS","FAIL")))</f>
        <v/>
      </c>
      <c r="U3687" s="8" t="str">
        <f aca="false">IF(T3687="BYPASS",IF(NOT(ISNUMBER(Q3687)),"PreV_ETB missing","End_tr_balance missing"),IF(T3687="FAIL",IF(AND(ISNUMBER(K3687),ISNUMBER(L3687),ABS(L3687-(K3687-IF(ISNUMBER(N3687),N3687,0)-IF(ISNUMBER(O3687),O3687,0)+IF(ISNUMBER(P3687),P3687,0)))&lt;=Summary!$B$2),"Passes using beginning_balance - PreV_ETB differs from beginning_balance",IF(AND(ISNUMBER(O3687),O3687&lt;0,ABS(L3687-(Q3687-IF(ISNUMBER(N3687),N3687,0)+IF(ISNUMBER(P3687),P3687,0)))&lt;=Summary!$B$2),"Negative realized loss not applied - check sign",IF(R3687&lt;0,"Principal paid exceeds prior balance",IF(AND(L3687&gt;Q3687,NOT(ISNUMBER(P3687))),"Balance increased but no Deferred_interest reported",IF(L3687&gt;R3687,"Reported balance higher than expected (missing increase/OC build)","Reported balance lower than expected (missing decrease)"))))),""))</f>
        <v/>
      </c>
    </row>
    <row r="3688" customFormat="false" ht="15" hidden="false" customHeight="false" outlineLevel="0" collapsed="false">
      <c r="A3688" s="8"/>
      <c r="B3688" s="8"/>
      <c r="C3688" s="8"/>
      <c r="D3688" s="8"/>
      <c r="E3688" s="8"/>
      <c r="F3688" s="8"/>
      <c r="G3688" s="8"/>
      <c r="H3688" s="8"/>
      <c r="I3688" s="8"/>
      <c r="J3688" s="8"/>
      <c r="K3688" s="9"/>
      <c r="L3688" s="9"/>
      <c r="M3688" s="9"/>
      <c r="N3688" s="9"/>
      <c r="O3688" s="9"/>
      <c r="P3688" s="9"/>
      <c r="Q3688" s="9"/>
      <c r="R3688" s="9" t="str">
        <f aca="false">IF(AND(A3688&lt;&gt;"",ISNUMBER(Q3688),ISNUMBER(L3688)),ROUND(Q3688-IF(ISNUMBER(N3688),N3688,0)-IF(ISNUMBER(O3688),O3688,0)+IF(ISNUMBER(P3688),P3688,0),2),"")</f>
        <v/>
      </c>
      <c r="S3688" s="9" t="str">
        <f aca="false">IF(R3688="","",ROUND(L3688-R3688,2))</f>
        <v/>
      </c>
      <c r="T3688" s="8" t="str">
        <f aca="false">IF(A3688="","",IF(S3688="","BYPASS",IF(ABS(S3688)&lt;=Summary!$B$2,"PASS","FAIL")))</f>
        <v/>
      </c>
      <c r="U3688" s="8" t="str">
        <f aca="false">IF(T3688="BYPASS",IF(NOT(ISNUMBER(Q3688)),"PreV_ETB missing","End_tr_balance missing"),IF(T3688="FAIL",IF(AND(ISNUMBER(K3688),ISNUMBER(L3688),ABS(L3688-(K3688-IF(ISNUMBER(N3688),N3688,0)-IF(ISNUMBER(O3688),O3688,0)+IF(ISNUMBER(P3688),P3688,0)))&lt;=Summary!$B$2),"Passes using beginning_balance - PreV_ETB differs from beginning_balance",IF(AND(ISNUMBER(O3688),O3688&lt;0,ABS(L3688-(Q3688-IF(ISNUMBER(N3688),N3688,0)+IF(ISNUMBER(P3688),P3688,0)))&lt;=Summary!$B$2),"Negative realized loss not applied - check sign",IF(R3688&lt;0,"Principal paid exceeds prior balance",IF(AND(L3688&gt;Q3688,NOT(ISNUMBER(P3688))),"Balance increased but no Deferred_interest reported",IF(L3688&gt;R3688,"Reported balance higher than expected (missing increase/OC build)","Reported balance lower than expected (missing decrease)"))))),""))</f>
        <v/>
      </c>
    </row>
    <row r="3689" customFormat="false" ht="15" hidden="false" customHeight="false" outlineLevel="0" collapsed="false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9"/>
      <c r="L3689" s="9"/>
      <c r="M3689" s="9"/>
      <c r="N3689" s="9"/>
      <c r="O3689" s="9"/>
      <c r="P3689" s="9"/>
      <c r="Q3689" s="9"/>
      <c r="R3689" s="9" t="str">
        <f aca="false">IF(AND(A3689&lt;&gt;"",ISNUMBER(Q3689),ISNUMBER(L3689)),ROUND(Q3689-IF(ISNUMBER(N3689),N3689,0)-IF(ISNUMBER(O3689),O3689,0)+IF(ISNUMBER(P3689),P3689,0),2),"")</f>
        <v/>
      </c>
      <c r="S3689" s="9" t="str">
        <f aca="false">IF(R3689="","",ROUND(L3689-R3689,2))</f>
        <v/>
      </c>
      <c r="T3689" s="8" t="str">
        <f aca="false">IF(A3689="","",IF(S3689="","BYPASS",IF(ABS(S3689)&lt;=Summary!$B$2,"PASS","FAIL")))</f>
        <v/>
      </c>
      <c r="U3689" s="8" t="str">
        <f aca="false">IF(T3689="BYPASS",IF(NOT(ISNUMBER(Q3689)),"PreV_ETB missing","End_tr_balance missing"),IF(T3689="FAIL",IF(AND(ISNUMBER(K3689),ISNUMBER(L3689),ABS(L3689-(K3689-IF(ISNUMBER(N3689),N3689,0)-IF(ISNUMBER(O3689),O3689,0)+IF(ISNUMBER(P3689),P3689,0)))&lt;=Summary!$B$2),"Passes using beginning_balance - PreV_ETB differs from beginning_balance",IF(AND(ISNUMBER(O3689),O3689&lt;0,ABS(L3689-(Q3689-IF(ISNUMBER(N3689),N3689,0)+IF(ISNUMBER(P3689),P3689,0)))&lt;=Summary!$B$2),"Negative realized loss not applied - check sign",IF(R3689&lt;0,"Principal paid exceeds prior balance",IF(AND(L3689&gt;Q3689,NOT(ISNUMBER(P3689))),"Balance increased but no Deferred_interest reported",IF(L3689&gt;R3689,"Reported balance higher than expected (missing increase/OC build)","Reported balance lower than expected (missing decrease)"))))),""))</f>
        <v/>
      </c>
    </row>
    <row r="3690" customFormat="false" ht="15" hidden="false" customHeight="false" outlineLevel="0" collapsed="false">
      <c r="A3690" s="8"/>
      <c r="B3690" s="8"/>
      <c r="C3690" s="8"/>
      <c r="D3690" s="8"/>
      <c r="E3690" s="8"/>
      <c r="F3690" s="8"/>
      <c r="G3690" s="8"/>
      <c r="H3690" s="8"/>
      <c r="I3690" s="8"/>
      <c r="J3690" s="8"/>
      <c r="K3690" s="9"/>
      <c r="L3690" s="9"/>
      <c r="M3690" s="9"/>
      <c r="N3690" s="9"/>
      <c r="O3690" s="9"/>
      <c r="P3690" s="9"/>
      <c r="Q3690" s="9"/>
      <c r="R3690" s="9" t="str">
        <f aca="false">IF(AND(A3690&lt;&gt;"",ISNUMBER(Q3690),ISNUMBER(L3690)),ROUND(Q3690-IF(ISNUMBER(N3690),N3690,0)-IF(ISNUMBER(O3690),O3690,0)+IF(ISNUMBER(P3690),P3690,0),2),"")</f>
        <v/>
      </c>
      <c r="S3690" s="9" t="str">
        <f aca="false">IF(R3690="","",ROUND(L3690-R3690,2))</f>
        <v/>
      </c>
      <c r="T3690" s="8" t="str">
        <f aca="false">IF(A3690="","",IF(S3690="","BYPASS",IF(ABS(S3690)&lt;=Summary!$B$2,"PASS","FAIL")))</f>
        <v/>
      </c>
      <c r="U3690" s="8" t="str">
        <f aca="false">IF(T3690="BYPASS",IF(NOT(ISNUMBER(Q3690)),"PreV_ETB missing","End_tr_balance missing"),IF(T3690="FAIL",IF(AND(ISNUMBER(K3690),ISNUMBER(L3690),ABS(L3690-(K3690-IF(ISNUMBER(N3690),N3690,0)-IF(ISNUMBER(O3690),O3690,0)+IF(ISNUMBER(P3690),P3690,0)))&lt;=Summary!$B$2),"Passes using beginning_balance - PreV_ETB differs from beginning_balance",IF(AND(ISNUMBER(O3690),O3690&lt;0,ABS(L3690-(Q3690-IF(ISNUMBER(N3690),N3690,0)+IF(ISNUMBER(P3690),P3690,0)))&lt;=Summary!$B$2),"Negative realized loss not applied - check sign",IF(R3690&lt;0,"Principal paid exceeds prior balance",IF(AND(L3690&gt;Q3690,NOT(ISNUMBER(P3690))),"Balance increased but no Deferred_interest reported",IF(L3690&gt;R3690,"Reported balance higher than expected (missing increase/OC build)","Reported balance lower than expected (missing decrease)"))))),""))</f>
        <v/>
      </c>
    </row>
    <row r="3691" customFormat="false" ht="15" hidden="false" customHeight="false" outlineLevel="0" collapsed="false">
      <c r="A3691" s="8"/>
      <c r="B3691" s="8"/>
      <c r="C3691" s="8"/>
      <c r="D3691" s="8"/>
      <c r="E3691" s="8"/>
      <c r="F3691" s="8"/>
      <c r="G3691" s="8"/>
      <c r="H3691" s="8"/>
      <c r="I3691" s="8"/>
      <c r="J3691" s="8"/>
      <c r="K3691" s="9"/>
      <c r="L3691" s="9"/>
      <c r="M3691" s="9"/>
      <c r="N3691" s="9"/>
      <c r="O3691" s="9"/>
      <c r="P3691" s="9"/>
      <c r="Q3691" s="9"/>
      <c r="R3691" s="9" t="str">
        <f aca="false">IF(AND(A3691&lt;&gt;"",ISNUMBER(Q3691),ISNUMBER(L3691)),ROUND(Q3691-IF(ISNUMBER(N3691),N3691,0)-IF(ISNUMBER(O3691),O3691,0)+IF(ISNUMBER(P3691),P3691,0),2),"")</f>
        <v/>
      </c>
      <c r="S3691" s="9" t="str">
        <f aca="false">IF(R3691="","",ROUND(L3691-R3691,2))</f>
        <v/>
      </c>
      <c r="T3691" s="8" t="str">
        <f aca="false">IF(A3691="","",IF(S3691="","BYPASS",IF(ABS(S3691)&lt;=Summary!$B$2,"PASS","FAIL")))</f>
        <v/>
      </c>
      <c r="U3691" s="8" t="str">
        <f aca="false">IF(T3691="BYPASS",IF(NOT(ISNUMBER(Q3691)),"PreV_ETB missing","End_tr_balance missing"),IF(T3691="FAIL",IF(AND(ISNUMBER(K3691),ISNUMBER(L3691),ABS(L3691-(K3691-IF(ISNUMBER(N3691),N3691,0)-IF(ISNUMBER(O3691),O3691,0)+IF(ISNUMBER(P3691),P3691,0)))&lt;=Summary!$B$2),"Passes using beginning_balance - PreV_ETB differs from beginning_balance",IF(AND(ISNUMBER(O3691),O3691&lt;0,ABS(L3691-(Q3691-IF(ISNUMBER(N3691),N3691,0)+IF(ISNUMBER(P3691),P3691,0)))&lt;=Summary!$B$2),"Negative realized loss not applied - check sign",IF(R3691&lt;0,"Principal paid exceeds prior balance",IF(AND(L3691&gt;Q3691,NOT(ISNUMBER(P3691))),"Balance increased but no Deferred_interest reported",IF(L3691&gt;R3691,"Reported balance higher than expected (missing increase/OC build)","Reported balance lower than expected (missing decrease)"))))),""))</f>
        <v/>
      </c>
    </row>
    <row r="3692" customFormat="false" ht="15" hidden="false" customHeight="false" outlineLevel="0" collapsed="false">
      <c r="A3692" s="8"/>
      <c r="B3692" s="8"/>
      <c r="C3692" s="8"/>
      <c r="D3692" s="8"/>
      <c r="E3692" s="8"/>
      <c r="F3692" s="8"/>
      <c r="G3692" s="8"/>
      <c r="H3692" s="8"/>
      <c r="I3692" s="8"/>
      <c r="J3692" s="8"/>
      <c r="K3692" s="9"/>
      <c r="L3692" s="9"/>
      <c r="M3692" s="9"/>
      <c r="N3692" s="9"/>
      <c r="O3692" s="9"/>
      <c r="P3692" s="9"/>
      <c r="Q3692" s="9"/>
      <c r="R3692" s="9" t="str">
        <f aca="false">IF(AND(A3692&lt;&gt;"",ISNUMBER(Q3692),ISNUMBER(L3692)),ROUND(Q3692-IF(ISNUMBER(N3692),N3692,0)-IF(ISNUMBER(O3692),O3692,0)+IF(ISNUMBER(P3692),P3692,0),2),"")</f>
        <v/>
      </c>
      <c r="S3692" s="9" t="str">
        <f aca="false">IF(R3692="","",ROUND(L3692-R3692,2))</f>
        <v/>
      </c>
      <c r="T3692" s="8" t="str">
        <f aca="false">IF(A3692="","",IF(S3692="","BYPASS",IF(ABS(S3692)&lt;=Summary!$B$2,"PASS","FAIL")))</f>
        <v/>
      </c>
      <c r="U3692" s="8" t="str">
        <f aca="false">IF(T3692="BYPASS",IF(NOT(ISNUMBER(Q3692)),"PreV_ETB missing","End_tr_balance missing"),IF(T3692="FAIL",IF(AND(ISNUMBER(K3692),ISNUMBER(L3692),ABS(L3692-(K3692-IF(ISNUMBER(N3692),N3692,0)-IF(ISNUMBER(O3692),O3692,0)+IF(ISNUMBER(P3692),P3692,0)))&lt;=Summary!$B$2),"Passes using beginning_balance - PreV_ETB differs from beginning_balance",IF(AND(ISNUMBER(O3692),O3692&lt;0,ABS(L3692-(Q3692-IF(ISNUMBER(N3692),N3692,0)+IF(ISNUMBER(P3692),P3692,0)))&lt;=Summary!$B$2),"Negative realized loss not applied - check sign",IF(R3692&lt;0,"Principal paid exceeds prior balance",IF(AND(L3692&gt;Q3692,NOT(ISNUMBER(P3692))),"Balance increased but no Deferred_interest reported",IF(L3692&gt;R3692,"Reported balance higher than expected (missing increase/OC build)","Reported balance lower than expected (missing decrease)"))))),""))</f>
        <v/>
      </c>
    </row>
    <row r="3693" customFormat="false" ht="15" hidden="false" customHeight="false" outlineLevel="0" collapsed="false">
      <c r="A3693" s="8"/>
      <c r="B3693" s="8"/>
      <c r="C3693" s="8"/>
      <c r="D3693" s="8"/>
      <c r="E3693" s="8"/>
      <c r="F3693" s="8"/>
      <c r="G3693" s="8"/>
      <c r="H3693" s="8"/>
      <c r="I3693" s="8"/>
      <c r="J3693" s="8"/>
      <c r="K3693" s="9"/>
      <c r="L3693" s="9"/>
      <c r="M3693" s="9"/>
      <c r="N3693" s="9"/>
      <c r="O3693" s="9"/>
      <c r="P3693" s="9"/>
      <c r="Q3693" s="9"/>
      <c r="R3693" s="9" t="str">
        <f aca="false">IF(AND(A3693&lt;&gt;"",ISNUMBER(Q3693),ISNUMBER(L3693)),ROUND(Q3693-IF(ISNUMBER(N3693),N3693,0)-IF(ISNUMBER(O3693),O3693,0)+IF(ISNUMBER(P3693),P3693,0),2),"")</f>
        <v/>
      </c>
      <c r="S3693" s="9" t="str">
        <f aca="false">IF(R3693="","",ROUND(L3693-R3693,2))</f>
        <v/>
      </c>
      <c r="T3693" s="8" t="str">
        <f aca="false">IF(A3693="","",IF(S3693="","BYPASS",IF(ABS(S3693)&lt;=Summary!$B$2,"PASS","FAIL")))</f>
        <v/>
      </c>
      <c r="U3693" s="8" t="str">
        <f aca="false">IF(T3693="BYPASS",IF(NOT(ISNUMBER(Q3693)),"PreV_ETB missing","End_tr_balance missing"),IF(T3693="FAIL",IF(AND(ISNUMBER(K3693),ISNUMBER(L3693),ABS(L3693-(K3693-IF(ISNUMBER(N3693),N3693,0)-IF(ISNUMBER(O3693),O3693,0)+IF(ISNUMBER(P3693),P3693,0)))&lt;=Summary!$B$2),"Passes using beginning_balance - PreV_ETB differs from beginning_balance",IF(AND(ISNUMBER(O3693),O3693&lt;0,ABS(L3693-(Q3693-IF(ISNUMBER(N3693),N3693,0)+IF(ISNUMBER(P3693),P3693,0)))&lt;=Summary!$B$2),"Negative realized loss not applied - check sign",IF(R3693&lt;0,"Principal paid exceeds prior balance",IF(AND(L3693&gt;Q3693,NOT(ISNUMBER(P3693))),"Balance increased but no Deferred_interest reported",IF(L3693&gt;R3693,"Reported balance higher than expected (missing increase/OC build)","Reported balance lower than expected (missing decrease)"))))),""))</f>
        <v/>
      </c>
    </row>
    <row r="3694" customFormat="false" ht="15" hidden="false" customHeight="false" outlineLevel="0" collapsed="false">
      <c r="A3694" s="8"/>
      <c r="B3694" s="8"/>
      <c r="C3694" s="8"/>
      <c r="D3694" s="8"/>
      <c r="E3694" s="8"/>
      <c r="F3694" s="8"/>
      <c r="G3694" s="8"/>
      <c r="H3694" s="8"/>
      <c r="I3694" s="8"/>
      <c r="J3694" s="8"/>
      <c r="K3694" s="9"/>
      <c r="L3694" s="9"/>
      <c r="M3694" s="9"/>
      <c r="N3694" s="9"/>
      <c r="O3694" s="9"/>
      <c r="P3694" s="9"/>
      <c r="Q3694" s="9"/>
      <c r="R3694" s="9" t="str">
        <f aca="false">IF(AND(A3694&lt;&gt;"",ISNUMBER(Q3694),ISNUMBER(L3694)),ROUND(Q3694-IF(ISNUMBER(N3694),N3694,0)-IF(ISNUMBER(O3694),O3694,0)+IF(ISNUMBER(P3694),P3694,0),2),"")</f>
        <v/>
      </c>
      <c r="S3694" s="9" t="str">
        <f aca="false">IF(R3694="","",ROUND(L3694-R3694,2))</f>
        <v/>
      </c>
      <c r="T3694" s="8" t="str">
        <f aca="false">IF(A3694="","",IF(S3694="","BYPASS",IF(ABS(S3694)&lt;=Summary!$B$2,"PASS","FAIL")))</f>
        <v/>
      </c>
      <c r="U3694" s="8" t="str">
        <f aca="false">IF(T3694="BYPASS",IF(NOT(ISNUMBER(Q3694)),"PreV_ETB missing","End_tr_balance missing"),IF(T3694="FAIL",IF(AND(ISNUMBER(K3694),ISNUMBER(L3694),ABS(L3694-(K3694-IF(ISNUMBER(N3694),N3694,0)-IF(ISNUMBER(O3694),O3694,0)+IF(ISNUMBER(P3694),P3694,0)))&lt;=Summary!$B$2),"Passes using beginning_balance - PreV_ETB differs from beginning_balance",IF(AND(ISNUMBER(O3694),O3694&lt;0,ABS(L3694-(Q3694-IF(ISNUMBER(N3694),N3694,0)+IF(ISNUMBER(P3694),P3694,0)))&lt;=Summary!$B$2),"Negative realized loss not applied - check sign",IF(R3694&lt;0,"Principal paid exceeds prior balance",IF(AND(L3694&gt;Q3694,NOT(ISNUMBER(P3694))),"Balance increased but no Deferred_interest reported",IF(L3694&gt;R3694,"Reported balance higher than expected (missing increase/OC build)","Reported balance lower than expected (missing decrease)"))))),""))</f>
        <v/>
      </c>
    </row>
    <row r="3695" customFormat="false" ht="15" hidden="false" customHeight="false" outlineLevel="0" collapsed="false">
      <c r="A3695" s="8"/>
      <c r="B3695" s="8"/>
      <c r="C3695" s="8"/>
      <c r="D3695" s="8"/>
      <c r="E3695" s="8"/>
      <c r="F3695" s="8"/>
      <c r="G3695" s="8"/>
      <c r="H3695" s="8"/>
      <c r="I3695" s="8"/>
      <c r="J3695" s="8"/>
      <c r="K3695" s="9"/>
      <c r="L3695" s="9"/>
      <c r="M3695" s="9"/>
      <c r="N3695" s="9"/>
      <c r="O3695" s="9"/>
      <c r="P3695" s="9"/>
      <c r="Q3695" s="9"/>
      <c r="R3695" s="9" t="str">
        <f aca="false">IF(AND(A3695&lt;&gt;"",ISNUMBER(Q3695),ISNUMBER(L3695)),ROUND(Q3695-IF(ISNUMBER(N3695),N3695,0)-IF(ISNUMBER(O3695),O3695,0)+IF(ISNUMBER(P3695),P3695,0),2),"")</f>
        <v/>
      </c>
      <c r="S3695" s="9" t="str">
        <f aca="false">IF(R3695="","",ROUND(L3695-R3695,2))</f>
        <v/>
      </c>
      <c r="T3695" s="8" t="str">
        <f aca="false">IF(A3695="","",IF(S3695="","BYPASS",IF(ABS(S3695)&lt;=Summary!$B$2,"PASS","FAIL")))</f>
        <v/>
      </c>
      <c r="U3695" s="8" t="str">
        <f aca="false">IF(T3695="BYPASS",IF(NOT(ISNUMBER(Q3695)),"PreV_ETB missing","End_tr_balance missing"),IF(T3695="FAIL",IF(AND(ISNUMBER(K3695),ISNUMBER(L3695),ABS(L3695-(K3695-IF(ISNUMBER(N3695),N3695,0)-IF(ISNUMBER(O3695),O3695,0)+IF(ISNUMBER(P3695),P3695,0)))&lt;=Summary!$B$2),"Passes using beginning_balance - PreV_ETB differs from beginning_balance",IF(AND(ISNUMBER(O3695),O3695&lt;0,ABS(L3695-(Q3695-IF(ISNUMBER(N3695),N3695,0)+IF(ISNUMBER(P3695),P3695,0)))&lt;=Summary!$B$2),"Negative realized loss not applied - check sign",IF(R3695&lt;0,"Principal paid exceeds prior balance",IF(AND(L3695&gt;Q3695,NOT(ISNUMBER(P3695))),"Balance increased but no Deferred_interest reported",IF(L3695&gt;R3695,"Reported balance higher than expected (missing increase/OC build)","Reported balance lower than expected (missing decrease)"))))),""))</f>
        <v/>
      </c>
    </row>
    <row r="3696" customFormat="false" ht="15" hidden="false" customHeight="false" outlineLevel="0" collapsed="false">
      <c r="A3696" s="8"/>
      <c r="B3696" s="8"/>
      <c r="C3696" s="8"/>
      <c r="D3696" s="8"/>
      <c r="E3696" s="8"/>
      <c r="F3696" s="8"/>
      <c r="G3696" s="8"/>
      <c r="H3696" s="8"/>
      <c r="I3696" s="8"/>
      <c r="J3696" s="8"/>
      <c r="K3696" s="9"/>
      <c r="L3696" s="9"/>
      <c r="M3696" s="9"/>
      <c r="N3696" s="9"/>
      <c r="O3696" s="9"/>
      <c r="P3696" s="9"/>
      <c r="Q3696" s="9"/>
      <c r="R3696" s="9" t="str">
        <f aca="false">IF(AND(A3696&lt;&gt;"",ISNUMBER(Q3696),ISNUMBER(L3696)),ROUND(Q3696-IF(ISNUMBER(N3696),N3696,0)-IF(ISNUMBER(O3696),O3696,0)+IF(ISNUMBER(P3696),P3696,0),2),"")</f>
        <v/>
      </c>
      <c r="S3696" s="9" t="str">
        <f aca="false">IF(R3696="","",ROUND(L3696-R3696,2))</f>
        <v/>
      </c>
      <c r="T3696" s="8" t="str">
        <f aca="false">IF(A3696="","",IF(S3696="","BYPASS",IF(ABS(S3696)&lt;=Summary!$B$2,"PASS","FAIL")))</f>
        <v/>
      </c>
      <c r="U3696" s="8" t="str">
        <f aca="false">IF(T3696="BYPASS",IF(NOT(ISNUMBER(Q3696)),"PreV_ETB missing","End_tr_balance missing"),IF(T3696="FAIL",IF(AND(ISNUMBER(K3696),ISNUMBER(L3696),ABS(L3696-(K3696-IF(ISNUMBER(N3696),N3696,0)-IF(ISNUMBER(O3696),O3696,0)+IF(ISNUMBER(P3696),P3696,0)))&lt;=Summary!$B$2),"Passes using beginning_balance - PreV_ETB differs from beginning_balance",IF(AND(ISNUMBER(O3696),O3696&lt;0,ABS(L3696-(Q3696-IF(ISNUMBER(N3696),N3696,0)+IF(ISNUMBER(P3696),P3696,0)))&lt;=Summary!$B$2),"Negative realized loss not applied - check sign",IF(R3696&lt;0,"Principal paid exceeds prior balance",IF(AND(L3696&gt;Q3696,NOT(ISNUMBER(P3696))),"Balance increased but no Deferred_interest reported",IF(L3696&gt;R3696,"Reported balance higher than expected (missing increase/OC build)","Reported balance lower than expected (missing decrease)"))))),""))</f>
        <v/>
      </c>
    </row>
    <row r="3697" customFormat="false" ht="15" hidden="false" customHeight="false" outlineLevel="0" collapsed="false">
      <c r="A3697" s="8"/>
      <c r="B3697" s="8"/>
      <c r="C3697" s="8"/>
      <c r="D3697" s="8"/>
      <c r="E3697" s="8"/>
      <c r="F3697" s="8"/>
      <c r="G3697" s="8"/>
      <c r="H3697" s="8"/>
      <c r="I3697" s="8"/>
      <c r="J3697" s="8"/>
      <c r="K3697" s="9"/>
      <c r="L3697" s="9"/>
      <c r="M3697" s="9"/>
      <c r="N3697" s="9"/>
      <c r="O3697" s="9"/>
      <c r="P3697" s="9"/>
      <c r="Q3697" s="9"/>
      <c r="R3697" s="9" t="str">
        <f aca="false">IF(AND(A3697&lt;&gt;"",ISNUMBER(Q3697),ISNUMBER(L3697)),ROUND(Q3697-IF(ISNUMBER(N3697),N3697,0)-IF(ISNUMBER(O3697),O3697,0)+IF(ISNUMBER(P3697),P3697,0),2),"")</f>
        <v/>
      </c>
      <c r="S3697" s="9" t="str">
        <f aca="false">IF(R3697="","",ROUND(L3697-R3697,2))</f>
        <v/>
      </c>
      <c r="T3697" s="8" t="str">
        <f aca="false">IF(A3697="","",IF(S3697="","BYPASS",IF(ABS(S3697)&lt;=Summary!$B$2,"PASS","FAIL")))</f>
        <v/>
      </c>
      <c r="U3697" s="8" t="str">
        <f aca="false">IF(T3697="BYPASS",IF(NOT(ISNUMBER(Q3697)),"PreV_ETB missing","End_tr_balance missing"),IF(T3697="FAIL",IF(AND(ISNUMBER(K3697),ISNUMBER(L3697),ABS(L3697-(K3697-IF(ISNUMBER(N3697),N3697,0)-IF(ISNUMBER(O3697),O3697,0)+IF(ISNUMBER(P3697),P3697,0)))&lt;=Summary!$B$2),"Passes using beginning_balance - PreV_ETB differs from beginning_balance",IF(AND(ISNUMBER(O3697),O3697&lt;0,ABS(L3697-(Q3697-IF(ISNUMBER(N3697),N3697,0)+IF(ISNUMBER(P3697),P3697,0)))&lt;=Summary!$B$2),"Negative realized loss not applied - check sign",IF(R3697&lt;0,"Principal paid exceeds prior balance",IF(AND(L3697&gt;Q3697,NOT(ISNUMBER(P3697))),"Balance increased but no Deferred_interest reported",IF(L3697&gt;R3697,"Reported balance higher than expected (missing increase/OC build)","Reported balance lower than expected (missing decrease)"))))),""))</f>
        <v/>
      </c>
    </row>
    <row r="3698" customFormat="false" ht="15" hidden="false" customHeight="false" outlineLevel="0" collapsed="false">
      <c r="A3698" s="8"/>
      <c r="B3698" s="8"/>
      <c r="C3698" s="8"/>
      <c r="D3698" s="8"/>
      <c r="E3698" s="8"/>
      <c r="F3698" s="8"/>
      <c r="G3698" s="8"/>
      <c r="H3698" s="8"/>
      <c r="I3698" s="8"/>
      <c r="J3698" s="8"/>
      <c r="K3698" s="9"/>
      <c r="L3698" s="9"/>
      <c r="M3698" s="9"/>
      <c r="N3698" s="9"/>
      <c r="O3698" s="9"/>
      <c r="P3698" s="9"/>
      <c r="Q3698" s="9"/>
      <c r="R3698" s="9" t="str">
        <f aca="false">IF(AND(A3698&lt;&gt;"",ISNUMBER(Q3698),ISNUMBER(L3698)),ROUND(Q3698-IF(ISNUMBER(N3698),N3698,0)-IF(ISNUMBER(O3698),O3698,0)+IF(ISNUMBER(P3698),P3698,0),2),"")</f>
        <v/>
      </c>
      <c r="S3698" s="9" t="str">
        <f aca="false">IF(R3698="","",ROUND(L3698-R3698,2))</f>
        <v/>
      </c>
      <c r="T3698" s="8" t="str">
        <f aca="false">IF(A3698="","",IF(S3698="","BYPASS",IF(ABS(S3698)&lt;=Summary!$B$2,"PASS","FAIL")))</f>
        <v/>
      </c>
      <c r="U3698" s="8" t="str">
        <f aca="false">IF(T3698="BYPASS",IF(NOT(ISNUMBER(Q3698)),"PreV_ETB missing","End_tr_balance missing"),IF(T3698="FAIL",IF(AND(ISNUMBER(K3698),ISNUMBER(L3698),ABS(L3698-(K3698-IF(ISNUMBER(N3698),N3698,0)-IF(ISNUMBER(O3698),O3698,0)+IF(ISNUMBER(P3698),P3698,0)))&lt;=Summary!$B$2),"Passes using beginning_balance - PreV_ETB differs from beginning_balance",IF(AND(ISNUMBER(O3698),O3698&lt;0,ABS(L3698-(Q3698-IF(ISNUMBER(N3698),N3698,0)+IF(ISNUMBER(P3698),P3698,0)))&lt;=Summary!$B$2),"Negative realized loss not applied - check sign",IF(R3698&lt;0,"Principal paid exceeds prior balance",IF(AND(L3698&gt;Q3698,NOT(ISNUMBER(P3698))),"Balance increased but no Deferred_interest reported",IF(L3698&gt;R3698,"Reported balance higher than expected (missing increase/OC build)","Reported balance lower than expected (missing decrease)"))))),""))</f>
        <v/>
      </c>
    </row>
    <row r="3699" customFormat="false" ht="15" hidden="false" customHeight="false" outlineLevel="0" collapsed="false">
      <c r="A3699" s="8"/>
      <c r="B3699" s="8"/>
      <c r="C3699" s="8"/>
      <c r="D3699" s="8"/>
      <c r="E3699" s="8"/>
      <c r="F3699" s="8"/>
      <c r="G3699" s="8"/>
      <c r="H3699" s="8"/>
      <c r="I3699" s="8"/>
      <c r="J3699" s="8"/>
      <c r="K3699" s="9"/>
      <c r="L3699" s="9"/>
      <c r="M3699" s="9"/>
      <c r="N3699" s="9"/>
      <c r="O3699" s="9"/>
      <c r="P3699" s="9"/>
      <c r="Q3699" s="9"/>
      <c r="R3699" s="9" t="str">
        <f aca="false">IF(AND(A3699&lt;&gt;"",ISNUMBER(Q3699),ISNUMBER(L3699)),ROUND(Q3699-IF(ISNUMBER(N3699),N3699,0)-IF(ISNUMBER(O3699),O3699,0)+IF(ISNUMBER(P3699),P3699,0),2),"")</f>
        <v/>
      </c>
      <c r="S3699" s="9" t="str">
        <f aca="false">IF(R3699="","",ROUND(L3699-R3699,2))</f>
        <v/>
      </c>
      <c r="T3699" s="8" t="str">
        <f aca="false">IF(A3699="","",IF(S3699="","BYPASS",IF(ABS(S3699)&lt;=Summary!$B$2,"PASS","FAIL")))</f>
        <v/>
      </c>
      <c r="U3699" s="8" t="str">
        <f aca="false">IF(T3699="BYPASS",IF(NOT(ISNUMBER(Q3699)),"PreV_ETB missing","End_tr_balance missing"),IF(T3699="FAIL",IF(AND(ISNUMBER(K3699),ISNUMBER(L3699),ABS(L3699-(K3699-IF(ISNUMBER(N3699),N3699,0)-IF(ISNUMBER(O3699),O3699,0)+IF(ISNUMBER(P3699),P3699,0)))&lt;=Summary!$B$2),"Passes using beginning_balance - PreV_ETB differs from beginning_balance",IF(AND(ISNUMBER(O3699),O3699&lt;0,ABS(L3699-(Q3699-IF(ISNUMBER(N3699),N3699,0)+IF(ISNUMBER(P3699),P3699,0)))&lt;=Summary!$B$2),"Negative realized loss not applied - check sign",IF(R3699&lt;0,"Principal paid exceeds prior balance",IF(AND(L3699&gt;Q3699,NOT(ISNUMBER(P3699))),"Balance increased but no Deferred_interest reported",IF(L3699&gt;R3699,"Reported balance higher than expected (missing increase/OC build)","Reported balance lower than expected (missing decrease)"))))),""))</f>
        <v/>
      </c>
    </row>
    <row r="3700" customFormat="false" ht="15" hidden="false" customHeight="false" outlineLevel="0" collapsed="false">
      <c r="A3700" s="8"/>
      <c r="B3700" s="8"/>
      <c r="C3700" s="8"/>
      <c r="D3700" s="8"/>
      <c r="E3700" s="8"/>
      <c r="F3700" s="8"/>
      <c r="G3700" s="8"/>
      <c r="H3700" s="8"/>
      <c r="I3700" s="8"/>
      <c r="J3700" s="8"/>
      <c r="K3700" s="9"/>
      <c r="L3700" s="9"/>
      <c r="M3700" s="9"/>
      <c r="N3700" s="9"/>
      <c r="O3700" s="9"/>
      <c r="P3700" s="9"/>
      <c r="Q3700" s="9"/>
      <c r="R3700" s="9" t="str">
        <f aca="false">IF(AND(A3700&lt;&gt;"",ISNUMBER(Q3700),ISNUMBER(L3700)),ROUND(Q3700-IF(ISNUMBER(N3700),N3700,0)-IF(ISNUMBER(O3700),O3700,0)+IF(ISNUMBER(P3700),P3700,0),2),"")</f>
        <v/>
      </c>
      <c r="S3700" s="9" t="str">
        <f aca="false">IF(R3700="","",ROUND(L3700-R3700,2))</f>
        <v/>
      </c>
      <c r="T3700" s="8" t="str">
        <f aca="false">IF(A3700="","",IF(S3700="","BYPASS",IF(ABS(S3700)&lt;=Summary!$B$2,"PASS","FAIL")))</f>
        <v/>
      </c>
      <c r="U3700" s="8" t="str">
        <f aca="false">IF(T3700="BYPASS",IF(NOT(ISNUMBER(Q3700)),"PreV_ETB missing","End_tr_balance missing"),IF(T3700="FAIL",IF(AND(ISNUMBER(K3700),ISNUMBER(L3700),ABS(L3700-(K3700-IF(ISNUMBER(N3700),N3700,0)-IF(ISNUMBER(O3700),O3700,0)+IF(ISNUMBER(P3700),P3700,0)))&lt;=Summary!$B$2),"Passes using beginning_balance - PreV_ETB differs from beginning_balance",IF(AND(ISNUMBER(O3700),O3700&lt;0,ABS(L3700-(Q3700-IF(ISNUMBER(N3700),N3700,0)+IF(ISNUMBER(P3700),P3700,0)))&lt;=Summary!$B$2),"Negative realized loss not applied - check sign",IF(R3700&lt;0,"Principal paid exceeds prior balance",IF(AND(L3700&gt;Q3700,NOT(ISNUMBER(P3700))),"Balance increased but no Deferred_interest reported",IF(L3700&gt;R3700,"Reported balance higher than expected (missing increase/OC build)","Reported balance lower than expected (missing decrease)"))))),""))</f>
        <v/>
      </c>
    </row>
    <row r="3701" customFormat="false" ht="15" hidden="false" customHeight="false" outlineLevel="0" collapsed="false">
      <c r="A3701" s="8"/>
      <c r="B3701" s="8"/>
      <c r="C3701" s="8"/>
      <c r="D3701" s="8"/>
      <c r="E3701" s="8"/>
      <c r="F3701" s="8"/>
      <c r="G3701" s="8"/>
      <c r="H3701" s="8"/>
      <c r="I3701" s="8"/>
      <c r="J3701" s="8"/>
      <c r="K3701" s="9"/>
      <c r="L3701" s="9"/>
      <c r="M3701" s="9"/>
      <c r="N3701" s="9"/>
      <c r="O3701" s="9"/>
      <c r="P3701" s="9"/>
      <c r="Q3701" s="9"/>
      <c r="R3701" s="9" t="str">
        <f aca="false">IF(AND(A3701&lt;&gt;"",ISNUMBER(Q3701),ISNUMBER(L3701)),ROUND(Q3701-IF(ISNUMBER(N3701),N3701,0)-IF(ISNUMBER(O3701),O3701,0)+IF(ISNUMBER(P3701),P3701,0),2),"")</f>
        <v/>
      </c>
      <c r="S3701" s="9" t="str">
        <f aca="false">IF(R3701="","",ROUND(L3701-R3701,2))</f>
        <v/>
      </c>
      <c r="T3701" s="8" t="str">
        <f aca="false">IF(A3701="","",IF(S3701="","BYPASS",IF(ABS(S3701)&lt;=Summary!$B$2,"PASS","FAIL")))</f>
        <v/>
      </c>
      <c r="U3701" s="8" t="str">
        <f aca="false">IF(T3701="BYPASS",IF(NOT(ISNUMBER(Q3701)),"PreV_ETB missing","End_tr_balance missing"),IF(T3701="FAIL",IF(AND(ISNUMBER(K3701),ISNUMBER(L3701),ABS(L3701-(K3701-IF(ISNUMBER(N3701),N3701,0)-IF(ISNUMBER(O3701),O3701,0)+IF(ISNUMBER(P3701),P3701,0)))&lt;=Summary!$B$2),"Passes using beginning_balance - PreV_ETB differs from beginning_balance",IF(AND(ISNUMBER(O3701),O3701&lt;0,ABS(L3701-(Q3701-IF(ISNUMBER(N3701),N3701,0)+IF(ISNUMBER(P3701),P3701,0)))&lt;=Summary!$B$2),"Negative realized loss not applied - check sign",IF(R3701&lt;0,"Principal paid exceeds prior balance",IF(AND(L3701&gt;Q3701,NOT(ISNUMBER(P3701))),"Balance increased but no Deferred_interest reported",IF(L3701&gt;R3701,"Reported balance higher than expected (missing increase/OC build)","Reported balance lower than expected (missing decrease)"))))),""))</f>
        <v/>
      </c>
    </row>
    <row r="3702" customFormat="false" ht="15" hidden="false" customHeight="false" outlineLevel="0" collapsed="false">
      <c r="A3702" s="8"/>
      <c r="B3702" s="8"/>
      <c r="C3702" s="8"/>
      <c r="D3702" s="8"/>
      <c r="E3702" s="8"/>
      <c r="F3702" s="8"/>
      <c r="G3702" s="8"/>
      <c r="H3702" s="8"/>
      <c r="I3702" s="8"/>
      <c r="J3702" s="8"/>
      <c r="K3702" s="9"/>
      <c r="L3702" s="9"/>
      <c r="M3702" s="9"/>
      <c r="N3702" s="9"/>
      <c r="O3702" s="9"/>
      <c r="P3702" s="9"/>
      <c r="Q3702" s="9"/>
      <c r="R3702" s="9" t="str">
        <f aca="false">IF(AND(A3702&lt;&gt;"",ISNUMBER(Q3702),ISNUMBER(L3702)),ROUND(Q3702-IF(ISNUMBER(N3702),N3702,0)-IF(ISNUMBER(O3702),O3702,0)+IF(ISNUMBER(P3702),P3702,0),2),"")</f>
        <v/>
      </c>
      <c r="S3702" s="9" t="str">
        <f aca="false">IF(R3702="","",ROUND(L3702-R3702,2))</f>
        <v/>
      </c>
      <c r="T3702" s="8" t="str">
        <f aca="false">IF(A3702="","",IF(S3702="","BYPASS",IF(ABS(S3702)&lt;=Summary!$B$2,"PASS","FAIL")))</f>
        <v/>
      </c>
      <c r="U3702" s="8" t="str">
        <f aca="false">IF(T3702="BYPASS",IF(NOT(ISNUMBER(Q3702)),"PreV_ETB missing","End_tr_balance missing"),IF(T3702="FAIL",IF(AND(ISNUMBER(K3702),ISNUMBER(L3702),ABS(L3702-(K3702-IF(ISNUMBER(N3702),N3702,0)-IF(ISNUMBER(O3702),O3702,0)+IF(ISNUMBER(P3702),P3702,0)))&lt;=Summary!$B$2),"Passes using beginning_balance - PreV_ETB differs from beginning_balance",IF(AND(ISNUMBER(O3702),O3702&lt;0,ABS(L3702-(Q3702-IF(ISNUMBER(N3702),N3702,0)+IF(ISNUMBER(P3702),P3702,0)))&lt;=Summary!$B$2),"Negative realized loss not applied - check sign",IF(R3702&lt;0,"Principal paid exceeds prior balance",IF(AND(L3702&gt;Q3702,NOT(ISNUMBER(P3702))),"Balance increased but no Deferred_interest reported",IF(L3702&gt;R3702,"Reported balance higher than expected (missing increase/OC build)","Reported balance lower than expected (missing decrease)"))))),""))</f>
        <v/>
      </c>
    </row>
    <row r="3703" customFormat="false" ht="15" hidden="false" customHeight="false" outlineLevel="0" collapsed="false">
      <c r="A3703" s="8"/>
      <c r="B3703" s="8"/>
      <c r="C3703" s="8"/>
      <c r="D3703" s="8"/>
      <c r="E3703" s="8"/>
      <c r="F3703" s="8"/>
      <c r="G3703" s="8"/>
      <c r="H3703" s="8"/>
      <c r="I3703" s="8"/>
      <c r="J3703" s="8"/>
      <c r="K3703" s="9"/>
      <c r="L3703" s="9"/>
      <c r="M3703" s="9"/>
      <c r="N3703" s="9"/>
      <c r="O3703" s="9"/>
      <c r="P3703" s="9"/>
      <c r="Q3703" s="9"/>
      <c r="R3703" s="9" t="str">
        <f aca="false">IF(AND(A3703&lt;&gt;"",ISNUMBER(Q3703),ISNUMBER(L3703)),ROUND(Q3703-IF(ISNUMBER(N3703),N3703,0)-IF(ISNUMBER(O3703),O3703,0)+IF(ISNUMBER(P3703),P3703,0),2),"")</f>
        <v/>
      </c>
      <c r="S3703" s="9" t="str">
        <f aca="false">IF(R3703="","",ROUND(L3703-R3703,2))</f>
        <v/>
      </c>
      <c r="T3703" s="8" t="str">
        <f aca="false">IF(A3703="","",IF(S3703="","BYPASS",IF(ABS(S3703)&lt;=Summary!$B$2,"PASS","FAIL")))</f>
        <v/>
      </c>
      <c r="U3703" s="8" t="str">
        <f aca="false">IF(T3703="BYPASS",IF(NOT(ISNUMBER(Q3703)),"PreV_ETB missing","End_tr_balance missing"),IF(T3703="FAIL",IF(AND(ISNUMBER(K3703),ISNUMBER(L3703),ABS(L3703-(K3703-IF(ISNUMBER(N3703),N3703,0)-IF(ISNUMBER(O3703),O3703,0)+IF(ISNUMBER(P3703),P3703,0)))&lt;=Summary!$B$2),"Passes using beginning_balance - PreV_ETB differs from beginning_balance",IF(AND(ISNUMBER(O3703),O3703&lt;0,ABS(L3703-(Q3703-IF(ISNUMBER(N3703),N3703,0)+IF(ISNUMBER(P3703),P3703,0)))&lt;=Summary!$B$2),"Negative realized loss not applied - check sign",IF(R3703&lt;0,"Principal paid exceeds prior balance",IF(AND(L3703&gt;Q3703,NOT(ISNUMBER(P3703))),"Balance increased but no Deferred_interest reported",IF(L3703&gt;R3703,"Reported balance higher than expected (missing increase/OC build)","Reported balance lower than expected (missing decrease)"))))),""))</f>
        <v/>
      </c>
    </row>
    <row r="3704" customFormat="false" ht="15" hidden="false" customHeight="false" outlineLevel="0" collapsed="false">
      <c r="A3704" s="8"/>
      <c r="B3704" s="8"/>
      <c r="C3704" s="8"/>
      <c r="D3704" s="8"/>
      <c r="E3704" s="8"/>
      <c r="F3704" s="8"/>
      <c r="G3704" s="8"/>
      <c r="H3704" s="8"/>
      <c r="I3704" s="8"/>
      <c r="J3704" s="8"/>
      <c r="K3704" s="9"/>
      <c r="L3704" s="9"/>
      <c r="M3704" s="9"/>
      <c r="N3704" s="9"/>
      <c r="O3704" s="9"/>
      <c r="P3704" s="9"/>
      <c r="Q3704" s="9"/>
      <c r="R3704" s="9" t="str">
        <f aca="false">IF(AND(A3704&lt;&gt;"",ISNUMBER(Q3704),ISNUMBER(L3704)),ROUND(Q3704-IF(ISNUMBER(N3704),N3704,0)-IF(ISNUMBER(O3704),O3704,0)+IF(ISNUMBER(P3704),P3704,0),2),"")</f>
        <v/>
      </c>
      <c r="S3704" s="9" t="str">
        <f aca="false">IF(R3704="","",ROUND(L3704-R3704,2))</f>
        <v/>
      </c>
      <c r="T3704" s="8" t="str">
        <f aca="false">IF(A3704="","",IF(S3704="","BYPASS",IF(ABS(S3704)&lt;=Summary!$B$2,"PASS","FAIL")))</f>
        <v/>
      </c>
      <c r="U3704" s="8" t="str">
        <f aca="false">IF(T3704="BYPASS",IF(NOT(ISNUMBER(Q3704)),"PreV_ETB missing","End_tr_balance missing"),IF(T3704="FAIL",IF(AND(ISNUMBER(K3704),ISNUMBER(L3704),ABS(L3704-(K3704-IF(ISNUMBER(N3704),N3704,0)-IF(ISNUMBER(O3704),O3704,0)+IF(ISNUMBER(P3704),P3704,0)))&lt;=Summary!$B$2),"Passes using beginning_balance - PreV_ETB differs from beginning_balance",IF(AND(ISNUMBER(O3704),O3704&lt;0,ABS(L3704-(Q3704-IF(ISNUMBER(N3704),N3704,0)+IF(ISNUMBER(P3704),P3704,0)))&lt;=Summary!$B$2),"Negative realized loss not applied - check sign",IF(R3704&lt;0,"Principal paid exceeds prior balance",IF(AND(L3704&gt;Q3704,NOT(ISNUMBER(P3704))),"Balance increased but no Deferred_interest reported",IF(L3704&gt;R3704,"Reported balance higher than expected (missing increase/OC build)","Reported balance lower than expected (missing decrease)"))))),""))</f>
        <v/>
      </c>
    </row>
    <row r="3705" customFormat="false" ht="15" hidden="false" customHeight="false" outlineLevel="0" collapsed="false">
      <c r="A3705" s="8"/>
      <c r="B3705" s="8"/>
      <c r="C3705" s="8"/>
      <c r="D3705" s="8"/>
      <c r="E3705" s="8"/>
      <c r="F3705" s="8"/>
      <c r="G3705" s="8"/>
      <c r="H3705" s="8"/>
      <c r="I3705" s="8"/>
      <c r="J3705" s="8"/>
      <c r="K3705" s="9"/>
      <c r="L3705" s="9"/>
      <c r="M3705" s="9"/>
      <c r="N3705" s="9"/>
      <c r="O3705" s="9"/>
      <c r="P3705" s="9"/>
      <c r="Q3705" s="9"/>
      <c r="R3705" s="9" t="str">
        <f aca="false">IF(AND(A3705&lt;&gt;"",ISNUMBER(Q3705),ISNUMBER(L3705)),ROUND(Q3705-IF(ISNUMBER(N3705),N3705,0)-IF(ISNUMBER(O3705),O3705,0)+IF(ISNUMBER(P3705),P3705,0),2),"")</f>
        <v/>
      </c>
      <c r="S3705" s="9" t="str">
        <f aca="false">IF(R3705="","",ROUND(L3705-R3705,2))</f>
        <v/>
      </c>
      <c r="T3705" s="8" t="str">
        <f aca="false">IF(A3705="","",IF(S3705="","BYPASS",IF(ABS(S3705)&lt;=Summary!$B$2,"PASS","FAIL")))</f>
        <v/>
      </c>
      <c r="U3705" s="8" t="str">
        <f aca="false">IF(T3705="BYPASS",IF(NOT(ISNUMBER(Q3705)),"PreV_ETB missing","End_tr_balance missing"),IF(T3705="FAIL",IF(AND(ISNUMBER(K3705),ISNUMBER(L3705),ABS(L3705-(K3705-IF(ISNUMBER(N3705),N3705,0)-IF(ISNUMBER(O3705),O3705,0)+IF(ISNUMBER(P3705),P3705,0)))&lt;=Summary!$B$2),"Passes using beginning_balance - PreV_ETB differs from beginning_balance",IF(AND(ISNUMBER(O3705),O3705&lt;0,ABS(L3705-(Q3705-IF(ISNUMBER(N3705),N3705,0)+IF(ISNUMBER(P3705),P3705,0)))&lt;=Summary!$B$2),"Negative realized loss not applied - check sign",IF(R3705&lt;0,"Principal paid exceeds prior balance",IF(AND(L3705&gt;Q3705,NOT(ISNUMBER(P3705))),"Balance increased but no Deferred_interest reported",IF(L3705&gt;R3705,"Reported balance higher than expected (missing increase/OC build)","Reported balance lower than expected (missing decrease)"))))),""))</f>
        <v/>
      </c>
    </row>
    <row r="3706" customFormat="false" ht="15" hidden="false" customHeight="false" outlineLevel="0" collapsed="false">
      <c r="A3706" s="8"/>
      <c r="B3706" s="8"/>
      <c r="C3706" s="8"/>
      <c r="D3706" s="8"/>
      <c r="E3706" s="8"/>
      <c r="F3706" s="8"/>
      <c r="G3706" s="8"/>
      <c r="H3706" s="8"/>
      <c r="I3706" s="8"/>
      <c r="J3706" s="8"/>
      <c r="K3706" s="9"/>
      <c r="L3706" s="9"/>
      <c r="M3706" s="9"/>
      <c r="N3706" s="9"/>
      <c r="O3706" s="9"/>
      <c r="P3706" s="9"/>
      <c r="Q3706" s="9"/>
      <c r="R3706" s="9" t="str">
        <f aca="false">IF(AND(A3706&lt;&gt;"",ISNUMBER(Q3706),ISNUMBER(L3706)),ROUND(Q3706-IF(ISNUMBER(N3706),N3706,0)-IF(ISNUMBER(O3706),O3706,0)+IF(ISNUMBER(P3706),P3706,0),2),"")</f>
        <v/>
      </c>
      <c r="S3706" s="9" t="str">
        <f aca="false">IF(R3706="","",ROUND(L3706-R3706,2))</f>
        <v/>
      </c>
      <c r="T3706" s="8" t="str">
        <f aca="false">IF(A3706="","",IF(S3706="","BYPASS",IF(ABS(S3706)&lt;=Summary!$B$2,"PASS","FAIL")))</f>
        <v/>
      </c>
      <c r="U3706" s="8" t="str">
        <f aca="false">IF(T3706="BYPASS",IF(NOT(ISNUMBER(Q3706)),"PreV_ETB missing","End_tr_balance missing"),IF(T3706="FAIL",IF(AND(ISNUMBER(K3706),ISNUMBER(L3706),ABS(L3706-(K3706-IF(ISNUMBER(N3706),N3706,0)-IF(ISNUMBER(O3706),O3706,0)+IF(ISNUMBER(P3706),P3706,0)))&lt;=Summary!$B$2),"Passes using beginning_balance - PreV_ETB differs from beginning_balance",IF(AND(ISNUMBER(O3706),O3706&lt;0,ABS(L3706-(Q3706-IF(ISNUMBER(N3706),N3706,0)+IF(ISNUMBER(P3706),P3706,0)))&lt;=Summary!$B$2),"Negative realized loss not applied - check sign",IF(R3706&lt;0,"Principal paid exceeds prior balance",IF(AND(L3706&gt;Q3706,NOT(ISNUMBER(P3706))),"Balance increased but no Deferred_interest reported",IF(L3706&gt;R3706,"Reported balance higher than expected (missing increase/OC build)","Reported balance lower than expected (missing decrease)"))))),""))</f>
        <v/>
      </c>
    </row>
    <row r="3707" customFormat="false" ht="15" hidden="false" customHeight="false" outlineLevel="0" collapsed="false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9"/>
      <c r="L3707" s="9"/>
      <c r="M3707" s="9"/>
      <c r="N3707" s="9"/>
      <c r="O3707" s="9"/>
      <c r="P3707" s="9"/>
      <c r="Q3707" s="9"/>
      <c r="R3707" s="9" t="str">
        <f aca="false">IF(AND(A3707&lt;&gt;"",ISNUMBER(Q3707),ISNUMBER(L3707)),ROUND(Q3707-IF(ISNUMBER(N3707),N3707,0)-IF(ISNUMBER(O3707),O3707,0)+IF(ISNUMBER(P3707),P3707,0),2),"")</f>
        <v/>
      </c>
      <c r="S3707" s="9" t="str">
        <f aca="false">IF(R3707="","",ROUND(L3707-R3707,2))</f>
        <v/>
      </c>
      <c r="T3707" s="8" t="str">
        <f aca="false">IF(A3707="","",IF(S3707="","BYPASS",IF(ABS(S3707)&lt;=Summary!$B$2,"PASS","FAIL")))</f>
        <v/>
      </c>
      <c r="U3707" s="8" t="str">
        <f aca="false">IF(T3707="BYPASS",IF(NOT(ISNUMBER(Q3707)),"PreV_ETB missing","End_tr_balance missing"),IF(T3707="FAIL",IF(AND(ISNUMBER(K3707),ISNUMBER(L3707),ABS(L3707-(K3707-IF(ISNUMBER(N3707),N3707,0)-IF(ISNUMBER(O3707),O3707,0)+IF(ISNUMBER(P3707),P3707,0)))&lt;=Summary!$B$2),"Passes using beginning_balance - PreV_ETB differs from beginning_balance",IF(AND(ISNUMBER(O3707),O3707&lt;0,ABS(L3707-(Q3707-IF(ISNUMBER(N3707),N3707,0)+IF(ISNUMBER(P3707),P3707,0)))&lt;=Summary!$B$2),"Negative realized loss not applied - check sign",IF(R3707&lt;0,"Principal paid exceeds prior balance",IF(AND(L3707&gt;Q3707,NOT(ISNUMBER(P3707))),"Balance increased but no Deferred_interest reported",IF(L3707&gt;R3707,"Reported balance higher than expected (missing increase/OC build)","Reported balance lower than expected (missing decrease)"))))),""))</f>
        <v/>
      </c>
    </row>
    <row r="3708" customFormat="false" ht="15" hidden="false" customHeight="false" outlineLevel="0" collapsed="false">
      <c r="A3708" s="8"/>
      <c r="B3708" s="8"/>
      <c r="C3708" s="8"/>
      <c r="D3708" s="8"/>
      <c r="E3708" s="8"/>
      <c r="F3708" s="8"/>
      <c r="G3708" s="8"/>
      <c r="H3708" s="8"/>
      <c r="I3708" s="8"/>
      <c r="J3708" s="8"/>
      <c r="K3708" s="9"/>
      <c r="L3708" s="9"/>
      <c r="M3708" s="9"/>
      <c r="N3708" s="9"/>
      <c r="O3708" s="9"/>
      <c r="P3708" s="9"/>
      <c r="Q3708" s="9"/>
      <c r="R3708" s="9" t="str">
        <f aca="false">IF(AND(A3708&lt;&gt;"",ISNUMBER(Q3708),ISNUMBER(L3708)),ROUND(Q3708-IF(ISNUMBER(N3708),N3708,0)-IF(ISNUMBER(O3708),O3708,0)+IF(ISNUMBER(P3708),P3708,0),2),"")</f>
        <v/>
      </c>
      <c r="S3708" s="9" t="str">
        <f aca="false">IF(R3708="","",ROUND(L3708-R3708,2))</f>
        <v/>
      </c>
      <c r="T3708" s="8" t="str">
        <f aca="false">IF(A3708="","",IF(S3708="","BYPASS",IF(ABS(S3708)&lt;=Summary!$B$2,"PASS","FAIL")))</f>
        <v/>
      </c>
      <c r="U3708" s="8" t="str">
        <f aca="false">IF(T3708="BYPASS",IF(NOT(ISNUMBER(Q3708)),"PreV_ETB missing","End_tr_balance missing"),IF(T3708="FAIL",IF(AND(ISNUMBER(K3708),ISNUMBER(L3708),ABS(L3708-(K3708-IF(ISNUMBER(N3708),N3708,0)-IF(ISNUMBER(O3708),O3708,0)+IF(ISNUMBER(P3708),P3708,0)))&lt;=Summary!$B$2),"Passes using beginning_balance - PreV_ETB differs from beginning_balance",IF(AND(ISNUMBER(O3708),O3708&lt;0,ABS(L3708-(Q3708-IF(ISNUMBER(N3708),N3708,0)+IF(ISNUMBER(P3708),P3708,0)))&lt;=Summary!$B$2),"Negative realized loss not applied - check sign",IF(R3708&lt;0,"Principal paid exceeds prior balance",IF(AND(L3708&gt;Q3708,NOT(ISNUMBER(P3708))),"Balance increased but no Deferred_interest reported",IF(L3708&gt;R3708,"Reported balance higher than expected (missing increase/OC build)","Reported balance lower than expected (missing decrease)"))))),""))</f>
        <v/>
      </c>
    </row>
    <row r="3709" customFormat="false" ht="15" hidden="false" customHeight="false" outlineLevel="0" collapsed="false">
      <c r="A3709" s="8"/>
      <c r="B3709" s="8"/>
      <c r="C3709" s="8"/>
      <c r="D3709" s="8"/>
      <c r="E3709" s="8"/>
      <c r="F3709" s="8"/>
      <c r="G3709" s="8"/>
      <c r="H3709" s="8"/>
      <c r="I3709" s="8"/>
      <c r="J3709" s="8"/>
      <c r="K3709" s="9"/>
      <c r="L3709" s="9"/>
      <c r="M3709" s="9"/>
      <c r="N3709" s="9"/>
      <c r="O3709" s="9"/>
      <c r="P3709" s="9"/>
      <c r="Q3709" s="9"/>
      <c r="R3709" s="9" t="str">
        <f aca="false">IF(AND(A3709&lt;&gt;"",ISNUMBER(Q3709),ISNUMBER(L3709)),ROUND(Q3709-IF(ISNUMBER(N3709),N3709,0)-IF(ISNUMBER(O3709),O3709,0)+IF(ISNUMBER(P3709),P3709,0),2),"")</f>
        <v/>
      </c>
      <c r="S3709" s="9" t="str">
        <f aca="false">IF(R3709="","",ROUND(L3709-R3709,2))</f>
        <v/>
      </c>
      <c r="T3709" s="8" t="str">
        <f aca="false">IF(A3709="","",IF(S3709="","BYPASS",IF(ABS(S3709)&lt;=Summary!$B$2,"PASS","FAIL")))</f>
        <v/>
      </c>
      <c r="U3709" s="8" t="str">
        <f aca="false">IF(T3709="BYPASS",IF(NOT(ISNUMBER(Q3709)),"PreV_ETB missing","End_tr_balance missing"),IF(T3709="FAIL",IF(AND(ISNUMBER(K3709),ISNUMBER(L3709),ABS(L3709-(K3709-IF(ISNUMBER(N3709),N3709,0)-IF(ISNUMBER(O3709),O3709,0)+IF(ISNUMBER(P3709),P3709,0)))&lt;=Summary!$B$2),"Passes using beginning_balance - PreV_ETB differs from beginning_balance",IF(AND(ISNUMBER(O3709),O3709&lt;0,ABS(L3709-(Q3709-IF(ISNUMBER(N3709),N3709,0)+IF(ISNUMBER(P3709),P3709,0)))&lt;=Summary!$B$2),"Negative realized loss not applied - check sign",IF(R3709&lt;0,"Principal paid exceeds prior balance",IF(AND(L3709&gt;Q3709,NOT(ISNUMBER(P3709))),"Balance increased but no Deferred_interest reported",IF(L3709&gt;R3709,"Reported balance higher than expected (missing increase/OC build)","Reported balance lower than expected (missing decrease)"))))),""))</f>
        <v/>
      </c>
    </row>
    <row r="3710" customFormat="false" ht="15" hidden="false" customHeight="false" outlineLevel="0" collapsed="false">
      <c r="A3710" s="8"/>
      <c r="B3710" s="8"/>
      <c r="C3710" s="8"/>
      <c r="D3710" s="8"/>
      <c r="E3710" s="8"/>
      <c r="F3710" s="8"/>
      <c r="G3710" s="8"/>
      <c r="H3710" s="8"/>
      <c r="I3710" s="8"/>
      <c r="J3710" s="8"/>
      <c r="K3710" s="9"/>
      <c r="L3710" s="9"/>
      <c r="M3710" s="9"/>
      <c r="N3710" s="9"/>
      <c r="O3710" s="9"/>
      <c r="P3710" s="9"/>
      <c r="Q3710" s="9"/>
      <c r="R3710" s="9" t="str">
        <f aca="false">IF(AND(A3710&lt;&gt;"",ISNUMBER(Q3710),ISNUMBER(L3710)),ROUND(Q3710-IF(ISNUMBER(N3710),N3710,0)-IF(ISNUMBER(O3710),O3710,0)+IF(ISNUMBER(P3710),P3710,0),2),"")</f>
        <v/>
      </c>
      <c r="S3710" s="9" t="str">
        <f aca="false">IF(R3710="","",ROUND(L3710-R3710,2))</f>
        <v/>
      </c>
      <c r="T3710" s="8" t="str">
        <f aca="false">IF(A3710="","",IF(S3710="","BYPASS",IF(ABS(S3710)&lt;=Summary!$B$2,"PASS","FAIL")))</f>
        <v/>
      </c>
      <c r="U3710" s="8" t="str">
        <f aca="false">IF(T3710="BYPASS",IF(NOT(ISNUMBER(Q3710)),"PreV_ETB missing","End_tr_balance missing"),IF(T3710="FAIL",IF(AND(ISNUMBER(K3710),ISNUMBER(L3710),ABS(L3710-(K3710-IF(ISNUMBER(N3710),N3710,0)-IF(ISNUMBER(O3710),O3710,0)+IF(ISNUMBER(P3710),P3710,0)))&lt;=Summary!$B$2),"Passes using beginning_balance - PreV_ETB differs from beginning_balance",IF(AND(ISNUMBER(O3710),O3710&lt;0,ABS(L3710-(Q3710-IF(ISNUMBER(N3710),N3710,0)+IF(ISNUMBER(P3710),P3710,0)))&lt;=Summary!$B$2),"Negative realized loss not applied - check sign",IF(R3710&lt;0,"Principal paid exceeds prior balance",IF(AND(L3710&gt;Q3710,NOT(ISNUMBER(P3710))),"Balance increased but no Deferred_interest reported",IF(L3710&gt;R3710,"Reported balance higher than expected (missing increase/OC build)","Reported balance lower than expected (missing decrease)"))))),""))</f>
        <v/>
      </c>
    </row>
    <row r="3711" customFormat="false" ht="15" hidden="false" customHeight="false" outlineLevel="0" collapsed="false">
      <c r="A3711" s="8"/>
      <c r="B3711" s="8"/>
      <c r="C3711" s="8"/>
      <c r="D3711" s="8"/>
      <c r="E3711" s="8"/>
      <c r="F3711" s="8"/>
      <c r="G3711" s="8"/>
      <c r="H3711" s="8"/>
      <c r="I3711" s="8"/>
      <c r="J3711" s="8"/>
      <c r="K3711" s="9"/>
      <c r="L3711" s="9"/>
      <c r="M3711" s="9"/>
      <c r="N3711" s="9"/>
      <c r="O3711" s="9"/>
      <c r="P3711" s="9"/>
      <c r="Q3711" s="9"/>
      <c r="R3711" s="9" t="str">
        <f aca="false">IF(AND(A3711&lt;&gt;"",ISNUMBER(Q3711),ISNUMBER(L3711)),ROUND(Q3711-IF(ISNUMBER(N3711),N3711,0)-IF(ISNUMBER(O3711),O3711,0)+IF(ISNUMBER(P3711),P3711,0),2),"")</f>
        <v/>
      </c>
      <c r="S3711" s="9" t="str">
        <f aca="false">IF(R3711="","",ROUND(L3711-R3711,2))</f>
        <v/>
      </c>
      <c r="T3711" s="8" t="str">
        <f aca="false">IF(A3711="","",IF(S3711="","BYPASS",IF(ABS(S3711)&lt;=Summary!$B$2,"PASS","FAIL")))</f>
        <v/>
      </c>
      <c r="U3711" s="8" t="str">
        <f aca="false">IF(T3711="BYPASS",IF(NOT(ISNUMBER(Q3711)),"PreV_ETB missing","End_tr_balance missing"),IF(T3711="FAIL",IF(AND(ISNUMBER(K3711),ISNUMBER(L3711),ABS(L3711-(K3711-IF(ISNUMBER(N3711),N3711,0)-IF(ISNUMBER(O3711),O3711,0)+IF(ISNUMBER(P3711),P3711,0)))&lt;=Summary!$B$2),"Passes using beginning_balance - PreV_ETB differs from beginning_balance",IF(AND(ISNUMBER(O3711),O3711&lt;0,ABS(L3711-(Q3711-IF(ISNUMBER(N3711),N3711,0)+IF(ISNUMBER(P3711),P3711,0)))&lt;=Summary!$B$2),"Negative realized loss not applied - check sign",IF(R3711&lt;0,"Principal paid exceeds prior balance",IF(AND(L3711&gt;Q3711,NOT(ISNUMBER(P3711))),"Balance increased but no Deferred_interest reported",IF(L3711&gt;R3711,"Reported balance higher than expected (missing increase/OC build)","Reported balance lower than expected (missing decrease)"))))),""))</f>
        <v/>
      </c>
    </row>
    <row r="3712" customFormat="false" ht="15" hidden="false" customHeight="false" outlineLevel="0" collapsed="false">
      <c r="A3712" s="8"/>
      <c r="B3712" s="8"/>
      <c r="C3712" s="8"/>
      <c r="D3712" s="8"/>
      <c r="E3712" s="8"/>
      <c r="F3712" s="8"/>
      <c r="G3712" s="8"/>
      <c r="H3712" s="8"/>
      <c r="I3712" s="8"/>
      <c r="J3712" s="8"/>
      <c r="K3712" s="9"/>
      <c r="L3712" s="9"/>
      <c r="M3712" s="9"/>
      <c r="N3712" s="9"/>
      <c r="O3712" s="9"/>
      <c r="P3712" s="9"/>
      <c r="Q3712" s="9"/>
      <c r="R3712" s="9" t="str">
        <f aca="false">IF(AND(A3712&lt;&gt;"",ISNUMBER(Q3712),ISNUMBER(L3712)),ROUND(Q3712-IF(ISNUMBER(N3712),N3712,0)-IF(ISNUMBER(O3712),O3712,0)+IF(ISNUMBER(P3712),P3712,0),2),"")</f>
        <v/>
      </c>
      <c r="S3712" s="9" t="str">
        <f aca="false">IF(R3712="","",ROUND(L3712-R3712,2))</f>
        <v/>
      </c>
      <c r="T3712" s="8" t="str">
        <f aca="false">IF(A3712="","",IF(S3712="","BYPASS",IF(ABS(S3712)&lt;=Summary!$B$2,"PASS","FAIL")))</f>
        <v/>
      </c>
      <c r="U3712" s="8" t="str">
        <f aca="false">IF(T3712="BYPASS",IF(NOT(ISNUMBER(Q3712)),"PreV_ETB missing","End_tr_balance missing"),IF(T3712="FAIL",IF(AND(ISNUMBER(K3712),ISNUMBER(L3712),ABS(L3712-(K3712-IF(ISNUMBER(N3712),N3712,0)-IF(ISNUMBER(O3712),O3712,0)+IF(ISNUMBER(P3712),P3712,0)))&lt;=Summary!$B$2),"Passes using beginning_balance - PreV_ETB differs from beginning_balance",IF(AND(ISNUMBER(O3712),O3712&lt;0,ABS(L3712-(Q3712-IF(ISNUMBER(N3712),N3712,0)+IF(ISNUMBER(P3712),P3712,0)))&lt;=Summary!$B$2),"Negative realized loss not applied - check sign",IF(R3712&lt;0,"Principal paid exceeds prior balance",IF(AND(L3712&gt;Q3712,NOT(ISNUMBER(P3712))),"Balance increased but no Deferred_interest reported",IF(L3712&gt;R3712,"Reported balance higher than expected (missing increase/OC build)","Reported balance lower than expected (missing decrease)"))))),""))</f>
        <v/>
      </c>
    </row>
    <row r="3713" customFormat="false" ht="15" hidden="false" customHeight="false" outlineLevel="0" collapsed="false">
      <c r="A3713" s="8"/>
      <c r="B3713" s="8"/>
      <c r="C3713" s="8"/>
      <c r="D3713" s="8"/>
      <c r="E3713" s="8"/>
      <c r="F3713" s="8"/>
      <c r="G3713" s="8"/>
      <c r="H3713" s="8"/>
      <c r="I3713" s="8"/>
      <c r="J3713" s="8"/>
      <c r="K3713" s="9"/>
      <c r="L3713" s="9"/>
      <c r="M3713" s="9"/>
      <c r="N3713" s="9"/>
      <c r="O3713" s="9"/>
      <c r="P3713" s="9"/>
      <c r="Q3713" s="9"/>
      <c r="R3713" s="9" t="str">
        <f aca="false">IF(AND(A3713&lt;&gt;"",ISNUMBER(Q3713),ISNUMBER(L3713)),ROUND(Q3713-IF(ISNUMBER(N3713),N3713,0)-IF(ISNUMBER(O3713),O3713,0)+IF(ISNUMBER(P3713),P3713,0),2),"")</f>
        <v/>
      </c>
      <c r="S3713" s="9" t="str">
        <f aca="false">IF(R3713="","",ROUND(L3713-R3713,2))</f>
        <v/>
      </c>
      <c r="T3713" s="8" t="str">
        <f aca="false">IF(A3713="","",IF(S3713="","BYPASS",IF(ABS(S3713)&lt;=Summary!$B$2,"PASS","FAIL")))</f>
        <v/>
      </c>
      <c r="U3713" s="8" t="str">
        <f aca="false">IF(T3713="BYPASS",IF(NOT(ISNUMBER(Q3713)),"PreV_ETB missing","End_tr_balance missing"),IF(T3713="FAIL",IF(AND(ISNUMBER(K3713),ISNUMBER(L3713),ABS(L3713-(K3713-IF(ISNUMBER(N3713),N3713,0)-IF(ISNUMBER(O3713),O3713,0)+IF(ISNUMBER(P3713),P3713,0)))&lt;=Summary!$B$2),"Passes using beginning_balance - PreV_ETB differs from beginning_balance",IF(AND(ISNUMBER(O3713),O3713&lt;0,ABS(L3713-(Q3713-IF(ISNUMBER(N3713),N3713,0)+IF(ISNUMBER(P3713),P3713,0)))&lt;=Summary!$B$2),"Negative realized loss not applied - check sign",IF(R3713&lt;0,"Principal paid exceeds prior balance",IF(AND(L3713&gt;Q3713,NOT(ISNUMBER(P3713))),"Balance increased but no Deferred_interest reported",IF(L3713&gt;R3713,"Reported balance higher than expected (missing increase/OC build)","Reported balance lower than expected (missing decrease)"))))),""))</f>
        <v/>
      </c>
    </row>
    <row r="3714" customFormat="false" ht="15" hidden="false" customHeight="false" outlineLevel="0" collapsed="false">
      <c r="A3714" s="8"/>
      <c r="B3714" s="8"/>
      <c r="C3714" s="8"/>
      <c r="D3714" s="8"/>
      <c r="E3714" s="8"/>
      <c r="F3714" s="8"/>
      <c r="G3714" s="8"/>
      <c r="H3714" s="8"/>
      <c r="I3714" s="8"/>
      <c r="J3714" s="8"/>
      <c r="K3714" s="9"/>
      <c r="L3714" s="9"/>
      <c r="M3714" s="9"/>
      <c r="N3714" s="9"/>
      <c r="O3714" s="9"/>
      <c r="P3714" s="9"/>
      <c r="Q3714" s="9"/>
      <c r="R3714" s="9" t="str">
        <f aca="false">IF(AND(A3714&lt;&gt;"",ISNUMBER(Q3714),ISNUMBER(L3714)),ROUND(Q3714-IF(ISNUMBER(N3714),N3714,0)-IF(ISNUMBER(O3714),O3714,0)+IF(ISNUMBER(P3714),P3714,0),2),"")</f>
        <v/>
      </c>
      <c r="S3714" s="9" t="str">
        <f aca="false">IF(R3714="","",ROUND(L3714-R3714,2))</f>
        <v/>
      </c>
      <c r="T3714" s="8" t="str">
        <f aca="false">IF(A3714="","",IF(S3714="","BYPASS",IF(ABS(S3714)&lt;=Summary!$B$2,"PASS","FAIL")))</f>
        <v/>
      </c>
      <c r="U3714" s="8" t="str">
        <f aca="false">IF(T3714="BYPASS",IF(NOT(ISNUMBER(Q3714)),"PreV_ETB missing","End_tr_balance missing"),IF(T3714="FAIL",IF(AND(ISNUMBER(K3714),ISNUMBER(L3714),ABS(L3714-(K3714-IF(ISNUMBER(N3714),N3714,0)-IF(ISNUMBER(O3714),O3714,0)+IF(ISNUMBER(P3714),P3714,0)))&lt;=Summary!$B$2),"Passes using beginning_balance - PreV_ETB differs from beginning_balance",IF(AND(ISNUMBER(O3714),O3714&lt;0,ABS(L3714-(Q3714-IF(ISNUMBER(N3714),N3714,0)+IF(ISNUMBER(P3714),P3714,0)))&lt;=Summary!$B$2),"Negative realized loss not applied - check sign",IF(R3714&lt;0,"Principal paid exceeds prior balance",IF(AND(L3714&gt;Q3714,NOT(ISNUMBER(P3714))),"Balance increased but no Deferred_interest reported",IF(L3714&gt;R3714,"Reported balance higher than expected (missing increase/OC build)","Reported balance lower than expected (missing decrease)"))))),""))</f>
        <v/>
      </c>
    </row>
    <row r="3715" customFormat="false" ht="15" hidden="false" customHeight="false" outlineLevel="0" collapsed="false">
      <c r="A3715" s="8"/>
      <c r="B3715" s="8"/>
      <c r="C3715" s="8"/>
      <c r="D3715" s="8"/>
      <c r="E3715" s="8"/>
      <c r="F3715" s="8"/>
      <c r="G3715" s="8"/>
      <c r="H3715" s="8"/>
      <c r="I3715" s="8"/>
      <c r="J3715" s="8"/>
      <c r="K3715" s="9"/>
      <c r="L3715" s="9"/>
      <c r="M3715" s="9"/>
      <c r="N3715" s="9"/>
      <c r="O3715" s="9"/>
      <c r="P3715" s="9"/>
      <c r="Q3715" s="9"/>
      <c r="R3715" s="9" t="str">
        <f aca="false">IF(AND(A3715&lt;&gt;"",ISNUMBER(Q3715),ISNUMBER(L3715)),ROUND(Q3715-IF(ISNUMBER(N3715),N3715,0)-IF(ISNUMBER(O3715),O3715,0)+IF(ISNUMBER(P3715),P3715,0),2),"")</f>
        <v/>
      </c>
      <c r="S3715" s="9" t="str">
        <f aca="false">IF(R3715="","",ROUND(L3715-R3715,2))</f>
        <v/>
      </c>
      <c r="T3715" s="8" t="str">
        <f aca="false">IF(A3715="","",IF(S3715="","BYPASS",IF(ABS(S3715)&lt;=Summary!$B$2,"PASS","FAIL")))</f>
        <v/>
      </c>
      <c r="U3715" s="8" t="str">
        <f aca="false">IF(T3715="BYPASS",IF(NOT(ISNUMBER(Q3715)),"PreV_ETB missing","End_tr_balance missing"),IF(T3715="FAIL",IF(AND(ISNUMBER(K3715),ISNUMBER(L3715),ABS(L3715-(K3715-IF(ISNUMBER(N3715),N3715,0)-IF(ISNUMBER(O3715),O3715,0)+IF(ISNUMBER(P3715),P3715,0)))&lt;=Summary!$B$2),"Passes using beginning_balance - PreV_ETB differs from beginning_balance",IF(AND(ISNUMBER(O3715),O3715&lt;0,ABS(L3715-(Q3715-IF(ISNUMBER(N3715),N3715,0)+IF(ISNUMBER(P3715),P3715,0)))&lt;=Summary!$B$2),"Negative realized loss not applied - check sign",IF(R3715&lt;0,"Principal paid exceeds prior balance",IF(AND(L3715&gt;Q3715,NOT(ISNUMBER(P3715))),"Balance increased but no Deferred_interest reported",IF(L3715&gt;R3715,"Reported balance higher than expected (missing increase/OC build)","Reported balance lower than expected (missing decrease)"))))),""))</f>
        <v/>
      </c>
    </row>
    <row r="3716" customFormat="false" ht="15" hidden="false" customHeight="false" outlineLevel="0" collapsed="false">
      <c r="A3716" s="8"/>
      <c r="B3716" s="8"/>
      <c r="C3716" s="8"/>
      <c r="D3716" s="8"/>
      <c r="E3716" s="8"/>
      <c r="F3716" s="8"/>
      <c r="G3716" s="8"/>
      <c r="H3716" s="8"/>
      <c r="I3716" s="8"/>
      <c r="J3716" s="8"/>
      <c r="K3716" s="9"/>
      <c r="L3716" s="9"/>
      <c r="M3716" s="9"/>
      <c r="N3716" s="9"/>
      <c r="O3716" s="9"/>
      <c r="P3716" s="9"/>
      <c r="Q3716" s="9"/>
      <c r="R3716" s="9" t="str">
        <f aca="false">IF(AND(A3716&lt;&gt;"",ISNUMBER(Q3716),ISNUMBER(L3716)),ROUND(Q3716-IF(ISNUMBER(N3716),N3716,0)-IF(ISNUMBER(O3716),O3716,0)+IF(ISNUMBER(P3716),P3716,0),2),"")</f>
        <v/>
      </c>
      <c r="S3716" s="9" t="str">
        <f aca="false">IF(R3716="","",ROUND(L3716-R3716,2))</f>
        <v/>
      </c>
      <c r="T3716" s="8" t="str">
        <f aca="false">IF(A3716="","",IF(S3716="","BYPASS",IF(ABS(S3716)&lt;=Summary!$B$2,"PASS","FAIL")))</f>
        <v/>
      </c>
      <c r="U3716" s="8" t="str">
        <f aca="false">IF(T3716="BYPASS",IF(NOT(ISNUMBER(Q3716)),"PreV_ETB missing","End_tr_balance missing"),IF(T3716="FAIL",IF(AND(ISNUMBER(K3716),ISNUMBER(L3716),ABS(L3716-(K3716-IF(ISNUMBER(N3716),N3716,0)-IF(ISNUMBER(O3716),O3716,0)+IF(ISNUMBER(P3716),P3716,0)))&lt;=Summary!$B$2),"Passes using beginning_balance - PreV_ETB differs from beginning_balance",IF(AND(ISNUMBER(O3716),O3716&lt;0,ABS(L3716-(Q3716-IF(ISNUMBER(N3716),N3716,0)+IF(ISNUMBER(P3716),P3716,0)))&lt;=Summary!$B$2),"Negative realized loss not applied - check sign",IF(R3716&lt;0,"Principal paid exceeds prior balance",IF(AND(L3716&gt;Q3716,NOT(ISNUMBER(P3716))),"Balance increased but no Deferred_interest reported",IF(L3716&gt;R3716,"Reported balance higher than expected (missing increase/OC build)","Reported balance lower than expected (missing decrease)"))))),""))</f>
        <v/>
      </c>
    </row>
    <row r="3717" customFormat="false" ht="15" hidden="false" customHeight="false" outlineLevel="0" collapsed="false">
      <c r="A3717" s="8"/>
      <c r="B3717" s="8"/>
      <c r="C3717" s="8"/>
      <c r="D3717" s="8"/>
      <c r="E3717" s="8"/>
      <c r="F3717" s="8"/>
      <c r="G3717" s="8"/>
      <c r="H3717" s="8"/>
      <c r="I3717" s="8"/>
      <c r="J3717" s="8"/>
      <c r="K3717" s="9"/>
      <c r="L3717" s="9"/>
      <c r="M3717" s="9"/>
      <c r="N3717" s="9"/>
      <c r="O3717" s="9"/>
      <c r="P3717" s="9"/>
      <c r="Q3717" s="9"/>
      <c r="R3717" s="9" t="str">
        <f aca="false">IF(AND(A3717&lt;&gt;"",ISNUMBER(Q3717),ISNUMBER(L3717)),ROUND(Q3717-IF(ISNUMBER(N3717),N3717,0)-IF(ISNUMBER(O3717),O3717,0)+IF(ISNUMBER(P3717),P3717,0),2),"")</f>
        <v/>
      </c>
      <c r="S3717" s="9" t="str">
        <f aca="false">IF(R3717="","",ROUND(L3717-R3717,2))</f>
        <v/>
      </c>
      <c r="T3717" s="8" t="str">
        <f aca="false">IF(A3717="","",IF(S3717="","BYPASS",IF(ABS(S3717)&lt;=Summary!$B$2,"PASS","FAIL")))</f>
        <v/>
      </c>
      <c r="U3717" s="8" t="str">
        <f aca="false">IF(T3717="BYPASS",IF(NOT(ISNUMBER(Q3717)),"PreV_ETB missing","End_tr_balance missing"),IF(T3717="FAIL",IF(AND(ISNUMBER(K3717),ISNUMBER(L3717),ABS(L3717-(K3717-IF(ISNUMBER(N3717),N3717,0)-IF(ISNUMBER(O3717),O3717,0)+IF(ISNUMBER(P3717),P3717,0)))&lt;=Summary!$B$2),"Passes using beginning_balance - PreV_ETB differs from beginning_balance",IF(AND(ISNUMBER(O3717),O3717&lt;0,ABS(L3717-(Q3717-IF(ISNUMBER(N3717),N3717,0)+IF(ISNUMBER(P3717),P3717,0)))&lt;=Summary!$B$2),"Negative realized loss not applied - check sign",IF(R3717&lt;0,"Principal paid exceeds prior balance",IF(AND(L3717&gt;Q3717,NOT(ISNUMBER(P3717))),"Balance increased but no Deferred_interest reported",IF(L3717&gt;R3717,"Reported balance higher than expected (missing increase/OC build)","Reported balance lower than expected (missing decrease)"))))),""))</f>
        <v/>
      </c>
    </row>
    <row r="3718" customFormat="false" ht="15" hidden="false" customHeight="false" outlineLevel="0" collapsed="false">
      <c r="A3718" s="8"/>
      <c r="B3718" s="8"/>
      <c r="C3718" s="8"/>
      <c r="D3718" s="8"/>
      <c r="E3718" s="8"/>
      <c r="F3718" s="8"/>
      <c r="G3718" s="8"/>
      <c r="H3718" s="8"/>
      <c r="I3718" s="8"/>
      <c r="J3718" s="8"/>
      <c r="K3718" s="9"/>
      <c r="L3718" s="9"/>
      <c r="M3718" s="9"/>
      <c r="N3718" s="9"/>
      <c r="O3718" s="9"/>
      <c r="P3718" s="9"/>
      <c r="Q3718" s="9"/>
      <c r="R3718" s="9" t="str">
        <f aca="false">IF(AND(A3718&lt;&gt;"",ISNUMBER(Q3718),ISNUMBER(L3718)),ROUND(Q3718-IF(ISNUMBER(N3718),N3718,0)-IF(ISNUMBER(O3718),O3718,0)+IF(ISNUMBER(P3718),P3718,0),2),"")</f>
        <v/>
      </c>
      <c r="S3718" s="9" t="str">
        <f aca="false">IF(R3718="","",ROUND(L3718-R3718,2))</f>
        <v/>
      </c>
      <c r="T3718" s="8" t="str">
        <f aca="false">IF(A3718="","",IF(S3718="","BYPASS",IF(ABS(S3718)&lt;=Summary!$B$2,"PASS","FAIL")))</f>
        <v/>
      </c>
      <c r="U3718" s="8" t="str">
        <f aca="false">IF(T3718="BYPASS",IF(NOT(ISNUMBER(Q3718)),"PreV_ETB missing","End_tr_balance missing"),IF(T3718="FAIL",IF(AND(ISNUMBER(K3718),ISNUMBER(L3718),ABS(L3718-(K3718-IF(ISNUMBER(N3718),N3718,0)-IF(ISNUMBER(O3718),O3718,0)+IF(ISNUMBER(P3718),P3718,0)))&lt;=Summary!$B$2),"Passes using beginning_balance - PreV_ETB differs from beginning_balance",IF(AND(ISNUMBER(O3718),O3718&lt;0,ABS(L3718-(Q3718-IF(ISNUMBER(N3718),N3718,0)+IF(ISNUMBER(P3718),P3718,0)))&lt;=Summary!$B$2),"Negative realized loss not applied - check sign",IF(R3718&lt;0,"Principal paid exceeds prior balance",IF(AND(L3718&gt;Q3718,NOT(ISNUMBER(P3718))),"Balance increased but no Deferred_interest reported",IF(L3718&gt;R3718,"Reported balance higher than expected (missing increase/OC build)","Reported balance lower than expected (missing decrease)"))))),""))</f>
        <v/>
      </c>
    </row>
    <row r="3719" customFormat="false" ht="15" hidden="false" customHeight="false" outlineLevel="0" collapsed="false">
      <c r="A3719" s="8"/>
      <c r="B3719" s="8"/>
      <c r="C3719" s="8"/>
      <c r="D3719" s="8"/>
      <c r="E3719" s="8"/>
      <c r="F3719" s="8"/>
      <c r="G3719" s="8"/>
      <c r="H3719" s="8"/>
      <c r="I3719" s="8"/>
      <c r="J3719" s="8"/>
      <c r="K3719" s="9"/>
      <c r="L3719" s="9"/>
      <c r="M3719" s="9"/>
      <c r="N3719" s="9"/>
      <c r="O3719" s="9"/>
      <c r="P3719" s="9"/>
      <c r="Q3719" s="9"/>
      <c r="R3719" s="9" t="str">
        <f aca="false">IF(AND(A3719&lt;&gt;"",ISNUMBER(Q3719),ISNUMBER(L3719)),ROUND(Q3719-IF(ISNUMBER(N3719),N3719,0)-IF(ISNUMBER(O3719),O3719,0)+IF(ISNUMBER(P3719),P3719,0),2),"")</f>
        <v/>
      </c>
      <c r="S3719" s="9" t="str">
        <f aca="false">IF(R3719="","",ROUND(L3719-R3719,2))</f>
        <v/>
      </c>
      <c r="T3719" s="8" t="str">
        <f aca="false">IF(A3719="","",IF(S3719="","BYPASS",IF(ABS(S3719)&lt;=Summary!$B$2,"PASS","FAIL")))</f>
        <v/>
      </c>
      <c r="U3719" s="8" t="str">
        <f aca="false">IF(T3719="BYPASS",IF(NOT(ISNUMBER(Q3719)),"PreV_ETB missing","End_tr_balance missing"),IF(T3719="FAIL",IF(AND(ISNUMBER(K3719),ISNUMBER(L3719),ABS(L3719-(K3719-IF(ISNUMBER(N3719),N3719,0)-IF(ISNUMBER(O3719),O3719,0)+IF(ISNUMBER(P3719),P3719,0)))&lt;=Summary!$B$2),"Passes using beginning_balance - PreV_ETB differs from beginning_balance",IF(AND(ISNUMBER(O3719),O3719&lt;0,ABS(L3719-(Q3719-IF(ISNUMBER(N3719),N3719,0)+IF(ISNUMBER(P3719),P3719,0)))&lt;=Summary!$B$2),"Negative realized loss not applied - check sign",IF(R3719&lt;0,"Principal paid exceeds prior balance",IF(AND(L3719&gt;Q3719,NOT(ISNUMBER(P3719))),"Balance increased but no Deferred_interest reported",IF(L3719&gt;R3719,"Reported balance higher than expected (missing increase/OC build)","Reported balance lower than expected (missing decrease)"))))),""))</f>
        <v/>
      </c>
    </row>
    <row r="3720" customFormat="false" ht="15" hidden="false" customHeight="false" outlineLevel="0" collapsed="false">
      <c r="A3720" s="8"/>
      <c r="B3720" s="8"/>
      <c r="C3720" s="8"/>
      <c r="D3720" s="8"/>
      <c r="E3720" s="8"/>
      <c r="F3720" s="8"/>
      <c r="G3720" s="8"/>
      <c r="H3720" s="8"/>
      <c r="I3720" s="8"/>
      <c r="J3720" s="8"/>
      <c r="K3720" s="9"/>
      <c r="L3720" s="9"/>
      <c r="M3720" s="9"/>
      <c r="N3720" s="9"/>
      <c r="O3720" s="9"/>
      <c r="P3720" s="9"/>
      <c r="Q3720" s="9"/>
      <c r="R3720" s="9" t="str">
        <f aca="false">IF(AND(A3720&lt;&gt;"",ISNUMBER(Q3720),ISNUMBER(L3720)),ROUND(Q3720-IF(ISNUMBER(N3720),N3720,0)-IF(ISNUMBER(O3720),O3720,0)+IF(ISNUMBER(P3720),P3720,0),2),"")</f>
        <v/>
      </c>
      <c r="S3720" s="9" t="str">
        <f aca="false">IF(R3720="","",ROUND(L3720-R3720,2))</f>
        <v/>
      </c>
      <c r="T3720" s="8" t="str">
        <f aca="false">IF(A3720="","",IF(S3720="","BYPASS",IF(ABS(S3720)&lt;=Summary!$B$2,"PASS","FAIL")))</f>
        <v/>
      </c>
      <c r="U3720" s="8" t="str">
        <f aca="false">IF(T3720="BYPASS",IF(NOT(ISNUMBER(Q3720)),"PreV_ETB missing","End_tr_balance missing"),IF(T3720="FAIL",IF(AND(ISNUMBER(K3720),ISNUMBER(L3720),ABS(L3720-(K3720-IF(ISNUMBER(N3720),N3720,0)-IF(ISNUMBER(O3720),O3720,0)+IF(ISNUMBER(P3720),P3720,0)))&lt;=Summary!$B$2),"Passes using beginning_balance - PreV_ETB differs from beginning_balance",IF(AND(ISNUMBER(O3720),O3720&lt;0,ABS(L3720-(Q3720-IF(ISNUMBER(N3720),N3720,0)+IF(ISNUMBER(P3720),P3720,0)))&lt;=Summary!$B$2),"Negative realized loss not applied - check sign",IF(R3720&lt;0,"Principal paid exceeds prior balance",IF(AND(L3720&gt;Q3720,NOT(ISNUMBER(P3720))),"Balance increased but no Deferred_interest reported",IF(L3720&gt;R3720,"Reported balance higher than expected (missing increase/OC build)","Reported balance lower than expected (missing decrease)"))))),""))</f>
        <v/>
      </c>
    </row>
    <row r="3721" customFormat="false" ht="15" hidden="false" customHeight="false" outlineLevel="0" collapsed="false">
      <c r="A3721" s="8"/>
      <c r="B3721" s="8"/>
      <c r="C3721" s="8"/>
      <c r="D3721" s="8"/>
      <c r="E3721" s="8"/>
      <c r="F3721" s="8"/>
      <c r="G3721" s="8"/>
      <c r="H3721" s="8"/>
      <c r="I3721" s="8"/>
      <c r="J3721" s="8"/>
      <c r="K3721" s="9"/>
      <c r="L3721" s="9"/>
      <c r="M3721" s="9"/>
      <c r="N3721" s="9"/>
      <c r="O3721" s="9"/>
      <c r="P3721" s="9"/>
      <c r="Q3721" s="9"/>
      <c r="R3721" s="9" t="str">
        <f aca="false">IF(AND(A3721&lt;&gt;"",ISNUMBER(Q3721),ISNUMBER(L3721)),ROUND(Q3721-IF(ISNUMBER(N3721),N3721,0)-IF(ISNUMBER(O3721),O3721,0)+IF(ISNUMBER(P3721),P3721,0),2),"")</f>
        <v/>
      </c>
      <c r="S3721" s="9" t="str">
        <f aca="false">IF(R3721="","",ROUND(L3721-R3721,2))</f>
        <v/>
      </c>
      <c r="T3721" s="8" t="str">
        <f aca="false">IF(A3721="","",IF(S3721="","BYPASS",IF(ABS(S3721)&lt;=Summary!$B$2,"PASS","FAIL")))</f>
        <v/>
      </c>
      <c r="U3721" s="8" t="str">
        <f aca="false">IF(T3721="BYPASS",IF(NOT(ISNUMBER(Q3721)),"PreV_ETB missing","End_tr_balance missing"),IF(T3721="FAIL",IF(AND(ISNUMBER(K3721),ISNUMBER(L3721),ABS(L3721-(K3721-IF(ISNUMBER(N3721),N3721,0)-IF(ISNUMBER(O3721),O3721,0)+IF(ISNUMBER(P3721),P3721,0)))&lt;=Summary!$B$2),"Passes using beginning_balance - PreV_ETB differs from beginning_balance",IF(AND(ISNUMBER(O3721),O3721&lt;0,ABS(L3721-(Q3721-IF(ISNUMBER(N3721),N3721,0)+IF(ISNUMBER(P3721),P3721,0)))&lt;=Summary!$B$2),"Negative realized loss not applied - check sign",IF(R3721&lt;0,"Principal paid exceeds prior balance",IF(AND(L3721&gt;Q3721,NOT(ISNUMBER(P3721))),"Balance increased but no Deferred_interest reported",IF(L3721&gt;R3721,"Reported balance higher than expected (missing increase/OC build)","Reported balance lower than expected (missing decrease)"))))),""))</f>
        <v/>
      </c>
    </row>
    <row r="3722" customFormat="false" ht="15" hidden="false" customHeight="false" outlineLevel="0" collapsed="false">
      <c r="A3722" s="8"/>
      <c r="B3722" s="8"/>
      <c r="C3722" s="8"/>
      <c r="D3722" s="8"/>
      <c r="E3722" s="8"/>
      <c r="F3722" s="8"/>
      <c r="G3722" s="8"/>
      <c r="H3722" s="8"/>
      <c r="I3722" s="8"/>
      <c r="J3722" s="8"/>
      <c r="K3722" s="9"/>
      <c r="L3722" s="9"/>
      <c r="M3722" s="9"/>
      <c r="N3722" s="9"/>
      <c r="O3722" s="9"/>
      <c r="P3722" s="9"/>
      <c r="Q3722" s="9"/>
      <c r="R3722" s="9" t="str">
        <f aca="false">IF(AND(A3722&lt;&gt;"",ISNUMBER(Q3722),ISNUMBER(L3722)),ROUND(Q3722-IF(ISNUMBER(N3722),N3722,0)-IF(ISNUMBER(O3722),O3722,0)+IF(ISNUMBER(P3722),P3722,0),2),"")</f>
        <v/>
      </c>
      <c r="S3722" s="9" t="str">
        <f aca="false">IF(R3722="","",ROUND(L3722-R3722,2))</f>
        <v/>
      </c>
      <c r="T3722" s="8" t="str">
        <f aca="false">IF(A3722="","",IF(S3722="","BYPASS",IF(ABS(S3722)&lt;=Summary!$B$2,"PASS","FAIL")))</f>
        <v/>
      </c>
      <c r="U3722" s="8" t="str">
        <f aca="false">IF(T3722="BYPASS",IF(NOT(ISNUMBER(Q3722)),"PreV_ETB missing","End_tr_balance missing"),IF(T3722="FAIL",IF(AND(ISNUMBER(K3722),ISNUMBER(L3722),ABS(L3722-(K3722-IF(ISNUMBER(N3722),N3722,0)-IF(ISNUMBER(O3722),O3722,0)+IF(ISNUMBER(P3722),P3722,0)))&lt;=Summary!$B$2),"Passes using beginning_balance - PreV_ETB differs from beginning_balance",IF(AND(ISNUMBER(O3722),O3722&lt;0,ABS(L3722-(Q3722-IF(ISNUMBER(N3722),N3722,0)+IF(ISNUMBER(P3722),P3722,0)))&lt;=Summary!$B$2),"Negative realized loss not applied - check sign",IF(R3722&lt;0,"Principal paid exceeds prior balance",IF(AND(L3722&gt;Q3722,NOT(ISNUMBER(P3722))),"Balance increased but no Deferred_interest reported",IF(L3722&gt;R3722,"Reported balance higher than expected (missing increase/OC build)","Reported balance lower than expected (missing decrease)"))))),""))</f>
        <v/>
      </c>
    </row>
    <row r="3723" customFormat="false" ht="15" hidden="false" customHeight="false" outlineLevel="0" collapsed="false">
      <c r="A3723" s="8"/>
      <c r="B3723" s="8"/>
      <c r="C3723" s="8"/>
      <c r="D3723" s="8"/>
      <c r="E3723" s="8"/>
      <c r="F3723" s="8"/>
      <c r="G3723" s="8"/>
      <c r="H3723" s="8"/>
      <c r="I3723" s="8"/>
      <c r="J3723" s="8"/>
      <c r="K3723" s="9"/>
      <c r="L3723" s="9"/>
      <c r="M3723" s="9"/>
      <c r="N3723" s="9"/>
      <c r="O3723" s="9"/>
      <c r="P3723" s="9"/>
      <c r="Q3723" s="9"/>
      <c r="R3723" s="9" t="str">
        <f aca="false">IF(AND(A3723&lt;&gt;"",ISNUMBER(Q3723),ISNUMBER(L3723)),ROUND(Q3723-IF(ISNUMBER(N3723),N3723,0)-IF(ISNUMBER(O3723),O3723,0)+IF(ISNUMBER(P3723),P3723,0),2),"")</f>
        <v/>
      </c>
      <c r="S3723" s="9" t="str">
        <f aca="false">IF(R3723="","",ROUND(L3723-R3723,2))</f>
        <v/>
      </c>
      <c r="T3723" s="8" t="str">
        <f aca="false">IF(A3723="","",IF(S3723="","BYPASS",IF(ABS(S3723)&lt;=Summary!$B$2,"PASS","FAIL")))</f>
        <v/>
      </c>
      <c r="U3723" s="8" t="str">
        <f aca="false">IF(T3723="BYPASS",IF(NOT(ISNUMBER(Q3723)),"PreV_ETB missing","End_tr_balance missing"),IF(T3723="FAIL",IF(AND(ISNUMBER(K3723),ISNUMBER(L3723),ABS(L3723-(K3723-IF(ISNUMBER(N3723),N3723,0)-IF(ISNUMBER(O3723),O3723,0)+IF(ISNUMBER(P3723),P3723,0)))&lt;=Summary!$B$2),"Passes using beginning_balance - PreV_ETB differs from beginning_balance",IF(AND(ISNUMBER(O3723),O3723&lt;0,ABS(L3723-(Q3723-IF(ISNUMBER(N3723),N3723,0)+IF(ISNUMBER(P3723),P3723,0)))&lt;=Summary!$B$2),"Negative realized loss not applied - check sign",IF(R3723&lt;0,"Principal paid exceeds prior balance",IF(AND(L3723&gt;Q3723,NOT(ISNUMBER(P3723))),"Balance increased but no Deferred_interest reported",IF(L3723&gt;R3723,"Reported balance higher than expected (missing increase/OC build)","Reported balance lower than expected (missing decrease)"))))),""))</f>
        <v/>
      </c>
    </row>
    <row r="3724" customFormat="false" ht="15" hidden="false" customHeight="false" outlineLevel="0" collapsed="false">
      <c r="A3724" s="8"/>
      <c r="B3724" s="8"/>
      <c r="C3724" s="8"/>
      <c r="D3724" s="8"/>
      <c r="E3724" s="8"/>
      <c r="F3724" s="8"/>
      <c r="G3724" s="8"/>
      <c r="H3724" s="8"/>
      <c r="I3724" s="8"/>
      <c r="J3724" s="8"/>
      <c r="K3724" s="9"/>
      <c r="L3724" s="9"/>
      <c r="M3724" s="9"/>
      <c r="N3724" s="9"/>
      <c r="O3724" s="9"/>
      <c r="P3724" s="9"/>
      <c r="Q3724" s="9"/>
      <c r="R3724" s="9" t="str">
        <f aca="false">IF(AND(A3724&lt;&gt;"",ISNUMBER(Q3724),ISNUMBER(L3724)),ROUND(Q3724-IF(ISNUMBER(N3724),N3724,0)-IF(ISNUMBER(O3724),O3724,0)+IF(ISNUMBER(P3724),P3724,0),2),"")</f>
        <v/>
      </c>
      <c r="S3724" s="9" t="str">
        <f aca="false">IF(R3724="","",ROUND(L3724-R3724,2))</f>
        <v/>
      </c>
      <c r="T3724" s="8" t="str">
        <f aca="false">IF(A3724="","",IF(S3724="","BYPASS",IF(ABS(S3724)&lt;=Summary!$B$2,"PASS","FAIL")))</f>
        <v/>
      </c>
      <c r="U3724" s="8" t="str">
        <f aca="false">IF(T3724="BYPASS",IF(NOT(ISNUMBER(Q3724)),"PreV_ETB missing","End_tr_balance missing"),IF(T3724="FAIL",IF(AND(ISNUMBER(K3724),ISNUMBER(L3724),ABS(L3724-(K3724-IF(ISNUMBER(N3724),N3724,0)-IF(ISNUMBER(O3724),O3724,0)+IF(ISNUMBER(P3724),P3724,0)))&lt;=Summary!$B$2),"Passes using beginning_balance - PreV_ETB differs from beginning_balance",IF(AND(ISNUMBER(O3724),O3724&lt;0,ABS(L3724-(Q3724-IF(ISNUMBER(N3724),N3724,0)+IF(ISNUMBER(P3724),P3724,0)))&lt;=Summary!$B$2),"Negative realized loss not applied - check sign",IF(R3724&lt;0,"Principal paid exceeds prior balance",IF(AND(L3724&gt;Q3724,NOT(ISNUMBER(P3724))),"Balance increased but no Deferred_interest reported",IF(L3724&gt;R3724,"Reported balance higher than expected (missing increase/OC build)","Reported balance lower than expected (missing decrease)"))))),""))</f>
        <v/>
      </c>
    </row>
    <row r="3725" customFormat="false" ht="15" hidden="false" customHeight="false" outlineLevel="0" collapsed="false">
      <c r="A3725" s="8"/>
      <c r="B3725" s="8"/>
      <c r="C3725" s="8"/>
      <c r="D3725" s="8"/>
      <c r="E3725" s="8"/>
      <c r="F3725" s="8"/>
      <c r="G3725" s="8"/>
      <c r="H3725" s="8"/>
      <c r="I3725" s="8"/>
      <c r="J3725" s="8"/>
      <c r="K3725" s="9"/>
      <c r="L3725" s="9"/>
      <c r="M3725" s="9"/>
      <c r="N3725" s="9"/>
      <c r="O3725" s="9"/>
      <c r="P3725" s="9"/>
      <c r="Q3725" s="9"/>
      <c r="R3725" s="9" t="str">
        <f aca="false">IF(AND(A3725&lt;&gt;"",ISNUMBER(Q3725),ISNUMBER(L3725)),ROUND(Q3725-IF(ISNUMBER(N3725),N3725,0)-IF(ISNUMBER(O3725),O3725,0)+IF(ISNUMBER(P3725),P3725,0),2),"")</f>
        <v/>
      </c>
      <c r="S3725" s="9" t="str">
        <f aca="false">IF(R3725="","",ROUND(L3725-R3725,2))</f>
        <v/>
      </c>
      <c r="T3725" s="8" t="str">
        <f aca="false">IF(A3725="","",IF(S3725="","BYPASS",IF(ABS(S3725)&lt;=Summary!$B$2,"PASS","FAIL")))</f>
        <v/>
      </c>
      <c r="U3725" s="8" t="str">
        <f aca="false">IF(T3725="BYPASS",IF(NOT(ISNUMBER(Q3725)),"PreV_ETB missing","End_tr_balance missing"),IF(T3725="FAIL",IF(AND(ISNUMBER(K3725),ISNUMBER(L3725),ABS(L3725-(K3725-IF(ISNUMBER(N3725),N3725,0)-IF(ISNUMBER(O3725),O3725,0)+IF(ISNUMBER(P3725),P3725,0)))&lt;=Summary!$B$2),"Passes using beginning_balance - PreV_ETB differs from beginning_balance",IF(AND(ISNUMBER(O3725),O3725&lt;0,ABS(L3725-(Q3725-IF(ISNUMBER(N3725),N3725,0)+IF(ISNUMBER(P3725),P3725,0)))&lt;=Summary!$B$2),"Negative realized loss not applied - check sign",IF(R3725&lt;0,"Principal paid exceeds prior balance",IF(AND(L3725&gt;Q3725,NOT(ISNUMBER(P3725))),"Balance increased but no Deferred_interest reported",IF(L3725&gt;R3725,"Reported balance higher than expected (missing increase/OC build)","Reported balance lower than expected (missing decrease)"))))),""))</f>
        <v/>
      </c>
    </row>
    <row r="3726" customFormat="false" ht="15" hidden="false" customHeight="false" outlineLevel="0" collapsed="false">
      <c r="A3726" s="8"/>
      <c r="B3726" s="8"/>
      <c r="C3726" s="8"/>
      <c r="D3726" s="8"/>
      <c r="E3726" s="8"/>
      <c r="F3726" s="8"/>
      <c r="G3726" s="8"/>
      <c r="H3726" s="8"/>
      <c r="I3726" s="8"/>
      <c r="J3726" s="8"/>
      <c r="K3726" s="9"/>
      <c r="L3726" s="9"/>
      <c r="M3726" s="9"/>
      <c r="N3726" s="9"/>
      <c r="O3726" s="9"/>
      <c r="P3726" s="9"/>
      <c r="Q3726" s="9"/>
      <c r="R3726" s="9" t="str">
        <f aca="false">IF(AND(A3726&lt;&gt;"",ISNUMBER(Q3726),ISNUMBER(L3726)),ROUND(Q3726-IF(ISNUMBER(N3726),N3726,0)-IF(ISNUMBER(O3726),O3726,0)+IF(ISNUMBER(P3726),P3726,0),2),"")</f>
        <v/>
      </c>
      <c r="S3726" s="9" t="str">
        <f aca="false">IF(R3726="","",ROUND(L3726-R3726,2))</f>
        <v/>
      </c>
      <c r="T3726" s="8" t="str">
        <f aca="false">IF(A3726="","",IF(S3726="","BYPASS",IF(ABS(S3726)&lt;=Summary!$B$2,"PASS","FAIL")))</f>
        <v/>
      </c>
      <c r="U3726" s="8" t="str">
        <f aca="false">IF(T3726="BYPASS",IF(NOT(ISNUMBER(Q3726)),"PreV_ETB missing","End_tr_balance missing"),IF(T3726="FAIL",IF(AND(ISNUMBER(K3726),ISNUMBER(L3726),ABS(L3726-(K3726-IF(ISNUMBER(N3726),N3726,0)-IF(ISNUMBER(O3726),O3726,0)+IF(ISNUMBER(P3726),P3726,0)))&lt;=Summary!$B$2),"Passes using beginning_balance - PreV_ETB differs from beginning_balance",IF(AND(ISNUMBER(O3726),O3726&lt;0,ABS(L3726-(Q3726-IF(ISNUMBER(N3726),N3726,0)+IF(ISNUMBER(P3726),P3726,0)))&lt;=Summary!$B$2),"Negative realized loss not applied - check sign",IF(R3726&lt;0,"Principal paid exceeds prior balance",IF(AND(L3726&gt;Q3726,NOT(ISNUMBER(P3726))),"Balance increased but no Deferred_interest reported",IF(L3726&gt;R3726,"Reported balance higher than expected (missing increase/OC build)","Reported balance lower than expected (missing decrease)"))))),""))</f>
        <v/>
      </c>
    </row>
    <row r="3727" customFormat="false" ht="15" hidden="false" customHeight="false" outlineLevel="0" collapsed="false">
      <c r="A3727" s="8"/>
      <c r="B3727" s="8"/>
      <c r="C3727" s="8"/>
      <c r="D3727" s="8"/>
      <c r="E3727" s="8"/>
      <c r="F3727" s="8"/>
      <c r="G3727" s="8"/>
      <c r="H3727" s="8"/>
      <c r="I3727" s="8"/>
      <c r="J3727" s="8"/>
      <c r="K3727" s="9"/>
      <c r="L3727" s="9"/>
      <c r="M3727" s="9"/>
      <c r="N3727" s="9"/>
      <c r="O3727" s="9"/>
      <c r="P3727" s="9"/>
      <c r="Q3727" s="9"/>
      <c r="R3727" s="9" t="str">
        <f aca="false">IF(AND(A3727&lt;&gt;"",ISNUMBER(Q3727),ISNUMBER(L3727)),ROUND(Q3727-IF(ISNUMBER(N3727),N3727,0)-IF(ISNUMBER(O3727),O3727,0)+IF(ISNUMBER(P3727),P3727,0),2),"")</f>
        <v/>
      </c>
      <c r="S3727" s="9" t="str">
        <f aca="false">IF(R3727="","",ROUND(L3727-R3727,2))</f>
        <v/>
      </c>
      <c r="T3727" s="8" t="str">
        <f aca="false">IF(A3727="","",IF(S3727="","BYPASS",IF(ABS(S3727)&lt;=Summary!$B$2,"PASS","FAIL")))</f>
        <v/>
      </c>
      <c r="U3727" s="8" t="str">
        <f aca="false">IF(T3727="BYPASS",IF(NOT(ISNUMBER(Q3727)),"PreV_ETB missing","End_tr_balance missing"),IF(T3727="FAIL",IF(AND(ISNUMBER(K3727),ISNUMBER(L3727),ABS(L3727-(K3727-IF(ISNUMBER(N3727),N3727,0)-IF(ISNUMBER(O3727),O3727,0)+IF(ISNUMBER(P3727),P3727,0)))&lt;=Summary!$B$2),"Passes using beginning_balance - PreV_ETB differs from beginning_balance",IF(AND(ISNUMBER(O3727),O3727&lt;0,ABS(L3727-(Q3727-IF(ISNUMBER(N3727),N3727,0)+IF(ISNUMBER(P3727),P3727,0)))&lt;=Summary!$B$2),"Negative realized loss not applied - check sign",IF(R3727&lt;0,"Principal paid exceeds prior balance",IF(AND(L3727&gt;Q3727,NOT(ISNUMBER(P3727))),"Balance increased but no Deferred_interest reported",IF(L3727&gt;R3727,"Reported balance higher than expected (missing increase/OC build)","Reported balance lower than expected (missing decrease)"))))),""))</f>
        <v/>
      </c>
    </row>
    <row r="3728" customFormat="false" ht="15" hidden="false" customHeight="false" outlineLevel="0" collapsed="false">
      <c r="A3728" s="8"/>
      <c r="B3728" s="8"/>
      <c r="C3728" s="8"/>
      <c r="D3728" s="8"/>
      <c r="E3728" s="8"/>
      <c r="F3728" s="8"/>
      <c r="G3728" s="8"/>
      <c r="H3728" s="8"/>
      <c r="I3728" s="8"/>
      <c r="J3728" s="8"/>
      <c r="K3728" s="9"/>
      <c r="L3728" s="9"/>
      <c r="M3728" s="9"/>
      <c r="N3728" s="9"/>
      <c r="O3728" s="9"/>
      <c r="P3728" s="9"/>
      <c r="Q3728" s="9"/>
      <c r="R3728" s="9" t="str">
        <f aca="false">IF(AND(A3728&lt;&gt;"",ISNUMBER(Q3728),ISNUMBER(L3728)),ROUND(Q3728-IF(ISNUMBER(N3728),N3728,0)-IF(ISNUMBER(O3728),O3728,0)+IF(ISNUMBER(P3728),P3728,0),2),"")</f>
        <v/>
      </c>
      <c r="S3728" s="9" t="str">
        <f aca="false">IF(R3728="","",ROUND(L3728-R3728,2))</f>
        <v/>
      </c>
      <c r="T3728" s="8" t="str">
        <f aca="false">IF(A3728="","",IF(S3728="","BYPASS",IF(ABS(S3728)&lt;=Summary!$B$2,"PASS","FAIL")))</f>
        <v/>
      </c>
      <c r="U3728" s="8" t="str">
        <f aca="false">IF(T3728="BYPASS",IF(NOT(ISNUMBER(Q3728)),"PreV_ETB missing","End_tr_balance missing"),IF(T3728="FAIL",IF(AND(ISNUMBER(K3728),ISNUMBER(L3728),ABS(L3728-(K3728-IF(ISNUMBER(N3728),N3728,0)-IF(ISNUMBER(O3728),O3728,0)+IF(ISNUMBER(P3728),P3728,0)))&lt;=Summary!$B$2),"Passes using beginning_balance - PreV_ETB differs from beginning_balance",IF(AND(ISNUMBER(O3728),O3728&lt;0,ABS(L3728-(Q3728-IF(ISNUMBER(N3728),N3728,0)+IF(ISNUMBER(P3728),P3728,0)))&lt;=Summary!$B$2),"Negative realized loss not applied - check sign",IF(R3728&lt;0,"Principal paid exceeds prior balance",IF(AND(L3728&gt;Q3728,NOT(ISNUMBER(P3728))),"Balance increased but no Deferred_interest reported",IF(L3728&gt;R3728,"Reported balance higher than expected (missing increase/OC build)","Reported balance lower than expected (missing decrease)"))))),""))</f>
        <v/>
      </c>
    </row>
    <row r="3729" customFormat="false" ht="15" hidden="false" customHeight="false" outlineLevel="0" collapsed="false">
      <c r="A3729" s="8"/>
      <c r="B3729" s="8"/>
      <c r="C3729" s="8"/>
      <c r="D3729" s="8"/>
      <c r="E3729" s="8"/>
      <c r="F3729" s="8"/>
      <c r="G3729" s="8"/>
      <c r="H3729" s="8"/>
      <c r="I3729" s="8"/>
      <c r="J3729" s="8"/>
      <c r="K3729" s="9"/>
      <c r="L3729" s="9"/>
      <c r="M3729" s="9"/>
      <c r="N3729" s="9"/>
      <c r="O3729" s="9"/>
      <c r="P3729" s="9"/>
      <c r="Q3729" s="9"/>
      <c r="R3729" s="9" t="str">
        <f aca="false">IF(AND(A3729&lt;&gt;"",ISNUMBER(Q3729),ISNUMBER(L3729)),ROUND(Q3729-IF(ISNUMBER(N3729),N3729,0)-IF(ISNUMBER(O3729),O3729,0)+IF(ISNUMBER(P3729),P3729,0),2),"")</f>
        <v/>
      </c>
      <c r="S3729" s="9" t="str">
        <f aca="false">IF(R3729="","",ROUND(L3729-R3729,2))</f>
        <v/>
      </c>
      <c r="T3729" s="8" t="str">
        <f aca="false">IF(A3729="","",IF(S3729="","BYPASS",IF(ABS(S3729)&lt;=Summary!$B$2,"PASS","FAIL")))</f>
        <v/>
      </c>
      <c r="U3729" s="8" t="str">
        <f aca="false">IF(T3729="BYPASS",IF(NOT(ISNUMBER(Q3729)),"PreV_ETB missing","End_tr_balance missing"),IF(T3729="FAIL",IF(AND(ISNUMBER(K3729),ISNUMBER(L3729),ABS(L3729-(K3729-IF(ISNUMBER(N3729),N3729,0)-IF(ISNUMBER(O3729),O3729,0)+IF(ISNUMBER(P3729),P3729,0)))&lt;=Summary!$B$2),"Passes using beginning_balance - PreV_ETB differs from beginning_balance",IF(AND(ISNUMBER(O3729),O3729&lt;0,ABS(L3729-(Q3729-IF(ISNUMBER(N3729),N3729,0)+IF(ISNUMBER(P3729),P3729,0)))&lt;=Summary!$B$2),"Negative realized loss not applied - check sign",IF(R3729&lt;0,"Principal paid exceeds prior balance",IF(AND(L3729&gt;Q3729,NOT(ISNUMBER(P3729))),"Balance increased but no Deferred_interest reported",IF(L3729&gt;R3729,"Reported balance higher than expected (missing increase/OC build)","Reported balance lower than expected (missing decrease)"))))),""))</f>
        <v/>
      </c>
    </row>
    <row r="3730" customFormat="false" ht="15" hidden="false" customHeight="false" outlineLevel="0" collapsed="false">
      <c r="A3730" s="8"/>
      <c r="B3730" s="8"/>
      <c r="C3730" s="8"/>
      <c r="D3730" s="8"/>
      <c r="E3730" s="8"/>
      <c r="F3730" s="8"/>
      <c r="G3730" s="8"/>
      <c r="H3730" s="8"/>
      <c r="I3730" s="8"/>
      <c r="J3730" s="8"/>
      <c r="K3730" s="9"/>
      <c r="L3730" s="9"/>
      <c r="M3730" s="9"/>
      <c r="N3730" s="9"/>
      <c r="O3730" s="9"/>
      <c r="P3730" s="9"/>
      <c r="Q3730" s="9"/>
      <c r="R3730" s="9" t="str">
        <f aca="false">IF(AND(A3730&lt;&gt;"",ISNUMBER(Q3730),ISNUMBER(L3730)),ROUND(Q3730-IF(ISNUMBER(N3730),N3730,0)-IF(ISNUMBER(O3730),O3730,0)+IF(ISNUMBER(P3730),P3730,0),2),"")</f>
        <v/>
      </c>
      <c r="S3730" s="9" t="str">
        <f aca="false">IF(R3730="","",ROUND(L3730-R3730,2))</f>
        <v/>
      </c>
      <c r="T3730" s="8" t="str">
        <f aca="false">IF(A3730="","",IF(S3730="","BYPASS",IF(ABS(S3730)&lt;=Summary!$B$2,"PASS","FAIL")))</f>
        <v/>
      </c>
      <c r="U3730" s="8" t="str">
        <f aca="false">IF(T3730="BYPASS",IF(NOT(ISNUMBER(Q3730)),"PreV_ETB missing","End_tr_balance missing"),IF(T3730="FAIL",IF(AND(ISNUMBER(K3730),ISNUMBER(L3730),ABS(L3730-(K3730-IF(ISNUMBER(N3730),N3730,0)-IF(ISNUMBER(O3730),O3730,0)+IF(ISNUMBER(P3730),P3730,0)))&lt;=Summary!$B$2),"Passes using beginning_balance - PreV_ETB differs from beginning_balance",IF(AND(ISNUMBER(O3730),O3730&lt;0,ABS(L3730-(Q3730-IF(ISNUMBER(N3730),N3730,0)+IF(ISNUMBER(P3730),P3730,0)))&lt;=Summary!$B$2),"Negative realized loss not applied - check sign",IF(R3730&lt;0,"Principal paid exceeds prior balance",IF(AND(L3730&gt;Q3730,NOT(ISNUMBER(P3730))),"Balance increased but no Deferred_interest reported",IF(L3730&gt;R3730,"Reported balance higher than expected (missing increase/OC build)","Reported balance lower than expected (missing decrease)"))))),""))</f>
        <v/>
      </c>
    </row>
    <row r="3731" customFormat="false" ht="15" hidden="false" customHeight="false" outlineLevel="0" collapsed="false">
      <c r="A3731" s="8"/>
      <c r="B3731" s="8"/>
      <c r="C3731" s="8"/>
      <c r="D3731" s="8"/>
      <c r="E3731" s="8"/>
      <c r="F3731" s="8"/>
      <c r="G3731" s="8"/>
      <c r="H3731" s="8"/>
      <c r="I3731" s="8"/>
      <c r="J3731" s="8"/>
      <c r="K3731" s="9"/>
      <c r="L3731" s="9"/>
      <c r="M3731" s="9"/>
      <c r="N3731" s="9"/>
      <c r="O3731" s="9"/>
      <c r="P3731" s="9"/>
      <c r="Q3731" s="9"/>
      <c r="R3731" s="9" t="str">
        <f aca="false">IF(AND(A3731&lt;&gt;"",ISNUMBER(Q3731),ISNUMBER(L3731)),ROUND(Q3731-IF(ISNUMBER(N3731),N3731,0)-IF(ISNUMBER(O3731),O3731,0)+IF(ISNUMBER(P3731),P3731,0),2),"")</f>
        <v/>
      </c>
      <c r="S3731" s="9" t="str">
        <f aca="false">IF(R3731="","",ROUND(L3731-R3731,2))</f>
        <v/>
      </c>
      <c r="T3731" s="8" t="str">
        <f aca="false">IF(A3731="","",IF(S3731="","BYPASS",IF(ABS(S3731)&lt;=Summary!$B$2,"PASS","FAIL")))</f>
        <v/>
      </c>
      <c r="U3731" s="8" t="str">
        <f aca="false">IF(T3731="BYPASS",IF(NOT(ISNUMBER(Q3731)),"PreV_ETB missing","End_tr_balance missing"),IF(T3731="FAIL",IF(AND(ISNUMBER(K3731),ISNUMBER(L3731),ABS(L3731-(K3731-IF(ISNUMBER(N3731),N3731,0)-IF(ISNUMBER(O3731),O3731,0)+IF(ISNUMBER(P3731),P3731,0)))&lt;=Summary!$B$2),"Passes using beginning_balance - PreV_ETB differs from beginning_balance",IF(AND(ISNUMBER(O3731),O3731&lt;0,ABS(L3731-(Q3731-IF(ISNUMBER(N3731),N3731,0)+IF(ISNUMBER(P3731),P3731,0)))&lt;=Summary!$B$2),"Negative realized loss not applied - check sign",IF(R3731&lt;0,"Principal paid exceeds prior balance",IF(AND(L3731&gt;Q3731,NOT(ISNUMBER(P3731))),"Balance increased but no Deferred_interest reported",IF(L3731&gt;R3731,"Reported balance higher than expected (missing increase/OC build)","Reported balance lower than expected (missing decrease)"))))),""))</f>
        <v/>
      </c>
    </row>
    <row r="3732" customFormat="false" ht="15" hidden="false" customHeight="false" outlineLevel="0" collapsed="false">
      <c r="A3732" s="8"/>
      <c r="B3732" s="8"/>
      <c r="C3732" s="8"/>
      <c r="D3732" s="8"/>
      <c r="E3732" s="8"/>
      <c r="F3732" s="8"/>
      <c r="G3732" s="8"/>
      <c r="H3732" s="8"/>
      <c r="I3732" s="8"/>
      <c r="J3732" s="8"/>
      <c r="K3732" s="9"/>
      <c r="L3732" s="9"/>
      <c r="M3732" s="9"/>
      <c r="N3732" s="9"/>
      <c r="O3732" s="9"/>
      <c r="P3732" s="9"/>
      <c r="Q3732" s="9"/>
      <c r="R3732" s="9" t="str">
        <f aca="false">IF(AND(A3732&lt;&gt;"",ISNUMBER(Q3732),ISNUMBER(L3732)),ROUND(Q3732-IF(ISNUMBER(N3732),N3732,0)-IF(ISNUMBER(O3732),O3732,0)+IF(ISNUMBER(P3732),P3732,0),2),"")</f>
        <v/>
      </c>
      <c r="S3732" s="9" t="str">
        <f aca="false">IF(R3732="","",ROUND(L3732-R3732,2))</f>
        <v/>
      </c>
      <c r="T3732" s="8" t="str">
        <f aca="false">IF(A3732="","",IF(S3732="","BYPASS",IF(ABS(S3732)&lt;=Summary!$B$2,"PASS","FAIL")))</f>
        <v/>
      </c>
      <c r="U3732" s="8" t="str">
        <f aca="false">IF(T3732="BYPASS",IF(NOT(ISNUMBER(Q3732)),"PreV_ETB missing","End_tr_balance missing"),IF(T3732="FAIL",IF(AND(ISNUMBER(K3732),ISNUMBER(L3732),ABS(L3732-(K3732-IF(ISNUMBER(N3732),N3732,0)-IF(ISNUMBER(O3732),O3732,0)+IF(ISNUMBER(P3732),P3732,0)))&lt;=Summary!$B$2),"Passes using beginning_balance - PreV_ETB differs from beginning_balance",IF(AND(ISNUMBER(O3732),O3732&lt;0,ABS(L3732-(Q3732-IF(ISNUMBER(N3732),N3732,0)+IF(ISNUMBER(P3732),P3732,0)))&lt;=Summary!$B$2),"Negative realized loss not applied - check sign",IF(R3732&lt;0,"Principal paid exceeds prior balance",IF(AND(L3732&gt;Q3732,NOT(ISNUMBER(P3732))),"Balance increased but no Deferred_interest reported",IF(L3732&gt;R3732,"Reported balance higher than expected (missing increase/OC build)","Reported balance lower than expected (missing decrease)"))))),""))</f>
        <v/>
      </c>
    </row>
    <row r="3733" customFormat="false" ht="15" hidden="false" customHeight="false" outlineLevel="0" collapsed="false">
      <c r="A3733" s="8"/>
      <c r="B3733" s="8"/>
      <c r="C3733" s="8"/>
      <c r="D3733" s="8"/>
      <c r="E3733" s="8"/>
      <c r="F3733" s="8"/>
      <c r="G3733" s="8"/>
      <c r="H3733" s="8"/>
      <c r="I3733" s="8"/>
      <c r="J3733" s="8"/>
      <c r="K3733" s="9"/>
      <c r="L3733" s="9"/>
      <c r="M3733" s="9"/>
      <c r="N3733" s="9"/>
      <c r="O3733" s="9"/>
      <c r="P3733" s="9"/>
      <c r="Q3733" s="9"/>
      <c r="R3733" s="9" t="str">
        <f aca="false">IF(AND(A3733&lt;&gt;"",ISNUMBER(Q3733),ISNUMBER(L3733)),ROUND(Q3733-IF(ISNUMBER(N3733),N3733,0)-IF(ISNUMBER(O3733),O3733,0)+IF(ISNUMBER(P3733),P3733,0),2),"")</f>
        <v/>
      </c>
      <c r="S3733" s="9" t="str">
        <f aca="false">IF(R3733="","",ROUND(L3733-R3733,2))</f>
        <v/>
      </c>
      <c r="T3733" s="8" t="str">
        <f aca="false">IF(A3733="","",IF(S3733="","BYPASS",IF(ABS(S3733)&lt;=Summary!$B$2,"PASS","FAIL")))</f>
        <v/>
      </c>
      <c r="U3733" s="8" t="str">
        <f aca="false">IF(T3733="BYPASS",IF(NOT(ISNUMBER(Q3733)),"PreV_ETB missing","End_tr_balance missing"),IF(T3733="FAIL",IF(AND(ISNUMBER(K3733),ISNUMBER(L3733),ABS(L3733-(K3733-IF(ISNUMBER(N3733),N3733,0)-IF(ISNUMBER(O3733),O3733,0)+IF(ISNUMBER(P3733),P3733,0)))&lt;=Summary!$B$2),"Passes using beginning_balance - PreV_ETB differs from beginning_balance",IF(AND(ISNUMBER(O3733),O3733&lt;0,ABS(L3733-(Q3733-IF(ISNUMBER(N3733),N3733,0)+IF(ISNUMBER(P3733),P3733,0)))&lt;=Summary!$B$2),"Negative realized loss not applied - check sign",IF(R3733&lt;0,"Principal paid exceeds prior balance",IF(AND(L3733&gt;Q3733,NOT(ISNUMBER(P3733))),"Balance increased but no Deferred_interest reported",IF(L3733&gt;R3733,"Reported balance higher than expected (missing increase/OC build)","Reported balance lower than expected (missing decrease)"))))),""))</f>
        <v/>
      </c>
    </row>
    <row r="3734" customFormat="false" ht="15" hidden="false" customHeight="false" outlineLevel="0" collapsed="false">
      <c r="A3734" s="8"/>
      <c r="B3734" s="8"/>
      <c r="C3734" s="8"/>
      <c r="D3734" s="8"/>
      <c r="E3734" s="8"/>
      <c r="F3734" s="8"/>
      <c r="G3734" s="8"/>
      <c r="H3734" s="8"/>
      <c r="I3734" s="8"/>
      <c r="J3734" s="8"/>
      <c r="K3734" s="9"/>
      <c r="L3734" s="9"/>
      <c r="M3734" s="9"/>
      <c r="N3734" s="9"/>
      <c r="O3734" s="9"/>
      <c r="P3734" s="9"/>
      <c r="Q3734" s="9"/>
      <c r="R3734" s="9" t="str">
        <f aca="false">IF(AND(A3734&lt;&gt;"",ISNUMBER(Q3734),ISNUMBER(L3734)),ROUND(Q3734-IF(ISNUMBER(N3734),N3734,0)-IF(ISNUMBER(O3734),O3734,0)+IF(ISNUMBER(P3734),P3734,0),2),"")</f>
        <v/>
      </c>
      <c r="S3734" s="9" t="str">
        <f aca="false">IF(R3734="","",ROUND(L3734-R3734,2))</f>
        <v/>
      </c>
      <c r="T3734" s="8" t="str">
        <f aca="false">IF(A3734="","",IF(S3734="","BYPASS",IF(ABS(S3734)&lt;=Summary!$B$2,"PASS","FAIL")))</f>
        <v/>
      </c>
      <c r="U3734" s="8" t="str">
        <f aca="false">IF(T3734="BYPASS",IF(NOT(ISNUMBER(Q3734)),"PreV_ETB missing","End_tr_balance missing"),IF(T3734="FAIL",IF(AND(ISNUMBER(K3734),ISNUMBER(L3734),ABS(L3734-(K3734-IF(ISNUMBER(N3734),N3734,0)-IF(ISNUMBER(O3734),O3734,0)+IF(ISNUMBER(P3734),P3734,0)))&lt;=Summary!$B$2),"Passes using beginning_balance - PreV_ETB differs from beginning_balance",IF(AND(ISNUMBER(O3734),O3734&lt;0,ABS(L3734-(Q3734-IF(ISNUMBER(N3734),N3734,0)+IF(ISNUMBER(P3734),P3734,0)))&lt;=Summary!$B$2),"Negative realized loss not applied - check sign",IF(R3734&lt;0,"Principal paid exceeds prior balance",IF(AND(L3734&gt;Q3734,NOT(ISNUMBER(P3734))),"Balance increased but no Deferred_interest reported",IF(L3734&gt;R3734,"Reported balance higher than expected (missing increase/OC build)","Reported balance lower than expected (missing decrease)"))))),""))</f>
        <v/>
      </c>
    </row>
    <row r="3735" customFormat="false" ht="15" hidden="false" customHeight="false" outlineLevel="0" collapsed="false">
      <c r="A3735" s="8"/>
      <c r="B3735" s="8"/>
      <c r="C3735" s="8"/>
      <c r="D3735" s="8"/>
      <c r="E3735" s="8"/>
      <c r="F3735" s="8"/>
      <c r="G3735" s="8"/>
      <c r="H3735" s="8"/>
      <c r="I3735" s="8"/>
      <c r="J3735" s="8"/>
      <c r="K3735" s="9"/>
      <c r="L3735" s="9"/>
      <c r="M3735" s="9"/>
      <c r="N3735" s="9"/>
      <c r="O3735" s="9"/>
      <c r="P3735" s="9"/>
      <c r="Q3735" s="9"/>
      <c r="R3735" s="9" t="str">
        <f aca="false">IF(AND(A3735&lt;&gt;"",ISNUMBER(Q3735),ISNUMBER(L3735)),ROUND(Q3735-IF(ISNUMBER(N3735),N3735,0)-IF(ISNUMBER(O3735),O3735,0)+IF(ISNUMBER(P3735),P3735,0),2),"")</f>
        <v/>
      </c>
      <c r="S3735" s="9" t="str">
        <f aca="false">IF(R3735="","",ROUND(L3735-R3735,2))</f>
        <v/>
      </c>
      <c r="T3735" s="8" t="str">
        <f aca="false">IF(A3735="","",IF(S3735="","BYPASS",IF(ABS(S3735)&lt;=Summary!$B$2,"PASS","FAIL")))</f>
        <v/>
      </c>
      <c r="U3735" s="8" t="str">
        <f aca="false">IF(T3735="BYPASS",IF(NOT(ISNUMBER(Q3735)),"PreV_ETB missing","End_tr_balance missing"),IF(T3735="FAIL",IF(AND(ISNUMBER(K3735),ISNUMBER(L3735),ABS(L3735-(K3735-IF(ISNUMBER(N3735),N3735,0)-IF(ISNUMBER(O3735),O3735,0)+IF(ISNUMBER(P3735),P3735,0)))&lt;=Summary!$B$2),"Passes using beginning_balance - PreV_ETB differs from beginning_balance",IF(AND(ISNUMBER(O3735),O3735&lt;0,ABS(L3735-(Q3735-IF(ISNUMBER(N3735),N3735,0)+IF(ISNUMBER(P3735),P3735,0)))&lt;=Summary!$B$2),"Negative realized loss not applied - check sign",IF(R3735&lt;0,"Principal paid exceeds prior balance",IF(AND(L3735&gt;Q3735,NOT(ISNUMBER(P3735))),"Balance increased but no Deferred_interest reported",IF(L3735&gt;R3735,"Reported balance higher than expected (missing increase/OC build)","Reported balance lower than expected (missing decrease)"))))),""))</f>
        <v/>
      </c>
    </row>
    <row r="3736" customFormat="false" ht="15" hidden="false" customHeight="false" outlineLevel="0" collapsed="false">
      <c r="A3736" s="8"/>
      <c r="B3736" s="8"/>
      <c r="C3736" s="8"/>
      <c r="D3736" s="8"/>
      <c r="E3736" s="8"/>
      <c r="F3736" s="8"/>
      <c r="G3736" s="8"/>
      <c r="H3736" s="8"/>
      <c r="I3736" s="8"/>
      <c r="J3736" s="8"/>
      <c r="K3736" s="9"/>
      <c r="L3736" s="9"/>
      <c r="M3736" s="9"/>
      <c r="N3736" s="9"/>
      <c r="O3736" s="9"/>
      <c r="P3736" s="9"/>
      <c r="Q3736" s="9"/>
      <c r="R3736" s="9" t="str">
        <f aca="false">IF(AND(A3736&lt;&gt;"",ISNUMBER(Q3736),ISNUMBER(L3736)),ROUND(Q3736-IF(ISNUMBER(N3736),N3736,0)-IF(ISNUMBER(O3736),O3736,0)+IF(ISNUMBER(P3736),P3736,0),2),"")</f>
        <v/>
      </c>
      <c r="S3736" s="9" t="str">
        <f aca="false">IF(R3736="","",ROUND(L3736-R3736,2))</f>
        <v/>
      </c>
      <c r="T3736" s="8" t="str">
        <f aca="false">IF(A3736="","",IF(S3736="","BYPASS",IF(ABS(S3736)&lt;=Summary!$B$2,"PASS","FAIL")))</f>
        <v/>
      </c>
      <c r="U3736" s="8" t="str">
        <f aca="false">IF(T3736="BYPASS",IF(NOT(ISNUMBER(Q3736)),"PreV_ETB missing","End_tr_balance missing"),IF(T3736="FAIL",IF(AND(ISNUMBER(K3736),ISNUMBER(L3736),ABS(L3736-(K3736-IF(ISNUMBER(N3736),N3736,0)-IF(ISNUMBER(O3736),O3736,0)+IF(ISNUMBER(P3736),P3736,0)))&lt;=Summary!$B$2),"Passes using beginning_balance - PreV_ETB differs from beginning_balance",IF(AND(ISNUMBER(O3736),O3736&lt;0,ABS(L3736-(Q3736-IF(ISNUMBER(N3736),N3736,0)+IF(ISNUMBER(P3736),P3736,0)))&lt;=Summary!$B$2),"Negative realized loss not applied - check sign",IF(R3736&lt;0,"Principal paid exceeds prior balance",IF(AND(L3736&gt;Q3736,NOT(ISNUMBER(P3736))),"Balance increased but no Deferred_interest reported",IF(L3736&gt;R3736,"Reported balance higher than expected (missing increase/OC build)","Reported balance lower than expected (missing decrease)"))))),""))</f>
        <v/>
      </c>
    </row>
    <row r="3737" customFormat="false" ht="15" hidden="false" customHeight="false" outlineLevel="0" collapsed="false">
      <c r="A3737" s="8"/>
      <c r="B3737" s="8"/>
      <c r="C3737" s="8"/>
      <c r="D3737" s="8"/>
      <c r="E3737" s="8"/>
      <c r="F3737" s="8"/>
      <c r="G3737" s="8"/>
      <c r="H3737" s="8"/>
      <c r="I3737" s="8"/>
      <c r="J3737" s="8"/>
      <c r="K3737" s="9"/>
      <c r="L3737" s="9"/>
      <c r="M3737" s="9"/>
      <c r="N3737" s="9"/>
      <c r="O3737" s="9"/>
      <c r="P3737" s="9"/>
      <c r="Q3737" s="9"/>
      <c r="R3737" s="9" t="str">
        <f aca="false">IF(AND(A3737&lt;&gt;"",ISNUMBER(Q3737),ISNUMBER(L3737)),ROUND(Q3737-IF(ISNUMBER(N3737),N3737,0)-IF(ISNUMBER(O3737),O3737,0)+IF(ISNUMBER(P3737),P3737,0),2),"")</f>
        <v/>
      </c>
      <c r="S3737" s="9" t="str">
        <f aca="false">IF(R3737="","",ROUND(L3737-R3737,2))</f>
        <v/>
      </c>
      <c r="T3737" s="8" t="str">
        <f aca="false">IF(A3737="","",IF(S3737="","BYPASS",IF(ABS(S3737)&lt;=Summary!$B$2,"PASS","FAIL")))</f>
        <v/>
      </c>
      <c r="U3737" s="8" t="str">
        <f aca="false">IF(T3737="BYPASS",IF(NOT(ISNUMBER(Q3737)),"PreV_ETB missing","End_tr_balance missing"),IF(T3737="FAIL",IF(AND(ISNUMBER(K3737),ISNUMBER(L3737),ABS(L3737-(K3737-IF(ISNUMBER(N3737),N3737,0)-IF(ISNUMBER(O3737),O3737,0)+IF(ISNUMBER(P3737),P3737,0)))&lt;=Summary!$B$2),"Passes using beginning_balance - PreV_ETB differs from beginning_balance",IF(AND(ISNUMBER(O3737),O3737&lt;0,ABS(L3737-(Q3737-IF(ISNUMBER(N3737),N3737,0)+IF(ISNUMBER(P3737),P3737,0)))&lt;=Summary!$B$2),"Negative realized loss not applied - check sign",IF(R3737&lt;0,"Principal paid exceeds prior balance",IF(AND(L3737&gt;Q3737,NOT(ISNUMBER(P3737))),"Balance increased but no Deferred_interest reported",IF(L3737&gt;R3737,"Reported balance higher than expected (missing increase/OC build)","Reported balance lower than expected (missing decrease)"))))),""))</f>
        <v/>
      </c>
    </row>
    <row r="3738" customFormat="false" ht="15" hidden="false" customHeight="false" outlineLevel="0" collapsed="false">
      <c r="A3738" s="8"/>
      <c r="B3738" s="8"/>
      <c r="C3738" s="8"/>
      <c r="D3738" s="8"/>
      <c r="E3738" s="8"/>
      <c r="F3738" s="8"/>
      <c r="G3738" s="8"/>
      <c r="H3738" s="8"/>
      <c r="I3738" s="8"/>
      <c r="J3738" s="8"/>
      <c r="K3738" s="9"/>
      <c r="L3738" s="9"/>
      <c r="M3738" s="9"/>
      <c r="N3738" s="9"/>
      <c r="O3738" s="9"/>
      <c r="P3738" s="9"/>
      <c r="Q3738" s="9"/>
      <c r="R3738" s="9" t="str">
        <f aca="false">IF(AND(A3738&lt;&gt;"",ISNUMBER(Q3738),ISNUMBER(L3738)),ROUND(Q3738-IF(ISNUMBER(N3738),N3738,0)-IF(ISNUMBER(O3738),O3738,0)+IF(ISNUMBER(P3738),P3738,0),2),"")</f>
        <v/>
      </c>
      <c r="S3738" s="9" t="str">
        <f aca="false">IF(R3738="","",ROUND(L3738-R3738,2))</f>
        <v/>
      </c>
      <c r="T3738" s="8" t="str">
        <f aca="false">IF(A3738="","",IF(S3738="","BYPASS",IF(ABS(S3738)&lt;=Summary!$B$2,"PASS","FAIL")))</f>
        <v/>
      </c>
      <c r="U3738" s="8" t="str">
        <f aca="false">IF(T3738="BYPASS",IF(NOT(ISNUMBER(Q3738)),"PreV_ETB missing","End_tr_balance missing"),IF(T3738="FAIL",IF(AND(ISNUMBER(K3738),ISNUMBER(L3738),ABS(L3738-(K3738-IF(ISNUMBER(N3738),N3738,0)-IF(ISNUMBER(O3738),O3738,0)+IF(ISNUMBER(P3738),P3738,0)))&lt;=Summary!$B$2),"Passes using beginning_balance - PreV_ETB differs from beginning_balance",IF(AND(ISNUMBER(O3738),O3738&lt;0,ABS(L3738-(Q3738-IF(ISNUMBER(N3738),N3738,0)+IF(ISNUMBER(P3738),P3738,0)))&lt;=Summary!$B$2),"Negative realized loss not applied - check sign",IF(R3738&lt;0,"Principal paid exceeds prior balance",IF(AND(L3738&gt;Q3738,NOT(ISNUMBER(P3738))),"Balance increased but no Deferred_interest reported",IF(L3738&gt;R3738,"Reported balance higher than expected (missing increase/OC build)","Reported balance lower than expected (missing decrease)"))))),""))</f>
        <v/>
      </c>
    </row>
    <row r="3739" customFormat="false" ht="15" hidden="false" customHeight="false" outlineLevel="0" collapsed="false">
      <c r="A3739" s="8"/>
      <c r="B3739" s="8"/>
      <c r="C3739" s="8"/>
      <c r="D3739" s="8"/>
      <c r="E3739" s="8"/>
      <c r="F3739" s="8"/>
      <c r="G3739" s="8"/>
      <c r="H3739" s="8"/>
      <c r="I3739" s="8"/>
      <c r="J3739" s="8"/>
      <c r="K3739" s="9"/>
      <c r="L3739" s="9"/>
      <c r="M3739" s="9"/>
      <c r="N3739" s="9"/>
      <c r="O3739" s="9"/>
      <c r="P3739" s="9"/>
      <c r="Q3739" s="9"/>
      <c r="R3739" s="9" t="str">
        <f aca="false">IF(AND(A3739&lt;&gt;"",ISNUMBER(Q3739),ISNUMBER(L3739)),ROUND(Q3739-IF(ISNUMBER(N3739),N3739,0)-IF(ISNUMBER(O3739),O3739,0)+IF(ISNUMBER(P3739),P3739,0),2),"")</f>
        <v/>
      </c>
      <c r="S3739" s="9" t="str">
        <f aca="false">IF(R3739="","",ROUND(L3739-R3739,2))</f>
        <v/>
      </c>
      <c r="T3739" s="8" t="str">
        <f aca="false">IF(A3739="","",IF(S3739="","BYPASS",IF(ABS(S3739)&lt;=Summary!$B$2,"PASS","FAIL")))</f>
        <v/>
      </c>
      <c r="U3739" s="8" t="str">
        <f aca="false">IF(T3739="BYPASS",IF(NOT(ISNUMBER(Q3739)),"PreV_ETB missing","End_tr_balance missing"),IF(T3739="FAIL",IF(AND(ISNUMBER(K3739),ISNUMBER(L3739),ABS(L3739-(K3739-IF(ISNUMBER(N3739),N3739,0)-IF(ISNUMBER(O3739),O3739,0)+IF(ISNUMBER(P3739),P3739,0)))&lt;=Summary!$B$2),"Passes using beginning_balance - PreV_ETB differs from beginning_balance",IF(AND(ISNUMBER(O3739),O3739&lt;0,ABS(L3739-(Q3739-IF(ISNUMBER(N3739),N3739,0)+IF(ISNUMBER(P3739),P3739,0)))&lt;=Summary!$B$2),"Negative realized loss not applied - check sign",IF(R3739&lt;0,"Principal paid exceeds prior balance",IF(AND(L3739&gt;Q3739,NOT(ISNUMBER(P3739))),"Balance increased but no Deferred_interest reported",IF(L3739&gt;R3739,"Reported balance higher than expected (missing increase/OC build)","Reported balance lower than expected (missing decrease)"))))),""))</f>
        <v/>
      </c>
    </row>
    <row r="3740" customFormat="false" ht="15" hidden="false" customHeight="false" outlineLevel="0" collapsed="false">
      <c r="A3740" s="8"/>
      <c r="B3740" s="8"/>
      <c r="C3740" s="8"/>
      <c r="D3740" s="8"/>
      <c r="E3740" s="8"/>
      <c r="F3740" s="8"/>
      <c r="G3740" s="8"/>
      <c r="H3740" s="8"/>
      <c r="I3740" s="8"/>
      <c r="J3740" s="8"/>
      <c r="K3740" s="9"/>
      <c r="L3740" s="9"/>
      <c r="M3740" s="9"/>
      <c r="N3740" s="9"/>
      <c r="O3740" s="9"/>
      <c r="P3740" s="9"/>
      <c r="Q3740" s="9"/>
      <c r="R3740" s="9" t="str">
        <f aca="false">IF(AND(A3740&lt;&gt;"",ISNUMBER(Q3740),ISNUMBER(L3740)),ROUND(Q3740-IF(ISNUMBER(N3740),N3740,0)-IF(ISNUMBER(O3740),O3740,0)+IF(ISNUMBER(P3740),P3740,0),2),"")</f>
        <v/>
      </c>
      <c r="S3740" s="9" t="str">
        <f aca="false">IF(R3740="","",ROUND(L3740-R3740,2))</f>
        <v/>
      </c>
      <c r="T3740" s="8" t="str">
        <f aca="false">IF(A3740="","",IF(S3740="","BYPASS",IF(ABS(S3740)&lt;=Summary!$B$2,"PASS","FAIL")))</f>
        <v/>
      </c>
      <c r="U3740" s="8" t="str">
        <f aca="false">IF(T3740="BYPASS",IF(NOT(ISNUMBER(Q3740)),"PreV_ETB missing","End_tr_balance missing"),IF(T3740="FAIL",IF(AND(ISNUMBER(K3740),ISNUMBER(L3740),ABS(L3740-(K3740-IF(ISNUMBER(N3740),N3740,0)-IF(ISNUMBER(O3740),O3740,0)+IF(ISNUMBER(P3740),P3740,0)))&lt;=Summary!$B$2),"Passes using beginning_balance - PreV_ETB differs from beginning_balance",IF(AND(ISNUMBER(O3740),O3740&lt;0,ABS(L3740-(Q3740-IF(ISNUMBER(N3740),N3740,0)+IF(ISNUMBER(P3740),P3740,0)))&lt;=Summary!$B$2),"Negative realized loss not applied - check sign",IF(R3740&lt;0,"Principal paid exceeds prior balance",IF(AND(L3740&gt;Q3740,NOT(ISNUMBER(P3740))),"Balance increased but no Deferred_interest reported",IF(L3740&gt;R3740,"Reported balance higher than expected (missing increase/OC build)","Reported balance lower than expected (missing decrease)"))))),""))</f>
        <v/>
      </c>
    </row>
    <row r="3741" customFormat="false" ht="15" hidden="false" customHeight="false" outlineLevel="0" collapsed="false">
      <c r="A3741" s="8"/>
      <c r="B3741" s="8"/>
      <c r="C3741" s="8"/>
      <c r="D3741" s="8"/>
      <c r="E3741" s="8"/>
      <c r="F3741" s="8"/>
      <c r="G3741" s="8"/>
      <c r="H3741" s="8"/>
      <c r="I3741" s="8"/>
      <c r="J3741" s="8"/>
      <c r="K3741" s="9"/>
      <c r="L3741" s="9"/>
      <c r="M3741" s="9"/>
      <c r="N3741" s="9"/>
      <c r="O3741" s="9"/>
      <c r="P3741" s="9"/>
      <c r="Q3741" s="9"/>
      <c r="R3741" s="9" t="str">
        <f aca="false">IF(AND(A3741&lt;&gt;"",ISNUMBER(Q3741),ISNUMBER(L3741)),ROUND(Q3741-IF(ISNUMBER(N3741),N3741,0)-IF(ISNUMBER(O3741),O3741,0)+IF(ISNUMBER(P3741),P3741,0),2),"")</f>
        <v/>
      </c>
      <c r="S3741" s="9" t="str">
        <f aca="false">IF(R3741="","",ROUND(L3741-R3741,2))</f>
        <v/>
      </c>
      <c r="T3741" s="8" t="str">
        <f aca="false">IF(A3741="","",IF(S3741="","BYPASS",IF(ABS(S3741)&lt;=Summary!$B$2,"PASS","FAIL")))</f>
        <v/>
      </c>
      <c r="U3741" s="8" t="str">
        <f aca="false">IF(T3741="BYPASS",IF(NOT(ISNUMBER(Q3741)),"PreV_ETB missing","End_tr_balance missing"),IF(T3741="FAIL",IF(AND(ISNUMBER(K3741),ISNUMBER(L3741),ABS(L3741-(K3741-IF(ISNUMBER(N3741),N3741,0)-IF(ISNUMBER(O3741),O3741,0)+IF(ISNUMBER(P3741),P3741,0)))&lt;=Summary!$B$2),"Passes using beginning_balance - PreV_ETB differs from beginning_balance",IF(AND(ISNUMBER(O3741),O3741&lt;0,ABS(L3741-(Q3741-IF(ISNUMBER(N3741),N3741,0)+IF(ISNUMBER(P3741),P3741,0)))&lt;=Summary!$B$2),"Negative realized loss not applied - check sign",IF(R3741&lt;0,"Principal paid exceeds prior balance",IF(AND(L3741&gt;Q3741,NOT(ISNUMBER(P3741))),"Balance increased but no Deferred_interest reported",IF(L3741&gt;R3741,"Reported balance higher than expected (missing increase/OC build)","Reported balance lower than expected (missing decrease)"))))),""))</f>
        <v/>
      </c>
    </row>
    <row r="3742" customFormat="false" ht="15" hidden="false" customHeight="false" outlineLevel="0" collapsed="false">
      <c r="A3742" s="8"/>
      <c r="B3742" s="8"/>
      <c r="C3742" s="8"/>
      <c r="D3742" s="8"/>
      <c r="E3742" s="8"/>
      <c r="F3742" s="8"/>
      <c r="G3742" s="8"/>
      <c r="H3742" s="8"/>
      <c r="I3742" s="8"/>
      <c r="J3742" s="8"/>
      <c r="K3742" s="9"/>
      <c r="L3742" s="9"/>
      <c r="M3742" s="9"/>
      <c r="N3742" s="9"/>
      <c r="O3742" s="9"/>
      <c r="P3742" s="9"/>
      <c r="Q3742" s="9"/>
      <c r="R3742" s="9" t="str">
        <f aca="false">IF(AND(A3742&lt;&gt;"",ISNUMBER(Q3742),ISNUMBER(L3742)),ROUND(Q3742-IF(ISNUMBER(N3742),N3742,0)-IF(ISNUMBER(O3742),O3742,0)+IF(ISNUMBER(P3742),P3742,0),2),"")</f>
        <v/>
      </c>
      <c r="S3742" s="9" t="str">
        <f aca="false">IF(R3742="","",ROUND(L3742-R3742,2))</f>
        <v/>
      </c>
      <c r="T3742" s="8" t="str">
        <f aca="false">IF(A3742="","",IF(S3742="","BYPASS",IF(ABS(S3742)&lt;=Summary!$B$2,"PASS","FAIL")))</f>
        <v/>
      </c>
      <c r="U3742" s="8" t="str">
        <f aca="false">IF(T3742="BYPASS",IF(NOT(ISNUMBER(Q3742)),"PreV_ETB missing","End_tr_balance missing"),IF(T3742="FAIL",IF(AND(ISNUMBER(K3742),ISNUMBER(L3742),ABS(L3742-(K3742-IF(ISNUMBER(N3742),N3742,0)-IF(ISNUMBER(O3742),O3742,0)+IF(ISNUMBER(P3742),P3742,0)))&lt;=Summary!$B$2),"Passes using beginning_balance - PreV_ETB differs from beginning_balance",IF(AND(ISNUMBER(O3742),O3742&lt;0,ABS(L3742-(Q3742-IF(ISNUMBER(N3742),N3742,0)+IF(ISNUMBER(P3742),P3742,0)))&lt;=Summary!$B$2),"Negative realized loss not applied - check sign",IF(R3742&lt;0,"Principal paid exceeds prior balance",IF(AND(L3742&gt;Q3742,NOT(ISNUMBER(P3742))),"Balance increased but no Deferred_interest reported",IF(L3742&gt;R3742,"Reported balance higher than expected (missing increase/OC build)","Reported balance lower than expected (missing decrease)"))))),""))</f>
        <v/>
      </c>
    </row>
    <row r="3743" customFormat="false" ht="15" hidden="false" customHeight="false" outlineLevel="0" collapsed="false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9"/>
      <c r="L3743" s="9"/>
      <c r="M3743" s="9"/>
      <c r="N3743" s="9"/>
      <c r="O3743" s="9"/>
      <c r="P3743" s="9"/>
      <c r="Q3743" s="9"/>
      <c r="R3743" s="9" t="str">
        <f aca="false">IF(AND(A3743&lt;&gt;"",ISNUMBER(Q3743),ISNUMBER(L3743)),ROUND(Q3743-IF(ISNUMBER(N3743),N3743,0)-IF(ISNUMBER(O3743),O3743,0)+IF(ISNUMBER(P3743),P3743,0),2),"")</f>
        <v/>
      </c>
      <c r="S3743" s="9" t="str">
        <f aca="false">IF(R3743="","",ROUND(L3743-R3743,2))</f>
        <v/>
      </c>
      <c r="T3743" s="8" t="str">
        <f aca="false">IF(A3743="","",IF(S3743="","BYPASS",IF(ABS(S3743)&lt;=Summary!$B$2,"PASS","FAIL")))</f>
        <v/>
      </c>
      <c r="U3743" s="8" t="str">
        <f aca="false">IF(T3743="BYPASS",IF(NOT(ISNUMBER(Q3743)),"PreV_ETB missing","End_tr_balance missing"),IF(T3743="FAIL",IF(AND(ISNUMBER(K3743),ISNUMBER(L3743),ABS(L3743-(K3743-IF(ISNUMBER(N3743),N3743,0)-IF(ISNUMBER(O3743),O3743,0)+IF(ISNUMBER(P3743),P3743,0)))&lt;=Summary!$B$2),"Passes using beginning_balance - PreV_ETB differs from beginning_balance",IF(AND(ISNUMBER(O3743),O3743&lt;0,ABS(L3743-(Q3743-IF(ISNUMBER(N3743),N3743,0)+IF(ISNUMBER(P3743),P3743,0)))&lt;=Summary!$B$2),"Negative realized loss not applied - check sign",IF(R3743&lt;0,"Principal paid exceeds prior balance",IF(AND(L3743&gt;Q3743,NOT(ISNUMBER(P3743))),"Balance increased but no Deferred_interest reported",IF(L3743&gt;R3743,"Reported balance higher than expected (missing increase/OC build)","Reported balance lower than expected (missing decrease)"))))),""))</f>
        <v/>
      </c>
    </row>
    <row r="3744" customFormat="false" ht="15" hidden="false" customHeight="false" outlineLevel="0" collapsed="false">
      <c r="A3744" s="8"/>
      <c r="B3744" s="8"/>
      <c r="C3744" s="8"/>
      <c r="D3744" s="8"/>
      <c r="E3744" s="8"/>
      <c r="F3744" s="8"/>
      <c r="G3744" s="8"/>
      <c r="H3744" s="8"/>
      <c r="I3744" s="8"/>
      <c r="J3744" s="8"/>
      <c r="K3744" s="9"/>
      <c r="L3744" s="9"/>
      <c r="M3744" s="9"/>
      <c r="N3744" s="9"/>
      <c r="O3744" s="9"/>
      <c r="P3744" s="9"/>
      <c r="Q3744" s="9"/>
      <c r="R3744" s="9" t="str">
        <f aca="false">IF(AND(A3744&lt;&gt;"",ISNUMBER(Q3744),ISNUMBER(L3744)),ROUND(Q3744-IF(ISNUMBER(N3744),N3744,0)-IF(ISNUMBER(O3744),O3744,0)+IF(ISNUMBER(P3744),P3744,0),2),"")</f>
        <v/>
      </c>
      <c r="S3744" s="9" t="str">
        <f aca="false">IF(R3744="","",ROUND(L3744-R3744,2))</f>
        <v/>
      </c>
      <c r="T3744" s="8" t="str">
        <f aca="false">IF(A3744="","",IF(S3744="","BYPASS",IF(ABS(S3744)&lt;=Summary!$B$2,"PASS","FAIL")))</f>
        <v/>
      </c>
      <c r="U3744" s="8" t="str">
        <f aca="false">IF(T3744="BYPASS",IF(NOT(ISNUMBER(Q3744)),"PreV_ETB missing","End_tr_balance missing"),IF(T3744="FAIL",IF(AND(ISNUMBER(K3744),ISNUMBER(L3744),ABS(L3744-(K3744-IF(ISNUMBER(N3744),N3744,0)-IF(ISNUMBER(O3744),O3744,0)+IF(ISNUMBER(P3744),P3744,0)))&lt;=Summary!$B$2),"Passes using beginning_balance - PreV_ETB differs from beginning_balance",IF(AND(ISNUMBER(O3744),O3744&lt;0,ABS(L3744-(Q3744-IF(ISNUMBER(N3744),N3744,0)+IF(ISNUMBER(P3744),P3744,0)))&lt;=Summary!$B$2),"Negative realized loss not applied - check sign",IF(R3744&lt;0,"Principal paid exceeds prior balance",IF(AND(L3744&gt;Q3744,NOT(ISNUMBER(P3744))),"Balance increased but no Deferred_interest reported",IF(L3744&gt;R3744,"Reported balance higher than expected (missing increase/OC build)","Reported balance lower than expected (missing decrease)"))))),""))</f>
        <v/>
      </c>
    </row>
    <row r="3745" customFormat="false" ht="15" hidden="false" customHeight="false" outlineLevel="0" collapsed="false">
      <c r="A3745" s="8"/>
      <c r="B3745" s="8"/>
      <c r="C3745" s="8"/>
      <c r="D3745" s="8"/>
      <c r="E3745" s="8"/>
      <c r="F3745" s="8"/>
      <c r="G3745" s="8"/>
      <c r="H3745" s="8"/>
      <c r="I3745" s="8"/>
      <c r="J3745" s="8"/>
      <c r="K3745" s="9"/>
      <c r="L3745" s="9"/>
      <c r="M3745" s="9"/>
      <c r="N3745" s="9"/>
      <c r="O3745" s="9"/>
      <c r="P3745" s="9"/>
      <c r="Q3745" s="9"/>
      <c r="R3745" s="9" t="str">
        <f aca="false">IF(AND(A3745&lt;&gt;"",ISNUMBER(Q3745),ISNUMBER(L3745)),ROUND(Q3745-IF(ISNUMBER(N3745),N3745,0)-IF(ISNUMBER(O3745),O3745,0)+IF(ISNUMBER(P3745),P3745,0),2),"")</f>
        <v/>
      </c>
      <c r="S3745" s="9" t="str">
        <f aca="false">IF(R3745="","",ROUND(L3745-R3745,2))</f>
        <v/>
      </c>
      <c r="T3745" s="8" t="str">
        <f aca="false">IF(A3745="","",IF(S3745="","BYPASS",IF(ABS(S3745)&lt;=Summary!$B$2,"PASS","FAIL")))</f>
        <v/>
      </c>
      <c r="U3745" s="8" t="str">
        <f aca="false">IF(T3745="BYPASS",IF(NOT(ISNUMBER(Q3745)),"PreV_ETB missing","End_tr_balance missing"),IF(T3745="FAIL",IF(AND(ISNUMBER(K3745),ISNUMBER(L3745),ABS(L3745-(K3745-IF(ISNUMBER(N3745),N3745,0)-IF(ISNUMBER(O3745),O3745,0)+IF(ISNUMBER(P3745),P3745,0)))&lt;=Summary!$B$2),"Passes using beginning_balance - PreV_ETB differs from beginning_balance",IF(AND(ISNUMBER(O3745),O3745&lt;0,ABS(L3745-(Q3745-IF(ISNUMBER(N3745),N3745,0)+IF(ISNUMBER(P3745),P3745,0)))&lt;=Summary!$B$2),"Negative realized loss not applied - check sign",IF(R3745&lt;0,"Principal paid exceeds prior balance",IF(AND(L3745&gt;Q3745,NOT(ISNUMBER(P3745))),"Balance increased but no Deferred_interest reported",IF(L3745&gt;R3745,"Reported balance higher than expected (missing increase/OC build)","Reported balance lower than expected (missing decrease)"))))),""))</f>
        <v/>
      </c>
    </row>
    <row r="3746" customFormat="false" ht="15" hidden="false" customHeight="false" outlineLevel="0" collapsed="false">
      <c r="A3746" s="8"/>
      <c r="B3746" s="8"/>
      <c r="C3746" s="8"/>
      <c r="D3746" s="8"/>
      <c r="E3746" s="8"/>
      <c r="F3746" s="8"/>
      <c r="G3746" s="8"/>
      <c r="H3746" s="8"/>
      <c r="I3746" s="8"/>
      <c r="J3746" s="8"/>
      <c r="K3746" s="9"/>
      <c r="L3746" s="9"/>
      <c r="M3746" s="9"/>
      <c r="N3746" s="9"/>
      <c r="O3746" s="9"/>
      <c r="P3746" s="9"/>
      <c r="Q3746" s="9"/>
      <c r="R3746" s="9" t="str">
        <f aca="false">IF(AND(A3746&lt;&gt;"",ISNUMBER(Q3746),ISNUMBER(L3746)),ROUND(Q3746-IF(ISNUMBER(N3746),N3746,0)-IF(ISNUMBER(O3746),O3746,0)+IF(ISNUMBER(P3746),P3746,0),2),"")</f>
        <v/>
      </c>
      <c r="S3746" s="9" t="str">
        <f aca="false">IF(R3746="","",ROUND(L3746-R3746,2))</f>
        <v/>
      </c>
      <c r="T3746" s="8" t="str">
        <f aca="false">IF(A3746="","",IF(S3746="","BYPASS",IF(ABS(S3746)&lt;=Summary!$B$2,"PASS","FAIL")))</f>
        <v/>
      </c>
      <c r="U3746" s="8" t="str">
        <f aca="false">IF(T3746="BYPASS",IF(NOT(ISNUMBER(Q3746)),"PreV_ETB missing","End_tr_balance missing"),IF(T3746="FAIL",IF(AND(ISNUMBER(K3746),ISNUMBER(L3746),ABS(L3746-(K3746-IF(ISNUMBER(N3746),N3746,0)-IF(ISNUMBER(O3746),O3746,0)+IF(ISNUMBER(P3746),P3746,0)))&lt;=Summary!$B$2),"Passes using beginning_balance - PreV_ETB differs from beginning_balance",IF(AND(ISNUMBER(O3746),O3746&lt;0,ABS(L3746-(Q3746-IF(ISNUMBER(N3746),N3746,0)+IF(ISNUMBER(P3746),P3746,0)))&lt;=Summary!$B$2),"Negative realized loss not applied - check sign",IF(R3746&lt;0,"Principal paid exceeds prior balance",IF(AND(L3746&gt;Q3746,NOT(ISNUMBER(P3746))),"Balance increased but no Deferred_interest reported",IF(L3746&gt;R3746,"Reported balance higher than expected (missing increase/OC build)","Reported balance lower than expected (missing decrease)"))))),""))</f>
        <v/>
      </c>
    </row>
    <row r="3747" customFormat="false" ht="15" hidden="false" customHeight="false" outlineLevel="0" collapsed="false">
      <c r="A3747" s="8"/>
      <c r="B3747" s="8"/>
      <c r="C3747" s="8"/>
      <c r="D3747" s="8"/>
      <c r="E3747" s="8"/>
      <c r="F3747" s="8"/>
      <c r="G3747" s="8"/>
      <c r="H3747" s="8"/>
      <c r="I3747" s="8"/>
      <c r="J3747" s="8"/>
      <c r="K3747" s="9"/>
      <c r="L3747" s="9"/>
      <c r="M3747" s="9"/>
      <c r="N3747" s="9"/>
      <c r="O3747" s="9"/>
      <c r="P3747" s="9"/>
      <c r="Q3747" s="9"/>
      <c r="R3747" s="9" t="str">
        <f aca="false">IF(AND(A3747&lt;&gt;"",ISNUMBER(Q3747),ISNUMBER(L3747)),ROUND(Q3747-IF(ISNUMBER(N3747),N3747,0)-IF(ISNUMBER(O3747),O3747,0)+IF(ISNUMBER(P3747),P3747,0),2),"")</f>
        <v/>
      </c>
      <c r="S3747" s="9" t="str">
        <f aca="false">IF(R3747="","",ROUND(L3747-R3747,2))</f>
        <v/>
      </c>
      <c r="T3747" s="8" t="str">
        <f aca="false">IF(A3747="","",IF(S3747="","BYPASS",IF(ABS(S3747)&lt;=Summary!$B$2,"PASS","FAIL")))</f>
        <v/>
      </c>
      <c r="U3747" s="8" t="str">
        <f aca="false">IF(T3747="BYPASS",IF(NOT(ISNUMBER(Q3747)),"PreV_ETB missing","End_tr_balance missing"),IF(T3747="FAIL",IF(AND(ISNUMBER(K3747),ISNUMBER(L3747),ABS(L3747-(K3747-IF(ISNUMBER(N3747),N3747,0)-IF(ISNUMBER(O3747),O3747,0)+IF(ISNUMBER(P3747),P3747,0)))&lt;=Summary!$B$2),"Passes using beginning_balance - PreV_ETB differs from beginning_balance",IF(AND(ISNUMBER(O3747),O3747&lt;0,ABS(L3747-(Q3747-IF(ISNUMBER(N3747),N3747,0)+IF(ISNUMBER(P3747),P3747,0)))&lt;=Summary!$B$2),"Negative realized loss not applied - check sign",IF(R3747&lt;0,"Principal paid exceeds prior balance",IF(AND(L3747&gt;Q3747,NOT(ISNUMBER(P3747))),"Balance increased but no Deferred_interest reported",IF(L3747&gt;R3747,"Reported balance higher than expected (missing increase/OC build)","Reported balance lower than expected (missing decrease)"))))),""))</f>
        <v/>
      </c>
    </row>
    <row r="3748" customFormat="false" ht="15" hidden="false" customHeight="false" outlineLevel="0" collapsed="false">
      <c r="A3748" s="8"/>
      <c r="B3748" s="8"/>
      <c r="C3748" s="8"/>
      <c r="D3748" s="8"/>
      <c r="E3748" s="8"/>
      <c r="F3748" s="8"/>
      <c r="G3748" s="8"/>
      <c r="H3748" s="8"/>
      <c r="I3748" s="8"/>
      <c r="J3748" s="8"/>
      <c r="K3748" s="9"/>
      <c r="L3748" s="9"/>
      <c r="M3748" s="9"/>
      <c r="N3748" s="9"/>
      <c r="O3748" s="9"/>
      <c r="P3748" s="9"/>
      <c r="Q3748" s="9"/>
      <c r="R3748" s="9" t="str">
        <f aca="false">IF(AND(A3748&lt;&gt;"",ISNUMBER(Q3748),ISNUMBER(L3748)),ROUND(Q3748-IF(ISNUMBER(N3748),N3748,0)-IF(ISNUMBER(O3748),O3748,0)+IF(ISNUMBER(P3748),P3748,0),2),"")</f>
        <v/>
      </c>
      <c r="S3748" s="9" t="str">
        <f aca="false">IF(R3748="","",ROUND(L3748-R3748,2))</f>
        <v/>
      </c>
      <c r="T3748" s="8" t="str">
        <f aca="false">IF(A3748="","",IF(S3748="","BYPASS",IF(ABS(S3748)&lt;=Summary!$B$2,"PASS","FAIL")))</f>
        <v/>
      </c>
      <c r="U3748" s="8" t="str">
        <f aca="false">IF(T3748="BYPASS",IF(NOT(ISNUMBER(Q3748)),"PreV_ETB missing","End_tr_balance missing"),IF(T3748="FAIL",IF(AND(ISNUMBER(K3748),ISNUMBER(L3748),ABS(L3748-(K3748-IF(ISNUMBER(N3748),N3748,0)-IF(ISNUMBER(O3748),O3748,0)+IF(ISNUMBER(P3748),P3748,0)))&lt;=Summary!$B$2),"Passes using beginning_balance - PreV_ETB differs from beginning_balance",IF(AND(ISNUMBER(O3748),O3748&lt;0,ABS(L3748-(Q3748-IF(ISNUMBER(N3748),N3748,0)+IF(ISNUMBER(P3748),P3748,0)))&lt;=Summary!$B$2),"Negative realized loss not applied - check sign",IF(R3748&lt;0,"Principal paid exceeds prior balance",IF(AND(L3748&gt;Q3748,NOT(ISNUMBER(P3748))),"Balance increased but no Deferred_interest reported",IF(L3748&gt;R3748,"Reported balance higher than expected (missing increase/OC build)","Reported balance lower than expected (missing decrease)"))))),""))</f>
        <v/>
      </c>
    </row>
    <row r="3749" customFormat="false" ht="15" hidden="false" customHeight="false" outlineLevel="0" collapsed="false">
      <c r="A3749" s="8"/>
      <c r="B3749" s="8"/>
      <c r="C3749" s="8"/>
      <c r="D3749" s="8"/>
      <c r="E3749" s="8"/>
      <c r="F3749" s="8"/>
      <c r="G3749" s="8"/>
      <c r="H3749" s="8"/>
      <c r="I3749" s="8"/>
      <c r="J3749" s="8"/>
      <c r="K3749" s="9"/>
      <c r="L3749" s="9"/>
      <c r="M3749" s="9"/>
      <c r="N3749" s="9"/>
      <c r="O3749" s="9"/>
      <c r="P3749" s="9"/>
      <c r="Q3749" s="9"/>
      <c r="R3749" s="9" t="str">
        <f aca="false">IF(AND(A3749&lt;&gt;"",ISNUMBER(Q3749),ISNUMBER(L3749)),ROUND(Q3749-IF(ISNUMBER(N3749),N3749,0)-IF(ISNUMBER(O3749),O3749,0)+IF(ISNUMBER(P3749),P3749,0),2),"")</f>
        <v/>
      </c>
      <c r="S3749" s="9" t="str">
        <f aca="false">IF(R3749="","",ROUND(L3749-R3749,2))</f>
        <v/>
      </c>
      <c r="T3749" s="8" t="str">
        <f aca="false">IF(A3749="","",IF(S3749="","BYPASS",IF(ABS(S3749)&lt;=Summary!$B$2,"PASS","FAIL")))</f>
        <v/>
      </c>
      <c r="U3749" s="8" t="str">
        <f aca="false">IF(T3749="BYPASS",IF(NOT(ISNUMBER(Q3749)),"PreV_ETB missing","End_tr_balance missing"),IF(T3749="FAIL",IF(AND(ISNUMBER(K3749),ISNUMBER(L3749),ABS(L3749-(K3749-IF(ISNUMBER(N3749),N3749,0)-IF(ISNUMBER(O3749),O3749,0)+IF(ISNUMBER(P3749),P3749,0)))&lt;=Summary!$B$2),"Passes using beginning_balance - PreV_ETB differs from beginning_balance",IF(AND(ISNUMBER(O3749),O3749&lt;0,ABS(L3749-(Q3749-IF(ISNUMBER(N3749),N3749,0)+IF(ISNUMBER(P3749),P3749,0)))&lt;=Summary!$B$2),"Negative realized loss not applied - check sign",IF(R3749&lt;0,"Principal paid exceeds prior balance",IF(AND(L3749&gt;Q3749,NOT(ISNUMBER(P3749))),"Balance increased but no Deferred_interest reported",IF(L3749&gt;R3749,"Reported balance higher than expected (missing increase/OC build)","Reported balance lower than expected (missing decrease)"))))),""))</f>
        <v/>
      </c>
    </row>
    <row r="3750" customFormat="false" ht="15" hidden="false" customHeight="false" outlineLevel="0" collapsed="false">
      <c r="A3750" s="8"/>
      <c r="B3750" s="8"/>
      <c r="C3750" s="8"/>
      <c r="D3750" s="8"/>
      <c r="E3750" s="8"/>
      <c r="F3750" s="8"/>
      <c r="G3750" s="8"/>
      <c r="H3750" s="8"/>
      <c r="I3750" s="8"/>
      <c r="J3750" s="8"/>
      <c r="K3750" s="9"/>
      <c r="L3750" s="9"/>
      <c r="M3750" s="9"/>
      <c r="N3750" s="9"/>
      <c r="O3750" s="9"/>
      <c r="P3750" s="9"/>
      <c r="Q3750" s="9"/>
      <c r="R3750" s="9" t="str">
        <f aca="false">IF(AND(A3750&lt;&gt;"",ISNUMBER(Q3750),ISNUMBER(L3750)),ROUND(Q3750-IF(ISNUMBER(N3750),N3750,0)-IF(ISNUMBER(O3750),O3750,0)+IF(ISNUMBER(P3750),P3750,0),2),"")</f>
        <v/>
      </c>
      <c r="S3750" s="9" t="str">
        <f aca="false">IF(R3750="","",ROUND(L3750-R3750,2))</f>
        <v/>
      </c>
      <c r="T3750" s="8" t="str">
        <f aca="false">IF(A3750="","",IF(S3750="","BYPASS",IF(ABS(S3750)&lt;=Summary!$B$2,"PASS","FAIL")))</f>
        <v/>
      </c>
      <c r="U3750" s="8" t="str">
        <f aca="false">IF(T3750="BYPASS",IF(NOT(ISNUMBER(Q3750)),"PreV_ETB missing","End_tr_balance missing"),IF(T3750="FAIL",IF(AND(ISNUMBER(K3750),ISNUMBER(L3750),ABS(L3750-(K3750-IF(ISNUMBER(N3750),N3750,0)-IF(ISNUMBER(O3750),O3750,0)+IF(ISNUMBER(P3750),P3750,0)))&lt;=Summary!$B$2),"Passes using beginning_balance - PreV_ETB differs from beginning_balance",IF(AND(ISNUMBER(O3750),O3750&lt;0,ABS(L3750-(Q3750-IF(ISNUMBER(N3750),N3750,0)+IF(ISNUMBER(P3750),P3750,0)))&lt;=Summary!$B$2),"Negative realized loss not applied - check sign",IF(R3750&lt;0,"Principal paid exceeds prior balance",IF(AND(L3750&gt;Q3750,NOT(ISNUMBER(P3750))),"Balance increased but no Deferred_interest reported",IF(L3750&gt;R3750,"Reported balance higher than expected (missing increase/OC build)","Reported balance lower than expected (missing decrease)"))))),""))</f>
        <v/>
      </c>
    </row>
    <row r="3751" customFormat="false" ht="15" hidden="false" customHeight="false" outlineLevel="0" collapsed="false">
      <c r="A3751" s="8"/>
      <c r="B3751" s="8"/>
      <c r="C3751" s="8"/>
      <c r="D3751" s="8"/>
      <c r="E3751" s="8"/>
      <c r="F3751" s="8"/>
      <c r="G3751" s="8"/>
      <c r="H3751" s="8"/>
      <c r="I3751" s="8"/>
      <c r="J3751" s="8"/>
      <c r="K3751" s="9"/>
      <c r="L3751" s="9"/>
      <c r="M3751" s="9"/>
      <c r="N3751" s="9"/>
      <c r="O3751" s="9"/>
      <c r="P3751" s="9"/>
      <c r="Q3751" s="9"/>
      <c r="R3751" s="9" t="str">
        <f aca="false">IF(AND(A3751&lt;&gt;"",ISNUMBER(Q3751),ISNUMBER(L3751)),ROUND(Q3751-IF(ISNUMBER(N3751),N3751,0)-IF(ISNUMBER(O3751),O3751,0)+IF(ISNUMBER(P3751),P3751,0),2),"")</f>
        <v/>
      </c>
      <c r="S3751" s="9" t="str">
        <f aca="false">IF(R3751="","",ROUND(L3751-R3751,2))</f>
        <v/>
      </c>
      <c r="T3751" s="8" t="str">
        <f aca="false">IF(A3751="","",IF(S3751="","BYPASS",IF(ABS(S3751)&lt;=Summary!$B$2,"PASS","FAIL")))</f>
        <v/>
      </c>
      <c r="U3751" s="8" t="str">
        <f aca="false">IF(T3751="BYPASS",IF(NOT(ISNUMBER(Q3751)),"PreV_ETB missing","End_tr_balance missing"),IF(T3751="FAIL",IF(AND(ISNUMBER(K3751),ISNUMBER(L3751),ABS(L3751-(K3751-IF(ISNUMBER(N3751),N3751,0)-IF(ISNUMBER(O3751),O3751,0)+IF(ISNUMBER(P3751),P3751,0)))&lt;=Summary!$B$2),"Passes using beginning_balance - PreV_ETB differs from beginning_balance",IF(AND(ISNUMBER(O3751),O3751&lt;0,ABS(L3751-(Q3751-IF(ISNUMBER(N3751),N3751,0)+IF(ISNUMBER(P3751),P3751,0)))&lt;=Summary!$B$2),"Negative realized loss not applied - check sign",IF(R3751&lt;0,"Principal paid exceeds prior balance",IF(AND(L3751&gt;Q3751,NOT(ISNUMBER(P3751))),"Balance increased but no Deferred_interest reported",IF(L3751&gt;R3751,"Reported balance higher than expected (missing increase/OC build)","Reported balance lower than expected (missing decrease)"))))),""))</f>
        <v/>
      </c>
    </row>
    <row r="3752" customFormat="false" ht="15" hidden="false" customHeight="false" outlineLevel="0" collapsed="false">
      <c r="A3752" s="8"/>
      <c r="B3752" s="8"/>
      <c r="C3752" s="8"/>
      <c r="D3752" s="8"/>
      <c r="E3752" s="8"/>
      <c r="F3752" s="8"/>
      <c r="G3752" s="8"/>
      <c r="H3752" s="8"/>
      <c r="I3752" s="8"/>
      <c r="J3752" s="8"/>
      <c r="K3752" s="9"/>
      <c r="L3752" s="9"/>
      <c r="M3752" s="9"/>
      <c r="N3752" s="9"/>
      <c r="O3752" s="9"/>
      <c r="P3752" s="9"/>
      <c r="Q3752" s="9"/>
      <c r="R3752" s="9" t="str">
        <f aca="false">IF(AND(A3752&lt;&gt;"",ISNUMBER(Q3752),ISNUMBER(L3752)),ROUND(Q3752-IF(ISNUMBER(N3752),N3752,0)-IF(ISNUMBER(O3752),O3752,0)+IF(ISNUMBER(P3752),P3752,0),2),"")</f>
        <v/>
      </c>
      <c r="S3752" s="9" t="str">
        <f aca="false">IF(R3752="","",ROUND(L3752-R3752,2))</f>
        <v/>
      </c>
      <c r="T3752" s="8" t="str">
        <f aca="false">IF(A3752="","",IF(S3752="","BYPASS",IF(ABS(S3752)&lt;=Summary!$B$2,"PASS","FAIL")))</f>
        <v/>
      </c>
      <c r="U3752" s="8" t="str">
        <f aca="false">IF(T3752="BYPASS",IF(NOT(ISNUMBER(Q3752)),"PreV_ETB missing","End_tr_balance missing"),IF(T3752="FAIL",IF(AND(ISNUMBER(K3752),ISNUMBER(L3752),ABS(L3752-(K3752-IF(ISNUMBER(N3752),N3752,0)-IF(ISNUMBER(O3752),O3752,0)+IF(ISNUMBER(P3752),P3752,0)))&lt;=Summary!$B$2),"Passes using beginning_balance - PreV_ETB differs from beginning_balance",IF(AND(ISNUMBER(O3752),O3752&lt;0,ABS(L3752-(Q3752-IF(ISNUMBER(N3752),N3752,0)+IF(ISNUMBER(P3752),P3752,0)))&lt;=Summary!$B$2),"Negative realized loss not applied - check sign",IF(R3752&lt;0,"Principal paid exceeds prior balance",IF(AND(L3752&gt;Q3752,NOT(ISNUMBER(P3752))),"Balance increased but no Deferred_interest reported",IF(L3752&gt;R3752,"Reported balance higher than expected (missing increase/OC build)","Reported balance lower than expected (missing decrease)"))))),""))</f>
        <v/>
      </c>
    </row>
    <row r="3753" customFormat="false" ht="15" hidden="false" customHeight="false" outlineLevel="0" collapsed="false">
      <c r="A3753" s="8"/>
      <c r="B3753" s="8"/>
      <c r="C3753" s="8"/>
      <c r="D3753" s="8"/>
      <c r="E3753" s="8"/>
      <c r="F3753" s="8"/>
      <c r="G3753" s="8"/>
      <c r="H3753" s="8"/>
      <c r="I3753" s="8"/>
      <c r="J3753" s="8"/>
      <c r="K3753" s="9"/>
      <c r="L3753" s="9"/>
      <c r="M3753" s="9"/>
      <c r="N3753" s="9"/>
      <c r="O3753" s="9"/>
      <c r="P3753" s="9"/>
      <c r="Q3753" s="9"/>
      <c r="R3753" s="9" t="str">
        <f aca="false">IF(AND(A3753&lt;&gt;"",ISNUMBER(Q3753),ISNUMBER(L3753)),ROUND(Q3753-IF(ISNUMBER(N3753),N3753,0)-IF(ISNUMBER(O3753),O3753,0)+IF(ISNUMBER(P3753),P3753,0),2),"")</f>
        <v/>
      </c>
      <c r="S3753" s="9" t="str">
        <f aca="false">IF(R3753="","",ROUND(L3753-R3753,2))</f>
        <v/>
      </c>
      <c r="T3753" s="8" t="str">
        <f aca="false">IF(A3753="","",IF(S3753="","BYPASS",IF(ABS(S3753)&lt;=Summary!$B$2,"PASS","FAIL")))</f>
        <v/>
      </c>
      <c r="U3753" s="8" t="str">
        <f aca="false">IF(T3753="BYPASS",IF(NOT(ISNUMBER(Q3753)),"PreV_ETB missing","End_tr_balance missing"),IF(T3753="FAIL",IF(AND(ISNUMBER(K3753),ISNUMBER(L3753),ABS(L3753-(K3753-IF(ISNUMBER(N3753),N3753,0)-IF(ISNUMBER(O3753),O3753,0)+IF(ISNUMBER(P3753),P3753,0)))&lt;=Summary!$B$2),"Passes using beginning_balance - PreV_ETB differs from beginning_balance",IF(AND(ISNUMBER(O3753),O3753&lt;0,ABS(L3753-(Q3753-IF(ISNUMBER(N3753),N3753,0)+IF(ISNUMBER(P3753),P3753,0)))&lt;=Summary!$B$2),"Negative realized loss not applied - check sign",IF(R3753&lt;0,"Principal paid exceeds prior balance",IF(AND(L3753&gt;Q3753,NOT(ISNUMBER(P3753))),"Balance increased but no Deferred_interest reported",IF(L3753&gt;R3753,"Reported balance higher than expected (missing increase/OC build)","Reported balance lower than expected (missing decrease)"))))),""))</f>
        <v/>
      </c>
    </row>
    <row r="3754" customFormat="false" ht="15" hidden="false" customHeight="false" outlineLevel="0" collapsed="false">
      <c r="A3754" s="8"/>
      <c r="B3754" s="8"/>
      <c r="C3754" s="8"/>
      <c r="D3754" s="8"/>
      <c r="E3754" s="8"/>
      <c r="F3754" s="8"/>
      <c r="G3754" s="8"/>
      <c r="H3754" s="8"/>
      <c r="I3754" s="8"/>
      <c r="J3754" s="8"/>
      <c r="K3754" s="9"/>
      <c r="L3754" s="9"/>
      <c r="M3754" s="9"/>
      <c r="N3754" s="9"/>
      <c r="O3754" s="9"/>
      <c r="P3754" s="9"/>
      <c r="Q3754" s="9"/>
      <c r="R3754" s="9" t="str">
        <f aca="false">IF(AND(A3754&lt;&gt;"",ISNUMBER(Q3754),ISNUMBER(L3754)),ROUND(Q3754-IF(ISNUMBER(N3754),N3754,0)-IF(ISNUMBER(O3754),O3754,0)+IF(ISNUMBER(P3754),P3754,0),2),"")</f>
        <v/>
      </c>
      <c r="S3754" s="9" t="str">
        <f aca="false">IF(R3754="","",ROUND(L3754-R3754,2))</f>
        <v/>
      </c>
      <c r="T3754" s="8" t="str">
        <f aca="false">IF(A3754="","",IF(S3754="","BYPASS",IF(ABS(S3754)&lt;=Summary!$B$2,"PASS","FAIL")))</f>
        <v/>
      </c>
      <c r="U3754" s="8" t="str">
        <f aca="false">IF(T3754="BYPASS",IF(NOT(ISNUMBER(Q3754)),"PreV_ETB missing","End_tr_balance missing"),IF(T3754="FAIL",IF(AND(ISNUMBER(K3754),ISNUMBER(L3754),ABS(L3754-(K3754-IF(ISNUMBER(N3754),N3754,0)-IF(ISNUMBER(O3754),O3754,0)+IF(ISNUMBER(P3754),P3754,0)))&lt;=Summary!$B$2),"Passes using beginning_balance - PreV_ETB differs from beginning_balance",IF(AND(ISNUMBER(O3754),O3754&lt;0,ABS(L3754-(Q3754-IF(ISNUMBER(N3754),N3754,0)+IF(ISNUMBER(P3754),P3754,0)))&lt;=Summary!$B$2),"Negative realized loss not applied - check sign",IF(R3754&lt;0,"Principal paid exceeds prior balance",IF(AND(L3754&gt;Q3754,NOT(ISNUMBER(P3754))),"Balance increased but no Deferred_interest reported",IF(L3754&gt;R3754,"Reported balance higher than expected (missing increase/OC build)","Reported balance lower than expected (missing decrease)"))))),""))</f>
        <v/>
      </c>
    </row>
    <row r="3755" customFormat="false" ht="15" hidden="false" customHeight="false" outlineLevel="0" collapsed="false">
      <c r="A3755" s="8"/>
      <c r="B3755" s="8"/>
      <c r="C3755" s="8"/>
      <c r="D3755" s="8"/>
      <c r="E3755" s="8"/>
      <c r="F3755" s="8"/>
      <c r="G3755" s="8"/>
      <c r="H3755" s="8"/>
      <c r="I3755" s="8"/>
      <c r="J3755" s="8"/>
      <c r="K3755" s="9"/>
      <c r="L3755" s="9"/>
      <c r="M3755" s="9"/>
      <c r="N3755" s="9"/>
      <c r="O3755" s="9"/>
      <c r="P3755" s="9"/>
      <c r="Q3755" s="9"/>
      <c r="R3755" s="9" t="str">
        <f aca="false">IF(AND(A3755&lt;&gt;"",ISNUMBER(Q3755),ISNUMBER(L3755)),ROUND(Q3755-IF(ISNUMBER(N3755),N3755,0)-IF(ISNUMBER(O3755),O3755,0)+IF(ISNUMBER(P3755),P3755,0),2),"")</f>
        <v/>
      </c>
      <c r="S3755" s="9" t="str">
        <f aca="false">IF(R3755="","",ROUND(L3755-R3755,2))</f>
        <v/>
      </c>
      <c r="T3755" s="8" t="str">
        <f aca="false">IF(A3755="","",IF(S3755="","BYPASS",IF(ABS(S3755)&lt;=Summary!$B$2,"PASS","FAIL")))</f>
        <v/>
      </c>
      <c r="U3755" s="8" t="str">
        <f aca="false">IF(T3755="BYPASS",IF(NOT(ISNUMBER(Q3755)),"PreV_ETB missing","End_tr_balance missing"),IF(T3755="FAIL",IF(AND(ISNUMBER(K3755),ISNUMBER(L3755),ABS(L3755-(K3755-IF(ISNUMBER(N3755),N3755,0)-IF(ISNUMBER(O3755),O3755,0)+IF(ISNUMBER(P3755),P3755,0)))&lt;=Summary!$B$2),"Passes using beginning_balance - PreV_ETB differs from beginning_balance",IF(AND(ISNUMBER(O3755),O3755&lt;0,ABS(L3755-(Q3755-IF(ISNUMBER(N3755),N3755,0)+IF(ISNUMBER(P3755),P3755,0)))&lt;=Summary!$B$2),"Negative realized loss not applied - check sign",IF(R3755&lt;0,"Principal paid exceeds prior balance",IF(AND(L3755&gt;Q3755,NOT(ISNUMBER(P3755))),"Balance increased but no Deferred_interest reported",IF(L3755&gt;R3755,"Reported balance higher than expected (missing increase/OC build)","Reported balance lower than expected (missing decrease)"))))),""))</f>
        <v/>
      </c>
    </row>
    <row r="3756" customFormat="false" ht="15" hidden="false" customHeight="false" outlineLevel="0" collapsed="false">
      <c r="A3756" s="8"/>
      <c r="B3756" s="8"/>
      <c r="C3756" s="8"/>
      <c r="D3756" s="8"/>
      <c r="E3756" s="8"/>
      <c r="F3756" s="8"/>
      <c r="G3756" s="8"/>
      <c r="H3756" s="8"/>
      <c r="I3756" s="8"/>
      <c r="J3756" s="8"/>
      <c r="K3756" s="9"/>
      <c r="L3756" s="9"/>
      <c r="M3756" s="9"/>
      <c r="N3756" s="9"/>
      <c r="O3756" s="9"/>
      <c r="P3756" s="9"/>
      <c r="Q3756" s="9"/>
      <c r="R3756" s="9" t="str">
        <f aca="false">IF(AND(A3756&lt;&gt;"",ISNUMBER(Q3756),ISNUMBER(L3756)),ROUND(Q3756-IF(ISNUMBER(N3756),N3756,0)-IF(ISNUMBER(O3756),O3756,0)+IF(ISNUMBER(P3756),P3756,0),2),"")</f>
        <v/>
      </c>
      <c r="S3756" s="9" t="str">
        <f aca="false">IF(R3756="","",ROUND(L3756-R3756,2))</f>
        <v/>
      </c>
      <c r="T3756" s="8" t="str">
        <f aca="false">IF(A3756="","",IF(S3756="","BYPASS",IF(ABS(S3756)&lt;=Summary!$B$2,"PASS","FAIL")))</f>
        <v/>
      </c>
      <c r="U3756" s="8" t="str">
        <f aca="false">IF(T3756="BYPASS",IF(NOT(ISNUMBER(Q3756)),"PreV_ETB missing","End_tr_balance missing"),IF(T3756="FAIL",IF(AND(ISNUMBER(K3756),ISNUMBER(L3756),ABS(L3756-(K3756-IF(ISNUMBER(N3756),N3756,0)-IF(ISNUMBER(O3756),O3756,0)+IF(ISNUMBER(P3756),P3756,0)))&lt;=Summary!$B$2),"Passes using beginning_balance - PreV_ETB differs from beginning_balance",IF(AND(ISNUMBER(O3756),O3756&lt;0,ABS(L3756-(Q3756-IF(ISNUMBER(N3756),N3756,0)+IF(ISNUMBER(P3756),P3756,0)))&lt;=Summary!$B$2),"Negative realized loss not applied - check sign",IF(R3756&lt;0,"Principal paid exceeds prior balance",IF(AND(L3756&gt;Q3756,NOT(ISNUMBER(P3756))),"Balance increased but no Deferred_interest reported",IF(L3756&gt;R3756,"Reported balance higher than expected (missing increase/OC build)","Reported balance lower than expected (missing decrease)"))))),""))</f>
        <v/>
      </c>
    </row>
    <row r="3757" customFormat="false" ht="15" hidden="false" customHeight="false" outlineLevel="0" collapsed="false">
      <c r="A3757" s="8"/>
      <c r="B3757" s="8"/>
      <c r="C3757" s="8"/>
      <c r="D3757" s="8"/>
      <c r="E3757" s="8"/>
      <c r="F3757" s="8"/>
      <c r="G3757" s="8"/>
      <c r="H3757" s="8"/>
      <c r="I3757" s="8"/>
      <c r="J3757" s="8"/>
      <c r="K3757" s="9"/>
      <c r="L3757" s="9"/>
      <c r="M3757" s="9"/>
      <c r="N3757" s="9"/>
      <c r="O3757" s="9"/>
      <c r="P3757" s="9"/>
      <c r="Q3757" s="9"/>
      <c r="R3757" s="9" t="str">
        <f aca="false">IF(AND(A3757&lt;&gt;"",ISNUMBER(Q3757),ISNUMBER(L3757)),ROUND(Q3757-IF(ISNUMBER(N3757),N3757,0)-IF(ISNUMBER(O3757),O3757,0)+IF(ISNUMBER(P3757),P3757,0),2),"")</f>
        <v/>
      </c>
      <c r="S3757" s="9" t="str">
        <f aca="false">IF(R3757="","",ROUND(L3757-R3757,2))</f>
        <v/>
      </c>
      <c r="T3757" s="8" t="str">
        <f aca="false">IF(A3757="","",IF(S3757="","BYPASS",IF(ABS(S3757)&lt;=Summary!$B$2,"PASS","FAIL")))</f>
        <v/>
      </c>
      <c r="U3757" s="8" t="str">
        <f aca="false">IF(T3757="BYPASS",IF(NOT(ISNUMBER(Q3757)),"PreV_ETB missing","End_tr_balance missing"),IF(T3757="FAIL",IF(AND(ISNUMBER(K3757),ISNUMBER(L3757),ABS(L3757-(K3757-IF(ISNUMBER(N3757),N3757,0)-IF(ISNUMBER(O3757),O3757,0)+IF(ISNUMBER(P3757),P3757,0)))&lt;=Summary!$B$2),"Passes using beginning_balance - PreV_ETB differs from beginning_balance",IF(AND(ISNUMBER(O3757),O3757&lt;0,ABS(L3757-(Q3757-IF(ISNUMBER(N3757),N3757,0)+IF(ISNUMBER(P3757),P3757,0)))&lt;=Summary!$B$2),"Negative realized loss not applied - check sign",IF(R3757&lt;0,"Principal paid exceeds prior balance",IF(AND(L3757&gt;Q3757,NOT(ISNUMBER(P3757))),"Balance increased but no Deferred_interest reported",IF(L3757&gt;R3757,"Reported balance higher than expected (missing increase/OC build)","Reported balance lower than expected (missing decrease)"))))),""))</f>
        <v/>
      </c>
    </row>
    <row r="3758" customFormat="false" ht="15" hidden="false" customHeight="false" outlineLevel="0" collapsed="false">
      <c r="A3758" s="8"/>
      <c r="B3758" s="8"/>
      <c r="C3758" s="8"/>
      <c r="D3758" s="8"/>
      <c r="E3758" s="8"/>
      <c r="F3758" s="8"/>
      <c r="G3758" s="8"/>
      <c r="H3758" s="8"/>
      <c r="I3758" s="8"/>
      <c r="J3758" s="8"/>
      <c r="K3758" s="9"/>
      <c r="L3758" s="9"/>
      <c r="M3758" s="9"/>
      <c r="N3758" s="9"/>
      <c r="O3758" s="9"/>
      <c r="P3758" s="9"/>
      <c r="Q3758" s="9"/>
      <c r="R3758" s="9" t="str">
        <f aca="false">IF(AND(A3758&lt;&gt;"",ISNUMBER(Q3758),ISNUMBER(L3758)),ROUND(Q3758-IF(ISNUMBER(N3758),N3758,0)-IF(ISNUMBER(O3758),O3758,0)+IF(ISNUMBER(P3758),P3758,0),2),"")</f>
        <v/>
      </c>
      <c r="S3758" s="9" t="str">
        <f aca="false">IF(R3758="","",ROUND(L3758-R3758,2))</f>
        <v/>
      </c>
      <c r="T3758" s="8" t="str">
        <f aca="false">IF(A3758="","",IF(S3758="","BYPASS",IF(ABS(S3758)&lt;=Summary!$B$2,"PASS","FAIL")))</f>
        <v/>
      </c>
      <c r="U3758" s="8" t="str">
        <f aca="false">IF(T3758="BYPASS",IF(NOT(ISNUMBER(Q3758)),"PreV_ETB missing","End_tr_balance missing"),IF(T3758="FAIL",IF(AND(ISNUMBER(K3758),ISNUMBER(L3758),ABS(L3758-(K3758-IF(ISNUMBER(N3758),N3758,0)-IF(ISNUMBER(O3758),O3758,0)+IF(ISNUMBER(P3758),P3758,0)))&lt;=Summary!$B$2),"Passes using beginning_balance - PreV_ETB differs from beginning_balance",IF(AND(ISNUMBER(O3758),O3758&lt;0,ABS(L3758-(Q3758-IF(ISNUMBER(N3758),N3758,0)+IF(ISNUMBER(P3758),P3758,0)))&lt;=Summary!$B$2),"Negative realized loss not applied - check sign",IF(R3758&lt;0,"Principal paid exceeds prior balance",IF(AND(L3758&gt;Q3758,NOT(ISNUMBER(P3758))),"Balance increased but no Deferred_interest reported",IF(L3758&gt;R3758,"Reported balance higher than expected (missing increase/OC build)","Reported balance lower than expected (missing decrease)"))))),""))</f>
        <v/>
      </c>
    </row>
    <row r="3759" customFormat="false" ht="15" hidden="false" customHeight="false" outlineLevel="0" collapsed="false">
      <c r="A3759" s="8"/>
      <c r="B3759" s="8"/>
      <c r="C3759" s="8"/>
      <c r="D3759" s="8"/>
      <c r="E3759" s="8"/>
      <c r="F3759" s="8"/>
      <c r="G3759" s="8"/>
      <c r="H3759" s="8"/>
      <c r="I3759" s="8"/>
      <c r="J3759" s="8"/>
      <c r="K3759" s="9"/>
      <c r="L3759" s="9"/>
      <c r="M3759" s="9"/>
      <c r="N3759" s="9"/>
      <c r="O3759" s="9"/>
      <c r="P3759" s="9"/>
      <c r="Q3759" s="9"/>
      <c r="R3759" s="9" t="str">
        <f aca="false">IF(AND(A3759&lt;&gt;"",ISNUMBER(Q3759),ISNUMBER(L3759)),ROUND(Q3759-IF(ISNUMBER(N3759),N3759,0)-IF(ISNUMBER(O3759),O3759,0)+IF(ISNUMBER(P3759),P3759,0),2),"")</f>
        <v/>
      </c>
      <c r="S3759" s="9" t="str">
        <f aca="false">IF(R3759="","",ROUND(L3759-R3759,2))</f>
        <v/>
      </c>
      <c r="T3759" s="8" t="str">
        <f aca="false">IF(A3759="","",IF(S3759="","BYPASS",IF(ABS(S3759)&lt;=Summary!$B$2,"PASS","FAIL")))</f>
        <v/>
      </c>
      <c r="U3759" s="8" t="str">
        <f aca="false">IF(T3759="BYPASS",IF(NOT(ISNUMBER(Q3759)),"PreV_ETB missing","End_tr_balance missing"),IF(T3759="FAIL",IF(AND(ISNUMBER(K3759),ISNUMBER(L3759),ABS(L3759-(K3759-IF(ISNUMBER(N3759),N3759,0)-IF(ISNUMBER(O3759),O3759,0)+IF(ISNUMBER(P3759),P3759,0)))&lt;=Summary!$B$2),"Passes using beginning_balance - PreV_ETB differs from beginning_balance",IF(AND(ISNUMBER(O3759),O3759&lt;0,ABS(L3759-(Q3759-IF(ISNUMBER(N3759),N3759,0)+IF(ISNUMBER(P3759),P3759,0)))&lt;=Summary!$B$2),"Negative realized loss not applied - check sign",IF(R3759&lt;0,"Principal paid exceeds prior balance",IF(AND(L3759&gt;Q3759,NOT(ISNUMBER(P3759))),"Balance increased but no Deferred_interest reported",IF(L3759&gt;R3759,"Reported balance higher than expected (missing increase/OC build)","Reported balance lower than expected (missing decrease)"))))),""))</f>
        <v/>
      </c>
    </row>
    <row r="3760" customFormat="false" ht="15" hidden="false" customHeight="false" outlineLevel="0" collapsed="false">
      <c r="A3760" s="8"/>
      <c r="B3760" s="8"/>
      <c r="C3760" s="8"/>
      <c r="D3760" s="8"/>
      <c r="E3760" s="8"/>
      <c r="F3760" s="8"/>
      <c r="G3760" s="8"/>
      <c r="H3760" s="8"/>
      <c r="I3760" s="8"/>
      <c r="J3760" s="8"/>
      <c r="K3760" s="9"/>
      <c r="L3760" s="9"/>
      <c r="M3760" s="9"/>
      <c r="N3760" s="9"/>
      <c r="O3760" s="9"/>
      <c r="P3760" s="9"/>
      <c r="Q3760" s="9"/>
      <c r="R3760" s="9" t="str">
        <f aca="false">IF(AND(A3760&lt;&gt;"",ISNUMBER(Q3760),ISNUMBER(L3760)),ROUND(Q3760-IF(ISNUMBER(N3760),N3760,0)-IF(ISNUMBER(O3760),O3760,0)+IF(ISNUMBER(P3760),P3760,0),2),"")</f>
        <v/>
      </c>
      <c r="S3760" s="9" t="str">
        <f aca="false">IF(R3760="","",ROUND(L3760-R3760,2))</f>
        <v/>
      </c>
      <c r="T3760" s="8" t="str">
        <f aca="false">IF(A3760="","",IF(S3760="","BYPASS",IF(ABS(S3760)&lt;=Summary!$B$2,"PASS","FAIL")))</f>
        <v/>
      </c>
      <c r="U3760" s="8" t="str">
        <f aca="false">IF(T3760="BYPASS",IF(NOT(ISNUMBER(Q3760)),"PreV_ETB missing","End_tr_balance missing"),IF(T3760="FAIL",IF(AND(ISNUMBER(K3760),ISNUMBER(L3760),ABS(L3760-(K3760-IF(ISNUMBER(N3760),N3760,0)-IF(ISNUMBER(O3760),O3760,0)+IF(ISNUMBER(P3760),P3760,0)))&lt;=Summary!$B$2),"Passes using beginning_balance - PreV_ETB differs from beginning_balance",IF(AND(ISNUMBER(O3760),O3760&lt;0,ABS(L3760-(Q3760-IF(ISNUMBER(N3760),N3760,0)+IF(ISNUMBER(P3760),P3760,0)))&lt;=Summary!$B$2),"Negative realized loss not applied - check sign",IF(R3760&lt;0,"Principal paid exceeds prior balance",IF(AND(L3760&gt;Q3760,NOT(ISNUMBER(P3760))),"Balance increased but no Deferred_interest reported",IF(L3760&gt;R3760,"Reported balance higher than expected (missing increase/OC build)","Reported balance lower than expected (missing decrease)"))))),""))</f>
        <v/>
      </c>
    </row>
    <row r="3761" customFormat="false" ht="15" hidden="false" customHeight="false" outlineLevel="0" collapsed="false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9"/>
      <c r="L3761" s="9"/>
      <c r="M3761" s="9"/>
      <c r="N3761" s="9"/>
      <c r="O3761" s="9"/>
      <c r="P3761" s="9"/>
      <c r="Q3761" s="9"/>
      <c r="R3761" s="9" t="str">
        <f aca="false">IF(AND(A3761&lt;&gt;"",ISNUMBER(Q3761),ISNUMBER(L3761)),ROUND(Q3761-IF(ISNUMBER(N3761),N3761,0)-IF(ISNUMBER(O3761),O3761,0)+IF(ISNUMBER(P3761),P3761,0),2),"")</f>
        <v/>
      </c>
      <c r="S3761" s="9" t="str">
        <f aca="false">IF(R3761="","",ROUND(L3761-R3761,2))</f>
        <v/>
      </c>
      <c r="T3761" s="8" t="str">
        <f aca="false">IF(A3761="","",IF(S3761="","BYPASS",IF(ABS(S3761)&lt;=Summary!$B$2,"PASS","FAIL")))</f>
        <v/>
      </c>
      <c r="U3761" s="8" t="str">
        <f aca="false">IF(T3761="BYPASS",IF(NOT(ISNUMBER(Q3761)),"PreV_ETB missing","End_tr_balance missing"),IF(T3761="FAIL",IF(AND(ISNUMBER(K3761),ISNUMBER(L3761),ABS(L3761-(K3761-IF(ISNUMBER(N3761),N3761,0)-IF(ISNUMBER(O3761),O3761,0)+IF(ISNUMBER(P3761),P3761,0)))&lt;=Summary!$B$2),"Passes using beginning_balance - PreV_ETB differs from beginning_balance",IF(AND(ISNUMBER(O3761),O3761&lt;0,ABS(L3761-(Q3761-IF(ISNUMBER(N3761),N3761,0)+IF(ISNUMBER(P3761),P3761,0)))&lt;=Summary!$B$2),"Negative realized loss not applied - check sign",IF(R3761&lt;0,"Principal paid exceeds prior balance",IF(AND(L3761&gt;Q3761,NOT(ISNUMBER(P3761))),"Balance increased but no Deferred_interest reported",IF(L3761&gt;R3761,"Reported balance higher than expected (missing increase/OC build)","Reported balance lower than expected (missing decrease)"))))),""))</f>
        <v/>
      </c>
    </row>
    <row r="3762" customFormat="false" ht="15" hidden="false" customHeight="false" outlineLevel="0" collapsed="false">
      <c r="A3762" s="8"/>
      <c r="B3762" s="8"/>
      <c r="C3762" s="8"/>
      <c r="D3762" s="8"/>
      <c r="E3762" s="8"/>
      <c r="F3762" s="8"/>
      <c r="G3762" s="8"/>
      <c r="H3762" s="8"/>
      <c r="I3762" s="8"/>
      <c r="J3762" s="8"/>
      <c r="K3762" s="9"/>
      <c r="L3762" s="9"/>
      <c r="M3762" s="9"/>
      <c r="N3762" s="9"/>
      <c r="O3762" s="9"/>
      <c r="P3762" s="9"/>
      <c r="Q3762" s="9"/>
      <c r="R3762" s="9" t="str">
        <f aca="false">IF(AND(A3762&lt;&gt;"",ISNUMBER(Q3762),ISNUMBER(L3762)),ROUND(Q3762-IF(ISNUMBER(N3762),N3762,0)-IF(ISNUMBER(O3762),O3762,0)+IF(ISNUMBER(P3762),P3762,0),2),"")</f>
        <v/>
      </c>
      <c r="S3762" s="9" t="str">
        <f aca="false">IF(R3762="","",ROUND(L3762-R3762,2))</f>
        <v/>
      </c>
      <c r="T3762" s="8" t="str">
        <f aca="false">IF(A3762="","",IF(S3762="","BYPASS",IF(ABS(S3762)&lt;=Summary!$B$2,"PASS","FAIL")))</f>
        <v/>
      </c>
      <c r="U3762" s="8" t="str">
        <f aca="false">IF(T3762="BYPASS",IF(NOT(ISNUMBER(Q3762)),"PreV_ETB missing","End_tr_balance missing"),IF(T3762="FAIL",IF(AND(ISNUMBER(K3762),ISNUMBER(L3762),ABS(L3762-(K3762-IF(ISNUMBER(N3762),N3762,0)-IF(ISNUMBER(O3762),O3762,0)+IF(ISNUMBER(P3762),P3762,0)))&lt;=Summary!$B$2),"Passes using beginning_balance - PreV_ETB differs from beginning_balance",IF(AND(ISNUMBER(O3762),O3762&lt;0,ABS(L3762-(Q3762-IF(ISNUMBER(N3762),N3762,0)+IF(ISNUMBER(P3762),P3762,0)))&lt;=Summary!$B$2),"Negative realized loss not applied - check sign",IF(R3762&lt;0,"Principal paid exceeds prior balance",IF(AND(L3762&gt;Q3762,NOT(ISNUMBER(P3762))),"Balance increased but no Deferred_interest reported",IF(L3762&gt;R3762,"Reported balance higher than expected (missing increase/OC build)","Reported balance lower than expected (missing decrease)"))))),""))</f>
        <v/>
      </c>
    </row>
    <row r="3763" customFormat="false" ht="15" hidden="false" customHeight="false" outlineLevel="0" collapsed="false">
      <c r="A3763" s="8"/>
      <c r="B3763" s="8"/>
      <c r="C3763" s="8"/>
      <c r="D3763" s="8"/>
      <c r="E3763" s="8"/>
      <c r="F3763" s="8"/>
      <c r="G3763" s="8"/>
      <c r="H3763" s="8"/>
      <c r="I3763" s="8"/>
      <c r="J3763" s="8"/>
      <c r="K3763" s="9"/>
      <c r="L3763" s="9"/>
      <c r="M3763" s="9"/>
      <c r="N3763" s="9"/>
      <c r="O3763" s="9"/>
      <c r="P3763" s="9"/>
      <c r="Q3763" s="9"/>
      <c r="R3763" s="9" t="str">
        <f aca="false">IF(AND(A3763&lt;&gt;"",ISNUMBER(Q3763),ISNUMBER(L3763)),ROUND(Q3763-IF(ISNUMBER(N3763),N3763,0)-IF(ISNUMBER(O3763),O3763,0)+IF(ISNUMBER(P3763),P3763,0),2),"")</f>
        <v/>
      </c>
      <c r="S3763" s="9" t="str">
        <f aca="false">IF(R3763="","",ROUND(L3763-R3763,2))</f>
        <v/>
      </c>
      <c r="T3763" s="8" t="str">
        <f aca="false">IF(A3763="","",IF(S3763="","BYPASS",IF(ABS(S3763)&lt;=Summary!$B$2,"PASS","FAIL")))</f>
        <v/>
      </c>
      <c r="U3763" s="8" t="str">
        <f aca="false">IF(T3763="BYPASS",IF(NOT(ISNUMBER(Q3763)),"PreV_ETB missing","End_tr_balance missing"),IF(T3763="FAIL",IF(AND(ISNUMBER(K3763),ISNUMBER(L3763),ABS(L3763-(K3763-IF(ISNUMBER(N3763),N3763,0)-IF(ISNUMBER(O3763),O3763,0)+IF(ISNUMBER(P3763),P3763,0)))&lt;=Summary!$B$2),"Passes using beginning_balance - PreV_ETB differs from beginning_balance",IF(AND(ISNUMBER(O3763),O3763&lt;0,ABS(L3763-(Q3763-IF(ISNUMBER(N3763),N3763,0)+IF(ISNUMBER(P3763),P3763,0)))&lt;=Summary!$B$2),"Negative realized loss not applied - check sign",IF(R3763&lt;0,"Principal paid exceeds prior balance",IF(AND(L3763&gt;Q3763,NOT(ISNUMBER(P3763))),"Balance increased but no Deferred_interest reported",IF(L3763&gt;R3763,"Reported balance higher than expected (missing increase/OC build)","Reported balance lower than expected (missing decrease)"))))),""))</f>
        <v/>
      </c>
    </row>
    <row r="3764" customFormat="false" ht="15" hidden="false" customHeight="false" outlineLevel="0" collapsed="false">
      <c r="A3764" s="8"/>
      <c r="B3764" s="8"/>
      <c r="C3764" s="8"/>
      <c r="D3764" s="8"/>
      <c r="E3764" s="8"/>
      <c r="F3764" s="8"/>
      <c r="G3764" s="8"/>
      <c r="H3764" s="8"/>
      <c r="I3764" s="8"/>
      <c r="J3764" s="8"/>
      <c r="K3764" s="9"/>
      <c r="L3764" s="9"/>
      <c r="M3764" s="9"/>
      <c r="N3764" s="9"/>
      <c r="O3764" s="9"/>
      <c r="P3764" s="9"/>
      <c r="Q3764" s="9"/>
      <c r="R3764" s="9" t="str">
        <f aca="false">IF(AND(A3764&lt;&gt;"",ISNUMBER(Q3764),ISNUMBER(L3764)),ROUND(Q3764-IF(ISNUMBER(N3764),N3764,0)-IF(ISNUMBER(O3764),O3764,0)+IF(ISNUMBER(P3764),P3764,0),2),"")</f>
        <v/>
      </c>
      <c r="S3764" s="9" t="str">
        <f aca="false">IF(R3764="","",ROUND(L3764-R3764,2))</f>
        <v/>
      </c>
      <c r="T3764" s="8" t="str">
        <f aca="false">IF(A3764="","",IF(S3764="","BYPASS",IF(ABS(S3764)&lt;=Summary!$B$2,"PASS","FAIL")))</f>
        <v/>
      </c>
      <c r="U3764" s="8" t="str">
        <f aca="false">IF(T3764="BYPASS",IF(NOT(ISNUMBER(Q3764)),"PreV_ETB missing","End_tr_balance missing"),IF(T3764="FAIL",IF(AND(ISNUMBER(K3764),ISNUMBER(L3764),ABS(L3764-(K3764-IF(ISNUMBER(N3764),N3764,0)-IF(ISNUMBER(O3764),O3764,0)+IF(ISNUMBER(P3764),P3764,0)))&lt;=Summary!$B$2),"Passes using beginning_balance - PreV_ETB differs from beginning_balance",IF(AND(ISNUMBER(O3764),O3764&lt;0,ABS(L3764-(Q3764-IF(ISNUMBER(N3764),N3764,0)+IF(ISNUMBER(P3764),P3764,0)))&lt;=Summary!$B$2),"Negative realized loss not applied - check sign",IF(R3764&lt;0,"Principal paid exceeds prior balance",IF(AND(L3764&gt;Q3764,NOT(ISNUMBER(P3764))),"Balance increased but no Deferred_interest reported",IF(L3764&gt;R3764,"Reported balance higher than expected (missing increase/OC build)","Reported balance lower than expected (missing decrease)"))))),""))</f>
        <v/>
      </c>
    </row>
    <row r="3765" customFormat="false" ht="15" hidden="false" customHeight="false" outlineLevel="0" collapsed="false">
      <c r="A3765" s="8"/>
      <c r="B3765" s="8"/>
      <c r="C3765" s="8"/>
      <c r="D3765" s="8"/>
      <c r="E3765" s="8"/>
      <c r="F3765" s="8"/>
      <c r="G3765" s="8"/>
      <c r="H3765" s="8"/>
      <c r="I3765" s="8"/>
      <c r="J3765" s="8"/>
      <c r="K3765" s="9"/>
      <c r="L3765" s="9"/>
      <c r="M3765" s="9"/>
      <c r="N3765" s="9"/>
      <c r="O3765" s="9"/>
      <c r="P3765" s="9"/>
      <c r="Q3765" s="9"/>
      <c r="R3765" s="9" t="str">
        <f aca="false">IF(AND(A3765&lt;&gt;"",ISNUMBER(Q3765),ISNUMBER(L3765)),ROUND(Q3765-IF(ISNUMBER(N3765),N3765,0)-IF(ISNUMBER(O3765),O3765,0)+IF(ISNUMBER(P3765),P3765,0),2),"")</f>
        <v/>
      </c>
      <c r="S3765" s="9" t="str">
        <f aca="false">IF(R3765="","",ROUND(L3765-R3765,2))</f>
        <v/>
      </c>
      <c r="T3765" s="8" t="str">
        <f aca="false">IF(A3765="","",IF(S3765="","BYPASS",IF(ABS(S3765)&lt;=Summary!$B$2,"PASS","FAIL")))</f>
        <v/>
      </c>
      <c r="U3765" s="8" t="str">
        <f aca="false">IF(T3765="BYPASS",IF(NOT(ISNUMBER(Q3765)),"PreV_ETB missing","End_tr_balance missing"),IF(T3765="FAIL",IF(AND(ISNUMBER(K3765),ISNUMBER(L3765),ABS(L3765-(K3765-IF(ISNUMBER(N3765),N3765,0)-IF(ISNUMBER(O3765),O3765,0)+IF(ISNUMBER(P3765),P3765,0)))&lt;=Summary!$B$2),"Passes using beginning_balance - PreV_ETB differs from beginning_balance",IF(AND(ISNUMBER(O3765),O3765&lt;0,ABS(L3765-(Q3765-IF(ISNUMBER(N3765),N3765,0)+IF(ISNUMBER(P3765),P3765,0)))&lt;=Summary!$B$2),"Negative realized loss not applied - check sign",IF(R3765&lt;0,"Principal paid exceeds prior balance",IF(AND(L3765&gt;Q3765,NOT(ISNUMBER(P3765))),"Balance increased but no Deferred_interest reported",IF(L3765&gt;R3765,"Reported balance higher than expected (missing increase/OC build)","Reported balance lower than expected (missing decrease)"))))),""))</f>
        <v/>
      </c>
    </row>
    <row r="3766" customFormat="false" ht="15" hidden="false" customHeight="false" outlineLevel="0" collapsed="false">
      <c r="A3766" s="8"/>
      <c r="B3766" s="8"/>
      <c r="C3766" s="8"/>
      <c r="D3766" s="8"/>
      <c r="E3766" s="8"/>
      <c r="F3766" s="8"/>
      <c r="G3766" s="8"/>
      <c r="H3766" s="8"/>
      <c r="I3766" s="8"/>
      <c r="J3766" s="8"/>
      <c r="K3766" s="9"/>
      <c r="L3766" s="9"/>
      <c r="M3766" s="9"/>
      <c r="N3766" s="9"/>
      <c r="O3766" s="9"/>
      <c r="P3766" s="9"/>
      <c r="Q3766" s="9"/>
      <c r="R3766" s="9" t="str">
        <f aca="false">IF(AND(A3766&lt;&gt;"",ISNUMBER(Q3766),ISNUMBER(L3766)),ROUND(Q3766-IF(ISNUMBER(N3766),N3766,0)-IF(ISNUMBER(O3766),O3766,0)+IF(ISNUMBER(P3766),P3766,0),2),"")</f>
        <v/>
      </c>
      <c r="S3766" s="9" t="str">
        <f aca="false">IF(R3766="","",ROUND(L3766-R3766,2))</f>
        <v/>
      </c>
      <c r="T3766" s="8" t="str">
        <f aca="false">IF(A3766="","",IF(S3766="","BYPASS",IF(ABS(S3766)&lt;=Summary!$B$2,"PASS","FAIL")))</f>
        <v/>
      </c>
      <c r="U3766" s="8" t="str">
        <f aca="false">IF(T3766="BYPASS",IF(NOT(ISNUMBER(Q3766)),"PreV_ETB missing","End_tr_balance missing"),IF(T3766="FAIL",IF(AND(ISNUMBER(K3766),ISNUMBER(L3766),ABS(L3766-(K3766-IF(ISNUMBER(N3766),N3766,0)-IF(ISNUMBER(O3766),O3766,0)+IF(ISNUMBER(P3766),P3766,0)))&lt;=Summary!$B$2),"Passes using beginning_balance - PreV_ETB differs from beginning_balance",IF(AND(ISNUMBER(O3766),O3766&lt;0,ABS(L3766-(Q3766-IF(ISNUMBER(N3766),N3766,0)+IF(ISNUMBER(P3766),P3766,0)))&lt;=Summary!$B$2),"Negative realized loss not applied - check sign",IF(R3766&lt;0,"Principal paid exceeds prior balance",IF(AND(L3766&gt;Q3766,NOT(ISNUMBER(P3766))),"Balance increased but no Deferred_interest reported",IF(L3766&gt;R3766,"Reported balance higher than expected (missing increase/OC build)","Reported balance lower than expected (missing decrease)"))))),""))</f>
        <v/>
      </c>
    </row>
    <row r="3767" customFormat="false" ht="15" hidden="false" customHeight="false" outlineLevel="0" collapsed="false">
      <c r="A3767" s="8"/>
      <c r="B3767" s="8"/>
      <c r="C3767" s="8"/>
      <c r="D3767" s="8"/>
      <c r="E3767" s="8"/>
      <c r="F3767" s="8"/>
      <c r="G3767" s="8"/>
      <c r="H3767" s="8"/>
      <c r="I3767" s="8"/>
      <c r="J3767" s="8"/>
      <c r="K3767" s="9"/>
      <c r="L3767" s="9"/>
      <c r="M3767" s="9"/>
      <c r="N3767" s="9"/>
      <c r="O3767" s="9"/>
      <c r="P3767" s="9"/>
      <c r="Q3767" s="9"/>
      <c r="R3767" s="9" t="str">
        <f aca="false">IF(AND(A3767&lt;&gt;"",ISNUMBER(Q3767),ISNUMBER(L3767)),ROUND(Q3767-IF(ISNUMBER(N3767),N3767,0)-IF(ISNUMBER(O3767),O3767,0)+IF(ISNUMBER(P3767),P3767,0),2),"")</f>
        <v/>
      </c>
      <c r="S3767" s="9" t="str">
        <f aca="false">IF(R3767="","",ROUND(L3767-R3767,2))</f>
        <v/>
      </c>
      <c r="T3767" s="8" t="str">
        <f aca="false">IF(A3767="","",IF(S3767="","BYPASS",IF(ABS(S3767)&lt;=Summary!$B$2,"PASS","FAIL")))</f>
        <v/>
      </c>
      <c r="U3767" s="8" t="str">
        <f aca="false">IF(T3767="BYPASS",IF(NOT(ISNUMBER(Q3767)),"PreV_ETB missing","End_tr_balance missing"),IF(T3767="FAIL",IF(AND(ISNUMBER(K3767),ISNUMBER(L3767),ABS(L3767-(K3767-IF(ISNUMBER(N3767),N3767,0)-IF(ISNUMBER(O3767),O3767,0)+IF(ISNUMBER(P3767),P3767,0)))&lt;=Summary!$B$2),"Passes using beginning_balance - PreV_ETB differs from beginning_balance",IF(AND(ISNUMBER(O3767),O3767&lt;0,ABS(L3767-(Q3767-IF(ISNUMBER(N3767),N3767,0)+IF(ISNUMBER(P3767),P3767,0)))&lt;=Summary!$B$2),"Negative realized loss not applied - check sign",IF(R3767&lt;0,"Principal paid exceeds prior balance",IF(AND(L3767&gt;Q3767,NOT(ISNUMBER(P3767))),"Balance increased but no Deferred_interest reported",IF(L3767&gt;R3767,"Reported balance higher than expected (missing increase/OC build)","Reported balance lower than expected (missing decrease)"))))),""))</f>
        <v/>
      </c>
    </row>
    <row r="3768" customFormat="false" ht="15" hidden="false" customHeight="false" outlineLevel="0" collapsed="false">
      <c r="A3768" s="8"/>
      <c r="B3768" s="8"/>
      <c r="C3768" s="8"/>
      <c r="D3768" s="8"/>
      <c r="E3768" s="8"/>
      <c r="F3768" s="8"/>
      <c r="G3768" s="8"/>
      <c r="H3768" s="8"/>
      <c r="I3768" s="8"/>
      <c r="J3768" s="8"/>
      <c r="K3768" s="9"/>
      <c r="L3768" s="9"/>
      <c r="M3768" s="9"/>
      <c r="N3768" s="9"/>
      <c r="O3768" s="9"/>
      <c r="P3768" s="9"/>
      <c r="Q3768" s="9"/>
      <c r="R3768" s="9" t="str">
        <f aca="false">IF(AND(A3768&lt;&gt;"",ISNUMBER(Q3768),ISNUMBER(L3768)),ROUND(Q3768-IF(ISNUMBER(N3768),N3768,0)-IF(ISNUMBER(O3768),O3768,0)+IF(ISNUMBER(P3768),P3768,0),2),"")</f>
        <v/>
      </c>
      <c r="S3768" s="9" t="str">
        <f aca="false">IF(R3768="","",ROUND(L3768-R3768,2))</f>
        <v/>
      </c>
      <c r="T3768" s="8" t="str">
        <f aca="false">IF(A3768="","",IF(S3768="","BYPASS",IF(ABS(S3768)&lt;=Summary!$B$2,"PASS","FAIL")))</f>
        <v/>
      </c>
      <c r="U3768" s="8" t="str">
        <f aca="false">IF(T3768="BYPASS",IF(NOT(ISNUMBER(Q3768)),"PreV_ETB missing","End_tr_balance missing"),IF(T3768="FAIL",IF(AND(ISNUMBER(K3768),ISNUMBER(L3768),ABS(L3768-(K3768-IF(ISNUMBER(N3768),N3768,0)-IF(ISNUMBER(O3768),O3768,0)+IF(ISNUMBER(P3768),P3768,0)))&lt;=Summary!$B$2),"Passes using beginning_balance - PreV_ETB differs from beginning_balance",IF(AND(ISNUMBER(O3768),O3768&lt;0,ABS(L3768-(Q3768-IF(ISNUMBER(N3768),N3768,0)+IF(ISNUMBER(P3768),P3768,0)))&lt;=Summary!$B$2),"Negative realized loss not applied - check sign",IF(R3768&lt;0,"Principal paid exceeds prior balance",IF(AND(L3768&gt;Q3768,NOT(ISNUMBER(P3768))),"Balance increased but no Deferred_interest reported",IF(L3768&gt;R3768,"Reported balance higher than expected (missing increase/OC build)","Reported balance lower than expected (missing decrease)"))))),""))</f>
        <v/>
      </c>
    </row>
    <row r="3769" customFormat="false" ht="15" hidden="false" customHeight="false" outlineLevel="0" collapsed="false">
      <c r="A3769" s="8"/>
      <c r="B3769" s="8"/>
      <c r="C3769" s="8"/>
      <c r="D3769" s="8"/>
      <c r="E3769" s="8"/>
      <c r="F3769" s="8"/>
      <c r="G3769" s="8"/>
      <c r="H3769" s="8"/>
      <c r="I3769" s="8"/>
      <c r="J3769" s="8"/>
      <c r="K3769" s="9"/>
      <c r="L3769" s="9"/>
      <c r="M3769" s="9"/>
      <c r="N3769" s="9"/>
      <c r="O3769" s="9"/>
      <c r="P3769" s="9"/>
      <c r="Q3769" s="9"/>
      <c r="R3769" s="9" t="str">
        <f aca="false">IF(AND(A3769&lt;&gt;"",ISNUMBER(Q3769),ISNUMBER(L3769)),ROUND(Q3769-IF(ISNUMBER(N3769),N3769,0)-IF(ISNUMBER(O3769),O3769,0)+IF(ISNUMBER(P3769),P3769,0),2),"")</f>
        <v/>
      </c>
      <c r="S3769" s="9" t="str">
        <f aca="false">IF(R3769="","",ROUND(L3769-R3769,2))</f>
        <v/>
      </c>
      <c r="T3769" s="8" t="str">
        <f aca="false">IF(A3769="","",IF(S3769="","BYPASS",IF(ABS(S3769)&lt;=Summary!$B$2,"PASS","FAIL")))</f>
        <v/>
      </c>
      <c r="U3769" s="8" t="str">
        <f aca="false">IF(T3769="BYPASS",IF(NOT(ISNUMBER(Q3769)),"PreV_ETB missing","End_tr_balance missing"),IF(T3769="FAIL",IF(AND(ISNUMBER(K3769),ISNUMBER(L3769),ABS(L3769-(K3769-IF(ISNUMBER(N3769),N3769,0)-IF(ISNUMBER(O3769),O3769,0)+IF(ISNUMBER(P3769),P3769,0)))&lt;=Summary!$B$2),"Passes using beginning_balance - PreV_ETB differs from beginning_balance",IF(AND(ISNUMBER(O3769),O3769&lt;0,ABS(L3769-(Q3769-IF(ISNUMBER(N3769),N3769,0)+IF(ISNUMBER(P3769),P3769,0)))&lt;=Summary!$B$2),"Negative realized loss not applied - check sign",IF(R3769&lt;0,"Principal paid exceeds prior balance",IF(AND(L3769&gt;Q3769,NOT(ISNUMBER(P3769))),"Balance increased but no Deferred_interest reported",IF(L3769&gt;R3769,"Reported balance higher than expected (missing increase/OC build)","Reported balance lower than expected (missing decrease)"))))),""))</f>
        <v/>
      </c>
    </row>
    <row r="3770" customFormat="false" ht="15" hidden="false" customHeight="false" outlineLevel="0" collapsed="false">
      <c r="A3770" s="8"/>
      <c r="B3770" s="8"/>
      <c r="C3770" s="8"/>
      <c r="D3770" s="8"/>
      <c r="E3770" s="8"/>
      <c r="F3770" s="8"/>
      <c r="G3770" s="8"/>
      <c r="H3770" s="8"/>
      <c r="I3770" s="8"/>
      <c r="J3770" s="8"/>
      <c r="K3770" s="9"/>
      <c r="L3770" s="9"/>
      <c r="M3770" s="9"/>
      <c r="N3770" s="9"/>
      <c r="O3770" s="9"/>
      <c r="P3770" s="9"/>
      <c r="Q3770" s="9"/>
      <c r="R3770" s="9" t="str">
        <f aca="false">IF(AND(A3770&lt;&gt;"",ISNUMBER(Q3770),ISNUMBER(L3770)),ROUND(Q3770-IF(ISNUMBER(N3770),N3770,0)-IF(ISNUMBER(O3770),O3770,0)+IF(ISNUMBER(P3770),P3770,0),2),"")</f>
        <v/>
      </c>
      <c r="S3770" s="9" t="str">
        <f aca="false">IF(R3770="","",ROUND(L3770-R3770,2))</f>
        <v/>
      </c>
      <c r="T3770" s="8" t="str">
        <f aca="false">IF(A3770="","",IF(S3770="","BYPASS",IF(ABS(S3770)&lt;=Summary!$B$2,"PASS","FAIL")))</f>
        <v/>
      </c>
      <c r="U3770" s="8" t="str">
        <f aca="false">IF(T3770="BYPASS",IF(NOT(ISNUMBER(Q3770)),"PreV_ETB missing","End_tr_balance missing"),IF(T3770="FAIL",IF(AND(ISNUMBER(K3770),ISNUMBER(L3770),ABS(L3770-(K3770-IF(ISNUMBER(N3770),N3770,0)-IF(ISNUMBER(O3770),O3770,0)+IF(ISNUMBER(P3770),P3770,0)))&lt;=Summary!$B$2),"Passes using beginning_balance - PreV_ETB differs from beginning_balance",IF(AND(ISNUMBER(O3770),O3770&lt;0,ABS(L3770-(Q3770-IF(ISNUMBER(N3770),N3770,0)+IF(ISNUMBER(P3770),P3770,0)))&lt;=Summary!$B$2),"Negative realized loss not applied - check sign",IF(R3770&lt;0,"Principal paid exceeds prior balance",IF(AND(L3770&gt;Q3770,NOT(ISNUMBER(P3770))),"Balance increased but no Deferred_interest reported",IF(L3770&gt;R3770,"Reported balance higher than expected (missing increase/OC build)","Reported balance lower than expected (missing decrease)"))))),""))</f>
        <v/>
      </c>
    </row>
    <row r="3771" customFormat="false" ht="15" hidden="false" customHeight="false" outlineLevel="0" collapsed="false">
      <c r="A3771" s="8"/>
      <c r="B3771" s="8"/>
      <c r="C3771" s="8"/>
      <c r="D3771" s="8"/>
      <c r="E3771" s="8"/>
      <c r="F3771" s="8"/>
      <c r="G3771" s="8"/>
      <c r="H3771" s="8"/>
      <c r="I3771" s="8"/>
      <c r="J3771" s="8"/>
      <c r="K3771" s="9"/>
      <c r="L3771" s="9"/>
      <c r="M3771" s="9"/>
      <c r="N3771" s="9"/>
      <c r="O3771" s="9"/>
      <c r="P3771" s="9"/>
      <c r="Q3771" s="9"/>
      <c r="R3771" s="9" t="str">
        <f aca="false">IF(AND(A3771&lt;&gt;"",ISNUMBER(Q3771),ISNUMBER(L3771)),ROUND(Q3771-IF(ISNUMBER(N3771),N3771,0)-IF(ISNUMBER(O3771),O3771,0)+IF(ISNUMBER(P3771),P3771,0),2),"")</f>
        <v/>
      </c>
      <c r="S3771" s="9" t="str">
        <f aca="false">IF(R3771="","",ROUND(L3771-R3771,2))</f>
        <v/>
      </c>
      <c r="T3771" s="8" t="str">
        <f aca="false">IF(A3771="","",IF(S3771="","BYPASS",IF(ABS(S3771)&lt;=Summary!$B$2,"PASS","FAIL")))</f>
        <v/>
      </c>
      <c r="U3771" s="8" t="str">
        <f aca="false">IF(T3771="BYPASS",IF(NOT(ISNUMBER(Q3771)),"PreV_ETB missing","End_tr_balance missing"),IF(T3771="FAIL",IF(AND(ISNUMBER(K3771),ISNUMBER(L3771),ABS(L3771-(K3771-IF(ISNUMBER(N3771),N3771,0)-IF(ISNUMBER(O3771),O3771,0)+IF(ISNUMBER(P3771),P3771,0)))&lt;=Summary!$B$2),"Passes using beginning_balance - PreV_ETB differs from beginning_balance",IF(AND(ISNUMBER(O3771),O3771&lt;0,ABS(L3771-(Q3771-IF(ISNUMBER(N3771),N3771,0)+IF(ISNUMBER(P3771),P3771,0)))&lt;=Summary!$B$2),"Negative realized loss not applied - check sign",IF(R3771&lt;0,"Principal paid exceeds prior balance",IF(AND(L3771&gt;Q3771,NOT(ISNUMBER(P3771))),"Balance increased but no Deferred_interest reported",IF(L3771&gt;R3771,"Reported balance higher than expected (missing increase/OC build)","Reported balance lower than expected (missing decrease)"))))),""))</f>
        <v/>
      </c>
    </row>
    <row r="3772" customFormat="false" ht="15" hidden="false" customHeight="false" outlineLevel="0" collapsed="false">
      <c r="A3772" s="8"/>
      <c r="B3772" s="8"/>
      <c r="C3772" s="8"/>
      <c r="D3772" s="8"/>
      <c r="E3772" s="8"/>
      <c r="F3772" s="8"/>
      <c r="G3772" s="8"/>
      <c r="H3772" s="8"/>
      <c r="I3772" s="8"/>
      <c r="J3772" s="8"/>
      <c r="K3772" s="9"/>
      <c r="L3772" s="9"/>
      <c r="M3772" s="9"/>
      <c r="N3772" s="9"/>
      <c r="O3772" s="9"/>
      <c r="P3772" s="9"/>
      <c r="Q3772" s="9"/>
      <c r="R3772" s="9" t="str">
        <f aca="false">IF(AND(A3772&lt;&gt;"",ISNUMBER(Q3772),ISNUMBER(L3772)),ROUND(Q3772-IF(ISNUMBER(N3772),N3772,0)-IF(ISNUMBER(O3772),O3772,0)+IF(ISNUMBER(P3772),P3772,0),2),"")</f>
        <v/>
      </c>
      <c r="S3772" s="9" t="str">
        <f aca="false">IF(R3772="","",ROUND(L3772-R3772,2))</f>
        <v/>
      </c>
      <c r="T3772" s="8" t="str">
        <f aca="false">IF(A3772="","",IF(S3772="","BYPASS",IF(ABS(S3772)&lt;=Summary!$B$2,"PASS","FAIL")))</f>
        <v/>
      </c>
      <c r="U3772" s="8" t="str">
        <f aca="false">IF(T3772="BYPASS",IF(NOT(ISNUMBER(Q3772)),"PreV_ETB missing","End_tr_balance missing"),IF(T3772="FAIL",IF(AND(ISNUMBER(K3772),ISNUMBER(L3772),ABS(L3772-(K3772-IF(ISNUMBER(N3772),N3772,0)-IF(ISNUMBER(O3772),O3772,0)+IF(ISNUMBER(P3772),P3772,0)))&lt;=Summary!$B$2),"Passes using beginning_balance - PreV_ETB differs from beginning_balance",IF(AND(ISNUMBER(O3772),O3772&lt;0,ABS(L3772-(Q3772-IF(ISNUMBER(N3772),N3772,0)+IF(ISNUMBER(P3772),P3772,0)))&lt;=Summary!$B$2),"Negative realized loss not applied - check sign",IF(R3772&lt;0,"Principal paid exceeds prior balance",IF(AND(L3772&gt;Q3772,NOT(ISNUMBER(P3772))),"Balance increased but no Deferred_interest reported",IF(L3772&gt;R3772,"Reported balance higher than expected (missing increase/OC build)","Reported balance lower than expected (missing decrease)"))))),""))</f>
        <v/>
      </c>
    </row>
    <row r="3773" customFormat="false" ht="15" hidden="false" customHeight="false" outlineLevel="0" collapsed="false">
      <c r="A3773" s="8"/>
      <c r="B3773" s="8"/>
      <c r="C3773" s="8"/>
      <c r="D3773" s="8"/>
      <c r="E3773" s="8"/>
      <c r="F3773" s="8"/>
      <c r="G3773" s="8"/>
      <c r="H3773" s="8"/>
      <c r="I3773" s="8"/>
      <c r="J3773" s="8"/>
      <c r="K3773" s="9"/>
      <c r="L3773" s="9"/>
      <c r="M3773" s="9"/>
      <c r="N3773" s="9"/>
      <c r="O3773" s="9"/>
      <c r="P3773" s="9"/>
      <c r="Q3773" s="9"/>
      <c r="R3773" s="9" t="str">
        <f aca="false">IF(AND(A3773&lt;&gt;"",ISNUMBER(Q3773),ISNUMBER(L3773)),ROUND(Q3773-IF(ISNUMBER(N3773),N3773,0)-IF(ISNUMBER(O3773),O3773,0)+IF(ISNUMBER(P3773),P3773,0),2),"")</f>
        <v/>
      </c>
      <c r="S3773" s="9" t="str">
        <f aca="false">IF(R3773="","",ROUND(L3773-R3773,2))</f>
        <v/>
      </c>
      <c r="T3773" s="8" t="str">
        <f aca="false">IF(A3773="","",IF(S3773="","BYPASS",IF(ABS(S3773)&lt;=Summary!$B$2,"PASS","FAIL")))</f>
        <v/>
      </c>
      <c r="U3773" s="8" t="str">
        <f aca="false">IF(T3773="BYPASS",IF(NOT(ISNUMBER(Q3773)),"PreV_ETB missing","End_tr_balance missing"),IF(T3773="FAIL",IF(AND(ISNUMBER(K3773),ISNUMBER(L3773),ABS(L3773-(K3773-IF(ISNUMBER(N3773),N3773,0)-IF(ISNUMBER(O3773),O3773,0)+IF(ISNUMBER(P3773),P3773,0)))&lt;=Summary!$B$2),"Passes using beginning_balance - PreV_ETB differs from beginning_balance",IF(AND(ISNUMBER(O3773),O3773&lt;0,ABS(L3773-(Q3773-IF(ISNUMBER(N3773),N3773,0)+IF(ISNUMBER(P3773),P3773,0)))&lt;=Summary!$B$2),"Negative realized loss not applied - check sign",IF(R3773&lt;0,"Principal paid exceeds prior balance",IF(AND(L3773&gt;Q3773,NOT(ISNUMBER(P3773))),"Balance increased but no Deferred_interest reported",IF(L3773&gt;R3773,"Reported balance higher than expected (missing increase/OC build)","Reported balance lower than expected (missing decrease)"))))),""))</f>
        <v/>
      </c>
    </row>
    <row r="3774" customFormat="false" ht="15" hidden="false" customHeight="false" outlineLevel="0" collapsed="false">
      <c r="A3774" s="8"/>
      <c r="B3774" s="8"/>
      <c r="C3774" s="8"/>
      <c r="D3774" s="8"/>
      <c r="E3774" s="8"/>
      <c r="F3774" s="8"/>
      <c r="G3774" s="8"/>
      <c r="H3774" s="8"/>
      <c r="I3774" s="8"/>
      <c r="J3774" s="8"/>
      <c r="K3774" s="9"/>
      <c r="L3774" s="9"/>
      <c r="M3774" s="9"/>
      <c r="N3774" s="9"/>
      <c r="O3774" s="9"/>
      <c r="P3774" s="9"/>
      <c r="Q3774" s="9"/>
      <c r="R3774" s="9" t="str">
        <f aca="false">IF(AND(A3774&lt;&gt;"",ISNUMBER(Q3774),ISNUMBER(L3774)),ROUND(Q3774-IF(ISNUMBER(N3774),N3774,0)-IF(ISNUMBER(O3774),O3774,0)+IF(ISNUMBER(P3774),P3774,0),2),"")</f>
        <v/>
      </c>
      <c r="S3774" s="9" t="str">
        <f aca="false">IF(R3774="","",ROUND(L3774-R3774,2))</f>
        <v/>
      </c>
      <c r="T3774" s="8" t="str">
        <f aca="false">IF(A3774="","",IF(S3774="","BYPASS",IF(ABS(S3774)&lt;=Summary!$B$2,"PASS","FAIL")))</f>
        <v/>
      </c>
      <c r="U3774" s="8" t="str">
        <f aca="false">IF(T3774="BYPASS",IF(NOT(ISNUMBER(Q3774)),"PreV_ETB missing","End_tr_balance missing"),IF(T3774="FAIL",IF(AND(ISNUMBER(K3774),ISNUMBER(L3774),ABS(L3774-(K3774-IF(ISNUMBER(N3774),N3774,0)-IF(ISNUMBER(O3774),O3774,0)+IF(ISNUMBER(P3774),P3774,0)))&lt;=Summary!$B$2),"Passes using beginning_balance - PreV_ETB differs from beginning_balance",IF(AND(ISNUMBER(O3774),O3774&lt;0,ABS(L3774-(Q3774-IF(ISNUMBER(N3774),N3774,0)+IF(ISNUMBER(P3774),P3774,0)))&lt;=Summary!$B$2),"Negative realized loss not applied - check sign",IF(R3774&lt;0,"Principal paid exceeds prior balance",IF(AND(L3774&gt;Q3774,NOT(ISNUMBER(P3774))),"Balance increased but no Deferred_interest reported",IF(L3774&gt;R3774,"Reported balance higher than expected (missing increase/OC build)","Reported balance lower than expected (missing decrease)"))))),""))</f>
        <v/>
      </c>
    </row>
    <row r="3775" customFormat="false" ht="15" hidden="false" customHeight="false" outlineLevel="0" collapsed="false">
      <c r="A3775" s="8"/>
      <c r="B3775" s="8"/>
      <c r="C3775" s="8"/>
      <c r="D3775" s="8"/>
      <c r="E3775" s="8"/>
      <c r="F3775" s="8"/>
      <c r="G3775" s="8"/>
      <c r="H3775" s="8"/>
      <c r="I3775" s="8"/>
      <c r="J3775" s="8"/>
      <c r="K3775" s="9"/>
      <c r="L3775" s="9"/>
      <c r="M3775" s="9"/>
      <c r="N3775" s="9"/>
      <c r="O3775" s="9"/>
      <c r="P3775" s="9"/>
      <c r="Q3775" s="9"/>
      <c r="R3775" s="9" t="str">
        <f aca="false">IF(AND(A3775&lt;&gt;"",ISNUMBER(Q3775),ISNUMBER(L3775)),ROUND(Q3775-IF(ISNUMBER(N3775),N3775,0)-IF(ISNUMBER(O3775),O3775,0)+IF(ISNUMBER(P3775),P3775,0),2),"")</f>
        <v/>
      </c>
      <c r="S3775" s="9" t="str">
        <f aca="false">IF(R3775="","",ROUND(L3775-R3775,2))</f>
        <v/>
      </c>
      <c r="T3775" s="8" t="str">
        <f aca="false">IF(A3775="","",IF(S3775="","BYPASS",IF(ABS(S3775)&lt;=Summary!$B$2,"PASS","FAIL")))</f>
        <v/>
      </c>
      <c r="U3775" s="8" t="str">
        <f aca="false">IF(T3775="BYPASS",IF(NOT(ISNUMBER(Q3775)),"PreV_ETB missing","End_tr_balance missing"),IF(T3775="FAIL",IF(AND(ISNUMBER(K3775),ISNUMBER(L3775),ABS(L3775-(K3775-IF(ISNUMBER(N3775),N3775,0)-IF(ISNUMBER(O3775),O3775,0)+IF(ISNUMBER(P3775),P3775,0)))&lt;=Summary!$B$2),"Passes using beginning_balance - PreV_ETB differs from beginning_balance",IF(AND(ISNUMBER(O3775),O3775&lt;0,ABS(L3775-(Q3775-IF(ISNUMBER(N3775),N3775,0)+IF(ISNUMBER(P3775),P3775,0)))&lt;=Summary!$B$2),"Negative realized loss not applied - check sign",IF(R3775&lt;0,"Principal paid exceeds prior balance",IF(AND(L3775&gt;Q3775,NOT(ISNUMBER(P3775))),"Balance increased but no Deferred_interest reported",IF(L3775&gt;R3775,"Reported balance higher than expected (missing increase/OC build)","Reported balance lower than expected (missing decrease)"))))),""))</f>
        <v/>
      </c>
    </row>
    <row r="3776" customFormat="false" ht="15" hidden="false" customHeight="false" outlineLevel="0" collapsed="false">
      <c r="A3776" s="8"/>
      <c r="B3776" s="8"/>
      <c r="C3776" s="8"/>
      <c r="D3776" s="8"/>
      <c r="E3776" s="8"/>
      <c r="F3776" s="8"/>
      <c r="G3776" s="8"/>
      <c r="H3776" s="8"/>
      <c r="I3776" s="8"/>
      <c r="J3776" s="8"/>
      <c r="K3776" s="9"/>
      <c r="L3776" s="9"/>
      <c r="M3776" s="9"/>
      <c r="N3776" s="9"/>
      <c r="O3776" s="9"/>
      <c r="P3776" s="9"/>
      <c r="Q3776" s="9"/>
      <c r="R3776" s="9" t="str">
        <f aca="false">IF(AND(A3776&lt;&gt;"",ISNUMBER(Q3776),ISNUMBER(L3776)),ROUND(Q3776-IF(ISNUMBER(N3776),N3776,0)-IF(ISNUMBER(O3776),O3776,0)+IF(ISNUMBER(P3776),P3776,0),2),"")</f>
        <v/>
      </c>
      <c r="S3776" s="9" t="str">
        <f aca="false">IF(R3776="","",ROUND(L3776-R3776,2))</f>
        <v/>
      </c>
      <c r="T3776" s="8" t="str">
        <f aca="false">IF(A3776="","",IF(S3776="","BYPASS",IF(ABS(S3776)&lt;=Summary!$B$2,"PASS","FAIL")))</f>
        <v/>
      </c>
      <c r="U3776" s="8" t="str">
        <f aca="false">IF(T3776="BYPASS",IF(NOT(ISNUMBER(Q3776)),"PreV_ETB missing","End_tr_balance missing"),IF(T3776="FAIL",IF(AND(ISNUMBER(K3776),ISNUMBER(L3776),ABS(L3776-(K3776-IF(ISNUMBER(N3776),N3776,0)-IF(ISNUMBER(O3776),O3776,0)+IF(ISNUMBER(P3776),P3776,0)))&lt;=Summary!$B$2),"Passes using beginning_balance - PreV_ETB differs from beginning_balance",IF(AND(ISNUMBER(O3776),O3776&lt;0,ABS(L3776-(Q3776-IF(ISNUMBER(N3776),N3776,0)+IF(ISNUMBER(P3776),P3776,0)))&lt;=Summary!$B$2),"Negative realized loss not applied - check sign",IF(R3776&lt;0,"Principal paid exceeds prior balance",IF(AND(L3776&gt;Q3776,NOT(ISNUMBER(P3776))),"Balance increased but no Deferred_interest reported",IF(L3776&gt;R3776,"Reported balance higher than expected (missing increase/OC build)","Reported balance lower than expected (missing decrease)"))))),""))</f>
        <v/>
      </c>
    </row>
    <row r="3777" customFormat="false" ht="15" hidden="false" customHeight="false" outlineLevel="0" collapsed="false">
      <c r="A3777" s="8"/>
      <c r="B3777" s="8"/>
      <c r="C3777" s="8"/>
      <c r="D3777" s="8"/>
      <c r="E3777" s="8"/>
      <c r="F3777" s="8"/>
      <c r="G3777" s="8"/>
      <c r="H3777" s="8"/>
      <c r="I3777" s="8"/>
      <c r="J3777" s="8"/>
      <c r="K3777" s="9"/>
      <c r="L3777" s="9"/>
      <c r="M3777" s="9"/>
      <c r="N3777" s="9"/>
      <c r="O3777" s="9"/>
      <c r="P3777" s="9"/>
      <c r="Q3777" s="9"/>
      <c r="R3777" s="9" t="str">
        <f aca="false">IF(AND(A3777&lt;&gt;"",ISNUMBER(Q3777),ISNUMBER(L3777)),ROUND(Q3777-IF(ISNUMBER(N3777),N3777,0)-IF(ISNUMBER(O3777),O3777,0)+IF(ISNUMBER(P3777),P3777,0),2),"")</f>
        <v/>
      </c>
      <c r="S3777" s="9" t="str">
        <f aca="false">IF(R3777="","",ROUND(L3777-R3777,2))</f>
        <v/>
      </c>
      <c r="T3777" s="8" t="str">
        <f aca="false">IF(A3777="","",IF(S3777="","BYPASS",IF(ABS(S3777)&lt;=Summary!$B$2,"PASS","FAIL")))</f>
        <v/>
      </c>
      <c r="U3777" s="8" t="str">
        <f aca="false">IF(T3777="BYPASS",IF(NOT(ISNUMBER(Q3777)),"PreV_ETB missing","End_tr_balance missing"),IF(T3777="FAIL",IF(AND(ISNUMBER(K3777),ISNUMBER(L3777),ABS(L3777-(K3777-IF(ISNUMBER(N3777),N3777,0)-IF(ISNUMBER(O3777),O3777,0)+IF(ISNUMBER(P3777),P3777,0)))&lt;=Summary!$B$2),"Passes using beginning_balance - PreV_ETB differs from beginning_balance",IF(AND(ISNUMBER(O3777),O3777&lt;0,ABS(L3777-(Q3777-IF(ISNUMBER(N3777),N3777,0)+IF(ISNUMBER(P3777),P3777,0)))&lt;=Summary!$B$2),"Negative realized loss not applied - check sign",IF(R3777&lt;0,"Principal paid exceeds prior balance",IF(AND(L3777&gt;Q3777,NOT(ISNUMBER(P3777))),"Balance increased but no Deferred_interest reported",IF(L3777&gt;R3777,"Reported balance higher than expected (missing increase/OC build)","Reported balance lower than expected (missing decrease)"))))),""))</f>
        <v/>
      </c>
    </row>
    <row r="3778" customFormat="false" ht="15" hidden="false" customHeight="false" outlineLevel="0" collapsed="false">
      <c r="A3778" s="8"/>
      <c r="B3778" s="8"/>
      <c r="C3778" s="8"/>
      <c r="D3778" s="8"/>
      <c r="E3778" s="8"/>
      <c r="F3778" s="8"/>
      <c r="G3778" s="8"/>
      <c r="H3778" s="8"/>
      <c r="I3778" s="8"/>
      <c r="J3778" s="8"/>
      <c r="K3778" s="9"/>
      <c r="L3778" s="9"/>
      <c r="M3778" s="9"/>
      <c r="N3778" s="9"/>
      <c r="O3778" s="9"/>
      <c r="P3778" s="9"/>
      <c r="Q3778" s="9"/>
      <c r="R3778" s="9" t="str">
        <f aca="false">IF(AND(A3778&lt;&gt;"",ISNUMBER(Q3778),ISNUMBER(L3778)),ROUND(Q3778-IF(ISNUMBER(N3778),N3778,0)-IF(ISNUMBER(O3778),O3778,0)+IF(ISNUMBER(P3778),P3778,0),2),"")</f>
        <v/>
      </c>
      <c r="S3778" s="9" t="str">
        <f aca="false">IF(R3778="","",ROUND(L3778-R3778,2))</f>
        <v/>
      </c>
      <c r="T3778" s="8" t="str">
        <f aca="false">IF(A3778="","",IF(S3778="","BYPASS",IF(ABS(S3778)&lt;=Summary!$B$2,"PASS","FAIL")))</f>
        <v/>
      </c>
      <c r="U3778" s="8" t="str">
        <f aca="false">IF(T3778="BYPASS",IF(NOT(ISNUMBER(Q3778)),"PreV_ETB missing","End_tr_balance missing"),IF(T3778="FAIL",IF(AND(ISNUMBER(K3778),ISNUMBER(L3778),ABS(L3778-(K3778-IF(ISNUMBER(N3778),N3778,0)-IF(ISNUMBER(O3778),O3778,0)+IF(ISNUMBER(P3778),P3778,0)))&lt;=Summary!$B$2),"Passes using beginning_balance - PreV_ETB differs from beginning_balance",IF(AND(ISNUMBER(O3778),O3778&lt;0,ABS(L3778-(Q3778-IF(ISNUMBER(N3778),N3778,0)+IF(ISNUMBER(P3778),P3778,0)))&lt;=Summary!$B$2),"Negative realized loss not applied - check sign",IF(R3778&lt;0,"Principal paid exceeds prior balance",IF(AND(L3778&gt;Q3778,NOT(ISNUMBER(P3778))),"Balance increased but no Deferred_interest reported",IF(L3778&gt;R3778,"Reported balance higher than expected (missing increase/OC build)","Reported balance lower than expected (missing decrease)"))))),""))</f>
        <v/>
      </c>
    </row>
    <row r="3779" customFormat="false" ht="15" hidden="false" customHeight="false" outlineLevel="0" collapsed="false">
      <c r="A3779" s="8"/>
      <c r="B3779" s="8"/>
      <c r="C3779" s="8"/>
      <c r="D3779" s="8"/>
      <c r="E3779" s="8"/>
      <c r="F3779" s="8"/>
      <c r="G3779" s="8"/>
      <c r="H3779" s="8"/>
      <c r="I3779" s="8"/>
      <c r="J3779" s="8"/>
      <c r="K3779" s="9"/>
      <c r="L3779" s="9"/>
      <c r="M3779" s="9"/>
      <c r="N3779" s="9"/>
      <c r="O3779" s="9"/>
      <c r="P3779" s="9"/>
      <c r="Q3779" s="9"/>
      <c r="R3779" s="9" t="str">
        <f aca="false">IF(AND(A3779&lt;&gt;"",ISNUMBER(Q3779),ISNUMBER(L3779)),ROUND(Q3779-IF(ISNUMBER(N3779),N3779,0)-IF(ISNUMBER(O3779),O3779,0)+IF(ISNUMBER(P3779),P3779,0),2),"")</f>
        <v/>
      </c>
      <c r="S3779" s="9" t="str">
        <f aca="false">IF(R3779="","",ROUND(L3779-R3779,2))</f>
        <v/>
      </c>
      <c r="T3779" s="8" t="str">
        <f aca="false">IF(A3779="","",IF(S3779="","BYPASS",IF(ABS(S3779)&lt;=Summary!$B$2,"PASS","FAIL")))</f>
        <v/>
      </c>
      <c r="U3779" s="8" t="str">
        <f aca="false">IF(T3779="BYPASS",IF(NOT(ISNUMBER(Q3779)),"PreV_ETB missing","End_tr_balance missing"),IF(T3779="FAIL",IF(AND(ISNUMBER(K3779),ISNUMBER(L3779),ABS(L3779-(K3779-IF(ISNUMBER(N3779),N3779,0)-IF(ISNUMBER(O3779),O3779,0)+IF(ISNUMBER(P3779),P3779,0)))&lt;=Summary!$B$2),"Passes using beginning_balance - PreV_ETB differs from beginning_balance",IF(AND(ISNUMBER(O3779),O3779&lt;0,ABS(L3779-(Q3779-IF(ISNUMBER(N3779),N3779,0)+IF(ISNUMBER(P3779),P3779,0)))&lt;=Summary!$B$2),"Negative realized loss not applied - check sign",IF(R3779&lt;0,"Principal paid exceeds prior balance",IF(AND(L3779&gt;Q3779,NOT(ISNUMBER(P3779))),"Balance increased but no Deferred_interest reported",IF(L3779&gt;R3779,"Reported balance higher than expected (missing increase/OC build)","Reported balance lower than expected (missing decrease)"))))),""))</f>
        <v/>
      </c>
    </row>
    <row r="3780" customFormat="false" ht="15" hidden="false" customHeight="false" outlineLevel="0" collapsed="false">
      <c r="A3780" s="8"/>
      <c r="B3780" s="8"/>
      <c r="C3780" s="8"/>
      <c r="D3780" s="8"/>
      <c r="E3780" s="8"/>
      <c r="F3780" s="8"/>
      <c r="G3780" s="8"/>
      <c r="H3780" s="8"/>
      <c r="I3780" s="8"/>
      <c r="J3780" s="8"/>
      <c r="K3780" s="9"/>
      <c r="L3780" s="9"/>
      <c r="M3780" s="9"/>
      <c r="N3780" s="9"/>
      <c r="O3780" s="9"/>
      <c r="P3780" s="9"/>
      <c r="Q3780" s="9"/>
      <c r="R3780" s="9" t="str">
        <f aca="false">IF(AND(A3780&lt;&gt;"",ISNUMBER(Q3780),ISNUMBER(L3780)),ROUND(Q3780-IF(ISNUMBER(N3780),N3780,0)-IF(ISNUMBER(O3780),O3780,0)+IF(ISNUMBER(P3780),P3780,0),2),"")</f>
        <v/>
      </c>
      <c r="S3780" s="9" t="str">
        <f aca="false">IF(R3780="","",ROUND(L3780-R3780,2))</f>
        <v/>
      </c>
      <c r="T3780" s="8" t="str">
        <f aca="false">IF(A3780="","",IF(S3780="","BYPASS",IF(ABS(S3780)&lt;=Summary!$B$2,"PASS","FAIL")))</f>
        <v/>
      </c>
      <c r="U3780" s="8" t="str">
        <f aca="false">IF(T3780="BYPASS",IF(NOT(ISNUMBER(Q3780)),"PreV_ETB missing","End_tr_balance missing"),IF(T3780="FAIL",IF(AND(ISNUMBER(K3780),ISNUMBER(L3780),ABS(L3780-(K3780-IF(ISNUMBER(N3780),N3780,0)-IF(ISNUMBER(O3780),O3780,0)+IF(ISNUMBER(P3780),P3780,0)))&lt;=Summary!$B$2),"Passes using beginning_balance - PreV_ETB differs from beginning_balance",IF(AND(ISNUMBER(O3780),O3780&lt;0,ABS(L3780-(Q3780-IF(ISNUMBER(N3780),N3780,0)+IF(ISNUMBER(P3780),P3780,0)))&lt;=Summary!$B$2),"Negative realized loss not applied - check sign",IF(R3780&lt;0,"Principal paid exceeds prior balance",IF(AND(L3780&gt;Q3780,NOT(ISNUMBER(P3780))),"Balance increased but no Deferred_interest reported",IF(L3780&gt;R3780,"Reported balance higher than expected (missing increase/OC build)","Reported balance lower than expected (missing decrease)"))))),""))</f>
        <v/>
      </c>
    </row>
    <row r="3781" customFormat="false" ht="15" hidden="false" customHeight="false" outlineLevel="0" collapsed="false">
      <c r="A3781" s="8"/>
      <c r="B3781" s="8"/>
      <c r="C3781" s="8"/>
      <c r="D3781" s="8"/>
      <c r="E3781" s="8"/>
      <c r="F3781" s="8"/>
      <c r="G3781" s="8"/>
      <c r="H3781" s="8"/>
      <c r="I3781" s="8"/>
      <c r="J3781" s="8"/>
      <c r="K3781" s="9"/>
      <c r="L3781" s="9"/>
      <c r="M3781" s="9"/>
      <c r="N3781" s="9"/>
      <c r="O3781" s="9"/>
      <c r="P3781" s="9"/>
      <c r="Q3781" s="9"/>
      <c r="R3781" s="9" t="str">
        <f aca="false">IF(AND(A3781&lt;&gt;"",ISNUMBER(Q3781),ISNUMBER(L3781)),ROUND(Q3781-IF(ISNUMBER(N3781),N3781,0)-IF(ISNUMBER(O3781),O3781,0)+IF(ISNUMBER(P3781),P3781,0),2),"")</f>
        <v/>
      </c>
      <c r="S3781" s="9" t="str">
        <f aca="false">IF(R3781="","",ROUND(L3781-R3781,2))</f>
        <v/>
      </c>
      <c r="T3781" s="8" t="str">
        <f aca="false">IF(A3781="","",IF(S3781="","BYPASS",IF(ABS(S3781)&lt;=Summary!$B$2,"PASS","FAIL")))</f>
        <v/>
      </c>
      <c r="U3781" s="8" t="str">
        <f aca="false">IF(T3781="BYPASS",IF(NOT(ISNUMBER(Q3781)),"PreV_ETB missing","End_tr_balance missing"),IF(T3781="FAIL",IF(AND(ISNUMBER(K3781),ISNUMBER(L3781),ABS(L3781-(K3781-IF(ISNUMBER(N3781),N3781,0)-IF(ISNUMBER(O3781),O3781,0)+IF(ISNUMBER(P3781),P3781,0)))&lt;=Summary!$B$2),"Passes using beginning_balance - PreV_ETB differs from beginning_balance",IF(AND(ISNUMBER(O3781),O3781&lt;0,ABS(L3781-(Q3781-IF(ISNUMBER(N3781),N3781,0)+IF(ISNUMBER(P3781),P3781,0)))&lt;=Summary!$B$2),"Negative realized loss not applied - check sign",IF(R3781&lt;0,"Principal paid exceeds prior balance",IF(AND(L3781&gt;Q3781,NOT(ISNUMBER(P3781))),"Balance increased but no Deferred_interest reported",IF(L3781&gt;R3781,"Reported balance higher than expected (missing increase/OC build)","Reported balance lower than expected (missing decrease)"))))),""))</f>
        <v/>
      </c>
    </row>
    <row r="3782" customFormat="false" ht="15" hidden="false" customHeight="false" outlineLevel="0" collapsed="false">
      <c r="A3782" s="8"/>
      <c r="B3782" s="8"/>
      <c r="C3782" s="8"/>
      <c r="D3782" s="8"/>
      <c r="E3782" s="8"/>
      <c r="F3782" s="8"/>
      <c r="G3782" s="8"/>
      <c r="H3782" s="8"/>
      <c r="I3782" s="8"/>
      <c r="J3782" s="8"/>
      <c r="K3782" s="9"/>
      <c r="L3782" s="9"/>
      <c r="M3782" s="9"/>
      <c r="N3782" s="9"/>
      <c r="O3782" s="9"/>
      <c r="P3782" s="9"/>
      <c r="Q3782" s="9"/>
      <c r="R3782" s="9" t="str">
        <f aca="false">IF(AND(A3782&lt;&gt;"",ISNUMBER(Q3782),ISNUMBER(L3782)),ROUND(Q3782-IF(ISNUMBER(N3782),N3782,0)-IF(ISNUMBER(O3782),O3782,0)+IF(ISNUMBER(P3782),P3782,0),2),"")</f>
        <v/>
      </c>
      <c r="S3782" s="9" t="str">
        <f aca="false">IF(R3782="","",ROUND(L3782-R3782,2))</f>
        <v/>
      </c>
      <c r="T3782" s="8" t="str">
        <f aca="false">IF(A3782="","",IF(S3782="","BYPASS",IF(ABS(S3782)&lt;=Summary!$B$2,"PASS","FAIL")))</f>
        <v/>
      </c>
      <c r="U3782" s="8" t="str">
        <f aca="false">IF(T3782="BYPASS",IF(NOT(ISNUMBER(Q3782)),"PreV_ETB missing","End_tr_balance missing"),IF(T3782="FAIL",IF(AND(ISNUMBER(K3782),ISNUMBER(L3782),ABS(L3782-(K3782-IF(ISNUMBER(N3782),N3782,0)-IF(ISNUMBER(O3782),O3782,0)+IF(ISNUMBER(P3782),P3782,0)))&lt;=Summary!$B$2),"Passes using beginning_balance - PreV_ETB differs from beginning_balance",IF(AND(ISNUMBER(O3782),O3782&lt;0,ABS(L3782-(Q3782-IF(ISNUMBER(N3782),N3782,0)+IF(ISNUMBER(P3782),P3782,0)))&lt;=Summary!$B$2),"Negative realized loss not applied - check sign",IF(R3782&lt;0,"Principal paid exceeds prior balance",IF(AND(L3782&gt;Q3782,NOT(ISNUMBER(P3782))),"Balance increased but no Deferred_interest reported",IF(L3782&gt;R3782,"Reported balance higher than expected (missing increase/OC build)","Reported balance lower than expected (missing decrease)"))))),""))</f>
        <v/>
      </c>
    </row>
    <row r="3783" customFormat="false" ht="15" hidden="false" customHeight="false" outlineLevel="0" collapsed="false">
      <c r="A3783" s="8"/>
      <c r="B3783" s="8"/>
      <c r="C3783" s="8"/>
      <c r="D3783" s="8"/>
      <c r="E3783" s="8"/>
      <c r="F3783" s="8"/>
      <c r="G3783" s="8"/>
      <c r="H3783" s="8"/>
      <c r="I3783" s="8"/>
      <c r="J3783" s="8"/>
      <c r="K3783" s="9"/>
      <c r="L3783" s="9"/>
      <c r="M3783" s="9"/>
      <c r="N3783" s="9"/>
      <c r="O3783" s="9"/>
      <c r="P3783" s="9"/>
      <c r="Q3783" s="9"/>
      <c r="R3783" s="9" t="str">
        <f aca="false">IF(AND(A3783&lt;&gt;"",ISNUMBER(Q3783),ISNUMBER(L3783)),ROUND(Q3783-IF(ISNUMBER(N3783),N3783,0)-IF(ISNUMBER(O3783),O3783,0)+IF(ISNUMBER(P3783),P3783,0),2),"")</f>
        <v/>
      </c>
      <c r="S3783" s="9" t="str">
        <f aca="false">IF(R3783="","",ROUND(L3783-R3783,2))</f>
        <v/>
      </c>
      <c r="T3783" s="8" t="str">
        <f aca="false">IF(A3783="","",IF(S3783="","BYPASS",IF(ABS(S3783)&lt;=Summary!$B$2,"PASS","FAIL")))</f>
        <v/>
      </c>
      <c r="U3783" s="8" t="str">
        <f aca="false">IF(T3783="BYPASS",IF(NOT(ISNUMBER(Q3783)),"PreV_ETB missing","End_tr_balance missing"),IF(T3783="FAIL",IF(AND(ISNUMBER(K3783),ISNUMBER(L3783),ABS(L3783-(K3783-IF(ISNUMBER(N3783),N3783,0)-IF(ISNUMBER(O3783),O3783,0)+IF(ISNUMBER(P3783),P3783,0)))&lt;=Summary!$B$2),"Passes using beginning_balance - PreV_ETB differs from beginning_balance",IF(AND(ISNUMBER(O3783),O3783&lt;0,ABS(L3783-(Q3783-IF(ISNUMBER(N3783),N3783,0)+IF(ISNUMBER(P3783),P3783,0)))&lt;=Summary!$B$2),"Negative realized loss not applied - check sign",IF(R3783&lt;0,"Principal paid exceeds prior balance",IF(AND(L3783&gt;Q3783,NOT(ISNUMBER(P3783))),"Balance increased but no Deferred_interest reported",IF(L3783&gt;R3783,"Reported balance higher than expected (missing increase/OC build)","Reported balance lower than expected (missing decrease)"))))),""))</f>
        <v/>
      </c>
    </row>
    <row r="3784" customFormat="false" ht="15" hidden="false" customHeight="false" outlineLevel="0" collapsed="false">
      <c r="A3784" s="8"/>
      <c r="B3784" s="8"/>
      <c r="C3784" s="8"/>
      <c r="D3784" s="8"/>
      <c r="E3784" s="8"/>
      <c r="F3784" s="8"/>
      <c r="G3784" s="8"/>
      <c r="H3784" s="8"/>
      <c r="I3784" s="8"/>
      <c r="J3784" s="8"/>
      <c r="K3784" s="9"/>
      <c r="L3784" s="9"/>
      <c r="M3784" s="9"/>
      <c r="N3784" s="9"/>
      <c r="O3784" s="9"/>
      <c r="P3784" s="9"/>
      <c r="Q3784" s="9"/>
      <c r="R3784" s="9" t="str">
        <f aca="false">IF(AND(A3784&lt;&gt;"",ISNUMBER(Q3784),ISNUMBER(L3784)),ROUND(Q3784-IF(ISNUMBER(N3784),N3784,0)-IF(ISNUMBER(O3784),O3784,0)+IF(ISNUMBER(P3784),P3784,0),2),"")</f>
        <v/>
      </c>
      <c r="S3784" s="9" t="str">
        <f aca="false">IF(R3784="","",ROUND(L3784-R3784,2))</f>
        <v/>
      </c>
      <c r="T3784" s="8" t="str">
        <f aca="false">IF(A3784="","",IF(S3784="","BYPASS",IF(ABS(S3784)&lt;=Summary!$B$2,"PASS","FAIL")))</f>
        <v/>
      </c>
      <c r="U3784" s="8" t="str">
        <f aca="false">IF(T3784="BYPASS",IF(NOT(ISNUMBER(Q3784)),"PreV_ETB missing","End_tr_balance missing"),IF(T3784="FAIL",IF(AND(ISNUMBER(K3784),ISNUMBER(L3784),ABS(L3784-(K3784-IF(ISNUMBER(N3784),N3784,0)-IF(ISNUMBER(O3784),O3784,0)+IF(ISNUMBER(P3784),P3784,0)))&lt;=Summary!$B$2),"Passes using beginning_balance - PreV_ETB differs from beginning_balance",IF(AND(ISNUMBER(O3784),O3784&lt;0,ABS(L3784-(Q3784-IF(ISNUMBER(N3784),N3784,0)+IF(ISNUMBER(P3784),P3784,0)))&lt;=Summary!$B$2),"Negative realized loss not applied - check sign",IF(R3784&lt;0,"Principal paid exceeds prior balance",IF(AND(L3784&gt;Q3784,NOT(ISNUMBER(P3784))),"Balance increased but no Deferred_interest reported",IF(L3784&gt;R3784,"Reported balance higher than expected (missing increase/OC build)","Reported balance lower than expected (missing decrease)"))))),""))</f>
        <v/>
      </c>
    </row>
    <row r="3785" customFormat="false" ht="15" hidden="false" customHeight="false" outlineLevel="0" collapsed="false">
      <c r="A3785" s="8"/>
      <c r="B3785" s="8"/>
      <c r="C3785" s="8"/>
      <c r="D3785" s="8"/>
      <c r="E3785" s="8"/>
      <c r="F3785" s="8"/>
      <c r="G3785" s="8"/>
      <c r="H3785" s="8"/>
      <c r="I3785" s="8"/>
      <c r="J3785" s="8"/>
      <c r="K3785" s="9"/>
      <c r="L3785" s="9"/>
      <c r="M3785" s="9"/>
      <c r="N3785" s="9"/>
      <c r="O3785" s="9"/>
      <c r="P3785" s="9"/>
      <c r="Q3785" s="9"/>
      <c r="R3785" s="9" t="str">
        <f aca="false">IF(AND(A3785&lt;&gt;"",ISNUMBER(Q3785),ISNUMBER(L3785)),ROUND(Q3785-IF(ISNUMBER(N3785),N3785,0)-IF(ISNUMBER(O3785),O3785,0)+IF(ISNUMBER(P3785),P3785,0),2),"")</f>
        <v/>
      </c>
      <c r="S3785" s="9" t="str">
        <f aca="false">IF(R3785="","",ROUND(L3785-R3785,2))</f>
        <v/>
      </c>
      <c r="T3785" s="8" t="str">
        <f aca="false">IF(A3785="","",IF(S3785="","BYPASS",IF(ABS(S3785)&lt;=Summary!$B$2,"PASS","FAIL")))</f>
        <v/>
      </c>
      <c r="U3785" s="8" t="str">
        <f aca="false">IF(T3785="BYPASS",IF(NOT(ISNUMBER(Q3785)),"PreV_ETB missing","End_tr_balance missing"),IF(T3785="FAIL",IF(AND(ISNUMBER(K3785),ISNUMBER(L3785),ABS(L3785-(K3785-IF(ISNUMBER(N3785),N3785,0)-IF(ISNUMBER(O3785),O3785,0)+IF(ISNUMBER(P3785),P3785,0)))&lt;=Summary!$B$2),"Passes using beginning_balance - PreV_ETB differs from beginning_balance",IF(AND(ISNUMBER(O3785),O3785&lt;0,ABS(L3785-(Q3785-IF(ISNUMBER(N3785),N3785,0)+IF(ISNUMBER(P3785),P3785,0)))&lt;=Summary!$B$2),"Negative realized loss not applied - check sign",IF(R3785&lt;0,"Principal paid exceeds prior balance",IF(AND(L3785&gt;Q3785,NOT(ISNUMBER(P3785))),"Balance increased but no Deferred_interest reported",IF(L3785&gt;R3785,"Reported balance higher than expected (missing increase/OC build)","Reported balance lower than expected (missing decrease)"))))),""))</f>
        <v/>
      </c>
    </row>
    <row r="3786" customFormat="false" ht="15" hidden="false" customHeight="false" outlineLevel="0" collapsed="false">
      <c r="A3786" s="8"/>
      <c r="B3786" s="8"/>
      <c r="C3786" s="8"/>
      <c r="D3786" s="8"/>
      <c r="E3786" s="8"/>
      <c r="F3786" s="8"/>
      <c r="G3786" s="8"/>
      <c r="H3786" s="8"/>
      <c r="I3786" s="8"/>
      <c r="J3786" s="8"/>
      <c r="K3786" s="9"/>
      <c r="L3786" s="9"/>
      <c r="M3786" s="9"/>
      <c r="N3786" s="9"/>
      <c r="O3786" s="9"/>
      <c r="P3786" s="9"/>
      <c r="Q3786" s="9"/>
      <c r="R3786" s="9" t="str">
        <f aca="false">IF(AND(A3786&lt;&gt;"",ISNUMBER(Q3786),ISNUMBER(L3786)),ROUND(Q3786-IF(ISNUMBER(N3786),N3786,0)-IF(ISNUMBER(O3786),O3786,0)+IF(ISNUMBER(P3786),P3786,0),2),"")</f>
        <v/>
      </c>
      <c r="S3786" s="9" t="str">
        <f aca="false">IF(R3786="","",ROUND(L3786-R3786,2))</f>
        <v/>
      </c>
      <c r="T3786" s="8" t="str">
        <f aca="false">IF(A3786="","",IF(S3786="","BYPASS",IF(ABS(S3786)&lt;=Summary!$B$2,"PASS","FAIL")))</f>
        <v/>
      </c>
      <c r="U3786" s="8" t="str">
        <f aca="false">IF(T3786="BYPASS",IF(NOT(ISNUMBER(Q3786)),"PreV_ETB missing","End_tr_balance missing"),IF(T3786="FAIL",IF(AND(ISNUMBER(K3786),ISNUMBER(L3786),ABS(L3786-(K3786-IF(ISNUMBER(N3786),N3786,0)-IF(ISNUMBER(O3786),O3786,0)+IF(ISNUMBER(P3786),P3786,0)))&lt;=Summary!$B$2),"Passes using beginning_balance - PreV_ETB differs from beginning_balance",IF(AND(ISNUMBER(O3786),O3786&lt;0,ABS(L3786-(Q3786-IF(ISNUMBER(N3786),N3786,0)+IF(ISNUMBER(P3786),P3786,0)))&lt;=Summary!$B$2),"Negative realized loss not applied - check sign",IF(R3786&lt;0,"Principal paid exceeds prior balance",IF(AND(L3786&gt;Q3786,NOT(ISNUMBER(P3786))),"Balance increased but no Deferred_interest reported",IF(L3786&gt;R3786,"Reported balance higher than expected (missing increase/OC build)","Reported balance lower than expected (missing decrease)"))))),""))</f>
        <v/>
      </c>
    </row>
    <row r="3787" customFormat="false" ht="15" hidden="false" customHeight="false" outlineLevel="0" collapsed="false">
      <c r="A3787" s="8"/>
      <c r="B3787" s="8"/>
      <c r="C3787" s="8"/>
      <c r="D3787" s="8"/>
      <c r="E3787" s="8"/>
      <c r="F3787" s="8"/>
      <c r="G3787" s="8"/>
      <c r="H3787" s="8"/>
      <c r="I3787" s="8"/>
      <c r="J3787" s="8"/>
      <c r="K3787" s="9"/>
      <c r="L3787" s="9"/>
      <c r="M3787" s="9"/>
      <c r="N3787" s="9"/>
      <c r="O3787" s="9"/>
      <c r="P3787" s="9"/>
      <c r="Q3787" s="9"/>
      <c r="R3787" s="9" t="str">
        <f aca="false">IF(AND(A3787&lt;&gt;"",ISNUMBER(Q3787),ISNUMBER(L3787)),ROUND(Q3787-IF(ISNUMBER(N3787),N3787,0)-IF(ISNUMBER(O3787),O3787,0)+IF(ISNUMBER(P3787),P3787,0),2),"")</f>
        <v/>
      </c>
      <c r="S3787" s="9" t="str">
        <f aca="false">IF(R3787="","",ROUND(L3787-R3787,2))</f>
        <v/>
      </c>
      <c r="T3787" s="8" t="str">
        <f aca="false">IF(A3787="","",IF(S3787="","BYPASS",IF(ABS(S3787)&lt;=Summary!$B$2,"PASS","FAIL")))</f>
        <v/>
      </c>
      <c r="U3787" s="8" t="str">
        <f aca="false">IF(T3787="BYPASS",IF(NOT(ISNUMBER(Q3787)),"PreV_ETB missing","End_tr_balance missing"),IF(T3787="FAIL",IF(AND(ISNUMBER(K3787),ISNUMBER(L3787),ABS(L3787-(K3787-IF(ISNUMBER(N3787),N3787,0)-IF(ISNUMBER(O3787),O3787,0)+IF(ISNUMBER(P3787),P3787,0)))&lt;=Summary!$B$2),"Passes using beginning_balance - PreV_ETB differs from beginning_balance",IF(AND(ISNUMBER(O3787),O3787&lt;0,ABS(L3787-(Q3787-IF(ISNUMBER(N3787),N3787,0)+IF(ISNUMBER(P3787),P3787,0)))&lt;=Summary!$B$2),"Negative realized loss not applied - check sign",IF(R3787&lt;0,"Principal paid exceeds prior balance",IF(AND(L3787&gt;Q3787,NOT(ISNUMBER(P3787))),"Balance increased but no Deferred_interest reported",IF(L3787&gt;R3787,"Reported balance higher than expected (missing increase/OC build)","Reported balance lower than expected (missing decrease)"))))),""))</f>
        <v/>
      </c>
    </row>
    <row r="3788" customFormat="false" ht="15" hidden="false" customHeight="false" outlineLevel="0" collapsed="false">
      <c r="A3788" s="8"/>
      <c r="B3788" s="8"/>
      <c r="C3788" s="8"/>
      <c r="D3788" s="8"/>
      <c r="E3788" s="8"/>
      <c r="F3788" s="8"/>
      <c r="G3788" s="8"/>
      <c r="H3788" s="8"/>
      <c r="I3788" s="8"/>
      <c r="J3788" s="8"/>
      <c r="K3788" s="9"/>
      <c r="L3788" s="9"/>
      <c r="M3788" s="9"/>
      <c r="N3788" s="9"/>
      <c r="O3788" s="9"/>
      <c r="P3788" s="9"/>
      <c r="Q3788" s="9"/>
      <c r="R3788" s="9" t="str">
        <f aca="false">IF(AND(A3788&lt;&gt;"",ISNUMBER(Q3788),ISNUMBER(L3788)),ROUND(Q3788-IF(ISNUMBER(N3788),N3788,0)-IF(ISNUMBER(O3788),O3788,0)+IF(ISNUMBER(P3788),P3788,0),2),"")</f>
        <v/>
      </c>
      <c r="S3788" s="9" t="str">
        <f aca="false">IF(R3788="","",ROUND(L3788-R3788,2))</f>
        <v/>
      </c>
      <c r="T3788" s="8" t="str">
        <f aca="false">IF(A3788="","",IF(S3788="","BYPASS",IF(ABS(S3788)&lt;=Summary!$B$2,"PASS","FAIL")))</f>
        <v/>
      </c>
      <c r="U3788" s="8" t="str">
        <f aca="false">IF(T3788="BYPASS",IF(NOT(ISNUMBER(Q3788)),"PreV_ETB missing","End_tr_balance missing"),IF(T3788="FAIL",IF(AND(ISNUMBER(K3788),ISNUMBER(L3788),ABS(L3788-(K3788-IF(ISNUMBER(N3788),N3788,0)-IF(ISNUMBER(O3788),O3788,0)+IF(ISNUMBER(P3788),P3788,0)))&lt;=Summary!$B$2),"Passes using beginning_balance - PreV_ETB differs from beginning_balance",IF(AND(ISNUMBER(O3788),O3788&lt;0,ABS(L3788-(Q3788-IF(ISNUMBER(N3788),N3788,0)+IF(ISNUMBER(P3788),P3788,0)))&lt;=Summary!$B$2),"Negative realized loss not applied - check sign",IF(R3788&lt;0,"Principal paid exceeds prior balance",IF(AND(L3788&gt;Q3788,NOT(ISNUMBER(P3788))),"Balance increased but no Deferred_interest reported",IF(L3788&gt;R3788,"Reported balance higher than expected (missing increase/OC build)","Reported balance lower than expected (missing decrease)"))))),""))</f>
        <v/>
      </c>
    </row>
    <row r="3789" customFormat="false" ht="15" hidden="false" customHeight="false" outlineLevel="0" collapsed="false">
      <c r="A3789" s="8"/>
      <c r="B3789" s="8"/>
      <c r="C3789" s="8"/>
      <c r="D3789" s="8"/>
      <c r="E3789" s="8"/>
      <c r="F3789" s="8"/>
      <c r="G3789" s="8"/>
      <c r="H3789" s="8"/>
      <c r="I3789" s="8"/>
      <c r="J3789" s="8"/>
      <c r="K3789" s="9"/>
      <c r="L3789" s="9"/>
      <c r="M3789" s="9"/>
      <c r="N3789" s="9"/>
      <c r="O3789" s="9"/>
      <c r="P3789" s="9"/>
      <c r="Q3789" s="9"/>
      <c r="R3789" s="9" t="str">
        <f aca="false">IF(AND(A3789&lt;&gt;"",ISNUMBER(Q3789),ISNUMBER(L3789)),ROUND(Q3789-IF(ISNUMBER(N3789),N3789,0)-IF(ISNUMBER(O3789),O3789,0)+IF(ISNUMBER(P3789),P3789,0),2),"")</f>
        <v/>
      </c>
      <c r="S3789" s="9" t="str">
        <f aca="false">IF(R3789="","",ROUND(L3789-R3789,2))</f>
        <v/>
      </c>
      <c r="T3789" s="8" t="str">
        <f aca="false">IF(A3789="","",IF(S3789="","BYPASS",IF(ABS(S3789)&lt;=Summary!$B$2,"PASS","FAIL")))</f>
        <v/>
      </c>
      <c r="U3789" s="8" t="str">
        <f aca="false">IF(T3789="BYPASS",IF(NOT(ISNUMBER(Q3789)),"PreV_ETB missing","End_tr_balance missing"),IF(T3789="FAIL",IF(AND(ISNUMBER(K3789),ISNUMBER(L3789),ABS(L3789-(K3789-IF(ISNUMBER(N3789),N3789,0)-IF(ISNUMBER(O3789),O3789,0)+IF(ISNUMBER(P3789),P3789,0)))&lt;=Summary!$B$2),"Passes using beginning_balance - PreV_ETB differs from beginning_balance",IF(AND(ISNUMBER(O3789),O3789&lt;0,ABS(L3789-(Q3789-IF(ISNUMBER(N3789),N3789,0)+IF(ISNUMBER(P3789),P3789,0)))&lt;=Summary!$B$2),"Negative realized loss not applied - check sign",IF(R3789&lt;0,"Principal paid exceeds prior balance",IF(AND(L3789&gt;Q3789,NOT(ISNUMBER(P3789))),"Balance increased but no Deferred_interest reported",IF(L3789&gt;R3789,"Reported balance higher than expected (missing increase/OC build)","Reported balance lower than expected (missing decrease)"))))),""))</f>
        <v/>
      </c>
    </row>
    <row r="3790" customFormat="false" ht="15" hidden="false" customHeight="false" outlineLevel="0" collapsed="false">
      <c r="A3790" s="8"/>
      <c r="B3790" s="8"/>
      <c r="C3790" s="8"/>
      <c r="D3790" s="8"/>
      <c r="E3790" s="8"/>
      <c r="F3790" s="8"/>
      <c r="G3790" s="8"/>
      <c r="H3790" s="8"/>
      <c r="I3790" s="8"/>
      <c r="J3790" s="8"/>
      <c r="K3790" s="9"/>
      <c r="L3790" s="9"/>
      <c r="M3790" s="9"/>
      <c r="N3790" s="9"/>
      <c r="O3790" s="9"/>
      <c r="P3790" s="9"/>
      <c r="Q3790" s="9"/>
      <c r="R3790" s="9" t="str">
        <f aca="false">IF(AND(A3790&lt;&gt;"",ISNUMBER(Q3790),ISNUMBER(L3790)),ROUND(Q3790-IF(ISNUMBER(N3790),N3790,0)-IF(ISNUMBER(O3790),O3790,0)+IF(ISNUMBER(P3790),P3790,0),2),"")</f>
        <v/>
      </c>
      <c r="S3790" s="9" t="str">
        <f aca="false">IF(R3790="","",ROUND(L3790-R3790,2))</f>
        <v/>
      </c>
      <c r="T3790" s="8" t="str">
        <f aca="false">IF(A3790="","",IF(S3790="","BYPASS",IF(ABS(S3790)&lt;=Summary!$B$2,"PASS","FAIL")))</f>
        <v/>
      </c>
      <c r="U3790" s="8" t="str">
        <f aca="false">IF(T3790="BYPASS",IF(NOT(ISNUMBER(Q3790)),"PreV_ETB missing","End_tr_balance missing"),IF(T3790="FAIL",IF(AND(ISNUMBER(K3790),ISNUMBER(L3790),ABS(L3790-(K3790-IF(ISNUMBER(N3790),N3790,0)-IF(ISNUMBER(O3790),O3790,0)+IF(ISNUMBER(P3790),P3790,0)))&lt;=Summary!$B$2),"Passes using beginning_balance - PreV_ETB differs from beginning_balance",IF(AND(ISNUMBER(O3790),O3790&lt;0,ABS(L3790-(Q3790-IF(ISNUMBER(N3790),N3790,0)+IF(ISNUMBER(P3790),P3790,0)))&lt;=Summary!$B$2),"Negative realized loss not applied - check sign",IF(R3790&lt;0,"Principal paid exceeds prior balance",IF(AND(L3790&gt;Q3790,NOT(ISNUMBER(P3790))),"Balance increased but no Deferred_interest reported",IF(L3790&gt;R3790,"Reported balance higher than expected (missing increase/OC build)","Reported balance lower than expected (missing decrease)"))))),""))</f>
        <v/>
      </c>
    </row>
    <row r="3791" customFormat="false" ht="15" hidden="false" customHeight="false" outlineLevel="0" collapsed="false">
      <c r="A3791" s="8"/>
      <c r="B3791" s="8"/>
      <c r="C3791" s="8"/>
      <c r="D3791" s="8"/>
      <c r="E3791" s="8"/>
      <c r="F3791" s="8"/>
      <c r="G3791" s="8"/>
      <c r="H3791" s="8"/>
      <c r="I3791" s="8"/>
      <c r="J3791" s="8"/>
      <c r="K3791" s="9"/>
      <c r="L3791" s="9"/>
      <c r="M3791" s="9"/>
      <c r="N3791" s="9"/>
      <c r="O3791" s="9"/>
      <c r="P3791" s="9"/>
      <c r="Q3791" s="9"/>
      <c r="R3791" s="9" t="str">
        <f aca="false">IF(AND(A3791&lt;&gt;"",ISNUMBER(Q3791),ISNUMBER(L3791)),ROUND(Q3791-IF(ISNUMBER(N3791),N3791,0)-IF(ISNUMBER(O3791),O3791,0)+IF(ISNUMBER(P3791),P3791,0),2),"")</f>
        <v/>
      </c>
      <c r="S3791" s="9" t="str">
        <f aca="false">IF(R3791="","",ROUND(L3791-R3791,2))</f>
        <v/>
      </c>
      <c r="T3791" s="8" t="str">
        <f aca="false">IF(A3791="","",IF(S3791="","BYPASS",IF(ABS(S3791)&lt;=Summary!$B$2,"PASS","FAIL")))</f>
        <v/>
      </c>
      <c r="U3791" s="8" t="str">
        <f aca="false">IF(T3791="BYPASS",IF(NOT(ISNUMBER(Q3791)),"PreV_ETB missing","End_tr_balance missing"),IF(T3791="FAIL",IF(AND(ISNUMBER(K3791),ISNUMBER(L3791),ABS(L3791-(K3791-IF(ISNUMBER(N3791),N3791,0)-IF(ISNUMBER(O3791),O3791,0)+IF(ISNUMBER(P3791),P3791,0)))&lt;=Summary!$B$2),"Passes using beginning_balance - PreV_ETB differs from beginning_balance",IF(AND(ISNUMBER(O3791),O3791&lt;0,ABS(L3791-(Q3791-IF(ISNUMBER(N3791),N3791,0)+IF(ISNUMBER(P3791),P3791,0)))&lt;=Summary!$B$2),"Negative realized loss not applied - check sign",IF(R3791&lt;0,"Principal paid exceeds prior balance",IF(AND(L3791&gt;Q3791,NOT(ISNUMBER(P3791))),"Balance increased but no Deferred_interest reported",IF(L3791&gt;R3791,"Reported balance higher than expected (missing increase/OC build)","Reported balance lower than expected (missing decrease)"))))),""))</f>
        <v/>
      </c>
    </row>
    <row r="3792" customFormat="false" ht="15" hidden="false" customHeight="false" outlineLevel="0" collapsed="false">
      <c r="A3792" s="8"/>
      <c r="B3792" s="8"/>
      <c r="C3792" s="8"/>
      <c r="D3792" s="8"/>
      <c r="E3792" s="8"/>
      <c r="F3792" s="8"/>
      <c r="G3792" s="8"/>
      <c r="H3792" s="8"/>
      <c r="I3792" s="8"/>
      <c r="J3792" s="8"/>
      <c r="K3792" s="9"/>
      <c r="L3792" s="9"/>
      <c r="M3792" s="9"/>
      <c r="N3792" s="9"/>
      <c r="O3792" s="9"/>
      <c r="P3792" s="9"/>
      <c r="Q3792" s="9"/>
      <c r="R3792" s="9" t="str">
        <f aca="false">IF(AND(A3792&lt;&gt;"",ISNUMBER(Q3792),ISNUMBER(L3792)),ROUND(Q3792-IF(ISNUMBER(N3792),N3792,0)-IF(ISNUMBER(O3792),O3792,0)+IF(ISNUMBER(P3792),P3792,0),2),"")</f>
        <v/>
      </c>
      <c r="S3792" s="9" t="str">
        <f aca="false">IF(R3792="","",ROUND(L3792-R3792,2))</f>
        <v/>
      </c>
      <c r="T3792" s="8" t="str">
        <f aca="false">IF(A3792="","",IF(S3792="","BYPASS",IF(ABS(S3792)&lt;=Summary!$B$2,"PASS","FAIL")))</f>
        <v/>
      </c>
      <c r="U3792" s="8" t="str">
        <f aca="false">IF(T3792="BYPASS",IF(NOT(ISNUMBER(Q3792)),"PreV_ETB missing","End_tr_balance missing"),IF(T3792="FAIL",IF(AND(ISNUMBER(K3792),ISNUMBER(L3792),ABS(L3792-(K3792-IF(ISNUMBER(N3792),N3792,0)-IF(ISNUMBER(O3792),O3792,0)+IF(ISNUMBER(P3792),P3792,0)))&lt;=Summary!$B$2),"Passes using beginning_balance - PreV_ETB differs from beginning_balance",IF(AND(ISNUMBER(O3792),O3792&lt;0,ABS(L3792-(Q3792-IF(ISNUMBER(N3792),N3792,0)+IF(ISNUMBER(P3792),P3792,0)))&lt;=Summary!$B$2),"Negative realized loss not applied - check sign",IF(R3792&lt;0,"Principal paid exceeds prior balance",IF(AND(L3792&gt;Q3792,NOT(ISNUMBER(P3792))),"Balance increased but no Deferred_interest reported",IF(L3792&gt;R3792,"Reported balance higher than expected (missing increase/OC build)","Reported balance lower than expected (missing decrease)"))))),""))</f>
        <v/>
      </c>
    </row>
    <row r="3793" customFormat="false" ht="15" hidden="false" customHeight="false" outlineLevel="0" collapsed="false">
      <c r="A3793" s="8"/>
      <c r="B3793" s="8"/>
      <c r="C3793" s="8"/>
      <c r="D3793" s="8"/>
      <c r="E3793" s="8"/>
      <c r="F3793" s="8"/>
      <c r="G3793" s="8"/>
      <c r="H3793" s="8"/>
      <c r="I3793" s="8"/>
      <c r="J3793" s="8"/>
      <c r="K3793" s="9"/>
      <c r="L3793" s="9"/>
      <c r="M3793" s="9"/>
      <c r="N3793" s="9"/>
      <c r="O3793" s="9"/>
      <c r="P3793" s="9"/>
      <c r="Q3793" s="9"/>
      <c r="R3793" s="9" t="str">
        <f aca="false">IF(AND(A3793&lt;&gt;"",ISNUMBER(Q3793),ISNUMBER(L3793)),ROUND(Q3793-IF(ISNUMBER(N3793),N3793,0)-IF(ISNUMBER(O3793),O3793,0)+IF(ISNUMBER(P3793),P3793,0),2),"")</f>
        <v/>
      </c>
      <c r="S3793" s="9" t="str">
        <f aca="false">IF(R3793="","",ROUND(L3793-R3793,2))</f>
        <v/>
      </c>
      <c r="T3793" s="8" t="str">
        <f aca="false">IF(A3793="","",IF(S3793="","BYPASS",IF(ABS(S3793)&lt;=Summary!$B$2,"PASS","FAIL")))</f>
        <v/>
      </c>
      <c r="U3793" s="8" t="str">
        <f aca="false">IF(T3793="BYPASS",IF(NOT(ISNUMBER(Q3793)),"PreV_ETB missing","End_tr_balance missing"),IF(T3793="FAIL",IF(AND(ISNUMBER(K3793),ISNUMBER(L3793),ABS(L3793-(K3793-IF(ISNUMBER(N3793),N3793,0)-IF(ISNUMBER(O3793),O3793,0)+IF(ISNUMBER(P3793),P3793,0)))&lt;=Summary!$B$2),"Passes using beginning_balance - PreV_ETB differs from beginning_balance",IF(AND(ISNUMBER(O3793),O3793&lt;0,ABS(L3793-(Q3793-IF(ISNUMBER(N3793),N3793,0)+IF(ISNUMBER(P3793),P3793,0)))&lt;=Summary!$B$2),"Negative realized loss not applied - check sign",IF(R3793&lt;0,"Principal paid exceeds prior balance",IF(AND(L3793&gt;Q3793,NOT(ISNUMBER(P3793))),"Balance increased but no Deferred_interest reported",IF(L3793&gt;R3793,"Reported balance higher than expected (missing increase/OC build)","Reported balance lower than expected (missing decrease)"))))),""))</f>
        <v/>
      </c>
    </row>
    <row r="3794" customFormat="false" ht="15" hidden="false" customHeight="false" outlineLevel="0" collapsed="false">
      <c r="A3794" s="8"/>
      <c r="B3794" s="8"/>
      <c r="C3794" s="8"/>
      <c r="D3794" s="8"/>
      <c r="E3794" s="8"/>
      <c r="F3794" s="8"/>
      <c r="G3794" s="8"/>
      <c r="H3794" s="8"/>
      <c r="I3794" s="8"/>
      <c r="J3794" s="8"/>
      <c r="K3794" s="9"/>
      <c r="L3794" s="9"/>
      <c r="M3794" s="9"/>
      <c r="N3794" s="9"/>
      <c r="O3794" s="9"/>
      <c r="P3794" s="9"/>
      <c r="Q3794" s="9"/>
      <c r="R3794" s="9" t="str">
        <f aca="false">IF(AND(A3794&lt;&gt;"",ISNUMBER(Q3794),ISNUMBER(L3794)),ROUND(Q3794-IF(ISNUMBER(N3794),N3794,0)-IF(ISNUMBER(O3794),O3794,0)+IF(ISNUMBER(P3794),P3794,0),2),"")</f>
        <v/>
      </c>
      <c r="S3794" s="9" t="str">
        <f aca="false">IF(R3794="","",ROUND(L3794-R3794,2))</f>
        <v/>
      </c>
      <c r="T3794" s="8" t="str">
        <f aca="false">IF(A3794="","",IF(S3794="","BYPASS",IF(ABS(S3794)&lt;=Summary!$B$2,"PASS","FAIL")))</f>
        <v/>
      </c>
      <c r="U3794" s="8" t="str">
        <f aca="false">IF(T3794="BYPASS",IF(NOT(ISNUMBER(Q3794)),"PreV_ETB missing","End_tr_balance missing"),IF(T3794="FAIL",IF(AND(ISNUMBER(K3794),ISNUMBER(L3794),ABS(L3794-(K3794-IF(ISNUMBER(N3794),N3794,0)-IF(ISNUMBER(O3794),O3794,0)+IF(ISNUMBER(P3794),P3794,0)))&lt;=Summary!$B$2),"Passes using beginning_balance - PreV_ETB differs from beginning_balance",IF(AND(ISNUMBER(O3794),O3794&lt;0,ABS(L3794-(Q3794-IF(ISNUMBER(N3794),N3794,0)+IF(ISNUMBER(P3794),P3794,0)))&lt;=Summary!$B$2),"Negative realized loss not applied - check sign",IF(R3794&lt;0,"Principal paid exceeds prior balance",IF(AND(L3794&gt;Q3794,NOT(ISNUMBER(P3794))),"Balance increased but no Deferred_interest reported",IF(L3794&gt;R3794,"Reported balance higher than expected (missing increase/OC build)","Reported balance lower than expected (missing decrease)"))))),""))</f>
        <v/>
      </c>
    </row>
    <row r="3795" customFormat="false" ht="15" hidden="false" customHeight="false" outlineLevel="0" collapsed="false">
      <c r="A3795" s="8"/>
      <c r="B3795" s="8"/>
      <c r="C3795" s="8"/>
      <c r="D3795" s="8"/>
      <c r="E3795" s="8"/>
      <c r="F3795" s="8"/>
      <c r="G3795" s="8"/>
      <c r="H3795" s="8"/>
      <c r="I3795" s="8"/>
      <c r="J3795" s="8"/>
      <c r="K3795" s="9"/>
      <c r="L3795" s="9"/>
      <c r="M3795" s="9"/>
      <c r="N3795" s="9"/>
      <c r="O3795" s="9"/>
      <c r="P3795" s="9"/>
      <c r="Q3795" s="9"/>
      <c r="R3795" s="9" t="str">
        <f aca="false">IF(AND(A3795&lt;&gt;"",ISNUMBER(Q3795),ISNUMBER(L3795)),ROUND(Q3795-IF(ISNUMBER(N3795),N3795,0)-IF(ISNUMBER(O3795),O3795,0)+IF(ISNUMBER(P3795),P3795,0),2),"")</f>
        <v/>
      </c>
      <c r="S3795" s="9" t="str">
        <f aca="false">IF(R3795="","",ROUND(L3795-R3795,2))</f>
        <v/>
      </c>
      <c r="T3795" s="8" t="str">
        <f aca="false">IF(A3795="","",IF(S3795="","BYPASS",IF(ABS(S3795)&lt;=Summary!$B$2,"PASS","FAIL")))</f>
        <v/>
      </c>
      <c r="U3795" s="8" t="str">
        <f aca="false">IF(T3795="BYPASS",IF(NOT(ISNUMBER(Q3795)),"PreV_ETB missing","End_tr_balance missing"),IF(T3795="FAIL",IF(AND(ISNUMBER(K3795),ISNUMBER(L3795),ABS(L3795-(K3795-IF(ISNUMBER(N3795),N3795,0)-IF(ISNUMBER(O3795),O3795,0)+IF(ISNUMBER(P3795),P3795,0)))&lt;=Summary!$B$2),"Passes using beginning_balance - PreV_ETB differs from beginning_balance",IF(AND(ISNUMBER(O3795),O3795&lt;0,ABS(L3795-(Q3795-IF(ISNUMBER(N3795),N3795,0)+IF(ISNUMBER(P3795),P3795,0)))&lt;=Summary!$B$2),"Negative realized loss not applied - check sign",IF(R3795&lt;0,"Principal paid exceeds prior balance",IF(AND(L3795&gt;Q3795,NOT(ISNUMBER(P3795))),"Balance increased but no Deferred_interest reported",IF(L3795&gt;R3795,"Reported balance higher than expected (missing increase/OC build)","Reported balance lower than expected (missing decrease)"))))),""))</f>
        <v/>
      </c>
    </row>
    <row r="3796" customFormat="false" ht="15" hidden="false" customHeight="false" outlineLevel="0" collapsed="false">
      <c r="A3796" s="8"/>
      <c r="B3796" s="8"/>
      <c r="C3796" s="8"/>
      <c r="D3796" s="8"/>
      <c r="E3796" s="8"/>
      <c r="F3796" s="8"/>
      <c r="G3796" s="8"/>
      <c r="H3796" s="8"/>
      <c r="I3796" s="8"/>
      <c r="J3796" s="8"/>
      <c r="K3796" s="9"/>
      <c r="L3796" s="9"/>
      <c r="M3796" s="9"/>
      <c r="N3796" s="9"/>
      <c r="O3796" s="9"/>
      <c r="P3796" s="9"/>
      <c r="Q3796" s="9"/>
      <c r="R3796" s="9" t="str">
        <f aca="false">IF(AND(A3796&lt;&gt;"",ISNUMBER(Q3796),ISNUMBER(L3796)),ROUND(Q3796-IF(ISNUMBER(N3796),N3796,0)-IF(ISNUMBER(O3796),O3796,0)+IF(ISNUMBER(P3796),P3796,0),2),"")</f>
        <v/>
      </c>
      <c r="S3796" s="9" t="str">
        <f aca="false">IF(R3796="","",ROUND(L3796-R3796,2))</f>
        <v/>
      </c>
      <c r="T3796" s="8" t="str">
        <f aca="false">IF(A3796="","",IF(S3796="","BYPASS",IF(ABS(S3796)&lt;=Summary!$B$2,"PASS","FAIL")))</f>
        <v/>
      </c>
      <c r="U3796" s="8" t="str">
        <f aca="false">IF(T3796="BYPASS",IF(NOT(ISNUMBER(Q3796)),"PreV_ETB missing","End_tr_balance missing"),IF(T3796="FAIL",IF(AND(ISNUMBER(K3796),ISNUMBER(L3796),ABS(L3796-(K3796-IF(ISNUMBER(N3796),N3796,0)-IF(ISNUMBER(O3796),O3796,0)+IF(ISNUMBER(P3796),P3796,0)))&lt;=Summary!$B$2),"Passes using beginning_balance - PreV_ETB differs from beginning_balance",IF(AND(ISNUMBER(O3796),O3796&lt;0,ABS(L3796-(Q3796-IF(ISNUMBER(N3796),N3796,0)+IF(ISNUMBER(P3796),P3796,0)))&lt;=Summary!$B$2),"Negative realized loss not applied - check sign",IF(R3796&lt;0,"Principal paid exceeds prior balance",IF(AND(L3796&gt;Q3796,NOT(ISNUMBER(P3796))),"Balance increased but no Deferred_interest reported",IF(L3796&gt;R3796,"Reported balance higher than expected (missing increase/OC build)","Reported balance lower than expected (missing decrease)"))))),""))</f>
        <v/>
      </c>
    </row>
    <row r="3797" customFormat="false" ht="15" hidden="false" customHeight="false" outlineLevel="0" collapsed="false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9"/>
      <c r="L3797" s="9"/>
      <c r="M3797" s="9"/>
      <c r="N3797" s="9"/>
      <c r="O3797" s="9"/>
      <c r="P3797" s="9"/>
      <c r="Q3797" s="9"/>
      <c r="R3797" s="9" t="str">
        <f aca="false">IF(AND(A3797&lt;&gt;"",ISNUMBER(Q3797),ISNUMBER(L3797)),ROUND(Q3797-IF(ISNUMBER(N3797),N3797,0)-IF(ISNUMBER(O3797),O3797,0)+IF(ISNUMBER(P3797),P3797,0),2),"")</f>
        <v/>
      </c>
      <c r="S3797" s="9" t="str">
        <f aca="false">IF(R3797="","",ROUND(L3797-R3797,2))</f>
        <v/>
      </c>
      <c r="T3797" s="8" t="str">
        <f aca="false">IF(A3797="","",IF(S3797="","BYPASS",IF(ABS(S3797)&lt;=Summary!$B$2,"PASS","FAIL")))</f>
        <v/>
      </c>
      <c r="U3797" s="8" t="str">
        <f aca="false">IF(T3797="BYPASS",IF(NOT(ISNUMBER(Q3797)),"PreV_ETB missing","End_tr_balance missing"),IF(T3797="FAIL",IF(AND(ISNUMBER(K3797),ISNUMBER(L3797),ABS(L3797-(K3797-IF(ISNUMBER(N3797),N3797,0)-IF(ISNUMBER(O3797),O3797,0)+IF(ISNUMBER(P3797),P3797,0)))&lt;=Summary!$B$2),"Passes using beginning_balance - PreV_ETB differs from beginning_balance",IF(AND(ISNUMBER(O3797),O3797&lt;0,ABS(L3797-(Q3797-IF(ISNUMBER(N3797),N3797,0)+IF(ISNUMBER(P3797),P3797,0)))&lt;=Summary!$B$2),"Negative realized loss not applied - check sign",IF(R3797&lt;0,"Principal paid exceeds prior balance",IF(AND(L3797&gt;Q3797,NOT(ISNUMBER(P3797))),"Balance increased but no Deferred_interest reported",IF(L3797&gt;R3797,"Reported balance higher than expected (missing increase/OC build)","Reported balance lower than expected (missing decrease)"))))),""))</f>
        <v/>
      </c>
    </row>
    <row r="3798" customFormat="false" ht="15" hidden="false" customHeight="false" outlineLevel="0" collapsed="false">
      <c r="A3798" s="8"/>
      <c r="B3798" s="8"/>
      <c r="C3798" s="8"/>
      <c r="D3798" s="8"/>
      <c r="E3798" s="8"/>
      <c r="F3798" s="8"/>
      <c r="G3798" s="8"/>
      <c r="H3798" s="8"/>
      <c r="I3798" s="8"/>
      <c r="J3798" s="8"/>
      <c r="K3798" s="9"/>
      <c r="L3798" s="9"/>
      <c r="M3798" s="9"/>
      <c r="N3798" s="9"/>
      <c r="O3798" s="9"/>
      <c r="P3798" s="9"/>
      <c r="Q3798" s="9"/>
      <c r="R3798" s="9" t="str">
        <f aca="false">IF(AND(A3798&lt;&gt;"",ISNUMBER(Q3798),ISNUMBER(L3798)),ROUND(Q3798-IF(ISNUMBER(N3798),N3798,0)-IF(ISNUMBER(O3798),O3798,0)+IF(ISNUMBER(P3798),P3798,0),2),"")</f>
        <v/>
      </c>
      <c r="S3798" s="9" t="str">
        <f aca="false">IF(R3798="","",ROUND(L3798-R3798,2))</f>
        <v/>
      </c>
      <c r="T3798" s="8" t="str">
        <f aca="false">IF(A3798="","",IF(S3798="","BYPASS",IF(ABS(S3798)&lt;=Summary!$B$2,"PASS","FAIL")))</f>
        <v/>
      </c>
      <c r="U3798" s="8" t="str">
        <f aca="false">IF(T3798="BYPASS",IF(NOT(ISNUMBER(Q3798)),"PreV_ETB missing","End_tr_balance missing"),IF(T3798="FAIL",IF(AND(ISNUMBER(K3798),ISNUMBER(L3798),ABS(L3798-(K3798-IF(ISNUMBER(N3798),N3798,0)-IF(ISNUMBER(O3798),O3798,0)+IF(ISNUMBER(P3798),P3798,0)))&lt;=Summary!$B$2),"Passes using beginning_balance - PreV_ETB differs from beginning_balance",IF(AND(ISNUMBER(O3798),O3798&lt;0,ABS(L3798-(Q3798-IF(ISNUMBER(N3798),N3798,0)+IF(ISNUMBER(P3798),P3798,0)))&lt;=Summary!$B$2),"Negative realized loss not applied - check sign",IF(R3798&lt;0,"Principal paid exceeds prior balance",IF(AND(L3798&gt;Q3798,NOT(ISNUMBER(P3798))),"Balance increased but no Deferred_interest reported",IF(L3798&gt;R3798,"Reported balance higher than expected (missing increase/OC build)","Reported balance lower than expected (missing decrease)"))))),""))</f>
        <v/>
      </c>
    </row>
    <row r="3799" customFormat="false" ht="15" hidden="false" customHeight="false" outlineLevel="0" collapsed="false">
      <c r="A3799" s="8"/>
      <c r="B3799" s="8"/>
      <c r="C3799" s="8"/>
      <c r="D3799" s="8"/>
      <c r="E3799" s="8"/>
      <c r="F3799" s="8"/>
      <c r="G3799" s="8"/>
      <c r="H3799" s="8"/>
      <c r="I3799" s="8"/>
      <c r="J3799" s="8"/>
      <c r="K3799" s="9"/>
      <c r="L3799" s="9"/>
      <c r="M3799" s="9"/>
      <c r="N3799" s="9"/>
      <c r="O3799" s="9"/>
      <c r="P3799" s="9"/>
      <c r="Q3799" s="9"/>
      <c r="R3799" s="9" t="str">
        <f aca="false">IF(AND(A3799&lt;&gt;"",ISNUMBER(Q3799),ISNUMBER(L3799)),ROUND(Q3799-IF(ISNUMBER(N3799),N3799,0)-IF(ISNUMBER(O3799),O3799,0)+IF(ISNUMBER(P3799),P3799,0),2),"")</f>
        <v/>
      </c>
      <c r="S3799" s="9" t="str">
        <f aca="false">IF(R3799="","",ROUND(L3799-R3799,2))</f>
        <v/>
      </c>
      <c r="T3799" s="8" t="str">
        <f aca="false">IF(A3799="","",IF(S3799="","BYPASS",IF(ABS(S3799)&lt;=Summary!$B$2,"PASS","FAIL")))</f>
        <v/>
      </c>
      <c r="U3799" s="8" t="str">
        <f aca="false">IF(T3799="BYPASS",IF(NOT(ISNUMBER(Q3799)),"PreV_ETB missing","End_tr_balance missing"),IF(T3799="FAIL",IF(AND(ISNUMBER(K3799),ISNUMBER(L3799),ABS(L3799-(K3799-IF(ISNUMBER(N3799),N3799,0)-IF(ISNUMBER(O3799),O3799,0)+IF(ISNUMBER(P3799),P3799,0)))&lt;=Summary!$B$2),"Passes using beginning_balance - PreV_ETB differs from beginning_balance",IF(AND(ISNUMBER(O3799),O3799&lt;0,ABS(L3799-(Q3799-IF(ISNUMBER(N3799),N3799,0)+IF(ISNUMBER(P3799),P3799,0)))&lt;=Summary!$B$2),"Negative realized loss not applied - check sign",IF(R3799&lt;0,"Principal paid exceeds prior balance",IF(AND(L3799&gt;Q3799,NOT(ISNUMBER(P3799))),"Balance increased but no Deferred_interest reported",IF(L3799&gt;R3799,"Reported balance higher than expected (missing increase/OC build)","Reported balance lower than expected (missing decrease)"))))),""))</f>
        <v/>
      </c>
    </row>
    <row r="3800" customFormat="false" ht="15" hidden="false" customHeight="false" outlineLevel="0" collapsed="false">
      <c r="A3800" s="8"/>
      <c r="B3800" s="8"/>
      <c r="C3800" s="8"/>
      <c r="D3800" s="8"/>
      <c r="E3800" s="8"/>
      <c r="F3800" s="8"/>
      <c r="G3800" s="8"/>
      <c r="H3800" s="8"/>
      <c r="I3800" s="8"/>
      <c r="J3800" s="8"/>
      <c r="K3800" s="9"/>
      <c r="L3800" s="9"/>
      <c r="M3800" s="9"/>
      <c r="N3800" s="9"/>
      <c r="O3800" s="9"/>
      <c r="P3800" s="9"/>
      <c r="Q3800" s="9"/>
      <c r="R3800" s="9" t="str">
        <f aca="false">IF(AND(A3800&lt;&gt;"",ISNUMBER(Q3800),ISNUMBER(L3800)),ROUND(Q3800-IF(ISNUMBER(N3800),N3800,0)-IF(ISNUMBER(O3800),O3800,0)+IF(ISNUMBER(P3800),P3800,0),2),"")</f>
        <v/>
      </c>
      <c r="S3800" s="9" t="str">
        <f aca="false">IF(R3800="","",ROUND(L3800-R3800,2))</f>
        <v/>
      </c>
      <c r="T3800" s="8" t="str">
        <f aca="false">IF(A3800="","",IF(S3800="","BYPASS",IF(ABS(S3800)&lt;=Summary!$B$2,"PASS","FAIL")))</f>
        <v/>
      </c>
      <c r="U3800" s="8" t="str">
        <f aca="false">IF(T3800="BYPASS",IF(NOT(ISNUMBER(Q3800)),"PreV_ETB missing","End_tr_balance missing"),IF(T3800="FAIL",IF(AND(ISNUMBER(K3800),ISNUMBER(L3800),ABS(L3800-(K3800-IF(ISNUMBER(N3800),N3800,0)-IF(ISNUMBER(O3800),O3800,0)+IF(ISNUMBER(P3800),P3800,0)))&lt;=Summary!$B$2),"Passes using beginning_balance - PreV_ETB differs from beginning_balance",IF(AND(ISNUMBER(O3800),O3800&lt;0,ABS(L3800-(Q3800-IF(ISNUMBER(N3800),N3800,0)+IF(ISNUMBER(P3800),P3800,0)))&lt;=Summary!$B$2),"Negative realized loss not applied - check sign",IF(R3800&lt;0,"Principal paid exceeds prior balance",IF(AND(L3800&gt;Q3800,NOT(ISNUMBER(P3800))),"Balance increased but no Deferred_interest reported",IF(L3800&gt;R3800,"Reported balance higher than expected (missing increase/OC build)","Reported balance lower than expected (missing decrease)"))))),""))</f>
        <v/>
      </c>
    </row>
    <row r="3801" customFormat="false" ht="15" hidden="false" customHeight="false" outlineLevel="0" collapsed="false">
      <c r="A3801" s="8"/>
      <c r="B3801" s="8"/>
      <c r="C3801" s="8"/>
      <c r="D3801" s="8"/>
      <c r="E3801" s="8"/>
      <c r="F3801" s="8"/>
      <c r="G3801" s="8"/>
      <c r="H3801" s="8"/>
      <c r="I3801" s="8"/>
      <c r="J3801" s="8"/>
      <c r="K3801" s="9"/>
      <c r="L3801" s="9"/>
      <c r="M3801" s="9"/>
      <c r="N3801" s="9"/>
      <c r="O3801" s="9"/>
      <c r="P3801" s="9"/>
      <c r="Q3801" s="9"/>
      <c r="R3801" s="9" t="str">
        <f aca="false">IF(AND(A3801&lt;&gt;"",ISNUMBER(Q3801),ISNUMBER(L3801)),ROUND(Q3801-IF(ISNUMBER(N3801),N3801,0)-IF(ISNUMBER(O3801),O3801,0)+IF(ISNUMBER(P3801),P3801,0),2),"")</f>
        <v/>
      </c>
      <c r="S3801" s="9" t="str">
        <f aca="false">IF(R3801="","",ROUND(L3801-R3801,2))</f>
        <v/>
      </c>
      <c r="T3801" s="8" t="str">
        <f aca="false">IF(A3801="","",IF(S3801="","BYPASS",IF(ABS(S3801)&lt;=Summary!$B$2,"PASS","FAIL")))</f>
        <v/>
      </c>
      <c r="U3801" s="8" t="str">
        <f aca="false">IF(T3801="BYPASS",IF(NOT(ISNUMBER(Q3801)),"PreV_ETB missing","End_tr_balance missing"),IF(T3801="FAIL",IF(AND(ISNUMBER(K3801),ISNUMBER(L3801),ABS(L3801-(K3801-IF(ISNUMBER(N3801),N3801,0)-IF(ISNUMBER(O3801),O3801,0)+IF(ISNUMBER(P3801),P3801,0)))&lt;=Summary!$B$2),"Passes using beginning_balance - PreV_ETB differs from beginning_balance",IF(AND(ISNUMBER(O3801),O3801&lt;0,ABS(L3801-(Q3801-IF(ISNUMBER(N3801),N3801,0)+IF(ISNUMBER(P3801),P3801,0)))&lt;=Summary!$B$2),"Negative realized loss not applied - check sign",IF(R3801&lt;0,"Principal paid exceeds prior balance",IF(AND(L3801&gt;Q3801,NOT(ISNUMBER(P3801))),"Balance increased but no Deferred_interest reported",IF(L3801&gt;R3801,"Reported balance higher than expected (missing increase/OC build)","Reported balance lower than expected (missing decrease)"))))),""))</f>
        <v/>
      </c>
    </row>
    <row r="3802" customFormat="false" ht="15" hidden="false" customHeight="false" outlineLevel="0" collapsed="false">
      <c r="A3802" s="8"/>
      <c r="B3802" s="8"/>
      <c r="C3802" s="8"/>
      <c r="D3802" s="8"/>
      <c r="E3802" s="8"/>
      <c r="F3802" s="8"/>
      <c r="G3802" s="8"/>
      <c r="H3802" s="8"/>
      <c r="I3802" s="8"/>
      <c r="J3802" s="8"/>
      <c r="K3802" s="9"/>
      <c r="L3802" s="9"/>
      <c r="M3802" s="9"/>
      <c r="N3802" s="9"/>
      <c r="O3802" s="9"/>
      <c r="P3802" s="9"/>
      <c r="Q3802" s="9"/>
      <c r="R3802" s="9" t="str">
        <f aca="false">IF(AND(A3802&lt;&gt;"",ISNUMBER(Q3802),ISNUMBER(L3802)),ROUND(Q3802-IF(ISNUMBER(N3802),N3802,0)-IF(ISNUMBER(O3802),O3802,0)+IF(ISNUMBER(P3802),P3802,0),2),"")</f>
        <v/>
      </c>
      <c r="S3802" s="9" t="str">
        <f aca="false">IF(R3802="","",ROUND(L3802-R3802,2))</f>
        <v/>
      </c>
      <c r="T3802" s="8" t="str">
        <f aca="false">IF(A3802="","",IF(S3802="","BYPASS",IF(ABS(S3802)&lt;=Summary!$B$2,"PASS","FAIL")))</f>
        <v/>
      </c>
      <c r="U3802" s="8" t="str">
        <f aca="false">IF(T3802="BYPASS",IF(NOT(ISNUMBER(Q3802)),"PreV_ETB missing","End_tr_balance missing"),IF(T3802="FAIL",IF(AND(ISNUMBER(K3802),ISNUMBER(L3802),ABS(L3802-(K3802-IF(ISNUMBER(N3802),N3802,0)-IF(ISNUMBER(O3802),O3802,0)+IF(ISNUMBER(P3802),P3802,0)))&lt;=Summary!$B$2),"Passes using beginning_balance - PreV_ETB differs from beginning_balance",IF(AND(ISNUMBER(O3802),O3802&lt;0,ABS(L3802-(Q3802-IF(ISNUMBER(N3802),N3802,0)+IF(ISNUMBER(P3802),P3802,0)))&lt;=Summary!$B$2),"Negative realized loss not applied - check sign",IF(R3802&lt;0,"Principal paid exceeds prior balance",IF(AND(L3802&gt;Q3802,NOT(ISNUMBER(P3802))),"Balance increased but no Deferred_interest reported",IF(L3802&gt;R3802,"Reported balance higher than expected (missing increase/OC build)","Reported balance lower than expected (missing decrease)"))))),""))</f>
        <v/>
      </c>
    </row>
    <row r="3803" customFormat="false" ht="15" hidden="false" customHeight="false" outlineLevel="0" collapsed="false">
      <c r="A3803" s="8"/>
      <c r="B3803" s="8"/>
      <c r="C3803" s="8"/>
      <c r="D3803" s="8"/>
      <c r="E3803" s="8"/>
      <c r="F3803" s="8"/>
      <c r="G3803" s="8"/>
      <c r="H3803" s="8"/>
      <c r="I3803" s="8"/>
      <c r="J3803" s="8"/>
      <c r="K3803" s="9"/>
      <c r="L3803" s="9"/>
      <c r="M3803" s="9"/>
      <c r="N3803" s="9"/>
      <c r="O3803" s="9"/>
      <c r="P3803" s="9"/>
      <c r="Q3803" s="9"/>
      <c r="R3803" s="9" t="str">
        <f aca="false">IF(AND(A3803&lt;&gt;"",ISNUMBER(Q3803),ISNUMBER(L3803)),ROUND(Q3803-IF(ISNUMBER(N3803),N3803,0)-IF(ISNUMBER(O3803),O3803,0)+IF(ISNUMBER(P3803),P3803,0),2),"")</f>
        <v/>
      </c>
      <c r="S3803" s="9" t="str">
        <f aca="false">IF(R3803="","",ROUND(L3803-R3803,2))</f>
        <v/>
      </c>
      <c r="T3803" s="8" t="str">
        <f aca="false">IF(A3803="","",IF(S3803="","BYPASS",IF(ABS(S3803)&lt;=Summary!$B$2,"PASS","FAIL")))</f>
        <v/>
      </c>
      <c r="U3803" s="8" t="str">
        <f aca="false">IF(T3803="BYPASS",IF(NOT(ISNUMBER(Q3803)),"PreV_ETB missing","End_tr_balance missing"),IF(T3803="FAIL",IF(AND(ISNUMBER(K3803),ISNUMBER(L3803),ABS(L3803-(K3803-IF(ISNUMBER(N3803),N3803,0)-IF(ISNUMBER(O3803),O3803,0)+IF(ISNUMBER(P3803),P3803,0)))&lt;=Summary!$B$2),"Passes using beginning_balance - PreV_ETB differs from beginning_balance",IF(AND(ISNUMBER(O3803),O3803&lt;0,ABS(L3803-(Q3803-IF(ISNUMBER(N3803),N3803,0)+IF(ISNUMBER(P3803),P3803,0)))&lt;=Summary!$B$2),"Negative realized loss not applied - check sign",IF(R3803&lt;0,"Principal paid exceeds prior balance",IF(AND(L3803&gt;Q3803,NOT(ISNUMBER(P3803))),"Balance increased but no Deferred_interest reported",IF(L3803&gt;R3803,"Reported balance higher than expected (missing increase/OC build)","Reported balance lower than expected (missing decrease)"))))),""))</f>
        <v/>
      </c>
    </row>
    <row r="3804" customFormat="false" ht="15" hidden="false" customHeight="false" outlineLevel="0" collapsed="false">
      <c r="A3804" s="8"/>
      <c r="B3804" s="8"/>
      <c r="C3804" s="8"/>
      <c r="D3804" s="8"/>
      <c r="E3804" s="8"/>
      <c r="F3804" s="8"/>
      <c r="G3804" s="8"/>
      <c r="H3804" s="8"/>
      <c r="I3804" s="8"/>
      <c r="J3804" s="8"/>
      <c r="K3804" s="9"/>
      <c r="L3804" s="9"/>
      <c r="M3804" s="9"/>
      <c r="N3804" s="9"/>
      <c r="O3804" s="9"/>
      <c r="P3804" s="9"/>
      <c r="Q3804" s="9"/>
      <c r="R3804" s="9" t="str">
        <f aca="false">IF(AND(A3804&lt;&gt;"",ISNUMBER(Q3804),ISNUMBER(L3804)),ROUND(Q3804-IF(ISNUMBER(N3804),N3804,0)-IF(ISNUMBER(O3804),O3804,0)+IF(ISNUMBER(P3804),P3804,0),2),"")</f>
        <v/>
      </c>
      <c r="S3804" s="9" t="str">
        <f aca="false">IF(R3804="","",ROUND(L3804-R3804,2))</f>
        <v/>
      </c>
      <c r="T3804" s="8" t="str">
        <f aca="false">IF(A3804="","",IF(S3804="","BYPASS",IF(ABS(S3804)&lt;=Summary!$B$2,"PASS","FAIL")))</f>
        <v/>
      </c>
      <c r="U3804" s="8" t="str">
        <f aca="false">IF(T3804="BYPASS",IF(NOT(ISNUMBER(Q3804)),"PreV_ETB missing","End_tr_balance missing"),IF(T3804="FAIL",IF(AND(ISNUMBER(K3804),ISNUMBER(L3804),ABS(L3804-(K3804-IF(ISNUMBER(N3804),N3804,0)-IF(ISNUMBER(O3804),O3804,0)+IF(ISNUMBER(P3804),P3804,0)))&lt;=Summary!$B$2),"Passes using beginning_balance - PreV_ETB differs from beginning_balance",IF(AND(ISNUMBER(O3804),O3804&lt;0,ABS(L3804-(Q3804-IF(ISNUMBER(N3804),N3804,0)+IF(ISNUMBER(P3804),P3804,0)))&lt;=Summary!$B$2),"Negative realized loss not applied - check sign",IF(R3804&lt;0,"Principal paid exceeds prior balance",IF(AND(L3804&gt;Q3804,NOT(ISNUMBER(P3804))),"Balance increased but no Deferred_interest reported",IF(L3804&gt;R3804,"Reported balance higher than expected (missing increase/OC build)","Reported balance lower than expected (missing decrease)"))))),""))</f>
        <v/>
      </c>
    </row>
    <row r="3805" customFormat="false" ht="15" hidden="false" customHeight="false" outlineLevel="0" collapsed="false">
      <c r="A3805" s="8"/>
      <c r="B3805" s="8"/>
      <c r="C3805" s="8"/>
      <c r="D3805" s="8"/>
      <c r="E3805" s="8"/>
      <c r="F3805" s="8"/>
      <c r="G3805" s="8"/>
      <c r="H3805" s="8"/>
      <c r="I3805" s="8"/>
      <c r="J3805" s="8"/>
      <c r="K3805" s="9"/>
      <c r="L3805" s="9"/>
      <c r="M3805" s="9"/>
      <c r="N3805" s="9"/>
      <c r="O3805" s="9"/>
      <c r="P3805" s="9"/>
      <c r="Q3805" s="9"/>
      <c r="R3805" s="9" t="str">
        <f aca="false">IF(AND(A3805&lt;&gt;"",ISNUMBER(Q3805),ISNUMBER(L3805)),ROUND(Q3805-IF(ISNUMBER(N3805),N3805,0)-IF(ISNUMBER(O3805),O3805,0)+IF(ISNUMBER(P3805),P3805,0),2),"")</f>
        <v/>
      </c>
      <c r="S3805" s="9" t="str">
        <f aca="false">IF(R3805="","",ROUND(L3805-R3805,2))</f>
        <v/>
      </c>
      <c r="T3805" s="8" t="str">
        <f aca="false">IF(A3805="","",IF(S3805="","BYPASS",IF(ABS(S3805)&lt;=Summary!$B$2,"PASS","FAIL")))</f>
        <v/>
      </c>
      <c r="U3805" s="8" t="str">
        <f aca="false">IF(T3805="BYPASS",IF(NOT(ISNUMBER(Q3805)),"PreV_ETB missing","End_tr_balance missing"),IF(T3805="FAIL",IF(AND(ISNUMBER(K3805),ISNUMBER(L3805),ABS(L3805-(K3805-IF(ISNUMBER(N3805),N3805,0)-IF(ISNUMBER(O3805),O3805,0)+IF(ISNUMBER(P3805),P3805,0)))&lt;=Summary!$B$2),"Passes using beginning_balance - PreV_ETB differs from beginning_balance",IF(AND(ISNUMBER(O3805),O3805&lt;0,ABS(L3805-(Q3805-IF(ISNUMBER(N3805),N3805,0)+IF(ISNUMBER(P3805),P3805,0)))&lt;=Summary!$B$2),"Negative realized loss not applied - check sign",IF(R3805&lt;0,"Principal paid exceeds prior balance",IF(AND(L3805&gt;Q3805,NOT(ISNUMBER(P3805))),"Balance increased but no Deferred_interest reported",IF(L3805&gt;R3805,"Reported balance higher than expected (missing increase/OC build)","Reported balance lower than expected (missing decrease)"))))),""))</f>
        <v/>
      </c>
    </row>
    <row r="3806" customFormat="false" ht="15" hidden="false" customHeight="false" outlineLevel="0" collapsed="false">
      <c r="A3806" s="8"/>
      <c r="B3806" s="8"/>
      <c r="C3806" s="8"/>
      <c r="D3806" s="8"/>
      <c r="E3806" s="8"/>
      <c r="F3806" s="8"/>
      <c r="G3806" s="8"/>
      <c r="H3806" s="8"/>
      <c r="I3806" s="8"/>
      <c r="J3806" s="8"/>
      <c r="K3806" s="9"/>
      <c r="L3806" s="9"/>
      <c r="M3806" s="9"/>
      <c r="N3806" s="9"/>
      <c r="O3806" s="9"/>
      <c r="P3806" s="9"/>
      <c r="Q3806" s="9"/>
      <c r="R3806" s="9" t="str">
        <f aca="false">IF(AND(A3806&lt;&gt;"",ISNUMBER(Q3806),ISNUMBER(L3806)),ROUND(Q3806-IF(ISNUMBER(N3806),N3806,0)-IF(ISNUMBER(O3806),O3806,0)+IF(ISNUMBER(P3806),P3806,0),2),"")</f>
        <v/>
      </c>
      <c r="S3806" s="9" t="str">
        <f aca="false">IF(R3806="","",ROUND(L3806-R3806,2))</f>
        <v/>
      </c>
      <c r="T3806" s="8" t="str">
        <f aca="false">IF(A3806="","",IF(S3806="","BYPASS",IF(ABS(S3806)&lt;=Summary!$B$2,"PASS","FAIL")))</f>
        <v/>
      </c>
      <c r="U3806" s="8" t="str">
        <f aca="false">IF(T3806="BYPASS",IF(NOT(ISNUMBER(Q3806)),"PreV_ETB missing","End_tr_balance missing"),IF(T3806="FAIL",IF(AND(ISNUMBER(K3806),ISNUMBER(L3806),ABS(L3806-(K3806-IF(ISNUMBER(N3806),N3806,0)-IF(ISNUMBER(O3806),O3806,0)+IF(ISNUMBER(P3806),P3806,0)))&lt;=Summary!$B$2),"Passes using beginning_balance - PreV_ETB differs from beginning_balance",IF(AND(ISNUMBER(O3806),O3806&lt;0,ABS(L3806-(Q3806-IF(ISNUMBER(N3806),N3806,0)+IF(ISNUMBER(P3806),P3806,0)))&lt;=Summary!$B$2),"Negative realized loss not applied - check sign",IF(R3806&lt;0,"Principal paid exceeds prior balance",IF(AND(L3806&gt;Q3806,NOT(ISNUMBER(P3806))),"Balance increased but no Deferred_interest reported",IF(L3806&gt;R3806,"Reported balance higher than expected (missing increase/OC build)","Reported balance lower than expected (missing decrease)"))))),""))</f>
        <v/>
      </c>
    </row>
    <row r="3807" customFormat="false" ht="15" hidden="false" customHeight="false" outlineLevel="0" collapsed="false">
      <c r="A3807" s="8"/>
      <c r="B3807" s="8"/>
      <c r="C3807" s="8"/>
      <c r="D3807" s="8"/>
      <c r="E3807" s="8"/>
      <c r="F3807" s="8"/>
      <c r="G3807" s="8"/>
      <c r="H3807" s="8"/>
      <c r="I3807" s="8"/>
      <c r="J3807" s="8"/>
      <c r="K3807" s="9"/>
      <c r="L3807" s="9"/>
      <c r="M3807" s="9"/>
      <c r="N3807" s="9"/>
      <c r="O3807" s="9"/>
      <c r="P3807" s="9"/>
      <c r="Q3807" s="9"/>
      <c r="R3807" s="9" t="str">
        <f aca="false">IF(AND(A3807&lt;&gt;"",ISNUMBER(Q3807),ISNUMBER(L3807)),ROUND(Q3807-IF(ISNUMBER(N3807),N3807,0)-IF(ISNUMBER(O3807),O3807,0)+IF(ISNUMBER(P3807),P3807,0),2),"")</f>
        <v/>
      </c>
      <c r="S3807" s="9" t="str">
        <f aca="false">IF(R3807="","",ROUND(L3807-R3807,2))</f>
        <v/>
      </c>
      <c r="T3807" s="8" t="str">
        <f aca="false">IF(A3807="","",IF(S3807="","BYPASS",IF(ABS(S3807)&lt;=Summary!$B$2,"PASS","FAIL")))</f>
        <v/>
      </c>
      <c r="U3807" s="8" t="str">
        <f aca="false">IF(T3807="BYPASS",IF(NOT(ISNUMBER(Q3807)),"PreV_ETB missing","End_tr_balance missing"),IF(T3807="FAIL",IF(AND(ISNUMBER(K3807),ISNUMBER(L3807),ABS(L3807-(K3807-IF(ISNUMBER(N3807),N3807,0)-IF(ISNUMBER(O3807),O3807,0)+IF(ISNUMBER(P3807),P3807,0)))&lt;=Summary!$B$2),"Passes using beginning_balance - PreV_ETB differs from beginning_balance",IF(AND(ISNUMBER(O3807),O3807&lt;0,ABS(L3807-(Q3807-IF(ISNUMBER(N3807),N3807,0)+IF(ISNUMBER(P3807),P3807,0)))&lt;=Summary!$B$2),"Negative realized loss not applied - check sign",IF(R3807&lt;0,"Principal paid exceeds prior balance",IF(AND(L3807&gt;Q3807,NOT(ISNUMBER(P3807))),"Balance increased but no Deferred_interest reported",IF(L3807&gt;R3807,"Reported balance higher than expected (missing increase/OC build)","Reported balance lower than expected (missing decrease)"))))),""))</f>
        <v/>
      </c>
    </row>
    <row r="3808" customFormat="false" ht="15" hidden="false" customHeight="false" outlineLevel="0" collapsed="false">
      <c r="A3808" s="8"/>
      <c r="B3808" s="8"/>
      <c r="C3808" s="8"/>
      <c r="D3808" s="8"/>
      <c r="E3808" s="8"/>
      <c r="F3808" s="8"/>
      <c r="G3808" s="8"/>
      <c r="H3808" s="8"/>
      <c r="I3808" s="8"/>
      <c r="J3808" s="8"/>
      <c r="K3808" s="9"/>
      <c r="L3808" s="9"/>
      <c r="M3808" s="9"/>
      <c r="N3808" s="9"/>
      <c r="O3808" s="9"/>
      <c r="P3808" s="9"/>
      <c r="Q3808" s="9"/>
      <c r="R3808" s="9" t="str">
        <f aca="false">IF(AND(A3808&lt;&gt;"",ISNUMBER(Q3808),ISNUMBER(L3808)),ROUND(Q3808-IF(ISNUMBER(N3808),N3808,0)-IF(ISNUMBER(O3808),O3808,0)+IF(ISNUMBER(P3808),P3808,0),2),"")</f>
        <v/>
      </c>
      <c r="S3808" s="9" t="str">
        <f aca="false">IF(R3808="","",ROUND(L3808-R3808,2))</f>
        <v/>
      </c>
      <c r="T3808" s="8" t="str">
        <f aca="false">IF(A3808="","",IF(S3808="","BYPASS",IF(ABS(S3808)&lt;=Summary!$B$2,"PASS","FAIL")))</f>
        <v/>
      </c>
      <c r="U3808" s="8" t="str">
        <f aca="false">IF(T3808="BYPASS",IF(NOT(ISNUMBER(Q3808)),"PreV_ETB missing","End_tr_balance missing"),IF(T3808="FAIL",IF(AND(ISNUMBER(K3808),ISNUMBER(L3808),ABS(L3808-(K3808-IF(ISNUMBER(N3808),N3808,0)-IF(ISNUMBER(O3808),O3808,0)+IF(ISNUMBER(P3808),P3808,0)))&lt;=Summary!$B$2),"Passes using beginning_balance - PreV_ETB differs from beginning_balance",IF(AND(ISNUMBER(O3808),O3808&lt;0,ABS(L3808-(Q3808-IF(ISNUMBER(N3808),N3808,0)+IF(ISNUMBER(P3808),P3808,0)))&lt;=Summary!$B$2),"Negative realized loss not applied - check sign",IF(R3808&lt;0,"Principal paid exceeds prior balance",IF(AND(L3808&gt;Q3808,NOT(ISNUMBER(P3808))),"Balance increased but no Deferred_interest reported",IF(L3808&gt;R3808,"Reported balance higher than expected (missing increase/OC build)","Reported balance lower than expected (missing decrease)"))))),""))</f>
        <v/>
      </c>
    </row>
    <row r="3809" customFormat="false" ht="15" hidden="false" customHeight="false" outlineLevel="0" collapsed="false">
      <c r="A3809" s="8"/>
      <c r="B3809" s="8"/>
      <c r="C3809" s="8"/>
      <c r="D3809" s="8"/>
      <c r="E3809" s="8"/>
      <c r="F3809" s="8"/>
      <c r="G3809" s="8"/>
      <c r="H3809" s="8"/>
      <c r="I3809" s="8"/>
      <c r="J3809" s="8"/>
      <c r="K3809" s="9"/>
      <c r="L3809" s="9"/>
      <c r="M3809" s="9"/>
      <c r="N3809" s="9"/>
      <c r="O3809" s="9"/>
      <c r="P3809" s="9"/>
      <c r="Q3809" s="9"/>
      <c r="R3809" s="9" t="str">
        <f aca="false">IF(AND(A3809&lt;&gt;"",ISNUMBER(Q3809),ISNUMBER(L3809)),ROUND(Q3809-IF(ISNUMBER(N3809),N3809,0)-IF(ISNUMBER(O3809),O3809,0)+IF(ISNUMBER(P3809),P3809,0),2),"")</f>
        <v/>
      </c>
      <c r="S3809" s="9" t="str">
        <f aca="false">IF(R3809="","",ROUND(L3809-R3809,2))</f>
        <v/>
      </c>
      <c r="T3809" s="8" t="str">
        <f aca="false">IF(A3809="","",IF(S3809="","BYPASS",IF(ABS(S3809)&lt;=Summary!$B$2,"PASS","FAIL")))</f>
        <v/>
      </c>
      <c r="U3809" s="8" t="str">
        <f aca="false">IF(T3809="BYPASS",IF(NOT(ISNUMBER(Q3809)),"PreV_ETB missing","End_tr_balance missing"),IF(T3809="FAIL",IF(AND(ISNUMBER(K3809),ISNUMBER(L3809),ABS(L3809-(K3809-IF(ISNUMBER(N3809),N3809,0)-IF(ISNUMBER(O3809),O3809,0)+IF(ISNUMBER(P3809),P3809,0)))&lt;=Summary!$B$2),"Passes using beginning_balance - PreV_ETB differs from beginning_balance",IF(AND(ISNUMBER(O3809),O3809&lt;0,ABS(L3809-(Q3809-IF(ISNUMBER(N3809),N3809,0)+IF(ISNUMBER(P3809),P3809,0)))&lt;=Summary!$B$2),"Negative realized loss not applied - check sign",IF(R3809&lt;0,"Principal paid exceeds prior balance",IF(AND(L3809&gt;Q3809,NOT(ISNUMBER(P3809))),"Balance increased but no Deferred_interest reported",IF(L3809&gt;R3809,"Reported balance higher than expected (missing increase/OC build)","Reported balance lower than expected (missing decrease)"))))),""))</f>
        <v/>
      </c>
    </row>
    <row r="3810" customFormat="false" ht="15" hidden="false" customHeight="false" outlineLevel="0" collapsed="false">
      <c r="A3810" s="8"/>
      <c r="B3810" s="8"/>
      <c r="C3810" s="8"/>
      <c r="D3810" s="8"/>
      <c r="E3810" s="8"/>
      <c r="F3810" s="8"/>
      <c r="G3810" s="8"/>
      <c r="H3810" s="8"/>
      <c r="I3810" s="8"/>
      <c r="J3810" s="8"/>
      <c r="K3810" s="9"/>
      <c r="L3810" s="9"/>
      <c r="M3810" s="9"/>
      <c r="N3810" s="9"/>
      <c r="O3810" s="9"/>
      <c r="P3810" s="9"/>
      <c r="Q3810" s="9"/>
      <c r="R3810" s="9" t="str">
        <f aca="false">IF(AND(A3810&lt;&gt;"",ISNUMBER(Q3810),ISNUMBER(L3810)),ROUND(Q3810-IF(ISNUMBER(N3810),N3810,0)-IF(ISNUMBER(O3810),O3810,0)+IF(ISNUMBER(P3810),P3810,0),2),"")</f>
        <v/>
      </c>
      <c r="S3810" s="9" t="str">
        <f aca="false">IF(R3810="","",ROUND(L3810-R3810,2))</f>
        <v/>
      </c>
      <c r="T3810" s="8" t="str">
        <f aca="false">IF(A3810="","",IF(S3810="","BYPASS",IF(ABS(S3810)&lt;=Summary!$B$2,"PASS","FAIL")))</f>
        <v/>
      </c>
      <c r="U3810" s="8" t="str">
        <f aca="false">IF(T3810="BYPASS",IF(NOT(ISNUMBER(Q3810)),"PreV_ETB missing","End_tr_balance missing"),IF(T3810="FAIL",IF(AND(ISNUMBER(K3810),ISNUMBER(L3810),ABS(L3810-(K3810-IF(ISNUMBER(N3810),N3810,0)-IF(ISNUMBER(O3810),O3810,0)+IF(ISNUMBER(P3810),P3810,0)))&lt;=Summary!$B$2),"Passes using beginning_balance - PreV_ETB differs from beginning_balance",IF(AND(ISNUMBER(O3810),O3810&lt;0,ABS(L3810-(Q3810-IF(ISNUMBER(N3810),N3810,0)+IF(ISNUMBER(P3810),P3810,0)))&lt;=Summary!$B$2),"Negative realized loss not applied - check sign",IF(R3810&lt;0,"Principal paid exceeds prior balance",IF(AND(L3810&gt;Q3810,NOT(ISNUMBER(P3810))),"Balance increased but no Deferred_interest reported",IF(L3810&gt;R3810,"Reported balance higher than expected (missing increase/OC build)","Reported balance lower than expected (missing decrease)"))))),""))</f>
        <v/>
      </c>
    </row>
    <row r="3811" customFormat="false" ht="15" hidden="false" customHeight="false" outlineLevel="0" collapsed="false">
      <c r="A3811" s="8"/>
      <c r="B3811" s="8"/>
      <c r="C3811" s="8"/>
      <c r="D3811" s="8"/>
      <c r="E3811" s="8"/>
      <c r="F3811" s="8"/>
      <c r="G3811" s="8"/>
      <c r="H3811" s="8"/>
      <c r="I3811" s="8"/>
      <c r="J3811" s="8"/>
      <c r="K3811" s="9"/>
      <c r="L3811" s="9"/>
      <c r="M3811" s="9"/>
      <c r="N3811" s="9"/>
      <c r="O3811" s="9"/>
      <c r="P3811" s="9"/>
      <c r="Q3811" s="9"/>
      <c r="R3811" s="9" t="str">
        <f aca="false">IF(AND(A3811&lt;&gt;"",ISNUMBER(Q3811),ISNUMBER(L3811)),ROUND(Q3811-IF(ISNUMBER(N3811),N3811,0)-IF(ISNUMBER(O3811),O3811,0)+IF(ISNUMBER(P3811),P3811,0),2),"")</f>
        <v/>
      </c>
      <c r="S3811" s="9" t="str">
        <f aca="false">IF(R3811="","",ROUND(L3811-R3811,2))</f>
        <v/>
      </c>
      <c r="T3811" s="8" t="str">
        <f aca="false">IF(A3811="","",IF(S3811="","BYPASS",IF(ABS(S3811)&lt;=Summary!$B$2,"PASS","FAIL")))</f>
        <v/>
      </c>
      <c r="U3811" s="8" t="str">
        <f aca="false">IF(T3811="BYPASS",IF(NOT(ISNUMBER(Q3811)),"PreV_ETB missing","End_tr_balance missing"),IF(T3811="FAIL",IF(AND(ISNUMBER(K3811),ISNUMBER(L3811),ABS(L3811-(K3811-IF(ISNUMBER(N3811),N3811,0)-IF(ISNUMBER(O3811),O3811,0)+IF(ISNUMBER(P3811),P3811,0)))&lt;=Summary!$B$2),"Passes using beginning_balance - PreV_ETB differs from beginning_balance",IF(AND(ISNUMBER(O3811),O3811&lt;0,ABS(L3811-(Q3811-IF(ISNUMBER(N3811),N3811,0)+IF(ISNUMBER(P3811),P3811,0)))&lt;=Summary!$B$2),"Negative realized loss not applied - check sign",IF(R3811&lt;0,"Principal paid exceeds prior balance",IF(AND(L3811&gt;Q3811,NOT(ISNUMBER(P3811))),"Balance increased but no Deferred_interest reported",IF(L3811&gt;R3811,"Reported balance higher than expected (missing increase/OC build)","Reported balance lower than expected (missing decrease)"))))),""))</f>
        <v/>
      </c>
    </row>
    <row r="3812" customFormat="false" ht="15" hidden="false" customHeight="false" outlineLevel="0" collapsed="false">
      <c r="A3812" s="8"/>
      <c r="B3812" s="8"/>
      <c r="C3812" s="8"/>
      <c r="D3812" s="8"/>
      <c r="E3812" s="8"/>
      <c r="F3812" s="8"/>
      <c r="G3812" s="8"/>
      <c r="H3812" s="8"/>
      <c r="I3812" s="8"/>
      <c r="J3812" s="8"/>
      <c r="K3812" s="9"/>
      <c r="L3812" s="9"/>
      <c r="M3812" s="9"/>
      <c r="N3812" s="9"/>
      <c r="O3812" s="9"/>
      <c r="P3812" s="9"/>
      <c r="Q3812" s="9"/>
      <c r="R3812" s="9" t="str">
        <f aca="false">IF(AND(A3812&lt;&gt;"",ISNUMBER(Q3812),ISNUMBER(L3812)),ROUND(Q3812-IF(ISNUMBER(N3812),N3812,0)-IF(ISNUMBER(O3812),O3812,0)+IF(ISNUMBER(P3812),P3812,0),2),"")</f>
        <v/>
      </c>
      <c r="S3812" s="9" t="str">
        <f aca="false">IF(R3812="","",ROUND(L3812-R3812,2))</f>
        <v/>
      </c>
      <c r="T3812" s="8" t="str">
        <f aca="false">IF(A3812="","",IF(S3812="","BYPASS",IF(ABS(S3812)&lt;=Summary!$B$2,"PASS","FAIL")))</f>
        <v/>
      </c>
      <c r="U3812" s="8" t="str">
        <f aca="false">IF(T3812="BYPASS",IF(NOT(ISNUMBER(Q3812)),"PreV_ETB missing","End_tr_balance missing"),IF(T3812="FAIL",IF(AND(ISNUMBER(K3812),ISNUMBER(L3812),ABS(L3812-(K3812-IF(ISNUMBER(N3812),N3812,0)-IF(ISNUMBER(O3812),O3812,0)+IF(ISNUMBER(P3812),P3812,0)))&lt;=Summary!$B$2),"Passes using beginning_balance - PreV_ETB differs from beginning_balance",IF(AND(ISNUMBER(O3812),O3812&lt;0,ABS(L3812-(Q3812-IF(ISNUMBER(N3812),N3812,0)+IF(ISNUMBER(P3812),P3812,0)))&lt;=Summary!$B$2),"Negative realized loss not applied - check sign",IF(R3812&lt;0,"Principal paid exceeds prior balance",IF(AND(L3812&gt;Q3812,NOT(ISNUMBER(P3812))),"Balance increased but no Deferred_interest reported",IF(L3812&gt;R3812,"Reported balance higher than expected (missing increase/OC build)","Reported balance lower than expected (missing decrease)"))))),""))</f>
        <v/>
      </c>
    </row>
    <row r="3813" customFormat="false" ht="15" hidden="false" customHeight="false" outlineLevel="0" collapsed="false">
      <c r="A3813" s="8"/>
      <c r="B3813" s="8"/>
      <c r="C3813" s="8"/>
      <c r="D3813" s="8"/>
      <c r="E3813" s="8"/>
      <c r="F3813" s="8"/>
      <c r="G3813" s="8"/>
      <c r="H3813" s="8"/>
      <c r="I3813" s="8"/>
      <c r="J3813" s="8"/>
      <c r="K3813" s="9"/>
      <c r="L3813" s="9"/>
      <c r="M3813" s="9"/>
      <c r="N3813" s="9"/>
      <c r="O3813" s="9"/>
      <c r="P3813" s="9"/>
      <c r="Q3813" s="9"/>
      <c r="R3813" s="9" t="str">
        <f aca="false">IF(AND(A3813&lt;&gt;"",ISNUMBER(Q3813),ISNUMBER(L3813)),ROUND(Q3813-IF(ISNUMBER(N3813),N3813,0)-IF(ISNUMBER(O3813),O3813,0)+IF(ISNUMBER(P3813),P3813,0),2),"")</f>
        <v/>
      </c>
      <c r="S3813" s="9" t="str">
        <f aca="false">IF(R3813="","",ROUND(L3813-R3813,2))</f>
        <v/>
      </c>
      <c r="T3813" s="8" t="str">
        <f aca="false">IF(A3813="","",IF(S3813="","BYPASS",IF(ABS(S3813)&lt;=Summary!$B$2,"PASS","FAIL")))</f>
        <v/>
      </c>
      <c r="U3813" s="8" t="str">
        <f aca="false">IF(T3813="BYPASS",IF(NOT(ISNUMBER(Q3813)),"PreV_ETB missing","End_tr_balance missing"),IF(T3813="FAIL",IF(AND(ISNUMBER(K3813),ISNUMBER(L3813),ABS(L3813-(K3813-IF(ISNUMBER(N3813),N3813,0)-IF(ISNUMBER(O3813),O3813,0)+IF(ISNUMBER(P3813),P3813,0)))&lt;=Summary!$B$2),"Passes using beginning_balance - PreV_ETB differs from beginning_balance",IF(AND(ISNUMBER(O3813),O3813&lt;0,ABS(L3813-(Q3813-IF(ISNUMBER(N3813),N3813,0)+IF(ISNUMBER(P3813),P3813,0)))&lt;=Summary!$B$2),"Negative realized loss not applied - check sign",IF(R3813&lt;0,"Principal paid exceeds prior balance",IF(AND(L3813&gt;Q3813,NOT(ISNUMBER(P3813))),"Balance increased but no Deferred_interest reported",IF(L3813&gt;R3813,"Reported balance higher than expected (missing increase/OC build)","Reported balance lower than expected (missing decrease)"))))),""))</f>
        <v/>
      </c>
    </row>
    <row r="3814" customFormat="false" ht="15" hidden="false" customHeight="false" outlineLevel="0" collapsed="false">
      <c r="A3814" s="8"/>
      <c r="B3814" s="8"/>
      <c r="C3814" s="8"/>
      <c r="D3814" s="8"/>
      <c r="E3814" s="8"/>
      <c r="F3814" s="8"/>
      <c r="G3814" s="8"/>
      <c r="H3814" s="8"/>
      <c r="I3814" s="8"/>
      <c r="J3814" s="8"/>
      <c r="K3814" s="9"/>
      <c r="L3814" s="9"/>
      <c r="M3814" s="9"/>
      <c r="N3814" s="9"/>
      <c r="O3814" s="9"/>
      <c r="P3814" s="9"/>
      <c r="Q3814" s="9"/>
      <c r="R3814" s="9" t="str">
        <f aca="false">IF(AND(A3814&lt;&gt;"",ISNUMBER(Q3814),ISNUMBER(L3814)),ROUND(Q3814-IF(ISNUMBER(N3814),N3814,0)-IF(ISNUMBER(O3814),O3814,0)+IF(ISNUMBER(P3814),P3814,0),2),"")</f>
        <v/>
      </c>
      <c r="S3814" s="9" t="str">
        <f aca="false">IF(R3814="","",ROUND(L3814-R3814,2))</f>
        <v/>
      </c>
      <c r="T3814" s="8" t="str">
        <f aca="false">IF(A3814="","",IF(S3814="","BYPASS",IF(ABS(S3814)&lt;=Summary!$B$2,"PASS","FAIL")))</f>
        <v/>
      </c>
      <c r="U3814" s="8" t="str">
        <f aca="false">IF(T3814="BYPASS",IF(NOT(ISNUMBER(Q3814)),"PreV_ETB missing","End_tr_balance missing"),IF(T3814="FAIL",IF(AND(ISNUMBER(K3814),ISNUMBER(L3814),ABS(L3814-(K3814-IF(ISNUMBER(N3814),N3814,0)-IF(ISNUMBER(O3814),O3814,0)+IF(ISNUMBER(P3814),P3814,0)))&lt;=Summary!$B$2),"Passes using beginning_balance - PreV_ETB differs from beginning_balance",IF(AND(ISNUMBER(O3814),O3814&lt;0,ABS(L3814-(Q3814-IF(ISNUMBER(N3814),N3814,0)+IF(ISNUMBER(P3814),P3814,0)))&lt;=Summary!$B$2),"Negative realized loss not applied - check sign",IF(R3814&lt;0,"Principal paid exceeds prior balance",IF(AND(L3814&gt;Q3814,NOT(ISNUMBER(P3814))),"Balance increased but no Deferred_interest reported",IF(L3814&gt;R3814,"Reported balance higher than expected (missing increase/OC build)","Reported balance lower than expected (missing decrease)"))))),""))</f>
        <v/>
      </c>
    </row>
    <row r="3815" customFormat="false" ht="15" hidden="false" customHeight="false" outlineLevel="0" collapsed="false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9"/>
      <c r="L3815" s="9"/>
      <c r="M3815" s="9"/>
      <c r="N3815" s="9"/>
      <c r="O3815" s="9"/>
      <c r="P3815" s="9"/>
      <c r="Q3815" s="9"/>
      <c r="R3815" s="9" t="str">
        <f aca="false">IF(AND(A3815&lt;&gt;"",ISNUMBER(Q3815),ISNUMBER(L3815)),ROUND(Q3815-IF(ISNUMBER(N3815),N3815,0)-IF(ISNUMBER(O3815),O3815,0)+IF(ISNUMBER(P3815),P3815,0),2),"")</f>
        <v/>
      </c>
      <c r="S3815" s="9" t="str">
        <f aca="false">IF(R3815="","",ROUND(L3815-R3815,2))</f>
        <v/>
      </c>
      <c r="T3815" s="8" t="str">
        <f aca="false">IF(A3815="","",IF(S3815="","BYPASS",IF(ABS(S3815)&lt;=Summary!$B$2,"PASS","FAIL")))</f>
        <v/>
      </c>
      <c r="U3815" s="8" t="str">
        <f aca="false">IF(T3815="BYPASS",IF(NOT(ISNUMBER(Q3815)),"PreV_ETB missing","End_tr_balance missing"),IF(T3815="FAIL",IF(AND(ISNUMBER(K3815),ISNUMBER(L3815),ABS(L3815-(K3815-IF(ISNUMBER(N3815),N3815,0)-IF(ISNUMBER(O3815),O3815,0)+IF(ISNUMBER(P3815),P3815,0)))&lt;=Summary!$B$2),"Passes using beginning_balance - PreV_ETB differs from beginning_balance",IF(AND(ISNUMBER(O3815),O3815&lt;0,ABS(L3815-(Q3815-IF(ISNUMBER(N3815),N3815,0)+IF(ISNUMBER(P3815),P3815,0)))&lt;=Summary!$B$2),"Negative realized loss not applied - check sign",IF(R3815&lt;0,"Principal paid exceeds prior balance",IF(AND(L3815&gt;Q3815,NOT(ISNUMBER(P3815))),"Balance increased but no Deferred_interest reported",IF(L3815&gt;R3815,"Reported balance higher than expected (missing increase/OC build)","Reported balance lower than expected (missing decrease)"))))),""))</f>
        <v/>
      </c>
    </row>
    <row r="3816" customFormat="false" ht="15" hidden="false" customHeight="false" outlineLevel="0" collapsed="false">
      <c r="A3816" s="8"/>
      <c r="B3816" s="8"/>
      <c r="C3816" s="8"/>
      <c r="D3816" s="8"/>
      <c r="E3816" s="8"/>
      <c r="F3816" s="8"/>
      <c r="G3816" s="8"/>
      <c r="H3816" s="8"/>
      <c r="I3816" s="8"/>
      <c r="J3816" s="8"/>
      <c r="K3816" s="9"/>
      <c r="L3816" s="9"/>
      <c r="M3816" s="9"/>
      <c r="N3816" s="9"/>
      <c r="O3816" s="9"/>
      <c r="P3816" s="9"/>
      <c r="Q3816" s="9"/>
      <c r="R3816" s="9" t="str">
        <f aca="false">IF(AND(A3816&lt;&gt;"",ISNUMBER(Q3816),ISNUMBER(L3816)),ROUND(Q3816-IF(ISNUMBER(N3816),N3816,0)-IF(ISNUMBER(O3816),O3816,0)+IF(ISNUMBER(P3816),P3816,0),2),"")</f>
        <v/>
      </c>
      <c r="S3816" s="9" t="str">
        <f aca="false">IF(R3816="","",ROUND(L3816-R3816,2))</f>
        <v/>
      </c>
      <c r="T3816" s="8" t="str">
        <f aca="false">IF(A3816="","",IF(S3816="","BYPASS",IF(ABS(S3816)&lt;=Summary!$B$2,"PASS","FAIL")))</f>
        <v/>
      </c>
      <c r="U3816" s="8" t="str">
        <f aca="false">IF(T3816="BYPASS",IF(NOT(ISNUMBER(Q3816)),"PreV_ETB missing","End_tr_balance missing"),IF(T3816="FAIL",IF(AND(ISNUMBER(K3816),ISNUMBER(L3816),ABS(L3816-(K3816-IF(ISNUMBER(N3816),N3816,0)-IF(ISNUMBER(O3816),O3816,0)+IF(ISNUMBER(P3816),P3816,0)))&lt;=Summary!$B$2),"Passes using beginning_balance - PreV_ETB differs from beginning_balance",IF(AND(ISNUMBER(O3816),O3816&lt;0,ABS(L3816-(Q3816-IF(ISNUMBER(N3816),N3816,0)+IF(ISNUMBER(P3816),P3816,0)))&lt;=Summary!$B$2),"Negative realized loss not applied - check sign",IF(R3816&lt;0,"Principal paid exceeds prior balance",IF(AND(L3816&gt;Q3816,NOT(ISNUMBER(P3816))),"Balance increased but no Deferred_interest reported",IF(L3816&gt;R3816,"Reported balance higher than expected (missing increase/OC build)","Reported balance lower than expected (missing decrease)"))))),""))</f>
        <v/>
      </c>
    </row>
    <row r="3817" customFormat="false" ht="15" hidden="false" customHeight="false" outlineLevel="0" collapsed="false">
      <c r="A3817" s="8"/>
      <c r="B3817" s="8"/>
      <c r="C3817" s="8"/>
      <c r="D3817" s="8"/>
      <c r="E3817" s="8"/>
      <c r="F3817" s="8"/>
      <c r="G3817" s="8"/>
      <c r="H3817" s="8"/>
      <c r="I3817" s="8"/>
      <c r="J3817" s="8"/>
      <c r="K3817" s="9"/>
      <c r="L3817" s="9"/>
      <c r="M3817" s="9"/>
      <c r="N3817" s="9"/>
      <c r="O3817" s="9"/>
      <c r="P3817" s="9"/>
      <c r="Q3817" s="9"/>
      <c r="R3817" s="9" t="str">
        <f aca="false">IF(AND(A3817&lt;&gt;"",ISNUMBER(Q3817),ISNUMBER(L3817)),ROUND(Q3817-IF(ISNUMBER(N3817),N3817,0)-IF(ISNUMBER(O3817),O3817,0)+IF(ISNUMBER(P3817),P3817,0),2),"")</f>
        <v/>
      </c>
      <c r="S3817" s="9" t="str">
        <f aca="false">IF(R3817="","",ROUND(L3817-R3817,2))</f>
        <v/>
      </c>
      <c r="T3817" s="8" t="str">
        <f aca="false">IF(A3817="","",IF(S3817="","BYPASS",IF(ABS(S3817)&lt;=Summary!$B$2,"PASS","FAIL")))</f>
        <v/>
      </c>
      <c r="U3817" s="8" t="str">
        <f aca="false">IF(T3817="BYPASS",IF(NOT(ISNUMBER(Q3817)),"PreV_ETB missing","End_tr_balance missing"),IF(T3817="FAIL",IF(AND(ISNUMBER(K3817),ISNUMBER(L3817),ABS(L3817-(K3817-IF(ISNUMBER(N3817),N3817,0)-IF(ISNUMBER(O3817),O3817,0)+IF(ISNUMBER(P3817),P3817,0)))&lt;=Summary!$B$2),"Passes using beginning_balance - PreV_ETB differs from beginning_balance",IF(AND(ISNUMBER(O3817),O3817&lt;0,ABS(L3817-(Q3817-IF(ISNUMBER(N3817),N3817,0)+IF(ISNUMBER(P3817),P3817,0)))&lt;=Summary!$B$2),"Negative realized loss not applied - check sign",IF(R3817&lt;0,"Principal paid exceeds prior balance",IF(AND(L3817&gt;Q3817,NOT(ISNUMBER(P3817))),"Balance increased but no Deferred_interest reported",IF(L3817&gt;R3817,"Reported balance higher than expected (missing increase/OC build)","Reported balance lower than expected (missing decrease)"))))),""))</f>
        <v/>
      </c>
    </row>
    <row r="3818" customFormat="false" ht="15" hidden="false" customHeight="false" outlineLevel="0" collapsed="false">
      <c r="A3818" s="8"/>
      <c r="B3818" s="8"/>
      <c r="C3818" s="8"/>
      <c r="D3818" s="8"/>
      <c r="E3818" s="8"/>
      <c r="F3818" s="8"/>
      <c r="G3818" s="8"/>
      <c r="H3818" s="8"/>
      <c r="I3818" s="8"/>
      <c r="J3818" s="8"/>
      <c r="K3818" s="9"/>
      <c r="L3818" s="9"/>
      <c r="M3818" s="9"/>
      <c r="N3818" s="9"/>
      <c r="O3818" s="9"/>
      <c r="P3818" s="9"/>
      <c r="Q3818" s="9"/>
      <c r="R3818" s="9" t="str">
        <f aca="false">IF(AND(A3818&lt;&gt;"",ISNUMBER(Q3818),ISNUMBER(L3818)),ROUND(Q3818-IF(ISNUMBER(N3818),N3818,0)-IF(ISNUMBER(O3818),O3818,0)+IF(ISNUMBER(P3818),P3818,0),2),"")</f>
        <v/>
      </c>
      <c r="S3818" s="9" t="str">
        <f aca="false">IF(R3818="","",ROUND(L3818-R3818,2))</f>
        <v/>
      </c>
      <c r="T3818" s="8" t="str">
        <f aca="false">IF(A3818="","",IF(S3818="","BYPASS",IF(ABS(S3818)&lt;=Summary!$B$2,"PASS","FAIL")))</f>
        <v/>
      </c>
      <c r="U3818" s="8" t="str">
        <f aca="false">IF(T3818="BYPASS",IF(NOT(ISNUMBER(Q3818)),"PreV_ETB missing","End_tr_balance missing"),IF(T3818="FAIL",IF(AND(ISNUMBER(K3818),ISNUMBER(L3818),ABS(L3818-(K3818-IF(ISNUMBER(N3818),N3818,0)-IF(ISNUMBER(O3818),O3818,0)+IF(ISNUMBER(P3818),P3818,0)))&lt;=Summary!$B$2),"Passes using beginning_balance - PreV_ETB differs from beginning_balance",IF(AND(ISNUMBER(O3818),O3818&lt;0,ABS(L3818-(Q3818-IF(ISNUMBER(N3818),N3818,0)+IF(ISNUMBER(P3818),P3818,0)))&lt;=Summary!$B$2),"Negative realized loss not applied - check sign",IF(R3818&lt;0,"Principal paid exceeds prior balance",IF(AND(L3818&gt;Q3818,NOT(ISNUMBER(P3818))),"Balance increased but no Deferred_interest reported",IF(L3818&gt;R3818,"Reported balance higher than expected (missing increase/OC build)","Reported balance lower than expected (missing decrease)"))))),""))</f>
        <v/>
      </c>
    </row>
    <row r="3819" customFormat="false" ht="15" hidden="false" customHeight="false" outlineLevel="0" collapsed="false">
      <c r="A3819" s="8"/>
      <c r="B3819" s="8"/>
      <c r="C3819" s="8"/>
      <c r="D3819" s="8"/>
      <c r="E3819" s="8"/>
      <c r="F3819" s="8"/>
      <c r="G3819" s="8"/>
      <c r="H3819" s="8"/>
      <c r="I3819" s="8"/>
      <c r="J3819" s="8"/>
      <c r="K3819" s="9"/>
      <c r="L3819" s="9"/>
      <c r="M3819" s="9"/>
      <c r="N3819" s="9"/>
      <c r="O3819" s="9"/>
      <c r="P3819" s="9"/>
      <c r="Q3819" s="9"/>
      <c r="R3819" s="9" t="str">
        <f aca="false">IF(AND(A3819&lt;&gt;"",ISNUMBER(Q3819),ISNUMBER(L3819)),ROUND(Q3819-IF(ISNUMBER(N3819),N3819,0)-IF(ISNUMBER(O3819),O3819,0)+IF(ISNUMBER(P3819),P3819,0),2),"")</f>
        <v/>
      </c>
      <c r="S3819" s="9" t="str">
        <f aca="false">IF(R3819="","",ROUND(L3819-R3819,2))</f>
        <v/>
      </c>
      <c r="T3819" s="8" t="str">
        <f aca="false">IF(A3819="","",IF(S3819="","BYPASS",IF(ABS(S3819)&lt;=Summary!$B$2,"PASS","FAIL")))</f>
        <v/>
      </c>
      <c r="U3819" s="8" t="str">
        <f aca="false">IF(T3819="BYPASS",IF(NOT(ISNUMBER(Q3819)),"PreV_ETB missing","End_tr_balance missing"),IF(T3819="FAIL",IF(AND(ISNUMBER(K3819),ISNUMBER(L3819),ABS(L3819-(K3819-IF(ISNUMBER(N3819),N3819,0)-IF(ISNUMBER(O3819),O3819,0)+IF(ISNUMBER(P3819),P3819,0)))&lt;=Summary!$B$2),"Passes using beginning_balance - PreV_ETB differs from beginning_balance",IF(AND(ISNUMBER(O3819),O3819&lt;0,ABS(L3819-(Q3819-IF(ISNUMBER(N3819),N3819,0)+IF(ISNUMBER(P3819),P3819,0)))&lt;=Summary!$B$2),"Negative realized loss not applied - check sign",IF(R3819&lt;0,"Principal paid exceeds prior balance",IF(AND(L3819&gt;Q3819,NOT(ISNUMBER(P3819))),"Balance increased but no Deferred_interest reported",IF(L3819&gt;R3819,"Reported balance higher than expected (missing increase/OC build)","Reported balance lower than expected (missing decrease)"))))),""))</f>
        <v/>
      </c>
    </row>
    <row r="3820" customFormat="false" ht="15" hidden="false" customHeight="false" outlineLevel="0" collapsed="false">
      <c r="A3820" s="8"/>
      <c r="B3820" s="8"/>
      <c r="C3820" s="8"/>
      <c r="D3820" s="8"/>
      <c r="E3820" s="8"/>
      <c r="F3820" s="8"/>
      <c r="G3820" s="8"/>
      <c r="H3820" s="8"/>
      <c r="I3820" s="8"/>
      <c r="J3820" s="8"/>
      <c r="K3820" s="9"/>
      <c r="L3820" s="9"/>
      <c r="M3820" s="9"/>
      <c r="N3820" s="9"/>
      <c r="O3820" s="9"/>
      <c r="P3820" s="9"/>
      <c r="Q3820" s="9"/>
      <c r="R3820" s="9" t="str">
        <f aca="false">IF(AND(A3820&lt;&gt;"",ISNUMBER(Q3820),ISNUMBER(L3820)),ROUND(Q3820-IF(ISNUMBER(N3820),N3820,0)-IF(ISNUMBER(O3820),O3820,0)+IF(ISNUMBER(P3820),P3820,0),2),"")</f>
        <v/>
      </c>
      <c r="S3820" s="9" t="str">
        <f aca="false">IF(R3820="","",ROUND(L3820-R3820,2))</f>
        <v/>
      </c>
      <c r="T3820" s="8" t="str">
        <f aca="false">IF(A3820="","",IF(S3820="","BYPASS",IF(ABS(S3820)&lt;=Summary!$B$2,"PASS","FAIL")))</f>
        <v/>
      </c>
      <c r="U3820" s="8" t="str">
        <f aca="false">IF(T3820="BYPASS",IF(NOT(ISNUMBER(Q3820)),"PreV_ETB missing","End_tr_balance missing"),IF(T3820="FAIL",IF(AND(ISNUMBER(K3820),ISNUMBER(L3820),ABS(L3820-(K3820-IF(ISNUMBER(N3820),N3820,0)-IF(ISNUMBER(O3820),O3820,0)+IF(ISNUMBER(P3820),P3820,0)))&lt;=Summary!$B$2),"Passes using beginning_balance - PreV_ETB differs from beginning_balance",IF(AND(ISNUMBER(O3820),O3820&lt;0,ABS(L3820-(Q3820-IF(ISNUMBER(N3820),N3820,0)+IF(ISNUMBER(P3820),P3820,0)))&lt;=Summary!$B$2),"Negative realized loss not applied - check sign",IF(R3820&lt;0,"Principal paid exceeds prior balance",IF(AND(L3820&gt;Q3820,NOT(ISNUMBER(P3820))),"Balance increased but no Deferred_interest reported",IF(L3820&gt;R3820,"Reported balance higher than expected (missing increase/OC build)","Reported balance lower than expected (missing decrease)"))))),""))</f>
        <v/>
      </c>
    </row>
    <row r="3821" customFormat="false" ht="15" hidden="false" customHeight="false" outlineLevel="0" collapsed="false">
      <c r="A3821" s="8"/>
      <c r="B3821" s="8"/>
      <c r="C3821" s="8"/>
      <c r="D3821" s="8"/>
      <c r="E3821" s="8"/>
      <c r="F3821" s="8"/>
      <c r="G3821" s="8"/>
      <c r="H3821" s="8"/>
      <c r="I3821" s="8"/>
      <c r="J3821" s="8"/>
      <c r="K3821" s="9"/>
      <c r="L3821" s="9"/>
      <c r="M3821" s="9"/>
      <c r="N3821" s="9"/>
      <c r="O3821" s="9"/>
      <c r="P3821" s="9"/>
      <c r="Q3821" s="9"/>
      <c r="R3821" s="9" t="str">
        <f aca="false">IF(AND(A3821&lt;&gt;"",ISNUMBER(Q3821),ISNUMBER(L3821)),ROUND(Q3821-IF(ISNUMBER(N3821),N3821,0)-IF(ISNUMBER(O3821),O3821,0)+IF(ISNUMBER(P3821),P3821,0),2),"")</f>
        <v/>
      </c>
      <c r="S3821" s="9" t="str">
        <f aca="false">IF(R3821="","",ROUND(L3821-R3821,2))</f>
        <v/>
      </c>
      <c r="T3821" s="8" t="str">
        <f aca="false">IF(A3821="","",IF(S3821="","BYPASS",IF(ABS(S3821)&lt;=Summary!$B$2,"PASS","FAIL")))</f>
        <v/>
      </c>
      <c r="U3821" s="8" t="str">
        <f aca="false">IF(T3821="BYPASS",IF(NOT(ISNUMBER(Q3821)),"PreV_ETB missing","End_tr_balance missing"),IF(T3821="FAIL",IF(AND(ISNUMBER(K3821),ISNUMBER(L3821),ABS(L3821-(K3821-IF(ISNUMBER(N3821),N3821,0)-IF(ISNUMBER(O3821),O3821,0)+IF(ISNUMBER(P3821),P3821,0)))&lt;=Summary!$B$2),"Passes using beginning_balance - PreV_ETB differs from beginning_balance",IF(AND(ISNUMBER(O3821),O3821&lt;0,ABS(L3821-(Q3821-IF(ISNUMBER(N3821),N3821,0)+IF(ISNUMBER(P3821),P3821,0)))&lt;=Summary!$B$2),"Negative realized loss not applied - check sign",IF(R3821&lt;0,"Principal paid exceeds prior balance",IF(AND(L3821&gt;Q3821,NOT(ISNUMBER(P3821))),"Balance increased but no Deferred_interest reported",IF(L3821&gt;R3821,"Reported balance higher than expected (missing increase/OC build)","Reported balance lower than expected (missing decrease)"))))),""))</f>
        <v/>
      </c>
    </row>
    <row r="3822" customFormat="false" ht="15" hidden="false" customHeight="false" outlineLevel="0" collapsed="false">
      <c r="A3822" s="8"/>
      <c r="B3822" s="8"/>
      <c r="C3822" s="8"/>
      <c r="D3822" s="8"/>
      <c r="E3822" s="8"/>
      <c r="F3822" s="8"/>
      <c r="G3822" s="8"/>
      <c r="H3822" s="8"/>
      <c r="I3822" s="8"/>
      <c r="J3822" s="8"/>
      <c r="K3822" s="9"/>
      <c r="L3822" s="9"/>
      <c r="M3822" s="9"/>
      <c r="N3822" s="9"/>
      <c r="O3822" s="9"/>
      <c r="P3822" s="9"/>
      <c r="Q3822" s="9"/>
      <c r="R3822" s="9" t="str">
        <f aca="false">IF(AND(A3822&lt;&gt;"",ISNUMBER(Q3822),ISNUMBER(L3822)),ROUND(Q3822-IF(ISNUMBER(N3822),N3822,0)-IF(ISNUMBER(O3822),O3822,0)+IF(ISNUMBER(P3822),P3822,0),2),"")</f>
        <v/>
      </c>
      <c r="S3822" s="9" t="str">
        <f aca="false">IF(R3822="","",ROUND(L3822-R3822,2))</f>
        <v/>
      </c>
      <c r="T3822" s="8" t="str">
        <f aca="false">IF(A3822="","",IF(S3822="","BYPASS",IF(ABS(S3822)&lt;=Summary!$B$2,"PASS","FAIL")))</f>
        <v/>
      </c>
      <c r="U3822" s="8" t="str">
        <f aca="false">IF(T3822="BYPASS",IF(NOT(ISNUMBER(Q3822)),"PreV_ETB missing","End_tr_balance missing"),IF(T3822="FAIL",IF(AND(ISNUMBER(K3822),ISNUMBER(L3822),ABS(L3822-(K3822-IF(ISNUMBER(N3822),N3822,0)-IF(ISNUMBER(O3822),O3822,0)+IF(ISNUMBER(P3822),P3822,0)))&lt;=Summary!$B$2),"Passes using beginning_balance - PreV_ETB differs from beginning_balance",IF(AND(ISNUMBER(O3822),O3822&lt;0,ABS(L3822-(Q3822-IF(ISNUMBER(N3822),N3822,0)+IF(ISNUMBER(P3822),P3822,0)))&lt;=Summary!$B$2),"Negative realized loss not applied - check sign",IF(R3822&lt;0,"Principal paid exceeds prior balance",IF(AND(L3822&gt;Q3822,NOT(ISNUMBER(P3822))),"Balance increased but no Deferred_interest reported",IF(L3822&gt;R3822,"Reported balance higher than expected (missing increase/OC build)","Reported balance lower than expected (missing decrease)"))))),""))</f>
        <v/>
      </c>
    </row>
    <row r="3823" customFormat="false" ht="15" hidden="false" customHeight="false" outlineLevel="0" collapsed="false">
      <c r="A3823" s="8"/>
      <c r="B3823" s="8"/>
      <c r="C3823" s="8"/>
      <c r="D3823" s="8"/>
      <c r="E3823" s="8"/>
      <c r="F3823" s="8"/>
      <c r="G3823" s="8"/>
      <c r="H3823" s="8"/>
      <c r="I3823" s="8"/>
      <c r="J3823" s="8"/>
      <c r="K3823" s="9"/>
      <c r="L3823" s="9"/>
      <c r="M3823" s="9"/>
      <c r="N3823" s="9"/>
      <c r="O3823" s="9"/>
      <c r="P3823" s="9"/>
      <c r="Q3823" s="9"/>
      <c r="R3823" s="9" t="str">
        <f aca="false">IF(AND(A3823&lt;&gt;"",ISNUMBER(Q3823),ISNUMBER(L3823)),ROUND(Q3823-IF(ISNUMBER(N3823),N3823,0)-IF(ISNUMBER(O3823),O3823,0)+IF(ISNUMBER(P3823),P3823,0),2),"")</f>
        <v/>
      </c>
      <c r="S3823" s="9" t="str">
        <f aca="false">IF(R3823="","",ROUND(L3823-R3823,2))</f>
        <v/>
      </c>
      <c r="T3823" s="8" t="str">
        <f aca="false">IF(A3823="","",IF(S3823="","BYPASS",IF(ABS(S3823)&lt;=Summary!$B$2,"PASS","FAIL")))</f>
        <v/>
      </c>
      <c r="U3823" s="8" t="str">
        <f aca="false">IF(T3823="BYPASS",IF(NOT(ISNUMBER(Q3823)),"PreV_ETB missing","End_tr_balance missing"),IF(T3823="FAIL",IF(AND(ISNUMBER(K3823),ISNUMBER(L3823),ABS(L3823-(K3823-IF(ISNUMBER(N3823),N3823,0)-IF(ISNUMBER(O3823),O3823,0)+IF(ISNUMBER(P3823),P3823,0)))&lt;=Summary!$B$2),"Passes using beginning_balance - PreV_ETB differs from beginning_balance",IF(AND(ISNUMBER(O3823),O3823&lt;0,ABS(L3823-(Q3823-IF(ISNUMBER(N3823),N3823,0)+IF(ISNUMBER(P3823),P3823,0)))&lt;=Summary!$B$2),"Negative realized loss not applied - check sign",IF(R3823&lt;0,"Principal paid exceeds prior balance",IF(AND(L3823&gt;Q3823,NOT(ISNUMBER(P3823))),"Balance increased but no Deferred_interest reported",IF(L3823&gt;R3823,"Reported balance higher than expected (missing increase/OC build)","Reported balance lower than expected (missing decrease)"))))),""))</f>
        <v/>
      </c>
    </row>
    <row r="3824" customFormat="false" ht="15" hidden="false" customHeight="false" outlineLevel="0" collapsed="false">
      <c r="A3824" s="8"/>
      <c r="B3824" s="8"/>
      <c r="C3824" s="8"/>
      <c r="D3824" s="8"/>
      <c r="E3824" s="8"/>
      <c r="F3824" s="8"/>
      <c r="G3824" s="8"/>
      <c r="H3824" s="8"/>
      <c r="I3824" s="8"/>
      <c r="J3824" s="8"/>
      <c r="K3824" s="9"/>
      <c r="L3824" s="9"/>
      <c r="M3824" s="9"/>
      <c r="N3824" s="9"/>
      <c r="O3824" s="9"/>
      <c r="P3824" s="9"/>
      <c r="Q3824" s="9"/>
      <c r="R3824" s="9" t="str">
        <f aca="false">IF(AND(A3824&lt;&gt;"",ISNUMBER(Q3824),ISNUMBER(L3824)),ROUND(Q3824-IF(ISNUMBER(N3824),N3824,0)-IF(ISNUMBER(O3824),O3824,0)+IF(ISNUMBER(P3824),P3824,0),2),"")</f>
        <v/>
      </c>
      <c r="S3824" s="9" t="str">
        <f aca="false">IF(R3824="","",ROUND(L3824-R3824,2))</f>
        <v/>
      </c>
      <c r="T3824" s="8" t="str">
        <f aca="false">IF(A3824="","",IF(S3824="","BYPASS",IF(ABS(S3824)&lt;=Summary!$B$2,"PASS","FAIL")))</f>
        <v/>
      </c>
      <c r="U3824" s="8" t="str">
        <f aca="false">IF(T3824="BYPASS",IF(NOT(ISNUMBER(Q3824)),"PreV_ETB missing","End_tr_balance missing"),IF(T3824="FAIL",IF(AND(ISNUMBER(K3824),ISNUMBER(L3824),ABS(L3824-(K3824-IF(ISNUMBER(N3824),N3824,0)-IF(ISNUMBER(O3824),O3824,0)+IF(ISNUMBER(P3824),P3824,0)))&lt;=Summary!$B$2),"Passes using beginning_balance - PreV_ETB differs from beginning_balance",IF(AND(ISNUMBER(O3824),O3824&lt;0,ABS(L3824-(Q3824-IF(ISNUMBER(N3824),N3824,0)+IF(ISNUMBER(P3824),P3824,0)))&lt;=Summary!$B$2),"Negative realized loss not applied - check sign",IF(R3824&lt;0,"Principal paid exceeds prior balance",IF(AND(L3824&gt;Q3824,NOT(ISNUMBER(P3824))),"Balance increased but no Deferred_interest reported",IF(L3824&gt;R3824,"Reported balance higher than expected (missing increase/OC build)","Reported balance lower than expected (missing decrease)"))))),""))</f>
        <v/>
      </c>
    </row>
    <row r="3825" customFormat="false" ht="15" hidden="false" customHeight="false" outlineLevel="0" collapsed="false">
      <c r="A3825" s="8"/>
      <c r="B3825" s="8"/>
      <c r="C3825" s="8"/>
      <c r="D3825" s="8"/>
      <c r="E3825" s="8"/>
      <c r="F3825" s="8"/>
      <c r="G3825" s="8"/>
      <c r="H3825" s="8"/>
      <c r="I3825" s="8"/>
      <c r="J3825" s="8"/>
      <c r="K3825" s="9"/>
      <c r="L3825" s="9"/>
      <c r="M3825" s="9"/>
      <c r="N3825" s="9"/>
      <c r="O3825" s="9"/>
      <c r="P3825" s="9"/>
      <c r="Q3825" s="9"/>
      <c r="R3825" s="9" t="str">
        <f aca="false">IF(AND(A3825&lt;&gt;"",ISNUMBER(Q3825),ISNUMBER(L3825)),ROUND(Q3825-IF(ISNUMBER(N3825),N3825,0)-IF(ISNUMBER(O3825),O3825,0)+IF(ISNUMBER(P3825),P3825,0),2),"")</f>
        <v/>
      </c>
      <c r="S3825" s="9" t="str">
        <f aca="false">IF(R3825="","",ROUND(L3825-R3825,2))</f>
        <v/>
      </c>
      <c r="T3825" s="8" t="str">
        <f aca="false">IF(A3825="","",IF(S3825="","BYPASS",IF(ABS(S3825)&lt;=Summary!$B$2,"PASS","FAIL")))</f>
        <v/>
      </c>
      <c r="U3825" s="8" t="str">
        <f aca="false">IF(T3825="BYPASS",IF(NOT(ISNUMBER(Q3825)),"PreV_ETB missing","End_tr_balance missing"),IF(T3825="FAIL",IF(AND(ISNUMBER(K3825),ISNUMBER(L3825),ABS(L3825-(K3825-IF(ISNUMBER(N3825),N3825,0)-IF(ISNUMBER(O3825),O3825,0)+IF(ISNUMBER(P3825),P3825,0)))&lt;=Summary!$B$2),"Passes using beginning_balance - PreV_ETB differs from beginning_balance",IF(AND(ISNUMBER(O3825),O3825&lt;0,ABS(L3825-(Q3825-IF(ISNUMBER(N3825),N3825,0)+IF(ISNUMBER(P3825),P3825,0)))&lt;=Summary!$B$2),"Negative realized loss not applied - check sign",IF(R3825&lt;0,"Principal paid exceeds prior balance",IF(AND(L3825&gt;Q3825,NOT(ISNUMBER(P3825))),"Balance increased but no Deferred_interest reported",IF(L3825&gt;R3825,"Reported balance higher than expected (missing increase/OC build)","Reported balance lower than expected (missing decrease)"))))),""))</f>
        <v/>
      </c>
    </row>
    <row r="3826" customFormat="false" ht="15" hidden="false" customHeight="false" outlineLevel="0" collapsed="false">
      <c r="A3826" s="8"/>
      <c r="B3826" s="8"/>
      <c r="C3826" s="8"/>
      <c r="D3826" s="8"/>
      <c r="E3826" s="8"/>
      <c r="F3826" s="8"/>
      <c r="G3826" s="8"/>
      <c r="H3826" s="8"/>
      <c r="I3826" s="8"/>
      <c r="J3826" s="8"/>
      <c r="K3826" s="9"/>
      <c r="L3826" s="9"/>
      <c r="M3826" s="9"/>
      <c r="N3826" s="9"/>
      <c r="O3826" s="9"/>
      <c r="P3826" s="9"/>
      <c r="Q3826" s="9"/>
      <c r="R3826" s="9" t="str">
        <f aca="false">IF(AND(A3826&lt;&gt;"",ISNUMBER(Q3826),ISNUMBER(L3826)),ROUND(Q3826-IF(ISNUMBER(N3826),N3826,0)-IF(ISNUMBER(O3826),O3826,0)+IF(ISNUMBER(P3826),P3826,0),2),"")</f>
        <v/>
      </c>
      <c r="S3826" s="9" t="str">
        <f aca="false">IF(R3826="","",ROUND(L3826-R3826,2))</f>
        <v/>
      </c>
      <c r="T3826" s="8" t="str">
        <f aca="false">IF(A3826="","",IF(S3826="","BYPASS",IF(ABS(S3826)&lt;=Summary!$B$2,"PASS","FAIL")))</f>
        <v/>
      </c>
      <c r="U3826" s="8" t="str">
        <f aca="false">IF(T3826="BYPASS",IF(NOT(ISNUMBER(Q3826)),"PreV_ETB missing","End_tr_balance missing"),IF(T3826="FAIL",IF(AND(ISNUMBER(K3826),ISNUMBER(L3826),ABS(L3826-(K3826-IF(ISNUMBER(N3826),N3826,0)-IF(ISNUMBER(O3826),O3826,0)+IF(ISNUMBER(P3826),P3826,0)))&lt;=Summary!$B$2),"Passes using beginning_balance - PreV_ETB differs from beginning_balance",IF(AND(ISNUMBER(O3826),O3826&lt;0,ABS(L3826-(Q3826-IF(ISNUMBER(N3826),N3826,0)+IF(ISNUMBER(P3826),P3826,0)))&lt;=Summary!$B$2),"Negative realized loss not applied - check sign",IF(R3826&lt;0,"Principal paid exceeds prior balance",IF(AND(L3826&gt;Q3826,NOT(ISNUMBER(P3826))),"Balance increased but no Deferred_interest reported",IF(L3826&gt;R3826,"Reported balance higher than expected (missing increase/OC build)","Reported balance lower than expected (missing decrease)"))))),""))</f>
        <v/>
      </c>
    </row>
    <row r="3827" customFormat="false" ht="15" hidden="false" customHeight="false" outlineLevel="0" collapsed="false">
      <c r="A3827" s="8"/>
      <c r="B3827" s="8"/>
      <c r="C3827" s="8"/>
      <c r="D3827" s="8"/>
      <c r="E3827" s="8"/>
      <c r="F3827" s="8"/>
      <c r="G3827" s="8"/>
      <c r="H3827" s="8"/>
      <c r="I3827" s="8"/>
      <c r="J3827" s="8"/>
      <c r="K3827" s="9"/>
      <c r="L3827" s="9"/>
      <c r="M3827" s="9"/>
      <c r="N3827" s="9"/>
      <c r="O3827" s="9"/>
      <c r="P3827" s="9"/>
      <c r="Q3827" s="9"/>
      <c r="R3827" s="9" t="str">
        <f aca="false">IF(AND(A3827&lt;&gt;"",ISNUMBER(Q3827),ISNUMBER(L3827)),ROUND(Q3827-IF(ISNUMBER(N3827),N3827,0)-IF(ISNUMBER(O3827),O3827,0)+IF(ISNUMBER(P3827),P3827,0),2),"")</f>
        <v/>
      </c>
      <c r="S3827" s="9" t="str">
        <f aca="false">IF(R3827="","",ROUND(L3827-R3827,2))</f>
        <v/>
      </c>
      <c r="T3827" s="8" t="str">
        <f aca="false">IF(A3827="","",IF(S3827="","BYPASS",IF(ABS(S3827)&lt;=Summary!$B$2,"PASS","FAIL")))</f>
        <v/>
      </c>
      <c r="U3827" s="8" t="str">
        <f aca="false">IF(T3827="BYPASS",IF(NOT(ISNUMBER(Q3827)),"PreV_ETB missing","End_tr_balance missing"),IF(T3827="FAIL",IF(AND(ISNUMBER(K3827),ISNUMBER(L3827),ABS(L3827-(K3827-IF(ISNUMBER(N3827),N3827,0)-IF(ISNUMBER(O3827),O3827,0)+IF(ISNUMBER(P3827),P3827,0)))&lt;=Summary!$B$2),"Passes using beginning_balance - PreV_ETB differs from beginning_balance",IF(AND(ISNUMBER(O3827),O3827&lt;0,ABS(L3827-(Q3827-IF(ISNUMBER(N3827),N3827,0)+IF(ISNUMBER(P3827),P3827,0)))&lt;=Summary!$B$2),"Negative realized loss not applied - check sign",IF(R3827&lt;0,"Principal paid exceeds prior balance",IF(AND(L3827&gt;Q3827,NOT(ISNUMBER(P3827))),"Balance increased but no Deferred_interest reported",IF(L3827&gt;R3827,"Reported balance higher than expected (missing increase/OC build)","Reported balance lower than expected (missing decrease)"))))),""))</f>
        <v/>
      </c>
    </row>
    <row r="3828" customFormat="false" ht="15" hidden="false" customHeight="false" outlineLevel="0" collapsed="false">
      <c r="A3828" s="8"/>
      <c r="B3828" s="8"/>
      <c r="C3828" s="8"/>
      <c r="D3828" s="8"/>
      <c r="E3828" s="8"/>
      <c r="F3828" s="8"/>
      <c r="G3828" s="8"/>
      <c r="H3828" s="8"/>
      <c r="I3828" s="8"/>
      <c r="J3828" s="8"/>
      <c r="K3828" s="9"/>
      <c r="L3828" s="9"/>
      <c r="M3828" s="9"/>
      <c r="N3828" s="9"/>
      <c r="O3828" s="9"/>
      <c r="P3828" s="9"/>
      <c r="Q3828" s="9"/>
      <c r="R3828" s="9" t="str">
        <f aca="false">IF(AND(A3828&lt;&gt;"",ISNUMBER(Q3828),ISNUMBER(L3828)),ROUND(Q3828-IF(ISNUMBER(N3828),N3828,0)-IF(ISNUMBER(O3828),O3828,0)+IF(ISNUMBER(P3828),P3828,0),2),"")</f>
        <v/>
      </c>
      <c r="S3828" s="9" t="str">
        <f aca="false">IF(R3828="","",ROUND(L3828-R3828,2))</f>
        <v/>
      </c>
      <c r="T3828" s="8" t="str">
        <f aca="false">IF(A3828="","",IF(S3828="","BYPASS",IF(ABS(S3828)&lt;=Summary!$B$2,"PASS","FAIL")))</f>
        <v/>
      </c>
      <c r="U3828" s="8" t="str">
        <f aca="false">IF(T3828="BYPASS",IF(NOT(ISNUMBER(Q3828)),"PreV_ETB missing","End_tr_balance missing"),IF(T3828="FAIL",IF(AND(ISNUMBER(K3828),ISNUMBER(L3828),ABS(L3828-(K3828-IF(ISNUMBER(N3828),N3828,0)-IF(ISNUMBER(O3828),O3828,0)+IF(ISNUMBER(P3828),P3828,0)))&lt;=Summary!$B$2),"Passes using beginning_balance - PreV_ETB differs from beginning_balance",IF(AND(ISNUMBER(O3828),O3828&lt;0,ABS(L3828-(Q3828-IF(ISNUMBER(N3828),N3828,0)+IF(ISNUMBER(P3828),P3828,0)))&lt;=Summary!$B$2),"Negative realized loss not applied - check sign",IF(R3828&lt;0,"Principal paid exceeds prior balance",IF(AND(L3828&gt;Q3828,NOT(ISNUMBER(P3828))),"Balance increased but no Deferred_interest reported",IF(L3828&gt;R3828,"Reported balance higher than expected (missing increase/OC build)","Reported balance lower than expected (missing decrease)"))))),""))</f>
        <v/>
      </c>
    </row>
    <row r="3829" customFormat="false" ht="15" hidden="false" customHeight="false" outlineLevel="0" collapsed="false">
      <c r="A3829" s="8"/>
      <c r="B3829" s="8"/>
      <c r="C3829" s="8"/>
      <c r="D3829" s="8"/>
      <c r="E3829" s="8"/>
      <c r="F3829" s="8"/>
      <c r="G3829" s="8"/>
      <c r="H3829" s="8"/>
      <c r="I3829" s="8"/>
      <c r="J3829" s="8"/>
      <c r="K3829" s="9"/>
      <c r="L3829" s="9"/>
      <c r="M3829" s="9"/>
      <c r="N3829" s="9"/>
      <c r="O3829" s="9"/>
      <c r="P3829" s="9"/>
      <c r="Q3829" s="9"/>
      <c r="R3829" s="9" t="str">
        <f aca="false">IF(AND(A3829&lt;&gt;"",ISNUMBER(Q3829),ISNUMBER(L3829)),ROUND(Q3829-IF(ISNUMBER(N3829),N3829,0)-IF(ISNUMBER(O3829),O3829,0)+IF(ISNUMBER(P3829),P3829,0),2),"")</f>
        <v/>
      </c>
      <c r="S3829" s="9" t="str">
        <f aca="false">IF(R3829="","",ROUND(L3829-R3829,2))</f>
        <v/>
      </c>
      <c r="T3829" s="8" t="str">
        <f aca="false">IF(A3829="","",IF(S3829="","BYPASS",IF(ABS(S3829)&lt;=Summary!$B$2,"PASS","FAIL")))</f>
        <v/>
      </c>
      <c r="U3829" s="8" t="str">
        <f aca="false">IF(T3829="BYPASS",IF(NOT(ISNUMBER(Q3829)),"PreV_ETB missing","End_tr_balance missing"),IF(T3829="FAIL",IF(AND(ISNUMBER(K3829),ISNUMBER(L3829),ABS(L3829-(K3829-IF(ISNUMBER(N3829),N3829,0)-IF(ISNUMBER(O3829),O3829,0)+IF(ISNUMBER(P3829),P3829,0)))&lt;=Summary!$B$2),"Passes using beginning_balance - PreV_ETB differs from beginning_balance",IF(AND(ISNUMBER(O3829),O3829&lt;0,ABS(L3829-(Q3829-IF(ISNUMBER(N3829),N3829,0)+IF(ISNUMBER(P3829),P3829,0)))&lt;=Summary!$B$2),"Negative realized loss not applied - check sign",IF(R3829&lt;0,"Principal paid exceeds prior balance",IF(AND(L3829&gt;Q3829,NOT(ISNUMBER(P3829))),"Balance increased but no Deferred_interest reported",IF(L3829&gt;R3829,"Reported balance higher than expected (missing increase/OC build)","Reported balance lower than expected (missing decrease)"))))),""))</f>
        <v/>
      </c>
    </row>
    <row r="3830" customFormat="false" ht="15" hidden="false" customHeight="false" outlineLevel="0" collapsed="false">
      <c r="A3830" s="8"/>
      <c r="B3830" s="8"/>
      <c r="C3830" s="8"/>
      <c r="D3830" s="8"/>
      <c r="E3830" s="8"/>
      <c r="F3830" s="8"/>
      <c r="G3830" s="8"/>
      <c r="H3830" s="8"/>
      <c r="I3830" s="8"/>
      <c r="J3830" s="8"/>
      <c r="K3830" s="9"/>
      <c r="L3830" s="9"/>
      <c r="M3830" s="9"/>
      <c r="N3830" s="9"/>
      <c r="O3830" s="9"/>
      <c r="P3830" s="9"/>
      <c r="Q3830" s="9"/>
      <c r="R3830" s="9" t="str">
        <f aca="false">IF(AND(A3830&lt;&gt;"",ISNUMBER(Q3830),ISNUMBER(L3830)),ROUND(Q3830-IF(ISNUMBER(N3830),N3830,0)-IF(ISNUMBER(O3830),O3830,0)+IF(ISNUMBER(P3830),P3830,0),2),"")</f>
        <v/>
      </c>
      <c r="S3830" s="9" t="str">
        <f aca="false">IF(R3830="","",ROUND(L3830-R3830,2))</f>
        <v/>
      </c>
      <c r="T3830" s="8" t="str">
        <f aca="false">IF(A3830="","",IF(S3830="","BYPASS",IF(ABS(S3830)&lt;=Summary!$B$2,"PASS","FAIL")))</f>
        <v/>
      </c>
      <c r="U3830" s="8" t="str">
        <f aca="false">IF(T3830="BYPASS",IF(NOT(ISNUMBER(Q3830)),"PreV_ETB missing","End_tr_balance missing"),IF(T3830="FAIL",IF(AND(ISNUMBER(K3830),ISNUMBER(L3830),ABS(L3830-(K3830-IF(ISNUMBER(N3830),N3830,0)-IF(ISNUMBER(O3830),O3830,0)+IF(ISNUMBER(P3830),P3830,0)))&lt;=Summary!$B$2),"Passes using beginning_balance - PreV_ETB differs from beginning_balance",IF(AND(ISNUMBER(O3830),O3830&lt;0,ABS(L3830-(Q3830-IF(ISNUMBER(N3830),N3830,0)+IF(ISNUMBER(P3830),P3830,0)))&lt;=Summary!$B$2),"Negative realized loss not applied - check sign",IF(R3830&lt;0,"Principal paid exceeds prior balance",IF(AND(L3830&gt;Q3830,NOT(ISNUMBER(P3830))),"Balance increased but no Deferred_interest reported",IF(L3830&gt;R3830,"Reported balance higher than expected (missing increase/OC build)","Reported balance lower than expected (missing decrease)"))))),""))</f>
        <v/>
      </c>
    </row>
    <row r="3831" customFormat="false" ht="15" hidden="false" customHeight="false" outlineLevel="0" collapsed="false">
      <c r="A3831" s="8"/>
      <c r="B3831" s="8"/>
      <c r="C3831" s="8"/>
      <c r="D3831" s="8"/>
      <c r="E3831" s="8"/>
      <c r="F3831" s="8"/>
      <c r="G3831" s="8"/>
      <c r="H3831" s="8"/>
      <c r="I3831" s="8"/>
      <c r="J3831" s="8"/>
      <c r="K3831" s="9"/>
      <c r="L3831" s="9"/>
      <c r="M3831" s="9"/>
      <c r="N3831" s="9"/>
      <c r="O3831" s="9"/>
      <c r="P3831" s="9"/>
      <c r="Q3831" s="9"/>
      <c r="R3831" s="9" t="str">
        <f aca="false">IF(AND(A3831&lt;&gt;"",ISNUMBER(Q3831),ISNUMBER(L3831)),ROUND(Q3831-IF(ISNUMBER(N3831),N3831,0)-IF(ISNUMBER(O3831),O3831,0)+IF(ISNUMBER(P3831),P3831,0),2),"")</f>
        <v/>
      </c>
      <c r="S3831" s="9" t="str">
        <f aca="false">IF(R3831="","",ROUND(L3831-R3831,2))</f>
        <v/>
      </c>
      <c r="T3831" s="8" t="str">
        <f aca="false">IF(A3831="","",IF(S3831="","BYPASS",IF(ABS(S3831)&lt;=Summary!$B$2,"PASS","FAIL")))</f>
        <v/>
      </c>
      <c r="U3831" s="8" t="str">
        <f aca="false">IF(T3831="BYPASS",IF(NOT(ISNUMBER(Q3831)),"PreV_ETB missing","End_tr_balance missing"),IF(T3831="FAIL",IF(AND(ISNUMBER(K3831),ISNUMBER(L3831),ABS(L3831-(K3831-IF(ISNUMBER(N3831),N3831,0)-IF(ISNUMBER(O3831),O3831,0)+IF(ISNUMBER(P3831),P3831,0)))&lt;=Summary!$B$2),"Passes using beginning_balance - PreV_ETB differs from beginning_balance",IF(AND(ISNUMBER(O3831),O3831&lt;0,ABS(L3831-(Q3831-IF(ISNUMBER(N3831),N3831,0)+IF(ISNUMBER(P3831),P3831,0)))&lt;=Summary!$B$2),"Negative realized loss not applied - check sign",IF(R3831&lt;0,"Principal paid exceeds prior balance",IF(AND(L3831&gt;Q3831,NOT(ISNUMBER(P3831))),"Balance increased but no Deferred_interest reported",IF(L3831&gt;R3831,"Reported balance higher than expected (missing increase/OC build)","Reported balance lower than expected (missing decrease)"))))),""))</f>
        <v/>
      </c>
    </row>
    <row r="3832" customFormat="false" ht="15" hidden="false" customHeight="false" outlineLevel="0" collapsed="false">
      <c r="A3832" s="8"/>
      <c r="B3832" s="8"/>
      <c r="C3832" s="8"/>
      <c r="D3832" s="8"/>
      <c r="E3832" s="8"/>
      <c r="F3832" s="8"/>
      <c r="G3832" s="8"/>
      <c r="H3832" s="8"/>
      <c r="I3832" s="8"/>
      <c r="J3832" s="8"/>
      <c r="K3832" s="9"/>
      <c r="L3832" s="9"/>
      <c r="M3832" s="9"/>
      <c r="N3832" s="9"/>
      <c r="O3832" s="9"/>
      <c r="P3832" s="9"/>
      <c r="Q3832" s="9"/>
      <c r="R3832" s="9" t="str">
        <f aca="false">IF(AND(A3832&lt;&gt;"",ISNUMBER(Q3832),ISNUMBER(L3832)),ROUND(Q3832-IF(ISNUMBER(N3832),N3832,0)-IF(ISNUMBER(O3832),O3832,0)+IF(ISNUMBER(P3832),P3832,0),2),"")</f>
        <v/>
      </c>
      <c r="S3832" s="9" t="str">
        <f aca="false">IF(R3832="","",ROUND(L3832-R3832,2))</f>
        <v/>
      </c>
      <c r="T3832" s="8" t="str">
        <f aca="false">IF(A3832="","",IF(S3832="","BYPASS",IF(ABS(S3832)&lt;=Summary!$B$2,"PASS","FAIL")))</f>
        <v/>
      </c>
      <c r="U3832" s="8" t="str">
        <f aca="false">IF(T3832="BYPASS",IF(NOT(ISNUMBER(Q3832)),"PreV_ETB missing","End_tr_balance missing"),IF(T3832="FAIL",IF(AND(ISNUMBER(K3832),ISNUMBER(L3832),ABS(L3832-(K3832-IF(ISNUMBER(N3832),N3832,0)-IF(ISNUMBER(O3832),O3832,0)+IF(ISNUMBER(P3832),P3832,0)))&lt;=Summary!$B$2),"Passes using beginning_balance - PreV_ETB differs from beginning_balance",IF(AND(ISNUMBER(O3832),O3832&lt;0,ABS(L3832-(Q3832-IF(ISNUMBER(N3832),N3832,0)+IF(ISNUMBER(P3832),P3832,0)))&lt;=Summary!$B$2),"Negative realized loss not applied - check sign",IF(R3832&lt;0,"Principal paid exceeds prior balance",IF(AND(L3832&gt;Q3832,NOT(ISNUMBER(P3832))),"Balance increased but no Deferred_interest reported",IF(L3832&gt;R3832,"Reported balance higher than expected (missing increase/OC build)","Reported balance lower than expected (missing decrease)"))))),""))</f>
        <v/>
      </c>
    </row>
    <row r="3833" customFormat="false" ht="15" hidden="false" customHeight="false" outlineLevel="0" collapsed="false">
      <c r="A3833" s="8"/>
      <c r="B3833" s="8"/>
      <c r="C3833" s="8"/>
      <c r="D3833" s="8"/>
      <c r="E3833" s="8"/>
      <c r="F3833" s="8"/>
      <c r="G3833" s="8"/>
      <c r="H3833" s="8"/>
      <c r="I3833" s="8"/>
      <c r="J3833" s="8"/>
      <c r="K3833" s="9"/>
      <c r="L3833" s="9"/>
      <c r="M3833" s="9"/>
      <c r="N3833" s="9"/>
      <c r="O3833" s="9"/>
      <c r="P3833" s="9"/>
      <c r="Q3833" s="9"/>
      <c r="R3833" s="9" t="str">
        <f aca="false">IF(AND(A3833&lt;&gt;"",ISNUMBER(Q3833),ISNUMBER(L3833)),ROUND(Q3833-IF(ISNUMBER(N3833),N3833,0)-IF(ISNUMBER(O3833),O3833,0)+IF(ISNUMBER(P3833),P3833,0),2),"")</f>
        <v/>
      </c>
      <c r="S3833" s="9" t="str">
        <f aca="false">IF(R3833="","",ROUND(L3833-R3833,2))</f>
        <v/>
      </c>
      <c r="T3833" s="8" t="str">
        <f aca="false">IF(A3833="","",IF(S3833="","BYPASS",IF(ABS(S3833)&lt;=Summary!$B$2,"PASS","FAIL")))</f>
        <v/>
      </c>
      <c r="U3833" s="8" t="str">
        <f aca="false">IF(T3833="BYPASS",IF(NOT(ISNUMBER(Q3833)),"PreV_ETB missing","End_tr_balance missing"),IF(T3833="FAIL",IF(AND(ISNUMBER(K3833),ISNUMBER(L3833),ABS(L3833-(K3833-IF(ISNUMBER(N3833),N3833,0)-IF(ISNUMBER(O3833),O3833,0)+IF(ISNUMBER(P3833),P3833,0)))&lt;=Summary!$B$2),"Passes using beginning_balance - PreV_ETB differs from beginning_balance",IF(AND(ISNUMBER(O3833),O3833&lt;0,ABS(L3833-(Q3833-IF(ISNUMBER(N3833),N3833,0)+IF(ISNUMBER(P3833),P3833,0)))&lt;=Summary!$B$2),"Negative realized loss not applied - check sign",IF(R3833&lt;0,"Principal paid exceeds prior balance",IF(AND(L3833&gt;Q3833,NOT(ISNUMBER(P3833))),"Balance increased but no Deferred_interest reported",IF(L3833&gt;R3833,"Reported balance higher than expected (missing increase/OC build)","Reported balance lower than expected (missing decrease)"))))),""))</f>
        <v/>
      </c>
    </row>
    <row r="3834" customFormat="false" ht="15" hidden="false" customHeight="false" outlineLevel="0" collapsed="false">
      <c r="A3834" s="8"/>
      <c r="B3834" s="8"/>
      <c r="C3834" s="8"/>
      <c r="D3834" s="8"/>
      <c r="E3834" s="8"/>
      <c r="F3834" s="8"/>
      <c r="G3834" s="8"/>
      <c r="H3834" s="8"/>
      <c r="I3834" s="8"/>
      <c r="J3834" s="8"/>
      <c r="K3834" s="9"/>
      <c r="L3834" s="9"/>
      <c r="M3834" s="9"/>
      <c r="N3834" s="9"/>
      <c r="O3834" s="9"/>
      <c r="P3834" s="9"/>
      <c r="Q3834" s="9"/>
      <c r="R3834" s="9" t="str">
        <f aca="false">IF(AND(A3834&lt;&gt;"",ISNUMBER(Q3834),ISNUMBER(L3834)),ROUND(Q3834-IF(ISNUMBER(N3834),N3834,0)-IF(ISNUMBER(O3834),O3834,0)+IF(ISNUMBER(P3834),P3834,0),2),"")</f>
        <v/>
      </c>
      <c r="S3834" s="9" t="str">
        <f aca="false">IF(R3834="","",ROUND(L3834-R3834,2))</f>
        <v/>
      </c>
      <c r="T3834" s="8" t="str">
        <f aca="false">IF(A3834="","",IF(S3834="","BYPASS",IF(ABS(S3834)&lt;=Summary!$B$2,"PASS","FAIL")))</f>
        <v/>
      </c>
      <c r="U3834" s="8" t="str">
        <f aca="false">IF(T3834="BYPASS",IF(NOT(ISNUMBER(Q3834)),"PreV_ETB missing","End_tr_balance missing"),IF(T3834="FAIL",IF(AND(ISNUMBER(K3834),ISNUMBER(L3834),ABS(L3834-(K3834-IF(ISNUMBER(N3834),N3834,0)-IF(ISNUMBER(O3834),O3834,0)+IF(ISNUMBER(P3834),P3834,0)))&lt;=Summary!$B$2),"Passes using beginning_balance - PreV_ETB differs from beginning_balance",IF(AND(ISNUMBER(O3834),O3834&lt;0,ABS(L3834-(Q3834-IF(ISNUMBER(N3834),N3834,0)+IF(ISNUMBER(P3834),P3834,0)))&lt;=Summary!$B$2),"Negative realized loss not applied - check sign",IF(R3834&lt;0,"Principal paid exceeds prior balance",IF(AND(L3834&gt;Q3834,NOT(ISNUMBER(P3834))),"Balance increased but no Deferred_interest reported",IF(L3834&gt;R3834,"Reported balance higher than expected (missing increase/OC build)","Reported balance lower than expected (missing decrease)"))))),""))</f>
        <v/>
      </c>
    </row>
    <row r="3835" customFormat="false" ht="15" hidden="false" customHeight="false" outlineLevel="0" collapsed="false">
      <c r="A3835" s="8"/>
      <c r="B3835" s="8"/>
      <c r="C3835" s="8"/>
      <c r="D3835" s="8"/>
      <c r="E3835" s="8"/>
      <c r="F3835" s="8"/>
      <c r="G3835" s="8"/>
      <c r="H3835" s="8"/>
      <c r="I3835" s="8"/>
      <c r="J3835" s="8"/>
      <c r="K3835" s="9"/>
      <c r="L3835" s="9"/>
      <c r="M3835" s="9"/>
      <c r="N3835" s="9"/>
      <c r="O3835" s="9"/>
      <c r="P3835" s="9"/>
      <c r="Q3835" s="9"/>
      <c r="R3835" s="9" t="str">
        <f aca="false">IF(AND(A3835&lt;&gt;"",ISNUMBER(Q3835),ISNUMBER(L3835)),ROUND(Q3835-IF(ISNUMBER(N3835),N3835,0)-IF(ISNUMBER(O3835),O3835,0)+IF(ISNUMBER(P3835),P3835,0),2),"")</f>
        <v/>
      </c>
      <c r="S3835" s="9" t="str">
        <f aca="false">IF(R3835="","",ROUND(L3835-R3835,2))</f>
        <v/>
      </c>
      <c r="T3835" s="8" t="str">
        <f aca="false">IF(A3835="","",IF(S3835="","BYPASS",IF(ABS(S3835)&lt;=Summary!$B$2,"PASS","FAIL")))</f>
        <v/>
      </c>
      <c r="U3835" s="8" t="str">
        <f aca="false">IF(T3835="BYPASS",IF(NOT(ISNUMBER(Q3835)),"PreV_ETB missing","End_tr_balance missing"),IF(T3835="FAIL",IF(AND(ISNUMBER(K3835),ISNUMBER(L3835),ABS(L3835-(K3835-IF(ISNUMBER(N3835),N3835,0)-IF(ISNUMBER(O3835),O3835,0)+IF(ISNUMBER(P3835),P3835,0)))&lt;=Summary!$B$2),"Passes using beginning_balance - PreV_ETB differs from beginning_balance",IF(AND(ISNUMBER(O3835),O3835&lt;0,ABS(L3835-(Q3835-IF(ISNUMBER(N3835),N3835,0)+IF(ISNUMBER(P3835),P3835,0)))&lt;=Summary!$B$2),"Negative realized loss not applied - check sign",IF(R3835&lt;0,"Principal paid exceeds prior balance",IF(AND(L3835&gt;Q3835,NOT(ISNUMBER(P3835))),"Balance increased but no Deferred_interest reported",IF(L3835&gt;R3835,"Reported balance higher than expected (missing increase/OC build)","Reported balance lower than expected (missing decrease)"))))),""))</f>
        <v/>
      </c>
    </row>
    <row r="3836" customFormat="false" ht="15" hidden="false" customHeight="false" outlineLevel="0" collapsed="false">
      <c r="A3836" s="8"/>
      <c r="B3836" s="8"/>
      <c r="C3836" s="8"/>
      <c r="D3836" s="8"/>
      <c r="E3836" s="8"/>
      <c r="F3836" s="8"/>
      <c r="G3836" s="8"/>
      <c r="H3836" s="8"/>
      <c r="I3836" s="8"/>
      <c r="J3836" s="8"/>
      <c r="K3836" s="9"/>
      <c r="L3836" s="9"/>
      <c r="M3836" s="9"/>
      <c r="N3836" s="9"/>
      <c r="O3836" s="9"/>
      <c r="P3836" s="9"/>
      <c r="Q3836" s="9"/>
      <c r="R3836" s="9" t="str">
        <f aca="false">IF(AND(A3836&lt;&gt;"",ISNUMBER(Q3836),ISNUMBER(L3836)),ROUND(Q3836-IF(ISNUMBER(N3836),N3836,0)-IF(ISNUMBER(O3836),O3836,0)+IF(ISNUMBER(P3836),P3836,0),2),"")</f>
        <v/>
      </c>
      <c r="S3836" s="9" t="str">
        <f aca="false">IF(R3836="","",ROUND(L3836-R3836,2))</f>
        <v/>
      </c>
      <c r="T3836" s="8" t="str">
        <f aca="false">IF(A3836="","",IF(S3836="","BYPASS",IF(ABS(S3836)&lt;=Summary!$B$2,"PASS","FAIL")))</f>
        <v/>
      </c>
      <c r="U3836" s="8" t="str">
        <f aca="false">IF(T3836="BYPASS",IF(NOT(ISNUMBER(Q3836)),"PreV_ETB missing","End_tr_balance missing"),IF(T3836="FAIL",IF(AND(ISNUMBER(K3836),ISNUMBER(L3836),ABS(L3836-(K3836-IF(ISNUMBER(N3836),N3836,0)-IF(ISNUMBER(O3836),O3836,0)+IF(ISNUMBER(P3836),P3836,0)))&lt;=Summary!$B$2),"Passes using beginning_balance - PreV_ETB differs from beginning_balance",IF(AND(ISNUMBER(O3836),O3836&lt;0,ABS(L3836-(Q3836-IF(ISNUMBER(N3836),N3836,0)+IF(ISNUMBER(P3836),P3836,0)))&lt;=Summary!$B$2),"Negative realized loss not applied - check sign",IF(R3836&lt;0,"Principal paid exceeds prior balance",IF(AND(L3836&gt;Q3836,NOT(ISNUMBER(P3836))),"Balance increased but no Deferred_interest reported",IF(L3836&gt;R3836,"Reported balance higher than expected (missing increase/OC build)","Reported balance lower than expected (missing decrease)"))))),""))</f>
        <v/>
      </c>
    </row>
    <row r="3837" customFormat="false" ht="15" hidden="false" customHeight="false" outlineLevel="0" collapsed="false">
      <c r="A3837" s="8"/>
      <c r="B3837" s="8"/>
      <c r="C3837" s="8"/>
      <c r="D3837" s="8"/>
      <c r="E3837" s="8"/>
      <c r="F3837" s="8"/>
      <c r="G3837" s="8"/>
      <c r="H3837" s="8"/>
      <c r="I3837" s="8"/>
      <c r="J3837" s="8"/>
      <c r="K3837" s="9"/>
      <c r="L3837" s="9"/>
      <c r="M3837" s="9"/>
      <c r="N3837" s="9"/>
      <c r="O3837" s="9"/>
      <c r="P3837" s="9"/>
      <c r="Q3837" s="9"/>
      <c r="R3837" s="9" t="str">
        <f aca="false">IF(AND(A3837&lt;&gt;"",ISNUMBER(Q3837),ISNUMBER(L3837)),ROUND(Q3837-IF(ISNUMBER(N3837),N3837,0)-IF(ISNUMBER(O3837),O3837,0)+IF(ISNUMBER(P3837),P3837,0),2),"")</f>
        <v/>
      </c>
      <c r="S3837" s="9" t="str">
        <f aca="false">IF(R3837="","",ROUND(L3837-R3837,2))</f>
        <v/>
      </c>
      <c r="T3837" s="8" t="str">
        <f aca="false">IF(A3837="","",IF(S3837="","BYPASS",IF(ABS(S3837)&lt;=Summary!$B$2,"PASS","FAIL")))</f>
        <v/>
      </c>
      <c r="U3837" s="8" t="str">
        <f aca="false">IF(T3837="BYPASS",IF(NOT(ISNUMBER(Q3837)),"PreV_ETB missing","End_tr_balance missing"),IF(T3837="FAIL",IF(AND(ISNUMBER(K3837),ISNUMBER(L3837),ABS(L3837-(K3837-IF(ISNUMBER(N3837),N3837,0)-IF(ISNUMBER(O3837),O3837,0)+IF(ISNUMBER(P3837),P3837,0)))&lt;=Summary!$B$2),"Passes using beginning_balance - PreV_ETB differs from beginning_balance",IF(AND(ISNUMBER(O3837),O3837&lt;0,ABS(L3837-(Q3837-IF(ISNUMBER(N3837),N3837,0)+IF(ISNUMBER(P3837),P3837,0)))&lt;=Summary!$B$2),"Negative realized loss not applied - check sign",IF(R3837&lt;0,"Principal paid exceeds prior balance",IF(AND(L3837&gt;Q3837,NOT(ISNUMBER(P3837))),"Balance increased but no Deferred_interest reported",IF(L3837&gt;R3837,"Reported balance higher than expected (missing increase/OC build)","Reported balance lower than expected (missing decrease)"))))),""))</f>
        <v/>
      </c>
    </row>
    <row r="3838" customFormat="false" ht="15" hidden="false" customHeight="false" outlineLevel="0" collapsed="false">
      <c r="A3838" s="8"/>
      <c r="B3838" s="8"/>
      <c r="C3838" s="8"/>
      <c r="D3838" s="8"/>
      <c r="E3838" s="8"/>
      <c r="F3838" s="8"/>
      <c r="G3838" s="8"/>
      <c r="H3838" s="8"/>
      <c r="I3838" s="8"/>
      <c r="J3838" s="8"/>
      <c r="K3838" s="9"/>
      <c r="L3838" s="9"/>
      <c r="M3838" s="9"/>
      <c r="N3838" s="9"/>
      <c r="O3838" s="9"/>
      <c r="P3838" s="9"/>
      <c r="Q3838" s="9"/>
      <c r="R3838" s="9" t="str">
        <f aca="false">IF(AND(A3838&lt;&gt;"",ISNUMBER(Q3838),ISNUMBER(L3838)),ROUND(Q3838-IF(ISNUMBER(N3838),N3838,0)-IF(ISNUMBER(O3838),O3838,0)+IF(ISNUMBER(P3838),P3838,0),2),"")</f>
        <v/>
      </c>
      <c r="S3838" s="9" t="str">
        <f aca="false">IF(R3838="","",ROUND(L3838-R3838,2))</f>
        <v/>
      </c>
      <c r="T3838" s="8" t="str">
        <f aca="false">IF(A3838="","",IF(S3838="","BYPASS",IF(ABS(S3838)&lt;=Summary!$B$2,"PASS","FAIL")))</f>
        <v/>
      </c>
      <c r="U3838" s="8" t="str">
        <f aca="false">IF(T3838="BYPASS",IF(NOT(ISNUMBER(Q3838)),"PreV_ETB missing","End_tr_balance missing"),IF(T3838="FAIL",IF(AND(ISNUMBER(K3838),ISNUMBER(L3838),ABS(L3838-(K3838-IF(ISNUMBER(N3838),N3838,0)-IF(ISNUMBER(O3838),O3838,0)+IF(ISNUMBER(P3838),P3838,0)))&lt;=Summary!$B$2),"Passes using beginning_balance - PreV_ETB differs from beginning_balance",IF(AND(ISNUMBER(O3838),O3838&lt;0,ABS(L3838-(Q3838-IF(ISNUMBER(N3838),N3838,0)+IF(ISNUMBER(P3838),P3838,0)))&lt;=Summary!$B$2),"Negative realized loss not applied - check sign",IF(R3838&lt;0,"Principal paid exceeds prior balance",IF(AND(L3838&gt;Q3838,NOT(ISNUMBER(P3838))),"Balance increased but no Deferred_interest reported",IF(L3838&gt;R3838,"Reported balance higher than expected (missing increase/OC build)","Reported balance lower than expected (missing decrease)"))))),""))</f>
        <v/>
      </c>
    </row>
    <row r="3839" customFormat="false" ht="15" hidden="false" customHeight="false" outlineLevel="0" collapsed="false">
      <c r="A3839" s="8"/>
      <c r="B3839" s="8"/>
      <c r="C3839" s="8"/>
      <c r="D3839" s="8"/>
      <c r="E3839" s="8"/>
      <c r="F3839" s="8"/>
      <c r="G3839" s="8"/>
      <c r="H3839" s="8"/>
      <c r="I3839" s="8"/>
      <c r="J3839" s="8"/>
      <c r="K3839" s="9"/>
      <c r="L3839" s="9"/>
      <c r="M3839" s="9"/>
      <c r="N3839" s="9"/>
      <c r="O3839" s="9"/>
      <c r="P3839" s="9"/>
      <c r="Q3839" s="9"/>
      <c r="R3839" s="9" t="str">
        <f aca="false">IF(AND(A3839&lt;&gt;"",ISNUMBER(Q3839),ISNUMBER(L3839)),ROUND(Q3839-IF(ISNUMBER(N3839),N3839,0)-IF(ISNUMBER(O3839),O3839,0)+IF(ISNUMBER(P3839),P3839,0),2),"")</f>
        <v/>
      </c>
      <c r="S3839" s="9" t="str">
        <f aca="false">IF(R3839="","",ROUND(L3839-R3839,2))</f>
        <v/>
      </c>
      <c r="T3839" s="8" t="str">
        <f aca="false">IF(A3839="","",IF(S3839="","BYPASS",IF(ABS(S3839)&lt;=Summary!$B$2,"PASS","FAIL")))</f>
        <v/>
      </c>
      <c r="U3839" s="8" t="str">
        <f aca="false">IF(T3839="BYPASS",IF(NOT(ISNUMBER(Q3839)),"PreV_ETB missing","End_tr_balance missing"),IF(T3839="FAIL",IF(AND(ISNUMBER(K3839),ISNUMBER(L3839),ABS(L3839-(K3839-IF(ISNUMBER(N3839),N3839,0)-IF(ISNUMBER(O3839),O3839,0)+IF(ISNUMBER(P3839),P3839,0)))&lt;=Summary!$B$2),"Passes using beginning_balance - PreV_ETB differs from beginning_balance",IF(AND(ISNUMBER(O3839),O3839&lt;0,ABS(L3839-(Q3839-IF(ISNUMBER(N3839),N3839,0)+IF(ISNUMBER(P3839),P3839,0)))&lt;=Summary!$B$2),"Negative realized loss not applied - check sign",IF(R3839&lt;0,"Principal paid exceeds prior balance",IF(AND(L3839&gt;Q3839,NOT(ISNUMBER(P3839))),"Balance increased but no Deferred_interest reported",IF(L3839&gt;R3839,"Reported balance higher than expected (missing increase/OC build)","Reported balance lower than expected (missing decrease)"))))),""))</f>
        <v/>
      </c>
    </row>
    <row r="3840" customFormat="false" ht="15" hidden="false" customHeight="false" outlineLevel="0" collapsed="false">
      <c r="A3840" s="8"/>
      <c r="B3840" s="8"/>
      <c r="C3840" s="8"/>
      <c r="D3840" s="8"/>
      <c r="E3840" s="8"/>
      <c r="F3840" s="8"/>
      <c r="G3840" s="8"/>
      <c r="H3840" s="8"/>
      <c r="I3840" s="8"/>
      <c r="J3840" s="8"/>
      <c r="K3840" s="9"/>
      <c r="L3840" s="9"/>
      <c r="M3840" s="9"/>
      <c r="N3840" s="9"/>
      <c r="O3840" s="9"/>
      <c r="P3840" s="9"/>
      <c r="Q3840" s="9"/>
      <c r="R3840" s="9" t="str">
        <f aca="false">IF(AND(A3840&lt;&gt;"",ISNUMBER(Q3840),ISNUMBER(L3840)),ROUND(Q3840-IF(ISNUMBER(N3840),N3840,0)-IF(ISNUMBER(O3840),O3840,0)+IF(ISNUMBER(P3840),P3840,0),2),"")</f>
        <v/>
      </c>
      <c r="S3840" s="9" t="str">
        <f aca="false">IF(R3840="","",ROUND(L3840-R3840,2))</f>
        <v/>
      </c>
      <c r="T3840" s="8" t="str">
        <f aca="false">IF(A3840="","",IF(S3840="","BYPASS",IF(ABS(S3840)&lt;=Summary!$B$2,"PASS","FAIL")))</f>
        <v/>
      </c>
      <c r="U3840" s="8" t="str">
        <f aca="false">IF(T3840="BYPASS",IF(NOT(ISNUMBER(Q3840)),"PreV_ETB missing","End_tr_balance missing"),IF(T3840="FAIL",IF(AND(ISNUMBER(K3840),ISNUMBER(L3840),ABS(L3840-(K3840-IF(ISNUMBER(N3840),N3840,0)-IF(ISNUMBER(O3840),O3840,0)+IF(ISNUMBER(P3840),P3840,0)))&lt;=Summary!$B$2),"Passes using beginning_balance - PreV_ETB differs from beginning_balance",IF(AND(ISNUMBER(O3840),O3840&lt;0,ABS(L3840-(Q3840-IF(ISNUMBER(N3840),N3840,0)+IF(ISNUMBER(P3840),P3840,0)))&lt;=Summary!$B$2),"Negative realized loss not applied - check sign",IF(R3840&lt;0,"Principal paid exceeds prior balance",IF(AND(L3840&gt;Q3840,NOT(ISNUMBER(P3840))),"Balance increased but no Deferred_interest reported",IF(L3840&gt;R3840,"Reported balance higher than expected (missing increase/OC build)","Reported balance lower than expected (missing decrease)"))))),""))</f>
        <v/>
      </c>
    </row>
    <row r="3841" customFormat="false" ht="15" hidden="false" customHeight="false" outlineLevel="0" collapsed="false">
      <c r="A3841" s="8"/>
      <c r="B3841" s="8"/>
      <c r="C3841" s="8"/>
      <c r="D3841" s="8"/>
      <c r="E3841" s="8"/>
      <c r="F3841" s="8"/>
      <c r="G3841" s="8"/>
      <c r="H3841" s="8"/>
      <c r="I3841" s="8"/>
      <c r="J3841" s="8"/>
      <c r="K3841" s="9"/>
      <c r="L3841" s="9"/>
      <c r="M3841" s="9"/>
      <c r="N3841" s="9"/>
      <c r="O3841" s="9"/>
      <c r="P3841" s="9"/>
      <c r="Q3841" s="9"/>
      <c r="R3841" s="9" t="str">
        <f aca="false">IF(AND(A3841&lt;&gt;"",ISNUMBER(Q3841),ISNUMBER(L3841)),ROUND(Q3841-IF(ISNUMBER(N3841),N3841,0)-IF(ISNUMBER(O3841),O3841,0)+IF(ISNUMBER(P3841),P3841,0),2),"")</f>
        <v/>
      </c>
      <c r="S3841" s="9" t="str">
        <f aca="false">IF(R3841="","",ROUND(L3841-R3841,2))</f>
        <v/>
      </c>
      <c r="T3841" s="8" t="str">
        <f aca="false">IF(A3841="","",IF(S3841="","BYPASS",IF(ABS(S3841)&lt;=Summary!$B$2,"PASS","FAIL")))</f>
        <v/>
      </c>
      <c r="U3841" s="8" t="str">
        <f aca="false">IF(T3841="BYPASS",IF(NOT(ISNUMBER(Q3841)),"PreV_ETB missing","End_tr_balance missing"),IF(T3841="FAIL",IF(AND(ISNUMBER(K3841),ISNUMBER(L3841),ABS(L3841-(K3841-IF(ISNUMBER(N3841),N3841,0)-IF(ISNUMBER(O3841),O3841,0)+IF(ISNUMBER(P3841),P3841,0)))&lt;=Summary!$B$2),"Passes using beginning_balance - PreV_ETB differs from beginning_balance",IF(AND(ISNUMBER(O3841),O3841&lt;0,ABS(L3841-(Q3841-IF(ISNUMBER(N3841),N3841,0)+IF(ISNUMBER(P3841),P3841,0)))&lt;=Summary!$B$2),"Negative realized loss not applied - check sign",IF(R3841&lt;0,"Principal paid exceeds prior balance",IF(AND(L3841&gt;Q3841,NOT(ISNUMBER(P3841))),"Balance increased but no Deferred_interest reported",IF(L3841&gt;R3841,"Reported balance higher than expected (missing increase/OC build)","Reported balance lower than expected (missing decrease)"))))),""))</f>
        <v/>
      </c>
    </row>
    <row r="3842" customFormat="false" ht="15" hidden="false" customHeight="false" outlineLevel="0" collapsed="false">
      <c r="A3842" s="8"/>
      <c r="B3842" s="8"/>
      <c r="C3842" s="8"/>
      <c r="D3842" s="8"/>
      <c r="E3842" s="8"/>
      <c r="F3842" s="8"/>
      <c r="G3842" s="8"/>
      <c r="H3842" s="8"/>
      <c r="I3842" s="8"/>
      <c r="J3842" s="8"/>
      <c r="K3842" s="9"/>
      <c r="L3842" s="9"/>
      <c r="M3842" s="9"/>
      <c r="N3842" s="9"/>
      <c r="O3842" s="9"/>
      <c r="P3842" s="9"/>
      <c r="Q3842" s="9"/>
      <c r="R3842" s="9" t="str">
        <f aca="false">IF(AND(A3842&lt;&gt;"",ISNUMBER(Q3842),ISNUMBER(L3842)),ROUND(Q3842-IF(ISNUMBER(N3842),N3842,0)-IF(ISNUMBER(O3842),O3842,0)+IF(ISNUMBER(P3842),P3842,0),2),"")</f>
        <v/>
      </c>
      <c r="S3842" s="9" t="str">
        <f aca="false">IF(R3842="","",ROUND(L3842-R3842,2))</f>
        <v/>
      </c>
      <c r="T3842" s="8" t="str">
        <f aca="false">IF(A3842="","",IF(S3842="","BYPASS",IF(ABS(S3842)&lt;=Summary!$B$2,"PASS","FAIL")))</f>
        <v/>
      </c>
      <c r="U3842" s="8" t="str">
        <f aca="false">IF(T3842="BYPASS",IF(NOT(ISNUMBER(Q3842)),"PreV_ETB missing","End_tr_balance missing"),IF(T3842="FAIL",IF(AND(ISNUMBER(K3842),ISNUMBER(L3842),ABS(L3842-(K3842-IF(ISNUMBER(N3842),N3842,0)-IF(ISNUMBER(O3842),O3842,0)+IF(ISNUMBER(P3842),P3842,0)))&lt;=Summary!$B$2),"Passes using beginning_balance - PreV_ETB differs from beginning_balance",IF(AND(ISNUMBER(O3842),O3842&lt;0,ABS(L3842-(Q3842-IF(ISNUMBER(N3842),N3842,0)+IF(ISNUMBER(P3842),P3842,0)))&lt;=Summary!$B$2),"Negative realized loss not applied - check sign",IF(R3842&lt;0,"Principal paid exceeds prior balance",IF(AND(L3842&gt;Q3842,NOT(ISNUMBER(P3842))),"Balance increased but no Deferred_interest reported",IF(L3842&gt;R3842,"Reported balance higher than expected (missing increase/OC build)","Reported balance lower than expected (missing decrease)"))))),""))</f>
        <v/>
      </c>
    </row>
    <row r="3843" customFormat="false" ht="15" hidden="false" customHeight="false" outlineLevel="0" collapsed="false">
      <c r="A3843" s="8"/>
      <c r="B3843" s="8"/>
      <c r="C3843" s="8"/>
      <c r="D3843" s="8"/>
      <c r="E3843" s="8"/>
      <c r="F3843" s="8"/>
      <c r="G3843" s="8"/>
      <c r="H3843" s="8"/>
      <c r="I3843" s="8"/>
      <c r="J3843" s="8"/>
      <c r="K3843" s="9"/>
      <c r="L3843" s="9"/>
      <c r="M3843" s="9"/>
      <c r="N3843" s="9"/>
      <c r="O3843" s="9"/>
      <c r="P3843" s="9"/>
      <c r="Q3843" s="9"/>
      <c r="R3843" s="9" t="str">
        <f aca="false">IF(AND(A3843&lt;&gt;"",ISNUMBER(Q3843),ISNUMBER(L3843)),ROUND(Q3843-IF(ISNUMBER(N3843),N3843,0)-IF(ISNUMBER(O3843),O3843,0)+IF(ISNUMBER(P3843),P3843,0),2),"")</f>
        <v/>
      </c>
      <c r="S3843" s="9" t="str">
        <f aca="false">IF(R3843="","",ROUND(L3843-R3843,2))</f>
        <v/>
      </c>
      <c r="T3843" s="8" t="str">
        <f aca="false">IF(A3843="","",IF(S3843="","BYPASS",IF(ABS(S3843)&lt;=Summary!$B$2,"PASS","FAIL")))</f>
        <v/>
      </c>
      <c r="U3843" s="8" t="str">
        <f aca="false">IF(T3843="BYPASS",IF(NOT(ISNUMBER(Q3843)),"PreV_ETB missing","End_tr_balance missing"),IF(T3843="FAIL",IF(AND(ISNUMBER(K3843),ISNUMBER(L3843),ABS(L3843-(K3843-IF(ISNUMBER(N3843),N3843,0)-IF(ISNUMBER(O3843),O3843,0)+IF(ISNUMBER(P3843),P3843,0)))&lt;=Summary!$B$2),"Passes using beginning_balance - PreV_ETB differs from beginning_balance",IF(AND(ISNUMBER(O3843),O3843&lt;0,ABS(L3843-(Q3843-IF(ISNUMBER(N3843),N3843,0)+IF(ISNUMBER(P3843),P3843,0)))&lt;=Summary!$B$2),"Negative realized loss not applied - check sign",IF(R3843&lt;0,"Principal paid exceeds prior balance",IF(AND(L3843&gt;Q3843,NOT(ISNUMBER(P3843))),"Balance increased but no Deferred_interest reported",IF(L3843&gt;R3843,"Reported balance higher than expected (missing increase/OC build)","Reported balance lower than expected (missing decrease)"))))),""))</f>
        <v/>
      </c>
    </row>
    <row r="3844" customFormat="false" ht="15" hidden="false" customHeight="false" outlineLevel="0" collapsed="false">
      <c r="A3844" s="8"/>
      <c r="B3844" s="8"/>
      <c r="C3844" s="8"/>
      <c r="D3844" s="8"/>
      <c r="E3844" s="8"/>
      <c r="F3844" s="8"/>
      <c r="G3844" s="8"/>
      <c r="H3844" s="8"/>
      <c r="I3844" s="8"/>
      <c r="J3844" s="8"/>
      <c r="K3844" s="9"/>
      <c r="L3844" s="9"/>
      <c r="M3844" s="9"/>
      <c r="N3844" s="9"/>
      <c r="O3844" s="9"/>
      <c r="P3844" s="9"/>
      <c r="Q3844" s="9"/>
      <c r="R3844" s="9" t="str">
        <f aca="false">IF(AND(A3844&lt;&gt;"",ISNUMBER(Q3844),ISNUMBER(L3844)),ROUND(Q3844-IF(ISNUMBER(N3844),N3844,0)-IF(ISNUMBER(O3844),O3844,0)+IF(ISNUMBER(P3844),P3844,0),2),"")</f>
        <v/>
      </c>
      <c r="S3844" s="9" t="str">
        <f aca="false">IF(R3844="","",ROUND(L3844-R3844,2))</f>
        <v/>
      </c>
      <c r="T3844" s="8" t="str">
        <f aca="false">IF(A3844="","",IF(S3844="","BYPASS",IF(ABS(S3844)&lt;=Summary!$B$2,"PASS","FAIL")))</f>
        <v/>
      </c>
      <c r="U3844" s="8" t="str">
        <f aca="false">IF(T3844="BYPASS",IF(NOT(ISNUMBER(Q3844)),"PreV_ETB missing","End_tr_balance missing"),IF(T3844="FAIL",IF(AND(ISNUMBER(K3844),ISNUMBER(L3844),ABS(L3844-(K3844-IF(ISNUMBER(N3844),N3844,0)-IF(ISNUMBER(O3844),O3844,0)+IF(ISNUMBER(P3844),P3844,0)))&lt;=Summary!$B$2),"Passes using beginning_balance - PreV_ETB differs from beginning_balance",IF(AND(ISNUMBER(O3844),O3844&lt;0,ABS(L3844-(Q3844-IF(ISNUMBER(N3844),N3844,0)+IF(ISNUMBER(P3844),P3844,0)))&lt;=Summary!$B$2),"Negative realized loss not applied - check sign",IF(R3844&lt;0,"Principal paid exceeds prior balance",IF(AND(L3844&gt;Q3844,NOT(ISNUMBER(P3844))),"Balance increased but no Deferred_interest reported",IF(L3844&gt;R3844,"Reported balance higher than expected (missing increase/OC build)","Reported balance lower than expected (missing decrease)"))))),""))</f>
        <v/>
      </c>
    </row>
    <row r="3845" customFormat="false" ht="15" hidden="false" customHeight="false" outlineLevel="0" collapsed="false">
      <c r="A3845" s="8"/>
      <c r="B3845" s="8"/>
      <c r="C3845" s="8"/>
      <c r="D3845" s="8"/>
      <c r="E3845" s="8"/>
      <c r="F3845" s="8"/>
      <c r="G3845" s="8"/>
      <c r="H3845" s="8"/>
      <c r="I3845" s="8"/>
      <c r="J3845" s="8"/>
      <c r="K3845" s="9"/>
      <c r="L3845" s="9"/>
      <c r="M3845" s="9"/>
      <c r="N3845" s="9"/>
      <c r="O3845" s="9"/>
      <c r="P3845" s="9"/>
      <c r="Q3845" s="9"/>
      <c r="R3845" s="9" t="str">
        <f aca="false">IF(AND(A3845&lt;&gt;"",ISNUMBER(Q3845),ISNUMBER(L3845)),ROUND(Q3845-IF(ISNUMBER(N3845),N3845,0)-IF(ISNUMBER(O3845),O3845,0)+IF(ISNUMBER(P3845),P3845,0),2),"")</f>
        <v/>
      </c>
      <c r="S3845" s="9" t="str">
        <f aca="false">IF(R3845="","",ROUND(L3845-R3845,2))</f>
        <v/>
      </c>
      <c r="T3845" s="8" t="str">
        <f aca="false">IF(A3845="","",IF(S3845="","BYPASS",IF(ABS(S3845)&lt;=Summary!$B$2,"PASS","FAIL")))</f>
        <v/>
      </c>
      <c r="U3845" s="8" t="str">
        <f aca="false">IF(T3845="BYPASS",IF(NOT(ISNUMBER(Q3845)),"PreV_ETB missing","End_tr_balance missing"),IF(T3845="FAIL",IF(AND(ISNUMBER(K3845),ISNUMBER(L3845),ABS(L3845-(K3845-IF(ISNUMBER(N3845),N3845,0)-IF(ISNUMBER(O3845),O3845,0)+IF(ISNUMBER(P3845),P3845,0)))&lt;=Summary!$B$2),"Passes using beginning_balance - PreV_ETB differs from beginning_balance",IF(AND(ISNUMBER(O3845),O3845&lt;0,ABS(L3845-(Q3845-IF(ISNUMBER(N3845),N3845,0)+IF(ISNUMBER(P3845),P3845,0)))&lt;=Summary!$B$2),"Negative realized loss not applied - check sign",IF(R3845&lt;0,"Principal paid exceeds prior balance",IF(AND(L3845&gt;Q3845,NOT(ISNUMBER(P3845))),"Balance increased but no Deferred_interest reported",IF(L3845&gt;R3845,"Reported balance higher than expected (missing increase/OC build)","Reported balance lower than expected (missing decrease)"))))),""))</f>
        <v/>
      </c>
    </row>
    <row r="3846" customFormat="false" ht="15" hidden="false" customHeight="false" outlineLevel="0" collapsed="false">
      <c r="A3846" s="8"/>
      <c r="B3846" s="8"/>
      <c r="C3846" s="8"/>
      <c r="D3846" s="8"/>
      <c r="E3846" s="8"/>
      <c r="F3846" s="8"/>
      <c r="G3846" s="8"/>
      <c r="H3846" s="8"/>
      <c r="I3846" s="8"/>
      <c r="J3846" s="8"/>
      <c r="K3846" s="9"/>
      <c r="L3846" s="9"/>
      <c r="M3846" s="9"/>
      <c r="N3846" s="9"/>
      <c r="O3846" s="9"/>
      <c r="P3846" s="9"/>
      <c r="Q3846" s="9"/>
      <c r="R3846" s="9" t="str">
        <f aca="false">IF(AND(A3846&lt;&gt;"",ISNUMBER(Q3846),ISNUMBER(L3846)),ROUND(Q3846-IF(ISNUMBER(N3846),N3846,0)-IF(ISNUMBER(O3846),O3846,0)+IF(ISNUMBER(P3846),P3846,0),2),"")</f>
        <v/>
      </c>
      <c r="S3846" s="9" t="str">
        <f aca="false">IF(R3846="","",ROUND(L3846-R3846,2))</f>
        <v/>
      </c>
      <c r="T3846" s="8" t="str">
        <f aca="false">IF(A3846="","",IF(S3846="","BYPASS",IF(ABS(S3846)&lt;=Summary!$B$2,"PASS","FAIL")))</f>
        <v/>
      </c>
      <c r="U3846" s="8" t="str">
        <f aca="false">IF(T3846="BYPASS",IF(NOT(ISNUMBER(Q3846)),"PreV_ETB missing","End_tr_balance missing"),IF(T3846="FAIL",IF(AND(ISNUMBER(K3846),ISNUMBER(L3846),ABS(L3846-(K3846-IF(ISNUMBER(N3846),N3846,0)-IF(ISNUMBER(O3846),O3846,0)+IF(ISNUMBER(P3846),P3846,0)))&lt;=Summary!$B$2),"Passes using beginning_balance - PreV_ETB differs from beginning_balance",IF(AND(ISNUMBER(O3846),O3846&lt;0,ABS(L3846-(Q3846-IF(ISNUMBER(N3846),N3846,0)+IF(ISNUMBER(P3846),P3846,0)))&lt;=Summary!$B$2),"Negative realized loss not applied - check sign",IF(R3846&lt;0,"Principal paid exceeds prior balance",IF(AND(L3846&gt;Q3846,NOT(ISNUMBER(P3846))),"Balance increased but no Deferred_interest reported",IF(L3846&gt;R3846,"Reported balance higher than expected (missing increase/OC build)","Reported balance lower than expected (missing decrease)"))))),""))</f>
        <v/>
      </c>
    </row>
    <row r="3847" customFormat="false" ht="15" hidden="false" customHeight="false" outlineLevel="0" collapsed="false">
      <c r="A3847" s="8"/>
      <c r="B3847" s="8"/>
      <c r="C3847" s="8"/>
      <c r="D3847" s="8"/>
      <c r="E3847" s="8"/>
      <c r="F3847" s="8"/>
      <c r="G3847" s="8"/>
      <c r="H3847" s="8"/>
      <c r="I3847" s="8"/>
      <c r="J3847" s="8"/>
      <c r="K3847" s="9"/>
      <c r="L3847" s="9"/>
      <c r="M3847" s="9"/>
      <c r="N3847" s="9"/>
      <c r="O3847" s="9"/>
      <c r="P3847" s="9"/>
      <c r="Q3847" s="9"/>
      <c r="R3847" s="9" t="str">
        <f aca="false">IF(AND(A3847&lt;&gt;"",ISNUMBER(Q3847),ISNUMBER(L3847)),ROUND(Q3847-IF(ISNUMBER(N3847),N3847,0)-IF(ISNUMBER(O3847),O3847,0)+IF(ISNUMBER(P3847),P3847,0),2),"")</f>
        <v/>
      </c>
      <c r="S3847" s="9" t="str">
        <f aca="false">IF(R3847="","",ROUND(L3847-R3847,2))</f>
        <v/>
      </c>
      <c r="T3847" s="8" t="str">
        <f aca="false">IF(A3847="","",IF(S3847="","BYPASS",IF(ABS(S3847)&lt;=Summary!$B$2,"PASS","FAIL")))</f>
        <v/>
      </c>
      <c r="U3847" s="8" t="str">
        <f aca="false">IF(T3847="BYPASS",IF(NOT(ISNUMBER(Q3847)),"PreV_ETB missing","End_tr_balance missing"),IF(T3847="FAIL",IF(AND(ISNUMBER(K3847),ISNUMBER(L3847),ABS(L3847-(K3847-IF(ISNUMBER(N3847),N3847,0)-IF(ISNUMBER(O3847),O3847,0)+IF(ISNUMBER(P3847),P3847,0)))&lt;=Summary!$B$2),"Passes using beginning_balance - PreV_ETB differs from beginning_balance",IF(AND(ISNUMBER(O3847),O3847&lt;0,ABS(L3847-(Q3847-IF(ISNUMBER(N3847),N3847,0)+IF(ISNUMBER(P3847),P3847,0)))&lt;=Summary!$B$2),"Negative realized loss not applied - check sign",IF(R3847&lt;0,"Principal paid exceeds prior balance",IF(AND(L3847&gt;Q3847,NOT(ISNUMBER(P3847))),"Balance increased but no Deferred_interest reported",IF(L3847&gt;R3847,"Reported balance higher than expected (missing increase/OC build)","Reported balance lower than expected (missing decrease)"))))),""))</f>
        <v/>
      </c>
    </row>
    <row r="3848" customFormat="false" ht="15" hidden="false" customHeight="false" outlineLevel="0" collapsed="false">
      <c r="A3848" s="8"/>
      <c r="B3848" s="8"/>
      <c r="C3848" s="8"/>
      <c r="D3848" s="8"/>
      <c r="E3848" s="8"/>
      <c r="F3848" s="8"/>
      <c r="G3848" s="8"/>
      <c r="H3848" s="8"/>
      <c r="I3848" s="8"/>
      <c r="J3848" s="8"/>
      <c r="K3848" s="9"/>
      <c r="L3848" s="9"/>
      <c r="M3848" s="9"/>
      <c r="N3848" s="9"/>
      <c r="O3848" s="9"/>
      <c r="P3848" s="9"/>
      <c r="Q3848" s="9"/>
      <c r="R3848" s="9" t="str">
        <f aca="false">IF(AND(A3848&lt;&gt;"",ISNUMBER(Q3848),ISNUMBER(L3848)),ROUND(Q3848-IF(ISNUMBER(N3848),N3848,0)-IF(ISNUMBER(O3848),O3848,0)+IF(ISNUMBER(P3848),P3848,0),2),"")</f>
        <v/>
      </c>
      <c r="S3848" s="9" t="str">
        <f aca="false">IF(R3848="","",ROUND(L3848-R3848,2))</f>
        <v/>
      </c>
      <c r="T3848" s="8" t="str">
        <f aca="false">IF(A3848="","",IF(S3848="","BYPASS",IF(ABS(S3848)&lt;=Summary!$B$2,"PASS","FAIL")))</f>
        <v/>
      </c>
      <c r="U3848" s="8" t="str">
        <f aca="false">IF(T3848="BYPASS",IF(NOT(ISNUMBER(Q3848)),"PreV_ETB missing","End_tr_balance missing"),IF(T3848="FAIL",IF(AND(ISNUMBER(K3848),ISNUMBER(L3848),ABS(L3848-(K3848-IF(ISNUMBER(N3848),N3848,0)-IF(ISNUMBER(O3848),O3848,0)+IF(ISNUMBER(P3848),P3848,0)))&lt;=Summary!$B$2),"Passes using beginning_balance - PreV_ETB differs from beginning_balance",IF(AND(ISNUMBER(O3848),O3848&lt;0,ABS(L3848-(Q3848-IF(ISNUMBER(N3848),N3848,0)+IF(ISNUMBER(P3848),P3848,0)))&lt;=Summary!$B$2),"Negative realized loss not applied - check sign",IF(R3848&lt;0,"Principal paid exceeds prior balance",IF(AND(L3848&gt;Q3848,NOT(ISNUMBER(P3848))),"Balance increased but no Deferred_interest reported",IF(L3848&gt;R3848,"Reported balance higher than expected (missing increase/OC build)","Reported balance lower than expected (missing decrease)"))))),""))</f>
        <v/>
      </c>
    </row>
    <row r="3849" customFormat="false" ht="15" hidden="false" customHeight="false" outlineLevel="0" collapsed="false">
      <c r="A3849" s="8"/>
      <c r="B3849" s="8"/>
      <c r="C3849" s="8"/>
      <c r="D3849" s="8"/>
      <c r="E3849" s="8"/>
      <c r="F3849" s="8"/>
      <c r="G3849" s="8"/>
      <c r="H3849" s="8"/>
      <c r="I3849" s="8"/>
      <c r="J3849" s="8"/>
      <c r="K3849" s="9"/>
      <c r="L3849" s="9"/>
      <c r="M3849" s="9"/>
      <c r="N3849" s="9"/>
      <c r="O3849" s="9"/>
      <c r="P3849" s="9"/>
      <c r="Q3849" s="9"/>
      <c r="R3849" s="9" t="str">
        <f aca="false">IF(AND(A3849&lt;&gt;"",ISNUMBER(Q3849),ISNUMBER(L3849)),ROUND(Q3849-IF(ISNUMBER(N3849),N3849,0)-IF(ISNUMBER(O3849),O3849,0)+IF(ISNUMBER(P3849),P3849,0),2),"")</f>
        <v/>
      </c>
      <c r="S3849" s="9" t="str">
        <f aca="false">IF(R3849="","",ROUND(L3849-R3849,2))</f>
        <v/>
      </c>
      <c r="T3849" s="8" t="str">
        <f aca="false">IF(A3849="","",IF(S3849="","BYPASS",IF(ABS(S3849)&lt;=Summary!$B$2,"PASS","FAIL")))</f>
        <v/>
      </c>
      <c r="U3849" s="8" t="str">
        <f aca="false">IF(T3849="BYPASS",IF(NOT(ISNUMBER(Q3849)),"PreV_ETB missing","End_tr_balance missing"),IF(T3849="FAIL",IF(AND(ISNUMBER(K3849),ISNUMBER(L3849),ABS(L3849-(K3849-IF(ISNUMBER(N3849),N3849,0)-IF(ISNUMBER(O3849),O3849,0)+IF(ISNUMBER(P3849),P3849,0)))&lt;=Summary!$B$2),"Passes using beginning_balance - PreV_ETB differs from beginning_balance",IF(AND(ISNUMBER(O3849),O3849&lt;0,ABS(L3849-(Q3849-IF(ISNUMBER(N3849),N3849,0)+IF(ISNUMBER(P3849),P3849,0)))&lt;=Summary!$B$2),"Negative realized loss not applied - check sign",IF(R3849&lt;0,"Principal paid exceeds prior balance",IF(AND(L3849&gt;Q3849,NOT(ISNUMBER(P3849))),"Balance increased but no Deferred_interest reported",IF(L3849&gt;R3849,"Reported balance higher than expected (missing increase/OC build)","Reported balance lower than expected (missing decrease)"))))),""))</f>
        <v/>
      </c>
    </row>
    <row r="3850" customFormat="false" ht="15" hidden="false" customHeight="false" outlineLevel="0" collapsed="false">
      <c r="A3850" s="8"/>
      <c r="B3850" s="8"/>
      <c r="C3850" s="8"/>
      <c r="D3850" s="8"/>
      <c r="E3850" s="8"/>
      <c r="F3850" s="8"/>
      <c r="G3850" s="8"/>
      <c r="H3850" s="8"/>
      <c r="I3850" s="8"/>
      <c r="J3850" s="8"/>
      <c r="K3850" s="9"/>
      <c r="L3850" s="9"/>
      <c r="M3850" s="9"/>
      <c r="N3850" s="9"/>
      <c r="O3850" s="9"/>
      <c r="P3850" s="9"/>
      <c r="Q3850" s="9"/>
      <c r="R3850" s="9" t="str">
        <f aca="false">IF(AND(A3850&lt;&gt;"",ISNUMBER(Q3850),ISNUMBER(L3850)),ROUND(Q3850-IF(ISNUMBER(N3850),N3850,0)-IF(ISNUMBER(O3850),O3850,0)+IF(ISNUMBER(P3850),P3850,0),2),"")</f>
        <v/>
      </c>
      <c r="S3850" s="9" t="str">
        <f aca="false">IF(R3850="","",ROUND(L3850-R3850,2))</f>
        <v/>
      </c>
      <c r="T3850" s="8" t="str">
        <f aca="false">IF(A3850="","",IF(S3850="","BYPASS",IF(ABS(S3850)&lt;=Summary!$B$2,"PASS","FAIL")))</f>
        <v/>
      </c>
      <c r="U3850" s="8" t="str">
        <f aca="false">IF(T3850="BYPASS",IF(NOT(ISNUMBER(Q3850)),"PreV_ETB missing","End_tr_balance missing"),IF(T3850="FAIL",IF(AND(ISNUMBER(K3850),ISNUMBER(L3850),ABS(L3850-(K3850-IF(ISNUMBER(N3850),N3850,0)-IF(ISNUMBER(O3850),O3850,0)+IF(ISNUMBER(P3850),P3850,0)))&lt;=Summary!$B$2),"Passes using beginning_balance - PreV_ETB differs from beginning_balance",IF(AND(ISNUMBER(O3850),O3850&lt;0,ABS(L3850-(Q3850-IF(ISNUMBER(N3850),N3850,0)+IF(ISNUMBER(P3850),P3850,0)))&lt;=Summary!$B$2),"Negative realized loss not applied - check sign",IF(R3850&lt;0,"Principal paid exceeds prior balance",IF(AND(L3850&gt;Q3850,NOT(ISNUMBER(P3850))),"Balance increased but no Deferred_interest reported",IF(L3850&gt;R3850,"Reported balance higher than expected (missing increase/OC build)","Reported balance lower than expected (missing decrease)"))))),""))</f>
        <v/>
      </c>
    </row>
    <row r="3851" customFormat="false" ht="15" hidden="false" customHeight="false" outlineLevel="0" collapsed="false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9"/>
      <c r="L3851" s="9"/>
      <c r="M3851" s="9"/>
      <c r="N3851" s="9"/>
      <c r="O3851" s="9"/>
      <c r="P3851" s="9"/>
      <c r="Q3851" s="9"/>
      <c r="R3851" s="9" t="str">
        <f aca="false">IF(AND(A3851&lt;&gt;"",ISNUMBER(Q3851),ISNUMBER(L3851)),ROUND(Q3851-IF(ISNUMBER(N3851),N3851,0)-IF(ISNUMBER(O3851),O3851,0)+IF(ISNUMBER(P3851),P3851,0),2),"")</f>
        <v/>
      </c>
      <c r="S3851" s="9" t="str">
        <f aca="false">IF(R3851="","",ROUND(L3851-R3851,2))</f>
        <v/>
      </c>
      <c r="T3851" s="8" t="str">
        <f aca="false">IF(A3851="","",IF(S3851="","BYPASS",IF(ABS(S3851)&lt;=Summary!$B$2,"PASS","FAIL")))</f>
        <v/>
      </c>
      <c r="U3851" s="8" t="str">
        <f aca="false">IF(T3851="BYPASS",IF(NOT(ISNUMBER(Q3851)),"PreV_ETB missing","End_tr_balance missing"),IF(T3851="FAIL",IF(AND(ISNUMBER(K3851),ISNUMBER(L3851),ABS(L3851-(K3851-IF(ISNUMBER(N3851),N3851,0)-IF(ISNUMBER(O3851),O3851,0)+IF(ISNUMBER(P3851),P3851,0)))&lt;=Summary!$B$2),"Passes using beginning_balance - PreV_ETB differs from beginning_balance",IF(AND(ISNUMBER(O3851),O3851&lt;0,ABS(L3851-(Q3851-IF(ISNUMBER(N3851),N3851,0)+IF(ISNUMBER(P3851),P3851,0)))&lt;=Summary!$B$2),"Negative realized loss not applied - check sign",IF(R3851&lt;0,"Principal paid exceeds prior balance",IF(AND(L3851&gt;Q3851,NOT(ISNUMBER(P3851))),"Balance increased but no Deferred_interest reported",IF(L3851&gt;R3851,"Reported balance higher than expected (missing increase/OC build)","Reported balance lower than expected (missing decrease)"))))),""))</f>
        <v/>
      </c>
    </row>
    <row r="3852" customFormat="false" ht="15" hidden="false" customHeight="false" outlineLevel="0" collapsed="false">
      <c r="A3852" s="8"/>
      <c r="B3852" s="8"/>
      <c r="C3852" s="8"/>
      <c r="D3852" s="8"/>
      <c r="E3852" s="8"/>
      <c r="F3852" s="8"/>
      <c r="G3852" s="8"/>
      <c r="H3852" s="8"/>
      <c r="I3852" s="8"/>
      <c r="J3852" s="8"/>
      <c r="K3852" s="9"/>
      <c r="L3852" s="9"/>
      <c r="M3852" s="9"/>
      <c r="N3852" s="9"/>
      <c r="O3852" s="9"/>
      <c r="P3852" s="9"/>
      <c r="Q3852" s="9"/>
      <c r="R3852" s="9" t="str">
        <f aca="false">IF(AND(A3852&lt;&gt;"",ISNUMBER(Q3852),ISNUMBER(L3852)),ROUND(Q3852-IF(ISNUMBER(N3852),N3852,0)-IF(ISNUMBER(O3852),O3852,0)+IF(ISNUMBER(P3852),P3852,0),2),"")</f>
        <v/>
      </c>
      <c r="S3852" s="9" t="str">
        <f aca="false">IF(R3852="","",ROUND(L3852-R3852,2))</f>
        <v/>
      </c>
      <c r="T3852" s="8" t="str">
        <f aca="false">IF(A3852="","",IF(S3852="","BYPASS",IF(ABS(S3852)&lt;=Summary!$B$2,"PASS","FAIL")))</f>
        <v/>
      </c>
      <c r="U3852" s="8" t="str">
        <f aca="false">IF(T3852="BYPASS",IF(NOT(ISNUMBER(Q3852)),"PreV_ETB missing","End_tr_balance missing"),IF(T3852="FAIL",IF(AND(ISNUMBER(K3852),ISNUMBER(L3852),ABS(L3852-(K3852-IF(ISNUMBER(N3852),N3852,0)-IF(ISNUMBER(O3852),O3852,0)+IF(ISNUMBER(P3852),P3852,0)))&lt;=Summary!$B$2),"Passes using beginning_balance - PreV_ETB differs from beginning_balance",IF(AND(ISNUMBER(O3852),O3852&lt;0,ABS(L3852-(Q3852-IF(ISNUMBER(N3852),N3852,0)+IF(ISNUMBER(P3852),P3852,0)))&lt;=Summary!$B$2),"Negative realized loss not applied - check sign",IF(R3852&lt;0,"Principal paid exceeds prior balance",IF(AND(L3852&gt;Q3852,NOT(ISNUMBER(P3852))),"Balance increased but no Deferred_interest reported",IF(L3852&gt;R3852,"Reported balance higher than expected (missing increase/OC build)","Reported balance lower than expected (missing decrease)"))))),""))</f>
        <v/>
      </c>
    </row>
    <row r="3853" customFormat="false" ht="15" hidden="false" customHeight="false" outlineLevel="0" collapsed="false">
      <c r="A3853" s="8"/>
      <c r="B3853" s="8"/>
      <c r="C3853" s="8"/>
      <c r="D3853" s="8"/>
      <c r="E3853" s="8"/>
      <c r="F3853" s="8"/>
      <c r="G3853" s="8"/>
      <c r="H3853" s="8"/>
      <c r="I3853" s="8"/>
      <c r="J3853" s="8"/>
      <c r="K3853" s="9"/>
      <c r="L3853" s="9"/>
      <c r="M3853" s="9"/>
      <c r="N3853" s="9"/>
      <c r="O3853" s="9"/>
      <c r="P3853" s="9"/>
      <c r="Q3853" s="9"/>
      <c r="R3853" s="9" t="str">
        <f aca="false">IF(AND(A3853&lt;&gt;"",ISNUMBER(Q3853),ISNUMBER(L3853)),ROUND(Q3853-IF(ISNUMBER(N3853),N3853,0)-IF(ISNUMBER(O3853),O3853,0)+IF(ISNUMBER(P3853),P3853,0),2),"")</f>
        <v/>
      </c>
      <c r="S3853" s="9" t="str">
        <f aca="false">IF(R3853="","",ROUND(L3853-R3853,2))</f>
        <v/>
      </c>
      <c r="T3853" s="8" t="str">
        <f aca="false">IF(A3853="","",IF(S3853="","BYPASS",IF(ABS(S3853)&lt;=Summary!$B$2,"PASS","FAIL")))</f>
        <v/>
      </c>
      <c r="U3853" s="8" t="str">
        <f aca="false">IF(T3853="BYPASS",IF(NOT(ISNUMBER(Q3853)),"PreV_ETB missing","End_tr_balance missing"),IF(T3853="FAIL",IF(AND(ISNUMBER(K3853),ISNUMBER(L3853),ABS(L3853-(K3853-IF(ISNUMBER(N3853),N3853,0)-IF(ISNUMBER(O3853),O3853,0)+IF(ISNUMBER(P3853),P3853,0)))&lt;=Summary!$B$2),"Passes using beginning_balance - PreV_ETB differs from beginning_balance",IF(AND(ISNUMBER(O3853),O3853&lt;0,ABS(L3853-(Q3853-IF(ISNUMBER(N3853),N3853,0)+IF(ISNUMBER(P3853),P3853,0)))&lt;=Summary!$B$2),"Negative realized loss not applied - check sign",IF(R3853&lt;0,"Principal paid exceeds prior balance",IF(AND(L3853&gt;Q3853,NOT(ISNUMBER(P3853))),"Balance increased but no Deferred_interest reported",IF(L3853&gt;R3853,"Reported balance higher than expected (missing increase/OC build)","Reported balance lower than expected (missing decrease)"))))),""))</f>
        <v/>
      </c>
    </row>
    <row r="3854" customFormat="false" ht="15" hidden="false" customHeight="false" outlineLevel="0" collapsed="false">
      <c r="A3854" s="8"/>
      <c r="B3854" s="8"/>
      <c r="C3854" s="8"/>
      <c r="D3854" s="8"/>
      <c r="E3854" s="8"/>
      <c r="F3854" s="8"/>
      <c r="G3854" s="8"/>
      <c r="H3854" s="8"/>
      <c r="I3854" s="8"/>
      <c r="J3854" s="8"/>
      <c r="K3854" s="9"/>
      <c r="L3854" s="9"/>
      <c r="M3854" s="9"/>
      <c r="N3854" s="9"/>
      <c r="O3854" s="9"/>
      <c r="P3854" s="9"/>
      <c r="Q3854" s="9"/>
      <c r="R3854" s="9" t="str">
        <f aca="false">IF(AND(A3854&lt;&gt;"",ISNUMBER(Q3854),ISNUMBER(L3854)),ROUND(Q3854-IF(ISNUMBER(N3854),N3854,0)-IF(ISNUMBER(O3854),O3854,0)+IF(ISNUMBER(P3854),P3854,0),2),"")</f>
        <v/>
      </c>
      <c r="S3854" s="9" t="str">
        <f aca="false">IF(R3854="","",ROUND(L3854-R3854,2))</f>
        <v/>
      </c>
      <c r="T3854" s="8" t="str">
        <f aca="false">IF(A3854="","",IF(S3854="","BYPASS",IF(ABS(S3854)&lt;=Summary!$B$2,"PASS","FAIL")))</f>
        <v/>
      </c>
      <c r="U3854" s="8" t="str">
        <f aca="false">IF(T3854="BYPASS",IF(NOT(ISNUMBER(Q3854)),"PreV_ETB missing","End_tr_balance missing"),IF(T3854="FAIL",IF(AND(ISNUMBER(K3854),ISNUMBER(L3854),ABS(L3854-(K3854-IF(ISNUMBER(N3854),N3854,0)-IF(ISNUMBER(O3854),O3854,0)+IF(ISNUMBER(P3854),P3854,0)))&lt;=Summary!$B$2),"Passes using beginning_balance - PreV_ETB differs from beginning_balance",IF(AND(ISNUMBER(O3854),O3854&lt;0,ABS(L3854-(Q3854-IF(ISNUMBER(N3854),N3854,0)+IF(ISNUMBER(P3854),P3854,0)))&lt;=Summary!$B$2),"Negative realized loss not applied - check sign",IF(R3854&lt;0,"Principal paid exceeds prior balance",IF(AND(L3854&gt;Q3854,NOT(ISNUMBER(P3854))),"Balance increased but no Deferred_interest reported",IF(L3854&gt;R3854,"Reported balance higher than expected (missing increase/OC build)","Reported balance lower than expected (missing decrease)"))))),""))</f>
        <v/>
      </c>
    </row>
    <row r="3855" customFormat="false" ht="15" hidden="false" customHeight="false" outlineLevel="0" collapsed="false">
      <c r="A3855" s="8"/>
      <c r="B3855" s="8"/>
      <c r="C3855" s="8"/>
      <c r="D3855" s="8"/>
      <c r="E3855" s="8"/>
      <c r="F3855" s="8"/>
      <c r="G3855" s="8"/>
      <c r="H3855" s="8"/>
      <c r="I3855" s="8"/>
      <c r="J3855" s="8"/>
      <c r="K3855" s="9"/>
      <c r="L3855" s="9"/>
      <c r="M3855" s="9"/>
      <c r="N3855" s="9"/>
      <c r="O3855" s="9"/>
      <c r="P3855" s="9"/>
      <c r="Q3855" s="9"/>
      <c r="R3855" s="9" t="str">
        <f aca="false">IF(AND(A3855&lt;&gt;"",ISNUMBER(Q3855),ISNUMBER(L3855)),ROUND(Q3855-IF(ISNUMBER(N3855),N3855,0)-IF(ISNUMBER(O3855),O3855,0)+IF(ISNUMBER(P3855),P3855,0),2),"")</f>
        <v/>
      </c>
      <c r="S3855" s="9" t="str">
        <f aca="false">IF(R3855="","",ROUND(L3855-R3855,2))</f>
        <v/>
      </c>
      <c r="T3855" s="8" t="str">
        <f aca="false">IF(A3855="","",IF(S3855="","BYPASS",IF(ABS(S3855)&lt;=Summary!$B$2,"PASS","FAIL")))</f>
        <v/>
      </c>
      <c r="U3855" s="8" t="str">
        <f aca="false">IF(T3855="BYPASS",IF(NOT(ISNUMBER(Q3855)),"PreV_ETB missing","End_tr_balance missing"),IF(T3855="FAIL",IF(AND(ISNUMBER(K3855),ISNUMBER(L3855),ABS(L3855-(K3855-IF(ISNUMBER(N3855),N3855,0)-IF(ISNUMBER(O3855),O3855,0)+IF(ISNUMBER(P3855),P3855,0)))&lt;=Summary!$B$2),"Passes using beginning_balance - PreV_ETB differs from beginning_balance",IF(AND(ISNUMBER(O3855),O3855&lt;0,ABS(L3855-(Q3855-IF(ISNUMBER(N3855),N3855,0)+IF(ISNUMBER(P3855),P3855,0)))&lt;=Summary!$B$2),"Negative realized loss not applied - check sign",IF(R3855&lt;0,"Principal paid exceeds prior balance",IF(AND(L3855&gt;Q3855,NOT(ISNUMBER(P3855))),"Balance increased but no Deferred_interest reported",IF(L3855&gt;R3855,"Reported balance higher than expected (missing increase/OC build)","Reported balance lower than expected (missing decrease)"))))),""))</f>
        <v/>
      </c>
    </row>
    <row r="3856" customFormat="false" ht="15" hidden="false" customHeight="false" outlineLevel="0" collapsed="false">
      <c r="A3856" s="8"/>
      <c r="B3856" s="8"/>
      <c r="C3856" s="8"/>
      <c r="D3856" s="8"/>
      <c r="E3856" s="8"/>
      <c r="F3856" s="8"/>
      <c r="G3856" s="8"/>
      <c r="H3856" s="8"/>
      <c r="I3856" s="8"/>
      <c r="J3856" s="8"/>
      <c r="K3856" s="9"/>
      <c r="L3856" s="9"/>
      <c r="M3856" s="9"/>
      <c r="N3856" s="9"/>
      <c r="O3856" s="9"/>
      <c r="P3856" s="9"/>
      <c r="Q3856" s="9"/>
      <c r="R3856" s="9" t="str">
        <f aca="false">IF(AND(A3856&lt;&gt;"",ISNUMBER(Q3856),ISNUMBER(L3856)),ROUND(Q3856-IF(ISNUMBER(N3856),N3856,0)-IF(ISNUMBER(O3856),O3856,0)+IF(ISNUMBER(P3856),P3856,0),2),"")</f>
        <v/>
      </c>
      <c r="S3856" s="9" t="str">
        <f aca="false">IF(R3856="","",ROUND(L3856-R3856,2))</f>
        <v/>
      </c>
      <c r="T3856" s="8" t="str">
        <f aca="false">IF(A3856="","",IF(S3856="","BYPASS",IF(ABS(S3856)&lt;=Summary!$B$2,"PASS","FAIL")))</f>
        <v/>
      </c>
      <c r="U3856" s="8" t="str">
        <f aca="false">IF(T3856="BYPASS",IF(NOT(ISNUMBER(Q3856)),"PreV_ETB missing","End_tr_balance missing"),IF(T3856="FAIL",IF(AND(ISNUMBER(K3856),ISNUMBER(L3856),ABS(L3856-(K3856-IF(ISNUMBER(N3856),N3856,0)-IF(ISNUMBER(O3856),O3856,0)+IF(ISNUMBER(P3856),P3856,0)))&lt;=Summary!$B$2),"Passes using beginning_balance - PreV_ETB differs from beginning_balance",IF(AND(ISNUMBER(O3856),O3856&lt;0,ABS(L3856-(Q3856-IF(ISNUMBER(N3856),N3856,0)+IF(ISNUMBER(P3856),P3856,0)))&lt;=Summary!$B$2),"Negative realized loss not applied - check sign",IF(R3856&lt;0,"Principal paid exceeds prior balance",IF(AND(L3856&gt;Q3856,NOT(ISNUMBER(P3856))),"Balance increased but no Deferred_interest reported",IF(L3856&gt;R3856,"Reported balance higher than expected (missing increase/OC build)","Reported balance lower than expected (missing decrease)"))))),""))</f>
        <v/>
      </c>
    </row>
    <row r="3857" customFormat="false" ht="15" hidden="false" customHeight="false" outlineLevel="0" collapsed="false">
      <c r="A3857" s="8"/>
      <c r="B3857" s="8"/>
      <c r="C3857" s="8"/>
      <c r="D3857" s="8"/>
      <c r="E3857" s="8"/>
      <c r="F3857" s="8"/>
      <c r="G3857" s="8"/>
      <c r="H3857" s="8"/>
      <c r="I3857" s="8"/>
      <c r="J3857" s="8"/>
      <c r="K3857" s="9"/>
      <c r="L3857" s="9"/>
      <c r="M3857" s="9"/>
      <c r="N3857" s="9"/>
      <c r="O3857" s="9"/>
      <c r="P3857" s="9"/>
      <c r="Q3857" s="9"/>
      <c r="R3857" s="9" t="str">
        <f aca="false">IF(AND(A3857&lt;&gt;"",ISNUMBER(Q3857),ISNUMBER(L3857)),ROUND(Q3857-IF(ISNUMBER(N3857),N3857,0)-IF(ISNUMBER(O3857),O3857,0)+IF(ISNUMBER(P3857),P3857,0),2),"")</f>
        <v/>
      </c>
      <c r="S3857" s="9" t="str">
        <f aca="false">IF(R3857="","",ROUND(L3857-R3857,2))</f>
        <v/>
      </c>
      <c r="T3857" s="8" t="str">
        <f aca="false">IF(A3857="","",IF(S3857="","BYPASS",IF(ABS(S3857)&lt;=Summary!$B$2,"PASS","FAIL")))</f>
        <v/>
      </c>
      <c r="U3857" s="8" t="str">
        <f aca="false">IF(T3857="BYPASS",IF(NOT(ISNUMBER(Q3857)),"PreV_ETB missing","End_tr_balance missing"),IF(T3857="FAIL",IF(AND(ISNUMBER(K3857),ISNUMBER(L3857),ABS(L3857-(K3857-IF(ISNUMBER(N3857),N3857,0)-IF(ISNUMBER(O3857),O3857,0)+IF(ISNUMBER(P3857),P3857,0)))&lt;=Summary!$B$2),"Passes using beginning_balance - PreV_ETB differs from beginning_balance",IF(AND(ISNUMBER(O3857),O3857&lt;0,ABS(L3857-(Q3857-IF(ISNUMBER(N3857),N3857,0)+IF(ISNUMBER(P3857),P3857,0)))&lt;=Summary!$B$2),"Negative realized loss not applied - check sign",IF(R3857&lt;0,"Principal paid exceeds prior balance",IF(AND(L3857&gt;Q3857,NOT(ISNUMBER(P3857))),"Balance increased but no Deferred_interest reported",IF(L3857&gt;R3857,"Reported balance higher than expected (missing increase/OC build)","Reported balance lower than expected (missing decrease)"))))),""))</f>
        <v/>
      </c>
    </row>
    <row r="3858" customFormat="false" ht="15" hidden="false" customHeight="false" outlineLevel="0" collapsed="false">
      <c r="A3858" s="8"/>
      <c r="B3858" s="8"/>
      <c r="C3858" s="8"/>
      <c r="D3858" s="8"/>
      <c r="E3858" s="8"/>
      <c r="F3858" s="8"/>
      <c r="G3858" s="8"/>
      <c r="H3858" s="8"/>
      <c r="I3858" s="8"/>
      <c r="J3858" s="8"/>
      <c r="K3858" s="9"/>
      <c r="L3858" s="9"/>
      <c r="M3858" s="9"/>
      <c r="N3858" s="9"/>
      <c r="O3858" s="9"/>
      <c r="P3858" s="9"/>
      <c r="Q3858" s="9"/>
      <c r="R3858" s="9" t="str">
        <f aca="false">IF(AND(A3858&lt;&gt;"",ISNUMBER(Q3858),ISNUMBER(L3858)),ROUND(Q3858-IF(ISNUMBER(N3858),N3858,0)-IF(ISNUMBER(O3858),O3858,0)+IF(ISNUMBER(P3858),P3858,0),2),"")</f>
        <v/>
      </c>
      <c r="S3858" s="9" t="str">
        <f aca="false">IF(R3858="","",ROUND(L3858-R3858,2))</f>
        <v/>
      </c>
      <c r="T3858" s="8" t="str">
        <f aca="false">IF(A3858="","",IF(S3858="","BYPASS",IF(ABS(S3858)&lt;=Summary!$B$2,"PASS","FAIL")))</f>
        <v/>
      </c>
      <c r="U3858" s="8" t="str">
        <f aca="false">IF(T3858="BYPASS",IF(NOT(ISNUMBER(Q3858)),"PreV_ETB missing","End_tr_balance missing"),IF(T3858="FAIL",IF(AND(ISNUMBER(K3858),ISNUMBER(L3858),ABS(L3858-(K3858-IF(ISNUMBER(N3858),N3858,0)-IF(ISNUMBER(O3858),O3858,0)+IF(ISNUMBER(P3858),P3858,0)))&lt;=Summary!$B$2),"Passes using beginning_balance - PreV_ETB differs from beginning_balance",IF(AND(ISNUMBER(O3858),O3858&lt;0,ABS(L3858-(Q3858-IF(ISNUMBER(N3858),N3858,0)+IF(ISNUMBER(P3858),P3858,0)))&lt;=Summary!$B$2),"Negative realized loss not applied - check sign",IF(R3858&lt;0,"Principal paid exceeds prior balance",IF(AND(L3858&gt;Q3858,NOT(ISNUMBER(P3858))),"Balance increased but no Deferred_interest reported",IF(L3858&gt;R3858,"Reported balance higher than expected (missing increase/OC build)","Reported balance lower than expected (missing decrease)"))))),""))</f>
        <v/>
      </c>
    </row>
    <row r="3859" customFormat="false" ht="15" hidden="false" customHeight="false" outlineLevel="0" collapsed="false">
      <c r="A3859" s="8"/>
      <c r="B3859" s="8"/>
      <c r="C3859" s="8"/>
      <c r="D3859" s="8"/>
      <c r="E3859" s="8"/>
      <c r="F3859" s="8"/>
      <c r="G3859" s="8"/>
      <c r="H3859" s="8"/>
      <c r="I3859" s="8"/>
      <c r="J3859" s="8"/>
      <c r="K3859" s="9"/>
      <c r="L3859" s="9"/>
      <c r="M3859" s="9"/>
      <c r="N3859" s="9"/>
      <c r="O3859" s="9"/>
      <c r="P3859" s="9"/>
      <c r="Q3859" s="9"/>
      <c r="R3859" s="9" t="str">
        <f aca="false">IF(AND(A3859&lt;&gt;"",ISNUMBER(Q3859),ISNUMBER(L3859)),ROUND(Q3859-IF(ISNUMBER(N3859),N3859,0)-IF(ISNUMBER(O3859),O3859,0)+IF(ISNUMBER(P3859),P3859,0),2),"")</f>
        <v/>
      </c>
      <c r="S3859" s="9" t="str">
        <f aca="false">IF(R3859="","",ROUND(L3859-R3859,2))</f>
        <v/>
      </c>
      <c r="T3859" s="8" t="str">
        <f aca="false">IF(A3859="","",IF(S3859="","BYPASS",IF(ABS(S3859)&lt;=Summary!$B$2,"PASS","FAIL")))</f>
        <v/>
      </c>
      <c r="U3859" s="8" t="str">
        <f aca="false">IF(T3859="BYPASS",IF(NOT(ISNUMBER(Q3859)),"PreV_ETB missing","End_tr_balance missing"),IF(T3859="FAIL",IF(AND(ISNUMBER(K3859),ISNUMBER(L3859),ABS(L3859-(K3859-IF(ISNUMBER(N3859),N3859,0)-IF(ISNUMBER(O3859),O3859,0)+IF(ISNUMBER(P3859),P3859,0)))&lt;=Summary!$B$2),"Passes using beginning_balance - PreV_ETB differs from beginning_balance",IF(AND(ISNUMBER(O3859),O3859&lt;0,ABS(L3859-(Q3859-IF(ISNUMBER(N3859),N3859,0)+IF(ISNUMBER(P3859),P3859,0)))&lt;=Summary!$B$2),"Negative realized loss not applied - check sign",IF(R3859&lt;0,"Principal paid exceeds prior balance",IF(AND(L3859&gt;Q3859,NOT(ISNUMBER(P3859))),"Balance increased but no Deferred_interest reported",IF(L3859&gt;R3859,"Reported balance higher than expected (missing increase/OC build)","Reported balance lower than expected (missing decrease)"))))),""))</f>
        <v/>
      </c>
    </row>
    <row r="3860" customFormat="false" ht="15" hidden="false" customHeight="false" outlineLevel="0" collapsed="false">
      <c r="A3860" s="8"/>
      <c r="B3860" s="8"/>
      <c r="C3860" s="8"/>
      <c r="D3860" s="8"/>
      <c r="E3860" s="8"/>
      <c r="F3860" s="8"/>
      <c r="G3860" s="8"/>
      <c r="H3860" s="8"/>
      <c r="I3860" s="8"/>
      <c r="J3860" s="8"/>
      <c r="K3860" s="9"/>
      <c r="L3860" s="9"/>
      <c r="M3860" s="9"/>
      <c r="N3860" s="9"/>
      <c r="O3860" s="9"/>
      <c r="P3860" s="9"/>
      <c r="Q3860" s="9"/>
      <c r="R3860" s="9" t="str">
        <f aca="false">IF(AND(A3860&lt;&gt;"",ISNUMBER(Q3860),ISNUMBER(L3860)),ROUND(Q3860-IF(ISNUMBER(N3860),N3860,0)-IF(ISNUMBER(O3860),O3860,0)+IF(ISNUMBER(P3860),P3860,0),2),"")</f>
        <v/>
      </c>
      <c r="S3860" s="9" t="str">
        <f aca="false">IF(R3860="","",ROUND(L3860-R3860,2))</f>
        <v/>
      </c>
      <c r="T3860" s="8" t="str">
        <f aca="false">IF(A3860="","",IF(S3860="","BYPASS",IF(ABS(S3860)&lt;=Summary!$B$2,"PASS","FAIL")))</f>
        <v/>
      </c>
      <c r="U3860" s="8" t="str">
        <f aca="false">IF(T3860="BYPASS",IF(NOT(ISNUMBER(Q3860)),"PreV_ETB missing","End_tr_balance missing"),IF(T3860="FAIL",IF(AND(ISNUMBER(K3860),ISNUMBER(L3860),ABS(L3860-(K3860-IF(ISNUMBER(N3860),N3860,0)-IF(ISNUMBER(O3860),O3860,0)+IF(ISNUMBER(P3860),P3860,0)))&lt;=Summary!$B$2),"Passes using beginning_balance - PreV_ETB differs from beginning_balance",IF(AND(ISNUMBER(O3860),O3860&lt;0,ABS(L3860-(Q3860-IF(ISNUMBER(N3860),N3860,0)+IF(ISNUMBER(P3860),P3860,0)))&lt;=Summary!$B$2),"Negative realized loss not applied - check sign",IF(R3860&lt;0,"Principal paid exceeds prior balance",IF(AND(L3860&gt;Q3860,NOT(ISNUMBER(P3860))),"Balance increased but no Deferred_interest reported",IF(L3860&gt;R3860,"Reported balance higher than expected (missing increase/OC build)","Reported balance lower than expected (missing decrease)"))))),""))</f>
        <v/>
      </c>
    </row>
    <row r="3861" customFormat="false" ht="15" hidden="false" customHeight="false" outlineLevel="0" collapsed="false">
      <c r="A3861" s="8"/>
      <c r="B3861" s="8"/>
      <c r="C3861" s="8"/>
      <c r="D3861" s="8"/>
      <c r="E3861" s="8"/>
      <c r="F3861" s="8"/>
      <c r="G3861" s="8"/>
      <c r="H3861" s="8"/>
      <c r="I3861" s="8"/>
      <c r="J3861" s="8"/>
      <c r="K3861" s="9"/>
      <c r="L3861" s="9"/>
      <c r="M3861" s="9"/>
      <c r="N3861" s="9"/>
      <c r="O3861" s="9"/>
      <c r="P3861" s="9"/>
      <c r="Q3861" s="9"/>
      <c r="R3861" s="9" t="str">
        <f aca="false">IF(AND(A3861&lt;&gt;"",ISNUMBER(Q3861),ISNUMBER(L3861)),ROUND(Q3861-IF(ISNUMBER(N3861),N3861,0)-IF(ISNUMBER(O3861),O3861,0)+IF(ISNUMBER(P3861),P3861,0),2),"")</f>
        <v/>
      </c>
      <c r="S3861" s="9" t="str">
        <f aca="false">IF(R3861="","",ROUND(L3861-R3861,2))</f>
        <v/>
      </c>
      <c r="T3861" s="8" t="str">
        <f aca="false">IF(A3861="","",IF(S3861="","BYPASS",IF(ABS(S3861)&lt;=Summary!$B$2,"PASS","FAIL")))</f>
        <v/>
      </c>
      <c r="U3861" s="8" t="str">
        <f aca="false">IF(T3861="BYPASS",IF(NOT(ISNUMBER(Q3861)),"PreV_ETB missing","End_tr_balance missing"),IF(T3861="FAIL",IF(AND(ISNUMBER(K3861),ISNUMBER(L3861),ABS(L3861-(K3861-IF(ISNUMBER(N3861),N3861,0)-IF(ISNUMBER(O3861),O3861,0)+IF(ISNUMBER(P3861),P3861,0)))&lt;=Summary!$B$2),"Passes using beginning_balance - PreV_ETB differs from beginning_balance",IF(AND(ISNUMBER(O3861),O3861&lt;0,ABS(L3861-(Q3861-IF(ISNUMBER(N3861),N3861,0)+IF(ISNUMBER(P3861),P3861,0)))&lt;=Summary!$B$2),"Negative realized loss not applied - check sign",IF(R3861&lt;0,"Principal paid exceeds prior balance",IF(AND(L3861&gt;Q3861,NOT(ISNUMBER(P3861))),"Balance increased but no Deferred_interest reported",IF(L3861&gt;R3861,"Reported balance higher than expected (missing increase/OC build)","Reported balance lower than expected (missing decrease)"))))),""))</f>
        <v/>
      </c>
    </row>
    <row r="3862" customFormat="false" ht="15" hidden="false" customHeight="false" outlineLevel="0" collapsed="false">
      <c r="A3862" s="8"/>
      <c r="B3862" s="8"/>
      <c r="C3862" s="8"/>
      <c r="D3862" s="8"/>
      <c r="E3862" s="8"/>
      <c r="F3862" s="8"/>
      <c r="G3862" s="8"/>
      <c r="H3862" s="8"/>
      <c r="I3862" s="8"/>
      <c r="J3862" s="8"/>
      <c r="K3862" s="9"/>
      <c r="L3862" s="9"/>
      <c r="M3862" s="9"/>
      <c r="N3862" s="9"/>
      <c r="O3862" s="9"/>
      <c r="P3862" s="9"/>
      <c r="Q3862" s="9"/>
      <c r="R3862" s="9" t="str">
        <f aca="false">IF(AND(A3862&lt;&gt;"",ISNUMBER(Q3862),ISNUMBER(L3862)),ROUND(Q3862-IF(ISNUMBER(N3862),N3862,0)-IF(ISNUMBER(O3862),O3862,0)+IF(ISNUMBER(P3862),P3862,0),2),"")</f>
        <v/>
      </c>
      <c r="S3862" s="9" t="str">
        <f aca="false">IF(R3862="","",ROUND(L3862-R3862,2))</f>
        <v/>
      </c>
      <c r="T3862" s="8" t="str">
        <f aca="false">IF(A3862="","",IF(S3862="","BYPASS",IF(ABS(S3862)&lt;=Summary!$B$2,"PASS","FAIL")))</f>
        <v/>
      </c>
      <c r="U3862" s="8" t="str">
        <f aca="false">IF(T3862="BYPASS",IF(NOT(ISNUMBER(Q3862)),"PreV_ETB missing","End_tr_balance missing"),IF(T3862="FAIL",IF(AND(ISNUMBER(K3862),ISNUMBER(L3862),ABS(L3862-(K3862-IF(ISNUMBER(N3862),N3862,0)-IF(ISNUMBER(O3862),O3862,0)+IF(ISNUMBER(P3862),P3862,0)))&lt;=Summary!$B$2),"Passes using beginning_balance - PreV_ETB differs from beginning_balance",IF(AND(ISNUMBER(O3862),O3862&lt;0,ABS(L3862-(Q3862-IF(ISNUMBER(N3862),N3862,0)+IF(ISNUMBER(P3862),P3862,0)))&lt;=Summary!$B$2),"Negative realized loss not applied - check sign",IF(R3862&lt;0,"Principal paid exceeds prior balance",IF(AND(L3862&gt;Q3862,NOT(ISNUMBER(P3862))),"Balance increased but no Deferred_interest reported",IF(L3862&gt;R3862,"Reported balance higher than expected (missing increase/OC build)","Reported balance lower than expected (missing decrease)"))))),""))</f>
        <v/>
      </c>
    </row>
    <row r="3863" customFormat="false" ht="15" hidden="false" customHeight="false" outlineLevel="0" collapsed="false">
      <c r="A3863" s="8"/>
      <c r="B3863" s="8"/>
      <c r="C3863" s="8"/>
      <c r="D3863" s="8"/>
      <c r="E3863" s="8"/>
      <c r="F3863" s="8"/>
      <c r="G3863" s="8"/>
      <c r="H3863" s="8"/>
      <c r="I3863" s="8"/>
      <c r="J3863" s="8"/>
      <c r="K3863" s="9"/>
      <c r="L3863" s="9"/>
      <c r="M3863" s="9"/>
      <c r="N3863" s="9"/>
      <c r="O3863" s="9"/>
      <c r="P3863" s="9"/>
      <c r="Q3863" s="9"/>
      <c r="R3863" s="9" t="str">
        <f aca="false">IF(AND(A3863&lt;&gt;"",ISNUMBER(Q3863),ISNUMBER(L3863)),ROUND(Q3863-IF(ISNUMBER(N3863),N3863,0)-IF(ISNUMBER(O3863),O3863,0)+IF(ISNUMBER(P3863),P3863,0),2),"")</f>
        <v/>
      </c>
      <c r="S3863" s="9" t="str">
        <f aca="false">IF(R3863="","",ROUND(L3863-R3863,2))</f>
        <v/>
      </c>
      <c r="T3863" s="8" t="str">
        <f aca="false">IF(A3863="","",IF(S3863="","BYPASS",IF(ABS(S3863)&lt;=Summary!$B$2,"PASS","FAIL")))</f>
        <v/>
      </c>
      <c r="U3863" s="8" t="str">
        <f aca="false">IF(T3863="BYPASS",IF(NOT(ISNUMBER(Q3863)),"PreV_ETB missing","End_tr_balance missing"),IF(T3863="FAIL",IF(AND(ISNUMBER(K3863),ISNUMBER(L3863),ABS(L3863-(K3863-IF(ISNUMBER(N3863),N3863,0)-IF(ISNUMBER(O3863),O3863,0)+IF(ISNUMBER(P3863),P3863,0)))&lt;=Summary!$B$2),"Passes using beginning_balance - PreV_ETB differs from beginning_balance",IF(AND(ISNUMBER(O3863),O3863&lt;0,ABS(L3863-(Q3863-IF(ISNUMBER(N3863),N3863,0)+IF(ISNUMBER(P3863),P3863,0)))&lt;=Summary!$B$2),"Negative realized loss not applied - check sign",IF(R3863&lt;0,"Principal paid exceeds prior balance",IF(AND(L3863&gt;Q3863,NOT(ISNUMBER(P3863))),"Balance increased but no Deferred_interest reported",IF(L3863&gt;R3863,"Reported balance higher than expected (missing increase/OC build)","Reported balance lower than expected (missing decrease)"))))),""))</f>
        <v/>
      </c>
    </row>
    <row r="3864" customFormat="false" ht="15" hidden="false" customHeight="false" outlineLevel="0" collapsed="false">
      <c r="A3864" s="8"/>
      <c r="B3864" s="8"/>
      <c r="C3864" s="8"/>
      <c r="D3864" s="8"/>
      <c r="E3864" s="8"/>
      <c r="F3864" s="8"/>
      <c r="G3864" s="8"/>
      <c r="H3864" s="8"/>
      <c r="I3864" s="8"/>
      <c r="J3864" s="8"/>
      <c r="K3864" s="9"/>
      <c r="L3864" s="9"/>
      <c r="M3864" s="9"/>
      <c r="N3864" s="9"/>
      <c r="O3864" s="9"/>
      <c r="P3864" s="9"/>
      <c r="Q3864" s="9"/>
      <c r="R3864" s="9" t="str">
        <f aca="false">IF(AND(A3864&lt;&gt;"",ISNUMBER(Q3864),ISNUMBER(L3864)),ROUND(Q3864-IF(ISNUMBER(N3864),N3864,0)-IF(ISNUMBER(O3864),O3864,0)+IF(ISNUMBER(P3864),P3864,0),2),"")</f>
        <v/>
      </c>
      <c r="S3864" s="9" t="str">
        <f aca="false">IF(R3864="","",ROUND(L3864-R3864,2))</f>
        <v/>
      </c>
      <c r="T3864" s="8" t="str">
        <f aca="false">IF(A3864="","",IF(S3864="","BYPASS",IF(ABS(S3864)&lt;=Summary!$B$2,"PASS","FAIL")))</f>
        <v/>
      </c>
      <c r="U3864" s="8" t="str">
        <f aca="false">IF(T3864="BYPASS",IF(NOT(ISNUMBER(Q3864)),"PreV_ETB missing","End_tr_balance missing"),IF(T3864="FAIL",IF(AND(ISNUMBER(K3864),ISNUMBER(L3864),ABS(L3864-(K3864-IF(ISNUMBER(N3864),N3864,0)-IF(ISNUMBER(O3864),O3864,0)+IF(ISNUMBER(P3864),P3864,0)))&lt;=Summary!$B$2),"Passes using beginning_balance - PreV_ETB differs from beginning_balance",IF(AND(ISNUMBER(O3864),O3864&lt;0,ABS(L3864-(Q3864-IF(ISNUMBER(N3864),N3864,0)+IF(ISNUMBER(P3864),P3864,0)))&lt;=Summary!$B$2),"Negative realized loss not applied - check sign",IF(R3864&lt;0,"Principal paid exceeds prior balance",IF(AND(L3864&gt;Q3864,NOT(ISNUMBER(P3864))),"Balance increased but no Deferred_interest reported",IF(L3864&gt;R3864,"Reported balance higher than expected (missing increase/OC build)","Reported balance lower than expected (missing decrease)"))))),""))</f>
        <v/>
      </c>
    </row>
    <row r="3865" customFormat="false" ht="15" hidden="false" customHeight="false" outlineLevel="0" collapsed="false">
      <c r="A3865" s="8"/>
      <c r="B3865" s="8"/>
      <c r="C3865" s="8"/>
      <c r="D3865" s="8"/>
      <c r="E3865" s="8"/>
      <c r="F3865" s="8"/>
      <c r="G3865" s="8"/>
      <c r="H3865" s="8"/>
      <c r="I3865" s="8"/>
      <c r="J3865" s="8"/>
      <c r="K3865" s="9"/>
      <c r="L3865" s="9"/>
      <c r="M3865" s="9"/>
      <c r="N3865" s="9"/>
      <c r="O3865" s="9"/>
      <c r="P3865" s="9"/>
      <c r="Q3865" s="9"/>
      <c r="R3865" s="9" t="str">
        <f aca="false">IF(AND(A3865&lt;&gt;"",ISNUMBER(Q3865),ISNUMBER(L3865)),ROUND(Q3865-IF(ISNUMBER(N3865),N3865,0)-IF(ISNUMBER(O3865),O3865,0)+IF(ISNUMBER(P3865),P3865,0),2),"")</f>
        <v/>
      </c>
      <c r="S3865" s="9" t="str">
        <f aca="false">IF(R3865="","",ROUND(L3865-R3865,2))</f>
        <v/>
      </c>
      <c r="T3865" s="8" t="str">
        <f aca="false">IF(A3865="","",IF(S3865="","BYPASS",IF(ABS(S3865)&lt;=Summary!$B$2,"PASS","FAIL")))</f>
        <v/>
      </c>
      <c r="U3865" s="8" t="str">
        <f aca="false">IF(T3865="BYPASS",IF(NOT(ISNUMBER(Q3865)),"PreV_ETB missing","End_tr_balance missing"),IF(T3865="FAIL",IF(AND(ISNUMBER(K3865),ISNUMBER(L3865),ABS(L3865-(K3865-IF(ISNUMBER(N3865),N3865,0)-IF(ISNUMBER(O3865),O3865,0)+IF(ISNUMBER(P3865),P3865,0)))&lt;=Summary!$B$2),"Passes using beginning_balance - PreV_ETB differs from beginning_balance",IF(AND(ISNUMBER(O3865),O3865&lt;0,ABS(L3865-(Q3865-IF(ISNUMBER(N3865),N3865,0)+IF(ISNUMBER(P3865),P3865,0)))&lt;=Summary!$B$2),"Negative realized loss not applied - check sign",IF(R3865&lt;0,"Principal paid exceeds prior balance",IF(AND(L3865&gt;Q3865,NOT(ISNUMBER(P3865))),"Balance increased but no Deferred_interest reported",IF(L3865&gt;R3865,"Reported balance higher than expected (missing increase/OC build)","Reported balance lower than expected (missing decrease)"))))),""))</f>
        <v/>
      </c>
    </row>
    <row r="3866" customFormat="false" ht="15" hidden="false" customHeight="false" outlineLevel="0" collapsed="false">
      <c r="A3866" s="8"/>
      <c r="B3866" s="8"/>
      <c r="C3866" s="8"/>
      <c r="D3866" s="8"/>
      <c r="E3866" s="8"/>
      <c r="F3866" s="8"/>
      <c r="G3866" s="8"/>
      <c r="H3866" s="8"/>
      <c r="I3866" s="8"/>
      <c r="J3866" s="8"/>
      <c r="K3866" s="9"/>
      <c r="L3866" s="9"/>
      <c r="M3866" s="9"/>
      <c r="N3866" s="9"/>
      <c r="O3866" s="9"/>
      <c r="P3866" s="9"/>
      <c r="Q3866" s="9"/>
      <c r="R3866" s="9" t="str">
        <f aca="false">IF(AND(A3866&lt;&gt;"",ISNUMBER(Q3866),ISNUMBER(L3866)),ROUND(Q3866-IF(ISNUMBER(N3866),N3866,0)-IF(ISNUMBER(O3866),O3866,0)+IF(ISNUMBER(P3866),P3866,0),2),"")</f>
        <v/>
      </c>
      <c r="S3866" s="9" t="str">
        <f aca="false">IF(R3866="","",ROUND(L3866-R3866,2))</f>
        <v/>
      </c>
      <c r="T3866" s="8" t="str">
        <f aca="false">IF(A3866="","",IF(S3866="","BYPASS",IF(ABS(S3866)&lt;=Summary!$B$2,"PASS","FAIL")))</f>
        <v/>
      </c>
      <c r="U3866" s="8" t="str">
        <f aca="false">IF(T3866="BYPASS",IF(NOT(ISNUMBER(Q3866)),"PreV_ETB missing","End_tr_balance missing"),IF(T3866="FAIL",IF(AND(ISNUMBER(K3866),ISNUMBER(L3866),ABS(L3866-(K3866-IF(ISNUMBER(N3866),N3866,0)-IF(ISNUMBER(O3866),O3866,0)+IF(ISNUMBER(P3866),P3866,0)))&lt;=Summary!$B$2),"Passes using beginning_balance - PreV_ETB differs from beginning_balance",IF(AND(ISNUMBER(O3866),O3866&lt;0,ABS(L3866-(Q3866-IF(ISNUMBER(N3866),N3866,0)+IF(ISNUMBER(P3866),P3866,0)))&lt;=Summary!$B$2),"Negative realized loss not applied - check sign",IF(R3866&lt;0,"Principal paid exceeds prior balance",IF(AND(L3866&gt;Q3866,NOT(ISNUMBER(P3866))),"Balance increased but no Deferred_interest reported",IF(L3866&gt;R3866,"Reported balance higher than expected (missing increase/OC build)","Reported balance lower than expected (missing decrease)"))))),""))</f>
        <v/>
      </c>
    </row>
    <row r="3867" customFormat="false" ht="15" hidden="false" customHeight="false" outlineLevel="0" collapsed="false">
      <c r="A3867" s="8"/>
      <c r="B3867" s="8"/>
      <c r="C3867" s="8"/>
      <c r="D3867" s="8"/>
      <c r="E3867" s="8"/>
      <c r="F3867" s="8"/>
      <c r="G3867" s="8"/>
      <c r="H3867" s="8"/>
      <c r="I3867" s="8"/>
      <c r="J3867" s="8"/>
      <c r="K3867" s="9"/>
      <c r="L3867" s="9"/>
      <c r="M3867" s="9"/>
      <c r="N3867" s="9"/>
      <c r="O3867" s="9"/>
      <c r="P3867" s="9"/>
      <c r="Q3867" s="9"/>
      <c r="R3867" s="9" t="str">
        <f aca="false">IF(AND(A3867&lt;&gt;"",ISNUMBER(Q3867),ISNUMBER(L3867)),ROUND(Q3867-IF(ISNUMBER(N3867),N3867,0)-IF(ISNUMBER(O3867),O3867,0)+IF(ISNUMBER(P3867),P3867,0),2),"")</f>
        <v/>
      </c>
      <c r="S3867" s="9" t="str">
        <f aca="false">IF(R3867="","",ROUND(L3867-R3867,2))</f>
        <v/>
      </c>
      <c r="T3867" s="8" t="str">
        <f aca="false">IF(A3867="","",IF(S3867="","BYPASS",IF(ABS(S3867)&lt;=Summary!$B$2,"PASS","FAIL")))</f>
        <v/>
      </c>
      <c r="U3867" s="8" t="str">
        <f aca="false">IF(T3867="BYPASS",IF(NOT(ISNUMBER(Q3867)),"PreV_ETB missing","End_tr_balance missing"),IF(T3867="FAIL",IF(AND(ISNUMBER(K3867),ISNUMBER(L3867),ABS(L3867-(K3867-IF(ISNUMBER(N3867),N3867,0)-IF(ISNUMBER(O3867),O3867,0)+IF(ISNUMBER(P3867),P3867,0)))&lt;=Summary!$B$2),"Passes using beginning_balance - PreV_ETB differs from beginning_balance",IF(AND(ISNUMBER(O3867),O3867&lt;0,ABS(L3867-(Q3867-IF(ISNUMBER(N3867),N3867,0)+IF(ISNUMBER(P3867),P3867,0)))&lt;=Summary!$B$2),"Negative realized loss not applied - check sign",IF(R3867&lt;0,"Principal paid exceeds prior balance",IF(AND(L3867&gt;Q3867,NOT(ISNUMBER(P3867))),"Balance increased but no Deferred_interest reported",IF(L3867&gt;R3867,"Reported balance higher than expected (missing increase/OC build)","Reported balance lower than expected (missing decrease)"))))),""))</f>
        <v/>
      </c>
    </row>
    <row r="3868" customFormat="false" ht="15" hidden="false" customHeight="false" outlineLevel="0" collapsed="false">
      <c r="A3868" s="8"/>
      <c r="B3868" s="8"/>
      <c r="C3868" s="8"/>
      <c r="D3868" s="8"/>
      <c r="E3868" s="8"/>
      <c r="F3868" s="8"/>
      <c r="G3868" s="8"/>
      <c r="H3868" s="8"/>
      <c r="I3868" s="8"/>
      <c r="J3868" s="8"/>
      <c r="K3868" s="9"/>
      <c r="L3868" s="9"/>
      <c r="M3868" s="9"/>
      <c r="N3868" s="9"/>
      <c r="O3868" s="9"/>
      <c r="P3868" s="9"/>
      <c r="Q3868" s="9"/>
      <c r="R3868" s="9" t="str">
        <f aca="false">IF(AND(A3868&lt;&gt;"",ISNUMBER(Q3868),ISNUMBER(L3868)),ROUND(Q3868-IF(ISNUMBER(N3868),N3868,0)-IF(ISNUMBER(O3868),O3868,0)+IF(ISNUMBER(P3868),P3868,0),2),"")</f>
        <v/>
      </c>
      <c r="S3868" s="9" t="str">
        <f aca="false">IF(R3868="","",ROUND(L3868-R3868,2))</f>
        <v/>
      </c>
      <c r="T3868" s="8" t="str">
        <f aca="false">IF(A3868="","",IF(S3868="","BYPASS",IF(ABS(S3868)&lt;=Summary!$B$2,"PASS","FAIL")))</f>
        <v/>
      </c>
      <c r="U3868" s="8" t="str">
        <f aca="false">IF(T3868="BYPASS",IF(NOT(ISNUMBER(Q3868)),"PreV_ETB missing","End_tr_balance missing"),IF(T3868="FAIL",IF(AND(ISNUMBER(K3868),ISNUMBER(L3868),ABS(L3868-(K3868-IF(ISNUMBER(N3868),N3868,0)-IF(ISNUMBER(O3868),O3868,0)+IF(ISNUMBER(P3868),P3868,0)))&lt;=Summary!$B$2),"Passes using beginning_balance - PreV_ETB differs from beginning_balance",IF(AND(ISNUMBER(O3868),O3868&lt;0,ABS(L3868-(Q3868-IF(ISNUMBER(N3868),N3868,0)+IF(ISNUMBER(P3868),P3868,0)))&lt;=Summary!$B$2),"Negative realized loss not applied - check sign",IF(R3868&lt;0,"Principal paid exceeds prior balance",IF(AND(L3868&gt;Q3868,NOT(ISNUMBER(P3868))),"Balance increased but no Deferred_interest reported",IF(L3868&gt;R3868,"Reported balance higher than expected (missing increase/OC build)","Reported balance lower than expected (missing decrease)"))))),""))</f>
        <v/>
      </c>
    </row>
    <row r="3869" customFormat="false" ht="15" hidden="false" customHeight="false" outlineLevel="0" collapsed="false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9"/>
      <c r="L3869" s="9"/>
      <c r="M3869" s="9"/>
      <c r="N3869" s="9"/>
      <c r="O3869" s="9"/>
      <c r="P3869" s="9"/>
      <c r="Q3869" s="9"/>
      <c r="R3869" s="9" t="str">
        <f aca="false">IF(AND(A3869&lt;&gt;"",ISNUMBER(Q3869),ISNUMBER(L3869)),ROUND(Q3869-IF(ISNUMBER(N3869),N3869,0)-IF(ISNUMBER(O3869),O3869,0)+IF(ISNUMBER(P3869),P3869,0),2),"")</f>
        <v/>
      </c>
      <c r="S3869" s="9" t="str">
        <f aca="false">IF(R3869="","",ROUND(L3869-R3869,2))</f>
        <v/>
      </c>
      <c r="T3869" s="8" t="str">
        <f aca="false">IF(A3869="","",IF(S3869="","BYPASS",IF(ABS(S3869)&lt;=Summary!$B$2,"PASS","FAIL")))</f>
        <v/>
      </c>
      <c r="U3869" s="8" t="str">
        <f aca="false">IF(T3869="BYPASS",IF(NOT(ISNUMBER(Q3869)),"PreV_ETB missing","End_tr_balance missing"),IF(T3869="FAIL",IF(AND(ISNUMBER(K3869),ISNUMBER(L3869),ABS(L3869-(K3869-IF(ISNUMBER(N3869),N3869,0)-IF(ISNUMBER(O3869),O3869,0)+IF(ISNUMBER(P3869),P3869,0)))&lt;=Summary!$B$2),"Passes using beginning_balance - PreV_ETB differs from beginning_balance",IF(AND(ISNUMBER(O3869),O3869&lt;0,ABS(L3869-(Q3869-IF(ISNUMBER(N3869),N3869,0)+IF(ISNUMBER(P3869),P3869,0)))&lt;=Summary!$B$2),"Negative realized loss not applied - check sign",IF(R3869&lt;0,"Principal paid exceeds prior balance",IF(AND(L3869&gt;Q3869,NOT(ISNUMBER(P3869))),"Balance increased but no Deferred_interest reported",IF(L3869&gt;R3869,"Reported balance higher than expected (missing increase/OC build)","Reported balance lower than expected (missing decrease)"))))),""))</f>
        <v/>
      </c>
    </row>
    <row r="3870" customFormat="false" ht="15" hidden="false" customHeight="false" outlineLevel="0" collapsed="false">
      <c r="A3870" s="8"/>
      <c r="B3870" s="8"/>
      <c r="C3870" s="8"/>
      <c r="D3870" s="8"/>
      <c r="E3870" s="8"/>
      <c r="F3870" s="8"/>
      <c r="G3870" s="8"/>
      <c r="H3870" s="8"/>
      <c r="I3870" s="8"/>
      <c r="J3870" s="8"/>
      <c r="K3870" s="9"/>
      <c r="L3870" s="9"/>
      <c r="M3870" s="9"/>
      <c r="N3870" s="9"/>
      <c r="O3870" s="9"/>
      <c r="P3870" s="9"/>
      <c r="Q3870" s="9"/>
      <c r="R3870" s="9" t="str">
        <f aca="false">IF(AND(A3870&lt;&gt;"",ISNUMBER(Q3870),ISNUMBER(L3870)),ROUND(Q3870-IF(ISNUMBER(N3870),N3870,0)-IF(ISNUMBER(O3870),O3870,0)+IF(ISNUMBER(P3870),P3870,0),2),"")</f>
        <v/>
      </c>
      <c r="S3870" s="9" t="str">
        <f aca="false">IF(R3870="","",ROUND(L3870-R3870,2))</f>
        <v/>
      </c>
      <c r="T3870" s="8" t="str">
        <f aca="false">IF(A3870="","",IF(S3870="","BYPASS",IF(ABS(S3870)&lt;=Summary!$B$2,"PASS","FAIL")))</f>
        <v/>
      </c>
      <c r="U3870" s="8" t="str">
        <f aca="false">IF(T3870="BYPASS",IF(NOT(ISNUMBER(Q3870)),"PreV_ETB missing","End_tr_balance missing"),IF(T3870="FAIL",IF(AND(ISNUMBER(K3870),ISNUMBER(L3870),ABS(L3870-(K3870-IF(ISNUMBER(N3870),N3870,0)-IF(ISNUMBER(O3870),O3870,0)+IF(ISNUMBER(P3870),P3870,0)))&lt;=Summary!$B$2),"Passes using beginning_balance - PreV_ETB differs from beginning_balance",IF(AND(ISNUMBER(O3870),O3870&lt;0,ABS(L3870-(Q3870-IF(ISNUMBER(N3870),N3870,0)+IF(ISNUMBER(P3870),P3870,0)))&lt;=Summary!$B$2),"Negative realized loss not applied - check sign",IF(R3870&lt;0,"Principal paid exceeds prior balance",IF(AND(L3870&gt;Q3870,NOT(ISNUMBER(P3870))),"Balance increased but no Deferred_interest reported",IF(L3870&gt;R3870,"Reported balance higher than expected (missing increase/OC build)","Reported balance lower than expected (missing decrease)"))))),""))</f>
        <v/>
      </c>
    </row>
    <row r="3871" customFormat="false" ht="15" hidden="false" customHeight="false" outlineLevel="0" collapsed="false">
      <c r="A3871" s="8"/>
      <c r="B3871" s="8"/>
      <c r="C3871" s="8"/>
      <c r="D3871" s="8"/>
      <c r="E3871" s="8"/>
      <c r="F3871" s="8"/>
      <c r="G3871" s="8"/>
      <c r="H3871" s="8"/>
      <c r="I3871" s="8"/>
      <c r="J3871" s="8"/>
      <c r="K3871" s="9"/>
      <c r="L3871" s="9"/>
      <c r="M3871" s="9"/>
      <c r="N3871" s="9"/>
      <c r="O3871" s="9"/>
      <c r="P3871" s="9"/>
      <c r="Q3871" s="9"/>
      <c r="R3871" s="9" t="str">
        <f aca="false">IF(AND(A3871&lt;&gt;"",ISNUMBER(Q3871),ISNUMBER(L3871)),ROUND(Q3871-IF(ISNUMBER(N3871),N3871,0)-IF(ISNUMBER(O3871),O3871,0)+IF(ISNUMBER(P3871),P3871,0),2),"")</f>
        <v/>
      </c>
      <c r="S3871" s="9" t="str">
        <f aca="false">IF(R3871="","",ROUND(L3871-R3871,2))</f>
        <v/>
      </c>
      <c r="T3871" s="8" t="str">
        <f aca="false">IF(A3871="","",IF(S3871="","BYPASS",IF(ABS(S3871)&lt;=Summary!$B$2,"PASS","FAIL")))</f>
        <v/>
      </c>
      <c r="U3871" s="8" t="str">
        <f aca="false">IF(T3871="BYPASS",IF(NOT(ISNUMBER(Q3871)),"PreV_ETB missing","End_tr_balance missing"),IF(T3871="FAIL",IF(AND(ISNUMBER(K3871),ISNUMBER(L3871),ABS(L3871-(K3871-IF(ISNUMBER(N3871),N3871,0)-IF(ISNUMBER(O3871),O3871,0)+IF(ISNUMBER(P3871),P3871,0)))&lt;=Summary!$B$2),"Passes using beginning_balance - PreV_ETB differs from beginning_balance",IF(AND(ISNUMBER(O3871),O3871&lt;0,ABS(L3871-(Q3871-IF(ISNUMBER(N3871),N3871,0)+IF(ISNUMBER(P3871),P3871,0)))&lt;=Summary!$B$2),"Negative realized loss not applied - check sign",IF(R3871&lt;0,"Principal paid exceeds prior balance",IF(AND(L3871&gt;Q3871,NOT(ISNUMBER(P3871))),"Balance increased but no Deferred_interest reported",IF(L3871&gt;R3871,"Reported balance higher than expected (missing increase/OC build)","Reported balance lower than expected (missing decrease)"))))),""))</f>
        <v/>
      </c>
    </row>
    <row r="3872" customFormat="false" ht="15" hidden="false" customHeight="false" outlineLevel="0" collapsed="false">
      <c r="A3872" s="8"/>
      <c r="B3872" s="8"/>
      <c r="C3872" s="8"/>
      <c r="D3872" s="8"/>
      <c r="E3872" s="8"/>
      <c r="F3872" s="8"/>
      <c r="G3872" s="8"/>
      <c r="H3872" s="8"/>
      <c r="I3872" s="8"/>
      <c r="J3872" s="8"/>
      <c r="K3872" s="9"/>
      <c r="L3872" s="9"/>
      <c r="M3872" s="9"/>
      <c r="N3872" s="9"/>
      <c r="O3872" s="9"/>
      <c r="P3872" s="9"/>
      <c r="Q3872" s="9"/>
      <c r="R3872" s="9" t="str">
        <f aca="false">IF(AND(A3872&lt;&gt;"",ISNUMBER(Q3872),ISNUMBER(L3872)),ROUND(Q3872-IF(ISNUMBER(N3872),N3872,0)-IF(ISNUMBER(O3872),O3872,0)+IF(ISNUMBER(P3872),P3872,0),2),"")</f>
        <v/>
      </c>
      <c r="S3872" s="9" t="str">
        <f aca="false">IF(R3872="","",ROUND(L3872-R3872,2))</f>
        <v/>
      </c>
      <c r="T3872" s="8" t="str">
        <f aca="false">IF(A3872="","",IF(S3872="","BYPASS",IF(ABS(S3872)&lt;=Summary!$B$2,"PASS","FAIL")))</f>
        <v/>
      </c>
      <c r="U3872" s="8" t="str">
        <f aca="false">IF(T3872="BYPASS",IF(NOT(ISNUMBER(Q3872)),"PreV_ETB missing","End_tr_balance missing"),IF(T3872="FAIL",IF(AND(ISNUMBER(K3872),ISNUMBER(L3872),ABS(L3872-(K3872-IF(ISNUMBER(N3872),N3872,0)-IF(ISNUMBER(O3872),O3872,0)+IF(ISNUMBER(P3872),P3872,0)))&lt;=Summary!$B$2),"Passes using beginning_balance - PreV_ETB differs from beginning_balance",IF(AND(ISNUMBER(O3872),O3872&lt;0,ABS(L3872-(Q3872-IF(ISNUMBER(N3872),N3872,0)+IF(ISNUMBER(P3872),P3872,0)))&lt;=Summary!$B$2),"Negative realized loss not applied - check sign",IF(R3872&lt;0,"Principal paid exceeds prior balance",IF(AND(L3872&gt;Q3872,NOT(ISNUMBER(P3872))),"Balance increased but no Deferred_interest reported",IF(L3872&gt;R3872,"Reported balance higher than expected (missing increase/OC build)","Reported balance lower than expected (missing decrease)"))))),""))</f>
        <v/>
      </c>
    </row>
    <row r="3873" customFormat="false" ht="15" hidden="false" customHeight="false" outlineLevel="0" collapsed="false">
      <c r="A3873" s="8"/>
      <c r="B3873" s="8"/>
      <c r="C3873" s="8"/>
      <c r="D3873" s="8"/>
      <c r="E3873" s="8"/>
      <c r="F3873" s="8"/>
      <c r="G3873" s="8"/>
      <c r="H3873" s="8"/>
      <c r="I3873" s="8"/>
      <c r="J3873" s="8"/>
      <c r="K3873" s="9"/>
      <c r="L3873" s="9"/>
      <c r="M3873" s="9"/>
      <c r="N3873" s="9"/>
      <c r="O3873" s="9"/>
      <c r="P3873" s="9"/>
      <c r="Q3873" s="9"/>
      <c r="R3873" s="9" t="str">
        <f aca="false">IF(AND(A3873&lt;&gt;"",ISNUMBER(Q3873),ISNUMBER(L3873)),ROUND(Q3873-IF(ISNUMBER(N3873),N3873,0)-IF(ISNUMBER(O3873),O3873,0)+IF(ISNUMBER(P3873),P3873,0),2),"")</f>
        <v/>
      </c>
      <c r="S3873" s="9" t="str">
        <f aca="false">IF(R3873="","",ROUND(L3873-R3873,2))</f>
        <v/>
      </c>
      <c r="T3873" s="8" t="str">
        <f aca="false">IF(A3873="","",IF(S3873="","BYPASS",IF(ABS(S3873)&lt;=Summary!$B$2,"PASS","FAIL")))</f>
        <v/>
      </c>
      <c r="U3873" s="8" t="str">
        <f aca="false">IF(T3873="BYPASS",IF(NOT(ISNUMBER(Q3873)),"PreV_ETB missing","End_tr_balance missing"),IF(T3873="FAIL",IF(AND(ISNUMBER(K3873),ISNUMBER(L3873),ABS(L3873-(K3873-IF(ISNUMBER(N3873),N3873,0)-IF(ISNUMBER(O3873),O3873,0)+IF(ISNUMBER(P3873),P3873,0)))&lt;=Summary!$B$2),"Passes using beginning_balance - PreV_ETB differs from beginning_balance",IF(AND(ISNUMBER(O3873),O3873&lt;0,ABS(L3873-(Q3873-IF(ISNUMBER(N3873),N3873,0)+IF(ISNUMBER(P3873),P3873,0)))&lt;=Summary!$B$2),"Negative realized loss not applied - check sign",IF(R3873&lt;0,"Principal paid exceeds prior balance",IF(AND(L3873&gt;Q3873,NOT(ISNUMBER(P3873))),"Balance increased but no Deferred_interest reported",IF(L3873&gt;R3873,"Reported balance higher than expected (missing increase/OC build)","Reported balance lower than expected (missing decrease)"))))),""))</f>
        <v/>
      </c>
    </row>
    <row r="3874" customFormat="false" ht="15" hidden="false" customHeight="false" outlineLevel="0" collapsed="false">
      <c r="A3874" s="8"/>
      <c r="B3874" s="8"/>
      <c r="C3874" s="8"/>
      <c r="D3874" s="8"/>
      <c r="E3874" s="8"/>
      <c r="F3874" s="8"/>
      <c r="G3874" s="8"/>
      <c r="H3874" s="8"/>
      <c r="I3874" s="8"/>
      <c r="J3874" s="8"/>
      <c r="K3874" s="9"/>
      <c r="L3874" s="9"/>
      <c r="M3874" s="9"/>
      <c r="N3874" s="9"/>
      <c r="O3874" s="9"/>
      <c r="P3874" s="9"/>
      <c r="Q3874" s="9"/>
      <c r="R3874" s="9" t="str">
        <f aca="false">IF(AND(A3874&lt;&gt;"",ISNUMBER(Q3874),ISNUMBER(L3874)),ROUND(Q3874-IF(ISNUMBER(N3874),N3874,0)-IF(ISNUMBER(O3874),O3874,0)+IF(ISNUMBER(P3874),P3874,0),2),"")</f>
        <v/>
      </c>
      <c r="S3874" s="9" t="str">
        <f aca="false">IF(R3874="","",ROUND(L3874-R3874,2))</f>
        <v/>
      </c>
      <c r="T3874" s="8" t="str">
        <f aca="false">IF(A3874="","",IF(S3874="","BYPASS",IF(ABS(S3874)&lt;=Summary!$B$2,"PASS","FAIL")))</f>
        <v/>
      </c>
      <c r="U3874" s="8" t="str">
        <f aca="false">IF(T3874="BYPASS",IF(NOT(ISNUMBER(Q3874)),"PreV_ETB missing","End_tr_balance missing"),IF(T3874="FAIL",IF(AND(ISNUMBER(K3874),ISNUMBER(L3874),ABS(L3874-(K3874-IF(ISNUMBER(N3874),N3874,0)-IF(ISNUMBER(O3874),O3874,0)+IF(ISNUMBER(P3874),P3874,0)))&lt;=Summary!$B$2),"Passes using beginning_balance - PreV_ETB differs from beginning_balance",IF(AND(ISNUMBER(O3874),O3874&lt;0,ABS(L3874-(Q3874-IF(ISNUMBER(N3874),N3874,0)+IF(ISNUMBER(P3874),P3874,0)))&lt;=Summary!$B$2),"Negative realized loss not applied - check sign",IF(R3874&lt;0,"Principal paid exceeds prior balance",IF(AND(L3874&gt;Q3874,NOT(ISNUMBER(P3874))),"Balance increased but no Deferred_interest reported",IF(L3874&gt;R3874,"Reported balance higher than expected (missing increase/OC build)","Reported balance lower than expected (missing decrease)"))))),""))</f>
        <v/>
      </c>
    </row>
    <row r="3875" customFormat="false" ht="15" hidden="false" customHeight="false" outlineLevel="0" collapsed="false">
      <c r="A3875" s="8"/>
      <c r="B3875" s="8"/>
      <c r="C3875" s="8"/>
      <c r="D3875" s="8"/>
      <c r="E3875" s="8"/>
      <c r="F3875" s="8"/>
      <c r="G3875" s="8"/>
      <c r="H3875" s="8"/>
      <c r="I3875" s="8"/>
      <c r="J3875" s="8"/>
      <c r="K3875" s="9"/>
      <c r="L3875" s="9"/>
      <c r="M3875" s="9"/>
      <c r="N3875" s="9"/>
      <c r="O3875" s="9"/>
      <c r="P3875" s="9"/>
      <c r="Q3875" s="9"/>
      <c r="R3875" s="9" t="str">
        <f aca="false">IF(AND(A3875&lt;&gt;"",ISNUMBER(Q3875),ISNUMBER(L3875)),ROUND(Q3875-IF(ISNUMBER(N3875),N3875,0)-IF(ISNUMBER(O3875),O3875,0)+IF(ISNUMBER(P3875),P3875,0),2),"")</f>
        <v/>
      </c>
      <c r="S3875" s="9" t="str">
        <f aca="false">IF(R3875="","",ROUND(L3875-R3875,2))</f>
        <v/>
      </c>
      <c r="T3875" s="8" t="str">
        <f aca="false">IF(A3875="","",IF(S3875="","BYPASS",IF(ABS(S3875)&lt;=Summary!$B$2,"PASS","FAIL")))</f>
        <v/>
      </c>
      <c r="U3875" s="8" t="str">
        <f aca="false">IF(T3875="BYPASS",IF(NOT(ISNUMBER(Q3875)),"PreV_ETB missing","End_tr_balance missing"),IF(T3875="FAIL",IF(AND(ISNUMBER(K3875),ISNUMBER(L3875),ABS(L3875-(K3875-IF(ISNUMBER(N3875),N3875,0)-IF(ISNUMBER(O3875),O3875,0)+IF(ISNUMBER(P3875),P3875,0)))&lt;=Summary!$B$2),"Passes using beginning_balance - PreV_ETB differs from beginning_balance",IF(AND(ISNUMBER(O3875),O3875&lt;0,ABS(L3875-(Q3875-IF(ISNUMBER(N3875),N3875,0)+IF(ISNUMBER(P3875),P3875,0)))&lt;=Summary!$B$2),"Negative realized loss not applied - check sign",IF(R3875&lt;0,"Principal paid exceeds prior balance",IF(AND(L3875&gt;Q3875,NOT(ISNUMBER(P3875))),"Balance increased but no Deferred_interest reported",IF(L3875&gt;R3875,"Reported balance higher than expected (missing increase/OC build)","Reported balance lower than expected (missing decrease)"))))),""))</f>
        <v/>
      </c>
    </row>
    <row r="3876" customFormat="false" ht="15" hidden="false" customHeight="false" outlineLevel="0" collapsed="false">
      <c r="A3876" s="8"/>
      <c r="B3876" s="8"/>
      <c r="C3876" s="8"/>
      <c r="D3876" s="8"/>
      <c r="E3876" s="8"/>
      <c r="F3876" s="8"/>
      <c r="G3876" s="8"/>
      <c r="H3876" s="8"/>
      <c r="I3876" s="8"/>
      <c r="J3876" s="8"/>
      <c r="K3876" s="9"/>
      <c r="L3876" s="9"/>
      <c r="M3876" s="9"/>
      <c r="N3876" s="9"/>
      <c r="O3876" s="9"/>
      <c r="P3876" s="9"/>
      <c r="Q3876" s="9"/>
      <c r="R3876" s="9" t="str">
        <f aca="false">IF(AND(A3876&lt;&gt;"",ISNUMBER(Q3876),ISNUMBER(L3876)),ROUND(Q3876-IF(ISNUMBER(N3876),N3876,0)-IF(ISNUMBER(O3876),O3876,0)+IF(ISNUMBER(P3876),P3876,0),2),"")</f>
        <v/>
      </c>
      <c r="S3876" s="9" t="str">
        <f aca="false">IF(R3876="","",ROUND(L3876-R3876,2))</f>
        <v/>
      </c>
      <c r="T3876" s="8" t="str">
        <f aca="false">IF(A3876="","",IF(S3876="","BYPASS",IF(ABS(S3876)&lt;=Summary!$B$2,"PASS","FAIL")))</f>
        <v/>
      </c>
      <c r="U3876" s="8" t="str">
        <f aca="false">IF(T3876="BYPASS",IF(NOT(ISNUMBER(Q3876)),"PreV_ETB missing","End_tr_balance missing"),IF(T3876="FAIL",IF(AND(ISNUMBER(K3876),ISNUMBER(L3876),ABS(L3876-(K3876-IF(ISNUMBER(N3876),N3876,0)-IF(ISNUMBER(O3876),O3876,0)+IF(ISNUMBER(P3876),P3876,0)))&lt;=Summary!$B$2),"Passes using beginning_balance - PreV_ETB differs from beginning_balance",IF(AND(ISNUMBER(O3876),O3876&lt;0,ABS(L3876-(Q3876-IF(ISNUMBER(N3876),N3876,0)+IF(ISNUMBER(P3876),P3876,0)))&lt;=Summary!$B$2),"Negative realized loss not applied - check sign",IF(R3876&lt;0,"Principal paid exceeds prior balance",IF(AND(L3876&gt;Q3876,NOT(ISNUMBER(P3876))),"Balance increased but no Deferred_interest reported",IF(L3876&gt;R3876,"Reported balance higher than expected (missing increase/OC build)","Reported balance lower than expected (missing decrease)"))))),""))</f>
        <v/>
      </c>
    </row>
    <row r="3877" customFormat="false" ht="15" hidden="false" customHeight="false" outlineLevel="0" collapsed="false">
      <c r="A3877" s="8"/>
      <c r="B3877" s="8"/>
      <c r="C3877" s="8"/>
      <c r="D3877" s="8"/>
      <c r="E3877" s="8"/>
      <c r="F3877" s="8"/>
      <c r="G3877" s="8"/>
      <c r="H3877" s="8"/>
      <c r="I3877" s="8"/>
      <c r="J3877" s="8"/>
      <c r="K3877" s="9"/>
      <c r="L3877" s="9"/>
      <c r="M3877" s="9"/>
      <c r="N3877" s="9"/>
      <c r="O3877" s="9"/>
      <c r="P3877" s="9"/>
      <c r="Q3877" s="9"/>
      <c r="R3877" s="9" t="str">
        <f aca="false">IF(AND(A3877&lt;&gt;"",ISNUMBER(Q3877),ISNUMBER(L3877)),ROUND(Q3877-IF(ISNUMBER(N3877),N3877,0)-IF(ISNUMBER(O3877),O3877,0)+IF(ISNUMBER(P3877),P3877,0),2),"")</f>
        <v/>
      </c>
      <c r="S3877" s="9" t="str">
        <f aca="false">IF(R3877="","",ROUND(L3877-R3877,2))</f>
        <v/>
      </c>
      <c r="T3877" s="8" t="str">
        <f aca="false">IF(A3877="","",IF(S3877="","BYPASS",IF(ABS(S3877)&lt;=Summary!$B$2,"PASS","FAIL")))</f>
        <v/>
      </c>
      <c r="U3877" s="8" t="str">
        <f aca="false">IF(T3877="BYPASS",IF(NOT(ISNUMBER(Q3877)),"PreV_ETB missing","End_tr_balance missing"),IF(T3877="FAIL",IF(AND(ISNUMBER(K3877),ISNUMBER(L3877),ABS(L3877-(K3877-IF(ISNUMBER(N3877),N3877,0)-IF(ISNUMBER(O3877),O3877,0)+IF(ISNUMBER(P3877),P3877,0)))&lt;=Summary!$B$2),"Passes using beginning_balance - PreV_ETB differs from beginning_balance",IF(AND(ISNUMBER(O3877),O3877&lt;0,ABS(L3877-(Q3877-IF(ISNUMBER(N3877),N3877,0)+IF(ISNUMBER(P3877),P3877,0)))&lt;=Summary!$B$2),"Negative realized loss not applied - check sign",IF(R3877&lt;0,"Principal paid exceeds prior balance",IF(AND(L3877&gt;Q3877,NOT(ISNUMBER(P3877))),"Balance increased but no Deferred_interest reported",IF(L3877&gt;R3877,"Reported balance higher than expected (missing increase/OC build)","Reported balance lower than expected (missing decrease)"))))),""))</f>
        <v/>
      </c>
    </row>
    <row r="3878" customFormat="false" ht="15" hidden="false" customHeight="false" outlineLevel="0" collapsed="false">
      <c r="A3878" s="8"/>
      <c r="B3878" s="8"/>
      <c r="C3878" s="8"/>
      <c r="D3878" s="8"/>
      <c r="E3878" s="8"/>
      <c r="F3878" s="8"/>
      <c r="G3878" s="8"/>
      <c r="H3878" s="8"/>
      <c r="I3878" s="8"/>
      <c r="J3878" s="8"/>
      <c r="K3878" s="9"/>
      <c r="L3878" s="9"/>
      <c r="M3878" s="9"/>
      <c r="N3878" s="9"/>
      <c r="O3878" s="9"/>
      <c r="P3878" s="9"/>
      <c r="Q3878" s="9"/>
      <c r="R3878" s="9" t="str">
        <f aca="false">IF(AND(A3878&lt;&gt;"",ISNUMBER(Q3878),ISNUMBER(L3878)),ROUND(Q3878-IF(ISNUMBER(N3878),N3878,0)-IF(ISNUMBER(O3878),O3878,0)+IF(ISNUMBER(P3878),P3878,0),2),"")</f>
        <v/>
      </c>
      <c r="S3878" s="9" t="str">
        <f aca="false">IF(R3878="","",ROUND(L3878-R3878,2))</f>
        <v/>
      </c>
      <c r="T3878" s="8" t="str">
        <f aca="false">IF(A3878="","",IF(S3878="","BYPASS",IF(ABS(S3878)&lt;=Summary!$B$2,"PASS","FAIL")))</f>
        <v/>
      </c>
      <c r="U3878" s="8" t="str">
        <f aca="false">IF(T3878="BYPASS",IF(NOT(ISNUMBER(Q3878)),"PreV_ETB missing","End_tr_balance missing"),IF(T3878="FAIL",IF(AND(ISNUMBER(K3878),ISNUMBER(L3878),ABS(L3878-(K3878-IF(ISNUMBER(N3878),N3878,0)-IF(ISNUMBER(O3878),O3878,0)+IF(ISNUMBER(P3878),P3878,0)))&lt;=Summary!$B$2),"Passes using beginning_balance - PreV_ETB differs from beginning_balance",IF(AND(ISNUMBER(O3878),O3878&lt;0,ABS(L3878-(Q3878-IF(ISNUMBER(N3878),N3878,0)+IF(ISNUMBER(P3878),P3878,0)))&lt;=Summary!$B$2),"Negative realized loss not applied - check sign",IF(R3878&lt;0,"Principal paid exceeds prior balance",IF(AND(L3878&gt;Q3878,NOT(ISNUMBER(P3878))),"Balance increased but no Deferred_interest reported",IF(L3878&gt;R3878,"Reported balance higher than expected (missing increase/OC build)","Reported balance lower than expected (missing decrease)"))))),""))</f>
        <v/>
      </c>
    </row>
    <row r="3879" customFormat="false" ht="15" hidden="false" customHeight="false" outlineLevel="0" collapsed="false">
      <c r="A3879" s="8"/>
      <c r="B3879" s="8"/>
      <c r="C3879" s="8"/>
      <c r="D3879" s="8"/>
      <c r="E3879" s="8"/>
      <c r="F3879" s="8"/>
      <c r="G3879" s="8"/>
      <c r="H3879" s="8"/>
      <c r="I3879" s="8"/>
      <c r="J3879" s="8"/>
      <c r="K3879" s="9"/>
      <c r="L3879" s="9"/>
      <c r="M3879" s="9"/>
      <c r="N3879" s="9"/>
      <c r="O3879" s="9"/>
      <c r="P3879" s="9"/>
      <c r="Q3879" s="9"/>
      <c r="R3879" s="9" t="str">
        <f aca="false">IF(AND(A3879&lt;&gt;"",ISNUMBER(Q3879),ISNUMBER(L3879)),ROUND(Q3879-IF(ISNUMBER(N3879),N3879,0)-IF(ISNUMBER(O3879),O3879,0)+IF(ISNUMBER(P3879),P3879,0),2),"")</f>
        <v/>
      </c>
      <c r="S3879" s="9" t="str">
        <f aca="false">IF(R3879="","",ROUND(L3879-R3879,2))</f>
        <v/>
      </c>
      <c r="T3879" s="8" t="str">
        <f aca="false">IF(A3879="","",IF(S3879="","BYPASS",IF(ABS(S3879)&lt;=Summary!$B$2,"PASS","FAIL")))</f>
        <v/>
      </c>
      <c r="U3879" s="8" t="str">
        <f aca="false">IF(T3879="BYPASS",IF(NOT(ISNUMBER(Q3879)),"PreV_ETB missing","End_tr_balance missing"),IF(T3879="FAIL",IF(AND(ISNUMBER(K3879),ISNUMBER(L3879),ABS(L3879-(K3879-IF(ISNUMBER(N3879),N3879,0)-IF(ISNUMBER(O3879),O3879,0)+IF(ISNUMBER(P3879),P3879,0)))&lt;=Summary!$B$2),"Passes using beginning_balance - PreV_ETB differs from beginning_balance",IF(AND(ISNUMBER(O3879),O3879&lt;0,ABS(L3879-(Q3879-IF(ISNUMBER(N3879),N3879,0)+IF(ISNUMBER(P3879),P3879,0)))&lt;=Summary!$B$2),"Negative realized loss not applied - check sign",IF(R3879&lt;0,"Principal paid exceeds prior balance",IF(AND(L3879&gt;Q3879,NOT(ISNUMBER(P3879))),"Balance increased but no Deferred_interest reported",IF(L3879&gt;R3879,"Reported balance higher than expected (missing increase/OC build)","Reported balance lower than expected (missing decrease)"))))),""))</f>
        <v/>
      </c>
    </row>
    <row r="3880" customFormat="false" ht="15" hidden="false" customHeight="false" outlineLevel="0" collapsed="false">
      <c r="A3880" s="8"/>
      <c r="B3880" s="8"/>
      <c r="C3880" s="8"/>
      <c r="D3880" s="8"/>
      <c r="E3880" s="8"/>
      <c r="F3880" s="8"/>
      <c r="G3880" s="8"/>
      <c r="H3880" s="8"/>
      <c r="I3880" s="8"/>
      <c r="J3880" s="8"/>
      <c r="K3880" s="9"/>
      <c r="L3880" s="9"/>
      <c r="M3880" s="9"/>
      <c r="N3880" s="9"/>
      <c r="O3880" s="9"/>
      <c r="P3880" s="9"/>
      <c r="Q3880" s="9"/>
      <c r="R3880" s="9" t="str">
        <f aca="false">IF(AND(A3880&lt;&gt;"",ISNUMBER(Q3880),ISNUMBER(L3880)),ROUND(Q3880-IF(ISNUMBER(N3880),N3880,0)-IF(ISNUMBER(O3880),O3880,0)+IF(ISNUMBER(P3880),P3880,0),2),"")</f>
        <v/>
      </c>
      <c r="S3880" s="9" t="str">
        <f aca="false">IF(R3880="","",ROUND(L3880-R3880,2))</f>
        <v/>
      </c>
      <c r="T3880" s="8" t="str">
        <f aca="false">IF(A3880="","",IF(S3880="","BYPASS",IF(ABS(S3880)&lt;=Summary!$B$2,"PASS","FAIL")))</f>
        <v/>
      </c>
      <c r="U3880" s="8" t="str">
        <f aca="false">IF(T3880="BYPASS",IF(NOT(ISNUMBER(Q3880)),"PreV_ETB missing","End_tr_balance missing"),IF(T3880="FAIL",IF(AND(ISNUMBER(K3880),ISNUMBER(L3880),ABS(L3880-(K3880-IF(ISNUMBER(N3880),N3880,0)-IF(ISNUMBER(O3880),O3880,0)+IF(ISNUMBER(P3880),P3880,0)))&lt;=Summary!$B$2),"Passes using beginning_balance - PreV_ETB differs from beginning_balance",IF(AND(ISNUMBER(O3880),O3880&lt;0,ABS(L3880-(Q3880-IF(ISNUMBER(N3880),N3880,0)+IF(ISNUMBER(P3880),P3880,0)))&lt;=Summary!$B$2),"Negative realized loss not applied - check sign",IF(R3880&lt;0,"Principal paid exceeds prior balance",IF(AND(L3880&gt;Q3880,NOT(ISNUMBER(P3880))),"Balance increased but no Deferred_interest reported",IF(L3880&gt;R3880,"Reported balance higher than expected (missing increase/OC build)","Reported balance lower than expected (missing decrease)"))))),""))</f>
        <v/>
      </c>
    </row>
    <row r="3881" customFormat="false" ht="15" hidden="false" customHeight="false" outlineLevel="0" collapsed="false">
      <c r="A3881" s="8"/>
      <c r="B3881" s="8"/>
      <c r="C3881" s="8"/>
      <c r="D3881" s="8"/>
      <c r="E3881" s="8"/>
      <c r="F3881" s="8"/>
      <c r="G3881" s="8"/>
      <c r="H3881" s="8"/>
      <c r="I3881" s="8"/>
      <c r="J3881" s="8"/>
      <c r="K3881" s="9"/>
      <c r="L3881" s="9"/>
      <c r="M3881" s="9"/>
      <c r="N3881" s="9"/>
      <c r="O3881" s="9"/>
      <c r="P3881" s="9"/>
      <c r="Q3881" s="9"/>
      <c r="R3881" s="9" t="str">
        <f aca="false">IF(AND(A3881&lt;&gt;"",ISNUMBER(Q3881),ISNUMBER(L3881)),ROUND(Q3881-IF(ISNUMBER(N3881),N3881,0)-IF(ISNUMBER(O3881),O3881,0)+IF(ISNUMBER(P3881),P3881,0),2),"")</f>
        <v/>
      </c>
      <c r="S3881" s="9" t="str">
        <f aca="false">IF(R3881="","",ROUND(L3881-R3881,2))</f>
        <v/>
      </c>
      <c r="T3881" s="8" t="str">
        <f aca="false">IF(A3881="","",IF(S3881="","BYPASS",IF(ABS(S3881)&lt;=Summary!$B$2,"PASS","FAIL")))</f>
        <v/>
      </c>
      <c r="U3881" s="8" t="str">
        <f aca="false">IF(T3881="BYPASS",IF(NOT(ISNUMBER(Q3881)),"PreV_ETB missing","End_tr_balance missing"),IF(T3881="FAIL",IF(AND(ISNUMBER(K3881),ISNUMBER(L3881),ABS(L3881-(K3881-IF(ISNUMBER(N3881),N3881,0)-IF(ISNUMBER(O3881),O3881,0)+IF(ISNUMBER(P3881),P3881,0)))&lt;=Summary!$B$2),"Passes using beginning_balance - PreV_ETB differs from beginning_balance",IF(AND(ISNUMBER(O3881),O3881&lt;0,ABS(L3881-(Q3881-IF(ISNUMBER(N3881),N3881,0)+IF(ISNUMBER(P3881),P3881,0)))&lt;=Summary!$B$2),"Negative realized loss not applied - check sign",IF(R3881&lt;0,"Principal paid exceeds prior balance",IF(AND(L3881&gt;Q3881,NOT(ISNUMBER(P3881))),"Balance increased but no Deferred_interest reported",IF(L3881&gt;R3881,"Reported balance higher than expected (missing increase/OC build)","Reported balance lower than expected (missing decrease)"))))),""))</f>
        <v/>
      </c>
    </row>
    <row r="3882" customFormat="false" ht="15" hidden="false" customHeight="false" outlineLevel="0" collapsed="false">
      <c r="A3882" s="8"/>
      <c r="B3882" s="8"/>
      <c r="C3882" s="8"/>
      <c r="D3882" s="8"/>
      <c r="E3882" s="8"/>
      <c r="F3882" s="8"/>
      <c r="G3882" s="8"/>
      <c r="H3882" s="8"/>
      <c r="I3882" s="8"/>
      <c r="J3882" s="8"/>
      <c r="K3882" s="9"/>
      <c r="L3882" s="9"/>
      <c r="M3882" s="9"/>
      <c r="N3882" s="9"/>
      <c r="O3882" s="9"/>
      <c r="P3882" s="9"/>
      <c r="Q3882" s="9"/>
      <c r="R3882" s="9" t="str">
        <f aca="false">IF(AND(A3882&lt;&gt;"",ISNUMBER(Q3882),ISNUMBER(L3882)),ROUND(Q3882-IF(ISNUMBER(N3882),N3882,0)-IF(ISNUMBER(O3882),O3882,0)+IF(ISNUMBER(P3882),P3882,0),2),"")</f>
        <v/>
      </c>
      <c r="S3882" s="9" t="str">
        <f aca="false">IF(R3882="","",ROUND(L3882-R3882,2))</f>
        <v/>
      </c>
      <c r="T3882" s="8" t="str">
        <f aca="false">IF(A3882="","",IF(S3882="","BYPASS",IF(ABS(S3882)&lt;=Summary!$B$2,"PASS","FAIL")))</f>
        <v/>
      </c>
      <c r="U3882" s="8" t="str">
        <f aca="false">IF(T3882="BYPASS",IF(NOT(ISNUMBER(Q3882)),"PreV_ETB missing","End_tr_balance missing"),IF(T3882="FAIL",IF(AND(ISNUMBER(K3882),ISNUMBER(L3882),ABS(L3882-(K3882-IF(ISNUMBER(N3882),N3882,0)-IF(ISNUMBER(O3882),O3882,0)+IF(ISNUMBER(P3882),P3882,0)))&lt;=Summary!$B$2),"Passes using beginning_balance - PreV_ETB differs from beginning_balance",IF(AND(ISNUMBER(O3882),O3882&lt;0,ABS(L3882-(Q3882-IF(ISNUMBER(N3882),N3882,0)+IF(ISNUMBER(P3882),P3882,0)))&lt;=Summary!$B$2),"Negative realized loss not applied - check sign",IF(R3882&lt;0,"Principal paid exceeds prior balance",IF(AND(L3882&gt;Q3882,NOT(ISNUMBER(P3882))),"Balance increased but no Deferred_interest reported",IF(L3882&gt;R3882,"Reported balance higher than expected (missing increase/OC build)","Reported balance lower than expected (missing decrease)"))))),""))</f>
        <v/>
      </c>
    </row>
    <row r="3883" customFormat="false" ht="15" hidden="false" customHeight="false" outlineLevel="0" collapsed="false">
      <c r="A3883" s="8"/>
      <c r="B3883" s="8"/>
      <c r="C3883" s="8"/>
      <c r="D3883" s="8"/>
      <c r="E3883" s="8"/>
      <c r="F3883" s="8"/>
      <c r="G3883" s="8"/>
      <c r="H3883" s="8"/>
      <c r="I3883" s="8"/>
      <c r="J3883" s="8"/>
      <c r="K3883" s="9"/>
      <c r="L3883" s="9"/>
      <c r="M3883" s="9"/>
      <c r="N3883" s="9"/>
      <c r="O3883" s="9"/>
      <c r="P3883" s="9"/>
      <c r="Q3883" s="9"/>
      <c r="R3883" s="9" t="str">
        <f aca="false">IF(AND(A3883&lt;&gt;"",ISNUMBER(Q3883),ISNUMBER(L3883)),ROUND(Q3883-IF(ISNUMBER(N3883),N3883,0)-IF(ISNUMBER(O3883),O3883,0)+IF(ISNUMBER(P3883),P3883,0),2),"")</f>
        <v/>
      </c>
      <c r="S3883" s="9" t="str">
        <f aca="false">IF(R3883="","",ROUND(L3883-R3883,2))</f>
        <v/>
      </c>
      <c r="T3883" s="8" t="str">
        <f aca="false">IF(A3883="","",IF(S3883="","BYPASS",IF(ABS(S3883)&lt;=Summary!$B$2,"PASS","FAIL")))</f>
        <v/>
      </c>
      <c r="U3883" s="8" t="str">
        <f aca="false">IF(T3883="BYPASS",IF(NOT(ISNUMBER(Q3883)),"PreV_ETB missing","End_tr_balance missing"),IF(T3883="FAIL",IF(AND(ISNUMBER(K3883),ISNUMBER(L3883),ABS(L3883-(K3883-IF(ISNUMBER(N3883),N3883,0)-IF(ISNUMBER(O3883),O3883,0)+IF(ISNUMBER(P3883),P3883,0)))&lt;=Summary!$B$2),"Passes using beginning_balance - PreV_ETB differs from beginning_balance",IF(AND(ISNUMBER(O3883),O3883&lt;0,ABS(L3883-(Q3883-IF(ISNUMBER(N3883),N3883,0)+IF(ISNUMBER(P3883),P3883,0)))&lt;=Summary!$B$2),"Negative realized loss not applied - check sign",IF(R3883&lt;0,"Principal paid exceeds prior balance",IF(AND(L3883&gt;Q3883,NOT(ISNUMBER(P3883))),"Balance increased but no Deferred_interest reported",IF(L3883&gt;R3883,"Reported balance higher than expected (missing increase/OC build)","Reported balance lower than expected (missing decrease)"))))),""))</f>
        <v/>
      </c>
    </row>
    <row r="3884" customFormat="false" ht="15" hidden="false" customHeight="false" outlineLevel="0" collapsed="false">
      <c r="A3884" s="8"/>
      <c r="B3884" s="8"/>
      <c r="C3884" s="8"/>
      <c r="D3884" s="8"/>
      <c r="E3884" s="8"/>
      <c r="F3884" s="8"/>
      <c r="G3884" s="8"/>
      <c r="H3884" s="8"/>
      <c r="I3884" s="8"/>
      <c r="J3884" s="8"/>
      <c r="K3884" s="9"/>
      <c r="L3884" s="9"/>
      <c r="M3884" s="9"/>
      <c r="N3884" s="9"/>
      <c r="O3884" s="9"/>
      <c r="P3884" s="9"/>
      <c r="Q3884" s="9"/>
      <c r="R3884" s="9" t="str">
        <f aca="false">IF(AND(A3884&lt;&gt;"",ISNUMBER(Q3884),ISNUMBER(L3884)),ROUND(Q3884-IF(ISNUMBER(N3884),N3884,0)-IF(ISNUMBER(O3884),O3884,0)+IF(ISNUMBER(P3884),P3884,0),2),"")</f>
        <v/>
      </c>
      <c r="S3884" s="9" t="str">
        <f aca="false">IF(R3884="","",ROUND(L3884-R3884,2))</f>
        <v/>
      </c>
      <c r="T3884" s="8" t="str">
        <f aca="false">IF(A3884="","",IF(S3884="","BYPASS",IF(ABS(S3884)&lt;=Summary!$B$2,"PASS","FAIL")))</f>
        <v/>
      </c>
      <c r="U3884" s="8" t="str">
        <f aca="false">IF(T3884="BYPASS",IF(NOT(ISNUMBER(Q3884)),"PreV_ETB missing","End_tr_balance missing"),IF(T3884="FAIL",IF(AND(ISNUMBER(K3884),ISNUMBER(L3884),ABS(L3884-(K3884-IF(ISNUMBER(N3884),N3884,0)-IF(ISNUMBER(O3884),O3884,0)+IF(ISNUMBER(P3884),P3884,0)))&lt;=Summary!$B$2),"Passes using beginning_balance - PreV_ETB differs from beginning_balance",IF(AND(ISNUMBER(O3884),O3884&lt;0,ABS(L3884-(Q3884-IF(ISNUMBER(N3884),N3884,0)+IF(ISNUMBER(P3884),P3884,0)))&lt;=Summary!$B$2),"Negative realized loss not applied - check sign",IF(R3884&lt;0,"Principal paid exceeds prior balance",IF(AND(L3884&gt;Q3884,NOT(ISNUMBER(P3884))),"Balance increased but no Deferred_interest reported",IF(L3884&gt;R3884,"Reported balance higher than expected (missing increase/OC build)","Reported balance lower than expected (missing decrease)"))))),""))</f>
        <v/>
      </c>
    </row>
    <row r="3885" customFormat="false" ht="15" hidden="false" customHeight="false" outlineLevel="0" collapsed="false">
      <c r="A3885" s="8"/>
      <c r="B3885" s="8"/>
      <c r="C3885" s="8"/>
      <c r="D3885" s="8"/>
      <c r="E3885" s="8"/>
      <c r="F3885" s="8"/>
      <c r="G3885" s="8"/>
      <c r="H3885" s="8"/>
      <c r="I3885" s="8"/>
      <c r="J3885" s="8"/>
      <c r="K3885" s="9"/>
      <c r="L3885" s="9"/>
      <c r="M3885" s="9"/>
      <c r="N3885" s="9"/>
      <c r="O3885" s="9"/>
      <c r="P3885" s="9"/>
      <c r="Q3885" s="9"/>
      <c r="R3885" s="9" t="str">
        <f aca="false">IF(AND(A3885&lt;&gt;"",ISNUMBER(Q3885),ISNUMBER(L3885)),ROUND(Q3885-IF(ISNUMBER(N3885),N3885,0)-IF(ISNUMBER(O3885),O3885,0)+IF(ISNUMBER(P3885),P3885,0),2),"")</f>
        <v/>
      </c>
      <c r="S3885" s="9" t="str">
        <f aca="false">IF(R3885="","",ROUND(L3885-R3885,2))</f>
        <v/>
      </c>
      <c r="T3885" s="8" t="str">
        <f aca="false">IF(A3885="","",IF(S3885="","BYPASS",IF(ABS(S3885)&lt;=Summary!$B$2,"PASS","FAIL")))</f>
        <v/>
      </c>
      <c r="U3885" s="8" t="str">
        <f aca="false">IF(T3885="BYPASS",IF(NOT(ISNUMBER(Q3885)),"PreV_ETB missing","End_tr_balance missing"),IF(T3885="FAIL",IF(AND(ISNUMBER(K3885),ISNUMBER(L3885),ABS(L3885-(K3885-IF(ISNUMBER(N3885),N3885,0)-IF(ISNUMBER(O3885),O3885,0)+IF(ISNUMBER(P3885),P3885,0)))&lt;=Summary!$B$2),"Passes using beginning_balance - PreV_ETB differs from beginning_balance",IF(AND(ISNUMBER(O3885),O3885&lt;0,ABS(L3885-(Q3885-IF(ISNUMBER(N3885),N3885,0)+IF(ISNUMBER(P3885),P3885,0)))&lt;=Summary!$B$2),"Negative realized loss not applied - check sign",IF(R3885&lt;0,"Principal paid exceeds prior balance",IF(AND(L3885&gt;Q3885,NOT(ISNUMBER(P3885))),"Balance increased but no Deferred_interest reported",IF(L3885&gt;R3885,"Reported balance higher than expected (missing increase/OC build)","Reported balance lower than expected (missing decrease)"))))),""))</f>
        <v/>
      </c>
    </row>
    <row r="3886" customFormat="false" ht="15" hidden="false" customHeight="false" outlineLevel="0" collapsed="false">
      <c r="A3886" s="8"/>
      <c r="B3886" s="8"/>
      <c r="C3886" s="8"/>
      <c r="D3886" s="8"/>
      <c r="E3886" s="8"/>
      <c r="F3886" s="8"/>
      <c r="G3886" s="8"/>
      <c r="H3886" s="8"/>
      <c r="I3886" s="8"/>
      <c r="J3886" s="8"/>
      <c r="K3886" s="9"/>
      <c r="L3886" s="9"/>
      <c r="M3886" s="9"/>
      <c r="N3886" s="9"/>
      <c r="O3886" s="9"/>
      <c r="P3886" s="9"/>
      <c r="Q3886" s="9"/>
      <c r="R3886" s="9" t="str">
        <f aca="false">IF(AND(A3886&lt;&gt;"",ISNUMBER(Q3886),ISNUMBER(L3886)),ROUND(Q3886-IF(ISNUMBER(N3886),N3886,0)-IF(ISNUMBER(O3886),O3886,0)+IF(ISNUMBER(P3886),P3886,0),2),"")</f>
        <v/>
      </c>
      <c r="S3886" s="9" t="str">
        <f aca="false">IF(R3886="","",ROUND(L3886-R3886,2))</f>
        <v/>
      </c>
      <c r="T3886" s="8" t="str">
        <f aca="false">IF(A3886="","",IF(S3886="","BYPASS",IF(ABS(S3886)&lt;=Summary!$B$2,"PASS","FAIL")))</f>
        <v/>
      </c>
      <c r="U3886" s="8" t="str">
        <f aca="false">IF(T3886="BYPASS",IF(NOT(ISNUMBER(Q3886)),"PreV_ETB missing","End_tr_balance missing"),IF(T3886="FAIL",IF(AND(ISNUMBER(K3886),ISNUMBER(L3886),ABS(L3886-(K3886-IF(ISNUMBER(N3886),N3886,0)-IF(ISNUMBER(O3886),O3886,0)+IF(ISNUMBER(P3886),P3886,0)))&lt;=Summary!$B$2),"Passes using beginning_balance - PreV_ETB differs from beginning_balance",IF(AND(ISNUMBER(O3886),O3886&lt;0,ABS(L3886-(Q3886-IF(ISNUMBER(N3886),N3886,0)+IF(ISNUMBER(P3886),P3886,0)))&lt;=Summary!$B$2),"Negative realized loss not applied - check sign",IF(R3886&lt;0,"Principal paid exceeds prior balance",IF(AND(L3886&gt;Q3886,NOT(ISNUMBER(P3886))),"Balance increased but no Deferred_interest reported",IF(L3886&gt;R3886,"Reported balance higher than expected (missing increase/OC build)","Reported balance lower than expected (missing decrease)"))))),""))</f>
        <v/>
      </c>
    </row>
    <row r="3887" customFormat="false" ht="15" hidden="false" customHeight="false" outlineLevel="0" collapsed="false">
      <c r="A3887" s="8"/>
      <c r="B3887" s="8"/>
      <c r="C3887" s="8"/>
      <c r="D3887" s="8"/>
      <c r="E3887" s="8"/>
      <c r="F3887" s="8"/>
      <c r="G3887" s="8"/>
      <c r="H3887" s="8"/>
      <c r="I3887" s="8"/>
      <c r="J3887" s="8"/>
      <c r="K3887" s="9"/>
      <c r="L3887" s="9"/>
      <c r="M3887" s="9"/>
      <c r="N3887" s="9"/>
      <c r="O3887" s="9"/>
      <c r="P3887" s="9"/>
      <c r="Q3887" s="9"/>
      <c r="R3887" s="9" t="str">
        <f aca="false">IF(AND(A3887&lt;&gt;"",ISNUMBER(Q3887),ISNUMBER(L3887)),ROUND(Q3887-IF(ISNUMBER(N3887),N3887,0)-IF(ISNUMBER(O3887),O3887,0)+IF(ISNUMBER(P3887),P3887,0),2),"")</f>
        <v/>
      </c>
      <c r="S3887" s="9" t="str">
        <f aca="false">IF(R3887="","",ROUND(L3887-R3887,2))</f>
        <v/>
      </c>
      <c r="T3887" s="8" t="str">
        <f aca="false">IF(A3887="","",IF(S3887="","BYPASS",IF(ABS(S3887)&lt;=Summary!$B$2,"PASS","FAIL")))</f>
        <v/>
      </c>
      <c r="U3887" s="8" t="str">
        <f aca="false">IF(T3887="BYPASS",IF(NOT(ISNUMBER(Q3887)),"PreV_ETB missing","End_tr_balance missing"),IF(T3887="FAIL",IF(AND(ISNUMBER(K3887),ISNUMBER(L3887),ABS(L3887-(K3887-IF(ISNUMBER(N3887),N3887,0)-IF(ISNUMBER(O3887),O3887,0)+IF(ISNUMBER(P3887),P3887,0)))&lt;=Summary!$B$2),"Passes using beginning_balance - PreV_ETB differs from beginning_balance",IF(AND(ISNUMBER(O3887),O3887&lt;0,ABS(L3887-(Q3887-IF(ISNUMBER(N3887),N3887,0)+IF(ISNUMBER(P3887),P3887,0)))&lt;=Summary!$B$2),"Negative realized loss not applied - check sign",IF(R3887&lt;0,"Principal paid exceeds prior balance",IF(AND(L3887&gt;Q3887,NOT(ISNUMBER(P3887))),"Balance increased but no Deferred_interest reported",IF(L3887&gt;R3887,"Reported balance higher than expected (missing increase/OC build)","Reported balance lower than expected (missing decrease)"))))),""))</f>
        <v/>
      </c>
    </row>
    <row r="3888" customFormat="false" ht="15" hidden="false" customHeight="false" outlineLevel="0" collapsed="false">
      <c r="A3888" s="8"/>
      <c r="B3888" s="8"/>
      <c r="C3888" s="8"/>
      <c r="D3888" s="8"/>
      <c r="E3888" s="8"/>
      <c r="F3888" s="8"/>
      <c r="G3888" s="8"/>
      <c r="H3888" s="8"/>
      <c r="I3888" s="8"/>
      <c r="J3888" s="8"/>
      <c r="K3888" s="9"/>
      <c r="L3888" s="9"/>
      <c r="M3888" s="9"/>
      <c r="N3888" s="9"/>
      <c r="O3888" s="9"/>
      <c r="P3888" s="9"/>
      <c r="Q3888" s="9"/>
      <c r="R3888" s="9" t="str">
        <f aca="false">IF(AND(A3888&lt;&gt;"",ISNUMBER(Q3888),ISNUMBER(L3888)),ROUND(Q3888-IF(ISNUMBER(N3888),N3888,0)-IF(ISNUMBER(O3888),O3888,0)+IF(ISNUMBER(P3888),P3888,0),2),"")</f>
        <v/>
      </c>
      <c r="S3888" s="9" t="str">
        <f aca="false">IF(R3888="","",ROUND(L3888-R3888,2))</f>
        <v/>
      </c>
      <c r="T3888" s="8" t="str">
        <f aca="false">IF(A3888="","",IF(S3888="","BYPASS",IF(ABS(S3888)&lt;=Summary!$B$2,"PASS","FAIL")))</f>
        <v/>
      </c>
      <c r="U3888" s="8" t="str">
        <f aca="false">IF(T3888="BYPASS",IF(NOT(ISNUMBER(Q3888)),"PreV_ETB missing","End_tr_balance missing"),IF(T3888="FAIL",IF(AND(ISNUMBER(K3888),ISNUMBER(L3888),ABS(L3888-(K3888-IF(ISNUMBER(N3888),N3888,0)-IF(ISNUMBER(O3888),O3888,0)+IF(ISNUMBER(P3888),P3888,0)))&lt;=Summary!$B$2),"Passes using beginning_balance - PreV_ETB differs from beginning_balance",IF(AND(ISNUMBER(O3888),O3888&lt;0,ABS(L3888-(Q3888-IF(ISNUMBER(N3888),N3888,0)+IF(ISNUMBER(P3888),P3888,0)))&lt;=Summary!$B$2),"Negative realized loss not applied - check sign",IF(R3888&lt;0,"Principal paid exceeds prior balance",IF(AND(L3888&gt;Q3888,NOT(ISNUMBER(P3888))),"Balance increased but no Deferred_interest reported",IF(L3888&gt;R3888,"Reported balance higher than expected (missing increase/OC build)","Reported balance lower than expected (missing decrease)"))))),""))</f>
        <v/>
      </c>
    </row>
    <row r="3889" customFormat="false" ht="15" hidden="false" customHeight="false" outlineLevel="0" collapsed="false">
      <c r="A3889" s="8"/>
      <c r="B3889" s="8"/>
      <c r="C3889" s="8"/>
      <c r="D3889" s="8"/>
      <c r="E3889" s="8"/>
      <c r="F3889" s="8"/>
      <c r="G3889" s="8"/>
      <c r="H3889" s="8"/>
      <c r="I3889" s="8"/>
      <c r="J3889" s="8"/>
      <c r="K3889" s="9"/>
      <c r="L3889" s="9"/>
      <c r="M3889" s="9"/>
      <c r="N3889" s="9"/>
      <c r="O3889" s="9"/>
      <c r="P3889" s="9"/>
      <c r="Q3889" s="9"/>
      <c r="R3889" s="9" t="str">
        <f aca="false">IF(AND(A3889&lt;&gt;"",ISNUMBER(Q3889),ISNUMBER(L3889)),ROUND(Q3889-IF(ISNUMBER(N3889),N3889,0)-IF(ISNUMBER(O3889),O3889,0)+IF(ISNUMBER(P3889),P3889,0),2),"")</f>
        <v/>
      </c>
      <c r="S3889" s="9" t="str">
        <f aca="false">IF(R3889="","",ROUND(L3889-R3889,2))</f>
        <v/>
      </c>
      <c r="T3889" s="8" t="str">
        <f aca="false">IF(A3889="","",IF(S3889="","BYPASS",IF(ABS(S3889)&lt;=Summary!$B$2,"PASS","FAIL")))</f>
        <v/>
      </c>
      <c r="U3889" s="8" t="str">
        <f aca="false">IF(T3889="BYPASS",IF(NOT(ISNUMBER(Q3889)),"PreV_ETB missing","End_tr_balance missing"),IF(T3889="FAIL",IF(AND(ISNUMBER(K3889),ISNUMBER(L3889),ABS(L3889-(K3889-IF(ISNUMBER(N3889),N3889,0)-IF(ISNUMBER(O3889),O3889,0)+IF(ISNUMBER(P3889),P3889,0)))&lt;=Summary!$B$2),"Passes using beginning_balance - PreV_ETB differs from beginning_balance",IF(AND(ISNUMBER(O3889),O3889&lt;0,ABS(L3889-(Q3889-IF(ISNUMBER(N3889),N3889,0)+IF(ISNUMBER(P3889),P3889,0)))&lt;=Summary!$B$2),"Negative realized loss not applied - check sign",IF(R3889&lt;0,"Principal paid exceeds prior balance",IF(AND(L3889&gt;Q3889,NOT(ISNUMBER(P3889))),"Balance increased but no Deferred_interest reported",IF(L3889&gt;R3889,"Reported balance higher than expected (missing increase/OC build)","Reported balance lower than expected (missing decrease)"))))),""))</f>
        <v/>
      </c>
    </row>
    <row r="3890" customFormat="false" ht="15" hidden="false" customHeight="false" outlineLevel="0" collapsed="false">
      <c r="A3890" s="8"/>
      <c r="B3890" s="8"/>
      <c r="C3890" s="8"/>
      <c r="D3890" s="8"/>
      <c r="E3890" s="8"/>
      <c r="F3890" s="8"/>
      <c r="G3890" s="8"/>
      <c r="H3890" s="8"/>
      <c r="I3890" s="8"/>
      <c r="J3890" s="8"/>
      <c r="K3890" s="9"/>
      <c r="L3890" s="9"/>
      <c r="M3890" s="9"/>
      <c r="N3890" s="9"/>
      <c r="O3890" s="9"/>
      <c r="P3890" s="9"/>
      <c r="Q3890" s="9"/>
      <c r="R3890" s="9" t="str">
        <f aca="false">IF(AND(A3890&lt;&gt;"",ISNUMBER(Q3890),ISNUMBER(L3890)),ROUND(Q3890-IF(ISNUMBER(N3890),N3890,0)-IF(ISNUMBER(O3890),O3890,0)+IF(ISNUMBER(P3890),P3890,0),2),"")</f>
        <v/>
      </c>
      <c r="S3890" s="9" t="str">
        <f aca="false">IF(R3890="","",ROUND(L3890-R3890,2))</f>
        <v/>
      </c>
      <c r="T3890" s="8" t="str">
        <f aca="false">IF(A3890="","",IF(S3890="","BYPASS",IF(ABS(S3890)&lt;=Summary!$B$2,"PASS","FAIL")))</f>
        <v/>
      </c>
      <c r="U3890" s="8" t="str">
        <f aca="false">IF(T3890="BYPASS",IF(NOT(ISNUMBER(Q3890)),"PreV_ETB missing","End_tr_balance missing"),IF(T3890="FAIL",IF(AND(ISNUMBER(K3890),ISNUMBER(L3890),ABS(L3890-(K3890-IF(ISNUMBER(N3890),N3890,0)-IF(ISNUMBER(O3890),O3890,0)+IF(ISNUMBER(P3890),P3890,0)))&lt;=Summary!$B$2),"Passes using beginning_balance - PreV_ETB differs from beginning_balance",IF(AND(ISNUMBER(O3890),O3890&lt;0,ABS(L3890-(Q3890-IF(ISNUMBER(N3890),N3890,0)+IF(ISNUMBER(P3890),P3890,0)))&lt;=Summary!$B$2),"Negative realized loss not applied - check sign",IF(R3890&lt;0,"Principal paid exceeds prior balance",IF(AND(L3890&gt;Q3890,NOT(ISNUMBER(P3890))),"Balance increased but no Deferred_interest reported",IF(L3890&gt;R3890,"Reported balance higher than expected (missing increase/OC build)","Reported balance lower than expected (missing decrease)"))))),""))</f>
        <v/>
      </c>
    </row>
    <row r="3891" customFormat="false" ht="15" hidden="false" customHeight="false" outlineLevel="0" collapsed="false">
      <c r="A3891" s="8"/>
      <c r="B3891" s="8"/>
      <c r="C3891" s="8"/>
      <c r="D3891" s="8"/>
      <c r="E3891" s="8"/>
      <c r="F3891" s="8"/>
      <c r="G3891" s="8"/>
      <c r="H3891" s="8"/>
      <c r="I3891" s="8"/>
      <c r="J3891" s="8"/>
      <c r="K3891" s="9"/>
      <c r="L3891" s="9"/>
      <c r="M3891" s="9"/>
      <c r="N3891" s="9"/>
      <c r="O3891" s="9"/>
      <c r="P3891" s="9"/>
      <c r="Q3891" s="9"/>
      <c r="R3891" s="9" t="str">
        <f aca="false">IF(AND(A3891&lt;&gt;"",ISNUMBER(Q3891),ISNUMBER(L3891)),ROUND(Q3891-IF(ISNUMBER(N3891),N3891,0)-IF(ISNUMBER(O3891),O3891,0)+IF(ISNUMBER(P3891),P3891,0),2),"")</f>
        <v/>
      </c>
      <c r="S3891" s="9" t="str">
        <f aca="false">IF(R3891="","",ROUND(L3891-R3891,2))</f>
        <v/>
      </c>
      <c r="T3891" s="8" t="str">
        <f aca="false">IF(A3891="","",IF(S3891="","BYPASS",IF(ABS(S3891)&lt;=Summary!$B$2,"PASS","FAIL")))</f>
        <v/>
      </c>
      <c r="U3891" s="8" t="str">
        <f aca="false">IF(T3891="BYPASS",IF(NOT(ISNUMBER(Q3891)),"PreV_ETB missing","End_tr_balance missing"),IF(T3891="FAIL",IF(AND(ISNUMBER(K3891),ISNUMBER(L3891),ABS(L3891-(K3891-IF(ISNUMBER(N3891),N3891,0)-IF(ISNUMBER(O3891),O3891,0)+IF(ISNUMBER(P3891),P3891,0)))&lt;=Summary!$B$2),"Passes using beginning_balance - PreV_ETB differs from beginning_balance",IF(AND(ISNUMBER(O3891),O3891&lt;0,ABS(L3891-(Q3891-IF(ISNUMBER(N3891),N3891,0)+IF(ISNUMBER(P3891),P3891,0)))&lt;=Summary!$B$2),"Negative realized loss not applied - check sign",IF(R3891&lt;0,"Principal paid exceeds prior balance",IF(AND(L3891&gt;Q3891,NOT(ISNUMBER(P3891))),"Balance increased but no Deferred_interest reported",IF(L3891&gt;R3891,"Reported balance higher than expected (missing increase/OC build)","Reported balance lower than expected (missing decrease)"))))),""))</f>
        <v/>
      </c>
    </row>
    <row r="3892" customFormat="false" ht="15" hidden="false" customHeight="false" outlineLevel="0" collapsed="false">
      <c r="A3892" s="8"/>
      <c r="B3892" s="8"/>
      <c r="C3892" s="8"/>
      <c r="D3892" s="8"/>
      <c r="E3892" s="8"/>
      <c r="F3892" s="8"/>
      <c r="G3892" s="8"/>
      <c r="H3892" s="8"/>
      <c r="I3892" s="8"/>
      <c r="J3892" s="8"/>
      <c r="K3892" s="9"/>
      <c r="L3892" s="9"/>
      <c r="M3892" s="9"/>
      <c r="N3892" s="9"/>
      <c r="O3892" s="9"/>
      <c r="P3892" s="9"/>
      <c r="Q3892" s="9"/>
      <c r="R3892" s="9" t="str">
        <f aca="false">IF(AND(A3892&lt;&gt;"",ISNUMBER(Q3892),ISNUMBER(L3892)),ROUND(Q3892-IF(ISNUMBER(N3892),N3892,0)-IF(ISNUMBER(O3892),O3892,0)+IF(ISNUMBER(P3892),P3892,0),2),"")</f>
        <v/>
      </c>
      <c r="S3892" s="9" t="str">
        <f aca="false">IF(R3892="","",ROUND(L3892-R3892,2))</f>
        <v/>
      </c>
      <c r="T3892" s="8" t="str">
        <f aca="false">IF(A3892="","",IF(S3892="","BYPASS",IF(ABS(S3892)&lt;=Summary!$B$2,"PASS","FAIL")))</f>
        <v/>
      </c>
      <c r="U3892" s="8" t="str">
        <f aca="false">IF(T3892="BYPASS",IF(NOT(ISNUMBER(Q3892)),"PreV_ETB missing","End_tr_balance missing"),IF(T3892="FAIL",IF(AND(ISNUMBER(K3892),ISNUMBER(L3892),ABS(L3892-(K3892-IF(ISNUMBER(N3892),N3892,0)-IF(ISNUMBER(O3892),O3892,0)+IF(ISNUMBER(P3892),P3892,0)))&lt;=Summary!$B$2),"Passes using beginning_balance - PreV_ETB differs from beginning_balance",IF(AND(ISNUMBER(O3892),O3892&lt;0,ABS(L3892-(Q3892-IF(ISNUMBER(N3892),N3892,0)+IF(ISNUMBER(P3892),P3892,0)))&lt;=Summary!$B$2),"Negative realized loss not applied - check sign",IF(R3892&lt;0,"Principal paid exceeds prior balance",IF(AND(L3892&gt;Q3892,NOT(ISNUMBER(P3892))),"Balance increased but no Deferred_interest reported",IF(L3892&gt;R3892,"Reported balance higher than expected (missing increase/OC build)","Reported balance lower than expected (missing decrease)"))))),""))</f>
        <v/>
      </c>
    </row>
    <row r="3893" customFormat="false" ht="15" hidden="false" customHeight="false" outlineLevel="0" collapsed="false">
      <c r="A3893" s="8"/>
      <c r="B3893" s="8"/>
      <c r="C3893" s="8"/>
      <c r="D3893" s="8"/>
      <c r="E3893" s="8"/>
      <c r="F3893" s="8"/>
      <c r="G3893" s="8"/>
      <c r="H3893" s="8"/>
      <c r="I3893" s="8"/>
      <c r="J3893" s="8"/>
      <c r="K3893" s="9"/>
      <c r="L3893" s="9"/>
      <c r="M3893" s="9"/>
      <c r="N3893" s="9"/>
      <c r="O3893" s="9"/>
      <c r="P3893" s="9"/>
      <c r="Q3893" s="9"/>
      <c r="R3893" s="9" t="str">
        <f aca="false">IF(AND(A3893&lt;&gt;"",ISNUMBER(Q3893),ISNUMBER(L3893)),ROUND(Q3893-IF(ISNUMBER(N3893),N3893,0)-IF(ISNUMBER(O3893),O3893,0)+IF(ISNUMBER(P3893),P3893,0),2),"")</f>
        <v/>
      </c>
      <c r="S3893" s="9" t="str">
        <f aca="false">IF(R3893="","",ROUND(L3893-R3893,2))</f>
        <v/>
      </c>
      <c r="T3893" s="8" t="str">
        <f aca="false">IF(A3893="","",IF(S3893="","BYPASS",IF(ABS(S3893)&lt;=Summary!$B$2,"PASS","FAIL")))</f>
        <v/>
      </c>
      <c r="U3893" s="8" t="str">
        <f aca="false">IF(T3893="BYPASS",IF(NOT(ISNUMBER(Q3893)),"PreV_ETB missing","End_tr_balance missing"),IF(T3893="FAIL",IF(AND(ISNUMBER(K3893),ISNUMBER(L3893),ABS(L3893-(K3893-IF(ISNUMBER(N3893),N3893,0)-IF(ISNUMBER(O3893),O3893,0)+IF(ISNUMBER(P3893),P3893,0)))&lt;=Summary!$B$2),"Passes using beginning_balance - PreV_ETB differs from beginning_balance",IF(AND(ISNUMBER(O3893),O3893&lt;0,ABS(L3893-(Q3893-IF(ISNUMBER(N3893),N3893,0)+IF(ISNUMBER(P3893),P3893,0)))&lt;=Summary!$B$2),"Negative realized loss not applied - check sign",IF(R3893&lt;0,"Principal paid exceeds prior balance",IF(AND(L3893&gt;Q3893,NOT(ISNUMBER(P3893))),"Balance increased but no Deferred_interest reported",IF(L3893&gt;R3893,"Reported balance higher than expected (missing increase/OC build)","Reported balance lower than expected (missing decrease)"))))),""))</f>
        <v/>
      </c>
    </row>
    <row r="3894" customFormat="false" ht="15" hidden="false" customHeight="false" outlineLevel="0" collapsed="false">
      <c r="A3894" s="8"/>
      <c r="B3894" s="8"/>
      <c r="C3894" s="8"/>
      <c r="D3894" s="8"/>
      <c r="E3894" s="8"/>
      <c r="F3894" s="8"/>
      <c r="G3894" s="8"/>
      <c r="H3894" s="8"/>
      <c r="I3894" s="8"/>
      <c r="J3894" s="8"/>
      <c r="K3894" s="9"/>
      <c r="L3894" s="9"/>
      <c r="M3894" s="9"/>
      <c r="N3894" s="9"/>
      <c r="O3894" s="9"/>
      <c r="P3894" s="9"/>
      <c r="Q3894" s="9"/>
      <c r="R3894" s="9" t="str">
        <f aca="false">IF(AND(A3894&lt;&gt;"",ISNUMBER(Q3894),ISNUMBER(L3894)),ROUND(Q3894-IF(ISNUMBER(N3894),N3894,0)-IF(ISNUMBER(O3894),O3894,0)+IF(ISNUMBER(P3894),P3894,0),2),"")</f>
        <v/>
      </c>
      <c r="S3894" s="9" t="str">
        <f aca="false">IF(R3894="","",ROUND(L3894-R3894,2))</f>
        <v/>
      </c>
      <c r="T3894" s="8" t="str">
        <f aca="false">IF(A3894="","",IF(S3894="","BYPASS",IF(ABS(S3894)&lt;=Summary!$B$2,"PASS","FAIL")))</f>
        <v/>
      </c>
      <c r="U3894" s="8" t="str">
        <f aca="false">IF(T3894="BYPASS",IF(NOT(ISNUMBER(Q3894)),"PreV_ETB missing","End_tr_balance missing"),IF(T3894="FAIL",IF(AND(ISNUMBER(K3894),ISNUMBER(L3894),ABS(L3894-(K3894-IF(ISNUMBER(N3894),N3894,0)-IF(ISNUMBER(O3894),O3894,0)+IF(ISNUMBER(P3894),P3894,0)))&lt;=Summary!$B$2),"Passes using beginning_balance - PreV_ETB differs from beginning_balance",IF(AND(ISNUMBER(O3894),O3894&lt;0,ABS(L3894-(Q3894-IF(ISNUMBER(N3894),N3894,0)+IF(ISNUMBER(P3894),P3894,0)))&lt;=Summary!$B$2),"Negative realized loss not applied - check sign",IF(R3894&lt;0,"Principal paid exceeds prior balance",IF(AND(L3894&gt;Q3894,NOT(ISNUMBER(P3894))),"Balance increased but no Deferred_interest reported",IF(L3894&gt;R3894,"Reported balance higher than expected (missing increase/OC build)","Reported balance lower than expected (missing decrease)"))))),""))</f>
        <v/>
      </c>
    </row>
    <row r="3895" customFormat="false" ht="15" hidden="false" customHeight="false" outlineLevel="0" collapsed="false">
      <c r="A3895" s="8"/>
      <c r="B3895" s="8"/>
      <c r="C3895" s="8"/>
      <c r="D3895" s="8"/>
      <c r="E3895" s="8"/>
      <c r="F3895" s="8"/>
      <c r="G3895" s="8"/>
      <c r="H3895" s="8"/>
      <c r="I3895" s="8"/>
      <c r="J3895" s="8"/>
      <c r="K3895" s="9"/>
      <c r="L3895" s="9"/>
      <c r="M3895" s="9"/>
      <c r="N3895" s="9"/>
      <c r="O3895" s="9"/>
      <c r="P3895" s="9"/>
      <c r="Q3895" s="9"/>
      <c r="R3895" s="9" t="str">
        <f aca="false">IF(AND(A3895&lt;&gt;"",ISNUMBER(Q3895),ISNUMBER(L3895)),ROUND(Q3895-IF(ISNUMBER(N3895),N3895,0)-IF(ISNUMBER(O3895),O3895,0)+IF(ISNUMBER(P3895),P3895,0),2),"")</f>
        <v/>
      </c>
      <c r="S3895" s="9" t="str">
        <f aca="false">IF(R3895="","",ROUND(L3895-R3895,2))</f>
        <v/>
      </c>
      <c r="T3895" s="8" t="str">
        <f aca="false">IF(A3895="","",IF(S3895="","BYPASS",IF(ABS(S3895)&lt;=Summary!$B$2,"PASS","FAIL")))</f>
        <v/>
      </c>
      <c r="U3895" s="8" t="str">
        <f aca="false">IF(T3895="BYPASS",IF(NOT(ISNUMBER(Q3895)),"PreV_ETB missing","End_tr_balance missing"),IF(T3895="FAIL",IF(AND(ISNUMBER(K3895),ISNUMBER(L3895),ABS(L3895-(K3895-IF(ISNUMBER(N3895),N3895,0)-IF(ISNUMBER(O3895),O3895,0)+IF(ISNUMBER(P3895),P3895,0)))&lt;=Summary!$B$2),"Passes using beginning_balance - PreV_ETB differs from beginning_balance",IF(AND(ISNUMBER(O3895),O3895&lt;0,ABS(L3895-(Q3895-IF(ISNUMBER(N3895),N3895,0)+IF(ISNUMBER(P3895),P3895,0)))&lt;=Summary!$B$2),"Negative realized loss not applied - check sign",IF(R3895&lt;0,"Principal paid exceeds prior balance",IF(AND(L3895&gt;Q3895,NOT(ISNUMBER(P3895))),"Balance increased but no Deferred_interest reported",IF(L3895&gt;R3895,"Reported balance higher than expected (missing increase/OC build)","Reported balance lower than expected (missing decrease)"))))),""))</f>
        <v/>
      </c>
    </row>
    <row r="3896" customFormat="false" ht="15" hidden="false" customHeight="false" outlineLevel="0" collapsed="false">
      <c r="A3896" s="8"/>
      <c r="B3896" s="8"/>
      <c r="C3896" s="8"/>
      <c r="D3896" s="8"/>
      <c r="E3896" s="8"/>
      <c r="F3896" s="8"/>
      <c r="G3896" s="8"/>
      <c r="H3896" s="8"/>
      <c r="I3896" s="8"/>
      <c r="J3896" s="8"/>
      <c r="K3896" s="9"/>
      <c r="L3896" s="9"/>
      <c r="M3896" s="9"/>
      <c r="N3896" s="9"/>
      <c r="O3896" s="9"/>
      <c r="P3896" s="9"/>
      <c r="Q3896" s="9"/>
      <c r="R3896" s="9" t="str">
        <f aca="false">IF(AND(A3896&lt;&gt;"",ISNUMBER(Q3896),ISNUMBER(L3896)),ROUND(Q3896-IF(ISNUMBER(N3896),N3896,0)-IF(ISNUMBER(O3896),O3896,0)+IF(ISNUMBER(P3896),P3896,0),2),"")</f>
        <v/>
      </c>
      <c r="S3896" s="9" t="str">
        <f aca="false">IF(R3896="","",ROUND(L3896-R3896,2))</f>
        <v/>
      </c>
      <c r="T3896" s="8" t="str">
        <f aca="false">IF(A3896="","",IF(S3896="","BYPASS",IF(ABS(S3896)&lt;=Summary!$B$2,"PASS","FAIL")))</f>
        <v/>
      </c>
      <c r="U3896" s="8" t="str">
        <f aca="false">IF(T3896="BYPASS",IF(NOT(ISNUMBER(Q3896)),"PreV_ETB missing","End_tr_balance missing"),IF(T3896="FAIL",IF(AND(ISNUMBER(K3896),ISNUMBER(L3896),ABS(L3896-(K3896-IF(ISNUMBER(N3896),N3896,0)-IF(ISNUMBER(O3896),O3896,0)+IF(ISNUMBER(P3896),P3896,0)))&lt;=Summary!$B$2),"Passes using beginning_balance - PreV_ETB differs from beginning_balance",IF(AND(ISNUMBER(O3896),O3896&lt;0,ABS(L3896-(Q3896-IF(ISNUMBER(N3896),N3896,0)+IF(ISNUMBER(P3896),P3896,0)))&lt;=Summary!$B$2),"Negative realized loss not applied - check sign",IF(R3896&lt;0,"Principal paid exceeds prior balance",IF(AND(L3896&gt;Q3896,NOT(ISNUMBER(P3896))),"Balance increased but no Deferred_interest reported",IF(L3896&gt;R3896,"Reported balance higher than expected (missing increase/OC build)","Reported balance lower than expected (missing decrease)"))))),""))</f>
        <v/>
      </c>
    </row>
    <row r="3897" customFormat="false" ht="15" hidden="false" customHeight="false" outlineLevel="0" collapsed="false">
      <c r="A3897" s="8"/>
      <c r="B3897" s="8"/>
      <c r="C3897" s="8"/>
      <c r="D3897" s="8"/>
      <c r="E3897" s="8"/>
      <c r="F3897" s="8"/>
      <c r="G3897" s="8"/>
      <c r="H3897" s="8"/>
      <c r="I3897" s="8"/>
      <c r="J3897" s="8"/>
      <c r="K3897" s="9"/>
      <c r="L3897" s="9"/>
      <c r="M3897" s="9"/>
      <c r="N3897" s="9"/>
      <c r="O3897" s="9"/>
      <c r="P3897" s="9"/>
      <c r="Q3897" s="9"/>
      <c r="R3897" s="9" t="str">
        <f aca="false">IF(AND(A3897&lt;&gt;"",ISNUMBER(Q3897),ISNUMBER(L3897)),ROUND(Q3897-IF(ISNUMBER(N3897),N3897,0)-IF(ISNUMBER(O3897),O3897,0)+IF(ISNUMBER(P3897),P3897,0),2),"")</f>
        <v/>
      </c>
      <c r="S3897" s="9" t="str">
        <f aca="false">IF(R3897="","",ROUND(L3897-R3897,2))</f>
        <v/>
      </c>
      <c r="T3897" s="8" t="str">
        <f aca="false">IF(A3897="","",IF(S3897="","BYPASS",IF(ABS(S3897)&lt;=Summary!$B$2,"PASS","FAIL")))</f>
        <v/>
      </c>
      <c r="U3897" s="8" t="str">
        <f aca="false">IF(T3897="BYPASS",IF(NOT(ISNUMBER(Q3897)),"PreV_ETB missing","End_tr_balance missing"),IF(T3897="FAIL",IF(AND(ISNUMBER(K3897),ISNUMBER(L3897),ABS(L3897-(K3897-IF(ISNUMBER(N3897),N3897,0)-IF(ISNUMBER(O3897),O3897,0)+IF(ISNUMBER(P3897),P3897,0)))&lt;=Summary!$B$2),"Passes using beginning_balance - PreV_ETB differs from beginning_balance",IF(AND(ISNUMBER(O3897),O3897&lt;0,ABS(L3897-(Q3897-IF(ISNUMBER(N3897),N3897,0)+IF(ISNUMBER(P3897),P3897,0)))&lt;=Summary!$B$2),"Negative realized loss not applied - check sign",IF(R3897&lt;0,"Principal paid exceeds prior balance",IF(AND(L3897&gt;Q3897,NOT(ISNUMBER(P3897))),"Balance increased but no Deferred_interest reported",IF(L3897&gt;R3897,"Reported balance higher than expected (missing increase/OC build)","Reported balance lower than expected (missing decrease)"))))),""))</f>
        <v/>
      </c>
    </row>
    <row r="3898" customFormat="false" ht="15" hidden="false" customHeight="false" outlineLevel="0" collapsed="false">
      <c r="A3898" s="8"/>
      <c r="B3898" s="8"/>
      <c r="C3898" s="8"/>
      <c r="D3898" s="8"/>
      <c r="E3898" s="8"/>
      <c r="F3898" s="8"/>
      <c r="G3898" s="8"/>
      <c r="H3898" s="8"/>
      <c r="I3898" s="8"/>
      <c r="J3898" s="8"/>
      <c r="K3898" s="9"/>
      <c r="L3898" s="9"/>
      <c r="M3898" s="9"/>
      <c r="N3898" s="9"/>
      <c r="O3898" s="9"/>
      <c r="P3898" s="9"/>
      <c r="Q3898" s="9"/>
      <c r="R3898" s="9" t="str">
        <f aca="false">IF(AND(A3898&lt;&gt;"",ISNUMBER(Q3898),ISNUMBER(L3898)),ROUND(Q3898-IF(ISNUMBER(N3898),N3898,0)-IF(ISNUMBER(O3898),O3898,0)+IF(ISNUMBER(P3898),P3898,0),2),"")</f>
        <v/>
      </c>
      <c r="S3898" s="9" t="str">
        <f aca="false">IF(R3898="","",ROUND(L3898-R3898,2))</f>
        <v/>
      </c>
      <c r="T3898" s="8" t="str">
        <f aca="false">IF(A3898="","",IF(S3898="","BYPASS",IF(ABS(S3898)&lt;=Summary!$B$2,"PASS","FAIL")))</f>
        <v/>
      </c>
      <c r="U3898" s="8" t="str">
        <f aca="false">IF(T3898="BYPASS",IF(NOT(ISNUMBER(Q3898)),"PreV_ETB missing","End_tr_balance missing"),IF(T3898="FAIL",IF(AND(ISNUMBER(K3898),ISNUMBER(L3898),ABS(L3898-(K3898-IF(ISNUMBER(N3898),N3898,0)-IF(ISNUMBER(O3898),O3898,0)+IF(ISNUMBER(P3898),P3898,0)))&lt;=Summary!$B$2),"Passes using beginning_balance - PreV_ETB differs from beginning_balance",IF(AND(ISNUMBER(O3898),O3898&lt;0,ABS(L3898-(Q3898-IF(ISNUMBER(N3898),N3898,0)+IF(ISNUMBER(P3898),P3898,0)))&lt;=Summary!$B$2),"Negative realized loss not applied - check sign",IF(R3898&lt;0,"Principal paid exceeds prior balance",IF(AND(L3898&gt;Q3898,NOT(ISNUMBER(P3898))),"Balance increased but no Deferred_interest reported",IF(L3898&gt;R3898,"Reported balance higher than expected (missing increase/OC build)","Reported balance lower than expected (missing decrease)"))))),""))</f>
        <v/>
      </c>
    </row>
    <row r="3899" customFormat="false" ht="15" hidden="false" customHeight="false" outlineLevel="0" collapsed="false">
      <c r="A3899" s="8"/>
      <c r="B3899" s="8"/>
      <c r="C3899" s="8"/>
      <c r="D3899" s="8"/>
      <c r="E3899" s="8"/>
      <c r="F3899" s="8"/>
      <c r="G3899" s="8"/>
      <c r="H3899" s="8"/>
      <c r="I3899" s="8"/>
      <c r="J3899" s="8"/>
      <c r="K3899" s="9"/>
      <c r="L3899" s="9"/>
      <c r="M3899" s="9"/>
      <c r="N3899" s="9"/>
      <c r="O3899" s="9"/>
      <c r="P3899" s="9"/>
      <c r="Q3899" s="9"/>
      <c r="R3899" s="9" t="str">
        <f aca="false">IF(AND(A3899&lt;&gt;"",ISNUMBER(Q3899),ISNUMBER(L3899)),ROUND(Q3899-IF(ISNUMBER(N3899),N3899,0)-IF(ISNUMBER(O3899),O3899,0)+IF(ISNUMBER(P3899),P3899,0),2),"")</f>
        <v/>
      </c>
      <c r="S3899" s="9" t="str">
        <f aca="false">IF(R3899="","",ROUND(L3899-R3899,2))</f>
        <v/>
      </c>
      <c r="T3899" s="8" t="str">
        <f aca="false">IF(A3899="","",IF(S3899="","BYPASS",IF(ABS(S3899)&lt;=Summary!$B$2,"PASS","FAIL")))</f>
        <v/>
      </c>
      <c r="U3899" s="8" t="str">
        <f aca="false">IF(T3899="BYPASS",IF(NOT(ISNUMBER(Q3899)),"PreV_ETB missing","End_tr_balance missing"),IF(T3899="FAIL",IF(AND(ISNUMBER(K3899),ISNUMBER(L3899),ABS(L3899-(K3899-IF(ISNUMBER(N3899),N3899,0)-IF(ISNUMBER(O3899),O3899,0)+IF(ISNUMBER(P3899),P3899,0)))&lt;=Summary!$B$2),"Passes using beginning_balance - PreV_ETB differs from beginning_balance",IF(AND(ISNUMBER(O3899),O3899&lt;0,ABS(L3899-(Q3899-IF(ISNUMBER(N3899),N3899,0)+IF(ISNUMBER(P3899),P3899,0)))&lt;=Summary!$B$2),"Negative realized loss not applied - check sign",IF(R3899&lt;0,"Principal paid exceeds prior balance",IF(AND(L3899&gt;Q3899,NOT(ISNUMBER(P3899))),"Balance increased but no Deferred_interest reported",IF(L3899&gt;R3899,"Reported balance higher than expected (missing increase/OC build)","Reported balance lower than expected (missing decrease)"))))),""))</f>
        <v/>
      </c>
    </row>
    <row r="3900" customFormat="false" ht="15" hidden="false" customHeight="false" outlineLevel="0" collapsed="false">
      <c r="A3900" s="8"/>
      <c r="B3900" s="8"/>
      <c r="C3900" s="8"/>
      <c r="D3900" s="8"/>
      <c r="E3900" s="8"/>
      <c r="F3900" s="8"/>
      <c r="G3900" s="8"/>
      <c r="H3900" s="8"/>
      <c r="I3900" s="8"/>
      <c r="J3900" s="8"/>
      <c r="K3900" s="9"/>
      <c r="L3900" s="9"/>
      <c r="M3900" s="9"/>
      <c r="N3900" s="9"/>
      <c r="O3900" s="9"/>
      <c r="P3900" s="9"/>
      <c r="Q3900" s="9"/>
      <c r="R3900" s="9" t="str">
        <f aca="false">IF(AND(A3900&lt;&gt;"",ISNUMBER(Q3900),ISNUMBER(L3900)),ROUND(Q3900-IF(ISNUMBER(N3900),N3900,0)-IF(ISNUMBER(O3900),O3900,0)+IF(ISNUMBER(P3900),P3900,0),2),"")</f>
        <v/>
      </c>
      <c r="S3900" s="9" t="str">
        <f aca="false">IF(R3900="","",ROUND(L3900-R3900,2))</f>
        <v/>
      </c>
      <c r="T3900" s="8" t="str">
        <f aca="false">IF(A3900="","",IF(S3900="","BYPASS",IF(ABS(S3900)&lt;=Summary!$B$2,"PASS","FAIL")))</f>
        <v/>
      </c>
      <c r="U3900" s="8" t="str">
        <f aca="false">IF(T3900="BYPASS",IF(NOT(ISNUMBER(Q3900)),"PreV_ETB missing","End_tr_balance missing"),IF(T3900="FAIL",IF(AND(ISNUMBER(K3900),ISNUMBER(L3900),ABS(L3900-(K3900-IF(ISNUMBER(N3900),N3900,0)-IF(ISNUMBER(O3900),O3900,0)+IF(ISNUMBER(P3900),P3900,0)))&lt;=Summary!$B$2),"Passes using beginning_balance - PreV_ETB differs from beginning_balance",IF(AND(ISNUMBER(O3900),O3900&lt;0,ABS(L3900-(Q3900-IF(ISNUMBER(N3900),N3900,0)+IF(ISNUMBER(P3900),P3900,0)))&lt;=Summary!$B$2),"Negative realized loss not applied - check sign",IF(R3900&lt;0,"Principal paid exceeds prior balance",IF(AND(L3900&gt;Q3900,NOT(ISNUMBER(P3900))),"Balance increased but no Deferred_interest reported",IF(L3900&gt;R3900,"Reported balance higher than expected (missing increase/OC build)","Reported balance lower than expected (missing decrease)"))))),""))</f>
        <v/>
      </c>
    </row>
    <row r="3901" customFormat="false" ht="15" hidden="false" customHeight="false" outlineLevel="0" collapsed="false">
      <c r="A3901" s="8"/>
      <c r="B3901" s="8"/>
      <c r="C3901" s="8"/>
      <c r="D3901" s="8"/>
      <c r="E3901" s="8"/>
      <c r="F3901" s="8"/>
      <c r="G3901" s="8"/>
      <c r="H3901" s="8"/>
      <c r="I3901" s="8"/>
      <c r="J3901" s="8"/>
      <c r="K3901" s="9"/>
      <c r="L3901" s="9"/>
      <c r="M3901" s="9"/>
      <c r="N3901" s="9"/>
      <c r="O3901" s="9"/>
      <c r="P3901" s="9"/>
      <c r="Q3901" s="9"/>
      <c r="R3901" s="9" t="str">
        <f aca="false">IF(AND(A3901&lt;&gt;"",ISNUMBER(Q3901),ISNUMBER(L3901)),ROUND(Q3901-IF(ISNUMBER(N3901),N3901,0)-IF(ISNUMBER(O3901),O3901,0)+IF(ISNUMBER(P3901),P3901,0),2),"")</f>
        <v/>
      </c>
      <c r="S3901" s="9" t="str">
        <f aca="false">IF(R3901="","",ROUND(L3901-R3901,2))</f>
        <v/>
      </c>
      <c r="T3901" s="8" t="str">
        <f aca="false">IF(A3901="","",IF(S3901="","BYPASS",IF(ABS(S3901)&lt;=Summary!$B$2,"PASS","FAIL")))</f>
        <v/>
      </c>
      <c r="U3901" s="8" t="str">
        <f aca="false">IF(T3901="BYPASS",IF(NOT(ISNUMBER(Q3901)),"PreV_ETB missing","End_tr_balance missing"),IF(T3901="FAIL",IF(AND(ISNUMBER(K3901),ISNUMBER(L3901),ABS(L3901-(K3901-IF(ISNUMBER(N3901),N3901,0)-IF(ISNUMBER(O3901),O3901,0)+IF(ISNUMBER(P3901),P3901,0)))&lt;=Summary!$B$2),"Passes using beginning_balance - PreV_ETB differs from beginning_balance",IF(AND(ISNUMBER(O3901),O3901&lt;0,ABS(L3901-(Q3901-IF(ISNUMBER(N3901),N3901,0)+IF(ISNUMBER(P3901),P3901,0)))&lt;=Summary!$B$2),"Negative realized loss not applied - check sign",IF(R3901&lt;0,"Principal paid exceeds prior balance",IF(AND(L3901&gt;Q3901,NOT(ISNUMBER(P3901))),"Balance increased but no Deferred_interest reported",IF(L3901&gt;R3901,"Reported balance higher than expected (missing increase/OC build)","Reported balance lower than expected (missing decrease)"))))),""))</f>
        <v/>
      </c>
    </row>
    <row r="3902" customFormat="false" ht="15" hidden="false" customHeight="false" outlineLevel="0" collapsed="false">
      <c r="A3902" s="8"/>
      <c r="B3902" s="8"/>
      <c r="C3902" s="8"/>
      <c r="D3902" s="8"/>
      <c r="E3902" s="8"/>
      <c r="F3902" s="8"/>
      <c r="G3902" s="8"/>
      <c r="H3902" s="8"/>
      <c r="I3902" s="8"/>
      <c r="J3902" s="8"/>
      <c r="K3902" s="9"/>
      <c r="L3902" s="9"/>
      <c r="M3902" s="9"/>
      <c r="N3902" s="9"/>
      <c r="O3902" s="9"/>
      <c r="P3902" s="9"/>
      <c r="Q3902" s="9"/>
      <c r="R3902" s="9" t="str">
        <f aca="false">IF(AND(A3902&lt;&gt;"",ISNUMBER(Q3902),ISNUMBER(L3902)),ROUND(Q3902-IF(ISNUMBER(N3902),N3902,0)-IF(ISNUMBER(O3902),O3902,0)+IF(ISNUMBER(P3902),P3902,0),2),"")</f>
        <v/>
      </c>
      <c r="S3902" s="9" t="str">
        <f aca="false">IF(R3902="","",ROUND(L3902-R3902,2))</f>
        <v/>
      </c>
      <c r="T3902" s="8" t="str">
        <f aca="false">IF(A3902="","",IF(S3902="","BYPASS",IF(ABS(S3902)&lt;=Summary!$B$2,"PASS","FAIL")))</f>
        <v/>
      </c>
      <c r="U3902" s="8" t="str">
        <f aca="false">IF(T3902="BYPASS",IF(NOT(ISNUMBER(Q3902)),"PreV_ETB missing","End_tr_balance missing"),IF(T3902="FAIL",IF(AND(ISNUMBER(K3902),ISNUMBER(L3902),ABS(L3902-(K3902-IF(ISNUMBER(N3902),N3902,0)-IF(ISNUMBER(O3902),O3902,0)+IF(ISNUMBER(P3902),P3902,0)))&lt;=Summary!$B$2),"Passes using beginning_balance - PreV_ETB differs from beginning_balance",IF(AND(ISNUMBER(O3902),O3902&lt;0,ABS(L3902-(Q3902-IF(ISNUMBER(N3902),N3902,0)+IF(ISNUMBER(P3902),P3902,0)))&lt;=Summary!$B$2),"Negative realized loss not applied - check sign",IF(R3902&lt;0,"Principal paid exceeds prior balance",IF(AND(L3902&gt;Q3902,NOT(ISNUMBER(P3902))),"Balance increased but no Deferred_interest reported",IF(L3902&gt;R3902,"Reported balance higher than expected (missing increase/OC build)","Reported balance lower than expected (missing decrease)"))))),""))</f>
        <v/>
      </c>
    </row>
    <row r="3903" customFormat="false" ht="15" hidden="false" customHeight="false" outlineLevel="0" collapsed="false">
      <c r="A3903" s="8"/>
      <c r="B3903" s="8"/>
      <c r="C3903" s="8"/>
      <c r="D3903" s="8"/>
      <c r="E3903" s="8"/>
      <c r="F3903" s="8"/>
      <c r="G3903" s="8"/>
      <c r="H3903" s="8"/>
      <c r="I3903" s="8"/>
      <c r="J3903" s="8"/>
      <c r="K3903" s="9"/>
      <c r="L3903" s="9"/>
      <c r="M3903" s="9"/>
      <c r="N3903" s="9"/>
      <c r="O3903" s="9"/>
      <c r="P3903" s="9"/>
      <c r="Q3903" s="9"/>
      <c r="R3903" s="9" t="str">
        <f aca="false">IF(AND(A3903&lt;&gt;"",ISNUMBER(Q3903),ISNUMBER(L3903)),ROUND(Q3903-IF(ISNUMBER(N3903),N3903,0)-IF(ISNUMBER(O3903),O3903,0)+IF(ISNUMBER(P3903),P3903,0),2),"")</f>
        <v/>
      </c>
      <c r="S3903" s="9" t="str">
        <f aca="false">IF(R3903="","",ROUND(L3903-R3903,2))</f>
        <v/>
      </c>
      <c r="T3903" s="8" t="str">
        <f aca="false">IF(A3903="","",IF(S3903="","BYPASS",IF(ABS(S3903)&lt;=Summary!$B$2,"PASS","FAIL")))</f>
        <v/>
      </c>
      <c r="U3903" s="8" t="str">
        <f aca="false">IF(T3903="BYPASS",IF(NOT(ISNUMBER(Q3903)),"PreV_ETB missing","End_tr_balance missing"),IF(T3903="FAIL",IF(AND(ISNUMBER(K3903),ISNUMBER(L3903),ABS(L3903-(K3903-IF(ISNUMBER(N3903),N3903,0)-IF(ISNUMBER(O3903),O3903,0)+IF(ISNUMBER(P3903),P3903,0)))&lt;=Summary!$B$2),"Passes using beginning_balance - PreV_ETB differs from beginning_balance",IF(AND(ISNUMBER(O3903),O3903&lt;0,ABS(L3903-(Q3903-IF(ISNUMBER(N3903),N3903,0)+IF(ISNUMBER(P3903),P3903,0)))&lt;=Summary!$B$2),"Negative realized loss not applied - check sign",IF(R3903&lt;0,"Principal paid exceeds prior balance",IF(AND(L3903&gt;Q3903,NOT(ISNUMBER(P3903))),"Balance increased but no Deferred_interest reported",IF(L3903&gt;R3903,"Reported balance higher than expected (missing increase/OC build)","Reported balance lower than expected (missing decrease)"))))),""))</f>
        <v/>
      </c>
    </row>
    <row r="3904" customFormat="false" ht="15" hidden="false" customHeight="false" outlineLevel="0" collapsed="false">
      <c r="A3904" s="8"/>
      <c r="B3904" s="8"/>
      <c r="C3904" s="8"/>
      <c r="D3904" s="8"/>
      <c r="E3904" s="8"/>
      <c r="F3904" s="8"/>
      <c r="G3904" s="8"/>
      <c r="H3904" s="8"/>
      <c r="I3904" s="8"/>
      <c r="J3904" s="8"/>
      <c r="K3904" s="9"/>
      <c r="L3904" s="9"/>
      <c r="M3904" s="9"/>
      <c r="N3904" s="9"/>
      <c r="O3904" s="9"/>
      <c r="P3904" s="9"/>
      <c r="Q3904" s="9"/>
      <c r="R3904" s="9" t="str">
        <f aca="false">IF(AND(A3904&lt;&gt;"",ISNUMBER(Q3904),ISNUMBER(L3904)),ROUND(Q3904-IF(ISNUMBER(N3904),N3904,0)-IF(ISNUMBER(O3904),O3904,0)+IF(ISNUMBER(P3904),P3904,0),2),"")</f>
        <v/>
      </c>
      <c r="S3904" s="9" t="str">
        <f aca="false">IF(R3904="","",ROUND(L3904-R3904,2))</f>
        <v/>
      </c>
      <c r="T3904" s="8" t="str">
        <f aca="false">IF(A3904="","",IF(S3904="","BYPASS",IF(ABS(S3904)&lt;=Summary!$B$2,"PASS","FAIL")))</f>
        <v/>
      </c>
      <c r="U3904" s="8" t="str">
        <f aca="false">IF(T3904="BYPASS",IF(NOT(ISNUMBER(Q3904)),"PreV_ETB missing","End_tr_balance missing"),IF(T3904="FAIL",IF(AND(ISNUMBER(K3904),ISNUMBER(L3904),ABS(L3904-(K3904-IF(ISNUMBER(N3904),N3904,0)-IF(ISNUMBER(O3904),O3904,0)+IF(ISNUMBER(P3904),P3904,0)))&lt;=Summary!$B$2),"Passes using beginning_balance - PreV_ETB differs from beginning_balance",IF(AND(ISNUMBER(O3904),O3904&lt;0,ABS(L3904-(Q3904-IF(ISNUMBER(N3904),N3904,0)+IF(ISNUMBER(P3904),P3904,0)))&lt;=Summary!$B$2),"Negative realized loss not applied - check sign",IF(R3904&lt;0,"Principal paid exceeds prior balance",IF(AND(L3904&gt;Q3904,NOT(ISNUMBER(P3904))),"Balance increased but no Deferred_interest reported",IF(L3904&gt;R3904,"Reported balance higher than expected (missing increase/OC build)","Reported balance lower than expected (missing decrease)"))))),""))</f>
        <v/>
      </c>
    </row>
    <row r="3905" customFormat="false" ht="15" hidden="false" customHeight="false" outlineLevel="0" collapsed="false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9"/>
      <c r="L3905" s="9"/>
      <c r="M3905" s="9"/>
      <c r="N3905" s="9"/>
      <c r="O3905" s="9"/>
      <c r="P3905" s="9"/>
      <c r="Q3905" s="9"/>
      <c r="R3905" s="9" t="str">
        <f aca="false">IF(AND(A3905&lt;&gt;"",ISNUMBER(Q3905),ISNUMBER(L3905)),ROUND(Q3905-IF(ISNUMBER(N3905),N3905,0)-IF(ISNUMBER(O3905),O3905,0)+IF(ISNUMBER(P3905),P3905,0),2),"")</f>
        <v/>
      </c>
      <c r="S3905" s="9" t="str">
        <f aca="false">IF(R3905="","",ROUND(L3905-R3905,2))</f>
        <v/>
      </c>
      <c r="T3905" s="8" t="str">
        <f aca="false">IF(A3905="","",IF(S3905="","BYPASS",IF(ABS(S3905)&lt;=Summary!$B$2,"PASS","FAIL")))</f>
        <v/>
      </c>
      <c r="U3905" s="8" t="str">
        <f aca="false">IF(T3905="BYPASS",IF(NOT(ISNUMBER(Q3905)),"PreV_ETB missing","End_tr_balance missing"),IF(T3905="FAIL",IF(AND(ISNUMBER(K3905),ISNUMBER(L3905),ABS(L3905-(K3905-IF(ISNUMBER(N3905),N3905,0)-IF(ISNUMBER(O3905),O3905,0)+IF(ISNUMBER(P3905),P3905,0)))&lt;=Summary!$B$2),"Passes using beginning_balance - PreV_ETB differs from beginning_balance",IF(AND(ISNUMBER(O3905),O3905&lt;0,ABS(L3905-(Q3905-IF(ISNUMBER(N3905),N3905,0)+IF(ISNUMBER(P3905),P3905,0)))&lt;=Summary!$B$2),"Negative realized loss not applied - check sign",IF(R3905&lt;0,"Principal paid exceeds prior balance",IF(AND(L3905&gt;Q3905,NOT(ISNUMBER(P3905))),"Balance increased but no Deferred_interest reported",IF(L3905&gt;R3905,"Reported balance higher than expected (missing increase/OC build)","Reported balance lower than expected (missing decrease)"))))),""))</f>
        <v/>
      </c>
    </row>
    <row r="3906" customFormat="false" ht="15" hidden="false" customHeight="false" outlineLevel="0" collapsed="false">
      <c r="A3906" s="8"/>
      <c r="B3906" s="8"/>
      <c r="C3906" s="8"/>
      <c r="D3906" s="8"/>
      <c r="E3906" s="8"/>
      <c r="F3906" s="8"/>
      <c r="G3906" s="8"/>
      <c r="H3906" s="8"/>
      <c r="I3906" s="8"/>
      <c r="J3906" s="8"/>
      <c r="K3906" s="9"/>
      <c r="L3906" s="9"/>
      <c r="M3906" s="9"/>
      <c r="N3906" s="9"/>
      <c r="O3906" s="9"/>
      <c r="P3906" s="9"/>
      <c r="Q3906" s="9"/>
      <c r="R3906" s="9" t="str">
        <f aca="false">IF(AND(A3906&lt;&gt;"",ISNUMBER(Q3906),ISNUMBER(L3906)),ROUND(Q3906-IF(ISNUMBER(N3906),N3906,0)-IF(ISNUMBER(O3906),O3906,0)+IF(ISNUMBER(P3906),P3906,0),2),"")</f>
        <v/>
      </c>
      <c r="S3906" s="9" t="str">
        <f aca="false">IF(R3906="","",ROUND(L3906-R3906,2))</f>
        <v/>
      </c>
      <c r="T3906" s="8" t="str">
        <f aca="false">IF(A3906="","",IF(S3906="","BYPASS",IF(ABS(S3906)&lt;=Summary!$B$2,"PASS","FAIL")))</f>
        <v/>
      </c>
      <c r="U3906" s="8" t="str">
        <f aca="false">IF(T3906="BYPASS",IF(NOT(ISNUMBER(Q3906)),"PreV_ETB missing","End_tr_balance missing"),IF(T3906="FAIL",IF(AND(ISNUMBER(K3906),ISNUMBER(L3906),ABS(L3906-(K3906-IF(ISNUMBER(N3906),N3906,0)-IF(ISNUMBER(O3906),O3906,0)+IF(ISNUMBER(P3906),P3906,0)))&lt;=Summary!$B$2),"Passes using beginning_balance - PreV_ETB differs from beginning_balance",IF(AND(ISNUMBER(O3906),O3906&lt;0,ABS(L3906-(Q3906-IF(ISNUMBER(N3906),N3906,0)+IF(ISNUMBER(P3906),P3906,0)))&lt;=Summary!$B$2),"Negative realized loss not applied - check sign",IF(R3906&lt;0,"Principal paid exceeds prior balance",IF(AND(L3906&gt;Q3906,NOT(ISNUMBER(P3906))),"Balance increased but no Deferred_interest reported",IF(L3906&gt;R3906,"Reported balance higher than expected (missing increase/OC build)","Reported balance lower than expected (missing decrease)"))))),""))</f>
        <v/>
      </c>
    </row>
    <row r="3907" customFormat="false" ht="15" hidden="false" customHeight="false" outlineLevel="0" collapsed="false">
      <c r="A3907" s="8"/>
      <c r="B3907" s="8"/>
      <c r="C3907" s="8"/>
      <c r="D3907" s="8"/>
      <c r="E3907" s="8"/>
      <c r="F3907" s="8"/>
      <c r="G3907" s="8"/>
      <c r="H3907" s="8"/>
      <c r="I3907" s="8"/>
      <c r="J3907" s="8"/>
      <c r="K3907" s="9"/>
      <c r="L3907" s="9"/>
      <c r="M3907" s="9"/>
      <c r="N3907" s="9"/>
      <c r="O3907" s="9"/>
      <c r="P3907" s="9"/>
      <c r="Q3907" s="9"/>
      <c r="R3907" s="9" t="str">
        <f aca="false">IF(AND(A3907&lt;&gt;"",ISNUMBER(Q3907),ISNUMBER(L3907)),ROUND(Q3907-IF(ISNUMBER(N3907),N3907,0)-IF(ISNUMBER(O3907),O3907,0)+IF(ISNUMBER(P3907),P3907,0),2),"")</f>
        <v/>
      </c>
      <c r="S3907" s="9" t="str">
        <f aca="false">IF(R3907="","",ROUND(L3907-R3907,2))</f>
        <v/>
      </c>
      <c r="T3907" s="8" t="str">
        <f aca="false">IF(A3907="","",IF(S3907="","BYPASS",IF(ABS(S3907)&lt;=Summary!$B$2,"PASS","FAIL")))</f>
        <v/>
      </c>
      <c r="U3907" s="8" t="str">
        <f aca="false">IF(T3907="BYPASS",IF(NOT(ISNUMBER(Q3907)),"PreV_ETB missing","End_tr_balance missing"),IF(T3907="FAIL",IF(AND(ISNUMBER(K3907),ISNUMBER(L3907),ABS(L3907-(K3907-IF(ISNUMBER(N3907),N3907,0)-IF(ISNUMBER(O3907),O3907,0)+IF(ISNUMBER(P3907),P3907,0)))&lt;=Summary!$B$2),"Passes using beginning_balance - PreV_ETB differs from beginning_balance",IF(AND(ISNUMBER(O3907),O3907&lt;0,ABS(L3907-(Q3907-IF(ISNUMBER(N3907),N3907,0)+IF(ISNUMBER(P3907),P3907,0)))&lt;=Summary!$B$2),"Negative realized loss not applied - check sign",IF(R3907&lt;0,"Principal paid exceeds prior balance",IF(AND(L3907&gt;Q3907,NOT(ISNUMBER(P3907))),"Balance increased but no Deferred_interest reported",IF(L3907&gt;R3907,"Reported balance higher than expected (missing increase/OC build)","Reported balance lower than expected (missing decrease)"))))),""))</f>
        <v/>
      </c>
    </row>
    <row r="3908" customFormat="false" ht="15" hidden="false" customHeight="false" outlineLevel="0" collapsed="false">
      <c r="A3908" s="8"/>
      <c r="B3908" s="8"/>
      <c r="C3908" s="8"/>
      <c r="D3908" s="8"/>
      <c r="E3908" s="8"/>
      <c r="F3908" s="8"/>
      <c r="G3908" s="8"/>
      <c r="H3908" s="8"/>
      <c r="I3908" s="8"/>
      <c r="J3908" s="8"/>
      <c r="K3908" s="9"/>
      <c r="L3908" s="9"/>
      <c r="M3908" s="9"/>
      <c r="N3908" s="9"/>
      <c r="O3908" s="9"/>
      <c r="P3908" s="9"/>
      <c r="Q3908" s="9"/>
      <c r="R3908" s="9" t="str">
        <f aca="false">IF(AND(A3908&lt;&gt;"",ISNUMBER(Q3908),ISNUMBER(L3908)),ROUND(Q3908-IF(ISNUMBER(N3908),N3908,0)-IF(ISNUMBER(O3908),O3908,0)+IF(ISNUMBER(P3908),P3908,0),2),"")</f>
        <v/>
      </c>
      <c r="S3908" s="9" t="str">
        <f aca="false">IF(R3908="","",ROUND(L3908-R3908,2))</f>
        <v/>
      </c>
      <c r="T3908" s="8" t="str">
        <f aca="false">IF(A3908="","",IF(S3908="","BYPASS",IF(ABS(S3908)&lt;=Summary!$B$2,"PASS","FAIL")))</f>
        <v/>
      </c>
      <c r="U3908" s="8" t="str">
        <f aca="false">IF(T3908="BYPASS",IF(NOT(ISNUMBER(Q3908)),"PreV_ETB missing","End_tr_balance missing"),IF(T3908="FAIL",IF(AND(ISNUMBER(K3908),ISNUMBER(L3908),ABS(L3908-(K3908-IF(ISNUMBER(N3908),N3908,0)-IF(ISNUMBER(O3908),O3908,0)+IF(ISNUMBER(P3908),P3908,0)))&lt;=Summary!$B$2),"Passes using beginning_balance - PreV_ETB differs from beginning_balance",IF(AND(ISNUMBER(O3908),O3908&lt;0,ABS(L3908-(Q3908-IF(ISNUMBER(N3908),N3908,0)+IF(ISNUMBER(P3908),P3908,0)))&lt;=Summary!$B$2),"Negative realized loss not applied - check sign",IF(R3908&lt;0,"Principal paid exceeds prior balance",IF(AND(L3908&gt;Q3908,NOT(ISNUMBER(P3908))),"Balance increased but no Deferred_interest reported",IF(L3908&gt;R3908,"Reported balance higher than expected (missing increase/OC build)","Reported balance lower than expected (missing decrease)"))))),""))</f>
        <v/>
      </c>
    </row>
    <row r="3909" customFormat="false" ht="15" hidden="false" customHeight="false" outlineLevel="0" collapsed="false">
      <c r="A3909" s="8"/>
      <c r="B3909" s="8"/>
      <c r="C3909" s="8"/>
      <c r="D3909" s="8"/>
      <c r="E3909" s="8"/>
      <c r="F3909" s="8"/>
      <c r="G3909" s="8"/>
      <c r="H3909" s="8"/>
      <c r="I3909" s="8"/>
      <c r="J3909" s="8"/>
      <c r="K3909" s="9"/>
      <c r="L3909" s="9"/>
      <c r="M3909" s="9"/>
      <c r="N3909" s="9"/>
      <c r="O3909" s="9"/>
      <c r="P3909" s="9"/>
      <c r="Q3909" s="9"/>
      <c r="R3909" s="9" t="str">
        <f aca="false">IF(AND(A3909&lt;&gt;"",ISNUMBER(Q3909),ISNUMBER(L3909)),ROUND(Q3909-IF(ISNUMBER(N3909),N3909,0)-IF(ISNUMBER(O3909),O3909,0)+IF(ISNUMBER(P3909),P3909,0),2),"")</f>
        <v/>
      </c>
      <c r="S3909" s="9" t="str">
        <f aca="false">IF(R3909="","",ROUND(L3909-R3909,2))</f>
        <v/>
      </c>
      <c r="T3909" s="8" t="str">
        <f aca="false">IF(A3909="","",IF(S3909="","BYPASS",IF(ABS(S3909)&lt;=Summary!$B$2,"PASS","FAIL")))</f>
        <v/>
      </c>
      <c r="U3909" s="8" t="str">
        <f aca="false">IF(T3909="BYPASS",IF(NOT(ISNUMBER(Q3909)),"PreV_ETB missing","End_tr_balance missing"),IF(T3909="FAIL",IF(AND(ISNUMBER(K3909),ISNUMBER(L3909),ABS(L3909-(K3909-IF(ISNUMBER(N3909),N3909,0)-IF(ISNUMBER(O3909),O3909,0)+IF(ISNUMBER(P3909),P3909,0)))&lt;=Summary!$B$2),"Passes using beginning_balance - PreV_ETB differs from beginning_balance",IF(AND(ISNUMBER(O3909),O3909&lt;0,ABS(L3909-(Q3909-IF(ISNUMBER(N3909),N3909,0)+IF(ISNUMBER(P3909),P3909,0)))&lt;=Summary!$B$2),"Negative realized loss not applied - check sign",IF(R3909&lt;0,"Principal paid exceeds prior balance",IF(AND(L3909&gt;Q3909,NOT(ISNUMBER(P3909))),"Balance increased but no Deferred_interest reported",IF(L3909&gt;R3909,"Reported balance higher than expected (missing increase/OC build)","Reported balance lower than expected (missing decrease)"))))),""))</f>
        <v/>
      </c>
    </row>
    <row r="3910" customFormat="false" ht="15" hidden="false" customHeight="false" outlineLevel="0" collapsed="false">
      <c r="A3910" s="8"/>
      <c r="B3910" s="8"/>
      <c r="C3910" s="8"/>
      <c r="D3910" s="8"/>
      <c r="E3910" s="8"/>
      <c r="F3910" s="8"/>
      <c r="G3910" s="8"/>
      <c r="H3910" s="8"/>
      <c r="I3910" s="8"/>
      <c r="J3910" s="8"/>
      <c r="K3910" s="9"/>
      <c r="L3910" s="9"/>
      <c r="M3910" s="9"/>
      <c r="N3910" s="9"/>
      <c r="O3910" s="9"/>
      <c r="P3910" s="9"/>
      <c r="Q3910" s="9"/>
      <c r="R3910" s="9" t="str">
        <f aca="false">IF(AND(A3910&lt;&gt;"",ISNUMBER(Q3910),ISNUMBER(L3910)),ROUND(Q3910-IF(ISNUMBER(N3910),N3910,0)-IF(ISNUMBER(O3910),O3910,0)+IF(ISNUMBER(P3910),P3910,0),2),"")</f>
        <v/>
      </c>
      <c r="S3910" s="9" t="str">
        <f aca="false">IF(R3910="","",ROUND(L3910-R3910,2))</f>
        <v/>
      </c>
      <c r="T3910" s="8" t="str">
        <f aca="false">IF(A3910="","",IF(S3910="","BYPASS",IF(ABS(S3910)&lt;=Summary!$B$2,"PASS","FAIL")))</f>
        <v/>
      </c>
      <c r="U3910" s="8" t="str">
        <f aca="false">IF(T3910="BYPASS",IF(NOT(ISNUMBER(Q3910)),"PreV_ETB missing","End_tr_balance missing"),IF(T3910="FAIL",IF(AND(ISNUMBER(K3910),ISNUMBER(L3910),ABS(L3910-(K3910-IF(ISNUMBER(N3910),N3910,0)-IF(ISNUMBER(O3910),O3910,0)+IF(ISNUMBER(P3910),P3910,0)))&lt;=Summary!$B$2),"Passes using beginning_balance - PreV_ETB differs from beginning_balance",IF(AND(ISNUMBER(O3910),O3910&lt;0,ABS(L3910-(Q3910-IF(ISNUMBER(N3910),N3910,0)+IF(ISNUMBER(P3910),P3910,0)))&lt;=Summary!$B$2),"Negative realized loss not applied - check sign",IF(R3910&lt;0,"Principal paid exceeds prior balance",IF(AND(L3910&gt;Q3910,NOT(ISNUMBER(P3910))),"Balance increased but no Deferred_interest reported",IF(L3910&gt;R3910,"Reported balance higher than expected (missing increase/OC build)","Reported balance lower than expected (missing decrease)"))))),""))</f>
        <v/>
      </c>
    </row>
    <row r="3911" customFormat="false" ht="15" hidden="false" customHeight="false" outlineLevel="0" collapsed="false">
      <c r="A3911" s="8"/>
      <c r="B3911" s="8"/>
      <c r="C3911" s="8"/>
      <c r="D3911" s="8"/>
      <c r="E3911" s="8"/>
      <c r="F3911" s="8"/>
      <c r="G3911" s="8"/>
      <c r="H3911" s="8"/>
      <c r="I3911" s="8"/>
      <c r="J3911" s="8"/>
      <c r="K3911" s="9"/>
      <c r="L3911" s="9"/>
      <c r="M3911" s="9"/>
      <c r="N3911" s="9"/>
      <c r="O3911" s="9"/>
      <c r="P3911" s="9"/>
      <c r="Q3911" s="9"/>
      <c r="R3911" s="9" t="str">
        <f aca="false">IF(AND(A3911&lt;&gt;"",ISNUMBER(Q3911),ISNUMBER(L3911)),ROUND(Q3911-IF(ISNUMBER(N3911),N3911,0)-IF(ISNUMBER(O3911),O3911,0)+IF(ISNUMBER(P3911),P3911,0),2),"")</f>
        <v/>
      </c>
      <c r="S3911" s="9" t="str">
        <f aca="false">IF(R3911="","",ROUND(L3911-R3911,2))</f>
        <v/>
      </c>
      <c r="T3911" s="8" t="str">
        <f aca="false">IF(A3911="","",IF(S3911="","BYPASS",IF(ABS(S3911)&lt;=Summary!$B$2,"PASS","FAIL")))</f>
        <v/>
      </c>
      <c r="U3911" s="8" t="str">
        <f aca="false">IF(T3911="BYPASS",IF(NOT(ISNUMBER(Q3911)),"PreV_ETB missing","End_tr_balance missing"),IF(T3911="FAIL",IF(AND(ISNUMBER(K3911),ISNUMBER(L3911),ABS(L3911-(K3911-IF(ISNUMBER(N3911),N3911,0)-IF(ISNUMBER(O3911),O3911,0)+IF(ISNUMBER(P3911),P3911,0)))&lt;=Summary!$B$2),"Passes using beginning_balance - PreV_ETB differs from beginning_balance",IF(AND(ISNUMBER(O3911),O3911&lt;0,ABS(L3911-(Q3911-IF(ISNUMBER(N3911),N3911,0)+IF(ISNUMBER(P3911),P3911,0)))&lt;=Summary!$B$2),"Negative realized loss not applied - check sign",IF(R3911&lt;0,"Principal paid exceeds prior balance",IF(AND(L3911&gt;Q3911,NOT(ISNUMBER(P3911))),"Balance increased but no Deferred_interest reported",IF(L3911&gt;R3911,"Reported balance higher than expected (missing increase/OC build)","Reported balance lower than expected (missing decrease)"))))),""))</f>
        <v/>
      </c>
    </row>
    <row r="3912" customFormat="false" ht="15" hidden="false" customHeight="false" outlineLevel="0" collapsed="false">
      <c r="A3912" s="8"/>
      <c r="B3912" s="8"/>
      <c r="C3912" s="8"/>
      <c r="D3912" s="8"/>
      <c r="E3912" s="8"/>
      <c r="F3912" s="8"/>
      <c r="G3912" s="8"/>
      <c r="H3912" s="8"/>
      <c r="I3912" s="8"/>
      <c r="J3912" s="8"/>
      <c r="K3912" s="9"/>
      <c r="L3912" s="9"/>
      <c r="M3912" s="9"/>
      <c r="N3912" s="9"/>
      <c r="O3912" s="9"/>
      <c r="P3912" s="9"/>
      <c r="Q3912" s="9"/>
      <c r="R3912" s="9" t="str">
        <f aca="false">IF(AND(A3912&lt;&gt;"",ISNUMBER(Q3912),ISNUMBER(L3912)),ROUND(Q3912-IF(ISNUMBER(N3912),N3912,0)-IF(ISNUMBER(O3912),O3912,0)+IF(ISNUMBER(P3912),P3912,0),2),"")</f>
        <v/>
      </c>
      <c r="S3912" s="9" t="str">
        <f aca="false">IF(R3912="","",ROUND(L3912-R3912,2))</f>
        <v/>
      </c>
      <c r="T3912" s="8" t="str">
        <f aca="false">IF(A3912="","",IF(S3912="","BYPASS",IF(ABS(S3912)&lt;=Summary!$B$2,"PASS","FAIL")))</f>
        <v/>
      </c>
      <c r="U3912" s="8" t="str">
        <f aca="false">IF(T3912="BYPASS",IF(NOT(ISNUMBER(Q3912)),"PreV_ETB missing","End_tr_balance missing"),IF(T3912="FAIL",IF(AND(ISNUMBER(K3912),ISNUMBER(L3912),ABS(L3912-(K3912-IF(ISNUMBER(N3912),N3912,0)-IF(ISNUMBER(O3912),O3912,0)+IF(ISNUMBER(P3912),P3912,0)))&lt;=Summary!$B$2),"Passes using beginning_balance - PreV_ETB differs from beginning_balance",IF(AND(ISNUMBER(O3912),O3912&lt;0,ABS(L3912-(Q3912-IF(ISNUMBER(N3912),N3912,0)+IF(ISNUMBER(P3912),P3912,0)))&lt;=Summary!$B$2),"Negative realized loss not applied - check sign",IF(R3912&lt;0,"Principal paid exceeds prior balance",IF(AND(L3912&gt;Q3912,NOT(ISNUMBER(P3912))),"Balance increased but no Deferred_interest reported",IF(L3912&gt;R3912,"Reported balance higher than expected (missing increase/OC build)","Reported balance lower than expected (missing decrease)"))))),""))</f>
        <v/>
      </c>
    </row>
    <row r="3913" customFormat="false" ht="15" hidden="false" customHeight="false" outlineLevel="0" collapsed="false">
      <c r="A3913" s="8"/>
      <c r="B3913" s="8"/>
      <c r="C3913" s="8"/>
      <c r="D3913" s="8"/>
      <c r="E3913" s="8"/>
      <c r="F3913" s="8"/>
      <c r="G3913" s="8"/>
      <c r="H3913" s="8"/>
      <c r="I3913" s="8"/>
      <c r="J3913" s="8"/>
      <c r="K3913" s="9"/>
      <c r="L3913" s="9"/>
      <c r="M3913" s="9"/>
      <c r="N3913" s="9"/>
      <c r="O3913" s="9"/>
      <c r="P3913" s="9"/>
      <c r="Q3913" s="9"/>
      <c r="R3913" s="9" t="str">
        <f aca="false">IF(AND(A3913&lt;&gt;"",ISNUMBER(Q3913),ISNUMBER(L3913)),ROUND(Q3913-IF(ISNUMBER(N3913),N3913,0)-IF(ISNUMBER(O3913),O3913,0)+IF(ISNUMBER(P3913),P3913,0),2),"")</f>
        <v/>
      </c>
      <c r="S3913" s="9" t="str">
        <f aca="false">IF(R3913="","",ROUND(L3913-R3913,2))</f>
        <v/>
      </c>
      <c r="T3913" s="8" t="str">
        <f aca="false">IF(A3913="","",IF(S3913="","BYPASS",IF(ABS(S3913)&lt;=Summary!$B$2,"PASS","FAIL")))</f>
        <v/>
      </c>
      <c r="U3913" s="8" t="str">
        <f aca="false">IF(T3913="BYPASS",IF(NOT(ISNUMBER(Q3913)),"PreV_ETB missing","End_tr_balance missing"),IF(T3913="FAIL",IF(AND(ISNUMBER(K3913),ISNUMBER(L3913),ABS(L3913-(K3913-IF(ISNUMBER(N3913),N3913,0)-IF(ISNUMBER(O3913),O3913,0)+IF(ISNUMBER(P3913),P3913,0)))&lt;=Summary!$B$2),"Passes using beginning_balance - PreV_ETB differs from beginning_balance",IF(AND(ISNUMBER(O3913),O3913&lt;0,ABS(L3913-(Q3913-IF(ISNUMBER(N3913),N3913,0)+IF(ISNUMBER(P3913),P3913,0)))&lt;=Summary!$B$2),"Negative realized loss not applied - check sign",IF(R3913&lt;0,"Principal paid exceeds prior balance",IF(AND(L3913&gt;Q3913,NOT(ISNUMBER(P3913))),"Balance increased but no Deferred_interest reported",IF(L3913&gt;R3913,"Reported balance higher than expected (missing increase/OC build)","Reported balance lower than expected (missing decrease)"))))),""))</f>
        <v/>
      </c>
    </row>
    <row r="3914" customFormat="false" ht="15" hidden="false" customHeight="false" outlineLevel="0" collapsed="false">
      <c r="A3914" s="8"/>
      <c r="B3914" s="8"/>
      <c r="C3914" s="8"/>
      <c r="D3914" s="8"/>
      <c r="E3914" s="8"/>
      <c r="F3914" s="8"/>
      <c r="G3914" s="8"/>
      <c r="H3914" s="8"/>
      <c r="I3914" s="8"/>
      <c r="J3914" s="8"/>
      <c r="K3914" s="9"/>
      <c r="L3914" s="9"/>
      <c r="M3914" s="9"/>
      <c r="N3914" s="9"/>
      <c r="O3914" s="9"/>
      <c r="P3914" s="9"/>
      <c r="Q3914" s="9"/>
      <c r="R3914" s="9" t="str">
        <f aca="false">IF(AND(A3914&lt;&gt;"",ISNUMBER(Q3914),ISNUMBER(L3914)),ROUND(Q3914-IF(ISNUMBER(N3914),N3914,0)-IF(ISNUMBER(O3914),O3914,0)+IF(ISNUMBER(P3914),P3914,0),2),"")</f>
        <v/>
      </c>
      <c r="S3914" s="9" t="str">
        <f aca="false">IF(R3914="","",ROUND(L3914-R3914,2))</f>
        <v/>
      </c>
      <c r="T3914" s="8" t="str">
        <f aca="false">IF(A3914="","",IF(S3914="","BYPASS",IF(ABS(S3914)&lt;=Summary!$B$2,"PASS","FAIL")))</f>
        <v/>
      </c>
      <c r="U3914" s="8" t="str">
        <f aca="false">IF(T3914="BYPASS",IF(NOT(ISNUMBER(Q3914)),"PreV_ETB missing","End_tr_balance missing"),IF(T3914="FAIL",IF(AND(ISNUMBER(K3914),ISNUMBER(L3914),ABS(L3914-(K3914-IF(ISNUMBER(N3914),N3914,0)-IF(ISNUMBER(O3914),O3914,0)+IF(ISNUMBER(P3914),P3914,0)))&lt;=Summary!$B$2),"Passes using beginning_balance - PreV_ETB differs from beginning_balance",IF(AND(ISNUMBER(O3914),O3914&lt;0,ABS(L3914-(Q3914-IF(ISNUMBER(N3914),N3914,0)+IF(ISNUMBER(P3914),P3914,0)))&lt;=Summary!$B$2),"Negative realized loss not applied - check sign",IF(R3914&lt;0,"Principal paid exceeds prior balance",IF(AND(L3914&gt;Q3914,NOT(ISNUMBER(P3914))),"Balance increased but no Deferred_interest reported",IF(L3914&gt;R3914,"Reported balance higher than expected (missing increase/OC build)","Reported balance lower than expected (missing decrease)"))))),""))</f>
        <v/>
      </c>
    </row>
    <row r="3915" customFormat="false" ht="15" hidden="false" customHeight="false" outlineLevel="0" collapsed="false">
      <c r="A3915" s="8"/>
      <c r="B3915" s="8"/>
      <c r="C3915" s="8"/>
      <c r="D3915" s="8"/>
      <c r="E3915" s="8"/>
      <c r="F3915" s="8"/>
      <c r="G3915" s="8"/>
      <c r="H3915" s="8"/>
      <c r="I3915" s="8"/>
      <c r="J3915" s="8"/>
      <c r="K3915" s="9"/>
      <c r="L3915" s="9"/>
      <c r="M3915" s="9"/>
      <c r="N3915" s="9"/>
      <c r="O3915" s="9"/>
      <c r="P3915" s="9"/>
      <c r="Q3915" s="9"/>
      <c r="R3915" s="9" t="str">
        <f aca="false">IF(AND(A3915&lt;&gt;"",ISNUMBER(Q3915),ISNUMBER(L3915)),ROUND(Q3915-IF(ISNUMBER(N3915),N3915,0)-IF(ISNUMBER(O3915),O3915,0)+IF(ISNUMBER(P3915),P3915,0),2),"")</f>
        <v/>
      </c>
      <c r="S3915" s="9" t="str">
        <f aca="false">IF(R3915="","",ROUND(L3915-R3915,2))</f>
        <v/>
      </c>
      <c r="T3915" s="8" t="str">
        <f aca="false">IF(A3915="","",IF(S3915="","BYPASS",IF(ABS(S3915)&lt;=Summary!$B$2,"PASS","FAIL")))</f>
        <v/>
      </c>
      <c r="U3915" s="8" t="str">
        <f aca="false">IF(T3915="BYPASS",IF(NOT(ISNUMBER(Q3915)),"PreV_ETB missing","End_tr_balance missing"),IF(T3915="FAIL",IF(AND(ISNUMBER(K3915),ISNUMBER(L3915),ABS(L3915-(K3915-IF(ISNUMBER(N3915),N3915,0)-IF(ISNUMBER(O3915),O3915,0)+IF(ISNUMBER(P3915),P3915,0)))&lt;=Summary!$B$2),"Passes using beginning_balance - PreV_ETB differs from beginning_balance",IF(AND(ISNUMBER(O3915),O3915&lt;0,ABS(L3915-(Q3915-IF(ISNUMBER(N3915),N3915,0)+IF(ISNUMBER(P3915),P3915,0)))&lt;=Summary!$B$2),"Negative realized loss not applied - check sign",IF(R3915&lt;0,"Principal paid exceeds prior balance",IF(AND(L3915&gt;Q3915,NOT(ISNUMBER(P3915))),"Balance increased but no Deferred_interest reported",IF(L3915&gt;R3915,"Reported balance higher than expected (missing increase/OC build)","Reported balance lower than expected (missing decrease)"))))),""))</f>
        <v/>
      </c>
    </row>
    <row r="3916" customFormat="false" ht="15" hidden="false" customHeight="false" outlineLevel="0" collapsed="false">
      <c r="A3916" s="8"/>
      <c r="B3916" s="8"/>
      <c r="C3916" s="8"/>
      <c r="D3916" s="8"/>
      <c r="E3916" s="8"/>
      <c r="F3916" s="8"/>
      <c r="G3916" s="8"/>
      <c r="H3916" s="8"/>
      <c r="I3916" s="8"/>
      <c r="J3916" s="8"/>
      <c r="K3916" s="9"/>
      <c r="L3916" s="9"/>
      <c r="M3916" s="9"/>
      <c r="N3916" s="9"/>
      <c r="O3916" s="9"/>
      <c r="P3916" s="9"/>
      <c r="Q3916" s="9"/>
      <c r="R3916" s="9" t="str">
        <f aca="false">IF(AND(A3916&lt;&gt;"",ISNUMBER(Q3916),ISNUMBER(L3916)),ROUND(Q3916-IF(ISNUMBER(N3916),N3916,0)-IF(ISNUMBER(O3916),O3916,0)+IF(ISNUMBER(P3916),P3916,0),2),"")</f>
        <v/>
      </c>
      <c r="S3916" s="9" t="str">
        <f aca="false">IF(R3916="","",ROUND(L3916-R3916,2))</f>
        <v/>
      </c>
      <c r="T3916" s="8" t="str">
        <f aca="false">IF(A3916="","",IF(S3916="","BYPASS",IF(ABS(S3916)&lt;=Summary!$B$2,"PASS","FAIL")))</f>
        <v/>
      </c>
      <c r="U3916" s="8" t="str">
        <f aca="false">IF(T3916="BYPASS",IF(NOT(ISNUMBER(Q3916)),"PreV_ETB missing","End_tr_balance missing"),IF(T3916="FAIL",IF(AND(ISNUMBER(K3916),ISNUMBER(L3916),ABS(L3916-(K3916-IF(ISNUMBER(N3916),N3916,0)-IF(ISNUMBER(O3916),O3916,0)+IF(ISNUMBER(P3916),P3916,0)))&lt;=Summary!$B$2),"Passes using beginning_balance - PreV_ETB differs from beginning_balance",IF(AND(ISNUMBER(O3916),O3916&lt;0,ABS(L3916-(Q3916-IF(ISNUMBER(N3916),N3916,0)+IF(ISNUMBER(P3916),P3916,0)))&lt;=Summary!$B$2),"Negative realized loss not applied - check sign",IF(R3916&lt;0,"Principal paid exceeds prior balance",IF(AND(L3916&gt;Q3916,NOT(ISNUMBER(P3916))),"Balance increased but no Deferred_interest reported",IF(L3916&gt;R3916,"Reported balance higher than expected (missing increase/OC build)","Reported balance lower than expected (missing decrease)"))))),""))</f>
        <v/>
      </c>
    </row>
    <row r="3917" customFormat="false" ht="15" hidden="false" customHeight="false" outlineLevel="0" collapsed="false">
      <c r="A3917" s="8"/>
      <c r="B3917" s="8"/>
      <c r="C3917" s="8"/>
      <c r="D3917" s="8"/>
      <c r="E3917" s="8"/>
      <c r="F3917" s="8"/>
      <c r="G3917" s="8"/>
      <c r="H3917" s="8"/>
      <c r="I3917" s="8"/>
      <c r="J3917" s="8"/>
      <c r="K3917" s="9"/>
      <c r="L3917" s="9"/>
      <c r="M3917" s="9"/>
      <c r="N3917" s="9"/>
      <c r="O3917" s="9"/>
      <c r="P3917" s="9"/>
      <c r="Q3917" s="9"/>
      <c r="R3917" s="9" t="str">
        <f aca="false">IF(AND(A3917&lt;&gt;"",ISNUMBER(Q3917),ISNUMBER(L3917)),ROUND(Q3917-IF(ISNUMBER(N3917),N3917,0)-IF(ISNUMBER(O3917),O3917,0)+IF(ISNUMBER(P3917),P3917,0),2),"")</f>
        <v/>
      </c>
      <c r="S3917" s="9" t="str">
        <f aca="false">IF(R3917="","",ROUND(L3917-R3917,2))</f>
        <v/>
      </c>
      <c r="T3917" s="8" t="str">
        <f aca="false">IF(A3917="","",IF(S3917="","BYPASS",IF(ABS(S3917)&lt;=Summary!$B$2,"PASS","FAIL")))</f>
        <v/>
      </c>
      <c r="U3917" s="8" t="str">
        <f aca="false">IF(T3917="BYPASS",IF(NOT(ISNUMBER(Q3917)),"PreV_ETB missing","End_tr_balance missing"),IF(T3917="FAIL",IF(AND(ISNUMBER(K3917),ISNUMBER(L3917),ABS(L3917-(K3917-IF(ISNUMBER(N3917),N3917,0)-IF(ISNUMBER(O3917),O3917,0)+IF(ISNUMBER(P3917),P3917,0)))&lt;=Summary!$B$2),"Passes using beginning_balance - PreV_ETB differs from beginning_balance",IF(AND(ISNUMBER(O3917),O3917&lt;0,ABS(L3917-(Q3917-IF(ISNUMBER(N3917),N3917,0)+IF(ISNUMBER(P3917),P3917,0)))&lt;=Summary!$B$2),"Negative realized loss not applied - check sign",IF(R3917&lt;0,"Principal paid exceeds prior balance",IF(AND(L3917&gt;Q3917,NOT(ISNUMBER(P3917))),"Balance increased but no Deferred_interest reported",IF(L3917&gt;R3917,"Reported balance higher than expected (missing increase/OC build)","Reported balance lower than expected (missing decrease)"))))),""))</f>
        <v/>
      </c>
    </row>
    <row r="3918" customFormat="false" ht="15" hidden="false" customHeight="false" outlineLevel="0" collapsed="false">
      <c r="A3918" s="8"/>
      <c r="B3918" s="8"/>
      <c r="C3918" s="8"/>
      <c r="D3918" s="8"/>
      <c r="E3918" s="8"/>
      <c r="F3918" s="8"/>
      <c r="G3918" s="8"/>
      <c r="H3918" s="8"/>
      <c r="I3918" s="8"/>
      <c r="J3918" s="8"/>
      <c r="K3918" s="9"/>
      <c r="L3918" s="9"/>
      <c r="M3918" s="9"/>
      <c r="N3918" s="9"/>
      <c r="O3918" s="9"/>
      <c r="P3918" s="9"/>
      <c r="Q3918" s="9"/>
      <c r="R3918" s="9" t="str">
        <f aca="false">IF(AND(A3918&lt;&gt;"",ISNUMBER(Q3918),ISNUMBER(L3918)),ROUND(Q3918-IF(ISNUMBER(N3918),N3918,0)-IF(ISNUMBER(O3918),O3918,0)+IF(ISNUMBER(P3918),P3918,0),2),"")</f>
        <v/>
      </c>
      <c r="S3918" s="9" t="str">
        <f aca="false">IF(R3918="","",ROUND(L3918-R3918,2))</f>
        <v/>
      </c>
      <c r="T3918" s="8" t="str">
        <f aca="false">IF(A3918="","",IF(S3918="","BYPASS",IF(ABS(S3918)&lt;=Summary!$B$2,"PASS","FAIL")))</f>
        <v/>
      </c>
      <c r="U3918" s="8" t="str">
        <f aca="false">IF(T3918="BYPASS",IF(NOT(ISNUMBER(Q3918)),"PreV_ETB missing","End_tr_balance missing"),IF(T3918="FAIL",IF(AND(ISNUMBER(K3918),ISNUMBER(L3918),ABS(L3918-(K3918-IF(ISNUMBER(N3918),N3918,0)-IF(ISNUMBER(O3918),O3918,0)+IF(ISNUMBER(P3918),P3918,0)))&lt;=Summary!$B$2),"Passes using beginning_balance - PreV_ETB differs from beginning_balance",IF(AND(ISNUMBER(O3918),O3918&lt;0,ABS(L3918-(Q3918-IF(ISNUMBER(N3918),N3918,0)+IF(ISNUMBER(P3918),P3918,0)))&lt;=Summary!$B$2),"Negative realized loss not applied - check sign",IF(R3918&lt;0,"Principal paid exceeds prior balance",IF(AND(L3918&gt;Q3918,NOT(ISNUMBER(P3918))),"Balance increased but no Deferred_interest reported",IF(L3918&gt;R3918,"Reported balance higher than expected (missing increase/OC build)","Reported balance lower than expected (missing decrease)"))))),""))</f>
        <v/>
      </c>
    </row>
    <row r="3919" customFormat="false" ht="15" hidden="false" customHeight="false" outlineLevel="0" collapsed="false">
      <c r="A3919" s="8"/>
      <c r="B3919" s="8"/>
      <c r="C3919" s="8"/>
      <c r="D3919" s="8"/>
      <c r="E3919" s="8"/>
      <c r="F3919" s="8"/>
      <c r="G3919" s="8"/>
      <c r="H3919" s="8"/>
      <c r="I3919" s="8"/>
      <c r="J3919" s="8"/>
      <c r="K3919" s="9"/>
      <c r="L3919" s="9"/>
      <c r="M3919" s="9"/>
      <c r="N3919" s="9"/>
      <c r="O3919" s="9"/>
      <c r="P3919" s="9"/>
      <c r="Q3919" s="9"/>
      <c r="R3919" s="9" t="str">
        <f aca="false">IF(AND(A3919&lt;&gt;"",ISNUMBER(Q3919),ISNUMBER(L3919)),ROUND(Q3919-IF(ISNUMBER(N3919),N3919,0)-IF(ISNUMBER(O3919),O3919,0)+IF(ISNUMBER(P3919),P3919,0),2),"")</f>
        <v/>
      </c>
      <c r="S3919" s="9" t="str">
        <f aca="false">IF(R3919="","",ROUND(L3919-R3919,2))</f>
        <v/>
      </c>
      <c r="T3919" s="8" t="str">
        <f aca="false">IF(A3919="","",IF(S3919="","BYPASS",IF(ABS(S3919)&lt;=Summary!$B$2,"PASS","FAIL")))</f>
        <v/>
      </c>
      <c r="U3919" s="8" t="str">
        <f aca="false">IF(T3919="BYPASS",IF(NOT(ISNUMBER(Q3919)),"PreV_ETB missing","End_tr_balance missing"),IF(T3919="FAIL",IF(AND(ISNUMBER(K3919),ISNUMBER(L3919),ABS(L3919-(K3919-IF(ISNUMBER(N3919),N3919,0)-IF(ISNUMBER(O3919),O3919,0)+IF(ISNUMBER(P3919),P3919,0)))&lt;=Summary!$B$2),"Passes using beginning_balance - PreV_ETB differs from beginning_balance",IF(AND(ISNUMBER(O3919),O3919&lt;0,ABS(L3919-(Q3919-IF(ISNUMBER(N3919),N3919,0)+IF(ISNUMBER(P3919),P3919,0)))&lt;=Summary!$B$2),"Negative realized loss not applied - check sign",IF(R3919&lt;0,"Principal paid exceeds prior balance",IF(AND(L3919&gt;Q3919,NOT(ISNUMBER(P3919))),"Balance increased but no Deferred_interest reported",IF(L3919&gt;R3919,"Reported balance higher than expected (missing increase/OC build)","Reported balance lower than expected (missing decrease)"))))),""))</f>
        <v/>
      </c>
    </row>
    <row r="3920" customFormat="false" ht="15" hidden="false" customHeight="false" outlineLevel="0" collapsed="false">
      <c r="A3920" s="8"/>
      <c r="B3920" s="8"/>
      <c r="C3920" s="8"/>
      <c r="D3920" s="8"/>
      <c r="E3920" s="8"/>
      <c r="F3920" s="8"/>
      <c r="G3920" s="8"/>
      <c r="H3920" s="8"/>
      <c r="I3920" s="8"/>
      <c r="J3920" s="8"/>
      <c r="K3920" s="9"/>
      <c r="L3920" s="9"/>
      <c r="M3920" s="9"/>
      <c r="N3920" s="9"/>
      <c r="O3920" s="9"/>
      <c r="P3920" s="9"/>
      <c r="Q3920" s="9"/>
      <c r="R3920" s="9" t="str">
        <f aca="false">IF(AND(A3920&lt;&gt;"",ISNUMBER(Q3920),ISNUMBER(L3920)),ROUND(Q3920-IF(ISNUMBER(N3920),N3920,0)-IF(ISNUMBER(O3920),O3920,0)+IF(ISNUMBER(P3920),P3920,0),2),"")</f>
        <v/>
      </c>
      <c r="S3920" s="9" t="str">
        <f aca="false">IF(R3920="","",ROUND(L3920-R3920,2))</f>
        <v/>
      </c>
      <c r="T3920" s="8" t="str">
        <f aca="false">IF(A3920="","",IF(S3920="","BYPASS",IF(ABS(S3920)&lt;=Summary!$B$2,"PASS","FAIL")))</f>
        <v/>
      </c>
      <c r="U3920" s="8" t="str">
        <f aca="false">IF(T3920="BYPASS",IF(NOT(ISNUMBER(Q3920)),"PreV_ETB missing","End_tr_balance missing"),IF(T3920="FAIL",IF(AND(ISNUMBER(K3920),ISNUMBER(L3920),ABS(L3920-(K3920-IF(ISNUMBER(N3920),N3920,0)-IF(ISNUMBER(O3920),O3920,0)+IF(ISNUMBER(P3920),P3920,0)))&lt;=Summary!$B$2),"Passes using beginning_balance - PreV_ETB differs from beginning_balance",IF(AND(ISNUMBER(O3920),O3920&lt;0,ABS(L3920-(Q3920-IF(ISNUMBER(N3920),N3920,0)+IF(ISNUMBER(P3920),P3920,0)))&lt;=Summary!$B$2),"Negative realized loss not applied - check sign",IF(R3920&lt;0,"Principal paid exceeds prior balance",IF(AND(L3920&gt;Q3920,NOT(ISNUMBER(P3920))),"Balance increased but no Deferred_interest reported",IF(L3920&gt;R3920,"Reported balance higher than expected (missing increase/OC build)","Reported balance lower than expected (missing decrease)"))))),""))</f>
        <v/>
      </c>
    </row>
    <row r="3921" customFormat="false" ht="15" hidden="false" customHeight="false" outlineLevel="0" collapsed="false">
      <c r="A3921" s="8"/>
      <c r="B3921" s="8"/>
      <c r="C3921" s="8"/>
      <c r="D3921" s="8"/>
      <c r="E3921" s="8"/>
      <c r="F3921" s="8"/>
      <c r="G3921" s="8"/>
      <c r="H3921" s="8"/>
      <c r="I3921" s="8"/>
      <c r="J3921" s="8"/>
      <c r="K3921" s="9"/>
      <c r="L3921" s="9"/>
      <c r="M3921" s="9"/>
      <c r="N3921" s="9"/>
      <c r="O3921" s="9"/>
      <c r="P3921" s="9"/>
      <c r="Q3921" s="9"/>
      <c r="R3921" s="9" t="str">
        <f aca="false">IF(AND(A3921&lt;&gt;"",ISNUMBER(Q3921),ISNUMBER(L3921)),ROUND(Q3921-IF(ISNUMBER(N3921),N3921,0)-IF(ISNUMBER(O3921),O3921,0)+IF(ISNUMBER(P3921),P3921,0),2),"")</f>
        <v/>
      </c>
      <c r="S3921" s="9" t="str">
        <f aca="false">IF(R3921="","",ROUND(L3921-R3921,2))</f>
        <v/>
      </c>
      <c r="T3921" s="8" t="str">
        <f aca="false">IF(A3921="","",IF(S3921="","BYPASS",IF(ABS(S3921)&lt;=Summary!$B$2,"PASS","FAIL")))</f>
        <v/>
      </c>
      <c r="U3921" s="8" t="str">
        <f aca="false">IF(T3921="BYPASS",IF(NOT(ISNUMBER(Q3921)),"PreV_ETB missing","End_tr_balance missing"),IF(T3921="FAIL",IF(AND(ISNUMBER(K3921),ISNUMBER(L3921),ABS(L3921-(K3921-IF(ISNUMBER(N3921),N3921,0)-IF(ISNUMBER(O3921),O3921,0)+IF(ISNUMBER(P3921),P3921,0)))&lt;=Summary!$B$2),"Passes using beginning_balance - PreV_ETB differs from beginning_balance",IF(AND(ISNUMBER(O3921),O3921&lt;0,ABS(L3921-(Q3921-IF(ISNUMBER(N3921),N3921,0)+IF(ISNUMBER(P3921),P3921,0)))&lt;=Summary!$B$2),"Negative realized loss not applied - check sign",IF(R3921&lt;0,"Principal paid exceeds prior balance",IF(AND(L3921&gt;Q3921,NOT(ISNUMBER(P3921))),"Balance increased but no Deferred_interest reported",IF(L3921&gt;R3921,"Reported balance higher than expected (missing increase/OC build)","Reported balance lower than expected (missing decrease)"))))),""))</f>
        <v/>
      </c>
    </row>
    <row r="3922" customFormat="false" ht="15" hidden="false" customHeight="false" outlineLevel="0" collapsed="false">
      <c r="A3922" s="8"/>
      <c r="B3922" s="8"/>
      <c r="C3922" s="8"/>
      <c r="D3922" s="8"/>
      <c r="E3922" s="8"/>
      <c r="F3922" s="8"/>
      <c r="G3922" s="8"/>
      <c r="H3922" s="8"/>
      <c r="I3922" s="8"/>
      <c r="J3922" s="8"/>
      <c r="K3922" s="9"/>
      <c r="L3922" s="9"/>
      <c r="M3922" s="9"/>
      <c r="N3922" s="9"/>
      <c r="O3922" s="9"/>
      <c r="P3922" s="9"/>
      <c r="Q3922" s="9"/>
      <c r="R3922" s="9" t="str">
        <f aca="false">IF(AND(A3922&lt;&gt;"",ISNUMBER(Q3922),ISNUMBER(L3922)),ROUND(Q3922-IF(ISNUMBER(N3922),N3922,0)-IF(ISNUMBER(O3922),O3922,0)+IF(ISNUMBER(P3922),P3922,0),2),"")</f>
        <v/>
      </c>
      <c r="S3922" s="9" t="str">
        <f aca="false">IF(R3922="","",ROUND(L3922-R3922,2))</f>
        <v/>
      </c>
      <c r="T3922" s="8" t="str">
        <f aca="false">IF(A3922="","",IF(S3922="","BYPASS",IF(ABS(S3922)&lt;=Summary!$B$2,"PASS","FAIL")))</f>
        <v/>
      </c>
      <c r="U3922" s="8" t="str">
        <f aca="false">IF(T3922="BYPASS",IF(NOT(ISNUMBER(Q3922)),"PreV_ETB missing","End_tr_balance missing"),IF(T3922="FAIL",IF(AND(ISNUMBER(K3922),ISNUMBER(L3922),ABS(L3922-(K3922-IF(ISNUMBER(N3922),N3922,0)-IF(ISNUMBER(O3922),O3922,0)+IF(ISNUMBER(P3922),P3922,0)))&lt;=Summary!$B$2),"Passes using beginning_balance - PreV_ETB differs from beginning_balance",IF(AND(ISNUMBER(O3922),O3922&lt;0,ABS(L3922-(Q3922-IF(ISNUMBER(N3922),N3922,0)+IF(ISNUMBER(P3922),P3922,0)))&lt;=Summary!$B$2),"Negative realized loss not applied - check sign",IF(R3922&lt;0,"Principal paid exceeds prior balance",IF(AND(L3922&gt;Q3922,NOT(ISNUMBER(P3922))),"Balance increased but no Deferred_interest reported",IF(L3922&gt;R3922,"Reported balance higher than expected (missing increase/OC build)","Reported balance lower than expected (missing decrease)"))))),""))</f>
        <v/>
      </c>
    </row>
    <row r="3923" customFormat="false" ht="15" hidden="false" customHeight="false" outlineLevel="0" collapsed="false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9"/>
      <c r="L3923" s="9"/>
      <c r="M3923" s="9"/>
      <c r="N3923" s="9"/>
      <c r="O3923" s="9"/>
      <c r="P3923" s="9"/>
      <c r="Q3923" s="9"/>
      <c r="R3923" s="9" t="str">
        <f aca="false">IF(AND(A3923&lt;&gt;"",ISNUMBER(Q3923),ISNUMBER(L3923)),ROUND(Q3923-IF(ISNUMBER(N3923),N3923,0)-IF(ISNUMBER(O3923),O3923,0)+IF(ISNUMBER(P3923),P3923,0),2),"")</f>
        <v/>
      </c>
      <c r="S3923" s="9" t="str">
        <f aca="false">IF(R3923="","",ROUND(L3923-R3923,2))</f>
        <v/>
      </c>
      <c r="T3923" s="8" t="str">
        <f aca="false">IF(A3923="","",IF(S3923="","BYPASS",IF(ABS(S3923)&lt;=Summary!$B$2,"PASS","FAIL")))</f>
        <v/>
      </c>
      <c r="U3923" s="8" t="str">
        <f aca="false">IF(T3923="BYPASS",IF(NOT(ISNUMBER(Q3923)),"PreV_ETB missing","End_tr_balance missing"),IF(T3923="FAIL",IF(AND(ISNUMBER(K3923),ISNUMBER(L3923),ABS(L3923-(K3923-IF(ISNUMBER(N3923),N3923,0)-IF(ISNUMBER(O3923),O3923,0)+IF(ISNUMBER(P3923),P3923,0)))&lt;=Summary!$B$2),"Passes using beginning_balance - PreV_ETB differs from beginning_balance",IF(AND(ISNUMBER(O3923),O3923&lt;0,ABS(L3923-(Q3923-IF(ISNUMBER(N3923),N3923,0)+IF(ISNUMBER(P3923),P3923,0)))&lt;=Summary!$B$2),"Negative realized loss not applied - check sign",IF(R3923&lt;0,"Principal paid exceeds prior balance",IF(AND(L3923&gt;Q3923,NOT(ISNUMBER(P3923))),"Balance increased but no Deferred_interest reported",IF(L3923&gt;R3923,"Reported balance higher than expected (missing increase/OC build)","Reported balance lower than expected (missing decrease)"))))),""))</f>
        <v/>
      </c>
    </row>
    <row r="3924" customFormat="false" ht="15" hidden="false" customHeight="false" outlineLevel="0" collapsed="false">
      <c r="A3924" s="8"/>
      <c r="B3924" s="8"/>
      <c r="C3924" s="8"/>
      <c r="D3924" s="8"/>
      <c r="E3924" s="8"/>
      <c r="F3924" s="8"/>
      <c r="G3924" s="8"/>
      <c r="H3924" s="8"/>
      <c r="I3924" s="8"/>
      <c r="J3924" s="8"/>
      <c r="K3924" s="9"/>
      <c r="L3924" s="9"/>
      <c r="M3924" s="9"/>
      <c r="N3924" s="9"/>
      <c r="O3924" s="9"/>
      <c r="P3924" s="9"/>
      <c r="Q3924" s="9"/>
      <c r="R3924" s="9" t="str">
        <f aca="false">IF(AND(A3924&lt;&gt;"",ISNUMBER(Q3924),ISNUMBER(L3924)),ROUND(Q3924-IF(ISNUMBER(N3924),N3924,0)-IF(ISNUMBER(O3924),O3924,0)+IF(ISNUMBER(P3924),P3924,0),2),"")</f>
        <v/>
      </c>
      <c r="S3924" s="9" t="str">
        <f aca="false">IF(R3924="","",ROUND(L3924-R3924,2))</f>
        <v/>
      </c>
      <c r="T3924" s="8" t="str">
        <f aca="false">IF(A3924="","",IF(S3924="","BYPASS",IF(ABS(S3924)&lt;=Summary!$B$2,"PASS","FAIL")))</f>
        <v/>
      </c>
      <c r="U3924" s="8" t="str">
        <f aca="false">IF(T3924="BYPASS",IF(NOT(ISNUMBER(Q3924)),"PreV_ETB missing","End_tr_balance missing"),IF(T3924="FAIL",IF(AND(ISNUMBER(K3924),ISNUMBER(L3924),ABS(L3924-(K3924-IF(ISNUMBER(N3924),N3924,0)-IF(ISNUMBER(O3924),O3924,0)+IF(ISNUMBER(P3924),P3924,0)))&lt;=Summary!$B$2),"Passes using beginning_balance - PreV_ETB differs from beginning_balance",IF(AND(ISNUMBER(O3924),O3924&lt;0,ABS(L3924-(Q3924-IF(ISNUMBER(N3924),N3924,0)+IF(ISNUMBER(P3924),P3924,0)))&lt;=Summary!$B$2),"Negative realized loss not applied - check sign",IF(R3924&lt;0,"Principal paid exceeds prior balance",IF(AND(L3924&gt;Q3924,NOT(ISNUMBER(P3924))),"Balance increased but no Deferred_interest reported",IF(L3924&gt;R3924,"Reported balance higher than expected (missing increase/OC build)","Reported balance lower than expected (missing decrease)"))))),""))</f>
        <v/>
      </c>
    </row>
    <row r="3925" customFormat="false" ht="15" hidden="false" customHeight="false" outlineLevel="0" collapsed="false">
      <c r="A3925" s="8"/>
      <c r="B3925" s="8"/>
      <c r="C3925" s="8"/>
      <c r="D3925" s="8"/>
      <c r="E3925" s="8"/>
      <c r="F3925" s="8"/>
      <c r="G3925" s="8"/>
      <c r="H3925" s="8"/>
      <c r="I3925" s="8"/>
      <c r="J3925" s="8"/>
      <c r="K3925" s="9"/>
      <c r="L3925" s="9"/>
      <c r="M3925" s="9"/>
      <c r="N3925" s="9"/>
      <c r="O3925" s="9"/>
      <c r="P3925" s="9"/>
      <c r="Q3925" s="9"/>
      <c r="R3925" s="9" t="str">
        <f aca="false">IF(AND(A3925&lt;&gt;"",ISNUMBER(Q3925),ISNUMBER(L3925)),ROUND(Q3925-IF(ISNUMBER(N3925),N3925,0)-IF(ISNUMBER(O3925),O3925,0)+IF(ISNUMBER(P3925),P3925,0),2),"")</f>
        <v/>
      </c>
      <c r="S3925" s="9" t="str">
        <f aca="false">IF(R3925="","",ROUND(L3925-R3925,2))</f>
        <v/>
      </c>
      <c r="T3925" s="8" t="str">
        <f aca="false">IF(A3925="","",IF(S3925="","BYPASS",IF(ABS(S3925)&lt;=Summary!$B$2,"PASS","FAIL")))</f>
        <v/>
      </c>
      <c r="U3925" s="8" t="str">
        <f aca="false">IF(T3925="BYPASS",IF(NOT(ISNUMBER(Q3925)),"PreV_ETB missing","End_tr_balance missing"),IF(T3925="FAIL",IF(AND(ISNUMBER(K3925),ISNUMBER(L3925),ABS(L3925-(K3925-IF(ISNUMBER(N3925),N3925,0)-IF(ISNUMBER(O3925),O3925,0)+IF(ISNUMBER(P3925),P3925,0)))&lt;=Summary!$B$2),"Passes using beginning_balance - PreV_ETB differs from beginning_balance",IF(AND(ISNUMBER(O3925),O3925&lt;0,ABS(L3925-(Q3925-IF(ISNUMBER(N3925),N3925,0)+IF(ISNUMBER(P3925),P3925,0)))&lt;=Summary!$B$2),"Negative realized loss not applied - check sign",IF(R3925&lt;0,"Principal paid exceeds prior balance",IF(AND(L3925&gt;Q3925,NOT(ISNUMBER(P3925))),"Balance increased but no Deferred_interest reported",IF(L3925&gt;R3925,"Reported balance higher than expected (missing increase/OC build)","Reported balance lower than expected (missing decrease)"))))),""))</f>
        <v/>
      </c>
    </row>
    <row r="3926" customFormat="false" ht="15" hidden="false" customHeight="false" outlineLevel="0" collapsed="false">
      <c r="A3926" s="8"/>
      <c r="B3926" s="8"/>
      <c r="C3926" s="8"/>
      <c r="D3926" s="8"/>
      <c r="E3926" s="8"/>
      <c r="F3926" s="8"/>
      <c r="G3926" s="8"/>
      <c r="H3926" s="8"/>
      <c r="I3926" s="8"/>
      <c r="J3926" s="8"/>
      <c r="K3926" s="9"/>
      <c r="L3926" s="9"/>
      <c r="M3926" s="9"/>
      <c r="N3926" s="9"/>
      <c r="O3926" s="9"/>
      <c r="P3926" s="9"/>
      <c r="Q3926" s="9"/>
      <c r="R3926" s="9" t="str">
        <f aca="false">IF(AND(A3926&lt;&gt;"",ISNUMBER(Q3926),ISNUMBER(L3926)),ROUND(Q3926-IF(ISNUMBER(N3926),N3926,0)-IF(ISNUMBER(O3926),O3926,0)+IF(ISNUMBER(P3926),P3926,0),2),"")</f>
        <v/>
      </c>
      <c r="S3926" s="9" t="str">
        <f aca="false">IF(R3926="","",ROUND(L3926-R3926,2))</f>
        <v/>
      </c>
      <c r="T3926" s="8" t="str">
        <f aca="false">IF(A3926="","",IF(S3926="","BYPASS",IF(ABS(S3926)&lt;=Summary!$B$2,"PASS","FAIL")))</f>
        <v/>
      </c>
      <c r="U3926" s="8" t="str">
        <f aca="false">IF(T3926="BYPASS",IF(NOT(ISNUMBER(Q3926)),"PreV_ETB missing","End_tr_balance missing"),IF(T3926="FAIL",IF(AND(ISNUMBER(K3926),ISNUMBER(L3926),ABS(L3926-(K3926-IF(ISNUMBER(N3926),N3926,0)-IF(ISNUMBER(O3926),O3926,0)+IF(ISNUMBER(P3926),P3926,0)))&lt;=Summary!$B$2),"Passes using beginning_balance - PreV_ETB differs from beginning_balance",IF(AND(ISNUMBER(O3926),O3926&lt;0,ABS(L3926-(Q3926-IF(ISNUMBER(N3926),N3926,0)+IF(ISNUMBER(P3926),P3926,0)))&lt;=Summary!$B$2),"Negative realized loss not applied - check sign",IF(R3926&lt;0,"Principal paid exceeds prior balance",IF(AND(L3926&gt;Q3926,NOT(ISNUMBER(P3926))),"Balance increased but no Deferred_interest reported",IF(L3926&gt;R3926,"Reported balance higher than expected (missing increase/OC build)","Reported balance lower than expected (missing decrease)"))))),""))</f>
        <v/>
      </c>
    </row>
    <row r="3927" customFormat="false" ht="15" hidden="false" customHeight="false" outlineLevel="0" collapsed="false">
      <c r="A3927" s="8"/>
      <c r="B3927" s="8"/>
      <c r="C3927" s="8"/>
      <c r="D3927" s="8"/>
      <c r="E3927" s="8"/>
      <c r="F3927" s="8"/>
      <c r="G3927" s="8"/>
      <c r="H3927" s="8"/>
      <c r="I3927" s="8"/>
      <c r="J3927" s="8"/>
      <c r="K3927" s="9"/>
      <c r="L3927" s="9"/>
      <c r="M3927" s="9"/>
      <c r="N3927" s="9"/>
      <c r="O3927" s="9"/>
      <c r="P3927" s="9"/>
      <c r="Q3927" s="9"/>
      <c r="R3927" s="9" t="str">
        <f aca="false">IF(AND(A3927&lt;&gt;"",ISNUMBER(Q3927),ISNUMBER(L3927)),ROUND(Q3927-IF(ISNUMBER(N3927),N3927,0)-IF(ISNUMBER(O3927),O3927,0)+IF(ISNUMBER(P3927),P3927,0),2),"")</f>
        <v/>
      </c>
      <c r="S3927" s="9" t="str">
        <f aca="false">IF(R3927="","",ROUND(L3927-R3927,2))</f>
        <v/>
      </c>
      <c r="T3927" s="8" t="str">
        <f aca="false">IF(A3927="","",IF(S3927="","BYPASS",IF(ABS(S3927)&lt;=Summary!$B$2,"PASS","FAIL")))</f>
        <v/>
      </c>
      <c r="U3927" s="8" t="str">
        <f aca="false">IF(T3927="BYPASS",IF(NOT(ISNUMBER(Q3927)),"PreV_ETB missing","End_tr_balance missing"),IF(T3927="FAIL",IF(AND(ISNUMBER(K3927),ISNUMBER(L3927),ABS(L3927-(K3927-IF(ISNUMBER(N3927),N3927,0)-IF(ISNUMBER(O3927),O3927,0)+IF(ISNUMBER(P3927),P3927,0)))&lt;=Summary!$B$2),"Passes using beginning_balance - PreV_ETB differs from beginning_balance",IF(AND(ISNUMBER(O3927),O3927&lt;0,ABS(L3927-(Q3927-IF(ISNUMBER(N3927),N3927,0)+IF(ISNUMBER(P3927),P3927,0)))&lt;=Summary!$B$2),"Negative realized loss not applied - check sign",IF(R3927&lt;0,"Principal paid exceeds prior balance",IF(AND(L3927&gt;Q3927,NOT(ISNUMBER(P3927))),"Balance increased but no Deferred_interest reported",IF(L3927&gt;R3927,"Reported balance higher than expected (missing increase/OC build)","Reported balance lower than expected (missing decrease)"))))),""))</f>
        <v/>
      </c>
    </row>
    <row r="3928" customFormat="false" ht="15" hidden="false" customHeight="false" outlineLevel="0" collapsed="false">
      <c r="A3928" s="8"/>
      <c r="B3928" s="8"/>
      <c r="C3928" s="8"/>
      <c r="D3928" s="8"/>
      <c r="E3928" s="8"/>
      <c r="F3928" s="8"/>
      <c r="G3928" s="8"/>
      <c r="H3928" s="8"/>
      <c r="I3928" s="8"/>
      <c r="J3928" s="8"/>
      <c r="K3928" s="9"/>
      <c r="L3928" s="9"/>
      <c r="M3928" s="9"/>
      <c r="N3928" s="9"/>
      <c r="O3928" s="9"/>
      <c r="P3928" s="9"/>
      <c r="Q3928" s="9"/>
      <c r="R3928" s="9" t="str">
        <f aca="false">IF(AND(A3928&lt;&gt;"",ISNUMBER(Q3928),ISNUMBER(L3928)),ROUND(Q3928-IF(ISNUMBER(N3928),N3928,0)-IF(ISNUMBER(O3928),O3928,0)+IF(ISNUMBER(P3928),P3928,0),2),"")</f>
        <v/>
      </c>
      <c r="S3928" s="9" t="str">
        <f aca="false">IF(R3928="","",ROUND(L3928-R3928,2))</f>
        <v/>
      </c>
      <c r="T3928" s="8" t="str">
        <f aca="false">IF(A3928="","",IF(S3928="","BYPASS",IF(ABS(S3928)&lt;=Summary!$B$2,"PASS","FAIL")))</f>
        <v/>
      </c>
      <c r="U3928" s="8" t="str">
        <f aca="false">IF(T3928="BYPASS",IF(NOT(ISNUMBER(Q3928)),"PreV_ETB missing","End_tr_balance missing"),IF(T3928="FAIL",IF(AND(ISNUMBER(K3928),ISNUMBER(L3928),ABS(L3928-(K3928-IF(ISNUMBER(N3928),N3928,0)-IF(ISNUMBER(O3928),O3928,0)+IF(ISNUMBER(P3928),P3928,0)))&lt;=Summary!$B$2),"Passes using beginning_balance - PreV_ETB differs from beginning_balance",IF(AND(ISNUMBER(O3928),O3928&lt;0,ABS(L3928-(Q3928-IF(ISNUMBER(N3928),N3928,0)+IF(ISNUMBER(P3928),P3928,0)))&lt;=Summary!$B$2),"Negative realized loss not applied - check sign",IF(R3928&lt;0,"Principal paid exceeds prior balance",IF(AND(L3928&gt;Q3928,NOT(ISNUMBER(P3928))),"Balance increased but no Deferred_interest reported",IF(L3928&gt;R3928,"Reported balance higher than expected (missing increase/OC build)","Reported balance lower than expected (missing decrease)"))))),""))</f>
        <v/>
      </c>
    </row>
    <row r="3929" customFormat="false" ht="15" hidden="false" customHeight="false" outlineLevel="0" collapsed="false">
      <c r="A3929" s="8"/>
      <c r="B3929" s="8"/>
      <c r="C3929" s="8"/>
      <c r="D3929" s="8"/>
      <c r="E3929" s="8"/>
      <c r="F3929" s="8"/>
      <c r="G3929" s="8"/>
      <c r="H3929" s="8"/>
      <c r="I3929" s="8"/>
      <c r="J3929" s="8"/>
      <c r="K3929" s="9"/>
      <c r="L3929" s="9"/>
      <c r="M3929" s="9"/>
      <c r="N3929" s="9"/>
      <c r="O3929" s="9"/>
      <c r="P3929" s="9"/>
      <c r="Q3929" s="9"/>
      <c r="R3929" s="9" t="str">
        <f aca="false">IF(AND(A3929&lt;&gt;"",ISNUMBER(Q3929),ISNUMBER(L3929)),ROUND(Q3929-IF(ISNUMBER(N3929),N3929,0)-IF(ISNUMBER(O3929),O3929,0)+IF(ISNUMBER(P3929),P3929,0),2),"")</f>
        <v/>
      </c>
      <c r="S3929" s="9" t="str">
        <f aca="false">IF(R3929="","",ROUND(L3929-R3929,2))</f>
        <v/>
      </c>
      <c r="T3929" s="8" t="str">
        <f aca="false">IF(A3929="","",IF(S3929="","BYPASS",IF(ABS(S3929)&lt;=Summary!$B$2,"PASS","FAIL")))</f>
        <v/>
      </c>
      <c r="U3929" s="8" t="str">
        <f aca="false">IF(T3929="BYPASS",IF(NOT(ISNUMBER(Q3929)),"PreV_ETB missing","End_tr_balance missing"),IF(T3929="FAIL",IF(AND(ISNUMBER(K3929),ISNUMBER(L3929),ABS(L3929-(K3929-IF(ISNUMBER(N3929),N3929,0)-IF(ISNUMBER(O3929),O3929,0)+IF(ISNUMBER(P3929),P3929,0)))&lt;=Summary!$B$2),"Passes using beginning_balance - PreV_ETB differs from beginning_balance",IF(AND(ISNUMBER(O3929),O3929&lt;0,ABS(L3929-(Q3929-IF(ISNUMBER(N3929),N3929,0)+IF(ISNUMBER(P3929),P3929,0)))&lt;=Summary!$B$2),"Negative realized loss not applied - check sign",IF(R3929&lt;0,"Principal paid exceeds prior balance",IF(AND(L3929&gt;Q3929,NOT(ISNUMBER(P3929))),"Balance increased but no Deferred_interest reported",IF(L3929&gt;R3929,"Reported balance higher than expected (missing increase/OC build)","Reported balance lower than expected (missing decrease)"))))),""))</f>
        <v/>
      </c>
    </row>
    <row r="3930" customFormat="false" ht="15" hidden="false" customHeight="false" outlineLevel="0" collapsed="false">
      <c r="A3930" s="8"/>
      <c r="B3930" s="8"/>
      <c r="C3930" s="8"/>
      <c r="D3930" s="8"/>
      <c r="E3930" s="8"/>
      <c r="F3930" s="8"/>
      <c r="G3930" s="8"/>
      <c r="H3930" s="8"/>
      <c r="I3930" s="8"/>
      <c r="J3930" s="8"/>
      <c r="K3930" s="9"/>
      <c r="L3930" s="9"/>
      <c r="M3930" s="9"/>
      <c r="N3930" s="9"/>
      <c r="O3930" s="9"/>
      <c r="P3930" s="9"/>
      <c r="Q3930" s="9"/>
      <c r="R3930" s="9" t="str">
        <f aca="false">IF(AND(A3930&lt;&gt;"",ISNUMBER(Q3930),ISNUMBER(L3930)),ROUND(Q3930-IF(ISNUMBER(N3930),N3930,0)-IF(ISNUMBER(O3930),O3930,0)+IF(ISNUMBER(P3930),P3930,0),2),"")</f>
        <v/>
      </c>
      <c r="S3930" s="9" t="str">
        <f aca="false">IF(R3930="","",ROUND(L3930-R3930,2))</f>
        <v/>
      </c>
      <c r="T3930" s="8" t="str">
        <f aca="false">IF(A3930="","",IF(S3930="","BYPASS",IF(ABS(S3930)&lt;=Summary!$B$2,"PASS","FAIL")))</f>
        <v/>
      </c>
      <c r="U3930" s="8" t="str">
        <f aca="false">IF(T3930="BYPASS",IF(NOT(ISNUMBER(Q3930)),"PreV_ETB missing","End_tr_balance missing"),IF(T3930="FAIL",IF(AND(ISNUMBER(K3930),ISNUMBER(L3930),ABS(L3930-(K3930-IF(ISNUMBER(N3930),N3930,0)-IF(ISNUMBER(O3930),O3930,0)+IF(ISNUMBER(P3930),P3930,0)))&lt;=Summary!$B$2),"Passes using beginning_balance - PreV_ETB differs from beginning_balance",IF(AND(ISNUMBER(O3930),O3930&lt;0,ABS(L3930-(Q3930-IF(ISNUMBER(N3930),N3930,0)+IF(ISNUMBER(P3930),P3930,0)))&lt;=Summary!$B$2),"Negative realized loss not applied - check sign",IF(R3930&lt;0,"Principal paid exceeds prior balance",IF(AND(L3930&gt;Q3930,NOT(ISNUMBER(P3930))),"Balance increased but no Deferred_interest reported",IF(L3930&gt;R3930,"Reported balance higher than expected (missing increase/OC build)","Reported balance lower than expected (missing decrease)"))))),""))</f>
        <v/>
      </c>
    </row>
    <row r="3931" customFormat="false" ht="15" hidden="false" customHeight="false" outlineLevel="0" collapsed="false">
      <c r="A3931" s="8"/>
      <c r="B3931" s="8"/>
      <c r="C3931" s="8"/>
      <c r="D3931" s="8"/>
      <c r="E3931" s="8"/>
      <c r="F3931" s="8"/>
      <c r="G3931" s="8"/>
      <c r="H3931" s="8"/>
      <c r="I3931" s="8"/>
      <c r="J3931" s="8"/>
      <c r="K3931" s="9"/>
      <c r="L3931" s="9"/>
      <c r="M3931" s="9"/>
      <c r="N3931" s="9"/>
      <c r="O3931" s="9"/>
      <c r="P3931" s="9"/>
      <c r="Q3931" s="9"/>
      <c r="R3931" s="9" t="str">
        <f aca="false">IF(AND(A3931&lt;&gt;"",ISNUMBER(Q3931),ISNUMBER(L3931)),ROUND(Q3931-IF(ISNUMBER(N3931),N3931,0)-IF(ISNUMBER(O3931),O3931,0)+IF(ISNUMBER(P3931),P3931,0),2),"")</f>
        <v/>
      </c>
      <c r="S3931" s="9" t="str">
        <f aca="false">IF(R3931="","",ROUND(L3931-R3931,2))</f>
        <v/>
      </c>
      <c r="T3931" s="8" t="str">
        <f aca="false">IF(A3931="","",IF(S3931="","BYPASS",IF(ABS(S3931)&lt;=Summary!$B$2,"PASS","FAIL")))</f>
        <v/>
      </c>
      <c r="U3931" s="8" t="str">
        <f aca="false">IF(T3931="BYPASS",IF(NOT(ISNUMBER(Q3931)),"PreV_ETB missing","End_tr_balance missing"),IF(T3931="FAIL",IF(AND(ISNUMBER(K3931),ISNUMBER(L3931),ABS(L3931-(K3931-IF(ISNUMBER(N3931),N3931,0)-IF(ISNUMBER(O3931),O3931,0)+IF(ISNUMBER(P3931),P3931,0)))&lt;=Summary!$B$2),"Passes using beginning_balance - PreV_ETB differs from beginning_balance",IF(AND(ISNUMBER(O3931),O3931&lt;0,ABS(L3931-(Q3931-IF(ISNUMBER(N3931),N3931,0)+IF(ISNUMBER(P3931),P3931,0)))&lt;=Summary!$B$2),"Negative realized loss not applied - check sign",IF(R3931&lt;0,"Principal paid exceeds prior balance",IF(AND(L3931&gt;Q3931,NOT(ISNUMBER(P3931))),"Balance increased but no Deferred_interest reported",IF(L3931&gt;R3931,"Reported balance higher than expected (missing increase/OC build)","Reported balance lower than expected (missing decrease)"))))),""))</f>
        <v/>
      </c>
    </row>
    <row r="3932" customFormat="false" ht="15" hidden="false" customHeight="false" outlineLevel="0" collapsed="false">
      <c r="A3932" s="8"/>
      <c r="B3932" s="8"/>
      <c r="C3932" s="8"/>
      <c r="D3932" s="8"/>
      <c r="E3932" s="8"/>
      <c r="F3932" s="8"/>
      <c r="G3932" s="8"/>
      <c r="H3932" s="8"/>
      <c r="I3932" s="8"/>
      <c r="J3932" s="8"/>
      <c r="K3932" s="9"/>
      <c r="L3932" s="9"/>
      <c r="M3932" s="9"/>
      <c r="N3932" s="9"/>
      <c r="O3932" s="9"/>
      <c r="P3932" s="9"/>
      <c r="Q3932" s="9"/>
      <c r="R3932" s="9" t="str">
        <f aca="false">IF(AND(A3932&lt;&gt;"",ISNUMBER(Q3932),ISNUMBER(L3932)),ROUND(Q3932-IF(ISNUMBER(N3932),N3932,0)-IF(ISNUMBER(O3932),O3932,0)+IF(ISNUMBER(P3932),P3932,0),2),"")</f>
        <v/>
      </c>
      <c r="S3932" s="9" t="str">
        <f aca="false">IF(R3932="","",ROUND(L3932-R3932,2))</f>
        <v/>
      </c>
      <c r="T3932" s="8" t="str">
        <f aca="false">IF(A3932="","",IF(S3932="","BYPASS",IF(ABS(S3932)&lt;=Summary!$B$2,"PASS","FAIL")))</f>
        <v/>
      </c>
      <c r="U3932" s="8" t="str">
        <f aca="false">IF(T3932="BYPASS",IF(NOT(ISNUMBER(Q3932)),"PreV_ETB missing","End_tr_balance missing"),IF(T3932="FAIL",IF(AND(ISNUMBER(K3932),ISNUMBER(L3932),ABS(L3932-(K3932-IF(ISNUMBER(N3932),N3932,0)-IF(ISNUMBER(O3932),O3932,0)+IF(ISNUMBER(P3932),P3932,0)))&lt;=Summary!$B$2),"Passes using beginning_balance - PreV_ETB differs from beginning_balance",IF(AND(ISNUMBER(O3932),O3932&lt;0,ABS(L3932-(Q3932-IF(ISNUMBER(N3932),N3932,0)+IF(ISNUMBER(P3932),P3932,0)))&lt;=Summary!$B$2),"Negative realized loss not applied - check sign",IF(R3932&lt;0,"Principal paid exceeds prior balance",IF(AND(L3932&gt;Q3932,NOT(ISNUMBER(P3932))),"Balance increased but no Deferred_interest reported",IF(L3932&gt;R3932,"Reported balance higher than expected (missing increase/OC build)","Reported balance lower than expected (missing decrease)"))))),""))</f>
        <v/>
      </c>
    </row>
    <row r="3933" customFormat="false" ht="15" hidden="false" customHeight="false" outlineLevel="0" collapsed="false">
      <c r="A3933" s="8"/>
      <c r="B3933" s="8"/>
      <c r="C3933" s="8"/>
      <c r="D3933" s="8"/>
      <c r="E3933" s="8"/>
      <c r="F3933" s="8"/>
      <c r="G3933" s="8"/>
      <c r="H3933" s="8"/>
      <c r="I3933" s="8"/>
      <c r="J3933" s="8"/>
      <c r="K3933" s="9"/>
      <c r="L3933" s="9"/>
      <c r="M3933" s="9"/>
      <c r="N3933" s="9"/>
      <c r="O3933" s="9"/>
      <c r="P3933" s="9"/>
      <c r="Q3933" s="9"/>
      <c r="R3933" s="9" t="str">
        <f aca="false">IF(AND(A3933&lt;&gt;"",ISNUMBER(Q3933),ISNUMBER(L3933)),ROUND(Q3933-IF(ISNUMBER(N3933),N3933,0)-IF(ISNUMBER(O3933),O3933,0)+IF(ISNUMBER(P3933),P3933,0),2),"")</f>
        <v/>
      </c>
      <c r="S3933" s="9" t="str">
        <f aca="false">IF(R3933="","",ROUND(L3933-R3933,2))</f>
        <v/>
      </c>
      <c r="T3933" s="8" t="str">
        <f aca="false">IF(A3933="","",IF(S3933="","BYPASS",IF(ABS(S3933)&lt;=Summary!$B$2,"PASS","FAIL")))</f>
        <v/>
      </c>
      <c r="U3933" s="8" t="str">
        <f aca="false">IF(T3933="BYPASS",IF(NOT(ISNUMBER(Q3933)),"PreV_ETB missing","End_tr_balance missing"),IF(T3933="FAIL",IF(AND(ISNUMBER(K3933),ISNUMBER(L3933),ABS(L3933-(K3933-IF(ISNUMBER(N3933),N3933,0)-IF(ISNUMBER(O3933),O3933,0)+IF(ISNUMBER(P3933),P3933,0)))&lt;=Summary!$B$2),"Passes using beginning_balance - PreV_ETB differs from beginning_balance",IF(AND(ISNUMBER(O3933),O3933&lt;0,ABS(L3933-(Q3933-IF(ISNUMBER(N3933),N3933,0)+IF(ISNUMBER(P3933),P3933,0)))&lt;=Summary!$B$2),"Negative realized loss not applied - check sign",IF(R3933&lt;0,"Principal paid exceeds prior balance",IF(AND(L3933&gt;Q3933,NOT(ISNUMBER(P3933))),"Balance increased but no Deferred_interest reported",IF(L3933&gt;R3933,"Reported balance higher than expected (missing increase/OC build)","Reported balance lower than expected (missing decrease)"))))),""))</f>
        <v/>
      </c>
    </row>
    <row r="3934" customFormat="false" ht="15" hidden="false" customHeight="false" outlineLevel="0" collapsed="false">
      <c r="A3934" s="8"/>
      <c r="B3934" s="8"/>
      <c r="C3934" s="8"/>
      <c r="D3934" s="8"/>
      <c r="E3934" s="8"/>
      <c r="F3934" s="8"/>
      <c r="G3934" s="8"/>
      <c r="H3934" s="8"/>
      <c r="I3934" s="8"/>
      <c r="J3934" s="8"/>
      <c r="K3934" s="9"/>
      <c r="L3934" s="9"/>
      <c r="M3934" s="9"/>
      <c r="N3934" s="9"/>
      <c r="O3934" s="9"/>
      <c r="P3934" s="9"/>
      <c r="Q3934" s="9"/>
      <c r="R3934" s="9" t="str">
        <f aca="false">IF(AND(A3934&lt;&gt;"",ISNUMBER(Q3934),ISNUMBER(L3934)),ROUND(Q3934-IF(ISNUMBER(N3934),N3934,0)-IF(ISNUMBER(O3934),O3934,0)+IF(ISNUMBER(P3934),P3934,0),2),"")</f>
        <v/>
      </c>
      <c r="S3934" s="9" t="str">
        <f aca="false">IF(R3934="","",ROUND(L3934-R3934,2))</f>
        <v/>
      </c>
      <c r="T3934" s="8" t="str">
        <f aca="false">IF(A3934="","",IF(S3934="","BYPASS",IF(ABS(S3934)&lt;=Summary!$B$2,"PASS","FAIL")))</f>
        <v/>
      </c>
      <c r="U3934" s="8" t="str">
        <f aca="false">IF(T3934="BYPASS",IF(NOT(ISNUMBER(Q3934)),"PreV_ETB missing","End_tr_balance missing"),IF(T3934="FAIL",IF(AND(ISNUMBER(K3934),ISNUMBER(L3934),ABS(L3934-(K3934-IF(ISNUMBER(N3934),N3934,0)-IF(ISNUMBER(O3934),O3934,0)+IF(ISNUMBER(P3934),P3934,0)))&lt;=Summary!$B$2),"Passes using beginning_balance - PreV_ETB differs from beginning_balance",IF(AND(ISNUMBER(O3934),O3934&lt;0,ABS(L3934-(Q3934-IF(ISNUMBER(N3934),N3934,0)+IF(ISNUMBER(P3934),P3934,0)))&lt;=Summary!$B$2),"Negative realized loss not applied - check sign",IF(R3934&lt;0,"Principal paid exceeds prior balance",IF(AND(L3934&gt;Q3934,NOT(ISNUMBER(P3934))),"Balance increased but no Deferred_interest reported",IF(L3934&gt;R3934,"Reported balance higher than expected (missing increase/OC build)","Reported balance lower than expected (missing decrease)"))))),""))</f>
        <v/>
      </c>
    </row>
    <row r="3935" customFormat="false" ht="15" hidden="false" customHeight="false" outlineLevel="0" collapsed="false">
      <c r="A3935" s="8"/>
      <c r="B3935" s="8"/>
      <c r="C3935" s="8"/>
      <c r="D3935" s="8"/>
      <c r="E3935" s="8"/>
      <c r="F3935" s="8"/>
      <c r="G3935" s="8"/>
      <c r="H3935" s="8"/>
      <c r="I3935" s="8"/>
      <c r="J3935" s="8"/>
      <c r="K3935" s="9"/>
      <c r="L3935" s="9"/>
      <c r="M3935" s="9"/>
      <c r="N3935" s="9"/>
      <c r="O3935" s="9"/>
      <c r="P3935" s="9"/>
      <c r="Q3935" s="9"/>
      <c r="R3935" s="9" t="str">
        <f aca="false">IF(AND(A3935&lt;&gt;"",ISNUMBER(Q3935),ISNUMBER(L3935)),ROUND(Q3935-IF(ISNUMBER(N3935),N3935,0)-IF(ISNUMBER(O3935),O3935,0)+IF(ISNUMBER(P3935),P3935,0),2),"")</f>
        <v/>
      </c>
      <c r="S3935" s="9" t="str">
        <f aca="false">IF(R3935="","",ROUND(L3935-R3935,2))</f>
        <v/>
      </c>
      <c r="T3935" s="8" t="str">
        <f aca="false">IF(A3935="","",IF(S3935="","BYPASS",IF(ABS(S3935)&lt;=Summary!$B$2,"PASS","FAIL")))</f>
        <v/>
      </c>
      <c r="U3935" s="8" t="str">
        <f aca="false">IF(T3935="BYPASS",IF(NOT(ISNUMBER(Q3935)),"PreV_ETB missing","End_tr_balance missing"),IF(T3935="FAIL",IF(AND(ISNUMBER(K3935),ISNUMBER(L3935),ABS(L3935-(K3935-IF(ISNUMBER(N3935),N3935,0)-IF(ISNUMBER(O3935),O3935,0)+IF(ISNUMBER(P3935),P3935,0)))&lt;=Summary!$B$2),"Passes using beginning_balance - PreV_ETB differs from beginning_balance",IF(AND(ISNUMBER(O3935),O3935&lt;0,ABS(L3935-(Q3935-IF(ISNUMBER(N3935),N3935,0)+IF(ISNUMBER(P3935),P3935,0)))&lt;=Summary!$B$2),"Negative realized loss not applied - check sign",IF(R3935&lt;0,"Principal paid exceeds prior balance",IF(AND(L3935&gt;Q3935,NOT(ISNUMBER(P3935))),"Balance increased but no Deferred_interest reported",IF(L3935&gt;R3935,"Reported balance higher than expected (missing increase/OC build)","Reported balance lower than expected (missing decrease)"))))),""))</f>
        <v/>
      </c>
    </row>
    <row r="3936" customFormat="false" ht="15" hidden="false" customHeight="false" outlineLevel="0" collapsed="false">
      <c r="A3936" s="8"/>
      <c r="B3936" s="8"/>
      <c r="C3936" s="8"/>
      <c r="D3936" s="8"/>
      <c r="E3936" s="8"/>
      <c r="F3936" s="8"/>
      <c r="G3936" s="8"/>
      <c r="H3936" s="8"/>
      <c r="I3936" s="8"/>
      <c r="J3936" s="8"/>
      <c r="K3936" s="9"/>
      <c r="L3936" s="9"/>
      <c r="M3936" s="9"/>
      <c r="N3936" s="9"/>
      <c r="O3936" s="9"/>
      <c r="P3936" s="9"/>
      <c r="Q3936" s="9"/>
      <c r="R3936" s="9" t="str">
        <f aca="false">IF(AND(A3936&lt;&gt;"",ISNUMBER(Q3936),ISNUMBER(L3936)),ROUND(Q3936-IF(ISNUMBER(N3936),N3936,0)-IF(ISNUMBER(O3936),O3936,0)+IF(ISNUMBER(P3936),P3936,0),2),"")</f>
        <v/>
      </c>
      <c r="S3936" s="9" t="str">
        <f aca="false">IF(R3936="","",ROUND(L3936-R3936,2))</f>
        <v/>
      </c>
      <c r="T3936" s="8" t="str">
        <f aca="false">IF(A3936="","",IF(S3936="","BYPASS",IF(ABS(S3936)&lt;=Summary!$B$2,"PASS","FAIL")))</f>
        <v/>
      </c>
      <c r="U3936" s="8" t="str">
        <f aca="false">IF(T3936="BYPASS",IF(NOT(ISNUMBER(Q3936)),"PreV_ETB missing","End_tr_balance missing"),IF(T3936="FAIL",IF(AND(ISNUMBER(K3936),ISNUMBER(L3936),ABS(L3936-(K3936-IF(ISNUMBER(N3936),N3936,0)-IF(ISNUMBER(O3936),O3936,0)+IF(ISNUMBER(P3936),P3936,0)))&lt;=Summary!$B$2),"Passes using beginning_balance - PreV_ETB differs from beginning_balance",IF(AND(ISNUMBER(O3936),O3936&lt;0,ABS(L3936-(Q3936-IF(ISNUMBER(N3936),N3936,0)+IF(ISNUMBER(P3936),P3936,0)))&lt;=Summary!$B$2),"Negative realized loss not applied - check sign",IF(R3936&lt;0,"Principal paid exceeds prior balance",IF(AND(L3936&gt;Q3936,NOT(ISNUMBER(P3936))),"Balance increased but no Deferred_interest reported",IF(L3936&gt;R3936,"Reported balance higher than expected (missing increase/OC build)","Reported balance lower than expected (missing decrease)"))))),""))</f>
        <v/>
      </c>
    </row>
    <row r="3937" customFormat="false" ht="15" hidden="false" customHeight="false" outlineLevel="0" collapsed="false">
      <c r="A3937" s="8"/>
      <c r="B3937" s="8"/>
      <c r="C3937" s="8"/>
      <c r="D3937" s="8"/>
      <c r="E3937" s="8"/>
      <c r="F3937" s="8"/>
      <c r="G3937" s="8"/>
      <c r="H3937" s="8"/>
      <c r="I3937" s="8"/>
      <c r="J3937" s="8"/>
      <c r="K3937" s="9"/>
      <c r="L3937" s="9"/>
      <c r="M3937" s="9"/>
      <c r="N3937" s="9"/>
      <c r="O3937" s="9"/>
      <c r="P3937" s="9"/>
      <c r="Q3937" s="9"/>
      <c r="R3937" s="9" t="str">
        <f aca="false">IF(AND(A3937&lt;&gt;"",ISNUMBER(Q3937),ISNUMBER(L3937)),ROUND(Q3937-IF(ISNUMBER(N3937),N3937,0)-IF(ISNUMBER(O3937),O3937,0)+IF(ISNUMBER(P3937),P3937,0),2),"")</f>
        <v/>
      </c>
      <c r="S3937" s="9" t="str">
        <f aca="false">IF(R3937="","",ROUND(L3937-R3937,2))</f>
        <v/>
      </c>
      <c r="T3937" s="8" t="str">
        <f aca="false">IF(A3937="","",IF(S3937="","BYPASS",IF(ABS(S3937)&lt;=Summary!$B$2,"PASS","FAIL")))</f>
        <v/>
      </c>
      <c r="U3937" s="8" t="str">
        <f aca="false">IF(T3937="BYPASS",IF(NOT(ISNUMBER(Q3937)),"PreV_ETB missing","End_tr_balance missing"),IF(T3937="FAIL",IF(AND(ISNUMBER(K3937),ISNUMBER(L3937),ABS(L3937-(K3937-IF(ISNUMBER(N3937),N3937,0)-IF(ISNUMBER(O3937),O3937,0)+IF(ISNUMBER(P3937),P3937,0)))&lt;=Summary!$B$2),"Passes using beginning_balance - PreV_ETB differs from beginning_balance",IF(AND(ISNUMBER(O3937),O3937&lt;0,ABS(L3937-(Q3937-IF(ISNUMBER(N3937),N3937,0)+IF(ISNUMBER(P3937),P3937,0)))&lt;=Summary!$B$2),"Negative realized loss not applied - check sign",IF(R3937&lt;0,"Principal paid exceeds prior balance",IF(AND(L3937&gt;Q3937,NOT(ISNUMBER(P3937))),"Balance increased but no Deferred_interest reported",IF(L3937&gt;R3937,"Reported balance higher than expected (missing increase/OC build)","Reported balance lower than expected (missing decrease)"))))),""))</f>
        <v/>
      </c>
    </row>
    <row r="3938" customFormat="false" ht="15" hidden="false" customHeight="false" outlineLevel="0" collapsed="false">
      <c r="A3938" s="8"/>
      <c r="B3938" s="8"/>
      <c r="C3938" s="8"/>
      <c r="D3938" s="8"/>
      <c r="E3938" s="8"/>
      <c r="F3938" s="8"/>
      <c r="G3938" s="8"/>
      <c r="H3938" s="8"/>
      <c r="I3938" s="8"/>
      <c r="J3938" s="8"/>
      <c r="K3938" s="9"/>
      <c r="L3938" s="9"/>
      <c r="M3938" s="9"/>
      <c r="N3938" s="9"/>
      <c r="O3938" s="9"/>
      <c r="P3938" s="9"/>
      <c r="Q3938" s="9"/>
      <c r="R3938" s="9" t="str">
        <f aca="false">IF(AND(A3938&lt;&gt;"",ISNUMBER(Q3938),ISNUMBER(L3938)),ROUND(Q3938-IF(ISNUMBER(N3938),N3938,0)-IF(ISNUMBER(O3938),O3938,0)+IF(ISNUMBER(P3938),P3938,0),2),"")</f>
        <v/>
      </c>
      <c r="S3938" s="9" t="str">
        <f aca="false">IF(R3938="","",ROUND(L3938-R3938,2))</f>
        <v/>
      </c>
      <c r="T3938" s="8" t="str">
        <f aca="false">IF(A3938="","",IF(S3938="","BYPASS",IF(ABS(S3938)&lt;=Summary!$B$2,"PASS","FAIL")))</f>
        <v/>
      </c>
      <c r="U3938" s="8" t="str">
        <f aca="false">IF(T3938="BYPASS",IF(NOT(ISNUMBER(Q3938)),"PreV_ETB missing","End_tr_balance missing"),IF(T3938="FAIL",IF(AND(ISNUMBER(K3938),ISNUMBER(L3938),ABS(L3938-(K3938-IF(ISNUMBER(N3938),N3938,0)-IF(ISNUMBER(O3938),O3938,0)+IF(ISNUMBER(P3938),P3938,0)))&lt;=Summary!$B$2),"Passes using beginning_balance - PreV_ETB differs from beginning_balance",IF(AND(ISNUMBER(O3938),O3938&lt;0,ABS(L3938-(Q3938-IF(ISNUMBER(N3938),N3938,0)+IF(ISNUMBER(P3938),P3938,0)))&lt;=Summary!$B$2),"Negative realized loss not applied - check sign",IF(R3938&lt;0,"Principal paid exceeds prior balance",IF(AND(L3938&gt;Q3938,NOT(ISNUMBER(P3938))),"Balance increased but no Deferred_interest reported",IF(L3938&gt;R3938,"Reported balance higher than expected (missing increase/OC build)","Reported balance lower than expected (missing decrease)"))))),""))</f>
        <v/>
      </c>
    </row>
    <row r="3939" customFormat="false" ht="15" hidden="false" customHeight="false" outlineLevel="0" collapsed="false">
      <c r="A3939" s="8"/>
      <c r="B3939" s="8"/>
      <c r="C3939" s="8"/>
      <c r="D3939" s="8"/>
      <c r="E3939" s="8"/>
      <c r="F3939" s="8"/>
      <c r="G3939" s="8"/>
      <c r="H3939" s="8"/>
      <c r="I3939" s="8"/>
      <c r="J3939" s="8"/>
      <c r="K3939" s="9"/>
      <c r="L3939" s="9"/>
      <c r="M3939" s="9"/>
      <c r="N3939" s="9"/>
      <c r="O3939" s="9"/>
      <c r="P3939" s="9"/>
      <c r="Q3939" s="9"/>
      <c r="R3939" s="9" t="str">
        <f aca="false">IF(AND(A3939&lt;&gt;"",ISNUMBER(Q3939),ISNUMBER(L3939)),ROUND(Q3939-IF(ISNUMBER(N3939),N3939,0)-IF(ISNUMBER(O3939),O3939,0)+IF(ISNUMBER(P3939),P3939,0),2),"")</f>
        <v/>
      </c>
      <c r="S3939" s="9" t="str">
        <f aca="false">IF(R3939="","",ROUND(L3939-R3939,2))</f>
        <v/>
      </c>
      <c r="T3939" s="8" t="str">
        <f aca="false">IF(A3939="","",IF(S3939="","BYPASS",IF(ABS(S3939)&lt;=Summary!$B$2,"PASS","FAIL")))</f>
        <v/>
      </c>
      <c r="U3939" s="8" t="str">
        <f aca="false">IF(T3939="BYPASS",IF(NOT(ISNUMBER(Q3939)),"PreV_ETB missing","End_tr_balance missing"),IF(T3939="FAIL",IF(AND(ISNUMBER(K3939),ISNUMBER(L3939),ABS(L3939-(K3939-IF(ISNUMBER(N3939),N3939,0)-IF(ISNUMBER(O3939),O3939,0)+IF(ISNUMBER(P3939),P3939,0)))&lt;=Summary!$B$2),"Passes using beginning_balance - PreV_ETB differs from beginning_balance",IF(AND(ISNUMBER(O3939),O3939&lt;0,ABS(L3939-(Q3939-IF(ISNUMBER(N3939),N3939,0)+IF(ISNUMBER(P3939),P3939,0)))&lt;=Summary!$B$2),"Negative realized loss not applied - check sign",IF(R3939&lt;0,"Principal paid exceeds prior balance",IF(AND(L3939&gt;Q3939,NOT(ISNUMBER(P3939))),"Balance increased but no Deferred_interest reported",IF(L3939&gt;R3939,"Reported balance higher than expected (missing increase/OC build)","Reported balance lower than expected (missing decrease)"))))),""))</f>
        <v/>
      </c>
    </row>
    <row r="3940" customFormat="false" ht="15" hidden="false" customHeight="false" outlineLevel="0" collapsed="false">
      <c r="A3940" s="8"/>
      <c r="B3940" s="8"/>
      <c r="C3940" s="8"/>
      <c r="D3940" s="8"/>
      <c r="E3940" s="8"/>
      <c r="F3940" s="8"/>
      <c r="G3940" s="8"/>
      <c r="H3940" s="8"/>
      <c r="I3940" s="8"/>
      <c r="J3940" s="8"/>
      <c r="K3940" s="9"/>
      <c r="L3940" s="9"/>
      <c r="M3940" s="9"/>
      <c r="N3940" s="9"/>
      <c r="O3940" s="9"/>
      <c r="P3940" s="9"/>
      <c r="Q3940" s="9"/>
      <c r="R3940" s="9" t="str">
        <f aca="false">IF(AND(A3940&lt;&gt;"",ISNUMBER(Q3940),ISNUMBER(L3940)),ROUND(Q3940-IF(ISNUMBER(N3940),N3940,0)-IF(ISNUMBER(O3940),O3940,0)+IF(ISNUMBER(P3940),P3940,0),2),"")</f>
        <v/>
      </c>
      <c r="S3940" s="9" t="str">
        <f aca="false">IF(R3940="","",ROUND(L3940-R3940,2))</f>
        <v/>
      </c>
      <c r="T3940" s="8" t="str">
        <f aca="false">IF(A3940="","",IF(S3940="","BYPASS",IF(ABS(S3940)&lt;=Summary!$B$2,"PASS","FAIL")))</f>
        <v/>
      </c>
      <c r="U3940" s="8" t="str">
        <f aca="false">IF(T3940="BYPASS",IF(NOT(ISNUMBER(Q3940)),"PreV_ETB missing","End_tr_balance missing"),IF(T3940="FAIL",IF(AND(ISNUMBER(K3940),ISNUMBER(L3940),ABS(L3940-(K3940-IF(ISNUMBER(N3940),N3940,0)-IF(ISNUMBER(O3940),O3940,0)+IF(ISNUMBER(P3940),P3940,0)))&lt;=Summary!$B$2),"Passes using beginning_balance - PreV_ETB differs from beginning_balance",IF(AND(ISNUMBER(O3940),O3940&lt;0,ABS(L3940-(Q3940-IF(ISNUMBER(N3940),N3940,0)+IF(ISNUMBER(P3940),P3940,0)))&lt;=Summary!$B$2),"Negative realized loss not applied - check sign",IF(R3940&lt;0,"Principal paid exceeds prior balance",IF(AND(L3940&gt;Q3940,NOT(ISNUMBER(P3940))),"Balance increased but no Deferred_interest reported",IF(L3940&gt;R3940,"Reported balance higher than expected (missing increase/OC build)","Reported balance lower than expected (missing decrease)"))))),""))</f>
        <v/>
      </c>
    </row>
    <row r="3941" customFormat="false" ht="15" hidden="false" customHeight="false" outlineLevel="0" collapsed="false">
      <c r="A3941" s="8"/>
      <c r="B3941" s="8"/>
      <c r="C3941" s="8"/>
      <c r="D3941" s="8"/>
      <c r="E3941" s="8"/>
      <c r="F3941" s="8"/>
      <c r="G3941" s="8"/>
      <c r="H3941" s="8"/>
      <c r="I3941" s="8"/>
      <c r="J3941" s="8"/>
      <c r="K3941" s="9"/>
      <c r="L3941" s="9"/>
      <c r="M3941" s="9"/>
      <c r="N3941" s="9"/>
      <c r="O3941" s="9"/>
      <c r="P3941" s="9"/>
      <c r="Q3941" s="9"/>
      <c r="R3941" s="9" t="str">
        <f aca="false">IF(AND(A3941&lt;&gt;"",ISNUMBER(Q3941),ISNUMBER(L3941)),ROUND(Q3941-IF(ISNUMBER(N3941),N3941,0)-IF(ISNUMBER(O3941),O3941,0)+IF(ISNUMBER(P3941),P3941,0),2),"")</f>
        <v/>
      </c>
      <c r="S3941" s="9" t="str">
        <f aca="false">IF(R3941="","",ROUND(L3941-R3941,2))</f>
        <v/>
      </c>
      <c r="T3941" s="8" t="str">
        <f aca="false">IF(A3941="","",IF(S3941="","BYPASS",IF(ABS(S3941)&lt;=Summary!$B$2,"PASS","FAIL")))</f>
        <v/>
      </c>
      <c r="U3941" s="8" t="str">
        <f aca="false">IF(T3941="BYPASS",IF(NOT(ISNUMBER(Q3941)),"PreV_ETB missing","End_tr_balance missing"),IF(T3941="FAIL",IF(AND(ISNUMBER(K3941),ISNUMBER(L3941),ABS(L3941-(K3941-IF(ISNUMBER(N3941),N3941,0)-IF(ISNUMBER(O3941),O3941,0)+IF(ISNUMBER(P3941),P3941,0)))&lt;=Summary!$B$2),"Passes using beginning_balance - PreV_ETB differs from beginning_balance",IF(AND(ISNUMBER(O3941),O3941&lt;0,ABS(L3941-(Q3941-IF(ISNUMBER(N3941),N3941,0)+IF(ISNUMBER(P3941),P3941,0)))&lt;=Summary!$B$2),"Negative realized loss not applied - check sign",IF(R3941&lt;0,"Principal paid exceeds prior balance",IF(AND(L3941&gt;Q3941,NOT(ISNUMBER(P3941))),"Balance increased but no Deferred_interest reported",IF(L3941&gt;R3941,"Reported balance higher than expected (missing increase/OC build)","Reported balance lower than expected (missing decrease)"))))),""))</f>
        <v/>
      </c>
    </row>
    <row r="3942" customFormat="false" ht="15" hidden="false" customHeight="false" outlineLevel="0" collapsed="false">
      <c r="A3942" s="8"/>
      <c r="B3942" s="8"/>
      <c r="C3942" s="8"/>
      <c r="D3942" s="8"/>
      <c r="E3942" s="8"/>
      <c r="F3942" s="8"/>
      <c r="G3942" s="8"/>
      <c r="H3942" s="8"/>
      <c r="I3942" s="8"/>
      <c r="J3942" s="8"/>
      <c r="K3942" s="9"/>
      <c r="L3942" s="9"/>
      <c r="M3942" s="9"/>
      <c r="N3942" s="9"/>
      <c r="O3942" s="9"/>
      <c r="P3942" s="9"/>
      <c r="Q3942" s="9"/>
      <c r="R3942" s="9" t="str">
        <f aca="false">IF(AND(A3942&lt;&gt;"",ISNUMBER(Q3942),ISNUMBER(L3942)),ROUND(Q3942-IF(ISNUMBER(N3942),N3942,0)-IF(ISNUMBER(O3942),O3942,0)+IF(ISNUMBER(P3942),P3942,0),2),"")</f>
        <v/>
      </c>
      <c r="S3942" s="9" t="str">
        <f aca="false">IF(R3942="","",ROUND(L3942-R3942,2))</f>
        <v/>
      </c>
      <c r="T3942" s="8" t="str">
        <f aca="false">IF(A3942="","",IF(S3942="","BYPASS",IF(ABS(S3942)&lt;=Summary!$B$2,"PASS","FAIL")))</f>
        <v/>
      </c>
      <c r="U3942" s="8" t="str">
        <f aca="false">IF(T3942="BYPASS",IF(NOT(ISNUMBER(Q3942)),"PreV_ETB missing","End_tr_balance missing"),IF(T3942="FAIL",IF(AND(ISNUMBER(K3942),ISNUMBER(L3942),ABS(L3942-(K3942-IF(ISNUMBER(N3942),N3942,0)-IF(ISNUMBER(O3942),O3942,0)+IF(ISNUMBER(P3942),P3942,0)))&lt;=Summary!$B$2),"Passes using beginning_balance - PreV_ETB differs from beginning_balance",IF(AND(ISNUMBER(O3942),O3942&lt;0,ABS(L3942-(Q3942-IF(ISNUMBER(N3942),N3942,0)+IF(ISNUMBER(P3942),P3942,0)))&lt;=Summary!$B$2),"Negative realized loss not applied - check sign",IF(R3942&lt;0,"Principal paid exceeds prior balance",IF(AND(L3942&gt;Q3942,NOT(ISNUMBER(P3942))),"Balance increased but no Deferred_interest reported",IF(L3942&gt;R3942,"Reported balance higher than expected (missing increase/OC build)","Reported balance lower than expected (missing decrease)"))))),""))</f>
        <v/>
      </c>
    </row>
    <row r="3943" customFormat="false" ht="15" hidden="false" customHeight="false" outlineLevel="0" collapsed="false">
      <c r="A3943" s="8"/>
      <c r="B3943" s="8"/>
      <c r="C3943" s="8"/>
      <c r="D3943" s="8"/>
      <c r="E3943" s="8"/>
      <c r="F3943" s="8"/>
      <c r="G3943" s="8"/>
      <c r="H3943" s="8"/>
      <c r="I3943" s="8"/>
      <c r="J3943" s="8"/>
      <c r="K3943" s="9"/>
      <c r="L3943" s="9"/>
      <c r="M3943" s="9"/>
      <c r="N3943" s="9"/>
      <c r="O3943" s="9"/>
      <c r="P3943" s="9"/>
      <c r="Q3943" s="9"/>
      <c r="R3943" s="9" t="str">
        <f aca="false">IF(AND(A3943&lt;&gt;"",ISNUMBER(Q3943),ISNUMBER(L3943)),ROUND(Q3943-IF(ISNUMBER(N3943),N3943,0)-IF(ISNUMBER(O3943),O3943,0)+IF(ISNUMBER(P3943),P3943,0),2),"")</f>
        <v/>
      </c>
      <c r="S3943" s="9" t="str">
        <f aca="false">IF(R3943="","",ROUND(L3943-R3943,2))</f>
        <v/>
      </c>
      <c r="T3943" s="8" t="str">
        <f aca="false">IF(A3943="","",IF(S3943="","BYPASS",IF(ABS(S3943)&lt;=Summary!$B$2,"PASS","FAIL")))</f>
        <v/>
      </c>
      <c r="U3943" s="8" t="str">
        <f aca="false">IF(T3943="BYPASS",IF(NOT(ISNUMBER(Q3943)),"PreV_ETB missing","End_tr_balance missing"),IF(T3943="FAIL",IF(AND(ISNUMBER(K3943),ISNUMBER(L3943),ABS(L3943-(K3943-IF(ISNUMBER(N3943),N3943,0)-IF(ISNUMBER(O3943),O3943,0)+IF(ISNUMBER(P3943),P3943,0)))&lt;=Summary!$B$2),"Passes using beginning_balance - PreV_ETB differs from beginning_balance",IF(AND(ISNUMBER(O3943),O3943&lt;0,ABS(L3943-(Q3943-IF(ISNUMBER(N3943),N3943,0)+IF(ISNUMBER(P3943),P3943,0)))&lt;=Summary!$B$2),"Negative realized loss not applied - check sign",IF(R3943&lt;0,"Principal paid exceeds prior balance",IF(AND(L3943&gt;Q3943,NOT(ISNUMBER(P3943))),"Balance increased but no Deferred_interest reported",IF(L3943&gt;R3943,"Reported balance higher than expected (missing increase/OC build)","Reported balance lower than expected (missing decrease)"))))),""))</f>
        <v/>
      </c>
    </row>
    <row r="3944" customFormat="false" ht="15" hidden="false" customHeight="false" outlineLevel="0" collapsed="false">
      <c r="A3944" s="8"/>
      <c r="B3944" s="8"/>
      <c r="C3944" s="8"/>
      <c r="D3944" s="8"/>
      <c r="E3944" s="8"/>
      <c r="F3944" s="8"/>
      <c r="G3944" s="8"/>
      <c r="H3944" s="8"/>
      <c r="I3944" s="8"/>
      <c r="J3944" s="8"/>
      <c r="K3944" s="9"/>
      <c r="L3944" s="9"/>
      <c r="M3944" s="9"/>
      <c r="N3944" s="9"/>
      <c r="O3944" s="9"/>
      <c r="P3944" s="9"/>
      <c r="Q3944" s="9"/>
      <c r="R3944" s="9" t="str">
        <f aca="false">IF(AND(A3944&lt;&gt;"",ISNUMBER(Q3944),ISNUMBER(L3944)),ROUND(Q3944-IF(ISNUMBER(N3944),N3944,0)-IF(ISNUMBER(O3944),O3944,0)+IF(ISNUMBER(P3944),P3944,0),2),"")</f>
        <v/>
      </c>
      <c r="S3944" s="9" t="str">
        <f aca="false">IF(R3944="","",ROUND(L3944-R3944,2))</f>
        <v/>
      </c>
      <c r="T3944" s="8" t="str">
        <f aca="false">IF(A3944="","",IF(S3944="","BYPASS",IF(ABS(S3944)&lt;=Summary!$B$2,"PASS","FAIL")))</f>
        <v/>
      </c>
      <c r="U3944" s="8" t="str">
        <f aca="false">IF(T3944="BYPASS",IF(NOT(ISNUMBER(Q3944)),"PreV_ETB missing","End_tr_balance missing"),IF(T3944="FAIL",IF(AND(ISNUMBER(K3944),ISNUMBER(L3944),ABS(L3944-(K3944-IF(ISNUMBER(N3944),N3944,0)-IF(ISNUMBER(O3944),O3944,0)+IF(ISNUMBER(P3944),P3944,0)))&lt;=Summary!$B$2),"Passes using beginning_balance - PreV_ETB differs from beginning_balance",IF(AND(ISNUMBER(O3944),O3944&lt;0,ABS(L3944-(Q3944-IF(ISNUMBER(N3944),N3944,0)+IF(ISNUMBER(P3944),P3944,0)))&lt;=Summary!$B$2),"Negative realized loss not applied - check sign",IF(R3944&lt;0,"Principal paid exceeds prior balance",IF(AND(L3944&gt;Q3944,NOT(ISNUMBER(P3944))),"Balance increased but no Deferred_interest reported",IF(L3944&gt;R3944,"Reported balance higher than expected (missing increase/OC build)","Reported balance lower than expected (missing decrease)"))))),""))</f>
        <v/>
      </c>
    </row>
    <row r="3945" customFormat="false" ht="15" hidden="false" customHeight="false" outlineLevel="0" collapsed="false">
      <c r="A3945" s="8"/>
      <c r="B3945" s="8"/>
      <c r="C3945" s="8"/>
      <c r="D3945" s="8"/>
      <c r="E3945" s="8"/>
      <c r="F3945" s="8"/>
      <c r="G3945" s="8"/>
      <c r="H3945" s="8"/>
      <c r="I3945" s="8"/>
      <c r="J3945" s="8"/>
      <c r="K3945" s="9"/>
      <c r="L3945" s="9"/>
      <c r="M3945" s="9"/>
      <c r="N3945" s="9"/>
      <c r="O3945" s="9"/>
      <c r="P3945" s="9"/>
      <c r="Q3945" s="9"/>
      <c r="R3945" s="9" t="str">
        <f aca="false">IF(AND(A3945&lt;&gt;"",ISNUMBER(Q3945),ISNUMBER(L3945)),ROUND(Q3945-IF(ISNUMBER(N3945),N3945,0)-IF(ISNUMBER(O3945),O3945,0)+IF(ISNUMBER(P3945),P3945,0),2),"")</f>
        <v/>
      </c>
      <c r="S3945" s="9" t="str">
        <f aca="false">IF(R3945="","",ROUND(L3945-R3945,2))</f>
        <v/>
      </c>
      <c r="T3945" s="8" t="str">
        <f aca="false">IF(A3945="","",IF(S3945="","BYPASS",IF(ABS(S3945)&lt;=Summary!$B$2,"PASS","FAIL")))</f>
        <v/>
      </c>
      <c r="U3945" s="8" t="str">
        <f aca="false">IF(T3945="BYPASS",IF(NOT(ISNUMBER(Q3945)),"PreV_ETB missing","End_tr_balance missing"),IF(T3945="FAIL",IF(AND(ISNUMBER(K3945),ISNUMBER(L3945),ABS(L3945-(K3945-IF(ISNUMBER(N3945),N3945,0)-IF(ISNUMBER(O3945),O3945,0)+IF(ISNUMBER(P3945),P3945,0)))&lt;=Summary!$B$2),"Passes using beginning_balance - PreV_ETB differs from beginning_balance",IF(AND(ISNUMBER(O3945),O3945&lt;0,ABS(L3945-(Q3945-IF(ISNUMBER(N3945),N3945,0)+IF(ISNUMBER(P3945),P3945,0)))&lt;=Summary!$B$2),"Negative realized loss not applied - check sign",IF(R3945&lt;0,"Principal paid exceeds prior balance",IF(AND(L3945&gt;Q3945,NOT(ISNUMBER(P3945))),"Balance increased but no Deferred_interest reported",IF(L3945&gt;R3945,"Reported balance higher than expected (missing increase/OC build)","Reported balance lower than expected (missing decrease)"))))),""))</f>
        <v/>
      </c>
    </row>
    <row r="3946" customFormat="false" ht="15" hidden="false" customHeight="false" outlineLevel="0" collapsed="false">
      <c r="A3946" s="8"/>
      <c r="B3946" s="8"/>
      <c r="C3946" s="8"/>
      <c r="D3946" s="8"/>
      <c r="E3946" s="8"/>
      <c r="F3946" s="8"/>
      <c r="G3946" s="8"/>
      <c r="H3946" s="8"/>
      <c r="I3946" s="8"/>
      <c r="J3946" s="8"/>
      <c r="K3946" s="9"/>
      <c r="L3946" s="9"/>
      <c r="M3946" s="9"/>
      <c r="N3946" s="9"/>
      <c r="O3946" s="9"/>
      <c r="P3946" s="9"/>
      <c r="Q3946" s="9"/>
      <c r="R3946" s="9" t="str">
        <f aca="false">IF(AND(A3946&lt;&gt;"",ISNUMBER(Q3946),ISNUMBER(L3946)),ROUND(Q3946-IF(ISNUMBER(N3946),N3946,0)-IF(ISNUMBER(O3946),O3946,0)+IF(ISNUMBER(P3946),P3946,0),2),"")</f>
        <v/>
      </c>
      <c r="S3946" s="9" t="str">
        <f aca="false">IF(R3946="","",ROUND(L3946-R3946,2))</f>
        <v/>
      </c>
      <c r="T3946" s="8" t="str">
        <f aca="false">IF(A3946="","",IF(S3946="","BYPASS",IF(ABS(S3946)&lt;=Summary!$B$2,"PASS","FAIL")))</f>
        <v/>
      </c>
      <c r="U3946" s="8" t="str">
        <f aca="false">IF(T3946="BYPASS",IF(NOT(ISNUMBER(Q3946)),"PreV_ETB missing","End_tr_balance missing"),IF(T3946="FAIL",IF(AND(ISNUMBER(K3946),ISNUMBER(L3946),ABS(L3946-(K3946-IF(ISNUMBER(N3946),N3946,0)-IF(ISNUMBER(O3946),O3946,0)+IF(ISNUMBER(P3946),P3946,0)))&lt;=Summary!$B$2),"Passes using beginning_balance - PreV_ETB differs from beginning_balance",IF(AND(ISNUMBER(O3946),O3946&lt;0,ABS(L3946-(Q3946-IF(ISNUMBER(N3946),N3946,0)+IF(ISNUMBER(P3946),P3946,0)))&lt;=Summary!$B$2),"Negative realized loss not applied - check sign",IF(R3946&lt;0,"Principal paid exceeds prior balance",IF(AND(L3946&gt;Q3946,NOT(ISNUMBER(P3946))),"Balance increased but no Deferred_interest reported",IF(L3946&gt;R3946,"Reported balance higher than expected (missing increase/OC build)","Reported balance lower than expected (missing decrease)"))))),""))</f>
        <v/>
      </c>
    </row>
    <row r="3947" customFormat="false" ht="15" hidden="false" customHeight="false" outlineLevel="0" collapsed="false">
      <c r="A3947" s="8"/>
      <c r="B3947" s="8"/>
      <c r="C3947" s="8"/>
      <c r="D3947" s="8"/>
      <c r="E3947" s="8"/>
      <c r="F3947" s="8"/>
      <c r="G3947" s="8"/>
      <c r="H3947" s="8"/>
      <c r="I3947" s="8"/>
      <c r="J3947" s="8"/>
      <c r="K3947" s="9"/>
      <c r="L3947" s="9"/>
      <c r="M3947" s="9"/>
      <c r="N3947" s="9"/>
      <c r="O3947" s="9"/>
      <c r="P3947" s="9"/>
      <c r="Q3947" s="9"/>
      <c r="R3947" s="9" t="str">
        <f aca="false">IF(AND(A3947&lt;&gt;"",ISNUMBER(Q3947),ISNUMBER(L3947)),ROUND(Q3947-IF(ISNUMBER(N3947),N3947,0)-IF(ISNUMBER(O3947),O3947,0)+IF(ISNUMBER(P3947),P3947,0),2),"")</f>
        <v/>
      </c>
      <c r="S3947" s="9" t="str">
        <f aca="false">IF(R3947="","",ROUND(L3947-R3947,2))</f>
        <v/>
      </c>
      <c r="T3947" s="8" t="str">
        <f aca="false">IF(A3947="","",IF(S3947="","BYPASS",IF(ABS(S3947)&lt;=Summary!$B$2,"PASS","FAIL")))</f>
        <v/>
      </c>
      <c r="U3947" s="8" t="str">
        <f aca="false">IF(T3947="BYPASS",IF(NOT(ISNUMBER(Q3947)),"PreV_ETB missing","End_tr_balance missing"),IF(T3947="FAIL",IF(AND(ISNUMBER(K3947),ISNUMBER(L3947),ABS(L3947-(K3947-IF(ISNUMBER(N3947),N3947,0)-IF(ISNUMBER(O3947),O3947,0)+IF(ISNUMBER(P3947),P3947,0)))&lt;=Summary!$B$2),"Passes using beginning_balance - PreV_ETB differs from beginning_balance",IF(AND(ISNUMBER(O3947),O3947&lt;0,ABS(L3947-(Q3947-IF(ISNUMBER(N3947),N3947,0)+IF(ISNUMBER(P3947),P3947,0)))&lt;=Summary!$B$2),"Negative realized loss not applied - check sign",IF(R3947&lt;0,"Principal paid exceeds prior balance",IF(AND(L3947&gt;Q3947,NOT(ISNUMBER(P3947))),"Balance increased but no Deferred_interest reported",IF(L3947&gt;R3947,"Reported balance higher than expected (missing increase/OC build)","Reported balance lower than expected (missing decrease)"))))),""))</f>
        <v/>
      </c>
    </row>
    <row r="3948" customFormat="false" ht="15" hidden="false" customHeight="false" outlineLevel="0" collapsed="false">
      <c r="A3948" s="8"/>
      <c r="B3948" s="8"/>
      <c r="C3948" s="8"/>
      <c r="D3948" s="8"/>
      <c r="E3948" s="8"/>
      <c r="F3948" s="8"/>
      <c r="G3948" s="8"/>
      <c r="H3948" s="8"/>
      <c r="I3948" s="8"/>
      <c r="J3948" s="8"/>
      <c r="K3948" s="9"/>
      <c r="L3948" s="9"/>
      <c r="M3948" s="9"/>
      <c r="N3948" s="9"/>
      <c r="O3948" s="9"/>
      <c r="P3948" s="9"/>
      <c r="Q3948" s="9"/>
      <c r="R3948" s="9" t="str">
        <f aca="false">IF(AND(A3948&lt;&gt;"",ISNUMBER(Q3948),ISNUMBER(L3948)),ROUND(Q3948-IF(ISNUMBER(N3948),N3948,0)-IF(ISNUMBER(O3948),O3948,0)+IF(ISNUMBER(P3948),P3948,0),2),"")</f>
        <v/>
      </c>
      <c r="S3948" s="9" t="str">
        <f aca="false">IF(R3948="","",ROUND(L3948-R3948,2))</f>
        <v/>
      </c>
      <c r="T3948" s="8" t="str">
        <f aca="false">IF(A3948="","",IF(S3948="","BYPASS",IF(ABS(S3948)&lt;=Summary!$B$2,"PASS","FAIL")))</f>
        <v/>
      </c>
      <c r="U3948" s="8" t="str">
        <f aca="false">IF(T3948="BYPASS",IF(NOT(ISNUMBER(Q3948)),"PreV_ETB missing","End_tr_balance missing"),IF(T3948="FAIL",IF(AND(ISNUMBER(K3948),ISNUMBER(L3948),ABS(L3948-(K3948-IF(ISNUMBER(N3948),N3948,0)-IF(ISNUMBER(O3948),O3948,0)+IF(ISNUMBER(P3948),P3948,0)))&lt;=Summary!$B$2),"Passes using beginning_balance - PreV_ETB differs from beginning_balance",IF(AND(ISNUMBER(O3948),O3948&lt;0,ABS(L3948-(Q3948-IF(ISNUMBER(N3948),N3948,0)+IF(ISNUMBER(P3948),P3948,0)))&lt;=Summary!$B$2),"Negative realized loss not applied - check sign",IF(R3948&lt;0,"Principal paid exceeds prior balance",IF(AND(L3948&gt;Q3948,NOT(ISNUMBER(P3948))),"Balance increased but no Deferred_interest reported",IF(L3948&gt;R3948,"Reported balance higher than expected (missing increase/OC build)","Reported balance lower than expected (missing decrease)"))))),""))</f>
        <v/>
      </c>
    </row>
    <row r="3949" customFormat="false" ht="15" hidden="false" customHeight="false" outlineLevel="0" collapsed="false">
      <c r="A3949" s="8"/>
      <c r="B3949" s="8"/>
      <c r="C3949" s="8"/>
      <c r="D3949" s="8"/>
      <c r="E3949" s="8"/>
      <c r="F3949" s="8"/>
      <c r="G3949" s="8"/>
      <c r="H3949" s="8"/>
      <c r="I3949" s="8"/>
      <c r="J3949" s="8"/>
      <c r="K3949" s="9"/>
      <c r="L3949" s="9"/>
      <c r="M3949" s="9"/>
      <c r="N3949" s="9"/>
      <c r="O3949" s="9"/>
      <c r="P3949" s="9"/>
      <c r="Q3949" s="9"/>
      <c r="R3949" s="9" t="str">
        <f aca="false">IF(AND(A3949&lt;&gt;"",ISNUMBER(Q3949),ISNUMBER(L3949)),ROUND(Q3949-IF(ISNUMBER(N3949),N3949,0)-IF(ISNUMBER(O3949),O3949,0)+IF(ISNUMBER(P3949),P3949,0),2),"")</f>
        <v/>
      </c>
      <c r="S3949" s="9" t="str">
        <f aca="false">IF(R3949="","",ROUND(L3949-R3949,2))</f>
        <v/>
      </c>
      <c r="T3949" s="8" t="str">
        <f aca="false">IF(A3949="","",IF(S3949="","BYPASS",IF(ABS(S3949)&lt;=Summary!$B$2,"PASS","FAIL")))</f>
        <v/>
      </c>
      <c r="U3949" s="8" t="str">
        <f aca="false">IF(T3949="BYPASS",IF(NOT(ISNUMBER(Q3949)),"PreV_ETB missing","End_tr_balance missing"),IF(T3949="FAIL",IF(AND(ISNUMBER(K3949),ISNUMBER(L3949),ABS(L3949-(K3949-IF(ISNUMBER(N3949),N3949,0)-IF(ISNUMBER(O3949),O3949,0)+IF(ISNUMBER(P3949),P3949,0)))&lt;=Summary!$B$2),"Passes using beginning_balance - PreV_ETB differs from beginning_balance",IF(AND(ISNUMBER(O3949),O3949&lt;0,ABS(L3949-(Q3949-IF(ISNUMBER(N3949),N3949,0)+IF(ISNUMBER(P3949),P3949,0)))&lt;=Summary!$B$2),"Negative realized loss not applied - check sign",IF(R3949&lt;0,"Principal paid exceeds prior balance",IF(AND(L3949&gt;Q3949,NOT(ISNUMBER(P3949))),"Balance increased but no Deferred_interest reported",IF(L3949&gt;R3949,"Reported balance higher than expected (missing increase/OC build)","Reported balance lower than expected (missing decrease)"))))),""))</f>
        <v/>
      </c>
    </row>
    <row r="3950" customFormat="false" ht="15" hidden="false" customHeight="false" outlineLevel="0" collapsed="false">
      <c r="A3950" s="8"/>
      <c r="B3950" s="8"/>
      <c r="C3950" s="8"/>
      <c r="D3950" s="8"/>
      <c r="E3950" s="8"/>
      <c r="F3950" s="8"/>
      <c r="G3950" s="8"/>
      <c r="H3950" s="8"/>
      <c r="I3950" s="8"/>
      <c r="J3950" s="8"/>
      <c r="K3950" s="9"/>
      <c r="L3950" s="9"/>
      <c r="M3950" s="9"/>
      <c r="N3950" s="9"/>
      <c r="O3950" s="9"/>
      <c r="P3950" s="9"/>
      <c r="Q3950" s="9"/>
      <c r="R3950" s="9" t="str">
        <f aca="false">IF(AND(A3950&lt;&gt;"",ISNUMBER(Q3950),ISNUMBER(L3950)),ROUND(Q3950-IF(ISNUMBER(N3950),N3950,0)-IF(ISNUMBER(O3950),O3950,0)+IF(ISNUMBER(P3950),P3950,0),2),"")</f>
        <v/>
      </c>
      <c r="S3950" s="9" t="str">
        <f aca="false">IF(R3950="","",ROUND(L3950-R3950,2))</f>
        <v/>
      </c>
      <c r="T3950" s="8" t="str">
        <f aca="false">IF(A3950="","",IF(S3950="","BYPASS",IF(ABS(S3950)&lt;=Summary!$B$2,"PASS","FAIL")))</f>
        <v/>
      </c>
      <c r="U3950" s="8" t="str">
        <f aca="false">IF(T3950="BYPASS",IF(NOT(ISNUMBER(Q3950)),"PreV_ETB missing","End_tr_balance missing"),IF(T3950="FAIL",IF(AND(ISNUMBER(K3950),ISNUMBER(L3950),ABS(L3950-(K3950-IF(ISNUMBER(N3950),N3950,0)-IF(ISNUMBER(O3950),O3950,0)+IF(ISNUMBER(P3950),P3950,0)))&lt;=Summary!$B$2),"Passes using beginning_balance - PreV_ETB differs from beginning_balance",IF(AND(ISNUMBER(O3950),O3950&lt;0,ABS(L3950-(Q3950-IF(ISNUMBER(N3950),N3950,0)+IF(ISNUMBER(P3950),P3950,0)))&lt;=Summary!$B$2),"Negative realized loss not applied - check sign",IF(R3950&lt;0,"Principal paid exceeds prior balance",IF(AND(L3950&gt;Q3950,NOT(ISNUMBER(P3950))),"Balance increased but no Deferred_interest reported",IF(L3950&gt;R3950,"Reported balance higher than expected (missing increase/OC build)","Reported balance lower than expected (missing decrease)"))))),""))</f>
        <v/>
      </c>
    </row>
    <row r="3951" customFormat="false" ht="15" hidden="false" customHeight="false" outlineLevel="0" collapsed="false">
      <c r="A3951" s="8"/>
      <c r="B3951" s="8"/>
      <c r="C3951" s="8"/>
      <c r="D3951" s="8"/>
      <c r="E3951" s="8"/>
      <c r="F3951" s="8"/>
      <c r="G3951" s="8"/>
      <c r="H3951" s="8"/>
      <c r="I3951" s="8"/>
      <c r="J3951" s="8"/>
      <c r="K3951" s="9"/>
      <c r="L3951" s="9"/>
      <c r="M3951" s="9"/>
      <c r="N3951" s="9"/>
      <c r="O3951" s="9"/>
      <c r="P3951" s="9"/>
      <c r="Q3951" s="9"/>
      <c r="R3951" s="9" t="str">
        <f aca="false">IF(AND(A3951&lt;&gt;"",ISNUMBER(Q3951),ISNUMBER(L3951)),ROUND(Q3951-IF(ISNUMBER(N3951),N3951,0)-IF(ISNUMBER(O3951),O3951,0)+IF(ISNUMBER(P3951),P3951,0),2),"")</f>
        <v/>
      </c>
      <c r="S3951" s="9" t="str">
        <f aca="false">IF(R3951="","",ROUND(L3951-R3951,2))</f>
        <v/>
      </c>
      <c r="T3951" s="8" t="str">
        <f aca="false">IF(A3951="","",IF(S3951="","BYPASS",IF(ABS(S3951)&lt;=Summary!$B$2,"PASS","FAIL")))</f>
        <v/>
      </c>
      <c r="U3951" s="8" t="str">
        <f aca="false">IF(T3951="BYPASS",IF(NOT(ISNUMBER(Q3951)),"PreV_ETB missing","End_tr_balance missing"),IF(T3951="FAIL",IF(AND(ISNUMBER(K3951),ISNUMBER(L3951),ABS(L3951-(K3951-IF(ISNUMBER(N3951),N3951,0)-IF(ISNUMBER(O3951),O3951,0)+IF(ISNUMBER(P3951),P3951,0)))&lt;=Summary!$B$2),"Passes using beginning_balance - PreV_ETB differs from beginning_balance",IF(AND(ISNUMBER(O3951),O3951&lt;0,ABS(L3951-(Q3951-IF(ISNUMBER(N3951),N3951,0)+IF(ISNUMBER(P3951),P3951,0)))&lt;=Summary!$B$2),"Negative realized loss not applied - check sign",IF(R3951&lt;0,"Principal paid exceeds prior balance",IF(AND(L3951&gt;Q3951,NOT(ISNUMBER(P3951))),"Balance increased but no Deferred_interest reported",IF(L3951&gt;R3951,"Reported balance higher than expected (missing increase/OC build)","Reported balance lower than expected (missing decrease)"))))),""))</f>
        <v/>
      </c>
    </row>
    <row r="3952" customFormat="false" ht="15" hidden="false" customHeight="false" outlineLevel="0" collapsed="false">
      <c r="A3952" s="8"/>
      <c r="B3952" s="8"/>
      <c r="C3952" s="8"/>
      <c r="D3952" s="8"/>
      <c r="E3952" s="8"/>
      <c r="F3952" s="8"/>
      <c r="G3952" s="8"/>
      <c r="H3952" s="8"/>
      <c r="I3952" s="8"/>
      <c r="J3952" s="8"/>
      <c r="K3952" s="9"/>
      <c r="L3952" s="9"/>
      <c r="M3952" s="9"/>
      <c r="N3952" s="9"/>
      <c r="O3952" s="9"/>
      <c r="P3952" s="9"/>
      <c r="Q3952" s="9"/>
      <c r="R3952" s="9" t="str">
        <f aca="false">IF(AND(A3952&lt;&gt;"",ISNUMBER(Q3952),ISNUMBER(L3952)),ROUND(Q3952-IF(ISNUMBER(N3952),N3952,0)-IF(ISNUMBER(O3952),O3952,0)+IF(ISNUMBER(P3952),P3952,0),2),"")</f>
        <v/>
      </c>
      <c r="S3952" s="9" t="str">
        <f aca="false">IF(R3952="","",ROUND(L3952-R3952,2))</f>
        <v/>
      </c>
      <c r="T3952" s="8" t="str">
        <f aca="false">IF(A3952="","",IF(S3952="","BYPASS",IF(ABS(S3952)&lt;=Summary!$B$2,"PASS","FAIL")))</f>
        <v/>
      </c>
      <c r="U3952" s="8" t="str">
        <f aca="false">IF(T3952="BYPASS",IF(NOT(ISNUMBER(Q3952)),"PreV_ETB missing","End_tr_balance missing"),IF(T3952="FAIL",IF(AND(ISNUMBER(K3952),ISNUMBER(L3952),ABS(L3952-(K3952-IF(ISNUMBER(N3952),N3952,0)-IF(ISNUMBER(O3952),O3952,0)+IF(ISNUMBER(P3952),P3952,0)))&lt;=Summary!$B$2),"Passes using beginning_balance - PreV_ETB differs from beginning_balance",IF(AND(ISNUMBER(O3952),O3952&lt;0,ABS(L3952-(Q3952-IF(ISNUMBER(N3952),N3952,0)+IF(ISNUMBER(P3952),P3952,0)))&lt;=Summary!$B$2),"Negative realized loss not applied - check sign",IF(R3952&lt;0,"Principal paid exceeds prior balance",IF(AND(L3952&gt;Q3952,NOT(ISNUMBER(P3952))),"Balance increased but no Deferred_interest reported",IF(L3952&gt;R3952,"Reported balance higher than expected (missing increase/OC build)","Reported balance lower than expected (missing decrease)"))))),""))</f>
        <v/>
      </c>
    </row>
    <row r="3953" customFormat="false" ht="15" hidden="false" customHeight="false" outlineLevel="0" collapsed="false">
      <c r="A3953" s="8"/>
      <c r="B3953" s="8"/>
      <c r="C3953" s="8"/>
      <c r="D3953" s="8"/>
      <c r="E3953" s="8"/>
      <c r="F3953" s="8"/>
      <c r="G3953" s="8"/>
      <c r="H3953" s="8"/>
      <c r="I3953" s="8"/>
      <c r="J3953" s="8"/>
      <c r="K3953" s="9"/>
      <c r="L3953" s="9"/>
      <c r="M3953" s="9"/>
      <c r="N3953" s="9"/>
      <c r="O3953" s="9"/>
      <c r="P3953" s="9"/>
      <c r="Q3953" s="9"/>
      <c r="R3953" s="9" t="str">
        <f aca="false">IF(AND(A3953&lt;&gt;"",ISNUMBER(Q3953),ISNUMBER(L3953)),ROUND(Q3953-IF(ISNUMBER(N3953),N3953,0)-IF(ISNUMBER(O3953),O3953,0)+IF(ISNUMBER(P3953),P3953,0),2),"")</f>
        <v/>
      </c>
      <c r="S3953" s="9" t="str">
        <f aca="false">IF(R3953="","",ROUND(L3953-R3953,2))</f>
        <v/>
      </c>
      <c r="T3953" s="8" t="str">
        <f aca="false">IF(A3953="","",IF(S3953="","BYPASS",IF(ABS(S3953)&lt;=Summary!$B$2,"PASS","FAIL")))</f>
        <v/>
      </c>
      <c r="U3953" s="8" t="str">
        <f aca="false">IF(T3953="BYPASS",IF(NOT(ISNUMBER(Q3953)),"PreV_ETB missing","End_tr_balance missing"),IF(T3953="FAIL",IF(AND(ISNUMBER(K3953),ISNUMBER(L3953),ABS(L3953-(K3953-IF(ISNUMBER(N3953),N3953,0)-IF(ISNUMBER(O3953),O3953,0)+IF(ISNUMBER(P3953),P3953,0)))&lt;=Summary!$B$2),"Passes using beginning_balance - PreV_ETB differs from beginning_balance",IF(AND(ISNUMBER(O3953),O3953&lt;0,ABS(L3953-(Q3953-IF(ISNUMBER(N3953),N3953,0)+IF(ISNUMBER(P3953),P3953,0)))&lt;=Summary!$B$2),"Negative realized loss not applied - check sign",IF(R3953&lt;0,"Principal paid exceeds prior balance",IF(AND(L3953&gt;Q3953,NOT(ISNUMBER(P3953))),"Balance increased but no Deferred_interest reported",IF(L3953&gt;R3953,"Reported balance higher than expected (missing increase/OC build)","Reported balance lower than expected (missing decrease)"))))),""))</f>
        <v/>
      </c>
    </row>
    <row r="3954" customFormat="false" ht="15" hidden="false" customHeight="false" outlineLevel="0" collapsed="false">
      <c r="A3954" s="8"/>
      <c r="B3954" s="8"/>
      <c r="C3954" s="8"/>
      <c r="D3954" s="8"/>
      <c r="E3954" s="8"/>
      <c r="F3954" s="8"/>
      <c r="G3954" s="8"/>
      <c r="H3954" s="8"/>
      <c r="I3954" s="8"/>
      <c r="J3954" s="8"/>
      <c r="K3954" s="9"/>
      <c r="L3954" s="9"/>
      <c r="M3954" s="9"/>
      <c r="N3954" s="9"/>
      <c r="O3954" s="9"/>
      <c r="P3954" s="9"/>
      <c r="Q3954" s="9"/>
      <c r="R3954" s="9" t="str">
        <f aca="false">IF(AND(A3954&lt;&gt;"",ISNUMBER(Q3954),ISNUMBER(L3954)),ROUND(Q3954-IF(ISNUMBER(N3954),N3954,0)-IF(ISNUMBER(O3954),O3954,0)+IF(ISNUMBER(P3954),P3954,0),2),"")</f>
        <v/>
      </c>
      <c r="S3954" s="9" t="str">
        <f aca="false">IF(R3954="","",ROUND(L3954-R3954,2))</f>
        <v/>
      </c>
      <c r="T3954" s="8" t="str">
        <f aca="false">IF(A3954="","",IF(S3954="","BYPASS",IF(ABS(S3954)&lt;=Summary!$B$2,"PASS","FAIL")))</f>
        <v/>
      </c>
      <c r="U3954" s="8" t="str">
        <f aca="false">IF(T3954="BYPASS",IF(NOT(ISNUMBER(Q3954)),"PreV_ETB missing","End_tr_balance missing"),IF(T3954="FAIL",IF(AND(ISNUMBER(K3954),ISNUMBER(L3954),ABS(L3954-(K3954-IF(ISNUMBER(N3954),N3954,0)-IF(ISNUMBER(O3954),O3954,0)+IF(ISNUMBER(P3954),P3954,0)))&lt;=Summary!$B$2),"Passes using beginning_balance - PreV_ETB differs from beginning_balance",IF(AND(ISNUMBER(O3954),O3954&lt;0,ABS(L3954-(Q3954-IF(ISNUMBER(N3954),N3954,0)+IF(ISNUMBER(P3954),P3954,0)))&lt;=Summary!$B$2),"Negative realized loss not applied - check sign",IF(R3954&lt;0,"Principal paid exceeds prior balance",IF(AND(L3954&gt;Q3954,NOT(ISNUMBER(P3954))),"Balance increased but no Deferred_interest reported",IF(L3954&gt;R3954,"Reported balance higher than expected (missing increase/OC build)","Reported balance lower than expected (missing decrease)"))))),""))</f>
        <v/>
      </c>
    </row>
    <row r="3955" customFormat="false" ht="15" hidden="false" customHeight="false" outlineLevel="0" collapsed="false">
      <c r="A3955" s="8"/>
      <c r="B3955" s="8"/>
      <c r="C3955" s="8"/>
      <c r="D3955" s="8"/>
      <c r="E3955" s="8"/>
      <c r="F3955" s="8"/>
      <c r="G3955" s="8"/>
      <c r="H3955" s="8"/>
      <c r="I3955" s="8"/>
      <c r="J3955" s="8"/>
      <c r="K3955" s="9"/>
      <c r="L3955" s="9"/>
      <c r="M3955" s="9"/>
      <c r="N3955" s="9"/>
      <c r="O3955" s="9"/>
      <c r="P3955" s="9"/>
      <c r="Q3955" s="9"/>
      <c r="R3955" s="9" t="str">
        <f aca="false">IF(AND(A3955&lt;&gt;"",ISNUMBER(Q3955),ISNUMBER(L3955)),ROUND(Q3955-IF(ISNUMBER(N3955),N3955,0)-IF(ISNUMBER(O3955),O3955,0)+IF(ISNUMBER(P3955),P3955,0),2),"")</f>
        <v/>
      </c>
      <c r="S3955" s="9" t="str">
        <f aca="false">IF(R3955="","",ROUND(L3955-R3955,2))</f>
        <v/>
      </c>
      <c r="T3955" s="8" t="str">
        <f aca="false">IF(A3955="","",IF(S3955="","BYPASS",IF(ABS(S3955)&lt;=Summary!$B$2,"PASS","FAIL")))</f>
        <v/>
      </c>
      <c r="U3955" s="8" t="str">
        <f aca="false">IF(T3955="BYPASS",IF(NOT(ISNUMBER(Q3955)),"PreV_ETB missing","End_tr_balance missing"),IF(T3955="FAIL",IF(AND(ISNUMBER(K3955),ISNUMBER(L3955),ABS(L3955-(K3955-IF(ISNUMBER(N3955),N3955,0)-IF(ISNUMBER(O3955),O3955,0)+IF(ISNUMBER(P3955),P3955,0)))&lt;=Summary!$B$2),"Passes using beginning_balance - PreV_ETB differs from beginning_balance",IF(AND(ISNUMBER(O3955),O3955&lt;0,ABS(L3955-(Q3955-IF(ISNUMBER(N3955),N3955,0)+IF(ISNUMBER(P3955),P3955,0)))&lt;=Summary!$B$2),"Negative realized loss not applied - check sign",IF(R3955&lt;0,"Principal paid exceeds prior balance",IF(AND(L3955&gt;Q3955,NOT(ISNUMBER(P3955))),"Balance increased but no Deferred_interest reported",IF(L3955&gt;R3955,"Reported balance higher than expected (missing increase/OC build)","Reported balance lower than expected (missing decrease)"))))),""))</f>
        <v/>
      </c>
    </row>
    <row r="3956" customFormat="false" ht="15" hidden="false" customHeight="false" outlineLevel="0" collapsed="false">
      <c r="A3956" s="8"/>
      <c r="B3956" s="8"/>
      <c r="C3956" s="8"/>
      <c r="D3956" s="8"/>
      <c r="E3956" s="8"/>
      <c r="F3956" s="8"/>
      <c r="G3956" s="8"/>
      <c r="H3956" s="8"/>
      <c r="I3956" s="8"/>
      <c r="J3956" s="8"/>
      <c r="K3956" s="9"/>
      <c r="L3956" s="9"/>
      <c r="M3956" s="9"/>
      <c r="N3956" s="9"/>
      <c r="O3956" s="9"/>
      <c r="P3956" s="9"/>
      <c r="Q3956" s="9"/>
      <c r="R3956" s="9" t="str">
        <f aca="false">IF(AND(A3956&lt;&gt;"",ISNUMBER(Q3956),ISNUMBER(L3956)),ROUND(Q3956-IF(ISNUMBER(N3956),N3956,0)-IF(ISNUMBER(O3956),O3956,0)+IF(ISNUMBER(P3956),P3956,0),2),"")</f>
        <v/>
      </c>
      <c r="S3956" s="9" t="str">
        <f aca="false">IF(R3956="","",ROUND(L3956-R3956,2))</f>
        <v/>
      </c>
      <c r="T3956" s="8" t="str">
        <f aca="false">IF(A3956="","",IF(S3956="","BYPASS",IF(ABS(S3956)&lt;=Summary!$B$2,"PASS","FAIL")))</f>
        <v/>
      </c>
      <c r="U3956" s="8" t="str">
        <f aca="false">IF(T3956="BYPASS",IF(NOT(ISNUMBER(Q3956)),"PreV_ETB missing","End_tr_balance missing"),IF(T3956="FAIL",IF(AND(ISNUMBER(K3956),ISNUMBER(L3956),ABS(L3956-(K3956-IF(ISNUMBER(N3956),N3956,0)-IF(ISNUMBER(O3956),O3956,0)+IF(ISNUMBER(P3956),P3956,0)))&lt;=Summary!$B$2),"Passes using beginning_balance - PreV_ETB differs from beginning_balance",IF(AND(ISNUMBER(O3956),O3956&lt;0,ABS(L3956-(Q3956-IF(ISNUMBER(N3956),N3956,0)+IF(ISNUMBER(P3956),P3956,0)))&lt;=Summary!$B$2),"Negative realized loss not applied - check sign",IF(R3956&lt;0,"Principal paid exceeds prior balance",IF(AND(L3956&gt;Q3956,NOT(ISNUMBER(P3956))),"Balance increased but no Deferred_interest reported",IF(L3956&gt;R3956,"Reported balance higher than expected (missing increase/OC build)","Reported balance lower than expected (missing decrease)"))))),""))</f>
        <v/>
      </c>
    </row>
    <row r="3957" customFormat="false" ht="15" hidden="false" customHeight="false" outlineLevel="0" collapsed="false">
      <c r="A3957" s="8"/>
      <c r="B3957" s="8"/>
      <c r="C3957" s="8"/>
      <c r="D3957" s="8"/>
      <c r="E3957" s="8"/>
      <c r="F3957" s="8"/>
      <c r="G3957" s="8"/>
      <c r="H3957" s="8"/>
      <c r="I3957" s="8"/>
      <c r="J3957" s="8"/>
      <c r="K3957" s="9"/>
      <c r="L3957" s="9"/>
      <c r="M3957" s="9"/>
      <c r="N3957" s="9"/>
      <c r="O3957" s="9"/>
      <c r="P3957" s="9"/>
      <c r="Q3957" s="9"/>
      <c r="R3957" s="9" t="str">
        <f aca="false">IF(AND(A3957&lt;&gt;"",ISNUMBER(Q3957),ISNUMBER(L3957)),ROUND(Q3957-IF(ISNUMBER(N3957),N3957,0)-IF(ISNUMBER(O3957),O3957,0)+IF(ISNUMBER(P3957),P3957,0),2),"")</f>
        <v/>
      </c>
      <c r="S3957" s="9" t="str">
        <f aca="false">IF(R3957="","",ROUND(L3957-R3957,2))</f>
        <v/>
      </c>
      <c r="T3957" s="8" t="str">
        <f aca="false">IF(A3957="","",IF(S3957="","BYPASS",IF(ABS(S3957)&lt;=Summary!$B$2,"PASS","FAIL")))</f>
        <v/>
      </c>
      <c r="U3957" s="8" t="str">
        <f aca="false">IF(T3957="BYPASS",IF(NOT(ISNUMBER(Q3957)),"PreV_ETB missing","End_tr_balance missing"),IF(T3957="FAIL",IF(AND(ISNUMBER(K3957),ISNUMBER(L3957),ABS(L3957-(K3957-IF(ISNUMBER(N3957),N3957,0)-IF(ISNUMBER(O3957),O3957,0)+IF(ISNUMBER(P3957),P3957,0)))&lt;=Summary!$B$2),"Passes using beginning_balance - PreV_ETB differs from beginning_balance",IF(AND(ISNUMBER(O3957),O3957&lt;0,ABS(L3957-(Q3957-IF(ISNUMBER(N3957),N3957,0)+IF(ISNUMBER(P3957),P3957,0)))&lt;=Summary!$B$2),"Negative realized loss not applied - check sign",IF(R3957&lt;0,"Principal paid exceeds prior balance",IF(AND(L3957&gt;Q3957,NOT(ISNUMBER(P3957))),"Balance increased but no Deferred_interest reported",IF(L3957&gt;R3957,"Reported balance higher than expected (missing increase/OC build)","Reported balance lower than expected (missing decrease)"))))),""))</f>
        <v/>
      </c>
    </row>
    <row r="3958" customFormat="false" ht="15" hidden="false" customHeight="false" outlineLevel="0" collapsed="false">
      <c r="A3958" s="8"/>
      <c r="B3958" s="8"/>
      <c r="C3958" s="8"/>
      <c r="D3958" s="8"/>
      <c r="E3958" s="8"/>
      <c r="F3958" s="8"/>
      <c r="G3958" s="8"/>
      <c r="H3958" s="8"/>
      <c r="I3958" s="8"/>
      <c r="J3958" s="8"/>
      <c r="K3958" s="9"/>
      <c r="L3958" s="9"/>
      <c r="M3958" s="9"/>
      <c r="N3958" s="9"/>
      <c r="O3958" s="9"/>
      <c r="P3958" s="9"/>
      <c r="Q3958" s="9"/>
      <c r="R3958" s="9" t="str">
        <f aca="false">IF(AND(A3958&lt;&gt;"",ISNUMBER(Q3958),ISNUMBER(L3958)),ROUND(Q3958-IF(ISNUMBER(N3958),N3958,0)-IF(ISNUMBER(O3958),O3958,0)+IF(ISNUMBER(P3958),P3958,0),2),"")</f>
        <v/>
      </c>
      <c r="S3958" s="9" t="str">
        <f aca="false">IF(R3958="","",ROUND(L3958-R3958,2))</f>
        <v/>
      </c>
      <c r="T3958" s="8" t="str">
        <f aca="false">IF(A3958="","",IF(S3958="","BYPASS",IF(ABS(S3958)&lt;=Summary!$B$2,"PASS","FAIL")))</f>
        <v/>
      </c>
      <c r="U3958" s="8" t="str">
        <f aca="false">IF(T3958="BYPASS",IF(NOT(ISNUMBER(Q3958)),"PreV_ETB missing","End_tr_balance missing"),IF(T3958="FAIL",IF(AND(ISNUMBER(K3958),ISNUMBER(L3958),ABS(L3958-(K3958-IF(ISNUMBER(N3958),N3958,0)-IF(ISNUMBER(O3958),O3958,0)+IF(ISNUMBER(P3958),P3958,0)))&lt;=Summary!$B$2),"Passes using beginning_balance - PreV_ETB differs from beginning_balance",IF(AND(ISNUMBER(O3958),O3958&lt;0,ABS(L3958-(Q3958-IF(ISNUMBER(N3958),N3958,0)+IF(ISNUMBER(P3958),P3958,0)))&lt;=Summary!$B$2),"Negative realized loss not applied - check sign",IF(R3958&lt;0,"Principal paid exceeds prior balance",IF(AND(L3958&gt;Q3958,NOT(ISNUMBER(P3958))),"Balance increased but no Deferred_interest reported",IF(L3958&gt;R3958,"Reported balance higher than expected (missing increase/OC build)","Reported balance lower than expected (missing decrease)"))))),""))</f>
        <v/>
      </c>
    </row>
    <row r="3959" customFormat="false" ht="15" hidden="false" customHeight="false" outlineLevel="0" collapsed="false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9"/>
      <c r="L3959" s="9"/>
      <c r="M3959" s="9"/>
      <c r="N3959" s="9"/>
      <c r="O3959" s="9"/>
      <c r="P3959" s="9"/>
      <c r="Q3959" s="9"/>
      <c r="R3959" s="9" t="str">
        <f aca="false">IF(AND(A3959&lt;&gt;"",ISNUMBER(Q3959),ISNUMBER(L3959)),ROUND(Q3959-IF(ISNUMBER(N3959),N3959,0)-IF(ISNUMBER(O3959),O3959,0)+IF(ISNUMBER(P3959),P3959,0),2),"")</f>
        <v/>
      </c>
      <c r="S3959" s="9" t="str">
        <f aca="false">IF(R3959="","",ROUND(L3959-R3959,2))</f>
        <v/>
      </c>
      <c r="T3959" s="8" t="str">
        <f aca="false">IF(A3959="","",IF(S3959="","BYPASS",IF(ABS(S3959)&lt;=Summary!$B$2,"PASS","FAIL")))</f>
        <v/>
      </c>
      <c r="U3959" s="8" t="str">
        <f aca="false">IF(T3959="BYPASS",IF(NOT(ISNUMBER(Q3959)),"PreV_ETB missing","End_tr_balance missing"),IF(T3959="FAIL",IF(AND(ISNUMBER(K3959),ISNUMBER(L3959),ABS(L3959-(K3959-IF(ISNUMBER(N3959),N3959,0)-IF(ISNUMBER(O3959),O3959,0)+IF(ISNUMBER(P3959),P3959,0)))&lt;=Summary!$B$2),"Passes using beginning_balance - PreV_ETB differs from beginning_balance",IF(AND(ISNUMBER(O3959),O3959&lt;0,ABS(L3959-(Q3959-IF(ISNUMBER(N3959),N3959,0)+IF(ISNUMBER(P3959),P3959,0)))&lt;=Summary!$B$2),"Negative realized loss not applied - check sign",IF(R3959&lt;0,"Principal paid exceeds prior balance",IF(AND(L3959&gt;Q3959,NOT(ISNUMBER(P3959))),"Balance increased but no Deferred_interest reported",IF(L3959&gt;R3959,"Reported balance higher than expected (missing increase/OC build)","Reported balance lower than expected (missing decrease)"))))),""))</f>
        <v/>
      </c>
    </row>
    <row r="3960" customFormat="false" ht="15" hidden="false" customHeight="false" outlineLevel="0" collapsed="false">
      <c r="A3960" s="8"/>
      <c r="B3960" s="8"/>
      <c r="C3960" s="8"/>
      <c r="D3960" s="8"/>
      <c r="E3960" s="8"/>
      <c r="F3960" s="8"/>
      <c r="G3960" s="8"/>
      <c r="H3960" s="8"/>
      <c r="I3960" s="8"/>
      <c r="J3960" s="8"/>
      <c r="K3960" s="9"/>
      <c r="L3960" s="9"/>
      <c r="M3960" s="9"/>
      <c r="N3960" s="9"/>
      <c r="O3960" s="9"/>
      <c r="P3960" s="9"/>
      <c r="Q3960" s="9"/>
      <c r="R3960" s="9" t="str">
        <f aca="false">IF(AND(A3960&lt;&gt;"",ISNUMBER(Q3960),ISNUMBER(L3960)),ROUND(Q3960-IF(ISNUMBER(N3960),N3960,0)-IF(ISNUMBER(O3960),O3960,0)+IF(ISNUMBER(P3960),P3960,0),2),"")</f>
        <v/>
      </c>
      <c r="S3960" s="9" t="str">
        <f aca="false">IF(R3960="","",ROUND(L3960-R3960,2))</f>
        <v/>
      </c>
      <c r="T3960" s="8" t="str">
        <f aca="false">IF(A3960="","",IF(S3960="","BYPASS",IF(ABS(S3960)&lt;=Summary!$B$2,"PASS","FAIL")))</f>
        <v/>
      </c>
      <c r="U3960" s="8" t="str">
        <f aca="false">IF(T3960="BYPASS",IF(NOT(ISNUMBER(Q3960)),"PreV_ETB missing","End_tr_balance missing"),IF(T3960="FAIL",IF(AND(ISNUMBER(K3960),ISNUMBER(L3960),ABS(L3960-(K3960-IF(ISNUMBER(N3960),N3960,0)-IF(ISNUMBER(O3960),O3960,0)+IF(ISNUMBER(P3960),P3960,0)))&lt;=Summary!$B$2),"Passes using beginning_balance - PreV_ETB differs from beginning_balance",IF(AND(ISNUMBER(O3960),O3960&lt;0,ABS(L3960-(Q3960-IF(ISNUMBER(N3960),N3960,0)+IF(ISNUMBER(P3960),P3960,0)))&lt;=Summary!$B$2),"Negative realized loss not applied - check sign",IF(R3960&lt;0,"Principal paid exceeds prior balance",IF(AND(L3960&gt;Q3960,NOT(ISNUMBER(P3960))),"Balance increased but no Deferred_interest reported",IF(L3960&gt;R3960,"Reported balance higher than expected (missing increase/OC build)","Reported balance lower than expected (missing decrease)"))))),""))</f>
        <v/>
      </c>
    </row>
    <row r="3961" customFormat="false" ht="15" hidden="false" customHeight="false" outlineLevel="0" collapsed="false">
      <c r="A3961" s="8"/>
      <c r="B3961" s="8"/>
      <c r="C3961" s="8"/>
      <c r="D3961" s="8"/>
      <c r="E3961" s="8"/>
      <c r="F3961" s="8"/>
      <c r="G3961" s="8"/>
      <c r="H3961" s="8"/>
      <c r="I3961" s="8"/>
      <c r="J3961" s="8"/>
      <c r="K3961" s="9"/>
      <c r="L3961" s="9"/>
      <c r="M3961" s="9"/>
      <c r="N3961" s="9"/>
      <c r="O3961" s="9"/>
      <c r="P3961" s="9"/>
      <c r="Q3961" s="9"/>
      <c r="R3961" s="9" t="str">
        <f aca="false">IF(AND(A3961&lt;&gt;"",ISNUMBER(Q3961),ISNUMBER(L3961)),ROUND(Q3961-IF(ISNUMBER(N3961),N3961,0)-IF(ISNUMBER(O3961),O3961,0)+IF(ISNUMBER(P3961),P3961,0),2),"")</f>
        <v/>
      </c>
      <c r="S3961" s="9" t="str">
        <f aca="false">IF(R3961="","",ROUND(L3961-R3961,2))</f>
        <v/>
      </c>
      <c r="T3961" s="8" t="str">
        <f aca="false">IF(A3961="","",IF(S3961="","BYPASS",IF(ABS(S3961)&lt;=Summary!$B$2,"PASS","FAIL")))</f>
        <v/>
      </c>
      <c r="U3961" s="8" t="str">
        <f aca="false">IF(T3961="BYPASS",IF(NOT(ISNUMBER(Q3961)),"PreV_ETB missing","End_tr_balance missing"),IF(T3961="FAIL",IF(AND(ISNUMBER(K3961),ISNUMBER(L3961),ABS(L3961-(K3961-IF(ISNUMBER(N3961),N3961,0)-IF(ISNUMBER(O3961),O3961,0)+IF(ISNUMBER(P3961),P3961,0)))&lt;=Summary!$B$2),"Passes using beginning_balance - PreV_ETB differs from beginning_balance",IF(AND(ISNUMBER(O3961),O3961&lt;0,ABS(L3961-(Q3961-IF(ISNUMBER(N3961),N3961,0)+IF(ISNUMBER(P3961),P3961,0)))&lt;=Summary!$B$2),"Negative realized loss not applied - check sign",IF(R3961&lt;0,"Principal paid exceeds prior balance",IF(AND(L3961&gt;Q3961,NOT(ISNUMBER(P3961))),"Balance increased but no Deferred_interest reported",IF(L3961&gt;R3961,"Reported balance higher than expected (missing increase/OC build)","Reported balance lower than expected (missing decrease)"))))),""))</f>
        <v/>
      </c>
    </row>
    <row r="3962" customFormat="false" ht="15" hidden="false" customHeight="false" outlineLevel="0" collapsed="false">
      <c r="A3962" s="8"/>
      <c r="B3962" s="8"/>
      <c r="C3962" s="8"/>
      <c r="D3962" s="8"/>
      <c r="E3962" s="8"/>
      <c r="F3962" s="8"/>
      <c r="G3962" s="8"/>
      <c r="H3962" s="8"/>
      <c r="I3962" s="8"/>
      <c r="J3962" s="8"/>
      <c r="K3962" s="9"/>
      <c r="L3962" s="9"/>
      <c r="M3962" s="9"/>
      <c r="N3962" s="9"/>
      <c r="O3962" s="9"/>
      <c r="P3962" s="9"/>
      <c r="Q3962" s="9"/>
      <c r="R3962" s="9" t="str">
        <f aca="false">IF(AND(A3962&lt;&gt;"",ISNUMBER(Q3962),ISNUMBER(L3962)),ROUND(Q3962-IF(ISNUMBER(N3962),N3962,0)-IF(ISNUMBER(O3962),O3962,0)+IF(ISNUMBER(P3962),P3962,0),2),"")</f>
        <v/>
      </c>
      <c r="S3962" s="9" t="str">
        <f aca="false">IF(R3962="","",ROUND(L3962-R3962,2))</f>
        <v/>
      </c>
      <c r="T3962" s="8" t="str">
        <f aca="false">IF(A3962="","",IF(S3962="","BYPASS",IF(ABS(S3962)&lt;=Summary!$B$2,"PASS","FAIL")))</f>
        <v/>
      </c>
      <c r="U3962" s="8" t="str">
        <f aca="false">IF(T3962="BYPASS",IF(NOT(ISNUMBER(Q3962)),"PreV_ETB missing","End_tr_balance missing"),IF(T3962="FAIL",IF(AND(ISNUMBER(K3962),ISNUMBER(L3962),ABS(L3962-(K3962-IF(ISNUMBER(N3962),N3962,0)-IF(ISNUMBER(O3962),O3962,0)+IF(ISNUMBER(P3962),P3962,0)))&lt;=Summary!$B$2),"Passes using beginning_balance - PreV_ETB differs from beginning_balance",IF(AND(ISNUMBER(O3962),O3962&lt;0,ABS(L3962-(Q3962-IF(ISNUMBER(N3962),N3962,0)+IF(ISNUMBER(P3962),P3962,0)))&lt;=Summary!$B$2),"Negative realized loss not applied - check sign",IF(R3962&lt;0,"Principal paid exceeds prior balance",IF(AND(L3962&gt;Q3962,NOT(ISNUMBER(P3962))),"Balance increased but no Deferred_interest reported",IF(L3962&gt;R3962,"Reported balance higher than expected (missing increase/OC build)","Reported balance lower than expected (missing decrease)"))))),""))</f>
        <v/>
      </c>
    </row>
    <row r="3963" customFormat="false" ht="15" hidden="false" customHeight="false" outlineLevel="0" collapsed="false">
      <c r="A3963" s="8"/>
      <c r="B3963" s="8"/>
      <c r="C3963" s="8"/>
      <c r="D3963" s="8"/>
      <c r="E3963" s="8"/>
      <c r="F3963" s="8"/>
      <c r="G3963" s="8"/>
      <c r="H3963" s="8"/>
      <c r="I3963" s="8"/>
      <c r="J3963" s="8"/>
      <c r="K3963" s="9"/>
      <c r="L3963" s="9"/>
      <c r="M3963" s="9"/>
      <c r="N3963" s="9"/>
      <c r="O3963" s="9"/>
      <c r="P3963" s="9"/>
      <c r="Q3963" s="9"/>
      <c r="R3963" s="9" t="str">
        <f aca="false">IF(AND(A3963&lt;&gt;"",ISNUMBER(Q3963),ISNUMBER(L3963)),ROUND(Q3963-IF(ISNUMBER(N3963),N3963,0)-IF(ISNUMBER(O3963),O3963,0)+IF(ISNUMBER(P3963),P3963,0),2),"")</f>
        <v/>
      </c>
      <c r="S3963" s="9" t="str">
        <f aca="false">IF(R3963="","",ROUND(L3963-R3963,2))</f>
        <v/>
      </c>
      <c r="T3963" s="8" t="str">
        <f aca="false">IF(A3963="","",IF(S3963="","BYPASS",IF(ABS(S3963)&lt;=Summary!$B$2,"PASS","FAIL")))</f>
        <v/>
      </c>
      <c r="U3963" s="8" t="str">
        <f aca="false">IF(T3963="BYPASS",IF(NOT(ISNUMBER(Q3963)),"PreV_ETB missing","End_tr_balance missing"),IF(T3963="FAIL",IF(AND(ISNUMBER(K3963),ISNUMBER(L3963),ABS(L3963-(K3963-IF(ISNUMBER(N3963),N3963,0)-IF(ISNUMBER(O3963),O3963,0)+IF(ISNUMBER(P3963),P3963,0)))&lt;=Summary!$B$2),"Passes using beginning_balance - PreV_ETB differs from beginning_balance",IF(AND(ISNUMBER(O3963),O3963&lt;0,ABS(L3963-(Q3963-IF(ISNUMBER(N3963),N3963,0)+IF(ISNUMBER(P3963),P3963,0)))&lt;=Summary!$B$2),"Negative realized loss not applied - check sign",IF(R3963&lt;0,"Principal paid exceeds prior balance",IF(AND(L3963&gt;Q3963,NOT(ISNUMBER(P3963))),"Balance increased but no Deferred_interest reported",IF(L3963&gt;R3963,"Reported balance higher than expected (missing increase/OC build)","Reported balance lower than expected (missing decrease)"))))),""))</f>
        <v/>
      </c>
    </row>
    <row r="3964" customFormat="false" ht="15" hidden="false" customHeight="false" outlineLevel="0" collapsed="false">
      <c r="A3964" s="8"/>
      <c r="B3964" s="8"/>
      <c r="C3964" s="8"/>
      <c r="D3964" s="8"/>
      <c r="E3964" s="8"/>
      <c r="F3964" s="8"/>
      <c r="G3964" s="8"/>
      <c r="H3964" s="8"/>
      <c r="I3964" s="8"/>
      <c r="J3964" s="8"/>
      <c r="K3964" s="9"/>
      <c r="L3964" s="9"/>
      <c r="M3964" s="9"/>
      <c r="N3964" s="9"/>
      <c r="O3964" s="9"/>
      <c r="P3964" s="9"/>
      <c r="Q3964" s="9"/>
      <c r="R3964" s="9" t="str">
        <f aca="false">IF(AND(A3964&lt;&gt;"",ISNUMBER(Q3964),ISNUMBER(L3964)),ROUND(Q3964-IF(ISNUMBER(N3964),N3964,0)-IF(ISNUMBER(O3964),O3964,0)+IF(ISNUMBER(P3964),P3964,0),2),"")</f>
        <v/>
      </c>
      <c r="S3964" s="9" t="str">
        <f aca="false">IF(R3964="","",ROUND(L3964-R3964,2))</f>
        <v/>
      </c>
      <c r="T3964" s="8" t="str">
        <f aca="false">IF(A3964="","",IF(S3964="","BYPASS",IF(ABS(S3964)&lt;=Summary!$B$2,"PASS","FAIL")))</f>
        <v/>
      </c>
      <c r="U3964" s="8" t="str">
        <f aca="false">IF(T3964="BYPASS",IF(NOT(ISNUMBER(Q3964)),"PreV_ETB missing","End_tr_balance missing"),IF(T3964="FAIL",IF(AND(ISNUMBER(K3964),ISNUMBER(L3964),ABS(L3964-(K3964-IF(ISNUMBER(N3964),N3964,0)-IF(ISNUMBER(O3964),O3964,0)+IF(ISNUMBER(P3964),P3964,0)))&lt;=Summary!$B$2),"Passes using beginning_balance - PreV_ETB differs from beginning_balance",IF(AND(ISNUMBER(O3964),O3964&lt;0,ABS(L3964-(Q3964-IF(ISNUMBER(N3964),N3964,0)+IF(ISNUMBER(P3964),P3964,0)))&lt;=Summary!$B$2),"Negative realized loss not applied - check sign",IF(R3964&lt;0,"Principal paid exceeds prior balance",IF(AND(L3964&gt;Q3964,NOT(ISNUMBER(P3964))),"Balance increased but no Deferred_interest reported",IF(L3964&gt;R3964,"Reported balance higher than expected (missing increase/OC build)","Reported balance lower than expected (missing decrease)"))))),""))</f>
        <v/>
      </c>
    </row>
    <row r="3965" customFormat="false" ht="15" hidden="false" customHeight="false" outlineLevel="0" collapsed="false">
      <c r="A3965" s="8"/>
      <c r="B3965" s="8"/>
      <c r="C3965" s="8"/>
      <c r="D3965" s="8"/>
      <c r="E3965" s="8"/>
      <c r="F3965" s="8"/>
      <c r="G3965" s="8"/>
      <c r="H3965" s="8"/>
      <c r="I3965" s="8"/>
      <c r="J3965" s="8"/>
      <c r="K3965" s="9"/>
      <c r="L3965" s="9"/>
      <c r="M3965" s="9"/>
      <c r="N3965" s="9"/>
      <c r="O3965" s="9"/>
      <c r="P3965" s="9"/>
      <c r="Q3965" s="9"/>
      <c r="R3965" s="9" t="str">
        <f aca="false">IF(AND(A3965&lt;&gt;"",ISNUMBER(Q3965),ISNUMBER(L3965)),ROUND(Q3965-IF(ISNUMBER(N3965),N3965,0)-IF(ISNUMBER(O3965),O3965,0)+IF(ISNUMBER(P3965),P3965,0),2),"")</f>
        <v/>
      </c>
      <c r="S3965" s="9" t="str">
        <f aca="false">IF(R3965="","",ROUND(L3965-R3965,2))</f>
        <v/>
      </c>
      <c r="T3965" s="8" t="str">
        <f aca="false">IF(A3965="","",IF(S3965="","BYPASS",IF(ABS(S3965)&lt;=Summary!$B$2,"PASS","FAIL")))</f>
        <v/>
      </c>
      <c r="U3965" s="8" t="str">
        <f aca="false">IF(T3965="BYPASS",IF(NOT(ISNUMBER(Q3965)),"PreV_ETB missing","End_tr_balance missing"),IF(T3965="FAIL",IF(AND(ISNUMBER(K3965),ISNUMBER(L3965),ABS(L3965-(K3965-IF(ISNUMBER(N3965),N3965,0)-IF(ISNUMBER(O3965),O3965,0)+IF(ISNUMBER(P3965),P3965,0)))&lt;=Summary!$B$2),"Passes using beginning_balance - PreV_ETB differs from beginning_balance",IF(AND(ISNUMBER(O3965),O3965&lt;0,ABS(L3965-(Q3965-IF(ISNUMBER(N3965),N3965,0)+IF(ISNUMBER(P3965),P3965,0)))&lt;=Summary!$B$2),"Negative realized loss not applied - check sign",IF(R3965&lt;0,"Principal paid exceeds prior balance",IF(AND(L3965&gt;Q3965,NOT(ISNUMBER(P3965))),"Balance increased but no Deferred_interest reported",IF(L3965&gt;R3965,"Reported balance higher than expected (missing increase/OC build)","Reported balance lower than expected (missing decrease)"))))),""))</f>
        <v/>
      </c>
    </row>
    <row r="3966" customFormat="false" ht="15" hidden="false" customHeight="false" outlineLevel="0" collapsed="false">
      <c r="A3966" s="8"/>
      <c r="B3966" s="8"/>
      <c r="C3966" s="8"/>
      <c r="D3966" s="8"/>
      <c r="E3966" s="8"/>
      <c r="F3966" s="8"/>
      <c r="G3966" s="8"/>
      <c r="H3966" s="8"/>
      <c r="I3966" s="8"/>
      <c r="J3966" s="8"/>
      <c r="K3966" s="9"/>
      <c r="L3966" s="9"/>
      <c r="M3966" s="9"/>
      <c r="N3966" s="9"/>
      <c r="O3966" s="9"/>
      <c r="P3966" s="9"/>
      <c r="Q3966" s="9"/>
      <c r="R3966" s="9" t="str">
        <f aca="false">IF(AND(A3966&lt;&gt;"",ISNUMBER(Q3966),ISNUMBER(L3966)),ROUND(Q3966-IF(ISNUMBER(N3966),N3966,0)-IF(ISNUMBER(O3966),O3966,0)+IF(ISNUMBER(P3966),P3966,0),2),"")</f>
        <v/>
      </c>
      <c r="S3966" s="9" t="str">
        <f aca="false">IF(R3966="","",ROUND(L3966-R3966,2))</f>
        <v/>
      </c>
      <c r="T3966" s="8" t="str">
        <f aca="false">IF(A3966="","",IF(S3966="","BYPASS",IF(ABS(S3966)&lt;=Summary!$B$2,"PASS","FAIL")))</f>
        <v/>
      </c>
      <c r="U3966" s="8" t="str">
        <f aca="false">IF(T3966="BYPASS",IF(NOT(ISNUMBER(Q3966)),"PreV_ETB missing","End_tr_balance missing"),IF(T3966="FAIL",IF(AND(ISNUMBER(K3966),ISNUMBER(L3966),ABS(L3966-(K3966-IF(ISNUMBER(N3966),N3966,0)-IF(ISNUMBER(O3966),O3966,0)+IF(ISNUMBER(P3966),P3966,0)))&lt;=Summary!$B$2),"Passes using beginning_balance - PreV_ETB differs from beginning_balance",IF(AND(ISNUMBER(O3966),O3966&lt;0,ABS(L3966-(Q3966-IF(ISNUMBER(N3966),N3966,0)+IF(ISNUMBER(P3966),P3966,0)))&lt;=Summary!$B$2),"Negative realized loss not applied - check sign",IF(R3966&lt;0,"Principal paid exceeds prior balance",IF(AND(L3966&gt;Q3966,NOT(ISNUMBER(P3966))),"Balance increased but no Deferred_interest reported",IF(L3966&gt;R3966,"Reported balance higher than expected (missing increase/OC build)","Reported balance lower than expected (missing decrease)"))))),""))</f>
        <v/>
      </c>
    </row>
    <row r="3967" customFormat="false" ht="15" hidden="false" customHeight="false" outlineLevel="0" collapsed="false">
      <c r="A3967" s="8"/>
      <c r="B3967" s="8"/>
      <c r="C3967" s="8"/>
      <c r="D3967" s="8"/>
      <c r="E3967" s="8"/>
      <c r="F3967" s="8"/>
      <c r="G3967" s="8"/>
      <c r="H3967" s="8"/>
      <c r="I3967" s="8"/>
      <c r="J3967" s="8"/>
      <c r="K3967" s="9"/>
      <c r="L3967" s="9"/>
      <c r="M3967" s="9"/>
      <c r="N3967" s="9"/>
      <c r="O3967" s="9"/>
      <c r="P3967" s="9"/>
      <c r="Q3967" s="9"/>
      <c r="R3967" s="9" t="str">
        <f aca="false">IF(AND(A3967&lt;&gt;"",ISNUMBER(Q3967),ISNUMBER(L3967)),ROUND(Q3967-IF(ISNUMBER(N3967),N3967,0)-IF(ISNUMBER(O3967),O3967,0)+IF(ISNUMBER(P3967),P3967,0),2),"")</f>
        <v/>
      </c>
      <c r="S3967" s="9" t="str">
        <f aca="false">IF(R3967="","",ROUND(L3967-R3967,2))</f>
        <v/>
      </c>
      <c r="T3967" s="8" t="str">
        <f aca="false">IF(A3967="","",IF(S3967="","BYPASS",IF(ABS(S3967)&lt;=Summary!$B$2,"PASS","FAIL")))</f>
        <v/>
      </c>
      <c r="U3967" s="8" t="str">
        <f aca="false">IF(T3967="BYPASS",IF(NOT(ISNUMBER(Q3967)),"PreV_ETB missing","End_tr_balance missing"),IF(T3967="FAIL",IF(AND(ISNUMBER(K3967),ISNUMBER(L3967),ABS(L3967-(K3967-IF(ISNUMBER(N3967),N3967,0)-IF(ISNUMBER(O3967),O3967,0)+IF(ISNUMBER(P3967),P3967,0)))&lt;=Summary!$B$2),"Passes using beginning_balance - PreV_ETB differs from beginning_balance",IF(AND(ISNUMBER(O3967),O3967&lt;0,ABS(L3967-(Q3967-IF(ISNUMBER(N3967),N3967,0)+IF(ISNUMBER(P3967),P3967,0)))&lt;=Summary!$B$2),"Negative realized loss not applied - check sign",IF(R3967&lt;0,"Principal paid exceeds prior balance",IF(AND(L3967&gt;Q3967,NOT(ISNUMBER(P3967))),"Balance increased but no Deferred_interest reported",IF(L3967&gt;R3967,"Reported balance higher than expected (missing increase/OC build)","Reported balance lower than expected (missing decrease)"))))),""))</f>
        <v/>
      </c>
    </row>
    <row r="3968" customFormat="false" ht="15" hidden="false" customHeight="false" outlineLevel="0" collapsed="false">
      <c r="A3968" s="8"/>
      <c r="B3968" s="8"/>
      <c r="C3968" s="8"/>
      <c r="D3968" s="8"/>
      <c r="E3968" s="8"/>
      <c r="F3968" s="8"/>
      <c r="G3968" s="8"/>
      <c r="H3968" s="8"/>
      <c r="I3968" s="8"/>
      <c r="J3968" s="8"/>
      <c r="K3968" s="9"/>
      <c r="L3968" s="9"/>
      <c r="M3968" s="9"/>
      <c r="N3968" s="9"/>
      <c r="O3968" s="9"/>
      <c r="P3968" s="9"/>
      <c r="Q3968" s="9"/>
      <c r="R3968" s="9" t="str">
        <f aca="false">IF(AND(A3968&lt;&gt;"",ISNUMBER(Q3968),ISNUMBER(L3968)),ROUND(Q3968-IF(ISNUMBER(N3968),N3968,0)-IF(ISNUMBER(O3968),O3968,0)+IF(ISNUMBER(P3968),P3968,0),2),"")</f>
        <v/>
      </c>
      <c r="S3968" s="9" t="str">
        <f aca="false">IF(R3968="","",ROUND(L3968-R3968,2))</f>
        <v/>
      </c>
      <c r="T3968" s="8" t="str">
        <f aca="false">IF(A3968="","",IF(S3968="","BYPASS",IF(ABS(S3968)&lt;=Summary!$B$2,"PASS","FAIL")))</f>
        <v/>
      </c>
      <c r="U3968" s="8" t="str">
        <f aca="false">IF(T3968="BYPASS",IF(NOT(ISNUMBER(Q3968)),"PreV_ETB missing","End_tr_balance missing"),IF(T3968="FAIL",IF(AND(ISNUMBER(K3968),ISNUMBER(L3968),ABS(L3968-(K3968-IF(ISNUMBER(N3968),N3968,0)-IF(ISNUMBER(O3968),O3968,0)+IF(ISNUMBER(P3968),P3968,0)))&lt;=Summary!$B$2),"Passes using beginning_balance - PreV_ETB differs from beginning_balance",IF(AND(ISNUMBER(O3968),O3968&lt;0,ABS(L3968-(Q3968-IF(ISNUMBER(N3968),N3968,0)+IF(ISNUMBER(P3968),P3968,0)))&lt;=Summary!$B$2),"Negative realized loss not applied - check sign",IF(R3968&lt;0,"Principal paid exceeds prior balance",IF(AND(L3968&gt;Q3968,NOT(ISNUMBER(P3968))),"Balance increased but no Deferred_interest reported",IF(L3968&gt;R3968,"Reported balance higher than expected (missing increase/OC build)","Reported balance lower than expected (missing decrease)"))))),""))</f>
        <v/>
      </c>
    </row>
    <row r="3969" customFormat="false" ht="15" hidden="false" customHeight="false" outlineLevel="0" collapsed="false">
      <c r="A3969" s="8"/>
      <c r="B3969" s="8"/>
      <c r="C3969" s="8"/>
      <c r="D3969" s="8"/>
      <c r="E3969" s="8"/>
      <c r="F3969" s="8"/>
      <c r="G3969" s="8"/>
      <c r="H3969" s="8"/>
      <c r="I3969" s="8"/>
      <c r="J3969" s="8"/>
      <c r="K3969" s="9"/>
      <c r="L3969" s="9"/>
      <c r="M3969" s="9"/>
      <c r="N3969" s="9"/>
      <c r="O3969" s="9"/>
      <c r="P3969" s="9"/>
      <c r="Q3969" s="9"/>
      <c r="R3969" s="9" t="str">
        <f aca="false">IF(AND(A3969&lt;&gt;"",ISNUMBER(Q3969),ISNUMBER(L3969)),ROUND(Q3969-IF(ISNUMBER(N3969),N3969,0)-IF(ISNUMBER(O3969),O3969,0)+IF(ISNUMBER(P3969),P3969,0),2),"")</f>
        <v/>
      </c>
      <c r="S3969" s="9" t="str">
        <f aca="false">IF(R3969="","",ROUND(L3969-R3969,2))</f>
        <v/>
      </c>
      <c r="T3969" s="8" t="str">
        <f aca="false">IF(A3969="","",IF(S3969="","BYPASS",IF(ABS(S3969)&lt;=Summary!$B$2,"PASS","FAIL")))</f>
        <v/>
      </c>
      <c r="U3969" s="8" t="str">
        <f aca="false">IF(T3969="BYPASS",IF(NOT(ISNUMBER(Q3969)),"PreV_ETB missing","End_tr_balance missing"),IF(T3969="FAIL",IF(AND(ISNUMBER(K3969),ISNUMBER(L3969),ABS(L3969-(K3969-IF(ISNUMBER(N3969),N3969,0)-IF(ISNUMBER(O3969),O3969,0)+IF(ISNUMBER(P3969),P3969,0)))&lt;=Summary!$B$2),"Passes using beginning_balance - PreV_ETB differs from beginning_balance",IF(AND(ISNUMBER(O3969),O3969&lt;0,ABS(L3969-(Q3969-IF(ISNUMBER(N3969),N3969,0)+IF(ISNUMBER(P3969),P3969,0)))&lt;=Summary!$B$2),"Negative realized loss not applied - check sign",IF(R3969&lt;0,"Principal paid exceeds prior balance",IF(AND(L3969&gt;Q3969,NOT(ISNUMBER(P3969))),"Balance increased but no Deferred_interest reported",IF(L3969&gt;R3969,"Reported balance higher than expected (missing increase/OC build)","Reported balance lower than expected (missing decrease)"))))),""))</f>
        <v/>
      </c>
    </row>
    <row r="3970" customFormat="false" ht="15" hidden="false" customHeight="false" outlineLevel="0" collapsed="false">
      <c r="A3970" s="8"/>
      <c r="B3970" s="8"/>
      <c r="C3970" s="8"/>
      <c r="D3970" s="8"/>
      <c r="E3970" s="8"/>
      <c r="F3970" s="8"/>
      <c r="G3970" s="8"/>
      <c r="H3970" s="8"/>
      <c r="I3970" s="8"/>
      <c r="J3970" s="8"/>
      <c r="K3970" s="9"/>
      <c r="L3970" s="9"/>
      <c r="M3970" s="9"/>
      <c r="N3970" s="9"/>
      <c r="O3970" s="9"/>
      <c r="P3970" s="9"/>
      <c r="Q3970" s="9"/>
      <c r="R3970" s="9" t="str">
        <f aca="false">IF(AND(A3970&lt;&gt;"",ISNUMBER(Q3970),ISNUMBER(L3970)),ROUND(Q3970-IF(ISNUMBER(N3970),N3970,0)-IF(ISNUMBER(O3970),O3970,0)+IF(ISNUMBER(P3970),P3970,0),2),"")</f>
        <v/>
      </c>
      <c r="S3970" s="9" t="str">
        <f aca="false">IF(R3970="","",ROUND(L3970-R3970,2))</f>
        <v/>
      </c>
      <c r="T3970" s="8" t="str">
        <f aca="false">IF(A3970="","",IF(S3970="","BYPASS",IF(ABS(S3970)&lt;=Summary!$B$2,"PASS","FAIL")))</f>
        <v/>
      </c>
      <c r="U3970" s="8" t="str">
        <f aca="false">IF(T3970="BYPASS",IF(NOT(ISNUMBER(Q3970)),"PreV_ETB missing","End_tr_balance missing"),IF(T3970="FAIL",IF(AND(ISNUMBER(K3970),ISNUMBER(L3970),ABS(L3970-(K3970-IF(ISNUMBER(N3970),N3970,0)-IF(ISNUMBER(O3970),O3970,0)+IF(ISNUMBER(P3970),P3970,0)))&lt;=Summary!$B$2),"Passes using beginning_balance - PreV_ETB differs from beginning_balance",IF(AND(ISNUMBER(O3970),O3970&lt;0,ABS(L3970-(Q3970-IF(ISNUMBER(N3970),N3970,0)+IF(ISNUMBER(P3970),P3970,0)))&lt;=Summary!$B$2),"Negative realized loss not applied - check sign",IF(R3970&lt;0,"Principal paid exceeds prior balance",IF(AND(L3970&gt;Q3970,NOT(ISNUMBER(P3970))),"Balance increased but no Deferred_interest reported",IF(L3970&gt;R3970,"Reported balance higher than expected (missing increase/OC build)","Reported balance lower than expected (missing decrease)"))))),""))</f>
        <v/>
      </c>
    </row>
    <row r="3971" customFormat="false" ht="15" hidden="false" customHeight="false" outlineLevel="0" collapsed="false">
      <c r="A3971" s="8"/>
      <c r="B3971" s="8"/>
      <c r="C3971" s="8"/>
      <c r="D3971" s="8"/>
      <c r="E3971" s="8"/>
      <c r="F3971" s="8"/>
      <c r="G3971" s="8"/>
      <c r="H3971" s="8"/>
      <c r="I3971" s="8"/>
      <c r="J3971" s="8"/>
      <c r="K3971" s="9"/>
      <c r="L3971" s="9"/>
      <c r="M3971" s="9"/>
      <c r="N3971" s="9"/>
      <c r="O3971" s="9"/>
      <c r="P3971" s="9"/>
      <c r="Q3971" s="9"/>
      <c r="R3971" s="9" t="str">
        <f aca="false">IF(AND(A3971&lt;&gt;"",ISNUMBER(Q3971),ISNUMBER(L3971)),ROUND(Q3971-IF(ISNUMBER(N3971),N3971,0)-IF(ISNUMBER(O3971),O3971,0)+IF(ISNUMBER(P3971),P3971,0),2),"")</f>
        <v/>
      </c>
      <c r="S3971" s="9" t="str">
        <f aca="false">IF(R3971="","",ROUND(L3971-R3971,2))</f>
        <v/>
      </c>
      <c r="T3971" s="8" t="str">
        <f aca="false">IF(A3971="","",IF(S3971="","BYPASS",IF(ABS(S3971)&lt;=Summary!$B$2,"PASS","FAIL")))</f>
        <v/>
      </c>
      <c r="U3971" s="8" t="str">
        <f aca="false">IF(T3971="BYPASS",IF(NOT(ISNUMBER(Q3971)),"PreV_ETB missing","End_tr_balance missing"),IF(T3971="FAIL",IF(AND(ISNUMBER(K3971),ISNUMBER(L3971),ABS(L3971-(K3971-IF(ISNUMBER(N3971),N3971,0)-IF(ISNUMBER(O3971),O3971,0)+IF(ISNUMBER(P3971),P3971,0)))&lt;=Summary!$B$2),"Passes using beginning_balance - PreV_ETB differs from beginning_balance",IF(AND(ISNUMBER(O3971),O3971&lt;0,ABS(L3971-(Q3971-IF(ISNUMBER(N3971),N3971,0)+IF(ISNUMBER(P3971),P3971,0)))&lt;=Summary!$B$2),"Negative realized loss not applied - check sign",IF(R3971&lt;0,"Principal paid exceeds prior balance",IF(AND(L3971&gt;Q3971,NOT(ISNUMBER(P3971))),"Balance increased but no Deferred_interest reported",IF(L3971&gt;R3971,"Reported balance higher than expected (missing increase/OC build)","Reported balance lower than expected (missing decrease)"))))),""))</f>
        <v/>
      </c>
    </row>
    <row r="3972" customFormat="false" ht="15" hidden="false" customHeight="false" outlineLevel="0" collapsed="false">
      <c r="A3972" s="8"/>
      <c r="B3972" s="8"/>
      <c r="C3972" s="8"/>
      <c r="D3972" s="8"/>
      <c r="E3972" s="8"/>
      <c r="F3972" s="8"/>
      <c r="G3972" s="8"/>
      <c r="H3972" s="8"/>
      <c r="I3972" s="8"/>
      <c r="J3972" s="8"/>
      <c r="K3972" s="9"/>
      <c r="L3972" s="9"/>
      <c r="M3972" s="9"/>
      <c r="N3972" s="9"/>
      <c r="O3972" s="9"/>
      <c r="P3972" s="9"/>
      <c r="Q3972" s="9"/>
      <c r="R3972" s="9" t="str">
        <f aca="false">IF(AND(A3972&lt;&gt;"",ISNUMBER(Q3972),ISNUMBER(L3972)),ROUND(Q3972-IF(ISNUMBER(N3972),N3972,0)-IF(ISNUMBER(O3972),O3972,0)+IF(ISNUMBER(P3972),P3972,0),2),"")</f>
        <v/>
      </c>
      <c r="S3972" s="9" t="str">
        <f aca="false">IF(R3972="","",ROUND(L3972-R3972,2))</f>
        <v/>
      </c>
      <c r="T3972" s="8" t="str">
        <f aca="false">IF(A3972="","",IF(S3972="","BYPASS",IF(ABS(S3972)&lt;=Summary!$B$2,"PASS","FAIL")))</f>
        <v/>
      </c>
      <c r="U3972" s="8" t="str">
        <f aca="false">IF(T3972="BYPASS",IF(NOT(ISNUMBER(Q3972)),"PreV_ETB missing","End_tr_balance missing"),IF(T3972="FAIL",IF(AND(ISNUMBER(K3972),ISNUMBER(L3972),ABS(L3972-(K3972-IF(ISNUMBER(N3972),N3972,0)-IF(ISNUMBER(O3972),O3972,0)+IF(ISNUMBER(P3972),P3972,0)))&lt;=Summary!$B$2),"Passes using beginning_balance - PreV_ETB differs from beginning_balance",IF(AND(ISNUMBER(O3972),O3972&lt;0,ABS(L3972-(Q3972-IF(ISNUMBER(N3972),N3972,0)+IF(ISNUMBER(P3972),P3972,0)))&lt;=Summary!$B$2),"Negative realized loss not applied - check sign",IF(R3972&lt;0,"Principal paid exceeds prior balance",IF(AND(L3972&gt;Q3972,NOT(ISNUMBER(P3972))),"Balance increased but no Deferred_interest reported",IF(L3972&gt;R3972,"Reported balance higher than expected (missing increase/OC build)","Reported balance lower than expected (missing decrease)"))))),""))</f>
        <v/>
      </c>
    </row>
    <row r="3973" customFormat="false" ht="15" hidden="false" customHeight="false" outlineLevel="0" collapsed="false">
      <c r="A3973" s="8"/>
      <c r="B3973" s="8"/>
      <c r="C3973" s="8"/>
      <c r="D3973" s="8"/>
      <c r="E3973" s="8"/>
      <c r="F3973" s="8"/>
      <c r="G3973" s="8"/>
      <c r="H3973" s="8"/>
      <c r="I3973" s="8"/>
      <c r="J3973" s="8"/>
      <c r="K3973" s="9"/>
      <c r="L3973" s="9"/>
      <c r="M3973" s="9"/>
      <c r="N3973" s="9"/>
      <c r="O3973" s="9"/>
      <c r="P3973" s="9"/>
      <c r="Q3973" s="9"/>
      <c r="R3973" s="9" t="str">
        <f aca="false">IF(AND(A3973&lt;&gt;"",ISNUMBER(Q3973),ISNUMBER(L3973)),ROUND(Q3973-IF(ISNUMBER(N3973),N3973,0)-IF(ISNUMBER(O3973),O3973,0)+IF(ISNUMBER(P3973),P3973,0),2),"")</f>
        <v/>
      </c>
      <c r="S3973" s="9" t="str">
        <f aca="false">IF(R3973="","",ROUND(L3973-R3973,2))</f>
        <v/>
      </c>
      <c r="T3973" s="8" t="str">
        <f aca="false">IF(A3973="","",IF(S3973="","BYPASS",IF(ABS(S3973)&lt;=Summary!$B$2,"PASS","FAIL")))</f>
        <v/>
      </c>
      <c r="U3973" s="8" t="str">
        <f aca="false">IF(T3973="BYPASS",IF(NOT(ISNUMBER(Q3973)),"PreV_ETB missing","End_tr_balance missing"),IF(T3973="FAIL",IF(AND(ISNUMBER(K3973),ISNUMBER(L3973),ABS(L3973-(K3973-IF(ISNUMBER(N3973),N3973,0)-IF(ISNUMBER(O3973),O3973,0)+IF(ISNUMBER(P3973),P3973,0)))&lt;=Summary!$B$2),"Passes using beginning_balance - PreV_ETB differs from beginning_balance",IF(AND(ISNUMBER(O3973),O3973&lt;0,ABS(L3973-(Q3973-IF(ISNUMBER(N3973),N3973,0)+IF(ISNUMBER(P3973),P3973,0)))&lt;=Summary!$B$2),"Negative realized loss not applied - check sign",IF(R3973&lt;0,"Principal paid exceeds prior balance",IF(AND(L3973&gt;Q3973,NOT(ISNUMBER(P3973))),"Balance increased but no Deferred_interest reported",IF(L3973&gt;R3973,"Reported balance higher than expected (missing increase/OC build)","Reported balance lower than expected (missing decrease)"))))),""))</f>
        <v/>
      </c>
    </row>
    <row r="3974" customFormat="false" ht="15" hidden="false" customHeight="false" outlineLevel="0" collapsed="false">
      <c r="A3974" s="8"/>
      <c r="B3974" s="8"/>
      <c r="C3974" s="8"/>
      <c r="D3974" s="8"/>
      <c r="E3974" s="8"/>
      <c r="F3974" s="8"/>
      <c r="G3974" s="8"/>
      <c r="H3974" s="8"/>
      <c r="I3974" s="8"/>
      <c r="J3974" s="8"/>
      <c r="K3974" s="9"/>
      <c r="L3974" s="9"/>
      <c r="M3974" s="9"/>
      <c r="N3974" s="9"/>
      <c r="O3974" s="9"/>
      <c r="P3974" s="9"/>
      <c r="Q3974" s="9"/>
      <c r="R3974" s="9" t="str">
        <f aca="false">IF(AND(A3974&lt;&gt;"",ISNUMBER(Q3974),ISNUMBER(L3974)),ROUND(Q3974-IF(ISNUMBER(N3974),N3974,0)-IF(ISNUMBER(O3974),O3974,0)+IF(ISNUMBER(P3974),P3974,0),2),"")</f>
        <v/>
      </c>
      <c r="S3974" s="9" t="str">
        <f aca="false">IF(R3974="","",ROUND(L3974-R3974,2))</f>
        <v/>
      </c>
      <c r="T3974" s="8" t="str">
        <f aca="false">IF(A3974="","",IF(S3974="","BYPASS",IF(ABS(S3974)&lt;=Summary!$B$2,"PASS","FAIL")))</f>
        <v/>
      </c>
      <c r="U3974" s="8" t="str">
        <f aca="false">IF(T3974="BYPASS",IF(NOT(ISNUMBER(Q3974)),"PreV_ETB missing","End_tr_balance missing"),IF(T3974="FAIL",IF(AND(ISNUMBER(K3974),ISNUMBER(L3974),ABS(L3974-(K3974-IF(ISNUMBER(N3974),N3974,0)-IF(ISNUMBER(O3974),O3974,0)+IF(ISNUMBER(P3974),P3974,0)))&lt;=Summary!$B$2),"Passes using beginning_balance - PreV_ETB differs from beginning_balance",IF(AND(ISNUMBER(O3974),O3974&lt;0,ABS(L3974-(Q3974-IF(ISNUMBER(N3974),N3974,0)+IF(ISNUMBER(P3974),P3974,0)))&lt;=Summary!$B$2),"Negative realized loss not applied - check sign",IF(R3974&lt;0,"Principal paid exceeds prior balance",IF(AND(L3974&gt;Q3974,NOT(ISNUMBER(P3974))),"Balance increased but no Deferred_interest reported",IF(L3974&gt;R3974,"Reported balance higher than expected (missing increase/OC build)","Reported balance lower than expected (missing decrease)"))))),""))</f>
        <v/>
      </c>
    </row>
    <row r="3975" customFormat="false" ht="15" hidden="false" customHeight="false" outlineLevel="0" collapsed="false">
      <c r="A3975" s="8"/>
      <c r="B3975" s="8"/>
      <c r="C3975" s="8"/>
      <c r="D3975" s="8"/>
      <c r="E3975" s="8"/>
      <c r="F3975" s="8"/>
      <c r="G3975" s="8"/>
      <c r="H3975" s="8"/>
      <c r="I3975" s="8"/>
      <c r="J3975" s="8"/>
      <c r="K3975" s="9"/>
      <c r="L3975" s="9"/>
      <c r="M3975" s="9"/>
      <c r="N3975" s="9"/>
      <c r="O3975" s="9"/>
      <c r="P3975" s="9"/>
      <c r="Q3975" s="9"/>
      <c r="R3975" s="9" t="str">
        <f aca="false">IF(AND(A3975&lt;&gt;"",ISNUMBER(Q3975),ISNUMBER(L3975)),ROUND(Q3975-IF(ISNUMBER(N3975),N3975,0)-IF(ISNUMBER(O3975),O3975,0)+IF(ISNUMBER(P3975),P3975,0),2),"")</f>
        <v/>
      </c>
      <c r="S3975" s="9" t="str">
        <f aca="false">IF(R3975="","",ROUND(L3975-R3975,2))</f>
        <v/>
      </c>
      <c r="T3975" s="8" t="str">
        <f aca="false">IF(A3975="","",IF(S3975="","BYPASS",IF(ABS(S3975)&lt;=Summary!$B$2,"PASS","FAIL")))</f>
        <v/>
      </c>
      <c r="U3975" s="8" t="str">
        <f aca="false">IF(T3975="BYPASS",IF(NOT(ISNUMBER(Q3975)),"PreV_ETB missing","End_tr_balance missing"),IF(T3975="FAIL",IF(AND(ISNUMBER(K3975),ISNUMBER(L3975),ABS(L3975-(K3975-IF(ISNUMBER(N3975),N3975,0)-IF(ISNUMBER(O3975),O3975,0)+IF(ISNUMBER(P3975),P3975,0)))&lt;=Summary!$B$2),"Passes using beginning_balance - PreV_ETB differs from beginning_balance",IF(AND(ISNUMBER(O3975),O3975&lt;0,ABS(L3975-(Q3975-IF(ISNUMBER(N3975),N3975,0)+IF(ISNUMBER(P3975),P3975,0)))&lt;=Summary!$B$2),"Negative realized loss not applied - check sign",IF(R3975&lt;0,"Principal paid exceeds prior balance",IF(AND(L3975&gt;Q3975,NOT(ISNUMBER(P3975))),"Balance increased but no Deferred_interest reported",IF(L3975&gt;R3975,"Reported balance higher than expected (missing increase/OC build)","Reported balance lower than expected (missing decrease)"))))),""))</f>
        <v/>
      </c>
    </row>
    <row r="3976" customFormat="false" ht="15" hidden="false" customHeight="false" outlineLevel="0" collapsed="false">
      <c r="A3976" s="8"/>
      <c r="B3976" s="8"/>
      <c r="C3976" s="8"/>
      <c r="D3976" s="8"/>
      <c r="E3976" s="8"/>
      <c r="F3976" s="8"/>
      <c r="G3976" s="8"/>
      <c r="H3976" s="8"/>
      <c r="I3976" s="8"/>
      <c r="J3976" s="8"/>
      <c r="K3976" s="9"/>
      <c r="L3976" s="9"/>
      <c r="M3976" s="9"/>
      <c r="N3976" s="9"/>
      <c r="O3976" s="9"/>
      <c r="P3976" s="9"/>
      <c r="Q3976" s="9"/>
      <c r="R3976" s="9" t="str">
        <f aca="false">IF(AND(A3976&lt;&gt;"",ISNUMBER(Q3976),ISNUMBER(L3976)),ROUND(Q3976-IF(ISNUMBER(N3976),N3976,0)-IF(ISNUMBER(O3976),O3976,0)+IF(ISNUMBER(P3976),P3976,0),2),"")</f>
        <v/>
      </c>
      <c r="S3976" s="9" t="str">
        <f aca="false">IF(R3976="","",ROUND(L3976-R3976,2))</f>
        <v/>
      </c>
      <c r="T3976" s="8" t="str">
        <f aca="false">IF(A3976="","",IF(S3976="","BYPASS",IF(ABS(S3976)&lt;=Summary!$B$2,"PASS","FAIL")))</f>
        <v/>
      </c>
      <c r="U3976" s="8" t="str">
        <f aca="false">IF(T3976="BYPASS",IF(NOT(ISNUMBER(Q3976)),"PreV_ETB missing","End_tr_balance missing"),IF(T3976="FAIL",IF(AND(ISNUMBER(K3976),ISNUMBER(L3976),ABS(L3976-(K3976-IF(ISNUMBER(N3976),N3976,0)-IF(ISNUMBER(O3976),O3976,0)+IF(ISNUMBER(P3976),P3976,0)))&lt;=Summary!$B$2),"Passes using beginning_balance - PreV_ETB differs from beginning_balance",IF(AND(ISNUMBER(O3976),O3976&lt;0,ABS(L3976-(Q3976-IF(ISNUMBER(N3976),N3976,0)+IF(ISNUMBER(P3976),P3976,0)))&lt;=Summary!$B$2),"Negative realized loss not applied - check sign",IF(R3976&lt;0,"Principal paid exceeds prior balance",IF(AND(L3976&gt;Q3976,NOT(ISNUMBER(P3976))),"Balance increased but no Deferred_interest reported",IF(L3976&gt;R3976,"Reported balance higher than expected (missing increase/OC build)","Reported balance lower than expected (missing decrease)"))))),""))</f>
        <v/>
      </c>
    </row>
    <row r="3977" customFormat="false" ht="15" hidden="false" customHeight="false" outlineLevel="0" collapsed="false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9"/>
      <c r="L3977" s="9"/>
      <c r="M3977" s="9"/>
      <c r="N3977" s="9"/>
      <c r="O3977" s="9"/>
      <c r="P3977" s="9"/>
      <c r="Q3977" s="9"/>
      <c r="R3977" s="9" t="str">
        <f aca="false">IF(AND(A3977&lt;&gt;"",ISNUMBER(Q3977),ISNUMBER(L3977)),ROUND(Q3977-IF(ISNUMBER(N3977),N3977,0)-IF(ISNUMBER(O3977),O3977,0)+IF(ISNUMBER(P3977),P3977,0),2),"")</f>
        <v/>
      </c>
      <c r="S3977" s="9" t="str">
        <f aca="false">IF(R3977="","",ROUND(L3977-R3977,2))</f>
        <v/>
      </c>
      <c r="T3977" s="8" t="str">
        <f aca="false">IF(A3977="","",IF(S3977="","BYPASS",IF(ABS(S3977)&lt;=Summary!$B$2,"PASS","FAIL")))</f>
        <v/>
      </c>
      <c r="U3977" s="8" t="str">
        <f aca="false">IF(T3977="BYPASS",IF(NOT(ISNUMBER(Q3977)),"PreV_ETB missing","End_tr_balance missing"),IF(T3977="FAIL",IF(AND(ISNUMBER(K3977),ISNUMBER(L3977),ABS(L3977-(K3977-IF(ISNUMBER(N3977),N3977,0)-IF(ISNUMBER(O3977),O3977,0)+IF(ISNUMBER(P3977),P3977,0)))&lt;=Summary!$B$2),"Passes using beginning_balance - PreV_ETB differs from beginning_balance",IF(AND(ISNUMBER(O3977),O3977&lt;0,ABS(L3977-(Q3977-IF(ISNUMBER(N3977),N3977,0)+IF(ISNUMBER(P3977),P3977,0)))&lt;=Summary!$B$2),"Negative realized loss not applied - check sign",IF(R3977&lt;0,"Principal paid exceeds prior balance",IF(AND(L3977&gt;Q3977,NOT(ISNUMBER(P3977))),"Balance increased but no Deferred_interest reported",IF(L3977&gt;R3977,"Reported balance higher than expected (missing increase/OC build)","Reported balance lower than expected (missing decrease)"))))),""))</f>
        <v/>
      </c>
    </row>
    <row r="3978" customFormat="false" ht="15" hidden="false" customHeight="false" outlineLevel="0" collapsed="false">
      <c r="A3978" s="8"/>
      <c r="B3978" s="8"/>
      <c r="C3978" s="8"/>
      <c r="D3978" s="8"/>
      <c r="E3978" s="8"/>
      <c r="F3978" s="8"/>
      <c r="G3978" s="8"/>
      <c r="H3978" s="8"/>
      <c r="I3978" s="8"/>
      <c r="J3978" s="8"/>
      <c r="K3978" s="9"/>
      <c r="L3978" s="9"/>
      <c r="M3978" s="9"/>
      <c r="N3978" s="9"/>
      <c r="O3978" s="9"/>
      <c r="P3978" s="9"/>
      <c r="Q3978" s="9"/>
      <c r="R3978" s="9" t="str">
        <f aca="false">IF(AND(A3978&lt;&gt;"",ISNUMBER(Q3978),ISNUMBER(L3978)),ROUND(Q3978-IF(ISNUMBER(N3978),N3978,0)-IF(ISNUMBER(O3978),O3978,0)+IF(ISNUMBER(P3978),P3978,0),2),"")</f>
        <v/>
      </c>
      <c r="S3978" s="9" t="str">
        <f aca="false">IF(R3978="","",ROUND(L3978-R3978,2))</f>
        <v/>
      </c>
      <c r="T3978" s="8" t="str">
        <f aca="false">IF(A3978="","",IF(S3978="","BYPASS",IF(ABS(S3978)&lt;=Summary!$B$2,"PASS","FAIL")))</f>
        <v/>
      </c>
      <c r="U3978" s="8" t="str">
        <f aca="false">IF(T3978="BYPASS",IF(NOT(ISNUMBER(Q3978)),"PreV_ETB missing","End_tr_balance missing"),IF(T3978="FAIL",IF(AND(ISNUMBER(K3978),ISNUMBER(L3978),ABS(L3978-(K3978-IF(ISNUMBER(N3978),N3978,0)-IF(ISNUMBER(O3978),O3978,0)+IF(ISNUMBER(P3978),P3978,0)))&lt;=Summary!$B$2),"Passes using beginning_balance - PreV_ETB differs from beginning_balance",IF(AND(ISNUMBER(O3978),O3978&lt;0,ABS(L3978-(Q3978-IF(ISNUMBER(N3978),N3978,0)+IF(ISNUMBER(P3978),P3978,0)))&lt;=Summary!$B$2),"Negative realized loss not applied - check sign",IF(R3978&lt;0,"Principal paid exceeds prior balance",IF(AND(L3978&gt;Q3978,NOT(ISNUMBER(P3978))),"Balance increased but no Deferred_interest reported",IF(L3978&gt;R3978,"Reported balance higher than expected (missing increase/OC build)","Reported balance lower than expected (missing decrease)"))))),""))</f>
        <v/>
      </c>
    </row>
    <row r="3979" customFormat="false" ht="15" hidden="false" customHeight="false" outlineLevel="0" collapsed="false">
      <c r="A3979" s="8"/>
      <c r="B3979" s="8"/>
      <c r="C3979" s="8"/>
      <c r="D3979" s="8"/>
      <c r="E3979" s="8"/>
      <c r="F3979" s="8"/>
      <c r="G3979" s="8"/>
      <c r="H3979" s="8"/>
      <c r="I3979" s="8"/>
      <c r="J3979" s="8"/>
      <c r="K3979" s="9"/>
      <c r="L3979" s="9"/>
      <c r="M3979" s="9"/>
      <c r="N3979" s="9"/>
      <c r="O3979" s="9"/>
      <c r="P3979" s="9"/>
      <c r="Q3979" s="9"/>
      <c r="R3979" s="9" t="str">
        <f aca="false">IF(AND(A3979&lt;&gt;"",ISNUMBER(Q3979),ISNUMBER(L3979)),ROUND(Q3979-IF(ISNUMBER(N3979),N3979,0)-IF(ISNUMBER(O3979),O3979,0)+IF(ISNUMBER(P3979),P3979,0),2),"")</f>
        <v/>
      </c>
      <c r="S3979" s="9" t="str">
        <f aca="false">IF(R3979="","",ROUND(L3979-R3979,2))</f>
        <v/>
      </c>
      <c r="T3979" s="8" t="str">
        <f aca="false">IF(A3979="","",IF(S3979="","BYPASS",IF(ABS(S3979)&lt;=Summary!$B$2,"PASS","FAIL")))</f>
        <v/>
      </c>
      <c r="U3979" s="8" t="str">
        <f aca="false">IF(T3979="BYPASS",IF(NOT(ISNUMBER(Q3979)),"PreV_ETB missing","End_tr_balance missing"),IF(T3979="FAIL",IF(AND(ISNUMBER(K3979),ISNUMBER(L3979),ABS(L3979-(K3979-IF(ISNUMBER(N3979),N3979,0)-IF(ISNUMBER(O3979),O3979,0)+IF(ISNUMBER(P3979),P3979,0)))&lt;=Summary!$B$2),"Passes using beginning_balance - PreV_ETB differs from beginning_balance",IF(AND(ISNUMBER(O3979),O3979&lt;0,ABS(L3979-(Q3979-IF(ISNUMBER(N3979),N3979,0)+IF(ISNUMBER(P3979),P3979,0)))&lt;=Summary!$B$2),"Negative realized loss not applied - check sign",IF(R3979&lt;0,"Principal paid exceeds prior balance",IF(AND(L3979&gt;Q3979,NOT(ISNUMBER(P3979))),"Balance increased but no Deferred_interest reported",IF(L3979&gt;R3979,"Reported balance higher than expected (missing increase/OC build)","Reported balance lower than expected (missing decrease)"))))),""))</f>
        <v/>
      </c>
    </row>
    <row r="3980" customFormat="false" ht="15" hidden="false" customHeight="false" outlineLevel="0" collapsed="false">
      <c r="A3980" s="8"/>
      <c r="B3980" s="8"/>
      <c r="C3980" s="8"/>
      <c r="D3980" s="8"/>
      <c r="E3980" s="8"/>
      <c r="F3980" s="8"/>
      <c r="G3980" s="8"/>
      <c r="H3980" s="8"/>
      <c r="I3980" s="8"/>
      <c r="J3980" s="8"/>
      <c r="K3980" s="9"/>
      <c r="L3980" s="9"/>
      <c r="M3980" s="9"/>
      <c r="N3980" s="9"/>
      <c r="O3980" s="9"/>
      <c r="P3980" s="9"/>
      <c r="Q3980" s="9"/>
      <c r="R3980" s="9" t="str">
        <f aca="false">IF(AND(A3980&lt;&gt;"",ISNUMBER(Q3980),ISNUMBER(L3980)),ROUND(Q3980-IF(ISNUMBER(N3980),N3980,0)-IF(ISNUMBER(O3980),O3980,0)+IF(ISNUMBER(P3980),P3980,0),2),"")</f>
        <v/>
      </c>
      <c r="S3980" s="9" t="str">
        <f aca="false">IF(R3980="","",ROUND(L3980-R3980,2))</f>
        <v/>
      </c>
      <c r="T3980" s="8" t="str">
        <f aca="false">IF(A3980="","",IF(S3980="","BYPASS",IF(ABS(S3980)&lt;=Summary!$B$2,"PASS","FAIL")))</f>
        <v/>
      </c>
      <c r="U3980" s="8" t="str">
        <f aca="false">IF(T3980="BYPASS",IF(NOT(ISNUMBER(Q3980)),"PreV_ETB missing","End_tr_balance missing"),IF(T3980="FAIL",IF(AND(ISNUMBER(K3980),ISNUMBER(L3980),ABS(L3980-(K3980-IF(ISNUMBER(N3980),N3980,0)-IF(ISNUMBER(O3980),O3980,0)+IF(ISNUMBER(P3980),P3980,0)))&lt;=Summary!$B$2),"Passes using beginning_balance - PreV_ETB differs from beginning_balance",IF(AND(ISNUMBER(O3980),O3980&lt;0,ABS(L3980-(Q3980-IF(ISNUMBER(N3980),N3980,0)+IF(ISNUMBER(P3980),P3980,0)))&lt;=Summary!$B$2),"Negative realized loss not applied - check sign",IF(R3980&lt;0,"Principal paid exceeds prior balance",IF(AND(L3980&gt;Q3980,NOT(ISNUMBER(P3980))),"Balance increased but no Deferred_interest reported",IF(L3980&gt;R3980,"Reported balance higher than expected (missing increase/OC build)","Reported balance lower than expected (missing decrease)"))))),""))</f>
        <v/>
      </c>
    </row>
    <row r="3981" customFormat="false" ht="15" hidden="false" customHeight="false" outlineLevel="0" collapsed="false">
      <c r="A3981" s="8"/>
      <c r="B3981" s="8"/>
      <c r="C3981" s="8"/>
      <c r="D3981" s="8"/>
      <c r="E3981" s="8"/>
      <c r="F3981" s="8"/>
      <c r="G3981" s="8"/>
      <c r="H3981" s="8"/>
      <c r="I3981" s="8"/>
      <c r="J3981" s="8"/>
      <c r="K3981" s="9"/>
      <c r="L3981" s="9"/>
      <c r="M3981" s="9"/>
      <c r="N3981" s="9"/>
      <c r="O3981" s="9"/>
      <c r="P3981" s="9"/>
      <c r="Q3981" s="9"/>
      <c r="R3981" s="9" t="str">
        <f aca="false">IF(AND(A3981&lt;&gt;"",ISNUMBER(Q3981),ISNUMBER(L3981)),ROUND(Q3981-IF(ISNUMBER(N3981),N3981,0)-IF(ISNUMBER(O3981),O3981,0)+IF(ISNUMBER(P3981),P3981,0),2),"")</f>
        <v/>
      </c>
      <c r="S3981" s="9" t="str">
        <f aca="false">IF(R3981="","",ROUND(L3981-R3981,2))</f>
        <v/>
      </c>
      <c r="T3981" s="8" t="str">
        <f aca="false">IF(A3981="","",IF(S3981="","BYPASS",IF(ABS(S3981)&lt;=Summary!$B$2,"PASS","FAIL")))</f>
        <v/>
      </c>
      <c r="U3981" s="8" t="str">
        <f aca="false">IF(T3981="BYPASS",IF(NOT(ISNUMBER(Q3981)),"PreV_ETB missing","End_tr_balance missing"),IF(T3981="FAIL",IF(AND(ISNUMBER(K3981),ISNUMBER(L3981),ABS(L3981-(K3981-IF(ISNUMBER(N3981),N3981,0)-IF(ISNUMBER(O3981),O3981,0)+IF(ISNUMBER(P3981),P3981,0)))&lt;=Summary!$B$2),"Passes using beginning_balance - PreV_ETB differs from beginning_balance",IF(AND(ISNUMBER(O3981),O3981&lt;0,ABS(L3981-(Q3981-IF(ISNUMBER(N3981),N3981,0)+IF(ISNUMBER(P3981),P3981,0)))&lt;=Summary!$B$2),"Negative realized loss not applied - check sign",IF(R3981&lt;0,"Principal paid exceeds prior balance",IF(AND(L3981&gt;Q3981,NOT(ISNUMBER(P3981))),"Balance increased but no Deferred_interest reported",IF(L3981&gt;R3981,"Reported balance higher than expected (missing increase/OC build)","Reported balance lower than expected (missing decrease)"))))),""))</f>
        <v/>
      </c>
    </row>
    <row r="3982" customFormat="false" ht="15" hidden="false" customHeight="false" outlineLevel="0" collapsed="false">
      <c r="A3982" s="8"/>
      <c r="B3982" s="8"/>
      <c r="C3982" s="8"/>
      <c r="D3982" s="8"/>
      <c r="E3982" s="8"/>
      <c r="F3982" s="8"/>
      <c r="G3982" s="8"/>
      <c r="H3982" s="8"/>
      <c r="I3982" s="8"/>
      <c r="J3982" s="8"/>
      <c r="K3982" s="9"/>
      <c r="L3982" s="9"/>
      <c r="M3982" s="9"/>
      <c r="N3982" s="9"/>
      <c r="O3982" s="9"/>
      <c r="P3982" s="9"/>
      <c r="Q3982" s="9"/>
      <c r="R3982" s="9" t="str">
        <f aca="false">IF(AND(A3982&lt;&gt;"",ISNUMBER(Q3982),ISNUMBER(L3982)),ROUND(Q3982-IF(ISNUMBER(N3982),N3982,0)-IF(ISNUMBER(O3982),O3982,0)+IF(ISNUMBER(P3982),P3982,0),2),"")</f>
        <v/>
      </c>
      <c r="S3982" s="9" t="str">
        <f aca="false">IF(R3982="","",ROUND(L3982-R3982,2))</f>
        <v/>
      </c>
      <c r="T3982" s="8" t="str">
        <f aca="false">IF(A3982="","",IF(S3982="","BYPASS",IF(ABS(S3982)&lt;=Summary!$B$2,"PASS","FAIL")))</f>
        <v/>
      </c>
      <c r="U3982" s="8" t="str">
        <f aca="false">IF(T3982="BYPASS",IF(NOT(ISNUMBER(Q3982)),"PreV_ETB missing","End_tr_balance missing"),IF(T3982="FAIL",IF(AND(ISNUMBER(K3982),ISNUMBER(L3982),ABS(L3982-(K3982-IF(ISNUMBER(N3982),N3982,0)-IF(ISNUMBER(O3982),O3982,0)+IF(ISNUMBER(P3982),P3982,0)))&lt;=Summary!$B$2),"Passes using beginning_balance - PreV_ETB differs from beginning_balance",IF(AND(ISNUMBER(O3982),O3982&lt;0,ABS(L3982-(Q3982-IF(ISNUMBER(N3982),N3982,0)+IF(ISNUMBER(P3982),P3982,0)))&lt;=Summary!$B$2),"Negative realized loss not applied - check sign",IF(R3982&lt;0,"Principal paid exceeds prior balance",IF(AND(L3982&gt;Q3982,NOT(ISNUMBER(P3982))),"Balance increased but no Deferred_interest reported",IF(L3982&gt;R3982,"Reported balance higher than expected (missing increase/OC build)","Reported balance lower than expected (missing decrease)"))))),""))</f>
        <v/>
      </c>
    </row>
    <row r="3983" customFormat="false" ht="15" hidden="false" customHeight="false" outlineLevel="0" collapsed="false">
      <c r="A3983" s="8"/>
      <c r="B3983" s="8"/>
      <c r="C3983" s="8"/>
      <c r="D3983" s="8"/>
      <c r="E3983" s="8"/>
      <c r="F3983" s="8"/>
      <c r="G3983" s="8"/>
      <c r="H3983" s="8"/>
      <c r="I3983" s="8"/>
      <c r="J3983" s="8"/>
      <c r="K3983" s="9"/>
      <c r="L3983" s="9"/>
      <c r="M3983" s="9"/>
      <c r="N3983" s="9"/>
      <c r="O3983" s="9"/>
      <c r="P3983" s="9"/>
      <c r="Q3983" s="9"/>
      <c r="R3983" s="9" t="str">
        <f aca="false">IF(AND(A3983&lt;&gt;"",ISNUMBER(Q3983),ISNUMBER(L3983)),ROUND(Q3983-IF(ISNUMBER(N3983),N3983,0)-IF(ISNUMBER(O3983),O3983,0)+IF(ISNUMBER(P3983),P3983,0),2),"")</f>
        <v/>
      </c>
      <c r="S3983" s="9" t="str">
        <f aca="false">IF(R3983="","",ROUND(L3983-R3983,2))</f>
        <v/>
      </c>
      <c r="T3983" s="8" t="str">
        <f aca="false">IF(A3983="","",IF(S3983="","BYPASS",IF(ABS(S3983)&lt;=Summary!$B$2,"PASS","FAIL")))</f>
        <v/>
      </c>
      <c r="U3983" s="8" t="str">
        <f aca="false">IF(T3983="BYPASS",IF(NOT(ISNUMBER(Q3983)),"PreV_ETB missing","End_tr_balance missing"),IF(T3983="FAIL",IF(AND(ISNUMBER(K3983),ISNUMBER(L3983),ABS(L3983-(K3983-IF(ISNUMBER(N3983),N3983,0)-IF(ISNUMBER(O3983),O3983,0)+IF(ISNUMBER(P3983),P3983,0)))&lt;=Summary!$B$2),"Passes using beginning_balance - PreV_ETB differs from beginning_balance",IF(AND(ISNUMBER(O3983),O3983&lt;0,ABS(L3983-(Q3983-IF(ISNUMBER(N3983),N3983,0)+IF(ISNUMBER(P3983),P3983,0)))&lt;=Summary!$B$2),"Negative realized loss not applied - check sign",IF(R3983&lt;0,"Principal paid exceeds prior balance",IF(AND(L3983&gt;Q3983,NOT(ISNUMBER(P3983))),"Balance increased but no Deferred_interest reported",IF(L3983&gt;R3983,"Reported balance higher than expected (missing increase/OC build)","Reported balance lower than expected (missing decrease)"))))),""))</f>
        <v/>
      </c>
    </row>
    <row r="3984" customFormat="false" ht="15" hidden="false" customHeight="false" outlineLevel="0" collapsed="false">
      <c r="A3984" s="8"/>
      <c r="B3984" s="8"/>
      <c r="C3984" s="8"/>
      <c r="D3984" s="8"/>
      <c r="E3984" s="8"/>
      <c r="F3984" s="8"/>
      <c r="G3984" s="8"/>
      <c r="H3984" s="8"/>
      <c r="I3984" s="8"/>
      <c r="J3984" s="8"/>
      <c r="K3984" s="9"/>
      <c r="L3984" s="9"/>
      <c r="M3984" s="9"/>
      <c r="N3984" s="9"/>
      <c r="O3984" s="9"/>
      <c r="P3984" s="9"/>
      <c r="Q3984" s="9"/>
      <c r="R3984" s="9" t="str">
        <f aca="false">IF(AND(A3984&lt;&gt;"",ISNUMBER(Q3984),ISNUMBER(L3984)),ROUND(Q3984-IF(ISNUMBER(N3984),N3984,0)-IF(ISNUMBER(O3984),O3984,0)+IF(ISNUMBER(P3984),P3984,0),2),"")</f>
        <v/>
      </c>
      <c r="S3984" s="9" t="str">
        <f aca="false">IF(R3984="","",ROUND(L3984-R3984,2))</f>
        <v/>
      </c>
      <c r="T3984" s="8" t="str">
        <f aca="false">IF(A3984="","",IF(S3984="","BYPASS",IF(ABS(S3984)&lt;=Summary!$B$2,"PASS","FAIL")))</f>
        <v/>
      </c>
      <c r="U3984" s="8" t="str">
        <f aca="false">IF(T3984="BYPASS",IF(NOT(ISNUMBER(Q3984)),"PreV_ETB missing","End_tr_balance missing"),IF(T3984="FAIL",IF(AND(ISNUMBER(K3984),ISNUMBER(L3984),ABS(L3984-(K3984-IF(ISNUMBER(N3984),N3984,0)-IF(ISNUMBER(O3984),O3984,0)+IF(ISNUMBER(P3984),P3984,0)))&lt;=Summary!$B$2),"Passes using beginning_balance - PreV_ETB differs from beginning_balance",IF(AND(ISNUMBER(O3984),O3984&lt;0,ABS(L3984-(Q3984-IF(ISNUMBER(N3984),N3984,0)+IF(ISNUMBER(P3984),P3984,0)))&lt;=Summary!$B$2),"Negative realized loss not applied - check sign",IF(R3984&lt;0,"Principal paid exceeds prior balance",IF(AND(L3984&gt;Q3984,NOT(ISNUMBER(P3984))),"Balance increased but no Deferred_interest reported",IF(L3984&gt;R3984,"Reported balance higher than expected (missing increase/OC build)","Reported balance lower than expected (missing decrease)"))))),""))</f>
        <v/>
      </c>
    </row>
    <row r="3985" customFormat="false" ht="15" hidden="false" customHeight="false" outlineLevel="0" collapsed="false">
      <c r="A3985" s="8"/>
      <c r="B3985" s="8"/>
      <c r="C3985" s="8"/>
      <c r="D3985" s="8"/>
      <c r="E3985" s="8"/>
      <c r="F3985" s="8"/>
      <c r="G3985" s="8"/>
      <c r="H3985" s="8"/>
      <c r="I3985" s="8"/>
      <c r="J3985" s="8"/>
      <c r="K3985" s="9"/>
      <c r="L3985" s="9"/>
      <c r="M3985" s="9"/>
      <c r="N3985" s="9"/>
      <c r="O3985" s="9"/>
      <c r="P3985" s="9"/>
      <c r="Q3985" s="9"/>
      <c r="R3985" s="9" t="str">
        <f aca="false">IF(AND(A3985&lt;&gt;"",ISNUMBER(Q3985),ISNUMBER(L3985)),ROUND(Q3985-IF(ISNUMBER(N3985),N3985,0)-IF(ISNUMBER(O3985),O3985,0)+IF(ISNUMBER(P3985),P3985,0),2),"")</f>
        <v/>
      </c>
      <c r="S3985" s="9" t="str">
        <f aca="false">IF(R3985="","",ROUND(L3985-R3985,2))</f>
        <v/>
      </c>
      <c r="T3985" s="8" t="str">
        <f aca="false">IF(A3985="","",IF(S3985="","BYPASS",IF(ABS(S3985)&lt;=Summary!$B$2,"PASS","FAIL")))</f>
        <v/>
      </c>
      <c r="U3985" s="8" t="str">
        <f aca="false">IF(T3985="BYPASS",IF(NOT(ISNUMBER(Q3985)),"PreV_ETB missing","End_tr_balance missing"),IF(T3985="FAIL",IF(AND(ISNUMBER(K3985),ISNUMBER(L3985),ABS(L3985-(K3985-IF(ISNUMBER(N3985),N3985,0)-IF(ISNUMBER(O3985),O3985,0)+IF(ISNUMBER(P3985),P3985,0)))&lt;=Summary!$B$2),"Passes using beginning_balance - PreV_ETB differs from beginning_balance",IF(AND(ISNUMBER(O3985),O3985&lt;0,ABS(L3985-(Q3985-IF(ISNUMBER(N3985),N3985,0)+IF(ISNUMBER(P3985),P3985,0)))&lt;=Summary!$B$2),"Negative realized loss not applied - check sign",IF(R3985&lt;0,"Principal paid exceeds prior balance",IF(AND(L3985&gt;Q3985,NOT(ISNUMBER(P3985))),"Balance increased but no Deferred_interest reported",IF(L3985&gt;R3985,"Reported balance higher than expected (missing increase/OC build)","Reported balance lower than expected (missing decrease)"))))),""))</f>
        <v/>
      </c>
    </row>
    <row r="3986" customFormat="false" ht="15" hidden="false" customHeight="false" outlineLevel="0" collapsed="false">
      <c r="A3986" s="8"/>
      <c r="B3986" s="8"/>
      <c r="C3986" s="8"/>
      <c r="D3986" s="8"/>
      <c r="E3986" s="8"/>
      <c r="F3986" s="8"/>
      <c r="G3986" s="8"/>
      <c r="H3986" s="8"/>
      <c r="I3986" s="8"/>
      <c r="J3986" s="8"/>
      <c r="K3986" s="9"/>
      <c r="L3986" s="9"/>
      <c r="M3986" s="9"/>
      <c r="N3986" s="9"/>
      <c r="O3986" s="9"/>
      <c r="P3986" s="9"/>
      <c r="Q3986" s="9"/>
      <c r="R3986" s="9" t="str">
        <f aca="false">IF(AND(A3986&lt;&gt;"",ISNUMBER(Q3986),ISNUMBER(L3986)),ROUND(Q3986-IF(ISNUMBER(N3986),N3986,0)-IF(ISNUMBER(O3986),O3986,0)+IF(ISNUMBER(P3986),P3986,0),2),"")</f>
        <v/>
      </c>
      <c r="S3986" s="9" t="str">
        <f aca="false">IF(R3986="","",ROUND(L3986-R3986,2))</f>
        <v/>
      </c>
      <c r="T3986" s="8" t="str">
        <f aca="false">IF(A3986="","",IF(S3986="","BYPASS",IF(ABS(S3986)&lt;=Summary!$B$2,"PASS","FAIL")))</f>
        <v/>
      </c>
      <c r="U3986" s="8" t="str">
        <f aca="false">IF(T3986="BYPASS",IF(NOT(ISNUMBER(Q3986)),"PreV_ETB missing","End_tr_balance missing"),IF(T3986="FAIL",IF(AND(ISNUMBER(K3986),ISNUMBER(L3986),ABS(L3986-(K3986-IF(ISNUMBER(N3986),N3986,0)-IF(ISNUMBER(O3986),O3986,0)+IF(ISNUMBER(P3986),P3986,0)))&lt;=Summary!$B$2),"Passes using beginning_balance - PreV_ETB differs from beginning_balance",IF(AND(ISNUMBER(O3986),O3986&lt;0,ABS(L3986-(Q3986-IF(ISNUMBER(N3986),N3986,0)+IF(ISNUMBER(P3986),P3986,0)))&lt;=Summary!$B$2),"Negative realized loss not applied - check sign",IF(R3986&lt;0,"Principal paid exceeds prior balance",IF(AND(L3986&gt;Q3986,NOT(ISNUMBER(P3986))),"Balance increased but no Deferred_interest reported",IF(L3986&gt;R3986,"Reported balance higher than expected (missing increase/OC build)","Reported balance lower than expected (missing decrease)"))))),""))</f>
        <v/>
      </c>
    </row>
    <row r="3987" customFormat="false" ht="15" hidden="false" customHeight="false" outlineLevel="0" collapsed="false">
      <c r="A3987" s="8"/>
      <c r="B3987" s="8"/>
      <c r="C3987" s="8"/>
      <c r="D3987" s="8"/>
      <c r="E3987" s="8"/>
      <c r="F3987" s="8"/>
      <c r="G3987" s="8"/>
      <c r="H3987" s="8"/>
      <c r="I3987" s="8"/>
      <c r="J3987" s="8"/>
      <c r="K3987" s="9"/>
      <c r="L3987" s="9"/>
      <c r="M3987" s="9"/>
      <c r="N3987" s="9"/>
      <c r="O3987" s="9"/>
      <c r="P3987" s="9"/>
      <c r="Q3987" s="9"/>
      <c r="R3987" s="9" t="str">
        <f aca="false">IF(AND(A3987&lt;&gt;"",ISNUMBER(Q3987),ISNUMBER(L3987)),ROUND(Q3987-IF(ISNUMBER(N3987),N3987,0)-IF(ISNUMBER(O3987),O3987,0)+IF(ISNUMBER(P3987),P3987,0),2),"")</f>
        <v/>
      </c>
      <c r="S3987" s="9" t="str">
        <f aca="false">IF(R3987="","",ROUND(L3987-R3987,2))</f>
        <v/>
      </c>
      <c r="T3987" s="8" t="str">
        <f aca="false">IF(A3987="","",IF(S3987="","BYPASS",IF(ABS(S3987)&lt;=Summary!$B$2,"PASS","FAIL")))</f>
        <v/>
      </c>
      <c r="U3987" s="8" t="str">
        <f aca="false">IF(T3987="BYPASS",IF(NOT(ISNUMBER(Q3987)),"PreV_ETB missing","End_tr_balance missing"),IF(T3987="FAIL",IF(AND(ISNUMBER(K3987),ISNUMBER(L3987),ABS(L3987-(K3987-IF(ISNUMBER(N3987),N3987,0)-IF(ISNUMBER(O3987),O3987,0)+IF(ISNUMBER(P3987),P3987,0)))&lt;=Summary!$B$2),"Passes using beginning_balance - PreV_ETB differs from beginning_balance",IF(AND(ISNUMBER(O3987),O3987&lt;0,ABS(L3987-(Q3987-IF(ISNUMBER(N3987),N3987,0)+IF(ISNUMBER(P3987),P3987,0)))&lt;=Summary!$B$2),"Negative realized loss not applied - check sign",IF(R3987&lt;0,"Principal paid exceeds prior balance",IF(AND(L3987&gt;Q3987,NOT(ISNUMBER(P3987))),"Balance increased but no Deferred_interest reported",IF(L3987&gt;R3987,"Reported balance higher than expected (missing increase/OC build)","Reported balance lower than expected (missing decrease)"))))),""))</f>
        <v/>
      </c>
    </row>
    <row r="3988" customFormat="false" ht="15" hidden="false" customHeight="false" outlineLevel="0" collapsed="false">
      <c r="A3988" s="8"/>
      <c r="B3988" s="8"/>
      <c r="C3988" s="8"/>
      <c r="D3988" s="8"/>
      <c r="E3988" s="8"/>
      <c r="F3988" s="8"/>
      <c r="G3988" s="8"/>
      <c r="H3988" s="8"/>
      <c r="I3988" s="8"/>
      <c r="J3988" s="8"/>
      <c r="K3988" s="9"/>
      <c r="L3988" s="9"/>
      <c r="M3988" s="9"/>
      <c r="N3988" s="9"/>
      <c r="O3988" s="9"/>
      <c r="P3988" s="9"/>
      <c r="Q3988" s="9"/>
      <c r="R3988" s="9" t="str">
        <f aca="false">IF(AND(A3988&lt;&gt;"",ISNUMBER(Q3988),ISNUMBER(L3988)),ROUND(Q3988-IF(ISNUMBER(N3988),N3988,0)-IF(ISNUMBER(O3988),O3988,0)+IF(ISNUMBER(P3988),P3988,0),2),"")</f>
        <v/>
      </c>
      <c r="S3988" s="9" t="str">
        <f aca="false">IF(R3988="","",ROUND(L3988-R3988,2))</f>
        <v/>
      </c>
      <c r="T3988" s="8" t="str">
        <f aca="false">IF(A3988="","",IF(S3988="","BYPASS",IF(ABS(S3988)&lt;=Summary!$B$2,"PASS","FAIL")))</f>
        <v/>
      </c>
      <c r="U3988" s="8" t="str">
        <f aca="false">IF(T3988="BYPASS",IF(NOT(ISNUMBER(Q3988)),"PreV_ETB missing","End_tr_balance missing"),IF(T3988="FAIL",IF(AND(ISNUMBER(K3988),ISNUMBER(L3988),ABS(L3988-(K3988-IF(ISNUMBER(N3988),N3988,0)-IF(ISNUMBER(O3988),O3988,0)+IF(ISNUMBER(P3988),P3988,0)))&lt;=Summary!$B$2),"Passes using beginning_balance - PreV_ETB differs from beginning_balance",IF(AND(ISNUMBER(O3988),O3988&lt;0,ABS(L3988-(Q3988-IF(ISNUMBER(N3988),N3988,0)+IF(ISNUMBER(P3988),P3988,0)))&lt;=Summary!$B$2),"Negative realized loss not applied - check sign",IF(R3988&lt;0,"Principal paid exceeds prior balance",IF(AND(L3988&gt;Q3988,NOT(ISNUMBER(P3988))),"Balance increased but no Deferred_interest reported",IF(L3988&gt;R3988,"Reported balance higher than expected (missing increase/OC build)","Reported balance lower than expected (missing decrease)"))))),""))</f>
        <v/>
      </c>
    </row>
    <row r="3989" customFormat="false" ht="15" hidden="false" customHeight="false" outlineLevel="0" collapsed="false">
      <c r="A3989" s="8"/>
      <c r="B3989" s="8"/>
      <c r="C3989" s="8"/>
      <c r="D3989" s="8"/>
      <c r="E3989" s="8"/>
      <c r="F3989" s="8"/>
      <c r="G3989" s="8"/>
      <c r="H3989" s="8"/>
      <c r="I3989" s="8"/>
      <c r="J3989" s="8"/>
      <c r="K3989" s="9"/>
      <c r="L3989" s="9"/>
      <c r="M3989" s="9"/>
      <c r="N3989" s="9"/>
      <c r="O3989" s="9"/>
      <c r="P3989" s="9"/>
      <c r="Q3989" s="9"/>
      <c r="R3989" s="9" t="str">
        <f aca="false">IF(AND(A3989&lt;&gt;"",ISNUMBER(Q3989),ISNUMBER(L3989)),ROUND(Q3989-IF(ISNUMBER(N3989),N3989,0)-IF(ISNUMBER(O3989),O3989,0)+IF(ISNUMBER(P3989),P3989,0),2),"")</f>
        <v/>
      </c>
      <c r="S3989" s="9" t="str">
        <f aca="false">IF(R3989="","",ROUND(L3989-R3989,2))</f>
        <v/>
      </c>
      <c r="T3989" s="8" t="str">
        <f aca="false">IF(A3989="","",IF(S3989="","BYPASS",IF(ABS(S3989)&lt;=Summary!$B$2,"PASS","FAIL")))</f>
        <v/>
      </c>
      <c r="U3989" s="8" t="str">
        <f aca="false">IF(T3989="BYPASS",IF(NOT(ISNUMBER(Q3989)),"PreV_ETB missing","End_tr_balance missing"),IF(T3989="FAIL",IF(AND(ISNUMBER(K3989),ISNUMBER(L3989),ABS(L3989-(K3989-IF(ISNUMBER(N3989),N3989,0)-IF(ISNUMBER(O3989),O3989,0)+IF(ISNUMBER(P3989),P3989,0)))&lt;=Summary!$B$2),"Passes using beginning_balance - PreV_ETB differs from beginning_balance",IF(AND(ISNUMBER(O3989),O3989&lt;0,ABS(L3989-(Q3989-IF(ISNUMBER(N3989),N3989,0)+IF(ISNUMBER(P3989),P3989,0)))&lt;=Summary!$B$2),"Negative realized loss not applied - check sign",IF(R3989&lt;0,"Principal paid exceeds prior balance",IF(AND(L3989&gt;Q3989,NOT(ISNUMBER(P3989))),"Balance increased but no Deferred_interest reported",IF(L3989&gt;R3989,"Reported balance higher than expected (missing increase/OC build)","Reported balance lower than expected (missing decrease)"))))),""))</f>
        <v/>
      </c>
    </row>
    <row r="3990" customFormat="false" ht="15" hidden="false" customHeight="false" outlineLevel="0" collapsed="false">
      <c r="A3990" s="8"/>
      <c r="B3990" s="8"/>
      <c r="C3990" s="8"/>
      <c r="D3990" s="8"/>
      <c r="E3990" s="8"/>
      <c r="F3990" s="8"/>
      <c r="G3990" s="8"/>
      <c r="H3990" s="8"/>
      <c r="I3990" s="8"/>
      <c r="J3990" s="8"/>
      <c r="K3990" s="9"/>
      <c r="L3990" s="9"/>
      <c r="M3990" s="9"/>
      <c r="N3990" s="9"/>
      <c r="O3990" s="9"/>
      <c r="P3990" s="9"/>
      <c r="Q3990" s="9"/>
      <c r="R3990" s="9" t="str">
        <f aca="false">IF(AND(A3990&lt;&gt;"",ISNUMBER(Q3990),ISNUMBER(L3990)),ROUND(Q3990-IF(ISNUMBER(N3990),N3990,0)-IF(ISNUMBER(O3990),O3990,0)+IF(ISNUMBER(P3990),P3990,0),2),"")</f>
        <v/>
      </c>
      <c r="S3990" s="9" t="str">
        <f aca="false">IF(R3990="","",ROUND(L3990-R3990,2))</f>
        <v/>
      </c>
      <c r="T3990" s="8" t="str">
        <f aca="false">IF(A3990="","",IF(S3990="","BYPASS",IF(ABS(S3990)&lt;=Summary!$B$2,"PASS","FAIL")))</f>
        <v/>
      </c>
      <c r="U3990" s="8" t="str">
        <f aca="false">IF(T3990="BYPASS",IF(NOT(ISNUMBER(Q3990)),"PreV_ETB missing","End_tr_balance missing"),IF(T3990="FAIL",IF(AND(ISNUMBER(K3990),ISNUMBER(L3990),ABS(L3990-(K3990-IF(ISNUMBER(N3990),N3990,0)-IF(ISNUMBER(O3990),O3990,0)+IF(ISNUMBER(P3990),P3990,0)))&lt;=Summary!$B$2),"Passes using beginning_balance - PreV_ETB differs from beginning_balance",IF(AND(ISNUMBER(O3990),O3990&lt;0,ABS(L3990-(Q3990-IF(ISNUMBER(N3990),N3990,0)+IF(ISNUMBER(P3990),P3990,0)))&lt;=Summary!$B$2),"Negative realized loss not applied - check sign",IF(R3990&lt;0,"Principal paid exceeds prior balance",IF(AND(L3990&gt;Q3990,NOT(ISNUMBER(P3990))),"Balance increased but no Deferred_interest reported",IF(L3990&gt;R3990,"Reported balance higher than expected (missing increase/OC build)","Reported balance lower than expected (missing decrease)"))))),""))</f>
        <v/>
      </c>
    </row>
    <row r="3991" customFormat="false" ht="15" hidden="false" customHeight="false" outlineLevel="0" collapsed="false">
      <c r="A3991" s="8"/>
      <c r="B3991" s="8"/>
      <c r="C3991" s="8"/>
      <c r="D3991" s="8"/>
      <c r="E3991" s="8"/>
      <c r="F3991" s="8"/>
      <c r="G3991" s="8"/>
      <c r="H3991" s="8"/>
      <c r="I3991" s="8"/>
      <c r="J3991" s="8"/>
      <c r="K3991" s="9"/>
      <c r="L3991" s="9"/>
      <c r="M3991" s="9"/>
      <c r="N3991" s="9"/>
      <c r="O3991" s="9"/>
      <c r="P3991" s="9"/>
      <c r="Q3991" s="9"/>
      <c r="R3991" s="9" t="str">
        <f aca="false">IF(AND(A3991&lt;&gt;"",ISNUMBER(Q3991),ISNUMBER(L3991)),ROUND(Q3991-IF(ISNUMBER(N3991),N3991,0)-IF(ISNUMBER(O3991),O3991,0)+IF(ISNUMBER(P3991),P3991,0),2),"")</f>
        <v/>
      </c>
      <c r="S3991" s="9" t="str">
        <f aca="false">IF(R3991="","",ROUND(L3991-R3991,2))</f>
        <v/>
      </c>
      <c r="T3991" s="8" t="str">
        <f aca="false">IF(A3991="","",IF(S3991="","BYPASS",IF(ABS(S3991)&lt;=Summary!$B$2,"PASS","FAIL")))</f>
        <v/>
      </c>
      <c r="U3991" s="8" t="str">
        <f aca="false">IF(T3991="BYPASS",IF(NOT(ISNUMBER(Q3991)),"PreV_ETB missing","End_tr_balance missing"),IF(T3991="FAIL",IF(AND(ISNUMBER(K3991),ISNUMBER(L3991),ABS(L3991-(K3991-IF(ISNUMBER(N3991),N3991,0)-IF(ISNUMBER(O3991),O3991,0)+IF(ISNUMBER(P3991),P3991,0)))&lt;=Summary!$B$2),"Passes using beginning_balance - PreV_ETB differs from beginning_balance",IF(AND(ISNUMBER(O3991),O3991&lt;0,ABS(L3991-(Q3991-IF(ISNUMBER(N3991),N3991,0)+IF(ISNUMBER(P3991),P3991,0)))&lt;=Summary!$B$2),"Negative realized loss not applied - check sign",IF(R3991&lt;0,"Principal paid exceeds prior balance",IF(AND(L3991&gt;Q3991,NOT(ISNUMBER(P3991))),"Balance increased but no Deferred_interest reported",IF(L3991&gt;R3991,"Reported balance higher than expected (missing increase/OC build)","Reported balance lower than expected (missing decrease)"))))),""))</f>
        <v/>
      </c>
    </row>
    <row r="3992" customFormat="false" ht="15" hidden="false" customHeight="false" outlineLevel="0" collapsed="false">
      <c r="A3992" s="8"/>
      <c r="B3992" s="8"/>
      <c r="C3992" s="8"/>
      <c r="D3992" s="8"/>
      <c r="E3992" s="8"/>
      <c r="F3992" s="8"/>
      <c r="G3992" s="8"/>
      <c r="H3992" s="8"/>
      <c r="I3992" s="8"/>
      <c r="J3992" s="8"/>
      <c r="K3992" s="9"/>
      <c r="L3992" s="9"/>
      <c r="M3992" s="9"/>
      <c r="N3992" s="9"/>
      <c r="O3992" s="9"/>
      <c r="P3992" s="9"/>
      <c r="Q3992" s="9"/>
      <c r="R3992" s="9" t="str">
        <f aca="false">IF(AND(A3992&lt;&gt;"",ISNUMBER(Q3992),ISNUMBER(L3992)),ROUND(Q3992-IF(ISNUMBER(N3992),N3992,0)-IF(ISNUMBER(O3992),O3992,0)+IF(ISNUMBER(P3992),P3992,0),2),"")</f>
        <v/>
      </c>
      <c r="S3992" s="9" t="str">
        <f aca="false">IF(R3992="","",ROUND(L3992-R3992,2))</f>
        <v/>
      </c>
      <c r="T3992" s="8" t="str">
        <f aca="false">IF(A3992="","",IF(S3992="","BYPASS",IF(ABS(S3992)&lt;=Summary!$B$2,"PASS","FAIL")))</f>
        <v/>
      </c>
      <c r="U3992" s="8" t="str">
        <f aca="false">IF(T3992="BYPASS",IF(NOT(ISNUMBER(Q3992)),"PreV_ETB missing","End_tr_balance missing"),IF(T3992="FAIL",IF(AND(ISNUMBER(K3992),ISNUMBER(L3992),ABS(L3992-(K3992-IF(ISNUMBER(N3992),N3992,0)-IF(ISNUMBER(O3992),O3992,0)+IF(ISNUMBER(P3992),P3992,0)))&lt;=Summary!$B$2),"Passes using beginning_balance - PreV_ETB differs from beginning_balance",IF(AND(ISNUMBER(O3992),O3992&lt;0,ABS(L3992-(Q3992-IF(ISNUMBER(N3992),N3992,0)+IF(ISNUMBER(P3992),P3992,0)))&lt;=Summary!$B$2),"Negative realized loss not applied - check sign",IF(R3992&lt;0,"Principal paid exceeds prior balance",IF(AND(L3992&gt;Q3992,NOT(ISNUMBER(P3992))),"Balance increased but no Deferred_interest reported",IF(L3992&gt;R3992,"Reported balance higher than expected (missing increase/OC build)","Reported balance lower than expected (missing decrease)"))))),""))</f>
        <v/>
      </c>
    </row>
    <row r="3993" customFormat="false" ht="15" hidden="false" customHeight="false" outlineLevel="0" collapsed="false">
      <c r="A3993" s="8"/>
      <c r="B3993" s="8"/>
      <c r="C3993" s="8"/>
      <c r="D3993" s="8"/>
      <c r="E3993" s="8"/>
      <c r="F3993" s="8"/>
      <c r="G3993" s="8"/>
      <c r="H3993" s="8"/>
      <c r="I3993" s="8"/>
      <c r="J3993" s="8"/>
      <c r="K3993" s="9"/>
      <c r="L3993" s="9"/>
      <c r="M3993" s="9"/>
      <c r="N3993" s="9"/>
      <c r="O3993" s="9"/>
      <c r="P3993" s="9"/>
      <c r="Q3993" s="9"/>
      <c r="R3993" s="9" t="str">
        <f aca="false">IF(AND(A3993&lt;&gt;"",ISNUMBER(Q3993),ISNUMBER(L3993)),ROUND(Q3993-IF(ISNUMBER(N3993),N3993,0)-IF(ISNUMBER(O3993),O3993,0)+IF(ISNUMBER(P3993),P3993,0),2),"")</f>
        <v/>
      </c>
      <c r="S3993" s="9" t="str">
        <f aca="false">IF(R3993="","",ROUND(L3993-R3993,2))</f>
        <v/>
      </c>
      <c r="T3993" s="8" t="str">
        <f aca="false">IF(A3993="","",IF(S3993="","BYPASS",IF(ABS(S3993)&lt;=Summary!$B$2,"PASS","FAIL")))</f>
        <v/>
      </c>
      <c r="U3993" s="8" t="str">
        <f aca="false">IF(T3993="BYPASS",IF(NOT(ISNUMBER(Q3993)),"PreV_ETB missing","End_tr_balance missing"),IF(T3993="FAIL",IF(AND(ISNUMBER(K3993),ISNUMBER(L3993),ABS(L3993-(K3993-IF(ISNUMBER(N3993),N3993,0)-IF(ISNUMBER(O3993),O3993,0)+IF(ISNUMBER(P3993),P3993,0)))&lt;=Summary!$B$2),"Passes using beginning_balance - PreV_ETB differs from beginning_balance",IF(AND(ISNUMBER(O3993),O3993&lt;0,ABS(L3993-(Q3993-IF(ISNUMBER(N3993),N3993,0)+IF(ISNUMBER(P3993),P3993,0)))&lt;=Summary!$B$2),"Negative realized loss not applied - check sign",IF(R3993&lt;0,"Principal paid exceeds prior balance",IF(AND(L3993&gt;Q3993,NOT(ISNUMBER(P3993))),"Balance increased but no Deferred_interest reported",IF(L3993&gt;R3993,"Reported balance higher than expected (missing increase/OC build)","Reported balance lower than expected (missing decrease)"))))),""))</f>
        <v/>
      </c>
    </row>
    <row r="3994" customFormat="false" ht="15" hidden="false" customHeight="false" outlineLevel="0" collapsed="false">
      <c r="A3994" s="8"/>
      <c r="B3994" s="8"/>
      <c r="C3994" s="8"/>
      <c r="D3994" s="8"/>
      <c r="E3994" s="8"/>
      <c r="F3994" s="8"/>
      <c r="G3994" s="8"/>
      <c r="H3994" s="8"/>
      <c r="I3994" s="8"/>
      <c r="J3994" s="8"/>
      <c r="K3994" s="9"/>
      <c r="L3994" s="9"/>
      <c r="M3994" s="9"/>
      <c r="N3994" s="9"/>
      <c r="O3994" s="9"/>
      <c r="P3994" s="9"/>
      <c r="Q3994" s="9"/>
      <c r="R3994" s="9" t="str">
        <f aca="false">IF(AND(A3994&lt;&gt;"",ISNUMBER(Q3994),ISNUMBER(L3994)),ROUND(Q3994-IF(ISNUMBER(N3994),N3994,0)-IF(ISNUMBER(O3994),O3994,0)+IF(ISNUMBER(P3994),P3994,0),2),"")</f>
        <v/>
      </c>
      <c r="S3994" s="9" t="str">
        <f aca="false">IF(R3994="","",ROUND(L3994-R3994,2))</f>
        <v/>
      </c>
      <c r="T3994" s="8" t="str">
        <f aca="false">IF(A3994="","",IF(S3994="","BYPASS",IF(ABS(S3994)&lt;=Summary!$B$2,"PASS","FAIL")))</f>
        <v/>
      </c>
      <c r="U3994" s="8" t="str">
        <f aca="false">IF(T3994="BYPASS",IF(NOT(ISNUMBER(Q3994)),"PreV_ETB missing","End_tr_balance missing"),IF(T3994="FAIL",IF(AND(ISNUMBER(K3994),ISNUMBER(L3994),ABS(L3994-(K3994-IF(ISNUMBER(N3994),N3994,0)-IF(ISNUMBER(O3994),O3994,0)+IF(ISNUMBER(P3994),P3994,0)))&lt;=Summary!$B$2),"Passes using beginning_balance - PreV_ETB differs from beginning_balance",IF(AND(ISNUMBER(O3994),O3994&lt;0,ABS(L3994-(Q3994-IF(ISNUMBER(N3994),N3994,0)+IF(ISNUMBER(P3994),P3994,0)))&lt;=Summary!$B$2),"Negative realized loss not applied - check sign",IF(R3994&lt;0,"Principal paid exceeds prior balance",IF(AND(L3994&gt;Q3994,NOT(ISNUMBER(P3994))),"Balance increased but no Deferred_interest reported",IF(L3994&gt;R3994,"Reported balance higher than expected (missing increase/OC build)","Reported balance lower than expected (missing decrease)"))))),""))</f>
        <v/>
      </c>
    </row>
    <row r="3995" customFormat="false" ht="15" hidden="false" customHeight="false" outlineLevel="0" collapsed="false">
      <c r="A3995" s="8"/>
      <c r="B3995" s="8"/>
      <c r="C3995" s="8"/>
      <c r="D3995" s="8"/>
      <c r="E3995" s="8"/>
      <c r="F3995" s="8"/>
      <c r="G3995" s="8"/>
      <c r="H3995" s="8"/>
      <c r="I3995" s="8"/>
      <c r="J3995" s="8"/>
      <c r="K3995" s="9"/>
      <c r="L3995" s="9"/>
      <c r="M3995" s="9"/>
      <c r="N3995" s="9"/>
      <c r="O3995" s="9"/>
      <c r="P3995" s="9"/>
      <c r="Q3995" s="9"/>
      <c r="R3995" s="9" t="str">
        <f aca="false">IF(AND(A3995&lt;&gt;"",ISNUMBER(Q3995),ISNUMBER(L3995)),ROUND(Q3995-IF(ISNUMBER(N3995),N3995,0)-IF(ISNUMBER(O3995),O3995,0)+IF(ISNUMBER(P3995),P3995,0),2),"")</f>
        <v/>
      </c>
      <c r="S3995" s="9" t="str">
        <f aca="false">IF(R3995="","",ROUND(L3995-R3995,2))</f>
        <v/>
      </c>
      <c r="T3995" s="8" t="str">
        <f aca="false">IF(A3995="","",IF(S3995="","BYPASS",IF(ABS(S3995)&lt;=Summary!$B$2,"PASS","FAIL")))</f>
        <v/>
      </c>
      <c r="U3995" s="8" t="str">
        <f aca="false">IF(T3995="BYPASS",IF(NOT(ISNUMBER(Q3995)),"PreV_ETB missing","End_tr_balance missing"),IF(T3995="FAIL",IF(AND(ISNUMBER(K3995),ISNUMBER(L3995),ABS(L3995-(K3995-IF(ISNUMBER(N3995),N3995,0)-IF(ISNUMBER(O3995),O3995,0)+IF(ISNUMBER(P3995),P3995,0)))&lt;=Summary!$B$2),"Passes using beginning_balance - PreV_ETB differs from beginning_balance",IF(AND(ISNUMBER(O3995),O3995&lt;0,ABS(L3995-(Q3995-IF(ISNUMBER(N3995),N3995,0)+IF(ISNUMBER(P3995),P3995,0)))&lt;=Summary!$B$2),"Negative realized loss not applied - check sign",IF(R3995&lt;0,"Principal paid exceeds prior balance",IF(AND(L3995&gt;Q3995,NOT(ISNUMBER(P3995))),"Balance increased but no Deferred_interest reported",IF(L3995&gt;R3995,"Reported balance higher than expected (missing increase/OC build)","Reported balance lower than expected (missing decrease)"))))),""))</f>
        <v/>
      </c>
    </row>
    <row r="3996" customFormat="false" ht="15" hidden="false" customHeight="false" outlineLevel="0" collapsed="false">
      <c r="A3996" s="8"/>
      <c r="B3996" s="8"/>
      <c r="C3996" s="8"/>
      <c r="D3996" s="8"/>
      <c r="E3996" s="8"/>
      <c r="F3996" s="8"/>
      <c r="G3996" s="8"/>
      <c r="H3996" s="8"/>
      <c r="I3996" s="8"/>
      <c r="J3996" s="8"/>
      <c r="K3996" s="9"/>
      <c r="L3996" s="9"/>
      <c r="M3996" s="9"/>
      <c r="N3996" s="9"/>
      <c r="O3996" s="9"/>
      <c r="P3996" s="9"/>
      <c r="Q3996" s="9"/>
      <c r="R3996" s="9" t="str">
        <f aca="false">IF(AND(A3996&lt;&gt;"",ISNUMBER(Q3996),ISNUMBER(L3996)),ROUND(Q3996-IF(ISNUMBER(N3996),N3996,0)-IF(ISNUMBER(O3996),O3996,0)+IF(ISNUMBER(P3996),P3996,0),2),"")</f>
        <v/>
      </c>
      <c r="S3996" s="9" t="str">
        <f aca="false">IF(R3996="","",ROUND(L3996-R3996,2))</f>
        <v/>
      </c>
      <c r="T3996" s="8" t="str">
        <f aca="false">IF(A3996="","",IF(S3996="","BYPASS",IF(ABS(S3996)&lt;=Summary!$B$2,"PASS","FAIL")))</f>
        <v/>
      </c>
      <c r="U3996" s="8" t="str">
        <f aca="false">IF(T3996="BYPASS",IF(NOT(ISNUMBER(Q3996)),"PreV_ETB missing","End_tr_balance missing"),IF(T3996="FAIL",IF(AND(ISNUMBER(K3996),ISNUMBER(L3996),ABS(L3996-(K3996-IF(ISNUMBER(N3996),N3996,0)-IF(ISNUMBER(O3996),O3996,0)+IF(ISNUMBER(P3996),P3996,0)))&lt;=Summary!$B$2),"Passes using beginning_balance - PreV_ETB differs from beginning_balance",IF(AND(ISNUMBER(O3996),O3996&lt;0,ABS(L3996-(Q3996-IF(ISNUMBER(N3996),N3996,0)+IF(ISNUMBER(P3996),P3996,0)))&lt;=Summary!$B$2),"Negative realized loss not applied - check sign",IF(R3996&lt;0,"Principal paid exceeds prior balance",IF(AND(L3996&gt;Q3996,NOT(ISNUMBER(P3996))),"Balance increased but no Deferred_interest reported",IF(L3996&gt;R3996,"Reported balance higher than expected (missing increase/OC build)","Reported balance lower than expected (missing decrease)"))))),""))</f>
        <v/>
      </c>
    </row>
    <row r="3997" customFormat="false" ht="15" hidden="false" customHeight="false" outlineLevel="0" collapsed="false">
      <c r="A3997" s="8"/>
      <c r="B3997" s="8"/>
      <c r="C3997" s="8"/>
      <c r="D3997" s="8"/>
      <c r="E3997" s="8"/>
      <c r="F3997" s="8"/>
      <c r="G3997" s="8"/>
      <c r="H3997" s="8"/>
      <c r="I3997" s="8"/>
      <c r="J3997" s="8"/>
      <c r="K3997" s="9"/>
      <c r="L3997" s="9"/>
      <c r="M3997" s="9"/>
      <c r="N3997" s="9"/>
      <c r="O3997" s="9"/>
      <c r="P3997" s="9"/>
      <c r="Q3997" s="9"/>
      <c r="R3997" s="9" t="str">
        <f aca="false">IF(AND(A3997&lt;&gt;"",ISNUMBER(Q3997),ISNUMBER(L3997)),ROUND(Q3997-IF(ISNUMBER(N3997),N3997,0)-IF(ISNUMBER(O3997),O3997,0)+IF(ISNUMBER(P3997),P3997,0),2),"")</f>
        <v/>
      </c>
      <c r="S3997" s="9" t="str">
        <f aca="false">IF(R3997="","",ROUND(L3997-R3997,2))</f>
        <v/>
      </c>
      <c r="T3997" s="8" t="str">
        <f aca="false">IF(A3997="","",IF(S3997="","BYPASS",IF(ABS(S3997)&lt;=Summary!$B$2,"PASS","FAIL")))</f>
        <v/>
      </c>
      <c r="U3997" s="8" t="str">
        <f aca="false">IF(T3997="BYPASS",IF(NOT(ISNUMBER(Q3997)),"PreV_ETB missing","End_tr_balance missing"),IF(T3997="FAIL",IF(AND(ISNUMBER(K3997),ISNUMBER(L3997),ABS(L3997-(K3997-IF(ISNUMBER(N3997),N3997,0)-IF(ISNUMBER(O3997),O3997,0)+IF(ISNUMBER(P3997),P3997,0)))&lt;=Summary!$B$2),"Passes using beginning_balance - PreV_ETB differs from beginning_balance",IF(AND(ISNUMBER(O3997),O3997&lt;0,ABS(L3997-(Q3997-IF(ISNUMBER(N3997),N3997,0)+IF(ISNUMBER(P3997),P3997,0)))&lt;=Summary!$B$2),"Negative realized loss not applied - check sign",IF(R3997&lt;0,"Principal paid exceeds prior balance",IF(AND(L3997&gt;Q3997,NOT(ISNUMBER(P3997))),"Balance increased but no Deferred_interest reported",IF(L3997&gt;R3997,"Reported balance higher than expected (missing increase/OC build)","Reported balance lower than expected (missing decrease)"))))),""))</f>
        <v/>
      </c>
    </row>
    <row r="3998" customFormat="false" ht="15" hidden="false" customHeight="false" outlineLevel="0" collapsed="false">
      <c r="A3998" s="8"/>
      <c r="B3998" s="8"/>
      <c r="C3998" s="8"/>
      <c r="D3998" s="8"/>
      <c r="E3998" s="8"/>
      <c r="F3998" s="8"/>
      <c r="G3998" s="8"/>
      <c r="H3998" s="8"/>
      <c r="I3998" s="8"/>
      <c r="J3998" s="8"/>
      <c r="K3998" s="9"/>
      <c r="L3998" s="9"/>
      <c r="M3998" s="9"/>
      <c r="N3998" s="9"/>
      <c r="O3998" s="9"/>
      <c r="P3998" s="9"/>
      <c r="Q3998" s="9"/>
      <c r="R3998" s="9" t="str">
        <f aca="false">IF(AND(A3998&lt;&gt;"",ISNUMBER(Q3998),ISNUMBER(L3998)),ROUND(Q3998-IF(ISNUMBER(N3998),N3998,0)-IF(ISNUMBER(O3998),O3998,0)+IF(ISNUMBER(P3998),P3998,0),2),"")</f>
        <v/>
      </c>
      <c r="S3998" s="9" t="str">
        <f aca="false">IF(R3998="","",ROUND(L3998-R3998,2))</f>
        <v/>
      </c>
      <c r="T3998" s="8" t="str">
        <f aca="false">IF(A3998="","",IF(S3998="","BYPASS",IF(ABS(S3998)&lt;=Summary!$B$2,"PASS","FAIL")))</f>
        <v/>
      </c>
      <c r="U3998" s="8" t="str">
        <f aca="false">IF(T3998="BYPASS",IF(NOT(ISNUMBER(Q3998)),"PreV_ETB missing","End_tr_balance missing"),IF(T3998="FAIL",IF(AND(ISNUMBER(K3998),ISNUMBER(L3998),ABS(L3998-(K3998-IF(ISNUMBER(N3998),N3998,0)-IF(ISNUMBER(O3998),O3998,0)+IF(ISNUMBER(P3998),P3998,0)))&lt;=Summary!$B$2),"Passes using beginning_balance - PreV_ETB differs from beginning_balance",IF(AND(ISNUMBER(O3998),O3998&lt;0,ABS(L3998-(Q3998-IF(ISNUMBER(N3998),N3998,0)+IF(ISNUMBER(P3998),P3998,0)))&lt;=Summary!$B$2),"Negative realized loss not applied - check sign",IF(R3998&lt;0,"Principal paid exceeds prior balance",IF(AND(L3998&gt;Q3998,NOT(ISNUMBER(P3998))),"Balance increased but no Deferred_interest reported",IF(L3998&gt;R3998,"Reported balance higher than expected (missing increase/OC build)","Reported balance lower than expected (missing decrease)"))))),""))</f>
        <v/>
      </c>
    </row>
    <row r="3999" customFormat="false" ht="15" hidden="false" customHeight="false" outlineLevel="0" collapsed="false">
      <c r="A3999" s="8"/>
      <c r="B3999" s="8"/>
      <c r="C3999" s="8"/>
      <c r="D3999" s="8"/>
      <c r="E3999" s="8"/>
      <c r="F3999" s="8"/>
      <c r="G3999" s="8"/>
      <c r="H3999" s="8"/>
      <c r="I3999" s="8"/>
      <c r="J3999" s="8"/>
      <c r="K3999" s="9"/>
      <c r="L3999" s="9"/>
      <c r="M3999" s="9"/>
      <c r="N3999" s="9"/>
      <c r="O3999" s="9"/>
      <c r="P3999" s="9"/>
      <c r="Q3999" s="9"/>
      <c r="R3999" s="9" t="str">
        <f aca="false">IF(AND(A3999&lt;&gt;"",ISNUMBER(Q3999),ISNUMBER(L3999)),ROUND(Q3999-IF(ISNUMBER(N3999),N3999,0)-IF(ISNUMBER(O3999),O3999,0)+IF(ISNUMBER(P3999),P3999,0),2),"")</f>
        <v/>
      </c>
      <c r="S3999" s="9" t="str">
        <f aca="false">IF(R3999="","",ROUND(L3999-R3999,2))</f>
        <v/>
      </c>
      <c r="T3999" s="8" t="str">
        <f aca="false">IF(A3999="","",IF(S3999="","BYPASS",IF(ABS(S3999)&lt;=Summary!$B$2,"PASS","FAIL")))</f>
        <v/>
      </c>
      <c r="U3999" s="8" t="str">
        <f aca="false">IF(T3999="BYPASS",IF(NOT(ISNUMBER(Q3999)),"PreV_ETB missing","End_tr_balance missing"),IF(T3999="FAIL",IF(AND(ISNUMBER(K3999),ISNUMBER(L3999),ABS(L3999-(K3999-IF(ISNUMBER(N3999),N3999,0)-IF(ISNUMBER(O3999),O3999,0)+IF(ISNUMBER(P3999),P3999,0)))&lt;=Summary!$B$2),"Passes using beginning_balance - PreV_ETB differs from beginning_balance",IF(AND(ISNUMBER(O3999),O3999&lt;0,ABS(L3999-(Q3999-IF(ISNUMBER(N3999),N3999,0)+IF(ISNUMBER(P3999),P3999,0)))&lt;=Summary!$B$2),"Negative realized loss not applied - check sign",IF(R3999&lt;0,"Principal paid exceeds prior balance",IF(AND(L3999&gt;Q3999,NOT(ISNUMBER(P3999))),"Balance increased but no Deferred_interest reported",IF(L3999&gt;R3999,"Reported balance higher than expected (missing increase/OC build)","Reported balance lower than expected (missing decrease)"))))),""))</f>
        <v/>
      </c>
    </row>
    <row r="4000" customFormat="false" ht="15" hidden="false" customHeight="false" outlineLevel="0" collapsed="false">
      <c r="A4000" s="8"/>
      <c r="B4000" s="8"/>
      <c r="C4000" s="8"/>
      <c r="D4000" s="8"/>
      <c r="E4000" s="8"/>
      <c r="F4000" s="8"/>
      <c r="G4000" s="8"/>
      <c r="H4000" s="8"/>
      <c r="I4000" s="8"/>
      <c r="J4000" s="8"/>
      <c r="K4000" s="9"/>
      <c r="L4000" s="9"/>
      <c r="M4000" s="9"/>
      <c r="N4000" s="9"/>
      <c r="O4000" s="9"/>
      <c r="P4000" s="9"/>
      <c r="Q4000" s="9"/>
      <c r="R4000" s="9" t="str">
        <f aca="false">IF(AND(A4000&lt;&gt;"",ISNUMBER(Q4000),ISNUMBER(L4000)),ROUND(Q4000-IF(ISNUMBER(N4000),N4000,0)-IF(ISNUMBER(O4000),O4000,0)+IF(ISNUMBER(P4000),P4000,0),2),"")</f>
        <v/>
      </c>
      <c r="S4000" s="9" t="str">
        <f aca="false">IF(R4000="","",ROUND(L4000-R4000,2))</f>
        <v/>
      </c>
      <c r="T4000" s="8" t="str">
        <f aca="false">IF(A4000="","",IF(S4000="","BYPASS",IF(ABS(S4000)&lt;=Summary!$B$2,"PASS","FAIL")))</f>
        <v/>
      </c>
      <c r="U4000" s="8" t="str">
        <f aca="false">IF(T4000="BYPASS",IF(NOT(ISNUMBER(Q4000)),"PreV_ETB missing","End_tr_balance missing"),IF(T4000="FAIL",IF(AND(ISNUMBER(K4000),ISNUMBER(L4000),ABS(L4000-(K4000-IF(ISNUMBER(N4000),N4000,0)-IF(ISNUMBER(O4000),O4000,0)+IF(ISNUMBER(P4000),P4000,0)))&lt;=Summary!$B$2),"Passes using beginning_balance - PreV_ETB differs from beginning_balance",IF(AND(ISNUMBER(O4000),O4000&lt;0,ABS(L4000-(Q4000-IF(ISNUMBER(N4000),N4000,0)+IF(ISNUMBER(P4000),P4000,0)))&lt;=Summary!$B$2),"Negative realized loss not applied - check sign",IF(R4000&lt;0,"Principal paid exceeds prior balance",IF(AND(L4000&gt;Q4000,NOT(ISNUMBER(P4000))),"Balance increased but no Deferred_interest reported",IF(L4000&gt;R4000,"Reported balance higher than expected (missing increase/OC build)","Reported balance lower than expected (missing decrease)"))))),""))</f>
        <v/>
      </c>
    </row>
    <row r="4001" customFormat="false" ht="15" hidden="false" customHeight="false" outlineLevel="0" collapsed="false">
      <c r="A4001" s="8"/>
      <c r="B4001" s="8"/>
      <c r="C4001" s="8"/>
      <c r="D4001" s="8"/>
      <c r="E4001" s="8"/>
      <c r="F4001" s="8"/>
      <c r="G4001" s="8"/>
      <c r="H4001" s="8"/>
      <c r="I4001" s="8"/>
      <c r="J4001" s="8"/>
      <c r="K4001" s="9"/>
      <c r="L4001" s="9"/>
      <c r="M4001" s="9"/>
      <c r="N4001" s="9"/>
      <c r="O4001" s="9"/>
      <c r="P4001" s="9"/>
      <c r="Q4001" s="9"/>
      <c r="R4001" s="9" t="str">
        <f aca="false">IF(AND(A4001&lt;&gt;"",ISNUMBER(Q4001),ISNUMBER(L4001)),ROUND(Q4001-IF(ISNUMBER(N4001),N4001,0)-IF(ISNUMBER(O4001),O4001,0)+IF(ISNUMBER(P4001),P4001,0),2),"")</f>
        <v/>
      </c>
      <c r="S4001" s="9" t="str">
        <f aca="false">IF(R4001="","",ROUND(L4001-R4001,2))</f>
        <v/>
      </c>
      <c r="T4001" s="8" t="str">
        <f aca="false">IF(A4001="","",IF(S4001="","BYPASS",IF(ABS(S4001)&lt;=Summary!$B$2,"PASS","FAIL")))</f>
        <v/>
      </c>
      <c r="U4001" s="8" t="str">
        <f aca="false">IF(T4001="BYPASS",IF(NOT(ISNUMBER(Q4001)),"PreV_ETB missing","End_tr_balance missing"),IF(T4001="FAIL",IF(AND(ISNUMBER(K4001),ISNUMBER(L4001),ABS(L4001-(K4001-IF(ISNUMBER(N4001),N4001,0)-IF(ISNUMBER(O4001),O4001,0)+IF(ISNUMBER(P4001),P4001,0)))&lt;=Summary!$B$2),"Passes using beginning_balance - PreV_ETB differs from beginning_balance",IF(AND(ISNUMBER(O4001),O4001&lt;0,ABS(L4001-(Q4001-IF(ISNUMBER(N4001),N4001,0)+IF(ISNUMBER(P4001),P4001,0)))&lt;=Summary!$B$2),"Negative realized loss not applied - check sign",IF(R4001&lt;0,"Principal paid exceeds prior balance",IF(AND(L4001&gt;Q4001,NOT(ISNUMBER(P4001))),"Balance increased but no Deferred_interest reported",IF(L4001&gt;R4001,"Reported balance higher than expected (missing increase/OC build)","Reported balance lower than expected (missing decrease)"))))),""))</f>
        <v/>
      </c>
    </row>
    <row r="4002" customFormat="false" ht="15" hidden="false" customHeight="false" outlineLevel="0" collapsed="false">
      <c r="A4002" s="8"/>
      <c r="B4002" s="8"/>
      <c r="C4002" s="8"/>
      <c r="D4002" s="8"/>
      <c r="E4002" s="8"/>
      <c r="F4002" s="8"/>
      <c r="G4002" s="8"/>
      <c r="H4002" s="8"/>
      <c r="I4002" s="8"/>
      <c r="J4002" s="8"/>
      <c r="K4002" s="9"/>
      <c r="L4002" s="9"/>
      <c r="M4002" s="9"/>
      <c r="N4002" s="9"/>
      <c r="O4002" s="9"/>
      <c r="P4002" s="9"/>
      <c r="Q4002" s="9"/>
      <c r="R4002" s="9" t="str">
        <f aca="false">IF(AND(A4002&lt;&gt;"",ISNUMBER(Q4002),ISNUMBER(L4002)),ROUND(Q4002-IF(ISNUMBER(N4002),N4002,0)-IF(ISNUMBER(O4002),O4002,0)+IF(ISNUMBER(P4002),P4002,0),2),"")</f>
        <v/>
      </c>
      <c r="S4002" s="9" t="str">
        <f aca="false">IF(R4002="","",ROUND(L4002-R4002,2))</f>
        <v/>
      </c>
      <c r="T4002" s="8" t="str">
        <f aca="false">IF(A4002="","",IF(S4002="","BYPASS",IF(ABS(S4002)&lt;=Summary!$B$2,"PASS","FAIL")))</f>
        <v/>
      </c>
      <c r="U4002" s="8" t="str">
        <f aca="false">IF(T4002="BYPASS",IF(NOT(ISNUMBER(Q4002)),"PreV_ETB missing","End_tr_balance missing"),IF(T4002="FAIL",IF(AND(ISNUMBER(K4002),ISNUMBER(L4002),ABS(L4002-(K4002-IF(ISNUMBER(N4002),N4002,0)-IF(ISNUMBER(O4002),O4002,0)+IF(ISNUMBER(P4002),P4002,0)))&lt;=Summary!$B$2),"Passes using beginning_balance - PreV_ETB differs from beginning_balance",IF(AND(ISNUMBER(O4002),O4002&lt;0,ABS(L4002-(Q4002-IF(ISNUMBER(N4002),N4002,0)+IF(ISNUMBER(P4002),P4002,0)))&lt;=Summary!$B$2),"Negative realized loss not applied - check sign",IF(R4002&lt;0,"Principal paid exceeds prior balance",IF(AND(L4002&gt;Q4002,NOT(ISNUMBER(P4002))),"Balance increased but no Deferred_interest reported",IF(L4002&gt;R4002,"Reported balance higher than expected (missing increase/OC build)","Reported balance lower than expected (missing decrease)"))))),""))</f>
        <v/>
      </c>
    </row>
    <row r="4003" customFormat="false" ht="15" hidden="false" customHeight="false" outlineLevel="0" collapsed="false">
      <c r="A4003" s="8"/>
      <c r="B4003" s="8"/>
      <c r="C4003" s="8"/>
      <c r="D4003" s="8"/>
      <c r="E4003" s="8"/>
      <c r="F4003" s="8"/>
      <c r="G4003" s="8"/>
      <c r="H4003" s="8"/>
      <c r="I4003" s="8"/>
      <c r="J4003" s="8"/>
      <c r="K4003" s="9"/>
      <c r="L4003" s="9"/>
      <c r="M4003" s="9"/>
      <c r="N4003" s="9"/>
      <c r="O4003" s="9"/>
      <c r="P4003" s="9"/>
      <c r="Q4003" s="9"/>
      <c r="R4003" s="9" t="str">
        <f aca="false">IF(AND(A4003&lt;&gt;"",ISNUMBER(Q4003),ISNUMBER(L4003)),ROUND(Q4003-IF(ISNUMBER(N4003),N4003,0)-IF(ISNUMBER(O4003),O4003,0)+IF(ISNUMBER(P4003),P4003,0),2),"")</f>
        <v/>
      </c>
      <c r="S4003" s="9" t="str">
        <f aca="false">IF(R4003="","",ROUND(L4003-R4003,2))</f>
        <v/>
      </c>
      <c r="T4003" s="8" t="str">
        <f aca="false">IF(A4003="","",IF(S4003="","BYPASS",IF(ABS(S4003)&lt;=Summary!$B$2,"PASS","FAIL")))</f>
        <v/>
      </c>
      <c r="U4003" s="8" t="str">
        <f aca="false">IF(T4003="BYPASS",IF(NOT(ISNUMBER(Q4003)),"PreV_ETB missing","End_tr_balance missing"),IF(T4003="FAIL",IF(AND(ISNUMBER(K4003),ISNUMBER(L4003),ABS(L4003-(K4003-IF(ISNUMBER(N4003),N4003,0)-IF(ISNUMBER(O4003),O4003,0)+IF(ISNUMBER(P4003),P4003,0)))&lt;=Summary!$B$2),"Passes using beginning_balance - PreV_ETB differs from beginning_balance",IF(AND(ISNUMBER(O4003),O4003&lt;0,ABS(L4003-(Q4003-IF(ISNUMBER(N4003),N4003,0)+IF(ISNUMBER(P4003),P4003,0)))&lt;=Summary!$B$2),"Negative realized loss not applied - check sign",IF(R4003&lt;0,"Principal paid exceeds prior balance",IF(AND(L4003&gt;Q4003,NOT(ISNUMBER(P4003))),"Balance increased but no Deferred_interest reported",IF(L4003&gt;R4003,"Reported balance higher than expected (missing increase/OC build)","Reported balance lower than expected (missing decrease)"))))),""))</f>
        <v/>
      </c>
    </row>
    <row r="4004" customFormat="false" ht="15" hidden="false" customHeight="false" outlineLevel="0" collapsed="false">
      <c r="A4004" s="8"/>
      <c r="B4004" s="8"/>
      <c r="C4004" s="8"/>
      <c r="D4004" s="8"/>
      <c r="E4004" s="8"/>
      <c r="F4004" s="8"/>
      <c r="G4004" s="8"/>
      <c r="H4004" s="8"/>
      <c r="I4004" s="8"/>
      <c r="J4004" s="8"/>
      <c r="K4004" s="9"/>
      <c r="L4004" s="9"/>
      <c r="M4004" s="9"/>
      <c r="N4004" s="9"/>
      <c r="O4004" s="9"/>
      <c r="P4004" s="9"/>
      <c r="Q4004" s="9"/>
      <c r="R4004" s="9" t="str">
        <f aca="false">IF(AND(A4004&lt;&gt;"",ISNUMBER(Q4004),ISNUMBER(L4004)),ROUND(Q4004-IF(ISNUMBER(N4004),N4004,0)-IF(ISNUMBER(O4004),O4004,0)+IF(ISNUMBER(P4004),P4004,0),2),"")</f>
        <v/>
      </c>
      <c r="S4004" s="9" t="str">
        <f aca="false">IF(R4004="","",ROUND(L4004-R4004,2))</f>
        <v/>
      </c>
      <c r="T4004" s="8" t="str">
        <f aca="false">IF(A4004="","",IF(S4004="","BYPASS",IF(ABS(S4004)&lt;=Summary!$B$2,"PASS","FAIL")))</f>
        <v/>
      </c>
      <c r="U4004" s="8" t="str">
        <f aca="false">IF(T4004="BYPASS",IF(NOT(ISNUMBER(Q4004)),"PreV_ETB missing","End_tr_balance missing"),IF(T4004="FAIL",IF(AND(ISNUMBER(K4004),ISNUMBER(L4004),ABS(L4004-(K4004-IF(ISNUMBER(N4004),N4004,0)-IF(ISNUMBER(O4004),O4004,0)+IF(ISNUMBER(P4004),P4004,0)))&lt;=Summary!$B$2),"Passes using beginning_balance - PreV_ETB differs from beginning_balance",IF(AND(ISNUMBER(O4004),O4004&lt;0,ABS(L4004-(Q4004-IF(ISNUMBER(N4004),N4004,0)+IF(ISNUMBER(P4004),P4004,0)))&lt;=Summary!$B$2),"Negative realized loss not applied - check sign",IF(R4004&lt;0,"Principal paid exceeds prior balance",IF(AND(L4004&gt;Q4004,NOT(ISNUMBER(P4004))),"Balance increased but no Deferred_interest reported",IF(L4004&gt;R4004,"Reported balance higher than expected (missing increase/OC build)","Reported balance lower than expected (missing decrease)"))))),""))</f>
        <v/>
      </c>
    </row>
    <row r="4005" customFormat="false" ht="15" hidden="false" customHeight="false" outlineLevel="0" collapsed="false">
      <c r="A4005" s="8"/>
      <c r="B4005" s="8"/>
      <c r="C4005" s="8"/>
      <c r="D4005" s="8"/>
      <c r="E4005" s="8"/>
      <c r="F4005" s="8"/>
      <c r="G4005" s="8"/>
      <c r="H4005" s="8"/>
      <c r="I4005" s="8"/>
      <c r="J4005" s="8"/>
      <c r="K4005" s="9"/>
      <c r="L4005" s="9"/>
      <c r="M4005" s="9"/>
      <c r="N4005" s="9"/>
      <c r="O4005" s="9"/>
      <c r="P4005" s="9"/>
      <c r="Q4005" s="9"/>
      <c r="R4005" s="9" t="str">
        <f aca="false">IF(AND(A4005&lt;&gt;"",ISNUMBER(Q4005),ISNUMBER(L4005)),ROUND(Q4005-IF(ISNUMBER(N4005),N4005,0)-IF(ISNUMBER(O4005),O4005,0)+IF(ISNUMBER(P4005),P4005,0),2),"")</f>
        <v/>
      </c>
      <c r="S4005" s="9" t="str">
        <f aca="false">IF(R4005="","",ROUND(L4005-R4005,2))</f>
        <v/>
      </c>
      <c r="T4005" s="8" t="str">
        <f aca="false">IF(A4005="","",IF(S4005="","BYPASS",IF(ABS(S4005)&lt;=Summary!$B$2,"PASS","FAIL")))</f>
        <v/>
      </c>
      <c r="U4005" s="8" t="str">
        <f aca="false">IF(T4005="BYPASS",IF(NOT(ISNUMBER(Q4005)),"PreV_ETB missing","End_tr_balance missing"),IF(T4005="FAIL",IF(AND(ISNUMBER(K4005),ISNUMBER(L4005),ABS(L4005-(K4005-IF(ISNUMBER(N4005),N4005,0)-IF(ISNUMBER(O4005),O4005,0)+IF(ISNUMBER(P4005),P4005,0)))&lt;=Summary!$B$2),"Passes using beginning_balance - PreV_ETB differs from beginning_balance",IF(AND(ISNUMBER(O4005),O4005&lt;0,ABS(L4005-(Q4005-IF(ISNUMBER(N4005),N4005,0)+IF(ISNUMBER(P4005),P4005,0)))&lt;=Summary!$B$2),"Negative realized loss not applied - check sign",IF(R4005&lt;0,"Principal paid exceeds prior balance",IF(AND(L4005&gt;Q4005,NOT(ISNUMBER(P4005))),"Balance increased but no Deferred_interest reported",IF(L4005&gt;R4005,"Reported balance higher than expected (missing increase/OC build)","Reported balance lower than expected (missing decrease)"))))),""))</f>
        <v/>
      </c>
    </row>
    <row r="4006" customFormat="false" ht="15" hidden="false" customHeight="false" outlineLevel="0" collapsed="false">
      <c r="A4006" s="8"/>
      <c r="B4006" s="8"/>
      <c r="C4006" s="8"/>
      <c r="D4006" s="8"/>
      <c r="E4006" s="8"/>
      <c r="F4006" s="8"/>
      <c r="G4006" s="8"/>
      <c r="H4006" s="8"/>
      <c r="I4006" s="8"/>
      <c r="J4006" s="8"/>
      <c r="K4006" s="9"/>
      <c r="L4006" s="9"/>
      <c r="M4006" s="9"/>
      <c r="N4006" s="9"/>
      <c r="O4006" s="9"/>
      <c r="P4006" s="9"/>
      <c r="Q4006" s="9"/>
      <c r="R4006" s="9" t="str">
        <f aca="false">IF(AND(A4006&lt;&gt;"",ISNUMBER(Q4006),ISNUMBER(L4006)),ROUND(Q4006-IF(ISNUMBER(N4006),N4006,0)-IF(ISNUMBER(O4006),O4006,0)+IF(ISNUMBER(P4006),P4006,0),2),"")</f>
        <v/>
      </c>
      <c r="S4006" s="9" t="str">
        <f aca="false">IF(R4006="","",ROUND(L4006-R4006,2))</f>
        <v/>
      </c>
      <c r="T4006" s="8" t="str">
        <f aca="false">IF(A4006="","",IF(S4006="","BYPASS",IF(ABS(S4006)&lt;=Summary!$B$2,"PASS","FAIL")))</f>
        <v/>
      </c>
      <c r="U4006" s="8" t="str">
        <f aca="false">IF(T4006="BYPASS",IF(NOT(ISNUMBER(Q4006)),"PreV_ETB missing","End_tr_balance missing"),IF(T4006="FAIL",IF(AND(ISNUMBER(K4006),ISNUMBER(L4006),ABS(L4006-(K4006-IF(ISNUMBER(N4006),N4006,0)-IF(ISNUMBER(O4006),O4006,0)+IF(ISNUMBER(P4006),P4006,0)))&lt;=Summary!$B$2),"Passes using beginning_balance - PreV_ETB differs from beginning_balance",IF(AND(ISNUMBER(O4006),O4006&lt;0,ABS(L4006-(Q4006-IF(ISNUMBER(N4006),N4006,0)+IF(ISNUMBER(P4006),P4006,0)))&lt;=Summary!$B$2),"Negative realized loss not applied - check sign",IF(R4006&lt;0,"Principal paid exceeds prior balance",IF(AND(L4006&gt;Q4006,NOT(ISNUMBER(P4006))),"Balance increased but no Deferred_interest reported",IF(L4006&gt;R4006,"Reported balance higher than expected (missing increase/OC build)","Reported balance lower than expected (missing decrease)"))))),""))</f>
        <v/>
      </c>
    </row>
    <row r="4007" customFormat="false" ht="15" hidden="false" customHeight="false" outlineLevel="0" collapsed="false">
      <c r="A4007" s="8"/>
      <c r="B4007" s="8"/>
      <c r="C4007" s="8"/>
      <c r="D4007" s="8"/>
      <c r="E4007" s="8"/>
      <c r="F4007" s="8"/>
      <c r="G4007" s="8"/>
      <c r="H4007" s="8"/>
      <c r="I4007" s="8"/>
      <c r="J4007" s="8"/>
      <c r="K4007" s="9"/>
      <c r="L4007" s="9"/>
      <c r="M4007" s="9"/>
      <c r="N4007" s="9"/>
      <c r="O4007" s="9"/>
      <c r="P4007" s="9"/>
      <c r="Q4007" s="9"/>
      <c r="R4007" s="9" t="str">
        <f aca="false">IF(AND(A4007&lt;&gt;"",ISNUMBER(Q4007),ISNUMBER(L4007)),ROUND(Q4007-IF(ISNUMBER(N4007),N4007,0)-IF(ISNUMBER(O4007),O4007,0)+IF(ISNUMBER(P4007),P4007,0),2),"")</f>
        <v/>
      </c>
      <c r="S4007" s="9" t="str">
        <f aca="false">IF(R4007="","",ROUND(L4007-R4007,2))</f>
        <v/>
      </c>
      <c r="T4007" s="8" t="str">
        <f aca="false">IF(A4007="","",IF(S4007="","BYPASS",IF(ABS(S4007)&lt;=Summary!$B$2,"PASS","FAIL")))</f>
        <v/>
      </c>
      <c r="U4007" s="8" t="str">
        <f aca="false">IF(T4007="BYPASS",IF(NOT(ISNUMBER(Q4007)),"PreV_ETB missing","End_tr_balance missing"),IF(T4007="FAIL",IF(AND(ISNUMBER(K4007),ISNUMBER(L4007),ABS(L4007-(K4007-IF(ISNUMBER(N4007),N4007,0)-IF(ISNUMBER(O4007),O4007,0)+IF(ISNUMBER(P4007),P4007,0)))&lt;=Summary!$B$2),"Passes using beginning_balance - PreV_ETB differs from beginning_balance",IF(AND(ISNUMBER(O4007),O4007&lt;0,ABS(L4007-(Q4007-IF(ISNUMBER(N4007),N4007,0)+IF(ISNUMBER(P4007),P4007,0)))&lt;=Summary!$B$2),"Negative realized loss not applied - check sign",IF(R4007&lt;0,"Principal paid exceeds prior balance",IF(AND(L4007&gt;Q4007,NOT(ISNUMBER(P4007))),"Balance increased but no Deferred_interest reported",IF(L4007&gt;R4007,"Reported balance higher than expected (missing increase/OC build)","Reported balance lower than expected (missing decrease)"))))),""))</f>
        <v/>
      </c>
    </row>
    <row r="4008" customFormat="false" ht="15" hidden="false" customHeight="false" outlineLevel="0" collapsed="false">
      <c r="A4008" s="8"/>
      <c r="B4008" s="8"/>
      <c r="C4008" s="8"/>
      <c r="D4008" s="8"/>
      <c r="E4008" s="8"/>
      <c r="F4008" s="8"/>
      <c r="G4008" s="8"/>
      <c r="H4008" s="8"/>
      <c r="I4008" s="8"/>
      <c r="J4008" s="8"/>
      <c r="K4008" s="9"/>
      <c r="L4008" s="9"/>
      <c r="M4008" s="9"/>
      <c r="N4008" s="9"/>
      <c r="O4008" s="9"/>
      <c r="P4008" s="9"/>
      <c r="Q4008" s="9"/>
      <c r="R4008" s="9" t="str">
        <f aca="false">IF(AND(A4008&lt;&gt;"",ISNUMBER(Q4008),ISNUMBER(L4008)),ROUND(Q4008-IF(ISNUMBER(N4008),N4008,0)-IF(ISNUMBER(O4008),O4008,0)+IF(ISNUMBER(P4008),P4008,0),2),"")</f>
        <v/>
      </c>
      <c r="S4008" s="9" t="str">
        <f aca="false">IF(R4008="","",ROUND(L4008-R4008,2))</f>
        <v/>
      </c>
      <c r="T4008" s="8" t="str">
        <f aca="false">IF(A4008="","",IF(S4008="","BYPASS",IF(ABS(S4008)&lt;=Summary!$B$2,"PASS","FAIL")))</f>
        <v/>
      </c>
      <c r="U4008" s="8" t="str">
        <f aca="false">IF(T4008="BYPASS",IF(NOT(ISNUMBER(Q4008)),"PreV_ETB missing","End_tr_balance missing"),IF(T4008="FAIL",IF(AND(ISNUMBER(K4008),ISNUMBER(L4008),ABS(L4008-(K4008-IF(ISNUMBER(N4008),N4008,0)-IF(ISNUMBER(O4008),O4008,0)+IF(ISNUMBER(P4008),P4008,0)))&lt;=Summary!$B$2),"Passes using beginning_balance - PreV_ETB differs from beginning_balance",IF(AND(ISNUMBER(O4008),O4008&lt;0,ABS(L4008-(Q4008-IF(ISNUMBER(N4008),N4008,0)+IF(ISNUMBER(P4008),P4008,0)))&lt;=Summary!$B$2),"Negative realized loss not applied - check sign",IF(R4008&lt;0,"Principal paid exceeds prior balance",IF(AND(L4008&gt;Q4008,NOT(ISNUMBER(P4008))),"Balance increased but no Deferred_interest reported",IF(L4008&gt;R4008,"Reported balance higher than expected (missing increase/OC build)","Reported balance lower than expected (missing decrease)"))))),""))</f>
        <v/>
      </c>
    </row>
    <row r="4009" customFormat="false" ht="15" hidden="false" customHeight="false" outlineLevel="0" collapsed="false">
      <c r="A4009" s="8"/>
      <c r="B4009" s="8"/>
      <c r="C4009" s="8"/>
      <c r="D4009" s="8"/>
      <c r="E4009" s="8"/>
      <c r="F4009" s="8"/>
      <c r="G4009" s="8"/>
      <c r="H4009" s="8"/>
      <c r="I4009" s="8"/>
      <c r="J4009" s="8"/>
      <c r="K4009" s="9"/>
      <c r="L4009" s="9"/>
      <c r="M4009" s="9"/>
      <c r="N4009" s="9"/>
      <c r="O4009" s="9"/>
      <c r="P4009" s="9"/>
      <c r="Q4009" s="9"/>
      <c r="R4009" s="9" t="str">
        <f aca="false">IF(AND(A4009&lt;&gt;"",ISNUMBER(Q4009),ISNUMBER(L4009)),ROUND(Q4009-IF(ISNUMBER(N4009),N4009,0)-IF(ISNUMBER(O4009),O4009,0)+IF(ISNUMBER(P4009),P4009,0),2),"")</f>
        <v/>
      </c>
      <c r="S4009" s="9" t="str">
        <f aca="false">IF(R4009="","",ROUND(L4009-R4009,2))</f>
        <v/>
      </c>
      <c r="T4009" s="8" t="str">
        <f aca="false">IF(A4009="","",IF(S4009="","BYPASS",IF(ABS(S4009)&lt;=Summary!$B$2,"PASS","FAIL")))</f>
        <v/>
      </c>
      <c r="U4009" s="8" t="str">
        <f aca="false">IF(T4009="BYPASS",IF(NOT(ISNUMBER(Q4009)),"PreV_ETB missing","End_tr_balance missing"),IF(T4009="FAIL",IF(AND(ISNUMBER(K4009),ISNUMBER(L4009),ABS(L4009-(K4009-IF(ISNUMBER(N4009),N4009,0)-IF(ISNUMBER(O4009),O4009,0)+IF(ISNUMBER(P4009),P4009,0)))&lt;=Summary!$B$2),"Passes using beginning_balance - PreV_ETB differs from beginning_balance",IF(AND(ISNUMBER(O4009),O4009&lt;0,ABS(L4009-(Q4009-IF(ISNUMBER(N4009),N4009,0)+IF(ISNUMBER(P4009),P4009,0)))&lt;=Summary!$B$2),"Negative realized loss not applied - check sign",IF(R4009&lt;0,"Principal paid exceeds prior balance",IF(AND(L4009&gt;Q4009,NOT(ISNUMBER(P4009))),"Balance increased but no Deferred_interest reported",IF(L4009&gt;R4009,"Reported balance higher than expected (missing increase/OC build)","Reported balance lower than expected (missing decrease)"))))),""))</f>
        <v/>
      </c>
    </row>
    <row r="4010" customFormat="false" ht="15" hidden="false" customHeight="false" outlineLevel="0" collapsed="false">
      <c r="A4010" s="8"/>
      <c r="B4010" s="8"/>
      <c r="C4010" s="8"/>
      <c r="D4010" s="8"/>
      <c r="E4010" s="8"/>
      <c r="F4010" s="8"/>
      <c r="G4010" s="8"/>
      <c r="H4010" s="8"/>
      <c r="I4010" s="8"/>
      <c r="J4010" s="8"/>
      <c r="K4010" s="9"/>
      <c r="L4010" s="9"/>
      <c r="M4010" s="9"/>
      <c r="N4010" s="9"/>
      <c r="O4010" s="9"/>
      <c r="P4010" s="9"/>
      <c r="Q4010" s="9"/>
      <c r="R4010" s="9" t="str">
        <f aca="false">IF(AND(A4010&lt;&gt;"",ISNUMBER(Q4010),ISNUMBER(L4010)),ROUND(Q4010-IF(ISNUMBER(N4010),N4010,0)-IF(ISNUMBER(O4010),O4010,0)+IF(ISNUMBER(P4010),P4010,0),2),"")</f>
        <v/>
      </c>
      <c r="S4010" s="9" t="str">
        <f aca="false">IF(R4010="","",ROUND(L4010-R4010,2))</f>
        <v/>
      </c>
      <c r="T4010" s="8" t="str">
        <f aca="false">IF(A4010="","",IF(S4010="","BYPASS",IF(ABS(S4010)&lt;=Summary!$B$2,"PASS","FAIL")))</f>
        <v/>
      </c>
      <c r="U4010" s="8" t="str">
        <f aca="false">IF(T4010="BYPASS",IF(NOT(ISNUMBER(Q4010)),"PreV_ETB missing","End_tr_balance missing"),IF(T4010="FAIL",IF(AND(ISNUMBER(K4010),ISNUMBER(L4010),ABS(L4010-(K4010-IF(ISNUMBER(N4010),N4010,0)-IF(ISNUMBER(O4010),O4010,0)+IF(ISNUMBER(P4010),P4010,0)))&lt;=Summary!$B$2),"Passes using beginning_balance - PreV_ETB differs from beginning_balance",IF(AND(ISNUMBER(O4010),O4010&lt;0,ABS(L4010-(Q4010-IF(ISNUMBER(N4010),N4010,0)+IF(ISNUMBER(P4010),P4010,0)))&lt;=Summary!$B$2),"Negative realized loss not applied - check sign",IF(R4010&lt;0,"Principal paid exceeds prior balance",IF(AND(L4010&gt;Q4010,NOT(ISNUMBER(P4010))),"Balance increased but no Deferred_interest reported",IF(L4010&gt;R4010,"Reported balance higher than expected (missing increase/OC build)","Reported balance lower than expected (missing decrease)"))))),""))</f>
        <v/>
      </c>
    </row>
    <row r="4011" customFormat="false" ht="15" hidden="false" customHeight="false" outlineLevel="0" collapsed="false">
      <c r="A4011" s="8"/>
      <c r="B4011" s="8"/>
      <c r="C4011" s="8"/>
      <c r="D4011" s="8"/>
      <c r="E4011" s="8"/>
      <c r="F4011" s="8"/>
      <c r="G4011" s="8"/>
      <c r="H4011" s="8"/>
      <c r="I4011" s="8"/>
      <c r="J4011" s="8"/>
      <c r="K4011" s="9"/>
      <c r="L4011" s="9"/>
      <c r="M4011" s="9"/>
      <c r="N4011" s="9"/>
      <c r="O4011" s="9"/>
      <c r="P4011" s="9"/>
      <c r="Q4011" s="9"/>
      <c r="R4011" s="9" t="str">
        <f aca="false">IF(AND(A4011&lt;&gt;"",ISNUMBER(Q4011),ISNUMBER(L4011)),ROUND(Q4011-IF(ISNUMBER(N4011),N4011,0)-IF(ISNUMBER(O4011),O4011,0)+IF(ISNUMBER(P4011),P4011,0),2),"")</f>
        <v/>
      </c>
      <c r="S4011" s="9" t="str">
        <f aca="false">IF(R4011="","",ROUND(L4011-R4011,2))</f>
        <v/>
      </c>
      <c r="T4011" s="8" t="str">
        <f aca="false">IF(A4011="","",IF(S4011="","BYPASS",IF(ABS(S4011)&lt;=Summary!$B$2,"PASS","FAIL")))</f>
        <v/>
      </c>
      <c r="U4011" s="8" t="str">
        <f aca="false">IF(T4011="BYPASS",IF(NOT(ISNUMBER(Q4011)),"PreV_ETB missing","End_tr_balance missing"),IF(T4011="FAIL",IF(AND(ISNUMBER(K4011),ISNUMBER(L4011),ABS(L4011-(K4011-IF(ISNUMBER(N4011),N4011,0)-IF(ISNUMBER(O4011),O4011,0)+IF(ISNUMBER(P4011),P4011,0)))&lt;=Summary!$B$2),"Passes using beginning_balance - PreV_ETB differs from beginning_balance",IF(AND(ISNUMBER(O4011),O4011&lt;0,ABS(L4011-(Q4011-IF(ISNUMBER(N4011),N4011,0)+IF(ISNUMBER(P4011),P4011,0)))&lt;=Summary!$B$2),"Negative realized loss not applied - check sign",IF(R4011&lt;0,"Principal paid exceeds prior balance",IF(AND(L4011&gt;Q4011,NOT(ISNUMBER(P4011))),"Balance increased but no Deferred_interest reported",IF(L4011&gt;R4011,"Reported balance higher than expected (missing increase/OC build)","Reported balance lower than expected (missing decrease)"))))),""))</f>
        <v/>
      </c>
    </row>
    <row r="4012" customFormat="false" ht="15" hidden="false" customHeight="false" outlineLevel="0" collapsed="false">
      <c r="A4012" s="8"/>
      <c r="B4012" s="8"/>
      <c r="C4012" s="8"/>
      <c r="D4012" s="8"/>
      <c r="E4012" s="8"/>
      <c r="F4012" s="8"/>
      <c r="G4012" s="8"/>
      <c r="H4012" s="8"/>
      <c r="I4012" s="8"/>
      <c r="J4012" s="8"/>
      <c r="K4012" s="9"/>
      <c r="L4012" s="9"/>
      <c r="M4012" s="9"/>
      <c r="N4012" s="9"/>
      <c r="O4012" s="9"/>
      <c r="P4012" s="9"/>
      <c r="Q4012" s="9"/>
      <c r="R4012" s="9" t="str">
        <f aca="false">IF(AND(A4012&lt;&gt;"",ISNUMBER(Q4012),ISNUMBER(L4012)),ROUND(Q4012-IF(ISNUMBER(N4012),N4012,0)-IF(ISNUMBER(O4012),O4012,0)+IF(ISNUMBER(P4012),P4012,0),2),"")</f>
        <v/>
      </c>
      <c r="S4012" s="9" t="str">
        <f aca="false">IF(R4012="","",ROUND(L4012-R4012,2))</f>
        <v/>
      </c>
      <c r="T4012" s="8" t="str">
        <f aca="false">IF(A4012="","",IF(S4012="","BYPASS",IF(ABS(S4012)&lt;=Summary!$B$2,"PASS","FAIL")))</f>
        <v/>
      </c>
      <c r="U4012" s="8" t="str">
        <f aca="false">IF(T4012="BYPASS",IF(NOT(ISNUMBER(Q4012)),"PreV_ETB missing","End_tr_balance missing"),IF(T4012="FAIL",IF(AND(ISNUMBER(K4012),ISNUMBER(L4012),ABS(L4012-(K4012-IF(ISNUMBER(N4012),N4012,0)-IF(ISNUMBER(O4012),O4012,0)+IF(ISNUMBER(P4012),P4012,0)))&lt;=Summary!$B$2),"Passes using beginning_balance - PreV_ETB differs from beginning_balance",IF(AND(ISNUMBER(O4012),O4012&lt;0,ABS(L4012-(Q4012-IF(ISNUMBER(N4012),N4012,0)+IF(ISNUMBER(P4012),P4012,0)))&lt;=Summary!$B$2),"Negative realized loss not applied - check sign",IF(R4012&lt;0,"Principal paid exceeds prior balance",IF(AND(L4012&gt;Q4012,NOT(ISNUMBER(P4012))),"Balance increased but no Deferred_interest reported",IF(L4012&gt;R4012,"Reported balance higher than expected (missing increase/OC build)","Reported balance lower than expected (missing decrease)"))))),""))</f>
        <v/>
      </c>
    </row>
    <row r="4013" customFormat="false" ht="15" hidden="false" customHeight="false" outlineLevel="0" collapsed="false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9"/>
      <c r="L4013" s="9"/>
      <c r="M4013" s="9"/>
      <c r="N4013" s="9"/>
      <c r="O4013" s="9"/>
      <c r="P4013" s="9"/>
      <c r="Q4013" s="9"/>
      <c r="R4013" s="9" t="str">
        <f aca="false">IF(AND(A4013&lt;&gt;"",ISNUMBER(Q4013),ISNUMBER(L4013)),ROUND(Q4013-IF(ISNUMBER(N4013),N4013,0)-IF(ISNUMBER(O4013),O4013,0)+IF(ISNUMBER(P4013),P4013,0),2),"")</f>
        <v/>
      </c>
      <c r="S4013" s="9" t="str">
        <f aca="false">IF(R4013="","",ROUND(L4013-R4013,2))</f>
        <v/>
      </c>
      <c r="T4013" s="8" t="str">
        <f aca="false">IF(A4013="","",IF(S4013="","BYPASS",IF(ABS(S4013)&lt;=Summary!$B$2,"PASS","FAIL")))</f>
        <v/>
      </c>
      <c r="U4013" s="8" t="str">
        <f aca="false">IF(T4013="BYPASS",IF(NOT(ISNUMBER(Q4013)),"PreV_ETB missing","End_tr_balance missing"),IF(T4013="FAIL",IF(AND(ISNUMBER(K4013),ISNUMBER(L4013),ABS(L4013-(K4013-IF(ISNUMBER(N4013),N4013,0)-IF(ISNUMBER(O4013),O4013,0)+IF(ISNUMBER(P4013),P4013,0)))&lt;=Summary!$B$2),"Passes using beginning_balance - PreV_ETB differs from beginning_balance",IF(AND(ISNUMBER(O4013),O4013&lt;0,ABS(L4013-(Q4013-IF(ISNUMBER(N4013),N4013,0)+IF(ISNUMBER(P4013),P4013,0)))&lt;=Summary!$B$2),"Negative realized loss not applied - check sign",IF(R4013&lt;0,"Principal paid exceeds prior balance",IF(AND(L4013&gt;Q4013,NOT(ISNUMBER(P4013))),"Balance increased but no Deferred_interest reported",IF(L4013&gt;R4013,"Reported balance higher than expected (missing increase/OC build)","Reported balance lower than expected (missing decrease)"))))),""))</f>
        <v/>
      </c>
    </row>
    <row r="4014" customFormat="false" ht="15" hidden="false" customHeight="false" outlineLevel="0" collapsed="false">
      <c r="A4014" s="8"/>
      <c r="B4014" s="8"/>
      <c r="C4014" s="8"/>
      <c r="D4014" s="8"/>
      <c r="E4014" s="8"/>
      <c r="F4014" s="8"/>
      <c r="G4014" s="8"/>
      <c r="H4014" s="8"/>
      <c r="I4014" s="8"/>
      <c r="J4014" s="8"/>
      <c r="K4014" s="9"/>
      <c r="L4014" s="9"/>
      <c r="M4014" s="9"/>
      <c r="N4014" s="9"/>
      <c r="O4014" s="9"/>
      <c r="P4014" s="9"/>
      <c r="Q4014" s="9"/>
      <c r="R4014" s="9" t="str">
        <f aca="false">IF(AND(A4014&lt;&gt;"",ISNUMBER(Q4014),ISNUMBER(L4014)),ROUND(Q4014-IF(ISNUMBER(N4014),N4014,0)-IF(ISNUMBER(O4014),O4014,0)+IF(ISNUMBER(P4014),P4014,0),2),"")</f>
        <v/>
      </c>
      <c r="S4014" s="9" t="str">
        <f aca="false">IF(R4014="","",ROUND(L4014-R4014,2))</f>
        <v/>
      </c>
      <c r="T4014" s="8" t="str">
        <f aca="false">IF(A4014="","",IF(S4014="","BYPASS",IF(ABS(S4014)&lt;=Summary!$B$2,"PASS","FAIL")))</f>
        <v/>
      </c>
      <c r="U4014" s="8" t="str">
        <f aca="false">IF(T4014="BYPASS",IF(NOT(ISNUMBER(Q4014)),"PreV_ETB missing","End_tr_balance missing"),IF(T4014="FAIL",IF(AND(ISNUMBER(K4014),ISNUMBER(L4014),ABS(L4014-(K4014-IF(ISNUMBER(N4014),N4014,0)-IF(ISNUMBER(O4014),O4014,0)+IF(ISNUMBER(P4014),P4014,0)))&lt;=Summary!$B$2),"Passes using beginning_balance - PreV_ETB differs from beginning_balance",IF(AND(ISNUMBER(O4014),O4014&lt;0,ABS(L4014-(Q4014-IF(ISNUMBER(N4014),N4014,0)+IF(ISNUMBER(P4014),P4014,0)))&lt;=Summary!$B$2),"Negative realized loss not applied - check sign",IF(R4014&lt;0,"Principal paid exceeds prior balance",IF(AND(L4014&gt;Q4014,NOT(ISNUMBER(P4014))),"Balance increased but no Deferred_interest reported",IF(L4014&gt;R4014,"Reported balance higher than expected (missing increase/OC build)","Reported balance lower than expected (missing decrease)"))))),""))</f>
        <v/>
      </c>
    </row>
    <row r="4015" customFormat="false" ht="15" hidden="false" customHeight="false" outlineLevel="0" collapsed="false">
      <c r="A4015" s="8"/>
      <c r="B4015" s="8"/>
      <c r="C4015" s="8"/>
      <c r="D4015" s="8"/>
      <c r="E4015" s="8"/>
      <c r="F4015" s="8"/>
      <c r="G4015" s="8"/>
      <c r="H4015" s="8"/>
      <c r="I4015" s="8"/>
      <c r="J4015" s="8"/>
      <c r="K4015" s="9"/>
      <c r="L4015" s="9"/>
      <c r="M4015" s="9"/>
      <c r="N4015" s="9"/>
      <c r="O4015" s="9"/>
      <c r="P4015" s="9"/>
      <c r="Q4015" s="9"/>
      <c r="R4015" s="9" t="str">
        <f aca="false">IF(AND(A4015&lt;&gt;"",ISNUMBER(Q4015),ISNUMBER(L4015)),ROUND(Q4015-IF(ISNUMBER(N4015),N4015,0)-IF(ISNUMBER(O4015),O4015,0)+IF(ISNUMBER(P4015),P4015,0),2),"")</f>
        <v/>
      </c>
      <c r="S4015" s="9" t="str">
        <f aca="false">IF(R4015="","",ROUND(L4015-R4015,2))</f>
        <v/>
      </c>
      <c r="T4015" s="8" t="str">
        <f aca="false">IF(A4015="","",IF(S4015="","BYPASS",IF(ABS(S4015)&lt;=Summary!$B$2,"PASS","FAIL")))</f>
        <v/>
      </c>
      <c r="U4015" s="8" t="str">
        <f aca="false">IF(T4015="BYPASS",IF(NOT(ISNUMBER(Q4015)),"PreV_ETB missing","End_tr_balance missing"),IF(T4015="FAIL",IF(AND(ISNUMBER(K4015),ISNUMBER(L4015),ABS(L4015-(K4015-IF(ISNUMBER(N4015),N4015,0)-IF(ISNUMBER(O4015),O4015,0)+IF(ISNUMBER(P4015),P4015,0)))&lt;=Summary!$B$2),"Passes using beginning_balance - PreV_ETB differs from beginning_balance",IF(AND(ISNUMBER(O4015),O4015&lt;0,ABS(L4015-(Q4015-IF(ISNUMBER(N4015),N4015,0)+IF(ISNUMBER(P4015),P4015,0)))&lt;=Summary!$B$2),"Negative realized loss not applied - check sign",IF(R4015&lt;0,"Principal paid exceeds prior balance",IF(AND(L4015&gt;Q4015,NOT(ISNUMBER(P4015))),"Balance increased but no Deferred_interest reported",IF(L4015&gt;R4015,"Reported balance higher than expected (missing increase/OC build)","Reported balance lower than expected (missing decrease)"))))),""))</f>
        <v/>
      </c>
    </row>
    <row r="4016" customFormat="false" ht="15" hidden="false" customHeight="false" outlineLevel="0" collapsed="false">
      <c r="A4016" s="8"/>
      <c r="B4016" s="8"/>
      <c r="C4016" s="8"/>
      <c r="D4016" s="8"/>
      <c r="E4016" s="8"/>
      <c r="F4016" s="8"/>
      <c r="G4016" s="8"/>
      <c r="H4016" s="8"/>
      <c r="I4016" s="8"/>
      <c r="J4016" s="8"/>
      <c r="K4016" s="9"/>
      <c r="L4016" s="9"/>
      <c r="M4016" s="9"/>
      <c r="N4016" s="9"/>
      <c r="O4016" s="9"/>
      <c r="P4016" s="9"/>
      <c r="Q4016" s="9"/>
      <c r="R4016" s="9" t="str">
        <f aca="false">IF(AND(A4016&lt;&gt;"",ISNUMBER(Q4016),ISNUMBER(L4016)),ROUND(Q4016-IF(ISNUMBER(N4016),N4016,0)-IF(ISNUMBER(O4016),O4016,0)+IF(ISNUMBER(P4016),P4016,0),2),"")</f>
        <v/>
      </c>
      <c r="S4016" s="9" t="str">
        <f aca="false">IF(R4016="","",ROUND(L4016-R4016,2))</f>
        <v/>
      </c>
      <c r="T4016" s="8" t="str">
        <f aca="false">IF(A4016="","",IF(S4016="","BYPASS",IF(ABS(S4016)&lt;=Summary!$B$2,"PASS","FAIL")))</f>
        <v/>
      </c>
      <c r="U4016" s="8" t="str">
        <f aca="false">IF(T4016="BYPASS",IF(NOT(ISNUMBER(Q4016)),"PreV_ETB missing","End_tr_balance missing"),IF(T4016="FAIL",IF(AND(ISNUMBER(K4016),ISNUMBER(L4016),ABS(L4016-(K4016-IF(ISNUMBER(N4016),N4016,0)-IF(ISNUMBER(O4016),O4016,0)+IF(ISNUMBER(P4016),P4016,0)))&lt;=Summary!$B$2),"Passes using beginning_balance - PreV_ETB differs from beginning_balance",IF(AND(ISNUMBER(O4016),O4016&lt;0,ABS(L4016-(Q4016-IF(ISNUMBER(N4016),N4016,0)+IF(ISNUMBER(P4016),P4016,0)))&lt;=Summary!$B$2),"Negative realized loss not applied - check sign",IF(R4016&lt;0,"Principal paid exceeds prior balance",IF(AND(L4016&gt;Q4016,NOT(ISNUMBER(P4016))),"Balance increased but no Deferred_interest reported",IF(L4016&gt;R4016,"Reported balance higher than expected (missing increase/OC build)","Reported balance lower than expected (missing decrease)"))))),""))</f>
        <v/>
      </c>
    </row>
    <row r="4017" customFormat="false" ht="15" hidden="false" customHeight="false" outlineLevel="0" collapsed="false">
      <c r="A4017" s="8"/>
      <c r="B4017" s="8"/>
      <c r="C4017" s="8"/>
      <c r="D4017" s="8"/>
      <c r="E4017" s="8"/>
      <c r="F4017" s="8"/>
      <c r="G4017" s="8"/>
      <c r="H4017" s="8"/>
      <c r="I4017" s="8"/>
      <c r="J4017" s="8"/>
      <c r="K4017" s="9"/>
      <c r="L4017" s="9"/>
      <c r="M4017" s="9"/>
      <c r="N4017" s="9"/>
      <c r="O4017" s="9"/>
      <c r="P4017" s="9"/>
      <c r="Q4017" s="9"/>
      <c r="R4017" s="9" t="str">
        <f aca="false">IF(AND(A4017&lt;&gt;"",ISNUMBER(Q4017),ISNUMBER(L4017)),ROUND(Q4017-IF(ISNUMBER(N4017),N4017,0)-IF(ISNUMBER(O4017),O4017,0)+IF(ISNUMBER(P4017),P4017,0),2),"")</f>
        <v/>
      </c>
      <c r="S4017" s="9" t="str">
        <f aca="false">IF(R4017="","",ROUND(L4017-R4017,2))</f>
        <v/>
      </c>
      <c r="T4017" s="8" t="str">
        <f aca="false">IF(A4017="","",IF(S4017="","BYPASS",IF(ABS(S4017)&lt;=Summary!$B$2,"PASS","FAIL")))</f>
        <v/>
      </c>
      <c r="U4017" s="8" t="str">
        <f aca="false">IF(T4017="BYPASS",IF(NOT(ISNUMBER(Q4017)),"PreV_ETB missing","End_tr_balance missing"),IF(T4017="FAIL",IF(AND(ISNUMBER(K4017),ISNUMBER(L4017),ABS(L4017-(K4017-IF(ISNUMBER(N4017),N4017,0)-IF(ISNUMBER(O4017),O4017,0)+IF(ISNUMBER(P4017),P4017,0)))&lt;=Summary!$B$2),"Passes using beginning_balance - PreV_ETB differs from beginning_balance",IF(AND(ISNUMBER(O4017),O4017&lt;0,ABS(L4017-(Q4017-IF(ISNUMBER(N4017),N4017,0)+IF(ISNUMBER(P4017),P4017,0)))&lt;=Summary!$B$2),"Negative realized loss not applied - check sign",IF(R4017&lt;0,"Principal paid exceeds prior balance",IF(AND(L4017&gt;Q4017,NOT(ISNUMBER(P4017))),"Balance increased but no Deferred_interest reported",IF(L4017&gt;R4017,"Reported balance higher than expected (missing increase/OC build)","Reported balance lower than expected (missing decrease)"))))),""))</f>
        <v/>
      </c>
    </row>
    <row r="4018" customFormat="false" ht="15" hidden="false" customHeight="false" outlineLevel="0" collapsed="false">
      <c r="A4018" s="8"/>
      <c r="B4018" s="8"/>
      <c r="C4018" s="8"/>
      <c r="D4018" s="8"/>
      <c r="E4018" s="8"/>
      <c r="F4018" s="8"/>
      <c r="G4018" s="8"/>
      <c r="H4018" s="8"/>
      <c r="I4018" s="8"/>
      <c r="J4018" s="8"/>
      <c r="K4018" s="9"/>
      <c r="L4018" s="9"/>
      <c r="M4018" s="9"/>
      <c r="N4018" s="9"/>
      <c r="O4018" s="9"/>
      <c r="P4018" s="9"/>
      <c r="Q4018" s="9"/>
      <c r="R4018" s="9" t="str">
        <f aca="false">IF(AND(A4018&lt;&gt;"",ISNUMBER(Q4018),ISNUMBER(L4018)),ROUND(Q4018-IF(ISNUMBER(N4018),N4018,0)-IF(ISNUMBER(O4018),O4018,0)+IF(ISNUMBER(P4018),P4018,0),2),"")</f>
        <v/>
      </c>
      <c r="S4018" s="9" t="str">
        <f aca="false">IF(R4018="","",ROUND(L4018-R4018,2))</f>
        <v/>
      </c>
      <c r="T4018" s="8" t="str">
        <f aca="false">IF(A4018="","",IF(S4018="","BYPASS",IF(ABS(S4018)&lt;=Summary!$B$2,"PASS","FAIL")))</f>
        <v/>
      </c>
      <c r="U4018" s="8" t="str">
        <f aca="false">IF(T4018="BYPASS",IF(NOT(ISNUMBER(Q4018)),"PreV_ETB missing","End_tr_balance missing"),IF(T4018="FAIL",IF(AND(ISNUMBER(K4018),ISNUMBER(L4018),ABS(L4018-(K4018-IF(ISNUMBER(N4018),N4018,0)-IF(ISNUMBER(O4018),O4018,0)+IF(ISNUMBER(P4018),P4018,0)))&lt;=Summary!$B$2),"Passes using beginning_balance - PreV_ETB differs from beginning_balance",IF(AND(ISNUMBER(O4018),O4018&lt;0,ABS(L4018-(Q4018-IF(ISNUMBER(N4018),N4018,0)+IF(ISNUMBER(P4018),P4018,0)))&lt;=Summary!$B$2),"Negative realized loss not applied - check sign",IF(R4018&lt;0,"Principal paid exceeds prior balance",IF(AND(L4018&gt;Q4018,NOT(ISNUMBER(P4018))),"Balance increased but no Deferred_interest reported",IF(L4018&gt;R4018,"Reported balance higher than expected (missing increase/OC build)","Reported balance lower than expected (missing decrease)"))))),""))</f>
        <v/>
      </c>
    </row>
    <row r="4019" customFormat="false" ht="15" hidden="false" customHeight="false" outlineLevel="0" collapsed="false">
      <c r="A4019" s="8"/>
      <c r="B4019" s="8"/>
      <c r="C4019" s="8"/>
      <c r="D4019" s="8"/>
      <c r="E4019" s="8"/>
      <c r="F4019" s="8"/>
      <c r="G4019" s="8"/>
      <c r="H4019" s="8"/>
      <c r="I4019" s="8"/>
      <c r="J4019" s="8"/>
      <c r="K4019" s="9"/>
      <c r="L4019" s="9"/>
      <c r="M4019" s="9"/>
      <c r="N4019" s="9"/>
      <c r="O4019" s="9"/>
      <c r="P4019" s="9"/>
      <c r="Q4019" s="9"/>
      <c r="R4019" s="9" t="str">
        <f aca="false">IF(AND(A4019&lt;&gt;"",ISNUMBER(Q4019),ISNUMBER(L4019)),ROUND(Q4019-IF(ISNUMBER(N4019),N4019,0)-IF(ISNUMBER(O4019),O4019,0)+IF(ISNUMBER(P4019),P4019,0),2),"")</f>
        <v/>
      </c>
      <c r="S4019" s="9" t="str">
        <f aca="false">IF(R4019="","",ROUND(L4019-R4019,2))</f>
        <v/>
      </c>
      <c r="T4019" s="8" t="str">
        <f aca="false">IF(A4019="","",IF(S4019="","BYPASS",IF(ABS(S4019)&lt;=Summary!$B$2,"PASS","FAIL")))</f>
        <v/>
      </c>
      <c r="U4019" s="8" t="str">
        <f aca="false">IF(T4019="BYPASS",IF(NOT(ISNUMBER(Q4019)),"PreV_ETB missing","End_tr_balance missing"),IF(T4019="FAIL",IF(AND(ISNUMBER(K4019),ISNUMBER(L4019),ABS(L4019-(K4019-IF(ISNUMBER(N4019),N4019,0)-IF(ISNUMBER(O4019),O4019,0)+IF(ISNUMBER(P4019),P4019,0)))&lt;=Summary!$B$2),"Passes using beginning_balance - PreV_ETB differs from beginning_balance",IF(AND(ISNUMBER(O4019),O4019&lt;0,ABS(L4019-(Q4019-IF(ISNUMBER(N4019),N4019,0)+IF(ISNUMBER(P4019),P4019,0)))&lt;=Summary!$B$2),"Negative realized loss not applied - check sign",IF(R4019&lt;0,"Principal paid exceeds prior balance",IF(AND(L4019&gt;Q4019,NOT(ISNUMBER(P4019))),"Balance increased but no Deferred_interest reported",IF(L4019&gt;R4019,"Reported balance higher than expected (missing increase/OC build)","Reported balance lower than expected (missing decrease)"))))),""))</f>
        <v/>
      </c>
    </row>
    <row r="4020" customFormat="false" ht="15" hidden="false" customHeight="false" outlineLevel="0" collapsed="false">
      <c r="A4020" s="8"/>
      <c r="B4020" s="8"/>
      <c r="C4020" s="8"/>
      <c r="D4020" s="8"/>
      <c r="E4020" s="8"/>
      <c r="F4020" s="8"/>
      <c r="G4020" s="8"/>
      <c r="H4020" s="8"/>
      <c r="I4020" s="8"/>
      <c r="J4020" s="8"/>
      <c r="K4020" s="9"/>
      <c r="L4020" s="9"/>
      <c r="M4020" s="9"/>
      <c r="N4020" s="9"/>
      <c r="O4020" s="9"/>
      <c r="P4020" s="9"/>
      <c r="Q4020" s="9"/>
      <c r="R4020" s="9" t="str">
        <f aca="false">IF(AND(A4020&lt;&gt;"",ISNUMBER(Q4020),ISNUMBER(L4020)),ROUND(Q4020-IF(ISNUMBER(N4020),N4020,0)-IF(ISNUMBER(O4020),O4020,0)+IF(ISNUMBER(P4020),P4020,0),2),"")</f>
        <v/>
      </c>
      <c r="S4020" s="9" t="str">
        <f aca="false">IF(R4020="","",ROUND(L4020-R4020,2))</f>
        <v/>
      </c>
      <c r="T4020" s="8" t="str">
        <f aca="false">IF(A4020="","",IF(S4020="","BYPASS",IF(ABS(S4020)&lt;=Summary!$B$2,"PASS","FAIL")))</f>
        <v/>
      </c>
      <c r="U4020" s="8" t="str">
        <f aca="false">IF(T4020="BYPASS",IF(NOT(ISNUMBER(Q4020)),"PreV_ETB missing","End_tr_balance missing"),IF(T4020="FAIL",IF(AND(ISNUMBER(K4020),ISNUMBER(L4020),ABS(L4020-(K4020-IF(ISNUMBER(N4020),N4020,0)-IF(ISNUMBER(O4020),O4020,0)+IF(ISNUMBER(P4020),P4020,0)))&lt;=Summary!$B$2),"Passes using beginning_balance - PreV_ETB differs from beginning_balance",IF(AND(ISNUMBER(O4020),O4020&lt;0,ABS(L4020-(Q4020-IF(ISNUMBER(N4020),N4020,0)+IF(ISNUMBER(P4020),P4020,0)))&lt;=Summary!$B$2),"Negative realized loss not applied - check sign",IF(R4020&lt;0,"Principal paid exceeds prior balance",IF(AND(L4020&gt;Q4020,NOT(ISNUMBER(P4020))),"Balance increased but no Deferred_interest reported",IF(L4020&gt;R4020,"Reported balance higher than expected (missing increase/OC build)","Reported balance lower than expected (missing decrease)"))))),""))</f>
        <v/>
      </c>
    </row>
    <row r="4021" customFormat="false" ht="15" hidden="false" customHeight="false" outlineLevel="0" collapsed="false">
      <c r="A4021" s="8"/>
      <c r="B4021" s="8"/>
      <c r="C4021" s="8"/>
      <c r="D4021" s="8"/>
      <c r="E4021" s="8"/>
      <c r="F4021" s="8"/>
      <c r="G4021" s="8"/>
      <c r="H4021" s="8"/>
      <c r="I4021" s="8"/>
      <c r="J4021" s="8"/>
      <c r="K4021" s="9"/>
      <c r="L4021" s="9"/>
      <c r="M4021" s="9"/>
      <c r="N4021" s="9"/>
      <c r="O4021" s="9"/>
      <c r="P4021" s="9"/>
      <c r="Q4021" s="9"/>
      <c r="R4021" s="9" t="str">
        <f aca="false">IF(AND(A4021&lt;&gt;"",ISNUMBER(Q4021),ISNUMBER(L4021)),ROUND(Q4021-IF(ISNUMBER(N4021),N4021,0)-IF(ISNUMBER(O4021),O4021,0)+IF(ISNUMBER(P4021),P4021,0),2),"")</f>
        <v/>
      </c>
      <c r="S4021" s="9" t="str">
        <f aca="false">IF(R4021="","",ROUND(L4021-R4021,2))</f>
        <v/>
      </c>
      <c r="T4021" s="8" t="str">
        <f aca="false">IF(A4021="","",IF(S4021="","BYPASS",IF(ABS(S4021)&lt;=Summary!$B$2,"PASS","FAIL")))</f>
        <v/>
      </c>
      <c r="U4021" s="8" t="str">
        <f aca="false">IF(T4021="BYPASS",IF(NOT(ISNUMBER(Q4021)),"PreV_ETB missing","End_tr_balance missing"),IF(T4021="FAIL",IF(AND(ISNUMBER(K4021),ISNUMBER(L4021),ABS(L4021-(K4021-IF(ISNUMBER(N4021),N4021,0)-IF(ISNUMBER(O4021),O4021,0)+IF(ISNUMBER(P4021),P4021,0)))&lt;=Summary!$B$2),"Passes using beginning_balance - PreV_ETB differs from beginning_balance",IF(AND(ISNUMBER(O4021),O4021&lt;0,ABS(L4021-(Q4021-IF(ISNUMBER(N4021),N4021,0)+IF(ISNUMBER(P4021),P4021,0)))&lt;=Summary!$B$2),"Negative realized loss not applied - check sign",IF(R4021&lt;0,"Principal paid exceeds prior balance",IF(AND(L4021&gt;Q4021,NOT(ISNUMBER(P4021))),"Balance increased but no Deferred_interest reported",IF(L4021&gt;R4021,"Reported balance higher than expected (missing increase/OC build)","Reported balance lower than expected (missing decrease)"))))),""))</f>
        <v/>
      </c>
    </row>
    <row r="4022" customFormat="false" ht="15" hidden="false" customHeight="false" outlineLevel="0" collapsed="false">
      <c r="A4022" s="8"/>
      <c r="B4022" s="8"/>
      <c r="C4022" s="8"/>
      <c r="D4022" s="8"/>
      <c r="E4022" s="8"/>
      <c r="F4022" s="8"/>
      <c r="G4022" s="8"/>
      <c r="H4022" s="8"/>
      <c r="I4022" s="8"/>
      <c r="J4022" s="8"/>
      <c r="K4022" s="9"/>
      <c r="L4022" s="9"/>
      <c r="M4022" s="9"/>
      <c r="N4022" s="9"/>
      <c r="O4022" s="9"/>
      <c r="P4022" s="9"/>
      <c r="Q4022" s="9"/>
      <c r="R4022" s="9" t="str">
        <f aca="false">IF(AND(A4022&lt;&gt;"",ISNUMBER(Q4022),ISNUMBER(L4022)),ROUND(Q4022-IF(ISNUMBER(N4022),N4022,0)-IF(ISNUMBER(O4022),O4022,0)+IF(ISNUMBER(P4022),P4022,0),2),"")</f>
        <v/>
      </c>
      <c r="S4022" s="9" t="str">
        <f aca="false">IF(R4022="","",ROUND(L4022-R4022,2))</f>
        <v/>
      </c>
      <c r="T4022" s="8" t="str">
        <f aca="false">IF(A4022="","",IF(S4022="","BYPASS",IF(ABS(S4022)&lt;=Summary!$B$2,"PASS","FAIL")))</f>
        <v/>
      </c>
      <c r="U4022" s="8" t="str">
        <f aca="false">IF(T4022="BYPASS",IF(NOT(ISNUMBER(Q4022)),"PreV_ETB missing","End_tr_balance missing"),IF(T4022="FAIL",IF(AND(ISNUMBER(K4022),ISNUMBER(L4022),ABS(L4022-(K4022-IF(ISNUMBER(N4022),N4022,0)-IF(ISNUMBER(O4022),O4022,0)+IF(ISNUMBER(P4022),P4022,0)))&lt;=Summary!$B$2),"Passes using beginning_balance - PreV_ETB differs from beginning_balance",IF(AND(ISNUMBER(O4022),O4022&lt;0,ABS(L4022-(Q4022-IF(ISNUMBER(N4022),N4022,0)+IF(ISNUMBER(P4022),P4022,0)))&lt;=Summary!$B$2),"Negative realized loss not applied - check sign",IF(R4022&lt;0,"Principal paid exceeds prior balance",IF(AND(L4022&gt;Q4022,NOT(ISNUMBER(P4022))),"Balance increased but no Deferred_interest reported",IF(L4022&gt;R4022,"Reported balance higher than expected (missing increase/OC build)","Reported balance lower than expected (missing decrease)"))))),""))</f>
        <v/>
      </c>
    </row>
    <row r="4023" customFormat="false" ht="15" hidden="false" customHeight="false" outlineLevel="0" collapsed="false">
      <c r="A4023" s="8"/>
      <c r="B4023" s="8"/>
      <c r="C4023" s="8"/>
      <c r="D4023" s="8"/>
      <c r="E4023" s="8"/>
      <c r="F4023" s="8"/>
      <c r="G4023" s="8"/>
      <c r="H4023" s="8"/>
      <c r="I4023" s="8"/>
      <c r="J4023" s="8"/>
      <c r="K4023" s="9"/>
      <c r="L4023" s="9"/>
      <c r="M4023" s="9"/>
      <c r="N4023" s="9"/>
      <c r="O4023" s="9"/>
      <c r="P4023" s="9"/>
      <c r="Q4023" s="9"/>
      <c r="R4023" s="9" t="str">
        <f aca="false">IF(AND(A4023&lt;&gt;"",ISNUMBER(Q4023),ISNUMBER(L4023)),ROUND(Q4023-IF(ISNUMBER(N4023),N4023,0)-IF(ISNUMBER(O4023),O4023,0)+IF(ISNUMBER(P4023),P4023,0),2),"")</f>
        <v/>
      </c>
      <c r="S4023" s="9" t="str">
        <f aca="false">IF(R4023="","",ROUND(L4023-R4023,2))</f>
        <v/>
      </c>
      <c r="T4023" s="8" t="str">
        <f aca="false">IF(A4023="","",IF(S4023="","BYPASS",IF(ABS(S4023)&lt;=Summary!$B$2,"PASS","FAIL")))</f>
        <v/>
      </c>
      <c r="U4023" s="8" t="str">
        <f aca="false">IF(T4023="BYPASS",IF(NOT(ISNUMBER(Q4023)),"PreV_ETB missing","End_tr_balance missing"),IF(T4023="FAIL",IF(AND(ISNUMBER(K4023),ISNUMBER(L4023),ABS(L4023-(K4023-IF(ISNUMBER(N4023),N4023,0)-IF(ISNUMBER(O4023),O4023,0)+IF(ISNUMBER(P4023),P4023,0)))&lt;=Summary!$B$2),"Passes using beginning_balance - PreV_ETB differs from beginning_balance",IF(AND(ISNUMBER(O4023),O4023&lt;0,ABS(L4023-(Q4023-IF(ISNUMBER(N4023),N4023,0)+IF(ISNUMBER(P4023),P4023,0)))&lt;=Summary!$B$2),"Negative realized loss not applied - check sign",IF(R4023&lt;0,"Principal paid exceeds prior balance",IF(AND(L4023&gt;Q4023,NOT(ISNUMBER(P4023))),"Balance increased but no Deferred_interest reported",IF(L4023&gt;R4023,"Reported balance higher than expected (missing increase/OC build)","Reported balance lower than expected (missing decrease)"))))),""))</f>
        <v/>
      </c>
    </row>
    <row r="4024" customFormat="false" ht="15" hidden="false" customHeight="false" outlineLevel="0" collapsed="false">
      <c r="A4024" s="8"/>
      <c r="B4024" s="8"/>
      <c r="C4024" s="8"/>
      <c r="D4024" s="8"/>
      <c r="E4024" s="8"/>
      <c r="F4024" s="8"/>
      <c r="G4024" s="8"/>
      <c r="H4024" s="8"/>
      <c r="I4024" s="8"/>
      <c r="J4024" s="8"/>
      <c r="K4024" s="9"/>
      <c r="L4024" s="9"/>
      <c r="M4024" s="9"/>
      <c r="N4024" s="9"/>
      <c r="O4024" s="9"/>
      <c r="P4024" s="9"/>
      <c r="Q4024" s="9"/>
      <c r="R4024" s="9" t="str">
        <f aca="false">IF(AND(A4024&lt;&gt;"",ISNUMBER(Q4024),ISNUMBER(L4024)),ROUND(Q4024-IF(ISNUMBER(N4024),N4024,0)-IF(ISNUMBER(O4024),O4024,0)+IF(ISNUMBER(P4024),P4024,0),2),"")</f>
        <v/>
      </c>
      <c r="S4024" s="9" t="str">
        <f aca="false">IF(R4024="","",ROUND(L4024-R4024,2))</f>
        <v/>
      </c>
      <c r="T4024" s="8" t="str">
        <f aca="false">IF(A4024="","",IF(S4024="","BYPASS",IF(ABS(S4024)&lt;=Summary!$B$2,"PASS","FAIL")))</f>
        <v/>
      </c>
      <c r="U4024" s="8" t="str">
        <f aca="false">IF(T4024="BYPASS",IF(NOT(ISNUMBER(Q4024)),"PreV_ETB missing","End_tr_balance missing"),IF(T4024="FAIL",IF(AND(ISNUMBER(K4024),ISNUMBER(L4024),ABS(L4024-(K4024-IF(ISNUMBER(N4024),N4024,0)-IF(ISNUMBER(O4024),O4024,0)+IF(ISNUMBER(P4024),P4024,0)))&lt;=Summary!$B$2),"Passes using beginning_balance - PreV_ETB differs from beginning_balance",IF(AND(ISNUMBER(O4024),O4024&lt;0,ABS(L4024-(Q4024-IF(ISNUMBER(N4024),N4024,0)+IF(ISNUMBER(P4024),P4024,0)))&lt;=Summary!$B$2),"Negative realized loss not applied - check sign",IF(R4024&lt;0,"Principal paid exceeds prior balance",IF(AND(L4024&gt;Q4024,NOT(ISNUMBER(P4024))),"Balance increased but no Deferred_interest reported",IF(L4024&gt;R4024,"Reported balance higher than expected (missing increase/OC build)","Reported balance lower than expected (missing decrease)"))))),""))</f>
        <v/>
      </c>
    </row>
    <row r="4025" customFormat="false" ht="15" hidden="false" customHeight="false" outlineLevel="0" collapsed="false">
      <c r="A4025" s="8"/>
      <c r="B4025" s="8"/>
      <c r="C4025" s="8"/>
      <c r="D4025" s="8"/>
      <c r="E4025" s="8"/>
      <c r="F4025" s="8"/>
      <c r="G4025" s="8"/>
      <c r="H4025" s="8"/>
      <c r="I4025" s="8"/>
      <c r="J4025" s="8"/>
      <c r="K4025" s="9"/>
      <c r="L4025" s="9"/>
      <c r="M4025" s="9"/>
      <c r="N4025" s="9"/>
      <c r="O4025" s="9"/>
      <c r="P4025" s="9"/>
      <c r="Q4025" s="9"/>
      <c r="R4025" s="9" t="str">
        <f aca="false">IF(AND(A4025&lt;&gt;"",ISNUMBER(Q4025),ISNUMBER(L4025)),ROUND(Q4025-IF(ISNUMBER(N4025),N4025,0)-IF(ISNUMBER(O4025),O4025,0)+IF(ISNUMBER(P4025),P4025,0),2),"")</f>
        <v/>
      </c>
      <c r="S4025" s="9" t="str">
        <f aca="false">IF(R4025="","",ROUND(L4025-R4025,2))</f>
        <v/>
      </c>
      <c r="T4025" s="8" t="str">
        <f aca="false">IF(A4025="","",IF(S4025="","BYPASS",IF(ABS(S4025)&lt;=Summary!$B$2,"PASS","FAIL")))</f>
        <v/>
      </c>
      <c r="U4025" s="8" t="str">
        <f aca="false">IF(T4025="BYPASS",IF(NOT(ISNUMBER(Q4025)),"PreV_ETB missing","End_tr_balance missing"),IF(T4025="FAIL",IF(AND(ISNUMBER(K4025),ISNUMBER(L4025),ABS(L4025-(K4025-IF(ISNUMBER(N4025),N4025,0)-IF(ISNUMBER(O4025),O4025,0)+IF(ISNUMBER(P4025),P4025,0)))&lt;=Summary!$B$2),"Passes using beginning_balance - PreV_ETB differs from beginning_balance",IF(AND(ISNUMBER(O4025),O4025&lt;0,ABS(L4025-(Q4025-IF(ISNUMBER(N4025),N4025,0)+IF(ISNUMBER(P4025),P4025,0)))&lt;=Summary!$B$2),"Negative realized loss not applied - check sign",IF(R4025&lt;0,"Principal paid exceeds prior balance",IF(AND(L4025&gt;Q4025,NOT(ISNUMBER(P4025))),"Balance increased but no Deferred_interest reported",IF(L4025&gt;R4025,"Reported balance higher than expected (missing increase/OC build)","Reported balance lower than expected (missing decrease)"))))),""))</f>
        <v/>
      </c>
    </row>
    <row r="4026" customFormat="false" ht="15" hidden="false" customHeight="false" outlineLevel="0" collapsed="false">
      <c r="A4026" s="8"/>
      <c r="B4026" s="8"/>
      <c r="C4026" s="8"/>
      <c r="D4026" s="8"/>
      <c r="E4026" s="8"/>
      <c r="F4026" s="8"/>
      <c r="G4026" s="8"/>
      <c r="H4026" s="8"/>
      <c r="I4026" s="8"/>
      <c r="J4026" s="8"/>
      <c r="K4026" s="9"/>
      <c r="L4026" s="9"/>
      <c r="M4026" s="9"/>
      <c r="N4026" s="9"/>
      <c r="O4026" s="9"/>
      <c r="P4026" s="9"/>
      <c r="Q4026" s="9"/>
      <c r="R4026" s="9" t="str">
        <f aca="false">IF(AND(A4026&lt;&gt;"",ISNUMBER(Q4026),ISNUMBER(L4026)),ROUND(Q4026-IF(ISNUMBER(N4026),N4026,0)-IF(ISNUMBER(O4026),O4026,0)+IF(ISNUMBER(P4026),P4026,0),2),"")</f>
        <v/>
      </c>
      <c r="S4026" s="9" t="str">
        <f aca="false">IF(R4026="","",ROUND(L4026-R4026,2))</f>
        <v/>
      </c>
      <c r="T4026" s="8" t="str">
        <f aca="false">IF(A4026="","",IF(S4026="","BYPASS",IF(ABS(S4026)&lt;=Summary!$B$2,"PASS","FAIL")))</f>
        <v/>
      </c>
      <c r="U4026" s="8" t="str">
        <f aca="false">IF(T4026="BYPASS",IF(NOT(ISNUMBER(Q4026)),"PreV_ETB missing","End_tr_balance missing"),IF(T4026="FAIL",IF(AND(ISNUMBER(K4026),ISNUMBER(L4026),ABS(L4026-(K4026-IF(ISNUMBER(N4026),N4026,0)-IF(ISNUMBER(O4026),O4026,0)+IF(ISNUMBER(P4026),P4026,0)))&lt;=Summary!$B$2),"Passes using beginning_balance - PreV_ETB differs from beginning_balance",IF(AND(ISNUMBER(O4026),O4026&lt;0,ABS(L4026-(Q4026-IF(ISNUMBER(N4026),N4026,0)+IF(ISNUMBER(P4026),P4026,0)))&lt;=Summary!$B$2),"Negative realized loss not applied - check sign",IF(R4026&lt;0,"Principal paid exceeds prior balance",IF(AND(L4026&gt;Q4026,NOT(ISNUMBER(P4026))),"Balance increased but no Deferred_interest reported",IF(L4026&gt;R4026,"Reported balance higher than expected (missing increase/OC build)","Reported balance lower than expected (missing decrease)"))))),""))</f>
        <v/>
      </c>
    </row>
    <row r="4027" customFormat="false" ht="15" hidden="false" customHeight="false" outlineLevel="0" collapsed="false">
      <c r="A4027" s="8"/>
      <c r="B4027" s="8"/>
      <c r="C4027" s="8"/>
      <c r="D4027" s="8"/>
      <c r="E4027" s="8"/>
      <c r="F4027" s="8"/>
      <c r="G4027" s="8"/>
      <c r="H4027" s="8"/>
      <c r="I4027" s="8"/>
      <c r="J4027" s="8"/>
      <c r="K4027" s="9"/>
      <c r="L4027" s="9"/>
      <c r="M4027" s="9"/>
      <c r="N4027" s="9"/>
      <c r="O4027" s="9"/>
      <c r="P4027" s="9"/>
      <c r="Q4027" s="9"/>
      <c r="R4027" s="9" t="str">
        <f aca="false">IF(AND(A4027&lt;&gt;"",ISNUMBER(Q4027),ISNUMBER(L4027)),ROUND(Q4027-IF(ISNUMBER(N4027),N4027,0)-IF(ISNUMBER(O4027),O4027,0)+IF(ISNUMBER(P4027),P4027,0),2),"")</f>
        <v/>
      </c>
      <c r="S4027" s="9" t="str">
        <f aca="false">IF(R4027="","",ROUND(L4027-R4027,2))</f>
        <v/>
      </c>
      <c r="T4027" s="8" t="str">
        <f aca="false">IF(A4027="","",IF(S4027="","BYPASS",IF(ABS(S4027)&lt;=Summary!$B$2,"PASS","FAIL")))</f>
        <v/>
      </c>
      <c r="U4027" s="8" t="str">
        <f aca="false">IF(T4027="BYPASS",IF(NOT(ISNUMBER(Q4027)),"PreV_ETB missing","End_tr_balance missing"),IF(T4027="FAIL",IF(AND(ISNUMBER(K4027),ISNUMBER(L4027),ABS(L4027-(K4027-IF(ISNUMBER(N4027),N4027,0)-IF(ISNUMBER(O4027),O4027,0)+IF(ISNUMBER(P4027),P4027,0)))&lt;=Summary!$B$2),"Passes using beginning_balance - PreV_ETB differs from beginning_balance",IF(AND(ISNUMBER(O4027),O4027&lt;0,ABS(L4027-(Q4027-IF(ISNUMBER(N4027),N4027,0)+IF(ISNUMBER(P4027),P4027,0)))&lt;=Summary!$B$2),"Negative realized loss not applied - check sign",IF(R4027&lt;0,"Principal paid exceeds prior balance",IF(AND(L4027&gt;Q4027,NOT(ISNUMBER(P4027))),"Balance increased but no Deferred_interest reported",IF(L4027&gt;R4027,"Reported balance higher than expected (missing increase/OC build)","Reported balance lower than expected (missing decrease)"))))),""))</f>
        <v/>
      </c>
    </row>
    <row r="4028" customFormat="false" ht="15" hidden="false" customHeight="false" outlineLevel="0" collapsed="false">
      <c r="A4028" s="8"/>
      <c r="B4028" s="8"/>
      <c r="C4028" s="8"/>
      <c r="D4028" s="8"/>
      <c r="E4028" s="8"/>
      <c r="F4028" s="8"/>
      <c r="G4028" s="8"/>
      <c r="H4028" s="8"/>
      <c r="I4028" s="8"/>
      <c r="J4028" s="8"/>
      <c r="K4028" s="9"/>
      <c r="L4028" s="9"/>
      <c r="M4028" s="9"/>
      <c r="N4028" s="9"/>
      <c r="O4028" s="9"/>
      <c r="P4028" s="9"/>
      <c r="Q4028" s="9"/>
      <c r="R4028" s="9" t="str">
        <f aca="false">IF(AND(A4028&lt;&gt;"",ISNUMBER(Q4028),ISNUMBER(L4028)),ROUND(Q4028-IF(ISNUMBER(N4028),N4028,0)-IF(ISNUMBER(O4028),O4028,0)+IF(ISNUMBER(P4028),P4028,0),2),"")</f>
        <v/>
      </c>
      <c r="S4028" s="9" t="str">
        <f aca="false">IF(R4028="","",ROUND(L4028-R4028,2))</f>
        <v/>
      </c>
      <c r="T4028" s="8" t="str">
        <f aca="false">IF(A4028="","",IF(S4028="","BYPASS",IF(ABS(S4028)&lt;=Summary!$B$2,"PASS","FAIL")))</f>
        <v/>
      </c>
      <c r="U4028" s="8" t="str">
        <f aca="false">IF(T4028="BYPASS",IF(NOT(ISNUMBER(Q4028)),"PreV_ETB missing","End_tr_balance missing"),IF(T4028="FAIL",IF(AND(ISNUMBER(K4028),ISNUMBER(L4028),ABS(L4028-(K4028-IF(ISNUMBER(N4028),N4028,0)-IF(ISNUMBER(O4028),O4028,0)+IF(ISNUMBER(P4028),P4028,0)))&lt;=Summary!$B$2),"Passes using beginning_balance - PreV_ETB differs from beginning_balance",IF(AND(ISNUMBER(O4028),O4028&lt;0,ABS(L4028-(Q4028-IF(ISNUMBER(N4028),N4028,0)+IF(ISNUMBER(P4028),P4028,0)))&lt;=Summary!$B$2),"Negative realized loss not applied - check sign",IF(R4028&lt;0,"Principal paid exceeds prior balance",IF(AND(L4028&gt;Q4028,NOT(ISNUMBER(P4028))),"Balance increased but no Deferred_interest reported",IF(L4028&gt;R4028,"Reported balance higher than expected (missing increase/OC build)","Reported balance lower than expected (missing decrease)"))))),""))</f>
        <v/>
      </c>
    </row>
    <row r="4029" customFormat="false" ht="15" hidden="false" customHeight="false" outlineLevel="0" collapsed="false">
      <c r="A4029" s="8"/>
      <c r="B4029" s="8"/>
      <c r="C4029" s="8"/>
      <c r="D4029" s="8"/>
      <c r="E4029" s="8"/>
      <c r="F4029" s="8"/>
      <c r="G4029" s="8"/>
      <c r="H4029" s="8"/>
      <c r="I4029" s="8"/>
      <c r="J4029" s="8"/>
      <c r="K4029" s="9"/>
      <c r="L4029" s="9"/>
      <c r="M4029" s="9"/>
      <c r="N4029" s="9"/>
      <c r="O4029" s="9"/>
      <c r="P4029" s="9"/>
      <c r="Q4029" s="9"/>
      <c r="R4029" s="9" t="str">
        <f aca="false">IF(AND(A4029&lt;&gt;"",ISNUMBER(Q4029),ISNUMBER(L4029)),ROUND(Q4029-IF(ISNUMBER(N4029),N4029,0)-IF(ISNUMBER(O4029),O4029,0)+IF(ISNUMBER(P4029),P4029,0),2),"")</f>
        <v/>
      </c>
      <c r="S4029" s="9" t="str">
        <f aca="false">IF(R4029="","",ROUND(L4029-R4029,2))</f>
        <v/>
      </c>
      <c r="T4029" s="8" t="str">
        <f aca="false">IF(A4029="","",IF(S4029="","BYPASS",IF(ABS(S4029)&lt;=Summary!$B$2,"PASS","FAIL")))</f>
        <v/>
      </c>
      <c r="U4029" s="8" t="str">
        <f aca="false">IF(T4029="BYPASS",IF(NOT(ISNUMBER(Q4029)),"PreV_ETB missing","End_tr_balance missing"),IF(T4029="FAIL",IF(AND(ISNUMBER(K4029),ISNUMBER(L4029),ABS(L4029-(K4029-IF(ISNUMBER(N4029),N4029,0)-IF(ISNUMBER(O4029),O4029,0)+IF(ISNUMBER(P4029),P4029,0)))&lt;=Summary!$B$2),"Passes using beginning_balance - PreV_ETB differs from beginning_balance",IF(AND(ISNUMBER(O4029),O4029&lt;0,ABS(L4029-(Q4029-IF(ISNUMBER(N4029),N4029,0)+IF(ISNUMBER(P4029),P4029,0)))&lt;=Summary!$B$2),"Negative realized loss not applied - check sign",IF(R4029&lt;0,"Principal paid exceeds prior balance",IF(AND(L4029&gt;Q4029,NOT(ISNUMBER(P4029))),"Balance increased but no Deferred_interest reported",IF(L4029&gt;R4029,"Reported balance higher than expected (missing increase/OC build)","Reported balance lower than expected (missing decrease)"))))),""))</f>
        <v/>
      </c>
    </row>
    <row r="4030" customFormat="false" ht="15" hidden="false" customHeight="false" outlineLevel="0" collapsed="false">
      <c r="A4030" s="8"/>
      <c r="B4030" s="8"/>
      <c r="C4030" s="8"/>
      <c r="D4030" s="8"/>
      <c r="E4030" s="8"/>
      <c r="F4030" s="8"/>
      <c r="G4030" s="8"/>
      <c r="H4030" s="8"/>
      <c r="I4030" s="8"/>
      <c r="J4030" s="8"/>
      <c r="K4030" s="9"/>
      <c r="L4030" s="9"/>
      <c r="M4030" s="9"/>
      <c r="N4030" s="9"/>
      <c r="O4030" s="9"/>
      <c r="P4030" s="9"/>
      <c r="Q4030" s="9"/>
      <c r="R4030" s="9" t="str">
        <f aca="false">IF(AND(A4030&lt;&gt;"",ISNUMBER(Q4030),ISNUMBER(L4030)),ROUND(Q4030-IF(ISNUMBER(N4030),N4030,0)-IF(ISNUMBER(O4030),O4030,0)+IF(ISNUMBER(P4030),P4030,0),2),"")</f>
        <v/>
      </c>
      <c r="S4030" s="9" t="str">
        <f aca="false">IF(R4030="","",ROUND(L4030-R4030,2))</f>
        <v/>
      </c>
      <c r="T4030" s="8" t="str">
        <f aca="false">IF(A4030="","",IF(S4030="","BYPASS",IF(ABS(S4030)&lt;=Summary!$B$2,"PASS","FAIL")))</f>
        <v/>
      </c>
      <c r="U4030" s="8" t="str">
        <f aca="false">IF(T4030="BYPASS",IF(NOT(ISNUMBER(Q4030)),"PreV_ETB missing","End_tr_balance missing"),IF(T4030="FAIL",IF(AND(ISNUMBER(K4030),ISNUMBER(L4030),ABS(L4030-(K4030-IF(ISNUMBER(N4030),N4030,0)-IF(ISNUMBER(O4030),O4030,0)+IF(ISNUMBER(P4030),P4030,0)))&lt;=Summary!$B$2),"Passes using beginning_balance - PreV_ETB differs from beginning_balance",IF(AND(ISNUMBER(O4030),O4030&lt;0,ABS(L4030-(Q4030-IF(ISNUMBER(N4030),N4030,0)+IF(ISNUMBER(P4030),P4030,0)))&lt;=Summary!$B$2),"Negative realized loss not applied - check sign",IF(R4030&lt;0,"Principal paid exceeds prior balance",IF(AND(L4030&gt;Q4030,NOT(ISNUMBER(P4030))),"Balance increased but no Deferred_interest reported",IF(L4030&gt;R4030,"Reported balance higher than expected (missing increase/OC build)","Reported balance lower than expected (missing decrease)"))))),""))</f>
        <v/>
      </c>
    </row>
    <row r="4031" customFormat="false" ht="15" hidden="false" customHeight="false" outlineLevel="0" collapsed="false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9"/>
      <c r="L4031" s="9"/>
      <c r="M4031" s="9"/>
      <c r="N4031" s="9"/>
      <c r="O4031" s="9"/>
      <c r="P4031" s="9"/>
      <c r="Q4031" s="9"/>
      <c r="R4031" s="9" t="str">
        <f aca="false">IF(AND(A4031&lt;&gt;"",ISNUMBER(Q4031),ISNUMBER(L4031)),ROUND(Q4031-IF(ISNUMBER(N4031),N4031,0)-IF(ISNUMBER(O4031),O4031,0)+IF(ISNUMBER(P4031),P4031,0),2),"")</f>
        <v/>
      </c>
      <c r="S4031" s="9" t="str">
        <f aca="false">IF(R4031="","",ROUND(L4031-R4031,2))</f>
        <v/>
      </c>
      <c r="T4031" s="8" t="str">
        <f aca="false">IF(A4031="","",IF(S4031="","BYPASS",IF(ABS(S4031)&lt;=Summary!$B$2,"PASS","FAIL")))</f>
        <v/>
      </c>
      <c r="U4031" s="8" t="str">
        <f aca="false">IF(T4031="BYPASS",IF(NOT(ISNUMBER(Q4031)),"PreV_ETB missing","End_tr_balance missing"),IF(T4031="FAIL",IF(AND(ISNUMBER(K4031),ISNUMBER(L4031),ABS(L4031-(K4031-IF(ISNUMBER(N4031),N4031,0)-IF(ISNUMBER(O4031),O4031,0)+IF(ISNUMBER(P4031),P4031,0)))&lt;=Summary!$B$2),"Passes using beginning_balance - PreV_ETB differs from beginning_balance",IF(AND(ISNUMBER(O4031),O4031&lt;0,ABS(L4031-(Q4031-IF(ISNUMBER(N4031),N4031,0)+IF(ISNUMBER(P4031),P4031,0)))&lt;=Summary!$B$2),"Negative realized loss not applied - check sign",IF(R4031&lt;0,"Principal paid exceeds prior balance",IF(AND(L4031&gt;Q4031,NOT(ISNUMBER(P4031))),"Balance increased but no Deferred_interest reported",IF(L4031&gt;R4031,"Reported balance higher than expected (missing increase/OC build)","Reported balance lower than expected (missing decrease)"))))),""))</f>
        <v/>
      </c>
    </row>
    <row r="4032" customFormat="false" ht="15" hidden="false" customHeight="false" outlineLevel="0" collapsed="false">
      <c r="A4032" s="8"/>
      <c r="B4032" s="8"/>
      <c r="C4032" s="8"/>
      <c r="D4032" s="8"/>
      <c r="E4032" s="8"/>
      <c r="F4032" s="8"/>
      <c r="G4032" s="8"/>
      <c r="H4032" s="8"/>
      <c r="I4032" s="8"/>
      <c r="J4032" s="8"/>
      <c r="K4032" s="9"/>
      <c r="L4032" s="9"/>
      <c r="M4032" s="9"/>
      <c r="N4032" s="9"/>
      <c r="O4032" s="9"/>
      <c r="P4032" s="9"/>
      <c r="Q4032" s="9"/>
      <c r="R4032" s="9" t="str">
        <f aca="false">IF(AND(A4032&lt;&gt;"",ISNUMBER(Q4032),ISNUMBER(L4032)),ROUND(Q4032-IF(ISNUMBER(N4032),N4032,0)-IF(ISNUMBER(O4032),O4032,0)+IF(ISNUMBER(P4032),P4032,0),2),"")</f>
        <v/>
      </c>
      <c r="S4032" s="9" t="str">
        <f aca="false">IF(R4032="","",ROUND(L4032-R4032,2))</f>
        <v/>
      </c>
      <c r="T4032" s="8" t="str">
        <f aca="false">IF(A4032="","",IF(S4032="","BYPASS",IF(ABS(S4032)&lt;=Summary!$B$2,"PASS","FAIL")))</f>
        <v/>
      </c>
      <c r="U4032" s="8" t="str">
        <f aca="false">IF(T4032="BYPASS",IF(NOT(ISNUMBER(Q4032)),"PreV_ETB missing","End_tr_balance missing"),IF(T4032="FAIL",IF(AND(ISNUMBER(K4032),ISNUMBER(L4032),ABS(L4032-(K4032-IF(ISNUMBER(N4032),N4032,0)-IF(ISNUMBER(O4032),O4032,0)+IF(ISNUMBER(P4032),P4032,0)))&lt;=Summary!$B$2),"Passes using beginning_balance - PreV_ETB differs from beginning_balance",IF(AND(ISNUMBER(O4032),O4032&lt;0,ABS(L4032-(Q4032-IF(ISNUMBER(N4032),N4032,0)+IF(ISNUMBER(P4032),P4032,0)))&lt;=Summary!$B$2),"Negative realized loss not applied - check sign",IF(R4032&lt;0,"Principal paid exceeds prior balance",IF(AND(L4032&gt;Q4032,NOT(ISNUMBER(P4032))),"Balance increased but no Deferred_interest reported",IF(L4032&gt;R4032,"Reported balance higher than expected (missing increase/OC build)","Reported balance lower than expected (missing decrease)"))))),""))</f>
        <v/>
      </c>
    </row>
    <row r="4033" customFormat="false" ht="15" hidden="false" customHeight="false" outlineLevel="0" collapsed="false">
      <c r="A4033" s="8"/>
      <c r="B4033" s="8"/>
      <c r="C4033" s="8"/>
      <c r="D4033" s="8"/>
      <c r="E4033" s="8"/>
      <c r="F4033" s="8"/>
      <c r="G4033" s="8"/>
      <c r="H4033" s="8"/>
      <c r="I4033" s="8"/>
      <c r="J4033" s="8"/>
      <c r="K4033" s="9"/>
      <c r="L4033" s="9"/>
      <c r="M4033" s="9"/>
      <c r="N4033" s="9"/>
      <c r="O4033" s="9"/>
      <c r="P4033" s="9"/>
      <c r="Q4033" s="9"/>
      <c r="R4033" s="9" t="str">
        <f aca="false">IF(AND(A4033&lt;&gt;"",ISNUMBER(Q4033),ISNUMBER(L4033)),ROUND(Q4033-IF(ISNUMBER(N4033),N4033,0)-IF(ISNUMBER(O4033),O4033,0)+IF(ISNUMBER(P4033),P4033,0),2),"")</f>
        <v/>
      </c>
      <c r="S4033" s="9" t="str">
        <f aca="false">IF(R4033="","",ROUND(L4033-R4033,2))</f>
        <v/>
      </c>
      <c r="T4033" s="8" t="str">
        <f aca="false">IF(A4033="","",IF(S4033="","BYPASS",IF(ABS(S4033)&lt;=Summary!$B$2,"PASS","FAIL")))</f>
        <v/>
      </c>
      <c r="U4033" s="8" t="str">
        <f aca="false">IF(T4033="BYPASS",IF(NOT(ISNUMBER(Q4033)),"PreV_ETB missing","End_tr_balance missing"),IF(T4033="FAIL",IF(AND(ISNUMBER(K4033),ISNUMBER(L4033),ABS(L4033-(K4033-IF(ISNUMBER(N4033),N4033,0)-IF(ISNUMBER(O4033),O4033,0)+IF(ISNUMBER(P4033),P4033,0)))&lt;=Summary!$B$2),"Passes using beginning_balance - PreV_ETB differs from beginning_balance",IF(AND(ISNUMBER(O4033),O4033&lt;0,ABS(L4033-(Q4033-IF(ISNUMBER(N4033),N4033,0)+IF(ISNUMBER(P4033),P4033,0)))&lt;=Summary!$B$2),"Negative realized loss not applied - check sign",IF(R4033&lt;0,"Principal paid exceeds prior balance",IF(AND(L4033&gt;Q4033,NOT(ISNUMBER(P4033))),"Balance increased but no Deferred_interest reported",IF(L4033&gt;R4033,"Reported balance higher than expected (missing increase/OC build)","Reported balance lower than expected (missing decrease)"))))),""))</f>
        <v/>
      </c>
    </row>
    <row r="4034" customFormat="false" ht="15" hidden="false" customHeight="false" outlineLevel="0" collapsed="false">
      <c r="A4034" s="8"/>
      <c r="B4034" s="8"/>
      <c r="C4034" s="8"/>
      <c r="D4034" s="8"/>
      <c r="E4034" s="8"/>
      <c r="F4034" s="8"/>
      <c r="G4034" s="8"/>
      <c r="H4034" s="8"/>
      <c r="I4034" s="8"/>
      <c r="J4034" s="8"/>
      <c r="K4034" s="9"/>
      <c r="L4034" s="9"/>
      <c r="M4034" s="9"/>
      <c r="N4034" s="9"/>
      <c r="O4034" s="9"/>
      <c r="P4034" s="9"/>
      <c r="Q4034" s="9"/>
      <c r="R4034" s="9" t="str">
        <f aca="false">IF(AND(A4034&lt;&gt;"",ISNUMBER(Q4034),ISNUMBER(L4034)),ROUND(Q4034-IF(ISNUMBER(N4034),N4034,0)-IF(ISNUMBER(O4034),O4034,0)+IF(ISNUMBER(P4034),P4034,0),2),"")</f>
        <v/>
      </c>
      <c r="S4034" s="9" t="str">
        <f aca="false">IF(R4034="","",ROUND(L4034-R4034,2))</f>
        <v/>
      </c>
      <c r="T4034" s="8" t="str">
        <f aca="false">IF(A4034="","",IF(S4034="","BYPASS",IF(ABS(S4034)&lt;=Summary!$B$2,"PASS","FAIL")))</f>
        <v/>
      </c>
      <c r="U4034" s="8" t="str">
        <f aca="false">IF(T4034="BYPASS",IF(NOT(ISNUMBER(Q4034)),"PreV_ETB missing","End_tr_balance missing"),IF(T4034="FAIL",IF(AND(ISNUMBER(K4034),ISNUMBER(L4034),ABS(L4034-(K4034-IF(ISNUMBER(N4034),N4034,0)-IF(ISNUMBER(O4034),O4034,0)+IF(ISNUMBER(P4034),P4034,0)))&lt;=Summary!$B$2),"Passes using beginning_balance - PreV_ETB differs from beginning_balance",IF(AND(ISNUMBER(O4034),O4034&lt;0,ABS(L4034-(Q4034-IF(ISNUMBER(N4034),N4034,0)+IF(ISNUMBER(P4034),P4034,0)))&lt;=Summary!$B$2),"Negative realized loss not applied - check sign",IF(R4034&lt;0,"Principal paid exceeds prior balance",IF(AND(L4034&gt;Q4034,NOT(ISNUMBER(P4034))),"Balance increased but no Deferred_interest reported",IF(L4034&gt;R4034,"Reported balance higher than expected (missing increase/OC build)","Reported balance lower than expected (missing decrease)"))))),""))</f>
        <v/>
      </c>
    </row>
    <row r="4035" customFormat="false" ht="15" hidden="false" customHeight="false" outlineLevel="0" collapsed="false">
      <c r="A4035" s="8"/>
      <c r="B4035" s="8"/>
      <c r="C4035" s="8"/>
      <c r="D4035" s="8"/>
      <c r="E4035" s="8"/>
      <c r="F4035" s="8"/>
      <c r="G4035" s="8"/>
      <c r="H4035" s="8"/>
      <c r="I4035" s="8"/>
      <c r="J4035" s="8"/>
      <c r="K4035" s="9"/>
      <c r="L4035" s="9"/>
      <c r="M4035" s="9"/>
      <c r="N4035" s="9"/>
      <c r="O4035" s="9"/>
      <c r="P4035" s="9"/>
      <c r="Q4035" s="9"/>
      <c r="R4035" s="9" t="str">
        <f aca="false">IF(AND(A4035&lt;&gt;"",ISNUMBER(Q4035),ISNUMBER(L4035)),ROUND(Q4035-IF(ISNUMBER(N4035),N4035,0)-IF(ISNUMBER(O4035),O4035,0)+IF(ISNUMBER(P4035),P4035,0),2),"")</f>
        <v/>
      </c>
      <c r="S4035" s="9" t="str">
        <f aca="false">IF(R4035="","",ROUND(L4035-R4035,2))</f>
        <v/>
      </c>
      <c r="T4035" s="8" t="str">
        <f aca="false">IF(A4035="","",IF(S4035="","BYPASS",IF(ABS(S4035)&lt;=Summary!$B$2,"PASS","FAIL")))</f>
        <v/>
      </c>
      <c r="U4035" s="8" t="str">
        <f aca="false">IF(T4035="BYPASS",IF(NOT(ISNUMBER(Q4035)),"PreV_ETB missing","End_tr_balance missing"),IF(T4035="FAIL",IF(AND(ISNUMBER(K4035),ISNUMBER(L4035),ABS(L4035-(K4035-IF(ISNUMBER(N4035),N4035,0)-IF(ISNUMBER(O4035),O4035,0)+IF(ISNUMBER(P4035),P4035,0)))&lt;=Summary!$B$2),"Passes using beginning_balance - PreV_ETB differs from beginning_balance",IF(AND(ISNUMBER(O4035),O4035&lt;0,ABS(L4035-(Q4035-IF(ISNUMBER(N4035),N4035,0)+IF(ISNUMBER(P4035),P4035,0)))&lt;=Summary!$B$2),"Negative realized loss not applied - check sign",IF(R4035&lt;0,"Principal paid exceeds prior balance",IF(AND(L4035&gt;Q4035,NOT(ISNUMBER(P4035))),"Balance increased but no Deferred_interest reported",IF(L4035&gt;R4035,"Reported balance higher than expected (missing increase/OC build)","Reported balance lower than expected (missing decrease)"))))),""))</f>
        <v/>
      </c>
    </row>
    <row r="4036" customFormat="false" ht="15" hidden="false" customHeight="false" outlineLevel="0" collapsed="false">
      <c r="A4036" s="8"/>
      <c r="B4036" s="8"/>
      <c r="C4036" s="8"/>
      <c r="D4036" s="8"/>
      <c r="E4036" s="8"/>
      <c r="F4036" s="8"/>
      <c r="G4036" s="8"/>
      <c r="H4036" s="8"/>
      <c r="I4036" s="8"/>
      <c r="J4036" s="8"/>
      <c r="K4036" s="9"/>
      <c r="L4036" s="9"/>
      <c r="M4036" s="9"/>
      <c r="N4036" s="9"/>
      <c r="O4036" s="9"/>
      <c r="P4036" s="9"/>
      <c r="Q4036" s="9"/>
      <c r="R4036" s="9" t="str">
        <f aca="false">IF(AND(A4036&lt;&gt;"",ISNUMBER(Q4036),ISNUMBER(L4036)),ROUND(Q4036-IF(ISNUMBER(N4036),N4036,0)-IF(ISNUMBER(O4036),O4036,0)+IF(ISNUMBER(P4036),P4036,0),2),"")</f>
        <v/>
      </c>
      <c r="S4036" s="9" t="str">
        <f aca="false">IF(R4036="","",ROUND(L4036-R4036,2))</f>
        <v/>
      </c>
      <c r="T4036" s="8" t="str">
        <f aca="false">IF(A4036="","",IF(S4036="","BYPASS",IF(ABS(S4036)&lt;=Summary!$B$2,"PASS","FAIL")))</f>
        <v/>
      </c>
      <c r="U4036" s="8" t="str">
        <f aca="false">IF(T4036="BYPASS",IF(NOT(ISNUMBER(Q4036)),"PreV_ETB missing","End_tr_balance missing"),IF(T4036="FAIL",IF(AND(ISNUMBER(K4036),ISNUMBER(L4036),ABS(L4036-(K4036-IF(ISNUMBER(N4036),N4036,0)-IF(ISNUMBER(O4036),O4036,0)+IF(ISNUMBER(P4036),P4036,0)))&lt;=Summary!$B$2),"Passes using beginning_balance - PreV_ETB differs from beginning_balance",IF(AND(ISNUMBER(O4036),O4036&lt;0,ABS(L4036-(Q4036-IF(ISNUMBER(N4036),N4036,0)+IF(ISNUMBER(P4036),P4036,0)))&lt;=Summary!$B$2),"Negative realized loss not applied - check sign",IF(R4036&lt;0,"Principal paid exceeds prior balance",IF(AND(L4036&gt;Q4036,NOT(ISNUMBER(P4036))),"Balance increased but no Deferred_interest reported",IF(L4036&gt;R4036,"Reported balance higher than expected (missing increase/OC build)","Reported balance lower than expected (missing decrease)"))))),""))</f>
        <v/>
      </c>
    </row>
    <row r="4037" customFormat="false" ht="15" hidden="false" customHeight="false" outlineLevel="0" collapsed="false">
      <c r="A4037" s="8"/>
      <c r="B4037" s="8"/>
      <c r="C4037" s="8"/>
      <c r="D4037" s="8"/>
      <c r="E4037" s="8"/>
      <c r="F4037" s="8"/>
      <c r="G4037" s="8"/>
      <c r="H4037" s="8"/>
      <c r="I4037" s="8"/>
      <c r="J4037" s="8"/>
      <c r="K4037" s="9"/>
      <c r="L4037" s="9"/>
      <c r="M4037" s="9"/>
      <c r="N4037" s="9"/>
      <c r="O4037" s="9"/>
      <c r="P4037" s="9"/>
      <c r="Q4037" s="9"/>
      <c r="R4037" s="9" t="str">
        <f aca="false">IF(AND(A4037&lt;&gt;"",ISNUMBER(Q4037),ISNUMBER(L4037)),ROUND(Q4037-IF(ISNUMBER(N4037),N4037,0)-IF(ISNUMBER(O4037),O4037,0)+IF(ISNUMBER(P4037),P4037,0),2),"")</f>
        <v/>
      </c>
      <c r="S4037" s="9" t="str">
        <f aca="false">IF(R4037="","",ROUND(L4037-R4037,2))</f>
        <v/>
      </c>
      <c r="T4037" s="8" t="str">
        <f aca="false">IF(A4037="","",IF(S4037="","BYPASS",IF(ABS(S4037)&lt;=Summary!$B$2,"PASS","FAIL")))</f>
        <v/>
      </c>
      <c r="U4037" s="8" t="str">
        <f aca="false">IF(T4037="BYPASS",IF(NOT(ISNUMBER(Q4037)),"PreV_ETB missing","End_tr_balance missing"),IF(T4037="FAIL",IF(AND(ISNUMBER(K4037),ISNUMBER(L4037),ABS(L4037-(K4037-IF(ISNUMBER(N4037),N4037,0)-IF(ISNUMBER(O4037),O4037,0)+IF(ISNUMBER(P4037),P4037,0)))&lt;=Summary!$B$2),"Passes using beginning_balance - PreV_ETB differs from beginning_balance",IF(AND(ISNUMBER(O4037),O4037&lt;0,ABS(L4037-(Q4037-IF(ISNUMBER(N4037),N4037,0)+IF(ISNUMBER(P4037),P4037,0)))&lt;=Summary!$B$2),"Negative realized loss not applied - check sign",IF(R4037&lt;0,"Principal paid exceeds prior balance",IF(AND(L4037&gt;Q4037,NOT(ISNUMBER(P4037))),"Balance increased but no Deferred_interest reported",IF(L4037&gt;R4037,"Reported balance higher than expected (missing increase/OC build)","Reported balance lower than expected (missing decrease)"))))),""))</f>
        <v/>
      </c>
    </row>
    <row r="4038" customFormat="false" ht="15" hidden="false" customHeight="false" outlineLevel="0" collapsed="false">
      <c r="A4038" s="8"/>
      <c r="B4038" s="8"/>
      <c r="C4038" s="8"/>
      <c r="D4038" s="8"/>
      <c r="E4038" s="8"/>
      <c r="F4038" s="8"/>
      <c r="G4038" s="8"/>
      <c r="H4038" s="8"/>
      <c r="I4038" s="8"/>
      <c r="J4038" s="8"/>
      <c r="K4038" s="9"/>
      <c r="L4038" s="9"/>
      <c r="M4038" s="9"/>
      <c r="N4038" s="9"/>
      <c r="O4038" s="9"/>
      <c r="P4038" s="9"/>
      <c r="Q4038" s="9"/>
      <c r="R4038" s="9" t="str">
        <f aca="false">IF(AND(A4038&lt;&gt;"",ISNUMBER(Q4038),ISNUMBER(L4038)),ROUND(Q4038-IF(ISNUMBER(N4038),N4038,0)-IF(ISNUMBER(O4038),O4038,0)+IF(ISNUMBER(P4038),P4038,0),2),"")</f>
        <v/>
      </c>
      <c r="S4038" s="9" t="str">
        <f aca="false">IF(R4038="","",ROUND(L4038-R4038,2))</f>
        <v/>
      </c>
      <c r="T4038" s="8" t="str">
        <f aca="false">IF(A4038="","",IF(S4038="","BYPASS",IF(ABS(S4038)&lt;=Summary!$B$2,"PASS","FAIL")))</f>
        <v/>
      </c>
      <c r="U4038" s="8" t="str">
        <f aca="false">IF(T4038="BYPASS",IF(NOT(ISNUMBER(Q4038)),"PreV_ETB missing","End_tr_balance missing"),IF(T4038="FAIL",IF(AND(ISNUMBER(K4038),ISNUMBER(L4038),ABS(L4038-(K4038-IF(ISNUMBER(N4038),N4038,0)-IF(ISNUMBER(O4038),O4038,0)+IF(ISNUMBER(P4038),P4038,0)))&lt;=Summary!$B$2),"Passes using beginning_balance - PreV_ETB differs from beginning_balance",IF(AND(ISNUMBER(O4038),O4038&lt;0,ABS(L4038-(Q4038-IF(ISNUMBER(N4038),N4038,0)+IF(ISNUMBER(P4038),P4038,0)))&lt;=Summary!$B$2),"Negative realized loss not applied - check sign",IF(R4038&lt;0,"Principal paid exceeds prior balance",IF(AND(L4038&gt;Q4038,NOT(ISNUMBER(P4038))),"Balance increased but no Deferred_interest reported",IF(L4038&gt;R4038,"Reported balance higher than expected (missing increase/OC build)","Reported balance lower than expected (missing decrease)"))))),""))</f>
        <v/>
      </c>
    </row>
    <row r="4039" customFormat="false" ht="15" hidden="false" customHeight="false" outlineLevel="0" collapsed="false">
      <c r="A4039" s="8"/>
      <c r="B4039" s="8"/>
      <c r="C4039" s="8"/>
      <c r="D4039" s="8"/>
      <c r="E4039" s="8"/>
      <c r="F4039" s="8"/>
      <c r="G4039" s="8"/>
      <c r="H4039" s="8"/>
      <c r="I4039" s="8"/>
      <c r="J4039" s="8"/>
      <c r="K4039" s="9"/>
      <c r="L4039" s="9"/>
      <c r="M4039" s="9"/>
      <c r="N4039" s="9"/>
      <c r="O4039" s="9"/>
      <c r="P4039" s="9"/>
      <c r="Q4039" s="9"/>
      <c r="R4039" s="9" t="str">
        <f aca="false">IF(AND(A4039&lt;&gt;"",ISNUMBER(Q4039),ISNUMBER(L4039)),ROUND(Q4039-IF(ISNUMBER(N4039),N4039,0)-IF(ISNUMBER(O4039),O4039,0)+IF(ISNUMBER(P4039),P4039,0),2),"")</f>
        <v/>
      </c>
      <c r="S4039" s="9" t="str">
        <f aca="false">IF(R4039="","",ROUND(L4039-R4039,2))</f>
        <v/>
      </c>
      <c r="T4039" s="8" t="str">
        <f aca="false">IF(A4039="","",IF(S4039="","BYPASS",IF(ABS(S4039)&lt;=Summary!$B$2,"PASS","FAIL")))</f>
        <v/>
      </c>
      <c r="U4039" s="8" t="str">
        <f aca="false">IF(T4039="BYPASS",IF(NOT(ISNUMBER(Q4039)),"PreV_ETB missing","End_tr_balance missing"),IF(T4039="FAIL",IF(AND(ISNUMBER(K4039),ISNUMBER(L4039),ABS(L4039-(K4039-IF(ISNUMBER(N4039),N4039,0)-IF(ISNUMBER(O4039),O4039,0)+IF(ISNUMBER(P4039),P4039,0)))&lt;=Summary!$B$2),"Passes using beginning_balance - PreV_ETB differs from beginning_balance",IF(AND(ISNUMBER(O4039),O4039&lt;0,ABS(L4039-(Q4039-IF(ISNUMBER(N4039),N4039,0)+IF(ISNUMBER(P4039),P4039,0)))&lt;=Summary!$B$2),"Negative realized loss not applied - check sign",IF(R4039&lt;0,"Principal paid exceeds prior balance",IF(AND(L4039&gt;Q4039,NOT(ISNUMBER(P4039))),"Balance increased but no Deferred_interest reported",IF(L4039&gt;R4039,"Reported balance higher than expected (missing increase/OC build)","Reported balance lower than expected (missing decrease)"))))),""))</f>
        <v/>
      </c>
    </row>
    <row r="4040" customFormat="false" ht="15" hidden="false" customHeight="false" outlineLevel="0" collapsed="false">
      <c r="A4040" s="8"/>
      <c r="B4040" s="8"/>
      <c r="C4040" s="8"/>
      <c r="D4040" s="8"/>
      <c r="E4040" s="8"/>
      <c r="F4040" s="8"/>
      <c r="G4040" s="8"/>
      <c r="H4040" s="8"/>
      <c r="I4040" s="8"/>
      <c r="J4040" s="8"/>
      <c r="K4040" s="9"/>
      <c r="L4040" s="9"/>
      <c r="M4040" s="9"/>
      <c r="N4040" s="9"/>
      <c r="O4040" s="9"/>
      <c r="P4040" s="9"/>
      <c r="Q4040" s="9"/>
      <c r="R4040" s="9" t="str">
        <f aca="false">IF(AND(A4040&lt;&gt;"",ISNUMBER(Q4040),ISNUMBER(L4040)),ROUND(Q4040-IF(ISNUMBER(N4040),N4040,0)-IF(ISNUMBER(O4040),O4040,0)+IF(ISNUMBER(P4040),P4040,0),2),"")</f>
        <v/>
      </c>
      <c r="S4040" s="9" t="str">
        <f aca="false">IF(R4040="","",ROUND(L4040-R4040,2))</f>
        <v/>
      </c>
      <c r="T4040" s="8" t="str">
        <f aca="false">IF(A4040="","",IF(S4040="","BYPASS",IF(ABS(S4040)&lt;=Summary!$B$2,"PASS","FAIL")))</f>
        <v/>
      </c>
      <c r="U4040" s="8" t="str">
        <f aca="false">IF(T4040="BYPASS",IF(NOT(ISNUMBER(Q4040)),"PreV_ETB missing","End_tr_balance missing"),IF(T4040="FAIL",IF(AND(ISNUMBER(K4040),ISNUMBER(L4040),ABS(L4040-(K4040-IF(ISNUMBER(N4040),N4040,0)-IF(ISNUMBER(O4040),O4040,0)+IF(ISNUMBER(P4040),P4040,0)))&lt;=Summary!$B$2),"Passes using beginning_balance - PreV_ETB differs from beginning_balance",IF(AND(ISNUMBER(O4040),O4040&lt;0,ABS(L4040-(Q4040-IF(ISNUMBER(N4040),N4040,0)+IF(ISNUMBER(P4040),P4040,0)))&lt;=Summary!$B$2),"Negative realized loss not applied - check sign",IF(R4040&lt;0,"Principal paid exceeds prior balance",IF(AND(L4040&gt;Q4040,NOT(ISNUMBER(P4040))),"Balance increased but no Deferred_interest reported",IF(L4040&gt;R4040,"Reported balance higher than expected (missing increase/OC build)","Reported balance lower than expected (missing decrease)"))))),""))</f>
        <v/>
      </c>
    </row>
    <row r="4041" customFormat="false" ht="15" hidden="false" customHeight="false" outlineLevel="0" collapsed="false">
      <c r="A4041" s="8"/>
      <c r="B4041" s="8"/>
      <c r="C4041" s="8"/>
      <c r="D4041" s="8"/>
      <c r="E4041" s="8"/>
      <c r="F4041" s="8"/>
      <c r="G4041" s="8"/>
      <c r="H4041" s="8"/>
      <c r="I4041" s="8"/>
      <c r="J4041" s="8"/>
      <c r="K4041" s="9"/>
      <c r="L4041" s="9"/>
      <c r="M4041" s="9"/>
      <c r="N4041" s="9"/>
      <c r="O4041" s="9"/>
      <c r="P4041" s="9"/>
      <c r="Q4041" s="9"/>
      <c r="R4041" s="9" t="str">
        <f aca="false">IF(AND(A4041&lt;&gt;"",ISNUMBER(Q4041),ISNUMBER(L4041)),ROUND(Q4041-IF(ISNUMBER(N4041),N4041,0)-IF(ISNUMBER(O4041),O4041,0)+IF(ISNUMBER(P4041),P4041,0),2),"")</f>
        <v/>
      </c>
      <c r="S4041" s="9" t="str">
        <f aca="false">IF(R4041="","",ROUND(L4041-R4041,2))</f>
        <v/>
      </c>
      <c r="T4041" s="8" t="str">
        <f aca="false">IF(A4041="","",IF(S4041="","BYPASS",IF(ABS(S4041)&lt;=Summary!$B$2,"PASS","FAIL")))</f>
        <v/>
      </c>
      <c r="U4041" s="8" t="str">
        <f aca="false">IF(T4041="BYPASS",IF(NOT(ISNUMBER(Q4041)),"PreV_ETB missing","End_tr_balance missing"),IF(T4041="FAIL",IF(AND(ISNUMBER(K4041),ISNUMBER(L4041),ABS(L4041-(K4041-IF(ISNUMBER(N4041),N4041,0)-IF(ISNUMBER(O4041),O4041,0)+IF(ISNUMBER(P4041),P4041,0)))&lt;=Summary!$B$2),"Passes using beginning_balance - PreV_ETB differs from beginning_balance",IF(AND(ISNUMBER(O4041),O4041&lt;0,ABS(L4041-(Q4041-IF(ISNUMBER(N4041),N4041,0)+IF(ISNUMBER(P4041),P4041,0)))&lt;=Summary!$B$2),"Negative realized loss not applied - check sign",IF(R4041&lt;0,"Principal paid exceeds prior balance",IF(AND(L4041&gt;Q4041,NOT(ISNUMBER(P4041))),"Balance increased but no Deferred_interest reported",IF(L4041&gt;R4041,"Reported balance higher than expected (missing increase/OC build)","Reported balance lower than expected (missing decrease)"))))),""))</f>
        <v/>
      </c>
    </row>
    <row r="4042" customFormat="false" ht="15" hidden="false" customHeight="false" outlineLevel="0" collapsed="false">
      <c r="A4042" s="8"/>
      <c r="B4042" s="8"/>
      <c r="C4042" s="8"/>
      <c r="D4042" s="8"/>
      <c r="E4042" s="8"/>
      <c r="F4042" s="8"/>
      <c r="G4042" s="8"/>
      <c r="H4042" s="8"/>
      <c r="I4042" s="8"/>
      <c r="J4042" s="8"/>
      <c r="K4042" s="9"/>
      <c r="L4042" s="9"/>
      <c r="M4042" s="9"/>
      <c r="N4042" s="9"/>
      <c r="O4042" s="9"/>
      <c r="P4042" s="9"/>
      <c r="Q4042" s="9"/>
      <c r="R4042" s="9" t="str">
        <f aca="false">IF(AND(A4042&lt;&gt;"",ISNUMBER(Q4042),ISNUMBER(L4042)),ROUND(Q4042-IF(ISNUMBER(N4042),N4042,0)-IF(ISNUMBER(O4042),O4042,0)+IF(ISNUMBER(P4042),P4042,0),2),"")</f>
        <v/>
      </c>
      <c r="S4042" s="9" t="str">
        <f aca="false">IF(R4042="","",ROUND(L4042-R4042,2))</f>
        <v/>
      </c>
      <c r="T4042" s="8" t="str">
        <f aca="false">IF(A4042="","",IF(S4042="","BYPASS",IF(ABS(S4042)&lt;=Summary!$B$2,"PASS","FAIL")))</f>
        <v/>
      </c>
      <c r="U4042" s="8" t="str">
        <f aca="false">IF(T4042="BYPASS",IF(NOT(ISNUMBER(Q4042)),"PreV_ETB missing","End_tr_balance missing"),IF(T4042="FAIL",IF(AND(ISNUMBER(K4042),ISNUMBER(L4042),ABS(L4042-(K4042-IF(ISNUMBER(N4042),N4042,0)-IF(ISNUMBER(O4042),O4042,0)+IF(ISNUMBER(P4042),P4042,0)))&lt;=Summary!$B$2),"Passes using beginning_balance - PreV_ETB differs from beginning_balance",IF(AND(ISNUMBER(O4042),O4042&lt;0,ABS(L4042-(Q4042-IF(ISNUMBER(N4042),N4042,0)+IF(ISNUMBER(P4042),P4042,0)))&lt;=Summary!$B$2),"Negative realized loss not applied - check sign",IF(R4042&lt;0,"Principal paid exceeds prior balance",IF(AND(L4042&gt;Q4042,NOT(ISNUMBER(P4042))),"Balance increased but no Deferred_interest reported",IF(L4042&gt;R4042,"Reported balance higher than expected (missing increase/OC build)","Reported balance lower than expected (missing decrease)"))))),""))</f>
        <v/>
      </c>
    </row>
    <row r="4043" customFormat="false" ht="15" hidden="false" customHeight="false" outlineLevel="0" collapsed="false">
      <c r="A4043" s="8"/>
      <c r="B4043" s="8"/>
      <c r="C4043" s="8"/>
      <c r="D4043" s="8"/>
      <c r="E4043" s="8"/>
      <c r="F4043" s="8"/>
      <c r="G4043" s="8"/>
      <c r="H4043" s="8"/>
      <c r="I4043" s="8"/>
      <c r="J4043" s="8"/>
      <c r="K4043" s="9"/>
      <c r="L4043" s="9"/>
      <c r="M4043" s="9"/>
      <c r="N4043" s="9"/>
      <c r="O4043" s="9"/>
      <c r="P4043" s="9"/>
      <c r="Q4043" s="9"/>
      <c r="R4043" s="9" t="str">
        <f aca="false">IF(AND(A4043&lt;&gt;"",ISNUMBER(Q4043),ISNUMBER(L4043)),ROUND(Q4043-IF(ISNUMBER(N4043),N4043,0)-IF(ISNUMBER(O4043),O4043,0)+IF(ISNUMBER(P4043),P4043,0),2),"")</f>
        <v/>
      </c>
      <c r="S4043" s="9" t="str">
        <f aca="false">IF(R4043="","",ROUND(L4043-R4043,2))</f>
        <v/>
      </c>
      <c r="T4043" s="8" t="str">
        <f aca="false">IF(A4043="","",IF(S4043="","BYPASS",IF(ABS(S4043)&lt;=Summary!$B$2,"PASS","FAIL")))</f>
        <v/>
      </c>
      <c r="U4043" s="8" t="str">
        <f aca="false">IF(T4043="BYPASS",IF(NOT(ISNUMBER(Q4043)),"PreV_ETB missing","End_tr_balance missing"),IF(T4043="FAIL",IF(AND(ISNUMBER(K4043),ISNUMBER(L4043),ABS(L4043-(K4043-IF(ISNUMBER(N4043),N4043,0)-IF(ISNUMBER(O4043),O4043,0)+IF(ISNUMBER(P4043),P4043,0)))&lt;=Summary!$B$2),"Passes using beginning_balance - PreV_ETB differs from beginning_balance",IF(AND(ISNUMBER(O4043),O4043&lt;0,ABS(L4043-(Q4043-IF(ISNUMBER(N4043),N4043,0)+IF(ISNUMBER(P4043),P4043,0)))&lt;=Summary!$B$2),"Negative realized loss not applied - check sign",IF(R4043&lt;0,"Principal paid exceeds prior balance",IF(AND(L4043&gt;Q4043,NOT(ISNUMBER(P4043))),"Balance increased but no Deferred_interest reported",IF(L4043&gt;R4043,"Reported balance higher than expected (missing increase/OC build)","Reported balance lower than expected (missing decrease)"))))),""))</f>
        <v/>
      </c>
    </row>
    <row r="4044" customFormat="false" ht="15" hidden="false" customHeight="false" outlineLevel="0" collapsed="false">
      <c r="A4044" s="8"/>
      <c r="B4044" s="8"/>
      <c r="C4044" s="8"/>
      <c r="D4044" s="8"/>
      <c r="E4044" s="8"/>
      <c r="F4044" s="8"/>
      <c r="G4044" s="8"/>
      <c r="H4044" s="8"/>
      <c r="I4044" s="8"/>
      <c r="J4044" s="8"/>
      <c r="K4044" s="9"/>
      <c r="L4044" s="9"/>
      <c r="M4044" s="9"/>
      <c r="N4044" s="9"/>
      <c r="O4044" s="9"/>
      <c r="P4044" s="9"/>
      <c r="Q4044" s="9"/>
      <c r="R4044" s="9" t="str">
        <f aca="false">IF(AND(A4044&lt;&gt;"",ISNUMBER(Q4044),ISNUMBER(L4044)),ROUND(Q4044-IF(ISNUMBER(N4044),N4044,0)-IF(ISNUMBER(O4044),O4044,0)+IF(ISNUMBER(P4044),P4044,0),2),"")</f>
        <v/>
      </c>
      <c r="S4044" s="9" t="str">
        <f aca="false">IF(R4044="","",ROUND(L4044-R4044,2))</f>
        <v/>
      </c>
      <c r="T4044" s="8" t="str">
        <f aca="false">IF(A4044="","",IF(S4044="","BYPASS",IF(ABS(S4044)&lt;=Summary!$B$2,"PASS","FAIL")))</f>
        <v/>
      </c>
      <c r="U4044" s="8" t="str">
        <f aca="false">IF(T4044="BYPASS",IF(NOT(ISNUMBER(Q4044)),"PreV_ETB missing","End_tr_balance missing"),IF(T4044="FAIL",IF(AND(ISNUMBER(K4044),ISNUMBER(L4044),ABS(L4044-(K4044-IF(ISNUMBER(N4044),N4044,0)-IF(ISNUMBER(O4044),O4044,0)+IF(ISNUMBER(P4044),P4044,0)))&lt;=Summary!$B$2),"Passes using beginning_balance - PreV_ETB differs from beginning_balance",IF(AND(ISNUMBER(O4044),O4044&lt;0,ABS(L4044-(Q4044-IF(ISNUMBER(N4044),N4044,0)+IF(ISNUMBER(P4044),P4044,0)))&lt;=Summary!$B$2),"Negative realized loss not applied - check sign",IF(R4044&lt;0,"Principal paid exceeds prior balance",IF(AND(L4044&gt;Q4044,NOT(ISNUMBER(P4044))),"Balance increased but no Deferred_interest reported",IF(L4044&gt;R4044,"Reported balance higher than expected (missing increase/OC build)","Reported balance lower than expected (missing decrease)"))))),""))</f>
        <v/>
      </c>
    </row>
    <row r="4045" customFormat="false" ht="15" hidden="false" customHeight="false" outlineLevel="0" collapsed="false">
      <c r="A4045" s="8"/>
      <c r="B4045" s="8"/>
      <c r="C4045" s="8"/>
      <c r="D4045" s="8"/>
      <c r="E4045" s="8"/>
      <c r="F4045" s="8"/>
      <c r="G4045" s="8"/>
      <c r="H4045" s="8"/>
      <c r="I4045" s="8"/>
      <c r="J4045" s="8"/>
      <c r="K4045" s="9"/>
      <c r="L4045" s="9"/>
      <c r="M4045" s="9"/>
      <c r="N4045" s="9"/>
      <c r="O4045" s="9"/>
      <c r="P4045" s="9"/>
      <c r="Q4045" s="9"/>
      <c r="R4045" s="9" t="str">
        <f aca="false">IF(AND(A4045&lt;&gt;"",ISNUMBER(Q4045),ISNUMBER(L4045)),ROUND(Q4045-IF(ISNUMBER(N4045),N4045,0)-IF(ISNUMBER(O4045),O4045,0)+IF(ISNUMBER(P4045),P4045,0),2),"")</f>
        <v/>
      </c>
      <c r="S4045" s="9" t="str">
        <f aca="false">IF(R4045="","",ROUND(L4045-R4045,2))</f>
        <v/>
      </c>
      <c r="T4045" s="8" t="str">
        <f aca="false">IF(A4045="","",IF(S4045="","BYPASS",IF(ABS(S4045)&lt;=Summary!$B$2,"PASS","FAIL")))</f>
        <v/>
      </c>
      <c r="U4045" s="8" t="str">
        <f aca="false">IF(T4045="BYPASS",IF(NOT(ISNUMBER(Q4045)),"PreV_ETB missing","End_tr_balance missing"),IF(T4045="FAIL",IF(AND(ISNUMBER(K4045),ISNUMBER(L4045),ABS(L4045-(K4045-IF(ISNUMBER(N4045),N4045,0)-IF(ISNUMBER(O4045),O4045,0)+IF(ISNUMBER(P4045),P4045,0)))&lt;=Summary!$B$2),"Passes using beginning_balance - PreV_ETB differs from beginning_balance",IF(AND(ISNUMBER(O4045),O4045&lt;0,ABS(L4045-(Q4045-IF(ISNUMBER(N4045),N4045,0)+IF(ISNUMBER(P4045),P4045,0)))&lt;=Summary!$B$2),"Negative realized loss not applied - check sign",IF(R4045&lt;0,"Principal paid exceeds prior balance",IF(AND(L4045&gt;Q4045,NOT(ISNUMBER(P4045))),"Balance increased but no Deferred_interest reported",IF(L4045&gt;R4045,"Reported balance higher than expected (missing increase/OC build)","Reported balance lower than expected (missing decrease)"))))),""))</f>
        <v/>
      </c>
    </row>
    <row r="4046" customFormat="false" ht="15" hidden="false" customHeight="false" outlineLevel="0" collapsed="false">
      <c r="A4046" s="8"/>
      <c r="B4046" s="8"/>
      <c r="C4046" s="8"/>
      <c r="D4046" s="8"/>
      <c r="E4046" s="8"/>
      <c r="F4046" s="8"/>
      <c r="G4046" s="8"/>
      <c r="H4046" s="8"/>
      <c r="I4046" s="8"/>
      <c r="J4046" s="8"/>
      <c r="K4046" s="9"/>
      <c r="L4046" s="9"/>
      <c r="M4046" s="9"/>
      <c r="N4046" s="9"/>
      <c r="O4046" s="9"/>
      <c r="P4046" s="9"/>
      <c r="Q4046" s="9"/>
      <c r="R4046" s="9" t="str">
        <f aca="false">IF(AND(A4046&lt;&gt;"",ISNUMBER(Q4046),ISNUMBER(L4046)),ROUND(Q4046-IF(ISNUMBER(N4046),N4046,0)-IF(ISNUMBER(O4046),O4046,0)+IF(ISNUMBER(P4046),P4046,0),2),"")</f>
        <v/>
      </c>
      <c r="S4046" s="9" t="str">
        <f aca="false">IF(R4046="","",ROUND(L4046-R4046,2))</f>
        <v/>
      </c>
      <c r="T4046" s="8" t="str">
        <f aca="false">IF(A4046="","",IF(S4046="","BYPASS",IF(ABS(S4046)&lt;=Summary!$B$2,"PASS","FAIL")))</f>
        <v/>
      </c>
      <c r="U4046" s="8" t="str">
        <f aca="false">IF(T4046="BYPASS",IF(NOT(ISNUMBER(Q4046)),"PreV_ETB missing","End_tr_balance missing"),IF(T4046="FAIL",IF(AND(ISNUMBER(K4046),ISNUMBER(L4046),ABS(L4046-(K4046-IF(ISNUMBER(N4046),N4046,0)-IF(ISNUMBER(O4046),O4046,0)+IF(ISNUMBER(P4046),P4046,0)))&lt;=Summary!$B$2),"Passes using beginning_balance - PreV_ETB differs from beginning_balance",IF(AND(ISNUMBER(O4046),O4046&lt;0,ABS(L4046-(Q4046-IF(ISNUMBER(N4046),N4046,0)+IF(ISNUMBER(P4046),P4046,0)))&lt;=Summary!$B$2),"Negative realized loss not applied - check sign",IF(R4046&lt;0,"Principal paid exceeds prior balance",IF(AND(L4046&gt;Q4046,NOT(ISNUMBER(P4046))),"Balance increased but no Deferred_interest reported",IF(L4046&gt;R4046,"Reported balance higher than expected (missing increase/OC build)","Reported balance lower than expected (missing decrease)"))))),""))</f>
        <v/>
      </c>
    </row>
    <row r="4047" customFormat="false" ht="15" hidden="false" customHeight="false" outlineLevel="0" collapsed="false">
      <c r="A4047" s="8"/>
      <c r="B4047" s="8"/>
      <c r="C4047" s="8"/>
      <c r="D4047" s="8"/>
      <c r="E4047" s="8"/>
      <c r="F4047" s="8"/>
      <c r="G4047" s="8"/>
      <c r="H4047" s="8"/>
      <c r="I4047" s="8"/>
      <c r="J4047" s="8"/>
      <c r="K4047" s="9"/>
      <c r="L4047" s="9"/>
      <c r="M4047" s="9"/>
      <c r="N4047" s="9"/>
      <c r="O4047" s="9"/>
      <c r="P4047" s="9"/>
      <c r="Q4047" s="9"/>
      <c r="R4047" s="9" t="str">
        <f aca="false">IF(AND(A4047&lt;&gt;"",ISNUMBER(Q4047),ISNUMBER(L4047)),ROUND(Q4047-IF(ISNUMBER(N4047),N4047,0)-IF(ISNUMBER(O4047),O4047,0)+IF(ISNUMBER(P4047),P4047,0),2),"")</f>
        <v/>
      </c>
      <c r="S4047" s="9" t="str">
        <f aca="false">IF(R4047="","",ROUND(L4047-R4047,2))</f>
        <v/>
      </c>
      <c r="T4047" s="8" t="str">
        <f aca="false">IF(A4047="","",IF(S4047="","BYPASS",IF(ABS(S4047)&lt;=Summary!$B$2,"PASS","FAIL")))</f>
        <v/>
      </c>
      <c r="U4047" s="8" t="str">
        <f aca="false">IF(T4047="BYPASS",IF(NOT(ISNUMBER(Q4047)),"PreV_ETB missing","End_tr_balance missing"),IF(T4047="FAIL",IF(AND(ISNUMBER(K4047),ISNUMBER(L4047),ABS(L4047-(K4047-IF(ISNUMBER(N4047),N4047,0)-IF(ISNUMBER(O4047),O4047,0)+IF(ISNUMBER(P4047),P4047,0)))&lt;=Summary!$B$2),"Passes using beginning_balance - PreV_ETB differs from beginning_balance",IF(AND(ISNUMBER(O4047),O4047&lt;0,ABS(L4047-(Q4047-IF(ISNUMBER(N4047),N4047,0)+IF(ISNUMBER(P4047),P4047,0)))&lt;=Summary!$B$2),"Negative realized loss not applied - check sign",IF(R4047&lt;0,"Principal paid exceeds prior balance",IF(AND(L4047&gt;Q4047,NOT(ISNUMBER(P4047))),"Balance increased but no Deferred_interest reported",IF(L4047&gt;R4047,"Reported balance higher than expected (missing increase/OC build)","Reported balance lower than expected (missing decrease)"))))),""))</f>
        <v/>
      </c>
    </row>
    <row r="4048" customFormat="false" ht="15" hidden="false" customHeight="false" outlineLevel="0" collapsed="false">
      <c r="A4048" s="8"/>
      <c r="B4048" s="8"/>
      <c r="C4048" s="8"/>
      <c r="D4048" s="8"/>
      <c r="E4048" s="8"/>
      <c r="F4048" s="8"/>
      <c r="G4048" s="8"/>
      <c r="H4048" s="8"/>
      <c r="I4048" s="8"/>
      <c r="J4048" s="8"/>
      <c r="K4048" s="9"/>
      <c r="L4048" s="9"/>
      <c r="M4048" s="9"/>
      <c r="N4048" s="9"/>
      <c r="O4048" s="9"/>
      <c r="P4048" s="9"/>
      <c r="Q4048" s="9"/>
      <c r="R4048" s="9" t="str">
        <f aca="false">IF(AND(A4048&lt;&gt;"",ISNUMBER(Q4048),ISNUMBER(L4048)),ROUND(Q4048-IF(ISNUMBER(N4048),N4048,0)-IF(ISNUMBER(O4048),O4048,0)+IF(ISNUMBER(P4048),P4048,0),2),"")</f>
        <v/>
      </c>
      <c r="S4048" s="9" t="str">
        <f aca="false">IF(R4048="","",ROUND(L4048-R4048,2))</f>
        <v/>
      </c>
      <c r="T4048" s="8" t="str">
        <f aca="false">IF(A4048="","",IF(S4048="","BYPASS",IF(ABS(S4048)&lt;=Summary!$B$2,"PASS","FAIL")))</f>
        <v/>
      </c>
      <c r="U4048" s="8" t="str">
        <f aca="false">IF(T4048="BYPASS",IF(NOT(ISNUMBER(Q4048)),"PreV_ETB missing","End_tr_balance missing"),IF(T4048="FAIL",IF(AND(ISNUMBER(K4048),ISNUMBER(L4048),ABS(L4048-(K4048-IF(ISNUMBER(N4048),N4048,0)-IF(ISNUMBER(O4048),O4048,0)+IF(ISNUMBER(P4048),P4048,0)))&lt;=Summary!$B$2),"Passes using beginning_balance - PreV_ETB differs from beginning_balance",IF(AND(ISNUMBER(O4048),O4048&lt;0,ABS(L4048-(Q4048-IF(ISNUMBER(N4048),N4048,0)+IF(ISNUMBER(P4048),P4048,0)))&lt;=Summary!$B$2),"Negative realized loss not applied - check sign",IF(R4048&lt;0,"Principal paid exceeds prior balance",IF(AND(L4048&gt;Q4048,NOT(ISNUMBER(P4048))),"Balance increased but no Deferred_interest reported",IF(L4048&gt;R4048,"Reported balance higher than expected (missing increase/OC build)","Reported balance lower than expected (missing decrease)"))))),""))</f>
        <v/>
      </c>
    </row>
    <row r="4049" customFormat="false" ht="15" hidden="false" customHeight="false" outlineLevel="0" collapsed="false">
      <c r="A4049" s="8"/>
      <c r="B4049" s="8"/>
      <c r="C4049" s="8"/>
      <c r="D4049" s="8"/>
      <c r="E4049" s="8"/>
      <c r="F4049" s="8"/>
      <c r="G4049" s="8"/>
      <c r="H4049" s="8"/>
      <c r="I4049" s="8"/>
      <c r="J4049" s="8"/>
      <c r="K4049" s="9"/>
      <c r="L4049" s="9"/>
      <c r="M4049" s="9"/>
      <c r="N4049" s="9"/>
      <c r="O4049" s="9"/>
      <c r="P4049" s="9"/>
      <c r="Q4049" s="9"/>
      <c r="R4049" s="9" t="str">
        <f aca="false">IF(AND(A4049&lt;&gt;"",ISNUMBER(Q4049),ISNUMBER(L4049)),ROUND(Q4049-IF(ISNUMBER(N4049),N4049,0)-IF(ISNUMBER(O4049),O4049,0)+IF(ISNUMBER(P4049),P4049,0),2),"")</f>
        <v/>
      </c>
      <c r="S4049" s="9" t="str">
        <f aca="false">IF(R4049="","",ROUND(L4049-R4049,2))</f>
        <v/>
      </c>
      <c r="T4049" s="8" t="str">
        <f aca="false">IF(A4049="","",IF(S4049="","BYPASS",IF(ABS(S4049)&lt;=Summary!$B$2,"PASS","FAIL")))</f>
        <v/>
      </c>
      <c r="U4049" s="8" t="str">
        <f aca="false">IF(T4049="BYPASS",IF(NOT(ISNUMBER(Q4049)),"PreV_ETB missing","End_tr_balance missing"),IF(T4049="FAIL",IF(AND(ISNUMBER(K4049),ISNUMBER(L4049),ABS(L4049-(K4049-IF(ISNUMBER(N4049),N4049,0)-IF(ISNUMBER(O4049),O4049,0)+IF(ISNUMBER(P4049),P4049,0)))&lt;=Summary!$B$2),"Passes using beginning_balance - PreV_ETB differs from beginning_balance",IF(AND(ISNUMBER(O4049),O4049&lt;0,ABS(L4049-(Q4049-IF(ISNUMBER(N4049),N4049,0)+IF(ISNUMBER(P4049),P4049,0)))&lt;=Summary!$B$2),"Negative realized loss not applied - check sign",IF(R4049&lt;0,"Principal paid exceeds prior balance",IF(AND(L4049&gt;Q4049,NOT(ISNUMBER(P4049))),"Balance increased but no Deferred_interest reported",IF(L4049&gt;R4049,"Reported balance higher than expected (missing increase/OC build)","Reported balance lower than expected (missing decrease)"))))),""))</f>
        <v/>
      </c>
    </row>
    <row r="4050" customFormat="false" ht="15" hidden="false" customHeight="false" outlineLevel="0" collapsed="false">
      <c r="A4050" s="8"/>
      <c r="B4050" s="8"/>
      <c r="C4050" s="8"/>
      <c r="D4050" s="8"/>
      <c r="E4050" s="8"/>
      <c r="F4050" s="8"/>
      <c r="G4050" s="8"/>
      <c r="H4050" s="8"/>
      <c r="I4050" s="8"/>
      <c r="J4050" s="8"/>
      <c r="K4050" s="9"/>
      <c r="L4050" s="9"/>
      <c r="M4050" s="9"/>
      <c r="N4050" s="9"/>
      <c r="O4050" s="9"/>
      <c r="P4050" s="9"/>
      <c r="Q4050" s="9"/>
      <c r="R4050" s="9" t="str">
        <f aca="false">IF(AND(A4050&lt;&gt;"",ISNUMBER(Q4050),ISNUMBER(L4050)),ROUND(Q4050-IF(ISNUMBER(N4050),N4050,0)-IF(ISNUMBER(O4050),O4050,0)+IF(ISNUMBER(P4050),P4050,0),2),"")</f>
        <v/>
      </c>
      <c r="S4050" s="9" t="str">
        <f aca="false">IF(R4050="","",ROUND(L4050-R4050,2))</f>
        <v/>
      </c>
      <c r="T4050" s="8" t="str">
        <f aca="false">IF(A4050="","",IF(S4050="","BYPASS",IF(ABS(S4050)&lt;=Summary!$B$2,"PASS","FAIL")))</f>
        <v/>
      </c>
      <c r="U4050" s="8" t="str">
        <f aca="false">IF(T4050="BYPASS",IF(NOT(ISNUMBER(Q4050)),"PreV_ETB missing","End_tr_balance missing"),IF(T4050="FAIL",IF(AND(ISNUMBER(K4050),ISNUMBER(L4050),ABS(L4050-(K4050-IF(ISNUMBER(N4050),N4050,0)-IF(ISNUMBER(O4050),O4050,0)+IF(ISNUMBER(P4050),P4050,0)))&lt;=Summary!$B$2),"Passes using beginning_balance - PreV_ETB differs from beginning_balance",IF(AND(ISNUMBER(O4050),O4050&lt;0,ABS(L4050-(Q4050-IF(ISNUMBER(N4050),N4050,0)+IF(ISNUMBER(P4050),P4050,0)))&lt;=Summary!$B$2),"Negative realized loss not applied - check sign",IF(R4050&lt;0,"Principal paid exceeds prior balance",IF(AND(L4050&gt;Q4050,NOT(ISNUMBER(P4050))),"Balance increased but no Deferred_interest reported",IF(L4050&gt;R4050,"Reported balance higher than expected (missing increase/OC build)","Reported balance lower than expected (missing decrease)"))))),""))</f>
        <v/>
      </c>
    </row>
    <row r="4051" customFormat="false" ht="15" hidden="false" customHeight="false" outlineLevel="0" collapsed="false">
      <c r="A4051" s="8"/>
      <c r="B4051" s="8"/>
      <c r="C4051" s="8"/>
      <c r="D4051" s="8"/>
      <c r="E4051" s="8"/>
      <c r="F4051" s="8"/>
      <c r="G4051" s="8"/>
      <c r="H4051" s="8"/>
      <c r="I4051" s="8"/>
      <c r="J4051" s="8"/>
      <c r="K4051" s="9"/>
      <c r="L4051" s="9"/>
      <c r="M4051" s="9"/>
      <c r="N4051" s="9"/>
      <c r="O4051" s="9"/>
      <c r="P4051" s="9"/>
      <c r="Q4051" s="9"/>
      <c r="R4051" s="9" t="str">
        <f aca="false">IF(AND(A4051&lt;&gt;"",ISNUMBER(Q4051),ISNUMBER(L4051)),ROUND(Q4051-IF(ISNUMBER(N4051),N4051,0)-IF(ISNUMBER(O4051),O4051,0)+IF(ISNUMBER(P4051),P4051,0),2),"")</f>
        <v/>
      </c>
      <c r="S4051" s="9" t="str">
        <f aca="false">IF(R4051="","",ROUND(L4051-R4051,2))</f>
        <v/>
      </c>
      <c r="T4051" s="8" t="str">
        <f aca="false">IF(A4051="","",IF(S4051="","BYPASS",IF(ABS(S4051)&lt;=Summary!$B$2,"PASS","FAIL")))</f>
        <v/>
      </c>
      <c r="U4051" s="8" t="str">
        <f aca="false">IF(T4051="BYPASS",IF(NOT(ISNUMBER(Q4051)),"PreV_ETB missing","End_tr_balance missing"),IF(T4051="FAIL",IF(AND(ISNUMBER(K4051),ISNUMBER(L4051),ABS(L4051-(K4051-IF(ISNUMBER(N4051),N4051,0)-IF(ISNUMBER(O4051),O4051,0)+IF(ISNUMBER(P4051),P4051,0)))&lt;=Summary!$B$2),"Passes using beginning_balance - PreV_ETB differs from beginning_balance",IF(AND(ISNUMBER(O4051),O4051&lt;0,ABS(L4051-(Q4051-IF(ISNUMBER(N4051),N4051,0)+IF(ISNUMBER(P4051),P4051,0)))&lt;=Summary!$B$2),"Negative realized loss not applied - check sign",IF(R4051&lt;0,"Principal paid exceeds prior balance",IF(AND(L4051&gt;Q4051,NOT(ISNUMBER(P4051))),"Balance increased but no Deferred_interest reported",IF(L4051&gt;R4051,"Reported balance higher than expected (missing increase/OC build)","Reported balance lower than expected (missing decrease)"))))),""))</f>
        <v/>
      </c>
    </row>
    <row r="4052" customFormat="false" ht="15" hidden="false" customHeight="false" outlineLevel="0" collapsed="false">
      <c r="A4052" s="8"/>
      <c r="B4052" s="8"/>
      <c r="C4052" s="8"/>
      <c r="D4052" s="8"/>
      <c r="E4052" s="8"/>
      <c r="F4052" s="8"/>
      <c r="G4052" s="8"/>
      <c r="H4052" s="8"/>
      <c r="I4052" s="8"/>
      <c r="J4052" s="8"/>
      <c r="K4052" s="9"/>
      <c r="L4052" s="9"/>
      <c r="M4052" s="9"/>
      <c r="N4052" s="9"/>
      <c r="O4052" s="9"/>
      <c r="P4052" s="9"/>
      <c r="Q4052" s="9"/>
      <c r="R4052" s="9" t="str">
        <f aca="false">IF(AND(A4052&lt;&gt;"",ISNUMBER(Q4052),ISNUMBER(L4052)),ROUND(Q4052-IF(ISNUMBER(N4052),N4052,0)-IF(ISNUMBER(O4052),O4052,0)+IF(ISNUMBER(P4052),P4052,0),2),"")</f>
        <v/>
      </c>
      <c r="S4052" s="9" t="str">
        <f aca="false">IF(R4052="","",ROUND(L4052-R4052,2))</f>
        <v/>
      </c>
      <c r="T4052" s="8" t="str">
        <f aca="false">IF(A4052="","",IF(S4052="","BYPASS",IF(ABS(S4052)&lt;=Summary!$B$2,"PASS","FAIL")))</f>
        <v/>
      </c>
      <c r="U4052" s="8" t="str">
        <f aca="false">IF(T4052="BYPASS",IF(NOT(ISNUMBER(Q4052)),"PreV_ETB missing","End_tr_balance missing"),IF(T4052="FAIL",IF(AND(ISNUMBER(K4052),ISNUMBER(L4052),ABS(L4052-(K4052-IF(ISNUMBER(N4052),N4052,0)-IF(ISNUMBER(O4052),O4052,0)+IF(ISNUMBER(P4052),P4052,0)))&lt;=Summary!$B$2),"Passes using beginning_balance - PreV_ETB differs from beginning_balance",IF(AND(ISNUMBER(O4052),O4052&lt;0,ABS(L4052-(Q4052-IF(ISNUMBER(N4052),N4052,0)+IF(ISNUMBER(P4052),P4052,0)))&lt;=Summary!$B$2),"Negative realized loss not applied - check sign",IF(R4052&lt;0,"Principal paid exceeds prior balance",IF(AND(L4052&gt;Q4052,NOT(ISNUMBER(P4052))),"Balance increased but no Deferred_interest reported",IF(L4052&gt;R4052,"Reported balance higher than expected (missing increase/OC build)","Reported balance lower than expected (missing decrease)"))))),""))</f>
        <v/>
      </c>
    </row>
    <row r="4053" customFormat="false" ht="15" hidden="false" customHeight="false" outlineLevel="0" collapsed="false">
      <c r="A4053" s="8"/>
      <c r="B4053" s="8"/>
      <c r="C4053" s="8"/>
      <c r="D4053" s="8"/>
      <c r="E4053" s="8"/>
      <c r="F4053" s="8"/>
      <c r="G4053" s="8"/>
      <c r="H4053" s="8"/>
      <c r="I4053" s="8"/>
      <c r="J4053" s="8"/>
      <c r="K4053" s="9"/>
      <c r="L4053" s="9"/>
      <c r="M4053" s="9"/>
      <c r="N4053" s="9"/>
      <c r="O4053" s="9"/>
      <c r="P4053" s="9"/>
      <c r="Q4053" s="9"/>
      <c r="R4053" s="9" t="str">
        <f aca="false">IF(AND(A4053&lt;&gt;"",ISNUMBER(Q4053),ISNUMBER(L4053)),ROUND(Q4053-IF(ISNUMBER(N4053),N4053,0)-IF(ISNUMBER(O4053),O4053,0)+IF(ISNUMBER(P4053),P4053,0),2),"")</f>
        <v/>
      </c>
      <c r="S4053" s="9" t="str">
        <f aca="false">IF(R4053="","",ROUND(L4053-R4053,2))</f>
        <v/>
      </c>
      <c r="T4053" s="8" t="str">
        <f aca="false">IF(A4053="","",IF(S4053="","BYPASS",IF(ABS(S4053)&lt;=Summary!$B$2,"PASS","FAIL")))</f>
        <v/>
      </c>
      <c r="U4053" s="8" t="str">
        <f aca="false">IF(T4053="BYPASS",IF(NOT(ISNUMBER(Q4053)),"PreV_ETB missing","End_tr_balance missing"),IF(T4053="FAIL",IF(AND(ISNUMBER(K4053),ISNUMBER(L4053),ABS(L4053-(K4053-IF(ISNUMBER(N4053),N4053,0)-IF(ISNUMBER(O4053),O4053,0)+IF(ISNUMBER(P4053),P4053,0)))&lt;=Summary!$B$2),"Passes using beginning_balance - PreV_ETB differs from beginning_balance",IF(AND(ISNUMBER(O4053),O4053&lt;0,ABS(L4053-(Q4053-IF(ISNUMBER(N4053),N4053,0)+IF(ISNUMBER(P4053),P4053,0)))&lt;=Summary!$B$2),"Negative realized loss not applied - check sign",IF(R4053&lt;0,"Principal paid exceeds prior balance",IF(AND(L4053&gt;Q4053,NOT(ISNUMBER(P4053))),"Balance increased but no Deferred_interest reported",IF(L4053&gt;R4053,"Reported balance higher than expected (missing increase/OC build)","Reported balance lower than expected (missing decrease)"))))),""))</f>
        <v/>
      </c>
    </row>
    <row r="4054" customFormat="false" ht="15" hidden="false" customHeight="false" outlineLevel="0" collapsed="false">
      <c r="A4054" s="8"/>
      <c r="B4054" s="8"/>
      <c r="C4054" s="8"/>
      <c r="D4054" s="8"/>
      <c r="E4054" s="8"/>
      <c r="F4054" s="8"/>
      <c r="G4054" s="8"/>
      <c r="H4054" s="8"/>
      <c r="I4054" s="8"/>
      <c r="J4054" s="8"/>
      <c r="K4054" s="9"/>
      <c r="L4054" s="9"/>
      <c r="M4054" s="9"/>
      <c r="N4054" s="9"/>
      <c r="O4054" s="9"/>
      <c r="P4054" s="9"/>
      <c r="Q4054" s="9"/>
      <c r="R4054" s="9" t="str">
        <f aca="false">IF(AND(A4054&lt;&gt;"",ISNUMBER(Q4054),ISNUMBER(L4054)),ROUND(Q4054-IF(ISNUMBER(N4054),N4054,0)-IF(ISNUMBER(O4054),O4054,0)+IF(ISNUMBER(P4054),P4054,0),2),"")</f>
        <v/>
      </c>
      <c r="S4054" s="9" t="str">
        <f aca="false">IF(R4054="","",ROUND(L4054-R4054,2))</f>
        <v/>
      </c>
      <c r="T4054" s="8" t="str">
        <f aca="false">IF(A4054="","",IF(S4054="","BYPASS",IF(ABS(S4054)&lt;=Summary!$B$2,"PASS","FAIL")))</f>
        <v/>
      </c>
      <c r="U4054" s="8" t="str">
        <f aca="false">IF(T4054="BYPASS",IF(NOT(ISNUMBER(Q4054)),"PreV_ETB missing","End_tr_balance missing"),IF(T4054="FAIL",IF(AND(ISNUMBER(K4054),ISNUMBER(L4054),ABS(L4054-(K4054-IF(ISNUMBER(N4054),N4054,0)-IF(ISNUMBER(O4054),O4054,0)+IF(ISNUMBER(P4054),P4054,0)))&lt;=Summary!$B$2),"Passes using beginning_balance - PreV_ETB differs from beginning_balance",IF(AND(ISNUMBER(O4054),O4054&lt;0,ABS(L4054-(Q4054-IF(ISNUMBER(N4054),N4054,0)+IF(ISNUMBER(P4054),P4054,0)))&lt;=Summary!$B$2),"Negative realized loss not applied - check sign",IF(R4054&lt;0,"Principal paid exceeds prior balance",IF(AND(L4054&gt;Q4054,NOT(ISNUMBER(P4054))),"Balance increased but no Deferred_interest reported",IF(L4054&gt;R4054,"Reported balance higher than expected (missing increase/OC build)","Reported balance lower than expected (missing decrease)"))))),""))</f>
        <v/>
      </c>
    </row>
    <row r="4055" customFormat="false" ht="15" hidden="false" customHeight="false" outlineLevel="0" collapsed="false">
      <c r="A4055" s="8"/>
      <c r="B4055" s="8"/>
      <c r="C4055" s="8"/>
      <c r="D4055" s="8"/>
      <c r="E4055" s="8"/>
      <c r="F4055" s="8"/>
      <c r="G4055" s="8"/>
      <c r="H4055" s="8"/>
      <c r="I4055" s="8"/>
      <c r="J4055" s="8"/>
      <c r="K4055" s="9"/>
      <c r="L4055" s="9"/>
      <c r="M4055" s="9"/>
      <c r="N4055" s="9"/>
      <c r="O4055" s="9"/>
      <c r="P4055" s="9"/>
      <c r="Q4055" s="9"/>
      <c r="R4055" s="9" t="str">
        <f aca="false">IF(AND(A4055&lt;&gt;"",ISNUMBER(Q4055),ISNUMBER(L4055)),ROUND(Q4055-IF(ISNUMBER(N4055),N4055,0)-IF(ISNUMBER(O4055),O4055,0)+IF(ISNUMBER(P4055),P4055,0),2),"")</f>
        <v/>
      </c>
      <c r="S4055" s="9" t="str">
        <f aca="false">IF(R4055="","",ROUND(L4055-R4055,2))</f>
        <v/>
      </c>
      <c r="T4055" s="8" t="str">
        <f aca="false">IF(A4055="","",IF(S4055="","BYPASS",IF(ABS(S4055)&lt;=Summary!$B$2,"PASS","FAIL")))</f>
        <v/>
      </c>
      <c r="U4055" s="8" t="str">
        <f aca="false">IF(T4055="BYPASS",IF(NOT(ISNUMBER(Q4055)),"PreV_ETB missing","End_tr_balance missing"),IF(T4055="FAIL",IF(AND(ISNUMBER(K4055),ISNUMBER(L4055),ABS(L4055-(K4055-IF(ISNUMBER(N4055),N4055,0)-IF(ISNUMBER(O4055),O4055,0)+IF(ISNUMBER(P4055),P4055,0)))&lt;=Summary!$B$2),"Passes using beginning_balance - PreV_ETB differs from beginning_balance",IF(AND(ISNUMBER(O4055),O4055&lt;0,ABS(L4055-(Q4055-IF(ISNUMBER(N4055),N4055,0)+IF(ISNUMBER(P4055),P4055,0)))&lt;=Summary!$B$2),"Negative realized loss not applied - check sign",IF(R4055&lt;0,"Principal paid exceeds prior balance",IF(AND(L4055&gt;Q4055,NOT(ISNUMBER(P4055))),"Balance increased but no Deferred_interest reported",IF(L4055&gt;R4055,"Reported balance higher than expected (missing increase/OC build)","Reported balance lower than expected (missing decrease)"))))),""))</f>
        <v/>
      </c>
    </row>
    <row r="4056" customFormat="false" ht="15" hidden="false" customHeight="false" outlineLevel="0" collapsed="false">
      <c r="A4056" s="8"/>
      <c r="B4056" s="8"/>
      <c r="C4056" s="8"/>
      <c r="D4056" s="8"/>
      <c r="E4056" s="8"/>
      <c r="F4056" s="8"/>
      <c r="G4056" s="8"/>
      <c r="H4056" s="8"/>
      <c r="I4056" s="8"/>
      <c r="J4056" s="8"/>
      <c r="K4056" s="9"/>
      <c r="L4056" s="9"/>
      <c r="M4056" s="9"/>
      <c r="N4056" s="9"/>
      <c r="O4056" s="9"/>
      <c r="P4056" s="9"/>
      <c r="Q4056" s="9"/>
      <c r="R4056" s="9" t="str">
        <f aca="false">IF(AND(A4056&lt;&gt;"",ISNUMBER(Q4056),ISNUMBER(L4056)),ROUND(Q4056-IF(ISNUMBER(N4056),N4056,0)-IF(ISNUMBER(O4056),O4056,0)+IF(ISNUMBER(P4056),P4056,0),2),"")</f>
        <v/>
      </c>
      <c r="S4056" s="9" t="str">
        <f aca="false">IF(R4056="","",ROUND(L4056-R4056,2))</f>
        <v/>
      </c>
      <c r="T4056" s="8" t="str">
        <f aca="false">IF(A4056="","",IF(S4056="","BYPASS",IF(ABS(S4056)&lt;=Summary!$B$2,"PASS","FAIL")))</f>
        <v/>
      </c>
      <c r="U4056" s="8" t="str">
        <f aca="false">IF(T4056="BYPASS",IF(NOT(ISNUMBER(Q4056)),"PreV_ETB missing","End_tr_balance missing"),IF(T4056="FAIL",IF(AND(ISNUMBER(K4056),ISNUMBER(L4056),ABS(L4056-(K4056-IF(ISNUMBER(N4056),N4056,0)-IF(ISNUMBER(O4056),O4056,0)+IF(ISNUMBER(P4056),P4056,0)))&lt;=Summary!$B$2),"Passes using beginning_balance - PreV_ETB differs from beginning_balance",IF(AND(ISNUMBER(O4056),O4056&lt;0,ABS(L4056-(Q4056-IF(ISNUMBER(N4056),N4056,0)+IF(ISNUMBER(P4056),P4056,0)))&lt;=Summary!$B$2),"Negative realized loss not applied - check sign",IF(R4056&lt;0,"Principal paid exceeds prior balance",IF(AND(L4056&gt;Q4056,NOT(ISNUMBER(P4056))),"Balance increased but no Deferred_interest reported",IF(L4056&gt;R4056,"Reported balance higher than expected (missing increase/OC build)","Reported balance lower than expected (missing decrease)"))))),""))</f>
        <v/>
      </c>
    </row>
    <row r="4057" customFormat="false" ht="15" hidden="false" customHeight="false" outlineLevel="0" collapsed="false">
      <c r="A4057" s="8"/>
      <c r="B4057" s="8"/>
      <c r="C4057" s="8"/>
      <c r="D4057" s="8"/>
      <c r="E4057" s="8"/>
      <c r="F4057" s="8"/>
      <c r="G4057" s="8"/>
      <c r="H4057" s="8"/>
      <c r="I4057" s="8"/>
      <c r="J4057" s="8"/>
      <c r="K4057" s="9"/>
      <c r="L4057" s="9"/>
      <c r="M4057" s="9"/>
      <c r="N4057" s="9"/>
      <c r="O4057" s="9"/>
      <c r="P4057" s="9"/>
      <c r="Q4057" s="9"/>
      <c r="R4057" s="9" t="str">
        <f aca="false">IF(AND(A4057&lt;&gt;"",ISNUMBER(Q4057),ISNUMBER(L4057)),ROUND(Q4057-IF(ISNUMBER(N4057),N4057,0)-IF(ISNUMBER(O4057),O4057,0)+IF(ISNUMBER(P4057),P4057,0),2),"")</f>
        <v/>
      </c>
      <c r="S4057" s="9" t="str">
        <f aca="false">IF(R4057="","",ROUND(L4057-R4057,2))</f>
        <v/>
      </c>
      <c r="T4057" s="8" t="str">
        <f aca="false">IF(A4057="","",IF(S4057="","BYPASS",IF(ABS(S4057)&lt;=Summary!$B$2,"PASS","FAIL")))</f>
        <v/>
      </c>
      <c r="U4057" s="8" t="str">
        <f aca="false">IF(T4057="BYPASS",IF(NOT(ISNUMBER(Q4057)),"PreV_ETB missing","End_tr_balance missing"),IF(T4057="FAIL",IF(AND(ISNUMBER(K4057),ISNUMBER(L4057),ABS(L4057-(K4057-IF(ISNUMBER(N4057),N4057,0)-IF(ISNUMBER(O4057),O4057,0)+IF(ISNUMBER(P4057),P4057,0)))&lt;=Summary!$B$2),"Passes using beginning_balance - PreV_ETB differs from beginning_balance",IF(AND(ISNUMBER(O4057),O4057&lt;0,ABS(L4057-(Q4057-IF(ISNUMBER(N4057),N4057,0)+IF(ISNUMBER(P4057),P4057,0)))&lt;=Summary!$B$2),"Negative realized loss not applied - check sign",IF(R4057&lt;0,"Principal paid exceeds prior balance",IF(AND(L4057&gt;Q4057,NOT(ISNUMBER(P4057))),"Balance increased but no Deferred_interest reported",IF(L4057&gt;R4057,"Reported balance higher than expected (missing increase/OC build)","Reported balance lower than expected (missing decrease)"))))),""))</f>
        <v/>
      </c>
    </row>
    <row r="4058" customFormat="false" ht="15" hidden="false" customHeight="false" outlineLevel="0" collapsed="false">
      <c r="A4058" s="8"/>
      <c r="B4058" s="8"/>
      <c r="C4058" s="8"/>
      <c r="D4058" s="8"/>
      <c r="E4058" s="8"/>
      <c r="F4058" s="8"/>
      <c r="G4058" s="8"/>
      <c r="H4058" s="8"/>
      <c r="I4058" s="8"/>
      <c r="J4058" s="8"/>
      <c r="K4058" s="9"/>
      <c r="L4058" s="9"/>
      <c r="M4058" s="9"/>
      <c r="N4058" s="9"/>
      <c r="O4058" s="9"/>
      <c r="P4058" s="9"/>
      <c r="Q4058" s="9"/>
      <c r="R4058" s="9" t="str">
        <f aca="false">IF(AND(A4058&lt;&gt;"",ISNUMBER(Q4058),ISNUMBER(L4058)),ROUND(Q4058-IF(ISNUMBER(N4058),N4058,0)-IF(ISNUMBER(O4058),O4058,0)+IF(ISNUMBER(P4058),P4058,0),2),"")</f>
        <v/>
      </c>
      <c r="S4058" s="9" t="str">
        <f aca="false">IF(R4058="","",ROUND(L4058-R4058,2))</f>
        <v/>
      </c>
      <c r="T4058" s="8" t="str">
        <f aca="false">IF(A4058="","",IF(S4058="","BYPASS",IF(ABS(S4058)&lt;=Summary!$B$2,"PASS","FAIL")))</f>
        <v/>
      </c>
      <c r="U4058" s="8" t="str">
        <f aca="false">IF(T4058="BYPASS",IF(NOT(ISNUMBER(Q4058)),"PreV_ETB missing","End_tr_balance missing"),IF(T4058="FAIL",IF(AND(ISNUMBER(K4058),ISNUMBER(L4058),ABS(L4058-(K4058-IF(ISNUMBER(N4058),N4058,0)-IF(ISNUMBER(O4058),O4058,0)+IF(ISNUMBER(P4058),P4058,0)))&lt;=Summary!$B$2),"Passes using beginning_balance - PreV_ETB differs from beginning_balance",IF(AND(ISNUMBER(O4058),O4058&lt;0,ABS(L4058-(Q4058-IF(ISNUMBER(N4058),N4058,0)+IF(ISNUMBER(P4058),P4058,0)))&lt;=Summary!$B$2),"Negative realized loss not applied - check sign",IF(R4058&lt;0,"Principal paid exceeds prior balance",IF(AND(L4058&gt;Q4058,NOT(ISNUMBER(P4058))),"Balance increased but no Deferred_interest reported",IF(L4058&gt;R4058,"Reported balance higher than expected (missing increase/OC build)","Reported balance lower than expected (missing decrease)"))))),""))</f>
        <v/>
      </c>
    </row>
    <row r="4059" customFormat="false" ht="15" hidden="false" customHeight="false" outlineLevel="0" collapsed="false">
      <c r="A4059" s="8"/>
      <c r="B4059" s="8"/>
      <c r="C4059" s="8"/>
      <c r="D4059" s="8"/>
      <c r="E4059" s="8"/>
      <c r="F4059" s="8"/>
      <c r="G4059" s="8"/>
      <c r="H4059" s="8"/>
      <c r="I4059" s="8"/>
      <c r="J4059" s="8"/>
      <c r="K4059" s="9"/>
      <c r="L4059" s="9"/>
      <c r="M4059" s="9"/>
      <c r="N4059" s="9"/>
      <c r="O4059" s="9"/>
      <c r="P4059" s="9"/>
      <c r="Q4059" s="9"/>
      <c r="R4059" s="9" t="str">
        <f aca="false">IF(AND(A4059&lt;&gt;"",ISNUMBER(Q4059),ISNUMBER(L4059)),ROUND(Q4059-IF(ISNUMBER(N4059),N4059,0)-IF(ISNUMBER(O4059),O4059,0)+IF(ISNUMBER(P4059),P4059,0),2),"")</f>
        <v/>
      </c>
      <c r="S4059" s="9" t="str">
        <f aca="false">IF(R4059="","",ROUND(L4059-R4059,2))</f>
        <v/>
      </c>
      <c r="T4059" s="8" t="str">
        <f aca="false">IF(A4059="","",IF(S4059="","BYPASS",IF(ABS(S4059)&lt;=Summary!$B$2,"PASS","FAIL")))</f>
        <v/>
      </c>
      <c r="U4059" s="8" t="str">
        <f aca="false">IF(T4059="BYPASS",IF(NOT(ISNUMBER(Q4059)),"PreV_ETB missing","End_tr_balance missing"),IF(T4059="FAIL",IF(AND(ISNUMBER(K4059),ISNUMBER(L4059),ABS(L4059-(K4059-IF(ISNUMBER(N4059),N4059,0)-IF(ISNUMBER(O4059),O4059,0)+IF(ISNUMBER(P4059),P4059,0)))&lt;=Summary!$B$2),"Passes using beginning_balance - PreV_ETB differs from beginning_balance",IF(AND(ISNUMBER(O4059),O4059&lt;0,ABS(L4059-(Q4059-IF(ISNUMBER(N4059),N4059,0)+IF(ISNUMBER(P4059),P4059,0)))&lt;=Summary!$B$2),"Negative realized loss not applied - check sign",IF(R4059&lt;0,"Principal paid exceeds prior balance",IF(AND(L4059&gt;Q4059,NOT(ISNUMBER(P4059))),"Balance increased but no Deferred_interest reported",IF(L4059&gt;R4059,"Reported balance higher than expected (missing increase/OC build)","Reported balance lower than expected (missing decrease)"))))),""))</f>
        <v/>
      </c>
    </row>
    <row r="4060" customFormat="false" ht="15" hidden="false" customHeight="false" outlineLevel="0" collapsed="false">
      <c r="A4060" s="8"/>
      <c r="B4060" s="8"/>
      <c r="C4060" s="8"/>
      <c r="D4060" s="8"/>
      <c r="E4060" s="8"/>
      <c r="F4060" s="8"/>
      <c r="G4060" s="8"/>
      <c r="H4060" s="8"/>
      <c r="I4060" s="8"/>
      <c r="J4060" s="8"/>
      <c r="K4060" s="9"/>
      <c r="L4060" s="9"/>
      <c r="M4060" s="9"/>
      <c r="N4060" s="9"/>
      <c r="O4060" s="9"/>
      <c r="P4060" s="9"/>
      <c r="Q4060" s="9"/>
      <c r="R4060" s="9" t="str">
        <f aca="false">IF(AND(A4060&lt;&gt;"",ISNUMBER(Q4060),ISNUMBER(L4060)),ROUND(Q4060-IF(ISNUMBER(N4060),N4060,0)-IF(ISNUMBER(O4060),O4060,0)+IF(ISNUMBER(P4060),P4060,0),2),"")</f>
        <v/>
      </c>
      <c r="S4060" s="9" t="str">
        <f aca="false">IF(R4060="","",ROUND(L4060-R4060,2))</f>
        <v/>
      </c>
      <c r="T4060" s="8" t="str">
        <f aca="false">IF(A4060="","",IF(S4060="","BYPASS",IF(ABS(S4060)&lt;=Summary!$B$2,"PASS","FAIL")))</f>
        <v/>
      </c>
      <c r="U4060" s="8" t="str">
        <f aca="false">IF(T4060="BYPASS",IF(NOT(ISNUMBER(Q4060)),"PreV_ETB missing","End_tr_balance missing"),IF(T4060="FAIL",IF(AND(ISNUMBER(K4060),ISNUMBER(L4060),ABS(L4060-(K4060-IF(ISNUMBER(N4060),N4060,0)-IF(ISNUMBER(O4060),O4060,0)+IF(ISNUMBER(P4060),P4060,0)))&lt;=Summary!$B$2),"Passes using beginning_balance - PreV_ETB differs from beginning_balance",IF(AND(ISNUMBER(O4060),O4060&lt;0,ABS(L4060-(Q4060-IF(ISNUMBER(N4060),N4060,0)+IF(ISNUMBER(P4060),P4060,0)))&lt;=Summary!$B$2),"Negative realized loss not applied - check sign",IF(R4060&lt;0,"Principal paid exceeds prior balance",IF(AND(L4060&gt;Q4060,NOT(ISNUMBER(P4060))),"Balance increased but no Deferred_interest reported",IF(L4060&gt;R4060,"Reported balance higher than expected (missing increase/OC build)","Reported balance lower than expected (missing decrease)"))))),""))</f>
        <v/>
      </c>
    </row>
    <row r="4061" customFormat="false" ht="15" hidden="false" customHeight="false" outlineLevel="0" collapsed="false">
      <c r="A4061" s="8"/>
      <c r="B4061" s="8"/>
      <c r="C4061" s="8"/>
      <c r="D4061" s="8"/>
      <c r="E4061" s="8"/>
      <c r="F4061" s="8"/>
      <c r="G4061" s="8"/>
      <c r="H4061" s="8"/>
      <c r="I4061" s="8"/>
      <c r="J4061" s="8"/>
      <c r="K4061" s="9"/>
      <c r="L4061" s="9"/>
      <c r="M4061" s="9"/>
      <c r="N4061" s="9"/>
      <c r="O4061" s="9"/>
      <c r="P4061" s="9"/>
      <c r="Q4061" s="9"/>
      <c r="R4061" s="9" t="str">
        <f aca="false">IF(AND(A4061&lt;&gt;"",ISNUMBER(Q4061),ISNUMBER(L4061)),ROUND(Q4061-IF(ISNUMBER(N4061),N4061,0)-IF(ISNUMBER(O4061),O4061,0)+IF(ISNUMBER(P4061),P4061,0),2),"")</f>
        <v/>
      </c>
      <c r="S4061" s="9" t="str">
        <f aca="false">IF(R4061="","",ROUND(L4061-R4061,2))</f>
        <v/>
      </c>
      <c r="T4061" s="8" t="str">
        <f aca="false">IF(A4061="","",IF(S4061="","BYPASS",IF(ABS(S4061)&lt;=Summary!$B$2,"PASS","FAIL")))</f>
        <v/>
      </c>
      <c r="U4061" s="8" t="str">
        <f aca="false">IF(T4061="BYPASS",IF(NOT(ISNUMBER(Q4061)),"PreV_ETB missing","End_tr_balance missing"),IF(T4061="FAIL",IF(AND(ISNUMBER(K4061),ISNUMBER(L4061),ABS(L4061-(K4061-IF(ISNUMBER(N4061),N4061,0)-IF(ISNUMBER(O4061),O4061,0)+IF(ISNUMBER(P4061),P4061,0)))&lt;=Summary!$B$2),"Passes using beginning_balance - PreV_ETB differs from beginning_balance",IF(AND(ISNUMBER(O4061),O4061&lt;0,ABS(L4061-(Q4061-IF(ISNUMBER(N4061),N4061,0)+IF(ISNUMBER(P4061),P4061,0)))&lt;=Summary!$B$2),"Negative realized loss not applied - check sign",IF(R4061&lt;0,"Principal paid exceeds prior balance",IF(AND(L4061&gt;Q4061,NOT(ISNUMBER(P4061))),"Balance increased but no Deferred_interest reported",IF(L4061&gt;R4061,"Reported balance higher than expected (missing increase/OC build)","Reported balance lower than expected (missing decrease)"))))),""))</f>
        <v/>
      </c>
    </row>
    <row r="4062" customFormat="false" ht="15" hidden="false" customHeight="false" outlineLevel="0" collapsed="false">
      <c r="A4062" s="8"/>
      <c r="B4062" s="8"/>
      <c r="C4062" s="8"/>
      <c r="D4062" s="8"/>
      <c r="E4062" s="8"/>
      <c r="F4062" s="8"/>
      <c r="G4062" s="8"/>
      <c r="H4062" s="8"/>
      <c r="I4062" s="8"/>
      <c r="J4062" s="8"/>
      <c r="K4062" s="9"/>
      <c r="L4062" s="9"/>
      <c r="M4062" s="9"/>
      <c r="N4062" s="9"/>
      <c r="O4062" s="9"/>
      <c r="P4062" s="9"/>
      <c r="Q4062" s="9"/>
      <c r="R4062" s="9" t="str">
        <f aca="false">IF(AND(A4062&lt;&gt;"",ISNUMBER(Q4062),ISNUMBER(L4062)),ROUND(Q4062-IF(ISNUMBER(N4062),N4062,0)-IF(ISNUMBER(O4062),O4062,0)+IF(ISNUMBER(P4062),P4062,0),2),"")</f>
        <v/>
      </c>
      <c r="S4062" s="9" t="str">
        <f aca="false">IF(R4062="","",ROUND(L4062-R4062,2))</f>
        <v/>
      </c>
      <c r="T4062" s="8" t="str">
        <f aca="false">IF(A4062="","",IF(S4062="","BYPASS",IF(ABS(S4062)&lt;=Summary!$B$2,"PASS","FAIL")))</f>
        <v/>
      </c>
      <c r="U4062" s="8" t="str">
        <f aca="false">IF(T4062="BYPASS",IF(NOT(ISNUMBER(Q4062)),"PreV_ETB missing","End_tr_balance missing"),IF(T4062="FAIL",IF(AND(ISNUMBER(K4062),ISNUMBER(L4062),ABS(L4062-(K4062-IF(ISNUMBER(N4062),N4062,0)-IF(ISNUMBER(O4062),O4062,0)+IF(ISNUMBER(P4062),P4062,0)))&lt;=Summary!$B$2),"Passes using beginning_balance - PreV_ETB differs from beginning_balance",IF(AND(ISNUMBER(O4062),O4062&lt;0,ABS(L4062-(Q4062-IF(ISNUMBER(N4062),N4062,0)+IF(ISNUMBER(P4062),P4062,0)))&lt;=Summary!$B$2),"Negative realized loss not applied - check sign",IF(R4062&lt;0,"Principal paid exceeds prior balance",IF(AND(L4062&gt;Q4062,NOT(ISNUMBER(P4062))),"Balance increased but no Deferred_interest reported",IF(L4062&gt;R4062,"Reported balance higher than expected (missing increase/OC build)","Reported balance lower than expected (missing decrease)"))))),""))</f>
        <v/>
      </c>
    </row>
    <row r="4063" customFormat="false" ht="15" hidden="false" customHeight="false" outlineLevel="0" collapsed="false">
      <c r="A4063" s="8"/>
      <c r="B4063" s="8"/>
      <c r="C4063" s="8"/>
      <c r="D4063" s="8"/>
      <c r="E4063" s="8"/>
      <c r="F4063" s="8"/>
      <c r="G4063" s="8"/>
      <c r="H4063" s="8"/>
      <c r="I4063" s="8"/>
      <c r="J4063" s="8"/>
      <c r="K4063" s="9"/>
      <c r="L4063" s="9"/>
      <c r="M4063" s="9"/>
      <c r="N4063" s="9"/>
      <c r="O4063" s="9"/>
      <c r="P4063" s="9"/>
      <c r="Q4063" s="9"/>
      <c r="R4063" s="9" t="str">
        <f aca="false">IF(AND(A4063&lt;&gt;"",ISNUMBER(Q4063),ISNUMBER(L4063)),ROUND(Q4063-IF(ISNUMBER(N4063),N4063,0)-IF(ISNUMBER(O4063),O4063,0)+IF(ISNUMBER(P4063),P4063,0),2),"")</f>
        <v/>
      </c>
      <c r="S4063" s="9" t="str">
        <f aca="false">IF(R4063="","",ROUND(L4063-R4063,2))</f>
        <v/>
      </c>
      <c r="T4063" s="8" t="str">
        <f aca="false">IF(A4063="","",IF(S4063="","BYPASS",IF(ABS(S4063)&lt;=Summary!$B$2,"PASS","FAIL")))</f>
        <v/>
      </c>
      <c r="U4063" s="8" t="str">
        <f aca="false">IF(T4063="BYPASS",IF(NOT(ISNUMBER(Q4063)),"PreV_ETB missing","End_tr_balance missing"),IF(T4063="FAIL",IF(AND(ISNUMBER(K4063),ISNUMBER(L4063),ABS(L4063-(K4063-IF(ISNUMBER(N4063),N4063,0)-IF(ISNUMBER(O4063),O4063,0)+IF(ISNUMBER(P4063),P4063,0)))&lt;=Summary!$B$2),"Passes using beginning_balance - PreV_ETB differs from beginning_balance",IF(AND(ISNUMBER(O4063),O4063&lt;0,ABS(L4063-(Q4063-IF(ISNUMBER(N4063),N4063,0)+IF(ISNUMBER(P4063),P4063,0)))&lt;=Summary!$B$2),"Negative realized loss not applied - check sign",IF(R4063&lt;0,"Principal paid exceeds prior balance",IF(AND(L4063&gt;Q4063,NOT(ISNUMBER(P4063))),"Balance increased but no Deferred_interest reported",IF(L4063&gt;R4063,"Reported balance higher than expected (missing increase/OC build)","Reported balance lower than expected (missing decrease)"))))),""))</f>
        <v/>
      </c>
    </row>
    <row r="4064" customFormat="false" ht="15" hidden="false" customHeight="false" outlineLevel="0" collapsed="false">
      <c r="A4064" s="8"/>
      <c r="B4064" s="8"/>
      <c r="C4064" s="8"/>
      <c r="D4064" s="8"/>
      <c r="E4064" s="8"/>
      <c r="F4064" s="8"/>
      <c r="G4064" s="8"/>
      <c r="H4064" s="8"/>
      <c r="I4064" s="8"/>
      <c r="J4064" s="8"/>
      <c r="K4064" s="9"/>
      <c r="L4064" s="9"/>
      <c r="M4064" s="9"/>
      <c r="N4064" s="9"/>
      <c r="O4064" s="9"/>
      <c r="P4064" s="9"/>
      <c r="Q4064" s="9"/>
      <c r="R4064" s="9" t="str">
        <f aca="false">IF(AND(A4064&lt;&gt;"",ISNUMBER(Q4064),ISNUMBER(L4064)),ROUND(Q4064-IF(ISNUMBER(N4064),N4064,0)-IF(ISNUMBER(O4064),O4064,0)+IF(ISNUMBER(P4064),P4064,0),2),"")</f>
        <v/>
      </c>
      <c r="S4064" s="9" t="str">
        <f aca="false">IF(R4064="","",ROUND(L4064-R4064,2))</f>
        <v/>
      </c>
      <c r="T4064" s="8" t="str">
        <f aca="false">IF(A4064="","",IF(S4064="","BYPASS",IF(ABS(S4064)&lt;=Summary!$B$2,"PASS","FAIL")))</f>
        <v/>
      </c>
      <c r="U4064" s="8" t="str">
        <f aca="false">IF(T4064="BYPASS",IF(NOT(ISNUMBER(Q4064)),"PreV_ETB missing","End_tr_balance missing"),IF(T4064="FAIL",IF(AND(ISNUMBER(K4064),ISNUMBER(L4064),ABS(L4064-(K4064-IF(ISNUMBER(N4064),N4064,0)-IF(ISNUMBER(O4064),O4064,0)+IF(ISNUMBER(P4064),P4064,0)))&lt;=Summary!$B$2),"Passes using beginning_balance - PreV_ETB differs from beginning_balance",IF(AND(ISNUMBER(O4064),O4064&lt;0,ABS(L4064-(Q4064-IF(ISNUMBER(N4064),N4064,0)+IF(ISNUMBER(P4064),P4064,0)))&lt;=Summary!$B$2),"Negative realized loss not applied - check sign",IF(R4064&lt;0,"Principal paid exceeds prior balance",IF(AND(L4064&gt;Q4064,NOT(ISNUMBER(P4064))),"Balance increased but no Deferred_interest reported",IF(L4064&gt;R4064,"Reported balance higher than expected (missing increase/OC build)","Reported balance lower than expected (missing decrease)"))))),""))</f>
        <v/>
      </c>
    </row>
    <row r="4065" customFormat="false" ht="15" hidden="false" customHeight="false" outlineLevel="0" collapsed="false">
      <c r="A4065" s="8"/>
      <c r="B4065" s="8"/>
      <c r="C4065" s="8"/>
      <c r="D4065" s="8"/>
      <c r="E4065" s="8"/>
      <c r="F4065" s="8"/>
      <c r="G4065" s="8"/>
      <c r="H4065" s="8"/>
      <c r="I4065" s="8"/>
      <c r="J4065" s="8"/>
      <c r="K4065" s="9"/>
      <c r="L4065" s="9"/>
      <c r="M4065" s="9"/>
      <c r="N4065" s="9"/>
      <c r="O4065" s="9"/>
      <c r="P4065" s="9"/>
      <c r="Q4065" s="9"/>
      <c r="R4065" s="9" t="str">
        <f aca="false">IF(AND(A4065&lt;&gt;"",ISNUMBER(Q4065),ISNUMBER(L4065)),ROUND(Q4065-IF(ISNUMBER(N4065),N4065,0)-IF(ISNUMBER(O4065),O4065,0)+IF(ISNUMBER(P4065),P4065,0),2),"")</f>
        <v/>
      </c>
      <c r="S4065" s="9" t="str">
        <f aca="false">IF(R4065="","",ROUND(L4065-R4065,2))</f>
        <v/>
      </c>
      <c r="T4065" s="8" t="str">
        <f aca="false">IF(A4065="","",IF(S4065="","BYPASS",IF(ABS(S4065)&lt;=Summary!$B$2,"PASS","FAIL")))</f>
        <v/>
      </c>
      <c r="U4065" s="8" t="str">
        <f aca="false">IF(T4065="BYPASS",IF(NOT(ISNUMBER(Q4065)),"PreV_ETB missing","End_tr_balance missing"),IF(T4065="FAIL",IF(AND(ISNUMBER(K4065),ISNUMBER(L4065),ABS(L4065-(K4065-IF(ISNUMBER(N4065),N4065,0)-IF(ISNUMBER(O4065),O4065,0)+IF(ISNUMBER(P4065),P4065,0)))&lt;=Summary!$B$2),"Passes using beginning_balance - PreV_ETB differs from beginning_balance",IF(AND(ISNUMBER(O4065),O4065&lt;0,ABS(L4065-(Q4065-IF(ISNUMBER(N4065),N4065,0)+IF(ISNUMBER(P4065),P4065,0)))&lt;=Summary!$B$2),"Negative realized loss not applied - check sign",IF(R4065&lt;0,"Principal paid exceeds prior balance",IF(AND(L4065&gt;Q4065,NOT(ISNUMBER(P4065))),"Balance increased but no Deferred_interest reported",IF(L4065&gt;R4065,"Reported balance higher than expected (missing increase/OC build)","Reported balance lower than expected (missing decrease)"))))),""))</f>
        <v/>
      </c>
    </row>
    <row r="4066" customFormat="false" ht="15" hidden="false" customHeight="false" outlineLevel="0" collapsed="false">
      <c r="A4066" s="8"/>
      <c r="B4066" s="8"/>
      <c r="C4066" s="8"/>
      <c r="D4066" s="8"/>
      <c r="E4066" s="8"/>
      <c r="F4066" s="8"/>
      <c r="G4066" s="8"/>
      <c r="H4066" s="8"/>
      <c r="I4066" s="8"/>
      <c r="J4066" s="8"/>
      <c r="K4066" s="9"/>
      <c r="L4066" s="9"/>
      <c r="M4066" s="9"/>
      <c r="N4066" s="9"/>
      <c r="O4066" s="9"/>
      <c r="P4066" s="9"/>
      <c r="Q4066" s="9"/>
      <c r="R4066" s="9" t="str">
        <f aca="false">IF(AND(A4066&lt;&gt;"",ISNUMBER(Q4066),ISNUMBER(L4066)),ROUND(Q4066-IF(ISNUMBER(N4066),N4066,0)-IF(ISNUMBER(O4066),O4066,0)+IF(ISNUMBER(P4066),P4066,0),2),"")</f>
        <v/>
      </c>
      <c r="S4066" s="9" t="str">
        <f aca="false">IF(R4066="","",ROUND(L4066-R4066,2))</f>
        <v/>
      </c>
      <c r="T4066" s="8" t="str">
        <f aca="false">IF(A4066="","",IF(S4066="","BYPASS",IF(ABS(S4066)&lt;=Summary!$B$2,"PASS","FAIL")))</f>
        <v/>
      </c>
      <c r="U4066" s="8" t="str">
        <f aca="false">IF(T4066="BYPASS",IF(NOT(ISNUMBER(Q4066)),"PreV_ETB missing","End_tr_balance missing"),IF(T4066="FAIL",IF(AND(ISNUMBER(K4066),ISNUMBER(L4066),ABS(L4066-(K4066-IF(ISNUMBER(N4066),N4066,0)-IF(ISNUMBER(O4066),O4066,0)+IF(ISNUMBER(P4066),P4066,0)))&lt;=Summary!$B$2),"Passes using beginning_balance - PreV_ETB differs from beginning_balance",IF(AND(ISNUMBER(O4066),O4066&lt;0,ABS(L4066-(Q4066-IF(ISNUMBER(N4066),N4066,0)+IF(ISNUMBER(P4066),P4066,0)))&lt;=Summary!$B$2),"Negative realized loss not applied - check sign",IF(R4066&lt;0,"Principal paid exceeds prior balance",IF(AND(L4066&gt;Q4066,NOT(ISNUMBER(P4066))),"Balance increased but no Deferred_interest reported",IF(L4066&gt;R4066,"Reported balance higher than expected (missing increase/OC build)","Reported balance lower than expected (missing decrease)"))))),""))</f>
        <v/>
      </c>
    </row>
    <row r="4067" customFormat="false" ht="15" hidden="false" customHeight="false" outlineLevel="0" collapsed="false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9"/>
      <c r="L4067" s="9"/>
      <c r="M4067" s="9"/>
      <c r="N4067" s="9"/>
      <c r="O4067" s="9"/>
      <c r="P4067" s="9"/>
      <c r="Q4067" s="9"/>
      <c r="R4067" s="9" t="str">
        <f aca="false">IF(AND(A4067&lt;&gt;"",ISNUMBER(Q4067),ISNUMBER(L4067)),ROUND(Q4067-IF(ISNUMBER(N4067),N4067,0)-IF(ISNUMBER(O4067),O4067,0)+IF(ISNUMBER(P4067),P4067,0),2),"")</f>
        <v/>
      </c>
      <c r="S4067" s="9" t="str">
        <f aca="false">IF(R4067="","",ROUND(L4067-R4067,2))</f>
        <v/>
      </c>
      <c r="T4067" s="8" t="str">
        <f aca="false">IF(A4067="","",IF(S4067="","BYPASS",IF(ABS(S4067)&lt;=Summary!$B$2,"PASS","FAIL")))</f>
        <v/>
      </c>
      <c r="U4067" s="8" t="str">
        <f aca="false">IF(T4067="BYPASS",IF(NOT(ISNUMBER(Q4067)),"PreV_ETB missing","End_tr_balance missing"),IF(T4067="FAIL",IF(AND(ISNUMBER(K4067),ISNUMBER(L4067),ABS(L4067-(K4067-IF(ISNUMBER(N4067),N4067,0)-IF(ISNUMBER(O4067),O4067,0)+IF(ISNUMBER(P4067),P4067,0)))&lt;=Summary!$B$2),"Passes using beginning_balance - PreV_ETB differs from beginning_balance",IF(AND(ISNUMBER(O4067),O4067&lt;0,ABS(L4067-(Q4067-IF(ISNUMBER(N4067),N4067,0)+IF(ISNUMBER(P4067),P4067,0)))&lt;=Summary!$B$2),"Negative realized loss not applied - check sign",IF(R4067&lt;0,"Principal paid exceeds prior balance",IF(AND(L4067&gt;Q4067,NOT(ISNUMBER(P4067))),"Balance increased but no Deferred_interest reported",IF(L4067&gt;R4067,"Reported balance higher than expected (missing increase/OC build)","Reported balance lower than expected (missing decrease)"))))),""))</f>
        <v/>
      </c>
    </row>
    <row r="4068" customFormat="false" ht="15" hidden="false" customHeight="false" outlineLevel="0" collapsed="false">
      <c r="A4068" s="8"/>
      <c r="B4068" s="8"/>
      <c r="C4068" s="8"/>
      <c r="D4068" s="8"/>
      <c r="E4068" s="8"/>
      <c r="F4068" s="8"/>
      <c r="G4068" s="8"/>
      <c r="H4068" s="8"/>
      <c r="I4068" s="8"/>
      <c r="J4068" s="8"/>
      <c r="K4068" s="9"/>
      <c r="L4068" s="9"/>
      <c r="M4068" s="9"/>
      <c r="N4068" s="9"/>
      <c r="O4068" s="9"/>
      <c r="P4068" s="9"/>
      <c r="Q4068" s="9"/>
      <c r="R4068" s="9" t="str">
        <f aca="false">IF(AND(A4068&lt;&gt;"",ISNUMBER(Q4068),ISNUMBER(L4068)),ROUND(Q4068-IF(ISNUMBER(N4068),N4068,0)-IF(ISNUMBER(O4068),O4068,0)+IF(ISNUMBER(P4068),P4068,0),2),"")</f>
        <v/>
      </c>
      <c r="S4068" s="9" t="str">
        <f aca="false">IF(R4068="","",ROUND(L4068-R4068,2))</f>
        <v/>
      </c>
      <c r="T4068" s="8" t="str">
        <f aca="false">IF(A4068="","",IF(S4068="","BYPASS",IF(ABS(S4068)&lt;=Summary!$B$2,"PASS","FAIL")))</f>
        <v/>
      </c>
      <c r="U4068" s="8" t="str">
        <f aca="false">IF(T4068="BYPASS",IF(NOT(ISNUMBER(Q4068)),"PreV_ETB missing","End_tr_balance missing"),IF(T4068="FAIL",IF(AND(ISNUMBER(K4068),ISNUMBER(L4068),ABS(L4068-(K4068-IF(ISNUMBER(N4068),N4068,0)-IF(ISNUMBER(O4068),O4068,0)+IF(ISNUMBER(P4068),P4068,0)))&lt;=Summary!$B$2),"Passes using beginning_balance - PreV_ETB differs from beginning_balance",IF(AND(ISNUMBER(O4068),O4068&lt;0,ABS(L4068-(Q4068-IF(ISNUMBER(N4068),N4068,0)+IF(ISNUMBER(P4068),P4068,0)))&lt;=Summary!$B$2),"Negative realized loss not applied - check sign",IF(R4068&lt;0,"Principal paid exceeds prior balance",IF(AND(L4068&gt;Q4068,NOT(ISNUMBER(P4068))),"Balance increased but no Deferred_interest reported",IF(L4068&gt;R4068,"Reported balance higher than expected (missing increase/OC build)","Reported balance lower than expected (missing decrease)"))))),""))</f>
        <v/>
      </c>
    </row>
    <row r="4069" customFormat="false" ht="15" hidden="false" customHeight="false" outlineLevel="0" collapsed="false">
      <c r="A4069" s="8"/>
      <c r="B4069" s="8"/>
      <c r="C4069" s="8"/>
      <c r="D4069" s="8"/>
      <c r="E4069" s="8"/>
      <c r="F4069" s="8"/>
      <c r="G4069" s="8"/>
      <c r="H4069" s="8"/>
      <c r="I4069" s="8"/>
      <c r="J4069" s="8"/>
      <c r="K4069" s="9"/>
      <c r="L4069" s="9"/>
      <c r="M4069" s="9"/>
      <c r="N4069" s="9"/>
      <c r="O4069" s="9"/>
      <c r="P4069" s="9"/>
      <c r="Q4069" s="9"/>
      <c r="R4069" s="9" t="str">
        <f aca="false">IF(AND(A4069&lt;&gt;"",ISNUMBER(Q4069),ISNUMBER(L4069)),ROUND(Q4069-IF(ISNUMBER(N4069),N4069,0)-IF(ISNUMBER(O4069),O4069,0)+IF(ISNUMBER(P4069),P4069,0),2),"")</f>
        <v/>
      </c>
      <c r="S4069" s="9" t="str">
        <f aca="false">IF(R4069="","",ROUND(L4069-R4069,2))</f>
        <v/>
      </c>
      <c r="T4069" s="8" t="str">
        <f aca="false">IF(A4069="","",IF(S4069="","BYPASS",IF(ABS(S4069)&lt;=Summary!$B$2,"PASS","FAIL")))</f>
        <v/>
      </c>
      <c r="U4069" s="8" t="str">
        <f aca="false">IF(T4069="BYPASS",IF(NOT(ISNUMBER(Q4069)),"PreV_ETB missing","End_tr_balance missing"),IF(T4069="FAIL",IF(AND(ISNUMBER(K4069),ISNUMBER(L4069),ABS(L4069-(K4069-IF(ISNUMBER(N4069),N4069,0)-IF(ISNUMBER(O4069),O4069,0)+IF(ISNUMBER(P4069),P4069,0)))&lt;=Summary!$B$2),"Passes using beginning_balance - PreV_ETB differs from beginning_balance",IF(AND(ISNUMBER(O4069),O4069&lt;0,ABS(L4069-(Q4069-IF(ISNUMBER(N4069),N4069,0)+IF(ISNUMBER(P4069),P4069,0)))&lt;=Summary!$B$2),"Negative realized loss not applied - check sign",IF(R4069&lt;0,"Principal paid exceeds prior balance",IF(AND(L4069&gt;Q4069,NOT(ISNUMBER(P4069))),"Balance increased but no Deferred_interest reported",IF(L4069&gt;R4069,"Reported balance higher than expected (missing increase/OC build)","Reported balance lower than expected (missing decrease)"))))),""))</f>
        <v/>
      </c>
    </row>
    <row r="4070" customFormat="false" ht="15" hidden="false" customHeight="false" outlineLevel="0" collapsed="false">
      <c r="A4070" s="8"/>
      <c r="B4070" s="8"/>
      <c r="C4070" s="8"/>
      <c r="D4070" s="8"/>
      <c r="E4070" s="8"/>
      <c r="F4070" s="8"/>
      <c r="G4070" s="8"/>
      <c r="H4070" s="8"/>
      <c r="I4070" s="8"/>
      <c r="J4070" s="8"/>
      <c r="K4070" s="9"/>
      <c r="L4070" s="9"/>
      <c r="M4070" s="9"/>
      <c r="N4070" s="9"/>
      <c r="O4070" s="9"/>
      <c r="P4070" s="9"/>
      <c r="Q4070" s="9"/>
      <c r="R4070" s="9" t="str">
        <f aca="false">IF(AND(A4070&lt;&gt;"",ISNUMBER(Q4070),ISNUMBER(L4070)),ROUND(Q4070-IF(ISNUMBER(N4070),N4070,0)-IF(ISNUMBER(O4070),O4070,0)+IF(ISNUMBER(P4070),P4070,0),2),"")</f>
        <v/>
      </c>
      <c r="S4070" s="9" t="str">
        <f aca="false">IF(R4070="","",ROUND(L4070-R4070,2))</f>
        <v/>
      </c>
      <c r="T4070" s="8" t="str">
        <f aca="false">IF(A4070="","",IF(S4070="","BYPASS",IF(ABS(S4070)&lt;=Summary!$B$2,"PASS","FAIL")))</f>
        <v/>
      </c>
      <c r="U4070" s="8" t="str">
        <f aca="false">IF(T4070="BYPASS",IF(NOT(ISNUMBER(Q4070)),"PreV_ETB missing","End_tr_balance missing"),IF(T4070="FAIL",IF(AND(ISNUMBER(K4070),ISNUMBER(L4070),ABS(L4070-(K4070-IF(ISNUMBER(N4070),N4070,0)-IF(ISNUMBER(O4070),O4070,0)+IF(ISNUMBER(P4070),P4070,0)))&lt;=Summary!$B$2),"Passes using beginning_balance - PreV_ETB differs from beginning_balance",IF(AND(ISNUMBER(O4070),O4070&lt;0,ABS(L4070-(Q4070-IF(ISNUMBER(N4070),N4070,0)+IF(ISNUMBER(P4070),P4070,0)))&lt;=Summary!$B$2),"Negative realized loss not applied - check sign",IF(R4070&lt;0,"Principal paid exceeds prior balance",IF(AND(L4070&gt;Q4070,NOT(ISNUMBER(P4070))),"Balance increased but no Deferred_interest reported",IF(L4070&gt;R4070,"Reported balance higher than expected (missing increase/OC build)","Reported balance lower than expected (missing decrease)"))))),""))</f>
        <v/>
      </c>
    </row>
    <row r="4071" customFormat="false" ht="15" hidden="false" customHeight="false" outlineLevel="0" collapsed="false">
      <c r="A4071" s="8"/>
      <c r="B4071" s="8"/>
      <c r="C4071" s="8"/>
      <c r="D4071" s="8"/>
      <c r="E4071" s="8"/>
      <c r="F4071" s="8"/>
      <c r="G4071" s="8"/>
      <c r="H4071" s="8"/>
      <c r="I4071" s="8"/>
      <c r="J4071" s="8"/>
      <c r="K4071" s="9"/>
      <c r="L4071" s="9"/>
      <c r="M4071" s="9"/>
      <c r="N4071" s="9"/>
      <c r="O4071" s="9"/>
      <c r="P4071" s="9"/>
      <c r="Q4071" s="9"/>
      <c r="R4071" s="9" t="str">
        <f aca="false">IF(AND(A4071&lt;&gt;"",ISNUMBER(Q4071),ISNUMBER(L4071)),ROUND(Q4071-IF(ISNUMBER(N4071),N4071,0)-IF(ISNUMBER(O4071),O4071,0)+IF(ISNUMBER(P4071),P4071,0),2),"")</f>
        <v/>
      </c>
      <c r="S4071" s="9" t="str">
        <f aca="false">IF(R4071="","",ROUND(L4071-R4071,2))</f>
        <v/>
      </c>
      <c r="T4071" s="8" t="str">
        <f aca="false">IF(A4071="","",IF(S4071="","BYPASS",IF(ABS(S4071)&lt;=Summary!$B$2,"PASS","FAIL")))</f>
        <v/>
      </c>
      <c r="U4071" s="8" t="str">
        <f aca="false">IF(T4071="BYPASS",IF(NOT(ISNUMBER(Q4071)),"PreV_ETB missing","End_tr_balance missing"),IF(T4071="FAIL",IF(AND(ISNUMBER(K4071),ISNUMBER(L4071),ABS(L4071-(K4071-IF(ISNUMBER(N4071),N4071,0)-IF(ISNUMBER(O4071),O4071,0)+IF(ISNUMBER(P4071),P4071,0)))&lt;=Summary!$B$2),"Passes using beginning_balance - PreV_ETB differs from beginning_balance",IF(AND(ISNUMBER(O4071),O4071&lt;0,ABS(L4071-(Q4071-IF(ISNUMBER(N4071),N4071,0)+IF(ISNUMBER(P4071),P4071,0)))&lt;=Summary!$B$2),"Negative realized loss not applied - check sign",IF(R4071&lt;0,"Principal paid exceeds prior balance",IF(AND(L4071&gt;Q4071,NOT(ISNUMBER(P4071))),"Balance increased but no Deferred_interest reported",IF(L4071&gt;R4071,"Reported balance higher than expected (missing increase/OC build)","Reported balance lower than expected (missing decrease)"))))),""))</f>
        <v/>
      </c>
    </row>
    <row r="4072" customFormat="false" ht="15" hidden="false" customHeight="false" outlineLevel="0" collapsed="false">
      <c r="A4072" s="8"/>
      <c r="B4072" s="8"/>
      <c r="C4072" s="8"/>
      <c r="D4072" s="8"/>
      <c r="E4072" s="8"/>
      <c r="F4072" s="8"/>
      <c r="G4072" s="8"/>
      <c r="H4072" s="8"/>
      <c r="I4072" s="8"/>
      <c r="J4072" s="8"/>
      <c r="K4072" s="9"/>
      <c r="L4072" s="9"/>
      <c r="M4072" s="9"/>
      <c r="N4072" s="9"/>
      <c r="O4072" s="9"/>
      <c r="P4072" s="9"/>
      <c r="Q4072" s="9"/>
      <c r="R4072" s="9" t="str">
        <f aca="false">IF(AND(A4072&lt;&gt;"",ISNUMBER(Q4072),ISNUMBER(L4072)),ROUND(Q4072-IF(ISNUMBER(N4072),N4072,0)-IF(ISNUMBER(O4072),O4072,0)+IF(ISNUMBER(P4072),P4072,0),2),"")</f>
        <v/>
      </c>
      <c r="S4072" s="9" t="str">
        <f aca="false">IF(R4072="","",ROUND(L4072-R4072,2))</f>
        <v/>
      </c>
      <c r="T4072" s="8" t="str">
        <f aca="false">IF(A4072="","",IF(S4072="","BYPASS",IF(ABS(S4072)&lt;=Summary!$B$2,"PASS","FAIL")))</f>
        <v/>
      </c>
      <c r="U4072" s="8" t="str">
        <f aca="false">IF(T4072="BYPASS",IF(NOT(ISNUMBER(Q4072)),"PreV_ETB missing","End_tr_balance missing"),IF(T4072="FAIL",IF(AND(ISNUMBER(K4072),ISNUMBER(L4072),ABS(L4072-(K4072-IF(ISNUMBER(N4072),N4072,0)-IF(ISNUMBER(O4072),O4072,0)+IF(ISNUMBER(P4072),P4072,0)))&lt;=Summary!$B$2),"Passes using beginning_balance - PreV_ETB differs from beginning_balance",IF(AND(ISNUMBER(O4072),O4072&lt;0,ABS(L4072-(Q4072-IF(ISNUMBER(N4072),N4072,0)+IF(ISNUMBER(P4072),P4072,0)))&lt;=Summary!$B$2),"Negative realized loss not applied - check sign",IF(R4072&lt;0,"Principal paid exceeds prior balance",IF(AND(L4072&gt;Q4072,NOT(ISNUMBER(P4072))),"Balance increased but no Deferred_interest reported",IF(L4072&gt;R4072,"Reported balance higher than expected (missing increase/OC build)","Reported balance lower than expected (missing decrease)"))))),""))</f>
        <v/>
      </c>
    </row>
    <row r="4073" customFormat="false" ht="15" hidden="false" customHeight="false" outlineLevel="0" collapsed="false">
      <c r="A4073" s="8"/>
      <c r="B4073" s="8"/>
      <c r="C4073" s="8"/>
      <c r="D4073" s="8"/>
      <c r="E4073" s="8"/>
      <c r="F4073" s="8"/>
      <c r="G4073" s="8"/>
      <c r="H4073" s="8"/>
      <c r="I4073" s="8"/>
      <c r="J4073" s="8"/>
      <c r="K4073" s="9"/>
      <c r="L4073" s="9"/>
      <c r="M4073" s="9"/>
      <c r="N4073" s="9"/>
      <c r="O4073" s="9"/>
      <c r="P4073" s="9"/>
      <c r="Q4073" s="9"/>
      <c r="R4073" s="9" t="str">
        <f aca="false">IF(AND(A4073&lt;&gt;"",ISNUMBER(Q4073),ISNUMBER(L4073)),ROUND(Q4073-IF(ISNUMBER(N4073),N4073,0)-IF(ISNUMBER(O4073),O4073,0)+IF(ISNUMBER(P4073),P4073,0),2),"")</f>
        <v/>
      </c>
      <c r="S4073" s="9" t="str">
        <f aca="false">IF(R4073="","",ROUND(L4073-R4073,2))</f>
        <v/>
      </c>
      <c r="T4073" s="8" t="str">
        <f aca="false">IF(A4073="","",IF(S4073="","BYPASS",IF(ABS(S4073)&lt;=Summary!$B$2,"PASS","FAIL")))</f>
        <v/>
      </c>
      <c r="U4073" s="8" t="str">
        <f aca="false">IF(T4073="BYPASS",IF(NOT(ISNUMBER(Q4073)),"PreV_ETB missing","End_tr_balance missing"),IF(T4073="FAIL",IF(AND(ISNUMBER(K4073),ISNUMBER(L4073),ABS(L4073-(K4073-IF(ISNUMBER(N4073),N4073,0)-IF(ISNUMBER(O4073),O4073,0)+IF(ISNUMBER(P4073),P4073,0)))&lt;=Summary!$B$2),"Passes using beginning_balance - PreV_ETB differs from beginning_balance",IF(AND(ISNUMBER(O4073),O4073&lt;0,ABS(L4073-(Q4073-IF(ISNUMBER(N4073),N4073,0)+IF(ISNUMBER(P4073),P4073,0)))&lt;=Summary!$B$2),"Negative realized loss not applied - check sign",IF(R4073&lt;0,"Principal paid exceeds prior balance",IF(AND(L4073&gt;Q4073,NOT(ISNUMBER(P4073))),"Balance increased but no Deferred_interest reported",IF(L4073&gt;R4073,"Reported balance higher than expected (missing increase/OC build)","Reported balance lower than expected (missing decrease)"))))),""))</f>
        <v/>
      </c>
    </row>
    <row r="4074" customFormat="false" ht="15" hidden="false" customHeight="false" outlineLevel="0" collapsed="false">
      <c r="A4074" s="8"/>
      <c r="B4074" s="8"/>
      <c r="C4074" s="8"/>
      <c r="D4074" s="8"/>
      <c r="E4074" s="8"/>
      <c r="F4074" s="8"/>
      <c r="G4074" s="8"/>
      <c r="H4074" s="8"/>
      <c r="I4074" s="8"/>
      <c r="J4074" s="8"/>
      <c r="K4074" s="9"/>
      <c r="L4074" s="9"/>
      <c r="M4074" s="9"/>
      <c r="N4074" s="9"/>
      <c r="O4074" s="9"/>
      <c r="P4074" s="9"/>
      <c r="Q4074" s="9"/>
      <c r="R4074" s="9" t="str">
        <f aca="false">IF(AND(A4074&lt;&gt;"",ISNUMBER(Q4074),ISNUMBER(L4074)),ROUND(Q4074-IF(ISNUMBER(N4074),N4074,0)-IF(ISNUMBER(O4074),O4074,0)+IF(ISNUMBER(P4074),P4074,0),2),"")</f>
        <v/>
      </c>
      <c r="S4074" s="9" t="str">
        <f aca="false">IF(R4074="","",ROUND(L4074-R4074,2))</f>
        <v/>
      </c>
      <c r="T4074" s="8" t="str">
        <f aca="false">IF(A4074="","",IF(S4074="","BYPASS",IF(ABS(S4074)&lt;=Summary!$B$2,"PASS","FAIL")))</f>
        <v/>
      </c>
      <c r="U4074" s="8" t="str">
        <f aca="false">IF(T4074="BYPASS",IF(NOT(ISNUMBER(Q4074)),"PreV_ETB missing","End_tr_balance missing"),IF(T4074="FAIL",IF(AND(ISNUMBER(K4074),ISNUMBER(L4074),ABS(L4074-(K4074-IF(ISNUMBER(N4074),N4074,0)-IF(ISNUMBER(O4074),O4074,0)+IF(ISNUMBER(P4074),P4074,0)))&lt;=Summary!$B$2),"Passes using beginning_balance - PreV_ETB differs from beginning_balance",IF(AND(ISNUMBER(O4074),O4074&lt;0,ABS(L4074-(Q4074-IF(ISNUMBER(N4074),N4074,0)+IF(ISNUMBER(P4074),P4074,0)))&lt;=Summary!$B$2),"Negative realized loss not applied - check sign",IF(R4074&lt;0,"Principal paid exceeds prior balance",IF(AND(L4074&gt;Q4074,NOT(ISNUMBER(P4074))),"Balance increased but no Deferred_interest reported",IF(L4074&gt;R4074,"Reported balance higher than expected (missing increase/OC build)","Reported balance lower than expected (missing decrease)"))))),""))</f>
        <v/>
      </c>
    </row>
    <row r="4075" customFormat="false" ht="15" hidden="false" customHeight="false" outlineLevel="0" collapsed="false">
      <c r="A4075" s="8"/>
      <c r="B4075" s="8"/>
      <c r="C4075" s="8"/>
      <c r="D4075" s="8"/>
      <c r="E4075" s="8"/>
      <c r="F4075" s="8"/>
      <c r="G4075" s="8"/>
      <c r="H4075" s="8"/>
      <c r="I4075" s="8"/>
      <c r="J4075" s="8"/>
      <c r="K4075" s="9"/>
      <c r="L4075" s="9"/>
      <c r="M4075" s="9"/>
      <c r="N4075" s="9"/>
      <c r="O4075" s="9"/>
      <c r="P4075" s="9"/>
      <c r="Q4075" s="9"/>
      <c r="R4075" s="9" t="str">
        <f aca="false">IF(AND(A4075&lt;&gt;"",ISNUMBER(Q4075),ISNUMBER(L4075)),ROUND(Q4075-IF(ISNUMBER(N4075),N4075,0)-IF(ISNUMBER(O4075),O4075,0)+IF(ISNUMBER(P4075),P4075,0),2),"")</f>
        <v/>
      </c>
      <c r="S4075" s="9" t="str">
        <f aca="false">IF(R4075="","",ROUND(L4075-R4075,2))</f>
        <v/>
      </c>
      <c r="T4075" s="8" t="str">
        <f aca="false">IF(A4075="","",IF(S4075="","BYPASS",IF(ABS(S4075)&lt;=Summary!$B$2,"PASS","FAIL")))</f>
        <v/>
      </c>
      <c r="U4075" s="8" t="str">
        <f aca="false">IF(T4075="BYPASS",IF(NOT(ISNUMBER(Q4075)),"PreV_ETB missing","End_tr_balance missing"),IF(T4075="FAIL",IF(AND(ISNUMBER(K4075),ISNUMBER(L4075),ABS(L4075-(K4075-IF(ISNUMBER(N4075),N4075,0)-IF(ISNUMBER(O4075),O4075,0)+IF(ISNUMBER(P4075),P4075,0)))&lt;=Summary!$B$2),"Passes using beginning_balance - PreV_ETB differs from beginning_balance",IF(AND(ISNUMBER(O4075),O4075&lt;0,ABS(L4075-(Q4075-IF(ISNUMBER(N4075),N4075,0)+IF(ISNUMBER(P4075),P4075,0)))&lt;=Summary!$B$2),"Negative realized loss not applied - check sign",IF(R4075&lt;0,"Principal paid exceeds prior balance",IF(AND(L4075&gt;Q4075,NOT(ISNUMBER(P4075))),"Balance increased but no Deferred_interest reported",IF(L4075&gt;R4075,"Reported balance higher than expected (missing increase/OC build)","Reported balance lower than expected (missing decrease)"))))),""))</f>
        <v/>
      </c>
    </row>
    <row r="4076" customFormat="false" ht="15" hidden="false" customHeight="false" outlineLevel="0" collapsed="false">
      <c r="A4076" s="8"/>
      <c r="B4076" s="8"/>
      <c r="C4076" s="8"/>
      <c r="D4076" s="8"/>
      <c r="E4076" s="8"/>
      <c r="F4076" s="8"/>
      <c r="G4076" s="8"/>
      <c r="H4076" s="8"/>
      <c r="I4076" s="8"/>
      <c r="J4076" s="8"/>
      <c r="K4076" s="9"/>
      <c r="L4076" s="9"/>
      <c r="M4076" s="9"/>
      <c r="N4076" s="9"/>
      <c r="O4076" s="9"/>
      <c r="P4076" s="9"/>
      <c r="Q4076" s="9"/>
      <c r="R4076" s="9" t="str">
        <f aca="false">IF(AND(A4076&lt;&gt;"",ISNUMBER(Q4076),ISNUMBER(L4076)),ROUND(Q4076-IF(ISNUMBER(N4076),N4076,0)-IF(ISNUMBER(O4076),O4076,0)+IF(ISNUMBER(P4076),P4076,0),2),"")</f>
        <v/>
      </c>
      <c r="S4076" s="9" t="str">
        <f aca="false">IF(R4076="","",ROUND(L4076-R4076,2))</f>
        <v/>
      </c>
      <c r="T4076" s="8" t="str">
        <f aca="false">IF(A4076="","",IF(S4076="","BYPASS",IF(ABS(S4076)&lt;=Summary!$B$2,"PASS","FAIL")))</f>
        <v/>
      </c>
      <c r="U4076" s="8" t="str">
        <f aca="false">IF(T4076="BYPASS",IF(NOT(ISNUMBER(Q4076)),"PreV_ETB missing","End_tr_balance missing"),IF(T4076="FAIL",IF(AND(ISNUMBER(K4076),ISNUMBER(L4076),ABS(L4076-(K4076-IF(ISNUMBER(N4076),N4076,0)-IF(ISNUMBER(O4076),O4076,0)+IF(ISNUMBER(P4076),P4076,0)))&lt;=Summary!$B$2),"Passes using beginning_balance - PreV_ETB differs from beginning_balance",IF(AND(ISNUMBER(O4076),O4076&lt;0,ABS(L4076-(Q4076-IF(ISNUMBER(N4076),N4076,0)+IF(ISNUMBER(P4076),P4076,0)))&lt;=Summary!$B$2),"Negative realized loss not applied - check sign",IF(R4076&lt;0,"Principal paid exceeds prior balance",IF(AND(L4076&gt;Q4076,NOT(ISNUMBER(P4076))),"Balance increased but no Deferred_interest reported",IF(L4076&gt;R4076,"Reported balance higher than expected (missing increase/OC build)","Reported balance lower than expected (missing decrease)"))))),""))</f>
        <v/>
      </c>
    </row>
    <row r="4077" customFormat="false" ht="15" hidden="false" customHeight="false" outlineLevel="0" collapsed="false">
      <c r="A4077" s="8"/>
      <c r="B4077" s="8"/>
      <c r="C4077" s="8"/>
      <c r="D4077" s="8"/>
      <c r="E4077" s="8"/>
      <c r="F4077" s="8"/>
      <c r="G4077" s="8"/>
      <c r="H4077" s="8"/>
      <c r="I4077" s="8"/>
      <c r="J4077" s="8"/>
      <c r="K4077" s="9"/>
      <c r="L4077" s="9"/>
      <c r="M4077" s="9"/>
      <c r="N4077" s="9"/>
      <c r="O4077" s="9"/>
      <c r="P4077" s="9"/>
      <c r="Q4077" s="9"/>
      <c r="R4077" s="9" t="str">
        <f aca="false">IF(AND(A4077&lt;&gt;"",ISNUMBER(Q4077),ISNUMBER(L4077)),ROUND(Q4077-IF(ISNUMBER(N4077),N4077,0)-IF(ISNUMBER(O4077),O4077,0)+IF(ISNUMBER(P4077),P4077,0),2),"")</f>
        <v/>
      </c>
      <c r="S4077" s="9" t="str">
        <f aca="false">IF(R4077="","",ROUND(L4077-R4077,2))</f>
        <v/>
      </c>
      <c r="T4077" s="8" t="str">
        <f aca="false">IF(A4077="","",IF(S4077="","BYPASS",IF(ABS(S4077)&lt;=Summary!$B$2,"PASS","FAIL")))</f>
        <v/>
      </c>
      <c r="U4077" s="8" t="str">
        <f aca="false">IF(T4077="BYPASS",IF(NOT(ISNUMBER(Q4077)),"PreV_ETB missing","End_tr_balance missing"),IF(T4077="FAIL",IF(AND(ISNUMBER(K4077),ISNUMBER(L4077),ABS(L4077-(K4077-IF(ISNUMBER(N4077),N4077,0)-IF(ISNUMBER(O4077),O4077,0)+IF(ISNUMBER(P4077),P4077,0)))&lt;=Summary!$B$2),"Passes using beginning_balance - PreV_ETB differs from beginning_balance",IF(AND(ISNUMBER(O4077),O4077&lt;0,ABS(L4077-(Q4077-IF(ISNUMBER(N4077),N4077,0)+IF(ISNUMBER(P4077),P4077,0)))&lt;=Summary!$B$2),"Negative realized loss not applied - check sign",IF(R4077&lt;0,"Principal paid exceeds prior balance",IF(AND(L4077&gt;Q4077,NOT(ISNUMBER(P4077))),"Balance increased but no Deferred_interest reported",IF(L4077&gt;R4077,"Reported balance higher than expected (missing increase/OC build)","Reported balance lower than expected (missing decrease)"))))),""))</f>
        <v/>
      </c>
    </row>
    <row r="4078" customFormat="false" ht="15" hidden="false" customHeight="false" outlineLevel="0" collapsed="false">
      <c r="A4078" s="8"/>
      <c r="B4078" s="8"/>
      <c r="C4078" s="8"/>
      <c r="D4078" s="8"/>
      <c r="E4078" s="8"/>
      <c r="F4078" s="8"/>
      <c r="G4078" s="8"/>
      <c r="H4078" s="8"/>
      <c r="I4078" s="8"/>
      <c r="J4078" s="8"/>
      <c r="K4078" s="9"/>
      <c r="L4078" s="9"/>
      <c r="M4078" s="9"/>
      <c r="N4078" s="9"/>
      <c r="O4078" s="9"/>
      <c r="P4078" s="9"/>
      <c r="Q4078" s="9"/>
      <c r="R4078" s="9" t="str">
        <f aca="false">IF(AND(A4078&lt;&gt;"",ISNUMBER(Q4078),ISNUMBER(L4078)),ROUND(Q4078-IF(ISNUMBER(N4078),N4078,0)-IF(ISNUMBER(O4078),O4078,0)+IF(ISNUMBER(P4078),P4078,0),2),"")</f>
        <v/>
      </c>
      <c r="S4078" s="9" t="str">
        <f aca="false">IF(R4078="","",ROUND(L4078-R4078,2))</f>
        <v/>
      </c>
      <c r="T4078" s="8" t="str">
        <f aca="false">IF(A4078="","",IF(S4078="","BYPASS",IF(ABS(S4078)&lt;=Summary!$B$2,"PASS","FAIL")))</f>
        <v/>
      </c>
      <c r="U4078" s="8" t="str">
        <f aca="false">IF(T4078="BYPASS",IF(NOT(ISNUMBER(Q4078)),"PreV_ETB missing","End_tr_balance missing"),IF(T4078="FAIL",IF(AND(ISNUMBER(K4078),ISNUMBER(L4078),ABS(L4078-(K4078-IF(ISNUMBER(N4078),N4078,0)-IF(ISNUMBER(O4078),O4078,0)+IF(ISNUMBER(P4078),P4078,0)))&lt;=Summary!$B$2),"Passes using beginning_balance - PreV_ETB differs from beginning_balance",IF(AND(ISNUMBER(O4078),O4078&lt;0,ABS(L4078-(Q4078-IF(ISNUMBER(N4078),N4078,0)+IF(ISNUMBER(P4078),P4078,0)))&lt;=Summary!$B$2),"Negative realized loss not applied - check sign",IF(R4078&lt;0,"Principal paid exceeds prior balance",IF(AND(L4078&gt;Q4078,NOT(ISNUMBER(P4078))),"Balance increased but no Deferred_interest reported",IF(L4078&gt;R4078,"Reported balance higher than expected (missing increase/OC build)","Reported balance lower than expected (missing decrease)"))))),""))</f>
        <v/>
      </c>
    </row>
    <row r="4079" customFormat="false" ht="15" hidden="false" customHeight="false" outlineLevel="0" collapsed="false">
      <c r="A4079" s="8"/>
      <c r="B4079" s="8"/>
      <c r="C4079" s="8"/>
      <c r="D4079" s="8"/>
      <c r="E4079" s="8"/>
      <c r="F4079" s="8"/>
      <c r="G4079" s="8"/>
      <c r="H4079" s="8"/>
      <c r="I4079" s="8"/>
      <c r="J4079" s="8"/>
      <c r="K4079" s="9"/>
      <c r="L4079" s="9"/>
      <c r="M4079" s="9"/>
      <c r="N4079" s="9"/>
      <c r="O4079" s="9"/>
      <c r="P4079" s="9"/>
      <c r="Q4079" s="9"/>
      <c r="R4079" s="9" t="str">
        <f aca="false">IF(AND(A4079&lt;&gt;"",ISNUMBER(Q4079),ISNUMBER(L4079)),ROUND(Q4079-IF(ISNUMBER(N4079),N4079,0)-IF(ISNUMBER(O4079),O4079,0)+IF(ISNUMBER(P4079),P4079,0),2),"")</f>
        <v/>
      </c>
      <c r="S4079" s="9" t="str">
        <f aca="false">IF(R4079="","",ROUND(L4079-R4079,2))</f>
        <v/>
      </c>
      <c r="T4079" s="8" t="str">
        <f aca="false">IF(A4079="","",IF(S4079="","BYPASS",IF(ABS(S4079)&lt;=Summary!$B$2,"PASS","FAIL")))</f>
        <v/>
      </c>
      <c r="U4079" s="8" t="str">
        <f aca="false">IF(T4079="BYPASS",IF(NOT(ISNUMBER(Q4079)),"PreV_ETB missing","End_tr_balance missing"),IF(T4079="FAIL",IF(AND(ISNUMBER(K4079),ISNUMBER(L4079),ABS(L4079-(K4079-IF(ISNUMBER(N4079),N4079,0)-IF(ISNUMBER(O4079),O4079,0)+IF(ISNUMBER(P4079),P4079,0)))&lt;=Summary!$B$2),"Passes using beginning_balance - PreV_ETB differs from beginning_balance",IF(AND(ISNUMBER(O4079),O4079&lt;0,ABS(L4079-(Q4079-IF(ISNUMBER(N4079),N4079,0)+IF(ISNUMBER(P4079),P4079,0)))&lt;=Summary!$B$2),"Negative realized loss not applied - check sign",IF(R4079&lt;0,"Principal paid exceeds prior balance",IF(AND(L4079&gt;Q4079,NOT(ISNUMBER(P4079))),"Balance increased but no Deferred_interest reported",IF(L4079&gt;R4079,"Reported balance higher than expected (missing increase/OC build)","Reported balance lower than expected (missing decrease)"))))),""))</f>
        <v/>
      </c>
    </row>
    <row r="4080" customFormat="false" ht="15" hidden="false" customHeight="false" outlineLevel="0" collapsed="false">
      <c r="A4080" s="8"/>
      <c r="B4080" s="8"/>
      <c r="C4080" s="8"/>
      <c r="D4080" s="8"/>
      <c r="E4080" s="8"/>
      <c r="F4080" s="8"/>
      <c r="G4080" s="8"/>
      <c r="H4080" s="8"/>
      <c r="I4080" s="8"/>
      <c r="J4080" s="8"/>
      <c r="K4080" s="9"/>
      <c r="L4080" s="9"/>
      <c r="M4080" s="9"/>
      <c r="N4080" s="9"/>
      <c r="O4080" s="9"/>
      <c r="P4080" s="9"/>
      <c r="Q4080" s="9"/>
      <c r="R4080" s="9" t="str">
        <f aca="false">IF(AND(A4080&lt;&gt;"",ISNUMBER(Q4080),ISNUMBER(L4080)),ROUND(Q4080-IF(ISNUMBER(N4080),N4080,0)-IF(ISNUMBER(O4080),O4080,0)+IF(ISNUMBER(P4080),P4080,0),2),"")</f>
        <v/>
      </c>
      <c r="S4080" s="9" t="str">
        <f aca="false">IF(R4080="","",ROUND(L4080-R4080,2))</f>
        <v/>
      </c>
      <c r="T4080" s="8" t="str">
        <f aca="false">IF(A4080="","",IF(S4080="","BYPASS",IF(ABS(S4080)&lt;=Summary!$B$2,"PASS","FAIL")))</f>
        <v/>
      </c>
      <c r="U4080" s="8" t="str">
        <f aca="false">IF(T4080="BYPASS",IF(NOT(ISNUMBER(Q4080)),"PreV_ETB missing","End_tr_balance missing"),IF(T4080="FAIL",IF(AND(ISNUMBER(K4080),ISNUMBER(L4080),ABS(L4080-(K4080-IF(ISNUMBER(N4080),N4080,0)-IF(ISNUMBER(O4080),O4080,0)+IF(ISNUMBER(P4080),P4080,0)))&lt;=Summary!$B$2),"Passes using beginning_balance - PreV_ETB differs from beginning_balance",IF(AND(ISNUMBER(O4080),O4080&lt;0,ABS(L4080-(Q4080-IF(ISNUMBER(N4080),N4080,0)+IF(ISNUMBER(P4080),P4080,0)))&lt;=Summary!$B$2),"Negative realized loss not applied - check sign",IF(R4080&lt;0,"Principal paid exceeds prior balance",IF(AND(L4080&gt;Q4080,NOT(ISNUMBER(P4080))),"Balance increased but no Deferred_interest reported",IF(L4080&gt;R4080,"Reported balance higher than expected (missing increase/OC build)","Reported balance lower than expected (missing decrease)"))))),""))</f>
        <v/>
      </c>
    </row>
    <row r="4081" customFormat="false" ht="15" hidden="false" customHeight="false" outlineLevel="0" collapsed="false">
      <c r="A4081" s="8"/>
      <c r="B4081" s="8"/>
      <c r="C4081" s="8"/>
      <c r="D4081" s="8"/>
      <c r="E4081" s="8"/>
      <c r="F4081" s="8"/>
      <c r="G4081" s="8"/>
      <c r="H4081" s="8"/>
      <c r="I4081" s="8"/>
      <c r="J4081" s="8"/>
      <c r="K4081" s="9"/>
      <c r="L4081" s="9"/>
      <c r="M4081" s="9"/>
      <c r="N4081" s="9"/>
      <c r="O4081" s="9"/>
      <c r="P4081" s="9"/>
      <c r="Q4081" s="9"/>
      <c r="R4081" s="9" t="str">
        <f aca="false">IF(AND(A4081&lt;&gt;"",ISNUMBER(Q4081),ISNUMBER(L4081)),ROUND(Q4081-IF(ISNUMBER(N4081),N4081,0)-IF(ISNUMBER(O4081),O4081,0)+IF(ISNUMBER(P4081),P4081,0),2),"")</f>
        <v/>
      </c>
      <c r="S4081" s="9" t="str">
        <f aca="false">IF(R4081="","",ROUND(L4081-R4081,2))</f>
        <v/>
      </c>
      <c r="T4081" s="8" t="str">
        <f aca="false">IF(A4081="","",IF(S4081="","BYPASS",IF(ABS(S4081)&lt;=Summary!$B$2,"PASS","FAIL")))</f>
        <v/>
      </c>
      <c r="U4081" s="8" t="str">
        <f aca="false">IF(T4081="BYPASS",IF(NOT(ISNUMBER(Q4081)),"PreV_ETB missing","End_tr_balance missing"),IF(T4081="FAIL",IF(AND(ISNUMBER(K4081),ISNUMBER(L4081),ABS(L4081-(K4081-IF(ISNUMBER(N4081),N4081,0)-IF(ISNUMBER(O4081),O4081,0)+IF(ISNUMBER(P4081),P4081,0)))&lt;=Summary!$B$2),"Passes using beginning_balance - PreV_ETB differs from beginning_balance",IF(AND(ISNUMBER(O4081),O4081&lt;0,ABS(L4081-(Q4081-IF(ISNUMBER(N4081),N4081,0)+IF(ISNUMBER(P4081),P4081,0)))&lt;=Summary!$B$2),"Negative realized loss not applied - check sign",IF(R4081&lt;0,"Principal paid exceeds prior balance",IF(AND(L4081&gt;Q4081,NOT(ISNUMBER(P4081))),"Balance increased but no Deferred_interest reported",IF(L4081&gt;R4081,"Reported balance higher than expected (missing increase/OC build)","Reported balance lower than expected (missing decrease)"))))),""))</f>
        <v/>
      </c>
    </row>
    <row r="4082" customFormat="false" ht="15" hidden="false" customHeight="false" outlineLevel="0" collapsed="false">
      <c r="A4082" s="8"/>
      <c r="B4082" s="8"/>
      <c r="C4082" s="8"/>
      <c r="D4082" s="8"/>
      <c r="E4082" s="8"/>
      <c r="F4082" s="8"/>
      <c r="G4082" s="8"/>
      <c r="H4082" s="8"/>
      <c r="I4082" s="8"/>
      <c r="J4082" s="8"/>
      <c r="K4082" s="9"/>
      <c r="L4082" s="9"/>
      <c r="M4082" s="9"/>
      <c r="N4082" s="9"/>
      <c r="O4082" s="9"/>
      <c r="P4082" s="9"/>
      <c r="Q4082" s="9"/>
      <c r="R4082" s="9" t="str">
        <f aca="false">IF(AND(A4082&lt;&gt;"",ISNUMBER(Q4082),ISNUMBER(L4082)),ROUND(Q4082-IF(ISNUMBER(N4082),N4082,0)-IF(ISNUMBER(O4082),O4082,0)+IF(ISNUMBER(P4082),P4082,0),2),"")</f>
        <v/>
      </c>
      <c r="S4082" s="9" t="str">
        <f aca="false">IF(R4082="","",ROUND(L4082-R4082,2))</f>
        <v/>
      </c>
      <c r="T4082" s="8" t="str">
        <f aca="false">IF(A4082="","",IF(S4082="","BYPASS",IF(ABS(S4082)&lt;=Summary!$B$2,"PASS","FAIL")))</f>
        <v/>
      </c>
      <c r="U4082" s="8" t="str">
        <f aca="false">IF(T4082="BYPASS",IF(NOT(ISNUMBER(Q4082)),"PreV_ETB missing","End_tr_balance missing"),IF(T4082="FAIL",IF(AND(ISNUMBER(K4082),ISNUMBER(L4082),ABS(L4082-(K4082-IF(ISNUMBER(N4082),N4082,0)-IF(ISNUMBER(O4082),O4082,0)+IF(ISNUMBER(P4082),P4082,0)))&lt;=Summary!$B$2),"Passes using beginning_balance - PreV_ETB differs from beginning_balance",IF(AND(ISNUMBER(O4082),O4082&lt;0,ABS(L4082-(Q4082-IF(ISNUMBER(N4082),N4082,0)+IF(ISNUMBER(P4082),P4082,0)))&lt;=Summary!$B$2),"Negative realized loss not applied - check sign",IF(R4082&lt;0,"Principal paid exceeds prior balance",IF(AND(L4082&gt;Q4082,NOT(ISNUMBER(P4082))),"Balance increased but no Deferred_interest reported",IF(L4082&gt;R4082,"Reported balance higher than expected (missing increase/OC build)","Reported balance lower than expected (missing decrease)"))))),""))</f>
        <v/>
      </c>
    </row>
    <row r="4083" customFormat="false" ht="15" hidden="false" customHeight="false" outlineLevel="0" collapsed="false">
      <c r="A4083" s="8"/>
      <c r="B4083" s="8"/>
      <c r="C4083" s="8"/>
      <c r="D4083" s="8"/>
      <c r="E4083" s="8"/>
      <c r="F4083" s="8"/>
      <c r="G4083" s="8"/>
      <c r="H4083" s="8"/>
      <c r="I4083" s="8"/>
      <c r="J4083" s="8"/>
      <c r="K4083" s="9"/>
      <c r="L4083" s="9"/>
      <c r="M4083" s="9"/>
      <c r="N4083" s="9"/>
      <c r="O4083" s="9"/>
      <c r="P4083" s="9"/>
      <c r="Q4083" s="9"/>
      <c r="R4083" s="9" t="str">
        <f aca="false">IF(AND(A4083&lt;&gt;"",ISNUMBER(Q4083),ISNUMBER(L4083)),ROUND(Q4083-IF(ISNUMBER(N4083),N4083,0)-IF(ISNUMBER(O4083),O4083,0)+IF(ISNUMBER(P4083),P4083,0),2),"")</f>
        <v/>
      </c>
      <c r="S4083" s="9" t="str">
        <f aca="false">IF(R4083="","",ROUND(L4083-R4083,2))</f>
        <v/>
      </c>
      <c r="T4083" s="8" t="str">
        <f aca="false">IF(A4083="","",IF(S4083="","BYPASS",IF(ABS(S4083)&lt;=Summary!$B$2,"PASS","FAIL")))</f>
        <v/>
      </c>
      <c r="U4083" s="8" t="str">
        <f aca="false">IF(T4083="BYPASS",IF(NOT(ISNUMBER(Q4083)),"PreV_ETB missing","End_tr_balance missing"),IF(T4083="FAIL",IF(AND(ISNUMBER(K4083),ISNUMBER(L4083),ABS(L4083-(K4083-IF(ISNUMBER(N4083),N4083,0)-IF(ISNUMBER(O4083),O4083,0)+IF(ISNUMBER(P4083),P4083,0)))&lt;=Summary!$B$2),"Passes using beginning_balance - PreV_ETB differs from beginning_balance",IF(AND(ISNUMBER(O4083),O4083&lt;0,ABS(L4083-(Q4083-IF(ISNUMBER(N4083),N4083,0)+IF(ISNUMBER(P4083),P4083,0)))&lt;=Summary!$B$2),"Negative realized loss not applied - check sign",IF(R4083&lt;0,"Principal paid exceeds prior balance",IF(AND(L4083&gt;Q4083,NOT(ISNUMBER(P4083))),"Balance increased but no Deferred_interest reported",IF(L4083&gt;R4083,"Reported balance higher than expected (missing increase/OC build)","Reported balance lower than expected (missing decrease)"))))),""))</f>
        <v/>
      </c>
    </row>
    <row r="4084" customFormat="false" ht="15" hidden="false" customHeight="false" outlineLevel="0" collapsed="false">
      <c r="A4084" s="8"/>
      <c r="B4084" s="8"/>
      <c r="C4084" s="8"/>
      <c r="D4084" s="8"/>
      <c r="E4084" s="8"/>
      <c r="F4084" s="8"/>
      <c r="G4084" s="8"/>
      <c r="H4084" s="8"/>
      <c r="I4084" s="8"/>
      <c r="J4084" s="8"/>
      <c r="K4084" s="9"/>
      <c r="L4084" s="9"/>
      <c r="M4084" s="9"/>
      <c r="N4084" s="9"/>
      <c r="O4084" s="9"/>
      <c r="P4084" s="9"/>
      <c r="Q4084" s="9"/>
      <c r="R4084" s="9" t="str">
        <f aca="false">IF(AND(A4084&lt;&gt;"",ISNUMBER(Q4084),ISNUMBER(L4084)),ROUND(Q4084-IF(ISNUMBER(N4084),N4084,0)-IF(ISNUMBER(O4084),O4084,0)+IF(ISNUMBER(P4084),P4084,0),2),"")</f>
        <v/>
      </c>
      <c r="S4084" s="9" t="str">
        <f aca="false">IF(R4084="","",ROUND(L4084-R4084,2))</f>
        <v/>
      </c>
      <c r="T4084" s="8" t="str">
        <f aca="false">IF(A4084="","",IF(S4084="","BYPASS",IF(ABS(S4084)&lt;=Summary!$B$2,"PASS","FAIL")))</f>
        <v/>
      </c>
      <c r="U4084" s="8" t="str">
        <f aca="false">IF(T4084="BYPASS",IF(NOT(ISNUMBER(Q4084)),"PreV_ETB missing","End_tr_balance missing"),IF(T4084="FAIL",IF(AND(ISNUMBER(K4084),ISNUMBER(L4084),ABS(L4084-(K4084-IF(ISNUMBER(N4084),N4084,0)-IF(ISNUMBER(O4084),O4084,0)+IF(ISNUMBER(P4084),P4084,0)))&lt;=Summary!$B$2),"Passes using beginning_balance - PreV_ETB differs from beginning_balance",IF(AND(ISNUMBER(O4084),O4084&lt;0,ABS(L4084-(Q4084-IF(ISNUMBER(N4084),N4084,0)+IF(ISNUMBER(P4084),P4084,0)))&lt;=Summary!$B$2),"Negative realized loss not applied - check sign",IF(R4084&lt;0,"Principal paid exceeds prior balance",IF(AND(L4084&gt;Q4084,NOT(ISNUMBER(P4084))),"Balance increased but no Deferred_interest reported",IF(L4084&gt;R4084,"Reported balance higher than expected (missing increase/OC build)","Reported balance lower than expected (missing decrease)"))))),""))</f>
        <v/>
      </c>
    </row>
    <row r="4085" customFormat="false" ht="15" hidden="false" customHeight="false" outlineLevel="0" collapsed="false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9"/>
      <c r="L4085" s="9"/>
      <c r="M4085" s="9"/>
      <c r="N4085" s="9"/>
      <c r="O4085" s="9"/>
      <c r="P4085" s="9"/>
      <c r="Q4085" s="9"/>
      <c r="R4085" s="9" t="str">
        <f aca="false">IF(AND(A4085&lt;&gt;"",ISNUMBER(Q4085),ISNUMBER(L4085)),ROUND(Q4085-IF(ISNUMBER(N4085),N4085,0)-IF(ISNUMBER(O4085),O4085,0)+IF(ISNUMBER(P4085),P4085,0),2),"")</f>
        <v/>
      </c>
      <c r="S4085" s="9" t="str">
        <f aca="false">IF(R4085="","",ROUND(L4085-R4085,2))</f>
        <v/>
      </c>
      <c r="T4085" s="8" t="str">
        <f aca="false">IF(A4085="","",IF(S4085="","BYPASS",IF(ABS(S4085)&lt;=Summary!$B$2,"PASS","FAIL")))</f>
        <v/>
      </c>
      <c r="U4085" s="8" t="str">
        <f aca="false">IF(T4085="BYPASS",IF(NOT(ISNUMBER(Q4085)),"PreV_ETB missing","End_tr_balance missing"),IF(T4085="FAIL",IF(AND(ISNUMBER(K4085),ISNUMBER(L4085),ABS(L4085-(K4085-IF(ISNUMBER(N4085),N4085,0)-IF(ISNUMBER(O4085),O4085,0)+IF(ISNUMBER(P4085),P4085,0)))&lt;=Summary!$B$2),"Passes using beginning_balance - PreV_ETB differs from beginning_balance",IF(AND(ISNUMBER(O4085),O4085&lt;0,ABS(L4085-(Q4085-IF(ISNUMBER(N4085),N4085,0)+IF(ISNUMBER(P4085),P4085,0)))&lt;=Summary!$B$2),"Negative realized loss not applied - check sign",IF(R4085&lt;0,"Principal paid exceeds prior balance",IF(AND(L4085&gt;Q4085,NOT(ISNUMBER(P4085))),"Balance increased but no Deferred_interest reported",IF(L4085&gt;R4085,"Reported balance higher than expected (missing increase/OC build)","Reported balance lower than expected (missing decrease)"))))),""))</f>
        <v/>
      </c>
    </row>
    <row r="4086" customFormat="false" ht="15" hidden="false" customHeight="false" outlineLevel="0" collapsed="false">
      <c r="A4086" s="8"/>
      <c r="B4086" s="8"/>
      <c r="C4086" s="8"/>
      <c r="D4086" s="8"/>
      <c r="E4086" s="8"/>
      <c r="F4086" s="8"/>
      <c r="G4086" s="8"/>
      <c r="H4086" s="8"/>
      <c r="I4086" s="8"/>
      <c r="J4086" s="8"/>
      <c r="K4086" s="9"/>
      <c r="L4086" s="9"/>
      <c r="M4086" s="9"/>
      <c r="N4086" s="9"/>
      <c r="O4086" s="9"/>
      <c r="P4086" s="9"/>
      <c r="Q4086" s="9"/>
      <c r="R4086" s="9" t="str">
        <f aca="false">IF(AND(A4086&lt;&gt;"",ISNUMBER(Q4086),ISNUMBER(L4086)),ROUND(Q4086-IF(ISNUMBER(N4086),N4086,0)-IF(ISNUMBER(O4086),O4086,0)+IF(ISNUMBER(P4086),P4086,0),2),"")</f>
        <v/>
      </c>
      <c r="S4086" s="9" t="str">
        <f aca="false">IF(R4086="","",ROUND(L4086-R4086,2))</f>
        <v/>
      </c>
      <c r="T4086" s="8" t="str">
        <f aca="false">IF(A4086="","",IF(S4086="","BYPASS",IF(ABS(S4086)&lt;=Summary!$B$2,"PASS","FAIL")))</f>
        <v/>
      </c>
      <c r="U4086" s="8" t="str">
        <f aca="false">IF(T4086="BYPASS",IF(NOT(ISNUMBER(Q4086)),"PreV_ETB missing","End_tr_balance missing"),IF(T4086="FAIL",IF(AND(ISNUMBER(K4086),ISNUMBER(L4086),ABS(L4086-(K4086-IF(ISNUMBER(N4086),N4086,0)-IF(ISNUMBER(O4086),O4086,0)+IF(ISNUMBER(P4086),P4086,0)))&lt;=Summary!$B$2),"Passes using beginning_balance - PreV_ETB differs from beginning_balance",IF(AND(ISNUMBER(O4086),O4086&lt;0,ABS(L4086-(Q4086-IF(ISNUMBER(N4086),N4086,0)+IF(ISNUMBER(P4086),P4086,0)))&lt;=Summary!$B$2),"Negative realized loss not applied - check sign",IF(R4086&lt;0,"Principal paid exceeds prior balance",IF(AND(L4086&gt;Q4086,NOT(ISNUMBER(P4086))),"Balance increased but no Deferred_interest reported",IF(L4086&gt;R4086,"Reported balance higher than expected (missing increase/OC build)","Reported balance lower than expected (missing decrease)"))))),""))</f>
        <v/>
      </c>
    </row>
    <row r="4087" customFormat="false" ht="15" hidden="false" customHeight="false" outlineLevel="0" collapsed="false">
      <c r="A4087" s="8"/>
      <c r="B4087" s="8"/>
      <c r="C4087" s="8"/>
      <c r="D4087" s="8"/>
      <c r="E4087" s="8"/>
      <c r="F4087" s="8"/>
      <c r="G4087" s="8"/>
      <c r="H4087" s="8"/>
      <c r="I4087" s="8"/>
      <c r="J4087" s="8"/>
      <c r="K4087" s="9"/>
      <c r="L4087" s="9"/>
      <c r="M4087" s="9"/>
      <c r="N4087" s="9"/>
      <c r="O4087" s="9"/>
      <c r="P4087" s="9"/>
      <c r="Q4087" s="9"/>
      <c r="R4087" s="9" t="str">
        <f aca="false">IF(AND(A4087&lt;&gt;"",ISNUMBER(Q4087),ISNUMBER(L4087)),ROUND(Q4087-IF(ISNUMBER(N4087),N4087,0)-IF(ISNUMBER(O4087),O4087,0)+IF(ISNUMBER(P4087),P4087,0),2),"")</f>
        <v/>
      </c>
      <c r="S4087" s="9" t="str">
        <f aca="false">IF(R4087="","",ROUND(L4087-R4087,2))</f>
        <v/>
      </c>
      <c r="T4087" s="8" t="str">
        <f aca="false">IF(A4087="","",IF(S4087="","BYPASS",IF(ABS(S4087)&lt;=Summary!$B$2,"PASS","FAIL")))</f>
        <v/>
      </c>
      <c r="U4087" s="8" t="str">
        <f aca="false">IF(T4087="BYPASS",IF(NOT(ISNUMBER(Q4087)),"PreV_ETB missing","End_tr_balance missing"),IF(T4087="FAIL",IF(AND(ISNUMBER(K4087),ISNUMBER(L4087),ABS(L4087-(K4087-IF(ISNUMBER(N4087),N4087,0)-IF(ISNUMBER(O4087),O4087,0)+IF(ISNUMBER(P4087),P4087,0)))&lt;=Summary!$B$2),"Passes using beginning_balance - PreV_ETB differs from beginning_balance",IF(AND(ISNUMBER(O4087),O4087&lt;0,ABS(L4087-(Q4087-IF(ISNUMBER(N4087),N4087,0)+IF(ISNUMBER(P4087),P4087,0)))&lt;=Summary!$B$2),"Negative realized loss not applied - check sign",IF(R4087&lt;0,"Principal paid exceeds prior balance",IF(AND(L4087&gt;Q4087,NOT(ISNUMBER(P4087))),"Balance increased but no Deferred_interest reported",IF(L4087&gt;R4087,"Reported balance higher than expected (missing increase/OC build)","Reported balance lower than expected (missing decrease)"))))),""))</f>
        <v/>
      </c>
    </row>
    <row r="4088" customFormat="false" ht="15" hidden="false" customHeight="false" outlineLevel="0" collapsed="false">
      <c r="A4088" s="8"/>
      <c r="B4088" s="8"/>
      <c r="C4088" s="8"/>
      <c r="D4088" s="8"/>
      <c r="E4088" s="8"/>
      <c r="F4088" s="8"/>
      <c r="G4088" s="8"/>
      <c r="H4088" s="8"/>
      <c r="I4088" s="8"/>
      <c r="J4088" s="8"/>
      <c r="K4088" s="9"/>
      <c r="L4088" s="9"/>
      <c r="M4088" s="9"/>
      <c r="N4088" s="9"/>
      <c r="O4088" s="9"/>
      <c r="P4088" s="9"/>
      <c r="Q4088" s="9"/>
      <c r="R4088" s="9" t="str">
        <f aca="false">IF(AND(A4088&lt;&gt;"",ISNUMBER(Q4088),ISNUMBER(L4088)),ROUND(Q4088-IF(ISNUMBER(N4088),N4088,0)-IF(ISNUMBER(O4088),O4088,0)+IF(ISNUMBER(P4088),P4088,0),2),"")</f>
        <v/>
      </c>
      <c r="S4088" s="9" t="str">
        <f aca="false">IF(R4088="","",ROUND(L4088-R4088,2))</f>
        <v/>
      </c>
      <c r="T4088" s="8" t="str">
        <f aca="false">IF(A4088="","",IF(S4088="","BYPASS",IF(ABS(S4088)&lt;=Summary!$B$2,"PASS","FAIL")))</f>
        <v/>
      </c>
      <c r="U4088" s="8" t="str">
        <f aca="false">IF(T4088="BYPASS",IF(NOT(ISNUMBER(Q4088)),"PreV_ETB missing","End_tr_balance missing"),IF(T4088="FAIL",IF(AND(ISNUMBER(K4088),ISNUMBER(L4088),ABS(L4088-(K4088-IF(ISNUMBER(N4088),N4088,0)-IF(ISNUMBER(O4088),O4088,0)+IF(ISNUMBER(P4088),P4088,0)))&lt;=Summary!$B$2),"Passes using beginning_balance - PreV_ETB differs from beginning_balance",IF(AND(ISNUMBER(O4088),O4088&lt;0,ABS(L4088-(Q4088-IF(ISNUMBER(N4088),N4088,0)+IF(ISNUMBER(P4088),P4088,0)))&lt;=Summary!$B$2),"Negative realized loss not applied - check sign",IF(R4088&lt;0,"Principal paid exceeds prior balance",IF(AND(L4088&gt;Q4088,NOT(ISNUMBER(P4088))),"Balance increased but no Deferred_interest reported",IF(L4088&gt;R4088,"Reported balance higher than expected (missing increase/OC build)","Reported balance lower than expected (missing decrease)"))))),""))</f>
        <v/>
      </c>
    </row>
    <row r="4089" customFormat="false" ht="15" hidden="false" customHeight="false" outlineLevel="0" collapsed="false">
      <c r="A4089" s="8"/>
      <c r="B4089" s="8"/>
      <c r="C4089" s="8"/>
      <c r="D4089" s="8"/>
      <c r="E4089" s="8"/>
      <c r="F4089" s="8"/>
      <c r="G4089" s="8"/>
      <c r="H4089" s="8"/>
      <c r="I4089" s="8"/>
      <c r="J4089" s="8"/>
      <c r="K4089" s="9"/>
      <c r="L4089" s="9"/>
      <c r="M4089" s="9"/>
      <c r="N4089" s="9"/>
      <c r="O4089" s="9"/>
      <c r="P4089" s="9"/>
      <c r="Q4089" s="9"/>
      <c r="R4089" s="9" t="str">
        <f aca="false">IF(AND(A4089&lt;&gt;"",ISNUMBER(Q4089),ISNUMBER(L4089)),ROUND(Q4089-IF(ISNUMBER(N4089),N4089,0)-IF(ISNUMBER(O4089),O4089,0)+IF(ISNUMBER(P4089),P4089,0),2),"")</f>
        <v/>
      </c>
      <c r="S4089" s="9" t="str">
        <f aca="false">IF(R4089="","",ROUND(L4089-R4089,2))</f>
        <v/>
      </c>
      <c r="T4089" s="8" t="str">
        <f aca="false">IF(A4089="","",IF(S4089="","BYPASS",IF(ABS(S4089)&lt;=Summary!$B$2,"PASS","FAIL")))</f>
        <v/>
      </c>
      <c r="U4089" s="8" t="str">
        <f aca="false">IF(T4089="BYPASS",IF(NOT(ISNUMBER(Q4089)),"PreV_ETB missing","End_tr_balance missing"),IF(T4089="FAIL",IF(AND(ISNUMBER(K4089),ISNUMBER(L4089),ABS(L4089-(K4089-IF(ISNUMBER(N4089),N4089,0)-IF(ISNUMBER(O4089),O4089,0)+IF(ISNUMBER(P4089),P4089,0)))&lt;=Summary!$B$2),"Passes using beginning_balance - PreV_ETB differs from beginning_balance",IF(AND(ISNUMBER(O4089),O4089&lt;0,ABS(L4089-(Q4089-IF(ISNUMBER(N4089),N4089,0)+IF(ISNUMBER(P4089),P4089,0)))&lt;=Summary!$B$2),"Negative realized loss not applied - check sign",IF(R4089&lt;0,"Principal paid exceeds prior balance",IF(AND(L4089&gt;Q4089,NOT(ISNUMBER(P4089))),"Balance increased but no Deferred_interest reported",IF(L4089&gt;R4089,"Reported balance higher than expected (missing increase/OC build)","Reported balance lower than expected (missing decrease)"))))),""))</f>
        <v/>
      </c>
    </row>
    <row r="4090" customFormat="false" ht="15" hidden="false" customHeight="false" outlineLevel="0" collapsed="false">
      <c r="A4090" s="8"/>
      <c r="B4090" s="8"/>
      <c r="C4090" s="8"/>
      <c r="D4090" s="8"/>
      <c r="E4090" s="8"/>
      <c r="F4090" s="8"/>
      <c r="G4090" s="8"/>
      <c r="H4090" s="8"/>
      <c r="I4090" s="8"/>
      <c r="J4090" s="8"/>
      <c r="K4090" s="9"/>
      <c r="L4090" s="9"/>
      <c r="M4090" s="9"/>
      <c r="N4090" s="9"/>
      <c r="O4090" s="9"/>
      <c r="P4090" s="9"/>
      <c r="Q4090" s="9"/>
      <c r="R4090" s="9" t="str">
        <f aca="false">IF(AND(A4090&lt;&gt;"",ISNUMBER(Q4090),ISNUMBER(L4090)),ROUND(Q4090-IF(ISNUMBER(N4090),N4090,0)-IF(ISNUMBER(O4090),O4090,0)+IF(ISNUMBER(P4090),P4090,0),2),"")</f>
        <v/>
      </c>
      <c r="S4090" s="9" t="str">
        <f aca="false">IF(R4090="","",ROUND(L4090-R4090,2))</f>
        <v/>
      </c>
      <c r="T4090" s="8" t="str">
        <f aca="false">IF(A4090="","",IF(S4090="","BYPASS",IF(ABS(S4090)&lt;=Summary!$B$2,"PASS","FAIL")))</f>
        <v/>
      </c>
      <c r="U4090" s="8" t="str">
        <f aca="false">IF(T4090="BYPASS",IF(NOT(ISNUMBER(Q4090)),"PreV_ETB missing","End_tr_balance missing"),IF(T4090="FAIL",IF(AND(ISNUMBER(K4090),ISNUMBER(L4090),ABS(L4090-(K4090-IF(ISNUMBER(N4090),N4090,0)-IF(ISNUMBER(O4090),O4090,0)+IF(ISNUMBER(P4090),P4090,0)))&lt;=Summary!$B$2),"Passes using beginning_balance - PreV_ETB differs from beginning_balance",IF(AND(ISNUMBER(O4090),O4090&lt;0,ABS(L4090-(Q4090-IF(ISNUMBER(N4090),N4090,0)+IF(ISNUMBER(P4090),P4090,0)))&lt;=Summary!$B$2),"Negative realized loss not applied - check sign",IF(R4090&lt;0,"Principal paid exceeds prior balance",IF(AND(L4090&gt;Q4090,NOT(ISNUMBER(P4090))),"Balance increased but no Deferred_interest reported",IF(L4090&gt;R4090,"Reported balance higher than expected (missing increase/OC build)","Reported balance lower than expected (missing decrease)"))))),""))</f>
        <v/>
      </c>
    </row>
    <row r="4091" customFormat="false" ht="15" hidden="false" customHeight="false" outlineLevel="0" collapsed="false">
      <c r="A4091" s="8"/>
      <c r="B4091" s="8"/>
      <c r="C4091" s="8"/>
      <c r="D4091" s="8"/>
      <c r="E4091" s="8"/>
      <c r="F4091" s="8"/>
      <c r="G4091" s="8"/>
      <c r="H4091" s="8"/>
      <c r="I4091" s="8"/>
      <c r="J4091" s="8"/>
      <c r="K4091" s="9"/>
      <c r="L4091" s="9"/>
      <c r="M4091" s="9"/>
      <c r="N4091" s="9"/>
      <c r="O4091" s="9"/>
      <c r="P4091" s="9"/>
      <c r="Q4091" s="9"/>
      <c r="R4091" s="9" t="str">
        <f aca="false">IF(AND(A4091&lt;&gt;"",ISNUMBER(Q4091),ISNUMBER(L4091)),ROUND(Q4091-IF(ISNUMBER(N4091),N4091,0)-IF(ISNUMBER(O4091),O4091,0)+IF(ISNUMBER(P4091),P4091,0),2),"")</f>
        <v/>
      </c>
      <c r="S4091" s="9" t="str">
        <f aca="false">IF(R4091="","",ROUND(L4091-R4091,2))</f>
        <v/>
      </c>
      <c r="T4091" s="8" t="str">
        <f aca="false">IF(A4091="","",IF(S4091="","BYPASS",IF(ABS(S4091)&lt;=Summary!$B$2,"PASS","FAIL")))</f>
        <v/>
      </c>
      <c r="U4091" s="8" t="str">
        <f aca="false">IF(T4091="BYPASS",IF(NOT(ISNUMBER(Q4091)),"PreV_ETB missing","End_tr_balance missing"),IF(T4091="FAIL",IF(AND(ISNUMBER(K4091),ISNUMBER(L4091),ABS(L4091-(K4091-IF(ISNUMBER(N4091),N4091,0)-IF(ISNUMBER(O4091),O4091,0)+IF(ISNUMBER(P4091),P4091,0)))&lt;=Summary!$B$2),"Passes using beginning_balance - PreV_ETB differs from beginning_balance",IF(AND(ISNUMBER(O4091),O4091&lt;0,ABS(L4091-(Q4091-IF(ISNUMBER(N4091),N4091,0)+IF(ISNUMBER(P4091),P4091,0)))&lt;=Summary!$B$2),"Negative realized loss not applied - check sign",IF(R4091&lt;0,"Principal paid exceeds prior balance",IF(AND(L4091&gt;Q4091,NOT(ISNUMBER(P4091))),"Balance increased but no Deferred_interest reported",IF(L4091&gt;R4091,"Reported balance higher than expected (missing increase/OC build)","Reported balance lower than expected (missing decrease)"))))),""))</f>
        <v/>
      </c>
    </row>
    <row r="4092" customFormat="false" ht="15" hidden="false" customHeight="false" outlineLevel="0" collapsed="false">
      <c r="A4092" s="8"/>
      <c r="B4092" s="8"/>
      <c r="C4092" s="8"/>
      <c r="D4092" s="8"/>
      <c r="E4092" s="8"/>
      <c r="F4092" s="8"/>
      <c r="G4092" s="8"/>
      <c r="H4092" s="8"/>
      <c r="I4092" s="8"/>
      <c r="J4092" s="8"/>
      <c r="K4092" s="9"/>
      <c r="L4092" s="9"/>
      <c r="M4092" s="9"/>
      <c r="N4092" s="9"/>
      <c r="O4092" s="9"/>
      <c r="P4092" s="9"/>
      <c r="Q4092" s="9"/>
      <c r="R4092" s="9" t="str">
        <f aca="false">IF(AND(A4092&lt;&gt;"",ISNUMBER(Q4092),ISNUMBER(L4092)),ROUND(Q4092-IF(ISNUMBER(N4092),N4092,0)-IF(ISNUMBER(O4092),O4092,0)+IF(ISNUMBER(P4092),P4092,0),2),"")</f>
        <v/>
      </c>
      <c r="S4092" s="9" t="str">
        <f aca="false">IF(R4092="","",ROUND(L4092-R4092,2))</f>
        <v/>
      </c>
      <c r="T4092" s="8" t="str">
        <f aca="false">IF(A4092="","",IF(S4092="","BYPASS",IF(ABS(S4092)&lt;=Summary!$B$2,"PASS","FAIL")))</f>
        <v/>
      </c>
      <c r="U4092" s="8" t="str">
        <f aca="false">IF(T4092="BYPASS",IF(NOT(ISNUMBER(Q4092)),"PreV_ETB missing","End_tr_balance missing"),IF(T4092="FAIL",IF(AND(ISNUMBER(K4092),ISNUMBER(L4092),ABS(L4092-(K4092-IF(ISNUMBER(N4092),N4092,0)-IF(ISNUMBER(O4092),O4092,0)+IF(ISNUMBER(P4092),P4092,0)))&lt;=Summary!$B$2),"Passes using beginning_balance - PreV_ETB differs from beginning_balance",IF(AND(ISNUMBER(O4092),O4092&lt;0,ABS(L4092-(Q4092-IF(ISNUMBER(N4092),N4092,0)+IF(ISNUMBER(P4092),P4092,0)))&lt;=Summary!$B$2),"Negative realized loss not applied - check sign",IF(R4092&lt;0,"Principal paid exceeds prior balance",IF(AND(L4092&gt;Q4092,NOT(ISNUMBER(P4092))),"Balance increased but no Deferred_interest reported",IF(L4092&gt;R4092,"Reported balance higher than expected (missing increase/OC build)","Reported balance lower than expected (missing decrease)"))))),""))</f>
        <v/>
      </c>
    </row>
    <row r="4093" customFormat="false" ht="15" hidden="false" customHeight="false" outlineLevel="0" collapsed="false">
      <c r="A4093" s="8"/>
      <c r="B4093" s="8"/>
      <c r="C4093" s="8"/>
      <c r="D4093" s="8"/>
      <c r="E4093" s="8"/>
      <c r="F4093" s="8"/>
      <c r="G4093" s="8"/>
      <c r="H4093" s="8"/>
      <c r="I4093" s="8"/>
      <c r="J4093" s="8"/>
      <c r="K4093" s="9"/>
      <c r="L4093" s="9"/>
      <c r="M4093" s="9"/>
      <c r="N4093" s="9"/>
      <c r="O4093" s="9"/>
      <c r="P4093" s="9"/>
      <c r="Q4093" s="9"/>
      <c r="R4093" s="9" t="str">
        <f aca="false">IF(AND(A4093&lt;&gt;"",ISNUMBER(Q4093),ISNUMBER(L4093)),ROUND(Q4093-IF(ISNUMBER(N4093),N4093,0)-IF(ISNUMBER(O4093),O4093,0)+IF(ISNUMBER(P4093),P4093,0),2),"")</f>
        <v/>
      </c>
      <c r="S4093" s="9" t="str">
        <f aca="false">IF(R4093="","",ROUND(L4093-R4093,2))</f>
        <v/>
      </c>
      <c r="T4093" s="8" t="str">
        <f aca="false">IF(A4093="","",IF(S4093="","BYPASS",IF(ABS(S4093)&lt;=Summary!$B$2,"PASS","FAIL")))</f>
        <v/>
      </c>
      <c r="U4093" s="8" t="str">
        <f aca="false">IF(T4093="BYPASS",IF(NOT(ISNUMBER(Q4093)),"PreV_ETB missing","End_tr_balance missing"),IF(T4093="FAIL",IF(AND(ISNUMBER(K4093),ISNUMBER(L4093),ABS(L4093-(K4093-IF(ISNUMBER(N4093),N4093,0)-IF(ISNUMBER(O4093),O4093,0)+IF(ISNUMBER(P4093),P4093,0)))&lt;=Summary!$B$2),"Passes using beginning_balance - PreV_ETB differs from beginning_balance",IF(AND(ISNUMBER(O4093),O4093&lt;0,ABS(L4093-(Q4093-IF(ISNUMBER(N4093),N4093,0)+IF(ISNUMBER(P4093),P4093,0)))&lt;=Summary!$B$2),"Negative realized loss not applied - check sign",IF(R4093&lt;0,"Principal paid exceeds prior balance",IF(AND(L4093&gt;Q4093,NOT(ISNUMBER(P4093))),"Balance increased but no Deferred_interest reported",IF(L4093&gt;R4093,"Reported balance higher than expected (missing increase/OC build)","Reported balance lower than expected (missing decrease)"))))),""))</f>
        <v/>
      </c>
    </row>
    <row r="4094" customFormat="false" ht="15" hidden="false" customHeight="false" outlineLevel="0" collapsed="false">
      <c r="A4094" s="8"/>
      <c r="B4094" s="8"/>
      <c r="C4094" s="8"/>
      <c r="D4094" s="8"/>
      <c r="E4094" s="8"/>
      <c r="F4094" s="8"/>
      <c r="G4094" s="8"/>
      <c r="H4094" s="8"/>
      <c r="I4094" s="8"/>
      <c r="J4094" s="8"/>
      <c r="K4094" s="9"/>
      <c r="L4094" s="9"/>
      <c r="M4094" s="9"/>
      <c r="N4094" s="9"/>
      <c r="O4094" s="9"/>
      <c r="P4094" s="9"/>
      <c r="Q4094" s="9"/>
      <c r="R4094" s="9" t="str">
        <f aca="false">IF(AND(A4094&lt;&gt;"",ISNUMBER(Q4094),ISNUMBER(L4094)),ROUND(Q4094-IF(ISNUMBER(N4094),N4094,0)-IF(ISNUMBER(O4094),O4094,0)+IF(ISNUMBER(P4094),P4094,0),2),"")</f>
        <v/>
      </c>
      <c r="S4094" s="9" t="str">
        <f aca="false">IF(R4094="","",ROUND(L4094-R4094,2))</f>
        <v/>
      </c>
      <c r="T4094" s="8" t="str">
        <f aca="false">IF(A4094="","",IF(S4094="","BYPASS",IF(ABS(S4094)&lt;=Summary!$B$2,"PASS","FAIL")))</f>
        <v/>
      </c>
      <c r="U4094" s="8" t="str">
        <f aca="false">IF(T4094="BYPASS",IF(NOT(ISNUMBER(Q4094)),"PreV_ETB missing","End_tr_balance missing"),IF(T4094="FAIL",IF(AND(ISNUMBER(K4094),ISNUMBER(L4094),ABS(L4094-(K4094-IF(ISNUMBER(N4094),N4094,0)-IF(ISNUMBER(O4094),O4094,0)+IF(ISNUMBER(P4094),P4094,0)))&lt;=Summary!$B$2),"Passes using beginning_balance - PreV_ETB differs from beginning_balance",IF(AND(ISNUMBER(O4094),O4094&lt;0,ABS(L4094-(Q4094-IF(ISNUMBER(N4094),N4094,0)+IF(ISNUMBER(P4094),P4094,0)))&lt;=Summary!$B$2),"Negative realized loss not applied - check sign",IF(R4094&lt;0,"Principal paid exceeds prior balance",IF(AND(L4094&gt;Q4094,NOT(ISNUMBER(P4094))),"Balance increased but no Deferred_interest reported",IF(L4094&gt;R4094,"Reported balance higher than expected (missing increase/OC build)","Reported balance lower than expected (missing decrease)"))))),""))</f>
        <v/>
      </c>
    </row>
    <row r="4095" customFormat="false" ht="15" hidden="false" customHeight="false" outlineLevel="0" collapsed="false">
      <c r="A4095" s="8"/>
      <c r="B4095" s="8"/>
      <c r="C4095" s="8"/>
      <c r="D4095" s="8"/>
      <c r="E4095" s="8"/>
      <c r="F4095" s="8"/>
      <c r="G4095" s="8"/>
      <c r="H4095" s="8"/>
      <c r="I4095" s="8"/>
      <c r="J4095" s="8"/>
      <c r="K4095" s="9"/>
      <c r="L4095" s="9"/>
      <c r="M4095" s="9"/>
      <c r="N4095" s="9"/>
      <c r="O4095" s="9"/>
      <c r="P4095" s="9"/>
      <c r="Q4095" s="9"/>
      <c r="R4095" s="9" t="str">
        <f aca="false">IF(AND(A4095&lt;&gt;"",ISNUMBER(Q4095),ISNUMBER(L4095)),ROUND(Q4095-IF(ISNUMBER(N4095),N4095,0)-IF(ISNUMBER(O4095),O4095,0)+IF(ISNUMBER(P4095),P4095,0),2),"")</f>
        <v/>
      </c>
      <c r="S4095" s="9" t="str">
        <f aca="false">IF(R4095="","",ROUND(L4095-R4095,2))</f>
        <v/>
      </c>
      <c r="T4095" s="8" t="str">
        <f aca="false">IF(A4095="","",IF(S4095="","BYPASS",IF(ABS(S4095)&lt;=Summary!$B$2,"PASS","FAIL")))</f>
        <v/>
      </c>
      <c r="U4095" s="8" t="str">
        <f aca="false">IF(T4095="BYPASS",IF(NOT(ISNUMBER(Q4095)),"PreV_ETB missing","End_tr_balance missing"),IF(T4095="FAIL",IF(AND(ISNUMBER(K4095),ISNUMBER(L4095),ABS(L4095-(K4095-IF(ISNUMBER(N4095),N4095,0)-IF(ISNUMBER(O4095),O4095,0)+IF(ISNUMBER(P4095),P4095,0)))&lt;=Summary!$B$2),"Passes using beginning_balance - PreV_ETB differs from beginning_balance",IF(AND(ISNUMBER(O4095),O4095&lt;0,ABS(L4095-(Q4095-IF(ISNUMBER(N4095),N4095,0)+IF(ISNUMBER(P4095),P4095,0)))&lt;=Summary!$B$2),"Negative realized loss not applied - check sign",IF(R4095&lt;0,"Principal paid exceeds prior balance",IF(AND(L4095&gt;Q4095,NOT(ISNUMBER(P4095))),"Balance increased but no Deferred_interest reported",IF(L4095&gt;R4095,"Reported balance higher than expected (missing increase/OC build)","Reported balance lower than expected (missing decrease)"))))),""))</f>
        <v/>
      </c>
    </row>
    <row r="4096" customFormat="false" ht="15" hidden="false" customHeight="false" outlineLevel="0" collapsed="false">
      <c r="A4096" s="8"/>
      <c r="B4096" s="8"/>
      <c r="C4096" s="8"/>
      <c r="D4096" s="8"/>
      <c r="E4096" s="8"/>
      <c r="F4096" s="8"/>
      <c r="G4096" s="8"/>
      <c r="H4096" s="8"/>
      <c r="I4096" s="8"/>
      <c r="J4096" s="8"/>
      <c r="K4096" s="9"/>
      <c r="L4096" s="9"/>
      <c r="M4096" s="9"/>
      <c r="N4096" s="9"/>
      <c r="O4096" s="9"/>
      <c r="P4096" s="9"/>
      <c r="Q4096" s="9"/>
      <c r="R4096" s="9" t="str">
        <f aca="false">IF(AND(A4096&lt;&gt;"",ISNUMBER(Q4096),ISNUMBER(L4096)),ROUND(Q4096-IF(ISNUMBER(N4096),N4096,0)-IF(ISNUMBER(O4096),O4096,0)+IF(ISNUMBER(P4096),P4096,0),2),"")</f>
        <v/>
      </c>
      <c r="S4096" s="9" t="str">
        <f aca="false">IF(R4096="","",ROUND(L4096-R4096,2))</f>
        <v/>
      </c>
      <c r="T4096" s="8" t="str">
        <f aca="false">IF(A4096="","",IF(S4096="","BYPASS",IF(ABS(S4096)&lt;=Summary!$B$2,"PASS","FAIL")))</f>
        <v/>
      </c>
      <c r="U4096" s="8" t="str">
        <f aca="false">IF(T4096="BYPASS",IF(NOT(ISNUMBER(Q4096)),"PreV_ETB missing","End_tr_balance missing"),IF(T4096="FAIL",IF(AND(ISNUMBER(K4096),ISNUMBER(L4096),ABS(L4096-(K4096-IF(ISNUMBER(N4096),N4096,0)-IF(ISNUMBER(O4096),O4096,0)+IF(ISNUMBER(P4096),P4096,0)))&lt;=Summary!$B$2),"Passes using beginning_balance - PreV_ETB differs from beginning_balance",IF(AND(ISNUMBER(O4096),O4096&lt;0,ABS(L4096-(Q4096-IF(ISNUMBER(N4096),N4096,0)+IF(ISNUMBER(P4096),P4096,0)))&lt;=Summary!$B$2),"Negative realized loss not applied - check sign",IF(R4096&lt;0,"Principal paid exceeds prior balance",IF(AND(L4096&gt;Q4096,NOT(ISNUMBER(P4096))),"Balance increased but no Deferred_interest reported",IF(L4096&gt;R4096,"Reported balance higher than expected (missing increase/OC build)","Reported balance lower than expected (missing decrease)"))))),""))</f>
        <v/>
      </c>
    </row>
    <row r="4097" customFormat="false" ht="15" hidden="false" customHeight="false" outlineLevel="0" collapsed="false">
      <c r="A4097" s="8"/>
      <c r="B4097" s="8"/>
      <c r="C4097" s="8"/>
      <c r="D4097" s="8"/>
      <c r="E4097" s="8"/>
      <c r="F4097" s="8"/>
      <c r="G4097" s="8"/>
      <c r="H4097" s="8"/>
      <c r="I4097" s="8"/>
      <c r="J4097" s="8"/>
      <c r="K4097" s="9"/>
      <c r="L4097" s="9"/>
      <c r="M4097" s="9"/>
      <c r="N4097" s="9"/>
      <c r="O4097" s="9"/>
      <c r="P4097" s="9"/>
      <c r="Q4097" s="9"/>
      <c r="R4097" s="9" t="str">
        <f aca="false">IF(AND(A4097&lt;&gt;"",ISNUMBER(Q4097),ISNUMBER(L4097)),ROUND(Q4097-IF(ISNUMBER(N4097),N4097,0)-IF(ISNUMBER(O4097),O4097,0)+IF(ISNUMBER(P4097),P4097,0),2),"")</f>
        <v/>
      </c>
      <c r="S4097" s="9" t="str">
        <f aca="false">IF(R4097="","",ROUND(L4097-R4097,2))</f>
        <v/>
      </c>
      <c r="T4097" s="8" t="str">
        <f aca="false">IF(A4097="","",IF(S4097="","BYPASS",IF(ABS(S4097)&lt;=Summary!$B$2,"PASS","FAIL")))</f>
        <v/>
      </c>
      <c r="U4097" s="8" t="str">
        <f aca="false">IF(T4097="BYPASS",IF(NOT(ISNUMBER(Q4097)),"PreV_ETB missing","End_tr_balance missing"),IF(T4097="FAIL",IF(AND(ISNUMBER(K4097),ISNUMBER(L4097),ABS(L4097-(K4097-IF(ISNUMBER(N4097),N4097,0)-IF(ISNUMBER(O4097),O4097,0)+IF(ISNUMBER(P4097),P4097,0)))&lt;=Summary!$B$2),"Passes using beginning_balance - PreV_ETB differs from beginning_balance",IF(AND(ISNUMBER(O4097),O4097&lt;0,ABS(L4097-(Q4097-IF(ISNUMBER(N4097),N4097,0)+IF(ISNUMBER(P4097),P4097,0)))&lt;=Summary!$B$2),"Negative realized loss not applied - check sign",IF(R4097&lt;0,"Principal paid exceeds prior balance",IF(AND(L4097&gt;Q4097,NOT(ISNUMBER(P4097))),"Balance increased but no Deferred_interest reported",IF(L4097&gt;R4097,"Reported balance higher than expected (missing increase/OC build)","Reported balance lower than expected (missing decrease)"))))),""))</f>
        <v/>
      </c>
    </row>
    <row r="4098" customFormat="false" ht="15" hidden="false" customHeight="false" outlineLevel="0" collapsed="false">
      <c r="A4098" s="8"/>
      <c r="B4098" s="8"/>
      <c r="C4098" s="8"/>
      <c r="D4098" s="8"/>
      <c r="E4098" s="8"/>
      <c r="F4098" s="8"/>
      <c r="G4098" s="8"/>
      <c r="H4098" s="8"/>
      <c r="I4098" s="8"/>
      <c r="J4098" s="8"/>
      <c r="K4098" s="9"/>
      <c r="L4098" s="9"/>
      <c r="M4098" s="9"/>
      <c r="N4098" s="9"/>
      <c r="O4098" s="9"/>
      <c r="P4098" s="9"/>
      <c r="Q4098" s="9"/>
      <c r="R4098" s="9" t="str">
        <f aca="false">IF(AND(A4098&lt;&gt;"",ISNUMBER(Q4098),ISNUMBER(L4098)),ROUND(Q4098-IF(ISNUMBER(N4098),N4098,0)-IF(ISNUMBER(O4098),O4098,0)+IF(ISNUMBER(P4098),P4098,0),2),"")</f>
        <v/>
      </c>
      <c r="S4098" s="9" t="str">
        <f aca="false">IF(R4098="","",ROUND(L4098-R4098,2))</f>
        <v/>
      </c>
      <c r="T4098" s="8" t="str">
        <f aca="false">IF(A4098="","",IF(S4098="","BYPASS",IF(ABS(S4098)&lt;=Summary!$B$2,"PASS","FAIL")))</f>
        <v/>
      </c>
      <c r="U4098" s="8" t="str">
        <f aca="false">IF(T4098="BYPASS",IF(NOT(ISNUMBER(Q4098)),"PreV_ETB missing","End_tr_balance missing"),IF(T4098="FAIL",IF(AND(ISNUMBER(K4098),ISNUMBER(L4098),ABS(L4098-(K4098-IF(ISNUMBER(N4098),N4098,0)-IF(ISNUMBER(O4098),O4098,0)+IF(ISNUMBER(P4098),P4098,0)))&lt;=Summary!$B$2),"Passes using beginning_balance - PreV_ETB differs from beginning_balance",IF(AND(ISNUMBER(O4098),O4098&lt;0,ABS(L4098-(Q4098-IF(ISNUMBER(N4098),N4098,0)+IF(ISNUMBER(P4098),P4098,0)))&lt;=Summary!$B$2),"Negative realized loss not applied - check sign",IF(R4098&lt;0,"Principal paid exceeds prior balance",IF(AND(L4098&gt;Q4098,NOT(ISNUMBER(P4098))),"Balance increased but no Deferred_interest reported",IF(L4098&gt;R4098,"Reported balance higher than expected (missing increase/OC build)","Reported balance lower than expected (missing decrease)"))))),""))</f>
        <v/>
      </c>
    </row>
    <row r="4099" customFormat="false" ht="15" hidden="false" customHeight="false" outlineLevel="0" collapsed="false">
      <c r="A4099" s="8"/>
      <c r="B4099" s="8"/>
      <c r="C4099" s="8"/>
      <c r="D4099" s="8"/>
      <c r="E4099" s="8"/>
      <c r="F4099" s="8"/>
      <c r="G4099" s="8"/>
      <c r="H4099" s="8"/>
      <c r="I4099" s="8"/>
      <c r="J4099" s="8"/>
      <c r="K4099" s="9"/>
      <c r="L4099" s="9"/>
      <c r="M4099" s="9"/>
      <c r="N4099" s="9"/>
      <c r="O4099" s="9"/>
      <c r="P4099" s="9"/>
      <c r="Q4099" s="9"/>
      <c r="R4099" s="9" t="str">
        <f aca="false">IF(AND(A4099&lt;&gt;"",ISNUMBER(Q4099),ISNUMBER(L4099)),ROUND(Q4099-IF(ISNUMBER(N4099),N4099,0)-IF(ISNUMBER(O4099),O4099,0)+IF(ISNUMBER(P4099),P4099,0),2),"")</f>
        <v/>
      </c>
      <c r="S4099" s="9" t="str">
        <f aca="false">IF(R4099="","",ROUND(L4099-R4099,2))</f>
        <v/>
      </c>
      <c r="T4099" s="8" t="str">
        <f aca="false">IF(A4099="","",IF(S4099="","BYPASS",IF(ABS(S4099)&lt;=Summary!$B$2,"PASS","FAIL")))</f>
        <v/>
      </c>
      <c r="U4099" s="8" t="str">
        <f aca="false">IF(T4099="BYPASS",IF(NOT(ISNUMBER(Q4099)),"PreV_ETB missing","End_tr_balance missing"),IF(T4099="FAIL",IF(AND(ISNUMBER(K4099),ISNUMBER(L4099),ABS(L4099-(K4099-IF(ISNUMBER(N4099),N4099,0)-IF(ISNUMBER(O4099),O4099,0)+IF(ISNUMBER(P4099),P4099,0)))&lt;=Summary!$B$2),"Passes using beginning_balance - PreV_ETB differs from beginning_balance",IF(AND(ISNUMBER(O4099),O4099&lt;0,ABS(L4099-(Q4099-IF(ISNUMBER(N4099),N4099,0)+IF(ISNUMBER(P4099),P4099,0)))&lt;=Summary!$B$2),"Negative realized loss not applied - check sign",IF(R4099&lt;0,"Principal paid exceeds prior balance",IF(AND(L4099&gt;Q4099,NOT(ISNUMBER(P4099))),"Balance increased but no Deferred_interest reported",IF(L4099&gt;R4099,"Reported balance higher than expected (missing increase/OC build)","Reported balance lower than expected (missing decrease)"))))),""))</f>
        <v/>
      </c>
    </row>
    <row r="4100" customFormat="false" ht="15" hidden="false" customHeight="false" outlineLevel="0" collapsed="false">
      <c r="A4100" s="8"/>
      <c r="B4100" s="8"/>
      <c r="C4100" s="8"/>
      <c r="D4100" s="8"/>
      <c r="E4100" s="8"/>
      <c r="F4100" s="8"/>
      <c r="G4100" s="8"/>
      <c r="H4100" s="8"/>
      <c r="I4100" s="8"/>
      <c r="J4100" s="8"/>
      <c r="K4100" s="9"/>
      <c r="L4100" s="9"/>
      <c r="M4100" s="9"/>
      <c r="N4100" s="9"/>
      <c r="O4100" s="9"/>
      <c r="P4100" s="9"/>
      <c r="Q4100" s="9"/>
      <c r="R4100" s="9" t="str">
        <f aca="false">IF(AND(A4100&lt;&gt;"",ISNUMBER(Q4100),ISNUMBER(L4100)),ROUND(Q4100-IF(ISNUMBER(N4100),N4100,0)-IF(ISNUMBER(O4100),O4100,0)+IF(ISNUMBER(P4100),P4100,0),2),"")</f>
        <v/>
      </c>
      <c r="S4100" s="9" t="str">
        <f aca="false">IF(R4100="","",ROUND(L4100-R4100,2))</f>
        <v/>
      </c>
      <c r="T4100" s="8" t="str">
        <f aca="false">IF(A4100="","",IF(S4100="","BYPASS",IF(ABS(S4100)&lt;=Summary!$B$2,"PASS","FAIL")))</f>
        <v/>
      </c>
      <c r="U4100" s="8" t="str">
        <f aca="false">IF(T4100="BYPASS",IF(NOT(ISNUMBER(Q4100)),"PreV_ETB missing","End_tr_balance missing"),IF(T4100="FAIL",IF(AND(ISNUMBER(K4100),ISNUMBER(L4100),ABS(L4100-(K4100-IF(ISNUMBER(N4100),N4100,0)-IF(ISNUMBER(O4100),O4100,0)+IF(ISNUMBER(P4100),P4100,0)))&lt;=Summary!$B$2),"Passes using beginning_balance - PreV_ETB differs from beginning_balance",IF(AND(ISNUMBER(O4100),O4100&lt;0,ABS(L4100-(Q4100-IF(ISNUMBER(N4100),N4100,0)+IF(ISNUMBER(P4100),P4100,0)))&lt;=Summary!$B$2),"Negative realized loss not applied - check sign",IF(R4100&lt;0,"Principal paid exceeds prior balance",IF(AND(L4100&gt;Q4100,NOT(ISNUMBER(P4100))),"Balance increased but no Deferred_interest reported",IF(L4100&gt;R4100,"Reported balance higher than expected (missing increase/OC build)","Reported balance lower than expected (missing decrease)"))))),""))</f>
        <v/>
      </c>
    </row>
    <row r="4101" customFormat="false" ht="15" hidden="false" customHeight="false" outlineLevel="0" collapsed="false">
      <c r="A4101" s="8"/>
      <c r="B4101" s="8"/>
      <c r="C4101" s="8"/>
      <c r="D4101" s="8"/>
      <c r="E4101" s="8"/>
      <c r="F4101" s="8"/>
      <c r="G4101" s="8"/>
      <c r="H4101" s="8"/>
      <c r="I4101" s="8"/>
      <c r="J4101" s="8"/>
      <c r="K4101" s="9"/>
      <c r="L4101" s="9"/>
      <c r="M4101" s="9"/>
      <c r="N4101" s="9"/>
      <c r="O4101" s="9"/>
      <c r="P4101" s="9"/>
      <c r="Q4101" s="9"/>
      <c r="R4101" s="9" t="str">
        <f aca="false">IF(AND(A4101&lt;&gt;"",ISNUMBER(Q4101),ISNUMBER(L4101)),ROUND(Q4101-IF(ISNUMBER(N4101),N4101,0)-IF(ISNUMBER(O4101),O4101,0)+IF(ISNUMBER(P4101),P4101,0),2),"")</f>
        <v/>
      </c>
      <c r="S4101" s="9" t="str">
        <f aca="false">IF(R4101="","",ROUND(L4101-R4101,2))</f>
        <v/>
      </c>
      <c r="T4101" s="8" t="str">
        <f aca="false">IF(A4101="","",IF(S4101="","BYPASS",IF(ABS(S4101)&lt;=Summary!$B$2,"PASS","FAIL")))</f>
        <v/>
      </c>
      <c r="U4101" s="8" t="str">
        <f aca="false">IF(T4101="BYPASS",IF(NOT(ISNUMBER(Q4101)),"PreV_ETB missing","End_tr_balance missing"),IF(T4101="FAIL",IF(AND(ISNUMBER(K4101),ISNUMBER(L4101),ABS(L4101-(K4101-IF(ISNUMBER(N4101),N4101,0)-IF(ISNUMBER(O4101),O4101,0)+IF(ISNUMBER(P4101),P4101,0)))&lt;=Summary!$B$2),"Passes using beginning_balance - PreV_ETB differs from beginning_balance",IF(AND(ISNUMBER(O4101),O4101&lt;0,ABS(L4101-(Q4101-IF(ISNUMBER(N4101),N4101,0)+IF(ISNUMBER(P4101),P4101,0)))&lt;=Summary!$B$2),"Negative realized loss not applied - check sign",IF(R4101&lt;0,"Principal paid exceeds prior balance",IF(AND(L4101&gt;Q4101,NOT(ISNUMBER(P4101))),"Balance increased but no Deferred_interest reported",IF(L4101&gt;R4101,"Reported balance higher than expected (missing increase/OC build)","Reported balance lower than expected (missing decrease)"))))),""))</f>
        <v/>
      </c>
    </row>
    <row r="4102" customFormat="false" ht="15" hidden="false" customHeight="false" outlineLevel="0" collapsed="false">
      <c r="A4102" s="8"/>
      <c r="B4102" s="8"/>
      <c r="C4102" s="8"/>
      <c r="D4102" s="8"/>
      <c r="E4102" s="8"/>
      <c r="F4102" s="8"/>
      <c r="G4102" s="8"/>
      <c r="H4102" s="8"/>
      <c r="I4102" s="8"/>
      <c r="J4102" s="8"/>
      <c r="K4102" s="9"/>
      <c r="L4102" s="9"/>
      <c r="M4102" s="9"/>
      <c r="N4102" s="9"/>
      <c r="O4102" s="9"/>
      <c r="P4102" s="9"/>
      <c r="Q4102" s="9"/>
      <c r="R4102" s="9" t="str">
        <f aca="false">IF(AND(A4102&lt;&gt;"",ISNUMBER(Q4102),ISNUMBER(L4102)),ROUND(Q4102-IF(ISNUMBER(N4102),N4102,0)-IF(ISNUMBER(O4102),O4102,0)+IF(ISNUMBER(P4102),P4102,0),2),"")</f>
        <v/>
      </c>
      <c r="S4102" s="9" t="str">
        <f aca="false">IF(R4102="","",ROUND(L4102-R4102,2))</f>
        <v/>
      </c>
      <c r="T4102" s="8" t="str">
        <f aca="false">IF(A4102="","",IF(S4102="","BYPASS",IF(ABS(S4102)&lt;=Summary!$B$2,"PASS","FAIL")))</f>
        <v/>
      </c>
      <c r="U4102" s="8" t="str">
        <f aca="false">IF(T4102="BYPASS",IF(NOT(ISNUMBER(Q4102)),"PreV_ETB missing","End_tr_balance missing"),IF(T4102="FAIL",IF(AND(ISNUMBER(K4102),ISNUMBER(L4102),ABS(L4102-(K4102-IF(ISNUMBER(N4102),N4102,0)-IF(ISNUMBER(O4102),O4102,0)+IF(ISNUMBER(P4102),P4102,0)))&lt;=Summary!$B$2),"Passes using beginning_balance - PreV_ETB differs from beginning_balance",IF(AND(ISNUMBER(O4102),O4102&lt;0,ABS(L4102-(Q4102-IF(ISNUMBER(N4102),N4102,0)+IF(ISNUMBER(P4102),P4102,0)))&lt;=Summary!$B$2),"Negative realized loss not applied - check sign",IF(R4102&lt;0,"Principal paid exceeds prior balance",IF(AND(L4102&gt;Q4102,NOT(ISNUMBER(P4102))),"Balance increased but no Deferred_interest reported",IF(L4102&gt;R4102,"Reported balance higher than expected (missing increase/OC build)","Reported balance lower than expected (missing decrease)"))))),""))</f>
        <v/>
      </c>
    </row>
    <row r="4103" customFormat="false" ht="15" hidden="false" customHeight="false" outlineLevel="0" collapsed="false">
      <c r="A4103" s="8"/>
      <c r="B4103" s="8"/>
      <c r="C4103" s="8"/>
      <c r="D4103" s="8"/>
      <c r="E4103" s="8"/>
      <c r="F4103" s="8"/>
      <c r="G4103" s="8"/>
      <c r="H4103" s="8"/>
      <c r="I4103" s="8"/>
      <c r="J4103" s="8"/>
      <c r="K4103" s="9"/>
      <c r="L4103" s="9"/>
      <c r="M4103" s="9"/>
      <c r="N4103" s="9"/>
      <c r="O4103" s="9"/>
      <c r="P4103" s="9"/>
      <c r="Q4103" s="9"/>
      <c r="R4103" s="9" t="str">
        <f aca="false">IF(AND(A4103&lt;&gt;"",ISNUMBER(Q4103),ISNUMBER(L4103)),ROUND(Q4103-IF(ISNUMBER(N4103),N4103,0)-IF(ISNUMBER(O4103),O4103,0)+IF(ISNUMBER(P4103),P4103,0),2),"")</f>
        <v/>
      </c>
      <c r="S4103" s="9" t="str">
        <f aca="false">IF(R4103="","",ROUND(L4103-R4103,2))</f>
        <v/>
      </c>
      <c r="T4103" s="8" t="str">
        <f aca="false">IF(A4103="","",IF(S4103="","BYPASS",IF(ABS(S4103)&lt;=Summary!$B$2,"PASS","FAIL")))</f>
        <v/>
      </c>
      <c r="U4103" s="8" t="str">
        <f aca="false">IF(T4103="BYPASS",IF(NOT(ISNUMBER(Q4103)),"PreV_ETB missing","End_tr_balance missing"),IF(T4103="FAIL",IF(AND(ISNUMBER(K4103),ISNUMBER(L4103),ABS(L4103-(K4103-IF(ISNUMBER(N4103),N4103,0)-IF(ISNUMBER(O4103),O4103,0)+IF(ISNUMBER(P4103),P4103,0)))&lt;=Summary!$B$2),"Passes using beginning_balance - PreV_ETB differs from beginning_balance",IF(AND(ISNUMBER(O4103),O4103&lt;0,ABS(L4103-(Q4103-IF(ISNUMBER(N4103),N4103,0)+IF(ISNUMBER(P4103),P4103,0)))&lt;=Summary!$B$2),"Negative realized loss not applied - check sign",IF(R4103&lt;0,"Principal paid exceeds prior balance",IF(AND(L4103&gt;Q4103,NOT(ISNUMBER(P4103))),"Balance increased but no Deferred_interest reported",IF(L4103&gt;R4103,"Reported balance higher than expected (missing increase/OC build)","Reported balance lower than expected (missing decrease)"))))),""))</f>
        <v/>
      </c>
    </row>
    <row r="4104" customFormat="false" ht="15" hidden="false" customHeight="false" outlineLevel="0" collapsed="false">
      <c r="A4104" s="8"/>
      <c r="B4104" s="8"/>
      <c r="C4104" s="8"/>
      <c r="D4104" s="8"/>
      <c r="E4104" s="8"/>
      <c r="F4104" s="8"/>
      <c r="G4104" s="8"/>
      <c r="H4104" s="8"/>
      <c r="I4104" s="8"/>
      <c r="J4104" s="8"/>
      <c r="K4104" s="9"/>
      <c r="L4104" s="9"/>
      <c r="M4104" s="9"/>
      <c r="N4104" s="9"/>
      <c r="O4104" s="9"/>
      <c r="P4104" s="9"/>
      <c r="Q4104" s="9"/>
      <c r="R4104" s="9" t="str">
        <f aca="false">IF(AND(A4104&lt;&gt;"",ISNUMBER(Q4104),ISNUMBER(L4104)),ROUND(Q4104-IF(ISNUMBER(N4104),N4104,0)-IF(ISNUMBER(O4104),O4104,0)+IF(ISNUMBER(P4104),P4104,0),2),"")</f>
        <v/>
      </c>
      <c r="S4104" s="9" t="str">
        <f aca="false">IF(R4104="","",ROUND(L4104-R4104,2))</f>
        <v/>
      </c>
      <c r="T4104" s="8" t="str">
        <f aca="false">IF(A4104="","",IF(S4104="","BYPASS",IF(ABS(S4104)&lt;=Summary!$B$2,"PASS","FAIL")))</f>
        <v/>
      </c>
      <c r="U4104" s="8" t="str">
        <f aca="false">IF(T4104="BYPASS",IF(NOT(ISNUMBER(Q4104)),"PreV_ETB missing","End_tr_balance missing"),IF(T4104="FAIL",IF(AND(ISNUMBER(K4104),ISNUMBER(L4104),ABS(L4104-(K4104-IF(ISNUMBER(N4104),N4104,0)-IF(ISNUMBER(O4104),O4104,0)+IF(ISNUMBER(P4104),P4104,0)))&lt;=Summary!$B$2),"Passes using beginning_balance - PreV_ETB differs from beginning_balance",IF(AND(ISNUMBER(O4104),O4104&lt;0,ABS(L4104-(Q4104-IF(ISNUMBER(N4104),N4104,0)+IF(ISNUMBER(P4104),P4104,0)))&lt;=Summary!$B$2),"Negative realized loss not applied - check sign",IF(R4104&lt;0,"Principal paid exceeds prior balance",IF(AND(L4104&gt;Q4104,NOT(ISNUMBER(P4104))),"Balance increased but no Deferred_interest reported",IF(L4104&gt;R4104,"Reported balance higher than expected (missing increase/OC build)","Reported balance lower than expected (missing decrease)"))))),""))</f>
        <v/>
      </c>
    </row>
    <row r="4105" customFormat="false" ht="15" hidden="false" customHeight="false" outlineLevel="0" collapsed="false">
      <c r="A4105" s="8"/>
      <c r="B4105" s="8"/>
      <c r="C4105" s="8"/>
      <c r="D4105" s="8"/>
      <c r="E4105" s="8"/>
      <c r="F4105" s="8"/>
      <c r="G4105" s="8"/>
      <c r="H4105" s="8"/>
      <c r="I4105" s="8"/>
      <c r="J4105" s="8"/>
      <c r="K4105" s="9"/>
      <c r="L4105" s="9"/>
      <c r="M4105" s="9"/>
      <c r="N4105" s="9"/>
      <c r="O4105" s="9"/>
      <c r="P4105" s="9"/>
      <c r="Q4105" s="9"/>
      <c r="R4105" s="9" t="str">
        <f aca="false">IF(AND(A4105&lt;&gt;"",ISNUMBER(Q4105),ISNUMBER(L4105)),ROUND(Q4105-IF(ISNUMBER(N4105),N4105,0)-IF(ISNUMBER(O4105),O4105,0)+IF(ISNUMBER(P4105),P4105,0),2),"")</f>
        <v/>
      </c>
      <c r="S4105" s="9" t="str">
        <f aca="false">IF(R4105="","",ROUND(L4105-R4105,2))</f>
        <v/>
      </c>
      <c r="T4105" s="8" t="str">
        <f aca="false">IF(A4105="","",IF(S4105="","BYPASS",IF(ABS(S4105)&lt;=Summary!$B$2,"PASS","FAIL")))</f>
        <v/>
      </c>
      <c r="U4105" s="8" t="str">
        <f aca="false">IF(T4105="BYPASS",IF(NOT(ISNUMBER(Q4105)),"PreV_ETB missing","End_tr_balance missing"),IF(T4105="FAIL",IF(AND(ISNUMBER(K4105),ISNUMBER(L4105),ABS(L4105-(K4105-IF(ISNUMBER(N4105),N4105,0)-IF(ISNUMBER(O4105),O4105,0)+IF(ISNUMBER(P4105),P4105,0)))&lt;=Summary!$B$2),"Passes using beginning_balance - PreV_ETB differs from beginning_balance",IF(AND(ISNUMBER(O4105),O4105&lt;0,ABS(L4105-(Q4105-IF(ISNUMBER(N4105),N4105,0)+IF(ISNUMBER(P4105),P4105,0)))&lt;=Summary!$B$2),"Negative realized loss not applied - check sign",IF(R4105&lt;0,"Principal paid exceeds prior balance",IF(AND(L4105&gt;Q4105,NOT(ISNUMBER(P4105))),"Balance increased but no Deferred_interest reported",IF(L4105&gt;R4105,"Reported balance higher than expected (missing increase/OC build)","Reported balance lower than expected (missing decrease)"))))),""))</f>
        <v/>
      </c>
    </row>
    <row r="4106" customFormat="false" ht="15" hidden="false" customHeight="false" outlineLevel="0" collapsed="false">
      <c r="A4106" s="8"/>
      <c r="B4106" s="8"/>
      <c r="C4106" s="8"/>
      <c r="D4106" s="8"/>
      <c r="E4106" s="8"/>
      <c r="F4106" s="8"/>
      <c r="G4106" s="8"/>
      <c r="H4106" s="8"/>
      <c r="I4106" s="8"/>
      <c r="J4106" s="8"/>
      <c r="K4106" s="9"/>
      <c r="L4106" s="9"/>
      <c r="M4106" s="9"/>
      <c r="N4106" s="9"/>
      <c r="O4106" s="9"/>
      <c r="P4106" s="9"/>
      <c r="Q4106" s="9"/>
      <c r="R4106" s="9" t="str">
        <f aca="false">IF(AND(A4106&lt;&gt;"",ISNUMBER(Q4106),ISNUMBER(L4106)),ROUND(Q4106-IF(ISNUMBER(N4106),N4106,0)-IF(ISNUMBER(O4106),O4106,0)+IF(ISNUMBER(P4106),P4106,0),2),"")</f>
        <v/>
      </c>
      <c r="S4106" s="9" t="str">
        <f aca="false">IF(R4106="","",ROUND(L4106-R4106,2))</f>
        <v/>
      </c>
      <c r="T4106" s="8" t="str">
        <f aca="false">IF(A4106="","",IF(S4106="","BYPASS",IF(ABS(S4106)&lt;=Summary!$B$2,"PASS","FAIL")))</f>
        <v/>
      </c>
      <c r="U4106" s="8" t="str">
        <f aca="false">IF(T4106="BYPASS",IF(NOT(ISNUMBER(Q4106)),"PreV_ETB missing","End_tr_balance missing"),IF(T4106="FAIL",IF(AND(ISNUMBER(K4106),ISNUMBER(L4106),ABS(L4106-(K4106-IF(ISNUMBER(N4106),N4106,0)-IF(ISNUMBER(O4106),O4106,0)+IF(ISNUMBER(P4106),P4106,0)))&lt;=Summary!$B$2),"Passes using beginning_balance - PreV_ETB differs from beginning_balance",IF(AND(ISNUMBER(O4106),O4106&lt;0,ABS(L4106-(Q4106-IF(ISNUMBER(N4106),N4106,0)+IF(ISNUMBER(P4106),P4106,0)))&lt;=Summary!$B$2),"Negative realized loss not applied - check sign",IF(R4106&lt;0,"Principal paid exceeds prior balance",IF(AND(L4106&gt;Q4106,NOT(ISNUMBER(P4106))),"Balance increased but no Deferred_interest reported",IF(L4106&gt;R4106,"Reported balance higher than expected (missing increase/OC build)","Reported balance lower than expected (missing decrease)"))))),""))</f>
        <v/>
      </c>
    </row>
    <row r="4107" customFormat="false" ht="15" hidden="false" customHeight="false" outlineLevel="0" collapsed="false">
      <c r="A4107" s="8"/>
      <c r="B4107" s="8"/>
      <c r="C4107" s="8"/>
      <c r="D4107" s="8"/>
      <c r="E4107" s="8"/>
      <c r="F4107" s="8"/>
      <c r="G4107" s="8"/>
      <c r="H4107" s="8"/>
      <c r="I4107" s="8"/>
      <c r="J4107" s="8"/>
      <c r="K4107" s="9"/>
      <c r="L4107" s="9"/>
      <c r="M4107" s="9"/>
      <c r="N4107" s="9"/>
      <c r="O4107" s="9"/>
      <c r="P4107" s="9"/>
      <c r="Q4107" s="9"/>
      <c r="R4107" s="9" t="str">
        <f aca="false">IF(AND(A4107&lt;&gt;"",ISNUMBER(Q4107),ISNUMBER(L4107)),ROUND(Q4107-IF(ISNUMBER(N4107),N4107,0)-IF(ISNUMBER(O4107),O4107,0)+IF(ISNUMBER(P4107),P4107,0),2),"")</f>
        <v/>
      </c>
      <c r="S4107" s="9" t="str">
        <f aca="false">IF(R4107="","",ROUND(L4107-R4107,2))</f>
        <v/>
      </c>
      <c r="T4107" s="8" t="str">
        <f aca="false">IF(A4107="","",IF(S4107="","BYPASS",IF(ABS(S4107)&lt;=Summary!$B$2,"PASS","FAIL")))</f>
        <v/>
      </c>
      <c r="U4107" s="8" t="str">
        <f aca="false">IF(T4107="BYPASS",IF(NOT(ISNUMBER(Q4107)),"PreV_ETB missing","End_tr_balance missing"),IF(T4107="FAIL",IF(AND(ISNUMBER(K4107),ISNUMBER(L4107),ABS(L4107-(K4107-IF(ISNUMBER(N4107),N4107,0)-IF(ISNUMBER(O4107),O4107,0)+IF(ISNUMBER(P4107),P4107,0)))&lt;=Summary!$B$2),"Passes using beginning_balance - PreV_ETB differs from beginning_balance",IF(AND(ISNUMBER(O4107),O4107&lt;0,ABS(L4107-(Q4107-IF(ISNUMBER(N4107),N4107,0)+IF(ISNUMBER(P4107),P4107,0)))&lt;=Summary!$B$2),"Negative realized loss not applied - check sign",IF(R4107&lt;0,"Principal paid exceeds prior balance",IF(AND(L4107&gt;Q4107,NOT(ISNUMBER(P4107))),"Balance increased but no Deferred_interest reported",IF(L4107&gt;R4107,"Reported balance higher than expected (missing increase/OC build)","Reported balance lower than expected (missing decrease)"))))),""))</f>
        <v/>
      </c>
    </row>
    <row r="4108" customFormat="false" ht="15" hidden="false" customHeight="false" outlineLevel="0" collapsed="false">
      <c r="A4108" s="8"/>
      <c r="B4108" s="8"/>
      <c r="C4108" s="8"/>
      <c r="D4108" s="8"/>
      <c r="E4108" s="8"/>
      <c r="F4108" s="8"/>
      <c r="G4108" s="8"/>
      <c r="H4108" s="8"/>
      <c r="I4108" s="8"/>
      <c r="J4108" s="8"/>
      <c r="K4108" s="9"/>
      <c r="L4108" s="9"/>
      <c r="M4108" s="9"/>
      <c r="N4108" s="9"/>
      <c r="O4108" s="9"/>
      <c r="P4108" s="9"/>
      <c r="Q4108" s="9"/>
      <c r="R4108" s="9" t="str">
        <f aca="false">IF(AND(A4108&lt;&gt;"",ISNUMBER(Q4108),ISNUMBER(L4108)),ROUND(Q4108-IF(ISNUMBER(N4108),N4108,0)-IF(ISNUMBER(O4108),O4108,0)+IF(ISNUMBER(P4108),P4108,0),2),"")</f>
        <v/>
      </c>
      <c r="S4108" s="9" t="str">
        <f aca="false">IF(R4108="","",ROUND(L4108-R4108,2))</f>
        <v/>
      </c>
      <c r="T4108" s="8" t="str">
        <f aca="false">IF(A4108="","",IF(S4108="","BYPASS",IF(ABS(S4108)&lt;=Summary!$B$2,"PASS","FAIL")))</f>
        <v/>
      </c>
      <c r="U4108" s="8" t="str">
        <f aca="false">IF(T4108="BYPASS",IF(NOT(ISNUMBER(Q4108)),"PreV_ETB missing","End_tr_balance missing"),IF(T4108="FAIL",IF(AND(ISNUMBER(K4108),ISNUMBER(L4108),ABS(L4108-(K4108-IF(ISNUMBER(N4108),N4108,0)-IF(ISNUMBER(O4108),O4108,0)+IF(ISNUMBER(P4108),P4108,0)))&lt;=Summary!$B$2),"Passes using beginning_balance - PreV_ETB differs from beginning_balance",IF(AND(ISNUMBER(O4108),O4108&lt;0,ABS(L4108-(Q4108-IF(ISNUMBER(N4108),N4108,0)+IF(ISNUMBER(P4108),P4108,0)))&lt;=Summary!$B$2),"Negative realized loss not applied - check sign",IF(R4108&lt;0,"Principal paid exceeds prior balance",IF(AND(L4108&gt;Q4108,NOT(ISNUMBER(P4108))),"Balance increased but no Deferred_interest reported",IF(L4108&gt;R4108,"Reported balance higher than expected (missing increase/OC build)","Reported balance lower than expected (missing decrease)"))))),""))</f>
        <v/>
      </c>
    </row>
    <row r="4109" customFormat="false" ht="15" hidden="false" customHeight="false" outlineLevel="0" collapsed="false">
      <c r="A4109" s="8"/>
      <c r="B4109" s="8"/>
      <c r="C4109" s="8"/>
      <c r="D4109" s="8"/>
      <c r="E4109" s="8"/>
      <c r="F4109" s="8"/>
      <c r="G4109" s="8"/>
      <c r="H4109" s="8"/>
      <c r="I4109" s="8"/>
      <c r="J4109" s="8"/>
      <c r="K4109" s="9"/>
      <c r="L4109" s="9"/>
      <c r="M4109" s="9"/>
      <c r="N4109" s="9"/>
      <c r="O4109" s="9"/>
      <c r="P4109" s="9"/>
      <c r="Q4109" s="9"/>
      <c r="R4109" s="9" t="str">
        <f aca="false">IF(AND(A4109&lt;&gt;"",ISNUMBER(Q4109),ISNUMBER(L4109)),ROUND(Q4109-IF(ISNUMBER(N4109),N4109,0)-IF(ISNUMBER(O4109),O4109,0)+IF(ISNUMBER(P4109),P4109,0),2),"")</f>
        <v/>
      </c>
      <c r="S4109" s="9" t="str">
        <f aca="false">IF(R4109="","",ROUND(L4109-R4109,2))</f>
        <v/>
      </c>
      <c r="T4109" s="8" t="str">
        <f aca="false">IF(A4109="","",IF(S4109="","BYPASS",IF(ABS(S4109)&lt;=Summary!$B$2,"PASS","FAIL")))</f>
        <v/>
      </c>
      <c r="U4109" s="8" t="str">
        <f aca="false">IF(T4109="BYPASS",IF(NOT(ISNUMBER(Q4109)),"PreV_ETB missing","End_tr_balance missing"),IF(T4109="FAIL",IF(AND(ISNUMBER(K4109),ISNUMBER(L4109),ABS(L4109-(K4109-IF(ISNUMBER(N4109),N4109,0)-IF(ISNUMBER(O4109),O4109,0)+IF(ISNUMBER(P4109),P4109,0)))&lt;=Summary!$B$2),"Passes using beginning_balance - PreV_ETB differs from beginning_balance",IF(AND(ISNUMBER(O4109),O4109&lt;0,ABS(L4109-(Q4109-IF(ISNUMBER(N4109),N4109,0)+IF(ISNUMBER(P4109),P4109,0)))&lt;=Summary!$B$2),"Negative realized loss not applied - check sign",IF(R4109&lt;0,"Principal paid exceeds prior balance",IF(AND(L4109&gt;Q4109,NOT(ISNUMBER(P4109))),"Balance increased but no Deferred_interest reported",IF(L4109&gt;R4109,"Reported balance higher than expected (missing increase/OC build)","Reported balance lower than expected (missing decrease)"))))),""))</f>
        <v/>
      </c>
    </row>
    <row r="4110" customFormat="false" ht="15" hidden="false" customHeight="false" outlineLevel="0" collapsed="false">
      <c r="A4110" s="8"/>
      <c r="B4110" s="8"/>
      <c r="C4110" s="8"/>
      <c r="D4110" s="8"/>
      <c r="E4110" s="8"/>
      <c r="F4110" s="8"/>
      <c r="G4110" s="8"/>
      <c r="H4110" s="8"/>
      <c r="I4110" s="8"/>
      <c r="J4110" s="8"/>
      <c r="K4110" s="9"/>
      <c r="L4110" s="9"/>
      <c r="M4110" s="9"/>
      <c r="N4110" s="9"/>
      <c r="O4110" s="9"/>
      <c r="P4110" s="9"/>
      <c r="Q4110" s="9"/>
      <c r="R4110" s="9" t="str">
        <f aca="false">IF(AND(A4110&lt;&gt;"",ISNUMBER(Q4110),ISNUMBER(L4110)),ROUND(Q4110-IF(ISNUMBER(N4110),N4110,0)-IF(ISNUMBER(O4110),O4110,0)+IF(ISNUMBER(P4110),P4110,0),2),"")</f>
        <v/>
      </c>
      <c r="S4110" s="9" t="str">
        <f aca="false">IF(R4110="","",ROUND(L4110-R4110,2))</f>
        <v/>
      </c>
      <c r="T4110" s="8" t="str">
        <f aca="false">IF(A4110="","",IF(S4110="","BYPASS",IF(ABS(S4110)&lt;=Summary!$B$2,"PASS","FAIL")))</f>
        <v/>
      </c>
      <c r="U4110" s="8" t="str">
        <f aca="false">IF(T4110="BYPASS",IF(NOT(ISNUMBER(Q4110)),"PreV_ETB missing","End_tr_balance missing"),IF(T4110="FAIL",IF(AND(ISNUMBER(K4110),ISNUMBER(L4110),ABS(L4110-(K4110-IF(ISNUMBER(N4110),N4110,0)-IF(ISNUMBER(O4110),O4110,0)+IF(ISNUMBER(P4110),P4110,0)))&lt;=Summary!$B$2),"Passes using beginning_balance - PreV_ETB differs from beginning_balance",IF(AND(ISNUMBER(O4110),O4110&lt;0,ABS(L4110-(Q4110-IF(ISNUMBER(N4110),N4110,0)+IF(ISNUMBER(P4110),P4110,0)))&lt;=Summary!$B$2),"Negative realized loss not applied - check sign",IF(R4110&lt;0,"Principal paid exceeds prior balance",IF(AND(L4110&gt;Q4110,NOT(ISNUMBER(P4110))),"Balance increased but no Deferred_interest reported",IF(L4110&gt;R4110,"Reported balance higher than expected (missing increase/OC build)","Reported balance lower than expected (missing decrease)"))))),""))</f>
        <v/>
      </c>
    </row>
    <row r="4111" customFormat="false" ht="15" hidden="false" customHeight="false" outlineLevel="0" collapsed="false">
      <c r="A4111" s="8"/>
      <c r="B4111" s="8"/>
      <c r="C4111" s="8"/>
      <c r="D4111" s="8"/>
      <c r="E4111" s="8"/>
      <c r="F4111" s="8"/>
      <c r="G4111" s="8"/>
      <c r="H4111" s="8"/>
      <c r="I4111" s="8"/>
      <c r="J4111" s="8"/>
      <c r="K4111" s="9"/>
      <c r="L4111" s="9"/>
      <c r="M4111" s="9"/>
      <c r="N4111" s="9"/>
      <c r="O4111" s="9"/>
      <c r="P4111" s="9"/>
      <c r="Q4111" s="9"/>
      <c r="R4111" s="9" t="str">
        <f aca="false">IF(AND(A4111&lt;&gt;"",ISNUMBER(Q4111),ISNUMBER(L4111)),ROUND(Q4111-IF(ISNUMBER(N4111),N4111,0)-IF(ISNUMBER(O4111),O4111,0)+IF(ISNUMBER(P4111),P4111,0),2),"")</f>
        <v/>
      </c>
      <c r="S4111" s="9" t="str">
        <f aca="false">IF(R4111="","",ROUND(L4111-R4111,2))</f>
        <v/>
      </c>
      <c r="T4111" s="8" t="str">
        <f aca="false">IF(A4111="","",IF(S4111="","BYPASS",IF(ABS(S4111)&lt;=Summary!$B$2,"PASS","FAIL")))</f>
        <v/>
      </c>
      <c r="U4111" s="8" t="str">
        <f aca="false">IF(T4111="BYPASS",IF(NOT(ISNUMBER(Q4111)),"PreV_ETB missing","End_tr_balance missing"),IF(T4111="FAIL",IF(AND(ISNUMBER(K4111),ISNUMBER(L4111),ABS(L4111-(K4111-IF(ISNUMBER(N4111),N4111,0)-IF(ISNUMBER(O4111),O4111,0)+IF(ISNUMBER(P4111),P4111,0)))&lt;=Summary!$B$2),"Passes using beginning_balance - PreV_ETB differs from beginning_balance",IF(AND(ISNUMBER(O4111),O4111&lt;0,ABS(L4111-(Q4111-IF(ISNUMBER(N4111),N4111,0)+IF(ISNUMBER(P4111),P4111,0)))&lt;=Summary!$B$2),"Negative realized loss not applied - check sign",IF(R4111&lt;0,"Principal paid exceeds prior balance",IF(AND(L4111&gt;Q4111,NOT(ISNUMBER(P4111))),"Balance increased but no Deferred_interest reported",IF(L4111&gt;R4111,"Reported balance higher than expected (missing increase/OC build)","Reported balance lower than expected (missing decrease)"))))),""))</f>
        <v/>
      </c>
    </row>
    <row r="4112" customFormat="false" ht="15" hidden="false" customHeight="false" outlineLevel="0" collapsed="false">
      <c r="A4112" s="8"/>
      <c r="B4112" s="8"/>
      <c r="C4112" s="8"/>
      <c r="D4112" s="8"/>
      <c r="E4112" s="8"/>
      <c r="F4112" s="8"/>
      <c r="G4112" s="8"/>
      <c r="H4112" s="8"/>
      <c r="I4112" s="8"/>
      <c r="J4112" s="8"/>
      <c r="K4112" s="9"/>
      <c r="L4112" s="9"/>
      <c r="M4112" s="9"/>
      <c r="N4112" s="9"/>
      <c r="O4112" s="9"/>
      <c r="P4112" s="9"/>
      <c r="Q4112" s="9"/>
      <c r="R4112" s="9" t="str">
        <f aca="false">IF(AND(A4112&lt;&gt;"",ISNUMBER(Q4112),ISNUMBER(L4112)),ROUND(Q4112-IF(ISNUMBER(N4112),N4112,0)-IF(ISNUMBER(O4112),O4112,0)+IF(ISNUMBER(P4112),P4112,0),2),"")</f>
        <v/>
      </c>
      <c r="S4112" s="9" t="str">
        <f aca="false">IF(R4112="","",ROUND(L4112-R4112,2))</f>
        <v/>
      </c>
      <c r="T4112" s="8" t="str">
        <f aca="false">IF(A4112="","",IF(S4112="","BYPASS",IF(ABS(S4112)&lt;=Summary!$B$2,"PASS","FAIL")))</f>
        <v/>
      </c>
      <c r="U4112" s="8" t="str">
        <f aca="false">IF(T4112="BYPASS",IF(NOT(ISNUMBER(Q4112)),"PreV_ETB missing","End_tr_balance missing"),IF(T4112="FAIL",IF(AND(ISNUMBER(K4112),ISNUMBER(L4112),ABS(L4112-(K4112-IF(ISNUMBER(N4112),N4112,0)-IF(ISNUMBER(O4112),O4112,0)+IF(ISNUMBER(P4112),P4112,0)))&lt;=Summary!$B$2),"Passes using beginning_balance - PreV_ETB differs from beginning_balance",IF(AND(ISNUMBER(O4112),O4112&lt;0,ABS(L4112-(Q4112-IF(ISNUMBER(N4112),N4112,0)+IF(ISNUMBER(P4112),P4112,0)))&lt;=Summary!$B$2),"Negative realized loss not applied - check sign",IF(R4112&lt;0,"Principal paid exceeds prior balance",IF(AND(L4112&gt;Q4112,NOT(ISNUMBER(P4112))),"Balance increased but no Deferred_interest reported",IF(L4112&gt;R4112,"Reported balance higher than expected (missing increase/OC build)","Reported balance lower than expected (missing decrease)"))))),""))</f>
        <v/>
      </c>
    </row>
    <row r="4113" customFormat="false" ht="15" hidden="false" customHeight="false" outlineLevel="0" collapsed="false">
      <c r="A4113" s="8"/>
      <c r="B4113" s="8"/>
      <c r="C4113" s="8"/>
      <c r="D4113" s="8"/>
      <c r="E4113" s="8"/>
      <c r="F4113" s="8"/>
      <c r="G4113" s="8"/>
      <c r="H4113" s="8"/>
      <c r="I4113" s="8"/>
      <c r="J4113" s="8"/>
      <c r="K4113" s="9"/>
      <c r="L4113" s="9"/>
      <c r="M4113" s="9"/>
      <c r="N4113" s="9"/>
      <c r="O4113" s="9"/>
      <c r="P4113" s="9"/>
      <c r="Q4113" s="9"/>
      <c r="R4113" s="9" t="str">
        <f aca="false">IF(AND(A4113&lt;&gt;"",ISNUMBER(Q4113),ISNUMBER(L4113)),ROUND(Q4113-IF(ISNUMBER(N4113),N4113,0)-IF(ISNUMBER(O4113),O4113,0)+IF(ISNUMBER(P4113),P4113,0),2),"")</f>
        <v/>
      </c>
      <c r="S4113" s="9" t="str">
        <f aca="false">IF(R4113="","",ROUND(L4113-R4113,2))</f>
        <v/>
      </c>
      <c r="T4113" s="8" t="str">
        <f aca="false">IF(A4113="","",IF(S4113="","BYPASS",IF(ABS(S4113)&lt;=Summary!$B$2,"PASS","FAIL")))</f>
        <v/>
      </c>
      <c r="U4113" s="8" t="str">
        <f aca="false">IF(T4113="BYPASS",IF(NOT(ISNUMBER(Q4113)),"PreV_ETB missing","End_tr_balance missing"),IF(T4113="FAIL",IF(AND(ISNUMBER(K4113),ISNUMBER(L4113),ABS(L4113-(K4113-IF(ISNUMBER(N4113),N4113,0)-IF(ISNUMBER(O4113),O4113,0)+IF(ISNUMBER(P4113),P4113,0)))&lt;=Summary!$B$2),"Passes using beginning_balance - PreV_ETB differs from beginning_balance",IF(AND(ISNUMBER(O4113),O4113&lt;0,ABS(L4113-(Q4113-IF(ISNUMBER(N4113),N4113,0)+IF(ISNUMBER(P4113),P4113,0)))&lt;=Summary!$B$2),"Negative realized loss not applied - check sign",IF(R4113&lt;0,"Principal paid exceeds prior balance",IF(AND(L4113&gt;Q4113,NOT(ISNUMBER(P4113))),"Balance increased but no Deferred_interest reported",IF(L4113&gt;R4113,"Reported balance higher than expected (missing increase/OC build)","Reported balance lower than expected (missing decrease)"))))),""))</f>
        <v/>
      </c>
    </row>
    <row r="4114" customFormat="false" ht="15" hidden="false" customHeight="false" outlineLevel="0" collapsed="false">
      <c r="A4114" s="8"/>
      <c r="B4114" s="8"/>
      <c r="C4114" s="8"/>
      <c r="D4114" s="8"/>
      <c r="E4114" s="8"/>
      <c r="F4114" s="8"/>
      <c r="G4114" s="8"/>
      <c r="H4114" s="8"/>
      <c r="I4114" s="8"/>
      <c r="J4114" s="8"/>
      <c r="K4114" s="9"/>
      <c r="L4114" s="9"/>
      <c r="M4114" s="9"/>
      <c r="N4114" s="9"/>
      <c r="O4114" s="9"/>
      <c r="P4114" s="9"/>
      <c r="Q4114" s="9"/>
      <c r="R4114" s="9" t="str">
        <f aca="false">IF(AND(A4114&lt;&gt;"",ISNUMBER(Q4114),ISNUMBER(L4114)),ROUND(Q4114-IF(ISNUMBER(N4114),N4114,0)-IF(ISNUMBER(O4114),O4114,0)+IF(ISNUMBER(P4114),P4114,0),2),"")</f>
        <v/>
      </c>
      <c r="S4114" s="9" t="str">
        <f aca="false">IF(R4114="","",ROUND(L4114-R4114,2))</f>
        <v/>
      </c>
      <c r="T4114" s="8" t="str">
        <f aca="false">IF(A4114="","",IF(S4114="","BYPASS",IF(ABS(S4114)&lt;=Summary!$B$2,"PASS","FAIL")))</f>
        <v/>
      </c>
      <c r="U4114" s="8" t="str">
        <f aca="false">IF(T4114="BYPASS",IF(NOT(ISNUMBER(Q4114)),"PreV_ETB missing","End_tr_balance missing"),IF(T4114="FAIL",IF(AND(ISNUMBER(K4114),ISNUMBER(L4114),ABS(L4114-(K4114-IF(ISNUMBER(N4114),N4114,0)-IF(ISNUMBER(O4114),O4114,0)+IF(ISNUMBER(P4114),P4114,0)))&lt;=Summary!$B$2),"Passes using beginning_balance - PreV_ETB differs from beginning_balance",IF(AND(ISNUMBER(O4114),O4114&lt;0,ABS(L4114-(Q4114-IF(ISNUMBER(N4114),N4114,0)+IF(ISNUMBER(P4114),P4114,0)))&lt;=Summary!$B$2),"Negative realized loss not applied - check sign",IF(R4114&lt;0,"Principal paid exceeds prior balance",IF(AND(L4114&gt;Q4114,NOT(ISNUMBER(P4114))),"Balance increased but no Deferred_interest reported",IF(L4114&gt;R4114,"Reported balance higher than expected (missing increase/OC build)","Reported balance lower than expected (missing decrease)"))))),""))</f>
        <v/>
      </c>
    </row>
    <row r="4115" customFormat="false" ht="15" hidden="false" customHeight="false" outlineLevel="0" collapsed="false">
      <c r="A4115" s="8"/>
      <c r="B4115" s="8"/>
      <c r="C4115" s="8"/>
      <c r="D4115" s="8"/>
      <c r="E4115" s="8"/>
      <c r="F4115" s="8"/>
      <c r="G4115" s="8"/>
      <c r="H4115" s="8"/>
      <c r="I4115" s="8"/>
      <c r="J4115" s="8"/>
      <c r="K4115" s="9"/>
      <c r="L4115" s="9"/>
      <c r="M4115" s="9"/>
      <c r="N4115" s="9"/>
      <c r="O4115" s="9"/>
      <c r="P4115" s="9"/>
      <c r="Q4115" s="9"/>
      <c r="R4115" s="9" t="str">
        <f aca="false">IF(AND(A4115&lt;&gt;"",ISNUMBER(Q4115),ISNUMBER(L4115)),ROUND(Q4115-IF(ISNUMBER(N4115),N4115,0)-IF(ISNUMBER(O4115),O4115,0)+IF(ISNUMBER(P4115),P4115,0),2),"")</f>
        <v/>
      </c>
      <c r="S4115" s="9" t="str">
        <f aca="false">IF(R4115="","",ROUND(L4115-R4115,2))</f>
        <v/>
      </c>
      <c r="T4115" s="8" t="str">
        <f aca="false">IF(A4115="","",IF(S4115="","BYPASS",IF(ABS(S4115)&lt;=Summary!$B$2,"PASS","FAIL")))</f>
        <v/>
      </c>
      <c r="U4115" s="8" t="str">
        <f aca="false">IF(T4115="BYPASS",IF(NOT(ISNUMBER(Q4115)),"PreV_ETB missing","End_tr_balance missing"),IF(T4115="FAIL",IF(AND(ISNUMBER(K4115),ISNUMBER(L4115),ABS(L4115-(K4115-IF(ISNUMBER(N4115),N4115,0)-IF(ISNUMBER(O4115),O4115,0)+IF(ISNUMBER(P4115),P4115,0)))&lt;=Summary!$B$2),"Passes using beginning_balance - PreV_ETB differs from beginning_balance",IF(AND(ISNUMBER(O4115),O4115&lt;0,ABS(L4115-(Q4115-IF(ISNUMBER(N4115),N4115,0)+IF(ISNUMBER(P4115),P4115,0)))&lt;=Summary!$B$2),"Negative realized loss not applied - check sign",IF(R4115&lt;0,"Principal paid exceeds prior balance",IF(AND(L4115&gt;Q4115,NOT(ISNUMBER(P4115))),"Balance increased but no Deferred_interest reported",IF(L4115&gt;R4115,"Reported balance higher than expected (missing increase/OC build)","Reported balance lower than expected (missing decrease)"))))),""))</f>
        <v/>
      </c>
    </row>
    <row r="4116" customFormat="false" ht="15" hidden="false" customHeight="false" outlineLevel="0" collapsed="false">
      <c r="A4116" s="8"/>
      <c r="B4116" s="8"/>
      <c r="C4116" s="8"/>
      <c r="D4116" s="8"/>
      <c r="E4116" s="8"/>
      <c r="F4116" s="8"/>
      <c r="G4116" s="8"/>
      <c r="H4116" s="8"/>
      <c r="I4116" s="8"/>
      <c r="J4116" s="8"/>
      <c r="K4116" s="9"/>
      <c r="L4116" s="9"/>
      <c r="M4116" s="9"/>
      <c r="N4116" s="9"/>
      <c r="O4116" s="9"/>
      <c r="P4116" s="9"/>
      <c r="Q4116" s="9"/>
      <c r="R4116" s="9" t="str">
        <f aca="false">IF(AND(A4116&lt;&gt;"",ISNUMBER(Q4116),ISNUMBER(L4116)),ROUND(Q4116-IF(ISNUMBER(N4116),N4116,0)-IF(ISNUMBER(O4116),O4116,0)+IF(ISNUMBER(P4116),P4116,0),2),"")</f>
        <v/>
      </c>
      <c r="S4116" s="9" t="str">
        <f aca="false">IF(R4116="","",ROUND(L4116-R4116,2))</f>
        <v/>
      </c>
      <c r="T4116" s="8" t="str">
        <f aca="false">IF(A4116="","",IF(S4116="","BYPASS",IF(ABS(S4116)&lt;=Summary!$B$2,"PASS","FAIL")))</f>
        <v/>
      </c>
      <c r="U4116" s="8" t="str">
        <f aca="false">IF(T4116="BYPASS",IF(NOT(ISNUMBER(Q4116)),"PreV_ETB missing","End_tr_balance missing"),IF(T4116="FAIL",IF(AND(ISNUMBER(K4116),ISNUMBER(L4116),ABS(L4116-(K4116-IF(ISNUMBER(N4116),N4116,0)-IF(ISNUMBER(O4116),O4116,0)+IF(ISNUMBER(P4116),P4116,0)))&lt;=Summary!$B$2),"Passes using beginning_balance - PreV_ETB differs from beginning_balance",IF(AND(ISNUMBER(O4116),O4116&lt;0,ABS(L4116-(Q4116-IF(ISNUMBER(N4116),N4116,0)+IF(ISNUMBER(P4116),P4116,0)))&lt;=Summary!$B$2),"Negative realized loss not applied - check sign",IF(R4116&lt;0,"Principal paid exceeds prior balance",IF(AND(L4116&gt;Q4116,NOT(ISNUMBER(P4116))),"Balance increased but no Deferred_interest reported",IF(L4116&gt;R4116,"Reported balance higher than expected (missing increase/OC build)","Reported balance lower than expected (missing decrease)"))))),""))</f>
        <v/>
      </c>
    </row>
    <row r="4117" customFormat="false" ht="15" hidden="false" customHeight="false" outlineLevel="0" collapsed="false">
      <c r="A4117" s="8"/>
      <c r="B4117" s="8"/>
      <c r="C4117" s="8"/>
      <c r="D4117" s="8"/>
      <c r="E4117" s="8"/>
      <c r="F4117" s="8"/>
      <c r="G4117" s="8"/>
      <c r="H4117" s="8"/>
      <c r="I4117" s="8"/>
      <c r="J4117" s="8"/>
      <c r="K4117" s="9"/>
      <c r="L4117" s="9"/>
      <c r="M4117" s="9"/>
      <c r="N4117" s="9"/>
      <c r="O4117" s="9"/>
      <c r="P4117" s="9"/>
      <c r="Q4117" s="9"/>
      <c r="R4117" s="9" t="str">
        <f aca="false">IF(AND(A4117&lt;&gt;"",ISNUMBER(Q4117),ISNUMBER(L4117)),ROUND(Q4117-IF(ISNUMBER(N4117),N4117,0)-IF(ISNUMBER(O4117),O4117,0)+IF(ISNUMBER(P4117),P4117,0),2),"")</f>
        <v/>
      </c>
      <c r="S4117" s="9" t="str">
        <f aca="false">IF(R4117="","",ROUND(L4117-R4117,2))</f>
        <v/>
      </c>
      <c r="T4117" s="8" t="str">
        <f aca="false">IF(A4117="","",IF(S4117="","BYPASS",IF(ABS(S4117)&lt;=Summary!$B$2,"PASS","FAIL")))</f>
        <v/>
      </c>
      <c r="U4117" s="8" t="str">
        <f aca="false">IF(T4117="BYPASS",IF(NOT(ISNUMBER(Q4117)),"PreV_ETB missing","End_tr_balance missing"),IF(T4117="FAIL",IF(AND(ISNUMBER(K4117),ISNUMBER(L4117),ABS(L4117-(K4117-IF(ISNUMBER(N4117),N4117,0)-IF(ISNUMBER(O4117),O4117,0)+IF(ISNUMBER(P4117),P4117,0)))&lt;=Summary!$B$2),"Passes using beginning_balance - PreV_ETB differs from beginning_balance",IF(AND(ISNUMBER(O4117),O4117&lt;0,ABS(L4117-(Q4117-IF(ISNUMBER(N4117),N4117,0)+IF(ISNUMBER(P4117),P4117,0)))&lt;=Summary!$B$2),"Negative realized loss not applied - check sign",IF(R4117&lt;0,"Principal paid exceeds prior balance",IF(AND(L4117&gt;Q4117,NOT(ISNUMBER(P4117))),"Balance increased but no Deferred_interest reported",IF(L4117&gt;R4117,"Reported balance higher than expected (missing increase/OC build)","Reported balance lower than expected (missing decrease)"))))),""))</f>
        <v/>
      </c>
    </row>
    <row r="4118" customFormat="false" ht="15" hidden="false" customHeight="false" outlineLevel="0" collapsed="false">
      <c r="A4118" s="8"/>
      <c r="B4118" s="8"/>
      <c r="C4118" s="8"/>
      <c r="D4118" s="8"/>
      <c r="E4118" s="8"/>
      <c r="F4118" s="8"/>
      <c r="G4118" s="8"/>
      <c r="H4118" s="8"/>
      <c r="I4118" s="8"/>
      <c r="J4118" s="8"/>
      <c r="K4118" s="9"/>
      <c r="L4118" s="9"/>
      <c r="M4118" s="9"/>
      <c r="N4118" s="9"/>
      <c r="O4118" s="9"/>
      <c r="P4118" s="9"/>
      <c r="Q4118" s="9"/>
      <c r="R4118" s="9" t="str">
        <f aca="false">IF(AND(A4118&lt;&gt;"",ISNUMBER(Q4118),ISNUMBER(L4118)),ROUND(Q4118-IF(ISNUMBER(N4118),N4118,0)-IF(ISNUMBER(O4118),O4118,0)+IF(ISNUMBER(P4118),P4118,0),2),"")</f>
        <v/>
      </c>
      <c r="S4118" s="9" t="str">
        <f aca="false">IF(R4118="","",ROUND(L4118-R4118,2))</f>
        <v/>
      </c>
      <c r="T4118" s="8" t="str">
        <f aca="false">IF(A4118="","",IF(S4118="","BYPASS",IF(ABS(S4118)&lt;=Summary!$B$2,"PASS","FAIL")))</f>
        <v/>
      </c>
      <c r="U4118" s="8" t="str">
        <f aca="false">IF(T4118="BYPASS",IF(NOT(ISNUMBER(Q4118)),"PreV_ETB missing","End_tr_balance missing"),IF(T4118="FAIL",IF(AND(ISNUMBER(K4118),ISNUMBER(L4118),ABS(L4118-(K4118-IF(ISNUMBER(N4118),N4118,0)-IF(ISNUMBER(O4118),O4118,0)+IF(ISNUMBER(P4118),P4118,0)))&lt;=Summary!$B$2),"Passes using beginning_balance - PreV_ETB differs from beginning_balance",IF(AND(ISNUMBER(O4118),O4118&lt;0,ABS(L4118-(Q4118-IF(ISNUMBER(N4118),N4118,0)+IF(ISNUMBER(P4118),P4118,0)))&lt;=Summary!$B$2),"Negative realized loss not applied - check sign",IF(R4118&lt;0,"Principal paid exceeds prior balance",IF(AND(L4118&gt;Q4118,NOT(ISNUMBER(P4118))),"Balance increased but no Deferred_interest reported",IF(L4118&gt;R4118,"Reported balance higher than expected (missing increase/OC build)","Reported balance lower than expected (missing decrease)"))))),""))</f>
        <v/>
      </c>
    </row>
    <row r="4119" customFormat="false" ht="15" hidden="false" customHeight="false" outlineLevel="0" collapsed="false">
      <c r="A4119" s="8"/>
      <c r="B4119" s="8"/>
      <c r="C4119" s="8"/>
      <c r="D4119" s="8"/>
      <c r="E4119" s="8"/>
      <c r="F4119" s="8"/>
      <c r="G4119" s="8"/>
      <c r="H4119" s="8"/>
      <c r="I4119" s="8"/>
      <c r="J4119" s="8"/>
      <c r="K4119" s="9"/>
      <c r="L4119" s="9"/>
      <c r="M4119" s="9"/>
      <c r="N4119" s="9"/>
      <c r="O4119" s="9"/>
      <c r="P4119" s="9"/>
      <c r="Q4119" s="9"/>
      <c r="R4119" s="9" t="str">
        <f aca="false">IF(AND(A4119&lt;&gt;"",ISNUMBER(Q4119),ISNUMBER(L4119)),ROUND(Q4119-IF(ISNUMBER(N4119),N4119,0)-IF(ISNUMBER(O4119),O4119,0)+IF(ISNUMBER(P4119),P4119,0),2),"")</f>
        <v/>
      </c>
      <c r="S4119" s="9" t="str">
        <f aca="false">IF(R4119="","",ROUND(L4119-R4119,2))</f>
        <v/>
      </c>
      <c r="T4119" s="8" t="str">
        <f aca="false">IF(A4119="","",IF(S4119="","BYPASS",IF(ABS(S4119)&lt;=Summary!$B$2,"PASS","FAIL")))</f>
        <v/>
      </c>
      <c r="U4119" s="8" t="str">
        <f aca="false">IF(T4119="BYPASS",IF(NOT(ISNUMBER(Q4119)),"PreV_ETB missing","End_tr_balance missing"),IF(T4119="FAIL",IF(AND(ISNUMBER(K4119),ISNUMBER(L4119),ABS(L4119-(K4119-IF(ISNUMBER(N4119),N4119,0)-IF(ISNUMBER(O4119),O4119,0)+IF(ISNUMBER(P4119),P4119,0)))&lt;=Summary!$B$2),"Passes using beginning_balance - PreV_ETB differs from beginning_balance",IF(AND(ISNUMBER(O4119),O4119&lt;0,ABS(L4119-(Q4119-IF(ISNUMBER(N4119),N4119,0)+IF(ISNUMBER(P4119),P4119,0)))&lt;=Summary!$B$2),"Negative realized loss not applied - check sign",IF(R4119&lt;0,"Principal paid exceeds prior balance",IF(AND(L4119&gt;Q4119,NOT(ISNUMBER(P4119))),"Balance increased but no Deferred_interest reported",IF(L4119&gt;R4119,"Reported balance higher than expected (missing increase/OC build)","Reported balance lower than expected (missing decrease)"))))),""))</f>
        <v/>
      </c>
    </row>
    <row r="4120" customFormat="false" ht="15" hidden="false" customHeight="false" outlineLevel="0" collapsed="false">
      <c r="A4120" s="8"/>
      <c r="B4120" s="8"/>
      <c r="C4120" s="8"/>
      <c r="D4120" s="8"/>
      <c r="E4120" s="8"/>
      <c r="F4120" s="8"/>
      <c r="G4120" s="8"/>
      <c r="H4120" s="8"/>
      <c r="I4120" s="8"/>
      <c r="J4120" s="8"/>
      <c r="K4120" s="9"/>
      <c r="L4120" s="9"/>
      <c r="M4120" s="9"/>
      <c r="N4120" s="9"/>
      <c r="O4120" s="9"/>
      <c r="P4120" s="9"/>
      <c r="Q4120" s="9"/>
      <c r="R4120" s="9" t="str">
        <f aca="false">IF(AND(A4120&lt;&gt;"",ISNUMBER(Q4120),ISNUMBER(L4120)),ROUND(Q4120-IF(ISNUMBER(N4120),N4120,0)-IF(ISNUMBER(O4120),O4120,0)+IF(ISNUMBER(P4120),P4120,0),2),"")</f>
        <v/>
      </c>
      <c r="S4120" s="9" t="str">
        <f aca="false">IF(R4120="","",ROUND(L4120-R4120,2))</f>
        <v/>
      </c>
      <c r="T4120" s="8" t="str">
        <f aca="false">IF(A4120="","",IF(S4120="","BYPASS",IF(ABS(S4120)&lt;=Summary!$B$2,"PASS","FAIL")))</f>
        <v/>
      </c>
      <c r="U4120" s="8" t="str">
        <f aca="false">IF(T4120="BYPASS",IF(NOT(ISNUMBER(Q4120)),"PreV_ETB missing","End_tr_balance missing"),IF(T4120="FAIL",IF(AND(ISNUMBER(K4120),ISNUMBER(L4120),ABS(L4120-(K4120-IF(ISNUMBER(N4120),N4120,0)-IF(ISNUMBER(O4120),O4120,0)+IF(ISNUMBER(P4120),P4120,0)))&lt;=Summary!$B$2),"Passes using beginning_balance - PreV_ETB differs from beginning_balance",IF(AND(ISNUMBER(O4120),O4120&lt;0,ABS(L4120-(Q4120-IF(ISNUMBER(N4120),N4120,0)+IF(ISNUMBER(P4120),P4120,0)))&lt;=Summary!$B$2),"Negative realized loss not applied - check sign",IF(R4120&lt;0,"Principal paid exceeds prior balance",IF(AND(L4120&gt;Q4120,NOT(ISNUMBER(P4120))),"Balance increased but no Deferred_interest reported",IF(L4120&gt;R4120,"Reported balance higher than expected (missing increase/OC build)","Reported balance lower than expected (missing decrease)"))))),""))</f>
        <v/>
      </c>
    </row>
    <row r="4121" customFormat="false" ht="15" hidden="false" customHeight="false" outlineLevel="0" collapsed="false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9"/>
      <c r="L4121" s="9"/>
      <c r="M4121" s="9"/>
      <c r="N4121" s="9"/>
      <c r="O4121" s="9"/>
      <c r="P4121" s="9"/>
      <c r="Q4121" s="9"/>
      <c r="R4121" s="9" t="str">
        <f aca="false">IF(AND(A4121&lt;&gt;"",ISNUMBER(Q4121),ISNUMBER(L4121)),ROUND(Q4121-IF(ISNUMBER(N4121),N4121,0)-IF(ISNUMBER(O4121),O4121,0)+IF(ISNUMBER(P4121),P4121,0),2),"")</f>
        <v/>
      </c>
      <c r="S4121" s="9" t="str">
        <f aca="false">IF(R4121="","",ROUND(L4121-R4121,2))</f>
        <v/>
      </c>
      <c r="T4121" s="8" t="str">
        <f aca="false">IF(A4121="","",IF(S4121="","BYPASS",IF(ABS(S4121)&lt;=Summary!$B$2,"PASS","FAIL")))</f>
        <v/>
      </c>
      <c r="U4121" s="8" t="str">
        <f aca="false">IF(T4121="BYPASS",IF(NOT(ISNUMBER(Q4121)),"PreV_ETB missing","End_tr_balance missing"),IF(T4121="FAIL",IF(AND(ISNUMBER(K4121),ISNUMBER(L4121),ABS(L4121-(K4121-IF(ISNUMBER(N4121),N4121,0)-IF(ISNUMBER(O4121),O4121,0)+IF(ISNUMBER(P4121),P4121,0)))&lt;=Summary!$B$2),"Passes using beginning_balance - PreV_ETB differs from beginning_balance",IF(AND(ISNUMBER(O4121),O4121&lt;0,ABS(L4121-(Q4121-IF(ISNUMBER(N4121),N4121,0)+IF(ISNUMBER(P4121),P4121,0)))&lt;=Summary!$B$2),"Negative realized loss not applied - check sign",IF(R4121&lt;0,"Principal paid exceeds prior balance",IF(AND(L4121&gt;Q4121,NOT(ISNUMBER(P4121))),"Balance increased but no Deferred_interest reported",IF(L4121&gt;R4121,"Reported balance higher than expected (missing increase/OC build)","Reported balance lower than expected (missing decrease)"))))),""))</f>
        <v/>
      </c>
    </row>
    <row r="4122" customFormat="false" ht="15" hidden="false" customHeight="false" outlineLevel="0" collapsed="false">
      <c r="A4122" s="8"/>
      <c r="B4122" s="8"/>
      <c r="C4122" s="8"/>
      <c r="D4122" s="8"/>
      <c r="E4122" s="8"/>
      <c r="F4122" s="8"/>
      <c r="G4122" s="8"/>
      <c r="H4122" s="8"/>
      <c r="I4122" s="8"/>
      <c r="J4122" s="8"/>
      <c r="K4122" s="9"/>
      <c r="L4122" s="9"/>
      <c r="M4122" s="9"/>
      <c r="N4122" s="9"/>
      <c r="O4122" s="9"/>
      <c r="P4122" s="9"/>
      <c r="Q4122" s="9"/>
      <c r="R4122" s="9" t="str">
        <f aca="false">IF(AND(A4122&lt;&gt;"",ISNUMBER(Q4122),ISNUMBER(L4122)),ROUND(Q4122-IF(ISNUMBER(N4122),N4122,0)-IF(ISNUMBER(O4122),O4122,0)+IF(ISNUMBER(P4122),P4122,0),2),"")</f>
        <v/>
      </c>
      <c r="S4122" s="9" t="str">
        <f aca="false">IF(R4122="","",ROUND(L4122-R4122,2))</f>
        <v/>
      </c>
      <c r="T4122" s="8" t="str">
        <f aca="false">IF(A4122="","",IF(S4122="","BYPASS",IF(ABS(S4122)&lt;=Summary!$B$2,"PASS","FAIL")))</f>
        <v/>
      </c>
      <c r="U4122" s="8" t="str">
        <f aca="false">IF(T4122="BYPASS",IF(NOT(ISNUMBER(Q4122)),"PreV_ETB missing","End_tr_balance missing"),IF(T4122="FAIL",IF(AND(ISNUMBER(K4122),ISNUMBER(L4122),ABS(L4122-(K4122-IF(ISNUMBER(N4122),N4122,0)-IF(ISNUMBER(O4122),O4122,0)+IF(ISNUMBER(P4122),P4122,0)))&lt;=Summary!$B$2),"Passes using beginning_balance - PreV_ETB differs from beginning_balance",IF(AND(ISNUMBER(O4122),O4122&lt;0,ABS(L4122-(Q4122-IF(ISNUMBER(N4122),N4122,0)+IF(ISNUMBER(P4122),P4122,0)))&lt;=Summary!$B$2),"Negative realized loss not applied - check sign",IF(R4122&lt;0,"Principal paid exceeds prior balance",IF(AND(L4122&gt;Q4122,NOT(ISNUMBER(P4122))),"Balance increased but no Deferred_interest reported",IF(L4122&gt;R4122,"Reported balance higher than expected (missing increase/OC build)","Reported balance lower than expected (missing decrease)"))))),""))</f>
        <v/>
      </c>
    </row>
    <row r="4123" customFormat="false" ht="15" hidden="false" customHeight="false" outlineLevel="0" collapsed="false">
      <c r="A4123" s="8"/>
      <c r="B4123" s="8"/>
      <c r="C4123" s="8"/>
      <c r="D4123" s="8"/>
      <c r="E4123" s="8"/>
      <c r="F4123" s="8"/>
      <c r="G4123" s="8"/>
      <c r="H4123" s="8"/>
      <c r="I4123" s="8"/>
      <c r="J4123" s="8"/>
      <c r="K4123" s="9"/>
      <c r="L4123" s="9"/>
      <c r="M4123" s="9"/>
      <c r="N4123" s="9"/>
      <c r="O4123" s="9"/>
      <c r="P4123" s="9"/>
      <c r="Q4123" s="9"/>
      <c r="R4123" s="9" t="str">
        <f aca="false">IF(AND(A4123&lt;&gt;"",ISNUMBER(Q4123),ISNUMBER(L4123)),ROUND(Q4123-IF(ISNUMBER(N4123),N4123,0)-IF(ISNUMBER(O4123),O4123,0)+IF(ISNUMBER(P4123),P4123,0),2),"")</f>
        <v/>
      </c>
      <c r="S4123" s="9" t="str">
        <f aca="false">IF(R4123="","",ROUND(L4123-R4123,2))</f>
        <v/>
      </c>
      <c r="T4123" s="8" t="str">
        <f aca="false">IF(A4123="","",IF(S4123="","BYPASS",IF(ABS(S4123)&lt;=Summary!$B$2,"PASS","FAIL")))</f>
        <v/>
      </c>
      <c r="U4123" s="8" t="str">
        <f aca="false">IF(T4123="BYPASS",IF(NOT(ISNUMBER(Q4123)),"PreV_ETB missing","End_tr_balance missing"),IF(T4123="FAIL",IF(AND(ISNUMBER(K4123),ISNUMBER(L4123),ABS(L4123-(K4123-IF(ISNUMBER(N4123),N4123,0)-IF(ISNUMBER(O4123),O4123,0)+IF(ISNUMBER(P4123),P4123,0)))&lt;=Summary!$B$2),"Passes using beginning_balance - PreV_ETB differs from beginning_balance",IF(AND(ISNUMBER(O4123),O4123&lt;0,ABS(L4123-(Q4123-IF(ISNUMBER(N4123),N4123,0)+IF(ISNUMBER(P4123),P4123,0)))&lt;=Summary!$B$2),"Negative realized loss not applied - check sign",IF(R4123&lt;0,"Principal paid exceeds prior balance",IF(AND(L4123&gt;Q4123,NOT(ISNUMBER(P4123))),"Balance increased but no Deferred_interest reported",IF(L4123&gt;R4123,"Reported balance higher than expected (missing increase/OC build)","Reported balance lower than expected (missing decrease)"))))),""))</f>
        <v/>
      </c>
    </row>
    <row r="4124" customFormat="false" ht="15" hidden="false" customHeight="false" outlineLevel="0" collapsed="false">
      <c r="A4124" s="8"/>
      <c r="B4124" s="8"/>
      <c r="C4124" s="8"/>
      <c r="D4124" s="8"/>
      <c r="E4124" s="8"/>
      <c r="F4124" s="8"/>
      <c r="G4124" s="8"/>
      <c r="H4124" s="8"/>
      <c r="I4124" s="8"/>
      <c r="J4124" s="8"/>
      <c r="K4124" s="9"/>
      <c r="L4124" s="9"/>
      <c r="M4124" s="9"/>
      <c r="N4124" s="9"/>
      <c r="O4124" s="9"/>
      <c r="P4124" s="9"/>
      <c r="Q4124" s="9"/>
      <c r="R4124" s="9" t="str">
        <f aca="false">IF(AND(A4124&lt;&gt;"",ISNUMBER(Q4124),ISNUMBER(L4124)),ROUND(Q4124-IF(ISNUMBER(N4124),N4124,0)-IF(ISNUMBER(O4124),O4124,0)+IF(ISNUMBER(P4124),P4124,0),2),"")</f>
        <v/>
      </c>
      <c r="S4124" s="9" t="str">
        <f aca="false">IF(R4124="","",ROUND(L4124-R4124,2))</f>
        <v/>
      </c>
      <c r="T4124" s="8" t="str">
        <f aca="false">IF(A4124="","",IF(S4124="","BYPASS",IF(ABS(S4124)&lt;=Summary!$B$2,"PASS","FAIL")))</f>
        <v/>
      </c>
      <c r="U4124" s="8" t="str">
        <f aca="false">IF(T4124="BYPASS",IF(NOT(ISNUMBER(Q4124)),"PreV_ETB missing","End_tr_balance missing"),IF(T4124="FAIL",IF(AND(ISNUMBER(K4124),ISNUMBER(L4124),ABS(L4124-(K4124-IF(ISNUMBER(N4124),N4124,0)-IF(ISNUMBER(O4124),O4124,0)+IF(ISNUMBER(P4124),P4124,0)))&lt;=Summary!$B$2),"Passes using beginning_balance - PreV_ETB differs from beginning_balance",IF(AND(ISNUMBER(O4124),O4124&lt;0,ABS(L4124-(Q4124-IF(ISNUMBER(N4124),N4124,0)+IF(ISNUMBER(P4124),P4124,0)))&lt;=Summary!$B$2),"Negative realized loss not applied - check sign",IF(R4124&lt;0,"Principal paid exceeds prior balance",IF(AND(L4124&gt;Q4124,NOT(ISNUMBER(P4124))),"Balance increased but no Deferred_interest reported",IF(L4124&gt;R4124,"Reported balance higher than expected (missing increase/OC build)","Reported balance lower than expected (missing decrease)"))))),""))</f>
        <v/>
      </c>
    </row>
    <row r="4125" customFormat="false" ht="15" hidden="false" customHeight="false" outlineLevel="0" collapsed="false">
      <c r="A4125" s="8"/>
      <c r="B4125" s="8"/>
      <c r="C4125" s="8"/>
      <c r="D4125" s="8"/>
      <c r="E4125" s="8"/>
      <c r="F4125" s="8"/>
      <c r="G4125" s="8"/>
      <c r="H4125" s="8"/>
      <c r="I4125" s="8"/>
      <c r="J4125" s="8"/>
      <c r="K4125" s="9"/>
      <c r="L4125" s="9"/>
      <c r="M4125" s="9"/>
      <c r="N4125" s="9"/>
      <c r="O4125" s="9"/>
      <c r="P4125" s="9"/>
      <c r="Q4125" s="9"/>
      <c r="R4125" s="9" t="str">
        <f aca="false">IF(AND(A4125&lt;&gt;"",ISNUMBER(Q4125),ISNUMBER(L4125)),ROUND(Q4125-IF(ISNUMBER(N4125),N4125,0)-IF(ISNUMBER(O4125),O4125,0)+IF(ISNUMBER(P4125),P4125,0),2),"")</f>
        <v/>
      </c>
      <c r="S4125" s="9" t="str">
        <f aca="false">IF(R4125="","",ROUND(L4125-R4125,2))</f>
        <v/>
      </c>
      <c r="T4125" s="8" t="str">
        <f aca="false">IF(A4125="","",IF(S4125="","BYPASS",IF(ABS(S4125)&lt;=Summary!$B$2,"PASS","FAIL")))</f>
        <v/>
      </c>
      <c r="U4125" s="8" t="str">
        <f aca="false">IF(T4125="BYPASS",IF(NOT(ISNUMBER(Q4125)),"PreV_ETB missing","End_tr_balance missing"),IF(T4125="FAIL",IF(AND(ISNUMBER(K4125),ISNUMBER(L4125),ABS(L4125-(K4125-IF(ISNUMBER(N4125),N4125,0)-IF(ISNUMBER(O4125),O4125,0)+IF(ISNUMBER(P4125),P4125,0)))&lt;=Summary!$B$2),"Passes using beginning_balance - PreV_ETB differs from beginning_balance",IF(AND(ISNUMBER(O4125),O4125&lt;0,ABS(L4125-(Q4125-IF(ISNUMBER(N4125),N4125,0)+IF(ISNUMBER(P4125),P4125,0)))&lt;=Summary!$B$2),"Negative realized loss not applied - check sign",IF(R4125&lt;0,"Principal paid exceeds prior balance",IF(AND(L4125&gt;Q4125,NOT(ISNUMBER(P4125))),"Balance increased but no Deferred_interest reported",IF(L4125&gt;R4125,"Reported balance higher than expected (missing increase/OC build)","Reported balance lower than expected (missing decrease)"))))),""))</f>
        <v/>
      </c>
    </row>
    <row r="4126" customFormat="false" ht="15" hidden="false" customHeight="false" outlineLevel="0" collapsed="false">
      <c r="A4126" s="8"/>
      <c r="B4126" s="8"/>
      <c r="C4126" s="8"/>
      <c r="D4126" s="8"/>
      <c r="E4126" s="8"/>
      <c r="F4126" s="8"/>
      <c r="G4126" s="8"/>
      <c r="H4126" s="8"/>
      <c r="I4126" s="8"/>
      <c r="J4126" s="8"/>
      <c r="K4126" s="9"/>
      <c r="L4126" s="9"/>
      <c r="M4126" s="9"/>
      <c r="N4126" s="9"/>
      <c r="O4126" s="9"/>
      <c r="P4126" s="9"/>
      <c r="Q4126" s="9"/>
      <c r="R4126" s="9" t="str">
        <f aca="false">IF(AND(A4126&lt;&gt;"",ISNUMBER(Q4126),ISNUMBER(L4126)),ROUND(Q4126-IF(ISNUMBER(N4126),N4126,0)-IF(ISNUMBER(O4126),O4126,0)+IF(ISNUMBER(P4126),P4126,0),2),"")</f>
        <v/>
      </c>
      <c r="S4126" s="9" t="str">
        <f aca="false">IF(R4126="","",ROUND(L4126-R4126,2))</f>
        <v/>
      </c>
      <c r="T4126" s="8" t="str">
        <f aca="false">IF(A4126="","",IF(S4126="","BYPASS",IF(ABS(S4126)&lt;=Summary!$B$2,"PASS","FAIL")))</f>
        <v/>
      </c>
      <c r="U4126" s="8" t="str">
        <f aca="false">IF(T4126="BYPASS",IF(NOT(ISNUMBER(Q4126)),"PreV_ETB missing","End_tr_balance missing"),IF(T4126="FAIL",IF(AND(ISNUMBER(K4126),ISNUMBER(L4126),ABS(L4126-(K4126-IF(ISNUMBER(N4126),N4126,0)-IF(ISNUMBER(O4126),O4126,0)+IF(ISNUMBER(P4126),P4126,0)))&lt;=Summary!$B$2),"Passes using beginning_balance - PreV_ETB differs from beginning_balance",IF(AND(ISNUMBER(O4126),O4126&lt;0,ABS(L4126-(Q4126-IF(ISNUMBER(N4126),N4126,0)+IF(ISNUMBER(P4126),P4126,0)))&lt;=Summary!$B$2),"Negative realized loss not applied - check sign",IF(R4126&lt;0,"Principal paid exceeds prior balance",IF(AND(L4126&gt;Q4126,NOT(ISNUMBER(P4126))),"Balance increased but no Deferred_interest reported",IF(L4126&gt;R4126,"Reported balance higher than expected (missing increase/OC build)","Reported balance lower than expected (missing decrease)"))))),""))</f>
        <v/>
      </c>
    </row>
    <row r="4127" customFormat="false" ht="15" hidden="false" customHeight="false" outlineLevel="0" collapsed="false">
      <c r="A4127" s="8"/>
      <c r="B4127" s="8"/>
      <c r="C4127" s="8"/>
      <c r="D4127" s="8"/>
      <c r="E4127" s="8"/>
      <c r="F4127" s="8"/>
      <c r="G4127" s="8"/>
      <c r="H4127" s="8"/>
      <c r="I4127" s="8"/>
      <c r="J4127" s="8"/>
      <c r="K4127" s="9"/>
      <c r="L4127" s="9"/>
      <c r="M4127" s="9"/>
      <c r="N4127" s="9"/>
      <c r="O4127" s="9"/>
      <c r="P4127" s="9"/>
      <c r="Q4127" s="9"/>
      <c r="R4127" s="9" t="str">
        <f aca="false">IF(AND(A4127&lt;&gt;"",ISNUMBER(Q4127),ISNUMBER(L4127)),ROUND(Q4127-IF(ISNUMBER(N4127),N4127,0)-IF(ISNUMBER(O4127),O4127,0)+IF(ISNUMBER(P4127),P4127,0),2),"")</f>
        <v/>
      </c>
      <c r="S4127" s="9" t="str">
        <f aca="false">IF(R4127="","",ROUND(L4127-R4127,2))</f>
        <v/>
      </c>
      <c r="T4127" s="8" t="str">
        <f aca="false">IF(A4127="","",IF(S4127="","BYPASS",IF(ABS(S4127)&lt;=Summary!$B$2,"PASS","FAIL")))</f>
        <v/>
      </c>
      <c r="U4127" s="8" t="str">
        <f aca="false">IF(T4127="BYPASS",IF(NOT(ISNUMBER(Q4127)),"PreV_ETB missing","End_tr_balance missing"),IF(T4127="FAIL",IF(AND(ISNUMBER(K4127),ISNUMBER(L4127),ABS(L4127-(K4127-IF(ISNUMBER(N4127),N4127,0)-IF(ISNUMBER(O4127),O4127,0)+IF(ISNUMBER(P4127),P4127,0)))&lt;=Summary!$B$2),"Passes using beginning_balance - PreV_ETB differs from beginning_balance",IF(AND(ISNUMBER(O4127),O4127&lt;0,ABS(L4127-(Q4127-IF(ISNUMBER(N4127),N4127,0)+IF(ISNUMBER(P4127),P4127,0)))&lt;=Summary!$B$2),"Negative realized loss not applied - check sign",IF(R4127&lt;0,"Principal paid exceeds prior balance",IF(AND(L4127&gt;Q4127,NOT(ISNUMBER(P4127))),"Balance increased but no Deferred_interest reported",IF(L4127&gt;R4127,"Reported balance higher than expected (missing increase/OC build)","Reported balance lower than expected (missing decrease)"))))),""))</f>
        <v/>
      </c>
    </row>
    <row r="4128" customFormat="false" ht="15" hidden="false" customHeight="false" outlineLevel="0" collapsed="false">
      <c r="A4128" s="8"/>
      <c r="B4128" s="8"/>
      <c r="C4128" s="8"/>
      <c r="D4128" s="8"/>
      <c r="E4128" s="8"/>
      <c r="F4128" s="8"/>
      <c r="G4128" s="8"/>
      <c r="H4128" s="8"/>
      <c r="I4128" s="8"/>
      <c r="J4128" s="8"/>
      <c r="K4128" s="9"/>
      <c r="L4128" s="9"/>
      <c r="M4128" s="9"/>
      <c r="N4128" s="9"/>
      <c r="O4128" s="9"/>
      <c r="P4128" s="9"/>
      <c r="Q4128" s="9"/>
      <c r="R4128" s="9" t="str">
        <f aca="false">IF(AND(A4128&lt;&gt;"",ISNUMBER(Q4128),ISNUMBER(L4128)),ROUND(Q4128-IF(ISNUMBER(N4128),N4128,0)-IF(ISNUMBER(O4128),O4128,0)+IF(ISNUMBER(P4128),P4128,0),2),"")</f>
        <v/>
      </c>
      <c r="S4128" s="9" t="str">
        <f aca="false">IF(R4128="","",ROUND(L4128-R4128,2))</f>
        <v/>
      </c>
      <c r="T4128" s="8" t="str">
        <f aca="false">IF(A4128="","",IF(S4128="","BYPASS",IF(ABS(S4128)&lt;=Summary!$B$2,"PASS","FAIL")))</f>
        <v/>
      </c>
      <c r="U4128" s="8" t="str">
        <f aca="false">IF(T4128="BYPASS",IF(NOT(ISNUMBER(Q4128)),"PreV_ETB missing","End_tr_balance missing"),IF(T4128="FAIL",IF(AND(ISNUMBER(K4128),ISNUMBER(L4128),ABS(L4128-(K4128-IF(ISNUMBER(N4128),N4128,0)-IF(ISNUMBER(O4128),O4128,0)+IF(ISNUMBER(P4128),P4128,0)))&lt;=Summary!$B$2),"Passes using beginning_balance - PreV_ETB differs from beginning_balance",IF(AND(ISNUMBER(O4128),O4128&lt;0,ABS(L4128-(Q4128-IF(ISNUMBER(N4128),N4128,0)+IF(ISNUMBER(P4128),P4128,0)))&lt;=Summary!$B$2),"Negative realized loss not applied - check sign",IF(R4128&lt;0,"Principal paid exceeds prior balance",IF(AND(L4128&gt;Q4128,NOT(ISNUMBER(P4128))),"Balance increased but no Deferred_interest reported",IF(L4128&gt;R4128,"Reported balance higher than expected (missing increase/OC build)","Reported balance lower than expected (missing decrease)"))))),""))</f>
        <v/>
      </c>
    </row>
    <row r="4129" customFormat="false" ht="15" hidden="false" customHeight="false" outlineLevel="0" collapsed="false">
      <c r="A4129" s="8"/>
      <c r="B4129" s="8"/>
      <c r="C4129" s="8"/>
      <c r="D4129" s="8"/>
      <c r="E4129" s="8"/>
      <c r="F4129" s="8"/>
      <c r="G4129" s="8"/>
      <c r="H4129" s="8"/>
      <c r="I4129" s="8"/>
      <c r="J4129" s="8"/>
      <c r="K4129" s="9"/>
      <c r="L4129" s="9"/>
      <c r="M4129" s="9"/>
      <c r="N4129" s="9"/>
      <c r="O4129" s="9"/>
      <c r="P4129" s="9"/>
      <c r="Q4129" s="9"/>
      <c r="R4129" s="9" t="str">
        <f aca="false">IF(AND(A4129&lt;&gt;"",ISNUMBER(Q4129),ISNUMBER(L4129)),ROUND(Q4129-IF(ISNUMBER(N4129),N4129,0)-IF(ISNUMBER(O4129),O4129,0)+IF(ISNUMBER(P4129),P4129,0),2),"")</f>
        <v/>
      </c>
      <c r="S4129" s="9" t="str">
        <f aca="false">IF(R4129="","",ROUND(L4129-R4129,2))</f>
        <v/>
      </c>
      <c r="T4129" s="8" t="str">
        <f aca="false">IF(A4129="","",IF(S4129="","BYPASS",IF(ABS(S4129)&lt;=Summary!$B$2,"PASS","FAIL")))</f>
        <v/>
      </c>
      <c r="U4129" s="8" t="str">
        <f aca="false">IF(T4129="BYPASS",IF(NOT(ISNUMBER(Q4129)),"PreV_ETB missing","End_tr_balance missing"),IF(T4129="FAIL",IF(AND(ISNUMBER(K4129),ISNUMBER(L4129),ABS(L4129-(K4129-IF(ISNUMBER(N4129),N4129,0)-IF(ISNUMBER(O4129),O4129,0)+IF(ISNUMBER(P4129),P4129,0)))&lt;=Summary!$B$2),"Passes using beginning_balance - PreV_ETB differs from beginning_balance",IF(AND(ISNUMBER(O4129),O4129&lt;0,ABS(L4129-(Q4129-IF(ISNUMBER(N4129),N4129,0)+IF(ISNUMBER(P4129),P4129,0)))&lt;=Summary!$B$2),"Negative realized loss not applied - check sign",IF(R4129&lt;0,"Principal paid exceeds prior balance",IF(AND(L4129&gt;Q4129,NOT(ISNUMBER(P4129))),"Balance increased but no Deferred_interest reported",IF(L4129&gt;R4129,"Reported balance higher than expected (missing increase/OC build)","Reported balance lower than expected (missing decrease)"))))),""))</f>
        <v/>
      </c>
    </row>
    <row r="4130" customFormat="false" ht="15" hidden="false" customHeight="false" outlineLevel="0" collapsed="false">
      <c r="A4130" s="8"/>
      <c r="B4130" s="8"/>
      <c r="C4130" s="8"/>
      <c r="D4130" s="8"/>
      <c r="E4130" s="8"/>
      <c r="F4130" s="8"/>
      <c r="G4130" s="8"/>
      <c r="H4130" s="8"/>
      <c r="I4130" s="8"/>
      <c r="J4130" s="8"/>
      <c r="K4130" s="9"/>
      <c r="L4130" s="9"/>
      <c r="M4130" s="9"/>
      <c r="N4130" s="9"/>
      <c r="O4130" s="9"/>
      <c r="P4130" s="9"/>
      <c r="Q4130" s="9"/>
      <c r="R4130" s="9" t="str">
        <f aca="false">IF(AND(A4130&lt;&gt;"",ISNUMBER(Q4130),ISNUMBER(L4130)),ROUND(Q4130-IF(ISNUMBER(N4130),N4130,0)-IF(ISNUMBER(O4130),O4130,0)+IF(ISNUMBER(P4130),P4130,0),2),"")</f>
        <v/>
      </c>
      <c r="S4130" s="9" t="str">
        <f aca="false">IF(R4130="","",ROUND(L4130-R4130,2))</f>
        <v/>
      </c>
      <c r="T4130" s="8" t="str">
        <f aca="false">IF(A4130="","",IF(S4130="","BYPASS",IF(ABS(S4130)&lt;=Summary!$B$2,"PASS","FAIL")))</f>
        <v/>
      </c>
      <c r="U4130" s="8" t="str">
        <f aca="false">IF(T4130="BYPASS",IF(NOT(ISNUMBER(Q4130)),"PreV_ETB missing","End_tr_balance missing"),IF(T4130="FAIL",IF(AND(ISNUMBER(K4130),ISNUMBER(L4130),ABS(L4130-(K4130-IF(ISNUMBER(N4130),N4130,0)-IF(ISNUMBER(O4130),O4130,0)+IF(ISNUMBER(P4130),P4130,0)))&lt;=Summary!$B$2),"Passes using beginning_balance - PreV_ETB differs from beginning_balance",IF(AND(ISNUMBER(O4130),O4130&lt;0,ABS(L4130-(Q4130-IF(ISNUMBER(N4130),N4130,0)+IF(ISNUMBER(P4130),P4130,0)))&lt;=Summary!$B$2),"Negative realized loss not applied - check sign",IF(R4130&lt;0,"Principal paid exceeds prior balance",IF(AND(L4130&gt;Q4130,NOT(ISNUMBER(P4130))),"Balance increased but no Deferred_interest reported",IF(L4130&gt;R4130,"Reported balance higher than expected (missing increase/OC build)","Reported balance lower than expected (missing decrease)"))))),""))</f>
        <v/>
      </c>
    </row>
    <row r="4131" customFormat="false" ht="15" hidden="false" customHeight="false" outlineLevel="0" collapsed="false">
      <c r="A4131" s="8"/>
      <c r="B4131" s="8"/>
      <c r="C4131" s="8"/>
      <c r="D4131" s="8"/>
      <c r="E4131" s="8"/>
      <c r="F4131" s="8"/>
      <c r="G4131" s="8"/>
      <c r="H4131" s="8"/>
      <c r="I4131" s="8"/>
      <c r="J4131" s="8"/>
      <c r="K4131" s="9"/>
      <c r="L4131" s="9"/>
      <c r="M4131" s="9"/>
      <c r="N4131" s="9"/>
      <c r="O4131" s="9"/>
      <c r="P4131" s="9"/>
      <c r="Q4131" s="9"/>
      <c r="R4131" s="9" t="str">
        <f aca="false">IF(AND(A4131&lt;&gt;"",ISNUMBER(Q4131),ISNUMBER(L4131)),ROUND(Q4131-IF(ISNUMBER(N4131),N4131,0)-IF(ISNUMBER(O4131),O4131,0)+IF(ISNUMBER(P4131),P4131,0),2),"")</f>
        <v/>
      </c>
      <c r="S4131" s="9" t="str">
        <f aca="false">IF(R4131="","",ROUND(L4131-R4131,2))</f>
        <v/>
      </c>
      <c r="T4131" s="8" t="str">
        <f aca="false">IF(A4131="","",IF(S4131="","BYPASS",IF(ABS(S4131)&lt;=Summary!$B$2,"PASS","FAIL")))</f>
        <v/>
      </c>
      <c r="U4131" s="8" t="str">
        <f aca="false">IF(T4131="BYPASS",IF(NOT(ISNUMBER(Q4131)),"PreV_ETB missing","End_tr_balance missing"),IF(T4131="FAIL",IF(AND(ISNUMBER(K4131),ISNUMBER(L4131),ABS(L4131-(K4131-IF(ISNUMBER(N4131),N4131,0)-IF(ISNUMBER(O4131),O4131,0)+IF(ISNUMBER(P4131),P4131,0)))&lt;=Summary!$B$2),"Passes using beginning_balance - PreV_ETB differs from beginning_balance",IF(AND(ISNUMBER(O4131),O4131&lt;0,ABS(L4131-(Q4131-IF(ISNUMBER(N4131),N4131,0)+IF(ISNUMBER(P4131),P4131,0)))&lt;=Summary!$B$2),"Negative realized loss not applied - check sign",IF(R4131&lt;0,"Principal paid exceeds prior balance",IF(AND(L4131&gt;Q4131,NOT(ISNUMBER(P4131))),"Balance increased but no Deferred_interest reported",IF(L4131&gt;R4131,"Reported balance higher than expected (missing increase/OC build)","Reported balance lower than expected (missing decrease)"))))),""))</f>
        <v/>
      </c>
    </row>
    <row r="4132" customFormat="false" ht="15" hidden="false" customHeight="false" outlineLevel="0" collapsed="false">
      <c r="A4132" s="8"/>
      <c r="B4132" s="8"/>
      <c r="C4132" s="8"/>
      <c r="D4132" s="8"/>
      <c r="E4132" s="8"/>
      <c r="F4132" s="8"/>
      <c r="G4132" s="8"/>
      <c r="H4132" s="8"/>
      <c r="I4132" s="8"/>
      <c r="J4132" s="8"/>
      <c r="K4132" s="9"/>
      <c r="L4132" s="9"/>
      <c r="M4132" s="9"/>
      <c r="N4132" s="9"/>
      <c r="O4132" s="9"/>
      <c r="P4132" s="9"/>
      <c r="Q4132" s="9"/>
      <c r="R4132" s="9" t="str">
        <f aca="false">IF(AND(A4132&lt;&gt;"",ISNUMBER(Q4132),ISNUMBER(L4132)),ROUND(Q4132-IF(ISNUMBER(N4132),N4132,0)-IF(ISNUMBER(O4132),O4132,0)+IF(ISNUMBER(P4132),P4132,0),2),"")</f>
        <v/>
      </c>
      <c r="S4132" s="9" t="str">
        <f aca="false">IF(R4132="","",ROUND(L4132-R4132,2))</f>
        <v/>
      </c>
      <c r="T4132" s="8" t="str">
        <f aca="false">IF(A4132="","",IF(S4132="","BYPASS",IF(ABS(S4132)&lt;=Summary!$B$2,"PASS","FAIL")))</f>
        <v/>
      </c>
      <c r="U4132" s="8" t="str">
        <f aca="false">IF(T4132="BYPASS",IF(NOT(ISNUMBER(Q4132)),"PreV_ETB missing","End_tr_balance missing"),IF(T4132="FAIL",IF(AND(ISNUMBER(K4132),ISNUMBER(L4132),ABS(L4132-(K4132-IF(ISNUMBER(N4132),N4132,0)-IF(ISNUMBER(O4132),O4132,0)+IF(ISNUMBER(P4132),P4132,0)))&lt;=Summary!$B$2),"Passes using beginning_balance - PreV_ETB differs from beginning_balance",IF(AND(ISNUMBER(O4132),O4132&lt;0,ABS(L4132-(Q4132-IF(ISNUMBER(N4132),N4132,0)+IF(ISNUMBER(P4132),P4132,0)))&lt;=Summary!$B$2),"Negative realized loss not applied - check sign",IF(R4132&lt;0,"Principal paid exceeds prior balance",IF(AND(L4132&gt;Q4132,NOT(ISNUMBER(P4132))),"Balance increased but no Deferred_interest reported",IF(L4132&gt;R4132,"Reported balance higher than expected (missing increase/OC build)","Reported balance lower than expected (missing decrease)"))))),""))</f>
        <v/>
      </c>
    </row>
    <row r="4133" customFormat="false" ht="15" hidden="false" customHeight="false" outlineLevel="0" collapsed="false">
      <c r="A4133" s="8"/>
      <c r="B4133" s="8"/>
      <c r="C4133" s="8"/>
      <c r="D4133" s="8"/>
      <c r="E4133" s="8"/>
      <c r="F4133" s="8"/>
      <c r="G4133" s="8"/>
      <c r="H4133" s="8"/>
      <c r="I4133" s="8"/>
      <c r="J4133" s="8"/>
      <c r="K4133" s="9"/>
      <c r="L4133" s="9"/>
      <c r="M4133" s="9"/>
      <c r="N4133" s="9"/>
      <c r="O4133" s="9"/>
      <c r="P4133" s="9"/>
      <c r="Q4133" s="9"/>
      <c r="R4133" s="9" t="str">
        <f aca="false">IF(AND(A4133&lt;&gt;"",ISNUMBER(Q4133),ISNUMBER(L4133)),ROUND(Q4133-IF(ISNUMBER(N4133),N4133,0)-IF(ISNUMBER(O4133),O4133,0)+IF(ISNUMBER(P4133),P4133,0),2),"")</f>
        <v/>
      </c>
      <c r="S4133" s="9" t="str">
        <f aca="false">IF(R4133="","",ROUND(L4133-R4133,2))</f>
        <v/>
      </c>
      <c r="T4133" s="8" t="str">
        <f aca="false">IF(A4133="","",IF(S4133="","BYPASS",IF(ABS(S4133)&lt;=Summary!$B$2,"PASS","FAIL")))</f>
        <v/>
      </c>
      <c r="U4133" s="8" t="str">
        <f aca="false">IF(T4133="BYPASS",IF(NOT(ISNUMBER(Q4133)),"PreV_ETB missing","End_tr_balance missing"),IF(T4133="FAIL",IF(AND(ISNUMBER(K4133),ISNUMBER(L4133),ABS(L4133-(K4133-IF(ISNUMBER(N4133),N4133,0)-IF(ISNUMBER(O4133),O4133,0)+IF(ISNUMBER(P4133),P4133,0)))&lt;=Summary!$B$2),"Passes using beginning_balance - PreV_ETB differs from beginning_balance",IF(AND(ISNUMBER(O4133),O4133&lt;0,ABS(L4133-(Q4133-IF(ISNUMBER(N4133),N4133,0)+IF(ISNUMBER(P4133),P4133,0)))&lt;=Summary!$B$2),"Negative realized loss not applied - check sign",IF(R4133&lt;0,"Principal paid exceeds prior balance",IF(AND(L4133&gt;Q4133,NOT(ISNUMBER(P4133))),"Balance increased but no Deferred_interest reported",IF(L4133&gt;R4133,"Reported balance higher than expected (missing increase/OC build)","Reported balance lower than expected (missing decrease)"))))),""))</f>
        <v/>
      </c>
    </row>
    <row r="4134" customFormat="false" ht="15" hidden="false" customHeight="false" outlineLevel="0" collapsed="false">
      <c r="A4134" s="8"/>
      <c r="B4134" s="8"/>
      <c r="C4134" s="8"/>
      <c r="D4134" s="8"/>
      <c r="E4134" s="8"/>
      <c r="F4134" s="8"/>
      <c r="G4134" s="8"/>
      <c r="H4134" s="8"/>
      <c r="I4134" s="8"/>
      <c r="J4134" s="8"/>
      <c r="K4134" s="9"/>
      <c r="L4134" s="9"/>
      <c r="M4134" s="9"/>
      <c r="N4134" s="9"/>
      <c r="O4134" s="9"/>
      <c r="P4134" s="9"/>
      <c r="Q4134" s="9"/>
      <c r="R4134" s="9" t="str">
        <f aca="false">IF(AND(A4134&lt;&gt;"",ISNUMBER(Q4134),ISNUMBER(L4134)),ROUND(Q4134-IF(ISNUMBER(N4134),N4134,0)-IF(ISNUMBER(O4134),O4134,0)+IF(ISNUMBER(P4134),P4134,0),2),"")</f>
        <v/>
      </c>
      <c r="S4134" s="9" t="str">
        <f aca="false">IF(R4134="","",ROUND(L4134-R4134,2))</f>
        <v/>
      </c>
      <c r="T4134" s="8" t="str">
        <f aca="false">IF(A4134="","",IF(S4134="","BYPASS",IF(ABS(S4134)&lt;=Summary!$B$2,"PASS","FAIL")))</f>
        <v/>
      </c>
      <c r="U4134" s="8" t="str">
        <f aca="false">IF(T4134="BYPASS",IF(NOT(ISNUMBER(Q4134)),"PreV_ETB missing","End_tr_balance missing"),IF(T4134="FAIL",IF(AND(ISNUMBER(K4134),ISNUMBER(L4134),ABS(L4134-(K4134-IF(ISNUMBER(N4134),N4134,0)-IF(ISNUMBER(O4134),O4134,0)+IF(ISNUMBER(P4134),P4134,0)))&lt;=Summary!$B$2),"Passes using beginning_balance - PreV_ETB differs from beginning_balance",IF(AND(ISNUMBER(O4134),O4134&lt;0,ABS(L4134-(Q4134-IF(ISNUMBER(N4134),N4134,0)+IF(ISNUMBER(P4134),P4134,0)))&lt;=Summary!$B$2),"Negative realized loss not applied - check sign",IF(R4134&lt;0,"Principal paid exceeds prior balance",IF(AND(L4134&gt;Q4134,NOT(ISNUMBER(P4134))),"Balance increased but no Deferred_interest reported",IF(L4134&gt;R4134,"Reported balance higher than expected (missing increase/OC build)","Reported balance lower than expected (missing decrease)"))))),""))</f>
        <v/>
      </c>
    </row>
    <row r="4135" customFormat="false" ht="15" hidden="false" customHeight="false" outlineLevel="0" collapsed="false">
      <c r="A4135" s="8"/>
      <c r="B4135" s="8"/>
      <c r="C4135" s="8"/>
      <c r="D4135" s="8"/>
      <c r="E4135" s="8"/>
      <c r="F4135" s="8"/>
      <c r="G4135" s="8"/>
      <c r="H4135" s="8"/>
      <c r="I4135" s="8"/>
      <c r="J4135" s="8"/>
      <c r="K4135" s="9"/>
      <c r="L4135" s="9"/>
      <c r="M4135" s="9"/>
      <c r="N4135" s="9"/>
      <c r="O4135" s="9"/>
      <c r="P4135" s="9"/>
      <c r="Q4135" s="9"/>
      <c r="R4135" s="9" t="str">
        <f aca="false">IF(AND(A4135&lt;&gt;"",ISNUMBER(Q4135),ISNUMBER(L4135)),ROUND(Q4135-IF(ISNUMBER(N4135),N4135,0)-IF(ISNUMBER(O4135),O4135,0)+IF(ISNUMBER(P4135),P4135,0),2),"")</f>
        <v/>
      </c>
      <c r="S4135" s="9" t="str">
        <f aca="false">IF(R4135="","",ROUND(L4135-R4135,2))</f>
        <v/>
      </c>
      <c r="T4135" s="8" t="str">
        <f aca="false">IF(A4135="","",IF(S4135="","BYPASS",IF(ABS(S4135)&lt;=Summary!$B$2,"PASS","FAIL")))</f>
        <v/>
      </c>
      <c r="U4135" s="8" t="str">
        <f aca="false">IF(T4135="BYPASS",IF(NOT(ISNUMBER(Q4135)),"PreV_ETB missing","End_tr_balance missing"),IF(T4135="FAIL",IF(AND(ISNUMBER(K4135),ISNUMBER(L4135),ABS(L4135-(K4135-IF(ISNUMBER(N4135),N4135,0)-IF(ISNUMBER(O4135),O4135,0)+IF(ISNUMBER(P4135),P4135,0)))&lt;=Summary!$B$2),"Passes using beginning_balance - PreV_ETB differs from beginning_balance",IF(AND(ISNUMBER(O4135),O4135&lt;0,ABS(L4135-(Q4135-IF(ISNUMBER(N4135),N4135,0)+IF(ISNUMBER(P4135),P4135,0)))&lt;=Summary!$B$2),"Negative realized loss not applied - check sign",IF(R4135&lt;0,"Principal paid exceeds prior balance",IF(AND(L4135&gt;Q4135,NOT(ISNUMBER(P4135))),"Balance increased but no Deferred_interest reported",IF(L4135&gt;R4135,"Reported balance higher than expected (missing increase/OC build)","Reported balance lower than expected (missing decrease)"))))),""))</f>
        <v/>
      </c>
    </row>
    <row r="4136" customFormat="false" ht="15" hidden="false" customHeight="false" outlineLevel="0" collapsed="false">
      <c r="A4136" s="8"/>
      <c r="B4136" s="8"/>
      <c r="C4136" s="8"/>
      <c r="D4136" s="8"/>
      <c r="E4136" s="8"/>
      <c r="F4136" s="8"/>
      <c r="G4136" s="8"/>
      <c r="H4136" s="8"/>
      <c r="I4136" s="8"/>
      <c r="J4136" s="8"/>
      <c r="K4136" s="9"/>
      <c r="L4136" s="9"/>
      <c r="M4136" s="9"/>
      <c r="N4136" s="9"/>
      <c r="O4136" s="9"/>
      <c r="P4136" s="9"/>
      <c r="Q4136" s="9"/>
      <c r="R4136" s="9" t="str">
        <f aca="false">IF(AND(A4136&lt;&gt;"",ISNUMBER(Q4136),ISNUMBER(L4136)),ROUND(Q4136-IF(ISNUMBER(N4136),N4136,0)-IF(ISNUMBER(O4136),O4136,0)+IF(ISNUMBER(P4136),P4136,0),2),"")</f>
        <v/>
      </c>
      <c r="S4136" s="9" t="str">
        <f aca="false">IF(R4136="","",ROUND(L4136-R4136,2))</f>
        <v/>
      </c>
      <c r="T4136" s="8" t="str">
        <f aca="false">IF(A4136="","",IF(S4136="","BYPASS",IF(ABS(S4136)&lt;=Summary!$B$2,"PASS","FAIL")))</f>
        <v/>
      </c>
      <c r="U4136" s="8" t="str">
        <f aca="false">IF(T4136="BYPASS",IF(NOT(ISNUMBER(Q4136)),"PreV_ETB missing","End_tr_balance missing"),IF(T4136="FAIL",IF(AND(ISNUMBER(K4136),ISNUMBER(L4136),ABS(L4136-(K4136-IF(ISNUMBER(N4136),N4136,0)-IF(ISNUMBER(O4136),O4136,0)+IF(ISNUMBER(P4136),P4136,0)))&lt;=Summary!$B$2),"Passes using beginning_balance - PreV_ETB differs from beginning_balance",IF(AND(ISNUMBER(O4136),O4136&lt;0,ABS(L4136-(Q4136-IF(ISNUMBER(N4136),N4136,0)+IF(ISNUMBER(P4136),P4136,0)))&lt;=Summary!$B$2),"Negative realized loss not applied - check sign",IF(R4136&lt;0,"Principal paid exceeds prior balance",IF(AND(L4136&gt;Q4136,NOT(ISNUMBER(P4136))),"Balance increased but no Deferred_interest reported",IF(L4136&gt;R4136,"Reported balance higher than expected (missing increase/OC build)","Reported balance lower than expected (missing decrease)"))))),""))</f>
        <v/>
      </c>
    </row>
    <row r="4137" customFormat="false" ht="15" hidden="false" customHeight="false" outlineLevel="0" collapsed="false">
      <c r="A4137" s="8"/>
      <c r="B4137" s="8"/>
      <c r="C4137" s="8"/>
      <c r="D4137" s="8"/>
      <c r="E4137" s="8"/>
      <c r="F4137" s="8"/>
      <c r="G4137" s="8"/>
      <c r="H4137" s="8"/>
      <c r="I4137" s="8"/>
      <c r="J4137" s="8"/>
      <c r="K4137" s="9"/>
      <c r="L4137" s="9"/>
      <c r="M4137" s="9"/>
      <c r="N4137" s="9"/>
      <c r="O4137" s="9"/>
      <c r="P4137" s="9"/>
      <c r="Q4137" s="9"/>
      <c r="R4137" s="9" t="str">
        <f aca="false">IF(AND(A4137&lt;&gt;"",ISNUMBER(Q4137),ISNUMBER(L4137)),ROUND(Q4137-IF(ISNUMBER(N4137),N4137,0)-IF(ISNUMBER(O4137),O4137,0)+IF(ISNUMBER(P4137),P4137,0),2),"")</f>
        <v/>
      </c>
      <c r="S4137" s="9" t="str">
        <f aca="false">IF(R4137="","",ROUND(L4137-R4137,2))</f>
        <v/>
      </c>
      <c r="T4137" s="8" t="str">
        <f aca="false">IF(A4137="","",IF(S4137="","BYPASS",IF(ABS(S4137)&lt;=Summary!$B$2,"PASS","FAIL")))</f>
        <v/>
      </c>
      <c r="U4137" s="8" t="str">
        <f aca="false">IF(T4137="BYPASS",IF(NOT(ISNUMBER(Q4137)),"PreV_ETB missing","End_tr_balance missing"),IF(T4137="FAIL",IF(AND(ISNUMBER(K4137),ISNUMBER(L4137),ABS(L4137-(K4137-IF(ISNUMBER(N4137),N4137,0)-IF(ISNUMBER(O4137),O4137,0)+IF(ISNUMBER(P4137),P4137,0)))&lt;=Summary!$B$2),"Passes using beginning_balance - PreV_ETB differs from beginning_balance",IF(AND(ISNUMBER(O4137),O4137&lt;0,ABS(L4137-(Q4137-IF(ISNUMBER(N4137),N4137,0)+IF(ISNUMBER(P4137),P4137,0)))&lt;=Summary!$B$2),"Negative realized loss not applied - check sign",IF(R4137&lt;0,"Principal paid exceeds prior balance",IF(AND(L4137&gt;Q4137,NOT(ISNUMBER(P4137))),"Balance increased but no Deferred_interest reported",IF(L4137&gt;R4137,"Reported balance higher than expected (missing increase/OC build)","Reported balance lower than expected (missing decrease)"))))),""))</f>
        <v/>
      </c>
    </row>
    <row r="4138" customFormat="false" ht="15" hidden="false" customHeight="false" outlineLevel="0" collapsed="false">
      <c r="A4138" s="8"/>
      <c r="B4138" s="8"/>
      <c r="C4138" s="8"/>
      <c r="D4138" s="8"/>
      <c r="E4138" s="8"/>
      <c r="F4138" s="8"/>
      <c r="G4138" s="8"/>
      <c r="H4138" s="8"/>
      <c r="I4138" s="8"/>
      <c r="J4138" s="8"/>
      <c r="K4138" s="9"/>
      <c r="L4138" s="9"/>
      <c r="M4138" s="9"/>
      <c r="N4138" s="9"/>
      <c r="O4138" s="9"/>
      <c r="P4138" s="9"/>
      <c r="Q4138" s="9"/>
      <c r="R4138" s="9" t="str">
        <f aca="false">IF(AND(A4138&lt;&gt;"",ISNUMBER(Q4138),ISNUMBER(L4138)),ROUND(Q4138-IF(ISNUMBER(N4138),N4138,0)-IF(ISNUMBER(O4138),O4138,0)+IF(ISNUMBER(P4138),P4138,0),2),"")</f>
        <v/>
      </c>
      <c r="S4138" s="9" t="str">
        <f aca="false">IF(R4138="","",ROUND(L4138-R4138,2))</f>
        <v/>
      </c>
      <c r="T4138" s="8" t="str">
        <f aca="false">IF(A4138="","",IF(S4138="","BYPASS",IF(ABS(S4138)&lt;=Summary!$B$2,"PASS","FAIL")))</f>
        <v/>
      </c>
      <c r="U4138" s="8" t="str">
        <f aca="false">IF(T4138="BYPASS",IF(NOT(ISNUMBER(Q4138)),"PreV_ETB missing","End_tr_balance missing"),IF(T4138="FAIL",IF(AND(ISNUMBER(K4138),ISNUMBER(L4138),ABS(L4138-(K4138-IF(ISNUMBER(N4138),N4138,0)-IF(ISNUMBER(O4138),O4138,0)+IF(ISNUMBER(P4138),P4138,0)))&lt;=Summary!$B$2),"Passes using beginning_balance - PreV_ETB differs from beginning_balance",IF(AND(ISNUMBER(O4138),O4138&lt;0,ABS(L4138-(Q4138-IF(ISNUMBER(N4138),N4138,0)+IF(ISNUMBER(P4138),P4138,0)))&lt;=Summary!$B$2),"Negative realized loss not applied - check sign",IF(R4138&lt;0,"Principal paid exceeds prior balance",IF(AND(L4138&gt;Q4138,NOT(ISNUMBER(P4138))),"Balance increased but no Deferred_interest reported",IF(L4138&gt;R4138,"Reported balance higher than expected (missing increase/OC build)","Reported balance lower than expected (missing decrease)"))))),""))</f>
        <v/>
      </c>
    </row>
    <row r="4139" customFormat="false" ht="15" hidden="false" customHeight="false" outlineLevel="0" collapsed="false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9"/>
      <c r="L4139" s="9"/>
      <c r="M4139" s="9"/>
      <c r="N4139" s="9"/>
      <c r="O4139" s="9"/>
      <c r="P4139" s="9"/>
      <c r="Q4139" s="9"/>
      <c r="R4139" s="9" t="str">
        <f aca="false">IF(AND(A4139&lt;&gt;"",ISNUMBER(Q4139),ISNUMBER(L4139)),ROUND(Q4139-IF(ISNUMBER(N4139),N4139,0)-IF(ISNUMBER(O4139),O4139,0)+IF(ISNUMBER(P4139),P4139,0),2),"")</f>
        <v/>
      </c>
      <c r="S4139" s="9" t="str">
        <f aca="false">IF(R4139="","",ROUND(L4139-R4139,2))</f>
        <v/>
      </c>
      <c r="T4139" s="8" t="str">
        <f aca="false">IF(A4139="","",IF(S4139="","BYPASS",IF(ABS(S4139)&lt;=Summary!$B$2,"PASS","FAIL")))</f>
        <v/>
      </c>
      <c r="U4139" s="8" t="str">
        <f aca="false">IF(T4139="BYPASS",IF(NOT(ISNUMBER(Q4139)),"PreV_ETB missing","End_tr_balance missing"),IF(T4139="FAIL",IF(AND(ISNUMBER(K4139),ISNUMBER(L4139),ABS(L4139-(K4139-IF(ISNUMBER(N4139),N4139,0)-IF(ISNUMBER(O4139),O4139,0)+IF(ISNUMBER(P4139),P4139,0)))&lt;=Summary!$B$2),"Passes using beginning_balance - PreV_ETB differs from beginning_balance",IF(AND(ISNUMBER(O4139),O4139&lt;0,ABS(L4139-(Q4139-IF(ISNUMBER(N4139),N4139,0)+IF(ISNUMBER(P4139),P4139,0)))&lt;=Summary!$B$2),"Negative realized loss not applied - check sign",IF(R4139&lt;0,"Principal paid exceeds prior balance",IF(AND(L4139&gt;Q4139,NOT(ISNUMBER(P4139))),"Balance increased but no Deferred_interest reported",IF(L4139&gt;R4139,"Reported balance higher than expected (missing increase/OC build)","Reported balance lower than expected (missing decrease)"))))),""))</f>
        <v/>
      </c>
    </row>
    <row r="4140" customFormat="false" ht="15" hidden="false" customHeight="false" outlineLevel="0" collapsed="false">
      <c r="A4140" s="8"/>
      <c r="B4140" s="8"/>
      <c r="C4140" s="8"/>
      <c r="D4140" s="8"/>
      <c r="E4140" s="8"/>
      <c r="F4140" s="8"/>
      <c r="G4140" s="8"/>
      <c r="H4140" s="8"/>
      <c r="I4140" s="8"/>
      <c r="J4140" s="8"/>
      <c r="K4140" s="9"/>
      <c r="L4140" s="9"/>
      <c r="M4140" s="9"/>
      <c r="N4140" s="9"/>
      <c r="O4140" s="9"/>
      <c r="P4140" s="9"/>
      <c r="Q4140" s="9"/>
      <c r="R4140" s="9" t="str">
        <f aca="false">IF(AND(A4140&lt;&gt;"",ISNUMBER(Q4140),ISNUMBER(L4140)),ROUND(Q4140-IF(ISNUMBER(N4140),N4140,0)-IF(ISNUMBER(O4140),O4140,0)+IF(ISNUMBER(P4140),P4140,0),2),"")</f>
        <v/>
      </c>
      <c r="S4140" s="9" t="str">
        <f aca="false">IF(R4140="","",ROUND(L4140-R4140,2))</f>
        <v/>
      </c>
      <c r="T4140" s="8" t="str">
        <f aca="false">IF(A4140="","",IF(S4140="","BYPASS",IF(ABS(S4140)&lt;=Summary!$B$2,"PASS","FAIL")))</f>
        <v/>
      </c>
      <c r="U4140" s="8" t="str">
        <f aca="false">IF(T4140="BYPASS",IF(NOT(ISNUMBER(Q4140)),"PreV_ETB missing","End_tr_balance missing"),IF(T4140="FAIL",IF(AND(ISNUMBER(K4140),ISNUMBER(L4140),ABS(L4140-(K4140-IF(ISNUMBER(N4140),N4140,0)-IF(ISNUMBER(O4140),O4140,0)+IF(ISNUMBER(P4140),P4140,0)))&lt;=Summary!$B$2),"Passes using beginning_balance - PreV_ETB differs from beginning_balance",IF(AND(ISNUMBER(O4140),O4140&lt;0,ABS(L4140-(Q4140-IF(ISNUMBER(N4140),N4140,0)+IF(ISNUMBER(P4140),P4140,0)))&lt;=Summary!$B$2),"Negative realized loss not applied - check sign",IF(R4140&lt;0,"Principal paid exceeds prior balance",IF(AND(L4140&gt;Q4140,NOT(ISNUMBER(P4140))),"Balance increased but no Deferred_interest reported",IF(L4140&gt;R4140,"Reported balance higher than expected (missing increase/OC build)","Reported balance lower than expected (missing decrease)"))))),""))</f>
        <v/>
      </c>
    </row>
    <row r="4141" customFormat="false" ht="15" hidden="false" customHeight="false" outlineLevel="0" collapsed="false">
      <c r="A4141" s="8"/>
      <c r="B4141" s="8"/>
      <c r="C4141" s="8"/>
      <c r="D4141" s="8"/>
      <c r="E4141" s="8"/>
      <c r="F4141" s="8"/>
      <c r="G4141" s="8"/>
      <c r="H4141" s="8"/>
      <c r="I4141" s="8"/>
      <c r="J4141" s="8"/>
      <c r="K4141" s="9"/>
      <c r="L4141" s="9"/>
      <c r="M4141" s="9"/>
      <c r="N4141" s="9"/>
      <c r="O4141" s="9"/>
      <c r="P4141" s="9"/>
      <c r="Q4141" s="9"/>
      <c r="R4141" s="9" t="str">
        <f aca="false">IF(AND(A4141&lt;&gt;"",ISNUMBER(Q4141),ISNUMBER(L4141)),ROUND(Q4141-IF(ISNUMBER(N4141),N4141,0)-IF(ISNUMBER(O4141),O4141,0)+IF(ISNUMBER(P4141),P4141,0),2),"")</f>
        <v/>
      </c>
      <c r="S4141" s="9" t="str">
        <f aca="false">IF(R4141="","",ROUND(L4141-R4141,2))</f>
        <v/>
      </c>
      <c r="T4141" s="8" t="str">
        <f aca="false">IF(A4141="","",IF(S4141="","BYPASS",IF(ABS(S4141)&lt;=Summary!$B$2,"PASS","FAIL")))</f>
        <v/>
      </c>
      <c r="U4141" s="8" t="str">
        <f aca="false">IF(T4141="BYPASS",IF(NOT(ISNUMBER(Q4141)),"PreV_ETB missing","End_tr_balance missing"),IF(T4141="FAIL",IF(AND(ISNUMBER(K4141),ISNUMBER(L4141),ABS(L4141-(K4141-IF(ISNUMBER(N4141),N4141,0)-IF(ISNUMBER(O4141),O4141,0)+IF(ISNUMBER(P4141),P4141,0)))&lt;=Summary!$B$2),"Passes using beginning_balance - PreV_ETB differs from beginning_balance",IF(AND(ISNUMBER(O4141),O4141&lt;0,ABS(L4141-(Q4141-IF(ISNUMBER(N4141),N4141,0)+IF(ISNUMBER(P4141),P4141,0)))&lt;=Summary!$B$2),"Negative realized loss not applied - check sign",IF(R4141&lt;0,"Principal paid exceeds prior balance",IF(AND(L4141&gt;Q4141,NOT(ISNUMBER(P4141))),"Balance increased but no Deferred_interest reported",IF(L4141&gt;R4141,"Reported balance higher than expected (missing increase/OC build)","Reported balance lower than expected (missing decrease)"))))),""))</f>
        <v/>
      </c>
    </row>
    <row r="4142" customFormat="false" ht="15" hidden="false" customHeight="false" outlineLevel="0" collapsed="false">
      <c r="A4142" s="8"/>
      <c r="B4142" s="8"/>
      <c r="C4142" s="8"/>
      <c r="D4142" s="8"/>
      <c r="E4142" s="8"/>
      <c r="F4142" s="8"/>
      <c r="G4142" s="8"/>
      <c r="H4142" s="8"/>
      <c r="I4142" s="8"/>
      <c r="J4142" s="8"/>
      <c r="K4142" s="9"/>
      <c r="L4142" s="9"/>
      <c r="M4142" s="9"/>
      <c r="N4142" s="9"/>
      <c r="O4142" s="9"/>
      <c r="P4142" s="9"/>
      <c r="Q4142" s="9"/>
      <c r="R4142" s="9" t="str">
        <f aca="false">IF(AND(A4142&lt;&gt;"",ISNUMBER(Q4142),ISNUMBER(L4142)),ROUND(Q4142-IF(ISNUMBER(N4142),N4142,0)-IF(ISNUMBER(O4142),O4142,0)+IF(ISNUMBER(P4142),P4142,0),2),"")</f>
        <v/>
      </c>
      <c r="S4142" s="9" t="str">
        <f aca="false">IF(R4142="","",ROUND(L4142-R4142,2))</f>
        <v/>
      </c>
      <c r="T4142" s="8" t="str">
        <f aca="false">IF(A4142="","",IF(S4142="","BYPASS",IF(ABS(S4142)&lt;=Summary!$B$2,"PASS","FAIL")))</f>
        <v/>
      </c>
      <c r="U4142" s="8" t="str">
        <f aca="false">IF(T4142="BYPASS",IF(NOT(ISNUMBER(Q4142)),"PreV_ETB missing","End_tr_balance missing"),IF(T4142="FAIL",IF(AND(ISNUMBER(K4142),ISNUMBER(L4142),ABS(L4142-(K4142-IF(ISNUMBER(N4142),N4142,0)-IF(ISNUMBER(O4142),O4142,0)+IF(ISNUMBER(P4142),P4142,0)))&lt;=Summary!$B$2),"Passes using beginning_balance - PreV_ETB differs from beginning_balance",IF(AND(ISNUMBER(O4142),O4142&lt;0,ABS(L4142-(Q4142-IF(ISNUMBER(N4142),N4142,0)+IF(ISNUMBER(P4142),P4142,0)))&lt;=Summary!$B$2),"Negative realized loss not applied - check sign",IF(R4142&lt;0,"Principal paid exceeds prior balance",IF(AND(L4142&gt;Q4142,NOT(ISNUMBER(P4142))),"Balance increased but no Deferred_interest reported",IF(L4142&gt;R4142,"Reported balance higher than expected (missing increase/OC build)","Reported balance lower than expected (missing decrease)"))))),""))</f>
        <v/>
      </c>
    </row>
    <row r="4143" customFormat="false" ht="15" hidden="false" customHeight="false" outlineLevel="0" collapsed="false">
      <c r="A4143" s="8"/>
      <c r="B4143" s="8"/>
      <c r="C4143" s="8"/>
      <c r="D4143" s="8"/>
      <c r="E4143" s="8"/>
      <c r="F4143" s="8"/>
      <c r="G4143" s="8"/>
      <c r="H4143" s="8"/>
      <c r="I4143" s="8"/>
      <c r="J4143" s="8"/>
      <c r="K4143" s="9"/>
      <c r="L4143" s="9"/>
      <c r="M4143" s="9"/>
      <c r="N4143" s="9"/>
      <c r="O4143" s="9"/>
      <c r="P4143" s="9"/>
      <c r="Q4143" s="9"/>
      <c r="R4143" s="9" t="str">
        <f aca="false">IF(AND(A4143&lt;&gt;"",ISNUMBER(Q4143),ISNUMBER(L4143)),ROUND(Q4143-IF(ISNUMBER(N4143),N4143,0)-IF(ISNUMBER(O4143),O4143,0)+IF(ISNUMBER(P4143),P4143,0),2),"")</f>
        <v/>
      </c>
      <c r="S4143" s="9" t="str">
        <f aca="false">IF(R4143="","",ROUND(L4143-R4143,2))</f>
        <v/>
      </c>
      <c r="T4143" s="8" t="str">
        <f aca="false">IF(A4143="","",IF(S4143="","BYPASS",IF(ABS(S4143)&lt;=Summary!$B$2,"PASS","FAIL")))</f>
        <v/>
      </c>
      <c r="U4143" s="8" t="str">
        <f aca="false">IF(T4143="BYPASS",IF(NOT(ISNUMBER(Q4143)),"PreV_ETB missing","End_tr_balance missing"),IF(T4143="FAIL",IF(AND(ISNUMBER(K4143),ISNUMBER(L4143),ABS(L4143-(K4143-IF(ISNUMBER(N4143),N4143,0)-IF(ISNUMBER(O4143),O4143,0)+IF(ISNUMBER(P4143),P4143,0)))&lt;=Summary!$B$2),"Passes using beginning_balance - PreV_ETB differs from beginning_balance",IF(AND(ISNUMBER(O4143),O4143&lt;0,ABS(L4143-(Q4143-IF(ISNUMBER(N4143),N4143,0)+IF(ISNUMBER(P4143),P4143,0)))&lt;=Summary!$B$2),"Negative realized loss not applied - check sign",IF(R4143&lt;0,"Principal paid exceeds prior balance",IF(AND(L4143&gt;Q4143,NOT(ISNUMBER(P4143))),"Balance increased but no Deferred_interest reported",IF(L4143&gt;R4143,"Reported balance higher than expected (missing increase/OC build)","Reported balance lower than expected (missing decrease)"))))),""))</f>
        <v/>
      </c>
    </row>
    <row r="4144" customFormat="false" ht="15" hidden="false" customHeight="false" outlineLevel="0" collapsed="false">
      <c r="A4144" s="8"/>
      <c r="B4144" s="8"/>
      <c r="C4144" s="8"/>
      <c r="D4144" s="8"/>
      <c r="E4144" s="8"/>
      <c r="F4144" s="8"/>
      <c r="G4144" s="8"/>
      <c r="H4144" s="8"/>
      <c r="I4144" s="8"/>
      <c r="J4144" s="8"/>
      <c r="K4144" s="9"/>
      <c r="L4144" s="9"/>
      <c r="M4144" s="9"/>
      <c r="N4144" s="9"/>
      <c r="O4144" s="9"/>
      <c r="P4144" s="9"/>
      <c r="Q4144" s="9"/>
      <c r="R4144" s="9" t="str">
        <f aca="false">IF(AND(A4144&lt;&gt;"",ISNUMBER(Q4144),ISNUMBER(L4144)),ROUND(Q4144-IF(ISNUMBER(N4144),N4144,0)-IF(ISNUMBER(O4144),O4144,0)+IF(ISNUMBER(P4144),P4144,0),2),"")</f>
        <v/>
      </c>
      <c r="S4144" s="9" t="str">
        <f aca="false">IF(R4144="","",ROUND(L4144-R4144,2))</f>
        <v/>
      </c>
      <c r="T4144" s="8" t="str">
        <f aca="false">IF(A4144="","",IF(S4144="","BYPASS",IF(ABS(S4144)&lt;=Summary!$B$2,"PASS","FAIL")))</f>
        <v/>
      </c>
      <c r="U4144" s="8" t="str">
        <f aca="false">IF(T4144="BYPASS",IF(NOT(ISNUMBER(Q4144)),"PreV_ETB missing","End_tr_balance missing"),IF(T4144="FAIL",IF(AND(ISNUMBER(K4144),ISNUMBER(L4144),ABS(L4144-(K4144-IF(ISNUMBER(N4144),N4144,0)-IF(ISNUMBER(O4144),O4144,0)+IF(ISNUMBER(P4144),P4144,0)))&lt;=Summary!$B$2),"Passes using beginning_balance - PreV_ETB differs from beginning_balance",IF(AND(ISNUMBER(O4144),O4144&lt;0,ABS(L4144-(Q4144-IF(ISNUMBER(N4144),N4144,0)+IF(ISNUMBER(P4144),P4144,0)))&lt;=Summary!$B$2),"Negative realized loss not applied - check sign",IF(R4144&lt;0,"Principal paid exceeds prior balance",IF(AND(L4144&gt;Q4144,NOT(ISNUMBER(P4144))),"Balance increased but no Deferred_interest reported",IF(L4144&gt;R4144,"Reported balance higher than expected (missing increase/OC build)","Reported balance lower than expected (missing decrease)"))))),""))</f>
        <v/>
      </c>
    </row>
    <row r="4145" customFormat="false" ht="15" hidden="false" customHeight="false" outlineLevel="0" collapsed="false">
      <c r="A4145" s="8"/>
      <c r="B4145" s="8"/>
      <c r="C4145" s="8"/>
      <c r="D4145" s="8"/>
      <c r="E4145" s="8"/>
      <c r="F4145" s="8"/>
      <c r="G4145" s="8"/>
      <c r="H4145" s="8"/>
      <c r="I4145" s="8"/>
      <c r="J4145" s="8"/>
      <c r="K4145" s="9"/>
      <c r="L4145" s="9"/>
      <c r="M4145" s="9"/>
      <c r="N4145" s="9"/>
      <c r="O4145" s="9"/>
      <c r="P4145" s="9"/>
      <c r="Q4145" s="9"/>
      <c r="R4145" s="9" t="str">
        <f aca="false">IF(AND(A4145&lt;&gt;"",ISNUMBER(Q4145),ISNUMBER(L4145)),ROUND(Q4145-IF(ISNUMBER(N4145),N4145,0)-IF(ISNUMBER(O4145),O4145,0)+IF(ISNUMBER(P4145),P4145,0),2),"")</f>
        <v/>
      </c>
      <c r="S4145" s="9" t="str">
        <f aca="false">IF(R4145="","",ROUND(L4145-R4145,2))</f>
        <v/>
      </c>
      <c r="T4145" s="8" t="str">
        <f aca="false">IF(A4145="","",IF(S4145="","BYPASS",IF(ABS(S4145)&lt;=Summary!$B$2,"PASS","FAIL")))</f>
        <v/>
      </c>
      <c r="U4145" s="8" t="str">
        <f aca="false">IF(T4145="BYPASS",IF(NOT(ISNUMBER(Q4145)),"PreV_ETB missing","End_tr_balance missing"),IF(T4145="FAIL",IF(AND(ISNUMBER(K4145),ISNUMBER(L4145),ABS(L4145-(K4145-IF(ISNUMBER(N4145),N4145,0)-IF(ISNUMBER(O4145),O4145,0)+IF(ISNUMBER(P4145),P4145,0)))&lt;=Summary!$B$2),"Passes using beginning_balance - PreV_ETB differs from beginning_balance",IF(AND(ISNUMBER(O4145),O4145&lt;0,ABS(L4145-(Q4145-IF(ISNUMBER(N4145),N4145,0)+IF(ISNUMBER(P4145),P4145,0)))&lt;=Summary!$B$2),"Negative realized loss not applied - check sign",IF(R4145&lt;0,"Principal paid exceeds prior balance",IF(AND(L4145&gt;Q4145,NOT(ISNUMBER(P4145))),"Balance increased but no Deferred_interest reported",IF(L4145&gt;R4145,"Reported balance higher than expected (missing increase/OC build)","Reported balance lower than expected (missing decrease)"))))),""))</f>
        <v/>
      </c>
    </row>
    <row r="4146" customFormat="false" ht="15" hidden="false" customHeight="false" outlineLevel="0" collapsed="false">
      <c r="A4146" s="8"/>
      <c r="B4146" s="8"/>
      <c r="C4146" s="8"/>
      <c r="D4146" s="8"/>
      <c r="E4146" s="8"/>
      <c r="F4146" s="8"/>
      <c r="G4146" s="8"/>
      <c r="H4146" s="8"/>
      <c r="I4146" s="8"/>
      <c r="J4146" s="8"/>
      <c r="K4146" s="9"/>
      <c r="L4146" s="9"/>
      <c r="M4146" s="9"/>
      <c r="N4146" s="9"/>
      <c r="O4146" s="9"/>
      <c r="P4146" s="9"/>
      <c r="Q4146" s="9"/>
      <c r="R4146" s="9" t="str">
        <f aca="false">IF(AND(A4146&lt;&gt;"",ISNUMBER(Q4146),ISNUMBER(L4146)),ROUND(Q4146-IF(ISNUMBER(N4146),N4146,0)-IF(ISNUMBER(O4146),O4146,0)+IF(ISNUMBER(P4146),P4146,0),2),"")</f>
        <v/>
      </c>
      <c r="S4146" s="9" t="str">
        <f aca="false">IF(R4146="","",ROUND(L4146-R4146,2))</f>
        <v/>
      </c>
      <c r="T4146" s="8" t="str">
        <f aca="false">IF(A4146="","",IF(S4146="","BYPASS",IF(ABS(S4146)&lt;=Summary!$B$2,"PASS","FAIL")))</f>
        <v/>
      </c>
      <c r="U4146" s="8" t="str">
        <f aca="false">IF(T4146="BYPASS",IF(NOT(ISNUMBER(Q4146)),"PreV_ETB missing","End_tr_balance missing"),IF(T4146="FAIL",IF(AND(ISNUMBER(K4146),ISNUMBER(L4146),ABS(L4146-(K4146-IF(ISNUMBER(N4146),N4146,0)-IF(ISNUMBER(O4146),O4146,0)+IF(ISNUMBER(P4146),P4146,0)))&lt;=Summary!$B$2),"Passes using beginning_balance - PreV_ETB differs from beginning_balance",IF(AND(ISNUMBER(O4146),O4146&lt;0,ABS(L4146-(Q4146-IF(ISNUMBER(N4146),N4146,0)+IF(ISNUMBER(P4146),P4146,0)))&lt;=Summary!$B$2),"Negative realized loss not applied - check sign",IF(R4146&lt;0,"Principal paid exceeds prior balance",IF(AND(L4146&gt;Q4146,NOT(ISNUMBER(P4146))),"Balance increased but no Deferred_interest reported",IF(L4146&gt;R4146,"Reported balance higher than expected (missing increase/OC build)","Reported balance lower than expected (missing decrease)"))))),""))</f>
        <v/>
      </c>
    </row>
    <row r="4147" customFormat="false" ht="15" hidden="false" customHeight="false" outlineLevel="0" collapsed="false">
      <c r="A4147" s="8"/>
      <c r="B4147" s="8"/>
      <c r="C4147" s="8"/>
      <c r="D4147" s="8"/>
      <c r="E4147" s="8"/>
      <c r="F4147" s="8"/>
      <c r="G4147" s="8"/>
      <c r="H4147" s="8"/>
      <c r="I4147" s="8"/>
      <c r="J4147" s="8"/>
      <c r="K4147" s="9"/>
      <c r="L4147" s="9"/>
      <c r="M4147" s="9"/>
      <c r="N4147" s="9"/>
      <c r="O4147" s="9"/>
      <c r="P4147" s="9"/>
      <c r="Q4147" s="9"/>
      <c r="R4147" s="9" t="str">
        <f aca="false">IF(AND(A4147&lt;&gt;"",ISNUMBER(Q4147),ISNUMBER(L4147)),ROUND(Q4147-IF(ISNUMBER(N4147),N4147,0)-IF(ISNUMBER(O4147),O4147,0)+IF(ISNUMBER(P4147),P4147,0),2),"")</f>
        <v/>
      </c>
      <c r="S4147" s="9" t="str">
        <f aca="false">IF(R4147="","",ROUND(L4147-R4147,2))</f>
        <v/>
      </c>
      <c r="T4147" s="8" t="str">
        <f aca="false">IF(A4147="","",IF(S4147="","BYPASS",IF(ABS(S4147)&lt;=Summary!$B$2,"PASS","FAIL")))</f>
        <v/>
      </c>
      <c r="U4147" s="8" t="str">
        <f aca="false">IF(T4147="BYPASS",IF(NOT(ISNUMBER(Q4147)),"PreV_ETB missing","End_tr_balance missing"),IF(T4147="FAIL",IF(AND(ISNUMBER(K4147),ISNUMBER(L4147),ABS(L4147-(K4147-IF(ISNUMBER(N4147),N4147,0)-IF(ISNUMBER(O4147),O4147,0)+IF(ISNUMBER(P4147),P4147,0)))&lt;=Summary!$B$2),"Passes using beginning_balance - PreV_ETB differs from beginning_balance",IF(AND(ISNUMBER(O4147),O4147&lt;0,ABS(L4147-(Q4147-IF(ISNUMBER(N4147),N4147,0)+IF(ISNUMBER(P4147),P4147,0)))&lt;=Summary!$B$2),"Negative realized loss not applied - check sign",IF(R4147&lt;0,"Principal paid exceeds prior balance",IF(AND(L4147&gt;Q4147,NOT(ISNUMBER(P4147))),"Balance increased but no Deferred_interest reported",IF(L4147&gt;R4147,"Reported balance higher than expected (missing increase/OC build)","Reported balance lower than expected (missing decrease)"))))),""))</f>
        <v/>
      </c>
    </row>
    <row r="4148" customFormat="false" ht="15" hidden="false" customHeight="false" outlineLevel="0" collapsed="false">
      <c r="A4148" s="8"/>
      <c r="B4148" s="8"/>
      <c r="C4148" s="8"/>
      <c r="D4148" s="8"/>
      <c r="E4148" s="8"/>
      <c r="F4148" s="8"/>
      <c r="G4148" s="8"/>
      <c r="H4148" s="8"/>
      <c r="I4148" s="8"/>
      <c r="J4148" s="8"/>
      <c r="K4148" s="9"/>
      <c r="L4148" s="9"/>
      <c r="M4148" s="9"/>
      <c r="N4148" s="9"/>
      <c r="O4148" s="9"/>
      <c r="P4148" s="9"/>
      <c r="Q4148" s="9"/>
      <c r="R4148" s="9" t="str">
        <f aca="false">IF(AND(A4148&lt;&gt;"",ISNUMBER(Q4148),ISNUMBER(L4148)),ROUND(Q4148-IF(ISNUMBER(N4148),N4148,0)-IF(ISNUMBER(O4148),O4148,0)+IF(ISNUMBER(P4148),P4148,0),2),"")</f>
        <v/>
      </c>
      <c r="S4148" s="9" t="str">
        <f aca="false">IF(R4148="","",ROUND(L4148-R4148,2))</f>
        <v/>
      </c>
      <c r="T4148" s="8" t="str">
        <f aca="false">IF(A4148="","",IF(S4148="","BYPASS",IF(ABS(S4148)&lt;=Summary!$B$2,"PASS","FAIL")))</f>
        <v/>
      </c>
      <c r="U4148" s="8" t="str">
        <f aca="false">IF(T4148="BYPASS",IF(NOT(ISNUMBER(Q4148)),"PreV_ETB missing","End_tr_balance missing"),IF(T4148="FAIL",IF(AND(ISNUMBER(K4148),ISNUMBER(L4148),ABS(L4148-(K4148-IF(ISNUMBER(N4148),N4148,0)-IF(ISNUMBER(O4148),O4148,0)+IF(ISNUMBER(P4148),P4148,0)))&lt;=Summary!$B$2),"Passes using beginning_balance - PreV_ETB differs from beginning_balance",IF(AND(ISNUMBER(O4148),O4148&lt;0,ABS(L4148-(Q4148-IF(ISNUMBER(N4148),N4148,0)+IF(ISNUMBER(P4148),P4148,0)))&lt;=Summary!$B$2),"Negative realized loss not applied - check sign",IF(R4148&lt;0,"Principal paid exceeds prior balance",IF(AND(L4148&gt;Q4148,NOT(ISNUMBER(P4148))),"Balance increased but no Deferred_interest reported",IF(L4148&gt;R4148,"Reported balance higher than expected (missing increase/OC build)","Reported balance lower than expected (missing decrease)"))))),""))</f>
        <v/>
      </c>
    </row>
    <row r="4149" customFormat="false" ht="15" hidden="false" customHeight="false" outlineLevel="0" collapsed="false">
      <c r="A4149" s="8"/>
      <c r="B4149" s="8"/>
      <c r="C4149" s="8"/>
      <c r="D4149" s="8"/>
      <c r="E4149" s="8"/>
      <c r="F4149" s="8"/>
      <c r="G4149" s="8"/>
      <c r="H4149" s="8"/>
      <c r="I4149" s="8"/>
      <c r="J4149" s="8"/>
      <c r="K4149" s="9"/>
      <c r="L4149" s="9"/>
      <c r="M4149" s="9"/>
      <c r="N4149" s="9"/>
      <c r="O4149" s="9"/>
      <c r="P4149" s="9"/>
      <c r="Q4149" s="9"/>
      <c r="R4149" s="9" t="str">
        <f aca="false">IF(AND(A4149&lt;&gt;"",ISNUMBER(Q4149),ISNUMBER(L4149)),ROUND(Q4149-IF(ISNUMBER(N4149),N4149,0)-IF(ISNUMBER(O4149),O4149,0)+IF(ISNUMBER(P4149),P4149,0),2),"")</f>
        <v/>
      </c>
      <c r="S4149" s="9" t="str">
        <f aca="false">IF(R4149="","",ROUND(L4149-R4149,2))</f>
        <v/>
      </c>
      <c r="T4149" s="8" t="str">
        <f aca="false">IF(A4149="","",IF(S4149="","BYPASS",IF(ABS(S4149)&lt;=Summary!$B$2,"PASS","FAIL")))</f>
        <v/>
      </c>
      <c r="U4149" s="8" t="str">
        <f aca="false">IF(T4149="BYPASS",IF(NOT(ISNUMBER(Q4149)),"PreV_ETB missing","End_tr_balance missing"),IF(T4149="FAIL",IF(AND(ISNUMBER(K4149),ISNUMBER(L4149),ABS(L4149-(K4149-IF(ISNUMBER(N4149),N4149,0)-IF(ISNUMBER(O4149),O4149,0)+IF(ISNUMBER(P4149),P4149,0)))&lt;=Summary!$B$2),"Passes using beginning_balance - PreV_ETB differs from beginning_balance",IF(AND(ISNUMBER(O4149),O4149&lt;0,ABS(L4149-(Q4149-IF(ISNUMBER(N4149),N4149,0)+IF(ISNUMBER(P4149),P4149,0)))&lt;=Summary!$B$2),"Negative realized loss not applied - check sign",IF(R4149&lt;0,"Principal paid exceeds prior balance",IF(AND(L4149&gt;Q4149,NOT(ISNUMBER(P4149))),"Balance increased but no Deferred_interest reported",IF(L4149&gt;R4149,"Reported balance higher than expected (missing increase/OC build)","Reported balance lower than expected (missing decrease)"))))),""))</f>
        <v/>
      </c>
    </row>
    <row r="4150" customFormat="false" ht="15" hidden="false" customHeight="false" outlineLevel="0" collapsed="false">
      <c r="A4150" s="8"/>
      <c r="B4150" s="8"/>
      <c r="C4150" s="8"/>
      <c r="D4150" s="8"/>
      <c r="E4150" s="8"/>
      <c r="F4150" s="8"/>
      <c r="G4150" s="8"/>
      <c r="H4150" s="8"/>
      <c r="I4150" s="8"/>
      <c r="J4150" s="8"/>
      <c r="K4150" s="9"/>
      <c r="L4150" s="9"/>
      <c r="M4150" s="9"/>
      <c r="N4150" s="9"/>
      <c r="O4150" s="9"/>
      <c r="P4150" s="9"/>
      <c r="Q4150" s="9"/>
      <c r="R4150" s="9" t="str">
        <f aca="false">IF(AND(A4150&lt;&gt;"",ISNUMBER(Q4150),ISNUMBER(L4150)),ROUND(Q4150-IF(ISNUMBER(N4150),N4150,0)-IF(ISNUMBER(O4150),O4150,0)+IF(ISNUMBER(P4150),P4150,0),2),"")</f>
        <v/>
      </c>
      <c r="S4150" s="9" t="str">
        <f aca="false">IF(R4150="","",ROUND(L4150-R4150,2))</f>
        <v/>
      </c>
      <c r="T4150" s="8" t="str">
        <f aca="false">IF(A4150="","",IF(S4150="","BYPASS",IF(ABS(S4150)&lt;=Summary!$B$2,"PASS","FAIL")))</f>
        <v/>
      </c>
      <c r="U4150" s="8" t="str">
        <f aca="false">IF(T4150="BYPASS",IF(NOT(ISNUMBER(Q4150)),"PreV_ETB missing","End_tr_balance missing"),IF(T4150="FAIL",IF(AND(ISNUMBER(K4150),ISNUMBER(L4150),ABS(L4150-(K4150-IF(ISNUMBER(N4150),N4150,0)-IF(ISNUMBER(O4150),O4150,0)+IF(ISNUMBER(P4150),P4150,0)))&lt;=Summary!$B$2),"Passes using beginning_balance - PreV_ETB differs from beginning_balance",IF(AND(ISNUMBER(O4150),O4150&lt;0,ABS(L4150-(Q4150-IF(ISNUMBER(N4150),N4150,0)+IF(ISNUMBER(P4150),P4150,0)))&lt;=Summary!$B$2),"Negative realized loss not applied - check sign",IF(R4150&lt;0,"Principal paid exceeds prior balance",IF(AND(L4150&gt;Q4150,NOT(ISNUMBER(P4150))),"Balance increased but no Deferred_interest reported",IF(L4150&gt;R4150,"Reported balance higher than expected (missing increase/OC build)","Reported balance lower than expected (missing decrease)"))))),""))</f>
        <v/>
      </c>
    </row>
    <row r="4151" customFormat="false" ht="15" hidden="false" customHeight="false" outlineLevel="0" collapsed="false">
      <c r="A4151" s="8"/>
      <c r="B4151" s="8"/>
      <c r="C4151" s="8"/>
      <c r="D4151" s="8"/>
      <c r="E4151" s="8"/>
      <c r="F4151" s="8"/>
      <c r="G4151" s="8"/>
      <c r="H4151" s="8"/>
      <c r="I4151" s="8"/>
      <c r="J4151" s="8"/>
      <c r="K4151" s="9"/>
      <c r="L4151" s="9"/>
      <c r="M4151" s="9"/>
      <c r="N4151" s="9"/>
      <c r="O4151" s="9"/>
      <c r="P4151" s="9"/>
      <c r="Q4151" s="9"/>
      <c r="R4151" s="9" t="str">
        <f aca="false">IF(AND(A4151&lt;&gt;"",ISNUMBER(Q4151),ISNUMBER(L4151)),ROUND(Q4151-IF(ISNUMBER(N4151),N4151,0)-IF(ISNUMBER(O4151),O4151,0)+IF(ISNUMBER(P4151),P4151,0),2),"")</f>
        <v/>
      </c>
      <c r="S4151" s="9" t="str">
        <f aca="false">IF(R4151="","",ROUND(L4151-R4151,2))</f>
        <v/>
      </c>
      <c r="T4151" s="8" t="str">
        <f aca="false">IF(A4151="","",IF(S4151="","BYPASS",IF(ABS(S4151)&lt;=Summary!$B$2,"PASS","FAIL")))</f>
        <v/>
      </c>
      <c r="U4151" s="8" t="str">
        <f aca="false">IF(T4151="BYPASS",IF(NOT(ISNUMBER(Q4151)),"PreV_ETB missing","End_tr_balance missing"),IF(T4151="FAIL",IF(AND(ISNUMBER(K4151),ISNUMBER(L4151),ABS(L4151-(K4151-IF(ISNUMBER(N4151),N4151,0)-IF(ISNUMBER(O4151),O4151,0)+IF(ISNUMBER(P4151),P4151,0)))&lt;=Summary!$B$2),"Passes using beginning_balance - PreV_ETB differs from beginning_balance",IF(AND(ISNUMBER(O4151),O4151&lt;0,ABS(L4151-(Q4151-IF(ISNUMBER(N4151),N4151,0)+IF(ISNUMBER(P4151),P4151,0)))&lt;=Summary!$B$2),"Negative realized loss not applied - check sign",IF(R4151&lt;0,"Principal paid exceeds prior balance",IF(AND(L4151&gt;Q4151,NOT(ISNUMBER(P4151))),"Balance increased but no Deferred_interest reported",IF(L4151&gt;R4151,"Reported balance higher than expected (missing increase/OC build)","Reported balance lower than expected (missing decrease)"))))),""))</f>
        <v/>
      </c>
    </row>
    <row r="4152" customFormat="false" ht="15" hidden="false" customHeight="false" outlineLevel="0" collapsed="false">
      <c r="A4152" s="8"/>
      <c r="B4152" s="8"/>
      <c r="C4152" s="8"/>
      <c r="D4152" s="8"/>
      <c r="E4152" s="8"/>
      <c r="F4152" s="8"/>
      <c r="G4152" s="8"/>
      <c r="H4152" s="8"/>
      <c r="I4152" s="8"/>
      <c r="J4152" s="8"/>
      <c r="K4152" s="9"/>
      <c r="L4152" s="9"/>
      <c r="M4152" s="9"/>
      <c r="N4152" s="9"/>
      <c r="O4152" s="9"/>
      <c r="P4152" s="9"/>
      <c r="Q4152" s="9"/>
      <c r="R4152" s="9" t="str">
        <f aca="false">IF(AND(A4152&lt;&gt;"",ISNUMBER(Q4152),ISNUMBER(L4152)),ROUND(Q4152-IF(ISNUMBER(N4152),N4152,0)-IF(ISNUMBER(O4152),O4152,0)+IF(ISNUMBER(P4152),P4152,0),2),"")</f>
        <v/>
      </c>
      <c r="S4152" s="9" t="str">
        <f aca="false">IF(R4152="","",ROUND(L4152-R4152,2))</f>
        <v/>
      </c>
      <c r="T4152" s="8" t="str">
        <f aca="false">IF(A4152="","",IF(S4152="","BYPASS",IF(ABS(S4152)&lt;=Summary!$B$2,"PASS","FAIL")))</f>
        <v/>
      </c>
      <c r="U4152" s="8" t="str">
        <f aca="false">IF(T4152="BYPASS",IF(NOT(ISNUMBER(Q4152)),"PreV_ETB missing","End_tr_balance missing"),IF(T4152="FAIL",IF(AND(ISNUMBER(K4152),ISNUMBER(L4152),ABS(L4152-(K4152-IF(ISNUMBER(N4152),N4152,0)-IF(ISNUMBER(O4152),O4152,0)+IF(ISNUMBER(P4152),P4152,0)))&lt;=Summary!$B$2),"Passes using beginning_balance - PreV_ETB differs from beginning_balance",IF(AND(ISNUMBER(O4152),O4152&lt;0,ABS(L4152-(Q4152-IF(ISNUMBER(N4152),N4152,0)+IF(ISNUMBER(P4152),P4152,0)))&lt;=Summary!$B$2),"Negative realized loss not applied - check sign",IF(R4152&lt;0,"Principal paid exceeds prior balance",IF(AND(L4152&gt;Q4152,NOT(ISNUMBER(P4152))),"Balance increased but no Deferred_interest reported",IF(L4152&gt;R4152,"Reported balance higher than expected (missing increase/OC build)","Reported balance lower than expected (missing decrease)"))))),""))</f>
        <v/>
      </c>
    </row>
    <row r="4153" customFormat="false" ht="15" hidden="false" customHeight="false" outlineLevel="0" collapsed="false">
      <c r="A4153" s="8"/>
      <c r="B4153" s="8"/>
      <c r="C4153" s="8"/>
      <c r="D4153" s="8"/>
      <c r="E4153" s="8"/>
      <c r="F4153" s="8"/>
      <c r="G4153" s="8"/>
      <c r="H4153" s="8"/>
      <c r="I4153" s="8"/>
      <c r="J4153" s="8"/>
      <c r="K4153" s="9"/>
      <c r="L4153" s="9"/>
      <c r="M4153" s="9"/>
      <c r="N4153" s="9"/>
      <c r="O4153" s="9"/>
      <c r="P4153" s="9"/>
      <c r="Q4153" s="9"/>
      <c r="R4153" s="9" t="str">
        <f aca="false">IF(AND(A4153&lt;&gt;"",ISNUMBER(Q4153),ISNUMBER(L4153)),ROUND(Q4153-IF(ISNUMBER(N4153),N4153,0)-IF(ISNUMBER(O4153),O4153,0)+IF(ISNUMBER(P4153),P4153,0),2),"")</f>
        <v/>
      </c>
      <c r="S4153" s="9" t="str">
        <f aca="false">IF(R4153="","",ROUND(L4153-R4153,2))</f>
        <v/>
      </c>
      <c r="T4153" s="8" t="str">
        <f aca="false">IF(A4153="","",IF(S4153="","BYPASS",IF(ABS(S4153)&lt;=Summary!$B$2,"PASS","FAIL")))</f>
        <v/>
      </c>
      <c r="U4153" s="8" t="str">
        <f aca="false">IF(T4153="BYPASS",IF(NOT(ISNUMBER(Q4153)),"PreV_ETB missing","End_tr_balance missing"),IF(T4153="FAIL",IF(AND(ISNUMBER(K4153),ISNUMBER(L4153),ABS(L4153-(K4153-IF(ISNUMBER(N4153),N4153,0)-IF(ISNUMBER(O4153),O4153,0)+IF(ISNUMBER(P4153),P4153,0)))&lt;=Summary!$B$2),"Passes using beginning_balance - PreV_ETB differs from beginning_balance",IF(AND(ISNUMBER(O4153),O4153&lt;0,ABS(L4153-(Q4153-IF(ISNUMBER(N4153),N4153,0)+IF(ISNUMBER(P4153),P4153,0)))&lt;=Summary!$B$2),"Negative realized loss not applied - check sign",IF(R4153&lt;0,"Principal paid exceeds prior balance",IF(AND(L4153&gt;Q4153,NOT(ISNUMBER(P4153))),"Balance increased but no Deferred_interest reported",IF(L4153&gt;R4153,"Reported balance higher than expected (missing increase/OC build)","Reported balance lower than expected (missing decrease)"))))),""))</f>
        <v/>
      </c>
    </row>
    <row r="4154" customFormat="false" ht="15" hidden="false" customHeight="false" outlineLevel="0" collapsed="false">
      <c r="A4154" s="8"/>
      <c r="B4154" s="8"/>
      <c r="C4154" s="8"/>
      <c r="D4154" s="8"/>
      <c r="E4154" s="8"/>
      <c r="F4154" s="8"/>
      <c r="G4154" s="8"/>
      <c r="H4154" s="8"/>
      <c r="I4154" s="8"/>
      <c r="J4154" s="8"/>
      <c r="K4154" s="9"/>
      <c r="L4154" s="9"/>
      <c r="M4154" s="9"/>
      <c r="N4154" s="9"/>
      <c r="O4154" s="9"/>
      <c r="P4154" s="9"/>
      <c r="Q4154" s="9"/>
      <c r="R4154" s="9" t="str">
        <f aca="false">IF(AND(A4154&lt;&gt;"",ISNUMBER(Q4154),ISNUMBER(L4154)),ROUND(Q4154-IF(ISNUMBER(N4154),N4154,0)-IF(ISNUMBER(O4154),O4154,0)+IF(ISNUMBER(P4154),P4154,0),2),"")</f>
        <v/>
      </c>
      <c r="S4154" s="9" t="str">
        <f aca="false">IF(R4154="","",ROUND(L4154-R4154,2))</f>
        <v/>
      </c>
      <c r="T4154" s="8" t="str">
        <f aca="false">IF(A4154="","",IF(S4154="","BYPASS",IF(ABS(S4154)&lt;=Summary!$B$2,"PASS","FAIL")))</f>
        <v/>
      </c>
      <c r="U4154" s="8" t="str">
        <f aca="false">IF(T4154="BYPASS",IF(NOT(ISNUMBER(Q4154)),"PreV_ETB missing","End_tr_balance missing"),IF(T4154="FAIL",IF(AND(ISNUMBER(K4154),ISNUMBER(L4154),ABS(L4154-(K4154-IF(ISNUMBER(N4154),N4154,0)-IF(ISNUMBER(O4154),O4154,0)+IF(ISNUMBER(P4154),P4154,0)))&lt;=Summary!$B$2),"Passes using beginning_balance - PreV_ETB differs from beginning_balance",IF(AND(ISNUMBER(O4154),O4154&lt;0,ABS(L4154-(Q4154-IF(ISNUMBER(N4154),N4154,0)+IF(ISNUMBER(P4154),P4154,0)))&lt;=Summary!$B$2),"Negative realized loss not applied - check sign",IF(R4154&lt;0,"Principal paid exceeds prior balance",IF(AND(L4154&gt;Q4154,NOT(ISNUMBER(P4154))),"Balance increased but no Deferred_interest reported",IF(L4154&gt;R4154,"Reported balance higher than expected (missing increase/OC build)","Reported balance lower than expected (missing decrease)"))))),""))</f>
        <v/>
      </c>
    </row>
    <row r="4155" customFormat="false" ht="15" hidden="false" customHeight="false" outlineLevel="0" collapsed="false">
      <c r="A4155" s="8"/>
      <c r="B4155" s="8"/>
      <c r="C4155" s="8"/>
      <c r="D4155" s="8"/>
      <c r="E4155" s="8"/>
      <c r="F4155" s="8"/>
      <c r="G4155" s="8"/>
      <c r="H4155" s="8"/>
      <c r="I4155" s="8"/>
      <c r="J4155" s="8"/>
      <c r="K4155" s="9"/>
      <c r="L4155" s="9"/>
      <c r="M4155" s="9"/>
      <c r="N4155" s="9"/>
      <c r="O4155" s="9"/>
      <c r="P4155" s="9"/>
      <c r="Q4155" s="9"/>
      <c r="R4155" s="9" t="str">
        <f aca="false">IF(AND(A4155&lt;&gt;"",ISNUMBER(Q4155),ISNUMBER(L4155)),ROUND(Q4155-IF(ISNUMBER(N4155),N4155,0)-IF(ISNUMBER(O4155),O4155,0)+IF(ISNUMBER(P4155),P4155,0),2),"")</f>
        <v/>
      </c>
      <c r="S4155" s="9" t="str">
        <f aca="false">IF(R4155="","",ROUND(L4155-R4155,2))</f>
        <v/>
      </c>
      <c r="T4155" s="8" t="str">
        <f aca="false">IF(A4155="","",IF(S4155="","BYPASS",IF(ABS(S4155)&lt;=Summary!$B$2,"PASS","FAIL")))</f>
        <v/>
      </c>
      <c r="U4155" s="8" t="str">
        <f aca="false">IF(T4155="BYPASS",IF(NOT(ISNUMBER(Q4155)),"PreV_ETB missing","End_tr_balance missing"),IF(T4155="FAIL",IF(AND(ISNUMBER(K4155),ISNUMBER(L4155),ABS(L4155-(K4155-IF(ISNUMBER(N4155),N4155,0)-IF(ISNUMBER(O4155),O4155,0)+IF(ISNUMBER(P4155),P4155,0)))&lt;=Summary!$B$2),"Passes using beginning_balance - PreV_ETB differs from beginning_balance",IF(AND(ISNUMBER(O4155),O4155&lt;0,ABS(L4155-(Q4155-IF(ISNUMBER(N4155),N4155,0)+IF(ISNUMBER(P4155),P4155,0)))&lt;=Summary!$B$2),"Negative realized loss not applied - check sign",IF(R4155&lt;0,"Principal paid exceeds prior balance",IF(AND(L4155&gt;Q4155,NOT(ISNUMBER(P4155))),"Balance increased but no Deferred_interest reported",IF(L4155&gt;R4155,"Reported balance higher than expected (missing increase/OC build)","Reported balance lower than expected (missing decrease)"))))),""))</f>
        <v/>
      </c>
    </row>
    <row r="4156" customFormat="false" ht="15" hidden="false" customHeight="false" outlineLevel="0" collapsed="false">
      <c r="A4156" s="8"/>
      <c r="B4156" s="8"/>
      <c r="C4156" s="8"/>
      <c r="D4156" s="8"/>
      <c r="E4156" s="8"/>
      <c r="F4156" s="8"/>
      <c r="G4156" s="8"/>
      <c r="H4156" s="8"/>
      <c r="I4156" s="8"/>
      <c r="J4156" s="8"/>
      <c r="K4156" s="9"/>
      <c r="L4156" s="9"/>
      <c r="M4156" s="9"/>
      <c r="N4156" s="9"/>
      <c r="O4156" s="9"/>
      <c r="P4156" s="9"/>
      <c r="Q4156" s="9"/>
      <c r="R4156" s="9" t="str">
        <f aca="false">IF(AND(A4156&lt;&gt;"",ISNUMBER(Q4156),ISNUMBER(L4156)),ROUND(Q4156-IF(ISNUMBER(N4156),N4156,0)-IF(ISNUMBER(O4156),O4156,0)+IF(ISNUMBER(P4156),P4156,0),2),"")</f>
        <v/>
      </c>
      <c r="S4156" s="9" t="str">
        <f aca="false">IF(R4156="","",ROUND(L4156-R4156,2))</f>
        <v/>
      </c>
      <c r="T4156" s="8" t="str">
        <f aca="false">IF(A4156="","",IF(S4156="","BYPASS",IF(ABS(S4156)&lt;=Summary!$B$2,"PASS","FAIL")))</f>
        <v/>
      </c>
      <c r="U4156" s="8" t="str">
        <f aca="false">IF(T4156="BYPASS",IF(NOT(ISNUMBER(Q4156)),"PreV_ETB missing","End_tr_balance missing"),IF(T4156="FAIL",IF(AND(ISNUMBER(K4156),ISNUMBER(L4156),ABS(L4156-(K4156-IF(ISNUMBER(N4156),N4156,0)-IF(ISNUMBER(O4156),O4156,0)+IF(ISNUMBER(P4156),P4156,0)))&lt;=Summary!$B$2),"Passes using beginning_balance - PreV_ETB differs from beginning_balance",IF(AND(ISNUMBER(O4156),O4156&lt;0,ABS(L4156-(Q4156-IF(ISNUMBER(N4156),N4156,0)+IF(ISNUMBER(P4156),P4156,0)))&lt;=Summary!$B$2),"Negative realized loss not applied - check sign",IF(R4156&lt;0,"Principal paid exceeds prior balance",IF(AND(L4156&gt;Q4156,NOT(ISNUMBER(P4156))),"Balance increased but no Deferred_interest reported",IF(L4156&gt;R4156,"Reported balance higher than expected (missing increase/OC build)","Reported balance lower than expected (missing decrease)"))))),""))</f>
        <v/>
      </c>
    </row>
    <row r="4157" customFormat="false" ht="15" hidden="false" customHeight="false" outlineLevel="0" collapsed="false">
      <c r="A4157" s="8"/>
      <c r="B4157" s="8"/>
      <c r="C4157" s="8"/>
      <c r="D4157" s="8"/>
      <c r="E4157" s="8"/>
      <c r="F4157" s="8"/>
      <c r="G4157" s="8"/>
      <c r="H4157" s="8"/>
      <c r="I4157" s="8"/>
      <c r="J4157" s="8"/>
      <c r="K4157" s="9"/>
      <c r="L4157" s="9"/>
      <c r="M4157" s="9"/>
      <c r="N4157" s="9"/>
      <c r="O4157" s="9"/>
      <c r="P4157" s="9"/>
      <c r="Q4157" s="9"/>
      <c r="R4157" s="9" t="str">
        <f aca="false">IF(AND(A4157&lt;&gt;"",ISNUMBER(Q4157),ISNUMBER(L4157)),ROUND(Q4157-IF(ISNUMBER(N4157),N4157,0)-IF(ISNUMBER(O4157),O4157,0)+IF(ISNUMBER(P4157),P4157,0),2),"")</f>
        <v/>
      </c>
      <c r="S4157" s="9" t="str">
        <f aca="false">IF(R4157="","",ROUND(L4157-R4157,2))</f>
        <v/>
      </c>
      <c r="T4157" s="8" t="str">
        <f aca="false">IF(A4157="","",IF(S4157="","BYPASS",IF(ABS(S4157)&lt;=Summary!$B$2,"PASS","FAIL")))</f>
        <v/>
      </c>
      <c r="U4157" s="8" t="str">
        <f aca="false">IF(T4157="BYPASS",IF(NOT(ISNUMBER(Q4157)),"PreV_ETB missing","End_tr_balance missing"),IF(T4157="FAIL",IF(AND(ISNUMBER(K4157),ISNUMBER(L4157),ABS(L4157-(K4157-IF(ISNUMBER(N4157),N4157,0)-IF(ISNUMBER(O4157),O4157,0)+IF(ISNUMBER(P4157),P4157,0)))&lt;=Summary!$B$2),"Passes using beginning_balance - PreV_ETB differs from beginning_balance",IF(AND(ISNUMBER(O4157),O4157&lt;0,ABS(L4157-(Q4157-IF(ISNUMBER(N4157),N4157,0)+IF(ISNUMBER(P4157),P4157,0)))&lt;=Summary!$B$2),"Negative realized loss not applied - check sign",IF(R4157&lt;0,"Principal paid exceeds prior balance",IF(AND(L4157&gt;Q4157,NOT(ISNUMBER(P4157))),"Balance increased but no Deferred_interest reported",IF(L4157&gt;R4157,"Reported balance higher than expected (missing increase/OC build)","Reported balance lower than expected (missing decrease)"))))),""))</f>
        <v/>
      </c>
    </row>
    <row r="4158" customFormat="false" ht="15" hidden="false" customHeight="false" outlineLevel="0" collapsed="false">
      <c r="A4158" s="8"/>
      <c r="B4158" s="8"/>
      <c r="C4158" s="8"/>
      <c r="D4158" s="8"/>
      <c r="E4158" s="8"/>
      <c r="F4158" s="8"/>
      <c r="G4158" s="8"/>
      <c r="H4158" s="8"/>
      <c r="I4158" s="8"/>
      <c r="J4158" s="8"/>
      <c r="K4158" s="9"/>
      <c r="L4158" s="9"/>
      <c r="M4158" s="9"/>
      <c r="N4158" s="9"/>
      <c r="O4158" s="9"/>
      <c r="P4158" s="9"/>
      <c r="Q4158" s="9"/>
      <c r="R4158" s="9" t="str">
        <f aca="false">IF(AND(A4158&lt;&gt;"",ISNUMBER(Q4158),ISNUMBER(L4158)),ROUND(Q4158-IF(ISNUMBER(N4158),N4158,0)-IF(ISNUMBER(O4158),O4158,0)+IF(ISNUMBER(P4158),P4158,0),2),"")</f>
        <v/>
      </c>
      <c r="S4158" s="9" t="str">
        <f aca="false">IF(R4158="","",ROUND(L4158-R4158,2))</f>
        <v/>
      </c>
      <c r="T4158" s="8" t="str">
        <f aca="false">IF(A4158="","",IF(S4158="","BYPASS",IF(ABS(S4158)&lt;=Summary!$B$2,"PASS","FAIL")))</f>
        <v/>
      </c>
      <c r="U4158" s="8" t="str">
        <f aca="false">IF(T4158="BYPASS",IF(NOT(ISNUMBER(Q4158)),"PreV_ETB missing","End_tr_balance missing"),IF(T4158="FAIL",IF(AND(ISNUMBER(K4158),ISNUMBER(L4158),ABS(L4158-(K4158-IF(ISNUMBER(N4158),N4158,0)-IF(ISNUMBER(O4158),O4158,0)+IF(ISNUMBER(P4158),P4158,0)))&lt;=Summary!$B$2),"Passes using beginning_balance - PreV_ETB differs from beginning_balance",IF(AND(ISNUMBER(O4158),O4158&lt;0,ABS(L4158-(Q4158-IF(ISNUMBER(N4158),N4158,0)+IF(ISNUMBER(P4158),P4158,0)))&lt;=Summary!$B$2),"Negative realized loss not applied - check sign",IF(R4158&lt;0,"Principal paid exceeds prior balance",IF(AND(L4158&gt;Q4158,NOT(ISNUMBER(P4158))),"Balance increased but no Deferred_interest reported",IF(L4158&gt;R4158,"Reported balance higher than expected (missing increase/OC build)","Reported balance lower than expected (missing decrease)"))))),""))</f>
        <v/>
      </c>
    </row>
    <row r="4159" customFormat="false" ht="15" hidden="false" customHeight="false" outlineLevel="0" collapsed="false">
      <c r="A4159" s="8"/>
      <c r="B4159" s="8"/>
      <c r="C4159" s="8"/>
      <c r="D4159" s="8"/>
      <c r="E4159" s="8"/>
      <c r="F4159" s="8"/>
      <c r="G4159" s="8"/>
      <c r="H4159" s="8"/>
      <c r="I4159" s="8"/>
      <c r="J4159" s="8"/>
      <c r="K4159" s="9"/>
      <c r="L4159" s="9"/>
      <c r="M4159" s="9"/>
      <c r="N4159" s="9"/>
      <c r="O4159" s="9"/>
      <c r="P4159" s="9"/>
      <c r="Q4159" s="9"/>
      <c r="R4159" s="9" t="str">
        <f aca="false">IF(AND(A4159&lt;&gt;"",ISNUMBER(Q4159),ISNUMBER(L4159)),ROUND(Q4159-IF(ISNUMBER(N4159),N4159,0)-IF(ISNUMBER(O4159),O4159,0)+IF(ISNUMBER(P4159),P4159,0),2),"")</f>
        <v/>
      </c>
      <c r="S4159" s="9" t="str">
        <f aca="false">IF(R4159="","",ROUND(L4159-R4159,2))</f>
        <v/>
      </c>
      <c r="T4159" s="8" t="str">
        <f aca="false">IF(A4159="","",IF(S4159="","BYPASS",IF(ABS(S4159)&lt;=Summary!$B$2,"PASS","FAIL")))</f>
        <v/>
      </c>
      <c r="U4159" s="8" t="str">
        <f aca="false">IF(T4159="BYPASS",IF(NOT(ISNUMBER(Q4159)),"PreV_ETB missing","End_tr_balance missing"),IF(T4159="FAIL",IF(AND(ISNUMBER(K4159),ISNUMBER(L4159),ABS(L4159-(K4159-IF(ISNUMBER(N4159),N4159,0)-IF(ISNUMBER(O4159),O4159,0)+IF(ISNUMBER(P4159),P4159,0)))&lt;=Summary!$B$2),"Passes using beginning_balance - PreV_ETB differs from beginning_balance",IF(AND(ISNUMBER(O4159),O4159&lt;0,ABS(L4159-(Q4159-IF(ISNUMBER(N4159),N4159,0)+IF(ISNUMBER(P4159),P4159,0)))&lt;=Summary!$B$2),"Negative realized loss not applied - check sign",IF(R4159&lt;0,"Principal paid exceeds prior balance",IF(AND(L4159&gt;Q4159,NOT(ISNUMBER(P4159))),"Balance increased but no Deferred_interest reported",IF(L4159&gt;R4159,"Reported balance higher than expected (missing increase/OC build)","Reported balance lower than expected (missing decrease)"))))),""))</f>
        <v/>
      </c>
    </row>
    <row r="4160" customFormat="false" ht="15" hidden="false" customHeight="false" outlineLevel="0" collapsed="false">
      <c r="A4160" s="8"/>
      <c r="B4160" s="8"/>
      <c r="C4160" s="8"/>
      <c r="D4160" s="8"/>
      <c r="E4160" s="8"/>
      <c r="F4160" s="8"/>
      <c r="G4160" s="8"/>
      <c r="H4160" s="8"/>
      <c r="I4160" s="8"/>
      <c r="J4160" s="8"/>
      <c r="K4160" s="9"/>
      <c r="L4160" s="9"/>
      <c r="M4160" s="9"/>
      <c r="N4160" s="9"/>
      <c r="O4160" s="9"/>
      <c r="P4160" s="9"/>
      <c r="Q4160" s="9"/>
      <c r="R4160" s="9" t="str">
        <f aca="false">IF(AND(A4160&lt;&gt;"",ISNUMBER(Q4160),ISNUMBER(L4160)),ROUND(Q4160-IF(ISNUMBER(N4160),N4160,0)-IF(ISNUMBER(O4160),O4160,0)+IF(ISNUMBER(P4160),P4160,0),2),"")</f>
        <v/>
      </c>
      <c r="S4160" s="9" t="str">
        <f aca="false">IF(R4160="","",ROUND(L4160-R4160,2))</f>
        <v/>
      </c>
      <c r="T4160" s="8" t="str">
        <f aca="false">IF(A4160="","",IF(S4160="","BYPASS",IF(ABS(S4160)&lt;=Summary!$B$2,"PASS","FAIL")))</f>
        <v/>
      </c>
      <c r="U4160" s="8" t="str">
        <f aca="false">IF(T4160="BYPASS",IF(NOT(ISNUMBER(Q4160)),"PreV_ETB missing","End_tr_balance missing"),IF(T4160="FAIL",IF(AND(ISNUMBER(K4160),ISNUMBER(L4160),ABS(L4160-(K4160-IF(ISNUMBER(N4160),N4160,0)-IF(ISNUMBER(O4160),O4160,0)+IF(ISNUMBER(P4160),P4160,0)))&lt;=Summary!$B$2),"Passes using beginning_balance - PreV_ETB differs from beginning_balance",IF(AND(ISNUMBER(O4160),O4160&lt;0,ABS(L4160-(Q4160-IF(ISNUMBER(N4160),N4160,0)+IF(ISNUMBER(P4160),P4160,0)))&lt;=Summary!$B$2),"Negative realized loss not applied - check sign",IF(R4160&lt;0,"Principal paid exceeds prior balance",IF(AND(L4160&gt;Q4160,NOT(ISNUMBER(P4160))),"Balance increased but no Deferred_interest reported",IF(L4160&gt;R4160,"Reported balance higher than expected (missing increase/OC build)","Reported balance lower than expected (missing decrease)"))))),""))</f>
        <v/>
      </c>
    </row>
    <row r="4161" customFormat="false" ht="15" hidden="false" customHeight="false" outlineLevel="0" collapsed="false">
      <c r="A4161" s="8"/>
      <c r="B4161" s="8"/>
      <c r="C4161" s="8"/>
      <c r="D4161" s="8"/>
      <c r="E4161" s="8"/>
      <c r="F4161" s="8"/>
      <c r="G4161" s="8"/>
      <c r="H4161" s="8"/>
      <c r="I4161" s="8"/>
      <c r="J4161" s="8"/>
      <c r="K4161" s="9"/>
      <c r="L4161" s="9"/>
      <c r="M4161" s="9"/>
      <c r="N4161" s="9"/>
      <c r="O4161" s="9"/>
      <c r="P4161" s="9"/>
      <c r="Q4161" s="9"/>
      <c r="R4161" s="9" t="str">
        <f aca="false">IF(AND(A4161&lt;&gt;"",ISNUMBER(Q4161),ISNUMBER(L4161)),ROUND(Q4161-IF(ISNUMBER(N4161),N4161,0)-IF(ISNUMBER(O4161),O4161,0)+IF(ISNUMBER(P4161),P4161,0),2),"")</f>
        <v/>
      </c>
      <c r="S4161" s="9" t="str">
        <f aca="false">IF(R4161="","",ROUND(L4161-R4161,2))</f>
        <v/>
      </c>
      <c r="T4161" s="8" t="str">
        <f aca="false">IF(A4161="","",IF(S4161="","BYPASS",IF(ABS(S4161)&lt;=Summary!$B$2,"PASS","FAIL")))</f>
        <v/>
      </c>
      <c r="U4161" s="8" t="str">
        <f aca="false">IF(T4161="BYPASS",IF(NOT(ISNUMBER(Q4161)),"PreV_ETB missing","End_tr_balance missing"),IF(T4161="FAIL",IF(AND(ISNUMBER(K4161),ISNUMBER(L4161),ABS(L4161-(K4161-IF(ISNUMBER(N4161),N4161,0)-IF(ISNUMBER(O4161),O4161,0)+IF(ISNUMBER(P4161),P4161,0)))&lt;=Summary!$B$2),"Passes using beginning_balance - PreV_ETB differs from beginning_balance",IF(AND(ISNUMBER(O4161),O4161&lt;0,ABS(L4161-(Q4161-IF(ISNUMBER(N4161),N4161,0)+IF(ISNUMBER(P4161),P4161,0)))&lt;=Summary!$B$2),"Negative realized loss not applied - check sign",IF(R4161&lt;0,"Principal paid exceeds prior balance",IF(AND(L4161&gt;Q4161,NOT(ISNUMBER(P4161))),"Balance increased but no Deferred_interest reported",IF(L4161&gt;R4161,"Reported balance higher than expected (missing increase/OC build)","Reported balance lower than expected (missing decrease)"))))),""))</f>
        <v/>
      </c>
    </row>
    <row r="4162" customFormat="false" ht="15" hidden="false" customHeight="false" outlineLevel="0" collapsed="false">
      <c r="A4162" s="8"/>
      <c r="B4162" s="8"/>
      <c r="C4162" s="8"/>
      <c r="D4162" s="8"/>
      <c r="E4162" s="8"/>
      <c r="F4162" s="8"/>
      <c r="G4162" s="8"/>
      <c r="H4162" s="8"/>
      <c r="I4162" s="8"/>
      <c r="J4162" s="8"/>
      <c r="K4162" s="9"/>
      <c r="L4162" s="9"/>
      <c r="M4162" s="9"/>
      <c r="N4162" s="9"/>
      <c r="O4162" s="9"/>
      <c r="P4162" s="9"/>
      <c r="Q4162" s="9"/>
      <c r="R4162" s="9" t="str">
        <f aca="false">IF(AND(A4162&lt;&gt;"",ISNUMBER(Q4162),ISNUMBER(L4162)),ROUND(Q4162-IF(ISNUMBER(N4162),N4162,0)-IF(ISNUMBER(O4162),O4162,0)+IF(ISNUMBER(P4162),P4162,0),2),"")</f>
        <v/>
      </c>
      <c r="S4162" s="9" t="str">
        <f aca="false">IF(R4162="","",ROUND(L4162-R4162,2))</f>
        <v/>
      </c>
      <c r="T4162" s="8" t="str">
        <f aca="false">IF(A4162="","",IF(S4162="","BYPASS",IF(ABS(S4162)&lt;=Summary!$B$2,"PASS","FAIL")))</f>
        <v/>
      </c>
      <c r="U4162" s="8" t="str">
        <f aca="false">IF(T4162="BYPASS",IF(NOT(ISNUMBER(Q4162)),"PreV_ETB missing","End_tr_balance missing"),IF(T4162="FAIL",IF(AND(ISNUMBER(K4162),ISNUMBER(L4162),ABS(L4162-(K4162-IF(ISNUMBER(N4162),N4162,0)-IF(ISNUMBER(O4162),O4162,0)+IF(ISNUMBER(P4162),P4162,0)))&lt;=Summary!$B$2),"Passes using beginning_balance - PreV_ETB differs from beginning_balance",IF(AND(ISNUMBER(O4162),O4162&lt;0,ABS(L4162-(Q4162-IF(ISNUMBER(N4162),N4162,0)+IF(ISNUMBER(P4162),P4162,0)))&lt;=Summary!$B$2),"Negative realized loss not applied - check sign",IF(R4162&lt;0,"Principal paid exceeds prior balance",IF(AND(L4162&gt;Q4162,NOT(ISNUMBER(P4162))),"Balance increased but no Deferred_interest reported",IF(L4162&gt;R4162,"Reported balance higher than expected (missing increase/OC build)","Reported balance lower than expected (missing decrease)"))))),""))</f>
        <v/>
      </c>
    </row>
    <row r="4163" customFormat="false" ht="15" hidden="false" customHeight="false" outlineLevel="0" collapsed="false">
      <c r="A4163" s="8"/>
      <c r="B4163" s="8"/>
      <c r="C4163" s="8"/>
      <c r="D4163" s="8"/>
      <c r="E4163" s="8"/>
      <c r="F4163" s="8"/>
      <c r="G4163" s="8"/>
      <c r="H4163" s="8"/>
      <c r="I4163" s="8"/>
      <c r="J4163" s="8"/>
      <c r="K4163" s="9"/>
      <c r="L4163" s="9"/>
      <c r="M4163" s="9"/>
      <c r="N4163" s="9"/>
      <c r="O4163" s="9"/>
      <c r="P4163" s="9"/>
      <c r="Q4163" s="9"/>
      <c r="R4163" s="9" t="str">
        <f aca="false">IF(AND(A4163&lt;&gt;"",ISNUMBER(Q4163),ISNUMBER(L4163)),ROUND(Q4163-IF(ISNUMBER(N4163),N4163,0)-IF(ISNUMBER(O4163),O4163,0)+IF(ISNUMBER(P4163),P4163,0),2),"")</f>
        <v/>
      </c>
      <c r="S4163" s="9" t="str">
        <f aca="false">IF(R4163="","",ROUND(L4163-R4163,2))</f>
        <v/>
      </c>
      <c r="T4163" s="8" t="str">
        <f aca="false">IF(A4163="","",IF(S4163="","BYPASS",IF(ABS(S4163)&lt;=Summary!$B$2,"PASS","FAIL")))</f>
        <v/>
      </c>
      <c r="U4163" s="8" t="str">
        <f aca="false">IF(T4163="BYPASS",IF(NOT(ISNUMBER(Q4163)),"PreV_ETB missing","End_tr_balance missing"),IF(T4163="FAIL",IF(AND(ISNUMBER(K4163),ISNUMBER(L4163),ABS(L4163-(K4163-IF(ISNUMBER(N4163),N4163,0)-IF(ISNUMBER(O4163),O4163,0)+IF(ISNUMBER(P4163),P4163,0)))&lt;=Summary!$B$2),"Passes using beginning_balance - PreV_ETB differs from beginning_balance",IF(AND(ISNUMBER(O4163),O4163&lt;0,ABS(L4163-(Q4163-IF(ISNUMBER(N4163),N4163,0)+IF(ISNUMBER(P4163),P4163,0)))&lt;=Summary!$B$2),"Negative realized loss not applied - check sign",IF(R4163&lt;0,"Principal paid exceeds prior balance",IF(AND(L4163&gt;Q4163,NOT(ISNUMBER(P4163))),"Balance increased but no Deferred_interest reported",IF(L4163&gt;R4163,"Reported balance higher than expected (missing increase/OC build)","Reported balance lower than expected (missing decrease)"))))),""))</f>
        <v/>
      </c>
    </row>
    <row r="4164" customFormat="false" ht="15" hidden="false" customHeight="false" outlineLevel="0" collapsed="false">
      <c r="A4164" s="8"/>
      <c r="B4164" s="8"/>
      <c r="C4164" s="8"/>
      <c r="D4164" s="8"/>
      <c r="E4164" s="8"/>
      <c r="F4164" s="8"/>
      <c r="G4164" s="8"/>
      <c r="H4164" s="8"/>
      <c r="I4164" s="8"/>
      <c r="J4164" s="8"/>
      <c r="K4164" s="9"/>
      <c r="L4164" s="9"/>
      <c r="M4164" s="9"/>
      <c r="N4164" s="9"/>
      <c r="O4164" s="9"/>
      <c r="P4164" s="9"/>
      <c r="Q4164" s="9"/>
      <c r="R4164" s="9" t="str">
        <f aca="false">IF(AND(A4164&lt;&gt;"",ISNUMBER(Q4164),ISNUMBER(L4164)),ROUND(Q4164-IF(ISNUMBER(N4164),N4164,0)-IF(ISNUMBER(O4164),O4164,0)+IF(ISNUMBER(P4164),P4164,0),2),"")</f>
        <v/>
      </c>
      <c r="S4164" s="9" t="str">
        <f aca="false">IF(R4164="","",ROUND(L4164-R4164,2))</f>
        <v/>
      </c>
      <c r="T4164" s="8" t="str">
        <f aca="false">IF(A4164="","",IF(S4164="","BYPASS",IF(ABS(S4164)&lt;=Summary!$B$2,"PASS","FAIL")))</f>
        <v/>
      </c>
      <c r="U4164" s="8" t="str">
        <f aca="false">IF(T4164="BYPASS",IF(NOT(ISNUMBER(Q4164)),"PreV_ETB missing","End_tr_balance missing"),IF(T4164="FAIL",IF(AND(ISNUMBER(K4164),ISNUMBER(L4164),ABS(L4164-(K4164-IF(ISNUMBER(N4164),N4164,0)-IF(ISNUMBER(O4164),O4164,0)+IF(ISNUMBER(P4164),P4164,0)))&lt;=Summary!$B$2),"Passes using beginning_balance - PreV_ETB differs from beginning_balance",IF(AND(ISNUMBER(O4164),O4164&lt;0,ABS(L4164-(Q4164-IF(ISNUMBER(N4164),N4164,0)+IF(ISNUMBER(P4164),P4164,0)))&lt;=Summary!$B$2),"Negative realized loss not applied - check sign",IF(R4164&lt;0,"Principal paid exceeds prior balance",IF(AND(L4164&gt;Q4164,NOT(ISNUMBER(P4164))),"Balance increased but no Deferred_interest reported",IF(L4164&gt;R4164,"Reported balance higher than expected (missing increase/OC build)","Reported balance lower than expected (missing decrease)"))))),""))</f>
        <v/>
      </c>
    </row>
    <row r="4165" customFormat="false" ht="15" hidden="false" customHeight="false" outlineLevel="0" collapsed="false">
      <c r="A4165" s="8"/>
      <c r="B4165" s="8"/>
      <c r="C4165" s="8"/>
      <c r="D4165" s="8"/>
      <c r="E4165" s="8"/>
      <c r="F4165" s="8"/>
      <c r="G4165" s="8"/>
      <c r="H4165" s="8"/>
      <c r="I4165" s="8"/>
      <c r="J4165" s="8"/>
      <c r="K4165" s="9"/>
      <c r="L4165" s="9"/>
      <c r="M4165" s="9"/>
      <c r="N4165" s="9"/>
      <c r="O4165" s="9"/>
      <c r="P4165" s="9"/>
      <c r="Q4165" s="9"/>
      <c r="R4165" s="9" t="str">
        <f aca="false">IF(AND(A4165&lt;&gt;"",ISNUMBER(Q4165),ISNUMBER(L4165)),ROUND(Q4165-IF(ISNUMBER(N4165),N4165,0)-IF(ISNUMBER(O4165),O4165,0)+IF(ISNUMBER(P4165),P4165,0),2),"")</f>
        <v/>
      </c>
      <c r="S4165" s="9" t="str">
        <f aca="false">IF(R4165="","",ROUND(L4165-R4165,2))</f>
        <v/>
      </c>
      <c r="T4165" s="8" t="str">
        <f aca="false">IF(A4165="","",IF(S4165="","BYPASS",IF(ABS(S4165)&lt;=Summary!$B$2,"PASS","FAIL")))</f>
        <v/>
      </c>
      <c r="U4165" s="8" t="str">
        <f aca="false">IF(T4165="BYPASS",IF(NOT(ISNUMBER(Q4165)),"PreV_ETB missing","End_tr_balance missing"),IF(T4165="FAIL",IF(AND(ISNUMBER(K4165),ISNUMBER(L4165),ABS(L4165-(K4165-IF(ISNUMBER(N4165),N4165,0)-IF(ISNUMBER(O4165),O4165,0)+IF(ISNUMBER(P4165),P4165,0)))&lt;=Summary!$B$2),"Passes using beginning_balance - PreV_ETB differs from beginning_balance",IF(AND(ISNUMBER(O4165),O4165&lt;0,ABS(L4165-(Q4165-IF(ISNUMBER(N4165),N4165,0)+IF(ISNUMBER(P4165),P4165,0)))&lt;=Summary!$B$2),"Negative realized loss not applied - check sign",IF(R4165&lt;0,"Principal paid exceeds prior balance",IF(AND(L4165&gt;Q4165,NOT(ISNUMBER(P4165))),"Balance increased but no Deferred_interest reported",IF(L4165&gt;R4165,"Reported balance higher than expected (missing increase/OC build)","Reported balance lower than expected (missing decrease)"))))),""))</f>
        <v/>
      </c>
    </row>
    <row r="4166" customFormat="false" ht="15" hidden="false" customHeight="false" outlineLevel="0" collapsed="false">
      <c r="A4166" s="8"/>
      <c r="B4166" s="8"/>
      <c r="C4166" s="8"/>
      <c r="D4166" s="8"/>
      <c r="E4166" s="8"/>
      <c r="F4166" s="8"/>
      <c r="G4166" s="8"/>
      <c r="H4166" s="8"/>
      <c r="I4166" s="8"/>
      <c r="J4166" s="8"/>
      <c r="K4166" s="9"/>
      <c r="L4166" s="9"/>
      <c r="M4166" s="9"/>
      <c r="N4166" s="9"/>
      <c r="O4166" s="9"/>
      <c r="P4166" s="9"/>
      <c r="Q4166" s="9"/>
      <c r="R4166" s="9" t="str">
        <f aca="false">IF(AND(A4166&lt;&gt;"",ISNUMBER(Q4166),ISNUMBER(L4166)),ROUND(Q4166-IF(ISNUMBER(N4166),N4166,0)-IF(ISNUMBER(O4166),O4166,0)+IF(ISNUMBER(P4166),P4166,0),2),"")</f>
        <v/>
      </c>
      <c r="S4166" s="9" t="str">
        <f aca="false">IF(R4166="","",ROUND(L4166-R4166,2))</f>
        <v/>
      </c>
      <c r="T4166" s="8" t="str">
        <f aca="false">IF(A4166="","",IF(S4166="","BYPASS",IF(ABS(S4166)&lt;=Summary!$B$2,"PASS","FAIL")))</f>
        <v/>
      </c>
      <c r="U4166" s="8" t="str">
        <f aca="false">IF(T4166="BYPASS",IF(NOT(ISNUMBER(Q4166)),"PreV_ETB missing","End_tr_balance missing"),IF(T4166="FAIL",IF(AND(ISNUMBER(K4166),ISNUMBER(L4166),ABS(L4166-(K4166-IF(ISNUMBER(N4166),N4166,0)-IF(ISNUMBER(O4166),O4166,0)+IF(ISNUMBER(P4166),P4166,0)))&lt;=Summary!$B$2),"Passes using beginning_balance - PreV_ETB differs from beginning_balance",IF(AND(ISNUMBER(O4166),O4166&lt;0,ABS(L4166-(Q4166-IF(ISNUMBER(N4166),N4166,0)+IF(ISNUMBER(P4166),P4166,0)))&lt;=Summary!$B$2),"Negative realized loss not applied - check sign",IF(R4166&lt;0,"Principal paid exceeds prior balance",IF(AND(L4166&gt;Q4166,NOT(ISNUMBER(P4166))),"Balance increased but no Deferred_interest reported",IF(L4166&gt;R4166,"Reported balance higher than expected (missing increase/OC build)","Reported balance lower than expected (missing decrease)"))))),""))</f>
        <v/>
      </c>
    </row>
    <row r="4167" customFormat="false" ht="15" hidden="false" customHeight="false" outlineLevel="0" collapsed="false">
      <c r="A4167" s="8"/>
      <c r="B4167" s="8"/>
      <c r="C4167" s="8"/>
      <c r="D4167" s="8"/>
      <c r="E4167" s="8"/>
      <c r="F4167" s="8"/>
      <c r="G4167" s="8"/>
      <c r="H4167" s="8"/>
      <c r="I4167" s="8"/>
      <c r="J4167" s="8"/>
      <c r="K4167" s="9"/>
      <c r="L4167" s="9"/>
      <c r="M4167" s="9"/>
      <c r="N4167" s="9"/>
      <c r="O4167" s="9"/>
      <c r="P4167" s="9"/>
      <c r="Q4167" s="9"/>
      <c r="R4167" s="9" t="str">
        <f aca="false">IF(AND(A4167&lt;&gt;"",ISNUMBER(Q4167),ISNUMBER(L4167)),ROUND(Q4167-IF(ISNUMBER(N4167),N4167,0)-IF(ISNUMBER(O4167),O4167,0)+IF(ISNUMBER(P4167),P4167,0),2),"")</f>
        <v/>
      </c>
      <c r="S4167" s="9" t="str">
        <f aca="false">IF(R4167="","",ROUND(L4167-R4167,2))</f>
        <v/>
      </c>
      <c r="T4167" s="8" t="str">
        <f aca="false">IF(A4167="","",IF(S4167="","BYPASS",IF(ABS(S4167)&lt;=Summary!$B$2,"PASS","FAIL")))</f>
        <v/>
      </c>
      <c r="U4167" s="8" t="str">
        <f aca="false">IF(T4167="BYPASS",IF(NOT(ISNUMBER(Q4167)),"PreV_ETB missing","End_tr_balance missing"),IF(T4167="FAIL",IF(AND(ISNUMBER(K4167),ISNUMBER(L4167),ABS(L4167-(K4167-IF(ISNUMBER(N4167),N4167,0)-IF(ISNUMBER(O4167),O4167,0)+IF(ISNUMBER(P4167),P4167,0)))&lt;=Summary!$B$2),"Passes using beginning_balance - PreV_ETB differs from beginning_balance",IF(AND(ISNUMBER(O4167),O4167&lt;0,ABS(L4167-(Q4167-IF(ISNUMBER(N4167),N4167,0)+IF(ISNUMBER(P4167),P4167,0)))&lt;=Summary!$B$2),"Negative realized loss not applied - check sign",IF(R4167&lt;0,"Principal paid exceeds prior balance",IF(AND(L4167&gt;Q4167,NOT(ISNUMBER(P4167))),"Balance increased but no Deferred_interest reported",IF(L4167&gt;R4167,"Reported balance higher than expected (missing increase/OC build)","Reported balance lower than expected (missing decrease)"))))),""))</f>
        <v/>
      </c>
    </row>
    <row r="4168" customFormat="false" ht="15" hidden="false" customHeight="false" outlineLevel="0" collapsed="false">
      <c r="A4168" s="8"/>
      <c r="B4168" s="8"/>
      <c r="C4168" s="8"/>
      <c r="D4168" s="8"/>
      <c r="E4168" s="8"/>
      <c r="F4168" s="8"/>
      <c r="G4168" s="8"/>
      <c r="H4168" s="8"/>
      <c r="I4168" s="8"/>
      <c r="J4168" s="8"/>
      <c r="K4168" s="9"/>
      <c r="L4168" s="9"/>
      <c r="M4168" s="9"/>
      <c r="N4168" s="9"/>
      <c r="O4168" s="9"/>
      <c r="P4168" s="9"/>
      <c r="Q4168" s="9"/>
      <c r="R4168" s="9" t="str">
        <f aca="false">IF(AND(A4168&lt;&gt;"",ISNUMBER(Q4168),ISNUMBER(L4168)),ROUND(Q4168-IF(ISNUMBER(N4168),N4168,0)-IF(ISNUMBER(O4168),O4168,0)+IF(ISNUMBER(P4168),P4168,0),2),"")</f>
        <v/>
      </c>
      <c r="S4168" s="9" t="str">
        <f aca="false">IF(R4168="","",ROUND(L4168-R4168,2))</f>
        <v/>
      </c>
      <c r="T4168" s="8" t="str">
        <f aca="false">IF(A4168="","",IF(S4168="","BYPASS",IF(ABS(S4168)&lt;=Summary!$B$2,"PASS","FAIL")))</f>
        <v/>
      </c>
      <c r="U4168" s="8" t="str">
        <f aca="false">IF(T4168="BYPASS",IF(NOT(ISNUMBER(Q4168)),"PreV_ETB missing","End_tr_balance missing"),IF(T4168="FAIL",IF(AND(ISNUMBER(K4168),ISNUMBER(L4168),ABS(L4168-(K4168-IF(ISNUMBER(N4168),N4168,0)-IF(ISNUMBER(O4168),O4168,0)+IF(ISNUMBER(P4168),P4168,0)))&lt;=Summary!$B$2),"Passes using beginning_balance - PreV_ETB differs from beginning_balance",IF(AND(ISNUMBER(O4168),O4168&lt;0,ABS(L4168-(Q4168-IF(ISNUMBER(N4168),N4168,0)+IF(ISNUMBER(P4168),P4168,0)))&lt;=Summary!$B$2),"Negative realized loss not applied - check sign",IF(R4168&lt;0,"Principal paid exceeds prior balance",IF(AND(L4168&gt;Q4168,NOT(ISNUMBER(P4168))),"Balance increased but no Deferred_interest reported",IF(L4168&gt;R4168,"Reported balance higher than expected (missing increase/OC build)","Reported balance lower than expected (missing decrease)"))))),""))</f>
        <v/>
      </c>
    </row>
    <row r="4169" customFormat="false" ht="15" hidden="false" customHeight="false" outlineLevel="0" collapsed="false">
      <c r="A4169" s="8"/>
      <c r="B4169" s="8"/>
      <c r="C4169" s="8"/>
      <c r="D4169" s="8"/>
      <c r="E4169" s="8"/>
      <c r="F4169" s="8"/>
      <c r="G4169" s="8"/>
      <c r="H4169" s="8"/>
      <c r="I4169" s="8"/>
      <c r="J4169" s="8"/>
      <c r="K4169" s="9"/>
      <c r="L4169" s="9"/>
      <c r="M4169" s="9"/>
      <c r="N4169" s="9"/>
      <c r="O4169" s="9"/>
      <c r="P4169" s="9"/>
      <c r="Q4169" s="9"/>
      <c r="R4169" s="9" t="str">
        <f aca="false">IF(AND(A4169&lt;&gt;"",ISNUMBER(Q4169),ISNUMBER(L4169)),ROUND(Q4169-IF(ISNUMBER(N4169),N4169,0)-IF(ISNUMBER(O4169),O4169,0)+IF(ISNUMBER(P4169),P4169,0),2),"")</f>
        <v/>
      </c>
      <c r="S4169" s="9" t="str">
        <f aca="false">IF(R4169="","",ROUND(L4169-R4169,2))</f>
        <v/>
      </c>
      <c r="T4169" s="8" t="str">
        <f aca="false">IF(A4169="","",IF(S4169="","BYPASS",IF(ABS(S4169)&lt;=Summary!$B$2,"PASS","FAIL")))</f>
        <v/>
      </c>
      <c r="U4169" s="8" t="str">
        <f aca="false">IF(T4169="BYPASS",IF(NOT(ISNUMBER(Q4169)),"PreV_ETB missing","End_tr_balance missing"),IF(T4169="FAIL",IF(AND(ISNUMBER(K4169),ISNUMBER(L4169),ABS(L4169-(K4169-IF(ISNUMBER(N4169),N4169,0)-IF(ISNUMBER(O4169),O4169,0)+IF(ISNUMBER(P4169),P4169,0)))&lt;=Summary!$B$2),"Passes using beginning_balance - PreV_ETB differs from beginning_balance",IF(AND(ISNUMBER(O4169),O4169&lt;0,ABS(L4169-(Q4169-IF(ISNUMBER(N4169),N4169,0)+IF(ISNUMBER(P4169),P4169,0)))&lt;=Summary!$B$2),"Negative realized loss not applied - check sign",IF(R4169&lt;0,"Principal paid exceeds prior balance",IF(AND(L4169&gt;Q4169,NOT(ISNUMBER(P4169))),"Balance increased but no Deferred_interest reported",IF(L4169&gt;R4169,"Reported balance higher than expected (missing increase/OC build)","Reported balance lower than expected (missing decrease)"))))),""))</f>
        <v/>
      </c>
    </row>
    <row r="4170" customFormat="false" ht="15" hidden="false" customHeight="false" outlineLevel="0" collapsed="false">
      <c r="A4170" s="8"/>
      <c r="B4170" s="8"/>
      <c r="C4170" s="8"/>
      <c r="D4170" s="8"/>
      <c r="E4170" s="8"/>
      <c r="F4170" s="8"/>
      <c r="G4170" s="8"/>
      <c r="H4170" s="8"/>
      <c r="I4170" s="8"/>
      <c r="J4170" s="8"/>
      <c r="K4170" s="9"/>
      <c r="L4170" s="9"/>
      <c r="M4170" s="9"/>
      <c r="N4170" s="9"/>
      <c r="O4170" s="9"/>
      <c r="P4170" s="9"/>
      <c r="Q4170" s="9"/>
      <c r="R4170" s="9" t="str">
        <f aca="false">IF(AND(A4170&lt;&gt;"",ISNUMBER(Q4170),ISNUMBER(L4170)),ROUND(Q4170-IF(ISNUMBER(N4170),N4170,0)-IF(ISNUMBER(O4170),O4170,0)+IF(ISNUMBER(P4170),P4170,0),2),"")</f>
        <v/>
      </c>
      <c r="S4170" s="9" t="str">
        <f aca="false">IF(R4170="","",ROUND(L4170-R4170,2))</f>
        <v/>
      </c>
      <c r="T4170" s="8" t="str">
        <f aca="false">IF(A4170="","",IF(S4170="","BYPASS",IF(ABS(S4170)&lt;=Summary!$B$2,"PASS","FAIL")))</f>
        <v/>
      </c>
      <c r="U4170" s="8" t="str">
        <f aca="false">IF(T4170="BYPASS",IF(NOT(ISNUMBER(Q4170)),"PreV_ETB missing","End_tr_balance missing"),IF(T4170="FAIL",IF(AND(ISNUMBER(K4170),ISNUMBER(L4170),ABS(L4170-(K4170-IF(ISNUMBER(N4170),N4170,0)-IF(ISNUMBER(O4170),O4170,0)+IF(ISNUMBER(P4170),P4170,0)))&lt;=Summary!$B$2),"Passes using beginning_balance - PreV_ETB differs from beginning_balance",IF(AND(ISNUMBER(O4170),O4170&lt;0,ABS(L4170-(Q4170-IF(ISNUMBER(N4170),N4170,0)+IF(ISNUMBER(P4170),P4170,0)))&lt;=Summary!$B$2),"Negative realized loss not applied - check sign",IF(R4170&lt;0,"Principal paid exceeds prior balance",IF(AND(L4170&gt;Q4170,NOT(ISNUMBER(P4170))),"Balance increased but no Deferred_interest reported",IF(L4170&gt;R4170,"Reported balance higher than expected (missing increase/OC build)","Reported balance lower than expected (missing decrease)"))))),""))</f>
        <v/>
      </c>
    </row>
    <row r="4171" customFormat="false" ht="15" hidden="false" customHeight="false" outlineLevel="0" collapsed="false">
      <c r="A4171" s="8"/>
      <c r="B4171" s="8"/>
      <c r="C4171" s="8"/>
      <c r="D4171" s="8"/>
      <c r="E4171" s="8"/>
      <c r="F4171" s="8"/>
      <c r="G4171" s="8"/>
      <c r="H4171" s="8"/>
      <c r="I4171" s="8"/>
      <c r="J4171" s="8"/>
      <c r="K4171" s="9"/>
      <c r="L4171" s="9"/>
      <c r="M4171" s="9"/>
      <c r="N4171" s="9"/>
      <c r="O4171" s="9"/>
      <c r="P4171" s="9"/>
      <c r="Q4171" s="9"/>
      <c r="R4171" s="9" t="str">
        <f aca="false">IF(AND(A4171&lt;&gt;"",ISNUMBER(Q4171),ISNUMBER(L4171)),ROUND(Q4171-IF(ISNUMBER(N4171),N4171,0)-IF(ISNUMBER(O4171),O4171,0)+IF(ISNUMBER(P4171),P4171,0),2),"")</f>
        <v/>
      </c>
      <c r="S4171" s="9" t="str">
        <f aca="false">IF(R4171="","",ROUND(L4171-R4171,2))</f>
        <v/>
      </c>
      <c r="T4171" s="8" t="str">
        <f aca="false">IF(A4171="","",IF(S4171="","BYPASS",IF(ABS(S4171)&lt;=Summary!$B$2,"PASS","FAIL")))</f>
        <v/>
      </c>
      <c r="U4171" s="8" t="str">
        <f aca="false">IF(T4171="BYPASS",IF(NOT(ISNUMBER(Q4171)),"PreV_ETB missing","End_tr_balance missing"),IF(T4171="FAIL",IF(AND(ISNUMBER(K4171),ISNUMBER(L4171),ABS(L4171-(K4171-IF(ISNUMBER(N4171),N4171,0)-IF(ISNUMBER(O4171),O4171,0)+IF(ISNUMBER(P4171),P4171,0)))&lt;=Summary!$B$2),"Passes using beginning_balance - PreV_ETB differs from beginning_balance",IF(AND(ISNUMBER(O4171),O4171&lt;0,ABS(L4171-(Q4171-IF(ISNUMBER(N4171),N4171,0)+IF(ISNUMBER(P4171),P4171,0)))&lt;=Summary!$B$2),"Negative realized loss not applied - check sign",IF(R4171&lt;0,"Principal paid exceeds prior balance",IF(AND(L4171&gt;Q4171,NOT(ISNUMBER(P4171))),"Balance increased but no Deferred_interest reported",IF(L4171&gt;R4171,"Reported balance higher than expected (missing increase/OC build)","Reported balance lower than expected (missing decrease)"))))),""))</f>
        <v/>
      </c>
    </row>
    <row r="4172" customFormat="false" ht="15" hidden="false" customHeight="false" outlineLevel="0" collapsed="false">
      <c r="A4172" s="8"/>
      <c r="B4172" s="8"/>
      <c r="C4172" s="8"/>
      <c r="D4172" s="8"/>
      <c r="E4172" s="8"/>
      <c r="F4172" s="8"/>
      <c r="G4172" s="8"/>
      <c r="H4172" s="8"/>
      <c r="I4172" s="8"/>
      <c r="J4172" s="8"/>
      <c r="K4172" s="9"/>
      <c r="L4172" s="9"/>
      <c r="M4172" s="9"/>
      <c r="N4172" s="9"/>
      <c r="O4172" s="9"/>
      <c r="P4172" s="9"/>
      <c r="Q4172" s="9"/>
      <c r="R4172" s="9" t="str">
        <f aca="false">IF(AND(A4172&lt;&gt;"",ISNUMBER(Q4172),ISNUMBER(L4172)),ROUND(Q4172-IF(ISNUMBER(N4172),N4172,0)-IF(ISNUMBER(O4172),O4172,0)+IF(ISNUMBER(P4172),P4172,0),2),"")</f>
        <v/>
      </c>
      <c r="S4172" s="9" t="str">
        <f aca="false">IF(R4172="","",ROUND(L4172-R4172,2))</f>
        <v/>
      </c>
      <c r="T4172" s="8" t="str">
        <f aca="false">IF(A4172="","",IF(S4172="","BYPASS",IF(ABS(S4172)&lt;=Summary!$B$2,"PASS","FAIL")))</f>
        <v/>
      </c>
      <c r="U4172" s="8" t="str">
        <f aca="false">IF(T4172="BYPASS",IF(NOT(ISNUMBER(Q4172)),"PreV_ETB missing","End_tr_balance missing"),IF(T4172="FAIL",IF(AND(ISNUMBER(K4172),ISNUMBER(L4172),ABS(L4172-(K4172-IF(ISNUMBER(N4172),N4172,0)-IF(ISNUMBER(O4172),O4172,0)+IF(ISNUMBER(P4172),P4172,0)))&lt;=Summary!$B$2),"Passes using beginning_balance - PreV_ETB differs from beginning_balance",IF(AND(ISNUMBER(O4172),O4172&lt;0,ABS(L4172-(Q4172-IF(ISNUMBER(N4172),N4172,0)+IF(ISNUMBER(P4172),P4172,0)))&lt;=Summary!$B$2),"Negative realized loss not applied - check sign",IF(R4172&lt;0,"Principal paid exceeds prior balance",IF(AND(L4172&gt;Q4172,NOT(ISNUMBER(P4172))),"Balance increased but no Deferred_interest reported",IF(L4172&gt;R4172,"Reported balance higher than expected (missing increase/OC build)","Reported balance lower than expected (missing decrease)"))))),""))</f>
        <v/>
      </c>
    </row>
    <row r="4173" customFormat="false" ht="15" hidden="false" customHeight="false" outlineLevel="0" collapsed="false">
      <c r="A4173" s="8"/>
      <c r="B4173" s="8"/>
      <c r="C4173" s="8"/>
      <c r="D4173" s="8"/>
      <c r="E4173" s="8"/>
      <c r="F4173" s="8"/>
      <c r="G4173" s="8"/>
      <c r="H4173" s="8"/>
      <c r="I4173" s="8"/>
      <c r="J4173" s="8"/>
      <c r="K4173" s="9"/>
      <c r="L4173" s="9"/>
      <c r="M4173" s="9"/>
      <c r="N4173" s="9"/>
      <c r="O4173" s="9"/>
      <c r="P4173" s="9"/>
      <c r="Q4173" s="9"/>
      <c r="R4173" s="9" t="str">
        <f aca="false">IF(AND(A4173&lt;&gt;"",ISNUMBER(Q4173),ISNUMBER(L4173)),ROUND(Q4173-IF(ISNUMBER(N4173),N4173,0)-IF(ISNUMBER(O4173),O4173,0)+IF(ISNUMBER(P4173),P4173,0),2),"")</f>
        <v/>
      </c>
      <c r="S4173" s="9" t="str">
        <f aca="false">IF(R4173="","",ROUND(L4173-R4173,2))</f>
        <v/>
      </c>
      <c r="T4173" s="8" t="str">
        <f aca="false">IF(A4173="","",IF(S4173="","BYPASS",IF(ABS(S4173)&lt;=Summary!$B$2,"PASS","FAIL")))</f>
        <v/>
      </c>
      <c r="U4173" s="8" t="str">
        <f aca="false">IF(T4173="BYPASS",IF(NOT(ISNUMBER(Q4173)),"PreV_ETB missing","End_tr_balance missing"),IF(T4173="FAIL",IF(AND(ISNUMBER(K4173),ISNUMBER(L4173),ABS(L4173-(K4173-IF(ISNUMBER(N4173),N4173,0)-IF(ISNUMBER(O4173),O4173,0)+IF(ISNUMBER(P4173),P4173,0)))&lt;=Summary!$B$2),"Passes using beginning_balance - PreV_ETB differs from beginning_balance",IF(AND(ISNUMBER(O4173),O4173&lt;0,ABS(L4173-(Q4173-IF(ISNUMBER(N4173),N4173,0)+IF(ISNUMBER(P4173),P4173,0)))&lt;=Summary!$B$2),"Negative realized loss not applied - check sign",IF(R4173&lt;0,"Principal paid exceeds prior balance",IF(AND(L4173&gt;Q4173,NOT(ISNUMBER(P4173))),"Balance increased but no Deferred_interest reported",IF(L4173&gt;R4173,"Reported balance higher than expected (missing increase/OC build)","Reported balance lower than expected (missing decrease)"))))),""))</f>
        <v/>
      </c>
    </row>
    <row r="4174" customFormat="false" ht="15" hidden="false" customHeight="false" outlineLevel="0" collapsed="false">
      <c r="A4174" s="8"/>
      <c r="B4174" s="8"/>
      <c r="C4174" s="8"/>
      <c r="D4174" s="8"/>
      <c r="E4174" s="8"/>
      <c r="F4174" s="8"/>
      <c r="G4174" s="8"/>
      <c r="H4174" s="8"/>
      <c r="I4174" s="8"/>
      <c r="J4174" s="8"/>
      <c r="K4174" s="9"/>
      <c r="L4174" s="9"/>
      <c r="M4174" s="9"/>
      <c r="N4174" s="9"/>
      <c r="O4174" s="9"/>
      <c r="P4174" s="9"/>
      <c r="Q4174" s="9"/>
      <c r="R4174" s="9" t="str">
        <f aca="false">IF(AND(A4174&lt;&gt;"",ISNUMBER(Q4174),ISNUMBER(L4174)),ROUND(Q4174-IF(ISNUMBER(N4174),N4174,0)-IF(ISNUMBER(O4174),O4174,0)+IF(ISNUMBER(P4174),P4174,0),2),"")</f>
        <v/>
      </c>
      <c r="S4174" s="9" t="str">
        <f aca="false">IF(R4174="","",ROUND(L4174-R4174,2))</f>
        <v/>
      </c>
      <c r="T4174" s="8" t="str">
        <f aca="false">IF(A4174="","",IF(S4174="","BYPASS",IF(ABS(S4174)&lt;=Summary!$B$2,"PASS","FAIL")))</f>
        <v/>
      </c>
      <c r="U4174" s="8" t="str">
        <f aca="false">IF(T4174="BYPASS",IF(NOT(ISNUMBER(Q4174)),"PreV_ETB missing","End_tr_balance missing"),IF(T4174="FAIL",IF(AND(ISNUMBER(K4174),ISNUMBER(L4174),ABS(L4174-(K4174-IF(ISNUMBER(N4174),N4174,0)-IF(ISNUMBER(O4174),O4174,0)+IF(ISNUMBER(P4174),P4174,0)))&lt;=Summary!$B$2),"Passes using beginning_balance - PreV_ETB differs from beginning_balance",IF(AND(ISNUMBER(O4174),O4174&lt;0,ABS(L4174-(Q4174-IF(ISNUMBER(N4174),N4174,0)+IF(ISNUMBER(P4174),P4174,0)))&lt;=Summary!$B$2),"Negative realized loss not applied - check sign",IF(R4174&lt;0,"Principal paid exceeds prior balance",IF(AND(L4174&gt;Q4174,NOT(ISNUMBER(P4174))),"Balance increased but no Deferred_interest reported",IF(L4174&gt;R4174,"Reported balance higher than expected (missing increase/OC build)","Reported balance lower than expected (missing decrease)"))))),""))</f>
        <v/>
      </c>
    </row>
    <row r="4175" customFormat="false" ht="15" hidden="false" customHeight="false" outlineLevel="0" collapsed="false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9"/>
      <c r="L4175" s="9"/>
      <c r="M4175" s="9"/>
      <c r="N4175" s="9"/>
      <c r="O4175" s="9"/>
      <c r="P4175" s="9"/>
      <c r="Q4175" s="9"/>
      <c r="R4175" s="9" t="str">
        <f aca="false">IF(AND(A4175&lt;&gt;"",ISNUMBER(Q4175),ISNUMBER(L4175)),ROUND(Q4175-IF(ISNUMBER(N4175),N4175,0)-IF(ISNUMBER(O4175),O4175,0)+IF(ISNUMBER(P4175),P4175,0),2),"")</f>
        <v/>
      </c>
      <c r="S4175" s="9" t="str">
        <f aca="false">IF(R4175="","",ROUND(L4175-R4175,2))</f>
        <v/>
      </c>
      <c r="T4175" s="8" t="str">
        <f aca="false">IF(A4175="","",IF(S4175="","BYPASS",IF(ABS(S4175)&lt;=Summary!$B$2,"PASS","FAIL")))</f>
        <v/>
      </c>
      <c r="U4175" s="8" t="str">
        <f aca="false">IF(T4175="BYPASS",IF(NOT(ISNUMBER(Q4175)),"PreV_ETB missing","End_tr_balance missing"),IF(T4175="FAIL",IF(AND(ISNUMBER(K4175),ISNUMBER(L4175),ABS(L4175-(K4175-IF(ISNUMBER(N4175),N4175,0)-IF(ISNUMBER(O4175),O4175,0)+IF(ISNUMBER(P4175),P4175,0)))&lt;=Summary!$B$2),"Passes using beginning_balance - PreV_ETB differs from beginning_balance",IF(AND(ISNUMBER(O4175),O4175&lt;0,ABS(L4175-(Q4175-IF(ISNUMBER(N4175),N4175,0)+IF(ISNUMBER(P4175),P4175,0)))&lt;=Summary!$B$2),"Negative realized loss not applied - check sign",IF(R4175&lt;0,"Principal paid exceeds prior balance",IF(AND(L4175&gt;Q4175,NOT(ISNUMBER(P4175))),"Balance increased but no Deferred_interest reported",IF(L4175&gt;R4175,"Reported balance higher than expected (missing increase/OC build)","Reported balance lower than expected (missing decrease)"))))),""))</f>
        <v/>
      </c>
    </row>
    <row r="4176" customFormat="false" ht="15" hidden="false" customHeight="false" outlineLevel="0" collapsed="false">
      <c r="A4176" s="8"/>
      <c r="B4176" s="8"/>
      <c r="C4176" s="8"/>
      <c r="D4176" s="8"/>
      <c r="E4176" s="8"/>
      <c r="F4176" s="8"/>
      <c r="G4176" s="8"/>
      <c r="H4176" s="8"/>
      <c r="I4176" s="8"/>
      <c r="J4176" s="8"/>
      <c r="K4176" s="9"/>
      <c r="L4176" s="9"/>
      <c r="M4176" s="9"/>
      <c r="N4176" s="9"/>
      <c r="O4176" s="9"/>
      <c r="P4176" s="9"/>
      <c r="Q4176" s="9"/>
      <c r="R4176" s="9" t="str">
        <f aca="false">IF(AND(A4176&lt;&gt;"",ISNUMBER(Q4176),ISNUMBER(L4176)),ROUND(Q4176-IF(ISNUMBER(N4176),N4176,0)-IF(ISNUMBER(O4176),O4176,0)+IF(ISNUMBER(P4176),P4176,0),2),"")</f>
        <v/>
      </c>
      <c r="S4176" s="9" t="str">
        <f aca="false">IF(R4176="","",ROUND(L4176-R4176,2))</f>
        <v/>
      </c>
      <c r="T4176" s="8" t="str">
        <f aca="false">IF(A4176="","",IF(S4176="","BYPASS",IF(ABS(S4176)&lt;=Summary!$B$2,"PASS","FAIL")))</f>
        <v/>
      </c>
      <c r="U4176" s="8" t="str">
        <f aca="false">IF(T4176="BYPASS",IF(NOT(ISNUMBER(Q4176)),"PreV_ETB missing","End_tr_balance missing"),IF(T4176="FAIL",IF(AND(ISNUMBER(K4176),ISNUMBER(L4176),ABS(L4176-(K4176-IF(ISNUMBER(N4176),N4176,0)-IF(ISNUMBER(O4176),O4176,0)+IF(ISNUMBER(P4176),P4176,0)))&lt;=Summary!$B$2),"Passes using beginning_balance - PreV_ETB differs from beginning_balance",IF(AND(ISNUMBER(O4176),O4176&lt;0,ABS(L4176-(Q4176-IF(ISNUMBER(N4176),N4176,0)+IF(ISNUMBER(P4176),P4176,0)))&lt;=Summary!$B$2),"Negative realized loss not applied - check sign",IF(R4176&lt;0,"Principal paid exceeds prior balance",IF(AND(L4176&gt;Q4176,NOT(ISNUMBER(P4176))),"Balance increased but no Deferred_interest reported",IF(L4176&gt;R4176,"Reported balance higher than expected (missing increase/OC build)","Reported balance lower than expected (missing decrease)"))))),""))</f>
        <v/>
      </c>
    </row>
    <row r="4177" customFormat="false" ht="15" hidden="false" customHeight="false" outlineLevel="0" collapsed="false">
      <c r="A4177" s="8"/>
      <c r="B4177" s="8"/>
      <c r="C4177" s="8"/>
      <c r="D4177" s="8"/>
      <c r="E4177" s="8"/>
      <c r="F4177" s="8"/>
      <c r="G4177" s="8"/>
      <c r="H4177" s="8"/>
      <c r="I4177" s="8"/>
      <c r="J4177" s="8"/>
      <c r="K4177" s="9"/>
      <c r="L4177" s="9"/>
      <c r="M4177" s="9"/>
      <c r="N4177" s="9"/>
      <c r="O4177" s="9"/>
      <c r="P4177" s="9"/>
      <c r="Q4177" s="9"/>
      <c r="R4177" s="9" t="str">
        <f aca="false">IF(AND(A4177&lt;&gt;"",ISNUMBER(Q4177),ISNUMBER(L4177)),ROUND(Q4177-IF(ISNUMBER(N4177),N4177,0)-IF(ISNUMBER(O4177),O4177,0)+IF(ISNUMBER(P4177),P4177,0),2),"")</f>
        <v/>
      </c>
      <c r="S4177" s="9" t="str">
        <f aca="false">IF(R4177="","",ROUND(L4177-R4177,2))</f>
        <v/>
      </c>
      <c r="T4177" s="8" t="str">
        <f aca="false">IF(A4177="","",IF(S4177="","BYPASS",IF(ABS(S4177)&lt;=Summary!$B$2,"PASS","FAIL")))</f>
        <v/>
      </c>
      <c r="U4177" s="8" t="str">
        <f aca="false">IF(T4177="BYPASS",IF(NOT(ISNUMBER(Q4177)),"PreV_ETB missing","End_tr_balance missing"),IF(T4177="FAIL",IF(AND(ISNUMBER(K4177),ISNUMBER(L4177),ABS(L4177-(K4177-IF(ISNUMBER(N4177),N4177,0)-IF(ISNUMBER(O4177),O4177,0)+IF(ISNUMBER(P4177),P4177,0)))&lt;=Summary!$B$2),"Passes using beginning_balance - PreV_ETB differs from beginning_balance",IF(AND(ISNUMBER(O4177),O4177&lt;0,ABS(L4177-(Q4177-IF(ISNUMBER(N4177),N4177,0)+IF(ISNUMBER(P4177),P4177,0)))&lt;=Summary!$B$2),"Negative realized loss not applied - check sign",IF(R4177&lt;0,"Principal paid exceeds prior balance",IF(AND(L4177&gt;Q4177,NOT(ISNUMBER(P4177))),"Balance increased but no Deferred_interest reported",IF(L4177&gt;R4177,"Reported balance higher than expected (missing increase/OC build)","Reported balance lower than expected (missing decrease)"))))),""))</f>
        <v/>
      </c>
    </row>
    <row r="4178" customFormat="false" ht="15" hidden="false" customHeight="false" outlineLevel="0" collapsed="false">
      <c r="A4178" s="8"/>
      <c r="B4178" s="8"/>
      <c r="C4178" s="8"/>
      <c r="D4178" s="8"/>
      <c r="E4178" s="8"/>
      <c r="F4178" s="8"/>
      <c r="G4178" s="8"/>
      <c r="H4178" s="8"/>
      <c r="I4178" s="8"/>
      <c r="J4178" s="8"/>
      <c r="K4178" s="9"/>
      <c r="L4178" s="9"/>
      <c r="M4178" s="9"/>
      <c r="N4178" s="9"/>
      <c r="O4178" s="9"/>
      <c r="P4178" s="9"/>
      <c r="Q4178" s="9"/>
      <c r="R4178" s="9" t="str">
        <f aca="false">IF(AND(A4178&lt;&gt;"",ISNUMBER(Q4178),ISNUMBER(L4178)),ROUND(Q4178-IF(ISNUMBER(N4178),N4178,0)-IF(ISNUMBER(O4178),O4178,0)+IF(ISNUMBER(P4178),P4178,0),2),"")</f>
        <v/>
      </c>
      <c r="S4178" s="9" t="str">
        <f aca="false">IF(R4178="","",ROUND(L4178-R4178,2))</f>
        <v/>
      </c>
      <c r="T4178" s="8" t="str">
        <f aca="false">IF(A4178="","",IF(S4178="","BYPASS",IF(ABS(S4178)&lt;=Summary!$B$2,"PASS","FAIL")))</f>
        <v/>
      </c>
      <c r="U4178" s="8" t="str">
        <f aca="false">IF(T4178="BYPASS",IF(NOT(ISNUMBER(Q4178)),"PreV_ETB missing","End_tr_balance missing"),IF(T4178="FAIL",IF(AND(ISNUMBER(K4178),ISNUMBER(L4178),ABS(L4178-(K4178-IF(ISNUMBER(N4178),N4178,0)-IF(ISNUMBER(O4178),O4178,0)+IF(ISNUMBER(P4178),P4178,0)))&lt;=Summary!$B$2),"Passes using beginning_balance - PreV_ETB differs from beginning_balance",IF(AND(ISNUMBER(O4178),O4178&lt;0,ABS(L4178-(Q4178-IF(ISNUMBER(N4178),N4178,0)+IF(ISNUMBER(P4178),P4178,0)))&lt;=Summary!$B$2),"Negative realized loss not applied - check sign",IF(R4178&lt;0,"Principal paid exceeds prior balance",IF(AND(L4178&gt;Q4178,NOT(ISNUMBER(P4178))),"Balance increased but no Deferred_interest reported",IF(L4178&gt;R4178,"Reported balance higher than expected (missing increase/OC build)","Reported balance lower than expected (missing decrease)"))))),""))</f>
        <v/>
      </c>
    </row>
    <row r="4179" customFormat="false" ht="15" hidden="false" customHeight="false" outlineLevel="0" collapsed="false">
      <c r="A4179" s="8"/>
      <c r="B4179" s="8"/>
      <c r="C4179" s="8"/>
      <c r="D4179" s="8"/>
      <c r="E4179" s="8"/>
      <c r="F4179" s="8"/>
      <c r="G4179" s="8"/>
      <c r="H4179" s="8"/>
      <c r="I4179" s="8"/>
      <c r="J4179" s="8"/>
      <c r="K4179" s="9"/>
      <c r="L4179" s="9"/>
      <c r="M4179" s="9"/>
      <c r="N4179" s="9"/>
      <c r="O4179" s="9"/>
      <c r="P4179" s="9"/>
      <c r="Q4179" s="9"/>
      <c r="R4179" s="9" t="str">
        <f aca="false">IF(AND(A4179&lt;&gt;"",ISNUMBER(Q4179),ISNUMBER(L4179)),ROUND(Q4179-IF(ISNUMBER(N4179),N4179,0)-IF(ISNUMBER(O4179),O4179,0)+IF(ISNUMBER(P4179),P4179,0),2),"")</f>
        <v/>
      </c>
      <c r="S4179" s="9" t="str">
        <f aca="false">IF(R4179="","",ROUND(L4179-R4179,2))</f>
        <v/>
      </c>
      <c r="T4179" s="8" t="str">
        <f aca="false">IF(A4179="","",IF(S4179="","BYPASS",IF(ABS(S4179)&lt;=Summary!$B$2,"PASS","FAIL")))</f>
        <v/>
      </c>
      <c r="U4179" s="8" t="str">
        <f aca="false">IF(T4179="BYPASS",IF(NOT(ISNUMBER(Q4179)),"PreV_ETB missing","End_tr_balance missing"),IF(T4179="FAIL",IF(AND(ISNUMBER(K4179),ISNUMBER(L4179),ABS(L4179-(K4179-IF(ISNUMBER(N4179),N4179,0)-IF(ISNUMBER(O4179),O4179,0)+IF(ISNUMBER(P4179),P4179,0)))&lt;=Summary!$B$2),"Passes using beginning_balance - PreV_ETB differs from beginning_balance",IF(AND(ISNUMBER(O4179),O4179&lt;0,ABS(L4179-(Q4179-IF(ISNUMBER(N4179),N4179,0)+IF(ISNUMBER(P4179),P4179,0)))&lt;=Summary!$B$2),"Negative realized loss not applied - check sign",IF(R4179&lt;0,"Principal paid exceeds prior balance",IF(AND(L4179&gt;Q4179,NOT(ISNUMBER(P4179))),"Balance increased but no Deferred_interest reported",IF(L4179&gt;R4179,"Reported balance higher than expected (missing increase/OC build)","Reported balance lower than expected (missing decrease)"))))),""))</f>
        <v/>
      </c>
    </row>
    <row r="4180" customFormat="false" ht="15" hidden="false" customHeight="false" outlineLevel="0" collapsed="false">
      <c r="A4180" s="8"/>
      <c r="B4180" s="8"/>
      <c r="C4180" s="8"/>
      <c r="D4180" s="8"/>
      <c r="E4180" s="8"/>
      <c r="F4180" s="8"/>
      <c r="G4180" s="8"/>
      <c r="H4180" s="8"/>
      <c r="I4180" s="8"/>
      <c r="J4180" s="8"/>
      <c r="K4180" s="9"/>
      <c r="L4180" s="9"/>
      <c r="M4180" s="9"/>
      <c r="N4180" s="9"/>
      <c r="O4180" s="9"/>
      <c r="P4180" s="9"/>
      <c r="Q4180" s="9"/>
      <c r="R4180" s="9" t="str">
        <f aca="false">IF(AND(A4180&lt;&gt;"",ISNUMBER(Q4180),ISNUMBER(L4180)),ROUND(Q4180-IF(ISNUMBER(N4180),N4180,0)-IF(ISNUMBER(O4180),O4180,0)+IF(ISNUMBER(P4180),P4180,0),2),"")</f>
        <v/>
      </c>
      <c r="S4180" s="9" t="str">
        <f aca="false">IF(R4180="","",ROUND(L4180-R4180,2))</f>
        <v/>
      </c>
      <c r="T4180" s="8" t="str">
        <f aca="false">IF(A4180="","",IF(S4180="","BYPASS",IF(ABS(S4180)&lt;=Summary!$B$2,"PASS","FAIL")))</f>
        <v/>
      </c>
      <c r="U4180" s="8" t="str">
        <f aca="false">IF(T4180="BYPASS",IF(NOT(ISNUMBER(Q4180)),"PreV_ETB missing","End_tr_balance missing"),IF(T4180="FAIL",IF(AND(ISNUMBER(K4180),ISNUMBER(L4180),ABS(L4180-(K4180-IF(ISNUMBER(N4180),N4180,0)-IF(ISNUMBER(O4180),O4180,0)+IF(ISNUMBER(P4180),P4180,0)))&lt;=Summary!$B$2),"Passes using beginning_balance - PreV_ETB differs from beginning_balance",IF(AND(ISNUMBER(O4180),O4180&lt;0,ABS(L4180-(Q4180-IF(ISNUMBER(N4180),N4180,0)+IF(ISNUMBER(P4180),P4180,0)))&lt;=Summary!$B$2),"Negative realized loss not applied - check sign",IF(R4180&lt;0,"Principal paid exceeds prior balance",IF(AND(L4180&gt;Q4180,NOT(ISNUMBER(P4180))),"Balance increased but no Deferred_interest reported",IF(L4180&gt;R4180,"Reported balance higher than expected (missing increase/OC build)","Reported balance lower than expected (missing decrease)"))))),""))</f>
        <v/>
      </c>
    </row>
    <row r="4181" customFormat="false" ht="15" hidden="false" customHeight="false" outlineLevel="0" collapsed="false">
      <c r="A4181" s="8"/>
      <c r="B4181" s="8"/>
      <c r="C4181" s="8"/>
      <c r="D4181" s="8"/>
      <c r="E4181" s="8"/>
      <c r="F4181" s="8"/>
      <c r="G4181" s="8"/>
      <c r="H4181" s="8"/>
      <c r="I4181" s="8"/>
      <c r="J4181" s="8"/>
      <c r="K4181" s="9"/>
      <c r="L4181" s="9"/>
      <c r="M4181" s="9"/>
      <c r="N4181" s="9"/>
      <c r="O4181" s="9"/>
      <c r="P4181" s="9"/>
      <c r="Q4181" s="9"/>
      <c r="R4181" s="9" t="str">
        <f aca="false">IF(AND(A4181&lt;&gt;"",ISNUMBER(Q4181),ISNUMBER(L4181)),ROUND(Q4181-IF(ISNUMBER(N4181),N4181,0)-IF(ISNUMBER(O4181),O4181,0)+IF(ISNUMBER(P4181),P4181,0),2),"")</f>
        <v/>
      </c>
      <c r="S4181" s="9" t="str">
        <f aca="false">IF(R4181="","",ROUND(L4181-R4181,2))</f>
        <v/>
      </c>
      <c r="T4181" s="8" t="str">
        <f aca="false">IF(A4181="","",IF(S4181="","BYPASS",IF(ABS(S4181)&lt;=Summary!$B$2,"PASS","FAIL")))</f>
        <v/>
      </c>
      <c r="U4181" s="8" t="str">
        <f aca="false">IF(T4181="BYPASS",IF(NOT(ISNUMBER(Q4181)),"PreV_ETB missing","End_tr_balance missing"),IF(T4181="FAIL",IF(AND(ISNUMBER(K4181),ISNUMBER(L4181),ABS(L4181-(K4181-IF(ISNUMBER(N4181),N4181,0)-IF(ISNUMBER(O4181),O4181,0)+IF(ISNUMBER(P4181),P4181,0)))&lt;=Summary!$B$2),"Passes using beginning_balance - PreV_ETB differs from beginning_balance",IF(AND(ISNUMBER(O4181),O4181&lt;0,ABS(L4181-(Q4181-IF(ISNUMBER(N4181),N4181,0)+IF(ISNUMBER(P4181),P4181,0)))&lt;=Summary!$B$2),"Negative realized loss not applied - check sign",IF(R4181&lt;0,"Principal paid exceeds prior balance",IF(AND(L4181&gt;Q4181,NOT(ISNUMBER(P4181))),"Balance increased but no Deferred_interest reported",IF(L4181&gt;R4181,"Reported balance higher than expected (missing increase/OC build)","Reported balance lower than expected (missing decrease)"))))),""))</f>
        <v/>
      </c>
    </row>
    <row r="4182" customFormat="false" ht="15" hidden="false" customHeight="false" outlineLevel="0" collapsed="false">
      <c r="A4182" s="8"/>
      <c r="B4182" s="8"/>
      <c r="C4182" s="8"/>
      <c r="D4182" s="8"/>
      <c r="E4182" s="8"/>
      <c r="F4182" s="8"/>
      <c r="G4182" s="8"/>
      <c r="H4182" s="8"/>
      <c r="I4182" s="8"/>
      <c r="J4182" s="8"/>
      <c r="K4182" s="9"/>
      <c r="L4182" s="9"/>
      <c r="M4182" s="9"/>
      <c r="N4182" s="9"/>
      <c r="O4182" s="9"/>
      <c r="P4182" s="9"/>
      <c r="Q4182" s="9"/>
      <c r="R4182" s="9" t="str">
        <f aca="false">IF(AND(A4182&lt;&gt;"",ISNUMBER(Q4182),ISNUMBER(L4182)),ROUND(Q4182-IF(ISNUMBER(N4182),N4182,0)-IF(ISNUMBER(O4182),O4182,0)+IF(ISNUMBER(P4182),P4182,0),2),"")</f>
        <v/>
      </c>
      <c r="S4182" s="9" t="str">
        <f aca="false">IF(R4182="","",ROUND(L4182-R4182,2))</f>
        <v/>
      </c>
      <c r="T4182" s="8" t="str">
        <f aca="false">IF(A4182="","",IF(S4182="","BYPASS",IF(ABS(S4182)&lt;=Summary!$B$2,"PASS","FAIL")))</f>
        <v/>
      </c>
      <c r="U4182" s="8" t="str">
        <f aca="false">IF(T4182="BYPASS",IF(NOT(ISNUMBER(Q4182)),"PreV_ETB missing","End_tr_balance missing"),IF(T4182="FAIL",IF(AND(ISNUMBER(K4182),ISNUMBER(L4182),ABS(L4182-(K4182-IF(ISNUMBER(N4182),N4182,0)-IF(ISNUMBER(O4182),O4182,0)+IF(ISNUMBER(P4182),P4182,0)))&lt;=Summary!$B$2),"Passes using beginning_balance - PreV_ETB differs from beginning_balance",IF(AND(ISNUMBER(O4182),O4182&lt;0,ABS(L4182-(Q4182-IF(ISNUMBER(N4182),N4182,0)+IF(ISNUMBER(P4182),P4182,0)))&lt;=Summary!$B$2),"Negative realized loss not applied - check sign",IF(R4182&lt;0,"Principal paid exceeds prior balance",IF(AND(L4182&gt;Q4182,NOT(ISNUMBER(P4182))),"Balance increased but no Deferred_interest reported",IF(L4182&gt;R4182,"Reported balance higher than expected (missing increase/OC build)","Reported balance lower than expected (missing decrease)"))))),""))</f>
        <v/>
      </c>
    </row>
    <row r="4183" customFormat="false" ht="15" hidden="false" customHeight="false" outlineLevel="0" collapsed="false">
      <c r="A4183" s="8"/>
      <c r="B4183" s="8"/>
      <c r="C4183" s="8"/>
      <c r="D4183" s="8"/>
      <c r="E4183" s="8"/>
      <c r="F4183" s="8"/>
      <c r="G4183" s="8"/>
      <c r="H4183" s="8"/>
      <c r="I4183" s="8"/>
      <c r="J4183" s="8"/>
      <c r="K4183" s="9"/>
      <c r="L4183" s="9"/>
      <c r="M4183" s="9"/>
      <c r="N4183" s="9"/>
      <c r="O4183" s="9"/>
      <c r="P4183" s="9"/>
      <c r="Q4183" s="9"/>
      <c r="R4183" s="9" t="str">
        <f aca="false">IF(AND(A4183&lt;&gt;"",ISNUMBER(Q4183),ISNUMBER(L4183)),ROUND(Q4183-IF(ISNUMBER(N4183),N4183,0)-IF(ISNUMBER(O4183),O4183,0)+IF(ISNUMBER(P4183),P4183,0),2),"")</f>
        <v/>
      </c>
      <c r="S4183" s="9" t="str">
        <f aca="false">IF(R4183="","",ROUND(L4183-R4183,2))</f>
        <v/>
      </c>
      <c r="T4183" s="8" t="str">
        <f aca="false">IF(A4183="","",IF(S4183="","BYPASS",IF(ABS(S4183)&lt;=Summary!$B$2,"PASS","FAIL")))</f>
        <v/>
      </c>
      <c r="U4183" s="8" t="str">
        <f aca="false">IF(T4183="BYPASS",IF(NOT(ISNUMBER(Q4183)),"PreV_ETB missing","End_tr_balance missing"),IF(T4183="FAIL",IF(AND(ISNUMBER(K4183),ISNUMBER(L4183),ABS(L4183-(K4183-IF(ISNUMBER(N4183),N4183,0)-IF(ISNUMBER(O4183),O4183,0)+IF(ISNUMBER(P4183),P4183,0)))&lt;=Summary!$B$2),"Passes using beginning_balance - PreV_ETB differs from beginning_balance",IF(AND(ISNUMBER(O4183),O4183&lt;0,ABS(L4183-(Q4183-IF(ISNUMBER(N4183),N4183,0)+IF(ISNUMBER(P4183),P4183,0)))&lt;=Summary!$B$2),"Negative realized loss not applied - check sign",IF(R4183&lt;0,"Principal paid exceeds prior balance",IF(AND(L4183&gt;Q4183,NOT(ISNUMBER(P4183))),"Balance increased but no Deferred_interest reported",IF(L4183&gt;R4183,"Reported balance higher than expected (missing increase/OC build)","Reported balance lower than expected (missing decrease)"))))),""))</f>
        <v/>
      </c>
    </row>
    <row r="4184" customFormat="false" ht="15" hidden="false" customHeight="false" outlineLevel="0" collapsed="false">
      <c r="A4184" s="8"/>
      <c r="B4184" s="8"/>
      <c r="C4184" s="8"/>
      <c r="D4184" s="8"/>
      <c r="E4184" s="8"/>
      <c r="F4184" s="8"/>
      <c r="G4184" s="8"/>
      <c r="H4184" s="8"/>
      <c r="I4184" s="8"/>
      <c r="J4184" s="8"/>
      <c r="K4184" s="9"/>
      <c r="L4184" s="9"/>
      <c r="M4184" s="9"/>
      <c r="N4184" s="9"/>
      <c r="O4184" s="9"/>
      <c r="P4184" s="9"/>
      <c r="Q4184" s="9"/>
      <c r="R4184" s="9" t="str">
        <f aca="false">IF(AND(A4184&lt;&gt;"",ISNUMBER(Q4184),ISNUMBER(L4184)),ROUND(Q4184-IF(ISNUMBER(N4184),N4184,0)-IF(ISNUMBER(O4184),O4184,0)+IF(ISNUMBER(P4184),P4184,0),2),"")</f>
        <v/>
      </c>
      <c r="S4184" s="9" t="str">
        <f aca="false">IF(R4184="","",ROUND(L4184-R4184,2))</f>
        <v/>
      </c>
      <c r="T4184" s="8" t="str">
        <f aca="false">IF(A4184="","",IF(S4184="","BYPASS",IF(ABS(S4184)&lt;=Summary!$B$2,"PASS","FAIL")))</f>
        <v/>
      </c>
      <c r="U4184" s="8" t="str">
        <f aca="false">IF(T4184="BYPASS",IF(NOT(ISNUMBER(Q4184)),"PreV_ETB missing","End_tr_balance missing"),IF(T4184="FAIL",IF(AND(ISNUMBER(K4184),ISNUMBER(L4184),ABS(L4184-(K4184-IF(ISNUMBER(N4184),N4184,0)-IF(ISNUMBER(O4184),O4184,0)+IF(ISNUMBER(P4184),P4184,0)))&lt;=Summary!$B$2),"Passes using beginning_balance - PreV_ETB differs from beginning_balance",IF(AND(ISNUMBER(O4184),O4184&lt;0,ABS(L4184-(Q4184-IF(ISNUMBER(N4184),N4184,0)+IF(ISNUMBER(P4184),P4184,0)))&lt;=Summary!$B$2),"Negative realized loss not applied - check sign",IF(R4184&lt;0,"Principal paid exceeds prior balance",IF(AND(L4184&gt;Q4184,NOT(ISNUMBER(P4184))),"Balance increased but no Deferred_interest reported",IF(L4184&gt;R4184,"Reported balance higher than expected (missing increase/OC build)","Reported balance lower than expected (missing decrease)"))))),""))</f>
        <v/>
      </c>
    </row>
    <row r="4185" customFormat="false" ht="15" hidden="false" customHeight="false" outlineLevel="0" collapsed="false">
      <c r="A4185" s="8"/>
      <c r="B4185" s="8"/>
      <c r="C4185" s="8"/>
      <c r="D4185" s="8"/>
      <c r="E4185" s="8"/>
      <c r="F4185" s="8"/>
      <c r="G4185" s="8"/>
      <c r="H4185" s="8"/>
      <c r="I4185" s="8"/>
      <c r="J4185" s="8"/>
      <c r="K4185" s="9"/>
      <c r="L4185" s="9"/>
      <c r="M4185" s="9"/>
      <c r="N4185" s="9"/>
      <c r="O4185" s="9"/>
      <c r="P4185" s="9"/>
      <c r="Q4185" s="9"/>
      <c r="R4185" s="9" t="str">
        <f aca="false">IF(AND(A4185&lt;&gt;"",ISNUMBER(Q4185),ISNUMBER(L4185)),ROUND(Q4185-IF(ISNUMBER(N4185),N4185,0)-IF(ISNUMBER(O4185),O4185,0)+IF(ISNUMBER(P4185),P4185,0),2),"")</f>
        <v/>
      </c>
      <c r="S4185" s="9" t="str">
        <f aca="false">IF(R4185="","",ROUND(L4185-R4185,2))</f>
        <v/>
      </c>
      <c r="T4185" s="8" t="str">
        <f aca="false">IF(A4185="","",IF(S4185="","BYPASS",IF(ABS(S4185)&lt;=Summary!$B$2,"PASS","FAIL")))</f>
        <v/>
      </c>
      <c r="U4185" s="8" t="str">
        <f aca="false">IF(T4185="BYPASS",IF(NOT(ISNUMBER(Q4185)),"PreV_ETB missing","End_tr_balance missing"),IF(T4185="FAIL",IF(AND(ISNUMBER(K4185),ISNUMBER(L4185),ABS(L4185-(K4185-IF(ISNUMBER(N4185),N4185,0)-IF(ISNUMBER(O4185),O4185,0)+IF(ISNUMBER(P4185),P4185,0)))&lt;=Summary!$B$2),"Passes using beginning_balance - PreV_ETB differs from beginning_balance",IF(AND(ISNUMBER(O4185),O4185&lt;0,ABS(L4185-(Q4185-IF(ISNUMBER(N4185),N4185,0)+IF(ISNUMBER(P4185),P4185,0)))&lt;=Summary!$B$2),"Negative realized loss not applied - check sign",IF(R4185&lt;0,"Principal paid exceeds prior balance",IF(AND(L4185&gt;Q4185,NOT(ISNUMBER(P4185))),"Balance increased but no Deferred_interest reported",IF(L4185&gt;R4185,"Reported balance higher than expected (missing increase/OC build)","Reported balance lower than expected (missing decrease)"))))),""))</f>
        <v/>
      </c>
    </row>
    <row r="4186" customFormat="false" ht="15" hidden="false" customHeight="false" outlineLevel="0" collapsed="false">
      <c r="A4186" s="8"/>
      <c r="B4186" s="8"/>
      <c r="C4186" s="8"/>
      <c r="D4186" s="8"/>
      <c r="E4186" s="8"/>
      <c r="F4186" s="8"/>
      <c r="G4186" s="8"/>
      <c r="H4186" s="8"/>
      <c r="I4186" s="8"/>
      <c r="J4186" s="8"/>
      <c r="K4186" s="9"/>
      <c r="L4186" s="9"/>
      <c r="M4186" s="9"/>
      <c r="N4186" s="9"/>
      <c r="O4186" s="9"/>
      <c r="P4186" s="9"/>
      <c r="Q4186" s="9"/>
      <c r="R4186" s="9" t="str">
        <f aca="false">IF(AND(A4186&lt;&gt;"",ISNUMBER(Q4186),ISNUMBER(L4186)),ROUND(Q4186-IF(ISNUMBER(N4186),N4186,0)-IF(ISNUMBER(O4186),O4186,0)+IF(ISNUMBER(P4186),P4186,0),2),"")</f>
        <v/>
      </c>
      <c r="S4186" s="9" t="str">
        <f aca="false">IF(R4186="","",ROUND(L4186-R4186,2))</f>
        <v/>
      </c>
      <c r="T4186" s="8" t="str">
        <f aca="false">IF(A4186="","",IF(S4186="","BYPASS",IF(ABS(S4186)&lt;=Summary!$B$2,"PASS","FAIL")))</f>
        <v/>
      </c>
      <c r="U4186" s="8" t="str">
        <f aca="false">IF(T4186="BYPASS",IF(NOT(ISNUMBER(Q4186)),"PreV_ETB missing","End_tr_balance missing"),IF(T4186="FAIL",IF(AND(ISNUMBER(K4186),ISNUMBER(L4186),ABS(L4186-(K4186-IF(ISNUMBER(N4186),N4186,0)-IF(ISNUMBER(O4186),O4186,0)+IF(ISNUMBER(P4186),P4186,0)))&lt;=Summary!$B$2),"Passes using beginning_balance - PreV_ETB differs from beginning_balance",IF(AND(ISNUMBER(O4186),O4186&lt;0,ABS(L4186-(Q4186-IF(ISNUMBER(N4186),N4186,0)+IF(ISNUMBER(P4186),P4186,0)))&lt;=Summary!$B$2),"Negative realized loss not applied - check sign",IF(R4186&lt;0,"Principal paid exceeds prior balance",IF(AND(L4186&gt;Q4186,NOT(ISNUMBER(P4186))),"Balance increased but no Deferred_interest reported",IF(L4186&gt;R4186,"Reported balance higher than expected (missing increase/OC build)","Reported balance lower than expected (missing decrease)"))))),""))</f>
        <v/>
      </c>
    </row>
    <row r="4187" customFormat="false" ht="15" hidden="false" customHeight="false" outlineLevel="0" collapsed="false">
      <c r="A4187" s="8"/>
      <c r="B4187" s="8"/>
      <c r="C4187" s="8"/>
      <c r="D4187" s="8"/>
      <c r="E4187" s="8"/>
      <c r="F4187" s="8"/>
      <c r="G4187" s="8"/>
      <c r="H4187" s="8"/>
      <c r="I4187" s="8"/>
      <c r="J4187" s="8"/>
      <c r="K4187" s="9"/>
      <c r="L4187" s="9"/>
      <c r="M4187" s="9"/>
      <c r="N4187" s="9"/>
      <c r="O4187" s="9"/>
      <c r="P4187" s="9"/>
      <c r="Q4187" s="9"/>
      <c r="R4187" s="9" t="str">
        <f aca="false">IF(AND(A4187&lt;&gt;"",ISNUMBER(Q4187),ISNUMBER(L4187)),ROUND(Q4187-IF(ISNUMBER(N4187),N4187,0)-IF(ISNUMBER(O4187),O4187,0)+IF(ISNUMBER(P4187),P4187,0),2),"")</f>
        <v/>
      </c>
      <c r="S4187" s="9" t="str">
        <f aca="false">IF(R4187="","",ROUND(L4187-R4187,2))</f>
        <v/>
      </c>
      <c r="T4187" s="8" t="str">
        <f aca="false">IF(A4187="","",IF(S4187="","BYPASS",IF(ABS(S4187)&lt;=Summary!$B$2,"PASS","FAIL")))</f>
        <v/>
      </c>
      <c r="U4187" s="8" t="str">
        <f aca="false">IF(T4187="BYPASS",IF(NOT(ISNUMBER(Q4187)),"PreV_ETB missing","End_tr_balance missing"),IF(T4187="FAIL",IF(AND(ISNUMBER(K4187),ISNUMBER(L4187),ABS(L4187-(K4187-IF(ISNUMBER(N4187),N4187,0)-IF(ISNUMBER(O4187),O4187,0)+IF(ISNUMBER(P4187),P4187,0)))&lt;=Summary!$B$2),"Passes using beginning_balance - PreV_ETB differs from beginning_balance",IF(AND(ISNUMBER(O4187),O4187&lt;0,ABS(L4187-(Q4187-IF(ISNUMBER(N4187),N4187,0)+IF(ISNUMBER(P4187),P4187,0)))&lt;=Summary!$B$2),"Negative realized loss not applied - check sign",IF(R4187&lt;0,"Principal paid exceeds prior balance",IF(AND(L4187&gt;Q4187,NOT(ISNUMBER(P4187))),"Balance increased but no Deferred_interest reported",IF(L4187&gt;R4187,"Reported balance higher than expected (missing increase/OC build)","Reported balance lower than expected (missing decrease)"))))),""))</f>
        <v/>
      </c>
    </row>
    <row r="4188" customFormat="false" ht="15" hidden="false" customHeight="false" outlineLevel="0" collapsed="false">
      <c r="A4188" s="8"/>
      <c r="B4188" s="8"/>
      <c r="C4188" s="8"/>
      <c r="D4188" s="8"/>
      <c r="E4188" s="8"/>
      <c r="F4188" s="8"/>
      <c r="G4188" s="8"/>
      <c r="H4188" s="8"/>
      <c r="I4188" s="8"/>
      <c r="J4188" s="8"/>
      <c r="K4188" s="9"/>
      <c r="L4188" s="9"/>
      <c r="M4188" s="9"/>
      <c r="N4188" s="9"/>
      <c r="O4188" s="9"/>
      <c r="P4188" s="9"/>
      <c r="Q4188" s="9"/>
      <c r="R4188" s="9" t="str">
        <f aca="false">IF(AND(A4188&lt;&gt;"",ISNUMBER(Q4188),ISNUMBER(L4188)),ROUND(Q4188-IF(ISNUMBER(N4188),N4188,0)-IF(ISNUMBER(O4188),O4188,0)+IF(ISNUMBER(P4188),P4188,0),2),"")</f>
        <v/>
      </c>
      <c r="S4188" s="9" t="str">
        <f aca="false">IF(R4188="","",ROUND(L4188-R4188,2))</f>
        <v/>
      </c>
      <c r="T4188" s="8" t="str">
        <f aca="false">IF(A4188="","",IF(S4188="","BYPASS",IF(ABS(S4188)&lt;=Summary!$B$2,"PASS","FAIL")))</f>
        <v/>
      </c>
      <c r="U4188" s="8" t="str">
        <f aca="false">IF(T4188="BYPASS",IF(NOT(ISNUMBER(Q4188)),"PreV_ETB missing","End_tr_balance missing"),IF(T4188="FAIL",IF(AND(ISNUMBER(K4188),ISNUMBER(L4188),ABS(L4188-(K4188-IF(ISNUMBER(N4188),N4188,0)-IF(ISNUMBER(O4188),O4188,0)+IF(ISNUMBER(P4188),P4188,0)))&lt;=Summary!$B$2),"Passes using beginning_balance - PreV_ETB differs from beginning_balance",IF(AND(ISNUMBER(O4188),O4188&lt;0,ABS(L4188-(Q4188-IF(ISNUMBER(N4188),N4188,0)+IF(ISNUMBER(P4188),P4188,0)))&lt;=Summary!$B$2),"Negative realized loss not applied - check sign",IF(R4188&lt;0,"Principal paid exceeds prior balance",IF(AND(L4188&gt;Q4188,NOT(ISNUMBER(P4188))),"Balance increased but no Deferred_interest reported",IF(L4188&gt;R4188,"Reported balance higher than expected (missing increase/OC build)","Reported balance lower than expected (missing decrease)"))))),""))</f>
        <v/>
      </c>
    </row>
    <row r="4189" customFormat="false" ht="15" hidden="false" customHeight="false" outlineLevel="0" collapsed="false">
      <c r="A4189" s="8"/>
      <c r="B4189" s="8"/>
      <c r="C4189" s="8"/>
      <c r="D4189" s="8"/>
      <c r="E4189" s="8"/>
      <c r="F4189" s="8"/>
      <c r="G4189" s="8"/>
      <c r="H4189" s="8"/>
      <c r="I4189" s="8"/>
      <c r="J4189" s="8"/>
      <c r="K4189" s="9"/>
      <c r="L4189" s="9"/>
      <c r="M4189" s="9"/>
      <c r="N4189" s="9"/>
      <c r="O4189" s="9"/>
      <c r="P4189" s="9"/>
      <c r="Q4189" s="9"/>
      <c r="R4189" s="9" t="str">
        <f aca="false">IF(AND(A4189&lt;&gt;"",ISNUMBER(Q4189),ISNUMBER(L4189)),ROUND(Q4189-IF(ISNUMBER(N4189),N4189,0)-IF(ISNUMBER(O4189),O4189,0)+IF(ISNUMBER(P4189),P4189,0),2),"")</f>
        <v/>
      </c>
      <c r="S4189" s="9" t="str">
        <f aca="false">IF(R4189="","",ROUND(L4189-R4189,2))</f>
        <v/>
      </c>
      <c r="T4189" s="8" t="str">
        <f aca="false">IF(A4189="","",IF(S4189="","BYPASS",IF(ABS(S4189)&lt;=Summary!$B$2,"PASS","FAIL")))</f>
        <v/>
      </c>
      <c r="U4189" s="8" t="str">
        <f aca="false">IF(T4189="BYPASS",IF(NOT(ISNUMBER(Q4189)),"PreV_ETB missing","End_tr_balance missing"),IF(T4189="FAIL",IF(AND(ISNUMBER(K4189),ISNUMBER(L4189),ABS(L4189-(K4189-IF(ISNUMBER(N4189),N4189,0)-IF(ISNUMBER(O4189),O4189,0)+IF(ISNUMBER(P4189),P4189,0)))&lt;=Summary!$B$2),"Passes using beginning_balance - PreV_ETB differs from beginning_balance",IF(AND(ISNUMBER(O4189),O4189&lt;0,ABS(L4189-(Q4189-IF(ISNUMBER(N4189),N4189,0)+IF(ISNUMBER(P4189),P4189,0)))&lt;=Summary!$B$2),"Negative realized loss not applied - check sign",IF(R4189&lt;0,"Principal paid exceeds prior balance",IF(AND(L4189&gt;Q4189,NOT(ISNUMBER(P4189))),"Balance increased but no Deferred_interest reported",IF(L4189&gt;R4189,"Reported balance higher than expected (missing increase/OC build)","Reported balance lower than expected (missing decrease)"))))),""))</f>
        <v/>
      </c>
    </row>
    <row r="4190" customFormat="false" ht="15" hidden="false" customHeight="false" outlineLevel="0" collapsed="false">
      <c r="A4190" s="8"/>
      <c r="B4190" s="8"/>
      <c r="C4190" s="8"/>
      <c r="D4190" s="8"/>
      <c r="E4190" s="8"/>
      <c r="F4190" s="8"/>
      <c r="G4190" s="8"/>
      <c r="H4190" s="8"/>
      <c r="I4190" s="8"/>
      <c r="J4190" s="8"/>
      <c r="K4190" s="9"/>
      <c r="L4190" s="9"/>
      <c r="M4190" s="9"/>
      <c r="N4190" s="9"/>
      <c r="O4190" s="9"/>
      <c r="P4190" s="9"/>
      <c r="Q4190" s="9"/>
      <c r="R4190" s="9" t="str">
        <f aca="false">IF(AND(A4190&lt;&gt;"",ISNUMBER(Q4190),ISNUMBER(L4190)),ROUND(Q4190-IF(ISNUMBER(N4190),N4190,0)-IF(ISNUMBER(O4190),O4190,0)+IF(ISNUMBER(P4190),P4190,0),2),"")</f>
        <v/>
      </c>
      <c r="S4190" s="9" t="str">
        <f aca="false">IF(R4190="","",ROUND(L4190-R4190,2))</f>
        <v/>
      </c>
      <c r="T4190" s="8" t="str">
        <f aca="false">IF(A4190="","",IF(S4190="","BYPASS",IF(ABS(S4190)&lt;=Summary!$B$2,"PASS","FAIL")))</f>
        <v/>
      </c>
      <c r="U4190" s="8" t="str">
        <f aca="false">IF(T4190="BYPASS",IF(NOT(ISNUMBER(Q4190)),"PreV_ETB missing","End_tr_balance missing"),IF(T4190="FAIL",IF(AND(ISNUMBER(K4190),ISNUMBER(L4190),ABS(L4190-(K4190-IF(ISNUMBER(N4190),N4190,0)-IF(ISNUMBER(O4190),O4190,0)+IF(ISNUMBER(P4190),P4190,0)))&lt;=Summary!$B$2),"Passes using beginning_balance - PreV_ETB differs from beginning_balance",IF(AND(ISNUMBER(O4190),O4190&lt;0,ABS(L4190-(Q4190-IF(ISNUMBER(N4190),N4190,0)+IF(ISNUMBER(P4190),P4190,0)))&lt;=Summary!$B$2),"Negative realized loss not applied - check sign",IF(R4190&lt;0,"Principal paid exceeds prior balance",IF(AND(L4190&gt;Q4190,NOT(ISNUMBER(P4190))),"Balance increased but no Deferred_interest reported",IF(L4190&gt;R4190,"Reported balance higher than expected (missing increase/OC build)","Reported balance lower than expected (missing decrease)"))))),""))</f>
        <v/>
      </c>
    </row>
    <row r="4191" customFormat="false" ht="15" hidden="false" customHeight="false" outlineLevel="0" collapsed="false">
      <c r="A4191" s="8"/>
      <c r="B4191" s="8"/>
      <c r="C4191" s="8"/>
      <c r="D4191" s="8"/>
      <c r="E4191" s="8"/>
      <c r="F4191" s="8"/>
      <c r="G4191" s="8"/>
      <c r="H4191" s="8"/>
      <c r="I4191" s="8"/>
      <c r="J4191" s="8"/>
      <c r="K4191" s="9"/>
      <c r="L4191" s="9"/>
      <c r="M4191" s="9"/>
      <c r="N4191" s="9"/>
      <c r="O4191" s="9"/>
      <c r="P4191" s="9"/>
      <c r="Q4191" s="9"/>
      <c r="R4191" s="9" t="str">
        <f aca="false">IF(AND(A4191&lt;&gt;"",ISNUMBER(Q4191),ISNUMBER(L4191)),ROUND(Q4191-IF(ISNUMBER(N4191),N4191,0)-IF(ISNUMBER(O4191),O4191,0)+IF(ISNUMBER(P4191),P4191,0),2),"")</f>
        <v/>
      </c>
      <c r="S4191" s="9" t="str">
        <f aca="false">IF(R4191="","",ROUND(L4191-R4191,2))</f>
        <v/>
      </c>
      <c r="T4191" s="8" t="str">
        <f aca="false">IF(A4191="","",IF(S4191="","BYPASS",IF(ABS(S4191)&lt;=Summary!$B$2,"PASS","FAIL")))</f>
        <v/>
      </c>
      <c r="U4191" s="8" t="str">
        <f aca="false">IF(T4191="BYPASS",IF(NOT(ISNUMBER(Q4191)),"PreV_ETB missing","End_tr_balance missing"),IF(T4191="FAIL",IF(AND(ISNUMBER(K4191),ISNUMBER(L4191),ABS(L4191-(K4191-IF(ISNUMBER(N4191),N4191,0)-IF(ISNUMBER(O4191),O4191,0)+IF(ISNUMBER(P4191),P4191,0)))&lt;=Summary!$B$2),"Passes using beginning_balance - PreV_ETB differs from beginning_balance",IF(AND(ISNUMBER(O4191),O4191&lt;0,ABS(L4191-(Q4191-IF(ISNUMBER(N4191),N4191,0)+IF(ISNUMBER(P4191),P4191,0)))&lt;=Summary!$B$2),"Negative realized loss not applied - check sign",IF(R4191&lt;0,"Principal paid exceeds prior balance",IF(AND(L4191&gt;Q4191,NOT(ISNUMBER(P4191))),"Balance increased but no Deferred_interest reported",IF(L4191&gt;R4191,"Reported balance higher than expected (missing increase/OC build)","Reported balance lower than expected (missing decrease)"))))),""))</f>
        <v/>
      </c>
    </row>
    <row r="4192" customFormat="false" ht="15" hidden="false" customHeight="false" outlineLevel="0" collapsed="false">
      <c r="A4192" s="8"/>
      <c r="B4192" s="8"/>
      <c r="C4192" s="8"/>
      <c r="D4192" s="8"/>
      <c r="E4192" s="8"/>
      <c r="F4192" s="8"/>
      <c r="G4192" s="8"/>
      <c r="H4192" s="8"/>
      <c r="I4192" s="8"/>
      <c r="J4192" s="8"/>
      <c r="K4192" s="9"/>
      <c r="L4192" s="9"/>
      <c r="M4192" s="9"/>
      <c r="N4192" s="9"/>
      <c r="O4192" s="9"/>
      <c r="P4192" s="9"/>
      <c r="Q4192" s="9"/>
      <c r="R4192" s="9" t="str">
        <f aca="false">IF(AND(A4192&lt;&gt;"",ISNUMBER(Q4192),ISNUMBER(L4192)),ROUND(Q4192-IF(ISNUMBER(N4192),N4192,0)-IF(ISNUMBER(O4192),O4192,0)+IF(ISNUMBER(P4192),P4192,0),2),"")</f>
        <v/>
      </c>
      <c r="S4192" s="9" t="str">
        <f aca="false">IF(R4192="","",ROUND(L4192-R4192,2))</f>
        <v/>
      </c>
      <c r="T4192" s="8" t="str">
        <f aca="false">IF(A4192="","",IF(S4192="","BYPASS",IF(ABS(S4192)&lt;=Summary!$B$2,"PASS","FAIL")))</f>
        <v/>
      </c>
      <c r="U4192" s="8" t="str">
        <f aca="false">IF(T4192="BYPASS",IF(NOT(ISNUMBER(Q4192)),"PreV_ETB missing","End_tr_balance missing"),IF(T4192="FAIL",IF(AND(ISNUMBER(K4192),ISNUMBER(L4192),ABS(L4192-(K4192-IF(ISNUMBER(N4192),N4192,0)-IF(ISNUMBER(O4192),O4192,0)+IF(ISNUMBER(P4192),P4192,0)))&lt;=Summary!$B$2),"Passes using beginning_balance - PreV_ETB differs from beginning_balance",IF(AND(ISNUMBER(O4192),O4192&lt;0,ABS(L4192-(Q4192-IF(ISNUMBER(N4192),N4192,0)+IF(ISNUMBER(P4192),P4192,0)))&lt;=Summary!$B$2),"Negative realized loss not applied - check sign",IF(R4192&lt;0,"Principal paid exceeds prior balance",IF(AND(L4192&gt;Q4192,NOT(ISNUMBER(P4192))),"Balance increased but no Deferred_interest reported",IF(L4192&gt;R4192,"Reported balance higher than expected (missing increase/OC build)","Reported balance lower than expected (missing decrease)"))))),""))</f>
        <v/>
      </c>
    </row>
    <row r="4193" customFormat="false" ht="15" hidden="false" customHeight="false" outlineLevel="0" collapsed="false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9"/>
      <c r="L4193" s="9"/>
      <c r="M4193" s="9"/>
      <c r="N4193" s="9"/>
      <c r="O4193" s="9"/>
      <c r="P4193" s="9"/>
      <c r="Q4193" s="9"/>
      <c r="R4193" s="9" t="str">
        <f aca="false">IF(AND(A4193&lt;&gt;"",ISNUMBER(Q4193),ISNUMBER(L4193)),ROUND(Q4193-IF(ISNUMBER(N4193),N4193,0)-IF(ISNUMBER(O4193),O4193,0)+IF(ISNUMBER(P4193),P4193,0),2),"")</f>
        <v/>
      </c>
      <c r="S4193" s="9" t="str">
        <f aca="false">IF(R4193="","",ROUND(L4193-R4193,2))</f>
        <v/>
      </c>
      <c r="T4193" s="8" t="str">
        <f aca="false">IF(A4193="","",IF(S4193="","BYPASS",IF(ABS(S4193)&lt;=Summary!$B$2,"PASS","FAIL")))</f>
        <v/>
      </c>
      <c r="U4193" s="8" t="str">
        <f aca="false">IF(T4193="BYPASS",IF(NOT(ISNUMBER(Q4193)),"PreV_ETB missing","End_tr_balance missing"),IF(T4193="FAIL",IF(AND(ISNUMBER(K4193),ISNUMBER(L4193),ABS(L4193-(K4193-IF(ISNUMBER(N4193),N4193,0)-IF(ISNUMBER(O4193),O4193,0)+IF(ISNUMBER(P4193),P4193,0)))&lt;=Summary!$B$2),"Passes using beginning_balance - PreV_ETB differs from beginning_balance",IF(AND(ISNUMBER(O4193),O4193&lt;0,ABS(L4193-(Q4193-IF(ISNUMBER(N4193),N4193,0)+IF(ISNUMBER(P4193),P4193,0)))&lt;=Summary!$B$2),"Negative realized loss not applied - check sign",IF(R4193&lt;0,"Principal paid exceeds prior balance",IF(AND(L4193&gt;Q4193,NOT(ISNUMBER(P4193))),"Balance increased but no Deferred_interest reported",IF(L4193&gt;R4193,"Reported balance higher than expected (missing increase/OC build)","Reported balance lower than expected (missing decrease)"))))),""))</f>
        <v/>
      </c>
    </row>
    <row r="4194" customFormat="false" ht="15" hidden="false" customHeight="false" outlineLevel="0" collapsed="false">
      <c r="A4194" s="8"/>
      <c r="B4194" s="8"/>
      <c r="C4194" s="8"/>
      <c r="D4194" s="8"/>
      <c r="E4194" s="8"/>
      <c r="F4194" s="8"/>
      <c r="G4194" s="8"/>
      <c r="H4194" s="8"/>
      <c r="I4194" s="8"/>
      <c r="J4194" s="8"/>
      <c r="K4194" s="9"/>
      <c r="L4194" s="9"/>
      <c r="M4194" s="9"/>
      <c r="N4194" s="9"/>
      <c r="O4194" s="9"/>
      <c r="P4194" s="9"/>
      <c r="Q4194" s="9"/>
      <c r="R4194" s="9" t="str">
        <f aca="false">IF(AND(A4194&lt;&gt;"",ISNUMBER(Q4194),ISNUMBER(L4194)),ROUND(Q4194-IF(ISNUMBER(N4194),N4194,0)-IF(ISNUMBER(O4194),O4194,0)+IF(ISNUMBER(P4194),P4194,0),2),"")</f>
        <v/>
      </c>
      <c r="S4194" s="9" t="str">
        <f aca="false">IF(R4194="","",ROUND(L4194-R4194,2))</f>
        <v/>
      </c>
      <c r="T4194" s="8" t="str">
        <f aca="false">IF(A4194="","",IF(S4194="","BYPASS",IF(ABS(S4194)&lt;=Summary!$B$2,"PASS","FAIL")))</f>
        <v/>
      </c>
      <c r="U4194" s="8" t="str">
        <f aca="false">IF(T4194="BYPASS",IF(NOT(ISNUMBER(Q4194)),"PreV_ETB missing","End_tr_balance missing"),IF(T4194="FAIL",IF(AND(ISNUMBER(K4194),ISNUMBER(L4194),ABS(L4194-(K4194-IF(ISNUMBER(N4194),N4194,0)-IF(ISNUMBER(O4194),O4194,0)+IF(ISNUMBER(P4194),P4194,0)))&lt;=Summary!$B$2),"Passes using beginning_balance - PreV_ETB differs from beginning_balance",IF(AND(ISNUMBER(O4194),O4194&lt;0,ABS(L4194-(Q4194-IF(ISNUMBER(N4194),N4194,0)+IF(ISNUMBER(P4194),P4194,0)))&lt;=Summary!$B$2),"Negative realized loss not applied - check sign",IF(R4194&lt;0,"Principal paid exceeds prior balance",IF(AND(L4194&gt;Q4194,NOT(ISNUMBER(P4194))),"Balance increased but no Deferred_interest reported",IF(L4194&gt;R4194,"Reported balance higher than expected (missing increase/OC build)","Reported balance lower than expected (missing decrease)"))))),""))</f>
        <v/>
      </c>
    </row>
    <row r="4195" customFormat="false" ht="15" hidden="false" customHeight="false" outlineLevel="0" collapsed="false">
      <c r="A4195" s="8"/>
      <c r="B4195" s="8"/>
      <c r="C4195" s="8"/>
      <c r="D4195" s="8"/>
      <c r="E4195" s="8"/>
      <c r="F4195" s="8"/>
      <c r="G4195" s="8"/>
      <c r="H4195" s="8"/>
      <c r="I4195" s="8"/>
      <c r="J4195" s="8"/>
      <c r="K4195" s="9"/>
      <c r="L4195" s="9"/>
      <c r="M4195" s="9"/>
      <c r="N4195" s="9"/>
      <c r="O4195" s="9"/>
      <c r="P4195" s="9"/>
      <c r="Q4195" s="9"/>
      <c r="R4195" s="9" t="str">
        <f aca="false">IF(AND(A4195&lt;&gt;"",ISNUMBER(Q4195),ISNUMBER(L4195)),ROUND(Q4195-IF(ISNUMBER(N4195),N4195,0)-IF(ISNUMBER(O4195),O4195,0)+IF(ISNUMBER(P4195),P4195,0),2),"")</f>
        <v/>
      </c>
      <c r="S4195" s="9" t="str">
        <f aca="false">IF(R4195="","",ROUND(L4195-R4195,2))</f>
        <v/>
      </c>
      <c r="T4195" s="8" t="str">
        <f aca="false">IF(A4195="","",IF(S4195="","BYPASS",IF(ABS(S4195)&lt;=Summary!$B$2,"PASS","FAIL")))</f>
        <v/>
      </c>
      <c r="U4195" s="8" t="str">
        <f aca="false">IF(T4195="BYPASS",IF(NOT(ISNUMBER(Q4195)),"PreV_ETB missing","End_tr_balance missing"),IF(T4195="FAIL",IF(AND(ISNUMBER(K4195),ISNUMBER(L4195),ABS(L4195-(K4195-IF(ISNUMBER(N4195),N4195,0)-IF(ISNUMBER(O4195),O4195,0)+IF(ISNUMBER(P4195),P4195,0)))&lt;=Summary!$B$2),"Passes using beginning_balance - PreV_ETB differs from beginning_balance",IF(AND(ISNUMBER(O4195),O4195&lt;0,ABS(L4195-(Q4195-IF(ISNUMBER(N4195),N4195,0)+IF(ISNUMBER(P4195),P4195,0)))&lt;=Summary!$B$2),"Negative realized loss not applied - check sign",IF(R4195&lt;0,"Principal paid exceeds prior balance",IF(AND(L4195&gt;Q4195,NOT(ISNUMBER(P4195))),"Balance increased but no Deferred_interest reported",IF(L4195&gt;R4195,"Reported balance higher than expected (missing increase/OC build)","Reported balance lower than expected (missing decrease)"))))),""))</f>
        <v/>
      </c>
    </row>
    <row r="4196" customFormat="false" ht="15" hidden="false" customHeight="false" outlineLevel="0" collapsed="false">
      <c r="A4196" s="8"/>
      <c r="B4196" s="8"/>
      <c r="C4196" s="8"/>
      <c r="D4196" s="8"/>
      <c r="E4196" s="8"/>
      <c r="F4196" s="8"/>
      <c r="G4196" s="8"/>
      <c r="H4196" s="8"/>
      <c r="I4196" s="8"/>
      <c r="J4196" s="8"/>
      <c r="K4196" s="9"/>
      <c r="L4196" s="9"/>
      <c r="M4196" s="9"/>
      <c r="N4196" s="9"/>
      <c r="O4196" s="9"/>
      <c r="P4196" s="9"/>
      <c r="Q4196" s="9"/>
      <c r="R4196" s="9" t="str">
        <f aca="false">IF(AND(A4196&lt;&gt;"",ISNUMBER(Q4196),ISNUMBER(L4196)),ROUND(Q4196-IF(ISNUMBER(N4196),N4196,0)-IF(ISNUMBER(O4196),O4196,0)+IF(ISNUMBER(P4196),P4196,0),2),"")</f>
        <v/>
      </c>
      <c r="S4196" s="9" t="str">
        <f aca="false">IF(R4196="","",ROUND(L4196-R4196,2))</f>
        <v/>
      </c>
      <c r="T4196" s="8" t="str">
        <f aca="false">IF(A4196="","",IF(S4196="","BYPASS",IF(ABS(S4196)&lt;=Summary!$B$2,"PASS","FAIL")))</f>
        <v/>
      </c>
      <c r="U4196" s="8" t="str">
        <f aca="false">IF(T4196="BYPASS",IF(NOT(ISNUMBER(Q4196)),"PreV_ETB missing","End_tr_balance missing"),IF(T4196="FAIL",IF(AND(ISNUMBER(K4196),ISNUMBER(L4196),ABS(L4196-(K4196-IF(ISNUMBER(N4196),N4196,0)-IF(ISNUMBER(O4196),O4196,0)+IF(ISNUMBER(P4196),P4196,0)))&lt;=Summary!$B$2),"Passes using beginning_balance - PreV_ETB differs from beginning_balance",IF(AND(ISNUMBER(O4196),O4196&lt;0,ABS(L4196-(Q4196-IF(ISNUMBER(N4196),N4196,0)+IF(ISNUMBER(P4196),P4196,0)))&lt;=Summary!$B$2),"Negative realized loss not applied - check sign",IF(R4196&lt;0,"Principal paid exceeds prior balance",IF(AND(L4196&gt;Q4196,NOT(ISNUMBER(P4196))),"Balance increased but no Deferred_interest reported",IF(L4196&gt;R4196,"Reported balance higher than expected (missing increase/OC build)","Reported balance lower than expected (missing decrease)"))))),""))</f>
        <v/>
      </c>
    </row>
    <row r="4197" customFormat="false" ht="15" hidden="false" customHeight="false" outlineLevel="0" collapsed="false">
      <c r="A4197" s="8"/>
      <c r="B4197" s="8"/>
      <c r="C4197" s="8"/>
      <c r="D4197" s="8"/>
      <c r="E4197" s="8"/>
      <c r="F4197" s="8"/>
      <c r="G4197" s="8"/>
      <c r="H4197" s="8"/>
      <c r="I4197" s="8"/>
      <c r="J4197" s="8"/>
      <c r="K4197" s="9"/>
      <c r="L4197" s="9"/>
      <c r="M4197" s="9"/>
      <c r="N4197" s="9"/>
      <c r="O4197" s="9"/>
      <c r="P4197" s="9"/>
      <c r="Q4197" s="9"/>
      <c r="R4197" s="9" t="str">
        <f aca="false">IF(AND(A4197&lt;&gt;"",ISNUMBER(Q4197),ISNUMBER(L4197)),ROUND(Q4197-IF(ISNUMBER(N4197),N4197,0)-IF(ISNUMBER(O4197),O4197,0)+IF(ISNUMBER(P4197),P4197,0),2),"")</f>
        <v/>
      </c>
      <c r="S4197" s="9" t="str">
        <f aca="false">IF(R4197="","",ROUND(L4197-R4197,2))</f>
        <v/>
      </c>
      <c r="T4197" s="8" t="str">
        <f aca="false">IF(A4197="","",IF(S4197="","BYPASS",IF(ABS(S4197)&lt;=Summary!$B$2,"PASS","FAIL")))</f>
        <v/>
      </c>
      <c r="U4197" s="8" t="str">
        <f aca="false">IF(T4197="BYPASS",IF(NOT(ISNUMBER(Q4197)),"PreV_ETB missing","End_tr_balance missing"),IF(T4197="FAIL",IF(AND(ISNUMBER(K4197),ISNUMBER(L4197),ABS(L4197-(K4197-IF(ISNUMBER(N4197),N4197,0)-IF(ISNUMBER(O4197),O4197,0)+IF(ISNUMBER(P4197),P4197,0)))&lt;=Summary!$B$2),"Passes using beginning_balance - PreV_ETB differs from beginning_balance",IF(AND(ISNUMBER(O4197),O4197&lt;0,ABS(L4197-(Q4197-IF(ISNUMBER(N4197),N4197,0)+IF(ISNUMBER(P4197),P4197,0)))&lt;=Summary!$B$2),"Negative realized loss not applied - check sign",IF(R4197&lt;0,"Principal paid exceeds prior balance",IF(AND(L4197&gt;Q4197,NOT(ISNUMBER(P4197))),"Balance increased but no Deferred_interest reported",IF(L4197&gt;R4197,"Reported balance higher than expected (missing increase/OC build)","Reported balance lower than expected (missing decrease)"))))),""))</f>
        <v/>
      </c>
    </row>
    <row r="4198" customFormat="false" ht="15" hidden="false" customHeight="false" outlineLevel="0" collapsed="false">
      <c r="A4198" s="8"/>
      <c r="B4198" s="8"/>
      <c r="C4198" s="8"/>
      <c r="D4198" s="8"/>
      <c r="E4198" s="8"/>
      <c r="F4198" s="8"/>
      <c r="G4198" s="8"/>
      <c r="H4198" s="8"/>
      <c r="I4198" s="8"/>
      <c r="J4198" s="8"/>
      <c r="K4198" s="9"/>
      <c r="L4198" s="9"/>
      <c r="M4198" s="9"/>
      <c r="N4198" s="9"/>
      <c r="O4198" s="9"/>
      <c r="P4198" s="9"/>
      <c r="Q4198" s="9"/>
      <c r="R4198" s="9" t="str">
        <f aca="false">IF(AND(A4198&lt;&gt;"",ISNUMBER(Q4198),ISNUMBER(L4198)),ROUND(Q4198-IF(ISNUMBER(N4198),N4198,0)-IF(ISNUMBER(O4198),O4198,0)+IF(ISNUMBER(P4198),P4198,0),2),"")</f>
        <v/>
      </c>
      <c r="S4198" s="9" t="str">
        <f aca="false">IF(R4198="","",ROUND(L4198-R4198,2))</f>
        <v/>
      </c>
      <c r="T4198" s="8" t="str">
        <f aca="false">IF(A4198="","",IF(S4198="","BYPASS",IF(ABS(S4198)&lt;=Summary!$B$2,"PASS","FAIL")))</f>
        <v/>
      </c>
      <c r="U4198" s="8" t="str">
        <f aca="false">IF(T4198="BYPASS",IF(NOT(ISNUMBER(Q4198)),"PreV_ETB missing","End_tr_balance missing"),IF(T4198="FAIL",IF(AND(ISNUMBER(K4198),ISNUMBER(L4198),ABS(L4198-(K4198-IF(ISNUMBER(N4198),N4198,0)-IF(ISNUMBER(O4198),O4198,0)+IF(ISNUMBER(P4198),P4198,0)))&lt;=Summary!$B$2),"Passes using beginning_balance - PreV_ETB differs from beginning_balance",IF(AND(ISNUMBER(O4198),O4198&lt;0,ABS(L4198-(Q4198-IF(ISNUMBER(N4198),N4198,0)+IF(ISNUMBER(P4198),P4198,0)))&lt;=Summary!$B$2),"Negative realized loss not applied - check sign",IF(R4198&lt;0,"Principal paid exceeds prior balance",IF(AND(L4198&gt;Q4198,NOT(ISNUMBER(P4198))),"Balance increased but no Deferred_interest reported",IF(L4198&gt;R4198,"Reported balance higher than expected (missing increase/OC build)","Reported balance lower than expected (missing decrease)"))))),""))</f>
        <v/>
      </c>
    </row>
    <row r="4199" customFormat="false" ht="15" hidden="false" customHeight="false" outlineLevel="0" collapsed="false">
      <c r="A4199" s="8"/>
      <c r="B4199" s="8"/>
      <c r="C4199" s="8"/>
      <c r="D4199" s="8"/>
      <c r="E4199" s="8"/>
      <c r="F4199" s="8"/>
      <c r="G4199" s="8"/>
      <c r="H4199" s="8"/>
      <c r="I4199" s="8"/>
      <c r="J4199" s="8"/>
      <c r="K4199" s="9"/>
      <c r="L4199" s="9"/>
      <c r="M4199" s="9"/>
      <c r="N4199" s="9"/>
      <c r="O4199" s="9"/>
      <c r="P4199" s="9"/>
      <c r="Q4199" s="9"/>
      <c r="R4199" s="9" t="str">
        <f aca="false">IF(AND(A4199&lt;&gt;"",ISNUMBER(Q4199),ISNUMBER(L4199)),ROUND(Q4199-IF(ISNUMBER(N4199),N4199,0)-IF(ISNUMBER(O4199),O4199,0)+IF(ISNUMBER(P4199),P4199,0),2),"")</f>
        <v/>
      </c>
      <c r="S4199" s="9" t="str">
        <f aca="false">IF(R4199="","",ROUND(L4199-R4199,2))</f>
        <v/>
      </c>
      <c r="T4199" s="8" t="str">
        <f aca="false">IF(A4199="","",IF(S4199="","BYPASS",IF(ABS(S4199)&lt;=Summary!$B$2,"PASS","FAIL")))</f>
        <v/>
      </c>
      <c r="U4199" s="8" t="str">
        <f aca="false">IF(T4199="BYPASS",IF(NOT(ISNUMBER(Q4199)),"PreV_ETB missing","End_tr_balance missing"),IF(T4199="FAIL",IF(AND(ISNUMBER(K4199),ISNUMBER(L4199),ABS(L4199-(K4199-IF(ISNUMBER(N4199),N4199,0)-IF(ISNUMBER(O4199),O4199,0)+IF(ISNUMBER(P4199),P4199,0)))&lt;=Summary!$B$2),"Passes using beginning_balance - PreV_ETB differs from beginning_balance",IF(AND(ISNUMBER(O4199),O4199&lt;0,ABS(L4199-(Q4199-IF(ISNUMBER(N4199),N4199,0)+IF(ISNUMBER(P4199),P4199,0)))&lt;=Summary!$B$2),"Negative realized loss not applied - check sign",IF(R4199&lt;0,"Principal paid exceeds prior balance",IF(AND(L4199&gt;Q4199,NOT(ISNUMBER(P4199))),"Balance increased but no Deferred_interest reported",IF(L4199&gt;R4199,"Reported balance higher than expected (missing increase/OC build)","Reported balance lower than expected (missing decrease)"))))),""))</f>
        <v/>
      </c>
    </row>
    <row r="4200" customFormat="false" ht="15" hidden="false" customHeight="false" outlineLevel="0" collapsed="false">
      <c r="A4200" s="8"/>
      <c r="B4200" s="8"/>
      <c r="C4200" s="8"/>
      <c r="D4200" s="8"/>
      <c r="E4200" s="8"/>
      <c r="F4200" s="8"/>
      <c r="G4200" s="8"/>
      <c r="H4200" s="8"/>
      <c r="I4200" s="8"/>
      <c r="J4200" s="8"/>
      <c r="K4200" s="9"/>
      <c r="L4200" s="9"/>
      <c r="M4200" s="9"/>
      <c r="N4200" s="9"/>
      <c r="O4200" s="9"/>
      <c r="P4200" s="9"/>
      <c r="Q4200" s="9"/>
      <c r="R4200" s="9" t="str">
        <f aca="false">IF(AND(A4200&lt;&gt;"",ISNUMBER(Q4200),ISNUMBER(L4200)),ROUND(Q4200-IF(ISNUMBER(N4200),N4200,0)-IF(ISNUMBER(O4200),O4200,0)+IF(ISNUMBER(P4200),P4200,0),2),"")</f>
        <v/>
      </c>
      <c r="S4200" s="9" t="str">
        <f aca="false">IF(R4200="","",ROUND(L4200-R4200,2))</f>
        <v/>
      </c>
      <c r="T4200" s="8" t="str">
        <f aca="false">IF(A4200="","",IF(S4200="","BYPASS",IF(ABS(S4200)&lt;=Summary!$B$2,"PASS","FAIL")))</f>
        <v/>
      </c>
      <c r="U4200" s="8" t="str">
        <f aca="false">IF(T4200="BYPASS",IF(NOT(ISNUMBER(Q4200)),"PreV_ETB missing","End_tr_balance missing"),IF(T4200="FAIL",IF(AND(ISNUMBER(K4200),ISNUMBER(L4200),ABS(L4200-(K4200-IF(ISNUMBER(N4200),N4200,0)-IF(ISNUMBER(O4200),O4200,0)+IF(ISNUMBER(P4200),P4200,0)))&lt;=Summary!$B$2),"Passes using beginning_balance - PreV_ETB differs from beginning_balance",IF(AND(ISNUMBER(O4200),O4200&lt;0,ABS(L4200-(Q4200-IF(ISNUMBER(N4200),N4200,0)+IF(ISNUMBER(P4200),P4200,0)))&lt;=Summary!$B$2),"Negative realized loss not applied - check sign",IF(R4200&lt;0,"Principal paid exceeds prior balance",IF(AND(L4200&gt;Q4200,NOT(ISNUMBER(P4200))),"Balance increased but no Deferred_interest reported",IF(L4200&gt;R4200,"Reported balance higher than expected (missing increase/OC build)","Reported balance lower than expected (missing decrease)"))))),""))</f>
        <v/>
      </c>
    </row>
    <row r="4201" customFormat="false" ht="15" hidden="false" customHeight="false" outlineLevel="0" collapsed="false">
      <c r="A4201" s="8"/>
      <c r="B4201" s="8"/>
      <c r="C4201" s="8"/>
      <c r="D4201" s="8"/>
      <c r="E4201" s="8"/>
      <c r="F4201" s="8"/>
      <c r="G4201" s="8"/>
      <c r="H4201" s="8"/>
      <c r="I4201" s="8"/>
      <c r="J4201" s="8"/>
      <c r="K4201" s="9"/>
      <c r="L4201" s="9"/>
      <c r="M4201" s="9"/>
      <c r="N4201" s="9"/>
      <c r="O4201" s="9"/>
      <c r="P4201" s="9"/>
      <c r="Q4201" s="9"/>
      <c r="R4201" s="9" t="str">
        <f aca="false">IF(AND(A4201&lt;&gt;"",ISNUMBER(Q4201),ISNUMBER(L4201)),ROUND(Q4201-IF(ISNUMBER(N4201),N4201,0)-IF(ISNUMBER(O4201),O4201,0)+IF(ISNUMBER(P4201),P4201,0),2),"")</f>
        <v/>
      </c>
      <c r="S4201" s="9" t="str">
        <f aca="false">IF(R4201="","",ROUND(L4201-R4201,2))</f>
        <v/>
      </c>
      <c r="T4201" s="8" t="str">
        <f aca="false">IF(A4201="","",IF(S4201="","BYPASS",IF(ABS(S4201)&lt;=Summary!$B$2,"PASS","FAIL")))</f>
        <v/>
      </c>
      <c r="U4201" s="8" t="str">
        <f aca="false">IF(T4201="BYPASS",IF(NOT(ISNUMBER(Q4201)),"PreV_ETB missing","End_tr_balance missing"),IF(T4201="FAIL",IF(AND(ISNUMBER(K4201),ISNUMBER(L4201),ABS(L4201-(K4201-IF(ISNUMBER(N4201),N4201,0)-IF(ISNUMBER(O4201),O4201,0)+IF(ISNUMBER(P4201),P4201,0)))&lt;=Summary!$B$2),"Passes using beginning_balance - PreV_ETB differs from beginning_balance",IF(AND(ISNUMBER(O4201),O4201&lt;0,ABS(L4201-(Q4201-IF(ISNUMBER(N4201),N4201,0)+IF(ISNUMBER(P4201),P4201,0)))&lt;=Summary!$B$2),"Negative realized loss not applied - check sign",IF(R4201&lt;0,"Principal paid exceeds prior balance",IF(AND(L4201&gt;Q4201,NOT(ISNUMBER(P4201))),"Balance increased but no Deferred_interest reported",IF(L4201&gt;R4201,"Reported balance higher than expected (missing increase/OC build)","Reported balance lower than expected (missing decrease)"))))),""))</f>
        <v/>
      </c>
    </row>
    <row r="4202" customFormat="false" ht="15" hidden="false" customHeight="false" outlineLevel="0" collapsed="false">
      <c r="A4202" s="8"/>
      <c r="B4202" s="8"/>
      <c r="C4202" s="8"/>
      <c r="D4202" s="8"/>
      <c r="E4202" s="8"/>
      <c r="F4202" s="8"/>
      <c r="G4202" s="8"/>
      <c r="H4202" s="8"/>
      <c r="I4202" s="8"/>
      <c r="J4202" s="8"/>
      <c r="K4202" s="9"/>
      <c r="L4202" s="9"/>
      <c r="M4202" s="9"/>
      <c r="N4202" s="9"/>
      <c r="O4202" s="9"/>
      <c r="P4202" s="9"/>
      <c r="Q4202" s="9"/>
      <c r="R4202" s="9" t="str">
        <f aca="false">IF(AND(A4202&lt;&gt;"",ISNUMBER(Q4202),ISNUMBER(L4202)),ROUND(Q4202-IF(ISNUMBER(N4202),N4202,0)-IF(ISNUMBER(O4202),O4202,0)+IF(ISNUMBER(P4202),P4202,0),2),"")</f>
        <v/>
      </c>
      <c r="S4202" s="9" t="str">
        <f aca="false">IF(R4202="","",ROUND(L4202-R4202,2))</f>
        <v/>
      </c>
      <c r="T4202" s="8" t="str">
        <f aca="false">IF(A4202="","",IF(S4202="","BYPASS",IF(ABS(S4202)&lt;=Summary!$B$2,"PASS","FAIL")))</f>
        <v/>
      </c>
      <c r="U4202" s="8" t="str">
        <f aca="false">IF(T4202="BYPASS",IF(NOT(ISNUMBER(Q4202)),"PreV_ETB missing","End_tr_balance missing"),IF(T4202="FAIL",IF(AND(ISNUMBER(K4202),ISNUMBER(L4202),ABS(L4202-(K4202-IF(ISNUMBER(N4202),N4202,0)-IF(ISNUMBER(O4202),O4202,0)+IF(ISNUMBER(P4202),P4202,0)))&lt;=Summary!$B$2),"Passes using beginning_balance - PreV_ETB differs from beginning_balance",IF(AND(ISNUMBER(O4202),O4202&lt;0,ABS(L4202-(Q4202-IF(ISNUMBER(N4202),N4202,0)+IF(ISNUMBER(P4202),P4202,0)))&lt;=Summary!$B$2),"Negative realized loss not applied - check sign",IF(R4202&lt;0,"Principal paid exceeds prior balance",IF(AND(L4202&gt;Q4202,NOT(ISNUMBER(P4202))),"Balance increased but no Deferred_interest reported",IF(L4202&gt;R4202,"Reported balance higher than expected (missing increase/OC build)","Reported balance lower than expected (missing decrease)"))))),""))</f>
        <v/>
      </c>
    </row>
    <row r="4203" customFormat="false" ht="15" hidden="false" customHeight="false" outlineLevel="0" collapsed="false">
      <c r="A4203" s="8"/>
      <c r="B4203" s="8"/>
      <c r="C4203" s="8"/>
      <c r="D4203" s="8"/>
      <c r="E4203" s="8"/>
      <c r="F4203" s="8"/>
      <c r="G4203" s="8"/>
      <c r="H4203" s="8"/>
      <c r="I4203" s="8"/>
      <c r="J4203" s="8"/>
      <c r="K4203" s="9"/>
      <c r="L4203" s="9"/>
      <c r="M4203" s="9"/>
      <c r="N4203" s="9"/>
      <c r="O4203" s="9"/>
      <c r="P4203" s="9"/>
      <c r="Q4203" s="9"/>
      <c r="R4203" s="9" t="str">
        <f aca="false">IF(AND(A4203&lt;&gt;"",ISNUMBER(Q4203),ISNUMBER(L4203)),ROUND(Q4203-IF(ISNUMBER(N4203),N4203,0)-IF(ISNUMBER(O4203),O4203,0)+IF(ISNUMBER(P4203),P4203,0),2),"")</f>
        <v/>
      </c>
      <c r="S4203" s="9" t="str">
        <f aca="false">IF(R4203="","",ROUND(L4203-R4203,2))</f>
        <v/>
      </c>
      <c r="T4203" s="8" t="str">
        <f aca="false">IF(A4203="","",IF(S4203="","BYPASS",IF(ABS(S4203)&lt;=Summary!$B$2,"PASS","FAIL")))</f>
        <v/>
      </c>
      <c r="U4203" s="8" t="str">
        <f aca="false">IF(T4203="BYPASS",IF(NOT(ISNUMBER(Q4203)),"PreV_ETB missing","End_tr_balance missing"),IF(T4203="FAIL",IF(AND(ISNUMBER(K4203),ISNUMBER(L4203),ABS(L4203-(K4203-IF(ISNUMBER(N4203),N4203,0)-IF(ISNUMBER(O4203),O4203,0)+IF(ISNUMBER(P4203),P4203,0)))&lt;=Summary!$B$2),"Passes using beginning_balance - PreV_ETB differs from beginning_balance",IF(AND(ISNUMBER(O4203),O4203&lt;0,ABS(L4203-(Q4203-IF(ISNUMBER(N4203),N4203,0)+IF(ISNUMBER(P4203),P4203,0)))&lt;=Summary!$B$2),"Negative realized loss not applied - check sign",IF(R4203&lt;0,"Principal paid exceeds prior balance",IF(AND(L4203&gt;Q4203,NOT(ISNUMBER(P4203))),"Balance increased but no Deferred_interest reported",IF(L4203&gt;R4203,"Reported balance higher than expected (missing increase/OC build)","Reported balance lower than expected (missing decrease)"))))),""))</f>
        <v/>
      </c>
    </row>
    <row r="4204" customFormat="false" ht="15" hidden="false" customHeight="false" outlineLevel="0" collapsed="false">
      <c r="A4204" s="8"/>
      <c r="B4204" s="8"/>
      <c r="C4204" s="8"/>
      <c r="D4204" s="8"/>
      <c r="E4204" s="8"/>
      <c r="F4204" s="8"/>
      <c r="G4204" s="8"/>
      <c r="H4204" s="8"/>
      <c r="I4204" s="8"/>
      <c r="J4204" s="8"/>
      <c r="K4204" s="9"/>
      <c r="L4204" s="9"/>
      <c r="M4204" s="9"/>
      <c r="N4204" s="9"/>
      <c r="O4204" s="9"/>
      <c r="P4204" s="9"/>
      <c r="Q4204" s="9"/>
      <c r="R4204" s="9" t="str">
        <f aca="false">IF(AND(A4204&lt;&gt;"",ISNUMBER(Q4204),ISNUMBER(L4204)),ROUND(Q4204-IF(ISNUMBER(N4204),N4204,0)-IF(ISNUMBER(O4204),O4204,0)+IF(ISNUMBER(P4204),P4204,0),2),"")</f>
        <v/>
      </c>
      <c r="S4204" s="9" t="str">
        <f aca="false">IF(R4204="","",ROUND(L4204-R4204,2))</f>
        <v/>
      </c>
      <c r="T4204" s="8" t="str">
        <f aca="false">IF(A4204="","",IF(S4204="","BYPASS",IF(ABS(S4204)&lt;=Summary!$B$2,"PASS","FAIL")))</f>
        <v/>
      </c>
      <c r="U4204" s="8" t="str">
        <f aca="false">IF(T4204="BYPASS",IF(NOT(ISNUMBER(Q4204)),"PreV_ETB missing","End_tr_balance missing"),IF(T4204="FAIL",IF(AND(ISNUMBER(K4204),ISNUMBER(L4204),ABS(L4204-(K4204-IF(ISNUMBER(N4204),N4204,0)-IF(ISNUMBER(O4204),O4204,0)+IF(ISNUMBER(P4204),P4204,0)))&lt;=Summary!$B$2),"Passes using beginning_balance - PreV_ETB differs from beginning_balance",IF(AND(ISNUMBER(O4204),O4204&lt;0,ABS(L4204-(Q4204-IF(ISNUMBER(N4204),N4204,0)+IF(ISNUMBER(P4204),P4204,0)))&lt;=Summary!$B$2),"Negative realized loss not applied - check sign",IF(R4204&lt;0,"Principal paid exceeds prior balance",IF(AND(L4204&gt;Q4204,NOT(ISNUMBER(P4204))),"Balance increased but no Deferred_interest reported",IF(L4204&gt;R4204,"Reported balance higher than expected (missing increase/OC build)","Reported balance lower than expected (missing decrease)"))))),""))</f>
        <v/>
      </c>
    </row>
    <row r="4205" customFormat="false" ht="15" hidden="false" customHeight="false" outlineLevel="0" collapsed="false">
      <c r="A4205" s="8"/>
      <c r="B4205" s="8"/>
      <c r="C4205" s="8"/>
      <c r="D4205" s="8"/>
      <c r="E4205" s="8"/>
      <c r="F4205" s="8"/>
      <c r="G4205" s="8"/>
      <c r="H4205" s="8"/>
      <c r="I4205" s="8"/>
      <c r="J4205" s="8"/>
      <c r="K4205" s="9"/>
      <c r="L4205" s="9"/>
      <c r="M4205" s="9"/>
      <c r="N4205" s="9"/>
      <c r="O4205" s="9"/>
      <c r="P4205" s="9"/>
      <c r="Q4205" s="9"/>
      <c r="R4205" s="9" t="str">
        <f aca="false">IF(AND(A4205&lt;&gt;"",ISNUMBER(Q4205),ISNUMBER(L4205)),ROUND(Q4205-IF(ISNUMBER(N4205),N4205,0)-IF(ISNUMBER(O4205),O4205,0)+IF(ISNUMBER(P4205),P4205,0),2),"")</f>
        <v/>
      </c>
      <c r="S4205" s="9" t="str">
        <f aca="false">IF(R4205="","",ROUND(L4205-R4205,2))</f>
        <v/>
      </c>
      <c r="T4205" s="8" t="str">
        <f aca="false">IF(A4205="","",IF(S4205="","BYPASS",IF(ABS(S4205)&lt;=Summary!$B$2,"PASS","FAIL")))</f>
        <v/>
      </c>
      <c r="U4205" s="8" t="str">
        <f aca="false">IF(T4205="BYPASS",IF(NOT(ISNUMBER(Q4205)),"PreV_ETB missing","End_tr_balance missing"),IF(T4205="FAIL",IF(AND(ISNUMBER(K4205),ISNUMBER(L4205),ABS(L4205-(K4205-IF(ISNUMBER(N4205),N4205,0)-IF(ISNUMBER(O4205),O4205,0)+IF(ISNUMBER(P4205),P4205,0)))&lt;=Summary!$B$2),"Passes using beginning_balance - PreV_ETB differs from beginning_balance",IF(AND(ISNUMBER(O4205),O4205&lt;0,ABS(L4205-(Q4205-IF(ISNUMBER(N4205),N4205,0)+IF(ISNUMBER(P4205),P4205,0)))&lt;=Summary!$B$2),"Negative realized loss not applied - check sign",IF(R4205&lt;0,"Principal paid exceeds prior balance",IF(AND(L4205&gt;Q4205,NOT(ISNUMBER(P4205))),"Balance increased but no Deferred_interest reported",IF(L4205&gt;R4205,"Reported balance higher than expected (missing increase/OC build)","Reported balance lower than expected (missing decrease)"))))),""))</f>
        <v/>
      </c>
    </row>
    <row r="4206" customFormat="false" ht="15" hidden="false" customHeight="false" outlineLevel="0" collapsed="false">
      <c r="A4206" s="8"/>
      <c r="B4206" s="8"/>
      <c r="C4206" s="8"/>
      <c r="D4206" s="8"/>
      <c r="E4206" s="8"/>
      <c r="F4206" s="8"/>
      <c r="G4206" s="8"/>
      <c r="H4206" s="8"/>
      <c r="I4206" s="8"/>
      <c r="J4206" s="8"/>
      <c r="K4206" s="9"/>
      <c r="L4206" s="9"/>
      <c r="M4206" s="9"/>
      <c r="N4206" s="9"/>
      <c r="O4206" s="9"/>
      <c r="P4206" s="9"/>
      <c r="Q4206" s="9"/>
      <c r="R4206" s="9" t="str">
        <f aca="false">IF(AND(A4206&lt;&gt;"",ISNUMBER(Q4206),ISNUMBER(L4206)),ROUND(Q4206-IF(ISNUMBER(N4206),N4206,0)-IF(ISNUMBER(O4206),O4206,0)+IF(ISNUMBER(P4206),P4206,0),2),"")</f>
        <v/>
      </c>
      <c r="S4206" s="9" t="str">
        <f aca="false">IF(R4206="","",ROUND(L4206-R4206,2))</f>
        <v/>
      </c>
      <c r="T4206" s="8" t="str">
        <f aca="false">IF(A4206="","",IF(S4206="","BYPASS",IF(ABS(S4206)&lt;=Summary!$B$2,"PASS","FAIL")))</f>
        <v/>
      </c>
      <c r="U4206" s="8" t="str">
        <f aca="false">IF(T4206="BYPASS",IF(NOT(ISNUMBER(Q4206)),"PreV_ETB missing","End_tr_balance missing"),IF(T4206="FAIL",IF(AND(ISNUMBER(K4206),ISNUMBER(L4206),ABS(L4206-(K4206-IF(ISNUMBER(N4206),N4206,0)-IF(ISNUMBER(O4206),O4206,0)+IF(ISNUMBER(P4206),P4206,0)))&lt;=Summary!$B$2),"Passes using beginning_balance - PreV_ETB differs from beginning_balance",IF(AND(ISNUMBER(O4206),O4206&lt;0,ABS(L4206-(Q4206-IF(ISNUMBER(N4206),N4206,0)+IF(ISNUMBER(P4206),P4206,0)))&lt;=Summary!$B$2),"Negative realized loss not applied - check sign",IF(R4206&lt;0,"Principal paid exceeds prior balance",IF(AND(L4206&gt;Q4206,NOT(ISNUMBER(P4206))),"Balance increased but no Deferred_interest reported",IF(L4206&gt;R4206,"Reported balance higher than expected (missing increase/OC build)","Reported balance lower than expected (missing decrease)"))))),""))</f>
        <v/>
      </c>
    </row>
    <row r="4207" customFormat="false" ht="15" hidden="false" customHeight="false" outlineLevel="0" collapsed="false">
      <c r="A4207" s="8"/>
      <c r="B4207" s="8"/>
      <c r="C4207" s="8"/>
      <c r="D4207" s="8"/>
      <c r="E4207" s="8"/>
      <c r="F4207" s="8"/>
      <c r="G4207" s="8"/>
      <c r="H4207" s="8"/>
      <c r="I4207" s="8"/>
      <c r="J4207" s="8"/>
      <c r="K4207" s="9"/>
      <c r="L4207" s="9"/>
      <c r="M4207" s="9"/>
      <c r="N4207" s="9"/>
      <c r="O4207" s="9"/>
      <c r="P4207" s="9"/>
      <c r="Q4207" s="9"/>
      <c r="R4207" s="9" t="str">
        <f aca="false">IF(AND(A4207&lt;&gt;"",ISNUMBER(Q4207),ISNUMBER(L4207)),ROUND(Q4207-IF(ISNUMBER(N4207),N4207,0)-IF(ISNUMBER(O4207),O4207,0)+IF(ISNUMBER(P4207),P4207,0),2),"")</f>
        <v/>
      </c>
      <c r="S4207" s="9" t="str">
        <f aca="false">IF(R4207="","",ROUND(L4207-R4207,2))</f>
        <v/>
      </c>
      <c r="T4207" s="8" t="str">
        <f aca="false">IF(A4207="","",IF(S4207="","BYPASS",IF(ABS(S4207)&lt;=Summary!$B$2,"PASS","FAIL")))</f>
        <v/>
      </c>
      <c r="U4207" s="8" t="str">
        <f aca="false">IF(T4207="BYPASS",IF(NOT(ISNUMBER(Q4207)),"PreV_ETB missing","End_tr_balance missing"),IF(T4207="FAIL",IF(AND(ISNUMBER(K4207),ISNUMBER(L4207),ABS(L4207-(K4207-IF(ISNUMBER(N4207),N4207,0)-IF(ISNUMBER(O4207),O4207,0)+IF(ISNUMBER(P4207),P4207,0)))&lt;=Summary!$B$2),"Passes using beginning_balance - PreV_ETB differs from beginning_balance",IF(AND(ISNUMBER(O4207),O4207&lt;0,ABS(L4207-(Q4207-IF(ISNUMBER(N4207),N4207,0)+IF(ISNUMBER(P4207),P4207,0)))&lt;=Summary!$B$2),"Negative realized loss not applied - check sign",IF(R4207&lt;0,"Principal paid exceeds prior balance",IF(AND(L4207&gt;Q4207,NOT(ISNUMBER(P4207))),"Balance increased but no Deferred_interest reported",IF(L4207&gt;R4207,"Reported balance higher than expected (missing increase/OC build)","Reported balance lower than expected (missing decrease)"))))),""))</f>
        <v/>
      </c>
    </row>
    <row r="4208" customFormat="false" ht="15" hidden="false" customHeight="false" outlineLevel="0" collapsed="false">
      <c r="A4208" s="8"/>
      <c r="B4208" s="8"/>
      <c r="C4208" s="8"/>
      <c r="D4208" s="8"/>
      <c r="E4208" s="8"/>
      <c r="F4208" s="8"/>
      <c r="G4208" s="8"/>
      <c r="H4208" s="8"/>
      <c r="I4208" s="8"/>
      <c r="J4208" s="8"/>
      <c r="K4208" s="9"/>
      <c r="L4208" s="9"/>
      <c r="M4208" s="9"/>
      <c r="N4208" s="9"/>
      <c r="O4208" s="9"/>
      <c r="P4208" s="9"/>
      <c r="Q4208" s="9"/>
      <c r="R4208" s="9" t="str">
        <f aca="false">IF(AND(A4208&lt;&gt;"",ISNUMBER(Q4208),ISNUMBER(L4208)),ROUND(Q4208-IF(ISNUMBER(N4208),N4208,0)-IF(ISNUMBER(O4208),O4208,0)+IF(ISNUMBER(P4208),P4208,0),2),"")</f>
        <v/>
      </c>
      <c r="S4208" s="9" t="str">
        <f aca="false">IF(R4208="","",ROUND(L4208-R4208,2))</f>
        <v/>
      </c>
      <c r="T4208" s="8" t="str">
        <f aca="false">IF(A4208="","",IF(S4208="","BYPASS",IF(ABS(S4208)&lt;=Summary!$B$2,"PASS","FAIL")))</f>
        <v/>
      </c>
      <c r="U4208" s="8" t="str">
        <f aca="false">IF(T4208="BYPASS",IF(NOT(ISNUMBER(Q4208)),"PreV_ETB missing","End_tr_balance missing"),IF(T4208="FAIL",IF(AND(ISNUMBER(K4208),ISNUMBER(L4208),ABS(L4208-(K4208-IF(ISNUMBER(N4208),N4208,0)-IF(ISNUMBER(O4208),O4208,0)+IF(ISNUMBER(P4208),P4208,0)))&lt;=Summary!$B$2),"Passes using beginning_balance - PreV_ETB differs from beginning_balance",IF(AND(ISNUMBER(O4208),O4208&lt;0,ABS(L4208-(Q4208-IF(ISNUMBER(N4208),N4208,0)+IF(ISNUMBER(P4208),P4208,0)))&lt;=Summary!$B$2),"Negative realized loss not applied - check sign",IF(R4208&lt;0,"Principal paid exceeds prior balance",IF(AND(L4208&gt;Q4208,NOT(ISNUMBER(P4208))),"Balance increased but no Deferred_interest reported",IF(L4208&gt;R4208,"Reported balance higher than expected (missing increase/OC build)","Reported balance lower than expected (missing decrease)"))))),""))</f>
        <v/>
      </c>
    </row>
    <row r="4209" customFormat="false" ht="15" hidden="false" customHeight="false" outlineLevel="0" collapsed="false">
      <c r="A4209" s="8"/>
      <c r="B4209" s="8"/>
      <c r="C4209" s="8"/>
      <c r="D4209" s="8"/>
      <c r="E4209" s="8"/>
      <c r="F4209" s="8"/>
      <c r="G4209" s="8"/>
      <c r="H4209" s="8"/>
      <c r="I4209" s="8"/>
      <c r="J4209" s="8"/>
      <c r="K4209" s="9"/>
      <c r="L4209" s="9"/>
      <c r="M4209" s="9"/>
      <c r="N4209" s="9"/>
      <c r="O4209" s="9"/>
      <c r="P4209" s="9"/>
      <c r="Q4209" s="9"/>
      <c r="R4209" s="9" t="str">
        <f aca="false">IF(AND(A4209&lt;&gt;"",ISNUMBER(Q4209),ISNUMBER(L4209)),ROUND(Q4209-IF(ISNUMBER(N4209),N4209,0)-IF(ISNUMBER(O4209),O4209,0)+IF(ISNUMBER(P4209),P4209,0),2),"")</f>
        <v/>
      </c>
      <c r="S4209" s="9" t="str">
        <f aca="false">IF(R4209="","",ROUND(L4209-R4209,2))</f>
        <v/>
      </c>
      <c r="T4209" s="8" t="str">
        <f aca="false">IF(A4209="","",IF(S4209="","BYPASS",IF(ABS(S4209)&lt;=Summary!$B$2,"PASS","FAIL")))</f>
        <v/>
      </c>
      <c r="U4209" s="8" t="str">
        <f aca="false">IF(T4209="BYPASS",IF(NOT(ISNUMBER(Q4209)),"PreV_ETB missing","End_tr_balance missing"),IF(T4209="FAIL",IF(AND(ISNUMBER(K4209),ISNUMBER(L4209),ABS(L4209-(K4209-IF(ISNUMBER(N4209),N4209,0)-IF(ISNUMBER(O4209),O4209,0)+IF(ISNUMBER(P4209),P4209,0)))&lt;=Summary!$B$2),"Passes using beginning_balance - PreV_ETB differs from beginning_balance",IF(AND(ISNUMBER(O4209),O4209&lt;0,ABS(L4209-(Q4209-IF(ISNUMBER(N4209),N4209,0)+IF(ISNUMBER(P4209),P4209,0)))&lt;=Summary!$B$2),"Negative realized loss not applied - check sign",IF(R4209&lt;0,"Principal paid exceeds prior balance",IF(AND(L4209&gt;Q4209,NOT(ISNUMBER(P4209))),"Balance increased but no Deferred_interest reported",IF(L4209&gt;R4209,"Reported balance higher than expected (missing increase/OC build)","Reported balance lower than expected (missing decrease)"))))),""))</f>
        <v/>
      </c>
    </row>
    <row r="4210" customFormat="false" ht="15" hidden="false" customHeight="false" outlineLevel="0" collapsed="false">
      <c r="A4210" s="8"/>
      <c r="B4210" s="8"/>
      <c r="C4210" s="8"/>
      <c r="D4210" s="8"/>
      <c r="E4210" s="8"/>
      <c r="F4210" s="8"/>
      <c r="G4210" s="8"/>
      <c r="H4210" s="8"/>
      <c r="I4210" s="8"/>
      <c r="J4210" s="8"/>
      <c r="K4210" s="9"/>
      <c r="L4210" s="9"/>
      <c r="M4210" s="9"/>
      <c r="N4210" s="9"/>
      <c r="O4210" s="9"/>
      <c r="P4210" s="9"/>
      <c r="Q4210" s="9"/>
      <c r="R4210" s="9" t="str">
        <f aca="false">IF(AND(A4210&lt;&gt;"",ISNUMBER(Q4210),ISNUMBER(L4210)),ROUND(Q4210-IF(ISNUMBER(N4210),N4210,0)-IF(ISNUMBER(O4210),O4210,0)+IF(ISNUMBER(P4210),P4210,0),2),"")</f>
        <v/>
      </c>
      <c r="S4210" s="9" t="str">
        <f aca="false">IF(R4210="","",ROUND(L4210-R4210,2))</f>
        <v/>
      </c>
      <c r="T4210" s="8" t="str">
        <f aca="false">IF(A4210="","",IF(S4210="","BYPASS",IF(ABS(S4210)&lt;=Summary!$B$2,"PASS","FAIL")))</f>
        <v/>
      </c>
      <c r="U4210" s="8" t="str">
        <f aca="false">IF(T4210="BYPASS",IF(NOT(ISNUMBER(Q4210)),"PreV_ETB missing","End_tr_balance missing"),IF(T4210="FAIL",IF(AND(ISNUMBER(K4210),ISNUMBER(L4210),ABS(L4210-(K4210-IF(ISNUMBER(N4210),N4210,0)-IF(ISNUMBER(O4210),O4210,0)+IF(ISNUMBER(P4210),P4210,0)))&lt;=Summary!$B$2),"Passes using beginning_balance - PreV_ETB differs from beginning_balance",IF(AND(ISNUMBER(O4210),O4210&lt;0,ABS(L4210-(Q4210-IF(ISNUMBER(N4210),N4210,0)+IF(ISNUMBER(P4210),P4210,0)))&lt;=Summary!$B$2),"Negative realized loss not applied - check sign",IF(R4210&lt;0,"Principal paid exceeds prior balance",IF(AND(L4210&gt;Q4210,NOT(ISNUMBER(P4210))),"Balance increased but no Deferred_interest reported",IF(L4210&gt;R4210,"Reported balance higher than expected (missing increase/OC build)","Reported balance lower than expected (missing decrease)"))))),""))</f>
        <v/>
      </c>
    </row>
    <row r="4211" customFormat="false" ht="15" hidden="false" customHeight="false" outlineLevel="0" collapsed="false">
      <c r="A4211" s="8"/>
      <c r="B4211" s="8"/>
      <c r="C4211" s="8"/>
      <c r="D4211" s="8"/>
      <c r="E4211" s="8"/>
      <c r="F4211" s="8"/>
      <c r="G4211" s="8"/>
      <c r="H4211" s="8"/>
      <c r="I4211" s="8"/>
      <c r="J4211" s="8"/>
      <c r="K4211" s="9"/>
      <c r="L4211" s="9"/>
      <c r="M4211" s="9"/>
      <c r="N4211" s="9"/>
      <c r="O4211" s="9"/>
      <c r="P4211" s="9"/>
      <c r="Q4211" s="9"/>
      <c r="R4211" s="9" t="str">
        <f aca="false">IF(AND(A4211&lt;&gt;"",ISNUMBER(Q4211),ISNUMBER(L4211)),ROUND(Q4211-IF(ISNUMBER(N4211),N4211,0)-IF(ISNUMBER(O4211),O4211,0)+IF(ISNUMBER(P4211),P4211,0),2),"")</f>
        <v/>
      </c>
      <c r="S4211" s="9" t="str">
        <f aca="false">IF(R4211="","",ROUND(L4211-R4211,2))</f>
        <v/>
      </c>
      <c r="T4211" s="8" t="str">
        <f aca="false">IF(A4211="","",IF(S4211="","BYPASS",IF(ABS(S4211)&lt;=Summary!$B$2,"PASS","FAIL")))</f>
        <v/>
      </c>
      <c r="U4211" s="8" t="str">
        <f aca="false">IF(T4211="BYPASS",IF(NOT(ISNUMBER(Q4211)),"PreV_ETB missing","End_tr_balance missing"),IF(T4211="FAIL",IF(AND(ISNUMBER(K4211),ISNUMBER(L4211),ABS(L4211-(K4211-IF(ISNUMBER(N4211),N4211,0)-IF(ISNUMBER(O4211),O4211,0)+IF(ISNUMBER(P4211),P4211,0)))&lt;=Summary!$B$2),"Passes using beginning_balance - PreV_ETB differs from beginning_balance",IF(AND(ISNUMBER(O4211),O4211&lt;0,ABS(L4211-(Q4211-IF(ISNUMBER(N4211),N4211,0)+IF(ISNUMBER(P4211),P4211,0)))&lt;=Summary!$B$2),"Negative realized loss not applied - check sign",IF(R4211&lt;0,"Principal paid exceeds prior balance",IF(AND(L4211&gt;Q4211,NOT(ISNUMBER(P4211))),"Balance increased but no Deferred_interest reported",IF(L4211&gt;R4211,"Reported balance higher than expected (missing increase/OC build)","Reported balance lower than expected (missing decrease)"))))),""))</f>
        <v/>
      </c>
    </row>
    <row r="4212" customFormat="false" ht="15" hidden="false" customHeight="false" outlineLevel="0" collapsed="false">
      <c r="A4212" s="8"/>
      <c r="B4212" s="8"/>
      <c r="C4212" s="8"/>
      <c r="D4212" s="8"/>
      <c r="E4212" s="8"/>
      <c r="F4212" s="8"/>
      <c r="G4212" s="8"/>
      <c r="H4212" s="8"/>
      <c r="I4212" s="8"/>
      <c r="J4212" s="8"/>
      <c r="K4212" s="9"/>
      <c r="L4212" s="9"/>
      <c r="M4212" s="9"/>
      <c r="N4212" s="9"/>
      <c r="O4212" s="9"/>
      <c r="P4212" s="9"/>
      <c r="Q4212" s="9"/>
      <c r="R4212" s="9" t="str">
        <f aca="false">IF(AND(A4212&lt;&gt;"",ISNUMBER(Q4212),ISNUMBER(L4212)),ROUND(Q4212-IF(ISNUMBER(N4212),N4212,0)-IF(ISNUMBER(O4212),O4212,0)+IF(ISNUMBER(P4212),P4212,0),2),"")</f>
        <v/>
      </c>
      <c r="S4212" s="9" t="str">
        <f aca="false">IF(R4212="","",ROUND(L4212-R4212,2))</f>
        <v/>
      </c>
      <c r="T4212" s="8" t="str">
        <f aca="false">IF(A4212="","",IF(S4212="","BYPASS",IF(ABS(S4212)&lt;=Summary!$B$2,"PASS","FAIL")))</f>
        <v/>
      </c>
      <c r="U4212" s="8" t="str">
        <f aca="false">IF(T4212="BYPASS",IF(NOT(ISNUMBER(Q4212)),"PreV_ETB missing","End_tr_balance missing"),IF(T4212="FAIL",IF(AND(ISNUMBER(K4212),ISNUMBER(L4212),ABS(L4212-(K4212-IF(ISNUMBER(N4212),N4212,0)-IF(ISNUMBER(O4212),O4212,0)+IF(ISNUMBER(P4212),P4212,0)))&lt;=Summary!$B$2),"Passes using beginning_balance - PreV_ETB differs from beginning_balance",IF(AND(ISNUMBER(O4212),O4212&lt;0,ABS(L4212-(Q4212-IF(ISNUMBER(N4212),N4212,0)+IF(ISNUMBER(P4212),P4212,0)))&lt;=Summary!$B$2),"Negative realized loss not applied - check sign",IF(R4212&lt;0,"Principal paid exceeds prior balance",IF(AND(L4212&gt;Q4212,NOT(ISNUMBER(P4212))),"Balance increased but no Deferred_interest reported",IF(L4212&gt;R4212,"Reported balance higher than expected (missing increase/OC build)","Reported balance lower than expected (missing decrease)"))))),""))</f>
        <v/>
      </c>
    </row>
    <row r="4213" customFormat="false" ht="15" hidden="false" customHeight="false" outlineLevel="0" collapsed="false">
      <c r="A4213" s="8"/>
      <c r="B4213" s="8"/>
      <c r="C4213" s="8"/>
      <c r="D4213" s="8"/>
      <c r="E4213" s="8"/>
      <c r="F4213" s="8"/>
      <c r="G4213" s="8"/>
      <c r="H4213" s="8"/>
      <c r="I4213" s="8"/>
      <c r="J4213" s="8"/>
      <c r="K4213" s="9"/>
      <c r="L4213" s="9"/>
      <c r="M4213" s="9"/>
      <c r="N4213" s="9"/>
      <c r="O4213" s="9"/>
      <c r="P4213" s="9"/>
      <c r="Q4213" s="9"/>
      <c r="R4213" s="9" t="str">
        <f aca="false">IF(AND(A4213&lt;&gt;"",ISNUMBER(Q4213),ISNUMBER(L4213)),ROUND(Q4213-IF(ISNUMBER(N4213),N4213,0)-IF(ISNUMBER(O4213),O4213,0)+IF(ISNUMBER(P4213),P4213,0),2),"")</f>
        <v/>
      </c>
      <c r="S4213" s="9" t="str">
        <f aca="false">IF(R4213="","",ROUND(L4213-R4213,2))</f>
        <v/>
      </c>
      <c r="T4213" s="8" t="str">
        <f aca="false">IF(A4213="","",IF(S4213="","BYPASS",IF(ABS(S4213)&lt;=Summary!$B$2,"PASS","FAIL")))</f>
        <v/>
      </c>
      <c r="U4213" s="8" t="str">
        <f aca="false">IF(T4213="BYPASS",IF(NOT(ISNUMBER(Q4213)),"PreV_ETB missing","End_tr_balance missing"),IF(T4213="FAIL",IF(AND(ISNUMBER(K4213),ISNUMBER(L4213),ABS(L4213-(K4213-IF(ISNUMBER(N4213),N4213,0)-IF(ISNUMBER(O4213),O4213,0)+IF(ISNUMBER(P4213),P4213,0)))&lt;=Summary!$B$2),"Passes using beginning_balance - PreV_ETB differs from beginning_balance",IF(AND(ISNUMBER(O4213),O4213&lt;0,ABS(L4213-(Q4213-IF(ISNUMBER(N4213),N4213,0)+IF(ISNUMBER(P4213),P4213,0)))&lt;=Summary!$B$2),"Negative realized loss not applied - check sign",IF(R4213&lt;0,"Principal paid exceeds prior balance",IF(AND(L4213&gt;Q4213,NOT(ISNUMBER(P4213))),"Balance increased but no Deferred_interest reported",IF(L4213&gt;R4213,"Reported balance higher than expected (missing increase/OC build)","Reported balance lower than expected (missing decrease)"))))),""))</f>
        <v/>
      </c>
    </row>
    <row r="4214" customFormat="false" ht="15" hidden="false" customHeight="false" outlineLevel="0" collapsed="false">
      <c r="A4214" s="8"/>
      <c r="B4214" s="8"/>
      <c r="C4214" s="8"/>
      <c r="D4214" s="8"/>
      <c r="E4214" s="8"/>
      <c r="F4214" s="8"/>
      <c r="G4214" s="8"/>
      <c r="H4214" s="8"/>
      <c r="I4214" s="8"/>
      <c r="J4214" s="8"/>
      <c r="K4214" s="9"/>
      <c r="L4214" s="9"/>
      <c r="M4214" s="9"/>
      <c r="N4214" s="9"/>
      <c r="O4214" s="9"/>
      <c r="P4214" s="9"/>
      <c r="Q4214" s="9"/>
      <c r="R4214" s="9" t="str">
        <f aca="false">IF(AND(A4214&lt;&gt;"",ISNUMBER(Q4214),ISNUMBER(L4214)),ROUND(Q4214-IF(ISNUMBER(N4214),N4214,0)-IF(ISNUMBER(O4214),O4214,0)+IF(ISNUMBER(P4214),P4214,0),2),"")</f>
        <v/>
      </c>
      <c r="S4214" s="9" t="str">
        <f aca="false">IF(R4214="","",ROUND(L4214-R4214,2))</f>
        <v/>
      </c>
      <c r="T4214" s="8" t="str">
        <f aca="false">IF(A4214="","",IF(S4214="","BYPASS",IF(ABS(S4214)&lt;=Summary!$B$2,"PASS","FAIL")))</f>
        <v/>
      </c>
      <c r="U4214" s="8" t="str">
        <f aca="false">IF(T4214="BYPASS",IF(NOT(ISNUMBER(Q4214)),"PreV_ETB missing","End_tr_balance missing"),IF(T4214="FAIL",IF(AND(ISNUMBER(K4214),ISNUMBER(L4214),ABS(L4214-(K4214-IF(ISNUMBER(N4214),N4214,0)-IF(ISNUMBER(O4214),O4214,0)+IF(ISNUMBER(P4214),P4214,0)))&lt;=Summary!$B$2),"Passes using beginning_balance - PreV_ETB differs from beginning_balance",IF(AND(ISNUMBER(O4214),O4214&lt;0,ABS(L4214-(Q4214-IF(ISNUMBER(N4214),N4214,0)+IF(ISNUMBER(P4214),P4214,0)))&lt;=Summary!$B$2),"Negative realized loss not applied - check sign",IF(R4214&lt;0,"Principal paid exceeds prior balance",IF(AND(L4214&gt;Q4214,NOT(ISNUMBER(P4214))),"Balance increased but no Deferred_interest reported",IF(L4214&gt;R4214,"Reported balance higher than expected (missing increase/OC build)","Reported balance lower than expected (missing decrease)"))))),""))</f>
        <v/>
      </c>
    </row>
    <row r="4215" customFormat="false" ht="15" hidden="false" customHeight="false" outlineLevel="0" collapsed="false">
      <c r="A4215" s="8"/>
      <c r="B4215" s="8"/>
      <c r="C4215" s="8"/>
      <c r="D4215" s="8"/>
      <c r="E4215" s="8"/>
      <c r="F4215" s="8"/>
      <c r="G4215" s="8"/>
      <c r="H4215" s="8"/>
      <c r="I4215" s="8"/>
      <c r="J4215" s="8"/>
      <c r="K4215" s="9"/>
      <c r="L4215" s="9"/>
      <c r="M4215" s="9"/>
      <c r="N4215" s="9"/>
      <c r="O4215" s="9"/>
      <c r="P4215" s="9"/>
      <c r="Q4215" s="9"/>
      <c r="R4215" s="9" t="str">
        <f aca="false">IF(AND(A4215&lt;&gt;"",ISNUMBER(Q4215),ISNUMBER(L4215)),ROUND(Q4215-IF(ISNUMBER(N4215),N4215,0)-IF(ISNUMBER(O4215),O4215,0)+IF(ISNUMBER(P4215),P4215,0),2),"")</f>
        <v/>
      </c>
      <c r="S4215" s="9" t="str">
        <f aca="false">IF(R4215="","",ROUND(L4215-R4215,2))</f>
        <v/>
      </c>
      <c r="T4215" s="8" t="str">
        <f aca="false">IF(A4215="","",IF(S4215="","BYPASS",IF(ABS(S4215)&lt;=Summary!$B$2,"PASS","FAIL")))</f>
        <v/>
      </c>
      <c r="U4215" s="8" t="str">
        <f aca="false">IF(T4215="BYPASS",IF(NOT(ISNUMBER(Q4215)),"PreV_ETB missing","End_tr_balance missing"),IF(T4215="FAIL",IF(AND(ISNUMBER(K4215),ISNUMBER(L4215),ABS(L4215-(K4215-IF(ISNUMBER(N4215),N4215,0)-IF(ISNUMBER(O4215),O4215,0)+IF(ISNUMBER(P4215),P4215,0)))&lt;=Summary!$B$2),"Passes using beginning_balance - PreV_ETB differs from beginning_balance",IF(AND(ISNUMBER(O4215),O4215&lt;0,ABS(L4215-(Q4215-IF(ISNUMBER(N4215),N4215,0)+IF(ISNUMBER(P4215),P4215,0)))&lt;=Summary!$B$2),"Negative realized loss not applied - check sign",IF(R4215&lt;0,"Principal paid exceeds prior balance",IF(AND(L4215&gt;Q4215,NOT(ISNUMBER(P4215))),"Balance increased but no Deferred_interest reported",IF(L4215&gt;R4215,"Reported balance higher than expected (missing increase/OC build)","Reported balance lower than expected (missing decrease)"))))),""))</f>
        <v/>
      </c>
    </row>
    <row r="4216" customFormat="false" ht="15" hidden="false" customHeight="false" outlineLevel="0" collapsed="false">
      <c r="A4216" s="8"/>
      <c r="B4216" s="8"/>
      <c r="C4216" s="8"/>
      <c r="D4216" s="8"/>
      <c r="E4216" s="8"/>
      <c r="F4216" s="8"/>
      <c r="G4216" s="8"/>
      <c r="H4216" s="8"/>
      <c r="I4216" s="8"/>
      <c r="J4216" s="8"/>
      <c r="K4216" s="9"/>
      <c r="L4216" s="9"/>
      <c r="M4216" s="9"/>
      <c r="N4216" s="9"/>
      <c r="O4216" s="9"/>
      <c r="P4216" s="9"/>
      <c r="Q4216" s="9"/>
      <c r="R4216" s="9" t="str">
        <f aca="false">IF(AND(A4216&lt;&gt;"",ISNUMBER(Q4216),ISNUMBER(L4216)),ROUND(Q4216-IF(ISNUMBER(N4216),N4216,0)-IF(ISNUMBER(O4216),O4216,0)+IF(ISNUMBER(P4216),P4216,0),2),"")</f>
        <v/>
      </c>
      <c r="S4216" s="9" t="str">
        <f aca="false">IF(R4216="","",ROUND(L4216-R4216,2))</f>
        <v/>
      </c>
      <c r="T4216" s="8" t="str">
        <f aca="false">IF(A4216="","",IF(S4216="","BYPASS",IF(ABS(S4216)&lt;=Summary!$B$2,"PASS","FAIL")))</f>
        <v/>
      </c>
      <c r="U4216" s="8" t="str">
        <f aca="false">IF(T4216="BYPASS",IF(NOT(ISNUMBER(Q4216)),"PreV_ETB missing","End_tr_balance missing"),IF(T4216="FAIL",IF(AND(ISNUMBER(K4216),ISNUMBER(L4216),ABS(L4216-(K4216-IF(ISNUMBER(N4216),N4216,0)-IF(ISNUMBER(O4216),O4216,0)+IF(ISNUMBER(P4216),P4216,0)))&lt;=Summary!$B$2),"Passes using beginning_balance - PreV_ETB differs from beginning_balance",IF(AND(ISNUMBER(O4216),O4216&lt;0,ABS(L4216-(Q4216-IF(ISNUMBER(N4216),N4216,0)+IF(ISNUMBER(P4216),P4216,0)))&lt;=Summary!$B$2),"Negative realized loss not applied - check sign",IF(R4216&lt;0,"Principal paid exceeds prior balance",IF(AND(L4216&gt;Q4216,NOT(ISNUMBER(P4216))),"Balance increased but no Deferred_interest reported",IF(L4216&gt;R4216,"Reported balance higher than expected (missing increase/OC build)","Reported balance lower than expected (missing decrease)"))))),""))</f>
        <v/>
      </c>
    </row>
    <row r="4217" customFormat="false" ht="15" hidden="false" customHeight="false" outlineLevel="0" collapsed="false">
      <c r="A4217" s="8"/>
      <c r="B4217" s="8"/>
      <c r="C4217" s="8"/>
      <c r="D4217" s="8"/>
      <c r="E4217" s="8"/>
      <c r="F4217" s="8"/>
      <c r="G4217" s="8"/>
      <c r="H4217" s="8"/>
      <c r="I4217" s="8"/>
      <c r="J4217" s="8"/>
      <c r="K4217" s="9"/>
      <c r="L4217" s="9"/>
      <c r="M4217" s="9"/>
      <c r="N4217" s="9"/>
      <c r="O4217" s="9"/>
      <c r="P4217" s="9"/>
      <c r="Q4217" s="9"/>
      <c r="R4217" s="9" t="str">
        <f aca="false">IF(AND(A4217&lt;&gt;"",ISNUMBER(Q4217),ISNUMBER(L4217)),ROUND(Q4217-IF(ISNUMBER(N4217),N4217,0)-IF(ISNUMBER(O4217),O4217,0)+IF(ISNUMBER(P4217),P4217,0),2),"")</f>
        <v/>
      </c>
      <c r="S4217" s="9" t="str">
        <f aca="false">IF(R4217="","",ROUND(L4217-R4217,2))</f>
        <v/>
      </c>
      <c r="T4217" s="8" t="str">
        <f aca="false">IF(A4217="","",IF(S4217="","BYPASS",IF(ABS(S4217)&lt;=Summary!$B$2,"PASS","FAIL")))</f>
        <v/>
      </c>
      <c r="U4217" s="8" t="str">
        <f aca="false">IF(T4217="BYPASS",IF(NOT(ISNUMBER(Q4217)),"PreV_ETB missing","End_tr_balance missing"),IF(T4217="FAIL",IF(AND(ISNUMBER(K4217),ISNUMBER(L4217),ABS(L4217-(K4217-IF(ISNUMBER(N4217),N4217,0)-IF(ISNUMBER(O4217),O4217,0)+IF(ISNUMBER(P4217),P4217,0)))&lt;=Summary!$B$2),"Passes using beginning_balance - PreV_ETB differs from beginning_balance",IF(AND(ISNUMBER(O4217),O4217&lt;0,ABS(L4217-(Q4217-IF(ISNUMBER(N4217),N4217,0)+IF(ISNUMBER(P4217),P4217,0)))&lt;=Summary!$B$2),"Negative realized loss not applied - check sign",IF(R4217&lt;0,"Principal paid exceeds prior balance",IF(AND(L4217&gt;Q4217,NOT(ISNUMBER(P4217))),"Balance increased but no Deferred_interest reported",IF(L4217&gt;R4217,"Reported balance higher than expected (missing increase/OC build)","Reported balance lower than expected (missing decrease)"))))),""))</f>
        <v/>
      </c>
    </row>
    <row r="4218" customFormat="false" ht="15" hidden="false" customHeight="false" outlineLevel="0" collapsed="false">
      <c r="A4218" s="8"/>
      <c r="B4218" s="8"/>
      <c r="C4218" s="8"/>
      <c r="D4218" s="8"/>
      <c r="E4218" s="8"/>
      <c r="F4218" s="8"/>
      <c r="G4218" s="8"/>
      <c r="H4218" s="8"/>
      <c r="I4218" s="8"/>
      <c r="J4218" s="8"/>
      <c r="K4218" s="9"/>
      <c r="L4218" s="9"/>
      <c r="M4218" s="9"/>
      <c r="N4218" s="9"/>
      <c r="O4218" s="9"/>
      <c r="P4218" s="9"/>
      <c r="Q4218" s="9"/>
      <c r="R4218" s="9" t="str">
        <f aca="false">IF(AND(A4218&lt;&gt;"",ISNUMBER(Q4218),ISNUMBER(L4218)),ROUND(Q4218-IF(ISNUMBER(N4218),N4218,0)-IF(ISNUMBER(O4218),O4218,0)+IF(ISNUMBER(P4218),P4218,0),2),"")</f>
        <v/>
      </c>
      <c r="S4218" s="9" t="str">
        <f aca="false">IF(R4218="","",ROUND(L4218-R4218,2))</f>
        <v/>
      </c>
      <c r="T4218" s="8" t="str">
        <f aca="false">IF(A4218="","",IF(S4218="","BYPASS",IF(ABS(S4218)&lt;=Summary!$B$2,"PASS","FAIL")))</f>
        <v/>
      </c>
      <c r="U4218" s="8" t="str">
        <f aca="false">IF(T4218="BYPASS",IF(NOT(ISNUMBER(Q4218)),"PreV_ETB missing","End_tr_balance missing"),IF(T4218="FAIL",IF(AND(ISNUMBER(K4218),ISNUMBER(L4218),ABS(L4218-(K4218-IF(ISNUMBER(N4218),N4218,0)-IF(ISNUMBER(O4218),O4218,0)+IF(ISNUMBER(P4218),P4218,0)))&lt;=Summary!$B$2),"Passes using beginning_balance - PreV_ETB differs from beginning_balance",IF(AND(ISNUMBER(O4218),O4218&lt;0,ABS(L4218-(Q4218-IF(ISNUMBER(N4218),N4218,0)+IF(ISNUMBER(P4218),P4218,0)))&lt;=Summary!$B$2),"Negative realized loss not applied - check sign",IF(R4218&lt;0,"Principal paid exceeds prior balance",IF(AND(L4218&gt;Q4218,NOT(ISNUMBER(P4218))),"Balance increased but no Deferred_interest reported",IF(L4218&gt;R4218,"Reported balance higher than expected (missing increase/OC build)","Reported balance lower than expected (missing decrease)"))))),""))</f>
        <v/>
      </c>
    </row>
    <row r="4219" customFormat="false" ht="15" hidden="false" customHeight="false" outlineLevel="0" collapsed="false">
      <c r="A4219" s="8"/>
      <c r="B4219" s="8"/>
      <c r="C4219" s="8"/>
      <c r="D4219" s="8"/>
      <c r="E4219" s="8"/>
      <c r="F4219" s="8"/>
      <c r="G4219" s="8"/>
      <c r="H4219" s="8"/>
      <c r="I4219" s="8"/>
      <c r="J4219" s="8"/>
      <c r="K4219" s="9"/>
      <c r="L4219" s="9"/>
      <c r="M4219" s="9"/>
      <c r="N4219" s="9"/>
      <c r="O4219" s="9"/>
      <c r="P4219" s="9"/>
      <c r="Q4219" s="9"/>
      <c r="R4219" s="9" t="str">
        <f aca="false">IF(AND(A4219&lt;&gt;"",ISNUMBER(Q4219),ISNUMBER(L4219)),ROUND(Q4219-IF(ISNUMBER(N4219),N4219,0)-IF(ISNUMBER(O4219),O4219,0)+IF(ISNUMBER(P4219),P4219,0),2),"")</f>
        <v/>
      </c>
      <c r="S4219" s="9" t="str">
        <f aca="false">IF(R4219="","",ROUND(L4219-R4219,2))</f>
        <v/>
      </c>
      <c r="T4219" s="8" t="str">
        <f aca="false">IF(A4219="","",IF(S4219="","BYPASS",IF(ABS(S4219)&lt;=Summary!$B$2,"PASS","FAIL")))</f>
        <v/>
      </c>
      <c r="U4219" s="8" t="str">
        <f aca="false">IF(T4219="BYPASS",IF(NOT(ISNUMBER(Q4219)),"PreV_ETB missing","End_tr_balance missing"),IF(T4219="FAIL",IF(AND(ISNUMBER(K4219),ISNUMBER(L4219),ABS(L4219-(K4219-IF(ISNUMBER(N4219),N4219,0)-IF(ISNUMBER(O4219),O4219,0)+IF(ISNUMBER(P4219),P4219,0)))&lt;=Summary!$B$2),"Passes using beginning_balance - PreV_ETB differs from beginning_balance",IF(AND(ISNUMBER(O4219),O4219&lt;0,ABS(L4219-(Q4219-IF(ISNUMBER(N4219),N4219,0)+IF(ISNUMBER(P4219),P4219,0)))&lt;=Summary!$B$2),"Negative realized loss not applied - check sign",IF(R4219&lt;0,"Principal paid exceeds prior balance",IF(AND(L4219&gt;Q4219,NOT(ISNUMBER(P4219))),"Balance increased but no Deferred_interest reported",IF(L4219&gt;R4219,"Reported balance higher than expected (missing increase/OC build)","Reported balance lower than expected (missing decrease)"))))),""))</f>
        <v/>
      </c>
    </row>
    <row r="4220" customFormat="false" ht="15" hidden="false" customHeight="false" outlineLevel="0" collapsed="false">
      <c r="A4220" s="8"/>
      <c r="B4220" s="8"/>
      <c r="C4220" s="8"/>
      <c r="D4220" s="8"/>
      <c r="E4220" s="8"/>
      <c r="F4220" s="8"/>
      <c r="G4220" s="8"/>
      <c r="H4220" s="8"/>
      <c r="I4220" s="8"/>
      <c r="J4220" s="8"/>
      <c r="K4220" s="9"/>
      <c r="L4220" s="9"/>
      <c r="M4220" s="9"/>
      <c r="N4220" s="9"/>
      <c r="O4220" s="9"/>
      <c r="P4220" s="9"/>
      <c r="Q4220" s="9"/>
      <c r="R4220" s="9" t="str">
        <f aca="false">IF(AND(A4220&lt;&gt;"",ISNUMBER(Q4220),ISNUMBER(L4220)),ROUND(Q4220-IF(ISNUMBER(N4220),N4220,0)-IF(ISNUMBER(O4220),O4220,0)+IF(ISNUMBER(P4220),P4220,0),2),"")</f>
        <v/>
      </c>
      <c r="S4220" s="9" t="str">
        <f aca="false">IF(R4220="","",ROUND(L4220-R4220,2))</f>
        <v/>
      </c>
      <c r="T4220" s="8" t="str">
        <f aca="false">IF(A4220="","",IF(S4220="","BYPASS",IF(ABS(S4220)&lt;=Summary!$B$2,"PASS","FAIL")))</f>
        <v/>
      </c>
      <c r="U4220" s="8" t="str">
        <f aca="false">IF(T4220="BYPASS",IF(NOT(ISNUMBER(Q4220)),"PreV_ETB missing","End_tr_balance missing"),IF(T4220="FAIL",IF(AND(ISNUMBER(K4220),ISNUMBER(L4220),ABS(L4220-(K4220-IF(ISNUMBER(N4220),N4220,0)-IF(ISNUMBER(O4220),O4220,0)+IF(ISNUMBER(P4220),P4220,0)))&lt;=Summary!$B$2),"Passes using beginning_balance - PreV_ETB differs from beginning_balance",IF(AND(ISNUMBER(O4220),O4220&lt;0,ABS(L4220-(Q4220-IF(ISNUMBER(N4220),N4220,0)+IF(ISNUMBER(P4220),P4220,0)))&lt;=Summary!$B$2),"Negative realized loss not applied - check sign",IF(R4220&lt;0,"Principal paid exceeds prior balance",IF(AND(L4220&gt;Q4220,NOT(ISNUMBER(P4220))),"Balance increased but no Deferred_interest reported",IF(L4220&gt;R4220,"Reported balance higher than expected (missing increase/OC build)","Reported balance lower than expected (missing decrease)"))))),""))</f>
        <v/>
      </c>
    </row>
    <row r="4221" customFormat="false" ht="15" hidden="false" customHeight="false" outlineLevel="0" collapsed="false">
      <c r="A4221" s="8"/>
      <c r="B4221" s="8"/>
      <c r="C4221" s="8"/>
      <c r="D4221" s="8"/>
      <c r="E4221" s="8"/>
      <c r="F4221" s="8"/>
      <c r="G4221" s="8"/>
      <c r="H4221" s="8"/>
      <c r="I4221" s="8"/>
      <c r="J4221" s="8"/>
      <c r="K4221" s="9"/>
      <c r="L4221" s="9"/>
      <c r="M4221" s="9"/>
      <c r="N4221" s="9"/>
      <c r="O4221" s="9"/>
      <c r="P4221" s="9"/>
      <c r="Q4221" s="9"/>
      <c r="R4221" s="9" t="str">
        <f aca="false">IF(AND(A4221&lt;&gt;"",ISNUMBER(Q4221),ISNUMBER(L4221)),ROUND(Q4221-IF(ISNUMBER(N4221),N4221,0)-IF(ISNUMBER(O4221),O4221,0)+IF(ISNUMBER(P4221),P4221,0),2),"")</f>
        <v/>
      </c>
      <c r="S4221" s="9" t="str">
        <f aca="false">IF(R4221="","",ROUND(L4221-R4221,2))</f>
        <v/>
      </c>
      <c r="T4221" s="8" t="str">
        <f aca="false">IF(A4221="","",IF(S4221="","BYPASS",IF(ABS(S4221)&lt;=Summary!$B$2,"PASS","FAIL")))</f>
        <v/>
      </c>
      <c r="U4221" s="8" t="str">
        <f aca="false">IF(T4221="BYPASS",IF(NOT(ISNUMBER(Q4221)),"PreV_ETB missing","End_tr_balance missing"),IF(T4221="FAIL",IF(AND(ISNUMBER(K4221),ISNUMBER(L4221),ABS(L4221-(K4221-IF(ISNUMBER(N4221),N4221,0)-IF(ISNUMBER(O4221),O4221,0)+IF(ISNUMBER(P4221),P4221,0)))&lt;=Summary!$B$2),"Passes using beginning_balance - PreV_ETB differs from beginning_balance",IF(AND(ISNUMBER(O4221),O4221&lt;0,ABS(L4221-(Q4221-IF(ISNUMBER(N4221),N4221,0)+IF(ISNUMBER(P4221),P4221,0)))&lt;=Summary!$B$2),"Negative realized loss not applied - check sign",IF(R4221&lt;0,"Principal paid exceeds prior balance",IF(AND(L4221&gt;Q4221,NOT(ISNUMBER(P4221))),"Balance increased but no Deferred_interest reported",IF(L4221&gt;R4221,"Reported balance higher than expected (missing increase/OC build)","Reported balance lower than expected (missing decrease)"))))),""))</f>
        <v/>
      </c>
    </row>
    <row r="4222" customFormat="false" ht="15" hidden="false" customHeight="false" outlineLevel="0" collapsed="false">
      <c r="A4222" s="8"/>
      <c r="B4222" s="8"/>
      <c r="C4222" s="8"/>
      <c r="D4222" s="8"/>
      <c r="E4222" s="8"/>
      <c r="F4222" s="8"/>
      <c r="G4222" s="8"/>
      <c r="H4222" s="8"/>
      <c r="I4222" s="8"/>
      <c r="J4222" s="8"/>
      <c r="K4222" s="9"/>
      <c r="L4222" s="9"/>
      <c r="M4222" s="9"/>
      <c r="N4222" s="9"/>
      <c r="O4222" s="9"/>
      <c r="P4222" s="9"/>
      <c r="Q4222" s="9"/>
      <c r="R4222" s="9" t="str">
        <f aca="false">IF(AND(A4222&lt;&gt;"",ISNUMBER(Q4222),ISNUMBER(L4222)),ROUND(Q4222-IF(ISNUMBER(N4222),N4222,0)-IF(ISNUMBER(O4222),O4222,0)+IF(ISNUMBER(P4222),P4222,0),2),"")</f>
        <v/>
      </c>
      <c r="S4222" s="9" t="str">
        <f aca="false">IF(R4222="","",ROUND(L4222-R4222,2))</f>
        <v/>
      </c>
      <c r="T4222" s="8" t="str">
        <f aca="false">IF(A4222="","",IF(S4222="","BYPASS",IF(ABS(S4222)&lt;=Summary!$B$2,"PASS","FAIL")))</f>
        <v/>
      </c>
      <c r="U4222" s="8" t="str">
        <f aca="false">IF(T4222="BYPASS",IF(NOT(ISNUMBER(Q4222)),"PreV_ETB missing","End_tr_balance missing"),IF(T4222="FAIL",IF(AND(ISNUMBER(K4222),ISNUMBER(L4222),ABS(L4222-(K4222-IF(ISNUMBER(N4222),N4222,0)-IF(ISNUMBER(O4222),O4222,0)+IF(ISNUMBER(P4222),P4222,0)))&lt;=Summary!$B$2),"Passes using beginning_balance - PreV_ETB differs from beginning_balance",IF(AND(ISNUMBER(O4222),O4222&lt;0,ABS(L4222-(Q4222-IF(ISNUMBER(N4222),N4222,0)+IF(ISNUMBER(P4222),P4222,0)))&lt;=Summary!$B$2),"Negative realized loss not applied - check sign",IF(R4222&lt;0,"Principal paid exceeds prior balance",IF(AND(L4222&gt;Q4222,NOT(ISNUMBER(P4222))),"Balance increased but no Deferred_interest reported",IF(L4222&gt;R4222,"Reported balance higher than expected (missing increase/OC build)","Reported balance lower than expected (missing decrease)"))))),""))</f>
        <v/>
      </c>
    </row>
    <row r="4223" customFormat="false" ht="15" hidden="false" customHeight="false" outlineLevel="0" collapsed="false">
      <c r="A4223" s="8"/>
      <c r="B4223" s="8"/>
      <c r="C4223" s="8"/>
      <c r="D4223" s="8"/>
      <c r="E4223" s="8"/>
      <c r="F4223" s="8"/>
      <c r="G4223" s="8"/>
      <c r="H4223" s="8"/>
      <c r="I4223" s="8"/>
      <c r="J4223" s="8"/>
      <c r="K4223" s="9"/>
      <c r="L4223" s="9"/>
      <c r="M4223" s="9"/>
      <c r="N4223" s="9"/>
      <c r="O4223" s="9"/>
      <c r="P4223" s="9"/>
      <c r="Q4223" s="9"/>
      <c r="R4223" s="9" t="str">
        <f aca="false">IF(AND(A4223&lt;&gt;"",ISNUMBER(Q4223),ISNUMBER(L4223)),ROUND(Q4223-IF(ISNUMBER(N4223),N4223,0)-IF(ISNUMBER(O4223),O4223,0)+IF(ISNUMBER(P4223),P4223,0),2),"")</f>
        <v/>
      </c>
      <c r="S4223" s="9" t="str">
        <f aca="false">IF(R4223="","",ROUND(L4223-R4223,2))</f>
        <v/>
      </c>
      <c r="T4223" s="8" t="str">
        <f aca="false">IF(A4223="","",IF(S4223="","BYPASS",IF(ABS(S4223)&lt;=Summary!$B$2,"PASS","FAIL")))</f>
        <v/>
      </c>
      <c r="U4223" s="8" t="str">
        <f aca="false">IF(T4223="BYPASS",IF(NOT(ISNUMBER(Q4223)),"PreV_ETB missing","End_tr_balance missing"),IF(T4223="FAIL",IF(AND(ISNUMBER(K4223),ISNUMBER(L4223),ABS(L4223-(K4223-IF(ISNUMBER(N4223),N4223,0)-IF(ISNUMBER(O4223),O4223,0)+IF(ISNUMBER(P4223),P4223,0)))&lt;=Summary!$B$2),"Passes using beginning_balance - PreV_ETB differs from beginning_balance",IF(AND(ISNUMBER(O4223),O4223&lt;0,ABS(L4223-(Q4223-IF(ISNUMBER(N4223),N4223,0)+IF(ISNUMBER(P4223),P4223,0)))&lt;=Summary!$B$2),"Negative realized loss not applied - check sign",IF(R4223&lt;0,"Principal paid exceeds prior balance",IF(AND(L4223&gt;Q4223,NOT(ISNUMBER(P4223))),"Balance increased but no Deferred_interest reported",IF(L4223&gt;R4223,"Reported balance higher than expected (missing increase/OC build)","Reported balance lower than expected (missing decrease)"))))),""))</f>
        <v/>
      </c>
    </row>
    <row r="4224" customFormat="false" ht="15" hidden="false" customHeight="false" outlineLevel="0" collapsed="false">
      <c r="A4224" s="8"/>
      <c r="B4224" s="8"/>
      <c r="C4224" s="8"/>
      <c r="D4224" s="8"/>
      <c r="E4224" s="8"/>
      <c r="F4224" s="8"/>
      <c r="G4224" s="8"/>
      <c r="H4224" s="8"/>
      <c r="I4224" s="8"/>
      <c r="J4224" s="8"/>
      <c r="K4224" s="9"/>
      <c r="L4224" s="9"/>
      <c r="M4224" s="9"/>
      <c r="N4224" s="9"/>
      <c r="O4224" s="9"/>
      <c r="P4224" s="9"/>
      <c r="Q4224" s="9"/>
      <c r="R4224" s="9" t="str">
        <f aca="false">IF(AND(A4224&lt;&gt;"",ISNUMBER(Q4224),ISNUMBER(L4224)),ROUND(Q4224-IF(ISNUMBER(N4224),N4224,0)-IF(ISNUMBER(O4224),O4224,0)+IF(ISNUMBER(P4224),P4224,0),2),"")</f>
        <v/>
      </c>
      <c r="S4224" s="9" t="str">
        <f aca="false">IF(R4224="","",ROUND(L4224-R4224,2))</f>
        <v/>
      </c>
      <c r="T4224" s="8" t="str">
        <f aca="false">IF(A4224="","",IF(S4224="","BYPASS",IF(ABS(S4224)&lt;=Summary!$B$2,"PASS","FAIL")))</f>
        <v/>
      </c>
      <c r="U4224" s="8" t="str">
        <f aca="false">IF(T4224="BYPASS",IF(NOT(ISNUMBER(Q4224)),"PreV_ETB missing","End_tr_balance missing"),IF(T4224="FAIL",IF(AND(ISNUMBER(K4224),ISNUMBER(L4224),ABS(L4224-(K4224-IF(ISNUMBER(N4224),N4224,0)-IF(ISNUMBER(O4224),O4224,0)+IF(ISNUMBER(P4224),P4224,0)))&lt;=Summary!$B$2),"Passes using beginning_balance - PreV_ETB differs from beginning_balance",IF(AND(ISNUMBER(O4224),O4224&lt;0,ABS(L4224-(Q4224-IF(ISNUMBER(N4224),N4224,0)+IF(ISNUMBER(P4224),P4224,0)))&lt;=Summary!$B$2),"Negative realized loss not applied - check sign",IF(R4224&lt;0,"Principal paid exceeds prior balance",IF(AND(L4224&gt;Q4224,NOT(ISNUMBER(P4224))),"Balance increased but no Deferred_interest reported",IF(L4224&gt;R4224,"Reported balance higher than expected (missing increase/OC build)","Reported balance lower than expected (missing decrease)"))))),""))</f>
        <v/>
      </c>
    </row>
    <row r="4225" customFormat="false" ht="15" hidden="false" customHeight="false" outlineLevel="0" collapsed="false">
      <c r="A4225" s="8"/>
      <c r="B4225" s="8"/>
      <c r="C4225" s="8"/>
      <c r="D4225" s="8"/>
      <c r="E4225" s="8"/>
      <c r="F4225" s="8"/>
      <c r="G4225" s="8"/>
      <c r="H4225" s="8"/>
      <c r="I4225" s="8"/>
      <c r="J4225" s="8"/>
      <c r="K4225" s="9"/>
      <c r="L4225" s="9"/>
      <c r="M4225" s="9"/>
      <c r="N4225" s="9"/>
      <c r="O4225" s="9"/>
      <c r="P4225" s="9"/>
      <c r="Q4225" s="9"/>
      <c r="R4225" s="9" t="str">
        <f aca="false">IF(AND(A4225&lt;&gt;"",ISNUMBER(Q4225),ISNUMBER(L4225)),ROUND(Q4225-IF(ISNUMBER(N4225),N4225,0)-IF(ISNUMBER(O4225),O4225,0)+IF(ISNUMBER(P4225),P4225,0),2),"")</f>
        <v/>
      </c>
      <c r="S4225" s="9" t="str">
        <f aca="false">IF(R4225="","",ROUND(L4225-R4225,2))</f>
        <v/>
      </c>
      <c r="T4225" s="8" t="str">
        <f aca="false">IF(A4225="","",IF(S4225="","BYPASS",IF(ABS(S4225)&lt;=Summary!$B$2,"PASS","FAIL")))</f>
        <v/>
      </c>
      <c r="U4225" s="8" t="str">
        <f aca="false">IF(T4225="BYPASS",IF(NOT(ISNUMBER(Q4225)),"PreV_ETB missing","End_tr_balance missing"),IF(T4225="FAIL",IF(AND(ISNUMBER(K4225),ISNUMBER(L4225),ABS(L4225-(K4225-IF(ISNUMBER(N4225),N4225,0)-IF(ISNUMBER(O4225),O4225,0)+IF(ISNUMBER(P4225),P4225,0)))&lt;=Summary!$B$2),"Passes using beginning_balance - PreV_ETB differs from beginning_balance",IF(AND(ISNUMBER(O4225),O4225&lt;0,ABS(L4225-(Q4225-IF(ISNUMBER(N4225),N4225,0)+IF(ISNUMBER(P4225),P4225,0)))&lt;=Summary!$B$2),"Negative realized loss not applied - check sign",IF(R4225&lt;0,"Principal paid exceeds prior balance",IF(AND(L4225&gt;Q4225,NOT(ISNUMBER(P4225))),"Balance increased but no Deferred_interest reported",IF(L4225&gt;R4225,"Reported balance higher than expected (missing increase/OC build)","Reported balance lower than expected (missing decrease)"))))),""))</f>
        <v/>
      </c>
    </row>
    <row r="4226" customFormat="false" ht="15" hidden="false" customHeight="false" outlineLevel="0" collapsed="false">
      <c r="A4226" s="8"/>
      <c r="B4226" s="8"/>
      <c r="C4226" s="8"/>
      <c r="D4226" s="8"/>
      <c r="E4226" s="8"/>
      <c r="F4226" s="8"/>
      <c r="G4226" s="8"/>
      <c r="H4226" s="8"/>
      <c r="I4226" s="8"/>
      <c r="J4226" s="8"/>
      <c r="K4226" s="9"/>
      <c r="L4226" s="9"/>
      <c r="M4226" s="9"/>
      <c r="N4226" s="9"/>
      <c r="O4226" s="9"/>
      <c r="P4226" s="9"/>
      <c r="Q4226" s="9"/>
      <c r="R4226" s="9" t="str">
        <f aca="false">IF(AND(A4226&lt;&gt;"",ISNUMBER(Q4226),ISNUMBER(L4226)),ROUND(Q4226-IF(ISNUMBER(N4226),N4226,0)-IF(ISNUMBER(O4226),O4226,0)+IF(ISNUMBER(P4226),P4226,0),2),"")</f>
        <v/>
      </c>
      <c r="S4226" s="9" t="str">
        <f aca="false">IF(R4226="","",ROUND(L4226-R4226,2))</f>
        <v/>
      </c>
      <c r="T4226" s="8" t="str">
        <f aca="false">IF(A4226="","",IF(S4226="","BYPASS",IF(ABS(S4226)&lt;=Summary!$B$2,"PASS","FAIL")))</f>
        <v/>
      </c>
      <c r="U4226" s="8" t="str">
        <f aca="false">IF(T4226="BYPASS",IF(NOT(ISNUMBER(Q4226)),"PreV_ETB missing","End_tr_balance missing"),IF(T4226="FAIL",IF(AND(ISNUMBER(K4226),ISNUMBER(L4226),ABS(L4226-(K4226-IF(ISNUMBER(N4226),N4226,0)-IF(ISNUMBER(O4226),O4226,0)+IF(ISNUMBER(P4226),P4226,0)))&lt;=Summary!$B$2),"Passes using beginning_balance - PreV_ETB differs from beginning_balance",IF(AND(ISNUMBER(O4226),O4226&lt;0,ABS(L4226-(Q4226-IF(ISNUMBER(N4226),N4226,0)+IF(ISNUMBER(P4226),P4226,0)))&lt;=Summary!$B$2),"Negative realized loss not applied - check sign",IF(R4226&lt;0,"Principal paid exceeds prior balance",IF(AND(L4226&gt;Q4226,NOT(ISNUMBER(P4226))),"Balance increased but no Deferred_interest reported",IF(L4226&gt;R4226,"Reported balance higher than expected (missing increase/OC build)","Reported balance lower than expected (missing decrease)"))))),""))</f>
        <v/>
      </c>
    </row>
    <row r="4227" customFormat="false" ht="15" hidden="false" customHeight="false" outlineLevel="0" collapsed="false">
      <c r="A4227" s="8"/>
      <c r="B4227" s="8"/>
      <c r="C4227" s="8"/>
      <c r="D4227" s="8"/>
      <c r="E4227" s="8"/>
      <c r="F4227" s="8"/>
      <c r="G4227" s="8"/>
      <c r="H4227" s="8"/>
      <c r="I4227" s="8"/>
      <c r="J4227" s="8"/>
      <c r="K4227" s="9"/>
      <c r="L4227" s="9"/>
      <c r="M4227" s="9"/>
      <c r="N4227" s="9"/>
      <c r="O4227" s="9"/>
      <c r="P4227" s="9"/>
      <c r="Q4227" s="9"/>
      <c r="R4227" s="9" t="str">
        <f aca="false">IF(AND(A4227&lt;&gt;"",ISNUMBER(Q4227),ISNUMBER(L4227)),ROUND(Q4227-IF(ISNUMBER(N4227),N4227,0)-IF(ISNUMBER(O4227),O4227,0)+IF(ISNUMBER(P4227),P4227,0),2),"")</f>
        <v/>
      </c>
      <c r="S4227" s="9" t="str">
        <f aca="false">IF(R4227="","",ROUND(L4227-R4227,2))</f>
        <v/>
      </c>
      <c r="T4227" s="8" t="str">
        <f aca="false">IF(A4227="","",IF(S4227="","BYPASS",IF(ABS(S4227)&lt;=Summary!$B$2,"PASS","FAIL")))</f>
        <v/>
      </c>
      <c r="U4227" s="8" t="str">
        <f aca="false">IF(T4227="BYPASS",IF(NOT(ISNUMBER(Q4227)),"PreV_ETB missing","End_tr_balance missing"),IF(T4227="FAIL",IF(AND(ISNUMBER(K4227),ISNUMBER(L4227),ABS(L4227-(K4227-IF(ISNUMBER(N4227),N4227,0)-IF(ISNUMBER(O4227),O4227,0)+IF(ISNUMBER(P4227),P4227,0)))&lt;=Summary!$B$2),"Passes using beginning_balance - PreV_ETB differs from beginning_balance",IF(AND(ISNUMBER(O4227),O4227&lt;0,ABS(L4227-(Q4227-IF(ISNUMBER(N4227),N4227,0)+IF(ISNUMBER(P4227),P4227,0)))&lt;=Summary!$B$2),"Negative realized loss not applied - check sign",IF(R4227&lt;0,"Principal paid exceeds prior balance",IF(AND(L4227&gt;Q4227,NOT(ISNUMBER(P4227))),"Balance increased but no Deferred_interest reported",IF(L4227&gt;R4227,"Reported balance higher than expected (missing increase/OC build)","Reported balance lower than expected (missing decrease)"))))),""))</f>
        <v/>
      </c>
    </row>
    <row r="4228" customFormat="false" ht="15" hidden="false" customHeight="false" outlineLevel="0" collapsed="false">
      <c r="A4228" s="8"/>
      <c r="B4228" s="8"/>
      <c r="C4228" s="8"/>
      <c r="D4228" s="8"/>
      <c r="E4228" s="8"/>
      <c r="F4228" s="8"/>
      <c r="G4228" s="8"/>
      <c r="H4228" s="8"/>
      <c r="I4228" s="8"/>
      <c r="J4228" s="8"/>
      <c r="K4228" s="9"/>
      <c r="L4228" s="9"/>
      <c r="M4228" s="9"/>
      <c r="N4228" s="9"/>
      <c r="O4228" s="9"/>
      <c r="P4228" s="9"/>
      <c r="Q4228" s="9"/>
      <c r="R4228" s="9" t="str">
        <f aca="false">IF(AND(A4228&lt;&gt;"",ISNUMBER(Q4228),ISNUMBER(L4228)),ROUND(Q4228-IF(ISNUMBER(N4228),N4228,0)-IF(ISNUMBER(O4228),O4228,0)+IF(ISNUMBER(P4228),P4228,0),2),"")</f>
        <v/>
      </c>
      <c r="S4228" s="9" t="str">
        <f aca="false">IF(R4228="","",ROUND(L4228-R4228,2))</f>
        <v/>
      </c>
      <c r="T4228" s="8" t="str">
        <f aca="false">IF(A4228="","",IF(S4228="","BYPASS",IF(ABS(S4228)&lt;=Summary!$B$2,"PASS","FAIL")))</f>
        <v/>
      </c>
      <c r="U4228" s="8" t="str">
        <f aca="false">IF(T4228="BYPASS",IF(NOT(ISNUMBER(Q4228)),"PreV_ETB missing","End_tr_balance missing"),IF(T4228="FAIL",IF(AND(ISNUMBER(K4228),ISNUMBER(L4228),ABS(L4228-(K4228-IF(ISNUMBER(N4228),N4228,0)-IF(ISNUMBER(O4228),O4228,0)+IF(ISNUMBER(P4228),P4228,0)))&lt;=Summary!$B$2),"Passes using beginning_balance - PreV_ETB differs from beginning_balance",IF(AND(ISNUMBER(O4228),O4228&lt;0,ABS(L4228-(Q4228-IF(ISNUMBER(N4228),N4228,0)+IF(ISNUMBER(P4228),P4228,0)))&lt;=Summary!$B$2),"Negative realized loss not applied - check sign",IF(R4228&lt;0,"Principal paid exceeds prior balance",IF(AND(L4228&gt;Q4228,NOT(ISNUMBER(P4228))),"Balance increased but no Deferred_interest reported",IF(L4228&gt;R4228,"Reported balance higher than expected (missing increase/OC build)","Reported balance lower than expected (missing decrease)"))))),""))</f>
        <v/>
      </c>
    </row>
    <row r="4229" customFormat="false" ht="15" hidden="false" customHeight="false" outlineLevel="0" collapsed="false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9"/>
      <c r="L4229" s="9"/>
      <c r="M4229" s="9"/>
      <c r="N4229" s="9"/>
      <c r="O4229" s="9"/>
      <c r="P4229" s="9"/>
      <c r="Q4229" s="9"/>
      <c r="R4229" s="9" t="str">
        <f aca="false">IF(AND(A4229&lt;&gt;"",ISNUMBER(Q4229),ISNUMBER(L4229)),ROUND(Q4229-IF(ISNUMBER(N4229),N4229,0)-IF(ISNUMBER(O4229),O4229,0)+IF(ISNUMBER(P4229),P4229,0),2),"")</f>
        <v/>
      </c>
      <c r="S4229" s="9" t="str">
        <f aca="false">IF(R4229="","",ROUND(L4229-R4229,2))</f>
        <v/>
      </c>
      <c r="T4229" s="8" t="str">
        <f aca="false">IF(A4229="","",IF(S4229="","BYPASS",IF(ABS(S4229)&lt;=Summary!$B$2,"PASS","FAIL")))</f>
        <v/>
      </c>
      <c r="U4229" s="8" t="str">
        <f aca="false">IF(T4229="BYPASS",IF(NOT(ISNUMBER(Q4229)),"PreV_ETB missing","End_tr_balance missing"),IF(T4229="FAIL",IF(AND(ISNUMBER(K4229),ISNUMBER(L4229),ABS(L4229-(K4229-IF(ISNUMBER(N4229),N4229,0)-IF(ISNUMBER(O4229),O4229,0)+IF(ISNUMBER(P4229),P4229,0)))&lt;=Summary!$B$2),"Passes using beginning_balance - PreV_ETB differs from beginning_balance",IF(AND(ISNUMBER(O4229),O4229&lt;0,ABS(L4229-(Q4229-IF(ISNUMBER(N4229),N4229,0)+IF(ISNUMBER(P4229),P4229,0)))&lt;=Summary!$B$2),"Negative realized loss not applied - check sign",IF(R4229&lt;0,"Principal paid exceeds prior balance",IF(AND(L4229&gt;Q4229,NOT(ISNUMBER(P4229))),"Balance increased but no Deferred_interest reported",IF(L4229&gt;R4229,"Reported balance higher than expected (missing increase/OC build)","Reported balance lower than expected (missing decrease)"))))),""))</f>
        <v/>
      </c>
    </row>
    <row r="4230" customFormat="false" ht="15" hidden="false" customHeight="false" outlineLevel="0" collapsed="false">
      <c r="A4230" s="8"/>
      <c r="B4230" s="8"/>
      <c r="C4230" s="8"/>
      <c r="D4230" s="8"/>
      <c r="E4230" s="8"/>
      <c r="F4230" s="8"/>
      <c r="G4230" s="8"/>
      <c r="H4230" s="8"/>
      <c r="I4230" s="8"/>
      <c r="J4230" s="8"/>
      <c r="K4230" s="9"/>
      <c r="L4230" s="9"/>
      <c r="M4230" s="9"/>
      <c r="N4230" s="9"/>
      <c r="O4230" s="9"/>
      <c r="P4230" s="9"/>
      <c r="Q4230" s="9"/>
      <c r="R4230" s="9" t="str">
        <f aca="false">IF(AND(A4230&lt;&gt;"",ISNUMBER(Q4230),ISNUMBER(L4230)),ROUND(Q4230-IF(ISNUMBER(N4230),N4230,0)-IF(ISNUMBER(O4230),O4230,0)+IF(ISNUMBER(P4230),P4230,0),2),"")</f>
        <v/>
      </c>
      <c r="S4230" s="9" t="str">
        <f aca="false">IF(R4230="","",ROUND(L4230-R4230,2))</f>
        <v/>
      </c>
      <c r="T4230" s="8" t="str">
        <f aca="false">IF(A4230="","",IF(S4230="","BYPASS",IF(ABS(S4230)&lt;=Summary!$B$2,"PASS","FAIL")))</f>
        <v/>
      </c>
      <c r="U4230" s="8" t="str">
        <f aca="false">IF(T4230="BYPASS",IF(NOT(ISNUMBER(Q4230)),"PreV_ETB missing","End_tr_balance missing"),IF(T4230="FAIL",IF(AND(ISNUMBER(K4230),ISNUMBER(L4230),ABS(L4230-(K4230-IF(ISNUMBER(N4230),N4230,0)-IF(ISNUMBER(O4230),O4230,0)+IF(ISNUMBER(P4230),P4230,0)))&lt;=Summary!$B$2),"Passes using beginning_balance - PreV_ETB differs from beginning_balance",IF(AND(ISNUMBER(O4230),O4230&lt;0,ABS(L4230-(Q4230-IF(ISNUMBER(N4230),N4230,0)+IF(ISNUMBER(P4230),P4230,0)))&lt;=Summary!$B$2),"Negative realized loss not applied - check sign",IF(R4230&lt;0,"Principal paid exceeds prior balance",IF(AND(L4230&gt;Q4230,NOT(ISNUMBER(P4230))),"Balance increased but no Deferred_interest reported",IF(L4230&gt;R4230,"Reported balance higher than expected (missing increase/OC build)","Reported balance lower than expected (missing decrease)"))))),""))</f>
        <v/>
      </c>
    </row>
    <row r="4231" customFormat="false" ht="15" hidden="false" customHeight="false" outlineLevel="0" collapsed="false">
      <c r="A4231" s="8"/>
      <c r="B4231" s="8"/>
      <c r="C4231" s="8"/>
      <c r="D4231" s="8"/>
      <c r="E4231" s="8"/>
      <c r="F4231" s="8"/>
      <c r="G4231" s="8"/>
      <c r="H4231" s="8"/>
      <c r="I4231" s="8"/>
      <c r="J4231" s="8"/>
      <c r="K4231" s="9"/>
      <c r="L4231" s="9"/>
      <c r="M4231" s="9"/>
      <c r="N4231" s="9"/>
      <c r="O4231" s="9"/>
      <c r="P4231" s="9"/>
      <c r="Q4231" s="9"/>
      <c r="R4231" s="9" t="str">
        <f aca="false">IF(AND(A4231&lt;&gt;"",ISNUMBER(Q4231),ISNUMBER(L4231)),ROUND(Q4231-IF(ISNUMBER(N4231),N4231,0)-IF(ISNUMBER(O4231),O4231,0)+IF(ISNUMBER(P4231),P4231,0),2),"")</f>
        <v/>
      </c>
      <c r="S4231" s="9" t="str">
        <f aca="false">IF(R4231="","",ROUND(L4231-R4231,2))</f>
        <v/>
      </c>
      <c r="T4231" s="8" t="str">
        <f aca="false">IF(A4231="","",IF(S4231="","BYPASS",IF(ABS(S4231)&lt;=Summary!$B$2,"PASS","FAIL")))</f>
        <v/>
      </c>
      <c r="U4231" s="8" t="str">
        <f aca="false">IF(T4231="BYPASS",IF(NOT(ISNUMBER(Q4231)),"PreV_ETB missing","End_tr_balance missing"),IF(T4231="FAIL",IF(AND(ISNUMBER(K4231),ISNUMBER(L4231),ABS(L4231-(K4231-IF(ISNUMBER(N4231),N4231,0)-IF(ISNUMBER(O4231),O4231,0)+IF(ISNUMBER(P4231),P4231,0)))&lt;=Summary!$B$2),"Passes using beginning_balance - PreV_ETB differs from beginning_balance",IF(AND(ISNUMBER(O4231),O4231&lt;0,ABS(L4231-(Q4231-IF(ISNUMBER(N4231),N4231,0)+IF(ISNUMBER(P4231),P4231,0)))&lt;=Summary!$B$2),"Negative realized loss not applied - check sign",IF(R4231&lt;0,"Principal paid exceeds prior balance",IF(AND(L4231&gt;Q4231,NOT(ISNUMBER(P4231))),"Balance increased but no Deferred_interest reported",IF(L4231&gt;R4231,"Reported balance higher than expected (missing increase/OC build)","Reported balance lower than expected (missing decrease)"))))),""))</f>
        <v/>
      </c>
    </row>
    <row r="4232" customFormat="false" ht="15" hidden="false" customHeight="false" outlineLevel="0" collapsed="false">
      <c r="A4232" s="8"/>
      <c r="B4232" s="8"/>
      <c r="C4232" s="8"/>
      <c r="D4232" s="8"/>
      <c r="E4232" s="8"/>
      <c r="F4232" s="8"/>
      <c r="G4232" s="8"/>
      <c r="H4232" s="8"/>
      <c r="I4232" s="8"/>
      <c r="J4232" s="8"/>
      <c r="K4232" s="9"/>
      <c r="L4232" s="9"/>
      <c r="M4232" s="9"/>
      <c r="N4232" s="9"/>
      <c r="O4232" s="9"/>
      <c r="P4232" s="9"/>
      <c r="Q4232" s="9"/>
      <c r="R4232" s="9" t="str">
        <f aca="false">IF(AND(A4232&lt;&gt;"",ISNUMBER(Q4232),ISNUMBER(L4232)),ROUND(Q4232-IF(ISNUMBER(N4232),N4232,0)-IF(ISNUMBER(O4232),O4232,0)+IF(ISNUMBER(P4232),P4232,0),2),"")</f>
        <v/>
      </c>
      <c r="S4232" s="9" t="str">
        <f aca="false">IF(R4232="","",ROUND(L4232-R4232,2))</f>
        <v/>
      </c>
      <c r="T4232" s="8" t="str">
        <f aca="false">IF(A4232="","",IF(S4232="","BYPASS",IF(ABS(S4232)&lt;=Summary!$B$2,"PASS","FAIL")))</f>
        <v/>
      </c>
      <c r="U4232" s="8" t="str">
        <f aca="false">IF(T4232="BYPASS",IF(NOT(ISNUMBER(Q4232)),"PreV_ETB missing","End_tr_balance missing"),IF(T4232="FAIL",IF(AND(ISNUMBER(K4232),ISNUMBER(L4232),ABS(L4232-(K4232-IF(ISNUMBER(N4232),N4232,0)-IF(ISNUMBER(O4232),O4232,0)+IF(ISNUMBER(P4232),P4232,0)))&lt;=Summary!$B$2),"Passes using beginning_balance - PreV_ETB differs from beginning_balance",IF(AND(ISNUMBER(O4232),O4232&lt;0,ABS(L4232-(Q4232-IF(ISNUMBER(N4232),N4232,0)+IF(ISNUMBER(P4232),P4232,0)))&lt;=Summary!$B$2),"Negative realized loss not applied - check sign",IF(R4232&lt;0,"Principal paid exceeds prior balance",IF(AND(L4232&gt;Q4232,NOT(ISNUMBER(P4232))),"Balance increased but no Deferred_interest reported",IF(L4232&gt;R4232,"Reported balance higher than expected (missing increase/OC build)","Reported balance lower than expected (missing decrease)"))))),""))</f>
        <v/>
      </c>
    </row>
    <row r="4233" customFormat="false" ht="15" hidden="false" customHeight="false" outlineLevel="0" collapsed="false">
      <c r="A4233" s="8"/>
      <c r="B4233" s="8"/>
      <c r="C4233" s="8"/>
      <c r="D4233" s="8"/>
      <c r="E4233" s="8"/>
      <c r="F4233" s="8"/>
      <c r="G4233" s="8"/>
      <c r="H4233" s="8"/>
      <c r="I4233" s="8"/>
      <c r="J4233" s="8"/>
      <c r="K4233" s="9"/>
      <c r="L4233" s="9"/>
      <c r="M4233" s="9"/>
      <c r="N4233" s="9"/>
      <c r="O4233" s="9"/>
      <c r="P4233" s="9"/>
      <c r="Q4233" s="9"/>
      <c r="R4233" s="9" t="str">
        <f aca="false">IF(AND(A4233&lt;&gt;"",ISNUMBER(Q4233),ISNUMBER(L4233)),ROUND(Q4233-IF(ISNUMBER(N4233),N4233,0)-IF(ISNUMBER(O4233),O4233,0)+IF(ISNUMBER(P4233),P4233,0),2),"")</f>
        <v/>
      </c>
      <c r="S4233" s="9" t="str">
        <f aca="false">IF(R4233="","",ROUND(L4233-R4233,2))</f>
        <v/>
      </c>
      <c r="T4233" s="8" t="str">
        <f aca="false">IF(A4233="","",IF(S4233="","BYPASS",IF(ABS(S4233)&lt;=Summary!$B$2,"PASS","FAIL")))</f>
        <v/>
      </c>
      <c r="U4233" s="8" t="str">
        <f aca="false">IF(T4233="BYPASS",IF(NOT(ISNUMBER(Q4233)),"PreV_ETB missing","End_tr_balance missing"),IF(T4233="FAIL",IF(AND(ISNUMBER(K4233),ISNUMBER(L4233),ABS(L4233-(K4233-IF(ISNUMBER(N4233),N4233,0)-IF(ISNUMBER(O4233),O4233,0)+IF(ISNUMBER(P4233),P4233,0)))&lt;=Summary!$B$2),"Passes using beginning_balance - PreV_ETB differs from beginning_balance",IF(AND(ISNUMBER(O4233),O4233&lt;0,ABS(L4233-(Q4233-IF(ISNUMBER(N4233),N4233,0)+IF(ISNUMBER(P4233),P4233,0)))&lt;=Summary!$B$2),"Negative realized loss not applied - check sign",IF(R4233&lt;0,"Principal paid exceeds prior balance",IF(AND(L4233&gt;Q4233,NOT(ISNUMBER(P4233))),"Balance increased but no Deferred_interest reported",IF(L4233&gt;R4233,"Reported balance higher than expected (missing increase/OC build)","Reported balance lower than expected (missing decrease)"))))),""))</f>
        <v/>
      </c>
    </row>
    <row r="4234" customFormat="false" ht="15" hidden="false" customHeight="false" outlineLevel="0" collapsed="false">
      <c r="A4234" s="8"/>
      <c r="B4234" s="8"/>
      <c r="C4234" s="8"/>
      <c r="D4234" s="8"/>
      <c r="E4234" s="8"/>
      <c r="F4234" s="8"/>
      <c r="G4234" s="8"/>
      <c r="H4234" s="8"/>
      <c r="I4234" s="8"/>
      <c r="J4234" s="8"/>
      <c r="K4234" s="9"/>
      <c r="L4234" s="9"/>
      <c r="M4234" s="9"/>
      <c r="N4234" s="9"/>
      <c r="O4234" s="9"/>
      <c r="P4234" s="9"/>
      <c r="Q4234" s="9"/>
      <c r="R4234" s="9" t="str">
        <f aca="false">IF(AND(A4234&lt;&gt;"",ISNUMBER(Q4234),ISNUMBER(L4234)),ROUND(Q4234-IF(ISNUMBER(N4234),N4234,0)-IF(ISNUMBER(O4234),O4234,0)+IF(ISNUMBER(P4234),P4234,0),2),"")</f>
        <v/>
      </c>
      <c r="S4234" s="9" t="str">
        <f aca="false">IF(R4234="","",ROUND(L4234-R4234,2))</f>
        <v/>
      </c>
      <c r="T4234" s="8" t="str">
        <f aca="false">IF(A4234="","",IF(S4234="","BYPASS",IF(ABS(S4234)&lt;=Summary!$B$2,"PASS","FAIL")))</f>
        <v/>
      </c>
      <c r="U4234" s="8" t="str">
        <f aca="false">IF(T4234="BYPASS",IF(NOT(ISNUMBER(Q4234)),"PreV_ETB missing","End_tr_balance missing"),IF(T4234="FAIL",IF(AND(ISNUMBER(K4234),ISNUMBER(L4234),ABS(L4234-(K4234-IF(ISNUMBER(N4234),N4234,0)-IF(ISNUMBER(O4234),O4234,0)+IF(ISNUMBER(P4234),P4234,0)))&lt;=Summary!$B$2),"Passes using beginning_balance - PreV_ETB differs from beginning_balance",IF(AND(ISNUMBER(O4234),O4234&lt;0,ABS(L4234-(Q4234-IF(ISNUMBER(N4234),N4234,0)+IF(ISNUMBER(P4234),P4234,0)))&lt;=Summary!$B$2),"Negative realized loss not applied - check sign",IF(R4234&lt;0,"Principal paid exceeds prior balance",IF(AND(L4234&gt;Q4234,NOT(ISNUMBER(P4234))),"Balance increased but no Deferred_interest reported",IF(L4234&gt;R4234,"Reported balance higher than expected (missing increase/OC build)","Reported balance lower than expected (missing decrease)"))))),""))</f>
        <v/>
      </c>
    </row>
    <row r="4235" customFormat="false" ht="15" hidden="false" customHeight="false" outlineLevel="0" collapsed="false">
      <c r="A4235" s="8"/>
      <c r="B4235" s="8"/>
      <c r="C4235" s="8"/>
      <c r="D4235" s="8"/>
      <c r="E4235" s="8"/>
      <c r="F4235" s="8"/>
      <c r="G4235" s="8"/>
      <c r="H4235" s="8"/>
      <c r="I4235" s="8"/>
      <c r="J4235" s="8"/>
      <c r="K4235" s="9"/>
      <c r="L4235" s="9"/>
      <c r="M4235" s="9"/>
      <c r="N4235" s="9"/>
      <c r="O4235" s="9"/>
      <c r="P4235" s="9"/>
      <c r="Q4235" s="9"/>
      <c r="R4235" s="9" t="str">
        <f aca="false">IF(AND(A4235&lt;&gt;"",ISNUMBER(Q4235),ISNUMBER(L4235)),ROUND(Q4235-IF(ISNUMBER(N4235),N4235,0)-IF(ISNUMBER(O4235),O4235,0)+IF(ISNUMBER(P4235),P4235,0),2),"")</f>
        <v/>
      </c>
      <c r="S4235" s="9" t="str">
        <f aca="false">IF(R4235="","",ROUND(L4235-R4235,2))</f>
        <v/>
      </c>
      <c r="T4235" s="8" t="str">
        <f aca="false">IF(A4235="","",IF(S4235="","BYPASS",IF(ABS(S4235)&lt;=Summary!$B$2,"PASS","FAIL")))</f>
        <v/>
      </c>
      <c r="U4235" s="8" t="str">
        <f aca="false">IF(T4235="BYPASS",IF(NOT(ISNUMBER(Q4235)),"PreV_ETB missing","End_tr_balance missing"),IF(T4235="FAIL",IF(AND(ISNUMBER(K4235),ISNUMBER(L4235),ABS(L4235-(K4235-IF(ISNUMBER(N4235),N4235,0)-IF(ISNUMBER(O4235),O4235,0)+IF(ISNUMBER(P4235),P4235,0)))&lt;=Summary!$B$2),"Passes using beginning_balance - PreV_ETB differs from beginning_balance",IF(AND(ISNUMBER(O4235),O4235&lt;0,ABS(L4235-(Q4235-IF(ISNUMBER(N4235),N4235,0)+IF(ISNUMBER(P4235),P4235,0)))&lt;=Summary!$B$2),"Negative realized loss not applied - check sign",IF(R4235&lt;0,"Principal paid exceeds prior balance",IF(AND(L4235&gt;Q4235,NOT(ISNUMBER(P4235))),"Balance increased but no Deferred_interest reported",IF(L4235&gt;R4235,"Reported balance higher than expected (missing increase/OC build)","Reported balance lower than expected (missing decrease)"))))),""))</f>
        <v/>
      </c>
    </row>
    <row r="4236" customFormat="false" ht="15" hidden="false" customHeight="false" outlineLevel="0" collapsed="false">
      <c r="A4236" s="8"/>
      <c r="B4236" s="8"/>
      <c r="C4236" s="8"/>
      <c r="D4236" s="8"/>
      <c r="E4236" s="8"/>
      <c r="F4236" s="8"/>
      <c r="G4236" s="8"/>
      <c r="H4236" s="8"/>
      <c r="I4236" s="8"/>
      <c r="J4236" s="8"/>
      <c r="K4236" s="9"/>
      <c r="L4236" s="9"/>
      <c r="M4236" s="9"/>
      <c r="N4236" s="9"/>
      <c r="O4236" s="9"/>
      <c r="P4236" s="9"/>
      <c r="Q4236" s="9"/>
      <c r="R4236" s="9" t="str">
        <f aca="false">IF(AND(A4236&lt;&gt;"",ISNUMBER(Q4236),ISNUMBER(L4236)),ROUND(Q4236-IF(ISNUMBER(N4236),N4236,0)-IF(ISNUMBER(O4236),O4236,0)+IF(ISNUMBER(P4236),P4236,0),2),"")</f>
        <v/>
      </c>
      <c r="S4236" s="9" t="str">
        <f aca="false">IF(R4236="","",ROUND(L4236-R4236,2))</f>
        <v/>
      </c>
      <c r="T4236" s="8" t="str">
        <f aca="false">IF(A4236="","",IF(S4236="","BYPASS",IF(ABS(S4236)&lt;=Summary!$B$2,"PASS","FAIL")))</f>
        <v/>
      </c>
      <c r="U4236" s="8" t="str">
        <f aca="false">IF(T4236="BYPASS",IF(NOT(ISNUMBER(Q4236)),"PreV_ETB missing","End_tr_balance missing"),IF(T4236="FAIL",IF(AND(ISNUMBER(K4236),ISNUMBER(L4236),ABS(L4236-(K4236-IF(ISNUMBER(N4236),N4236,0)-IF(ISNUMBER(O4236),O4236,0)+IF(ISNUMBER(P4236),P4236,0)))&lt;=Summary!$B$2),"Passes using beginning_balance - PreV_ETB differs from beginning_balance",IF(AND(ISNUMBER(O4236),O4236&lt;0,ABS(L4236-(Q4236-IF(ISNUMBER(N4236),N4236,0)+IF(ISNUMBER(P4236),P4236,0)))&lt;=Summary!$B$2),"Negative realized loss not applied - check sign",IF(R4236&lt;0,"Principal paid exceeds prior balance",IF(AND(L4236&gt;Q4236,NOT(ISNUMBER(P4236))),"Balance increased but no Deferred_interest reported",IF(L4236&gt;R4236,"Reported balance higher than expected (missing increase/OC build)","Reported balance lower than expected (missing decrease)"))))),""))</f>
        <v/>
      </c>
    </row>
    <row r="4237" customFormat="false" ht="15" hidden="false" customHeight="false" outlineLevel="0" collapsed="false">
      <c r="A4237" s="8"/>
      <c r="B4237" s="8"/>
      <c r="C4237" s="8"/>
      <c r="D4237" s="8"/>
      <c r="E4237" s="8"/>
      <c r="F4237" s="8"/>
      <c r="G4237" s="8"/>
      <c r="H4237" s="8"/>
      <c r="I4237" s="8"/>
      <c r="J4237" s="8"/>
      <c r="K4237" s="9"/>
      <c r="L4237" s="9"/>
      <c r="M4237" s="9"/>
      <c r="N4237" s="9"/>
      <c r="O4237" s="9"/>
      <c r="P4237" s="9"/>
      <c r="Q4237" s="9"/>
      <c r="R4237" s="9" t="str">
        <f aca="false">IF(AND(A4237&lt;&gt;"",ISNUMBER(Q4237),ISNUMBER(L4237)),ROUND(Q4237-IF(ISNUMBER(N4237),N4237,0)-IF(ISNUMBER(O4237),O4237,0)+IF(ISNUMBER(P4237),P4237,0),2),"")</f>
        <v/>
      </c>
      <c r="S4237" s="9" t="str">
        <f aca="false">IF(R4237="","",ROUND(L4237-R4237,2))</f>
        <v/>
      </c>
      <c r="T4237" s="8" t="str">
        <f aca="false">IF(A4237="","",IF(S4237="","BYPASS",IF(ABS(S4237)&lt;=Summary!$B$2,"PASS","FAIL")))</f>
        <v/>
      </c>
      <c r="U4237" s="8" t="str">
        <f aca="false">IF(T4237="BYPASS",IF(NOT(ISNUMBER(Q4237)),"PreV_ETB missing","End_tr_balance missing"),IF(T4237="FAIL",IF(AND(ISNUMBER(K4237),ISNUMBER(L4237),ABS(L4237-(K4237-IF(ISNUMBER(N4237),N4237,0)-IF(ISNUMBER(O4237),O4237,0)+IF(ISNUMBER(P4237),P4237,0)))&lt;=Summary!$B$2),"Passes using beginning_balance - PreV_ETB differs from beginning_balance",IF(AND(ISNUMBER(O4237),O4237&lt;0,ABS(L4237-(Q4237-IF(ISNUMBER(N4237),N4237,0)+IF(ISNUMBER(P4237),P4237,0)))&lt;=Summary!$B$2),"Negative realized loss not applied - check sign",IF(R4237&lt;0,"Principal paid exceeds prior balance",IF(AND(L4237&gt;Q4237,NOT(ISNUMBER(P4237))),"Balance increased but no Deferred_interest reported",IF(L4237&gt;R4237,"Reported balance higher than expected (missing increase/OC build)","Reported balance lower than expected (missing decrease)"))))),""))</f>
        <v/>
      </c>
    </row>
    <row r="4238" customFormat="false" ht="15" hidden="false" customHeight="false" outlineLevel="0" collapsed="false">
      <c r="A4238" s="8"/>
      <c r="B4238" s="8"/>
      <c r="C4238" s="8"/>
      <c r="D4238" s="8"/>
      <c r="E4238" s="8"/>
      <c r="F4238" s="8"/>
      <c r="G4238" s="8"/>
      <c r="H4238" s="8"/>
      <c r="I4238" s="8"/>
      <c r="J4238" s="8"/>
      <c r="K4238" s="9"/>
      <c r="L4238" s="9"/>
      <c r="M4238" s="9"/>
      <c r="N4238" s="9"/>
      <c r="O4238" s="9"/>
      <c r="P4238" s="9"/>
      <c r="Q4238" s="9"/>
      <c r="R4238" s="9" t="str">
        <f aca="false">IF(AND(A4238&lt;&gt;"",ISNUMBER(Q4238),ISNUMBER(L4238)),ROUND(Q4238-IF(ISNUMBER(N4238),N4238,0)-IF(ISNUMBER(O4238),O4238,0)+IF(ISNUMBER(P4238),P4238,0),2),"")</f>
        <v/>
      </c>
      <c r="S4238" s="9" t="str">
        <f aca="false">IF(R4238="","",ROUND(L4238-R4238,2))</f>
        <v/>
      </c>
      <c r="T4238" s="8" t="str">
        <f aca="false">IF(A4238="","",IF(S4238="","BYPASS",IF(ABS(S4238)&lt;=Summary!$B$2,"PASS","FAIL")))</f>
        <v/>
      </c>
      <c r="U4238" s="8" t="str">
        <f aca="false">IF(T4238="BYPASS",IF(NOT(ISNUMBER(Q4238)),"PreV_ETB missing","End_tr_balance missing"),IF(T4238="FAIL",IF(AND(ISNUMBER(K4238),ISNUMBER(L4238),ABS(L4238-(K4238-IF(ISNUMBER(N4238),N4238,0)-IF(ISNUMBER(O4238),O4238,0)+IF(ISNUMBER(P4238),P4238,0)))&lt;=Summary!$B$2),"Passes using beginning_balance - PreV_ETB differs from beginning_balance",IF(AND(ISNUMBER(O4238),O4238&lt;0,ABS(L4238-(Q4238-IF(ISNUMBER(N4238),N4238,0)+IF(ISNUMBER(P4238),P4238,0)))&lt;=Summary!$B$2),"Negative realized loss not applied - check sign",IF(R4238&lt;0,"Principal paid exceeds prior balance",IF(AND(L4238&gt;Q4238,NOT(ISNUMBER(P4238))),"Balance increased but no Deferred_interest reported",IF(L4238&gt;R4238,"Reported balance higher than expected (missing increase/OC build)","Reported balance lower than expected (missing decrease)"))))),""))</f>
        <v/>
      </c>
    </row>
    <row r="4239" customFormat="false" ht="15" hidden="false" customHeight="false" outlineLevel="0" collapsed="false">
      <c r="A4239" s="8"/>
      <c r="B4239" s="8"/>
      <c r="C4239" s="8"/>
      <c r="D4239" s="8"/>
      <c r="E4239" s="8"/>
      <c r="F4239" s="8"/>
      <c r="G4239" s="8"/>
      <c r="H4239" s="8"/>
      <c r="I4239" s="8"/>
      <c r="J4239" s="8"/>
      <c r="K4239" s="9"/>
      <c r="L4239" s="9"/>
      <c r="M4239" s="9"/>
      <c r="N4239" s="9"/>
      <c r="O4239" s="9"/>
      <c r="P4239" s="9"/>
      <c r="Q4239" s="9"/>
      <c r="R4239" s="9" t="str">
        <f aca="false">IF(AND(A4239&lt;&gt;"",ISNUMBER(Q4239),ISNUMBER(L4239)),ROUND(Q4239-IF(ISNUMBER(N4239),N4239,0)-IF(ISNUMBER(O4239),O4239,0)+IF(ISNUMBER(P4239),P4239,0),2),"")</f>
        <v/>
      </c>
      <c r="S4239" s="9" t="str">
        <f aca="false">IF(R4239="","",ROUND(L4239-R4239,2))</f>
        <v/>
      </c>
      <c r="T4239" s="8" t="str">
        <f aca="false">IF(A4239="","",IF(S4239="","BYPASS",IF(ABS(S4239)&lt;=Summary!$B$2,"PASS","FAIL")))</f>
        <v/>
      </c>
      <c r="U4239" s="8" t="str">
        <f aca="false">IF(T4239="BYPASS",IF(NOT(ISNUMBER(Q4239)),"PreV_ETB missing","End_tr_balance missing"),IF(T4239="FAIL",IF(AND(ISNUMBER(K4239),ISNUMBER(L4239),ABS(L4239-(K4239-IF(ISNUMBER(N4239),N4239,0)-IF(ISNUMBER(O4239),O4239,0)+IF(ISNUMBER(P4239),P4239,0)))&lt;=Summary!$B$2),"Passes using beginning_balance - PreV_ETB differs from beginning_balance",IF(AND(ISNUMBER(O4239),O4239&lt;0,ABS(L4239-(Q4239-IF(ISNUMBER(N4239),N4239,0)+IF(ISNUMBER(P4239),P4239,0)))&lt;=Summary!$B$2),"Negative realized loss not applied - check sign",IF(R4239&lt;0,"Principal paid exceeds prior balance",IF(AND(L4239&gt;Q4239,NOT(ISNUMBER(P4239))),"Balance increased but no Deferred_interest reported",IF(L4239&gt;R4239,"Reported balance higher than expected (missing increase/OC build)","Reported balance lower than expected (missing decrease)"))))),""))</f>
        <v/>
      </c>
    </row>
    <row r="4240" customFormat="false" ht="15" hidden="false" customHeight="false" outlineLevel="0" collapsed="false">
      <c r="A4240" s="8"/>
      <c r="B4240" s="8"/>
      <c r="C4240" s="8"/>
      <c r="D4240" s="8"/>
      <c r="E4240" s="8"/>
      <c r="F4240" s="8"/>
      <c r="G4240" s="8"/>
      <c r="H4240" s="8"/>
      <c r="I4240" s="8"/>
      <c r="J4240" s="8"/>
      <c r="K4240" s="9"/>
      <c r="L4240" s="9"/>
      <c r="M4240" s="9"/>
      <c r="N4240" s="9"/>
      <c r="O4240" s="9"/>
      <c r="P4240" s="9"/>
      <c r="Q4240" s="9"/>
      <c r="R4240" s="9" t="str">
        <f aca="false">IF(AND(A4240&lt;&gt;"",ISNUMBER(Q4240),ISNUMBER(L4240)),ROUND(Q4240-IF(ISNUMBER(N4240),N4240,0)-IF(ISNUMBER(O4240),O4240,0)+IF(ISNUMBER(P4240),P4240,0),2),"")</f>
        <v/>
      </c>
      <c r="S4240" s="9" t="str">
        <f aca="false">IF(R4240="","",ROUND(L4240-R4240,2))</f>
        <v/>
      </c>
      <c r="T4240" s="8" t="str">
        <f aca="false">IF(A4240="","",IF(S4240="","BYPASS",IF(ABS(S4240)&lt;=Summary!$B$2,"PASS","FAIL")))</f>
        <v/>
      </c>
      <c r="U4240" s="8" t="str">
        <f aca="false">IF(T4240="BYPASS",IF(NOT(ISNUMBER(Q4240)),"PreV_ETB missing","End_tr_balance missing"),IF(T4240="FAIL",IF(AND(ISNUMBER(K4240),ISNUMBER(L4240),ABS(L4240-(K4240-IF(ISNUMBER(N4240),N4240,0)-IF(ISNUMBER(O4240),O4240,0)+IF(ISNUMBER(P4240),P4240,0)))&lt;=Summary!$B$2),"Passes using beginning_balance - PreV_ETB differs from beginning_balance",IF(AND(ISNUMBER(O4240),O4240&lt;0,ABS(L4240-(Q4240-IF(ISNUMBER(N4240),N4240,0)+IF(ISNUMBER(P4240),P4240,0)))&lt;=Summary!$B$2),"Negative realized loss not applied - check sign",IF(R4240&lt;0,"Principal paid exceeds prior balance",IF(AND(L4240&gt;Q4240,NOT(ISNUMBER(P4240))),"Balance increased but no Deferred_interest reported",IF(L4240&gt;R4240,"Reported balance higher than expected (missing increase/OC build)","Reported balance lower than expected (missing decrease)"))))),""))</f>
        <v/>
      </c>
    </row>
    <row r="4241" customFormat="false" ht="15" hidden="false" customHeight="false" outlineLevel="0" collapsed="false">
      <c r="A4241" s="8"/>
      <c r="B4241" s="8"/>
      <c r="C4241" s="8"/>
      <c r="D4241" s="8"/>
      <c r="E4241" s="8"/>
      <c r="F4241" s="8"/>
      <c r="G4241" s="8"/>
      <c r="H4241" s="8"/>
      <c r="I4241" s="8"/>
      <c r="J4241" s="8"/>
      <c r="K4241" s="9"/>
      <c r="L4241" s="9"/>
      <c r="M4241" s="9"/>
      <c r="N4241" s="9"/>
      <c r="O4241" s="9"/>
      <c r="P4241" s="9"/>
      <c r="Q4241" s="9"/>
      <c r="R4241" s="9" t="str">
        <f aca="false">IF(AND(A4241&lt;&gt;"",ISNUMBER(Q4241),ISNUMBER(L4241)),ROUND(Q4241-IF(ISNUMBER(N4241),N4241,0)-IF(ISNUMBER(O4241),O4241,0)+IF(ISNUMBER(P4241),P4241,0),2),"")</f>
        <v/>
      </c>
      <c r="S4241" s="9" t="str">
        <f aca="false">IF(R4241="","",ROUND(L4241-R4241,2))</f>
        <v/>
      </c>
      <c r="T4241" s="8" t="str">
        <f aca="false">IF(A4241="","",IF(S4241="","BYPASS",IF(ABS(S4241)&lt;=Summary!$B$2,"PASS","FAIL")))</f>
        <v/>
      </c>
      <c r="U4241" s="8" t="str">
        <f aca="false">IF(T4241="BYPASS",IF(NOT(ISNUMBER(Q4241)),"PreV_ETB missing","End_tr_balance missing"),IF(T4241="FAIL",IF(AND(ISNUMBER(K4241),ISNUMBER(L4241),ABS(L4241-(K4241-IF(ISNUMBER(N4241),N4241,0)-IF(ISNUMBER(O4241),O4241,0)+IF(ISNUMBER(P4241),P4241,0)))&lt;=Summary!$B$2),"Passes using beginning_balance - PreV_ETB differs from beginning_balance",IF(AND(ISNUMBER(O4241),O4241&lt;0,ABS(L4241-(Q4241-IF(ISNUMBER(N4241),N4241,0)+IF(ISNUMBER(P4241),P4241,0)))&lt;=Summary!$B$2),"Negative realized loss not applied - check sign",IF(R4241&lt;0,"Principal paid exceeds prior balance",IF(AND(L4241&gt;Q4241,NOT(ISNUMBER(P4241))),"Balance increased but no Deferred_interest reported",IF(L4241&gt;R4241,"Reported balance higher than expected (missing increase/OC build)","Reported balance lower than expected (missing decrease)"))))),""))</f>
        <v/>
      </c>
    </row>
    <row r="4242" customFormat="false" ht="15" hidden="false" customHeight="false" outlineLevel="0" collapsed="false">
      <c r="A4242" s="8"/>
      <c r="B4242" s="8"/>
      <c r="C4242" s="8"/>
      <c r="D4242" s="8"/>
      <c r="E4242" s="8"/>
      <c r="F4242" s="8"/>
      <c r="G4242" s="8"/>
      <c r="H4242" s="8"/>
      <c r="I4242" s="8"/>
      <c r="J4242" s="8"/>
      <c r="K4242" s="9"/>
      <c r="L4242" s="9"/>
      <c r="M4242" s="9"/>
      <c r="N4242" s="9"/>
      <c r="O4242" s="9"/>
      <c r="P4242" s="9"/>
      <c r="Q4242" s="9"/>
      <c r="R4242" s="9" t="str">
        <f aca="false">IF(AND(A4242&lt;&gt;"",ISNUMBER(Q4242),ISNUMBER(L4242)),ROUND(Q4242-IF(ISNUMBER(N4242),N4242,0)-IF(ISNUMBER(O4242),O4242,0)+IF(ISNUMBER(P4242),P4242,0),2),"")</f>
        <v/>
      </c>
      <c r="S4242" s="9" t="str">
        <f aca="false">IF(R4242="","",ROUND(L4242-R4242,2))</f>
        <v/>
      </c>
      <c r="T4242" s="8" t="str">
        <f aca="false">IF(A4242="","",IF(S4242="","BYPASS",IF(ABS(S4242)&lt;=Summary!$B$2,"PASS","FAIL")))</f>
        <v/>
      </c>
      <c r="U4242" s="8" t="str">
        <f aca="false">IF(T4242="BYPASS",IF(NOT(ISNUMBER(Q4242)),"PreV_ETB missing","End_tr_balance missing"),IF(T4242="FAIL",IF(AND(ISNUMBER(K4242),ISNUMBER(L4242),ABS(L4242-(K4242-IF(ISNUMBER(N4242),N4242,0)-IF(ISNUMBER(O4242),O4242,0)+IF(ISNUMBER(P4242),P4242,0)))&lt;=Summary!$B$2),"Passes using beginning_balance - PreV_ETB differs from beginning_balance",IF(AND(ISNUMBER(O4242),O4242&lt;0,ABS(L4242-(Q4242-IF(ISNUMBER(N4242),N4242,0)+IF(ISNUMBER(P4242),P4242,0)))&lt;=Summary!$B$2),"Negative realized loss not applied - check sign",IF(R4242&lt;0,"Principal paid exceeds prior balance",IF(AND(L4242&gt;Q4242,NOT(ISNUMBER(P4242))),"Balance increased but no Deferred_interest reported",IF(L4242&gt;R4242,"Reported balance higher than expected (missing increase/OC build)","Reported balance lower than expected (missing decrease)"))))),""))</f>
        <v/>
      </c>
    </row>
    <row r="4243" customFormat="false" ht="15" hidden="false" customHeight="false" outlineLevel="0" collapsed="false">
      <c r="A4243" s="8"/>
      <c r="B4243" s="8"/>
      <c r="C4243" s="8"/>
      <c r="D4243" s="8"/>
      <c r="E4243" s="8"/>
      <c r="F4243" s="8"/>
      <c r="G4243" s="8"/>
      <c r="H4243" s="8"/>
      <c r="I4243" s="8"/>
      <c r="J4243" s="8"/>
      <c r="K4243" s="9"/>
      <c r="L4243" s="9"/>
      <c r="M4243" s="9"/>
      <c r="N4243" s="9"/>
      <c r="O4243" s="9"/>
      <c r="P4243" s="9"/>
      <c r="Q4243" s="9"/>
      <c r="R4243" s="9" t="str">
        <f aca="false">IF(AND(A4243&lt;&gt;"",ISNUMBER(Q4243),ISNUMBER(L4243)),ROUND(Q4243-IF(ISNUMBER(N4243),N4243,0)-IF(ISNUMBER(O4243),O4243,0)+IF(ISNUMBER(P4243),P4243,0),2),"")</f>
        <v/>
      </c>
      <c r="S4243" s="9" t="str">
        <f aca="false">IF(R4243="","",ROUND(L4243-R4243,2))</f>
        <v/>
      </c>
      <c r="T4243" s="8" t="str">
        <f aca="false">IF(A4243="","",IF(S4243="","BYPASS",IF(ABS(S4243)&lt;=Summary!$B$2,"PASS","FAIL")))</f>
        <v/>
      </c>
      <c r="U4243" s="8" t="str">
        <f aca="false">IF(T4243="BYPASS",IF(NOT(ISNUMBER(Q4243)),"PreV_ETB missing","End_tr_balance missing"),IF(T4243="FAIL",IF(AND(ISNUMBER(K4243),ISNUMBER(L4243),ABS(L4243-(K4243-IF(ISNUMBER(N4243),N4243,0)-IF(ISNUMBER(O4243),O4243,0)+IF(ISNUMBER(P4243),P4243,0)))&lt;=Summary!$B$2),"Passes using beginning_balance - PreV_ETB differs from beginning_balance",IF(AND(ISNUMBER(O4243),O4243&lt;0,ABS(L4243-(Q4243-IF(ISNUMBER(N4243),N4243,0)+IF(ISNUMBER(P4243),P4243,0)))&lt;=Summary!$B$2),"Negative realized loss not applied - check sign",IF(R4243&lt;0,"Principal paid exceeds prior balance",IF(AND(L4243&gt;Q4243,NOT(ISNUMBER(P4243))),"Balance increased but no Deferred_interest reported",IF(L4243&gt;R4243,"Reported balance higher than expected (missing increase/OC build)","Reported balance lower than expected (missing decrease)"))))),""))</f>
        <v/>
      </c>
    </row>
    <row r="4244" customFormat="false" ht="15" hidden="false" customHeight="false" outlineLevel="0" collapsed="false">
      <c r="A4244" s="8"/>
      <c r="B4244" s="8"/>
      <c r="C4244" s="8"/>
      <c r="D4244" s="8"/>
      <c r="E4244" s="8"/>
      <c r="F4244" s="8"/>
      <c r="G4244" s="8"/>
      <c r="H4244" s="8"/>
      <c r="I4244" s="8"/>
      <c r="J4244" s="8"/>
      <c r="K4244" s="9"/>
      <c r="L4244" s="9"/>
      <c r="M4244" s="9"/>
      <c r="N4244" s="9"/>
      <c r="O4244" s="9"/>
      <c r="P4244" s="9"/>
      <c r="Q4244" s="9"/>
      <c r="R4244" s="9" t="str">
        <f aca="false">IF(AND(A4244&lt;&gt;"",ISNUMBER(Q4244),ISNUMBER(L4244)),ROUND(Q4244-IF(ISNUMBER(N4244),N4244,0)-IF(ISNUMBER(O4244),O4244,0)+IF(ISNUMBER(P4244),P4244,0),2),"")</f>
        <v/>
      </c>
      <c r="S4244" s="9" t="str">
        <f aca="false">IF(R4244="","",ROUND(L4244-R4244,2))</f>
        <v/>
      </c>
      <c r="T4244" s="8" t="str">
        <f aca="false">IF(A4244="","",IF(S4244="","BYPASS",IF(ABS(S4244)&lt;=Summary!$B$2,"PASS","FAIL")))</f>
        <v/>
      </c>
      <c r="U4244" s="8" t="str">
        <f aca="false">IF(T4244="BYPASS",IF(NOT(ISNUMBER(Q4244)),"PreV_ETB missing","End_tr_balance missing"),IF(T4244="FAIL",IF(AND(ISNUMBER(K4244),ISNUMBER(L4244),ABS(L4244-(K4244-IF(ISNUMBER(N4244),N4244,0)-IF(ISNUMBER(O4244),O4244,0)+IF(ISNUMBER(P4244),P4244,0)))&lt;=Summary!$B$2),"Passes using beginning_balance - PreV_ETB differs from beginning_balance",IF(AND(ISNUMBER(O4244),O4244&lt;0,ABS(L4244-(Q4244-IF(ISNUMBER(N4244),N4244,0)+IF(ISNUMBER(P4244),P4244,0)))&lt;=Summary!$B$2),"Negative realized loss not applied - check sign",IF(R4244&lt;0,"Principal paid exceeds prior balance",IF(AND(L4244&gt;Q4244,NOT(ISNUMBER(P4244))),"Balance increased but no Deferred_interest reported",IF(L4244&gt;R4244,"Reported balance higher than expected (missing increase/OC build)","Reported balance lower than expected (missing decrease)"))))),""))</f>
        <v/>
      </c>
    </row>
    <row r="4245" customFormat="false" ht="15" hidden="false" customHeight="false" outlineLevel="0" collapsed="false">
      <c r="A4245" s="8"/>
      <c r="B4245" s="8"/>
      <c r="C4245" s="8"/>
      <c r="D4245" s="8"/>
      <c r="E4245" s="8"/>
      <c r="F4245" s="8"/>
      <c r="G4245" s="8"/>
      <c r="H4245" s="8"/>
      <c r="I4245" s="8"/>
      <c r="J4245" s="8"/>
      <c r="K4245" s="9"/>
      <c r="L4245" s="9"/>
      <c r="M4245" s="9"/>
      <c r="N4245" s="9"/>
      <c r="O4245" s="9"/>
      <c r="P4245" s="9"/>
      <c r="Q4245" s="9"/>
      <c r="R4245" s="9" t="str">
        <f aca="false">IF(AND(A4245&lt;&gt;"",ISNUMBER(Q4245),ISNUMBER(L4245)),ROUND(Q4245-IF(ISNUMBER(N4245),N4245,0)-IF(ISNUMBER(O4245),O4245,0)+IF(ISNUMBER(P4245),P4245,0),2),"")</f>
        <v/>
      </c>
      <c r="S4245" s="9" t="str">
        <f aca="false">IF(R4245="","",ROUND(L4245-R4245,2))</f>
        <v/>
      </c>
      <c r="T4245" s="8" t="str">
        <f aca="false">IF(A4245="","",IF(S4245="","BYPASS",IF(ABS(S4245)&lt;=Summary!$B$2,"PASS","FAIL")))</f>
        <v/>
      </c>
      <c r="U4245" s="8" t="str">
        <f aca="false">IF(T4245="BYPASS",IF(NOT(ISNUMBER(Q4245)),"PreV_ETB missing","End_tr_balance missing"),IF(T4245="FAIL",IF(AND(ISNUMBER(K4245),ISNUMBER(L4245),ABS(L4245-(K4245-IF(ISNUMBER(N4245),N4245,0)-IF(ISNUMBER(O4245),O4245,0)+IF(ISNUMBER(P4245),P4245,0)))&lt;=Summary!$B$2),"Passes using beginning_balance - PreV_ETB differs from beginning_balance",IF(AND(ISNUMBER(O4245),O4245&lt;0,ABS(L4245-(Q4245-IF(ISNUMBER(N4245),N4245,0)+IF(ISNUMBER(P4245),P4245,0)))&lt;=Summary!$B$2),"Negative realized loss not applied - check sign",IF(R4245&lt;0,"Principal paid exceeds prior balance",IF(AND(L4245&gt;Q4245,NOT(ISNUMBER(P4245))),"Balance increased but no Deferred_interest reported",IF(L4245&gt;R4245,"Reported balance higher than expected (missing increase/OC build)","Reported balance lower than expected (missing decrease)"))))),""))</f>
        <v/>
      </c>
    </row>
    <row r="4246" customFormat="false" ht="15" hidden="false" customHeight="false" outlineLevel="0" collapsed="false">
      <c r="A4246" s="8"/>
      <c r="B4246" s="8"/>
      <c r="C4246" s="8"/>
      <c r="D4246" s="8"/>
      <c r="E4246" s="8"/>
      <c r="F4246" s="8"/>
      <c r="G4246" s="8"/>
      <c r="H4246" s="8"/>
      <c r="I4246" s="8"/>
      <c r="J4246" s="8"/>
      <c r="K4246" s="9"/>
      <c r="L4246" s="9"/>
      <c r="M4246" s="9"/>
      <c r="N4246" s="9"/>
      <c r="O4246" s="9"/>
      <c r="P4246" s="9"/>
      <c r="Q4246" s="9"/>
      <c r="R4246" s="9" t="str">
        <f aca="false">IF(AND(A4246&lt;&gt;"",ISNUMBER(Q4246),ISNUMBER(L4246)),ROUND(Q4246-IF(ISNUMBER(N4246),N4246,0)-IF(ISNUMBER(O4246),O4246,0)+IF(ISNUMBER(P4246),P4246,0),2),"")</f>
        <v/>
      </c>
      <c r="S4246" s="9" t="str">
        <f aca="false">IF(R4246="","",ROUND(L4246-R4246,2))</f>
        <v/>
      </c>
      <c r="T4246" s="8" t="str">
        <f aca="false">IF(A4246="","",IF(S4246="","BYPASS",IF(ABS(S4246)&lt;=Summary!$B$2,"PASS","FAIL")))</f>
        <v/>
      </c>
      <c r="U4246" s="8" t="str">
        <f aca="false">IF(T4246="BYPASS",IF(NOT(ISNUMBER(Q4246)),"PreV_ETB missing","End_tr_balance missing"),IF(T4246="FAIL",IF(AND(ISNUMBER(K4246),ISNUMBER(L4246),ABS(L4246-(K4246-IF(ISNUMBER(N4246),N4246,0)-IF(ISNUMBER(O4246),O4246,0)+IF(ISNUMBER(P4246),P4246,0)))&lt;=Summary!$B$2),"Passes using beginning_balance - PreV_ETB differs from beginning_balance",IF(AND(ISNUMBER(O4246),O4246&lt;0,ABS(L4246-(Q4246-IF(ISNUMBER(N4246),N4246,0)+IF(ISNUMBER(P4246),P4246,0)))&lt;=Summary!$B$2),"Negative realized loss not applied - check sign",IF(R4246&lt;0,"Principal paid exceeds prior balance",IF(AND(L4246&gt;Q4246,NOT(ISNUMBER(P4246))),"Balance increased but no Deferred_interest reported",IF(L4246&gt;R4246,"Reported balance higher than expected (missing increase/OC build)","Reported balance lower than expected (missing decrease)"))))),""))</f>
        <v/>
      </c>
    </row>
    <row r="4247" customFormat="false" ht="15" hidden="false" customHeight="false" outlineLevel="0" collapsed="false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9"/>
      <c r="L4247" s="9"/>
      <c r="M4247" s="9"/>
      <c r="N4247" s="9"/>
      <c r="O4247" s="9"/>
      <c r="P4247" s="9"/>
      <c r="Q4247" s="9"/>
      <c r="R4247" s="9" t="str">
        <f aca="false">IF(AND(A4247&lt;&gt;"",ISNUMBER(Q4247),ISNUMBER(L4247)),ROUND(Q4247-IF(ISNUMBER(N4247),N4247,0)-IF(ISNUMBER(O4247),O4247,0)+IF(ISNUMBER(P4247),P4247,0),2),"")</f>
        <v/>
      </c>
      <c r="S4247" s="9" t="str">
        <f aca="false">IF(R4247="","",ROUND(L4247-R4247,2))</f>
        <v/>
      </c>
      <c r="T4247" s="8" t="str">
        <f aca="false">IF(A4247="","",IF(S4247="","BYPASS",IF(ABS(S4247)&lt;=Summary!$B$2,"PASS","FAIL")))</f>
        <v/>
      </c>
      <c r="U4247" s="8" t="str">
        <f aca="false">IF(T4247="BYPASS",IF(NOT(ISNUMBER(Q4247)),"PreV_ETB missing","End_tr_balance missing"),IF(T4247="FAIL",IF(AND(ISNUMBER(K4247),ISNUMBER(L4247),ABS(L4247-(K4247-IF(ISNUMBER(N4247),N4247,0)-IF(ISNUMBER(O4247),O4247,0)+IF(ISNUMBER(P4247),P4247,0)))&lt;=Summary!$B$2),"Passes using beginning_balance - PreV_ETB differs from beginning_balance",IF(AND(ISNUMBER(O4247),O4247&lt;0,ABS(L4247-(Q4247-IF(ISNUMBER(N4247),N4247,0)+IF(ISNUMBER(P4247),P4247,0)))&lt;=Summary!$B$2),"Negative realized loss not applied - check sign",IF(R4247&lt;0,"Principal paid exceeds prior balance",IF(AND(L4247&gt;Q4247,NOT(ISNUMBER(P4247))),"Balance increased but no Deferred_interest reported",IF(L4247&gt;R4247,"Reported balance higher than expected (missing increase/OC build)","Reported balance lower than expected (missing decrease)"))))),""))</f>
        <v/>
      </c>
    </row>
    <row r="4248" customFormat="false" ht="15" hidden="false" customHeight="false" outlineLevel="0" collapsed="false">
      <c r="A4248" s="8"/>
      <c r="B4248" s="8"/>
      <c r="C4248" s="8"/>
      <c r="D4248" s="8"/>
      <c r="E4248" s="8"/>
      <c r="F4248" s="8"/>
      <c r="G4248" s="8"/>
      <c r="H4248" s="8"/>
      <c r="I4248" s="8"/>
      <c r="J4248" s="8"/>
      <c r="K4248" s="9"/>
      <c r="L4248" s="9"/>
      <c r="M4248" s="9"/>
      <c r="N4248" s="9"/>
      <c r="O4248" s="9"/>
      <c r="P4248" s="9"/>
      <c r="Q4248" s="9"/>
      <c r="R4248" s="9" t="str">
        <f aca="false">IF(AND(A4248&lt;&gt;"",ISNUMBER(Q4248),ISNUMBER(L4248)),ROUND(Q4248-IF(ISNUMBER(N4248),N4248,0)-IF(ISNUMBER(O4248),O4248,0)+IF(ISNUMBER(P4248),P4248,0),2),"")</f>
        <v/>
      </c>
      <c r="S4248" s="9" t="str">
        <f aca="false">IF(R4248="","",ROUND(L4248-R4248,2))</f>
        <v/>
      </c>
      <c r="T4248" s="8" t="str">
        <f aca="false">IF(A4248="","",IF(S4248="","BYPASS",IF(ABS(S4248)&lt;=Summary!$B$2,"PASS","FAIL")))</f>
        <v/>
      </c>
      <c r="U4248" s="8" t="str">
        <f aca="false">IF(T4248="BYPASS",IF(NOT(ISNUMBER(Q4248)),"PreV_ETB missing","End_tr_balance missing"),IF(T4248="FAIL",IF(AND(ISNUMBER(K4248),ISNUMBER(L4248),ABS(L4248-(K4248-IF(ISNUMBER(N4248),N4248,0)-IF(ISNUMBER(O4248),O4248,0)+IF(ISNUMBER(P4248),P4248,0)))&lt;=Summary!$B$2),"Passes using beginning_balance - PreV_ETB differs from beginning_balance",IF(AND(ISNUMBER(O4248),O4248&lt;0,ABS(L4248-(Q4248-IF(ISNUMBER(N4248),N4248,0)+IF(ISNUMBER(P4248),P4248,0)))&lt;=Summary!$B$2),"Negative realized loss not applied - check sign",IF(R4248&lt;0,"Principal paid exceeds prior balance",IF(AND(L4248&gt;Q4248,NOT(ISNUMBER(P4248))),"Balance increased but no Deferred_interest reported",IF(L4248&gt;R4248,"Reported balance higher than expected (missing increase/OC build)","Reported balance lower than expected (missing decrease)"))))),""))</f>
        <v/>
      </c>
    </row>
    <row r="4249" customFormat="false" ht="15" hidden="false" customHeight="false" outlineLevel="0" collapsed="false">
      <c r="A4249" s="8"/>
      <c r="B4249" s="8"/>
      <c r="C4249" s="8"/>
      <c r="D4249" s="8"/>
      <c r="E4249" s="8"/>
      <c r="F4249" s="8"/>
      <c r="G4249" s="8"/>
      <c r="H4249" s="8"/>
      <c r="I4249" s="8"/>
      <c r="J4249" s="8"/>
      <c r="K4249" s="9"/>
      <c r="L4249" s="9"/>
      <c r="M4249" s="9"/>
      <c r="N4249" s="9"/>
      <c r="O4249" s="9"/>
      <c r="P4249" s="9"/>
      <c r="Q4249" s="9"/>
      <c r="R4249" s="9" t="str">
        <f aca="false">IF(AND(A4249&lt;&gt;"",ISNUMBER(Q4249),ISNUMBER(L4249)),ROUND(Q4249-IF(ISNUMBER(N4249),N4249,0)-IF(ISNUMBER(O4249),O4249,0)+IF(ISNUMBER(P4249),P4249,0),2),"")</f>
        <v/>
      </c>
      <c r="S4249" s="9" t="str">
        <f aca="false">IF(R4249="","",ROUND(L4249-R4249,2))</f>
        <v/>
      </c>
      <c r="T4249" s="8" t="str">
        <f aca="false">IF(A4249="","",IF(S4249="","BYPASS",IF(ABS(S4249)&lt;=Summary!$B$2,"PASS","FAIL")))</f>
        <v/>
      </c>
      <c r="U4249" s="8" t="str">
        <f aca="false">IF(T4249="BYPASS",IF(NOT(ISNUMBER(Q4249)),"PreV_ETB missing","End_tr_balance missing"),IF(T4249="FAIL",IF(AND(ISNUMBER(K4249),ISNUMBER(L4249),ABS(L4249-(K4249-IF(ISNUMBER(N4249),N4249,0)-IF(ISNUMBER(O4249),O4249,0)+IF(ISNUMBER(P4249),P4249,0)))&lt;=Summary!$B$2),"Passes using beginning_balance - PreV_ETB differs from beginning_balance",IF(AND(ISNUMBER(O4249),O4249&lt;0,ABS(L4249-(Q4249-IF(ISNUMBER(N4249),N4249,0)+IF(ISNUMBER(P4249),P4249,0)))&lt;=Summary!$B$2),"Negative realized loss not applied - check sign",IF(R4249&lt;0,"Principal paid exceeds prior balance",IF(AND(L4249&gt;Q4249,NOT(ISNUMBER(P4249))),"Balance increased but no Deferred_interest reported",IF(L4249&gt;R4249,"Reported balance higher than expected (missing increase/OC build)","Reported balance lower than expected (missing decrease)"))))),""))</f>
        <v/>
      </c>
    </row>
    <row r="4250" customFormat="false" ht="15" hidden="false" customHeight="false" outlineLevel="0" collapsed="false">
      <c r="A4250" s="8"/>
      <c r="B4250" s="8"/>
      <c r="C4250" s="8"/>
      <c r="D4250" s="8"/>
      <c r="E4250" s="8"/>
      <c r="F4250" s="8"/>
      <c r="G4250" s="8"/>
      <c r="H4250" s="8"/>
      <c r="I4250" s="8"/>
      <c r="J4250" s="8"/>
      <c r="K4250" s="9"/>
      <c r="L4250" s="9"/>
      <c r="M4250" s="9"/>
      <c r="N4250" s="9"/>
      <c r="O4250" s="9"/>
      <c r="P4250" s="9"/>
      <c r="Q4250" s="9"/>
      <c r="R4250" s="9" t="str">
        <f aca="false">IF(AND(A4250&lt;&gt;"",ISNUMBER(Q4250),ISNUMBER(L4250)),ROUND(Q4250-IF(ISNUMBER(N4250),N4250,0)-IF(ISNUMBER(O4250),O4250,0)+IF(ISNUMBER(P4250),P4250,0),2),"")</f>
        <v/>
      </c>
      <c r="S4250" s="9" t="str">
        <f aca="false">IF(R4250="","",ROUND(L4250-R4250,2))</f>
        <v/>
      </c>
      <c r="T4250" s="8" t="str">
        <f aca="false">IF(A4250="","",IF(S4250="","BYPASS",IF(ABS(S4250)&lt;=Summary!$B$2,"PASS","FAIL")))</f>
        <v/>
      </c>
      <c r="U4250" s="8" t="str">
        <f aca="false">IF(T4250="BYPASS",IF(NOT(ISNUMBER(Q4250)),"PreV_ETB missing","End_tr_balance missing"),IF(T4250="FAIL",IF(AND(ISNUMBER(K4250),ISNUMBER(L4250),ABS(L4250-(K4250-IF(ISNUMBER(N4250),N4250,0)-IF(ISNUMBER(O4250),O4250,0)+IF(ISNUMBER(P4250),P4250,0)))&lt;=Summary!$B$2),"Passes using beginning_balance - PreV_ETB differs from beginning_balance",IF(AND(ISNUMBER(O4250),O4250&lt;0,ABS(L4250-(Q4250-IF(ISNUMBER(N4250),N4250,0)+IF(ISNUMBER(P4250),P4250,0)))&lt;=Summary!$B$2),"Negative realized loss not applied - check sign",IF(R4250&lt;0,"Principal paid exceeds prior balance",IF(AND(L4250&gt;Q4250,NOT(ISNUMBER(P4250))),"Balance increased but no Deferred_interest reported",IF(L4250&gt;R4250,"Reported balance higher than expected (missing increase/OC build)","Reported balance lower than expected (missing decrease)"))))),""))</f>
        <v/>
      </c>
    </row>
    <row r="4251" customFormat="false" ht="15" hidden="false" customHeight="false" outlineLevel="0" collapsed="false">
      <c r="A4251" s="8"/>
      <c r="B4251" s="8"/>
      <c r="C4251" s="8"/>
      <c r="D4251" s="8"/>
      <c r="E4251" s="8"/>
      <c r="F4251" s="8"/>
      <c r="G4251" s="8"/>
      <c r="H4251" s="8"/>
      <c r="I4251" s="8"/>
      <c r="J4251" s="8"/>
      <c r="K4251" s="9"/>
      <c r="L4251" s="9"/>
      <c r="M4251" s="9"/>
      <c r="N4251" s="9"/>
      <c r="O4251" s="9"/>
      <c r="P4251" s="9"/>
      <c r="Q4251" s="9"/>
      <c r="R4251" s="9" t="str">
        <f aca="false">IF(AND(A4251&lt;&gt;"",ISNUMBER(Q4251),ISNUMBER(L4251)),ROUND(Q4251-IF(ISNUMBER(N4251),N4251,0)-IF(ISNUMBER(O4251),O4251,0)+IF(ISNUMBER(P4251),P4251,0),2),"")</f>
        <v/>
      </c>
      <c r="S4251" s="9" t="str">
        <f aca="false">IF(R4251="","",ROUND(L4251-R4251,2))</f>
        <v/>
      </c>
      <c r="T4251" s="8" t="str">
        <f aca="false">IF(A4251="","",IF(S4251="","BYPASS",IF(ABS(S4251)&lt;=Summary!$B$2,"PASS","FAIL")))</f>
        <v/>
      </c>
      <c r="U4251" s="8" t="str">
        <f aca="false">IF(T4251="BYPASS",IF(NOT(ISNUMBER(Q4251)),"PreV_ETB missing","End_tr_balance missing"),IF(T4251="FAIL",IF(AND(ISNUMBER(K4251),ISNUMBER(L4251),ABS(L4251-(K4251-IF(ISNUMBER(N4251),N4251,0)-IF(ISNUMBER(O4251),O4251,0)+IF(ISNUMBER(P4251),P4251,0)))&lt;=Summary!$B$2),"Passes using beginning_balance - PreV_ETB differs from beginning_balance",IF(AND(ISNUMBER(O4251),O4251&lt;0,ABS(L4251-(Q4251-IF(ISNUMBER(N4251),N4251,0)+IF(ISNUMBER(P4251),P4251,0)))&lt;=Summary!$B$2),"Negative realized loss not applied - check sign",IF(R4251&lt;0,"Principal paid exceeds prior balance",IF(AND(L4251&gt;Q4251,NOT(ISNUMBER(P4251))),"Balance increased but no Deferred_interest reported",IF(L4251&gt;R4251,"Reported balance higher than expected (missing increase/OC build)","Reported balance lower than expected (missing decrease)"))))),""))</f>
        <v/>
      </c>
    </row>
    <row r="4252" customFormat="false" ht="15" hidden="false" customHeight="false" outlineLevel="0" collapsed="false">
      <c r="A4252" s="8"/>
      <c r="B4252" s="8"/>
      <c r="C4252" s="8"/>
      <c r="D4252" s="8"/>
      <c r="E4252" s="8"/>
      <c r="F4252" s="8"/>
      <c r="G4252" s="8"/>
      <c r="H4252" s="8"/>
      <c r="I4252" s="8"/>
      <c r="J4252" s="8"/>
      <c r="K4252" s="9"/>
      <c r="L4252" s="9"/>
      <c r="M4252" s="9"/>
      <c r="N4252" s="9"/>
      <c r="O4252" s="9"/>
      <c r="P4252" s="9"/>
      <c r="Q4252" s="9"/>
      <c r="R4252" s="9" t="str">
        <f aca="false">IF(AND(A4252&lt;&gt;"",ISNUMBER(Q4252),ISNUMBER(L4252)),ROUND(Q4252-IF(ISNUMBER(N4252),N4252,0)-IF(ISNUMBER(O4252),O4252,0)+IF(ISNUMBER(P4252),P4252,0),2),"")</f>
        <v/>
      </c>
      <c r="S4252" s="9" t="str">
        <f aca="false">IF(R4252="","",ROUND(L4252-R4252,2))</f>
        <v/>
      </c>
      <c r="T4252" s="8" t="str">
        <f aca="false">IF(A4252="","",IF(S4252="","BYPASS",IF(ABS(S4252)&lt;=Summary!$B$2,"PASS","FAIL")))</f>
        <v/>
      </c>
      <c r="U4252" s="8" t="str">
        <f aca="false">IF(T4252="BYPASS",IF(NOT(ISNUMBER(Q4252)),"PreV_ETB missing","End_tr_balance missing"),IF(T4252="FAIL",IF(AND(ISNUMBER(K4252),ISNUMBER(L4252),ABS(L4252-(K4252-IF(ISNUMBER(N4252),N4252,0)-IF(ISNUMBER(O4252),O4252,0)+IF(ISNUMBER(P4252),P4252,0)))&lt;=Summary!$B$2),"Passes using beginning_balance - PreV_ETB differs from beginning_balance",IF(AND(ISNUMBER(O4252),O4252&lt;0,ABS(L4252-(Q4252-IF(ISNUMBER(N4252),N4252,0)+IF(ISNUMBER(P4252),P4252,0)))&lt;=Summary!$B$2),"Negative realized loss not applied - check sign",IF(R4252&lt;0,"Principal paid exceeds prior balance",IF(AND(L4252&gt;Q4252,NOT(ISNUMBER(P4252))),"Balance increased but no Deferred_interest reported",IF(L4252&gt;R4252,"Reported balance higher than expected (missing increase/OC build)","Reported balance lower than expected (missing decrease)"))))),""))</f>
        <v/>
      </c>
    </row>
    <row r="4253" customFormat="false" ht="15" hidden="false" customHeight="false" outlineLevel="0" collapsed="false">
      <c r="A4253" s="8"/>
      <c r="B4253" s="8"/>
      <c r="C4253" s="8"/>
      <c r="D4253" s="8"/>
      <c r="E4253" s="8"/>
      <c r="F4253" s="8"/>
      <c r="G4253" s="8"/>
      <c r="H4253" s="8"/>
      <c r="I4253" s="8"/>
      <c r="J4253" s="8"/>
      <c r="K4253" s="9"/>
      <c r="L4253" s="9"/>
      <c r="M4253" s="9"/>
      <c r="N4253" s="9"/>
      <c r="O4253" s="9"/>
      <c r="P4253" s="9"/>
      <c r="Q4253" s="9"/>
      <c r="R4253" s="9" t="str">
        <f aca="false">IF(AND(A4253&lt;&gt;"",ISNUMBER(Q4253),ISNUMBER(L4253)),ROUND(Q4253-IF(ISNUMBER(N4253),N4253,0)-IF(ISNUMBER(O4253),O4253,0)+IF(ISNUMBER(P4253),P4253,0),2),"")</f>
        <v/>
      </c>
      <c r="S4253" s="9" t="str">
        <f aca="false">IF(R4253="","",ROUND(L4253-R4253,2))</f>
        <v/>
      </c>
      <c r="T4253" s="8" t="str">
        <f aca="false">IF(A4253="","",IF(S4253="","BYPASS",IF(ABS(S4253)&lt;=Summary!$B$2,"PASS","FAIL")))</f>
        <v/>
      </c>
      <c r="U4253" s="8" t="str">
        <f aca="false">IF(T4253="BYPASS",IF(NOT(ISNUMBER(Q4253)),"PreV_ETB missing","End_tr_balance missing"),IF(T4253="FAIL",IF(AND(ISNUMBER(K4253),ISNUMBER(L4253),ABS(L4253-(K4253-IF(ISNUMBER(N4253),N4253,0)-IF(ISNUMBER(O4253),O4253,0)+IF(ISNUMBER(P4253),P4253,0)))&lt;=Summary!$B$2),"Passes using beginning_balance - PreV_ETB differs from beginning_balance",IF(AND(ISNUMBER(O4253),O4253&lt;0,ABS(L4253-(Q4253-IF(ISNUMBER(N4253),N4253,0)+IF(ISNUMBER(P4253),P4253,0)))&lt;=Summary!$B$2),"Negative realized loss not applied - check sign",IF(R4253&lt;0,"Principal paid exceeds prior balance",IF(AND(L4253&gt;Q4253,NOT(ISNUMBER(P4253))),"Balance increased but no Deferred_interest reported",IF(L4253&gt;R4253,"Reported balance higher than expected (missing increase/OC build)","Reported balance lower than expected (missing decrease)"))))),""))</f>
        <v/>
      </c>
    </row>
    <row r="4254" customFormat="false" ht="15" hidden="false" customHeight="false" outlineLevel="0" collapsed="false">
      <c r="A4254" s="8"/>
      <c r="B4254" s="8"/>
      <c r="C4254" s="8"/>
      <c r="D4254" s="8"/>
      <c r="E4254" s="8"/>
      <c r="F4254" s="8"/>
      <c r="G4254" s="8"/>
      <c r="H4254" s="8"/>
      <c r="I4254" s="8"/>
      <c r="J4254" s="8"/>
      <c r="K4254" s="9"/>
      <c r="L4254" s="9"/>
      <c r="M4254" s="9"/>
      <c r="N4254" s="9"/>
      <c r="O4254" s="9"/>
      <c r="P4254" s="9"/>
      <c r="Q4254" s="9"/>
      <c r="R4254" s="9" t="str">
        <f aca="false">IF(AND(A4254&lt;&gt;"",ISNUMBER(Q4254),ISNUMBER(L4254)),ROUND(Q4254-IF(ISNUMBER(N4254),N4254,0)-IF(ISNUMBER(O4254),O4254,0)+IF(ISNUMBER(P4254),P4254,0),2),"")</f>
        <v/>
      </c>
      <c r="S4254" s="9" t="str">
        <f aca="false">IF(R4254="","",ROUND(L4254-R4254,2))</f>
        <v/>
      </c>
      <c r="T4254" s="8" t="str">
        <f aca="false">IF(A4254="","",IF(S4254="","BYPASS",IF(ABS(S4254)&lt;=Summary!$B$2,"PASS","FAIL")))</f>
        <v/>
      </c>
      <c r="U4254" s="8" t="str">
        <f aca="false">IF(T4254="BYPASS",IF(NOT(ISNUMBER(Q4254)),"PreV_ETB missing","End_tr_balance missing"),IF(T4254="FAIL",IF(AND(ISNUMBER(K4254),ISNUMBER(L4254),ABS(L4254-(K4254-IF(ISNUMBER(N4254),N4254,0)-IF(ISNUMBER(O4254),O4254,0)+IF(ISNUMBER(P4254),P4254,0)))&lt;=Summary!$B$2),"Passes using beginning_balance - PreV_ETB differs from beginning_balance",IF(AND(ISNUMBER(O4254),O4254&lt;0,ABS(L4254-(Q4254-IF(ISNUMBER(N4254),N4254,0)+IF(ISNUMBER(P4254),P4254,0)))&lt;=Summary!$B$2),"Negative realized loss not applied - check sign",IF(R4254&lt;0,"Principal paid exceeds prior balance",IF(AND(L4254&gt;Q4254,NOT(ISNUMBER(P4254))),"Balance increased but no Deferred_interest reported",IF(L4254&gt;R4254,"Reported balance higher than expected (missing increase/OC build)","Reported balance lower than expected (missing decrease)"))))),""))</f>
        <v/>
      </c>
    </row>
    <row r="4255" customFormat="false" ht="15" hidden="false" customHeight="false" outlineLevel="0" collapsed="false">
      <c r="A4255" s="8"/>
      <c r="B4255" s="8"/>
      <c r="C4255" s="8"/>
      <c r="D4255" s="8"/>
      <c r="E4255" s="8"/>
      <c r="F4255" s="8"/>
      <c r="G4255" s="8"/>
      <c r="H4255" s="8"/>
      <c r="I4255" s="8"/>
      <c r="J4255" s="8"/>
      <c r="K4255" s="9"/>
      <c r="L4255" s="9"/>
      <c r="M4255" s="9"/>
      <c r="N4255" s="9"/>
      <c r="O4255" s="9"/>
      <c r="P4255" s="9"/>
      <c r="Q4255" s="9"/>
      <c r="R4255" s="9" t="str">
        <f aca="false">IF(AND(A4255&lt;&gt;"",ISNUMBER(Q4255),ISNUMBER(L4255)),ROUND(Q4255-IF(ISNUMBER(N4255),N4255,0)-IF(ISNUMBER(O4255),O4255,0)+IF(ISNUMBER(P4255),P4255,0),2),"")</f>
        <v/>
      </c>
      <c r="S4255" s="9" t="str">
        <f aca="false">IF(R4255="","",ROUND(L4255-R4255,2))</f>
        <v/>
      </c>
      <c r="T4255" s="8" t="str">
        <f aca="false">IF(A4255="","",IF(S4255="","BYPASS",IF(ABS(S4255)&lt;=Summary!$B$2,"PASS","FAIL")))</f>
        <v/>
      </c>
      <c r="U4255" s="8" t="str">
        <f aca="false">IF(T4255="BYPASS",IF(NOT(ISNUMBER(Q4255)),"PreV_ETB missing","End_tr_balance missing"),IF(T4255="FAIL",IF(AND(ISNUMBER(K4255),ISNUMBER(L4255),ABS(L4255-(K4255-IF(ISNUMBER(N4255),N4255,0)-IF(ISNUMBER(O4255),O4255,0)+IF(ISNUMBER(P4255),P4255,0)))&lt;=Summary!$B$2),"Passes using beginning_balance - PreV_ETB differs from beginning_balance",IF(AND(ISNUMBER(O4255),O4255&lt;0,ABS(L4255-(Q4255-IF(ISNUMBER(N4255),N4255,0)+IF(ISNUMBER(P4255),P4255,0)))&lt;=Summary!$B$2),"Negative realized loss not applied - check sign",IF(R4255&lt;0,"Principal paid exceeds prior balance",IF(AND(L4255&gt;Q4255,NOT(ISNUMBER(P4255))),"Balance increased but no Deferred_interest reported",IF(L4255&gt;R4255,"Reported balance higher than expected (missing increase/OC build)","Reported balance lower than expected (missing decrease)"))))),""))</f>
        <v/>
      </c>
    </row>
    <row r="4256" customFormat="false" ht="15" hidden="false" customHeight="false" outlineLevel="0" collapsed="false">
      <c r="A4256" s="8"/>
      <c r="B4256" s="8"/>
      <c r="C4256" s="8"/>
      <c r="D4256" s="8"/>
      <c r="E4256" s="8"/>
      <c r="F4256" s="8"/>
      <c r="G4256" s="8"/>
      <c r="H4256" s="8"/>
      <c r="I4256" s="8"/>
      <c r="J4256" s="8"/>
      <c r="K4256" s="9"/>
      <c r="L4256" s="9"/>
      <c r="M4256" s="9"/>
      <c r="N4256" s="9"/>
      <c r="O4256" s="9"/>
      <c r="P4256" s="9"/>
      <c r="Q4256" s="9"/>
      <c r="R4256" s="9" t="str">
        <f aca="false">IF(AND(A4256&lt;&gt;"",ISNUMBER(Q4256),ISNUMBER(L4256)),ROUND(Q4256-IF(ISNUMBER(N4256),N4256,0)-IF(ISNUMBER(O4256),O4256,0)+IF(ISNUMBER(P4256),P4256,0),2),"")</f>
        <v/>
      </c>
      <c r="S4256" s="9" t="str">
        <f aca="false">IF(R4256="","",ROUND(L4256-R4256,2))</f>
        <v/>
      </c>
      <c r="T4256" s="8" t="str">
        <f aca="false">IF(A4256="","",IF(S4256="","BYPASS",IF(ABS(S4256)&lt;=Summary!$B$2,"PASS","FAIL")))</f>
        <v/>
      </c>
      <c r="U4256" s="8" t="str">
        <f aca="false">IF(T4256="BYPASS",IF(NOT(ISNUMBER(Q4256)),"PreV_ETB missing","End_tr_balance missing"),IF(T4256="FAIL",IF(AND(ISNUMBER(K4256),ISNUMBER(L4256),ABS(L4256-(K4256-IF(ISNUMBER(N4256),N4256,0)-IF(ISNUMBER(O4256),O4256,0)+IF(ISNUMBER(P4256),P4256,0)))&lt;=Summary!$B$2),"Passes using beginning_balance - PreV_ETB differs from beginning_balance",IF(AND(ISNUMBER(O4256),O4256&lt;0,ABS(L4256-(Q4256-IF(ISNUMBER(N4256),N4256,0)+IF(ISNUMBER(P4256),P4256,0)))&lt;=Summary!$B$2),"Negative realized loss not applied - check sign",IF(R4256&lt;0,"Principal paid exceeds prior balance",IF(AND(L4256&gt;Q4256,NOT(ISNUMBER(P4256))),"Balance increased but no Deferred_interest reported",IF(L4256&gt;R4256,"Reported balance higher than expected (missing increase/OC build)","Reported balance lower than expected (missing decrease)"))))),""))</f>
        <v/>
      </c>
    </row>
    <row r="4257" customFormat="false" ht="15" hidden="false" customHeight="false" outlineLevel="0" collapsed="false">
      <c r="A4257" s="8"/>
      <c r="B4257" s="8"/>
      <c r="C4257" s="8"/>
      <c r="D4257" s="8"/>
      <c r="E4257" s="8"/>
      <c r="F4257" s="8"/>
      <c r="G4257" s="8"/>
      <c r="H4257" s="8"/>
      <c r="I4257" s="8"/>
      <c r="J4257" s="8"/>
      <c r="K4257" s="9"/>
      <c r="L4257" s="9"/>
      <c r="M4257" s="9"/>
      <c r="N4257" s="9"/>
      <c r="O4257" s="9"/>
      <c r="P4257" s="9"/>
      <c r="Q4257" s="9"/>
      <c r="R4257" s="9" t="str">
        <f aca="false">IF(AND(A4257&lt;&gt;"",ISNUMBER(Q4257),ISNUMBER(L4257)),ROUND(Q4257-IF(ISNUMBER(N4257),N4257,0)-IF(ISNUMBER(O4257),O4257,0)+IF(ISNUMBER(P4257),P4257,0),2),"")</f>
        <v/>
      </c>
      <c r="S4257" s="9" t="str">
        <f aca="false">IF(R4257="","",ROUND(L4257-R4257,2))</f>
        <v/>
      </c>
      <c r="T4257" s="8" t="str">
        <f aca="false">IF(A4257="","",IF(S4257="","BYPASS",IF(ABS(S4257)&lt;=Summary!$B$2,"PASS","FAIL")))</f>
        <v/>
      </c>
      <c r="U4257" s="8" t="str">
        <f aca="false">IF(T4257="BYPASS",IF(NOT(ISNUMBER(Q4257)),"PreV_ETB missing","End_tr_balance missing"),IF(T4257="FAIL",IF(AND(ISNUMBER(K4257),ISNUMBER(L4257),ABS(L4257-(K4257-IF(ISNUMBER(N4257),N4257,0)-IF(ISNUMBER(O4257),O4257,0)+IF(ISNUMBER(P4257),P4257,0)))&lt;=Summary!$B$2),"Passes using beginning_balance - PreV_ETB differs from beginning_balance",IF(AND(ISNUMBER(O4257),O4257&lt;0,ABS(L4257-(Q4257-IF(ISNUMBER(N4257),N4257,0)+IF(ISNUMBER(P4257),P4257,0)))&lt;=Summary!$B$2),"Negative realized loss not applied - check sign",IF(R4257&lt;0,"Principal paid exceeds prior balance",IF(AND(L4257&gt;Q4257,NOT(ISNUMBER(P4257))),"Balance increased but no Deferred_interest reported",IF(L4257&gt;R4257,"Reported balance higher than expected (missing increase/OC build)","Reported balance lower than expected (missing decrease)"))))),""))</f>
        <v/>
      </c>
    </row>
    <row r="4258" customFormat="false" ht="15" hidden="false" customHeight="false" outlineLevel="0" collapsed="false">
      <c r="A4258" s="8"/>
      <c r="B4258" s="8"/>
      <c r="C4258" s="8"/>
      <c r="D4258" s="8"/>
      <c r="E4258" s="8"/>
      <c r="F4258" s="8"/>
      <c r="G4258" s="8"/>
      <c r="H4258" s="8"/>
      <c r="I4258" s="8"/>
      <c r="J4258" s="8"/>
      <c r="K4258" s="9"/>
      <c r="L4258" s="9"/>
      <c r="M4258" s="9"/>
      <c r="N4258" s="9"/>
      <c r="O4258" s="9"/>
      <c r="P4258" s="9"/>
      <c r="Q4258" s="9"/>
      <c r="R4258" s="9" t="str">
        <f aca="false">IF(AND(A4258&lt;&gt;"",ISNUMBER(Q4258),ISNUMBER(L4258)),ROUND(Q4258-IF(ISNUMBER(N4258),N4258,0)-IF(ISNUMBER(O4258),O4258,0)+IF(ISNUMBER(P4258),P4258,0),2),"")</f>
        <v/>
      </c>
      <c r="S4258" s="9" t="str">
        <f aca="false">IF(R4258="","",ROUND(L4258-R4258,2))</f>
        <v/>
      </c>
      <c r="T4258" s="8" t="str">
        <f aca="false">IF(A4258="","",IF(S4258="","BYPASS",IF(ABS(S4258)&lt;=Summary!$B$2,"PASS","FAIL")))</f>
        <v/>
      </c>
      <c r="U4258" s="8" t="str">
        <f aca="false">IF(T4258="BYPASS",IF(NOT(ISNUMBER(Q4258)),"PreV_ETB missing","End_tr_balance missing"),IF(T4258="FAIL",IF(AND(ISNUMBER(K4258),ISNUMBER(L4258),ABS(L4258-(K4258-IF(ISNUMBER(N4258),N4258,0)-IF(ISNUMBER(O4258),O4258,0)+IF(ISNUMBER(P4258),P4258,0)))&lt;=Summary!$B$2),"Passes using beginning_balance - PreV_ETB differs from beginning_balance",IF(AND(ISNUMBER(O4258),O4258&lt;0,ABS(L4258-(Q4258-IF(ISNUMBER(N4258),N4258,0)+IF(ISNUMBER(P4258),P4258,0)))&lt;=Summary!$B$2),"Negative realized loss not applied - check sign",IF(R4258&lt;0,"Principal paid exceeds prior balance",IF(AND(L4258&gt;Q4258,NOT(ISNUMBER(P4258))),"Balance increased but no Deferred_interest reported",IF(L4258&gt;R4258,"Reported balance higher than expected (missing increase/OC build)","Reported balance lower than expected (missing decrease)"))))),""))</f>
        <v/>
      </c>
    </row>
    <row r="4259" customFormat="false" ht="15" hidden="false" customHeight="false" outlineLevel="0" collapsed="false">
      <c r="A4259" s="8"/>
      <c r="B4259" s="8"/>
      <c r="C4259" s="8"/>
      <c r="D4259" s="8"/>
      <c r="E4259" s="8"/>
      <c r="F4259" s="8"/>
      <c r="G4259" s="8"/>
      <c r="H4259" s="8"/>
      <c r="I4259" s="8"/>
      <c r="J4259" s="8"/>
      <c r="K4259" s="9"/>
      <c r="L4259" s="9"/>
      <c r="M4259" s="9"/>
      <c r="N4259" s="9"/>
      <c r="O4259" s="9"/>
      <c r="P4259" s="9"/>
      <c r="Q4259" s="9"/>
      <c r="R4259" s="9" t="str">
        <f aca="false">IF(AND(A4259&lt;&gt;"",ISNUMBER(Q4259),ISNUMBER(L4259)),ROUND(Q4259-IF(ISNUMBER(N4259),N4259,0)-IF(ISNUMBER(O4259),O4259,0)+IF(ISNUMBER(P4259),P4259,0),2),"")</f>
        <v/>
      </c>
      <c r="S4259" s="9" t="str">
        <f aca="false">IF(R4259="","",ROUND(L4259-R4259,2))</f>
        <v/>
      </c>
      <c r="T4259" s="8" t="str">
        <f aca="false">IF(A4259="","",IF(S4259="","BYPASS",IF(ABS(S4259)&lt;=Summary!$B$2,"PASS","FAIL")))</f>
        <v/>
      </c>
      <c r="U4259" s="8" t="str">
        <f aca="false">IF(T4259="BYPASS",IF(NOT(ISNUMBER(Q4259)),"PreV_ETB missing","End_tr_balance missing"),IF(T4259="FAIL",IF(AND(ISNUMBER(K4259),ISNUMBER(L4259),ABS(L4259-(K4259-IF(ISNUMBER(N4259),N4259,0)-IF(ISNUMBER(O4259),O4259,0)+IF(ISNUMBER(P4259),P4259,0)))&lt;=Summary!$B$2),"Passes using beginning_balance - PreV_ETB differs from beginning_balance",IF(AND(ISNUMBER(O4259),O4259&lt;0,ABS(L4259-(Q4259-IF(ISNUMBER(N4259),N4259,0)+IF(ISNUMBER(P4259),P4259,0)))&lt;=Summary!$B$2),"Negative realized loss not applied - check sign",IF(R4259&lt;0,"Principal paid exceeds prior balance",IF(AND(L4259&gt;Q4259,NOT(ISNUMBER(P4259))),"Balance increased but no Deferred_interest reported",IF(L4259&gt;R4259,"Reported balance higher than expected (missing increase/OC build)","Reported balance lower than expected (missing decrease)"))))),""))</f>
        <v/>
      </c>
    </row>
    <row r="4260" customFormat="false" ht="15" hidden="false" customHeight="false" outlineLevel="0" collapsed="false">
      <c r="A4260" s="8"/>
      <c r="B4260" s="8"/>
      <c r="C4260" s="8"/>
      <c r="D4260" s="8"/>
      <c r="E4260" s="8"/>
      <c r="F4260" s="8"/>
      <c r="G4260" s="8"/>
      <c r="H4260" s="8"/>
      <c r="I4260" s="8"/>
      <c r="J4260" s="8"/>
      <c r="K4260" s="9"/>
      <c r="L4260" s="9"/>
      <c r="M4260" s="9"/>
      <c r="N4260" s="9"/>
      <c r="O4260" s="9"/>
      <c r="P4260" s="9"/>
      <c r="Q4260" s="9"/>
      <c r="R4260" s="9" t="str">
        <f aca="false">IF(AND(A4260&lt;&gt;"",ISNUMBER(Q4260),ISNUMBER(L4260)),ROUND(Q4260-IF(ISNUMBER(N4260),N4260,0)-IF(ISNUMBER(O4260),O4260,0)+IF(ISNUMBER(P4260),P4260,0),2),"")</f>
        <v/>
      </c>
      <c r="S4260" s="9" t="str">
        <f aca="false">IF(R4260="","",ROUND(L4260-R4260,2))</f>
        <v/>
      </c>
      <c r="T4260" s="8" t="str">
        <f aca="false">IF(A4260="","",IF(S4260="","BYPASS",IF(ABS(S4260)&lt;=Summary!$B$2,"PASS","FAIL")))</f>
        <v/>
      </c>
      <c r="U4260" s="8" t="str">
        <f aca="false">IF(T4260="BYPASS",IF(NOT(ISNUMBER(Q4260)),"PreV_ETB missing","End_tr_balance missing"),IF(T4260="FAIL",IF(AND(ISNUMBER(K4260),ISNUMBER(L4260),ABS(L4260-(K4260-IF(ISNUMBER(N4260),N4260,0)-IF(ISNUMBER(O4260),O4260,0)+IF(ISNUMBER(P4260),P4260,0)))&lt;=Summary!$B$2),"Passes using beginning_balance - PreV_ETB differs from beginning_balance",IF(AND(ISNUMBER(O4260),O4260&lt;0,ABS(L4260-(Q4260-IF(ISNUMBER(N4260),N4260,0)+IF(ISNUMBER(P4260),P4260,0)))&lt;=Summary!$B$2),"Negative realized loss not applied - check sign",IF(R4260&lt;0,"Principal paid exceeds prior balance",IF(AND(L4260&gt;Q4260,NOT(ISNUMBER(P4260))),"Balance increased but no Deferred_interest reported",IF(L4260&gt;R4260,"Reported balance higher than expected (missing increase/OC build)","Reported balance lower than expected (missing decrease)"))))),""))</f>
        <v/>
      </c>
    </row>
    <row r="4261" customFormat="false" ht="15" hidden="false" customHeight="false" outlineLevel="0" collapsed="false">
      <c r="A4261" s="8"/>
      <c r="B4261" s="8"/>
      <c r="C4261" s="8"/>
      <c r="D4261" s="8"/>
      <c r="E4261" s="8"/>
      <c r="F4261" s="8"/>
      <c r="G4261" s="8"/>
      <c r="H4261" s="8"/>
      <c r="I4261" s="8"/>
      <c r="J4261" s="8"/>
      <c r="K4261" s="9"/>
      <c r="L4261" s="9"/>
      <c r="M4261" s="9"/>
      <c r="N4261" s="9"/>
      <c r="O4261" s="9"/>
      <c r="P4261" s="9"/>
      <c r="Q4261" s="9"/>
      <c r="R4261" s="9" t="str">
        <f aca="false">IF(AND(A4261&lt;&gt;"",ISNUMBER(Q4261),ISNUMBER(L4261)),ROUND(Q4261-IF(ISNUMBER(N4261),N4261,0)-IF(ISNUMBER(O4261),O4261,0)+IF(ISNUMBER(P4261),P4261,0),2),"")</f>
        <v/>
      </c>
      <c r="S4261" s="9" t="str">
        <f aca="false">IF(R4261="","",ROUND(L4261-R4261,2))</f>
        <v/>
      </c>
      <c r="T4261" s="8" t="str">
        <f aca="false">IF(A4261="","",IF(S4261="","BYPASS",IF(ABS(S4261)&lt;=Summary!$B$2,"PASS","FAIL")))</f>
        <v/>
      </c>
      <c r="U4261" s="8" t="str">
        <f aca="false">IF(T4261="BYPASS",IF(NOT(ISNUMBER(Q4261)),"PreV_ETB missing","End_tr_balance missing"),IF(T4261="FAIL",IF(AND(ISNUMBER(K4261),ISNUMBER(L4261),ABS(L4261-(K4261-IF(ISNUMBER(N4261),N4261,0)-IF(ISNUMBER(O4261),O4261,0)+IF(ISNUMBER(P4261),P4261,0)))&lt;=Summary!$B$2),"Passes using beginning_balance - PreV_ETB differs from beginning_balance",IF(AND(ISNUMBER(O4261),O4261&lt;0,ABS(L4261-(Q4261-IF(ISNUMBER(N4261),N4261,0)+IF(ISNUMBER(P4261),P4261,0)))&lt;=Summary!$B$2),"Negative realized loss not applied - check sign",IF(R4261&lt;0,"Principal paid exceeds prior balance",IF(AND(L4261&gt;Q4261,NOT(ISNUMBER(P4261))),"Balance increased but no Deferred_interest reported",IF(L4261&gt;R4261,"Reported balance higher than expected (missing increase/OC build)","Reported balance lower than expected (missing decrease)"))))),""))</f>
        <v/>
      </c>
    </row>
    <row r="4262" customFormat="false" ht="15" hidden="false" customHeight="false" outlineLevel="0" collapsed="false">
      <c r="A4262" s="8"/>
      <c r="B4262" s="8"/>
      <c r="C4262" s="8"/>
      <c r="D4262" s="8"/>
      <c r="E4262" s="8"/>
      <c r="F4262" s="8"/>
      <c r="G4262" s="8"/>
      <c r="H4262" s="8"/>
      <c r="I4262" s="8"/>
      <c r="J4262" s="8"/>
      <c r="K4262" s="9"/>
      <c r="L4262" s="9"/>
      <c r="M4262" s="9"/>
      <c r="N4262" s="9"/>
      <c r="O4262" s="9"/>
      <c r="P4262" s="9"/>
      <c r="Q4262" s="9"/>
      <c r="R4262" s="9" t="str">
        <f aca="false">IF(AND(A4262&lt;&gt;"",ISNUMBER(Q4262),ISNUMBER(L4262)),ROUND(Q4262-IF(ISNUMBER(N4262),N4262,0)-IF(ISNUMBER(O4262),O4262,0)+IF(ISNUMBER(P4262),P4262,0),2),"")</f>
        <v/>
      </c>
      <c r="S4262" s="9" t="str">
        <f aca="false">IF(R4262="","",ROUND(L4262-R4262,2))</f>
        <v/>
      </c>
      <c r="T4262" s="8" t="str">
        <f aca="false">IF(A4262="","",IF(S4262="","BYPASS",IF(ABS(S4262)&lt;=Summary!$B$2,"PASS","FAIL")))</f>
        <v/>
      </c>
      <c r="U4262" s="8" t="str">
        <f aca="false">IF(T4262="BYPASS",IF(NOT(ISNUMBER(Q4262)),"PreV_ETB missing","End_tr_balance missing"),IF(T4262="FAIL",IF(AND(ISNUMBER(K4262),ISNUMBER(L4262),ABS(L4262-(K4262-IF(ISNUMBER(N4262),N4262,0)-IF(ISNUMBER(O4262),O4262,0)+IF(ISNUMBER(P4262),P4262,0)))&lt;=Summary!$B$2),"Passes using beginning_balance - PreV_ETB differs from beginning_balance",IF(AND(ISNUMBER(O4262),O4262&lt;0,ABS(L4262-(Q4262-IF(ISNUMBER(N4262),N4262,0)+IF(ISNUMBER(P4262),P4262,0)))&lt;=Summary!$B$2),"Negative realized loss not applied - check sign",IF(R4262&lt;0,"Principal paid exceeds prior balance",IF(AND(L4262&gt;Q4262,NOT(ISNUMBER(P4262))),"Balance increased but no Deferred_interest reported",IF(L4262&gt;R4262,"Reported balance higher than expected (missing increase/OC build)","Reported balance lower than expected (missing decrease)"))))),""))</f>
        <v/>
      </c>
    </row>
    <row r="4263" customFormat="false" ht="15" hidden="false" customHeight="false" outlineLevel="0" collapsed="false">
      <c r="A4263" s="8"/>
      <c r="B4263" s="8"/>
      <c r="C4263" s="8"/>
      <c r="D4263" s="8"/>
      <c r="E4263" s="8"/>
      <c r="F4263" s="8"/>
      <c r="G4263" s="8"/>
      <c r="H4263" s="8"/>
      <c r="I4263" s="8"/>
      <c r="J4263" s="8"/>
      <c r="K4263" s="9"/>
      <c r="L4263" s="9"/>
      <c r="M4263" s="9"/>
      <c r="N4263" s="9"/>
      <c r="O4263" s="9"/>
      <c r="P4263" s="9"/>
      <c r="Q4263" s="9"/>
      <c r="R4263" s="9" t="str">
        <f aca="false">IF(AND(A4263&lt;&gt;"",ISNUMBER(Q4263),ISNUMBER(L4263)),ROUND(Q4263-IF(ISNUMBER(N4263),N4263,0)-IF(ISNUMBER(O4263),O4263,0)+IF(ISNUMBER(P4263),P4263,0),2),"")</f>
        <v/>
      </c>
      <c r="S4263" s="9" t="str">
        <f aca="false">IF(R4263="","",ROUND(L4263-R4263,2))</f>
        <v/>
      </c>
      <c r="T4263" s="8" t="str">
        <f aca="false">IF(A4263="","",IF(S4263="","BYPASS",IF(ABS(S4263)&lt;=Summary!$B$2,"PASS","FAIL")))</f>
        <v/>
      </c>
      <c r="U4263" s="8" t="str">
        <f aca="false">IF(T4263="BYPASS",IF(NOT(ISNUMBER(Q4263)),"PreV_ETB missing","End_tr_balance missing"),IF(T4263="FAIL",IF(AND(ISNUMBER(K4263),ISNUMBER(L4263),ABS(L4263-(K4263-IF(ISNUMBER(N4263),N4263,0)-IF(ISNUMBER(O4263),O4263,0)+IF(ISNUMBER(P4263),P4263,0)))&lt;=Summary!$B$2),"Passes using beginning_balance - PreV_ETB differs from beginning_balance",IF(AND(ISNUMBER(O4263),O4263&lt;0,ABS(L4263-(Q4263-IF(ISNUMBER(N4263),N4263,0)+IF(ISNUMBER(P4263),P4263,0)))&lt;=Summary!$B$2),"Negative realized loss not applied - check sign",IF(R4263&lt;0,"Principal paid exceeds prior balance",IF(AND(L4263&gt;Q4263,NOT(ISNUMBER(P4263))),"Balance increased but no Deferred_interest reported",IF(L4263&gt;R4263,"Reported balance higher than expected (missing increase/OC build)","Reported balance lower than expected (missing decrease)"))))),""))</f>
        <v/>
      </c>
    </row>
    <row r="4264" customFormat="false" ht="15" hidden="false" customHeight="false" outlineLevel="0" collapsed="false">
      <c r="A4264" s="8"/>
      <c r="B4264" s="8"/>
      <c r="C4264" s="8"/>
      <c r="D4264" s="8"/>
      <c r="E4264" s="8"/>
      <c r="F4264" s="8"/>
      <c r="G4264" s="8"/>
      <c r="H4264" s="8"/>
      <c r="I4264" s="8"/>
      <c r="J4264" s="8"/>
      <c r="K4264" s="9"/>
      <c r="L4264" s="9"/>
      <c r="M4264" s="9"/>
      <c r="N4264" s="9"/>
      <c r="O4264" s="9"/>
      <c r="P4264" s="9"/>
      <c r="Q4264" s="9"/>
      <c r="R4264" s="9" t="str">
        <f aca="false">IF(AND(A4264&lt;&gt;"",ISNUMBER(Q4264),ISNUMBER(L4264)),ROUND(Q4264-IF(ISNUMBER(N4264),N4264,0)-IF(ISNUMBER(O4264),O4264,0)+IF(ISNUMBER(P4264),P4264,0),2),"")</f>
        <v/>
      </c>
      <c r="S4264" s="9" t="str">
        <f aca="false">IF(R4264="","",ROUND(L4264-R4264,2))</f>
        <v/>
      </c>
      <c r="T4264" s="8" t="str">
        <f aca="false">IF(A4264="","",IF(S4264="","BYPASS",IF(ABS(S4264)&lt;=Summary!$B$2,"PASS","FAIL")))</f>
        <v/>
      </c>
      <c r="U4264" s="8" t="str">
        <f aca="false">IF(T4264="BYPASS",IF(NOT(ISNUMBER(Q4264)),"PreV_ETB missing","End_tr_balance missing"),IF(T4264="FAIL",IF(AND(ISNUMBER(K4264),ISNUMBER(L4264),ABS(L4264-(K4264-IF(ISNUMBER(N4264),N4264,0)-IF(ISNUMBER(O4264),O4264,0)+IF(ISNUMBER(P4264),P4264,0)))&lt;=Summary!$B$2),"Passes using beginning_balance - PreV_ETB differs from beginning_balance",IF(AND(ISNUMBER(O4264),O4264&lt;0,ABS(L4264-(Q4264-IF(ISNUMBER(N4264),N4264,0)+IF(ISNUMBER(P4264),P4264,0)))&lt;=Summary!$B$2),"Negative realized loss not applied - check sign",IF(R4264&lt;0,"Principal paid exceeds prior balance",IF(AND(L4264&gt;Q4264,NOT(ISNUMBER(P4264))),"Balance increased but no Deferred_interest reported",IF(L4264&gt;R4264,"Reported balance higher than expected (missing increase/OC build)","Reported balance lower than expected (missing decrease)"))))),""))</f>
        <v/>
      </c>
    </row>
    <row r="4265" customFormat="false" ht="15" hidden="false" customHeight="false" outlineLevel="0" collapsed="false">
      <c r="A4265" s="8"/>
      <c r="B4265" s="8"/>
      <c r="C4265" s="8"/>
      <c r="D4265" s="8"/>
      <c r="E4265" s="8"/>
      <c r="F4265" s="8"/>
      <c r="G4265" s="8"/>
      <c r="H4265" s="8"/>
      <c r="I4265" s="8"/>
      <c r="J4265" s="8"/>
      <c r="K4265" s="9"/>
      <c r="L4265" s="9"/>
      <c r="M4265" s="9"/>
      <c r="N4265" s="9"/>
      <c r="O4265" s="9"/>
      <c r="P4265" s="9"/>
      <c r="Q4265" s="9"/>
      <c r="R4265" s="9" t="str">
        <f aca="false">IF(AND(A4265&lt;&gt;"",ISNUMBER(Q4265),ISNUMBER(L4265)),ROUND(Q4265-IF(ISNUMBER(N4265),N4265,0)-IF(ISNUMBER(O4265),O4265,0)+IF(ISNUMBER(P4265),P4265,0),2),"")</f>
        <v/>
      </c>
      <c r="S4265" s="9" t="str">
        <f aca="false">IF(R4265="","",ROUND(L4265-R4265,2))</f>
        <v/>
      </c>
      <c r="T4265" s="8" t="str">
        <f aca="false">IF(A4265="","",IF(S4265="","BYPASS",IF(ABS(S4265)&lt;=Summary!$B$2,"PASS","FAIL")))</f>
        <v/>
      </c>
      <c r="U4265" s="8" t="str">
        <f aca="false">IF(T4265="BYPASS",IF(NOT(ISNUMBER(Q4265)),"PreV_ETB missing","End_tr_balance missing"),IF(T4265="FAIL",IF(AND(ISNUMBER(K4265),ISNUMBER(L4265),ABS(L4265-(K4265-IF(ISNUMBER(N4265),N4265,0)-IF(ISNUMBER(O4265),O4265,0)+IF(ISNUMBER(P4265),P4265,0)))&lt;=Summary!$B$2),"Passes using beginning_balance - PreV_ETB differs from beginning_balance",IF(AND(ISNUMBER(O4265),O4265&lt;0,ABS(L4265-(Q4265-IF(ISNUMBER(N4265),N4265,0)+IF(ISNUMBER(P4265),P4265,0)))&lt;=Summary!$B$2),"Negative realized loss not applied - check sign",IF(R4265&lt;0,"Principal paid exceeds prior balance",IF(AND(L4265&gt;Q4265,NOT(ISNUMBER(P4265))),"Balance increased but no Deferred_interest reported",IF(L4265&gt;R4265,"Reported balance higher than expected (missing increase/OC build)","Reported balance lower than expected (missing decrease)"))))),""))</f>
        <v/>
      </c>
    </row>
    <row r="4266" customFormat="false" ht="15" hidden="false" customHeight="false" outlineLevel="0" collapsed="false">
      <c r="A4266" s="8"/>
      <c r="B4266" s="8"/>
      <c r="C4266" s="8"/>
      <c r="D4266" s="8"/>
      <c r="E4266" s="8"/>
      <c r="F4266" s="8"/>
      <c r="G4266" s="8"/>
      <c r="H4266" s="8"/>
      <c r="I4266" s="8"/>
      <c r="J4266" s="8"/>
      <c r="K4266" s="9"/>
      <c r="L4266" s="9"/>
      <c r="M4266" s="9"/>
      <c r="N4266" s="9"/>
      <c r="O4266" s="9"/>
      <c r="P4266" s="9"/>
      <c r="Q4266" s="9"/>
      <c r="R4266" s="9" t="str">
        <f aca="false">IF(AND(A4266&lt;&gt;"",ISNUMBER(Q4266),ISNUMBER(L4266)),ROUND(Q4266-IF(ISNUMBER(N4266),N4266,0)-IF(ISNUMBER(O4266),O4266,0)+IF(ISNUMBER(P4266),P4266,0),2),"")</f>
        <v/>
      </c>
      <c r="S4266" s="9" t="str">
        <f aca="false">IF(R4266="","",ROUND(L4266-R4266,2))</f>
        <v/>
      </c>
      <c r="T4266" s="8" t="str">
        <f aca="false">IF(A4266="","",IF(S4266="","BYPASS",IF(ABS(S4266)&lt;=Summary!$B$2,"PASS","FAIL")))</f>
        <v/>
      </c>
      <c r="U4266" s="8" t="str">
        <f aca="false">IF(T4266="BYPASS",IF(NOT(ISNUMBER(Q4266)),"PreV_ETB missing","End_tr_balance missing"),IF(T4266="FAIL",IF(AND(ISNUMBER(K4266),ISNUMBER(L4266),ABS(L4266-(K4266-IF(ISNUMBER(N4266),N4266,0)-IF(ISNUMBER(O4266),O4266,0)+IF(ISNUMBER(P4266),P4266,0)))&lt;=Summary!$B$2),"Passes using beginning_balance - PreV_ETB differs from beginning_balance",IF(AND(ISNUMBER(O4266),O4266&lt;0,ABS(L4266-(Q4266-IF(ISNUMBER(N4266),N4266,0)+IF(ISNUMBER(P4266),P4266,0)))&lt;=Summary!$B$2),"Negative realized loss not applied - check sign",IF(R4266&lt;0,"Principal paid exceeds prior balance",IF(AND(L4266&gt;Q4266,NOT(ISNUMBER(P4266))),"Balance increased but no Deferred_interest reported",IF(L4266&gt;R4266,"Reported balance higher than expected (missing increase/OC build)","Reported balance lower than expected (missing decrease)"))))),""))</f>
        <v/>
      </c>
    </row>
    <row r="4267" customFormat="false" ht="15" hidden="false" customHeight="false" outlineLevel="0" collapsed="false">
      <c r="A4267" s="8"/>
      <c r="B4267" s="8"/>
      <c r="C4267" s="8"/>
      <c r="D4267" s="8"/>
      <c r="E4267" s="8"/>
      <c r="F4267" s="8"/>
      <c r="G4267" s="8"/>
      <c r="H4267" s="8"/>
      <c r="I4267" s="8"/>
      <c r="J4267" s="8"/>
      <c r="K4267" s="9"/>
      <c r="L4267" s="9"/>
      <c r="M4267" s="9"/>
      <c r="N4267" s="9"/>
      <c r="O4267" s="9"/>
      <c r="P4267" s="9"/>
      <c r="Q4267" s="9"/>
      <c r="R4267" s="9" t="str">
        <f aca="false">IF(AND(A4267&lt;&gt;"",ISNUMBER(Q4267),ISNUMBER(L4267)),ROUND(Q4267-IF(ISNUMBER(N4267),N4267,0)-IF(ISNUMBER(O4267),O4267,0)+IF(ISNUMBER(P4267),P4267,0),2),"")</f>
        <v/>
      </c>
      <c r="S4267" s="9" t="str">
        <f aca="false">IF(R4267="","",ROUND(L4267-R4267,2))</f>
        <v/>
      </c>
      <c r="T4267" s="8" t="str">
        <f aca="false">IF(A4267="","",IF(S4267="","BYPASS",IF(ABS(S4267)&lt;=Summary!$B$2,"PASS","FAIL")))</f>
        <v/>
      </c>
      <c r="U4267" s="8" t="str">
        <f aca="false">IF(T4267="BYPASS",IF(NOT(ISNUMBER(Q4267)),"PreV_ETB missing","End_tr_balance missing"),IF(T4267="FAIL",IF(AND(ISNUMBER(K4267),ISNUMBER(L4267),ABS(L4267-(K4267-IF(ISNUMBER(N4267),N4267,0)-IF(ISNUMBER(O4267),O4267,0)+IF(ISNUMBER(P4267),P4267,0)))&lt;=Summary!$B$2),"Passes using beginning_balance - PreV_ETB differs from beginning_balance",IF(AND(ISNUMBER(O4267),O4267&lt;0,ABS(L4267-(Q4267-IF(ISNUMBER(N4267),N4267,0)+IF(ISNUMBER(P4267),P4267,0)))&lt;=Summary!$B$2),"Negative realized loss not applied - check sign",IF(R4267&lt;0,"Principal paid exceeds prior balance",IF(AND(L4267&gt;Q4267,NOT(ISNUMBER(P4267))),"Balance increased but no Deferred_interest reported",IF(L4267&gt;R4267,"Reported balance higher than expected (missing increase/OC build)","Reported balance lower than expected (missing decrease)"))))),""))</f>
        <v/>
      </c>
    </row>
    <row r="4268" customFormat="false" ht="15" hidden="false" customHeight="false" outlineLevel="0" collapsed="false">
      <c r="A4268" s="8"/>
      <c r="B4268" s="8"/>
      <c r="C4268" s="8"/>
      <c r="D4268" s="8"/>
      <c r="E4268" s="8"/>
      <c r="F4268" s="8"/>
      <c r="G4268" s="8"/>
      <c r="H4268" s="8"/>
      <c r="I4268" s="8"/>
      <c r="J4268" s="8"/>
      <c r="K4268" s="9"/>
      <c r="L4268" s="9"/>
      <c r="M4268" s="9"/>
      <c r="N4268" s="9"/>
      <c r="O4268" s="9"/>
      <c r="P4268" s="9"/>
      <c r="Q4268" s="9"/>
      <c r="R4268" s="9" t="str">
        <f aca="false">IF(AND(A4268&lt;&gt;"",ISNUMBER(Q4268),ISNUMBER(L4268)),ROUND(Q4268-IF(ISNUMBER(N4268),N4268,0)-IF(ISNUMBER(O4268),O4268,0)+IF(ISNUMBER(P4268),P4268,0),2),"")</f>
        <v/>
      </c>
      <c r="S4268" s="9" t="str">
        <f aca="false">IF(R4268="","",ROUND(L4268-R4268,2))</f>
        <v/>
      </c>
      <c r="T4268" s="8" t="str">
        <f aca="false">IF(A4268="","",IF(S4268="","BYPASS",IF(ABS(S4268)&lt;=Summary!$B$2,"PASS","FAIL")))</f>
        <v/>
      </c>
      <c r="U4268" s="8" t="str">
        <f aca="false">IF(T4268="BYPASS",IF(NOT(ISNUMBER(Q4268)),"PreV_ETB missing","End_tr_balance missing"),IF(T4268="FAIL",IF(AND(ISNUMBER(K4268),ISNUMBER(L4268),ABS(L4268-(K4268-IF(ISNUMBER(N4268),N4268,0)-IF(ISNUMBER(O4268),O4268,0)+IF(ISNUMBER(P4268),P4268,0)))&lt;=Summary!$B$2),"Passes using beginning_balance - PreV_ETB differs from beginning_balance",IF(AND(ISNUMBER(O4268),O4268&lt;0,ABS(L4268-(Q4268-IF(ISNUMBER(N4268),N4268,0)+IF(ISNUMBER(P4268),P4268,0)))&lt;=Summary!$B$2),"Negative realized loss not applied - check sign",IF(R4268&lt;0,"Principal paid exceeds prior balance",IF(AND(L4268&gt;Q4268,NOT(ISNUMBER(P4268))),"Balance increased but no Deferred_interest reported",IF(L4268&gt;R4268,"Reported balance higher than expected (missing increase/OC build)","Reported balance lower than expected (missing decrease)"))))),""))</f>
        <v/>
      </c>
    </row>
    <row r="4269" customFormat="false" ht="15" hidden="false" customHeight="false" outlineLevel="0" collapsed="false">
      <c r="A4269" s="8"/>
      <c r="B4269" s="8"/>
      <c r="C4269" s="8"/>
      <c r="D4269" s="8"/>
      <c r="E4269" s="8"/>
      <c r="F4269" s="8"/>
      <c r="G4269" s="8"/>
      <c r="H4269" s="8"/>
      <c r="I4269" s="8"/>
      <c r="J4269" s="8"/>
      <c r="K4269" s="9"/>
      <c r="L4269" s="9"/>
      <c r="M4269" s="9"/>
      <c r="N4269" s="9"/>
      <c r="O4269" s="9"/>
      <c r="P4269" s="9"/>
      <c r="Q4269" s="9"/>
      <c r="R4269" s="9" t="str">
        <f aca="false">IF(AND(A4269&lt;&gt;"",ISNUMBER(Q4269),ISNUMBER(L4269)),ROUND(Q4269-IF(ISNUMBER(N4269),N4269,0)-IF(ISNUMBER(O4269),O4269,0)+IF(ISNUMBER(P4269),P4269,0),2),"")</f>
        <v/>
      </c>
      <c r="S4269" s="9" t="str">
        <f aca="false">IF(R4269="","",ROUND(L4269-R4269,2))</f>
        <v/>
      </c>
      <c r="T4269" s="8" t="str">
        <f aca="false">IF(A4269="","",IF(S4269="","BYPASS",IF(ABS(S4269)&lt;=Summary!$B$2,"PASS","FAIL")))</f>
        <v/>
      </c>
      <c r="U4269" s="8" t="str">
        <f aca="false">IF(T4269="BYPASS",IF(NOT(ISNUMBER(Q4269)),"PreV_ETB missing","End_tr_balance missing"),IF(T4269="FAIL",IF(AND(ISNUMBER(K4269),ISNUMBER(L4269),ABS(L4269-(K4269-IF(ISNUMBER(N4269),N4269,0)-IF(ISNUMBER(O4269),O4269,0)+IF(ISNUMBER(P4269),P4269,0)))&lt;=Summary!$B$2),"Passes using beginning_balance - PreV_ETB differs from beginning_balance",IF(AND(ISNUMBER(O4269),O4269&lt;0,ABS(L4269-(Q4269-IF(ISNUMBER(N4269),N4269,0)+IF(ISNUMBER(P4269),P4269,0)))&lt;=Summary!$B$2),"Negative realized loss not applied - check sign",IF(R4269&lt;0,"Principal paid exceeds prior balance",IF(AND(L4269&gt;Q4269,NOT(ISNUMBER(P4269))),"Balance increased but no Deferred_interest reported",IF(L4269&gt;R4269,"Reported balance higher than expected (missing increase/OC build)","Reported balance lower than expected (missing decrease)"))))),""))</f>
        <v/>
      </c>
    </row>
    <row r="4270" customFormat="false" ht="15" hidden="false" customHeight="false" outlineLevel="0" collapsed="false">
      <c r="A4270" s="8"/>
      <c r="B4270" s="8"/>
      <c r="C4270" s="8"/>
      <c r="D4270" s="8"/>
      <c r="E4270" s="8"/>
      <c r="F4270" s="8"/>
      <c r="G4270" s="8"/>
      <c r="H4270" s="8"/>
      <c r="I4270" s="8"/>
      <c r="J4270" s="8"/>
      <c r="K4270" s="9"/>
      <c r="L4270" s="9"/>
      <c r="M4270" s="9"/>
      <c r="N4270" s="9"/>
      <c r="O4270" s="9"/>
      <c r="P4270" s="9"/>
      <c r="Q4270" s="9"/>
      <c r="R4270" s="9" t="str">
        <f aca="false">IF(AND(A4270&lt;&gt;"",ISNUMBER(Q4270),ISNUMBER(L4270)),ROUND(Q4270-IF(ISNUMBER(N4270),N4270,0)-IF(ISNUMBER(O4270),O4270,0)+IF(ISNUMBER(P4270),P4270,0),2),"")</f>
        <v/>
      </c>
      <c r="S4270" s="9" t="str">
        <f aca="false">IF(R4270="","",ROUND(L4270-R4270,2))</f>
        <v/>
      </c>
      <c r="T4270" s="8" t="str">
        <f aca="false">IF(A4270="","",IF(S4270="","BYPASS",IF(ABS(S4270)&lt;=Summary!$B$2,"PASS","FAIL")))</f>
        <v/>
      </c>
      <c r="U4270" s="8" t="str">
        <f aca="false">IF(T4270="BYPASS",IF(NOT(ISNUMBER(Q4270)),"PreV_ETB missing","End_tr_balance missing"),IF(T4270="FAIL",IF(AND(ISNUMBER(K4270),ISNUMBER(L4270),ABS(L4270-(K4270-IF(ISNUMBER(N4270),N4270,0)-IF(ISNUMBER(O4270),O4270,0)+IF(ISNUMBER(P4270),P4270,0)))&lt;=Summary!$B$2),"Passes using beginning_balance - PreV_ETB differs from beginning_balance",IF(AND(ISNUMBER(O4270),O4270&lt;0,ABS(L4270-(Q4270-IF(ISNUMBER(N4270),N4270,0)+IF(ISNUMBER(P4270),P4270,0)))&lt;=Summary!$B$2),"Negative realized loss not applied - check sign",IF(R4270&lt;0,"Principal paid exceeds prior balance",IF(AND(L4270&gt;Q4270,NOT(ISNUMBER(P4270))),"Balance increased but no Deferred_interest reported",IF(L4270&gt;R4270,"Reported balance higher than expected (missing increase/OC build)","Reported balance lower than expected (missing decrease)"))))),""))</f>
        <v/>
      </c>
    </row>
    <row r="4271" customFormat="false" ht="15" hidden="false" customHeight="false" outlineLevel="0" collapsed="false">
      <c r="A4271" s="8"/>
      <c r="B4271" s="8"/>
      <c r="C4271" s="8"/>
      <c r="D4271" s="8"/>
      <c r="E4271" s="8"/>
      <c r="F4271" s="8"/>
      <c r="G4271" s="8"/>
      <c r="H4271" s="8"/>
      <c r="I4271" s="8"/>
      <c r="J4271" s="8"/>
      <c r="K4271" s="9"/>
      <c r="L4271" s="9"/>
      <c r="M4271" s="9"/>
      <c r="N4271" s="9"/>
      <c r="O4271" s="9"/>
      <c r="P4271" s="9"/>
      <c r="Q4271" s="9"/>
      <c r="R4271" s="9" t="str">
        <f aca="false">IF(AND(A4271&lt;&gt;"",ISNUMBER(Q4271),ISNUMBER(L4271)),ROUND(Q4271-IF(ISNUMBER(N4271),N4271,0)-IF(ISNUMBER(O4271),O4271,0)+IF(ISNUMBER(P4271),P4271,0),2),"")</f>
        <v/>
      </c>
      <c r="S4271" s="9" t="str">
        <f aca="false">IF(R4271="","",ROUND(L4271-R4271,2))</f>
        <v/>
      </c>
      <c r="T4271" s="8" t="str">
        <f aca="false">IF(A4271="","",IF(S4271="","BYPASS",IF(ABS(S4271)&lt;=Summary!$B$2,"PASS","FAIL")))</f>
        <v/>
      </c>
      <c r="U4271" s="8" t="str">
        <f aca="false">IF(T4271="BYPASS",IF(NOT(ISNUMBER(Q4271)),"PreV_ETB missing","End_tr_balance missing"),IF(T4271="FAIL",IF(AND(ISNUMBER(K4271),ISNUMBER(L4271),ABS(L4271-(K4271-IF(ISNUMBER(N4271),N4271,0)-IF(ISNUMBER(O4271),O4271,0)+IF(ISNUMBER(P4271),P4271,0)))&lt;=Summary!$B$2),"Passes using beginning_balance - PreV_ETB differs from beginning_balance",IF(AND(ISNUMBER(O4271),O4271&lt;0,ABS(L4271-(Q4271-IF(ISNUMBER(N4271),N4271,0)+IF(ISNUMBER(P4271),P4271,0)))&lt;=Summary!$B$2),"Negative realized loss not applied - check sign",IF(R4271&lt;0,"Principal paid exceeds prior balance",IF(AND(L4271&gt;Q4271,NOT(ISNUMBER(P4271))),"Balance increased but no Deferred_interest reported",IF(L4271&gt;R4271,"Reported balance higher than expected (missing increase/OC build)","Reported balance lower than expected (missing decrease)"))))),""))</f>
        <v/>
      </c>
    </row>
    <row r="4272" customFormat="false" ht="15" hidden="false" customHeight="false" outlineLevel="0" collapsed="false">
      <c r="A4272" s="8"/>
      <c r="B4272" s="8"/>
      <c r="C4272" s="8"/>
      <c r="D4272" s="8"/>
      <c r="E4272" s="8"/>
      <c r="F4272" s="8"/>
      <c r="G4272" s="8"/>
      <c r="H4272" s="8"/>
      <c r="I4272" s="8"/>
      <c r="J4272" s="8"/>
      <c r="K4272" s="9"/>
      <c r="L4272" s="9"/>
      <c r="M4272" s="9"/>
      <c r="N4272" s="9"/>
      <c r="O4272" s="9"/>
      <c r="P4272" s="9"/>
      <c r="Q4272" s="9"/>
      <c r="R4272" s="9" t="str">
        <f aca="false">IF(AND(A4272&lt;&gt;"",ISNUMBER(Q4272),ISNUMBER(L4272)),ROUND(Q4272-IF(ISNUMBER(N4272),N4272,0)-IF(ISNUMBER(O4272),O4272,0)+IF(ISNUMBER(P4272),P4272,0),2),"")</f>
        <v/>
      </c>
      <c r="S4272" s="9" t="str">
        <f aca="false">IF(R4272="","",ROUND(L4272-R4272,2))</f>
        <v/>
      </c>
      <c r="T4272" s="8" t="str">
        <f aca="false">IF(A4272="","",IF(S4272="","BYPASS",IF(ABS(S4272)&lt;=Summary!$B$2,"PASS","FAIL")))</f>
        <v/>
      </c>
      <c r="U4272" s="8" t="str">
        <f aca="false">IF(T4272="BYPASS",IF(NOT(ISNUMBER(Q4272)),"PreV_ETB missing","End_tr_balance missing"),IF(T4272="FAIL",IF(AND(ISNUMBER(K4272),ISNUMBER(L4272),ABS(L4272-(K4272-IF(ISNUMBER(N4272),N4272,0)-IF(ISNUMBER(O4272),O4272,0)+IF(ISNUMBER(P4272),P4272,0)))&lt;=Summary!$B$2),"Passes using beginning_balance - PreV_ETB differs from beginning_balance",IF(AND(ISNUMBER(O4272),O4272&lt;0,ABS(L4272-(Q4272-IF(ISNUMBER(N4272),N4272,0)+IF(ISNUMBER(P4272),P4272,0)))&lt;=Summary!$B$2),"Negative realized loss not applied - check sign",IF(R4272&lt;0,"Principal paid exceeds prior balance",IF(AND(L4272&gt;Q4272,NOT(ISNUMBER(P4272))),"Balance increased but no Deferred_interest reported",IF(L4272&gt;R4272,"Reported balance higher than expected (missing increase/OC build)","Reported balance lower than expected (missing decrease)"))))),""))</f>
        <v/>
      </c>
    </row>
    <row r="4273" customFormat="false" ht="15" hidden="false" customHeight="false" outlineLevel="0" collapsed="false">
      <c r="A4273" s="8"/>
      <c r="B4273" s="8"/>
      <c r="C4273" s="8"/>
      <c r="D4273" s="8"/>
      <c r="E4273" s="8"/>
      <c r="F4273" s="8"/>
      <c r="G4273" s="8"/>
      <c r="H4273" s="8"/>
      <c r="I4273" s="8"/>
      <c r="J4273" s="8"/>
      <c r="K4273" s="9"/>
      <c r="L4273" s="9"/>
      <c r="M4273" s="9"/>
      <c r="N4273" s="9"/>
      <c r="O4273" s="9"/>
      <c r="P4273" s="9"/>
      <c r="Q4273" s="9"/>
      <c r="R4273" s="9" t="str">
        <f aca="false">IF(AND(A4273&lt;&gt;"",ISNUMBER(Q4273),ISNUMBER(L4273)),ROUND(Q4273-IF(ISNUMBER(N4273),N4273,0)-IF(ISNUMBER(O4273),O4273,0)+IF(ISNUMBER(P4273),P4273,0),2),"")</f>
        <v/>
      </c>
      <c r="S4273" s="9" t="str">
        <f aca="false">IF(R4273="","",ROUND(L4273-R4273,2))</f>
        <v/>
      </c>
      <c r="T4273" s="8" t="str">
        <f aca="false">IF(A4273="","",IF(S4273="","BYPASS",IF(ABS(S4273)&lt;=Summary!$B$2,"PASS","FAIL")))</f>
        <v/>
      </c>
      <c r="U4273" s="8" t="str">
        <f aca="false">IF(T4273="BYPASS",IF(NOT(ISNUMBER(Q4273)),"PreV_ETB missing","End_tr_balance missing"),IF(T4273="FAIL",IF(AND(ISNUMBER(K4273),ISNUMBER(L4273),ABS(L4273-(K4273-IF(ISNUMBER(N4273),N4273,0)-IF(ISNUMBER(O4273),O4273,0)+IF(ISNUMBER(P4273),P4273,0)))&lt;=Summary!$B$2),"Passes using beginning_balance - PreV_ETB differs from beginning_balance",IF(AND(ISNUMBER(O4273),O4273&lt;0,ABS(L4273-(Q4273-IF(ISNUMBER(N4273),N4273,0)+IF(ISNUMBER(P4273),P4273,0)))&lt;=Summary!$B$2),"Negative realized loss not applied - check sign",IF(R4273&lt;0,"Principal paid exceeds prior balance",IF(AND(L4273&gt;Q4273,NOT(ISNUMBER(P4273))),"Balance increased but no Deferred_interest reported",IF(L4273&gt;R4273,"Reported balance higher than expected (missing increase/OC build)","Reported balance lower than expected (missing decrease)"))))),""))</f>
        <v/>
      </c>
    </row>
    <row r="4274" customFormat="false" ht="15" hidden="false" customHeight="false" outlineLevel="0" collapsed="false">
      <c r="A4274" s="8"/>
      <c r="B4274" s="8"/>
      <c r="C4274" s="8"/>
      <c r="D4274" s="8"/>
      <c r="E4274" s="8"/>
      <c r="F4274" s="8"/>
      <c r="G4274" s="8"/>
      <c r="H4274" s="8"/>
      <c r="I4274" s="8"/>
      <c r="J4274" s="8"/>
      <c r="K4274" s="9"/>
      <c r="L4274" s="9"/>
      <c r="M4274" s="9"/>
      <c r="N4274" s="9"/>
      <c r="O4274" s="9"/>
      <c r="P4274" s="9"/>
      <c r="Q4274" s="9"/>
      <c r="R4274" s="9" t="str">
        <f aca="false">IF(AND(A4274&lt;&gt;"",ISNUMBER(Q4274),ISNUMBER(L4274)),ROUND(Q4274-IF(ISNUMBER(N4274),N4274,0)-IF(ISNUMBER(O4274),O4274,0)+IF(ISNUMBER(P4274),P4274,0),2),"")</f>
        <v/>
      </c>
      <c r="S4274" s="9" t="str">
        <f aca="false">IF(R4274="","",ROUND(L4274-R4274,2))</f>
        <v/>
      </c>
      <c r="T4274" s="8" t="str">
        <f aca="false">IF(A4274="","",IF(S4274="","BYPASS",IF(ABS(S4274)&lt;=Summary!$B$2,"PASS","FAIL")))</f>
        <v/>
      </c>
      <c r="U4274" s="8" t="str">
        <f aca="false">IF(T4274="BYPASS",IF(NOT(ISNUMBER(Q4274)),"PreV_ETB missing","End_tr_balance missing"),IF(T4274="FAIL",IF(AND(ISNUMBER(K4274),ISNUMBER(L4274),ABS(L4274-(K4274-IF(ISNUMBER(N4274),N4274,0)-IF(ISNUMBER(O4274),O4274,0)+IF(ISNUMBER(P4274),P4274,0)))&lt;=Summary!$B$2),"Passes using beginning_balance - PreV_ETB differs from beginning_balance",IF(AND(ISNUMBER(O4274),O4274&lt;0,ABS(L4274-(Q4274-IF(ISNUMBER(N4274),N4274,0)+IF(ISNUMBER(P4274),P4274,0)))&lt;=Summary!$B$2),"Negative realized loss not applied - check sign",IF(R4274&lt;0,"Principal paid exceeds prior balance",IF(AND(L4274&gt;Q4274,NOT(ISNUMBER(P4274))),"Balance increased but no Deferred_interest reported",IF(L4274&gt;R4274,"Reported balance higher than expected (missing increase/OC build)","Reported balance lower than expected (missing decrease)"))))),""))</f>
        <v/>
      </c>
    </row>
    <row r="4275" customFormat="false" ht="15" hidden="false" customHeight="false" outlineLevel="0" collapsed="false">
      <c r="A4275" s="8"/>
      <c r="B4275" s="8"/>
      <c r="C4275" s="8"/>
      <c r="D4275" s="8"/>
      <c r="E4275" s="8"/>
      <c r="F4275" s="8"/>
      <c r="G4275" s="8"/>
      <c r="H4275" s="8"/>
      <c r="I4275" s="8"/>
      <c r="J4275" s="8"/>
      <c r="K4275" s="9"/>
      <c r="L4275" s="9"/>
      <c r="M4275" s="9"/>
      <c r="N4275" s="9"/>
      <c r="O4275" s="9"/>
      <c r="P4275" s="9"/>
      <c r="Q4275" s="9"/>
      <c r="R4275" s="9" t="str">
        <f aca="false">IF(AND(A4275&lt;&gt;"",ISNUMBER(Q4275),ISNUMBER(L4275)),ROUND(Q4275-IF(ISNUMBER(N4275),N4275,0)-IF(ISNUMBER(O4275),O4275,0)+IF(ISNUMBER(P4275),P4275,0),2),"")</f>
        <v/>
      </c>
      <c r="S4275" s="9" t="str">
        <f aca="false">IF(R4275="","",ROUND(L4275-R4275,2))</f>
        <v/>
      </c>
      <c r="T4275" s="8" t="str">
        <f aca="false">IF(A4275="","",IF(S4275="","BYPASS",IF(ABS(S4275)&lt;=Summary!$B$2,"PASS","FAIL")))</f>
        <v/>
      </c>
      <c r="U4275" s="8" t="str">
        <f aca="false">IF(T4275="BYPASS",IF(NOT(ISNUMBER(Q4275)),"PreV_ETB missing","End_tr_balance missing"),IF(T4275="FAIL",IF(AND(ISNUMBER(K4275),ISNUMBER(L4275),ABS(L4275-(K4275-IF(ISNUMBER(N4275),N4275,0)-IF(ISNUMBER(O4275),O4275,0)+IF(ISNUMBER(P4275),P4275,0)))&lt;=Summary!$B$2),"Passes using beginning_balance - PreV_ETB differs from beginning_balance",IF(AND(ISNUMBER(O4275),O4275&lt;0,ABS(L4275-(Q4275-IF(ISNUMBER(N4275),N4275,0)+IF(ISNUMBER(P4275),P4275,0)))&lt;=Summary!$B$2),"Negative realized loss not applied - check sign",IF(R4275&lt;0,"Principal paid exceeds prior balance",IF(AND(L4275&gt;Q4275,NOT(ISNUMBER(P4275))),"Balance increased but no Deferred_interest reported",IF(L4275&gt;R4275,"Reported balance higher than expected (missing increase/OC build)","Reported balance lower than expected (missing decrease)"))))),""))</f>
        <v/>
      </c>
    </row>
    <row r="4276" customFormat="false" ht="15" hidden="false" customHeight="false" outlineLevel="0" collapsed="false">
      <c r="A4276" s="8"/>
      <c r="B4276" s="8"/>
      <c r="C4276" s="8"/>
      <c r="D4276" s="8"/>
      <c r="E4276" s="8"/>
      <c r="F4276" s="8"/>
      <c r="G4276" s="8"/>
      <c r="H4276" s="8"/>
      <c r="I4276" s="8"/>
      <c r="J4276" s="8"/>
      <c r="K4276" s="9"/>
      <c r="L4276" s="9"/>
      <c r="M4276" s="9"/>
      <c r="N4276" s="9"/>
      <c r="O4276" s="9"/>
      <c r="P4276" s="9"/>
      <c r="Q4276" s="9"/>
      <c r="R4276" s="9" t="str">
        <f aca="false">IF(AND(A4276&lt;&gt;"",ISNUMBER(Q4276),ISNUMBER(L4276)),ROUND(Q4276-IF(ISNUMBER(N4276),N4276,0)-IF(ISNUMBER(O4276),O4276,0)+IF(ISNUMBER(P4276),P4276,0),2),"")</f>
        <v/>
      </c>
      <c r="S4276" s="9" t="str">
        <f aca="false">IF(R4276="","",ROUND(L4276-R4276,2))</f>
        <v/>
      </c>
      <c r="T4276" s="8" t="str">
        <f aca="false">IF(A4276="","",IF(S4276="","BYPASS",IF(ABS(S4276)&lt;=Summary!$B$2,"PASS","FAIL")))</f>
        <v/>
      </c>
      <c r="U4276" s="8" t="str">
        <f aca="false">IF(T4276="BYPASS",IF(NOT(ISNUMBER(Q4276)),"PreV_ETB missing","End_tr_balance missing"),IF(T4276="FAIL",IF(AND(ISNUMBER(K4276),ISNUMBER(L4276),ABS(L4276-(K4276-IF(ISNUMBER(N4276),N4276,0)-IF(ISNUMBER(O4276),O4276,0)+IF(ISNUMBER(P4276),P4276,0)))&lt;=Summary!$B$2),"Passes using beginning_balance - PreV_ETB differs from beginning_balance",IF(AND(ISNUMBER(O4276),O4276&lt;0,ABS(L4276-(Q4276-IF(ISNUMBER(N4276),N4276,0)+IF(ISNUMBER(P4276),P4276,0)))&lt;=Summary!$B$2),"Negative realized loss not applied - check sign",IF(R4276&lt;0,"Principal paid exceeds prior balance",IF(AND(L4276&gt;Q4276,NOT(ISNUMBER(P4276))),"Balance increased but no Deferred_interest reported",IF(L4276&gt;R4276,"Reported balance higher than expected (missing increase/OC build)","Reported balance lower than expected (missing decrease)"))))),""))</f>
        <v/>
      </c>
    </row>
    <row r="4277" customFormat="false" ht="15" hidden="false" customHeight="false" outlineLevel="0" collapsed="false">
      <c r="A4277" s="8"/>
      <c r="B4277" s="8"/>
      <c r="C4277" s="8"/>
      <c r="D4277" s="8"/>
      <c r="E4277" s="8"/>
      <c r="F4277" s="8"/>
      <c r="G4277" s="8"/>
      <c r="H4277" s="8"/>
      <c r="I4277" s="8"/>
      <c r="J4277" s="8"/>
      <c r="K4277" s="9"/>
      <c r="L4277" s="9"/>
      <c r="M4277" s="9"/>
      <c r="N4277" s="9"/>
      <c r="O4277" s="9"/>
      <c r="P4277" s="9"/>
      <c r="Q4277" s="9"/>
      <c r="R4277" s="9" t="str">
        <f aca="false">IF(AND(A4277&lt;&gt;"",ISNUMBER(Q4277),ISNUMBER(L4277)),ROUND(Q4277-IF(ISNUMBER(N4277),N4277,0)-IF(ISNUMBER(O4277),O4277,0)+IF(ISNUMBER(P4277),P4277,0),2),"")</f>
        <v/>
      </c>
      <c r="S4277" s="9" t="str">
        <f aca="false">IF(R4277="","",ROUND(L4277-R4277,2))</f>
        <v/>
      </c>
      <c r="T4277" s="8" t="str">
        <f aca="false">IF(A4277="","",IF(S4277="","BYPASS",IF(ABS(S4277)&lt;=Summary!$B$2,"PASS","FAIL")))</f>
        <v/>
      </c>
      <c r="U4277" s="8" t="str">
        <f aca="false">IF(T4277="BYPASS",IF(NOT(ISNUMBER(Q4277)),"PreV_ETB missing","End_tr_balance missing"),IF(T4277="FAIL",IF(AND(ISNUMBER(K4277),ISNUMBER(L4277),ABS(L4277-(K4277-IF(ISNUMBER(N4277),N4277,0)-IF(ISNUMBER(O4277),O4277,0)+IF(ISNUMBER(P4277),P4277,0)))&lt;=Summary!$B$2),"Passes using beginning_balance - PreV_ETB differs from beginning_balance",IF(AND(ISNUMBER(O4277),O4277&lt;0,ABS(L4277-(Q4277-IF(ISNUMBER(N4277),N4277,0)+IF(ISNUMBER(P4277),P4277,0)))&lt;=Summary!$B$2),"Negative realized loss not applied - check sign",IF(R4277&lt;0,"Principal paid exceeds prior balance",IF(AND(L4277&gt;Q4277,NOT(ISNUMBER(P4277))),"Balance increased but no Deferred_interest reported",IF(L4277&gt;R4277,"Reported balance higher than expected (missing increase/OC build)","Reported balance lower than expected (missing decrease)"))))),""))</f>
        <v/>
      </c>
    </row>
    <row r="4278" customFormat="false" ht="15" hidden="false" customHeight="false" outlineLevel="0" collapsed="false">
      <c r="A4278" s="8"/>
      <c r="B4278" s="8"/>
      <c r="C4278" s="8"/>
      <c r="D4278" s="8"/>
      <c r="E4278" s="8"/>
      <c r="F4278" s="8"/>
      <c r="G4278" s="8"/>
      <c r="H4278" s="8"/>
      <c r="I4278" s="8"/>
      <c r="J4278" s="8"/>
      <c r="K4278" s="9"/>
      <c r="L4278" s="9"/>
      <c r="M4278" s="9"/>
      <c r="N4278" s="9"/>
      <c r="O4278" s="9"/>
      <c r="P4278" s="9"/>
      <c r="Q4278" s="9"/>
      <c r="R4278" s="9" t="str">
        <f aca="false">IF(AND(A4278&lt;&gt;"",ISNUMBER(Q4278),ISNUMBER(L4278)),ROUND(Q4278-IF(ISNUMBER(N4278),N4278,0)-IF(ISNUMBER(O4278),O4278,0)+IF(ISNUMBER(P4278),P4278,0),2),"")</f>
        <v/>
      </c>
      <c r="S4278" s="9" t="str">
        <f aca="false">IF(R4278="","",ROUND(L4278-R4278,2))</f>
        <v/>
      </c>
      <c r="T4278" s="8" t="str">
        <f aca="false">IF(A4278="","",IF(S4278="","BYPASS",IF(ABS(S4278)&lt;=Summary!$B$2,"PASS","FAIL")))</f>
        <v/>
      </c>
      <c r="U4278" s="8" t="str">
        <f aca="false">IF(T4278="BYPASS",IF(NOT(ISNUMBER(Q4278)),"PreV_ETB missing","End_tr_balance missing"),IF(T4278="FAIL",IF(AND(ISNUMBER(K4278),ISNUMBER(L4278),ABS(L4278-(K4278-IF(ISNUMBER(N4278),N4278,0)-IF(ISNUMBER(O4278),O4278,0)+IF(ISNUMBER(P4278),P4278,0)))&lt;=Summary!$B$2),"Passes using beginning_balance - PreV_ETB differs from beginning_balance",IF(AND(ISNUMBER(O4278),O4278&lt;0,ABS(L4278-(Q4278-IF(ISNUMBER(N4278),N4278,0)+IF(ISNUMBER(P4278),P4278,0)))&lt;=Summary!$B$2),"Negative realized loss not applied - check sign",IF(R4278&lt;0,"Principal paid exceeds prior balance",IF(AND(L4278&gt;Q4278,NOT(ISNUMBER(P4278))),"Balance increased but no Deferred_interest reported",IF(L4278&gt;R4278,"Reported balance higher than expected (missing increase/OC build)","Reported balance lower than expected (missing decrease)"))))),""))</f>
        <v/>
      </c>
    </row>
    <row r="4279" customFormat="false" ht="15" hidden="false" customHeight="false" outlineLevel="0" collapsed="false">
      <c r="A4279" s="8"/>
      <c r="B4279" s="8"/>
      <c r="C4279" s="8"/>
      <c r="D4279" s="8"/>
      <c r="E4279" s="8"/>
      <c r="F4279" s="8"/>
      <c r="G4279" s="8"/>
      <c r="H4279" s="8"/>
      <c r="I4279" s="8"/>
      <c r="J4279" s="8"/>
      <c r="K4279" s="9"/>
      <c r="L4279" s="9"/>
      <c r="M4279" s="9"/>
      <c r="N4279" s="9"/>
      <c r="O4279" s="9"/>
      <c r="P4279" s="9"/>
      <c r="Q4279" s="9"/>
      <c r="R4279" s="9" t="str">
        <f aca="false">IF(AND(A4279&lt;&gt;"",ISNUMBER(Q4279),ISNUMBER(L4279)),ROUND(Q4279-IF(ISNUMBER(N4279),N4279,0)-IF(ISNUMBER(O4279),O4279,0)+IF(ISNUMBER(P4279),P4279,0),2),"")</f>
        <v/>
      </c>
      <c r="S4279" s="9" t="str">
        <f aca="false">IF(R4279="","",ROUND(L4279-R4279,2))</f>
        <v/>
      </c>
      <c r="T4279" s="8" t="str">
        <f aca="false">IF(A4279="","",IF(S4279="","BYPASS",IF(ABS(S4279)&lt;=Summary!$B$2,"PASS","FAIL")))</f>
        <v/>
      </c>
      <c r="U4279" s="8" t="str">
        <f aca="false">IF(T4279="BYPASS",IF(NOT(ISNUMBER(Q4279)),"PreV_ETB missing","End_tr_balance missing"),IF(T4279="FAIL",IF(AND(ISNUMBER(K4279),ISNUMBER(L4279),ABS(L4279-(K4279-IF(ISNUMBER(N4279),N4279,0)-IF(ISNUMBER(O4279),O4279,0)+IF(ISNUMBER(P4279),P4279,0)))&lt;=Summary!$B$2),"Passes using beginning_balance - PreV_ETB differs from beginning_balance",IF(AND(ISNUMBER(O4279),O4279&lt;0,ABS(L4279-(Q4279-IF(ISNUMBER(N4279),N4279,0)+IF(ISNUMBER(P4279),P4279,0)))&lt;=Summary!$B$2),"Negative realized loss not applied - check sign",IF(R4279&lt;0,"Principal paid exceeds prior balance",IF(AND(L4279&gt;Q4279,NOT(ISNUMBER(P4279))),"Balance increased but no Deferred_interest reported",IF(L4279&gt;R4279,"Reported balance higher than expected (missing increase/OC build)","Reported balance lower than expected (missing decrease)"))))),""))</f>
        <v/>
      </c>
    </row>
    <row r="4280" customFormat="false" ht="15" hidden="false" customHeight="false" outlineLevel="0" collapsed="false">
      <c r="A4280" s="8"/>
      <c r="B4280" s="8"/>
      <c r="C4280" s="8"/>
      <c r="D4280" s="8"/>
      <c r="E4280" s="8"/>
      <c r="F4280" s="8"/>
      <c r="G4280" s="8"/>
      <c r="H4280" s="8"/>
      <c r="I4280" s="8"/>
      <c r="J4280" s="8"/>
      <c r="K4280" s="9"/>
      <c r="L4280" s="9"/>
      <c r="M4280" s="9"/>
      <c r="N4280" s="9"/>
      <c r="O4280" s="9"/>
      <c r="P4280" s="9"/>
      <c r="Q4280" s="9"/>
      <c r="R4280" s="9" t="str">
        <f aca="false">IF(AND(A4280&lt;&gt;"",ISNUMBER(Q4280),ISNUMBER(L4280)),ROUND(Q4280-IF(ISNUMBER(N4280),N4280,0)-IF(ISNUMBER(O4280),O4280,0)+IF(ISNUMBER(P4280),P4280,0),2),"")</f>
        <v/>
      </c>
      <c r="S4280" s="9" t="str">
        <f aca="false">IF(R4280="","",ROUND(L4280-R4280,2))</f>
        <v/>
      </c>
      <c r="T4280" s="8" t="str">
        <f aca="false">IF(A4280="","",IF(S4280="","BYPASS",IF(ABS(S4280)&lt;=Summary!$B$2,"PASS","FAIL")))</f>
        <v/>
      </c>
      <c r="U4280" s="8" t="str">
        <f aca="false">IF(T4280="BYPASS",IF(NOT(ISNUMBER(Q4280)),"PreV_ETB missing","End_tr_balance missing"),IF(T4280="FAIL",IF(AND(ISNUMBER(K4280),ISNUMBER(L4280),ABS(L4280-(K4280-IF(ISNUMBER(N4280),N4280,0)-IF(ISNUMBER(O4280),O4280,0)+IF(ISNUMBER(P4280),P4280,0)))&lt;=Summary!$B$2),"Passes using beginning_balance - PreV_ETB differs from beginning_balance",IF(AND(ISNUMBER(O4280),O4280&lt;0,ABS(L4280-(Q4280-IF(ISNUMBER(N4280),N4280,0)+IF(ISNUMBER(P4280),P4280,0)))&lt;=Summary!$B$2),"Negative realized loss not applied - check sign",IF(R4280&lt;0,"Principal paid exceeds prior balance",IF(AND(L4280&gt;Q4280,NOT(ISNUMBER(P4280))),"Balance increased but no Deferred_interest reported",IF(L4280&gt;R4280,"Reported balance higher than expected (missing increase/OC build)","Reported balance lower than expected (missing decrease)"))))),""))</f>
        <v/>
      </c>
    </row>
    <row r="4281" customFormat="false" ht="15" hidden="false" customHeight="false" outlineLevel="0" collapsed="false">
      <c r="A4281" s="8"/>
      <c r="B4281" s="8"/>
      <c r="C4281" s="8"/>
      <c r="D4281" s="8"/>
      <c r="E4281" s="8"/>
      <c r="F4281" s="8"/>
      <c r="G4281" s="8"/>
      <c r="H4281" s="8"/>
      <c r="I4281" s="8"/>
      <c r="J4281" s="8"/>
      <c r="K4281" s="9"/>
      <c r="L4281" s="9"/>
      <c r="M4281" s="9"/>
      <c r="N4281" s="9"/>
      <c r="O4281" s="9"/>
      <c r="P4281" s="9"/>
      <c r="Q4281" s="9"/>
      <c r="R4281" s="9" t="str">
        <f aca="false">IF(AND(A4281&lt;&gt;"",ISNUMBER(Q4281),ISNUMBER(L4281)),ROUND(Q4281-IF(ISNUMBER(N4281),N4281,0)-IF(ISNUMBER(O4281),O4281,0)+IF(ISNUMBER(P4281),P4281,0),2),"")</f>
        <v/>
      </c>
      <c r="S4281" s="9" t="str">
        <f aca="false">IF(R4281="","",ROUND(L4281-R4281,2))</f>
        <v/>
      </c>
      <c r="T4281" s="8" t="str">
        <f aca="false">IF(A4281="","",IF(S4281="","BYPASS",IF(ABS(S4281)&lt;=Summary!$B$2,"PASS","FAIL")))</f>
        <v/>
      </c>
      <c r="U4281" s="8" t="str">
        <f aca="false">IF(T4281="BYPASS",IF(NOT(ISNUMBER(Q4281)),"PreV_ETB missing","End_tr_balance missing"),IF(T4281="FAIL",IF(AND(ISNUMBER(K4281),ISNUMBER(L4281),ABS(L4281-(K4281-IF(ISNUMBER(N4281),N4281,0)-IF(ISNUMBER(O4281),O4281,0)+IF(ISNUMBER(P4281),P4281,0)))&lt;=Summary!$B$2),"Passes using beginning_balance - PreV_ETB differs from beginning_balance",IF(AND(ISNUMBER(O4281),O4281&lt;0,ABS(L4281-(Q4281-IF(ISNUMBER(N4281),N4281,0)+IF(ISNUMBER(P4281),P4281,0)))&lt;=Summary!$B$2),"Negative realized loss not applied - check sign",IF(R4281&lt;0,"Principal paid exceeds prior balance",IF(AND(L4281&gt;Q4281,NOT(ISNUMBER(P4281))),"Balance increased but no Deferred_interest reported",IF(L4281&gt;R4281,"Reported balance higher than expected (missing increase/OC build)","Reported balance lower than expected (missing decrease)"))))),""))</f>
        <v/>
      </c>
    </row>
    <row r="4282" customFormat="false" ht="15" hidden="false" customHeight="false" outlineLevel="0" collapsed="false">
      <c r="A4282" s="8"/>
      <c r="B4282" s="8"/>
      <c r="C4282" s="8"/>
      <c r="D4282" s="8"/>
      <c r="E4282" s="8"/>
      <c r="F4282" s="8"/>
      <c r="G4282" s="8"/>
      <c r="H4282" s="8"/>
      <c r="I4282" s="8"/>
      <c r="J4282" s="8"/>
      <c r="K4282" s="9"/>
      <c r="L4282" s="9"/>
      <c r="M4282" s="9"/>
      <c r="N4282" s="9"/>
      <c r="O4282" s="9"/>
      <c r="P4282" s="9"/>
      <c r="Q4282" s="9"/>
      <c r="R4282" s="9" t="str">
        <f aca="false">IF(AND(A4282&lt;&gt;"",ISNUMBER(Q4282),ISNUMBER(L4282)),ROUND(Q4282-IF(ISNUMBER(N4282),N4282,0)-IF(ISNUMBER(O4282),O4282,0)+IF(ISNUMBER(P4282),P4282,0),2),"")</f>
        <v/>
      </c>
      <c r="S4282" s="9" t="str">
        <f aca="false">IF(R4282="","",ROUND(L4282-R4282,2))</f>
        <v/>
      </c>
      <c r="T4282" s="8" t="str">
        <f aca="false">IF(A4282="","",IF(S4282="","BYPASS",IF(ABS(S4282)&lt;=Summary!$B$2,"PASS","FAIL")))</f>
        <v/>
      </c>
      <c r="U4282" s="8" t="str">
        <f aca="false">IF(T4282="BYPASS",IF(NOT(ISNUMBER(Q4282)),"PreV_ETB missing","End_tr_balance missing"),IF(T4282="FAIL",IF(AND(ISNUMBER(K4282),ISNUMBER(L4282),ABS(L4282-(K4282-IF(ISNUMBER(N4282),N4282,0)-IF(ISNUMBER(O4282),O4282,0)+IF(ISNUMBER(P4282),P4282,0)))&lt;=Summary!$B$2),"Passes using beginning_balance - PreV_ETB differs from beginning_balance",IF(AND(ISNUMBER(O4282),O4282&lt;0,ABS(L4282-(Q4282-IF(ISNUMBER(N4282),N4282,0)+IF(ISNUMBER(P4282),P4282,0)))&lt;=Summary!$B$2),"Negative realized loss not applied - check sign",IF(R4282&lt;0,"Principal paid exceeds prior balance",IF(AND(L4282&gt;Q4282,NOT(ISNUMBER(P4282))),"Balance increased but no Deferred_interest reported",IF(L4282&gt;R4282,"Reported balance higher than expected (missing increase/OC build)","Reported balance lower than expected (missing decrease)"))))),""))</f>
        <v/>
      </c>
    </row>
    <row r="4283" customFormat="false" ht="15" hidden="false" customHeight="false" outlineLevel="0" collapsed="false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9"/>
      <c r="L4283" s="9"/>
      <c r="M4283" s="9"/>
      <c r="N4283" s="9"/>
      <c r="O4283" s="9"/>
      <c r="P4283" s="9"/>
      <c r="Q4283" s="9"/>
      <c r="R4283" s="9" t="str">
        <f aca="false">IF(AND(A4283&lt;&gt;"",ISNUMBER(Q4283),ISNUMBER(L4283)),ROUND(Q4283-IF(ISNUMBER(N4283),N4283,0)-IF(ISNUMBER(O4283),O4283,0)+IF(ISNUMBER(P4283),P4283,0),2),"")</f>
        <v/>
      </c>
      <c r="S4283" s="9" t="str">
        <f aca="false">IF(R4283="","",ROUND(L4283-R4283,2))</f>
        <v/>
      </c>
      <c r="T4283" s="8" t="str">
        <f aca="false">IF(A4283="","",IF(S4283="","BYPASS",IF(ABS(S4283)&lt;=Summary!$B$2,"PASS","FAIL")))</f>
        <v/>
      </c>
      <c r="U4283" s="8" t="str">
        <f aca="false">IF(T4283="BYPASS",IF(NOT(ISNUMBER(Q4283)),"PreV_ETB missing","End_tr_balance missing"),IF(T4283="FAIL",IF(AND(ISNUMBER(K4283),ISNUMBER(L4283),ABS(L4283-(K4283-IF(ISNUMBER(N4283),N4283,0)-IF(ISNUMBER(O4283),O4283,0)+IF(ISNUMBER(P4283),P4283,0)))&lt;=Summary!$B$2),"Passes using beginning_balance - PreV_ETB differs from beginning_balance",IF(AND(ISNUMBER(O4283),O4283&lt;0,ABS(L4283-(Q4283-IF(ISNUMBER(N4283),N4283,0)+IF(ISNUMBER(P4283),P4283,0)))&lt;=Summary!$B$2),"Negative realized loss not applied - check sign",IF(R4283&lt;0,"Principal paid exceeds prior balance",IF(AND(L4283&gt;Q4283,NOT(ISNUMBER(P4283))),"Balance increased but no Deferred_interest reported",IF(L4283&gt;R4283,"Reported balance higher than expected (missing increase/OC build)","Reported balance lower than expected (missing decrease)"))))),""))</f>
        <v/>
      </c>
    </row>
    <row r="4284" customFormat="false" ht="15" hidden="false" customHeight="false" outlineLevel="0" collapsed="false">
      <c r="A4284" s="8"/>
      <c r="B4284" s="8"/>
      <c r="C4284" s="8"/>
      <c r="D4284" s="8"/>
      <c r="E4284" s="8"/>
      <c r="F4284" s="8"/>
      <c r="G4284" s="8"/>
      <c r="H4284" s="8"/>
      <c r="I4284" s="8"/>
      <c r="J4284" s="8"/>
      <c r="K4284" s="9"/>
      <c r="L4284" s="9"/>
      <c r="M4284" s="9"/>
      <c r="N4284" s="9"/>
      <c r="O4284" s="9"/>
      <c r="P4284" s="9"/>
      <c r="Q4284" s="9"/>
      <c r="R4284" s="9" t="str">
        <f aca="false">IF(AND(A4284&lt;&gt;"",ISNUMBER(Q4284),ISNUMBER(L4284)),ROUND(Q4284-IF(ISNUMBER(N4284),N4284,0)-IF(ISNUMBER(O4284),O4284,0)+IF(ISNUMBER(P4284),P4284,0),2),"")</f>
        <v/>
      </c>
      <c r="S4284" s="9" t="str">
        <f aca="false">IF(R4284="","",ROUND(L4284-R4284,2))</f>
        <v/>
      </c>
      <c r="T4284" s="8" t="str">
        <f aca="false">IF(A4284="","",IF(S4284="","BYPASS",IF(ABS(S4284)&lt;=Summary!$B$2,"PASS","FAIL")))</f>
        <v/>
      </c>
      <c r="U4284" s="8" t="str">
        <f aca="false">IF(T4284="BYPASS",IF(NOT(ISNUMBER(Q4284)),"PreV_ETB missing","End_tr_balance missing"),IF(T4284="FAIL",IF(AND(ISNUMBER(K4284),ISNUMBER(L4284),ABS(L4284-(K4284-IF(ISNUMBER(N4284),N4284,0)-IF(ISNUMBER(O4284),O4284,0)+IF(ISNUMBER(P4284),P4284,0)))&lt;=Summary!$B$2),"Passes using beginning_balance - PreV_ETB differs from beginning_balance",IF(AND(ISNUMBER(O4284),O4284&lt;0,ABS(L4284-(Q4284-IF(ISNUMBER(N4284),N4284,0)+IF(ISNUMBER(P4284),P4284,0)))&lt;=Summary!$B$2),"Negative realized loss not applied - check sign",IF(R4284&lt;0,"Principal paid exceeds prior balance",IF(AND(L4284&gt;Q4284,NOT(ISNUMBER(P4284))),"Balance increased but no Deferred_interest reported",IF(L4284&gt;R4284,"Reported balance higher than expected (missing increase/OC build)","Reported balance lower than expected (missing decrease)"))))),""))</f>
        <v/>
      </c>
    </row>
    <row r="4285" customFormat="false" ht="15" hidden="false" customHeight="false" outlineLevel="0" collapsed="false">
      <c r="A4285" s="8"/>
      <c r="B4285" s="8"/>
      <c r="C4285" s="8"/>
      <c r="D4285" s="8"/>
      <c r="E4285" s="8"/>
      <c r="F4285" s="8"/>
      <c r="G4285" s="8"/>
      <c r="H4285" s="8"/>
      <c r="I4285" s="8"/>
      <c r="J4285" s="8"/>
      <c r="K4285" s="9"/>
      <c r="L4285" s="9"/>
      <c r="M4285" s="9"/>
      <c r="N4285" s="9"/>
      <c r="O4285" s="9"/>
      <c r="P4285" s="9"/>
      <c r="Q4285" s="9"/>
      <c r="R4285" s="9" t="str">
        <f aca="false">IF(AND(A4285&lt;&gt;"",ISNUMBER(Q4285),ISNUMBER(L4285)),ROUND(Q4285-IF(ISNUMBER(N4285),N4285,0)-IF(ISNUMBER(O4285),O4285,0)+IF(ISNUMBER(P4285),P4285,0),2),"")</f>
        <v/>
      </c>
      <c r="S4285" s="9" t="str">
        <f aca="false">IF(R4285="","",ROUND(L4285-R4285,2))</f>
        <v/>
      </c>
      <c r="T4285" s="8" t="str">
        <f aca="false">IF(A4285="","",IF(S4285="","BYPASS",IF(ABS(S4285)&lt;=Summary!$B$2,"PASS","FAIL")))</f>
        <v/>
      </c>
      <c r="U4285" s="8" t="str">
        <f aca="false">IF(T4285="BYPASS",IF(NOT(ISNUMBER(Q4285)),"PreV_ETB missing","End_tr_balance missing"),IF(T4285="FAIL",IF(AND(ISNUMBER(K4285),ISNUMBER(L4285),ABS(L4285-(K4285-IF(ISNUMBER(N4285),N4285,0)-IF(ISNUMBER(O4285),O4285,0)+IF(ISNUMBER(P4285),P4285,0)))&lt;=Summary!$B$2),"Passes using beginning_balance - PreV_ETB differs from beginning_balance",IF(AND(ISNUMBER(O4285),O4285&lt;0,ABS(L4285-(Q4285-IF(ISNUMBER(N4285),N4285,0)+IF(ISNUMBER(P4285),P4285,0)))&lt;=Summary!$B$2),"Negative realized loss not applied - check sign",IF(R4285&lt;0,"Principal paid exceeds prior balance",IF(AND(L4285&gt;Q4285,NOT(ISNUMBER(P4285))),"Balance increased but no Deferred_interest reported",IF(L4285&gt;R4285,"Reported balance higher than expected (missing increase/OC build)","Reported balance lower than expected (missing decrease)"))))),""))</f>
        <v/>
      </c>
    </row>
    <row r="4286" customFormat="false" ht="15" hidden="false" customHeight="false" outlineLevel="0" collapsed="false">
      <c r="A4286" s="8"/>
      <c r="B4286" s="8"/>
      <c r="C4286" s="8"/>
      <c r="D4286" s="8"/>
      <c r="E4286" s="8"/>
      <c r="F4286" s="8"/>
      <c r="G4286" s="8"/>
      <c r="H4286" s="8"/>
      <c r="I4286" s="8"/>
      <c r="J4286" s="8"/>
      <c r="K4286" s="9"/>
      <c r="L4286" s="9"/>
      <c r="M4286" s="9"/>
      <c r="N4286" s="9"/>
      <c r="O4286" s="9"/>
      <c r="P4286" s="9"/>
      <c r="Q4286" s="9"/>
      <c r="R4286" s="9" t="str">
        <f aca="false">IF(AND(A4286&lt;&gt;"",ISNUMBER(Q4286),ISNUMBER(L4286)),ROUND(Q4286-IF(ISNUMBER(N4286),N4286,0)-IF(ISNUMBER(O4286),O4286,0)+IF(ISNUMBER(P4286),P4286,0),2),"")</f>
        <v/>
      </c>
      <c r="S4286" s="9" t="str">
        <f aca="false">IF(R4286="","",ROUND(L4286-R4286,2))</f>
        <v/>
      </c>
      <c r="T4286" s="8" t="str">
        <f aca="false">IF(A4286="","",IF(S4286="","BYPASS",IF(ABS(S4286)&lt;=Summary!$B$2,"PASS","FAIL")))</f>
        <v/>
      </c>
      <c r="U4286" s="8" t="str">
        <f aca="false">IF(T4286="BYPASS",IF(NOT(ISNUMBER(Q4286)),"PreV_ETB missing","End_tr_balance missing"),IF(T4286="FAIL",IF(AND(ISNUMBER(K4286),ISNUMBER(L4286),ABS(L4286-(K4286-IF(ISNUMBER(N4286),N4286,0)-IF(ISNUMBER(O4286),O4286,0)+IF(ISNUMBER(P4286),P4286,0)))&lt;=Summary!$B$2),"Passes using beginning_balance - PreV_ETB differs from beginning_balance",IF(AND(ISNUMBER(O4286),O4286&lt;0,ABS(L4286-(Q4286-IF(ISNUMBER(N4286),N4286,0)+IF(ISNUMBER(P4286),P4286,0)))&lt;=Summary!$B$2),"Negative realized loss not applied - check sign",IF(R4286&lt;0,"Principal paid exceeds prior balance",IF(AND(L4286&gt;Q4286,NOT(ISNUMBER(P4286))),"Balance increased but no Deferred_interest reported",IF(L4286&gt;R4286,"Reported balance higher than expected (missing increase/OC build)","Reported balance lower than expected (missing decrease)"))))),""))</f>
        <v/>
      </c>
    </row>
    <row r="4287" customFormat="false" ht="15" hidden="false" customHeight="false" outlineLevel="0" collapsed="false">
      <c r="A4287" s="8"/>
      <c r="B4287" s="8"/>
      <c r="C4287" s="8"/>
      <c r="D4287" s="8"/>
      <c r="E4287" s="8"/>
      <c r="F4287" s="8"/>
      <c r="G4287" s="8"/>
      <c r="H4287" s="8"/>
      <c r="I4287" s="8"/>
      <c r="J4287" s="8"/>
      <c r="K4287" s="9"/>
      <c r="L4287" s="9"/>
      <c r="M4287" s="9"/>
      <c r="N4287" s="9"/>
      <c r="O4287" s="9"/>
      <c r="P4287" s="9"/>
      <c r="Q4287" s="9"/>
      <c r="R4287" s="9" t="str">
        <f aca="false">IF(AND(A4287&lt;&gt;"",ISNUMBER(Q4287),ISNUMBER(L4287)),ROUND(Q4287-IF(ISNUMBER(N4287),N4287,0)-IF(ISNUMBER(O4287),O4287,0)+IF(ISNUMBER(P4287),P4287,0),2),"")</f>
        <v/>
      </c>
      <c r="S4287" s="9" t="str">
        <f aca="false">IF(R4287="","",ROUND(L4287-R4287,2))</f>
        <v/>
      </c>
      <c r="T4287" s="8" t="str">
        <f aca="false">IF(A4287="","",IF(S4287="","BYPASS",IF(ABS(S4287)&lt;=Summary!$B$2,"PASS","FAIL")))</f>
        <v/>
      </c>
      <c r="U4287" s="8" t="str">
        <f aca="false">IF(T4287="BYPASS",IF(NOT(ISNUMBER(Q4287)),"PreV_ETB missing","End_tr_balance missing"),IF(T4287="FAIL",IF(AND(ISNUMBER(K4287),ISNUMBER(L4287),ABS(L4287-(K4287-IF(ISNUMBER(N4287),N4287,0)-IF(ISNUMBER(O4287),O4287,0)+IF(ISNUMBER(P4287),P4287,0)))&lt;=Summary!$B$2),"Passes using beginning_balance - PreV_ETB differs from beginning_balance",IF(AND(ISNUMBER(O4287),O4287&lt;0,ABS(L4287-(Q4287-IF(ISNUMBER(N4287),N4287,0)+IF(ISNUMBER(P4287),P4287,0)))&lt;=Summary!$B$2),"Negative realized loss not applied - check sign",IF(R4287&lt;0,"Principal paid exceeds prior balance",IF(AND(L4287&gt;Q4287,NOT(ISNUMBER(P4287))),"Balance increased but no Deferred_interest reported",IF(L4287&gt;R4287,"Reported balance higher than expected (missing increase/OC build)","Reported balance lower than expected (missing decrease)"))))),""))</f>
        <v/>
      </c>
    </row>
    <row r="4288" customFormat="false" ht="15" hidden="false" customHeight="false" outlineLevel="0" collapsed="false">
      <c r="A4288" s="8"/>
      <c r="B4288" s="8"/>
      <c r="C4288" s="8"/>
      <c r="D4288" s="8"/>
      <c r="E4288" s="8"/>
      <c r="F4288" s="8"/>
      <c r="G4288" s="8"/>
      <c r="H4288" s="8"/>
      <c r="I4288" s="8"/>
      <c r="J4288" s="8"/>
      <c r="K4288" s="9"/>
      <c r="L4288" s="9"/>
      <c r="M4288" s="9"/>
      <c r="N4288" s="9"/>
      <c r="O4288" s="9"/>
      <c r="P4288" s="9"/>
      <c r="Q4288" s="9"/>
      <c r="R4288" s="9" t="str">
        <f aca="false">IF(AND(A4288&lt;&gt;"",ISNUMBER(Q4288),ISNUMBER(L4288)),ROUND(Q4288-IF(ISNUMBER(N4288),N4288,0)-IF(ISNUMBER(O4288),O4288,0)+IF(ISNUMBER(P4288),P4288,0),2),"")</f>
        <v/>
      </c>
      <c r="S4288" s="9" t="str">
        <f aca="false">IF(R4288="","",ROUND(L4288-R4288,2))</f>
        <v/>
      </c>
      <c r="T4288" s="8" t="str">
        <f aca="false">IF(A4288="","",IF(S4288="","BYPASS",IF(ABS(S4288)&lt;=Summary!$B$2,"PASS","FAIL")))</f>
        <v/>
      </c>
      <c r="U4288" s="8" t="str">
        <f aca="false">IF(T4288="BYPASS",IF(NOT(ISNUMBER(Q4288)),"PreV_ETB missing","End_tr_balance missing"),IF(T4288="FAIL",IF(AND(ISNUMBER(K4288),ISNUMBER(L4288),ABS(L4288-(K4288-IF(ISNUMBER(N4288),N4288,0)-IF(ISNUMBER(O4288),O4288,0)+IF(ISNUMBER(P4288),P4288,0)))&lt;=Summary!$B$2),"Passes using beginning_balance - PreV_ETB differs from beginning_balance",IF(AND(ISNUMBER(O4288),O4288&lt;0,ABS(L4288-(Q4288-IF(ISNUMBER(N4288),N4288,0)+IF(ISNUMBER(P4288),P4288,0)))&lt;=Summary!$B$2),"Negative realized loss not applied - check sign",IF(R4288&lt;0,"Principal paid exceeds prior balance",IF(AND(L4288&gt;Q4288,NOT(ISNUMBER(P4288))),"Balance increased but no Deferred_interest reported",IF(L4288&gt;R4288,"Reported balance higher than expected (missing increase/OC build)","Reported balance lower than expected (missing decrease)"))))),""))</f>
        <v/>
      </c>
    </row>
    <row r="4289" customFormat="false" ht="15" hidden="false" customHeight="false" outlineLevel="0" collapsed="false">
      <c r="A4289" s="8"/>
      <c r="B4289" s="8"/>
      <c r="C4289" s="8"/>
      <c r="D4289" s="8"/>
      <c r="E4289" s="8"/>
      <c r="F4289" s="8"/>
      <c r="G4289" s="8"/>
      <c r="H4289" s="8"/>
      <c r="I4289" s="8"/>
      <c r="J4289" s="8"/>
      <c r="K4289" s="9"/>
      <c r="L4289" s="9"/>
      <c r="M4289" s="9"/>
      <c r="N4289" s="9"/>
      <c r="O4289" s="9"/>
      <c r="P4289" s="9"/>
      <c r="Q4289" s="9"/>
      <c r="R4289" s="9" t="str">
        <f aca="false">IF(AND(A4289&lt;&gt;"",ISNUMBER(Q4289),ISNUMBER(L4289)),ROUND(Q4289-IF(ISNUMBER(N4289),N4289,0)-IF(ISNUMBER(O4289),O4289,0)+IF(ISNUMBER(P4289),P4289,0),2),"")</f>
        <v/>
      </c>
      <c r="S4289" s="9" t="str">
        <f aca="false">IF(R4289="","",ROUND(L4289-R4289,2))</f>
        <v/>
      </c>
      <c r="T4289" s="8" t="str">
        <f aca="false">IF(A4289="","",IF(S4289="","BYPASS",IF(ABS(S4289)&lt;=Summary!$B$2,"PASS","FAIL")))</f>
        <v/>
      </c>
      <c r="U4289" s="8" t="str">
        <f aca="false">IF(T4289="BYPASS",IF(NOT(ISNUMBER(Q4289)),"PreV_ETB missing","End_tr_balance missing"),IF(T4289="FAIL",IF(AND(ISNUMBER(K4289),ISNUMBER(L4289),ABS(L4289-(K4289-IF(ISNUMBER(N4289),N4289,0)-IF(ISNUMBER(O4289),O4289,0)+IF(ISNUMBER(P4289),P4289,0)))&lt;=Summary!$B$2),"Passes using beginning_balance - PreV_ETB differs from beginning_balance",IF(AND(ISNUMBER(O4289),O4289&lt;0,ABS(L4289-(Q4289-IF(ISNUMBER(N4289),N4289,0)+IF(ISNUMBER(P4289),P4289,0)))&lt;=Summary!$B$2),"Negative realized loss not applied - check sign",IF(R4289&lt;0,"Principal paid exceeds prior balance",IF(AND(L4289&gt;Q4289,NOT(ISNUMBER(P4289))),"Balance increased but no Deferred_interest reported",IF(L4289&gt;R4289,"Reported balance higher than expected (missing increase/OC build)","Reported balance lower than expected (missing decrease)"))))),""))</f>
        <v/>
      </c>
    </row>
    <row r="4290" customFormat="false" ht="15" hidden="false" customHeight="false" outlineLevel="0" collapsed="false">
      <c r="A4290" s="8"/>
      <c r="B4290" s="8"/>
      <c r="C4290" s="8"/>
      <c r="D4290" s="8"/>
      <c r="E4290" s="8"/>
      <c r="F4290" s="8"/>
      <c r="G4290" s="8"/>
      <c r="H4290" s="8"/>
      <c r="I4290" s="8"/>
      <c r="J4290" s="8"/>
      <c r="K4290" s="9"/>
      <c r="L4290" s="9"/>
      <c r="M4290" s="9"/>
      <c r="N4290" s="9"/>
      <c r="O4290" s="9"/>
      <c r="P4290" s="9"/>
      <c r="Q4290" s="9"/>
      <c r="R4290" s="9" t="str">
        <f aca="false">IF(AND(A4290&lt;&gt;"",ISNUMBER(Q4290),ISNUMBER(L4290)),ROUND(Q4290-IF(ISNUMBER(N4290),N4290,0)-IF(ISNUMBER(O4290),O4290,0)+IF(ISNUMBER(P4290),P4290,0),2),"")</f>
        <v/>
      </c>
      <c r="S4290" s="9" t="str">
        <f aca="false">IF(R4290="","",ROUND(L4290-R4290,2))</f>
        <v/>
      </c>
      <c r="T4290" s="8" t="str">
        <f aca="false">IF(A4290="","",IF(S4290="","BYPASS",IF(ABS(S4290)&lt;=Summary!$B$2,"PASS","FAIL")))</f>
        <v/>
      </c>
      <c r="U4290" s="8" t="str">
        <f aca="false">IF(T4290="BYPASS",IF(NOT(ISNUMBER(Q4290)),"PreV_ETB missing","End_tr_balance missing"),IF(T4290="FAIL",IF(AND(ISNUMBER(K4290),ISNUMBER(L4290),ABS(L4290-(K4290-IF(ISNUMBER(N4290),N4290,0)-IF(ISNUMBER(O4290),O4290,0)+IF(ISNUMBER(P4290),P4290,0)))&lt;=Summary!$B$2),"Passes using beginning_balance - PreV_ETB differs from beginning_balance",IF(AND(ISNUMBER(O4290),O4290&lt;0,ABS(L4290-(Q4290-IF(ISNUMBER(N4290),N4290,0)+IF(ISNUMBER(P4290),P4290,0)))&lt;=Summary!$B$2),"Negative realized loss not applied - check sign",IF(R4290&lt;0,"Principal paid exceeds prior balance",IF(AND(L4290&gt;Q4290,NOT(ISNUMBER(P4290))),"Balance increased but no Deferred_interest reported",IF(L4290&gt;R4290,"Reported balance higher than expected (missing increase/OC build)","Reported balance lower than expected (missing decrease)"))))),""))</f>
        <v/>
      </c>
    </row>
    <row r="4291" customFormat="false" ht="15" hidden="false" customHeight="false" outlineLevel="0" collapsed="false">
      <c r="A4291" s="8"/>
      <c r="B4291" s="8"/>
      <c r="C4291" s="8"/>
      <c r="D4291" s="8"/>
      <c r="E4291" s="8"/>
      <c r="F4291" s="8"/>
      <c r="G4291" s="8"/>
      <c r="H4291" s="8"/>
      <c r="I4291" s="8"/>
      <c r="J4291" s="8"/>
      <c r="K4291" s="9"/>
      <c r="L4291" s="9"/>
      <c r="M4291" s="9"/>
      <c r="N4291" s="9"/>
      <c r="O4291" s="9"/>
      <c r="P4291" s="9"/>
      <c r="Q4291" s="9"/>
      <c r="R4291" s="9" t="str">
        <f aca="false">IF(AND(A4291&lt;&gt;"",ISNUMBER(Q4291),ISNUMBER(L4291)),ROUND(Q4291-IF(ISNUMBER(N4291),N4291,0)-IF(ISNUMBER(O4291),O4291,0)+IF(ISNUMBER(P4291),P4291,0),2),"")</f>
        <v/>
      </c>
      <c r="S4291" s="9" t="str">
        <f aca="false">IF(R4291="","",ROUND(L4291-R4291,2))</f>
        <v/>
      </c>
      <c r="T4291" s="8" t="str">
        <f aca="false">IF(A4291="","",IF(S4291="","BYPASS",IF(ABS(S4291)&lt;=Summary!$B$2,"PASS","FAIL")))</f>
        <v/>
      </c>
      <c r="U4291" s="8" t="str">
        <f aca="false">IF(T4291="BYPASS",IF(NOT(ISNUMBER(Q4291)),"PreV_ETB missing","End_tr_balance missing"),IF(T4291="FAIL",IF(AND(ISNUMBER(K4291),ISNUMBER(L4291),ABS(L4291-(K4291-IF(ISNUMBER(N4291),N4291,0)-IF(ISNUMBER(O4291),O4291,0)+IF(ISNUMBER(P4291),P4291,0)))&lt;=Summary!$B$2),"Passes using beginning_balance - PreV_ETB differs from beginning_balance",IF(AND(ISNUMBER(O4291),O4291&lt;0,ABS(L4291-(Q4291-IF(ISNUMBER(N4291),N4291,0)+IF(ISNUMBER(P4291),P4291,0)))&lt;=Summary!$B$2),"Negative realized loss not applied - check sign",IF(R4291&lt;0,"Principal paid exceeds prior balance",IF(AND(L4291&gt;Q4291,NOT(ISNUMBER(P4291))),"Balance increased but no Deferred_interest reported",IF(L4291&gt;R4291,"Reported balance higher than expected (missing increase/OC build)","Reported balance lower than expected (missing decrease)"))))),""))</f>
        <v/>
      </c>
    </row>
    <row r="4292" customFormat="false" ht="15" hidden="false" customHeight="false" outlineLevel="0" collapsed="false">
      <c r="A4292" s="8"/>
      <c r="B4292" s="8"/>
      <c r="C4292" s="8"/>
      <c r="D4292" s="8"/>
      <c r="E4292" s="8"/>
      <c r="F4292" s="8"/>
      <c r="G4292" s="8"/>
      <c r="H4292" s="8"/>
      <c r="I4292" s="8"/>
      <c r="J4292" s="8"/>
      <c r="K4292" s="9"/>
      <c r="L4292" s="9"/>
      <c r="M4292" s="9"/>
      <c r="N4292" s="9"/>
      <c r="O4292" s="9"/>
      <c r="P4292" s="9"/>
      <c r="Q4292" s="9"/>
      <c r="R4292" s="9" t="str">
        <f aca="false">IF(AND(A4292&lt;&gt;"",ISNUMBER(Q4292),ISNUMBER(L4292)),ROUND(Q4292-IF(ISNUMBER(N4292),N4292,0)-IF(ISNUMBER(O4292),O4292,0)+IF(ISNUMBER(P4292),P4292,0),2),"")</f>
        <v/>
      </c>
      <c r="S4292" s="9" t="str">
        <f aca="false">IF(R4292="","",ROUND(L4292-R4292,2))</f>
        <v/>
      </c>
      <c r="T4292" s="8" t="str">
        <f aca="false">IF(A4292="","",IF(S4292="","BYPASS",IF(ABS(S4292)&lt;=Summary!$B$2,"PASS","FAIL")))</f>
        <v/>
      </c>
      <c r="U4292" s="8" t="str">
        <f aca="false">IF(T4292="BYPASS",IF(NOT(ISNUMBER(Q4292)),"PreV_ETB missing","End_tr_balance missing"),IF(T4292="FAIL",IF(AND(ISNUMBER(K4292),ISNUMBER(L4292),ABS(L4292-(K4292-IF(ISNUMBER(N4292),N4292,0)-IF(ISNUMBER(O4292),O4292,0)+IF(ISNUMBER(P4292),P4292,0)))&lt;=Summary!$B$2),"Passes using beginning_balance - PreV_ETB differs from beginning_balance",IF(AND(ISNUMBER(O4292),O4292&lt;0,ABS(L4292-(Q4292-IF(ISNUMBER(N4292),N4292,0)+IF(ISNUMBER(P4292),P4292,0)))&lt;=Summary!$B$2),"Negative realized loss not applied - check sign",IF(R4292&lt;0,"Principal paid exceeds prior balance",IF(AND(L4292&gt;Q4292,NOT(ISNUMBER(P4292))),"Balance increased but no Deferred_interest reported",IF(L4292&gt;R4292,"Reported balance higher than expected (missing increase/OC build)","Reported balance lower than expected (missing decrease)"))))),""))</f>
        <v/>
      </c>
    </row>
    <row r="4293" customFormat="false" ht="15" hidden="false" customHeight="false" outlineLevel="0" collapsed="false">
      <c r="A4293" s="8"/>
      <c r="B4293" s="8"/>
      <c r="C4293" s="8"/>
      <c r="D4293" s="8"/>
      <c r="E4293" s="8"/>
      <c r="F4293" s="8"/>
      <c r="G4293" s="8"/>
      <c r="H4293" s="8"/>
      <c r="I4293" s="8"/>
      <c r="J4293" s="8"/>
      <c r="K4293" s="9"/>
      <c r="L4293" s="9"/>
      <c r="M4293" s="9"/>
      <c r="N4293" s="9"/>
      <c r="O4293" s="9"/>
      <c r="P4293" s="9"/>
      <c r="Q4293" s="9"/>
      <c r="R4293" s="9" t="str">
        <f aca="false">IF(AND(A4293&lt;&gt;"",ISNUMBER(Q4293),ISNUMBER(L4293)),ROUND(Q4293-IF(ISNUMBER(N4293),N4293,0)-IF(ISNUMBER(O4293),O4293,0)+IF(ISNUMBER(P4293),P4293,0),2),"")</f>
        <v/>
      </c>
      <c r="S4293" s="9" t="str">
        <f aca="false">IF(R4293="","",ROUND(L4293-R4293,2))</f>
        <v/>
      </c>
      <c r="T4293" s="8" t="str">
        <f aca="false">IF(A4293="","",IF(S4293="","BYPASS",IF(ABS(S4293)&lt;=Summary!$B$2,"PASS","FAIL")))</f>
        <v/>
      </c>
      <c r="U4293" s="8" t="str">
        <f aca="false">IF(T4293="BYPASS",IF(NOT(ISNUMBER(Q4293)),"PreV_ETB missing","End_tr_balance missing"),IF(T4293="FAIL",IF(AND(ISNUMBER(K4293),ISNUMBER(L4293),ABS(L4293-(K4293-IF(ISNUMBER(N4293),N4293,0)-IF(ISNUMBER(O4293),O4293,0)+IF(ISNUMBER(P4293),P4293,0)))&lt;=Summary!$B$2),"Passes using beginning_balance - PreV_ETB differs from beginning_balance",IF(AND(ISNUMBER(O4293),O4293&lt;0,ABS(L4293-(Q4293-IF(ISNUMBER(N4293),N4293,0)+IF(ISNUMBER(P4293),P4293,0)))&lt;=Summary!$B$2),"Negative realized loss not applied - check sign",IF(R4293&lt;0,"Principal paid exceeds prior balance",IF(AND(L4293&gt;Q4293,NOT(ISNUMBER(P4293))),"Balance increased but no Deferred_interest reported",IF(L4293&gt;R4293,"Reported balance higher than expected (missing increase/OC build)","Reported balance lower than expected (missing decrease)"))))),""))</f>
        <v/>
      </c>
    </row>
    <row r="4294" customFormat="false" ht="15" hidden="false" customHeight="false" outlineLevel="0" collapsed="false">
      <c r="A4294" s="8"/>
      <c r="B4294" s="8"/>
      <c r="C4294" s="8"/>
      <c r="D4294" s="8"/>
      <c r="E4294" s="8"/>
      <c r="F4294" s="8"/>
      <c r="G4294" s="8"/>
      <c r="H4294" s="8"/>
      <c r="I4294" s="8"/>
      <c r="J4294" s="8"/>
      <c r="K4294" s="9"/>
      <c r="L4294" s="9"/>
      <c r="M4294" s="9"/>
      <c r="N4294" s="9"/>
      <c r="O4294" s="9"/>
      <c r="P4294" s="9"/>
      <c r="Q4294" s="9"/>
      <c r="R4294" s="9" t="str">
        <f aca="false">IF(AND(A4294&lt;&gt;"",ISNUMBER(Q4294),ISNUMBER(L4294)),ROUND(Q4294-IF(ISNUMBER(N4294),N4294,0)-IF(ISNUMBER(O4294),O4294,0)+IF(ISNUMBER(P4294),P4294,0),2),"")</f>
        <v/>
      </c>
      <c r="S4294" s="9" t="str">
        <f aca="false">IF(R4294="","",ROUND(L4294-R4294,2))</f>
        <v/>
      </c>
      <c r="T4294" s="8" t="str">
        <f aca="false">IF(A4294="","",IF(S4294="","BYPASS",IF(ABS(S4294)&lt;=Summary!$B$2,"PASS","FAIL")))</f>
        <v/>
      </c>
      <c r="U4294" s="8" t="str">
        <f aca="false">IF(T4294="BYPASS",IF(NOT(ISNUMBER(Q4294)),"PreV_ETB missing","End_tr_balance missing"),IF(T4294="FAIL",IF(AND(ISNUMBER(K4294),ISNUMBER(L4294),ABS(L4294-(K4294-IF(ISNUMBER(N4294),N4294,0)-IF(ISNUMBER(O4294),O4294,0)+IF(ISNUMBER(P4294),P4294,0)))&lt;=Summary!$B$2),"Passes using beginning_balance - PreV_ETB differs from beginning_balance",IF(AND(ISNUMBER(O4294),O4294&lt;0,ABS(L4294-(Q4294-IF(ISNUMBER(N4294),N4294,0)+IF(ISNUMBER(P4294),P4294,0)))&lt;=Summary!$B$2),"Negative realized loss not applied - check sign",IF(R4294&lt;0,"Principal paid exceeds prior balance",IF(AND(L4294&gt;Q4294,NOT(ISNUMBER(P4294))),"Balance increased but no Deferred_interest reported",IF(L4294&gt;R4294,"Reported balance higher than expected (missing increase/OC build)","Reported balance lower than expected (missing decrease)"))))),""))</f>
        <v/>
      </c>
    </row>
    <row r="4295" customFormat="false" ht="15" hidden="false" customHeight="false" outlineLevel="0" collapsed="false">
      <c r="A4295" s="8"/>
      <c r="B4295" s="8"/>
      <c r="C4295" s="8"/>
      <c r="D4295" s="8"/>
      <c r="E4295" s="8"/>
      <c r="F4295" s="8"/>
      <c r="G4295" s="8"/>
      <c r="H4295" s="8"/>
      <c r="I4295" s="8"/>
      <c r="J4295" s="8"/>
      <c r="K4295" s="9"/>
      <c r="L4295" s="9"/>
      <c r="M4295" s="9"/>
      <c r="N4295" s="9"/>
      <c r="O4295" s="9"/>
      <c r="P4295" s="9"/>
      <c r="Q4295" s="9"/>
      <c r="R4295" s="9" t="str">
        <f aca="false">IF(AND(A4295&lt;&gt;"",ISNUMBER(Q4295),ISNUMBER(L4295)),ROUND(Q4295-IF(ISNUMBER(N4295),N4295,0)-IF(ISNUMBER(O4295),O4295,0)+IF(ISNUMBER(P4295),P4295,0),2),"")</f>
        <v/>
      </c>
      <c r="S4295" s="9" t="str">
        <f aca="false">IF(R4295="","",ROUND(L4295-R4295,2))</f>
        <v/>
      </c>
      <c r="T4295" s="8" t="str">
        <f aca="false">IF(A4295="","",IF(S4295="","BYPASS",IF(ABS(S4295)&lt;=Summary!$B$2,"PASS","FAIL")))</f>
        <v/>
      </c>
      <c r="U4295" s="8" t="str">
        <f aca="false">IF(T4295="BYPASS",IF(NOT(ISNUMBER(Q4295)),"PreV_ETB missing","End_tr_balance missing"),IF(T4295="FAIL",IF(AND(ISNUMBER(K4295),ISNUMBER(L4295),ABS(L4295-(K4295-IF(ISNUMBER(N4295),N4295,0)-IF(ISNUMBER(O4295),O4295,0)+IF(ISNUMBER(P4295),P4295,0)))&lt;=Summary!$B$2),"Passes using beginning_balance - PreV_ETB differs from beginning_balance",IF(AND(ISNUMBER(O4295),O4295&lt;0,ABS(L4295-(Q4295-IF(ISNUMBER(N4295),N4295,0)+IF(ISNUMBER(P4295),P4295,0)))&lt;=Summary!$B$2),"Negative realized loss not applied - check sign",IF(R4295&lt;0,"Principal paid exceeds prior balance",IF(AND(L4295&gt;Q4295,NOT(ISNUMBER(P4295))),"Balance increased but no Deferred_interest reported",IF(L4295&gt;R4295,"Reported balance higher than expected (missing increase/OC build)","Reported balance lower than expected (missing decrease)"))))),""))</f>
        <v/>
      </c>
    </row>
    <row r="4296" customFormat="false" ht="15" hidden="false" customHeight="false" outlineLevel="0" collapsed="false">
      <c r="A4296" s="8"/>
      <c r="B4296" s="8"/>
      <c r="C4296" s="8"/>
      <c r="D4296" s="8"/>
      <c r="E4296" s="8"/>
      <c r="F4296" s="8"/>
      <c r="G4296" s="8"/>
      <c r="H4296" s="8"/>
      <c r="I4296" s="8"/>
      <c r="J4296" s="8"/>
      <c r="K4296" s="9"/>
      <c r="L4296" s="9"/>
      <c r="M4296" s="9"/>
      <c r="N4296" s="9"/>
      <c r="O4296" s="9"/>
      <c r="P4296" s="9"/>
      <c r="Q4296" s="9"/>
      <c r="R4296" s="9" t="str">
        <f aca="false">IF(AND(A4296&lt;&gt;"",ISNUMBER(Q4296),ISNUMBER(L4296)),ROUND(Q4296-IF(ISNUMBER(N4296),N4296,0)-IF(ISNUMBER(O4296),O4296,0)+IF(ISNUMBER(P4296),P4296,0),2),"")</f>
        <v/>
      </c>
      <c r="S4296" s="9" t="str">
        <f aca="false">IF(R4296="","",ROUND(L4296-R4296,2))</f>
        <v/>
      </c>
      <c r="T4296" s="8" t="str">
        <f aca="false">IF(A4296="","",IF(S4296="","BYPASS",IF(ABS(S4296)&lt;=Summary!$B$2,"PASS","FAIL")))</f>
        <v/>
      </c>
      <c r="U4296" s="8" t="str">
        <f aca="false">IF(T4296="BYPASS",IF(NOT(ISNUMBER(Q4296)),"PreV_ETB missing","End_tr_balance missing"),IF(T4296="FAIL",IF(AND(ISNUMBER(K4296),ISNUMBER(L4296),ABS(L4296-(K4296-IF(ISNUMBER(N4296),N4296,0)-IF(ISNUMBER(O4296),O4296,0)+IF(ISNUMBER(P4296),P4296,0)))&lt;=Summary!$B$2),"Passes using beginning_balance - PreV_ETB differs from beginning_balance",IF(AND(ISNUMBER(O4296),O4296&lt;0,ABS(L4296-(Q4296-IF(ISNUMBER(N4296),N4296,0)+IF(ISNUMBER(P4296),P4296,0)))&lt;=Summary!$B$2),"Negative realized loss not applied - check sign",IF(R4296&lt;0,"Principal paid exceeds prior balance",IF(AND(L4296&gt;Q4296,NOT(ISNUMBER(P4296))),"Balance increased but no Deferred_interest reported",IF(L4296&gt;R4296,"Reported balance higher than expected (missing increase/OC build)","Reported balance lower than expected (missing decrease)"))))),""))</f>
        <v/>
      </c>
    </row>
    <row r="4297" customFormat="false" ht="15" hidden="false" customHeight="false" outlineLevel="0" collapsed="false">
      <c r="A4297" s="8"/>
      <c r="B4297" s="8"/>
      <c r="C4297" s="8"/>
      <c r="D4297" s="8"/>
      <c r="E4297" s="8"/>
      <c r="F4297" s="8"/>
      <c r="G4297" s="8"/>
      <c r="H4297" s="8"/>
      <c r="I4297" s="8"/>
      <c r="J4297" s="8"/>
      <c r="K4297" s="9"/>
      <c r="L4297" s="9"/>
      <c r="M4297" s="9"/>
      <c r="N4297" s="9"/>
      <c r="O4297" s="9"/>
      <c r="P4297" s="9"/>
      <c r="Q4297" s="9"/>
      <c r="R4297" s="9" t="str">
        <f aca="false">IF(AND(A4297&lt;&gt;"",ISNUMBER(Q4297),ISNUMBER(L4297)),ROUND(Q4297-IF(ISNUMBER(N4297),N4297,0)-IF(ISNUMBER(O4297),O4297,0)+IF(ISNUMBER(P4297),P4297,0),2),"")</f>
        <v/>
      </c>
      <c r="S4297" s="9" t="str">
        <f aca="false">IF(R4297="","",ROUND(L4297-R4297,2))</f>
        <v/>
      </c>
      <c r="T4297" s="8" t="str">
        <f aca="false">IF(A4297="","",IF(S4297="","BYPASS",IF(ABS(S4297)&lt;=Summary!$B$2,"PASS","FAIL")))</f>
        <v/>
      </c>
      <c r="U4297" s="8" t="str">
        <f aca="false">IF(T4297="BYPASS",IF(NOT(ISNUMBER(Q4297)),"PreV_ETB missing","End_tr_balance missing"),IF(T4297="FAIL",IF(AND(ISNUMBER(K4297),ISNUMBER(L4297),ABS(L4297-(K4297-IF(ISNUMBER(N4297),N4297,0)-IF(ISNUMBER(O4297),O4297,0)+IF(ISNUMBER(P4297),P4297,0)))&lt;=Summary!$B$2),"Passes using beginning_balance - PreV_ETB differs from beginning_balance",IF(AND(ISNUMBER(O4297),O4297&lt;0,ABS(L4297-(Q4297-IF(ISNUMBER(N4297),N4297,0)+IF(ISNUMBER(P4297),P4297,0)))&lt;=Summary!$B$2),"Negative realized loss not applied - check sign",IF(R4297&lt;0,"Principal paid exceeds prior balance",IF(AND(L4297&gt;Q4297,NOT(ISNUMBER(P4297))),"Balance increased but no Deferred_interest reported",IF(L4297&gt;R4297,"Reported balance higher than expected (missing increase/OC build)","Reported balance lower than expected (missing decrease)"))))),""))</f>
        <v/>
      </c>
    </row>
    <row r="4298" customFormat="false" ht="15" hidden="false" customHeight="false" outlineLevel="0" collapsed="false">
      <c r="A4298" s="8"/>
      <c r="B4298" s="8"/>
      <c r="C4298" s="8"/>
      <c r="D4298" s="8"/>
      <c r="E4298" s="8"/>
      <c r="F4298" s="8"/>
      <c r="G4298" s="8"/>
      <c r="H4298" s="8"/>
      <c r="I4298" s="8"/>
      <c r="J4298" s="8"/>
      <c r="K4298" s="9"/>
      <c r="L4298" s="9"/>
      <c r="M4298" s="9"/>
      <c r="N4298" s="9"/>
      <c r="O4298" s="9"/>
      <c r="P4298" s="9"/>
      <c r="Q4298" s="9"/>
      <c r="R4298" s="9" t="str">
        <f aca="false">IF(AND(A4298&lt;&gt;"",ISNUMBER(Q4298),ISNUMBER(L4298)),ROUND(Q4298-IF(ISNUMBER(N4298),N4298,0)-IF(ISNUMBER(O4298),O4298,0)+IF(ISNUMBER(P4298),P4298,0),2),"")</f>
        <v/>
      </c>
      <c r="S4298" s="9" t="str">
        <f aca="false">IF(R4298="","",ROUND(L4298-R4298,2))</f>
        <v/>
      </c>
      <c r="T4298" s="8" t="str">
        <f aca="false">IF(A4298="","",IF(S4298="","BYPASS",IF(ABS(S4298)&lt;=Summary!$B$2,"PASS","FAIL")))</f>
        <v/>
      </c>
      <c r="U4298" s="8" t="str">
        <f aca="false">IF(T4298="BYPASS",IF(NOT(ISNUMBER(Q4298)),"PreV_ETB missing","End_tr_balance missing"),IF(T4298="FAIL",IF(AND(ISNUMBER(K4298),ISNUMBER(L4298),ABS(L4298-(K4298-IF(ISNUMBER(N4298),N4298,0)-IF(ISNUMBER(O4298),O4298,0)+IF(ISNUMBER(P4298),P4298,0)))&lt;=Summary!$B$2),"Passes using beginning_balance - PreV_ETB differs from beginning_balance",IF(AND(ISNUMBER(O4298),O4298&lt;0,ABS(L4298-(Q4298-IF(ISNUMBER(N4298),N4298,0)+IF(ISNUMBER(P4298),P4298,0)))&lt;=Summary!$B$2),"Negative realized loss not applied - check sign",IF(R4298&lt;0,"Principal paid exceeds prior balance",IF(AND(L4298&gt;Q4298,NOT(ISNUMBER(P4298))),"Balance increased but no Deferred_interest reported",IF(L4298&gt;R4298,"Reported balance higher than expected (missing increase/OC build)","Reported balance lower than expected (missing decrease)"))))),""))</f>
        <v/>
      </c>
    </row>
    <row r="4299" customFormat="false" ht="15" hidden="false" customHeight="false" outlineLevel="0" collapsed="false">
      <c r="A4299" s="8"/>
      <c r="B4299" s="8"/>
      <c r="C4299" s="8"/>
      <c r="D4299" s="8"/>
      <c r="E4299" s="8"/>
      <c r="F4299" s="8"/>
      <c r="G4299" s="8"/>
      <c r="H4299" s="8"/>
      <c r="I4299" s="8"/>
      <c r="J4299" s="8"/>
      <c r="K4299" s="9"/>
      <c r="L4299" s="9"/>
      <c r="M4299" s="9"/>
      <c r="N4299" s="9"/>
      <c r="O4299" s="9"/>
      <c r="P4299" s="9"/>
      <c r="Q4299" s="9"/>
      <c r="R4299" s="9" t="str">
        <f aca="false">IF(AND(A4299&lt;&gt;"",ISNUMBER(Q4299),ISNUMBER(L4299)),ROUND(Q4299-IF(ISNUMBER(N4299),N4299,0)-IF(ISNUMBER(O4299),O4299,0)+IF(ISNUMBER(P4299),P4299,0),2),"")</f>
        <v/>
      </c>
      <c r="S4299" s="9" t="str">
        <f aca="false">IF(R4299="","",ROUND(L4299-R4299,2))</f>
        <v/>
      </c>
      <c r="T4299" s="8" t="str">
        <f aca="false">IF(A4299="","",IF(S4299="","BYPASS",IF(ABS(S4299)&lt;=Summary!$B$2,"PASS","FAIL")))</f>
        <v/>
      </c>
      <c r="U4299" s="8" t="str">
        <f aca="false">IF(T4299="BYPASS",IF(NOT(ISNUMBER(Q4299)),"PreV_ETB missing","End_tr_balance missing"),IF(T4299="FAIL",IF(AND(ISNUMBER(K4299),ISNUMBER(L4299),ABS(L4299-(K4299-IF(ISNUMBER(N4299),N4299,0)-IF(ISNUMBER(O4299),O4299,0)+IF(ISNUMBER(P4299),P4299,0)))&lt;=Summary!$B$2),"Passes using beginning_balance - PreV_ETB differs from beginning_balance",IF(AND(ISNUMBER(O4299),O4299&lt;0,ABS(L4299-(Q4299-IF(ISNUMBER(N4299),N4299,0)+IF(ISNUMBER(P4299),P4299,0)))&lt;=Summary!$B$2),"Negative realized loss not applied - check sign",IF(R4299&lt;0,"Principal paid exceeds prior balance",IF(AND(L4299&gt;Q4299,NOT(ISNUMBER(P4299))),"Balance increased but no Deferred_interest reported",IF(L4299&gt;R4299,"Reported balance higher than expected (missing increase/OC build)","Reported balance lower than expected (missing decrease)"))))),""))</f>
        <v/>
      </c>
    </row>
    <row r="4300" customFormat="false" ht="15" hidden="false" customHeight="false" outlineLevel="0" collapsed="false">
      <c r="A4300" s="8"/>
      <c r="B4300" s="8"/>
      <c r="C4300" s="8"/>
      <c r="D4300" s="8"/>
      <c r="E4300" s="8"/>
      <c r="F4300" s="8"/>
      <c r="G4300" s="8"/>
      <c r="H4300" s="8"/>
      <c r="I4300" s="8"/>
      <c r="J4300" s="8"/>
      <c r="K4300" s="9"/>
      <c r="L4300" s="9"/>
      <c r="M4300" s="9"/>
      <c r="N4300" s="9"/>
      <c r="O4300" s="9"/>
      <c r="P4300" s="9"/>
      <c r="Q4300" s="9"/>
      <c r="R4300" s="9" t="str">
        <f aca="false">IF(AND(A4300&lt;&gt;"",ISNUMBER(Q4300),ISNUMBER(L4300)),ROUND(Q4300-IF(ISNUMBER(N4300),N4300,0)-IF(ISNUMBER(O4300),O4300,0)+IF(ISNUMBER(P4300),P4300,0),2),"")</f>
        <v/>
      </c>
      <c r="S4300" s="9" t="str">
        <f aca="false">IF(R4300="","",ROUND(L4300-R4300,2))</f>
        <v/>
      </c>
      <c r="T4300" s="8" t="str">
        <f aca="false">IF(A4300="","",IF(S4300="","BYPASS",IF(ABS(S4300)&lt;=Summary!$B$2,"PASS","FAIL")))</f>
        <v/>
      </c>
      <c r="U4300" s="8" t="str">
        <f aca="false">IF(T4300="BYPASS",IF(NOT(ISNUMBER(Q4300)),"PreV_ETB missing","End_tr_balance missing"),IF(T4300="FAIL",IF(AND(ISNUMBER(K4300),ISNUMBER(L4300),ABS(L4300-(K4300-IF(ISNUMBER(N4300),N4300,0)-IF(ISNUMBER(O4300),O4300,0)+IF(ISNUMBER(P4300),P4300,0)))&lt;=Summary!$B$2),"Passes using beginning_balance - PreV_ETB differs from beginning_balance",IF(AND(ISNUMBER(O4300),O4300&lt;0,ABS(L4300-(Q4300-IF(ISNUMBER(N4300),N4300,0)+IF(ISNUMBER(P4300),P4300,0)))&lt;=Summary!$B$2),"Negative realized loss not applied - check sign",IF(R4300&lt;0,"Principal paid exceeds prior balance",IF(AND(L4300&gt;Q4300,NOT(ISNUMBER(P4300))),"Balance increased but no Deferred_interest reported",IF(L4300&gt;R4300,"Reported balance higher than expected (missing increase/OC build)","Reported balance lower than expected (missing decrease)"))))),""))</f>
        <v/>
      </c>
    </row>
    <row r="4301" customFormat="false" ht="15" hidden="false" customHeight="false" outlineLevel="0" collapsed="false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9"/>
      <c r="L4301" s="9"/>
      <c r="M4301" s="9"/>
      <c r="N4301" s="9"/>
      <c r="O4301" s="9"/>
      <c r="P4301" s="9"/>
      <c r="Q4301" s="9"/>
      <c r="R4301" s="9" t="str">
        <f aca="false">IF(AND(A4301&lt;&gt;"",ISNUMBER(Q4301),ISNUMBER(L4301)),ROUND(Q4301-IF(ISNUMBER(N4301),N4301,0)-IF(ISNUMBER(O4301),O4301,0)+IF(ISNUMBER(P4301),P4301,0),2),"")</f>
        <v/>
      </c>
      <c r="S4301" s="9" t="str">
        <f aca="false">IF(R4301="","",ROUND(L4301-R4301,2))</f>
        <v/>
      </c>
      <c r="T4301" s="8" t="str">
        <f aca="false">IF(A4301="","",IF(S4301="","BYPASS",IF(ABS(S4301)&lt;=Summary!$B$2,"PASS","FAIL")))</f>
        <v/>
      </c>
      <c r="U4301" s="8" t="str">
        <f aca="false">IF(T4301="BYPASS",IF(NOT(ISNUMBER(Q4301)),"PreV_ETB missing","End_tr_balance missing"),IF(T4301="FAIL",IF(AND(ISNUMBER(K4301),ISNUMBER(L4301),ABS(L4301-(K4301-IF(ISNUMBER(N4301),N4301,0)-IF(ISNUMBER(O4301),O4301,0)+IF(ISNUMBER(P4301),P4301,0)))&lt;=Summary!$B$2),"Passes using beginning_balance - PreV_ETB differs from beginning_balance",IF(AND(ISNUMBER(O4301),O4301&lt;0,ABS(L4301-(Q4301-IF(ISNUMBER(N4301),N4301,0)+IF(ISNUMBER(P4301),P4301,0)))&lt;=Summary!$B$2),"Negative realized loss not applied - check sign",IF(R4301&lt;0,"Principal paid exceeds prior balance",IF(AND(L4301&gt;Q4301,NOT(ISNUMBER(P4301))),"Balance increased but no Deferred_interest reported",IF(L4301&gt;R4301,"Reported balance higher than expected (missing increase/OC build)","Reported balance lower than expected (missing decrease)"))))),""))</f>
        <v/>
      </c>
    </row>
    <row r="4302" customFormat="false" ht="15" hidden="false" customHeight="false" outlineLevel="0" collapsed="false">
      <c r="A4302" s="8"/>
      <c r="B4302" s="8"/>
      <c r="C4302" s="8"/>
      <c r="D4302" s="8"/>
      <c r="E4302" s="8"/>
      <c r="F4302" s="8"/>
      <c r="G4302" s="8"/>
      <c r="H4302" s="8"/>
      <c r="I4302" s="8"/>
      <c r="J4302" s="8"/>
      <c r="K4302" s="9"/>
      <c r="L4302" s="9"/>
      <c r="M4302" s="9"/>
      <c r="N4302" s="9"/>
      <c r="O4302" s="9"/>
      <c r="P4302" s="9"/>
      <c r="Q4302" s="9"/>
      <c r="R4302" s="9" t="str">
        <f aca="false">IF(AND(A4302&lt;&gt;"",ISNUMBER(Q4302),ISNUMBER(L4302)),ROUND(Q4302-IF(ISNUMBER(N4302),N4302,0)-IF(ISNUMBER(O4302),O4302,0)+IF(ISNUMBER(P4302),P4302,0),2),"")</f>
        <v/>
      </c>
      <c r="S4302" s="9" t="str">
        <f aca="false">IF(R4302="","",ROUND(L4302-R4302,2))</f>
        <v/>
      </c>
      <c r="T4302" s="8" t="str">
        <f aca="false">IF(A4302="","",IF(S4302="","BYPASS",IF(ABS(S4302)&lt;=Summary!$B$2,"PASS","FAIL")))</f>
        <v/>
      </c>
      <c r="U4302" s="8" t="str">
        <f aca="false">IF(T4302="BYPASS",IF(NOT(ISNUMBER(Q4302)),"PreV_ETB missing","End_tr_balance missing"),IF(T4302="FAIL",IF(AND(ISNUMBER(K4302),ISNUMBER(L4302),ABS(L4302-(K4302-IF(ISNUMBER(N4302),N4302,0)-IF(ISNUMBER(O4302),O4302,0)+IF(ISNUMBER(P4302),P4302,0)))&lt;=Summary!$B$2),"Passes using beginning_balance - PreV_ETB differs from beginning_balance",IF(AND(ISNUMBER(O4302),O4302&lt;0,ABS(L4302-(Q4302-IF(ISNUMBER(N4302),N4302,0)+IF(ISNUMBER(P4302),P4302,0)))&lt;=Summary!$B$2),"Negative realized loss not applied - check sign",IF(R4302&lt;0,"Principal paid exceeds prior balance",IF(AND(L4302&gt;Q4302,NOT(ISNUMBER(P4302))),"Balance increased but no Deferred_interest reported",IF(L4302&gt;R4302,"Reported balance higher than expected (missing increase/OC build)","Reported balance lower than expected (missing decrease)"))))),""))</f>
        <v/>
      </c>
    </row>
    <row r="4303" customFormat="false" ht="15" hidden="false" customHeight="false" outlineLevel="0" collapsed="false">
      <c r="A4303" s="8"/>
      <c r="B4303" s="8"/>
      <c r="C4303" s="8"/>
      <c r="D4303" s="8"/>
      <c r="E4303" s="8"/>
      <c r="F4303" s="8"/>
      <c r="G4303" s="8"/>
      <c r="H4303" s="8"/>
      <c r="I4303" s="8"/>
      <c r="J4303" s="8"/>
      <c r="K4303" s="9"/>
      <c r="L4303" s="9"/>
      <c r="M4303" s="9"/>
      <c r="N4303" s="9"/>
      <c r="O4303" s="9"/>
      <c r="P4303" s="9"/>
      <c r="Q4303" s="9"/>
      <c r="R4303" s="9" t="str">
        <f aca="false">IF(AND(A4303&lt;&gt;"",ISNUMBER(Q4303),ISNUMBER(L4303)),ROUND(Q4303-IF(ISNUMBER(N4303),N4303,0)-IF(ISNUMBER(O4303),O4303,0)+IF(ISNUMBER(P4303),P4303,0),2),"")</f>
        <v/>
      </c>
      <c r="S4303" s="9" t="str">
        <f aca="false">IF(R4303="","",ROUND(L4303-R4303,2))</f>
        <v/>
      </c>
      <c r="T4303" s="8" t="str">
        <f aca="false">IF(A4303="","",IF(S4303="","BYPASS",IF(ABS(S4303)&lt;=Summary!$B$2,"PASS","FAIL")))</f>
        <v/>
      </c>
      <c r="U4303" s="8" t="str">
        <f aca="false">IF(T4303="BYPASS",IF(NOT(ISNUMBER(Q4303)),"PreV_ETB missing","End_tr_balance missing"),IF(T4303="FAIL",IF(AND(ISNUMBER(K4303),ISNUMBER(L4303),ABS(L4303-(K4303-IF(ISNUMBER(N4303),N4303,0)-IF(ISNUMBER(O4303),O4303,0)+IF(ISNUMBER(P4303),P4303,0)))&lt;=Summary!$B$2),"Passes using beginning_balance - PreV_ETB differs from beginning_balance",IF(AND(ISNUMBER(O4303),O4303&lt;0,ABS(L4303-(Q4303-IF(ISNUMBER(N4303),N4303,0)+IF(ISNUMBER(P4303),P4303,0)))&lt;=Summary!$B$2),"Negative realized loss not applied - check sign",IF(R4303&lt;0,"Principal paid exceeds prior balance",IF(AND(L4303&gt;Q4303,NOT(ISNUMBER(P4303))),"Balance increased but no Deferred_interest reported",IF(L4303&gt;R4303,"Reported balance higher than expected (missing increase/OC build)","Reported balance lower than expected (missing decrease)"))))),""))</f>
        <v/>
      </c>
    </row>
    <row r="4304" customFormat="false" ht="15" hidden="false" customHeight="false" outlineLevel="0" collapsed="false">
      <c r="A4304" s="8"/>
      <c r="B4304" s="8"/>
      <c r="C4304" s="8"/>
      <c r="D4304" s="8"/>
      <c r="E4304" s="8"/>
      <c r="F4304" s="8"/>
      <c r="G4304" s="8"/>
      <c r="H4304" s="8"/>
      <c r="I4304" s="8"/>
      <c r="J4304" s="8"/>
      <c r="K4304" s="9"/>
      <c r="L4304" s="9"/>
      <c r="M4304" s="9"/>
      <c r="N4304" s="9"/>
      <c r="O4304" s="9"/>
      <c r="P4304" s="9"/>
      <c r="Q4304" s="9"/>
      <c r="R4304" s="9" t="str">
        <f aca="false">IF(AND(A4304&lt;&gt;"",ISNUMBER(Q4304),ISNUMBER(L4304)),ROUND(Q4304-IF(ISNUMBER(N4304),N4304,0)-IF(ISNUMBER(O4304),O4304,0)+IF(ISNUMBER(P4304),P4304,0),2),"")</f>
        <v/>
      </c>
      <c r="S4304" s="9" t="str">
        <f aca="false">IF(R4304="","",ROUND(L4304-R4304,2))</f>
        <v/>
      </c>
      <c r="T4304" s="8" t="str">
        <f aca="false">IF(A4304="","",IF(S4304="","BYPASS",IF(ABS(S4304)&lt;=Summary!$B$2,"PASS","FAIL")))</f>
        <v/>
      </c>
      <c r="U4304" s="8" t="str">
        <f aca="false">IF(T4304="BYPASS",IF(NOT(ISNUMBER(Q4304)),"PreV_ETB missing","End_tr_balance missing"),IF(T4304="FAIL",IF(AND(ISNUMBER(K4304),ISNUMBER(L4304),ABS(L4304-(K4304-IF(ISNUMBER(N4304),N4304,0)-IF(ISNUMBER(O4304),O4304,0)+IF(ISNUMBER(P4304),P4304,0)))&lt;=Summary!$B$2),"Passes using beginning_balance - PreV_ETB differs from beginning_balance",IF(AND(ISNUMBER(O4304),O4304&lt;0,ABS(L4304-(Q4304-IF(ISNUMBER(N4304),N4304,0)+IF(ISNUMBER(P4304),P4304,0)))&lt;=Summary!$B$2),"Negative realized loss not applied - check sign",IF(R4304&lt;0,"Principal paid exceeds prior balance",IF(AND(L4304&gt;Q4304,NOT(ISNUMBER(P4304))),"Balance increased but no Deferred_interest reported",IF(L4304&gt;R4304,"Reported balance higher than expected (missing increase/OC build)","Reported balance lower than expected (missing decrease)"))))),""))</f>
        <v/>
      </c>
    </row>
    <row r="4305" customFormat="false" ht="15" hidden="false" customHeight="false" outlineLevel="0" collapsed="false">
      <c r="A4305" s="8"/>
      <c r="B4305" s="8"/>
      <c r="C4305" s="8"/>
      <c r="D4305" s="8"/>
      <c r="E4305" s="8"/>
      <c r="F4305" s="8"/>
      <c r="G4305" s="8"/>
      <c r="H4305" s="8"/>
      <c r="I4305" s="8"/>
      <c r="J4305" s="8"/>
      <c r="K4305" s="9"/>
      <c r="L4305" s="9"/>
      <c r="M4305" s="9"/>
      <c r="N4305" s="9"/>
      <c r="O4305" s="9"/>
      <c r="P4305" s="9"/>
      <c r="Q4305" s="9"/>
      <c r="R4305" s="9" t="str">
        <f aca="false">IF(AND(A4305&lt;&gt;"",ISNUMBER(Q4305),ISNUMBER(L4305)),ROUND(Q4305-IF(ISNUMBER(N4305),N4305,0)-IF(ISNUMBER(O4305),O4305,0)+IF(ISNUMBER(P4305),P4305,0),2),"")</f>
        <v/>
      </c>
      <c r="S4305" s="9" t="str">
        <f aca="false">IF(R4305="","",ROUND(L4305-R4305,2))</f>
        <v/>
      </c>
      <c r="T4305" s="8" t="str">
        <f aca="false">IF(A4305="","",IF(S4305="","BYPASS",IF(ABS(S4305)&lt;=Summary!$B$2,"PASS","FAIL")))</f>
        <v/>
      </c>
      <c r="U4305" s="8" t="str">
        <f aca="false">IF(T4305="BYPASS",IF(NOT(ISNUMBER(Q4305)),"PreV_ETB missing","End_tr_balance missing"),IF(T4305="FAIL",IF(AND(ISNUMBER(K4305),ISNUMBER(L4305),ABS(L4305-(K4305-IF(ISNUMBER(N4305),N4305,0)-IF(ISNUMBER(O4305),O4305,0)+IF(ISNUMBER(P4305),P4305,0)))&lt;=Summary!$B$2),"Passes using beginning_balance - PreV_ETB differs from beginning_balance",IF(AND(ISNUMBER(O4305),O4305&lt;0,ABS(L4305-(Q4305-IF(ISNUMBER(N4305),N4305,0)+IF(ISNUMBER(P4305),P4305,0)))&lt;=Summary!$B$2),"Negative realized loss not applied - check sign",IF(R4305&lt;0,"Principal paid exceeds prior balance",IF(AND(L4305&gt;Q4305,NOT(ISNUMBER(P4305))),"Balance increased but no Deferred_interest reported",IF(L4305&gt;R4305,"Reported balance higher than expected (missing increase/OC build)","Reported balance lower than expected (missing decrease)"))))),""))</f>
        <v/>
      </c>
    </row>
    <row r="4306" customFormat="false" ht="15" hidden="false" customHeight="false" outlineLevel="0" collapsed="false">
      <c r="A4306" s="8"/>
      <c r="B4306" s="8"/>
      <c r="C4306" s="8"/>
      <c r="D4306" s="8"/>
      <c r="E4306" s="8"/>
      <c r="F4306" s="8"/>
      <c r="G4306" s="8"/>
      <c r="H4306" s="8"/>
      <c r="I4306" s="8"/>
      <c r="J4306" s="8"/>
      <c r="K4306" s="9"/>
      <c r="L4306" s="9"/>
      <c r="M4306" s="9"/>
      <c r="N4306" s="9"/>
      <c r="O4306" s="9"/>
      <c r="P4306" s="9"/>
      <c r="Q4306" s="9"/>
      <c r="R4306" s="9" t="str">
        <f aca="false">IF(AND(A4306&lt;&gt;"",ISNUMBER(Q4306),ISNUMBER(L4306)),ROUND(Q4306-IF(ISNUMBER(N4306),N4306,0)-IF(ISNUMBER(O4306),O4306,0)+IF(ISNUMBER(P4306),P4306,0),2),"")</f>
        <v/>
      </c>
      <c r="S4306" s="9" t="str">
        <f aca="false">IF(R4306="","",ROUND(L4306-R4306,2))</f>
        <v/>
      </c>
      <c r="T4306" s="8" t="str">
        <f aca="false">IF(A4306="","",IF(S4306="","BYPASS",IF(ABS(S4306)&lt;=Summary!$B$2,"PASS","FAIL")))</f>
        <v/>
      </c>
      <c r="U4306" s="8" t="str">
        <f aca="false">IF(T4306="BYPASS",IF(NOT(ISNUMBER(Q4306)),"PreV_ETB missing","End_tr_balance missing"),IF(T4306="FAIL",IF(AND(ISNUMBER(K4306),ISNUMBER(L4306),ABS(L4306-(K4306-IF(ISNUMBER(N4306),N4306,0)-IF(ISNUMBER(O4306),O4306,0)+IF(ISNUMBER(P4306),P4306,0)))&lt;=Summary!$B$2),"Passes using beginning_balance - PreV_ETB differs from beginning_balance",IF(AND(ISNUMBER(O4306),O4306&lt;0,ABS(L4306-(Q4306-IF(ISNUMBER(N4306),N4306,0)+IF(ISNUMBER(P4306),P4306,0)))&lt;=Summary!$B$2),"Negative realized loss not applied - check sign",IF(R4306&lt;0,"Principal paid exceeds prior balance",IF(AND(L4306&gt;Q4306,NOT(ISNUMBER(P4306))),"Balance increased but no Deferred_interest reported",IF(L4306&gt;R4306,"Reported balance higher than expected (missing increase/OC build)","Reported balance lower than expected (missing decrease)"))))),""))</f>
        <v/>
      </c>
    </row>
    <row r="4307" customFormat="false" ht="15" hidden="false" customHeight="false" outlineLevel="0" collapsed="false">
      <c r="A4307" s="8"/>
      <c r="B4307" s="8"/>
      <c r="C4307" s="8"/>
      <c r="D4307" s="8"/>
      <c r="E4307" s="8"/>
      <c r="F4307" s="8"/>
      <c r="G4307" s="8"/>
      <c r="H4307" s="8"/>
      <c r="I4307" s="8"/>
      <c r="J4307" s="8"/>
      <c r="K4307" s="9"/>
      <c r="L4307" s="9"/>
      <c r="M4307" s="9"/>
      <c r="N4307" s="9"/>
      <c r="O4307" s="9"/>
      <c r="P4307" s="9"/>
      <c r="Q4307" s="9"/>
      <c r="R4307" s="9" t="str">
        <f aca="false">IF(AND(A4307&lt;&gt;"",ISNUMBER(Q4307),ISNUMBER(L4307)),ROUND(Q4307-IF(ISNUMBER(N4307),N4307,0)-IF(ISNUMBER(O4307),O4307,0)+IF(ISNUMBER(P4307),P4307,0),2),"")</f>
        <v/>
      </c>
      <c r="S4307" s="9" t="str">
        <f aca="false">IF(R4307="","",ROUND(L4307-R4307,2))</f>
        <v/>
      </c>
      <c r="T4307" s="8" t="str">
        <f aca="false">IF(A4307="","",IF(S4307="","BYPASS",IF(ABS(S4307)&lt;=Summary!$B$2,"PASS","FAIL")))</f>
        <v/>
      </c>
      <c r="U4307" s="8" t="str">
        <f aca="false">IF(T4307="BYPASS",IF(NOT(ISNUMBER(Q4307)),"PreV_ETB missing","End_tr_balance missing"),IF(T4307="FAIL",IF(AND(ISNUMBER(K4307),ISNUMBER(L4307),ABS(L4307-(K4307-IF(ISNUMBER(N4307),N4307,0)-IF(ISNUMBER(O4307),O4307,0)+IF(ISNUMBER(P4307),P4307,0)))&lt;=Summary!$B$2),"Passes using beginning_balance - PreV_ETB differs from beginning_balance",IF(AND(ISNUMBER(O4307),O4307&lt;0,ABS(L4307-(Q4307-IF(ISNUMBER(N4307),N4307,0)+IF(ISNUMBER(P4307),P4307,0)))&lt;=Summary!$B$2),"Negative realized loss not applied - check sign",IF(R4307&lt;0,"Principal paid exceeds prior balance",IF(AND(L4307&gt;Q4307,NOT(ISNUMBER(P4307))),"Balance increased but no Deferred_interest reported",IF(L4307&gt;R4307,"Reported balance higher than expected (missing increase/OC build)","Reported balance lower than expected (missing decrease)"))))),""))</f>
        <v/>
      </c>
    </row>
    <row r="4308" customFormat="false" ht="15" hidden="false" customHeight="false" outlineLevel="0" collapsed="false">
      <c r="A4308" s="8"/>
      <c r="B4308" s="8"/>
      <c r="C4308" s="8"/>
      <c r="D4308" s="8"/>
      <c r="E4308" s="8"/>
      <c r="F4308" s="8"/>
      <c r="G4308" s="8"/>
      <c r="H4308" s="8"/>
      <c r="I4308" s="8"/>
      <c r="J4308" s="8"/>
      <c r="K4308" s="9"/>
      <c r="L4308" s="9"/>
      <c r="M4308" s="9"/>
      <c r="N4308" s="9"/>
      <c r="O4308" s="9"/>
      <c r="P4308" s="9"/>
      <c r="Q4308" s="9"/>
      <c r="R4308" s="9" t="str">
        <f aca="false">IF(AND(A4308&lt;&gt;"",ISNUMBER(Q4308),ISNUMBER(L4308)),ROUND(Q4308-IF(ISNUMBER(N4308),N4308,0)-IF(ISNUMBER(O4308),O4308,0)+IF(ISNUMBER(P4308),P4308,0),2),"")</f>
        <v/>
      </c>
      <c r="S4308" s="9" t="str">
        <f aca="false">IF(R4308="","",ROUND(L4308-R4308,2))</f>
        <v/>
      </c>
      <c r="T4308" s="8" t="str">
        <f aca="false">IF(A4308="","",IF(S4308="","BYPASS",IF(ABS(S4308)&lt;=Summary!$B$2,"PASS","FAIL")))</f>
        <v/>
      </c>
      <c r="U4308" s="8" t="str">
        <f aca="false">IF(T4308="BYPASS",IF(NOT(ISNUMBER(Q4308)),"PreV_ETB missing","End_tr_balance missing"),IF(T4308="FAIL",IF(AND(ISNUMBER(K4308),ISNUMBER(L4308),ABS(L4308-(K4308-IF(ISNUMBER(N4308),N4308,0)-IF(ISNUMBER(O4308),O4308,0)+IF(ISNUMBER(P4308),P4308,0)))&lt;=Summary!$B$2),"Passes using beginning_balance - PreV_ETB differs from beginning_balance",IF(AND(ISNUMBER(O4308),O4308&lt;0,ABS(L4308-(Q4308-IF(ISNUMBER(N4308),N4308,0)+IF(ISNUMBER(P4308),P4308,0)))&lt;=Summary!$B$2),"Negative realized loss not applied - check sign",IF(R4308&lt;0,"Principal paid exceeds prior balance",IF(AND(L4308&gt;Q4308,NOT(ISNUMBER(P4308))),"Balance increased but no Deferred_interest reported",IF(L4308&gt;R4308,"Reported balance higher than expected (missing increase/OC build)","Reported balance lower than expected (missing decrease)"))))),""))</f>
        <v/>
      </c>
    </row>
    <row r="4309" customFormat="false" ht="15" hidden="false" customHeight="false" outlineLevel="0" collapsed="false">
      <c r="A4309" s="8"/>
      <c r="B4309" s="8"/>
      <c r="C4309" s="8"/>
      <c r="D4309" s="8"/>
      <c r="E4309" s="8"/>
      <c r="F4309" s="8"/>
      <c r="G4309" s="8"/>
      <c r="H4309" s="8"/>
      <c r="I4309" s="8"/>
      <c r="J4309" s="8"/>
      <c r="K4309" s="9"/>
      <c r="L4309" s="9"/>
      <c r="M4309" s="9"/>
      <c r="N4309" s="9"/>
      <c r="O4309" s="9"/>
      <c r="P4309" s="9"/>
      <c r="Q4309" s="9"/>
      <c r="R4309" s="9" t="str">
        <f aca="false">IF(AND(A4309&lt;&gt;"",ISNUMBER(Q4309),ISNUMBER(L4309)),ROUND(Q4309-IF(ISNUMBER(N4309),N4309,0)-IF(ISNUMBER(O4309),O4309,0)+IF(ISNUMBER(P4309),P4309,0),2),"")</f>
        <v/>
      </c>
      <c r="S4309" s="9" t="str">
        <f aca="false">IF(R4309="","",ROUND(L4309-R4309,2))</f>
        <v/>
      </c>
      <c r="T4309" s="8" t="str">
        <f aca="false">IF(A4309="","",IF(S4309="","BYPASS",IF(ABS(S4309)&lt;=Summary!$B$2,"PASS","FAIL")))</f>
        <v/>
      </c>
      <c r="U4309" s="8" t="str">
        <f aca="false">IF(T4309="BYPASS",IF(NOT(ISNUMBER(Q4309)),"PreV_ETB missing","End_tr_balance missing"),IF(T4309="FAIL",IF(AND(ISNUMBER(K4309),ISNUMBER(L4309),ABS(L4309-(K4309-IF(ISNUMBER(N4309),N4309,0)-IF(ISNUMBER(O4309),O4309,0)+IF(ISNUMBER(P4309),P4309,0)))&lt;=Summary!$B$2),"Passes using beginning_balance - PreV_ETB differs from beginning_balance",IF(AND(ISNUMBER(O4309),O4309&lt;0,ABS(L4309-(Q4309-IF(ISNUMBER(N4309),N4309,0)+IF(ISNUMBER(P4309),P4309,0)))&lt;=Summary!$B$2),"Negative realized loss not applied - check sign",IF(R4309&lt;0,"Principal paid exceeds prior balance",IF(AND(L4309&gt;Q4309,NOT(ISNUMBER(P4309))),"Balance increased but no Deferred_interest reported",IF(L4309&gt;R4309,"Reported balance higher than expected (missing increase/OC build)","Reported balance lower than expected (missing decrease)"))))),""))</f>
        <v/>
      </c>
    </row>
    <row r="4310" customFormat="false" ht="15" hidden="false" customHeight="false" outlineLevel="0" collapsed="false">
      <c r="A4310" s="8"/>
      <c r="B4310" s="8"/>
      <c r="C4310" s="8"/>
      <c r="D4310" s="8"/>
      <c r="E4310" s="8"/>
      <c r="F4310" s="8"/>
      <c r="G4310" s="8"/>
      <c r="H4310" s="8"/>
      <c r="I4310" s="8"/>
      <c r="J4310" s="8"/>
      <c r="K4310" s="9"/>
      <c r="L4310" s="9"/>
      <c r="M4310" s="9"/>
      <c r="N4310" s="9"/>
      <c r="O4310" s="9"/>
      <c r="P4310" s="9"/>
      <c r="Q4310" s="9"/>
      <c r="R4310" s="9" t="str">
        <f aca="false">IF(AND(A4310&lt;&gt;"",ISNUMBER(Q4310),ISNUMBER(L4310)),ROUND(Q4310-IF(ISNUMBER(N4310),N4310,0)-IF(ISNUMBER(O4310),O4310,0)+IF(ISNUMBER(P4310),P4310,0),2),"")</f>
        <v/>
      </c>
      <c r="S4310" s="9" t="str">
        <f aca="false">IF(R4310="","",ROUND(L4310-R4310,2))</f>
        <v/>
      </c>
      <c r="T4310" s="8" t="str">
        <f aca="false">IF(A4310="","",IF(S4310="","BYPASS",IF(ABS(S4310)&lt;=Summary!$B$2,"PASS","FAIL")))</f>
        <v/>
      </c>
      <c r="U4310" s="8" t="str">
        <f aca="false">IF(T4310="BYPASS",IF(NOT(ISNUMBER(Q4310)),"PreV_ETB missing","End_tr_balance missing"),IF(T4310="FAIL",IF(AND(ISNUMBER(K4310),ISNUMBER(L4310),ABS(L4310-(K4310-IF(ISNUMBER(N4310),N4310,0)-IF(ISNUMBER(O4310),O4310,0)+IF(ISNUMBER(P4310),P4310,0)))&lt;=Summary!$B$2),"Passes using beginning_balance - PreV_ETB differs from beginning_balance",IF(AND(ISNUMBER(O4310),O4310&lt;0,ABS(L4310-(Q4310-IF(ISNUMBER(N4310),N4310,0)+IF(ISNUMBER(P4310),P4310,0)))&lt;=Summary!$B$2),"Negative realized loss not applied - check sign",IF(R4310&lt;0,"Principal paid exceeds prior balance",IF(AND(L4310&gt;Q4310,NOT(ISNUMBER(P4310))),"Balance increased but no Deferred_interest reported",IF(L4310&gt;R4310,"Reported balance higher than expected (missing increase/OC build)","Reported balance lower than expected (missing decrease)"))))),""))</f>
        <v/>
      </c>
    </row>
    <row r="4311" customFormat="false" ht="15" hidden="false" customHeight="false" outlineLevel="0" collapsed="false">
      <c r="A4311" s="8"/>
      <c r="B4311" s="8"/>
      <c r="C4311" s="8"/>
      <c r="D4311" s="8"/>
      <c r="E4311" s="8"/>
      <c r="F4311" s="8"/>
      <c r="G4311" s="8"/>
      <c r="H4311" s="8"/>
      <c r="I4311" s="8"/>
      <c r="J4311" s="8"/>
      <c r="K4311" s="9"/>
      <c r="L4311" s="9"/>
      <c r="M4311" s="9"/>
      <c r="N4311" s="9"/>
      <c r="O4311" s="9"/>
      <c r="P4311" s="9"/>
      <c r="Q4311" s="9"/>
      <c r="R4311" s="9" t="str">
        <f aca="false">IF(AND(A4311&lt;&gt;"",ISNUMBER(Q4311),ISNUMBER(L4311)),ROUND(Q4311-IF(ISNUMBER(N4311),N4311,0)-IF(ISNUMBER(O4311),O4311,0)+IF(ISNUMBER(P4311),P4311,0),2),"")</f>
        <v/>
      </c>
      <c r="S4311" s="9" t="str">
        <f aca="false">IF(R4311="","",ROUND(L4311-R4311,2))</f>
        <v/>
      </c>
      <c r="T4311" s="8" t="str">
        <f aca="false">IF(A4311="","",IF(S4311="","BYPASS",IF(ABS(S4311)&lt;=Summary!$B$2,"PASS","FAIL")))</f>
        <v/>
      </c>
      <c r="U4311" s="8" t="str">
        <f aca="false">IF(T4311="BYPASS",IF(NOT(ISNUMBER(Q4311)),"PreV_ETB missing","End_tr_balance missing"),IF(T4311="FAIL",IF(AND(ISNUMBER(K4311),ISNUMBER(L4311),ABS(L4311-(K4311-IF(ISNUMBER(N4311),N4311,0)-IF(ISNUMBER(O4311),O4311,0)+IF(ISNUMBER(P4311),P4311,0)))&lt;=Summary!$B$2),"Passes using beginning_balance - PreV_ETB differs from beginning_balance",IF(AND(ISNUMBER(O4311),O4311&lt;0,ABS(L4311-(Q4311-IF(ISNUMBER(N4311),N4311,0)+IF(ISNUMBER(P4311),P4311,0)))&lt;=Summary!$B$2),"Negative realized loss not applied - check sign",IF(R4311&lt;0,"Principal paid exceeds prior balance",IF(AND(L4311&gt;Q4311,NOT(ISNUMBER(P4311))),"Balance increased but no Deferred_interest reported",IF(L4311&gt;R4311,"Reported balance higher than expected (missing increase/OC build)","Reported balance lower than expected (missing decrease)"))))),""))</f>
        <v/>
      </c>
    </row>
    <row r="4312" customFormat="false" ht="15" hidden="false" customHeight="false" outlineLevel="0" collapsed="false">
      <c r="A4312" s="8"/>
      <c r="B4312" s="8"/>
      <c r="C4312" s="8"/>
      <c r="D4312" s="8"/>
      <c r="E4312" s="8"/>
      <c r="F4312" s="8"/>
      <c r="G4312" s="8"/>
      <c r="H4312" s="8"/>
      <c r="I4312" s="8"/>
      <c r="J4312" s="8"/>
      <c r="K4312" s="9"/>
      <c r="L4312" s="9"/>
      <c r="M4312" s="9"/>
      <c r="N4312" s="9"/>
      <c r="O4312" s="9"/>
      <c r="P4312" s="9"/>
      <c r="Q4312" s="9"/>
      <c r="R4312" s="9" t="str">
        <f aca="false">IF(AND(A4312&lt;&gt;"",ISNUMBER(Q4312),ISNUMBER(L4312)),ROUND(Q4312-IF(ISNUMBER(N4312),N4312,0)-IF(ISNUMBER(O4312),O4312,0)+IF(ISNUMBER(P4312),P4312,0),2),"")</f>
        <v/>
      </c>
      <c r="S4312" s="9" t="str">
        <f aca="false">IF(R4312="","",ROUND(L4312-R4312,2))</f>
        <v/>
      </c>
      <c r="T4312" s="8" t="str">
        <f aca="false">IF(A4312="","",IF(S4312="","BYPASS",IF(ABS(S4312)&lt;=Summary!$B$2,"PASS","FAIL")))</f>
        <v/>
      </c>
      <c r="U4312" s="8" t="str">
        <f aca="false">IF(T4312="BYPASS",IF(NOT(ISNUMBER(Q4312)),"PreV_ETB missing","End_tr_balance missing"),IF(T4312="FAIL",IF(AND(ISNUMBER(K4312),ISNUMBER(L4312),ABS(L4312-(K4312-IF(ISNUMBER(N4312),N4312,0)-IF(ISNUMBER(O4312),O4312,0)+IF(ISNUMBER(P4312),P4312,0)))&lt;=Summary!$B$2),"Passes using beginning_balance - PreV_ETB differs from beginning_balance",IF(AND(ISNUMBER(O4312),O4312&lt;0,ABS(L4312-(Q4312-IF(ISNUMBER(N4312),N4312,0)+IF(ISNUMBER(P4312),P4312,0)))&lt;=Summary!$B$2),"Negative realized loss not applied - check sign",IF(R4312&lt;0,"Principal paid exceeds prior balance",IF(AND(L4312&gt;Q4312,NOT(ISNUMBER(P4312))),"Balance increased but no Deferred_interest reported",IF(L4312&gt;R4312,"Reported balance higher than expected (missing increase/OC build)","Reported balance lower than expected (missing decrease)"))))),""))</f>
        <v/>
      </c>
    </row>
    <row r="4313" customFormat="false" ht="15" hidden="false" customHeight="false" outlineLevel="0" collapsed="false">
      <c r="A4313" s="8"/>
      <c r="B4313" s="8"/>
      <c r="C4313" s="8"/>
      <c r="D4313" s="8"/>
      <c r="E4313" s="8"/>
      <c r="F4313" s="8"/>
      <c r="G4313" s="8"/>
      <c r="H4313" s="8"/>
      <c r="I4313" s="8"/>
      <c r="J4313" s="8"/>
      <c r="K4313" s="9"/>
      <c r="L4313" s="9"/>
      <c r="M4313" s="9"/>
      <c r="N4313" s="9"/>
      <c r="O4313" s="9"/>
      <c r="P4313" s="9"/>
      <c r="Q4313" s="9"/>
      <c r="R4313" s="9" t="str">
        <f aca="false">IF(AND(A4313&lt;&gt;"",ISNUMBER(Q4313),ISNUMBER(L4313)),ROUND(Q4313-IF(ISNUMBER(N4313),N4313,0)-IF(ISNUMBER(O4313),O4313,0)+IF(ISNUMBER(P4313),P4313,0),2),"")</f>
        <v/>
      </c>
      <c r="S4313" s="9" t="str">
        <f aca="false">IF(R4313="","",ROUND(L4313-R4313,2))</f>
        <v/>
      </c>
      <c r="T4313" s="8" t="str">
        <f aca="false">IF(A4313="","",IF(S4313="","BYPASS",IF(ABS(S4313)&lt;=Summary!$B$2,"PASS","FAIL")))</f>
        <v/>
      </c>
      <c r="U4313" s="8" t="str">
        <f aca="false">IF(T4313="BYPASS",IF(NOT(ISNUMBER(Q4313)),"PreV_ETB missing","End_tr_balance missing"),IF(T4313="FAIL",IF(AND(ISNUMBER(K4313),ISNUMBER(L4313),ABS(L4313-(K4313-IF(ISNUMBER(N4313),N4313,0)-IF(ISNUMBER(O4313),O4313,0)+IF(ISNUMBER(P4313),P4313,0)))&lt;=Summary!$B$2),"Passes using beginning_balance - PreV_ETB differs from beginning_balance",IF(AND(ISNUMBER(O4313),O4313&lt;0,ABS(L4313-(Q4313-IF(ISNUMBER(N4313),N4313,0)+IF(ISNUMBER(P4313),P4313,0)))&lt;=Summary!$B$2),"Negative realized loss not applied - check sign",IF(R4313&lt;0,"Principal paid exceeds prior balance",IF(AND(L4313&gt;Q4313,NOT(ISNUMBER(P4313))),"Balance increased but no Deferred_interest reported",IF(L4313&gt;R4313,"Reported balance higher than expected (missing increase/OC build)","Reported balance lower than expected (missing decrease)"))))),""))</f>
        <v/>
      </c>
    </row>
    <row r="4314" customFormat="false" ht="15" hidden="false" customHeight="false" outlineLevel="0" collapsed="false">
      <c r="A4314" s="8"/>
      <c r="B4314" s="8"/>
      <c r="C4314" s="8"/>
      <c r="D4314" s="8"/>
      <c r="E4314" s="8"/>
      <c r="F4314" s="8"/>
      <c r="G4314" s="8"/>
      <c r="H4314" s="8"/>
      <c r="I4314" s="8"/>
      <c r="J4314" s="8"/>
      <c r="K4314" s="9"/>
      <c r="L4314" s="9"/>
      <c r="M4314" s="9"/>
      <c r="N4314" s="9"/>
      <c r="O4314" s="9"/>
      <c r="P4314" s="9"/>
      <c r="Q4314" s="9"/>
      <c r="R4314" s="9" t="str">
        <f aca="false">IF(AND(A4314&lt;&gt;"",ISNUMBER(Q4314),ISNUMBER(L4314)),ROUND(Q4314-IF(ISNUMBER(N4314),N4314,0)-IF(ISNUMBER(O4314),O4314,0)+IF(ISNUMBER(P4314),P4314,0),2),"")</f>
        <v/>
      </c>
      <c r="S4314" s="9" t="str">
        <f aca="false">IF(R4314="","",ROUND(L4314-R4314,2))</f>
        <v/>
      </c>
      <c r="T4314" s="8" t="str">
        <f aca="false">IF(A4314="","",IF(S4314="","BYPASS",IF(ABS(S4314)&lt;=Summary!$B$2,"PASS","FAIL")))</f>
        <v/>
      </c>
      <c r="U4314" s="8" t="str">
        <f aca="false">IF(T4314="BYPASS",IF(NOT(ISNUMBER(Q4314)),"PreV_ETB missing","End_tr_balance missing"),IF(T4314="FAIL",IF(AND(ISNUMBER(K4314),ISNUMBER(L4314),ABS(L4314-(K4314-IF(ISNUMBER(N4314),N4314,0)-IF(ISNUMBER(O4314),O4314,0)+IF(ISNUMBER(P4314),P4314,0)))&lt;=Summary!$B$2),"Passes using beginning_balance - PreV_ETB differs from beginning_balance",IF(AND(ISNUMBER(O4314),O4314&lt;0,ABS(L4314-(Q4314-IF(ISNUMBER(N4314),N4314,0)+IF(ISNUMBER(P4314),P4314,0)))&lt;=Summary!$B$2),"Negative realized loss not applied - check sign",IF(R4314&lt;0,"Principal paid exceeds prior balance",IF(AND(L4314&gt;Q4314,NOT(ISNUMBER(P4314))),"Balance increased but no Deferred_interest reported",IF(L4314&gt;R4314,"Reported balance higher than expected (missing increase/OC build)","Reported balance lower than expected (missing decrease)"))))),""))</f>
        <v/>
      </c>
    </row>
    <row r="4315" customFormat="false" ht="15" hidden="false" customHeight="false" outlineLevel="0" collapsed="false">
      <c r="A4315" s="8"/>
      <c r="B4315" s="8"/>
      <c r="C4315" s="8"/>
      <c r="D4315" s="8"/>
      <c r="E4315" s="8"/>
      <c r="F4315" s="8"/>
      <c r="G4315" s="8"/>
      <c r="H4315" s="8"/>
      <c r="I4315" s="8"/>
      <c r="J4315" s="8"/>
      <c r="K4315" s="9"/>
      <c r="L4315" s="9"/>
      <c r="M4315" s="9"/>
      <c r="N4315" s="9"/>
      <c r="O4315" s="9"/>
      <c r="P4315" s="9"/>
      <c r="Q4315" s="9"/>
      <c r="R4315" s="9" t="str">
        <f aca="false">IF(AND(A4315&lt;&gt;"",ISNUMBER(Q4315),ISNUMBER(L4315)),ROUND(Q4315-IF(ISNUMBER(N4315),N4315,0)-IF(ISNUMBER(O4315),O4315,0)+IF(ISNUMBER(P4315),P4315,0),2),"")</f>
        <v/>
      </c>
      <c r="S4315" s="9" t="str">
        <f aca="false">IF(R4315="","",ROUND(L4315-R4315,2))</f>
        <v/>
      </c>
      <c r="T4315" s="8" t="str">
        <f aca="false">IF(A4315="","",IF(S4315="","BYPASS",IF(ABS(S4315)&lt;=Summary!$B$2,"PASS","FAIL")))</f>
        <v/>
      </c>
      <c r="U4315" s="8" t="str">
        <f aca="false">IF(T4315="BYPASS",IF(NOT(ISNUMBER(Q4315)),"PreV_ETB missing","End_tr_balance missing"),IF(T4315="FAIL",IF(AND(ISNUMBER(K4315),ISNUMBER(L4315),ABS(L4315-(K4315-IF(ISNUMBER(N4315),N4315,0)-IF(ISNUMBER(O4315),O4315,0)+IF(ISNUMBER(P4315),P4315,0)))&lt;=Summary!$B$2),"Passes using beginning_balance - PreV_ETB differs from beginning_balance",IF(AND(ISNUMBER(O4315),O4315&lt;0,ABS(L4315-(Q4315-IF(ISNUMBER(N4315),N4315,0)+IF(ISNUMBER(P4315),P4315,0)))&lt;=Summary!$B$2),"Negative realized loss not applied - check sign",IF(R4315&lt;0,"Principal paid exceeds prior balance",IF(AND(L4315&gt;Q4315,NOT(ISNUMBER(P4315))),"Balance increased but no Deferred_interest reported",IF(L4315&gt;R4315,"Reported balance higher than expected (missing increase/OC build)","Reported balance lower than expected (missing decrease)"))))),""))</f>
        <v/>
      </c>
    </row>
    <row r="4316" customFormat="false" ht="15" hidden="false" customHeight="false" outlineLevel="0" collapsed="false">
      <c r="A4316" s="8"/>
      <c r="B4316" s="8"/>
      <c r="C4316" s="8"/>
      <c r="D4316" s="8"/>
      <c r="E4316" s="8"/>
      <c r="F4316" s="8"/>
      <c r="G4316" s="8"/>
      <c r="H4316" s="8"/>
      <c r="I4316" s="8"/>
      <c r="J4316" s="8"/>
      <c r="K4316" s="9"/>
      <c r="L4316" s="9"/>
      <c r="M4316" s="9"/>
      <c r="N4316" s="9"/>
      <c r="O4316" s="9"/>
      <c r="P4316" s="9"/>
      <c r="Q4316" s="9"/>
      <c r="R4316" s="9" t="str">
        <f aca="false">IF(AND(A4316&lt;&gt;"",ISNUMBER(Q4316),ISNUMBER(L4316)),ROUND(Q4316-IF(ISNUMBER(N4316),N4316,0)-IF(ISNUMBER(O4316),O4316,0)+IF(ISNUMBER(P4316),P4316,0),2),"")</f>
        <v/>
      </c>
      <c r="S4316" s="9" t="str">
        <f aca="false">IF(R4316="","",ROUND(L4316-R4316,2))</f>
        <v/>
      </c>
      <c r="T4316" s="8" t="str">
        <f aca="false">IF(A4316="","",IF(S4316="","BYPASS",IF(ABS(S4316)&lt;=Summary!$B$2,"PASS","FAIL")))</f>
        <v/>
      </c>
      <c r="U4316" s="8" t="str">
        <f aca="false">IF(T4316="BYPASS",IF(NOT(ISNUMBER(Q4316)),"PreV_ETB missing","End_tr_balance missing"),IF(T4316="FAIL",IF(AND(ISNUMBER(K4316),ISNUMBER(L4316),ABS(L4316-(K4316-IF(ISNUMBER(N4316),N4316,0)-IF(ISNUMBER(O4316),O4316,0)+IF(ISNUMBER(P4316),P4316,0)))&lt;=Summary!$B$2),"Passes using beginning_balance - PreV_ETB differs from beginning_balance",IF(AND(ISNUMBER(O4316),O4316&lt;0,ABS(L4316-(Q4316-IF(ISNUMBER(N4316),N4316,0)+IF(ISNUMBER(P4316),P4316,0)))&lt;=Summary!$B$2),"Negative realized loss not applied - check sign",IF(R4316&lt;0,"Principal paid exceeds prior balance",IF(AND(L4316&gt;Q4316,NOT(ISNUMBER(P4316))),"Balance increased but no Deferred_interest reported",IF(L4316&gt;R4316,"Reported balance higher than expected (missing increase/OC build)","Reported balance lower than expected (missing decrease)"))))),""))</f>
        <v/>
      </c>
    </row>
    <row r="4317" customFormat="false" ht="15" hidden="false" customHeight="false" outlineLevel="0" collapsed="false">
      <c r="A4317" s="8"/>
      <c r="B4317" s="8"/>
      <c r="C4317" s="8"/>
      <c r="D4317" s="8"/>
      <c r="E4317" s="8"/>
      <c r="F4317" s="8"/>
      <c r="G4317" s="8"/>
      <c r="H4317" s="8"/>
      <c r="I4317" s="8"/>
      <c r="J4317" s="8"/>
      <c r="K4317" s="9"/>
      <c r="L4317" s="9"/>
      <c r="M4317" s="9"/>
      <c r="N4317" s="9"/>
      <c r="O4317" s="9"/>
      <c r="P4317" s="9"/>
      <c r="Q4317" s="9"/>
      <c r="R4317" s="9" t="str">
        <f aca="false">IF(AND(A4317&lt;&gt;"",ISNUMBER(Q4317),ISNUMBER(L4317)),ROUND(Q4317-IF(ISNUMBER(N4317),N4317,0)-IF(ISNUMBER(O4317),O4317,0)+IF(ISNUMBER(P4317),P4317,0),2),"")</f>
        <v/>
      </c>
      <c r="S4317" s="9" t="str">
        <f aca="false">IF(R4317="","",ROUND(L4317-R4317,2))</f>
        <v/>
      </c>
      <c r="T4317" s="8" t="str">
        <f aca="false">IF(A4317="","",IF(S4317="","BYPASS",IF(ABS(S4317)&lt;=Summary!$B$2,"PASS","FAIL")))</f>
        <v/>
      </c>
      <c r="U4317" s="8" t="str">
        <f aca="false">IF(T4317="BYPASS",IF(NOT(ISNUMBER(Q4317)),"PreV_ETB missing","End_tr_balance missing"),IF(T4317="FAIL",IF(AND(ISNUMBER(K4317),ISNUMBER(L4317),ABS(L4317-(K4317-IF(ISNUMBER(N4317),N4317,0)-IF(ISNUMBER(O4317),O4317,0)+IF(ISNUMBER(P4317),P4317,0)))&lt;=Summary!$B$2),"Passes using beginning_balance - PreV_ETB differs from beginning_balance",IF(AND(ISNUMBER(O4317),O4317&lt;0,ABS(L4317-(Q4317-IF(ISNUMBER(N4317),N4317,0)+IF(ISNUMBER(P4317),P4317,0)))&lt;=Summary!$B$2),"Negative realized loss not applied - check sign",IF(R4317&lt;0,"Principal paid exceeds prior balance",IF(AND(L4317&gt;Q4317,NOT(ISNUMBER(P4317))),"Balance increased but no Deferred_interest reported",IF(L4317&gt;R4317,"Reported balance higher than expected (missing increase/OC build)","Reported balance lower than expected (missing decrease)"))))),""))</f>
        <v/>
      </c>
    </row>
    <row r="4318" customFormat="false" ht="15" hidden="false" customHeight="false" outlineLevel="0" collapsed="false">
      <c r="A4318" s="8"/>
      <c r="B4318" s="8"/>
      <c r="C4318" s="8"/>
      <c r="D4318" s="8"/>
      <c r="E4318" s="8"/>
      <c r="F4318" s="8"/>
      <c r="G4318" s="8"/>
      <c r="H4318" s="8"/>
      <c r="I4318" s="8"/>
      <c r="J4318" s="8"/>
      <c r="K4318" s="9"/>
      <c r="L4318" s="9"/>
      <c r="M4318" s="9"/>
      <c r="N4318" s="9"/>
      <c r="O4318" s="9"/>
      <c r="P4318" s="9"/>
      <c r="Q4318" s="9"/>
      <c r="R4318" s="9" t="str">
        <f aca="false">IF(AND(A4318&lt;&gt;"",ISNUMBER(Q4318),ISNUMBER(L4318)),ROUND(Q4318-IF(ISNUMBER(N4318),N4318,0)-IF(ISNUMBER(O4318),O4318,0)+IF(ISNUMBER(P4318),P4318,0),2),"")</f>
        <v/>
      </c>
      <c r="S4318" s="9" t="str">
        <f aca="false">IF(R4318="","",ROUND(L4318-R4318,2))</f>
        <v/>
      </c>
      <c r="T4318" s="8" t="str">
        <f aca="false">IF(A4318="","",IF(S4318="","BYPASS",IF(ABS(S4318)&lt;=Summary!$B$2,"PASS","FAIL")))</f>
        <v/>
      </c>
      <c r="U4318" s="8" t="str">
        <f aca="false">IF(T4318="BYPASS",IF(NOT(ISNUMBER(Q4318)),"PreV_ETB missing","End_tr_balance missing"),IF(T4318="FAIL",IF(AND(ISNUMBER(K4318),ISNUMBER(L4318),ABS(L4318-(K4318-IF(ISNUMBER(N4318),N4318,0)-IF(ISNUMBER(O4318),O4318,0)+IF(ISNUMBER(P4318),P4318,0)))&lt;=Summary!$B$2),"Passes using beginning_balance - PreV_ETB differs from beginning_balance",IF(AND(ISNUMBER(O4318),O4318&lt;0,ABS(L4318-(Q4318-IF(ISNUMBER(N4318),N4318,0)+IF(ISNUMBER(P4318),P4318,0)))&lt;=Summary!$B$2),"Negative realized loss not applied - check sign",IF(R4318&lt;0,"Principal paid exceeds prior balance",IF(AND(L4318&gt;Q4318,NOT(ISNUMBER(P4318))),"Balance increased but no Deferred_interest reported",IF(L4318&gt;R4318,"Reported balance higher than expected (missing increase/OC build)","Reported balance lower than expected (missing decrease)"))))),""))</f>
        <v/>
      </c>
    </row>
    <row r="4319" customFormat="false" ht="15" hidden="false" customHeight="false" outlineLevel="0" collapsed="false">
      <c r="A4319" s="8"/>
      <c r="B4319" s="8"/>
      <c r="C4319" s="8"/>
      <c r="D4319" s="8"/>
      <c r="E4319" s="8"/>
      <c r="F4319" s="8"/>
      <c r="G4319" s="8"/>
      <c r="H4319" s="8"/>
      <c r="I4319" s="8"/>
      <c r="J4319" s="8"/>
      <c r="K4319" s="9"/>
      <c r="L4319" s="9"/>
      <c r="M4319" s="9"/>
      <c r="N4319" s="9"/>
      <c r="O4319" s="9"/>
      <c r="P4319" s="9"/>
      <c r="Q4319" s="9"/>
      <c r="R4319" s="9" t="str">
        <f aca="false">IF(AND(A4319&lt;&gt;"",ISNUMBER(Q4319),ISNUMBER(L4319)),ROUND(Q4319-IF(ISNUMBER(N4319),N4319,0)-IF(ISNUMBER(O4319),O4319,0)+IF(ISNUMBER(P4319),P4319,0),2),"")</f>
        <v/>
      </c>
      <c r="S4319" s="9" t="str">
        <f aca="false">IF(R4319="","",ROUND(L4319-R4319,2))</f>
        <v/>
      </c>
      <c r="T4319" s="8" t="str">
        <f aca="false">IF(A4319="","",IF(S4319="","BYPASS",IF(ABS(S4319)&lt;=Summary!$B$2,"PASS","FAIL")))</f>
        <v/>
      </c>
      <c r="U4319" s="8" t="str">
        <f aca="false">IF(T4319="BYPASS",IF(NOT(ISNUMBER(Q4319)),"PreV_ETB missing","End_tr_balance missing"),IF(T4319="FAIL",IF(AND(ISNUMBER(K4319),ISNUMBER(L4319),ABS(L4319-(K4319-IF(ISNUMBER(N4319),N4319,0)-IF(ISNUMBER(O4319),O4319,0)+IF(ISNUMBER(P4319),P4319,0)))&lt;=Summary!$B$2),"Passes using beginning_balance - PreV_ETB differs from beginning_balance",IF(AND(ISNUMBER(O4319),O4319&lt;0,ABS(L4319-(Q4319-IF(ISNUMBER(N4319),N4319,0)+IF(ISNUMBER(P4319),P4319,0)))&lt;=Summary!$B$2),"Negative realized loss not applied - check sign",IF(R4319&lt;0,"Principal paid exceeds prior balance",IF(AND(L4319&gt;Q4319,NOT(ISNUMBER(P4319))),"Balance increased but no Deferred_interest reported",IF(L4319&gt;R4319,"Reported balance higher than expected (missing increase/OC build)","Reported balance lower than expected (missing decrease)"))))),""))</f>
        <v/>
      </c>
    </row>
    <row r="4320" customFormat="false" ht="15" hidden="false" customHeight="false" outlineLevel="0" collapsed="false">
      <c r="A4320" s="8"/>
      <c r="B4320" s="8"/>
      <c r="C4320" s="8"/>
      <c r="D4320" s="8"/>
      <c r="E4320" s="8"/>
      <c r="F4320" s="8"/>
      <c r="G4320" s="8"/>
      <c r="H4320" s="8"/>
      <c r="I4320" s="8"/>
      <c r="J4320" s="8"/>
      <c r="K4320" s="9"/>
      <c r="L4320" s="9"/>
      <c r="M4320" s="9"/>
      <c r="N4320" s="9"/>
      <c r="O4320" s="9"/>
      <c r="P4320" s="9"/>
      <c r="Q4320" s="9"/>
      <c r="R4320" s="9" t="str">
        <f aca="false">IF(AND(A4320&lt;&gt;"",ISNUMBER(Q4320),ISNUMBER(L4320)),ROUND(Q4320-IF(ISNUMBER(N4320),N4320,0)-IF(ISNUMBER(O4320),O4320,0)+IF(ISNUMBER(P4320),P4320,0),2),"")</f>
        <v/>
      </c>
      <c r="S4320" s="9" t="str">
        <f aca="false">IF(R4320="","",ROUND(L4320-R4320,2))</f>
        <v/>
      </c>
      <c r="T4320" s="8" t="str">
        <f aca="false">IF(A4320="","",IF(S4320="","BYPASS",IF(ABS(S4320)&lt;=Summary!$B$2,"PASS","FAIL")))</f>
        <v/>
      </c>
      <c r="U4320" s="8" t="str">
        <f aca="false">IF(T4320="BYPASS",IF(NOT(ISNUMBER(Q4320)),"PreV_ETB missing","End_tr_balance missing"),IF(T4320="FAIL",IF(AND(ISNUMBER(K4320),ISNUMBER(L4320),ABS(L4320-(K4320-IF(ISNUMBER(N4320),N4320,0)-IF(ISNUMBER(O4320),O4320,0)+IF(ISNUMBER(P4320),P4320,0)))&lt;=Summary!$B$2),"Passes using beginning_balance - PreV_ETB differs from beginning_balance",IF(AND(ISNUMBER(O4320),O4320&lt;0,ABS(L4320-(Q4320-IF(ISNUMBER(N4320),N4320,0)+IF(ISNUMBER(P4320),P4320,0)))&lt;=Summary!$B$2),"Negative realized loss not applied - check sign",IF(R4320&lt;0,"Principal paid exceeds prior balance",IF(AND(L4320&gt;Q4320,NOT(ISNUMBER(P4320))),"Balance increased but no Deferred_interest reported",IF(L4320&gt;R4320,"Reported balance higher than expected (missing increase/OC build)","Reported balance lower than expected (missing decrease)"))))),""))</f>
        <v/>
      </c>
    </row>
    <row r="4321" customFormat="false" ht="15" hidden="false" customHeight="false" outlineLevel="0" collapsed="false">
      <c r="A4321" s="8"/>
      <c r="B4321" s="8"/>
      <c r="C4321" s="8"/>
      <c r="D4321" s="8"/>
      <c r="E4321" s="8"/>
      <c r="F4321" s="8"/>
      <c r="G4321" s="8"/>
      <c r="H4321" s="8"/>
      <c r="I4321" s="8"/>
      <c r="J4321" s="8"/>
      <c r="K4321" s="9"/>
      <c r="L4321" s="9"/>
      <c r="M4321" s="9"/>
      <c r="N4321" s="9"/>
      <c r="O4321" s="9"/>
      <c r="P4321" s="9"/>
      <c r="Q4321" s="9"/>
      <c r="R4321" s="9" t="str">
        <f aca="false">IF(AND(A4321&lt;&gt;"",ISNUMBER(Q4321),ISNUMBER(L4321)),ROUND(Q4321-IF(ISNUMBER(N4321),N4321,0)-IF(ISNUMBER(O4321),O4321,0)+IF(ISNUMBER(P4321),P4321,0),2),"")</f>
        <v/>
      </c>
      <c r="S4321" s="9" t="str">
        <f aca="false">IF(R4321="","",ROUND(L4321-R4321,2))</f>
        <v/>
      </c>
      <c r="T4321" s="8" t="str">
        <f aca="false">IF(A4321="","",IF(S4321="","BYPASS",IF(ABS(S4321)&lt;=Summary!$B$2,"PASS","FAIL")))</f>
        <v/>
      </c>
      <c r="U4321" s="8" t="str">
        <f aca="false">IF(T4321="BYPASS",IF(NOT(ISNUMBER(Q4321)),"PreV_ETB missing","End_tr_balance missing"),IF(T4321="FAIL",IF(AND(ISNUMBER(K4321),ISNUMBER(L4321),ABS(L4321-(K4321-IF(ISNUMBER(N4321),N4321,0)-IF(ISNUMBER(O4321),O4321,0)+IF(ISNUMBER(P4321),P4321,0)))&lt;=Summary!$B$2),"Passes using beginning_balance - PreV_ETB differs from beginning_balance",IF(AND(ISNUMBER(O4321),O4321&lt;0,ABS(L4321-(Q4321-IF(ISNUMBER(N4321),N4321,0)+IF(ISNUMBER(P4321),P4321,0)))&lt;=Summary!$B$2),"Negative realized loss not applied - check sign",IF(R4321&lt;0,"Principal paid exceeds prior balance",IF(AND(L4321&gt;Q4321,NOT(ISNUMBER(P4321))),"Balance increased but no Deferred_interest reported",IF(L4321&gt;R4321,"Reported balance higher than expected (missing increase/OC build)","Reported balance lower than expected (missing decrease)"))))),""))</f>
        <v/>
      </c>
    </row>
    <row r="4322" customFormat="false" ht="15" hidden="false" customHeight="false" outlineLevel="0" collapsed="false">
      <c r="A4322" s="8"/>
      <c r="B4322" s="8"/>
      <c r="C4322" s="8"/>
      <c r="D4322" s="8"/>
      <c r="E4322" s="8"/>
      <c r="F4322" s="8"/>
      <c r="G4322" s="8"/>
      <c r="H4322" s="8"/>
      <c r="I4322" s="8"/>
      <c r="J4322" s="8"/>
      <c r="K4322" s="9"/>
      <c r="L4322" s="9"/>
      <c r="M4322" s="9"/>
      <c r="N4322" s="9"/>
      <c r="O4322" s="9"/>
      <c r="P4322" s="9"/>
      <c r="Q4322" s="9"/>
      <c r="R4322" s="9" t="str">
        <f aca="false">IF(AND(A4322&lt;&gt;"",ISNUMBER(Q4322),ISNUMBER(L4322)),ROUND(Q4322-IF(ISNUMBER(N4322),N4322,0)-IF(ISNUMBER(O4322),O4322,0)+IF(ISNUMBER(P4322),P4322,0),2),"")</f>
        <v/>
      </c>
      <c r="S4322" s="9" t="str">
        <f aca="false">IF(R4322="","",ROUND(L4322-R4322,2))</f>
        <v/>
      </c>
      <c r="T4322" s="8" t="str">
        <f aca="false">IF(A4322="","",IF(S4322="","BYPASS",IF(ABS(S4322)&lt;=Summary!$B$2,"PASS","FAIL")))</f>
        <v/>
      </c>
      <c r="U4322" s="8" t="str">
        <f aca="false">IF(T4322="BYPASS",IF(NOT(ISNUMBER(Q4322)),"PreV_ETB missing","End_tr_balance missing"),IF(T4322="FAIL",IF(AND(ISNUMBER(K4322),ISNUMBER(L4322),ABS(L4322-(K4322-IF(ISNUMBER(N4322),N4322,0)-IF(ISNUMBER(O4322),O4322,0)+IF(ISNUMBER(P4322),P4322,0)))&lt;=Summary!$B$2),"Passes using beginning_balance - PreV_ETB differs from beginning_balance",IF(AND(ISNUMBER(O4322),O4322&lt;0,ABS(L4322-(Q4322-IF(ISNUMBER(N4322),N4322,0)+IF(ISNUMBER(P4322),P4322,0)))&lt;=Summary!$B$2),"Negative realized loss not applied - check sign",IF(R4322&lt;0,"Principal paid exceeds prior balance",IF(AND(L4322&gt;Q4322,NOT(ISNUMBER(P4322))),"Balance increased but no Deferred_interest reported",IF(L4322&gt;R4322,"Reported balance higher than expected (missing increase/OC build)","Reported balance lower than expected (missing decrease)"))))),""))</f>
        <v/>
      </c>
    </row>
    <row r="4323" customFormat="false" ht="15" hidden="false" customHeight="false" outlineLevel="0" collapsed="false">
      <c r="A4323" s="8"/>
      <c r="B4323" s="8"/>
      <c r="C4323" s="8"/>
      <c r="D4323" s="8"/>
      <c r="E4323" s="8"/>
      <c r="F4323" s="8"/>
      <c r="G4323" s="8"/>
      <c r="H4323" s="8"/>
      <c r="I4323" s="8"/>
      <c r="J4323" s="8"/>
      <c r="K4323" s="9"/>
      <c r="L4323" s="9"/>
      <c r="M4323" s="9"/>
      <c r="N4323" s="9"/>
      <c r="O4323" s="9"/>
      <c r="P4323" s="9"/>
      <c r="Q4323" s="9"/>
      <c r="R4323" s="9" t="str">
        <f aca="false">IF(AND(A4323&lt;&gt;"",ISNUMBER(Q4323),ISNUMBER(L4323)),ROUND(Q4323-IF(ISNUMBER(N4323),N4323,0)-IF(ISNUMBER(O4323),O4323,0)+IF(ISNUMBER(P4323),P4323,0),2),"")</f>
        <v/>
      </c>
      <c r="S4323" s="9" t="str">
        <f aca="false">IF(R4323="","",ROUND(L4323-R4323,2))</f>
        <v/>
      </c>
      <c r="T4323" s="8" t="str">
        <f aca="false">IF(A4323="","",IF(S4323="","BYPASS",IF(ABS(S4323)&lt;=Summary!$B$2,"PASS","FAIL")))</f>
        <v/>
      </c>
      <c r="U4323" s="8" t="str">
        <f aca="false">IF(T4323="BYPASS",IF(NOT(ISNUMBER(Q4323)),"PreV_ETB missing","End_tr_balance missing"),IF(T4323="FAIL",IF(AND(ISNUMBER(K4323),ISNUMBER(L4323),ABS(L4323-(K4323-IF(ISNUMBER(N4323),N4323,0)-IF(ISNUMBER(O4323),O4323,0)+IF(ISNUMBER(P4323),P4323,0)))&lt;=Summary!$B$2),"Passes using beginning_balance - PreV_ETB differs from beginning_balance",IF(AND(ISNUMBER(O4323),O4323&lt;0,ABS(L4323-(Q4323-IF(ISNUMBER(N4323),N4323,0)+IF(ISNUMBER(P4323),P4323,0)))&lt;=Summary!$B$2),"Negative realized loss not applied - check sign",IF(R4323&lt;0,"Principal paid exceeds prior balance",IF(AND(L4323&gt;Q4323,NOT(ISNUMBER(P4323))),"Balance increased but no Deferred_interest reported",IF(L4323&gt;R4323,"Reported balance higher than expected (missing increase/OC build)","Reported balance lower than expected (missing decrease)"))))),""))</f>
        <v/>
      </c>
    </row>
    <row r="4324" customFormat="false" ht="15" hidden="false" customHeight="false" outlineLevel="0" collapsed="false">
      <c r="A4324" s="8"/>
      <c r="B4324" s="8"/>
      <c r="C4324" s="8"/>
      <c r="D4324" s="8"/>
      <c r="E4324" s="8"/>
      <c r="F4324" s="8"/>
      <c r="G4324" s="8"/>
      <c r="H4324" s="8"/>
      <c r="I4324" s="8"/>
      <c r="J4324" s="8"/>
      <c r="K4324" s="9"/>
      <c r="L4324" s="9"/>
      <c r="M4324" s="9"/>
      <c r="N4324" s="9"/>
      <c r="O4324" s="9"/>
      <c r="P4324" s="9"/>
      <c r="Q4324" s="9"/>
      <c r="R4324" s="9" t="str">
        <f aca="false">IF(AND(A4324&lt;&gt;"",ISNUMBER(Q4324),ISNUMBER(L4324)),ROUND(Q4324-IF(ISNUMBER(N4324),N4324,0)-IF(ISNUMBER(O4324),O4324,0)+IF(ISNUMBER(P4324),P4324,0),2),"")</f>
        <v/>
      </c>
      <c r="S4324" s="9" t="str">
        <f aca="false">IF(R4324="","",ROUND(L4324-R4324,2))</f>
        <v/>
      </c>
      <c r="T4324" s="8" t="str">
        <f aca="false">IF(A4324="","",IF(S4324="","BYPASS",IF(ABS(S4324)&lt;=Summary!$B$2,"PASS","FAIL")))</f>
        <v/>
      </c>
      <c r="U4324" s="8" t="str">
        <f aca="false">IF(T4324="BYPASS",IF(NOT(ISNUMBER(Q4324)),"PreV_ETB missing","End_tr_balance missing"),IF(T4324="FAIL",IF(AND(ISNUMBER(K4324),ISNUMBER(L4324),ABS(L4324-(K4324-IF(ISNUMBER(N4324),N4324,0)-IF(ISNUMBER(O4324),O4324,0)+IF(ISNUMBER(P4324),P4324,0)))&lt;=Summary!$B$2),"Passes using beginning_balance - PreV_ETB differs from beginning_balance",IF(AND(ISNUMBER(O4324),O4324&lt;0,ABS(L4324-(Q4324-IF(ISNUMBER(N4324),N4324,0)+IF(ISNUMBER(P4324),P4324,0)))&lt;=Summary!$B$2),"Negative realized loss not applied - check sign",IF(R4324&lt;0,"Principal paid exceeds prior balance",IF(AND(L4324&gt;Q4324,NOT(ISNUMBER(P4324))),"Balance increased but no Deferred_interest reported",IF(L4324&gt;R4324,"Reported balance higher than expected (missing increase/OC build)","Reported balance lower than expected (missing decrease)"))))),""))</f>
        <v/>
      </c>
    </row>
    <row r="4325" customFormat="false" ht="15" hidden="false" customHeight="false" outlineLevel="0" collapsed="false">
      <c r="A4325" s="8"/>
      <c r="B4325" s="8"/>
      <c r="C4325" s="8"/>
      <c r="D4325" s="8"/>
      <c r="E4325" s="8"/>
      <c r="F4325" s="8"/>
      <c r="G4325" s="8"/>
      <c r="H4325" s="8"/>
      <c r="I4325" s="8"/>
      <c r="J4325" s="8"/>
      <c r="K4325" s="9"/>
      <c r="L4325" s="9"/>
      <c r="M4325" s="9"/>
      <c r="N4325" s="9"/>
      <c r="O4325" s="9"/>
      <c r="P4325" s="9"/>
      <c r="Q4325" s="9"/>
      <c r="R4325" s="9" t="str">
        <f aca="false">IF(AND(A4325&lt;&gt;"",ISNUMBER(Q4325),ISNUMBER(L4325)),ROUND(Q4325-IF(ISNUMBER(N4325),N4325,0)-IF(ISNUMBER(O4325),O4325,0)+IF(ISNUMBER(P4325),P4325,0),2),"")</f>
        <v/>
      </c>
      <c r="S4325" s="9" t="str">
        <f aca="false">IF(R4325="","",ROUND(L4325-R4325,2))</f>
        <v/>
      </c>
      <c r="T4325" s="8" t="str">
        <f aca="false">IF(A4325="","",IF(S4325="","BYPASS",IF(ABS(S4325)&lt;=Summary!$B$2,"PASS","FAIL")))</f>
        <v/>
      </c>
      <c r="U4325" s="8" t="str">
        <f aca="false">IF(T4325="BYPASS",IF(NOT(ISNUMBER(Q4325)),"PreV_ETB missing","End_tr_balance missing"),IF(T4325="FAIL",IF(AND(ISNUMBER(K4325),ISNUMBER(L4325),ABS(L4325-(K4325-IF(ISNUMBER(N4325),N4325,0)-IF(ISNUMBER(O4325),O4325,0)+IF(ISNUMBER(P4325),P4325,0)))&lt;=Summary!$B$2),"Passes using beginning_balance - PreV_ETB differs from beginning_balance",IF(AND(ISNUMBER(O4325),O4325&lt;0,ABS(L4325-(Q4325-IF(ISNUMBER(N4325),N4325,0)+IF(ISNUMBER(P4325),P4325,0)))&lt;=Summary!$B$2),"Negative realized loss not applied - check sign",IF(R4325&lt;0,"Principal paid exceeds prior balance",IF(AND(L4325&gt;Q4325,NOT(ISNUMBER(P4325))),"Balance increased but no Deferred_interest reported",IF(L4325&gt;R4325,"Reported balance higher than expected (missing increase/OC build)","Reported balance lower than expected (missing decrease)"))))),""))</f>
        <v/>
      </c>
    </row>
    <row r="4326" customFormat="false" ht="15" hidden="false" customHeight="false" outlineLevel="0" collapsed="false">
      <c r="A4326" s="8"/>
      <c r="B4326" s="8"/>
      <c r="C4326" s="8"/>
      <c r="D4326" s="8"/>
      <c r="E4326" s="8"/>
      <c r="F4326" s="8"/>
      <c r="G4326" s="8"/>
      <c r="H4326" s="8"/>
      <c r="I4326" s="8"/>
      <c r="J4326" s="8"/>
      <c r="K4326" s="9"/>
      <c r="L4326" s="9"/>
      <c r="M4326" s="9"/>
      <c r="N4326" s="9"/>
      <c r="O4326" s="9"/>
      <c r="P4326" s="9"/>
      <c r="Q4326" s="9"/>
      <c r="R4326" s="9" t="str">
        <f aca="false">IF(AND(A4326&lt;&gt;"",ISNUMBER(Q4326),ISNUMBER(L4326)),ROUND(Q4326-IF(ISNUMBER(N4326),N4326,0)-IF(ISNUMBER(O4326),O4326,0)+IF(ISNUMBER(P4326),P4326,0),2),"")</f>
        <v/>
      </c>
      <c r="S4326" s="9" t="str">
        <f aca="false">IF(R4326="","",ROUND(L4326-R4326,2))</f>
        <v/>
      </c>
      <c r="T4326" s="8" t="str">
        <f aca="false">IF(A4326="","",IF(S4326="","BYPASS",IF(ABS(S4326)&lt;=Summary!$B$2,"PASS","FAIL")))</f>
        <v/>
      </c>
      <c r="U4326" s="8" t="str">
        <f aca="false">IF(T4326="BYPASS",IF(NOT(ISNUMBER(Q4326)),"PreV_ETB missing","End_tr_balance missing"),IF(T4326="FAIL",IF(AND(ISNUMBER(K4326),ISNUMBER(L4326),ABS(L4326-(K4326-IF(ISNUMBER(N4326),N4326,0)-IF(ISNUMBER(O4326),O4326,0)+IF(ISNUMBER(P4326),P4326,0)))&lt;=Summary!$B$2),"Passes using beginning_balance - PreV_ETB differs from beginning_balance",IF(AND(ISNUMBER(O4326),O4326&lt;0,ABS(L4326-(Q4326-IF(ISNUMBER(N4326),N4326,0)+IF(ISNUMBER(P4326),P4326,0)))&lt;=Summary!$B$2),"Negative realized loss not applied - check sign",IF(R4326&lt;0,"Principal paid exceeds prior balance",IF(AND(L4326&gt;Q4326,NOT(ISNUMBER(P4326))),"Balance increased but no Deferred_interest reported",IF(L4326&gt;R4326,"Reported balance higher than expected (missing increase/OC build)","Reported balance lower than expected (missing decrease)"))))),""))</f>
        <v/>
      </c>
    </row>
    <row r="4327" customFormat="false" ht="15" hidden="false" customHeight="false" outlineLevel="0" collapsed="false">
      <c r="A4327" s="8"/>
      <c r="B4327" s="8"/>
      <c r="C4327" s="8"/>
      <c r="D4327" s="8"/>
      <c r="E4327" s="8"/>
      <c r="F4327" s="8"/>
      <c r="G4327" s="8"/>
      <c r="H4327" s="8"/>
      <c r="I4327" s="8"/>
      <c r="J4327" s="8"/>
      <c r="K4327" s="9"/>
      <c r="L4327" s="9"/>
      <c r="M4327" s="9"/>
      <c r="N4327" s="9"/>
      <c r="O4327" s="9"/>
      <c r="P4327" s="9"/>
      <c r="Q4327" s="9"/>
      <c r="R4327" s="9" t="str">
        <f aca="false">IF(AND(A4327&lt;&gt;"",ISNUMBER(Q4327),ISNUMBER(L4327)),ROUND(Q4327-IF(ISNUMBER(N4327),N4327,0)-IF(ISNUMBER(O4327),O4327,0)+IF(ISNUMBER(P4327),P4327,0),2),"")</f>
        <v/>
      </c>
      <c r="S4327" s="9" t="str">
        <f aca="false">IF(R4327="","",ROUND(L4327-R4327,2))</f>
        <v/>
      </c>
      <c r="T4327" s="8" t="str">
        <f aca="false">IF(A4327="","",IF(S4327="","BYPASS",IF(ABS(S4327)&lt;=Summary!$B$2,"PASS","FAIL")))</f>
        <v/>
      </c>
      <c r="U4327" s="8" t="str">
        <f aca="false">IF(T4327="BYPASS",IF(NOT(ISNUMBER(Q4327)),"PreV_ETB missing","End_tr_balance missing"),IF(T4327="FAIL",IF(AND(ISNUMBER(K4327),ISNUMBER(L4327),ABS(L4327-(K4327-IF(ISNUMBER(N4327),N4327,0)-IF(ISNUMBER(O4327),O4327,0)+IF(ISNUMBER(P4327),P4327,0)))&lt;=Summary!$B$2),"Passes using beginning_balance - PreV_ETB differs from beginning_balance",IF(AND(ISNUMBER(O4327),O4327&lt;0,ABS(L4327-(Q4327-IF(ISNUMBER(N4327),N4327,0)+IF(ISNUMBER(P4327),P4327,0)))&lt;=Summary!$B$2),"Negative realized loss not applied - check sign",IF(R4327&lt;0,"Principal paid exceeds prior balance",IF(AND(L4327&gt;Q4327,NOT(ISNUMBER(P4327))),"Balance increased but no Deferred_interest reported",IF(L4327&gt;R4327,"Reported balance higher than expected (missing increase/OC build)","Reported balance lower than expected (missing decrease)"))))),""))</f>
        <v/>
      </c>
    </row>
    <row r="4328" customFormat="false" ht="15" hidden="false" customHeight="false" outlineLevel="0" collapsed="false">
      <c r="A4328" s="8"/>
      <c r="B4328" s="8"/>
      <c r="C4328" s="8"/>
      <c r="D4328" s="8"/>
      <c r="E4328" s="8"/>
      <c r="F4328" s="8"/>
      <c r="G4328" s="8"/>
      <c r="H4328" s="8"/>
      <c r="I4328" s="8"/>
      <c r="J4328" s="8"/>
      <c r="K4328" s="9"/>
      <c r="L4328" s="9"/>
      <c r="M4328" s="9"/>
      <c r="N4328" s="9"/>
      <c r="O4328" s="9"/>
      <c r="P4328" s="9"/>
      <c r="Q4328" s="9"/>
      <c r="R4328" s="9" t="str">
        <f aca="false">IF(AND(A4328&lt;&gt;"",ISNUMBER(Q4328),ISNUMBER(L4328)),ROUND(Q4328-IF(ISNUMBER(N4328),N4328,0)-IF(ISNUMBER(O4328),O4328,0)+IF(ISNUMBER(P4328),P4328,0),2),"")</f>
        <v/>
      </c>
      <c r="S4328" s="9" t="str">
        <f aca="false">IF(R4328="","",ROUND(L4328-R4328,2))</f>
        <v/>
      </c>
      <c r="T4328" s="8" t="str">
        <f aca="false">IF(A4328="","",IF(S4328="","BYPASS",IF(ABS(S4328)&lt;=Summary!$B$2,"PASS","FAIL")))</f>
        <v/>
      </c>
      <c r="U4328" s="8" t="str">
        <f aca="false">IF(T4328="BYPASS",IF(NOT(ISNUMBER(Q4328)),"PreV_ETB missing","End_tr_balance missing"),IF(T4328="FAIL",IF(AND(ISNUMBER(K4328),ISNUMBER(L4328),ABS(L4328-(K4328-IF(ISNUMBER(N4328),N4328,0)-IF(ISNUMBER(O4328),O4328,0)+IF(ISNUMBER(P4328),P4328,0)))&lt;=Summary!$B$2),"Passes using beginning_balance - PreV_ETB differs from beginning_balance",IF(AND(ISNUMBER(O4328),O4328&lt;0,ABS(L4328-(Q4328-IF(ISNUMBER(N4328),N4328,0)+IF(ISNUMBER(P4328),P4328,0)))&lt;=Summary!$B$2),"Negative realized loss not applied - check sign",IF(R4328&lt;0,"Principal paid exceeds prior balance",IF(AND(L4328&gt;Q4328,NOT(ISNUMBER(P4328))),"Balance increased but no Deferred_interest reported",IF(L4328&gt;R4328,"Reported balance higher than expected (missing increase/OC build)","Reported balance lower than expected (missing decrease)"))))),""))</f>
        <v/>
      </c>
    </row>
    <row r="4329" customFormat="false" ht="15" hidden="false" customHeight="false" outlineLevel="0" collapsed="false">
      <c r="A4329" s="8"/>
      <c r="B4329" s="8"/>
      <c r="C4329" s="8"/>
      <c r="D4329" s="8"/>
      <c r="E4329" s="8"/>
      <c r="F4329" s="8"/>
      <c r="G4329" s="8"/>
      <c r="H4329" s="8"/>
      <c r="I4329" s="8"/>
      <c r="J4329" s="8"/>
      <c r="K4329" s="9"/>
      <c r="L4329" s="9"/>
      <c r="M4329" s="9"/>
      <c r="N4329" s="9"/>
      <c r="O4329" s="9"/>
      <c r="P4329" s="9"/>
      <c r="Q4329" s="9"/>
      <c r="R4329" s="9" t="str">
        <f aca="false">IF(AND(A4329&lt;&gt;"",ISNUMBER(Q4329),ISNUMBER(L4329)),ROUND(Q4329-IF(ISNUMBER(N4329),N4329,0)-IF(ISNUMBER(O4329),O4329,0)+IF(ISNUMBER(P4329),P4329,0),2),"")</f>
        <v/>
      </c>
      <c r="S4329" s="9" t="str">
        <f aca="false">IF(R4329="","",ROUND(L4329-R4329,2))</f>
        <v/>
      </c>
      <c r="T4329" s="8" t="str">
        <f aca="false">IF(A4329="","",IF(S4329="","BYPASS",IF(ABS(S4329)&lt;=Summary!$B$2,"PASS","FAIL")))</f>
        <v/>
      </c>
      <c r="U4329" s="8" t="str">
        <f aca="false">IF(T4329="BYPASS",IF(NOT(ISNUMBER(Q4329)),"PreV_ETB missing","End_tr_balance missing"),IF(T4329="FAIL",IF(AND(ISNUMBER(K4329),ISNUMBER(L4329),ABS(L4329-(K4329-IF(ISNUMBER(N4329),N4329,0)-IF(ISNUMBER(O4329),O4329,0)+IF(ISNUMBER(P4329),P4329,0)))&lt;=Summary!$B$2),"Passes using beginning_balance - PreV_ETB differs from beginning_balance",IF(AND(ISNUMBER(O4329),O4329&lt;0,ABS(L4329-(Q4329-IF(ISNUMBER(N4329),N4329,0)+IF(ISNUMBER(P4329),P4329,0)))&lt;=Summary!$B$2),"Negative realized loss not applied - check sign",IF(R4329&lt;0,"Principal paid exceeds prior balance",IF(AND(L4329&gt;Q4329,NOT(ISNUMBER(P4329))),"Balance increased but no Deferred_interest reported",IF(L4329&gt;R4329,"Reported balance higher than expected (missing increase/OC build)","Reported balance lower than expected (missing decrease)"))))),""))</f>
        <v/>
      </c>
    </row>
    <row r="4330" customFormat="false" ht="15" hidden="false" customHeight="false" outlineLevel="0" collapsed="false">
      <c r="A4330" s="8"/>
      <c r="B4330" s="8"/>
      <c r="C4330" s="8"/>
      <c r="D4330" s="8"/>
      <c r="E4330" s="8"/>
      <c r="F4330" s="8"/>
      <c r="G4330" s="8"/>
      <c r="H4330" s="8"/>
      <c r="I4330" s="8"/>
      <c r="J4330" s="8"/>
      <c r="K4330" s="9"/>
      <c r="L4330" s="9"/>
      <c r="M4330" s="9"/>
      <c r="N4330" s="9"/>
      <c r="O4330" s="9"/>
      <c r="P4330" s="9"/>
      <c r="Q4330" s="9"/>
      <c r="R4330" s="9" t="str">
        <f aca="false">IF(AND(A4330&lt;&gt;"",ISNUMBER(Q4330),ISNUMBER(L4330)),ROUND(Q4330-IF(ISNUMBER(N4330),N4330,0)-IF(ISNUMBER(O4330),O4330,0)+IF(ISNUMBER(P4330),P4330,0),2),"")</f>
        <v/>
      </c>
      <c r="S4330" s="9" t="str">
        <f aca="false">IF(R4330="","",ROUND(L4330-R4330,2))</f>
        <v/>
      </c>
      <c r="T4330" s="8" t="str">
        <f aca="false">IF(A4330="","",IF(S4330="","BYPASS",IF(ABS(S4330)&lt;=Summary!$B$2,"PASS","FAIL")))</f>
        <v/>
      </c>
      <c r="U4330" s="8" t="str">
        <f aca="false">IF(T4330="BYPASS",IF(NOT(ISNUMBER(Q4330)),"PreV_ETB missing","End_tr_balance missing"),IF(T4330="FAIL",IF(AND(ISNUMBER(K4330),ISNUMBER(L4330),ABS(L4330-(K4330-IF(ISNUMBER(N4330),N4330,0)-IF(ISNUMBER(O4330),O4330,0)+IF(ISNUMBER(P4330),P4330,0)))&lt;=Summary!$B$2),"Passes using beginning_balance - PreV_ETB differs from beginning_balance",IF(AND(ISNUMBER(O4330),O4330&lt;0,ABS(L4330-(Q4330-IF(ISNUMBER(N4330),N4330,0)+IF(ISNUMBER(P4330),P4330,0)))&lt;=Summary!$B$2),"Negative realized loss not applied - check sign",IF(R4330&lt;0,"Principal paid exceeds prior balance",IF(AND(L4330&gt;Q4330,NOT(ISNUMBER(P4330))),"Balance increased but no Deferred_interest reported",IF(L4330&gt;R4330,"Reported balance higher than expected (missing increase/OC build)","Reported balance lower than expected (missing decrease)"))))),""))</f>
        <v/>
      </c>
    </row>
    <row r="4331" customFormat="false" ht="15" hidden="false" customHeight="false" outlineLevel="0" collapsed="false">
      <c r="A4331" s="8"/>
      <c r="B4331" s="8"/>
      <c r="C4331" s="8"/>
      <c r="D4331" s="8"/>
      <c r="E4331" s="8"/>
      <c r="F4331" s="8"/>
      <c r="G4331" s="8"/>
      <c r="H4331" s="8"/>
      <c r="I4331" s="8"/>
      <c r="J4331" s="8"/>
      <c r="K4331" s="9"/>
      <c r="L4331" s="9"/>
      <c r="M4331" s="9"/>
      <c r="N4331" s="9"/>
      <c r="O4331" s="9"/>
      <c r="P4331" s="9"/>
      <c r="Q4331" s="9"/>
      <c r="R4331" s="9" t="str">
        <f aca="false">IF(AND(A4331&lt;&gt;"",ISNUMBER(Q4331),ISNUMBER(L4331)),ROUND(Q4331-IF(ISNUMBER(N4331),N4331,0)-IF(ISNUMBER(O4331),O4331,0)+IF(ISNUMBER(P4331),P4331,0),2),"")</f>
        <v/>
      </c>
      <c r="S4331" s="9" t="str">
        <f aca="false">IF(R4331="","",ROUND(L4331-R4331,2))</f>
        <v/>
      </c>
      <c r="T4331" s="8" t="str">
        <f aca="false">IF(A4331="","",IF(S4331="","BYPASS",IF(ABS(S4331)&lt;=Summary!$B$2,"PASS","FAIL")))</f>
        <v/>
      </c>
      <c r="U4331" s="8" t="str">
        <f aca="false">IF(T4331="BYPASS",IF(NOT(ISNUMBER(Q4331)),"PreV_ETB missing","End_tr_balance missing"),IF(T4331="FAIL",IF(AND(ISNUMBER(K4331),ISNUMBER(L4331),ABS(L4331-(K4331-IF(ISNUMBER(N4331),N4331,0)-IF(ISNUMBER(O4331),O4331,0)+IF(ISNUMBER(P4331),P4331,0)))&lt;=Summary!$B$2),"Passes using beginning_balance - PreV_ETB differs from beginning_balance",IF(AND(ISNUMBER(O4331),O4331&lt;0,ABS(L4331-(Q4331-IF(ISNUMBER(N4331),N4331,0)+IF(ISNUMBER(P4331),P4331,0)))&lt;=Summary!$B$2),"Negative realized loss not applied - check sign",IF(R4331&lt;0,"Principal paid exceeds prior balance",IF(AND(L4331&gt;Q4331,NOT(ISNUMBER(P4331))),"Balance increased but no Deferred_interest reported",IF(L4331&gt;R4331,"Reported balance higher than expected (missing increase/OC build)","Reported balance lower than expected (missing decrease)"))))),""))</f>
        <v/>
      </c>
    </row>
    <row r="4332" customFormat="false" ht="15" hidden="false" customHeight="false" outlineLevel="0" collapsed="false">
      <c r="A4332" s="8"/>
      <c r="B4332" s="8"/>
      <c r="C4332" s="8"/>
      <c r="D4332" s="8"/>
      <c r="E4332" s="8"/>
      <c r="F4332" s="8"/>
      <c r="G4332" s="8"/>
      <c r="H4332" s="8"/>
      <c r="I4332" s="8"/>
      <c r="J4332" s="8"/>
      <c r="K4332" s="9"/>
      <c r="L4332" s="9"/>
      <c r="M4332" s="9"/>
      <c r="N4332" s="9"/>
      <c r="O4332" s="9"/>
      <c r="P4332" s="9"/>
      <c r="Q4332" s="9"/>
      <c r="R4332" s="9" t="str">
        <f aca="false">IF(AND(A4332&lt;&gt;"",ISNUMBER(Q4332),ISNUMBER(L4332)),ROUND(Q4332-IF(ISNUMBER(N4332),N4332,0)-IF(ISNUMBER(O4332),O4332,0)+IF(ISNUMBER(P4332),P4332,0),2),"")</f>
        <v/>
      </c>
      <c r="S4332" s="9" t="str">
        <f aca="false">IF(R4332="","",ROUND(L4332-R4332,2))</f>
        <v/>
      </c>
      <c r="T4332" s="8" t="str">
        <f aca="false">IF(A4332="","",IF(S4332="","BYPASS",IF(ABS(S4332)&lt;=Summary!$B$2,"PASS","FAIL")))</f>
        <v/>
      </c>
      <c r="U4332" s="8" t="str">
        <f aca="false">IF(T4332="BYPASS",IF(NOT(ISNUMBER(Q4332)),"PreV_ETB missing","End_tr_balance missing"),IF(T4332="FAIL",IF(AND(ISNUMBER(K4332),ISNUMBER(L4332),ABS(L4332-(K4332-IF(ISNUMBER(N4332),N4332,0)-IF(ISNUMBER(O4332),O4332,0)+IF(ISNUMBER(P4332),P4332,0)))&lt;=Summary!$B$2),"Passes using beginning_balance - PreV_ETB differs from beginning_balance",IF(AND(ISNUMBER(O4332),O4332&lt;0,ABS(L4332-(Q4332-IF(ISNUMBER(N4332),N4332,0)+IF(ISNUMBER(P4332),P4332,0)))&lt;=Summary!$B$2),"Negative realized loss not applied - check sign",IF(R4332&lt;0,"Principal paid exceeds prior balance",IF(AND(L4332&gt;Q4332,NOT(ISNUMBER(P4332))),"Balance increased but no Deferred_interest reported",IF(L4332&gt;R4332,"Reported balance higher than expected (missing increase/OC build)","Reported balance lower than expected (missing decrease)"))))),""))</f>
        <v/>
      </c>
    </row>
    <row r="4333" customFormat="false" ht="15" hidden="false" customHeight="false" outlineLevel="0" collapsed="false">
      <c r="A4333" s="8"/>
      <c r="B4333" s="8"/>
      <c r="C4333" s="8"/>
      <c r="D4333" s="8"/>
      <c r="E4333" s="8"/>
      <c r="F4333" s="8"/>
      <c r="G4333" s="8"/>
      <c r="H4333" s="8"/>
      <c r="I4333" s="8"/>
      <c r="J4333" s="8"/>
      <c r="K4333" s="9"/>
      <c r="L4333" s="9"/>
      <c r="M4333" s="9"/>
      <c r="N4333" s="9"/>
      <c r="O4333" s="9"/>
      <c r="P4333" s="9"/>
      <c r="Q4333" s="9"/>
      <c r="R4333" s="9" t="str">
        <f aca="false">IF(AND(A4333&lt;&gt;"",ISNUMBER(Q4333),ISNUMBER(L4333)),ROUND(Q4333-IF(ISNUMBER(N4333),N4333,0)-IF(ISNUMBER(O4333),O4333,0)+IF(ISNUMBER(P4333),P4333,0),2),"")</f>
        <v/>
      </c>
      <c r="S4333" s="9" t="str">
        <f aca="false">IF(R4333="","",ROUND(L4333-R4333,2))</f>
        <v/>
      </c>
      <c r="T4333" s="8" t="str">
        <f aca="false">IF(A4333="","",IF(S4333="","BYPASS",IF(ABS(S4333)&lt;=Summary!$B$2,"PASS","FAIL")))</f>
        <v/>
      </c>
      <c r="U4333" s="8" t="str">
        <f aca="false">IF(T4333="BYPASS",IF(NOT(ISNUMBER(Q4333)),"PreV_ETB missing","End_tr_balance missing"),IF(T4333="FAIL",IF(AND(ISNUMBER(K4333),ISNUMBER(L4333),ABS(L4333-(K4333-IF(ISNUMBER(N4333),N4333,0)-IF(ISNUMBER(O4333),O4333,0)+IF(ISNUMBER(P4333),P4333,0)))&lt;=Summary!$B$2),"Passes using beginning_balance - PreV_ETB differs from beginning_balance",IF(AND(ISNUMBER(O4333),O4333&lt;0,ABS(L4333-(Q4333-IF(ISNUMBER(N4333),N4333,0)+IF(ISNUMBER(P4333),P4333,0)))&lt;=Summary!$B$2),"Negative realized loss not applied - check sign",IF(R4333&lt;0,"Principal paid exceeds prior balance",IF(AND(L4333&gt;Q4333,NOT(ISNUMBER(P4333))),"Balance increased but no Deferred_interest reported",IF(L4333&gt;R4333,"Reported balance higher than expected (missing increase/OC build)","Reported balance lower than expected (missing decrease)"))))),""))</f>
        <v/>
      </c>
    </row>
    <row r="4334" customFormat="false" ht="15" hidden="false" customHeight="false" outlineLevel="0" collapsed="false">
      <c r="A4334" s="8"/>
      <c r="B4334" s="8"/>
      <c r="C4334" s="8"/>
      <c r="D4334" s="8"/>
      <c r="E4334" s="8"/>
      <c r="F4334" s="8"/>
      <c r="G4334" s="8"/>
      <c r="H4334" s="8"/>
      <c r="I4334" s="8"/>
      <c r="J4334" s="8"/>
      <c r="K4334" s="9"/>
      <c r="L4334" s="9"/>
      <c r="M4334" s="9"/>
      <c r="N4334" s="9"/>
      <c r="O4334" s="9"/>
      <c r="P4334" s="9"/>
      <c r="Q4334" s="9"/>
      <c r="R4334" s="9" t="str">
        <f aca="false">IF(AND(A4334&lt;&gt;"",ISNUMBER(Q4334),ISNUMBER(L4334)),ROUND(Q4334-IF(ISNUMBER(N4334),N4334,0)-IF(ISNUMBER(O4334),O4334,0)+IF(ISNUMBER(P4334),P4334,0),2),"")</f>
        <v/>
      </c>
      <c r="S4334" s="9" t="str">
        <f aca="false">IF(R4334="","",ROUND(L4334-R4334,2))</f>
        <v/>
      </c>
      <c r="T4334" s="8" t="str">
        <f aca="false">IF(A4334="","",IF(S4334="","BYPASS",IF(ABS(S4334)&lt;=Summary!$B$2,"PASS","FAIL")))</f>
        <v/>
      </c>
      <c r="U4334" s="8" t="str">
        <f aca="false">IF(T4334="BYPASS",IF(NOT(ISNUMBER(Q4334)),"PreV_ETB missing","End_tr_balance missing"),IF(T4334="FAIL",IF(AND(ISNUMBER(K4334),ISNUMBER(L4334),ABS(L4334-(K4334-IF(ISNUMBER(N4334),N4334,0)-IF(ISNUMBER(O4334),O4334,0)+IF(ISNUMBER(P4334),P4334,0)))&lt;=Summary!$B$2),"Passes using beginning_balance - PreV_ETB differs from beginning_balance",IF(AND(ISNUMBER(O4334),O4334&lt;0,ABS(L4334-(Q4334-IF(ISNUMBER(N4334),N4334,0)+IF(ISNUMBER(P4334),P4334,0)))&lt;=Summary!$B$2),"Negative realized loss not applied - check sign",IF(R4334&lt;0,"Principal paid exceeds prior balance",IF(AND(L4334&gt;Q4334,NOT(ISNUMBER(P4334))),"Balance increased but no Deferred_interest reported",IF(L4334&gt;R4334,"Reported balance higher than expected (missing increase/OC build)","Reported balance lower than expected (missing decrease)"))))),""))</f>
        <v/>
      </c>
    </row>
    <row r="4335" customFormat="false" ht="15" hidden="false" customHeight="false" outlineLevel="0" collapsed="false">
      <c r="A4335" s="8"/>
      <c r="B4335" s="8"/>
      <c r="C4335" s="8"/>
      <c r="D4335" s="8"/>
      <c r="E4335" s="8"/>
      <c r="F4335" s="8"/>
      <c r="G4335" s="8"/>
      <c r="H4335" s="8"/>
      <c r="I4335" s="8"/>
      <c r="J4335" s="8"/>
      <c r="K4335" s="9"/>
      <c r="L4335" s="9"/>
      <c r="M4335" s="9"/>
      <c r="N4335" s="9"/>
      <c r="O4335" s="9"/>
      <c r="P4335" s="9"/>
      <c r="Q4335" s="9"/>
      <c r="R4335" s="9" t="str">
        <f aca="false">IF(AND(A4335&lt;&gt;"",ISNUMBER(Q4335),ISNUMBER(L4335)),ROUND(Q4335-IF(ISNUMBER(N4335),N4335,0)-IF(ISNUMBER(O4335),O4335,0)+IF(ISNUMBER(P4335),P4335,0),2),"")</f>
        <v/>
      </c>
      <c r="S4335" s="9" t="str">
        <f aca="false">IF(R4335="","",ROUND(L4335-R4335,2))</f>
        <v/>
      </c>
      <c r="T4335" s="8" t="str">
        <f aca="false">IF(A4335="","",IF(S4335="","BYPASS",IF(ABS(S4335)&lt;=Summary!$B$2,"PASS","FAIL")))</f>
        <v/>
      </c>
      <c r="U4335" s="8" t="str">
        <f aca="false">IF(T4335="BYPASS",IF(NOT(ISNUMBER(Q4335)),"PreV_ETB missing","End_tr_balance missing"),IF(T4335="FAIL",IF(AND(ISNUMBER(K4335),ISNUMBER(L4335),ABS(L4335-(K4335-IF(ISNUMBER(N4335),N4335,0)-IF(ISNUMBER(O4335),O4335,0)+IF(ISNUMBER(P4335),P4335,0)))&lt;=Summary!$B$2),"Passes using beginning_balance - PreV_ETB differs from beginning_balance",IF(AND(ISNUMBER(O4335),O4335&lt;0,ABS(L4335-(Q4335-IF(ISNUMBER(N4335),N4335,0)+IF(ISNUMBER(P4335),P4335,0)))&lt;=Summary!$B$2),"Negative realized loss not applied - check sign",IF(R4335&lt;0,"Principal paid exceeds prior balance",IF(AND(L4335&gt;Q4335,NOT(ISNUMBER(P4335))),"Balance increased but no Deferred_interest reported",IF(L4335&gt;R4335,"Reported balance higher than expected (missing increase/OC build)","Reported balance lower than expected (missing decrease)"))))),""))</f>
        <v/>
      </c>
    </row>
    <row r="4336" customFormat="false" ht="15" hidden="false" customHeight="false" outlineLevel="0" collapsed="false">
      <c r="A4336" s="8"/>
      <c r="B4336" s="8"/>
      <c r="C4336" s="8"/>
      <c r="D4336" s="8"/>
      <c r="E4336" s="8"/>
      <c r="F4336" s="8"/>
      <c r="G4336" s="8"/>
      <c r="H4336" s="8"/>
      <c r="I4336" s="8"/>
      <c r="J4336" s="8"/>
      <c r="K4336" s="9"/>
      <c r="L4336" s="9"/>
      <c r="M4336" s="9"/>
      <c r="N4336" s="9"/>
      <c r="O4336" s="9"/>
      <c r="P4336" s="9"/>
      <c r="Q4336" s="9"/>
      <c r="R4336" s="9" t="str">
        <f aca="false">IF(AND(A4336&lt;&gt;"",ISNUMBER(Q4336),ISNUMBER(L4336)),ROUND(Q4336-IF(ISNUMBER(N4336),N4336,0)-IF(ISNUMBER(O4336),O4336,0)+IF(ISNUMBER(P4336),P4336,0),2),"")</f>
        <v/>
      </c>
      <c r="S4336" s="9" t="str">
        <f aca="false">IF(R4336="","",ROUND(L4336-R4336,2))</f>
        <v/>
      </c>
      <c r="T4336" s="8" t="str">
        <f aca="false">IF(A4336="","",IF(S4336="","BYPASS",IF(ABS(S4336)&lt;=Summary!$B$2,"PASS","FAIL")))</f>
        <v/>
      </c>
      <c r="U4336" s="8" t="str">
        <f aca="false">IF(T4336="BYPASS",IF(NOT(ISNUMBER(Q4336)),"PreV_ETB missing","End_tr_balance missing"),IF(T4336="FAIL",IF(AND(ISNUMBER(K4336),ISNUMBER(L4336),ABS(L4336-(K4336-IF(ISNUMBER(N4336),N4336,0)-IF(ISNUMBER(O4336),O4336,0)+IF(ISNUMBER(P4336),P4336,0)))&lt;=Summary!$B$2),"Passes using beginning_balance - PreV_ETB differs from beginning_balance",IF(AND(ISNUMBER(O4336),O4336&lt;0,ABS(L4336-(Q4336-IF(ISNUMBER(N4336),N4336,0)+IF(ISNUMBER(P4336),P4336,0)))&lt;=Summary!$B$2),"Negative realized loss not applied - check sign",IF(R4336&lt;0,"Principal paid exceeds prior balance",IF(AND(L4336&gt;Q4336,NOT(ISNUMBER(P4336))),"Balance increased but no Deferred_interest reported",IF(L4336&gt;R4336,"Reported balance higher than expected (missing increase/OC build)","Reported balance lower than expected (missing decrease)"))))),""))</f>
        <v/>
      </c>
    </row>
    <row r="4337" customFormat="false" ht="15" hidden="false" customHeight="false" outlineLevel="0" collapsed="false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9"/>
      <c r="L4337" s="9"/>
      <c r="M4337" s="9"/>
      <c r="N4337" s="9"/>
      <c r="O4337" s="9"/>
      <c r="P4337" s="9"/>
      <c r="Q4337" s="9"/>
      <c r="R4337" s="9" t="str">
        <f aca="false">IF(AND(A4337&lt;&gt;"",ISNUMBER(Q4337),ISNUMBER(L4337)),ROUND(Q4337-IF(ISNUMBER(N4337),N4337,0)-IF(ISNUMBER(O4337),O4337,0)+IF(ISNUMBER(P4337),P4337,0),2),"")</f>
        <v/>
      </c>
      <c r="S4337" s="9" t="str">
        <f aca="false">IF(R4337="","",ROUND(L4337-R4337,2))</f>
        <v/>
      </c>
      <c r="T4337" s="8" t="str">
        <f aca="false">IF(A4337="","",IF(S4337="","BYPASS",IF(ABS(S4337)&lt;=Summary!$B$2,"PASS","FAIL")))</f>
        <v/>
      </c>
      <c r="U4337" s="8" t="str">
        <f aca="false">IF(T4337="BYPASS",IF(NOT(ISNUMBER(Q4337)),"PreV_ETB missing","End_tr_balance missing"),IF(T4337="FAIL",IF(AND(ISNUMBER(K4337),ISNUMBER(L4337),ABS(L4337-(K4337-IF(ISNUMBER(N4337),N4337,0)-IF(ISNUMBER(O4337),O4337,0)+IF(ISNUMBER(P4337),P4337,0)))&lt;=Summary!$B$2),"Passes using beginning_balance - PreV_ETB differs from beginning_balance",IF(AND(ISNUMBER(O4337),O4337&lt;0,ABS(L4337-(Q4337-IF(ISNUMBER(N4337),N4337,0)+IF(ISNUMBER(P4337),P4337,0)))&lt;=Summary!$B$2),"Negative realized loss not applied - check sign",IF(R4337&lt;0,"Principal paid exceeds prior balance",IF(AND(L4337&gt;Q4337,NOT(ISNUMBER(P4337))),"Balance increased but no Deferred_interest reported",IF(L4337&gt;R4337,"Reported balance higher than expected (missing increase/OC build)","Reported balance lower than expected (missing decrease)"))))),""))</f>
        <v/>
      </c>
    </row>
    <row r="4338" customFormat="false" ht="15" hidden="false" customHeight="false" outlineLevel="0" collapsed="false">
      <c r="A4338" s="8"/>
      <c r="B4338" s="8"/>
      <c r="C4338" s="8"/>
      <c r="D4338" s="8"/>
      <c r="E4338" s="8"/>
      <c r="F4338" s="8"/>
      <c r="G4338" s="8"/>
      <c r="H4338" s="8"/>
      <c r="I4338" s="8"/>
      <c r="J4338" s="8"/>
      <c r="K4338" s="9"/>
      <c r="L4338" s="9"/>
      <c r="M4338" s="9"/>
      <c r="N4338" s="9"/>
      <c r="O4338" s="9"/>
      <c r="P4338" s="9"/>
      <c r="Q4338" s="9"/>
      <c r="R4338" s="9" t="str">
        <f aca="false">IF(AND(A4338&lt;&gt;"",ISNUMBER(Q4338),ISNUMBER(L4338)),ROUND(Q4338-IF(ISNUMBER(N4338),N4338,0)-IF(ISNUMBER(O4338),O4338,0)+IF(ISNUMBER(P4338),P4338,0),2),"")</f>
        <v/>
      </c>
      <c r="S4338" s="9" t="str">
        <f aca="false">IF(R4338="","",ROUND(L4338-R4338,2))</f>
        <v/>
      </c>
      <c r="T4338" s="8" t="str">
        <f aca="false">IF(A4338="","",IF(S4338="","BYPASS",IF(ABS(S4338)&lt;=Summary!$B$2,"PASS","FAIL")))</f>
        <v/>
      </c>
      <c r="U4338" s="8" t="str">
        <f aca="false">IF(T4338="BYPASS",IF(NOT(ISNUMBER(Q4338)),"PreV_ETB missing","End_tr_balance missing"),IF(T4338="FAIL",IF(AND(ISNUMBER(K4338),ISNUMBER(L4338),ABS(L4338-(K4338-IF(ISNUMBER(N4338),N4338,0)-IF(ISNUMBER(O4338),O4338,0)+IF(ISNUMBER(P4338),P4338,0)))&lt;=Summary!$B$2),"Passes using beginning_balance - PreV_ETB differs from beginning_balance",IF(AND(ISNUMBER(O4338),O4338&lt;0,ABS(L4338-(Q4338-IF(ISNUMBER(N4338),N4338,0)+IF(ISNUMBER(P4338),P4338,0)))&lt;=Summary!$B$2),"Negative realized loss not applied - check sign",IF(R4338&lt;0,"Principal paid exceeds prior balance",IF(AND(L4338&gt;Q4338,NOT(ISNUMBER(P4338))),"Balance increased but no Deferred_interest reported",IF(L4338&gt;R4338,"Reported balance higher than expected (missing increase/OC build)","Reported balance lower than expected (missing decrease)"))))),""))</f>
        <v/>
      </c>
    </row>
    <row r="4339" customFormat="false" ht="15" hidden="false" customHeight="false" outlineLevel="0" collapsed="false">
      <c r="A4339" s="8"/>
      <c r="B4339" s="8"/>
      <c r="C4339" s="8"/>
      <c r="D4339" s="8"/>
      <c r="E4339" s="8"/>
      <c r="F4339" s="8"/>
      <c r="G4339" s="8"/>
      <c r="H4339" s="8"/>
      <c r="I4339" s="8"/>
      <c r="J4339" s="8"/>
      <c r="K4339" s="9"/>
      <c r="L4339" s="9"/>
      <c r="M4339" s="9"/>
      <c r="N4339" s="9"/>
      <c r="O4339" s="9"/>
      <c r="P4339" s="9"/>
      <c r="Q4339" s="9"/>
      <c r="R4339" s="9" t="str">
        <f aca="false">IF(AND(A4339&lt;&gt;"",ISNUMBER(Q4339),ISNUMBER(L4339)),ROUND(Q4339-IF(ISNUMBER(N4339),N4339,0)-IF(ISNUMBER(O4339),O4339,0)+IF(ISNUMBER(P4339),P4339,0),2),"")</f>
        <v/>
      </c>
      <c r="S4339" s="9" t="str">
        <f aca="false">IF(R4339="","",ROUND(L4339-R4339,2))</f>
        <v/>
      </c>
      <c r="T4339" s="8" t="str">
        <f aca="false">IF(A4339="","",IF(S4339="","BYPASS",IF(ABS(S4339)&lt;=Summary!$B$2,"PASS","FAIL")))</f>
        <v/>
      </c>
      <c r="U4339" s="8" t="str">
        <f aca="false">IF(T4339="BYPASS",IF(NOT(ISNUMBER(Q4339)),"PreV_ETB missing","End_tr_balance missing"),IF(T4339="FAIL",IF(AND(ISNUMBER(K4339),ISNUMBER(L4339),ABS(L4339-(K4339-IF(ISNUMBER(N4339),N4339,0)-IF(ISNUMBER(O4339),O4339,0)+IF(ISNUMBER(P4339),P4339,0)))&lt;=Summary!$B$2),"Passes using beginning_balance - PreV_ETB differs from beginning_balance",IF(AND(ISNUMBER(O4339),O4339&lt;0,ABS(L4339-(Q4339-IF(ISNUMBER(N4339),N4339,0)+IF(ISNUMBER(P4339),P4339,0)))&lt;=Summary!$B$2),"Negative realized loss not applied - check sign",IF(R4339&lt;0,"Principal paid exceeds prior balance",IF(AND(L4339&gt;Q4339,NOT(ISNUMBER(P4339))),"Balance increased but no Deferred_interest reported",IF(L4339&gt;R4339,"Reported balance higher than expected (missing increase/OC build)","Reported balance lower than expected (missing decrease)"))))),""))</f>
        <v/>
      </c>
    </row>
    <row r="4340" customFormat="false" ht="15" hidden="false" customHeight="false" outlineLevel="0" collapsed="false">
      <c r="A4340" s="8"/>
      <c r="B4340" s="8"/>
      <c r="C4340" s="8"/>
      <c r="D4340" s="8"/>
      <c r="E4340" s="8"/>
      <c r="F4340" s="8"/>
      <c r="G4340" s="8"/>
      <c r="H4340" s="8"/>
      <c r="I4340" s="8"/>
      <c r="J4340" s="8"/>
      <c r="K4340" s="9"/>
      <c r="L4340" s="9"/>
      <c r="M4340" s="9"/>
      <c r="N4340" s="9"/>
      <c r="O4340" s="9"/>
      <c r="P4340" s="9"/>
      <c r="Q4340" s="9"/>
      <c r="R4340" s="9" t="str">
        <f aca="false">IF(AND(A4340&lt;&gt;"",ISNUMBER(Q4340),ISNUMBER(L4340)),ROUND(Q4340-IF(ISNUMBER(N4340),N4340,0)-IF(ISNUMBER(O4340),O4340,0)+IF(ISNUMBER(P4340),P4340,0),2),"")</f>
        <v/>
      </c>
      <c r="S4340" s="9" t="str">
        <f aca="false">IF(R4340="","",ROUND(L4340-R4340,2))</f>
        <v/>
      </c>
      <c r="T4340" s="8" t="str">
        <f aca="false">IF(A4340="","",IF(S4340="","BYPASS",IF(ABS(S4340)&lt;=Summary!$B$2,"PASS","FAIL")))</f>
        <v/>
      </c>
      <c r="U4340" s="8" t="str">
        <f aca="false">IF(T4340="BYPASS",IF(NOT(ISNUMBER(Q4340)),"PreV_ETB missing","End_tr_balance missing"),IF(T4340="FAIL",IF(AND(ISNUMBER(K4340),ISNUMBER(L4340),ABS(L4340-(K4340-IF(ISNUMBER(N4340),N4340,0)-IF(ISNUMBER(O4340),O4340,0)+IF(ISNUMBER(P4340),P4340,0)))&lt;=Summary!$B$2),"Passes using beginning_balance - PreV_ETB differs from beginning_balance",IF(AND(ISNUMBER(O4340),O4340&lt;0,ABS(L4340-(Q4340-IF(ISNUMBER(N4340),N4340,0)+IF(ISNUMBER(P4340),P4340,0)))&lt;=Summary!$B$2),"Negative realized loss not applied - check sign",IF(R4340&lt;0,"Principal paid exceeds prior balance",IF(AND(L4340&gt;Q4340,NOT(ISNUMBER(P4340))),"Balance increased but no Deferred_interest reported",IF(L4340&gt;R4340,"Reported balance higher than expected (missing increase/OC build)","Reported balance lower than expected (missing decrease)"))))),""))</f>
        <v/>
      </c>
    </row>
    <row r="4341" customFormat="false" ht="15" hidden="false" customHeight="false" outlineLevel="0" collapsed="false">
      <c r="A4341" s="8"/>
      <c r="B4341" s="8"/>
      <c r="C4341" s="8"/>
      <c r="D4341" s="8"/>
      <c r="E4341" s="8"/>
      <c r="F4341" s="8"/>
      <c r="G4341" s="8"/>
      <c r="H4341" s="8"/>
      <c r="I4341" s="8"/>
      <c r="J4341" s="8"/>
      <c r="K4341" s="9"/>
      <c r="L4341" s="9"/>
      <c r="M4341" s="9"/>
      <c r="N4341" s="9"/>
      <c r="O4341" s="9"/>
      <c r="P4341" s="9"/>
      <c r="Q4341" s="9"/>
      <c r="R4341" s="9" t="str">
        <f aca="false">IF(AND(A4341&lt;&gt;"",ISNUMBER(Q4341),ISNUMBER(L4341)),ROUND(Q4341-IF(ISNUMBER(N4341),N4341,0)-IF(ISNUMBER(O4341),O4341,0)+IF(ISNUMBER(P4341),P4341,0),2),"")</f>
        <v/>
      </c>
      <c r="S4341" s="9" t="str">
        <f aca="false">IF(R4341="","",ROUND(L4341-R4341,2))</f>
        <v/>
      </c>
      <c r="T4341" s="8" t="str">
        <f aca="false">IF(A4341="","",IF(S4341="","BYPASS",IF(ABS(S4341)&lt;=Summary!$B$2,"PASS","FAIL")))</f>
        <v/>
      </c>
      <c r="U4341" s="8" t="str">
        <f aca="false">IF(T4341="BYPASS",IF(NOT(ISNUMBER(Q4341)),"PreV_ETB missing","End_tr_balance missing"),IF(T4341="FAIL",IF(AND(ISNUMBER(K4341),ISNUMBER(L4341),ABS(L4341-(K4341-IF(ISNUMBER(N4341),N4341,0)-IF(ISNUMBER(O4341),O4341,0)+IF(ISNUMBER(P4341),P4341,0)))&lt;=Summary!$B$2),"Passes using beginning_balance - PreV_ETB differs from beginning_balance",IF(AND(ISNUMBER(O4341),O4341&lt;0,ABS(L4341-(Q4341-IF(ISNUMBER(N4341),N4341,0)+IF(ISNUMBER(P4341),P4341,0)))&lt;=Summary!$B$2),"Negative realized loss not applied - check sign",IF(R4341&lt;0,"Principal paid exceeds prior balance",IF(AND(L4341&gt;Q4341,NOT(ISNUMBER(P4341))),"Balance increased but no Deferred_interest reported",IF(L4341&gt;R4341,"Reported balance higher than expected (missing increase/OC build)","Reported balance lower than expected (missing decrease)"))))),""))</f>
        <v/>
      </c>
    </row>
    <row r="4342" customFormat="false" ht="15" hidden="false" customHeight="false" outlineLevel="0" collapsed="false">
      <c r="A4342" s="8"/>
      <c r="B4342" s="8"/>
      <c r="C4342" s="8"/>
      <c r="D4342" s="8"/>
      <c r="E4342" s="8"/>
      <c r="F4342" s="8"/>
      <c r="G4342" s="8"/>
      <c r="H4342" s="8"/>
      <c r="I4342" s="8"/>
      <c r="J4342" s="8"/>
      <c r="K4342" s="9"/>
      <c r="L4342" s="9"/>
      <c r="M4342" s="9"/>
      <c r="N4342" s="9"/>
      <c r="O4342" s="9"/>
      <c r="P4342" s="9"/>
      <c r="Q4342" s="9"/>
      <c r="R4342" s="9" t="str">
        <f aca="false">IF(AND(A4342&lt;&gt;"",ISNUMBER(Q4342),ISNUMBER(L4342)),ROUND(Q4342-IF(ISNUMBER(N4342),N4342,0)-IF(ISNUMBER(O4342),O4342,0)+IF(ISNUMBER(P4342),P4342,0),2),"")</f>
        <v/>
      </c>
      <c r="S4342" s="9" t="str">
        <f aca="false">IF(R4342="","",ROUND(L4342-R4342,2))</f>
        <v/>
      </c>
      <c r="T4342" s="8" t="str">
        <f aca="false">IF(A4342="","",IF(S4342="","BYPASS",IF(ABS(S4342)&lt;=Summary!$B$2,"PASS","FAIL")))</f>
        <v/>
      </c>
      <c r="U4342" s="8" t="str">
        <f aca="false">IF(T4342="BYPASS",IF(NOT(ISNUMBER(Q4342)),"PreV_ETB missing","End_tr_balance missing"),IF(T4342="FAIL",IF(AND(ISNUMBER(K4342),ISNUMBER(L4342),ABS(L4342-(K4342-IF(ISNUMBER(N4342),N4342,0)-IF(ISNUMBER(O4342),O4342,0)+IF(ISNUMBER(P4342),P4342,0)))&lt;=Summary!$B$2),"Passes using beginning_balance - PreV_ETB differs from beginning_balance",IF(AND(ISNUMBER(O4342),O4342&lt;0,ABS(L4342-(Q4342-IF(ISNUMBER(N4342),N4342,0)+IF(ISNUMBER(P4342),P4342,0)))&lt;=Summary!$B$2),"Negative realized loss not applied - check sign",IF(R4342&lt;0,"Principal paid exceeds prior balance",IF(AND(L4342&gt;Q4342,NOT(ISNUMBER(P4342))),"Balance increased but no Deferred_interest reported",IF(L4342&gt;R4342,"Reported balance higher than expected (missing increase/OC build)","Reported balance lower than expected (missing decrease)"))))),""))</f>
        <v/>
      </c>
    </row>
    <row r="4343" customFormat="false" ht="15" hidden="false" customHeight="false" outlineLevel="0" collapsed="false">
      <c r="A4343" s="8"/>
      <c r="B4343" s="8"/>
      <c r="C4343" s="8"/>
      <c r="D4343" s="8"/>
      <c r="E4343" s="8"/>
      <c r="F4343" s="8"/>
      <c r="G4343" s="8"/>
      <c r="H4343" s="8"/>
      <c r="I4343" s="8"/>
      <c r="J4343" s="8"/>
      <c r="K4343" s="9"/>
      <c r="L4343" s="9"/>
      <c r="M4343" s="9"/>
      <c r="N4343" s="9"/>
      <c r="O4343" s="9"/>
      <c r="P4343" s="9"/>
      <c r="Q4343" s="9"/>
      <c r="R4343" s="9" t="str">
        <f aca="false">IF(AND(A4343&lt;&gt;"",ISNUMBER(Q4343),ISNUMBER(L4343)),ROUND(Q4343-IF(ISNUMBER(N4343),N4343,0)-IF(ISNUMBER(O4343),O4343,0)+IF(ISNUMBER(P4343),P4343,0),2),"")</f>
        <v/>
      </c>
      <c r="S4343" s="9" t="str">
        <f aca="false">IF(R4343="","",ROUND(L4343-R4343,2))</f>
        <v/>
      </c>
      <c r="T4343" s="8" t="str">
        <f aca="false">IF(A4343="","",IF(S4343="","BYPASS",IF(ABS(S4343)&lt;=Summary!$B$2,"PASS","FAIL")))</f>
        <v/>
      </c>
      <c r="U4343" s="8" t="str">
        <f aca="false">IF(T4343="BYPASS",IF(NOT(ISNUMBER(Q4343)),"PreV_ETB missing","End_tr_balance missing"),IF(T4343="FAIL",IF(AND(ISNUMBER(K4343),ISNUMBER(L4343),ABS(L4343-(K4343-IF(ISNUMBER(N4343),N4343,0)-IF(ISNUMBER(O4343),O4343,0)+IF(ISNUMBER(P4343),P4343,0)))&lt;=Summary!$B$2),"Passes using beginning_balance - PreV_ETB differs from beginning_balance",IF(AND(ISNUMBER(O4343),O4343&lt;0,ABS(L4343-(Q4343-IF(ISNUMBER(N4343),N4343,0)+IF(ISNUMBER(P4343),P4343,0)))&lt;=Summary!$B$2),"Negative realized loss not applied - check sign",IF(R4343&lt;0,"Principal paid exceeds prior balance",IF(AND(L4343&gt;Q4343,NOT(ISNUMBER(P4343))),"Balance increased but no Deferred_interest reported",IF(L4343&gt;R4343,"Reported balance higher than expected (missing increase/OC build)","Reported balance lower than expected (missing decrease)"))))),""))</f>
        <v/>
      </c>
    </row>
    <row r="4344" customFormat="false" ht="15" hidden="false" customHeight="false" outlineLevel="0" collapsed="false">
      <c r="A4344" s="8"/>
      <c r="B4344" s="8"/>
      <c r="C4344" s="8"/>
      <c r="D4344" s="8"/>
      <c r="E4344" s="8"/>
      <c r="F4344" s="8"/>
      <c r="G4344" s="8"/>
      <c r="H4344" s="8"/>
      <c r="I4344" s="8"/>
      <c r="J4344" s="8"/>
      <c r="K4344" s="9"/>
      <c r="L4344" s="9"/>
      <c r="M4344" s="9"/>
      <c r="N4344" s="9"/>
      <c r="O4344" s="9"/>
      <c r="P4344" s="9"/>
      <c r="Q4344" s="9"/>
      <c r="R4344" s="9" t="str">
        <f aca="false">IF(AND(A4344&lt;&gt;"",ISNUMBER(Q4344),ISNUMBER(L4344)),ROUND(Q4344-IF(ISNUMBER(N4344),N4344,0)-IF(ISNUMBER(O4344),O4344,0)+IF(ISNUMBER(P4344),P4344,0),2),"")</f>
        <v/>
      </c>
      <c r="S4344" s="9" t="str">
        <f aca="false">IF(R4344="","",ROUND(L4344-R4344,2))</f>
        <v/>
      </c>
      <c r="T4344" s="8" t="str">
        <f aca="false">IF(A4344="","",IF(S4344="","BYPASS",IF(ABS(S4344)&lt;=Summary!$B$2,"PASS","FAIL")))</f>
        <v/>
      </c>
      <c r="U4344" s="8" t="str">
        <f aca="false">IF(T4344="BYPASS",IF(NOT(ISNUMBER(Q4344)),"PreV_ETB missing","End_tr_balance missing"),IF(T4344="FAIL",IF(AND(ISNUMBER(K4344),ISNUMBER(L4344),ABS(L4344-(K4344-IF(ISNUMBER(N4344),N4344,0)-IF(ISNUMBER(O4344),O4344,0)+IF(ISNUMBER(P4344),P4344,0)))&lt;=Summary!$B$2),"Passes using beginning_balance - PreV_ETB differs from beginning_balance",IF(AND(ISNUMBER(O4344),O4344&lt;0,ABS(L4344-(Q4344-IF(ISNUMBER(N4344),N4344,0)+IF(ISNUMBER(P4344),P4344,0)))&lt;=Summary!$B$2),"Negative realized loss not applied - check sign",IF(R4344&lt;0,"Principal paid exceeds prior balance",IF(AND(L4344&gt;Q4344,NOT(ISNUMBER(P4344))),"Balance increased but no Deferred_interest reported",IF(L4344&gt;R4344,"Reported balance higher than expected (missing increase/OC build)","Reported balance lower than expected (missing decrease)"))))),""))</f>
        <v/>
      </c>
    </row>
    <row r="4345" customFormat="false" ht="15" hidden="false" customHeight="false" outlineLevel="0" collapsed="false">
      <c r="A4345" s="8"/>
      <c r="B4345" s="8"/>
      <c r="C4345" s="8"/>
      <c r="D4345" s="8"/>
      <c r="E4345" s="8"/>
      <c r="F4345" s="8"/>
      <c r="G4345" s="8"/>
      <c r="H4345" s="8"/>
      <c r="I4345" s="8"/>
      <c r="J4345" s="8"/>
      <c r="K4345" s="9"/>
      <c r="L4345" s="9"/>
      <c r="M4345" s="9"/>
      <c r="N4345" s="9"/>
      <c r="O4345" s="9"/>
      <c r="P4345" s="9"/>
      <c r="Q4345" s="9"/>
      <c r="R4345" s="9" t="str">
        <f aca="false">IF(AND(A4345&lt;&gt;"",ISNUMBER(Q4345),ISNUMBER(L4345)),ROUND(Q4345-IF(ISNUMBER(N4345),N4345,0)-IF(ISNUMBER(O4345),O4345,0)+IF(ISNUMBER(P4345),P4345,0),2),"")</f>
        <v/>
      </c>
      <c r="S4345" s="9" t="str">
        <f aca="false">IF(R4345="","",ROUND(L4345-R4345,2))</f>
        <v/>
      </c>
      <c r="T4345" s="8" t="str">
        <f aca="false">IF(A4345="","",IF(S4345="","BYPASS",IF(ABS(S4345)&lt;=Summary!$B$2,"PASS","FAIL")))</f>
        <v/>
      </c>
      <c r="U4345" s="8" t="str">
        <f aca="false">IF(T4345="BYPASS",IF(NOT(ISNUMBER(Q4345)),"PreV_ETB missing","End_tr_balance missing"),IF(T4345="FAIL",IF(AND(ISNUMBER(K4345),ISNUMBER(L4345),ABS(L4345-(K4345-IF(ISNUMBER(N4345),N4345,0)-IF(ISNUMBER(O4345),O4345,0)+IF(ISNUMBER(P4345),P4345,0)))&lt;=Summary!$B$2),"Passes using beginning_balance - PreV_ETB differs from beginning_balance",IF(AND(ISNUMBER(O4345),O4345&lt;0,ABS(L4345-(Q4345-IF(ISNUMBER(N4345),N4345,0)+IF(ISNUMBER(P4345),P4345,0)))&lt;=Summary!$B$2),"Negative realized loss not applied - check sign",IF(R4345&lt;0,"Principal paid exceeds prior balance",IF(AND(L4345&gt;Q4345,NOT(ISNUMBER(P4345))),"Balance increased but no Deferred_interest reported",IF(L4345&gt;R4345,"Reported balance higher than expected (missing increase/OC build)","Reported balance lower than expected (missing decrease)"))))),""))</f>
        <v/>
      </c>
    </row>
    <row r="4346" customFormat="false" ht="15" hidden="false" customHeight="false" outlineLevel="0" collapsed="false">
      <c r="A4346" s="8"/>
      <c r="B4346" s="8"/>
      <c r="C4346" s="8"/>
      <c r="D4346" s="8"/>
      <c r="E4346" s="8"/>
      <c r="F4346" s="8"/>
      <c r="G4346" s="8"/>
      <c r="H4346" s="8"/>
      <c r="I4346" s="8"/>
      <c r="J4346" s="8"/>
      <c r="K4346" s="9"/>
      <c r="L4346" s="9"/>
      <c r="M4346" s="9"/>
      <c r="N4346" s="9"/>
      <c r="O4346" s="9"/>
      <c r="P4346" s="9"/>
      <c r="Q4346" s="9"/>
      <c r="R4346" s="9" t="str">
        <f aca="false">IF(AND(A4346&lt;&gt;"",ISNUMBER(Q4346),ISNUMBER(L4346)),ROUND(Q4346-IF(ISNUMBER(N4346),N4346,0)-IF(ISNUMBER(O4346),O4346,0)+IF(ISNUMBER(P4346),P4346,0),2),"")</f>
        <v/>
      </c>
      <c r="S4346" s="9" t="str">
        <f aca="false">IF(R4346="","",ROUND(L4346-R4346,2))</f>
        <v/>
      </c>
      <c r="T4346" s="8" t="str">
        <f aca="false">IF(A4346="","",IF(S4346="","BYPASS",IF(ABS(S4346)&lt;=Summary!$B$2,"PASS","FAIL")))</f>
        <v/>
      </c>
      <c r="U4346" s="8" t="str">
        <f aca="false">IF(T4346="BYPASS",IF(NOT(ISNUMBER(Q4346)),"PreV_ETB missing","End_tr_balance missing"),IF(T4346="FAIL",IF(AND(ISNUMBER(K4346),ISNUMBER(L4346),ABS(L4346-(K4346-IF(ISNUMBER(N4346),N4346,0)-IF(ISNUMBER(O4346),O4346,0)+IF(ISNUMBER(P4346),P4346,0)))&lt;=Summary!$B$2),"Passes using beginning_balance - PreV_ETB differs from beginning_balance",IF(AND(ISNUMBER(O4346),O4346&lt;0,ABS(L4346-(Q4346-IF(ISNUMBER(N4346),N4346,0)+IF(ISNUMBER(P4346),P4346,0)))&lt;=Summary!$B$2),"Negative realized loss not applied - check sign",IF(R4346&lt;0,"Principal paid exceeds prior balance",IF(AND(L4346&gt;Q4346,NOT(ISNUMBER(P4346))),"Balance increased but no Deferred_interest reported",IF(L4346&gt;R4346,"Reported balance higher than expected (missing increase/OC build)","Reported balance lower than expected (missing decrease)"))))),""))</f>
        <v/>
      </c>
    </row>
    <row r="4347" customFormat="false" ht="15" hidden="false" customHeight="false" outlineLevel="0" collapsed="false">
      <c r="A4347" s="8"/>
      <c r="B4347" s="8"/>
      <c r="C4347" s="8"/>
      <c r="D4347" s="8"/>
      <c r="E4347" s="8"/>
      <c r="F4347" s="8"/>
      <c r="G4347" s="8"/>
      <c r="H4347" s="8"/>
      <c r="I4347" s="8"/>
      <c r="J4347" s="8"/>
      <c r="K4347" s="9"/>
      <c r="L4347" s="9"/>
      <c r="M4347" s="9"/>
      <c r="N4347" s="9"/>
      <c r="O4347" s="9"/>
      <c r="P4347" s="9"/>
      <c r="Q4347" s="9"/>
      <c r="R4347" s="9" t="str">
        <f aca="false">IF(AND(A4347&lt;&gt;"",ISNUMBER(Q4347),ISNUMBER(L4347)),ROUND(Q4347-IF(ISNUMBER(N4347),N4347,0)-IF(ISNUMBER(O4347),O4347,0)+IF(ISNUMBER(P4347),P4347,0),2),"")</f>
        <v/>
      </c>
      <c r="S4347" s="9" t="str">
        <f aca="false">IF(R4347="","",ROUND(L4347-R4347,2))</f>
        <v/>
      </c>
      <c r="T4347" s="8" t="str">
        <f aca="false">IF(A4347="","",IF(S4347="","BYPASS",IF(ABS(S4347)&lt;=Summary!$B$2,"PASS","FAIL")))</f>
        <v/>
      </c>
      <c r="U4347" s="8" t="str">
        <f aca="false">IF(T4347="BYPASS",IF(NOT(ISNUMBER(Q4347)),"PreV_ETB missing","End_tr_balance missing"),IF(T4347="FAIL",IF(AND(ISNUMBER(K4347),ISNUMBER(L4347),ABS(L4347-(K4347-IF(ISNUMBER(N4347),N4347,0)-IF(ISNUMBER(O4347),O4347,0)+IF(ISNUMBER(P4347),P4347,0)))&lt;=Summary!$B$2),"Passes using beginning_balance - PreV_ETB differs from beginning_balance",IF(AND(ISNUMBER(O4347),O4347&lt;0,ABS(L4347-(Q4347-IF(ISNUMBER(N4347),N4347,0)+IF(ISNUMBER(P4347),P4347,0)))&lt;=Summary!$B$2),"Negative realized loss not applied - check sign",IF(R4347&lt;0,"Principal paid exceeds prior balance",IF(AND(L4347&gt;Q4347,NOT(ISNUMBER(P4347))),"Balance increased but no Deferred_interest reported",IF(L4347&gt;R4347,"Reported balance higher than expected (missing increase/OC build)","Reported balance lower than expected (missing decrease)"))))),""))</f>
        <v/>
      </c>
    </row>
    <row r="4348" customFormat="false" ht="15" hidden="false" customHeight="false" outlineLevel="0" collapsed="false">
      <c r="A4348" s="8"/>
      <c r="B4348" s="8"/>
      <c r="C4348" s="8"/>
      <c r="D4348" s="8"/>
      <c r="E4348" s="8"/>
      <c r="F4348" s="8"/>
      <c r="G4348" s="8"/>
      <c r="H4348" s="8"/>
      <c r="I4348" s="8"/>
      <c r="J4348" s="8"/>
      <c r="K4348" s="9"/>
      <c r="L4348" s="9"/>
      <c r="M4348" s="9"/>
      <c r="N4348" s="9"/>
      <c r="O4348" s="9"/>
      <c r="P4348" s="9"/>
      <c r="Q4348" s="9"/>
      <c r="R4348" s="9" t="str">
        <f aca="false">IF(AND(A4348&lt;&gt;"",ISNUMBER(Q4348),ISNUMBER(L4348)),ROUND(Q4348-IF(ISNUMBER(N4348),N4348,0)-IF(ISNUMBER(O4348),O4348,0)+IF(ISNUMBER(P4348),P4348,0),2),"")</f>
        <v/>
      </c>
      <c r="S4348" s="9" t="str">
        <f aca="false">IF(R4348="","",ROUND(L4348-R4348,2))</f>
        <v/>
      </c>
      <c r="T4348" s="8" t="str">
        <f aca="false">IF(A4348="","",IF(S4348="","BYPASS",IF(ABS(S4348)&lt;=Summary!$B$2,"PASS","FAIL")))</f>
        <v/>
      </c>
      <c r="U4348" s="8" t="str">
        <f aca="false">IF(T4348="BYPASS",IF(NOT(ISNUMBER(Q4348)),"PreV_ETB missing","End_tr_balance missing"),IF(T4348="FAIL",IF(AND(ISNUMBER(K4348),ISNUMBER(L4348),ABS(L4348-(K4348-IF(ISNUMBER(N4348),N4348,0)-IF(ISNUMBER(O4348),O4348,0)+IF(ISNUMBER(P4348),P4348,0)))&lt;=Summary!$B$2),"Passes using beginning_balance - PreV_ETB differs from beginning_balance",IF(AND(ISNUMBER(O4348),O4348&lt;0,ABS(L4348-(Q4348-IF(ISNUMBER(N4348),N4348,0)+IF(ISNUMBER(P4348),P4348,0)))&lt;=Summary!$B$2),"Negative realized loss not applied - check sign",IF(R4348&lt;0,"Principal paid exceeds prior balance",IF(AND(L4348&gt;Q4348,NOT(ISNUMBER(P4348))),"Balance increased but no Deferred_interest reported",IF(L4348&gt;R4348,"Reported balance higher than expected (missing increase/OC build)","Reported balance lower than expected (missing decrease)"))))),""))</f>
        <v/>
      </c>
    </row>
    <row r="4349" customFormat="false" ht="15" hidden="false" customHeight="false" outlineLevel="0" collapsed="false">
      <c r="A4349" s="8"/>
      <c r="B4349" s="8"/>
      <c r="C4349" s="8"/>
      <c r="D4349" s="8"/>
      <c r="E4349" s="8"/>
      <c r="F4349" s="8"/>
      <c r="G4349" s="8"/>
      <c r="H4349" s="8"/>
      <c r="I4349" s="8"/>
      <c r="J4349" s="8"/>
      <c r="K4349" s="9"/>
      <c r="L4349" s="9"/>
      <c r="M4349" s="9"/>
      <c r="N4349" s="9"/>
      <c r="O4349" s="9"/>
      <c r="P4349" s="9"/>
      <c r="Q4349" s="9"/>
      <c r="R4349" s="9" t="str">
        <f aca="false">IF(AND(A4349&lt;&gt;"",ISNUMBER(Q4349),ISNUMBER(L4349)),ROUND(Q4349-IF(ISNUMBER(N4349),N4349,0)-IF(ISNUMBER(O4349),O4349,0)+IF(ISNUMBER(P4349),P4349,0),2),"")</f>
        <v/>
      </c>
      <c r="S4349" s="9" t="str">
        <f aca="false">IF(R4349="","",ROUND(L4349-R4349,2))</f>
        <v/>
      </c>
      <c r="T4349" s="8" t="str">
        <f aca="false">IF(A4349="","",IF(S4349="","BYPASS",IF(ABS(S4349)&lt;=Summary!$B$2,"PASS","FAIL")))</f>
        <v/>
      </c>
      <c r="U4349" s="8" t="str">
        <f aca="false">IF(T4349="BYPASS",IF(NOT(ISNUMBER(Q4349)),"PreV_ETB missing","End_tr_balance missing"),IF(T4349="FAIL",IF(AND(ISNUMBER(K4349),ISNUMBER(L4349),ABS(L4349-(K4349-IF(ISNUMBER(N4349),N4349,0)-IF(ISNUMBER(O4349),O4349,0)+IF(ISNUMBER(P4349),P4349,0)))&lt;=Summary!$B$2),"Passes using beginning_balance - PreV_ETB differs from beginning_balance",IF(AND(ISNUMBER(O4349),O4349&lt;0,ABS(L4349-(Q4349-IF(ISNUMBER(N4349),N4349,0)+IF(ISNUMBER(P4349),P4349,0)))&lt;=Summary!$B$2),"Negative realized loss not applied - check sign",IF(R4349&lt;0,"Principal paid exceeds prior balance",IF(AND(L4349&gt;Q4349,NOT(ISNUMBER(P4349))),"Balance increased but no Deferred_interest reported",IF(L4349&gt;R4349,"Reported balance higher than expected (missing increase/OC build)","Reported balance lower than expected (missing decrease)"))))),""))</f>
        <v/>
      </c>
    </row>
    <row r="4350" customFormat="false" ht="15" hidden="false" customHeight="false" outlineLevel="0" collapsed="false">
      <c r="A4350" s="8"/>
      <c r="B4350" s="8"/>
      <c r="C4350" s="8"/>
      <c r="D4350" s="8"/>
      <c r="E4350" s="8"/>
      <c r="F4350" s="8"/>
      <c r="G4350" s="8"/>
      <c r="H4350" s="8"/>
      <c r="I4350" s="8"/>
      <c r="J4350" s="8"/>
      <c r="K4350" s="9"/>
      <c r="L4350" s="9"/>
      <c r="M4350" s="9"/>
      <c r="N4350" s="9"/>
      <c r="O4350" s="9"/>
      <c r="P4350" s="9"/>
      <c r="Q4350" s="9"/>
      <c r="R4350" s="9" t="str">
        <f aca="false">IF(AND(A4350&lt;&gt;"",ISNUMBER(Q4350),ISNUMBER(L4350)),ROUND(Q4350-IF(ISNUMBER(N4350),N4350,0)-IF(ISNUMBER(O4350),O4350,0)+IF(ISNUMBER(P4350),P4350,0),2),"")</f>
        <v/>
      </c>
      <c r="S4350" s="9" t="str">
        <f aca="false">IF(R4350="","",ROUND(L4350-R4350,2))</f>
        <v/>
      </c>
      <c r="T4350" s="8" t="str">
        <f aca="false">IF(A4350="","",IF(S4350="","BYPASS",IF(ABS(S4350)&lt;=Summary!$B$2,"PASS","FAIL")))</f>
        <v/>
      </c>
      <c r="U4350" s="8" t="str">
        <f aca="false">IF(T4350="BYPASS",IF(NOT(ISNUMBER(Q4350)),"PreV_ETB missing","End_tr_balance missing"),IF(T4350="FAIL",IF(AND(ISNUMBER(K4350),ISNUMBER(L4350),ABS(L4350-(K4350-IF(ISNUMBER(N4350),N4350,0)-IF(ISNUMBER(O4350),O4350,0)+IF(ISNUMBER(P4350),P4350,0)))&lt;=Summary!$B$2),"Passes using beginning_balance - PreV_ETB differs from beginning_balance",IF(AND(ISNUMBER(O4350),O4350&lt;0,ABS(L4350-(Q4350-IF(ISNUMBER(N4350),N4350,0)+IF(ISNUMBER(P4350),P4350,0)))&lt;=Summary!$B$2),"Negative realized loss not applied - check sign",IF(R4350&lt;0,"Principal paid exceeds prior balance",IF(AND(L4350&gt;Q4350,NOT(ISNUMBER(P4350))),"Balance increased but no Deferred_interest reported",IF(L4350&gt;R4350,"Reported balance higher than expected (missing increase/OC build)","Reported balance lower than expected (missing decrease)"))))),""))</f>
        <v/>
      </c>
    </row>
    <row r="4351" customFormat="false" ht="15" hidden="false" customHeight="false" outlineLevel="0" collapsed="false">
      <c r="A4351" s="8"/>
      <c r="B4351" s="8"/>
      <c r="C4351" s="8"/>
      <c r="D4351" s="8"/>
      <c r="E4351" s="8"/>
      <c r="F4351" s="8"/>
      <c r="G4351" s="8"/>
      <c r="H4351" s="8"/>
      <c r="I4351" s="8"/>
      <c r="J4351" s="8"/>
      <c r="K4351" s="9"/>
      <c r="L4351" s="9"/>
      <c r="M4351" s="9"/>
      <c r="N4351" s="9"/>
      <c r="O4351" s="9"/>
      <c r="P4351" s="9"/>
      <c r="Q4351" s="9"/>
      <c r="R4351" s="9" t="str">
        <f aca="false">IF(AND(A4351&lt;&gt;"",ISNUMBER(Q4351),ISNUMBER(L4351)),ROUND(Q4351-IF(ISNUMBER(N4351),N4351,0)-IF(ISNUMBER(O4351),O4351,0)+IF(ISNUMBER(P4351),P4351,0),2),"")</f>
        <v/>
      </c>
      <c r="S4351" s="9" t="str">
        <f aca="false">IF(R4351="","",ROUND(L4351-R4351,2))</f>
        <v/>
      </c>
      <c r="T4351" s="8" t="str">
        <f aca="false">IF(A4351="","",IF(S4351="","BYPASS",IF(ABS(S4351)&lt;=Summary!$B$2,"PASS","FAIL")))</f>
        <v/>
      </c>
      <c r="U4351" s="8" t="str">
        <f aca="false">IF(T4351="BYPASS",IF(NOT(ISNUMBER(Q4351)),"PreV_ETB missing","End_tr_balance missing"),IF(T4351="FAIL",IF(AND(ISNUMBER(K4351),ISNUMBER(L4351),ABS(L4351-(K4351-IF(ISNUMBER(N4351),N4351,0)-IF(ISNUMBER(O4351),O4351,0)+IF(ISNUMBER(P4351),P4351,0)))&lt;=Summary!$B$2),"Passes using beginning_balance - PreV_ETB differs from beginning_balance",IF(AND(ISNUMBER(O4351),O4351&lt;0,ABS(L4351-(Q4351-IF(ISNUMBER(N4351),N4351,0)+IF(ISNUMBER(P4351),P4351,0)))&lt;=Summary!$B$2),"Negative realized loss not applied - check sign",IF(R4351&lt;0,"Principal paid exceeds prior balance",IF(AND(L4351&gt;Q4351,NOT(ISNUMBER(P4351))),"Balance increased but no Deferred_interest reported",IF(L4351&gt;R4351,"Reported balance higher than expected (missing increase/OC build)","Reported balance lower than expected (missing decrease)"))))),""))</f>
        <v/>
      </c>
    </row>
    <row r="4352" customFormat="false" ht="15" hidden="false" customHeight="false" outlineLevel="0" collapsed="false">
      <c r="A4352" s="8"/>
      <c r="B4352" s="8"/>
      <c r="C4352" s="8"/>
      <c r="D4352" s="8"/>
      <c r="E4352" s="8"/>
      <c r="F4352" s="8"/>
      <c r="G4352" s="8"/>
      <c r="H4352" s="8"/>
      <c r="I4352" s="8"/>
      <c r="J4352" s="8"/>
      <c r="K4352" s="9"/>
      <c r="L4352" s="9"/>
      <c r="M4352" s="9"/>
      <c r="N4352" s="9"/>
      <c r="O4352" s="9"/>
      <c r="P4352" s="9"/>
      <c r="Q4352" s="9"/>
      <c r="R4352" s="9" t="str">
        <f aca="false">IF(AND(A4352&lt;&gt;"",ISNUMBER(Q4352),ISNUMBER(L4352)),ROUND(Q4352-IF(ISNUMBER(N4352),N4352,0)-IF(ISNUMBER(O4352),O4352,0)+IF(ISNUMBER(P4352),P4352,0),2),"")</f>
        <v/>
      </c>
      <c r="S4352" s="9" t="str">
        <f aca="false">IF(R4352="","",ROUND(L4352-R4352,2))</f>
        <v/>
      </c>
      <c r="T4352" s="8" t="str">
        <f aca="false">IF(A4352="","",IF(S4352="","BYPASS",IF(ABS(S4352)&lt;=Summary!$B$2,"PASS","FAIL")))</f>
        <v/>
      </c>
      <c r="U4352" s="8" t="str">
        <f aca="false">IF(T4352="BYPASS",IF(NOT(ISNUMBER(Q4352)),"PreV_ETB missing","End_tr_balance missing"),IF(T4352="FAIL",IF(AND(ISNUMBER(K4352),ISNUMBER(L4352),ABS(L4352-(K4352-IF(ISNUMBER(N4352),N4352,0)-IF(ISNUMBER(O4352),O4352,0)+IF(ISNUMBER(P4352),P4352,0)))&lt;=Summary!$B$2),"Passes using beginning_balance - PreV_ETB differs from beginning_balance",IF(AND(ISNUMBER(O4352),O4352&lt;0,ABS(L4352-(Q4352-IF(ISNUMBER(N4352),N4352,0)+IF(ISNUMBER(P4352),P4352,0)))&lt;=Summary!$B$2),"Negative realized loss not applied - check sign",IF(R4352&lt;0,"Principal paid exceeds prior balance",IF(AND(L4352&gt;Q4352,NOT(ISNUMBER(P4352))),"Balance increased but no Deferred_interest reported",IF(L4352&gt;R4352,"Reported balance higher than expected (missing increase/OC build)","Reported balance lower than expected (missing decrease)"))))),""))</f>
        <v/>
      </c>
    </row>
    <row r="4353" customFormat="false" ht="15" hidden="false" customHeight="false" outlineLevel="0" collapsed="false">
      <c r="A4353" s="8"/>
      <c r="B4353" s="8"/>
      <c r="C4353" s="8"/>
      <c r="D4353" s="8"/>
      <c r="E4353" s="8"/>
      <c r="F4353" s="8"/>
      <c r="G4353" s="8"/>
      <c r="H4353" s="8"/>
      <c r="I4353" s="8"/>
      <c r="J4353" s="8"/>
      <c r="K4353" s="9"/>
      <c r="L4353" s="9"/>
      <c r="M4353" s="9"/>
      <c r="N4353" s="9"/>
      <c r="O4353" s="9"/>
      <c r="P4353" s="9"/>
      <c r="Q4353" s="9"/>
      <c r="R4353" s="9" t="str">
        <f aca="false">IF(AND(A4353&lt;&gt;"",ISNUMBER(Q4353),ISNUMBER(L4353)),ROUND(Q4353-IF(ISNUMBER(N4353),N4353,0)-IF(ISNUMBER(O4353),O4353,0)+IF(ISNUMBER(P4353),P4353,0),2),"")</f>
        <v/>
      </c>
      <c r="S4353" s="9" t="str">
        <f aca="false">IF(R4353="","",ROUND(L4353-R4353,2))</f>
        <v/>
      </c>
      <c r="T4353" s="8" t="str">
        <f aca="false">IF(A4353="","",IF(S4353="","BYPASS",IF(ABS(S4353)&lt;=Summary!$B$2,"PASS","FAIL")))</f>
        <v/>
      </c>
      <c r="U4353" s="8" t="str">
        <f aca="false">IF(T4353="BYPASS",IF(NOT(ISNUMBER(Q4353)),"PreV_ETB missing","End_tr_balance missing"),IF(T4353="FAIL",IF(AND(ISNUMBER(K4353),ISNUMBER(L4353),ABS(L4353-(K4353-IF(ISNUMBER(N4353),N4353,0)-IF(ISNUMBER(O4353),O4353,0)+IF(ISNUMBER(P4353),P4353,0)))&lt;=Summary!$B$2),"Passes using beginning_balance - PreV_ETB differs from beginning_balance",IF(AND(ISNUMBER(O4353),O4353&lt;0,ABS(L4353-(Q4353-IF(ISNUMBER(N4353),N4353,0)+IF(ISNUMBER(P4353),P4353,0)))&lt;=Summary!$B$2),"Negative realized loss not applied - check sign",IF(R4353&lt;0,"Principal paid exceeds prior balance",IF(AND(L4353&gt;Q4353,NOT(ISNUMBER(P4353))),"Balance increased but no Deferred_interest reported",IF(L4353&gt;R4353,"Reported balance higher than expected (missing increase/OC build)","Reported balance lower than expected (missing decrease)"))))),""))</f>
        <v/>
      </c>
    </row>
    <row r="4354" customFormat="false" ht="15" hidden="false" customHeight="false" outlineLevel="0" collapsed="false">
      <c r="A4354" s="8"/>
      <c r="B4354" s="8"/>
      <c r="C4354" s="8"/>
      <c r="D4354" s="8"/>
      <c r="E4354" s="8"/>
      <c r="F4354" s="8"/>
      <c r="G4354" s="8"/>
      <c r="H4354" s="8"/>
      <c r="I4354" s="8"/>
      <c r="J4354" s="8"/>
      <c r="K4354" s="9"/>
      <c r="L4354" s="9"/>
      <c r="M4354" s="9"/>
      <c r="N4354" s="9"/>
      <c r="O4354" s="9"/>
      <c r="P4354" s="9"/>
      <c r="Q4354" s="9"/>
      <c r="R4354" s="9" t="str">
        <f aca="false">IF(AND(A4354&lt;&gt;"",ISNUMBER(Q4354),ISNUMBER(L4354)),ROUND(Q4354-IF(ISNUMBER(N4354),N4354,0)-IF(ISNUMBER(O4354),O4354,0)+IF(ISNUMBER(P4354),P4354,0),2),"")</f>
        <v/>
      </c>
      <c r="S4354" s="9" t="str">
        <f aca="false">IF(R4354="","",ROUND(L4354-R4354,2))</f>
        <v/>
      </c>
      <c r="T4354" s="8" t="str">
        <f aca="false">IF(A4354="","",IF(S4354="","BYPASS",IF(ABS(S4354)&lt;=Summary!$B$2,"PASS","FAIL")))</f>
        <v/>
      </c>
      <c r="U4354" s="8" t="str">
        <f aca="false">IF(T4354="BYPASS",IF(NOT(ISNUMBER(Q4354)),"PreV_ETB missing","End_tr_balance missing"),IF(T4354="FAIL",IF(AND(ISNUMBER(K4354),ISNUMBER(L4354),ABS(L4354-(K4354-IF(ISNUMBER(N4354),N4354,0)-IF(ISNUMBER(O4354),O4354,0)+IF(ISNUMBER(P4354),P4354,0)))&lt;=Summary!$B$2),"Passes using beginning_balance - PreV_ETB differs from beginning_balance",IF(AND(ISNUMBER(O4354),O4354&lt;0,ABS(L4354-(Q4354-IF(ISNUMBER(N4354),N4354,0)+IF(ISNUMBER(P4354),P4354,0)))&lt;=Summary!$B$2),"Negative realized loss not applied - check sign",IF(R4354&lt;0,"Principal paid exceeds prior balance",IF(AND(L4354&gt;Q4354,NOT(ISNUMBER(P4354))),"Balance increased but no Deferred_interest reported",IF(L4354&gt;R4354,"Reported balance higher than expected (missing increase/OC build)","Reported balance lower than expected (missing decrease)"))))),""))</f>
        <v/>
      </c>
    </row>
    <row r="4355" customFormat="false" ht="15" hidden="false" customHeight="false" outlineLevel="0" collapsed="false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9"/>
      <c r="L4355" s="9"/>
      <c r="M4355" s="9"/>
      <c r="N4355" s="9"/>
      <c r="O4355" s="9"/>
      <c r="P4355" s="9"/>
      <c r="Q4355" s="9"/>
      <c r="R4355" s="9" t="str">
        <f aca="false">IF(AND(A4355&lt;&gt;"",ISNUMBER(Q4355),ISNUMBER(L4355)),ROUND(Q4355-IF(ISNUMBER(N4355),N4355,0)-IF(ISNUMBER(O4355),O4355,0)+IF(ISNUMBER(P4355),P4355,0),2),"")</f>
        <v/>
      </c>
      <c r="S4355" s="9" t="str">
        <f aca="false">IF(R4355="","",ROUND(L4355-R4355,2))</f>
        <v/>
      </c>
      <c r="T4355" s="8" t="str">
        <f aca="false">IF(A4355="","",IF(S4355="","BYPASS",IF(ABS(S4355)&lt;=Summary!$B$2,"PASS","FAIL")))</f>
        <v/>
      </c>
      <c r="U4355" s="8" t="str">
        <f aca="false">IF(T4355="BYPASS",IF(NOT(ISNUMBER(Q4355)),"PreV_ETB missing","End_tr_balance missing"),IF(T4355="FAIL",IF(AND(ISNUMBER(K4355),ISNUMBER(L4355),ABS(L4355-(K4355-IF(ISNUMBER(N4355),N4355,0)-IF(ISNUMBER(O4355),O4355,0)+IF(ISNUMBER(P4355),P4355,0)))&lt;=Summary!$B$2),"Passes using beginning_balance - PreV_ETB differs from beginning_balance",IF(AND(ISNUMBER(O4355),O4355&lt;0,ABS(L4355-(Q4355-IF(ISNUMBER(N4355),N4355,0)+IF(ISNUMBER(P4355),P4355,0)))&lt;=Summary!$B$2),"Negative realized loss not applied - check sign",IF(R4355&lt;0,"Principal paid exceeds prior balance",IF(AND(L4355&gt;Q4355,NOT(ISNUMBER(P4355))),"Balance increased but no Deferred_interest reported",IF(L4355&gt;R4355,"Reported balance higher than expected (missing increase/OC build)","Reported balance lower than expected (missing decrease)"))))),""))</f>
        <v/>
      </c>
    </row>
    <row r="4356" customFormat="false" ht="15" hidden="false" customHeight="false" outlineLevel="0" collapsed="false">
      <c r="A4356" s="8"/>
      <c r="B4356" s="8"/>
      <c r="C4356" s="8"/>
      <c r="D4356" s="8"/>
      <c r="E4356" s="8"/>
      <c r="F4356" s="8"/>
      <c r="G4356" s="8"/>
      <c r="H4356" s="8"/>
      <c r="I4356" s="8"/>
      <c r="J4356" s="8"/>
      <c r="K4356" s="9"/>
      <c r="L4356" s="9"/>
      <c r="M4356" s="9"/>
      <c r="N4356" s="9"/>
      <c r="O4356" s="9"/>
      <c r="P4356" s="9"/>
      <c r="Q4356" s="9"/>
      <c r="R4356" s="9" t="str">
        <f aca="false">IF(AND(A4356&lt;&gt;"",ISNUMBER(Q4356),ISNUMBER(L4356)),ROUND(Q4356-IF(ISNUMBER(N4356),N4356,0)-IF(ISNUMBER(O4356),O4356,0)+IF(ISNUMBER(P4356),P4356,0),2),"")</f>
        <v/>
      </c>
      <c r="S4356" s="9" t="str">
        <f aca="false">IF(R4356="","",ROUND(L4356-R4356,2))</f>
        <v/>
      </c>
      <c r="T4356" s="8" t="str">
        <f aca="false">IF(A4356="","",IF(S4356="","BYPASS",IF(ABS(S4356)&lt;=Summary!$B$2,"PASS","FAIL")))</f>
        <v/>
      </c>
      <c r="U4356" s="8" t="str">
        <f aca="false">IF(T4356="BYPASS",IF(NOT(ISNUMBER(Q4356)),"PreV_ETB missing","End_tr_balance missing"),IF(T4356="FAIL",IF(AND(ISNUMBER(K4356),ISNUMBER(L4356),ABS(L4356-(K4356-IF(ISNUMBER(N4356),N4356,0)-IF(ISNUMBER(O4356),O4356,0)+IF(ISNUMBER(P4356),P4356,0)))&lt;=Summary!$B$2),"Passes using beginning_balance - PreV_ETB differs from beginning_balance",IF(AND(ISNUMBER(O4356),O4356&lt;0,ABS(L4356-(Q4356-IF(ISNUMBER(N4356),N4356,0)+IF(ISNUMBER(P4356),P4356,0)))&lt;=Summary!$B$2),"Negative realized loss not applied - check sign",IF(R4356&lt;0,"Principal paid exceeds prior balance",IF(AND(L4356&gt;Q4356,NOT(ISNUMBER(P4356))),"Balance increased but no Deferred_interest reported",IF(L4356&gt;R4356,"Reported balance higher than expected (missing increase/OC build)","Reported balance lower than expected (missing decrease)"))))),""))</f>
        <v/>
      </c>
    </row>
    <row r="4357" customFormat="false" ht="15" hidden="false" customHeight="false" outlineLevel="0" collapsed="false">
      <c r="A4357" s="8"/>
      <c r="B4357" s="8"/>
      <c r="C4357" s="8"/>
      <c r="D4357" s="8"/>
      <c r="E4357" s="8"/>
      <c r="F4357" s="8"/>
      <c r="G4357" s="8"/>
      <c r="H4357" s="8"/>
      <c r="I4357" s="8"/>
      <c r="J4357" s="8"/>
      <c r="K4357" s="9"/>
      <c r="L4357" s="9"/>
      <c r="M4357" s="9"/>
      <c r="N4357" s="9"/>
      <c r="O4357" s="9"/>
      <c r="P4357" s="9"/>
      <c r="Q4357" s="9"/>
      <c r="R4357" s="9" t="str">
        <f aca="false">IF(AND(A4357&lt;&gt;"",ISNUMBER(Q4357),ISNUMBER(L4357)),ROUND(Q4357-IF(ISNUMBER(N4357),N4357,0)-IF(ISNUMBER(O4357),O4357,0)+IF(ISNUMBER(P4357),P4357,0),2),"")</f>
        <v/>
      </c>
      <c r="S4357" s="9" t="str">
        <f aca="false">IF(R4357="","",ROUND(L4357-R4357,2))</f>
        <v/>
      </c>
      <c r="T4357" s="8" t="str">
        <f aca="false">IF(A4357="","",IF(S4357="","BYPASS",IF(ABS(S4357)&lt;=Summary!$B$2,"PASS","FAIL")))</f>
        <v/>
      </c>
      <c r="U4357" s="8" t="str">
        <f aca="false">IF(T4357="BYPASS",IF(NOT(ISNUMBER(Q4357)),"PreV_ETB missing","End_tr_balance missing"),IF(T4357="FAIL",IF(AND(ISNUMBER(K4357),ISNUMBER(L4357),ABS(L4357-(K4357-IF(ISNUMBER(N4357),N4357,0)-IF(ISNUMBER(O4357),O4357,0)+IF(ISNUMBER(P4357),P4357,0)))&lt;=Summary!$B$2),"Passes using beginning_balance - PreV_ETB differs from beginning_balance",IF(AND(ISNUMBER(O4357),O4357&lt;0,ABS(L4357-(Q4357-IF(ISNUMBER(N4357),N4357,0)+IF(ISNUMBER(P4357),P4357,0)))&lt;=Summary!$B$2),"Negative realized loss not applied - check sign",IF(R4357&lt;0,"Principal paid exceeds prior balance",IF(AND(L4357&gt;Q4357,NOT(ISNUMBER(P4357))),"Balance increased but no Deferred_interest reported",IF(L4357&gt;R4357,"Reported balance higher than expected (missing increase/OC build)","Reported balance lower than expected (missing decrease)"))))),""))</f>
        <v/>
      </c>
    </row>
    <row r="4358" customFormat="false" ht="15" hidden="false" customHeight="false" outlineLevel="0" collapsed="false">
      <c r="A4358" s="8"/>
      <c r="B4358" s="8"/>
      <c r="C4358" s="8"/>
      <c r="D4358" s="8"/>
      <c r="E4358" s="8"/>
      <c r="F4358" s="8"/>
      <c r="G4358" s="8"/>
      <c r="H4358" s="8"/>
      <c r="I4358" s="8"/>
      <c r="J4358" s="8"/>
      <c r="K4358" s="9"/>
      <c r="L4358" s="9"/>
      <c r="M4358" s="9"/>
      <c r="N4358" s="9"/>
      <c r="O4358" s="9"/>
      <c r="P4358" s="9"/>
      <c r="Q4358" s="9"/>
      <c r="R4358" s="9" t="str">
        <f aca="false">IF(AND(A4358&lt;&gt;"",ISNUMBER(Q4358),ISNUMBER(L4358)),ROUND(Q4358-IF(ISNUMBER(N4358),N4358,0)-IF(ISNUMBER(O4358),O4358,0)+IF(ISNUMBER(P4358),P4358,0),2),"")</f>
        <v/>
      </c>
      <c r="S4358" s="9" t="str">
        <f aca="false">IF(R4358="","",ROUND(L4358-R4358,2))</f>
        <v/>
      </c>
      <c r="T4358" s="8" t="str">
        <f aca="false">IF(A4358="","",IF(S4358="","BYPASS",IF(ABS(S4358)&lt;=Summary!$B$2,"PASS","FAIL")))</f>
        <v/>
      </c>
      <c r="U4358" s="8" t="str">
        <f aca="false">IF(T4358="BYPASS",IF(NOT(ISNUMBER(Q4358)),"PreV_ETB missing","End_tr_balance missing"),IF(T4358="FAIL",IF(AND(ISNUMBER(K4358),ISNUMBER(L4358),ABS(L4358-(K4358-IF(ISNUMBER(N4358),N4358,0)-IF(ISNUMBER(O4358),O4358,0)+IF(ISNUMBER(P4358),P4358,0)))&lt;=Summary!$B$2),"Passes using beginning_balance - PreV_ETB differs from beginning_balance",IF(AND(ISNUMBER(O4358),O4358&lt;0,ABS(L4358-(Q4358-IF(ISNUMBER(N4358),N4358,0)+IF(ISNUMBER(P4358),P4358,0)))&lt;=Summary!$B$2),"Negative realized loss not applied - check sign",IF(R4358&lt;0,"Principal paid exceeds prior balance",IF(AND(L4358&gt;Q4358,NOT(ISNUMBER(P4358))),"Balance increased but no Deferred_interest reported",IF(L4358&gt;R4358,"Reported balance higher than expected (missing increase/OC build)","Reported balance lower than expected (missing decrease)"))))),""))</f>
        <v/>
      </c>
    </row>
    <row r="4359" customFormat="false" ht="15" hidden="false" customHeight="false" outlineLevel="0" collapsed="false">
      <c r="A4359" s="8"/>
      <c r="B4359" s="8"/>
      <c r="C4359" s="8"/>
      <c r="D4359" s="8"/>
      <c r="E4359" s="8"/>
      <c r="F4359" s="8"/>
      <c r="G4359" s="8"/>
      <c r="H4359" s="8"/>
      <c r="I4359" s="8"/>
      <c r="J4359" s="8"/>
      <c r="K4359" s="9"/>
      <c r="L4359" s="9"/>
      <c r="M4359" s="9"/>
      <c r="N4359" s="9"/>
      <c r="O4359" s="9"/>
      <c r="P4359" s="9"/>
      <c r="Q4359" s="9"/>
      <c r="R4359" s="9" t="str">
        <f aca="false">IF(AND(A4359&lt;&gt;"",ISNUMBER(Q4359),ISNUMBER(L4359)),ROUND(Q4359-IF(ISNUMBER(N4359),N4359,0)-IF(ISNUMBER(O4359),O4359,0)+IF(ISNUMBER(P4359),P4359,0),2),"")</f>
        <v/>
      </c>
      <c r="S4359" s="9" t="str">
        <f aca="false">IF(R4359="","",ROUND(L4359-R4359,2))</f>
        <v/>
      </c>
      <c r="T4359" s="8" t="str">
        <f aca="false">IF(A4359="","",IF(S4359="","BYPASS",IF(ABS(S4359)&lt;=Summary!$B$2,"PASS","FAIL")))</f>
        <v/>
      </c>
      <c r="U4359" s="8" t="str">
        <f aca="false">IF(T4359="BYPASS",IF(NOT(ISNUMBER(Q4359)),"PreV_ETB missing","End_tr_balance missing"),IF(T4359="FAIL",IF(AND(ISNUMBER(K4359),ISNUMBER(L4359),ABS(L4359-(K4359-IF(ISNUMBER(N4359),N4359,0)-IF(ISNUMBER(O4359),O4359,0)+IF(ISNUMBER(P4359),P4359,0)))&lt;=Summary!$B$2),"Passes using beginning_balance - PreV_ETB differs from beginning_balance",IF(AND(ISNUMBER(O4359),O4359&lt;0,ABS(L4359-(Q4359-IF(ISNUMBER(N4359),N4359,0)+IF(ISNUMBER(P4359),P4359,0)))&lt;=Summary!$B$2),"Negative realized loss not applied - check sign",IF(R4359&lt;0,"Principal paid exceeds prior balance",IF(AND(L4359&gt;Q4359,NOT(ISNUMBER(P4359))),"Balance increased but no Deferred_interest reported",IF(L4359&gt;R4359,"Reported balance higher than expected (missing increase/OC build)","Reported balance lower than expected (missing decrease)"))))),""))</f>
        <v/>
      </c>
    </row>
    <row r="4360" customFormat="false" ht="15" hidden="false" customHeight="false" outlineLevel="0" collapsed="false">
      <c r="A4360" s="8"/>
      <c r="B4360" s="8"/>
      <c r="C4360" s="8"/>
      <c r="D4360" s="8"/>
      <c r="E4360" s="8"/>
      <c r="F4360" s="8"/>
      <c r="G4360" s="8"/>
      <c r="H4360" s="8"/>
      <c r="I4360" s="8"/>
      <c r="J4360" s="8"/>
      <c r="K4360" s="9"/>
      <c r="L4360" s="9"/>
      <c r="M4360" s="9"/>
      <c r="N4360" s="9"/>
      <c r="O4360" s="9"/>
      <c r="P4360" s="9"/>
      <c r="Q4360" s="9"/>
      <c r="R4360" s="9" t="str">
        <f aca="false">IF(AND(A4360&lt;&gt;"",ISNUMBER(Q4360),ISNUMBER(L4360)),ROUND(Q4360-IF(ISNUMBER(N4360),N4360,0)-IF(ISNUMBER(O4360),O4360,0)+IF(ISNUMBER(P4360),P4360,0),2),"")</f>
        <v/>
      </c>
      <c r="S4360" s="9" t="str">
        <f aca="false">IF(R4360="","",ROUND(L4360-R4360,2))</f>
        <v/>
      </c>
      <c r="T4360" s="8" t="str">
        <f aca="false">IF(A4360="","",IF(S4360="","BYPASS",IF(ABS(S4360)&lt;=Summary!$B$2,"PASS","FAIL")))</f>
        <v/>
      </c>
      <c r="U4360" s="8" t="str">
        <f aca="false">IF(T4360="BYPASS",IF(NOT(ISNUMBER(Q4360)),"PreV_ETB missing","End_tr_balance missing"),IF(T4360="FAIL",IF(AND(ISNUMBER(K4360),ISNUMBER(L4360),ABS(L4360-(K4360-IF(ISNUMBER(N4360),N4360,0)-IF(ISNUMBER(O4360),O4360,0)+IF(ISNUMBER(P4360),P4360,0)))&lt;=Summary!$B$2),"Passes using beginning_balance - PreV_ETB differs from beginning_balance",IF(AND(ISNUMBER(O4360),O4360&lt;0,ABS(L4360-(Q4360-IF(ISNUMBER(N4360),N4360,0)+IF(ISNUMBER(P4360),P4360,0)))&lt;=Summary!$B$2),"Negative realized loss not applied - check sign",IF(R4360&lt;0,"Principal paid exceeds prior balance",IF(AND(L4360&gt;Q4360,NOT(ISNUMBER(P4360))),"Balance increased but no Deferred_interest reported",IF(L4360&gt;R4360,"Reported balance higher than expected (missing increase/OC build)","Reported balance lower than expected (missing decrease)"))))),""))</f>
        <v/>
      </c>
    </row>
    <row r="4361" customFormat="false" ht="15" hidden="false" customHeight="false" outlineLevel="0" collapsed="false">
      <c r="A4361" s="8"/>
      <c r="B4361" s="8"/>
      <c r="C4361" s="8"/>
      <c r="D4361" s="8"/>
      <c r="E4361" s="8"/>
      <c r="F4361" s="8"/>
      <c r="G4361" s="8"/>
      <c r="H4361" s="8"/>
      <c r="I4361" s="8"/>
      <c r="J4361" s="8"/>
      <c r="K4361" s="9"/>
      <c r="L4361" s="9"/>
      <c r="M4361" s="9"/>
      <c r="N4361" s="9"/>
      <c r="O4361" s="9"/>
      <c r="P4361" s="9"/>
      <c r="Q4361" s="9"/>
      <c r="R4361" s="9" t="str">
        <f aca="false">IF(AND(A4361&lt;&gt;"",ISNUMBER(Q4361),ISNUMBER(L4361)),ROUND(Q4361-IF(ISNUMBER(N4361),N4361,0)-IF(ISNUMBER(O4361),O4361,0)+IF(ISNUMBER(P4361),P4361,0),2),"")</f>
        <v/>
      </c>
      <c r="S4361" s="9" t="str">
        <f aca="false">IF(R4361="","",ROUND(L4361-R4361,2))</f>
        <v/>
      </c>
      <c r="T4361" s="8" t="str">
        <f aca="false">IF(A4361="","",IF(S4361="","BYPASS",IF(ABS(S4361)&lt;=Summary!$B$2,"PASS","FAIL")))</f>
        <v/>
      </c>
      <c r="U4361" s="8" t="str">
        <f aca="false">IF(T4361="BYPASS",IF(NOT(ISNUMBER(Q4361)),"PreV_ETB missing","End_tr_balance missing"),IF(T4361="FAIL",IF(AND(ISNUMBER(K4361),ISNUMBER(L4361),ABS(L4361-(K4361-IF(ISNUMBER(N4361),N4361,0)-IF(ISNUMBER(O4361),O4361,0)+IF(ISNUMBER(P4361),P4361,0)))&lt;=Summary!$B$2),"Passes using beginning_balance - PreV_ETB differs from beginning_balance",IF(AND(ISNUMBER(O4361),O4361&lt;0,ABS(L4361-(Q4361-IF(ISNUMBER(N4361),N4361,0)+IF(ISNUMBER(P4361),P4361,0)))&lt;=Summary!$B$2),"Negative realized loss not applied - check sign",IF(R4361&lt;0,"Principal paid exceeds prior balance",IF(AND(L4361&gt;Q4361,NOT(ISNUMBER(P4361))),"Balance increased but no Deferred_interest reported",IF(L4361&gt;R4361,"Reported balance higher than expected (missing increase/OC build)","Reported balance lower than expected (missing decrease)"))))),""))</f>
        <v/>
      </c>
    </row>
    <row r="4362" customFormat="false" ht="15" hidden="false" customHeight="false" outlineLevel="0" collapsed="false">
      <c r="A4362" s="8"/>
      <c r="B4362" s="8"/>
      <c r="C4362" s="8"/>
      <c r="D4362" s="8"/>
      <c r="E4362" s="8"/>
      <c r="F4362" s="8"/>
      <c r="G4362" s="8"/>
      <c r="H4362" s="8"/>
      <c r="I4362" s="8"/>
      <c r="J4362" s="8"/>
      <c r="K4362" s="9"/>
      <c r="L4362" s="9"/>
      <c r="M4362" s="9"/>
      <c r="N4362" s="9"/>
      <c r="O4362" s="9"/>
      <c r="P4362" s="9"/>
      <c r="Q4362" s="9"/>
      <c r="R4362" s="9" t="str">
        <f aca="false">IF(AND(A4362&lt;&gt;"",ISNUMBER(Q4362),ISNUMBER(L4362)),ROUND(Q4362-IF(ISNUMBER(N4362),N4362,0)-IF(ISNUMBER(O4362),O4362,0)+IF(ISNUMBER(P4362),P4362,0),2),"")</f>
        <v/>
      </c>
      <c r="S4362" s="9" t="str">
        <f aca="false">IF(R4362="","",ROUND(L4362-R4362,2))</f>
        <v/>
      </c>
      <c r="T4362" s="8" t="str">
        <f aca="false">IF(A4362="","",IF(S4362="","BYPASS",IF(ABS(S4362)&lt;=Summary!$B$2,"PASS","FAIL")))</f>
        <v/>
      </c>
      <c r="U4362" s="8" t="str">
        <f aca="false">IF(T4362="BYPASS",IF(NOT(ISNUMBER(Q4362)),"PreV_ETB missing","End_tr_balance missing"),IF(T4362="FAIL",IF(AND(ISNUMBER(K4362),ISNUMBER(L4362),ABS(L4362-(K4362-IF(ISNUMBER(N4362),N4362,0)-IF(ISNUMBER(O4362),O4362,0)+IF(ISNUMBER(P4362),P4362,0)))&lt;=Summary!$B$2),"Passes using beginning_balance - PreV_ETB differs from beginning_balance",IF(AND(ISNUMBER(O4362),O4362&lt;0,ABS(L4362-(Q4362-IF(ISNUMBER(N4362),N4362,0)+IF(ISNUMBER(P4362),P4362,0)))&lt;=Summary!$B$2),"Negative realized loss not applied - check sign",IF(R4362&lt;0,"Principal paid exceeds prior balance",IF(AND(L4362&gt;Q4362,NOT(ISNUMBER(P4362))),"Balance increased but no Deferred_interest reported",IF(L4362&gt;R4362,"Reported balance higher than expected (missing increase/OC build)","Reported balance lower than expected (missing decrease)"))))),""))</f>
        <v/>
      </c>
    </row>
    <row r="4363" customFormat="false" ht="15" hidden="false" customHeight="false" outlineLevel="0" collapsed="false">
      <c r="A4363" s="8"/>
      <c r="B4363" s="8"/>
      <c r="C4363" s="8"/>
      <c r="D4363" s="8"/>
      <c r="E4363" s="8"/>
      <c r="F4363" s="8"/>
      <c r="G4363" s="8"/>
      <c r="H4363" s="8"/>
      <c r="I4363" s="8"/>
      <c r="J4363" s="8"/>
      <c r="K4363" s="9"/>
      <c r="L4363" s="9"/>
      <c r="M4363" s="9"/>
      <c r="N4363" s="9"/>
      <c r="O4363" s="9"/>
      <c r="P4363" s="9"/>
      <c r="Q4363" s="9"/>
      <c r="R4363" s="9" t="str">
        <f aca="false">IF(AND(A4363&lt;&gt;"",ISNUMBER(Q4363),ISNUMBER(L4363)),ROUND(Q4363-IF(ISNUMBER(N4363),N4363,0)-IF(ISNUMBER(O4363),O4363,0)+IF(ISNUMBER(P4363),P4363,0),2),"")</f>
        <v/>
      </c>
      <c r="S4363" s="9" t="str">
        <f aca="false">IF(R4363="","",ROUND(L4363-R4363,2))</f>
        <v/>
      </c>
      <c r="T4363" s="8" t="str">
        <f aca="false">IF(A4363="","",IF(S4363="","BYPASS",IF(ABS(S4363)&lt;=Summary!$B$2,"PASS","FAIL")))</f>
        <v/>
      </c>
      <c r="U4363" s="8" t="str">
        <f aca="false">IF(T4363="BYPASS",IF(NOT(ISNUMBER(Q4363)),"PreV_ETB missing","End_tr_balance missing"),IF(T4363="FAIL",IF(AND(ISNUMBER(K4363),ISNUMBER(L4363),ABS(L4363-(K4363-IF(ISNUMBER(N4363),N4363,0)-IF(ISNUMBER(O4363),O4363,0)+IF(ISNUMBER(P4363),P4363,0)))&lt;=Summary!$B$2),"Passes using beginning_balance - PreV_ETB differs from beginning_balance",IF(AND(ISNUMBER(O4363),O4363&lt;0,ABS(L4363-(Q4363-IF(ISNUMBER(N4363),N4363,0)+IF(ISNUMBER(P4363),P4363,0)))&lt;=Summary!$B$2),"Negative realized loss not applied - check sign",IF(R4363&lt;0,"Principal paid exceeds prior balance",IF(AND(L4363&gt;Q4363,NOT(ISNUMBER(P4363))),"Balance increased but no Deferred_interest reported",IF(L4363&gt;R4363,"Reported balance higher than expected (missing increase/OC build)","Reported balance lower than expected (missing decrease)"))))),""))</f>
        <v/>
      </c>
    </row>
    <row r="4364" customFormat="false" ht="15" hidden="false" customHeight="false" outlineLevel="0" collapsed="false">
      <c r="A4364" s="8"/>
      <c r="B4364" s="8"/>
      <c r="C4364" s="8"/>
      <c r="D4364" s="8"/>
      <c r="E4364" s="8"/>
      <c r="F4364" s="8"/>
      <c r="G4364" s="8"/>
      <c r="H4364" s="8"/>
      <c r="I4364" s="8"/>
      <c r="J4364" s="8"/>
      <c r="K4364" s="9"/>
      <c r="L4364" s="9"/>
      <c r="M4364" s="9"/>
      <c r="N4364" s="9"/>
      <c r="O4364" s="9"/>
      <c r="P4364" s="9"/>
      <c r="Q4364" s="9"/>
      <c r="R4364" s="9" t="str">
        <f aca="false">IF(AND(A4364&lt;&gt;"",ISNUMBER(Q4364),ISNUMBER(L4364)),ROUND(Q4364-IF(ISNUMBER(N4364),N4364,0)-IF(ISNUMBER(O4364),O4364,0)+IF(ISNUMBER(P4364),P4364,0),2),"")</f>
        <v/>
      </c>
      <c r="S4364" s="9" t="str">
        <f aca="false">IF(R4364="","",ROUND(L4364-R4364,2))</f>
        <v/>
      </c>
      <c r="T4364" s="8" t="str">
        <f aca="false">IF(A4364="","",IF(S4364="","BYPASS",IF(ABS(S4364)&lt;=Summary!$B$2,"PASS","FAIL")))</f>
        <v/>
      </c>
      <c r="U4364" s="8" t="str">
        <f aca="false">IF(T4364="BYPASS",IF(NOT(ISNUMBER(Q4364)),"PreV_ETB missing","End_tr_balance missing"),IF(T4364="FAIL",IF(AND(ISNUMBER(K4364),ISNUMBER(L4364),ABS(L4364-(K4364-IF(ISNUMBER(N4364),N4364,0)-IF(ISNUMBER(O4364),O4364,0)+IF(ISNUMBER(P4364),P4364,0)))&lt;=Summary!$B$2),"Passes using beginning_balance - PreV_ETB differs from beginning_balance",IF(AND(ISNUMBER(O4364),O4364&lt;0,ABS(L4364-(Q4364-IF(ISNUMBER(N4364),N4364,0)+IF(ISNUMBER(P4364),P4364,0)))&lt;=Summary!$B$2),"Negative realized loss not applied - check sign",IF(R4364&lt;0,"Principal paid exceeds prior balance",IF(AND(L4364&gt;Q4364,NOT(ISNUMBER(P4364))),"Balance increased but no Deferred_interest reported",IF(L4364&gt;R4364,"Reported balance higher than expected (missing increase/OC build)","Reported balance lower than expected (missing decrease)"))))),""))</f>
        <v/>
      </c>
    </row>
    <row r="4365" customFormat="false" ht="15" hidden="false" customHeight="false" outlineLevel="0" collapsed="false">
      <c r="A4365" s="8"/>
      <c r="B4365" s="8"/>
      <c r="C4365" s="8"/>
      <c r="D4365" s="8"/>
      <c r="E4365" s="8"/>
      <c r="F4365" s="8"/>
      <c r="G4365" s="8"/>
      <c r="H4365" s="8"/>
      <c r="I4365" s="8"/>
      <c r="J4365" s="8"/>
      <c r="K4365" s="9"/>
      <c r="L4365" s="9"/>
      <c r="M4365" s="9"/>
      <c r="N4365" s="9"/>
      <c r="O4365" s="9"/>
      <c r="P4365" s="9"/>
      <c r="Q4365" s="9"/>
      <c r="R4365" s="9" t="str">
        <f aca="false">IF(AND(A4365&lt;&gt;"",ISNUMBER(Q4365),ISNUMBER(L4365)),ROUND(Q4365-IF(ISNUMBER(N4365),N4365,0)-IF(ISNUMBER(O4365),O4365,0)+IF(ISNUMBER(P4365),P4365,0),2),"")</f>
        <v/>
      </c>
      <c r="S4365" s="9" t="str">
        <f aca="false">IF(R4365="","",ROUND(L4365-R4365,2))</f>
        <v/>
      </c>
      <c r="T4365" s="8" t="str">
        <f aca="false">IF(A4365="","",IF(S4365="","BYPASS",IF(ABS(S4365)&lt;=Summary!$B$2,"PASS","FAIL")))</f>
        <v/>
      </c>
      <c r="U4365" s="8" t="str">
        <f aca="false">IF(T4365="BYPASS",IF(NOT(ISNUMBER(Q4365)),"PreV_ETB missing","End_tr_balance missing"),IF(T4365="FAIL",IF(AND(ISNUMBER(K4365),ISNUMBER(L4365),ABS(L4365-(K4365-IF(ISNUMBER(N4365),N4365,0)-IF(ISNUMBER(O4365),O4365,0)+IF(ISNUMBER(P4365),P4365,0)))&lt;=Summary!$B$2),"Passes using beginning_balance - PreV_ETB differs from beginning_balance",IF(AND(ISNUMBER(O4365),O4365&lt;0,ABS(L4365-(Q4365-IF(ISNUMBER(N4365),N4365,0)+IF(ISNUMBER(P4365),P4365,0)))&lt;=Summary!$B$2),"Negative realized loss not applied - check sign",IF(R4365&lt;0,"Principal paid exceeds prior balance",IF(AND(L4365&gt;Q4365,NOT(ISNUMBER(P4365))),"Balance increased but no Deferred_interest reported",IF(L4365&gt;R4365,"Reported balance higher than expected (missing increase/OC build)","Reported balance lower than expected (missing decrease)"))))),""))</f>
        <v/>
      </c>
    </row>
    <row r="4366" customFormat="false" ht="15" hidden="false" customHeight="false" outlineLevel="0" collapsed="false">
      <c r="A4366" s="8"/>
      <c r="B4366" s="8"/>
      <c r="C4366" s="8"/>
      <c r="D4366" s="8"/>
      <c r="E4366" s="8"/>
      <c r="F4366" s="8"/>
      <c r="G4366" s="8"/>
      <c r="H4366" s="8"/>
      <c r="I4366" s="8"/>
      <c r="J4366" s="8"/>
      <c r="K4366" s="9"/>
      <c r="L4366" s="9"/>
      <c r="M4366" s="9"/>
      <c r="N4366" s="9"/>
      <c r="O4366" s="9"/>
      <c r="P4366" s="9"/>
      <c r="Q4366" s="9"/>
      <c r="R4366" s="9" t="str">
        <f aca="false">IF(AND(A4366&lt;&gt;"",ISNUMBER(Q4366),ISNUMBER(L4366)),ROUND(Q4366-IF(ISNUMBER(N4366),N4366,0)-IF(ISNUMBER(O4366),O4366,0)+IF(ISNUMBER(P4366),P4366,0),2),"")</f>
        <v/>
      </c>
      <c r="S4366" s="9" t="str">
        <f aca="false">IF(R4366="","",ROUND(L4366-R4366,2))</f>
        <v/>
      </c>
      <c r="T4366" s="8" t="str">
        <f aca="false">IF(A4366="","",IF(S4366="","BYPASS",IF(ABS(S4366)&lt;=Summary!$B$2,"PASS","FAIL")))</f>
        <v/>
      </c>
      <c r="U4366" s="8" t="str">
        <f aca="false">IF(T4366="BYPASS",IF(NOT(ISNUMBER(Q4366)),"PreV_ETB missing","End_tr_balance missing"),IF(T4366="FAIL",IF(AND(ISNUMBER(K4366),ISNUMBER(L4366),ABS(L4366-(K4366-IF(ISNUMBER(N4366),N4366,0)-IF(ISNUMBER(O4366),O4366,0)+IF(ISNUMBER(P4366),P4366,0)))&lt;=Summary!$B$2),"Passes using beginning_balance - PreV_ETB differs from beginning_balance",IF(AND(ISNUMBER(O4366),O4366&lt;0,ABS(L4366-(Q4366-IF(ISNUMBER(N4366),N4366,0)+IF(ISNUMBER(P4366),P4366,0)))&lt;=Summary!$B$2),"Negative realized loss not applied - check sign",IF(R4366&lt;0,"Principal paid exceeds prior balance",IF(AND(L4366&gt;Q4366,NOT(ISNUMBER(P4366))),"Balance increased but no Deferred_interest reported",IF(L4366&gt;R4366,"Reported balance higher than expected (missing increase/OC build)","Reported balance lower than expected (missing decrease)"))))),""))</f>
        <v/>
      </c>
    </row>
    <row r="4367" customFormat="false" ht="15" hidden="false" customHeight="false" outlineLevel="0" collapsed="false">
      <c r="A4367" s="8"/>
      <c r="B4367" s="8"/>
      <c r="C4367" s="8"/>
      <c r="D4367" s="8"/>
      <c r="E4367" s="8"/>
      <c r="F4367" s="8"/>
      <c r="G4367" s="8"/>
      <c r="H4367" s="8"/>
      <c r="I4367" s="8"/>
      <c r="J4367" s="8"/>
      <c r="K4367" s="9"/>
      <c r="L4367" s="9"/>
      <c r="M4367" s="9"/>
      <c r="N4367" s="9"/>
      <c r="O4367" s="9"/>
      <c r="P4367" s="9"/>
      <c r="Q4367" s="9"/>
      <c r="R4367" s="9" t="str">
        <f aca="false">IF(AND(A4367&lt;&gt;"",ISNUMBER(Q4367),ISNUMBER(L4367)),ROUND(Q4367-IF(ISNUMBER(N4367),N4367,0)-IF(ISNUMBER(O4367),O4367,0)+IF(ISNUMBER(P4367),P4367,0),2),"")</f>
        <v/>
      </c>
      <c r="S4367" s="9" t="str">
        <f aca="false">IF(R4367="","",ROUND(L4367-R4367,2))</f>
        <v/>
      </c>
      <c r="T4367" s="8" t="str">
        <f aca="false">IF(A4367="","",IF(S4367="","BYPASS",IF(ABS(S4367)&lt;=Summary!$B$2,"PASS","FAIL")))</f>
        <v/>
      </c>
      <c r="U4367" s="8" t="str">
        <f aca="false">IF(T4367="BYPASS",IF(NOT(ISNUMBER(Q4367)),"PreV_ETB missing","End_tr_balance missing"),IF(T4367="FAIL",IF(AND(ISNUMBER(K4367),ISNUMBER(L4367),ABS(L4367-(K4367-IF(ISNUMBER(N4367),N4367,0)-IF(ISNUMBER(O4367),O4367,0)+IF(ISNUMBER(P4367),P4367,0)))&lt;=Summary!$B$2),"Passes using beginning_balance - PreV_ETB differs from beginning_balance",IF(AND(ISNUMBER(O4367),O4367&lt;0,ABS(L4367-(Q4367-IF(ISNUMBER(N4367),N4367,0)+IF(ISNUMBER(P4367),P4367,0)))&lt;=Summary!$B$2),"Negative realized loss not applied - check sign",IF(R4367&lt;0,"Principal paid exceeds prior balance",IF(AND(L4367&gt;Q4367,NOT(ISNUMBER(P4367))),"Balance increased but no Deferred_interest reported",IF(L4367&gt;R4367,"Reported balance higher than expected (missing increase/OC build)","Reported balance lower than expected (missing decrease)"))))),""))</f>
        <v/>
      </c>
    </row>
    <row r="4368" customFormat="false" ht="15" hidden="false" customHeight="false" outlineLevel="0" collapsed="false">
      <c r="A4368" s="8"/>
      <c r="B4368" s="8"/>
      <c r="C4368" s="8"/>
      <c r="D4368" s="8"/>
      <c r="E4368" s="8"/>
      <c r="F4368" s="8"/>
      <c r="G4368" s="8"/>
      <c r="H4368" s="8"/>
      <c r="I4368" s="8"/>
      <c r="J4368" s="8"/>
      <c r="K4368" s="9"/>
      <c r="L4368" s="9"/>
      <c r="M4368" s="9"/>
      <c r="N4368" s="9"/>
      <c r="O4368" s="9"/>
      <c r="P4368" s="9"/>
      <c r="Q4368" s="9"/>
      <c r="R4368" s="9" t="str">
        <f aca="false">IF(AND(A4368&lt;&gt;"",ISNUMBER(Q4368),ISNUMBER(L4368)),ROUND(Q4368-IF(ISNUMBER(N4368),N4368,0)-IF(ISNUMBER(O4368),O4368,0)+IF(ISNUMBER(P4368),P4368,0),2),"")</f>
        <v/>
      </c>
      <c r="S4368" s="9" t="str">
        <f aca="false">IF(R4368="","",ROUND(L4368-R4368,2))</f>
        <v/>
      </c>
      <c r="T4368" s="8" t="str">
        <f aca="false">IF(A4368="","",IF(S4368="","BYPASS",IF(ABS(S4368)&lt;=Summary!$B$2,"PASS","FAIL")))</f>
        <v/>
      </c>
      <c r="U4368" s="8" t="str">
        <f aca="false">IF(T4368="BYPASS",IF(NOT(ISNUMBER(Q4368)),"PreV_ETB missing","End_tr_balance missing"),IF(T4368="FAIL",IF(AND(ISNUMBER(K4368),ISNUMBER(L4368),ABS(L4368-(K4368-IF(ISNUMBER(N4368),N4368,0)-IF(ISNUMBER(O4368),O4368,0)+IF(ISNUMBER(P4368),P4368,0)))&lt;=Summary!$B$2),"Passes using beginning_balance - PreV_ETB differs from beginning_balance",IF(AND(ISNUMBER(O4368),O4368&lt;0,ABS(L4368-(Q4368-IF(ISNUMBER(N4368),N4368,0)+IF(ISNUMBER(P4368),P4368,0)))&lt;=Summary!$B$2),"Negative realized loss not applied - check sign",IF(R4368&lt;0,"Principal paid exceeds prior balance",IF(AND(L4368&gt;Q4368,NOT(ISNUMBER(P4368))),"Balance increased but no Deferred_interest reported",IF(L4368&gt;R4368,"Reported balance higher than expected (missing increase/OC build)","Reported balance lower than expected (missing decrease)"))))),""))</f>
        <v/>
      </c>
    </row>
    <row r="4369" customFormat="false" ht="15" hidden="false" customHeight="false" outlineLevel="0" collapsed="false">
      <c r="A4369" s="8"/>
      <c r="B4369" s="8"/>
      <c r="C4369" s="8"/>
      <c r="D4369" s="8"/>
      <c r="E4369" s="8"/>
      <c r="F4369" s="8"/>
      <c r="G4369" s="8"/>
      <c r="H4369" s="8"/>
      <c r="I4369" s="8"/>
      <c r="J4369" s="8"/>
      <c r="K4369" s="9"/>
      <c r="L4369" s="9"/>
      <c r="M4369" s="9"/>
      <c r="N4369" s="9"/>
      <c r="O4369" s="9"/>
      <c r="P4369" s="9"/>
      <c r="Q4369" s="9"/>
      <c r="R4369" s="9" t="str">
        <f aca="false">IF(AND(A4369&lt;&gt;"",ISNUMBER(Q4369),ISNUMBER(L4369)),ROUND(Q4369-IF(ISNUMBER(N4369),N4369,0)-IF(ISNUMBER(O4369),O4369,0)+IF(ISNUMBER(P4369),P4369,0),2),"")</f>
        <v/>
      </c>
      <c r="S4369" s="9" t="str">
        <f aca="false">IF(R4369="","",ROUND(L4369-R4369,2))</f>
        <v/>
      </c>
      <c r="T4369" s="8" t="str">
        <f aca="false">IF(A4369="","",IF(S4369="","BYPASS",IF(ABS(S4369)&lt;=Summary!$B$2,"PASS","FAIL")))</f>
        <v/>
      </c>
      <c r="U4369" s="8" t="str">
        <f aca="false">IF(T4369="BYPASS",IF(NOT(ISNUMBER(Q4369)),"PreV_ETB missing","End_tr_balance missing"),IF(T4369="FAIL",IF(AND(ISNUMBER(K4369),ISNUMBER(L4369),ABS(L4369-(K4369-IF(ISNUMBER(N4369),N4369,0)-IF(ISNUMBER(O4369),O4369,0)+IF(ISNUMBER(P4369),P4369,0)))&lt;=Summary!$B$2),"Passes using beginning_balance - PreV_ETB differs from beginning_balance",IF(AND(ISNUMBER(O4369),O4369&lt;0,ABS(L4369-(Q4369-IF(ISNUMBER(N4369),N4369,0)+IF(ISNUMBER(P4369),P4369,0)))&lt;=Summary!$B$2),"Negative realized loss not applied - check sign",IF(R4369&lt;0,"Principal paid exceeds prior balance",IF(AND(L4369&gt;Q4369,NOT(ISNUMBER(P4369))),"Balance increased but no Deferred_interest reported",IF(L4369&gt;R4369,"Reported balance higher than expected (missing increase/OC build)","Reported balance lower than expected (missing decrease)"))))),""))</f>
        <v/>
      </c>
    </row>
    <row r="4370" customFormat="false" ht="15" hidden="false" customHeight="false" outlineLevel="0" collapsed="false">
      <c r="A4370" s="8"/>
      <c r="B4370" s="8"/>
      <c r="C4370" s="8"/>
      <c r="D4370" s="8"/>
      <c r="E4370" s="8"/>
      <c r="F4370" s="8"/>
      <c r="G4370" s="8"/>
      <c r="H4370" s="8"/>
      <c r="I4370" s="8"/>
      <c r="J4370" s="8"/>
      <c r="K4370" s="9"/>
      <c r="L4370" s="9"/>
      <c r="M4370" s="9"/>
      <c r="N4370" s="9"/>
      <c r="O4370" s="9"/>
      <c r="P4370" s="9"/>
      <c r="Q4370" s="9"/>
      <c r="R4370" s="9" t="str">
        <f aca="false">IF(AND(A4370&lt;&gt;"",ISNUMBER(Q4370),ISNUMBER(L4370)),ROUND(Q4370-IF(ISNUMBER(N4370),N4370,0)-IF(ISNUMBER(O4370),O4370,0)+IF(ISNUMBER(P4370),P4370,0),2),"")</f>
        <v/>
      </c>
      <c r="S4370" s="9" t="str">
        <f aca="false">IF(R4370="","",ROUND(L4370-R4370,2))</f>
        <v/>
      </c>
      <c r="T4370" s="8" t="str">
        <f aca="false">IF(A4370="","",IF(S4370="","BYPASS",IF(ABS(S4370)&lt;=Summary!$B$2,"PASS","FAIL")))</f>
        <v/>
      </c>
      <c r="U4370" s="8" t="str">
        <f aca="false">IF(T4370="BYPASS",IF(NOT(ISNUMBER(Q4370)),"PreV_ETB missing","End_tr_balance missing"),IF(T4370="FAIL",IF(AND(ISNUMBER(K4370),ISNUMBER(L4370),ABS(L4370-(K4370-IF(ISNUMBER(N4370),N4370,0)-IF(ISNUMBER(O4370),O4370,0)+IF(ISNUMBER(P4370),P4370,0)))&lt;=Summary!$B$2),"Passes using beginning_balance - PreV_ETB differs from beginning_balance",IF(AND(ISNUMBER(O4370),O4370&lt;0,ABS(L4370-(Q4370-IF(ISNUMBER(N4370),N4370,0)+IF(ISNUMBER(P4370),P4370,0)))&lt;=Summary!$B$2),"Negative realized loss not applied - check sign",IF(R4370&lt;0,"Principal paid exceeds prior balance",IF(AND(L4370&gt;Q4370,NOT(ISNUMBER(P4370))),"Balance increased but no Deferred_interest reported",IF(L4370&gt;R4370,"Reported balance higher than expected (missing increase/OC build)","Reported balance lower than expected (missing decrease)"))))),""))</f>
        <v/>
      </c>
    </row>
    <row r="4371" customFormat="false" ht="15" hidden="false" customHeight="false" outlineLevel="0" collapsed="false">
      <c r="A4371" s="8"/>
      <c r="B4371" s="8"/>
      <c r="C4371" s="8"/>
      <c r="D4371" s="8"/>
      <c r="E4371" s="8"/>
      <c r="F4371" s="8"/>
      <c r="G4371" s="8"/>
      <c r="H4371" s="8"/>
      <c r="I4371" s="8"/>
      <c r="J4371" s="8"/>
      <c r="K4371" s="9"/>
      <c r="L4371" s="9"/>
      <c r="M4371" s="9"/>
      <c r="N4371" s="9"/>
      <c r="O4371" s="9"/>
      <c r="P4371" s="9"/>
      <c r="Q4371" s="9"/>
      <c r="R4371" s="9" t="str">
        <f aca="false">IF(AND(A4371&lt;&gt;"",ISNUMBER(Q4371),ISNUMBER(L4371)),ROUND(Q4371-IF(ISNUMBER(N4371),N4371,0)-IF(ISNUMBER(O4371),O4371,0)+IF(ISNUMBER(P4371),P4371,0),2),"")</f>
        <v/>
      </c>
      <c r="S4371" s="9" t="str">
        <f aca="false">IF(R4371="","",ROUND(L4371-R4371,2))</f>
        <v/>
      </c>
      <c r="T4371" s="8" t="str">
        <f aca="false">IF(A4371="","",IF(S4371="","BYPASS",IF(ABS(S4371)&lt;=Summary!$B$2,"PASS","FAIL")))</f>
        <v/>
      </c>
      <c r="U4371" s="8" t="str">
        <f aca="false">IF(T4371="BYPASS",IF(NOT(ISNUMBER(Q4371)),"PreV_ETB missing","End_tr_balance missing"),IF(T4371="FAIL",IF(AND(ISNUMBER(K4371),ISNUMBER(L4371),ABS(L4371-(K4371-IF(ISNUMBER(N4371),N4371,0)-IF(ISNUMBER(O4371),O4371,0)+IF(ISNUMBER(P4371),P4371,0)))&lt;=Summary!$B$2),"Passes using beginning_balance - PreV_ETB differs from beginning_balance",IF(AND(ISNUMBER(O4371),O4371&lt;0,ABS(L4371-(Q4371-IF(ISNUMBER(N4371),N4371,0)+IF(ISNUMBER(P4371),P4371,0)))&lt;=Summary!$B$2),"Negative realized loss not applied - check sign",IF(R4371&lt;0,"Principal paid exceeds prior balance",IF(AND(L4371&gt;Q4371,NOT(ISNUMBER(P4371))),"Balance increased but no Deferred_interest reported",IF(L4371&gt;R4371,"Reported balance higher than expected (missing increase/OC build)","Reported balance lower than expected (missing decrease)"))))),""))</f>
        <v/>
      </c>
    </row>
    <row r="4372" customFormat="false" ht="15" hidden="false" customHeight="false" outlineLevel="0" collapsed="false">
      <c r="A4372" s="8"/>
      <c r="B4372" s="8"/>
      <c r="C4372" s="8"/>
      <c r="D4372" s="8"/>
      <c r="E4372" s="8"/>
      <c r="F4372" s="8"/>
      <c r="G4372" s="8"/>
      <c r="H4372" s="8"/>
      <c r="I4372" s="8"/>
      <c r="J4372" s="8"/>
      <c r="K4372" s="9"/>
      <c r="L4372" s="9"/>
      <c r="M4372" s="9"/>
      <c r="N4372" s="9"/>
      <c r="O4372" s="9"/>
      <c r="P4372" s="9"/>
      <c r="Q4372" s="9"/>
      <c r="R4372" s="9" t="str">
        <f aca="false">IF(AND(A4372&lt;&gt;"",ISNUMBER(Q4372),ISNUMBER(L4372)),ROUND(Q4372-IF(ISNUMBER(N4372),N4372,0)-IF(ISNUMBER(O4372),O4372,0)+IF(ISNUMBER(P4372),P4372,0),2),"")</f>
        <v/>
      </c>
      <c r="S4372" s="9" t="str">
        <f aca="false">IF(R4372="","",ROUND(L4372-R4372,2))</f>
        <v/>
      </c>
      <c r="T4372" s="8" t="str">
        <f aca="false">IF(A4372="","",IF(S4372="","BYPASS",IF(ABS(S4372)&lt;=Summary!$B$2,"PASS","FAIL")))</f>
        <v/>
      </c>
      <c r="U4372" s="8" t="str">
        <f aca="false">IF(T4372="BYPASS",IF(NOT(ISNUMBER(Q4372)),"PreV_ETB missing","End_tr_balance missing"),IF(T4372="FAIL",IF(AND(ISNUMBER(K4372),ISNUMBER(L4372),ABS(L4372-(K4372-IF(ISNUMBER(N4372),N4372,0)-IF(ISNUMBER(O4372),O4372,0)+IF(ISNUMBER(P4372),P4372,0)))&lt;=Summary!$B$2),"Passes using beginning_balance - PreV_ETB differs from beginning_balance",IF(AND(ISNUMBER(O4372),O4372&lt;0,ABS(L4372-(Q4372-IF(ISNUMBER(N4372),N4372,0)+IF(ISNUMBER(P4372),P4372,0)))&lt;=Summary!$B$2),"Negative realized loss not applied - check sign",IF(R4372&lt;0,"Principal paid exceeds prior balance",IF(AND(L4372&gt;Q4372,NOT(ISNUMBER(P4372))),"Balance increased but no Deferred_interest reported",IF(L4372&gt;R4372,"Reported balance higher than expected (missing increase/OC build)","Reported balance lower than expected (missing decrease)"))))),""))</f>
        <v/>
      </c>
    </row>
    <row r="4373" customFormat="false" ht="15" hidden="false" customHeight="false" outlineLevel="0" collapsed="false">
      <c r="A4373" s="8"/>
      <c r="B4373" s="8"/>
      <c r="C4373" s="8"/>
      <c r="D4373" s="8"/>
      <c r="E4373" s="8"/>
      <c r="F4373" s="8"/>
      <c r="G4373" s="8"/>
      <c r="H4373" s="8"/>
      <c r="I4373" s="8"/>
      <c r="J4373" s="8"/>
      <c r="K4373" s="9"/>
      <c r="L4373" s="9"/>
      <c r="M4373" s="9"/>
      <c r="N4373" s="9"/>
      <c r="O4373" s="9"/>
      <c r="P4373" s="9"/>
      <c r="Q4373" s="9"/>
      <c r="R4373" s="9" t="str">
        <f aca="false">IF(AND(A4373&lt;&gt;"",ISNUMBER(Q4373),ISNUMBER(L4373)),ROUND(Q4373-IF(ISNUMBER(N4373),N4373,0)-IF(ISNUMBER(O4373),O4373,0)+IF(ISNUMBER(P4373),P4373,0),2),"")</f>
        <v/>
      </c>
      <c r="S4373" s="9" t="str">
        <f aca="false">IF(R4373="","",ROUND(L4373-R4373,2))</f>
        <v/>
      </c>
      <c r="T4373" s="8" t="str">
        <f aca="false">IF(A4373="","",IF(S4373="","BYPASS",IF(ABS(S4373)&lt;=Summary!$B$2,"PASS","FAIL")))</f>
        <v/>
      </c>
      <c r="U4373" s="8" t="str">
        <f aca="false">IF(T4373="BYPASS",IF(NOT(ISNUMBER(Q4373)),"PreV_ETB missing","End_tr_balance missing"),IF(T4373="FAIL",IF(AND(ISNUMBER(K4373),ISNUMBER(L4373),ABS(L4373-(K4373-IF(ISNUMBER(N4373),N4373,0)-IF(ISNUMBER(O4373),O4373,0)+IF(ISNUMBER(P4373),P4373,0)))&lt;=Summary!$B$2),"Passes using beginning_balance - PreV_ETB differs from beginning_balance",IF(AND(ISNUMBER(O4373),O4373&lt;0,ABS(L4373-(Q4373-IF(ISNUMBER(N4373),N4373,0)+IF(ISNUMBER(P4373),P4373,0)))&lt;=Summary!$B$2),"Negative realized loss not applied - check sign",IF(R4373&lt;0,"Principal paid exceeds prior balance",IF(AND(L4373&gt;Q4373,NOT(ISNUMBER(P4373))),"Balance increased but no Deferred_interest reported",IF(L4373&gt;R4373,"Reported balance higher than expected (missing increase/OC build)","Reported balance lower than expected (missing decrease)"))))),""))</f>
        <v/>
      </c>
    </row>
    <row r="4374" customFormat="false" ht="15" hidden="false" customHeight="false" outlineLevel="0" collapsed="false">
      <c r="A4374" s="8"/>
      <c r="B4374" s="8"/>
      <c r="C4374" s="8"/>
      <c r="D4374" s="8"/>
      <c r="E4374" s="8"/>
      <c r="F4374" s="8"/>
      <c r="G4374" s="8"/>
      <c r="H4374" s="8"/>
      <c r="I4374" s="8"/>
      <c r="J4374" s="8"/>
      <c r="K4374" s="9"/>
      <c r="L4374" s="9"/>
      <c r="M4374" s="9"/>
      <c r="N4374" s="9"/>
      <c r="O4374" s="9"/>
      <c r="P4374" s="9"/>
      <c r="Q4374" s="9"/>
      <c r="R4374" s="9" t="str">
        <f aca="false">IF(AND(A4374&lt;&gt;"",ISNUMBER(Q4374),ISNUMBER(L4374)),ROUND(Q4374-IF(ISNUMBER(N4374),N4374,0)-IF(ISNUMBER(O4374),O4374,0)+IF(ISNUMBER(P4374),P4374,0),2),"")</f>
        <v/>
      </c>
      <c r="S4374" s="9" t="str">
        <f aca="false">IF(R4374="","",ROUND(L4374-R4374,2))</f>
        <v/>
      </c>
      <c r="T4374" s="8" t="str">
        <f aca="false">IF(A4374="","",IF(S4374="","BYPASS",IF(ABS(S4374)&lt;=Summary!$B$2,"PASS","FAIL")))</f>
        <v/>
      </c>
      <c r="U4374" s="8" t="str">
        <f aca="false">IF(T4374="BYPASS",IF(NOT(ISNUMBER(Q4374)),"PreV_ETB missing","End_tr_balance missing"),IF(T4374="FAIL",IF(AND(ISNUMBER(K4374),ISNUMBER(L4374),ABS(L4374-(K4374-IF(ISNUMBER(N4374),N4374,0)-IF(ISNUMBER(O4374),O4374,0)+IF(ISNUMBER(P4374),P4374,0)))&lt;=Summary!$B$2),"Passes using beginning_balance - PreV_ETB differs from beginning_balance",IF(AND(ISNUMBER(O4374),O4374&lt;0,ABS(L4374-(Q4374-IF(ISNUMBER(N4374),N4374,0)+IF(ISNUMBER(P4374),P4374,0)))&lt;=Summary!$B$2),"Negative realized loss not applied - check sign",IF(R4374&lt;0,"Principal paid exceeds prior balance",IF(AND(L4374&gt;Q4374,NOT(ISNUMBER(P4374))),"Balance increased but no Deferred_interest reported",IF(L4374&gt;R4374,"Reported balance higher than expected (missing increase/OC build)","Reported balance lower than expected (missing decrease)"))))),""))</f>
        <v/>
      </c>
    </row>
    <row r="4375" customFormat="false" ht="15" hidden="false" customHeight="false" outlineLevel="0" collapsed="false">
      <c r="A4375" s="8"/>
      <c r="B4375" s="8"/>
      <c r="C4375" s="8"/>
      <c r="D4375" s="8"/>
      <c r="E4375" s="8"/>
      <c r="F4375" s="8"/>
      <c r="G4375" s="8"/>
      <c r="H4375" s="8"/>
      <c r="I4375" s="8"/>
      <c r="J4375" s="8"/>
      <c r="K4375" s="9"/>
      <c r="L4375" s="9"/>
      <c r="M4375" s="9"/>
      <c r="N4375" s="9"/>
      <c r="O4375" s="9"/>
      <c r="P4375" s="9"/>
      <c r="Q4375" s="9"/>
      <c r="R4375" s="9" t="str">
        <f aca="false">IF(AND(A4375&lt;&gt;"",ISNUMBER(Q4375),ISNUMBER(L4375)),ROUND(Q4375-IF(ISNUMBER(N4375),N4375,0)-IF(ISNUMBER(O4375),O4375,0)+IF(ISNUMBER(P4375),P4375,0),2),"")</f>
        <v/>
      </c>
      <c r="S4375" s="9" t="str">
        <f aca="false">IF(R4375="","",ROUND(L4375-R4375,2))</f>
        <v/>
      </c>
      <c r="T4375" s="8" t="str">
        <f aca="false">IF(A4375="","",IF(S4375="","BYPASS",IF(ABS(S4375)&lt;=Summary!$B$2,"PASS","FAIL")))</f>
        <v/>
      </c>
      <c r="U4375" s="8" t="str">
        <f aca="false">IF(T4375="BYPASS",IF(NOT(ISNUMBER(Q4375)),"PreV_ETB missing","End_tr_balance missing"),IF(T4375="FAIL",IF(AND(ISNUMBER(K4375),ISNUMBER(L4375),ABS(L4375-(K4375-IF(ISNUMBER(N4375),N4375,0)-IF(ISNUMBER(O4375),O4375,0)+IF(ISNUMBER(P4375),P4375,0)))&lt;=Summary!$B$2),"Passes using beginning_balance - PreV_ETB differs from beginning_balance",IF(AND(ISNUMBER(O4375),O4375&lt;0,ABS(L4375-(Q4375-IF(ISNUMBER(N4375),N4375,0)+IF(ISNUMBER(P4375),P4375,0)))&lt;=Summary!$B$2),"Negative realized loss not applied - check sign",IF(R4375&lt;0,"Principal paid exceeds prior balance",IF(AND(L4375&gt;Q4375,NOT(ISNUMBER(P4375))),"Balance increased but no Deferred_interest reported",IF(L4375&gt;R4375,"Reported balance higher than expected (missing increase/OC build)","Reported balance lower than expected (missing decrease)"))))),""))</f>
        <v/>
      </c>
    </row>
    <row r="4376" customFormat="false" ht="15" hidden="false" customHeight="false" outlineLevel="0" collapsed="false">
      <c r="A4376" s="8"/>
      <c r="B4376" s="8"/>
      <c r="C4376" s="8"/>
      <c r="D4376" s="8"/>
      <c r="E4376" s="8"/>
      <c r="F4376" s="8"/>
      <c r="G4376" s="8"/>
      <c r="H4376" s="8"/>
      <c r="I4376" s="8"/>
      <c r="J4376" s="8"/>
      <c r="K4376" s="9"/>
      <c r="L4376" s="9"/>
      <c r="M4376" s="9"/>
      <c r="N4376" s="9"/>
      <c r="O4376" s="9"/>
      <c r="P4376" s="9"/>
      <c r="Q4376" s="9"/>
      <c r="R4376" s="9" t="str">
        <f aca="false">IF(AND(A4376&lt;&gt;"",ISNUMBER(Q4376),ISNUMBER(L4376)),ROUND(Q4376-IF(ISNUMBER(N4376),N4376,0)-IF(ISNUMBER(O4376),O4376,0)+IF(ISNUMBER(P4376),P4376,0),2),"")</f>
        <v/>
      </c>
      <c r="S4376" s="9" t="str">
        <f aca="false">IF(R4376="","",ROUND(L4376-R4376,2))</f>
        <v/>
      </c>
      <c r="T4376" s="8" t="str">
        <f aca="false">IF(A4376="","",IF(S4376="","BYPASS",IF(ABS(S4376)&lt;=Summary!$B$2,"PASS","FAIL")))</f>
        <v/>
      </c>
      <c r="U4376" s="8" t="str">
        <f aca="false">IF(T4376="BYPASS",IF(NOT(ISNUMBER(Q4376)),"PreV_ETB missing","End_tr_balance missing"),IF(T4376="FAIL",IF(AND(ISNUMBER(K4376),ISNUMBER(L4376),ABS(L4376-(K4376-IF(ISNUMBER(N4376),N4376,0)-IF(ISNUMBER(O4376),O4376,0)+IF(ISNUMBER(P4376),P4376,0)))&lt;=Summary!$B$2),"Passes using beginning_balance - PreV_ETB differs from beginning_balance",IF(AND(ISNUMBER(O4376),O4376&lt;0,ABS(L4376-(Q4376-IF(ISNUMBER(N4376),N4376,0)+IF(ISNUMBER(P4376),P4376,0)))&lt;=Summary!$B$2),"Negative realized loss not applied - check sign",IF(R4376&lt;0,"Principal paid exceeds prior balance",IF(AND(L4376&gt;Q4376,NOT(ISNUMBER(P4376))),"Balance increased but no Deferred_interest reported",IF(L4376&gt;R4376,"Reported balance higher than expected (missing increase/OC build)","Reported balance lower than expected (missing decrease)"))))),""))</f>
        <v/>
      </c>
    </row>
    <row r="4377" customFormat="false" ht="15" hidden="false" customHeight="false" outlineLevel="0" collapsed="false">
      <c r="A4377" s="8"/>
      <c r="B4377" s="8"/>
      <c r="C4377" s="8"/>
      <c r="D4377" s="8"/>
      <c r="E4377" s="8"/>
      <c r="F4377" s="8"/>
      <c r="G4377" s="8"/>
      <c r="H4377" s="8"/>
      <c r="I4377" s="8"/>
      <c r="J4377" s="8"/>
      <c r="K4377" s="9"/>
      <c r="L4377" s="9"/>
      <c r="M4377" s="9"/>
      <c r="N4377" s="9"/>
      <c r="O4377" s="9"/>
      <c r="P4377" s="9"/>
      <c r="Q4377" s="9"/>
      <c r="R4377" s="9" t="str">
        <f aca="false">IF(AND(A4377&lt;&gt;"",ISNUMBER(Q4377),ISNUMBER(L4377)),ROUND(Q4377-IF(ISNUMBER(N4377),N4377,0)-IF(ISNUMBER(O4377),O4377,0)+IF(ISNUMBER(P4377),P4377,0),2),"")</f>
        <v/>
      </c>
      <c r="S4377" s="9" t="str">
        <f aca="false">IF(R4377="","",ROUND(L4377-R4377,2))</f>
        <v/>
      </c>
      <c r="T4377" s="8" t="str">
        <f aca="false">IF(A4377="","",IF(S4377="","BYPASS",IF(ABS(S4377)&lt;=Summary!$B$2,"PASS","FAIL")))</f>
        <v/>
      </c>
      <c r="U4377" s="8" t="str">
        <f aca="false">IF(T4377="BYPASS",IF(NOT(ISNUMBER(Q4377)),"PreV_ETB missing","End_tr_balance missing"),IF(T4377="FAIL",IF(AND(ISNUMBER(K4377),ISNUMBER(L4377),ABS(L4377-(K4377-IF(ISNUMBER(N4377),N4377,0)-IF(ISNUMBER(O4377),O4377,0)+IF(ISNUMBER(P4377),P4377,0)))&lt;=Summary!$B$2),"Passes using beginning_balance - PreV_ETB differs from beginning_balance",IF(AND(ISNUMBER(O4377),O4377&lt;0,ABS(L4377-(Q4377-IF(ISNUMBER(N4377),N4377,0)+IF(ISNUMBER(P4377),P4377,0)))&lt;=Summary!$B$2),"Negative realized loss not applied - check sign",IF(R4377&lt;0,"Principal paid exceeds prior balance",IF(AND(L4377&gt;Q4377,NOT(ISNUMBER(P4377))),"Balance increased but no Deferred_interest reported",IF(L4377&gt;R4377,"Reported balance higher than expected (missing increase/OC build)","Reported balance lower than expected (missing decrease)"))))),""))</f>
        <v/>
      </c>
    </row>
    <row r="4378" customFormat="false" ht="15" hidden="false" customHeight="false" outlineLevel="0" collapsed="false">
      <c r="A4378" s="8"/>
      <c r="B4378" s="8"/>
      <c r="C4378" s="8"/>
      <c r="D4378" s="8"/>
      <c r="E4378" s="8"/>
      <c r="F4378" s="8"/>
      <c r="G4378" s="8"/>
      <c r="H4378" s="8"/>
      <c r="I4378" s="8"/>
      <c r="J4378" s="8"/>
      <c r="K4378" s="9"/>
      <c r="L4378" s="9"/>
      <c r="M4378" s="9"/>
      <c r="N4378" s="9"/>
      <c r="O4378" s="9"/>
      <c r="P4378" s="9"/>
      <c r="Q4378" s="9"/>
      <c r="R4378" s="9" t="str">
        <f aca="false">IF(AND(A4378&lt;&gt;"",ISNUMBER(Q4378),ISNUMBER(L4378)),ROUND(Q4378-IF(ISNUMBER(N4378),N4378,0)-IF(ISNUMBER(O4378),O4378,0)+IF(ISNUMBER(P4378),P4378,0),2),"")</f>
        <v/>
      </c>
      <c r="S4378" s="9" t="str">
        <f aca="false">IF(R4378="","",ROUND(L4378-R4378,2))</f>
        <v/>
      </c>
      <c r="T4378" s="8" t="str">
        <f aca="false">IF(A4378="","",IF(S4378="","BYPASS",IF(ABS(S4378)&lt;=Summary!$B$2,"PASS","FAIL")))</f>
        <v/>
      </c>
      <c r="U4378" s="8" t="str">
        <f aca="false">IF(T4378="BYPASS",IF(NOT(ISNUMBER(Q4378)),"PreV_ETB missing","End_tr_balance missing"),IF(T4378="FAIL",IF(AND(ISNUMBER(K4378),ISNUMBER(L4378),ABS(L4378-(K4378-IF(ISNUMBER(N4378),N4378,0)-IF(ISNUMBER(O4378),O4378,0)+IF(ISNUMBER(P4378),P4378,0)))&lt;=Summary!$B$2),"Passes using beginning_balance - PreV_ETB differs from beginning_balance",IF(AND(ISNUMBER(O4378),O4378&lt;0,ABS(L4378-(Q4378-IF(ISNUMBER(N4378),N4378,0)+IF(ISNUMBER(P4378),P4378,0)))&lt;=Summary!$B$2),"Negative realized loss not applied - check sign",IF(R4378&lt;0,"Principal paid exceeds prior balance",IF(AND(L4378&gt;Q4378,NOT(ISNUMBER(P4378))),"Balance increased but no Deferred_interest reported",IF(L4378&gt;R4378,"Reported balance higher than expected (missing increase/OC build)","Reported balance lower than expected (missing decrease)"))))),""))</f>
        <v/>
      </c>
    </row>
    <row r="4379" customFormat="false" ht="15" hidden="false" customHeight="false" outlineLevel="0" collapsed="false">
      <c r="A4379" s="8"/>
      <c r="B4379" s="8"/>
      <c r="C4379" s="8"/>
      <c r="D4379" s="8"/>
      <c r="E4379" s="8"/>
      <c r="F4379" s="8"/>
      <c r="G4379" s="8"/>
      <c r="H4379" s="8"/>
      <c r="I4379" s="8"/>
      <c r="J4379" s="8"/>
      <c r="K4379" s="9"/>
      <c r="L4379" s="9"/>
      <c r="M4379" s="9"/>
      <c r="N4379" s="9"/>
      <c r="O4379" s="9"/>
      <c r="P4379" s="9"/>
      <c r="Q4379" s="9"/>
      <c r="R4379" s="9" t="str">
        <f aca="false">IF(AND(A4379&lt;&gt;"",ISNUMBER(Q4379),ISNUMBER(L4379)),ROUND(Q4379-IF(ISNUMBER(N4379),N4379,0)-IF(ISNUMBER(O4379),O4379,0)+IF(ISNUMBER(P4379),P4379,0),2),"")</f>
        <v/>
      </c>
      <c r="S4379" s="9" t="str">
        <f aca="false">IF(R4379="","",ROUND(L4379-R4379,2))</f>
        <v/>
      </c>
      <c r="T4379" s="8" t="str">
        <f aca="false">IF(A4379="","",IF(S4379="","BYPASS",IF(ABS(S4379)&lt;=Summary!$B$2,"PASS","FAIL")))</f>
        <v/>
      </c>
      <c r="U4379" s="8" t="str">
        <f aca="false">IF(T4379="BYPASS",IF(NOT(ISNUMBER(Q4379)),"PreV_ETB missing","End_tr_balance missing"),IF(T4379="FAIL",IF(AND(ISNUMBER(K4379),ISNUMBER(L4379),ABS(L4379-(K4379-IF(ISNUMBER(N4379),N4379,0)-IF(ISNUMBER(O4379),O4379,0)+IF(ISNUMBER(P4379),P4379,0)))&lt;=Summary!$B$2),"Passes using beginning_balance - PreV_ETB differs from beginning_balance",IF(AND(ISNUMBER(O4379),O4379&lt;0,ABS(L4379-(Q4379-IF(ISNUMBER(N4379),N4379,0)+IF(ISNUMBER(P4379),P4379,0)))&lt;=Summary!$B$2),"Negative realized loss not applied - check sign",IF(R4379&lt;0,"Principal paid exceeds prior balance",IF(AND(L4379&gt;Q4379,NOT(ISNUMBER(P4379))),"Balance increased but no Deferred_interest reported",IF(L4379&gt;R4379,"Reported balance higher than expected (missing increase/OC build)","Reported balance lower than expected (missing decrease)"))))),""))</f>
        <v/>
      </c>
    </row>
    <row r="4380" customFormat="false" ht="15" hidden="false" customHeight="false" outlineLevel="0" collapsed="false">
      <c r="A4380" s="8"/>
      <c r="B4380" s="8"/>
      <c r="C4380" s="8"/>
      <c r="D4380" s="8"/>
      <c r="E4380" s="8"/>
      <c r="F4380" s="8"/>
      <c r="G4380" s="8"/>
      <c r="H4380" s="8"/>
      <c r="I4380" s="8"/>
      <c r="J4380" s="8"/>
      <c r="K4380" s="9"/>
      <c r="L4380" s="9"/>
      <c r="M4380" s="9"/>
      <c r="N4380" s="9"/>
      <c r="O4380" s="9"/>
      <c r="P4380" s="9"/>
      <c r="Q4380" s="9"/>
      <c r="R4380" s="9" t="str">
        <f aca="false">IF(AND(A4380&lt;&gt;"",ISNUMBER(Q4380),ISNUMBER(L4380)),ROUND(Q4380-IF(ISNUMBER(N4380),N4380,0)-IF(ISNUMBER(O4380),O4380,0)+IF(ISNUMBER(P4380),P4380,0),2),"")</f>
        <v/>
      </c>
      <c r="S4380" s="9" t="str">
        <f aca="false">IF(R4380="","",ROUND(L4380-R4380,2))</f>
        <v/>
      </c>
      <c r="T4380" s="8" t="str">
        <f aca="false">IF(A4380="","",IF(S4380="","BYPASS",IF(ABS(S4380)&lt;=Summary!$B$2,"PASS","FAIL")))</f>
        <v/>
      </c>
      <c r="U4380" s="8" t="str">
        <f aca="false">IF(T4380="BYPASS",IF(NOT(ISNUMBER(Q4380)),"PreV_ETB missing","End_tr_balance missing"),IF(T4380="FAIL",IF(AND(ISNUMBER(K4380),ISNUMBER(L4380),ABS(L4380-(K4380-IF(ISNUMBER(N4380),N4380,0)-IF(ISNUMBER(O4380),O4380,0)+IF(ISNUMBER(P4380),P4380,0)))&lt;=Summary!$B$2),"Passes using beginning_balance - PreV_ETB differs from beginning_balance",IF(AND(ISNUMBER(O4380),O4380&lt;0,ABS(L4380-(Q4380-IF(ISNUMBER(N4380),N4380,0)+IF(ISNUMBER(P4380),P4380,0)))&lt;=Summary!$B$2),"Negative realized loss not applied - check sign",IF(R4380&lt;0,"Principal paid exceeds prior balance",IF(AND(L4380&gt;Q4380,NOT(ISNUMBER(P4380))),"Balance increased but no Deferred_interest reported",IF(L4380&gt;R4380,"Reported balance higher than expected (missing increase/OC build)","Reported balance lower than expected (missing decrease)"))))),""))</f>
        <v/>
      </c>
    </row>
    <row r="4381" customFormat="false" ht="15" hidden="false" customHeight="false" outlineLevel="0" collapsed="false">
      <c r="A4381" s="8"/>
      <c r="B4381" s="8"/>
      <c r="C4381" s="8"/>
      <c r="D4381" s="8"/>
      <c r="E4381" s="8"/>
      <c r="F4381" s="8"/>
      <c r="G4381" s="8"/>
      <c r="H4381" s="8"/>
      <c r="I4381" s="8"/>
      <c r="J4381" s="8"/>
      <c r="K4381" s="9"/>
      <c r="L4381" s="9"/>
      <c r="M4381" s="9"/>
      <c r="N4381" s="9"/>
      <c r="O4381" s="9"/>
      <c r="P4381" s="9"/>
      <c r="Q4381" s="9"/>
      <c r="R4381" s="9" t="str">
        <f aca="false">IF(AND(A4381&lt;&gt;"",ISNUMBER(Q4381),ISNUMBER(L4381)),ROUND(Q4381-IF(ISNUMBER(N4381),N4381,0)-IF(ISNUMBER(O4381),O4381,0)+IF(ISNUMBER(P4381),P4381,0),2),"")</f>
        <v/>
      </c>
      <c r="S4381" s="9" t="str">
        <f aca="false">IF(R4381="","",ROUND(L4381-R4381,2))</f>
        <v/>
      </c>
      <c r="T4381" s="8" t="str">
        <f aca="false">IF(A4381="","",IF(S4381="","BYPASS",IF(ABS(S4381)&lt;=Summary!$B$2,"PASS","FAIL")))</f>
        <v/>
      </c>
      <c r="U4381" s="8" t="str">
        <f aca="false">IF(T4381="BYPASS",IF(NOT(ISNUMBER(Q4381)),"PreV_ETB missing","End_tr_balance missing"),IF(T4381="FAIL",IF(AND(ISNUMBER(K4381),ISNUMBER(L4381),ABS(L4381-(K4381-IF(ISNUMBER(N4381),N4381,0)-IF(ISNUMBER(O4381),O4381,0)+IF(ISNUMBER(P4381),P4381,0)))&lt;=Summary!$B$2),"Passes using beginning_balance - PreV_ETB differs from beginning_balance",IF(AND(ISNUMBER(O4381),O4381&lt;0,ABS(L4381-(Q4381-IF(ISNUMBER(N4381),N4381,0)+IF(ISNUMBER(P4381),P4381,0)))&lt;=Summary!$B$2),"Negative realized loss not applied - check sign",IF(R4381&lt;0,"Principal paid exceeds prior balance",IF(AND(L4381&gt;Q4381,NOT(ISNUMBER(P4381))),"Balance increased but no Deferred_interest reported",IF(L4381&gt;R4381,"Reported balance higher than expected (missing increase/OC build)","Reported balance lower than expected (missing decrease)"))))),""))</f>
        <v/>
      </c>
    </row>
    <row r="4382" customFormat="false" ht="15" hidden="false" customHeight="false" outlineLevel="0" collapsed="false">
      <c r="A4382" s="8"/>
      <c r="B4382" s="8"/>
      <c r="C4382" s="8"/>
      <c r="D4382" s="8"/>
      <c r="E4382" s="8"/>
      <c r="F4382" s="8"/>
      <c r="G4382" s="8"/>
      <c r="H4382" s="8"/>
      <c r="I4382" s="8"/>
      <c r="J4382" s="8"/>
      <c r="K4382" s="9"/>
      <c r="L4382" s="9"/>
      <c r="M4382" s="9"/>
      <c r="N4382" s="9"/>
      <c r="O4382" s="9"/>
      <c r="P4382" s="9"/>
      <c r="Q4382" s="9"/>
      <c r="R4382" s="9" t="str">
        <f aca="false">IF(AND(A4382&lt;&gt;"",ISNUMBER(Q4382),ISNUMBER(L4382)),ROUND(Q4382-IF(ISNUMBER(N4382),N4382,0)-IF(ISNUMBER(O4382),O4382,0)+IF(ISNUMBER(P4382),P4382,0),2),"")</f>
        <v/>
      </c>
      <c r="S4382" s="9" t="str">
        <f aca="false">IF(R4382="","",ROUND(L4382-R4382,2))</f>
        <v/>
      </c>
      <c r="T4382" s="8" t="str">
        <f aca="false">IF(A4382="","",IF(S4382="","BYPASS",IF(ABS(S4382)&lt;=Summary!$B$2,"PASS","FAIL")))</f>
        <v/>
      </c>
      <c r="U4382" s="8" t="str">
        <f aca="false">IF(T4382="BYPASS",IF(NOT(ISNUMBER(Q4382)),"PreV_ETB missing","End_tr_balance missing"),IF(T4382="FAIL",IF(AND(ISNUMBER(K4382),ISNUMBER(L4382),ABS(L4382-(K4382-IF(ISNUMBER(N4382),N4382,0)-IF(ISNUMBER(O4382),O4382,0)+IF(ISNUMBER(P4382),P4382,0)))&lt;=Summary!$B$2),"Passes using beginning_balance - PreV_ETB differs from beginning_balance",IF(AND(ISNUMBER(O4382),O4382&lt;0,ABS(L4382-(Q4382-IF(ISNUMBER(N4382),N4382,0)+IF(ISNUMBER(P4382),P4382,0)))&lt;=Summary!$B$2),"Negative realized loss not applied - check sign",IF(R4382&lt;0,"Principal paid exceeds prior balance",IF(AND(L4382&gt;Q4382,NOT(ISNUMBER(P4382))),"Balance increased but no Deferred_interest reported",IF(L4382&gt;R4382,"Reported balance higher than expected (missing increase/OC build)","Reported balance lower than expected (missing decrease)"))))),""))</f>
        <v/>
      </c>
    </row>
    <row r="4383" customFormat="false" ht="15" hidden="false" customHeight="false" outlineLevel="0" collapsed="false">
      <c r="A4383" s="8"/>
      <c r="B4383" s="8"/>
      <c r="C4383" s="8"/>
      <c r="D4383" s="8"/>
      <c r="E4383" s="8"/>
      <c r="F4383" s="8"/>
      <c r="G4383" s="8"/>
      <c r="H4383" s="8"/>
      <c r="I4383" s="8"/>
      <c r="J4383" s="8"/>
      <c r="K4383" s="9"/>
      <c r="L4383" s="9"/>
      <c r="M4383" s="9"/>
      <c r="N4383" s="9"/>
      <c r="O4383" s="9"/>
      <c r="P4383" s="9"/>
      <c r="Q4383" s="9"/>
      <c r="R4383" s="9" t="str">
        <f aca="false">IF(AND(A4383&lt;&gt;"",ISNUMBER(Q4383),ISNUMBER(L4383)),ROUND(Q4383-IF(ISNUMBER(N4383),N4383,0)-IF(ISNUMBER(O4383),O4383,0)+IF(ISNUMBER(P4383),P4383,0),2),"")</f>
        <v/>
      </c>
      <c r="S4383" s="9" t="str">
        <f aca="false">IF(R4383="","",ROUND(L4383-R4383,2))</f>
        <v/>
      </c>
      <c r="T4383" s="8" t="str">
        <f aca="false">IF(A4383="","",IF(S4383="","BYPASS",IF(ABS(S4383)&lt;=Summary!$B$2,"PASS","FAIL")))</f>
        <v/>
      </c>
      <c r="U4383" s="8" t="str">
        <f aca="false">IF(T4383="BYPASS",IF(NOT(ISNUMBER(Q4383)),"PreV_ETB missing","End_tr_balance missing"),IF(T4383="FAIL",IF(AND(ISNUMBER(K4383),ISNUMBER(L4383),ABS(L4383-(K4383-IF(ISNUMBER(N4383),N4383,0)-IF(ISNUMBER(O4383),O4383,0)+IF(ISNUMBER(P4383),P4383,0)))&lt;=Summary!$B$2),"Passes using beginning_balance - PreV_ETB differs from beginning_balance",IF(AND(ISNUMBER(O4383),O4383&lt;0,ABS(L4383-(Q4383-IF(ISNUMBER(N4383),N4383,0)+IF(ISNUMBER(P4383),P4383,0)))&lt;=Summary!$B$2),"Negative realized loss not applied - check sign",IF(R4383&lt;0,"Principal paid exceeds prior balance",IF(AND(L4383&gt;Q4383,NOT(ISNUMBER(P4383))),"Balance increased but no Deferred_interest reported",IF(L4383&gt;R4383,"Reported balance higher than expected (missing increase/OC build)","Reported balance lower than expected (missing decrease)"))))),""))</f>
        <v/>
      </c>
    </row>
    <row r="4384" customFormat="false" ht="15" hidden="false" customHeight="false" outlineLevel="0" collapsed="false">
      <c r="A4384" s="8"/>
      <c r="B4384" s="8"/>
      <c r="C4384" s="8"/>
      <c r="D4384" s="8"/>
      <c r="E4384" s="8"/>
      <c r="F4384" s="8"/>
      <c r="G4384" s="8"/>
      <c r="H4384" s="8"/>
      <c r="I4384" s="8"/>
      <c r="J4384" s="8"/>
      <c r="K4384" s="9"/>
      <c r="L4384" s="9"/>
      <c r="M4384" s="9"/>
      <c r="N4384" s="9"/>
      <c r="O4384" s="9"/>
      <c r="P4384" s="9"/>
      <c r="Q4384" s="9"/>
      <c r="R4384" s="9" t="str">
        <f aca="false">IF(AND(A4384&lt;&gt;"",ISNUMBER(Q4384),ISNUMBER(L4384)),ROUND(Q4384-IF(ISNUMBER(N4384),N4384,0)-IF(ISNUMBER(O4384),O4384,0)+IF(ISNUMBER(P4384),P4384,0),2),"")</f>
        <v/>
      </c>
      <c r="S4384" s="9" t="str">
        <f aca="false">IF(R4384="","",ROUND(L4384-R4384,2))</f>
        <v/>
      </c>
      <c r="T4384" s="8" t="str">
        <f aca="false">IF(A4384="","",IF(S4384="","BYPASS",IF(ABS(S4384)&lt;=Summary!$B$2,"PASS","FAIL")))</f>
        <v/>
      </c>
      <c r="U4384" s="8" t="str">
        <f aca="false">IF(T4384="BYPASS",IF(NOT(ISNUMBER(Q4384)),"PreV_ETB missing","End_tr_balance missing"),IF(T4384="FAIL",IF(AND(ISNUMBER(K4384),ISNUMBER(L4384),ABS(L4384-(K4384-IF(ISNUMBER(N4384),N4384,0)-IF(ISNUMBER(O4384),O4384,0)+IF(ISNUMBER(P4384),P4384,0)))&lt;=Summary!$B$2),"Passes using beginning_balance - PreV_ETB differs from beginning_balance",IF(AND(ISNUMBER(O4384),O4384&lt;0,ABS(L4384-(Q4384-IF(ISNUMBER(N4384),N4384,0)+IF(ISNUMBER(P4384),P4384,0)))&lt;=Summary!$B$2),"Negative realized loss not applied - check sign",IF(R4384&lt;0,"Principal paid exceeds prior balance",IF(AND(L4384&gt;Q4384,NOT(ISNUMBER(P4384))),"Balance increased but no Deferred_interest reported",IF(L4384&gt;R4384,"Reported balance higher than expected (missing increase/OC build)","Reported balance lower than expected (missing decrease)"))))),""))</f>
        <v/>
      </c>
    </row>
    <row r="4385" customFormat="false" ht="15" hidden="false" customHeight="false" outlineLevel="0" collapsed="false">
      <c r="A4385" s="8"/>
      <c r="B4385" s="8"/>
      <c r="C4385" s="8"/>
      <c r="D4385" s="8"/>
      <c r="E4385" s="8"/>
      <c r="F4385" s="8"/>
      <c r="G4385" s="8"/>
      <c r="H4385" s="8"/>
      <c r="I4385" s="8"/>
      <c r="J4385" s="8"/>
      <c r="K4385" s="9"/>
      <c r="L4385" s="9"/>
      <c r="M4385" s="9"/>
      <c r="N4385" s="9"/>
      <c r="O4385" s="9"/>
      <c r="P4385" s="9"/>
      <c r="Q4385" s="9"/>
      <c r="R4385" s="9" t="str">
        <f aca="false">IF(AND(A4385&lt;&gt;"",ISNUMBER(Q4385),ISNUMBER(L4385)),ROUND(Q4385-IF(ISNUMBER(N4385),N4385,0)-IF(ISNUMBER(O4385),O4385,0)+IF(ISNUMBER(P4385),P4385,0),2),"")</f>
        <v/>
      </c>
      <c r="S4385" s="9" t="str">
        <f aca="false">IF(R4385="","",ROUND(L4385-R4385,2))</f>
        <v/>
      </c>
      <c r="T4385" s="8" t="str">
        <f aca="false">IF(A4385="","",IF(S4385="","BYPASS",IF(ABS(S4385)&lt;=Summary!$B$2,"PASS","FAIL")))</f>
        <v/>
      </c>
      <c r="U4385" s="8" t="str">
        <f aca="false">IF(T4385="BYPASS",IF(NOT(ISNUMBER(Q4385)),"PreV_ETB missing","End_tr_balance missing"),IF(T4385="FAIL",IF(AND(ISNUMBER(K4385),ISNUMBER(L4385),ABS(L4385-(K4385-IF(ISNUMBER(N4385),N4385,0)-IF(ISNUMBER(O4385),O4385,0)+IF(ISNUMBER(P4385),P4385,0)))&lt;=Summary!$B$2),"Passes using beginning_balance - PreV_ETB differs from beginning_balance",IF(AND(ISNUMBER(O4385),O4385&lt;0,ABS(L4385-(Q4385-IF(ISNUMBER(N4385),N4385,0)+IF(ISNUMBER(P4385),P4385,0)))&lt;=Summary!$B$2),"Negative realized loss not applied - check sign",IF(R4385&lt;0,"Principal paid exceeds prior balance",IF(AND(L4385&gt;Q4385,NOT(ISNUMBER(P4385))),"Balance increased but no Deferred_interest reported",IF(L4385&gt;R4385,"Reported balance higher than expected (missing increase/OC build)","Reported balance lower than expected (missing decrease)"))))),""))</f>
        <v/>
      </c>
    </row>
    <row r="4386" customFormat="false" ht="15" hidden="false" customHeight="false" outlineLevel="0" collapsed="false">
      <c r="A4386" s="8"/>
      <c r="B4386" s="8"/>
      <c r="C4386" s="8"/>
      <c r="D4386" s="8"/>
      <c r="E4386" s="8"/>
      <c r="F4386" s="8"/>
      <c r="G4386" s="8"/>
      <c r="H4386" s="8"/>
      <c r="I4386" s="8"/>
      <c r="J4386" s="8"/>
      <c r="K4386" s="9"/>
      <c r="L4386" s="9"/>
      <c r="M4386" s="9"/>
      <c r="N4386" s="9"/>
      <c r="O4386" s="9"/>
      <c r="P4386" s="9"/>
      <c r="Q4386" s="9"/>
      <c r="R4386" s="9" t="str">
        <f aca="false">IF(AND(A4386&lt;&gt;"",ISNUMBER(Q4386),ISNUMBER(L4386)),ROUND(Q4386-IF(ISNUMBER(N4386),N4386,0)-IF(ISNUMBER(O4386),O4386,0)+IF(ISNUMBER(P4386),P4386,0),2),"")</f>
        <v/>
      </c>
      <c r="S4386" s="9" t="str">
        <f aca="false">IF(R4386="","",ROUND(L4386-R4386,2))</f>
        <v/>
      </c>
      <c r="T4386" s="8" t="str">
        <f aca="false">IF(A4386="","",IF(S4386="","BYPASS",IF(ABS(S4386)&lt;=Summary!$B$2,"PASS","FAIL")))</f>
        <v/>
      </c>
      <c r="U4386" s="8" t="str">
        <f aca="false">IF(T4386="BYPASS",IF(NOT(ISNUMBER(Q4386)),"PreV_ETB missing","End_tr_balance missing"),IF(T4386="FAIL",IF(AND(ISNUMBER(K4386),ISNUMBER(L4386),ABS(L4386-(K4386-IF(ISNUMBER(N4386),N4386,0)-IF(ISNUMBER(O4386),O4386,0)+IF(ISNUMBER(P4386),P4386,0)))&lt;=Summary!$B$2),"Passes using beginning_balance - PreV_ETB differs from beginning_balance",IF(AND(ISNUMBER(O4386),O4386&lt;0,ABS(L4386-(Q4386-IF(ISNUMBER(N4386),N4386,0)+IF(ISNUMBER(P4386),P4386,0)))&lt;=Summary!$B$2),"Negative realized loss not applied - check sign",IF(R4386&lt;0,"Principal paid exceeds prior balance",IF(AND(L4386&gt;Q4386,NOT(ISNUMBER(P4386))),"Balance increased but no Deferred_interest reported",IF(L4386&gt;R4386,"Reported balance higher than expected (missing increase/OC build)","Reported balance lower than expected (missing decrease)"))))),""))</f>
        <v/>
      </c>
    </row>
    <row r="4387" customFormat="false" ht="15" hidden="false" customHeight="false" outlineLevel="0" collapsed="false">
      <c r="A4387" s="8"/>
      <c r="B4387" s="8"/>
      <c r="C4387" s="8"/>
      <c r="D4387" s="8"/>
      <c r="E4387" s="8"/>
      <c r="F4387" s="8"/>
      <c r="G4387" s="8"/>
      <c r="H4387" s="8"/>
      <c r="I4387" s="8"/>
      <c r="J4387" s="8"/>
      <c r="K4387" s="9"/>
      <c r="L4387" s="9"/>
      <c r="M4387" s="9"/>
      <c r="N4387" s="9"/>
      <c r="O4387" s="9"/>
      <c r="P4387" s="9"/>
      <c r="Q4387" s="9"/>
      <c r="R4387" s="9" t="str">
        <f aca="false">IF(AND(A4387&lt;&gt;"",ISNUMBER(Q4387),ISNUMBER(L4387)),ROUND(Q4387-IF(ISNUMBER(N4387),N4387,0)-IF(ISNUMBER(O4387),O4387,0)+IF(ISNUMBER(P4387),P4387,0),2),"")</f>
        <v/>
      </c>
      <c r="S4387" s="9" t="str">
        <f aca="false">IF(R4387="","",ROUND(L4387-R4387,2))</f>
        <v/>
      </c>
      <c r="T4387" s="8" t="str">
        <f aca="false">IF(A4387="","",IF(S4387="","BYPASS",IF(ABS(S4387)&lt;=Summary!$B$2,"PASS","FAIL")))</f>
        <v/>
      </c>
      <c r="U4387" s="8" t="str">
        <f aca="false">IF(T4387="BYPASS",IF(NOT(ISNUMBER(Q4387)),"PreV_ETB missing","End_tr_balance missing"),IF(T4387="FAIL",IF(AND(ISNUMBER(K4387),ISNUMBER(L4387),ABS(L4387-(K4387-IF(ISNUMBER(N4387),N4387,0)-IF(ISNUMBER(O4387),O4387,0)+IF(ISNUMBER(P4387),P4387,0)))&lt;=Summary!$B$2),"Passes using beginning_balance - PreV_ETB differs from beginning_balance",IF(AND(ISNUMBER(O4387),O4387&lt;0,ABS(L4387-(Q4387-IF(ISNUMBER(N4387),N4387,0)+IF(ISNUMBER(P4387),P4387,0)))&lt;=Summary!$B$2),"Negative realized loss not applied - check sign",IF(R4387&lt;0,"Principal paid exceeds prior balance",IF(AND(L4387&gt;Q4387,NOT(ISNUMBER(P4387))),"Balance increased but no Deferred_interest reported",IF(L4387&gt;R4387,"Reported balance higher than expected (missing increase/OC build)","Reported balance lower than expected (missing decrease)"))))),""))</f>
        <v/>
      </c>
    </row>
    <row r="4388" customFormat="false" ht="15" hidden="false" customHeight="false" outlineLevel="0" collapsed="false">
      <c r="A4388" s="8"/>
      <c r="B4388" s="8"/>
      <c r="C4388" s="8"/>
      <c r="D4388" s="8"/>
      <c r="E4388" s="8"/>
      <c r="F4388" s="8"/>
      <c r="G4388" s="8"/>
      <c r="H4388" s="8"/>
      <c r="I4388" s="8"/>
      <c r="J4388" s="8"/>
      <c r="K4388" s="9"/>
      <c r="L4388" s="9"/>
      <c r="M4388" s="9"/>
      <c r="N4388" s="9"/>
      <c r="O4388" s="9"/>
      <c r="P4388" s="9"/>
      <c r="Q4388" s="9"/>
      <c r="R4388" s="9" t="str">
        <f aca="false">IF(AND(A4388&lt;&gt;"",ISNUMBER(Q4388),ISNUMBER(L4388)),ROUND(Q4388-IF(ISNUMBER(N4388),N4388,0)-IF(ISNUMBER(O4388),O4388,0)+IF(ISNUMBER(P4388),P4388,0),2),"")</f>
        <v/>
      </c>
      <c r="S4388" s="9" t="str">
        <f aca="false">IF(R4388="","",ROUND(L4388-R4388,2))</f>
        <v/>
      </c>
      <c r="T4388" s="8" t="str">
        <f aca="false">IF(A4388="","",IF(S4388="","BYPASS",IF(ABS(S4388)&lt;=Summary!$B$2,"PASS","FAIL")))</f>
        <v/>
      </c>
      <c r="U4388" s="8" t="str">
        <f aca="false">IF(T4388="BYPASS",IF(NOT(ISNUMBER(Q4388)),"PreV_ETB missing","End_tr_balance missing"),IF(T4388="FAIL",IF(AND(ISNUMBER(K4388),ISNUMBER(L4388),ABS(L4388-(K4388-IF(ISNUMBER(N4388),N4388,0)-IF(ISNUMBER(O4388),O4388,0)+IF(ISNUMBER(P4388),P4388,0)))&lt;=Summary!$B$2),"Passes using beginning_balance - PreV_ETB differs from beginning_balance",IF(AND(ISNUMBER(O4388),O4388&lt;0,ABS(L4388-(Q4388-IF(ISNUMBER(N4388),N4388,0)+IF(ISNUMBER(P4388),P4388,0)))&lt;=Summary!$B$2),"Negative realized loss not applied - check sign",IF(R4388&lt;0,"Principal paid exceeds prior balance",IF(AND(L4388&gt;Q4388,NOT(ISNUMBER(P4388))),"Balance increased but no Deferred_interest reported",IF(L4388&gt;R4388,"Reported balance higher than expected (missing increase/OC build)","Reported balance lower than expected (missing decrease)"))))),""))</f>
        <v/>
      </c>
    </row>
    <row r="4389" customFormat="false" ht="15" hidden="false" customHeight="false" outlineLevel="0" collapsed="false">
      <c r="A4389" s="8"/>
      <c r="B4389" s="8"/>
      <c r="C4389" s="8"/>
      <c r="D4389" s="8"/>
      <c r="E4389" s="8"/>
      <c r="F4389" s="8"/>
      <c r="G4389" s="8"/>
      <c r="H4389" s="8"/>
      <c r="I4389" s="8"/>
      <c r="J4389" s="8"/>
      <c r="K4389" s="9"/>
      <c r="L4389" s="9"/>
      <c r="M4389" s="9"/>
      <c r="N4389" s="9"/>
      <c r="O4389" s="9"/>
      <c r="P4389" s="9"/>
      <c r="Q4389" s="9"/>
      <c r="R4389" s="9" t="str">
        <f aca="false">IF(AND(A4389&lt;&gt;"",ISNUMBER(Q4389),ISNUMBER(L4389)),ROUND(Q4389-IF(ISNUMBER(N4389),N4389,0)-IF(ISNUMBER(O4389),O4389,0)+IF(ISNUMBER(P4389),P4389,0),2),"")</f>
        <v/>
      </c>
      <c r="S4389" s="9" t="str">
        <f aca="false">IF(R4389="","",ROUND(L4389-R4389,2))</f>
        <v/>
      </c>
      <c r="T4389" s="8" t="str">
        <f aca="false">IF(A4389="","",IF(S4389="","BYPASS",IF(ABS(S4389)&lt;=Summary!$B$2,"PASS","FAIL")))</f>
        <v/>
      </c>
      <c r="U4389" s="8" t="str">
        <f aca="false">IF(T4389="BYPASS",IF(NOT(ISNUMBER(Q4389)),"PreV_ETB missing","End_tr_balance missing"),IF(T4389="FAIL",IF(AND(ISNUMBER(K4389),ISNUMBER(L4389),ABS(L4389-(K4389-IF(ISNUMBER(N4389),N4389,0)-IF(ISNUMBER(O4389),O4389,0)+IF(ISNUMBER(P4389),P4389,0)))&lt;=Summary!$B$2),"Passes using beginning_balance - PreV_ETB differs from beginning_balance",IF(AND(ISNUMBER(O4389),O4389&lt;0,ABS(L4389-(Q4389-IF(ISNUMBER(N4389),N4389,0)+IF(ISNUMBER(P4389),P4389,0)))&lt;=Summary!$B$2),"Negative realized loss not applied - check sign",IF(R4389&lt;0,"Principal paid exceeds prior balance",IF(AND(L4389&gt;Q4389,NOT(ISNUMBER(P4389))),"Balance increased but no Deferred_interest reported",IF(L4389&gt;R4389,"Reported balance higher than expected (missing increase/OC build)","Reported balance lower than expected (missing decrease)"))))),""))</f>
        <v/>
      </c>
    </row>
    <row r="4390" customFormat="false" ht="15" hidden="false" customHeight="false" outlineLevel="0" collapsed="false">
      <c r="A4390" s="8"/>
      <c r="B4390" s="8"/>
      <c r="C4390" s="8"/>
      <c r="D4390" s="8"/>
      <c r="E4390" s="8"/>
      <c r="F4390" s="8"/>
      <c r="G4390" s="8"/>
      <c r="H4390" s="8"/>
      <c r="I4390" s="8"/>
      <c r="J4390" s="8"/>
      <c r="K4390" s="9"/>
      <c r="L4390" s="9"/>
      <c r="M4390" s="9"/>
      <c r="N4390" s="9"/>
      <c r="O4390" s="9"/>
      <c r="P4390" s="9"/>
      <c r="Q4390" s="9"/>
      <c r="R4390" s="9" t="str">
        <f aca="false">IF(AND(A4390&lt;&gt;"",ISNUMBER(Q4390),ISNUMBER(L4390)),ROUND(Q4390-IF(ISNUMBER(N4390),N4390,0)-IF(ISNUMBER(O4390),O4390,0)+IF(ISNUMBER(P4390),P4390,0),2),"")</f>
        <v/>
      </c>
      <c r="S4390" s="9" t="str">
        <f aca="false">IF(R4390="","",ROUND(L4390-R4390,2))</f>
        <v/>
      </c>
      <c r="T4390" s="8" t="str">
        <f aca="false">IF(A4390="","",IF(S4390="","BYPASS",IF(ABS(S4390)&lt;=Summary!$B$2,"PASS","FAIL")))</f>
        <v/>
      </c>
      <c r="U4390" s="8" t="str">
        <f aca="false">IF(T4390="BYPASS",IF(NOT(ISNUMBER(Q4390)),"PreV_ETB missing","End_tr_balance missing"),IF(T4390="FAIL",IF(AND(ISNUMBER(K4390),ISNUMBER(L4390),ABS(L4390-(K4390-IF(ISNUMBER(N4390),N4390,0)-IF(ISNUMBER(O4390),O4390,0)+IF(ISNUMBER(P4390),P4390,0)))&lt;=Summary!$B$2),"Passes using beginning_balance - PreV_ETB differs from beginning_balance",IF(AND(ISNUMBER(O4390),O4390&lt;0,ABS(L4390-(Q4390-IF(ISNUMBER(N4390),N4390,0)+IF(ISNUMBER(P4390),P4390,0)))&lt;=Summary!$B$2),"Negative realized loss not applied - check sign",IF(R4390&lt;0,"Principal paid exceeds prior balance",IF(AND(L4390&gt;Q4390,NOT(ISNUMBER(P4390))),"Balance increased but no Deferred_interest reported",IF(L4390&gt;R4390,"Reported balance higher than expected (missing increase/OC build)","Reported balance lower than expected (missing decrease)"))))),""))</f>
        <v/>
      </c>
    </row>
    <row r="4391" customFormat="false" ht="15" hidden="false" customHeight="false" outlineLevel="0" collapsed="false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9"/>
      <c r="L4391" s="9"/>
      <c r="M4391" s="9"/>
      <c r="N4391" s="9"/>
      <c r="O4391" s="9"/>
      <c r="P4391" s="9"/>
      <c r="Q4391" s="9"/>
      <c r="R4391" s="9" t="str">
        <f aca="false">IF(AND(A4391&lt;&gt;"",ISNUMBER(Q4391),ISNUMBER(L4391)),ROUND(Q4391-IF(ISNUMBER(N4391),N4391,0)-IF(ISNUMBER(O4391),O4391,0)+IF(ISNUMBER(P4391),P4391,0),2),"")</f>
        <v/>
      </c>
      <c r="S4391" s="9" t="str">
        <f aca="false">IF(R4391="","",ROUND(L4391-R4391,2))</f>
        <v/>
      </c>
      <c r="T4391" s="8" t="str">
        <f aca="false">IF(A4391="","",IF(S4391="","BYPASS",IF(ABS(S4391)&lt;=Summary!$B$2,"PASS","FAIL")))</f>
        <v/>
      </c>
      <c r="U4391" s="8" t="str">
        <f aca="false">IF(T4391="BYPASS",IF(NOT(ISNUMBER(Q4391)),"PreV_ETB missing","End_tr_balance missing"),IF(T4391="FAIL",IF(AND(ISNUMBER(K4391),ISNUMBER(L4391),ABS(L4391-(K4391-IF(ISNUMBER(N4391),N4391,0)-IF(ISNUMBER(O4391),O4391,0)+IF(ISNUMBER(P4391),P4391,0)))&lt;=Summary!$B$2),"Passes using beginning_balance - PreV_ETB differs from beginning_balance",IF(AND(ISNUMBER(O4391),O4391&lt;0,ABS(L4391-(Q4391-IF(ISNUMBER(N4391),N4391,0)+IF(ISNUMBER(P4391),P4391,0)))&lt;=Summary!$B$2),"Negative realized loss not applied - check sign",IF(R4391&lt;0,"Principal paid exceeds prior balance",IF(AND(L4391&gt;Q4391,NOT(ISNUMBER(P4391))),"Balance increased but no Deferred_interest reported",IF(L4391&gt;R4391,"Reported balance higher than expected (missing increase/OC build)","Reported balance lower than expected (missing decrease)"))))),""))</f>
        <v/>
      </c>
    </row>
    <row r="4392" customFormat="false" ht="15" hidden="false" customHeight="false" outlineLevel="0" collapsed="false">
      <c r="A4392" s="8"/>
      <c r="B4392" s="8"/>
      <c r="C4392" s="8"/>
      <c r="D4392" s="8"/>
      <c r="E4392" s="8"/>
      <c r="F4392" s="8"/>
      <c r="G4392" s="8"/>
      <c r="H4392" s="8"/>
      <c r="I4392" s="8"/>
      <c r="J4392" s="8"/>
      <c r="K4392" s="9"/>
      <c r="L4392" s="9"/>
      <c r="M4392" s="9"/>
      <c r="N4392" s="9"/>
      <c r="O4392" s="9"/>
      <c r="P4392" s="9"/>
      <c r="Q4392" s="9"/>
      <c r="R4392" s="9" t="str">
        <f aca="false">IF(AND(A4392&lt;&gt;"",ISNUMBER(Q4392),ISNUMBER(L4392)),ROUND(Q4392-IF(ISNUMBER(N4392),N4392,0)-IF(ISNUMBER(O4392),O4392,0)+IF(ISNUMBER(P4392),P4392,0),2),"")</f>
        <v/>
      </c>
      <c r="S4392" s="9" t="str">
        <f aca="false">IF(R4392="","",ROUND(L4392-R4392,2))</f>
        <v/>
      </c>
      <c r="T4392" s="8" t="str">
        <f aca="false">IF(A4392="","",IF(S4392="","BYPASS",IF(ABS(S4392)&lt;=Summary!$B$2,"PASS","FAIL")))</f>
        <v/>
      </c>
      <c r="U4392" s="8" t="str">
        <f aca="false">IF(T4392="BYPASS",IF(NOT(ISNUMBER(Q4392)),"PreV_ETB missing","End_tr_balance missing"),IF(T4392="FAIL",IF(AND(ISNUMBER(K4392),ISNUMBER(L4392),ABS(L4392-(K4392-IF(ISNUMBER(N4392),N4392,0)-IF(ISNUMBER(O4392),O4392,0)+IF(ISNUMBER(P4392),P4392,0)))&lt;=Summary!$B$2),"Passes using beginning_balance - PreV_ETB differs from beginning_balance",IF(AND(ISNUMBER(O4392),O4392&lt;0,ABS(L4392-(Q4392-IF(ISNUMBER(N4392),N4392,0)+IF(ISNUMBER(P4392),P4392,0)))&lt;=Summary!$B$2),"Negative realized loss not applied - check sign",IF(R4392&lt;0,"Principal paid exceeds prior balance",IF(AND(L4392&gt;Q4392,NOT(ISNUMBER(P4392))),"Balance increased but no Deferred_interest reported",IF(L4392&gt;R4392,"Reported balance higher than expected (missing increase/OC build)","Reported balance lower than expected (missing decrease)"))))),""))</f>
        <v/>
      </c>
    </row>
    <row r="4393" customFormat="false" ht="15" hidden="false" customHeight="false" outlineLevel="0" collapsed="false">
      <c r="A4393" s="8"/>
      <c r="B4393" s="8"/>
      <c r="C4393" s="8"/>
      <c r="D4393" s="8"/>
      <c r="E4393" s="8"/>
      <c r="F4393" s="8"/>
      <c r="G4393" s="8"/>
      <c r="H4393" s="8"/>
      <c r="I4393" s="8"/>
      <c r="J4393" s="8"/>
      <c r="K4393" s="9"/>
      <c r="L4393" s="9"/>
      <c r="M4393" s="9"/>
      <c r="N4393" s="9"/>
      <c r="O4393" s="9"/>
      <c r="P4393" s="9"/>
      <c r="Q4393" s="9"/>
      <c r="R4393" s="9" t="str">
        <f aca="false">IF(AND(A4393&lt;&gt;"",ISNUMBER(Q4393),ISNUMBER(L4393)),ROUND(Q4393-IF(ISNUMBER(N4393),N4393,0)-IF(ISNUMBER(O4393),O4393,0)+IF(ISNUMBER(P4393),P4393,0),2),"")</f>
        <v/>
      </c>
      <c r="S4393" s="9" t="str">
        <f aca="false">IF(R4393="","",ROUND(L4393-R4393,2))</f>
        <v/>
      </c>
      <c r="T4393" s="8" t="str">
        <f aca="false">IF(A4393="","",IF(S4393="","BYPASS",IF(ABS(S4393)&lt;=Summary!$B$2,"PASS","FAIL")))</f>
        <v/>
      </c>
      <c r="U4393" s="8" t="str">
        <f aca="false">IF(T4393="BYPASS",IF(NOT(ISNUMBER(Q4393)),"PreV_ETB missing","End_tr_balance missing"),IF(T4393="FAIL",IF(AND(ISNUMBER(K4393),ISNUMBER(L4393),ABS(L4393-(K4393-IF(ISNUMBER(N4393),N4393,0)-IF(ISNUMBER(O4393),O4393,0)+IF(ISNUMBER(P4393),P4393,0)))&lt;=Summary!$B$2),"Passes using beginning_balance - PreV_ETB differs from beginning_balance",IF(AND(ISNUMBER(O4393),O4393&lt;0,ABS(L4393-(Q4393-IF(ISNUMBER(N4393),N4393,0)+IF(ISNUMBER(P4393),P4393,0)))&lt;=Summary!$B$2),"Negative realized loss not applied - check sign",IF(R4393&lt;0,"Principal paid exceeds prior balance",IF(AND(L4393&gt;Q4393,NOT(ISNUMBER(P4393))),"Balance increased but no Deferred_interest reported",IF(L4393&gt;R4393,"Reported balance higher than expected (missing increase/OC build)","Reported balance lower than expected (missing decrease)"))))),""))</f>
        <v/>
      </c>
    </row>
    <row r="4394" customFormat="false" ht="15" hidden="false" customHeight="false" outlineLevel="0" collapsed="false">
      <c r="A4394" s="8"/>
      <c r="B4394" s="8"/>
      <c r="C4394" s="8"/>
      <c r="D4394" s="8"/>
      <c r="E4394" s="8"/>
      <c r="F4394" s="8"/>
      <c r="G4394" s="8"/>
      <c r="H4394" s="8"/>
      <c r="I4394" s="8"/>
      <c r="J4394" s="8"/>
      <c r="K4394" s="9"/>
      <c r="L4394" s="9"/>
      <c r="M4394" s="9"/>
      <c r="N4394" s="9"/>
      <c r="O4394" s="9"/>
      <c r="P4394" s="9"/>
      <c r="Q4394" s="9"/>
      <c r="R4394" s="9" t="str">
        <f aca="false">IF(AND(A4394&lt;&gt;"",ISNUMBER(Q4394),ISNUMBER(L4394)),ROUND(Q4394-IF(ISNUMBER(N4394),N4394,0)-IF(ISNUMBER(O4394),O4394,0)+IF(ISNUMBER(P4394),P4394,0),2),"")</f>
        <v/>
      </c>
      <c r="S4394" s="9" t="str">
        <f aca="false">IF(R4394="","",ROUND(L4394-R4394,2))</f>
        <v/>
      </c>
      <c r="T4394" s="8" t="str">
        <f aca="false">IF(A4394="","",IF(S4394="","BYPASS",IF(ABS(S4394)&lt;=Summary!$B$2,"PASS","FAIL")))</f>
        <v/>
      </c>
      <c r="U4394" s="8" t="str">
        <f aca="false">IF(T4394="BYPASS",IF(NOT(ISNUMBER(Q4394)),"PreV_ETB missing","End_tr_balance missing"),IF(T4394="FAIL",IF(AND(ISNUMBER(K4394),ISNUMBER(L4394),ABS(L4394-(K4394-IF(ISNUMBER(N4394),N4394,0)-IF(ISNUMBER(O4394),O4394,0)+IF(ISNUMBER(P4394),P4394,0)))&lt;=Summary!$B$2),"Passes using beginning_balance - PreV_ETB differs from beginning_balance",IF(AND(ISNUMBER(O4394),O4394&lt;0,ABS(L4394-(Q4394-IF(ISNUMBER(N4394),N4394,0)+IF(ISNUMBER(P4394),P4394,0)))&lt;=Summary!$B$2),"Negative realized loss not applied - check sign",IF(R4394&lt;0,"Principal paid exceeds prior balance",IF(AND(L4394&gt;Q4394,NOT(ISNUMBER(P4394))),"Balance increased but no Deferred_interest reported",IF(L4394&gt;R4394,"Reported balance higher than expected (missing increase/OC build)","Reported balance lower than expected (missing decrease)"))))),""))</f>
        <v/>
      </c>
    </row>
    <row r="4395" customFormat="false" ht="15" hidden="false" customHeight="false" outlineLevel="0" collapsed="false">
      <c r="A4395" s="8"/>
      <c r="B4395" s="8"/>
      <c r="C4395" s="8"/>
      <c r="D4395" s="8"/>
      <c r="E4395" s="8"/>
      <c r="F4395" s="8"/>
      <c r="G4395" s="8"/>
      <c r="H4395" s="8"/>
      <c r="I4395" s="8"/>
      <c r="J4395" s="8"/>
      <c r="K4395" s="9"/>
      <c r="L4395" s="9"/>
      <c r="M4395" s="9"/>
      <c r="N4395" s="9"/>
      <c r="O4395" s="9"/>
      <c r="P4395" s="9"/>
      <c r="Q4395" s="9"/>
      <c r="R4395" s="9" t="str">
        <f aca="false">IF(AND(A4395&lt;&gt;"",ISNUMBER(Q4395),ISNUMBER(L4395)),ROUND(Q4395-IF(ISNUMBER(N4395),N4395,0)-IF(ISNUMBER(O4395),O4395,0)+IF(ISNUMBER(P4395),P4395,0),2),"")</f>
        <v/>
      </c>
      <c r="S4395" s="9" t="str">
        <f aca="false">IF(R4395="","",ROUND(L4395-R4395,2))</f>
        <v/>
      </c>
      <c r="T4395" s="8" t="str">
        <f aca="false">IF(A4395="","",IF(S4395="","BYPASS",IF(ABS(S4395)&lt;=Summary!$B$2,"PASS","FAIL")))</f>
        <v/>
      </c>
      <c r="U4395" s="8" t="str">
        <f aca="false">IF(T4395="BYPASS",IF(NOT(ISNUMBER(Q4395)),"PreV_ETB missing","End_tr_balance missing"),IF(T4395="FAIL",IF(AND(ISNUMBER(K4395),ISNUMBER(L4395),ABS(L4395-(K4395-IF(ISNUMBER(N4395),N4395,0)-IF(ISNUMBER(O4395),O4395,0)+IF(ISNUMBER(P4395),P4395,0)))&lt;=Summary!$B$2),"Passes using beginning_balance - PreV_ETB differs from beginning_balance",IF(AND(ISNUMBER(O4395),O4395&lt;0,ABS(L4395-(Q4395-IF(ISNUMBER(N4395),N4395,0)+IF(ISNUMBER(P4395),P4395,0)))&lt;=Summary!$B$2),"Negative realized loss not applied - check sign",IF(R4395&lt;0,"Principal paid exceeds prior balance",IF(AND(L4395&gt;Q4395,NOT(ISNUMBER(P4395))),"Balance increased but no Deferred_interest reported",IF(L4395&gt;R4395,"Reported balance higher than expected (missing increase/OC build)","Reported balance lower than expected (missing decrease)"))))),""))</f>
        <v/>
      </c>
    </row>
    <row r="4396" customFormat="false" ht="15" hidden="false" customHeight="false" outlineLevel="0" collapsed="false">
      <c r="A4396" s="8"/>
      <c r="B4396" s="8"/>
      <c r="C4396" s="8"/>
      <c r="D4396" s="8"/>
      <c r="E4396" s="8"/>
      <c r="F4396" s="8"/>
      <c r="G4396" s="8"/>
      <c r="H4396" s="8"/>
      <c r="I4396" s="8"/>
      <c r="J4396" s="8"/>
      <c r="K4396" s="9"/>
      <c r="L4396" s="9"/>
      <c r="M4396" s="9"/>
      <c r="N4396" s="9"/>
      <c r="O4396" s="9"/>
      <c r="P4396" s="9"/>
      <c r="Q4396" s="9"/>
      <c r="R4396" s="9" t="str">
        <f aca="false">IF(AND(A4396&lt;&gt;"",ISNUMBER(Q4396),ISNUMBER(L4396)),ROUND(Q4396-IF(ISNUMBER(N4396),N4396,0)-IF(ISNUMBER(O4396),O4396,0)+IF(ISNUMBER(P4396),P4396,0),2),"")</f>
        <v/>
      </c>
      <c r="S4396" s="9" t="str">
        <f aca="false">IF(R4396="","",ROUND(L4396-R4396,2))</f>
        <v/>
      </c>
      <c r="T4396" s="8" t="str">
        <f aca="false">IF(A4396="","",IF(S4396="","BYPASS",IF(ABS(S4396)&lt;=Summary!$B$2,"PASS","FAIL")))</f>
        <v/>
      </c>
      <c r="U4396" s="8" t="str">
        <f aca="false">IF(T4396="BYPASS",IF(NOT(ISNUMBER(Q4396)),"PreV_ETB missing","End_tr_balance missing"),IF(T4396="FAIL",IF(AND(ISNUMBER(K4396),ISNUMBER(L4396),ABS(L4396-(K4396-IF(ISNUMBER(N4396),N4396,0)-IF(ISNUMBER(O4396),O4396,0)+IF(ISNUMBER(P4396),P4396,0)))&lt;=Summary!$B$2),"Passes using beginning_balance - PreV_ETB differs from beginning_balance",IF(AND(ISNUMBER(O4396),O4396&lt;0,ABS(L4396-(Q4396-IF(ISNUMBER(N4396),N4396,0)+IF(ISNUMBER(P4396),P4396,0)))&lt;=Summary!$B$2),"Negative realized loss not applied - check sign",IF(R4396&lt;0,"Principal paid exceeds prior balance",IF(AND(L4396&gt;Q4396,NOT(ISNUMBER(P4396))),"Balance increased but no Deferred_interest reported",IF(L4396&gt;R4396,"Reported balance higher than expected (missing increase/OC build)","Reported balance lower than expected (missing decrease)"))))),""))</f>
        <v/>
      </c>
    </row>
    <row r="4397" customFormat="false" ht="15" hidden="false" customHeight="false" outlineLevel="0" collapsed="false">
      <c r="A4397" s="8"/>
      <c r="B4397" s="8"/>
      <c r="C4397" s="8"/>
      <c r="D4397" s="8"/>
      <c r="E4397" s="8"/>
      <c r="F4397" s="8"/>
      <c r="G4397" s="8"/>
      <c r="H4397" s="8"/>
      <c r="I4397" s="8"/>
      <c r="J4397" s="8"/>
      <c r="K4397" s="9"/>
      <c r="L4397" s="9"/>
      <c r="M4397" s="9"/>
      <c r="N4397" s="9"/>
      <c r="O4397" s="9"/>
      <c r="P4397" s="9"/>
      <c r="Q4397" s="9"/>
      <c r="R4397" s="9" t="str">
        <f aca="false">IF(AND(A4397&lt;&gt;"",ISNUMBER(Q4397),ISNUMBER(L4397)),ROUND(Q4397-IF(ISNUMBER(N4397),N4397,0)-IF(ISNUMBER(O4397),O4397,0)+IF(ISNUMBER(P4397),P4397,0),2),"")</f>
        <v/>
      </c>
      <c r="S4397" s="9" t="str">
        <f aca="false">IF(R4397="","",ROUND(L4397-R4397,2))</f>
        <v/>
      </c>
      <c r="T4397" s="8" t="str">
        <f aca="false">IF(A4397="","",IF(S4397="","BYPASS",IF(ABS(S4397)&lt;=Summary!$B$2,"PASS","FAIL")))</f>
        <v/>
      </c>
      <c r="U4397" s="8" t="str">
        <f aca="false">IF(T4397="BYPASS",IF(NOT(ISNUMBER(Q4397)),"PreV_ETB missing","End_tr_balance missing"),IF(T4397="FAIL",IF(AND(ISNUMBER(K4397),ISNUMBER(L4397),ABS(L4397-(K4397-IF(ISNUMBER(N4397),N4397,0)-IF(ISNUMBER(O4397),O4397,0)+IF(ISNUMBER(P4397),P4397,0)))&lt;=Summary!$B$2),"Passes using beginning_balance - PreV_ETB differs from beginning_balance",IF(AND(ISNUMBER(O4397),O4397&lt;0,ABS(L4397-(Q4397-IF(ISNUMBER(N4397),N4397,0)+IF(ISNUMBER(P4397),P4397,0)))&lt;=Summary!$B$2),"Negative realized loss not applied - check sign",IF(R4397&lt;0,"Principal paid exceeds prior balance",IF(AND(L4397&gt;Q4397,NOT(ISNUMBER(P4397))),"Balance increased but no Deferred_interest reported",IF(L4397&gt;R4397,"Reported balance higher than expected (missing increase/OC build)","Reported balance lower than expected (missing decrease)"))))),""))</f>
        <v/>
      </c>
    </row>
    <row r="4398" customFormat="false" ht="15" hidden="false" customHeight="false" outlineLevel="0" collapsed="false">
      <c r="A4398" s="8"/>
      <c r="B4398" s="8"/>
      <c r="C4398" s="8"/>
      <c r="D4398" s="8"/>
      <c r="E4398" s="8"/>
      <c r="F4398" s="8"/>
      <c r="G4398" s="8"/>
      <c r="H4398" s="8"/>
      <c r="I4398" s="8"/>
      <c r="J4398" s="8"/>
      <c r="K4398" s="9"/>
      <c r="L4398" s="9"/>
      <c r="M4398" s="9"/>
      <c r="N4398" s="9"/>
      <c r="O4398" s="9"/>
      <c r="P4398" s="9"/>
      <c r="Q4398" s="9"/>
      <c r="R4398" s="9" t="str">
        <f aca="false">IF(AND(A4398&lt;&gt;"",ISNUMBER(Q4398),ISNUMBER(L4398)),ROUND(Q4398-IF(ISNUMBER(N4398),N4398,0)-IF(ISNUMBER(O4398),O4398,0)+IF(ISNUMBER(P4398),P4398,0),2),"")</f>
        <v/>
      </c>
      <c r="S4398" s="9" t="str">
        <f aca="false">IF(R4398="","",ROUND(L4398-R4398,2))</f>
        <v/>
      </c>
      <c r="T4398" s="8" t="str">
        <f aca="false">IF(A4398="","",IF(S4398="","BYPASS",IF(ABS(S4398)&lt;=Summary!$B$2,"PASS","FAIL")))</f>
        <v/>
      </c>
      <c r="U4398" s="8" t="str">
        <f aca="false">IF(T4398="BYPASS",IF(NOT(ISNUMBER(Q4398)),"PreV_ETB missing","End_tr_balance missing"),IF(T4398="FAIL",IF(AND(ISNUMBER(K4398),ISNUMBER(L4398),ABS(L4398-(K4398-IF(ISNUMBER(N4398),N4398,0)-IF(ISNUMBER(O4398),O4398,0)+IF(ISNUMBER(P4398),P4398,0)))&lt;=Summary!$B$2),"Passes using beginning_balance - PreV_ETB differs from beginning_balance",IF(AND(ISNUMBER(O4398),O4398&lt;0,ABS(L4398-(Q4398-IF(ISNUMBER(N4398),N4398,0)+IF(ISNUMBER(P4398),P4398,0)))&lt;=Summary!$B$2),"Negative realized loss not applied - check sign",IF(R4398&lt;0,"Principal paid exceeds prior balance",IF(AND(L4398&gt;Q4398,NOT(ISNUMBER(P4398))),"Balance increased but no Deferred_interest reported",IF(L4398&gt;R4398,"Reported balance higher than expected (missing increase/OC build)","Reported balance lower than expected (missing decrease)"))))),""))</f>
        <v/>
      </c>
    </row>
    <row r="4399" customFormat="false" ht="15" hidden="false" customHeight="false" outlineLevel="0" collapsed="false">
      <c r="A4399" s="8"/>
      <c r="B4399" s="8"/>
      <c r="C4399" s="8"/>
      <c r="D4399" s="8"/>
      <c r="E4399" s="8"/>
      <c r="F4399" s="8"/>
      <c r="G4399" s="8"/>
      <c r="H4399" s="8"/>
      <c r="I4399" s="8"/>
      <c r="J4399" s="8"/>
      <c r="K4399" s="9"/>
      <c r="L4399" s="9"/>
      <c r="M4399" s="9"/>
      <c r="N4399" s="9"/>
      <c r="O4399" s="9"/>
      <c r="P4399" s="9"/>
      <c r="Q4399" s="9"/>
      <c r="R4399" s="9" t="str">
        <f aca="false">IF(AND(A4399&lt;&gt;"",ISNUMBER(Q4399),ISNUMBER(L4399)),ROUND(Q4399-IF(ISNUMBER(N4399),N4399,0)-IF(ISNUMBER(O4399),O4399,0)+IF(ISNUMBER(P4399),P4399,0),2),"")</f>
        <v/>
      </c>
      <c r="S4399" s="9" t="str">
        <f aca="false">IF(R4399="","",ROUND(L4399-R4399,2))</f>
        <v/>
      </c>
      <c r="T4399" s="8" t="str">
        <f aca="false">IF(A4399="","",IF(S4399="","BYPASS",IF(ABS(S4399)&lt;=Summary!$B$2,"PASS","FAIL")))</f>
        <v/>
      </c>
      <c r="U4399" s="8" t="str">
        <f aca="false">IF(T4399="BYPASS",IF(NOT(ISNUMBER(Q4399)),"PreV_ETB missing","End_tr_balance missing"),IF(T4399="FAIL",IF(AND(ISNUMBER(K4399),ISNUMBER(L4399),ABS(L4399-(K4399-IF(ISNUMBER(N4399),N4399,0)-IF(ISNUMBER(O4399),O4399,0)+IF(ISNUMBER(P4399),P4399,0)))&lt;=Summary!$B$2),"Passes using beginning_balance - PreV_ETB differs from beginning_balance",IF(AND(ISNUMBER(O4399),O4399&lt;0,ABS(L4399-(Q4399-IF(ISNUMBER(N4399),N4399,0)+IF(ISNUMBER(P4399),P4399,0)))&lt;=Summary!$B$2),"Negative realized loss not applied - check sign",IF(R4399&lt;0,"Principal paid exceeds prior balance",IF(AND(L4399&gt;Q4399,NOT(ISNUMBER(P4399))),"Balance increased but no Deferred_interest reported",IF(L4399&gt;R4399,"Reported balance higher than expected (missing increase/OC build)","Reported balance lower than expected (missing decrease)"))))),""))</f>
        <v/>
      </c>
    </row>
    <row r="4400" customFormat="false" ht="15" hidden="false" customHeight="false" outlineLevel="0" collapsed="false">
      <c r="A4400" s="8"/>
      <c r="B4400" s="8"/>
      <c r="C4400" s="8"/>
      <c r="D4400" s="8"/>
      <c r="E4400" s="8"/>
      <c r="F4400" s="8"/>
      <c r="G4400" s="8"/>
      <c r="H4400" s="8"/>
      <c r="I4400" s="8"/>
      <c r="J4400" s="8"/>
      <c r="K4400" s="9"/>
      <c r="L4400" s="9"/>
      <c r="M4400" s="9"/>
      <c r="N4400" s="9"/>
      <c r="O4400" s="9"/>
      <c r="P4400" s="9"/>
      <c r="Q4400" s="9"/>
      <c r="R4400" s="9" t="str">
        <f aca="false">IF(AND(A4400&lt;&gt;"",ISNUMBER(Q4400),ISNUMBER(L4400)),ROUND(Q4400-IF(ISNUMBER(N4400),N4400,0)-IF(ISNUMBER(O4400),O4400,0)+IF(ISNUMBER(P4400),P4400,0),2),"")</f>
        <v/>
      </c>
      <c r="S4400" s="9" t="str">
        <f aca="false">IF(R4400="","",ROUND(L4400-R4400,2))</f>
        <v/>
      </c>
      <c r="T4400" s="8" t="str">
        <f aca="false">IF(A4400="","",IF(S4400="","BYPASS",IF(ABS(S4400)&lt;=Summary!$B$2,"PASS","FAIL")))</f>
        <v/>
      </c>
      <c r="U4400" s="8" t="str">
        <f aca="false">IF(T4400="BYPASS",IF(NOT(ISNUMBER(Q4400)),"PreV_ETB missing","End_tr_balance missing"),IF(T4400="FAIL",IF(AND(ISNUMBER(K4400),ISNUMBER(L4400),ABS(L4400-(K4400-IF(ISNUMBER(N4400),N4400,0)-IF(ISNUMBER(O4400),O4400,0)+IF(ISNUMBER(P4400),P4400,0)))&lt;=Summary!$B$2),"Passes using beginning_balance - PreV_ETB differs from beginning_balance",IF(AND(ISNUMBER(O4400),O4400&lt;0,ABS(L4400-(Q4400-IF(ISNUMBER(N4400),N4400,0)+IF(ISNUMBER(P4400),P4400,0)))&lt;=Summary!$B$2),"Negative realized loss not applied - check sign",IF(R4400&lt;0,"Principal paid exceeds prior balance",IF(AND(L4400&gt;Q4400,NOT(ISNUMBER(P4400))),"Balance increased but no Deferred_interest reported",IF(L4400&gt;R4400,"Reported balance higher than expected (missing increase/OC build)","Reported balance lower than expected (missing decrease)"))))),""))</f>
        <v/>
      </c>
    </row>
    <row r="4401" customFormat="false" ht="15" hidden="false" customHeight="false" outlineLevel="0" collapsed="false">
      <c r="A4401" s="8"/>
      <c r="B4401" s="8"/>
      <c r="C4401" s="8"/>
      <c r="D4401" s="8"/>
      <c r="E4401" s="8"/>
      <c r="F4401" s="8"/>
      <c r="G4401" s="8"/>
      <c r="H4401" s="8"/>
      <c r="I4401" s="8"/>
      <c r="J4401" s="8"/>
      <c r="K4401" s="9"/>
      <c r="L4401" s="9"/>
      <c r="M4401" s="9"/>
      <c r="N4401" s="9"/>
      <c r="O4401" s="9"/>
      <c r="P4401" s="9"/>
      <c r="Q4401" s="9"/>
      <c r="R4401" s="9" t="str">
        <f aca="false">IF(AND(A4401&lt;&gt;"",ISNUMBER(Q4401),ISNUMBER(L4401)),ROUND(Q4401-IF(ISNUMBER(N4401),N4401,0)-IF(ISNUMBER(O4401),O4401,0)+IF(ISNUMBER(P4401),P4401,0),2),"")</f>
        <v/>
      </c>
      <c r="S4401" s="9" t="str">
        <f aca="false">IF(R4401="","",ROUND(L4401-R4401,2))</f>
        <v/>
      </c>
      <c r="T4401" s="8" t="str">
        <f aca="false">IF(A4401="","",IF(S4401="","BYPASS",IF(ABS(S4401)&lt;=Summary!$B$2,"PASS","FAIL")))</f>
        <v/>
      </c>
      <c r="U4401" s="8" t="str">
        <f aca="false">IF(T4401="BYPASS",IF(NOT(ISNUMBER(Q4401)),"PreV_ETB missing","End_tr_balance missing"),IF(T4401="FAIL",IF(AND(ISNUMBER(K4401),ISNUMBER(L4401),ABS(L4401-(K4401-IF(ISNUMBER(N4401),N4401,0)-IF(ISNUMBER(O4401),O4401,0)+IF(ISNUMBER(P4401),P4401,0)))&lt;=Summary!$B$2),"Passes using beginning_balance - PreV_ETB differs from beginning_balance",IF(AND(ISNUMBER(O4401),O4401&lt;0,ABS(L4401-(Q4401-IF(ISNUMBER(N4401),N4401,0)+IF(ISNUMBER(P4401),P4401,0)))&lt;=Summary!$B$2),"Negative realized loss not applied - check sign",IF(R4401&lt;0,"Principal paid exceeds prior balance",IF(AND(L4401&gt;Q4401,NOT(ISNUMBER(P4401))),"Balance increased but no Deferred_interest reported",IF(L4401&gt;R4401,"Reported balance higher than expected (missing increase/OC build)","Reported balance lower than expected (missing decrease)"))))),""))</f>
        <v/>
      </c>
    </row>
    <row r="4402" customFormat="false" ht="15" hidden="false" customHeight="false" outlineLevel="0" collapsed="false">
      <c r="A4402" s="8"/>
      <c r="B4402" s="8"/>
      <c r="C4402" s="8"/>
      <c r="D4402" s="8"/>
      <c r="E4402" s="8"/>
      <c r="F4402" s="8"/>
      <c r="G4402" s="8"/>
      <c r="H4402" s="8"/>
      <c r="I4402" s="8"/>
      <c r="J4402" s="8"/>
      <c r="K4402" s="9"/>
      <c r="L4402" s="9"/>
      <c r="M4402" s="9"/>
      <c r="N4402" s="9"/>
      <c r="O4402" s="9"/>
      <c r="P4402" s="9"/>
      <c r="Q4402" s="9"/>
      <c r="R4402" s="9" t="str">
        <f aca="false">IF(AND(A4402&lt;&gt;"",ISNUMBER(Q4402),ISNUMBER(L4402)),ROUND(Q4402-IF(ISNUMBER(N4402),N4402,0)-IF(ISNUMBER(O4402),O4402,0)+IF(ISNUMBER(P4402),P4402,0),2),"")</f>
        <v/>
      </c>
      <c r="S4402" s="9" t="str">
        <f aca="false">IF(R4402="","",ROUND(L4402-R4402,2))</f>
        <v/>
      </c>
      <c r="T4402" s="8" t="str">
        <f aca="false">IF(A4402="","",IF(S4402="","BYPASS",IF(ABS(S4402)&lt;=Summary!$B$2,"PASS","FAIL")))</f>
        <v/>
      </c>
      <c r="U4402" s="8" t="str">
        <f aca="false">IF(T4402="BYPASS",IF(NOT(ISNUMBER(Q4402)),"PreV_ETB missing","End_tr_balance missing"),IF(T4402="FAIL",IF(AND(ISNUMBER(K4402),ISNUMBER(L4402),ABS(L4402-(K4402-IF(ISNUMBER(N4402),N4402,0)-IF(ISNUMBER(O4402),O4402,0)+IF(ISNUMBER(P4402),P4402,0)))&lt;=Summary!$B$2),"Passes using beginning_balance - PreV_ETB differs from beginning_balance",IF(AND(ISNUMBER(O4402),O4402&lt;0,ABS(L4402-(Q4402-IF(ISNUMBER(N4402),N4402,0)+IF(ISNUMBER(P4402),P4402,0)))&lt;=Summary!$B$2),"Negative realized loss not applied - check sign",IF(R4402&lt;0,"Principal paid exceeds prior balance",IF(AND(L4402&gt;Q4402,NOT(ISNUMBER(P4402))),"Balance increased but no Deferred_interest reported",IF(L4402&gt;R4402,"Reported balance higher than expected (missing increase/OC build)","Reported balance lower than expected (missing decrease)"))))),""))</f>
        <v/>
      </c>
    </row>
    <row r="4403" customFormat="false" ht="15" hidden="false" customHeight="false" outlineLevel="0" collapsed="false">
      <c r="A4403" s="8"/>
      <c r="B4403" s="8"/>
      <c r="C4403" s="8"/>
      <c r="D4403" s="8"/>
      <c r="E4403" s="8"/>
      <c r="F4403" s="8"/>
      <c r="G4403" s="8"/>
      <c r="H4403" s="8"/>
      <c r="I4403" s="8"/>
      <c r="J4403" s="8"/>
      <c r="K4403" s="9"/>
      <c r="L4403" s="9"/>
      <c r="M4403" s="9"/>
      <c r="N4403" s="9"/>
      <c r="O4403" s="9"/>
      <c r="P4403" s="9"/>
      <c r="Q4403" s="9"/>
      <c r="R4403" s="9" t="str">
        <f aca="false">IF(AND(A4403&lt;&gt;"",ISNUMBER(Q4403),ISNUMBER(L4403)),ROUND(Q4403-IF(ISNUMBER(N4403),N4403,0)-IF(ISNUMBER(O4403),O4403,0)+IF(ISNUMBER(P4403),P4403,0),2),"")</f>
        <v/>
      </c>
      <c r="S4403" s="9" t="str">
        <f aca="false">IF(R4403="","",ROUND(L4403-R4403,2))</f>
        <v/>
      </c>
      <c r="T4403" s="8" t="str">
        <f aca="false">IF(A4403="","",IF(S4403="","BYPASS",IF(ABS(S4403)&lt;=Summary!$B$2,"PASS","FAIL")))</f>
        <v/>
      </c>
      <c r="U4403" s="8" t="str">
        <f aca="false">IF(T4403="BYPASS",IF(NOT(ISNUMBER(Q4403)),"PreV_ETB missing","End_tr_balance missing"),IF(T4403="FAIL",IF(AND(ISNUMBER(K4403),ISNUMBER(L4403),ABS(L4403-(K4403-IF(ISNUMBER(N4403),N4403,0)-IF(ISNUMBER(O4403),O4403,0)+IF(ISNUMBER(P4403),P4403,0)))&lt;=Summary!$B$2),"Passes using beginning_balance - PreV_ETB differs from beginning_balance",IF(AND(ISNUMBER(O4403),O4403&lt;0,ABS(L4403-(Q4403-IF(ISNUMBER(N4403),N4403,0)+IF(ISNUMBER(P4403),P4403,0)))&lt;=Summary!$B$2),"Negative realized loss not applied - check sign",IF(R4403&lt;0,"Principal paid exceeds prior balance",IF(AND(L4403&gt;Q4403,NOT(ISNUMBER(P4403))),"Balance increased but no Deferred_interest reported",IF(L4403&gt;R4403,"Reported balance higher than expected (missing increase/OC build)","Reported balance lower than expected (missing decrease)"))))),""))</f>
        <v/>
      </c>
    </row>
    <row r="4404" customFormat="false" ht="15" hidden="false" customHeight="false" outlineLevel="0" collapsed="false">
      <c r="A4404" s="8"/>
      <c r="B4404" s="8"/>
      <c r="C4404" s="8"/>
      <c r="D4404" s="8"/>
      <c r="E4404" s="8"/>
      <c r="F4404" s="8"/>
      <c r="G4404" s="8"/>
      <c r="H4404" s="8"/>
      <c r="I4404" s="8"/>
      <c r="J4404" s="8"/>
      <c r="K4404" s="9"/>
      <c r="L4404" s="9"/>
      <c r="M4404" s="9"/>
      <c r="N4404" s="9"/>
      <c r="O4404" s="9"/>
      <c r="P4404" s="9"/>
      <c r="Q4404" s="9"/>
      <c r="R4404" s="9" t="str">
        <f aca="false">IF(AND(A4404&lt;&gt;"",ISNUMBER(Q4404),ISNUMBER(L4404)),ROUND(Q4404-IF(ISNUMBER(N4404),N4404,0)-IF(ISNUMBER(O4404),O4404,0)+IF(ISNUMBER(P4404),P4404,0),2),"")</f>
        <v/>
      </c>
      <c r="S4404" s="9" t="str">
        <f aca="false">IF(R4404="","",ROUND(L4404-R4404,2))</f>
        <v/>
      </c>
      <c r="T4404" s="8" t="str">
        <f aca="false">IF(A4404="","",IF(S4404="","BYPASS",IF(ABS(S4404)&lt;=Summary!$B$2,"PASS","FAIL")))</f>
        <v/>
      </c>
      <c r="U4404" s="8" t="str">
        <f aca="false">IF(T4404="BYPASS",IF(NOT(ISNUMBER(Q4404)),"PreV_ETB missing","End_tr_balance missing"),IF(T4404="FAIL",IF(AND(ISNUMBER(K4404),ISNUMBER(L4404),ABS(L4404-(K4404-IF(ISNUMBER(N4404),N4404,0)-IF(ISNUMBER(O4404),O4404,0)+IF(ISNUMBER(P4404),P4404,0)))&lt;=Summary!$B$2),"Passes using beginning_balance - PreV_ETB differs from beginning_balance",IF(AND(ISNUMBER(O4404),O4404&lt;0,ABS(L4404-(Q4404-IF(ISNUMBER(N4404),N4404,0)+IF(ISNUMBER(P4404),P4404,0)))&lt;=Summary!$B$2),"Negative realized loss not applied - check sign",IF(R4404&lt;0,"Principal paid exceeds prior balance",IF(AND(L4404&gt;Q4404,NOT(ISNUMBER(P4404))),"Balance increased but no Deferred_interest reported",IF(L4404&gt;R4404,"Reported balance higher than expected (missing increase/OC build)","Reported balance lower than expected (missing decrease)"))))),""))</f>
        <v/>
      </c>
    </row>
    <row r="4405" customFormat="false" ht="15" hidden="false" customHeight="false" outlineLevel="0" collapsed="false">
      <c r="A4405" s="8"/>
      <c r="B4405" s="8"/>
      <c r="C4405" s="8"/>
      <c r="D4405" s="8"/>
      <c r="E4405" s="8"/>
      <c r="F4405" s="8"/>
      <c r="G4405" s="8"/>
      <c r="H4405" s="8"/>
      <c r="I4405" s="8"/>
      <c r="J4405" s="8"/>
      <c r="K4405" s="9"/>
      <c r="L4405" s="9"/>
      <c r="M4405" s="9"/>
      <c r="N4405" s="9"/>
      <c r="O4405" s="9"/>
      <c r="P4405" s="9"/>
      <c r="Q4405" s="9"/>
      <c r="R4405" s="9" t="str">
        <f aca="false">IF(AND(A4405&lt;&gt;"",ISNUMBER(Q4405),ISNUMBER(L4405)),ROUND(Q4405-IF(ISNUMBER(N4405),N4405,0)-IF(ISNUMBER(O4405),O4405,0)+IF(ISNUMBER(P4405),P4405,0),2),"")</f>
        <v/>
      </c>
      <c r="S4405" s="9" t="str">
        <f aca="false">IF(R4405="","",ROUND(L4405-R4405,2))</f>
        <v/>
      </c>
      <c r="T4405" s="8" t="str">
        <f aca="false">IF(A4405="","",IF(S4405="","BYPASS",IF(ABS(S4405)&lt;=Summary!$B$2,"PASS","FAIL")))</f>
        <v/>
      </c>
      <c r="U4405" s="8" t="str">
        <f aca="false">IF(T4405="BYPASS",IF(NOT(ISNUMBER(Q4405)),"PreV_ETB missing","End_tr_balance missing"),IF(T4405="FAIL",IF(AND(ISNUMBER(K4405),ISNUMBER(L4405),ABS(L4405-(K4405-IF(ISNUMBER(N4405),N4405,0)-IF(ISNUMBER(O4405),O4405,0)+IF(ISNUMBER(P4405),P4405,0)))&lt;=Summary!$B$2),"Passes using beginning_balance - PreV_ETB differs from beginning_balance",IF(AND(ISNUMBER(O4405),O4405&lt;0,ABS(L4405-(Q4405-IF(ISNUMBER(N4405),N4405,0)+IF(ISNUMBER(P4405),P4405,0)))&lt;=Summary!$B$2),"Negative realized loss not applied - check sign",IF(R4405&lt;0,"Principal paid exceeds prior balance",IF(AND(L4405&gt;Q4405,NOT(ISNUMBER(P4405))),"Balance increased but no Deferred_interest reported",IF(L4405&gt;R4405,"Reported balance higher than expected (missing increase/OC build)","Reported balance lower than expected (missing decrease)"))))),""))</f>
        <v/>
      </c>
    </row>
    <row r="4406" customFormat="false" ht="15" hidden="false" customHeight="false" outlineLevel="0" collapsed="false">
      <c r="A4406" s="8"/>
      <c r="B4406" s="8"/>
      <c r="C4406" s="8"/>
      <c r="D4406" s="8"/>
      <c r="E4406" s="8"/>
      <c r="F4406" s="8"/>
      <c r="G4406" s="8"/>
      <c r="H4406" s="8"/>
      <c r="I4406" s="8"/>
      <c r="J4406" s="8"/>
      <c r="K4406" s="9"/>
      <c r="L4406" s="9"/>
      <c r="M4406" s="9"/>
      <c r="N4406" s="9"/>
      <c r="O4406" s="9"/>
      <c r="P4406" s="9"/>
      <c r="Q4406" s="9"/>
      <c r="R4406" s="9" t="str">
        <f aca="false">IF(AND(A4406&lt;&gt;"",ISNUMBER(Q4406),ISNUMBER(L4406)),ROUND(Q4406-IF(ISNUMBER(N4406),N4406,0)-IF(ISNUMBER(O4406),O4406,0)+IF(ISNUMBER(P4406),P4406,0),2),"")</f>
        <v/>
      </c>
      <c r="S4406" s="9" t="str">
        <f aca="false">IF(R4406="","",ROUND(L4406-R4406,2))</f>
        <v/>
      </c>
      <c r="T4406" s="8" t="str">
        <f aca="false">IF(A4406="","",IF(S4406="","BYPASS",IF(ABS(S4406)&lt;=Summary!$B$2,"PASS","FAIL")))</f>
        <v/>
      </c>
      <c r="U4406" s="8" t="str">
        <f aca="false">IF(T4406="BYPASS",IF(NOT(ISNUMBER(Q4406)),"PreV_ETB missing","End_tr_balance missing"),IF(T4406="FAIL",IF(AND(ISNUMBER(K4406),ISNUMBER(L4406),ABS(L4406-(K4406-IF(ISNUMBER(N4406),N4406,0)-IF(ISNUMBER(O4406),O4406,0)+IF(ISNUMBER(P4406),P4406,0)))&lt;=Summary!$B$2),"Passes using beginning_balance - PreV_ETB differs from beginning_balance",IF(AND(ISNUMBER(O4406),O4406&lt;0,ABS(L4406-(Q4406-IF(ISNUMBER(N4406),N4406,0)+IF(ISNUMBER(P4406),P4406,0)))&lt;=Summary!$B$2),"Negative realized loss not applied - check sign",IF(R4406&lt;0,"Principal paid exceeds prior balance",IF(AND(L4406&gt;Q4406,NOT(ISNUMBER(P4406))),"Balance increased but no Deferred_interest reported",IF(L4406&gt;R4406,"Reported balance higher than expected (missing increase/OC build)","Reported balance lower than expected (missing decrease)"))))),""))</f>
        <v/>
      </c>
    </row>
    <row r="4407" customFormat="false" ht="15" hidden="false" customHeight="false" outlineLevel="0" collapsed="false">
      <c r="A4407" s="8"/>
      <c r="B4407" s="8"/>
      <c r="C4407" s="8"/>
      <c r="D4407" s="8"/>
      <c r="E4407" s="8"/>
      <c r="F4407" s="8"/>
      <c r="G4407" s="8"/>
      <c r="H4407" s="8"/>
      <c r="I4407" s="8"/>
      <c r="J4407" s="8"/>
      <c r="K4407" s="9"/>
      <c r="L4407" s="9"/>
      <c r="M4407" s="9"/>
      <c r="N4407" s="9"/>
      <c r="O4407" s="9"/>
      <c r="P4407" s="9"/>
      <c r="Q4407" s="9"/>
      <c r="R4407" s="9" t="str">
        <f aca="false">IF(AND(A4407&lt;&gt;"",ISNUMBER(Q4407),ISNUMBER(L4407)),ROUND(Q4407-IF(ISNUMBER(N4407),N4407,0)-IF(ISNUMBER(O4407),O4407,0)+IF(ISNUMBER(P4407),P4407,0),2),"")</f>
        <v/>
      </c>
      <c r="S4407" s="9" t="str">
        <f aca="false">IF(R4407="","",ROUND(L4407-R4407,2))</f>
        <v/>
      </c>
      <c r="T4407" s="8" t="str">
        <f aca="false">IF(A4407="","",IF(S4407="","BYPASS",IF(ABS(S4407)&lt;=Summary!$B$2,"PASS","FAIL")))</f>
        <v/>
      </c>
      <c r="U4407" s="8" t="str">
        <f aca="false">IF(T4407="BYPASS",IF(NOT(ISNUMBER(Q4407)),"PreV_ETB missing","End_tr_balance missing"),IF(T4407="FAIL",IF(AND(ISNUMBER(K4407),ISNUMBER(L4407),ABS(L4407-(K4407-IF(ISNUMBER(N4407),N4407,0)-IF(ISNUMBER(O4407),O4407,0)+IF(ISNUMBER(P4407),P4407,0)))&lt;=Summary!$B$2),"Passes using beginning_balance - PreV_ETB differs from beginning_balance",IF(AND(ISNUMBER(O4407),O4407&lt;0,ABS(L4407-(Q4407-IF(ISNUMBER(N4407),N4407,0)+IF(ISNUMBER(P4407),P4407,0)))&lt;=Summary!$B$2),"Negative realized loss not applied - check sign",IF(R4407&lt;0,"Principal paid exceeds prior balance",IF(AND(L4407&gt;Q4407,NOT(ISNUMBER(P4407))),"Balance increased but no Deferred_interest reported",IF(L4407&gt;R4407,"Reported balance higher than expected (missing increase/OC build)","Reported balance lower than expected (missing decrease)"))))),""))</f>
        <v/>
      </c>
    </row>
    <row r="4408" customFormat="false" ht="15" hidden="false" customHeight="false" outlineLevel="0" collapsed="false">
      <c r="A4408" s="8"/>
      <c r="B4408" s="8"/>
      <c r="C4408" s="8"/>
      <c r="D4408" s="8"/>
      <c r="E4408" s="8"/>
      <c r="F4408" s="8"/>
      <c r="G4408" s="8"/>
      <c r="H4408" s="8"/>
      <c r="I4408" s="8"/>
      <c r="J4408" s="8"/>
      <c r="K4408" s="9"/>
      <c r="L4408" s="9"/>
      <c r="M4408" s="9"/>
      <c r="N4408" s="9"/>
      <c r="O4408" s="9"/>
      <c r="P4408" s="9"/>
      <c r="Q4408" s="9"/>
      <c r="R4408" s="9" t="str">
        <f aca="false">IF(AND(A4408&lt;&gt;"",ISNUMBER(Q4408),ISNUMBER(L4408)),ROUND(Q4408-IF(ISNUMBER(N4408),N4408,0)-IF(ISNUMBER(O4408),O4408,0)+IF(ISNUMBER(P4408),P4408,0),2),"")</f>
        <v/>
      </c>
      <c r="S4408" s="9" t="str">
        <f aca="false">IF(R4408="","",ROUND(L4408-R4408,2))</f>
        <v/>
      </c>
      <c r="T4408" s="8" t="str">
        <f aca="false">IF(A4408="","",IF(S4408="","BYPASS",IF(ABS(S4408)&lt;=Summary!$B$2,"PASS","FAIL")))</f>
        <v/>
      </c>
      <c r="U4408" s="8" t="str">
        <f aca="false">IF(T4408="BYPASS",IF(NOT(ISNUMBER(Q4408)),"PreV_ETB missing","End_tr_balance missing"),IF(T4408="FAIL",IF(AND(ISNUMBER(K4408),ISNUMBER(L4408),ABS(L4408-(K4408-IF(ISNUMBER(N4408),N4408,0)-IF(ISNUMBER(O4408),O4408,0)+IF(ISNUMBER(P4408),P4408,0)))&lt;=Summary!$B$2),"Passes using beginning_balance - PreV_ETB differs from beginning_balance",IF(AND(ISNUMBER(O4408),O4408&lt;0,ABS(L4408-(Q4408-IF(ISNUMBER(N4408),N4408,0)+IF(ISNUMBER(P4408),P4408,0)))&lt;=Summary!$B$2),"Negative realized loss not applied - check sign",IF(R4408&lt;0,"Principal paid exceeds prior balance",IF(AND(L4408&gt;Q4408,NOT(ISNUMBER(P4408))),"Balance increased but no Deferred_interest reported",IF(L4408&gt;R4408,"Reported balance higher than expected (missing increase/OC build)","Reported balance lower than expected (missing decrease)"))))),""))</f>
        <v/>
      </c>
    </row>
    <row r="4409" customFormat="false" ht="15" hidden="false" customHeight="false" outlineLevel="0" collapsed="false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9"/>
      <c r="L4409" s="9"/>
      <c r="M4409" s="9"/>
      <c r="N4409" s="9"/>
      <c r="O4409" s="9"/>
      <c r="P4409" s="9"/>
      <c r="Q4409" s="9"/>
      <c r="R4409" s="9" t="str">
        <f aca="false">IF(AND(A4409&lt;&gt;"",ISNUMBER(Q4409),ISNUMBER(L4409)),ROUND(Q4409-IF(ISNUMBER(N4409),N4409,0)-IF(ISNUMBER(O4409),O4409,0)+IF(ISNUMBER(P4409),P4409,0),2),"")</f>
        <v/>
      </c>
      <c r="S4409" s="9" t="str">
        <f aca="false">IF(R4409="","",ROUND(L4409-R4409,2))</f>
        <v/>
      </c>
      <c r="T4409" s="8" t="str">
        <f aca="false">IF(A4409="","",IF(S4409="","BYPASS",IF(ABS(S4409)&lt;=Summary!$B$2,"PASS","FAIL")))</f>
        <v/>
      </c>
      <c r="U4409" s="8" t="str">
        <f aca="false">IF(T4409="BYPASS",IF(NOT(ISNUMBER(Q4409)),"PreV_ETB missing","End_tr_balance missing"),IF(T4409="FAIL",IF(AND(ISNUMBER(K4409),ISNUMBER(L4409),ABS(L4409-(K4409-IF(ISNUMBER(N4409),N4409,0)-IF(ISNUMBER(O4409),O4409,0)+IF(ISNUMBER(P4409),P4409,0)))&lt;=Summary!$B$2),"Passes using beginning_balance - PreV_ETB differs from beginning_balance",IF(AND(ISNUMBER(O4409),O4409&lt;0,ABS(L4409-(Q4409-IF(ISNUMBER(N4409),N4409,0)+IF(ISNUMBER(P4409),P4409,0)))&lt;=Summary!$B$2),"Negative realized loss not applied - check sign",IF(R4409&lt;0,"Principal paid exceeds prior balance",IF(AND(L4409&gt;Q4409,NOT(ISNUMBER(P4409))),"Balance increased but no Deferred_interest reported",IF(L4409&gt;R4409,"Reported balance higher than expected (missing increase/OC build)","Reported balance lower than expected (missing decrease)"))))),""))</f>
        <v/>
      </c>
    </row>
    <row r="4410" customFormat="false" ht="15" hidden="false" customHeight="false" outlineLevel="0" collapsed="false">
      <c r="A4410" s="8"/>
      <c r="B4410" s="8"/>
      <c r="C4410" s="8"/>
      <c r="D4410" s="8"/>
      <c r="E4410" s="8"/>
      <c r="F4410" s="8"/>
      <c r="G4410" s="8"/>
      <c r="H4410" s="8"/>
      <c r="I4410" s="8"/>
      <c r="J4410" s="8"/>
      <c r="K4410" s="9"/>
      <c r="L4410" s="9"/>
      <c r="M4410" s="9"/>
      <c r="N4410" s="9"/>
      <c r="O4410" s="9"/>
      <c r="P4410" s="9"/>
      <c r="Q4410" s="9"/>
      <c r="R4410" s="9" t="str">
        <f aca="false">IF(AND(A4410&lt;&gt;"",ISNUMBER(Q4410),ISNUMBER(L4410)),ROUND(Q4410-IF(ISNUMBER(N4410),N4410,0)-IF(ISNUMBER(O4410),O4410,0)+IF(ISNUMBER(P4410),P4410,0),2),"")</f>
        <v/>
      </c>
      <c r="S4410" s="9" t="str">
        <f aca="false">IF(R4410="","",ROUND(L4410-R4410,2))</f>
        <v/>
      </c>
      <c r="T4410" s="8" t="str">
        <f aca="false">IF(A4410="","",IF(S4410="","BYPASS",IF(ABS(S4410)&lt;=Summary!$B$2,"PASS","FAIL")))</f>
        <v/>
      </c>
      <c r="U4410" s="8" t="str">
        <f aca="false">IF(T4410="BYPASS",IF(NOT(ISNUMBER(Q4410)),"PreV_ETB missing","End_tr_balance missing"),IF(T4410="FAIL",IF(AND(ISNUMBER(K4410),ISNUMBER(L4410),ABS(L4410-(K4410-IF(ISNUMBER(N4410),N4410,0)-IF(ISNUMBER(O4410),O4410,0)+IF(ISNUMBER(P4410),P4410,0)))&lt;=Summary!$B$2),"Passes using beginning_balance - PreV_ETB differs from beginning_balance",IF(AND(ISNUMBER(O4410),O4410&lt;0,ABS(L4410-(Q4410-IF(ISNUMBER(N4410),N4410,0)+IF(ISNUMBER(P4410),P4410,0)))&lt;=Summary!$B$2),"Negative realized loss not applied - check sign",IF(R4410&lt;0,"Principal paid exceeds prior balance",IF(AND(L4410&gt;Q4410,NOT(ISNUMBER(P4410))),"Balance increased but no Deferred_interest reported",IF(L4410&gt;R4410,"Reported balance higher than expected (missing increase/OC build)","Reported balance lower than expected (missing decrease)"))))),""))</f>
        <v/>
      </c>
    </row>
    <row r="4411" customFormat="false" ht="15" hidden="false" customHeight="false" outlineLevel="0" collapsed="false">
      <c r="A4411" s="8"/>
      <c r="B4411" s="8"/>
      <c r="C4411" s="8"/>
      <c r="D4411" s="8"/>
      <c r="E4411" s="8"/>
      <c r="F4411" s="8"/>
      <c r="G4411" s="8"/>
      <c r="H4411" s="8"/>
      <c r="I4411" s="8"/>
      <c r="J4411" s="8"/>
      <c r="K4411" s="9"/>
      <c r="L4411" s="9"/>
      <c r="M4411" s="9"/>
      <c r="N4411" s="9"/>
      <c r="O4411" s="9"/>
      <c r="P4411" s="9"/>
      <c r="Q4411" s="9"/>
      <c r="R4411" s="9" t="str">
        <f aca="false">IF(AND(A4411&lt;&gt;"",ISNUMBER(Q4411),ISNUMBER(L4411)),ROUND(Q4411-IF(ISNUMBER(N4411),N4411,0)-IF(ISNUMBER(O4411),O4411,0)+IF(ISNUMBER(P4411),P4411,0),2),"")</f>
        <v/>
      </c>
      <c r="S4411" s="9" t="str">
        <f aca="false">IF(R4411="","",ROUND(L4411-R4411,2))</f>
        <v/>
      </c>
      <c r="T4411" s="8" t="str">
        <f aca="false">IF(A4411="","",IF(S4411="","BYPASS",IF(ABS(S4411)&lt;=Summary!$B$2,"PASS","FAIL")))</f>
        <v/>
      </c>
      <c r="U4411" s="8" t="str">
        <f aca="false">IF(T4411="BYPASS",IF(NOT(ISNUMBER(Q4411)),"PreV_ETB missing","End_tr_balance missing"),IF(T4411="FAIL",IF(AND(ISNUMBER(K4411),ISNUMBER(L4411),ABS(L4411-(K4411-IF(ISNUMBER(N4411),N4411,0)-IF(ISNUMBER(O4411),O4411,0)+IF(ISNUMBER(P4411),P4411,0)))&lt;=Summary!$B$2),"Passes using beginning_balance - PreV_ETB differs from beginning_balance",IF(AND(ISNUMBER(O4411),O4411&lt;0,ABS(L4411-(Q4411-IF(ISNUMBER(N4411),N4411,0)+IF(ISNUMBER(P4411),P4411,0)))&lt;=Summary!$B$2),"Negative realized loss not applied - check sign",IF(R4411&lt;0,"Principal paid exceeds prior balance",IF(AND(L4411&gt;Q4411,NOT(ISNUMBER(P4411))),"Balance increased but no Deferred_interest reported",IF(L4411&gt;R4411,"Reported balance higher than expected (missing increase/OC build)","Reported balance lower than expected (missing decrease)"))))),""))</f>
        <v/>
      </c>
    </row>
    <row r="4412" customFormat="false" ht="15" hidden="false" customHeight="false" outlineLevel="0" collapsed="false">
      <c r="A4412" s="8"/>
      <c r="B4412" s="8"/>
      <c r="C4412" s="8"/>
      <c r="D4412" s="8"/>
      <c r="E4412" s="8"/>
      <c r="F4412" s="8"/>
      <c r="G4412" s="8"/>
      <c r="H4412" s="8"/>
      <c r="I4412" s="8"/>
      <c r="J4412" s="8"/>
      <c r="K4412" s="9"/>
      <c r="L4412" s="9"/>
      <c r="M4412" s="9"/>
      <c r="N4412" s="9"/>
      <c r="O4412" s="9"/>
      <c r="P4412" s="9"/>
      <c r="Q4412" s="9"/>
      <c r="R4412" s="9" t="str">
        <f aca="false">IF(AND(A4412&lt;&gt;"",ISNUMBER(Q4412),ISNUMBER(L4412)),ROUND(Q4412-IF(ISNUMBER(N4412),N4412,0)-IF(ISNUMBER(O4412),O4412,0)+IF(ISNUMBER(P4412),P4412,0),2),"")</f>
        <v/>
      </c>
      <c r="S4412" s="9" t="str">
        <f aca="false">IF(R4412="","",ROUND(L4412-R4412,2))</f>
        <v/>
      </c>
      <c r="T4412" s="8" t="str">
        <f aca="false">IF(A4412="","",IF(S4412="","BYPASS",IF(ABS(S4412)&lt;=Summary!$B$2,"PASS","FAIL")))</f>
        <v/>
      </c>
      <c r="U4412" s="8" t="str">
        <f aca="false">IF(T4412="BYPASS",IF(NOT(ISNUMBER(Q4412)),"PreV_ETB missing","End_tr_balance missing"),IF(T4412="FAIL",IF(AND(ISNUMBER(K4412),ISNUMBER(L4412),ABS(L4412-(K4412-IF(ISNUMBER(N4412),N4412,0)-IF(ISNUMBER(O4412),O4412,0)+IF(ISNUMBER(P4412),P4412,0)))&lt;=Summary!$B$2),"Passes using beginning_balance - PreV_ETB differs from beginning_balance",IF(AND(ISNUMBER(O4412),O4412&lt;0,ABS(L4412-(Q4412-IF(ISNUMBER(N4412),N4412,0)+IF(ISNUMBER(P4412),P4412,0)))&lt;=Summary!$B$2),"Negative realized loss not applied - check sign",IF(R4412&lt;0,"Principal paid exceeds prior balance",IF(AND(L4412&gt;Q4412,NOT(ISNUMBER(P4412))),"Balance increased but no Deferred_interest reported",IF(L4412&gt;R4412,"Reported balance higher than expected (missing increase/OC build)","Reported balance lower than expected (missing decrease)"))))),""))</f>
        <v/>
      </c>
    </row>
    <row r="4413" customFormat="false" ht="15" hidden="false" customHeight="false" outlineLevel="0" collapsed="false">
      <c r="A4413" s="8"/>
      <c r="B4413" s="8"/>
      <c r="C4413" s="8"/>
      <c r="D4413" s="8"/>
      <c r="E4413" s="8"/>
      <c r="F4413" s="8"/>
      <c r="G4413" s="8"/>
      <c r="H4413" s="8"/>
      <c r="I4413" s="8"/>
      <c r="J4413" s="8"/>
      <c r="K4413" s="9"/>
      <c r="L4413" s="9"/>
      <c r="M4413" s="9"/>
      <c r="N4413" s="9"/>
      <c r="O4413" s="9"/>
      <c r="P4413" s="9"/>
      <c r="Q4413" s="9"/>
      <c r="R4413" s="9" t="str">
        <f aca="false">IF(AND(A4413&lt;&gt;"",ISNUMBER(Q4413),ISNUMBER(L4413)),ROUND(Q4413-IF(ISNUMBER(N4413),N4413,0)-IF(ISNUMBER(O4413),O4413,0)+IF(ISNUMBER(P4413),P4413,0),2),"")</f>
        <v/>
      </c>
      <c r="S4413" s="9" t="str">
        <f aca="false">IF(R4413="","",ROUND(L4413-R4413,2))</f>
        <v/>
      </c>
      <c r="T4413" s="8" t="str">
        <f aca="false">IF(A4413="","",IF(S4413="","BYPASS",IF(ABS(S4413)&lt;=Summary!$B$2,"PASS","FAIL")))</f>
        <v/>
      </c>
      <c r="U4413" s="8" t="str">
        <f aca="false">IF(T4413="BYPASS",IF(NOT(ISNUMBER(Q4413)),"PreV_ETB missing","End_tr_balance missing"),IF(T4413="FAIL",IF(AND(ISNUMBER(K4413),ISNUMBER(L4413),ABS(L4413-(K4413-IF(ISNUMBER(N4413),N4413,0)-IF(ISNUMBER(O4413),O4413,0)+IF(ISNUMBER(P4413),P4413,0)))&lt;=Summary!$B$2),"Passes using beginning_balance - PreV_ETB differs from beginning_balance",IF(AND(ISNUMBER(O4413),O4413&lt;0,ABS(L4413-(Q4413-IF(ISNUMBER(N4413),N4413,0)+IF(ISNUMBER(P4413),P4413,0)))&lt;=Summary!$B$2),"Negative realized loss not applied - check sign",IF(R4413&lt;0,"Principal paid exceeds prior balance",IF(AND(L4413&gt;Q4413,NOT(ISNUMBER(P4413))),"Balance increased but no Deferred_interest reported",IF(L4413&gt;R4413,"Reported balance higher than expected (missing increase/OC build)","Reported balance lower than expected (missing decrease)"))))),""))</f>
        <v/>
      </c>
    </row>
    <row r="4414" customFormat="false" ht="15" hidden="false" customHeight="false" outlineLevel="0" collapsed="false">
      <c r="A4414" s="8"/>
      <c r="B4414" s="8"/>
      <c r="C4414" s="8"/>
      <c r="D4414" s="8"/>
      <c r="E4414" s="8"/>
      <c r="F4414" s="8"/>
      <c r="G4414" s="8"/>
      <c r="H4414" s="8"/>
      <c r="I4414" s="8"/>
      <c r="J4414" s="8"/>
      <c r="K4414" s="9"/>
      <c r="L4414" s="9"/>
      <c r="M4414" s="9"/>
      <c r="N4414" s="9"/>
      <c r="O4414" s="9"/>
      <c r="P4414" s="9"/>
      <c r="Q4414" s="9"/>
      <c r="R4414" s="9" t="str">
        <f aca="false">IF(AND(A4414&lt;&gt;"",ISNUMBER(Q4414),ISNUMBER(L4414)),ROUND(Q4414-IF(ISNUMBER(N4414),N4414,0)-IF(ISNUMBER(O4414),O4414,0)+IF(ISNUMBER(P4414),P4414,0),2),"")</f>
        <v/>
      </c>
      <c r="S4414" s="9" t="str">
        <f aca="false">IF(R4414="","",ROUND(L4414-R4414,2))</f>
        <v/>
      </c>
      <c r="T4414" s="8" t="str">
        <f aca="false">IF(A4414="","",IF(S4414="","BYPASS",IF(ABS(S4414)&lt;=Summary!$B$2,"PASS","FAIL")))</f>
        <v/>
      </c>
      <c r="U4414" s="8" t="str">
        <f aca="false">IF(T4414="BYPASS",IF(NOT(ISNUMBER(Q4414)),"PreV_ETB missing","End_tr_balance missing"),IF(T4414="FAIL",IF(AND(ISNUMBER(K4414),ISNUMBER(L4414),ABS(L4414-(K4414-IF(ISNUMBER(N4414),N4414,0)-IF(ISNUMBER(O4414),O4414,0)+IF(ISNUMBER(P4414),P4414,0)))&lt;=Summary!$B$2),"Passes using beginning_balance - PreV_ETB differs from beginning_balance",IF(AND(ISNUMBER(O4414),O4414&lt;0,ABS(L4414-(Q4414-IF(ISNUMBER(N4414),N4414,0)+IF(ISNUMBER(P4414),P4414,0)))&lt;=Summary!$B$2),"Negative realized loss not applied - check sign",IF(R4414&lt;0,"Principal paid exceeds prior balance",IF(AND(L4414&gt;Q4414,NOT(ISNUMBER(P4414))),"Balance increased but no Deferred_interest reported",IF(L4414&gt;R4414,"Reported balance higher than expected (missing increase/OC build)","Reported balance lower than expected (missing decrease)"))))),""))</f>
        <v/>
      </c>
    </row>
    <row r="4415" customFormat="false" ht="15" hidden="false" customHeight="false" outlineLevel="0" collapsed="false">
      <c r="A4415" s="8"/>
      <c r="B4415" s="8"/>
      <c r="C4415" s="8"/>
      <c r="D4415" s="8"/>
      <c r="E4415" s="8"/>
      <c r="F4415" s="8"/>
      <c r="G4415" s="8"/>
      <c r="H4415" s="8"/>
      <c r="I4415" s="8"/>
      <c r="J4415" s="8"/>
      <c r="K4415" s="9"/>
      <c r="L4415" s="9"/>
      <c r="M4415" s="9"/>
      <c r="N4415" s="9"/>
      <c r="O4415" s="9"/>
      <c r="P4415" s="9"/>
      <c r="Q4415" s="9"/>
      <c r="R4415" s="9" t="str">
        <f aca="false">IF(AND(A4415&lt;&gt;"",ISNUMBER(Q4415),ISNUMBER(L4415)),ROUND(Q4415-IF(ISNUMBER(N4415),N4415,0)-IF(ISNUMBER(O4415),O4415,0)+IF(ISNUMBER(P4415),P4415,0),2),"")</f>
        <v/>
      </c>
      <c r="S4415" s="9" t="str">
        <f aca="false">IF(R4415="","",ROUND(L4415-R4415,2))</f>
        <v/>
      </c>
      <c r="T4415" s="8" t="str">
        <f aca="false">IF(A4415="","",IF(S4415="","BYPASS",IF(ABS(S4415)&lt;=Summary!$B$2,"PASS","FAIL")))</f>
        <v/>
      </c>
      <c r="U4415" s="8" t="str">
        <f aca="false">IF(T4415="BYPASS",IF(NOT(ISNUMBER(Q4415)),"PreV_ETB missing","End_tr_balance missing"),IF(T4415="FAIL",IF(AND(ISNUMBER(K4415),ISNUMBER(L4415),ABS(L4415-(K4415-IF(ISNUMBER(N4415),N4415,0)-IF(ISNUMBER(O4415),O4415,0)+IF(ISNUMBER(P4415),P4415,0)))&lt;=Summary!$B$2),"Passes using beginning_balance - PreV_ETB differs from beginning_balance",IF(AND(ISNUMBER(O4415),O4415&lt;0,ABS(L4415-(Q4415-IF(ISNUMBER(N4415),N4415,0)+IF(ISNUMBER(P4415),P4415,0)))&lt;=Summary!$B$2),"Negative realized loss not applied - check sign",IF(R4415&lt;0,"Principal paid exceeds prior balance",IF(AND(L4415&gt;Q4415,NOT(ISNUMBER(P4415))),"Balance increased but no Deferred_interest reported",IF(L4415&gt;R4415,"Reported balance higher than expected (missing increase/OC build)","Reported balance lower than expected (missing decrease)"))))),""))</f>
        <v/>
      </c>
    </row>
    <row r="4416" customFormat="false" ht="15" hidden="false" customHeight="false" outlineLevel="0" collapsed="false">
      <c r="A4416" s="8"/>
      <c r="B4416" s="8"/>
      <c r="C4416" s="8"/>
      <c r="D4416" s="8"/>
      <c r="E4416" s="8"/>
      <c r="F4416" s="8"/>
      <c r="G4416" s="8"/>
      <c r="H4416" s="8"/>
      <c r="I4416" s="8"/>
      <c r="J4416" s="8"/>
      <c r="K4416" s="9"/>
      <c r="L4416" s="9"/>
      <c r="M4416" s="9"/>
      <c r="N4416" s="9"/>
      <c r="O4416" s="9"/>
      <c r="P4416" s="9"/>
      <c r="Q4416" s="9"/>
      <c r="R4416" s="9" t="str">
        <f aca="false">IF(AND(A4416&lt;&gt;"",ISNUMBER(Q4416),ISNUMBER(L4416)),ROUND(Q4416-IF(ISNUMBER(N4416),N4416,0)-IF(ISNUMBER(O4416),O4416,0)+IF(ISNUMBER(P4416),P4416,0),2),"")</f>
        <v/>
      </c>
      <c r="S4416" s="9" t="str">
        <f aca="false">IF(R4416="","",ROUND(L4416-R4416,2))</f>
        <v/>
      </c>
      <c r="T4416" s="8" t="str">
        <f aca="false">IF(A4416="","",IF(S4416="","BYPASS",IF(ABS(S4416)&lt;=Summary!$B$2,"PASS","FAIL")))</f>
        <v/>
      </c>
      <c r="U4416" s="8" t="str">
        <f aca="false">IF(T4416="BYPASS",IF(NOT(ISNUMBER(Q4416)),"PreV_ETB missing","End_tr_balance missing"),IF(T4416="FAIL",IF(AND(ISNUMBER(K4416),ISNUMBER(L4416),ABS(L4416-(K4416-IF(ISNUMBER(N4416),N4416,0)-IF(ISNUMBER(O4416),O4416,0)+IF(ISNUMBER(P4416),P4416,0)))&lt;=Summary!$B$2),"Passes using beginning_balance - PreV_ETB differs from beginning_balance",IF(AND(ISNUMBER(O4416),O4416&lt;0,ABS(L4416-(Q4416-IF(ISNUMBER(N4416),N4416,0)+IF(ISNUMBER(P4416),P4416,0)))&lt;=Summary!$B$2),"Negative realized loss not applied - check sign",IF(R4416&lt;0,"Principal paid exceeds prior balance",IF(AND(L4416&gt;Q4416,NOT(ISNUMBER(P4416))),"Balance increased but no Deferred_interest reported",IF(L4416&gt;R4416,"Reported balance higher than expected (missing increase/OC build)","Reported balance lower than expected (missing decrease)"))))),""))</f>
        <v/>
      </c>
    </row>
    <row r="4417" customFormat="false" ht="15" hidden="false" customHeight="false" outlineLevel="0" collapsed="false">
      <c r="A4417" s="8"/>
      <c r="B4417" s="8"/>
      <c r="C4417" s="8"/>
      <c r="D4417" s="8"/>
      <c r="E4417" s="8"/>
      <c r="F4417" s="8"/>
      <c r="G4417" s="8"/>
      <c r="H4417" s="8"/>
      <c r="I4417" s="8"/>
      <c r="J4417" s="8"/>
      <c r="K4417" s="9"/>
      <c r="L4417" s="9"/>
      <c r="M4417" s="9"/>
      <c r="N4417" s="9"/>
      <c r="O4417" s="9"/>
      <c r="P4417" s="9"/>
      <c r="Q4417" s="9"/>
      <c r="R4417" s="9" t="str">
        <f aca="false">IF(AND(A4417&lt;&gt;"",ISNUMBER(Q4417),ISNUMBER(L4417)),ROUND(Q4417-IF(ISNUMBER(N4417),N4417,0)-IF(ISNUMBER(O4417),O4417,0)+IF(ISNUMBER(P4417),P4417,0),2),"")</f>
        <v/>
      </c>
      <c r="S4417" s="9" t="str">
        <f aca="false">IF(R4417="","",ROUND(L4417-R4417,2))</f>
        <v/>
      </c>
      <c r="T4417" s="8" t="str">
        <f aca="false">IF(A4417="","",IF(S4417="","BYPASS",IF(ABS(S4417)&lt;=Summary!$B$2,"PASS","FAIL")))</f>
        <v/>
      </c>
      <c r="U4417" s="8" t="str">
        <f aca="false">IF(T4417="BYPASS",IF(NOT(ISNUMBER(Q4417)),"PreV_ETB missing","End_tr_balance missing"),IF(T4417="FAIL",IF(AND(ISNUMBER(K4417),ISNUMBER(L4417),ABS(L4417-(K4417-IF(ISNUMBER(N4417),N4417,0)-IF(ISNUMBER(O4417),O4417,0)+IF(ISNUMBER(P4417),P4417,0)))&lt;=Summary!$B$2),"Passes using beginning_balance - PreV_ETB differs from beginning_balance",IF(AND(ISNUMBER(O4417),O4417&lt;0,ABS(L4417-(Q4417-IF(ISNUMBER(N4417),N4417,0)+IF(ISNUMBER(P4417),P4417,0)))&lt;=Summary!$B$2),"Negative realized loss not applied - check sign",IF(R4417&lt;0,"Principal paid exceeds prior balance",IF(AND(L4417&gt;Q4417,NOT(ISNUMBER(P4417))),"Balance increased but no Deferred_interest reported",IF(L4417&gt;R4417,"Reported balance higher than expected (missing increase/OC build)","Reported balance lower than expected (missing decrease)"))))),""))</f>
        <v/>
      </c>
    </row>
    <row r="4418" customFormat="false" ht="15" hidden="false" customHeight="false" outlineLevel="0" collapsed="false">
      <c r="A4418" s="8"/>
      <c r="B4418" s="8"/>
      <c r="C4418" s="8"/>
      <c r="D4418" s="8"/>
      <c r="E4418" s="8"/>
      <c r="F4418" s="8"/>
      <c r="G4418" s="8"/>
      <c r="H4418" s="8"/>
      <c r="I4418" s="8"/>
      <c r="J4418" s="8"/>
      <c r="K4418" s="9"/>
      <c r="L4418" s="9"/>
      <c r="M4418" s="9"/>
      <c r="N4418" s="9"/>
      <c r="O4418" s="9"/>
      <c r="P4418" s="9"/>
      <c r="Q4418" s="9"/>
      <c r="R4418" s="9" t="str">
        <f aca="false">IF(AND(A4418&lt;&gt;"",ISNUMBER(Q4418),ISNUMBER(L4418)),ROUND(Q4418-IF(ISNUMBER(N4418),N4418,0)-IF(ISNUMBER(O4418),O4418,0)+IF(ISNUMBER(P4418),P4418,0),2),"")</f>
        <v/>
      </c>
      <c r="S4418" s="9" t="str">
        <f aca="false">IF(R4418="","",ROUND(L4418-R4418,2))</f>
        <v/>
      </c>
      <c r="T4418" s="8" t="str">
        <f aca="false">IF(A4418="","",IF(S4418="","BYPASS",IF(ABS(S4418)&lt;=Summary!$B$2,"PASS","FAIL")))</f>
        <v/>
      </c>
      <c r="U4418" s="8" t="str">
        <f aca="false">IF(T4418="BYPASS",IF(NOT(ISNUMBER(Q4418)),"PreV_ETB missing","End_tr_balance missing"),IF(T4418="FAIL",IF(AND(ISNUMBER(K4418),ISNUMBER(L4418),ABS(L4418-(K4418-IF(ISNUMBER(N4418),N4418,0)-IF(ISNUMBER(O4418),O4418,0)+IF(ISNUMBER(P4418),P4418,0)))&lt;=Summary!$B$2),"Passes using beginning_balance - PreV_ETB differs from beginning_balance",IF(AND(ISNUMBER(O4418),O4418&lt;0,ABS(L4418-(Q4418-IF(ISNUMBER(N4418),N4418,0)+IF(ISNUMBER(P4418),P4418,0)))&lt;=Summary!$B$2),"Negative realized loss not applied - check sign",IF(R4418&lt;0,"Principal paid exceeds prior balance",IF(AND(L4418&gt;Q4418,NOT(ISNUMBER(P4418))),"Balance increased but no Deferred_interest reported",IF(L4418&gt;R4418,"Reported balance higher than expected (missing increase/OC build)","Reported balance lower than expected (missing decrease)"))))),""))</f>
        <v/>
      </c>
    </row>
    <row r="4419" customFormat="false" ht="15" hidden="false" customHeight="false" outlineLevel="0" collapsed="false">
      <c r="A4419" s="8"/>
      <c r="B4419" s="8"/>
      <c r="C4419" s="8"/>
      <c r="D4419" s="8"/>
      <c r="E4419" s="8"/>
      <c r="F4419" s="8"/>
      <c r="G4419" s="8"/>
      <c r="H4419" s="8"/>
      <c r="I4419" s="8"/>
      <c r="J4419" s="8"/>
      <c r="K4419" s="9"/>
      <c r="L4419" s="9"/>
      <c r="M4419" s="9"/>
      <c r="N4419" s="9"/>
      <c r="O4419" s="9"/>
      <c r="P4419" s="9"/>
      <c r="Q4419" s="9"/>
      <c r="R4419" s="9" t="str">
        <f aca="false">IF(AND(A4419&lt;&gt;"",ISNUMBER(Q4419),ISNUMBER(L4419)),ROUND(Q4419-IF(ISNUMBER(N4419),N4419,0)-IF(ISNUMBER(O4419),O4419,0)+IF(ISNUMBER(P4419),P4419,0),2),"")</f>
        <v/>
      </c>
      <c r="S4419" s="9" t="str">
        <f aca="false">IF(R4419="","",ROUND(L4419-R4419,2))</f>
        <v/>
      </c>
      <c r="T4419" s="8" t="str">
        <f aca="false">IF(A4419="","",IF(S4419="","BYPASS",IF(ABS(S4419)&lt;=Summary!$B$2,"PASS","FAIL")))</f>
        <v/>
      </c>
      <c r="U4419" s="8" t="str">
        <f aca="false">IF(T4419="BYPASS",IF(NOT(ISNUMBER(Q4419)),"PreV_ETB missing","End_tr_balance missing"),IF(T4419="FAIL",IF(AND(ISNUMBER(K4419),ISNUMBER(L4419),ABS(L4419-(K4419-IF(ISNUMBER(N4419),N4419,0)-IF(ISNUMBER(O4419),O4419,0)+IF(ISNUMBER(P4419),P4419,0)))&lt;=Summary!$B$2),"Passes using beginning_balance - PreV_ETB differs from beginning_balance",IF(AND(ISNUMBER(O4419),O4419&lt;0,ABS(L4419-(Q4419-IF(ISNUMBER(N4419),N4419,0)+IF(ISNUMBER(P4419),P4419,0)))&lt;=Summary!$B$2),"Negative realized loss not applied - check sign",IF(R4419&lt;0,"Principal paid exceeds prior balance",IF(AND(L4419&gt;Q4419,NOT(ISNUMBER(P4419))),"Balance increased but no Deferred_interest reported",IF(L4419&gt;R4419,"Reported balance higher than expected (missing increase/OC build)","Reported balance lower than expected (missing decrease)"))))),""))</f>
        <v/>
      </c>
    </row>
    <row r="4420" customFormat="false" ht="15" hidden="false" customHeight="false" outlineLevel="0" collapsed="false">
      <c r="A4420" s="8"/>
      <c r="B4420" s="8"/>
      <c r="C4420" s="8"/>
      <c r="D4420" s="8"/>
      <c r="E4420" s="8"/>
      <c r="F4420" s="8"/>
      <c r="G4420" s="8"/>
      <c r="H4420" s="8"/>
      <c r="I4420" s="8"/>
      <c r="J4420" s="8"/>
      <c r="K4420" s="9"/>
      <c r="L4420" s="9"/>
      <c r="M4420" s="9"/>
      <c r="N4420" s="9"/>
      <c r="O4420" s="9"/>
      <c r="P4420" s="9"/>
      <c r="Q4420" s="9"/>
      <c r="R4420" s="9" t="str">
        <f aca="false">IF(AND(A4420&lt;&gt;"",ISNUMBER(Q4420),ISNUMBER(L4420)),ROUND(Q4420-IF(ISNUMBER(N4420),N4420,0)-IF(ISNUMBER(O4420),O4420,0)+IF(ISNUMBER(P4420),P4420,0),2),"")</f>
        <v/>
      </c>
      <c r="S4420" s="9" t="str">
        <f aca="false">IF(R4420="","",ROUND(L4420-R4420,2))</f>
        <v/>
      </c>
      <c r="T4420" s="8" t="str">
        <f aca="false">IF(A4420="","",IF(S4420="","BYPASS",IF(ABS(S4420)&lt;=Summary!$B$2,"PASS","FAIL")))</f>
        <v/>
      </c>
      <c r="U4420" s="8" t="str">
        <f aca="false">IF(T4420="BYPASS",IF(NOT(ISNUMBER(Q4420)),"PreV_ETB missing","End_tr_balance missing"),IF(T4420="FAIL",IF(AND(ISNUMBER(K4420),ISNUMBER(L4420),ABS(L4420-(K4420-IF(ISNUMBER(N4420),N4420,0)-IF(ISNUMBER(O4420),O4420,0)+IF(ISNUMBER(P4420),P4420,0)))&lt;=Summary!$B$2),"Passes using beginning_balance - PreV_ETB differs from beginning_balance",IF(AND(ISNUMBER(O4420),O4420&lt;0,ABS(L4420-(Q4420-IF(ISNUMBER(N4420),N4420,0)+IF(ISNUMBER(P4420),P4420,0)))&lt;=Summary!$B$2),"Negative realized loss not applied - check sign",IF(R4420&lt;0,"Principal paid exceeds prior balance",IF(AND(L4420&gt;Q4420,NOT(ISNUMBER(P4420))),"Balance increased but no Deferred_interest reported",IF(L4420&gt;R4420,"Reported balance higher than expected (missing increase/OC build)","Reported balance lower than expected (missing decrease)"))))),""))</f>
        <v/>
      </c>
    </row>
    <row r="4421" customFormat="false" ht="15" hidden="false" customHeight="false" outlineLevel="0" collapsed="false">
      <c r="A4421" s="8"/>
      <c r="B4421" s="8"/>
      <c r="C4421" s="8"/>
      <c r="D4421" s="8"/>
      <c r="E4421" s="8"/>
      <c r="F4421" s="8"/>
      <c r="G4421" s="8"/>
      <c r="H4421" s="8"/>
      <c r="I4421" s="8"/>
      <c r="J4421" s="8"/>
      <c r="K4421" s="9"/>
      <c r="L4421" s="9"/>
      <c r="M4421" s="9"/>
      <c r="N4421" s="9"/>
      <c r="O4421" s="9"/>
      <c r="P4421" s="9"/>
      <c r="Q4421" s="9"/>
      <c r="R4421" s="9" t="str">
        <f aca="false">IF(AND(A4421&lt;&gt;"",ISNUMBER(Q4421),ISNUMBER(L4421)),ROUND(Q4421-IF(ISNUMBER(N4421),N4421,0)-IF(ISNUMBER(O4421),O4421,0)+IF(ISNUMBER(P4421),P4421,0),2),"")</f>
        <v/>
      </c>
      <c r="S4421" s="9" t="str">
        <f aca="false">IF(R4421="","",ROUND(L4421-R4421,2))</f>
        <v/>
      </c>
      <c r="T4421" s="8" t="str">
        <f aca="false">IF(A4421="","",IF(S4421="","BYPASS",IF(ABS(S4421)&lt;=Summary!$B$2,"PASS","FAIL")))</f>
        <v/>
      </c>
      <c r="U4421" s="8" t="str">
        <f aca="false">IF(T4421="BYPASS",IF(NOT(ISNUMBER(Q4421)),"PreV_ETB missing","End_tr_balance missing"),IF(T4421="FAIL",IF(AND(ISNUMBER(K4421),ISNUMBER(L4421),ABS(L4421-(K4421-IF(ISNUMBER(N4421),N4421,0)-IF(ISNUMBER(O4421),O4421,0)+IF(ISNUMBER(P4421),P4421,0)))&lt;=Summary!$B$2),"Passes using beginning_balance - PreV_ETB differs from beginning_balance",IF(AND(ISNUMBER(O4421),O4421&lt;0,ABS(L4421-(Q4421-IF(ISNUMBER(N4421),N4421,0)+IF(ISNUMBER(P4421),P4421,0)))&lt;=Summary!$B$2),"Negative realized loss not applied - check sign",IF(R4421&lt;0,"Principal paid exceeds prior balance",IF(AND(L4421&gt;Q4421,NOT(ISNUMBER(P4421))),"Balance increased but no Deferred_interest reported",IF(L4421&gt;R4421,"Reported balance higher than expected (missing increase/OC build)","Reported balance lower than expected (missing decrease)"))))),""))</f>
        <v/>
      </c>
    </row>
    <row r="4422" customFormat="false" ht="15" hidden="false" customHeight="false" outlineLevel="0" collapsed="false">
      <c r="A4422" s="8"/>
      <c r="B4422" s="8"/>
      <c r="C4422" s="8"/>
      <c r="D4422" s="8"/>
      <c r="E4422" s="8"/>
      <c r="F4422" s="8"/>
      <c r="G4422" s="8"/>
      <c r="H4422" s="8"/>
      <c r="I4422" s="8"/>
      <c r="J4422" s="8"/>
      <c r="K4422" s="9"/>
      <c r="L4422" s="9"/>
      <c r="M4422" s="9"/>
      <c r="N4422" s="9"/>
      <c r="O4422" s="9"/>
      <c r="P4422" s="9"/>
      <c r="Q4422" s="9"/>
      <c r="R4422" s="9" t="str">
        <f aca="false">IF(AND(A4422&lt;&gt;"",ISNUMBER(Q4422),ISNUMBER(L4422)),ROUND(Q4422-IF(ISNUMBER(N4422),N4422,0)-IF(ISNUMBER(O4422),O4422,0)+IF(ISNUMBER(P4422),P4422,0),2),"")</f>
        <v/>
      </c>
      <c r="S4422" s="9" t="str">
        <f aca="false">IF(R4422="","",ROUND(L4422-R4422,2))</f>
        <v/>
      </c>
      <c r="T4422" s="8" t="str">
        <f aca="false">IF(A4422="","",IF(S4422="","BYPASS",IF(ABS(S4422)&lt;=Summary!$B$2,"PASS","FAIL")))</f>
        <v/>
      </c>
      <c r="U4422" s="8" t="str">
        <f aca="false">IF(T4422="BYPASS",IF(NOT(ISNUMBER(Q4422)),"PreV_ETB missing","End_tr_balance missing"),IF(T4422="FAIL",IF(AND(ISNUMBER(K4422),ISNUMBER(L4422),ABS(L4422-(K4422-IF(ISNUMBER(N4422),N4422,0)-IF(ISNUMBER(O4422),O4422,0)+IF(ISNUMBER(P4422),P4422,0)))&lt;=Summary!$B$2),"Passes using beginning_balance - PreV_ETB differs from beginning_balance",IF(AND(ISNUMBER(O4422),O4422&lt;0,ABS(L4422-(Q4422-IF(ISNUMBER(N4422),N4422,0)+IF(ISNUMBER(P4422),P4422,0)))&lt;=Summary!$B$2),"Negative realized loss not applied - check sign",IF(R4422&lt;0,"Principal paid exceeds prior balance",IF(AND(L4422&gt;Q4422,NOT(ISNUMBER(P4422))),"Balance increased but no Deferred_interest reported",IF(L4422&gt;R4422,"Reported balance higher than expected (missing increase/OC build)","Reported balance lower than expected (missing decrease)"))))),""))</f>
        <v/>
      </c>
    </row>
    <row r="4423" customFormat="false" ht="15" hidden="false" customHeight="false" outlineLevel="0" collapsed="false">
      <c r="A4423" s="8"/>
      <c r="B4423" s="8"/>
      <c r="C4423" s="8"/>
      <c r="D4423" s="8"/>
      <c r="E4423" s="8"/>
      <c r="F4423" s="8"/>
      <c r="G4423" s="8"/>
      <c r="H4423" s="8"/>
      <c r="I4423" s="8"/>
      <c r="J4423" s="8"/>
      <c r="K4423" s="9"/>
      <c r="L4423" s="9"/>
      <c r="M4423" s="9"/>
      <c r="N4423" s="9"/>
      <c r="O4423" s="9"/>
      <c r="P4423" s="9"/>
      <c r="Q4423" s="9"/>
      <c r="R4423" s="9" t="str">
        <f aca="false">IF(AND(A4423&lt;&gt;"",ISNUMBER(Q4423),ISNUMBER(L4423)),ROUND(Q4423-IF(ISNUMBER(N4423),N4423,0)-IF(ISNUMBER(O4423),O4423,0)+IF(ISNUMBER(P4423),P4423,0),2),"")</f>
        <v/>
      </c>
      <c r="S4423" s="9" t="str">
        <f aca="false">IF(R4423="","",ROUND(L4423-R4423,2))</f>
        <v/>
      </c>
      <c r="T4423" s="8" t="str">
        <f aca="false">IF(A4423="","",IF(S4423="","BYPASS",IF(ABS(S4423)&lt;=Summary!$B$2,"PASS","FAIL")))</f>
        <v/>
      </c>
      <c r="U4423" s="8" t="str">
        <f aca="false">IF(T4423="BYPASS",IF(NOT(ISNUMBER(Q4423)),"PreV_ETB missing","End_tr_balance missing"),IF(T4423="FAIL",IF(AND(ISNUMBER(K4423),ISNUMBER(L4423),ABS(L4423-(K4423-IF(ISNUMBER(N4423),N4423,0)-IF(ISNUMBER(O4423),O4423,0)+IF(ISNUMBER(P4423),P4423,0)))&lt;=Summary!$B$2),"Passes using beginning_balance - PreV_ETB differs from beginning_balance",IF(AND(ISNUMBER(O4423),O4423&lt;0,ABS(L4423-(Q4423-IF(ISNUMBER(N4423),N4423,0)+IF(ISNUMBER(P4423),P4423,0)))&lt;=Summary!$B$2),"Negative realized loss not applied - check sign",IF(R4423&lt;0,"Principal paid exceeds prior balance",IF(AND(L4423&gt;Q4423,NOT(ISNUMBER(P4423))),"Balance increased but no Deferred_interest reported",IF(L4423&gt;R4423,"Reported balance higher than expected (missing increase/OC build)","Reported balance lower than expected (missing decrease)"))))),""))</f>
        <v/>
      </c>
    </row>
    <row r="4424" customFormat="false" ht="15" hidden="false" customHeight="false" outlineLevel="0" collapsed="false">
      <c r="A4424" s="8"/>
      <c r="B4424" s="8"/>
      <c r="C4424" s="8"/>
      <c r="D4424" s="8"/>
      <c r="E4424" s="8"/>
      <c r="F4424" s="8"/>
      <c r="G4424" s="8"/>
      <c r="H4424" s="8"/>
      <c r="I4424" s="8"/>
      <c r="J4424" s="8"/>
      <c r="K4424" s="9"/>
      <c r="L4424" s="9"/>
      <c r="M4424" s="9"/>
      <c r="N4424" s="9"/>
      <c r="O4424" s="9"/>
      <c r="P4424" s="9"/>
      <c r="Q4424" s="9"/>
      <c r="R4424" s="9" t="str">
        <f aca="false">IF(AND(A4424&lt;&gt;"",ISNUMBER(Q4424),ISNUMBER(L4424)),ROUND(Q4424-IF(ISNUMBER(N4424),N4424,0)-IF(ISNUMBER(O4424),O4424,0)+IF(ISNUMBER(P4424),P4424,0),2),"")</f>
        <v/>
      </c>
      <c r="S4424" s="9" t="str">
        <f aca="false">IF(R4424="","",ROUND(L4424-R4424,2))</f>
        <v/>
      </c>
      <c r="T4424" s="8" t="str">
        <f aca="false">IF(A4424="","",IF(S4424="","BYPASS",IF(ABS(S4424)&lt;=Summary!$B$2,"PASS","FAIL")))</f>
        <v/>
      </c>
      <c r="U4424" s="8" t="str">
        <f aca="false">IF(T4424="BYPASS",IF(NOT(ISNUMBER(Q4424)),"PreV_ETB missing","End_tr_balance missing"),IF(T4424="FAIL",IF(AND(ISNUMBER(K4424),ISNUMBER(L4424),ABS(L4424-(K4424-IF(ISNUMBER(N4424),N4424,0)-IF(ISNUMBER(O4424),O4424,0)+IF(ISNUMBER(P4424),P4424,0)))&lt;=Summary!$B$2),"Passes using beginning_balance - PreV_ETB differs from beginning_balance",IF(AND(ISNUMBER(O4424),O4424&lt;0,ABS(L4424-(Q4424-IF(ISNUMBER(N4424),N4424,0)+IF(ISNUMBER(P4424),P4424,0)))&lt;=Summary!$B$2),"Negative realized loss not applied - check sign",IF(R4424&lt;0,"Principal paid exceeds prior balance",IF(AND(L4424&gt;Q4424,NOT(ISNUMBER(P4424))),"Balance increased but no Deferred_interest reported",IF(L4424&gt;R4424,"Reported balance higher than expected (missing increase/OC build)","Reported balance lower than expected (missing decrease)"))))),""))</f>
        <v/>
      </c>
    </row>
    <row r="4425" customFormat="false" ht="15" hidden="false" customHeight="false" outlineLevel="0" collapsed="false">
      <c r="A4425" s="8"/>
      <c r="B4425" s="8"/>
      <c r="C4425" s="8"/>
      <c r="D4425" s="8"/>
      <c r="E4425" s="8"/>
      <c r="F4425" s="8"/>
      <c r="G4425" s="8"/>
      <c r="H4425" s="8"/>
      <c r="I4425" s="8"/>
      <c r="J4425" s="8"/>
      <c r="K4425" s="9"/>
      <c r="L4425" s="9"/>
      <c r="M4425" s="9"/>
      <c r="N4425" s="9"/>
      <c r="O4425" s="9"/>
      <c r="P4425" s="9"/>
      <c r="Q4425" s="9"/>
      <c r="R4425" s="9" t="str">
        <f aca="false">IF(AND(A4425&lt;&gt;"",ISNUMBER(Q4425),ISNUMBER(L4425)),ROUND(Q4425-IF(ISNUMBER(N4425),N4425,0)-IF(ISNUMBER(O4425),O4425,0)+IF(ISNUMBER(P4425),P4425,0),2),"")</f>
        <v/>
      </c>
      <c r="S4425" s="9" t="str">
        <f aca="false">IF(R4425="","",ROUND(L4425-R4425,2))</f>
        <v/>
      </c>
      <c r="T4425" s="8" t="str">
        <f aca="false">IF(A4425="","",IF(S4425="","BYPASS",IF(ABS(S4425)&lt;=Summary!$B$2,"PASS","FAIL")))</f>
        <v/>
      </c>
      <c r="U4425" s="8" t="str">
        <f aca="false">IF(T4425="BYPASS",IF(NOT(ISNUMBER(Q4425)),"PreV_ETB missing","End_tr_balance missing"),IF(T4425="FAIL",IF(AND(ISNUMBER(K4425),ISNUMBER(L4425),ABS(L4425-(K4425-IF(ISNUMBER(N4425),N4425,0)-IF(ISNUMBER(O4425),O4425,0)+IF(ISNUMBER(P4425),P4425,0)))&lt;=Summary!$B$2),"Passes using beginning_balance - PreV_ETB differs from beginning_balance",IF(AND(ISNUMBER(O4425),O4425&lt;0,ABS(L4425-(Q4425-IF(ISNUMBER(N4425),N4425,0)+IF(ISNUMBER(P4425),P4425,0)))&lt;=Summary!$B$2),"Negative realized loss not applied - check sign",IF(R4425&lt;0,"Principal paid exceeds prior balance",IF(AND(L4425&gt;Q4425,NOT(ISNUMBER(P4425))),"Balance increased but no Deferred_interest reported",IF(L4425&gt;R4425,"Reported balance higher than expected (missing increase/OC build)","Reported balance lower than expected (missing decrease)"))))),""))</f>
        <v/>
      </c>
    </row>
    <row r="4426" customFormat="false" ht="15" hidden="false" customHeight="false" outlineLevel="0" collapsed="false">
      <c r="A4426" s="8"/>
      <c r="B4426" s="8"/>
      <c r="C4426" s="8"/>
      <c r="D4426" s="8"/>
      <c r="E4426" s="8"/>
      <c r="F4426" s="8"/>
      <c r="G4426" s="8"/>
      <c r="H4426" s="8"/>
      <c r="I4426" s="8"/>
      <c r="J4426" s="8"/>
      <c r="K4426" s="9"/>
      <c r="L4426" s="9"/>
      <c r="M4426" s="9"/>
      <c r="N4426" s="9"/>
      <c r="O4426" s="9"/>
      <c r="P4426" s="9"/>
      <c r="Q4426" s="9"/>
      <c r="R4426" s="9" t="str">
        <f aca="false">IF(AND(A4426&lt;&gt;"",ISNUMBER(Q4426),ISNUMBER(L4426)),ROUND(Q4426-IF(ISNUMBER(N4426),N4426,0)-IF(ISNUMBER(O4426),O4426,0)+IF(ISNUMBER(P4426),P4426,0),2),"")</f>
        <v/>
      </c>
      <c r="S4426" s="9" t="str">
        <f aca="false">IF(R4426="","",ROUND(L4426-R4426,2))</f>
        <v/>
      </c>
      <c r="T4426" s="8" t="str">
        <f aca="false">IF(A4426="","",IF(S4426="","BYPASS",IF(ABS(S4426)&lt;=Summary!$B$2,"PASS","FAIL")))</f>
        <v/>
      </c>
      <c r="U4426" s="8" t="str">
        <f aca="false">IF(T4426="BYPASS",IF(NOT(ISNUMBER(Q4426)),"PreV_ETB missing","End_tr_balance missing"),IF(T4426="FAIL",IF(AND(ISNUMBER(K4426),ISNUMBER(L4426),ABS(L4426-(K4426-IF(ISNUMBER(N4426),N4426,0)-IF(ISNUMBER(O4426),O4426,0)+IF(ISNUMBER(P4426),P4426,0)))&lt;=Summary!$B$2),"Passes using beginning_balance - PreV_ETB differs from beginning_balance",IF(AND(ISNUMBER(O4426),O4426&lt;0,ABS(L4426-(Q4426-IF(ISNUMBER(N4426),N4426,0)+IF(ISNUMBER(P4426),P4426,0)))&lt;=Summary!$B$2),"Negative realized loss not applied - check sign",IF(R4426&lt;0,"Principal paid exceeds prior balance",IF(AND(L4426&gt;Q4426,NOT(ISNUMBER(P4426))),"Balance increased but no Deferred_interest reported",IF(L4426&gt;R4426,"Reported balance higher than expected (missing increase/OC build)","Reported balance lower than expected (missing decrease)"))))),""))</f>
        <v/>
      </c>
    </row>
    <row r="4427" customFormat="false" ht="15" hidden="false" customHeight="false" outlineLevel="0" collapsed="false">
      <c r="A4427" s="8"/>
      <c r="B4427" s="8"/>
      <c r="C4427" s="8"/>
      <c r="D4427" s="8"/>
      <c r="E4427" s="8"/>
      <c r="F4427" s="8"/>
      <c r="G4427" s="8"/>
      <c r="H4427" s="8"/>
      <c r="I4427" s="8"/>
      <c r="J4427" s="8"/>
      <c r="K4427" s="9"/>
      <c r="L4427" s="9"/>
      <c r="M4427" s="9"/>
      <c r="N4427" s="9"/>
      <c r="O4427" s="9"/>
      <c r="P4427" s="9"/>
      <c r="Q4427" s="9"/>
      <c r="R4427" s="9" t="str">
        <f aca="false">IF(AND(A4427&lt;&gt;"",ISNUMBER(Q4427),ISNUMBER(L4427)),ROUND(Q4427-IF(ISNUMBER(N4427),N4427,0)-IF(ISNUMBER(O4427),O4427,0)+IF(ISNUMBER(P4427),P4427,0),2),"")</f>
        <v/>
      </c>
      <c r="S4427" s="9" t="str">
        <f aca="false">IF(R4427="","",ROUND(L4427-R4427,2))</f>
        <v/>
      </c>
      <c r="T4427" s="8" t="str">
        <f aca="false">IF(A4427="","",IF(S4427="","BYPASS",IF(ABS(S4427)&lt;=Summary!$B$2,"PASS","FAIL")))</f>
        <v/>
      </c>
      <c r="U4427" s="8" t="str">
        <f aca="false">IF(T4427="BYPASS",IF(NOT(ISNUMBER(Q4427)),"PreV_ETB missing","End_tr_balance missing"),IF(T4427="FAIL",IF(AND(ISNUMBER(K4427),ISNUMBER(L4427),ABS(L4427-(K4427-IF(ISNUMBER(N4427),N4427,0)-IF(ISNUMBER(O4427),O4427,0)+IF(ISNUMBER(P4427),P4427,0)))&lt;=Summary!$B$2),"Passes using beginning_balance - PreV_ETB differs from beginning_balance",IF(AND(ISNUMBER(O4427),O4427&lt;0,ABS(L4427-(Q4427-IF(ISNUMBER(N4427),N4427,0)+IF(ISNUMBER(P4427),P4427,0)))&lt;=Summary!$B$2),"Negative realized loss not applied - check sign",IF(R4427&lt;0,"Principal paid exceeds prior balance",IF(AND(L4427&gt;Q4427,NOT(ISNUMBER(P4427))),"Balance increased but no Deferred_interest reported",IF(L4427&gt;R4427,"Reported balance higher than expected (missing increase/OC build)","Reported balance lower than expected (missing decrease)"))))),""))</f>
        <v/>
      </c>
    </row>
    <row r="4428" customFormat="false" ht="15" hidden="false" customHeight="false" outlineLevel="0" collapsed="false">
      <c r="A4428" s="8"/>
      <c r="B4428" s="8"/>
      <c r="C4428" s="8"/>
      <c r="D4428" s="8"/>
      <c r="E4428" s="8"/>
      <c r="F4428" s="8"/>
      <c r="G4428" s="8"/>
      <c r="H4428" s="8"/>
      <c r="I4428" s="8"/>
      <c r="J4428" s="8"/>
      <c r="K4428" s="9"/>
      <c r="L4428" s="9"/>
      <c r="M4428" s="9"/>
      <c r="N4428" s="9"/>
      <c r="O4428" s="9"/>
      <c r="P4428" s="9"/>
      <c r="Q4428" s="9"/>
      <c r="R4428" s="9" t="str">
        <f aca="false">IF(AND(A4428&lt;&gt;"",ISNUMBER(Q4428),ISNUMBER(L4428)),ROUND(Q4428-IF(ISNUMBER(N4428),N4428,0)-IF(ISNUMBER(O4428),O4428,0)+IF(ISNUMBER(P4428),P4428,0),2),"")</f>
        <v/>
      </c>
      <c r="S4428" s="9" t="str">
        <f aca="false">IF(R4428="","",ROUND(L4428-R4428,2))</f>
        <v/>
      </c>
      <c r="T4428" s="8" t="str">
        <f aca="false">IF(A4428="","",IF(S4428="","BYPASS",IF(ABS(S4428)&lt;=Summary!$B$2,"PASS","FAIL")))</f>
        <v/>
      </c>
      <c r="U4428" s="8" t="str">
        <f aca="false">IF(T4428="BYPASS",IF(NOT(ISNUMBER(Q4428)),"PreV_ETB missing","End_tr_balance missing"),IF(T4428="FAIL",IF(AND(ISNUMBER(K4428),ISNUMBER(L4428),ABS(L4428-(K4428-IF(ISNUMBER(N4428),N4428,0)-IF(ISNUMBER(O4428),O4428,0)+IF(ISNUMBER(P4428),P4428,0)))&lt;=Summary!$B$2),"Passes using beginning_balance - PreV_ETB differs from beginning_balance",IF(AND(ISNUMBER(O4428),O4428&lt;0,ABS(L4428-(Q4428-IF(ISNUMBER(N4428),N4428,0)+IF(ISNUMBER(P4428),P4428,0)))&lt;=Summary!$B$2),"Negative realized loss not applied - check sign",IF(R4428&lt;0,"Principal paid exceeds prior balance",IF(AND(L4428&gt;Q4428,NOT(ISNUMBER(P4428))),"Balance increased but no Deferred_interest reported",IF(L4428&gt;R4428,"Reported balance higher than expected (missing increase/OC build)","Reported balance lower than expected (missing decrease)"))))),""))</f>
        <v/>
      </c>
    </row>
    <row r="4429" customFormat="false" ht="15" hidden="false" customHeight="false" outlineLevel="0" collapsed="false">
      <c r="A4429" s="8"/>
      <c r="B4429" s="8"/>
      <c r="C4429" s="8"/>
      <c r="D4429" s="8"/>
      <c r="E4429" s="8"/>
      <c r="F4429" s="8"/>
      <c r="G4429" s="8"/>
      <c r="H4429" s="8"/>
      <c r="I4429" s="8"/>
      <c r="J4429" s="8"/>
      <c r="K4429" s="9"/>
      <c r="L4429" s="9"/>
      <c r="M4429" s="9"/>
      <c r="N4429" s="9"/>
      <c r="O4429" s="9"/>
      <c r="P4429" s="9"/>
      <c r="Q4429" s="9"/>
      <c r="R4429" s="9" t="str">
        <f aca="false">IF(AND(A4429&lt;&gt;"",ISNUMBER(Q4429),ISNUMBER(L4429)),ROUND(Q4429-IF(ISNUMBER(N4429),N4429,0)-IF(ISNUMBER(O4429),O4429,0)+IF(ISNUMBER(P4429),P4429,0),2),"")</f>
        <v/>
      </c>
      <c r="S4429" s="9" t="str">
        <f aca="false">IF(R4429="","",ROUND(L4429-R4429,2))</f>
        <v/>
      </c>
      <c r="T4429" s="8" t="str">
        <f aca="false">IF(A4429="","",IF(S4429="","BYPASS",IF(ABS(S4429)&lt;=Summary!$B$2,"PASS","FAIL")))</f>
        <v/>
      </c>
      <c r="U4429" s="8" t="str">
        <f aca="false">IF(T4429="BYPASS",IF(NOT(ISNUMBER(Q4429)),"PreV_ETB missing","End_tr_balance missing"),IF(T4429="FAIL",IF(AND(ISNUMBER(K4429),ISNUMBER(L4429),ABS(L4429-(K4429-IF(ISNUMBER(N4429),N4429,0)-IF(ISNUMBER(O4429),O4429,0)+IF(ISNUMBER(P4429),P4429,0)))&lt;=Summary!$B$2),"Passes using beginning_balance - PreV_ETB differs from beginning_balance",IF(AND(ISNUMBER(O4429),O4429&lt;0,ABS(L4429-(Q4429-IF(ISNUMBER(N4429),N4429,0)+IF(ISNUMBER(P4429),P4429,0)))&lt;=Summary!$B$2),"Negative realized loss not applied - check sign",IF(R4429&lt;0,"Principal paid exceeds prior balance",IF(AND(L4429&gt;Q4429,NOT(ISNUMBER(P4429))),"Balance increased but no Deferred_interest reported",IF(L4429&gt;R4429,"Reported balance higher than expected (missing increase/OC build)","Reported balance lower than expected (missing decrease)"))))),""))</f>
        <v/>
      </c>
    </row>
    <row r="4430" customFormat="false" ht="15" hidden="false" customHeight="false" outlineLevel="0" collapsed="false">
      <c r="A4430" s="8"/>
      <c r="B4430" s="8"/>
      <c r="C4430" s="8"/>
      <c r="D4430" s="8"/>
      <c r="E4430" s="8"/>
      <c r="F4430" s="8"/>
      <c r="G4430" s="8"/>
      <c r="H4430" s="8"/>
      <c r="I4430" s="8"/>
      <c r="J4430" s="8"/>
      <c r="K4430" s="9"/>
      <c r="L4430" s="9"/>
      <c r="M4430" s="9"/>
      <c r="N4430" s="9"/>
      <c r="O4430" s="9"/>
      <c r="P4430" s="9"/>
      <c r="Q4430" s="9"/>
      <c r="R4430" s="9" t="str">
        <f aca="false">IF(AND(A4430&lt;&gt;"",ISNUMBER(Q4430),ISNUMBER(L4430)),ROUND(Q4430-IF(ISNUMBER(N4430),N4430,0)-IF(ISNUMBER(O4430),O4430,0)+IF(ISNUMBER(P4430),P4430,0),2),"")</f>
        <v/>
      </c>
      <c r="S4430" s="9" t="str">
        <f aca="false">IF(R4430="","",ROUND(L4430-R4430,2))</f>
        <v/>
      </c>
      <c r="T4430" s="8" t="str">
        <f aca="false">IF(A4430="","",IF(S4430="","BYPASS",IF(ABS(S4430)&lt;=Summary!$B$2,"PASS","FAIL")))</f>
        <v/>
      </c>
      <c r="U4430" s="8" t="str">
        <f aca="false">IF(T4430="BYPASS",IF(NOT(ISNUMBER(Q4430)),"PreV_ETB missing","End_tr_balance missing"),IF(T4430="FAIL",IF(AND(ISNUMBER(K4430),ISNUMBER(L4430),ABS(L4430-(K4430-IF(ISNUMBER(N4430),N4430,0)-IF(ISNUMBER(O4430),O4430,0)+IF(ISNUMBER(P4430),P4430,0)))&lt;=Summary!$B$2),"Passes using beginning_balance - PreV_ETB differs from beginning_balance",IF(AND(ISNUMBER(O4430),O4430&lt;0,ABS(L4430-(Q4430-IF(ISNUMBER(N4430),N4430,0)+IF(ISNUMBER(P4430),P4430,0)))&lt;=Summary!$B$2),"Negative realized loss not applied - check sign",IF(R4430&lt;0,"Principal paid exceeds prior balance",IF(AND(L4430&gt;Q4430,NOT(ISNUMBER(P4430))),"Balance increased but no Deferred_interest reported",IF(L4430&gt;R4430,"Reported balance higher than expected (missing increase/OC build)","Reported balance lower than expected (missing decrease)"))))),""))</f>
        <v/>
      </c>
    </row>
    <row r="4431" customFormat="false" ht="15" hidden="false" customHeight="false" outlineLevel="0" collapsed="false">
      <c r="A4431" s="8"/>
      <c r="B4431" s="8"/>
      <c r="C4431" s="8"/>
      <c r="D4431" s="8"/>
      <c r="E4431" s="8"/>
      <c r="F4431" s="8"/>
      <c r="G4431" s="8"/>
      <c r="H4431" s="8"/>
      <c r="I4431" s="8"/>
      <c r="J4431" s="8"/>
      <c r="K4431" s="9"/>
      <c r="L4431" s="9"/>
      <c r="M4431" s="9"/>
      <c r="N4431" s="9"/>
      <c r="O4431" s="9"/>
      <c r="P4431" s="9"/>
      <c r="Q4431" s="9"/>
      <c r="R4431" s="9" t="str">
        <f aca="false">IF(AND(A4431&lt;&gt;"",ISNUMBER(Q4431),ISNUMBER(L4431)),ROUND(Q4431-IF(ISNUMBER(N4431),N4431,0)-IF(ISNUMBER(O4431),O4431,0)+IF(ISNUMBER(P4431),P4431,0),2),"")</f>
        <v/>
      </c>
      <c r="S4431" s="9" t="str">
        <f aca="false">IF(R4431="","",ROUND(L4431-R4431,2))</f>
        <v/>
      </c>
      <c r="T4431" s="8" t="str">
        <f aca="false">IF(A4431="","",IF(S4431="","BYPASS",IF(ABS(S4431)&lt;=Summary!$B$2,"PASS","FAIL")))</f>
        <v/>
      </c>
      <c r="U4431" s="8" t="str">
        <f aca="false">IF(T4431="BYPASS",IF(NOT(ISNUMBER(Q4431)),"PreV_ETB missing","End_tr_balance missing"),IF(T4431="FAIL",IF(AND(ISNUMBER(K4431),ISNUMBER(L4431),ABS(L4431-(K4431-IF(ISNUMBER(N4431),N4431,0)-IF(ISNUMBER(O4431),O4431,0)+IF(ISNUMBER(P4431),P4431,0)))&lt;=Summary!$B$2),"Passes using beginning_balance - PreV_ETB differs from beginning_balance",IF(AND(ISNUMBER(O4431),O4431&lt;0,ABS(L4431-(Q4431-IF(ISNUMBER(N4431),N4431,0)+IF(ISNUMBER(P4431),P4431,0)))&lt;=Summary!$B$2),"Negative realized loss not applied - check sign",IF(R4431&lt;0,"Principal paid exceeds prior balance",IF(AND(L4431&gt;Q4431,NOT(ISNUMBER(P4431))),"Balance increased but no Deferred_interest reported",IF(L4431&gt;R4431,"Reported balance higher than expected (missing increase/OC build)","Reported balance lower than expected (missing decrease)"))))),""))</f>
        <v/>
      </c>
    </row>
    <row r="4432" customFormat="false" ht="15" hidden="false" customHeight="false" outlineLevel="0" collapsed="false">
      <c r="A4432" s="8"/>
      <c r="B4432" s="8"/>
      <c r="C4432" s="8"/>
      <c r="D4432" s="8"/>
      <c r="E4432" s="8"/>
      <c r="F4432" s="8"/>
      <c r="G4432" s="8"/>
      <c r="H4432" s="8"/>
      <c r="I4432" s="8"/>
      <c r="J4432" s="8"/>
      <c r="K4432" s="9"/>
      <c r="L4432" s="9"/>
      <c r="M4432" s="9"/>
      <c r="N4432" s="9"/>
      <c r="O4432" s="9"/>
      <c r="P4432" s="9"/>
      <c r="Q4432" s="9"/>
      <c r="R4432" s="9" t="str">
        <f aca="false">IF(AND(A4432&lt;&gt;"",ISNUMBER(Q4432),ISNUMBER(L4432)),ROUND(Q4432-IF(ISNUMBER(N4432),N4432,0)-IF(ISNUMBER(O4432),O4432,0)+IF(ISNUMBER(P4432),P4432,0),2),"")</f>
        <v/>
      </c>
      <c r="S4432" s="9" t="str">
        <f aca="false">IF(R4432="","",ROUND(L4432-R4432,2))</f>
        <v/>
      </c>
      <c r="T4432" s="8" t="str">
        <f aca="false">IF(A4432="","",IF(S4432="","BYPASS",IF(ABS(S4432)&lt;=Summary!$B$2,"PASS","FAIL")))</f>
        <v/>
      </c>
      <c r="U4432" s="8" t="str">
        <f aca="false">IF(T4432="BYPASS",IF(NOT(ISNUMBER(Q4432)),"PreV_ETB missing","End_tr_balance missing"),IF(T4432="FAIL",IF(AND(ISNUMBER(K4432),ISNUMBER(L4432),ABS(L4432-(K4432-IF(ISNUMBER(N4432),N4432,0)-IF(ISNUMBER(O4432),O4432,0)+IF(ISNUMBER(P4432),P4432,0)))&lt;=Summary!$B$2),"Passes using beginning_balance - PreV_ETB differs from beginning_balance",IF(AND(ISNUMBER(O4432),O4432&lt;0,ABS(L4432-(Q4432-IF(ISNUMBER(N4432),N4432,0)+IF(ISNUMBER(P4432),P4432,0)))&lt;=Summary!$B$2),"Negative realized loss not applied - check sign",IF(R4432&lt;0,"Principal paid exceeds prior balance",IF(AND(L4432&gt;Q4432,NOT(ISNUMBER(P4432))),"Balance increased but no Deferred_interest reported",IF(L4432&gt;R4432,"Reported balance higher than expected (missing increase/OC build)","Reported balance lower than expected (missing decrease)"))))),""))</f>
        <v/>
      </c>
    </row>
    <row r="4433" customFormat="false" ht="15" hidden="false" customHeight="false" outlineLevel="0" collapsed="false">
      <c r="A4433" s="8"/>
      <c r="B4433" s="8"/>
      <c r="C4433" s="8"/>
      <c r="D4433" s="8"/>
      <c r="E4433" s="8"/>
      <c r="F4433" s="8"/>
      <c r="G4433" s="8"/>
      <c r="H4433" s="8"/>
      <c r="I4433" s="8"/>
      <c r="J4433" s="8"/>
      <c r="K4433" s="9"/>
      <c r="L4433" s="9"/>
      <c r="M4433" s="9"/>
      <c r="N4433" s="9"/>
      <c r="O4433" s="9"/>
      <c r="P4433" s="9"/>
      <c r="Q4433" s="9"/>
      <c r="R4433" s="9" t="str">
        <f aca="false">IF(AND(A4433&lt;&gt;"",ISNUMBER(Q4433),ISNUMBER(L4433)),ROUND(Q4433-IF(ISNUMBER(N4433),N4433,0)-IF(ISNUMBER(O4433),O4433,0)+IF(ISNUMBER(P4433),P4433,0),2),"")</f>
        <v/>
      </c>
      <c r="S4433" s="9" t="str">
        <f aca="false">IF(R4433="","",ROUND(L4433-R4433,2))</f>
        <v/>
      </c>
      <c r="T4433" s="8" t="str">
        <f aca="false">IF(A4433="","",IF(S4433="","BYPASS",IF(ABS(S4433)&lt;=Summary!$B$2,"PASS","FAIL")))</f>
        <v/>
      </c>
      <c r="U4433" s="8" t="str">
        <f aca="false">IF(T4433="BYPASS",IF(NOT(ISNUMBER(Q4433)),"PreV_ETB missing","End_tr_balance missing"),IF(T4433="FAIL",IF(AND(ISNUMBER(K4433),ISNUMBER(L4433),ABS(L4433-(K4433-IF(ISNUMBER(N4433),N4433,0)-IF(ISNUMBER(O4433),O4433,0)+IF(ISNUMBER(P4433),P4433,0)))&lt;=Summary!$B$2),"Passes using beginning_balance - PreV_ETB differs from beginning_balance",IF(AND(ISNUMBER(O4433),O4433&lt;0,ABS(L4433-(Q4433-IF(ISNUMBER(N4433),N4433,0)+IF(ISNUMBER(P4433),P4433,0)))&lt;=Summary!$B$2),"Negative realized loss not applied - check sign",IF(R4433&lt;0,"Principal paid exceeds prior balance",IF(AND(L4433&gt;Q4433,NOT(ISNUMBER(P4433))),"Balance increased but no Deferred_interest reported",IF(L4433&gt;R4433,"Reported balance higher than expected (missing increase/OC build)","Reported balance lower than expected (missing decrease)"))))),""))</f>
        <v/>
      </c>
    </row>
    <row r="4434" customFormat="false" ht="15" hidden="false" customHeight="false" outlineLevel="0" collapsed="false">
      <c r="A4434" s="8"/>
      <c r="B4434" s="8"/>
      <c r="C4434" s="8"/>
      <c r="D4434" s="8"/>
      <c r="E4434" s="8"/>
      <c r="F4434" s="8"/>
      <c r="G4434" s="8"/>
      <c r="H4434" s="8"/>
      <c r="I4434" s="8"/>
      <c r="J4434" s="8"/>
      <c r="K4434" s="9"/>
      <c r="L4434" s="9"/>
      <c r="M4434" s="9"/>
      <c r="N4434" s="9"/>
      <c r="O4434" s="9"/>
      <c r="P4434" s="9"/>
      <c r="Q4434" s="9"/>
      <c r="R4434" s="9" t="str">
        <f aca="false">IF(AND(A4434&lt;&gt;"",ISNUMBER(Q4434),ISNUMBER(L4434)),ROUND(Q4434-IF(ISNUMBER(N4434),N4434,0)-IF(ISNUMBER(O4434),O4434,0)+IF(ISNUMBER(P4434),P4434,0),2),"")</f>
        <v/>
      </c>
      <c r="S4434" s="9" t="str">
        <f aca="false">IF(R4434="","",ROUND(L4434-R4434,2))</f>
        <v/>
      </c>
      <c r="T4434" s="8" t="str">
        <f aca="false">IF(A4434="","",IF(S4434="","BYPASS",IF(ABS(S4434)&lt;=Summary!$B$2,"PASS","FAIL")))</f>
        <v/>
      </c>
      <c r="U4434" s="8" t="str">
        <f aca="false">IF(T4434="BYPASS",IF(NOT(ISNUMBER(Q4434)),"PreV_ETB missing","End_tr_balance missing"),IF(T4434="FAIL",IF(AND(ISNUMBER(K4434),ISNUMBER(L4434),ABS(L4434-(K4434-IF(ISNUMBER(N4434),N4434,0)-IF(ISNUMBER(O4434),O4434,0)+IF(ISNUMBER(P4434),P4434,0)))&lt;=Summary!$B$2),"Passes using beginning_balance - PreV_ETB differs from beginning_balance",IF(AND(ISNUMBER(O4434),O4434&lt;0,ABS(L4434-(Q4434-IF(ISNUMBER(N4434),N4434,0)+IF(ISNUMBER(P4434),P4434,0)))&lt;=Summary!$B$2),"Negative realized loss not applied - check sign",IF(R4434&lt;0,"Principal paid exceeds prior balance",IF(AND(L4434&gt;Q4434,NOT(ISNUMBER(P4434))),"Balance increased but no Deferred_interest reported",IF(L4434&gt;R4434,"Reported balance higher than expected (missing increase/OC build)","Reported balance lower than expected (missing decrease)"))))),""))</f>
        <v/>
      </c>
    </row>
    <row r="4435" customFormat="false" ht="15" hidden="false" customHeight="false" outlineLevel="0" collapsed="false">
      <c r="A4435" s="8"/>
      <c r="B4435" s="8"/>
      <c r="C4435" s="8"/>
      <c r="D4435" s="8"/>
      <c r="E4435" s="8"/>
      <c r="F4435" s="8"/>
      <c r="G4435" s="8"/>
      <c r="H4435" s="8"/>
      <c r="I4435" s="8"/>
      <c r="J4435" s="8"/>
      <c r="K4435" s="9"/>
      <c r="L4435" s="9"/>
      <c r="M4435" s="9"/>
      <c r="N4435" s="9"/>
      <c r="O4435" s="9"/>
      <c r="P4435" s="9"/>
      <c r="Q4435" s="9"/>
      <c r="R4435" s="9" t="str">
        <f aca="false">IF(AND(A4435&lt;&gt;"",ISNUMBER(Q4435),ISNUMBER(L4435)),ROUND(Q4435-IF(ISNUMBER(N4435),N4435,0)-IF(ISNUMBER(O4435),O4435,0)+IF(ISNUMBER(P4435),P4435,0),2),"")</f>
        <v/>
      </c>
      <c r="S4435" s="9" t="str">
        <f aca="false">IF(R4435="","",ROUND(L4435-R4435,2))</f>
        <v/>
      </c>
      <c r="T4435" s="8" t="str">
        <f aca="false">IF(A4435="","",IF(S4435="","BYPASS",IF(ABS(S4435)&lt;=Summary!$B$2,"PASS","FAIL")))</f>
        <v/>
      </c>
      <c r="U4435" s="8" t="str">
        <f aca="false">IF(T4435="BYPASS",IF(NOT(ISNUMBER(Q4435)),"PreV_ETB missing","End_tr_balance missing"),IF(T4435="FAIL",IF(AND(ISNUMBER(K4435),ISNUMBER(L4435),ABS(L4435-(K4435-IF(ISNUMBER(N4435),N4435,0)-IF(ISNUMBER(O4435),O4435,0)+IF(ISNUMBER(P4435),P4435,0)))&lt;=Summary!$B$2),"Passes using beginning_balance - PreV_ETB differs from beginning_balance",IF(AND(ISNUMBER(O4435),O4435&lt;0,ABS(L4435-(Q4435-IF(ISNUMBER(N4435),N4435,0)+IF(ISNUMBER(P4435),P4435,0)))&lt;=Summary!$B$2),"Negative realized loss not applied - check sign",IF(R4435&lt;0,"Principal paid exceeds prior balance",IF(AND(L4435&gt;Q4435,NOT(ISNUMBER(P4435))),"Balance increased but no Deferred_interest reported",IF(L4435&gt;R4435,"Reported balance higher than expected (missing increase/OC build)","Reported balance lower than expected (missing decrease)"))))),""))</f>
        <v/>
      </c>
    </row>
    <row r="4436" customFormat="false" ht="15" hidden="false" customHeight="false" outlineLevel="0" collapsed="false">
      <c r="A4436" s="8"/>
      <c r="B4436" s="8"/>
      <c r="C4436" s="8"/>
      <c r="D4436" s="8"/>
      <c r="E4436" s="8"/>
      <c r="F4436" s="8"/>
      <c r="G4436" s="8"/>
      <c r="H4436" s="8"/>
      <c r="I4436" s="8"/>
      <c r="J4436" s="8"/>
      <c r="K4436" s="9"/>
      <c r="L4436" s="9"/>
      <c r="M4436" s="9"/>
      <c r="N4436" s="9"/>
      <c r="O4436" s="9"/>
      <c r="P4436" s="9"/>
      <c r="Q4436" s="9"/>
      <c r="R4436" s="9" t="str">
        <f aca="false">IF(AND(A4436&lt;&gt;"",ISNUMBER(Q4436),ISNUMBER(L4436)),ROUND(Q4436-IF(ISNUMBER(N4436),N4436,0)-IF(ISNUMBER(O4436),O4436,0)+IF(ISNUMBER(P4436),P4436,0),2),"")</f>
        <v/>
      </c>
      <c r="S4436" s="9" t="str">
        <f aca="false">IF(R4436="","",ROUND(L4436-R4436,2))</f>
        <v/>
      </c>
      <c r="T4436" s="8" t="str">
        <f aca="false">IF(A4436="","",IF(S4436="","BYPASS",IF(ABS(S4436)&lt;=Summary!$B$2,"PASS","FAIL")))</f>
        <v/>
      </c>
      <c r="U4436" s="8" t="str">
        <f aca="false">IF(T4436="BYPASS",IF(NOT(ISNUMBER(Q4436)),"PreV_ETB missing","End_tr_balance missing"),IF(T4436="FAIL",IF(AND(ISNUMBER(K4436),ISNUMBER(L4436),ABS(L4436-(K4436-IF(ISNUMBER(N4436),N4436,0)-IF(ISNUMBER(O4436),O4436,0)+IF(ISNUMBER(P4436),P4436,0)))&lt;=Summary!$B$2),"Passes using beginning_balance - PreV_ETB differs from beginning_balance",IF(AND(ISNUMBER(O4436),O4436&lt;0,ABS(L4436-(Q4436-IF(ISNUMBER(N4436),N4436,0)+IF(ISNUMBER(P4436),P4436,0)))&lt;=Summary!$B$2),"Negative realized loss not applied - check sign",IF(R4436&lt;0,"Principal paid exceeds prior balance",IF(AND(L4436&gt;Q4436,NOT(ISNUMBER(P4436))),"Balance increased but no Deferred_interest reported",IF(L4436&gt;R4436,"Reported balance higher than expected (missing increase/OC build)","Reported balance lower than expected (missing decrease)"))))),""))</f>
        <v/>
      </c>
    </row>
    <row r="4437" customFormat="false" ht="15" hidden="false" customHeight="false" outlineLevel="0" collapsed="false">
      <c r="A4437" s="8"/>
      <c r="B4437" s="8"/>
      <c r="C4437" s="8"/>
      <c r="D4437" s="8"/>
      <c r="E4437" s="8"/>
      <c r="F4437" s="8"/>
      <c r="G4437" s="8"/>
      <c r="H4437" s="8"/>
      <c r="I4437" s="8"/>
      <c r="J4437" s="8"/>
      <c r="K4437" s="9"/>
      <c r="L4437" s="9"/>
      <c r="M4437" s="9"/>
      <c r="N4437" s="9"/>
      <c r="O4437" s="9"/>
      <c r="P4437" s="9"/>
      <c r="Q4437" s="9"/>
      <c r="R4437" s="9" t="str">
        <f aca="false">IF(AND(A4437&lt;&gt;"",ISNUMBER(Q4437),ISNUMBER(L4437)),ROUND(Q4437-IF(ISNUMBER(N4437),N4437,0)-IF(ISNUMBER(O4437),O4437,0)+IF(ISNUMBER(P4437),P4437,0),2),"")</f>
        <v/>
      </c>
      <c r="S4437" s="9" t="str">
        <f aca="false">IF(R4437="","",ROUND(L4437-R4437,2))</f>
        <v/>
      </c>
      <c r="T4437" s="8" t="str">
        <f aca="false">IF(A4437="","",IF(S4437="","BYPASS",IF(ABS(S4437)&lt;=Summary!$B$2,"PASS","FAIL")))</f>
        <v/>
      </c>
      <c r="U4437" s="8" t="str">
        <f aca="false">IF(T4437="BYPASS",IF(NOT(ISNUMBER(Q4437)),"PreV_ETB missing","End_tr_balance missing"),IF(T4437="FAIL",IF(AND(ISNUMBER(K4437),ISNUMBER(L4437),ABS(L4437-(K4437-IF(ISNUMBER(N4437),N4437,0)-IF(ISNUMBER(O4437),O4437,0)+IF(ISNUMBER(P4437),P4437,0)))&lt;=Summary!$B$2),"Passes using beginning_balance - PreV_ETB differs from beginning_balance",IF(AND(ISNUMBER(O4437),O4437&lt;0,ABS(L4437-(Q4437-IF(ISNUMBER(N4437),N4437,0)+IF(ISNUMBER(P4437),P4437,0)))&lt;=Summary!$B$2),"Negative realized loss not applied - check sign",IF(R4437&lt;0,"Principal paid exceeds prior balance",IF(AND(L4437&gt;Q4437,NOT(ISNUMBER(P4437))),"Balance increased but no Deferred_interest reported",IF(L4437&gt;R4437,"Reported balance higher than expected (missing increase/OC build)","Reported balance lower than expected (missing decrease)"))))),""))</f>
        <v/>
      </c>
    </row>
    <row r="4438" customFormat="false" ht="15" hidden="false" customHeight="false" outlineLevel="0" collapsed="false">
      <c r="A4438" s="8"/>
      <c r="B4438" s="8"/>
      <c r="C4438" s="8"/>
      <c r="D4438" s="8"/>
      <c r="E4438" s="8"/>
      <c r="F4438" s="8"/>
      <c r="G4438" s="8"/>
      <c r="H4438" s="8"/>
      <c r="I4438" s="8"/>
      <c r="J4438" s="8"/>
      <c r="K4438" s="9"/>
      <c r="L4438" s="9"/>
      <c r="M4438" s="9"/>
      <c r="N4438" s="9"/>
      <c r="O4438" s="9"/>
      <c r="P4438" s="9"/>
      <c r="Q4438" s="9"/>
      <c r="R4438" s="9" t="str">
        <f aca="false">IF(AND(A4438&lt;&gt;"",ISNUMBER(Q4438),ISNUMBER(L4438)),ROUND(Q4438-IF(ISNUMBER(N4438),N4438,0)-IF(ISNUMBER(O4438),O4438,0)+IF(ISNUMBER(P4438),P4438,0),2),"")</f>
        <v/>
      </c>
      <c r="S4438" s="9" t="str">
        <f aca="false">IF(R4438="","",ROUND(L4438-R4438,2))</f>
        <v/>
      </c>
      <c r="T4438" s="8" t="str">
        <f aca="false">IF(A4438="","",IF(S4438="","BYPASS",IF(ABS(S4438)&lt;=Summary!$B$2,"PASS","FAIL")))</f>
        <v/>
      </c>
      <c r="U4438" s="8" t="str">
        <f aca="false">IF(T4438="BYPASS",IF(NOT(ISNUMBER(Q4438)),"PreV_ETB missing","End_tr_balance missing"),IF(T4438="FAIL",IF(AND(ISNUMBER(K4438),ISNUMBER(L4438),ABS(L4438-(K4438-IF(ISNUMBER(N4438),N4438,0)-IF(ISNUMBER(O4438),O4438,0)+IF(ISNUMBER(P4438),P4438,0)))&lt;=Summary!$B$2),"Passes using beginning_balance - PreV_ETB differs from beginning_balance",IF(AND(ISNUMBER(O4438),O4438&lt;0,ABS(L4438-(Q4438-IF(ISNUMBER(N4438),N4438,0)+IF(ISNUMBER(P4438),P4438,0)))&lt;=Summary!$B$2),"Negative realized loss not applied - check sign",IF(R4438&lt;0,"Principal paid exceeds prior balance",IF(AND(L4438&gt;Q4438,NOT(ISNUMBER(P4438))),"Balance increased but no Deferred_interest reported",IF(L4438&gt;R4438,"Reported balance higher than expected (missing increase/OC build)","Reported balance lower than expected (missing decrease)"))))),""))</f>
        <v/>
      </c>
    </row>
    <row r="4439" customFormat="false" ht="15" hidden="false" customHeight="false" outlineLevel="0" collapsed="false">
      <c r="A4439" s="8"/>
      <c r="B4439" s="8"/>
      <c r="C4439" s="8"/>
      <c r="D4439" s="8"/>
      <c r="E4439" s="8"/>
      <c r="F4439" s="8"/>
      <c r="G4439" s="8"/>
      <c r="H4439" s="8"/>
      <c r="I4439" s="8"/>
      <c r="J4439" s="8"/>
      <c r="K4439" s="9"/>
      <c r="L4439" s="9"/>
      <c r="M4439" s="9"/>
      <c r="N4439" s="9"/>
      <c r="O4439" s="9"/>
      <c r="P4439" s="9"/>
      <c r="Q4439" s="9"/>
      <c r="R4439" s="9" t="str">
        <f aca="false">IF(AND(A4439&lt;&gt;"",ISNUMBER(Q4439),ISNUMBER(L4439)),ROUND(Q4439-IF(ISNUMBER(N4439),N4439,0)-IF(ISNUMBER(O4439),O4439,0)+IF(ISNUMBER(P4439),P4439,0),2),"")</f>
        <v/>
      </c>
      <c r="S4439" s="9" t="str">
        <f aca="false">IF(R4439="","",ROUND(L4439-R4439,2))</f>
        <v/>
      </c>
      <c r="T4439" s="8" t="str">
        <f aca="false">IF(A4439="","",IF(S4439="","BYPASS",IF(ABS(S4439)&lt;=Summary!$B$2,"PASS","FAIL")))</f>
        <v/>
      </c>
      <c r="U4439" s="8" t="str">
        <f aca="false">IF(T4439="BYPASS",IF(NOT(ISNUMBER(Q4439)),"PreV_ETB missing","End_tr_balance missing"),IF(T4439="FAIL",IF(AND(ISNUMBER(K4439),ISNUMBER(L4439),ABS(L4439-(K4439-IF(ISNUMBER(N4439),N4439,0)-IF(ISNUMBER(O4439),O4439,0)+IF(ISNUMBER(P4439),P4439,0)))&lt;=Summary!$B$2),"Passes using beginning_balance - PreV_ETB differs from beginning_balance",IF(AND(ISNUMBER(O4439),O4439&lt;0,ABS(L4439-(Q4439-IF(ISNUMBER(N4439),N4439,0)+IF(ISNUMBER(P4439),P4439,0)))&lt;=Summary!$B$2),"Negative realized loss not applied - check sign",IF(R4439&lt;0,"Principal paid exceeds prior balance",IF(AND(L4439&gt;Q4439,NOT(ISNUMBER(P4439))),"Balance increased but no Deferred_interest reported",IF(L4439&gt;R4439,"Reported balance higher than expected (missing increase/OC build)","Reported balance lower than expected (missing decrease)"))))),""))</f>
        <v/>
      </c>
    </row>
    <row r="4440" customFormat="false" ht="15" hidden="false" customHeight="false" outlineLevel="0" collapsed="false">
      <c r="A4440" s="8"/>
      <c r="B4440" s="8"/>
      <c r="C4440" s="8"/>
      <c r="D4440" s="8"/>
      <c r="E4440" s="8"/>
      <c r="F4440" s="8"/>
      <c r="G4440" s="8"/>
      <c r="H4440" s="8"/>
      <c r="I4440" s="8"/>
      <c r="J4440" s="8"/>
      <c r="K4440" s="9"/>
      <c r="L4440" s="9"/>
      <c r="M4440" s="9"/>
      <c r="N4440" s="9"/>
      <c r="O4440" s="9"/>
      <c r="P4440" s="9"/>
      <c r="Q4440" s="9"/>
      <c r="R4440" s="9" t="str">
        <f aca="false">IF(AND(A4440&lt;&gt;"",ISNUMBER(Q4440),ISNUMBER(L4440)),ROUND(Q4440-IF(ISNUMBER(N4440),N4440,0)-IF(ISNUMBER(O4440),O4440,0)+IF(ISNUMBER(P4440),P4440,0),2),"")</f>
        <v/>
      </c>
      <c r="S4440" s="9" t="str">
        <f aca="false">IF(R4440="","",ROUND(L4440-R4440,2))</f>
        <v/>
      </c>
      <c r="T4440" s="8" t="str">
        <f aca="false">IF(A4440="","",IF(S4440="","BYPASS",IF(ABS(S4440)&lt;=Summary!$B$2,"PASS","FAIL")))</f>
        <v/>
      </c>
      <c r="U4440" s="8" t="str">
        <f aca="false">IF(T4440="BYPASS",IF(NOT(ISNUMBER(Q4440)),"PreV_ETB missing","End_tr_balance missing"),IF(T4440="FAIL",IF(AND(ISNUMBER(K4440),ISNUMBER(L4440),ABS(L4440-(K4440-IF(ISNUMBER(N4440),N4440,0)-IF(ISNUMBER(O4440),O4440,0)+IF(ISNUMBER(P4440),P4440,0)))&lt;=Summary!$B$2),"Passes using beginning_balance - PreV_ETB differs from beginning_balance",IF(AND(ISNUMBER(O4440),O4440&lt;0,ABS(L4440-(Q4440-IF(ISNUMBER(N4440),N4440,0)+IF(ISNUMBER(P4440),P4440,0)))&lt;=Summary!$B$2),"Negative realized loss not applied - check sign",IF(R4440&lt;0,"Principal paid exceeds prior balance",IF(AND(L4440&gt;Q4440,NOT(ISNUMBER(P4440))),"Balance increased but no Deferred_interest reported",IF(L4440&gt;R4440,"Reported balance higher than expected (missing increase/OC build)","Reported balance lower than expected (missing decrease)"))))),""))</f>
        <v/>
      </c>
    </row>
    <row r="4441" customFormat="false" ht="15" hidden="false" customHeight="false" outlineLevel="0" collapsed="false">
      <c r="A4441" s="8"/>
      <c r="B4441" s="8"/>
      <c r="C4441" s="8"/>
      <c r="D4441" s="8"/>
      <c r="E4441" s="8"/>
      <c r="F4441" s="8"/>
      <c r="G4441" s="8"/>
      <c r="H4441" s="8"/>
      <c r="I4441" s="8"/>
      <c r="J4441" s="8"/>
      <c r="K4441" s="9"/>
      <c r="L4441" s="9"/>
      <c r="M4441" s="9"/>
      <c r="N4441" s="9"/>
      <c r="O4441" s="9"/>
      <c r="P4441" s="9"/>
      <c r="Q4441" s="9"/>
      <c r="R4441" s="9" t="str">
        <f aca="false">IF(AND(A4441&lt;&gt;"",ISNUMBER(Q4441),ISNUMBER(L4441)),ROUND(Q4441-IF(ISNUMBER(N4441),N4441,0)-IF(ISNUMBER(O4441),O4441,0)+IF(ISNUMBER(P4441),P4441,0),2),"")</f>
        <v/>
      </c>
      <c r="S4441" s="9" t="str">
        <f aca="false">IF(R4441="","",ROUND(L4441-R4441,2))</f>
        <v/>
      </c>
      <c r="T4441" s="8" t="str">
        <f aca="false">IF(A4441="","",IF(S4441="","BYPASS",IF(ABS(S4441)&lt;=Summary!$B$2,"PASS","FAIL")))</f>
        <v/>
      </c>
      <c r="U4441" s="8" t="str">
        <f aca="false">IF(T4441="BYPASS",IF(NOT(ISNUMBER(Q4441)),"PreV_ETB missing","End_tr_balance missing"),IF(T4441="FAIL",IF(AND(ISNUMBER(K4441),ISNUMBER(L4441),ABS(L4441-(K4441-IF(ISNUMBER(N4441),N4441,0)-IF(ISNUMBER(O4441),O4441,0)+IF(ISNUMBER(P4441),P4441,0)))&lt;=Summary!$B$2),"Passes using beginning_balance - PreV_ETB differs from beginning_balance",IF(AND(ISNUMBER(O4441),O4441&lt;0,ABS(L4441-(Q4441-IF(ISNUMBER(N4441),N4441,0)+IF(ISNUMBER(P4441),P4441,0)))&lt;=Summary!$B$2),"Negative realized loss not applied - check sign",IF(R4441&lt;0,"Principal paid exceeds prior balance",IF(AND(L4441&gt;Q4441,NOT(ISNUMBER(P4441))),"Balance increased but no Deferred_interest reported",IF(L4441&gt;R4441,"Reported balance higher than expected (missing increase/OC build)","Reported balance lower than expected (missing decrease)"))))),""))</f>
        <v/>
      </c>
    </row>
    <row r="4442" customFormat="false" ht="15" hidden="false" customHeight="false" outlineLevel="0" collapsed="false">
      <c r="A4442" s="8"/>
      <c r="B4442" s="8"/>
      <c r="C4442" s="8"/>
      <c r="D4442" s="8"/>
      <c r="E4442" s="8"/>
      <c r="F4442" s="8"/>
      <c r="G4442" s="8"/>
      <c r="H4442" s="8"/>
      <c r="I4442" s="8"/>
      <c r="J4442" s="8"/>
      <c r="K4442" s="9"/>
      <c r="L4442" s="9"/>
      <c r="M4442" s="9"/>
      <c r="N4442" s="9"/>
      <c r="O4442" s="9"/>
      <c r="P4442" s="9"/>
      <c r="Q4442" s="9"/>
      <c r="R4442" s="9" t="str">
        <f aca="false">IF(AND(A4442&lt;&gt;"",ISNUMBER(Q4442),ISNUMBER(L4442)),ROUND(Q4442-IF(ISNUMBER(N4442),N4442,0)-IF(ISNUMBER(O4442),O4442,0)+IF(ISNUMBER(P4442),P4442,0),2),"")</f>
        <v/>
      </c>
      <c r="S4442" s="9" t="str">
        <f aca="false">IF(R4442="","",ROUND(L4442-R4442,2))</f>
        <v/>
      </c>
      <c r="T4442" s="8" t="str">
        <f aca="false">IF(A4442="","",IF(S4442="","BYPASS",IF(ABS(S4442)&lt;=Summary!$B$2,"PASS","FAIL")))</f>
        <v/>
      </c>
      <c r="U4442" s="8" t="str">
        <f aca="false">IF(T4442="BYPASS",IF(NOT(ISNUMBER(Q4442)),"PreV_ETB missing","End_tr_balance missing"),IF(T4442="FAIL",IF(AND(ISNUMBER(K4442),ISNUMBER(L4442),ABS(L4442-(K4442-IF(ISNUMBER(N4442),N4442,0)-IF(ISNUMBER(O4442),O4442,0)+IF(ISNUMBER(P4442),P4442,0)))&lt;=Summary!$B$2),"Passes using beginning_balance - PreV_ETB differs from beginning_balance",IF(AND(ISNUMBER(O4442),O4442&lt;0,ABS(L4442-(Q4442-IF(ISNUMBER(N4442),N4442,0)+IF(ISNUMBER(P4442),P4442,0)))&lt;=Summary!$B$2),"Negative realized loss not applied - check sign",IF(R4442&lt;0,"Principal paid exceeds prior balance",IF(AND(L4442&gt;Q4442,NOT(ISNUMBER(P4442))),"Balance increased but no Deferred_interest reported",IF(L4442&gt;R4442,"Reported balance higher than expected (missing increase/OC build)","Reported balance lower than expected (missing decrease)"))))),""))</f>
        <v/>
      </c>
    </row>
    <row r="4443" customFormat="false" ht="15" hidden="false" customHeight="false" outlineLevel="0" collapsed="false">
      <c r="A4443" s="8"/>
      <c r="B4443" s="8"/>
      <c r="C4443" s="8"/>
      <c r="D4443" s="8"/>
      <c r="E4443" s="8"/>
      <c r="F4443" s="8"/>
      <c r="G4443" s="8"/>
      <c r="H4443" s="8"/>
      <c r="I4443" s="8"/>
      <c r="J4443" s="8"/>
      <c r="K4443" s="9"/>
      <c r="L4443" s="9"/>
      <c r="M4443" s="9"/>
      <c r="N4443" s="9"/>
      <c r="O4443" s="9"/>
      <c r="P4443" s="9"/>
      <c r="Q4443" s="9"/>
      <c r="R4443" s="9" t="str">
        <f aca="false">IF(AND(A4443&lt;&gt;"",ISNUMBER(Q4443),ISNUMBER(L4443)),ROUND(Q4443-IF(ISNUMBER(N4443),N4443,0)-IF(ISNUMBER(O4443),O4443,0)+IF(ISNUMBER(P4443),P4443,0),2),"")</f>
        <v/>
      </c>
      <c r="S4443" s="9" t="str">
        <f aca="false">IF(R4443="","",ROUND(L4443-R4443,2))</f>
        <v/>
      </c>
      <c r="T4443" s="8" t="str">
        <f aca="false">IF(A4443="","",IF(S4443="","BYPASS",IF(ABS(S4443)&lt;=Summary!$B$2,"PASS","FAIL")))</f>
        <v/>
      </c>
      <c r="U4443" s="8" t="str">
        <f aca="false">IF(T4443="BYPASS",IF(NOT(ISNUMBER(Q4443)),"PreV_ETB missing","End_tr_balance missing"),IF(T4443="FAIL",IF(AND(ISNUMBER(K4443),ISNUMBER(L4443),ABS(L4443-(K4443-IF(ISNUMBER(N4443),N4443,0)-IF(ISNUMBER(O4443),O4443,0)+IF(ISNUMBER(P4443),P4443,0)))&lt;=Summary!$B$2),"Passes using beginning_balance - PreV_ETB differs from beginning_balance",IF(AND(ISNUMBER(O4443),O4443&lt;0,ABS(L4443-(Q4443-IF(ISNUMBER(N4443),N4443,0)+IF(ISNUMBER(P4443),P4443,0)))&lt;=Summary!$B$2),"Negative realized loss not applied - check sign",IF(R4443&lt;0,"Principal paid exceeds prior balance",IF(AND(L4443&gt;Q4443,NOT(ISNUMBER(P4443))),"Balance increased but no Deferred_interest reported",IF(L4443&gt;R4443,"Reported balance higher than expected (missing increase/OC build)","Reported balance lower than expected (missing decrease)"))))),""))</f>
        <v/>
      </c>
    </row>
    <row r="4444" customFormat="false" ht="15" hidden="false" customHeight="false" outlineLevel="0" collapsed="false">
      <c r="A4444" s="8"/>
      <c r="B4444" s="8"/>
      <c r="C4444" s="8"/>
      <c r="D4444" s="8"/>
      <c r="E4444" s="8"/>
      <c r="F4444" s="8"/>
      <c r="G4444" s="8"/>
      <c r="H4444" s="8"/>
      <c r="I4444" s="8"/>
      <c r="J4444" s="8"/>
      <c r="K4444" s="9"/>
      <c r="L4444" s="9"/>
      <c r="M4444" s="9"/>
      <c r="N4444" s="9"/>
      <c r="O4444" s="9"/>
      <c r="P4444" s="9"/>
      <c r="Q4444" s="9"/>
      <c r="R4444" s="9" t="str">
        <f aca="false">IF(AND(A4444&lt;&gt;"",ISNUMBER(Q4444),ISNUMBER(L4444)),ROUND(Q4444-IF(ISNUMBER(N4444),N4444,0)-IF(ISNUMBER(O4444),O4444,0)+IF(ISNUMBER(P4444),P4444,0),2),"")</f>
        <v/>
      </c>
      <c r="S4444" s="9" t="str">
        <f aca="false">IF(R4444="","",ROUND(L4444-R4444,2))</f>
        <v/>
      </c>
      <c r="T4444" s="8" t="str">
        <f aca="false">IF(A4444="","",IF(S4444="","BYPASS",IF(ABS(S4444)&lt;=Summary!$B$2,"PASS","FAIL")))</f>
        <v/>
      </c>
      <c r="U4444" s="8" t="str">
        <f aca="false">IF(T4444="BYPASS",IF(NOT(ISNUMBER(Q4444)),"PreV_ETB missing","End_tr_balance missing"),IF(T4444="FAIL",IF(AND(ISNUMBER(K4444),ISNUMBER(L4444),ABS(L4444-(K4444-IF(ISNUMBER(N4444),N4444,0)-IF(ISNUMBER(O4444),O4444,0)+IF(ISNUMBER(P4444),P4444,0)))&lt;=Summary!$B$2),"Passes using beginning_balance - PreV_ETB differs from beginning_balance",IF(AND(ISNUMBER(O4444),O4444&lt;0,ABS(L4444-(Q4444-IF(ISNUMBER(N4444),N4444,0)+IF(ISNUMBER(P4444),P4444,0)))&lt;=Summary!$B$2),"Negative realized loss not applied - check sign",IF(R4444&lt;0,"Principal paid exceeds prior balance",IF(AND(L4444&gt;Q4444,NOT(ISNUMBER(P4444))),"Balance increased but no Deferred_interest reported",IF(L4444&gt;R4444,"Reported balance higher than expected (missing increase/OC build)","Reported balance lower than expected (missing decrease)"))))),""))</f>
        <v/>
      </c>
    </row>
    <row r="4445" customFormat="false" ht="15" hidden="false" customHeight="false" outlineLevel="0" collapsed="false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9"/>
      <c r="L4445" s="9"/>
      <c r="M4445" s="9"/>
      <c r="N4445" s="9"/>
      <c r="O4445" s="9"/>
      <c r="P4445" s="9"/>
      <c r="Q4445" s="9"/>
      <c r="R4445" s="9" t="str">
        <f aca="false">IF(AND(A4445&lt;&gt;"",ISNUMBER(Q4445),ISNUMBER(L4445)),ROUND(Q4445-IF(ISNUMBER(N4445),N4445,0)-IF(ISNUMBER(O4445),O4445,0)+IF(ISNUMBER(P4445),P4445,0),2),"")</f>
        <v/>
      </c>
      <c r="S4445" s="9" t="str">
        <f aca="false">IF(R4445="","",ROUND(L4445-R4445,2))</f>
        <v/>
      </c>
      <c r="T4445" s="8" t="str">
        <f aca="false">IF(A4445="","",IF(S4445="","BYPASS",IF(ABS(S4445)&lt;=Summary!$B$2,"PASS","FAIL")))</f>
        <v/>
      </c>
      <c r="U4445" s="8" t="str">
        <f aca="false">IF(T4445="BYPASS",IF(NOT(ISNUMBER(Q4445)),"PreV_ETB missing","End_tr_balance missing"),IF(T4445="FAIL",IF(AND(ISNUMBER(K4445),ISNUMBER(L4445),ABS(L4445-(K4445-IF(ISNUMBER(N4445),N4445,0)-IF(ISNUMBER(O4445),O4445,0)+IF(ISNUMBER(P4445),P4445,0)))&lt;=Summary!$B$2),"Passes using beginning_balance - PreV_ETB differs from beginning_balance",IF(AND(ISNUMBER(O4445),O4445&lt;0,ABS(L4445-(Q4445-IF(ISNUMBER(N4445),N4445,0)+IF(ISNUMBER(P4445),P4445,0)))&lt;=Summary!$B$2),"Negative realized loss not applied - check sign",IF(R4445&lt;0,"Principal paid exceeds prior balance",IF(AND(L4445&gt;Q4445,NOT(ISNUMBER(P4445))),"Balance increased but no Deferred_interest reported",IF(L4445&gt;R4445,"Reported balance higher than expected (missing increase/OC build)","Reported balance lower than expected (missing decrease)"))))),""))</f>
        <v/>
      </c>
    </row>
    <row r="4446" customFormat="false" ht="15" hidden="false" customHeight="false" outlineLevel="0" collapsed="false">
      <c r="A4446" s="8"/>
      <c r="B4446" s="8"/>
      <c r="C4446" s="8"/>
      <c r="D4446" s="8"/>
      <c r="E4446" s="8"/>
      <c r="F4446" s="8"/>
      <c r="G4446" s="8"/>
      <c r="H4446" s="8"/>
      <c r="I4446" s="8"/>
      <c r="J4446" s="8"/>
      <c r="K4446" s="9"/>
      <c r="L4446" s="9"/>
      <c r="M4446" s="9"/>
      <c r="N4446" s="9"/>
      <c r="O4446" s="9"/>
      <c r="P4446" s="9"/>
      <c r="Q4446" s="9"/>
      <c r="R4446" s="9" t="str">
        <f aca="false">IF(AND(A4446&lt;&gt;"",ISNUMBER(Q4446),ISNUMBER(L4446)),ROUND(Q4446-IF(ISNUMBER(N4446),N4446,0)-IF(ISNUMBER(O4446),O4446,0)+IF(ISNUMBER(P4446),P4446,0),2),"")</f>
        <v/>
      </c>
      <c r="S4446" s="9" t="str">
        <f aca="false">IF(R4446="","",ROUND(L4446-R4446,2))</f>
        <v/>
      </c>
      <c r="T4446" s="8" t="str">
        <f aca="false">IF(A4446="","",IF(S4446="","BYPASS",IF(ABS(S4446)&lt;=Summary!$B$2,"PASS","FAIL")))</f>
        <v/>
      </c>
      <c r="U4446" s="8" t="str">
        <f aca="false">IF(T4446="BYPASS",IF(NOT(ISNUMBER(Q4446)),"PreV_ETB missing","End_tr_balance missing"),IF(T4446="FAIL",IF(AND(ISNUMBER(K4446),ISNUMBER(L4446),ABS(L4446-(K4446-IF(ISNUMBER(N4446),N4446,0)-IF(ISNUMBER(O4446),O4446,0)+IF(ISNUMBER(P4446),P4446,0)))&lt;=Summary!$B$2),"Passes using beginning_balance - PreV_ETB differs from beginning_balance",IF(AND(ISNUMBER(O4446),O4446&lt;0,ABS(L4446-(Q4446-IF(ISNUMBER(N4446),N4446,0)+IF(ISNUMBER(P4446),P4446,0)))&lt;=Summary!$B$2),"Negative realized loss not applied - check sign",IF(R4446&lt;0,"Principal paid exceeds prior balance",IF(AND(L4446&gt;Q4446,NOT(ISNUMBER(P4446))),"Balance increased but no Deferred_interest reported",IF(L4446&gt;R4446,"Reported balance higher than expected (missing increase/OC build)","Reported balance lower than expected (missing decrease)"))))),""))</f>
        <v/>
      </c>
    </row>
    <row r="4447" customFormat="false" ht="15" hidden="false" customHeight="false" outlineLevel="0" collapsed="false">
      <c r="A4447" s="8"/>
      <c r="B4447" s="8"/>
      <c r="C4447" s="8"/>
      <c r="D4447" s="8"/>
      <c r="E4447" s="8"/>
      <c r="F4447" s="8"/>
      <c r="G4447" s="8"/>
      <c r="H4447" s="8"/>
      <c r="I4447" s="8"/>
      <c r="J4447" s="8"/>
      <c r="K4447" s="9"/>
      <c r="L4447" s="9"/>
      <c r="M4447" s="9"/>
      <c r="N4447" s="9"/>
      <c r="O4447" s="9"/>
      <c r="P4447" s="9"/>
      <c r="Q4447" s="9"/>
      <c r="R4447" s="9" t="str">
        <f aca="false">IF(AND(A4447&lt;&gt;"",ISNUMBER(Q4447),ISNUMBER(L4447)),ROUND(Q4447-IF(ISNUMBER(N4447),N4447,0)-IF(ISNUMBER(O4447),O4447,0)+IF(ISNUMBER(P4447),P4447,0),2),"")</f>
        <v/>
      </c>
      <c r="S4447" s="9" t="str">
        <f aca="false">IF(R4447="","",ROUND(L4447-R4447,2))</f>
        <v/>
      </c>
      <c r="T4447" s="8" t="str">
        <f aca="false">IF(A4447="","",IF(S4447="","BYPASS",IF(ABS(S4447)&lt;=Summary!$B$2,"PASS","FAIL")))</f>
        <v/>
      </c>
      <c r="U4447" s="8" t="str">
        <f aca="false">IF(T4447="BYPASS",IF(NOT(ISNUMBER(Q4447)),"PreV_ETB missing","End_tr_balance missing"),IF(T4447="FAIL",IF(AND(ISNUMBER(K4447),ISNUMBER(L4447),ABS(L4447-(K4447-IF(ISNUMBER(N4447),N4447,0)-IF(ISNUMBER(O4447),O4447,0)+IF(ISNUMBER(P4447),P4447,0)))&lt;=Summary!$B$2),"Passes using beginning_balance - PreV_ETB differs from beginning_balance",IF(AND(ISNUMBER(O4447),O4447&lt;0,ABS(L4447-(Q4447-IF(ISNUMBER(N4447),N4447,0)+IF(ISNUMBER(P4447),P4447,0)))&lt;=Summary!$B$2),"Negative realized loss not applied - check sign",IF(R4447&lt;0,"Principal paid exceeds prior balance",IF(AND(L4447&gt;Q4447,NOT(ISNUMBER(P4447))),"Balance increased but no Deferred_interest reported",IF(L4447&gt;R4447,"Reported balance higher than expected (missing increase/OC build)","Reported balance lower than expected (missing decrease)"))))),""))</f>
        <v/>
      </c>
    </row>
    <row r="4448" customFormat="false" ht="15" hidden="false" customHeight="false" outlineLevel="0" collapsed="false">
      <c r="A4448" s="8"/>
      <c r="B4448" s="8"/>
      <c r="C4448" s="8"/>
      <c r="D4448" s="8"/>
      <c r="E4448" s="8"/>
      <c r="F4448" s="8"/>
      <c r="G4448" s="8"/>
      <c r="H4448" s="8"/>
      <c r="I4448" s="8"/>
      <c r="J4448" s="8"/>
      <c r="K4448" s="9"/>
      <c r="L4448" s="9"/>
      <c r="M4448" s="9"/>
      <c r="N4448" s="9"/>
      <c r="O4448" s="9"/>
      <c r="P4448" s="9"/>
      <c r="Q4448" s="9"/>
      <c r="R4448" s="9" t="str">
        <f aca="false">IF(AND(A4448&lt;&gt;"",ISNUMBER(Q4448),ISNUMBER(L4448)),ROUND(Q4448-IF(ISNUMBER(N4448),N4448,0)-IF(ISNUMBER(O4448),O4448,0)+IF(ISNUMBER(P4448),P4448,0),2),"")</f>
        <v/>
      </c>
      <c r="S4448" s="9" t="str">
        <f aca="false">IF(R4448="","",ROUND(L4448-R4448,2))</f>
        <v/>
      </c>
      <c r="T4448" s="8" t="str">
        <f aca="false">IF(A4448="","",IF(S4448="","BYPASS",IF(ABS(S4448)&lt;=Summary!$B$2,"PASS","FAIL")))</f>
        <v/>
      </c>
      <c r="U4448" s="8" t="str">
        <f aca="false">IF(T4448="BYPASS",IF(NOT(ISNUMBER(Q4448)),"PreV_ETB missing","End_tr_balance missing"),IF(T4448="FAIL",IF(AND(ISNUMBER(K4448),ISNUMBER(L4448),ABS(L4448-(K4448-IF(ISNUMBER(N4448),N4448,0)-IF(ISNUMBER(O4448),O4448,0)+IF(ISNUMBER(P4448),P4448,0)))&lt;=Summary!$B$2),"Passes using beginning_balance - PreV_ETB differs from beginning_balance",IF(AND(ISNUMBER(O4448),O4448&lt;0,ABS(L4448-(Q4448-IF(ISNUMBER(N4448),N4448,0)+IF(ISNUMBER(P4448),P4448,0)))&lt;=Summary!$B$2),"Negative realized loss not applied - check sign",IF(R4448&lt;0,"Principal paid exceeds prior balance",IF(AND(L4448&gt;Q4448,NOT(ISNUMBER(P4448))),"Balance increased but no Deferred_interest reported",IF(L4448&gt;R4448,"Reported balance higher than expected (missing increase/OC build)","Reported balance lower than expected (missing decrease)"))))),""))</f>
        <v/>
      </c>
    </row>
    <row r="4449" customFormat="false" ht="15" hidden="false" customHeight="false" outlineLevel="0" collapsed="false">
      <c r="A4449" s="8"/>
      <c r="B4449" s="8"/>
      <c r="C4449" s="8"/>
      <c r="D4449" s="8"/>
      <c r="E4449" s="8"/>
      <c r="F4449" s="8"/>
      <c r="G4449" s="8"/>
      <c r="H4449" s="8"/>
      <c r="I4449" s="8"/>
      <c r="J4449" s="8"/>
      <c r="K4449" s="9"/>
      <c r="L4449" s="9"/>
      <c r="M4449" s="9"/>
      <c r="N4449" s="9"/>
      <c r="O4449" s="9"/>
      <c r="P4449" s="9"/>
      <c r="Q4449" s="9"/>
      <c r="R4449" s="9" t="str">
        <f aca="false">IF(AND(A4449&lt;&gt;"",ISNUMBER(Q4449),ISNUMBER(L4449)),ROUND(Q4449-IF(ISNUMBER(N4449),N4449,0)-IF(ISNUMBER(O4449),O4449,0)+IF(ISNUMBER(P4449),P4449,0),2),"")</f>
        <v/>
      </c>
      <c r="S4449" s="9" t="str">
        <f aca="false">IF(R4449="","",ROUND(L4449-R4449,2))</f>
        <v/>
      </c>
      <c r="T4449" s="8" t="str">
        <f aca="false">IF(A4449="","",IF(S4449="","BYPASS",IF(ABS(S4449)&lt;=Summary!$B$2,"PASS","FAIL")))</f>
        <v/>
      </c>
      <c r="U4449" s="8" t="str">
        <f aca="false">IF(T4449="BYPASS",IF(NOT(ISNUMBER(Q4449)),"PreV_ETB missing","End_tr_balance missing"),IF(T4449="FAIL",IF(AND(ISNUMBER(K4449),ISNUMBER(L4449),ABS(L4449-(K4449-IF(ISNUMBER(N4449),N4449,0)-IF(ISNUMBER(O4449),O4449,0)+IF(ISNUMBER(P4449),P4449,0)))&lt;=Summary!$B$2),"Passes using beginning_balance - PreV_ETB differs from beginning_balance",IF(AND(ISNUMBER(O4449),O4449&lt;0,ABS(L4449-(Q4449-IF(ISNUMBER(N4449),N4449,0)+IF(ISNUMBER(P4449),P4449,0)))&lt;=Summary!$B$2),"Negative realized loss not applied - check sign",IF(R4449&lt;0,"Principal paid exceeds prior balance",IF(AND(L4449&gt;Q4449,NOT(ISNUMBER(P4449))),"Balance increased but no Deferred_interest reported",IF(L4449&gt;R4449,"Reported balance higher than expected (missing increase/OC build)","Reported balance lower than expected (missing decrease)"))))),""))</f>
        <v/>
      </c>
    </row>
    <row r="4450" customFormat="false" ht="15" hidden="false" customHeight="false" outlineLevel="0" collapsed="false">
      <c r="A4450" s="8"/>
      <c r="B4450" s="8"/>
      <c r="C4450" s="8"/>
      <c r="D4450" s="8"/>
      <c r="E4450" s="8"/>
      <c r="F4450" s="8"/>
      <c r="G4450" s="8"/>
      <c r="H4450" s="8"/>
      <c r="I4450" s="8"/>
      <c r="J4450" s="8"/>
      <c r="K4450" s="9"/>
      <c r="L4450" s="9"/>
      <c r="M4450" s="9"/>
      <c r="N4450" s="9"/>
      <c r="O4450" s="9"/>
      <c r="P4450" s="9"/>
      <c r="Q4450" s="9"/>
      <c r="R4450" s="9" t="str">
        <f aca="false">IF(AND(A4450&lt;&gt;"",ISNUMBER(Q4450),ISNUMBER(L4450)),ROUND(Q4450-IF(ISNUMBER(N4450),N4450,0)-IF(ISNUMBER(O4450),O4450,0)+IF(ISNUMBER(P4450),P4450,0),2),"")</f>
        <v/>
      </c>
      <c r="S4450" s="9" t="str">
        <f aca="false">IF(R4450="","",ROUND(L4450-R4450,2))</f>
        <v/>
      </c>
      <c r="T4450" s="8" t="str">
        <f aca="false">IF(A4450="","",IF(S4450="","BYPASS",IF(ABS(S4450)&lt;=Summary!$B$2,"PASS","FAIL")))</f>
        <v/>
      </c>
      <c r="U4450" s="8" t="str">
        <f aca="false">IF(T4450="BYPASS",IF(NOT(ISNUMBER(Q4450)),"PreV_ETB missing","End_tr_balance missing"),IF(T4450="FAIL",IF(AND(ISNUMBER(K4450),ISNUMBER(L4450),ABS(L4450-(K4450-IF(ISNUMBER(N4450),N4450,0)-IF(ISNUMBER(O4450),O4450,0)+IF(ISNUMBER(P4450),P4450,0)))&lt;=Summary!$B$2),"Passes using beginning_balance - PreV_ETB differs from beginning_balance",IF(AND(ISNUMBER(O4450),O4450&lt;0,ABS(L4450-(Q4450-IF(ISNUMBER(N4450),N4450,0)+IF(ISNUMBER(P4450),P4450,0)))&lt;=Summary!$B$2),"Negative realized loss not applied - check sign",IF(R4450&lt;0,"Principal paid exceeds prior balance",IF(AND(L4450&gt;Q4450,NOT(ISNUMBER(P4450))),"Balance increased but no Deferred_interest reported",IF(L4450&gt;R4450,"Reported balance higher than expected (missing increase/OC build)","Reported balance lower than expected (missing decrease)"))))),""))</f>
        <v/>
      </c>
    </row>
    <row r="4451" customFormat="false" ht="15" hidden="false" customHeight="false" outlineLevel="0" collapsed="false">
      <c r="A4451" s="8"/>
      <c r="B4451" s="8"/>
      <c r="C4451" s="8"/>
      <c r="D4451" s="8"/>
      <c r="E4451" s="8"/>
      <c r="F4451" s="8"/>
      <c r="G4451" s="8"/>
      <c r="H4451" s="8"/>
      <c r="I4451" s="8"/>
      <c r="J4451" s="8"/>
      <c r="K4451" s="9"/>
      <c r="L4451" s="9"/>
      <c r="M4451" s="9"/>
      <c r="N4451" s="9"/>
      <c r="O4451" s="9"/>
      <c r="P4451" s="9"/>
      <c r="Q4451" s="9"/>
      <c r="R4451" s="9" t="str">
        <f aca="false">IF(AND(A4451&lt;&gt;"",ISNUMBER(Q4451),ISNUMBER(L4451)),ROUND(Q4451-IF(ISNUMBER(N4451),N4451,0)-IF(ISNUMBER(O4451),O4451,0)+IF(ISNUMBER(P4451),P4451,0),2),"")</f>
        <v/>
      </c>
      <c r="S4451" s="9" t="str">
        <f aca="false">IF(R4451="","",ROUND(L4451-R4451,2))</f>
        <v/>
      </c>
      <c r="T4451" s="8" t="str">
        <f aca="false">IF(A4451="","",IF(S4451="","BYPASS",IF(ABS(S4451)&lt;=Summary!$B$2,"PASS","FAIL")))</f>
        <v/>
      </c>
      <c r="U4451" s="8" t="str">
        <f aca="false">IF(T4451="BYPASS",IF(NOT(ISNUMBER(Q4451)),"PreV_ETB missing","End_tr_balance missing"),IF(T4451="FAIL",IF(AND(ISNUMBER(K4451),ISNUMBER(L4451),ABS(L4451-(K4451-IF(ISNUMBER(N4451),N4451,0)-IF(ISNUMBER(O4451),O4451,0)+IF(ISNUMBER(P4451),P4451,0)))&lt;=Summary!$B$2),"Passes using beginning_balance - PreV_ETB differs from beginning_balance",IF(AND(ISNUMBER(O4451),O4451&lt;0,ABS(L4451-(Q4451-IF(ISNUMBER(N4451),N4451,0)+IF(ISNUMBER(P4451),P4451,0)))&lt;=Summary!$B$2),"Negative realized loss not applied - check sign",IF(R4451&lt;0,"Principal paid exceeds prior balance",IF(AND(L4451&gt;Q4451,NOT(ISNUMBER(P4451))),"Balance increased but no Deferred_interest reported",IF(L4451&gt;R4451,"Reported balance higher than expected (missing increase/OC build)","Reported balance lower than expected (missing decrease)"))))),""))</f>
        <v/>
      </c>
    </row>
    <row r="4452" customFormat="false" ht="15" hidden="false" customHeight="false" outlineLevel="0" collapsed="false">
      <c r="A4452" s="8"/>
      <c r="B4452" s="8"/>
      <c r="C4452" s="8"/>
      <c r="D4452" s="8"/>
      <c r="E4452" s="8"/>
      <c r="F4452" s="8"/>
      <c r="G4452" s="8"/>
      <c r="H4452" s="8"/>
      <c r="I4452" s="8"/>
      <c r="J4452" s="8"/>
      <c r="K4452" s="9"/>
      <c r="L4452" s="9"/>
      <c r="M4452" s="9"/>
      <c r="N4452" s="9"/>
      <c r="O4452" s="9"/>
      <c r="P4452" s="9"/>
      <c r="Q4452" s="9"/>
      <c r="R4452" s="9" t="str">
        <f aca="false">IF(AND(A4452&lt;&gt;"",ISNUMBER(Q4452),ISNUMBER(L4452)),ROUND(Q4452-IF(ISNUMBER(N4452),N4452,0)-IF(ISNUMBER(O4452),O4452,0)+IF(ISNUMBER(P4452),P4452,0),2),"")</f>
        <v/>
      </c>
      <c r="S4452" s="9" t="str">
        <f aca="false">IF(R4452="","",ROUND(L4452-R4452,2))</f>
        <v/>
      </c>
      <c r="T4452" s="8" t="str">
        <f aca="false">IF(A4452="","",IF(S4452="","BYPASS",IF(ABS(S4452)&lt;=Summary!$B$2,"PASS","FAIL")))</f>
        <v/>
      </c>
      <c r="U4452" s="8" t="str">
        <f aca="false">IF(T4452="BYPASS",IF(NOT(ISNUMBER(Q4452)),"PreV_ETB missing","End_tr_balance missing"),IF(T4452="FAIL",IF(AND(ISNUMBER(K4452),ISNUMBER(L4452),ABS(L4452-(K4452-IF(ISNUMBER(N4452),N4452,0)-IF(ISNUMBER(O4452),O4452,0)+IF(ISNUMBER(P4452),P4452,0)))&lt;=Summary!$B$2),"Passes using beginning_balance - PreV_ETB differs from beginning_balance",IF(AND(ISNUMBER(O4452),O4452&lt;0,ABS(L4452-(Q4452-IF(ISNUMBER(N4452),N4452,0)+IF(ISNUMBER(P4452),P4452,0)))&lt;=Summary!$B$2),"Negative realized loss not applied - check sign",IF(R4452&lt;0,"Principal paid exceeds prior balance",IF(AND(L4452&gt;Q4452,NOT(ISNUMBER(P4452))),"Balance increased but no Deferred_interest reported",IF(L4452&gt;R4452,"Reported balance higher than expected (missing increase/OC build)","Reported balance lower than expected (missing decrease)"))))),""))</f>
        <v/>
      </c>
    </row>
    <row r="4453" customFormat="false" ht="15" hidden="false" customHeight="false" outlineLevel="0" collapsed="false">
      <c r="A4453" s="8"/>
      <c r="B4453" s="8"/>
      <c r="C4453" s="8"/>
      <c r="D4453" s="8"/>
      <c r="E4453" s="8"/>
      <c r="F4453" s="8"/>
      <c r="G4453" s="8"/>
      <c r="H4453" s="8"/>
      <c r="I4453" s="8"/>
      <c r="J4453" s="8"/>
      <c r="K4453" s="9"/>
      <c r="L4453" s="9"/>
      <c r="M4453" s="9"/>
      <c r="N4453" s="9"/>
      <c r="O4453" s="9"/>
      <c r="P4453" s="9"/>
      <c r="Q4453" s="9"/>
      <c r="R4453" s="9" t="str">
        <f aca="false">IF(AND(A4453&lt;&gt;"",ISNUMBER(Q4453),ISNUMBER(L4453)),ROUND(Q4453-IF(ISNUMBER(N4453),N4453,0)-IF(ISNUMBER(O4453),O4453,0)+IF(ISNUMBER(P4453),P4453,0),2),"")</f>
        <v/>
      </c>
      <c r="S4453" s="9" t="str">
        <f aca="false">IF(R4453="","",ROUND(L4453-R4453,2))</f>
        <v/>
      </c>
      <c r="T4453" s="8" t="str">
        <f aca="false">IF(A4453="","",IF(S4453="","BYPASS",IF(ABS(S4453)&lt;=Summary!$B$2,"PASS","FAIL")))</f>
        <v/>
      </c>
      <c r="U4453" s="8" t="str">
        <f aca="false">IF(T4453="BYPASS",IF(NOT(ISNUMBER(Q4453)),"PreV_ETB missing","End_tr_balance missing"),IF(T4453="FAIL",IF(AND(ISNUMBER(K4453),ISNUMBER(L4453),ABS(L4453-(K4453-IF(ISNUMBER(N4453),N4453,0)-IF(ISNUMBER(O4453),O4453,0)+IF(ISNUMBER(P4453),P4453,0)))&lt;=Summary!$B$2),"Passes using beginning_balance - PreV_ETB differs from beginning_balance",IF(AND(ISNUMBER(O4453),O4453&lt;0,ABS(L4453-(Q4453-IF(ISNUMBER(N4453),N4453,0)+IF(ISNUMBER(P4453),P4453,0)))&lt;=Summary!$B$2),"Negative realized loss not applied - check sign",IF(R4453&lt;0,"Principal paid exceeds prior balance",IF(AND(L4453&gt;Q4453,NOT(ISNUMBER(P4453))),"Balance increased but no Deferred_interest reported",IF(L4453&gt;R4453,"Reported balance higher than expected (missing increase/OC build)","Reported balance lower than expected (missing decrease)"))))),""))</f>
        <v/>
      </c>
    </row>
    <row r="4454" customFormat="false" ht="15" hidden="false" customHeight="false" outlineLevel="0" collapsed="false">
      <c r="A4454" s="8"/>
      <c r="B4454" s="8"/>
      <c r="C4454" s="8"/>
      <c r="D4454" s="8"/>
      <c r="E4454" s="8"/>
      <c r="F4454" s="8"/>
      <c r="G4454" s="8"/>
      <c r="H4454" s="8"/>
      <c r="I4454" s="8"/>
      <c r="J4454" s="8"/>
      <c r="K4454" s="9"/>
      <c r="L4454" s="9"/>
      <c r="M4454" s="9"/>
      <c r="N4454" s="9"/>
      <c r="O4454" s="9"/>
      <c r="P4454" s="9"/>
      <c r="Q4454" s="9"/>
      <c r="R4454" s="9" t="str">
        <f aca="false">IF(AND(A4454&lt;&gt;"",ISNUMBER(Q4454),ISNUMBER(L4454)),ROUND(Q4454-IF(ISNUMBER(N4454),N4454,0)-IF(ISNUMBER(O4454),O4454,0)+IF(ISNUMBER(P4454),P4454,0),2),"")</f>
        <v/>
      </c>
      <c r="S4454" s="9" t="str">
        <f aca="false">IF(R4454="","",ROUND(L4454-R4454,2))</f>
        <v/>
      </c>
      <c r="T4454" s="8" t="str">
        <f aca="false">IF(A4454="","",IF(S4454="","BYPASS",IF(ABS(S4454)&lt;=Summary!$B$2,"PASS","FAIL")))</f>
        <v/>
      </c>
      <c r="U4454" s="8" t="str">
        <f aca="false">IF(T4454="BYPASS",IF(NOT(ISNUMBER(Q4454)),"PreV_ETB missing","End_tr_balance missing"),IF(T4454="FAIL",IF(AND(ISNUMBER(K4454),ISNUMBER(L4454),ABS(L4454-(K4454-IF(ISNUMBER(N4454),N4454,0)-IF(ISNUMBER(O4454),O4454,0)+IF(ISNUMBER(P4454),P4454,0)))&lt;=Summary!$B$2),"Passes using beginning_balance - PreV_ETB differs from beginning_balance",IF(AND(ISNUMBER(O4454),O4454&lt;0,ABS(L4454-(Q4454-IF(ISNUMBER(N4454),N4454,0)+IF(ISNUMBER(P4454),P4454,0)))&lt;=Summary!$B$2),"Negative realized loss not applied - check sign",IF(R4454&lt;0,"Principal paid exceeds prior balance",IF(AND(L4454&gt;Q4454,NOT(ISNUMBER(P4454))),"Balance increased but no Deferred_interest reported",IF(L4454&gt;R4454,"Reported balance higher than expected (missing increase/OC build)","Reported balance lower than expected (missing decrease)"))))),""))</f>
        <v/>
      </c>
    </row>
    <row r="4455" customFormat="false" ht="15" hidden="false" customHeight="false" outlineLevel="0" collapsed="false">
      <c r="A4455" s="8"/>
      <c r="B4455" s="8"/>
      <c r="C4455" s="8"/>
      <c r="D4455" s="8"/>
      <c r="E4455" s="8"/>
      <c r="F4455" s="8"/>
      <c r="G4455" s="8"/>
      <c r="H4455" s="8"/>
      <c r="I4455" s="8"/>
      <c r="J4455" s="8"/>
      <c r="K4455" s="9"/>
      <c r="L4455" s="9"/>
      <c r="M4455" s="9"/>
      <c r="N4455" s="9"/>
      <c r="O4455" s="9"/>
      <c r="P4455" s="9"/>
      <c r="Q4455" s="9"/>
      <c r="R4455" s="9" t="str">
        <f aca="false">IF(AND(A4455&lt;&gt;"",ISNUMBER(Q4455),ISNUMBER(L4455)),ROUND(Q4455-IF(ISNUMBER(N4455),N4455,0)-IF(ISNUMBER(O4455),O4455,0)+IF(ISNUMBER(P4455),P4455,0),2),"")</f>
        <v/>
      </c>
      <c r="S4455" s="9" t="str">
        <f aca="false">IF(R4455="","",ROUND(L4455-R4455,2))</f>
        <v/>
      </c>
      <c r="T4455" s="8" t="str">
        <f aca="false">IF(A4455="","",IF(S4455="","BYPASS",IF(ABS(S4455)&lt;=Summary!$B$2,"PASS","FAIL")))</f>
        <v/>
      </c>
      <c r="U4455" s="8" t="str">
        <f aca="false">IF(T4455="BYPASS",IF(NOT(ISNUMBER(Q4455)),"PreV_ETB missing","End_tr_balance missing"),IF(T4455="FAIL",IF(AND(ISNUMBER(K4455),ISNUMBER(L4455),ABS(L4455-(K4455-IF(ISNUMBER(N4455),N4455,0)-IF(ISNUMBER(O4455),O4455,0)+IF(ISNUMBER(P4455),P4455,0)))&lt;=Summary!$B$2),"Passes using beginning_balance - PreV_ETB differs from beginning_balance",IF(AND(ISNUMBER(O4455),O4455&lt;0,ABS(L4455-(Q4455-IF(ISNUMBER(N4455),N4455,0)+IF(ISNUMBER(P4455),P4455,0)))&lt;=Summary!$B$2),"Negative realized loss not applied - check sign",IF(R4455&lt;0,"Principal paid exceeds prior balance",IF(AND(L4455&gt;Q4455,NOT(ISNUMBER(P4455))),"Balance increased but no Deferred_interest reported",IF(L4455&gt;R4455,"Reported balance higher than expected (missing increase/OC build)","Reported balance lower than expected (missing decrease)"))))),""))</f>
        <v/>
      </c>
    </row>
    <row r="4456" customFormat="false" ht="15" hidden="false" customHeight="false" outlineLevel="0" collapsed="false">
      <c r="A4456" s="8"/>
      <c r="B4456" s="8"/>
      <c r="C4456" s="8"/>
      <c r="D4456" s="8"/>
      <c r="E4456" s="8"/>
      <c r="F4456" s="8"/>
      <c r="G4456" s="8"/>
      <c r="H4456" s="8"/>
      <c r="I4456" s="8"/>
      <c r="J4456" s="8"/>
      <c r="K4456" s="9"/>
      <c r="L4456" s="9"/>
      <c r="M4456" s="9"/>
      <c r="N4456" s="9"/>
      <c r="O4456" s="9"/>
      <c r="P4456" s="9"/>
      <c r="Q4456" s="9"/>
      <c r="R4456" s="9" t="str">
        <f aca="false">IF(AND(A4456&lt;&gt;"",ISNUMBER(Q4456),ISNUMBER(L4456)),ROUND(Q4456-IF(ISNUMBER(N4456),N4456,0)-IF(ISNUMBER(O4456),O4456,0)+IF(ISNUMBER(P4456),P4456,0),2),"")</f>
        <v/>
      </c>
      <c r="S4456" s="9" t="str">
        <f aca="false">IF(R4456="","",ROUND(L4456-R4456,2))</f>
        <v/>
      </c>
      <c r="T4456" s="8" t="str">
        <f aca="false">IF(A4456="","",IF(S4456="","BYPASS",IF(ABS(S4456)&lt;=Summary!$B$2,"PASS","FAIL")))</f>
        <v/>
      </c>
      <c r="U4456" s="8" t="str">
        <f aca="false">IF(T4456="BYPASS",IF(NOT(ISNUMBER(Q4456)),"PreV_ETB missing","End_tr_balance missing"),IF(T4456="FAIL",IF(AND(ISNUMBER(K4456),ISNUMBER(L4456),ABS(L4456-(K4456-IF(ISNUMBER(N4456),N4456,0)-IF(ISNUMBER(O4456),O4456,0)+IF(ISNUMBER(P4456),P4456,0)))&lt;=Summary!$B$2),"Passes using beginning_balance - PreV_ETB differs from beginning_balance",IF(AND(ISNUMBER(O4456),O4456&lt;0,ABS(L4456-(Q4456-IF(ISNUMBER(N4456),N4456,0)+IF(ISNUMBER(P4456),P4456,0)))&lt;=Summary!$B$2),"Negative realized loss not applied - check sign",IF(R4456&lt;0,"Principal paid exceeds prior balance",IF(AND(L4456&gt;Q4456,NOT(ISNUMBER(P4456))),"Balance increased but no Deferred_interest reported",IF(L4456&gt;R4456,"Reported balance higher than expected (missing increase/OC build)","Reported balance lower than expected (missing decrease)"))))),""))</f>
        <v/>
      </c>
    </row>
    <row r="4457" customFormat="false" ht="15" hidden="false" customHeight="false" outlineLevel="0" collapsed="false">
      <c r="A4457" s="8"/>
      <c r="B4457" s="8"/>
      <c r="C4457" s="8"/>
      <c r="D4457" s="8"/>
      <c r="E4457" s="8"/>
      <c r="F4457" s="8"/>
      <c r="G4457" s="8"/>
      <c r="H4457" s="8"/>
      <c r="I4457" s="8"/>
      <c r="J4457" s="8"/>
      <c r="K4457" s="9"/>
      <c r="L4457" s="9"/>
      <c r="M4457" s="9"/>
      <c r="N4457" s="9"/>
      <c r="O4457" s="9"/>
      <c r="P4457" s="9"/>
      <c r="Q4457" s="9"/>
      <c r="R4457" s="9" t="str">
        <f aca="false">IF(AND(A4457&lt;&gt;"",ISNUMBER(Q4457),ISNUMBER(L4457)),ROUND(Q4457-IF(ISNUMBER(N4457),N4457,0)-IF(ISNUMBER(O4457),O4457,0)+IF(ISNUMBER(P4457),P4457,0),2),"")</f>
        <v/>
      </c>
      <c r="S4457" s="9" t="str">
        <f aca="false">IF(R4457="","",ROUND(L4457-R4457,2))</f>
        <v/>
      </c>
      <c r="T4457" s="8" t="str">
        <f aca="false">IF(A4457="","",IF(S4457="","BYPASS",IF(ABS(S4457)&lt;=Summary!$B$2,"PASS","FAIL")))</f>
        <v/>
      </c>
      <c r="U4457" s="8" t="str">
        <f aca="false">IF(T4457="BYPASS",IF(NOT(ISNUMBER(Q4457)),"PreV_ETB missing","End_tr_balance missing"),IF(T4457="FAIL",IF(AND(ISNUMBER(K4457),ISNUMBER(L4457),ABS(L4457-(K4457-IF(ISNUMBER(N4457),N4457,0)-IF(ISNUMBER(O4457),O4457,0)+IF(ISNUMBER(P4457),P4457,0)))&lt;=Summary!$B$2),"Passes using beginning_balance - PreV_ETB differs from beginning_balance",IF(AND(ISNUMBER(O4457),O4457&lt;0,ABS(L4457-(Q4457-IF(ISNUMBER(N4457),N4457,0)+IF(ISNUMBER(P4457),P4457,0)))&lt;=Summary!$B$2),"Negative realized loss not applied - check sign",IF(R4457&lt;0,"Principal paid exceeds prior balance",IF(AND(L4457&gt;Q4457,NOT(ISNUMBER(P4457))),"Balance increased but no Deferred_interest reported",IF(L4457&gt;R4457,"Reported balance higher than expected (missing increase/OC build)","Reported balance lower than expected (missing decrease)"))))),""))</f>
        <v/>
      </c>
    </row>
    <row r="4458" customFormat="false" ht="15" hidden="false" customHeight="false" outlineLevel="0" collapsed="false">
      <c r="A4458" s="8"/>
      <c r="B4458" s="8"/>
      <c r="C4458" s="8"/>
      <c r="D4458" s="8"/>
      <c r="E4458" s="8"/>
      <c r="F4458" s="8"/>
      <c r="G4458" s="8"/>
      <c r="H4458" s="8"/>
      <c r="I4458" s="8"/>
      <c r="J4458" s="8"/>
      <c r="K4458" s="9"/>
      <c r="L4458" s="9"/>
      <c r="M4458" s="9"/>
      <c r="N4458" s="9"/>
      <c r="O4458" s="9"/>
      <c r="P4458" s="9"/>
      <c r="Q4458" s="9"/>
      <c r="R4458" s="9" t="str">
        <f aca="false">IF(AND(A4458&lt;&gt;"",ISNUMBER(Q4458),ISNUMBER(L4458)),ROUND(Q4458-IF(ISNUMBER(N4458),N4458,0)-IF(ISNUMBER(O4458),O4458,0)+IF(ISNUMBER(P4458),P4458,0),2),"")</f>
        <v/>
      </c>
      <c r="S4458" s="9" t="str">
        <f aca="false">IF(R4458="","",ROUND(L4458-R4458,2))</f>
        <v/>
      </c>
      <c r="T4458" s="8" t="str">
        <f aca="false">IF(A4458="","",IF(S4458="","BYPASS",IF(ABS(S4458)&lt;=Summary!$B$2,"PASS","FAIL")))</f>
        <v/>
      </c>
      <c r="U4458" s="8" t="str">
        <f aca="false">IF(T4458="BYPASS",IF(NOT(ISNUMBER(Q4458)),"PreV_ETB missing","End_tr_balance missing"),IF(T4458="FAIL",IF(AND(ISNUMBER(K4458),ISNUMBER(L4458),ABS(L4458-(K4458-IF(ISNUMBER(N4458),N4458,0)-IF(ISNUMBER(O4458),O4458,0)+IF(ISNUMBER(P4458),P4458,0)))&lt;=Summary!$B$2),"Passes using beginning_balance - PreV_ETB differs from beginning_balance",IF(AND(ISNUMBER(O4458),O4458&lt;0,ABS(L4458-(Q4458-IF(ISNUMBER(N4458),N4458,0)+IF(ISNUMBER(P4458),P4458,0)))&lt;=Summary!$B$2),"Negative realized loss not applied - check sign",IF(R4458&lt;0,"Principal paid exceeds prior balance",IF(AND(L4458&gt;Q4458,NOT(ISNUMBER(P4458))),"Balance increased but no Deferred_interest reported",IF(L4458&gt;R4458,"Reported balance higher than expected (missing increase/OC build)","Reported balance lower than expected (missing decrease)"))))),""))</f>
        <v/>
      </c>
    </row>
    <row r="4459" customFormat="false" ht="15" hidden="false" customHeight="false" outlineLevel="0" collapsed="false">
      <c r="A4459" s="8"/>
      <c r="B4459" s="8"/>
      <c r="C4459" s="8"/>
      <c r="D4459" s="8"/>
      <c r="E4459" s="8"/>
      <c r="F4459" s="8"/>
      <c r="G4459" s="8"/>
      <c r="H4459" s="8"/>
      <c r="I4459" s="8"/>
      <c r="J4459" s="8"/>
      <c r="K4459" s="9"/>
      <c r="L4459" s="9"/>
      <c r="M4459" s="9"/>
      <c r="N4459" s="9"/>
      <c r="O4459" s="9"/>
      <c r="P4459" s="9"/>
      <c r="Q4459" s="9"/>
      <c r="R4459" s="9" t="str">
        <f aca="false">IF(AND(A4459&lt;&gt;"",ISNUMBER(Q4459),ISNUMBER(L4459)),ROUND(Q4459-IF(ISNUMBER(N4459),N4459,0)-IF(ISNUMBER(O4459),O4459,0)+IF(ISNUMBER(P4459),P4459,0),2),"")</f>
        <v/>
      </c>
      <c r="S4459" s="9" t="str">
        <f aca="false">IF(R4459="","",ROUND(L4459-R4459,2))</f>
        <v/>
      </c>
      <c r="T4459" s="8" t="str">
        <f aca="false">IF(A4459="","",IF(S4459="","BYPASS",IF(ABS(S4459)&lt;=Summary!$B$2,"PASS","FAIL")))</f>
        <v/>
      </c>
      <c r="U4459" s="8" t="str">
        <f aca="false">IF(T4459="BYPASS",IF(NOT(ISNUMBER(Q4459)),"PreV_ETB missing","End_tr_balance missing"),IF(T4459="FAIL",IF(AND(ISNUMBER(K4459),ISNUMBER(L4459),ABS(L4459-(K4459-IF(ISNUMBER(N4459),N4459,0)-IF(ISNUMBER(O4459),O4459,0)+IF(ISNUMBER(P4459),P4459,0)))&lt;=Summary!$B$2),"Passes using beginning_balance - PreV_ETB differs from beginning_balance",IF(AND(ISNUMBER(O4459),O4459&lt;0,ABS(L4459-(Q4459-IF(ISNUMBER(N4459),N4459,0)+IF(ISNUMBER(P4459),P4459,0)))&lt;=Summary!$B$2),"Negative realized loss not applied - check sign",IF(R4459&lt;0,"Principal paid exceeds prior balance",IF(AND(L4459&gt;Q4459,NOT(ISNUMBER(P4459))),"Balance increased but no Deferred_interest reported",IF(L4459&gt;R4459,"Reported balance higher than expected (missing increase/OC build)","Reported balance lower than expected (missing decrease)"))))),""))</f>
        <v/>
      </c>
    </row>
    <row r="4460" customFormat="false" ht="15" hidden="false" customHeight="false" outlineLevel="0" collapsed="false">
      <c r="A4460" s="8"/>
      <c r="B4460" s="8"/>
      <c r="C4460" s="8"/>
      <c r="D4460" s="8"/>
      <c r="E4460" s="8"/>
      <c r="F4460" s="8"/>
      <c r="G4460" s="8"/>
      <c r="H4460" s="8"/>
      <c r="I4460" s="8"/>
      <c r="J4460" s="8"/>
      <c r="K4460" s="9"/>
      <c r="L4460" s="9"/>
      <c r="M4460" s="9"/>
      <c r="N4460" s="9"/>
      <c r="O4460" s="9"/>
      <c r="P4460" s="9"/>
      <c r="Q4460" s="9"/>
      <c r="R4460" s="9" t="str">
        <f aca="false">IF(AND(A4460&lt;&gt;"",ISNUMBER(Q4460),ISNUMBER(L4460)),ROUND(Q4460-IF(ISNUMBER(N4460),N4460,0)-IF(ISNUMBER(O4460),O4460,0)+IF(ISNUMBER(P4460),P4460,0),2),"")</f>
        <v/>
      </c>
      <c r="S4460" s="9" t="str">
        <f aca="false">IF(R4460="","",ROUND(L4460-R4460,2))</f>
        <v/>
      </c>
      <c r="T4460" s="8" t="str">
        <f aca="false">IF(A4460="","",IF(S4460="","BYPASS",IF(ABS(S4460)&lt;=Summary!$B$2,"PASS","FAIL")))</f>
        <v/>
      </c>
      <c r="U4460" s="8" t="str">
        <f aca="false">IF(T4460="BYPASS",IF(NOT(ISNUMBER(Q4460)),"PreV_ETB missing","End_tr_balance missing"),IF(T4460="FAIL",IF(AND(ISNUMBER(K4460),ISNUMBER(L4460),ABS(L4460-(K4460-IF(ISNUMBER(N4460),N4460,0)-IF(ISNUMBER(O4460),O4460,0)+IF(ISNUMBER(P4460),P4460,0)))&lt;=Summary!$B$2),"Passes using beginning_balance - PreV_ETB differs from beginning_balance",IF(AND(ISNUMBER(O4460),O4460&lt;0,ABS(L4460-(Q4460-IF(ISNUMBER(N4460),N4460,0)+IF(ISNUMBER(P4460),P4460,0)))&lt;=Summary!$B$2),"Negative realized loss not applied - check sign",IF(R4460&lt;0,"Principal paid exceeds prior balance",IF(AND(L4460&gt;Q4460,NOT(ISNUMBER(P4460))),"Balance increased but no Deferred_interest reported",IF(L4460&gt;R4460,"Reported balance higher than expected (missing increase/OC build)","Reported balance lower than expected (missing decrease)"))))),""))</f>
        <v/>
      </c>
    </row>
    <row r="4461" customFormat="false" ht="15" hidden="false" customHeight="false" outlineLevel="0" collapsed="false">
      <c r="A4461" s="8"/>
      <c r="B4461" s="8"/>
      <c r="C4461" s="8"/>
      <c r="D4461" s="8"/>
      <c r="E4461" s="8"/>
      <c r="F4461" s="8"/>
      <c r="G4461" s="8"/>
      <c r="H4461" s="8"/>
      <c r="I4461" s="8"/>
      <c r="J4461" s="8"/>
      <c r="K4461" s="9"/>
      <c r="L4461" s="9"/>
      <c r="M4461" s="9"/>
      <c r="N4461" s="9"/>
      <c r="O4461" s="9"/>
      <c r="P4461" s="9"/>
      <c r="Q4461" s="9"/>
      <c r="R4461" s="9" t="str">
        <f aca="false">IF(AND(A4461&lt;&gt;"",ISNUMBER(Q4461),ISNUMBER(L4461)),ROUND(Q4461-IF(ISNUMBER(N4461),N4461,0)-IF(ISNUMBER(O4461),O4461,0)+IF(ISNUMBER(P4461),P4461,0),2),"")</f>
        <v/>
      </c>
      <c r="S4461" s="9" t="str">
        <f aca="false">IF(R4461="","",ROUND(L4461-R4461,2))</f>
        <v/>
      </c>
      <c r="T4461" s="8" t="str">
        <f aca="false">IF(A4461="","",IF(S4461="","BYPASS",IF(ABS(S4461)&lt;=Summary!$B$2,"PASS","FAIL")))</f>
        <v/>
      </c>
      <c r="U4461" s="8" t="str">
        <f aca="false">IF(T4461="BYPASS",IF(NOT(ISNUMBER(Q4461)),"PreV_ETB missing","End_tr_balance missing"),IF(T4461="FAIL",IF(AND(ISNUMBER(K4461),ISNUMBER(L4461),ABS(L4461-(K4461-IF(ISNUMBER(N4461),N4461,0)-IF(ISNUMBER(O4461),O4461,0)+IF(ISNUMBER(P4461),P4461,0)))&lt;=Summary!$B$2),"Passes using beginning_balance - PreV_ETB differs from beginning_balance",IF(AND(ISNUMBER(O4461),O4461&lt;0,ABS(L4461-(Q4461-IF(ISNUMBER(N4461),N4461,0)+IF(ISNUMBER(P4461),P4461,0)))&lt;=Summary!$B$2),"Negative realized loss not applied - check sign",IF(R4461&lt;0,"Principal paid exceeds prior balance",IF(AND(L4461&gt;Q4461,NOT(ISNUMBER(P4461))),"Balance increased but no Deferred_interest reported",IF(L4461&gt;R4461,"Reported balance higher than expected (missing increase/OC build)","Reported balance lower than expected (missing decrease)"))))),""))</f>
        <v/>
      </c>
    </row>
    <row r="4462" customFormat="false" ht="15" hidden="false" customHeight="false" outlineLevel="0" collapsed="false">
      <c r="A4462" s="8"/>
      <c r="B4462" s="8"/>
      <c r="C4462" s="8"/>
      <c r="D4462" s="8"/>
      <c r="E4462" s="8"/>
      <c r="F4462" s="8"/>
      <c r="G4462" s="8"/>
      <c r="H4462" s="8"/>
      <c r="I4462" s="8"/>
      <c r="J4462" s="8"/>
      <c r="K4462" s="9"/>
      <c r="L4462" s="9"/>
      <c r="M4462" s="9"/>
      <c r="N4462" s="9"/>
      <c r="O4462" s="9"/>
      <c r="P4462" s="9"/>
      <c r="Q4462" s="9"/>
      <c r="R4462" s="9" t="str">
        <f aca="false">IF(AND(A4462&lt;&gt;"",ISNUMBER(Q4462),ISNUMBER(L4462)),ROUND(Q4462-IF(ISNUMBER(N4462),N4462,0)-IF(ISNUMBER(O4462),O4462,0)+IF(ISNUMBER(P4462),P4462,0),2),"")</f>
        <v/>
      </c>
      <c r="S4462" s="9" t="str">
        <f aca="false">IF(R4462="","",ROUND(L4462-R4462,2))</f>
        <v/>
      </c>
      <c r="T4462" s="8" t="str">
        <f aca="false">IF(A4462="","",IF(S4462="","BYPASS",IF(ABS(S4462)&lt;=Summary!$B$2,"PASS","FAIL")))</f>
        <v/>
      </c>
      <c r="U4462" s="8" t="str">
        <f aca="false">IF(T4462="BYPASS",IF(NOT(ISNUMBER(Q4462)),"PreV_ETB missing","End_tr_balance missing"),IF(T4462="FAIL",IF(AND(ISNUMBER(K4462),ISNUMBER(L4462),ABS(L4462-(K4462-IF(ISNUMBER(N4462),N4462,0)-IF(ISNUMBER(O4462),O4462,0)+IF(ISNUMBER(P4462),P4462,0)))&lt;=Summary!$B$2),"Passes using beginning_balance - PreV_ETB differs from beginning_balance",IF(AND(ISNUMBER(O4462),O4462&lt;0,ABS(L4462-(Q4462-IF(ISNUMBER(N4462),N4462,0)+IF(ISNUMBER(P4462),P4462,0)))&lt;=Summary!$B$2),"Negative realized loss not applied - check sign",IF(R4462&lt;0,"Principal paid exceeds prior balance",IF(AND(L4462&gt;Q4462,NOT(ISNUMBER(P4462))),"Balance increased but no Deferred_interest reported",IF(L4462&gt;R4462,"Reported balance higher than expected (missing increase/OC build)","Reported balance lower than expected (missing decrease)"))))),""))</f>
        <v/>
      </c>
    </row>
    <row r="4463" customFormat="false" ht="15" hidden="false" customHeight="false" outlineLevel="0" collapsed="false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9"/>
      <c r="L4463" s="9"/>
      <c r="M4463" s="9"/>
      <c r="N4463" s="9"/>
      <c r="O4463" s="9"/>
      <c r="P4463" s="9"/>
      <c r="Q4463" s="9"/>
      <c r="R4463" s="9" t="str">
        <f aca="false">IF(AND(A4463&lt;&gt;"",ISNUMBER(Q4463),ISNUMBER(L4463)),ROUND(Q4463-IF(ISNUMBER(N4463),N4463,0)-IF(ISNUMBER(O4463),O4463,0)+IF(ISNUMBER(P4463),P4463,0),2),"")</f>
        <v/>
      </c>
      <c r="S4463" s="9" t="str">
        <f aca="false">IF(R4463="","",ROUND(L4463-R4463,2))</f>
        <v/>
      </c>
      <c r="T4463" s="8" t="str">
        <f aca="false">IF(A4463="","",IF(S4463="","BYPASS",IF(ABS(S4463)&lt;=Summary!$B$2,"PASS","FAIL")))</f>
        <v/>
      </c>
      <c r="U4463" s="8" t="str">
        <f aca="false">IF(T4463="BYPASS",IF(NOT(ISNUMBER(Q4463)),"PreV_ETB missing","End_tr_balance missing"),IF(T4463="FAIL",IF(AND(ISNUMBER(K4463),ISNUMBER(L4463),ABS(L4463-(K4463-IF(ISNUMBER(N4463),N4463,0)-IF(ISNUMBER(O4463),O4463,0)+IF(ISNUMBER(P4463),P4463,0)))&lt;=Summary!$B$2),"Passes using beginning_balance - PreV_ETB differs from beginning_balance",IF(AND(ISNUMBER(O4463),O4463&lt;0,ABS(L4463-(Q4463-IF(ISNUMBER(N4463),N4463,0)+IF(ISNUMBER(P4463),P4463,0)))&lt;=Summary!$B$2),"Negative realized loss not applied - check sign",IF(R4463&lt;0,"Principal paid exceeds prior balance",IF(AND(L4463&gt;Q4463,NOT(ISNUMBER(P4463))),"Balance increased but no Deferred_interest reported",IF(L4463&gt;R4463,"Reported balance higher than expected (missing increase/OC build)","Reported balance lower than expected (missing decrease)"))))),""))</f>
        <v/>
      </c>
    </row>
    <row r="4464" customFormat="false" ht="15" hidden="false" customHeight="false" outlineLevel="0" collapsed="false">
      <c r="A4464" s="8"/>
      <c r="B4464" s="8"/>
      <c r="C4464" s="8"/>
      <c r="D4464" s="8"/>
      <c r="E4464" s="8"/>
      <c r="F4464" s="8"/>
      <c r="G4464" s="8"/>
      <c r="H4464" s="8"/>
      <c r="I4464" s="8"/>
      <c r="J4464" s="8"/>
      <c r="K4464" s="9"/>
      <c r="L4464" s="9"/>
      <c r="M4464" s="9"/>
      <c r="N4464" s="9"/>
      <c r="O4464" s="9"/>
      <c r="P4464" s="9"/>
      <c r="Q4464" s="9"/>
      <c r="R4464" s="9" t="str">
        <f aca="false">IF(AND(A4464&lt;&gt;"",ISNUMBER(Q4464),ISNUMBER(L4464)),ROUND(Q4464-IF(ISNUMBER(N4464),N4464,0)-IF(ISNUMBER(O4464),O4464,0)+IF(ISNUMBER(P4464),P4464,0),2),"")</f>
        <v/>
      </c>
      <c r="S4464" s="9" t="str">
        <f aca="false">IF(R4464="","",ROUND(L4464-R4464,2))</f>
        <v/>
      </c>
      <c r="T4464" s="8" t="str">
        <f aca="false">IF(A4464="","",IF(S4464="","BYPASS",IF(ABS(S4464)&lt;=Summary!$B$2,"PASS","FAIL")))</f>
        <v/>
      </c>
      <c r="U4464" s="8" t="str">
        <f aca="false">IF(T4464="BYPASS",IF(NOT(ISNUMBER(Q4464)),"PreV_ETB missing","End_tr_balance missing"),IF(T4464="FAIL",IF(AND(ISNUMBER(K4464),ISNUMBER(L4464),ABS(L4464-(K4464-IF(ISNUMBER(N4464),N4464,0)-IF(ISNUMBER(O4464),O4464,0)+IF(ISNUMBER(P4464),P4464,0)))&lt;=Summary!$B$2),"Passes using beginning_balance - PreV_ETB differs from beginning_balance",IF(AND(ISNUMBER(O4464),O4464&lt;0,ABS(L4464-(Q4464-IF(ISNUMBER(N4464),N4464,0)+IF(ISNUMBER(P4464),P4464,0)))&lt;=Summary!$B$2),"Negative realized loss not applied - check sign",IF(R4464&lt;0,"Principal paid exceeds prior balance",IF(AND(L4464&gt;Q4464,NOT(ISNUMBER(P4464))),"Balance increased but no Deferred_interest reported",IF(L4464&gt;R4464,"Reported balance higher than expected (missing increase/OC build)","Reported balance lower than expected (missing decrease)"))))),""))</f>
        <v/>
      </c>
    </row>
    <row r="4465" customFormat="false" ht="15" hidden="false" customHeight="false" outlineLevel="0" collapsed="false">
      <c r="A4465" s="8"/>
      <c r="B4465" s="8"/>
      <c r="C4465" s="8"/>
      <c r="D4465" s="8"/>
      <c r="E4465" s="8"/>
      <c r="F4465" s="8"/>
      <c r="G4465" s="8"/>
      <c r="H4465" s="8"/>
      <c r="I4465" s="8"/>
      <c r="J4465" s="8"/>
      <c r="K4465" s="9"/>
      <c r="L4465" s="9"/>
      <c r="M4465" s="9"/>
      <c r="N4465" s="9"/>
      <c r="O4465" s="9"/>
      <c r="P4465" s="9"/>
      <c r="Q4465" s="9"/>
      <c r="R4465" s="9" t="str">
        <f aca="false">IF(AND(A4465&lt;&gt;"",ISNUMBER(Q4465),ISNUMBER(L4465)),ROUND(Q4465-IF(ISNUMBER(N4465),N4465,0)-IF(ISNUMBER(O4465),O4465,0)+IF(ISNUMBER(P4465),P4465,0),2),"")</f>
        <v/>
      </c>
      <c r="S4465" s="9" t="str">
        <f aca="false">IF(R4465="","",ROUND(L4465-R4465,2))</f>
        <v/>
      </c>
      <c r="T4465" s="8" t="str">
        <f aca="false">IF(A4465="","",IF(S4465="","BYPASS",IF(ABS(S4465)&lt;=Summary!$B$2,"PASS","FAIL")))</f>
        <v/>
      </c>
      <c r="U4465" s="8" t="str">
        <f aca="false">IF(T4465="BYPASS",IF(NOT(ISNUMBER(Q4465)),"PreV_ETB missing","End_tr_balance missing"),IF(T4465="FAIL",IF(AND(ISNUMBER(K4465),ISNUMBER(L4465),ABS(L4465-(K4465-IF(ISNUMBER(N4465),N4465,0)-IF(ISNUMBER(O4465),O4465,0)+IF(ISNUMBER(P4465),P4465,0)))&lt;=Summary!$B$2),"Passes using beginning_balance - PreV_ETB differs from beginning_balance",IF(AND(ISNUMBER(O4465),O4465&lt;0,ABS(L4465-(Q4465-IF(ISNUMBER(N4465),N4465,0)+IF(ISNUMBER(P4465),P4465,0)))&lt;=Summary!$B$2),"Negative realized loss not applied - check sign",IF(R4465&lt;0,"Principal paid exceeds prior balance",IF(AND(L4465&gt;Q4465,NOT(ISNUMBER(P4465))),"Balance increased but no Deferred_interest reported",IF(L4465&gt;R4465,"Reported balance higher than expected (missing increase/OC build)","Reported balance lower than expected (missing decrease)"))))),""))</f>
        <v/>
      </c>
    </row>
    <row r="4466" customFormat="false" ht="15" hidden="false" customHeight="false" outlineLevel="0" collapsed="false">
      <c r="A4466" s="8"/>
      <c r="B4466" s="8"/>
      <c r="C4466" s="8"/>
      <c r="D4466" s="8"/>
      <c r="E4466" s="8"/>
      <c r="F4466" s="8"/>
      <c r="G4466" s="8"/>
      <c r="H4466" s="8"/>
      <c r="I4466" s="8"/>
      <c r="J4466" s="8"/>
      <c r="K4466" s="9"/>
      <c r="L4466" s="9"/>
      <c r="M4466" s="9"/>
      <c r="N4466" s="9"/>
      <c r="O4466" s="9"/>
      <c r="P4466" s="9"/>
      <c r="Q4466" s="9"/>
      <c r="R4466" s="9" t="str">
        <f aca="false">IF(AND(A4466&lt;&gt;"",ISNUMBER(Q4466),ISNUMBER(L4466)),ROUND(Q4466-IF(ISNUMBER(N4466),N4466,0)-IF(ISNUMBER(O4466),O4466,0)+IF(ISNUMBER(P4466),P4466,0),2),"")</f>
        <v/>
      </c>
      <c r="S4466" s="9" t="str">
        <f aca="false">IF(R4466="","",ROUND(L4466-R4466,2))</f>
        <v/>
      </c>
      <c r="T4466" s="8" t="str">
        <f aca="false">IF(A4466="","",IF(S4466="","BYPASS",IF(ABS(S4466)&lt;=Summary!$B$2,"PASS","FAIL")))</f>
        <v/>
      </c>
      <c r="U4466" s="8" t="str">
        <f aca="false">IF(T4466="BYPASS",IF(NOT(ISNUMBER(Q4466)),"PreV_ETB missing","End_tr_balance missing"),IF(T4466="FAIL",IF(AND(ISNUMBER(K4466),ISNUMBER(L4466),ABS(L4466-(K4466-IF(ISNUMBER(N4466),N4466,0)-IF(ISNUMBER(O4466),O4466,0)+IF(ISNUMBER(P4466),P4466,0)))&lt;=Summary!$B$2),"Passes using beginning_balance - PreV_ETB differs from beginning_balance",IF(AND(ISNUMBER(O4466),O4466&lt;0,ABS(L4466-(Q4466-IF(ISNUMBER(N4466),N4466,0)+IF(ISNUMBER(P4466),P4466,0)))&lt;=Summary!$B$2),"Negative realized loss not applied - check sign",IF(R4466&lt;0,"Principal paid exceeds prior balance",IF(AND(L4466&gt;Q4466,NOT(ISNUMBER(P4466))),"Balance increased but no Deferred_interest reported",IF(L4466&gt;R4466,"Reported balance higher than expected (missing increase/OC build)","Reported balance lower than expected (missing decrease)"))))),""))</f>
        <v/>
      </c>
    </row>
    <row r="4467" customFormat="false" ht="15" hidden="false" customHeight="false" outlineLevel="0" collapsed="false">
      <c r="A4467" s="8"/>
      <c r="B4467" s="8"/>
      <c r="C4467" s="8"/>
      <c r="D4467" s="8"/>
      <c r="E4467" s="8"/>
      <c r="F4467" s="8"/>
      <c r="G4467" s="8"/>
      <c r="H4467" s="8"/>
      <c r="I4467" s="8"/>
      <c r="J4467" s="8"/>
      <c r="K4467" s="9"/>
      <c r="L4467" s="9"/>
      <c r="M4467" s="9"/>
      <c r="N4467" s="9"/>
      <c r="O4467" s="9"/>
      <c r="P4467" s="9"/>
      <c r="Q4467" s="9"/>
      <c r="R4467" s="9" t="str">
        <f aca="false">IF(AND(A4467&lt;&gt;"",ISNUMBER(Q4467),ISNUMBER(L4467)),ROUND(Q4467-IF(ISNUMBER(N4467),N4467,0)-IF(ISNUMBER(O4467),O4467,0)+IF(ISNUMBER(P4467),P4467,0),2),"")</f>
        <v/>
      </c>
      <c r="S4467" s="9" t="str">
        <f aca="false">IF(R4467="","",ROUND(L4467-R4467,2))</f>
        <v/>
      </c>
      <c r="T4467" s="8" t="str">
        <f aca="false">IF(A4467="","",IF(S4467="","BYPASS",IF(ABS(S4467)&lt;=Summary!$B$2,"PASS","FAIL")))</f>
        <v/>
      </c>
      <c r="U4467" s="8" t="str">
        <f aca="false">IF(T4467="BYPASS",IF(NOT(ISNUMBER(Q4467)),"PreV_ETB missing","End_tr_balance missing"),IF(T4467="FAIL",IF(AND(ISNUMBER(K4467),ISNUMBER(L4467),ABS(L4467-(K4467-IF(ISNUMBER(N4467),N4467,0)-IF(ISNUMBER(O4467),O4467,0)+IF(ISNUMBER(P4467),P4467,0)))&lt;=Summary!$B$2),"Passes using beginning_balance - PreV_ETB differs from beginning_balance",IF(AND(ISNUMBER(O4467),O4467&lt;0,ABS(L4467-(Q4467-IF(ISNUMBER(N4467),N4467,0)+IF(ISNUMBER(P4467),P4467,0)))&lt;=Summary!$B$2),"Negative realized loss not applied - check sign",IF(R4467&lt;0,"Principal paid exceeds prior balance",IF(AND(L4467&gt;Q4467,NOT(ISNUMBER(P4467))),"Balance increased but no Deferred_interest reported",IF(L4467&gt;R4467,"Reported balance higher than expected (missing increase/OC build)","Reported balance lower than expected (missing decrease)"))))),""))</f>
        <v/>
      </c>
    </row>
    <row r="4468" customFormat="false" ht="15" hidden="false" customHeight="false" outlineLevel="0" collapsed="false">
      <c r="A4468" s="8"/>
      <c r="B4468" s="8"/>
      <c r="C4468" s="8"/>
      <c r="D4468" s="8"/>
      <c r="E4468" s="8"/>
      <c r="F4468" s="8"/>
      <c r="G4468" s="8"/>
      <c r="H4468" s="8"/>
      <c r="I4468" s="8"/>
      <c r="J4468" s="8"/>
      <c r="K4468" s="9"/>
      <c r="L4468" s="9"/>
      <c r="M4468" s="9"/>
      <c r="N4468" s="9"/>
      <c r="O4468" s="9"/>
      <c r="P4468" s="9"/>
      <c r="Q4468" s="9"/>
      <c r="R4468" s="9" t="str">
        <f aca="false">IF(AND(A4468&lt;&gt;"",ISNUMBER(Q4468),ISNUMBER(L4468)),ROUND(Q4468-IF(ISNUMBER(N4468),N4468,0)-IF(ISNUMBER(O4468),O4468,0)+IF(ISNUMBER(P4468),P4468,0),2),"")</f>
        <v/>
      </c>
      <c r="S4468" s="9" t="str">
        <f aca="false">IF(R4468="","",ROUND(L4468-R4468,2))</f>
        <v/>
      </c>
      <c r="T4468" s="8" t="str">
        <f aca="false">IF(A4468="","",IF(S4468="","BYPASS",IF(ABS(S4468)&lt;=Summary!$B$2,"PASS","FAIL")))</f>
        <v/>
      </c>
      <c r="U4468" s="8" t="str">
        <f aca="false">IF(T4468="BYPASS",IF(NOT(ISNUMBER(Q4468)),"PreV_ETB missing","End_tr_balance missing"),IF(T4468="FAIL",IF(AND(ISNUMBER(K4468),ISNUMBER(L4468),ABS(L4468-(K4468-IF(ISNUMBER(N4468),N4468,0)-IF(ISNUMBER(O4468),O4468,0)+IF(ISNUMBER(P4468),P4468,0)))&lt;=Summary!$B$2),"Passes using beginning_balance - PreV_ETB differs from beginning_balance",IF(AND(ISNUMBER(O4468),O4468&lt;0,ABS(L4468-(Q4468-IF(ISNUMBER(N4468),N4468,0)+IF(ISNUMBER(P4468),P4468,0)))&lt;=Summary!$B$2),"Negative realized loss not applied - check sign",IF(R4468&lt;0,"Principal paid exceeds prior balance",IF(AND(L4468&gt;Q4468,NOT(ISNUMBER(P4468))),"Balance increased but no Deferred_interest reported",IF(L4468&gt;R4468,"Reported balance higher than expected (missing increase/OC build)","Reported balance lower than expected (missing decrease)"))))),""))</f>
        <v/>
      </c>
    </row>
    <row r="4469" customFormat="false" ht="15" hidden="false" customHeight="false" outlineLevel="0" collapsed="false">
      <c r="A4469" s="8"/>
      <c r="B4469" s="8"/>
      <c r="C4469" s="8"/>
      <c r="D4469" s="8"/>
      <c r="E4469" s="8"/>
      <c r="F4469" s="8"/>
      <c r="G4469" s="8"/>
      <c r="H4469" s="8"/>
      <c r="I4469" s="8"/>
      <c r="J4469" s="8"/>
      <c r="K4469" s="9"/>
      <c r="L4469" s="9"/>
      <c r="M4469" s="9"/>
      <c r="N4469" s="9"/>
      <c r="O4469" s="9"/>
      <c r="P4469" s="9"/>
      <c r="Q4469" s="9"/>
      <c r="R4469" s="9" t="str">
        <f aca="false">IF(AND(A4469&lt;&gt;"",ISNUMBER(Q4469),ISNUMBER(L4469)),ROUND(Q4469-IF(ISNUMBER(N4469),N4469,0)-IF(ISNUMBER(O4469),O4469,0)+IF(ISNUMBER(P4469),P4469,0),2),"")</f>
        <v/>
      </c>
      <c r="S4469" s="9" t="str">
        <f aca="false">IF(R4469="","",ROUND(L4469-R4469,2))</f>
        <v/>
      </c>
      <c r="T4469" s="8" t="str">
        <f aca="false">IF(A4469="","",IF(S4469="","BYPASS",IF(ABS(S4469)&lt;=Summary!$B$2,"PASS","FAIL")))</f>
        <v/>
      </c>
      <c r="U4469" s="8" t="str">
        <f aca="false">IF(T4469="BYPASS",IF(NOT(ISNUMBER(Q4469)),"PreV_ETB missing","End_tr_balance missing"),IF(T4469="FAIL",IF(AND(ISNUMBER(K4469),ISNUMBER(L4469),ABS(L4469-(K4469-IF(ISNUMBER(N4469),N4469,0)-IF(ISNUMBER(O4469),O4469,0)+IF(ISNUMBER(P4469),P4469,0)))&lt;=Summary!$B$2),"Passes using beginning_balance - PreV_ETB differs from beginning_balance",IF(AND(ISNUMBER(O4469),O4469&lt;0,ABS(L4469-(Q4469-IF(ISNUMBER(N4469),N4469,0)+IF(ISNUMBER(P4469),P4469,0)))&lt;=Summary!$B$2),"Negative realized loss not applied - check sign",IF(R4469&lt;0,"Principal paid exceeds prior balance",IF(AND(L4469&gt;Q4469,NOT(ISNUMBER(P4469))),"Balance increased but no Deferred_interest reported",IF(L4469&gt;R4469,"Reported balance higher than expected (missing increase/OC build)","Reported balance lower than expected (missing decrease)"))))),""))</f>
        <v/>
      </c>
    </row>
    <row r="4470" customFormat="false" ht="15" hidden="false" customHeight="false" outlineLevel="0" collapsed="false">
      <c r="A4470" s="8"/>
      <c r="B4470" s="8"/>
      <c r="C4470" s="8"/>
      <c r="D4470" s="8"/>
      <c r="E4470" s="8"/>
      <c r="F4470" s="8"/>
      <c r="G4470" s="8"/>
      <c r="H4470" s="8"/>
      <c r="I4470" s="8"/>
      <c r="J4470" s="8"/>
      <c r="K4470" s="9"/>
      <c r="L4470" s="9"/>
      <c r="M4470" s="9"/>
      <c r="N4470" s="9"/>
      <c r="O4470" s="9"/>
      <c r="P4470" s="9"/>
      <c r="Q4470" s="9"/>
      <c r="R4470" s="9" t="str">
        <f aca="false">IF(AND(A4470&lt;&gt;"",ISNUMBER(Q4470),ISNUMBER(L4470)),ROUND(Q4470-IF(ISNUMBER(N4470),N4470,0)-IF(ISNUMBER(O4470),O4470,0)+IF(ISNUMBER(P4470),P4470,0),2),"")</f>
        <v/>
      </c>
      <c r="S4470" s="9" t="str">
        <f aca="false">IF(R4470="","",ROUND(L4470-R4470,2))</f>
        <v/>
      </c>
      <c r="T4470" s="8" t="str">
        <f aca="false">IF(A4470="","",IF(S4470="","BYPASS",IF(ABS(S4470)&lt;=Summary!$B$2,"PASS","FAIL")))</f>
        <v/>
      </c>
      <c r="U4470" s="8" t="str">
        <f aca="false">IF(T4470="BYPASS",IF(NOT(ISNUMBER(Q4470)),"PreV_ETB missing","End_tr_balance missing"),IF(T4470="FAIL",IF(AND(ISNUMBER(K4470),ISNUMBER(L4470),ABS(L4470-(K4470-IF(ISNUMBER(N4470),N4470,0)-IF(ISNUMBER(O4470),O4470,0)+IF(ISNUMBER(P4470),P4470,0)))&lt;=Summary!$B$2),"Passes using beginning_balance - PreV_ETB differs from beginning_balance",IF(AND(ISNUMBER(O4470),O4470&lt;0,ABS(L4470-(Q4470-IF(ISNUMBER(N4470),N4470,0)+IF(ISNUMBER(P4470),P4470,0)))&lt;=Summary!$B$2),"Negative realized loss not applied - check sign",IF(R4470&lt;0,"Principal paid exceeds prior balance",IF(AND(L4470&gt;Q4470,NOT(ISNUMBER(P4470))),"Balance increased but no Deferred_interest reported",IF(L4470&gt;R4470,"Reported balance higher than expected (missing increase/OC build)","Reported balance lower than expected (missing decrease)"))))),""))</f>
        <v/>
      </c>
    </row>
    <row r="4471" customFormat="false" ht="15" hidden="false" customHeight="false" outlineLevel="0" collapsed="false">
      <c r="A4471" s="8"/>
      <c r="B4471" s="8"/>
      <c r="C4471" s="8"/>
      <c r="D4471" s="8"/>
      <c r="E4471" s="8"/>
      <c r="F4471" s="8"/>
      <c r="G4471" s="8"/>
      <c r="H4471" s="8"/>
      <c r="I4471" s="8"/>
      <c r="J4471" s="8"/>
      <c r="K4471" s="9"/>
      <c r="L4471" s="9"/>
      <c r="M4471" s="9"/>
      <c r="N4471" s="9"/>
      <c r="O4471" s="9"/>
      <c r="P4471" s="9"/>
      <c r="Q4471" s="9"/>
      <c r="R4471" s="9" t="str">
        <f aca="false">IF(AND(A4471&lt;&gt;"",ISNUMBER(Q4471),ISNUMBER(L4471)),ROUND(Q4471-IF(ISNUMBER(N4471),N4471,0)-IF(ISNUMBER(O4471),O4471,0)+IF(ISNUMBER(P4471),P4471,0),2),"")</f>
        <v/>
      </c>
      <c r="S4471" s="9" t="str">
        <f aca="false">IF(R4471="","",ROUND(L4471-R4471,2))</f>
        <v/>
      </c>
      <c r="T4471" s="8" t="str">
        <f aca="false">IF(A4471="","",IF(S4471="","BYPASS",IF(ABS(S4471)&lt;=Summary!$B$2,"PASS","FAIL")))</f>
        <v/>
      </c>
      <c r="U4471" s="8" t="str">
        <f aca="false">IF(T4471="BYPASS",IF(NOT(ISNUMBER(Q4471)),"PreV_ETB missing","End_tr_balance missing"),IF(T4471="FAIL",IF(AND(ISNUMBER(K4471),ISNUMBER(L4471),ABS(L4471-(K4471-IF(ISNUMBER(N4471),N4471,0)-IF(ISNUMBER(O4471),O4471,0)+IF(ISNUMBER(P4471),P4471,0)))&lt;=Summary!$B$2),"Passes using beginning_balance - PreV_ETB differs from beginning_balance",IF(AND(ISNUMBER(O4471),O4471&lt;0,ABS(L4471-(Q4471-IF(ISNUMBER(N4471),N4471,0)+IF(ISNUMBER(P4471),P4471,0)))&lt;=Summary!$B$2),"Negative realized loss not applied - check sign",IF(R4471&lt;0,"Principal paid exceeds prior balance",IF(AND(L4471&gt;Q4471,NOT(ISNUMBER(P4471))),"Balance increased but no Deferred_interest reported",IF(L4471&gt;R4471,"Reported balance higher than expected (missing increase/OC build)","Reported balance lower than expected (missing decrease)"))))),""))</f>
        <v/>
      </c>
    </row>
    <row r="4472" customFormat="false" ht="15" hidden="false" customHeight="false" outlineLevel="0" collapsed="false">
      <c r="A4472" s="8"/>
      <c r="B4472" s="8"/>
      <c r="C4472" s="8"/>
      <c r="D4472" s="8"/>
      <c r="E4472" s="8"/>
      <c r="F4472" s="8"/>
      <c r="G4472" s="8"/>
      <c r="H4472" s="8"/>
      <c r="I4472" s="8"/>
      <c r="J4472" s="8"/>
      <c r="K4472" s="9"/>
      <c r="L4472" s="9"/>
      <c r="M4472" s="9"/>
      <c r="N4472" s="9"/>
      <c r="O4472" s="9"/>
      <c r="P4472" s="9"/>
      <c r="Q4472" s="9"/>
      <c r="R4472" s="9" t="str">
        <f aca="false">IF(AND(A4472&lt;&gt;"",ISNUMBER(Q4472),ISNUMBER(L4472)),ROUND(Q4472-IF(ISNUMBER(N4472),N4472,0)-IF(ISNUMBER(O4472),O4472,0)+IF(ISNUMBER(P4472),P4472,0),2),"")</f>
        <v/>
      </c>
      <c r="S4472" s="9" t="str">
        <f aca="false">IF(R4472="","",ROUND(L4472-R4472,2))</f>
        <v/>
      </c>
      <c r="T4472" s="8" t="str">
        <f aca="false">IF(A4472="","",IF(S4472="","BYPASS",IF(ABS(S4472)&lt;=Summary!$B$2,"PASS","FAIL")))</f>
        <v/>
      </c>
      <c r="U4472" s="8" t="str">
        <f aca="false">IF(T4472="BYPASS",IF(NOT(ISNUMBER(Q4472)),"PreV_ETB missing","End_tr_balance missing"),IF(T4472="FAIL",IF(AND(ISNUMBER(K4472),ISNUMBER(L4472),ABS(L4472-(K4472-IF(ISNUMBER(N4472),N4472,0)-IF(ISNUMBER(O4472),O4472,0)+IF(ISNUMBER(P4472),P4472,0)))&lt;=Summary!$B$2),"Passes using beginning_balance - PreV_ETB differs from beginning_balance",IF(AND(ISNUMBER(O4472),O4472&lt;0,ABS(L4472-(Q4472-IF(ISNUMBER(N4472),N4472,0)+IF(ISNUMBER(P4472),P4472,0)))&lt;=Summary!$B$2),"Negative realized loss not applied - check sign",IF(R4472&lt;0,"Principal paid exceeds prior balance",IF(AND(L4472&gt;Q4472,NOT(ISNUMBER(P4472))),"Balance increased but no Deferred_interest reported",IF(L4472&gt;R4472,"Reported balance higher than expected (missing increase/OC build)","Reported balance lower than expected (missing decrease)"))))),""))</f>
        <v/>
      </c>
    </row>
    <row r="4473" customFormat="false" ht="15" hidden="false" customHeight="false" outlineLevel="0" collapsed="false">
      <c r="A4473" s="8"/>
      <c r="B4473" s="8"/>
      <c r="C4473" s="8"/>
      <c r="D4473" s="8"/>
      <c r="E4473" s="8"/>
      <c r="F4473" s="8"/>
      <c r="G4473" s="8"/>
      <c r="H4473" s="8"/>
      <c r="I4473" s="8"/>
      <c r="J4473" s="8"/>
      <c r="K4473" s="9"/>
      <c r="L4473" s="9"/>
      <c r="M4473" s="9"/>
      <c r="N4473" s="9"/>
      <c r="O4473" s="9"/>
      <c r="P4473" s="9"/>
      <c r="Q4473" s="9"/>
      <c r="R4473" s="9" t="str">
        <f aca="false">IF(AND(A4473&lt;&gt;"",ISNUMBER(Q4473),ISNUMBER(L4473)),ROUND(Q4473-IF(ISNUMBER(N4473),N4473,0)-IF(ISNUMBER(O4473),O4473,0)+IF(ISNUMBER(P4473),P4473,0),2),"")</f>
        <v/>
      </c>
      <c r="S4473" s="9" t="str">
        <f aca="false">IF(R4473="","",ROUND(L4473-R4473,2))</f>
        <v/>
      </c>
      <c r="T4473" s="8" t="str">
        <f aca="false">IF(A4473="","",IF(S4473="","BYPASS",IF(ABS(S4473)&lt;=Summary!$B$2,"PASS","FAIL")))</f>
        <v/>
      </c>
      <c r="U4473" s="8" t="str">
        <f aca="false">IF(T4473="BYPASS",IF(NOT(ISNUMBER(Q4473)),"PreV_ETB missing","End_tr_balance missing"),IF(T4473="FAIL",IF(AND(ISNUMBER(K4473),ISNUMBER(L4473),ABS(L4473-(K4473-IF(ISNUMBER(N4473),N4473,0)-IF(ISNUMBER(O4473),O4473,0)+IF(ISNUMBER(P4473),P4473,0)))&lt;=Summary!$B$2),"Passes using beginning_balance - PreV_ETB differs from beginning_balance",IF(AND(ISNUMBER(O4473),O4473&lt;0,ABS(L4473-(Q4473-IF(ISNUMBER(N4473),N4473,0)+IF(ISNUMBER(P4473),P4473,0)))&lt;=Summary!$B$2),"Negative realized loss not applied - check sign",IF(R4473&lt;0,"Principal paid exceeds prior balance",IF(AND(L4473&gt;Q4473,NOT(ISNUMBER(P4473))),"Balance increased but no Deferred_interest reported",IF(L4473&gt;R4473,"Reported balance higher than expected (missing increase/OC build)","Reported balance lower than expected (missing decrease)"))))),""))</f>
        <v/>
      </c>
    </row>
    <row r="4474" customFormat="false" ht="15" hidden="false" customHeight="false" outlineLevel="0" collapsed="false">
      <c r="A4474" s="8"/>
      <c r="B4474" s="8"/>
      <c r="C4474" s="8"/>
      <c r="D4474" s="8"/>
      <c r="E4474" s="8"/>
      <c r="F4474" s="8"/>
      <c r="G4474" s="8"/>
      <c r="H4474" s="8"/>
      <c r="I4474" s="8"/>
      <c r="J4474" s="8"/>
      <c r="K4474" s="9"/>
      <c r="L4474" s="9"/>
      <c r="M4474" s="9"/>
      <c r="N4474" s="9"/>
      <c r="O4474" s="9"/>
      <c r="P4474" s="9"/>
      <c r="Q4474" s="9"/>
      <c r="R4474" s="9" t="str">
        <f aca="false">IF(AND(A4474&lt;&gt;"",ISNUMBER(Q4474),ISNUMBER(L4474)),ROUND(Q4474-IF(ISNUMBER(N4474),N4474,0)-IF(ISNUMBER(O4474),O4474,0)+IF(ISNUMBER(P4474),P4474,0),2),"")</f>
        <v/>
      </c>
      <c r="S4474" s="9" t="str">
        <f aca="false">IF(R4474="","",ROUND(L4474-R4474,2))</f>
        <v/>
      </c>
      <c r="T4474" s="8" t="str">
        <f aca="false">IF(A4474="","",IF(S4474="","BYPASS",IF(ABS(S4474)&lt;=Summary!$B$2,"PASS","FAIL")))</f>
        <v/>
      </c>
      <c r="U4474" s="8" t="str">
        <f aca="false">IF(T4474="BYPASS",IF(NOT(ISNUMBER(Q4474)),"PreV_ETB missing","End_tr_balance missing"),IF(T4474="FAIL",IF(AND(ISNUMBER(K4474),ISNUMBER(L4474),ABS(L4474-(K4474-IF(ISNUMBER(N4474),N4474,0)-IF(ISNUMBER(O4474),O4474,0)+IF(ISNUMBER(P4474),P4474,0)))&lt;=Summary!$B$2),"Passes using beginning_balance - PreV_ETB differs from beginning_balance",IF(AND(ISNUMBER(O4474),O4474&lt;0,ABS(L4474-(Q4474-IF(ISNUMBER(N4474),N4474,0)+IF(ISNUMBER(P4474),P4474,0)))&lt;=Summary!$B$2),"Negative realized loss not applied - check sign",IF(R4474&lt;0,"Principal paid exceeds prior balance",IF(AND(L4474&gt;Q4474,NOT(ISNUMBER(P4474))),"Balance increased but no Deferred_interest reported",IF(L4474&gt;R4474,"Reported balance higher than expected (missing increase/OC build)","Reported balance lower than expected (missing decrease)"))))),""))</f>
        <v/>
      </c>
    </row>
    <row r="4475" customFormat="false" ht="15" hidden="false" customHeight="false" outlineLevel="0" collapsed="false">
      <c r="A4475" s="8"/>
      <c r="B4475" s="8"/>
      <c r="C4475" s="8"/>
      <c r="D4475" s="8"/>
      <c r="E4475" s="8"/>
      <c r="F4475" s="8"/>
      <c r="G4475" s="8"/>
      <c r="H4475" s="8"/>
      <c r="I4475" s="8"/>
      <c r="J4475" s="8"/>
      <c r="K4475" s="9"/>
      <c r="L4475" s="9"/>
      <c r="M4475" s="9"/>
      <c r="N4475" s="9"/>
      <c r="O4475" s="9"/>
      <c r="P4475" s="9"/>
      <c r="Q4475" s="9"/>
      <c r="R4475" s="9" t="str">
        <f aca="false">IF(AND(A4475&lt;&gt;"",ISNUMBER(Q4475),ISNUMBER(L4475)),ROUND(Q4475-IF(ISNUMBER(N4475),N4475,0)-IF(ISNUMBER(O4475),O4475,0)+IF(ISNUMBER(P4475),P4475,0),2),"")</f>
        <v/>
      </c>
      <c r="S4475" s="9" t="str">
        <f aca="false">IF(R4475="","",ROUND(L4475-R4475,2))</f>
        <v/>
      </c>
      <c r="T4475" s="8" t="str">
        <f aca="false">IF(A4475="","",IF(S4475="","BYPASS",IF(ABS(S4475)&lt;=Summary!$B$2,"PASS","FAIL")))</f>
        <v/>
      </c>
      <c r="U4475" s="8" t="str">
        <f aca="false">IF(T4475="BYPASS",IF(NOT(ISNUMBER(Q4475)),"PreV_ETB missing","End_tr_balance missing"),IF(T4475="FAIL",IF(AND(ISNUMBER(K4475),ISNUMBER(L4475),ABS(L4475-(K4475-IF(ISNUMBER(N4475),N4475,0)-IF(ISNUMBER(O4475),O4475,0)+IF(ISNUMBER(P4475),P4475,0)))&lt;=Summary!$B$2),"Passes using beginning_balance - PreV_ETB differs from beginning_balance",IF(AND(ISNUMBER(O4475),O4475&lt;0,ABS(L4475-(Q4475-IF(ISNUMBER(N4475),N4475,0)+IF(ISNUMBER(P4475),P4475,0)))&lt;=Summary!$B$2),"Negative realized loss not applied - check sign",IF(R4475&lt;0,"Principal paid exceeds prior balance",IF(AND(L4475&gt;Q4475,NOT(ISNUMBER(P4475))),"Balance increased but no Deferred_interest reported",IF(L4475&gt;R4475,"Reported balance higher than expected (missing increase/OC build)","Reported balance lower than expected (missing decrease)"))))),""))</f>
        <v/>
      </c>
    </row>
    <row r="4476" customFormat="false" ht="15" hidden="false" customHeight="false" outlineLevel="0" collapsed="false">
      <c r="A4476" s="8"/>
      <c r="B4476" s="8"/>
      <c r="C4476" s="8"/>
      <c r="D4476" s="8"/>
      <c r="E4476" s="8"/>
      <c r="F4476" s="8"/>
      <c r="G4476" s="8"/>
      <c r="H4476" s="8"/>
      <c r="I4476" s="8"/>
      <c r="J4476" s="8"/>
      <c r="K4476" s="9"/>
      <c r="L4476" s="9"/>
      <c r="M4476" s="9"/>
      <c r="N4476" s="9"/>
      <c r="O4476" s="9"/>
      <c r="P4476" s="9"/>
      <c r="Q4476" s="9"/>
      <c r="R4476" s="9" t="str">
        <f aca="false">IF(AND(A4476&lt;&gt;"",ISNUMBER(Q4476),ISNUMBER(L4476)),ROUND(Q4476-IF(ISNUMBER(N4476),N4476,0)-IF(ISNUMBER(O4476),O4476,0)+IF(ISNUMBER(P4476),P4476,0),2),"")</f>
        <v/>
      </c>
      <c r="S4476" s="9" t="str">
        <f aca="false">IF(R4476="","",ROUND(L4476-R4476,2))</f>
        <v/>
      </c>
      <c r="T4476" s="8" t="str">
        <f aca="false">IF(A4476="","",IF(S4476="","BYPASS",IF(ABS(S4476)&lt;=Summary!$B$2,"PASS","FAIL")))</f>
        <v/>
      </c>
      <c r="U4476" s="8" t="str">
        <f aca="false">IF(T4476="BYPASS",IF(NOT(ISNUMBER(Q4476)),"PreV_ETB missing","End_tr_balance missing"),IF(T4476="FAIL",IF(AND(ISNUMBER(K4476),ISNUMBER(L4476),ABS(L4476-(K4476-IF(ISNUMBER(N4476),N4476,0)-IF(ISNUMBER(O4476),O4476,0)+IF(ISNUMBER(P4476),P4476,0)))&lt;=Summary!$B$2),"Passes using beginning_balance - PreV_ETB differs from beginning_balance",IF(AND(ISNUMBER(O4476),O4476&lt;0,ABS(L4476-(Q4476-IF(ISNUMBER(N4476),N4476,0)+IF(ISNUMBER(P4476),P4476,0)))&lt;=Summary!$B$2),"Negative realized loss not applied - check sign",IF(R4476&lt;0,"Principal paid exceeds prior balance",IF(AND(L4476&gt;Q4476,NOT(ISNUMBER(P4476))),"Balance increased but no Deferred_interest reported",IF(L4476&gt;R4476,"Reported balance higher than expected (missing increase/OC build)","Reported balance lower than expected (missing decrease)"))))),""))</f>
        <v/>
      </c>
    </row>
    <row r="4477" customFormat="false" ht="15" hidden="false" customHeight="false" outlineLevel="0" collapsed="false">
      <c r="A4477" s="8"/>
      <c r="B4477" s="8"/>
      <c r="C4477" s="8"/>
      <c r="D4477" s="8"/>
      <c r="E4477" s="8"/>
      <c r="F4477" s="8"/>
      <c r="G4477" s="8"/>
      <c r="H4477" s="8"/>
      <c r="I4477" s="8"/>
      <c r="J4477" s="8"/>
      <c r="K4477" s="9"/>
      <c r="L4477" s="9"/>
      <c r="M4477" s="9"/>
      <c r="N4477" s="9"/>
      <c r="O4477" s="9"/>
      <c r="P4477" s="9"/>
      <c r="Q4477" s="9"/>
      <c r="R4477" s="9" t="str">
        <f aca="false">IF(AND(A4477&lt;&gt;"",ISNUMBER(Q4477),ISNUMBER(L4477)),ROUND(Q4477-IF(ISNUMBER(N4477),N4477,0)-IF(ISNUMBER(O4477),O4477,0)+IF(ISNUMBER(P4477),P4477,0),2),"")</f>
        <v/>
      </c>
      <c r="S4477" s="9" t="str">
        <f aca="false">IF(R4477="","",ROUND(L4477-R4477,2))</f>
        <v/>
      </c>
      <c r="T4477" s="8" t="str">
        <f aca="false">IF(A4477="","",IF(S4477="","BYPASS",IF(ABS(S4477)&lt;=Summary!$B$2,"PASS","FAIL")))</f>
        <v/>
      </c>
      <c r="U4477" s="8" t="str">
        <f aca="false">IF(T4477="BYPASS",IF(NOT(ISNUMBER(Q4477)),"PreV_ETB missing","End_tr_balance missing"),IF(T4477="FAIL",IF(AND(ISNUMBER(K4477),ISNUMBER(L4477),ABS(L4477-(K4477-IF(ISNUMBER(N4477),N4477,0)-IF(ISNUMBER(O4477),O4477,0)+IF(ISNUMBER(P4477),P4477,0)))&lt;=Summary!$B$2),"Passes using beginning_balance - PreV_ETB differs from beginning_balance",IF(AND(ISNUMBER(O4477),O4477&lt;0,ABS(L4477-(Q4477-IF(ISNUMBER(N4477),N4477,0)+IF(ISNUMBER(P4477),P4477,0)))&lt;=Summary!$B$2),"Negative realized loss not applied - check sign",IF(R4477&lt;0,"Principal paid exceeds prior balance",IF(AND(L4477&gt;Q4477,NOT(ISNUMBER(P4477))),"Balance increased but no Deferred_interest reported",IF(L4477&gt;R4477,"Reported balance higher than expected (missing increase/OC build)","Reported balance lower than expected (missing decrease)"))))),""))</f>
        <v/>
      </c>
    </row>
    <row r="4478" customFormat="false" ht="15" hidden="false" customHeight="false" outlineLevel="0" collapsed="false">
      <c r="A4478" s="8"/>
      <c r="B4478" s="8"/>
      <c r="C4478" s="8"/>
      <c r="D4478" s="8"/>
      <c r="E4478" s="8"/>
      <c r="F4478" s="8"/>
      <c r="G4478" s="8"/>
      <c r="H4478" s="8"/>
      <c r="I4478" s="8"/>
      <c r="J4478" s="8"/>
      <c r="K4478" s="9"/>
      <c r="L4478" s="9"/>
      <c r="M4478" s="9"/>
      <c r="N4478" s="9"/>
      <c r="O4478" s="9"/>
      <c r="P4478" s="9"/>
      <c r="Q4478" s="9"/>
      <c r="R4478" s="9" t="str">
        <f aca="false">IF(AND(A4478&lt;&gt;"",ISNUMBER(Q4478),ISNUMBER(L4478)),ROUND(Q4478-IF(ISNUMBER(N4478),N4478,0)-IF(ISNUMBER(O4478),O4478,0)+IF(ISNUMBER(P4478),P4478,0),2),"")</f>
        <v/>
      </c>
      <c r="S4478" s="9" t="str">
        <f aca="false">IF(R4478="","",ROUND(L4478-R4478,2))</f>
        <v/>
      </c>
      <c r="T4478" s="8" t="str">
        <f aca="false">IF(A4478="","",IF(S4478="","BYPASS",IF(ABS(S4478)&lt;=Summary!$B$2,"PASS","FAIL")))</f>
        <v/>
      </c>
      <c r="U4478" s="8" t="str">
        <f aca="false">IF(T4478="BYPASS",IF(NOT(ISNUMBER(Q4478)),"PreV_ETB missing","End_tr_balance missing"),IF(T4478="FAIL",IF(AND(ISNUMBER(K4478),ISNUMBER(L4478),ABS(L4478-(K4478-IF(ISNUMBER(N4478),N4478,0)-IF(ISNUMBER(O4478),O4478,0)+IF(ISNUMBER(P4478),P4478,0)))&lt;=Summary!$B$2),"Passes using beginning_balance - PreV_ETB differs from beginning_balance",IF(AND(ISNUMBER(O4478),O4478&lt;0,ABS(L4478-(Q4478-IF(ISNUMBER(N4478),N4478,0)+IF(ISNUMBER(P4478),P4478,0)))&lt;=Summary!$B$2),"Negative realized loss not applied - check sign",IF(R4478&lt;0,"Principal paid exceeds prior balance",IF(AND(L4478&gt;Q4478,NOT(ISNUMBER(P4478))),"Balance increased but no Deferred_interest reported",IF(L4478&gt;R4478,"Reported balance higher than expected (missing increase/OC build)","Reported balance lower than expected (missing decrease)"))))),""))</f>
        <v/>
      </c>
    </row>
    <row r="4479" customFormat="false" ht="15" hidden="false" customHeight="false" outlineLevel="0" collapsed="false">
      <c r="A4479" s="8"/>
      <c r="B4479" s="8"/>
      <c r="C4479" s="8"/>
      <c r="D4479" s="8"/>
      <c r="E4479" s="8"/>
      <c r="F4479" s="8"/>
      <c r="G4479" s="8"/>
      <c r="H4479" s="8"/>
      <c r="I4479" s="8"/>
      <c r="J4479" s="8"/>
      <c r="K4479" s="9"/>
      <c r="L4479" s="9"/>
      <c r="M4479" s="9"/>
      <c r="N4479" s="9"/>
      <c r="O4479" s="9"/>
      <c r="P4479" s="9"/>
      <c r="Q4479" s="9"/>
      <c r="R4479" s="9" t="str">
        <f aca="false">IF(AND(A4479&lt;&gt;"",ISNUMBER(Q4479),ISNUMBER(L4479)),ROUND(Q4479-IF(ISNUMBER(N4479),N4479,0)-IF(ISNUMBER(O4479),O4479,0)+IF(ISNUMBER(P4479),P4479,0),2),"")</f>
        <v/>
      </c>
      <c r="S4479" s="9" t="str">
        <f aca="false">IF(R4479="","",ROUND(L4479-R4479,2))</f>
        <v/>
      </c>
      <c r="T4479" s="8" t="str">
        <f aca="false">IF(A4479="","",IF(S4479="","BYPASS",IF(ABS(S4479)&lt;=Summary!$B$2,"PASS","FAIL")))</f>
        <v/>
      </c>
      <c r="U4479" s="8" t="str">
        <f aca="false">IF(T4479="BYPASS",IF(NOT(ISNUMBER(Q4479)),"PreV_ETB missing","End_tr_balance missing"),IF(T4479="FAIL",IF(AND(ISNUMBER(K4479),ISNUMBER(L4479),ABS(L4479-(K4479-IF(ISNUMBER(N4479),N4479,0)-IF(ISNUMBER(O4479),O4479,0)+IF(ISNUMBER(P4479),P4479,0)))&lt;=Summary!$B$2),"Passes using beginning_balance - PreV_ETB differs from beginning_balance",IF(AND(ISNUMBER(O4479),O4479&lt;0,ABS(L4479-(Q4479-IF(ISNUMBER(N4479),N4479,0)+IF(ISNUMBER(P4479),P4479,0)))&lt;=Summary!$B$2),"Negative realized loss not applied - check sign",IF(R4479&lt;0,"Principal paid exceeds prior balance",IF(AND(L4479&gt;Q4479,NOT(ISNUMBER(P4479))),"Balance increased but no Deferred_interest reported",IF(L4479&gt;R4479,"Reported balance higher than expected (missing increase/OC build)","Reported balance lower than expected (missing decrease)"))))),""))</f>
        <v/>
      </c>
    </row>
    <row r="4480" customFormat="false" ht="15" hidden="false" customHeight="false" outlineLevel="0" collapsed="false">
      <c r="A4480" s="8"/>
      <c r="B4480" s="8"/>
      <c r="C4480" s="8"/>
      <c r="D4480" s="8"/>
      <c r="E4480" s="8"/>
      <c r="F4480" s="8"/>
      <c r="G4480" s="8"/>
      <c r="H4480" s="8"/>
      <c r="I4480" s="8"/>
      <c r="J4480" s="8"/>
      <c r="K4480" s="9"/>
      <c r="L4480" s="9"/>
      <c r="M4480" s="9"/>
      <c r="N4480" s="9"/>
      <c r="O4480" s="9"/>
      <c r="P4480" s="9"/>
      <c r="Q4480" s="9"/>
      <c r="R4480" s="9" t="str">
        <f aca="false">IF(AND(A4480&lt;&gt;"",ISNUMBER(Q4480),ISNUMBER(L4480)),ROUND(Q4480-IF(ISNUMBER(N4480),N4480,0)-IF(ISNUMBER(O4480),O4480,0)+IF(ISNUMBER(P4480),P4480,0),2),"")</f>
        <v/>
      </c>
      <c r="S4480" s="9" t="str">
        <f aca="false">IF(R4480="","",ROUND(L4480-R4480,2))</f>
        <v/>
      </c>
      <c r="T4480" s="8" t="str">
        <f aca="false">IF(A4480="","",IF(S4480="","BYPASS",IF(ABS(S4480)&lt;=Summary!$B$2,"PASS","FAIL")))</f>
        <v/>
      </c>
      <c r="U4480" s="8" t="str">
        <f aca="false">IF(T4480="BYPASS",IF(NOT(ISNUMBER(Q4480)),"PreV_ETB missing","End_tr_balance missing"),IF(T4480="FAIL",IF(AND(ISNUMBER(K4480),ISNUMBER(L4480),ABS(L4480-(K4480-IF(ISNUMBER(N4480),N4480,0)-IF(ISNUMBER(O4480),O4480,0)+IF(ISNUMBER(P4480),P4480,0)))&lt;=Summary!$B$2),"Passes using beginning_balance - PreV_ETB differs from beginning_balance",IF(AND(ISNUMBER(O4480),O4480&lt;0,ABS(L4480-(Q4480-IF(ISNUMBER(N4480),N4480,0)+IF(ISNUMBER(P4480),P4480,0)))&lt;=Summary!$B$2),"Negative realized loss not applied - check sign",IF(R4480&lt;0,"Principal paid exceeds prior balance",IF(AND(L4480&gt;Q4480,NOT(ISNUMBER(P4480))),"Balance increased but no Deferred_interest reported",IF(L4480&gt;R4480,"Reported balance higher than expected (missing increase/OC build)","Reported balance lower than expected (missing decrease)"))))),""))</f>
        <v/>
      </c>
    </row>
    <row r="4481" customFormat="false" ht="15" hidden="false" customHeight="false" outlineLevel="0" collapsed="false">
      <c r="A4481" s="8"/>
      <c r="B4481" s="8"/>
      <c r="C4481" s="8"/>
      <c r="D4481" s="8"/>
      <c r="E4481" s="8"/>
      <c r="F4481" s="8"/>
      <c r="G4481" s="8"/>
      <c r="H4481" s="8"/>
      <c r="I4481" s="8"/>
      <c r="J4481" s="8"/>
      <c r="K4481" s="9"/>
      <c r="L4481" s="9"/>
      <c r="M4481" s="9"/>
      <c r="N4481" s="9"/>
      <c r="O4481" s="9"/>
      <c r="P4481" s="9"/>
      <c r="Q4481" s="9"/>
      <c r="R4481" s="9" t="str">
        <f aca="false">IF(AND(A4481&lt;&gt;"",ISNUMBER(Q4481),ISNUMBER(L4481)),ROUND(Q4481-IF(ISNUMBER(N4481),N4481,0)-IF(ISNUMBER(O4481),O4481,0)+IF(ISNUMBER(P4481),P4481,0),2),"")</f>
        <v/>
      </c>
      <c r="S4481" s="9" t="str">
        <f aca="false">IF(R4481="","",ROUND(L4481-R4481,2))</f>
        <v/>
      </c>
      <c r="T4481" s="8" t="str">
        <f aca="false">IF(A4481="","",IF(S4481="","BYPASS",IF(ABS(S4481)&lt;=Summary!$B$2,"PASS","FAIL")))</f>
        <v/>
      </c>
      <c r="U4481" s="8" t="str">
        <f aca="false">IF(T4481="BYPASS",IF(NOT(ISNUMBER(Q4481)),"PreV_ETB missing","End_tr_balance missing"),IF(T4481="FAIL",IF(AND(ISNUMBER(K4481),ISNUMBER(L4481),ABS(L4481-(K4481-IF(ISNUMBER(N4481),N4481,0)-IF(ISNUMBER(O4481),O4481,0)+IF(ISNUMBER(P4481),P4481,0)))&lt;=Summary!$B$2),"Passes using beginning_balance - PreV_ETB differs from beginning_balance",IF(AND(ISNUMBER(O4481),O4481&lt;0,ABS(L4481-(Q4481-IF(ISNUMBER(N4481),N4481,0)+IF(ISNUMBER(P4481),P4481,0)))&lt;=Summary!$B$2),"Negative realized loss not applied - check sign",IF(R4481&lt;0,"Principal paid exceeds prior balance",IF(AND(L4481&gt;Q4481,NOT(ISNUMBER(P4481))),"Balance increased but no Deferred_interest reported",IF(L4481&gt;R4481,"Reported balance higher than expected (missing increase/OC build)","Reported balance lower than expected (missing decrease)"))))),""))</f>
        <v/>
      </c>
    </row>
    <row r="4482" customFormat="false" ht="15" hidden="false" customHeight="false" outlineLevel="0" collapsed="false">
      <c r="A4482" s="8"/>
      <c r="B4482" s="8"/>
      <c r="C4482" s="8"/>
      <c r="D4482" s="8"/>
      <c r="E4482" s="8"/>
      <c r="F4482" s="8"/>
      <c r="G4482" s="8"/>
      <c r="H4482" s="8"/>
      <c r="I4482" s="8"/>
      <c r="J4482" s="8"/>
      <c r="K4482" s="9"/>
      <c r="L4482" s="9"/>
      <c r="M4482" s="9"/>
      <c r="N4482" s="9"/>
      <c r="O4482" s="9"/>
      <c r="P4482" s="9"/>
      <c r="Q4482" s="9"/>
      <c r="R4482" s="9" t="str">
        <f aca="false">IF(AND(A4482&lt;&gt;"",ISNUMBER(Q4482),ISNUMBER(L4482)),ROUND(Q4482-IF(ISNUMBER(N4482),N4482,0)-IF(ISNUMBER(O4482),O4482,0)+IF(ISNUMBER(P4482),P4482,0),2),"")</f>
        <v/>
      </c>
      <c r="S4482" s="9" t="str">
        <f aca="false">IF(R4482="","",ROUND(L4482-R4482,2))</f>
        <v/>
      </c>
      <c r="T4482" s="8" t="str">
        <f aca="false">IF(A4482="","",IF(S4482="","BYPASS",IF(ABS(S4482)&lt;=Summary!$B$2,"PASS","FAIL")))</f>
        <v/>
      </c>
      <c r="U4482" s="8" t="str">
        <f aca="false">IF(T4482="BYPASS",IF(NOT(ISNUMBER(Q4482)),"PreV_ETB missing","End_tr_balance missing"),IF(T4482="FAIL",IF(AND(ISNUMBER(K4482),ISNUMBER(L4482),ABS(L4482-(K4482-IF(ISNUMBER(N4482),N4482,0)-IF(ISNUMBER(O4482),O4482,0)+IF(ISNUMBER(P4482),P4482,0)))&lt;=Summary!$B$2),"Passes using beginning_balance - PreV_ETB differs from beginning_balance",IF(AND(ISNUMBER(O4482),O4482&lt;0,ABS(L4482-(Q4482-IF(ISNUMBER(N4482),N4482,0)+IF(ISNUMBER(P4482),P4482,0)))&lt;=Summary!$B$2),"Negative realized loss not applied - check sign",IF(R4482&lt;0,"Principal paid exceeds prior balance",IF(AND(L4482&gt;Q4482,NOT(ISNUMBER(P4482))),"Balance increased but no Deferred_interest reported",IF(L4482&gt;R4482,"Reported balance higher than expected (missing increase/OC build)","Reported balance lower than expected (missing decrease)"))))),""))</f>
        <v/>
      </c>
    </row>
    <row r="4483" customFormat="false" ht="15" hidden="false" customHeight="false" outlineLevel="0" collapsed="false">
      <c r="A4483" s="8"/>
      <c r="B4483" s="8"/>
      <c r="C4483" s="8"/>
      <c r="D4483" s="8"/>
      <c r="E4483" s="8"/>
      <c r="F4483" s="8"/>
      <c r="G4483" s="8"/>
      <c r="H4483" s="8"/>
      <c r="I4483" s="8"/>
      <c r="J4483" s="8"/>
      <c r="K4483" s="9"/>
      <c r="L4483" s="9"/>
      <c r="M4483" s="9"/>
      <c r="N4483" s="9"/>
      <c r="O4483" s="9"/>
      <c r="P4483" s="9"/>
      <c r="Q4483" s="9"/>
      <c r="R4483" s="9" t="str">
        <f aca="false">IF(AND(A4483&lt;&gt;"",ISNUMBER(Q4483),ISNUMBER(L4483)),ROUND(Q4483-IF(ISNUMBER(N4483),N4483,0)-IF(ISNUMBER(O4483),O4483,0)+IF(ISNUMBER(P4483),P4483,0),2),"")</f>
        <v/>
      </c>
      <c r="S4483" s="9" t="str">
        <f aca="false">IF(R4483="","",ROUND(L4483-R4483,2))</f>
        <v/>
      </c>
      <c r="T4483" s="8" t="str">
        <f aca="false">IF(A4483="","",IF(S4483="","BYPASS",IF(ABS(S4483)&lt;=Summary!$B$2,"PASS","FAIL")))</f>
        <v/>
      </c>
      <c r="U4483" s="8" t="str">
        <f aca="false">IF(T4483="BYPASS",IF(NOT(ISNUMBER(Q4483)),"PreV_ETB missing","End_tr_balance missing"),IF(T4483="FAIL",IF(AND(ISNUMBER(K4483),ISNUMBER(L4483),ABS(L4483-(K4483-IF(ISNUMBER(N4483),N4483,0)-IF(ISNUMBER(O4483),O4483,0)+IF(ISNUMBER(P4483),P4483,0)))&lt;=Summary!$B$2),"Passes using beginning_balance - PreV_ETB differs from beginning_balance",IF(AND(ISNUMBER(O4483),O4483&lt;0,ABS(L4483-(Q4483-IF(ISNUMBER(N4483),N4483,0)+IF(ISNUMBER(P4483),P4483,0)))&lt;=Summary!$B$2),"Negative realized loss not applied - check sign",IF(R4483&lt;0,"Principal paid exceeds prior balance",IF(AND(L4483&gt;Q4483,NOT(ISNUMBER(P4483))),"Balance increased but no Deferred_interest reported",IF(L4483&gt;R4483,"Reported balance higher than expected (missing increase/OC build)","Reported balance lower than expected (missing decrease)"))))),""))</f>
        <v/>
      </c>
    </row>
    <row r="4484" customFormat="false" ht="15" hidden="false" customHeight="false" outlineLevel="0" collapsed="false">
      <c r="A4484" s="8"/>
      <c r="B4484" s="8"/>
      <c r="C4484" s="8"/>
      <c r="D4484" s="8"/>
      <c r="E4484" s="8"/>
      <c r="F4484" s="8"/>
      <c r="G4484" s="8"/>
      <c r="H4484" s="8"/>
      <c r="I4484" s="8"/>
      <c r="J4484" s="8"/>
      <c r="K4484" s="9"/>
      <c r="L4484" s="9"/>
      <c r="M4484" s="9"/>
      <c r="N4484" s="9"/>
      <c r="O4484" s="9"/>
      <c r="P4484" s="9"/>
      <c r="Q4484" s="9"/>
      <c r="R4484" s="9" t="str">
        <f aca="false">IF(AND(A4484&lt;&gt;"",ISNUMBER(Q4484),ISNUMBER(L4484)),ROUND(Q4484-IF(ISNUMBER(N4484),N4484,0)-IF(ISNUMBER(O4484),O4484,0)+IF(ISNUMBER(P4484),P4484,0),2),"")</f>
        <v/>
      </c>
      <c r="S4484" s="9" t="str">
        <f aca="false">IF(R4484="","",ROUND(L4484-R4484,2))</f>
        <v/>
      </c>
      <c r="T4484" s="8" t="str">
        <f aca="false">IF(A4484="","",IF(S4484="","BYPASS",IF(ABS(S4484)&lt;=Summary!$B$2,"PASS","FAIL")))</f>
        <v/>
      </c>
      <c r="U4484" s="8" t="str">
        <f aca="false">IF(T4484="BYPASS",IF(NOT(ISNUMBER(Q4484)),"PreV_ETB missing","End_tr_balance missing"),IF(T4484="FAIL",IF(AND(ISNUMBER(K4484),ISNUMBER(L4484),ABS(L4484-(K4484-IF(ISNUMBER(N4484),N4484,0)-IF(ISNUMBER(O4484),O4484,0)+IF(ISNUMBER(P4484),P4484,0)))&lt;=Summary!$B$2),"Passes using beginning_balance - PreV_ETB differs from beginning_balance",IF(AND(ISNUMBER(O4484),O4484&lt;0,ABS(L4484-(Q4484-IF(ISNUMBER(N4484),N4484,0)+IF(ISNUMBER(P4484),P4484,0)))&lt;=Summary!$B$2),"Negative realized loss not applied - check sign",IF(R4484&lt;0,"Principal paid exceeds prior balance",IF(AND(L4484&gt;Q4484,NOT(ISNUMBER(P4484))),"Balance increased but no Deferred_interest reported",IF(L4484&gt;R4484,"Reported balance higher than expected (missing increase/OC build)","Reported balance lower than expected (missing decrease)"))))),""))</f>
        <v/>
      </c>
    </row>
    <row r="4485" customFormat="false" ht="15" hidden="false" customHeight="false" outlineLevel="0" collapsed="false">
      <c r="A4485" s="8"/>
      <c r="B4485" s="8"/>
      <c r="C4485" s="8"/>
      <c r="D4485" s="8"/>
      <c r="E4485" s="8"/>
      <c r="F4485" s="8"/>
      <c r="G4485" s="8"/>
      <c r="H4485" s="8"/>
      <c r="I4485" s="8"/>
      <c r="J4485" s="8"/>
      <c r="K4485" s="9"/>
      <c r="L4485" s="9"/>
      <c r="M4485" s="9"/>
      <c r="N4485" s="9"/>
      <c r="O4485" s="9"/>
      <c r="P4485" s="9"/>
      <c r="Q4485" s="9"/>
      <c r="R4485" s="9" t="str">
        <f aca="false">IF(AND(A4485&lt;&gt;"",ISNUMBER(Q4485),ISNUMBER(L4485)),ROUND(Q4485-IF(ISNUMBER(N4485),N4485,0)-IF(ISNUMBER(O4485),O4485,0)+IF(ISNUMBER(P4485),P4485,0),2),"")</f>
        <v/>
      </c>
      <c r="S4485" s="9" t="str">
        <f aca="false">IF(R4485="","",ROUND(L4485-R4485,2))</f>
        <v/>
      </c>
      <c r="T4485" s="8" t="str">
        <f aca="false">IF(A4485="","",IF(S4485="","BYPASS",IF(ABS(S4485)&lt;=Summary!$B$2,"PASS","FAIL")))</f>
        <v/>
      </c>
      <c r="U4485" s="8" t="str">
        <f aca="false">IF(T4485="BYPASS",IF(NOT(ISNUMBER(Q4485)),"PreV_ETB missing","End_tr_balance missing"),IF(T4485="FAIL",IF(AND(ISNUMBER(K4485),ISNUMBER(L4485),ABS(L4485-(K4485-IF(ISNUMBER(N4485),N4485,0)-IF(ISNUMBER(O4485),O4485,0)+IF(ISNUMBER(P4485),P4485,0)))&lt;=Summary!$B$2),"Passes using beginning_balance - PreV_ETB differs from beginning_balance",IF(AND(ISNUMBER(O4485),O4485&lt;0,ABS(L4485-(Q4485-IF(ISNUMBER(N4485),N4485,0)+IF(ISNUMBER(P4485),P4485,0)))&lt;=Summary!$B$2),"Negative realized loss not applied - check sign",IF(R4485&lt;0,"Principal paid exceeds prior balance",IF(AND(L4485&gt;Q4485,NOT(ISNUMBER(P4485))),"Balance increased but no Deferred_interest reported",IF(L4485&gt;R4485,"Reported balance higher than expected (missing increase/OC build)","Reported balance lower than expected (missing decrease)"))))),""))</f>
        <v/>
      </c>
    </row>
    <row r="4486" customFormat="false" ht="15" hidden="false" customHeight="false" outlineLevel="0" collapsed="false">
      <c r="A4486" s="8"/>
      <c r="B4486" s="8"/>
      <c r="C4486" s="8"/>
      <c r="D4486" s="8"/>
      <c r="E4486" s="8"/>
      <c r="F4486" s="8"/>
      <c r="G4486" s="8"/>
      <c r="H4486" s="8"/>
      <c r="I4486" s="8"/>
      <c r="J4486" s="8"/>
      <c r="K4486" s="9"/>
      <c r="L4486" s="9"/>
      <c r="M4486" s="9"/>
      <c r="N4486" s="9"/>
      <c r="O4486" s="9"/>
      <c r="P4486" s="9"/>
      <c r="Q4486" s="9"/>
      <c r="R4486" s="9" t="str">
        <f aca="false">IF(AND(A4486&lt;&gt;"",ISNUMBER(Q4486),ISNUMBER(L4486)),ROUND(Q4486-IF(ISNUMBER(N4486),N4486,0)-IF(ISNUMBER(O4486),O4486,0)+IF(ISNUMBER(P4486),P4486,0),2),"")</f>
        <v/>
      </c>
      <c r="S4486" s="9" t="str">
        <f aca="false">IF(R4486="","",ROUND(L4486-R4486,2))</f>
        <v/>
      </c>
      <c r="T4486" s="8" t="str">
        <f aca="false">IF(A4486="","",IF(S4486="","BYPASS",IF(ABS(S4486)&lt;=Summary!$B$2,"PASS","FAIL")))</f>
        <v/>
      </c>
      <c r="U4486" s="8" t="str">
        <f aca="false">IF(T4486="BYPASS",IF(NOT(ISNUMBER(Q4486)),"PreV_ETB missing","End_tr_balance missing"),IF(T4486="FAIL",IF(AND(ISNUMBER(K4486),ISNUMBER(L4486),ABS(L4486-(K4486-IF(ISNUMBER(N4486),N4486,0)-IF(ISNUMBER(O4486),O4486,0)+IF(ISNUMBER(P4486),P4486,0)))&lt;=Summary!$B$2),"Passes using beginning_balance - PreV_ETB differs from beginning_balance",IF(AND(ISNUMBER(O4486),O4486&lt;0,ABS(L4486-(Q4486-IF(ISNUMBER(N4486),N4486,0)+IF(ISNUMBER(P4486),P4486,0)))&lt;=Summary!$B$2),"Negative realized loss not applied - check sign",IF(R4486&lt;0,"Principal paid exceeds prior balance",IF(AND(L4486&gt;Q4486,NOT(ISNUMBER(P4486))),"Balance increased but no Deferred_interest reported",IF(L4486&gt;R4486,"Reported balance higher than expected (missing increase/OC build)","Reported balance lower than expected (missing decrease)"))))),""))</f>
        <v/>
      </c>
    </row>
    <row r="4487" customFormat="false" ht="15" hidden="false" customHeight="false" outlineLevel="0" collapsed="false">
      <c r="A4487" s="8"/>
      <c r="B4487" s="8"/>
      <c r="C4487" s="8"/>
      <c r="D4487" s="8"/>
      <c r="E4487" s="8"/>
      <c r="F4487" s="8"/>
      <c r="G4487" s="8"/>
      <c r="H4487" s="8"/>
      <c r="I4487" s="8"/>
      <c r="J4487" s="8"/>
      <c r="K4487" s="9"/>
      <c r="L4487" s="9"/>
      <c r="M4487" s="9"/>
      <c r="N4487" s="9"/>
      <c r="O4487" s="9"/>
      <c r="P4487" s="9"/>
      <c r="Q4487" s="9"/>
      <c r="R4487" s="9" t="str">
        <f aca="false">IF(AND(A4487&lt;&gt;"",ISNUMBER(Q4487),ISNUMBER(L4487)),ROUND(Q4487-IF(ISNUMBER(N4487),N4487,0)-IF(ISNUMBER(O4487),O4487,0)+IF(ISNUMBER(P4487),P4487,0),2),"")</f>
        <v/>
      </c>
      <c r="S4487" s="9" t="str">
        <f aca="false">IF(R4487="","",ROUND(L4487-R4487,2))</f>
        <v/>
      </c>
      <c r="T4487" s="8" t="str">
        <f aca="false">IF(A4487="","",IF(S4487="","BYPASS",IF(ABS(S4487)&lt;=Summary!$B$2,"PASS","FAIL")))</f>
        <v/>
      </c>
      <c r="U4487" s="8" t="str">
        <f aca="false">IF(T4487="BYPASS",IF(NOT(ISNUMBER(Q4487)),"PreV_ETB missing","End_tr_balance missing"),IF(T4487="FAIL",IF(AND(ISNUMBER(K4487),ISNUMBER(L4487),ABS(L4487-(K4487-IF(ISNUMBER(N4487),N4487,0)-IF(ISNUMBER(O4487),O4487,0)+IF(ISNUMBER(P4487),P4487,0)))&lt;=Summary!$B$2),"Passes using beginning_balance - PreV_ETB differs from beginning_balance",IF(AND(ISNUMBER(O4487),O4487&lt;0,ABS(L4487-(Q4487-IF(ISNUMBER(N4487),N4487,0)+IF(ISNUMBER(P4487),P4487,0)))&lt;=Summary!$B$2),"Negative realized loss not applied - check sign",IF(R4487&lt;0,"Principal paid exceeds prior balance",IF(AND(L4487&gt;Q4487,NOT(ISNUMBER(P4487))),"Balance increased but no Deferred_interest reported",IF(L4487&gt;R4487,"Reported balance higher than expected (missing increase/OC build)","Reported balance lower than expected (missing decrease)"))))),""))</f>
        <v/>
      </c>
    </row>
    <row r="4488" customFormat="false" ht="15" hidden="false" customHeight="false" outlineLevel="0" collapsed="false">
      <c r="A4488" s="8"/>
      <c r="B4488" s="8"/>
      <c r="C4488" s="8"/>
      <c r="D4488" s="8"/>
      <c r="E4488" s="8"/>
      <c r="F4488" s="8"/>
      <c r="G4488" s="8"/>
      <c r="H4488" s="8"/>
      <c r="I4488" s="8"/>
      <c r="J4488" s="8"/>
      <c r="K4488" s="9"/>
      <c r="L4488" s="9"/>
      <c r="M4488" s="9"/>
      <c r="N4488" s="9"/>
      <c r="O4488" s="9"/>
      <c r="P4488" s="9"/>
      <c r="Q4488" s="9"/>
      <c r="R4488" s="9" t="str">
        <f aca="false">IF(AND(A4488&lt;&gt;"",ISNUMBER(Q4488),ISNUMBER(L4488)),ROUND(Q4488-IF(ISNUMBER(N4488),N4488,0)-IF(ISNUMBER(O4488),O4488,0)+IF(ISNUMBER(P4488),P4488,0),2),"")</f>
        <v/>
      </c>
      <c r="S4488" s="9" t="str">
        <f aca="false">IF(R4488="","",ROUND(L4488-R4488,2))</f>
        <v/>
      </c>
      <c r="T4488" s="8" t="str">
        <f aca="false">IF(A4488="","",IF(S4488="","BYPASS",IF(ABS(S4488)&lt;=Summary!$B$2,"PASS","FAIL")))</f>
        <v/>
      </c>
      <c r="U4488" s="8" t="str">
        <f aca="false">IF(T4488="BYPASS",IF(NOT(ISNUMBER(Q4488)),"PreV_ETB missing","End_tr_balance missing"),IF(T4488="FAIL",IF(AND(ISNUMBER(K4488),ISNUMBER(L4488),ABS(L4488-(K4488-IF(ISNUMBER(N4488),N4488,0)-IF(ISNUMBER(O4488),O4488,0)+IF(ISNUMBER(P4488),P4488,0)))&lt;=Summary!$B$2),"Passes using beginning_balance - PreV_ETB differs from beginning_balance",IF(AND(ISNUMBER(O4488),O4488&lt;0,ABS(L4488-(Q4488-IF(ISNUMBER(N4488),N4488,0)+IF(ISNUMBER(P4488),P4488,0)))&lt;=Summary!$B$2),"Negative realized loss not applied - check sign",IF(R4488&lt;0,"Principal paid exceeds prior balance",IF(AND(L4488&gt;Q4488,NOT(ISNUMBER(P4488))),"Balance increased but no Deferred_interest reported",IF(L4488&gt;R4488,"Reported balance higher than expected (missing increase/OC build)","Reported balance lower than expected (missing decrease)"))))),""))</f>
        <v/>
      </c>
    </row>
    <row r="4489" customFormat="false" ht="15" hidden="false" customHeight="false" outlineLevel="0" collapsed="false">
      <c r="A4489" s="8"/>
      <c r="B4489" s="8"/>
      <c r="C4489" s="8"/>
      <c r="D4489" s="8"/>
      <c r="E4489" s="8"/>
      <c r="F4489" s="8"/>
      <c r="G4489" s="8"/>
      <c r="H4489" s="8"/>
      <c r="I4489" s="8"/>
      <c r="J4489" s="8"/>
      <c r="K4489" s="9"/>
      <c r="L4489" s="9"/>
      <c r="M4489" s="9"/>
      <c r="N4489" s="9"/>
      <c r="O4489" s="9"/>
      <c r="P4489" s="9"/>
      <c r="Q4489" s="9"/>
      <c r="R4489" s="9" t="str">
        <f aca="false">IF(AND(A4489&lt;&gt;"",ISNUMBER(Q4489),ISNUMBER(L4489)),ROUND(Q4489-IF(ISNUMBER(N4489),N4489,0)-IF(ISNUMBER(O4489),O4489,0)+IF(ISNUMBER(P4489),P4489,0),2),"")</f>
        <v/>
      </c>
      <c r="S4489" s="9" t="str">
        <f aca="false">IF(R4489="","",ROUND(L4489-R4489,2))</f>
        <v/>
      </c>
      <c r="T4489" s="8" t="str">
        <f aca="false">IF(A4489="","",IF(S4489="","BYPASS",IF(ABS(S4489)&lt;=Summary!$B$2,"PASS","FAIL")))</f>
        <v/>
      </c>
      <c r="U4489" s="8" t="str">
        <f aca="false">IF(T4489="BYPASS",IF(NOT(ISNUMBER(Q4489)),"PreV_ETB missing","End_tr_balance missing"),IF(T4489="FAIL",IF(AND(ISNUMBER(K4489),ISNUMBER(L4489),ABS(L4489-(K4489-IF(ISNUMBER(N4489),N4489,0)-IF(ISNUMBER(O4489),O4489,0)+IF(ISNUMBER(P4489),P4489,0)))&lt;=Summary!$B$2),"Passes using beginning_balance - PreV_ETB differs from beginning_balance",IF(AND(ISNUMBER(O4489),O4489&lt;0,ABS(L4489-(Q4489-IF(ISNUMBER(N4489),N4489,0)+IF(ISNUMBER(P4489),P4489,0)))&lt;=Summary!$B$2),"Negative realized loss not applied - check sign",IF(R4489&lt;0,"Principal paid exceeds prior balance",IF(AND(L4489&gt;Q4489,NOT(ISNUMBER(P4489))),"Balance increased but no Deferred_interest reported",IF(L4489&gt;R4489,"Reported balance higher than expected (missing increase/OC build)","Reported balance lower than expected (missing decrease)"))))),""))</f>
        <v/>
      </c>
    </row>
    <row r="4490" customFormat="false" ht="15" hidden="false" customHeight="false" outlineLevel="0" collapsed="false">
      <c r="A4490" s="8"/>
      <c r="B4490" s="8"/>
      <c r="C4490" s="8"/>
      <c r="D4490" s="8"/>
      <c r="E4490" s="8"/>
      <c r="F4490" s="8"/>
      <c r="G4490" s="8"/>
      <c r="H4490" s="8"/>
      <c r="I4490" s="8"/>
      <c r="J4490" s="8"/>
      <c r="K4490" s="9"/>
      <c r="L4490" s="9"/>
      <c r="M4490" s="9"/>
      <c r="N4490" s="9"/>
      <c r="O4490" s="9"/>
      <c r="P4490" s="9"/>
      <c r="Q4490" s="9"/>
      <c r="R4490" s="9" t="str">
        <f aca="false">IF(AND(A4490&lt;&gt;"",ISNUMBER(Q4490),ISNUMBER(L4490)),ROUND(Q4490-IF(ISNUMBER(N4490),N4490,0)-IF(ISNUMBER(O4490),O4490,0)+IF(ISNUMBER(P4490),P4490,0),2),"")</f>
        <v/>
      </c>
      <c r="S4490" s="9" t="str">
        <f aca="false">IF(R4490="","",ROUND(L4490-R4490,2))</f>
        <v/>
      </c>
      <c r="T4490" s="8" t="str">
        <f aca="false">IF(A4490="","",IF(S4490="","BYPASS",IF(ABS(S4490)&lt;=Summary!$B$2,"PASS","FAIL")))</f>
        <v/>
      </c>
      <c r="U4490" s="8" t="str">
        <f aca="false">IF(T4490="BYPASS",IF(NOT(ISNUMBER(Q4490)),"PreV_ETB missing","End_tr_balance missing"),IF(T4490="FAIL",IF(AND(ISNUMBER(K4490),ISNUMBER(L4490),ABS(L4490-(K4490-IF(ISNUMBER(N4490),N4490,0)-IF(ISNUMBER(O4490),O4490,0)+IF(ISNUMBER(P4490),P4490,0)))&lt;=Summary!$B$2),"Passes using beginning_balance - PreV_ETB differs from beginning_balance",IF(AND(ISNUMBER(O4490),O4490&lt;0,ABS(L4490-(Q4490-IF(ISNUMBER(N4490),N4490,0)+IF(ISNUMBER(P4490),P4490,0)))&lt;=Summary!$B$2),"Negative realized loss not applied - check sign",IF(R4490&lt;0,"Principal paid exceeds prior balance",IF(AND(L4490&gt;Q4490,NOT(ISNUMBER(P4490))),"Balance increased but no Deferred_interest reported",IF(L4490&gt;R4490,"Reported balance higher than expected (missing increase/OC build)","Reported balance lower than expected (missing decrease)"))))),""))</f>
        <v/>
      </c>
    </row>
    <row r="4491" customFormat="false" ht="15" hidden="false" customHeight="false" outlineLevel="0" collapsed="false">
      <c r="A4491" s="8"/>
      <c r="B4491" s="8"/>
      <c r="C4491" s="8"/>
      <c r="D4491" s="8"/>
      <c r="E4491" s="8"/>
      <c r="F4491" s="8"/>
      <c r="G4491" s="8"/>
      <c r="H4491" s="8"/>
      <c r="I4491" s="8"/>
      <c r="J4491" s="8"/>
      <c r="K4491" s="9"/>
      <c r="L4491" s="9"/>
      <c r="M4491" s="9"/>
      <c r="N4491" s="9"/>
      <c r="O4491" s="9"/>
      <c r="P4491" s="9"/>
      <c r="Q4491" s="9"/>
      <c r="R4491" s="9" t="str">
        <f aca="false">IF(AND(A4491&lt;&gt;"",ISNUMBER(Q4491),ISNUMBER(L4491)),ROUND(Q4491-IF(ISNUMBER(N4491),N4491,0)-IF(ISNUMBER(O4491),O4491,0)+IF(ISNUMBER(P4491),P4491,0),2),"")</f>
        <v/>
      </c>
      <c r="S4491" s="9" t="str">
        <f aca="false">IF(R4491="","",ROUND(L4491-R4491,2))</f>
        <v/>
      </c>
      <c r="T4491" s="8" t="str">
        <f aca="false">IF(A4491="","",IF(S4491="","BYPASS",IF(ABS(S4491)&lt;=Summary!$B$2,"PASS","FAIL")))</f>
        <v/>
      </c>
      <c r="U4491" s="8" t="str">
        <f aca="false">IF(T4491="BYPASS",IF(NOT(ISNUMBER(Q4491)),"PreV_ETB missing","End_tr_balance missing"),IF(T4491="FAIL",IF(AND(ISNUMBER(K4491),ISNUMBER(L4491),ABS(L4491-(K4491-IF(ISNUMBER(N4491),N4491,0)-IF(ISNUMBER(O4491),O4491,0)+IF(ISNUMBER(P4491),P4491,0)))&lt;=Summary!$B$2),"Passes using beginning_balance - PreV_ETB differs from beginning_balance",IF(AND(ISNUMBER(O4491),O4491&lt;0,ABS(L4491-(Q4491-IF(ISNUMBER(N4491),N4491,0)+IF(ISNUMBER(P4491),P4491,0)))&lt;=Summary!$B$2),"Negative realized loss not applied - check sign",IF(R4491&lt;0,"Principal paid exceeds prior balance",IF(AND(L4491&gt;Q4491,NOT(ISNUMBER(P4491))),"Balance increased but no Deferred_interest reported",IF(L4491&gt;R4491,"Reported balance higher than expected (missing increase/OC build)","Reported balance lower than expected (missing decrease)"))))),""))</f>
        <v/>
      </c>
    </row>
    <row r="4492" customFormat="false" ht="15" hidden="false" customHeight="false" outlineLevel="0" collapsed="false">
      <c r="A4492" s="8"/>
      <c r="B4492" s="8"/>
      <c r="C4492" s="8"/>
      <c r="D4492" s="8"/>
      <c r="E4492" s="8"/>
      <c r="F4492" s="8"/>
      <c r="G4492" s="8"/>
      <c r="H4492" s="8"/>
      <c r="I4492" s="8"/>
      <c r="J4492" s="8"/>
      <c r="K4492" s="9"/>
      <c r="L4492" s="9"/>
      <c r="M4492" s="9"/>
      <c r="N4492" s="9"/>
      <c r="O4492" s="9"/>
      <c r="P4492" s="9"/>
      <c r="Q4492" s="9"/>
      <c r="R4492" s="9" t="str">
        <f aca="false">IF(AND(A4492&lt;&gt;"",ISNUMBER(Q4492),ISNUMBER(L4492)),ROUND(Q4492-IF(ISNUMBER(N4492),N4492,0)-IF(ISNUMBER(O4492),O4492,0)+IF(ISNUMBER(P4492),P4492,0),2),"")</f>
        <v/>
      </c>
      <c r="S4492" s="9" t="str">
        <f aca="false">IF(R4492="","",ROUND(L4492-R4492,2))</f>
        <v/>
      </c>
      <c r="T4492" s="8" t="str">
        <f aca="false">IF(A4492="","",IF(S4492="","BYPASS",IF(ABS(S4492)&lt;=Summary!$B$2,"PASS","FAIL")))</f>
        <v/>
      </c>
      <c r="U4492" s="8" t="str">
        <f aca="false">IF(T4492="BYPASS",IF(NOT(ISNUMBER(Q4492)),"PreV_ETB missing","End_tr_balance missing"),IF(T4492="FAIL",IF(AND(ISNUMBER(K4492),ISNUMBER(L4492),ABS(L4492-(K4492-IF(ISNUMBER(N4492),N4492,0)-IF(ISNUMBER(O4492),O4492,0)+IF(ISNUMBER(P4492),P4492,0)))&lt;=Summary!$B$2),"Passes using beginning_balance - PreV_ETB differs from beginning_balance",IF(AND(ISNUMBER(O4492),O4492&lt;0,ABS(L4492-(Q4492-IF(ISNUMBER(N4492),N4492,0)+IF(ISNUMBER(P4492),P4492,0)))&lt;=Summary!$B$2),"Negative realized loss not applied - check sign",IF(R4492&lt;0,"Principal paid exceeds prior balance",IF(AND(L4492&gt;Q4492,NOT(ISNUMBER(P4492))),"Balance increased but no Deferred_interest reported",IF(L4492&gt;R4492,"Reported balance higher than expected (missing increase/OC build)","Reported balance lower than expected (missing decrease)"))))),""))</f>
        <v/>
      </c>
    </row>
    <row r="4493" customFormat="false" ht="15" hidden="false" customHeight="false" outlineLevel="0" collapsed="false">
      <c r="A4493" s="8"/>
      <c r="B4493" s="8"/>
      <c r="C4493" s="8"/>
      <c r="D4493" s="8"/>
      <c r="E4493" s="8"/>
      <c r="F4493" s="8"/>
      <c r="G4493" s="8"/>
      <c r="H4493" s="8"/>
      <c r="I4493" s="8"/>
      <c r="J4493" s="8"/>
      <c r="K4493" s="9"/>
      <c r="L4493" s="9"/>
      <c r="M4493" s="9"/>
      <c r="N4493" s="9"/>
      <c r="O4493" s="9"/>
      <c r="P4493" s="9"/>
      <c r="Q4493" s="9"/>
      <c r="R4493" s="9" t="str">
        <f aca="false">IF(AND(A4493&lt;&gt;"",ISNUMBER(Q4493),ISNUMBER(L4493)),ROUND(Q4493-IF(ISNUMBER(N4493),N4493,0)-IF(ISNUMBER(O4493),O4493,0)+IF(ISNUMBER(P4493),P4493,0),2),"")</f>
        <v/>
      </c>
      <c r="S4493" s="9" t="str">
        <f aca="false">IF(R4493="","",ROUND(L4493-R4493,2))</f>
        <v/>
      </c>
      <c r="T4493" s="8" t="str">
        <f aca="false">IF(A4493="","",IF(S4493="","BYPASS",IF(ABS(S4493)&lt;=Summary!$B$2,"PASS","FAIL")))</f>
        <v/>
      </c>
      <c r="U4493" s="8" t="str">
        <f aca="false">IF(T4493="BYPASS",IF(NOT(ISNUMBER(Q4493)),"PreV_ETB missing","End_tr_balance missing"),IF(T4493="FAIL",IF(AND(ISNUMBER(K4493),ISNUMBER(L4493),ABS(L4493-(K4493-IF(ISNUMBER(N4493),N4493,0)-IF(ISNUMBER(O4493),O4493,0)+IF(ISNUMBER(P4493),P4493,0)))&lt;=Summary!$B$2),"Passes using beginning_balance - PreV_ETB differs from beginning_balance",IF(AND(ISNUMBER(O4493),O4493&lt;0,ABS(L4493-(Q4493-IF(ISNUMBER(N4493),N4493,0)+IF(ISNUMBER(P4493),P4493,0)))&lt;=Summary!$B$2),"Negative realized loss not applied - check sign",IF(R4493&lt;0,"Principal paid exceeds prior balance",IF(AND(L4493&gt;Q4493,NOT(ISNUMBER(P4493))),"Balance increased but no Deferred_interest reported",IF(L4493&gt;R4493,"Reported balance higher than expected (missing increase/OC build)","Reported balance lower than expected (missing decrease)"))))),""))</f>
        <v/>
      </c>
    </row>
    <row r="4494" customFormat="false" ht="15" hidden="false" customHeight="false" outlineLevel="0" collapsed="false">
      <c r="A4494" s="8"/>
      <c r="B4494" s="8"/>
      <c r="C4494" s="8"/>
      <c r="D4494" s="8"/>
      <c r="E4494" s="8"/>
      <c r="F4494" s="8"/>
      <c r="G4494" s="8"/>
      <c r="H4494" s="8"/>
      <c r="I4494" s="8"/>
      <c r="J4494" s="8"/>
      <c r="K4494" s="9"/>
      <c r="L4494" s="9"/>
      <c r="M4494" s="9"/>
      <c r="N4494" s="9"/>
      <c r="O4494" s="9"/>
      <c r="P4494" s="9"/>
      <c r="Q4494" s="9"/>
      <c r="R4494" s="9" t="str">
        <f aca="false">IF(AND(A4494&lt;&gt;"",ISNUMBER(Q4494),ISNUMBER(L4494)),ROUND(Q4494-IF(ISNUMBER(N4494),N4494,0)-IF(ISNUMBER(O4494),O4494,0)+IF(ISNUMBER(P4494),P4494,0),2),"")</f>
        <v/>
      </c>
      <c r="S4494" s="9" t="str">
        <f aca="false">IF(R4494="","",ROUND(L4494-R4494,2))</f>
        <v/>
      </c>
      <c r="T4494" s="8" t="str">
        <f aca="false">IF(A4494="","",IF(S4494="","BYPASS",IF(ABS(S4494)&lt;=Summary!$B$2,"PASS","FAIL")))</f>
        <v/>
      </c>
      <c r="U4494" s="8" t="str">
        <f aca="false">IF(T4494="BYPASS",IF(NOT(ISNUMBER(Q4494)),"PreV_ETB missing","End_tr_balance missing"),IF(T4494="FAIL",IF(AND(ISNUMBER(K4494),ISNUMBER(L4494),ABS(L4494-(K4494-IF(ISNUMBER(N4494),N4494,0)-IF(ISNUMBER(O4494),O4494,0)+IF(ISNUMBER(P4494),P4494,0)))&lt;=Summary!$B$2),"Passes using beginning_balance - PreV_ETB differs from beginning_balance",IF(AND(ISNUMBER(O4494),O4494&lt;0,ABS(L4494-(Q4494-IF(ISNUMBER(N4494),N4494,0)+IF(ISNUMBER(P4494),P4494,0)))&lt;=Summary!$B$2),"Negative realized loss not applied - check sign",IF(R4494&lt;0,"Principal paid exceeds prior balance",IF(AND(L4494&gt;Q4494,NOT(ISNUMBER(P4494))),"Balance increased but no Deferred_interest reported",IF(L4494&gt;R4494,"Reported balance higher than expected (missing increase/OC build)","Reported balance lower than expected (missing decrease)"))))),""))</f>
        <v/>
      </c>
    </row>
    <row r="4495" customFormat="false" ht="15" hidden="false" customHeight="false" outlineLevel="0" collapsed="false">
      <c r="A4495" s="8"/>
      <c r="B4495" s="8"/>
      <c r="C4495" s="8"/>
      <c r="D4495" s="8"/>
      <c r="E4495" s="8"/>
      <c r="F4495" s="8"/>
      <c r="G4495" s="8"/>
      <c r="H4495" s="8"/>
      <c r="I4495" s="8"/>
      <c r="J4495" s="8"/>
      <c r="K4495" s="9"/>
      <c r="L4495" s="9"/>
      <c r="M4495" s="9"/>
      <c r="N4495" s="9"/>
      <c r="O4495" s="9"/>
      <c r="P4495" s="9"/>
      <c r="Q4495" s="9"/>
      <c r="R4495" s="9" t="str">
        <f aca="false">IF(AND(A4495&lt;&gt;"",ISNUMBER(Q4495),ISNUMBER(L4495)),ROUND(Q4495-IF(ISNUMBER(N4495),N4495,0)-IF(ISNUMBER(O4495),O4495,0)+IF(ISNUMBER(P4495),P4495,0),2),"")</f>
        <v/>
      </c>
      <c r="S4495" s="9" t="str">
        <f aca="false">IF(R4495="","",ROUND(L4495-R4495,2))</f>
        <v/>
      </c>
      <c r="T4495" s="8" t="str">
        <f aca="false">IF(A4495="","",IF(S4495="","BYPASS",IF(ABS(S4495)&lt;=Summary!$B$2,"PASS","FAIL")))</f>
        <v/>
      </c>
      <c r="U4495" s="8" t="str">
        <f aca="false">IF(T4495="BYPASS",IF(NOT(ISNUMBER(Q4495)),"PreV_ETB missing","End_tr_balance missing"),IF(T4495="FAIL",IF(AND(ISNUMBER(K4495),ISNUMBER(L4495),ABS(L4495-(K4495-IF(ISNUMBER(N4495),N4495,0)-IF(ISNUMBER(O4495),O4495,0)+IF(ISNUMBER(P4495),P4495,0)))&lt;=Summary!$B$2),"Passes using beginning_balance - PreV_ETB differs from beginning_balance",IF(AND(ISNUMBER(O4495),O4495&lt;0,ABS(L4495-(Q4495-IF(ISNUMBER(N4495),N4495,0)+IF(ISNUMBER(P4495),P4495,0)))&lt;=Summary!$B$2),"Negative realized loss not applied - check sign",IF(R4495&lt;0,"Principal paid exceeds prior balance",IF(AND(L4495&gt;Q4495,NOT(ISNUMBER(P4495))),"Balance increased but no Deferred_interest reported",IF(L4495&gt;R4495,"Reported balance higher than expected (missing increase/OC build)","Reported balance lower than expected (missing decrease)"))))),""))</f>
        <v/>
      </c>
    </row>
    <row r="4496" customFormat="false" ht="15" hidden="false" customHeight="false" outlineLevel="0" collapsed="false">
      <c r="A4496" s="8"/>
      <c r="B4496" s="8"/>
      <c r="C4496" s="8"/>
      <c r="D4496" s="8"/>
      <c r="E4496" s="8"/>
      <c r="F4496" s="8"/>
      <c r="G4496" s="8"/>
      <c r="H4496" s="8"/>
      <c r="I4496" s="8"/>
      <c r="J4496" s="8"/>
      <c r="K4496" s="9"/>
      <c r="L4496" s="9"/>
      <c r="M4496" s="9"/>
      <c r="N4496" s="9"/>
      <c r="O4496" s="9"/>
      <c r="P4496" s="9"/>
      <c r="Q4496" s="9"/>
      <c r="R4496" s="9" t="str">
        <f aca="false">IF(AND(A4496&lt;&gt;"",ISNUMBER(Q4496),ISNUMBER(L4496)),ROUND(Q4496-IF(ISNUMBER(N4496),N4496,0)-IF(ISNUMBER(O4496),O4496,0)+IF(ISNUMBER(P4496),P4496,0),2),"")</f>
        <v/>
      </c>
      <c r="S4496" s="9" t="str">
        <f aca="false">IF(R4496="","",ROUND(L4496-R4496,2))</f>
        <v/>
      </c>
      <c r="T4496" s="8" t="str">
        <f aca="false">IF(A4496="","",IF(S4496="","BYPASS",IF(ABS(S4496)&lt;=Summary!$B$2,"PASS","FAIL")))</f>
        <v/>
      </c>
      <c r="U4496" s="8" t="str">
        <f aca="false">IF(T4496="BYPASS",IF(NOT(ISNUMBER(Q4496)),"PreV_ETB missing","End_tr_balance missing"),IF(T4496="FAIL",IF(AND(ISNUMBER(K4496),ISNUMBER(L4496),ABS(L4496-(K4496-IF(ISNUMBER(N4496),N4496,0)-IF(ISNUMBER(O4496),O4496,0)+IF(ISNUMBER(P4496),P4496,0)))&lt;=Summary!$B$2),"Passes using beginning_balance - PreV_ETB differs from beginning_balance",IF(AND(ISNUMBER(O4496),O4496&lt;0,ABS(L4496-(Q4496-IF(ISNUMBER(N4496),N4496,0)+IF(ISNUMBER(P4496),P4496,0)))&lt;=Summary!$B$2),"Negative realized loss not applied - check sign",IF(R4496&lt;0,"Principal paid exceeds prior balance",IF(AND(L4496&gt;Q4496,NOT(ISNUMBER(P4496))),"Balance increased but no Deferred_interest reported",IF(L4496&gt;R4496,"Reported balance higher than expected (missing increase/OC build)","Reported balance lower than expected (missing decrease)"))))),""))</f>
        <v/>
      </c>
    </row>
    <row r="4497" customFormat="false" ht="15" hidden="false" customHeight="false" outlineLevel="0" collapsed="false">
      <c r="A4497" s="8"/>
      <c r="B4497" s="8"/>
      <c r="C4497" s="8"/>
      <c r="D4497" s="8"/>
      <c r="E4497" s="8"/>
      <c r="F4497" s="8"/>
      <c r="G4497" s="8"/>
      <c r="H4497" s="8"/>
      <c r="I4497" s="8"/>
      <c r="J4497" s="8"/>
      <c r="K4497" s="9"/>
      <c r="L4497" s="9"/>
      <c r="M4497" s="9"/>
      <c r="N4497" s="9"/>
      <c r="O4497" s="9"/>
      <c r="P4497" s="9"/>
      <c r="Q4497" s="9"/>
      <c r="R4497" s="9" t="str">
        <f aca="false">IF(AND(A4497&lt;&gt;"",ISNUMBER(Q4497),ISNUMBER(L4497)),ROUND(Q4497-IF(ISNUMBER(N4497),N4497,0)-IF(ISNUMBER(O4497),O4497,0)+IF(ISNUMBER(P4497),P4497,0),2),"")</f>
        <v/>
      </c>
      <c r="S4497" s="9" t="str">
        <f aca="false">IF(R4497="","",ROUND(L4497-R4497,2))</f>
        <v/>
      </c>
      <c r="T4497" s="8" t="str">
        <f aca="false">IF(A4497="","",IF(S4497="","BYPASS",IF(ABS(S4497)&lt;=Summary!$B$2,"PASS","FAIL")))</f>
        <v/>
      </c>
      <c r="U4497" s="8" t="str">
        <f aca="false">IF(T4497="BYPASS",IF(NOT(ISNUMBER(Q4497)),"PreV_ETB missing","End_tr_balance missing"),IF(T4497="FAIL",IF(AND(ISNUMBER(K4497),ISNUMBER(L4497),ABS(L4497-(K4497-IF(ISNUMBER(N4497),N4497,0)-IF(ISNUMBER(O4497),O4497,0)+IF(ISNUMBER(P4497),P4497,0)))&lt;=Summary!$B$2),"Passes using beginning_balance - PreV_ETB differs from beginning_balance",IF(AND(ISNUMBER(O4497),O4497&lt;0,ABS(L4497-(Q4497-IF(ISNUMBER(N4497),N4497,0)+IF(ISNUMBER(P4497),P4497,0)))&lt;=Summary!$B$2),"Negative realized loss not applied - check sign",IF(R4497&lt;0,"Principal paid exceeds prior balance",IF(AND(L4497&gt;Q4497,NOT(ISNUMBER(P4497))),"Balance increased but no Deferred_interest reported",IF(L4497&gt;R4497,"Reported balance higher than expected (missing increase/OC build)","Reported balance lower than expected (missing decrease)"))))),""))</f>
        <v/>
      </c>
    </row>
    <row r="4498" customFormat="false" ht="15" hidden="false" customHeight="false" outlineLevel="0" collapsed="false">
      <c r="A4498" s="8"/>
      <c r="B4498" s="8"/>
      <c r="C4498" s="8"/>
      <c r="D4498" s="8"/>
      <c r="E4498" s="8"/>
      <c r="F4498" s="8"/>
      <c r="G4498" s="8"/>
      <c r="H4498" s="8"/>
      <c r="I4498" s="8"/>
      <c r="J4498" s="8"/>
      <c r="K4498" s="9"/>
      <c r="L4498" s="9"/>
      <c r="M4498" s="9"/>
      <c r="N4498" s="9"/>
      <c r="O4498" s="9"/>
      <c r="P4498" s="9"/>
      <c r="Q4498" s="9"/>
      <c r="R4498" s="9" t="str">
        <f aca="false">IF(AND(A4498&lt;&gt;"",ISNUMBER(Q4498),ISNUMBER(L4498)),ROUND(Q4498-IF(ISNUMBER(N4498),N4498,0)-IF(ISNUMBER(O4498),O4498,0)+IF(ISNUMBER(P4498),P4498,0),2),"")</f>
        <v/>
      </c>
      <c r="S4498" s="9" t="str">
        <f aca="false">IF(R4498="","",ROUND(L4498-R4498,2))</f>
        <v/>
      </c>
      <c r="T4498" s="8" t="str">
        <f aca="false">IF(A4498="","",IF(S4498="","BYPASS",IF(ABS(S4498)&lt;=Summary!$B$2,"PASS","FAIL")))</f>
        <v/>
      </c>
      <c r="U4498" s="8" t="str">
        <f aca="false">IF(T4498="BYPASS",IF(NOT(ISNUMBER(Q4498)),"PreV_ETB missing","End_tr_balance missing"),IF(T4498="FAIL",IF(AND(ISNUMBER(K4498),ISNUMBER(L4498),ABS(L4498-(K4498-IF(ISNUMBER(N4498),N4498,0)-IF(ISNUMBER(O4498),O4498,0)+IF(ISNUMBER(P4498),P4498,0)))&lt;=Summary!$B$2),"Passes using beginning_balance - PreV_ETB differs from beginning_balance",IF(AND(ISNUMBER(O4498),O4498&lt;0,ABS(L4498-(Q4498-IF(ISNUMBER(N4498),N4498,0)+IF(ISNUMBER(P4498),P4498,0)))&lt;=Summary!$B$2),"Negative realized loss not applied - check sign",IF(R4498&lt;0,"Principal paid exceeds prior balance",IF(AND(L4498&gt;Q4498,NOT(ISNUMBER(P4498))),"Balance increased but no Deferred_interest reported",IF(L4498&gt;R4498,"Reported balance higher than expected (missing increase/OC build)","Reported balance lower than expected (missing decrease)"))))),""))</f>
        <v/>
      </c>
    </row>
    <row r="4499" customFormat="false" ht="15" hidden="false" customHeight="false" outlineLevel="0" collapsed="false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9"/>
      <c r="L4499" s="9"/>
      <c r="M4499" s="9"/>
      <c r="N4499" s="9"/>
      <c r="O4499" s="9"/>
      <c r="P4499" s="9"/>
      <c r="Q4499" s="9"/>
      <c r="R4499" s="9" t="str">
        <f aca="false">IF(AND(A4499&lt;&gt;"",ISNUMBER(Q4499),ISNUMBER(L4499)),ROUND(Q4499-IF(ISNUMBER(N4499),N4499,0)-IF(ISNUMBER(O4499),O4499,0)+IF(ISNUMBER(P4499),P4499,0),2),"")</f>
        <v/>
      </c>
      <c r="S4499" s="9" t="str">
        <f aca="false">IF(R4499="","",ROUND(L4499-R4499,2))</f>
        <v/>
      </c>
      <c r="T4499" s="8" t="str">
        <f aca="false">IF(A4499="","",IF(S4499="","BYPASS",IF(ABS(S4499)&lt;=Summary!$B$2,"PASS","FAIL")))</f>
        <v/>
      </c>
      <c r="U4499" s="8" t="str">
        <f aca="false">IF(T4499="BYPASS",IF(NOT(ISNUMBER(Q4499)),"PreV_ETB missing","End_tr_balance missing"),IF(T4499="FAIL",IF(AND(ISNUMBER(K4499),ISNUMBER(L4499),ABS(L4499-(K4499-IF(ISNUMBER(N4499),N4499,0)-IF(ISNUMBER(O4499),O4499,0)+IF(ISNUMBER(P4499),P4499,0)))&lt;=Summary!$B$2),"Passes using beginning_balance - PreV_ETB differs from beginning_balance",IF(AND(ISNUMBER(O4499),O4499&lt;0,ABS(L4499-(Q4499-IF(ISNUMBER(N4499),N4499,0)+IF(ISNUMBER(P4499),P4499,0)))&lt;=Summary!$B$2),"Negative realized loss not applied - check sign",IF(R4499&lt;0,"Principal paid exceeds prior balance",IF(AND(L4499&gt;Q4499,NOT(ISNUMBER(P4499))),"Balance increased but no Deferred_interest reported",IF(L4499&gt;R4499,"Reported balance higher than expected (missing increase/OC build)","Reported balance lower than expected (missing decrease)"))))),""))</f>
        <v/>
      </c>
    </row>
    <row r="4500" customFormat="false" ht="15" hidden="false" customHeight="false" outlineLevel="0" collapsed="false">
      <c r="A4500" s="8"/>
      <c r="B4500" s="8"/>
      <c r="C4500" s="8"/>
      <c r="D4500" s="8"/>
      <c r="E4500" s="8"/>
      <c r="F4500" s="8"/>
      <c r="G4500" s="8"/>
      <c r="H4500" s="8"/>
      <c r="I4500" s="8"/>
      <c r="J4500" s="8"/>
      <c r="K4500" s="9"/>
      <c r="L4500" s="9"/>
      <c r="M4500" s="9"/>
      <c r="N4500" s="9"/>
      <c r="O4500" s="9"/>
      <c r="P4500" s="9"/>
      <c r="Q4500" s="9"/>
      <c r="R4500" s="9" t="str">
        <f aca="false">IF(AND(A4500&lt;&gt;"",ISNUMBER(Q4500),ISNUMBER(L4500)),ROUND(Q4500-IF(ISNUMBER(N4500),N4500,0)-IF(ISNUMBER(O4500),O4500,0)+IF(ISNUMBER(P4500),P4500,0),2),"")</f>
        <v/>
      </c>
      <c r="S4500" s="9" t="str">
        <f aca="false">IF(R4500="","",ROUND(L4500-R4500,2))</f>
        <v/>
      </c>
      <c r="T4500" s="8" t="str">
        <f aca="false">IF(A4500="","",IF(S4500="","BYPASS",IF(ABS(S4500)&lt;=Summary!$B$2,"PASS","FAIL")))</f>
        <v/>
      </c>
      <c r="U4500" s="8" t="str">
        <f aca="false">IF(T4500="BYPASS",IF(NOT(ISNUMBER(Q4500)),"PreV_ETB missing","End_tr_balance missing"),IF(T4500="FAIL",IF(AND(ISNUMBER(K4500),ISNUMBER(L4500),ABS(L4500-(K4500-IF(ISNUMBER(N4500),N4500,0)-IF(ISNUMBER(O4500),O4500,0)+IF(ISNUMBER(P4500),P4500,0)))&lt;=Summary!$B$2),"Passes using beginning_balance - PreV_ETB differs from beginning_balance",IF(AND(ISNUMBER(O4500),O4500&lt;0,ABS(L4500-(Q4500-IF(ISNUMBER(N4500),N4500,0)+IF(ISNUMBER(P4500),P4500,0)))&lt;=Summary!$B$2),"Negative realized loss not applied - check sign",IF(R4500&lt;0,"Principal paid exceeds prior balance",IF(AND(L4500&gt;Q4500,NOT(ISNUMBER(P4500))),"Balance increased but no Deferred_interest reported",IF(L4500&gt;R4500,"Reported balance higher than expected (missing increase/OC build)","Reported balance lower than expected (missing decrease)"))))),""))</f>
        <v/>
      </c>
    </row>
    <row r="4501" customFormat="false" ht="15" hidden="false" customHeight="false" outlineLevel="0" collapsed="false">
      <c r="A4501" s="8"/>
      <c r="B4501" s="8"/>
      <c r="C4501" s="8"/>
      <c r="D4501" s="8"/>
      <c r="E4501" s="8"/>
      <c r="F4501" s="8"/>
      <c r="G4501" s="8"/>
      <c r="H4501" s="8"/>
      <c r="I4501" s="8"/>
      <c r="J4501" s="8"/>
      <c r="K4501" s="9"/>
      <c r="L4501" s="9"/>
      <c r="M4501" s="9"/>
      <c r="N4501" s="9"/>
      <c r="O4501" s="9"/>
      <c r="P4501" s="9"/>
      <c r="Q4501" s="9"/>
      <c r="R4501" s="9" t="str">
        <f aca="false">IF(AND(A4501&lt;&gt;"",ISNUMBER(Q4501),ISNUMBER(L4501)),ROUND(Q4501-IF(ISNUMBER(N4501),N4501,0)-IF(ISNUMBER(O4501),O4501,0)+IF(ISNUMBER(P4501),P4501,0),2),"")</f>
        <v/>
      </c>
      <c r="S4501" s="9" t="str">
        <f aca="false">IF(R4501="","",ROUND(L4501-R4501,2))</f>
        <v/>
      </c>
      <c r="T4501" s="8" t="str">
        <f aca="false">IF(A4501="","",IF(S4501="","BYPASS",IF(ABS(S4501)&lt;=Summary!$B$2,"PASS","FAIL")))</f>
        <v/>
      </c>
      <c r="U4501" s="8" t="str">
        <f aca="false">IF(T4501="BYPASS",IF(NOT(ISNUMBER(Q4501)),"PreV_ETB missing","End_tr_balance missing"),IF(T4501="FAIL",IF(AND(ISNUMBER(K4501),ISNUMBER(L4501),ABS(L4501-(K4501-IF(ISNUMBER(N4501),N4501,0)-IF(ISNUMBER(O4501),O4501,0)+IF(ISNUMBER(P4501),P4501,0)))&lt;=Summary!$B$2),"Passes using beginning_balance - PreV_ETB differs from beginning_balance",IF(AND(ISNUMBER(O4501),O4501&lt;0,ABS(L4501-(Q4501-IF(ISNUMBER(N4501),N4501,0)+IF(ISNUMBER(P4501),P4501,0)))&lt;=Summary!$B$2),"Negative realized loss not applied - check sign",IF(R4501&lt;0,"Principal paid exceeds prior balance",IF(AND(L4501&gt;Q4501,NOT(ISNUMBER(P4501))),"Balance increased but no Deferred_interest reported",IF(L4501&gt;R4501,"Reported balance higher than expected (missing increase/OC build)","Reported balance lower than expected (missing decrease)"))))),""))</f>
        <v/>
      </c>
    </row>
    <row r="4502" customFormat="false" ht="15" hidden="false" customHeight="false" outlineLevel="0" collapsed="false">
      <c r="A4502" s="8"/>
      <c r="B4502" s="8"/>
      <c r="C4502" s="8"/>
      <c r="D4502" s="8"/>
      <c r="E4502" s="8"/>
      <c r="F4502" s="8"/>
      <c r="G4502" s="8"/>
      <c r="H4502" s="8"/>
      <c r="I4502" s="8"/>
      <c r="J4502" s="8"/>
      <c r="K4502" s="9"/>
      <c r="L4502" s="9"/>
      <c r="M4502" s="9"/>
      <c r="N4502" s="9"/>
      <c r="O4502" s="9"/>
      <c r="P4502" s="9"/>
      <c r="Q4502" s="9"/>
      <c r="R4502" s="9" t="str">
        <f aca="false">IF(AND(A4502&lt;&gt;"",ISNUMBER(Q4502),ISNUMBER(L4502)),ROUND(Q4502-IF(ISNUMBER(N4502),N4502,0)-IF(ISNUMBER(O4502),O4502,0)+IF(ISNUMBER(P4502),P4502,0),2),"")</f>
        <v/>
      </c>
      <c r="S4502" s="9" t="str">
        <f aca="false">IF(R4502="","",ROUND(L4502-R4502,2))</f>
        <v/>
      </c>
      <c r="T4502" s="8" t="str">
        <f aca="false">IF(A4502="","",IF(S4502="","BYPASS",IF(ABS(S4502)&lt;=Summary!$B$2,"PASS","FAIL")))</f>
        <v/>
      </c>
      <c r="U4502" s="8" t="str">
        <f aca="false">IF(T4502="BYPASS",IF(NOT(ISNUMBER(Q4502)),"PreV_ETB missing","End_tr_balance missing"),IF(T4502="FAIL",IF(AND(ISNUMBER(K4502),ISNUMBER(L4502),ABS(L4502-(K4502-IF(ISNUMBER(N4502),N4502,0)-IF(ISNUMBER(O4502),O4502,0)+IF(ISNUMBER(P4502),P4502,0)))&lt;=Summary!$B$2),"Passes using beginning_balance - PreV_ETB differs from beginning_balance",IF(AND(ISNUMBER(O4502),O4502&lt;0,ABS(L4502-(Q4502-IF(ISNUMBER(N4502),N4502,0)+IF(ISNUMBER(P4502),P4502,0)))&lt;=Summary!$B$2),"Negative realized loss not applied - check sign",IF(R4502&lt;0,"Principal paid exceeds prior balance",IF(AND(L4502&gt;Q4502,NOT(ISNUMBER(P4502))),"Balance increased but no Deferred_interest reported",IF(L4502&gt;R4502,"Reported balance higher than expected (missing increase/OC build)","Reported balance lower than expected (missing decrease)"))))),""))</f>
        <v/>
      </c>
    </row>
    <row r="4503" customFormat="false" ht="15" hidden="false" customHeight="false" outlineLevel="0" collapsed="false">
      <c r="A4503" s="8"/>
      <c r="B4503" s="8"/>
      <c r="C4503" s="8"/>
      <c r="D4503" s="8"/>
      <c r="E4503" s="8"/>
      <c r="F4503" s="8"/>
      <c r="G4503" s="8"/>
      <c r="H4503" s="8"/>
      <c r="I4503" s="8"/>
      <c r="J4503" s="8"/>
      <c r="K4503" s="9"/>
      <c r="L4503" s="9"/>
      <c r="M4503" s="9"/>
      <c r="N4503" s="9"/>
      <c r="O4503" s="9"/>
      <c r="P4503" s="9"/>
      <c r="Q4503" s="9"/>
      <c r="R4503" s="9" t="str">
        <f aca="false">IF(AND(A4503&lt;&gt;"",ISNUMBER(Q4503),ISNUMBER(L4503)),ROUND(Q4503-IF(ISNUMBER(N4503),N4503,0)-IF(ISNUMBER(O4503),O4503,0)+IF(ISNUMBER(P4503),P4503,0),2),"")</f>
        <v/>
      </c>
      <c r="S4503" s="9" t="str">
        <f aca="false">IF(R4503="","",ROUND(L4503-R4503,2))</f>
        <v/>
      </c>
      <c r="T4503" s="8" t="str">
        <f aca="false">IF(A4503="","",IF(S4503="","BYPASS",IF(ABS(S4503)&lt;=Summary!$B$2,"PASS","FAIL")))</f>
        <v/>
      </c>
      <c r="U4503" s="8" t="str">
        <f aca="false">IF(T4503="BYPASS",IF(NOT(ISNUMBER(Q4503)),"PreV_ETB missing","End_tr_balance missing"),IF(T4503="FAIL",IF(AND(ISNUMBER(K4503),ISNUMBER(L4503),ABS(L4503-(K4503-IF(ISNUMBER(N4503),N4503,0)-IF(ISNUMBER(O4503),O4503,0)+IF(ISNUMBER(P4503),P4503,0)))&lt;=Summary!$B$2),"Passes using beginning_balance - PreV_ETB differs from beginning_balance",IF(AND(ISNUMBER(O4503),O4503&lt;0,ABS(L4503-(Q4503-IF(ISNUMBER(N4503),N4503,0)+IF(ISNUMBER(P4503),P4503,0)))&lt;=Summary!$B$2),"Negative realized loss not applied - check sign",IF(R4503&lt;0,"Principal paid exceeds prior balance",IF(AND(L4503&gt;Q4503,NOT(ISNUMBER(P4503))),"Balance increased but no Deferred_interest reported",IF(L4503&gt;R4503,"Reported balance higher than expected (missing increase/OC build)","Reported balance lower than expected (missing decrease)"))))),""))</f>
        <v/>
      </c>
    </row>
    <row r="4504" customFormat="false" ht="15" hidden="false" customHeight="false" outlineLevel="0" collapsed="false">
      <c r="A4504" s="8"/>
      <c r="B4504" s="8"/>
      <c r="C4504" s="8"/>
      <c r="D4504" s="8"/>
      <c r="E4504" s="8"/>
      <c r="F4504" s="8"/>
      <c r="G4504" s="8"/>
      <c r="H4504" s="8"/>
      <c r="I4504" s="8"/>
      <c r="J4504" s="8"/>
      <c r="K4504" s="9"/>
      <c r="L4504" s="9"/>
      <c r="M4504" s="9"/>
      <c r="N4504" s="9"/>
      <c r="O4504" s="9"/>
      <c r="P4504" s="9"/>
      <c r="Q4504" s="9"/>
      <c r="R4504" s="9" t="str">
        <f aca="false">IF(AND(A4504&lt;&gt;"",ISNUMBER(Q4504),ISNUMBER(L4504)),ROUND(Q4504-IF(ISNUMBER(N4504),N4504,0)-IF(ISNUMBER(O4504),O4504,0)+IF(ISNUMBER(P4504),P4504,0),2),"")</f>
        <v/>
      </c>
      <c r="S4504" s="9" t="str">
        <f aca="false">IF(R4504="","",ROUND(L4504-R4504,2))</f>
        <v/>
      </c>
      <c r="T4504" s="8" t="str">
        <f aca="false">IF(A4504="","",IF(S4504="","BYPASS",IF(ABS(S4504)&lt;=Summary!$B$2,"PASS","FAIL")))</f>
        <v/>
      </c>
      <c r="U4504" s="8" t="str">
        <f aca="false">IF(T4504="BYPASS",IF(NOT(ISNUMBER(Q4504)),"PreV_ETB missing","End_tr_balance missing"),IF(T4504="FAIL",IF(AND(ISNUMBER(K4504),ISNUMBER(L4504),ABS(L4504-(K4504-IF(ISNUMBER(N4504),N4504,0)-IF(ISNUMBER(O4504),O4504,0)+IF(ISNUMBER(P4504),P4504,0)))&lt;=Summary!$B$2),"Passes using beginning_balance - PreV_ETB differs from beginning_balance",IF(AND(ISNUMBER(O4504),O4504&lt;0,ABS(L4504-(Q4504-IF(ISNUMBER(N4504),N4504,0)+IF(ISNUMBER(P4504),P4504,0)))&lt;=Summary!$B$2),"Negative realized loss not applied - check sign",IF(R4504&lt;0,"Principal paid exceeds prior balance",IF(AND(L4504&gt;Q4504,NOT(ISNUMBER(P4504))),"Balance increased but no Deferred_interest reported",IF(L4504&gt;R4504,"Reported balance higher than expected (missing increase/OC build)","Reported balance lower than expected (missing decrease)"))))),""))</f>
        <v/>
      </c>
    </row>
    <row r="4505" customFormat="false" ht="15" hidden="false" customHeight="false" outlineLevel="0" collapsed="false">
      <c r="A4505" s="8"/>
      <c r="B4505" s="8"/>
      <c r="C4505" s="8"/>
      <c r="D4505" s="8"/>
      <c r="E4505" s="8"/>
      <c r="F4505" s="8"/>
      <c r="G4505" s="8"/>
      <c r="H4505" s="8"/>
      <c r="I4505" s="8"/>
      <c r="J4505" s="8"/>
      <c r="K4505" s="9"/>
      <c r="L4505" s="9"/>
      <c r="M4505" s="9"/>
      <c r="N4505" s="9"/>
      <c r="O4505" s="9"/>
      <c r="P4505" s="9"/>
      <c r="Q4505" s="9"/>
      <c r="R4505" s="9" t="str">
        <f aca="false">IF(AND(A4505&lt;&gt;"",ISNUMBER(Q4505),ISNUMBER(L4505)),ROUND(Q4505-IF(ISNUMBER(N4505),N4505,0)-IF(ISNUMBER(O4505),O4505,0)+IF(ISNUMBER(P4505),P4505,0),2),"")</f>
        <v/>
      </c>
      <c r="S4505" s="9" t="str">
        <f aca="false">IF(R4505="","",ROUND(L4505-R4505,2))</f>
        <v/>
      </c>
      <c r="T4505" s="8" t="str">
        <f aca="false">IF(A4505="","",IF(S4505="","BYPASS",IF(ABS(S4505)&lt;=Summary!$B$2,"PASS","FAIL")))</f>
        <v/>
      </c>
      <c r="U4505" s="8" t="str">
        <f aca="false">IF(T4505="BYPASS",IF(NOT(ISNUMBER(Q4505)),"PreV_ETB missing","End_tr_balance missing"),IF(T4505="FAIL",IF(AND(ISNUMBER(K4505),ISNUMBER(L4505),ABS(L4505-(K4505-IF(ISNUMBER(N4505),N4505,0)-IF(ISNUMBER(O4505),O4505,0)+IF(ISNUMBER(P4505),P4505,0)))&lt;=Summary!$B$2),"Passes using beginning_balance - PreV_ETB differs from beginning_balance",IF(AND(ISNUMBER(O4505),O4505&lt;0,ABS(L4505-(Q4505-IF(ISNUMBER(N4505),N4505,0)+IF(ISNUMBER(P4505),P4505,0)))&lt;=Summary!$B$2),"Negative realized loss not applied - check sign",IF(R4505&lt;0,"Principal paid exceeds prior balance",IF(AND(L4505&gt;Q4505,NOT(ISNUMBER(P4505))),"Balance increased but no Deferred_interest reported",IF(L4505&gt;R4505,"Reported balance higher than expected (missing increase/OC build)","Reported balance lower than expected (missing decrease)"))))),""))</f>
        <v/>
      </c>
    </row>
    <row r="4506" customFormat="false" ht="15" hidden="false" customHeight="false" outlineLevel="0" collapsed="false">
      <c r="A4506" s="8"/>
      <c r="B4506" s="8"/>
      <c r="C4506" s="8"/>
      <c r="D4506" s="8"/>
      <c r="E4506" s="8"/>
      <c r="F4506" s="8"/>
      <c r="G4506" s="8"/>
      <c r="H4506" s="8"/>
      <c r="I4506" s="8"/>
      <c r="J4506" s="8"/>
      <c r="K4506" s="9"/>
      <c r="L4506" s="9"/>
      <c r="M4506" s="9"/>
      <c r="N4506" s="9"/>
      <c r="O4506" s="9"/>
      <c r="P4506" s="9"/>
      <c r="Q4506" s="9"/>
      <c r="R4506" s="9" t="str">
        <f aca="false">IF(AND(A4506&lt;&gt;"",ISNUMBER(Q4506),ISNUMBER(L4506)),ROUND(Q4506-IF(ISNUMBER(N4506),N4506,0)-IF(ISNUMBER(O4506),O4506,0)+IF(ISNUMBER(P4506),P4506,0),2),"")</f>
        <v/>
      </c>
      <c r="S4506" s="9" t="str">
        <f aca="false">IF(R4506="","",ROUND(L4506-R4506,2))</f>
        <v/>
      </c>
      <c r="T4506" s="8" t="str">
        <f aca="false">IF(A4506="","",IF(S4506="","BYPASS",IF(ABS(S4506)&lt;=Summary!$B$2,"PASS","FAIL")))</f>
        <v/>
      </c>
      <c r="U4506" s="8" t="str">
        <f aca="false">IF(T4506="BYPASS",IF(NOT(ISNUMBER(Q4506)),"PreV_ETB missing","End_tr_balance missing"),IF(T4506="FAIL",IF(AND(ISNUMBER(K4506),ISNUMBER(L4506),ABS(L4506-(K4506-IF(ISNUMBER(N4506),N4506,0)-IF(ISNUMBER(O4506),O4506,0)+IF(ISNUMBER(P4506),P4506,0)))&lt;=Summary!$B$2),"Passes using beginning_balance - PreV_ETB differs from beginning_balance",IF(AND(ISNUMBER(O4506),O4506&lt;0,ABS(L4506-(Q4506-IF(ISNUMBER(N4506),N4506,0)+IF(ISNUMBER(P4506),P4506,0)))&lt;=Summary!$B$2),"Negative realized loss not applied - check sign",IF(R4506&lt;0,"Principal paid exceeds prior balance",IF(AND(L4506&gt;Q4506,NOT(ISNUMBER(P4506))),"Balance increased but no Deferred_interest reported",IF(L4506&gt;R4506,"Reported balance higher than expected (missing increase/OC build)","Reported balance lower than expected (missing decrease)"))))),""))</f>
        <v/>
      </c>
    </row>
    <row r="4507" customFormat="false" ht="15" hidden="false" customHeight="false" outlineLevel="0" collapsed="false">
      <c r="A4507" s="8"/>
      <c r="B4507" s="8"/>
      <c r="C4507" s="8"/>
      <c r="D4507" s="8"/>
      <c r="E4507" s="8"/>
      <c r="F4507" s="8"/>
      <c r="G4507" s="8"/>
      <c r="H4507" s="8"/>
      <c r="I4507" s="8"/>
      <c r="J4507" s="8"/>
      <c r="K4507" s="9"/>
      <c r="L4507" s="9"/>
      <c r="M4507" s="9"/>
      <c r="N4507" s="9"/>
      <c r="O4507" s="9"/>
      <c r="P4507" s="9"/>
      <c r="Q4507" s="9"/>
      <c r="R4507" s="9" t="str">
        <f aca="false">IF(AND(A4507&lt;&gt;"",ISNUMBER(Q4507),ISNUMBER(L4507)),ROUND(Q4507-IF(ISNUMBER(N4507),N4507,0)-IF(ISNUMBER(O4507),O4507,0)+IF(ISNUMBER(P4507),P4507,0),2),"")</f>
        <v/>
      </c>
      <c r="S4507" s="9" t="str">
        <f aca="false">IF(R4507="","",ROUND(L4507-R4507,2))</f>
        <v/>
      </c>
      <c r="T4507" s="8" t="str">
        <f aca="false">IF(A4507="","",IF(S4507="","BYPASS",IF(ABS(S4507)&lt;=Summary!$B$2,"PASS","FAIL")))</f>
        <v/>
      </c>
      <c r="U4507" s="8" t="str">
        <f aca="false">IF(T4507="BYPASS",IF(NOT(ISNUMBER(Q4507)),"PreV_ETB missing","End_tr_balance missing"),IF(T4507="FAIL",IF(AND(ISNUMBER(K4507),ISNUMBER(L4507),ABS(L4507-(K4507-IF(ISNUMBER(N4507),N4507,0)-IF(ISNUMBER(O4507),O4507,0)+IF(ISNUMBER(P4507),P4507,0)))&lt;=Summary!$B$2),"Passes using beginning_balance - PreV_ETB differs from beginning_balance",IF(AND(ISNUMBER(O4507),O4507&lt;0,ABS(L4507-(Q4507-IF(ISNUMBER(N4507),N4507,0)+IF(ISNUMBER(P4507),P4507,0)))&lt;=Summary!$B$2),"Negative realized loss not applied - check sign",IF(R4507&lt;0,"Principal paid exceeds prior balance",IF(AND(L4507&gt;Q4507,NOT(ISNUMBER(P4507))),"Balance increased but no Deferred_interest reported",IF(L4507&gt;R4507,"Reported balance higher than expected (missing increase/OC build)","Reported balance lower than expected (missing decrease)"))))),""))</f>
        <v/>
      </c>
    </row>
    <row r="4508" customFormat="false" ht="15" hidden="false" customHeight="false" outlineLevel="0" collapsed="false">
      <c r="A4508" s="8"/>
      <c r="B4508" s="8"/>
      <c r="C4508" s="8"/>
      <c r="D4508" s="8"/>
      <c r="E4508" s="8"/>
      <c r="F4508" s="8"/>
      <c r="G4508" s="8"/>
      <c r="H4508" s="8"/>
      <c r="I4508" s="8"/>
      <c r="J4508" s="8"/>
      <c r="K4508" s="9"/>
      <c r="L4508" s="9"/>
      <c r="M4508" s="9"/>
      <c r="N4508" s="9"/>
      <c r="O4508" s="9"/>
      <c r="P4508" s="9"/>
      <c r="Q4508" s="9"/>
      <c r="R4508" s="9" t="str">
        <f aca="false">IF(AND(A4508&lt;&gt;"",ISNUMBER(Q4508),ISNUMBER(L4508)),ROUND(Q4508-IF(ISNUMBER(N4508),N4508,0)-IF(ISNUMBER(O4508),O4508,0)+IF(ISNUMBER(P4508),P4508,0),2),"")</f>
        <v/>
      </c>
      <c r="S4508" s="9" t="str">
        <f aca="false">IF(R4508="","",ROUND(L4508-R4508,2))</f>
        <v/>
      </c>
      <c r="T4508" s="8" t="str">
        <f aca="false">IF(A4508="","",IF(S4508="","BYPASS",IF(ABS(S4508)&lt;=Summary!$B$2,"PASS","FAIL")))</f>
        <v/>
      </c>
      <c r="U4508" s="8" t="str">
        <f aca="false">IF(T4508="BYPASS",IF(NOT(ISNUMBER(Q4508)),"PreV_ETB missing","End_tr_balance missing"),IF(T4508="FAIL",IF(AND(ISNUMBER(K4508),ISNUMBER(L4508),ABS(L4508-(K4508-IF(ISNUMBER(N4508),N4508,0)-IF(ISNUMBER(O4508),O4508,0)+IF(ISNUMBER(P4508),P4508,0)))&lt;=Summary!$B$2),"Passes using beginning_balance - PreV_ETB differs from beginning_balance",IF(AND(ISNUMBER(O4508),O4508&lt;0,ABS(L4508-(Q4508-IF(ISNUMBER(N4508),N4508,0)+IF(ISNUMBER(P4508),P4508,0)))&lt;=Summary!$B$2),"Negative realized loss not applied - check sign",IF(R4508&lt;0,"Principal paid exceeds prior balance",IF(AND(L4508&gt;Q4508,NOT(ISNUMBER(P4508))),"Balance increased but no Deferred_interest reported",IF(L4508&gt;R4508,"Reported balance higher than expected (missing increase/OC build)","Reported balance lower than expected (missing decrease)"))))),""))</f>
        <v/>
      </c>
    </row>
    <row r="4509" customFormat="false" ht="15" hidden="false" customHeight="false" outlineLevel="0" collapsed="false">
      <c r="A4509" s="8"/>
      <c r="B4509" s="8"/>
      <c r="C4509" s="8"/>
      <c r="D4509" s="8"/>
      <c r="E4509" s="8"/>
      <c r="F4509" s="8"/>
      <c r="G4509" s="8"/>
      <c r="H4509" s="8"/>
      <c r="I4509" s="8"/>
      <c r="J4509" s="8"/>
      <c r="K4509" s="9"/>
      <c r="L4509" s="9"/>
      <c r="M4509" s="9"/>
      <c r="N4509" s="9"/>
      <c r="O4509" s="9"/>
      <c r="P4509" s="9"/>
      <c r="Q4509" s="9"/>
      <c r="R4509" s="9" t="str">
        <f aca="false">IF(AND(A4509&lt;&gt;"",ISNUMBER(Q4509),ISNUMBER(L4509)),ROUND(Q4509-IF(ISNUMBER(N4509),N4509,0)-IF(ISNUMBER(O4509),O4509,0)+IF(ISNUMBER(P4509),P4509,0),2),"")</f>
        <v/>
      </c>
      <c r="S4509" s="9" t="str">
        <f aca="false">IF(R4509="","",ROUND(L4509-R4509,2))</f>
        <v/>
      </c>
      <c r="T4509" s="8" t="str">
        <f aca="false">IF(A4509="","",IF(S4509="","BYPASS",IF(ABS(S4509)&lt;=Summary!$B$2,"PASS","FAIL")))</f>
        <v/>
      </c>
      <c r="U4509" s="8" t="str">
        <f aca="false">IF(T4509="BYPASS",IF(NOT(ISNUMBER(Q4509)),"PreV_ETB missing","End_tr_balance missing"),IF(T4509="FAIL",IF(AND(ISNUMBER(K4509),ISNUMBER(L4509),ABS(L4509-(K4509-IF(ISNUMBER(N4509),N4509,0)-IF(ISNUMBER(O4509),O4509,0)+IF(ISNUMBER(P4509),P4509,0)))&lt;=Summary!$B$2),"Passes using beginning_balance - PreV_ETB differs from beginning_balance",IF(AND(ISNUMBER(O4509),O4509&lt;0,ABS(L4509-(Q4509-IF(ISNUMBER(N4509),N4509,0)+IF(ISNUMBER(P4509),P4509,0)))&lt;=Summary!$B$2),"Negative realized loss not applied - check sign",IF(R4509&lt;0,"Principal paid exceeds prior balance",IF(AND(L4509&gt;Q4509,NOT(ISNUMBER(P4509))),"Balance increased but no Deferred_interest reported",IF(L4509&gt;R4509,"Reported balance higher than expected (missing increase/OC build)","Reported balance lower than expected (missing decrease)"))))),""))</f>
        <v/>
      </c>
    </row>
    <row r="4510" customFormat="false" ht="15" hidden="false" customHeight="false" outlineLevel="0" collapsed="false">
      <c r="A4510" s="8"/>
      <c r="B4510" s="8"/>
      <c r="C4510" s="8"/>
      <c r="D4510" s="8"/>
      <c r="E4510" s="8"/>
      <c r="F4510" s="8"/>
      <c r="G4510" s="8"/>
      <c r="H4510" s="8"/>
      <c r="I4510" s="8"/>
      <c r="J4510" s="8"/>
      <c r="K4510" s="9"/>
      <c r="L4510" s="9"/>
      <c r="M4510" s="9"/>
      <c r="N4510" s="9"/>
      <c r="O4510" s="9"/>
      <c r="P4510" s="9"/>
      <c r="Q4510" s="9"/>
      <c r="R4510" s="9" t="str">
        <f aca="false">IF(AND(A4510&lt;&gt;"",ISNUMBER(Q4510),ISNUMBER(L4510)),ROUND(Q4510-IF(ISNUMBER(N4510),N4510,0)-IF(ISNUMBER(O4510),O4510,0)+IF(ISNUMBER(P4510),P4510,0),2),"")</f>
        <v/>
      </c>
      <c r="S4510" s="9" t="str">
        <f aca="false">IF(R4510="","",ROUND(L4510-R4510,2))</f>
        <v/>
      </c>
      <c r="T4510" s="8" t="str">
        <f aca="false">IF(A4510="","",IF(S4510="","BYPASS",IF(ABS(S4510)&lt;=Summary!$B$2,"PASS","FAIL")))</f>
        <v/>
      </c>
      <c r="U4510" s="8" t="str">
        <f aca="false">IF(T4510="BYPASS",IF(NOT(ISNUMBER(Q4510)),"PreV_ETB missing","End_tr_balance missing"),IF(T4510="FAIL",IF(AND(ISNUMBER(K4510),ISNUMBER(L4510),ABS(L4510-(K4510-IF(ISNUMBER(N4510),N4510,0)-IF(ISNUMBER(O4510),O4510,0)+IF(ISNUMBER(P4510),P4510,0)))&lt;=Summary!$B$2),"Passes using beginning_balance - PreV_ETB differs from beginning_balance",IF(AND(ISNUMBER(O4510),O4510&lt;0,ABS(L4510-(Q4510-IF(ISNUMBER(N4510),N4510,0)+IF(ISNUMBER(P4510),P4510,0)))&lt;=Summary!$B$2),"Negative realized loss not applied - check sign",IF(R4510&lt;0,"Principal paid exceeds prior balance",IF(AND(L4510&gt;Q4510,NOT(ISNUMBER(P4510))),"Balance increased but no Deferred_interest reported",IF(L4510&gt;R4510,"Reported balance higher than expected (missing increase/OC build)","Reported balance lower than expected (missing decrease)"))))),""))</f>
        <v/>
      </c>
    </row>
    <row r="4511" customFormat="false" ht="15" hidden="false" customHeight="false" outlineLevel="0" collapsed="false">
      <c r="A4511" s="8"/>
      <c r="B4511" s="8"/>
      <c r="C4511" s="8"/>
      <c r="D4511" s="8"/>
      <c r="E4511" s="8"/>
      <c r="F4511" s="8"/>
      <c r="G4511" s="8"/>
      <c r="H4511" s="8"/>
      <c r="I4511" s="8"/>
      <c r="J4511" s="8"/>
      <c r="K4511" s="9"/>
      <c r="L4511" s="9"/>
      <c r="M4511" s="9"/>
      <c r="N4511" s="9"/>
      <c r="O4511" s="9"/>
      <c r="P4511" s="9"/>
      <c r="Q4511" s="9"/>
      <c r="R4511" s="9" t="str">
        <f aca="false">IF(AND(A4511&lt;&gt;"",ISNUMBER(Q4511),ISNUMBER(L4511)),ROUND(Q4511-IF(ISNUMBER(N4511),N4511,0)-IF(ISNUMBER(O4511),O4511,0)+IF(ISNUMBER(P4511),P4511,0),2),"")</f>
        <v/>
      </c>
      <c r="S4511" s="9" t="str">
        <f aca="false">IF(R4511="","",ROUND(L4511-R4511,2))</f>
        <v/>
      </c>
      <c r="T4511" s="8" t="str">
        <f aca="false">IF(A4511="","",IF(S4511="","BYPASS",IF(ABS(S4511)&lt;=Summary!$B$2,"PASS","FAIL")))</f>
        <v/>
      </c>
      <c r="U4511" s="8" t="str">
        <f aca="false">IF(T4511="BYPASS",IF(NOT(ISNUMBER(Q4511)),"PreV_ETB missing","End_tr_balance missing"),IF(T4511="FAIL",IF(AND(ISNUMBER(K4511),ISNUMBER(L4511),ABS(L4511-(K4511-IF(ISNUMBER(N4511),N4511,0)-IF(ISNUMBER(O4511),O4511,0)+IF(ISNUMBER(P4511),P4511,0)))&lt;=Summary!$B$2),"Passes using beginning_balance - PreV_ETB differs from beginning_balance",IF(AND(ISNUMBER(O4511),O4511&lt;0,ABS(L4511-(Q4511-IF(ISNUMBER(N4511),N4511,0)+IF(ISNUMBER(P4511),P4511,0)))&lt;=Summary!$B$2),"Negative realized loss not applied - check sign",IF(R4511&lt;0,"Principal paid exceeds prior balance",IF(AND(L4511&gt;Q4511,NOT(ISNUMBER(P4511))),"Balance increased but no Deferred_interest reported",IF(L4511&gt;R4511,"Reported balance higher than expected (missing increase/OC build)","Reported balance lower than expected (missing decrease)"))))),""))</f>
        <v/>
      </c>
    </row>
    <row r="4512" customFormat="false" ht="15" hidden="false" customHeight="false" outlineLevel="0" collapsed="false">
      <c r="A4512" s="8"/>
      <c r="B4512" s="8"/>
      <c r="C4512" s="8"/>
      <c r="D4512" s="8"/>
      <c r="E4512" s="8"/>
      <c r="F4512" s="8"/>
      <c r="G4512" s="8"/>
      <c r="H4512" s="8"/>
      <c r="I4512" s="8"/>
      <c r="J4512" s="8"/>
      <c r="K4512" s="9"/>
      <c r="L4512" s="9"/>
      <c r="M4512" s="9"/>
      <c r="N4512" s="9"/>
      <c r="O4512" s="9"/>
      <c r="P4512" s="9"/>
      <c r="Q4512" s="9"/>
      <c r="R4512" s="9" t="str">
        <f aca="false">IF(AND(A4512&lt;&gt;"",ISNUMBER(Q4512),ISNUMBER(L4512)),ROUND(Q4512-IF(ISNUMBER(N4512),N4512,0)-IF(ISNUMBER(O4512),O4512,0)+IF(ISNUMBER(P4512),P4512,0),2),"")</f>
        <v/>
      </c>
      <c r="S4512" s="9" t="str">
        <f aca="false">IF(R4512="","",ROUND(L4512-R4512,2))</f>
        <v/>
      </c>
      <c r="T4512" s="8" t="str">
        <f aca="false">IF(A4512="","",IF(S4512="","BYPASS",IF(ABS(S4512)&lt;=Summary!$B$2,"PASS","FAIL")))</f>
        <v/>
      </c>
      <c r="U4512" s="8" t="str">
        <f aca="false">IF(T4512="BYPASS",IF(NOT(ISNUMBER(Q4512)),"PreV_ETB missing","End_tr_balance missing"),IF(T4512="FAIL",IF(AND(ISNUMBER(K4512),ISNUMBER(L4512),ABS(L4512-(K4512-IF(ISNUMBER(N4512),N4512,0)-IF(ISNUMBER(O4512),O4512,0)+IF(ISNUMBER(P4512),P4512,0)))&lt;=Summary!$B$2),"Passes using beginning_balance - PreV_ETB differs from beginning_balance",IF(AND(ISNUMBER(O4512),O4512&lt;0,ABS(L4512-(Q4512-IF(ISNUMBER(N4512),N4512,0)+IF(ISNUMBER(P4512),P4512,0)))&lt;=Summary!$B$2),"Negative realized loss not applied - check sign",IF(R4512&lt;0,"Principal paid exceeds prior balance",IF(AND(L4512&gt;Q4512,NOT(ISNUMBER(P4512))),"Balance increased but no Deferred_interest reported",IF(L4512&gt;R4512,"Reported balance higher than expected (missing increase/OC build)","Reported balance lower than expected (missing decrease)"))))),""))</f>
        <v/>
      </c>
    </row>
    <row r="4513" customFormat="false" ht="15" hidden="false" customHeight="false" outlineLevel="0" collapsed="false">
      <c r="A4513" s="8"/>
      <c r="B4513" s="8"/>
      <c r="C4513" s="8"/>
      <c r="D4513" s="8"/>
      <c r="E4513" s="8"/>
      <c r="F4513" s="8"/>
      <c r="G4513" s="8"/>
      <c r="H4513" s="8"/>
      <c r="I4513" s="8"/>
      <c r="J4513" s="8"/>
      <c r="K4513" s="9"/>
      <c r="L4513" s="9"/>
      <c r="M4513" s="9"/>
      <c r="N4513" s="9"/>
      <c r="O4513" s="9"/>
      <c r="P4513" s="9"/>
      <c r="Q4513" s="9"/>
      <c r="R4513" s="9" t="str">
        <f aca="false">IF(AND(A4513&lt;&gt;"",ISNUMBER(Q4513),ISNUMBER(L4513)),ROUND(Q4513-IF(ISNUMBER(N4513),N4513,0)-IF(ISNUMBER(O4513),O4513,0)+IF(ISNUMBER(P4513),P4513,0),2),"")</f>
        <v/>
      </c>
      <c r="S4513" s="9" t="str">
        <f aca="false">IF(R4513="","",ROUND(L4513-R4513,2))</f>
        <v/>
      </c>
      <c r="T4513" s="8" t="str">
        <f aca="false">IF(A4513="","",IF(S4513="","BYPASS",IF(ABS(S4513)&lt;=Summary!$B$2,"PASS","FAIL")))</f>
        <v/>
      </c>
      <c r="U4513" s="8" t="str">
        <f aca="false">IF(T4513="BYPASS",IF(NOT(ISNUMBER(Q4513)),"PreV_ETB missing","End_tr_balance missing"),IF(T4513="FAIL",IF(AND(ISNUMBER(K4513),ISNUMBER(L4513),ABS(L4513-(K4513-IF(ISNUMBER(N4513),N4513,0)-IF(ISNUMBER(O4513),O4513,0)+IF(ISNUMBER(P4513),P4513,0)))&lt;=Summary!$B$2),"Passes using beginning_balance - PreV_ETB differs from beginning_balance",IF(AND(ISNUMBER(O4513),O4513&lt;0,ABS(L4513-(Q4513-IF(ISNUMBER(N4513),N4513,0)+IF(ISNUMBER(P4513),P4513,0)))&lt;=Summary!$B$2),"Negative realized loss not applied - check sign",IF(R4513&lt;0,"Principal paid exceeds prior balance",IF(AND(L4513&gt;Q4513,NOT(ISNUMBER(P4513))),"Balance increased but no Deferred_interest reported",IF(L4513&gt;R4513,"Reported balance higher than expected (missing increase/OC build)","Reported balance lower than expected (missing decrease)"))))),""))</f>
        <v/>
      </c>
    </row>
    <row r="4514" customFormat="false" ht="15" hidden="false" customHeight="false" outlineLevel="0" collapsed="false">
      <c r="A4514" s="8"/>
      <c r="B4514" s="8"/>
      <c r="C4514" s="8"/>
      <c r="D4514" s="8"/>
      <c r="E4514" s="8"/>
      <c r="F4514" s="8"/>
      <c r="G4514" s="8"/>
      <c r="H4514" s="8"/>
      <c r="I4514" s="8"/>
      <c r="J4514" s="8"/>
      <c r="K4514" s="9"/>
      <c r="L4514" s="9"/>
      <c r="M4514" s="9"/>
      <c r="N4514" s="9"/>
      <c r="O4514" s="9"/>
      <c r="P4514" s="9"/>
      <c r="Q4514" s="9"/>
      <c r="R4514" s="9" t="str">
        <f aca="false">IF(AND(A4514&lt;&gt;"",ISNUMBER(Q4514),ISNUMBER(L4514)),ROUND(Q4514-IF(ISNUMBER(N4514),N4514,0)-IF(ISNUMBER(O4514),O4514,0)+IF(ISNUMBER(P4514),P4514,0),2),"")</f>
        <v/>
      </c>
      <c r="S4514" s="9" t="str">
        <f aca="false">IF(R4514="","",ROUND(L4514-R4514,2))</f>
        <v/>
      </c>
      <c r="T4514" s="8" t="str">
        <f aca="false">IF(A4514="","",IF(S4514="","BYPASS",IF(ABS(S4514)&lt;=Summary!$B$2,"PASS","FAIL")))</f>
        <v/>
      </c>
      <c r="U4514" s="8" t="str">
        <f aca="false">IF(T4514="BYPASS",IF(NOT(ISNUMBER(Q4514)),"PreV_ETB missing","End_tr_balance missing"),IF(T4514="FAIL",IF(AND(ISNUMBER(K4514),ISNUMBER(L4514),ABS(L4514-(K4514-IF(ISNUMBER(N4514),N4514,0)-IF(ISNUMBER(O4514),O4514,0)+IF(ISNUMBER(P4514),P4514,0)))&lt;=Summary!$B$2),"Passes using beginning_balance - PreV_ETB differs from beginning_balance",IF(AND(ISNUMBER(O4514),O4514&lt;0,ABS(L4514-(Q4514-IF(ISNUMBER(N4514),N4514,0)+IF(ISNUMBER(P4514),P4514,0)))&lt;=Summary!$B$2),"Negative realized loss not applied - check sign",IF(R4514&lt;0,"Principal paid exceeds prior balance",IF(AND(L4514&gt;Q4514,NOT(ISNUMBER(P4514))),"Balance increased but no Deferred_interest reported",IF(L4514&gt;R4514,"Reported balance higher than expected (missing increase/OC build)","Reported balance lower than expected (missing decrease)"))))),""))</f>
        <v/>
      </c>
    </row>
    <row r="4515" customFormat="false" ht="15" hidden="false" customHeight="false" outlineLevel="0" collapsed="false">
      <c r="A4515" s="8"/>
      <c r="B4515" s="8"/>
      <c r="C4515" s="8"/>
      <c r="D4515" s="8"/>
      <c r="E4515" s="8"/>
      <c r="F4515" s="8"/>
      <c r="G4515" s="8"/>
      <c r="H4515" s="8"/>
      <c r="I4515" s="8"/>
      <c r="J4515" s="8"/>
      <c r="K4515" s="9"/>
      <c r="L4515" s="9"/>
      <c r="M4515" s="9"/>
      <c r="N4515" s="9"/>
      <c r="O4515" s="9"/>
      <c r="P4515" s="9"/>
      <c r="Q4515" s="9"/>
      <c r="R4515" s="9" t="str">
        <f aca="false">IF(AND(A4515&lt;&gt;"",ISNUMBER(Q4515),ISNUMBER(L4515)),ROUND(Q4515-IF(ISNUMBER(N4515),N4515,0)-IF(ISNUMBER(O4515),O4515,0)+IF(ISNUMBER(P4515),P4515,0),2),"")</f>
        <v/>
      </c>
      <c r="S4515" s="9" t="str">
        <f aca="false">IF(R4515="","",ROUND(L4515-R4515,2))</f>
        <v/>
      </c>
      <c r="T4515" s="8" t="str">
        <f aca="false">IF(A4515="","",IF(S4515="","BYPASS",IF(ABS(S4515)&lt;=Summary!$B$2,"PASS","FAIL")))</f>
        <v/>
      </c>
      <c r="U4515" s="8" t="str">
        <f aca="false">IF(T4515="BYPASS",IF(NOT(ISNUMBER(Q4515)),"PreV_ETB missing","End_tr_balance missing"),IF(T4515="FAIL",IF(AND(ISNUMBER(K4515),ISNUMBER(L4515),ABS(L4515-(K4515-IF(ISNUMBER(N4515),N4515,0)-IF(ISNUMBER(O4515),O4515,0)+IF(ISNUMBER(P4515),P4515,0)))&lt;=Summary!$B$2),"Passes using beginning_balance - PreV_ETB differs from beginning_balance",IF(AND(ISNUMBER(O4515),O4515&lt;0,ABS(L4515-(Q4515-IF(ISNUMBER(N4515),N4515,0)+IF(ISNUMBER(P4515),P4515,0)))&lt;=Summary!$B$2),"Negative realized loss not applied - check sign",IF(R4515&lt;0,"Principal paid exceeds prior balance",IF(AND(L4515&gt;Q4515,NOT(ISNUMBER(P4515))),"Balance increased but no Deferred_interest reported",IF(L4515&gt;R4515,"Reported balance higher than expected (missing increase/OC build)","Reported balance lower than expected (missing decrease)"))))),""))</f>
        <v/>
      </c>
    </row>
    <row r="4516" customFormat="false" ht="15" hidden="false" customHeight="false" outlineLevel="0" collapsed="false">
      <c r="A4516" s="8"/>
      <c r="B4516" s="8"/>
      <c r="C4516" s="8"/>
      <c r="D4516" s="8"/>
      <c r="E4516" s="8"/>
      <c r="F4516" s="8"/>
      <c r="G4516" s="8"/>
      <c r="H4516" s="8"/>
      <c r="I4516" s="8"/>
      <c r="J4516" s="8"/>
      <c r="K4516" s="9"/>
      <c r="L4516" s="9"/>
      <c r="M4516" s="9"/>
      <c r="N4516" s="9"/>
      <c r="O4516" s="9"/>
      <c r="P4516" s="9"/>
      <c r="Q4516" s="9"/>
      <c r="R4516" s="9" t="str">
        <f aca="false">IF(AND(A4516&lt;&gt;"",ISNUMBER(Q4516),ISNUMBER(L4516)),ROUND(Q4516-IF(ISNUMBER(N4516),N4516,0)-IF(ISNUMBER(O4516),O4516,0)+IF(ISNUMBER(P4516),P4516,0),2),"")</f>
        <v/>
      </c>
      <c r="S4516" s="9" t="str">
        <f aca="false">IF(R4516="","",ROUND(L4516-R4516,2))</f>
        <v/>
      </c>
      <c r="T4516" s="8" t="str">
        <f aca="false">IF(A4516="","",IF(S4516="","BYPASS",IF(ABS(S4516)&lt;=Summary!$B$2,"PASS","FAIL")))</f>
        <v/>
      </c>
      <c r="U4516" s="8" t="str">
        <f aca="false">IF(T4516="BYPASS",IF(NOT(ISNUMBER(Q4516)),"PreV_ETB missing","End_tr_balance missing"),IF(T4516="FAIL",IF(AND(ISNUMBER(K4516),ISNUMBER(L4516),ABS(L4516-(K4516-IF(ISNUMBER(N4516),N4516,0)-IF(ISNUMBER(O4516),O4516,0)+IF(ISNUMBER(P4516),P4516,0)))&lt;=Summary!$B$2),"Passes using beginning_balance - PreV_ETB differs from beginning_balance",IF(AND(ISNUMBER(O4516),O4516&lt;0,ABS(L4516-(Q4516-IF(ISNUMBER(N4516),N4516,0)+IF(ISNUMBER(P4516),P4516,0)))&lt;=Summary!$B$2),"Negative realized loss not applied - check sign",IF(R4516&lt;0,"Principal paid exceeds prior balance",IF(AND(L4516&gt;Q4516,NOT(ISNUMBER(P4516))),"Balance increased but no Deferred_interest reported",IF(L4516&gt;R4516,"Reported balance higher than expected (missing increase/OC build)","Reported balance lower than expected (missing decrease)"))))),""))</f>
        <v/>
      </c>
    </row>
    <row r="4517" customFormat="false" ht="15" hidden="false" customHeight="false" outlineLevel="0" collapsed="false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9"/>
      <c r="L4517" s="9"/>
      <c r="M4517" s="9"/>
      <c r="N4517" s="9"/>
      <c r="O4517" s="9"/>
      <c r="P4517" s="9"/>
      <c r="Q4517" s="9"/>
      <c r="R4517" s="9" t="str">
        <f aca="false">IF(AND(A4517&lt;&gt;"",ISNUMBER(Q4517),ISNUMBER(L4517)),ROUND(Q4517-IF(ISNUMBER(N4517),N4517,0)-IF(ISNUMBER(O4517),O4517,0)+IF(ISNUMBER(P4517),P4517,0),2),"")</f>
        <v/>
      </c>
      <c r="S4517" s="9" t="str">
        <f aca="false">IF(R4517="","",ROUND(L4517-R4517,2))</f>
        <v/>
      </c>
      <c r="T4517" s="8" t="str">
        <f aca="false">IF(A4517="","",IF(S4517="","BYPASS",IF(ABS(S4517)&lt;=Summary!$B$2,"PASS","FAIL")))</f>
        <v/>
      </c>
      <c r="U4517" s="8" t="str">
        <f aca="false">IF(T4517="BYPASS",IF(NOT(ISNUMBER(Q4517)),"PreV_ETB missing","End_tr_balance missing"),IF(T4517="FAIL",IF(AND(ISNUMBER(K4517),ISNUMBER(L4517),ABS(L4517-(K4517-IF(ISNUMBER(N4517),N4517,0)-IF(ISNUMBER(O4517),O4517,0)+IF(ISNUMBER(P4517),P4517,0)))&lt;=Summary!$B$2),"Passes using beginning_balance - PreV_ETB differs from beginning_balance",IF(AND(ISNUMBER(O4517),O4517&lt;0,ABS(L4517-(Q4517-IF(ISNUMBER(N4517),N4517,0)+IF(ISNUMBER(P4517),P4517,0)))&lt;=Summary!$B$2),"Negative realized loss not applied - check sign",IF(R4517&lt;0,"Principal paid exceeds prior balance",IF(AND(L4517&gt;Q4517,NOT(ISNUMBER(P4517))),"Balance increased but no Deferred_interest reported",IF(L4517&gt;R4517,"Reported balance higher than expected (missing increase/OC build)","Reported balance lower than expected (missing decrease)"))))),""))</f>
        <v/>
      </c>
    </row>
    <row r="4518" customFormat="false" ht="15" hidden="false" customHeight="false" outlineLevel="0" collapsed="false">
      <c r="A4518" s="8"/>
      <c r="B4518" s="8"/>
      <c r="C4518" s="8"/>
      <c r="D4518" s="8"/>
      <c r="E4518" s="8"/>
      <c r="F4518" s="8"/>
      <c r="G4518" s="8"/>
      <c r="H4518" s="8"/>
      <c r="I4518" s="8"/>
      <c r="J4518" s="8"/>
      <c r="K4518" s="9"/>
      <c r="L4518" s="9"/>
      <c r="M4518" s="9"/>
      <c r="N4518" s="9"/>
      <c r="O4518" s="9"/>
      <c r="P4518" s="9"/>
      <c r="Q4518" s="9"/>
      <c r="R4518" s="9" t="str">
        <f aca="false">IF(AND(A4518&lt;&gt;"",ISNUMBER(Q4518),ISNUMBER(L4518)),ROUND(Q4518-IF(ISNUMBER(N4518),N4518,0)-IF(ISNUMBER(O4518),O4518,0)+IF(ISNUMBER(P4518),P4518,0),2),"")</f>
        <v/>
      </c>
      <c r="S4518" s="9" t="str">
        <f aca="false">IF(R4518="","",ROUND(L4518-R4518,2))</f>
        <v/>
      </c>
      <c r="T4518" s="8" t="str">
        <f aca="false">IF(A4518="","",IF(S4518="","BYPASS",IF(ABS(S4518)&lt;=Summary!$B$2,"PASS","FAIL")))</f>
        <v/>
      </c>
      <c r="U4518" s="8" t="str">
        <f aca="false">IF(T4518="BYPASS",IF(NOT(ISNUMBER(Q4518)),"PreV_ETB missing","End_tr_balance missing"),IF(T4518="FAIL",IF(AND(ISNUMBER(K4518),ISNUMBER(L4518),ABS(L4518-(K4518-IF(ISNUMBER(N4518),N4518,0)-IF(ISNUMBER(O4518),O4518,0)+IF(ISNUMBER(P4518),P4518,0)))&lt;=Summary!$B$2),"Passes using beginning_balance - PreV_ETB differs from beginning_balance",IF(AND(ISNUMBER(O4518),O4518&lt;0,ABS(L4518-(Q4518-IF(ISNUMBER(N4518),N4518,0)+IF(ISNUMBER(P4518),P4518,0)))&lt;=Summary!$B$2),"Negative realized loss not applied - check sign",IF(R4518&lt;0,"Principal paid exceeds prior balance",IF(AND(L4518&gt;Q4518,NOT(ISNUMBER(P4518))),"Balance increased but no Deferred_interest reported",IF(L4518&gt;R4518,"Reported balance higher than expected (missing increase/OC build)","Reported balance lower than expected (missing decrease)"))))),""))</f>
        <v/>
      </c>
    </row>
    <row r="4519" customFormat="false" ht="15" hidden="false" customHeight="false" outlineLevel="0" collapsed="false">
      <c r="A4519" s="8"/>
      <c r="B4519" s="8"/>
      <c r="C4519" s="8"/>
      <c r="D4519" s="8"/>
      <c r="E4519" s="8"/>
      <c r="F4519" s="8"/>
      <c r="G4519" s="8"/>
      <c r="H4519" s="8"/>
      <c r="I4519" s="8"/>
      <c r="J4519" s="8"/>
      <c r="K4519" s="9"/>
      <c r="L4519" s="9"/>
      <c r="M4519" s="9"/>
      <c r="N4519" s="9"/>
      <c r="O4519" s="9"/>
      <c r="P4519" s="9"/>
      <c r="Q4519" s="9"/>
      <c r="R4519" s="9" t="str">
        <f aca="false">IF(AND(A4519&lt;&gt;"",ISNUMBER(Q4519),ISNUMBER(L4519)),ROUND(Q4519-IF(ISNUMBER(N4519),N4519,0)-IF(ISNUMBER(O4519),O4519,0)+IF(ISNUMBER(P4519),P4519,0),2),"")</f>
        <v/>
      </c>
      <c r="S4519" s="9" t="str">
        <f aca="false">IF(R4519="","",ROUND(L4519-R4519,2))</f>
        <v/>
      </c>
      <c r="T4519" s="8" t="str">
        <f aca="false">IF(A4519="","",IF(S4519="","BYPASS",IF(ABS(S4519)&lt;=Summary!$B$2,"PASS","FAIL")))</f>
        <v/>
      </c>
      <c r="U4519" s="8" t="str">
        <f aca="false">IF(T4519="BYPASS",IF(NOT(ISNUMBER(Q4519)),"PreV_ETB missing","End_tr_balance missing"),IF(T4519="FAIL",IF(AND(ISNUMBER(K4519),ISNUMBER(L4519),ABS(L4519-(K4519-IF(ISNUMBER(N4519),N4519,0)-IF(ISNUMBER(O4519),O4519,0)+IF(ISNUMBER(P4519),P4519,0)))&lt;=Summary!$B$2),"Passes using beginning_balance - PreV_ETB differs from beginning_balance",IF(AND(ISNUMBER(O4519),O4519&lt;0,ABS(L4519-(Q4519-IF(ISNUMBER(N4519),N4519,0)+IF(ISNUMBER(P4519),P4519,0)))&lt;=Summary!$B$2),"Negative realized loss not applied - check sign",IF(R4519&lt;0,"Principal paid exceeds prior balance",IF(AND(L4519&gt;Q4519,NOT(ISNUMBER(P4519))),"Balance increased but no Deferred_interest reported",IF(L4519&gt;R4519,"Reported balance higher than expected (missing increase/OC build)","Reported balance lower than expected (missing decrease)"))))),""))</f>
        <v/>
      </c>
    </row>
    <row r="4520" customFormat="false" ht="15" hidden="false" customHeight="false" outlineLevel="0" collapsed="false">
      <c r="A4520" s="8"/>
      <c r="B4520" s="8"/>
      <c r="C4520" s="8"/>
      <c r="D4520" s="8"/>
      <c r="E4520" s="8"/>
      <c r="F4520" s="8"/>
      <c r="G4520" s="8"/>
      <c r="H4520" s="8"/>
      <c r="I4520" s="8"/>
      <c r="J4520" s="8"/>
      <c r="K4520" s="9"/>
      <c r="L4520" s="9"/>
      <c r="M4520" s="9"/>
      <c r="N4520" s="9"/>
      <c r="O4520" s="9"/>
      <c r="P4520" s="9"/>
      <c r="Q4520" s="9"/>
      <c r="R4520" s="9" t="str">
        <f aca="false">IF(AND(A4520&lt;&gt;"",ISNUMBER(Q4520),ISNUMBER(L4520)),ROUND(Q4520-IF(ISNUMBER(N4520),N4520,0)-IF(ISNUMBER(O4520),O4520,0)+IF(ISNUMBER(P4520),P4520,0),2),"")</f>
        <v/>
      </c>
      <c r="S4520" s="9" t="str">
        <f aca="false">IF(R4520="","",ROUND(L4520-R4520,2))</f>
        <v/>
      </c>
      <c r="T4520" s="8" t="str">
        <f aca="false">IF(A4520="","",IF(S4520="","BYPASS",IF(ABS(S4520)&lt;=Summary!$B$2,"PASS","FAIL")))</f>
        <v/>
      </c>
      <c r="U4520" s="8" t="str">
        <f aca="false">IF(T4520="BYPASS",IF(NOT(ISNUMBER(Q4520)),"PreV_ETB missing","End_tr_balance missing"),IF(T4520="FAIL",IF(AND(ISNUMBER(K4520),ISNUMBER(L4520),ABS(L4520-(K4520-IF(ISNUMBER(N4520),N4520,0)-IF(ISNUMBER(O4520),O4520,0)+IF(ISNUMBER(P4520),P4520,0)))&lt;=Summary!$B$2),"Passes using beginning_balance - PreV_ETB differs from beginning_balance",IF(AND(ISNUMBER(O4520),O4520&lt;0,ABS(L4520-(Q4520-IF(ISNUMBER(N4520),N4520,0)+IF(ISNUMBER(P4520),P4520,0)))&lt;=Summary!$B$2),"Negative realized loss not applied - check sign",IF(R4520&lt;0,"Principal paid exceeds prior balance",IF(AND(L4520&gt;Q4520,NOT(ISNUMBER(P4520))),"Balance increased but no Deferred_interest reported",IF(L4520&gt;R4520,"Reported balance higher than expected (missing increase/OC build)","Reported balance lower than expected (missing decrease)"))))),""))</f>
        <v/>
      </c>
    </row>
    <row r="4521" customFormat="false" ht="15" hidden="false" customHeight="false" outlineLevel="0" collapsed="false">
      <c r="A4521" s="8"/>
      <c r="B4521" s="8"/>
      <c r="C4521" s="8"/>
      <c r="D4521" s="8"/>
      <c r="E4521" s="8"/>
      <c r="F4521" s="8"/>
      <c r="G4521" s="8"/>
      <c r="H4521" s="8"/>
      <c r="I4521" s="8"/>
      <c r="J4521" s="8"/>
      <c r="K4521" s="9"/>
      <c r="L4521" s="9"/>
      <c r="M4521" s="9"/>
      <c r="N4521" s="9"/>
      <c r="O4521" s="9"/>
      <c r="P4521" s="9"/>
      <c r="Q4521" s="9"/>
      <c r="R4521" s="9" t="str">
        <f aca="false">IF(AND(A4521&lt;&gt;"",ISNUMBER(Q4521),ISNUMBER(L4521)),ROUND(Q4521-IF(ISNUMBER(N4521),N4521,0)-IF(ISNUMBER(O4521),O4521,0)+IF(ISNUMBER(P4521),P4521,0),2),"")</f>
        <v/>
      </c>
      <c r="S4521" s="9" t="str">
        <f aca="false">IF(R4521="","",ROUND(L4521-R4521,2))</f>
        <v/>
      </c>
      <c r="T4521" s="8" t="str">
        <f aca="false">IF(A4521="","",IF(S4521="","BYPASS",IF(ABS(S4521)&lt;=Summary!$B$2,"PASS","FAIL")))</f>
        <v/>
      </c>
      <c r="U4521" s="8" t="str">
        <f aca="false">IF(T4521="BYPASS",IF(NOT(ISNUMBER(Q4521)),"PreV_ETB missing","End_tr_balance missing"),IF(T4521="FAIL",IF(AND(ISNUMBER(K4521),ISNUMBER(L4521),ABS(L4521-(K4521-IF(ISNUMBER(N4521),N4521,0)-IF(ISNUMBER(O4521),O4521,0)+IF(ISNUMBER(P4521),P4521,0)))&lt;=Summary!$B$2),"Passes using beginning_balance - PreV_ETB differs from beginning_balance",IF(AND(ISNUMBER(O4521),O4521&lt;0,ABS(L4521-(Q4521-IF(ISNUMBER(N4521),N4521,0)+IF(ISNUMBER(P4521),P4521,0)))&lt;=Summary!$B$2),"Negative realized loss not applied - check sign",IF(R4521&lt;0,"Principal paid exceeds prior balance",IF(AND(L4521&gt;Q4521,NOT(ISNUMBER(P4521))),"Balance increased but no Deferred_interest reported",IF(L4521&gt;R4521,"Reported balance higher than expected (missing increase/OC build)","Reported balance lower than expected (missing decrease)"))))),""))</f>
        <v/>
      </c>
    </row>
    <row r="4522" customFormat="false" ht="15" hidden="false" customHeight="false" outlineLevel="0" collapsed="false">
      <c r="A4522" s="8"/>
      <c r="B4522" s="8"/>
      <c r="C4522" s="8"/>
      <c r="D4522" s="8"/>
      <c r="E4522" s="8"/>
      <c r="F4522" s="8"/>
      <c r="G4522" s="8"/>
      <c r="H4522" s="8"/>
      <c r="I4522" s="8"/>
      <c r="J4522" s="8"/>
      <c r="K4522" s="9"/>
      <c r="L4522" s="9"/>
      <c r="M4522" s="9"/>
      <c r="N4522" s="9"/>
      <c r="O4522" s="9"/>
      <c r="P4522" s="9"/>
      <c r="Q4522" s="9"/>
      <c r="R4522" s="9" t="str">
        <f aca="false">IF(AND(A4522&lt;&gt;"",ISNUMBER(Q4522),ISNUMBER(L4522)),ROUND(Q4522-IF(ISNUMBER(N4522),N4522,0)-IF(ISNUMBER(O4522),O4522,0)+IF(ISNUMBER(P4522),P4522,0),2),"")</f>
        <v/>
      </c>
      <c r="S4522" s="9" t="str">
        <f aca="false">IF(R4522="","",ROUND(L4522-R4522,2))</f>
        <v/>
      </c>
      <c r="T4522" s="8" t="str">
        <f aca="false">IF(A4522="","",IF(S4522="","BYPASS",IF(ABS(S4522)&lt;=Summary!$B$2,"PASS","FAIL")))</f>
        <v/>
      </c>
      <c r="U4522" s="8" t="str">
        <f aca="false">IF(T4522="BYPASS",IF(NOT(ISNUMBER(Q4522)),"PreV_ETB missing","End_tr_balance missing"),IF(T4522="FAIL",IF(AND(ISNUMBER(K4522),ISNUMBER(L4522),ABS(L4522-(K4522-IF(ISNUMBER(N4522),N4522,0)-IF(ISNUMBER(O4522),O4522,0)+IF(ISNUMBER(P4522),P4522,0)))&lt;=Summary!$B$2),"Passes using beginning_balance - PreV_ETB differs from beginning_balance",IF(AND(ISNUMBER(O4522),O4522&lt;0,ABS(L4522-(Q4522-IF(ISNUMBER(N4522),N4522,0)+IF(ISNUMBER(P4522),P4522,0)))&lt;=Summary!$B$2),"Negative realized loss not applied - check sign",IF(R4522&lt;0,"Principal paid exceeds prior balance",IF(AND(L4522&gt;Q4522,NOT(ISNUMBER(P4522))),"Balance increased but no Deferred_interest reported",IF(L4522&gt;R4522,"Reported balance higher than expected (missing increase/OC build)","Reported balance lower than expected (missing decrease)"))))),""))</f>
        <v/>
      </c>
    </row>
    <row r="4523" customFormat="false" ht="15" hidden="false" customHeight="false" outlineLevel="0" collapsed="false">
      <c r="A4523" s="8"/>
      <c r="B4523" s="8"/>
      <c r="C4523" s="8"/>
      <c r="D4523" s="8"/>
      <c r="E4523" s="8"/>
      <c r="F4523" s="8"/>
      <c r="G4523" s="8"/>
      <c r="H4523" s="8"/>
      <c r="I4523" s="8"/>
      <c r="J4523" s="8"/>
      <c r="K4523" s="9"/>
      <c r="L4523" s="9"/>
      <c r="M4523" s="9"/>
      <c r="N4523" s="9"/>
      <c r="O4523" s="9"/>
      <c r="P4523" s="9"/>
      <c r="Q4523" s="9"/>
      <c r="R4523" s="9" t="str">
        <f aca="false">IF(AND(A4523&lt;&gt;"",ISNUMBER(Q4523),ISNUMBER(L4523)),ROUND(Q4523-IF(ISNUMBER(N4523),N4523,0)-IF(ISNUMBER(O4523),O4523,0)+IF(ISNUMBER(P4523),P4523,0),2),"")</f>
        <v/>
      </c>
      <c r="S4523" s="9" t="str">
        <f aca="false">IF(R4523="","",ROUND(L4523-R4523,2))</f>
        <v/>
      </c>
      <c r="T4523" s="8" t="str">
        <f aca="false">IF(A4523="","",IF(S4523="","BYPASS",IF(ABS(S4523)&lt;=Summary!$B$2,"PASS","FAIL")))</f>
        <v/>
      </c>
      <c r="U4523" s="8" t="str">
        <f aca="false">IF(T4523="BYPASS",IF(NOT(ISNUMBER(Q4523)),"PreV_ETB missing","End_tr_balance missing"),IF(T4523="FAIL",IF(AND(ISNUMBER(K4523),ISNUMBER(L4523),ABS(L4523-(K4523-IF(ISNUMBER(N4523),N4523,0)-IF(ISNUMBER(O4523),O4523,0)+IF(ISNUMBER(P4523),P4523,0)))&lt;=Summary!$B$2),"Passes using beginning_balance - PreV_ETB differs from beginning_balance",IF(AND(ISNUMBER(O4523),O4523&lt;0,ABS(L4523-(Q4523-IF(ISNUMBER(N4523),N4523,0)+IF(ISNUMBER(P4523),P4523,0)))&lt;=Summary!$B$2),"Negative realized loss not applied - check sign",IF(R4523&lt;0,"Principal paid exceeds prior balance",IF(AND(L4523&gt;Q4523,NOT(ISNUMBER(P4523))),"Balance increased but no Deferred_interest reported",IF(L4523&gt;R4523,"Reported balance higher than expected (missing increase/OC build)","Reported balance lower than expected (missing decrease)"))))),""))</f>
        <v/>
      </c>
    </row>
    <row r="4524" customFormat="false" ht="15" hidden="false" customHeight="false" outlineLevel="0" collapsed="false">
      <c r="A4524" s="8"/>
      <c r="B4524" s="8"/>
      <c r="C4524" s="8"/>
      <c r="D4524" s="8"/>
      <c r="E4524" s="8"/>
      <c r="F4524" s="8"/>
      <c r="G4524" s="8"/>
      <c r="H4524" s="8"/>
      <c r="I4524" s="8"/>
      <c r="J4524" s="8"/>
      <c r="K4524" s="9"/>
      <c r="L4524" s="9"/>
      <c r="M4524" s="9"/>
      <c r="N4524" s="9"/>
      <c r="O4524" s="9"/>
      <c r="P4524" s="9"/>
      <c r="Q4524" s="9"/>
      <c r="R4524" s="9" t="str">
        <f aca="false">IF(AND(A4524&lt;&gt;"",ISNUMBER(Q4524),ISNUMBER(L4524)),ROUND(Q4524-IF(ISNUMBER(N4524),N4524,0)-IF(ISNUMBER(O4524),O4524,0)+IF(ISNUMBER(P4524),P4524,0),2),"")</f>
        <v/>
      </c>
      <c r="S4524" s="9" t="str">
        <f aca="false">IF(R4524="","",ROUND(L4524-R4524,2))</f>
        <v/>
      </c>
      <c r="T4524" s="8" t="str">
        <f aca="false">IF(A4524="","",IF(S4524="","BYPASS",IF(ABS(S4524)&lt;=Summary!$B$2,"PASS","FAIL")))</f>
        <v/>
      </c>
      <c r="U4524" s="8" t="str">
        <f aca="false">IF(T4524="BYPASS",IF(NOT(ISNUMBER(Q4524)),"PreV_ETB missing","End_tr_balance missing"),IF(T4524="FAIL",IF(AND(ISNUMBER(K4524),ISNUMBER(L4524),ABS(L4524-(K4524-IF(ISNUMBER(N4524),N4524,0)-IF(ISNUMBER(O4524),O4524,0)+IF(ISNUMBER(P4524),P4524,0)))&lt;=Summary!$B$2),"Passes using beginning_balance - PreV_ETB differs from beginning_balance",IF(AND(ISNUMBER(O4524),O4524&lt;0,ABS(L4524-(Q4524-IF(ISNUMBER(N4524),N4524,0)+IF(ISNUMBER(P4524),P4524,0)))&lt;=Summary!$B$2),"Negative realized loss not applied - check sign",IF(R4524&lt;0,"Principal paid exceeds prior balance",IF(AND(L4524&gt;Q4524,NOT(ISNUMBER(P4524))),"Balance increased but no Deferred_interest reported",IF(L4524&gt;R4524,"Reported balance higher than expected (missing increase/OC build)","Reported balance lower than expected (missing decrease)"))))),""))</f>
        <v/>
      </c>
    </row>
    <row r="4525" customFormat="false" ht="15" hidden="false" customHeight="false" outlineLevel="0" collapsed="false">
      <c r="A4525" s="8"/>
      <c r="B4525" s="8"/>
      <c r="C4525" s="8"/>
      <c r="D4525" s="8"/>
      <c r="E4525" s="8"/>
      <c r="F4525" s="8"/>
      <c r="G4525" s="8"/>
      <c r="H4525" s="8"/>
      <c r="I4525" s="8"/>
      <c r="J4525" s="8"/>
      <c r="K4525" s="9"/>
      <c r="L4525" s="9"/>
      <c r="M4525" s="9"/>
      <c r="N4525" s="9"/>
      <c r="O4525" s="9"/>
      <c r="P4525" s="9"/>
      <c r="Q4525" s="9"/>
      <c r="R4525" s="9" t="str">
        <f aca="false">IF(AND(A4525&lt;&gt;"",ISNUMBER(Q4525),ISNUMBER(L4525)),ROUND(Q4525-IF(ISNUMBER(N4525),N4525,0)-IF(ISNUMBER(O4525),O4525,0)+IF(ISNUMBER(P4525),P4525,0),2),"")</f>
        <v/>
      </c>
      <c r="S4525" s="9" t="str">
        <f aca="false">IF(R4525="","",ROUND(L4525-R4525,2))</f>
        <v/>
      </c>
      <c r="T4525" s="8" t="str">
        <f aca="false">IF(A4525="","",IF(S4525="","BYPASS",IF(ABS(S4525)&lt;=Summary!$B$2,"PASS","FAIL")))</f>
        <v/>
      </c>
      <c r="U4525" s="8" t="str">
        <f aca="false">IF(T4525="BYPASS",IF(NOT(ISNUMBER(Q4525)),"PreV_ETB missing","End_tr_balance missing"),IF(T4525="FAIL",IF(AND(ISNUMBER(K4525),ISNUMBER(L4525),ABS(L4525-(K4525-IF(ISNUMBER(N4525),N4525,0)-IF(ISNUMBER(O4525),O4525,0)+IF(ISNUMBER(P4525),P4525,0)))&lt;=Summary!$B$2),"Passes using beginning_balance - PreV_ETB differs from beginning_balance",IF(AND(ISNUMBER(O4525),O4525&lt;0,ABS(L4525-(Q4525-IF(ISNUMBER(N4525),N4525,0)+IF(ISNUMBER(P4525),P4525,0)))&lt;=Summary!$B$2),"Negative realized loss not applied - check sign",IF(R4525&lt;0,"Principal paid exceeds prior balance",IF(AND(L4525&gt;Q4525,NOT(ISNUMBER(P4525))),"Balance increased but no Deferred_interest reported",IF(L4525&gt;R4525,"Reported balance higher than expected (missing increase/OC build)","Reported balance lower than expected (missing decrease)"))))),""))</f>
        <v/>
      </c>
    </row>
    <row r="4526" customFormat="false" ht="15" hidden="false" customHeight="false" outlineLevel="0" collapsed="false">
      <c r="A4526" s="8"/>
      <c r="B4526" s="8"/>
      <c r="C4526" s="8"/>
      <c r="D4526" s="8"/>
      <c r="E4526" s="8"/>
      <c r="F4526" s="8"/>
      <c r="G4526" s="8"/>
      <c r="H4526" s="8"/>
      <c r="I4526" s="8"/>
      <c r="J4526" s="8"/>
      <c r="K4526" s="9"/>
      <c r="L4526" s="9"/>
      <c r="M4526" s="9"/>
      <c r="N4526" s="9"/>
      <c r="O4526" s="9"/>
      <c r="P4526" s="9"/>
      <c r="Q4526" s="9"/>
      <c r="R4526" s="9" t="str">
        <f aca="false">IF(AND(A4526&lt;&gt;"",ISNUMBER(Q4526),ISNUMBER(L4526)),ROUND(Q4526-IF(ISNUMBER(N4526),N4526,0)-IF(ISNUMBER(O4526),O4526,0)+IF(ISNUMBER(P4526),P4526,0),2),"")</f>
        <v/>
      </c>
      <c r="S4526" s="9" t="str">
        <f aca="false">IF(R4526="","",ROUND(L4526-R4526,2))</f>
        <v/>
      </c>
      <c r="T4526" s="8" t="str">
        <f aca="false">IF(A4526="","",IF(S4526="","BYPASS",IF(ABS(S4526)&lt;=Summary!$B$2,"PASS","FAIL")))</f>
        <v/>
      </c>
      <c r="U4526" s="8" t="str">
        <f aca="false">IF(T4526="BYPASS",IF(NOT(ISNUMBER(Q4526)),"PreV_ETB missing","End_tr_balance missing"),IF(T4526="FAIL",IF(AND(ISNUMBER(K4526),ISNUMBER(L4526),ABS(L4526-(K4526-IF(ISNUMBER(N4526),N4526,0)-IF(ISNUMBER(O4526),O4526,0)+IF(ISNUMBER(P4526),P4526,0)))&lt;=Summary!$B$2),"Passes using beginning_balance - PreV_ETB differs from beginning_balance",IF(AND(ISNUMBER(O4526),O4526&lt;0,ABS(L4526-(Q4526-IF(ISNUMBER(N4526),N4526,0)+IF(ISNUMBER(P4526),P4526,0)))&lt;=Summary!$B$2),"Negative realized loss not applied - check sign",IF(R4526&lt;0,"Principal paid exceeds prior balance",IF(AND(L4526&gt;Q4526,NOT(ISNUMBER(P4526))),"Balance increased but no Deferred_interest reported",IF(L4526&gt;R4526,"Reported balance higher than expected (missing increase/OC build)","Reported balance lower than expected (missing decrease)"))))),""))</f>
        <v/>
      </c>
    </row>
    <row r="4527" customFormat="false" ht="15" hidden="false" customHeight="false" outlineLevel="0" collapsed="false">
      <c r="A4527" s="8"/>
      <c r="B4527" s="8"/>
      <c r="C4527" s="8"/>
      <c r="D4527" s="8"/>
      <c r="E4527" s="8"/>
      <c r="F4527" s="8"/>
      <c r="G4527" s="8"/>
      <c r="H4527" s="8"/>
      <c r="I4527" s="8"/>
      <c r="J4527" s="8"/>
      <c r="K4527" s="9"/>
      <c r="L4527" s="9"/>
      <c r="M4527" s="9"/>
      <c r="N4527" s="9"/>
      <c r="O4527" s="9"/>
      <c r="P4527" s="9"/>
      <c r="Q4527" s="9"/>
      <c r="R4527" s="9" t="str">
        <f aca="false">IF(AND(A4527&lt;&gt;"",ISNUMBER(Q4527),ISNUMBER(L4527)),ROUND(Q4527-IF(ISNUMBER(N4527),N4527,0)-IF(ISNUMBER(O4527),O4527,0)+IF(ISNUMBER(P4527),P4527,0),2),"")</f>
        <v/>
      </c>
      <c r="S4527" s="9" t="str">
        <f aca="false">IF(R4527="","",ROUND(L4527-R4527,2))</f>
        <v/>
      </c>
      <c r="T4527" s="8" t="str">
        <f aca="false">IF(A4527="","",IF(S4527="","BYPASS",IF(ABS(S4527)&lt;=Summary!$B$2,"PASS","FAIL")))</f>
        <v/>
      </c>
      <c r="U4527" s="8" t="str">
        <f aca="false">IF(T4527="BYPASS",IF(NOT(ISNUMBER(Q4527)),"PreV_ETB missing","End_tr_balance missing"),IF(T4527="FAIL",IF(AND(ISNUMBER(K4527),ISNUMBER(L4527),ABS(L4527-(K4527-IF(ISNUMBER(N4527),N4527,0)-IF(ISNUMBER(O4527),O4527,0)+IF(ISNUMBER(P4527),P4527,0)))&lt;=Summary!$B$2),"Passes using beginning_balance - PreV_ETB differs from beginning_balance",IF(AND(ISNUMBER(O4527),O4527&lt;0,ABS(L4527-(Q4527-IF(ISNUMBER(N4527),N4527,0)+IF(ISNUMBER(P4527),P4527,0)))&lt;=Summary!$B$2),"Negative realized loss not applied - check sign",IF(R4527&lt;0,"Principal paid exceeds prior balance",IF(AND(L4527&gt;Q4527,NOT(ISNUMBER(P4527))),"Balance increased but no Deferred_interest reported",IF(L4527&gt;R4527,"Reported balance higher than expected (missing increase/OC build)","Reported balance lower than expected (missing decrease)"))))),""))</f>
        <v/>
      </c>
    </row>
    <row r="4528" customFormat="false" ht="15" hidden="false" customHeight="false" outlineLevel="0" collapsed="false">
      <c r="A4528" s="8"/>
      <c r="B4528" s="8"/>
      <c r="C4528" s="8"/>
      <c r="D4528" s="8"/>
      <c r="E4528" s="8"/>
      <c r="F4528" s="8"/>
      <c r="G4528" s="8"/>
      <c r="H4528" s="8"/>
      <c r="I4528" s="8"/>
      <c r="J4528" s="8"/>
      <c r="K4528" s="9"/>
      <c r="L4528" s="9"/>
      <c r="M4528" s="9"/>
      <c r="N4528" s="9"/>
      <c r="O4528" s="9"/>
      <c r="P4528" s="9"/>
      <c r="Q4528" s="9"/>
      <c r="R4528" s="9" t="str">
        <f aca="false">IF(AND(A4528&lt;&gt;"",ISNUMBER(Q4528),ISNUMBER(L4528)),ROUND(Q4528-IF(ISNUMBER(N4528),N4528,0)-IF(ISNUMBER(O4528),O4528,0)+IF(ISNUMBER(P4528),P4528,0),2),"")</f>
        <v/>
      </c>
      <c r="S4528" s="9" t="str">
        <f aca="false">IF(R4528="","",ROUND(L4528-R4528,2))</f>
        <v/>
      </c>
      <c r="T4528" s="8" t="str">
        <f aca="false">IF(A4528="","",IF(S4528="","BYPASS",IF(ABS(S4528)&lt;=Summary!$B$2,"PASS","FAIL")))</f>
        <v/>
      </c>
      <c r="U4528" s="8" t="str">
        <f aca="false">IF(T4528="BYPASS",IF(NOT(ISNUMBER(Q4528)),"PreV_ETB missing","End_tr_balance missing"),IF(T4528="FAIL",IF(AND(ISNUMBER(K4528),ISNUMBER(L4528),ABS(L4528-(K4528-IF(ISNUMBER(N4528),N4528,0)-IF(ISNUMBER(O4528),O4528,0)+IF(ISNUMBER(P4528),P4528,0)))&lt;=Summary!$B$2),"Passes using beginning_balance - PreV_ETB differs from beginning_balance",IF(AND(ISNUMBER(O4528),O4528&lt;0,ABS(L4528-(Q4528-IF(ISNUMBER(N4528),N4528,0)+IF(ISNUMBER(P4528),P4528,0)))&lt;=Summary!$B$2),"Negative realized loss not applied - check sign",IF(R4528&lt;0,"Principal paid exceeds prior balance",IF(AND(L4528&gt;Q4528,NOT(ISNUMBER(P4528))),"Balance increased but no Deferred_interest reported",IF(L4528&gt;R4528,"Reported balance higher than expected (missing increase/OC build)","Reported balance lower than expected (missing decrease)"))))),""))</f>
        <v/>
      </c>
    </row>
    <row r="4529" customFormat="false" ht="15" hidden="false" customHeight="false" outlineLevel="0" collapsed="false">
      <c r="A4529" s="8"/>
      <c r="B4529" s="8"/>
      <c r="C4529" s="8"/>
      <c r="D4529" s="8"/>
      <c r="E4529" s="8"/>
      <c r="F4529" s="8"/>
      <c r="G4529" s="8"/>
      <c r="H4529" s="8"/>
      <c r="I4529" s="8"/>
      <c r="J4529" s="8"/>
      <c r="K4529" s="9"/>
      <c r="L4529" s="9"/>
      <c r="M4529" s="9"/>
      <c r="N4529" s="9"/>
      <c r="O4529" s="9"/>
      <c r="P4529" s="9"/>
      <c r="Q4529" s="9"/>
      <c r="R4529" s="9" t="str">
        <f aca="false">IF(AND(A4529&lt;&gt;"",ISNUMBER(Q4529),ISNUMBER(L4529)),ROUND(Q4529-IF(ISNUMBER(N4529),N4529,0)-IF(ISNUMBER(O4529),O4529,0)+IF(ISNUMBER(P4529),P4529,0),2),"")</f>
        <v/>
      </c>
      <c r="S4529" s="9" t="str">
        <f aca="false">IF(R4529="","",ROUND(L4529-R4529,2))</f>
        <v/>
      </c>
      <c r="T4529" s="8" t="str">
        <f aca="false">IF(A4529="","",IF(S4529="","BYPASS",IF(ABS(S4529)&lt;=Summary!$B$2,"PASS","FAIL")))</f>
        <v/>
      </c>
      <c r="U4529" s="8" t="str">
        <f aca="false">IF(T4529="BYPASS",IF(NOT(ISNUMBER(Q4529)),"PreV_ETB missing","End_tr_balance missing"),IF(T4529="FAIL",IF(AND(ISNUMBER(K4529),ISNUMBER(L4529),ABS(L4529-(K4529-IF(ISNUMBER(N4529),N4529,0)-IF(ISNUMBER(O4529),O4529,0)+IF(ISNUMBER(P4529),P4529,0)))&lt;=Summary!$B$2),"Passes using beginning_balance - PreV_ETB differs from beginning_balance",IF(AND(ISNUMBER(O4529),O4529&lt;0,ABS(L4529-(Q4529-IF(ISNUMBER(N4529),N4529,0)+IF(ISNUMBER(P4529),P4529,0)))&lt;=Summary!$B$2),"Negative realized loss not applied - check sign",IF(R4529&lt;0,"Principal paid exceeds prior balance",IF(AND(L4529&gt;Q4529,NOT(ISNUMBER(P4529))),"Balance increased but no Deferred_interest reported",IF(L4529&gt;R4529,"Reported balance higher than expected (missing increase/OC build)","Reported balance lower than expected (missing decrease)"))))),""))</f>
        <v/>
      </c>
    </row>
    <row r="4530" customFormat="false" ht="15" hidden="false" customHeight="false" outlineLevel="0" collapsed="false">
      <c r="A4530" s="8"/>
      <c r="B4530" s="8"/>
      <c r="C4530" s="8"/>
      <c r="D4530" s="8"/>
      <c r="E4530" s="8"/>
      <c r="F4530" s="8"/>
      <c r="G4530" s="8"/>
      <c r="H4530" s="8"/>
      <c r="I4530" s="8"/>
      <c r="J4530" s="8"/>
      <c r="K4530" s="9"/>
      <c r="L4530" s="9"/>
      <c r="M4530" s="9"/>
      <c r="N4530" s="9"/>
      <c r="O4530" s="9"/>
      <c r="P4530" s="9"/>
      <c r="Q4530" s="9"/>
      <c r="R4530" s="9" t="str">
        <f aca="false">IF(AND(A4530&lt;&gt;"",ISNUMBER(Q4530),ISNUMBER(L4530)),ROUND(Q4530-IF(ISNUMBER(N4530),N4530,0)-IF(ISNUMBER(O4530),O4530,0)+IF(ISNUMBER(P4530),P4530,0),2),"")</f>
        <v/>
      </c>
      <c r="S4530" s="9" t="str">
        <f aca="false">IF(R4530="","",ROUND(L4530-R4530,2))</f>
        <v/>
      </c>
      <c r="T4530" s="8" t="str">
        <f aca="false">IF(A4530="","",IF(S4530="","BYPASS",IF(ABS(S4530)&lt;=Summary!$B$2,"PASS","FAIL")))</f>
        <v/>
      </c>
      <c r="U4530" s="8" t="str">
        <f aca="false">IF(T4530="BYPASS",IF(NOT(ISNUMBER(Q4530)),"PreV_ETB missing","End_tr_balance missing"),IF(T4530="FAIL",IF(AND(ISNUMBER(K4530),ISNUMBER(L4530),ABS(L4530-(K4530-IF(ISNUMBER(N4530),N4530,0)-IF(ISNUMBER(O4530),O4530,0)+IF(ISNUMBER(P4530),P4530,0)))&lt;=Summary!$B$2),"Passes using beginning_balance - PreV_ETB differs from beginning_balance",IF(AND(ISNUMBER(O4530),O4530&lt;0,ABS(L4530-(Q4530-IF(ISNUMBER(N4530),N4530,0)+IF(ISNUMBER(P4530),P4530,0)))&lt;=Summary!$B$2),"Negative realized loss not applied - check sign",IF(R4530&lt;0,"Principal paid exceeds prior balance",IF(AND(L4530&gt;Q4530,NOT(ISNUMBER(P4530))),"Balance increased but no Deferred_interest reported",IF(L4530&gt;R4530,"Reported balance higher than expected (missing increase/OC build)","Reported balance lower than expected (missing decrease)"))))),""))</f>
        <v/>
      </c>
    </row>
    <row r="4531" customFormat="false" ht="15" hidden="false" customHeight="false" outlineLevel="0" collapsed="false">
      <c r="A4531" s="8"/>
      <c r="B4531" s="8"/>
      <c r="C4531" s="8"/>
      <c r="D4531" s="8"/>
      <c r="E4531" s="8"/>
      <c r="F4531" s="8"/>
      <c r="G4531" s="8"/>
      <c r="H4531" s="8"/>
      <c r="I4531" s="8"/>
      <c r="J4531" s="8"/>
      <c r="K4531" s="9"/>
      <c r="L4531" s="9"/>
      <c r="M4531" s="9"/>
      <c r="N4531" s="9"/>
      <c r="O4531" s="9"/>
      <c r="P4531" s="9"/>
      <c r="Q4531" s="9"/>
      <c r="R4531" s="9" t="str">
        <f aca="false">IF(AND(A4531&lt;&gt;"",ISNUMBER(Q4531),ISNUMBER(L4531)),ROUND(Q4531-IF(ISNUMBER(N4531),N4531,0)-IF(ISNUMBER(O4531),O4531,0)+IF(ISNUMBER(P4531),P4531,0),2),"")</f>
        <v/>
      </c>
      <c r="S4531" s="9" t="str">
        <f aca="false">IF(R4531="","",ROUND(L4531-R4531,2))</f>
        <v/>
      </c>
      <c r="T4531" s="8" t="str">
        <f aca="false">IF(A4531="","",IF(S4531="","BYPASS",IF(ABS(S4531)&lt;=Summary!$B$2,"PASS","FAIL")))</f>
        <v/>
      </c>
      <c r="U4531" s="8" t="str">
        <f aca="false">IF(T4531="BYPASS",IF(NOT(ISNUMBER(Q4531)),"PreV_ETB missing","End_tr_balance missing"),IF(T4531="FAIL",IF(AND(ISNUMBER(K4531),ISNUMBER(L4531),ABS(L4531-(K4531-IF(ISNUMBER(N4531),N4531,0)-IF(ISNUMBER(O4531),O4531,0)+IF(ISNUMBER(P4531),P4531,0)))&lt;=Summary!$B$2),"Passes using beginning_balance - PreV_ETB differs from beginning_balance",IF(AND(ISNUMBER(O4531),O4531&lt;0,ABS(L4531-(Q4531-IF(ISNUMBER(N4531),N4531,0)+IF(ISNUMBER(P4531),P4531,0)))&lt;=Summary!$B$2),"Negative realized loss not applied - check sign",IF(R4531&lt;0,"Principal paid exceeds prior balance",IF(AND(L4531&gt;Q4531,NOT(ISNUMBER(P4531))),"Balance increased but no Deferred_interest reported",IF(L4531&gt;R4531,"Reported balance higher than expected (missing increase/OC build)","Reported balance lower than expected (missing decrease)"))))),""))</f>
        <v/>
      </c>
    </row>
    <row r="4532" customFormat="false" ht="15" hidden="false" customHeight="false" outlineLevel="0" collapsed="false">
      <c r="A4532" s="8"/>
      <c r="B4532" s="8"/>
      <c r="C4532" s="8"/>
      <c r="D4532" s="8"/>
      <c r="E4532" s="8"/>
      <c r="F4532" s="8"/>
      <c r="G4532" s="8"/>
      <c r="H4532" s="8"/>
      <c r="I4532" s="8"/>
      <c r="J4532" s="8"/>
      <c r="K4532" s="9"/>
      <c r="L4532" s="9"/>
      <c r="M4532" s="9"/>
      <c r="N4532" s="9"/>
      <c r="O4532" s="9"/>
      <c r="P4532" s="9"/>
      <c r="Q4532" s="9"/>
      <c r="R4532" s="9" t="str">
        <f aca="false">IF(AND(A4532&lt;&gt;"",ISNUMBER(Q4532),ISNUMBER(L4532)),ROUND(Q4532-IF(ISNUMBER(N4532),N4532,0)-IF(ISNUMBER(O4532),O4532,0)+IF(ISNUMBER(P4532),P4532,0),2),"")</f>
        <v/>
      </c>
      <c r="S4532" s="9" t="str">
        <f aca="false">IF(R4532="","",ROUND(L4532-R4532,2))</f>
        <v/>
      </c>
      <c r="T4532" s="8" t="str">
        <f aca="false">IF(A4532="","",IF(S4532="","BYPASS",IF(ABS(S4532)&lt;=Summary!$B$2,"PASS","FAIL")))</f>
        <v/>
      </c>
      <c r="U4532" s="8" t="str">
        <f aca="false">IF(T4532="BYPASS",IF(NOT(ISNUMBER(Q4532)),"PreV_ETB missing","End_tr_balance missing"),IF(T4532="FAIL",IF(AND(ISNUMBER(K4532),ISNUMBER(L4532),ABS(L4532-(K4532-IF(ISNUMBER(N4532),N4532,0)-IF(ISNUMBER(O4532),O4532,0)+IF(ISNUMBER(P4532),P4532,0)))&lt;=Summary!$B$2),"Passes using beginning_balance - PreV_ETB differs from beginning_balance",IF(AND(ISNUMBER(O4532),O4532&lt;0,ABS(L4532-(Q4532-IF(ISNUMBER(N4532),N4532,0)+IF(ISNUMBER(P4532),P4532,0)))&lt;=Summary!$B$2),"Negative realized loss not applied - check sign",IF(R4532&lt;0,"Principal paid exceeds prior balance",IF(AND(L4532&gt;Q4532,NOT(ISNUMBER(P4532))),"Balance increased but no Deferred_interest reported",IF(L4532&gt;R4532,"Reported balance higher than expected (missing increase/OC build)","Reported balance lower than expected (missing decrease)"))))),""))</f>
        <v/>
      </c>
    </row>
    <row r="4533" customFormat="false" ht="15" hidden="false" customHeight="false" outlineLevel="0" collapsed="false">
      <c r="A4533" s="8"/>
      <c r="B4533" s="8"/>
      <c r="C4533" s="8"/>
      <c r="D4533" s="8"/>
      <c r="E4533" s="8"/>
      <c r="F4533" s="8"/>
      <c r="G4533" s="8"/>
      <c r="H4533" s="8"/>
      <c r="I4533" s="8"/>
      <c r="J4533" s="8"/>
      <c r="K4533" s="9"/>
      <c r="L4533" s="9"/>
      <c r="M4533" s="9"/>
      <c r="N4533" s="9"/>
      <c r="O4533" s="9"/>
      <c r="P4533" s="9"/>
      <c r="Q4533" s="9"/>
      <c r="R4533" s="9" t="str">
        <f aca="false">IF(AND(A4533&lt;&gt;"",ISNUMBER(Q4533),ISNUMBER(L4533)),ROUND(Q4533-IF(ISNUMBER(N4533),N4533,0)-IF(ISNUMBER(O4533),O4533,0)+IF(ISNUMBER(P4533),P4533,0),2),"")</f>
        <v/>
      </c>
      <c r="S4533" s="9" t="str">
        <f aca="false">IF(R4533="","",ROUND(L4533-R4533,2))</f>
        <v/>
      </c>
      <c r="T4533" s="8" t="str">
        <f aca="false">IF(A4533="","",IF(S4533="","BYPASS",IF(ABS(S4533)&lt;=Summary!$B$2,"PASS","FAIL")))</f>
        <v/>
      </c>
      <c r="U4533" s="8" t="str">
        <f aca="false">IF(T4533="BYPASS",IF(NOT(ISNUMBER(Q4533)),"PreV_ETB missing","End_tr_balance missing"),IF(T4533="FAIL",IF(AND(ISNUMBER(K4533),ISNUMBER(L4533),ABS(L4533-(K4533-IF(ISNUMBER(N4533),N4533,0)-IF(ISNUMBER(O4533),O4533,0)+IF(ISNUMBER(P4533),P4533,0)))&lt;=Summary!$B$2),"Passes using beginning_balance - PreV_ETB differs from beginning_balance",IF(AND(ISNUMBER(O4533),O4533&lt;0,ABS(L4533-(Q4533-IF(ISNUMBER(N4533),N4533,0)+IF(ISNUMBER(P4533),P4533,0)))&lt;=Summary!$B$2),"Negative realized loss not applied - check sign",IF(R4533&lt;0,"Principal paid exceeds prior balance",IF(AND(L4533&gt;Q4533,NOT(ISNUMBER(P4533))),"Balance increased but no Deferred_interest reported",IF(L4533&gt;R4533,"Reported balance higher than expected (missing increase/OC build)","Reported balance lower than expected (missing decrease)"))))),""))</f>
        <v/>
      </c>
    </row>
    <row r="4534" customFormat="false" ht="15" hidden="false" customHeight="false" outlineLevel="0" collapsed="false">
      <c r="A4534" s="8"/>
      <c r="B4534" s="8"/>
      <c r="C4534" s="8"/>
      <c r="D4534" s="8"/>
      <c r="E4534" s="8"/>
      <c r="F4534" s="8"/>
      <c r="G4534" s="8"/>
      <c r="H4534" s="8"/>
      <c r="I4534" s="8"/>
      <c r="J4534" s="8"/>
      <c r="K4534" s="9"/>
      <c r="L4534" s="9"/>
      <c r="M4534" s="9"/>
      <c r="N4534" s="9"/>
      <c r="O4534" s="9"/>
      <c r="P4534" s="9"/>
      <c r="Q4534" s="9"/>
      <c r="R4534" s="9" t="str">
        <f aca="false">IF(AND(A4534&lt;&gt;"",ISNUMBER(Q4534),ISNUMBER(L4534)),ROUND(Q4534-IF(ISNUMBER(N4534),N4534,0)-IF(ISNUMBER(O4534),O4534,0)+IF(ISNUMBER(P4534),P4534,0),2),"")</f>
        <v/>
      </c>
      <c r="S4534" s="9" t="str">
        <f aca="false">IF(R4534="","",ROUND(L4534-R4534,2))</f>
        <v/>
      </c>
      <c r="T4534" s="8" t="str">
        <f aca="false">IF(A4534="","",IF(S4534="","BYPASS",IF(ABS(S4534)&lt;=Summary!$B$2,"PASS","FAIL")))</f>
        <v/>
      </c>
      <c r="U4534" s="8" t="str">
        <f aca="false">IF(T4534="BYPASS",IF(NOT(ISNUMBER(Q4534)),"PreV_ETB missing","End_tr_balance missing"),IF(T4534="FAIL",IF(AND(ISNUMBER(K4534),ISNUMBER(L4534),ABS(L4534-(K4534-IF(ISNUMBER(N4534),N4534,0)-IF(ISNUMBER(O4534),O4534,0)+IF(ISNUMBER(P4534),P4534,0)))&lt;=Summary!$B$2),"Passes using beginning_balance - PreV_ETB differs from beginning_balance",IF(AND(ISNUMBER(O4534),O4534&lt;0,ABS(L4534-(Q4534-IF(ISNUMBER(N4534),N4534,0)+IF(ISNUMBER(P4534),P4534,0)))&lt;=Summary!$B$2),"Negative realized loss not applied - check sign",IF(R4534&lt;0,"Principal paid exceeds prior balance",IF(AND(L4534&gt;Q4534,NOT(ISNUMBER(P4534))),"Balance increased but no Deferred_interest reported",IF(L4534&gt;R4534,"Reported balance higher than expected (missing increase/OC build)","Reported balance lower than expected (missing decrease)"))))),""))</f>
        <v/>
      </c>
    </row>
    <row r="4535" customFormat="false" ht="15" hidden="false" customHeight="false" outlineLevel="0" collapsed="false">
      <c r="A4535" s="8"/>
      <c r="B4535" s="8"/>
      <c r="C4535" s="8"/>
      <c r="D4535" s="8"/>
      <c r="E4535" s="8"/>
      <c r="F4535" s="8"/>
      <c r="G4535" s="8"/>
      <c r="H4535" s="8"/>
      <c r="I4535" s="8"/>
      <c r="J4535" s="8"/>
      <c r="K4535" s="9"/>
      <c r="L4535" s="9"/>
      <c r="M4535" s="9"/>
      <c r="N4535" s="9"/>
      <c r="O4535" s="9"/>
      <c r="P4535" s="9"/>
      <c r="Q4535" s="9"/>
      <c r="R4535" s="9" t="str">
        <f aca="false">IF(AND(A4535&lt;&gt;"",ISNUMBER(Q4535),ISNUMBER(L4535)),ROUND(Q4535-IF(ISNUMBER(N4535),N4535,0)-IF(ISNUMBER(O4535),O4535,0)+IF(ISNUMBER(P4535),P4535,0),2),"")</f>
        <v/>
      </c>
      <c r="S4535" s="9" t="str">
        <f aca="false">IF(R4535="","",ROUND(L4535-R4535,2))</f>
        <v/>
      </c>
      <c r="T4535" s="8" t="str">
        <f aca="false">IF(A4535="","",IF(S4535="","BYPASS",IF(ABS(S4535)&lt;=Summary!$B$2,"PASS","FAIL")))</f>
        <v/>
      </c>
      <c r="U4535" s="8" t="str">
        <f aca="false">IF(T4535="BYPASS",IF(NOT(ISNUMBER(Q4535)),"PreV_ETB missing","End_tr_balance missing"),IF(T4535="FAIL",IF(AND(ISNUMBER(K4535),ISNUMBER(L4535),ABS(L4535-(K4535-IF(ISNUMBER(N4535),N4535,0)-IF(ISNUMBER(O4535),O4535,0)+IF(ISNUMBER(P4535),P4535,0)))&lt;=Summary!$B$2),"Passes using beginning_balance - PreV_ETB differs from beginning_balance",IF(AND(ISNUMBER(O4535),O4535&lt;0,ABS(L4535-(Q4535-IF(ISNUMBER(N4535),N4535,0)+IF(ISNUMBER(P4535),P4535,0)))&lt;=Summary!$B$2),"Negative realized loss not applied - check sign",IF(R4535&lt;0,"Principal paid exceeds prior balance",IF(AND(L4535&gt;Q4535,NOT(ISNUMBER(P4535))),"Balance increased but no Deferred_interest reported",IF(L4535&gt;R4535,"Reported balance higher than expected (missing increase/OC build)","Reported balance lower than expected (missing decrease)"))))),""))</f>
        <v/>
      </c>
    </row>
    <row r="4536" customFormat="false" ht="15" hidden="false" customHeight="false" outlineLevel="0" collapsed="false">
      <c r="A4536" s="8"/>
      <c r="B4536" s="8"/>
      <c r="C4536" s="8"/>
      <c r="D4536" s="8"/>
      <c r="E4536" s="8"/>
      <c r="F4536" s="8"/>
      <c r="G4536" s="8"/>
      <c r="H4536" s="8"/>
      <c r="I4536" s="8"/>
      <c r="J4536" s="8"/>
      <c r="K4536" s="9"/>
      <c r="L4536" s="9"/>
      <c r="M4536" s="9"/>
      <c r="N4536" s="9"/>
      <c r="O4536" s="9"/>
      <c r="P4536" s="9"/>
      <c r="Q4536" s="9"/>
      <c r="R4536" s="9" t="str">
        <f aca="false">IF(AND(A4536&lt;&gt;"",ISNUMBER(Q4536),ISNUMBER(L4536)),ROUND(Q4536-IF(ISNUMBER(N4536),N4536,0)-IF(ISNUMBER(O4536),O4536,0)+IF(ISNUMBER(P4536),P4536,0),2),"")</f>
        <v/>
      </c>
      <c r="S4536" s="9" t="str">
        <f aca="false">IF(R4536="","",ROUND(L4536-R4536,2))</f>
        <v/>
      </c>
      <c r="T4536" s="8" t="str">
        <f aca="false">IF(A4536="","",IF(S4536="","BYPASS",IF(ABS(S4536)&lt;=Summary!$B$2,"PASS","FAIL")))</f>
        <v/>
      </c>
      <c r="U4536" s="8" t="str">
        <f aca="false">IF(T4536="BYPASS",IF(NOT(ISNUMBER(Q4536)),"PreV_ETB missing","End_tr_balance missing"),IF(T4536="FAIL",IF(AND(ISNUMBER(K4536),ISNUMBER(L4536),ABS(L4536-(K4536-IF(ISNUMBER(N4536),N4536,0)-IF(ISNUMBER(O4536),O4536,0)+IF(ISNUMBER(P4536),P4536,0)))&lt;=Summary!$B$2),"Passes using beginning_balance - PreV_ETB differs from beginning_balance",IF(AND(ISNUMBER(O4536),O4536&lt;0,ABS(L4536-(Q4536-IF(ISNUMBER(N4536),N4536,0)+IF(ISNUMBER(P4536),P4536,0)))&lt;=Summary!$B$2),"Negative realized loss not applied - check sign",IF(R4536&lt;0,"Principal paid exceeds prior balance",IF(AND(L4536&gt;Q4536,NOT(ISNUMBER(P4536))),"Balance increased but no Deferred_interest reported",IF(L4536&gt;R4536,"Reported balance higher than expected (missing increase/OC build)","Reported balance lower than expected (missing decrease)"))))),""))</f>
        <v/>
      </c>
    </row>
    <row r="4537" customFormat="false" ht="15" hidden="false" customHeight="false" outlineLevel="0" collapsed="false">
      <c r="A4537" s="8"/>
      <c r="B4537" s="8"/>
      <c r="C4537" s="8"/>
      <c r="D4537" s="8"/>
      <c r="E4537" s="8"/>
      <c r="F4537" s="8"/>
      <c r="G4537" s="8"/>
      <c r="H4537" s="8"/>
      <c r="I4537" s="8"/>
      <c r="J4537" s="8"/>
      <c r="K4537" s="9"/>
      <c r="L4537" s="9"/>
      <c r="M4537" s="9"/>
      <c r="N4537" s="9"/>
      <c r="O4537" s="9"/>
      <c r="P4537" s="9"/>
      <c r="Q4537" s="9"/>
      <c r="R4537" s="9" t="str">
        <f aca="false">IF(AND(A4537&lt;&gt;"",ISNUMBER(Q4537),ISNUMBER(L4537)),ROUND(Q4537-IF(ISNUMBER(N4537),N4537,0)-IF(ISNUMBER(O4537),O4537,0)+IF(ISNUMBER(P4537),P4537,0),2),"")</f>
        <v/>
      </c>
      <c r="S4537" s="9" t="str">
        <f aca="false">IF(R4537="","",ROUND(L4537-R4537,2))</f>
        <v/>
      </c>
      <c r="T4537" s="8" t="str">
        <f aca="false">IF(A4537="","",IF(S4537="","BYPASS",IF(ABS(S4537)&lt;=Summary!$B$2,"PASS","FAIL")))</f>
        <v/>
      </c>
      <c r="U4537" s="8" t="str">
        <f aca="false">IF(T4537="BYPASS",IF(NOT(ISNUMBER(Q4537)),"PreV_ETB missing","End_tr_balance missing"),IF(T4537="FAIL",IF(AND(ISNUMBER(K4537),ISNUMBER(L4537),ABS(L4537-(K4537-IF(ISNUMBER(N4537),N4537,0)-IF(ISNUMBER(O4537),O4537,0)+IF(ISNUMBER(P4537),P4537,0)))&lt;=Summary!$B$2),"Passes using beginning_balance - PreV_ETB differs from beginning_balance",IF(AND(ISNUMBER(O4537),O4537&lt;0,ABS(L4537-(Q4537-IF(ISNUMBER(N4537),N4537,0)+IF(ISNUMBER(P4537),P4537,0)))&lt;=Summary!$B$2),"Negative realized loss not applied - check sign",IF(R4537&lt;0,"Principal paid exceeds prior balance",IF(AND(L4537&gt;Q4537,NOT(ISNUMBER(P4537))),"Balance increased but no Deferred_interest reported",IF(L4537&gt;R4537,"Reported balance higher than expected (missing increase/OC build)","Reported balance lower than expected (missing decrease)"))))),""))</f>
        <v/>
      </c>
    </row>
    <row r="4538" customFormat="false" ht="15" hidden="false" customHeight="false" outlineLevel="0" collapsed="false">
      <c r="A4538" s="8"/>
      <c r="B4538" s="8"/>
      <c r="C4538" s="8"/>
      <c r="D4538" s="8"/>
      <c r="E4538" s="8"/>
      <c r="F4538" s="8"/>
      <c r="G4538" s="8"/>
      <c r="H4538" s="8"/>
      <c r="I4538" s="8"/>
      <c r="J4538" s="8"/>
      <c r="K4538" s="9"/>
      <c r="L4538" s="9"/>
      <c r="M4538" s="9"/>
      <c r="N4538" s="9"/>
      <c r="O4538" s="9"/>
      <c r="P4538" s="9"/>
      <c r="Q4538" s="9"/>
      <c r="R4538" s="9" t="str">
        <f aca="false">IF(AND(A4538&lt;&gt;"",ISNUMBER(Q4538),ISNUMBER(L4538)),ROUND(Q4538-IF(ISNUMBER(N4538),N4538,0)-IF(ISNUMBER(O4538),O4538,0)+IF(ISNUMBER(P4538),P4538,0),2),"")</f>
        <v/>
      </c>
      <c r="S4538" s="9" t="str">
        <f aca="false">IF(R4538="","",ROUND(L4538-R4538,2))</f>
        <v/>
      </c>
      <c r="T4538" s="8" t="str">
        <f aca="false">IF(A4538="","",IF(S4538="","BYPASS",IF(ABS(S4538)&lt;=Summary!$B$2,"PASS","FAIL")))</f>
        <v/>
      </c>
      <c r="U4538" s="8" t="str">
        <f aca="false">IF(T4538="BYPASS",IF(NOT(ISNUMBER(Q4538)),"PreV_ETB missing","End_tr_balance missing"),IF(T4538="FAIL",IF(AND(ISNUMBER(K4538),ISNUMBER(L4538),ABS(L4538-(K4538-IF(ISNUMBER(N4538),N4538,0)-IF(ISNUMBER(O4538),O4538,0)+IF(ISNUMBER(P4538),P4538,0)))&lt;=Summary!$B$2),"Passes using beginning_balance - PreV_ETB differs from beginning_balance",IF(AND(ISNUMBER(O4538),O4538&lt;0,ABS(L4538-(Q4538-IF(ISNUMBER(N4538),N4538,0)+IF(ISNUMBER(P4538),P4538,0)))&lt;=Summary!$B$2),"Negative realized loss not applied - check sign",IF(R4538&lt;0,"Principal paid exceeds prior balance",IF(AND(L4538&gt;Q4538,NOT(ISNUMBER(P4538))),"Balance increased but no Deferred_interest reported",IF(L4538&gt;R4538,"Reported balance higher than expected (missing increase/OC build)","Reported balance lower than expected (missing decrease)"))))),""))</f>
        <v/>
      </c>
    </row>
    <row r="4539" customFormat="false" ht="15" hidden="false" customHeight="false" outlineLevel="0" collapsed="false">
      <c r="A4539" s="8"/>
      <c r="B4539" s="8"/>
      <c r="C4539" s="8"/>
      <c r="D4539" s="8"/>
      <c r="E4539" s="8"/>
      <c r="F4539" s="8"/>
      <c r="G4539" s="8"/>
      <c r="H4539" s="8"/>
      <c r="I4539" s="8"/>
      <c r="J4539" s="8"/>
      <c r="K4539" s="9"/>
      <c r="L4539" s="9"/>
      <c r="M4539" s="9"/>
      <c r="N4539" s="9"/>
      <c r="O4539" s="9"/>
      <c r="P4539" s="9"/>
      <c r="Q4539" s="9"/>
      <c r="R4539" s="9" t="str">
        <f aca="false">IF(AND(A4539&lt;&gt;"",ISNUMBER(Q4539),ISNUMBER(L4539)),ROUND(Q4539-IF(ISNUMBER(N4539),N4539,0)-IF(ISNUMBER(O4539),O4539,0)+IF(ISNUMBER(P4539),P4539,0),2),"")</f>
        <v/>
      </c>
      <c r="S4539" s="9" t="str">
        <f aca="false">IF(R4539="","",ROUND(L4539-R4539,2))</f>
        <v/>
      </c>
      <c r="T4539" s="8" t="str">
        <f aca="false">IF(A4539="","",IF(S4539="","BYPASS",IF(ABS(S4539)&lt;=Summary!$B$2,"PASS","FAIL")))</f>
        <v/>
      </c>
      <c r="U4539" s="8" t="str">
        <f aca="false">IF(T4539="BYPASS",IF(NOT(ISNUMBER(Q4539)),"PreV_ETB missing","End_tr_balance missing"),IF(T4539="FAIL",IF(AND(ISNUMBER(K4539),ISNUMBER(L4539),ABS(L4539-(K4539-IF(ISNUMBER(N4539),N4539,0)-IF(ISNUMBER(O4539),O4539,0)+IF(ISNUMBER(P4539),P4539,0)))&lt;=Summary!$B$2),"Passes using beginning_balance - PreV_ETB differs from beginning_balance",IF(AND(ISNUMBER(O4539),O4539&lt;0,ABS(L4539-(Q4539-IF(ISNUMBER(N4539),N4539,0)+IF(ISNUMBER(P4539),P4539,0)))&lt;=Summary!$B$2),"Negative realized loss not applied - check sign",IF(R4539&lt;0,"Principal paid exceeds prior balance",IF(AND(L4539&gt;Q4539,NOT(ISNUMBER(P4539))),"Balance increased but no Deferred_interest reported",IF(L4539&gt;R4539,"Reported balance higher than expected (missing increase/OC build)","Reported balance lower than expected (missing decrease)"))))),""))</f>
        <v/>
      </c>
    </row>
    <row r="4540" customFormat="false" ht="15" hidden="false" customHeight="false" outlineLevel="0" collapsed="false">
      <c r="A4540" s="8"/>
      <c r="B4540" s="8"/>
      <c r="C4540" s="8"/>
      <c r="D4540" s="8"/>
      <c r="E4540" s="8"/>
      <c r="F4540" s="8"/>
      <c r="G4540" s="8"/>
      <c r="H4540" s="8"/>
      <c r="I4540" s="8"/>
      <c r="J4540" s="8"/>
      <c r="K4540" s="9"/>
      <c r="L4540" s="9"/>
      <c r="M4540" s="9"/>
      <c r="N4540" s="9"/>
      <c r="O4540" s="9"/>
      <c r="P4540" s="9"/>
      <c r="Q4540" s="9"/>
      <c r="R4540" s="9" t="str">
        <f aca="false">IF(AND(A4540&lt;&gt;"",ISNUMBER(Q4540),ISNUMBER(L4540)),ROUND(Q4540-IF(ISNUMBER(N4540),N4540,0)-IF(ISNUMBER(O4540),O4540,0)+IF(ISNUMBER(P4540),P4540,0),2),"")</f>
        <v/>
      </c>
      <c r="S4540" s="9" t="str">
        <f aca="false">IF(R4540="","",ROUND(L4540-R4540,2))</f>
        <v/>
      </c>
      <c r="T4540" s="8" t="str">
        <f aca="false">IF(A4540="","",IF(S4540="","BYPASS",IF(ABS(S4540)&lt;=Summary!$B$2,"PASS","FAIL")))</f>
        <v/>
      </c>
      <c r="U4540" s="8" t="str">
        <f aca="false">IF(T4540="BYPASS",IF(NOT(ISNUMBER(Q4540)),"PreV_ETB missing","End_tr_balance missing"),IF(T4540="FAIL",IF(AND(ISNUMBER(K4540),ISNUMBER(L4540),ABS(L4540-(K4540-IF(ISNUMBER(N4540),N4540,0)-IF(ISNUMBER(O4540),O4540,0)+IF(ISNUMBER(P4540),P4540,0)))&lt;=Summary!$B$2),"Passes using beginning_balance - PreV_ETB differs from beginning_balance",IF(AND(ISNUMBER(O4540),O4540&lt;0,ABS(L4540-(Q4540-IF(ISNUMBER(N4540),N4540,0)+IF(ISNUMBER(P4540),P4540,0)))&lt;=Summary!$B$2),"Negative realized loss not applied - check sign",IF(R4540&lt;0,"Principal paid exceeds prior balance",IF(AND(L4540&gt;Q4540,NOT(ISNUMBER(P4540))),"Balance increased but no Deferred_interest reported",IF(L4540&gt;R4540,"Reported balance higher than expected (missing increase/OC build)","Reported balance lower than expected (missing decrease)"))))),""))</f>
        <v/>
      </c>
    </row>
    <row r="4541" customFormat="false" ht="15" hidden="false" customHeight="false" outlineLevel="0" collapsed="false">
      <c r="A4541" s="8"/>
      <c r="B4541" s="8"/>
      <c r="C4541" s="8"/>
      <c r="D4541" s="8"/>
      <c r="E4541" s="8"/>
      <c r="F4541" s="8"/>
      <c r="G4541" s="8"/>
      <c r="H4541" s="8"/>
      <c r="I4541" s="8"/>
      <c r="J4541" s="8"/>
      <c r="K4541" s="9"/>
      <c r="L4541" s="9"/>
      <c r="M4541" s="9"/>
      <c r="N4541" s="9"/>
      <c r="O4541" s="9"/>
      <c r="P4541" s="9"/>
      <c r="Q4541" s="9"/>
      <c r="R4541" s="9" t="str">
        <f aca="false">IF(AND(A4541&lt;&gt;"",ISNUMBER(Q4541),ISNUMBER(L4541)),ROUND(Q4541-IF(ISNUMBER(N4541),N4541,0)-IF(ISNUMBER(O4541),O4541,0)+IF(ISNUMBER(P4541),P4541,0),2),"")</f>
        <v/>
      </c>
      <c r="S4541" s="9" t="str">
        <f aca="false">IF(R4541="","",ROUND(L4541-R4541,2))</f>
        <v/>
      </c>
      <c r="T4541" s="8" t="str">
        <f aca="false">IF(A4541="","",IF(S4541="","BYPASS",IF(ABS(S4541)&lt;=Summary!$B$2,"PASS","FAIL")))</f>
        <v/>
      </c>
      <c r="U4541" s="8" t="str">
        <f aca="false">IF(T4541="BYPASS",IF(NOT(ISNUMBER(Q4541)),"PreV_ETB missing","End_tr_balance missing"),IF(T4541="FAIL",IF(AND(ISNUMBER(K4541),ISNUMBER(L4541),ABS(L4541-(K4541-IF(ISNUMBER(N4541),N4541,0)-IF(ISNUMBER(O4541),O4541,0)+IF(ISNUMBER(P4541),P4541,0)))&lt;=Summary!$B$2),"Passes using beginning_balance - PreV_ETB differs from beginning_balance",IF(AND(ISNUMBER(O4541),O4541&lt;0,ABS(L4541-(Q4541-IF(ISNUMBER(N4541),N4541,0)+IF(ISNUMBER(P4541),P4541,0)))&lt;=Summary!$B$2),"Negative realized loss not applied - check sign",IF(R4541&lt;0,"Principal paid exceeds prior balance",IF(AND(L4541&gt;Q4541,NOT(ISNUMBER(P4541))),"Balance increased but no Deferred_interest reported",IF(L4541&gt;R4541,"Reported balance higher than expected (missing increase/OC build)","Reported balance lower than expected (missing decrease)"))))),""))</f>
        <v/>
      </c>
    </row>
    <row r="4542" customFormat="false" ht="15" hidden="false" customHeight="false" outlineLevel="0" collapsed="false">
      <c r="A4542" s="8"/>
      <c r="B4542" s="8"/>
      <c r="C4542" s="8"/>
      <c r="D4542" s="8"/>
      <c r="E4542" s="8"/>
      <c r="F4542" s="8"/>
      <c r="G4542" s="8"/>
      <c r="H4542" s="8"/>
      <c r="I4542" s="8"/>
      <c r="J4542" s="8"/>
      <c r="K4542" s="9"/>
      <c r="L4542" s="9"/>
      <c r="M4542" s="9"/>
      <c r="N4542" s="9"/>
      <c r="O4542" s="9"/>
      <c r="P4542" s="9"/>
      <c r="Q4542" s="9"/>
      <c r="R4542" s="9" t="str">
        <f aca="false">IF(AND(A4542&lt;&gt;"",ISNUMBER(Q4542),ISNUMBER(L4542)),ROUND(Q4542-IF(ISNUMBER(N4542),N4542,0)-IF(ISNUMBER(O4542),O4542,0)+IF(ISNUMBER(P4542),P4542,0),2),"")</f>
        <v/>
      </c>
      <c r="S4542" s="9" t="str">
        <f aca="false">IF(R4542="","",ROUND(L4542-R4542,2))</f>
        <v/>
      </c>
      <c r="T4542" s="8" t="str">
        <f aca="false">IF(A4542="","",IF(S4542="","BYPASS",IF(ABS(S4542)&lt;=Summary!$B$2,"PASS","FAIL")))</f>
        <v/>
      </c>
      <c r="U4542" s="8" t="str">
        <f aca="false">IF(T4542="BYPASS",IF(NOT(ISNUMBER(Q4542)),"PreV_ETB missing","End_tr_balance missing"),IF(T4542="FAIL",IF(AND(ISNUMBER(K4542),ISNUMBER(L4542),ABS(L4542-(K4542-IF(ISNUMBER(N4542),N4542,0)-IF(ISNUMBER(O4542),O4542,0)+IF(ISNUMBER(P4542),P4542,0)))&lt;=Summary!$B$2),"Passes using beginning_balance - PreV_ETB differs from beginning_balance",IF(AND(ISNUMBER(O4542),O4542&lt;0,ABS(L4542-(Q4542-IF(ISNUMBER(N4542),N4542,0)+IF(ISNUMBER(P4542),P4542,0)))&lt;=Summary!$B$2),"Negative realized loss not applied - check sign",IF(R4542&lt;0,"Principal paid exceeds prior balance",IF(AND(L4542&gt;Q4542,NOT(ISNUMBER(P4542))),"Balance increased but no Deferred_interest reported",IF(L4542&gt;R4542,"Reported balance higher than expected (missing increase/OC build)","Reported balance lower than expected (missing decrease)"))))),""))</f>
        <v/>
      </c>
    </row>
    <row r="4543" customFormat="false" ht="15" hidden="false" customHeight="false" outlineLevel="0" collapsed="false">
      <c r="A4543" s="8"/>
      <c r="B4543" s="8"/>
      <c r="C4543" s="8"/>
      <c r="D4543" s="8"/>
      <c r="E4543" s="8"/>
      <c r="F4543" s="8"/>
      <c r="G4543" s="8"/>
      <c r="H4543" s="8"/>
      <c r="I4543" s="8"/>
      <c r="J4543" s="8"/>
      <c r="K4543" s="9"/>
      <c r="L4543" s="9"/>
      <c r="M4543" s="9"/>
      <c r="N4543" s="9"/>
      <c r="O4543" s="9"/>
      <c r="P4543" s="9"/>
      <c r="Q4543" s="9"/>
      <c r="R4543" s="9" t="str">
        <f aca="false">IF(AND(A4543&lt;&gt;"",ISNUMBER(Q4543),ISNUMBER(L4543)),ROUND(Q4543-IF(ISNUMBER(N4543),N4543,0)-IF(ISNUMBER(O4543),O4543,0)+IF(ISNUMBER(P4543),P4543,0),2),"")</f>
        <v/>
      </c>
      <c r="S4543" s="9" t="str">
        <f aca="false">IF(R4543="","",ROUND(L4543-R4543,2))</f>
        <v/>
      </c>
      <c r="T4543" s="8" t="str">
        <f aca="false">IF(A4543="","",IF(S4543="","BYPASS",IF(ABS(S4543)&lt;=Summary!$B$2,"PASS","FAIL")))</f>
        <v/>
      </c>
      <c r="U4543" s="8" t="str">
        <f aca="false">IF(T4543="BYPASS",IF(NOT(ISNUMBER(Q4543)),"PreV_ETB missing","End_tr_balance missing"),IF(T4543="FAIL",IF(AND(ISNUMBER(K4543),ISNUMBER(L4543),ABS(L4543-(K4543-IF(ISNUMBER(N4543),N4543,0)-IF(ISNUMBER(O4543),O4543,0)+IF(ISNUMBER(P4543),P4543,0)))&lt;=Summary!$B$2),"Passes using beginning_balance - PreV_ETB differs from beginning_balance",IF(AND(ISNUMBER(O4543),O4543&lt;0,ABS(L4543-(Q4543-IF(ISNUMBER(N4543),N4543,0)+IF(ISNUMBER(P4543),P4543,0)))&lt;=Summary!$B$2),"Negative realized loss not applied - check sign",IF(R4543&lt;0,"Principal paid exceeds prior balance",IF(AND(L4543&gt;Q4543,NOT(ISNUMBER(P4543))),"Balance increased but no Deferred_interest reported",IF(L4543&gt;R4543,"Reported balance higher than expected (missing increase/OC build)","Reported balance lower than expected (missing decrease)"))))),""))</f>
        <v/>
      </c>
    </row>
    <row r="4544" customFormat="false" ht="15" hidden="false" customHeight="false" outlineLevel="0" collapsed="false">
      <c r="A4544" s="8"/>
      <c r="B4544" s="8"/>
      <c r="C4544" s="8"/>
      <c r="D4544" s="8"/>
      <c r="E4544" s="8"/>
      <c r="F4544" s="8"/>
      <c r="G4544" s="8"/>
      <c r="H4544" s="8"/>
      <c r="I4544" s="8"/>
      <c r="J4544" s="8"/>
      <c r="K4544" s="9"/>
      <c r="L4544" s="9"/>
      <c r="M4544" s="9"/>
      <c r="N4544" s="9"/>
      <c r="O4544" s="9"/>
      <c r="P4544" s="9"/>
      <c r="Q4544" s="9"/>
      <c r="R4544" s="9" t="str">
        <f aca="false">IF(AND(A4544&lt;&gt;"",ISNUMBER(Q4544),ISNUMBER(L4544)),ROUND(Q4544-IF(ISNUMBER(N4544),N4544,0)-IF(ISNUMBER(O4544),O4544,0)+IF(ISNUMBER(P4544),P4544,0),2),"")</f>
        <v/>
      </c>
      <c r="S4544" s="9" t="str">
        <f aca="false">IF(R4544="","",ROUND(L4544-R4544,2))</f>
        <v/>
      </c>
      <c r="T4544" s="8" t="str">
        <f aca="false">IF(A4544="","",IF(S4544="","BYPASS",IF(ABS(S4544)&lt;=Summary!$B$2,"PASS","FAIL")))</f>
        <v/>
      </c>
      <c r="U4544" s="8" t="str">
        <f aca="false">IF(T4544="BYPASS",IF(NOT(ISNUMBER(Q4544)),"PreV_ETB missing","End_tr_balance missing"),IF(T4544="FAIL",IF(AND(ISNUMBER(K4544),ISNUMBER(L4544),ABS(L4544-(K4544-IF(ISNUMBER(N4544),N4544,0)-IF(ISNUMBER(O4544),O4544,0)+IF(ISNUMBER(P4544),P4544,0)))&lt;=Summary!$B$2),"Passes using beginning_balance - PreV_ETB differs from beginning_balance",IF(AND(ISNUMBER(O4544),O4544&lt;0,ABS(L4544-(Q4544-IF(ISNUMBER(N4544),N4544,0)+IF(ISNUMBER(P4544),P4544,0)))&lt;=Summary!$B$2),"Negative realized loss not applied - check sign",IF(R4544&lt;0,"Principal paid exceeds prior balance",IF(AND(L4544&gt;Q4544,NOT(ISNUMBER(P4544))),"Balance increased but no Deferred_interest reported",IF(L4544&gt;R4544,"Reported balance higher than expected (missing increase/OC build)","Reported balance lower than expected (missing decrease)"))))),""))</f>
        <v/>
      </c>
    </row>
    <row r="4545" customFormat="false" ht="15" hidden="false" customHeight="false" outlineLevel="0" collapsed="false">
      <c r="A4545" s="8"/>
      <c r="B4545" s="8"/>
      <c r="C4545" s="8"/>
      <c r="D4545" s="8"/>
      <c r="E4545" s="8"/>
      <c r="F4545" s="8"/>
      <c r="G4545" s="8"/>
      <c r="H4545" s="8"/>
      <c r="I4545" s="8"/>
      <c r="J4545" s="8"/>
      <c r="K4545" s="9"/>
      <c r="L4545" s="9"/>
      <c r="M4545" s="9"/>
      <c r="N4545" s="9"/>
      <c r="O4545" s="9"/>
      <c r="P4545" s="9"/>
      <c r="Q4545" s="9"/>
      <c r="R4545" s="9" t="str">
        <f aca="false">IF(AND(A4545&lt;&gt;"",ISNUMBER(Q4545),ISNUMBER(L4545)),ROUND(Q4545-IF(ISNUMBER(N4545),N4545,0)-IF(ISNUMBER(O4545),O4545,0)+IF(ISNUMBER(P4545),P4545,0),2),"")</f>
        <v/>
      </c>
      <c r="S4545" s="9" t="str">
        <f aca="false">IF(R4545="","",ROUND(L4545-R4545,2))</f>
        <v/>
      </c>
      <c r="T4545" s="8" t="str">
        <f aca="false">IF(A4545="","",IF(S4545="","BYPASS",IF(ABS(S4545)&lt;=Summary!$B$2,"PASS","FAIL")))</f>
        <v/>
      </c>
      <c r="U4545" s="8" t="str">
        <f aca="false">IF(T4545="BYPASS",IF(NOT(ISNUMBER(Q4545)),"PreV_ETB missing","End_tr_balance missing"),IF(T4545="FAIL",IF(AND(ISNUMBER(K4545),ISNUMBER(L4545),ABS(L4545-(K4545-IF(ISNUMBER(N4545),N4545,0)-IF(ISNUMBER(O4545),O4545,0)+IF(ISNUMBER(P4545),P4545,0)))&lt;=Summary!$B$2),"Passes using beginning_balance - PreV_ETB differs from beginning_balance",IF(AND(ISNUMBER(O4545),O4545&lt;0,ABS(L4545-(Q4545-IF(ISNUMBER(N4545),N4545,0)+IF(ISNUMBER(P4545),P4545,0)))&lt;=Summary!$B$2),"Negative realized loss not applied - check sign",IF(R4545&lt;0,"Principal paid exceeds prior balance",IF(AND(L4545&gt;Q4545,NOT(ISNUMBER(P4545))),"Balance increased but no Deferred_interest reported",IF(L4545&gt;R4545,"Reported balance higher than expected (missing increase/OC build)","Reported balance lower than expected (missing decrease)"))))),""))</f>
        <v/>
      </c>
    </row>
    <row r="4546" customFormat="false" ht="15" hidden="false" customHeight="false" outlineLevel="0" collapsed="false">
      <c r="A4546" s="8"/>
      <c r="B4546" s="8"/>
      <c r="C4546" s="8"/>
      <c r="D4546" s="8"/>
      <c r="E4546" s="8"/>
      <c r="F4546" s="8"/>
      <c r="G4546" s="8"/>
      <c r="H4546" s="8"/>
      <c r="I4546" s="8"/>
      <c r="J4546" s="8"/>
      <c r="K4546" s="9"/>
      <c r="L4546" s="9"/>
      <c r="M4546" s="9"/>
      <c r="N4546" s="9"/>
      <c r="O4546" s="9"/>
      <c r="P4546" s="9"/>
      <c r="Q4546" s="9"/>
      <c r="R4546" s="9" t="str">
        <f aca="false">IF(AND(A4546&lt;&gt;"",ISNUMBER(Q4546),ISNUMBER(L4546)),ROUND(Q4546-IF(ISNUMBER(N4546),N4546,0)-IF(ISNUMBER(O4546),O4546,0)+IF(ISNUMBER(P4546),P4546,0),2),"")</f>
        <v/>
      </c>
      <c r="S4546" s="9" t="str">
        <f aca="false">IF(R4546="","",ROUND(L4546-R4546,2))</f>
        <v/>
      </c>
      <c r="T4546" s="8" t="str">
        <f aca="false">IF(A4546="","",IF(S4546="","BYPASS",IF(ABS(S4546)&lt;=Summary!$B$2,"PASS","FAIL")))</f>
        <v/>
      </c>
      <c r="U4546" s="8" t="str">
        <f aca="false">IF(T4546="BYPASS",IF(NOT(ISNUMBER(Q4546)),"PreV_ETB missing","End_tr_balance missing"),IF(T4546="FAIL",IF(AND(ISNUMBER(K4546),ISNUMBER(L4546),ABS(L4546-(K4546-IF(ISNUMBER(N4546),N4546,0)-IF(ISNUMBER(O4546),O4546,0)+IF(ISNUMBER(P4546),P4546,0)))&lt;=Summary!$B$2),"Passes using beginning_balance - PreV_ETB differs from beginning_balance",IF(AND(ISNUMBER(O4546),O4546&lt;0,ABS(L4546-(Q4546-IF(ISNUMBER(N4546),N4546,0)+IF(ISNUMBER(P4546),P4546,0)))&lt;=Summary!$B$2),"Negative realized loss not applied - check sign",IF(R4546&lt;0,"Principal paid exceeds prior balance",IF(AND(L4546&gt;Q4546,NOT(ISNUMBER(P4546))),"Balance increased but no Deferred_interest reported",IF(L4546&gt;R4546,"Reported balance higher than expected (missing increase/OC build)","Reported balance lower than expected (missing decrease)"))))),""))</f>
        <v/>
      </c>
    </row>
    <row r="4547" customFormat="false" ht="15" hidden="false" customHeight="false" outlineLevel="0" collapsed="false">
      <c r="A4547" s="8"/>
      <c r="B4547" s="8"/>
      <c r="C4547" s="8"/>
      <c r="D4547" s="8"/>
      <c r="E4547" s="8"/>
      <c r="F4547" s="8"/>
      <c r="G4547" s="8"/>
      <c r="H4547" s="8"/>
      <c r="I4547" s="8"/>
      <c r="J4547" s="8"/>
      <c r="K4547" s="9"/>
      <c r="L4547" s="9"/>
      <c r="M4547" s="9"/>
      <c r="N4547" s="9"/>
      <c r="O4547" s="9"/>
      <c r="P4547" s="9"/>
      <c r="Q4547" s="9"/>
      <c r="R4547" s="9" t="str">
        <f aca="false">IF(AND(A4547&lt;&gt;"",ISNUMBER(Q4547),ISNUMBER(L4547)),ROUND(Q4547-IF(ISNUMBER(N4547),N4547,0)-IF(ISNUMBER(O4547),O4547,0)+IF(ISNUMBER(P4547),P4547,0),2),"")</f>
        <v/>
      </c>
      <c r="S4547" s="9" t="str">
        <f aca="false">IF(R4547="","",ROUND(L4547-R4547,2))</f>
        <v/>
      </c>
      <c r="T4547" s="8" t="str">
        <f aca="false">IF(A4547="","",IF(S4547="","BYPASS",IF(ABS(S4547)&lt;=Summary!$B$2,"PASS","FAIL")))</f>
        <v/>
      </c>
      <c r="U4547" s="8" t="str">
        <f aca="false">IF(T4547="BYPASS",IF(NOT(ISNUMBER(Q4547)),"PreV_ETB missing","End_tr_balance missing"),IF(T4547="FAIL",IF(AND(ISNUMBER(K4547),ISNUMBER(L4547),ABS(L4547-(K4547-IF(ISNUMBER(N4547),N4547,0)-IF(ISNUMBER(O4547),O4547,0)+IF(ISNUMBER(P4547),P4547,0)))&lt;=Summary!$B$2),"Passes using beginning_balance - PreV_ETB differs from beginning_balance",IF(AND(ISNUMBER(O4547),O4547&lt;0,ABS(L4547-(Q4547-IF(ISNUMBER(N4547),N4547,0)+IF(ISNUMBER(P4547),P4547,0)))&lt;=Summary!$B$2),"Negative realized loss not applied - check sign",IF(R4547&lt;0,"Principal paid exceeds prior balance",IF(AND(L4547&gt;Q4547,NOT(ISNUMBER(P4547))),"Balance increased but no Deferred_interest reported",IF(L4547&gt;R4547,"Reported balance higher than expected (missing increase/OC build)","Reported balance lower than expected (missing decrease)"))))),""))</f>
        <v/>
      </c>
    </row>
    <row r="4548" customFormat="false" ht="15" hidden="false" customHeight="false" outlineLevel="0" collapsed="false">
      <c r="A4548" s="8"/>
      <c r="B4548" s="8"/>
      <c r="C4548" s="8"/>
      <c r="D4548" s="8"/>
      <c r="E4548" s="8"/>
      <c r="F4548" s="8"/>
      <c r="G4548" s="8"/>
      <c r="H4548" s="8"/>
      <c r="I4548" s="8"/>
      <c r="J4548" s="8"/>
      <c r="K4548" s="9"/>
      <c r="L4548" s="9"/>
      <c r="M4548" s="9"/>
      <c r="N4548" s="9"/>
      <c r="O4548" s="9"/>
      <c r="P4548" s="9"/>
      <c r="Q4548" s="9"/>
      <c r="R4548" s="9" t="str">
        <f aca="false">IF(AND(A4548&lt;&gt;"",ISNUMBER(Q4548),ISNUMBER(L4548)),ROUND(Q4548-IF(ISNUMBER(N4548),N4548,0)-IF(ISNUMBER(O4548),O4548,0)+IF(ISNUMBER(P4548),P4548,0),2),"")</f>
        <v/>
      </c>
      <c r="S4548" s="9" t="str">
        <f aca="false">IF(R4548="","",ROUND(L4548-R4548,2))</f>
        <v/>
      </c>
      <c r="T4548" s="8" t="str">
        <f aca="false">IF(A4548="","",IF(S4548="","BYPASS",IF(ABS(S4548)&lt;=Summary!$B$2,"PASS","FAIL")))</f>
        <v/>
      </c>
      <c r="U4548" s="8" t="str">
        <f aca="false">IF(T4548="BYPASS",IF(NOT(ISNUMBER(Q4548)),"PreV_ETB missing","End_tr_balance missing"),IF(T4548="FAIL",IF(AND(ISNUMBER(K4548),ISNUMBER(L4548),ABS(L4548-(K4548-IF(ISNUMBER(N4548),N4548,0)-IF(ISNUMBER(O4548),O4548,0)+IF(ISNUMBER(P4548),P4548,0)))&lt;=Summary!$B$2),"Passes using beginning_balance - PreV_ETB differs from beginning_balance",IF(AND(ISNUMBER(O4548),O4548&lt;0,ABS(L4548-(Q4548-IF(ISNUMBER(N4548),N4548,0)+IF(ISNUMBER(P4548),P4548,0)))&lt;=Summary!$B$2),"Negative realized loss not applied - check sign",IF(R4548&lt;0,"Principal paid exceeds prior balance",IF(AND(L4548&gt;Q4548,NOT(ISNUMBER(P4548))),"Balance increased but no Deferred_interest reported",IF(L4548&gt;R4548,"Reported balance higher than expected (missing increase/OC build)","Reported balance lower than expected (missing decrease)"))))),""))</f>
        <v/>
      </c>
    </row>
    <row r="4549" customFormat="false" ht="15" hidden="false" customHeight="false" outlineLevel="0" collapsed="false">
      <c r="A4549" s="8"/>
      <c r="B4549" s="8"/>
      <c r="C4549" s="8"/>
      <c r="D4549" s="8"/>
      <c r="E4549" s="8"/>
      <c r="F4549" s="8"/>
      <c r="G4549" s="8"/>
      <c r="H4549" s="8"/>
      <c r="I4549" s="8"/>
      <c r="J4549" s="8"/>
      <c r="K4549" s="9"/>
      <c r="L4549" s="9"/>
      <c r="M4549" s="9"/>
      <c r="N4549" s="9"/>
      <c r="O4549" s="9"/>
      <c r="P4549" s="9"/>
      <c r="Q4549" s="9"/>
      <c r="R4549" s="9" t="str">
        <f aca="false">IF(AND(A4549&lt;&gt;"",ISNUMBER(Q4549),ISNUMBER(L4549)),ROUND(Q4549-IF(ISNUMBER(N4549),N4549,0)-IF(ISNUMBER(O4549),O4549,0)+IF(ISNUMBER(P4549),P4549,0),2),"")</f>
        <v/>
      </c>
      <c r="S4549" s="9" t="str">
        <f aca="false">IF(R4549="","",ROUND(L4549-R4549,2))</f>
        <v/>
      </c>
      <c r="T4549" s="8" t="str">
        <f aca="false">IF(A4549="","",IF(S4549="","BYPASS",IF(ABS(S4549)&lt;=Summary!$B$2,"PASS","FAIL")))</f>
        <v/>
      </c>
      <c r="U4549" s="8" t="str">
        <f aca="false">IF(T4549="BYPASS",IF(NOT(ISNUMBER(Q4549)),"PreV_ETB missing","End_tr_balance missing"),IF(T4549="FAIL",IF(AND(ISNUMBER(K4549),ISNUMBER(L4549),ABS(L4549-(K4549-IF(ISNUMBER(N4549),N4549,0)-IF(ISNUMBER(O4549),O4549,0)+IF(ISNUMBER(P4549),P4549,0)))&lt;=Summary!$B$2),"Passes using beginning_balance - PreV_ETB differs from beginning_balance",IF(AND(ISNUMBER(O4549),O4549&lt;0,ABS(L4549-(Q4549-IF(ISNUMBER(N4549),N4549,0)+IF(ISNUMBER(P4549),P4549,0)))&lt;=Summary!$B$2),"Negative realized loss not applied - check sign",IF(R4549&lt;0,"Principal paid exceeds prior balance",IF(AND(L4549&gt;Q4549,NOT(ISNUMBER(P4549))),"Balance increased but no Deferred_interest reported",IF(L4549&gt;R4549,"Reported balance higher than expected (missing increase/OC build)","Reported balance lower than expected (missing decrease)"))))),""))</f>
        <v/>
      </c>
    </row>
    <row r="4550" customFormat="false" ht="15" hidden="false" customHeight="false" outlineLevel="0" collapsed="false">
      <c r="A4550" s="8"/>
      <c r="B4550" s="8"/>
      <c r="C4550" s="8"/>
      <c r="D4550" s="8"/>
      <c r="E4550" s="8"/>
      <c r="F4550" s="8"/>
      <c r="G4550" s="8"/>
      <c r="H4550" s="8"/>
      <c r="I4550" s="8"/>
      <c r="J4550" s="8"/>
      <c r="K4550" s="9"/>
      <c r="L4550" s="9"/>
      <c r="M4550" s="9"/>
      <c r="N4550" s="9"/>
      <c r="O4550" s="9"/>
      <c r="P4550" s="9"/>
      <c r="Q4550" s="9"/>
      <c r="R4550" s="9" t="str">
        <f aca="false">IF(AND(A4550&lt;&gt;"",ISNUMBER(Q4550),ISNUMBER(L4550)),ROUND(Q4550-IF(ISNUMBER(N4550),N4550,0)-IF(ISNUMBER(O4550),O4550,0)+IF(ISNUMBER(P4550),P4550,0),2),"")</f>
        <v/>
      </c>
      <c r="S4550" s="9" t="str">
        <f aca="false">IF(R4550="","",ROUND(L4550-R4550,2))</f>
        <v/>
      </c>
      <c r="T4550" s="8" t="str">
        <f aca="false">IF(A4550="","",IF(S4550="","BYPASS",IF(ABS(S4550)&lt;=Summary!$B$2,"PASS","FAIL")))</f>
        <v/>
      </c>
      <c r="U4550" s="8" t="str">
        <f aca="false">IF(T4550="BYPASS",IF(NOT(ISNUMBER(Q4550)),"PreV_ETB missing","End_tr_balance missing"),IF(T4550="FAIL",IF(AND(ISNUMBER(K4550),ISNUMBER(L4550),ABS(L4550-(K4550-IF(ISNUMBER(N4550),N4550,0)-IF(ISNUMBER(O4550),O4550,0)+IF(ISNUMBER(P4550),P4550,0)))&lt;=Summary!$B$2),"Passes using beginning_balance - PreV_ETB differs from beginning_balance",IF(AND(ISNUMBER(O4550),O4550&lt;0,ABS(L4550-(Q4550-IF(ISNUMBER(N4550),N4550,0)+IF(ISNUMBER(P4550),P4550,0)))&lt;=Summary!$B$2),"Negative realized loss not applied - check sign",IF(R4550&lt;0,"Principal paid exceeds prior balance",IF(AND(L4550&gt;Q4550,NOT(ISNUMBER(P4550))),"Balance increased but no Deferred_interest reported",IF(L4550&gt;R4550,"Reported balance higher than expected (missing increase/OC build)","Reported balance lower than expected (missing decrease)"))))),""))</f>
        <v/>
      </c>
    </row>
    <row r="4551" customFormat="false" ht="15" hidden="false" customHeight="false" outlineLevel="0" collapsed="false">
      <c r="A4551" s="8"/>
      <c r="B4551" s="8"/>
      <c r="C4551" s="8"/>
      <c r="D4551" s="8"/>
      <c r="E4551" s="8"/>
      <c r="F4551" s="8"/>
      <c r="G4551" s="8"/>
      <c r="H4551" s="8"/>
      <c r="I4551" s="8"/>
      <c r="J4551" s="8"/>
      <c r="K4551" s="9"/>
      <c r="L4551" s="9"/>
      <c r="M4551" s="9"/>
      <c r="N4551" s="9"/>
      <c r="O4551" s="9"/>
      <c r="P4551" s="9"/>
      <c r="Q4551" s="9"/>
      <c r="R4551" s="9" t="str">
        <f aca="false">IF(AND(A4551&lt;&gt;"",ISNUMBER(Q4551),ISNUMBER(L4551)),ROUND(Q4551-IF(ISNUMBER(N4551),N4551,0)-IF(ISNUMBER(O4551),O4551,0)+IF(ISNUMBER(P4551),P4551,0),2),"")</f>
        <v/>
      </c>
      <c r="S4551" s="9" t="str">
        <f aca="false">IF(R4551="","",ROUND(L4551-R4551,2))</f>
        <v/>
      </c>
      <c r="T4551" s="8" t="str">
        <f aca="false">IF(A4551="","",IF(S4551="","BYPASS",IF(ABS(S4551)&lt;=Summary!$B$2,"PASS","FAIL")))</f>
        <v/>
      </c>
      <c r="U4551" s="8" t="str">
        <f aca="false">IF(T4551="BYPASS",IF(NOT(ISNUMBER(Q4551)),"PreV_ETB missing","End_tr_balance missing"),IF(T4551="FAIL",IF(AND(ISNUMBER(K4551),ISNUMBER(L4551),ABS(L4551-(K4551-IF(ISNUMBER(N4551),N4551,0)-IF(ISNUMBER(O4551),O4551,0)+IF(ISNUMBER(P4551),P4551,0)))&lt;=Summary!$B$2),"Passes using beginning_balance - PreV_ETB differs from beginning_balance",IF(AND(ISNUMBER(O4551),O4551&lt;0,ABS(L4551-(Q4551-IF(ISNUMBER(N4551),N4551,0)+IF(ISNUMBER(P4551),P4551,0)))&lt;=Summary!$B$2),"Negative realized loss not applied - check sign",IF(R4551&lt;0,"Principal paid exceeds prior balance",IF(AND(L4551&gt;Q4551,NOT(ISNUMBER(P4551))),"Balance increased but no Deferred_interest reported",IF(L4551&gt;R4551,"Reported balance higher than expected (missing increase/OC build)","Reported balance lower than expected (missing decrease)"))))),""))</f>
        <v/>
      </c>
    </row>
    <row r="4552" customFormat="false" ht="15" hidden="false" customHeight="false" outlineLevel="0" collapsed="false">
      <c r="A4552" s="8"/>
      <c r="B4552" s="8"/>
      <c r="C4552" s="8"/>
      <c r="D4552" s="8"/>
      <c r="E4552" s="8"/>
      <c r="F4552" s="8"/>
      <c r="G4552" s="8"/>
      <c r="H4552" s="8"/>
      <c r="I4552" s="8"/>
      <c r="J4552" s="8"/>
      <c r="K4552" s="9"/>
      <c r="L4552" s="9"/>
      <c r="M4552" s="9"/>
      <c r="N4552" s="9"/>
      <c r="O4552" s="9"/>
      <c r="P4552" s="9"/>
      <c r="Q4552" s="9"/>
      <c r="R4552" s="9" t="str">
        <f aca="false">IF(AND(A4552&lt;&gt;"",ISNUMBER(Q4552),ISNUMBER(L4552)),ROUND(Q4552-IF(ISNUMBER(N4552),N4552,0)-IF(ISNUMBER(O4552),O4552,0)+IF(ISNUMBER(P4552),P4552,0),2),"")</f>
        <v/>
      </c>
      <c r="S4552" s="9" t="str">
        <f aca="false">IF(R4552="","",ROUND(L4552-R4552,2))</f>
        <v/>
      </c>
      <c r="T4552" s="8" t="str">
        <f aca="false">IF(A4552="","",IF(S4552="","BYPASS",IF(ABS(S4552)&lt;=Summary!$B$2,"PASS","FAIL")))</f>
        <v/>
      </c>
      <c r="U4552" s="8" t="str">
        <f aca="false">IF(T4552="BYPASS",IF(NOT(ISNUMBER(Q4552)),"PreV_ETB missing","End_tr_balance missing"),IF(T4552="FAIL",IF(AND(ISNUMBER(K4552),ISNUMBER(L4552),ABS(L4552-(K4552-IF(ISNUMBER(N4552),N4552,0)-IF(ISNUMBER(O4552),O4552,0)+IF(ISNUMBER(P4552),P4552,0)))&lt;=Summary!$B$2),"Passes using beginning_balance - PreV_ETB differs from beginning_balance",IF(AND(ISNUMBER(O4552),O4552&lt;0,ABS(L4552-(Q4552-IF(ISNUMBER(N4552),N4552,0)+IF(ISNUMBER(P4552),P4552,0)))&lt;=Summary!$B$2),"Negative realized loss not applied - check sign",IF(R4552&lt;0,"Principal paid exceeds prior balance",IF(AND(L4552&gt;Q4552,NOT(ISNUMBER(P4552))),"Balance increased but no Deferred_interest reported",IF(L4552&gt;R4552,"Reported balance higher than expected (missing increase/OC build)","Reported balance lower than expected (missing decrease)"))))),""))</f>
        <v/>
      </c>
    </row>
    <row r="4553" customFormat="false" ht="15" hidden="false" customHeight="false" outlineLevel="0" collapsed="false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9"/>
      <c r="L4553" s="9"/>
      <c r="M4553" s="9"/>
      <c r="N4553" s="9"/>
      <c r="O4553" s="9"/>
      <c r="P4553" s="9"/>
      <c r="Q4553" s="9"/>
      <c r="R4553" s="9" t="str">
        <f aca="false">IF(AND(A4553&lt;&gt;"",ISNUMBER(Q4553),ISNUMBER(L4553)),ROUND(Q4553-IF(ISNUMBER(N4553),N4553,0)-IF(ISNUMBER(O4553),O4553,0)+IF(ISNUMBER(P4553),P4553,0),2),"")</f>
        <v/>
      </c>
      <c r="S4553" s="9" t="str">
        <f aca="false">IF(R4553="","",ROUND(L4553-R4553,2))</f>
        <v/>
      </c>
      <c r="T4553" s="8" t="str">
        <f aca="false">IF(A4553="","",IF(S4553="","BYPASS",IF(ABS(S4553)&lt;=Summary!$B$2,"PASS","FAIL")))</f>
        <v/>
      </c>
      <c r="U4553" s="8" t="str">
        <f aca="false">IF(T4553="BYPASS",IF(NOT(ISNUMBER(Q4553)),"PreV_ETB missing","End_tr_balance missing"),IF(T4553="FAIL",IF(AND(ISNUMBER(K4553),ISNUMBER(L4553),ABS(L4553-(K4553-IF(ISNUMBER(N4553),N4553,0)-IF(ISNUMBER(O4553),O4553,0)+IF(ISNUMBER(P4553),P4553,0)))&lt;=Summary!$B$2),"Passes using beginning_balance - PreV_ETB differs from beginning_balance",IF(AND(ISNUMBER(O4553),O4553&lt;0,ABS(L4553-(Q4553-IF(ISNUMBER(N4553),N4553,0)+IF(ISNUMBER(P4553),P4553,0)))&lt;=Summary!$B$2),"Negative realized loss not applied - check sign",IF(R4553&lt;0,"Principal paid exceeds prior balance",IF(AND(L4553&gt;Q4553,NOT(ISNUMBER(P4553))),"Balance increased but no Deferred_interest reported",IF(L4553&gt;R4553,"Reported balance higher than expected (missing increase/OC build)","Reported balance lower than expected (missing decrease)"))))),""))</f>
        <v/>
      </c>
    </row>
    <row r="4554" customFormat="false" ht="15" hidden="false" customHeight="false" outlineLevel="0" collapsed="false">
      <c r="A4554" s="8"/>
      <c r="B4554" s="8"/>
      <c r="C4554" s="8"/>
      <c r="D4554" s="8"/>
      <c r="E4554" s="8"/>
      <c r="F4554" s="8"/>
      <c r="G4554" s="8"/>
      <c r="H4554" s="8"/>
      <c r="I4554" s="8"/>
      <c r="J4554" s="8"/>
      <c r="K4554" s="9"/>
      <c r="L4554" s="9"/>
      <c r="M4554" s="9"/>
      <c r="N4554" s="9"/>
      <c r="O4554" s="9"/>
      <c r="P4554" s="9"/>
      <c r="Q4554" s="9"/>
      <c r="R4554" s="9" t="str">
        <f aca="false">IF(AND(A4554&lt;&gt;"",ISNUMBER(Q4554),ISNUMBER(L4554)),ROUND(Q4554-IF(ISNUMBER(N4554),N4554,0)-IF(ISNUMBER(O4554),O4554,0)+IF(ISNUMBER(P4554),P4554,0),2),"")</f>
        <v/>
      </c>
      <c r="S4554" s="9" t="str">
        <f aca="false">IF(R4554="","",ROUND(L4554-R4554,2))</f>
        <v/>
      </c>
      <c r="T4554" s="8" t="str">
        <f aca="false">IF(A4554="","",IF(S4554="","BYPASS",IF(ABS(S4554)&lt;=Summary!$B$2,"PASS","FAIL")))</f>
        <v/>
      </c>
      <c r="U4554" s="8" t="str">
        <f aca="false">IF(T4554="BYPASS",IF(NOT(ISNUMBER(Q4554)),"PreV_ETB missing","End_tr_balance missing"),IF(T4554="FAIL",IF(AND(ISNUMBER(K4554),ISNUMBER(L4554),ABS(L4554-(K4554-IF(ISNUMBER(N4554),N4554,0)-IF(ISNUMBER(O4554),O4554,0)+IF(ISNUMBER(P4554),P4554,0)))&lt;=Summary!$B$2),"Passes using beginning_balance - PreV_ETB differs from beginning_balance",IF(AND(ISNUMBER(O4554),O4554&lt;0,ABS(L4554-(Q4554-IF(ISNUMBER(N4554),N4554,0)+IF(ISNUMBER(P4554),P4554,0)))&lt;=Summary!$B$2),"Negative realized loss not applied - check sign",IF(R4554&lt;0,"Principal paid exceeds prior balance",IF(AND(L4554&gt;Q4554,NOT(ISNUMBER(P4554))),"Balance increased but no Deferred_interest reported",IF(L4554&gt;R4554,"Reported balance higher than expected (missing increase/OC build)","Reported balance lower than expected (missing decrease)"))))),""))</f>
        <v/>
      </c>
    </row>
    <row r="4555" customFormat="false" ht="15" hidden="false" customHeight="false" outlineLevel="0" collapsed="false">
      <c r="A4555" s="8"/>
      <c r="B4555" s="8"/>
      <c r="C4555" s="8"/>
      <c r="D4555" s="8"/>
      <c r="E4555" s="8"/>
      <c r="F4555" s="8"/>
      <c r="G4555" s="8"/>
      <c r="H4555" s="8"/>
      <c r="I4555" s="8"/>
      <c r="J4555" s="8"/>
      <c r="K4555" s="9"/>
      <c r="L4555" s="9"/>
      <c r="M4555" s="9"/>
      <c r="N4555" s="9"/>
      <c r="O4555" s="9"/>
      <c r="P4555" s="9"/>
      <c r="Q4555" s="9"/>
      <c r="R4555" s="9" t="str">
        <f aca="false">IF(AND(A4555&lt;&gt;"",ISNUMBER(Q4555),ISNUMBER(L4555)),ROUND(Q4555-IF(ISNUMBER(N4555),N4555,0)-IF(ISNUMBER(O4555),O4555,0)+IF(ISNUMBER(P4555),P4555,0),2),"")</f>
        <v/>
      </c>
      <c r="S4555" s="9" t="str">
        <f aca="false">IF(R4555="","",ROUND(L4555-R4555,2))</f>
        <v/>
      </c>
      <c r="T4555" s="8" t="str">
        <f aca="false">IF(A4555="","",IF(S4555="","BYPASS",IF(ABS(S4555)&lt;=Summary!$B$2,"PASS","FAIL")))</f>
        <v/>
      </c>
      <c r="U4555" s="8" t="str">
        <f aca="false">IF(T4555="BYPASS",IF(NOT(ISNUMBER(Q4555)),"PreV_ETB missing","End_tr_balance missing"),IF(T4555="FAIL",IF(AND(ISNUMBER(K4555),ISNUMBER(L4555),ABS(L4555-(K4555-IF(ISNUMBER(N4555),N4555,0)-IF(ISNUMBER(O4555),O4555,0)+IF(ISNUMBER(P4555),P4555,0)))&lt;=Summary!$B$2),"Passes using beginning_balance - PreV_ETB differs from beginning_balance",IF(AND(ISNUMBER(O4555),O4555&lt;0,ABS(L4555-(Q4555-IF(ISNUMBER(N4555),N4555,0)+IF(ISNUMBER(P4555),P4555,0)))&lt;=Summary!$B$2),"Negative realized loss not applied - check sign",IF(R4555&lt;0,"Principal paid exceeds prior balance",IF(AND(L4555&gt;Q4555,NOT(ISNUMBER(P4555))),"Balance increased but no Deferred_interest reported",IF(L4555&gt;R4555,"Reported balance higher than expected (missing increase/OC build)","Reported balance lower than expected (missing decrease)"))))),""))</f>
        <v/>
      </c>
    </row>
    <row r="4556" customFormat="false" ht="15" hidden="false" customHeight="false" outlineLevel="0" collapsed="false">
      <c r="A4556" s="8"/>
      <c r="B4556" s="8"/>
      <c r="C4556" s="8"/>
      <c r="D4556" s="8"/>
      <c r="E4556" s="8"/>
      <c r="F4556" s="8"/>
      <c r="G4556" s="8"/>
      <c r="H4556" s="8"/>
      <c r="I4556" s="8"/>
      <c r="J4556" s="8"/>
      <c r="K4556" s="9"/>
      <c r="L4556" s="9"/>
      <c r="M4556" s="9"/>
      <c r="N4556" s="9"/>
      <c r="O4556" s="9"/>
      <c r="P4556" s="9"/>
      <c r="Q4556" s="9"/>
      <c r="R4556" s="9" t="str">
        <f aca="false">IF(AND(A4556&lt;&gt;"",ISNUMBER(Q4556),ISNUMBER(L4556)),ROUND(Q4556-IF(ISNUMBER(N4556),N4556,0)-IF(ISNUMBER(O4556),O4556,0)+IF(ISNUMBER(P4556),P4556,0),2),"")</f>
        <v/>
      </c>
      <c r="S4556" s="9" t="str">
        <f aca="false">IF(R4556="","",ROUND(L4556-R4556,2))</f>
        <v/>
      </c>
      <c r="T4556" s="8" t="str">
        <f aca="false">IF(A4556="","",IF(S4556="","BYPASS",IF(ABS(S4556)&lt;=Summary!$B$2,"PASS","FAIL")))</f>
        <v/>
      </c>
      <c r="U4556" s="8" t="str">
        <f aca="false">IF(T4556="BYPASS",IF(NOT(ISNUMBER(Q4556)),"PreV_ETB missing","End_tr_balance missing"),IF(T4556="FAIL",IF(AND(ISNUMBER(K4556),ISNUMBER(L4556),ABS(L4556-(K4556-IF(ISNUMBER(N4556),N4556,0)-IF(ISNUMBER(O4556),O4556,0)+IF(ISNUMBER(P4556),P4556,0)))&lt;=Summary!$B$2),"Passes using beginning_balance - PreV_ETB differs from beginning_balance",IF(AND(ISNUMBER(O4556),O4556&lt;0,ABS(L4556-(Q4556-IF(ISNUMBER(N4556),N4556,0)+IF(ISNUMBER(P4556),P4556,0)))&lt;=Summary!$B$2),"Negative realized loss not applied - check sign",IF(R4556&lt;0,"Principal paid exceeds prior balance",IF(AND(L4556&gt;Q4556,NOT(ISNUMBER(P4556))),"Balance increased but no Deferred_interest reported",IF(L4556&gt;R4556,"Reported balance higher than expected (missing increase/OC build)","Reported balance lower than expected (missing decrease)"))))),""))</f>
        <v/>
      </c>
    </row>
    <row r="4557" customFormat="false" ht="15" hidden="false" customHeight="false" outlineLevel="0" collapsed="false">
      <c r="A4557" s="8"/>
      <c r="B4557" s="8"/>
      <c r="C4557" s="8"/>
      <c r="D4557" s="8"/>
      <c r="E4557" s="8"/>
      <c r="F4557" s="8"/>
      <c r="G4557" s="8"/>
      <c r="H4557" s="8"/>
      <c r="I4557" s="8"/>
      <c r="J4557" s="8"/>
      <c r="K4557" s="9"/>
      <c r="L4557" s="9"/>
      <c r="M4557" s="9"/>
      <c r="N4557" s="9"/>
      <c r="O4557" s="9"/>
      <c r="P4557" s="9"/>
      <c r="Q4557" s="9"/>
      <c r="R4557" s="9" t="str">
        <f aca="false">IF(AND(A4557&lt;&gt;"",ISNUMBER(Q4557),ISNUMBER(L4557)),ROUND(Q4557-IF(ISNUMBER(N4557),N4557,0)-IF(ISNUMBER(O4557),O4557,0)+IF(ISNUMBER(P4557),P4557,0),2),"")</f>
        <v/>
      </c>
      <c r="S4557" s="9" t="str">
        <f aca="false">IF(R4557="","",ROUND(L4557-R4557,2))</f>
        <v/>
      </c>
      <c r="T4557" s="8" t="str">
        <f aca="false">IF(A4557="","",IF(S4557="","BYPASS",IF(ABS(S4557)&lt;=Summary!$B$2,"PASS","FAIL")))</f>
        <v/>
      </c>
      <c r="U4557" s="8" t="str">
        <f aca="false">IF(T4557="BYPASS",IF(NOT(ISNUMBER(Q4557)),"PreV_ETB missing","End_tr_balance missing"),IF(T4557="FAIL",IF(AND(ISNUMBER(K4557),ISNUMBER(L4557),ABS(L4557-(K4557-IF(ISNUMBER(N4557),N4557,0)-IF(ISNUMBER(O4557),O4557,0)+IF(ISNUMBER(P4557),P4557,0)))&lt;=Summary!$B$2),"Passes using beginning_balance - PreV_ETB differs from beginning_balance",IF(AND(ISNUMBER(O4557),O4557&lt;0,ABS(L4557-(Q4557-IF(ISNUMBER(N4557),N4557,0)+IF(ISNUMBER(P4557),P4557,0)))&lt;=Summary!$B$2),"Negative realized loss not applied - check sign",IF(R4557&lt;0,"Principal paid exceeds prior balance",IF(AND(L4557&gt;Q4557,NOT(ISNUMBER(P4557))),"Balance increased but no Deferred_interest reported",IF(L4557&gt;R4557,"Reported balance higher than expected (missing increase/OC build)","Reported balance lower than expected (missing decrease)"))))),""))</f>
        <v/>
      </c>
    </row>
    <row r="4558" customFormat="false" ht="15" hidden="false" customHeight="false" outlineLevel="0" collapsed="false">
      <c r="A4558" s="8"/>
      <c r="B4558" s="8"/>
      <c r="C4558" s="8"/>
      <c r="D4558" s="8"/>
      <c r="E4558" s="8"/>
      <c r="F4558" s="8"/>
      <c r="G4558" s="8"/>
      <c r="H4558" s="8"/>
      <c r="I4558" s="8"/>
      <c r="J4558" s="8"/>
      <c r="K4558" s="9"/>
      <c r="L4558" s="9"/>
      <c r="M4558" s="9"/>
      <c r="N4558" s="9"/>
      <c r="O4558" s="9"/>
      <c r="P4558" s="9"/>
      <c r="Q4558" s="9"/>
      <c r="R4558" s="9" t="str">
        <f aca="false">IF(AND(A4558&lt;&gt;"",ISNUMBER(Q4558),ISNUMBER(L4558)),ROUND(Q4558-IF(ISNUMBER(N4558),N4558,0)-IF(ISNUMBER(O4558),O4558,0)+IF(ISNUMBER(P4558),P4558,0),2),"")</f>
        <v/>
      </c>
      <c r="S4558" s="9" t="str">
        <f aca="false">IF(R4558="","",ROUND(L4558-R4558,2))</f>
        <v/>
      </c>
      <c r="T4558" s="8" t="str">
        <f aca="false">IF(A4558="","",IF(S4558="","BYPASS",IF(ABS(S4558)&lt;=Summary!$B$2,"PASS","FAIL")))</f>
        <v/>
      </c>
      <c r="U4558" s="8" t="str">
        <f aca="false">IF(T4558="BYPASS",IF(NOT(ISNUMBER(Q4558)),"PreV_ETB missing","End_tr_balance missing"),IF(T4558="FAIL",IF(AND(ISNUMBER(K4558),ISNUMBER(L4558),ABS(L4558-(K4558-IF(ISNUMBER(N4558),N4558,0)-IF(ISNUMBER(O4558),O4558,0)+IF(ISNUMBER(P4558),P4558,0)))&lt;=Summary!$B$2),"Passes using beginning_balance - PreV_ETB differs from beginning_balance",IF(AND(ISNUMBER(O4558),O4558&lt;0,ABS(L4558-(Q4558-IF(ISNUMBER(N4558),N4558,0)+IF(ISNUMBER(P4558),P4558,0)))&lt;=Summary!$B$2),"Negative realized loss not applied - check sign",IF(R4558&lt;0,"Principal paid exceeds prior balance",IF(AND(L4558&gt;Q4558,NOT(ISNUMBER(P4558))),"Balance increased but no Deferred_interest reported",IF(L4558&gt;R4558,"Reported balance higher than expected (missing increase/OC build)","Reported balance lower than expected (missing decrease)"))))),""))</f>
        <v/>
      </c>
    </row>
    <row r="4559" customFormat="false" ht="15" hidden="false" customHeight="false" outlineLevel="0" collapsed="false">
      <c r="A4559" s="8"/>
      <c r="B4559" s="8"/>
      <c r="C4559" s="8"/>
      <c r="D4559" s="8"/>
      <c r="E4559" s="8"/>
      <c r="F4559" s="8"/>
      <c r="G4559" s="8"/>
      <c r="H4559" s="8"/>
      <c r="I4559" s="8"/>
      <c r="J4559" s="8"/>
      <c r="K4559" s="9"/>
      <c r="L4559" s="9"/>
      <c r="M4559" s="9"/>
      <c r="N4559" s="9"/>
      <c r="O4559" s="9"/>
      <c r="P4559" s="9"/>
      <c r="Q4559" s="9"/>
      <c r="R4559" s="9" t="str">
        <f aca="false">IF(AND(A4559&lt;&gt;"",ISNUMBER(Q4559),ISNUMBER(L4559)),ROUND(Q4559-IF(ISNUMBER(N4559),N4559,0)-IF(ISNUMBER(O4559),O4559,0)+IF(ISNUMBER(P4559),P4559,0),2),"")</f>
        <v/>
      </c>
      <c r="S4559" s="9" t="str">
        <f aca="false">IF(R4559="","",ROUND(L4559-R4559,2))</f>
        <v/>
      </c>
      <c r="T4559" s="8" t="str">
        <f aca="false">IF(A4559="","",IF(S4559="","BYPASS",IF(ABS(S4559)&lt;=Summary!$B$2,"PASS","FAIL")))</f>
        <v/>
      </c>
      <c r="U4559" s="8" t="str">
        <f aca="false">IF(T4559="BYPASS",IF(NOT(ISNUMBER(Q4559)),"PreV_ETB missing","End_tr_balance missing"),IF(T4559="FAIL",IF(AND(ISNUMBER(K4559),ISNUMBER(L4559),ABS(L4559-(K4559-IF(ISNUMBER(N4559),N4559,0)-IF(ISNUMBER(O4559),O4559,0)+IF(ISNUMBER(P4559),P4559,0)))&lt;=Summary!$B$2),"Passes using beginning_balance - PreV_ETB differs from beginning_balance",IF(AND(ISNUMBER(O4559),O4559&lt;0,ABS(L4559-(Q4559-IF(ISNUMBER(N4559),N4559,0)+IF(ISNUMBER(P4559),P4559,0)))&lt;=Summary!$B$2),"Negative realized loss not applied - check sign",IF(R4559&lt;0,"Principal paid exceeds prior balance",IF(AND(L4559&gt;Q4559,NOT(ISNUMBER(P4559))),"Balance increased but no Deferred_interest reported",IF(L4559&gt;R4559,"Reported balance higher than expected (missing increase/OC build)","Reported balance lower than expected (missing decrease)"))))),""))</f>
        <v/>
      </c>
    </row>
    <row r="4560" customFormat="false" ht="15" hidden="false" customHeight="false" outlineLevel="0" collapsed="false">
      <c r="A4560" s="8"/>
      <c r="B4560" s="8"/>
      <c r="C4560" s="8"/>
      <c r="D4560" s="8"/>
      <c r="E4560" s="8"/>
      <c r="F4560" s="8"/>
      <c r="G4560" s="8"/>
      <c r="H4560" s="8"/>
      <c r="I4560" s="8"/>
      <c r="J4560" s="8"/>
      <c r="K4560" s="9"/>
      <c r="L4560" s="9"/>
      <c r="M4560" s="9"/>
      <c r="N4560" s="9"/>
      <c r="O4560" s="9"/>
      <c r="P4560" s="9"/>
      <c r="Q4560" s="9"/>
      <c r="R4560" s="9" t="str">
        <f aca="false">IF(AND(A4560&lt;&gt;"",ISNUMBER(Q4560),ISNUMBER(L4560)),ROUND(Q4560-IF(ISNUMBER(N4560),N4560,0)-IF(ISNUMBER(O4560),O4560,0)+IF(ISNUMBER(P4560),P4560,0),2),"")</f>
        <v/>
      </c>
      <c r="S4560" s="9" t="str">
        <f aca="false">IF(R4560="","",ROUND(L4560-R4560,2))</f>
        <v/>
      </c>
      <c r="T4560" s="8" t="str">
        <f aca="false">IF(A4560="","",IF(S4560="","BYPASS",IF(ABS(S4560)&lt;=Summary!$B$2,"PASS","FAIL")))</f>
        <v/>
      </c>
      <c r="U4560" s="8" t="str">
        <f aca="false">IF(T4560="BYPASS",IF(NOT(ISNUMBER(Q4560)),"PreV_ETB missing","End_tr_balance missing"),IF(T4560="FAIL",IF(AND(ISNUMBER(K4560),ISNUMBER(L4560),ABS(L4560-(K4560-IF(ISNUMBER(N4560),N4560,0)-IF(ISNUMBER(O4560),O4560,0)+IF(ISNUMBER(P4560),P4560,0)))&lt;=Summary!$B$2),"Passes using beginning_balance - PreV_ETB differs from beginning_balance",IF(AND(ISNUMBER(O4560),O4560&lt;0,ABS(L4560-(Q4560-IF(ISNUMBER(N4560),N4560,0)+IF(ISNUMBER(P4560),P4560,0)))&lt;=Summary!$B$2),"Negative realized loss not applied - check sign",IF(R4560&lt;0,"Principal paid exceeds prior balance",IF(AND(L4560&gt;Q4560,NOT(ISNUMBER(P4560))),"Balance increased but no Deferred_interest reported",IF(L4560&gt;R4560,"Reported balance higher than expected (missing increase/OC build)","Reported balance lower than expected (missing decrease)"))))),""))</f>
        <v/>
      </c>
    </row>
    <row r="4561" customFormat="false" ht="15" hidden="false" customHeight="false" outlineLevel="0" collapsed="false">
      <c r="A4561" s="8"/>
      <c r="B4561" s="8"/>
      <c r="C4561" s="8"/>
      <c r="D4561" s="8"/>
      <c r="E4561" s="8"/>
      <c r="F4561" s="8"/>
      <c r="G4561" s="8"/>
      <c r="H4561" s="8"/>
      <c r="I4561" s="8"/>
      <c r="J4561" s="8"/>
      <c r="K4561" s="9"/>
      <c r="L4561" s="9"/>
      <c r="M4561" s="9"/>
      <c r="N4561" s="9"/>
      <c r="O4561" s="9"/>
      <c r="P4561" s="9"/>
      <c r="Q4561" s="9"/>
      <c r="R4561" s="9" t="str">
        <f aca="false">IF(AND(A4561&lt;&gt;"",ISNUMBER(Q4561),ISNUMBER(L4561)),ROUND(Q4561-IF(ISNUMBER(N4561),N4561,0)-IF(ISNUMBER(O4561),O4561,0)+IF(ISNUMBER(P4561),P4561,0),2),"")</f>
        <v/>
      </c>
      <c r="S4561" s="9" t="str">
        <f aca="false">IF(R4561="","",ROUND(L4561-R4561,2))</f>
        <v/>
      </c>
      <c r="T4561" s="8" t="str">
        <f aca="false">IF(A4561="","",IF(S4561="","BYPASS",IF(ABS(S4561)&lt;=Summary!$B$2,"PASS","FAIL")))</f>
        <v/>
      </c>
      <c r="U4561" s="8" t="str">
        <f aca="false">IF(T4561="BYPASS",IF(NOT(ISNUMBER(Q4561)),"PreV_ETB missing","End_tr_balance missing"),IF(T4561="FAIL",IF(AND(ISNUMBER(K4561),ISNUMBER(L4561),ABS(L4561-(K4561-IF(ISNUMBER(N4561),N4561,0)-IF(ISNUMBER(O4561),O4561,0)+IF(ISNUMBER(P4561),P4561,0)))&lt;=Summary!$B$2),"Passes using beginning_balance - PreV_ETB differs from beginning_balance",IF(AND(ISNUMBER(O4561),O4561&lt;0,ABS(L4561-(Q4561-IF(ISNUMBER(N4561),N4561,0)+IF(ISNUMBER(P4561),P4561,0)))&lt;=Summary!$B$2),"Negative realized loss not applied - check sign",IF(R4561&lt;0,"Principal paid exceeds prior balance",IF(AND(L4561&gt;Q4561,NOT(ISNUMBER(P4561))),"Balance increased but no Deferred_interest reported",IF(L4561&gt;R4561,"Reported balance higher than expected (missing increase/OC build)","Reported balance lower than expected (missing decrease)"))))),""))</f>
        <v/>
      </c>
    </row>
    <row r="4562" customFormat="false" ht="15" hidden="false" customHeight="false" outlineLevel="0" collapsed="false">
      <c r="A4562" s="8"/>
      <c r="B4562" s="8"/>
      <c r="C4562" s="8"/>
      <c r="D4562" s="8"/>
      <c r="E4562" s="8"/>
      <c r="F4562" s="8"/>
      <c r="G4562" s="8"/>
      <c r="H4562" s="8"/>
      <c r="I4562" s="8"/>
      <c r="J4562" s="8"/>
      <c r="K4562" s="9"/>
      <c r="L4562" s="9"/>
      <c r="M4562" s="9"/>
      <c r="N4562" s="9"/>
      <c r="O4562" s="9"/>
      <c r="P4562" s="9"/>
      <c r="Q4562" s="9"/>
      <c r="R4562" s="9" t="str">
        <f aca="false">IF(AND(A4562&lt;&gt;"",ISNUMBER(Q4562),ISNUMBER(L4562)),ROUND(Q4562-IF(ISNUMBER(N4562),N4562,0)-IF(ISNUMBER(O4562),O4562,0)+IF(ISNUMBER(P4562),P4562,0),2),"")</f>
        <v/>
      </c>
      <c r="S4562" s="9" t="str">
        <f aca="false">IF(R4562="","",ROUND(L4562-R4562,2))</f>
        <v/>
      </c>
      <c r="T4562" s="8" t="str">
        <f aca="false">IF(A4562="","",IF(S4562="","BYPASS",IF(ABS(S4562)&lt;=Summary!$B$2,"PASS","FAIL")))</f>
        <v/>
      </c>
      <c r="U4562" s="8" t="str">
        <f aca="false">IF(T4562="BYPASS",IF(NOT(ISNUMBER(Q4562)),"PreV_ETB missing","End_tr_balance missing"),IF(T4562="FAIL",IF(AND(ISNUMBER(K4562),ISNUMBER(L4562),ABS(L4562-(K4562-IF(ISNUMBER(N4562),N4562,0)-IF(ISNUMBER(O4562),O4562,0)+IF(ISNUMBER(P4562),P4562,0)))&lt;=Summary!$B$2),"Passes using beginning_balance - PreV_ETB differs from beginning_balance",IF(AND(ISNUMBER(O4562),O4562&lt;0,ABS(L4562-(Q4562-IF(ISNUMBER(N4562),N4562,0)+IF(ISNUMBER(P4562),P4562,0)))&lt;=Summary!$B$2),"Negative realized loss not applied - check sign",IF(R4562&lt;0,"Principal paid exceeds prior balance",IF(AND(L4562&gt;Q4562,NOT(ISNUMBER(P4562))),"Balance increased but no Deferred_interest reported",IF(L4562&gt;R4562,"Reported balance higher than expected (missing increase/OC build)","Reported balance lower than expected (missing decrease)"))))),""))</f>
        <v/>
      </c>
    </row>
    <row r="4563" customFormat="false" ht="15" hidden="false" customHeight="false" outlineLevel="0" collapsed="false">
      <c r="A4563" s="8"/>
      <c r="B4563" s="8"/>
      <c r="C4563" s="8"/>
      <c r="D4563" s="8"/>
      <c r="E4563" s="8"/>
      <c r="F4563" s="8"/>
      <c r="G4563" s="8"/>
      <c r="H4563" s="8"/>
      <c r="I4563" s="8"/>
      <c r="J4563" s="8"/>
      <c r="K4563" s="9"/>
      <c r="L4563" s="9"/>
      <c r="M4563" s="9"/>
      <c r="N4563" s="9"/>
      <c r="O4563" s="9"/>
      <c r="P4563" s="9"/>
      <c r="Q4563" s="9"/>
      <c r="R4563" s="9" t="str">
        <f aca="false">IF(AND(A4563&lt;&gt;"",ISNUMBER(Q4563),ISNUMBER(L4563)),ROUND(Q4563-IF(ISNUMBER(N4563),N4563,0)-IF(ISNUMBER(O4563),O4563,0)+IF(ISNUMBER(P4563),P4563,0),2),"")</f>
        <v/>
      </c>
      <c r="S4563" s="9" t="str">
        <f aca="false">IF(R4563="","",ROUND(L4563-R4563,2))</f>
        <v/>
      </c>
      <c r="T4563" s="8" t="str">
        <f aca="false">IF(A4563="","",IF(S4563="","BYPASS",IF(ABS(S4563)&lt;=Summary!$B$2,"PASS","FAIL")))</f>
        <v/>
      </c>
      <c r="U4563" s="8" t="str">
        <f aca="false">IF(T4563="BYPASS",IF(NOT(ISNUMBER(Q4563)),"PreV_ETB missing","End_tr_balance missing"),IF(T4563="FAIL",IF(AND(ISNUMBER(K4563),ISNUMBER(L4563),ABS(L4563-(K4563-IF(ISNUMBER(N4563),N4563,0)-IF(ISNUMBER(O4563),O4563,0)+IF(ISNUMBER(P4563),P4563,0)))&lt;=Summary!$B$2),"Passes using beginning_balance - PreV_ETB differs from beginning_balance",IF(AND(ISNUMBER(O4563),O4563&lt;0,ABS(L4563-(Q4563-IF(ISNUMBER(N4563),N4563,0)+IF(ISNUMBER(P4563),P4563,0)))&lt;=Summary!$B$2),"Negative realized loss not applied - check sign",IF(R4563&lt;0,"Principal paid exceeds prior balance",IF(AND(L4563&gt;Q4563,NOT(ISNUMBER(P4563))),"Balance increased but no Deferred_interest reported",IF(L4563&gt;R4563,"Reported balance higher than expected (missing increase/OC build)","Reported balance lower than expected (missing decrease)"))))),""))</f>
        <v/>
      </c>
    </row>
    <row r="4564" customFormat="false" ht="15" hidden="false" customHeight="false" outlineLevel="0" collapsed="false">
      <c r="A4564" s="8"/>
      <c r="B4564" s="8"/>
      <c r="C4564" s="8"/>
      <c r="D4564" s="8"/>
      <c r="E4564" s="8"/>
      <c r="F4564" s="8"/>
      <c r="G4564" s="8"/>
      <c r="H4564" s="8"/>
      <c r="I4564" s="8"/>
      <c r="J4564" s="8"/>
      <c r="K4564" s="9"/>
      <c r="L4564" s="9"/>
      <c r="M4564" s="9"/>
      <c r="N4564" s="9"/>
      <c r="O4564" s="9"/>
      <c r="P4564" s="9"/>
      <c r="Q4564" s="9"/>
      <c r="R4564" s="9" t="str">
        <f aca="false">IF(AND(A4564&lt;&gt;"",ISNUMBER(Q4564),ISNUMBER(L4564)),ROUND(Q4564-IF(ISNUMBER(N4564),N4564,0)-IF(ISNUMBER(O4564),O4564,0)+IF(ISNUMBER(P4564),P4564,0),2),"")</f>
        <v/>
      </c>
      <c r="S4564" s="9" t="str">
        <f aca="false">IF(R4564="","",ROUND(L4564-R4564,2))</f>
        <v/>
      </c>
      <c r="T4564" s="8" t="str">
        <f aca="false">IF(A4564="","",IF(S4564="","BYPASS",IF(ABS(S4564)&lt;=Summary!$B$2,"PASS","FAIL")))</f>
        <v/>
      </c>
      <c r="U4564" s="8" t="str">
        <f aca="false">IF(T4564="BYPASS",IF(NOT(ISNUMBER(Q4564)),"PreV_ETB missing","End_tr_balance missing"),IF(T4564="FAIL",IF(AND(ISNUMBER(K4564),ISNUMBER(L4564),ABS(L4564-(K4564-IF(ISNUMBER(N4564),N4564,0)-IF(ISNUMBER(O4564),O4564,0)+IF(ISNUMBER(P4564),P4564,0)))&lt;=Summary!$B$2),"Passes using beginning_balance - PreV_ETB differs from beginning_balance",IF(AND(ISNUMBER(O4564),O4564&lt;0,ABS(L4564-(Q4564-IF(ISNUMBER(N4564),N4564,0)+IF(ISNUMBER(P4564),P4564,0)))&lt;=Summary!$B$2),"Negative realized loss not applied - check sign",IF(R4564&lt;0,"Principal paid exceeds prior balance",IF(AND(L4564&gt;Q4564,NOT(ISNUMBER(P4564))),"Balance increased but no Deferred_interest reported",IF(L4564&gt;R4564,"Reported balance higher than expected (missing increase/OC build)","Reported balance lower than expected (missing decrease)"))))),""))</f>
        <v/>
      </c>
    </row>
    <row r="4565" customFormat="false" ht="15" hidden="false" customHeight="false" outlineLevel="0" collapsed="false">
      <c r="A4565" s="8"/>
      <c r="B4565" s="8"/>
      <c r="C4565" s="8"/>
      <c r="D4565" s="8"/>
      <c r="E4565" s="8"/>
      <c r="F4565" s="8"/>
      <c r="G4565" s="8"/>
      <c r="H4565" s="8"/>
      <c r="I4565" s="8"/>
      <c r="J4565" s="8"/>
      <c r="K4565" s="9"/>
      <c r="L4565" s="9"/>
      <c r="M4565" s="9"/>
      <c r="N4565" s="9"/>
      <c r="O4565" s="9"/>
      <c r="P4565" s="9"/>
      <c r="Q4565" s="9"/>
      <c r="R4565" s="9" t="str">
        <f aca="false">IF(AND(A4565&lt;&gt;"",ISNUMBER(Q4565),ISNUMBER(L4565)),ROUND(Q4565-IF(ISNUMBER(N4565),N4565,0)-IF(ISNUMBER(O4565),O4565,0)+IF(ISNUMBER(P4565),P4565,0),2),"")</f>
        <v/>
      </c>
      <c r="S4565" s="9" t="str">
        <f aca="false">IF(R4565="","",ROUND(L4565-R4565,2))</f>
        <v/>
      </c>
      <c r="T4565" s="8" t="str">
        <f aca="false">IF(A4565="","",IF(S4565="","BYPASS",IF(ABS(S4565)&lt;=Summary!$B$2,"PASS","FAIL")))</f>
        <v/>
      </c>
      <c r="U4565" s="8" t="str">
        <f aca="false">IF(T4565="BYPASS",IF(NOT(ISNUMBER(Q4565)),"PreV_ETB missing","End_tr_balance missing"),IF(T4565="FAIL",IF(AND(ISNUMBER(K4565),ISNUMBER(L4565),ABS(L4565-(K4565-IF(ISNUMBER(N4565),N4565,0)-IF(ISNUMBER(O4565),O4565,0)+IF(ISNUMBER(P4565),P4565,0)))&lt;=Summary!$B$2),"Passes using beginning_balance - PreV_ETB differs from beginning_balance",IF(AND(ISNUMBER(O4565),O4565&lt;0,ABS(L4565-(Q4565-IF(ISNUMBER(N4565),N4565,0)+IF(ISNUMBER(P4565),P4565,0)))&lt;=Summary!$B$2),"Negative realized loss not applied - check sign",IF(R4565&lt;0,"Principal paid exceeds prior balance",IF(AND(L4565&gt;Q4565,NOT(ISNUMBER(P4565))),"Balance increased but no Deferred_interest reported",IF(L4565&gt;R4565,"Reported balance higher than expected (missing increase/OC build)","Reported balance lower than expected (missing decrease)"))))),""))</f>
        <v/>
      </c>
    </row>
    <row r="4566" customFormat="false" ht="15" hidden="false" customHeight="false" outlineLevel="0" collapsed="false">
      <c r="A4566" s="8"/>
      <c r="B4566" s="8"/>
      <c r="C4566" s="8"/>
      <c r="D4566" s="8"/>
      <c r="E4566" s="8"/>
      <c r="F4566" s="8"/>
      <c r="G4566" s="8"/>
      <c r="H4566" s="8"/>
      <c r="I4566" s="8"/>
      <c r="J4566" s="8"/>
      <c r="K4566" s="9"/>
      <c r="L4566" s="9"/>
      <c r="M4566" s="9"/>
      <c r="N4566" s="9"/>
      <c r="O4566" s="9"/>
      <c r="P4566" s="9"/>
      <c r="Q4566" s="9"/>
      <c r="R4566" s="9" t="str">
        <f aca="false">IF(AND(A4566&lt;&gt;"",ISNUMBER(Q4566),ISNUMBER(L4566)),ROUND(Q4566-IF(ISNUMBER(N4566),N4566,0)-IF(ISNUMBER(O4566),O4566,0)+IF(ISNUMBER(P4566),P4566,0),2),"")</f>
        <v/>
      </c>
      <c r="S4566" s="9" t="str">
        <f aca="false">IF(R4566="","",ROUND(L4566-R4566,2))</f>
        <v/>
      </c>
      <c r="T4566" s="8" t="str">
        <f aca="false">IF(A4566="","",IF(S4566="","BYPASS",IF(ABS(S4566)&lt;=Summary!$B$2,"PASS","FAIL")))</f>
        <v/>
      </c>
      <c r="U4566" s="8" t="str">
        <f aca="false">IF(T4566="BYPASS",IF(NOT(ISNUMBER(Q4566)),"PreV_ETB missing","End_tr_balance missing"),IF(T4566="FAIL",IF(AND(ISNUMBER(K4566),ISNUMBER(L4566),ABS(L4566-(K4566-IF(ISNUMBER(N4566),N4566,0)-IF(ISNUMBER(O4566),O4566,0)+IF(ISNUMBER(P4566),P4566,0)))&lt;=Summary!$B$2),"Passes using beginning_balance - PreV_ETB differs from beginning_balance",IF(AND(ISNUMBER(O4566),O4566&lt;0,ABS(L4566-(Q4566-IF(ISNUMBER(N4566),N4566,0)+IF(ISNUMBER(P4566),P4566,0)))&lt;=Summary!$B$2),"Negative realized loss not applied - check sign",IF(R4566&lt;0,"Principal paid exceeds prior balance",IF(AND(L4566&gt;Q4566,NOT(ISNUMBER(P4566))),"Balance increased but no Deferred_interest reported",IF(L4566&gt;R4566,"Reported balance higher than expected (missing increase/OC build)","Reported balance lower than expected (missing decrease)"))))),""))</f>
        <v/>
      </c>
    </row>
    <row r="4567" customFormat="false" ht="15" hidden="false" customHeight="false" outlineLevel="0" collapsed="false">
      <c r="A4567" s="8"/>
      <c r="B4567" s="8"/>
      <c r="C4567" s="8"/>
      <c r="D4567" s="8"/>
      <c r="E4567" s="8"/>
      <c r="F4567" s="8"/>
      <c r="G4567" s="8"/>
      <c r="H4567" s="8"/>
      <c r="I4567" s="8"/>
      <c r="J4567" s="8"/>
      <c r="K4567" s="9"/>
      <c r="L4567" s="9"/>
      <c r="M4567" s="9"/>
      <c r="N4567" s="9"/>
      <c r="O4567" s="9"/>
      <c r="P4567" s="9"/>
      <c r="Q4567" s="9"/>
      <c r="R4567" s="9" t="str">
        <f aca="false">IF(AND(A4567&lt;&gt;"",ISNUMBER(Q4567),ISNUMBER(L4567)),ROUND(Q4567-IF(ISNUMBER(N4567),N4567,0)-IF(ISNUMBER(O4567),O4567,0)+IF(ISNUMBER(P4567),P4567,0),2),"")</f>
        <v/>
      </c>
      <c r="S4567" s="9" t="str">
        <f aca="false">IF(R4567="","",ROUND(L4567-R4567,2))</f>
        <v/>
      </c>
      <c r="T4567" s="8" t="str">
        <f aca="false">IF(A4567="","",IF(S4567="","BYPASS",IF(ABS(S4567)&lt;=Summary!$B$2,"PASS","FAIL")))</f>
        <v/>
      </c>
      <c r="U4567" s="8" t="str">
        <f aca="false">IF(T4567="BYPASS",IF(NOT(ISNUMBER(Q4567)),"PreV_ETB missing","End_tr_balance missing"),IF(T4567="FAIL",IF(AND(ISNUMBER(K4567),ISNUMBER(L4567),ABS(L4567-(K4567-IF(ISNUMBER(N4567),N4567,0)-IF(ISNUMBER(O4567),O4567,0)+IF(ISNUMBER(P4567),P4567,0)))&lt;=Summary!$B$2),"Passes using beginning_balance - PreV_ETB differs from beginning_balance",IF(AND(ISNUMBER(O4567),O4567&lt;0,ABS(L4567-(Q4567-IF(ISNUMBER(N4567),N4567,0)+IF(ISNUMBER(P4567),P4567,0)))&lt;=Summary!$B$2),"Negative realized loss not applied - check sign",IF(R4567&lt;0,"Principal paid exceeds prior balance",IF(AND(L4567&gt;Q4567,NOT(ISNUMBER(P4567))),"Balance increased but no Deferred_interest reported",IF(L4567&gt;R4567,"Reported balance higher than expected (missing increase/OC build)","Reported balance lower than expected (missing decrease)"))))),""))</f>
        <v/>
      </c>
    </row>
    <row r="4568" customFormat="false" ht="15" hidden="false" customHeight="false" outlineLevel="0" collapsed="false">
      <c r="A4568" s="8"/>
      <c r="B4568" s="8"/>
      <c r="C4568" s="8"/>
      <c r="D4568" s="8"/>
      <c r="E4568" s="8"/>
      <c r="F4568" s="8"/>
      <c r="G4568" s="8"/>
      <c r="H4568" s="8"/>
      <c r="I4568" s="8"/>
      <c r="J4568" s="8"/>
      <c r="K4568" s="9"/>
      <c r="L4568" s="9"/>
      <c r="M4568" s="9"/>
      <c r="N4568" s="9"/>
      <c r="O4568" s="9"/>
      <c r="P4568" s="9"/>
      <c r="Q4568" s="9"/>
      <c r="R4568" s="9" t="str">
        <f aca="false">IF(AND(A4568&lt;&gt;"",ISNUMBER(Q4568),ISNUMBER(L4568)),ROUND(Q4568-IF(ISNUMBER(N4568),N4568,0)-IF(ISNUMBER(O4568),O4568,0)+IF(ISNUMBER(P4568),P4568,0),2),"")</f>
        <v/>
      </c>
      <c r="S4568" s="9" t="str">
        <f aca="false">IF(R4568="","",ROUND(L4568-R4568,2))</f>
        <v/>
      </c>
      <c r="T4568" s="8" t="str">
        <f aca="false">IF(A4568="","",IF(S4568="","BYPASS",IF(ABS(S4568)&lt;=Summary!$B$2,"PASS","FAIL")))</f>
        <v/>
      </c>
      <c r="U4568" s="8" t="str">
        <f aca="false">IF(T4568="BYPASS",IF(NOT(ISNUMBER(Q4568)),"PreV_ETB missing","End_tr_balance missing"),IF(T4568="FAIL",IF(AND(ISNUMBER(K4568),ISNUMBER(L4568),ABS(L4568-(K4568-IF(ISNUMBER(N4568),N4568,0)-IF(ISNUMBER(O4568),O4568,0)+IF(ISNUMBER(P4568),P4568,0)))&lt;=Summary!$B$2),"Passes using beginning_balance - PreV_ETB differs from beginning_balance",IF(AND(ISNUMBER(O4568),O4568&lt;0,ABS(L4568-(Q4568-IF(ISNUMBER(N4568),N4568,0)+IF(ISNUMBER(P4568),P4568,0)))&lt;=Summary!$B$2),"Negative realized loss not applied - check sign",IF(R4568&lt;0,"Principal paid exceeds prior balance",IF(AND(L4568&gt;Q4568,NOT(ISNUMBER(P4568))),"Balance increased but no Deferred_interest reported",IF(L4568&gt;R4568,"Reported balance higher than expected (missing increase/OC build)","Reported balance lower than expected (missing decrease)"))))),""))</f>
        <v/>
      </c>
    </row>
    <row r="4569" customFormat="false" ht="15" hidden="false" customHeight="false" outlineLevel="0" collapsed="false">
      <c r="A4569" s="8"/>
      <c r="B4569" s="8"/>
      <c r="C4569" s="8"/>
      <c r="D4569" s="8"/>
      <c r="E4569" s="8"/>
      <c r="F4569" s="8"/>
      <c r="G4569" s="8"/>
      <c r="H4569" s="8"/>
      <c r="I4569" s="8"/>
      <c r="J4569" s="8"/>
      <c r="K4569" s="9"/>
      <c r="L4569" s="9"/>
      <c r="M4569" s="9"/>
      <c r="N4569" s="9"/>
      <c r="O4569" s="9"/>
      <c r="P4569" s="9"/>
      <c r="Q4569" s="9"/>
      <c r="R4569" s="9" t="str">
        <f aca="false">IF(AND(A4569&lt;&gt;"",ISNUMBER(Q4569),ISNUMBER(L4569)),ROUND(Q4569-IF(ISNUMBER(N4569),N4569,0)-IF(ISNUMBER(O4569),O4569,0)+IF(ISNUMBER(P4569),P4569,0),2),"")</f>
        <v/>
      </c>
      <c r="S4569" s="9" t="str">
        <f aca="false">IF(R4569="","",ROUND(L4569-R4569,2))</f>
        <v/>
      </c>
      <c r="T4569" s="8" t="str">
        <f aca="false">IF(A4569="","",IF(S4569="","BYPASS",IF(ABS(S4569)&lt;=Summary!$B$2,"PASS","FAIL")))</f>
        <v/>
      </c>
      <c r="U4569" s="8" t="str">
        <f aca="false">IF(T4569="BYPASS",IF(NOT(ISNUMBER(Q4569)),"PreV_ETB missing","End_tr_balance missing"),IF(T4569="FAIL",IF(AND(ISNUMBER(K4569),ISNUMBER(L4569),ABS(L4569-(K4569-IF(ISNUMBER(N4569),N4569,0)-IF(ISNUMBER(O4569),O4569,0)+IF(ISNUMBER(P4569),P4569,0)))&lt;=Summary!$B$2),"Passes using beginning_balance - PreV_ETB differs from beginning_balance",IF(AND(ISNUMBER(O4569),O4569&lt;0,ABS(L4569-(Q4569-IF(ISNUMBER(N4569),N4569,0)+IF(ISNUMBER(P4569),P4569,0)))&lt;=Summary!$B$2),"Negative realized loss not applied - check sign",IF(R4569&lt;0,"Principal paid exceeds prior balance",IF(AND(L4569&gt;Q4569,NOT(ISNUMBER(P4569))),"Balance increased but no Deferred_interest reported",IF(L4569&gt;R4569,"Reported balance higher than expected (missing increase/OC build)","Reported balance lower than expected (missing decrease)"))))),""))</f>
        <v/>
      </c>
    </row>
    <row r="4570" customFormat="false" ht="15" hidden="false" customHeight="false" outlineLevel="0" collapsed="false">
      <c r="A4570" s="8"/>
      <c r="B4570" s="8"/>
      <c r="C4570" s="8"/>
      <c r="D4570" s="8"/>
      <c r="E4570" s="8"/>
      <c r="F4570" s="8"/>
      <c r="G4570" s="8"/>
      <c r="H4570" s="8"/>
      <c r="I4570" s="8"/>
      <c r="J4570" s="8"/>
      <c r="K4570" s="9"/>
      <c r="L4570" s="9"/>
      <c r="M4570" s="9"/>
      <c r="N4570" s="9"/>
      <c r="O4570" s="9"/>
      <c r="P4570" s="9"/>
      <c r="Q4570" s="9"/>
      <c r="R4570" s="9" t="str">
        <f aca="false">IF(AND(A4570&lt;&gt;"",ISNUMBER(Q4570),ISNUMBER(L4570)),ROUND(Q4570-IF(ISNUMBER(N4570),N4570,0)-IF(ISNUMBER(O4570),O4570,0)+IF(ISNUMBER(P4570),P4570,0),2),"")</f>
        <v/>
      </c>
      <c r="S4570" s="9" t="str">
        <f aca="false">IF(R4570="","",ROUND(L4570-R4570,2))</f>
        <v/>
      </c>
      <c r="T4570" s="8" t="str">
        <f aca="false">IF(A4570="","",IF(S4570="","BYPASS",IF(ABS(S4570)&lt;=Summary!$B$2,"PASS","FAIL")))</f>
        <v/>
      </c>
      <c r="U4570" s="8" t="str">
        <f aca="false">IF(T4570="BYPASS",IF(NOT(ISNUMBER(Q4570)),"PreV_ETB missing","End_tr_balance missing"),IF(T4570="FAIL",IF(AND(ISNUMBER(K4570),ISNUMBER(L4570),ABS(L4570-(K4570-IF(ISNUMBER(N4570),N4570,0)-IF(ISNUMBER(O4570),O4570,0)+IF(ISNUMBER(P4570),P4570,0)))&lt;=Summary!$B$2),"Passes using beginning_balance - PreV_ETB differs from beginning_balance",IF(AND(ISNUMBER(O4570),O4570&lt;0,ABS(L4570-(Q4570-IF(ISNUMBER(N4570),N4570,0)+IF(ISNUMBER(P4570),P4570,0)))&lt;=Summary!$B$2),"Negative realized loss not applied - check sign",IF(R4570&lt;0,"Principal paid exceeds prior balance",IF(AND(L4570&gt;Q4570,NOT(ISNUMBER(P4570))),"Balance increased but no Deferred_interest reported",IF(L4570&gt;R4570,"Reported balance higher than expected (missing increase/OC build)","Reported balance lower than expected (missing decrease)"))))),""))</f>
        <v/>
      </c>
    </row>
    <row r="4571" customFormat="false" ht="15" hidden="false" customHeight="false" outlineLevel="0" collapsed="false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9"/>
      <c r="L4571" s="9"/>
      <c r="M4571" s="9"/>
      <c r="N4571" s="9"/>
      <c r="O4571" s="9"/>
      <c r="P4571" s="9"/>
      <c r="Q4571" s="9"/>
      <c r="R4571" s="9" t="str">
        <f aca="false">IF(AND(A4571&lt;&gt;"",ISNUMBER(Q4571),ISNUMBER(L4571)),ROUND(Q4571-IF(ISNUMBER(N4571),N4571,0)-IF(ISNUMBER(O4571),O4571,0)+IF(ISNUMBER(P4571),P4571,0),2),"")</f>
        <v/>
      </c>
      <c r="S4571" s="9" t="str">
        <f aca="false">IF(R4571="","",ROUND(L4571-R4571,2))</f>
        <v/>
      </c>
      <c r="T4571" s="8" t="str">
        <f aca="false">IF(A4571="","",IF(S4571="","BYPASS",IF(ABS(S4571)&lt;=Summary!$B$2,"PASS","FAIL")))</f>
        <v/>
      </c>
      <c r="U4571" s="8" t="str">
        <f aca="false">IF(T4571="BYPASS",IF(NOT(ISNUMBER(Q4571)),"PreV_ETB missing","End_tr_balance missing"),IF(T4571="FAIL",IF(AND(ISNUMBER(K4571),ISNUMBER(L4571),ABS(L4571-(K4571-IF(ISNUMBER(N4571),N4571,0)-IF(ISNUMBER(O4571),O4571,0)+IF(ISNUMBER(P4571),P4571,0)))&lt;=Summary!$B$2),"Passes using beginning_balance - PreV_ETB differs from beginning_balance",IF(AND(ISNUMBER(O4571),O4571&lt;0,ABS(L4571-(Q4571-IF(ISNUMBER(N4571),N4571,0)+IF(ISNUMBER(P4571),P4571,0)))&lt;=Summary!$B$2),"Negative realized loss not applied - check sign",IF(R4571&lt;0,"Principal paid exceeds prior balance",IF(AND(L4571&gt;Q4571,NOT(ISNUMBER(P4571))),"Balance increased but no Deferred_interest reported",IF(L4571&gt;R4571,"Reported balance higher than expected (missing increase/OC build)","Reported balance lower than expected (missing decrease)"))))),""))</f>
        <v/>
      </c>
    </row>
    <row r="4572" customFormat="false" ht="15" hidden="false" customHeight="false" outlineLevel="0" collapsed="false">
      <c r="A4572" s="8"/>
      <c r="B4572" s="8"/>
      <c r="C4572" s="8"/>
      <c r="D4572" s="8"/>
      <c r="E4572" s="8"/>
      <c r="F4572" s="8"/>
      <c r="G4572" s="8"/>
      <c r="H4572" s="8"/>
      <c r="I4572" s="8"/>
      <c r="J4572" s="8"/>
      <c r="K4572" s="9"/>
      <c r="L4572" s="9"/>
      <c r="M4572" s="9"/>
      <c r="N4572" s="9"/>
      <c r="O4572" s="9"/>
      <c r="P4572" s="9"/>
      <c r="Q4572" s="9"/>
      <c r="R4572" s="9" t="str">
        <f aca="false">IF(AND(A4572&lt;&gt;"",ISNUMBER(Q4572),ISNUMBER(L4572)),ROUND(Q4572-IF(ISNUMBER(N4572),N4572,0)-IF(ISNUMBER(O4572),O4572,0)+IF(ISNUMBER(P4572),P4572,0),2),"")</f>
        <v/>
      </c>
      <c r="S4572" s="9" t="str">
        <f aca="false">IF(R4572="","",ROUND(L4572-R4572,2))</f>
        <v/>
      </c>
      <c r="T4572" s="8" t="str">
        <f aca="false">IF(A4572="","",IF(S4572="","BYPASS",IF(ABS(S4572)&lt;=Summary!$B$2,"PASS","FAIL")))</f>
        <v/>
      </c>
      <c r="U4572" s="8" t="str">
        <f aca="false">IF(T4572="BYPASS",IF(NOT(ISNUMBER(Q4572)),"PreV_ETB missing","End_tr_balance missing"),IF(T4572="FAIL",IF(AND(ISNUMBER(K4572),ISNUMBER(L4572),ABS(L4572-(K4572-IF(ISNUMBER(N4572),N4572,0)-IF(ISNUMBER(O4572),O4572,0)+IF(ISNUMBER(P4572),P4572,0)))&lt;=Summary!$B$2),"Passes using beginning_balance - PreV_ETB differs from beginning_balance",IF(AND(ISNUMBER(O4572),O4572&lt;0,ABS(L4572-(Q4572-IF(ISNUMBER(N4572),N4572,0)+IF(ISNUMBER(P4572),P4572,0)))&lt;=Summary!$B$2),"Negative realized loss not applied - check sign",IF(R4572&lt;0,"Principal paid exceeds prior balance",IF(AND(L4572&gt;Q4572,NOT(ISNUMBER(P4572))),"Balance increased but no Deferred_interest reported",IF(L4572&gt;R4572,"Reported balance higher than expected (missing increase/OC build)","Reported balance lower than expected (missing decrease)"))))),""))</f>
        <v/>
      </c>
    </row>
    <row r="4573" customFormat="false" ht="15" hidden="false" customHeight="false" outlineLevel="0" collapsed="false">
      <c r="A4573" s="8"/>
      <c r="B4573" s="8"/>
      <c r="C4573" s="8"/>
      <c r="D4573" s="8"/>
      <c r="E4573" s="8"/>
      <c r="F4573" s="8"/>
      <c r="G4573" s="8"/>
      <c r="H4573" s="8"/>
      <c r="I4573" s="8"/>
      <c r="J4573" s="8"/>
      <c r="K4573" s="9"/>
      <c r="L4573" s="9"/>
      <c r="M4573" s="9"/>
      <c r="N4573" s="9"/>
      <c r="O4573" s="9"/>
      <c r="P4573" s="9"/>
      <c r="Q4573" s="9"/>
      <c r="R4573" s="9" t="str">
        <f aca="false">IF(AND(A4573&lt;&gt;"",ISNUMBER(Q4573),ISNUMBER(L4573)),ROUND(Q4573-IF(ISNUMBER(N4573),N4573,0)-IF(ISNUMBER(O4573),O4573,0)+IF(ISNUMBER(P4573),P4573,0),2),"")</f>
        <v/>
      </c>
      <c r="S4573" s="9" t="str">
        <f aca="false">IF(R4573="","",ROUND(L4573-R4573,2))</f>
        <v/>
      </c>
      <c r="T4573" s="8" t="str">
        <f aca="false">IF(A4573="","",IF(S4573="","BYPASS",IF(ABS(S4573)&lt;=Summary!$B$2,"PASS","FAIL")))</f>
        <v/>
      </c>
      <c r="U4573" s="8" t="str">
        <f aca="false">IF(T4573="BYPASS",IF(NOT(ISNUMBER(Q4573)),"PreV_ETB missing","End_tr_balance missing"),IF(T4573="FAIL",IF(AND(ISNUMBER(K4573),ISNUMBER(L4573),ABS(L4573-(K4573-IF(ISNUMBER(N4573),N4573,0)-IF(ISNUMBER(O4573),O4573,0)+IF(ISNUMBER(P4573),P4573,0)))&lt;=Summary!$B$2),"Passes using beginning_balance - PreV_ETB differs from beginning_balance",IF(AND(ISNUMBER(O4573),O4573&lt;0,ABS(L4573-(Q4573-IF(ISNUMBER(N4573),N4573,0)+IF(ISNUMBER(P4573),P4573,0)))&lt;=Summary!$B$2),"Negative realized loss not applied - check sign",IF(R4573&lt;0,"Principal paid exceeds prior balance",IF(AND(L4573&gt;Q4573,NOT(ISNUMBER(P4573))),"Balance increased but no Deferred_interest reported",IF(L4573&gt;R4573,"Reported balance higher than expected (missing increase/OC build)","Reported balance lower than expected (missing decrease)"))))),""))</f>
        <v/>
      </c>
    </row>
    <row r="4574" customFormat="false" ht="15" hidden="false" customHeight="false" outlineLevel="0" collapsed="false">
      <c r="A4574" s="8"/>
      <c r="B4574" s="8"/>
      <c r="C4574" s="8"/>
      <c r="D4574" s="8"/>
      <c r="E4574" s="8"/>
      <c r="F4574" s="8"/>
      <c r="G4574" s="8"/>
      <c r="H4574" s="8"/>
      <c r="I4574" s="8"/>
      <c r="J4574" s="8"/>
      <c r="K4574" s="9"/>
      <c r="L4574" s="9"/>
      <c r="M4574" s="9"/>
      <c r="N4574" s="9"/>
      <c r="O4574" s="9"/>
      <c r="P4574" s="9"/>
      <c r="Q4574" s="9"/>
      <c r="R4574" s="9" t="str">
        <f aca="false">IF(AND(A4574&lt;&gt;"",ISNUMBER(Q4574),ISNUMBER(L4574)),ROUND(Q4574-IF(ISNUMBER(N4574),N4574,0)-IF(ISNUMBER(O4574),O4574,0)+IF(ISNUMBER(P4574),P4574,0),2),"")</f>
        <v/>
      </c>
      <c r="S4574" s="9" t="str">
        <f aca="false">IF(R4574="","",ROUND(L4574-R4574,2))</f>
        <v/>
      </c>
      <c r="T4574" s="8" t="str">
        <f aca="false">IF(A4574="","",IF(S4574="","BYPASS",IF(ABS(S4574)&lt;=Summary!$B$2,"PASS","FAIL")))</f>
        <v/>
      </c>
      <c r="U4574" s="8" t="str">
        <f aca="false">IF(T4574="BYPASS",IF(NOT(ISNUMBER(Q4574)),"PreV_ETB missing","End_tr_balance missing"),IF(T4574="FAIL",IF(AND(ISNUMBER(K4574),ISNUMBER(L4574),ABS(L4574-(K4574-IF(ISNUMBER(N4574),N4574,0)-IF(ISNUMBER(O4574),O4574,0)+IF(ISNUMBER(P4574),P4574,0)))&lt;=Summary!$B$2),"Passes using beginning_balance - PreV_ETB differs from beginning_balance",IF(AND(ISNUMBER(O4574),O4574&lt;0,ABS(L4574-(Q4574-IF(ISNUMBER(N4574),N4574,0)+IF(ISNUMBER(P4574),P4574,0)))&lt;=Summary!$B$2),"Negative realized loss not applied - check sign",IF(R4574&lt;0,"Principal paid exceeds prior balance",IF(AND(L4574&gt;Q4574,NOT(ISNUMBER(P4574))),"Balance increased but no Deferred_interest reported",IF(L4574&gt;R4574,"Reported balance higher than expected (missing increase/OC build)","Reported balance lower than expected (missing decrease)"))))),""))</f>
        <v/>
      </c>
    </row>
    <row r="4575" customFormat="false" ht="15" hidden="false" customHeight="false" outlineLevel="0" collapsed="false">
      <c r="A4575" s="8"/>
      <c r="B4575" s="8"/>
      <c r="C4575" s="8"/>
      <c r="D4575" s="8"/>
      <c r="E4575" s="8"/>
      <c r="F4575" s="8"/>
      <c r="G4575" s="8"/>
      <c r="H4575" s="8"/>
      <c r="I4575" s="8"/>
      <c r="J4575" s="8"/>
      <c r="K4575" s="9"/>
      <c r="L4575" s="9"/>
      <c r="M4575" s="9"/>
      <c r="N4575" s="9"/>
      <c r="O4575" s="9"/>
      <c r="P4575" s="9"/>
      <c r="Q4575" s="9"/>
      <c r="R4575" s="9" t="str">
        <f aca="false">IF(AND(A4575&lt;&gt;"",ISNUMBER(Q4575),ISNUMBER(L4575)),ROUND(Q4575-IF(ISNUMBER(N4575),N4575,0)-IF(ISNUMBER(O4575),O4575,0)+IF(ISNUMBER(P4575),P4575,0),2),"")</f>
        <v/>
      </c>
      <c r="S4575" s="9" t="str">
        <f aca="false">IF(R4575="","",ROUND(L4575-R4575,2))</f>
        <v/>
      </c>
      <c r="T4575" s="8" t="str">
        <f aca="false">IF(A4575="","",IF(S4575="","BYPASS",IF(ABS(S4575)&lt;=Summary!$B$2,"PASS","FAIL")))</f>
        <v/>
      </c>
      <c r="U4575" s="8" t="str">
        <f aca="false">IF(T4575="BYPASS",IF(NOT(ISNUMBER(Q4575)),"PreV_ETB missing","End_tr_balance missing"),IF(T4575="FAIL",IF(AND(ISNUMBER(K4575),ISNUMBER(L4575),ABS(L4575-(K4575-IF(ISNUMBER(N4575),N4575,0)-IF(ISNUMBER(O4575),O4575,0)+IF(ISNUMBER(P4575),P4575,0)))&lt;=Summary!$B$2),"Passes using beginning_balance - PreV_ETB differs from beginning_balance",IF(AND(ISNUMBER(O4575),O4575&lt;0,ABS(L4575-(Q4575-IF(ISNUMBER(N4575),N4575,0)+IF(ISNUMBER(P4575),P4575,0)))&lt;=Summary!$B$2),"Negative realized loss not applied - check sign",IF(R4575&lt;0,"Principal paid exceeds prior balance",IF(AND(L4575&gt;Q4575,NOT(ISNUMBER(P4575))),"Balance increased but no Deferred_interest reported",IF(L4575&gt;R4575,"Reported balance higher than expected (missing increase/OC build)","Reported balance lower than expected (missing decrease)"))))),""))</f>
        <v/>
      </c>
    </row>
    <row r="4576" customFormat="false" ht="15" hidden="false" customHeight="false" outlineLevel="0" collapsed="false">
      <c r="A4576" s="8"/>
      <c r="B4576" s="8"/>
      <c r="C4576" s="8"/>
      <c r="D4576" s="8"/>
      <c r="E4576" s="8"/>
      <c r="F4576" s="8"/>
      <c r="G4576" s="8"/>
      <c r="H4576" s="8"/>
      <c r="I4576" s="8"/>
      <c r="J4576" s="8"/>
      <c r="K4576" s="9"/>
      <c r="L4576" s="9"/>
      <c r="M4576" s="9"/>
      <c r="N4576" s="9"/>
      <c r="O4576" s="9"/>
      <c r="P4576" s="9"/>
      <c r="Q4576" s="9"/>
      <c r="R4576" s="9" t="str">
        <f aca="false">IF(AND(A4576&lt;&gt;"",ISNUMBER(Q4576),ISNUMBER(L4576)),ROUND(Q4576-IF(ISNUMBER(N4576),N4576,0)-IF(ISNUMBER(O4576),O4576,0)+IF(ISNUMBER(P4576),P4576,0),2),"")</f>
        <v/>
      </c>
      <c r="S4576" s="9" t="str">
        <f aca="false">IF(R4576="","",ROUND(L4576-R4576,2))</f>
        <v/>
      </c>
      <c r="T4576" s="8" t="str">
        <f aca="false">IF(A4576="","",IF(S4576="","BYPASS",IF(ABS(S4576)&lt;=Summary!$B$2,"PASS","FAIL")))</f>
        <v/>
      </c>
      <c r="U4576" s="8" t="str">
        <f aca="false">IF(T4576="BYPASS",IF(NOT(ISNUMBER(Q4576)),"PreV_ETB missing","End_tr_balance missing"),IF(T4576="FAIL",IF(AND(ISNUMBER(K4576),ISNUMBER(L4576),ABS(L4576-(K4576-IF(ISNUMBER(N4576),N4576,0)-IF(ISNUMBER(O4576),O4576,0)+IF(ISNUMBER(P4576),P4576,0)))&lt;=Summary!$B$2),"Passes using beginning_balance - PreV_ETB differs from beginning_balance",IF(AND(ISNUMBER(O4576),O4576&lt;0,ABS(L4576-(Q4576-IF(ISNUMBER(N4576),N4576,0)+IF(ISNUMBER(P4576),P4576,0)))&lt;=Summary!$B$2),"Negative realized loss not applied - check sign",IF(R4576&lt;0,"Principal paid exceeds prior balance",IF(AND(L4576&gt;Q4576,NOT(ISNUMBER(P4576))),"Balance increased but no Deferred_interest reported",IF(L4576&gt;R4576,"Reported balance higher than expected (missing increase/OC build)","Reported balance lower than expected (missing decrease)"))))),""))</f>
        <v/>
      </c>
    </row>
    <row r="4577" customFormat="false" ht="15" hidden="false" customHeight="false" outlineLevel="0" collapsed="false">
      <c r="A4577" s="8"/>
      <c r="B4577" s="8"/>
      <c r="C4577" s="8"/>
      <c r="D4577" s="8"/>
      <c r="E4577" s="8"/>
      <c r="F4577" s="8"/>
      <c r="G4577" s="8"/>
      <c r="H4577" s="8"/>
      <c r="I4577" s="8"/>
      <c r="J4577" s="8"/>
      <c r="K4577" s="9"/>
      <c r="L4577" s="9"/>
      <c r="M4577" s="9"/>
      <c r="N4577" s="9"/>
      <c r="O4577" s="9"/>
      <c r="P4577" s="9"/>
      <c r="Q4577" s="9"/>
      <c r="R4577" s="9" t="str">
        <f aca="false">IF(AND(A4577&lt;&gt;"",ISNUMBER(Q4577),ISNUMBER(L4577)),ROUND(Q4577-IF(ISNUMBER(N4577),N4577,0)-IF(ISNUMBER(O4577),O4577,0)+IF(ISNUMBER(P4577),P4577,0),2),"")</f>
        <v/>
      </c>
      <c r="S4577" s="9" t="str">
        <f aca="false">IF(R4577="","",ROUND(L4577-R4577,2))</f>
        <v/>
      </c>
      <c r="T4577" s="8" t="str">
        <f aca="false">IF(A4577="","",IF(S4577="","BYPASS",IF(ABS(S4577)&lt;=Summary!$B$2,"PASS","FAIL")))</f>
        <v/>
      </c>
      <c r="U4577" s="8" t="str">
        <f aca="false">IF(T4577="BYPASS",IF(NOT(ISNUMBER(Q4577)),"PreV_ETB missing","End_tr_balance missing"),IF(T4577="FAIL",IF(AND(ISNUMBER(K4577),ISNUMBER(L4577),ABS(L4577-(K4577-IF(ISNUMBER(N4577),N4577,0)-IF(ISNUMBER(O4577),O4577,0)+IF(ISNUMBER(P4577),P4577,0)))&lt;=Summary!$B$2),"Passes using beginning_balance - PreV_ETB differs from beginning_balance",IF(AND(ISNUMBER(O4577),O4577&lt;0,ABS(L4577-(Q4577-IF(ISNUMBER(N4577),N4577,0)+IF(ISNUMBER(P4577),P4577,0)))&lt;=Summary!$B$2),"Negative realized loss not applied - check sign",IF(R4577&lt;0,"Principal paid exceeds prior balance",IF(AND(L4577&gt;Q4577,NOT(ISNUMBER(P4577))),"Balance increased but no Deferred_interest reported",IF(L4577&gt;R4577,"Reported balance higher than expected (missing increase/OC build)","Reported balance lower than expected (missing decrease)"))))),""))</f>
        <v/>
      </c>
    </row>
    <row r="4578" customFormat="false" ht="15" hidden="false" customHeight="false" outlineLevel="0" collapsed="false">
      <c r="A4578" s="8"/>
      <c r="B4578" s="8"/>
      <c r="C4578" s="8"/>
      <c r="D4578" s="8"/>
      <c r="E4578" s="8"/>
      <c r="F4578" s="8"/>
      <c r="G4578" s="8"/>
      <c r="H4578" s="8"/>
      <c r="I4578" s="8"/>
      <c r="J4578" s="8"/>
      <c r="K4578" s="9"/>
      <c r="L4578" s="9"/>
      <c r="M4578" s="9"/>
      <c r="N4578" s="9"/>
      <c r="O4578" s="9"/>
      <c r="P4578" s="9"/>
      <c r="Q4578" s="9"/>
      <c r="R4578" s="9" t="str">
        <f aca="false">IF(AND(A4578&lt;&gt;"",ISNUMBER(Q4578),ISNUMBER(L4578)),ROUND(Q4578-IF(ISNUMBER(N4578),N4578,0)-IF(ISNUMBER(O4578),O4578,0)+IF(ISNUMBER(P4578),P4578,0),2),"")</f>
        <v/>
      </c>
      <c r="S4578" s="9" t="str">
        <f aca="false">IF(R4578="","",ROUND(L4578-R4578,2))</f>
        <v/>
      </c>
      <c r="T4578" s="8" t="str">
        <f aca="false">IF(A4578="","",IF(S4578="","BYPASS",IF(ABS(S4578)&lt;=Summary!$B$2,"PASS","FAIL")))</f>
        <v/>
      </c>
      <c r="U4578" s="8" t="str">
        <f aca="false">IF(T4578="BYPASS",IF(NOT(ISNUMBER(Q4578)),"PreV_ETB missing","End_tr_balance missing"),IF(T4578="FAIL",IF(AND(ISNUMBER(K4578),ISNUMBER(L4578),ABS(L4578-(K4578-IF(ISNUMBER(N4578),N4578,0)-IF(ISNUMBER(O4578),O4578,0)+IF(ISNUMBER(P4578),P4578,0)))&lt;=Summary!$B$2),"Passes using beginning_balance - PreV_ETB differs from beginning_balance",IF(AND(ISNUMBER(O4578),O4578&lt;0,ABS(L4578-(Q4578-IF(ISNUMBER(N4578),N4578,0)+IF(ISNUMBER(P4578),P4578,0)))&lt;=Summary!$B$2),"Negative realized loss not applied - check sign",IF(R4578&lt;0,"Principal paid exceeds prior balance",IF(AND(L4578&gt;Q4578,NOT(ISNUMBER(P4578))),"Balance increased but no Deferred_interest reported",IF(L4578&gt;R4578,"Reported balance higher than expected (missing increase/OC build)","Reported balance lower than expected (missing decrease)"))))),""))</f>
        <v/>
      </c>
    </row>
    <row r="4579" customFormat="false" ht="15" hidden="false" customHeight="false" outlineLevel="0" collapsed="false">
      <c r="A4579" s="8"/>
      <c r="B4579" s="8"/>
      <c r="C4579" s="8"/>
      <c r="D4579" s="8"/>
      <c r="E4579" s="8"/>
      <c r="F4579" s="8"/>
      <c r="G4579" s="8"/>
      <c r="H4579" s="8"/>
      <c r="I4579" s="8"/>
      <c r="J4579" s="8"/>
      <c r="K4579" s="9"/>
      <c r="L4579" s="9"/>
      <c r="M4579" s="9"/>
      <c r="N4579" s="9"/>
      <c r="O4579" s="9"/>
      <c r="P4579" s="9"/>
      <c r="Q4579" s="9"/>
      <c r="R4579" s="9" t="str">
        <f aca="false">IF(AND(A4579&lt;&gt;"",ISNUMBER(Q4579),ISNUMBER(L4579)),ROUND(Q4579-IF(ISNUMBER(N4579),N4579,0)-IF(ISNUMBER(O4579),O4579,0)+IF(ISNUMBER(P4579),P4579,0),2),"")</f>
        <v/>
      </c>
      <c r="S4579" s="9" t="str">
        <f aca="false">IF(R4579="","",ROUND(L4579-R4579,2))</f>
        <v/>
      </c>
      <c r="T4579" s="8" t="str">
        <f aca="false">IF(A4579="","",IF(S4579="","BYPASS",IF(ABS(S4579)&lt;=Summary!$B$2,"PASS","FAIL")))</f>
        <v/>
      </c>
      <c r="U4579" s="8" t="str">
        <f aca="false">IF(T4579="BYPASS",IF(NOT(ISNUMBER(Q4579)),"PreV_ETB missing","End_tr_balance missing"),IF(T4579="FAIL",IF(AND(ISNUMBER(K4579),ISNUMBER(L4579),ABS(L4579-(K4579-IF(ISNUMBER(N4579),N4579,0)-IF(ISNUMBER(O4579),O4579,0)+IF(ISNUMBER(P4579),P4579,0)))&lt;=Summary!$B$2),"Passes using beginning_balance - PreV_ETB differs from beginning_balance",IF(AND(ISNUMBER(O4579),O4579&lt;0,ABS(L4579-(Q4579-IF(ISNUMBER(N4579),N4579,0)+IF(ISNUMBER(P4579),P4579,0)))&lt;=Summary!$B$2),"Negative realized loss not applied - check sign",IF(R4579&lt;0,"Principal paid exceeds prior balance",IF(AND(L4579&gt;Q4579,NOT(ISNUMBER(P4579))),"Balance increased but no Deferred_interest reported",IF(L4579&gt;R4579,"Reported balance higher than expected (missing increase/OC build)","Reported balance lower than expected (missing decrease)"))))),""))</f>
        <v/>
      </c>
    </row>
    <row r="4580" customFormat="false" ht="15" hidden="false" customHeight="false" outlineLevel="0" collapsed="false">
      <c r="A4580" s="8"/>
      <c r="B4580" s="8"/>
      <c r="C4580" s="8"/>
      <c r="D4580" s="8"/>
      <c r="E4580" s="8"/>
      <c r="F4580" s="8"/>
      <c r="G4580" s="8"/>
      <c r="H4580" s="8"/>
      <c r="I4580" s="8"/>
      <c r="J4580" s="8"/>
      <c r="K4580" s="9"/>
      <c r="L4580" s="9"/>
      <c r="M4580" s="9"/>
      <c r="N4580" s="9"/>
      <c r="O4580" s="9"/>
      <c r="P4580" s="9"/>
      <c r="Q4580" s="9"/>
      <c r="R4580" s="9" t="str">
        <f aca="false">IF(AND(A4580&lt;&gt;"",ISNUMBER(Q4580),ISNUMBER(L4580)),ROUND(Q4580-IF(ISNUMBER(N4580),N4580,0)-IF(ISNUMBER(O4580),O4580,0)+IF(ISNUMBER(P4580),P4580,0),2),"")</f>
        <v/>
      </c>
      <c r="S4580" s="9" t="str">
        <f aca="false">IF(R4580="","",ROUND(L4580-R4580,2))</f>
        <v/>
      </c>
      <c r="T4580" s="8" t="str">
        <f aca="false">IF(A4580="","",IF(S4580="","BYPASS",IF(ABS(S4580)&lt;=Summary!$B$2,"PASS","FAIL")))</f>
        <v/>
      </c>
      <c r="U4580" s="8" t="str">
        <f aca="false">IF(T4580="BYPASS",IF(NOT(ISNUMBER(Q4580)),"PreV_ETB missing","End_tr_balance missing"),IF(T4580="FAIL",IF(AND(ISNUMBER(K4580),ISNUMBER(L4580),ABS(L4580-(K4580-IF(ISNUMBER(N4580),N4580,0)-IF(ISNUMBER(O4580),O4580,0)+IF(ISNUMBER(P4580),P4580,0)))&lt;=Summary!$B$2),"Passes using beginning_balance - PreV_ETB differs from beginning_balance",IF(AND(ISNUMBER(O4580),O4580&lt;0,ABS(L4580-(Q4580-IF(ISNUMBER(N4580),N4580,0)+IF(ISNUMBER(P4580),P4580,0)))&lt;=Summary!$B$2),"Negative realized loss not applied - check sign",IF(R4580&lt;0,"Principal paid exceeds prior balance",IF(AND(L4580&gt;Q4580,NOT(ISNUMBER(P4580))),"Balance increased but no Deferred_interest reported",IF(L4580&gt;R4580,"Reported balance higher than expected (missing increase/OC build)","Reported balance lower than expected (missing decrease)"))))),""))</f>
        <v/>
      </c>
    </row>
    <row r="4581" customFormat="false" ht="15" hidden="false" customHeight="false" outlineLevel="0" collapsed="false">
      <c r="A4581" s="8"/>
      <c r="B4581" s="8"/>
      <c r="C4581" s="8"/>
      <c r="D4581" s="8"/>
      <c r="E4581" s="8"/>
      <c r="F4581" s="8"/>
      <c r="G4581" s="8"/>
      <c r="H4581" s="8"/>
      <c r="I4581" s="8"/>
      <c r="J4581" s="8"/>
      <c r="K4581" s="9"/>
      <c r="L4581" s="9"/>
      <c r="M4581" s="9"/>
      <c r="N4581" s="9"/>
      <c r="O4581" s="9"/>
      <c r="P4581" s="9"/>
      <c r="Q4581" s="9"/>
      <c r="R4581" s="9" t="str">
        <f aca="false">IF(AND(A4581&lt;&gt;"",ISNUMBER(Q4581),ISNUMBER(L4581)),ROUND(Q4581-IF(ISNUMBER(N4581),N4581,0)-IF(ISNUMBER(O4581),O4581,0)+IF(ISNUMBER(P4581),P4581,0),2),"")</f>
        <v/>
      </c>
      <c r="S4581" s="9" t="str">
        <f aca="false">IF(R4581="","",ROUND(L4581-R4581,2))</f>
        <v/>
      </c>
      <c r="T4581" s="8" t="str">
        <f aca="false">IF(A4581="","",IF(S4581="","BYPASS",IF(ABS(S4581)&lt;=Summary!$B$2,"PASS","FAIL")))</f>
        <v/>
      </c>
      <c r="U4581" s="8" t="str">
        <f aca="false">IF(T4581="BYPASS",IF(NOT(ISNUMBER(Q4581)),"PreV_ETB missing","End_tr_balance missing"),IF(T4581="FAIL",IF(AND(ISNUMBER(K4581),ISNUMBER(L4581),ABS(L4581-(K4581-IF(ISNUMBER(N4581),N4581,0)-IF(ISNUMBER(O4581),O4581,0)+IF(ISNUMBER(P4581),P4581,0)))&lt;=Summary!$B$2),"Passes using beginning_balance - PreV_ETB differs from beginning_balance",IF(AND(ISNUMBER(O4581),O4581&lt;0,ABS(L4581-(Q4581-IF(ISNUMBER(N4581),N4581,0)+IF(ISNUMBER(P4581),P4581,0)))&lt;=Summary!$B$2),"Negative realized loss not applied - check sign",IF(R4581&lt;0,"Principal paid exceeds prior balance",IF(AND(L4581&gt;Q4581,NOT(ISNUMBER(P4581))),"Balance increased but no Deferred_interest reported",IF(L4581&gt;R4581,"Reported balance higher than expected (missing increase/OC build)","Reported balance lower than expected (missing decrease)"))))),""))</f>
        <v/>
      </c>
    </row>
    <row r="4582" customFormat="false" ht="15" hidden="false" customHeight="false" outlineLevel="0" collapsed="false">
      <c r="A4582" s="8"/>
      <c r="B4582" s="8"/>
      <c r="C4582" s="8"/>
      <c r="D4582" s="8"/>
      <c r="E4582" s="8"/>
      <c r="F4582" s="8"/>
      <c r="G4582" s="8"/>
      <c r="H4582" s="8"/>
      <c r="I4582" s="8"/>
      <c r="J4582" s="8"/>
      <c r="K4582" s="9"/>
      <c r="L4582" s="9"/>
      <c r="M4582" s="9"/>
      <c r="N4582" s="9"/>
      <c r="O4582" s="9"/>
      <c r="P4582" s="9"/>
      <c r="Q4582" s="9"/>
      <c r="R4582" s="9" t="str">
        <f aca="false">IF(AND(A4582&lt;&gt;"",ISNUMBER(Q4582),ISNUMBER(L4582)),ROUND(Q4582-IF(ISNUMBER(N4582),N4582,0)-IF(ISNUMBER(O4582),O4582,0)+IF(ISNUMBER(P4582),P4582,0),2),"")</f>
        <v/>
      </c>
      <c r="S4582" s="9" t="str">
        <f aca="false">IF(R4582="","",ROUND(L4582-R4582,2))</f>
        <v/>
      </c>
      <c r="T4582" s="8" t="str">
        <f aca="false">IF(A4582="","",IF(S4582="","BYPASS",IF(ABS(S4582)&lt;=Summary!$B$2,"PASS","FAIL")))</f>
        <v/>
      </c>
      <c r="U4582" s="8" t="str">
        <f aca="false">IF(T4582="BYPASS",IF(NOT(ISNUMBER(Q4582)),"PreV_ETB missing","End_tr_balance missing"),IF(T4582="FAIL",IF(AND(ISNUMBER(K4582),ISNUMBER(L4582),ABS(L4582-(K4582-IF(ISNUMBER(N4582),N4582,0)-IF(ISNUMBER(O4582),O4582,0)+IF(ISNUMBER(P4582),P4582,0)))&lt;=Summary!$B$2),"Passes using beginning_balance - PreV_ETB differs from beginning_balance",IF(AND(ISNUMBER(O4582),O4582&lt;0,ABS(L4582-(Q4582-IF(ISNUMBER(N4582),N4582,0)+IF(ISNUMBER(P4582),P4582,0)))&lt;=Summary!$B$2),"Negative realized loss not applied - check sign",IF(R4582&lt;0,"Principal paid exceeds prior balance",IF(AND(L4582&gt;Q4582,NOT(ISNUMBER(P4582))),"Balance increased but no Deferred_interest reported",IF(L4582&gt;R4582,"Reported balance higher than expected (missing increase/OC build)","Reported balance lower than expected (missing decrease)"))))),""))</f>
        <v/>
      </c>
    </row>
    <row r="4583" customFormat="false" ht="15" hidden="false" customHeight="false" outlineLevel="0" collapsed="false">
      <c r="A4583" s="8"/>
      <c r="B4583" s="8"/>
      <c r="C4583" s="8"/>
      <c r="D4583" s="8"/>
      <c r="E4583" s="8"/>
      <c r="F4583" s="8"/>
      <c r="G4583" s="8"/>
      <c r="H4583" s="8"/>
      <c r="I4583" s="8"/>
      <c r="J4583" s="8"/>
      <c r="K4583" s="9"/>
      <c r="L4583" s="9"/>
      <c r="M4583" s="9"/>
      <c r="N4583" s="9"/>
      <c r="O4583" s="9"/>
      <c r="P4583" s="9"/>
      <c r="Q4583" s="9"/>
      <c r="R4583" s="9" t="str">
        <f aca="false">IF(AND(A4583&lt;&gt;"",ISNUMBER(Q4583),ISNUMBER(L4583)),ROUND(Q4583-IF(ISNUMBER(N4583),N4583,0)-IF(ISNUMBER(O4583),O4583,0)+IF(ISNUMBER(P4583),P4583,0),2),"")</f>
        <v/>
      </c>
      <c r="S4583" s="9" t="str">
        <f aca="false">IF(R4583="","",ROUND(L4583-R4583,2))</f>
        <v/>
      </c>
      <c r="T4583" s="8" t="str">
        <f aca="false">IF(A4583="","",IF(S4583="","BYPASS",IF(ABS(S4583)&lt;=Summary!$B$2,"PASS","FAIL")))</f>
        <v/>
      </c>
      <c r="U4583" s="8" t="str">
        <f aca="false">IF(T4583="BYPASS",IF(NOT(ISNUMBER(Q4583)),"PreV_ETB missing","End_tr_balance missing"),IF(T4583="FAIL",IF(AND(ISNUMBER(K4583),ISNUMBER(L4583),ABS(L4583-(K4583-IF(ISNUMBER(N4583),N4583,0)-IF(ISNUMBER(O4583),O4583,0)+IF(ISNUMBER(P4583),P4583,0)))&lt;=Summary!$B$2),"Passes using beginning_balance - PreV_ETB differs from beginning_balance",IF(AND(ISNUMBER(O4583),O4583&lt;0,ABS(L4583-(Q4583-IF(ISNUMBER(N4583),N4583,0)+IF(ISNUMBER(P4583),P4583,0)))&lt;=Summary!$B$2),"Negative realized loss not applied - check sign",IF(R4583&lt;0,"Principal paid exceeds prior balance",IF(AND(L4583&gt;Q4583,NOT(ISNUMBER(P4583))),"Balance increased but no Deferred_interest reported",IF(L4583&gt;R4583,"Reported balance higher than expected (missing increase/OC build)","Reported balance lower than expected (missing decrease)"))))),""))</f>
        <v/>
      </c>
    </row>
    <row r="4584" customFormat="false" ht="15" hidden="false" customHeight="false" outlineLevel="0" collapsed="false">
      <c r="A4584" s="8"/>
      <c r="B4584" s="8"/>
      <c r="C4584" s="8"/>
      <c r="D4584" s="8"/>
      <c r="E4584" s="8"/>
      <c r="F4584" s="8"/>
      <c r="G4584" s="8"/>
      <c r="H4584" s="8"/>
      <c r="I4584" s="8"/>
      <c r="J4584" s="8"/>
      <c r="K4584" s="9"/>
      <c r="L4584" s="9"/>
      <c r="M4584" s="9"/>
      <c r="N4584" s="9"/>
      <c r="O4584" s="9"/>
      <c r="P4584" s="9"/>
      <c r="Q4584" s="9"/>
      <c r="R4584" s="9" t="str">
        <f aca="false">IF(AND(A4584&lt;&gt;"",ISNUMBER(Q4584),ISNUMBER(L4584)),ROUND(Q4584-IF(ISNUMBER(N4584),N4584,0)-IF(ISNUMBER(O4584),O4584,0)+IF(ISNUMBER(P4584),P4584,0),2),"")</f>
        <v/>
      </c>
      <c r="S4584" s="9" t="str">
        <f aca="false">IF(R4584="","",ROUND(L4584-R4584,2))</f>
        <v/>
      </c>
      <c r="T4584" s="8" t="str">
        <f aca="false">IF(A4584="","",IF(S4584="","BYPASS",IF(ABS(S4584)&lt;=Summary!$B$2,"PASS","FAIL")))</f>
        <v/>
      </c>
      <c r="U4584" s="8" t="str">
        <f aca="false">IF(T4584="BYPASS",IF(NOT(ISNUMBER(Q4584)),"PreV_ETB missing","End_tr_balance missing"),IF(T4584="FAIL",IF(AND(ISNUMBER(K4584),ISNUMBER(L4584),ABS(L4584-(K4584-IF(ISNUMBER(N4584),N4584,0)-IF(ISNUMBER(O4584),O4584,0)+IF(ISNUMBER(P4584),P4584,0)))&lt;=Summary!$B$2),"Passes using beginning_balance - PreV_ETB differs from beginning_balance",IF(AND(ISNUMBER(O4584),O4584&lt;0,ABS(L4584-(Q4584-IF(ISNUMBER(N4584),N4584,0)+IF(ISNUMBER(P4584),P4584,0)))&lt;=Summary!$B$2),"Negative realized loss not applied - check sign",IF(R4584&lt;0,"Principal paid exceeds prior balance",IF(AND(L4584&gt;Q4584,NOT(ISNUMBER(P4584))),"Balance increased but no Deferred_interest reported",IF(L4584&gt;R4584,"Reported balance higher than expected (missing increase/OC build)","Reported balance lower than expected (missing decrease)"))))),""))</f>
        <v/>
      </c>
    </row>
    <row r="4585" customFormat="false" ht="15" hidden="false" customHeight="false" outlineLevel="0" collapsed="false">
      <c r="A4585" s="8"/>
      <c r="B4585" s="8"/>
      <c r="C4585" s="8"/>
      <c r="D4585" s="8"/>
      <c r="E4585" s="8"/>
      <c r="F4585" s="8"/>
      <c r="G4585" s="8"/>
      <c r="H4585" s="8"/>
      <c r="I4585" s="8"/>
      <c r="J4585" s="8"/>
      <c r="K4585" s="9"/>
      <c r="L4585" s="9"/>
      <c r="M4585" s="9"/>
      <c r="N4585" s="9"/>
      <c r="O4585" s="9"/>
      <c r="P4585" s="9"/>
      <c r="Q4585" s="9"/>
      <c r="R4585" s="9" t="str">
        <f aca="false">IF(AND(A4585&lt;&gt;"",ISNUMBER(Q4585),ISNUMBER(L4585)),ROUND(Q4585-IF(ISNUMBER(N4585),N4585,0)-IF(ISNUMBER(O4585),O4585,0)+IF(ISNUMBER(P4585),P4585,0),2),"")</f>
        <v/>
      </c>
      <c r="S4585" s="9" t="str">
        <f aca="false">IF(R4585="","",ROUND(L4585-R4585,2))</f>
        <v/>
      </c>
      <c r="T4585" s="8" t="str">
        <f aca="false">IF(A4585="","",IF(S4585="","BYPASS",IF(ABS(S4585)&lt;=Summary!$B$2,"PASS","FAIL")))</f>
        <v/>
      </c>
      <c r="U4585" s="8" t="str">
        <f aca="false">IF(T4585="BYPASS",IF(NOT(ISNUMBER(Q4585)),"PreV_ETB missing","End_tr_balance missing"),IF(T4585="FAIL",IF(AND(ISNUMBER(K4585),ISNUMBER(L4585),ABS(L4585-(K4585-IF(ISNUMBER(N4585),N4585,0)-IF(ISNUMBER(O4585),O4585,0)+IF(ISNUMBER(P4585),P4585,0)))&lt;=Summary!$B$2),"Passes using beginning_balance - PreV_ETB differs from beginning_balance",IF(AND(ISNUMBER(O4585),O4585&lt;0,ABS(L4585-(Q4585-IF(ISNUMBER(N4585),N4585,0)+IF(ISNUMBER(P4585),P4585,0)))&lt;=Summary!$B$2),"Negative realized loss not applied - check sign",IF(R4585&lt;0,"Principal paid exceeds prior balance",IF(AND(L4585&gt;Q4585,NOT(ISNUMBER(P4585))),"Balance increased but no Deferred_interest reported",IF(L4585&gt;R4585,"Reported balance higher than expected (missing increase/OC build)","Reported balance lower than expected (missing decrease)"))))),""))</f>
        <v/>
      </c>
    </row>
    <row r="4586" customFormat="false" ht="15" hidden="false" customHeight="false" outlineLevel="0" collapsed="false">
      <c r="A4586" s="8"/>
      <c r="B4586" s="8"/>
      <c r="C4586" s="8"/>
      <c r="D4586" s="8"/>
      <c r="E4586" s="8"/>
      <c r="F4586" s="8"/>
      <c r="G4586" s="8"/>
      <c r="H4586" s="8"/>
      <c r="I4586" s="8"/>
      <c r="J4586" s="8"/>
      <c r="K4586" s="9"/>
      <c r="L4586" s="9"/>
      <c r="M4586" s="9"/>
      <c r="N4586" s="9"/>
      <c r="O4586" s="9"/>
      <c r="P4586" s="9"/>
      <c r="Q4586" s="9"/>
      <c r="R4586" s="9" t="str">
        <f aca="false">IF(AND(A4586&lt;&gt;"",ISNUMBER(Q4586),ISNUMBER(L4586)),ROUND(Q4586-IF(ISNUMBER(N4586),N4586,0)-IF(ISNUMBER(O4586),O4586,0)+IF(ISNUMBER(P4586),P4586,0),2),"")</f>
        <v/>
      </c>
      <c r="S4586" s="9" t="str">
        <f aca="false">IF(R4586="","",ROUND(L4586-R4586,2))</f>
        <v/>
      </c>
      <c r="T4586" s="8" t="str">
        <f aca="false">IF(A4586="","",IF(S4586="","BYPASS",IF(ABS(S4586)&lt;=Summary!$B$2,"PASS","FAIL")))</f>
        <v/>
      </c>
      <c r="U4586" s="8" t="str">
        <f aca="false">IF(T4586="BYPASS",IF(NOT(ISNUMBER(Q4586)),"PreV_ETB missing","End_tr_balance missing"),IF(T4586="FAIL",IF(AND(ISNUMBER(K4586),ISNUMBER(L4586),ABS(L4586-(K4586-IF(ISNUMBER(N4586),N4586,0)-IF(ISNUMBER(O4586),O4586,0)+IF(ISNUMBER(P4586),P4586,0)))&lt;=Summary!$B$2),"Passes using beginning_balance - PreV_ETB differs from beginning_balance",IF(AND(ISNUMBER(O4586),O4586&lt;0,ABS(L4586-(Q4586-IF(ISNUMBER(N4586),N4586,0)+IF(ISNUMBER(P4586),P4586,0)))&lt;=Summary!$B$2),"Negative realized loss not applied - check sign",IF(R4586&lt;0,"Principal paid exceeds prior balance",IF(AND(L4586&gt;Q4586,NOT(ISNUMBER(P4586))),"Balance increased but no Deferred_interest reported",IF(L4586&gt;R4586,"Reported balance higher than expected (missing increase/OC build)","Reported balance lower than expected (missing decrease)"))))),""))</f>
        <v/>
      </c>
    </row>
    <row r="4587" customFormat="false" ht="15" hidden="false" customHeight="false" outlineLevel="0" collapsed="false">
      <c r="A4587" s="8"/>
      <c r="B4587" s="8"/>
      <c r="C4587" s="8"/>
      <c r="D4587" s="8"/>
      <c r="E4587" s="8"/>
      <c r="F4587" s="8"/>
      <c r="G4587" s="8"/>
      <c r="H4587" s="8"/>
      <c r="I4587" s="8"/>
      <c r="J4587" s="8"/>
      <c r="K4587" s="9"/>
      <c r="L4587" s="9"/>
      <c r="M4587" s="9"/>
      <c r="N4587" s="9"/>
      <c r="O4587" s="9"/>
      <c r="P4587" s="9"/>
      <c r="Q4587" s="9"/>
      <c r="R4587" s="9" t="str">
        <f aca="false">IF(AND(A4587&lt;&gt;"",ISNUMBER(Q4587),ISNUMBER(L4587)),ROUND(Q4587-IF(ISNUMBER(N4587),N4587,0)-IF(ISNUMBER(O4587),O4587,0)+IF(ISNUMBER(P4587),P4587,0),2),"")</f>
        <v/>
      </c>
      <c r="S4587" s="9" t="str">
        <f aca="false">IF(R4587="","",ROUND(L4587-R4587,2))</f>
        <v/>
      </c>
      <c r="T4587" s="8" t="str">
        <f aca="false">IF(A4587="","",IF(S4587="","BYPASS",IF(ABS(S4587)&lt;=Summary!$B$2,"PASS","FAIL")))</f>
        <v/>
      </c>
      <c r="U4587" s="8" t="str">
        <f aca="false">IF(T4587="BYPASS",IF(NOT(ISNUMBER(Q4587)),"PreV_ETB missing","End_tr_balance missing"),IF(T4587="FAIL",IF(AND(ISNUMBER(K4587),ISNUMBER(L4587),ABS(L4587-(K4587-IF(ISNUMBER(N4587),N4587,0)-IF(ISNUMBER(O4587),O4587,0)+IF(ISNUMBER(P4587),P4587,0)))&lt;=Summary!$B$2),"Passes using beginning_balance - PreV_ETB differs from beginning_balance",IF(AND(ISNUMBER(O4587),O4587&lt;0,ABS(L4587-(Q4587-IF(ISNUMBER(N4587),N4587,0)+IF(ISNUMBER(P4587),P4587,0)))&lt;=Summary!$B$2),"Negative realized loss not applied - check sign",IF(R4587&lt;0,"Principal paid exceeds prior balance",IF(AND(L4587&gt;Q4587,NOT(ISNUMBER(P4587))),"Balance increased but no Deferred_interest reported",IF(L4587&gt;R4587,"Reported balance higher than expected (missing increase/OC build)","Reported balance lower than expected (missing decrease)"))))),""))</f>
        <v/>
      </c>
    </row>
    <row r="4588" customFormat="false" ht="15" hidden="false" customHeight="false" outlineLevel="0" collapsed="false">
      <c r="A4588" s="8"/>
      <c r="B4588" s="8"/>
      <c r="C4588" s="8"/>
      <c r="D4588" s="8"/>
      <c r="E4588" s="8"/>
      <c r="F4588" s="8"/>
      <c r="G4588" s="8"/>
      <c r="H4588" s="8"/>
      <c r="I4588" s="8"/>
      <c r="J4588" s="8"/>
      <c r="K4588" s="9"/>
      <c r="L4588" s="9"/>
      <c r="M4588" s="9"/>
      <c r="N4588" s="9"/>
      <c r="O4588" s="9"/>
      <c r="P4588" s="9"/>
      <c r="Q4588" s="9"/>
      <c r="R4588" s="9" t="str">
        <f aca="false">IF(AND(A4588&lt;&gt;"",ISNUMBER(Q4588),ISNUMBER(L4588)),ROUND(Q4588-IF(ISNUMBER(N4588),N4588,0)-IF(ISNUMBER(O4588),O4588,0)+IF(ISNUMBER(P4588),P4588,0),2),"")</f>
        <v/>
      </c>
      <c r="S4588" s="9" t="str">
        <f aca="false">IF(R4588="","",ROUND(L4588-R4588,2))</f>
        <v/>
      </c>
      <c r="T4588" s="8" t="str">
        <f aca="false">IF(A4588="","",IF(S4588="","BYPASS",IF(ABS(S4588)&lt;=Summary!$B$2,"PASS","FAIL")))</f>
        <v/>
      </c>
      <c r="U4588" s="8" t="str">
        <f aca="false">IF(T4588="BYPASS",IF(NOT(ISNUMBER(Q4588)),"PreV_ETB missing","End_tr_balance missing"),IF(T4588="FAIL",IF(AND(ISNUMBER(K4588),ISNUMBER(L4588),ABS(L4588-(K4588-IF(ISNUMBER(N4588),N4588,0)-IF(ISNUMBER(O4588),O4588,0)+IF(ISNUMBER(P4588),P4588,0)))&lt;=Summary!$B$2),"Passes using beginning_balance - PreV_ETB differs from beginning_balance",IF(AND(ISNUMBER(O4588),O4588&lt;0,ABS(L4588-(Q4588-IF(ISNUMBER(N4588),N4588,0)+IF(ISNUMBER(P4588),P4588,0)))&lt;=Summary!$B$2),"Negative realized loss not applied - check sign",IF(R4588&lt;0,"Principal paid exceeds prior balance",IF(AND(L4588&gt;Q4588,NOT(ISNUMBER(P4588))),"Balance increased but no Deferred_interest reported",IF(L4588&gt;R4588,"Reported balance higher than expected (missing increase/OC build)","Reported balance lower than expected (missing decrease)"))))),""))</f>
        <v/>
      </c>
    </row>
    <row r="4589" customFormat="false" ht="15" hidden="false" customHeight="false" outlineLevel="0" collapsed="false">
      <c r="A4589" s="8"/>
      <c r="B4589" s="8"/>
      <c r="C4589" s="8"/>
      <c r="D4589" s="8"/>
      <c r="E4589" s="8"/>
      <c r="F4589" s="8"/>
      <c r="G4589" s="8"/>
      <c r="H4589" s="8"/>
      <c r="I4589" s="8"/>
      <c r="J4589" s="8"/>
      <c r="K4589" s="9"/>
      <c r="L4589" s="9"/>
      <c r="M4589" s="9"/>
      <c r="N4589" s="9"/>
      <c r="O4589" s="9"/>
      <c r="P4589" s="9"/>
      <c r="Q4589" s="9"/>
      <c r="R4589" s="9" t="str">
        <f aca="false">IF(AND(A4589&lt;&gt;"",ISNUMBER(Q4589),ISNUMBER(L4589)),ROUND(Q4589-IF(ISNUMBER(N4589),N4589,0)-IF(ISNUMBER(O4589),O4589,0)+IF(ISNUMBER(P4589),P4589,0),2),"")</f>
        <v/>
      </c>
      <c r="S4589" s="9" t="str">
        <f aca="false">IF(R4589="","",ROUND(L4589-R4589,2))</f>
        <v/>
      </c>
      <c r="T4589" s="8" t="str">
        <f aca="false">IF(A4589="","",IF(S4589="","BYPASS",IF(ABS(S4589)&lt;=Summary!$B$2,"PASS","FAIL")))</f>
        <v/>
      </c>
      <c r="U4589" s="8" t="str">
        <f aca="false">IF(T4589="BYPASS",IF(NOT(ISNUMBER(Q4589)),"PreV_ETB missing","End_tr_balance missing"),IF(T4589="FAIL",IF(AND(ISNUMBER(K4589),ISNUMBER(L4589),ABS(L4589-(K4589-IF(ISNUMBER(N4589),N4589,0)-IF(ISNUMBER(O4589),O4589,0)+IF(ISNUMBER(P4589),P4589,0)))&lt;=Summary!$B$2),"Passes using beginning_balance - PreV_ETB differs from beginning_balance",IF(AND(ISNUMBER(O4589),O4589&lt;0,ABS(L4589-(Q4589-IF(ISNUMBER(N4589),N4589,0)+IF(ISNUMBER(P4589),P4589,0)))&lt;=Summary!$B$2),"Negative realized loss not applied - check sign",IF(R4589&lt;0,"Principal paid exceeds prior balance",IF(AND(L4589&gt;Q4589,NOT(ISNUMBER(P4589))),"Balance increased but no Deferred_interest reported",IF(L4589&gt;R4589,"Reported balance higher than expected (missing increase/OC build)","Reported balance lower than expected (missing decrease)"))))),""))</f>
        <v/>
      </c>
    </row>
    <row r="4590" customFormat="false" ht="15" hidden="false" customHeight="false" outlineLevel="0" collapsed="false">
      <c r="A4590" s="8"/>
      <c r="B4590" s="8"/>
      <c r="C4590" s="8"/>
      <c r="D4590" s="8"/>
      <c r="E4590" s="8"/>
      <c r="F4590" s="8"/>
      <c r="G4590" s="8"/>
      <c r="H4590" s="8"/>
      <c r="I4590" s="8"/>
      <c r="J4590" s="8"/>
      <c r="K4590" s="9"/>
      <c r="L4590" s="9"/>
      <c r="M4590" s="9"/>
      <c r="N4590" s="9"/>
      <c r="O4590" s="9"/>
      <c r="P4590" s="9"/>
      <c r="Q4590" s="9"/>
      <c r="R4590" s="9" t="str">
        <f aca="false">IF(AND(A4590&lt;&gt;"",ISNUMBER(Q4590),ISNUMBER(L4590)),ROUND(Q4590-IF(ISNUMBER(N4590),N4590,0)-IF(ISNUMBER(O4590),O4590,0)+IF(ISNUMBER(P4590),P4590,0),2),"")</f>
        <v/>
      </c>
      <c r="S4590" s="9" t="str">
        <f aca="false">IF(R4590="","",ROUND(L4590-R4590,2))</f>
        <v/>
      </c>
      <c r="T4590" s="8" t="str">
        <f aca="false">IF(A4590="","",IF(S4590="","BYPASS",IF(ABS(S4590)&lt;=Summary!$B$2,"PASS","FAIL")))</f>
        <v/>
      </c>
      <c r="U4590" s="8" t="str">
        <f aca="false">IF(T4590="BYPASS",IF(NOT(ISNUMBER(Q4590)),"PreV_ETB missing","End_tr_balance missing"),IF(T4590="FAIL",IF(AND(ISNUMBER(K4590),ISNUMBER(L4590),ABS(L4590-(K4590-IF(ISNUMBER(N4590),N4590,0)-IF(ISNUMBER(O4590),O4590,0)+IF(ISNUMBER(P4590),P4590,0)))&lt;=Summary!$B$2),"Passes using beginning_balance - PreV_ETB differs from beginning_balance",IF(AND(ISNUMBER(O4590),O4590&lt;0,ABS(L4590-(Q4590-IF(ISNUMBER(N4590),N4590,0)+IF(ISNUMBER(P4590),P4590,0)))&lt;=Summary!$B$2),"Negative realized loss not applied - check sign",IF(R4590&lt;0,"Principal paid exceeds prior balance",IF(AND(L4590&gt;Q4590,NOT(ISNUMBER(P4590))),"Balance increased but no Deferred_interest reported",IF(L4590&gt;R4590,"Reported balance higher than expected (missing increase/OC build)","Reported balance lower than expected (missing decrease)"))))),""))</f>
        <v/>
      </c>
    </row>
    <row r="4591" customFormat="false" ht="15" hidden="false" customHeight="false" outlineLevel="0" collapsed="false">
      <c r="A4591" s="8"/>
      <c r="B4591" s="8"/>
      <c r="C4591" s="8"/>
      <c r="D4591" s="8"/>
      <c r="E4591" s="8"/>
      <c r="F4591" s="8"/>
      <c r="G4591" s="8"/>
      <c r="H4591" s="8"/>
      <c r="I4591" s="8"/>
      <c r="J4591" s="8"/>
      <c r="K4591" s="9"/>
      <c r="L4591" s="9"/>
      <c r="M4591" s="9"/>
      <c r="N4591" s="9"/>
      <c r="O4591" s="9"/>
      <c r="P4591" s="9"/>
      <c r="Q4591" s="9"/>
      <c r="R4591" s="9" t="str">
        <f aca="false">IF(AND(A4591&lt;&gt;"",ISNUMBER(Q4591),ISNUMBER(L4591)),ROUND(Q4591-IF(ISNUMBER(N4591),N4591,0)-IF(ISNUMBER(O4591),O4591,0)+IF(ISNUMBER(P4591),P4591,0),2),"")</f>
        <v/>
      </c>
      <c r="S4591" s="9" t="str">
        <f aca="false">IF(R4591="","",ROUND(L4591-R4591,2))</f>
        <v/>
      </c>
      <c r="T4591" s="8" t="str">
        <f aca="false">IF(A4591="","",IF(S4591="","BYPASS",IF(ABS(S4591)&lt;=Summary!$B$2,"PASS","FAIL")))</f>
        <v/>
      </c>
      <c r="U4591" s="8" t="str">
        <f aca="false">IF(T4591="BYPASS",IF(NOT(ISNUMBER(Q4591)),"PreV_ETB missing","End_tr_balance missing"),IF(T4591="FAIL",IF(AND(ISNUMBER(K4591),ISNUMBER(L4591),ABS(L4591-(K4591-IF(ISNUMBER(N4591),N4591,0)-IF(ISNUMBER(O4591),O4591,0)+IF(ISNUMBER(P4591),P4591,0)))&lt;=Summary!$B$2),"Passes using beginning_balance - PreV_ETB differs from beginning_balance",IF(AND(ISNUMBER(O4591),O4591&lt;0,ABS(L4591-(Q4591-IF(ISNUMBER(N4591),N4591,0)+IF(ISNUMBER(P4591),P4591,0)))&lt;=Summary!$B$2),"Negative realized loss not applied - check sign",IF(R4591&lt;0,"Principal paid exceeds prior balance",IF(AND(L4591&gt;Q4591,NOT(ISNUMBER(P4591))),"Balance increased but no Deferred_interest reported",IF(L4591&gt;R4591,"Reported balance higher than expected (missing increase/OC build)","Reported balance lower than expected (missing decrease)"))))),""))</f>
        <v/>
      </c>
    </row>
    <row r="4592" customFormat="false" ht="15" hidden="false" customHeight="false" outlineLevel="0" collapsed="false">
      <c r="A4592" s="8"/>
      <c r="B4592" s="8"/>
      <c r="C4592" s="8"/>
      <c r="D4592" s="8"/>
      <c r="E4592" s="8"/>
      <c r="F4592" s="8"/>
      <c r="G4592" s="8"/>
      <c r="H4592" s="8"/>
      <c r="I4592" s="8"/>
      <c r="J4592" s="8"/>
      <c r="K4592" s="9"/>
      <c r="L4592" s="9"/>
      <c r="M4592" s="9"/>
      <c r="N4592" s="9"/>
      <c r="O4592" s="9"/>
      <c r="P4592" s="9"/>
      <c r="Q4592" s="9"/>
      <c r="R4592" s="9" t="str">
        <f aca="false">IF(AND(A4592&lt;&gt;"",ISNUMBER(Q4592),ISNUMBER(L4592)),ROUND(Q4592-IF(ISNUMBER(N4592),N4592,0)-IF(ISNUMBER(O4592),O4592,0)+IF(ISNUMBER(P4592),P4592,0),2),"")</f>
        <v/>
      </c>
      <c r="S4592" s="9" t="str">
        <f aca="false">IF(R4592="","",ROUND(L4592-R4592,2))</f>
        <v/>
      </c>
      <c r="T4592" s="8" t="str">
        <f aca="false">IF(A4592="","",IF(S4592="","BYPASS",IF(ABS(S4592)&lt;=Summary!$B$2,"PASS","FAIL")))</f>
        <v/>
      </c>
      <c r="U4592" s="8" t="str">
        <f aca="false">IF(T4592="BYPASS",IF(NOT(ISNUMBER(Q4592)),"PreV_ETB missing","End_tr_balance missing"),IF(T4592="FAIL",IF(AND(ISNUMBER(K4592),ISNUMBER(L4592),ABS(L4592-(K4592-IF(ISNUMBER(N4592),N4592,0)-IF(ISNUMBER(O4592),O4592,0)+IF(ISNUMBER(P4592),P4592,0)))&lt;=Summary!$B$2),"Passes using beginning_balance - PreV_ETB differs from beginning_balance",IF(AND(ISNUMBER(O4592),O4592&lt;0,ABS(L4592-(Q4592-IF(ISNUMBER(N4592),N4592,0)+IF(ISNUMBER(P4592),P4592,0)))&lt;=Summary!$B$2),"Negative realized loss not applied - check sign",IF(R4592&lt;0,"Principal paid exceeds prior balance",IF(AND(L4592&gt;Q4592,NOT(ISNUMBER(P4592))),"Balance increased but no Deferred_interest reported",IF(L4592&gt;R4592,"Reported balance higher than expected (missing increase/OC build)","Reported balance lower than expected (missing decrease)"))))),""))</f>
        <v/>
      </c>
    </row>
    <row r="4593" customFormat="false" ht="15" hidden="false" customHeight="false" outlineLevel="0" collapsed="false">
      <c r="A4593" s="8"/>
      <c r="B4593" s="8"/>
      <c r="C4593" s="8"/>
      <c r="D4593" s="8"/>
      <c r="E4593" s="8"/>
      <c r="F4593" s="8"/>
      <c r="G4593" s="8"/>
      <c r="H4593" s="8"/>
      <c r="I4593" s="8"/>
      <c r="J4593" s="8"/>
      <c r="K4593" s="9"/>
      <c r="L4593" s="9"/>
      <c r="M4593" s="9"/>
      <c r="N4593" s="9"/>
      <c r="O4593" s="9"/>
      <c r="P4593" s="9"/>
      <c r="Q4593" s="9"/>
      <c r="R4593" s="9" t="str">
        <f aca="false">IF(AND(A4593&lt;&gt;"",ISNUMBER(Q4593),ISNUMBER(L4593)),ROUND(Q4593-IF(ISNUMBER(N4593),N4593,0)-IF(ISNUMBER(O4593),O4593,0)+IF(ISNUMBER(P4593),P4593,0),2),"")</f>
        <v/>
      </c>
      <c r="S4593" s="9" t="str">
        <f aca="false">IF(R4593="","",ROUND(L4593-R4593,2))</f>
        <v/>
      </c>
      <c r="T4593" s="8" t="str">
        <f aca="false">IF(A4593="","",IF(S4593="","BYPASS",IF(ABS(S4593)&lt;=Summary!$B$2,"PASS","FAIL")))</f>
        <v/>
      </c>
      <c r="U4593" s="8" t="str">
        <f aca="false">IF(T4593="BYPASS",IF(NOT(ISNUMBER(Q4593)),"PreV_ETB missing","End_tr_balance missing"),IF(T4593="FAIL",IF(AND(ISNUMBER(K4593),ISNUMBER(L4593),ABS(L4593-(K4593-IF(ISNUMBER(N4593),N4593,0)-IF(ISNUMBER(O4593),O4593,0)+IF(ISNUMBER(P4593),P4593,0)))&lt;=Summary!$B$2),"Passes using beginning_balance - PreV_ETB differs from beginning_balance",IF(AND(ISNUMBER(O4593),O4593&lt;0,ABS(L4593-(Q4593-IF(ISNUMBER(N4593),N4593,0)+IF(ISNUMBER(P4593),P4593,0)))&lt;=Summary!$B$2),"Negative realized loss not applied - check sign",IF(R4593&lt;0,"Principal paid exceeds prior balance",IF(AND(L4593&gt;Q4593,NOT(ISNUMBER(P4593))),"Balance increased but no Deferred_interest reported",IF(L4593&gt;R4593,"Reported balance higher than expected (missing increase/OC build)","Reported balance lower than expected (missing decrease)"))))),""))</f>
        <v/>
      </c>
    </row>
    <row r="4594" customFormat="false" ht="15" hidden="false" customHeight="false" outlineLevel="0" collapsed="false">
      <c r="A4594" s="8"/>
      <c r="B4594" s="8"/>
      <c r="C4594" s="8"/>
      <c r="D4594" s="8"/>
      <c r="E4594" s="8"/>
      <c r="F4594" s="8"/>
      <c r="G4594" s="8"/>
      <c r="H4594" s="8"/>
      <c r="I4594" s="8"/>
      <c r="J4594" s="8"/>
      <c r="K4594" s="9"/>
      <c r="L4594" s="9"/>
      <c r="M4594" s="9"/>
      <c r="N4594" s="9"/>
      <c r="O4594" s="9"/>
      <c r="P4594" s="9"/>
      <c r="Q4594" s="9"/>
      <c r="R4594" s="9" t="str">
        <f aca="false">IF(AND(A4594&lt;&gt;"",ISNUMBER(Q4594),ISNUMBER(L4594)),ROUND(Q4594-IF(ISNUMBER(N4594),N4594,0)-IF(ISNUMBER(O4594),O4594,0)+IF(ISNUMBER(P4594),P4594,0),2),"")</f>
        <v/>
      </c>
      <c r="S4594" s="9" t="str">
        <f aca="false">IF(R4594="","",ROUND(L4594-R4594,2))</f>
        <v/>
      </c>
      <c r="T4594" s="8" t="str">
        <f aca="false">IF(A4594="","",IF(S4594="","BYPASS",IF(ABS(S4594)&lt;=Summary!$B$2,"PASS","FAIL")))</f>
        <v/>
      </c>
      <c r="U4594" s="8" t="str">
        <f aca="false">IF(T4594="BYPASS",IF(NOT(ISNUMBER(Q4594)),"PreV_ETB missing","End_tr_balance missing"),IF(T4594="FAIL",IF(AND(ISNUMBER(K4594),ISNUMBER(L4594),ABS(L4594-(K4594-IF(ISNUMBER(N4594),N4594,0)-IF(ISNUMBER(O4594),O4594,0)+IF(ISNUMBER(P4594),P4594,0)))&lt;=Summary!$B$2),"Passes using beginning_balance - PreV_ETB differs from beginning_balance",IF(AND(ISNUMBER(O4594),O4594&lt;0,ABS(L4594-(Q4594-IF(ISNUMBER(N4594),N4594,0)+IF(ISNUMBER(P4594),P4594,0)))&lt;=Summary!$B$2),"Negative realized loss not applied - check sign",IF(R4594&lt;0,"Principal paid exceeds prior balance",IF(AND(L4594&gt;Q4594,NOT(ISNUMBER(P4594))),"Balance increased but no Deferred_interest reported",IF(L4594&gt;R4594,"Reported balance higher than expected (missing increase/OC build)","Reported balance lower than expected (missing decrease)"))))),""))</f>
        <v/>
      </c>
    </row>
    <row r="4595" customFormat="false" ht="15" hidden="false" customHeight="false" outlineLevel="0" collapsed="false">
      <c r="A4595" s="8"/>
      <c r="B4595" s="8"/>
      <c r="C4595" s="8"/>
      <c r="D4595" s="8"/>
      <c r="E4595" s="8"/>
      <c r="F4595" s="8"/>
      <c r="G4595" s="8"/>
      <c r="H4595" s="8"/>
      <c r="I4595" s="8"/>
      <c r="J4595" s="8"/>
      <c r="K4595" s="9"/>
      <c r="L4595" s="9"/>
      <c r="M4595" s="9"/>
      <c r="N4595" s="9"/>
      <c r="O4595" s="9"/>
      <c r="P4595" s="9"/>
      <c r="Q4595" s="9"/>
      <c r="R4595" s="9" t="str">
        <f aca="false">IF(AND(A4595&lt;&gt;"",ISNUMBER(Q4595),ISNUMBER(L4595)),ROUND(Q4595-IF(ISNUMBER(N4595),N4595,0)-IF(ISNUMBER(O4595),O4595,0)+IF(ISNUMBER(P4595),P4595,0),2),"")</f>
        <v/>
      </c>
      <c r="S4595" s="9" t="str">
        <f aca="false">IF(R4595="","",ROUND(L4595-R4595,2))</f>
        <v/>
      </c>
      <c r="T4595" s="8" t="str">
        <f aca="false">IF(A4595="","",IF(S4595="","BYPASS",IF(ABS(S4595)&lt;=Summary!$B$2,"PASS","FAIL")))</f>
        <v/>
      </c>
      <c r="U4595" s="8" t="str">
        <f aca="false">IF(T4595="BYPASS",IF(NOT(ISNUMBER(Q4595)),"PreV_ETB missing","End_tr_balance missing"),IF(T4595="FAIL",IF(AND(ISNUMBER(K4595),ISNUMBER(L4595),ABS(L4595-(K4595-IF(ISNUMBER(N4595),N4595,0)-IF(ISNUMBER(O4595),O4595,0)+IF(ISNUMBER(P4595),P4595,0)))&lt;=Summary!$B$2),"Passes using beginning_balance - PreV_ETB differs from beginning_balance",IF(AND(ISNUMBER(O4595),O4595&lt;0,ABS(L4595-(Q4595-IF(ISNUMBER(N4595),N4595,0)+IF(ISNUMBER(P4595),P4595,0)))&lt;=Summary!$B$2),"Negative realized loss not applied - check sign",IF(R4595&lt;0,"Principal paid exceeds prior balance",IF(AND(L4595&gt;Q4595,NOT(ISNUMBER(P4595))),"Balance increased but no Deferred_interest reported",IF(L4595&gt;R4595,"Reported balance higher than expected (missing increase/OC build)","Reported balance lower than expected (missing decrease)"))))),""))</f>
        <v/>
      </c>
    </row>
    <row r="4596" customFormat="false" ht="15" hidden="false" customHeight="false" outlineLevel="0" collapsed="false">
      <c r="A4596" s="8"/>
      <c r="B4596" s="8"/>
      <c r="C4596" s="8"/>
      <c r="D4596" s="8"/>
      <c r="E4596" s="8"/>
      <c r="F4596" s="8"/>
      <c r="G4596" s="8"/>
      <c r="H4596" s="8"/>
      <c r="I4596" s="8"/>
      <c r="J4596" s="8"/>
      <c r="K4596" s="9"/>
      <c r="L4596" s="9"/>
      <c r="M4596" s="9"/>
      <c r="N4596" s="9"/>
      <c r="O4596" s="9"/>
      <c r="P4596" s="9"/>
      <c r="Q4596" s="9"/>
      <c r="R4596" s="9" t="str">
        <f aca="false">IF(AND(A4596&lt;&gt;"",ISNUMBER(Q4596),ISNUMBER(L4596)),ROUND(Q4596-IF(ISNUMBER(N4596),N4596,0)-IF(ISNUMBER(O4596),O4596,0)+IF(ISNUMBER(P4596),P4596,0),2),"")</f>
        <v/>
      </c>
      <c r="S4596" s="9" t="str">
        <f aca="false">IF(R4596="","",ROUND(L4596-R4596,2))</f>
        <v/>
      </c>
      <c r="T4596" s="8" t="str">
        <f aca="false">IF(A4596="","",IF(S4596="","BYPASS",IF(ABS(S4596)&lt;=Summary!$B$2,"PASS","FAIL")))</f>
        <v/>
      </c>
      <c r="U4596" s="8" t="str">
        <f aca="false">IF(T4596="BYPASS",IF(NOT(ISNUMBER(Q4596)),"PreV_ETB missing","End_tr_balance missing"),IF(T4596="FAIL",IF(AND(ISNUMBER(K4596),ISNUMBER(L4596),ABS(L4596-(K4596-IF(ISNUMBER(N4596),N4596,0)-IF(ISNUMBER(O4596),O4596,0)+IF(ISNUMBER(P4596),P4596,0)))&lt;=Summary!$B$2),"Passes using beginning_balance - PreV_ETB differs from beginning_balance",IF(AND(ISNUMBER(O4596),O4596&lt;0,ABS(L4596-(Q4596-IF(ISNUMBER(N4596),N4596,0)+IF(ISNUMBER(P4596),P4596,0)))&lt;=Summary!$B$2),"Negative realized loss not applied - check sign",IF(R4596&lt;0,"Principal paid exceeds prior balance",IF(AND(L4596&gt;Q4596,NOT(ISNUMBER(P4596))),"Balance increased but no Deferred_interest reported",IF(L4596&gt;R4596,"Reported balance higher than expected (missing increase/OC build)","Reported balance lower than expected (missing decrease)"))))),""))</f>
        <v/>
      </c>
    </row>
    <row r="4597" customFormat="false" ht="15" hidden="false" customHeight="false" outlineLevel="0" collapsed="false">
      <c r="A4597" s="8"/>
      <c r="B4597" s="8"/>
      <c r="C4597" s="8"/>
      <c r="D4597" s="8"/>
      <c r="E4597" s="8"/>
      <c r="F4597" s="8"/>
      <c r="G4597" s="8"/>
      <c r="H4597" s="8"/>
      <c r="I4597" s="8"/>
      <c r="J4597" s="8"/>
      <c r="K4597" s="9"/>
      <c r="L4597" s="9"/>
      <c r="M4597" s="9"/>
      <c r="N4597" s="9"/>
      <c r="O4597" s="9"/>
      <c r="P4597" s="9"/>
      <c r="Q4597" s="9"/>
      <c r="R4597" s="9" t="str">
        <f aca="false">IF(AND(A4597&lt;&gt;"",ISNUMBER(Q4597),ISNUMBER(L4597)),ROUND(Q4597-IF(ISNUMBER(N4597),N4597,0)-IF(ISNUMBER(O4597),O4597,0)+IF(ISNUMBER(P4597),P4597,0),2),"")</f>
        <v/>
      </c>
      <c r="S4597" s="9" t="str">
        <f aca="false">IF(R4597="","",ROUND(L4597-R4597,2))</f>
        <v/>
      </c>
      <c r="T4597" s="8" t="str">
        <f aca="false">IF(A4597="","",IF(S4597="","BYPASS",IF(ABS(S4597)&lt;=Summary!$B$2,"PASS","FAIL")))</f>
        <v/>
      </c>
      <c r="U4597" s="8" t="str">
        <f aca="false">IF(T4597="BYPASS",IF(NOT(ISNUMBER(Q4597)),"PreV_ETB missing","End_tr_balance missing"),IF(T4597="FAIL",IF(AND(ISNUMBER(K4597),ISNUMBER(L4597),ABS(L4597-(K4597-IF(ISNUMBER(N4597),N4597,0)-IF(ISNUMBER(O4597),O4597,0)+IF(ISNUMBER(P4597),P4597,0)))&lt;=Summary!$B$2),"Passes using beginning_balance - PreV_ETB differs from beginning_balance",IF(AND(ISNUMBER(O4597),O4597&lt;0,ABS(L4597-(Q4597-IF(ISNUMBER(N4597),N4597,0)+IF(ISNUMBER(P4597),P4597,0)))&lt;=Summary!$B$2),"Negative realized loss not applied - check sign",IF(R4597&lt;0,"Principal paid exceeds prior balance",IF(AND(L4597&gt;Q4597,NOT(ISNUMBER(P4597))),"Balance increased but no Deferred_interest reported",IF(L4597&gt;R4597,"Reported balance higher than expected (missing increase/OC build)","Reported balance lower than expected (missing decrease)"))))),""))</f>
        <v/>
      </c>
    </row>
    <row r="4598" customFormat="false" ht="15" hidden="false" customHeight="false" outlineLevel="0" collapsed="false">
      <c r="A4598" s="8"/>
      <c r="B4598" s="8"/>
      <c r="C4598" s="8"/>
      <c r="D4598" s="8"/>
      <c r="E4598" s="8"/>
      <c r="F4598" s="8"/>
      <c r="G4598" s="8"/>
      <c r="H4598" s="8"/>
      <c r="I4598" s="8"/>
      <c r="J4598" s="8"/>
      <c r="K4598" s="9"/>
      <c r="L4598" s="9"/>
      <c r="M4598" s="9"/>
      <c r="N4598" s="9"/>
      <c r="O4598" s="9"/>
      <c r="P4598" s="9"/>
      <c r="Q4598" s="9"/>
      <c r="R4598" s="9" t="str">
        <f aca="false">IF(AND(A4598&lt;&gt;"",ISNUMBER(Q4598),ISNUMBER(L4598)),ROUND(Q4598-IF(ISNUMBER(N4598),N4598,0)-IF(ISNUMBER(O4598),O4598,0)+IF(ISNUMBER(P4598),P4598,0),2),"")</f>
        <v/>
      </c>
      <c r="S4598" s="9" t="str">
        <f aca="false">IF(R4598="","",ROUND(L4598-R4598,2))</f>
        <v/>
      </c>
      <c r="T4598" s="8" t="str">
        <f aca="false">IF(A4598="","",IF(S4598="","BYPASS",IF(ABS(S4598)&lt;=Summary!$B$2,"PASS","FAIL")))</f>
        <v/>
      </c>
      <c r="U4598" s="8" t="str">
        <f aca="false">IF(T4598="BYPASS",IF(NOT(ISNUMBER(Q4598)),"PreV_ETB missing","End_tr_balance missing"),IF(T4598="FAIL",IF(AND(ISNUMBER(K4598),ISNUMBER(L4598),ABS(L4598-(K4598-IF(ISNUMBER(N4598),N4598,0)-IF(ISNUMBER(O4598),O4598,0)+IF(ISNUMBER(P4598),P4598,0)))&lt;=Summary!$B$2),"Passes using beginning_balance - PreV_ETB differs from beginning_balance",IF(AND(ISNUMBER(O4598),O4598&lt;0,ABS(L4598-(Q4598-IF(ISNUMBER(N4598),N4598,0)+IF(ISNUMBER(P4598),P4598,0)))&lt;=Summary!$B$2),"Negative realized loss not applied - check sign",IF(R4598&lt;0,"Principal paid exceeds prior balance",IF(AND(L4598&gt;Q4598,NOT(ISNUMBER(P4598))),"Balance increased but no Deferred_interest reported",IF(L4598&gt;R4598,"Reported balance higher than expected (missing increase/OC build)","Reported balance lower than expected (missing decrease)"))))),""))</f>
        <v/>
      </c>
    </row>
    <row r="4599" customFormat="false" ht="15" hidden="false" customHeight="false" outlineLevel="0" collapsed="false">
      <c r="A4599" s="8"/>
      <c r="B4599" s="8"/>
      <c r="C4599" s="8"/>
      <c r="D4599" s="8"/>
      <c r="E4599" s="8"/>
      <c r="F4599" s="8"/>
      <c r="G4599" s="8"/>
      <c r="H4599" s="8"/>
      <c r="I4599" s="8"/>
      <c r="J4599" s="8"/>
      <c r="K4599" s="9"/>
      <c r="L4599" s="9"/>
      <c r="M4599" s="9"/>
      <c r="N4599" s="9"/>
      <c r="O4599" s="9"/>
      <c r="P4599" s="9"/>
      <c r="Q4599" s="9"/>
      <c r="R4599" s="9" t="str">
        <f aca="false">IF(AND(A4599&lt;&gt;"",ISNUMBER(Q4599),ISNUMBER(L4599)),ROUND(Q4599-IF(ISNUMBER(N4599),N4599,0)-IF(ISNUMBER(O4599),O4599,0)+IF(ISNUMBER(P4599),P4599,0),2),"")</f>
        <v/>
      </c>
      <c r="S4599" s="9" t="str">
        <f aca="false">IF(R4599="","",ROUND(L4599-R4599,2))</f>
        <v/>
      </c>
      <c r="T4599" s="8" t="str">
        <f aca="false">IF(A4599="","",IF(S4599="","BYPASS",IF(ABS(S4599)&lt;=Summary!$B$2,"PASS","FAIL")))</f>
        <v/>
      </c>
      <c r="U4599" s="8" t="str">
        <f aca="false">IF(T4599="BYPASS",IF(NOT(ISNUMBER(Q4599)),"PreV_ETB missing","End_tr_balance missing"),IF(T4599="FAIL",IF(AND(ISNUMBER(K4599),ISNUMBER(L4599),ABS(L4599-(K4599-IF(ISNUMBER(N4599),N4599,0)-IF(ISNUMBER(O4599),O4599,0)+IF(ISNUMBER(P4599),P4599,0)))&lt;=Summary!$B$2),"Passes using beginning_balance - PreV_ETB differs from beginning_balance",IF(AND(ISNUMBER(O4599),O4599&lt;0,ABS(L4599-(Q4599-IF(ISNUMBER(N4599),N4599,0)+IF(ISNUMBER(P4599),P4599,0)))&lt;=Summary!$B$2),"Negative realized loss not applied - check sign",IF(R4599&lt;0,"Principal paid exceeds prior balance",IF(AND(L4599&gt;Q4599,NOT(ISNUMBER(P4599))),"Balance increased but no Deferred_interest reported",IF(L4599&gt;R4599,"Reported balance higher than expected (missing increase/OC build)","Reported balance lower than expected (missing decrease)"))))),""))</f>
        <v/>
      </c>
    </row>
    <row r="4600" customFormat="false" ht="15" hidden="false" customHeight="false" outlineLevel="0" collapsed="false">
      <c r="A4600" s="8"/>
      <c r="B4600" s="8"/>
      <c r="C4600" s="8"/>
      <c r="D4600" s="8"/>
      <c r="E4600" s="8"/>
      <c r="F4600" s="8"/>
      <c r="G4600" s="8"/>
      <c r="H4600" s="8"/>
      <c r="I4600" s="8"/>
      <c r="J4600" s="8"/>
      <c r="K4600" s="9"/>
      <c r="L4600" s="9"/>
      <c r="M4600" s="9"/>
      <c r="N4600" s="9"/>
      <c r="O4600" s="9"/>
      <c r="P4600" s="9"/>
      <c r="Q4600" s="9"/>
      <c r="R4600" s="9" t="str">
        <f aca="false">IF(AND(A4600&lt;&gt;"",ISNUMBER(Q4600),ISNUMBER(L4600)),ROUND(Q4600-IF(ISNUMBER(N4600),N4600,0)-IF(ISNUMBER(O4600),O4600,0)+IF(ISNUMBER(P4600),P4600,0),2),"")</f>
        <v/>
      </c>
      <c r="S4600" s="9" t="str">
        <f aca="false">IF(R4600="","",ROUND(L4600-R4600,2))</f>
        <v/>
      </c>
      <c r="T4600" s="8" t="str">
        <f aca="false">IF(A4600="","",IF(S4600="","BYPASS",IF(ABS(S4600)&lt;=Summary!$B$2,"PASS","FAIL")))</f>
        <v/>
      </c>
      <c r="U4600" s="8" t="str">
        <f aca="false">IF(T4600="BYPASS",IF(NOT(ISNUMBER(Q4600)),"PreV_ETB missing","End_tr_balance missing"),IF(T4600="FAIL",IF(AND(ISNUMBER(K4600),ISNUMBER(L4600),ABS(L4600-(K4600-IF(ISNUMBER(N4600),N4600,0)-IF(ISNUMBER(O4600),O4600,0)+IF(ISNUMBER(P4600),P4600,0)))&lt;=Summary!$B$2),"Passes using beginning_balance - PreV_ETB differs from beginning_balance",IF(AND(ISNUMBER(O4600),O4600&lt;0,ABS(L4600-(Q4600-IF(ISNUMBER(N4600),N4600,0)+IF(ISNUMBER(P4600),P4600,0)))&lt;=Summary!$B$2),"Negative realized loss not applied - check sign",IF(R4600&lt;0,"Principal paid exceeds prior balance",IF(AND(L4600&gt;Q4600,NOT(ISNUMBER(P4600))),"Balance increased but no Deferred_interest reported",IF(L4600&gt;R4600,"Reported balance higher than expected (missing increase/OC build)","Reported balance lower than expected (missing decrease)"))))),""))</f>
        <v/>
      </c>
    </row>
    <row r="4601" customFormat="false" ht="15" hidden="false" customHeight="false" outlineLevel="0" collapsed="false">
      <c r="A4601" s="8"/>
      <c r="B4601" s="8"/>
      <c r="C4601" s="8"/>
      <c r="D4601" s="8"/>
      <c r="E4601" s="8"/>
      <c r="F4601" s="8"/>
      <c r="G4601" s="8"/>
      <c r="H4601" s="8"/>
      <c r="I4601" s="8"/>
      <c r="J4601" s="8"/>
      <c r="K4601" s="9"/>
      <c r="L4601" s="9"/>
      <c r="M4601" s="9"/>
      <c r="N4601" s="9"/>
      <c r="O4601" s="9"/>
      <c r="P4601" s="9"/>
      <c r="Q4601" s="9"/>
      <c r="R4601" s="9" t="str">
        <f aca="false">IF(AND(A4601&lt;&gt;"",ISNUMBER(Q4601),ISNUMBER(L4601)),ROUND(Q4601-IF(ISNUMBER(N4601),N4601,0)-IF(ISNUMBER(O4601),O4601,0)+IF(ISNUMBER(P4601),P4601,0),2),"")</f>
        <v/>
      </c>
      <c r="S4601" s="9" t="str">
        <f aca="false">IF(R4601="","",ROUND(L4601-R4601,2))</f>
        <v/>
      </c>
      <c r="T4601" s="8" t="str">
        <f aca="false">IF(A4601="","",IF(S4601="","BYPASS",IF(ABS(S4601)&lt;=Summary!$B$2,"PASS","FAIL")))</f>
        <v/>
      </c>
      <c r="U4601" s="8" t="str">
        <f aca="false">IF(T4601="BYPASS",IF(NOT(ISNUMBER(Q4601)),"PreV_ETB missing","End_tr_balance missing"),IF(T4601="FAIL",IF(AND(ISNUMBER(K4601),ISNUMBER(L4601),ABS(L4601-(K4601-IF(ISNUMBER(N4601),N4601,0)-IF(ISNUMBER(O4601),O4601,0)+IF(ISNUMBER(P4601),P4601,0)))&lt;=Summary!$B$2),"Passes using beginning_balance - PreV_ETB differs from beginning_balance",IF(AND(ISNUMBER(O4601),O4601&lt;0,ABS(L4601-(Q4601-IF(ISNUMBER(N4601),N4601,0)+IF(ISNUMBER(P4601),P4601,0)))&lt;=Summary!$B$2),"Negative realized loss not applied - check sign",IF(R4601&lt;0,"Principal paid exceeds prior balance",IF(AND(L4601&gt;Q4601,NOT(ISNUMBER(P4601))),"Balance increased but no Deferred_interest reported",IF(L4601&gt;R4601,"Reported balance higher than expected (missing increase/OC build)","Reported balance lower than expected (missing decrease)"))))),""))</f>
        <v/>
      </c>
    </row>
    <row r="4602" customFormat="false" ht="15" hidden="false" customHeight="false" outlineLevel="0" collapsed="false">
      <c r="A4602" s="8"/>
      <c r="B4602" s="8"/>
      <c r="C4602" s="8"/>
      <c r="D4602" s="8"/>
      <c r="E4602" s="8"/>
      <c r="F4602" s="8"/>
      <c r="G4602" s="8"/>
      <c r="H4602" s="8"/>
      <c r="I4602" s="8"/>
      <c r="J4602" s="8"/>
      <c r="K4602" s="9"/>
      <c r="L4602" s="9"/>
      <c r="M4602" s="9"/>
      <c r="N4602" s="9"/>
      <c r="O4602" s="9"/>
      <c r="P4602" s="9"/>
      <c r="Q4602" s="9"/>
      <c r="R4602" s="9" t="str">
        <f aca="false">IF(AND(A4602&lt;&gt;"",ISNUMBER(Q4602),ISNUMBER(L4602)),ROUND(Q4602-IF(ISNUMBER(N4602),N4602,0)-IF(ISNUMBER(O4602),O4602,0)+IF(ISNUMBER(P4602),P4602,0),2),"")</f>
        <v/>
      </c>
      <c r="S4602" s="9" t="str">
        <f aca="false">IF(R4602="","",ROUND(L4602-R4602,2))</f>
        <v/>
      </c>
      <c r="T4602" s="8" t="str">
        <f aca="false">IF(A4602="","",IF(S4602="","BYPASS",IF(ABS(S4602)&lt;=Summary!$B$2,"PASS","FAIL")))</f>
        <v/>
      </c>
      <c r="U4602" s="8" t="str">
        <f aca="false">IF(T4602="BYPASS",IF(NOT(ISNUMBER(Q4602)),"PreV_ETB missing","End_tr_balance missing"),IF(T4602="FAIL",IF(AND(ISNUMBER(K4602),ISNUMBER(L4602),ABS(L4602-(K4602-IF(ISNUMBER(N4602),N4602,0)-IF(ISNUMBER(O4602),O4602,0)+IF(ISNUMBER(P4602),P4602,0)))&lt;=Summary!$B$2),"Passes using beginning_balance - PreV_ETB differs from beginning_balance",IF(AND(ISNUMBER(O4602),O4602&lt;0,ABS(L4602-(Q4602-IF(ISNUMBER(N4602),N4602,0)+IF(ISNUMBER(P4602),P4602,0)))&lt;=Summary!$B$2),"Negative realized loss not applied - check sign",IF(R4602&lt;0,"Principal paid exceeds prior balance",IF(AND(L4602&gt;Q4602,NOT(ISNUMBER(P4602))),"Balance increased but no Deferred_interest reported",IF(L4602&gt;R4602,"Reported balance higher than expected (missing increase/OC build)","Reported balance lower than expected (missing decrease)"))))),""))</f>
        <v/>
      </c>
    </row>
    <row r="4603" customFormat="false" ht="15" hidden="false" customHeight="false" outlineLevel="0" collapsed="false">
      <c r="A4603" s="8"/>
      <c r="B4603" s="8"/>
      <c r="C4603" s="8"/>
      <c r="D4603" s="8"/>
      <c r="E4603" s="8"/>
      <c r="F4603" s="8"/>
      <c r="G4603" s="8"/>
      <c r="H4603" s="8"/>
      <c r="I4603" s="8"/>
      <c r="J4603" s="8"/>
      <c r="K4603" s="9"/>
      <c r="L4603" s="9"/>
      <c r="M4603" s="9"/>
      <c r="N4603" s="9"/>
      <c r="O4603" s="9"/>
      <c r="P4603" s="9"/>
      <c r="Q4603" s="9"/>
      <c r="R4603" s="9" t="str">
        <f aca="false">IF(AND(A4603&lt;&gt;"",ISNUMBER(Q4603),ISNUMBER(L4603)),ROUND(Q4603-IF(ISNUMBER(N4603),N4603,0)-IF(ISNUMBER(O4603),O4603,0)+IF(ISNUMBER(P4603),P4603,0),2),"")</f>
        <v/>
      </c>
      <c r="S4603" s="9" t="str">
        <f aca="false">IF(R4603="","",ROUND(L4603-R4603,2))</f>
        <v/>
      </c>
      <c r="T4603" s="8" t="str">
        <f aca="false">IF(A4603="","",IF(S4603="","BYPASS",IF(ABS(S4603)&lt;=Summary!$B$2,"PASS","FAIL")))</f>
        <v/>
      </c>
      <c r="U4603" s="8" t="str">
        <f aca="false">IF(T4603="BYPASS",IF(NOT(ISNUMBER(Q4603)),"PreV_ETB missing","End_tr_balance missing"),IF(T4603="FAIL",IF(AND(ISNUMBER(K4603),ISNUMBER(L4603),ABS(L4603-(K4603-IF(ISNUMBER(N4603),N4603,0)-IF(ISNUMBER(O4603),O4603,0)+IF(ISNUMBER(P4603),P4603,0)))&lt;=Summary!$B$2),"Passes using beginning_balance - PreV_ETB differs from beginning_balance",IF(AND(ISNUMBER(O4603),O4603&lt;0,ABS(L4603-(Q4603-IF(ISNUMBER(N4603),N4603,0)+IF(ISNUMBER(P4603),P4603,0)))&lt;=Summary!$B$2),"Negative realized loss not applied - check sign",IF(R4603&lt;0,"Principal paid exceeds prior balance",IF(AND(L4603&gt;Q4603,NOT(ISNUMBER(P4603))),"Balance increased but no Deferred_interest reported",IF(L4603&gt;R4603,"Reported balance higher than expected (missing increase/OC build)","Reported balance lower than expected (missing decrease)"))))),""))</f>
        <v/>
      </c>
    </row>
    <row r="4604" customFormat="false" ht="15" hidden="false" customHeight="false" outlineLevel="0" collapsed="false">
      <c r="A4604" s="8"/>
      <c r="B4604" s="8"/>
      <c r="C4604" s="8"/>
      <c r="D4604" s="8"/>
      <c r="E4604" s="8"/>
      <c r="F4604" s="8"/>
      <c r="G4604" s="8"/>
      <c r="H4604" s="8"/>
      <c r="I4604" s="8"/>
      <c r="J4604" s="8"/>
      <c r="K4604" s="9"/>
      <c r="L4604" s="9"/>
      <c r="M4604" s="9"/>
      <c r="N4604" s="9"/>
      <c r="O4604" s="9"/>
      <c r="P4604" s="9"/>
      <c r="Q4604" s="9"/>
      <c r="R4604" s="9" t="str">
        <f aca="false">IF(AND(A4604&lt;&gt;"",ISNUMBER(Q4604),ISNUMBER(L4604)),ROUND(Q4604-IF(ISNUMBER(N4604),N4604,0)-IF(ISNUMBER(O4604),O4604,0)+IF(ISNUMBER(P4604),P4604,0),2),"")</f>
        <v/>
      </c>
      <c r="S4604" s="9" t="str">
        <f aca="false">IF(R4604="","",ROUND(L4604-R4604,2))</f>
        <v/>
      </c>
      <c r="T4604" s="8" t="str">
        <f aca="false">IF(A4604="","",IF(S4604="","BYPASS",IF(ABS(S4604)&lt;=Summary!$B$2,"PASS","FAIL")))</f>
        <v/>
      </c>
      <c r="U4604" s="8" t="str">
        <f aca="false">IF(T4604="BYPASS",IF(NOT(ISNUMBER(Q4604)),"PreV_ETB missing","End_tr_balance missing"),IF(T4604="FAIL",IF(AND(ISNUMBER(K4604),ISNUMBER(L4604),ABS(L4604-(K4604-IF(ISNUMBER(N4604),N4604,0)-IF(ISNUMBER(O4604),O4604,0)+IF(ISNUMBER(P4604),P4604,0)))&lt;=Summary!$B$2),"Passes using beginning_balance - PreV_ETB differs from beginning_balance",IF(AND(ISNUMBER(O4604),O4604&lt;0,ABS(L4604-(Q4604-IF(ISNUMBER(N4604),N4604,0)+IF(ISNUMBER(P4604),P4604,0)))&lt;=Summary!$B$2),"Negative realized loss not applied - check sign",IF(R4604&lt;0,"Principal paid exceeds prior balance",IF(AND(L4604&gt;Q4604,NOT(ISNUMBER(P4604))),"Balance increased but no Deferred_interest reported",IF(L4604&gt;R4604,"Reported balance higher than expected (missing increase/OC build)","Reported balance lower than expected (missing decrease)"))))),""))</f>
        <v/>
      </c>
    </row>
    <row r="4605" customFormat="false" ht="15" hidden="false" customHeight="false" outlineLevel="0" collapsed="false">
      <c r="A4605" s="8"/>
      <c r="B4605" s="8"/>
      <c r="C4605" s="8"/>
      <c r="D4605" s="8"/>
      <c r="E4605" s="8"/>
      <c r="F4605" s="8"/>
      <c r="G4605" s="8"/>
      <c r="H4605" s="8"/>
      <c r="I4605" s="8"/>
      <c r="J4605" s="8"/>
      <c r="K4605" s="9"/>
      <c r="L4605" s="9"/>
      <c r="M4605" s="9"/>
      <c r="N4605" s="9"/>
      <c r="O4605" s="9"/>
      <c r="P4605" s="9"/>
      <c r="Q4605" s="9"/>
      <c r="R4605" s="9" t="str">
        <f aca="false">IF(AND(A4605&lt;&gt;"",ISNUMBER(Q4605),ISNUMBER(L4605)),ROUND(Q4605-IF(ISNUMBER(N4605),N4605,0)-IF(ISNUMBER(O4605),O4605,0)+IF(ISNUMBER(P4605),P4605,0),2),"")</f>
        <v/>
      </c>
      <c r="S4605" s="9" t="str">
        <f aca="false">IF(R4605="","",ROUND(L4605-R4605,2))</f>
        <v/>
      </c>
      <c r="T4605" s="8" t="str">
        <f aca="false">IF(A4605="","",IF(S4605="","BYPASS",IF(ABS(S4605)&lt;=Summary!$B$2,"PASS","FAIL")))</f>
        <v/>
      </c>
      <c r="U4605" s="8" t="str">
        <f aca="false">IF(T4605="BYPASS",IF(NOT(ISNUMBER(Q4605)),"PreV_ETB missing","End_tr_balance missing"),IF(T4605="FAIL",IF(AND(ISNUMBER(K4605),ISNUMBER(L4605),ABS(L4605-(K4605-IF(ISNUMBER(N4605),N4605,0)-IF(ISNUMBER(O4605),O4605,0)+IF(ISNUMBER(P4605),P4605,0)))&lt;=Summary!$B$2),"Passes using beginning_balance - PreV_ETB differs from beginning_balance",IF(AND(ISNUMBER(O4605),O4605&lt;0,ABS(L4605-(Q4605-IF(ISNUMBER(N4605),N4605,0)+IF(ISNUMBER(P4605),P4605,0)))&lt;=Summary!$B$2),"Negative realized loss not applied - check sign",IF(R4605&lt;0,"Principal paid exceeds prior balance",IF(AND(L4605&gt;Q4605,NOT(ISNUMBER(P4605))),"Balance increased but no Deferred_interest reported",IF(L4605&gt;R4605,"Reported balance higher than expected (missing increase/OC build)","Reported balance lower than expected (missing decrease)"))))),""))</f>
        <v/>
      </c>
    </row>
    <row r="4606" customFormat="false" ht="15" hidden="false" customHeight="false" outlineLevel="0" collapsed="false">
      <c r="A4606" s="8"/>
      <c r="B4606" s="8"/>
      <c r="C4606" s="8"/>
      <c r="D4606" s="8"/>
      <c r="E4606" s="8"/>
      <c r="F4606" s="8"/>
      <c r="G4606" s="8"/>
      <c r="H4606" s="8"/>
      <c r="I4606" s="8"/>
      <c r="J4606" s="8"/>
      <c r="K4606" s="9"/>
      <c r="L4606" s="9"/>
      <c r="M4606" s="9"/>
      <c r="N4606" s="9"/>
      <c r="O4606" s="9"/>
      <c r="P4606" s="9"/>
      <c r="Q4606" s="9"/>
      <c r="R4606" s="9" t="str">
        <f aca="false">IF(AND(A4606&lt;&gt;"",ISNUMBER(Q4606),ISNUMBER(L4606)),ROUND(Q4606-IF(ISNUMBER(N4606),N4606,0)-IF(ISNUMBER(O4606),O4606,0)+IF(ISNUMBER(P4606),P4606,0),2),"")</f>
        <v/>
      </c>
      <c r="S4606" s="9" t="str">
        <f aca="false">IF(R4606="","",ROUND(L4606-R4606,2))</f>
        <v/>
      </c>
      <c r="T4606" s="8" t="str">
        <f aca="false">IF(A4606="","",IF(S4606="","BYPASS",IF(ABS(S4606)&lt;=Summary!$B$2,"PASS","FAIL")))</f>
        <v/>
      </c>
      <c r="U4606" s="8" t="str">
        <f aca="false">IF(T4606="BYPASS",IF(NOT(ISNUMBER(Q4606)),"PreV_ETB missing","End_tr_balance missing"),IF(T4606="FAIL",IF(AND(ISNUMBER(K4606),ISNUMBER(L4606),ABS(L4606-(K4606-IF(ISNUMBER(N4606),N4606,0)-IF(ISNUMBER(O4606),O4606,0)+IF(ISNUMBER(P4606),P4606,0)))&lt;=Summary!$B$2),"Passes using beginning_balance - PreV_ETB differs from beginning_balance",IF(AND(ISNUMBER(O4606),O4606&lt;0,ABS(L4606-(Q4606-IF(ISNUMBER(N4606),N4606,0)+IF(ISNUMBER(P4606),P4606,0)))&lt;=Summary!$B$2),"Negative realized loss not applied - check sign",IF(R4606&lt;0,"Principal paid exceeds prior balance",IF(AND(L4606&gt;Q4606,NOT(ISNUMBER(P4606))),"Balance increased but no Deferred_interest reported",IF(L4606&gt;R4606,"Reported balance higher than expected (missing increase/OC build)","Reported balance lower than expected (missing decrease)"))))),""))</f>
        <v/>
      </c>
    </row>
    <row r="4607" customFormat="false" ht="15" hidden="false" customHeight="false" outlineLevel="0" collapsed="false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9"/>
      <c r="L4607" s="9"/>
      <c r="M4607" s="9"/>
      <c r="N4607" s="9"/>
      <c r="O4607" s="9"/>
      <c r="P4607" s="9"/>
      <c r="Q4607" s="9"/>
      <c r="R4607" s="9" t="str">
        <f aca="false">IF(AND(A4607&lt;&gt;"",ISNUMBER(Q4607),ISNUMBER(L4607)),ROUND(Q4607-IF(ISNUMBER(N4607),N4607,0)-IF(ISNUMBER(O4607),O4607,0)+IF(ISNUMBER(P4607),P4607,0),2),"")</f>
        <v/>
      </c>
      <c r="S4607" s="9" t="str">
        <f aca="false">IF(R4607="","",ROUND(L4607-R4607,2))</f>
        <v/>
      </c>
      <c r="T4607" s="8" t="str">
        <f aca="false">IF(A4607="","",IF(S4607="","BYPASS",IF(ABS(S4607)&lt;=Summary!$B$2,"PASS","FAIL")))</f>
        <v/>
      </c>
      <c r="U4607" s="8" t="str">
        <f aca="false">IF(T4607="BYPASS",IF(NOT(ISNUMBER(Q4607)),"PreV_ETB missing","End_tr_balance missing"),IF(T4607="FAIL",IF(AND(ISNUMBER(K4607),ISNUMBER(L4607),ABS(L4607-(K4607-IF(ISNUMBER(N4607),N4607,0)-IF(ISNUMBER(O4607),O4607,0)+IF(ISNUMBER(P4607),P4607,0)))&lt;=Summary!$B$2),"Passes using beginning_balance - PreV_ETB differs from beginning_balance",IF(AND(ISNUMBER(O4607),O4607&lt;0,ABS(L4607-(Q4607-IF(ISNUMBER(N4607),N4607,0)+IF(ISNUMBER(P4607),P4607,0)))&lt;=Summary!$B$2),"Negative realized loss not applied - check sign",IF(R4607&lt;0,"Principal paid exceeds prior balance",IF(AND(L4607&gt;Q4607,NOT(ISNUMBER(P4607))),"Balance increased but no Deferred_interest reported",IF(L4607&gt;R4607,"Reported balance higher than expected (missing increase/OC build)","Reported balance lower than expected (missing decrease)"))))),""))</f>
        <v/>
      </c>
    </row>
    <row r="4608" customFormat="false" ht="15" hidden="false" customHeight="false" outlineLevel="0" collapsed="false">
      <c r="A4608" s="8"/>
      <c r="B4608" s="8"/>
      <c r="C4608" s="8"/>
      <c r="D4608" s="8"/>
      <c r="E4608" s="8"/>
      <c r="F4608" s="8"/>
      <c r="G4608" s="8"/>
      <c r="H4608" s="8"/>
      <c r="I4608" s="8"/>
      <c r="J4608" s="8"/>
      <c r="K4608" s="9"/>
      <c r="L4608" s="9"/>
      <c r="M4608" s="9"/>
      <c r="N4608" s="9"/>
      <c r="O4608" s="9"/>
      <c r="P4608" s="9"/>
      <c r="Q4608" s="9"/>
      <c r="R4608" s="9" t="str">
        <f aca="false">IF(AND(A4608&lt;&gt;"",ISNUMBER(Q4608),ISNUMBER(L4608)),ROUND(Q4608-IF(ISNUMBER(N4608),N4608,0)-IF(ISNUMBER(O4608),O4608,0)+IF(ISNUMBER(P4608),P4608,0),2),"")</f>
        <v/>
      </c>
      <c r="S4608" s="9" t="str">
        <f aca="false">IF(R4608="","",ROUND(L4608-R4608,2))</f>
        <v/>
      </c>
      <c r="T4608" s="8" t="str">
        <f aca="false">IF(A4608="","",IF(S4608="","BYPASS",IF(ABS(S4608)&lt;=Summary!$B$2,"PASS","FAIL")))</f>
        <v/>
      </c>
      <c r="U4608" s="8" t="str">
        <f aca="false">IF(T4608="BYPASS",IF(NOT(ISNUMBER(Q4608)),"PreV_ETB missing","End_tr_balance missing"),IF(T4608="FAIL",IF(AND(ISNUMBER(K4608),ISNUMBER(L4608),ABS(L4608-(K4608-IF(ISNUMBER(N4608),N4608,0)-IF(ISNUMBER(O4608),O4608,0)+IF(ISNUMBER(P4608),P4608,0)))&lt;=Summary!$B$2),"Passes using beginning_balance - PreV_ETB differs from beginning_balance",IF(AND(ISNUMBER(O4608),O4608&lt;0,ABS(L4608-(Q4608-IF(ISNUMBER(N4608),N4608,0)+IF(ISNUMBER(P4608),P4608,0)))&lt;=Summary!$B$2),"Negative realized loss not applied - check sign",IF(R4608&lt;0,"Principal paid exceeds prior balance",IF(AND(L4608&gt;Q4608,NOT(ISNUMBER(P4608))),"Balance increased but no Deferred_interest reported",IF(L4608&gt;R4608,"Reported balance higher than expected (missing increase/OC build)","Reported balance lower than expected (missing decrease)"))))),""))</f>
        <v/>
      </c>
    </row>
    <row r="4609" customFormat="false" ht="15" hidden="false" customHeight="false" outlineLevel="0" collapsed="false">
      <c r="A4609" s="8"/>
      <c r="B4609" s="8"/>
      <c r="C4609" s="8"/>
      <c r="D4609" s="8"/>
      <c r="E4609" s="8"/>
      <c r="F4609" s="8"/>
      <c r="G4609" s="8"/>
      <c r="H4609" s="8"/>
      <c r="I4609" s="8"/>
      <c r="J4609" s="8"/>
      <c r="K4609" s="9"/>
      <c r="L4609" s="9"/>
      <c r="M4609" s="9"/>
      <c r="N4609" s="9"/>
      <c r="O4609" s="9"/>
      <c r="P4609" s="9"/>
      <c r="Q4609" s="9"/>
      <c r="R4609" s="9" t="str">
        <f aca="false">IF(AND(A4609&lt;&gt;"",ISNUMBER(Q4609),ISNUMBER(L4609)),ROUND(Q4609-IF(ISNUMBER(N4609),N4609,0)-IF(ISNUMBER(O4609),O4609,0)+IF(ISNUMBER(P4609),P4609,0),2),"")</f>
        <v/>
      </c>
      <c r="S4609" s="9" t="str">
        <f aca="false">IF(R4609="","",ROUND(L4609-R4609,2))</f>
        <v/>
      </c>
      <c r="T4609" s="8" t="str">
        <f aca="false">IF(A4609="","",IF(S4609="","BYPASS",IF(ABS(S4609)&lt;=Summary!$B$2,"PASS","FAIL")))</f>
        <v/>
      </c>
      <c r="U4609" s="8" t="str">
        <f aca="false">IF(T4609="BYPASS",IF(NOT(ISNUMBER(Q4609)),"PreV_ETB missing","End_tr_balance missing"),IF(T4609="FAIL",IF(AND(ISNUMBER(K4609),ISNUMBER(L4609),ABS(L4609-(K4609-IF(ISNUMBER(N4609),N4609,0)-IF(ISNUMBER(O4609),O4609,0)+IF(ISNUMBER(P4609),P4609,0)))&lt;=Summary!$B$2),"Passes using beginning_balance - PreV_ETB differs from beginning_balance",IF(AND(ISNUMBER(O4609),O4609&lt;0,ABS(L4609-(Q4609-IF(ISNUMBER(N4609),N4609,0)+IF(ISNUMBER(P4609),P4609,0)))&lt;=Summary!$B$2),"Negative realized loss not applied - check sign",IF(R4609&lt;0,"Principal paid exceeds prior balance",IF(AND(L4609&gt;Q4609,NOT(ISNUMBER(P4609))),"Balance increased but no Deferred_interest reported",IF(L4609&gt;R4609,"Reported balance higher than expected (missing increase/OC build)","Reported balance lower than expected (missing decrease)"))))),""))</f>
        <v/>
      </c>
    </row>
    <row r="4610" customFormat="false" ht="15" hidden="false" customHeight="false" outlineLevel="0" collapsed="false">
      <c r="A4610" s="8"/>
      <c r="B4610" s="8"/>
      <c r="C4610" s="8"/>
      <c r="D4610" s="8"/>
      <c r="E4610" s="8"/>
      <c r="F4610" s="8"/>
      <c r="G4610" s="8"/>
      <c r="H4610" s="8"/>
      <c r="I4610" s="8"/>
      <c r="J4610" s="8"/>
      <c r="K4610" s="9"/>
      <c r="L4610" s="9"/>
      <c r="M4610" s="9"/>
      <c r="N4610" s="9"/>
      <c r="O4610" s="9"/>
      <c r="P4610" s="9"/>
      <c r="Q4610" s="9"/>
      <c r="R4610" s="9" t="str">
        <f aca="false">IF(AND(A4610&lt;&gt;"",ISNUMBER(Q4610),ISNUMBER(L4610)),ROUND(Q4610-IF(ISNUMBER(N4610),N4610,0)-IF(ISNUMBER(O4610),O4610,0)+IF(ISNUMBER(P4610),P4610,0),2),"")</f>
        <v/>
      </c>
      <c r="S4610" s="9" t="str">
        <f aca="false">IF(R4610="","",ROUND(L4610-R4610,2))</f>
        <v/>
      </c>
      <c r="T4610" s="8" t="str">
        <f aca="false">IF(A4610="","",IF(S4610="","BYPASS",IF(ABS(S4610)&lt;=Summary!$B$2,"PASS","FAIL")))</f>
        <v/>
      </c>
      <c r="U4610" s="8" t="str">
        <f aca="false">IF(T4610="BYPASS",IF(NOT(ISNUMBER(Q4610)),"PreV_ETB missing","End_tr_balance missing"),IF(T4610="FAIL",IF(AND(ISNUMBER(K4610),ISNUMBER(L4610),ABS(L4610-(K4610-IF(ISNUMBER(N4610),N4610,0)-IF(ISNUMBER(O4610),O4610,0)+IF(ISNUMBER(P4610),P4610,0)))&lt;=Summary!$B$2),"Passes using beginning_balance - PreV_ETB differs from beginning_balance",IF(AND(ISNUMBER(O4610),O4610&lt;0,ABS(L4610-(Q4610-IF(ISNUMBER(N4610),N4610,0)+IF(ISNUMBER(P4610),P4610,0)))&lt;=Summary!$B$2),"Negative realized loss not applied - check sign",IF(R4610&lt;0,"Principal paid exceeds prior balance",IF(AND(L4610&gt;Q4610,NOT(ISNUMBER(P4610))),"Balance increased but no Deferred_interest reported",IF(L4610&gt;R4610,"Reported balance higher than expected (missing increase/OC build)","Reported balance lower than expected (missing decrease)"))))),""))</f>
        <v/>
      </c>
    </row>
    <row r="4611" customFormat="false" ht="15" hidden="false" customHeight="false" outlineLevel="0" collapsed="false">
      <c r="A4611" s="8"/>
      <c r="B4611" s="8"/>
      <c r="C4611" s="8"/>
      <c r="D4611" s="8"/>
      <c r="E4611" s="8"/>
      <c r="F4611" s="8"/>
      <c r="G4611" s="8"/>
      <c r="H4611" s="8"/>
      <c r="I4611" s="8"/>
      <c r="J4611" s="8"/>
      <c r="K4611" s="9"/>
      <c r="L4611" s="9"/>
      <c r="M4611" s="9"/>
      <c r="N4611" s="9"/>
      <c r="O4611" s="9"/>
      <c r="P4611" s="9"/>
      <c r="Q4611" s="9"/>
      <c r="R4611" s="9" t="str">
        <f aca="false">IF(AND(A4611&lt;&gt;"",ISNUMBER(Q4611),ISNUMBER(L4611)),ROUND(Q4611-IF(ISNUMBER(N4611),N4611,0)-IF(ISNUMBER(O4611),O4611,0)+IF(ISNUMBER(P4611),P4611,0),2),"")</f>
        <v/>
      </c>
      <c r="S4611" s="9" t="str">
        <f aca="false">IF(R4611="","",ROUND(L4611-R4611,2))</f>
        <v/>
      </c>
      <c r="T4611" s="8" t="str">
        <f aca="false">IF(A4611="","",IF(S4611="","BYPASS",IF(ABS(S4611)&lt;=Summary!$B$2,"PASS","FAIL")))</f>
        <v/>
      </c>
      <c r="U4611" s="8" t="str">
        <f aca="false">IF(T4611="BYPASS",IF(NOT(ISNUMBER(Q4611)),"PreV_ETB missing","End_tr_balance missing"),IF(T4611="FAIL",IF(AND(ISNUMBER(K4611),ISNUMBER(L4611),ABS(L4611-(K4611-IF(ISNUMBER(N4611),N4611,0)-IF(ISNUMBER(O4611),O4611,0)+IF(ISNUMBER(P4611),P4611,0)))&lt;=Summary!$B$2),"Passes using beginning_balance - PreV_ETB differs from beginning_balance",IF(AND(ISNUMBER(O4611),O4611&lt;0,ABS(L4611-(Q4611-IF(ISNUMBER(N4611),N4611,0)+IF(ISNUMBER(P4611),P4611,0)))&lt;=Summary!$B$2),"Negative realized loss not applied - check sign",IF(R4611&lt;0,"Principal paid exceeds prior balance",IF(AND(L4611&gt;Q4611,NOT(ISNUMBER(P4611))),"Balance increased but no Deferred_interest reported",IF(L4611&gt;R4611,"Reported balance higher than expected (missing increase/OC build)","Reported balance lower than expected (missing decrease)"))))),""))</f>
        <v/>
      </c>
    </row>
    <row r="4612" customFormat="false" ht="15" hidden="false" customHeight="false" outlineLevel="0" collapsed="false">
      <c r="A4612" s="8"/>
      <c r="B4612" s="8"/>
      <c r="C4612" s="8"/>
      <c r="D4612" s="8"/>
      <c r="E4612" s="8"/>
      <c r="F4612" s="8"/>
      <c r="G4612" s="8"/>
      <c r="H4612" s="8"/>
      <c r="I4612" s="8"/>
      <c r="J4612" s="8"/>
      <c r="K4612" s="9"/>
      <c r="L4612" s="9"/>
      <c r="M4612" s="9"/>
      <c r="N4612" s="9"/>
      <c r="O4612" s="9"/>
      <c r="P4612" s="9"/>
      <c r="Q4612" s="9"/>
      <c r="R4612" s="9" t="str">
        <f aca="false">IF(AND(A4612&lt;&gt;"",ISNUMBER(Q4612),ISNUMBER(L4612)),ROUND(Q4612-IF(ISNUMBER(N4612),N4612,0)-IF(ISNUMBER(O4612),O4612,0)+IF(ISNUMBER(P4612),P4612,0),2),"")</f>
        <v/>
      </c>
      <c r="S4612" s="9" t="str">
        <f aca="false">IF(R4612="","",ROUND(L4612-R4612,2))</f>
        <v/>
      </c>
      <c r="T4612" s="8" t="str">
        <f aca="false">IF(A4612="","",IF(S4612="","BYPASS",IF(ABS(S4612)&lt;=Summary!$B$2,"PASS","FAIL")))</f>
        <v/>
      </c>
      <c r="U4612" s="8" t="str">
        <f aca="false">IF(T4612="BYPASS",IF(NOT(ISNUMBER(Q4612)),"PreV_ETB missing","End_tr_balance missing"),IF(T4612="FAIL",IF(AND(ISNUMBER(K4612),ISNUMBER(L4612),ABS(L4612-(K4612-IF(ISNUMBER(N4612),N4612,0)-IF(ISNUMBER(O4612),O4612,0)+IF(ISNUMBER(P4612),P4612,0)))&lt;=Summary!$B$2),"Passes using beginning_balance - PreV_ETB differs from beginning_balance",IF(AND(ISNUMBER(O4612),O4612&lt;0,ABS(L4612-(Q4612-IF(ISNUMBER(N4612),N4612,0)+IF(ISNUMBER(P4612),P4612,0)))&lt;=Summary!$B$2),"Negative realized loss not applied - check sign",IF(R4612&lt;0,"Principal paid exceeds prior balance",IF(AND(L4612&gt;Q4612,NOT(ISNUMBER(P4612))),"Balance increased but no Deferred_interest reported",IF(L4612&gt;R4612,"Reported balance higher than expected (missing increase/OC build)","Reported balance lower than expected (missing decrease)"))))),""))</f>
        <v/>
      </c>
    </row>
    <row r="4613" customFormat="false" ht="15" hidden="false" customHeight="false" outlineLevel="0" collapsed="false">
      <c r="A4613" s="8"/>
      <c r="B4613" s="8"/>
      <c r="C4613" s="8"/>
      <c r="D4613" s="8"/>
      <c r="E4613" s="8"/>
      <c r="F4613" s="8"/>
      <c r="G4613" s="8"/>
      <c r="H4613" s="8"/>
      <c r="I4613" s="8"/>
      <c r="J4613" s="8"/>
      <c r="K4613" s="9"/>
      <c r="L4613" s="9"/>
      <c r="M4613" s="9"/>
      <c r="N4613" s="9"/>
      <c r="O4613" s="9"/>
      <c r="P4613" s="9"/>
      <c r="Q4613" s="9"/>
      <c r="R4613" s="9" t="str">
        <f aca="false">IF(AND(A4613&lt;&gt;"",ISNUMBER(Q4613),ISNUMBER(L4613)),ROUND(Q4613-IF(ISNUMBER(N4613),N4613,0)-IF(ISNUMBER(O4613),O4613,0)+IF(ISNUMBER(P4613),P4613,0),2),"")</f>
        <v/>
      </c>
      <c r="S4613" s="9" t="str">
        <f aca="false">IF(R4613="","",ROUND(L4613-R4613,2))</f>
        <v/>
      </c>
      <c r="T4613" s="8" t="str">
        <f aca="false">IF(A4613="","",IF(S4613="","BYPASS",IF(ABS(S4613)&lt;=Summary!$B$2,"PASS","FAIL")))</f>
        <v/>
      </c>
      <c r="U4613" s="8" t="str">
        <f aca="false">IF(T4613="BYPASS",IF(NOT(ISNUMBER(Q4613)),"PreV_ETB missing","End_tr_balance missing"),IF(T4613="FAIL",IF(AND(ISNUMBER(K4613),ISNUMBER(L4613),ABS(L4613-(K4613-IF(ISNUMBER(N4613),N4613,0)-IF(ISNUMBER(O4613),O4613,0)+IF(ISNUMBER(P4613),P4613,0)))&lt;=Summary!$B$2),"Passes using beginning_balance - PreV_ETB differs from beginning_balance",IF(AND(ISNUMBER(O4613),O4613&lt;0,ABS(L4613-(Q4613-IF(ISNUMBER(N4613),N4613,0)+IF(ISNUMBER(P4613),P4613,0)))&lt;=Summary!$B$2),"Negative realized loss not applied - check sign",IF(R4613&lt;0,"Principal paid exceeds prior balance",IF(AND(L4613&gt;Q4613,NOT(ISNUMBER(P4613))),"Balance increased but no Deferred_interest reported",IF(L4613&gt;R4613,"Reported balance higher than expected (missing increase/OC build)","Reported balance lower than expected (missing decrease)"))))),""))</f>
        <v/>
      </c>
    </row>
    <row r="4614" customFormat="false" ht="15" hidden="false" customHeight="false" outlineLevel="0" collapsed="false">
      <c r="A4614" s="8"/>
      <c r="B4614" s="8"/>
      <c r="C4614" s="8"/>
      <c r="D4614" s="8"/>
      <c r="E4614" s="8"/>
      <c r="F4614" s="8"/>
      <c r="G4614" s="8"/>
      <c r="H4614" s="8"/>
      <c r="I4614" s="8"/>
      <c r="J4614" s="8"/>
      <c r="K4614" s="9"/>
      <c r="L4614" s="9"/>
      <c r="M4614" s="9"/>
      <c r="N4614" s="9"/>
      <c r="O4614" s="9"/>
      <c r="P4614" s="9"/>
      <c r="Q4614" s="9"/>
      <c r="R4614" s="9" t="str">
        <f aca="false">IF(AND(A4614&lt;&gt;"",ISNUMBER(Q4614),ISNUMBER(L4614)),ROUND(Q4614-IF(ISNUMBER(N4614),N4614,0)-IF(ISNUMBER(O4614),O4614,0)+IF(ISNUMBER(P4614),P4614,0),2),"")</f>
        <v/>
      </c>
      <c r="S4614" s="9" t="str">
        <f aca="false">IF(R4614="","",ROUND(L4614-R4614,2))</f>
        <v/>
      </c>
      <c r="T4614" s="8" t="str">
        <f aca="false">IF(A4614="","",IF(S4614="","BYPASS",IF(ABS(S4614)&lt;=Summary!$B$2,"PASS","FAIL")))</f>
        <v/>
      </c>
      <c r="U4614" s="8" t="str">
        <f aca="false">IF(T4614="BYPASS",IF(NOT(ISNUMBER(Q4614)),"PreV_ETB missing","End_tr_balance missing"),IF(T4614="FAIL",IF(AND(ISNUMBER(K4614),ISNUMBER(L4614),ABS(L4614-(K4614-IF(ISNUMBER(N4614),N4614,0)-IF(ISNUMBER(O4614),O4614,0)+IF(ISNUMBER(P4614),P4614,0)))&lt;=Summary!$B$2),"Passes using beginning_balance - PreV_ETB differs from beginning_balance",IF(AND(ISNUMBER(O4614),O4614&lt;0,ABS(L4614-(Q4614-IF(ISNUMBER(N4614),N4614,0)+IF(ISNUMBER(P4614),P4614,0)))&lt;=Summary!$B$2),"Negative realized loss not applied - check sign",IF(R4614&lt;0,"Principal paid exceeds prior balance",IF(AND(L4614&gt;Q4614,NOT(ISNUMBER(P4614))),"Balance increased but no Deferred_interest reported",IF(L4614&gt;R4614,"Reported balance higher than expected (missing increase/OC build)","Reported balance lower than expected (missing decrease)"))))),""))</f>
        <v/>
      </c>
    </row>
    <row r="4615" customFormat="false" ht="15" hidden="false" customHeight="false" outlineLevel="0" collapsed="false">
      <c r="A4615" s="8"/>
      <c r="B4615" s="8"/>
      <c r="C4615" s="8"/>
      <c r="D4615" s="8"/>
      <c r="E4615" s="8"/>
      <c r="F4615" s="8"/>
      <c r="G4615" s="8"/>
      <c r="H4615" s="8"/>
      <c r="I4615" s="8"/>
      <c r="J4615" s="8"/>
      <c r="K4615" s="9"/>
      <c r="L4615" s="9"/>
      <c r="M4615" s="9"/>
      <c r="N4615" s="9"/>
      <c r="O4615" s="9"/>
      <c r="P4615" s="9"/>
      <c r="Q4615" s="9"/>
      <c r="R4615" s="9" t="str">
        <f aca="false">IF(AND(A4615&lt;&gt;"",ISNUMBER(Q4615),ISNUMBER(L4615)),ROUND(Q4615-IF(ISNUMBER(N4615),N4615,0)-IF(ISNUMBER(O4615),O4615,0)+IF(ISNUMBER(P4615),P4615,0),2),"")</f>
        <v/>
      </c>
      <c r="S4615" s="9" t="str">
        <f aca="false">IF(R4615="","",ROUND(L4615-R4615,2))</f>
        <v/>
      </c>
      <c r="T4615" s="8" t="str">
        <f aca="false">IF(A4615="","",IF(S4615="","BYPASS",IF(ABS(S4615)&lt;=Summary!$B$2,"PASS","FAIL")))</f>
        <v/>
      </c>
      <c r="U4615" s="8" t="str">
        <f aca="false">IF(T4615="BYPASS",IF(NOT(ISNUMBER(Q4615)),"PreV_ETB missing","End_tr_balance missing"),IF(T4615="FAIL",IF(AND(ISNUMBER(K4615),ISNUMBER(L4615),ABS(L4615-(K4615-IF(ISNUMBER(N4615),N4615,0)-IF(ISNUMBER(O4615),O4615,0)+IF(ISNUMBER(P4615),P4615,0)))&lt;=Summary!$B$2),"Passes using beginning_balance - PreV_ETB differs from beginning_balance",IF(AND(ISNUMBER(O4615),O4615&lt;0,ABS(L4615-(Q4615-IF(ISNUMBER(N4615),N4615,0)+IF(ISNUMBER(P4615),P4615,0)))&lt;=Summary!$B$2),"Negative realized loss not applied - check sign",IF(R4615&lt;0,"Principal paid exceeds prior balance",IF(AND(L4615&gt;Q4615,NOT(ISNUMBER(P4615))),"Balance increased but no Deferred_interest reported",IF(L4615&gt;R4615,"Reported balance higher than expected (missing increase/OC build)","Reported balance lower than expected (missing decrease)"))))),""))</f>
        <v/>
      </c>
    </row>
    <row r="4616" customFormat="false" ht="15" hidden="false" customHeight="false" outlineLevel="0" collapsed="false">
      <c r="A4616" s="8"/>
      <c r="B4616" s="8"/>
      <c r="C4616" s="8"/>
      <c r="D4616" s="8"/>
      <c r="E4616" s="8"/>
      <c r="F4616" s="8"/>
      <c r="G4616" s="8"/>
      <c r="H4616" s="8"/>
      <c r="I4616" s="8"/>
      <c r="J4616" s="8"/>
      <c r="K4616" s="9"/>
      <c r="L4616" s="9"/>
      <c r="M4616" s="9"/>
      <c r="N4616" s="9"/>
      <c r="O4616" s="9"/>
      <c r="P4616" s="9"/>
      <c r="Q4616" s="9"/>
      <c r="R4616" s="9" t="str">
        <f aca="false">IF(AND(A4616&lt;&gt;"",ISNUMBER(Q4616),ISNUMBER(L4616)),ROUND(Q4616-IF(ISNUMBER(N4616),N4616,0)-IF(ISNUMBER(O4616),O4616,0)+IF(ISNUMBER(P4616),P4616,0),2),"")</f>
        <v/>
      </c>
      <c r="S4616" s="9" t="str">
        <f aca="false">IF(R4616="","",ROUND(L4616-R4616,2))</f>
        <v/>
      </c>
      <c r="T4616" s="8" t="str">
        <f aca="false">IF(A4616="","",IF(S4616="","BYPASS",IF(ABS(S4616)&lt;=Summary!$B$2,"PASS","FAIL")))</f>
        <v/>
      </c>
      <c r="U4616" s="8" t="str">
        <f aca="false">IF(T4616="BYPASS",IF(NOT(ISNUMBER(Q4616)),"PreV_ETB missing","End_tr_balance missing"),IF(T4616="FAIL",IF(AND(ISNUMBER(K4616),ISNUMBER(L4616),ABS(L4616-(K4616-IF(ISNUMBER(N4616),N4616,0)-IF(ISNUMBER(O4616),O4616,0)+IF(ISNUMBER(P4616),P4616,0)))&lt;=Summary!$B$2),"Passes using beginning_balance - PreV_ETB differs from beginning_balance",IF(AND(ISNUMBER(O4616),O4616&lt;0,ABS(L4616-(Q4616-IF(ISNUMBER(N4616),N4616,0)+IF(ISNUMBER(P4616),P4616,0)))&lt;=Summary!$B$2),"Negative realized loss not applied - check sign",IF(R4616&lt;0,"Principal paid exceeds prior balance",IF(AND(L4616&gt;Q4616,NOT(ISNUMBER(P4616))),"Balance increased but no Deferred_interest reported",IF(L4616&gt;R4616,"Reported balance higher than expected (missing increase/OC build)","Reported balance lower than expected (missing decrease)"))))),""))</f>
        <v/>
      </c>
    </row>
    <row r="4617" customFormat="false" ht="15" hidden="false" customHeight="false" outlineLevel="0" collapsed="false">
      <c r="A4617" s="8"/>
      <c r="B4617" s="8"/>
      <c r="C4617" s="8"/>
      <c r="D4617" s="8"/>
      <c r="E4617" s="8"/>
      <c r="F4617" s="8"/>
      <c r="G4617" s="8"/>
      <c r="H4617" s="8"/>
      <c r="I4617" s="8"/>
      <c r="J4617" s="8"/>
      <c r="K4617" s="9"/>
      <c r="L4617" s="9"/>
      <c r="M4617" s="9"/>
      <c r="N4617" s="9"/>
      <c r="O4617" s="9"/>
      <c r="P4617" s="9"/>
      <c r="Q4617" s="9"/>
      <c r="R4617" s="9" t="str">
        <f aca="false">IF(AND(A4617&lt;&gt;"",ISNUMBER(Q4617),ISNUMBER(L4617)),ROUND(Q4617-IF(ISNUMBER(N4617),N4617,0)-IF(ISNUMBER(O4617),O4617,0)+IF(ISNUMBER(P4617),P4617,0),2),"")</f>
        <v/>
      </c>
      <c r="S4617" s="9" t="str">
        <f aca="false">IF(R4617="","",ROUND(L4617-R4617,2))</f>
        <v/>
      </c>
      <c r="T4617" s="8" t="str">
        <f aca="false">IF(A4617="","",IF(S4617="","BYPASS",IF(ABS(S4617)&lt;=Summary!$B$2,"PASS","FAIL")))</f>
        <v/>
      </c>
      <c r="U4617" s="8" t="str">
        <f aca="false">IF(T4617="BYPASS",IF(NOT(ISNUMBER(Q4617)),"PreV_ETB missing","End_tr_balance missing"),IF(T4617="FAIL",IF(AND(ISNUMBER(K4617),ISNUMBER(L4617),ABS(L4617-(K4617-IF(ISNUMBER(N4617),N4617,0)-IF(ISNUMBER(O4617),O4617,0)+IF(ISNUMBER(P4617),P4617,0)))&lt;=Summary!$B$2),"Passes using beginning_balance - PreV_ETB differs from beginning_balance",IF(AND(ISNUMBER(O4617),O4617&lt;0,ABS(L4617-(Q4617-IF(ISNUMBER(N4617),N4617,0)+IF(ISNUMBER(P4617),P4617,0)))&lt;=Summary!$B$2),"Negative realized loss not applied - check sign",IF(R4617&lt;0,"Principal paid exceeds prior balance",IF(AND(L4617&gt;Q4617,NOT(ISNUMBER(P4617))),"Balance increased but no Deferred_interest reported",IF(L4617&gt;R4617,"Reported balance higher than expected (missing increase/OC build)","Reported balance lower than expected (missing decrease)"))))),""))</f>
        <v/>
      </c>
    </row>
    <row r="4618" customFormat="false" ht="15" hidden="false" customHeight="false" outlineLevel="0" collapsed="false">
      <c r="A4618" s="8"/>
      <c r="B4618" s="8"/>
      <c r="C4618" s="8"/>
      <c r="D4618" s="8"/>
      <c r="E4618" s="8"/>
      <c r="F4618" s="8"/>
      <c r="G4618" s="8"/>
      <c r="H4618" s="8"/>
      <c r="I4618" s="8"/>
      <c r="J4618" s="8"/>
      <c r="K4618" s="9"/>
      <c r="L4618" s="9"/>
      <c r="M4618" s="9"/>
      <c r="N4618" s="9"/>
      <c r="O4618" s="9"/>
      <c r="P4618" s="9"/>
      <c r="Q4618" s="9"/>
      <c r="R4618" s="9" t="str">
        <f aca="false">IF(AND(A4618&lt;&gt;"",ISNUMBER(Q4618),ISNUMBER(L4618)),ROUND(Q4618-IF(ISNUMBER(N4618),N4618,0)-IF(ISNUMBER(O4618),O4618,0)+IF(ISNUMBER(P4618),P4618,0),2),"")</f>
        <v/>
      </c>
      <c r="S4618" s="9" t="str">
        <f aca="false">IF(R4618="","",ROUND(L4618-R4618,2))</f>
        <v/>
      </c>
      <c r="T4618" s="8" t="str">
        <f aca="false">IF(A4618="","",IF(S4618="","BYPASS",IF(ABS(S4618)&lt;=Summary!$B$2,"PASS","FAIL")))</f>
        <v/>
      </c>
      <c r="U4618" s="8" t="str">
        <f aca="false">IF(T4618="BYPASS",IF(NOT(ISNUMBER(Q4618)),"PreV_ETB missing","End_tr_balance missing"),IF(T4618="FAIL",IF(AND(ISNUMBER(K4618),ISNUMBER(L4618),ABS(L4618-(K4618-IF(ISNUMBER(N4618),N4618,0)-IF(ISNUMBER(O4618),O4618,0)+IF(ISNUMBER(P4618),P4618,0)))&lt;=Summary!$B$2),"Passes using beginning_balance - PreV_ETB differs from beginning_balance",IF(AND(ISNUMBER(O4618),O4618&lt;0,ABS(L4618-(Q4618-IF(ISNUMBER(N4618),N4618,0)+IF(ISNUMBER(P4618),P4618,0)))&lt;=Summary!$B$2),"Negative realized loss not applied - check sign",IF(R4618&lt;0,"Principal paid exceeds prior balance",IF(AND(L4618&gt;Q4618,NOT(ISNUMBER(P4618))),"Balance increased but no Deferred_interest reported",IF(L4618&gt;R4618,"Reported balance higher than expected (missing increase/OC build)","Reported balance lower than expected (missing decrease)"))))),""))</f>
        <v/>
      </c>
    </row>
    <row r="4619" customFormat="false" ht="15" hidden="false" customHeight="false" outlineLevel="0" collapsed="false">
      <c r="A4619" s="8"/>
      <c r="B4619" s="8"/>
      <c r="C4619" s="8"/>
      <c r="D4619" s="8"/>
      <c r="E4619" s="8"/>
      <c r="F4619" s="8"/>
      <c r="G4619" s="8"/>
      <c r="H4619" s="8"/>
      <c r="I4619" s="8"/>
      <c r="J4619" s="8"/>
      <c r="K4619" s="9"/>
      <c r="L4619" s="9"/>
      <c r="M4619" s="9"/>
      <c r="N4619" s="9"/>
      <c r="O4619" s="9"/>
      <c r="P4619" s="9"/>
      <c r="Q4619" s="9"/>
      <c r="R4619" s="9" t="str">
        <f aca="false">IF(AND(A4619&lt;&gt;"",ISNUMBER(Q4619),ISNUMBER(L4619)),ROUND(Q4619-IF(ISNUMBER(N4619),N4619,0)-IF(ISNUMBER(O4619),O4619,0)+IF(ISNUMBER(P4619),P4619,0),2),"")</f>
        <v/>
      </c>
      <c r="S4619" s="9" t="str">
        <f aca="false">IF(R4619="","",ROUND(L4619-R4619,2))</f>
        <v/>
      </c>
      <c r="T4619" s="8" t="str">
        <f aca="false">IF(A4619="","",IF(S4619="","BYPASS",IF(ABS(S4619)&lt;=Summary!$B$2,"PASS","FAIL")))</f>
        <v/>
      </c>
      <c r="U4619" s="8" t="str">
        <f aca="false">IF(T4619="BYPASS",IF(NOT(ISNUMBER(Q4619)),"PreV_ETB missing","End_tr_balance missing"),IF(T4619="FAIL",IF(AND(ISNUMBER(K4619),ISNUMBER(L4619),ABS(L4619-(K4619-IF(ISNUMBER(N4619),N4619,0)-IF(ISNUMBER(O4619),O4619,0)+IF(ISNUMBER(P4619),P4619,0)))&lt;=Summary!$B$2),"Passes using beginning_balance - PreV_ETB differs from beginning_balance",IF(AND(ISNUMBER(O4619),O4619&lt;0,ABS(L4619-(Q4619-IF(ISNUMBER(N4619),N4619,0)+IF(ISNUMBER(P4619),P4619,0)))&lt;=Summary!$B$2),"Negative realized loss not applied - check sign",IF(R4619&lt;0,"Principal paid exceeds prior balance",IF(AND(L4619&gt;Q4619,NOT(ISNUMBER(P4619))),"Balance increased but no Deferred_interest reported",IF(L4619&gt;R4619,"Reported balance higher than expected (missing increase/OC build)","Reported balance lower than expected (missing decrease)"))))),""))</f>
        <v/>
      </c>
    </row>
    <row r="4620" customFormat="false" ht="15" hidden="false" customHeight="false" outlineLevel="0" collapsed="false">
      <c r="A4620" s="8"/>
      <c r="B4620" s="8"/>
      <c r="C4620" s="8"/>
      <c r="D4620" s="8"/>
      <c r="E4620" s="8"/>
      <c r="F4620" s="8"/>
      <c r="G4620" s="8"/>
      <c r="H4620" s="8"/>
      <c r="I4620" s="8"/>
      <c r="J4620" s="8"/>
      <c r="K4620" s="9"/>
      <c r="L4620" s="9"/>
      <c r="M4620" s="9"/>
      <c r="N4620" s="9"/>
      <c r="O4620" s="9"/>
      <c r="P4620" s="9"/>
      <c r="Q4620" s="9"/>
      <c r="R4620" s="9" t="str">
        <f aca="false">IF(AND(A4620&lt;&gt;"",ISNUMBER(Q4620),ISNUMBER(L4620)),ROUND(Q4620-IF(ISNUMBER(N4620),N4620,0)-IF(ISNUMBER(O4620),O4620,0)+IF(ISNUMBER(P4620),P4620,0),2),"")</f>
        <v/>
      </c>
      <c r="S4620" s="9" t="str">
        <f aca="false">IF(R4620="","",ROUND(L4620-R4620,2))</f>
        <v/>
      </c>
      <c r="T4620" s="8" t="str">
        <f aca="false">IF(A4620="","",IF(S4620="","BYPASS",IF(ABS(S4620)&lt;=Summary!$B$2,"PASS","FAIL")))</f>
        <v/>
      </c>
      <c r="U4620" s="8" t="str">
        <f aca="false">IF(T4620="BYPASS",IF(NOT(ISNUMBER(Q4620)),"PreV_ETB missing","End_tr_balance missing"),IF(T4620="FAIL",IF(AND(ISNUMBER(K4620),ISNUMBER(L4620),ABS(L4620-(K4620-IF(ISNUMBER(N4620),N4620,0)-IF(ISNUMBER(O4620),O4620,0)+IF(ISNUMBER(P4620),P4620,0)))&lt;=Summary!$B$2),"Passes using beginning_balance - PreV_ETB differs from beginning_balance",IF(AND(ISNUMBER(O4620),O4620&lt;0,ABS(L4620-(Q4620-IF(ISNUMBER(N4620),N4620,0)+IF(ISNUMBER(P4620),P4620,0)))&lt;=Summary!$B$2),"Negative realized loss not applied - check sign",IF(R4620&lt;0,"Principal paid exceeds prior balance",IF(AND(L4620&gt;Q4620,NOT(ISNUMBER(P4620))),"Balance increased but no Deferred_interest reported",IF(L4620&gt;R4620,"Reported balance higher than expected (missing increase/OC build)","Reported balance lower than expected (missing decrease)"))))),""))</f>
        <v/>
      </c>
    </row>
    <row r="4621" customFormat="false" ht="15" hidden="false" customHeight="false" outlineLevel="0" collapsed="false">
      <c r="A4621" s="8"/>
      <c r="B4621" s="8"/>
      <c r="C4621" s="8"/>
      <c r="D4621" s="8"/>
      <c r="E4621" s="8"/>
      <c r="F4621" s="8"/>
      <c r="G4621" s="8"/>
      <c r="H4621" s="8"/>
      <c r="I4621" s="8"/>
      <c r="J4621" s="8"/>
      <c r="K4621" s="9"/>
      <c r="L4621" s="9"/>
      <c r="M4621" s="9"/>
      <c r="N4621" s="9"/>
      <c r="O4621" s="9"/>
      <c r="P4621" s="9"/>
      <c r="Q4621" s="9"/>
      <c r="R4621" s="9" t="str">
        <f aca="false">IF(AND(A4621&lt;&gt;"",ISNUMBER(Q4621),ISNUMBER(L4621)),ROUND(Q4621-IF(ISNUMBER(N4621),N4621,0)-IF(ISNUMBER(O4621),O4621,0)+IF(ISNUMBER(P4621),P4621,0),2),"")</f>
        <v/>
      </c>
      <c r="S4621" s="9" t="str">
        <f aca="false">IF(R4621="","",ROUND(L4621-R4621,2))</f>
        <v/>
      </c>
      <c r="T4621" s="8" t="str">
        <f aca="false">IF(A4621="","",IF(S4621="","BYPASS",IF(ABS(S4621)&lt;=Summary!$B$2,"PASS","FAIL")))</f>
        <v/>
      </c>
      <c r="U4621" s="8" t="str">
        <f aca="false">IF(T4621="BYPASS",IF(NOT(ISNUMBER(Q4621)),"PreV_ETB missing","End_tr_balance missing"),IF(T4621="FAIL",IF(AND(ISNUMBER(K4621),ISNUMBER(L4621),ABS(L4621-(K4621-IF(ISNUMBER(N4621),N4621,0)-IF(ISNUMBER(O4621),O4621,0)+IF(ISNUMBER(P4621),P4621,0)))&lt;=Summary!$B$2),"Passes using beginning_balance - PreV_ETB differs from beginning_balance",IF(AND(ISNUMBER(O4621),O4621&lt;0,ABS(L4621-(Q4621-IF(ISNUMBER(N4621),N4621,0)+IF(ISNUMBER(P4621),P4621,0)))&lt;=Summary!$B$2),"Negative realized loss not applied - check sign",IF(R4621&lt;0,"Principal paid exceeds prior balance",IF(AND(L4621&gt;Q4621,NOT(ISNUMBER(P4621))),"Balance increased but no Deferred_interest reported",IF(L4621&gt;R4621,"Reported balance higher than expected (missing increase/OC build)","Reported balance lower than expected (missing decrease)"))))),""))</f>
        <v/>
      </c>
    </row>
    <row r="4622" customFormat="false" ht="15" hidden="false" customHeight="false" outlineLevel="0" collapsed="false">
      <c r="A4622" s="8"/>
      <c r="B4622" s="8"/>
      <c r="C4622" s="8"/>
      <c r="D4622" s="8"/>
      <c r="E4622" s="8"/>
      <c r="F4622" s="8"/>
      <c r="G4622" s="8"/>
      <c r="H4622" s="8"/>
      <c r="I4622" s="8"/>
      <c r="J4622" s="8"/>
      <c r="K4622" s="9"/>
      <c r="L4622" s="9"/>
      <c r="M4622" s="9"/>
      <c r="N4622" s="9"/>
      <c r="O4622" s="9"/>
      <c r="P4622" s="9"/>
      <c r="Q4622" s="9"/>
      <c r="R4622" s="9" t="str">
        <f aca="false">IF(AND(A4622&lt;&gt;"",ISNUMBER(Q4622),ISNUMBER(L4622)),ROUND(Q4622-IF(ISNUMBER(N4622),N4622,0)-IF(ISNUMBER(O4622),O4622,0)+IF(ISNUMBER(P4622),P4622,0),2),"")</f>
        <v/>
      </c>
      <c r="S4622" s="9" t="str">
        <f aca="false">IF(R4622="","",ROUND(L4622-R4622,2))</f>
        <v/>
      </c>
      <c r="T4622" s="8" t="str">
        <f aca="false">IF(A4622="","",IF(S4622="","BYPASS",IF(ABS(S4622)&lt;=Summary!$B$2,"PASS","FAIL")))</f>
        <v/>
      </c>
      <c r="U4622" s="8" t="str">
        <f aca="false">IF(T4622="BYPASS",IF(NOT(ISNUMBER(Q4622)),"PreV_ETB missing","End_tr_balance missing"),IF(T4622="FAIL",IF(AND(ISNUMBER(K4622),ISNUMBER(L4622),ABS(L4622-(K4622-IF(ISNUMBER(N4622),N4622,0)-IF(ISNUMBER(O4622),O4622,0)+IF(ISNUMBER(P4622),P4622,0)))&lt;=Summary!$B$2),"Passes using beginning_balance - PreV_ETB differs from beginning_balance",IF(AND(ISNUMBER(O4622),O4622&lt;0,ABS(L4622-(Q4622-IF(ISNUMBER(N4622),N4622,0)+IF(ISNUMBER(P4622),P4622,0)))&lt;=Summary!$B$2),"Negative realized loss not applied - check sign",IF(R4622&lt;0,"Principal paid exceeds prior balance",IF(AND(L4622&gt;Q4622,NOT(ISNUMBER(P4622))),"Balance increased but no Deferred_interest reported",IF(L4622&gt;R4622,"Reported balance higher than expected (missing increase/OC build)","Reported balance lower than expected (missing decrease)"))))),""))</f>
        <v/>
      </c>
    </row>
    <row r="4623" customFormat="false" ht="15" hidden="false" customHeight="false" outlineLevel="0" collapsed="false">
      <c r="A4623" s="8"/>
      <c r="B4623" s="8"/>
      <c r="C4623" s="8"/>
      <c r="D4623" s="8"/>
      <c r="E4623" s="8"/>
      <c r="F4623" s="8"/>
      <c r="G4623" s="8"/>
      <c r="H4623" s="8"/>
      <c r="I4623" s="8"/>
      <c r="J4623" s="8"/>
      <c r="K4623" s="9"/>
      <c r="L4623" s="9"/>
      <c r="M4623" s="9"/>
      <c r="N4623" s="9"/>
      <c r="O4623" s="9"/>
      <c r="P4623" s="9"/>
      <c r="Q4623" s="9"/>
      <c r="R4623" s="9" t="str">
        <f aca="false">IF(AND(A4623&lt;&gt;"",ISNUMBER(Q4623),ISNUMBER(L4623)),ROUND(Q4623-IF(ISNUMBER(N4623),N4623,0)-IF(ISNUMBER(O4623),O4623,0)+IF(ISNUMBER(P4623),P4623,0),2),"")</f>
        <v/>
      </c>
      <c r="S4623" s="9" t="str">
        <f aca="false">IF(R4623="","",ROUND(L4623-R4623,2))</f>
        <v/>
      </c>
      <c r="T4623" s="8" t="str">
        <f aca="false">IF(A4623="","",IF(S4623="","BYPASS",IF(ABS(S4623)&lt;=Summary!$B$2,"PASS","FAIL")))</f>
        <v/>
      </c>
      <c r="U4623" s="8" t="str">
        <f aca="false">IF(T4623="BYPASS",IF(NOT(ISNUMBER(Q4623)),"PreV_ETB missing","End_tr_balance missing"),IF(T4623="FAIL",IF(AND(ISNUMBER(K4623),ISNUMBER(L4623),ABS(L4623-(K4623-IF(ISNUMBER(N4623),N4623,0)-IF(ISNUMBER(O4623),O4623,0)+IF(ISNUMBER(P4623),P4623,0)))&lt;=Summary!$B$2),"Passes using beginning_balance - PreV_ETB differs from beginning_balance",IF(AND(ISNUMBER(O4623),O4623&lt;0,ABS(L4623-(Q4623-IF(ISNUMBER(N4623),N4623,0)+IF(ISNUMBER(P4623),P4623,0)))&lt;=Summary!$B$2),"Negative realized loss not applied - check sign",IF(R4623&lt;0,"Principal paid exceeds prior balance",IF(AND(L4623&gt;Q4623,NOT(ISNUMBER(P4623))),"Balance increased but no Deferred_interest reported",IF(L4623&gt;R4623,"Reported balance higher than expected (missing increase/OC build)","Reported balance lower than expected (missing decrease)"))))),""))</f>
        <v/>
      </c>
    </row>
    <row r="4624" customFormat="false" ht="15" hidden="false" customHeight="false" outlineLevel="0" collapsed="false">
      <c r="A4624" s="8"/>
      <c r="B4624" s="8"/>
      <c r="C4624" s="8"/>
      <c r="D4624" s="8"/>
      <c r="E4624" s="8"/>
      <c r="F4624" s="8"/>
      <c r="G4624" s="8"/>
      <c r="H4624" s="8"/>
      <c r="I4624" s="8"/>
      <c r="J4624" s="8"/>
      <c r="K4624" s="9"/>
      <c r="L4624" s="9"/>
      <c r="M4624" s="9"/>
      <c r="N4624" s="9"/>
      <c r="O4624" s="9"/>
      <c r="P4624" s="9"/>
      <c r="Q4624" s="9"/>
      <c r="R4624" s="9" t="str">
        <f aca="false">IF(AND(A4624&lt;&gt;"",ISNUMBER(Q4624),ISNUMBER(L4624)),ROUND(Q4624-IF(ISNUMBER(N4624),N4624,0)-IF(ISNUMBER(O4624),O4624,0)+IF(ISNUMBER(P4624),P4624,0),2),"")</f>
        <v/>
      </c>
      <c r="S4624" s="9" t="str">
        <f aca="false">IF(R4624="","",ROUND(L4624-R4624,2))</f>
        <v/>
      </c>
      <c r="T4624" s="8" t="str">
        <f aca="false">IF(A4624="","",IF(S4624="","BYPASS",IF(ABS(S4624)&lt;=Summary!$B$2,"PASS","FAIL")))</f>
        <v/>
      </c>
      <c r="U4624" s="8" t="str">
        <f aca="false">IF(T4624="BYPASS",IF(NOT(ISNUMBER(Q4624)),"PreV_ETB missing","End_tr_balance missing"),IF(T4624="FAIL",IF(AND(ISNUMBER(K4624),ISNUMBER(L4624),ABS(L4624-(K4624-IF(ISNUMBER(N4624),N4624,0)-IF(ISNUMBER(O4624),O4624,0)+IF(ISNUMBER(P4624),P4624,0)))&lt;=Summary!$B$2),"Passes using beginning_balance - PreV_ETB differs from beginning_balance",IF(AND(ISNUMBER(O4624),O4624&lt;0,ABS(L4624-(Q4624-IF(ISNUMBER(N4624),N4624,0)+IF(ISNUMBER(P4624),P4624,0)))&lt;=Summary!$B$2),"Negative realized loss not applied - check sign",IF(R4624&lt;0,"Principal paid exceeds prior balance",IF(AND(L4624&gt;Q4624,NOT(ISNUMBER(P4624))),"Balance increased but no Deferred_interest reported",IF(L4624&gt;R4624,"Reported balance higher than expected (missing increase/OC build)","Reported balance lower than expected (missing decrease)"))))),""))</f>
        <v/>
      </c>
    </row>
    <row r="4625" customFormat="false" ht="15" hidden="false" customHeight="false" outlineLevel="0" collapsed="false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9"/>
      <c r="L4625" s="9"/>
      <c r="M4625" s="9"/>
      <c r="N4625" s="9"/>
      <c r="O4625" s="9"/>
      <c r="P4625" s="9"/>
      <c r="Q4625" s="9"/>
      <c r="R4625" s="9" t="str">
        <f aca="false">IF(AND(A4625&lt;&gt;"",ISNUMBER(Q4625),ISNUMBER(L4625)),ROUND(Q4625-IF(ISNUMBER(N4625),N4625,0)-IF(ISNUMBER(O4625),O4625,0)+IF(ISNUMBER(P4625),P4625,0),2),"")</f>
        <v/>
      </c>
      <c r="S4625" s="9" t="str">
        <f aca="false">IF(R4625="","",ROUND(L4625-R4625,2))</f>
        <v/>
      </c>
      <c r="T4625" s="8" t="str">
        <f aca="false">IF(A4625="","",IF(S4625="","BYPASS",IF(ABS(S4625)&lt;=Summary!$B$2,"PASS","FAIL")))</f>
        <v/>
      </c>
      <c r="U4625" s="8" t="str">
        <f aca="false">IF(T4625="BYPASS",IF(NOT(ISNUMBER(Q4625)),"PreV_ETB missing","End_tr_balance missing"),IF(T4625="FAIL",IF(AND(ISNUMBER(K4625),ISNUMBER(L4625),ABS(L4625-(K4625-IF(ISNUMBER(N4625),N4625,0)-IF(ISNUMBER(O4625),O4625,0)+IF(ISNUMBER(P4625),P4625,0)))&lt;=Summary!$B$2),"Passes using beginning_balance - PreV_ETB differs from beginning_balance",IF(AND(ISNUMBER(O4625),O4625&lt;0,ABS(L4625-(Q4625-IF(ISNUMBER(N4625),N4625,0)+IF(ISNUMBER(P4625),P4625,0)))&lt;=Summary!$B$2),"Negative realized loss not applied - check sign",IF(R4625&lt;0,"Principal paid exceeds prior balance",IF(AND(L4625&gt;Q4625,NOT(ISNUMBER(P4625))),"Balance increased but no Deferred_interest reported",IF(L4625&gt;R4625,"Reported balance higher than expected (missing increase/OC build)","Reported balance lower than expected (missing decrease)"))))),""))</f>
        <v/>
      </c>
    </row>
    <row r="4626" customFormat="false" ht="15" hidden="false" customHeight="false" outlineLevel="0" collapsed="false">
      <c r="A4626" s="8"/>
      <c r="B4626" s="8"/>
      <c r="C4626" s="8"/>
      <c r="D4626" s="8"/>
      <c r="E4626" s="8"/>
      <c r="F4626" s="8"/>
      <c r="G4626" s="8"/>
      <c r="H4626" s="8"/>
      <c r="I4626" s="8"/>
      <c r="J4626" s="8"/>
      <c r="K4626" s="9"/>
      <c r="L4626" s="9"/>
      <c r="M4626" s="9"/>
      <c r="N4626" s="9"/>
      <c r="O4626" s="9"/>
      <c r="P4626" s="9"/>
      <c r="Q4626" s="9"/>
      <c r="R4626" s="9" t="str">
        <f aca="false">IF(AND(A4626&lt;&gt;"",ISNUMBER(Q4626),ISNUMBER(L4626)),ROUND(Q4626-IF(ISNUMBER(N4626),N4626,0)-IF(ISNUMBER(O4626),O4626,0)+IF(ISNUMBER(P4626),P4626,0),2),"")</f>
        <v/>
      </c>
      <c r="S4626" s="9" t="str">
        <f aca="false">IF(R4626="","",ROUND(L4626-R4626,2))</f>
        <v/>
      </c>
      <c r="T4626" s="8" t="str">
        <f aca="false">IF(A4626="","",IF(S4626="","BYPASS",IF(ABS(S4626)&lt;=Summary!$B$2,"PASS","FAIL")))</f>
        <v/>
      </c>
      <c r="U4626" s="8" t="str">
        <f aca="false">IF(T4626="BYPASS",IF(NOT(ISNUMBER(Q4626)),"PreV_ETB missing","End_tr_balance missing"),IF(T4626="FAIL",IF(AND(ISNUMBER(K4626),ISNUMBER(L4626),ABS(L4626-(K4626-IF(ISNUMBER(N4626),N4626,0)-IF(ISNUMBER(O4626),O4626,0)+IF(ISNUMBER(P4626),P4626,0)))&lt;=Summary!$B$2),"Passes using beginning_balance - PreV_ETB differs from beginning_balance",IF(AND(ISNUMBER(O4626),O4626&lt;0,ABS(L4626-(Q4626-IF(ISNUMBER(N4626),N4626,0)+IF(ISNUMBER(P4626),P4626,0)))&lt;=Summary!$B$2),"Negative realized loss not applied - check sign",IF(R4626&lt;0,"Principal paid exceeds prior balance",IF(AND(L4626&gt;Q4626,NOT(ISNUMBER(P4626))),"Balance increased but no Deferred_interest reported",IF(L4626&gt;R4626,"Reported balance higher than expected (missing increase/OC build)","Reported balance lower than expected (missing decrease)"))))),""))</f>
        <v/>
      </c>
    </row>
    <row r="4627" customFormat="false" ht="15" hidden="false" customHeight="false" outlineLevel="0" collapsed="false">
      <c r="A4627" s="8"/>
      <c r="B4627" s="8"/>
      <c r="C4627" s="8"/>
      <c r="D4627" s="8"/>
      <c r="E4627" s="8"/>
      <c r="F4627" s="8"/>
      <c r="G4627" s="8"/>
      <c r="H4627" s="8"/>
      <c r="I4627" s="8"/>
      <c r="J4627" s="8"/>
      <c r="K4627" s="9"/>
      <c r="L4627" s="9"/>
      <c r="M4627" s="9"/>
      <c r="N4627" s="9"/>
      <c r="O4627" s="9"/>
      <c r="P4627" s="9"/>
      <c r="Q4627" s="9"/>
      <c r="R4627" s="9" t="str">
        <f aca="false">IF(AND(A4627&lt;&gt;"",ISNUMBER(Q4627),ISNUMBER(L4627)),ROUND(Q4627-IF(ISNUMBER(N4627),N4627,0)-IF(ISNUMBER(O4627),O4627,0)+IF(ISNUMBER(P4627),P4627,0),2),"")</f>
        <v/>
      </c>
      <c r="S4627" s="9" t="str">
        <f aca="false">IF(R4627="","",ROUND(L4627-R4627,2))</f>
        <v/>
      </c>
      <c r="T4627" s="8" t="str">
        <f aca="false">IF(A4627="","",IF(S4627="","BYPASS",IF(ABS(S4627)&lt;=Summary!$B$2,"PASS","FAIL")))</f>
        <v/>
      </c>
      <c r="U4627" s="8" t="str">
        <f aca="false">IF(T4627="BYPASS",IF(NOT(ISNUMBER(Q4627)),"PreV_ETB missing","End_tr_balance missing"),IF(T4627="FAIL",IF(AND(ISNUMBER(K4627),ISNUMBER(L4627),ABS(L4627-(K4627-IF(ISNUMBER(N4627),N4627,0)-IF(ISNUMBER(O4627),O4627,0)+IF(ISNUMBER(P4627),P4627,0)))&lt;=Summary!$B$2),"Passes using beginning_balance - PreV_ETB differs from beginning_balance",IF(AND(ISNUMBER(O4627),O4627&lt;0,ABS(L4627-(Q4627-IF(ISNUMBER(N4627),N4627,0)+IF(ISNUMBER(P4627),P4627,0)))&lt;=Summary!$B$2),"Negative realized loss not applied - check sign",IF(R4627&lt;0,"Principal paid exceeds prior balance",IF(AND(L4627&gt;Q4627,NOT(ISNUMBER(P4627))),"Balance increased but no Deferred_interest reported",IF(L4627&gt;R4627,"Reported balance higher than expected (missing increase/OC build)","Reported balance lower than expected (missing decrease)"))))),""))</f>
        <v/>
      </c>
    </row>
    <row r="4628" customFormat="false" ht="15" hidden="false" customHeight="false" outlineLevel="0" collapsed="false">
      <c r="A4628" s="8"/>
      <c r="B4628" s="8"/>
      <c r="C4628" s="8"/>
      <c r="D4628" s="8"/>
      <c r="E4628" s="8"/>
      <c r="F4628" s="8"/>
      <c r="G4628" s="8"/>
      <c r="H4628" s="8"/>
      <c r="I4628" s="8"/>
      <c r="J4628" s="8"/>
      <c r="K4628" s="9"/>
      <c r="L4628" s="9"/>
      <c r="M4628" s="9"/>
      <c r="N4628" s="9"/>
      <c r="O4628" s="9"/>
      <c r="P4628" s="9"/>
      <c r="Q4628" s="9"/>
      <c r="R4628" s="9" t="str">
        <f aca="false">IF(AND(A4628&lt;&gt;"",ISNUMBER(Q4628),ISNUMBER(L4628)),ROUND(Q4628-IF(ISNUMBER(N4628),N4628,0)-IF(ISNUMBER(O4628),O4628,0)+IF(ISNUMBER(P4628),P4628,0),2),"")</f>
        <v/>
      </c>
      <c r="S4628" s="9" t="str">
        <f aca="false">IF(R4628="","",ROUND(L4628-R4628,2))</f>
        <v/>
      </c>
      <c r="T4628" s="8" t="str">
        <f aca="false">IF(A4628="","",IF(S4628="","BYPASS",IF(ABS(S4628)&lt;=Summary!$B$2,"PASS","FAIL")))</f>
        <v/>
      </c>
      <c r="U4628" s="8" t="str">
        <f aca="false">IF(T4628="BYPASS",IF(NOT(ISNUMBER(Q4628)),"PreV_ETB missing","End_tr_balance missing"),IF(T4628="FAIL",IF(AND(ISNUMBER(K4628),ISNUMBER(L4628),ABS(L4628-(K4628-IF(ISNUMBER(N4628),N4628,0)-IF(ISNUMBER(O4628),O4628,0)+IF(ISNUMBER(P4628),P4628,0)))&lt;=Summary!$B$2),"Passes using beginning_balance - PreV_ETB differs from beginning_balance",IF(AND(ISNUMBER(O4628),O4628&lt;0,ABS(L4628-(Q4628-IF(ISNUMBER(N4628),N4628,0)+IF(ISNUMBER(P4628),P4628,0)))&lt;=Summary!$B$2),"Negative realized loss not applied - check sign",IF(R4628&lt;0,"Principal paid exceeds prior balance",IF(AND(L4628&gt;Q4628,NOT(ISNUMBER(P4628))),"Balance increased but no Deferred_interest reported",IF(L4628&gt;R4628,"Reported balance higher than expected (missing increase/OC build)","Reported balance lower than expected (missing decrease)"))))),""))</f>
        <v/>
      </c>
    </row>
    <row r="4629" customFormat="false" ht="15" hidden="false" customHeight="false" outlineLevel="0" collapsed="false">
      <c r="A4629" s="8"/>
      <c r="B4629" s="8"/>
      <c r="C4629" s="8"/>
      <c r="D4629" s="8"/>
      <c r="E4629" s="8"/>
      <c r="F4629" s="8"/>
      <c r="G4629" s="8"/>
      <c r="H4629" s="8"/>
      <c r="I4629" s="8"/>
      <c r="J4629" s="8"/>
      <c r="K4629" s="9"/>
      <c r="L4629" s="9"/>
      <c r="M4629" s="9"/>
      <c r="N4629" s="9"/>
      <c r="O4629" s="9"/>
      <c r="P4629" s="9"/>
      <c r="Q4629" s="9"/>
      <c r="R4629" s="9" t="str">
        <f aca="false">IF(AND(A4629&lt;&gt;"",ISNUMBER(Q4629),ISNUMBER(L4629)),ROUND(Q4629-IF(ISNUMBER(N4629),N4629,0)-IF(ISNUMBER(O4629),O4629,0)+IF(ISNUMBER(P4629),P4629,0),2),"")</f>
        <v/>
      </c>
      <c r="S4629" s="9" t="str">
        <f aca="false">IF(R4629="","",ROUND(L4629-R4629,2))</f>
        <v/>
      </c>
      <c r="T4629" s="8" t="str">
        <f aca="false">IF(A4629="","",IF(S4629="","BYPASS",IF(ABS(S4629)&lt;=Summary!$B$2,"PASS","FAIL")))</f>
        <v/>
      </c>
      <c r="U4629" s="8" t="str">
        <f aca="false">IF(T4629="BYPASS",IF(NOT(ISNUMBER(Q4629)),"PreV_ETB missing","End_tr_balance missing"),IF(T4629="FAIL",IF(AND(ISNUMBER(K4629),ISNUMBER(L4629),ABS(L4629-(K4629-IF(ISNUMBER(N4629),N4629,0)-IF(ISNUMBER(O4629),O4629,0)+IF(ISNUMBER(P4629),P4629,0)))&lt;=Summary!$B$2),"Passes using beginning_balance - PreV_ETB differs from beginning_balance",IF(AND(ISNUMBER(O4629),O4629&lt;0,ABS(L4629-(Q4629-IF(ISNUMBER(N4629),N4629,0)+IF(ISNUMBER(P4629),P4629,0)))&lt;=Summary!$B$2),"Negative realized loss not applied - check sign",IF(R4629&lt;0,"Principal paid exceeds prior balance",IF(AND(L4629&gt;Q4629,NOT(ISNUMBER(P4629))),"Balance increased but no Deferred_interest reported",IF(L4629&gt;R4629,"Reported balance higher than expected (missing increase/OC build)","Reported balance lower than expected (missing decrease)"))))),""))</f>
        <v/>
      </c>
    </row>
    <row r="4630" customFormat="false" ht="15" hidden="false" customHeight="false" outlineLevel="0" collapsed="false">
      <c r="A4630" s="8"/>
      <c r="B4630" s="8"/>
      <c r="C4630" s="8"/>
      <c r="D4630" s="8"/>
      <c r="E4630" s="8"/>
      <c r="F4630" s="8"/>
      <c r="G4630" s="8"/>
      <c r="H4630" s="8"/>
      <c r="I4630" s="8"/>
      <c r="J4630" s="8"/>
      <c r="K4630" s="9"/>
      <c r="L4630" s="9"/>
      <c r="M4630" s="9"/>
      <c r="N4630" s="9"/>
      <c r="O4630" s="9"/>
      <c r="P4630" s="9"/>
      <c r="Q4630" s="9"/>
      <c r="R4630" s="9" t="str">
        <f aca="false">IF(AND(A4630&lt;&gt;"",ISNUMBER(Q4630),ISNUMBER(L4630)),ROUND(Q4630-IF(ISNUMBER(N4630),N4630,0)-IF(ISNUMBER(O4630),O4630,0)+IF(ISNUMBER(P4630),P4630,0),2),"")</f>
        <v/>
      </c>
      <c r="S4630" s="9" t="str">
        <f aca="false">IF(R4630="","",ROUND(L4630-R4630,2))</f>
        <v/>
      </c>
      <c r="T4630" s="8" t="str">
        <f aca="false">IF(A4630="","",IF(S4630="","BYPASS",IF(ABS(S4630)&lt;=Summary!$B$2,"PASS","FAIL")))</f>
        <v/>
      </c>
      <c r="U4630" s="8" t="str">
        <f aca="false">IF(T4630="BYPASS",IF(NOT(ISNUMBER(Q4630)),"PreV_ETB missing","End_tr_balance missing"),IF(T4630="FAIL",IF(AND(ISNUMBER(K4630),ISNUMBER(L4630),ABS(L4630-(K4630-IF(ISNUMBER(N4630),N4630,0)-IF(ISNUMBER(O4630),O4630,0)+IF(ISNUMBER(P4630),P4630,0)))&lt;=Summary!$B$2),"Passes using beginning_balance - PreV_ETB differs from beginning_balance",IF(AND(ISNUMBER(O4630),O4630&lt;0,ABS(L4630-(Q4630-IF(ISNUMBER(N4630),N4630,0)+IF(ISNUMBER(P4630),P4630,0)))&lt;=Summary!$B$2),"Negative realized loss not applied - check sign",IF(R4630&lt;0,"Principal paid exceeds prior balance",IF(AND(L4630&gt;Q4630,NOT(ISNUMBER(P4630))),"Balance increased but no Deferred_interest reported",IF(L4630&gt;R4630,"Reported balance higher than expected (missing increase/OC build)","Reported balance lower than expected (missing decrease)"))))),""))</f>
        <v/>
      </c>
    </row>
    <row r="4631" customFormat="false" ht="15" hidden="false" customHeight="false" outlineLevel="0" collapsed="false">
      <c r="A4631" s="8"/>
      <c r="B4631" s="8"/>
      <c r="C4631" s="8"/>
      <c r="D4631" s="8"/>
      <c r="E4631" s="8"/>
      <c r="F4631" s="8"/>
      <c r="G4631" s="8"/>
      <c r="H4631" s="8"/>
      <c r="I4631" s="8"/>
      <c r="J4631" s="8"/>
      <c r="K4631" s="9"/>
      <c r="L4631" s="9"/>
      <c r="M4631" s="9"/>
      <c r="N4631" s="9"/>
      <c r="O4631" s="9"/>
      <c r="P4631" s="9"/>
      <c r="Q4631" s="9"/>
      <c r="R4631" s="9" t="str">
        <f aca="false">IF(AND(A4631&lt;&gt;"",ISNUMBER(Q4631),ISNUMBER(L4631)),ROUND(Q4631-IF(ISNUMBER(N4631),N4631,0)-IF(ISNUMBER(O4631),O4631,0)+IF(ISNUMBER(P4631),P4631,0),2),"")</f>
        <v/>
      </c>
      <c r="S4631" s="9" t="str">
        <f aca="false">IF(R4631="","",ROUND(L4631-R4631,2))</f>
        <v/>
      </c>
      <c r="T4631" s="8" t="str">
        <f aca="false">IF(A4631="","",IF(S4631="","BYPASS",IF(ABS(S4631)&lt;=Summary!$B$2,"PASS","FAIL")))</f>
        <v/>
      </c>
      <c r="U4631" s="8" t="str">
        <f aca="false">IF(T4631="BYPASS",IF(NOT(ISNUMBER(Q4631)),"PreV_ETB missing","End_tr_balance missing"),IF(T4631="FAIL",IF(AND(ISNUMBER(K4631),ISNUMBER(L4631),ABS(L4631-(K4631-IF(ISNUMBER(N4631),N4631,0)-IF(ISNUMBER(O4631),O4631,0)+IF(ISNUMBER(P4631),P4631,0)))&lt;=Summary!$B$2),"Passes using beginning_balance - PreV_ETB differs from beginning_balance",IF(AND(ISNUMBER(O4631),O4631&lt;0,ABS(L4631-(Q4631-IF(ISNUMBER(N4631),N4631,0)+IF(ISNUMBER(P4631),P4631,0)))&lt;=Summary!$B$2),"Negative realized loss not applied - check sign",IF(R4631&lt;0,"Principal paid exceeds prior balance",IF(AND(L4631&gt;Q4631,NOT(ISNUMBER(P4631))),"Balance increased but no Deferred_interest reported",IF(L4631&gt;R4631,"Reported balance higher than expected (missing increase/OC build)","Reported balance lower than expected (missing decrease)"))))),""))</f>
        <v/>
      </c>
    </row>
    <row r="4632" customFormat="false" ht="15" hidden="false" customHeight="false" outlineLevel="0" collapsed="false">
      <c r="A4632" s="8"/>
      <c r="B4632" s="8"/>
      <c r="C4632" s="8"/>
      <c r="D4632" s="8"/>
      <c r="E4632" s="8"/>
      <c r="F4632" s="8"/>
      <c r="G4632" s="8"/>
      <c r="H4632" s="8"/>
      <c r="I4632" s="8"/>
      <c r="J4632" s="8"/>
      <c r="K4632" s="9"/>
      <c r="L4632" s="9"/>
      <c r="M4632" s="9"/>
      <c r="N4632" s="9"/>
      <c r="O4632" s="9"/>
      <c r="P4632" s="9"/>
      <c r="Q4632" s="9"/>
      <c r="R4632" s="9" t="str">
        <f aca="false">IF(AND(A4632&lt;&gt;"",ISNUMBER(Q4632),ISNUMBER(L4632)),ROUND(Q4632-IF(ISNUMBER(N4632),N4632,0)-IF(ISNUMBER(O4632),O4632,0)+IF(ISNUMBER(P4632),P4632,0),2),"")</f>
        <v/>
      </c>
      <c r="S4632" s="9" t="str">
        <f aca="false">IF(R4632="","",ROUND(L4632-R4632,2))</f>
        <v/>
      </c>
      <c r="T4632" s="8" t="str">
        <f aca="false">IF(A4632="","",IF(S4632="","BYPASS",IF(ABS(S4632)&lt;=Summary!$B$2,"PASS","FAIL")))</f>
        <v/>
      </c>
      <c r="U4632" s="8" t="str">
        <f aca="false">IF(T4632="BYPASS",IF(NOT(ISNUMBER(Q4632)),"PreV_ETB missing","End_tr_balance missing"),IF(T4632="FAIL",IF(AND(ISNUMBER(K4632),ISNUMBER(L4632),ABS(L4632-(K4632-IF(ISNUMBER(N4632),N4632,0)-IF(ISNUMBER(O4632),O4632,0)+IF(ISNUMBER(P4632),P4632,0)))&lt;=Summary!$B$2),"Passes using beginning_balance - PreV_ETB differs from beginning_balance",IF(AND(ISNUMBER(O4632),O4632&lt;0,ABS(L4632-(Q4632-IF(ISNUMBER(N4632),N4632,0)+IF(ISNUMBER(P4632),P4632,0)))&lt;=Summary!$B$2),"Negative realized loss not applied - check sign",IF(R4632&lt;0,"Principal paid exceeds prior balance",IF(AND(L4632&gt;Q4632,NOT(ISNUMBER(P4632))),"Balance increased but no Deferred_interest reported",IF(L4632&gt;R4632,"Reported balance higher than expected (missing increase/OC build)","Reported balance lower than expected (missing decrease)"))))),""))</f>
        <v/>
      </c>
    </row>
    <row r="4633" customFormat="false" ht="15" hidden="false" customHeight="false" outlineLevel="0" collapsed="false">
      <c r="A4633" s="8"/>
      <c r="B4633" s="8"/>
      <c r="C4633" s="8"/>
      <c r="D4633" s="8"/>
      <c r="E4633" s="8"/>
      <c r="F4633" s="8"/>
      <c r="G4633" s="8"/>
      <c r="H4633" s="8"/>
      <c r="I4633" s="8"/>
      <c r="J4633" s="8"/>
      <c r="K4633" s="9"/>
      <c r="L4633" s="9"/>
      <c r="M4633" s="9"/>
      <c r="N4633" s="9"/>
      <c r="O4633" s="9"/>
      <c r="P4633" s="9"/>
      <c r="Q4633" s="9"/>
      <c r="R4633" s="9" t="str">
        <f aca="false">IF(AND(A4633&lt;&gt;"",ISNUMBER(Q4633),ISNUMBER(L4633)),ROUND(Q4633-IF(ISNUMBER(N4633),N4633,0)-IF(ISNUMBER(O4633),O4633,0)+IF(ISNUMBER(P4633),P4633,0),2),"")</f>
        <v/>
      </c>
      <c r="S4633" s="9" t="str">
        <f aca="false">IF(R4633="","",ROUND(L4633-R4633,2))</f>
        <v/>
      </c>
      <c r="T4633" s="8" t="str">
        <f aca="false">IF(A4633="","",IF(S4633="","BYPASS",IF(ABS(S4633)&lt;=Summary!$B$2,"PASS","FAIL")))</f>
        <v/>
      </c>
      <c r="U4633" s="8" t="str">
        <f aca="false">IF(T4633="BYPASS",IF(NOT(ISNUMBER(Q4633)),"PreV_ETB missing","End_tr_balance missing"),IF(T4633="FAIL",IF(AND(ISNUMBER(K4633),ISNUMBER(L4633),ABS(L4633-(K4633-IF(ISNUMBER(N4633),N4633,0)-IF(ISNUMBER(O4633),O4633,0)+IF(ISNUMBER(P4633),P4633,0)))&lt;=Summary!$B$2),"Passes using beginning_balance - PreV_ETB differs from beginning_balance",IF(AND(ISNUMBER(O4633),O4633&lt;0,ABS(L4633-(Q4633-IF(ISNUMBER(N4633),N4633,0)+IF(ISNUMBER(P4633),P4633,0)))&lt;=Summary!$B$2),"Negative realized loss not applied - check sign",IF(R4633&lt;0,"Principal paid exceeds prior balance",IF(AND(L4633&gt;Q4633,NOT(ISNUMBER(P4633))),"Balance increased but no Deferred_interest reported",IF(L4633&gt;R4633,"Reported balance higher than expected (missing increase/OC build)","Reported balance lower than expected (missing decrease)"))))),""))</f>
        <v/>
      </c>
    </row>
    <row r="4634" customFormat="false" ht="15" hidden="false" customHeight="false" outlineLevel="0" collapsed="false">
      <c r="A4634" s="8"/>
      <c r="B4634" s="8"/>
      <c r="C4634" s="8"/>
      <c r="D4634" s="8"/>
      <c r="E4634" s="8"/>
      <c r="F4634" s="8"/>
      <c r="G4634" s="8"/>
      <c r="H4634" s="8"/>
      <c r="I4634" s="8"/>
      <c r="J4634" s="8"/>
      <c r="K4634" s="9"/>
      <c r="L4634" s="9"/>
      <c r="M4634" s="9"/>
      <c r="N4634" s="9"/>
      <c r="O4634" s="9"/>
      <c r="P4634" s="9"/>
      <c r="Q4634" s="9"/>
      <c r="R4634" s="9" t="str">
        <f aca="false">IF(AND(A4634&lt;&gt;"",ISNUMBER(Q4634),ISNUMBER(L4634)),ROUND(Q4634-IF(ISNUMBER(N4634),N4634,0)-IF(ISNUMBER(O4634),O4634,0)+IF(ISNUMBER(P4634),P4634,0),2),"")</f>
        <v/>
      </c>
      <c r="S4634" s="9" t="str">
        <f aca="false">IF(R4634="","",ROUND(L4634-R4634,2))</f>
        <v/>
      </c>
      <c r="T4634" s="8" t="str">
        <f aca="false">IF(A4634="","",IF(S4634="","BYPASS",IF(ABS(S4634)&lt;=Summary!$B$2,"PASS","FAIL")))</f>
        <v/>
      </c>
      <c r="U4634" s="8" t="str">
        <f aca="false">IF(T4634="BYPASS",IF(NOT(ISNUMBER(Q4634)),"PreV_ETB missing","End_tr_balance missing"),IF(T4634="FAIL",IF(AND(ISNUMBER(K4634),ISNUMBER(L4634),ABS(L4634-(K4634-IF(ISNUMBER(N4634),N4634,0)-IF(ISNUMBER(O4634),O4634,0)+IF(ISNUMBER(P4634),P4634,0)))&lt;=Summary!$B$2),"Passes using beginning_balance - PreV_ETB differs from beginning_balance",IF(AND(ISNUMBER(O4634),O4634&lt;0,ABS(L4634-(Q4634-IF(ISNUMBER(N4634),N4634,0)+IF(ISNUMBER(P4634),P4634,0)))&lt;=Summary!$B$2),"Negative realized loss not applied - check sign",IF(R4634&lt;0,"Principal paid exceeds prior balance",IF(AND(L4634&gt;Q4634,NOT(ISNUMBER(P4634))),"Balance increased but no Deferred_interest reported",IF(L4634&gt;R4634,"Reported balance higher than expected (missing increase/OC build)","Reported balance lower than expected (missing decrease)"))))),""))</f>
        <v/>
      </c>
    </row>
    <row r="4635" customFormat="false" ht="15" hidden="false" customHeight="false" outlineLevel="0" collapsed="false">
      <c r="A4635" s="8"/>
      <c r="B4635" s="8"/>
      <c r="C4635" s="8"/>
      <c r="D4635" s="8"/>
      <c r="E4635" s="8"/>
      <c r="F4635" s="8"/>
      <c r="G4635" s="8"/>
      <c r="H4635" s="8"/>
      <c r="I4635" s="8"/>
      <c r="J4635" s="8"/>
      <c r="K4635" s="9"/>
      <c r="L4635" s="9"/>
      <c r="M4635" s="9"/>
      <c r="N4635" s="9"/>
      <c r="O4635" s="9"/>
      <c r="P4635" s="9"/>
      <c r="Q4635" s="9"/>
      <c r="R4635" s="9" t="str">
        <f aca="false">IF(AND(A4635&lt;&gt;"",ISNUMBER(Q4635),ISNUMBER(L4635)),ROUND(Q4635-IF(ISNUMBER(N4635),N4635,0)-IF(ISNUMBER(O4635),O4635,0)+IF(ISNUMBER(P4635),P4635,0),2),"")</f>
        <v/>
      </c>
      <c r="S4635" s="9" t="str">
        <f aca="false">IF(R4635="","",ROUND(L4635-R4635,2))</f>
        <v/>
      </c>
      <c r="T4635" s="8" t="str">
        <f aca="false">IF(A4635="","",IF(S4635="","BYPASS",IF(ABS(S4635)&lt;=Summary!$B$2,"PASS","FAIL")))</f>
        <v/>
      </c>
      <c r="U4635" s="8" t="str">
        <f aca="false">IF(T4635="BYPASS",IF(NOT(ISNUMBER(Q4635)),"PreV_ETB missing","End_tr_balance missing"),IF(T4635="FAIL",IF(AND(ISNUMBER(K4635),ISNUMBER(L4635),ABS(L4635-(K4635-IF(ISNUMBER(N4635),N4635,0)-IF(ISNUMBER(O4635),O4635,0)+IF(ISNUMBER(P4635),P4635,0)))&lt;=Summary!$B$2),"Passes using beginning_balance - PreV_ETB differs from beginning_balance",IF(AND(ISNUMBER(O4635),O4635&lt;0,ABS(L4635-(Q4635-IF(ISNUMBER(N4635),N4635,0)+IF(ISNUMBER(P4635),P4635,0)))&lt;=Summary!$B$2),"Negative realized loss not applied - check sign",IF(R4635&lt;0,"Principal paid exceeds prior balance",IF(AND(L4635&gt;Q4635,NOT(ISNUMBER(P4635))),"Balance increased but no Deferred_interest reported",IF(L4635&gt;R4635,"Reported balance higher than expected (missing increase/OC build)","Reported balance lower than expected (missing decrease)"))))),""))</f>
        <v/>
      </c>
    </row>
    <row r="4636" customFormat="false" ht="15" hidden="false" customHeight="false" outlineLevel="0" collapsed="false">
      <c r="A4636" s="8"/>
      <c r="B4636" s="8"/>
      <c r="C4636" s="8"/>
      <c r="D4636" s="8"/>
      <c r="E4636" s="8"/>
      <c r="F4636" s="8"/>
      <c r="G4636" s="8"/>
      <c r="H4636" s="8"/>
      <c r="I4636" s="8"/>
      <c r="J4636" s="8"/>
      <c r="K4636" s="9"/>
      <c r="L4636" s="9"/>
      <c r="M4636" s="9"/>
      <c r="N4636" s="9"/>
      <c r="O4636" s="9"/>
      <c r="P4636" s="9"/>
      <c r="Q4636" s="9"/>
      <c r="R4636" s="9" t="str">
        <f aca="false">IF(AND(A4636&lt;&gt;"",ISNUMBER(Q4636),ISNUMBER(L4636)),ROUND(Q4636-IF(ISNUMBER(N4636),N4636,0)-IF(ISNUMBER(O4636),O4636,0)+IF(ISNUMBER(P4636),P4636,0),2),"")</f>
        <v/>
      </c>
      <c r="S4636" s="9" t="str">
        <f aca="false">IF(R4636="","",ROUND(L4636-R4636,2))</f>
        <v/>
      </c>
      <c r="T4636" s="8" t="str">
        <f aca="false">IF(A4636="","",IF(S4636="","BYPASS",IF(ABS(S4636)&lt;=Summary!$B$2,"PASS","FAIL")))</f>
        <v/>
      </c>
      <c r="U4636" s="8" t="str">
        <f aca="false">IF(T4636="BYPASS",IF(NOT(ISNUMBER(Q4636)),"PreV_ETB missing","End_tr_balance missing"),IF(T4636="FAIL",IF(AND(ISNUMBER(K4636),ISNUMBER(L4636),ABS(L4636-(K4636-IF(ISNUMBER(N4636),N4636,0)-IF(ISNUMBER(O4636),O4636,0)+IF(ISNUMBER(P4636),P4636,0)))&lt;=Summary!$B$2),"Passes using beginning_balance - PreV_ETB differs from beginning_balance",IF(AND(ISNUMBER(O4636),O4636&lt;0,ABS(L4636-(Q4636-IF(ISNUMBER(N4636),N4636,0)+IF(ISNUMBER(P4636),P4636,0)))&lt;=Summary!$B$2),"Negative realized loss not applied - check sign",IF(R4636&lt;0,"Principal paid exceeds prior balance",IF(AND(L4636&gt;Q4636,NOT(ISNUMBER(P4636))),"Balance increased but no Deferred_interest reported",IF(L4636&gt;R4636,"Reported balance higher than expected (missing increase/OC build)","Reported balance lower than expected (missing decrease)"))))),""))</f>
        <v/>
      </c>
    </row>
    <row r="4637" customFormat="false" ht="15" hidden="false" customHeight="false" outlineLevel="0" collapsed="false">
      <c r="A4637" s="8"/>
      <c r="B4637" s="8"/>
      <c r="C4637" s="8"/>
      <c r="D4637" s="8"/>
      <c r="E4637" s="8"/>
      <c r="F4637" s="8"/>
      <c r="G4637" s="8"/>
      <c r="H4637" s="8"/>
      <c r="I4637" s="8"/>
      <c r="J4637" s="8"/>
      <c r="K4637" s="9"/>
      <c r="L4637" s="9"/>
      <c r="M4637" s="9"/>
      <c r="N4637" s="9"/>
      <c r="O4637" s="9"/>
      <c r="P4637" s="9"/>
      <c r="Q4637" s="9"/>
      <c r="R4637" s="9" t="str">
        <f aca="false">IF(AND(A4637&lt;&gt;"",ISNUMBER(Q4637),ISNUMBER(L4637)),ROUND(Q4637-IF(ISNUMBER(N4637),N4637,0)-IF(ISNUMBER(O4637),O4637,0)+IF(ISNUMBER(P4637),P4637,0),2),"")</f>
        <v/>
      </c>
      <c r="S4637" s="9" t="str">
        <f aca="false">IF(R4637="","",ROUND(L4637-R4637,2))</f>
        <v/>
      </c>
      <c r="T4637" s="8" t="str">
        <f aca="false">IF(A4637="","",IF(S4637="","BYPASS",IF(ABS(S4637)&lt;=Summary!$B$2,"PASS","FAIL")))</f>
        <v/>
      </c>
      <c r="U4637" s="8" t="str">
        <f aca="false">IF(T4637="BYPASS",IF(NOT(ISNUMBER(Q4637)),"PreV_ETB missing","End_tr_balance missing"),IF(T4637="FAIL",IF(AND(ISNUMBER(K4637),ISNUMBER(L4637),ABS(L4637-(K4637-IF(ISNUMBER(N4637),N4637,0)-IF(ISNUMBER(O4637),O4637,0)+IF(ISNUMBER(P4637),P4637,0)))&lt;=Summary!$B$2),"Passes using beginning_balance - PreV_ETB differs from beginning_balance",IF(AND(ISNUMBER(O4637),O4637&lt;0,ABS(L4637-(Q4637-IF(ISNUMBER(N4637),N4637,0)+IF(ISNUMBER(P4637),P4637,0)))&lt;=Summary!$B$2),"Negative realized loss not applied - check sign",IF(R4637&lt;0,"Principal paid exceeds prior balance",IF(AND(L4637&gt;Q4637,NOT(ISNUMBER(P4637))),"Balance increased but no Deferred_interest reported",IF(L4637&gt;R4637,"Reported balance higher than expected (missing increase/OC build)","Reported balance lower than expected (missing decrease)"))))),""))</f>
        <v/>
      </c>
    </row>
    <row r="4638" customFormat="false" ht="15" hidden="false" customHeight="false" outlineLevel="0" collapsed="false">
      <c r="A4638" s="8"/>
      <c r="B4638" s="8"/>
      <c r="C4638" s="8"/>
      <c r="D4638" s="8"/>
      <c r="E4638" s="8"/>
      <c r="F4638" s="8"/>
      <c r="G4638" s="8"/>
      <c r="H4638" s="8"/>
      <c r="I4638" s="8"/>
      <c r="J4638" s="8"/>
      <c r="K4638" s="9"/>
      <c r="L4638" s="9"/>
      <c r="M4638" s="9"/>
      <c r="N4638" s="9"/>
      <c r="O4638" s="9"/>
      <c r="P4638" s="9"/>
      <c r="Q4638" s="9"/>
      <c r="R4638" s="9" t="str">
        <f aca="false">IF(AND(A4638&lt;&gt;"",ISNUMBER(Q4638),ISNUMBER(L4638)),ROUND(Q4638-IF(ISNUMBER(N4638),N4638,0)-IF(ISNUMBER(O4638),O4638,0)+IF(ISNUMBER(P4638),P4638,0),2),"")</f>
        <v/>
      </c>
      <c r="S4638" s="9" t="str">
        <f aca="false">IF(R4638="","",ROUND(L4638-R4638,2))</f>
        <v/>
      </c>
      <c r="T4638" s="8" t="str">
        <f aca="false">IF(A4638="","",IF(S4638="","BYPASS",IF(ABS(S4638)&lt;=Summary!$B$2,"PASS","FAIL")))</f>
        <v/>
      </c>
      <c r="U4638" s="8" t="str">
        <f aca="false">IF(T4638="BYPASS",IF(NOT(ISNUMBER(Q4638)),"PreV_ETB missing","End_tr_balance missing"),IF(T4638="FAIL",IF(AND(ISNUMBER(K4638),ISNUMBER(L4638),ABS(L4638-(K4638-IF(ISNUMBER(N4638),N4638,0)-IF(ISNUMBER(O4638),O4638,0)+IF(ISNUMBER(P4638),P4638,0)))&lt;=Summary!$B$2),"Passes using beginning_balance - PreV_ETB differs from beginning_balance",IF(AND(ISNUMBER(O4638),O4638&lt;0,ABS(L4638-(Q4638-IF(ISNUMBER(N4638),N4638,0)+IF(ISNUMBER(P4638),P4638,0)))&lt;=Summary!$B$2),"Negative realized loss not applied - check sign",IF(R4638&lt;0,"Principal paid exceeds prior balance",IF(AND(L4638&gt;Q4638,NOT(ISNUMBER(P4638))),"Balance increased but no Deferred_interest reported",IF(L4638&gt;R4638,"Reported balance higher than expected (missing increase/OC build)","Reported balance lower than expected (missing decrease)"))))),""))</f>
        <v/>
      </c>
    </row>
    <row r="4639" customFormat="false" ht="15" hidden="false" customHeight="false" outlineLevel="0" collapsed="false">
      <c r="A4639" s="8"/>
      <c r="B4639" s="8"/>
      <c r="C4639" s="8"/>
      <c r="D4639" s="8"/>
      <c r="E4639" s="8"/>
      <c r="F4639" s="8"/>
      <c r="G4639" s="8"/>
      <c r="H4639" s="8"/>
      <c r="I4639" s="8"/>
      <c r="J4639" s="8"/>
      <c r="K4639" s="9"/>
      <c r="L4639" s="9"/>
      <c r="M4639" s="9"/>
      <c r="N4639" s="9"/>
      <c r="O4639" s="9"/>
      <c r="P4639" s="9"/>
      <c r="Q4639" s="9"/>
      <c r="R4639" s="9" t="str">
        <f aca="false">IF(AND(A4639&lt;&gt;"",ISNUMBER(Q4639),ISNUMBER(L4639)),ROUND(Q4639-IF(ISNUMBER(N4639),N4639,0)-IF(ISNUMBER(O4639),O4639,0)+IF(ISNUMBER(P4639),P4639,0),2),"")</f>
        <v/>
      </c>
      <c r="S4639" s="9" t="str">
        <f aca="false">IF(R4639="","",ROUND(L4639-R4639,2))</f>
        <v/>
      </c>
      <c r="T4639" s="8" t="str">
        <f aca="false">IF(A4639="","",IF(S4639="","BYPASS",IF(ABS(S4639)&lt;=Summary!$B$2,"PASS","FAIL")))</f>
        <v/>
      </c>
      <c r="U4639" s="8" t="str">
        <f aca="false">IF(T4639="BYPASS",IF(NOT(ISNUMBER(Q4639)),"PreV_ETB missing","End_tr_balance missing"),IF(T4639="FAIL",IF(AND(ISNUMBER(K4639),ISNUMBER(L4639),ABS(L4639-(K4639-IF(ISNUMBER(N4639),N4639,0)-IF(ISNUMBER(O4639),O4639,0)+IF(ISNUMBER(P4639),P4639,0)))&lt;=Summary!$B$2),"Passes using beginning_balance - PreV_ETB differs from beginning_balance",IF(AND(ISNUMBER(O4639),O4639&lt;0,ABS(L4639-(Q4639-IF(ISNUMBER(N4639),N4639,0)+IF(ISNUMBER(P4639),P4639,0)))&lt;=Summary!$B$2),"Negative realized loss not applied - check sign",IF(R4639&lt;0,"Principal paid exceeds prior balance",IF(AND(L4639&gt;Q4639,NOT(ISNUMBER(P4639))),"Balance increased but no Deferred_interest reported",IF(L4639&gt;R4639,"Reported balance higher than expected (missing increase/OC build)","Reported balance lower than expected (missing decrease)"))))),""))</f>
        <v/>
      </c>
    </row>
    <row r="4640" customFormat="false" ht="15" hidden="false" customHeight="false" outlineLevel="0" collapsed="false">
      <c r="A4640" s="8"/>
      <c r="B4640" s="8"/>
      <c r="C4640" s="8"/>
      <c r="D4640" s="8"/>
      <c r="E4640" s="8"/>
      <c r="F4640" s="8"/>
      <c r="G4640" s="8"/>
      <c r="H4640" s="8"/>
      <c r="I4640" s="8"/>
      <c r="J4640" s="8"/>
      <c r="K4640" s="9"/>
      <c r="L4640" s="9"/>
      <c r="M4640" s="9"/>
      <c r="N4640" s="9"/>
      <c r="O4640" s="9"/>
      <c r="P4640" s="9"/>
      <c r="Q4640" s="9"/>
      <c r="R4640" s="9" t="str">
        <f aca="false">IF(AND(A4640&lt;&gt;"",ISNUMBER(Q4640),ISNUMBER(L4640)),ROUND(Q4640-IF(ISNUMBER(N4640),N4640,0)-IF(ISNUMBER(O4640),O4640,0)+IF(ISNUMBER(P4640),P4640,0),2),"")</f>
        <v/>
      </c>
      <c r="S4640" s="9" t="str">
        <f aca="false">IF(R4640="","",ROUND(L4640-R4640,2))</f>
        <v/>
      </c>
      <c r="T4640" s="8" t="str">
        <f aca="false">IF(A4640="","",IF(S4640="","BYPASS",IF(ABS(S4640)&lt;=Summary!$B$2,"PASS","FAIL")))</f>
        <v/>
      </c>
      <c r="U4640" s="8" t="str">
        <f aca="false">IF(T4640="BYPASS",IF(NOT(ISNUMBER(Q4640)),"PreV_ETB missing","End_tr_balance missing"),IF(T4640="FAIL",IF(AND(ISNUMBER(K4640),ISNUMBER(L4640),ABS(L4640-(K4640-IF(ISNUMBER(N4640),N4640,0)-IF(ISNUMBER(O4640),O4640,0)+IF(ISNUMBER(P4640),P4640,0)))&lt;=Summary!$B$2),"Passes using beginning_balance - PreV_ETB differs from beginning_balance",IF(AND(ISNUMBER(O4640),O4640&lt;0,ABS(L4640-(Q4640-IF(ISNUMBER(N4640),N4640,0)+IF(ISNUMBER(P4640),P4640,0)))&lt;=Summary!$B$2),"Negative realized loss not applied - check sign",IF(R4640&lt;0,"Principal paid exceeds prior balance",IF(AND(L4640&gt;Q4640,NOT(ISNUMBER(P4640))),"Balance increased but no Deferred_interest reported",IF(L4640&gt;R4640,"Reported balance higher than expected (missing increase/OC build)","Reported balance lower than expected (missing decrease)"))))),""))</f>
        <v/>
      </c>
    </row>
    <row r="4641" customFormat="false" ht="15" hidden="false" customHeight="false" outlineLevel="0" collapsed="false">
      <c r="A4641" s="8"/>
      <c r="B4641" s="8"/>
      <c r="C4641" s="8"/>
      <c r="D4641" s="8"/>
      <c r="E4641" s="8"/>
      <c r="F4641" s="8"/>
      <c r="G4641" s="8"/>
      <c r="H4641" s="8"/>
      <c r="I4641" s="8"/>
      <c r="J4641" s="8"/>
      <c r="K4641" s="9"/>
      <c r="L4641" s="9"/>
      <c r="M4641" s="9"/>
      <c r="N4641" s="9"/>
      <c r="O4641" s="9"/>
      <c r="P4641" s="9"/>
      <c r="Q4641" s="9"/>
      <c r="R4641" s="9" t="str">
        <f aca="false">IF(AND(A4641&lt;&gt;"",ISNUMBER(Q4641),ISNUMBER(L4641)),ROUND(Q4641-IF(ISNUMBER(N4641),N4641,0)-IF(ISNUMBER(O4641),O4641,0)+IF(ISNUMBER(P4641),P4641,0),2),"")</f>
        <v/>
      </c>
      <c r="S4641" s="9" t="str">
        <f aca="false">IF(R4641="","",ROUND(L4641-R4641,2))</f>
        <v/>
      </c>
      <c r="T4641" s="8" t="str">
        <f aca="false">IF(A4641="","",IF(S4641="","BYPASS",IF(ABS(S4641)&lt;=Summary!$B$2,"PASS","FAIL")))</f>
        <v/>
      </c>
      <c r="U4641" s="8" t="str">
        <f aca="false">IF(T4641="BYPASS",IF(NOT(ISNUMBER(Q4641)),"PreV_ETB missing","End_tr_balance missing"),IF(T4641="FAIL",IF(AND(ISNUMBER(K4641),ISNUMBER(L4641),ABS(L4641-(K4641-IF(ISNUMBER(N4641),N4641,0)-IF(ISNUMBER(O4641),O4641,0)+IF(ISNUMBER(P4641),P4641,0)))&lt;=Summary!$B$2),"Passes using beginning_balance - PreV_ETB differs from beginning_balance",IF(AND(ISNUMBER(O4641),O4641&lt;0,ABS(L4641-(Q4641-IF(ISNUMBER(N4641),N4641,0)+IF(ISNUMBER(P4641),P4641,0)))&lt;=Summary!$B$2),"Negative realized loss not applied - check sign",IF(R4641&lt;0,"Principal paid exceeds prior balance",IF(AND(L4641&gt;Q4641,NOT(ISNUMBER(P4641))),"Balance increased but no Deferred_interest reported",IF(L4641&gt;R4641,"Reported balance higher than expected (missing increase/OC build)","Reported balance lower than expected (missing decrease)"))))),""))</f>
        <v/>
      </c>
    </row>
    <row r="4642" customFormat="false" ht="15" hidden="false" customHeight="false" outlineLevel="0" collapsed="false">
      <c r="A4642" s="8"/>
      <c r="B4642" s="8"/>
      <c r="C4642" s="8"/>
      <c r="D4642" s="8"/>
      <c r="E4642" s="8"/>
      <c r="F4642" s="8"/>
      <c r="G4642" s="8"/>
      <c r="H4642" s="8"/>
      <c r="I4642" s="8"/>
      <c r="J4642" s="8"/>
      <c r="K4642" s="9"/>
      <c r="L4642" s="9"/>
      <c r="M4642" s="9"/>
      <c r="N4642" s="9"/>
      <c r="O4642" s="9"/>
      <c r="P4642" s="9"/>
      <c r="Q4642" s="9"/>
      <c r="R4642" s="9" t="str">
        <f aca="false">IF(AND(A4642&lt;&gt;"",ISNUMBER(Q4642),ISNUMBER(L4642)),ROUND(Q4642-IF(ISNUMBER(N4642),N4642,0)-IF(ISNUMBER(O4642),O4642,0)+IF(ISNUMBER(P4642),P4642,0),2),"")</f>
        <v/>
      </c>
      <c r="S4642" s="9" t="str">
        <f aca="false">IF(R4642="","",ROUND(L4642-R4642,2))</f>
        <v/>
      </c>
      <c r="T4642" s="8" t="str">
        <f aca="false">IF(A4642="","",IF(S4642="","BYPASS",IF(ABS(S4642)&lt;=Summary!$B$2,"PASS","FAIL")))</f>
        <v/>
      </c>
      <c r="U4642" s="8" t="str">
        <f aca="false">IF(T4642="BYPASS",IF(NOT(ISNUMBER(Q4642)),"PreV_ETB missing","End_tr_balance missing"),IF(T4642="FAIL",IF(AND(ISNUMBER(K4642),ISNUMBER(L4642),ABS(L4642-(K4642-IF(ISNUMBER(N4642),N4642,0)-IF(ISNUMBER(O4642),O4642,0)+IF(ISNUMBER(P4642),P4642,0)))&lt;=Summary!$B$2),"Passes using beginning_balance - PreV_ETB differs from beginning_balance",IF(AND(ISNUMBER(O4642),O4642&lt;0,ABS(L4642-(Q4642-IF(ISNUMBER(N4642),N4642,0)+IF(ISNUMBER(P4642),P4642,0)))&lt;=Summary!$B$2),"Negative realized loss not applied - check sign",IF(R4642&lt;0,"Principal paid exceeds prior balance",IF(AND(L4642&gt;Q4642,NOT(ISNUMBER(P4642))),"Balance increased but no Deferred_interest reported",IF(L4642&gt;R4642,"Reported balance higher than expected (missing increase/OC build)","Reported balance lower than expected (missing decrease)"))))),""))</f>
        <v/>
      </c>
    </row>
    <row r="4643" customFormat="false" ht="15" hidden="false" customHeight="false" outlineLevel="0" collapsed="false">
      <c r="A4643" s="8"/>
      <c r="B4643" s="8"/>
      <c r="C4643" s="8"/>
      <c r="D4643" s="8"/>
      <c r="E4643" s="8"/>
      <c r="F4643" s="8"/>
      <c r="G4643" s="8"/>
      <c r="H4643" s="8"/>
      <c r="I4643" s="8"/>
      <c r="J4643" s="8"/>
      <c r="K4643" s="9"/>
      <c r="L4643" s="9"/>
      <c r="M4643" s="9"/>
      <c r="N4643" s="9"/>
      <c r="O4643" s="9"/>
      <c r="P4643" s="9"/>
      <c r="Q4643" s="9"/>
      <c r="R4643" s="9" t="str">
        <f aca="false">IF(AND(A4643&lt;&gt;"",ISNUMBER(Q4643),ISNUMBER(L4643)),ROUND(Q4643-IF(ISNUMBER(N4643),N4643,0)-IF(ISNUMBER(O4643),O4643,0)+IF(ISNUMBER(P4643),P4643,0),2),"")</f>
        <v/>
      </c>
      <c r="S4643" s="9" t="str">
        <f aca="false">IF(R4643="","",ROUND(L4643-R4643,2))</f>
        <v/>
      </c>
      <c r="T4643" s="8" t="str">
        <f aca="false">IF(A4643="","",IF(S4643="","BYPASS",IF(ABS(S4643)&lt;=Summary!$B$2,"PASS","FAIL")))</f>
        <v/>
      </c>
      <c r="U4643" s="8" t="str">
        <f aca="false">IF(T4643="BYPASS",IF(NOT(ISNUMBER(Q4643)),"PreV_ETB missing","End_tr_balance missing"),IF(T4643="FAIL",IF(AND(ISNUMBER(K4643),ISNUMBER(L4643),ABS(L4643-(K4643-IF(ISNUMBER(N4643),N4643,0)-IF(ISNUMBER(O4643),O4643,0)+IF(ISNUMBER(P4643),P4643,0)))&lt;=Summary!$B$2),"Passes using beginning_balance - PreV_ETB differs from beginning_balance",IF(AND(ISNUMBER(O4643),O4643&lt;0,ABS(L4643-(Q4643-IF(ISNUMBER(N4643),N4643,0)+IF(ISNUMBER(P4643),P4643,0)))&lt;=Summary!$B$2),"Negative realized loss not applied - check sign",IF(R4643&lt;0,"Principal paid exceeds prior balance",IF(AND(L4643&gt;Q4643,NOT(ISNUMBER(P4643))),"Balance increased but no Deferred_interest reported",IF(L4643&gt;R4643,"Reported balance higher than expected (missing increase/OC build)","Reported balance lower than expected (missing decrease)"))))),""))</f>
        <v/>
      </c>
    </row>
    <row r="4644" customFormat="false" ht="15" hidden="false" customHeight="false" outlineLevel="0" collapsed="false">
      <c r="A4644" s="8"/>
      <c r="B4644" s="8"/>
      <c r="C4644" s="8"/>
      <c r="D4644" s="8"/>
      <c r="E4644" s="8"/>
      <c r="F4644" s="8"/>
      <c r="G4644" s="8"/>
      <c r="H4644" s="8"/>
      <c r="I4644" s="8"/>
      <c r="J4644" s="8"/>
      <c r="K4644" s="9"/>
      <c r="L4644" s="9"/>
      <c r="M4644" s="9"/>
      <c r="N4644" s="9"/>
      <c r="O4644" s="9"/>
      <c r="P4644" s="9"/>
      <c r="Q4644" s="9"/>
      <c r="R4644" s="9" t="str">
        <f aca="false">IF(AND(A4644&lt;&gt;"",ISNUMBER(Q4644),ISNUMBER(L4644)),ROUND(Q4644-IF(ISNUMBER(N4644),N4644,0)-IF(ISNUMBER(O4644),O4644,0)+IF(ISNUMBER(P4644),P4644,0),2),"")</f>
        <v/>
      </c>
      <c r="S4644" s="9" t="str">
        <f aca="false">IF(R4644="","",ROUND(L4644-R4644,2))</f>
        <v/>
      </c>
      <c r="T4644" s="8" t="str">
        <f aca="false">IF(A4644="","",IF(S4644="","BYPASS",IF(ABS(S4644)&lt;=Summary!$B$2,"PASS","FAIL")))</f>
        <v/>
      </c>
      <c r="U4644" s="8" t="str">
        <f aca="false">IF(T4644="BYPASS",IF(NOT(ISNUMBER(Q4644)),"PreV_ETB missing","End_tr_balance missing"),IF(T4644="FAIL",IF(AND(ISNUMBER(K4644),ISNUMBER(L4644),ABS(L4644-(K4644-IF(ISNUMBER(N4644),N4644,0)-IF(ISNUMBER(O4644),O4644,0)+IF(ISNUMBER(P4644),P4644,0)))&lt;=Summary!$B$2),"Passes using beginning_balance - PreV_ETB differs from beginning_balance",IF(AND(ISNUMBER(O4644),O4644&lt;0,ABS(L4644-(Q4644-IF(ISNUMBER(N4644),N4644,0)+IF(ISNUMBER(P4644),P4644,0)))&lt;=Summary!$B$2),"Negative realized loss not applied - check sign",IF(R4644&lt;0,"Principal paid exceeds prior balance",IF(AND(L4644&gt;Q4644,NOT(ISNUMBER(P4644))),"Balance increased but no Deferred_interest reported",IF(L4644&gt;R4644,"Reported balance higher than expected (missing increase/OC build)","Reported balance lower than expected (missing decrease)"))))),""))</f>
        <v/>
      </c>
    </row>
    <row r="4645" customFormat="false" ht="15" hidden="false" customHeight="false" outlineLevel="0" collapsed="false">
      <c r="A4645" s="8"/>
      <c r="B4645" s="8"/>
      <c r="C4645" s="8"/>
      <c r="D4645" s="8"/>
      <c r="E4645" s="8"/>
      <c r="F4645" s="8"/>
      <c r="G4645" s="8"/>
      <c r="H4645" s="8"/>
      <c r="I4645" s="8"/>
      <c r="J4645" s="8"/>
      <c r="K4645" s="9"/>
      <c r="L4645" s="9"/>
      <c r="M4645" s="9"/>
      <c r="N4645" s="9"/>
      <c r="O4645" s="9"/>
      <c r="P4645" s="9"/>
      <c r="Q4645" s="9"/>
      <c r="R4645" s="9" t="str">
        <f aca="false">IF(AND(A4645&lt;&gt;"",ISNUMBER(Q4645),ISNUMBER(L4645)),ROUND(Q4645-IF(ISNUMBER(N4645),N4645,0)-IF(ISNUMBER(O4645),O4645,0)+IF(ISNUMBER(P4645),P4645,0),2),"")</f>
        <v/>
      </c>
      <c r="S4645" s="9" t="str">
        <f aca="false">IF(R4645="","",ROUND(L4645-R4645,2))</f>
        <v/>
      </c>
      <c r="T4645" s="8" t="str">
        <f aca="false">IF(A4645="","",IF(S4645="","BYPASS",IF(ABS(S4645)&lt;=Summary!$B$2,"PASS","FAIL")))</f>
        <v/>
      </c>
      <c r="U4645" s="8" t="str">
        <f aca="false">IF(T4645="BYPASS",IF(NOT(ISNUMBER(Q4645)),"PreV_ETB missing","End_tr_balance missing"),IF(T4645="FAIL",IF(AND(ISNUMBER(K4645),ISNUMBER(L4645),ABS(L4645-(K4645-IF(ISNUMBER(N4645),N4645,0)-IF(ISNUMBER(O4645),O4645,0)+IF(ISNUMBER(P4645),P4645,0)))&lt;=Summary!$B$2),"Passes using beginning_balance - PreV_ETB differs from beginning_balance",IF(AND(ISNUMBER(O4645),O4645&lt;0,ABS(L4645-(Q4645-IF(ISNUMBER(N4645),N4645,0)+IF(ISNUMBER(P4645),P4645,0)))&lt;=Summary!$B$2),"Negative realized loss not applied - check sign",IF(R4645&lt;0,"Principal paid exceeds prior balance",IF(AND(L4645&gt;Q4645,NOT(ISNUMBER(P4645))),"Balance increased but no Deferred_interest reported",IF(L4645&gt;R4645,"Reported balance higher than expected (missing increase/OC build)","Reported balance lower than expected (missing decrease)"))))),""))</f>
        <v/>
      </c>
    </row>
    <row r="4646" customFormat="false" ht="15" hidden="false" customHeight="false" outlineLevel="0" collapsed="false">
      <c r="A4646" s="8"/>
      <c r="B4646" s="8"/>
      <c r="C4646" s="8"/>
      <c r="D4646" s="8"/>
      <c r="E4646" s="8"/>
      <c r="F4646" s="8"/>
      <c r="G4646" s="8"/>
      <c r="H4646" s="8"/>
      <c r="I4646" s="8"/>
      <c r="J4646" s="8"/>
      <c r="K4646" s="9"/>
      <c r="L4646" s="9"/>
      <c r="M4646" s="9"/>
      <c r="N4646" s="9"/>
      <c r="O4646" s="9"/>
      <c r="P4646" s="9"/>
      <c r="Q4646" s="9"/>
      <c r="R4646" s="9" t="str">
        <f aca="false">IF(AND(A4646&lt;&gt;"",ISNUMBER(Q4646),ISNUMBER(L4646)),ROUND(Q4646-IF(ISNUMBER(N4646),N4646,0)-IF(ISNUMBER(O4646),O4646,0)+IF(ISNUMBER(P4646),P4646,0),2),"")</f>
        <v/>
      </c>
      <c r="S4646" s="9" t="str">
        <f aca="false">IF(R4646="","",ROUND(L4646-R4646,2))</f>
        <v/>
      </c>
      <c r="T4646" s="8" t="str">
        <f aca="false">IF(A4646="","",IF(S4646="","BYPASS",IF(ABS(S4646)&lt;=Summary!$B$2,"PASS","FAIL")))</f>
        <v/>
      </c>
      <c r="U4646" s="8" t="str">
        <f aca="false">IF(T4646="BYPASS",IF(NOT(ISNUMBER(Q4646)),"PreV_ETB missing","End_tr_balance missing"),IF(T4646="FAIL",IF(AND(ISNUMBER(K4646),ISNUMBER(L4646),ABS(L4646-(K4646-IF(ISNUMBER(N4646),N4646,0)-IF(ISNUMBER(O4646),O4646,0)+IF(ISNUMBER(P4646),P4646,0)))&lt;=Summary!$B$2),"Passes using beginning_balance - PreV_ETB differs from beginning_balance",IF(AND(ISNUMBER(O4646),O4646&lt;0,ABS(L4646-(Q4646-IF(ISNUMBER(N4646),N4646,0)+IF(ISNUMBER(P4646),P4646,0)))&lt;=Summary!$B$2),"Negative realized loss not applied - check sign",IF(R4646&lt;0,"Principal paid exceeds prior balance",IF(AND(L4646&gt;Q4646,NOT(ISNUMBER(P4646))),"Balance increased but no Deferred_interest reported",IF(L4646&gt;R4646,"Reported balance higher than expected (missing increase/OC build)","Reported balance lower than expected (missing decrease)"))))),""))</f>
        <v/>
      </c>
    </row>
    <row r="4647" customFormat="false" ht="15" hidden="false" customHeight="false" outlineLevel="0" collapsed="false">
      <c r="A4647" s="8"/>
      <c r="B4647" s="8"/>
      <c r="C4647" s="8"/>
      <c r="D4647" s="8"/>
      <c r="E4647" s="8"/>
      <c r="F4647" s="8"/>
      <c r="G4647" s="8"/>
      <c r="H4647" s="8"/>
      <c r="I4647" s="8"/>
      <c r="J4647" s="8"/>
      <c r="K4647" s="9"/>
      <c r="L4647" s="9"/>
      <c r="M4647" s="9"/>
      <c r="N4647" s="9"/>
      <c r="O4647" s="9"/>
      <c r="P4647" s="9"/>
      <c r="Q4647" s="9"/>
      <c r="R4647" s="9" t="str">
        <f aca="false">IF(AND(A4647&lt;&gt;"",ISNUMBER(Q4647),ISNUMBER(L4647)),ROUND(Q4647-IF(ISNUMBER(N4647),N4647,0)-IF(ISNUMBER(O4647),O4647,0)+IF(ISNUMBER(P4647),P4647,0),2),"")</f>
        <v/>
      </c>
      <c r="S4647" s="9" t="str">
        <f aca="false">IF(R4647="","",ROUND(L4647-R4647,2))</f>
        <v/>
      </c>
      <c r="T4647" s="8" t="str">
        <f aca="false">IF(A4647="","",IF(S4647="","BYPASS",IF(ABS(S4647)&lt;=Summary!$B$2,"PASS","FAIL")))</f>
        <v/>
      </c>
      <c r="U4647" s="8" t="str">
        <f aca="false">IF(T4647="BYPASS",IF(NOT(ISNUMBER(Q4647)),"PreV_ETB missing","End_tr_balance missing"),IF(T4647="FAIL",IF(AND(ISNUMBER(K4647),ISNUMBER(L4647),ABS(L4647-(K4647-IF(ISNUMBER(N4647),N4647,0)-IF(ISNUMBER(O4647),O4647,0)+IF(ISNUMBER(P4647),P4647,0)))&lt;=Summary!$B$2),"Passes using beginning_balance - PreV_ETB differs from beginning_balance",IF(AND(ISNUMBER(O4647),O4647&lt;0,ABS(L4647-(Q4647-IF(ISNUMBER(N4647),N4647,0)+IF(ISNUMBER(P4647),P4647,0)))&lt;=Summary!$B$2),"Negative realized loss not applied - check sign",IF(R4647&lt;0,"Principal paid exceeds prior balance",IF(AND(L4647&gt;Q4647,NOT(ISNUMBER(P4647))),"Balance increased but no Deferred_interest reported",IF(L4647&gt;R4647,"Reported balance higher than expected (missing increase/OC build)","Reported balance lower than expected (missing decrease)"))))),""))</f>
        <v/>
      </c>
    </row>
    <row r="4648" customFormat="false" ht="15" hidden="false" customHeight="false" outlineLevel="0" collapsed="false">
      <c r="A4648" s="8"/>
      <c r="B4648" s="8"/>
      <c r="C4648" s="8"/>
      <c r="D4648" s="8"/>
      <c r="E4648" s="8"/>
      <c r="F4648" s="8"/>
      <c r="G4648" s="8"/>
      <c r="H4648" s="8"/>
      <c r="I4648" s="8"/>
      <c r="J4648" s="8"/>
      <c r="K4648" s="9"/>
      <c r="L4648" s="9"/>
      <c r="M4648" s="9"/>
      <c r="N4648" s="9"/>
      <c r="O4648" s="9"/>
      <c r="P4648" s="9"/>
      <c r="Q4648" s="9"/>
      <c r="R4648" s="9" t="str">
        <f aca="false">IF(AND(A4648&lt;&gt;"",ISNUMBER(Q4648),ISNUMBER(L4648)),ROUND(Q4648-IF(ISNUMBER(N4648),N4648,0)-IF(ISNUMBER(O4648),O4648,0)+IF(ISNUMBER(P4648),P4648,0),2),"")</f>
        <v/>
      </c>
      <c r="S4648" s="9" t="str">
        <f aca="false">IF(R4648="","",ROUND(L4648-R4648,2))</f>
        <v/>
      </c>
      <c r="T4648" s="8" t="str">
        <f aca="false">IF(A4648="","",IF(S4648="","BYPASS",IF(ABS(S4648)&lt;=Summary!$B$2,"PASS","FAIL")))</f>
        <v/>
      </c>
      <c r="U4648" s="8" t="str">
        <f aca="false">IF(T4648="BYPASS",IF(NOT(ISNUMBER(Q4648)),"PreV_ETB missing","End_tr_balance missing"),IF(T4648="FAIL",IF(AND(ISNUMBER(K4648),ISNUMBER(L4648),ABS(L4648-(K4648-IF(ISNUMBER(N4648),N4648,0)-IF(ISNUMBER(O4648),O4648,0)+IF(ISNUMBER(P4648),P4648,0)))&lt;=Summary!$B$2),"Passes using beginning_balance - PreV_ETB differs from beginning_balance",IF(AND(ISNUMBER(O4648),O4648&lt;0,ABS(L4648-(Q4648-IF(ISNUMBER(N4648),N4648,0)+IF(ISNUMBER(P4648),P4648,0)))&lt;=Summary!$B$2),"Negative realized loss not applied - check sign",IF(R4648&lt;0,"Principal paid exceeds prior balance",IF(AND(L4648&gt;Q4648,NOT(ISNUMBER(P4648))),"Balance increased but no Deferred_interest reported",IF(L4648&gt;R4648,"Reported balance higher than expected (missing increase/OC build)","Reported balance lower than expected (missing decrease)"))))),""))</f>
        <v/>
      </c>
    </row>
    <row r="4649" customFormat="false" ht="15" hidden="false" customHeight="false" outlineLevel="0" collapsed="false">
      <c r="A4649" s="8"/>
      <c r="B4649" s="8"/>
      <c r="C4649" s="8"/>
      <c r="D4649" s="8"/>
      <c r="E4649" s="8"/>
      <c r="F4649" s="8"/>
      <c r="G4649" s="8"/>
      <c r="H4649" s="8"/>
      <c r="I4649" s="8"/>
      <c r="J4649" s="8"/>
      <c r="K4649" s="9"/>
      <c r="L4649" s="9"/>
      <c r="M4649" s="9"/>
      <c r="N4649" s="9"/>
      <c r="O4649" s="9"/>
      <c r="P4649" s="9"/>
      <c r="Q4649" s="9"/>
      <c r="R4649" s="9" t="str">
        <f aca="false">IF(AND(A4649&lt;&gt;"",ISNUMBER(Q4649),ISNUMBER(L4649)),ROUND(Q4649-IF(ISNUMBER(N4649),N4649,0)-IF(ISNUMBER(O4649),O4649,0)+IF(ISNUMBER(P4649),P4649,0),2),"")</f>
        <v/>
      </c>
      <c r="S4649" s="9" t="str">
        <f aca="false">IF(R4649="","",ROUND(L4649-R4649,2))</f>
        <v/>
      </c>
      <c r="T4649" s="8" t="str">
        <f aca="false">IF(A4649="","",IF(S4649="","BYPASS",IF(ABS(S4649)&lt;=Summary!$B$2,"PASS","FAIL")))</f>
        <v/>
      </c>
      <c r="U4649" s="8" t="str">
        <f aca="false">IF(T4649="BYPASS",IF(NOT(ISNUMBER(Q4649)),"PreV_ETB missing","End_tr_balance missing"),IF(T4649="FAIL",IF(AND(ISNUMBER(K4649),ISNUMBER(L4649),ABS(L4649-(K4649-IF(ISNUMBER(N4649),N4649,0)-IF(ISNUMBER(O4649),O4649,0)+IF(ISNUMBER(P4649),P4649,0)))&lt;=Summary!$B$2),"Passes using beginning_balance - PreV_ETB differs from beginning_balance",IF(AND(ISNUMBER(O4649),O4649&lt;0,ABS(L4649-(Q4649-IF(ISNUMBER(N4649),N4649,0)+IF(ISNUMBER(P4649),P4649,0)))&lt;=Summary!$B$2),"Negative realized loss not applied - check sign",IF(R4649&lt;0,"Principal paid exceeds prior balance",IF(AND(L4649&gt;Q4649,NOT(ISNUMBER(P4649))),"Balance increased but no Deferred_interest reported",IF(L4649&gt;R4649,"Reported balance higher than expected (missing increase/OC build)","Reported balance lower than expected (missing decrease)"))))),""))</f>
        <v/>
      </c>
    </row>
    <row r="4650" customFormat="false" ht="15" hidden="false" customHeight="false" outlineLevel="0" collapsed="false">
      <c r="A4650" s="8"/>
      <c r="B4650" s="8"/>
      <c r="C4650" s="8"/>
      <c r="D4650" s="8"/>
      <c r="E4650" s="8"/>
      <c r="F4650" s="8"/>
      <c r="G4650" s="8"/>
      <c r="H4650" s="8"/>
      <c r="I4650" s="8"/>
      <c r="J4650" s="8"/>
      <c r="K4650" s="9"/>
      <c r="L4650" s="9"/>
      <c r="M4650" s="9"/>
      <c r="N4650" s="9"/>
      <c r="O4650" s="9"/>
      <c r="P4650" s="9"/>
      <c r="Q4650" s="9"/>
      <c r="R4650" s="9" t="str">
        <f aca="false">IF(AND(A4650&lt;&gt;"",ISNUMBER(Q4650),ISNUMBER(L4650)),ROUND(Q4650-IF(ISNUMBER(N4650),N4650,0)-IF(ISNUMBER(O4650),O4650,0)+IF(ISNUMBER(P4650),P4650,0),2),"")</f>
        <v/>
      </c>
      <c r="S4650" s="9" t="str">
        <f aca="false">IF(R4650="","",ROUND(L4650-R4650,2))</f>
        <v/>
      </c>
      <c r="T4650" s="8" t="str">
        <f aca="false">IF(A4650="","",IF(S4650="","BYPASS",IF(ABS(S4650)&lt;=Summary!$B$2,"PASS","FAIL")))</f>
        <v/>
      </c>
      <c r="U4650" s="8" t="str">
        <f aca="false">IF(T4650="BYPASS",IF(NOT(ISNUMBER(Q4650)),"PreV_ETB missing","End_tr_balance missing"),IF(T4650="FAIL",IF(AND(ISNUMBER(K4650),ISNUMBER(L4650),ABS(L4650-(K4650-IF(ISNUMBER(N4650),N4650,0)-IF(ISNUMBER(O4650),O4650,0)+IF(ISNUMBER(P4650),P4650,0)))&lt;=Summary!$B$2),"Passes using beginning_balance - PreV_ETB differs from beginning_balance",IF(AND(ISNUMBER(O4650),O4650&lt;0,ABS(L4650-(Q4650-IF(ISNUMBER(N4650),N4650,0)+IF(ISNUMBER(P4650),P4650,0)))&lt;=Summary!$B$2),"Negative realized loss not applied - check sign",IF(R4650&lt;0,"Principal paid exceeds prior balance",IF(AND(L4650&gt;Q4650,NOT(ISNUMBER(P4650))),"Balance increased but no Deferred_interest reported",IF(L4650&gt;R4650,"Reported balance higher than expected (missing increase/OC build)","Reported balance lower than expected (missing decrease)"))))),""))</f>
        <v/>
      </c>
    </row>
    <row r="4651" customFormat="false" ht="15" hidden="false" customHeight="false" outlineLevel="0" collapsed="false">
      <c r="A4651" s="8"/>
      <c r="B4651" s="8"/>
      <c r="C4651" s="8"/>
      <c r="D4651" s="8"/>
      <c r="E4651" s="8"/>
      <c r="F4651" s="8"/>
      <c r="G4651" s="8"/>
      <c r="H4651" s="8"/>
      <c r="I4651" s="8"/>
      <c r="J4651" s="8"/>
      <c r="K4651" s="9"/>
      <c r="L4651" s="9"/>
      <c r="M4651" s="9"/>
      <c r="N4651" s="9"/>
      <c r="O4651" s="9"/>
      <c r="P4651" s="9"/>
      <c r="Q4651" s="9"/>
      <c r="R4651" s="9" t="str">
        <f aca="false">IF(AND(A4651&lt;&gt;"",ISNUMBER(Q4651),ISNUMBER(L4651)),ROUND(Q4651-IF(ISNUMBER(N4651),N4651,0)-IF(ISNUMBER(O4651),O4651,0)+IF(ISNUMBER(P4651),P4651,0),2),"")</f>
        <v/>
      </c>
      <c r="S4651" s="9" t="str">
        <f aca="false">IF(R4651="","",ROUND(L4651-R4651,2))</f>
        <v/>
      </c>
      <c r="T4651" s="8" t="str">
        <f aca="false">IF(A4651="","",IF(S4651="","BYPASS",IF(ABS(S4651)&lt;=Summary!$B$2,"PASS","FAIL")))</f>
        <v/>
      </c>
      <c r="U4651" s="8" t="str">
        <f aca="false">IF(T4651="BYPASS",IF(NOT(ISNUMBER(Q4651)),"PreV_ETB missing","End_tr_balance missing"),IF(T4651="FAIL",IF(AND(ISNUMBER(K4651),ISNUMBER(L4651),ABS(L4651-(K4651-IF(ISNUMBER(N4651),N4651,0)-IF(ISNUMBER(O4651),O4651,0)+IF(ISNUMBER(P4651),P4651,0)))&lt;=Summary!$B$2),"Passes using beginning_balance - PreV_ETB differs from beginning_balance",IF(AND(ISNUMBER(O4651),O4651&lt;0,ABS(L4651-(Q4651-IF(ISNUMBER(N4651),N4651,0)+IF(ISNUMBER(P4651),P4651,0)))&lt;=Summary!$B$2),"Negative realized loss not applied - check sign",IF(R4651&lt;0,"Principal paid exceeds prior balance",IF(AND(L4651&gt;Q4651,NOT(ISNUMBER(P4651))),"Balance increased but no Deferred_interest reported",IF(L4651&gt;R4651,"Reported balance higher than expected (missing increase/OC build)","Reported balance lower than expected (missing decrease)"))))),""))</f>
        <v/>
      </c>
    </row>
    <row r="4652" customFormat="false" ht="15" hidden="false" customHeight="false" outlineLevel="0" collapsed="false">
      <c r="A4652" s="8"/>
      <c r="B4652" s="8"/>
      <c r="C4652" s="8"/>
      <c r="D4652" s="8"/>
      <c r="E4652" s="8"/>
      <c r="F4652" s="8"/>
      <c r="G4652" s="8"/>
      <c r="H4652" s="8"/>
      <c r="I4652" s="8"/>
      <c r="J4652" s="8"/>
      <c r="K4652" s="9"/>
      <c r="L4652" s="9"/>
      <c r="M4652" s="9"/>
      <c r="N4652" s="9"/>
      <c r="O4652" s="9"/>
      <c r="P4652" s="9"/>
      <c r="Q4652" s="9"/>
      <c r="R4652" s="9" t="str">
        <f aca="false">IF(AND(A4652&lt;&gt;"",ISNUMBER(Q4652),ISNUMBER(L4652)),ROUND(Q4652-IF(ISNUMBER(N4652),N4652,0)-IF(ISNUMBER(O4652),O4652,0)+IF(ISNUMBER(P4652),P4652,0),2),"")</f>
        <v/>
      </c>
      <c r="S4652" s="9" t="str">
        <f aca="false">IF(R4652="","",ROUND(L4652-R4652,2))</f>
        <v/>
      </c>
      <c r="T4652" s="8" t="str">
        <f aca="false">IF(A4652="","",IF(S4652="","BYPASS",IF(ABS(S4652)&lt;=Summary!$B$2,"PASS","FAIL")))</f>
        <v/>
      </c>
      <c r="U4652" s="8" t="str">
        <f aca="false">IF(T4652="BYPASS",IF(NOT(ISNUMBER(Q4652)),"PreV_ETB missing","End_tr_balance missing"),IF(T4652="FAIL",IF(AND(ISNUMBER(K4652),ISNUMBER(L4652),ABS(L4652-(K4652-IF(ISNUMBER(N4652),N4652,0)-IF(ISNUMBER(O4652),O4652,0)+IF(ISNUMBER(P4652),P4652,0)))&lt;=Summary!$B$2),"Passes using beginning_balance - PreV_ETB differs from beginning_balance",IF(AND(ISNUMBER(O4652),O4652&lt;0,ABS(L4652-(Q4652-IF(ISNUMBER(N4652),N4652,0)+IF(ISNUMBER(P4652),P4652,0)))&lt;=Summary!$B$2),"Negative realized loss not applied - check sign",IF(R4652&lt;0,"Principal paid exceeds prior balance",IF(AND(L4652&gt;Q4652,NOT(ISNUMBER(P4652))),"Balance increased but no Deferred_interest reported",IF(L4652&gt;R4652,"Reported balance higher than expected (missing increase/OC build)","Reported balance lower than expected (missing decrease)"))))),""))</f>
        <v/>
      </c>
    </row>
    <row r="4653" customFormat="false" ht="15" hidden="false" customHeight="false" outlineLevel="0" collapsed="false">
      <c r="A4653" s="8"/>
      <c r="B4653" s="8"/>
      <c r="C4653" s="8"/>
      <c r="D4653" s="8"/>
      <c r="E4653" s="8"/>
      <c r="F4653" s="8"/>
      <c r="G4653" s="8"/>
      <c r="H4653" s="8"/>
      <c r="I4653" s="8"/>
      <c r="J4653" s="8"/>
      <c r="K4653" s="9"/>
      <c r="L4653" s="9"/>
      <c r="M4653" s="9"/>
      <c r="N4653" s="9"/>
      <c r="O4653" s="9"/>
      <c r="P4653" s="9"/>
      <c r="Q4653" s="9"/>
      <c r="R4653" s="9" t="str">
        <f aca="false">IF(AND(A4653&lt;&gt;"",ISNUMBER(Q4653),ISNUMBER(L4653)),ROUND(Q4653-IF(ISNUMBER(N4653),N4653,0)-IF(ISNUMBER(O4653),O4653,0)+IF(ISNUMBER(P4653),P4653,0),2),"")</f>
        <v/>
      </c>
      <c r="S4653" s="9" t="str">
        <f aca="false">IF(R4653="","",ROUND(L4653-R4653,2))</f>
        <v/>
      </c>
      <c r="T4653" s="8" t="str">
        <f aca="false">IF(A4653="","",IF(S4653="","BYPASS",IF(ABS(S4653)&lt;=Summary!$B$2,"PASS","FAIL")))</f>
        <v/>
      </c>
      <c r="U4653" s="8" t="str">
        <f aca="false">IF(T4653="BYPASS",IF(NOT(ISNUMBER(Q4653)),"PreV_ETB missing","End_tr_balance missing"),IF(T4653="FAIL",IF(AND(ISNUMBER(K4653),ISNUMBER(L4653),ABS(L4653-(K4653-IF(ISNUMBER(N4653),N4653,0)-IF(ISNUMBER(O4653),O4653,0)+IF(ISNUMBER(P4653),P4653,0)))&lt;=Summary!$B$2),"Passes using beginning_balance - PreV_ETB differs from beginning_balance",IF(AND(ISNUMBER(O4653),O4653&lt;0,ABS(L4653-(Q4653-IF(ISNUMBER(N4653),N4653,0)+IF(ISNUMBER(P4653),P4653,0)))&lt;=Summary!$B$2),"Negative realized loss not applied - check sign",IF(R4653&lt;0,"Principal paid exceeds prior balance",IF(AND(L4653&gt;Q4653,NOT(ISNUMBER(P4653))),"Balance increased but no Deferred_interest reported",IF(L4653&gt;R4653,"Reported balance higher than expected (missing increase/OC build)","Reported balance lower than expected (missing decrease)"))))),""))</f>
        <v/>
      </c>
    </row>
    <row r="4654" customFormat="false" ht="15" hidden="false" customHeight="false" outlineLevel="0" collapsed="false">
      <c r="A4654" s="8"/>
      <c r="B4654" s="8"/>
      <c r="C4654" s="8"/>
      <c r="D4654" s="8"/>
      <c r="E4654" s="8"/>
      <c r="F4654" s="8"/>
      <c r="G4654" s="8"/>
      <c r="H4654" s="8"/>
      <c r="I4654" s="8"/>
      <c r="J4654" s="8"/>
      <c r="K4654" s="9"/>
      <c r="L4654" s="9"/>
      <c r="M4654" s="9"/>
      <c r="N4654" s="9"/>
      <c r="O4654" s="9"/>
      <c r="P4654" s="9"/>
      <c r="Q4654" s="9"/>
      <c r="R4654" s="9" t="str">
        <f aca="false">IF(AND(A4654&lt;&gt;"",ISNUMBER(Q4654),ISNUMBER(L4654)),ROUND(Q4654-IF(ISNUMBER(N4654),N4654,0)-IF(ISNUMBER(O4654),O4654,0)+IF(ISNUMBER(P4654),P4654,0),2),"")</f>
        <v/>
      </c>
      <c r="S4654" s="9" t="str">
        <f aca="false">IF(R4654="","",ROUND(L4654-R4654,2))</f>
        <v/>
      </c>
      <c r="T4654" s="8" t="str">
        <f aca="false">IF(A4654="","",IF(S4654="","BYPASS",IF(ABS(S4654)&lt;=Summary!$B$2,"PASS","FAIL")))</f>
        <v/>
      </c>
      <c r="U4654" s="8" t="str">
        <f aca="false">IF(T4654="BYPASS",IF(NOT(ISNUMBER(Q4654)),"PreV_ETB missing","End_tr_balance missing"),IF(T4654="FAIL",IF(AND(ISNUMBER(K4654),ISNUMBER(L4654),ABS(L4654-(K4654-IF(ISNUMBER(N4654),N4654,0)-IF(ISNUMBER(O4654),O4654,0)+IF(ISNUMBER(P4654),P4654,0)))&lt;=Summary!$B$2),"Passes using beginning_balance - PreV_ETB differs from beginning_balance",IF(AND(ISNUMBER(O4654),O4654&lt;0,ABS(L4654-(Q4654-IF(ISNUMBER(N4654),N4654,0)+IF(ISNUMBER(P4654),P4654,0)))&lt;=Summary!$B$2),"Negative realized loss not applied - check sign",IF(R4654&lt;0,"Principal paid exceeds prior balance",IF(AND(L4654&gt;Q4654,NOT(ISNUMBER(P4654))),"Balance increased but no Deferred_interest reported",IF(L4654&gt;R4654,"Reported balance higher than expected (missing increase/OC build)","Reported balance lower than expected (missing decrease)"))))),""))</f>
        <v/>
      </c>
    </row>
    <row r="4655" customFormat="false" ht="15" hidden="false" customHeight="false" outlineLevel="0" collapsed="false">
      <c r="A4655" s="8"/>
      <c r="B4655" s="8"/>
      <c r="C4655" s="8"/>
      <c r="D4655" s="8"/>
      <c r="E4655" s="8"/>
      <c r="F4655" s="8"/>
      <c r="G4655" s="8"/>
      <c r="H4655" s="8"/>
      <c r="I4655" s="8"/>
      <c r="J4655" s="8"/>
      <c r="K4655" s="9"/>
      <c r="L4655" s="9"/>
      <c r="M4655" s="9"/>
      <c r="N4655" s="9"/>
      <c r="O4655" s="9"/>
      <c r="P4655" s="9"/>
      <c r="Q4655" s="9"/>
      <c r="R4655" s="9" t="str">
        <f aca="false">IF(AND(A4655&lt;&gt;"",ISNUMBER(Q4655),ISNUMBER(L4655)),ROUND(Q4655-IF(ISNUMBER(N4655),N4655,0)-IF(ISNUMBER(O4655),O4655,0)+IF(ISNUMBER(P4655),P4655,0),2),"")</f>
        <v/>
      </c>
      <c r="S4655" s="9" t="str">
        <f aca="false">IF(R4655="","",ROUND(L4655-R4655,2))</f>
        <v/>
      </c>
      <c r="T4655" s="8" t="str">
        <f aca="false">IF(A4655="","",IF(S4655="","BYPASS",IF(ABS(S4655)&lt;=Summary!$B$2,"PASS","FAIL")))</f>
        <v/>
      </c>
      <c r="U4655" s="8" t="str">
        <f aca="false">IF(T4655="BYPASS",IF(NOT(ISNUMBER(Q4655)),"PreV_ETB missing","End_tr_balance missing"),IF(T4655="FAIL",IF(AND(ISNUMBER(K4655),ISNUMBER(L4655),ABS(L4655-(K4655-IF(ISNUMBER(N4655),N4655,0)-IF(ISNUMBER(O4655),O4655,0)+IF(ISNUMBER(P4655),P4655,0)))&lt;=Summary!$B$2),"Passes using beginning_balance - PreV_ETB differs from beginning_balance",IF(AND(ISNUMBER(O4655),O4655&lt;0,ABS(L4655-(Q4655-IF(ISNUMBER(N4655),N4655,0)+IF(ISNUMBER(P4655),P4655,0)))&lt;=Summary!$B$2),"Negative realized loss not applied - check sign",IF(R4655&lt;0,"Principal paid exceeds prior balance",IF(AND(L4655&gt;Q4655,NOT(ISNUMBER(P4655))),"Balance increased but no Deferred_interest reported",IF(L4655&gt;R4655,"Reported balance higher than expected (missing increase/OC build)","Reported balance lower than expected (missing decrease)"))))),""))</f>
        <v/>
      </c>
    </row>
    <row r="4656" customFormat="false" ht="15" hidden="false" customHeight="false" outlineLevel="0" collapsed="false">
      <c r="A4656" s="8"/>
      <c r="B4656" s="8"/>
      <c r="C4656" s="8"/>
      <c r="D4656" s="8"/>
      <c r="E4656" s="8"/>
      <c r="F4656" s="8"/>
      <c r="G4656" s="8"/>
      <c r="H4656" s="8"/>
      <c r="I4656" s="8"/>
      <c r="J4656" s="8"/>
      <c r="K4656" s="9"/>
      <c r="L4656" s="9"/>
      <c r="M4656" s="9"/>
      <c r="N4656" s="9"/>
      <c r="O4656" s="9"/>
      <c r="P4656" s="9"/>
      <c r="Q4656" s="9"/>
      <c r="R4656" s="9" t="str">
        <f aca="false">IF(AND(A4656&lt;&gt;"",ISNUMBER(Q4656),ISNUMBER(L4656)),ROUND(Q4656-IF(ISNUMBER(N4656),N4656,0)-IF(ISNUMBER(O4656),O4656,0)+IF(ISNUMBER(P4656),P4656,0),2),"")</f>
        <v/>
      </c>
      <c r="S4656" s="9" t="str">
        <f aca="false">IF(R4656="","",ROUND(L4656-R4656,2))</f>
        <v/>
      </c>
      <c r="T4656" s="8" t="str">
        <f aca="false">IF(A4656="","",IF(S4656="","BYPASS",IF(ABS(S4656)&lt;=Summary!$B$2,"PASS","FAIL")))</f>
        <v/>
      </c>
      <c r="U4656" s="8" t="str">
        <f aca="false">IF(T4656="BYPASS",IF(NOT(ISNUMBER(Q4656)),"PreV_ETB missing","End_tr_balance missing"),IF(T4656="FAIL",IF(AND(ISNUMBER(K4656),ISNUMBER(L4656),ABS(L4656-(K4656-IF(ISNUMBER(N4656),N4656,0)-IF(ISNUMBER(O4656),O4656,0)+IF(ISNUMBER(P4656),P4656,0)))&lt;=Summary!$B$2),"Passes using beginning_balance - PreV_ETB differs from beginning_balance",IF(AND(ISNUMBER(O4656),O4656&lt;0,ABS(L4656-(Q4656-IF(ISNUMBER(N4656),N4656,0)+IF(ISNUMBER(P4656),P4656,0)))&lt;=Summary!$B$2),"Negative realized loss not applied - check sign",IF(R4656&lt;0,"Principal paid exceeds prior balance",IF(AND(L4656&gt;Q4656,NOT(ISNUMBER(P4656))),"Balance increased but no Deferred_interest reported",IF(L4656&gt;R4656,"Reported balance higher than expected (missing increase/OC build)","Reported balance lower than expected (missing decrease)"))))),""))</f>
        <v/>
      </c>
    </row>
    <row r="4657" customFormat="false" ht="15" hidden="false" customHeight="false" outlineLevel="0" collapsed="false">
      <c r="A4657" s="8"/>
      <c r="B4657" s="8"/>
      <c r="C4657" s="8"/>
      <c r="D4657" s="8"/>
      <c r="E4657" s="8"/>
      <c r="F4657" s="8"/>
      <c r="G4657" s="8"/>
      <c r="H4657" s="8"/>
      <c r="I4657" s="8"/>
      <c r="J4657" s="8"/>
      <c r="K4657" s="9"/>
      <c r="L4657" s="9"/>
      <c r="M4657" s="9"/>
      <c r="N4657" s="9"/>
      <c r="O4657" s="9"/>
      <c r="P4657" s="9"/>
      <c r="Q4657" s="9"/>
      <c r="R4657" s="9" t="str">
        <f aca="false">IF(AND(A4657&lt;&gt;"",ISNUMBER(Q4657),ISNUMBER(L4657)),ROUND(Q4657-IF(ISNUMBER(N4657),N4657,0)-IF(ISNUMBER(O4657),O4657,0)+IF(ISNUMBER(P4657),P4657,0),2),"")</f>
        <v/>
      </c>
      <c r="S4657" s="9" t="str">
        <f aca="false">IF(R4657="","",ROUND(L4657-R4657,2))</f>
        <v/>
      </c>
      <c r="T4657" s="8" t="str">
        <f aca="false">IF(A4657="","",IF(S4657="","BYPASS",IF(ABS(S4657)&lt;=Summary!$B$2,"PASS","FAIL")))</f>
        <v/>
      </c>
      <c r="U4657" s="8" t="str">
        <f aca="false">IF(T4657="BYPASS",IF(NOT(ISNUMBER(Q4657)),"PreV_ETB missing","End_tr_balance missing"),IF(T4657="FAIL",IF(AND(ISNUMBER(K4657),ISNUMBER(L4657),ABS(L4657-(K4657-IF(ISNUMBER(N4657),N4657,0)-IF(ISNUMBER(O4657),O4657,0)+IF(ISNUMBER(P4657),P4657,0)))&lt;=Summary!$B$2),"Passes using beginning_balance - PreV_ETB differs from beginning_balance",IF(AND(ISNUMBER(O4657),O4657&lt;0,ABS(L4657-(Q4657-IF(ISNUMBER(N4657),N4657,0)+IF(ISNUMBER(P4657),P4657,0)))&lt;=Summary!$B$2),"Negative realized loss not applied - check sign",IF(R4657&lt;0,"Principal paid exceeds prior balance",IF(AND(L4657&gt;Q4657,NOT(ISNUMBER(P4657))),"Balance increased but no Deferred_interest reported",IF(L4657&gt;R4657,"Reported balance higher than expected (missing increase/OC build)","Reported balance lower than expected (missing decrease)"))))),""))</f>
        <v/>
      </c>
    </row>
    <row r="4658" customFormat="false" ht="15" hidden="false" customHeight="false" outlineLevel="0" collapsed="false">
      <c r="A4658" s="8"/>
      <c r="B4658" s="8"/>
      <c r="C4658" s="8"/>
      <c r="D4658" s="8"/>
      <c r="E4658" s="8"/>
      <c r="F4658" s="8"/>
      <c r="G4658" s="8"/>
      <c r="H4658" s="8"/>
      <c r="I4658" s="8"/>
      <c r="J4658" s="8"/>
      <c r="K4658" s="9"/>
      <c r="L4658" s="9"/>
      <c r="M4658" s="9"/>
      <c r="N4658" s="9"/>
      <c r="O4658" s="9"/>
      <c r="P4658" s="9"/>
      <c r="Q4658" s="9"/>
      <c r="R4658" s="9" t="str">
        <f aca="false">IF(AND(A4658&lt;&gt;"",ISNUMBER(Q4658),ISNUMBER(L4658)),ROUND(Q4658-IF(ISNUMBER(N4658),N4658,0)-IF(ISNUMBER(O4658),O4658,0)+IF(ISNUMBER(P4658),P4658,0),2),"")</f>
        <v/>
      </c>
      <c r="S4658" s="9" t="str">
        <f aca="false">IF(R4658="","",ROUND(L4658-R4658,2))</f>
        <v/>
      </c>
      <c r="T4658" s="8" t="str">
        <f aca="false">IF(A4658="","",IF(S4658="","BYPASS",IF(ABS(S4658)&lt;=Summary!$B$2,"PASS","FAIL")))</f>
        <v/>
      </c>
      <c r="U4658" s="8" t="str">
        <f aca="false">IF(T4658="BYPASS",IF(NOT(ISNUMBER(Q4658)),"PreV_ETB missing","End_tr_balance missing"),IF(T4658="FAIL",IF(AND(ISNUMBER(K4658),ISNUMBER(L4658),ABS(L4658-(K4658-IF(ISNUMBER(N4658),N4658,0)-IF(ISNUMBER(O4658),O4658,0)+IF(ISNUMBER(P4658),P4658,0)))&lt;=Summary!$B$2),"Passes using beginning_balance - PreV_ETB differs from beginning_balance",IF(AND(ISNUMBER(O4658),O4658&lt;0,ABS(L4658-(Q4658-IF(ISNUMBER(N4658),N4658,0)+IF(ISNUMBER(P4658),P4658,0)))&lt;=Summary!$B$2),"Negative realized loss not applied - check sign",IF(R4658&lt;0,"Principal paid exceeds prior balance",IF(AND(L4658&gt;Q4658,NOT(ISNUMBER(P4658))),"Balance increased but no Deferred_interest reported",IF(L4658&gt;R4658,"Reported balance higher than expected (missing increase/OC build)","Reported balance lower than expected (missing decrease)"))))),""))</f>
        <v/>
      </c>
    </row>
    <row r="4659" customFormat="false" ht="15" hidden="false" customHeight="false" outlineLevel="0" collapsed="false">
      <c r="A4659" s="8"/>
      <c r="B4659" s="8"/>
      <c r="C4659" s="8"/>
      <c r="D4659" s="8"/>
      <c r="E4659" s="8"/>
      <c r="F4659" s="8"/>
      <c r="G4659" s="8"/>
      <c r="H4659" s="8"/>
      <c r="I4659" s="8"/>
      <c r="J4659" s="8"/>
      <c r="K4659" s="9"/>
      <c r="L4659" s="9"/>
      <c r="M4659" s="9"/>
      <c r="N4659" s="9"/>
      <c r="O4659" s="9"/>
      <c r="P4659" s="9"/>
      <c r="Q4659" s="9"/>
      <c r="R4659" s="9" t="str">
        <f aca="false">IF(AND(A4659&lt;&gt;"",ISNUMBER(Q4659),ISNUMBER(L4659)),ROUND(Q4659-IF(ISNUMBER(N4659),N4659,0)-IF(ISNUMBER(O4659),O4659,0)+IF(ISNUMBER(P4659),P4659,0),2),"")</f>
        <v/>
      </c>
      <c r="S4659" s="9" t="str">
        <f aca="false">IF(R4659="","",ROUND(L4659-R4659,2))</f>
        <v/>
      </c>
      <c r="T4659" s="8" t="str">
        <f aca="false">IF(A4659="","",IF(S4659="","BYPASS",IF(ABS(S4659)&lt;=Summary!$B$2,"PASS","FAIL")))</f>
        <v/>
      </c>
      <c r="U4659" s="8" t="str">
        <f aca="false">IF(T4659="BYPASS",IF(NOT(ISNUMBER(Q4659)),"PreV_ETB missing","End_tr_balance missing"),IF(T4659="FAIL",IF(AND(ISNUMBER(K4659),ISNUMBER(L4659),ABS(L4659-(K4659-IF(ISNUMBER(N4659),N4659,0)-IF(ISNUMBER(O4659),O4659,0)+IF(ISNUMBER(P4659),P4659,0)))&lt;=Summary!$B$2),"Passes using beginning_balance - PreV_ETB differs from beginning_balance",IF(AND(ISNUMBER(O4659),O4659&lt;0,ABS(L4659-(Q4659-IF(ISNUMBER(N4659),N4659,0)+IF(ISNUMBER(P4659),P4659,0)))&lt;=Summary!$B$2),"Negative realized loss not applied - check sign",IF(R4659&lt;0,"Principal paid exceeds prior balance",IF(AND(L4659&gt;Q4659,NOT(ISNUMBER(P4659))),"Balance increased but no Deferred_interest reported",IF(L4659&gt;R4659,"Reported balance higher than expected (missing increase/OC build)","Reported balance lower than expected (missing decrease)"))))),""))</f>
        <v/>
      </c>
    </row>
    <row r="4660" customFormat="false" ht="15" hidden="false" customHeight="false" outlineLevel="0" collapsed="false">
      <c r="A4660" s="8"/>
      <c r="B4660" s="8"/>
      <c r="C4660" s="8"/>
      <c r="D4660" s="8"/>
      <c r="E4660" s="8"/>
      <c r="F4660" s="8"/>
      <c r="G4660" s="8"/>
      <c r="H4660" s="8"/>
      <c r="I4660" s="8"/>
      <c r="J4660" s="8"/>
      <c r="K4660" s="9"/>
      <c r="L4660" s="9"/>
      <c r="M4660" s="9"/>
      <c r="N4660" s="9"/>
      <c r="O4660" s="9"/>
      <c r="P4660" s="9"/>
      <c r="Q4660" s="9"/>
      <c r="R4660" s="9" t="str">
        <f aca="false">IF(AND(A4660&lt;&gt;"",ISNUMBER(Q4660),ISNUMBER(L4660)),ROUND(Q4660-IF(ISNUMBER(N4660),N4660,0)-IF(ISNUMBER(O4660),O4660,0)+IF(ISNUMBER(P4660),P4660,0),2),"")</f>
        <v/>
      </c>
      <c r="S4660" s="9" t="str">
        <f aca="false">IF(R4660="","",ROUND(L4660-R4660,2))</f>
        <v/>
      </c>
      <c r="T4660" s="8" t="str">
        <f aca="false">IF(A4660="","",IF(S4660="","BYPASS",IF(ABS(S4660)&lt;=Summary!$B$2,"PASS","FAIL")))</f>
        <v/>
      </c>
      <c r="U4660" s="8" t="str">
        <f aca="false">IF(T4660="BYPASS",IF(NOT(ISNUMBER(Q4660)),"PreV_ETB missing","End_tr_balance missing"),IF(T4660="FAIL",IF(AND(ISNUMBER(K4660),ISNUMBER(L4660),ABS(L4660-(K4660-IF(ISNUMBER(N4660),N4660,0)-IF(ISNUMBER(O4660),O4660,0)+IF(ISNUMBER(P4660),P4660,0)))&lt;=Summary!$B$2),"Passes using beginning_balance - PreV_ETB differs from beginning_balance",IF(AND(ISNUMBER(O4660),O4660&lt;0,ABS(L4660-(Q4660-IF(ISNUMBER(N4660),N4660,0)+IF(ISNUMBER(P4660),P4660,0)))&lt;=Summary!$B$2),"Negative realized loss not applied - check sign",IF(R4660&lt;0,"Principal paid exceeds prior balance",IF(AND(L4660&gt;Q4660,NOT(ISNUMBER(P4660))),"Balance increased but no Deferred_interest reported",IF(L4660&gt;R4660,"Reported balance higher than expected (missing increase/OC build)","Reported balance lower than expected (missing decrease)"))))),""))</f>
        <v/>
      </c>
    </row>
    <row r="4661" customFormat="false" ht="15" hidden="false" customHeight="false" outlineLevel="0" collapsed="false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9"/>
      <c r="L4661" s="9"/>
      <c r="M4661" s="9"/>
      <c r="N4661" s="9"/>
      <c r="O4661" s="9"/>
      <c r="P4661" s="9"/>
      <c r="Q4661" s="9"/>
      <c r="R4661" s="9" t="str">
        <f aca="false">IF(AND(A4661&lt;&gt;"",ISNUMBER(Q4661),ISNUMBER(L4661)),ROUND(Q4661-IF(ISNUMBER(N4661),N4661,0)-IF(ISNUMBER(O4661),O4661,0)+IF(ISNUMBER(P4661),P4661,0),2),"")</f>
        <v/>
      </c>
      <c r="S4661" s="9" t="str">
        <f aca="false">IF(R4661="","",ROUND(L4661-R4661,2))</f>
        <v/>
      </c>
      <c r="T4661" s="8" t="str">
        <f aca="false">IF(A4661="","",IF(S4661="","BYPASS",IF(ABS(S4661)&lt;=Summary!$B$2,"PASS","FAIL")))</f>
        <v/>
      </c>
      <c r="U4661" s="8" t="str">
        <f aca="false">IF(T4661="BYPASS",IF(NOT(ISNUMBER(Q4661)),"PreV_ETB missing","End_tr_balance missing"),IF(T4661="FAIL",IF(AND(ISNUMBER(K4661),ISNUMBER(L4661),ABS(L4661-(K4661-IF(ISNUMBER(N4661),N4661,0)-IF(ISNUMBER(O4661),O4661,0)+IF(ISNUMBER(P4661),P4661,0)))&lt;=Summary!$B$2),"Passes using beginning_balance - PreV_ETB differs from beginning_balance",IF(AND(ISNUMBER(O4661),O4661&lt;0,ABS(L4661-(Q4661-IF(ISNUMBER(N4661),N4661,0)+IF(ISNUMBER(P4661),P4661,0)))&lt;=Summary!$B$2),"Negative realized loss not applied - check sign",IF(R4661&lt;0,"Principal paid exceeds prior balance",IF(AND(L4661&gt;Q4661,NOT(ISNUMBER(P4661))),"Balance increased but no Deferred_interest reported",IF(L4661&gt;R4661,"Reported balance higher than expected (missing increase/OC build)","Reported balance lower than expected (missing decrease)"))))),""))</f>
        <v/>
      </c>
    </row>
    <row r="4662" customFormat="false" ht="15" hidden="false" customHeight="false" outlineLevel="0" collapsed="false">
      <c r="A4662" s="8"/>
      <c r="B4662" s="8"/>
      <c r="C4662" s="8"/>
      <c r="D4662" s="8"/>
      <c r="E4662" s="8"/>
      <c r="F4662" s="8"/>
      <c r="G4662" s="8"/>
      <c r="H4662" s="8"/>
      <c r="I4662" s="8"/>
      <c r="J4662" s="8"/>
      <c r="K4662" s="9"/>
      <c r="L4662" s="9"/>
      <c r="M4662" s="9"/>
      <c r="N4662" s="9"/>
      <c r="O4662" s="9"/>
      <c r="P4662" s="9"/>
      <c r="Q4662" s="9"/>
      <c r="R4662" s="9" t="str">
        <f aca="false">IF(AND(A4662&lt;&gt;"",ISNUMBER(Q4662),ISNUMBER(L4662)),ROUND(Q4662-IF(ISNUMBER(N4662),N4662,0)-IF(ISNUMBER(O4662),O4662,0)+IF(ISNUMBER(P4662),P4662,0),2),"")</f>
        <v/>
      </c>
      <c r="S4662" s="9" t="str">
        <f aca="false">IF(R4662="","",ROUND(L4662-R4662,2))</f>
        <v/>
      </c>
      <c r="T4662" s="8" t="str">
        <f aca="false">IF(A4662="","",IF(S4662="","BYPASS",IF(ABS(S4662)&lt;=Summary!$B$2,"PASS","FAIL")))</f>
        <v/>
      </c>
      <c r="U4662" s="8" t="str">
        <f aca="false">IF(T4662="BYPASS",IF(NOT(ISNUMBER(Q4662)),"PreV_ETB missing","End_tr_balance missing"),IF(T4662="FAIL",IF(AND(ISNUMBER(K4662),ISNUMBER(L4662),ABS(L4662-(K4662-IF(ISNUMBER(N4662),N4662,0)-IF(ISNUMBER(O4662),O4662,0)+IF(ISNUMBER(P4662),P4662,0)))&lt;=Summary!$B$2),"Passes using beginning_balance - PreV_ETB differs from beginning_balance",IF(AND(ISNUMBER(O4662),O4662&lt;0,ABS(L4662-(Q4662-IF(ISNUMBER(N4662),N4662,0)+IF(ISNUMBER(P4662),P4662,0)))&lt;=Summary!$B$2),"Negative realized loss not applied - check sign",IF(R4662&lt;0,"Principal paid exceeds prior balance",IF(AND(L4662&gt;Q4662,NOT(ISNUMBER(P4662))),"Balance increased but no Deferred_interest reported",IF(L4662&gt;R4662,"Reported balance higher than expected (missing increase/OC build)","Reported balance lower than expected (missing decrease)"))))),""))</f>
        <v/>
      </c>
    </row>
    <row r="4663" customFormat="false" ht="15" hidden="false" customHeight="false" outlineLevel="0" collapsed="false">
      <c r="A4663" s="8"/>
      <c r="B4663" s="8"/>
      <c r="C4663" s="8"/>
      <c r="D4663" s="8"/>
      <c r="E4663" s="8"/>
      <c r="F4663" s="8"/>
      <c r="G4663" s="8"/>
      <c r="H4663" s="8"/>
      <c r="I4663" s="8"/>
      <c r="J4663" s="8"/>
      <c r="K4663" s="9"/>
      <c r="L4663" s="9"/>
      <c r="M4663" s="9"/>
      <c r="N4663" s="9"/>
      <c r="O4663" s="9"/>
      <c r="P4663" s="9"/>
      <c r="Q4663" s="9"/>
      <c r="R4663" s="9" t="str">
        <f aca="false">IF(AND(A4663&lt;&gt;"",ISNUMBER(Q4663),ISNUMBER(L4663)),ROUND(Q4663-IF(ISNUMBER(N4663),N4663,0)-IF(ISNUMBER(O4663),O4663,0)+IF(ISNUMBER(P4663),P4663,0),2),"")</f>
        <v/>
      </c>
      <c r="S4663" s="9" t="str">
        <f aca="false">IF(R4663="","",ROUND(L4663-R4663,2))</f>
        <v/>
      </c>
      <c r="T4663" s="8" t="str">
        <f aca="false">IF(A4663="","",IF(S4663="","BYPASS",IF(ABS(S4663)&lt;=Summary!$B$2,"PASS","FAIL")))</f>
        <v/>
      </c>
      <c r="U4663" s="8" t="str">
        <f aca="false">IF(T4663="BYPASS",IF(NOT(ISNUMBER(Q4663)),"PreV_ETB missing","End_tr_balance missing"),IF(T4663="FAIL",IF(AND(ISNUMBER(K4663),ISNUMBER(L4663),ABS(L4663-(K4663-IF(ISNUMBER(N4663),N4663,0)-IF(ISNUMBER(O4663),O4663,0)+IF(ISNUMBER(P4663),P4663,0)))&lt;=Summary!$B$2),"Passes using beginning_balance - PreV_ETB differs from beginning_balance",IF(AND(ISNUMBER(O4663),O4663&lt;0,ABS(L4663-(Q4663-IF(ISNUMBER(N4663),N4663,0)+IF(ISNUMBER(P4663),P4663,0)))&lt;=Summary!$B$2),"Negative realized loss not applied - check sign",IF(R4663&lt;0,"Principal paid exceeds prior balance",IF(AND(L4663&gt;Q4663,NOT(ISNUMBER(P4663))),"Balance increased but no Deferred_interest reported",IF(L4663&gt;R4663,"Reported balance higher than expected (missing increase/OC build)","Reported balance lower than expected (missing decrease)"))))),""))</f>
        <v/>
      </c>
    </row>
    <row r="4664" customFormat="false" ht="15" hidden="false" customHeight="false" outlineLevel="0" collapsed="false">
      <c r="A4664" s="8"/>
      <c r="B4664" s="8"/>
      <c r="C4664" s="8"/>
      <c r="D4664" s="8"/>
      <c r="E4664" s="8"/>
      <c r="F4664" s="8"/>
      <c r="G4664" s="8"/>
      <c r="H4664" s="8"/>
      <c r="I4664" s="8"/>
      <c r="J4664" s="8"/>
      <c r="K4664" s="9"/>
      <c r="L4664" s="9"/>
      <c r="M4664" s="9"/>
      <c r="N4664" s="9"/>
      <c r="O4664" s="9"/>
      <c r="P4664" s="9"/>
      <c r="Q4664" s="9"/>
      <c r="R4664" s="9" t="str">
        <f aca="false">IF(AND(A4664&lt;&gt;"",ISNUMBER(Q4664),ISNUMBER(L4664)),ROUND(Q4664-IF(ISNUMBER(N4664),N4664,0)-IF(ISNUMBER(O4664),O4664,0)+IF(ISNUMBER(P4664),P4664,0),2),"")</f>
        <v/>
      </c>
      <c r="S4664" s="9" t="str">
        <f aca="false">IF(R4664="","",ROUND(L4664-R4664,2))</f>
        <v/>
      </c>
      <c r="T4664" s="8" t="str">
        <f aca="false">IF(A4664="","",IF(S4664="","BYPASS",IF(ABS(S4664)&lt;=Summary!$B$2,"PASS","FAIL")))</f>
        <v/>
      </c>
      <c r="U4664" s="8" t="str">
        <f aca="false">IF(T4664="BYPASS",IF(NOT(ISNUMBER(Q4664)),"PreV_ETB missing","End_tr_balance missing"),IF(T4664="FAIL",IF(AND(ISNUMBER(K4664),ISNUMBER(L4664),ABS(L4664-(K4664-IF(ISNUMBER(N4664),N4664,0)-IF(ISNUMBER(O4664),O4664,0)+IF(ISNUMBER(P4664),P4664,0)))&lt;=Summary!$B$2),"Passes using beginning_balance - PreV_ETB differs from beginning_balance",IF(AND(ISNUMBER(O4664),O4664&lt;0,ABS(L4664-(Q4664-IF(ISNUMBER(N4664),N4664,0)+IF(ISNUMBER(P4664),P4664,0)))&lt;=Summary!$B$2),"Negative realized loss not applied - check sign",IF(R4664&lt;0,"Principal paid exceeds prior balance",IF(AND(L4664&gt;Q4664,NOT(ISNUMBER(P4664))),"Balance increased but no Deferred_interest reported",IF(L4664&gt;R4664,"Reported balance higher than expected (missing increase/OC build)","Reported balance lower than expected (missing decrease)"))))),""))</f>
        <v/>
      </c>
    </row>
    <row r="4665" customFormat="false" ht="15" hidden="false" customHeight="false" outlineLevel="0" collapsed="false">
      <c r="A4665" s="8"/>
      <c r="B4665" s="8"/>
      <c r="C4665" s="8"/>
      <c r="D4665" s="8"/>
      <c r="E4665" s="8"/>
      <c r="F4665" s="8"/>
      <c r="G4665" s="8"/>
      <c r="H4665" s="8"/>
      <c r="I4665" s="8"/>
      <c r="J4665" s="8"/>
      <c r="K4665" s="9"/>
      <c r="L4665" s="9"/>
      <c r="M4665" s="9"/>
      <c r="N4665" s="9"/>
      <c r="O4665" s="9"/>
      <c r="P4665" s="9"/>
      <c r="Q4665" s="9"/>
      <c r="R4665" s="9" t="str">
        <f aca="false">IF(AND(A4665&lt;&gt;"",ISNUMBER(Q4665),ISNUMBER(L4665)),ROUND(Q4665-IF(ISNUMBER(N4665),N4665,0)-IF(ISNUMBER(O4665),O4665,0)+IF(ISNUMBER(P4665),P4665,0),2),"")</f>
        <v/>
      </c>
      <c r="S4665" s="9" t="str">
        <f aca="false">IF(R4665="","",ROUND(L4665-R4665,2))</f>
        <v/>
      </c>
      <c r="T4665" s="8" t="str">
        <f aca="false">IF(A4665="","",IF(S4665="","BYPASS",IF(ABS(S4665)&lt;=Summary!$B$2,"PASS","FAIL")))</f>
        <v/>
      </c>
      <c r="U4665" s="8" t="str">
        <f aca="false">IF(T4665="BYPASS",IF(NOT(ISNUMBER(Q4665)),"PreV_ETB missing","End_tr_balance missing"),IF(T4665="FAIL",IF(AND(ISNUMBER(K4665),ISNUMBER(L4665),ABS(L4665-(K4665-IF(ISNUMBER(N4665),N4665,0)-IF(ISNUMBER(O4665),O4665,0)+IF(ISNUMBER(P4665),P4665,0)))&lt;=Summary!$B$2),"Passes using beginning_balance - PreV_ETB differs from beginning_balance",IF(AND(ISNUMBER(O4665),O4665&lt;0,ABS(L4665-(Q4665-IF(ISNUMBER(N4665),N4665,0)+IF(ISNUMBER(P4665),P4665,0)))&lt;=Summary!$B$2),"Negative realized loss not applied - check sign",IF(R4665&lt;0,"Principal paid exceeds prior balance",IF(AND(L4665&gt;Q4665,NOT(ISNUMBER(P4665))),"Balance increased but no Deferred_interest reported",IF(L4665&gt;R4665,"Reported balance higher than expected (missing increase/OC build)","Reported balance lower than expected (missing decrease)"))))),""))</f>
        <v/>
      </c>
    </row>
    <row r="4666" customFormat="false" ht="15" hidden="false" customHeight="false" outlineLevel="0" collapsed="false">
      <c r="A4666" s="8"/>
      <c r="B4666" s="8"/>
      <c r="C4666" s="8"/>
      <c r="D4666" s="8"/>
      <c r="E4666" s="8"/>
      <c r="F4666" s="8"/>
      <c r="G4666" s="8"/>
      <c r="H4666" s="8"/>
      <c r="I4666" s="8"/>
      <c r="J4666" s="8"/>
      <c r="K4666" s="9"/>
      <c r="L4666" s="9"/>
      <c r="M4666" s="9"/>
      <c r="N4666" s="9"/>
      <c r="O4666" s="9"/>
      <c r="P4666" s="9"/>
      <c r="Q4666" s="9"/>
      <c r="R4666" s="9" t="str">
        <f aca="false">IF(AND(A4666&lt;&gt;"",ISNUMBER(Q4666),ISNUMBER(L4666)),ROUND(Q4666-IF(ISNUMBER(N4666),N4666,0)-IF(ISNUMBER(O4666),O4666,0)+IF(ISNUMBER(P4666),P4666,0),2),"")</f>
        <v/>
      </c>
      <c r="S4666" s="9" t="str">
        <f aca="false">IF(R4666="","",ROUND(L4666-R4666,2))</f>
        <v/>
      </c>
      <c r="T4666" s="8" t="str">
        <f aca="false">IF(A4666="","",IF(S4666="","BYPASS",IF(ABS(S4666)&lt;=Summary!$B$2,"PASS","FAIL")))</f>
        <v/>
      </c>
      <c r="U4666" s="8" t="str">
        <f aca="false">IF(T4666="BYPASS",IF(NOT(ISNUMBER(Q4666)),"PreV_ETB missing","End_tr_balance missing"),IF(T4666="FAIL",IF(AND(ISNUMBER(K4666),ISNUMBER(L4666),ABS(L4666-(K4666-IF(ISNUMBER(N4666),N4666,0)-IF(ISNUMBER(O4666),O4666,0)+IF(ISNUMBER(P4666),P4666,0)))&lt;=Summary!$B$2),"Passes using beginning_balance - PreV_ETB differs from beginning_balance",IF(AND(ISNUMBER(O4666),O4666&lt;0,ABS(L4666-(Q4666-IF(ISNUMBER(N4666),N4666,0)+IF(ISNUMBER(P4666),P4666,0)))&lt;=Summary!$B$2),"Negative realized loss not applied - check sign",IF(R4666&lt;0,"Principal paid exceeds prior balance",IF(AND(L4666&gt;Q4666,NOT(ISNUMBER(P4666))),"Balance increased but no Deferred_interest reported",IF(L4666&gt;R4666,"Reported balance higher than expected (missing increase/OC build)","Reported balance lower than expected (missing decrease)"))))),""))</f>
        <v/>
      </c>
    </row>
    <row r="4667" customFormat="false" ht="15" hidden="false" customHeight="false" outlineLevel="0" collapsed="false">
      <c r="A4667" s="8"/>
      <c r="B4667" s="8"/>
      <c r="C4667" s="8"/>
      <c r="D4667" s="8"/>
      <c r="E4667" s="8"/>
      <c r="F4667" s="8"/>
      <c r="G4667" s="8"/>
      <c r="H4667" s="8"/>
      <c r="I4667" s="8"/>
      <c r="J4667" s="8"/>
      <c r="K4667" s="9"/>
      <c r="L4667" s="9"/>
      <c r="M4667" s="9"/>
      <c r="N4667" s="9"/>
      <c r="O4667" s="9"/>
      <c r="P4667" s="9"/>
      <c r="Q4667" s="9"/>
      <c r="R4667" s="9" t="str">
        <f aca="false">IF(AND(A4667&lt;&gt;"",ISNUMBER(Q4667),ISNUMBER(L4667)),ROUND(Q4667-IF(ISNUMBER(N4667),N4667,0)-IF(ISNUMBER(O4667),O4667,0)+IF(ISNUMBER(P4667),P4667,0),2),"")</f>
        <v/>
      </c>
      <c r="S4667" s="9" t="str">
        <f aca="false">IF(R4667="","",ROUND(L4667-R4667,2))</f>
        <v/>
      </c>
      <c r="T4667" s="8" t="str">
        <f aca="false">IF(A4667="","",IF(S4667="","BYPASS",IF(ABS(S4667)&lt;=Summary!$B$2,"PASS","FAIL")))</f>
        <v/>
      </c>
      <c r="U4667" s="8" t="str">
        <f aca="false">IF(T4667="BYPASS",IF(NOT(ISNUMBER(Q4667)),"PreV_ETB missing","End_tr_balance missing"),IF(T4667="FAIL",IF(AND(ISNUMBER(K4667),ISNUMBER(L4667),ABS(L4667-(K4667-IF(ISNUMBER(N4667),N4667,0)-IF(ISNUMBER(O4667),O4667,0)+IF(ISNUMBER(P4667),P4667,0)))&lt;=Summary!$B$2),"Passes using beginning_balance - PreV_ETB differs from beginning_balance",IF(AND(ISNUMBER(O4667),O4667&lt;0,ABS(L4667-(Q4667-IF(ISNUMBER(N4667),N4667,0)+IF(ISNUMBER(P4667),P4667,0)))&lt;=Summary!$B$2),"Negative realized loss not applied - check sign",IF(R4667&lt;0,"Principal paid exceeds prior balance",IF(AND(L4667&gt;Q4667,NOT(ISNUMBER(P4667))),"Balance increased but no Deferred_interest reported",IF(L4667&gt;R4667,"Reported balance higher than expected (missing increase/OC build)","Reported balance lower than expected (missing decrease)"))))),""))</f>
        <v/>
      </c>
    </row>
    <row r="4668" customFormat="false" ht="15" hidden="false" customHeight="false" outlineLevel="0" collapsed="false">
      <c r="A4668" s="8"/>
      <c r="B4668" s="8"/>
      <c r="C4668" s="8"/>
      <c r="D4668" s="8"/>
      <c r="E4668" s="8"/>
      <c r="F4668" s="8"/>
      <c r="G4668" s="8"/>
      <c r="H4668" s="8"/>
      <c r="I4668" s="8"/>
      <c r="J4668" s="8"/>
      <c r="K4668" s="9"/>
      <c r="L4668" s="9"/>
      <c r="M4668" s="9"/>
      <c r="N4668" s="9"/>
      <c r="O4668" s="9"/>
      <c r="P4668" s="9"/>
      <c r="Q4668" s="9"/>
      <c r="R4668" s="9" t="str">
        <f aca="false">IF(AND(A4668&lt;&gt;"",ISNUMBER(Q4668),ISNUMBER(L4668)),ROUND(Q4668-IF(ISNUMBER(N4668),N4668,0)-IF(ISNUMBER(O4668),O4668,0)+IF(ISNUMBER(P4668),P4668,0),2),"")</f>
        <v/>
      </c>
      <c r="S4668" s="9" t="str">
        <f aca="false">IF(R4668="","",ROUND(L4668-R4668,2))</f>
        <v/>
      </c>
      <c r="T4668" s="8" t="str">
        <f aca="false">IF(A4668="","",IF(S4668="","BYPASS",IF(ABS(S4668)&lt;=Summary!$B$2,"PASS","FAIL")))</f>
        <v/>
      </c>
      <c r="U4668" s="8" t="str">
        <f aca="false">IF(T4668="BYPASS",IF(NOT(ISNUMBER(Q4668)),"PreV_ETB missing","End_tr_balance missing"),IF(T4668="FAIL",IF(AND(ISNUMBER(K4668),ISNUMBER(L4668),ABS(L4668-(K4668-IF(ISNUMBER(N4668),N4668,0)-IF(ISNUMBER(O4668),O4668,0)+IF(ISNUMBER(P4668),P4668,0)))&lt;=Summary!$B$2),"Passes using beginning_balance - PreV_ETB differs from beginning_balance",IF(AND(ISNUMBER(O4668),O4668&lt;0,ABS(L4668-(Q4668-IF(ISNUMBER(N4668),N4668,0)+IF(ISNUMBER(P4668),P4668,0)))&lt;=Summary!$B$2),"Negative realized loss not applied - check sign",IF(R4668&lt;0,"Principal paid exceeds prior balance",IF(AND(L4668&gt;Q4668,NOT(ISNUMBER(P4668))),"Balance increased but no Deferred_interest reported",IF(L4668&gt;R4668,"Reported balance higher than expected (missing increase/OC build)","Reported balance lower than expected (missing decrease)"))))),""))</f>
        <v/>
      </c>
    </row>
    <row r="4669" customFormat="false" ht="15" hidden="false" customHeight="false" outlineLevel="0" collapsed="false">
      <c r="A4669" s="8"/>
      <c r="B4669" s="8"/>
      <c r="C4669" s="8"/>
      <c r="D4669" s="8"/>
      <c r="E4669" s="8"/>
      <c r="F4669" s="8"/>
      <c r="G4669" s="8"/>
      <c r="H4669" s="8"/>
      <c r="I4669" s="8"/>
      <c r="J4669" s="8"/>
      <c r="K4669" s="9"/>
      <c r="L4669" s="9"/>
      <c r="M4669" s="9"/>
      <c r="N4669" s="9"/>
      <c r="O4669" s="9"/>
      <c r="P4669" s="9"/>
      <c r="Q4669" s="9"/>
      <c r="R4669" s="9" t="str">
        <f aca="false">IF(AND(A4669&lt;&gt;"",ISNUMBER(Q4669),ISNUMBER(L4669)),ROUND(Q4669-IF(ISNUMBER(N4669),N4669,0)-IF(ISNUMBER(O4669),O4669,0)+IF(ISNUMBER(P4669),P4669,0),2),"")</f>
        <v/>
      </c>
      <c r="S4669" s="9" t="str">
        <f aca="false">IF(R4669="","",ROUND(L4669-R4669,2))</f>
        <v/>
      </c>
      <c r="T4669" s="8" t="str">
        <f aca="false">IF(A4669="","",IF(S4669="","BYPASS",IF(ABS(S4669)&lt;=Summary!$B$2,"PASS","FAIL")))</f>
        <v/>
      </c>
      <c r="U4669" s="8" t="str">
        <f aca="false">IF(T4669="BYPASS",IF(NOT(ISNUMBER(Q4669)),"PreV_ETB missing","End_tr_balance missing"),IF(T4669="FAIL",IF(AND(ISNUMBER(K4669),ISNUMBER(L4669),ABS(L4669-(K4669-IF(ISNUMBER(N4669),N4669,0)-IF(ISNUMBER(O4669),O4669,0)+IF(ISNUMBER(P4669),P4669,0)))&lt;=Summary!$B$2),"Passes using beginning_balance - PreV_ETB differs from beginning_balance",IF(AND(ISNUMBER(O4669),O4669&lt;0,ABS(L4669-(Q4669-IF(ISNUMBER(N4669),N4669,0)+IF(ISNUMBER(P4669),P4669,0)))&lt;=Summary!$B$2),"Negative realized loss not applied - check sign",IF(R4669&lt;0,"Principal paid exceeds prior balance",IF(AND(L4669&gt;Q4669,NOT(ISNUMBER(P4669))),"Balance increased but no Deferred_interest reported",IF(L4669&gt;R4669,"Reported balance higher than expected (missing increase/OC build)","Reported balance lower than expected (missing decrease)"))))),""))</f>
        <v/>
      </c>
    </row>
    <row r="4670" customFormat="false" ht="15" hidden="false" customHeight="false" outlineLevel="0" collapsed="false">
      <c r="A4670" s="8"/>
      <c r="B4670" s="8"/>
      <c r="C4670" s="8"/>
      <c r="D4670" s="8"/>
      <c r="E4670" s="8"/>
      <c r="F4670" s="8"/>
      <c r="G4670" s="8"/>
      <c r="H4670" s="8"/>
      <c r="I4670" s="8"/>
      <c r="J4670" s="8"/>
      <c r="K4670" s="9"/>
      <c r="L4670" s="9"/>
      <c r="M4670" s="9"/>
      <c r="N4670" s="9"/>
      <c r="O4670" s="9"/>
      <c r="P4670" s="9"/>
      <c r="Q4670" s="9"/>
      <c r="R4670" s="9" t="str">
        <f aca="false">IF(AND(A4670&lt;&gt;"",ISNUMBER(Q4670),ISNUMBER(L4670)),ROUND(Q4670-IF(ISNUMBER(N4670),N4670,0)-IF(ISNUMBER(O4670),O4670,0)+IF(ISNUMBER(P4670),P4670,0),2),"")</f>
        <v/>
      </c>
      <c r="S4670" s="9" t="str">
        <f aca="false">IF(R4670="","",ROUND(L4670-R4670,2))</f>
        <v/>
      </c>
      <c r="T4670" s="8" t="str">
        <f aca="false">IF(A4670="","",IF(S4670="","BYPASS",IF(ABS(S4670)&lt;=Summary!$B$2,"PASS","FAIL")))</f>
        <v/>
      </c>
      <c r="U4670" s="8" t="str">
        <f aca="false">IF(T4670="BYPASS",IF(NOT(ISNUMBER(Q4670)),"PreV_ETB missing","End_tr_balance missing"),IF(T4670="FAIL",IF(AND(ISNUMBER(K4670),ISNUMBER(L4670),ABS(L4670-(K4670-IF(ISNUMBER(N4670),N4670,0)-IF(ISNUMBER(O4670),O4670,0)+IF(ISNUMBER(P4670),P4670,0)))&lt;=Summary!$B$2),"Passes using beginning_balance - PreV_ETB differs from beginning_balance",IF(AND(ISNUMBER(O4670),O4670&lt;0,ABS(L4670-(Q4670-IF(ISNUMBER(N4670),N4670,0)+IF(ISNUMBER(P4670),P4670,0)))&lt;=Summary!$B$2),"Negative realized loss not applied - check sign",IF(R4670&lt;0,"Principal paid exceeds prior balance",IF(AND(L4670&gt;Q4670,NOT(ISNUMBER(P4670))),"Balance increased but no Deferred_interest reported",IF(L4670&gt;R4670,"Reported balance higher than expected (missing increase/OC build)","Reported balance lower than expected (missing decrease)"))))),""))</f>
        <v/>
      </c>
    </row>
    <row r="4671" customFormat="false" ht="15" hidden="false" customHeight="false" outlineLevel="0" collapsed="false">
      <c r="A4671" s="8"/>
      <c r="B4671" s="8"/>
      <c r="C4671" s="8"/>
      <c r="D4671" s="8"/>
      <c r="E4671" s="8"/>
      <c r="F4671" s="8"/>
      <c r="G4671" s="8"/>
      <c r="H4671" s="8"/>
      <c r="I4671" s="8"/>
      <c r="J4671" s="8"/>
      <c r="K4671" s="9"/>
      <c r="L4671" s="9"/>
      <c r="M4671" s="9"/>
      <c r="N4671" s="9"/>
      <c r="O4671" s="9"/>
      <c r="P4671" s="9"/>
      <c r="Q4671" s="9"/>
      <c r="R4671" s="9" t="str">
        <f aca="false">IF(AND(A4671&lt;&gt;"",ISNUMBER(Q4671),ISNUMBER(L4671)),ROUND(Q4671-IF(ISNUMBER(N4671),N4671,0)-IF(ISNUMBER(O4671),O4671,0)+IF(ISNUMBER(P4671),P4671,0),2),"")</f>
        <v/>
      </c>
      <c r="S4671" s="9" t="str">
        <f aca="false">IF(R4671="","",ROUND(L4671-R4671,2))</f>
        <v/>
      </c>
      <c r="T4671" s="8" t="str">
        <f aca="false">IF(A4671="","",IF(S4671="","BYPASS",IF(ABS(S4671)&lt;=Summary!$B$2,"PASS","FAIL")))</f>
        <v/>
      </c>
      <c r="U4671" s="8" t="str">
        <f aca="false">IF(T4671="BYPASS",IF(NOT(ISNUMBER(Q4671)),"PreV_ETB missing","End_tr_balance missing"),IF(T4671="FAIL",IF(AND(ISNUMBER(K4671),ISNUMBER(L4671),ABS(L4671-(K4671-IF(ISNUMBER(N4671),N4671,0)-IF(ISNUMBER(O4671),O4671,0)+IF(ISNUMBER(P4671),P4671,0)))&lt;=Summary!$B$2),"Passes using beginning_balance - PreV_ETB differs from beginning_balance",IF(AND(ISNUMBER(O4671),O4671&lt;0,ABS(L4671-(Q4671-IF(ISNUMBER(N4671),N4671,0)+IF(ISNUMBER(P4671),P4671,0)))&lt;=Summary!$B$2),"Negative realized loss not applied - check sign",IF(R4671&lt;0,"Principal paid exceeds prior balance",IF(AND(L4671&gt;Q4671,NOT(ISNUMBER(P4671))),"Balance increased but no Deferred_interest reported",IF(L4671&gt;R4671,"Reported balance higher than expected (missing increase/OC build)","Reported balance lower than expected (missing decrease)"))))),""))</f>
        <v/>
      </c>
    </row>
    <row r="4672" customFormat="false" ht="15" hidden="false" customHeight="false" outlineLevel="0" collapsed="false">
      <c r="A4672" s="8"/>
      <c r="B4672" s="8"/>
      <c r="C4672" s="8"/>
      <c r="D4672" s="8"/>
      <c r="E4672" s="8"/>
      <c r="F4672" s="8"/>
      <c r="G4672" s="8"/>
      <c r="H4672" s="8"/>
      <c r="I4672" s="8"/>
      <c r="J4672" s="8"/>
      <c r="K4672" s="9"/>
      <c r="L4672" s="9"/>
      <c r="M4672" s="9"/>
      <c r="N4672" s="9"/>
      <c r="O4672" s="9"/>
      <c r="P4672" s="9"/>
      <c r="Q4672" s="9"/>
      <c r="R4672" s="9" t="str">
        <f aca="false">IF(AND(A4672&lt;&gt;"",ISNUMBER(Q4672),ISNUMBER(L4672)),ROUND(Q4672-IF(ISNUMBER(N4672),N4672,0)-IF(ISNUMBER(O4672),O4672,0)+IF(ISNUMBER(P4672),P4672,0),2),"")</f>
        <v/>
      </c>
      <c r="S4672" s="9" t="str">
        <f aca="false">IF(R4672="","",ROUND(L4672-R4672,2))</f>
        <v/>
      </c>
      <c r="T4672" s="8" t="str">
        <f aca="false">IF(A4672="","",IF(S4672="","BYPASS",IF(ABS(S4672)&lt;=Summary!$B$2,"PASS","FAIL")))</f>
        <v/>
      </c>
      <c r="U4672" s="8" t="str">
        <f aca="false">IF(T4672="BYPASS",IF(NOT(ISNUMBER(Q4672)),"PreV_ETB missing","End_tr_balance missing"),IF(T4672="FAIL",IF(AND(ISNUMBER(K4672),ISNUMBER(L4672),ABS(L4672-(K4672-IF(ISNUMBER(N4672),N4672,0)-IF(ISNUMBER(O4672),O4672,0)+IF(ISNUMBER(P4672),P4672,0)))&lt;=Summary!$B$2),"Passes using beginning_balance - PreV_ETB differs from beginning_balance",IF(AND(ISNUMBER(O4672),O4672&lt;0,ABS(L4672-(Q4672-IF(ISNUMBER(N4672),N4672,0)+IF(ISNUMBER(P4672),P4672,0)))&lt;=Summary!$B$2),"Negative realized loss not applied - check sign",IF(R4672&lt;0,"Principal paid exceeds prior balance",IF(AND(L4672&gt;Q4672,NOT(ISNUMBER(P4672))),"Balance increased but no Deferred_interest reported",IF(L4672&gt;R4672,"Reported balance higher than expected (missing increase/OC build)","Reported balance lower than expected (missing decrease)"))))),""))</f>
        <v/>
      </c>
    </row>
    <row r="4673" customFormat="false" ht="15" hidden="false" customHeight="false" outlineLevel="0" collapsed="false">
      <c r="A4673" s="8"/>
      <c r="B4673" s="8"/>
      <c r="C4673" s="8"/>
      <c r="D4673" s="8"/>
      <c r="E4673" s="8"/>
      <c r="F4673" s="8"/>
      <c r="G4673" s="8"/>
      <c r="H4673" s="8"/>
      <c r="I4673" s="8"/>
      <c r="J4673" s="8"/>
      <c r="K4673" s="9"/>
      <c r="L4673" s="9"/>
      <c r="M4673" s="9"/>
      <c r="N4673" s="9"/>
      <c r="O4673" s="9"/>
      <c r="P4673" s="9"/>
      <c r="Q4673" s="9"/>
      <c r="R4673" s="9" t="str">
        <f aca="false">IF(AND(A4673&lt;&gt;"",ISNUMBER(Q4673),ISNUMBER(L4673)),ROUND(Q4673-IF(ISNUMBER(N4673),N4673,0)-IF(ISNUMBER(O4673),O4673,0)+IF(ISNUMBER(P4673),P4673,0),2),"")</f>
        <v/>
      </c>
      <c r="S4673" s="9" t="str">
        <f aca="false">IF(R4673="","",ROUND(L4673-R4673,2))</f>
        <v/>
      </c>
      <c r="T4673" s="8" t="str">
        <f aca="false">IF(A4673="","",IF(S4673="","BYPASS",IF(ABS(S4673)&lt;=Summary!$B$2,"PASS","FAIL")))</f>
        <v/>
      </c>
      <c r="U4673" s="8" t="str">
        <f aca="false">IF(T4673="BYPASS",IF(NOT(ISNUMBER(Q4673)),"PreV_ETB missing","End_tr_balance missing"),IF(T4673="FAIL",IF(AND(ISNUMBER(K4673),ISNUMBER(L4673),ABS(L4673-(K4673-IF(ISNUMBER(N4673),N4673,0)-IF(ISNUMBER(O4673),O4673,0)+IF(ISNUMBER(P4673),P4673,0)))&lt;=Summary!$B$2),"Passes using beginning_balance - PreV_ETB differs from beginning_balance",IF(AND(ISNUMBER(O4673),O4673&lt;0,ABS(L4673-(Q4673-IF(ISNUMBER(N4673),N4673,0)+IF(ISNUMBER(P4673),P4673,0)))&lt;=Summary!$B$2),"Negative realized loss not applied - check sign",IF(R4673&lt;0,"Principal paid exceeds prior balance",IF(AND(L4673&gt;Q4673,NOT(ISNUMBER(P4673))),"Balance increased but no Deferred_interest reported",IF(L4673&gt;R4673,"Reported balance higher than expected (missing increase/OC build)","Reported balance lower than expected (missing decrease)"))))),""))</f>
        <v/>
      </c>
    </row>
    <row r="4674" customFormat="false" ht="15" hidden="false" customHeight="false" outlineLevel="0" collapsed="false">
      <c r="A4674" s="8"/>
      <c r="B4674" s="8"/>
      <c r="C4674" s="8"/>
      <c r="D4674" s="8"/>
      <c r="E4674" s="8"/>
      <c r="F4674" s="8"/>
      <c r="G4674" s="8"/>
      <c r="H4674" s="8"/>
      <c r="I4674" s="8"/>
      <c r="J4674" s="8"/>
      <c r="K4674" s="9"/>
      <c r="L4674" s="9"/>
      <c r="M4674" s="9"/>
      <c r="N4674" s="9"/>
      <c r="O4674" s="9"/>
      <c r="P4674" s="9"/>
      <c r="Q4674" s="9"/>
      <c r="R4674" s="9" t="str">
        <f aca="false">IF(AND(A4674&lt;&gt;"",ISNUMBER(Q4674),ISNUMBER(L4674)),ROUND(Q4674-IF(ISNUMBER(N4674),N4674,0)-IF(ISNUMBER(O4674),O4674,0)+IF(ISNUMBER(P4674),P4674,0),2),"")</f>
        <v/>
      </c>
      <c r="S4674" s="9" t="str">
        <f aca="false">IF(R4674="","",ROUND(L4674-R4674,2))</f>
        <v/>
      </c>
      <c r="T4674" s="8" t="str">
        <f aca="false">IF(A4674="","",IF(S4674="","BYPASS",IF(ABS(S4674)&lt;=Summary!$B$2,"PASS","FAIL")))</f>
        <v/>
      </c>
      <c r="U4674" s="8" t="str">
        <f aca="false">IF(T4674="BYPASS",IF(NOT(ISNUMBER(Q4674)),"PreV_ETB missing","End_tr_balance missing"),IF(T4674="FAIL",IF(AND(ISNUMBER(K4674),ISNUMBER(L4674),ABS(L4674-(K4674-IF(ISNUMBER(N4674),N4674,0)-IF(ISNUMBER(O4674),O4674,0)+IF(ISNUMBER(P4674),P4674,0)))&lt;=Summary!$B$2),"Passes using beginning_balance - PreV_ETB differs from beginning_balance",IF(AND(ISNUMBER(O4674),O4674&lt;0,ABS(L4674-(Q4674-IF(ISNUMBER(N4674),N4674,0)+IF(ISNUMBER(P4674),P4674,0)))&lt;=Summary!$B$2),"Negative realized loss not applied - check sign",IF(R4674&lt;0,"Principal paid exceeds prior balance",IF(AND(L4674&gt;Q4674,NOT(ISNUMBER(P4674))),"Balance increased but no Deferred_interest reported",IF(L4674&gt;R4674,"Reported balance higher than expected (missing increase/OC build)","Reported balance lower than expected (missing decrease)"))))),""))</f>
        <v/>
      </c>
    </row>
    <row r="4675" customFormat="false" ht="15" hidden="false" customHeight="false" outlineLevel="0" collapsed="false">
      <c r="A4675" s="8"/>
      <c r="B4675" s="8"/>
      <c r="C4675" s="8"/>
      <c r="D4675" s="8"/>
      <c r="E4675" s="8"/>
      <c r="F4675" s="8"/>
      <c r="G4675" s="8"/>
      <c r="H4675" s="8"/>
      <c r="I4675" s="8"/>
      <c r="J4675" s="8"/>
      <c r="K4675" s="9"/>
      <c r="L4675" s="9"/>
      <c r="M4675" s="9"/>
      <c r="N4675" s="9"/>
      <c r="O4675" s="9"/>
      <c r="P4675" s="9"/>
      <c r="Q4675" s="9"/>
      <c r="R4675" s="9" t="str">
        <f aca="false">IF(AND(A4675&lt;&gt;"",ISNUMBER(Q4675),ISNUMBER(L4675)),ROUND(Q4675-IF(ISNUMBER(N4675),N4675,0)-IF(ISNUMBER(O4675),O4675,0)+IF(ISNUMBER(P4675),P4675,0),2),"")</f>
        <v/>
      </c>
      <c r="S4675" s="9" t="str">
        <f aca="false">IF(R4675="","",ROUND(L4675-R4675,2))</f>
        <v/>
      </c>
      <c r="T4675" s="8" t="str">
        <f aca="false">IF(A4675="","",IF(S4675="","BYPASS",IF(ABS(S4675)&lt;=Summary!$B$2,"PASS","FAIL")))</f>
        <v/>
      </c>
      <c r="U4675" s="8" t="str">
        <f aca="false">IF(T4675="BYPASS",IF(NOT(ISNUMBER(Q4675)),"PreV_ETB missing","End_tr_balance missing"),IF(T4675="FAIL",IF(AND(ISNUMBER(K4675),ISNUMBER(L4675),ABS(L4675-(K4675-IF(ISNUMBER(N4675),N4675,0)-IF(ISNUMBER(O4675),O4675,0)+IF(ISNUMBER(P4675),P4675,0)))&lt;=Summary!$B$2),"Passes using beginning_balance - PreV_ETB differs from beginning_balance",IF(AND(ISNUMBER(O4675),O4675&lt;0,ABS(L4675-(Q4675-IF(ISNUMBER(N4675),N4675,0)+IF(ISNUMBER(P4675),P4675,0)))&lt;=Summary!$B$2),"Negative realized loss not applied - check sign",IF(R4675&lt;0,"Principal paid exceeds prior balance",IF(AND(L4675&gt;Q4675,NOT(ISNUMBER(P4675))),"Balance increased but no Deferred_interest reported",IF(L4675&gt;R4675,"Reported balance higher than expected (missing increase/OC build)","Reported balance lower than expected (missing decrease)"))))),""))</f>
        <v/>
      </c>
    </row>
    <row r="4676" customFormat="false" ht="15" hidden="false" customHeight="false" outlineLevel="0" collapsed="false">
      <c r="A4676" s="8"/>
      <c r="B4676" s="8"/>
      <c r="C4676" s="8"/>
      <c r="D4676" s="8"/>
      <c r="E4676" s="8"/>
      <c r="F4676" s="8"/>
      <c r="G4676" s="8"/>
      <c r="H4676" s="8"/>
      <c r="I4676" s="8"/>
      <c r="J4676" s="8"/>
      <c r="K4676" s="9"/>
      <c r="L4676" s="9"/>
      <c r="M4676" s="9"/>
      <c r="N4676" s="9"/>
      <c r="O4676" s="9"/>
      <c r="P4676" s="9"/>
      <c r="Q4676" s="9"/>
      <c r="R4676" s="9" t="str">
        <f aca="false">IF(AND(A4676&lt;&gt;"",ISNUMBER(Q4676),ISNUMBER(L4676)),ROUND(Q4676-IF(ISNUMBER(N4676),N4676,0)-IF(ISNUMBER(O4676),O4676,0)+IF(ISNUMBER(P4676),P4676,0),2),"")</f>
        <v/>
      </c>
      <c r="S4676" s="9" t="str">
        <f aca="false">IF(R4676="","",ROUND(L4676-R4676,2))</f>
        <v/>
      </c>
      <c r="T4676" s="8" t="str">
        <f aca="false">IF(A4676="","",IF(S4676="","BYPASS",IF(ABS(S4676)&lt;=Summary!$B$2,"PASS","FAIL")))</f>
        <v/>
      </c>
      <c r="U4676" s="8" t="str">
        <f aca="false">IF(T4676="BYPASS",IF(NOT(ISNUMBER(Q4676)),"PreV_ETB missing","End_tr_balance missing"),IF(T4676="FAIL",IF(AND(ISNUMBER(K4676),ISNUMBER(L4676),ABS(L4676-(K4676-IF(ISNUMBER(N4676),N4676,0)-IF(ISNUMBER(O4676),O4676,0)+IF(ISNUMBER(P4676),P4676,0)))&lt;=Summary!$B$2),"Passes using beginning_balance - PreV_ETB differs from beginning_balance",IF(AND(ISNUMBER(O4676),O4676&lt;0,ABS(L4676-(Q4676-IF(ISNUMBER(N4676),N4676,0)+IF(ISNUMBER(P4676),P4676,0)))&lt;=Summary!$B$2),"Negative realized loss not applied - check sign",IF(R4676&lt;0,"Principal paid exceeds prior balance",IF(AND(L4676&gt;Q4676,NOT(ISNUMBER(P4676))),"Balance increased but no Deferred_interest reported",IF(L4676&gt;R4676,"Reported balance higher than expected (missing increase/OC build)","Reported balance lower than expected (missing decrease)"))))),""))</f>
        <v/>
      </c>
    </row>
    <row r="4677" customFormat="false" ht="15" hidden="false" customHeight="false" outlineLevel="0" collapsed="false">
      <c r="A4677" s="8"/>
      <c r="B4677" s="8"/>
      <c r="C4677" s="8"/>
      <c r="D4677" s="8"/>
      <c r="E4677" s="8"/>
      <c r="F4677" s="8"/>
      <c r="G4677" s="8"/>
      <c r="H4677" s="8"/>
      <c r="I4677" s="8"/>
      <c r="J4677" s="8"/>
      <c r="K4677" s="9"/>
      <c r="L4677" s="9"/>
      <c r="M4677" s="9"/>
      <c r="N4677" s="9"/>
      <c r="O4677" s="9"/>
      <c r="P4677" s="9"/>
      <c r="Q4677" s="9"/>
      <c r="R4677" s="9" t="str">
        <f aca="false">IF(AND(A4677&lt;&gt;"",ISNUMBER(Q4677),ISNUMBER(L4677)),ROUND(Q4677-IF(ISNUMBER(N4677),N4677,0)-IF(ISNUMBER(O4677),O4677,0)+IF(ISNUMBER(P4677),P4677,0),2),"")</f>
        <v/>
      </c>
      <c r="S4677" s="9" t="str">
        <f aca="false">IF(R4677="","",ROUND(L4677-R4677,2))</f>
        <v/>
      </c>
      <c r="T4677" s="8" t="str">
        <f aca="false">IF(A4677="","",IF(S4677="","BYPASS",IF(ABS(S4677)&lt;=Summary!$B$2,"PASS","FAIL")))</f>
        <v/>
      </c>
      <c r="U4677" s="8" t="str">
        <f aca="false">IF(T4677="BYPASS",IF(NOT(ISNUMBER(Q4677)),"PreV_ETB missing","End_tr_balance missing"),IF(T4677="FAIL",IF(AND(ISNUMBER(K4677),ISNUMBER(L4677),ABS(L4677-(K4677-IF(ISNUMBER(N4677),N4677,0)-IF(ISNUMBER(O4677),O4677,0)+IF(ISNUMBER(P4677),P4677,0)))&lt;=Summary!$B$2),"Passes using beginning_balance - PreV_ETB differs from beginning_balance",IF(AND(ISNUMBER(O4677),O4677&lt;0,ABS(L4677-(Q4677-IF(ISNUMBER(N4677),N4677,0)+IF(ISNUMBER(P4677),P4677,0)))&lt;=Summary!$B$2),"Negative realized loss not applied - check sign",IF(R4677&lt;0,"Principal paid exceeds prior balance",IF(AND(L4677&gt;Q4677,NOT(ISNUMBER(P4677))),"Balance increased but no Deferred_interest reported",IF(L4677&gt;R4677,"Reported balance higher than expected (missing increase/OC build)","Reported balance lower than expected (missing decrease)"))))),""))</f>
        <v/>
      </c>
    </row>
    <row r="4678" customFormat="false" ht="15" hidden="false" customHeight="false" outlineLevel="0" collapsed="false">
      <c r="A4678" s="8"/>
      <c r="B4678" s="8"/>
      <c r="C4678" s="8"/>
      <c r="D4678" s="8"/>
      <c r="E4678" s="8"/>
      <c r="F4678" s="8"/>
      <c r="G4678" s="8"/>
      <c r="H4678" s="8"/>
      <c r="I4678" s="8"/>
      <c r="J4678" s="8"/>
      <c r="K4678" s="9"/>
      <c r="L4678" s="9"/>
      <c r="M4678" s="9"/>
      <c r="N4678" s="9"/>
      <c r="O4678" s="9"/>
      <c r="P4678" s="9"/>
      <c r="Q4678" s="9"/>
      <c r="R4678" s="9" t="str">
        <f aca="false">IF(AND(A4678&lt;&gt;"",ISNUMBER(Q4678),ISNUMBER(L4678)),ROUND(Q4678-IF(ISNUMBER(N4678),N4678,0)-IF(ISNUMBER(O4678),O4678,0)+IF(ISNUMBER(P4678),P4678,0),2),"")</f>
        <v/>
      </c>
      <c r="S4678" s="9" t="str">
        <f aca="false">IF(R4678="","",ROUND(L4678-R4678,2))</f>
        <v/>
      </c>
      <c r="T4678" s="8" t="str">
        <f aca="false">IF(A4678="","",IF(S4678="","BYPASS",IF(ABS(S4678)&lt;=Summary!$B$2,"PASS","FAIL")))</f>
        <v/>
      </c>
      <c r="U4678" s="8" t="str">
        <f aca="false">IF(T4678="BYPASS",IF(NOT(ISNUMBER(Q4678)),"PreV_ETB missing","End_tr_balance missing"),IF(T4678="FAIL",IF(AND(ISNUMBER(K4678),ISNUMBER(L4678),ABS(L4678-(K4678-IF(ISNUMBER(N4678),N4678,0)-IF(ISNUMBER(O4678),O4678,0)+IF(ISNUMBER(P4678),P4678,0)))&lt;=Summary!$B$2),"Passes using beginning_balance - PreV_ETB differs from beginning_balance",IF(AND(ISNUMBER(O4678),O4678&lt;0,ABS(L4678-(Q4678-IF(ISNUMBER(N4678),N4678,0)+IF(ISNUMBER(P4678),P4678,0)))&lt;=Summary!$B$2),"Negative realized loss not applied - check sign",IF(R4678&lt;0,"Principal paid exceeds prior balance",IF(AND(L4678&gt;Q4678,NOT(ISNUMBER(P4678))),"Balance increased but no Deferred_interest reported",IF(L4678&gt;R4678,"Reported balance higher than expected (missing increase/OC build)","Reported balance lower than expected (missing decrease)"))))),""))</f>
        <v/>
      </c>
    </row>
    <row r="4679" customFormat="false" ht="15" hidden="false" customHeight="false" outlineLevel="0" collapsed="false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9"/>
      <c r="L4679" s="9"/>
      <c r="M4679" s="9"/>
      <c r="N4679" s="9"/>
      <c r="O4679" s="9"/>
      <c r="P4679" s="9"/>
      <c r="Q4679" s="9"/>
      <c r="R4679" s="9" t="str">
        <f aca="false">IF(AND(A4679&lt;&gt;"",ISNUMBER(Q4679),ISNUMBER(L4679)),ROUND(Q4679-IF(ISNUMBER(N4679),N4679,0)-IF(ISNUMBER(O4679),O4679,0)+IF(ISNUMBER(P4679),P4679,0),2),"")</f>
        <v/>
      </c>
      <c r="S4679" s="9" t="str">
        <f aca="false">IF(R4679="","",ROUND(L4679-R4679,2))</f>
        <v/>
      </c>
      <c r="T4679" s="8" t="str">
        <f aca="false">IF(A4679="","",IF(S4679="","BYPASS",IF(ABS(S4679)&lt;=Summary!$B$2,"PASS","FAIL")))</f>
        <v/>
      </c>
      <c r="U4679" s="8" t="str">
        <f aca="false">IF(T4679="BYPASS",IF(NOT(ISNUMBER(Q4679)),"PreV_ETB missing","End_tr_balance missing"),IF(T4679="FAIL",IF(AND(ISNUMBER(K4679),ISNUMBER(L4679),ABS(L4679-(K4679-IF(ISNUMBER(N4679),N4679,0)-IF(ISNUMBER(O4679),O4679,0)+IF(ISNUMBER(P4679),P4679,0)))&lt;=Summary!$B$2),"Passes using beginning_balance - PreV_ETB differs from beginning_balance",IF(AND(ISNUMBER(O4679),O4679&lt;0,ABS(L4679-(Q4679-IF(ISNUMBER(N4679),N4679,0)+IF(ISNUMBER(P4679),P4679,0)))&lt;=Summary!$B$2),"Negative realized loss not applied - check sign",IF(R4679&lt;0,"Principal paid exceeds prior balance",IF(AND(L4679&gt;Q4679,NOT(ISNUMBER(P4679))),"Balance increased but no Deferred_interest reported",IF(L4679&gt;R4679,"Reported balance higher than expected (missing increase/OC build)","Reported balance lower than expected (missing decrease)"))))),""))</f>
        <v/>
      </c>
    </row>
    <row r="4680" customFormat="false" ht="15" hidden="false" customHeight="false" outlineLevel="0" collapsed="false">
      <c r="A4680" s="8"/>
      <c r="B4680" s="8"/>
      <c r="C4680" s="8"/>
      <c r="D4680" s="8"/>
      <c r="E4680" s="8"/>
      <c r="F4680" s="8"/>
      <c r="G4680" s="8"/>
      <c r="H4680" s="8"/>
      <c r="I4680" s="8"/>
      <c r="J4680" s="8"/>
      <c r="K4680" s="9"/>
      <c r="L4680" s="9"/>
      <c r="M4680" s="9"/>
      <c r="N4680" s="9"/>
      <c r="O4680" s="9"/>
      <c r="P4680" s="9"/>
      <c r="Q4680" s="9"/>
      <c r="R4680" s="9" t="str">
        <f aca="false">IF(AND(A4680&lt;&gt;"",ISNUMBER(Q4680),ISNUMBER(L4680)),ROUND(Q4680-IF(ISNUMBER(N4680),N4680,0)-IF(ISNUMBER(O4680),O4680,0)+IF(ISNUMBER(P4680),P4680,0),2),"")</f>
        <v/>
      </c>
      <c r="S4680" s="9" t="str">
        <f aca="false">IF(R4680="","",ROUND(L4680-R4680,2))</f>
        <v/>
      </c>
      <c r="T4680" s="8" t="str">
        <f aca="false">IF(A4680="","",IF(S4680="","BYPASS",IF(ABS(S4680)&lt;=Summary!$B$2,"PASS","FAIL")))</f>
        <v/>
      </c>
      <c r="U4680" s="8" t="str">
        <f aca="false">IF(T4680="BYPASS",IF(NOT(ISNUMBER(Q4680)),"PreV_ETB missing","End_tr_balance missing"),IF(T4680="FAIL",IF(AND(ISNUMBER(K4680),ISNUMBER(L4680),ABS(L4680-(K4680-IF(ISNUMBER(N4680),N4680,0)-IF(ISNUMBER(O4680),O4680,0)+IF(ISNUMBER(P4680),P4680,0)))&lt;=Summary!$B$2),"Passes using beginning_balance - PreV_ETB differs from beginning_balance",IF(AND(ISNUMBER(O4680),O4680&lt;0,ABS(L4680-(Q4680-IF(ISNUMBER(N4680),N4680,0)+IF(ISNUMBER(P4680),P4680,0)))&lt;=Summary!$B$2),"Negative realized loss not applied - check sign",IF(R4680&lt;0,"Principal paid exceeds prior balance",IF(AND(L4680&gt;Q4680,NOT(ISNUMBER(P4680))),"Balance increased but no Deferred_interest reported",IF(L4680&gt;R4680,"Reported balance higher than expected (missing increase/OC build)","Reported balance lower than expected (missing decrease)"))))),""))</f>
        <v/>
      </c>
    </row>
    <row r="4681" customFormat="false" ht="15" hidden="false" customHeight="false" outlineLevel="0" collapsed="false">
      <c r="A4681" s="8"/>
      <c r="B4681" s="8"/>
      <c r="C4681" s="8"/>
      <c r="D4681" s="8"/>
      <c r="E4681" s="8"/>
      <c r="F4681" s="8"/>
      <c r="G4681" s="8"/>
      <c r="H4681" s="8"/>
      <c r="I4681" s="8"/>
      <c r="J4681" s="8"/>
      <c r="K4681" s="9"/>
      <c r="L4681" s="9"/>
      <c r="M4681" s="9"/>
      <c r="N4681" s="9"/>
      <c r="O4681" s="9"/>
      <c r="P4681" s="9"/>
      <c r="Q4681" s="9"/>
      <c r="R4681" s="9" t="str">
        <f aca="false">IF(AND(A4681&lt;&gt;"",ISNUMBER(Q4681),ISNUMBER(L4681)),ROUND(Q4681-IF(ISNUMBER(N4681),N4681,0)-IF(ISNUMBER(O4681),O4681,0)+IF(ISNUMBER(P4681),P4681,0),2),"")</f>
        <v/>
      </c>
      <c r="S4681" s="9" t="str">
        <f aca="false">IF(R4681="","",ROUND(L4681-R4681,2))</f>
        <v/>
      </c>
      <c r="T4681" s="8" t="str">
        <f aca="false">IF(A4681="","",IF(S4681="","BYPASS",IF(ABS(S4681)&lt;=Summary!$B$2,"PASS","FAIL")))</f>
        <v/>
      </c>
      <c r="U4681" s="8" t="str">
        <f aca="false">IF(T4681="BYPASS",IF(NOT(ISNUMBER(Q4681)),"PreV_ETB missing","End_tr_balance missing"),IF(T4681="FAIL",IF(AND(ISNUMBER(K4681),ISNUMBER(L4681),ABS(L4681-(K4681-IF(ISNUMBER(N4681),N4681,0)-IF(ISNUMBER(O4681),O4681,0)+IF(ISNUMBER(P4681),P4681,0)))&lt;=Summary!$B$2),"Passes using beginning_balance - PreV_ETB differs from beginning_balance",IF(AND(ISNUMBER(O4681),O4681&lt;0,ABS(L4681-(Q4681-IF(ISNUMBER(N4681),N4681,0)+IF(ISNUMBER(P4681),P4681,0)))&lt;=Summary!$B$2),"Negative realized loss not applied - check sign",IF(R4681&lt;0,"Principal paid exceeds prior balance",IF(AND(L4681&gt;Q4681,NOT(ISNUMBER(P4681))),"Balance increased but no Deferred_interest reported",IF(L4681&gt;R4681,"Reported balance higher than expected (missing increase/OC build)","Reported balance lower than expected (missing decrease)"))))),""))</f>
        <v/>
      </c>
    </row>
    <row r="4682" customFormat="false" ht="15" hidden="false" customHeight="false" outlineLevel="0" collapsed="false">
      <c r="A4682" s="8"/>
      <c r="B4682" s="8"/>
      <c r="C4682" s="8"/>
      <c r="D4682" s="8"/>
      <c r="E4682" s="8"/>
      <c r="F4682" s="8"/>
      <c r="G4682" s="8"/>
      <c r="H4682" s="8"/>
      <c r="I4682" s="8"/>
      <c r="J4682" s="8"/>
      <c r="K4682" s="9"/>
      <c r="L4682" s="9"/>
      <c r="M4682" s="9"/>
      <c r="N4682" s="9"/>
      <c r="O4682" s="9"/>
      <c r="P4682" s="9"/>
      <c r="Q4682" s="9"/>
      <c r="R4682" s="9" t="str">
        <f aca="false">IF(AND(A4682&lt;&gt;"",ISNUMBER(Q4682),ISNUMBER(L4682)),ROUND(Q4682-IF(ISNUMBER(N4682),N4682,0)-IF(ISNUMBER(O4682),O4682,0)+IF(ISNUMBER(P4682),P4682,0),2),"")</f>
        <v/>
      </c>
      <c r="S4682" s="9" t="str">
        <f aca="false">IF(R4682="","",ROUND(L4682-R4682,2))</f>
        <v/>
      </c>
      <c r="T4682" s="8" t="str">
        <f aca="false">IF(A4682="","",IF(S4682="","BYPASS",IF(ABS(S4682)&lt;=Summary!$B$2,"PASS","FAIL")))</f>
        <v/>
      </c>
      <c r="U4682" s="8" t="str">
        <f aca="false">IF(T4682="BYPASS",IF(NOT(ISNUMBER(Q4682)),"PreV_ETB missing","End_tr_balance missing"),IF(T4682="FAIL",IF(AND(ISNUMBER(K4682),ISNUMBER(L4682),ABS(L4682-(K4682-IF(ISNUMBER(N4682),N4682,0)-IF(ISNUMBER(O4682),O4682,0)+IF(ISNUMBER(P4682),P4682,0)))&lt;=Summary!$B$2),"Passes using beginning_balance - PreV_ETB differs from beginning_balance",IF(AND(ISNUMBER(O4682),O4682&lt;0,ABS(L4682-(Q4682-IF(ISNUMBER(N4682),N4682,0)+IF(ISNUMBER(P4682),P4682,0)))&lt;=Summary!$B$2),"Negative realized loss not applied - check sign",IF(R4682&lt;0,"Principal paid exceeds prior balance",IF(AND(L4682&gt;Q4682,NOT(ISNUMBER(P4682))),"Balance increased but no Deferred_interest reported",IF(L4682&gt;R4682,"Reported balance higher than expected (missing increase/OC build)","Reported balance lower than expected (missing decrease)"))))),""))</f>
        <v/>
      </c>
    </row>
    <row r="4683" customFormat="false" ht="15" hidden="false" customHeight="false" outlineLevel="0" collapsed="false">
      <c r="A4683" s="8"/>
      <c r="B4683" s="8"/>
      <c r="C4683" s="8"/>
      <c r="D4683" s="8"/>
      <c r="E4683" s="8"/>
      <c r="F4683" s="8"/>
      <c r="G4683" s="8"/>
      <c r="H4683" s="8"/>
      <c r="I4683" s="8"/>
      <c r="J4683" s="8"/>
      <c r="K4683" s="9"/>
      <c r="L4683" s="9"/>
      <c r="M4683" s="9"/>
      <c r="N4683" s="9"/>
      <c r="O4683" s="9"/>
      <c r="P4683" s="9"/>
      <c r="Q4683" s="9"/>
      <c r="R4683" s="9" t="str">
        <f aca="false">IF(AND(A4683&lt;&gt;"",ISNUMBER(Q4683),ISNUMBER(L4683)),ROUND(Q4683-IF(ISNUMBER(N4683),N4683,0)-IF(ISNUMBER(O4683),O4683,0)+IF(ISNUMBER(P4683),P4683,0),2),"")</f>
        <v/>
      </c>
      <c r="S4683" s="9" t="str">
        <f aca="false">IF(R4683="","",ROUND(L4683-R4683,2))</f>
        <v/>
      </c>
      <c r="T4683" s="8" t="str">
        <f aca="false">IF(A4683="","",IF(S4683="","BYPASS",IF(ABS(S4683)&lt;=Summary!$B$2,"PASS","FAIL")))</f>
        <v/>
      </c>
      <c r="U4683" s="8" t="str">
        <f aca="false">IF(T4683="BYPASS",IF(NOT(ISNUMBER(Q4683)),"PreV_ETB missing","End_tr_balance missing"),IF(T4683="FAIL",IF(AND(ISNUMBER(K4683),ISNUMBER(L4683),ABS(L4683-(K4683-IF(ISNUMBER(N4683),N4683,0)-IF(ISNUMBER(O4683),O4683,0)+IF(ISNUMBER(P4683),P4683,0)))&lt;=Summary!$B$2),"Passes using beginning_balance - PreV_ETB differs from beginning_balance",IF(AND(ISNUMBER(O4683),O4683&lt;0,ABS(L4683-(Q4683-IF(ISNUMBER(N4683),N4683,0)+IF(ISNUMBER(P4683),P4683,0)))&lt;=Summary!$B$2),"Negative realized loss not applied - check sign",IF(R4683&lt;0,"Principal paid exceeds prior balance",IF(AND(L4683&gt;Q4683,NOT(ISNUMBER(P4683))),"Balance increased but no Deferred_interest reported",IF(L4683&gt;R4683,"Reported balance higher than expected (missing increase/OC build)","Reported balance lower than expected (missing decrease)"))))),""))</f>
        <v/>
      </c>
    </row>
    <row r="4684" customFormat="false" ht="15" hidden="false" customHeight="false" outlineLevel="0" collapsed="false">
      <c r="A4684" s="8"/>
      <c r="B4684" s="8"/>
      <c r="C4684" s="8"/>
      <c r="D4684" s="8"/>
      <c r="E4684" s="8"/>
      <c r="F4684" s="8"/>
      <c r="G4684" s="8"/>
      <c r="H4684" s="8"/>
      <c r="I4684" s="8"/>
      <c r="J4684" s="8"/>
      <c r="K4684" s="9"/>
      <c r="L4684" s="9"/>
      <c r="M4684" s="9"/>
      <c r="N4684" s="9"/>
      <c r="O4684" s="9"/>
      <c r="P4684" s="9"/>
      <c r="Q4684" s="9"/>
      <c r="R4684" s="9" t="str">
        <f aca="false">IF(AND(A4684&lt;&gt;"",ISNUMBER(Q4684),ISNUMBER(L4684)),ROUND(Q4684-IF(ISNUMBER(N4684),N4684,0)-IF(ISNUMBER(O4684),O4684,0)+IF(ISNUMBER(P4684),P4684,0),2),"")</f>
        <v/>
      </c>
      <c r="S4684" s="9" t="str">
        <f aca="false">IF(R4684="","",ROUND(L4684-R4684,2))</f>
        <v/>
      </c>
      <c r="T4684" s="8" t="str">
        <f aca="false">IF(A4684="","",IF(S4684="","BYPASS",IF(ABS(S4684)&lt;=Summary!$B$2,"PASS","FAIL")))</f>
        <v/>
      </c>
      <c r="U4684" s="8" t="str">
        <f aca="false">IF(T4684="BYPASS",IF(NOT(ISNUMBER(Q4684)),"PreV_ETB missing","End_tr_balance missing"),IF(T4684="FAIL",IF(AND(ISNUMBER(K4684),ISNUMBER(L4684),ABS(L4684-(K4684-IF(ISNUMBER(N4684),N4684,0)-IF(ISNUMBER(O4684),O4684,0)+IF(ISNUMBER(P4684),P4684,0)))&lt;=Summary!$B$2),"Passes using beginning_balance - PreV_ETB differs from beginning_balance",IF(AND(ISNUMBER(O4684),O4684&lt;0,ABS(L4684-(Q4684-IF(ISNUMBER(N4684),N4684,0)+IF(ISNUMBER(P4684),P4684,0)))&lt;=Summary!$B$2),"Negative realized loss not applied - check sign",IF(R4684&lt;0,"Principal paid exceeds prior balance",IF(AND(L4684&gt;Q4684,NOT(ISNUMBER(P4684))),"Balance increased but no Deferred_interest reported",IF(L4684&gt;R4684,"Reported balance higher than expected (missing increase/OC build)","Reported balance lower than expected (missing decrease)"))))),""))</f>
        <v/>
      </c>
    </row>
    <row r="4685" customFormat="false" ht="15" hidden="false" customHeight="false" outlineLevel="0" collapsed="false">
      <c r="A4685" s="8"/>
      <c r="B4685" s="8"/>
      <c r="C4685" s="8"/>
      <c r="D4685" s="8"/>
      <c r="E4685" s="8"/>
      <c r="F4685" s="8"/>
      <c r="G4685" s="8"/>
      <c r="H4685" s="8"/>
      <c r="I4685" s="8"/>
      <c r="J4685" s="8"/>
      <c r="K4685" s="9"/>
      <c r="L4685" s="9"/>
      <c r="M4685" s="9"/>
      <c r="N4685" s="9"/>
      <c r="O4685" s="9"/>
      <c r="P4685" s="9"/>
      <c r="Q4685" s="9"/>
      <c r="R4685" s="9" t="str">
        <f aca="false">IF(AND(A4685&lt;&gt;"",ISNUMBER(Q4685),ISNUMBER(L4685)),ROUND(Q4685-IF(ISNUMBER(N4685),N4685,0)-IF(ISNUMBER(O4685),O4685,0)+IF(ISNUMBER(P4685),P4685,0),2),"")</f>
        <v/>
      </c>
      <c r="S4685" s="9" t="str">
        <f aca="false">IF(R4685="","",ROUND(L4685-R4685,2))</f>
        <v/>
      </c>
      <c r="T4685" s="8" t="str">
        <f aca="false">IF(A4685="","",IF(S4685="","BYPASS",IF(ABS(S4685)&lt;=Summary!$B$2,"PASS","FAIL")))</f>
        <v/>
      </c>
      <c r="U4685" s="8" t="str">
        <f aca="false">IF(T4685="BYPASS",IF(NOT(ISNUMBER(Q4685)),"PreV_ETB missing","End_tr_balance missing"),IF(T4685="FAIL",IF(AND(ISNUMBER(K4685),ISNUMBER(L4685),ABS(L4685-(K4685-IF(ISNUMBER(N4685),N4685,0)-IF(ISNUMBER(O4685),O4685,0)+IF(ISNUMBER(P4685),P4685,0)))&lt;=Summary!$B$2),"Passes using beginning_balance - PreV_ETB differs from beginning_balance",IF(AND(ISNUMBER(O4685),O4685&lt;0,ABS(L4685-(Q4685-IF(ISNUMBER(N4685),N4685,0)+IF(ISNUMBER(P4685),P4685,0)))&lt;=Summary!$B$2),"Negative realized loss not applied - check sign",IF(R4685&lt;0,"Principal paid exceeds prior balance",IF(AND(L4685&gt;Q4685,NOT(ISNUMBER(P4685))),"Balance increased but no Deferred_interest reported",IF(L4685&gt;R4685,"Reported balance higher than expected (missing increase/OC build)","Reported balance lower than expected (missing decrease)"))))),""))</f>
        <v/>
      </c>
    </row>
    <row r="4686" customFormat="false" ht="15" hidden="false" customHeight="false" outlineLevel="0" collapsed="false">
      <c r="A4686" s="8"/>
      <c r="B4686" s="8"/>
      <c r="C4686" s="8"/>
      <c r="D4686" s="8"/>
      <c r="E4686" s="8"/>
      <c r="F4686" s="8"/>
      <c r="G4686" s="8"/>
      <c r="H4686" s="8"/>
      <c r="I4686" s="8"/>
      <c r="J4686" s="8"/>
      <c r="K4686" s="9"/>
      <c r="L4686" s="9"/>
      <c r="M4686" s="9"/>
      <c r="N4686" s="9"/>
      <c r="O4686" s="9"/>
      <c r="P4686" s="9"/>
      <c r="Q4686" s="9"/>
      <c r="R4686" s="9" t="str">
        <f aca="false">IF(AND(A4686&lt;&gt;"",ISNUMBER(Q4686),ISNUMBER(L4686)),ROUND(Q4686-IF(ISNUMBER(N4686),N4686,0)-IF(ISNUMBER(O4686),O4686,0)+IF(ISNUMBER(P4686),P4686,0),2),"")</f>
        <v/>
      </c>
      <c r="S4686" s="9" t="str">
        <f aca="false">IF(R4686="","",ROUND(L4686-R4686,2))</f>
        <v/>
      </c>
      <c r="T4686" s="8" t="str">
        <f aca="false">IF(A4686="","",IF(S4686="","BYPASS",IF(ABS(S4686)&lt;=Summary!$B$2,"PASS","FAIL")))</f>
        <v/>
      </c>
      <c r="U4686" s="8" t="str">
        <f aca="false">IF(T4686="BYPASS",IF(NOT(ISNUMBER(Q4686)),"PreV_ETB missing","End_tr_balance missing"),IF(T4686="FAIL",IF(AND(ISNUMBER(K4686),ISNUMBER(L4686),ABS(L4686-(K4686-IF(ISNUMBER(N4686),N4686,0)-IF(ISNUMBER(O4686),O4686,0)+IF(ISNUMBER(P4686),P4686,0)))&lt;=Summary!$B$2),"Passes using beginning_balance - PreV_ETB differs from beginning_balance",IF(AND(ISNUMBER(O4686),O4686&lt;0,ABS(L4686-(Q4686-IF(ISNUMBER(N4686),N4686,0)+IF(ISNUMBER(P4686),P4686,0)))&lt;=Summary!$B$2),"Negative realized loss not applied - check sign",IF(R4686&lt;0,"Principal paid exceeds prior balance",IF(AND(L4686&gt;Q4686,NOT(ISNUMBER(P4686))),"Balance increased but no Deferred_interest reported",IF(L4686&gt;R4686,"Reported balance higher than expected (missing increase/OC build)","Reported balance lower than expected (missing decrease)"))))),""))</f>
        <v/>
      </c>
    </row>
    <row r="4687" customFormat="false" ht="15" hidden="false" customHeight="false" outlineLevel="0" collapsed="false">
      <c r="A4687" s="8"/>
      <c r="B4687" s="8"/>
      <c r="C4687" s="8"/>
      <c r="D4687" s="8"/>
      <c r="E4687" s="8"/>
      <c r="F4687" s="8"/>
      <c r="G4687" s="8"/>
      <c r="H4687" s="8"/>
      <c r="I4687" s="8"/>
      <c r="J4687" s="8"/>
      <c r="K4687" s="9"/>
      <c r="L4687" s="9"/>
      <c r="M4687" s="9"/>
      <c r="N4687" s="9"/>
      <c r="O4687" s="9"/>
      <c r="P4687" s="9"/>
      <c r="Q4687" s="9"/>
      <c r="R4687" s="9" t="str">
        <f aca="false">IF(AND(A4687&lt;&gt;"",ISNUMBER(Q4687),ISNUMBER(L4687)),ROUND(Q4687-IF(ISNUMBER(N4687),N4687,0)-IF(ISNUMBER(O4687),O4687,0)+IF(ISNUMBER(P4687),P4687,0),2),"")</f>
        <v/>
      </c>
      <c r="S4687" s="9" t="str">
        <f aca="false">IF(R4687="","",ROUND(L4687-R4687,2))</f>
        <v/>
      </c>
      <c r="T4687" s="8" t="str">
        <f aca="false">IF(A4687="","",IF(S4687="","BYPASS",IF(ABS(S4687)&lt;=Summary!$B$2,"PASS","FAIL")))</f>
        <v/>
      </c>
      <c r="U4687" s="8" t="str">
        <f aca="false">IF(T4687="BYPASS",IF(NOT(ISNUMBER(Q4687)),"PreV_ETB missing","End_tr_balance missing"),IF(T4687="FAIL",IF(AND(ISNUMBER(K4687),ISNUMBER(L4687),ABS(L4687-(K4687-IF(ISNUMBER(N4687),N4687,0)-IF(ISNUMBER(O4687),O4687,0)+IF(ISNUMBER(P4687),P4687,0)))&lt;=Summary!$B$2),"Passes using beginning_balance - PreV_ETB differs from beginning_balance",IF(AND(ISNUMBER(O4687),O4687&lt;0,ABS(L4687-(Q4687-IF(ISNUMBER(N4687),N4687,0)+IF(ISNUMBER(P4687),P4687,0)))&lt;=Summary!$B$2),"Negative realized loss not applied - check sign",IF(R4687&lt;0,"Principal paid exceeds prior balance",IF(AND(L4687&gt;Q4687,NOT(ISNUMBER(P4687))),"Balance increased but no Deferred_interest reported",IF(L4687&gt;R4687,"Reported balance higher than expected (missing increase/OC build)","Reported balance lower than expected (missing decrease)"))))),""))</f>
        <v/>
      </c>
    </row>
    <row r="4688" customFormat="false" ht="15" hidden="false" customHeight="false" outlineLevel="0" collapsed="false">
      <c r="A4688" s="8"/>
      <c r="B4688" s="8"/>
      <c r="C4688" s="8"/>
      <c r="D4688" s="8"/>
      <c r="E4688" s="8"/>
      <c r="F4688" s="8"/>
      <c r="G4688" s="8"/>
      <c r="H4688" s="8"/>
      <c r="I4688" s="8"/>
      <c r="J4688" s="8"/>
      <c r="K4688" s="9"/>
      <c r="L4688" s="9"/>
      <c r="M4688" s="9"/>
      <c r="N4688" s="9"/>
      <c r="O4688" s="9"/>
      <c r="P4688" s="9"/>
      <c r="Q4688" s="9"/>
      <c r="R4688" s="9" t="str">
        <f aca="false">IF(AND(A4688&lt;&gt;"",ISNUMBER(Q4688),ISNUMBER(L4688)),ROUND(Q4688-IF(ISNUMBER(N4688),N4688,0)-IF(ISNUMBER(O4688),O4688,0)+IF(ISNUMBER(P4688),P4688,0),2),"")</f>
        <v/>
      </c>
      <c r="S4688" s="9" t="str">
        <f aca="false">IF(R4688="","",ROUND(L4688-R4688,2))</f>
        <v/>
      </c>
      <c r="T4688" s="8" t="str">
        <f aca="false">IF(A4688="","",IF(S4688="","BYPASS",IF(ABS(S4688)&lt;=Summary!$B$2,"PASS","FAIL")))</f>
        <v/>
      </c>
      <c r="U4688" s="8" t="str">
        <f aca="false">IF(T4688="BYPASS",IF(NOT(ISNUMBER(Q4688)),"PreV_ETB missing","End_tr_balance missing"),IF(T4688="FAIL",IF(AND(ISNUMBER(K4688),ISNUMBER(L4688),ABS(L4688-(K4688-IF(ISNUMBER(N4688),N4688,0)-IF(ISNUMBER(O4688),O4688,0)+IF(ISNUMBER(P4688),P4688,0)))&lt;=Summary!$B$2),"Passes using beginning_balance - PreV_ETB differs from beginning_balance",IF(AND(ISNUMBER(O4688),O4688&lt;0,ABS(L4688-(Q4688-IF(ISNUMBER(N4688),N4688,0)+IF(ISNUMBER(P4688),P4688,0)))&lt;=Summary!$B$2),"Negative realized loss not applied - check sign",IF(R4688&lt;0,"Principal paid exceeds prior balance",IF(AND(L4688&gt;Q4688,NOT(ISNUMBER(P4688))),"Balance increased but no Deferred_interest reported",IF(L4688&gt;R4688,"Reported balance higher than expected (missing increase/OC build)","Reported balance lower than expected (missing decrease)"))))),""))</f>
        <v/>
      </c>
    </row>
    <row r="4689" customFormat="false" ht="15" hidden="false" customHeight="false" outlineLevel="0" collapsed="false">
      <c r="A4689" s="8"/>
      <c r="B4689" s="8"/>
      <c r="C4689" s="8"/>
      <c r="D4689" s="8"/>
      <c r="E4689" s="8"/>
      <c r="F4689" s="8"/>
      <c r="G4689" s="8"/>
      <c r="H4689" s="8"/>
      <c r="I4689" s="8"/>
      <c r="J4689" s="8"/>
      <c r="K4689" s="9"/>
      <c r="L4689" s="9"/>
      <c r="M4689" s="9"/>
      <c r="N4689" s="9"/>
      <c r="O4689" s="9"/>
      <c r="P4689" s="9"/>
      <c r="Q4689" s="9"/>
      <c r="R4689" s="9" t="str">
        <f aca="false">IF(AND(A4689&lt;&gt;"",ISNUMBER(Q4689),ISNUMBER(L4689)),ROUND(Q4689-IF(ISNUMBER(N4689),N4689,0)-IF(ISNUMBER(O4689),O4689,0)+IF(ISNUMBER(P4689),P4689,0),2),"")</f>
        <v/>
      </c>
      <c r="S4689" s="9" t="str">
        <f aca="false">IF(R4689="","",ROUND(L4689-R4689,2))</f>
        <v/>
      </c>
      <c r="T4689" s="8" t="str">
        <f aca="false">IF(A4689="","",IF(S4689="","BYPASS",IF(ABS(S4689)&lt;=Summary!$B$2,"PASS","FAIL")))</f>
        <v/>
      </c>
      <c r="U4689" s="8" t="str">
        <f aca="false">IF(T4689="BYPASS",IF(NOT(ISNUMBER(Q4689)),"PreV_ETB missing","End_tr_balance missing"),IF(T4689="FAIL",IF(AND(ISNUMBER(K4689),ISNUMBER(L4689),ABS(L4689-(K4689-IF(ISNUMBER(N4689),N4689,0)-IF(ISNUMBER(O4689),O4689,0)+IF(ISNUMBER(P4689),P4689,0)))&lt;=Summary!$B$2),"Passes using beginning_balance - PreV_ETB differs from beginning_balance",IF(AND(ISNUMBER(O4689),O4689&lt;0,ABS(L4689-(Q4689-IF(ISNUMBER(N4689),N4689,0)+IF(ISNUMBER(P4689),P4689,0)))&lt;=Summary!$B$2),"Negative realized loss not applied - check sign",IF(R4689&lt;0,"Principal paid exceeds prior balance",IF(AND(L4689&gt;Q4689,NOT(ISNUMBER(P4689))),"Balance increased but no Deferred_interest reported",IF(L4689&gt;R4689,"Reported balance higher than expected (missing increase/OC build)","Reported balance lower than expected (missing decrease)"))))),""))</f>
        <v/>
      </c>
    </row>
    <row r="4690" customFormat="false" ht="15" hidden="false" customHeight="false" outlineLevel="0" collapsed="false">
      <c r="A4690" s="8"/>
      <c r="B4690" s="8"/>
      <c r="C4690" s="8"/>
      <c r="D4690" s="8"/>
      <c r="E4690" s="8"/>
      <c r="F4690" s="8"/>
      <c r="G4690" s="8"/>
      <c r="H4690" s="8"/>
      <c r="I4690" s="8"/>
      <c r="J4690" s="8"/>
      <c r="K4690" s="9"/>
      <c r="L4690" s="9"/>
      <c r="M4690" s="9"/>
      <c r="N4690" s="9"/>
      <c r="O4690" s="9"/>
      <c r="P4690" s="9"/>
      <c r="Q4690" s="9"/>
      <c r="R4690" s="9" t="str">
        <f aca="false">IF(AND(A4690&lt;&gt;"",ISNUMBER(Q4690),ISNUMBER(L4690)),ROUND(Q4690-IF(ISNUMBER(N4690),N4690,0)-IF(ISNUMBER(O4690),O4690,0)+IF(ISNUMBER(P4690),P4690,0),2),"")</f>
        <v/>
      </c>
      <c r="S4690" s="9" t="str">
        <f aca="false">IF(R4690="","",ROUND(L4690-R4690,2))</f>
        <v/>
      </c>
      <c r="T4690" s="8" t="str">
        <f aca="false">IF(A4690="","",IF(S4690="","BYPASS",IF(ABS(S4690)&lt;=Summary!$B$2,"PASS","FAIL")))</f>
        <v/>
      </c>
      <c r="U4690" s="8" t="str">
        <f aca="false">IF(T4690="BYPASS",IF(NOT(ISNUMBER(Q4690)),"PreV_ETB missing","End_tr_balance missing"),IF(T4690="FAIL",IF(AND(ISNUMBER(K4690),ISNUMBER(L4690),ABS(L4690-(K4690-IF(ISNUMBER(N4690),N4690,0)-IF(ISNUMBER(O4690),O4690,0)+IF(ISNUMBER(P4690),P4690,0)))&lt;=Summary!$B$2),"Passes using beginning_balance - PreV_ETB differs from beginning_balance",IF(AND(ISNUMBER(O4690),O4690&lt;0,ABS(L4690-(Q4690-IF(ISNUMBER(N4690),N4690,0)+IF(ISNUMBER(P4690),P4690,0)))&lt;=Summary!$B$2),"Negative realized loss not applied - check sign",IF(R4690&lt;0,"Principal paid exceeds prior balance",IF(AND(L4690&gt;Q4690,NOT(ISNUMBER(P4690))),"Balance increased but no Deferred_interest reported",IF(L4690&gt;R4690,"Reported balance higher than expected (missing increase/OC build)","Reported balance lower than expected (missing decrease)"))))),""))</f>
        <v/>
      </c>
    </row>
    <row r="4691" customFormat="false" ht="15" hidden="false" customHeight="false" outlineLevel="0" collapsed="false">
      <c r="A4691" s="8"/>
      <c r="B4691" s="8"/>
      <c r="C4691" s="8"/>
      <c r="D4691" s="8"/>
      <c r="E4691" s="8"/>
      <c r="F4691" s="8"/>
      <c r="G4691" s="8"/>
      <c r="H4691" s="8"/>
      <c r="I4691" s="8"/>
      <c r="J4691" s="8"/>
      <c r="K4691" s="9"/>
      <c r="L4691" s="9"/>
      <c r="M4691" s="9"/>
      <c r="N4691" s="9"/>
      <c r="O4691" s="9"/>
      <c r="P4691" s="9"/>
      <c r="Q4691" s="9"/>
      <c r="R4691" s="9" t="str">
        <f aca="false">IF(AND(A4691&lt;&gt;"",ISNUMBER(Q4691),ISNUMBER(L4691)),ROUND(Q4691-IF(ISNUMBER(N4691),N4691,0)-IF(ISNUMBER(O4691),O4691,0)+IF(ISNUMBER(P4691),P4691,0),2),"")</f>
        <v/>
      </c>
      <c r="S4691" s="9" t="str">
        <f aca="false">IF(R4691="","",ROUND(L4691-R4691,2))</f>
        <v/>
      </c>
      <c r="T4691" s="8" t="str">
        <f aca="false">IF(A4691="","",IF(S4691="","BYPASS",IF(ABS(S4691)&lt;=Summary!$B$2,"PASS","FAIL")))</f>
        <v/>
      </c>
      <c r="U4691" s="8" t="str">
        <f aca="false">IF(T4691="BYPASS",IF(NOT(ISNUMBER(Q4691)),"PreV_ETB missing","End_tr_balance missing"),IF(T4691="FAIL",IF(AND(ISNUMBER(K4691),ISNUMBER(L4691),ABS(L4691-(K4691-IF(ISNUMBER(N4691),N4691,0)-IF(ISNUMBER(O4691),O4691,0)+IF(ISNUMBER(P4691),P4691,0)))&lt;=Summary!$B$2),"Passes using beginning_balance - PreV_ETB differs from beginning_balance",IF(AND(ISNUMBER(O4691),O4691&lt;0,ABS(L4691-(Q4691-IF(ISNUMBER(N4691),N4691,0)+IF(ISNUMBER(P4691),P4691,0)))&lt;=Summary!$B$2),"Negative realized loss not applied - check sign",IF(R4691&lt;0,"Principal paid exceeds prior balance",IF(AND(L4691&gt;Q4691,NOT(ISNUMBER(P4691))),"Balance increased but no Deferred_interest reported",IF(L4691&gt;R4691,"Reported balance higher than expected (missing increase/OC build)","Reported balance lower than expected (missing decrease)"))))),""))</f>
        <v/>
      </c>
    </row>
    <row r="4692" customFormat="false" ht="15" hidden="false" customHeight="false" outlineLevel="0" collapsed="false">
      <c r="A4692" s="8"/>
      <c r="B4692" s="8"/>
      <c r="C4692" s="8"/>
      <c r="D4692" s="8"/>
      <c r="E4692" s="8"/>
      <c r="F4692" s="8"/>
      <c r="G4692" s="8"/>
      <c r="H4692" s="8"/>
      <c r="I4692" s="8"/>
      <c r="J4692" s="8"/>
      <c r="K4692" s="9"/>
      <c r="L4692" s="9"/>
      <c r="M4692" s="9"/>
      <c r="N4692" s="9"/>
      <c r="O4692" s="9"/>
      <c r="P4692" s="9"/>
      <c r="Q4692" s="9"/>
      <c r="R4692" s="9" t="str">
        <f aca="false">IF(AND(A4692&lt;&gt;"",ISNUMBER(Q4692),ISNUMBER(L4692)),ROUND(Q4692-IF(ISNUMBER(N4692),N4692,0)-IF(ISNUMBER(O4692),O4692,0)+IF(ISNUMBER(P4692),P4692,0),2),"")</f>
        <v/>
      </c>
      <c r="S4692" s="9" t="str">
        <f aca="false">IF(R4692="","",ROUND(L4692-R4692,2))</f>
        <v/>
      </c>
      <c r="T4692" s="8" t="str">
        <f aca="false">IF(A4692="","",IF(S4692="","BYPASS",IF(ABS(S4692)&lt;=Summary!$B$2,"PASS","FAIL")))</f>
        <v/>
      </c>
      <c r="U4692" s="8" t="str">
        <f aca="false">IF(T4692="BYPASS",IF(NOT(ISNUMBER(Q4692)),"PreV_ETB missing","End_tr_balance missing"),IF(T4692="FAIL",IF(AND(ISNUMBER(K4692),ISNUMBER(L4692),ABS(L4692-(K4692-IF(ISNUMBER(N4692),N4692,0)-IF(ISNUMBER(O4692),O4692,0)+IF(ISNUMBER(P4692),P4692,0)))&lt;=Summary!$B$2),"Passes using beginning_balance - PreV_ETB differs from beginning_balance",IF(AND(ISNUMBER(O4692),O4692&lt;0,ABS(L4692-(Q4692-IF(ISNUMBER(N4692),N4692,0)+IF(ISNUMBER(P4692),P4692,0)))&lt;=Summary!$B$2),"Negative realized loss not applied - check sign",IF(R4692&lt;0,"Principal paid exceeds prior balance",IF(AND(L4692&gt;Q4692,NOT(ISNUMBER(P4692))),"Balance increased but no Deferred_interest reported",IF(L4692&gt;R4692,"Reported balance higher than expected (missing increase/OC build)","Reported balance lower than expected (missing decrease)"))))),""))</f>
        <v/>
      </c>
    </row>
    <row r="4693" customFormat="false" ht="15" hidden="false" customHeight="false" outlineLevel="0" collapsed="false">
      <c r="A4693" s="8"/>
      <c r="B4693" s="8"/>
      <c r="C4693" s="8"/>
      <c r="D4693" s="8"/>
      <c r="E4693" s="8"/>
      <c r="F4693" s="8"/>
      <c r="G4693" s="8"/>
      <c r="H4693" s="8"/>
      <c r="I4693" s="8"/>
      <c r="J4693" s="8"/>
      <c r="K4693" s="9"/>
      <c r="L4693" s="9"/>
      <c r="M4693" s="9"/>
      <c r="N4693" s="9"/>
      <c r="O4693" s="9"/>
      <c r="P4693" s="9"/>
      <c r="Q4693" s="9"/>
      <c r="R4693" s="9" t="str">
        <f aca="false">IF(AND(A4693&lt;&gt;"",ISNUMBER(Q4693),ISNUMBER(L4693)),ROUND(Q4693-IF(ISNUMBER(N4693),N4693,0)-IF(ISNUMBER(O4693),O4693,0)+IF(ISNUMBER(P4693),P4693,0),2),"")</f>
        <v/>
      </c>
      <c r="S4693" s="9" t="str">
        <f aca="false">IF(R4693="","",ROUND(L4693-R4693,2))</f>
        <v/>
      </c>
      <c r="T4693" s="8" t="str">
        <f aca="false">IF(A4693="","",IF(S4693="","BYPASS",IF(ABS(S4693)&lt;=Summary!$B$2,"PASS","FAIL")))</f>
        <v/>
      </c>
      <c r="U4693" s="8" t="str">
        <f aca="false">IF(T4693="BYPASS",IF(NOT(ISNUMBER(Q4693)),"PreV_ETB missing","End_tr_balance missing"),IF(T4693="FAIL",IF(AND(ISNUMBER(K4693),ISNUMBER(L4693),ABS(L4693-(K4693-IF(ISNUMBER(N4693),N4693,0)-IF(ISNUMBER(O4693),O4693,0)+IF(ISNUMBER(P4693),P4693,0)))&lt;=Summary!$B$2),"Passes using beginning_balance - PreV_ETB differs from beginning_balance",IF(AND(ISNUMBER(O4693),O4693&lt;0,ABS(L4693-(Q4693-IF(ISNUMBER(N4693),N4693,0)+IF(ISNUMBER(P4693),P4693,0)))&lt;=Summary!$B$2),"Negative realized loss not applied - check sign",IF(R4693&lt;0,"Principal paid exceeds prior balance",IF(AND(L4693&gt;Q4693,NOT(ISNUMBER(P4693))),"Balance increased but no Deferred_interest reported",IF(L4693&gt;R4693,"Reported balance higher than expected (missing increase/OC build)","Reported balance lower than expected (missing decrease)"))))),""))</f>
        <v/>
      </c>
    </row>
    <row r="4694" customFormat="false" ht="15" hidden="false" customHeight="false" outlineLevel="0" collapsed="false">
      <c r="A4694" s="8"/>
      <c r="B4694" s="8"/>
      <c r="C4694" s="8"/>
      <c r="D4694" s="8"/>
      <c r="E4694" s="8"/>
      <c r="F4694" s="8"/>
      <c r="G4694" s="8"/>
      <c r="H4694" s="8"/>
      <c r="I4694" s="8"/>
      <c r="J4694" s="8"/>
      <c r="K4694" s="9"/>
      <c r="L4694" s="9"/>
      <c r="M4694" s="9"/>
      <c r="N4694" s="9"/>
      <c r="O4694" s="9"/>
      <c r="P4694" s="9"/>
      <c r="Q4694" s="9"/>
      <c r="R4694" s="9" t="str">
        <f aca="false">IF(AND(A4694&lt;&gt;"",ISNUMBER(Q4694),ISNUMBER(L4694)),ROUND(Q4694-IF(ISNUMBER(N4694),N4694,0)-IF(ISNUMBER(O4694),O4694,0)+IF(ISNUMBER(P4694),P4694,0),2),"")</f>
        <v/>
      </c>
      <c r="S4694" s="9" t="str">
        <f aca="false">IF(R4694="","",ROUND(L4694-R4694,2))</f>
        <v/>
      </c>
      <c r="T4694" s="8" t="str">
        <f aca="false">IF(A4694="","",IF(S4694="","BYPASS",IF(ABS(S4694)&lt;=Summary!$B$2,"PASS","FAIL")))</f>
        <v/>
      </c>
      <c r="U4694" s="8" t="str">
        <f aca="false">IF(T4694="BYPASS",IF(NOT(ISNUMBER(Q4694)),"PreV_ETB missing","End_tr_balance missing"),IF(T4694="FAIL",IF(AND(ISNUMBER(K4694),ISNUMBER(L4694),ABS(L4694-(K4694-IF(ISNUMBER(N4694),N4694,0)-IF(ISNUMBER(O4694),O4694,0)+IF(ISNUMBER(P4694),P4694,0)))&lt;=Summary!$B$2),"Passes using beginning_balance - PreV_ETB differs from beginning_balance",IF(AND(ISNUMBER(O4694),O4694&lt;0,ABS(L4694-(Q4694-IF(ISNUMBER(N4694),N4694,0)+IF(ISNUMBER(P4694),P4694,0)))&lt;=Summary!$B$2),"Negative realized loss not applied - check sign",IF(R4694&lt;0,"Principal paid exceeds prior balance",IF(AND(L4694&gt;Q4694,NOT(ISNUMBER(P4694))),"Balance increased but no Deferred_interest reported",IF(L4694&gt;R4694,"Reported balance higher than expected (missing increase/OC build)","Reported balance lower than expected (missing decrease)"))))),""))</f>
        <v/>
      </c>
    </row>
    <row r="4695" customFormat="false" ht="15" hidden="false" customHeight="false" outlineLevel="0" collapsed="false">
      <c r="A4695" s="8"/>
      <c r="B4695" s="8"/>
      <c r="C4695" s="8"/>
      <c r="D4695" s="8"/>
      <c r="E4695" s="8"/>
      <c r="F4695" s="8"/>
      <c r="G4695" s="8"/>
      <c r="H4695" s="8"/>
      <c r="I4695" s="8"/>
      <c r="J4695" s="8"/>
      <c r="K4695" s="9"/>
      <c r="L4695" s="9"/>
      <c r="M4695" s="9"/>
      <c r="N4695" s="9"/>
      <c r="O4695" s="9"/>
      <c r="P4695" s="9"/>
      <c r="Q4695" s="9"/>
      <c r="R4695" s="9" t="str">
        <f aca="false">IF(AND(A4695&lt;&gt;"",ISNUMBER(Q4695),ISNUMBER(L4695)),ROUND(Q4695-IF(ISNUMBER(N4695),N4695,0)-IF(ISNUMBER(O4695),O4695,0)+IF(ISNUMBER(P4695),P4695,0),2),"")</f>
        <v/>
      </c>
      <c r="S4695" s="9" t="str">
        <f aca="false">IF(R4695="","",ROUND(L4695-R4695,2))</f>
        <v/>
      </c>
      <c r="T4695" s="8" t="str">
        <f aca="false">IF(A4695="","",IF(S4695="","BYPASS",IF(ABS(S4695)&lt;=Summary!$B$2,"PASS","FAIL")))</f>
        <v/>
      </c>
      <c r="U4695" s="8" t="str">
        <f aca="false">IF(T4695="BYPASS",IF(NOT(ISNUMBER(Q4695)),"PreV_ETB missing","End_tr_balance missing"),IF(T4695="FAIL",IF(AND(ISNUMBER(K4695),ISNUMBER(L4695),ABS(L4695-(K4695-IF(ISNUMBER(N4695),N4695,0)-IF(ISNUMBER(O4695),O4695,0)+IF(ISNUMBER(P4695),P4695,0)))&lt;=Summary!$B$2),"Passes using beginning_balance - PreV_ETB differs from beginning_balance",IF(AND(ISNUMBER(O4695),O4695&lt;0,ABS(L4695-(Q4695-IF(ISNUMBER(N4695),N4695,0)+IF(ISNUMBER(P4695),P4695,0)))&lt;=Summary!$B$2),"Negative realized loss not applied - check sign",IF(R4695&lt;0,"Principal paid exceeds prior balance",IF(AND(L4695&gt;Q4695,NOT(ISNUMBER(P4695))),"Balance increased but no Deferred_interest reported",IF(L4695&gt;R4695,"Reported balance higher than expected (missing increase/OC build)","Reported balance lower than expected (missing decrease)"))))),""))</f>
        <v/>
      </c>
    </row>
    <row r="4696" customFormat="false" ht="15" hidden="false" customHeight="false" outlineLevel="0" collapsed="false">
      <c r="A4696" s="8"/>
      <c r="B4696" s="8"/>
      <c r="C4696" s="8"/>
      <c r="D4696" s="8"/>
      <c r="E4696" s="8"/>
      <c r="F4696" s="8"/>
      <c r="G4696" s="8"/>
      <c r="H4696" s="8"/>
      <c r="I4696" s="8"/>
      <c r="J4696" s="8"/>
      <c r="K4696" s="9"/>
      <c r="L4696" s="9"/>
      <c r="M4696" s="9"/>
      <c r="N4696" s="9"/>
      <c r="O4696" s="9"/>
      <c r="P4696" s="9"/>
      <c r="Q4696" s="9"/>
      <c r="R4696" s="9" t="str">
        <f aca="false">IF(AND(A4696&lt;&gt;"",ISNUMBER(Q4696),ISNUMBER(L4696)),ROUND(Q4696-IF(ISNUMBER(N4696),N4696,0)-IF(ISNUMBER(O4696),O4696,0)+IF(ISNUMBER(P4696),P4696,0),2),"")</f>
        <v/>
      </c>
      <c r="S4696" s="9" t="str">
        <f aca="false">IF(R4696="","",ROUND(L4696-R4696,2))</f>
        <v/>
      </c>
      <c r="T4696" s="8" t="str">
        <f aca="false">IF(A4696="","",IF(S4696="","BYPASS",IF(ABS(S4696)&lt;=Summary!$B$2,"PASS","FAIL")))</f>
        <v/>
      </c>
      <c r="U4696" s="8" t="str">
        <f aca="false">IF(T4696="BYPASS",IF(NOT(ISNUMBER(Q4696)),"PreV_ETB missing","End_tr_balance missing"),IF(T4696="FAIL",IF(AND(ISNUMBER(K4696),ISNUMBER(L4696),ABS(L4696-(K4696-IF(ISNUMBER(N4696),N4696,0)-IF(ISNUMBER(O4696),O4696,0)+IF(ISNUMBER(P4696),P4696,0)))&lt;=Summary!$B$2),"Passes using beginning_balance - PreV_ETB differs from beginning_balance",IF(AND(ISNUMBER(O4696),O4696&lt;0,ABS(L4696-(Q4696-IF(ISNUMBER(N4696),N4696,0)+IF(ISNUMBER(P4696),P4696,0)))&lt;=Summary!$B$2),"Negative realized loss not applied - check sign",IF(R4696&lt;0,"Principal paid exceeds prior balance",IF(AND(L4696&gt;Q4696,NOT(ISNUMBER(P4696))),"Balance increased but no Deferred_interest reported",IF(L4696&gt;R4696,"Reported balance higher than expected (missing increase/OC build)","Reported balance lower than expected (missing decrease)"))))),""))</f>
        <v/>
      </c>
    </row>
    <row r="4697" customFormat="false" ht="15" hidden="false" customHeight="false" outlineLevel="0" collapsed="false">
      <c r="A4697" s="8"/>
      <c r="B4697" s="8"/>
      <c r="C4697" s="8"/>
      <c r="D4697" s="8"/>
      <c r="E4697" s="8"/>
      <c r="F4697" s="8"/>
      <c r="G4697" s="8"/>
      <c r="H4697" s="8"/>
      <c r="I4697" s="8"/>
      <c r="J4697" s="8"/>
      <c r="K4697" s="9"/>
      <c r="L4697" s="9"/>
      <c r="M4697" s="9"/>
      <c r="N4697" s="9"/>
      <c r="O4697" s="9"/>
      <c r="P4697" s="9"/>
      <c r="Q4697" s="9"/>
      <c r="R4697" s="9" t="str">
        <f aca="false">IF(AND(A4697&lt;&gt;"",ISNUMBER(Q4697),ISNUMBER(L4697)),ROUND(Q4697-IF(ISNUMBER(N4697),N4697,0)-IF(ISNUMBER(O4697),O4697,0)+IF(ISNUMBER(P4697),P4697,0),2),"")</f>
        <v/>
      </c>
      <c r="S4697" s="9" t="str">
        <f aca="false">IF(R4697="","",ROUND(L4697-R4697,2))</f>
        <v/>
      </c>
      <c r="T4697" s="8" t="str">
        <f aca="false">IF(A4697="","",IF(S4697="","BYPASS",IF(ABS(S4697)&lt;=Summary!$B$2,"PASS","FAIL")))</f>
        <v/>
      </c>
      <c r="U4697" s="8" t="str">
        <f aca="false">IF(T4697="BYPASS",IF(NOT(ISNUMBER(Q4697)),"PreV_ETB missing","End_tr_balance missing"),IF(T4697="FAIL",IF(AND(ISNUMBER(K4697),ISNUMBER(L4697),ABS(L4697-(K4697-IF(ISNUMBER(N4697),N4697,0)-IF(ISNUMBER(O4697),O4697,0)+IF(ISNUMBER(P4697),P4697,0)))&lt;=Summary!$B$2),"Passes using beginning_balance - PreV_ETB differs from beginning_balance",IF(AND(ISNUMBER(O4697),O4697&lt;0,ABS(L4697-(Q4697-IF(ISNUMBER(N4697),N4697,0)+IF(ISNUMBER(P4697),P4697,0)))&lt;=Summary!$B$2),"Negative realized loss not applied - check sign",IF(R4697&lt;0,"Principal paid exceeds prior balance",IF(AND(L4697&gt;Q4697,NOT(ISNUMBER(P4697))),"Balance increased but no Deferred_interest reported",IF(L4697&gt;R4697,"Reported balance higher than expected (missing increase/OC build)","Reported balance lower than expected (missing decrease)"))))),""))</f>
        <v/>
      </c>
    </row>
    <row r="4698" customFormat="false" ht="15" hidden="false" customHeight="false" outlineLevel="0" collapsed="false">
      <c r="A4698" s="8"/>
      <c r="B4698" s="8"/>
      <c r="C4698" s="8"/>
      <c r="D4698" s="8"/>
      <c r="E4698" s="8"/>
      <c r="F4698" s="8"/>
      <c r="G4698" s="8"/>
      <c r="H4698" s="8"/>
      <c r="I4698" s="8"/>
      <c r="J4698" s="8"/>
      <c r="K4698" s="9"/>
      <c r="L4698" s="9"/>
      <c r="M4698" s="9"/>
      <c r="N4698" s="9"/>
      <c r="O4698" s="9"/>
      <c r="P4698" s="9"/>
      <c r="Q4698" s="9"/>
      <c r="R4698" s="9" t="str">
        <f aca="false">IF(AND(A4698&lt;&gt;"",ISNUMBER(Q4698),ISNUMBER(L4698)),ROUND(Q4698-IF(ISNUMBER(N4698),N4698,0)-IF(ISNUMBER(O4698),O4698,0)+IF(ISNUMBER(P4698),P4698,0),2),"")</f>
        <v/>
      </c>
      <c r="S4698" s="9" t="str">
        <f aca="false">IF(R4698="","",ROUND(L4698-R4698,2))</f>
        <v/>
      </c>
      <c r="T4698" s="8" t="str">
        <f aca="false">IF(A4698="","",IF(S4698="","BYPASS",IF(ABS(S4698)&lt;=Summary!$B$2,"PASS","FAIL")))</f>
        <v/>
      </c>
      <c r="U4698" s="8" t="str">
        <f aca="false">IF(T4698="BYPASS",IF(NOT(ISNUMBER(Q4698)),"PreV_ETB missing","End_tr_balance missing"),IF(T4698="FAIL",IF(AND(ISNUMBER(K4698),ISNUMBER(L4698),ABS(L4698-(K4698-IF(ISNUMBER(N4698),N4698,0)-IF(ISNUMBER(O4698),O4698,0)+IF(ISNUMBER(P4698),P4698,0)))&lt;=Summary!$B$2),"Passes using beginning_balance - PreV_ETB differs from beginning_balance",IF(AND(ISNUMBER(O4698),O4698&lt;0,ABS(L4698-(Q4698-IF(ISNUMBER(N4698),N4698,0)+IF(ISNUMBER(P4698),P4698,0)))&lt;=Summary!$B$2),"Negative realized loss not applied - check sign",IF(R4698&lt;0,"Principal paid exceeds prior balance",IF(AND(L4698&gt;Q4698,NOT(ISNUMBER(P4698))),"Balance increased but no Deferred_interest reported",IF(L4698&gt;R4698,"Reported balance higher than expected (missing increase/OC build)","Reported balance lower than expected (missing decrease)"))))),""))</f>
        <v/>
      </c>
    </row>
    <row r="4699" customFormat="false" ht="15" hidden="false" customHeight="false" outlineLevel="0" collapsed="false">
      <c r="A4699" s="8"/>
      <c r="B4699" s="8"/>
      <c r="C4699" s="8"/>
      <c r="D4699" s="8"/>
      <c r="E4699" s="8"/>
      <c r="F4699" s="8"/>
      <c r="G4699" s="8"/>
      <c r="H4699" s="8"/>
      <c r="I4699" s="8"/>
      <c r="J4699" s="8"/>
      <c r="K4699" s="9"/>
      <c r="L4699" s="9"/>
      <c r="M4699" s="9"/>
      <c r="N4699" s="9"/>
      <c r="O4699" s="9"/>
      <c r="P4699" s="9"/>
      <c r="Q4699" s="9"/>
      <c r="R4699" s="9" t="str">
        <f aca="false">IF(AND(A4699&lt;&gt;"",ISNUMBER(Q4699),ISNUMBER(L4699)),ROUND(Q4699-IF(ISNUMBER(N4699),N4699,0)-IF(ISNUMBER(O4699),O4699,0)+IF(ISNUMBER(P4699),P4699,0),2),"")</f>
        <v/>
      </c>
      <c r="S4699" s="9" t="str">
        <f aca="false">IF(R4699="","",ROUND(L4699-R4699,2))</f>
        <v/>
      </c>
      <c r="T4699" s="8" t="str">
        <f aca="false">IF(A4699="","",IF(S4699="","BYPASS",IF(ABS(S4699)&lt;=Summary!$B$2,"PASS","FAIL")))</f>
        <v/>
      </c>
      <c r="U4699" s="8" t="str">
        <f aca="false">IF(T4699="BYPASS",IF(NOT(ISNUMBER(Q4699)),"PreV_ETB missing","End_tr_balance missing"),IF(T4699="FAIL",IF(AND(ISNUMBER(K4699),ISNUMBER(L4699),ABS(L4699-(K4699-IF(ISNUMBER(N4699),N4699,0)-IF(ISNUMBER(O4699),O4699,0)+IF(ISNUMBER(P4699),P4699,0)))&lt;=Summary!$B$2),"Passes using beginning_balance - PreV_ETB differs from beginning_balance",IF(AND(ISNUMBER(O4699),O4699&lt;0,ABS(L4699-(Q4699-IF(ISNUMBER(N4699),N4699,0)+IF(ISNUMBER(P4699),P4699,0)))&lt;=Summary!$B$2),"Negative realized loss not applied - check sign",IF(R4699&lt;0,"Principal paid exceeds prior balance",IF(AND(L4699&gt;Q4699,NOT(ISNUMBER(P4699))),"Balance increased but no Deferred_interest reported",IF(L4699&gt;R4699,"Reported balance higher than expected (missing increase/OC build)","Reported balance lower than expected (missing decrease)"))))),""))</f>
        <v/>
      </c>
    </row>
    <row r="4700" customFormat="false" ht="15" hidden="false" customHeight="false" outlineLevel="0" collapsed="false">
      <c r="A4700" s="8"/>
      <c r="B4700" s="8"/>
      <c r="C4700" s="8"/>
      <c r="D4700" s="8"/>
      <c r="E4700" s="8"/>
      <c r="F4700" s="8"/>
      <c r="G4700" s="8"/>
      <c r="H4700" s="8"/>
      <c r="I4700" s="8"/>
      <c r="J4700" s="8"/>
      <c r="K4700" s="9"/>
      <c r="L4700" s="9"/>
      <c r="M4700" s="9"/>
      <c r="N4700" s="9"/>
      <c r="O4700" s="9"/>
      <c r="P4700" s="9"/>
      <c r="Q4700" s="9"/>
      <c r="R4700" s="9" t="str">
        <f aca="false">IF(AND(A4700&lt;&gt;"",ISNUMBER(Q4700),ISNUMBER(L4700)),ROUND(Q4700-IF(ISNUMBER(N4700),N4700,0)-IF(ISNUMBER(O4700),O4700,0)+IF(ISNUMBER(P4700),P4700,0),2),"")</f>
        <v/>
      </c>
      <c r="S4700" s="9" t="str">
        <f aca="false">IF(R4700="","",ROUND(L4700-R4700,2))</f>
        <v/>
      </c>
      <c r="T4700" s="8" t="str">
        <f aca="false">IF(A4700="","",IF(S4700="","BYPASS",IF(ABS(S4700)&lt;=Summary!$B$2,"PASS","FAIL")))</f>
        <v/>
      </c>
      <c r="U4700" s="8" t="str">
        <f aca="false">IF(T4700="BYPASS",IF(NOT(ISNUMBER(Q4700)),"PreV_ETB missing","End_tr_balance missing"),IF(T4700="FAIL",IF(AND(ISNUMBER(K4700),ISNUMBER(L4700),ABS(L4700-(K4700-IF(ISNUMBER(N4700),N4700,0)-IF(ISNUMBER(O4700),O4700,0)+IF(ISNUMBER(P4700),P4700,0)))&lt;=Summary!$B$2),"Passes using beginning_balance - PreV_ETB differs from beginning_balance",IF(AND(ISNUMBER(O4700),O4700&lt;0,ABS(L4700-(Q4700-IF(ISNUMBER(N4700),N4700,0)+IF(ISNUMBER(P4700),P4700,0)))&lt;=Summary!$B$2),"Negative realized loss not applied - check sign",IF(R4700&lt;0,"Principal paid exceeds prior balance",IF(AND(L4700&gt;Q4700,NOT(ISNUMBER(P4700))),"Balance increased but no Deferred_interest reported",IF(L4700&gt;R4700,"Reported balance higher than expected (missing increase/OC build)","Reported balance lower than expected (missing decrease)"))))),""))</f>
        <v/>
      </c>
    </row>
    <row r="4701" customFormat="false" ht="15" hidden="false" customHeight="false" outlineLevel="0" collapsed="false">
      <c r="A4701" s="8"/>
      <c r="B4701" s="8"/>
      <c r="C4701" s="8"/>
      <c r="D4701" s="8"/>
      <c r="E4701" s="8"/>
      <c r="F4701" s="8"/>
      <c r="G4701" s="8"/>
      <c r="H4701" s="8"/>
      <c r="I4701" s="8"/>
      <c r="J4701" s="8"/>
      <c r="K4701" s="9"/>
      <c r="L4701" s="9"/>
      <c r="M4701" s="9"/>
      <c r="N4701" s="9"/>
      <c r="O4701" s="9"/>
      <c r="P4701" s="9"/>
      <c r="Q4701" s="9"/>
      <c r="R4701" s="9" t="str">
        <f aca="false">IF(AND(A4701&lt;&gt;"",ISNUMBER(Q4701),ISNUMBER(L4701)),ROUND(Q4701-IF(ISNUMBER(N4701),N4701,0)-IF(ISNUMBER(O4701),O4701,0)+IF(ISNUMBER(P4701),P4701,0),2),"")</f>
        <v/>
      </c>
      <c r="S4701" s="9" t="str">
        <f aca="false">IF(R4701="","",ROUND(L4701-R4701,2))</f>
        <v/>
      </c>
      <c r="T4701" s="8" t="str">
        <f aca="false">IF(A4701="","",IF(S4701="","BYPASS",IF(ABS(S4701)&lt;=Summary!$B$2,"PASS","FAIL")))</f>
        <v/>
      </c>
      <c r="U4701" s="8" t="str">
        <f aca="false">IF(T4701="BYPASS",IF(NOT(ISNUMBER(Q4701)),"PreV_ETB missing","End_tr_balance missing"),IF(T4701="FAIL",IF(AND(ISNUMBER(K4701),ISNUMBER(L4701),ABS(L4701-(K4701-IF(ISNUMBER(N4701),N4701,0)-IF(ISNUMBER(O4701),O4701,0)+IF(ISNUMBER(P4701),P4701,0)))&lt;=Summary!$B$2),"Passes using beginning_balance - PreV_ETB differs from beginning_balance",IF(AND(ISNUMBER(O4701),O4701&lt;0,ABS(L4701-(Q4701-IF(ISNUMBER(N4701),N4701,0)+IF(ISNUMBER(P4701),P4701,0)))&lt;=Summary!$B$2),"Negative realized loss not applied - check sign",IF(R4701&lt;0,"Principal paid exceeds prior balance",IF(AND(L4701&gt;Q4701,NOT(ISNUMBER(P4701))),"Balance increased but no Deferred_interest reported",IF(L4701&gt;R4701,"Reported balance higher than expected (missing increase/OC build)","Reported balance lower than expected (missing decrease)"))))),""))</f>
        <v/>
      </c>
    </row>
    <row r="4702" customFormat="false" ht="15" hidden="false" customHeight="false" outlineLevel="0" collapsed="false">
      <c r="A4702" s="8"/>
      <c r="B4702" s="8"/>
      <c r="C4702" s="8"/>
      <c r="D4702" s="8"/>
      <c r="E4702" s="8"/>
      <c r="F4702" s="8"/>
      <c r="G4702" s="8"/>
      <c r="H4702" s="8"/>
      <c r="I4702" s="8"/>
      <c r="J4702" s="8"/>
      <c r="K4702" s="9"/>
      <c r="L4702" s="9"/>
      <c r="M4702" s="9"/>
      <c r="N4702" s="9"/>
      <c r="O4702" s="9"/>
      <c r="P4702" s="9"/>
      <c r="Q4702" s="9"/>
      <c r="R4702" s="9" t="str">
        <f aca="false">IF(AND(A4702&lt;&gt;"",ISNUMBER(Q4702),ISNUMBER(L4702)),ROUND(Q4702-IF(ISNUMBER(N4702),N4702,0)-IF(ISNUMBER(O4702),O4702,0)+IF(ISNUMBER(P4702),P4702,0),2),"")</f>
        <v/>
      </c>
      <c r="S4702" s="9" t="str">
        <f aca="false">IF(R4702="","",ROUND(L4702-R4702,2))</f>
        <v/>
      </c>
      <c r="T4702" s="8" t="str">
        <f aca="false">IF(A4702="","",IF(S4702="","BYPASS",IF(ABS(S4702)&lt;=Summary!$B$2,"PASS","FAIL")))</f>
        <v/>
      </c>
      <c r="U4702" s="8" t="str">
        <f aca="false">IF(T4702="BYPASS",IF(NOT(ISNUMBER(Q4702)),"PreV_ETB missing","End_tr_balance missing"),IF(T4702="FAIL",IF(AND(ISNUMBER(K4702),ISNUMBER(L4702),ABS(L4702-(K4702-IF(ISNUMBER(N4702),N4702,0)-IF(ISNUMBER(O4702),O4702,0)+IF(ISNUMBER(P4702),P4702,0)))&lt;=Summary!$B$2),"Passes using beginning_balance - PreV_ETB differs from beginning_balance",IF(AND(ISNUMBER(O4702),O4702&lt;0,ABS(L4702-(Q4702-IF(ISNUMBER(N4702),N4702,0)+IF(ISNUMBER(P4702),P4702,0)))&lt;=Summary!$B$2),"Negative realized loss not applied - check sign",IF(R4702&lt;0,"Principal paid exceeds prior balance",IF(AND(L4702&gt;Q4702,NOT(ISNUMBER(P4702))),"Balance increased but no Deferred_interest reported",IF(L4702&gt;R4702,"Reported balance higher than expected (missing increase/OC build)","Reported balance lower than expected (missing decrease)"))))),""))</f>
        <v/>
      </c>
    </row>
    <row r="4703" customFormat="false" ht="15" hidden="false" customHeight="false" outlineLevel="0" collapsed="false">
      <c r="A4703" s="8"/>
      <c r="B4703" s="8"/>
      <c r="C4703" s="8"/>
      <c r="D4703" s="8"/>
      <c r="E4703" s="8"/>
      <c r="F4703" s="8"/>
      <c r="G4703" s="8"/>
      <c r="H4703" s="8"/>
      <c r="I4703" s="8"/>
      <c r="J4703" s="8"/>
      <c r="K4703" s="9"/>
      <c r="L4703" s="9"/>
      <c r="M4703" s="9"/>
      <c r="N4703" s="9"/>
      <c r="O4703" s="9"/>
      <c r="P4703" s="9"/>
      <c r="Q4703" s="9"/>
      <c r="R4703" s="9" t="str">
        <f aca="false">IF(AND(A4703&lt;&gt;"",ISNUMBER(Q4703),ISNUMBER(L4703)),ROUND(Q4703-IF(ISNUMBER(N4703),N4703,0)-IF(ISNUMBER(O4703),O4703,0)+IF(ISNUMBER(P4703),P4703,0),2),"")</f>
        <v/>
      </c>
      <c r="S4703" s="9" t="str">
        <f aca="false">IF(R4703="","",ROUND(L4703-R4703,2))</f>
        <v/>
      </c>
      <c r="T4703" s="8" t="str">
        <f aca="false">IF(A4703="","",IF(S4703="","BYPASS",IF(ABS(S4703)&lt;=Summary!$B$2,"PASS","FAIL")))</f>
        <v/>
      </c>
      <c r="U4703" s="8" t="str">
        <f aca="false">IF(T4703="BYPASS",IF(NOT(ISNUMBER(Q4703)),"PreV_ETB missing","End_tr_balance missing"),IF(T4703="FAIL",IF(AND(ISNUMBER(K4703),ISNUMBER(L4703),ABS(L4703-(K4703-IF(ISNUMBER(N4703),N4703,0)-IF(ISNUMBER(O4703),O4703,0)+IF(ISNUMBER(P4703),P4703,0)))&lt;=Summary!$B$2),"Passes using beginning_balance - PreV_ETB differs from beginning_balance",IF(AND(ISNUMBER(O4703),O4703&lt;0,ABS(L4703-(Q4703-IF(ISNUMBER(N4703),N4703,0)+IF(ISNUMBER(P4703),P4703,0)))&lt;=Summary!$B$2),"Negative realized loss not applied - check sign",IF(R4703&lt;0,"Principal paid exceeds prior balance",IF(AND(L4703&gt;Q4703,NOT(ISNUMBER(P4703))),"Balance increased but no Deferred_interest reported",IF(L4703&gt;R4703,"Reported balance higher than expected (missing increase/OC build)","Reported balance lower than expected (missing decrease)"))))),""))</f>
        <v/>
      </c>
    </row>
    <row r="4704" customFormat="false" ht="15" hidden="false" customHeight="false" outlineLevel="0" collapsed="false">
      <c r="A4704" s="8"/>
      <c r="B4704" s="8"/>
      <c r="C4704" s="8"/>
      <c r="D4704" s="8"/>
      <c r="E4704" s="8"/>
      <c r="F4704" s="8"/>
      <c r="G4704" s="8"/>
      <c r="H4704" s="8"/>
      <c r="I4704" s="8"/>
      <c r="J4704" s="8"/>
      <c r="K4704" s="9"/>
      <c r="L4704" s="9"/>
      <c r="M4704" s="9"/>
      <c r="N4704" s="9"/>
      <c r="O4704" s="9"/>
      <c r="P4704" s="9"/>
      <c r="Q4704" s="9"/>
      <c r="R4704" s="9" t="str">
        <f aca="false">IF(AND(A4704&lt;&gt;"",ISNUMBER(Q4704),ISNUMBER(L4704)),ROUND(Q4704-IF(ISNUMBER(N4704),N4704,0)-IF(ISNUMBER(O4704),O4704,0)+IF(ISNUMBER(P4704),P4704,0),2),"")</f>
        <v/>
      </c>
      <c r="S4704" s="9" t="str">
        <f aca="false">IF(R4704="","",ROUND(L4704-R4704,2))</f>
        <v/>
      </c>
      <c r="T4704" s="8" t="str">
        <f aca="false">IF(A4704="","",IF(S4704="","BYPASS",IF(ABS(S4704)&lt;=Summary!$B$2,"PASS","FAIL")))</f>
        <v/>
      </c>
      <c r="U4704" s="8" t="str">
        <f aca="false">IF(T4704="BYPASS",IF(NOT(ISNUMBER(Q4704)),"PreV_ETB missing","End_tr_balance missing"),IF(T4704="FAIL",IF(AND(ISNUMBER(K4704),ISNUMBER(L4704),ABS(L4704-(K4704-IF(ISNUMBER(N4704),N4704,0)-IF(ISNUMBER(O4704),O4704,0)+IF(ISNUMBER(P4704),P4704,0)))&lt;=Summary!$B$2),"Passes using beginning_balance - PreV_ETB differs from beginning_balance",IF(AND(ISNUMBER(O4704),O4704&lt;0,ABS(L4704-(Q4704-IF(ISNUMBER(N4704),N4704,0)+IF(ISNUMBER(P4704),P4704,0)))&lt;=Summary!$B$2),"Negative realized loss not applied - check sign",IF(R4704&lt;0,"Principal paid exceeds prior balance",IF(AND(L4704&gt;Q4704,NOT(ISNUMBER(P4704))),"Balance increased but no Deferred_interest reported",IF(L4704&gt;R4704,"Reported balance higher than expected (missing increase/OC build)","Reported balance lower than expected (missing decrease)"))))),""))</f>
        <v/>
      </c>
    </row>
    <row r="4705" customFormat="false" ht="15" hidden="false" customHeight="false" outlineLevel="0" collapsed="false">
      <c r="A4705" s="8"/>
      <c r="B4705" s="8"/>
      <c r="C4705" s="8"/>
      <c r="D4705" s="8"/>
      <c r="E4705" s="8"/>
      <c r="F4705" s="8"/>
      <c r="G4705" s="8"/>
      <c r="H4705" s="8"/>
      <c r="I4705" s="8"/>
      <c r="J4705" s="8"/>
      <c r="K4705" s="9"/>
      <c r="L4705" s="9"/>
      <c r="M4705" s="9"/>
      <c r="N4705" s="9"/>
      <c r="O4705" s="9"/>
      <c r="P4705" s="9"/>
      <c r="Q4705" s="9"/>
      <c r="R4705" s="9" t="str">
        <f aca="false">IF(AND(A4705&lt;&gt;"",ISNUMBER(Q4705),ISNUMBER(L4705)),ROUND(Q4705-IF(ISNUMBER(N4705),N4705,0)-IF(ISNUMBER(O4705),O4705,0)+IF(ISNUMBER(P4705),P4705,0),2),"")</f>
        <v/>
      </c>
      <c r="S4705" s="9" t="str">
        <f aca="false">IF(R4705="","",ROUND(L4705-R4705,2))</f>
        <v/>
      </c>
      <c r="T4705" s="8" t="str">
        <f aca="false">IF(A4705="","",IF(S4705="","BYPASS",IF(ABS(S4705)&lt;=Summary!$B$2,"PASS","FAIL")))</f>
        <v/>
      </c>
      <c r="U4705" s="8" t="str">
        <f aca="false">IF(T4705="BYPASS",IF(NOT(ISNUMBER(Q4705)),"PreV_ETB missing","End_tr_balance missing"),IF(T4705="FAIL",IF(AND(ISNUMBER(K4705),ISNUMBER(L4705),ABS(L4705-(K4705-IF(ISNUMBER(N4705),N4705,0)-IF(ISNUMBER(O4705),O4705,0)+IF(ISNUMBER(P4705),P4705,0)))&lt;=Summary!$B$2),"Passes using beginning_balance - PreV_ETB differs from beginning_balance",IF(AND(ISNUMBER(O4705),O4705&lt;0,ABS(L4705-(Q4705-IF(ISNUMBER(N4705),N4705,0)+IF(ISNUMBER(P4705),P4705,0)))&lt;=Summary!$B$2),"Negative realized loss not applied - check sign",IF(R4705&lt;0,"Principal paid exceeds prior balance",IF(AND(L4705&gt;Q4705,NOT(ISNUMBER(P4705))),"Balance increased but no Deferred_interest reported",IF(L4705&gt;R4705,"Reported balance higher than expected (missing increase/OC build)","Reported balance lower than expected (missing decrease)"))))),""))</f>
        <v/>
      </c>
    </row>
    <row r="4706" customFormat="false" ht="15" hidden="false" customHeight="false" outlineLevel="0" collapsed="false">
      <c r="A4706" s="8"/>
      <c r="B4706" s="8"/>
      <c r="C4706" s="8"/>
      <c r="D4706" s="8"/>
      <c r="E4706" s="8"/>
      <c r="F4706" s="8"/>
      <c r="G4706" s="8"/>
      <c r="H4706" s="8"/>
      <c r="I4706" s="8"/>
      <c r="J4706" s="8"/>
      <c r="K4706" s="9"/>
      <c r="L4706" s="9"/>
      <c r="M4706" s="9"/>
      <c r="N4706" s="9"/>
      <c r="O4706" s="9"/>
      <c r="P4706" s="9"/>
      <c r="Q4706" s="9"/>
      <c r="R4706" s="9" t="str">
        <f aca="false">IF(AND(A4706&lt;&gt;"",ISNUMBER(Q4706),ISNUMBER(L4706)),ROUND(Q4706-IF(ISNUMBER(N4706),N4706,0)-IF(ISNUMBER(O4706),O4706,0)+IF(ISNUMBER(P4706),P4706,0),2),"")</f>
        <v/>
      </c>
      <c r="S4706" s="9" t="str">
        <f aca="false">IF(R4706="","",ROUND(L4706-R4706,2))</f>
        <v/>
      </c>
      <c r="T4706" s="8" t="str">
        <f aca="false">IF(A4706="","",IF(S4706="","BYPASS",IF(ABS(S4706)&lt;=Summary!$B$2,"PASS","FAIL")))</f>
        <v/>
      </c>
      <c r="U4706" s="8" t="str">
        <f aca="false">IF(T4706="BYPASS",IF(NOT(ISNUMBER(Q4706)),"PreV_ETB missing","End_tr_balance missing"),IF(T4706="FAIL",IF(AND(ISNUMBER(K4706),ISNUMBER(L4706),ABS(L4706-(K4706-IF(ISNUMBER(N4706),N4706,0)-IF(ISNUMBER(O4706),O4706,0)+IF(ISNUMBER(P4706),P4706,0)))&lt;=Summary!$B$2),"Passes using beginning_balance - PreV_ETB differs from beginning_balance",IF(AND(ISNUMBER(O4706),O4706&lt;0,ABS(L4706-(Q4706-IF(ISNUMBER(N4706),N4706,0)+IF(ISNUMBER(P4706),P4706,0)))&lt;=Summary!$B$2),"Negative realized loss not applied - check sign",IF(R4706&lt;0,"Principal paid exceeds prior balance",IF(AND(L4706&gt;Q4706,NOT(ISNUMBER(P4706))),"Balance increased but no Deferred_interest reported",IF(L4706&gt;R4706,"Reported balance higher than expected (missing increase/OC build)","Reported balance lower than expected (missing decrease)"))))),""))</f>
        <v/>
      </c>
    </row>
    <row r="4707" customFormat="false" ht="15" hidden="false" customHeight="false" outlineLevel="0" collapsed="false">
      <c r="A4707" s="8"/>
      <c r="B4707" s="8"/>
      <c r="C4707" s="8"/>
      <c r="D4707" s="8"/>
      <c r="E4707" s="8"/>
      <c r="F4707" s="8"/>
      <c r="G4707" s="8"/>
      <c r="H4707" s="8"/>
      <c r="I4707" s="8"/>
      <c r="J4707" s="8"/>
      <c r="K4707" s="9"/>
      <c r="L4707" s="9"/>
      <c r="M4707" s="9"/>
      <c r="N4707" s="9"/>
      <c r="O4707" s="9"/>
      <c r="P4707" s="9"/>
      <c r="Q4707" s="9"/>
      <c r="R4707" s="9" t="str">
        <f aca="false">IF(AND(A4707&lt;&gt;"",ISNUMBER(Q4707),ISNUMBER(L4707)),ROUND(Q4707-IF(ISNUMBER(N4707),N4707,0)-IF(ISNUMBER(O4707),O4707,0)+IF(ISNUMBER(P4707),P4707,0),2),"")</f>
        <v/>
      </c>
      <c r="S4707" s="9" t="str">
        <f aca="false">IF(R4707="","",ROUND(L4707-R4707,2))</f>
        <v/>
      </c>
      <c r="T4707" s="8" t="str">
        <f aca="false">IF(A4707="","",IF(S4707="","BYPASS",IF(ABS(S4707)&lt;=Summary!$B$2,"PASS","FAIL")))</f>
        <v/>
      </c>
      <c r="U4707" s="8" t="str">
        <f aca="false">IF(T4707="BYPASS",IF(NOT(ISNUMBER(Q4707)),"PreV_ETB missing","End_tr_balance missing"),IF(T4707="FAIL",IF(AND(ISNUMBER(K4707),ISNUMBER(L4707),ABS(L4707-(K4707-IF(ISNUMBER(N4707),N4707,0)-IF(ISNUMBER(O4707),O4707,0)+IF(ISNUMBER(P4707),P4707,0)))&lt;=Summary!$B$2),"Passes using beginning_balance - PreV_ETB differs from beginning_balance",IF(AND(ISNUMBER(O4707),O4707&lt;0,ABS(L4707-(Q4707-IF(ISNUMBER(N4707),N4707,0)+IF(ISNUMBER(P4707),P4707,0)))&lt;=Summary!$B$2),"Negative realized loss not applied - check sign",IF(R4707&lt;0,"Principal paid exceeds prior balance",IF(AND(L4707&gt;Q4707,NOT(ISNUMBER(P4707))),"Balance increased but no Deferred_interest reported",IF(L4707&gt;R4707,"Reported balance higher than expected (missing increase/OC build)","Reported balance lower than expected (missing decrease)"))))),""))</f>
        <v/>
      </c>
    </row>
    <row r="4708" customFormat="false" ht="15" hidden="false" customHeight="false" outlineLevel="0" collapsed="false">
      <c r="A4708" s="8"/>
      <c r="B4708" s="8"/>
      <c r="C4708" s="8"/>
      <c r="D4708" s="8"/>
      <c r="E4708" s="8"/>
      <c r="F4708" s="8"/>
      <c r="G4708" s="8"/>
      <c r="H4708" s="8"/>
      <c r="I4708" s="8"/>
      <c r="J4708" s="8"/>
      <c r="K4708" s="9"/>
      <c r="L4708" s="9"/>
      <c r="M4708" s="9"/>
      <c r="N4708" s="9"/>
      <c r="O4708" s="9"/>
      <c r="P4708" s="9"/>
      <c r="Q4708" s="9"/>
      <c r="R4708" s="9" t="str">
        <f aca="false">IF(AND(A4708&lt;&gt;"",ISNUMBER(Q4708),ISNUMBER(L4708)),ROUND(Q4708-IF(ISNUMBER(N4708),N4708,0)-IF(ISNUMBER(O4708),O4708,0)+IF(ISNUMBER(P4708),P4708,0),2),"")</f>
        <v/>
      </c>
      <c r="S4708" s="9" t="str">
        <f aca="false">IF(R4708="","",ROUND(L4708-R4708,2))</f>
        <v/>
      </c>
      <c r="T4708" s="8" t="str">
        <f aca="false">IF(A4708="","",IF(S4708="","BYPASS",IF(ABS(S4708)&lt;=Summary!$B$2,"PASS","FAIL")))</f>
        <v/>
      </c>
      <c r="U4708" s="8" t="str">
        <f aca="false">IF(T4708="BYPASS",IF(NOT(ISNUMBER(Q4708)),"PreV_ETB missing","End_tr_balance missing"),IF(T4708="FAIL",IF(AND(ISNUMBER(K4708),ISNUMBER(L4708),ABS(L4708-(K4708-IF(ISNUMBER(N4708),N4708,0)-IF(ISNUMBER(O4708),O4708,0)+IF(ISNUMBER(P4708),P4708,0)))&lt;=Summary!$B$2),"Passes using beginning_balance - PreV_ETB differs from beginning_balance",IF(AND(ISNUMBER(O4708),O4708&lt;0,ABS(L4708-(Q4708-IF(ISNUMBER(N4708),N4708,0)+IF(ISNUMBER(P4708),P4708,0)))&lt;=Summary!$B$2),"Negative realized loss not applied - check sign",IF(R4708&lt;0,"Principal paid exceeds prior balance",IF(AND(L4708&gt;Q4708,NOT(ISNUMBER(P4708))),"Balance increased but no Deferred_interest reported",IF(L4708&gt;R4708,"Reported balance higher than expected (missing increase/OC build)","Reported balance lower than expected (missing decrease)"))))),""))</f>
        <v/>
      </c>
    </row>
    <row r="4709" customFormat="false" ht="15" hidden="false" customHeight="false" outlineLevel="0" collapsed="false">
      <c r="A4709" s="8"/>
      <c r="B4709" s="8"/>
      <c r="C4709" s="8"/>
      <c r="D4709" s="8"/>
      <c r="E4709" s="8"/>
      <c r="F4709" s="8"/>
      <c r="G4709" s="8"/>
      <c r="H4709" s="8"/>
      <c r="I4709" s="8"/>
      <c r="J4709" s="8"/>
      <c r="K4709" s="9"/>
      <c r="L4709" s="9"/>
      <c r="M4709" s="9"/>
      <c r="N4709" s="9"/>
      <c r="O4709" s="9"/>
      <c r="P4709" s="9"/>
      <c r="Q4709" s="9"/>
      <c r="R4709" s="9" t="str">
        <f aca="false">IF(AND(A4709&lt;&gt;"",ISNUMBER(Q4709),ISNUMBER(L4709)),ROUND(Q4709-IF(ISNUMBER(N4709),N4709,0)-IF(ISNUMBER(O4709),O4709,0)+IF(ISNUMBER(P4709),P4709,0),2),"")</f>
        <v/>
      </c>
      <c r="S4709" s="9" t="str">
        <f aca="false">IF(R4709="","",ROUND(L4709-R4709,2))</f>
        <v/>
      </c>
      <c r="T4709" s="8" t="str">
        <f aca="false">IF(A4709="","",IF(S4709="","BYPASS",IF(ABS(S4709)&lt;=Summary!$B$2,"PASS","FAIL")))</f>
        <v/>
      </c>
      <c r="U4709" s="8" t="str">
        <f aca="false">IF(T4709="BYPASS",IF(NOT(ISNUMBER(Q4709)),"PreV_ETB missing","End_tr_balance missing"),IF(T4709="FAIL",IF(AND(ISNUMBER(K4709),ISNUMBER(L4709),ABS(L4709-(K4709-IF(ISNUMBER(N4709),N4709,0)-IF(ISNUMBER(O4709),O4709,0)+IF(ISNUMBER(P4709),P4709,0)))&lt;=Summary!$B$2),"Passes using beginning_balance - PreV_ETB differs from beginning_balance",IF(AND(ISNUMBER(O4709),O4709&lt;0,ABS(L4709-(Q4709-IF(ISNUMBER(N4709),N4709,0)+IF(ISNUMBER(P4709),P4709,0)))&lt;=Summary!$B$2),"Negative realized loss not applied - check sign",IF(R4709&lt;0,"Principal paid exceeds prior balance",IF(AND(L4709&gt;Q4709,NOT(ISNUMBER(P4709))),"Balance increased but no Deferred_interest reported",IF(L4709&gt;R4709,"Reported balance higher than expected (missing increase/OC build)","Reported balance lower than expected (missing decrease)"))))),""))</f>
        <v/>
      </c>
    </row>
    <row r="4710" customFormat="false" ht="15" hidden="false" customHeight="false" outlineLevel="0" collapsed="false">
      <c r="A4710" s="8"/>
      <c r="B4710" s="8"/>
      <c r="C4710" s="8"/>
      <c r="D4710" s="8"/>
      <c r="E4710" s="8"/>
      <c r="F4710" s="8"/>
      <c r="G4710" s="8"/>
      <c r="H4710" s="8"/>
      <c r="I4710" s="8"/>
      <c r="J4710" s="8"/>
      <c r="K4710" s="9"/>
      <c r="L4710" s="9"/>
      <c r="M4710" s="9"/>
      <c r="N4710" s="9"/>
      <c r="O4710" s="9"/>
      <c r="P4710" s="9"/>
      <c r="Q4710" s="9"/>
      <c r="R4710" s="9" t="str">
        <f aca="false">IF(AND(A4710&lt;&gt;"",ISNUMBER(Q4710),ISNUMBER(L4710)),ROUND(Q4710-IF(ISNUMBER(N4710),N4710,0)-IF(ISNUMBER(O4710),O4710,0)+IF(ISNUMBER(P4710),P4710,0),2),"")</f>
        <v/>
      </c>
      <c r="S4710" s="9" t="str">
        <f aca="false">IF(R4710="","",ROUND(L4710-R4710,2))</f>
        <v/>
      </c>
      <c r="T4710" s="8" t="str">
        <f aca="false">IF(A4710="","",IF(S4710="","BYPASS",IF(ABS(S4710)&lt;=Summary!$B$2,"PASS","FAIL")))</f>
        <v/>
      </c>
      <c r="U4710" s="8" t="str">
        <f aca="false">IF(T4710="BYPASS",IF(NOT(ISNUMBER(Q4710)),"PreV_ETB missing","End_tr_balance missing"),IF(T4710="FAIL",IF(AND(ISNUMBER(K4710),ISNUMBER(L4710),ABS(L4710-(K4710-IF(ISNUMBER(N4710),N4710,0)-IF(ISNUMBER(O4710),O4710,0)+IF(ISNUMBER(P4710),P4710,0)))&lt;=Summary!$B$2),"Passes using beginning_balance - PreV_ETB differs from beginning_balance",IF(AND(ISNUMBER(O4710),O4710&lt;0,ABS(L4710-(Q4710-IF(ISNUMBER(N4710),N4710,0)+IF(ISNUMBER(P4710),P4710,0)))&lt;=Summary!$B$2),"Negative realized loss not applied - check sign",IF(R4710&lt;0,"Principal paid exceeds prior balance",IF(AND(L4710&gt;Q4710,NOT(ISNUMBER(P4710))),"Balance increased but no Deferred_interest reported",IF(L4710&gt;R4710,"Reported balance higher than expected (missing increase/OC build)","Reported balance lower than expected (missing decrease)"))))),""))</f>
        <v/>
      </c>
    </row>
    <row r="4711" customFormat="false" ht="15" hidden="false" customHeight="false" outlineLevel="0" collapsed="false">
      <c r="A4711" s="8"/>
      <c r="B4711" s="8"/>
      <c r="C4711" s="8"/>
      <c r="D4711" s="8"/>
      <c r="E4711" s="8"/>
      <c r="F4711" s="8"/>
      <c r="G4711" s="8"/>
      <c r="H4711" s="8"/>
      <c r="I4711" s="8"/>
      <c r="J4711" s="8"/>
      <c r="K4711" s="9"/>
      <c r="L4711" s="9"/>
      <c r="M4711" s="9"/>
      <c r="N4711" s="9"/>
      <c r="O4711" s="9"/>
      <c r="P4711" s="9"/>
      <c r="Q4711" s="9"/>
      <c r="R4711" s="9" t="str">
        <f aca="false">IF(AND(A4711&lt;&gt;"",ISNUMBER(Q4711),ISNUMBER(L4711)),ROUND(Q4711-IF(ISNUMBER(N4711),N4711,0)-IF(ISNUMBER(O4711),O4711,0)+IF(ISNUMBER(P4711),P4711,0),2),"")</f>
        <v/>
      </c>
      <c r="S4711" s="9" t="str">
        <f aca="false">IF(R4711="","",ROUND(L4711-R4711,2))</f>
        <v/>
      </c>
      <c r="T4711" s="8" t="str">
        <f aca="false">IF(A4711="","",IF(S4711="","BYPASS",IF(ABS(S4711)&lt;=Summary!$B$2,"PASS","FAIL")))</f>
        <v/>
      </c>
      <c r="U4711" s="8" t="str">
        <f aca="false">IF(T4711="BYPASS",IF(NOT(ISNUMBER(Q4711)),"PreV_ETB missing","End_tr_balance missing"),IF(T4711="FAIL",IF(AND(ISNUMBER(K4711),ISNUMBER(L4711),ABS(L4711-(K4711-IF(ISNUMBER(N4711),N4711,0)-IF(ISNUMBER(O4711),O4711,0)+IF(ISNUMBER(P4711),P4711,0)))&lt;=Summary!$B$2),"Passes using beginning_balance - PreV_ETB differs from beginning_balance",IF(AND(ISNUMBER(O4711),O4711&lt;0,ABS(L4711-(Q4711-IF(ISNUMBER(N4711),N4711,0)+IF(ISNUMBER(P4711),P4711,0)))&lt;=Summary!$B$2),"Negative realized loss not applied - check sign",IF(R4711&lt;0,"Principal paid exceeds prior balance",IF(AND(L4711&gt;Q4711,NOT(ISNUMBER(P4711))),"Balance increased but no Deferred_interest reported",IF(L4711&gt;R4711,"Reported balance higher than expected (missing increase/OC build)","Reported balance lower than expected (missing decrease)"))))),""))</f>
        <v/>
      </c>
    </row>
    <row r="4712" customFormat="false" ht="15" hidden="false" customHeight="false" outlineLevel="0" collapsed="false">
      <c r="A4712" s="8"/>
      <c r="B4712" s="8"/>
      <c r="C4712" s="8"/>
      <c r="D4712" s="8"/>
      <c r="E4712" s="8"/>
      <c r="F4712" s="8"/>
      <c r="G4712" s="8"/>
      <c r="H4712" s="8"/>
      <c r="I4712" s="8"/>
      <c r="J4712" s="8"/>
      <c r="K4712" s="9"/>
      <c r="L4712" s="9"/>
      <c r="M4712" s="9"/>
      <c r="N4712" s="9"/>
      <c r="O4712" s="9"/>
      <c r="P4712" s="9"/>
      <c r="Q4712" s="9"/>
      <c r="R4712" s="9" t="str">
        <f aca="false">IF(AND(A4712&lt;&gt;"",ISNUMBER(Q4712),ISNUMBER(L4712)),ROUND(Q4712-IF(ISNUMBER(N4712),N4712,0)-IF(ISNUMBER(O4712),O4712,0)+IF(ISNUMBER(P4712),P4712,0),2),"")</f>
        <v/>
      </c>
      <c r="S4712" s="9" t="str">
        <f aca="false">IF(R4712="","",ROUND(L4712-R4712,2))</f>
        <v/>
      </c>
      <c r="T4712" s="8" t="str">
        <f aca="false">IF(A4712="","",IF(S4712="","BYPASS",IF(ABS(S4712)&lt;=Summary!$B$2,"PASS","FAIL")))</f>
        <v/>
      </c>
      <c r="U4712" s="8" t="str">
        <f aca="false">IF(T4712="BYPASS",IF(NOT(ISNUMBER(Q4712)),"PreV_ETB missing","End_tr_balance missing"),IF(T4712="FAIL",IF(AND(ISNUMBER(K4712),ISNUMBER(L4712),ABS(L4712-(K4712-IF(ISNUMBER(N4712),N4712,0)-IF(ISNUMBER(O4712),O4712,0)+IF(ISNUMBER(P4712),P4712,0)))&lt;=Summary!$B$2),"Passes using beginning_balance - PreV_ETB differs from beginning_balance",IF(AND(ISNUMBER(O4712),O4712&lt;0,ABS(L4712-(Q4712-IF(ISNUMBER(N4712),N4712,0)+IF(ISNUMBER(P4712),P4712,0)))&lt;=Summary!$B$2),"Negative realized loss not applied - check sign",IF(R4712&lt;0,"Principal paid exceeds prior balance",IF(AND(L4712&gt;Q4712,NOT(ISNUMBER(P4712))),"Balance increased but no Deferred_interest reported",IF(L4712&gt;R4712,"Reported balance higher than expected (missing increase/OC build)","Reported balance lower than expected (missing decrease)"))))),""))</f>
        <v/>
      </c>
    </row>
    <row r="4713" customFormat="false" ht="15" hidden="false" customHeight="false" outlineLevel="0" collapsed="false">
      <c r="A4713" s="8"/>
      <c r="B4713" s="8"/>
      <c r="C4713" s="8"/>
      <c r="D4713" s="8"/>
      <c r="E4713" s="8"/>
      <c r="F4713" s="8"/>
      <c r="G4713" s="8"/>
      <c r="H4713" s="8"/>
      <c r="I4713" s="8"/>
      <c r="J4713" s="8"/>
      <c r="K4713" s="9"/>
      <c r="L4713" s="9"/>
      <c r="M4713" s="9"/>
      <c r="N4713" s="9"/>
      <c r="O4713" s="9"/>
      <c r="P4713" s="9"/>
      <c r="Q4713" s="9"/>
      <c r="R4713" s="9" t="str">
        <f aca="false">IF(AND(A4713&lt;&gt;"",ISNUMBER(Q4713),ISNUMBER(L4713)),ROUND(Q4713-IF(ISNUMBER(N4713),N4713,0)-IF(ISNUMBER(O4713),O4713,0)+IF(ISNUMBER(P4713),P4713,0),2),"")</f>
        <v/>
      </c>
      <c r="S4713" s="9" t="str">
        <f aca="false">IF(R4713="","",ROUND(L4713-R4713,2))</f>
        <v/>
      </c>
      <c r="T4713" s="8" t="str">
        <f aca="false">IF(A4713="","",IF(S4713="","BYPASS",IF(ABS(S4713)&lt;=Summary!$B$2,"PASS","FAIL")))</f>
        <v/>
      </c>
      <c r="U4713" s="8" t="str">
        <f aca="false">IF(T4713="BYPASS",IF(NOT(ISNUMBER(Q4713)),"PreV_ETB missing","End_tr_balance missing"),IF(T4713="FAIL",IF(AND(ISNUMBER(K4713),ISNUMBER(L4713),ABS(L4713-(K4713-IF(ISNUMBER(N4713),N4713,0)-IF(ISNUMBER(O4713),O4713,0)+IF(ISNUMBER(P4713),P4713,0)))&lt;=Summary!$B$2),"Passes using beginning_balance - PreV_ETB differs from beginning_balance",IF(AND(ISNUMBER(O4713),O4713&lt;0,ABS(L4713-(Q4713-IF(ISNUMBER(N4713),N4713,0)+IF(ISNUMBER(P4713),P4713,0)))&lt;=Summary!$B$2),"Negative realized loss not applied - check sign",IF(R4713&lt;0,"Principal paid exceeds prior balance",IF(AND(L4713&gt;Q4713,NOT(ISNUMBER(P4713))),"Balance increased but no Deferred_interest reported",IF(L4713&gt;R4713,"Reported balance higher than expected (missing increase/OC build)","Reported balance lower than expected (missing decrease)"))))),""))</f>
        <v/>
      </c>
    </row>
    <row r="4714" customFormat="false" ht="15" hidden="false" customHeight="false" outlineLevel="0" collapsed="false">
      <c r="A4714" s="8"/>
      <c r="B4714" s="8"/>
      <c r="C4714" s="8"/>
      <c r="D4714" s="8"/>
      <c r="E4714" s="8"/>
      <c r="F4714" s="8"/>
      <c r="G4714" s="8"/>
      <c r="H4714" s="8"/>
      <c r="I4714" s="8"/>
      <c r="J4714" s="8"/>
      <c r="K4714" s="9"/>
      <c r="L4714" s="9"/>
      <c r="M4714" s="9"/>
      <c r="N4714" s="9"/>
      <c r="O4714" s="9"/>
      <c r="P4714" s="9"/>
      <c r="Q4714" s="9"/>
      <c r="R4714" s="9" t="str">
        <f aca="false">IF(AND(A4714&lt;&gt;"",ISNUMBER(Q4714),ISNUMBER(L4714)),ROUND(Q4714-IF(ISNUMBER(N4714),N4714,0)-IF(ISNUMBER(O4714),O4714,0)+IF(ISNUMBER(P4714),P4714,0),2),"")</f>
        <v/>
      </c>
      <c r="S4714" s="9" t="str">
        <f aca="false">IF(R4714="","",ROUND(L4714-R4714,2))</f>
        <v/>
      </c>
      <c r="T4714" s="8" t="str">
        <f aca="false">IF(A4714="","",IF(S4714="","BYPASS",IF(ABS(S4714)&lt;=Summary!$B$2,"PASS","FAIL")))</f>
        <v/>
      </c>
      <c r="U4714" s="8" t="str">
        <f aca="false">IF(T4714="BYPASS",IF(NOT(ISNUMBER(Q4714)),"PreV_ETB missing","End_tr_balance missing"),IF(T4714="FAIL",IF(AND(ISNUMBER(K4714),ISNUMBER(L4714),ABS(L4714-(K4714-IF(ISNUMBER(N4714),N4714,0)-IF(ISNUMBER(O4714),O4714,0)+IF(ISNUMBER(P4714),P4714,0)))&lt;=Summary!$B$2),"Passes using beginning_balance - PreV_ETB differs from beginning_balance",IF(AND(ISNUMBER(O4714),O4714&lt;0,ABS(L4714-(Q4714-IF(ISNUMBER(N4714),N4714,0)+IF(ISNUMBER(P4714),P4714,0)))&lt;=Summary!$B$2),"Negative realized loss not applied - check sign",IF(R4714&lt;0,"Principal paid exceeds prior balance",IF(AND(L4714&gt;Q4714,NOT(ISNUMBER(P4714))),"Balance increased but no Deferred_interest reported",IF(L4714&gt;R4714,"Reported balance higher than expected (missing increase/OC build)","Reported balance lower than expected (missing decrease)"))))),""))</f>
        <v/>
      </c>
    </row>
    <row r="4715" customFormat="false" ht="15" hidden="false" customHeight="false" outlineLevel="0" collapsed="false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9"/>
      <c r="L4715" s="9"/>
      <c r="M4715" s="9"/>
      <c r="N4715" s="9"/>
      <c r="O4715" s="9"/>
      <c r="P4715" s="9"/>
      <c r="Q4715" s="9"/>
      <c r="R4715" s="9" t="str">
        <f aca="false">IF(AND(A4715&lt;&gt;"",ISNUMBER(Q4715),ISNUMBER(L4715)),ROUND(Q4715-IF(ISNUMBER(N4715),N4715,0)-IF(ISNUMBER(O4715),O4715,0)+IF(ISNUMBER(P4715),P4715,0),2),"")</f>
        <v/>
      </c>
      <c r="S4715" s="9" t="str">
        <f aca="false">IF(R4715="","",ROUND(L4715-R4715,2))</f>
        <v/>
      </c>
      <c r="T4715" s="8" t="str">
        <f aca="false">IF(A4715="","",IF(S4715="","BYPASS",IF(ABS(S4715)&lt;=Summary!$B$2,"PASS","FAIL")))</f>
        <v/>
      </c>
      <c r="U4715" s="8" t="str">
        <f aca="false">IF(T4715="BYPASS",IF(NOT(ISNUMBER(Q4715)),"PreV_ETB missing","End_tr_balance missing"),IF(T4715="FAIL",IF(AND(ISNUMBER(K4715),ISNUMBER(L4715),ABS(L4715-(K4715-IF(ISNUMBER(N4715),N4715,0)-IF(ISNUMBER(O4715),O4715,0)+IF(ISNUMBER(P4715),P4715,0)))&lt;=Summary!$B$2),"Passes using beginning_balance - PreV_ETB differs from beginning_balance",IF(AND(ISNUMBER(O4715),O4715&lt;0,ABS(L4715-(Q4715-IF(ISNUMBER(N4715),N4715,0)+IF(ISNUMBER(P4715),P4715,0)))&lt;=Summary!$B$2),"Negative realized loss not applied - check sign",IF(R4715&lt;0,"Principal paid exceeds prior balance",IF(AND(L4715&gt;Q4715,NOT(ISNUMBER(P4715))),"Balance increased but no Deferred_interest reported",IF(L4715&gt;R4715,"Reported balance higher than expected (missing increase/OC build)","Reported balance lower than expected (missing decrease)"))))),""))</f>
        <v/>
      </c>
    </row>
    <row r="4716" customFormat="false" ht="15" hidden="false" customHeight="false" outlineLevel="0" collapsed="false">
      <c r="A4716" s="8"/>
      <c r="B4716" s="8"/>
      <c r="C4716" s="8"/>
      <c r="D4716" s="8"/>
      <c r="E4716" s="8"/>
      <c r="F4716" s="8"/>
      <c r="G4716" s="8"/>
      <c r="H4716" s="8"/>
      <c r="I4716" s="8"/>
      <c r="J4716" s="8"/>
      <c r="K4716" s="9"/>
      <c r="L4716" s="9"/>
      <c r="M4716" s="9"/>
      <c r="N4716" s="9"/>
      <c r="O4716" s="9"/>
      <c r="P4716" s="9"/>
      <c r="Q4716" s="9"/>
      <c r="R4716" s="9" t="str">
        <f aca="false">IF(AND(A4716&lt;&gt;"",ISNUMBER(Q4716),ISNUMBER(L4716)),ROUND(Q4716-IF(ISNUMBER(N4716),N4716,0)-IF(ISNUMBER(O4716),O4716,0)+IF(ISNUMBER(P4716),P4716,0),2),"")</f>
        <v/>
      </c>
      <c r="S4716" s="9" t="str">
        <f aca="false">IF(R4716="","",ROUND(L4716-R4716,2))</f>
        <v/>
      </c>
      <c r="T4716" s="8" t="str">
        <f aca="false">IF(A4716="","",IF(S4716="","BYPASS",IF(ABS(S4716)&lt;=Summary!$B$2,"PASS","FAIL")))</f>
        <v/>
      </c>
      <c r="U4716" s="8" t="str">
        <f aca="false">IF(T4716="BYPASS",IF(NOT(ISNUMBER(Q4716)),"PreV_ETB missing","End_tr_balance missing"),IF(T4716="FAIL",IF(AND(ISNUMBER(K4716),ISNUMBER(L4716),ABS(L4716-(K4716-IF(ISNUMBER(N4716),N4716,0)-IF(ISNUMBER(O4716),O4716,0)+IF(ISNUMBER(P4716),P4716,0)))&lt;=Summary!$B$2),"Passes using beginning_balance - PreV_ETB differs from beginning_balance",IF(AND(ISNUMBER(O4716),O4716&lt;0,ABS(L4716-(Q4716-IF(ISNUMBER(N4716),N4716,0)+IF(ISNUMBER(P4716),P4716,0)))&lt;=Summary!$B$2),"Negative realized loss not applied - check sign",IF(R4716&lt;0,"Principal paid exceeds prior balance",IF(AND(L4716&gt;Q4716,NOT(ISNUMBER(P4716))),"Balance increased but no Deferred_interest reported",IF(L4716&gt;R4716,"Reported balance higher than expected (missing increase/OC build)","Reported balance lower than expected (missing decrease)"))))),""))</f>
        <v/>
      </c>
    </row>
    <row r="4717" customFormat="false" ht="15" hidden="false" customHeight="false" outlineLevel="0" collapsed="false">
      <c r="A4717" s="8"/>
      <c r="B4717" s="8"/>
      <c r="C4717" s="8"/>
      <c r="D4717" s="8"/>
      <c r="E4717" s="8"/>
      <c r="F4717" s="8"/>
      <c r="G4717" s="8"/>
      <c r="H4717" s="8"/>
      <c r="I4717" s="8"/>
      <c r="J4717" s="8"/>
      <c r="K4717" s="9"/>
      <c r="L4717" s="9"/>
      <c r="M4717" s="9"/>
      <c r="N4717" s="9"/>
      <c r="O4717" s="9"/>
      <c r="P4717" s="9"/>
      <c r="Q4717" s="9"/>
      <c r="R4717" s="9" t="str">
        <f aca="false">IF(AND(A4717&lt;&gt;"",ISNUMBER(Q4717),ISNUMBER(L4717)),ROUND(Q4717-IF(ISNUMBER(N4717),N4717,0)-IF(ISNUMBER(O4717),O4717,0)+IF(ISNUMBER(P4717),P4717,0),2),"")</f>
        <v/>
      </c>
      <c r="S4717" s="9" t="str">
        <f aca="false">IF(R4717="","",ROUND(L4717-R4717,2))</f>
        <v/>
      </c>
      <c r="T4717" s="8" t="str">
        <f aca="false">IF(A4717="","",IF(S4717="","BYPASS",IF(ABS(S4717)&lt;=Summary!$B$2,"PASS","FAIL")))</f>
        <v/>
      </c>
      <c r="U4717" s="8" t="str">
        <f aca="false">IF(T4717="BYPASS",IF(NOT(ISNUMBER(Q4717)),"PreV_ETB missing","End_tr_balance missing"),IF(T4717="FAIL",IF(AND(ISNUMBER(K4717),ISNUMBER(L4717),ABS(L4717-(K4717-IF(ISNUMBER(N4717),N4717,0)-IF(ISNUMBER(O4717),O4717,0)+IF(ISNUMBER(P4717),P4717,0)))&lt;=Summary!$B$2),"Passes using beginning_balance - PreV_ETB differs from beginning_balance",IF(AND(ISNUMBER(O4717),O4717&lt;0,ABS(L4717-(Q4717-IF(ISNUMBER(N4717),N4717,0)+IF(ISNUMBER(P4717),P4717,0)))&lt;=Summary!$B$2),"Negative realized loss not applied - check sign",IF(R4717&lt;0,"Principal paid exceeds prior balance",IF(AND(L4717&gt;Q4717,NOT(ISNUMBER(P4717))),"Balance increased but no Deferred_interest reported",IF(L4717&gt;R4717,"Reported balance higher than expected (missing increase/OC build)","Reported balance lower than expected (missing decrease)"))))),""))</f>
        <v/>
      </c>
    </row>
    <row r="4718" customFormat="false" ht="15" hidden="false" customHeight="false" outlineLevel="0" collapsed="false">
      <c r="A4718" s="8"/>
      <c r="B4718" s="8"/>
      <c r="C4718" s="8"/>
      <c r="D4718" s="8"/>
      <c r="E4718" s="8"/>
      <c r="F4718" s="8"/>
      <c r="G4718" s="8"/>
      <c r="H4718" s="8"/>
      <c r="I4718" s="8"/>
      <c r="J4718" s="8"/>
      <c r="K4718" s="9"/>
      <c r="L4718" s="9"/>
      <c r="M4718" s="9"/>
      <c r="N4718" s="9"/>
      <c r="O4718" s="9"/>
      <c r="P4718" s="9"/>
      <c r="Q4718" s="9"/>
      <c r="R4718" s="9" t="str">
        <f aca="false">IF(AND(A4718&lt;&gt;"",ISNUMBER(Q4718),ISNUMBER(L4718)),ROUND(Q4718-IF(ISNUMBER(N4718),N4718,0)-IF(ISNUMBER(O4718),O4718,0)+IF(ISNUMBER(P4718),P4718,0),2),"")</f>
        <v/>
      </c>
      <c r="S4718" s="9" t="str">
        <f aca="false">IF(R4718="","",ROUND(L4718-R4718,2))</f>
        <v/>
      </c>
      <c r="T4718" s="8" t="str">
        <f aca="false">IF(A4718="","",IF(S4718="","BYPASS",IF(ABS(S4718)&lt;=Summary!$B$2,"PASS","FAIL")))</f>
        <v/>
      </c>
      <c r="U4718" s="8" t="str">
        <f aca="false">IF(T4718="BYPASS",IF(NOT(ISNUMBER(Q4718)),"PreV_ETB missing","End_tr_balance missing"),IF(T4718="FAIL",IF(AND(ISNUMBER(K4718),ISNUMBER(L4718),ABS(L4718-(K4718-IF(ISNUMBER(N4718),N4718,0)-IF(ISNUMBER(O4718),O4718,0)+IF(ISNUMBER(P4718),P4718,0)))&lt;=Summary!$B$2),"Passes using beginning_balance - PreV_ETB differs from beginning_balance",IF(AND(ISNUMBER(O4718),O4718&lt;0,ABS(L4718-(Q4718-IF(ISNUMBER(N4718),N4718,0)+IF(ISNUMBER(P4718),P4718,0)))&lt;=Summary!$B$2),"Negative realized loss not applied - check sign",IF(R4718&lt;0,"Principal paid exceeds prior balance",IF(AND(L4718&gt;Q4718,NOT(ISNUMBER(P4718))),"Balance increased but no Deferred_interest reported",IF(L4718&gt;R4718,"Reported balance higher than expected (missing increase/OC build)","Reported balance lower than expected (missing decrease)"))))),""))</f>
        <v/>
      </c>
    </row>
    <row r="4719" customFormat="false" ht="15" hidden="false" customHeight="false" outlineLevel="0" collapsed="false">
      <c r="A4719" s="8"/>
      <c r="B4719" s="8"/>
      <c r="C4719" s="8"/>
      <c r="D4719" s="8"/>
      <c r="E4719" s="8"/>
      <c r="F4719" s="8"/>
      <c r="G4719" s="8"/>
      <c r="H4719" s="8"/>
      <c r="I4719" s="8"/>
      <c r="J4719" s="8"/>
      <c r="K4719" s="9"/>
      <c r="L4719" s="9"/>
      <c r="M4719" s="9"/>
      <c r="N4719" s="9"/>
      <c r="O4719" s="9"/>
      <c r="P4719" s="9"/>
      <c r="Q4719" s="9"/>
      <c r="R4719" s="9" t="str">
        <f aca="false">IF(AND(A4719&lt;&gt;"",ISNUMBER(Q4719),ISNUMBER(L4719)),ROUND(Q4719-IF(ISNUMBER(N4719),N4719,0)-IF(ISNUMBER(O4719),O4719,0)+IF(ISNUMBER(P4719),P4719,0),2),"")</f>
        <v/>
      </c>
      <c r="S4719" s="9" t="str">
        <f aca="false">IF(R4719="","",ROUND(L4719-R4719,2))</f>
        <v/>
      </c>
      <c r="T4719" s="8" t="str">
        <f aca="false">IF(A4719="","",IF(S4719="","BYPASS",IF(ABS(S4719)&lt;=Summary!$B$2,"PASS","FAIL")))</f>
        <v/>
      </c>
      <c r="U4719" s="8" t="str">
        <f aca="false">IF(T4719="BYPASS",IF(NOT(ISNUMBER(Q4719)),"PreV_ETB missing","End_tr_balance missing"),IF(T4719="FAIL",IF(AND(ISNUMBER(K4719),ISNUMBER(L4719),ABS(L4719-(K4719-IF(ISNUMBER(N4719),N4719,0)-IF(ISNUMBER(O4719),O4719,0)+IF(ISNUMBER(P4719),P4719,0)))&lt;=Summary!$B$2),"Passes using beginning_balance - PreV_ETB differs from beginning_balance",IF(AND(ISNUMBER(O4719),O4719&lt;0,ABS(L4719-(Q4719-IF(ISNUMBER(N4719),N4719,0)+IF(ISNUMBER(P4719),P4719,0)))&lt;=Summary!$B$2),"Negative realized loss not applied - check sign",IF(R4719&lt;0,"Principal paid exceeds prior balance",IF(AND(L4719&gt;Q4719,NOT(ISNUMBER(P4719))),"Balance increased but no Deferred_interest reported",IF(L4719&gt;R4719,"Reported balance higher than expected (missing increase/OC build)","Reported balance lower than expected (missing decrease)"))))),""))</f>
        <v/>
      </c>
    </row>
    <row r="4720" customFormat="false" ht="15" hidden="false" customHeight="false" outlineLevel="0" collapsed="false">
      <c r="A4720" s="8"/>
      <c r="B4720" s="8"/>
      <c r="C4720" s="8"/>
      <c r="D4720" s="8"/>
      <c r="E4720" s="8"/>
      <c r="F4720" s="8"/>
      <c r="G4720" s="8"/>
      <c r="H4720" s="8"/>
      <c r="I4720" s="8"/>
      <c r="J4720" s="8"/>
      <c r="K4720" s="9"/>
      <c r="L4720" s="9"/>
      <c r="M4720" s="9"/>
      <c r="N4720" s="9"/>
      <c r="O4720" s="9"/>
      <c r="P4720" s="9"/>
      <c r="Q4720" s="9"/>
      <c r="R4720" s="9" t="str">
        <f aca="false">IF(AND(A4720&lt;&gt;"",ISNUMBER(Q4720),ISNUMBER(L4720)),ROUND(Q4720-IF(ISNUMBER(N4720),N4720,0)-IF(ISNUMBER(O4720),O4720,0)+IF(ISNUMBER(P4720),P4720,0),2),"")</f>
        <v/>
      </c>
      <c r="S4720" s="9" t="str">
        <f aca="false">IF(R4720="","",ROUND(L4720-R4720,2))</f>
        <v/>
      </c>
      <c r="T4720" s="8" t="str">
        <f aca="false">IF(A4720="","",IF(S4720="","BYPASS",IF(ABS(S4720)&lt;=Summary!$B$2,"PASS","FAIL")))</f>
        <v/>
      </c>
      <c r="U4720" s="8" t="str">
        <f aca="false">IF(T4720="BYPASS",IF(NOT(ISNUMBER(Q4720)),"PreV_ETB missing","End_tr_balance missing"),IF(T4720="FAIL",IF(AND(ISNUMBER(K4720),ISNUMBER(L4720),ABS(L4720-(K4720-IF(ISNUMBER(N4720),N4720,0)-IF(ISNUMBER(O4720),O4720,0)+IF(ISNUMBER(P4720),P4720,0)))&lt;=Summary!$B$2),"Passes using beginning_balance - PreV_ETB differs from beginning_balance",IF(AND(ISNUMBER(O4720),O4720&lt;0,ABS(L4720-(Q4720-IF(ISNUMBER(N4720),N4720,0)+IF(ISNUMBER(P4720),P4720,0)))&lt;=Summary!$B$2),"Negative realized loss not applied - check sign",IF(R4720&lt;0,"Principal paid exceeds prior balance",IF(AND(L4720&gt;Q4720,NOT(ISNUMBER(P4720))),"Balance increased but no Deferred_interest reported",IF(L4720&gt;R4720,"Reported balance higher than expected (missing increase/OC build)","Reported balance lower than expected (missing decrease)"))))),""))</f>
        <v/>
      </c>
    </row>
    <row r="4721" customFormat="false" ht="15" hidden="false" customHeight="false" outlineLevel="0" collapsed="false">
      <c r="A4721" s="8"/>
      <c r="B4721" s="8"/>
      <c r="C4721" s="8"/>
      <c r="D4721" s="8"/>
      <c r="E4721" s="8"/>
      <c r="F4721" s="8"/>
      <c r="G4721" s="8"/>
      <c r="H4721" s="8"/>
      <c r="I4721" s="8"/>
      <c r="J4721" s="8"/>
      <c r="K4721" s="9"/>
      <c r="L4721" s="9"/>
      <c r="M4721" s="9"/>
      <c r="N4721" s="9"/>
      <c r="O4721" s="9"/>
      <c r="P4721" s="9"/>
      <c r="Q4721" s="9"/>
      <c r="R4721" s="9" t="str">
        <f aca="false">IF(AND(A4721&lt;&gt;"",ISNUMBER(Q4721),ISNUMBER(L4721)),ROUND(Q4721-IF(ISNUMBER(N4721),N4721,0)-IF(ISNUMBER(O4721),O4721,0)+IF(ISNUMBER(P4721),P4721,0),2),"")</f>
        <v/>
      </c>
      <c r="S4721" s="9" t="str">
        <f aca="false">IF(R4721="","",ROUND(L4721-R4721,2))</f>
        <v/>
      </c>
      <c r="T4721" s="8" t="str">
        <f aca="false">IF(A4721="","",IF(S4721="","BYPASS",IF(ABS(S4721)&lt;=Summary!$B$2,"PASS","FAIL")))</f>
        <v/>
      </c>
      <c r="U4721" s="8" t="str">
        <f aca="false">IF(T4721="BYPASS",IF(NOT(ISNUMBER(Q4721)),"PreV_ETB missing","End_tr_balance missing"),IF(T4721="FAIL",IF(AND(ISNUMBER(K4721),ISNUMBER(L4721),ABS(L4721-(K4721-IF(ISNUMBER(N4721),N4721,0)-IF(ISNUMBER(O4721),O4721,0)+IF(ISNUMBER(P4721),P4721,0)))&lt;=Summary!$B$2),"Passes using beginning_balance - PreV_ETB differs from beginning_balance",IF(AND(ISNUMBER(O4721),O4721&lt;0,ABS(L4721-(Q4721-IF(ISNUMBER(N4721),N4721,0)+IF(ISNUMBER(P4721),P4721,0)))&lt;=Summary!$B$2),"Negative realized loss not applied - check sign",IF(R4721&lt;0,"Principal paid exceeds prior balance",IF(AND(L4721&gt;Q4721,NOT(ISNUMBER(P4721))),"Balance increased but no Deferred_interest reported",IF(L4721&gt;R4721,"Reported balance higher than expected (missing increase/OC build)","Reported balance lower than expected (missing decrease)"))))),""))</f>
        <v/>
      </c>
    </row>
    <row r="4722" customFormat="false" ht="15" hidden="false" customHeight="false" outlineLevel="0" collapsed="false">
      <c r="A4722" s="8"/>
      <c r="B4722" s="8"/>
      <c r="C4722" s="8"/>
      <c r="D4722" s="8"/>
      <c r="E4722" s="8"/>
      <c r="F4722" s="8"/>
      <c r="G4722" s="8"/>
      <c r="H4722" s="8"/>
      <c r="I4722" s="8"/>
      <c r="J4722" s="8"/>
      <c r="K4722" s="9"/>
      <c r="L4722" s="9"/>
      <c r="M4722" s="9"/>
      <c r="N4722" s="9"/>
      <c r="O4722" s="9"/>
      <c r="P4722" s="9"/>
      <c r="Q4722" s="9"/>
      <c r="R4722" s="9" t="str">
        <f aca="false">IF(AND(A4722&lt;&gt;"",ISNUMBER(Q4722),ISNUMBER(L4722)),ROUND(Q4722-IF(ISNUMBER(N4722),N4722,0)-IF(ISNUMBER(O4722),O4722,0)+IF(ISNUMBER(P4722),P4722,0),2),"")</f>
        <v/>
      </c>
      <c r="S4722" s="9" t="str">
        <f aca="false">IF(R4722="","",ROUND(L4722-R4722,2))</f>
        <v/>
      </c>
      <c r="T4722" s="8" t="str">
        <f aca="false">IF(A4722="","",IF(S4722="","BYPASS",IF(ABS(S4722)&lt;=Summary!$B$2,"PASS","FAIL")))</f>
        <v/>
      </c>
      <c r="U4722" s="8" t="str">
        <f aca="false">IF(T4722="BYPASS",IF(NOT(ISNUMBER(Q4722)),"PreV_ETB missing","End_tr_balance missing"),IF(T4722="FAIL",IF(AND(ISNUMBER(K4722),ISNUMBER(L4722),ABS(L4722-(K4722-IF(ISNUMBER(N4722),N4722,0)-IF(ISNUMBER(O4722),O4722,0)+IF(ISNUMBER(P4722),P4722,0)))&lt;=Summary!$B$2),"Passes using beginning_balance - PreV_ETB differs from beginning_balance",IF(AND(ISNUMBER(O4722),O4722&lt;0,ABS(L4722-(Q4722-IF(ISNUMBER(N4722),N4722,0)+IF(ISNUMBER(P4722),P4722,0)))&lt;=Summary!$B$2),"Negative realized loss not applied - check sign",IF(R4722&lt;0,"Principal paid exceeds prior balance",IF(AND(L4722&gt;Q4722,NOT(ISNUMBER(P4722))),"Balance increased but no Deferred_interest reported",IF(L4722&gt;R4722,"Reported balance higher than expected (missing increase/OC build)","Reported balance lower than expected (missing decrease)"))))),""))</f>
        <v/>
      </c>
    </row>
    <row r="4723" customFormat="false" ht="15" hidden="false" customHeight="false" outlineLevel="0" collapsed="false">
      <c r="A4723" s="8"/>
      <c r="B4723" s="8"/>
      <c r="C4723" s="8"/>
      <c r="D4723" s="8"/>
      <c r="E4723" s="8"/>
      <c r="F4723" s="8"/>
      <c r="G4723" s="8"/>
      <c r="H4723" s="8"/>
      <c r="I4723" s="8"/>
      <c r="J4723" s="8"/>
      <c r="K4723" s="9"/>
      <c r="L4723" s="9"/>
      <c r="M4723" s="9"/>
      <c r="N4723" s="9"/>
      <c r="O4723" s="9"/>
      <c r="P4723" s="9"/>
      <c r="Q4723" s="9"/>
      <c r="R4723" s="9" t="str">
        <f aca="false">IF(AND(A4723&lt;&gt;"",ISNUMBER(Q4723),ISNUMBER(L4723)),ROUND(Q4723-IF(ISNUMBER(N4723),N4723,0)-IF(ISNUMBER(O4723),O4723,0)+IF(ISNUMBER(P4723),P4723,0),2),"")</f>
        <v/>
      </c>
      <c r="S4723" s="9" t="str">
        <f aca="false">IF(R4723="","",ROUND(L4723-R4723,2))</f>
        <v/>
      </c>
      <c r="T4723" s="8" t="str">
        <f aca="false">IF(A4723="","",IF(S4723="","BYPASS",IF(ABS(S4723)&lt;=Summary!$B$2,"PASS","FAIL")))</f>
        <v/>
      </c>
      <c r="U4723" s="8" t="str">
        <f aca="false">IF(T4723="BYPASS",IF(NOT(ISNUMBER(Q4723)),"PreV_ETB missing","End_tr_balance missing"),IF(T4723="FAIL",IF(AND(ISNUMBER(K4723),ISNUMBER(L4723),ABS(L4723-(K4723-IF(ISNUMBER(N4723),N4723,0)-IF(ISNUMBER(O4723),O4723,0)+IF(ISNUMBER(P4723),P4723,0)))&lt;=Summary!$B$2),"Passes using beginning_balance - PreV_ETB differs from beginning_balance",IF(AND(ISNUMBER(O4723),O4723&lt;0,ABS(L4723-(Q4723-IF(ISNUMBER(N4723),N4723,0)+IF(ISNUMBER(P4723),P4723,0)))&lt;=Summary!$B$2),"Negative realized loss not applied - check sign",IF(R4723&lt;0,"Principal paid exceeds prior balance",IF(AND(L4723&gt;Q4723,NOT(ISNUMBER(P4723))),"Balance increased but no Deferred_interest reported",IF(L4723&gt;R4723,"Reported balance higher than expected (missing increase/OC build)","Reported balance lower than expected (missing decrease)"))))),""))</f>
        <v/>
      </c>
    </row>
    <row r="4724" customFormat="false" ht="15" hidden="false" customHeight="false" outlineLevel="0" collapsed="false">
      <c r="A4724" s="8"/>
      <c r="B4724" s="8"/>
      <c r="C4724" s="8"/>
      <c r="D4724" s="8"/>
      <c r="E4724" s="8"/>
      <c r="F4724" s="8"/>
      <c r="G4724" s="8"/>
      <c r="H4724" s="8"/>
      <c r="I4724" s="8"/>
      <c r="J4724" s="8"/>
      <c r="K4724" s="9"/>
      <c r="L4724" s="9"/>
      <c r="M4724" s="9"/>
      <c r="N4724" s="9"/>
      <c r="O4724" s="9"/>
      <c r="P4724" s="9"/>
      <c r="Q4724" s="9"/>
      <c r="R4724" s="9" t="str">
        <f aca="false">IF(AND(A4724&lt;&gt;"",ISNUMBER(Q4724),ISNUMBER(L4724)),ROUND(Q4724-IF(ISNUMBER(N4724),N4724,0)-IF(ISNUMBER(O4724),O4724,0)+IF(ISNUMBER(P4724),P4724,0),2),"")</f>
        <v/>
      </c>
      <c r="S4724" s="9" t="str">
        <f aca="false">IF(R4724="","",ROUND(L4724-R4724,2))</f>
        <v/>
      </c>
      <c r="T4724" s="8" t="str">
        <f aca="false">IF(A4724="","",IF(S4724="","BYPASS",IF(ABS(S4724)&lt;=Summary!$B$2,"PASS","FAIL")))</f>
        <v/>
      </c>
      <c r="U4724" s="8" t="str">
        <f aca="false">IF(T4724="BYPASS",IF(NOT(ISNUMBER(Q4724)),"PreV_ETB missing","End_tr_balance missing"),IF(T4724="FAIL",IF(AND(ISNUMBER(K4724),ISNUMBER(L4724),ABS(L4724-(K4724-IF(ISNUMBER(N4724),N4724,0)-IF(ISNUMBER(O4724),O4724,0)+IF(ISNUMBER(P4724),P4724,0)))&lt;=Summary!$B$2),"Passes using beginning_balance - PreV_ETB differs from beginning_balance",IF(AND(ISNUMBER(O4724),O4724&lt;0,ABS(L4724-(Q4724-IF(ISNUMBER(N4724),N4724,0)+IF(ISNUMBER(P4724),P4724,0)))&lt;=Summary!$B$2),"Negative realized loss not applied - check sign",IF(R4724&lt;0,"Principal paid exceeds prior balance",IF(AND(L4724&gt;Q4724,NOT(ISNUMBER(P4724))),"Balance increased but no Deferred_interest reported",IF(L4724&gt;R4724,"Reported balance higher than expected (missing increase/OC build)","Reported balance lower than expected (missing decrease)"))))),""))</f>
        <v/>
      </c>
    </row>
    <row r="4725" customFormat="false" ht="15" hidden="false" customHeight="false" outlineLevel="0" collapsed="false">
      <c r="A4725" s="8"/>
      <c r="B4725" s="8"/>
      <c r="C4725" s="8"/>
      <c r="D4725" s="8"/>
      <c r="E4725" s="8"/>
      <c r="F4725" s="8"/>
      <c r="G4725" s="8"/>
      <c r="H4725" s="8"/>
      <c r="I4725" s="8"/>
      <c r="J4725" s="8"/>
      <c r="K4725" s="9"/>
      <c r="L4725" s="9"/>
      <c r="M4725" s="9"/>
      <c r="N4725" s="9"/>
      <c r="O4725" s="9"/>
      <c r="P4725" s="9"/>
      <c r="Q4725" s="9"/>
      <c r="R4725" s="9" t="str">
        <f aca="false">IF(AND(A4725&lt;&gt;"",ISNUMBER(Q4725),ISNUMBER(L4725)),ROUND(Q4725-IF(ISNUMBER(N4725),N4725,0)-IF(ISNUMBER(O4725),O4725,0)+IF(ISNUMBER(P4725),P4725,0),2),"")</f>
        <v/>
      </c>
      <c r="S4725" s="9" t="str">
        <f aca="false">IF(R4725="","",ROUND(L4725-R4725,2))</f>
        <v/>
      </c>
      <c r="T4725" s="8" t="str">
        <f aca="false">IF(A4725="","",IF(S4725="","BYPASS",IF(ABS(S4725)&lt;=Summary!$B$2,"PASS","FAIL")))</f>
        <v/>
      </c>
      <c r="U4725" s="8" t="str">
        <f aca="false">IF(T4725="BYPASS",IF(NOT(ISNUMBER(Q4725)),"PreV_ETB missing","End_tr_balance missing"),IF(T4725="FAIL",IF(AND(ISNUMBER(K4725),ISNUMBER(L4725),ABS(L4725-(K4725-IF(ISNUMBER(N4725),N4725,0)-IF(ISNUMBER(O4725),O4725,0)+IF(ISNUMBER(P4725),P4725,0)))&lt;=Summary!$B$2),"Passes using beginning_balance - PreV_ETB differs from beginning_balance",IF(AND(ISNUMBER(O4725),O4725&lt;0,ABS(L4725-(Q4725-IF(ISNUMBER(N4725),N4725,0)+IF(ISNUMBER(P4725),P4725,0)))&lt;=Summary!$B$2),"Negative realized loss not applied - check sign",IF(R4725&lt;0,"Principal paid exceeds prior balance",IF(AND(L4725&gt;Q4725,NOT(ISNUMBER(P4725))),"Balance increased but no Deferred_interest reported",IF(L4725&gt;R4725,"Reported balance higher than expected (missing increase/OC build)","Reported balance lower than expected (missing decrease)"))))),""))</f>
        <v/>
      </c>
    </row>
    <row r="4726" customFormat="false" ht="15" hidden="false" customHeight="false" outlineLevel="0" collapsed="false">
      <c r="A4726" s="8"/>
      <c r="B4726" s="8"/>
      <c r="C4726" s="8"/>
      <c r="D4726" s="8"/>
      <c r="E4726" s="8"/>
      <c r="F4726" s="8"/>
      <c r="G4726" s="8"/>
      <c r="H4726" s="8"/>
      <c r="I4726" s="8"/>
      <c r="J4726" s="8"/>
      <c r="K4726" s="9"/>
      <c r="L4726" s="9"/>
      <c r="M4726" s="9"/>
      <c r="N4726" s="9"/>
      <c r="O4726" s="9"/>
      <c r="P4726" s="9"/>
      <c r="Q4726" s="9"/>
      <c r="R4726" s="9" t="str">
        <f aca="false">IF(AND(A4726&lt;&gt;"",ISNUMBER(Q4726),ISNUMBER(L4726)),ROUND(Q4726-IF(ISNUMBER(N4726),N4726,0)-IF(ISNUMBER(O4726),O4726,0)+IF(ISNUMBER(P4726),P4726,0),2),"")</f>
        <v/>
      </c>
      <c r="S4726" s="9" t="str">
        <f aca="false">IF(R4726="","",ROUND(L4726-R4726,2))</f>
        <v/>
      </c>
      <c r="T4726" s="8" t="str">
        <f aca="false">IF(A4726="","",IF(S4726="","BYPASS",IF(ABS(S4726)&lt;=Summary!$B$2,"PASS","FAIL")))</f>
        <v/>
      </c>
      <c r="U4726" s="8" t="str">
        <f aca="false">IF(T4726="BYPASS",IF(NOT(ISNUMBER(Q4726)),"PreV_ETB missing","End_tr_balance missing"),IF(T4726="FAIL",IF(AND(ISNUMBER(K4726),ISNUMBER(L4726),ABS(L4726-(K4726-IF(ISNUMBER(N4726),N4726,0)-IF(ISNUMBER(O4726),O4726,0)+IF(ISNUMBER(P4726),P4726,0)))&lt;=Summary!$B$2),"Passes using beginning_balance - PreV_ETB differs from beginning_balance",IF(AND(ISNUMBER(O4726),O4726&lt;0,ABS(L4726-(Q4726-IF(ISNUMBER(N4726),N4726,0)+IF(ISNUMBER(P4726),P4726,0)))&lt;=Summary!$B$2),"Negative realized loss not applied - check sign",IF(R4726&lt;0,"Principal paid exceeds prior balance",IF(AND(L4726&gt;Q4726,NOT(ISNUMBER(P4726))),"Balance increased but no Deferred_interest reported",IF(L4726&gt;R4726,"Reported balance higher than expected (missing increase/OC build)","Reported balance lower than expected (missing decrease)"))))),""))</f>
        <v/>
      </c>
    </row>
    <row r="4727" customFormat="false" ht="15" hidden="false" customHeight="false" outlineLevel="0" collapsed="false">
      <c r="A4727" s="8"/>
      <c r="B4727" s="8"/>
      <c r="C4727" s="8"/>
      <c r="D4727" s="8"/>
      <c r="E4727" s="8"/>
      <c r="F4727" s="8"/>
      <c r="G4727" s="8"/>
      <c r="H4727" s="8"/>
      <c r="I4727" s="8"/>
      <c r="J4727" s="8"/>
      <c r="K4727" s="9"/>
      <c r="L4727" s="9"/>
      <c r="M4727" s="9"/>
      <c r="N4727" s="9"/>
      <c r="O4727" s="9"/>
      <c r="P4727" s="9"/>
      <c r="Q4727" s="9"/>
      <c r="R4727" s="9" t="str">
        <f aca="false">IF(AND(A4727&lt;&gt;"",ISNUMBER(Q4727),ISNUMBER(L4727)),ROUND(Q4727-IF(ISNUMBER(N4727),N4727,0)-IF(ISNUMBER(O4727),O4727,0)+IF(ISNUMBER(P4727),P4727,0),2),"")</f>
        <v/>
      </c>
      <c r="S4727" s="9" t="str">
        <f aca="false">IF(R4727="","",ROUND(L4727-R4727,2))</f>
        <v/>
      </c>
      <c r="T4727" s="8" t="str">
        <f aca="false">IF(A4727="","",IF(S4727="","BYPASS",IF(ABS(S4727)&lt;=Summary!$B$2,"PASS","FAIL")))</f>
        <v/>
      </c>
      <c r="U4727" s="8" t="str">
        <f aca="false">IF(T4727="BYPASS",IF(NOT(ISNUMBER(Q4727)),"PreV_ETB missing","End_tr_balance missing"),IF(T4727="FAIL",IF(AND(ISNUMBER(K4727),ISNUMBER(L4727),ABS(L4727-(K4727-IF(ISNUMBER(N4727),N4727,0)-IF(ISNUMBER(O4727),O4727,0)+IF(ISNUMBER(P4727),P4727,0)))&lt;=Summary!$B$2),"Passes using beginning_balance - PreV_ETB differs from beginning_balance",IF(AND(ISNUMBER(O4727),O4727&lt;0,ABS(L4727-(Q4727-IF(ISNUMBER(N4727),N4727,0)+IF(ISNUMBER(P4727),P4727,0)))&lt;=Summary!$B$2),"Negative realized loss not applied - check sign",IF(R4727&lt;0,"Principal paid exceeds prior balance",IF(AND(L4727&gt;Q4727,NOT(ISNUMBER(P4727))),"Balance increased but no Deferred_interest reported",IF(L4727&gt;R4727,"Reported balance higher than expected (missing increase/OC build)","Reported balance lower than expected (missing decrease)"))))),""))</f>
        <v/>
      </c>
    </row>
    <row r="4728" customFormat="false" ht="15" hidden="false" customHeight="false" outlineLevel="0" collapsed="false">
      <c r="A4728" s="8"/>
      <c r="B4728" s="8"/>
      <c r="C4728" s="8"/>
      <c r="D4728" s="8"/>
      <c r="E4728" s="8"/>
      <c r="F4728" s="8"/>
      <c r="G4728" s="8"/>
      <c r="H4728" s="8"/>
      <c r="I4728" s="8"/>
      <c r="J4728" s="8"/>
      <c r="K4728" s="9"/>
      <c r="L4728" s="9"/>
      <c r="M4728" s="9"/>
      <c r="N4728" s="9"/>
      <c r="O4728" s="9"/>
      <c r="P4728" s="9"/>
      <c r="Q4728" s="9"/>
      <c r="R4728" s="9" t="str">
        <f aca="false">IF(AND(A4728&lt;&gt;"",ISNUMBER(Q4728),ISNUMBER(L4728)),ROUND(Q4728-IF(ISNUMBER(N4728),N4728,0)-IF(ISNUMBER(O4728),O4728,0)+IF(ISNUMBER(P4728),P4728,0),2),"")</f>
        <v/>
      </c>
      <c r="S4728" s="9" t="str">
        <f aca="false">IF(R4728="","",ROUND(L4728-R4728,2))</f>
        <v/>
      </c>
      <c r="T4728" s="8" t="str">
        <f aca="false">IF(A4728="","",IF(S4728="","BYPASS",IF(ABS(S4728)&lt;=Summary!$B$2,"PASS","FAIL")))</f>
        <v/>
      </c>
      <c r="U4728" s="8" t="str">
        <f aca="false">IF(T4728="BYPASS",IF(NOT(ISNUMBER(Q4728)),"PreV_ETB missing","End_tr_balance missing"),IF(T4728="FAIL",IF(AND(ISNUMBER(K4728),ISNUMBER(L4728),ABS(L4728-(K4728-IF(ISNUMBER(N4728),N4728,0)-IF(ISNUMBER(O4728),O4728,0)+IF(ISNUMBER(P4728),P4728,0)))&lt;=Summary!$B$2),"Passes using beginning_balance - PreV_ETB differs from beginning_balance",IF(AND(ISNUMBER(O4728),O4728&lt;0,ABS(L4728-(Q4728-IF(ISNUMBER(N4728),N4728,0)+IF(ISNUMBER(P4728),P4728,0)))&lt;=Summary!$B$2),"Negative realized loss not applied - check sign",IF(R4728&lt;0,"Principal paid exceeds prior balance",IF(AND(L4728&gt;Q4728,NOT(ISNUMBER(P4728))),"Balance increased but no Deferred_interest reported",IF(L4728&gt;R4728,"Reported balance higher than expected (missing increase/OC build)","Reported balance lower than expected (missing decrease)"))))),""))</f>
        <v/>
      </c>
    </row>
    <row r="4729" customFormat="false" ht="15" hidden="false" customHeight="false" outlineLevel="0" collapsed="false">
      <c r="A4729" s="8"/>
      <c r="B4729" s="8"/>
      <c r="C4729" s="8"/>
      <c r="D4729" s="8"/>
      <c r="E4729" s="8"/>
      <c r="F4729" s="8"/>
      <c r="G4729" s="8"/>
      <c r="H4729" s="8"/>
      <c r="I4729" s="8"/>
      <c r="J4729" s="8"/>
      <c r="K4729" s="9"/>
      <c r="L4729" s="9"/>
      <c r="M4729" s="9"/>
      <c r="N4729" s="9"/>
      <c r="O4729" s="9"/>
      <c r="P4729" s="9"/>
      <c r="Q4729" s="9"/>
      <c r="R4729" s="9" t="str">
        <f aca="false">IF(AND(A4729&lt;&gt;"",ISNUMBER(Q4729),ISNUMBER(L4729)),ROUND(Q4729-IF(ISNUMBER(N4729),N4729,0)-IF(ISNUMBER(O4729),O4729,0)+IF(ISNUMBER(P4729),P4729,0),2),"")</f>
        <v/>
      </c>
      <c r="S4729" s="9" t="str">
        <f aca="false">IF(R4729="","",ROUND(L4729-R4729,2))</f>
        <v/>
      </c>
      <c r="T4729" s="8" t="str">
        <f aca="false">IF(A4729="","",IF(S4729="","BYPASS",IF(ABS(S4729)&lt;=Summary!$B$2,"PASS","FAIL")))</f>
        <v/>
      </c>
      <c r="U4729" s="8" t="str">
        <f aca="false">IF(T4729="BYPASS",IF(NOT(ISNUMBER(Q4729)),"PreV_ETB missing","End_tr_balance missing"),IF(T4729="FAIL",IF(AND(ISNUMBER(K4729),ISNUMBER(L4729),ABS(L4729-(K4729-IF(ISNUMBER(N4729),N4729,0)-IF(ISNUMBER(O4729),O4729,0)+IF(ISNUMBER(P4729),P4729,0)))&lt;=Summary!$B$2),"Passes using beginning_balance - PreV_ETB differs from beginning_balance",IF(AND(ISNUMBER(O4729),O4729&lt;0,ABS(L4729-(Q4729-IF(ISNUMBER(N4729),N4729,0)+IF(ISNUMBER(P4729),P4729,0)))&lt;=Summary!$B$2),"Negative realized loss not applied - check sign",IF(R4729&lt;0,"Principal paid exceeds prior balance",IF(AND(L4729&gt;Q4729,NOT(ISNUMBER(P4729))),"Balance increased but no Deferred_interest reported",IF(L4729&gt;R4729,"Reported balance higher than expected (missing increase/OC build)","Reported balance lower than expected (missing decrease)"))))),""))</f>
        <v/>
      </c>
    </row>
    <row r="4730" customFormat="false" ht="15" hidden="false" customHeight="false" outlineLevel="0" collapsed="false">
      <c r="A4730" s="8"/>
      <c r="B4730" s="8"/>
      <c r="C4730" s="8"/>
      <c r="D4730" s="8"/>
      <c r="E4730" s="8"/>
      <c r="F4730" s="8"/>
      <c r="G4730" s="8"/>
      <c r="H4730" s="8"/>
      <c r="I4730" s="8"/>
      <c r="J4730" s="8"/>
      <c r="K4730" s="9"/>
      <c r="L4730" s="9"/>
      <c r="M4730" s="9"/>
      <c r="N4730" s="9"/>
      <c r="O4730" s="9"/>
      <c r="P4730" s="9"/>
      <c r="Q4730" s="9"/>
      <c r="R4730" s="9" t="str">
        <f aca="false">IF(AND(A4730&lt;&gt;"",ISNUMBER(Q4730),ISNUMBER(L4730)),ROUND(Q4730-IF(ISNUMBER(N4730),N4730,0)-IF(ISNUMBER(O4730),O4730,0)+IF(ISNUMBER(P4730),P4730,0),2),"")</f>
        <v/>
      </c>
      <c r="S4730" s="9" t="str">
        <f aca="false">IF(R4730="","",ROUND(L4730-R4730,2))</f>
        <v/>
      </c>
      <c r="T4730" s="8" t="str">
        <f aca="false">IF(A4730="","",IF(S4730="","BYPASS",IF(ABS(S4730)&lt;=Summary!$B$2,"PASS","FAIL")))</f>
        <v/>
      </c>
      <c r="U4730" s="8" t="str">
        <f aca="false">IF(T4730="BYPASS",IF(NOT(ISNUMBER(Q4730)),"PreV_ETB missing","End_tr_balance missing"),IF(T4730="FAIL",IF(AND(ISNUMBER(K4730),ISNUMBER(L4730),ABS(L4730-(K4730-IF(ISNUMBER(N4730),N4730,0)-IF(ISNUMBER(O4730),O4730,0)+IF(ISNUMBER(P4730),P4730,0)))&lt;=Summary!$B$2),"Passes using beginning_balance - PreV_ETB differs from beginning_balance",IF(AND(ISNUMBER(O4730),O4730&lt;0,ABS(L4730-(Q4730-IF(ISNUMBER(N4730),N4730,0)+IF(ISNUMBER(P4730),P4730,0)))&lt;=Summary!$B$2),"Negative realized loss not applied - check sign",IF(R4730&lt;0,"Principal paid exceeds prior balance",IF(AND(L4730&gt;Q4730,NOT(ISNUMBER(P4730))),"Balance increased but no Deferred_interest reported",IF(L4730&gt;R4730,"Reported balance higher than expected (missing increase/OC build)","Reported balance lower than expected (missing decrease)"))))),""))</f>
        <v/>
      </c>
    </row>
    <row r="4731" customFormat="false" ht="15" hidden="false" customHeight="false" outlineLevel="0" collapsed="false">
      <c r="A4731" s="8"/>
      <c r="B4731" s="8"/>
      <c r="C4731" s="8"/>
      <c r="D4731" s="8"/>
      <c r="E4731" s="8"/>
      <c r="F4731" s="8"/>
      <c r="G4731" s="8"/>
      <c r="H4731" s="8"/>
      <c r="I4731" s="8"/>
      <c r="J4731" s="8"/>
      <c r="K4731" s="9"/>
      <c r="L4731" s="9"/>
      <c r="M4731" s="9"/>
      <c r="N4731" s="9"/>
      <c r="O4731" s="9"/>
      <c r="P4731" s="9"/>
      <c r="Q4731" s="9"/>
      <c r="R4731" s="9" t="str">
        <f aca="false">IF(AND(A4731&lt;&gt;"",ISNUMBER(Q4731),ISNUMBER(L4731)),ROUND(Q4731-IF(ISNUMBER(N4731),N4731,0)-IF(ISNUMBER(O4731),O4731,0)+IF(ISNUMBER(P4731),P4731,0),2),"")</f>
        <v/>
      </c>
      <c r="S4731" s="9" t="str">
        <f aca="false">IF(R4731="","",ROUND(L4731-R4731,2))</f>
        <v/>
      </c>
      <c r="T4731" s="8" t="str">
        <f aca="false">IF(A4731="","",IF(S4731="","BYPASS",IF(ABS(S4731)&lt;=Summary!$B$2,"PASS","FAIL")))</f>
        <v/>
      </c>
      <c r="U4731" s="8" t="str">
        <f aca="false">IF(T4731="BYPASS",IF(NOT(ISNUMBER(Q4731)),"PreV_ETB missing","End_tr_balance missing"),IF(T4731="FAIL",IF(AND(ISNUMBER(K4731),ISNUMBER(L4731),ABS(L4731-(K4731-IF(ISNUMBER(N4731),N4731,0)-IF(ISNUMBER(O4731),O4731,0)+IF(ISNUMBER(P4731),P4731,0)))&lt;=Summary!$B$2),"Passes using beginning_balance - PreV_ETB differs from beginning_balance",IF(AND(ISNUMBER(O4731),O4731&lt;0,ABS(L4731-(Q4731-IF(ISNUMBER(N4731),N4731,0)+IF(ISNUMBER(P4731),P4731,0)))&lt;=Summary!$B$2),"Negative realized loss not applied - check sign",IF(R4731&lt;0,"Principal paid exceeds prior balance",IF(AND(L4731&gt;Q4731,NOT(ISNUMBER(P4731))),"Balance increased but no Deferred_interest reported",IF(L4731&gt;R4731,"Reported balance higher than expected (missing increase/OC build)","Reported balance lower than expected (missing decrease)"))))),""))</f>
        <v/>
      </c>
    </row>
    <row r="4732" customFormat="false" ht="15" hidden="false" customHeight="false" outlineLevel="0" collapsed="false">
      <c r="A4732" s="8"/>
      <c r="B4732" s="8"/>
      <c r="C4732" s="8"/>
      <c r="D4732" s="8"/>
      <c r="E4732" s="8"/>
      <c r="F4732" s="8"/>
      <c r="G4732" s="8"/>
      <c r="H4732" s="8"/>
      <c r="I4732" s="8"/>
      <c r="J4732" s="8"/>
      <c r="K4732" s="9"/>
      <c r="L4732" s="9"/>
      <c r="M4732" s="9"/>
      <c r="N4732" s="9"/>
      <c r="O4732" s="9"/>
      <c r="P4732" s="9"/>
      <c r="Q4732" s="9"/>
      <c r="R4732" s="9" t="str">
        <f aca="false">IF(AND(A4732&lt;&gt;"",ISNUMBER(Q4732),ISNUMBER(L4732)),ROUND(Q4732-IF(ISNUMBER(N4732),N4732,0)-IF(ISNUMBER(O4732),O4732,0)+IF(ISNUMBER(P4732),P4732,0),2),"")</f>
        <v/>
      </c>
      <c r="S4732" s="9" t="str">
        <f aca="false">IF(R4732="","",ROUND(L4732-R4732,2))</f>
        <v/>
      </c>
      <c r="T4732" s="8" t="str">
        <f aca="false">IF(A4732="","",IF(S4732="","BYPASS",IF(ABS(S4732)&lt;=Summary!$B$2,"PASS","FAIL")))</f>
        <v/>
      </c>
      <c r="U4732" s="8" t="str">
        <f aca="false">IF(T4732="BYPASS",IF(NOT(ISNUMBER(Q4732)),"PreV_ETB missing","End_tr_balance missing"),IF(T4732="FAIL",IF(AND(ISNUMBER(K4732),ISNUMBER(L4732),ABS(L4732-(K4732-IF(ISNUMBER(N4732),N4732,0)-IF(ISNUMBER(O4732),O4732,0)+IF(ISNUMBER(P4732),P4732,0)))&lt;=Summary!$B$2),"Passes using beginning_balance - PreV_ETB differs from beginning_balance",IF(AND(ISNUMBER(O4732),O4732&lt;0,ABS(L4732-(Q4732-IF(ISNUMBER(N4732),N4732,0)+IF(ISNUMBER(P4732),P4732,0)))&lt;=Summary!$B$2),"Negative realized loss not applied - check sign",IF(R4732&lt;0,"Principal paid exceeds prior balance",IF(AND(L4732&gt;Q4732,NOT(ISNUMBER(P4732))),"Balance increased but no Deferred_interest reported",IF(L4732&gt;R4732,"Reported balance higher than expected (missing increase/OC build)","Reported balance lower than expected (missing decrease)"))))),""))</f>
        <v/>
      </c>
    </row>
    <row r="4733" customFormat="false" ht="15" hidden="false" customHeight="false" outlineLevel="0" collapsed="false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9"/>
      <c r="L4733" s="9"/>
      <c r="M4733" s="9"/>
      <c r="N4733" s="9"/>
      <c r="O4733" s="9"/>
      <c r="P4733" s="9"/>
      <c r="Q4733" s="9"/>
      <c r="R4733" s="9" t="str">
        <f aca="false">IF(AND(A4733&lt;&gt;"",ISNUMBER(Q4733),ISNUMBER(L4733)),ROUND(Q4733-IF(ISNUMBER(N4733),N4733,0)-IF(ISNUMBER(O4733),O4733,0)+IF(ISNUMBER(P4733),P4733,0),2),"")</f>
        <v/>
      </c>
      <c r="S4733" s="9" t="str">
        <f aca="false">IF(R4733="","",ROUND(L4733-R4733,2))</f>
        <v/>
      </c>
      <c r="T4733" s="8" t="str">
        <f aca="false">IF(A4733="","",IF(S4733="","BYPASS",IF(ABS(S4733)&lt;=Summary!$B$2,"PASS","FAIL")))</f>
        <v/>
      </c>
      <c r="U4733" s="8" t="str">
        <f aca="false">IF(T4733="BYPASS",IF(NOT(ISNUMBER(Q4733)),"PreV_ETB missing","End_tr_balance missing"),IF(T4733="FAIL",IF(AND(ISNUMBER(K4733),ISNUMBER(L4733),ABS(L4733-(K4733-IF(ISNUMBER(N4733),N4733,0)-IF(ISNUMBER(O4733),O4733,0)+IF(ISNUMBER(P4733),P4733,0)))&lt;=Summary!$B$2),"Passes using beginning_balance - PreV_ETB differs from beginning_balance",IF(AND(ISNUMBER(O4733),O4733&lt;0,ABS(L4733-(Q4733-IF(ISNUMBER(N4733),N4733,0)+IF(ISNUMBER(P4733),P4733,0)))&lt;=Summary!$B$2),"Negative realized loss not applied - check sign",IF(R4733&lt;0,"Principal paid exceeds prior balance",IF(AND(L4733&gt;Q4733,NOT(ISNUMBER(P4733))),"Balance increased but no Deferred_interest reported",IF(L4733&gt;R4733,"Reported balance higher than expected (missing increase/OC build)","Reported balance lower than expected (missing decrease)"))))),""))</f>
        <v/>
      </c>
    </row>
    <row r="4734" customFormat="false" ht="15" hidden="false" customHeight="false" outlineLevel="0" collapsed="false">
      <c r="A4734" s="8"/>
      <c r="B4734" s="8"/>
      <c r="C4734" s="8"/>
      <c r="D4734" s="8"/>
      <c r="E4734" s="8"/>
      <c r="F4734" s="8"/>
      <c r="G4734" s="8"/>
      <c r="H4734" s="8"/>
      <c r="I4734" s="8"/>
      <c r="J4734" s="8"/>
      <c r="K4734" s="9"/>
      <c r="L4734" s="9"/>
      <c r="M4734" s="9"/>
      <c r="N4734" s="9"/>
      <c r="O4734" s="9"/>
      <c r="P4734" s="9"/>
      <c r="Q4734" s="9"/>
      <c r="R4734" s="9" t="str">
        <f aca="false">IF(AND(A4734&lt;&gt;"",ISNUMBER(Q4734),ISNUMBER(L4734)),ROUND(Q4734-IF(ISNUMBER(N4734),N4734,0)-IF(ISNUMBER(O4734),O4734,0)+IF(ISNUMBER(P4734),P4734,0),2),"")</f>
        <v/>
      </c>
      <c r="S4734" s="9" t="str">
        <f aca="false">IF(R4734="","",ROUND(L4734-R4734,2))</f>
        <v/>
      </c>
      <c r="T4734" s="8" t="str">
        <f aca="false">IF(A4734="","",IF(S4734="","BYPASS",IF(ABS(S4734)&lt;=Summary!$B$2,"PASS","FAIL")))</f>
        <v/>
      </c>
      <c r="U4734" s="8" t="str">
        <f aca="false">IF(T4734="BYPASS",IF(NOT(ISNUMBER(Q4734)),"PreV_ETB missing","End_tr_balance missing"),IF(T4734="FAIL",IF(AND(ISNUMBER(K4734),ISNUMBER(L4734),ABS(L4734-(K4734-IF(ISNUMBER(N4734),N4734,0)-IF(ISNUMBER(O4734),O4734,0)+IF(ISNUMBER(P4734),P4734,0)))&lt;=Summary!$B$2),"Passes using beginning_balance - PreV_ETB differs from beginning_balance",IF(AND(ISNUMBER(O4734),O4734&lt;0,ABS(L4734-(Q4734-IF(ISNUMBER(N4734),N4734,0)+IF(ISNUMBER(P4734),P4734,0)))&lt;=Summary!$B$2),"Negative realized loss not applied - check sign",IF(R4734&lt;0,"Principal paid exceeds prior balance",IF(AND(L4734&gt;Q4734,NOT(ISNUMBER(P4734))),"Balance increased but no Deferred_interest reported",IF(L4734&gt;R4734,"Reported balance higher than expected (missing increase/OC build)","Reported balance lower than expected (missing decrease)"))))),""))</f>
        <v/>
      </c>
    </row>
    <row r="4735" customFormat="false" ht="15" hidden="false" customHeight="false" outlineLevel="0" collapsed="false">
      <c r="A4735" s="8"/>
      <c r="B4735" s="8"/>
      <c r="C4735" s="8"/>
      <c r="D4735" s="8"/>
      <c r="E4735" s="8"/>
      <c r="F4735" s="8"/>
      <c r="G4735" s="8"/>
      <c r="H4735" s="8"/>
      <c r="I4735" s="8"/>
      <c r="J4735" s="8"/>
      <c r="K4735" s="9"/>
      <c r="L4735" s="9"/>
      <c r="M4735" s="9"/>
      <c r="N4735" s="9"/>
      <c r="O4735" s="9"/>
      <c r="P4735" s="9"/>
      <c r="Q4735" s="9"/>
      <c r="R4735" s="9" t="str">
        <f aca="false">IF(AND(A4735&lt;&gt;"",ISNUMBER(Q4735),ISNUMBER(L4735)),ROUND(Q4735-IF(ISNUMBER(N4735),N4735,0)-IF(ISNUMBER(O4735),O4735,0)+IF(ISNUMBER(P4735),P4735,0),2),"")</f>
        <v/>
      </c>
      <c r="S4735" s="9" t="str">
        <f aca="false">IF(R4735="","",ROUND(L4735-R4735,2))</f>
        <v/>
      </c>
      <c r="T4735" s="8" t="str">
        <f aca="false">IF(A4735="","",IF(S4735="","BYPASS",IF(ABS(S4735)&lt;=Summary!$B$2,"PASS","FAIL")))</f>
        <v/>
      </c>
      <c r="U4735" s="8" t="str">
        <f aca="false">IF(T4735="BYPASS",IF(NOT(ISNUMBER(Q4735)),"PreV_ETB missing","End_tr_balance missing"),IF(T4735="FAIL",IF(AND(ISNUMBER(K4735),ISNUMBER(L4735),ABS(L4735-(K4735-IF(ISNUMBER(N4735),N4735,0)-IF(ISNUMBER(O4735),O4735,0)+IF(ISNUMBER(P4735),P4735,0)))&lt;=Summary!$B$2),"Passes using beginning_balance - PreV_ETB differs from beginning_balance",IF(AND(ISNUMBER(O4735),O4735&lt;0,ABS(L4735-(Q4735-IF(ISNUMBER(N4735),N4735,0)+IF(ISNUMBER(P4735),P4735,0)))&lt;=Summary!$B$2),"Negative realized loss not applied - check sign",IF(R4735&lt;0,"Principal paid exceeds prior balance",IF(AND(L4735&gt;Q4735,NOT(ISNUMBER(P4735))),"Balance increased but no Deferred_interest reported",IF(L4735&gt;R4735,"Reported balance higher than expected (missing increase/OC build)","Reported balance lower than expected (missing decrease)"))))),""))</f>
        <v/>
      </c>
    </row>
    <row r="4736" customFormat="false" ht="15" hidden="false" customHeight="false" outlineLevel="0" collapsed="false">
      <c r="A4736" s="8"/>
      <c r="B4736" s="8"/>
      <c r="C4736" s="8"/>
      <c r="D4736" s="8"/>
      <c r="E4736" s="8"/>
      <c r="F4736" s="8"/>
      <c r="G4736" s="8"/>
      <c r="H4736" s="8"/>
      <c r="I4736" s="8"/>
      <c r="J4736" s="8"/>
      <c r="K4736" s="9"/>
      <c r="L4736" s="9"/>
      <c r="M4736" s="9"/>
      <c r="N4736" s="9"/>
      <c r="O4736" s="9"/>
      <c r="P4736" s="9"/>
      <c r="Q4736" s="9"/>
      <c r="R4736" s="9" t="str">
        <f aca="false">IF(AND(A4736&lt;&gt;"",ISNUMBER(Q4736),ISNUMBER(L4736)),ROUND(Q4736-IF(ISNUMBER(N4736),N4736,0)-IF(ISNUMBER(O4736),O4736,0)+IF(ISNUMBER(P4736),P4736,0),2),"")</f>
        <v/>
      </c>
      <c r="S4736" s="9" t="str">
        <f aca="false">IF(R4736="","",ROUND(L4736-R4736,2))</f>
        <v/>
      </c>
      <c r="T4736" s="8" t="str">
        <f aca="false">IF(A4736="","",IF(S4736="","BYPASS",IF(ABS(S4736)&lt;=Summary!$B$2,"PASS","FAIL")))</f>
        <v/>
      </c>
      <c r="U4736" s="8" t="str">
        <f aca="false">IF(T4736="BYPASS",IF(NOT(ISNUMBER(Q4736)),"PreV_ETB missing","End_tr_balance missing"),IF(T4736="FAIL",IF(AND(ISNUMBER(K4736),ISNUMBER(L4736),ABS(L4736-(K4736-IF(ISNUMBER(N4736),N4736,0)-IF(ISNUMBER(O4736),O4736,0)+IF(ISNUMBER(P4736),P4736,0)))&lt;=Summary!$B$2),"Passes using beginning_balance - PreV_ETB differs from beginning_balance",IF(AND(ISNUMBER(O4736),O4736&lt;0,ABS(L4736-(Q4736-IF(ISNUMBER(N4736),N4736,0)+IF(ISNUMBER(P4736),P4736,0)))&lt;=Summary!$B$2),"Negative realized loss not applied - check sign",IF(R4736&lt;0,"Principal paid exceeds prior balance",IF(AND(L4736&gt;Q4736,NOT(ISNUMBER(P4736))),"Balance increased but no Deferred_interest reported",IF(L4736&gt;R4736,"Reported balance higher than expected (missing increase/OC build)","Reported balance lower than expected (missing decrease)"))))),""))</f>
        <v/>
      </c>
    </row>
    <row r="4737" customFormat="false" ht="15" hidden="false" customHeight="false" outlineLevel="0" collapsed="false">
      <c r="A4737" s="8"/>
      <c r="B4737" s="8"/>
      <c r="C4737" s="8"/>
      <c r="D4737" s="8"/>
      <c r="E4737" s="8"/>
      <c r="F4737" s="8"/>
      <c r="G4737" s="8"/>
      <c r="H4737" s="8"/>
      <c r="I4737" s="8"/>
      <c r="J4737" s="8"/>
      <c r="K4737" s="9"/>
      <c r="L4737" s="9"/>
      <c r="M4737" s="9"/>
      <c r="N4737" s="9"/>
      <c r="O4737" s="9"/>
      <c r="P4737" s="9"/>
      <c r="Q4737" s="9"/>
      <c r="R4737" s="9" t="str">
        <f aca="false">IF(AND(A4737&lt;&gt;"",ISNUMBER(Q4737),ISNUMBER(L4737)),ROUND(Q4737-IF(ISNUMBER(N4737),N4737,0)-IF(ISNUMBER(O4737),O4737,0)+IF(ISNUMBER(P4737),P4737,0),2),"")</f>
        <v/>
      </c>
      <c r="S4737" s="9" t="str">
        <f aca="false">IF(R4737="","",ROUND(L4737-R4737,2))</f>
        <v/>
      </c>
      <c r="T4737" s="8" t="str">
        <f aca="false">IF(A4737="","",IF(S4737="","BYPASS",IF(ABS(S4737)&lt;=Summary!$B$2,"PASS","FAIL")))</f>
        <v/>
      </c>
      <c r="U4737" s="8" t="str">
        <f aca="false">IF(T4737="BYPASS",IF(NOT(ISNUMBER(Q4737)),"PreV_ETB missing","End_tr_balance missing"),IF(T4737="FAIL",IF(AND(ISNUMBER(K4737),ISNUMBER(L4737),ABS(L4737-(K4737-IF(ISNUMBER(N4737),N4737,0)-IF(ISNUMBER(O4737),O4737,0)+IF(ISNUMBER(P4737),P4737,0)))&lt;=Summary!$B$2),"Passes using beginning_balance - PreV_ETB differs from beginning_balance",IF(AND(ISNUMBER(O4737),O4737&lt;0,ABS(L4737-(Q4737-IF(ISNUMBER(N4737),N4737,0)+IF(ISNUMBER(P4737),P4737,0)))&lt;=Summary!$B$2),"Negative realized loss not applied - check sign",IF(R4737&lt;0,"Principal paid exceeds prior balance",IF(AND(L4737&gt;Q4737,NOT(ISNUMBER(P4737))),"Balance increased but no Deferred_interest reported",IF(L4737&gt;R4737,"Reported balance higher than expected (missing increase/OC build)","Reported balance lower than expected (missing decrease)"))))),""))</f>
        <v/>
      </c>
    </row>
    <row r="4738" customFormat="false" ht="15" hidden="false" customHeight="false" outlineLevel="0" collapsed="false">
      <c r="A4738" s="8"/>
      <c r="B4738" s="8"/>
      <c r="C4738" s="8"/>
      <c r="D4738" s="8"/>
      <c r="E4738" s="8"/>
      <c r="F4738" s="8"/>
      <c r="G4738" s="8"/>
      <c r="H4738" s="8"/>
      <c r="I4738" s="8"/>
      <c r="J4738" s="8"/>
      <c r="K4738" s="9"/>
      <c r="L4738" s="9"/>
      <c r="M4738" s="9"/>
      <c r="N4738" s="9"/>
      <c r="O4738" s="9"/>
      <c r="P4738" s="9"/>
      <c r="Q4738" s="9"/>
      <c r="R4738" s="9" t="str">
        <f aca="false">IF(AND(A4738&lt;&gt;"",ISNUMBER(Q4738),ISNUMBER(L4738)),ROUND(Q4738-IF(ISNUMBER(N4738),N4738,0)-IF(ISNUMBER(O4738),O4738,0)+IF(ISNUMBER(P4738),P4738,0),2),"")</f>
        <v/>
      </c>
      <c r="S4738" s="9" t="str">
        <f aca="false">IF(R4738="","",ROUND(L4738-R4738,2))</f>
        <v/>
      </c>
      <c r="T4738" s="8" t="str">
        <f aca="false">IF(A4738="","",IF(S4738="","BYPASS",IF(ABS(S4738)&lt;=Summary!$B$2,"PASS","FAIL")))</f>
        <v/>
      </c>
      <c r="U4738" s="8" t="str">
        <f aca="false">IF(T4738="BYPASS",IF(NOT(ISNUMBER(Q4738)),"PreV_ETB missing","End_tr_balance missing"),IF(T4738="FAIL",IF(AND(ISNUMBER(K4738),ISNUMBER(L4738),ABS(L4738-(K4738-IF(ISNUMBER(N4738),N4738,0)-IF(ISNUMBER(O4738),O4738,0)+IF(ISNUMBER(P4738),P4738,0)))&lt;=Summary!$B$2),"Passes using beginning_balance - PreV_ETB differs from beginning_balance",IF(AND(ISNUMBER(O4738),O4738&lt;0,ABS(L4738-(Q4738-IF(ISNUMBER(N4738),N4738,0)+IF(ISNUMBER(P4738),P4738,0)))&lt;=Summary!$B$2),"Negative realized loss not applied - check sign",IF(R4738&lt;0,"Principal paid exceeds prior balance",IF(AND(L4738&gt;Q4738,NOT(ISNUMBER(P4738))),"Balance increased but no Deferred_interest reported",IF(L4738&gt;R4738,"Reported balance higher than expected (missing increase/OC build)","Reported balance lower than expected (missing decrease)"))))),""))</f>
        <v/>
      </c>
    </row>
    <row r="4739" customFormat="false" ht="15" hidden="false" customHeight="false" outlineLevel="0" collapsed="false">
      <c r="A4739" s="8"/>
      <c r="B4739" s="8"/>
      <c r="C4739" s="8"/>
      <c r="D4739" s="8"/>
      <c r="E4739" s="8"/>
      <c r="F4739" s="8"/>
      <c r="G4739" s="8"/>
      <c r="H4739" s="8"/>
      <c r="I4739" s="8"/>
      <c r="J4739" s="8"/>
      <c r="K4739" s="9"/>
      <c r="L4739" s="9"/>
      <c r="M4739" s="9"/>
      <c r="N4739" s="9"/>
      <c r="O4739" s="9"/>
      <c r="P4739" s="9"/>
      <c r="Q4739" s="9"/>
      <c r="R4739" s="9" t="str">
        <f aca="false">IF(AND(A4739&lt;&gt;"",ISNUMBER(Q4739),ISNUMBER(L4739)),ROUND(Q4739-IF(ISNUMBER(N4739),N4739,0)-IF(ISNUMBER(O4739),O4739,0)+IF(ISNUMBER(P4739),P4739,0),2),"")</f>
        <v/>
      </c>
      <c r="S4739" s="9" t="str">
        <f aca="false">IF(R4739="","",ROUND(L4739-R4739,2))</f>
        <v/>
      </c>
      <c r="T4739" s="8" t="str">
        <f aca="false">IF(A4739="","",IF(S4739="","BYPASS",IF(ABS(S4739)&lt;=Summary!$B$2,"PASS","FAIL")))</f>
        <v/>
      </c>
      <c r="U4739" s="8" t="str">
        <f aca="false">IF(T4739="BYPASS",IF(NOT(ISNUMBER(Q4739)),"PreV_ETB missing","End_tr_balance missing"),IF(T4739="FAIL",IF(AND(ISNUMBER(K4739),ISNUMBER(L4739),ABS(L4739-(K4739-IF(ISNUMBER(N4739),N4739,0)-IF(ISNUMBER(O4739),O4739,0)+IF(ISNUMBER(P4739),P4739,0)))&lt;=Summary!$B$2),"Passes using beginning_balance - PreV_ETB differs from beginning_balance",IF(AND(ISNUMBER(O4739),O4739&lt;0,ABS(L4739-(Q4739-IF(ISNUMBER(N4739),N4739,0)+IF(ISNUMBER(P4739),P4739,0)))&lt;=Summary!$B$2),"Negative realized loss not applied - check sign",IF(R4739&lt;0,"Principal paid exceeds prior balance",IF(AND(L4739&gt;Q4739,NOT(ISNUMBER(P4739))),"Balance increased but no Deferred_interest reported",IF(L4739&gt;R4739,"Reported balance higher than expected (missing increase/OC build)","Reported balance lower than expected (missing decrease)"))))),""))</f>
        <v/>
      </c>
    </row>
    <row r="4740" customFormat="false" ht="15" hidden="false" customHeight="false" outlineLevel="0" collapsed="false">
      <c r="A4740" s="8"/>
      <c r="B4740" s="8"/>
      <c r="C4740" s="8"/>
      <c r="D4740" s="8"/>
      <c r="E4740" s="8"/>
      <c r="F4740" s="8"/>
      <c r="G4740" s="8"/>
      <c r="H4740" s="8"/>
      <c r="I4740" s="8"/>
      <c r="J4740" s="8"/>
      <c r="K4740" s="9"/>
      <c r="L4740" s="9"/>
      <c r="M4740" s="9"/>
      <c r="N4740" s="9"/>
      <c r="O4740" s="9"/>
      <c r="P4740" s="9"/>
      <c r="Q4740" s="9"/>
      <c r="R4740" s="9" t="str">
        <f aca="false">IF(AND(A4740&lt;&gt;"",ISNUMBER(Q4740),ISNUMBER(L4740)),ROUND(Q4740-IF(ISNUMBER(N4740),N4740,0)-IF(ISNUMBER(O4740),O4740,0)+IF(ISNUMBER(P4740),P4740,0),2),"")</f>
        <v/>
      </c>
      <c r="S4740" s="9" t="str">
        <f aca="false">IF(R4740="","",ROUND(L4740-R4740,2))</f>
        <v/>
      </c>
      <c r="T4740" s="8" t="str">
        <f aca="false">IF(A4740="","",IF(S4740="","BYPASS",IF(ABS(S4740)&lt;=Summary!$B$2,"PASS","FAIL")))</f>
        <v/>
      </c>
      <c r="U4740" s="8" t="str">
        <f aca="false">IF(T4740="BYPASS",IF(NOT(ISNUMBER(Q4740)),"PreV_ETB missing","End_tr_balance missing"),IF(T4740="FAIL",IF(AND(ISNUMBER(K4740),ISNUMBER(L4740),ABS(L4740-(K4740-IF(ISNUMBER(N4740),N4740,0)-IF(ISNUMBER(O4740),O4740,0)+IF(ISNUMBER(P4740),P4740,0)))&lt;=Summary!$B$2),"Passes using beginning_balance - PreV_ETB differs from beginning_balance",IF(AND(ISNUMBER(O4740),O4740&lt;0,ABS(L4740-(Q4740-IF(ISNUMBER(N4740),N4740,0)+IF(ISNUMBER(P4740),P4740,0)))&lt;=Summary!$B$2),"Negative realized loss not applied - check sign",IF(R4740&lt;0,"Principal paid exceeds prior balance",IF(AND(L4740&gt;Q4740,NOT(ISNUMBER(P4740))),"Balance increased but no Deferred_interest reported",IF(L4740&gt;R4740,"Reported balance higher than expected (missing increase/OC build)","Reported balance lower than expected (missing decrease)"))))),""))</f>
        <v/>
      </c>
    </row>
    <row r="4741" customFormat="false" ht="15" hidden="false" customHeight="false" outlineLevel="0" collapsed="false">
      <c r="A4741" s="8"/>
      <c r="B4741" s="8"/>
      <c r="C4741" s="8"/>
      <c r="D4741" s="8"/>
      <c r="E4741" s="8"/>
      <c r="F4741" s="8"/>
      <c r="G4741" s="8"/>
      <c r="H4741" s="8"/>
      <c r="I4741" s="8"/>
      <c r="J4741" s="8"/>
      <c r="K4741" s="9"/>
      <c r="L4741" s="9"/>
      <c r="M4741" s="9"/>
      <c r="N4741" s="9"/>
      <c r="O4741" s="9"/>
      <c r="P4741" s="9"/>
      <c r="Q4741" s="9"/>
      <c r="R4741" s="9" t="str">
        <f aca="false">IF(AND(A4741&lt;&gt;"",ISNUMBER(Q4741),ISNUMBER(L4741)),ROUND(Q4741-IF(ISNUMBER(N4741),N4741,0)-IF(ISNUMBER(O4741),O4741,0)+IF(ISNUMBER(P4741),P4741,0),2),"")</f>
        <v/>
      </c>
      <c r="S4741" s="9" t="str">
        <f aca="false">IF(R4741="","",ROUND(L4741-R4741,2))</f>
        <v/>
      </c>
      <c r="T4741" s="8" t="str">
        <f aca="false">IF(A4741="","",IF(S4741="","BYPASS",IF(ABS(S4741)&lt;=Summary!$B$2,"PASS","FAIL")))</f>
        <v/>
      </c>
      <c r="U4741" s="8" t="str">
        <f aca="false">IF(T4741="BYPASS",IF(NOT(ISNUMBER(Q4741)),"PreV_ETB missing","End_tr_balance missing"),IF(T4741="FAIL",IF(AND(ISNUMBER(K4741),ISNUMBER(L4741),ABS(L4741-(K4741-IF(ISNUMBER(N4741),N4741,0)-IF(ISNUMBER(O4741),O4741,0)+IF(ISNUMBER(P4741),P4741,0)))&lt;=Summary!$B$2),"Passes using beginning_balance - PreV_ETB differs from beginning_balance",IF(AND(ISNUMBER(O4741),O4741&lt;0,ABS(L4741-(Q4741-IF(ISNUMBER(N4741),N4741,0)+IF(ISNUMBER(P4741),P4741,0)))&lt;=Summary!$B$2),"Negative realized loss not applied - check sign",IF(R4741&lt;0,"Principal paid exceeds prior balance",IF(AND(L4741&gt;Q4741,NOT(ISNUMBER(P4741))),"Balance increased but no Deferred_interest reported",IF(L4741&gt;R4741,"Reported balance higher than expected (missing increase/OC build)","Reported balance lower than expected (missing decrease)"))))),""))</f>
        <v/>
      </c>
    </row>
    <row r="4742" customFormat="false" ht="15" hidden="false" customHeight="false" outlineLevel="0" collapsed="false">
      <c r="A4742" s="8"/>
      <c r="B4742" s="8"/>
      <c r="C4742" s="8"/>
      <c r="D4742" s="8"/>
      <c r="E4742" s="8"/>
      <c r="F4742" s="8"/>
      <c r="G4742" s="8"/>
      <c r="H4742" s="8"/>
      <c r="I4742" s="8"/>
      <c r="J4742" s="8"/>
      <c r="K4742" s="9"/>
      <c r="L4742" s="9"/>
      <c r="M4742" s="9"/>
      <c r="N4742" s="9"/>
      <c r="O4742" s="9"/>
      <c r="P4742" s="9"/>
      <c r="Q4742" s="9"/>
      <c r="R4742" s="9" t="str">
        <f aca="false">IF(AND(A4742&lt;&gt;"",ISNUMBER(Q4742),ISNUMBER(L4742)),ROUND(Q4742-IF(ISNUMBER(N4742),N4742,0)-IF(ISNUMBER(O4742),O4742,0)+IF(ISNUMBER(P4742),P4742,0),2),"")</f>
        <v/>
      </c>
      <c r="S4742" s="9" t="str">
        <f aca="false">IF(R4742="","",ROUND(L4742-R4742,2))</f>
        <v/>
      </c>
      <c r="T4742" s="8" t="str">
        <f aca="false">IF(A4742="","",IF(S4742="","BYPASS",IF(ABS(S4742)&lt;=Summary!$B$2,"PASS","FAIL")))</f>
        <v/>
      </c>
      <c r="U4742" s="8" t="str">
        <f aca="false">IF(T4742="BYPASS",IF(NOT(ISNUMBER(Q4742)),"PreV_ETB missing","End_tr_balance missing"),IF(T4742="FAIL",IF(AND(ISNUMBER(K4742),ISNUMBER(L4742),ABS(L4742-(K4742-IF(ISNUMBER(N4742),N4742,0)-IF(ISNUMBER(O4742),O4742,0)+IF(ISNUMBER(P4742),P4742,0)))&lt;=Summary!$B$2),"Passes using beginning_balance - PreV_ETB differs from beginning_balance",IF(AND(ISNUMBER(O4742),O4742&lt;0,ABS(L4742-(Q4742-IF(ISNUMBER(N4742),N4742,0)+IF(ISNUMBER(P4742),P4742,0)))&lt;=Summary!$B$2),"Negative realized loss not applied - check sign",IF(R4742&lt;0,"Principal paid exceeds prior balance",IF(AND(L4742&gt;Q4742,NOT(ISNUMBER(P4742))),"Balance increased but no Deferred_interest reported",IF(L4742&gt;R4742,"Reported balance higher than expected (missing increase/OC build)","Reported balance lower than expected (missing decrease)"))))),""))</f>
        <v/>
      </c>
    </row>
    <row r="4743" customFormat="false" ht="15" hidden="false" customHeight="false" outlineLevel="0" collapsed="false">
      <c r="A4743" s="8"/>
      <c r="B4743" s="8"/>
      <c r="C4743" s="8"/>
      <c r="D4743" s="8"/>
      <c r="E4743" s="8"/>
      <c r="F4743" s="8"/>
      <c r="G4743" s="8"/>
      <c r="H4743" s="8"/>
      <c r="I4743" s="8"/>
      <c r="J4743" s="8"/>
      <c r="K4743" s="9"/>
      <c r="L4743" s="9"/>
      <c r="M4743" s="9"/>
      <c r="N4743" s="9"/>
      <c r="O4743" s="9"/>
      <c r="P4743" s="9"/>
      <c r="Q4743" s="9"/>
      <c r="R4743" s="9" t="str">
        <f aca="false">IF(AND(A4743&lt;&gt;"",ISNUMBER(Q4743),ISNUMBER(L4743)),ROUND(Q4743-IF(ISNUMBER(N4743),N4743,0)-IF(ISNUMBER(O4743),O4743,0)+IF(ISNUMBER(P4743),P4743,0),2),"")</f>
        <v/>
      </c>
      <c r="S4743" s="9" t="str">
        <f aca="false">IF(R4743="","",ROUND(L4743-R4743,2))</f>
        <v/>
      </c>
      <c r="T4743" s="8" t="str">
        <f aca="false">IF(A4743="","",IF(S4743="","BYPASS",IF(ABS(S4743)&lt;=Summary!$B$2,"PASS","FAIL")))</f>
        <v/>
      </c>
      <c r="U4743" s="8" t="str">
        <f aca="false">IF(T4743="BYPASS",IF(NOT(ISNUMBER(Q4743)),"PreV_ETB missing","End_tr_balance missing"),IF(T4743="FAIL",IF(AND(ISNUMBER(K4743),ISNUMBER(L4743),ABS(L4743-(K4743-IF(ISNUMBER(N4743),N4743,0)-IF(ISNUMBER(O4743),O4743,0)+IF(ISNUMBER(P4743),P4743,0)))&lt;=Summary!$B$2),"Passes using beginning_balance - PreV_ETB differs from beginning_balance",IF(AND(ISNUMBER(O4743),O4743&lt;0,ABS(L4743-(Q4743-IF(ISNUMBER(N4743),N4743,0)+IF(ISNUMBER(P4743),P4743,0)))&lt;=Summary!$B$2),"Negative realized loss not applied - check sign",IF(R4743&lt;0,"Principal paid exceeds prior balance",IF(AND(L4743&gt;Q4743,NOT(ISNUMBER(P4743))),"Balance increased but no Deferred_interest reported",IF(L4743&gt;R4743,"Reported balance higher than expected (missing increase/OC build)","Reported balance lower than expected (missing decrease)"))))),""))</f>
        <v/>
      </c>
    </row>
    <row r="4744" customFormat="false" ht="15" hidden="false" customHeight="false" outlineLevel="0" collapsed="false">
      <c r="A4744" s="8"/>
      <c r="B4744" s="8"/>
      <c r="C4744" s="8"/>
      <c r="D4744" s="8"/>
      <c r="E4744" s="8"/>
      <c r="F4744" s="8"/>
      <c r="G4744" s="8"/>
      <c r="H4744" s="8"/>
      <c r="I4744" s="8"/>
      <c r="J4744" s="8"/>
      <c r="K4744" s="9"/>
      <c r="L4744" s="9"/>
      <c r="M4744" s="9"/>
      <c r="N4744" s="9"/>
      <c r="O4744" s="9"/>
      <c r="P4744" s="9"/>
      <c r="Q4744" s="9"/>
      <c r="R4744" s="9" t="str">
        <f aca="false">IF(AND(A4744&lt;&gt;"",ISNUMBER(Q4744),ISNUMBER(L4744)),ROUND(Q4744-IF(ISNUMBER(N4744),N4744,0)-IF(ISNUMBER(O4744),O4744,0)+IF(ISNUMBER(P4744),P4744,0),2),"")</f>
        <v/>
      </c>
      <c r="S4744" s="9" t="str">
        <f aca="false">IF(R4744="","",ROUND(L4744-R4744,2))</f>
        <v/>
      </c>
      <c r="T4744" s="8" t="str">
        <f aca="false">IF(A4744="","",IF(S4744="","BYPASS",IF(ABS(S4744)&lt;=Summary!$B$2,"PASS","FAIL")))</f>
        <v/>
      </c>
      <c r="U4744" s="8" t="str">
        <f aca="false">IF(T4744="BYPASS",IF(NOT(ISNUMBER(Q4744)),"PreV_ETB missing","End_tr_balance missing"),IF(T4744="FAIL",IF(AND(ISNUMBER(K4744),ISNUMBER(L4744),ABS(L4744-(K4744-IF(ISNUMBER(N4744),N4744,0)-IF(ISNUMBER(O4744),O4744,0)+IF(ISNUMBER(P4744),P4744,0)))&lt;=Summary!$B$2),"Passes using beginning_balance - PreV_ETB differs from beginning_balance",IF(AND(ISNUMBER(O4744),O4744&lt;0,ABS(L4744-(Q4744-IF(ISNUMBER(N4744),N4744,0)+IF(ISNUMBER(P4744),P4744,0)))&lt;=Summary!$B$2),"Negative realized loss not applied - check sign",IF(R4744&lt;0,"Principal paid exceeds prior balance",IF(AND(L4744&gt;Q4744,NOT(ISNUMBER(P4744))),"Balance increased but no Deferred_interest reported",IF(L4744&gt;R4744,"Reported balance higher than expected (missing increase/OC build)","Reported balance lower than expected (missing decrease)"))))),""))</f>
        <v/>
      </c>
    </row>
    <row r="4745" customFormat="false" ht="15" hidden="false" customHeight="false" outlineLevel="0" collapsed="false">
      <c r="A4745" s="8"/>
      <c r="B4745" s="8"/>
      <c r="C4745" s="8"/>
      <c r="D4745" s="8"/>
      <c r="E4745" s="8"/>
      <c r="F4745" s="8"/>
      <c r="G4745" s="8"/>
      <c r="H4745" s="8"/>
      <c r="I4745" s="8"/>
      <c r="J4745" s="8"/>
      <c r="K4745" s="9"/>
      <c r="L4745" s="9"/>
      <c r="M4745" s="9"/>
      <c r="N4745" s="9"/>
      <c r="O4745" s="9"/>
      <c r="P4745" s="9"/>
      <c r="Q4745" s="9"/>
      <c r="R4745" s="9" t="str">
        <f aca="false">IF(AND(A4745&lt;&gt;"",ISNUMBER(Q4745),ISNUMBER(L4745)),ROUND(Q4745-IF(ISNUMBER(N4745),N4745,0)-IF(ISNUMBER(O4745),O4745,0)+IF(ISNUMBER(P4745),P4745,0),2),"")</f>
        <v/>
      </c>
      <c r="S4745" s="9" t="str">
        <f aca="false">IF(R4745="","",ROUND(L4745-R4745,2))</f>
        <v/>
      </c>
      <c r="T4745" s="8" t="str">
        <f aca="false">IF(A4745="","",IF(S4745="","BYPASS",IF(ABS(S4745)&lt;=Summary!$B$2,"PASS","FAIL")))</f>
        <v/>
      </c>
      <c r="U4745" s="8" t="str">
        <f aca="false">IF(T4745="BYPASS",IF(NOT(ISNUMBER(Q4745)),"PreV_ETB missing","End_tr_balance missing"),IF(T4745="FAIL",IF(AND(ISNUMBER(K4745),ISNUMBER(L4745),ABS(L4745-(K4745-IF(ISNUMBER(N4745),N4745,0)-IF(ISNUMBER(O4745),O4745,0)+IF(ISNUMBER(P4745),P4745,0)))&lt;=Summary!$B$2),"Passes using beginning_balance - PreV_ETB differs from beginning_balance",IF(AND(ISNUMBER(O4745),O4745&lt;0,ABS(L4745-(Q4745-IF(ISNUMBER(N4745),N4745,0)+IF(ISNUMBER(P4745),P4745,0)))&lt;=Summary!$B$2),"Negative realized loss not applied - check sign",IF(R4745&lt;0,"Principal paid exceeds prior balance",IF(AND(L4745&gt;Q4745,NOT(ISNUMBER(P4745))),"Balance increased but no Deferred_interest reported",IF(L4745&gt;R4745,"Reported balance higher than expected (missing increase/OC build)","Reported balance lower than expected (missing decrease)"))))),""))</f>
        <v/>
      </c>
    </row>
    <row r="4746" customFormat="false" ht="15" hidden="false" customHeight="false" outlineLevel="0" collapsed="false">
      <c r="A4746" s="8"/>
      <c r="B4746" s="8"/>
      <c r="C4746" s="8"/>
      <c r="D4746" s="8"/>
      <c r="E4746" s="8"/>
      <c r="F4746" s="8"/>
      <c r="G4746" s="8"/>
      <c r="H4746" s="8"/>
      <c r="I4746" s="8"/>
      <c r="J4746" s="8"/>
      <c r="K4746" s="9"/>
      <c r="L4746" s="9"/>
      <c r="M4746" s="9"/>
      <c r="N4746" s="9"/>
      <c r="O4746" s="9"/>
      <c r="P4746" s="9"/>
      <c r="Q4746" s="9"/>
      <c r="R4746" s="9" t="str">
        <f aca="false">IF(AND(A4746&lt;&gt;"",ISNUMBER(Q4746),ISNUMBER(L4746)),ROUND(Q4746-IF(ISNUMBER(N4746),N4746,0)-IF(ISNUMBER(O4746),O4746,0)+IF(ISNUMBER(P4746),P4746,0),2),"")</f>
        <v/>
      </c>
      <c r="S4746" s="9" t="str">
        <f aca="false">IF(R4746="","",ROUND(L4746-R4746,2))</f>
        <v/>
      </c>
      <c r="T4746" s="8" t="str">
        <f aca="false">IF(A4746="","",IF(S4746="","BYPASS",IF(ABS(S4746)&lt;=Summary!$B$2,"PASS","FAIL")))</f>
        <v/>
      </c>
      <c r="U4746" s="8" t="str">
        <f aca="false">IF(T4746="BYPASS",IF(NOT(ISNUMBER(Q4746)),"PreV_ETB missing","End_tr_balance missing"),IF(T4746="FAIL",IF(AND(ISNUMBER(K4746),ISNUMBER(L4746),ABS(L4746-(K4746-IF(ISNUMBER(N4746),N4746,0)-IF(ISNUMBER(O4746),O4746,0)+IF(ISNUMBER(P4746),P4746,0)))&lt;=Summary!$B$2),"Passes using beginning_balance - PreV_ETB differs from beginning_balance",IF(AND(ISNUMBER(O4746),O4746&lt;0,ABS(L4746-(Q4746-IF(ISNUMBER(N4746),N4746,0)+IF(ISNUMBER(P4746),P4746,0)))&lt;=Summary!$B$2),"Negative realized loss not applied - check sign",IF(R4746&lt;0,"Principal paid exceeds prior balance",IF(AND(L4746&gt;Q4746,NOT(ISNUMBER(P4746))),"Balance increased but no Deferred_interest reported",IF(L4746&gt;R4746,"Reported balance higher than expected (missing increase/OC build)","Reported balance lower than expected (missing decrease)"))))),""))</f>
        <v/>
      </c>
    </row>
    <row r="4747" customFormat="false" ht="15" hidden="false" customHeight="false" outlineLevel="0" collapsed="false">
      <c r="A4747" s="8"/>
      <c r="B4747" s="8"/>
      <c r="C4747" s="8"/>
      <c r="D4747" s="8"/>
      <c r="E4747" s="8"/>
      <c r="F4747" s="8"/>
      <c r="G4747" s="8"/>
      <c r="H4747" s="8"/>
      <c r="I4747" s="8"/>
      <c r="J4747" s="8"/>
      <c r="K4747" s="9"/>
      <c r="L4747" s="9"/>
      <c r="M4747" s="9"/>
      <c r="N4747" s="9"/>
      <c r="O4747" s="9"/>
      <c r="P4747" s="9"/>
      <c r="Q4747" s="9"/>
      <c r="R4747" s="9" t="str">
        <f aca="false">IF(AND(A4747&lt;&gt;"",ISNUMBER(Q4747),ISNUMBER(L4747)),ROUND(Q4747-IF(ISNUMBER(N4747),N4747,0)-IF(ISNUMBER(O4747),O4747,0)+IF(ISNUMBER(P4747),P4747,0),2),"")</f>
        <v/>
      </c>
      <c r="S4747" s="9" t="str">
        <f aca="false">IF(R4747="","",ROUND(L4747-R4747,2))</f>
        <v/>
      </c>
      <c r="T4747" s="8" t="str">
        <f aca="false">IF(A4747="","",IF(S4747="","BYPASS",IF(ABS(S4747)&lt;=Summary!$B$2,"PASS","FAIL")))</f>
        <v/>
      </c>
      <c r="U4747" s="8" t="str">
        <f aca="false">IF(T4747="BYPASS",IF(NOT(ISNUMBER(Q4747)),"PreV_ETB missing","End_tr_balance missing"),IF(T4747="FAIL",IF(AND(ISNUMBER(K4747),ISNUMBER(L4747),ABS(L4747-(K4747-IF(ISNUMBER(N4747),N4747,0)-IF(ISNUMBER(O4747),O4747,0)+IF(ISNUMBER(P4747),P4747,0)))&lt;=Summary!$B$2),"Passes using beginning_balance - PreV_ETB differs from beginning_balance",IF(AND(ISNUMBER(O4747),O4747&lt;0,ABS(L4747-(Q4747-IF(ISNUMBER(N4747),N4747,0)+IF(ISNUMBER(P4747),P4747,0)))&lt;=Summary!$B$2),"Negative realized loss not applied - check sign",IF(R4747&lt;0,"Principal paid exceeds prior balance",IF(AND(L4747&gt;Q4747,NOT(ISNUMBER(P4747))),"Balance increased but no Deferred_interest reported",IF(L4747&gt;R4747,"Reported balance higher than expected (missing increase/OC build)","Reported balance lower than expected (missing decrease)"))))),""))</f>
        <v/>
      </c>
    </row>
    <row r="4748" customFormat="false" ht="15" hidden="false" customHeight="false" outlineLevel="0" collapsed="false">
      <c r="A4748" s="8"/>
      <c r="B4748" s="8"/>
      <c r="C4748" s="8"/>
      <c r="D4748" s="8"/>
      <c r="E4748" s="8"/>
      <c r="F4748" s="8"/>
      <c r="G4748" s="8"/>
      <c r="H4748" s="8"/>
      <c r="I4748" s="8"/>
      <c r="J4748" s="8"/>
      <c r="K4748" s="9"/>
      <c r="L4748" s="9"/>
      <c r="M4748" s="9"/>
      <c r="N4748" s="9"/>
      <c r="O4748" s="9"/>
      <c r="P4748" s="9"/>
      <c r="Q4748" s="9"/>
      <c r="R4748" s="9" t="str">
        <f aca="false">IF(AND(A4748&lt;&gt;"",ISNUMBER(Q4748),ISNUMBER(L4748)),ROUND(Q4748-IF(ISNUMBER(N4748),N4748,0)-IF(ISNUMBER(O4748),O4748,0)+IF(ISNUMBER(P4748),P4748,0),2),"")</f>
        <v/>
      </c>
      <c r="S4748" s="9" t="str">
        <f aca="false">IF(R4748="","",ROUND(L4748-R4748,2))</f>
        <v/>
      </c>
      <c r="T4748" s="8" t="str">
        <f aca="false">IF(A4748="","",IF(S4748="","BYPASS",IF(ABS(S4748)&lt;=Summary!$B$2,"PASS","FAIL")))</f>
        <v/>
      </c>
      <c r="U4748" s="8" t="str">
        <f aca="false">IF(T4748="BYPASS",IF(NOT(ISNUMBER(Q4748)),"PreV_ETB missing","End_tr_balance missing"),IF(T4748="FAIL",IF(AND(ISNUMBER(K4748),ISNUMBER(L4748),ABS(L4748-(K4748-IF(ISNUMBER(N4748),N4748,0)-IF(ISNUMBER(O4748),O4748,0)+IF(ISNUMBER(P4748),P4748,0)))&lt;=Summary!$B$2),"Passes using beginning_balance - PreV_ETB differs from beginning_balance",IF(AND(ISNUMBER(O4748),O4748&lt;0,ABS(L4748-(Q4748-IF(ISNUMBER(N4748),N4748,0)+IF(ISNUMBER(P4748),P4748,0)))&lt;=Summary!$B$2),"Negative realized loss not applied - check sign",IF(R4748&lt;0,"Principal paid exceeds prior balance",IF(AND(L4748&gt;Q4748,NOT(ISNUMBER(P4748))),"Balance increased but no Deferred_interest reported",IF(L4748&gt;R4748,"Reported balance higher than expected (missing increase/OC build)","Reported balance lower than expected (missing decrease)"))))),""))</f>
        <v/>
      </c>
    </row>
    <row r="4749" customFormat="false" ht="15" hidden="false" customHeight="false" outlineLevel="0" collapsed="false">
      <c r="A4749" s="8"/>
      <c r="B4749" s="8"/>
      <c r="C4749" s="8"/>
      <c r="D4749" s="8"/>
      <c r="E4749" s="8"/>
      <c r="F4749" s="8"/>
      <c r="G4749" s="8"/>
      <c r="H4749" s="8"/>
      <c r="I4749" s="8"/>
      <c r="J4749" s="8"/>
      <c r="K4749" s="9"/>
      <c r="L4749" s="9"/>
      <c r="M4749" s="9"/>
      <c r="N4749" s="9"/>
      <c r="O4749" s="9"/>
      <c r="P4749" s="9"/>
      <c r="Q4749" s="9"/>
      <c r="R4749" s="9" t="str">
        <f aca="false">IF(AND(A4749&lt;&gt;"",ISNUMBER(Q4749),ISNUMBER(L4749)),ROUND(Q4749-IF(ISNUMBER(N4749),N4749,0)-IF(ISNUMBER(O4749),O4749,0)+IF(ISNUMBER(P4749),P4749,0),2),"")</f>
        <v/>
      </c>
      <c r="S4749" s="9" t="str">
        <f aca="false">IF(R4749="","",ROUND(L4749-R4749,2))</f>
        <v/>
      </c>
      <c r="T4749" s="8" t="str">
        <f aca="false">IF(A4749="","",IF(S4749="","BYPASS",IF(ABS(S4749)&lt;=Summary!$B$2,"PASS","FAIL")))</f>
        <v/>
      </c>
      <c r="U4749" s="8" t="str">
        <f aca="false">IF(T4749="BYPASS",IF(NOT(ISNUMBER(Q4749)),"PreV_ETB missing","End_tr_balance missing"),IF(T4749="FAIL",IF(AND(ISNUMBER(K4749),ISNUMBER(L4749),ABS(L4749-(K4749-IF(ISNUMBER(N4749),N4749,0)-IF(ISNUMBER(O4749),O4749,0)+IF(ISNUMBER(P4749),P4749,0)))&lt;=Summary!$B$2),"Passes using beginning_balance - PreV_ETB differs from beginning_balance",IF(AND(ISNUMBER(O4749),O4749&lt;0,ABS(L4749-(Q4749-IF(ISNUMBER(N4749),N4749,0)+IF(ISNUMBER(P4749),P4749,0)))&lt;=Summary!$B$2),"Negative realized loss not applied - check sign",IF(R4749&lt;0,"Principal paid exceeds prior balance",IF(AND(L4749&gt;Q4749,NOT(ISNUMBER(P4749))),"Balance increased but no Deferred_interest reported",IF(L4749&gt;R4749,"Reported balance higher than expected (missing increase/OC build)","Reported balance lower than expected (missing decrease)"))))),""))</f>
        <v/>
      </c>
    </row>
    <row r="4750" customFormat="false" ht="15" hidden="false" customHeight="false" outlineLevel="0" collapsed="false">
      <c r="A4750" s="8"/>
      <c r="B4750" s="8"/>
      <c r="C4750" s="8"/>
      <c r="D4750" s="8"/>
      <c r="E4750" s="8"/>
      <c r="F4750" s="8"/>
      <c r="G4750" s="8"/>
      <c r="H4750" s="8"/>
      <c r="I4750" s="8"/>
      <c r="J4750" s="8"/>
      <c r="K4750" s="9"/>
      <c r="L4750" s="9"/>
      <c r="M4750" s="9"/>
      <c r="N4750" s="9"/>
      <c r="O4750" s="9"/>
      <c r="P4750" s="9"/>
      <c r="Q4750" s="9"/>
      <c r="R4750" s="9" t="str">
        <f aca="false">IF(AND(A4750&lt;&gt;"",ISNUMBER(Q4750),ISNUMBER(L4750)),ROUND(Q4750-IF(ISNUMBER(N4750),N4750,0)-IF(ISNUMBER(O4750),O4750,0)+IF(ISNUMBER(P4750),P4750,0),2),"")</f>
        <v/>
      </c>
      <c r="S4750" s="9" t="str">
        <f aca="false">IF(R4750="","",ROUND(L4750-R4750,2))</f>
        <v/>
      </c>
      <c r="T4750" s="8" t="str">
        <f aca="false">IF(A4750="","",IF(S4750="","BYPASS",IF(ABS(S4750)&lt;=Summary!$B$2,"PASS","FAIL")))</f>
        <v/>
      </c>
      <c r="U4750" s="8" t="str">
        <f aca="false">IF(T4750="BYPASS",IF(NOT(ISNUMBER(Q4750)),"PreV_ETB missing","End_tr_balance missing"),IF(T4750="FAIL",IF(AND(ISNUMBER(K4750),ISNUMBER(L4750),ABS(L4750-(K4750-IF(ISNUMBER(N4750),N4750,0)-IF(ISNUMBER(O4750),O4750,0)+IF(ISNUMBER(P4750),P4750,0)))&lt;=Summary!$B$2),"Passes using beginning_balance - PreV_ETB differs from beginning_balance",IF(AND(ISNUMBER(O4750),O4750&lt;0,ABS(L4750-(Q4750-IF(ISNUMBER(N4750),N4750,0)+IF(ISNUMBER(P4750),P4750,0)))&lt;=Summary!$B$2),"Negative realized loss not applied - check sign",IF(R4750&lt;0,"Principal paid exceeds prior balance",IF(AND(L4750&gt;Q4750,NOT(ISNUMBER(P4750))),"Balance increased but no Deferred_interest reported",IF(L4750&gt;R4750,"Reported balance higher than expected (missing increase/OC build)","Reported balance lower than expected (missing decrease)"))))),""))</f>
        <v/>
      </c>
    </row>
    <row r="4751" customFormat="false" ht="15" hidden="false" customHeight="false" outlineLevel="0" collapsed="false">
      <c r="A4751" s="8"/>
      <c r="B4751" s="8"/>
      <c r="C4751" s="8"/>
      <c r="D4751" s="8"/>
      <c r="E4751" s="8"/>
      <c r="F4751" s="8"/>
      <c r="G4751" s="8"/>
      <c r="H4751" s="8"/>
      <c r="I4751" s="8"/>
      <c r="J4751" s="8"/>
      <c r="K4751" s="9"/>
      <c r="L4751" s="9"/>
      <c r="M4751" s="9"/>
      <c r="N4751" s="9"/>
      <c r="O4751" s="9"/>
      <c r="P4751" s="9"/>
      <c r="Q4751" s="9"/>
      <c r="R4751" s="9" t="str">
        <f aca="false">IF(AND(A4751&lt;&gt;"",ISNUMBER(Q4751),ISNUMBER(L4751)),ROUND(Q4751-IF(ISNUMBER(N4751),N4751,0)-IF(ISNUMBER(O4751),O4751,0)+IF(ISNUMBER(P4751),P4751,0),2),"")</f>
        <v/>
      </c>
      <c r="S4751" s="9" t="str">
        <f aca="false">IF(R4751="","",ROUND(L4751-R4751,2))</f>
        <v/>
      </c>
      <c r="T4751" s="8" t="str">
        <f aca="false">IF(A4751="","",IF(S4751="","BYPASS",IF(ABS(S4751)&lt;=Summary!$B$2,"PASS","FAIL")))</f>
        <v/>
      </c>
      <c r="U4751" s="8" t="str">
        <f aca="false">IF(T4751="BYPASS",IF(NOT(ISNUMBER(Q4751)),"PreV_ETB missing","End_tr_balance missing"),IF(T4751="FAIL",IF(AND(ISNUMBER(K4751),ISNUMBER(L4751),ABS(L4751-(K4751-IF(ISNUMBER(N4751),N4751,0)-IF(ISNUMBER(O4751),O4751,0)+IF(ISNUMBER(P4751),P4751,0)))&lt;=Summary!$B$2),"Passes using beginning_balance - PreV_ETB differs from beginning_balance",IF(AND(ISNUMBER(O4751),O4751&lt;0,ABS(L4751-(Q4751-IF(ISNUMBER(N4751),N4751,0)+IF(ISNUMBER(P4751),P4751,0)))&lt;=Summary!$B$2),"Negative realized loss not applied - check sign",IF(R4751&lt;0,"Principal paid exceeds prior balance",IF(AND(L4751&gt;Q4751,NOT(ISNUMBER(P4751))),"Balance increased but no Deferred_interest reported",IF(L4751&gt;R4751,"Reported balance higher than expected (missing increase/OC build)","Reported balance lower than expected (missing decrease)"))))),""))</f>
        <v/>
      </c>
    </row>
    <row r="4752" customFormat="false" ht="15" hidden="false" customHeight="false" outlineLevel="0" collapsed="false">
      <c r="A4752" s="8"/>
      <c r="B4752" s="8"/>
      <c r="C4752" s="8"/>
      <c r="D4752" s="8"/>
      <c r="E4752" s="8"/>
      <c r="F4752" s="8"/>
      <c r="G4752" s="8"/>
      <c r="H4752" s="8"/>
      <c r="I4752" s="8"/>
      <c r="J4752" s="8"/>
      <c r="K4752" s="9"/>
      <c r="L4752" s="9"/>
      <c r="M4752" s="9"/>
      <c r="N4752" s="9"/>
      <c r="O4752" s="9"/>
      <c r="P4752" s="9"/>
      <c r="Q4752" s="9"/>
      <c r="R4752" s="9" t="str">
        <f aca="false">IF(AND(A4752&lt;&gt;"",ISNUMBER(Q4752),ISNUMBER(L4752)),ROUND(Q4752-IF(ISNUMBER(N4752),N4752,0)-IF(ISNUMBER(O4752),O4752,0)+IF(ISNUMBER(P4752),P4752,0),2),"")</f>
        <v/>
      </c>
      <c r="S4752" s="9" t="str">
        <f aca="false">IF(R4752="","",ROUND(L4752-R4752,2))</f>
        <v/>
      </c>
      <c r="T4752" s="8" t="str">
        <f aca="false">IF(A4752="","",IF(S4752="","BYPASS",IF(ABS(S4752)&lt;=Summary!$B$2,"PASS","FAIL")))</f>
        <v/>
      </c>
      <c r="U4752" s="8" t="str">
        <f aca="false">IF(T4752="BYPASS",IF(NOT(ISNUMBER(Q4752)),"PreV_ETB missing","End_tr_balance missing"),IF(T4752="FAIL",IF(AND(ISNUMBER(K4752),ISNUMBER(L4752),ABS(L4752-(K4752-IF(ISNUMBER(N4752),N4752,0)-IF(ISNUMBER(O4752),O4752,0)+IF(ISNUMBER(P4752),P4752,0)))&lt;=Summary!$B$2),"Passes using beginning_balance - PreV_ETB differs from beginning_balance",IF(AND(ISNUMBER(O4752),O4752&lt;0,ABS(L4752-(Q4752-IF(ISNUMBER(N4752),N4752,0)+IF(ISNUMBER(P4752),P4752,0)))&lt;=Summary!$B$2),"Negative realized loss not applied - check sign",IF(R4752&lt;0,"Principal paid exceeds prior balance",IF(AND(L4752&gt;Q4752,NOT(ISNUMBER(P4752))),"Balance increased but no Deferred_interest reported",IF(L4752&gt;R4752,"Reported balance higher than expected (missing increase/OC build)","Reported balance lower than expected (missing decrease)"))))),""))</f>
        <v/>
      </c>
    </row>
    <row r="4753" customFormat="false" ht="15" hidden="false" customHeight="false" outlineLevel="0" collapsed="false">
      <c r="A4753" s="8"/>
      <c r="B4753" s="8"/>
      <c r="C4753" s="8"/>
      <c r="D4753" s="8"/>
      <c r="E4753" s="8"/>
      <c r="F4753" s="8"/>
      <c r="G4753" s="8"/>
      <c r="H4753" s="8"/>
      <c r="I4753" s="8"/>
      <c r="J4753" s="8"/>
      <c r="K4753" s="9"/>
      <c r="L4753" s="9"/>
      <c r="M4753" s="9"/>
      <c r="N4753" s="9"/>
      <c r="O4753" s="9"/>
      <c r="P4753" s="9"/>
      <c r="Q4753" s="9"/>
      <c r="R4753" s="9" t="str">
        <f aca="false">IF(AND(A4753&lt;&gt;"",ISNUMBER(Q4753),ISNUMBER(L4753)),ROUND(Q4753-IF(ISNUMBER(N4753),N4753,0)-IF(ISNUMBER(O4753),O4753,0)+IF(ISNUMBER(P4753),P4753,0),2),"")</f>
        <v/>
      </c>
      <c r="S4753" s="9" t="str">
        <f aca="false">IF(R4753="","",ROUND(L4753-R4753,2))</f>
        <v/>
      </c>
      <c r="T4753" s="8" t="str">
        <f aca="false">IF(A4753="","",IF(S4753="","BYPASS",IF(ABS(S4753)&lt;=Summary!$B$2,"PASS","FAIL")))</f>
        <v/>
      </c>
      <c r="U4753" s="8" t="str">
        <f aca="false">IF(T4753="BYPASS",IF(NOT(ISNUMBER(Q4753)),"PreV_ETB missing","End_tr_balance missing"),IF(T4753="FAIL",IF(AND(ISNUMBER(K4753),ISNUMBER(L4753),ABS(L4753-(K4753-IF(ISNUMBER(N4753),N4753,0)-IF(ISNUMBER(O4753),O4753,0)+IF(ISNUMBER(P4753),P4753,0)))&lt;=Summary!$B$2),"Passes using beginning_balance - PreV_ETB differs from beginning_balance",IF(AND(ISNUMBER(O4753),O4753&lt;0,ABS(L4753-(Q4753-IF(ISNUMBER(N4753),N4753,0)+IF(ISNUMBER(P4753),P4753,0)))&lt;=Summary!$B$2),"Negative realized loss not applied - check sign",IF(R4753&lt;0,"Principal paid exceeds prior balance",IF(AND(L4753&gt;Q4753,NOT(ISNUMBER(P4753))),"Balance increased but no Deferred_interest reported",IF(L4753&gt;R4753,"Reported balance higher than expected (missing increase/OC build)","Reported balance lower than expected (missing decrease)"))))),""))</f>
        <v/>
      </c>
    </row>
    <row r="4754" customFormat="false" ht="15" hidden="false" customHeight="false" outlineLevel="0" collapsed="false">
      <c r="A4754" s="8"/>
      <c r="B4754" s="8"/>
      <c r="C4754" s="8"/>
      <c r="D4754" s="8"/>
      <c r="E4754" s="8"/>
      <c r="F4754" s="8"/>
      <c r="G4754" s="8"/>
      <c r="H4754" s="8"/>
      <c r="I4754" s="8"/>
      <c r="J4754" s="8"/>
      <c r="K4754" s="9"/>
      <c r="L4754" s="9"/>
      <c r="M4754" s="9"/>
      <c r="N4754" s="9"/>
      <c r="O4754" s="9"/>
      <c r="P4754" s="9"/>
      <c r="Q4754" s="9"/>
      <c r="R4754" s="9" t="str">
        <f aca="false">IF(AND(A4754&lt;&gt;"",ISNUMBER(Q4754),ISNUMBER(L4754)),ROUND(Q4754-IF(ISNUMBER(N4754),N4754,0)-IF(ISNUMBER(O4754),O4754,0)+IF(ISNUMBER(P4754),P4754,0),2),"")</f>
        <v/>
      </c>
      <c r="S4754" s="9" t="str">
        <f aca="false">IF(R4754="","",ROUND(L4754-R4754,2))</f>
        <v/>
      </c>
      <c r="T4754" s="8" t="str">
        <f aca="false">IF(A4754="","",IF(S4754="","BYPASS",IF(ABS(S4754)&lt;=Summary!$B$2,"PASS","FAIL")))</f>
        <v/>
      </c>
      <c r="U4754" s="8" t="str">
        <f aca="false">IF(T4754="BYPASS",IF(NOT(ISNUMBER(Q4754)),"PreV_ETB missing","End_tr_balance missing"),IF(T4754="FAIL",IF(AND(ISNUMBER(K4754),ISNUMBER(L4754),ABS(L4754-(K4754-IF(ISNUMBER(N4754),N4754,0)-IF(ISNUMBER(O4754),O4754,0)+IF(ISNUMBER(P4754),P4754,0)))&lt;=Summary!$B$2),"Passes using beginning_balance - PreV_ETB differs from beginning_balance",IF(AND(ISNUMBER(O4754),O4754&lt;0,ABS(L4754-(Q4754-IF(ISNUMBER(N4754),N4754,0)+IF(ISNUMBER(P4754),P4754,0)))&lt;=Summary!$B$2),"Negative realized loss not applied - check sign",IF(R4754&lt;0,"Principal paid exceeds prior balance",IF(AND(L4754&gt;Q4754,NOT(ISNUMBER(P4754))),"Balance increased but no Deferred_interest reported",IF(L4754&gt;R4754,"Reported balance higher than expected (missing increase/OC build)","Reported balance lower than expected (missing decrease)"))))),""))</f>
        <v/>
      </c>
    </row>
    <row r="4755" customFormat="false" ht="15" hidden="false" customHeight="false" outlineLevel="0" collapsed="false">
      <c r="A4755" s="8"/>
      <c r="B4755" s="8"/>
      <c r="C4755" s="8"/>
      <c r="D4755" s="8"/>
      <c r="E4755" s="8"/>
      <c r="F4755" s="8"/>
      <c r="G4755" s="8"/>
      <c r="H4755" s="8"/>
      <c r="I4755" s="8"/>
      <c r="J4755" s="8"/>
      <c r="K4755" s="9"/>
      <c r="L4755" s="9"/>
      <c r="M4755" s="9"/>
      <c r="N4755" s="9"/>
      <c r="O4755" s="9"/>
      <c r="P4755" s="9"/>
      <c r="Q4755" s="9"/>
      <c r="R4755" s="9" t="str">
        <f aca="false">IF(AND(A4755&lt;&gt;"",ISNUMBER(Q4755),ISNUMBER(L4755)),ROUND(Q4755-IF(ISNUMBER(N4755),N4755,0)-IF(ISNUMBER(O4755),O4755,0)+IF(ISNUMBER(P4755),P4755,0),2),"")</f>
        <v/>
      </c>
      <c r="S4755" s="9" t="str">
        <f aca="false">IF(R4755="","",ROUND(L4755-R4755,2))</f>
        <v/>
      </c>
      <c r="T4755" s="8" t="str">
        <f aca="false">IF(A4755="","",IF(S4755="","BYPASS",IF(ABS(S4755)&lt;=Summary!$B$2,"PASS","FAIL")))</f>
        <v/>
      </c>
      <c r="U4755" s="8" t="str">
        <f aca="false">IF(T4755="BYPASS",IF(NOT(ISNUMBER(Q4755)),"PreV_ETB missing","End_tr_balance missing"),IF(T4755="FAIL",IF(AND(ISNUMBER(K4755),ISNUMBER(L4755),ABS(L4755-(K4755-IF(ISNUMBER(N4755),N4755,0)-IF(ISNUMBER(O4755),O4755,0)+IF(ISNUMBER(P4755),P4755,0)))&lt;=Summary!$B$2),"Passes using beginning_balance - PreV_ETB differs from beginning_balance",IF(AND(ISNUMBER(O4755),O4755&lt;0,ABS(L4755-(Q4755-IF(ISNUMBER(N4755),N4755,0)+IF(ISNUMBER(P4755),P4755,0)))&lt;=Summary!$B$2),"Negative realized loss not applied - check sign",IF(R4755&lt;0,"Principal paid exceeds prior balance",IF(AND(L4755&gt;Q4755,NOT(ISNUMBER(P4755))),"Balance increased but no Deferred_interest reported",IF(L4755&gt;R4755,"Reported balance higher than expected (missing increase/OC build)","Reported balance lower than expected (missing decrease)"))))),""))</f>
        <v/>
      </c>
    </row>
    <row r="4756" customFormat="false" ht="15" hidden="false" customHeight="false" outlineLevel="0" collapsed="false">
      <c r="A4756" s="8"/>
      <c r="B4756" s="8"/>
      <c r="C4756" s="8"/>
      <c r="D4756" s="8"/>
      <c r="E4756" s="8"/>
      <c r="F4756" s="8"/>
      <c r="G4756" s="8"/>
      <c r="H4756" s="8"/>
      <c r="I4756" s="8"/>
      <c r="J4756" s="8"/>
      <c r="K4756" s="9"/>
      <c r="L4756" s="9"/>
      <c r="M4756" s="9"/>
      <c r="N4756" s="9"/>
      <c r="O4756" s="9"/>
      <c r="P4756" s="9"/>
      <c r="Q4756" s="9"/>
      <c r="R4756" s="9" t="str">
        <f aca="false">IF(AND(A4756&lt;&gt;"",ISNUMBER(Q4756),ISNUMBER(L4756)),ROUND(Q4756-IF(ISNUMBER(N4756),N4756,0)-IF(ISNUMBER(O4756),O4756,0)+IF(ISNUMBER(P4756),P4756,0),2),"")</f>
        <v/>
      </c>
      <c r="S4756" s="9" t="str">
        <f aca="false">IF(R4756="","",ROUND(L4756-R4756,2))</f>
        <v/>
      </c>
      <c r="T4756" s="8" t="str">
        <f aca="false">IF(A4756="","",IF(S4756="","BYPASS",IF(ABS(S4756)&lt;=Summary!$B$2,"PASS","FAIL")))</f>
        <v/>
      </c>
      <c r="U4756" s="8" t="str">
        <f aca="false">IF(T4756="BYPASS",IF(NOT(ISNUMBER(Q4756)),"PreV_ETB missing","End_tr_balance missing"),IF(T4756="FAIL",IF(AND(ISNUMBER(K4756),ISNUMBER(L4756),ABS(L4756-(K4756-IF(ISNUMBER(N4756),N4756,0)-IF(ISNUMBER(O4756),O4756,0)+IF(ISNUMBER(P4756),P4756,0)))&lt;=Summary!$B$2),"Passes using beginning_balance - PreV_ETB differs from beginning_balance",IF(AND(ISNUMBER(O4756),O4756&lt;0,ABS(L4756-(Q4756-IF(ISNUMBER(N4756),N4756,0)+IF(ISNUMBER(P4756),P4756,0)))&lt;=Summary!$B$2),"Negative realized loss not applied - check sign",IF(R4756&lt;0,"Principal paid exceeds prior balance",IF(AND(L4756&gt;Q4756,NOT(ISNUMBER(P4756))),"Balance increased but no Deferred_interest reported",IF(L4756&gt;R4756,"Reported balance higher than expected (missing increase/OC build)","Reported balance lower than expected (missing decrease)"))))),""))</f>
        <v/>
      </c>
    </row>
    <row r="4757" customFormat="false" ht="15" hidden="false" customHeight="false" outlineLevel="0" collapsed="false">
      <c r="A4757" s="8"/>
      <c r="B4757" s="8"/>
      <c r="C4757" s="8"/>
      <c r="D4757" s="8"/>
      <c r="E4757" s="8"/>
      <c r="F4757" s="8"/>
      <c r="G4757" s="8"/>
      <c r="H4757" s="8"/>
      <c r="I4757" s="8"/>
      <c r="J4757" s="8"/>
      <c r="K4757" s="9"/>
      <c r="L4757" s="9"/>
      <c r="M4757" s="9"/>
      <c r="N4757" s="9"/>
      <c r="O4757" s="9"/>
      <c r="P4757" s="9"/>
      <c r="Q4757" s="9"/>
      <c r="R4757" s="9" t="str">
        <f aca="false">IF(AND(A4757&lt;&gt;"",ISNUMBER(Q4757),ISNUMBER(L4757)),ROUND(Q4757-IF(ISNUMBER(N4757),N4757,0)-IF(ISNUMBER(O4757),O4757,0)+IF(ISNUMBER(P4757),P4757,0),2),"")</f>
        <v/>
      </c>
      <c r="S4757" s="9" t="str">
        <f aca="false">IF(R4757="","",ROUND(L4757-R4757,2))</f>
        <v/>
      </c>
      <c r="T4757" s="8" t="str">
        <f aca="false">IF(A4757="","",IF(S4757="","BYPASS",IF(ABS(S4757)&lt;=Summary!$B$2,"PASS","FAIL")))</f>
        <v/>
      </c>
      <c r="U4757" s="8" t="str">
        <f aca="false">IF(T4757="BYPASS",IF(NOT(ISNUMBER(Q4757)),"PreV_ETB missing","End_tr_balance missing"),IF(T4757="FAIL",IF(AND(ISNUMBER(K4757),ISNUMBER(L4757),ABS(L4757-(K4757-IF(ISNUMBER(N4757),N4757,0)-IF(ISNUMBER(O4757),O4757,0)+IF(ISNUMBER(P4757),P4757,0)))&lt;=Summary!$B$2),"Passes using beginning_balance - PreV_ETB differs from beginning_balance",IF(AND(ISNUMBER(O4757),O4757&lt;0,ABS(L4757-(Q4757-IF(ISNUMBER(N4757),N4757,0)+IF(ISNUMBER(P4757),P4757,0)))&lt;=Summary!$B$2),"Negative realized loss not applied - check sign",IF(R4757&lt;0,"Principal paid exceeds prior balance",IF(AND(L4757&gt;Q4757,NOT(ISNUMBER(P4757))),"Balance increased but no Deferred_interest reported",IF(L4757&gt;R4757,"Reported balance higher than expected (missing increase/OC build)","Reported balance lower than expected (missing decrease)"))))),""))</f>
        <v/>
      </c>
    </row>
    <row r="4758" customFormat="false" ht="15" hidden="false" customHeight="false" outlineLevel="0" collapsed="false">
      <c r="A4758" s="8"/>
      <c r="B4758" s="8"/>
      <c r="C4758" s="8"/>
      <c r="D4758" s="8"/>
      <c r="E4758" s="8"/>
      <c r="F4758" s="8"/>
      <c r="G4758" s="8"/>
      <c r="H4758" s="8"/>
      <c r="I4758" s="8"/>
      <c r="J4758" s="8"/>
      <c r="K4758" s="9"/>
      <c r="L4758" s="9"/>
      <c r="M4758" s="9"/>
      <c r="N4758" s="9"/>
      <c r="O4758" s="9"/>
      <c r="P4758" s="9"/>
      <c r="Q4758" s="9"/>
      <c r="R4758" s="9" t="str">
        <f aca="false">IF(AND(A4758&lt;&gt;"",ISNUMBER(Q4758),ISNUMBER(L4758)),ROUND(Q4758-IF(ISNUMBER(N4758),N4758,0)-IF(ISNUMBER(O4758),O4758,0)+IF(ISNUMBER(P4758),P4758,0),2),"")</f>
        <v/>
      </c>
      <c r="S4758" s="9" t="str">
        <f aca="false">IF(R4758="","",ROUND(L4758-R4758,2))</f>
        <v/>
      </c>
      <c r="T4758" s="8" t="str">
        <f aca="false">IF(A4758="","",IF(S4758="","BYPASS",IF(ABS(S4758)&lt;=Summary!$B$2,"PASS","FAIL")))</f>
        <v/>
      </c>
      <c r="U4758" s="8" t="str">
        <f aca="false">IF(T4758="BYPASS",IF(NOT(ISNUMBER(Q4758)),"PreV_ETB missing","End_tr_balance missing"),IF(T4758="FAIL",IF(AND(ISNUMBER(K4758),ISNUMBER(L4758),ABS(L4758-(K4758-IF(ISNUMBER(N4758),N4758,0)-IF(ISNUMBER(O4758),O4758,0)+IF(ISNUMBER(P4758),P4758,0)))&lt;=Summary!$B$2),"Passes using beginning_balance - PreV_ETB differs from beginning_balance",IF(AND(ISNUMBER(O4758),O4758&lt;0,ABS(L4758-(Q4758-IF(ISNUMBER(N4758),N4758,0)+IF(ISNUMBER(P4758),P4758,0)))&lt;=Summary!$B$2),"Negative realized loss not applied - check sign",IF(R4758&lt;0,"Principal paid exceeds prior balance",IF(AND(L4758&gt;Q4758,NOT(ISNUMBER(P4758))),"Balance increased but no Deferred_interest reported",IF(L4758&gt;R4758,"Reported balance higher than expected (missing increase/OC build)","Reported balance lower than expected (missing decrease)"))))),""))</f>
        <v/>
      </c>
    </row>
    <row r="4759" customFormat="false" ht="15" hidden="false" customHeight="false" outlineLevel="0" collapsed="false">
      <c r="A4759" s="8"/>
      <c r="B4759" s="8"/>
      <c r="C4759" s="8"/>
      <c r="D4759" s="8"/>
      <c r="E4759" s="8"/>
      <c r="F4759" s="8"/>
      <c r="G4759" s="8"/>
      <c r="H4759" s="8"/>
      <c r="I4759" s="8"/>
      <c r="J4759" s="8"/>
      <c r="K4759" s="9"/>
      <c r="L4759" s="9"/>
      <c r="M4759" s="9"/>
      <c r="N4759" s="9"/>
      <c r="O4759" s="9"/>
      <c r="P4759" s="9"/>
      <c r="Q4759" s="9"/>
      <c r="R4759" s="9" t="str">
        <f aca="false">IF(AND(A4759&lt;&gt;"",ISNUMBER(Q4759),ISNUMBER(L4759)),ROUND(Q4759-IF(ISNUMBER(N4759),N4759,0)-IF(ISNUMBER(O4759),O4759,0)+IF(ISNUMBER(P4759),P4759,0),2),"")</f>
        <v/>
      </c>
      <c r="S4759" s="9" t="str">
        <f aca="false">IF(R4759="","",ROUND(L4759-R4759,2))</f>
        <v/>
      </c>
      <c r="T4759" s="8" t="str">
        <f aca="false">IF(A4759="","",IF(S4759="","BYPASS",IF(ABS(S4759)&lt;=Summary!$B$2,"PASS","FAIL")))</f>
        <v/>
      </c>
      <c r="U4759" s="8" t="str">
        <f aca="false">IF(T4759="BYPASS",IF(NOT(ISNUMBER(Q4759)),"PreV_ETB missing","End_tr_balance missing"),IF(T4759="FAIL",IF(AND(ISNUMBER(K4759),ISNUMBER(L4759),ABS(L4759-(K4759-IF(ISNUMBER(N4759),N4759,0)-IF(ISNUMBER(O4759),O4759,0)+IF(ISNUMBER(P4759),P4759,0)))&lt;=Summary!$B$2),"Passes using beginning_balance - PreV_ETB differs from beginning_balance",IF(AND(ISNUMBER(O4759),O4759&lt;0,ABS(L4759-(Q4759-IF(ISNUMBER(N4759),N4759,0)+IF(ISNUMBER(P4759),P4759,0)))&lt;=Summary!$B$2),"Negative realized loss not applied - check sign",IF(R4759&lt;0,"Principal paid exceeds prior balance",IF(AND(L4759&gt;Q4759,NOT(ISNUMBER(P4759))),"Balance increased but no Deferred_interest reported",IF(L4759&gt;R4759,"Reported balance higher than expected (missing increase/OC build)","Reported balance lower than expected (missing decrease)"))))),""))</f>
        <v/>
      </c>
    </row>
    <row r="4760" customFormat="false" ht="15" hidden="false" customHeight="false" outlineLevel="0" collapsed="false">
      <c r="A4760" s="8"/>
      <c r="B4760" s="8"/>
      <c r="C4760" s="8"/>
      <c r="D4760" s="8"/>
      <c r="E4760" s="8"/>
      <c r="F4760" s="8"/>
      <c r="G4760" s="8"/>
      <c r="H4760" s="8"/>
      <c r="I4760" s="8"/>
      <c r="J4760" s="8"/>
      <c r="K4760" s="9"/>
      <c r="L4760" s="9"/>
      <c r="M4760" s="9"/>
      <c r="N4760" s="9"/>
      <c r="O4760" s="9"/>
      <c r="P4760" s="9"/>
      <c r="Q4760" s="9"/>
      <c r="R4760" s="9" t="str">
        <f aca="false">IF(AND(A4760&lt;&gt;"",ISNUMBER(Q4760),ISNUMBER(L4760)),ROUND(Q4760-IF(ISNUMBER(N4760),N4760,0)-IF(ISNUMBER(O4760),O4760,0)+IF(ISNUMBER(P4760),P4760,0),2),"")</f>
        <v/>
      </c>
      <c r="S4760" s="9" t="str">
        <f aca="false">IF(R4760="","",ROUND(L4760-R4760,2))</f>
        <v/>
      </c>
      <c r="T4760" s="8" t="str">
        <f aca="false">IF(A4760="","",IF(S4760="","BYPASS",IF(ABS(S4760)&lt;=Summary!$B$2,"PASS","FAIL")))</f>
        <v/>
      </c>
      <c r="U4760" s="8" t="str">
        <f aca="false">IF(T4760="BYPASS",IF(NOT(ISNUMBER(Q4760)),"PreV_ETB missing","End_tr_balance missing"),IF(T4760="FAIL",IF(AND(ISNUMBER(K4760),ISNUMBER(L4760),ABS(L4760-(K4760-IF(ISNUMBER(N4760),N4760,0)-IF(ISNUMBER(O4760),O4760,0)+IF(ISNUMBER(P4760),P4760,0)))&lt;=Summary!$B$2),"Passes using beginning_balance - PreV_ETB differs from beginning_balance",IF(AND(ISNUMBER(O4760),O4760&lt;0,ABS(L4760-(Q4760-IF(ISNUMBER(N4760),N4760,0)+IF(ISNUMBER(P4760),P4760,0)))&lt;=Summary!$B$2),"Negative realized loss not applied - check sign",IF(R4760&lt;0,"Principal paid exceeds prior balance",IF(AND(L4760&gt;Q4760,NOT(ISNUMBER(P4760))),"Balance increased but no Deferred_interest reported",IF(L4760&gt;R4760,"Reported balance higher than expected (missing increase/OC build)","Reported balance lower than expected (missing decrease)"))))),""))</f>
        <v/>
      </c>
    </row>
    <row r="4761" customFormat="false" ht="15" hidden="false" customHeight="false" outlineLevel="0" collapsed="false">
      <c r="A4761" s="8"/>
      <c r="B4761" s="8"/>
      <c r="C4761" s="8"/>
      <c r="D4761" s="8"/>
      <c r="E4761" s="8"/>
      <c r="F4761" s="8"/>
      <c r="G4761" s="8"/>
      <c r="H4761" s="8"/>
      <c r="I4761" s="8"/>
      <c r="J4761" s="8"/>
      <c r="K4761" s="9"/>
      <c r="L4761" s="9"/>
      <c r="M4761" s="9"/>
      <c r="N4761" s="9"/>
      <c r="O4761" s="9"/>
      <c r="P4761" s="9"/>
      <c r="Q4761" s="9"/>
      <c r="R4761" s="9" t="str">
        <f aca="false">IF(AND(A4761&lt;&gt;"",ISNUMBER(Q4761),ISNUMBER(L4761)),ROUND(Q4761-IF(ISNUMBER(N4761),N4761,0)-IF(ISNUMBER(O4761),O4761,0)+IF(ISNUMBER(P4761),P4761,0),2),"")</f>
        <v/>
      </c>
      <c r="S4761" s="9" t="str">
        <f aca="false">IF(R4761="","",ROUND(L4761-R4761,2))</f>
        <v/>
      </c>
      <c r="T4761" s="8" t="str">
        <f aca="false">IF(A4761="","",IF(S4761="","BYPASS",IF(ABS(S4761)&lt;=Summary!$B$2,"PASS","FAIL")))</f>
        <v/>
      </c>
      <c r="U4761" s="8" t="str">
        <f aca="false">IF(T4761="BYPASS",IF(NOT(ISNUMBER(Q4761)),"PreV_ETB missing","End_tr_balance missing"),IF(T4761="FAIL",IF(AND(ISNUMBER(K4761),ISNUMBER(L4761),ABS(L4761-(K4761-IF(ISNUMBER(N4761),N4761,0)-IF(ISNUMBER(O4761),O4761,0)+IF(ISNUMBER(P4761),P4761,0)))&lt;=Summary!$B$2),"Passes using beginning_balance - PreV_ETB differs from beginning_balance",IF(AND(ISNUMBER(O4761),O4761&lt;0,ABS(L4761-(Q4761-IF(ISNUMBER(N4761),N4761,0)+IF(ISNUMBER(P4761),P4761,0)))&lt;=Summary!$B$2),"Negative realized loss not applied - check sign",IF(R4761&lt;0,"Principal paid exceeds prior balance",IF(AND(L4761&gt;Q4761,NOT(ISNUMBER(P4761))),"Balance increased but no Deferred_interest reported",IF(L4761&gt;R4761,"Reported balance higher than expected (missing increase/OC build)","Reported balance lower than expected (missing decrease)"))))),""))</f>
        <v/>
      </c>
    </row>
    <row r="4762" customFormat="false" ht="15" hidden="false" customHeight="false" outlineLevel="0" collapsed="false">
      <c r="A4762" s="8"/>
      <c r="B4762" s="8"/>
      <c r="C4762" s="8"/>
      <c r="D4762" s="8"/>
      <c r="E4762" s="8"/>
      <c r="F4762" s="8"/>
      <c r="G4762" s="8"/>
      <c r="H4762" s="8"/>
      <c r="I4762" s="8"/>
      <c r="J4762" s="8"/>
      <c r="K4762" s="9"/>
      <c r="L4762" s="9"/>
      <c r="M4762" s="9"/>
      <c r="N4762" s="9"/>
      <c r="O4762" s="9"/>
      <c r="P4762" s="9"/>
      <c r="Q4762" s="9"/>
      <c r="R4762" s="9" t="str">
        <f aca="false">IF(AND(A4762&lt;&gt;"",ISNUMBER(Q4762),ISNUMBER(L4762)),ROUND(Q4762-IF(ISNUMBER(N4762),N4762,0)-IF(ISNUMBER(O4762),O4762,0)+IF(ISNUMBER(P4762),P4762,0),2),"")</f>
        <v/>
      </c>
      <c r="S4762" s="9" t="str">
        <f aca="false">IF(R4762="","",ROUND(L4762-R4762,2))</f>
        <v/>
      </c>
      <c r="T4762" s="8" t="str">
        <f aca="false">IF(A4762="","",IF(S4762="","BYPASS",IF(ABS(S4762)&lt;=Summary!$B$2,"PASS","FAIL")))</f>
        <v/>
      </c>
      <c r="U4762" s="8" t="str">
        <f aca="false">IF(T4762="BYPASS",IF(NOT(ISNUMBER(Q4762)),"PreV_ETB missing","End_tr_balance missing"),IF(T4762="FAIL",IF(AND(ISNUMBER(K4762),ISNUMBER(L4762),ABS(L4762-(K4762-IF(ISNUMBER(N4762),N4762,0)-IF(ISNUMBER(O4762),O4762,0)+IF(ISNUMBER(P4762),P4762,0)))&lt;=Summary!$B$2),"Passes using beginning_balance - PreV_ETB differs from beginning_balance",IF(AND(ISNUMBER(O4762),O4762&lt;0,ABS(L4762-(Q4762-IF(ISNUMBER(N4762),N4762,0)+IF(ISNUMBER(P4762),P4762,0)))&lt;=Summary!$B$2),"Negative realized loss not applied - check sign",IF(R4762&lt;0,"Principal paid exceeds prior balance",IF(AND(L4762&gt;Q4762,NOT(ISNUMBER(P4762))),"Balance increased but no Deferred_interest reported",IF(L4762&gt;R4762,"Reported balance higher than expected (missing increase/OC build)","Reported balance lower than expected (missing decrease)"))))),""))</f>
        <v/>
      </c>
    </row>
    <row r="4763" customFormat="false" ht="15" hidden="false" customHeight="false" outlineLevel="0" collapsed="false">
      <c r="A4763" s="8"/>
      <c r="B4763" s="8"/>
      <c r="C4763" s="8"/>
      <c r="D4763" s="8"/>
      <c r="E4763" s="8"/>
      <c r="F4763" s="8"/>
      <c r="G4763" s="8"/>
      <c r="H4763" s="8"/>
      <c r="I4763" s="8"/>
      <c r="J4763" s="8"/>
      <c r="K4763" s="9"/>
      <c r="L4763" s="9"/>
      <c r="M4763" s="9"/>
      <c r="N4763" s="9"/>
      <c r="O4763" s="9"/>
      <c r="P4763" s="9"/>
      <c r="Q4763" s="9"/>
      <c r="R4763" s="9" t="str">
        <f aca="false">IF(AND(A4763&lt;&gt;"",ISNUMBER(Q4763),ISNUMBER(L4763)),ROUND(Q4763-IF(ISNUMBER(N4763),N4763,0)-IF(ISNUMBER(O4763),O4763,0)+IF(ISNUMBER(P4763),P4763,0),2),"")</f>
        <v/>
      </c>
      <c r="S4763" s="9" t="str">
        <f aca="false">IF(R4763="","",ROUND(L4763-R4763,2))</f>
        <v/>
      </c>
      <c r="T4763" s="8" t="str">
        <f aca="false">IF(A4763="","",IF(S4763="","BYPASS",IF(ABS(S4763)&lt;=Summary!$B$2,"PASS","FAIL")))</f>
        <v/>
      </c>
      <c r="U4763" s="8" t="str">
        <f aca="false">IF(T4763="BYPASS",IF(NOT(ISNUMBER(Q4763)),"PreV_ETB missing","End_tr_balance missing"),IF(T4763="FAIL",IF(AND(ISNUMBER(K4763),ISNUMBER(L4763),ABS(L4763-(K4763-IF(ISNUMBER(N4763),N4763,0)-IF(ISNUMBER(O4763),O4763,0)+IF(ISNUMBER(P4763),P4763,0)))&lt;=Summary!$B$2),"Passes using beginning_balance - PreV_ETB differs from beginning_balance",IF(AND(ISNUMBER(O4763),O4763&lt;0,ABS(L4763-(Q4763-IF(ISNUMBER(N4763),N4763,0)+IF(ISNUMBER(P4763),P4763,0)))&lt;=Summary!$B$2),"Negative realized loss not applied - check sign",IF(R4763&lt;0,"Principal paid exceeds prior balance",IF(AND(L4763&gt;Q4763,NOT(ISNUMBER(P4763))),"Balance increased but no Deferred_interest reported",IF(L4763&gt;R4763,"Reported balance higher than expected (missing increase/OC build)","Reported balance lower than expected (missing decrease)"))))),""))</f>
        <v/>
      </c>
    </row>
    <row r="4764" customFormat="false" ht="15" hidden="false" customHeight="false" outlineLevel="0" collapsed="false">
      <c r="A4764" s="8"/>
      <c r="B4764" s="8"/>
      <c r="C4764" s="8"/>
      <c r="D4764" s="8"/>
      <c r="E4764" s="8"/>
      <c r="F4764" s="8"/>
      <c r="G4764" s="8"/>
      <c r="H4764" s="8"/>
      <c r="I4764" s="8"/>
      <c r="J4764" s="8"/>
      <c r="K4764" s="9"/>
      <c r="L4764" s="9"/>
      <c r="M4764" s="9"/>
      <c r="N4764" s="9"/>
      <c r="O4764" s="9"/>
      <c r="P4764" s="9"/>
      <c r="Q4764" s="9"/>
      <c r="R4764" s="9" t="str">
        <f aca="false">IF(AND(A4764&lt;&gt;"",ISNUMBER(Q4764),ISNUMBER(L4764)),ROUND(Q4764-IF(ISNUMBER(N4764),N4764,0)-IF(ISNUMBER(O4764),O4764,0)+IF(ISNUMBER(P4764),P4764,0),2),"")</f>
        <v/>
      </c>
      <c r="S4764" s="9" t="str">
        <f aca="false">IF(R4764="","",ROUND(L4764-R4764,2))</f>
        <v/>
      </c>
      <c r="T4764" s="8" t="str">
        <f aca="false">IF(A4764="","",IF(S4764="","BYPASS",IF(ABS(S4764)&lt;=Summary!$B$2,"PASS","FAIL")))</f>
        <v/>
      </c>
      <c r="U4764" s="8" t="str">
        <f aca="false">IF(T4764="BYPASS",IF(NOT(ISNUMBER(Q4764)),"PreV_ETB missing","End_tr_balance missing"),IF(T4764="FAIL",IF(AND(ISNUMBER(K4764),ISNUMBER(L4764),ABS(L4764-(K4764-IF(ISNUMBER(N4764),N4764,0)-IF(ISNUMBER(O4764),O4764,0)+IF(ISNUMBER(P4764),P4764,0)))&lt;=Summary!$B$2),"Passes using beginning_balance - PreV_ETB differs from beginning_balance",IF(AND(ISNUMBER(O4764),O4764&lt;0,ABS(L4764-(Q4764-IF(ISNUMBER(N4764),N4764,0)+IF(ISNUMBER(P4764),P4764,0)))&lt;=Summary!$B$2),"Negative realized loss not applied - check sign",IF(R4764&lt;0,"Principal paid exceeds prior balance",IF(AND(L4764&gt;Q4764,NOT(ISNUMBER(P4764))),"Balance increased but no Deferred_interest reported",IF(L4764&gt;R4764,"Reported balance higher than expected (missing increase/OC build)","Reported balance lower than expected (missing decrease)"))))),""))</f>
        <v/>
      </c>
    </row>
    <row r="4765" customFormat="false" ht="15" hidden="false" customHeight="false" outlineLevel="0" collapsed="false">
      <c r="A4765" s="8"/>
      <c r="B4765" s="8"/>
      <c r="C4765" s="8"/>
      <c r="D4765" s="8"/>
      <c r="E4765" s="8"/>
      <c r="F4765" s="8"/>
      <c r="G4765" s="8"/>
      <c r="H4765" s="8"/>
      <c r="I4765" s="8"/>
      <c r="J4765" s="8"/>
      <c r="K4765" s="9"/>
      <c r="L4765" s="9"/>
      <c r="M4765" s="9"/>
      <c r="N4765" s="9"/>
      <c r="O4765" s="9"/>
      <c r="P4765" s="9"/>
      <c r="Q4765" s="9"/>
      <c r="R4765" s="9" t="str">
        <f aca="false">IF(AND(A4765&lt;&gt;"",ISNUMBER(Q4765),ISNUMBER(L4765)),ROUND(Q4765-IF(ISNUMBER(N4765),N4765,0)-IF(ISNUMBER(O4765),O4765,0)+IF(ISNUMBER(P4765),P4765,0),2),"")</f>
        <v/>
      </c>
      <c r="S4765" s="9" t="str">
        <f aca="false">IF(R4765="","",ROUND(L4765-R4765,2))</f>
        <v/>
      </c>
      <c r="T4765" s="8" t="str">
        <f aca="false">IF(A4765="","",IF(S4765="","BYPASS",IF(ABS(S4765)&lt;=Summary!$B$2,"PASS","FAIL")))</f>
        <v/>
      </c>
      <c r="U4765" s="8" t="str">
        <f aca="false">IF(T4765="BYPASS",IF(NOT(ISNUMBER(Q4765)),"PreV_ETB missing","End_tr_balance missing"),IF(T4765="FAIL",IF(AND(ISNUMBER(K4765),ISNUMBER(L4765),ABS(L4765-(K4765-IF(ISNUMBER(N4765),N4765,0)-IF(ISNUMBER(O4765),O4765,0)+IF(ISNUMBER(P4765),P4765,0)))&lt;=Summary!$B$2),"Passes using beginning_balance - PreV_ETB differs from beginning_balance",IF(AND(ISNUMBER(O4765),O4765&lt;0,ABS(L4765-(Q4765-IF(ISNUMBER(N4765),N4765,0)+IF(ISNUMBER(P4765),P4765,0)))&lt;=Summary!$B$2),"Negative realized loss not applied - check sign",IF(R4765&lt;0,"Principal paid exceeds prior balance",IF(AND(L4765&gt;Q4765,NOT(ISNUMBER(P4765))),"Balance increased but no Deferred_interest reported",IF(L4765&gt;R4765,"Reported balance higher than expected (missing increase/OC build)","Reported balance lower than expected (missing decrease)"))))),""))</f>
        <v/>
      </c>
    </row>
    <row r="4766" customFormat="false" ht="15" hidden="false" customHeight="false" outlineLevel="0" collapsed="false">
      <c r="A4766" s="8"/>
      <c r="B4766" s="8"/>
      <c r="C4766" s="8"/>
      <c r="D4766" s="8"/>
      <c r="E4766" s="8"/>
      <c r="F4766" s="8"/>
      <c r="G4766" s="8"/>
      <c r="H4766" s="8"/>
      <c r="I4766" s="8"/>
      <c r="J4766" s="8"/>
      <c r="K4766" s="9"/>
      <c r="L4766" s="9"/>
      <c r="M4766" s="9"/>
      <c r="N4766" s="9"/>
      <c r="O4766" s="9"/>
      <c r="P4766" s="9"/>
      <c r="Q4766" s="9"/>
      <c r="R4766" s="9" t="str">
        <f aca="false">IF(AND(A4766&lt;&gt;"",ISNUMBER(Q4766),ISNUMBER(L4766)),ROUND(Q4766-IF(ISNUMBER(N4766),N4766,0)-IF(ISNUMBER(O4766),O4766,0)+IF(ISNUMBER(P4766),P4766,0),2),"")</f>
        <v/>
      </c>
      <c r="S4766" s="9" t="str">
        <f aca="false">IF(R4766="","",ROUND(L4766-R4766,2))</f>
        <v/>
      </c>
      <c r="T4766" s="8" t="str">
        <f aca="false">IF(A4766="","",IF(S4766="","BYPASS",IF(ABS(S4766)&lt;=Summary!$B$2,"PASS","FAIL")))</f>
        <v/>
      </c>
      <c r="U4766" s="8" t="str">
        <f aca="false">IF(T4766="BYPASS",IF(NOT(ISNUMBER(Q4766)),"PreV_ETB missing","End_tr_balance missing"),IF(T4766="FAIL",IF(AND(ISNUMBER(K4766),ISNUMBER(L4766),ABS(L4766-(K4766-IF(ISNUMBER(N4766),N4766,0)-IF(ISNUMBER(O4766),O4766,0)+IF(ISNUMBER(P4766),P4766,0)))&lt;=Summary!$B$2),"Passes using beginning_balance - PreV_ETB differs from beginning_balance",IF(AND(ISNUMBER(O4766),O4766&lt;0,ABS(L4766-(Q4766-IF(ISNUMBER(N4766),N4766,0)+IF(ISNUMBER(P4766),P4766,0)))&lt;=Summary!$B$2),"Negative realized loss not applied - check sign",IF(R4766&lt;0,"Principal paid exceeds prior balance",IF(AND(L4766&gt;Q4766,NOT(ISNUMBER(P4766))),"Balance increased but no Deferred_interest reported",IF(L4766&gt;R4766,"Reported balance higher than expected (missing increase/OC build)","Reported balance lower than expected (missing decrease)"))))),""))</f>
        <v/>
      </c>
    </row>
    <row r="4767" customFormat="false" ht="15" hidden="false" customHeight="false" outlineLevel="0" collapsed="false">
      <c r="A4767" s="8"/>
      <c r="B4767" s="8"/>
      <c r="C4767" s="8"/>
      <c r="D4767" s="8"/>
      <c r="E4767" s="8"/>
      <c r="F4767" s="8"/>
      <c r="G4767" s="8"/>
      <c r="H4767" s="8"/>
      <c r="I4767" s="8"/>
      <c r="J4767" s="8"/>
      <c r="K4767" s="9"/>
      <c r="L4767" s="9"/>
      <c r="M4767" s="9"/>
      <c r="N4767" s="9"/>
      <c r="O4767" s="9"/>
      <c r="P4767" s="9"/>
      <c r="Q4767" s="9"/>
      <c r="R4767" s="9" t="str">
        <f aca="false">IF(AND(A4767&lt;&gt;"",ISNUMBER(Q4767),ISNUMBER(L4767)),ROUND(Q4767-IF(ISNUMBER(N4767),N4767,0)-IF(ISNUMBER(O4767),O4767,0)+IF(ISNUMBER(P4767),P4767,0),2),"")</f>
        <v/>
      </c>
      <c r="S4767" s="9" t="str">
        <f aca="false">IF(R4767="","",ROUND(L4767-R4767,2))</f>
        <v/>
      </c>
      <c r="T4767" s="8" t="str">
        <f aca="false">IF(A4767="","",IF(S4767="","BYPASS",IF(ABS(S4767)&lt;=Summary!$B$2,"PASS","FAIL")))</f>
        <v/>
      </c>
      <c r="U4767" s="8" t="str">
        <f aca="false">IF(T4767="BYPASS",IF(NOT(ISNUMBER(Q4767)),"PreV_ETB missing","End_tr_balance missing"),IF(T4767="FAIL",IF(AND(ISNUMBER(K4767),ISNUMBER(L4767),ABS(L4767-(K4767-IF(ISNUMBER(N4767),N4767,0)-IF(ISNUMBER(O4767),O4767,0)+IF(ISNUMBER(P4767),P4767,0)))&lt;=Summary!$B$2),"Passes using beginning_balance - PreV_ETB differs from beginning_balance",IF(AND(ISNUMBER(O4767),O4767&lt;0,ABS(L4767-(Q4767-IF(ISNUMBER(N4767),N4767,0)+IF(ISNUMBER(P4767),P4767,0)))&lt;=Summary!$B$2),"Negative realized loss not applied - check sign",IF(R4767&lt;0,"Principal paid exceeds prior balance",IF(AND(L4767&gt;Q4767,NOT(ISNUMBER(P4767))),"Balance increased but no Deferred_interest reported",IF(L4767&gt;R4767,"Reported balance higher than expected (missing increase/OC build)","Reported balance lower than expected (missing decrease)"))))),""))</f>
        <v/>
      </c>
    </row>
    <row r="4768" customFormat="false" ht="15" hidden="false" customHeight="false" outlineLevel="0" collapsed="false">
      <c r="A4768" s="8"/>
      <c r="B4768" s="8"/>
      <c r="C4768" s="8"/>
      <c r="D4768" s="8"/>
      <c r="E4768" s="8"/>
      <c r="F4768" s="8"/>
      <c r="G4768" s="8"/>
      <c r="H4768" s="8"/>
      <c r="I4768" s="8"/>
      <c r="J4768" s="8"/>
      <c r="K4768" s="9"/>
      <c r="L4768" s="9"/>
      <c r="M4768" s="9"/>
      <c r="N4768" s="9"/>
      <c r="O4768" s="9"/>
      <c r="P4768" s="9"/>
      <c r="Q4768" s="9"/>
      <c r="R4768" s="9" t="str">
        <f aca="false">IF(AND(A4768&lt;&gt;"",ISNUMBER(Q4768),ISNUMBER(L4768)),ROUND(Q4768-IF(ISNUMBER(N4768),N4768,0)-IF(ISNUMBER(O4768),O4768,0)+IF(ISNUMBER(P4768),P4768,0),2),"")</f>
        <v/>
      </c>
      <c r="S4768" s="9" t="str">
        <f aca="false">IF(R4768="","",ROUND(L4768-R4768,2))</f>
        <v/>
      </c>
      <c r="T4768" s="8" t="str">
        <f aca="false">IF(A4768="","",IF(S4768="","BYPASS",IF(ABS(S4768)&lt;=Summary!$B$2,"PASS","FAIL")))</f>
        <v/>
      </c>
      <c r="U4768" s="8" t="str">
        <f aca="false">IF(T4768="BYPASS",IF(NOT(ISNUMBER(Q4768)),"PreV_ETB missing","End_tr_balance missing"),IF(T4768="FAIL",IF(AND(ISNUMBER(K4768),ISNUMBER(L4768),ABS(L4768-(K4768-IF(ISNUMBER(N4768),N4768,0)-IF(ISNUMBER(O4768),O4768,0)+IF(ISNUMBER(P4768),P4768,0)))&lt;=Summary!$B$2),"Passes using beginning_balance - PreV_ETB differs from beginning_balance",IF(AND(ISNUMBER(O4768),O4768&lt;0,ABS(L4768-(Q4768-IF(ISNUMBER(N4768),N4768,0)+IF(ISNUMBER(P4768),P4768,0)))&lt;=Summary!$B$2),"Negative realized loss not applied - check sign",IF(R4768&lt;0,"Principal paid exceeds prior balance",IF(AND(L4768&gt;Q4768,NOT(ISNUMBER(P4768))),"Balance increased but no Deferred_interest reported",IF(L4768&gt;R4768,"Reported balance higher than expected (missing increase/OC build)","Reported balance lower than expected (missing decrease)"))))),""))</f>
        <v/>
      </c>
    </row>
    <row r="4769" customFormat="false" ht="15" hidden="false" customHeight="false" outlineLevel="0" collapsed="false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9"/>
      <c r="L4769" s="9"/>
      <c r="M4769" s="9"/>
      <c r="N4769" s="9"/>
      <c r="O4769" s="9"/>
      <c r="P4769" s="9"/>
      <c r="Q4769" s="9"/>
      <c r="R4769" s="9" t="str">
        <f aca="false">IF(AND(A4769&lt;&gt;"",ISNUMBER(Q4769),ISNUMBER(L4769)),ROUND(Q4769-IF(ISNUMBER(N4769),N4769,0)-IF(ISNUMBER(O4769),O4769,0)+IF(ISNUMBER(P4769),P4769,0),2),"")</f>
        <v/>
      </c>
      <c r="S4769" s="9" t="str">
        <f aca="false">IF(R4769="","",ROUND(L4769-R4769,2))</f>
        <v/>
      </c>
      <c r="T4769" s="8" t="str">
        <f aca="false">IF(A4769="","",IF(S4769="","BYPASS",IF(ABS(S4769)&lt;=Summary!$B$2,"PASS","FAIL")))</f>
        <v/>
      </c>
      <c r="U4769" s="8" t="str">
        <f aca="false">IF(T4769="BYPASS",IF(NOT(ISNUMBER(Q4769)),"PreV_ETB missing","End_tr_balance missing"),IF(T4769="FAIL",IF(AND(ISNUMBER(K4769),ISNUMBER(L4769),ABS(L4769-(K4769-IF(ISNUMBER(N4769),N4769,0)-IF(ISNUMBER(O4769),O4769,0)+IF(ISNUMBER(P4769),P4769,0)))&lt;=Summary!$B$2),"Passes using beginning_balance - PreV_ETB differs from beginning_balance",IF(AND(ISNUMBER(O4769),O4769&lt;0,ABS(L4769-(Q4769-IF(ISNUMBER(N4769),N4769,0)+IF(ISNUMBER(P4769),P4769,0)))&lt;=Summary!$B$2),"Negative realized loss not applied - check sign",IF(R4769&lt;0,"Principal paid exceeds prior balance",IF(AND(L4769&gt;Q4769,NOT(ISNUMBER(P4769))),"Balance increased but no Deferred_interest reported",IF(L4769&gt;R4769,"Reported balance higher than expected (missing increase/OC build)","Reported balance lower than expected (missing decrease)"))))),""))</f>
        <v/>
      </c>
    </row>
    <row r="4770" customFormat="false" ht="15" hidden="false" customHeight="false" outlineLevel="0" collapsed="false">
      <c r="A4770" s="8"/>
      <c r="B4770" s="8"/>
      <c r="C4770" s="8"/>
      <c r="D4770" s="8"/>
      <c r="E4770" s="8"/>
      <c r="F4770" s="8"/>
      <c r="G4770" s="8"/>
      <c r="H4770" s="8"/>
      <c r="I4770" s="8"/>
      <c r="J4770" s="8"/>
      <c r="K4770" s="9"/>
      <c r="L4770" s="9"/>
      <c r="M4770" s="9"/>
      <c r="N4770" s="9"/>
      <c r="O4770" s="9"/>
      <c r="P4770" s="9"/>
      <c r="Q4770" s="9"/>
      <c r="R4770" s="9" t="str">
        <f aca="false">IF(AND(A4770&lt;&gt;"",ISNUMBER(Q4770),ISNUMBER(L4770)),ROUND(Q4770-IF(ISNUMBER(N4770),N4770,0)-IF(ISNUMBER(O4770),O4770,0)+IF(ISNUMBER(P4770),P4770,0),2),"")</f>
        <v/>
      </c>
      <c r="S4770" s="9" t="str">
        <f aca="false">IF(R4770="","",ROUND(L4770-R4770,2))</f>
        <v/>
      </c>
      <c r="T4770" s="8" t="str">
        <f aca="false">IF(A4770="","",IF(S4770="","BYPASS",IF(ABS(S4770)&lt;=Summary!$B$2,"PASS","FAIL")))</f>
        <v/>
      </c>
      <c r="U4770" s="8" t="str">
        <f aca="false">IF(T4770="BYPASS",IF(NOT(ISNUMBER(Q4770)),"PreV_ETB missing","End_tr_balance missing"),IF(T4770="FAIL",IF(AND(ISNUMBER(K4770),ISNUMBER(L4770),ABS(L4770-(K4770-IF(ISNUMBER(N4770),N4770,0)-IF(ISNUMBER(O4770),O4770,0)+IF(ISNUMBER(P4770),P4770,0)))&lt;=Summary!$B$2),"Passes using beginning_balance - PreV_ETB differs from beginning_balance",IF(AND(ISNUMBER(O4770),O4770&lt;0,ABS(L4770-(Q4770-IF(ISNUMBER(N4770),N4770,0)+IF(ISNUMBER(P4770),P4770,0)))&lt;=Summary!$B$2),"Negative realized loss not applied - check sign",IF(R4770&lt;0,"Principal paid exceeds prior balance",IF(AND(L4770&gt;Q4770,NOT(ISNUMBER(P4770))),"Balance increased but no Deferred_interest reported",IF(L4770&gt;R4770,"Reported balance higher than expected (missing increase/OC build)","Reported balance lower than expected (missing decrease)"))))),""))</f>
        <v/>
      </c>
    </row>
    <row r="4771" customFormat="false" ht="15" hidden="false" customHeight="false" outlineLevel="0" collapsed="false">
      <c r="A4771" s="8"/>
      <c r="B4771" s="8"/>
      <c r="C4771" s="8"/>
      <c r="D4771" s="8"/>
      <c r="E4771" s="8"/>
      <c r="F4771" s="8"/>
      <c r="G4771" s="8"/>
      <c r="H4771" s="8"/>
      <c r="I4771" s="8"/>
      <c r="J4771" s="8"/>
      <c r="K4771" s="9"/>
      <c r="L4771" s="9"/>
      <c r="M4771" s="9"/>
      <c r="N4771" s="9"/>
      <c r="O4771" s="9"/>
      <c r="P4771" s="9"/>
      <c r="Q4771" s="9"/>
      <c r="R4771" s="9" t="str">
        <f aca="false">IF(AND(A4771&lt;&gt;"",ISNUMBER(Q4771),ISNUMBER(L4771)),ROUND(Q4771-IF(ISNUMBER(N4771),N4771,0)-IF(ISNUMBER(O4771),O4771,0)+IF(ISNUMBER(P4771),P4771,0),2),"")</f>
        <v/>
      </c>
      <c r="S4771" s="9" t="str">
        <f aca="false">IF(R4771="","",ROUND(L4771-R4771,2))</f>
        <v/>
      </c>
      <c r="T4771" s="8" t="str">
        <f aca="false">IF(A4771="","",IF(S4771="","BYPASS",IF(ABS(S4771)&lt;=Summary!$B$2,"PASS","FAIL")))</f>
        <v/>
      </c>
      <c r="U4771" s="8" t="str">
        <f aca="false">IF(T4771="BYPASS",IF(NOT(ISNUMBER(Q4771)),"PreV_ETB missing","End_tr_balance missing"),IF(T4771="FAIL",IF(AND(ISNUMBER(K4771),ISNUMBER(L4771),ABS(L4771-(K4771-IF(ISNUMBER(N4771),N4771,0)-IF(ISNUMBER(O4771),O4771,0)+IF(ISNUMBER(P4771),P4771,0)))&lt;=Summary!$B$2),"Passes using beginning_balance - PreV_ETB differs from beginning_balance",IF(AND(ISNUMBER(O4771),O4771&lt;0,ABS(L4771-(Q4771-IF(ISNUMBER(N4771),N4771,0)+IF(ISNUMBER(P4771),P4771,0)))&lt;=Summary!$B$2),"Negative realized loss not applied - check sign",IF(R4771&lt;0,"Principal paid exceeds prior balance",IF(AND(L4771&gt;Q4771,NOT(ISNUMBER(P4771))),"Balance increased but no Deferred_interest reported",IF(L4771&gt;R4771,"Reported balance higher than expected (missing increase/OC build)","Reported balance lower than expected (missing decrease)"))))),""))</f>
        <v/>
      </c>
    </row>
    <row r="4772" customFormat="false" ht="15" hidden="false" customHeight="false" outlineLevel="0" collapsed="false">
      <c r="A4772" s="8"/>
      <c r="B4772" s="8"/>
      <c r="C4772" s="8"/>
      <c r="D4772" s="8"/>
      <c r="E4772" s="8"/>
      <c r="F4772" s="8"/>
      <c r="G4772" s="8"/>
      <c r="H4772" s="8"/>
      <c r="I4772" s="8"/>
      <c r="J4772" s="8"/>
      <c r="K4772" s="9"/>
      <c r="L4772" s="9"/>
      <c r="M4772" s="9"/>
      <c r="N4772" s="9"/>
      <c r="O4772" s="9"/>
      <c r="P4772" s="9"/>
      <c r="Q4772" s="9"/>
      <c r="R4772" s="9" t="str">
        <f aca="false">IF(AND(A4772&lt;&gt;"",ISNUMBER(Q4772),ISNUMBER(L4772)),ROUND(Q4772-IF(ISNUMBER(N4772),N4772,0)-IF(ISNUMBER(O4772),O4772,0)+IF(ISNUMBER(P4772),P4772,0),2),"")</f>
        <v/>
      </c>
      <c r="S4772" s="9" t="str">
        <f aca="false">IF(R4772="","",ROUND(L4772-R4772,2))</f>
        <v/>
      </c>
      <c r="T4772" s="8" t="str">
        <f aca="false">IF(A4772="","",IF(S4772="","BYPASS",IF(ABS(S4772)&lt;=Summary!$B$2,"PASS","FAIL")))</f>
        <v/>
      </c>
      <c r="U4772" s="8" t="str">
        <f aca="false">IF(T4772="BYPASS",IF(NOT(ISNUMBER(Q4772)),"PreV_ETB missing","End_tr_balance missing"),IF(T4772="FAIL",IF(AND(ISNUMBER(K4772),ISNUMBER(L4772),ABS(L4772-(K4772-IF(ISNUMBER(N4772),N4772,0)-IF(ISNUMBER(O4772),O4772,0)+IF(ISNUMBER(P4772),P4772,0)))&lt;=Summary!$B$2),"Passes using beginning_balance - PreV_ETB differs from beginning_balance",IF(AND(ISNUMBER(O4772),O4772&lt;0,ABS(L4772-(Q4772-IF(ISNUMBER(N4772),N4772,0)+IF(ISNUMBER(P4772),P4772,0)))&lt;=Summary!$B$2),"Negative realized loss not applied - check sign",IF(R4772&lt;0,"Principal paid exceeds prior balance",IF(AND(L4772&gt;Q4772,NOT(ISNUMBER(P4772))),"Balance increased but no Deferred_interest reported",IF(L4772&gt;R4772,"Reported balance higher than expected (missing increase/OC build)","Reported balance lower than expected (missing decrease)"))))),""))</f>
        <v/>
      </c>
    </row>
    <row r="4773" customFormat="false" ht="15" hidden="false" customHeight="false" outlineLevel="0" collapsed="false">
      <c r="A4773" s="8"/>
      <c r="B4773" s="8"/>
      <c r="C4773" s="8"/>
      <c r="D4773" s="8"/>
      <c r="E4773" s="8"/>
      <c r="F4773" s="8"/>
      <c r="G4773" s="8"/>
      <c r="H4773" s="8"/>
      <c r="I4773" s="8"/>
      <c r="J4773" s="8"/>
      <c r="K4773" s="9"/>
      <c r="L4773" s="9"/>
      <c r="M4773" s="9"/>
      <c r="N4773" s="9"/>
      <c r="O4773" s="9"/>
      <c r="P4773" s="9"/>
      <c r="Q4773" s="9"/>
      <c r="R4773" s="9" t="str">
        <f aca="false">IF(AND(A4773&lt;&gt;"",ISNUMBER(Q4773),ISNUMBER(L4773)),ROUND(Q4773-IF(ISNUMBER(N4773),N4773,0)-IF(ISNUMBER(O4773),O4773,0)+IF(ISNUMBER(P4773),P4773,0),2),"")</f>
        <v/>
      </c>
      <c r="S4773" s="9" t="str">
        <f aca="false">IF(R4773="","",ROUND(L4773-R4773,2))</f>
        <v/>
      </c>
      <c r="T4773" s="8" t="str">
        <f aca="false">IF(A4773="","",IF(S4773="","BYPASS",IF(ABS(S4773)&lt;=Summary!$B$2,"PASS","FAIL")))</f>
        <v/>
      </c>
      <c r="U4773" s="8" t="str">
        <f aca="false">IF(T4773="BYPASS",IF(NOT(ISNUMBER(Q4773)),"PreV_ETB missing","End_tr_balance missing"),IF(T4773="FAIL",IF(AND(ISNUMBER(K4773),ISNUMBER(L4773),ABS(L4773-(K4773-IF(ISNUMBER(N4773),N4773,0)-IF(ISNUMBER(O4773),O4773,0)+IF(ISNUMBER(P4773),P4773,0)))&lt;=Summary!$B$2),"Passes using beginning_balance - PreV_ETB differs from beginning_balance",IF(AND(ISNUMBER(O4773),O4773&lt;0,ABS(L4773-(Q4773-IF(ISNUMBER(N4773),N4773,0)+IF(ISNUMBER(P4773),P4773,0)))&lt;=Summary!$B$2),"Negative realized loss not applied - check sign",IF(R4773&lt;0,"Principal paid exceeds prior balance",IF(AND(L4773&gt;Q4773,NOT(ISNUMBER(P4773))),"Balance increased but no Deferred_interest reported",IF(L4773&gt;R4773,"Reported balance higher than expected (missing increase/OC build)","Reported balance lower than expected (missing decrease)"))))),""))</f>
        <v/>
      </c>
    </row>
    <row r="4774" customFormat="false" ht="15" hidden="false" customHeight="false" outlineLevel="0" collapsed="false">
      <c r="A4774" s="8"/>
      <c r="B4774" s="8"/>
      <c r="C4774" s="8"/>
      <c r="D4774" s="8"/>
      <c r="E4774" s="8"/>
      <c r="F4774" s="8"/>
      <c r="G4774" s="8"/>
      <c r="H4774" s="8"/>
      <c r="I4774" s="8"/>
      <c r="J4774" s="8"/>
      <c r="K4774" s="9"/>
      <c r="L4774" s="9"/>
      <c r="M4774" s="9"/>
      <c r="N4774" s="9"/>
      <c r="O4774" s="9"/>
      <c r="P4774" s="9"/>
      <c r="Q4774" s="9"/>
      <c r="R4774" s="9" t="str">
        <f aca="false">IF(AND(A4774&lt;&gt;"",ISNUMBER(Q4774),ISNUMBER(L4774)),ROUND(Q4774-IF(ISNUMBER(N4774),N4774,0)-IF(ISNUMBER(O4774),O4774,0)+IF(ISNUMBER(P4774),P4774,0),2),"")</f>
        <v/>
      </c>
      <c r="S4774" s="9" t="str">
        <f aca="false">IF(R4774="","",ROUND(L4774-R4774,2))</f>
        <v/>
      </c>
      <c r="T4774" s="8" t="str">
        <f aca="false">IF(A4774="","",IF(S4774="","BYPASS",IF(ABS(S4774)&lt;=Summary!$B$2,"PASS","FAIL")))</f>
        <v/>
      </c>
      <c r="U4774" s="8" t="str">
        <f aca="false">IF(T4774="BYPASS",IF(NOT(ISNUMBER(Q4774)),"PreV_ETB missing","End_tr_balance missing"),IF(T4774="FAIL",IF(AND(ISNUMBER(K4774),ISNUMBER(L4774),ABS(L4774-(K4774-IF(ISNUMBER(N4774),N4774,0)-IF(ISNUMBER(O4774),O4774,0)+IF(ISNUMBER(P4774),P4774,0)))&lt;=Summary!$B$2),"Passes using beginning_balance - PreV_ETB differs from beginning_balance",IF(AND(ISNUMBER(O4774),O4774&lt;0,ABS(L4774-(Q4774-IF(ISNUMBER(N4774),N4774,0)+IF(ISNUMBER(P4774),P4774,0)))&lt;=Summary!$B$2),"Negative realized loss not applied - check sign",IF(R4774&lt;0,"Principal paid exceeds prior balance",IF(AND(L4774&gt;Q4774,NOT(ISNUMBER(P4774))),"Balance increased but no Deferred_interest reported",IF(L4774&gt;R4774,"Reported balance higher than expected (missing increase/OC build)","Reported balance lower than expected (missing decrease)"))))),""))</f>
        <v/>
      </c>
    </row>
    <row r="4775" customFormat="false" ht="15" hidden="false" customHeight="false" outlineLevel="0" collapsed="false">
      <c r="A4775" s="8"/>
      <c r="B4775" s="8"/>
      <c r="C4775" s="8"/>
      <c r="D4775" s="8"/>
      <c r="E4775" s="8"/>
      <c r="F4775" s="8"/>
      <c r="G4775" s="8"/>
      <c r="H4775" s="8"/>
      <c r="I4775" s="8"/>
      <c r="J4775" s="8"/>
      <c r="K4775" s="9"/>
      <c r="L4775" s="9"/>
      <c r="M4775" s="9"/>
      <c r="N4775" s="9"/>
      <c r="O4775" s="9"/>
      <c r="P4775" s="9"/>
      <c r="Q4775" s="9"/>
      <c r="R4775" s="9" t="str">
        <f aca="false">IF(AND(A4775&lt;&gt;"",ISNUMBER(Q4775),ISNUMBER(L4775)),ROUND(Q4775-IF(ISNUMBER(N4775),N4775,0)-IF(ISNUMBER(O4775),O4775,0)+IF(ISNUMBER(P4775),P4775,0),2),"")</f>
        <v/>
      </c>
      <c r="S4775" s="9" t="str">
        <f aca="false">IF(R4775="","",ROUND(L4775-R4775,2))</f>
        <v/>
      </c>
      <c r="T4775" s="8" t="str">
        <f aca="false">IF(A4775="","",IF(S4775="","BYPASS",IF(ABS(S4775)&lt;=Summary!$B$2,"PASS","FAIL")))</f>
        <v/>
      </c>
      <c r="U4775" s="8" t="str">
        <f aca="false">IF(T4775="BYPASS",IF(NOT(ISNUMBER(Q4775)),"PreV_ETB missing","End_tr_balance missing"),IF(T4775="FAIL",IF(AND(ISNUMBER(K4775),ISNUMBER(L4775),ABS(L4775-(K4775-IF(ISNUMBER(N4775),N4775,0)-IF(ISNUMBER(O4775),O4775,0)+IF(ISNUMBER(P4775),P4775,0)))&lt;=Summary!$B$2),"Passes using beginning_balance - PreV_ETB differs from beginning_balance",IF(AND(ISNUMBER(O4775),O4775&lt;0,ABS(L4775-(Q4775-IF(ISNUMBER(N4775),N4775,0)+IF(ISNUMBER(P4775),P4775,0)))&lt;=Summary!$B$2),"Negative realized loss not applied - check sign",IF(R4775&lt;0,"Principal paid exceeds prior balance",IF(AND(L4775&gt;Q4775,NOT(ISNUMBER(P4775))),"Balance increased but no Deferred_interest reported",IF(L4775&gt;R4775,"Reported balance higher than expected (missing increase/OC build)","Reported balance lower than expected (missing decrease)"))))),""))</f>
        <v/>
      </c>
    </row>
    <row r="4776" customFormat="false" ht="15" hidden="false" customHeight="false" outlineLevel="0" collapsed="false">
      <c r="A4776" s="8"/>
      <c r="B4776" s="8"/>
      <c r="C4776" s="8"/>
      <c r="D4776" s="8"/>
      <c r="E4776" s="8"/>
      <c r="F4776" s="8"/>
      <c r="G4776" s="8"/>
      <c r="H4776" s="8"/>
      <c r="I4776" s="8"/>
      <c r="J4776" s="8"/>
      <c r="K4776" s="9"/>
      <c r="L4776" s="9"/>
      <c r="M4776" s="9"/>
      <c r="N4776" s="9"/>
      <c r="O4776" s="9"/>
      <c r="P4776" s="9"/>
      <c r="Q4776" s="9"/>
      <c r="R4776" s="9" t="str">
        <f aca="false">IF(AND(A4776&lt;&gt;"",ISNUMBER(Q4776),ISNUMBER(L4776)),ROUND(Q4776-IF(ISNUMBER(N4776),N4776,0)-IF(ISNUMBER(O4776),O4776,0)+IF(ISNUMBER(P4776),P4776,0),2),"")</f>
        <v/>
      </c>
      <c r="S4776" s="9" t="str">
        <f aca="false">IF(R4776="","",ROUND(L4776-R4776,2))</f>
        <v/>
      </c>
      <c r="T4776" s="8" t="str">
        <f aca="false">IF(A4776="","",IF(S4776="","BYPASS",IF(ABS(S4776)&lt;=Summary!$B$2,"PASS","FAIL")))</f>
        <v/>
      </c>
      <c r="U4776" s="8" t="str">
        <f aca="false">IF(T4776="BYPASS",IF(NOT(ISNUMBER(Q4776)),"PreV_ETB missing","End_tr_balance missing"),IF(T4776="FAIL",IF(AND(ISNUMBER(K4776),ISNUMBER(L4776),ABS(L4776-(K4776-IF(ISNUMBER(N4776),N4776,0)-IF(ISNUMBER(O4776),O4776,0)+IF(ISNUMBER(P4776),P4776,0)))&lt;=Summary!$B$2),"Passes using beginning_balance - PreV_ETB differs from beginning_balance",IF(AND(ISNUMBER(O4776),O4776&lt;0,ABS(L4776-(Q4776-IF(ISNUMBER(N4776),N4776,0)+IF(ISNUMBER(P4776),P4776,0)))&lt;=Summary!$B$2),"Negative realized loss not applied - check sign",IF(R4776&lt;0,"Principal paid exceeds prior balance",IF(AND(L4776&gt;Q4776,NOT(ISNUMBER(P4776))),"Balance increased but no Deferred_interest reported",IF(L4776&gt;R4776,"Reported balance higher than expected (missing increase/OC build)","Reported balance lower than expected (missing decrease)"))))),""))</f>
        <v/>
      </c>
    </row>
    <row r="4777" customFormat="false" ht="15" hidden="false" customHeight="false" outlineLevel="0" collapsed="false">
      <c r="A4777" s="8"/>
      <c r="B4777" s="8"/>
      <c r="C4777" s="8"/>
      <c r="D4777" s="8"/>
      <c r="E4777" s="8"/>
      <c r="F4777" s="8"/>
      <c r="G4777" s="8"/>
      <c r="H4777" s="8"/>
      <c r="I4777" s="8"/>
      <c r="J4777" s="8"/>
      <c r="K4777" s="9"/>
      <c r="L4777" s="9"/>
      <c r="M4777" s="9"/>
      <c r="N4777" s="9"/>
      <c r="O4777" s="9"/>
      <c r="P4777" s="9"/>
      <c r="Q4777" s="9"/>
      <c r="R4777" s="9" t="str">
        <f aca="false">IF(AND(A4777&lt;&gt;"",ISNUMBER(Q4777),ISNUMBER(L4777)),ROUND(Q4777-IF(ISNUMBER(N4777),N4777,0)-IF(ISNUMBER(O4777),O4777,0)+IF(ISNUMBER(P4777),P4777,0),2),"")</f>
        <v/>
      </c>
      <c r="S4777" s="9" t="str">
        <f aca="false">IF(R4777="","",ROUND(L4777-R4777,2))</f>
        <v/>
      </c>
      <c r="T4777" s="8" t="str">
        <f aca="false">IF(A4777="","",IF(S4777="","BYPASS",IF(ABS(S4777)&lt;=Summary!$B$2,"PASS","FAIL")))</f>
        <v/>
      </c>
      <c r="U4777" s="8" t="str">
        <f aca="false">IF(T4777="BYPASS",IF(NOT(ISNUMBER(Q4777)),"PreV_ETB missing","End_tr_balance missing"),IF(T4777="FAIL",IF(AND(ISNUMBER(K4777),ISNUMBER(L4777),ABS(L4777-(K4777-IF(ISNUMBER(N4777),N4777,0)-IF(ISNUMBER(O4777),O4777,0)+IF(ISNUMBER(P4777),P4777,0)))&lt;=Summary!$B$2),"Passes using beginning_balance - PreV_ETB differs from beginning_balance",IF(AND(ISNUMBER(O4777),O4777&lt;0,ABS(L4777-(Q4777-IF(ISNUMBER(N4777),N4777,0)+IF(ISNUMBER(P4777),P4777,0)))&lt;=Summary!$B$2),"Negative realized loss not applied - check sign",IF(R4777&lt;0,"Principal paid exceeds prior balance",IF(AND(L4777&gt;Q4777,NOT(ISNUMBER(P4777))),"Balance increased but no Deferred_interest reported",IF(L4777&gt;R4777,"Reported balance higher than expected (missing increase/OC build)","Reported balance lower than expected (missing decrease)"))))),""))</f>
        <v/>
      </c>
    </row>
    <row r="4778" customFormat="false" ht="15" hidden="false" customHeight="false" outlineLevel="0" collapsed="false">
      <c r="A4778" s="8"/>
      <c r="B4778" s="8"/>
      <c r="C4778" s="8"/>
      <c r="D4778" s="8"/>
      <c r="E4778" s="8"/>
      <c r="F4778" s="8"/>
      <c r="G4778" s="8"/>
      <c r="H4778" s="8"/>
      <c r="I4778" s="8"/>
      <c r="J4778" s="8"/>
      <c r="K4778" s="9"/>
      <c r="L4778" s="9"/>
      <c r="M4778" s="9"/>
      <c r="N4778" s="9"/>
      <c r="O4778" s="9"/>
      <c r="P4778" s="9"/>
      <c r="Q4778" s="9"/>
      <c r="R4778" s="9" t="str">
        <f aca="false">IF(AND(A4778&lt;&gt;"",ISNUMBER(Q4778),ISNUMBER(L4778)),ROUND(Q4778-IF(ISNUMBER(N4778),N4778,0)-IF(ISNUMBER(O4778),O4778,0)+IF(ISNUMBER(P4778),P4778,0),2),"")</f>
        <v/>
      </c>
      <c r="S4778" s="9" t="str">
        <f aca="false">IF(R4778="","",ROUND(L4778-R4778,2))</f>
        <v/>
      </c>
      <c r="T4778" s="8" t="str">
        <f aca="false">IF(A4778="","",IF(S4778="","BYPASS",IF(ABS(S4778)&lt;=Summary!$B$2,"PASS","FAIL")))</f>
        <v/>
      </c>
      <c r="U4778" s="8" t="str">
        <f aca="false">IF(T4778="BYPASS",IF(NOT(ISNUMBER(Q4778)),"PreV_ETB missing","End_tr_balance missing"),IF(T4778="FAIL",IF(AND(ISNUMBER(K4778),ISNUMBER(L4778),ABS(L4778-(K4778-IF(ISNUMBER(N4778),N4778,0)-IF(ISNUMBER(O4778),O4778,0)+IF(ISNUMBER(P4778),P4778,0)))&lt;=Summary!$B$2),"Passes using beginning_balance - PreV_ETB differs from beginning_balance",IF(AND(ISNUMBER(O4778),O4778&lt;0,ABS(L4778-(Q4778-IF(ISNUMBER(N4778),N4778,0)+IF(ISNUMBER(P4778),P4778,0)))&lt;=Summary!$B$2),"Negative realized loss not applied - check sign",IF(R4778&lt;0,"Principal paid exceeds prior balance",IF(AND(L4778&gt;Q4778,NOT(ISNUMBER(P4778))),"Balance increased but no Deferred_interest reported",IF(L4778&gt;R4778,"Reported balance higher than expected (missing increase/OC build)","Reported balance lower than expected (missing decrease)"))))),""))</f>
        <v/>
      </c>
    </row>
    <row r="4779" customFormat="false" ht="15" hidden="false" customHeight="false" outlineLevel="0" collapsed="false">
      <c r="A4779" s="8"/>
      <c r="B4779" s="8"/>
      <c r="C4779" s="8"/>
      <c r="D4779" s="8"/>
      <c r="E4779" s="8"/>
      <c r="F4779" s="8"/>
      <c r="G4779" s="8"/>
      <c r="H4779" s="8"/>
      <c r="I4779" s="8"/>
      <c r="J4779" s="8"/>
      <c r="K4779" s="9"/>
      <c r="L4779" s="9"/>
      <c r="M4779" s="9"/>
      <c r="N4779" s="9"/>
      <c r="O4779" s="9"/>
      <c r="P4779" s="9"/>
      <c r="Q4779" s="9"/>
      <c r="R4779" s="9" t="str">
        <f aca="false">IF(AND(A4779&lt;&gt;"",ISNUMBER(Q4779),ISNUMBER(L4779)),ROUND(Q4779-IF(ISNUMBER(N4779),N4779,0)-IF(ISNUMBER(O4779),O4779,0)+IF(ISNUMBER(P4779),P4779,0),2),"")</f>
        <v/>
      </c>
      <c r="S4779" s="9" t="str">
        <f aca="false">IF(R4779="","",ROUND(L4779-R4779,2))</f>
        <v/>
      </c>
      <c r="T4779" s="8" t="str">
        <f aca="false">IF(A4779="","",IF(S4779="","BYPASS",IF(ABS(S4779)&lt;=Summary!$B$2,"PASS","FAIL")))</f>
        <v/>
      </c>
      <c r="U4779" s="8" t="str">
        <f aca="false">IF(T4779="BYPASS",IF(NOT(ISNUMBER(Q4779)),"PreV_ETB missing","End_tr_balance missing"),IF(T4779="FAIL",IF(AND(ISNUMBER(K4779),ISNUMBER(L4779),ABS(L4779-(K4779-IF(ISNUMBER(N4779),N4779,0)-IF(ISNUMBER(O4779),O4779,0)+IF(ISNUMBER(P4779),P4779,0)))&lt;=Summary!$B$2),"Passes using beginning_balance - PreV_ETB differs from beginning_balance",IF(AND(ISNUMBER(O4779),O4779&lt;0,ABS(L4779-(Q4779-IF(ISNUMBER(N4779),N4779,0)+IF(ISNUMBER(P4779),P4779,0)))&lt;=Summary!$B$2),"Negative realized loss not applied - check sign",IF(R4779&lt;0,"Principal paid exceeds prior balance",IF(AND(L4779&gt;Q4779,NOT(ISNUMBER(P4779))),"Balance increased but no Deferred_interest reported",IF(L4779&gt;R4779,"Reported balance higher than expected (missing increase/OC build)","Reported balance lower than expected (missing decrease)"))))),""))</f>
        <v/>
      </c>
    </row>
    <row r="4780" customFormat="false" ht="15" hidden="false" customHeight="false" outlineLevel="0" collapsed="false">
      <c r="A4780" s="8"/>
      <c r="B4780" s="8"/>
      <c r="C4780" s="8"/>
      <c r="D4780" s="8"/>
      <c r="E4780" s="8"/>
      <c r="F4780" s="8"/>
      <c r="G4780" s="8"/>
      <c r="H4780" s="8"/>
      <c r="I4780" s="8"/>
      <c r="J4780" s="8"/>
      <c r="K4780" s="9"/>
      <c r="L4780" s="9"/>
      <c r="M4780" s="9"/>
      <c r="N4780" s="9"/>
      <c r="O4780" s="9"/>
      <c r="P4780" s="9"/>
      <c r="Q4780" s="9"/>
      <c r="R4780" s="9" t="str">
        <f aca="false">IF(AND(A4780&lt;&gt;"",ISNUMBER(Q4780),ISNUMBER(L4780)),ROUND(Q4780-IF(ISNUMBER(N4780),N4780,0)-IF(ISNUMBER(O4780),O4780,0)+IF(ISNUMBER(P4780),P4780,0),2),"")</f>
        <v/>
      </c>
      <c r="S4780" s="9" t="str">
        <f aca="false">IF(R4780="","",ROUND(L4780-R4780,2))</f>
        <v/>
      </c>
      <c r="T4780" s="8" t="str">
        <f aca="false">IF(A4780="","",IF(S4780="","BYPASS",IF(ABS(S4780)&lt;=Summary!$B$2,"PASS","FAIL")))</f>
        <v/>
      </c>
      <c r="U4780" s="8" t="str">
        <f aca="false">IF(T4780="BYPASS",IF(NOT(ISNUMBER(Q4780)),"PreV_ETB missing","End_tr_balance missing"),IF(T4780="FAIL",IF(AND(ISNUMBER(K4780),ISNUMBER(L4780),ABS(L4780-(K4780-IF(ISNUMBER(N4780),N4780,0)-IF(ISNUMBER(O4780),O4780,0)+IF(ISNUMBER(P4780),P4780,0)))&lt;=Summary!$B$2),"Passes using beginning_balance - PreV_ETB differs from beginning_balance",IF(AND(ISNUMBER(O4780),O4780&lt;0,ABS(L4780-(Q4780-IF(ISNUMBER(N4780),N4780,0)+IF(ISNUMBER(P4780),P4780,0)))&lt;=Summary!$B$2),"Negative realized loss not applied - check sign",IF(R4780&lt;0,"Principal paid exceeds prior balance",IF(AND(L4780&gt;Q4780,NOT(ISNUMBER(P4780))),"Balance increased but no Deferred_interest reported",IF(L4780&gt;R4780,"Reported balance higher than expected (missing increase/OC build)","Reported balance lower than expected (missing decrease)"))))),""))</f>
        <v/>
      </c>
    </row>
    <row r="4781" customFormat="false" ht="15" hidden="false" customHeight="false" outlineLevel="0" collapsed="false">
      <c r="A4781" s="8"/>
      <c r="B4781" s="8"/>
      <c r="C4781" s="8"/>
      <c r="D4781" s="8"/>
      <c r="E4781" s="8"/>
      <c r="F4781" s="8"/>
      <c r="G4781" s="8"/>
      <c r="H4781" s="8"/>
      <c r="I4781" s="8"/>
      <c r="J4781" s="8"/>
      <c r="K4781" s="9"/>
      <c r="L4781" s="9"/>
      <c r="M4781" s="9"/>
      <c r="N4781" s="9"/>
      <c r="O4781" s="9"/>
      <c r="P4781" s="9"/>
      <c r="Q4781" s="9"/>
      <c r="R4781" s="9" t="str">
        <f aca="false">IF(AND(A4781&lt;&gt;"",ISNUMBER(Q4781),ISNUMBER(L4781)),ROUND(Q4781-IF(ISNUMBER(N4781),N4781,0)-IF(ISNUMBER(O4781),O4781,0)+IF(ISNUMBER(P4781),P4781,0),2),"")</f>
        <v/>
      </c>
      <c r="S4781" s="9" t="str">
        <f aca="false">IF(R4781="","",ROUND(L4781-R4781,2))</f>
        <v/>
      </c>
      <c r="T4781" s="8" t="str">
        <f aca="false">IF(A4781="","",IF(S4781="","BYPASS",IF(ABS(S4781)&lt;=Summary!$B$2,"PASS","FAIL")))</f>
        <v/>
      </c>
      <c r="U4781" s="8" t="str">
        <f aca="false">IF(T4781="BYPASS",IF(NOT(ISNUMBER(Q4781)),"PreV_ETB missing","End_tr_balance missing"),IF(T4781="FAIL",IF(AND(ISNUMBER(K4781),ISNUMBER(L4781),ABS(L4781-(K4781-IF(ISNUMBER(N4781),N4781,0)-IF(ISNUMBER(O4781),O4781,0)+IF(ISNUMBER(P4781),P4781,0)))&lt;=Summary!$B$2),"Passes using beginning_balance - PreV_ETB differs from beginning_balance",IF(AND(ISNUMBER(O4781),O4781&lt;0,ABS(L4781-(Q4781-IF(ISNUMBER(N4781),N4781,0)+IF(ISNUMBER(P4781),P4781,0)))&lt;=Summary!$B$2),"Negative realized loss not applied - check sign",IF(R4781&lt;0,"Principal paid exceeds prior balance",IF(AND(L4781&gt;Q4781,NOT(ISNUMBER(P4781))),"Balance increased but no Deferred_interest reported",IF(L4781&gt;R4781,"Reported balance higher than expected (missing increase/OC build)","Reported balance lower than expected (missing decrease)"))))),""))</f>
        <v/>
      </c>
    </row>
    <row r="4782" customFormat="false" ht="15" hidden="false" customHeight="false" outlineLevel="0" collapsed="false">
      <c r="A4782" s="8"/>
      <c r="B4782" s="8"/>
      <c r="C4782" s="8"/>
      <c r="D4782" s="8"/>
      <c r="E4782" s="8"/>
      <c r="F4782" s="8"/>
      <c r="G4782" s="8"/>
      <c r="H4782" s="8"/>
      <c r="I4782" s="8"/>
      <c r="J4782" s="8"/>
      <c r="K4782" s="9"/>
      <c r="L4782" s="9"/>
      <c r="M4782" s="9"/>
      <c r="N4782" s="9"/>
      <c r="O4782" s="9"/>
      <c r="P4782" s="9"/>
      <c r="Q4782" s="9"/>
      <c r="R4782" s="9" t="str">
        <f aca="false">IF(AND(A4782&lt;&gt;"",ISNUMBER(Q4782),ISNUMBER(L4782)),ROUND(Q4782-IF(ISNUMBER(N4782),N4782,0)-IF(ISNUMBER(O4782),O4782,0)+IF(ISNUMBER(P4782),P4782,0),2),"")</f>
        <v/>
      </c>
      <c r="S4782" s="9" t="str">
        <f aca="false">IF(R4782="","",ROUND(L4782-R4782,2))</f>
        <v/>
      </c>
      <c r="T4782" s="8" t="str">
        <f aca="false">IF(A4782="","",IF(S4782="","BYPASS",IF(ABS(S4782)&lt;=Summary!$B$2,"PASS","FAIL")))</f>
        <v/>
      </c>
      <c r="U4782" s="8" t="str">
        <f aca="false">IF(T4782="BYPASS",IF(NOT(ISNUMBER(Q4782)),"PreV_ETB missing","End_tr_balance missing"),IF(T4782="FAIL",IF(AND(ISNUMBER(K4782),ISNUMBER(L4782),ABS(L4782-(K4782-IF(ISNUMBER(N4782),N4782,0)-IF(ISNUMBER(O4782),O4782,0)+IF(ISNUMBER(P4782),P4782,0)))&lt;=Summary!$B$2),"Passes using beginning_balance - PreV_ETB differs from beginning_balance",IF(AND(ISNUMBER(O4782),O4782&lt;0,ABS(L4782-(Q4782-IF(ISNUMBER(N4782),N4782,0)+IF(ISNUMBER(P4782),P4782,0)))&lt;=Summary!$B$2),"Negative realized loss not applied - check sign",IF(R4782&lt;0,"Principal paid exceeds prior balance",IF(AND(L4782&gt;Q4782,NOT(ISNUMBER(P4782))),"Balance increased but no Deferred_interest reported",IF(L4782&gt;R4782,"Reported balance higher than expected (missing increase/OC build)","Reported balance lower than expected (missing decrease)"))))),""))</f>
        <v/>
      </c>
    </row>
    <row r="4783" customFormat="false" ht="15" hidden="false" customHeight="false" outlineLevel="0" collapsed="false">
      <c r="A4783" s="8"/>
      <c r="B4783" s="8"/>
      <c r="C4783" s="8"/>
      <c r="D4783" s="8"/>
      <c r="E4783" s="8"/>
      <c r="F4783" s="8"/>
      <c r="G4783" s="8"/>
      <c r="H4783" s="8"/>
      <c r="I4783" s="8"/>
      <c r="J4783" s="8"/>
      <c r="K4783" s="9"/>
      <c r="L4783" s="9"/>
      <c r="M4783" s="9"/>
      <c r="N4783" s="9"/>
      <c r="O4783" s="9"/>
      <c r="P4783" s="9"/>
      <c r="Q4783" s="9"/>
      <c r="R4783" s="9" t="str">
        <f aca="false">IF(AND(A4783&lt;&gt;"",ISNUMBER(Q4783),ISNUMBER(L4783)),ROUND(Q4783-IF(ISNUMBER(N4783),N4783,0)-IF(ISNUMBER(O4783),O4783,0)+IF(ISNUMBER(P4783),P4783,0),2),"")</f>
        <v/>
      </c>
      <c r="S4783" s="9" t="str">
        <f aca="false">IF(R4783="","",ROUND(L4783-R4783,2))</f>
        <v/>
      </c>
      <c r="T4783" s="8" t="str">
        <f aca="false">IF(A4783="","",IF(S4783="","BYPASS",IF(ABS(S4783)&lt;=Summary!$B$2,"PASS","FAIL")))</f>
        <v/>
      </c>
      <c r="U4783" s="8" t="str">
        <f aca="false">IF(T4783="BYPASS",IF(NOT(ISNUMBER(Q4783)),"PreV_ETB missing","End_tr_balance missing"),IF(T4783="FAIL",IF(AND(ISNUMBER(K4783),ISNUMBER(L4783),ABS(L4783-(K4783-IF(ISNUMBER(N4783),N4783,0)-IF(ISNUMBER(O4783),O4783,0)+IF(ISNUMBER(P4783),P4783,0)))&lt;=Summary!$B$2),"Passes using beginning_balance - PreV_ETB differs from beginning_balance",IF(AND(ISNUMBER(O4783),O4783&lt;0,ABS(L4783-(Q4783-IF(ISNUMBER(N4783),N4783,0)+IF(ISNUMBER(P4783),P4783,0)))&lt;=Summary!$B$2),"Negative realized loss not applied - check sign",IF(R4783&lt;0,"Principal paid exceeds prior balance",IF(AND(L4783&gt;Q4783,NOT(ISNUMBER(P4783))),"Balance increased but no Deferred_interest reported",IF(L4783&gt;R4783,"Reported balance higher than expected (missing increase/OC build)","Reported balance lower than expected (missing decrease)"))))),""))</f>
        <v/>
      </c>
    </row>
    <row r="4784" customFormat="false" ht="15" hidden="false" customHeight="false" outlineLevel="0" collapsed="false">
      <c r="A4784" s="8"/>
      <c r="B4784" s="8"/>
      <c r="C4784" s="8"/>
      <c r="D4784" s="8"/>
      <c r="E4784" s="8"/>
      <c r="F4784" s="8"/>
      <c r="G4784" s="8"/>
      <c r="H4784" s="8"/>
      <c r="I4784" s="8"/>
      <c r="J4784" s="8"/>
      <c r="K4784" s="9"/>
      <c r="L4784" s="9"/>
      <c r="M4784" s="9"/>
      <c r="N4784" s="9"/>
      <c r="O4784" s="9"/>
      <c r="P4784" s="9"/>
      <c r="Q4784" s="9"/>
      <c r="R4784" s="9" t="str">
        <f aca="false">IF(AND(A4784&lt;&gt;"",ISNUMBER(Q4784),ISNUMBER(L4784)),ROUND(Q4784-IF(ISNUMBER(N4784),N4784,0)-IF(ISNUMBER(O4784),O4784,0)+IF(ISNUMBER(P4784),P4784,0),2),"")</f>
        <v/>
      </c>
      <c r="S4784" s="9" t="str">
        <f aca="false">IF(R4784="","",ROUND(L4784-R4784,2))</f>
        <v/>
      </c>
      <c r="T4784" s="8" t="str">
        <f aca="false">IF(A4784="","",IF(S4784="","BYPASS",IF(ABS(S4784)&lt;=Summary!$B$2,"PASS","FAIL")))</f>
        <v/>
      </c>
      <c r="U4784" s="8" t="str">
        <f aca="false">IF(T4784="BYPASS",IF(NOT(ISNUMBER(Q4784)),"PreV_ETB missing","End_tr_balance missing"),IF(T4784="FAIL",IF(AND(ISNUMBER(K4784),ISNUMBER(L4784),ABS(L4784-(K4784-IF(ISNUMBER(N4784),N4784,0)-IF(ISNUMBER(O4784),O4784,0)+IF(ISNUMBER(P4784),P4784,0)))&lt;=Summary!$B$2),"Passes using beginning_balance - PreV_ETB differs from beginning_balance",IF(AND(ISNUMBER(O4784),O4784&lt;0,ABS(L4784-(Q4784-IF(ISNUMBER(N4784),N4784,0)+IF(ISNUMBER(P4784),P4784,0)))&lt;=Summary!$B$2),"Negative realized loss not applied - check sign",IF(R4784&lt;0,"Principal paid exceeds prior balance",IF(AND(L4784&gt;Q4784,NOT(ISNUMBER(P4784))),"Balance increased but no Deferred_interest reported",IF(L4784&gt;R4784,"Reported balance higher than expected (missing increase/OC build)","Reported balance lower than expected (missing decrease)"))))),""))</f>
        <v/>
      </c>
    </row>
    <row r="4785" customFormat="false" ht="15" hidden="false" customHeight="false" outlineLevel="0" collapsed="false">
      <c r="A4785" s="8"/>
      <c r="B4785" s="8"/>
      <c r="C4785" s="8"/>
      <c r="D4785" s="8"/>
      <c r="E4785" s="8"/>
      <c r="F4785" s="8"/>
      <c r="G4785" s="8"/>
      <c r="H4785" s="8"/>
      <c r="I4785" s="8"/>
      <c r="J4785" s="8"/>
      <c r="K4785" s="9"/>
      <c r="L4785" s="9"/>
      <c r="M4785" s="9"/>
      <c r="N4785" s="9"/>
      <c r="O4785" s="9"/>
      <c r="P4785" s="9"/>
      <c r="Q4785" s="9"/>
      <c r="R4785" s="9" t="str">
        <f aca="false">IF(AND(A4785&lt;&gt;"",ISNUMBER(Q4785),ISNUMBER(L4785)),ROUND(Q4785-IF(ISNUMBER(N4785),N4785,0)-IF(ISNUMBER(O4785),O4785,0)+IF(ISNUMBER(P4785),P4785,0),2),"")</f>
        <v/>
      </c>
      <c r="S4785" s="9" t="str">
        <f aca="false">IF(R4785="","",ROUND(L4785-R4785,2))</f>
        <v/>
      </c>
      <c r="T4785" s="8" t="str">
        <f aca="false">IF(A4785="","",IF(S4785="","BYPASS",IF(ABS(S4785)&lt;=Summary!$B$2,"PASS","FAIL")))</f>
        <v/>
      </c>
      <c r="U4785" s="8" t="str">
        <f aca="false">IF(T4785="BYPASS",IF(NOT(ISNUMBER(Q4785)),"PreV_ETB missing","End_tr_balance missing"),IF(T4785="FAIL",IF(AND(ISNUMBER(K4785),ISNUMBER(L4785),ABS(L4785-(K4785-IF(ISNUMBER(N4785),N4785,0)-IF(ISNUMBER(O4785),O4785,0)+IF(ISNUMBER(P4785),P4785,0)))&lt;=Summary!$B$2),"Passes using beginning_balance - PreV_ETB differs from beginning_balance",IF(AND(ISNUMBER(O4785),O4785&lt;0,ABS(L4785-(Q4785-IF(ISNUMBER(N4785),N4785,0)+IF(ISNUMBER(P4785),P4785,0)))&lt;=Summary!$B$2),"Negative realized loss not applied - check sign",IF(R4785&lt;0,"Principal paid exceeds prior balance",IF(AND(L4785&gt;Q4785,NOT(ISNUMBER(P4785))),"Balance increased but no Deferred_interest reported",IF(L4785&gt;R4785,"Reported balance higher than expected (missing increase/OC build)","Reported balance lower than expected (missing decrease)"))))),""))</f>
        <v/>
      </c>
    </row>
    <row r="4786" customFormat="false" ht="15" hidden="false" customHeight="false" outlineLevel="0" collapsed="false">
      <c r="A4786" s="8"/>
      <c r="B4786" s="8"/>
      <c r="C4786" s="8"/>
      <c r="D4786" s="8"/>
      <c r="E4786" s="8"/>
      <c r="F4786" s="8"/>
      <c r="G4786" s="8"/>
      <c r="H4786" s="8"/>
      <c r="I4786" s="8"/>
      <c r="J4786" s="8"/>
      <c r="K4786" s="9"/>
      <c r="L4786" s="9"/>
      <c r="M4786" s="9"/>
      <c r="N4786" s="9"/>
      <c r="O4786" s="9"/>
      <c r="P4786" s="9"/>
      <c r="Q4786" s="9"/>
      <c r="R4786" s="9" t="str">
        <f aca="false">IF(AND(A4786&lt;&gt;"",ISNUMBER(Q4786),ISNUMBER(L4786)),ROUND(Q4786-IF(ISNUMBER(N4786),N4786,0)-IF(ISNUMBER(O4786),O4786,0)+IF(ISNUMBER(P4786),P4786,0),2),"")</f>
        <v/>
      </c>
      <c r="S4786" s="9" t="str">
        <f aca="false">IF(R4786="","",ROUND(L4786-R4786,2))</f>
        <v/>
      </c>
      <c r="T4786" s="8" t="str">
        <f aca="false">IF(A4786="","",IF(S4786="","BYPASS",IF(ABS(S4786)&lt;=Summary!$B$2,"PASS","FAIL")))</f>
        <v/>
      </c>
      <c r="U4786" s="8" t="str">
        <f aca="false">IF(T4786="BYPASS",IF(NOT(ISNUMBER(Q4786)),"PreV_ETB missing","End_tr_balance missing"),IF(T4786="FAIL",IF(AND(ISNUMBER(K4786),ISNUMBER(L4786),ABS(L4786-(K4786-IF(ISNUMBER(N4786),N4786,0)-IF(ISNUMBER(O4786),O4786,0)+IF(ISNUMBER(P4786),P4786,0)))&lt;=Summary!$B$2),"Passes using beginning_balance - PreV_ETB differs from beginning_balance",IF(AND(ISNUMBER(O4786),O4786&lt;0,ABS(L4786-(Q4786-IF(ISNUMBER(N4786),N4786,0)+IF(ISNUMBER(P4786),P4786,0)))&lt;=Summary!$B$2),"Negative realized loss not applied - check sign",IF(R4786&lt;0,"Principal paid exceeds prior balance",IF(AND(L4786&gt;Q4786,NOT(ISNUMBER(P4786))),"Balance increased but no Deferred_interest reported",IF(L4786&gt;R4786,"Reported balance higher than expected (missing increase/OC build)","Reported balance lower than expected (missing decrease)"))))),""))</f>
        <v/>
      </c>
    </row>
    <row r="4787" customFormat="false" ht="15" hidden="false" customHeight="false" outlineLevel="0" collapsed="false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9"/>
      <c r="L4787" s="9"/>
      <c r="M4787" s="9"/>
      <c r="N4787" s="9"/>
      <c r="O4787" s="9"/>
      <c r="P4787" s="9"/>
      <c r="Q4787" s="9"/>
      <c r="R4787" s="9" t="str">
        <f aca="false">IF(AND(A4787&lt;&gt;"",ISNUMBER(Q4787),ISNUMBER(L4787)),ROUND(Q4787-IF(ISNUMBER(N4787),N4787,0)-IF(ISNUMBER(O4787),O4787,0)+IF(ISNUMBER(P4787),P4787,0),2),"")</f>
        <v/>
      </c>
      <c r="S4787" s="9" t="str">
        <f aca="false">IF(R4787="","",ROUND(L4787-R4787,2))</f>
        <v/>
      </c>
      <c r="T4787" s="8" t="str">
        <f aca="false">IF(A4787="","",IF(S4787="","BYPASS",IF(ABS(S4787)&lt;=Summary!$B$2,"PASS","FAIL")))</f>
        <v/>
      </c>
      <c r="U4787" s="8" t="str">
        <f aca="false">IF(T4787="BYPASS",IF(NOT(ISNUMBER(Q4787)),"PreV_ETB missing","End_tr_balance missing"),IF(T4787="FAIL",IF(AND(ISNUMBER(K4787),ISNUMBER(L4787),ABS(L4787-(K4787-IF(ISNUMBER(N4787),N4787,0)-IF(ISNUMBER(O4787),O4787,0)+IF(ISNUMBER(P4787),P4787,0)))&lt;=Summary!$B$2),"Passes using beginning_balance - PreV_ETB differs from beginning_balance",IF(AND(ISNUMBER(O4787),O4787&lt;0,ABS(L4787-(Q4787-IF(ISNUMBER(N4787),N4787,0)+IF(ISNUMBER(P4787),P4787,0)))&lt;=Summary!$B$2),"Negative realized loss not applied - check sign",IF(R4787&lt;0,"Principal paid exceeds prior balance",IF(AND(L4787&gt;Q4787,NOT(ISNUMBER(P4787))),"Balance increased but no Deferred_interest reported",IF(L4787&gt;R4787,"Reported balance higher than expected (missing increase/OC build)","Reported balance lower than expected (missing decrease)"))))),""))</f>
        <v/>
      </c>
    </row>
    <row r="4788" customFormat="false" ht="15" hidden="false" customHeight="false" outlineLevel="0" collapsed="false">
      <c r="A4788" s="8"/>
      <c r="B4788" s="8"/>
      <c r="C4788" s="8"/>
      <c r="D4788" s="8"/>
      <c r="E4788" s="8"/>
      <c r="F4788" s="8"/>
      <c r="G4788" s="8"/>
      <c r="H4788" s="8"/>
      <c r="I4788" s="8"/>
      <c r="J4788" s="8"/>
      <c r="K4788" s="9"/>
      <c r="L4788" s="9"/>
      <c r="M4788" s="9"/>
      <c r="N4788" s="9"/>
      <c r="O4788" s="9"/>
      <c r="P4788" s="9"/>
      <c r="Q4788" s="9"/>
      <c r="R4788" s="9" t="str">
        <f aca="false">IF(AND(A4788&lt;&gt;"",ISNUMBER(Q4788),ISNUMBER(L4788)),ROUND(Q4788-IF(ISNUMBER(N4788),N4788,0)-IF(ISNUMBER(O4788),O4788,0)+IF(ISNUMBER(P4788),P4788,0),2),"")</f>
        <v/>
      </c>
      <c r="S4788" s="9" t="str">
        <f aca="false">IF(R4788="","",ROUND(L4788-R4788,2))</f>
        <v/>
      </c>
      <c r="T4788" s="8" t="str">
        <f aca="false">IF(A4788="","",IF(S4788="","BYPASS",IF(ABS(S4788)&lt;=Summary!$B$2,"PASS","FAIL")))</f>
        <v/>
      </c>
      <c r="U4788" s="8" t="str">
        <f aca="false">IF(T4788="BYPASS",IF(NOT(ISNUMBER(Q4788)),"PreV_ETB missing","End_tr_balance missing"),IF(T4788="FAIL",IF(AND(ISNUMBER(K4788),ISNUMBER(L4788),ABS(L4788-(K4788-IF(ISNUMBER(N4788),N4788,0)-IF(ISNUMBER(O4788),O4788,0)+IF(ISNUMBER(P4788),P4788,0)))&lt;=Summary!$B$2),"Passes using beginning_balance - PreV_ETB differs from beginning_balance",IF(AND(ISNUMBER(O4788),O4788&lt;0,ABS(L4788-(Q4788-IF(ISNUMBER(N4788),N4788,0)+IF(ISNUMBER(P4788),P4788,0)))&lt;=Summary!$B$2),"Negative realized loss not applied - check sign",IF(R4788&lt;0,"Principal paid exceeds prior balance",IF(AND(L4788&gt;Q4788,NOT(ISNUMBER(P4788))),"Balance increased but no Deferred_interest reported",IF(L4788&gt;R4788,"Reported balance higher than expected (missing increase/OC build)","Reported balance lower than expected (missing decrease)"))))),""))</f>
        <v/>
      </c>
    </row>
    <row r="4789" customFormat="false" ht="15" hidden="false" customHeight="false" outlineLevel="0" collapsed="false">
      <c r="A4789" s="8"/>
      <c r="B4789" s="8"/>
      <c r="C4789" s="8"/>
      <c r="D4789" s="8"/>
      <c r="E4789" s="8"/>
      <c r="F4789" s="8"/>
      <c r="G4789" s="8"/>
      <c r="H4789" s="8"/>
      <c r="I4789" s="8"/>
      <c r="J4789" s="8"/>
      <c r="K4789" s="9"/>
      <c r="L4789" s="9"/>
      <c r="M4789" s="9"/>
      <c r="N4789" s="9"/>
      <c r="O4789" s="9"/>
      <c r="P4789" s="9"/>
      <c r="Q4789" s="9"/>
      <c r="R4789" s="9" t="str">
        <f aca="false">IF(AND(A4789&lt;&gt;"",ISNUMBER(Q4789),ISNUMBER(L4789)),ROUND(Q4789-IF(ISNUMBER(N4789),N4789,0)-IF(ISNUMBER(O4789),O4789,0)+IF(ISNUMBER(P4789),P4789,0),2),"")</f>
        <v/>
      </c>
      <c r="S4789" s="9" t="str">
        <f aca="false">IF(R4789="","",ROUND(L4789-R4789,2))</f>
        <v/>
      </c>
      <c r="T4789" s="8" t="str">
        <f aca="false">IF(A4789="","",IF(S4789="","BYPASS",IF(ABS(S4789)&lt;=Summary!$B$2,"PASS","FAIL")))</f>
        <v/>
      </c>
      <c r="U4789" s="8" t="str">
        <f aca="false">IF(T4789="BYPASS",IF(NOT(ISNUMBER(Q4789)),"PreV_ETB missing","End_tr_balance missing"),IF(T4789="FAIL",IF(AND(ISNUMBER(K4789),ISNUMBER(L4789),ABS(L4789-(K4789-IF(ISNUMBER(N4789),N4789,0)-IF(ISNUMBER(O4789),O4789,0)+IF(ISNUMBER(P4789),P4789,0)))&lt;=Summary!$B$2),"Passes using beginning_balance - PreV_ETB differs from beginning_balance",IF(AND(ISNUMBER(O4789),O4789&lt;0,ABS(L4789-(Q4789-IF(ISNUMBER(N4789),N4789,0)+IF(ISNUMBER(P4789),P4789,0)))&lt;=Summary!$B$2),"Negative realized loss not applied - check sign",IF(R4789&lt;0,"Principal paid exceeds prior balance",IF(AND(L4789&gt;Q4789,NOT(ISNUMBER(P4789))),"Balance increased but no Deferred_interest reported",IF(L4789&gt;R4789,"Reported balance higher than expected (missing increase/OC build)","Reported balance lower than expected (missing decrease)"))))),""))</f>
        <v/>
      </c>
    </row>
    <row r="4790" customFormat="false" ht="15" hidden="false" customHeight="false" outlineLevel="0" collapsed="false">
      <c r="A4790" s="8"/>
      <c r="B4790" s="8"/>
      <c r="C4790" s="8"/>
      <c r="D4790" s="8"/>
      <c r="E4790" s="8"/>
      <c r="F4790" s="8"/>
      <c r="G4790" s="8"/>
      <c r="H4790" s="8"/>
      <c r="I4790" s="8"/>
      <c r="J4790" s="8"/>
      <c r="K4790" s="9"/>
      <c r="L4790" s="9"/>
      <c r="M4790" s="9"/>
      <c r="N4790" s="9"/>
      <c r="O4790" s="9"/>
      <c r="P4790" s="9"/>
      <c r="Q4790" s="9"/>
      <c r="R4790" s="9" t="str">
        <f aca="false">IF(AND(A4790&lt;&gt;"",ISNUMBER(Q4790),ISNUMBER(L4790)),ROUND(Q4790-IF(ISNUMBER(N4790),N4790,0)-IF(ISNUMBER(O4790),O4790,0)+IF(ISNUMBER(P4790),P4790,0),2),"")</f>
        <v/>
      </c>
      <c r="S4790" s="9" t="str">
        <f aca="false">IF(R4790="","",ROUND(L4790-R4790,2))</f>
        <v/>
      </c>
      <c r="T4790" s="8" t="str">
        <f aca="false">IF(A4790="","",IF(S4790="","BYPASS",IF(ABS(S4790)&lt;=Summary!$B$2,"PASS","FAIL")))</f>
        <v/>
      </c>
      <c r="U4790" s="8" t="str">
        <f aca="false">IF(T4790="BYPASS",IF(NOT(ISNUMBER(Q4790)),"PreV_ETB missing","End_tr_balance missing"),IF(T4790="FAIL",IF(AND(ISNUMBER(K4790),ISNUMBER(L4790),ABS(L4790-(K4790-IF(ISNUMBER(N4790),N4790,0)-IF(ISNUMBER(O4790),O4790,0)+IF(ISNUMBER(P4790),P4790,0)))&lt;=Summary!$B$2),"Passes using beginning_balance - PreV_ETB differs from beginning_balance",IF(AND(ISNUMBER(O4790),O4790&lt;0,ABS(L4790-(Q4790-IF(ISNUMBER(N4790),N4790,0)+IF(ISNUMBER(P4790),P4790,0)))&lt;=Summary!$B$2),"Negative realized loss not applied - check sign",IF(R4790&lt;0,"Principal paid exceeds prior balance",IF(AND(L4790&gt;Q4790,NOT(ISNUMBER(P4790))),"Balance increased but no Deferred_interest reported",IF(L4790&gt;R4790,"Reported balance higher than expected (missing increase/OC build)","Reported balance lower than expected (missing decrease)"))))),""))</f>
        <v/>
      </c>
    </row>
    <row r="4791" customFormat="false" ht="15" hidden="false" customHeight="false" outlineLevel="0" collapsed="false">
      <c r="A4791" s="8"/>
      <c r="B4791" s="8"/>
      <c r="C4791" s="8"/>
      <c r="D4791" s="8"/>
      <c r="E4791" s="8"/>
      <c r="F4791" s="8"/>
      <c r="G4791" s="8"/>
      <c r="H4791" s="8"/>
      <c r="I4791" s="8"/>
      <c r="J4791" s="8"/>
      <c r="K4791" s="9"/>
      <c r="L4791" s="9"/>
      <c r="M4791" s="9"/>
      <c r="N4791" s="9"/>
      <c r="O4791" s="9"/>
      <c r="P4791" s="9"/>
      <c r="Q4791" s="9"/>
      <c r="R4791" s="9" t="str">
        <f aca="false">IF(AND(A4791&lt;&gt;"",ISNUMBER(Q4791),ISNUMBER(L4791)),ROUND(Q4791-IF(ISNUMBER(N4791),N4791,0)-IF(ISNUMBER(O4791),O4791,0)+IF(ISNUMBER(P4791),P4791,0),2),"")</f>
        <v/>
      </c>
      <c r="S4791" s="9" t="str">
        <f aca="false">IF(R4791="","",ROUND(L4791-R4791,2))</f>
        <v/>
      </c>
      <c r="T4791" s="8" t="str">
        <f aca="false">IF(A4791="","",IF(S4791="","BYPASS",IF(ABS(S4791)&lt;=Summary!$B$2,"PASS","FAIL")))</f>
        <v/>
      </c>
      <c r="U4791" s="8" t="str">
        <f aca="false">IF(T4791="BYPASS",IF(NOT(ISNUMBER(Q4791)),"PreV_ETB missing","End_tr_balance missing"),IF(T4791="FAIL",IF(AND(ISNUMBER(K4791),ISNUMBER(L4791),ABS(L4791-(K4791-IF(ISNUMBER(N4791),N4791,0)-IF(ISNUMBER(O4791),O4791,0)+IF(ISNUMBER(P4791),P4791,0)))&lt;=Summary!$B$2),"Passes using beginning_balance - PreV_ETB differs from beginning_balance",IF(AND(ISNUMBER(O4791),O4791&lt;0,ABS(L4791-(Q4791-IF(ISNUMBER(N4791),N4791,0)+IF(ISNUMBER(P4791),P4791,0)))&lt;=Summary!$B$2),"Negative realized loss not applied - check sign",IF(R4791&lt;0,"Principal paid exceeds prior balance",IF(AND(L4791&gt;Q4791,NOT(ISNUMBER(P4791))),"Balance increased but no Deferred_interest reported",IF(L4791&gt;R4791,"Reported balance higher than expected (missing increase/OC build)","Reported balance lower than expected (missing decrease)"))))),""))</f>
        <v/>
      </c>
    </row>
    <row r="4792" customFormat="false" ht="15" hidden="false" customHeight="false" outlineLevel="0" collapsed="false">
      <c r="A4792" s="8"/>
      <c r="B4792" s="8"/>
      <c r="C4792" s="8"/>
      <c r="D4792" s="8"/>
      <c r="E4792" s="8"/>
      <c r="F4792" s="8"/>
      <c r="G4792" s="8"/>
      <c r="H4792" s="8"/>
      <c r="I4792" s="8"/>
      <c r="J4792" s="8"/>
      <c r="K4792" s="9"/>
      <c r="L4792" s="9"/>
      <c r="M4792" s="9"/>
      <c r="N4792" s="9"/>
      <c r="O4792" s="9"/>
      <c r="P4792" s="9"/>
      <c r="Q4792" s="9"/>
      <c r="R4792" s="9" t="str">
        <f aca="false">IF(AND(A4792&lt;&gt;"",ISNUMBER(Q4792),ISNUMBER(L4792)),ROUND(Q4792-IF(ISNUMBER(N4792),N4792,0)-IF(ISNUMBER(O4792),O4792,0)+IF(ISNUMBER(P4792),P4792,0),2),"")</f>
        <v/>
      </c>
      <c r="S4792" s="9" t="str">
        <f aca="false">IF(R4792="","",ROUND(L4792-R4792,2))</f>
        <v/>
      </c>
      <c r="T4792" s="8" t="str">
        <f aca="false">IF(A4792="","",IF(S4792="","BYPASS",IF(ABS(S4792)&lt;=Summary!$B$2,"PASS","FAIL")))</f>
        <v/>
      </c>
      <c r="U4792" s="8" t="str">
        <f aca="false">IF(T4792="BYPASS",IF(NOT(ISNUMBER(Q4792)),"PreV_ETB missing","End_tr_balance missing"),IF(T4792="FAIL",IF(AND(ISNUMBER(K4792),ISNUMBER(L4792),ABS(L4792-(K4792-IF(ISNUMBER(N4792),N4792,0)-IF(ISNUMBER(O4792),O4792,0)+IF(ISNUMBER(P4792),P4792,0)))&lt;=Summary!$B$2),"Passes using beginning_balance - PreV_ETB differs from beginning_balance",IF(AND(ISNUMBER(O4792),O4792&lt;0,ABS(L4792-(Q4792-IF(ISNUMBER(N4792),N4792,0)+IF(ISNUMBER(P4792),P4792,0)))&lt;=Summary!$B$2),"Negative realized loss not applied - check sign",IF(R4792&lt;0,"Principal paid exceeds prior balance",IF(AND(L4792&gt;Q4792,NOT(ISNUMBER(P4792))),"Balance increased but no Deferred_interest reported",IF(L4792&gt;R4792,"Reported balance higher than expected (missing increase/OC build)","Reported balance lower than expected (missing decrease)"))))),""))</f>
        <v/>
      </c>
    </row>
    <row r="4793" customFormat="false" ht="15" hidden="false" customHeight="false" outlineLevel="0" collapsed="false">
      <c r="A4793" s="8"/>
      <c r="B4793" s="8"/>
      <c r="C4793" s="8"/>
      <c r="D4793" s="8"/>
      <c r="E4793" s="8"/>
      <c r="F4793" s="8"/>
      <c r="G4793" s="8"/>
      <c r="H4793" s="8"/>
      <c r="I4793" s="8"/>
      <c r="J4793" s="8"/>
      <c r="K4793" s="9"/>
      <c r="L4793" s="9"/>
      <c r="M4793" s="9"/>
      <c r="N4793" s="9"/>
      <c r="O4793" s="9"/>
      <c r="P4793" s="9"/>
      <c r="Q4793" s="9"/>
      <c r="R4793" s="9" t="str">
        <f aca="false">IF(AND(A4793&lt;&gt;"",ISNUMBER(Q4793),ISNUMBER(L4793)),ROUND(Q4793-IF(ISNUMBER(N4793),N4793,0)-IF(ISNUMBER(O4793),O4793,0)+IF(ISNUMBER(P4793),P4793,0),2),"")</f>
        <v/>
      </c>
      <c r="S4793" s="9" t="str">
        <f aca="false">IF(R4793="","",ROUND(L4793-R4793,2))</f>
        <v/>
      </c>
      <c r="T4793" s="8" t="str">
        <f aca="false">IF(A4793="","",IF(S4793="","BYPASS",IF(ABS(S4793)&lt;=Summary!$B$2,"PASS","FAIL")))</f>
        <v/>
      </c>
      <c r="U4793" s="8" t="str">
        <f aca="false">IF(T4793="BYPASS",IF(NOT(ISNUMBER(Q4793)),"PreV_ETB missing","End_tr_balance missing"),IF(T4793="FAIL",IF(AND(ISNUMBER(K4793),ISNUMBER(L4793),ABS(L4793-(K4793-IF(ISNUMBER(N4793),N4793,0)-IF(ISNUMBER(O4793),O4793,0)+IF(ISNUMBER(P4793),P4793,0)))&lt;=Summary!$B$2),"Passes using beginning_balance - PreV_ETB differs from beginning_balance",IF(AND(ISNUMBER(O4793),O4793&lt;0,ABS(L4793-(Q4793-IF(ISNUMBER(N4793),N4793,0)+IF(ISNUMBER(P4793),P4793,0)))&lt;=Summary!$B$2),"Negative realized loss not applied - check sign",IF(R4793&lt;0,"Principal paid exceeds prior balance",IF(AND(L4793&gt;Q4793,NOT(ISNUMBER(P4793))),"Balance increased but no Deferred_interest reported",IF(L4793&gt;R4793,"Reported balance higher than expected (missing increase/OC build)","Reported balance lower than expected (missing decrease)"))))),""))</f>
        <v/>
      </c>
    </row>
    <row r="4794" customFormat="false" ht="15" hidden="false" customHeight="false" outlineLevel="0" collapsed="false">
      <c r="A4794" s="8"/>
      <c r="B4794" s="8"/>
      <c r="C4794" s="8"/>
      <c r="D4794" s="8"/>
      <c r="E4794" s="8"/>
      <c r="F4794" s="8"/>
      <c r="G4794" s="8"/>
      <c r="H4794" s="8"/>
      <c r="I4794" s="8"/>
      <c r="J4794" s="8"/>
      <c r="K4794" s="9"/>
      <c r="L4794" s="9"/>
      <c r="M4794" s="9"/>
      <c r="N4794" s="9"/>
      <c r="O4794" s="9"/>
      <c r="P4794" s="9"/>
      <c r="Q4794" s="9"/>
      <c r="R4794" s="9" t="str">
        <f aca="false">IF(AND(A4794&lt;&gt;"",ISNUMBER(Q4794),ISNUMBER(L4794)),ROUND(Q4794-IF(ISNUMBER(N4794),N4794,0)-IF(ISNUMBER(O4794),O4794,0)+IF(ISNUMBER(P4794),P4794,0),2),"")</f>
        <v/>
      </c>
      <c r="S4794" s="9" t="str">
        <f aca="false">IF(R4794="","",ROUND(L4794-R4794,2))</f>
        <v/>
      </c>
      <c r="T4794" s="8" t="str">
        <f aca="false">IF(A4794="","",IF(S4794="","BYPASS",IF(ABS(S4794)&lt;=Summary!$B$2,"PASS","FAIL")))</f>
        <v/>
      </c>
      <c r="U4794" s="8" t="str">
        <f aca="false">IF(T4794="BYPASS",IF(NOT(ISNUMBER(Q4794)),"PreV_ETB missing","End_tr_balance missing"),IF(T4794="FAIL",IF(AND(ISNUMBER(K4794),ISNUMBER(L4794),ABS(L4794-(K4794-IF(ISNUMBER(N4794),N4794,0)-IF(ISNUMBER(O4794),O4794,0)+IF(ISNUMBER(P4794),P4794,0)))&lt;=Summary!$B$2),"Passes using beginning_balance - PreV_ETB differs from beginning_balance",IF(AND(ISNUMBER(O4794),O4794&lt;0,ABS(L4794-(Q4794-IF(ISNUMBER(N4794),N4794,0)+IF(ISNUMBER(P4794),P4794,0)))&lt;=Summary!$B$2),"Negative realized loss not applied - check sign",IF(R4794&lt;0,"Principal paid exceeds prior balance",IF(AND(L4794&gt;Q4794,NOT(ISNUMBER(P4794))),"Balance increased but no Deferred_interest reported",IF(L4794&gt;R4794,"Reported balance higher than expected (missing increase/OC build)","Reported balance lower than expected (missing decrease)"))))),""))</f>
        <v/>
      </c>
    </row>
    <row r="4795" customFormat="false" ht="15" hidden="false" customHeight="false" outlineLevel="0" collapsed="false">
      <c r="A4795" s="8"/>
      <c r="B4795" s="8"/>
      <c r="C4795" s="8"/>
      <c r="D4795" s="8"/>
      <c r="E4795" s="8"/>
      <c r="F4795" s="8"/>
      <c r="G4795" s="8"/>
      <c r="H4795" s="8"/>
      <c r="I4795" s="8"/>
      <c r="J4795" s="8"/>
      <c r="K4795" s="9"/>
      <c r="L4795" s="9"/>
      <c r="M4795" s="9"/>
      <c r="N4795" s="9"/>
      <c r="O4795" s="9"/>
      <c r="P4795" s="9"/>
      <c r="Q4795" s="9"/>
      <c r="R4795" s="9" t="str">
        <f aca="false">IF(AND(A4795&lt;&gt;"",ISNUMBER(Q4795),ISNUMBER(L4795)),ROUND(Q4795-IF(ISNUMBER(N4795),N4795,0)-IF(ISNUMBER(O4795),O4795,0)+IF(ISNUMBER(P4795),P4795,0),2),"")</f>
        <v/>
      </c>
      <c r="S4795" s="9" t="str">
        <f aca="false">IF(R4795="","",ROUND(L4795-R4795,2))</f>
        <v/>
      </c>
      <c r="T4795" s="8" t="str">
        <f aca="false">IF(A4795="","",IF(S4795="","BYPASS",IF(ABS(S4795)&lt;=Summary!$B$2,"PASS","FAIL")))</f>
        <v/>
      </c>
      <c r="U4795" s="8" t="str">
        <f aca="false">IF(T4795="BYPASS",IF(NOT(ISNUMBER(Q4795)),"PreV_ETB missing","End_tr_balance missing"),IF(T4795="FAIL",IF(AND(ISNUMBER(K4795),ISNUMBER(L4795),ABS(L4795-(K4795-IF(ISNUMBER(N4795),N4795,0)-IF(ISNUMBER(O4795),O4795,0)+IF(ISNUMBER(P4795),P4795,0)))&lt;=Summary!$B$2),"Passes using beginning_balance - PreV_ETB differs from beginning_balance",IF(AND(ISNUMBER(O4795),O4795&lt;0,ABS(L4795-(Q4795-IF(ISNUMBER(N4795),N4795,0)+IF(ISNUMBER(P4795),P4795,0)))&lt;=Summary!$B$2),"Negative realized loss not applied - check sign",IF(R4795&lt;0,"Principal paid exceeds prior balance",IF(AND(L4795&gt;Q4795,NOT(ISNUMBER(P4795))),"Balance increased but no Deferred_interest reported",IF(L4795&gt;R4795,"Reported balance higher than expected (missing increase/OC build)","Reported balance lower than expected (missing decrease)"))))),""))</f>
        <v/>
      </c>
    </row>
    <row r="4796" customFormat="false" ht="15" hidden="false" customHeight="false" outlineLevel="0" collapsed="false">
      <c r="A4796" s="8"/>
      <c r="B4796" s="8"/>
      <c r="C4796" s="8"/>
      <c r="D4796" s="8"/>
      <c r="E4796" s="8"/>
      <c r="F4796" s="8"/>
      <c r="G4796" s="8"/>
      <c r="H4796" s="8"/>
      <c r="I4796" s="8"/>
      <c r="J4796" s="8"/>
      <c r="K4796" s="9"/>
      <c r="L4796" s="9"/>
      <c r="M4796" s="9"/>
      <c r="N4796" s="9"/>
      <c r="O4796" s="9"/>
      <c r="P4796" s="9"/>
      <c r="Q4796" s="9"/>
      <c r="R4796" s="9" t="str">
        <f aca="false">IF(AND(A4796&lt;&gt;"",ISNUMBER(Q4796),ISNUMBER(L4796)),ROUND(Q4796-IF(ISNUMBER(N4796),N4796,0)-IF(ISNUMBER(O4796),O4796,0)+IF(ISNUMBER(P4796),P4796,0),2),"")</f>
        <v/>
      </c>
      <c r="S4796" s="9" t="str">
        <f aca="false">IF(R4796="","",ROUND(L4796-R4796,2))</f>
        <v/>
      </c>
      <c r="T4796" s="8" t="str">
        <f aca="false">IF(A4796="","",IF(S4796="","BYPASS",IF(ABS(S4796)&lt;=Summary!$B$2,"PASS","FAIL")))</f>
        <v/>
      </c>
      <c r="U4796" s="8" t="str">
        <f aca="false">IF(T4796="BYPASS",IF(NOT(ISNUMBER(Q4796)),"PreV_ETB missing","End_tr_balance missing"),IF(T4796="FAIL",IF(AND(ISNUMBER(K4796),ISNUMBER(L4796),ABS(L4796-(K4796-IF(ISNUMBER(N4796),N4796,0)-IF(ISNUMBER(O4796),O4796,0)+IF(ISNUMBER(P4796),P4796,0)))&lt;=Summary!$B$2),"Passes using beginning_balance - PreV_ETB differs from beginning_balance",IF(AND(ISNUMBER(O4796),O4796&lt;0,ABS(L4796-(Q4796-IF(ISNUMBER(N4796),N4796,0)+IF(ISNUMBER(P4796),P4796,0)))&lt;=Summary!$B$2),"Negative realized loss not applied - check sign",IF(R4796&lt;0,"Principal paid exceeds prior balance",IF(AND(L4796&gt;Q4796,NOT(ISNUMBER(P4796))),"Balance increased but no Deferred_interest reported",IF(L4796&gt;R4796,"Reported balance higher than expected (missing increase/OC build)","Reported balance lower than expected (missing decrease)"))))),""))</f>
        <v/>
      </c>
    </row>
    <row r="4797" customFormat="false" ht="15" hidden="false" customHeight="false" outlineLevel="0" collapsed="false">
      <c r="A4797" s="8"/>
      <c r="B4797" s="8"/>
      <c r="C4797" s="8"/>
      <c r="D4797" s="8"/>
      <c r="E4797" s="8"/>
      <c r="F4797" s="8"/>
      <c r="G4797" s="8"/>
      <c r="H4797" s="8"/>
      <c r="I4797" s="8"/>
      <c r="J4797" s="8"/>
      <c r="K4797" s="9"/>
      <c r="L4797" s="9"/>
      <c r="M4797" s="9"/>
      <c r="N4797" s="9"/>
      <c r="O4797" s="9"/>
      <c r="P4797" s="9"/>
      <c r="Q4797" s="9"/>
      <c r="R4797" s="9" t="str">
        <f aca="false">IF(AND(A4797&lt;&gt;"",ISNUMBER(Q4797),ISNUMBER(L4797)),ROUND(Q4797-IF(ISNUMBER(N4797),N4797,0)-IF(ISNUMBER(O4797),O4797,0)+IF(ISNUMBER(P4797),P4797,0),2),"")</f>
        <v/>
      </c>
      <c r="S4797" s="9" t="str">
        <f aca="false">IF(R4797="","",ROUND(L4797-R4797,2))</f>
        <v/>
      </c>
      <c r="T4797" s="8" t="str">
        <f aca="false">IF(A4797="","",IF(S4797="","BYPASS",IF(ABS(S4797)&lt;=Summary!$B$2,"PASS","FAIL")))</f>
        <v/>
      </c>
      <c r="U4797" s="8" t="str">
        <f aca="false">IF(T4797="BYPASS",IF(NOT(ISNUMBER(Q4797)),"PreV_ETB missing","End_tr_balance missing"),IF(T4797="FAIL",IF(AND(ISNUMBER(K4797),ISNUMBER(L4797),ABS(L4797-(K4797-IF(ISNUMBER(N4797),N4797,0)-IF(ISNUMBER(O4797),O4797,0)+IF(ISNUMBER(P4797),P4797,0)))&lt;=Summary!$B$2),"Passes using beginning_balance - PreV_ETB differs from beginning_balance",IF(AND(ISNUMBER(O4797),O4797&lt;0,ABS(L4797-(Q4797-IF(ISNUMBER(N4797),N4797,0)+IF(ISNUMBER(P4797),P4797,0)))&lt;=Summary!$B$2),"Negative realized loss not applied - check sign",IF(R4797&lt;0,"Principal paid exceeds prior balance",IF(AND(L4797&gt;Q4797,NOT(ISNUMBER(P4797))),"Balance increased but no Deferred_interest reported",IF(L4797&gt;R4797,"Reported balance higher than expected (missing increase/OC build)","Reported balance lower than expected (missing decrease)"))))),""))</f>
        <v/>
      </c>
    </row>
    <row r="4798" customFormat="false" ht="15" hidden="false" customHeight="false" outlineLevel="0" collapsed="false">
      <c r="A4798" s="8"/>
      <c r="B4798" s="8"/>
      <c r="C4798" s="8"/>
      <c r="D4798" s="8"/>
      <c r="E4798" s="8"/>
      <c r="F4798" s="8"/>
      <c r="G4798" s="8"/>
      <c r="H4798" s="8"/>
      <c r="I4798" s="8"/>
      <c r="J4798" s="8"/>
      <c r="K4798" s="9"/>
      <c r="L4798" s="9"/>
      <c r="M4798" s="9"/>
      <c r="N4798" s="9"/>
      <c r="O4798" s="9"/>
      <c r="P4798" s="9"/>
      <c r="Q4798" s="9"/>
      <c r="R4798" s="9" t="str">
        <f aca="false">IF(AND(A4798&lt;&gt;"",ISNUMBER(Q4798),ISNUMBER(L4798)),ROUND(Q4798-IF(ISNUMBER(N4798),N4798,0)-IF(ISNUMBER(O4798),O4798,0)+IF(ISNUMBER(P4798),P4798,0),2),"")</f>
        <v/>
      </c>
      <c r="S4798" s="9" t="str">
        <f aca="false">IF(R4798="","",ROUND(L4798-R4798,2))</f>
        <v/>
      </c>
      <c r="T4798" s="8" t="str">
        <f aca="false">IF(A4798="","",IF(S4798="","BYPASS",IF(ABS(S4798)&lt;=Summary!$B$2,"PASS","FAIL")))</f>
        <v/>
      </c>
      <c r="U4798" s="8" t="str">
        <f aca="false">IF(T4798="BYPASS",IF(NOT(ISNUMBER(Q4798)),"PreV_ETB missing","End_tr_balance missing"),IF(T4798="FAIL",IF(AND(ISNUMBER(K4798),ISNUMBER(L4798),ABS(L4798-(K4798-IF(ISNUMBER(N4798),N4798,0)-IF(ISNUMBER(O4798),O4798,0)+IF(ISNUMBER(P4798),P4798,0)))&lt;=Summary!$B$2),"Passes using beginning_balance - PreV_ETB differs from beginning_balance",IF(AND(ISNUMBER(O4798),O4798&lt;0,ABS(L4798-(Q4798-IF(ISNUMBER(N4798),N4798,0)+IF(ISNUMBER(P4798),P4798,0)))&lt;=Summary!$B$2),"Negative realized loss not applied - check sign",IF(R4798&lt;0,"Principal paid exceeds prior balance",IF(AND(L4798&gt;Q4798,NOT(ISNUMBER(P4798))),"Balance increased but no Deferred_interest reported",IF(L4798&gt;R4798,"Reported balance higher than expected (missing increase/OC build)","Reported balance lower than expected (missing decrease)"))))),""))</f>
        <v/>
      </c>
    </row>
    <row r="4799" customFormat="false" ht="15" hidden="false" customHeight="false" outlineLevel="0" collapsed="false">
      <c r="A4799" s="8"/>
      <c r="B4799" s="8"/>
      <c r="C4799" s="8"/>
      <c r="D4799" s="8"/>
      <c r="E4799" s="8"/>
      <c r="F4799" s="8"/>
      <c r="G4799" s="8"/>
      <c r="H4799" s="8"/>
      <c r="I4799" s="8"/>
      <c r="J4799" s="8"/>
      <c r="K4799" s="9"/>
      <c r="L4799" s="9"/>
      <c r="M4799" s="9"/>
      <c r="N4799" s="9"/>
      <c r="O4799" s="9"/>
      <c r="P4799" s="9"/>
      <c r="Q4799" s="9"/>
      <c r="R4799" s="9" t="str">
        <f aca="false">IF(AND(A4799&lt;&gt;"",ISNUMBER(Q4799),ISNUMBER(L4799)),ROUND(Q4799-IF(ISNUMBER(N4799),N4799,0)-IF(ISNUMBER(O4799),O4799,0)+IF(ISNUMBER(P4799),P4799,0),2),"")</f>
        <v/>
      </c>
      <c r="S4799" s="9" t="str">
        <f aca="false">IF(R4799="","",ROUND(L4799-R4799,2))</f>
        <v/>
      </c>
      <c r="T4799" s="8" t="str">
        <f aca="false">IF(A4799="","",IF(S4799="","BYPASS",IF(ABS(S4799)&lt;=Summary!$B$2,"PASS","FAIL")))</f>
        <v/>
      </c>
      <c r="U4799" s="8" t="str">
        <f aca="false">IF(T4799="BYPASS",IF(NOT(ISNUMBER(Q4799)),"PreV_ETB missing","End_tr_balance missing"),IF(T4799="FAIL",IF(AND(ISNUMBER(K4799),ISNUMBER(L4799),ABS(L4799-(K4799-IF(ISNUMBER(N4799),N4799,0)-IF(ISNUMBER(O4799),O4799,0)+IF(ISNUMBER(P4799),P4799,0)))&lt;=Summary!$B$2),"Passes using beginning_balance - PreV_ETB differs from beginning_balance",IF(AND(ISNUMBER(O4799),O4799&lt;0,ABS(L4799-(Q4799-IF(ISNUMBER(N4799),N4799,0)+IF(ISNUMBER(P4799),P4799,0)))&lt;=Summary!$B$2),"Negative realized loss not applied - check sign",IF(R4799&lt;0,"Principal paid exceeds prior balance",IF(AND(L4799&gt;Q4799,NOT(ISNUMBER(P4799))),"Balance increased but no Deferred_interest reported",IF(L4799&gt;R4799,"Reported balance higher than expected (missing increase/OC build)","Reported balance lower than expected (missing decrease)"))))),""))</f>
        <v/>
      </c>
    </row>
    <row r="4800" customFormat="false" ht="15" hidden="false" customHeight="false" outlineLevel="0" collapsed="false">
      <c r="A4800" s="8"/>
      <c r="B4800" s="8"/>
      <c r="C4800" s="8"/>
      <c r="D4800" s="8"/>
      <c r="E4800" s="8"/>
      <c r="F4800" s="8"/>
      <c r="G4800" s="8"/>
      <c r="H4800" s="8"/>
      <c r="I4800" s="8"/>
      <c r="J4800" s="8"/>
      <c r="K4800" s="9"/>
      <c r="L4800" s="9"/>
      <c r="M4800" s="9"/>
      <c r="N4800" s="9"/>
      <c r="O4800" s="9"/>
      <c r="P4800" s="9"/>
      <c r="Q4800" s="9"/>
      <c r="R4800" s="9" t="str">
        <f aca="false">IF(AND(A4800&lt;&gt;"",ISNUMBER(Q4800),ISNUMBER(L4800)),ROUND(Q4800-IF(ISNUMBER(N4800),N4800,0)-IF(ISNUMBER(O4800),O4800,0)+IF(ISNUMBER(P4800),P4800,0),2),"")</f>
        <v/>
      </c>
      <c r="S4800" s="9" t="str">
        <f aca="false">IF(R4800="","",ROUND(L4800-R4800,2))</f>
        <v/>
      </c>
      <c r="T4800" s="8" t="str">
        <f aca="false">IF(A4800="","",IF(S4800="","BYPASS",IF(ABS(S4800)&lt;=Summary!$B$2,"PASS","FAIL")))</f>
        <v/>
      </c>
      <c r="U4800" s="8" t="str">
        <f aca="false">IF(T4800="BYPASS",IF(NOT(ISNUMBER(Q4800)),"PreV_ETB missing","End_tr_balance missing"),IF(T4800="FAIL",IF(AND(ISNUMBER(K4800),ISNUMBER(L4800),ABS(L4800-(K4800-IF(ISNUMBER(N4800),N4800,0)-IF(ISNUMBER(O4800),O4800,0)+IF(ISNUMBER(P4800),P4800,0)))&lt;=Summary!$B$2),"Passes using beginning_balance - PreV_ETB differs from beginning_balance",IF(AND(ISNUMBER(O4800),O4800&lt;0,ABS(L4800-(Q4800-IF(ISNUMBER(N4800),N4800,0)+IF(ISNUMBER(P4800),P4800,0)))&lt;=Summary!$B$2),"Negative realized loss not applied - check sign",IF(R4800&lt;0,"Principal paid exceeds prior balance",IF(AND(L4800&gt;Q4800,NOT(ISNUMBER(P4800))),"Balance increased but no Deferred_interest reported",IF(L4800&gt;R4800,"Reported balance higher than expected (missing increase/OC build)","Reported balance lower than expected (missing decrease)"))))),""))</f>
        <v/>
      </c>
    </row>
    <row r="4801" customFormat="false" ht="15" hidden="false" customHeight="false" outlineLevel="0" collapsed="false">
      <c r="A4801" s="8"/>
      <c r="B4801" s="8"/>
      <c r="C4801" s="8"/>
      <c r="D4801" s="8"/>
      <c r="E4801" s="8"/>
      <c r="F4801" s="8"/>
      <c r="G4801" s="8"/>
      <c r="H4801" s="8"/>
      <c r="I4801" s="8"/>
      <c r="J4801" s="8"/>
      <c r="K4801" s="9"/>
      <c r="L4801" s="9"/>
      <c r="M4801" s="9"/>
      <c r="N4801" s="9"/>
      <c r="O4801" s="9"/>
      <c r="P4801" s="9"/>
      <c r="Q4801" s="9"/>
      <c r="R4801" s="9" t="str">
        <f aca="false">IF(AND(A4801&lt;&gt;"",ISNUMBER(Q4801),ISNUMBER(L4801)),ROUND(Q4801-IF(ISNUMBER(N4801),N4801,0)-IF(ISNUMBER(O4801),O4801,0)+IF(ISNUMBER(P4801),P4801,0),2),"")</f>
        <v/>
      </c>
      <c r="S4801" s="9" t="str">
        <f aca="false">IF(R4801="","",ROUND(L4801-R4801,2))</f>
        <v/>
      </c>
      <c r="T4801" s="8" t="str">
        <f aca="false">IF(A4801="","",IF(S4801="","BYPASS",IF(ABS(S4801)&lt;=Summary!$B$2,"PASS","FAIL")))</f>
        <v/>
      </c>
      <c r="U4801" s="8" t="str">
        <f aca="false">IF(T4801="BYPASS",IF(NOT(ISNUMBER(Q4801)),"PreV_ETB missing","End_tr_balance missing"),IF(T4801="FAIL",IF(AND(ISNUMBER(K4801),ISNUMBER(L4801),ABS(L4801-(K4801-IF(ISNUMBER(N4801),N4801,0)-IF(ISNUMBER(O4801),O4801,0)+IF(ISNUMBER(P4801),P4801,0)))&lt;=Summary!$B$2),"Passes using beginning_balance - PreV_ETB differs from beginning_balance",IF(AND(ISNUMBER(O4801),O4801&lt;0,ABS(L4801-(Q4801-IF(ISNUMBER(N4801),N4801,0)+IF(ISNUMBER(P4801),P4801,0)))&lt;=Summary!$B$2),"Negative realized loss not applied - check sign",IF(R4801&lt;0,"Principal paid exceeds prior balance",IF(AND(L4801&gt;Q4801,NOT(ISNUMBER(P4801))),"Balance increased but no Deferred_interest reported",IF(L4801&gt;R4801,"Reported balance higher than expected (missing increase/OC build)","Reported balance lower than expected (missing decrease)"))))),""))</f>
        <v/>
      </c>
    </row>
    <row r="4802" customFormat="false" ht="15" hidden="false" customHeight="false" outlineLevel="0" collapsed="false">
      <c r="A4802" s="8"/>
      <c r="B4802" s="8"/>
      <c r="C4802" s="8"/>
      <c r="D4802" s="8"/>
      <c r="E4802" s="8"/>
      <c r="F4802" s="8"/>
      <c r="G4802" s="8"/>
      <c r="H4802" s="8"/>
      <c r="I4802" s="8"/>
      <c r="J4802" s="8"/>
      <c r="K4802" s="9"/>
      <c r="L4802" s="9"/>
      <c r="M4802" s="9"/>
      <c r="N4802" s="9"/>
      <c r="O4802" s="9"/>
      <c r="P4802" s="9"/>
      <c r="Q4802" s="9"/>
      <c r="R4802" s="9" t="str">
        <f aca="false">IF(AND(A4802&lt;&gt;"",ISNUMBER(Q4802),ISNUMBER(L4802)),ROUND(Q4802-IF(ISNUMBER(N4802),N4802,0)-IF(ISNUMBER(O4802),O4802,0)+IF(ISNUMBER(P4802),P4802,0),2),"")</f>
        <v/>
      </c>
      <c r="S4802" s="9" t="str">
        <f aca="false">IF(R4802="","",ROUND(L4802-R4802,2))</f>
        <v/>
      </c>
      <c r="T4802" s="8" t="str">
        <f aca="false">IF(A4802="","",IF(S4802="","BYPASS",IF(ABS(S4802)&lt;=Summary!$B$2,"PASS","FAIL")))</f>
        <v/>
      </c>
      <c r="U4802" s="8" t="str">
        <f aca="false">IF(T4802="BYPASS",IF(NOT(ISNUMBER(Q4802)),"PreV_ETB missing","End_tr_balance missing"),IF(T4802="FAIL",IF(AND(ISNUMBER(K4802),ISNUMBER(L4802),ABS(L4802-(K4802-IF(ISNUMBER(N4802),N4802,0)-IF(ISNUMBER(O4802),O4802,0)+IF(ISNUMBER(P4802),P4802,0)))&lt;=Summary!$B$2),"Passes using beginning_balance - PreV_ETB differs from beginning_balance",IF(AND(ISNUMBER(O4802),O4802&lt;0,ABS(L4802-(Q4802-IF(ISNUMBER(N4802),N4802,0)+IF(ISNUMBER(P4802),P4802,0)))&lt;=Summary!$B$2),"Negative realized loss not applied - check sign",IF(R4802&lt;0,"Principal paid exceeds prior balance",IF(AND(L4802&gt;Q4802,NOT(ISNUMBER(P4802))),"Balance increased but no Deferred_interest reported",IF(L4802&gt;R4802,"Reported balance higher than expected (missing increase/OC build)","Reported balance lower than expected (missing decrease)"))))),""))</f>
        <v/>
      </c>
    </row>
    <row r="4803" customFormat="false" ht="15" hidden="false" customHeight="false" outlineLevel="0" collapsed="false">
      <c r="A4803" s="8"/>
      <c r="B4803" s="8"/>
      <c r="C4803" s="8"/>
      <c r="D4803" s="8"/>
      <c r="E4803" s="8"/>
      <c r="F4803" s="8"/>
      <c r="G4803" s="8"/>
      <c r="H4803" s="8"/>
      <c r="I4803" s="8"/>
      <c r="J4803" s="8"/>
      <c r="K4803" s="9"/>
      <c r="L4803" s="9"/>
      <c r="M4803" s="9"/>
      <c r="N4803" s="9"/>
      <c r="O4803" s="9"/>
      <c r="P4803" s="9"/>
      <c r="Q4803" s="9"/>
      <c r="R4803" s="9" t="str">
        <f aca="false">IF(AND(A4803&lt;&gt;"",ISNUMBER(Q4803),ISNUMBER(L4803)),ROUND(Q4803-IF(ISNUMBER(N4803),N4803,0)-IF(ISNUMBER(O4803),O4803,0)+IF(ISNUMBER(P4803),P4803,0),2),"")</f>
        <v/>
      </c>
      <c r="S4803" s="9" t="str">
        <f aca="false">IF(R4803="","",ROUND(L4803-R4803,2))</f>
        <v/>
      </c>
      <c r="T4803" s="8" t="str">
        <f aca="false">IF(A4803="","",IF(S4803="","BYPASS",IF(ABS(S4803)&lt;=Summary!$B$2,"PASS","FAIL")))</f>
        <v/>
      </c>
      <c r="U4803" s="8" t="str">
        <f aca="false">IF(T4803="BYPASS",IF(NOT(ISNUMBER(Q4803)),"PreV_ETB missing","End_tr_balance missing"),IF(T4803="FAIL",IF(AND(ISNUMBER(K4803),ISNUMBER(L4803),ABS(L4803-(K4803-IF(ISNUMBER(N4803),N4803,0)-IF(ISNUMBER(O4803),O4803,0)+IF(ISNUMBER(P4803),P4803,0)))&lt;=Summary!$B$2),"Passes using beginning_balance - PreV_ETB differs from beginning_balance",IF(AND(ISNUMBER(O4803),O4803&lt;0,ABS(L4803-(Q4803-IF(ISNUMBER(N4803),N4803,0)+IF(ISNUMBER(P4803),P4803,0)))&lt;=Summary!$B$2),"Negative realized loss not applied - check sign",IF(R4803&lt;0,"Principal paid exceeds prior balance",IF(AND(L4803&gt;Q4803,NOT(ISNUMBER(P4803))),"Balance increased but no Deferred_interest reported",IF(L4803&gt;R4803,"Reported balance higher than expected (missing increase/OC build)","Reported balance lower than expected (missing decrease)"))))),""))</f>
        <v/>
      </c>
    </row>
    <row r="4804" customFormat="false" ht="15" hidden="false" customHeight="false" outlineLevel="0" collapsed="false">
      <c r="A4804" s="8"/>
      <c r="B4804" s="8"/>
      <c r="C4804" s="8"/>
      <c r="D4804" s="8"/>
      <c r="E4804" s="8"/>
      <c r="F4804" s="8"/>
      <c r="G4804" s="8"/>
      <c r="H4804" s="8"/>
      <c r="I4804" s="8"/>
      <c r="J4804" s="8"/>
      <c r="K4804" s="9"/>
      <c r="L4804" s="9"/>
      <c r="M4804" s="9"/>
      <c r="N4804" s="9"/>
      <c r="O4804" s="9"/>
      <c r="P4804" s="9"/>
      <c r="Q4804" s="9"/>
      <c r="R4804" s="9" t="str">
        <f aca="false">IF(AND(A4804&lt;&gt;"",ISNUMBER(Q4804),ISNUMBER(L4804)),ROUND(Q4804-IF(ISNUMBER(N4804),N4804,0)-IF(ISNUMBER(O4804),O4804,0)+IF(ISNUMBER(P4804),P4804,0),2),"")</f>
        <v/>
      </c>
      <c r="S4804" s="9" t="str">
        <f aca="false">IF(R4804="","",ROUND(L4804-R4804,2))</f>
        <v/>
      </c>
      <c r="T4804" s="8" t="str">
        <f aca="false">IF(A4804="","",IF(S4804="","BYPASS",IF(ABS(S4804)&lt;=Summary!$B$2,"PASS","FAIL")))</f>
        <v/>
      </c>
      <c r="U4804" s="8" t="str">
        <f aca="false">IF(T4804="BYPASS",IF(NOT(ISNUMBER(Q4804)),"PreV_ETB missing","End_tr_balance missing"),IF(T4804="FAIL",IF(AND(ISNUMBER(K4804),ISNUMBER(L4804),ABS(L4804-(K4804-IF(ISNUMBER(N4804),N4804,0)-IF(ISNUMBER(O4804),O4804,0)+IF(ISNUMBER(P4804),P4804,0)))&lt;=Summary!$B$2),"Passes using beginning_balance - PreV_ETB differs from beginning_balance",IF(AND(ISNUMBER(O4804),O4804&lt;0,ABS(L4804-(Q4804-IF(ISNUMBER(N4804),N4804,0)+IF(ISNUMBER(P4804),P4804,0)))&lt;=Summary!$B$2),"Negative realized loss not applied - check sign",IF(R4804&lt;0,"Principal paid exceeds prior balance",IF(AND(L4804&gt;Q4804,NOT(ISNUMBER(P4804))),"Balance increased but no Deferred_interest reported",IF(L4804&gt;R4804,"Reported balance higher than expected (missing increase/OC build)","Reported balance lower than expected (missing decrease)"))))),""))</f>
        <v/>
      </c>
    </row>
    <row r="4805" customFormat="false" ht="15" hidden="false" customHeight="false" outlineLevel="0" collapsed="false">
      <c r="A4805" s="8"/>
      <c r="B4805" s="8"/>
      <c r="C4805" s="8"/>
      <c r="D4805" s="8"/>
      <c r="E4805" s="8"/>
      <c r="F4805" s="8"/>
      <c r="G4805" s="8"/>
      <c r="H4805" s="8"/>
      <c r="I4805" s="8"/>
      <c r="J4805" s="8"/>
      <c r="K4805" s="9"/>
      <c r="L4805" s="9"/>
      <c r="M4805" s="9"/>
      <c r="N4805" s="9"/>
      <c r="O4805" s="9"/>
      <c r="P4805" s="9"/>
      <c r="Q4805" s="9"/>
      <c r="R4805" s="9" t="str">
        <f aca="false">IF(AND(A4805&lt;&gt;"",ISNUMBER(Q4805),ISNUMBER(L4805)),ROUND(Q4805-IF(ISNUMBER(N4805),N4805,0)-IF(ISNUMBER(O4805),O4805,0)+IF(ISNUMBER(P4805),P4805,0),2),"")</f>
        <v/>
      </c>
      <c r="S4805" s="9" t="str">
        <f aca="false">IF(R4805="","",ROUND(L4805-R4805,2))</f>
        <v/>
      </c>
      <c r="T4805" s="8" t="str">
        <f aca="false">IF(A4805="","",IF(S4805="","BYPASS",IF(ABS(S4805)&lt;=Summary!$B$2,"PASS","FAIL")))</f>
        <v/>
      </c>
      <c r="U4805" s="8" t="str">
        <f aca="false">IF(T4805="BYPASS",IF(NOT(ISNUMBER(Q4805)),"PreV_ETB missing","End_tr_balance missing"),IF(T4805="FAIL",IF(AND(ISNUMBER(K4805),ISNUMBER(L4805),ABS(L4805-(K4805-IF(ISNUMBER(N4805),N4805,0)-IF(ISNUMBER(O4805),O4805,0)+IF(ISNUMBER(P4805),P4805,0)))&lt;=Summary!$B$2),"Passes using beginning_balance - PreV_ETB differs from beginning_balance",IF(AND(ISNUMBER(O4805),O4805&lt;0,ABS(L4805-(Q4805-IF(ISNUMBER(N4805),N4805,0)+IF(ISNUMBER(P4805),P4805,0)))&lt;=Summary!$B$2),"Negative realized loss not applied - check sign",IF(R4805&lt;0,"Principal paid exceeds prior balance",IF(AND(L4805&gt;Q4805,NOT(ISNUMBER(P4805))),"Balance increased but no Deferred_interest reported",IF(L4805&gt;R4805,"Reported balance higher than expected (missing increase/OC build)","Reported balance lower than expected (missing decrease)"))))),""))</f>
        <v/>
      </c>
    </row>
    <row r="4806" customFormat="false" ht="15" hidden="false" customHeight="false" outlineLevel="0" collapsed="false">
      <c r="A4806" s="8"/>
      <c r="B4806" s="8"/>
      <c r="C4806" s="8"/>
      <c r="D4806" s="8"/>
      <c r="E4806" s="8"/>
      <c r="F4806" s="8"/>
      <c r="G4806" s="8"/>
      <c r="H4806" s="8"/>
      <c r="I4806" s="8"/>
      <c r="J4806" s="8"/>
      <c r="K4806" s="9"/>
      <c r="L4806" s="9"/>
      <c r="M4806" s="9"/>
      <c r="N4806" s="9"/>
      <c r="O4806" s="9"/>
      <c r="P4806" s="9"/>
      <c r="Q4806" s="9"/>
      <c r="R4806" s="9" t="str">
        <f aca="false">IF(AND(A4806&lt;&gt;"",ISNUMBER(Q4806),ISNUMBER(L4806)),ROUND(Q4806-IF(ISNUMBER(N4806),N4806,0)-IF(ISNUMBER(O4806),O4806,0)+IF(ISNUMBER(P4806),P4806,0),2),"")</f>
        <v/>
      </c>
      <c r="S4806" s="9" t="str">
        <f aca="false">IF(R4806="","",ROUND(L4806-R4806,2))</f>
        <v/>
      </c>
      <c r="T4806" s="8" t="str">
        <f aca="false">IF(A4806="","",IF(S4806="","BYPASS",IF(ABS(S4806)&lt;=Summary!$B$2,"PASS","FAIL")))</f>
        <v/>
      </c>
      <c r="U4806" s="8" t="str">
        <f aca="false">IF(T4806="BYPASS",IF(NOT(ISNUMBER(Q4806)),"PreV_ETB missing","End_tr_balance missing"),IF(T4806="FAIL",IF(AND(ISNUMBER(K4806),ISNUMBER(L4806),ABS(L4806-(K4806-IF(ISNUMBER(N4806),N4806,0)-IF(ISNUMBER(O4806),O4806,0)+IF(ISNUMBER(P4806),P4806,0)))&lt;=Summary!$B$2),"Passes using beginning_balance - PreV_ETB differs from beginning_balance",IF(AND(ISNUMBER(O4806),O4806&lt;0,ABS(L4806-(Q4806-IF(ISNUMBER(N4806),N4806,0)+IF(ISNUMBER(P4806),P4806,0)))&lt;=Summary!$B$2),"Negative realized loss not applied - check sign",IF(R4806&lt;0,"Principal paid exceeds prior balance",IF(AND(L4806&gt;Q4806,NOT(ISNUMBER(P4806))),"Balance increased but no Deferred_interest reported",IF(L4806&gt;R4806,"Reported balance higher than expected (missing increase/OC build)","Reported balance lower than expected (missing decrease)"))))),""))</f>
        <v/>
      </c>
    </row>
    <row r="4807" customFormat="false" ht="15" hidden="false" customHeight="false" outlineLevel="0" collapsed="false">
      <c r="A4807" s="8"/>
      <c r="B4807" s="8"/>
      <c r="C4807" s="8"/>
      <c r="D4807" s="8"/>
      <c r="E4807" s="8"/>
      <c r="F4807" s="8"/>
      <c r="G4807" s="8"/>
      <c r="H4807" s="8"/>
      <c r="I4807" s="8"/>
      <c r="J4807" s="8"/>
      <c r="K4807" s="9"/>
      <c r="L4807" s="9"/>
      <c r="M4807" s="9"/>
      <c r="N4807" s="9"/>
      <c r="O4807" s="9"/>
      <c r="P4807" s="9"/>
      <c r="Q4807" s="9"/>
      <c r="R4807" s="9" t="str">
        <f aca="false">IF(AND(A4807&lt;&gt;"",ISNUMBER(Q4807),ISNUMBER(L4807)),ROUND(Q4807-IF(ISNUMBER(N4807),N4807,0)-IF(ISNUMBER(O4807),O4807,0)+IF(ISNUMBER(P4807),P4807,0),2),"")</f>
        <v/>
      </c>
      <c r="S4807" s="9" t="str">
        <f aca="false">IF(R4807="","",ROUND(L4807-R4807,2))</f>
        <v/>
      </c>
      <c r="T4807" s="8" t="str">
        <f aca="false">IF(A4807="","",IF(S4807="","BYPASS",IF(ABS(S4807)&lt;=Summary!$B$2,"PASS","FAIL")))</f>
        <v/>
      </c>
      <c r="U4807" s="8" t="str">
        <f aca="false">IF(T4807="BYPASS",IF(NOT(ISNUMBER(Q4807)),"PreV_ETB missing","End_tr_balance missing"),IF(T4807="FAIL",IF(AND(ISNUMBER(K4807),ISNUMBER(L4807),ABS(L4807-(K4807-IF(ISNUMBER(N4807),N4807,0)-IF(ISNUMBER(O4807),O4807,0)+IF(ISNUMBER(P4807),P4807,0)))&lt;=Summary!$B$2),"Passes using beginning_balance - PreV_ETB differs from beginning_balance",IF(AND(ISNUMBER(O4807),O4807&lt;0,ABS(L4807-(Q4807-IF(ISNUMBER(N4807),N4807,0)+IF(ISNUMBER(P4807),P4807,0)))&lt;=Summary!$B$2),"Negative realized loss not applied - check sign",IF(R4807&lt;0,"Principal paid exceeds prior balance",IF(AND(L4807&gt;Q4807,NOT(ISNUMBER(P4807))),"Balance increased but no Deferred_interest reported",IF(L4807&gt;R4807,"Reported balance higher than expected (missing increase/OC build)","Reported balance lower than expected (missing decrease)"))))),""))</f>
        <v/>
      </c>
    </row>
    <row r="4808" customFormat="false" ht="15" hidden="false" customHeight="false" outlineLevel="0" collapsed="false">
      <c r="A4808" s="8"/>
      <c r="B4808" s="8"/>
      <c r="C4808" s="8"/>
      <c r="D4808" s="8"/>
      <c r="E4808" s="8"/>
      <c r="F4808" s="8"/>
      <c r="G4808" s="8"/>
      <c r="H4808" s="8"/>
      <c r="I4808" s="8"/>
      <c r="J4808" s="8"/>
      <c r="K4808" s="9"/>
      <c r="L4808" s="9"/>
      <c r="M4808" s="9"/>
      <c r="N4808" s="9"/>
      <c r="O4808" s="9"/>
      <c r="P4808" s="9"/>
      <c r="Q4808" s="9"/>
      <c r="R4808" s="9" t="str">
        <f aca="false">IF(AND(A4808&lt;&gt;"",ISNUMBER(Q4808),ISNUMBER(L4808)),ROUND(Q4808-IF(ISNUMBER(N4808),N4808,0)-IF(ISNUMBER(O4808),O4808,0)+IF(ISNUMBER(P4808),P4808,0),2),"")</f>
        <v/>
      </c>
      <c r="S4808" s="9" t="str">
        <f aca="false">IF(R4808="","",ROUND(L4808-R4808,2))</f>
        <v/>
      </c>
      <c r="T4808" s="8" t="str">
        <f aca="false">IF(A4808="","",IF(S4808="","BYPASS",IF(ABS(S4808)&lt;=Summary!$B$2,"PASS","FAIL")))</f>
        <v/>
      </c>
      <c r="U4808" s="8" t="str">
        <f aca="false">IF(T4808="BYPASS",IF(NOT(ISNUMBER(Q4808)),"PreV_ETB missing","End_tr_balance missing"),IF(T4808="FAIL",IF(AND(ISNUMBER(K4808),ISNUMBER(L4808),ABS(L4808-(K4808-IF(ISNUMBER(N4808),N4808,0)-IF(ISNUMBER(O4808),O4808,0)+IF(ISNUMBER(P4808),P4808,0)))&lt;=Summary!$B$2),"Passes using beginning_balance - PreV_ETB differs from beginning_balance",IF(AND(ISNUMBER(O4808),O4808&lt;0,ABS(L4808-(Q4808-IF(ISNUMBER(N4808),N4808,0)+IF(ISNUMBER(P4808),P4808,0)))&lt;=Summary!$B$2),"Negative realized loss not applied - check sign",IF(R4808&lt;0,"Principal paid exceeds prior balance",IF(AND(L4808&gt;Q4808,NOT(ISNUMBER(P4808))),"Balance increased but no Deferred_interest reported",IF(L4808&gt;R4808,"Reported balance higher than expected (missing increase/OC build)","Reported balance lower than expected (missing decrease)"))))),""))</f>
        <v/>
      </c>
    </row>
    <row r="4809" customFormat="false" ht="15" hidden="false" customHeight="false" outlineLevel="0" collapsed="false">
      <c r="A4809" s="8"/>
      <c r="B4809" s="8"/>
      <c r="C4809" s="8"/>
      <c r="D4809" s="8"/>
      <c r="E4809" s="8"/>
      <c r="F4809" s="8"/>
      <c r="G4809" s="8"/>
      <c r="H4809" s="8"/>
      <c r="I4809" s="8"/>
      <c r="J4809" s="8"/>
      <c r="K4809" s="9"/>
      <c r="L4809" s="9"/>
      <c r="M4809" s="9"/>
      <c r="N4809" s="9"/>
      <c r="O4809" s="9"/>
      <c r="P4809" s="9"/>
      <c r="Q4809" s="9"/>
      <c r="R4809" s="9" t="str">
        <f aca="false">IF(AND(A4809&lt;&gt;"",ISNUMBER(Q4809),ISNUMBER(L4809)),ROUND(Q4809-IF(ISNUMBER(N4809),N4809,0)-IF(ISNUMBER(O4809),O4809,0)+IF(ISNUMBER(P4809),P4809,0),2),"")</f>
        <v/>
      </c>
      <c r="S4809" s="9" t="str">
        <f aca="false">IF(R4809="","",ROUND(L4809-R4809,2))</f>
        <v/>
      </c>
      <c r="T4809" s="8" t="str">
        <f aca="false">IF(A4809="","",IF(S4809="","BYPASS",IF(ABS(S4809)&lt;=Summary!$B$2,"PASS","FAIL")))</f>
        <v/>
      </c>
      <c r="U4809" s="8" t="str">
        <f aca="false">IF(T4809="BYPASS",IF(NOT(ISNUMBER(Q4809)),"PreV_ETB missing","End_tr_balance missing"),IF(T4809="FAIL",IF(AND(ISNUMBER(K4809),ISNUMBER(L4809),ABS(L4809-(K4809-IF(ISNUMBER(N4809),N4809,0)-IF(ISNUMBER(O4809),O4809,0)+IF(ISNUMBER(P4809),P4809,0)))&lt;=Summary!$B$2),"Passes using beginning_balance - PreV_ETB differs from beginning_balance",IF(AND(ISNUMBER(O4809),O4809&lt;0,ABS(L4809-(Q4809-IF(ISNUMBER(N4809),N4809,0)+IF(ISNUMBER(P4809),P4809,0)))&lt;=Summary!$B$2),"Negative realized loss not applied - check sign",IF(R4809&lt;0,"Principal paid exceeds prior balance",IF(AND(L4809&gt;Q4809,NOT(ISNUMBER(P4809))),"Balance increased but no Deferred_interest reported",IF(L4809&gt;R4809,"Reported balance higher than expected (missing increase/OC build)","Reported balance lower than expected (missing decrease)"))))),""))</f>
        <v/>
      </c>
    </row>
    <row r="4810" customFormat="false" ht="15" hidden="false" customHeight="false" outlineLevel="0" collapsed="false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9"/>
      <c r="L4810" s="9"/>
      <c r="M4810" s="9"/>
      <c r="N4810" s="9"/>
      <c r="O4810" s="9"/>
      <c r="P4810" s="9"/>
      <c r="Q4810" s="9"/>
      <c r="R4810" s="9" t="str">
        <f aca="false">IF(AND(A4810&lt;&gt;"",ISNUMBER(Q4810),ISNUMBER(L4810)),ROUND(Q4810-IF(ISNUMBER(N4810),N4810,0)-IF(ISNUMBER(O4810),O4810,0)+IF(ISNUMBER(P4810),P4810,0),2),"")</f>
        <v/>
      </c>
      <c r="S4810" s="9" t="str">
        <f aca="false">IF(R4810="","",ROUND(L4810-R4810,2))</f>
        <v/>
      </c>
      <c r="T4810" s="8" t="str">
        <f aca="false">IF(A4810="","",IF(S4810="","BYPASS",IF(ABS(S4810)&lt;=Summary!$B$2,"PASS","FAIL")))</f>
        <v/>
      </c>
      <c r="U4810" s="8" t="str">
        <f aca="false">IF(T4810="BYPASS",IF(NOT(ISNUMBER(Q4810)),"PreV_ETB missing","End_tr_balance missing"),IF(T4810="FAIL",IF(AND(ISNUMBER(K4810),ISNUMBER(L4810),ABS(L4810-(K4810-IF(ISNUMBER(N4810),N4810,0)-IF(ISNUMBER(O4810),O4810,0)+IF(ISNUMBER(P4810),P4810,0)))&lt;=Summary!$B$2),"Passes using beginning_balance - PreV_ETB differs from beginning_balance",IF(AND(ISNUMBER(O4810),O4810&lt;0,ABS(L4810-(Q4810-IF(ISNUMBER(N4810),N4810,0)+IF(ISNUMBER(P4810),P4810,0)))&lt;=Summary!$B$2),"Negative realized loss not applied - check sign",IF(R4810&lt;0,"Principal paid exceeds prior balance",IF(AND(L4810&gt;Q4810,NOT(ISNUMBER(P4810))),"Balance increased but no Deferred_interest reported",IF(L4810&gt;R4810,"Reported balance higher than expected (missing increase/OC build)","Reported balance lower than expected (missing decrease)"))))),""))</f>
        <v/>
      </c>
    </row>
    <row r="4811" customFormat="false" ht="15" hidden="false" customHeight="false" outlineLevel="0" collapsed="false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9"/>
      <c r="L4811" s="9"/>
      <c r="M4811" s="9"/>
      <c r="N4811" s="9"/>
      <c r="O4811" s="9"/>
      <c r="P4811" s="9"/>
      <c r="Q4811" s="9"/>
      <c r="R4811" s="9" t="str">
        <f aca="false">IF(AND(A4811&lt;&gt;"",ISNUMBER(Q4811),ISNUMBER(L4811)),ROUND(Q4811-IF(ISNUMBER(N4811),N4811,0)-IF(ISNUMBER(O4811),O4811,0)+IF(ISNUMBER(P4811),P4811,0),2),"")</f>
        <v/>
      </c>
      <c r="S4811" s="9" t="str">
        <f aca="false">IF(R4811="","",ROUND(L4811-R4811,2))</f>
        <v/>
      </c>
      <c r="T4811" s="8" t="str">
        <f aca="false">IF(A4811="","",IF(S4811="","BYPASS",IF(ABS(S4811)&lt;=Summary!$B$2,"PASS","FAIL")))</f>
        <v/>
      </c>
      <c r="U4811" s="8" t="str">
        <f aca="false">IF(T4811="BYPASS",IF(NOT(ISNUMBER(Q4811)),"PreV_ETB missing","End_tr_balance missing"),IF(T4811="FAIL",IF(AND(ISNUMBER(K4811),ISNUMBER(L4811),ABS(L4811-(K4811-IF(ISNUMBER(N4811),N4811,0)-IF(ISNUMBER(O4811),O4811,0)+IF(ISNUMBER(P4811),P4811,0)))&lt;=Summary!$B$2),"Passes using beginning_balance - PreV_ETB differs from beginning_balance",IF(AND(ISNUMBER(O4811),O4811&lt;0,ABS(L4811-(Q4811-IF(ISNUMBER(N4811),N4811,0)+IF(ISNUMBER(P4811),P4811,0)))&lt;=Summary!$B$2),"Negative realized loss not applied - check sign",IF(R4811&lt;0,"Principal paid exceeds prior balance",IF(AND(L4811&gt;Q4811,NOT(ISNUMBER(P4811))),"Balance increased but no Deferred_interest reported",IF(L4811&gt;R4811,"Reported balance higher than expected (missing increase/OC build)","Reported balance lower than expected (missing decrease)"))))),""))</f>
        <v/>
      </c>
    </row>
    <row r="4812" customFormat="false" ht="15" hidden="false" customHeight="false" outlineLevel="0" collapsed="false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9"/>
      <c r="L4812" s="9"/>
      <c r="M4812" s="9"/>
      <c r="N4812" s="9"/>
      <c r="O4812" s="9"/>
      <c r="P4812" s="9"/>
      <c r="Q4812" s="9"/>
      <c r="R4812" s="9" t="str">
        <f aca="false">IF(AND(A4812&lt;&gt;"",ISNUMBER(Q4812),ISNUMBER(L4812)),ROUND(Q4812-IF(ISNUMBER(N4812),N4812,0)-IF(ISNUMBER(O4812),O4812,0)+IF(ISNUMBER(P4812),P4812,0),2),"")</f>
        <v/>
      </c>
      <c r="S4812" s="9" t="str">
        <f aca="false">IF(R4812="","",ROUND(L4812-R4812,2))</f>
        <v/>
      </c>
      <c r="T4812" s="8" t="str">
        <f aca="false">IF(A4812="","",IF(S4812="","BYPASS",IF(ABS(S4812)&lt;=Summary!$B$2,"PASS","FAIL")))</f>
        <v/>
      </c>
      <c r="U4812" s="8" t="str">
        <f aca="false">IF(T4812="BYPASS",IF(NOT(ISNUMBER(Q4812)),"PreV_ETB missing","End_tr_balance missing"),IF(T4812="FAIL",IF(AND(ISNUMBER(K4812),ISNUMBER(L4812),ABS(L4812-(K4812-IF(ISNUMBER(N4812),N4812,0)-IF(ISNUMBER(O4812),O4812,0)+IF(ISNUMBER(P4812),P4812,0)))&lt;=Summary!$B$2),"Passes using beginning_balance - PreV_ETB differs from beginning_balance",IF(AND(ISNUMBER(O4812),O4812&lt;0,ABS(L4812-(Q4812-IF(ISNUMBER(N4812),N4812,0)+IF(ISNUMBER(P4812),P4812,0)))&lt;=Summary!$B$2),"Negative realized loss not applied - check sign",IF(R4812&lt;0,"Principal paid exceeds prior balance",IF(AND(L4812&gt;Q4812,NOT(ISNUMBER(P4812))),"Balance increased but no Deferred_interest reported",IF(L4812&gt;R4812,"Reported balance higher than expected (missing increase/OC build)","Reported balance lower than expected (missing decrease)"))))),""))</f>
        <v/>
      </c>
    </row>
    <row r="4813" customFormat="false" ht="15" hidden="false" customHeight="false" outlineLevel="0" collapsed="false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9"/>
      <c r="L4813" s="9"/>
      <c r="M4813" s="9"/>
      <c r="N4813" s="9"/>
      <c r="O4813" s="9"/>
      <c r="P4813" s="9"/>
      <c r="Q4813" s="9"/>
      <c r="R4813" s="9" t="str">
        <f aca="false">IF(AND(A4813&lt;&gt;"",ISNUMBER(Q4813),ISNUMBER(L4813)),ROUND(Q4813-IF(ISNUMBER(N4813),N4813,0)-IF(ISNUMBER(O4813),O4813,0)+IF(ISNUMBER(P4813),P4813,0),2),"")</f>
        <v/>
      </c>
      <c r="S4813" s="9" t="str">
        <f aca="false">IF(R4813="","",ROUND(L4813-R4813,2))</f>
        <v/>
      </c>
      <c r="T4813" s="8" t="str">
        <f aca="false">IF(A4813="","",IF(S4813="","BYPASS",IF(ABS(S4813)&lt;=Summary!$B$2,"PASS","FAIL")))</f>
        <v/>
      </c>
      <c r="U4813" s="8" t="str">
        <f aca="false">IF(T4813="BYPASS",IF(NOT(ISNUMBER(Q4813)),"PreV_ETB missing","End_tr_balance missing"),IF(T4813="FAIL",IF(AND(ISNUMBER(K4813),ISNUMBER(L4813),ABS(L4813-(K4813-IF(ISNUMBER(N4813),N4813,0)-IF(ISNUMBER(O4813),O4813,0)+IF(ISNUMBER(P4813),P4813,0)))&lt;=Summary!$B$2),"Passes using beginning_balance - PreV_ETB differs from beginning_balance",IF(AND(ISNUMBER(O4813),O4813&lt;0,ABS(L4813-(Q4813-IF(ISNUMBER(N4813),N4813,0)+IF(ISNUMBER(P4813),P4813,0)))&lt;=Summary!$B$2),"Negative realized loss not applied - check sign",IF(R4813&lt;0,"Principal paid exceeds prior balance",IF(AND(L4813&gt;Q4813,NOT(ISNUMBER(P4813))),"Balance increased but no Deferred_interest reported",IF(L4813&gt;R4813,"Reported balance higher than expected (missing increase/OC build)","Reported balance lower than expected (missing decrease)"))))),""))</f>
        <v/>
      </c>
    </row>
    <row r="4814" customFormat="false" ht="15" hidden="false" customHeight="false" outlineLevel="0" collapsed="false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9"/>
      <c r="L4814" s="9"/>
      <c r="M4814" s="9"/>
      <c r="N4814" s="9"/>
      <c r="O4814" s="9"/>
      <c r="P4814" s="9"/>
      <c r="Q4814" s="9"/>
      <c r="R4814" s="9" t="str">
        <f aca="false">IF(AND(A4814&lt;&gt;"",ISNUMBER(Q4814),ISNUMBER(L4814)),ROUND(Q4814-IF(ISNUMBER(N4814),N4814,0)-IF(ISNUMBER(O4814),O4814,0)+IF(ISNUMBER(P4814),P4814,0),2),"")</f>
        <v/>
      </c>
      <c r="S4814" s="9" t="str">
        <f aca="false">IF(R4814="","",ROUND(L4814-R4814,2))</f>
        <v/>
      </c>
      <c r="T4814" s="8" t="str">
        <f aca="false">IF(A4814="","",IF(S4814="","BYPASS",IF(ABS(S4814)&lt;=Summary!$B$2,"PASS","FAIL")))</f>
        <v/>
      </c>
      <c r="U4814" s="8" t="str">
        <f aca="false">IF(T4814="BYPASS",IF(NOT(ISNUMBER(Q4814)),"PreV_ETB missing","End_tr_balance missing"),IF(T4814="FAIL",IF(AND(ISNUMBER(K4814),ISNUMBER(L4814),ABS(L4814-(K4814-IF(ISNUMBER(N4814),N4814,0)-IF(ISNUMBER(O4814),O4814,0)+IF(ISNUMBER(P4814),P4814,0)))&lt;=Summary!$B$2),"Passes using beginning_balance - PreV_ETB differs from beginning_balance",IF(AND(ISNUMBER(O4814),O4814&lt;0,ABS(L4814-(Q4814-IF(ISNUMBER(N4814),N4814,0)+IF(ISNUMBER(P4814),P4814,0)))&lt;=Summary!$B$2),"Negative realized loss not applied - check sign",IF(R4814&lt;0,"Principal paid exceeds prior balance",IF(AND(L4814&gt;Q4814,NOT(ISNUMBER(P4814))),"Balance increased but no Deferred_interest reported",IF(L4814&gt;R4814,"Reported balance higher than expected (missing increase/OC build)","Reported balance lower than expected (missing decrease)"))))),""))</f>
        <v/>
      </c>
    </row>
    <row r="4815" customFormat="false" ht="15" hidden="false" customHeight="false" outlineLevel="0" collapsed="false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9"/>
      <c r="L4815" s="9"/>
      <c r="M4815" s="9"/>
      <c r="N4815" s="9"/>
      <c r="O4815" s="9"/>
      <c r="P4815" s="9"/>
      <c r="Q4815" s="9"/>
      <c r="R4815" s="9" t="str">
        <f aca="false">IF(AND(A4815&lt;&gt;"",ISNUMBER(Q4815),ISNUMBER(L4815)),ROUND(Q4815-IF(ISNUMBER(N4815),N4815,0)-IF(ISNUMBER(O4815),O4815,0)+IF(ISNUMBER(P4815),P4815,0),2),"")</f>
        <v/>
      </c>
      <c r="S4815" s="9" t="str">
        <f aca="false">IF(R4815="","",ROUND(L4815-R4815,2))</f>
        <v/>
      </c>
      <c r="T4815" s="8" t="str">
        <f aca="false">IF(A4815="","",IF(S4815="","BYPASS",IF(ABS(S4815)&lt;=Summary!$B$2,"PASS","FAIL")))</f>
        <v/>
      </c>
      <c r="U4815" s="8" t="str">
        <f aca="false">IF(T4815="BYPASS",IF(NOT(ISNUMBER(Q4815)),"PreV_ETB missing","End_tr_balance missing"),IF(T4815="FAIL",IF(AND(ISNUMBER(K4815),ISNUMBER(L4815),ABS(L4815-(K4815-IF(ISNUMBER(N4815),N4815,0)-IF(ISNUMBER(O4815),O4815,0)+IF(ISNUMBER(P4815),P4815,0)))&lt;=Summary!$B$2),"Passes using beginning_balance - PreV_ETB differs from beginning_balance",IF(AND(ISNUMBER(O4815),O4815&lt;0,ABS(L4815-(Q4815-IF(ISNUMBER(N4815),N4815,0)+IF(ISNUMBER(P4815),P4815,0)))&lt;=Summary!$B$2),"Negative realized loss not applied - check sign",IF(R4815&lt;0,"Principal paid exceeds prior balance",IF(AND(L4815&gt;Q4815,NOT(ISNUMBER(P4815))),"Balance increased but no Deferred_interest reported",IF(L4815&gt;R4815,"Reported balance higher than expected (missing increase/OC build)","Reported balance lower than expected (missing decrease)"))))),""))</f>
        <v/>
      </c>
    </row>
    <row r="4816" customFormat="false" ht="15" hidden="false" customHeight="false" outlineLevel="0" collapsed="false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9"/>
      <c r="L4816" s="9"/>
      <c r="M4816" s="9"/>
      <c r="N4816" s="9"/>
      <c r="O4816" s="9"/>
      <c r="P4816" s="9"/>
      <c r="Q4816" s="9"/>
      <c r="R4816" s="9" t="str">
        <f aca="false">IF(AND(A4816&lt;&gt;"",ISNUMBER(Q4816),ISNUMBER(L4816)),ROUND(Q4816-IF(ISNUMBER(N4816),N4816,0)-IF(ISNUMBER(O4816),O4816,0)+IF(ISNUMBER(P4816),P4816,0),2),"")</f>
        <v/>
      </c>
      <c r="S4816" s="9" t="str">
        <f aca="false">IF(R4816="","",ROUND(L4816-R4816,2))</f>
        <v/>
      </c>
      <c r="T4816" s="8" t="str">
        <f aca="false">IF(A4816="","",IF(S4816="","BYPASS",IF(ABS(S4816)&lt;=Summary!$B$2,"PASS","FAIL")))</f>
        <v/>
      </c>
      <c r="U4816" s="8" t="str">
        <f aca="false">IF(T4816="BYPASS",IF(NOT(ISNUMBER(Q4816)),"PreV_ETB missing","End_tr_balance missing"),IF(T4816="FAIL",IF(AND(ISNUMBER(K4816),ISNUMBER(L4816),ABS(L4816-(K4816-IF(ISNUMBER(N4816),N4816,0)-IF(ISNUMBER(O4816),O4816,0)+IF(ISNUMBER(P4816),P4816,0)))&lt;=Summary!$B$2),"Passes using beginning_balance - PreV_ETB differs from beginning_balance",IF(AND(ISNUMBER(O4816),O4816&lt;0,ABS(L4816-(Q4816-IF(ISNUMBER(N4816),N4816,0)+IF(ISNUMBER(P4816),P4816,0)))&lt;=Summary!$B$2),"Negative realized loss not applied - check sign",IF(R4816&lt;0,"Principal paid exceeds prior balance",IF(AND(L4816&gt;Q4816,NOT(ISNUMBER(P4816))),"Balance increased but no Deferred_interest reported",IF(L4816&gt;R4816,"Reported balance higher than expected (missing increase/OC build)","Reported balance lower than expected (missing decrease)"))))),""))</f>
        <v/>
      </c>
    </row>
    <row r="4817" customFormat="false" ht="15" hidden="false" customHeight="false" outlineLevel="0" collapsed="false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9"/>
      <c r="L4817" s="9"/>
      <c r="M4817" s="9"/>
      <c r="N4817" s="9"/>
      <c r="O4817" s="9"/>
      <c r="P4817" s="9"/>
      <c r="Q4817" s="9"/>
      <c r="R4817" s="9" t="str">
        <f aca="false">IF(AND(A4817&lt;&gt;"",ISNUMBER(Q4817),ISNUMBER(L4817)),ROUND(Q4817-IF(ISNUMBER(N4817),N4817,0)-IF(ISNUMBER(O4817),O4817,0)+IF(ISNUMBER(P4817),P4817,0),2),"")</f>
        <v/>
      </c>
      <c r="S4817" s="9" t="str">
        <f aca="false">IF(R4817="","",ROUND(L4817-R4817,2))</f>
        <v/>
      </c>
      <c r="T4817" s="8" t="str">
        <f aca="false">IF(A4817="","",IF(S4817="","BYPASS",IF(ABS(S4817)&lt;=Summary!$B$2,"PASS","FAIL")))</f>
        <v/>
      </c>
      <c r="U4817" s="8" t="str">
        <f aca="false">IF(T4817="BYPASS",IF(NOT(ISNUMBER(Q4817)),"PreV_ETB missing","End_tr_balance missing"),IF(T4817="FAIL",IF(AND(ISNUMBER(K4817),ISNUMBER(L4817),ABS(L4817-(K4817-IF(ISNUMBER(N4817),N4817,0)-IF(ISNUMBER(O4817),O4817,0)+IF(ISNUMBER(P4817),P4817,0)))&lt;=Summary!$B$2),"Passes using beginning_balance - PreV_ETB differs from beginning_balance",IF(AND(ISNUMBER(O4817),O4817&lt;0,ABS(L4817-(Q4817-IF(ISNUMBER(N4817),N4817,0)+IF(ISNUMBER(P4817),P4817,0)))&lt;=Summary!$B$2),"Negative realized loss not applied - check sign",IF(R4817&lt;0,"Principal paid exceeds prior balance",IF(AND(L4817&gt;Q4817,NOT(ISNUMBER(P4817))),"Balance increased but no Deferred_interest reported",IF(L4817&gt;R4817,"Reported balance higher than expected (missing increase/OC build)","Reported balance lower than expected (missing decrease)"))))),""))</f>
        <v/>
      </c>
    </row>
    <row r="4818" customFormat="false" ht="15" hidden="false" customHeight="false" outlineLevel="0" collapsed="false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9"/>
      <c r="L4818" s="9"/>
      <c r="M4818" s="9"/>
      <c r="N4818" s="9"/>
      <c r="O4818" s="9"/>
      <c r="P4818" s="9"/>
      <c r="Q4818" s="9"/>
      <c r="R4818" s="9" t="str">
        <f aca="false">IF(AND(A4818&lt;&gt;"",ISNUMBER(Q4818),ISNUMBER(L4818)),ROUND(Q4818-IF(ISNUMBER(N4818),N4818,0)-IF(ISNUMBER(O4818),O4818,0)+IF(ISNUMBER(P4818),P4818,0),2),"")</f>
        <v/>
      </c>
      <c r="S4818" s="9" t="str">
        <f aca="false">IF(R4818="","",ROUND(L4818-R4818,2))</f>
        <v/>
      </c>
      <c r="T4818" s="8" t="str">
        <f aca="false">IF(A4818="","",IF(S4818="","BYPASS",IF(ABS(S4818)&lt;=Summary!$B$2,"PASS","FAIL")))</f>
        <v/>
      </c>
      <c r="U4818" s="8" t="str">
        <f aca="false">IF(T4818="BYPASS",IF(NOT(ISNUMBER(Q4818)),"PreV_ETB missing","End_tr_balance missing"),IF(T4818="FAIL",IF(AND(ISNUMBER(K4818),ISNUMBER(L4818),ABS(L4818-(K4818-IF(ISNUMBER(N4818),N4818,0)-IF(ISNUMBER(O4818),O4818,0)+IF(ISNUMBER(P4818),P4818,0)))&lt;=Summary!$B$2),"Passes using beginning_balance - PreV_ETB differs from beginning_balance",IF(AND(ISNUMBER(O4818),O4818&lt;0,ABS(L4818-(Q4818-IF(ISNUMBER(N4818),N4818,0)+IF(ISNUMBER(P4818),P4818,0)))&lt;=Summary!$B$2),"Negative realized loss not applied - check sign",IF(R4818&lt;0,"Principal paid exceeds prior balance",IF(AND(L4818&gt;Q4818,NOT(ISNUMBER(P4818))),"Balance increased but no Deferred_interest reported",IF(L4818&gt;R4818,"Reported balance higher than expected (missing increase/OC build)","Reported balance lower than expected (missing decrease)"))))),""))</f>
        <v/>
      </c>
    </row>
    <row r="4819" customFormat="false" ht="15" hidden="false" customHeight="false" outlineLevel="0" collapsed="false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9"/>
      <c r="L4819" s="9"/>
      <c r="M4819" s="9"/>
      <c r="N4819" s="9"/>
      <c r="O4819" s="9"/>
      <c r="P4819" s="9"/>
      <c r="Q4819" s="9"/>
      <c r="R4819" s="9" t="str">
        <f aca="false">IF(AND(A4819&lt;&gt;"",ISNUMBER(Q4819),ISNUMBER(L4819)),ROUND(Q4819-IF(ISNUMBER(N4819),N4819,0)-IF(ISNUMBER(O4819),O4819,0)+IF(ISNUMBER(P4819),P4819,0),2),"")</f>
        <v/>
      </c>
      <c r="S4819" s="9" t="str">
        <f aca="false">IF(R4819="","",ROUND(L4819-R4819,2))</f>
        <v/>
      </c>
      <c r="T4819" s="8" t="str">
        <f aca="false">IF(A4819="","",IF(S4819="","BYPASS",IF(ABS(S4819)&lt;=Summary!$B$2,"PASS","FAIL")))</f>
        <v/>
      </c>
      <c r="U4819" s="8" t="str">
        <f aca="false">IF(T4819="BYPASS",IF(NOT(ISNUMBER(Q4819)),"PreV_ETB missing","End_tr_balance missing"),IF(T4819="FAIL",IF(AND(ISNUMBER(K4819),ISNUMBER(L4819),ABS(L4819-(K4819-IF(ISNUMBER(N4819),N4819,0)-IF(ISNUMBER(O4819),O4819,0)+IF(ISNUMBER(P4819),P4819,0)))&lt;=Summary!$B$2),"Passes using beginning_balance - PreV_ETB differs from beginning_balance",IF(AND(ISNUMBER(O4819),O4819&lt;0,ABS(L4819-(Q4819-IF(ISNUMBER(N4819),N4819,0)+IF(ISNUMBER(P4819),P4819,0)))&lt;=Summary!$B$2),"Negative realized loss not applied - check sign",IF(R4819&lt;0,"Principal paid exceeds prior balance",IF(AND(L4819&gt;Q4819,NOT(ISNUMBER(P4819))),"Balance increased but no Deferred_interest reported",IF(L4819&gt;R4819,"Reported balance higher than expected (missing increase/OC build)","Reported balance lower than expected (missing decrease)"))))),""))</f>
        <v/>
      </c>
    </row>
    <row r="4820" customFormat="false" ht="15" hidden="false" customHeight="false" outlineLevel="0" collapsed="false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9"/>
      <c r="L4820" s="9"/>
      <c r="M4820" s="9"/>
      <c r="N4820" s="9"/>
      <c r="O4820" s="9"/>
      <c r="P4820" s="9"/>
      <c r="Q4820" s="9"/>
      <c r="R4820" s="9" t="str">
        <f aca="false">IF(AND(A4820&lt;&gt;"",ISNUMBER(Q4820),ISNUMBER(L4820)),ROUND(Q4820-IF(ISNUMBER(N4820),N4820,0)-IF(ISNUMBER(O4820),O4820,0)+IF(ISNUMBER(P4820),P4820,0),2),"")</f>
        <v/>
      </c>
      <c r="S4820" s="9" t="str">
        <f aca="false">IF(R4820="","",ROUND(L4820-R4820,2))</f>
        <v/>
      </c>
      <c r="T4820" s="8" t="str">
        <f aca="false">IF(A4820="","",IF(S4820="","BYPASS",IF(ABS(S4820)&lt;=Summary!$B$2,"PASS","FAIL")))</f>
        <v/>
      </c>
      <c r="U4820" s="8" t="str">
        <f aca="false">IF(T4820="BYPASS",IF(NOT(ISNUMBER(Q4820)),"PreV_ETB missing","End_tr_balance missing"),IF(T4820="FAIL",IF(AND(ISNUMBER(K4820),ISNUMBER(L4820),ABS(L4820-(K4820-IF(ISNUMBER(N4820),N4820,0)-IF(ISNUMBER(O4820),O4820,0)+IF(ISNUMBER(P4820),P4820,0)))&lt;=Summary!$B$2),"Passes using beginning_balance - PreV_ETB differs from beginning_balance",IF(AND(ISNUMBER(O4820),O4820&lt;0,ABS(L4820-(Q4820-IF(ISNUMBER(N4820),N4820,0)+IF(ISNUMBER(P4820),P4820,0)))&lt;=Summary!$B$2),"Negative realized loss not applied - check sign",IF(R4820&lt;0,"Principal paid exceeds prior balance",IF(AND(L4820&gt;Q4820,NOT(ISNUMBER(P4820))),"Balance increased but no Deferred_interest reported",IF(L4820&gt;R4820,"Reported balance higher than expected (missing increase/OC build)","Reported balance lower than expected (missing decrease)"))))),""))</f>
        <v/>
      </c>
    </row>
    <row r="4821" customFormat="false" ht="15" hidden="false" customHeight="false" outlineLevel="0" collapsed="false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9"/>
      <c r="L4821" s="9"/>
      <c r="M4821" s="9"/>
      <c r="N4821" s="9"/>
      <c r="O4821" s="9"/>
      <c r="P4821" s="9"/>
      <c r="Q4821" s="9"/>
      <c r="R4821" s="9" t="str">
        <f aca="false">IF(AND(A4821&lt;&gt;"",ISNUMBER(Q4821),ISNUMBER(L4821)),ROUND(Q4821-IF(ISNUMBER(N4821),N4821,0)-IF(ISNUMBER(O4821),O4821,0)+IF(ISNUMBER(P4821),P4821,0),2),"")</f>
        <v/>
      </c>
      <c r="S4821" s="9" t="str">
        <f aca="false">IF(R4821="","",ROUND(L4821-R4821,2))</f>
        <v/>
      </c>
      <c r="T4821" s="8" t="str">
        <f aca="false">IF(A4821="","",IF(S4821="","BYPASS",IF(ABS(S4821)&lt;=Summary!$B$2,"PASS","FAIL")))</f>
        <v/>
      </c>
      <c r="U4821" s="8" t="str">
        <f aca="false">IF(T4821="BYPASS",IF(NOT(ISNUMBER(Q4821)),"PreV_ETB missing","End_tr_balance missing"),IF(T4821="FAIL",IF(AND(ISNUMBER(K4821),ISNUMBER(L4821),ABS(L4821-(K4821-IF(ISNUMBER(N4821),N4821,0)-IF(ISNUMBER(O4821),O4821,0)+IF(ISNUMBER(P4821),P4821,0)))&lt;=Summary!$B$2),"Passes using beginning_balance - PreV_ETB differs from beginning_balance",IF(AND(ISNUMBER(O4821),O4821&lt;0,ABS(L4821-(Q4821-IF(ISNUMBER(N4821),N4821,0)+IF(ISNUMBER(P4821),P4821,0)))&lt;=Summary!$B$2),"Negative realized loss not applied - check sign",IF(R4821&lt;0,"Principal paid exceeds prior balance",IF(AND(L4821&gt;Q4821,NOT(ISNUMBER(P4821))),"Balance increased but no Deferred_interest reported",IF(L4821&gt;R4821,"Reported balance higher than expected (missing increase/OC build)","Reported balance lower than expected (missing decrease)"))))),""))</f>
        <v/>
      </c>
    </row>
    <row r="4822" customFormat="false" ht="15" hidden="false" customHeight="false" outlineLevel="0" collapsed="false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9"/>
      <c r="L4822" s="9"/>
      <c r="M4822" s="9"/>
      <c r="N4822" s="9"/>
      <c r="O4822" s="9"/>
      <c r="P4822" s="9"/>
      <c r="Q4822" s="9"/>
      <c r="R4822" s="9" t="str">
        <f aca="false">IF(AND(A4822&lt;&gt;"",ISNUMBER(Q4822),ISNUMBER(L4822)),ROUND(Q4822-IF(ISNUMBER(N4822),N4822,0)-IF(ISNUMBER(O4822),O4822,0)+IF(ISNUMBER(P4822),P4822,0),2),"")</f>
        <v/>
      </c>
      <c r="S4822" s="9" t="str">
        <f aca="false">IF(R4822="","",ROUND(L4822-R4822,2))</f>
        <v/>
      </c>
      <c r="T4822" s="8" t="str">
        <f aca="false">IF(A4822="","",IF(S4822="","BYPASS",IF(ABS(S4822)&lt;=Summary!$B$2,"PASS","FAIL")))</f>
        <v/>
      </c>
      <c r="U4822" s="8" t="str">
        <f aca="false">IF(T4822="BYPASS",IF(NOT(ISNUMBER(Q4822)),"PreV_ETB missing","End_tr_balance missing"),IF(T4822="FAIL",IF(AND(ISNUMBER(K4822),ISNUMBER(L4822),ABS(L4822-(K4822-IF(ISNUMBER(N4822),N4822,0)-IF(ISNUMBER(O4822),O4822,0)+IF(ISNUMBER(P4822),P4822,0)))&lt;=Summary!$B$2),"Passes using beginning_balance - PreV_ETB differs from beginning_balance",IF(AND(ISNUMBER(O4822),O4822&lt;0,ABS(L4822-(Q4822-IF(ISNUMBER(N4822),N4822,0)+IF(ISNUMBER(P4822),P4822,0)))&lt;=Summary!$B$2),"Negative realized loss not applied - check sign",IF(R4822&lt;0,"Principal paid exceeds prior balance",IF(AND(L4822&gt;Q4822,NOT(ISNUMBER(P4822))),"Balance increased but no Deferred_interest reported",IF(L4822&gt;R4822,"Reported balance higher than expected (missing increase/OC build)","Reported balance lower than expected (missing decrease)"))))),""))</f>
        <v/>
      </c>
    </row>
    <row r="4823" customFormat="false" ht="15" hidden="false" customHeight="false" outlineLevel="0" collapsed="false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9"/>
      <c r="L4823" s="9"/>
      <c r="M4823" s="9"/>
      <c r="N4823" s="9"/>
      <c r="O4823" s="9"/>
      <c r="P4823" s="9"/>
      <c r="Q4823" s="9"/>
      <c r="R4823" s="9" t="str">
        <f aca="false">IF(AND(A4823&lt;&gt;"",ISNUMBER(Q4823),ISNUMBER(L4823)),ROUND(Q4823-IF(ISNUMBER(N4823),N4823,0)-IF(ISNUMBER(O4823),O4823,0)+IF(ISNUMBER(P4823),P4823,0),2),"")</f>
        <v/>
      </c>
      <c r="S4823" s="9" t="str">
        <f aca="false">IF(R4823="","",ROUND(L4823-R4823,2))</f>
        <v/>
      </c>
      <c r="T4823" s="8" t="str">
        <f aca="false">IF(A4823="","",IF(S4823="","BYPASS",IF(ABS(S4823)&lt;=Summary!$B$2,"PASS","FAIL")))</f>
        <v/>
      </c>
      <c r="U4823" s="8" t="str">
        <f aca="false">IF(T4823="BYPASS",IF(NOT(ISNUMBER(Q4823)),"PreV_ETB missing","End_tr_balance missing"),IF(T4823="FAIL",IF(AND(ISNUMBER(K4823),ISNUMBER(L4823),ABS(L4823-(K4823-IF(ISNUMBER(N4823),N4823,0)-IF(ISNUMBER(O4823),O4823,0)+IF(ISNUMBER(P4823),P4823,0)))&lt;=Summary!$B$2),"Passes using beginning_balance - PreV_ETB differs from beginning_balance",IF(AND(ISNUMBER(O4823),O4823&lt;0,ABS(L4823-(Q4823-IF(ISNUMBER(N4823),N4823,0)+IF(ISNUMBER(P4823),P4823,0)))&lt;=Summary!$B$2),"Negative realized loss not applied - check sign",IF(R4823&lt;0,"Principal paid exceeds prior balance",IF(AND(L4823&gt;Q4823,NOT(ISNUMBER(P4823))),"Balance increased but no Deferred_interest reported",IF(L4823&gt;R4823,"Reported balance higher than expected (missing increase/OC build)","Reported balance lower than expected (missing decrease)"))))),""))</f>
        <v/>
      </c>
    </row>
    <row r="4824" customFormat="false" ht="15" hidden="false" customHeight="false" outlineLevel="0" collapsed="false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9"/>
      <c r="L4824" s="9"/>
      <c r="M4824" s="9"/>
      <c r="N4824" s="9"/>
      <c r="O4824" s="9"/>
      <c r="P4824" s="9"/>
      <c r="Q4824" s="9"/>
      <c r="R4824" s="9" t="str">
        <f aca="false">IF(AND(A4824&lt;&gt;"",ISNUMBER(Q4824),ISNUMBER(L4824)),ROUND(Q4824-IF(ISNUMBER(N4824),N4824,0)-IF(ISNUMBER(O4824),O4824,0)+IF(ISNUMBER(P4824),P4824,0),2),"")</f>
        <v/>
      </c>
      <c r="S4824" s="9" t="str">
        <f aca="false">IF(R4824="","",ROUND(L4824-R4824,2))</f>
        <v/>
      </c>
      <c r="T4824" s="8" t="str">
        <f aca="false">IF(A4824="","",IF(S4824="","BYPASS",IF(ABS(S4824)&lt;=Summary!$B$2,"PASS","FAIL")))</f>
        <v/>
      </c>
      <c r="U4824" s="8" t="str">
        <f aca="false">IF(T4824="BYPASS",IF(NOT(ISNUMBER(Q4824)),"PreV_ETB missing","End_tr_balance missing"),IF(T4824="FAIL",IF(AND(ISNUMBER(K4824),ISNUMBER(L4824),ABS(L4824-(K4824-IF(ISNUMBER(N4824),N4824,0)-IF(ISNUMBER(O4824),O4824,0)+IF(ISNUMBER(P4824),P4824,0)))&lt;=Summary!$B$2),"Passes using beginning_balance - PreV_ETB differs from beginning_balance",IF(AND(ISNUMBER(O4824),O4824&lt;0,ABS(L4824-(Q4824-IF(ISNUMBER(N4824),N4824,0)+IF(ISNUMBER(P4824),P4824,0)))&lt;=Summary!$B$2),"Negative realized loss not applied - check sign",IF(R4824&lt;0,"Principal paid exceeds prior balance",IF(AND(L4824&gt;Q4824,NOT(ISNUMBER(P4824))),"Balance increased but no Deferred_interest reported",IF(L4824&gt;R4824,"Reported balance higher than expected (missing increase/OC build)","Reported balance lower than expected (missing decrease)"))))),""))</f>
        <v/>
      </c>
    </row>
    <row r="4825" customFormat="false" ht="15" hidden="false" customHeight="false" outlineLevel="0" collapsed="false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9"/>
      <c r="L4825" s="9"/>
      <c r="M4825" s="9"/>
      <c r="N4825" s="9"/>
      <c r="O4825" s="9"/>
      <c r="P4825" s="9"/>
      <c r="Q4825" s="9"/>
      <c r="R4825" s="9" t="str">
        <f aca="false">IF(AND(A4825&lt;&gt;"",ISNUMBER(Q4825),ISNUMBER(L4825)),ROUND(Q4825-IF(ISNUMBER(N4825),N4825,0)-IF(ISNUMBER(O4825),O4825,0)+IF(ISNUMBER(P4825),P4825,0),2),"")</f>
        <v/>
      </c>
      <c r="S4825" s="9" t="str">
        <f aca="false">IF(R4825="","",ROUND(L4825-R4825,2))</f>
        <v/>
      </c>
      <c r="T4825" s="8" t="str">
        <f aca="false">IF(A4825="","",IF(S4825="","BYPASS",IF(ABS(S4825)&lt;=Summary!$B$2,"PASS","FAIL")))</f>
        <v/>
      </c>
      <c r="U4825" s="8" t="str">
        <f aca="false">IF(T4825="BYPASS",IF(NOT(ISNUMBER(Q4825)),"PreV_ETB missing","End_tr_balance missing"),IF(T4825="FAIL",IF(AND(ISNUMBER(K4825),ISNUMBER(L4825),ABS(L4825-(K4825-IF(ISNUMBER(N4825),N4825,0)-IF(ISNUMBER(O4825),O4825,0)+IF(ISNUMBER(P4825),P4825,0)))&lt;=Summary!$B$2),"Passes using beginning_balance - PreV_ETB differs from beginning_balance",IF(AND(ISNUMBER(O4825),O4825&lt;0,ABS(L4825-(Q4825-IF(ISNUMBER(N4825),N4825,0)+IF(ISNUMBER(P4825),P4825,0)))&lt;=Summary!$B$2),"Negative realized loss not applied - check sign",IF(R4825&lt;0,"Principal paid exceeds prior balance",IF(AND(L4825&gt;Q4825,NOT(ISNUMBER(P4825))),"Balance increased but no Deferred_interest reported",IF(L4825&gt;R4825,"Reported balance higher than expected (missing increase/OC build)","Reported balance lower than expected (missing decrease)"))))),""))</f>
        <v/>
      </c>
    </row>
    <row r="4826" customFormat="false" ht="15" hidden="false" customHeight="false" outlineLevel="0" collapsed="false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9"/>
      <c r="L4826" s="9"/>
      <c r="M4826" s="9"/>
      <c r="N4826" s="9"/>
      <c r="O4826" s="9"/>
      <c r="P4826" s="9"/>
      <c r="Q4826" s="9"/>
      <c r="R4826" s="9" t="str">
        <f aca="false">IF(AND(A4826&lt;&gt;"",ISNUMBER(Q4826),ISNUMBER(L4826)),ROUND(Q4826-IF(ISNUMBER(N4826),N4826,0)-IF(ISNUMBER(O4826),O4826,0)+IF(ISNUMBER(P4826),P4826,0),2),"")</f>
        <v/>
      </c>
      <c r="S4826" s="9" t="str">
        <f aca="false">IF(R4826="","",ROUND(L4826-R4826,2))</f>
        <v/>
      </c>
      <c r="T4826" s="8" t="str">
        <f aca="false">IF(A4826="","",IF(S4826="","BYPASS",IF(ABS(S4826)&lt;=Summary!$B$2,"PASS","FAIL")))</f>
        <v/>
      </c>
      <c r="U4826" s="8" t="str">
        <f aca="false">IF(T4826="BYPASS",IF(NOT(ISNUMBER(Q4826)),"PreV_ETB missing","End_tr_balance missing"),IF(T4826="FAIL",IF(AND(ISNUMBER(K4826),ISNUMBER(L4826),ABS(L4826-(K4826-IF(ISNUMBER(N4826),N4826,0)-IF(ISNUMBER(O4826),O4826,0)+IF(ISNUMBER(P4826),P4826,0)))&lt;=Summary!$B$2),"Passes using beginning_balance - PreV_ETB differs from beginning_balance",IF(AND(ISNUMBER(O4826),O4826&lt;0,ABS(L4826-(Q4826-IF(ISNUMBER(N4826),N4826,0)+IF(ISNUMBER(P4826),P4826,0)))&lt;=Summary!$B$2),"Negative realized loss not applied - check sign",IF(R4826&lt;0,"Principal paid exceeds prior balance",IF(AND(L4826&gt;Q4826,NOT(ISNUMBER(P4826))),"Balance increased but no Deferred_interest reported",IF(L4826&gt;R4826,"Reported balance higher than expected (missing increase/OC build)","Reported balance lower than expected (missing decrease)"))))),""))</f>
        <v/>
      </c>
    </row>
    <row r="4827" customFormat="false" ht="15" hidden="false" customHeight="false" outlineLevel="0" collapsed="false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9"/>
      <c r="L4827" s="9"/>
      <c r="M4827" s="9"/>
      <c r="N4827" s="9"/>
      <c r="O4827" s="9"/>
      <c r="P4827" s="9"/>
      <c r="Q4827" s="9"/>
      <c r="R4827" s="9" t="str">
        <f aca="false">IF(AND(A4827&lt;&gt;"",ISNUMBER(Q4827),ISNUMBER(L4827)),ROUND(Q4827-IF(ISNUMBER(N4827),N4827,0)-IF(ISNUMBER(O4827),O4827,0)+IF(ISNUMBER(P4827),P4827,0),2),"")</f>
        <v/>
      </c>
      <c r="S4827" s="9" t="str">
        <f aca="false">IF(R4827="","",ROUND(L4827-R4827,2))</f>
        <v/>
      </c>
      <c r="T4827" s="8" t="str">
        <f aca="false">IF(A4827="","",IF(S4827="","BYPASS",IF(ABS(S4827)&lt;=Summary!$B$2,"PASS","FAIL")))</f>
        <v/>
      </c>
      <c r="U4827" s="8" t="str">
        <f aca="false">IF(T4827="BYPASS",IF(NOT(ISNUMBER(Q4827)),"PreV_ETB missing","End_tr_balance missing"),IF(T4827="FAIL",IF(AND(ISNUMBER(K4827),ISNUMBER(L4827),ABS(L4827-(K4827-IF(ISNUMBER(N4827),N4827,0)-IF(ISNUMBER(O4827),O4827,0)+IF(ISNUMBER(P4827),P4827,0)))&lt;=Summary!$B$2),"Passes using beginning_balance - PreV_ETB differs from beginning_balance",IF(AND(ISNUMBER(O4827),O4827&lt;0,ABS(L4827-(Q4827-IF(ISNUMBER(N4827),N4827,0)+IF(ISNUMBER(P4827),P4827,0)))&lt;=Summary!$B$2),"Negative realized loss not applied - check sign",IF(R4827&lt;0,"Principal paid exceeds prior balance",IF(AND(L4827&gt;Q4827,NOT(ISNUMBER(P4827))),"Balance increased but no Deferred_interest reported",IF(L4827&gt;R4827,"Reported balance higher than expected (missing increase/OC build)","Reported balance lower than expected (missing decrease)"))))),""))</f>
        <v/>
      </c>
    </row>
    <row r="4828" customFormat="false" ht="15" hidden="false" customHeight="false" outlineLevel="0" collapsed="false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9"/>
      <c r="L4828" s="9"/>
      <c r="M4828" s="9"/>
      <c r="N4828" s="9"/>
      <c r="O4828" s="9"/>
      <c r="P4828" s="9"/>
      <c r="Q4828" s="9"/>
      <c r="R4828" s="9" t="str">
        <f aca="false">IF(AND(A4828&lt;&gt;"",ISNUMBER(Q4828),ISNUMBER(L4828)),ROUND(Q4828-IF(ISNUMBER(N4828),N4828,0)-IF(ISNUMBER(O4828),O4828,0)+IF(ISNUMBER(P4828),P4828,0),2),"")</f>
        <v/>
      </c>
      <c r="S4828" s="9" t="str">
        <f aca="false">IF(R4828="","",ROUND(L4828-R4828,2))</f>
        <v/>
      </c>
      <c r="T4828" s="8" t="str">
        <f aca="false">IF(A4828="","",IF(S4828="","BYPASS",IF(ABS(S4828)&lt;=Summary!$B$2,"PASS","FAIL")))</f>
        <v/>
      </c>
      <c r="U4828" s="8" t="str">
        <f aca="false">IF(T4828="BYPASS",IF(NOT(ISNUMBER(Q4828)),"PreV_ETB missing","End_tr_balance missing"),IF(T4828="FAIL",IF(AND(ISNUMBER(K4828),ISNUMBER(L4828),ABS(L4828-(K4828-IF(ISNUMBER(N4828),N4828,0)-IF(ISNUMBER(O4828),O4828,0)+IF(ISNUMBER(P4828),P4828,0)))&lt;=Summary!$B$2),"Passes using beginning_balance - PreV_ETB differs from beginning_balance",IF(AND(ISNUMBER(O4828),O4828&lt;0,ABS(L4828-(Q4828-IF(ISNUMBER(N4828),N4828,0)+IF(ISNUMBER(P4828),P4828,0)))&lt;=Summary!$B$2),"Negative realized loss not applied - check sign",IF(R4828&lt;0,"Principal paid exceeds prior balance",IF(AND(L4828&gt;Q4828,NOT(ISNUMBER(P4828))),"Balance increased but no Deferred_interest reported",IF(L4828&gt;R4828,"Reported balance higher than expected (missing increase/OC build)","Reported balance lower than expected (missing decrease)"))))),""))</f>
        <v/>
      </c>
    </row>
    <row r="4829" customFormat="false" ht="15" hidden="false" customHeight="false" outlineLevel="0" collapsed="false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9"/>
      <c r="L4829" s="9"/>
      <c r="M4829" s="9"/>
      <c r="N4829" s="9"/>
      <c r="O4829" s="9"/>
      <c r="P4829" s="9"/>
      <c r="Q4829" s="9"/>
      <c r="R4829" s="9" t="str">
        <f aca="false">IF(AND(A4829&lt;&gt;"",ISNUMBER(Q4829),ISNUMBER(L4829)),ROUND(Q4829-IF(ISNUMBER(N4829),N4829,0)-IF(ISNUMBER(O4829),O4829,0)+IF(ISNUMBER(P4829),P4829,0),2),"")</f>
        <v/>
      </c>
      <c r="S4829" s="9" t="str">
        <f aca="false">IF(R4829="","",ROUND(L4829-R4829,2))</f>
        <v/>
      </c>
      <c r="T4829" s="8" t="str">
        <f aca="false">IF(A4829="","",IF(S4829="","BYPASS",IF(ABS(S4829)&lt;=Summary!$B$2,"PASS","FAIL")))</f>
        <v/>
      </c>
      <c r="U4829" s="8" t="str">
        <f aca="false">IF(T4829="BYPASS",IF(NOT(ISNUMBER(Q4829)),"PreV_ETB missing","End_tr_balance missing"),IF(T4829="FAIL",IF(AND(ISNUMBER(K4829),ISNUMBER(L4829),ABS(L4829-(K4829-IF(ISNUMBER(N4829),N4829,0)-IF(ISNUMBER(O4829),O4829,0)+IF(ISNUMBER(P4829),P4829,0)))&lt;=Summary!$B$2),"Passes using beginning_balance - PreV_ETB differs from beginning_balance",IF(AND(ISNUMBER(O4829),O4829&lt;0,ABS(L4829-(Q4829-IF(ISNUMBER(N4829),N4829,0)+IF(ISNUMBER(P4829),P4829,0)))&lt;=Summary!$B$2),"Negative realized loss not applied - check sign",IF(R4829&lt;0,"Principal paid exceeds prior balance",IF(AND(L4829&gt;Q4829,NOT(ISNUMBER(P4829))),"Balance increased but no Deferred_interest reported",IF(L4829&gt;R4829,"Reported balance higher than expected (missing increase/OC build)","Reported balance lower than expected (missing decrease)"))))),""))</f>
        <v/>
      </c>
    </row>
    <row r="4830" customFormat="false" ht="15" hidden="false" customHeight="false" outlineLevel="0" collapsed="false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9"/>
      <c r="L4830" s="9"/>
      <c r="M4830" s="9"/>
      <c r="N4830" s="9"/>
      <c r="O4830" s="9"/>
      <c r="P4830" s="9"/>
      <c r="Q4830" s="9"/>
      <c r="R4830" s="9" t="str">
        <f aca="false">IF(AND(A4830&lt;&gt;"",ISNUMBER(Q4830),ISNUMBER(L4830)),ROUND(Q4830-IF(ISNUMBER(N4830),N4830,0)-IF(ISNUMBER(O4830),O4830,0)+IF(ISNUMBER(P4830),P4830,0),2),"")</f>
        <v/>
      </c>
      <c r="S4830" s="9" t="str">
        <f aca="false">IF(R4830="","",ROUND(L4830-R4830,2))</f>
        <v/>
      </c>
      <c r="T4830" s="8" t="str">
        <f aca="false">IF(A4830="","",IF(S4830="","BYPASS",IF(ABS(S4830)&lt;=Summary!$B$2,"PASS","FAIL")))</f>
        <v/>
      </c>
      <c r="U4830" s="8" t="str">
        <f aca="false">IF(T4830="BYPASS",IF(NOT(ISNUMBER(Q4830)),"PreV_ETB missing","End_tr_balance missing"),IF(T4830="FAIL",IF(AND(ISNUMBER(K4830),ISNUMBER(L4830),ABS(L4830-(K4830-IF(ISNUMBER(N4830),N4830,0)-IF(ISNUMBER(O4830),O4830,0)+IF(ISNUMBER(P4830),P4830,0)))&lt;=Summary!$B$2),"Passes using beginning_balance - PreV_ETB differs from beginning_balance",IF(AND(ISNUMBER(O4830),O4830&lt;0,ABS(L4830-(Q4830-IF(ISNUMBER(N4830),N4830,0)+IF(ISNUMBER(P4830),P4830,0)))&lt;=Summary!$B$2),"Negative realized loss not applied - check sign",IF(R4830&lt;0,"Principal paid exceeds prior balance",IF(AND(L4830&gt;Q4830,NOT(ISNUMBER(P4830))),"Balance increased but no Deferred_interest reported",IF(L4830&gt;R4830,"Reported balance higher than expected (missing increase/OC build)","Reported balance lower than expected (missing decrease)"))))),""))</f>
        <v/>
      </c>
    </row>
    <row r="4831" customFormat="false" ht="15" hidden="false" customHeight="false" outlineLevel="0" collapsed="false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9"/>
      <c r="L4831" s="9"/>
      <c r="M4831" s="9"/>
      <c r="N4831" s="9"/>
      <c r="O4831" s="9"/>
      <c r="P4831" s="9"/>
      <c r="Q4831" s="9"/>
      <c r="R4831" s="9" t="str">
        <f aca="false">IF(AND(A4831&lt;&gt;"",ISNUMBER(Q4831),ISNUMBER(L4831)),ROUND(Q4831-IF(ISNUMBER(N4831),N4831,0)-IF(ISNUMBER(O4831),O4831,0)+IF(ISNUMBER(P4831),P4831,0),2),"")</f>
        <v/>
      </c>
      <c r="S4831" s="9" t="str">
        <f aca="false">IF(R4831="","",ROUND(L4831-R4831,2))</f>
        <v/>
      </c>
      <c r="T4831" s="8" t="str">
        <f aca="false">IF(A4831="","",IF(S4831="","BYPASS",IF(ABS(S4831)&lt;=Summary!$B$2,"PASS","FAIL")))</f>
        <v/>
      </c>
      <c r="U4831" s="8" t="str">
        <f aca="false">IF(T4831="BYPASS",IF(NOT(ISNUMBER(Q4831)),"PreV_ETB missing","End_tr_balance missing"),IF(T4831="FAIL",IF(AND(ISNUMBER(K4831),ISNUMBER(L4831),ABS(L4831-(K4831-IF(ISNUMBER(N4831),N4831,0)-IF(ISNUMBER(O4831),O4831,0)+IF(ISNUMBER(P4831),P4831,0)))&lt;=Summary!$B$2),"Passes using beginning_balance - PreV_ETB differs from beginning_balance",IF(AND(ISNUMBER(O4831),O4831&lt;0,ABS(L4831-(Q4831-IF(ISNUMBER(N4831),N4831,0)+IF(ISNUMBER(P4831),P4831,0)))&lt;=Summary!$B$2),"Negative realized loss not applied - check sign",IF(R4831&lt;0,"Principal paid exceeds prior balance",IF(AND(L4831&gt;Q4831,NOT(ISNUMBER(P4831))),"Balance increased but no Deferred_interest reported",IF(L4831&gt;R4831,"Reported balance higher than expected (missing increase/OC build)","Reported balance lower than expected (missing decrease)"))))),""))</f>
        <v/>
      </c>
    </row>
    <row r="4832" customFormat="false" ht="15" hidden="false" customHeight="false" outlineLevel="0" collapsed="false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9"/>
      <c r="L4832" s="9"/>
      <c r="M4832" s="9"/>
      <c r="N4832" s="9"/>
      <c r="O4832" s="9"/>
      <c r="P4832" s="9"/>
      <c r="Q4832" s="9"/>
      <c r="R4832" s="9" t="str">
        <f aca="false">IF(AND(A4832&lt;&gt;"",ISNUMBER(Q4832),ISNUMBER(L4832)),ROUND(Q4832-IF(ISNUMBER(N4832),N4832,0)-IF(ISNUMBER(O4832),O4832,0)+IF(ISNUMBER(P4832),P4832,0),2),"")</f>
        <v/>
      </c>
      <c r="S4832" s="9" t="str">
        <f aca="false">IF(R4832="","",ROUND(L4832-R4832,2))</f>
        <v/>
      </c>
      <c r="T4832" s="8" t="str">
        <f aca="false">IF(A4832="","",IF(S4832="","BYPASS",IF(ABS(S4832)&lt;=Summary!$B$2,"PASS","FAIL")))</f>
        <v/>
      </c>
      <c r="U4832" s="8" t="str">
        <f aca="false">IF(T4832="BYPASS",IF(NOT(ISNUMBER(Q4832)),"PreV_ETB missing","End_tr_balance missing"),IF(T4832="FAIL",IF(AND(ISNUMBER(K4832),ISNUMBER(L4832),ABS(L4832-(K4832-IF(ISNUMBER(N4832),N4832,0)-IF(ISNUMBER(O4832),O4832,0)+IF(ISNUMBER(P4832),P4832,0)))&lt;=Summary!$B$2),"Passes using beginning_balance - PreV_ETB differs from beginning_balance",IF(AND(ISNUMBER(O4832),O4832&lt;0,ABS(L4832-(Q4832-IF(ISNUMBER(N4832),N4832,0)+IF(ISNUMBER(P4832),P4832,0)))&lt;=Summary!$B$2),"Negative realized loss not applied - check sign",IF(R4832&lt;0,"Principal paid exceeds prior balance",IF(AND(L4832&gt;Q4832,NOT(ISNUMBER(P4832))),"Balance increased but no Deferred_interest reported",IF(L4832&gt;R4832,"Reported balance higher than expected (missing increase/OC build)","Reported balance lower than expected (missing decrease)"))))),""))</f>
        <v/>
      </c>
    </row>
    <row r="4833" customFormat="false" ht="15" hidden="false" customHeight="false" outlineLevel="0" collapsed="false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9"/>
      <c r="L4833" s="9"/>
      <c r="M4833" s="9"/>
      <c r="N4833" s="9"/>
      <c r="O4833" s="9"/>
      <c r="P4833" s="9"/>
      <c r="Q4833" s="9"/>
      <c r="R4833" s="9" t="str">
        <f aca="false">IF(AND(A4833&lt;&gt;"",ISNUMBER(Q4833),ISNUMBER(L4833)),ROUND(Q4833-IF(ISNUMBER(N4833),N4833,0)-IF(ISNUMBER(O4833),O4833,0)+IF(ISNUMBER(P4833),P4833,0),2),"")</f>
        <v/>
      </c>
      <c r="S4833" s="9" t="str">
        <f aca="false">IF(R4833="","",ROUND(L4833-R4833,2))</f>
        <v/>
      </c>
      <c r="T4833" s="8" t="str">
        <f aca="false">IF(A4833="","",IF(S4833="","BYPASS",IF(ABS(S4833)&lt;=Summary!$B$2,"PASS","FAIL")))</f>
        <v/>
      </c>
      <c r="U4833" s="8" t="str">
        <f aca="false">IF(T4833="BYPASS",IF(NOT(ISNUMBER(Q4833)),"PreV_ETB missing","End_tr_balance missing"),IF(T4833="FAIL",IF(AND(ISNUMBER(K4833),ISNUMBER(L4833),ABS(L4833-(K4833-IF(ISNUMBER(N4833),N4833,0)-IF(ISNUMBER(O4833),O4833,0)+IF(ISNUMBER(P4833),P4833,0)))&lt;=Summary!$B$2),"Passes using beginning_balance - PreV_ETB differs from beginning_balance",IF(AND(ISNUMBER(O4833),O4833&lt;0,ABS(L4833-(Q4833-IF(ISNUMBER(N4833),N4833,0)+IF(ISNUMBER(P4833),P4833,0)))&lt;=Summary!$B$2),"Negative realized loss not applied - check sign",IF(R4833&lt;0,"Principal paid exceeds prior balance",IF(AND(L4833&gt;Q4833,NOT(ISNUMBER(P4833))),"Balance increased but no Deferred_interest reported",IF(L4833&gt;R4833,"Reported balance higher than expected (missing increase/OC build)","Reported balance lower than expected (missing decrease)"))))),""))</f>
        <v/>
      </c>
    </row>
    <row r="4834" customFormat="false" ht="15" hidden="false" customHeight="false" outlineLevel="0" collapsed="false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9"/>
      <c r="L4834" s="9"/>
      <c r="M4834" s="9"/>
      <c r="N4834" s="9"/>
      <c r="O4834" s="9"/>
      <c r="P4834" s="9"/>
      <c r="Q4834" s="9"/>
      <c r="R4834" s="9" t="str">
        <f aca="false">IF(AND(A4834&lt;&gt;"",ISNUMBER(Q4834),ISNUMBER(L4834)),ROUND(Q4834-IF(ISNUMBER(N4834),N4834,0)-IF(ISNUMBER(O4834),O4834,0)+IF(ISNUMBER(P4834),P4834,0),2),"")</f>
        <v/>
      </c>
      <c r="S4834" s="9" t="str">
        <f aca="false">IF(R4834="","",ROUND(L4834-R4834,2))</f>
        <v/>
      </c>
      <c r="T4834" s="8" t="str">
        <f aca="false">IF(A4834="","",IF(S4834="","BYPASS",IF(ABS(S4834)&lt;=Summary!$B$2,"PASS","FAIL")))</f>
        <v/>
      </c>
      <c r="U4834" s="8" t="str">
        <f aca="false">IF(T4834="BYPASS",IF(NOT(ISNUMBER(Q4834)),"PreV_ETB missing","End_tr_balance missing"),IF(T4834="FAIL",IF(AND(ISNUMBER(K4834),ISNUMBER(L4834),ABS(L4834-(K4834-IF(ISNUMBER(N4834),N4834,0)-IF(ISNUMBER(O4834),O4834,0)+IF(ISNUMBER(P4834),P4834,0)))&lt;=Summary!$B$2),"Passes using beginning_balance - PreV_ETB differs from beginning_balance",IF(AND(ISNUMBER(O4834),O4834&lt;0,ABS(L4834-(Q4834-IF(ISNUMBER(N4834),N4834,0)+IF(ISNUMBER(P4834),P4834,0)))&lt;=Summary!$B$2),"Negative realized loss not applied - check sign",IF(R4834&lt;0,"Principal paid exceeds prior balance",IF(AND(L4834&gt;Q4834,NOT(ISNUMBER(P4834))),"Balance increased but no Deferred_interest reported",IF(L4834&gt;R4834,"Reported balance higher than expected (missing increase/OC build)","Reported balance lower than expected (missing decrease)"))))),""))</f>
        <v/>
      </c>
    </row>
    <row r="4835" customFormat="false" ht="15" hidden="false" customHeight="false" outlineLevel="0" collapsed="false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9"/>
      <c r="L4835" s="9"/>
      <c r="M4835" s="9"/>
      <c r="N4835" s="9"/>
      <c r="O4835" s="9"/>
      <c r="P4835" s="9"/>
      <c r="Q4835" s="9"/>
      <c r="R4835" s="9" t="str">
        <f aca="false">IF(AND(A4835&lt;&gt;"",ISNUMBER(Q4835),ISNUMBER(L4835)),ROUND(Q4835-IF(ISNUMBER(N4835),N4835,0)-IF(ISNUMBER(O4835),O4835,0)+IF(ISNUMBER(P4835),P4835,0),2),"")</f>
        <v/>
      </c>
      <c r="S4835" s="9" t="str">
        <f aca="false">IF(R4835="","",ROUND(L4835-R4835,2))</f>
        <v/>
      </c>
      <c r="T4835" s="8" t="str">
        <f aca="false">IF(A4835="","",IF(S4835="","BYPASS",IF(ABS(S4835)&lt;=Summary!$B$2,"PASS","FAIL")))</f>
        <v/>
      </c>
      <c r="U4835" s="8" t="str">
        <f aca="false">IF(T4835="BYPASS",IF(NOT(ISNUMBER(Q4835)),"PreV_ETB missing","End_tr_balance missing"),IF(T4835="FAIL",IF(AND(ISNUMBER(K4835),ISNUMBER(L4835),ABS(L4835-(K4835-IF(ISNUMBER(N4835),N4835,0)-IF(ISNUMBER(O4835),O4835,0)+IF(ISNUMBER(P4835),P4835,0)))&lt;=Summary!$B$2),"Passes using beginning_balance - PreV_ETB differs from beginning_balance",IF(AND(ISNUMBER(O4835),O4835&lt;0,ABS(L4835-(Q4835-IF(ISNUMBER(N4835),N4835,0)+IF(ISNUMBER(P4835),P4835,0)))&lt;=Summary!$B$2),"Negative realized loss not applied - check sign",IF(R4835&lt;0,"Principal paid exceeds prior balance",IF(AND(L4835&gt;Q4835,NOT(ISNUMBER(P4835))),"Balance increased but no Deferred_interest reported",IF(L4835&gt;R4835,"Reported balance higher than expected (missing increase/OC build)","Reported balance lower than expected (missing decrease)"))))),""))</f>
        <v/>
      </c>
    </row>
    <row r="4836" customFormat="false" ht="15" hidden="false" customHeight="false" outlineLevel="0" collapsed="false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9"/>
      <c r="L4836" s="9"/>
      <c r="M4836" s="9"/>
      <c r="N4836" s="9"/>
      <c r="O4836" s="9"/>
      <c r="P4836" s="9"/>
      <c r="Q4836" s="9"/>
      <c r="R4836" s="9" t="str">
        <f aca="false">IF(AND(A4836&lt;&gt;"",ISNUMBER(Q4836),ISNUMBER(L4836)),ROUND(Q4836-IF(ISNUMBER(N4836),N4836,0)-IF(ISNUMBER(O4836),O4836,0)+IF(ISNUMBER(P4836),P4836,0),2),"")</f>
        <v/>
      </c>
      <c r="S4836" s="9" t="str">
        <f aca="false">IF(R4836="","",ROUND(L4836-R4836,2))</f>
        <v/>
      </c>
      <c r="T4836" s="8" t="str">
        <f aca="false">IF(A4836="","",IF(S4836="","BYPASS",IF(ABS(S4836)&lt;=Summary!$B$2,"PASS","FAIL")))</f>
        <v/>
      </c>
      <c r="U4836" s="8" t="str">
        <f aca="false">IF(T4836="BYPASS",IF(NOT(ISNUMBER(Q4836)),"PreV_ETB missing","End_tr_balance missing"),IF(T4836="FAIL",IF(AND(ISNUMBER(K4836),ISNUMBER(L4836),ABS(L4836-(K4836-IF(ISNUMBER(N4836),N4836,0)-IF(ISNUMBER(O4836),O4836,0)+IF(ISNUMBER(P4836),P4836,0)))&lt;=Summary!$B$2),"Passes using beginning_balance - PreV_ETB differs from beginning_balance",IF(AND(ISNUMBER(O4836),O4836&lt;0,ABS(L4836-(Q4836-IF(ISNUMBER(N4836),N4836,0)+IF(ISNUMBER(P4836),P4836,0)))&lt;=Summary!$B$2),"Negative realized loss not applied - check sign",IF(R4836&lt;0,"Principal paid exceeds prior balance",IF(AND(L4836&gt;Q4836,NOT(ISNUMBER(P4836))),"Balance increased but no Deferred_interest reported",IF(L4836&gt;R4836,"Reported balance higher than expected (missing increase/OC build)","Reported balance lower than expected (missing decrease)"))))),""))</f>
        <v/>
      </c>
    </row>
    <row r="4837" customFormat="false" ht="15" hidden="false" customHeight="false" outlineLevel="0" collapsed="false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9"/>
      <c r="L4837" s="9"/>
      <c r="M4837" s="9"/>
      <c r="N4837" s="9"/>
      <c r="O4837" s="9"/>
      <c r="P4837" s="9"/>
      <c r="Q4837" s="9"/>
      <c r="R4837" s="9" t="str">
        <f aca="false">IF(AND(A4837&lt;&gt;"",ISNUMBER(Q4837),ISNUMBER(L4837)),ROUND(Q4837-IF(ISNUMBER(N4837),N4837,0)-IF(ISNUMBER(O4837),O4837,0)+IF(ISNUMBER(P4837),P4837,0),2),"")</f>
        <v/>
      </c>
      <c r="S4837" s="9" t="str">
        <f aca="false">IF(R4837="","",ROUND(L4837-R4837,2))</f>
        <v/>
      </c>
      <c r="T4837" s="8" t="str">
        <f aca="false">IF(A4837="","",IF(S4837="","BYPASS",IF(ABS(S4837)&lt;=Summary!$B$2,"PASS","FAIL")))</f>
        <v/>
      </c>
      <c r="U4837" s="8" t="str">
        <f aca="false">IF(T4837="BYPASS",IF(NOT(ISNUMBER(Q4837)),"PreV_ETB missing","End_tr_balance missing"),IF(T4837="FAIL",IF(AND(ISNUMBER(K4837),ISNUMBER(L4837),ABS(L4837-(K4837-IF(ISNUMBER(N4837),N4837,0)-IF(ISNUMBER(O4837),O4837,0)+IF(ISNUMBER(P4837),P4837,0)))&lt;=Summary!$B$2),"Passes using beginning_balance - PreV_ETB differs from beginning_balance",IF(AND(ISNUMBER(O4837),O4837&lt;0,ABS(L4837-(Q4837-IF(ISNUMBER(N4837),N4837,0)+IF(ISNUMBER(P4837),P4837,0)))&lt;=Summary!$B$2),"Negative realized loss not applied - check sign",IF(R4837&lt;0,"Principal paid exceeds prior balance",IF(AND(L4837&gt;Q4837,NOT(ISNUMBER(P4837))),"Balance increased but no Deferred_interest reported",IF(L4837&gt;R4837,"Reported balance higher than expected (missing increase/OC build)","Reported balance lower than expected (missing decrease)"))))),""))</f>
        <v/>
      </c>
    </row>
    <row r="4838" customFormat="false" ht="15" hidden="false" customHeight="false" outlineLevel="0" collapsed="false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9"/>
      <c r="L4838" s="9"/>
      <c r="M4838" s="9"/>
      <c r="N4838" s="9"/>
      <c r="O4838" s="9"/>
      <c r="P4838" s="9"/>
      <c r="Q4838" s="9"/>
      <c r="R4838" s="9" t="str">
        <f aca="false">IF(AND(A4838&lt;&gt;"",ISNUMBER(Q4838),ISNUMBER(L4838)),ROUND(Q4838-IF(ISNUMBER(N4838),N4838,0)-IF(ISNUMBER(O4838),O4838,0)+IF(ISNUMBER(P4838),P4838,0),2),"")</f>
        <v/>
      </c>
      <c r="S4838" s="9" t="str">
        <f aca="false">IF(R4838="","",ROUND(L4838-R4838,2))</f>
        <v/>
      </c>
      <c r="T4838" s="8" t="str">
        <f aca="false">IF(A4838="","",IF(S4838="","BYPASS",IF(ABS(S4838)&lt;=Summary!$B$2,"PASS","FAIL")))</f>
        <v/>
      </c>
      <c r="U4838" s="8" t="str">
        <f aca="false">IF(T4838="BYPASS",IF(NOT(ISNUMBER(Q4838)),"PreV_ETB missing","End_tr_balance missing"),IF(T4838="FAIL",IF(AND(ISNUMBER(K4838),ISNUMBER(L4838),ABS(L4838-(K4838-IF(ISNUMBER(N4838),N4838,0)-IF(ISNUMBER(O4838),O4838,0)+IF(ISNUMBER(P4838),P4838,0)))&lt;=Summary!$B$2),"Passes using beginning_balance - PreV_ETB differs from beginning_balance",IF(AND(ISNUMBER(O4838),O4838&lt;0,ABS(L4838-(Q4838-IF(ISNUMBER(N4838),N4838,0)+IF(ISNUMBER(P4838),P4838,0)))&lt;=Summary!$B$2),"Negative realized loss not applied - check sign",IF(R4838&lt;0,"Principal paid exceeds prior balance",IF(AND(L4838&gt;Q4838,NOT(ISNUMBER(P4838))),"Balance increased but no Deferred_interest reported",IF(L4838&gt;R4838,"Reported balance higher than expected (missing increase/OC build)","Reported balance lower than expected (missing decrease)"))))),""))</f>
        <v/>
      </c>
    </row>
    <row r="4839" customFormat="false" ht="15" hidden="false" customHeight="false" outlineLevel="0" collapsed="false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9"/>
      <c r="L4839" s="9"/>
      <c r="M4839" s="9"/>
      <c r="N4839" s="9"/>
      <c r="O4839" s="9"/>
      <c r="P4839" s="9"/>
      <c r="Q4839" s="9"/>
      <c r="R4839" s="9" t="str">
        <f aca="false">IF(AND(A4839&lt;&gt;"",ISNUMBER(Q4839),ISNUMBER(L4839)),ROUND(Q4839-IF(ISNUMBER(N4839),N4839,0)-IF(ISNUMBER(O4839),O4839,0)+IF(ISNUMBER(P4839),P4839,0),2),"")</f>
        <v/>
      </c>
      <c r="S4839" s="9" t="str">
        <f aca="false">IF(R4839="","",ROUND(L4839-R4839,2))</f>
        <v/>
      </c>
      <c r="T4839" s="8" t="str">
        <f aca="false">IF(A4839="","",IF(S4839="","BYPASS",IF(ABS(S4839)&lt;=Summary!$B$2,"PASS","FAIL")))</f>
        <v/>
      </c>
      <c r="U4839" s="8" t="str">
        <f aca="false">IF(T4839="BYPASS",IF(NOT(ISNUMBER(Q4839)),"PreV_ETB missing","End_tr_balance missing"),IF(T4839="FAIL",IF(AND(ISNUMBER(K4839),ISNUMBER(L4839),ABS(L4839-(K4839-IF(ISNUMBER(N4839),N4839,0)-IF(ISNUMBER(O4839),O4839,0)+IF(ISNUMBER(P4839),P4839,0)))&lt;=Summary!$B$2),"Passes using beginning_balance - PreV_ETB differs from beginning_balance",IF(AND(ISNUMBER(O4839),O4839&lt;0,ABS(L4839-(Q4839-IF(ISNUMBER(N4839),N4839,0)+IF(ISNUMBER(P4839),P4839,0)))&lt;=Summary!$B$2),"Negative realized loss not applied - check sign",IF(R4839&lt;0,"Principal paid exceeds prior balance",IF(AND(L4839&gt;Q4839,NOT(ISNUMBER(P4839))),"Balance increased but no Deferred_interest reported",IF(L4839&gt;R4839,"Reported balance higher than expected (missing increase/OC build)","Reported balance lower than expected (missing decrease)"))))),""))</f>
        <v/>
      </c>
    </row>
    <row r="4840" customFormat="false" ht="15" hidden="false" customHeight="false" outlineLevel="0" collapsed="false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9"/>
      <c r="L4840" s="9"/>
      <c r="M4840" s="9"/>
      <c r="N4840" s="9"/>
      <c r="O4840" s="9"/>
      <c r="P4840" s="9"/>
      <c r="Q4840" s="9"/>
      <c r="R4840" s="9" t="str">
        <f aca="false">IF(AND(A4840&lt;&gt;"",ISNUMBER(Q4840),ISNUMBER(L4840)),ROUND(Q4840-IF(ISNUMBER(N4840),N4840,0)-IF(ISNUMBER(O4840),O4840,0)+IF(ISNUMBER(P4840),P4840,0),2),"")</f>
        <v/>
      </c>
      <c r="S4840" s="9" t="str">
        <f aca="false">IF(R4840="","",ROUND(L4840-R4840,2))</f>
        <v/>
      </c>
      <c r="T4840" s="8" t="str">
        <f aca="false">IF(A4840="","",IF(S4840="","BYPASS",IF(ABS(S4840)&lt;=Summary!$B$2,"PASS","FAIL")))</f>
        <v/>
      </c>
      <c r="U4840" s="8" t="str">
        <f aca="false">IF(T4840="BYPASS",IF(NOT(ISNUMBER(Q4840)),"PreV_ETB missing","End_tr_balance missing"),IF(T4840="FAIL",IF(AND(ISNUMBER(K4840),ISNUMBER(L4840),ABS(L4840-(K4840-IF(ISNUMBER(N4840),N4840,0)-IF(ISNUMBER(O4840),O4840,0)+IF(ISNUMBER(P4840),P4840,0)))&lt;=Summary!$B$2),"Passes using beginning_balance - PreV_ETB differs from beginning_balance",IF(AND(ISNUMBER(O4840),O4840&lt;0,ABS(L4840-(Q4840-IF(ISNUMBER(N4840),N4840,0)+IF(ISNUMBER(P4840),P4840,0)))&lt;=Summary!$B$2),"Negative realized loss not applied - check sign",IF(R4840&lt;0,"Principal paid exceeds prior balance",IF(AND(L4840&gt;Q4840,NOT(ISNUMBER(P4840))),"Balance increased but no Deferred_interest reported",IF(L4840&gt;R4840,"Reported balance higher than expected (missing increase/OC build)","Reported balance lower than expected (missing decrease)"))))),""))</f>
        <v/>
      </c>
    </row>
    <row r="4841" customFormat="false" ht="15" hidden="false" customHeight="false" outlineLevel="0" collapsed="false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9"/>
      <c r="L4841" s="9"/>
      <c r="M4841" s="9"/>
      <c r="N4841" s="9"/>
      <c r="O4841" s="9"/>
      <c r="P4841" s="9"/>
      <c r="Q4841" s="9"/>
      <c r="R4841" s="9" t="str">
        <f aca="false">IF(AND(A4841&lt;&gt;"",ISNUMBER(Q4841),ISNUMBER(L4841)),ROUND(Q4841-IF(ISNUMBER(N4841),N4841,0)-IF(ISNUMBER(O4841),O4841,0)+IF(ISNUMBER(P4841),P4841,0),2),"")</f>
        <v/>
      </c>
      <c r="S4841" s="9" t="str">
        <f aca="false">IF(R4841="","",ROUND(L4841-R4841,2))</f>
        <v/>
      </c>
      <c r="T4841" s="8" t="str">
        <f aca="false">IF(A4841="","",IF(S4841="","BYPASS",IF(ABS(S4841)&lt;=Summary!$B$2,"PASS","FAIL")))</f>
        <v/>
      </c>
      <c r="U4841" s="8" t="str">
        <f aca="false">IF(T4841="BYPASS",IF(NOT(ISNUMBER(Q4841)),"PreV_ETB missing","End_tr_balance missing"),IF(T4841="FAIL",IF(AND(ISNUMBER(K4841),ISNUMBER(L4841),ABS(L4841-(K4841-IF(ISNUMBER(N4841),N4841,0)-IF(ISNUMBER(O4841),O4841,0)+IF(ISNUMBER(P4841),P4841,0)))&lt;=Summary!$B$2),"Passes using beginning_balance - PreV_ETB differs from beginning_balance",IF(AND(ISNUMBER(O4841),O4841&lt;0,ABS(L4841-(Q4841-IF(ISNUMBER(N4841),N4841,0)+IF(ISNUMBER(P4841),P4841,0)))&lt;=Summary!$B$2),"Negative realized loss not applied - check sign",IF(R4841&lt;0,"Principal paid exceeds prior balance",IF(AND(L4841&gt;Q4841,NOT(ISNUMBER(P4841))),"Balance increased but no Deferred_interest reported",IF(L4841&gt;R4841,"Reported balance higher than expected (missing increase/OC build)","Reported balance lower than expected (missing decrease)"))))),""))</f>
        <v/>
      </c>
    </row>
    <row r="4842" customFormat="false" ht="15" hidden="false" customHeight="false" outlineLevel="0" collapsed="false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9"/>
      <c r="L4842" s="9"/>
      <c r="M4842" s="9"/>
      <c r="N4842" s="9"/>
      <c r="O4842" s="9"/>
      <c r="P4842" s="9"/>
      <c r="Q4842" s="9"/>
      <c r="R4842" s="9" t="str">
        <f aca="false">IF(AND(A4842&lt;&gt;"",ISNUMBER(Q4842),ISNUMBER(L4842)),ROUND(Q4842-IF(ISNUMBER(N4842),N4842,0)-IF(ISNUMBER(O4842),O4842,0)+IF(ISNUMBER(P4842),P4842,0),2),"")</f>
        <v/>
      </c>
      <c r="S4842" s="9" t="str">
        <f aca="false">IF(R4842="","",ROUND(L4842-R4842,2))</f>
        <v/>
      </c>
      <c r="T4842" s="8" t="str">
        <f aca="false">IF(A4842="","",IF(S4842="","BYPASS",IF(ABS(S4842)&lt;=Summary!$B$2,"PASS","FAIL")))</f>
        <v/>
      </c>
      <c r="U4842" s="8" t="str">
        <f aca="false">IF(T4842="BYPASS",IF(NOT(ISNUMBER(Q4842)),"PreV_ETB missing","End_tr_balance missing"),IF(T4842="FAIL",IF(AND(ISNUMBER(K4842),ISNUMBER(L4842),ABS(L4842-(K4842-IF(ISNUMBER(N4842),N4842,0)-IF(ISNUMBER(O4842),O4842,0)+IF(ISNUMBER(P4842),P4842,0)))&lt;=Summary!$B$2),"Passes using beginning_balance - PreV_ETB differs from beginning_balance",IF(AND(ISNUMBER(O4842),O4842&lt;0,ABS(L4842-(Q4842-IF(ISNUMBER(N4842),N4842,0)+IF(ISNUMBER(P4842),P4842,0)))&lt;=Summary!$B$2),"Negative realized loss not applied - check sign",IF(R4842&lt;0,"Principal paid exceeds prior balance",IF(AND(L4842&gt;Q4842,NOT(ISNUMBER(P4842))),"Balance increased but no Deferred_interest reported",IF(L4842&gt;R4842,"Reported balance higher than expected (missing increase/OC build)","Reported balance lower than expected (missing decrease)"))))),""))</f>
        <v/>
      </c>
    </row>
    <row r="4843" customFormat="false" ht="15" hidden="false" customHeight="false" outlineLevel="0" collapsed="false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9"/>
      <c r="L4843" s="9"/>
      <c r="M4843" s="9"/>
      <c r="N4843" s="9"/>
      <c r="O4843" s="9"/>
      <c r="P4843" s="9"/>
      <c r="Q4843" s="9"/>
      <c r="R4843" s="9" t="str">
        <f aca="false">IF(AND(A4843&lt;&gt;"",ISNUMBER(Q4843),ISNUMBER(L4843)),ROUND(Q4843-IF(ISNUMBER(N4843),N4843,0)-IF(ISNUMBER(O4843),O4843,0)+IF(ISNUMBER(P4843),P4843,0),2),"")</f>
        <v/>
      </c>
      <c r="S4843" s="9" t="str">
        <f aca="false">IF(R4843="","",ROUND(L4843-R4843,2))</f>
        <v/>
      </c>
      <c r="T4843" s="8" t="str">
        <f aca="false">IF(A4843="","",IF(S4843="","BYPASS",IF(ABS(S4843)&lt;=Summary!$B$2,"PASS","FAIL")))</f>
        <v/>
      </c>
      <c r="U4843" s="8" t="str">
        <f aca="false">IF(T4843="BYPASS",IF(NOT(ISNUMBER(Q4843)),"PreV_ETB missing","End_tr_balance missing"),IF(T4843="FAIL",IF(AND(ISNUMBER(K4843),ISNUMBER(L4843),ABS(L4843-(K4843-IF(ISNUMBER(N4843),N4843,0)-IF(ISNUMBER(O4843),O4843,0)+IF(ISNUMBER(P4843),P4843,0)))&lt;=Summary!$B$2),"Passes using beginning_balance - PreV_ETB differs from beginning_balance",IF(AND(ISNUMBER(O4843),O4843&lt;0,ABS(L4843-(Q4843-IF(ISNUMBER(N4843),N4843,0)+IF(ISNUMBER(P4843),P4843,0)))&lt;=Summary!$B$2),"Negative realized loss not applied - check sign",IF(R4843&lt;0,"Principal paid exceeds prior balance",IF(AND(L4843&gt;Q4843,NOT(ISNUMBER(P4843))),"Balance increased but no Deferred_interest reported",IF(L4843&gt;R4843,"Reported balance higher than expected (missing increase/OC build)","Reported balance lower than expected (missing decrease)"))))),""))</f>
        <v/>
      </c>
    </row>
    <row r="4844" customFormat="false" ht="15" hidden="false" customHeight="false" outlineLevel="0" collapsed="false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9"/>
      <c r="L4844" s="9"/>
      <c r="M4844" s="9"/>
      <c r="N4844" s="9"/>
      <c r="O4844" s="9"/>
      <c r="P4844" s="9"/>
      <c r="Q4844" s="9"/>
      <c r="R4844" s="9" t="str">
        <f aca="false">IF(AND(A4844&lt;&gt;"",ISNUMBER(Q4844),ISNUMBER(L4844)),ROUND(Q4844-IF(ISNUMBER(N4844),N4844,0)-IF(ISNUMBER(O4844),O4844,0)+IF(ISNUMBER(P4844),P4844,0),2),"")</f>
        <v/>
      </c>
      <c r="S4844" s="9" t="str">
        <f aca="false">IF(R4844="","",ROUND(L4844-R4844,2))</f>
        <v/>
      </c>
      <c r="T4844" s="8" t="str">
        <f aca="false">IF(A4844="","",IF(S4844="","BYPASS",IF(ABS(S4844)&lt;=Summary!$B$2,"PASS","FAIL")))</f>
        <v/>
      </c>
      <c r="U4844" s="8" t="str">
        <f aca="false">IF(T4844="BYPASS",IF(NOT(ISNUMBER(Q4844)),"PreV_ETB missing","End_tr_balance missing"),IF(T4844="FAIL",IF(AND(ISNUMBER(K4844),ISNUMBER(L4844),ABS(L4844-(K4844-IF(ISNUMBER(N4844),N4844,0)-IF(ISNUMBER(O4844),O4844,0)+IF(ISNUMBER(P4844),P4844,0)))&lt;=Summary!$B$2),"Passes using beginning_balance - PreV_ETB differs from beginning_balance",IF(AND(ISNUMBER(O4844),O4844&lt;0,ABS(L4844-(Q4844-IF(ISNUMBER(N4844),N4844,0)+IF(ISNUMBER(P4844),P4844,0)))&lt;=Summary!$B$2),"Negative realized loss not applied - check sign",IF(R4844&lt;0,"Principal paid exceeds prior balance",IF(AND(L4844&gt;Q4844,NOT(ISNUMBER(P4844))),"Balance increased but no Deferred_interest reported",IF(L4844&gt;R4844,"Reported balance higher than expected (missing increase/OC build)","Reported balance lower than expected (missing decrease)"))))),""))</f>
        <v/>
      </c>
    </row>
    <row r="4845" customFormat="false" ht="15" hidden="false" customHeight="false" outlineLevel="0" collapsed="false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9"/>
      <c r="L4845" s="9"/>
      <c r="M4845" s="9"/>
      <c r="N4845" s="9"/>
      <c r="O4845" s="9"/>
      <c r="P4845" s="9"/>
      <c r="Q4845" s="9"/>
      <c r="R4845" s="9" t="str">
        <f aca="false">IF(AND(A4845&lt;&gt;"",ISNUMBER(Q4845),ISNUMBER(L4845)),ROUND(Q4845-IF(ISNUMBER(N4845),N4845,0)-IF(ISNUMBER(O4845),O4845,0)+IF(ISNUMBER(P4845),P4845,0),2),"")</f>
        <v/>
      </c>
      <c r="S4845" s="9" t="str">
        <f aca="false">IF(R4845="","",ROUND(L4845-R4845,2))</f>
        <v/>
      </c>
      <c r="T4845" s="8" t="str">
        <f aca="false">IF(A4845="","",IF(S4845="","BYPASS",IF(ABS(S4845)&lt;=Summary!$B$2,"PASS","FAIL")))</f>
        <v/>
      </c>
      <c r="U4845" s="8" t="str">
        <f aca="false">IF(T4845="BYPASS",IF(NOT(ISNUMBER(Q4845)),"PreV_ETB missing","End_tr_balance missing"),IF(T4845="FAIL",IF(AND(ISNUMBER(K4845),ISNUMBER(L4845),ABS(L4845-(K4845-IF(ISNUMBER(N4845),N4845,0)-IF(ISNUMBER(O4845),O4845,0)+IF(ISNUMBER(P4845),P4845,0)))&lt;=Summary!$B$2),"Passes using beginning_balance - PreV_ETB differs from beginning_balance",IF(AND(ISNUMBER(O4845),O4845&lt;0,ABS(L4845-(Q4845-IF(ISNUMBER(N4845),N4845,0)+IF(ISNUMBER(P4845),P4845,0)))&lt;=Summary!$B$2),"Negative realized loss not applied - check sign",IF(R4845&lt;0,"Principal paid exceeds prior balance",IF(AND(L4845&gt;Q4845,NOT(ISNUMBER(P4845))),"Balance increased but no Deferred_interest reported",IF(L4845&gt;R4845,"Reported balance higher than expected (missing increase/OC build)","Reported balance lower than expected (missing decrease)"))))),""))</f>
        <v/>
      </c>
    </row>
    <row r="4846" customFormat="false" ht="15" hidden="false" customHeight="false" outlineLevel="0" collapsed="false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9"/>
      <c r="L4846" s="9"/>
      <c r="M4846" s="9"/>
      <c r="N4846" s="9"/>
      <c r="O4846" s="9"/>
      <c r="P4846" s="9"/>
      <c r="Q4846" s="9"/>
      <c r="R4846" s="9" t="str">
        <f aca="false">IF(AND(A4846&lt;&gt;"",ISNUMBER(Q4846),ISNUMBER(L4846)),ROUND(Q4846-IF(ISNUMBER(N4846),N4846,0)-IF(ISNUMBER(O4846),O4846,0)+IF(ISNUMBER(P4846),P4846,0),2),"")</f>
        <v/>
      </c>
      <c r="S4846" s="9" t="str">
        <f aca="false">IF(R4846="","",ROUND(L4846-R4846,2))</f>
        <v/>
      </c>
      <c r="T4846" s="8" t="str">
        <f aca="false">IF(A4846="","",IF(S4846="","BYPASS",IF(ABS(S4846)&lt;=Summary!$B$2,"PASS","FAIL")))</f>
        <v/>
      </c>
      <c r="U4846" s="8" t="str">
        <f aca="false">IF(T4846="BYPASS",IF(NOT(ISNUMBER(Q4846)),"PreV_ETB missing","End_tr_balance missing"),IF(T4846="FAIL",IF(AND(ISNUMBER(K4846),ISNUMBER(L4846),ABS(L4846-(K4846-IF(ISNUMBER(N4846),N4846,0)-IF(ISNUMBER(O4846),O4846,0)+IF(ISNUMBER(P4846),P4846,0)))&lt;=Summary!$B$2),"Passes using beginning_balance - PreV_ETB differs from beginning_balance",IF(AND(ISNUMBER(O4846),O4846&lt;0,ABS(L4846-(Q4846-IF(ISNUMBER(N4846),N4846,0)+IF(ISNUMBER(P4846),P4846,0)))&lt;=Summary!$B$2),"Negative realized loss not applied - check sign",IF(R4846&lt;0,"Principal paid exceeds prior balance",IF(AND(L4846&gt;Q4846,NOT(ISNUMBER(P4846))),"Balance increased but no Deferred_interest reported",IF(L4846&gt;R4846,"Reported balance higher than expected (missing increase/OC build)","Reported balance lower than expected (missing decrease)"))))),""))</f>
        <v/>
      </c>
    </row>
    <row r="4847" customFormat="false" ht="15" hidden="false" customHeight="false" outlineLevel="0" collapsed="false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9"/>
      <c r="L4847" s="9"/>
      <c r="M4847" s="9"/>
      <c r="N4847" s="9"/>
      <c r="O4847" s="9"/>
      <c r="P4847" s="9"/>
      <c r="Q4847" s="9"/>
      <c r="R4847" s="9" t="str">
        <f aca="false">IF(AND(A4847&lt;&gt;"",ISNUMBER(Q4847),ISNUMBER(L4847)),ROUND(Q4847-IF(ISNUMBER(N4847),N4847,0)-IF(ISNUMBER(O4847),O4847,0)+IF(ISNUMBER(P4847),P4847,0),2),"")</f>
        <v/>
      </c>
      <c r="S4847" s="9" t="str">
        <f aca="false">IF(R4847="","",ROUND(L4847-R4847,2))</f>
        <v/>
      </c>
      <c r="T4847" s="8" t="str">
        <f aca="false">IF(A4847="","",IF(S4847="","BYPASS",IF(ABS(S4847)&lt;=Summary!$B$2,"PASS","FAIL")))</f>
        <v/>
      </c>
      <c r="U4847" s="8" t="str">
        <f aca="false">IF(T4847="BYPASS",IF(NOT(ISNUMBER(Q4847)),"PreV_ETB missing","End_tr_balance missing"),IF(T4847="FAIL",IF(AND(ISNUMBER(K4847),ISNUMBER(L4847),ABS(L4847-(K4847-IF(ISNUMBER(N4847),N4847,0)-IF(ISNUMBER(O4847),O4847,0)+IF(ISNUMBER(P4847),P4847,0)))&lt;=Summary!$B$2),"Passes using beginning_balance - PreV_ETB differs from beginning_balance",IF(AND(ISNUMBER(O4847),O4847&lt;0,ABS(L4847-(Q4847-IF(ISNUMBER(N4847),N4847,0)+IF(ISNUMBER(P4847),P4847,0)))&lt;=Summary!$B$2),"Negative realized loss not applied - check sign",IF(R4847&lt;0,"Principal paid exceeds prior balance",IF(AND(L4847&gt;Q4847,NOT(ISNUMBER(P4847))),"Balance increased but no Deferred_interest reported",IF(L4847&gt;R4847,"Reported balance higher than expected (missing increase/OC build)","Reported balance lower than expected (missing decrease)"))))),""))</f>
        <v/>
      </c>
    </row>
    <row r="4848" customFormat="false" ht="15" hidden="false" customHeight="false" outlineLevel="0" collapsed="false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9"/>
      <c r="L4848" s="9"/>
      <c r="M4848" s="9"/>
      <c r="N4848" s="9"/>
      <c r="O4848" s="9"/>
      <c r="P4848" s="9"/>
      <c r="Q4848" s="9"/>
      <c r="R4848" s="9" t="str">
        <f aca="false">IF(AND(A4848&lt;&gt;"",ISNUMBER(Q4848),ISNUMBER(L4848)),ROUND(Q4848-IF(ISNUMBER(N4848),N4848,0)-IF(ISNUMBER(O4848),O4848,0)+IF(ISNUMBER(P4848),P4848,0),2),"")</f>
        <v/>
      </c>
      <c r="S4848" s="9" t="str">
        <f aca="false">IF(R4848="","",ROUND(L4848-R4848,2))</f>
        <v/>
      </c>
      <c r="T4848" s="8" t="str">
        <f aca="false">IF(A4848="","",IF(S4848="","BYPASS",IF(ABS(S4848)&lt;=Summary!$B$2,"PASS","FAIL")))</f>
        <v/>
      </c>
      <c r="U4848" s="8" t="str">
        <f aca="false">IF(T4848="BYPASS",IF(NOT(ISNUMBER(Q4848)),"PreV_ETB missing","End_tr_balance missing"),IF(T4848="FAIL",IF(AND(ISNUMBER(K4848),ISNUMBER(L4848),ABS(L4848-(K4848-IF(ISNUMBER(N4848),N4848,0)-IF(ISNUMBER(O4848),O4848,0)+IF(ISNUMBER(P4848),P4848,0)))&lt;=Summary!$B$2),"Passes using beginning_balance - PreV_ETB differs from beginning_balance",IF(AND(ISNUMBER(O4848),O4848&lt;0,ABS(L4848-(Q4848-IF(ISNUMBER(N4848),N4848,0)+IF(ISNUMBER(P4848),P4848,0)))&lt;=Summary!$B$2),"Negative realized loss not applied - check sign",IF(R4848&lt;0,"Principal paid exceeds prior balance",IF(AND(L4848&gt;Q4848,NOT(ISNUMBER(P4848))),"Balance increased but no Deferred_interest reported",IF(L4848&gt;R4848,"Reported balance higher than expected (missing increase/OC build)","Reported balance lower than expected (missing decrease)"))))),""))</f>
        <v/>
      </c>
    </row>
    <row r="4849" customFormat="false" ht="15" hidden="false" customHeight="false" outlineLevel="0" collapsed="false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9"/>
      <c r="L4849" s="9"/>
      <c r="M4849" s="9"/>
      <c r="N4849" s="9"/>
      <c r="O4849" s="9"/>
      <c r="P4849" s="9"/>
      <c r="Q4849" s="9"/>
      <c r="R4849" s="9" t="str">
        <f aca="false">IF(AND(A4849&lt;&gt;"",ISNUMBER(Q4849),ISNUMBER(L4849)),ROUND(Q4849-IF(ISNUMBER(N4849),N4849,0)-IF(ISNUMBER(O4849),O4849,0)+IF(ISNUMBER(P4849),P4849,0),2),"")</f>
        <v/>
      </c>
      <c r="S4849" s="9" t="str">
        <f aca="false">IF(R4849="","",ROUND(L4849-R4849,2))</f>
        <v/>
      </c>
      <c r="T4849" s="8" t="str">
        <f aca="false">IF(A4849="","",IF(S4849="","BYPASS",IF(ABS(S4849)&lt;=Summary!$B$2,"PASS","FAIL")))</f>
        <v/>
      </c>
      <c r="U4849" s="8" t="str">
        <f aca="false">IF(T4849="BYPASS",IF(NOT(ISNUMBER(Q4849)),"PreV_ETB missing","End_tr_balance missing"),IF(T4849="FAIL",IF(AND(ISNUMBER(K4849),ISNUMBER(L4849),ABS(L4849-(K4849-IF(ISNUMBER(N4849),N4849,0)-IF(ISNUMBER(O4849),O4849,0)+IF(ISNUMBER(P4849),P4849,0)))&lt;=Summary!$B$2),"Passes using beginning_balance - PreV_ETB differs from beginning_balance",IF(AND(ISNUMBER(O4849),O4849&lt;0,ABS(L4849-(Q4849-IF(ISNUMBER(N4849),N4849,0)+IF(ISNUMBER(P4849),P4849,0)))&lt;=Summary!$B$2),"Negative realized loss not applied - check sign",IF(R4849&lt;0,"Principal paid exceeds prior balance",IF(AND(L4849&gt;Q4849,NOT(ISNUMBER(P4849))),"Balance increased but no Deferred_interest reported",IF(L4849&gt;R4849,"Reported balance higher than expected (missing increase/OC build)","Reported balance lower than expected (missing decrease)"))))),""))</f>
        <v/>
      </c>
    </row>
    <row r="4850" customFormat="false" ht="15" hidden="false" customHeight="false" outlineLevel="0" collapsed="false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9"/>
      <c r="L4850" s="9"/>
      <c r="M4850" s="9"/>
      <c r="N4850" s="9"/>
      <c r="O4850" s="9"/>
      <c r="P4850" s="9"/>
      <c r="Q4850" s="9"/>
      <c r="R4850" s="9" t="str">
        <f aca="false">IF(AND(A4850&lt;&gt;"",ISNUMBER(Q4850),ISNUMBER(L4850)),ROUND(Q4850-IF(ISNUMBER(N4850),N4850,0)-IF(ISNUMBER(O4850),O4850,0)+IF(ISNUMBER(P4850),P4850,0),2),"")</f>
        <v/>
      </c>
      <c r="S4850" s="9" t="str">
        <f aca="false">IF(R4850="","",ROUND(L4850-R4850,2))</f>
        <v/>
      </c>
      <c r="T4850" s="8" t="str">
        <f aca="false">IF(A4850="","",IF(S4850="","BYPASS",IF(ABS(S4850)&lt;=Summary!$B$2,"PASS","FAIL")))</f>
        <v/>
      </c>
      <c r="U4850" s="8" t="str">
        <f aca="false">IF(T4850="BYPASS",IF(NOT(ISNUMBER(Q4850)),"PreV_ETB missing","End_tr_balance missing"),IF(T4850="FAIL",IF(AND(ISNUMBER(K4850),ISNUMBER(L4850),ABS(L4850-(K4850-IF(ISNUMBER(N4850),N4850,0)-IF(ISNUMBER(O4850),O4850,0)+IF(ISNUMBER(P4850),P4850,0)))&lt;=Summary!$B$2),"Passes using beginning_balance - PreV_ETB differs from beginning_balance",IF(AND(ISNUMBER(O4850),O4850&lt;0,ABS(L4850-(Q4850-IF(ISNUMBER(N4850),N4850,0)+IF(ISNUMBER(P4850),P4850,0)))&lt;=Summary!$B$2),"Negative realized loss not applied - check sign",IF(R4850&lt;0,"Principal paid exceeds prior balance",IF(AND(L4850&gt;Q4850,NOT(ISNUMBER(P4850))),"Balance increased but no Deferred_interest reported",IF(L4850&gt;R4850,"Reported balance higher than expected (missing increase/OC build)","Reported balance lower than expected (missing decrease)"))))),""))</f>
        <v/>
      </c>
    </row>
    <row r="4851" customFormat="false" ht="15" hidden="false" customHeight="false" outlineLevel="0" collapsed="false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9"/>
      <c r="L4851" s="9"/>
      <c r="M4851" s="9"/>
      <c r="N4851" s="9"/>
      <c r="O4851" s="9"/>
      <c r="P4851" s="9"/>
      <c r="Q4851" s="9"/>
      <c r="R4851" s="9" t="str">
        <f aca="false">IF(AND(A4851&lt;&gt;"",ISNUMBER(Q4851),ISNUMBER(L4851)),ROUND(Q4851-IF(ISNUMBER(N4851),N4851,0)-IF(ISNUMBER(O4851),O4851,0)+IF(ISNUMBER(P4851),P4851,0),2),"")</f>
        <v/>
      </c>
      <c r="S4851" s="9" t="str">
        <f aca="false">IF(R4851="","",ROUND(L4851-R4851,2))</f>
        <v/>
      </c>
      <c r="T4851" s="8" t="str">
        <f aca="false">IF(A4851="","",IF(S4851="","BYPASS",IF(ABS(S4851)&lt;=Summary!$B$2,"PASS","FAIL")))</f>
        <v/>
      </c>
      <c r="U4851" s="8" t="str">
        <f aca="false">IF(T4851="BYPASS",IF(NOT(ISNUMBER(Q4851)),"PreV_ETB missing","End_tr_balance missing"),IF(T4851="FAIL",IF(AND(ISNUMBER(K4851),ISNUMBER(L4851),ABS(L4851-(K4851-IF(ISNUMBER(N4851),N4851,0)-IF(ISNUMBER(O4851),O4851,0)+IF(ISNUMBER(P4851),P4851,0)))&lt;=Summary!$B$2),"Passes using beginning_balance - PreV_ETB differs from beginning_balance",IF(AND(ISNUMBER(O4851),O4851&lt;0,ABS(L4851-(Q4851-IF(ISNUMBER(N4851),N4851,0)+IF(ISNUMBER(P4851),P4851,0)))&lt;=Summary!$B$2),"Negative realized loss not applied - check sign",IF(R4851&lt;0,"Principal paid exceeds prior balance",IF(AND(L4851&gt;Q4851,NOT(ISNUMBER(P4851))),"Balance increased but no Deferred_interest reported",IF(L4851&gt;R4851,"Reported balance higher than expected (missing increase/OC build)","Reported balance lower than expected (missing decrease)"))))),""))</f>
        <v/>
      </c>
    </row>
    <row r="4852" customFormat="false" ht="15" hidden="false" customHeight="false" outlineLevel="0" collapsed="false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9"/>
      <c r="L4852" s="9"/>
      <c r="M4852" s="9"/>
      <c r="N4852" s="9"/>
      <c r="O4852" s="9"/>
      <c r="P4852" s="9"/>
      <c r="Q4852" s="9"/>
      <c r="R4852" s="9" t="str">
        <f aca="false">IF(AND(A4852&lt;&gt;"",ISNUMBER(Q4852),ISNUMBER(L4852)),ROUND(Q4852-IF(ISNUMBER(N4852),N4852,0)-IF(ISNUMBER(O4852),O4852,0)+IF(ISNUMBER(P4852),P4852,0),2),"")</f>
        <v/>
      </c>
      <c r="S4852" s="9" t="str">
        <f aca="false">IF(R4852="","",ROUND(L4852-R4852,2))</f>
        <v/>
      </c>
      <c r="T4852" s="8" t="str">
        <f aca="false">IF(A4852="","",IF(S4852="","BYPASS",IF(ABS(S4852)&lt;=Summary!$B$2,"PASS","FAIL")))</f>
        <v/>
      </c>
      <c r="U4852" s="8" t="str">
        <f aca="false">IF(T4852="BYPASS",IF(NOT(ISNUMBER(Q4852)),"PreV_ETB missing","End_tr_balance missing"),IF(T4852="FAIL",IF(AND(ISNUMBER(K4852),ISNUMBER(L4852),ABS(L4852-(K4852-IF(ISNUMBER(N4852),N4852,0)-IF(ISNUMBER(O4852),O4852,0)+IF(ISNUMBER(P4852),P4852,0)))&lt;=Summary!$B$2),"Passes using beginning_balance - PreV_ETB differs from beginning_balance",IF(AND(ISNUMBER(O4852),O4852&lt;0,ABS(L4852-(Q4852-IF(ISNUMBER(N4852),N4852,0)+IF(ISNUMBER(P4852),P4852,0)))&lt;=Summary!$B$2),"Negative realized loss not applied - check sign",IF(R4852&lt;0,"Principal paid exceeds prior balance",IF(AND(L4852&gt;Q4852,NOT(ISNUMBER(P4852))),"Balance increased but no Deferred_interest reported",IF(L4852&gt;R4852,"Reported balance higher than expected (missing increase/OC build)","Reported balance lower than expected (missing decrease)"))))),""))</f>
        <v/>
      </c>
    </row>
    <row r="4853" customFormat="false" ht="15" hidden="false" customHeight="false" outlineLevel="0" collapsed="false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9"/>
      <c r="L4853" s="9"/>
      <c r="M4853" s="9"/>
      <c r="N4853" s="9"/>
      <c r="O4853" s="9"/>
      <c r="P4853" s="9"/>
      <c r="Q4853" s="9"/>
      <c r="R4853" s="9" t="str">
        <f aca="false">IF(AND(A4853&lt;&gt;"",ISNUMBER(Q4853),ISNUMBER(L4853)),ROUND(Q4853-IF(ISNUMBER(N4853),N4853,0)-IF(ISNUMBER(O4853),O4853,0)+IF(ISNUMBER(P4853),P4853,0),2),"")</f>
        <v/>
      </c>
      <c r="S4853" s="9" t="str">
        <f aca="false">IF(R4853="","",ROUND(L4853-R4853,2))</f>
        <v/>
      </c>
      <c r="T4853" s="8" t="str">
        <f aca="false">IF(A4853="","",IF(S4853="","BYPASS",IF(ABS(S4853)&lt;=Summary!$B$2,"PASS","FAIL")))</f>
        <v/>
      </c>
      <c r="U4853" s="8" t="str">
        <f aca="false">IF(T4853="BYPASS",IF(NOT(ISNUMBER(Q4853)),"PreV_ETB missing","End_tr_balance missing"),IF(T4853="FAIL",IF(AND(ISNUMBER(K4853),ISNUMBER(L4853),ABS(L4853-(K4853-IF(ISNUMBER(N4853),N4853,0)-IF(ISNUMBER(O4853),O4853,0)+IF(ISNUMBER(P4853),P4853,0)))&lt;=Summary!$B$2),"Passes using beginning_balance - PreV_ETB differs from beginning_balance",IF(AND(ISNUMBER(O4853),O4853&lt;0,ABS(L4853-(Q4853-IF(ISNUMBER(N4853),N4853,0)+IF(ISNUMBER(P4853),P4853,0)))&lt;=Summary!$B$2),"Negative realized loss not applied - check sign",IF(R4853&lt;0,"Principal paid exceeds prior balance",IF(AND(L4853&gt;Q4853,NOT(ISNUMBER(P4853))),"Balance increased but no Deferred_interest reported",IF(L4853&gt;R4853,"Reported balance higher than expected (missing increase/OC build)","Reported balance lower than expected (missing decrease)"))))),""))</f>
        <v/>
      </c>
    </row>
    <row r="4854" customFormat="false" ht="15" hidden="false" customHeight="false" outlineLevel="0" collapsed="false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9"/>
      <c r="L4854" s="9"/>
      <c r="M4854" s="9"/>
      <c r="N4854" s="9"/>
      <c r="O4854" s="9"/>
      <c r="P4854" s="9"/>
      <c r="Q4854" s="9"/>
      <c r="R4854" s="9" t="str">
        <f aca="false">IF(AND(A4854&lt;&gt;"",ISNUMBER(Q4854),ISNUMBER(L4854)),ROUND(Q4854-IF(ISNUMBER(N4854),N4854,0)-IF(ISNUMBER(O4854),O4854,0)+IF(ISNUMBER(P4854),P4854,0),2),"")</f>
        <v/>
      </c>
      <c r="S4854" s="9" t="str">
        <f aca="false">IF(R4854="","",ROUND(L4854-R4854,2))</f>
        <v/>
      </c>
      <c r="T4854" s="8" t="str">
        <f aca="false">IF(A4854="","",IF(S4854="","BYPASS",IF(ABS(S4854)&lt;=Summary!$B$2,"PASS","FAIL")))</f>
        <v/>
      </c>
      <c r="U4854" s="8" t="str">
        <f aca="false">IF(T4854="BYPASS",IF(NOT(ISNUMBER(Q4854)),"PreV_ETB missing","End_tr_balance missing"),IF(T4854="FAIL",IF(AND(ISNUMBER(K4854),ISNUMBER(L4854),ABS(L4854-(K4854-IF(ISNUMBER(N4854),N4854,0)-IF(ISNUMBER(O4854),O4854,0)+IF(ISNUMBER(P4854),P4854,0)))&lt;=Summary!$B$2),"Passes using beginning_balance - PreV_ETB differs from beginning_balance",IF(AND(ISNUMBER(O4854),O4854&lt;0,ABS(L4854-(Q4854-IF(ISNUMBER(N4854),N4854,0)+IF(ISNUMBER(P4854),P4854,0)))&lt;=Summary!$B$2),"Negative realized loss not applied - check sign",IF(R4854&lt;0,"Principal paid exceeds prior balance",IF(AND(L4854&gt;Q4854,NOT(ISNUMBER(P4854))),"Balance increased but no Deferred_interest reported",IF(L4854&gt;R4854,"Reported balance higher than expected (missing increase/OC build)","Reported balance lower than expected (missing decrease)"))))),""))</f>
        <v/>
      </c>
    </row>
    <row r="4855" customFormat="false" ht="15" hidden="false" customHeight="false" outlineLevel="0" collapsed="false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9"/>
      <c r="L4855" s="9"/>
      <c r="M4855" s="9"/>
      <c r="N4855" s="9"/>
      <c r="O4855" s="9"/>
      <c r="P4855" s="9"/>
      <c r="Q4855" s="9"/>
      <c r="R4855" s="9" t="str">
        <f aca="false">IF(AND(A4855&lt;&gt;"",ISNUMBER(Q4855),ISNUMBER(L4855)),ROUND(Q4855-IF(ISNUMBER(N4855),N4855,0)-IF(ISNUMBER(O4855),O4855,0)+IF(ISNUMBER(P4855),P4855,0),2),"")</f>
        <v/>
      </c>
      <c r="S4855" s="9" t="str">
        <f aca="false">IF(R4855="","",ROUND(L4855-R4855,2))</f>
        <v/>
      </c>
      <c r="T4855" s="8" t="str">
        <f aca="false">IF(A4855="","",IF(S4855="","BYPASS",IF(ABS(S4855)&lt;=Summary!$B$2,"PASS","FAIL")))</f>
        <v/>
      </c>
      <c r="U4855" s="8" t="str">
        <f aca="false">IF(T4855="BYPASS",IF(NOT(ISNUMBER(Q4855)),"PreV_ETB missing","End_tr_balance missing"),IF(T4855="FAIL",IF(AND(ISNUMBER(K4855),ISNUMBER(L4855),ABS(L4855-(K4855-IF(ISNUMBER(N4855),N4855,0)-IF(ISNUMBER(O4855),O4855,0)+IF(ISNUMBER(P4855),P4855,0)))&lt;=Summary!$B$2),"Passes using beginning_balance - PreV_ETB differs from beginning_balance",IF(AND(ISNUMBER(O4855),O4855&lt;0,ABS(L4855-(Q4855-IF(ISNUMBER(N4855),N4855,0)+IF(ISNUMBER(P4855),P4855,0)))&lt;=Summary!$B$2),"Negative realized loss not applied - check sign",IF(R4855&lt;0,"Principal paid exceeds prior balance",IF(AND(L4855&gt;Q4855,NOT(ISNUMBER(P4855))),"Balance increased but no Deferred_interest reported",IF(L4855&gt;R4855,"Reported balance higher than expected (missing increase/OC build)","Reported balance lower than expected (missing decrease)"))))),""))</f>
        <v/>
      </c>
    </row>
    <row r="4856" customFormat="false" ht="15" hidden="false" customHeight="false" outlineLevel="0" collapsed="false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9"/>
      <c r="L4856" s="9"/>
      <c r="M4856" s="9"/>
      <c r="N4856" s="9"/>
      <c r="O4856" s="9"/>
      <c r="P4856" s="9"/>
      <c r="Q4856" s="9"/>
      <c r="R4856" s="9" t="str">
        <f aca="false">IF(AND(A4856&lt;&gt;"",ISNUMBER(Q4856),ISNUMBER(L4856)),ROUND(Q4856-IF(ISNUMBER(N4856),N4856,0)-IF(ISNUMBER(O4856),O4856,0)+IF(ISNUMBER(P4856),P4856,0),2),"")</f>
        <v/>
      </c>
      <c r="S4856" s="9" t="str">
        <f aca="false">IF(R4856="","",ROUND(L4856-R4856,2))</f>
        <v/>
      </c>
      <c r="T4856" s="8" t="str">
        <f aca="false">IF(A4856="","",IF(S4856="","BYPASS",IF(ABS(S4856)&lt;=Summary!$B$2,"PASS","FAIL")))</f>
        <v/>
      </c>
      <c r="U4856" s="8" t="str">
        <f aca="false">IF(T4856="BYPASS",IF(NOT(ISNUMBER(Q4856)),"PreV_ETB missing","End_tr_balance missing"),IF(T4856="FAIL",IF(AND(ISNUMBER(K4856),ISNUMBER(L4856),ABS(L4856-(K4856-IF(ISNUMBER(N4856),N4856,0)-IF(ISNUMBER(O4856),O4856,0)+IF(ISNUMBER(P4856),P4856,0)))&lt;=Summary!$B$2),"Passes using beginning_balance - PreV_ETB differs from beginning_balance",IF(AND(ISNUMBER(O4856),O4856&lt;0,ABS(L4856-(Q4856-IF(ISNUMBER(N4856),N4856,0)+IF(ISNUMBER(P4856),P4856,0)))&lt;=Summary!$B$2),"Negative realized loss not applied - check sign",IF(R4856&lt;0,"Principal paid exceeds prior balance",IF(AND(L4856&gt;Q4856,NOT(ISNUMBER(P4856))),"Balance increased but no Deferred_interest reported",IF(L4856&gt;R4856,"Reported balance higher than expected (missing increase/OC build)","Reported balance lower than expected (missing decrease)"))))),""))</f>
        <v/>
      </c>
    </row>
    <row r="4857" customFormat="false" ht="15" hidden="false" customHeight="false" outlineLevel="0" collapsed="false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9"/>
      <c r="L4857" s="9"/>
      <c r="M4857" s="9"/>
      <c r="N4857" s="9"/>
      <c r="O4857" s="9"/>
      <c r="P4857" s="9"/>
      <c r="Q4857" s="9"/>
      <c r="R4857" s="9" t="str">
        <f aca="false">IF(AND(A4857&lt;&gt;"",ISNUMBER(Q4857),ISNUMBER(L4857)),ROUND(Q4857-IF(ISNUMBER(N4857),N4857,0)-IF(ISNUMBER(O4857),O4857,0)+IF(ISNUMBER(P4857),P4857,0),2),"")</f>
        <v/>
      </c>
      <c r="S4857" s="9" t="str">
        <f aca="false">IF(R4857="","",ROUND(L4857-R4857,2))</f>
        <v/>
      </c>
      <c r="T4857" s="8" t="str">
        <f aca="false">IF(A4857="","",IF(S4857="","BYPASS",IF(ABS(S4857)&lt;=Summary!$B$2,"PASS","FAIL")))</f>
        <v/>
      </c>
      <c r="U4857" s="8" t="str">
        <f aca="false">IF(T4857="BYPASS",IF(NOT(ISNUMBER(Q4857)),"PreV_ETB missing","End_tr_balance missing"),IF(T4857="FAIL",IF(AND(ISNUMBER(K4857),ISNUMBER(L4857),ABS(L4857-(K4857-IF(ISNUMBER(N4857),N4857,0)-IF(ISNUMBER(O4857),O4857,0)+IF(ISNUMBER(P4857),P4857,0)))&lt;=Summary!$B$2),"Passes using beginning_balance - PreV_ETB differs from beginning_balance",IF(AND(ISNUMBER(O4857),O4857&lt;0,ABS(L4857-(Q4857-IF(ISNUMBER(N4857),N4857,0)+IF(ISNUMBER(P4857),P4857,0)))&lt;=Summary!$B$2),"Negative realized loss not applied - check sign",IF(R4857&lt;0,"Principal paid exceeds prior balance",IF(AND(L4857&gt;Q4857,NOT(ISNUMBER(P4857))),"Balance increased but no Deferred_interest reported",IF(L4857&gt;R4857,"Reported balance higher than expected (missing increase/OC build)","Reported balance lower than expected (missing decrease)"))))),""))</f>
        <v/>
      </c>
    </row>
    <row r="4858" customFormat="false" ht="15" hidden="false" customHeight="false" outlineLevel="0" collapsed="false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9"/>
      <c r="L4858" s="9"/>
      <c r="M4858" s="9"/>
      <c r="N4858" s="9"/>
      <c r="O4858" s="9"/>
      <c r="P4858" s="9"/>
      <c r="Q4858" s="9"/>
      <c r="R4858" s="9" t="str">
        <f aca="false">IF(AND(A4858&lt;&gt;"",ISNUMBER(Q4858),ISNUMBER(L4858)),ROUND(Q4858-IF(ISNUMBER(N4858),N4858,0)-IF(ISNUMBER(O4858),O4858,0)+IF(ISNUMBER(P4858),P4858,0),2),"")</f>
        <v/>
      </c>
      <c r="S4858" s="9" t="str">
        <f aca="false">IF(R4858="","",ROUND(L4858-R4858,2))</f>
        <v/>
      </c>
      <c r="T4858" s="8" t="str">
        <f aca="false">IF(A4858="","",IF(S4858="","BYPASS",IF(ABS(S4858)&lt;=Summary!$B$2,"PASS","FAIL")))</f>
        <v/>
      </c>
      <c r="U4858" s="8" t="str">
        <f aca="false">IF(T4858="BYPASS",IF(NOT(ISNUMBER(Q4858)),"PreV_ETB missing","End_tr_balance missing"),IF(T4858="FAIL",IF(AND(ISNUMBER(K4858),ISNUMBER(L4858),ABS(L4858-(K4858-IF(ISNUMBER(N4858),N4858,0)-IF(ISNUMBER(O4858),O4858,0)+IF(ISNUMBER(P4858),P4858,0)))&lt;=Summary!$B$2),"Passes using beginning_balance - PreV_ETB differs from beginning_balance",IF(AND(ISNUMBER(O4858),O4858&lt;0,ABS(L4858-(Q4858-IF(ISNUMBER(N4858),N4858,0)+IF(ISNUMBER(P4858),P4858,0)))&lt;=Summary!$B$2),"Negative realized loss not applied - check sign",IF(R4858&lt;0,"Principal paid exceeds prior balance",IF(AND(L4858&gt;Q4858,NOT(ISNUMBER(P4858))),"Balance increased but no Deferred_interest reported",IF(L4858&gt;R4858,"Reported balance higher than expected (missing increase/OC build)","Reported balance lower than expected (missing decrease)"))))),""))</f>
        <v/>
      </c>
    </row>
    <row r="4859" customFormat="false" ht="15" hidden="false" customHeight="false" outlineLevel="0" collapsed="false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9"/>
      <c r="L4859" s="9"/>
      <c r="M4859" s="9"/>
      <c r="N4859" s="9"/>
      <c r="O4859" s="9"/>
      <c r="P4859" s="9"/>
      <c r="Q4859" s="9"/>
      <c r="R4859" s="9" t="str">
        <f aca="false">IF(AND(A4859&lt;&gt;"",ISNUMBER(Q4859),ISNUMBER(L4859)),ROUND(Q4859-IF(ISNUMBER(N4859),N4859,0)-IF(ISNUMBER(O4859),O4859,0)+IF(ISNUMBER(P4859),P4859,0),2),"")</f>
        <v/>
      </c>
      <c r="S4859" s="9" t="str">
        <f aca="false">IF(R4859="","",ROUND(L4859-R4859,2))</f>
        <v/>
      </c>
      <c r="T4859" s="8" t="str">
        <f aca="false">IF(A4859="","",IF(S4859="","BYPASS",IF(ABS(S4859)&lt;=Summary!$B$2,"PASS","FAIL")))</f>
        <v/>
      </c>
      <c r="U4859" s="8" t="str">
        <f aca="false">IF(T4859="BYPASS",IF(NOT(ISNUMBER(Q4859)),"PreV_ETB missing","End_tr_balance missing"),IF(T4859="FAIL",IF(AND(ISNUMBER(K4859),ISNUMBER(L4859),ABS(L4859-(K4859-IF(ISNUMBER(N4859),N4859,0)-IF(ISNUMBER(O4859),O4859,0)+IF(ISNUMBER(P4859),P4859,0)))&lt;=Summary!$B$2),"Passes using beginning_balance - PreV_ETB differs from beginning_balance",IF(AND(ISNUMBER(O4859),O4859&lt;0,ABS(L4859-(Q4859-IF(ISNUMBER(N4859),N4859,0)+IF(ISNUMBER(P4859),P4859,0)))&lt;=Summary!$B$2),"Negative realized loss not applied - check sign",IF(R4859&lt;0,"Principal paid exceeds prior balance",IF(AND(L4859&gt;Q4859,NOT(ISNUMBER(P4859))),"Balance increased but no Deferred_interest reported",IF(L4859&gt;R4859,"Reported balance higher than expected (missing increase/OC build)","Reported balance lower than expected (missing decrease)"))))),""))</f>
        <v/>
      </c>
    </row>
    <row r="4860" customFormat="false" ht="15" hidden="false" customHeight="false" outlineLevel="0" collapsed="false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9"/>
      <c r="L4860" s="9"/>
      <c r="M4860" s="9"/>
      <c r="N4860" s="9"/>
      <c r="O4860" s="9"/>
      <c r="P4860" s="9"/>
      <c r="Q4860" s="9"/>
      <c r="R4860" s="9" t="str">
        <f aca="false">IF(AND(A4860&lt;&gt;"",ISNUMBER(Q4860),ISNUMBER(L4860)),ROUND(Q4860-IF(ISNUMBER(N4860),N4860,0)-IF(ISNUMBER(O4860),O4860,0)+IF(ISNUMBER(P4860),P4860,0),2),"")</f>
        <v/>
      </c>
      <c r="S4860" s="9" t="str">
        <f aca="false">IF(R4860="","",ROUND(L4860-R4860,2))</f>
        <v/>
      </c>
      <c r="T4860" s="8" t="str">
        <f aca="false">IF(A4860="","",IF(S4860="","BYPASS",IF(ABS(S4860)&lt;=Summary!$B$2,"PASS","FAIL")))</f>
        <v/>
      </c>
      <c r="U4860" s="8" t="str">
        <f aca="false">IF(T4860="BYPASS",IF(NOT(ISNUMBER(Q4860)),"PreV_ETB missing","End_tr_balance missing"),IF(T4860="FAIL",IF(AND(ISNUMBER(K4860),ISNUMBER(L4860),ABS(L4860-(K4860-IF(ISNUMBER(N4860),N4860,0)-IF(ISNUMBER(O4860),O4860,0)+IF(ISNUMBER(P4860),P4860,0)))&lt;=Summary!$B$2),"Passes using beginning_balance - PreV_ETB differs from beginning_balance",IF(AND(ISNUMBER(O4860),O4860&lt;0,ABS(L4860-(Q4860-IF(ISNUMBER(N4860),N4860,0)+IF(ISNUMBER(P4860),P4860,0)))&lt;=Summary!$B$2),"Negative realized loss not applied - check sign",IF(R4860&lt;0,"Principal paid exceeds prior balance",IF(AND(L4860&gt;Q4860,NOT(ISNUMBER(P4860))),"Balance increased but no Deferred_interest reported",IF(L4860&gt;R4860,"Reported balance higher than expected (missing increase/OC build)","Reported balance lower than expected (missing decrease)"))))),""))</f>
        <v/>
      </c>
    </row>
    <row r="4861" customFormat="false" ht="15" hidden="false" customHeight="false" outlineLevel="0" collapsed="false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9"/>
      <c r="L4861" s="9"/>
      <c r="M4861" s="9"/>
      <c r="N4861" s="9"/>
      <c r="O4861" s="9"/>
      <c r="P4861" s="9"/>
      <c r="Q4861" s="9"/>
      <c r="R4861" s="9" t="str">
        <f aca="false">IF(AND(A4861&lt;&gt;"",ISNUMBER(Q4861),ISNUMBER(L4861)),ROUND(Q4861-IF(ISNUMBER(N4861),N4861,0)-IF(ISNUMBER(O4861),O4861,0)+IF(ISNUMBER(P4861),P4861,0),2),"")</f>
        <v/>
      </c>
      <c r="S4861" s="9" t="str">
        <f aca="false">IF(R4861="","",ROUND(L4861-R4861,2))</f>
        <v/>
      </c>
      <c r="T4861" s="8" t="str">
        <f aca="false">IF(A4861="","",IF(S4861="","BYPASS",IF(ABS(S4861)&lt;=Summary!$B$2,"PASS","FAIL")))</f>
        <v/>
      </c>
      <c r="U4861" s="8" t="str">
        <f aca="false">IF(T4861="BYPASS",IF(NOT(ISNUMBER(Q4861)),"PreV_ETB missing","End_tr_balance missing"),IF(T4861="FAIL",IF(AND(ISNUMBER(K4861),ISNUMBER(L4861),ABS(L4861-(K4861-IF(ISNUMBER(N4861),N4861,0)-IF(ISNUMBER(O4861),O4861,0)+IF(ISNUMBER(P4861),P4861,0)))&lt;=Summary!$B$2),"Passes using beginning_balance - PreV_ETB differs from beginning_balance",IF(AND(ISNUMBER(O4861),O4861&lt;0,ABS(L4861-(Q4861-IF(ISNUMBER(N4861),N4861,0)+IF(ISNUMBER(P4861),P4861,0)))&lt;=Summary!$B$2),"Negative realized loss not applied - check sign",IF(R4861&lt;0,"Principal paid exceeds prior balance",IF(AND(L4861&gt;Q4861,NOT(ISNUMBER(P4861))),"Balance increased but no Deferred_interest reported",IF(L4861&gt;R4861,"Reported balance higher than expected (missing increase/OC build)","Reported balance lower than expected (missing decrease)"))))),""))</f>
        <v/>
      </c>
    </row>
    <row r="4862" customFormat="false" ht="15" hidden="false" customHeight="false" outlineLevel="0" collapsed="false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9"/>
      <c r="L4862" s="9"/>
      <c r="M4862" s="9"/>
      <c r="N4862" s="9"/>
      <c r="O4862" s="9"/>
      <c r="P4862" s="9"/>
      <c r="Q4862" s="9"/>
      <c r="R4862" s="9" t="str">
        <f aca="false">IF(AND(A4862&lt;&gt;"",ISNUMBER(Q4862),ISNUMBER(L4862)),ROUND(Q4862-IF(ISNUMBER(N4862),N4862,0)-IF(ISNUMBER(O4862),O4862,0)+IF(ISNUMBER(P4862),P4862,0),2),"")</f>
        <v/>
      </c>
      <c r="S4862" s="9" t="str">
        <f aca="false">IF(R4862="","",ROUND(L4862-R4862,2))</f>
        <v/>
      </c>
      <c r="T4862" s="8" t="str">
        <f aca="false">IF(A4862="","",IF(S4862="","BYPASS",IF(ABS(S4862)&lt;=Summary!$B$2,"PASS","FAIL")))</f>
        <v/>
      </c>
      <c r="U4862" s="8" t="str">
        <f aca="false">IF(T4862="BYPASS",IF(NOT(ISNUMBER(Q4862)),"PreV_ETB missing","End_tr_balance missing"),IF(T4862="FAIL",IF(AND(ISNUMBER(K4862),ISNUMBER(L4862),ABS(L4862-(K4862-IF(ISNUMBER(N4862),N4862,0)-IF(ISNUMBER(O4862),O4862,0)+IF(ISNUMBER(P4862),P4862,0)))&lt;=Summary!$B$2),"Passes using beginning_balance - PreV_ETB differs from beginning_balance",IF(AND(ISNUMBER(O4862),O4862&lt;0,ABS(L4862-(Q4862-IF(ISNUMBER(N4862),N4862,0)+IF(ISNUMBER(P4862),P4862,0)))&lt;=Summary!$B$2),"Negative realized loss not applied - check sign",IF(R4862&lt;0,"Principal paid exceeds prior balance",IF(AND(L4862&gt;Q4862,NOT(ISNUMBER(P4862))),"Balance increased but no Deferred_interest reported",IF(L4862&gt;R4862,"Reported balance higher than expected (missing increase/OC build)","Reported balance lower than expected (missing decrease)"))))),""))</f>
        <v/>
      </c>
    </row>
    <row r="4863" customFormat="false" ht="15" hidden="false" customHeight="false" outlineLevel="0" collapsed="false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9"/>
      <c r="L4863" s="9"/>
      <c r="M4863" s="9"/>
      <c r="N4863" s="9"/>
      <c r="O4863" s="9"/>
      <c r="P4863" s="9"/>
      <c r="Q4863" s="9"/>
      <c r="R4863" s="9" t="str">
        <f aca="false">IF(AND(A4863&lt;&gt;"",ISNUMBER(Q4863),ISNUMBER(L4863)),ROUND(Q4863-IF(ISNUMBER(N4863),N4863,0)-IF(ISNUMBER(O4863),O4863,0)+IF(ISNUMBER(P4863),P4863,0),2),"")</f>
        <v/>
      </c>
      <c r="S4863" s="9" t="str">
        <f aca="false">IF(R4863="","",ROUND(L4863-R4863,2))</f>
        <v/>
      </c>
      <c r="T4863" s="8" t="str">
        <f aca="false">IF(A4863="","",IF(S4863="","BYPASS",IF(ABS(S4863)&lt;=Summary!$B$2,"PASS","FAIL")))</f>
        <v/>
      </c>
      <c r="U4863" s="8" t="str">
        <f aca="false">IF(T4863="BYPASS",IF(NOT(ISNUMBER(Q4863)),"PreV_ETB missing","End_tr_balance missing"),IF(T4863="FAIL",IF(AND(ISNUMBER(K4863),ISNUMBER(L4863),ABS(L4863-(K4863-IF(ISNUMBER(N4863),N4863,0)-IF(ISNUMBER(O4863),O4863,0)+IF(ISNUMBER(P4863),P4863,0)))&lt;=Summary!$B$2),"Passes using beginning_balance - PreV_ETB differs from beginning_balance",IF(AND(ISNUMBER(O4863),O4863&lt;0,ABS(L4863-(Q4863-IF(ISNUMBER(N4863),N4863,0)+IF(ISNUMBER(P4863),P4863,0)))&lt;=Summary!$B$2),"Negative realized loss not applied - check sign",IF(R4863&lt;0,"Principal paid exceeds prior balance",IF(AND(L4863&gt;Q4863,NOT(ISNUMBER(P4863))),"Balance increased but no Deferred_interest reported",IF(L4863&gt;R4863,"Reported balance higher than expected (missing increase/OC build)","Reported balance lower than expected (missing decrease)"))))),""))</f>
        <v/>
      </c>
    </row>
    <row r="4864" customFormat="false" ht="15" hidden="false" customHeight="false" outlineLevel="0" collapsed="false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9"/>
      <c r="L4864" s="9"/>
      <c r="M4864" s="9"/>
      <c r="N4864" s="9"/>
      <c r="O4864" s="9"/>
      <c r="P4864" s="9"/>
      <c r="Q4864" s="9"/>
      <c r="R4864" s="9" t="str">
        <f aca="false">IF(AND(A4864&lt;&gt;"",ISNUMBER(Q4864),ISNUMBER(L4864)),ROUND(Q4864-IF(ISNUMBER(N4864),N4864,0)-IF(ISNUMBER(O4864),O4864,0)+IF(ISNUMBER(P4864),P4864,0),2),"")</f>
        <v/>
      </c>
      <c r="S4864" s="9" t="str">
        <f aca="false">IF(R4864="","",ROUND(L4864-R4864,2))</f>
        <v/>
      </c>
      <c r="T4864" s="8" t="str">
        <f aca="false">IF(A4864="","",IF(S4864="","BYPASS",IF(ABS(S4864)&lt;=Summary!$B$2,"PASS","FAIL")))</f>
        <v/>
      </c>
      <c r="U4864" s="8" t="str">
        <f aca="false">IF(T4864="BYPASS",IF(NOT(ISNUMBER(Q4864)),"PreV_ETB missing","End_tr_balance missing"),IF(T4864="FAIL",IF(AND(ISNUMBER(K4864),ISNUMBER(L4864),ABS(L4864-(K4864-IF(ISNUMBER(N4864),N4864,0)-IF(ISNUMBER(O4864),O4864,0)+IF(ISNUMBER(P4864),P4864,0)))&lt;=Summary!$B$2),"Passes using beginning_balance - PreV_ETB differs from beginning_balance",IF(AND(ISNUMBER(O4864),O4864&lt;0,ABS(L4864-(Q4864-IF(ISNUMBER(N4864),N4864,0)+IF(ISNUMBER(P4864),P4864,0)))&lt;=Summary!$B$2),"Negative realized loss not applied - check sign",IF(R4864&lt;0,"Principal paid exceeds prior balance",IF(AND(L4864&gt;Q4864,NOT(ISNUMBER(P4864))),"Balance increased but no Deferred_interest reported",IF(L4864&gt;R4864,"Reported balance higher than expected (missing increase/OC build)","Reported balance lower than expected (missing decrease)"))))),""))</f>
        <v/>
      </c>
    </row>
    <row r="4865" customFormat="false" ht="15" hidden="false" customHeight="false" outlineLevel="0" collapsed="false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9"/>
      <c r="L4865" s="9"/>
      <c r="M4865" s="9"/>
      <c r="N4865" s="9"/>
      <c r="O4865" s="9"/>
      <c r="P4865" s="9"/>
      <c r="Q4865" s="9"/>
      <c r="R4865" s="9" t="str">
        <f aca="false">IF(AND(A4865&lt;&gt;"",ISNUMBER(Q4865),ISNUMBER(L4865)),ROUND(Q4865-IF(ISNUMBER(N4865),N4865,0)-IF(ISNUMBER(O4865),O4865,0)+IF(ISNUMBER(P4865),P4865,0),2),"")</f>
        <v/>
      </c>
      <c r="S4865" s="9" t="str">
        <f aca="false">IF(R4865="","",ROUND(L4865-R4865,2))</f>
        <v/>
      </c>
      <c r="T4865" s="8" t="str">
        <f aca="false">IF(A4865="","",IF(S4865="","BYPASS",IF(ABS(S4865)&lt;=Summary!$B$2,"PASS","FAIL")))</f>
        <v/>
      </c>
      <c r="U4865" s="8" t="str">
        <f aca="false">IF(T4865="BYPASS",IF(NOT(ISNUMBER(Q4865)),"PreV_ETB missing","End_tr_balance missing"),IF(T4865="FAIL",IF(AND(ISNUMBER(K4865),ISNUMBER(L4865),ABS(L4865-(K4865-IF(ISNUMBER(N4865),N4865,0)-IF(ISNUMBER(O4865),O4865,0)+IF(ISNUMBER(P4865),P4865,0)))&lt;=Summary!$B$2),"Passes using beginning_balance - PreV_ETB differs from beginning_balance",IF(AND(ISNUMBER(O4865),O4865&lt;0,ABS(L4865-(Q4865-IF(ISNUMBER(N4865),N4865,0)+IF(ISNUMBER(P4865),P4865,0)))&lt;=Summary!$B$2),"Negative realized loss not applied - check sign",IF(R4865&lt;0,"Principal paid exceeds prior balance",IF(AND(L4865&gt;Q4865,NOT(ISNUMBER(P4865))),"Balance increased but no Deferred_interest reported",IF(L4865&gt;R4865,"Reported balance higher than expected (missing increase/OC build)","Reported balance lower than expected (missing decrease)"))))),""))</f>
        <v/>
      </c>
    </row>
    <row r="4866" customFormat="false" ht="15" hidden="false" customHeight="false" outlineLevel="0" collapsed="false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9"/>
      <c r="L4866" s="9"/>
      <c r="M4866" s="9"/>
      <c r="N4866" s="9"/>
      <c r="O4866" s="9"/>
      <c r="P4866" s="9"/>
      <c r="Q4866" s="9"/>
      <c r="R4866" s="9" t="str">
        <f aca="false">IF(AND(A4866&lt;&gt;"",ISNUMBER(Q4866),ISNUMBER(L4866)),ROUND(Q4866-IF(ISNUMBER(N4866),N4866,0)-IF(ISNUMBER(O4866),O4866,0)+IF(ISNUMBER(P4866),P4866,0),2),"")</f>
        <v/>
      </c>
      <c r="S4866" s="9" t="str">
        <f aca="false">IF(R4866="","",ROUND(L4866-R4866,2))</f>
        <v/>
      </c>
      <c r="T4866" s="8" t="str">
        <f aca="false">IF(A4866="","",IF(S4866="","BYPASS",IF(ABS(S4866)&lt;=Summary!$B$2,"PASS","FAIL")))</f>
        <v/>
      </c>
      <c r="U4866" s="8" t="str">
        <f aca="false">IF(T4866="BYPASS",IF(NOT(ISNUMBER(Q4866)),"PreV_ETB missing","End_tr_balance missing"),IF(T4866="FAIL",IF(AND(ISNUMBER(K4866),ISNUMBER(L4866),ABS(L4866-(K4866-IF(ISNUMBER(N4866),N4866,0)-IF(ISNUMBER(O4866),O4866,0)+IF(ISNUMBER(P4866),P4866,0)))&lt;=Summary!$B$2),"Passes using beginning_balance - PreV_ETB differs from beginning_balance",IF(AND(ISNUMBER(O4866),O4866&lt;0,ABS(L4866-(Q4866-IF(ISNUMBER(N4866),N4866,0)+IF(ISNUMBER(P4866),P4866,0)))&lt;=Summary!$B$2),"Negative realized loss not applied - check sign",IF(R4866&lt;0,"Principal paid exceeds prior balance",IF(AND(L4866&gt;Q4866,NOT(ISNUMBER(P4866))),"Balance increased but no Deferred_interest reported",IF(L4866&gt;R4866,"Reported balance higher than expected (missing increase/OC build)","Reported balance lower than expected (missing decrease)"))))),""))</f>
        <v/>
      </c>
    </row>
    <row r="4867" customFormat="false" ht="15" hidden="false" customHeight="false" outlineLevel="0" collapsed="false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9"/>
      <c r="L4867" s="9"/>
      <c r="M4867" s="9"/>
      <c r="N4867" s="9"/>
      <c r="O4867" s="9"/>
      <c r="P4867" s="9"/>
      <c r="Q4867" s="9"/>
      <c r="R4867" s="9" t="str">
        <f aca="false">IF(AND(A4867&lt;&gt;"",ISNUMBER(Q4867),ISNUMBER(L4867)),ROUND(Q4867-IF(ISNUMBER(N4867),N4867,0)-IF(ISNUMBER(O4867),O4867,0)+IF(ISNUMBER(P4867),P4867,0),2),"")</f>
        <v/>
      </c>
      <c r="S4867" s="9" t="str">
        <f aca="false">IF(R4867="","",ROUND(L4867-R4867,2))</f>
        <v/>
      </c>
      <c r="T4867" s="8" t="str">
        <f aca="false">IF(A4867="","",IF(S4867="","BYPASS",IF(ABS(S4867)&lt;=Summary!$B$2,"PASS","FAIL")))</f>
        <v/>
      </c>
      <c r="U4867" s="8" t="str">
        <f aca="false">IF(T4867="BYPASS",IF(NOT(ISNUMBER(Q4867)),"PreV_ETB missing","End_tr_balance missing"),IF(T4867="FAIL",IF(AND(ISNUMBER(K4867),ISNUMBER(L4867),ABS(L4867-(K4867-IF(ISNUMBER(N4867),N4867,0)-IF(ISNUMBER(O4867),O4867,0)+IF(ISNUMBER(P4867),P4867,0)))&lt;=Summary!$B$2),"Passes using beginning_balance - PreV_ETB differs from beginning_balance",IF(AND(ISNUMBER(O4867),O4867&lt;0,ABS(L4867-(Q4867-IF(ISNUMBER(N4867),N4867,0)+IF(ISNUMBER(P4867),P4867,0)))&lt;=Summary!$B$2),"Negative realized loss not applied - check sign",IF(R4867&lt;0,"Principal paid exceeds prior balance",IF(AND(L4867&gt;Q4867,NOT(ISNUMBER(P4867))),"Balance increased but no Deferred_interest reported",IF(L4867&gt;R4867,"Reported balance higher than expected (missing increase/OC build)","Reported balance lower than expected (missing decrease)"))))),""))</f>
        <v/>
      </c>
    </row>
    <row r="4868" customFormat="false" ht="15" hidden="false" customHeight="false" outlineLevel="0" collapsed="false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9"/>
      <c r="L4868" s="9"/>
      <c r="M4868" s="9"/>
      <c r="N4868" s="9"/>
      <c r="O4868" s="9"/>
      <c r="P4868" s="9"/>
      <c r="Q4868" s="9"/>
      <c r="R4868" s="9" t="str">
        <f aca="false">IF(AND(A4868&lt;&gt;"",ISNUMBER(Q4868),ISNUMBER(L4868)),ROUND(Q4868-IF(ISNUMBER(N4868),N4868,0)-IF(ISNUMBER(O4868),O4868,0)+IF(ISNUMBER(P4868),P4868,0),2),"")</f>
        <v/>
      </c>
      <c r="S4868" s="9" t="str">
        <f aca="false">IF(R4868="","",ROUND(L4868-R4868,2))</f>
        <v/>
      </c>
      <c r="T4868" s="8" t="str">
        <f aca="false">IF(A4868="","",IF(S4868="","BYPASS",IF(ABS(S4868)&lt;=Summary!$B$2,"PASS","FAIL")))</f>
        <v/>
      </c>
      <c r="U4868" s="8" t="str">
        <f aca="false">IF(T4868="BYPASS",IF(NOT(ISNUMBER(Q4868)),"PreV_ETB missing","End_tr_balance missing"),IF(T4868="FAIL",IF(AND(ISNUMBER(K4868),ISNUMBER(L4868),ABS(L4868-(K4868-IF(ISNUMBER(N4868),N4868,0)-IF(ISNUMBER(O4868),O4868,0)+IF(ISNUMBER(P4868),P4868,0)))&lt;=Summary!$B$2),"Passes using beginning_balance - PreV_ETB differs from beginning_balance",IF(AND(ISNUMBER(O4868),O4868&lt;0,ABS(L4868-(Q4868-IF(ISNUMBER(N4868),N4868,0)+IF(ISNUMBER(P4868),P4868,0)))&lt;=Summary!$B$2),"Negative realized loss not applied - check sign",IF(R4868&lt;0,"Principal paid exceeds prior balance",IF(AND(L4868&gt;Q4868,NOT(ISNUMBER(P4868))),"Balance increased but no Deferred_interest reported",IF(L4868&gt;R4868,"Reported balance higher than expected (missing increase/OC build)","Reported balance lower than expected (missing decrease)"))))),""))</f>
        <v/>
      </c>
    </row>
    <row r="4869" customFormat="false" ht="15" hidden="false" customHeight="false" outlineLevel="0" collapsed="false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9"/>
      <c r="L4869" s="9"/>
      <c r="M4869" s="9"/>
      <c r="N4869" s="9"/>
      <c r="O4869" s="9"/>
      <c r="P4869" s="9"/>
      <c r="Q4869" s="9"/>
      <c r="R4869" s="9" t="str">
        <f aca="false">IF(AND(A4869&lt;&gt;"",ISNUMBER(Q4869),ISNUMBER(L4869)),ROUND(Q4869-IF(ISNUMBER(N4869),N4869,0)-IF(ISNUMBER(O4869),O4869,0)+IF(ISNUMBER(P4869),P4869,0),2),"")</f>
        <v/>
      </c>
      <c r="S4869" s="9" t="str">
        <f aca="false">IF(R4869="","",ROUND(L4869-R4869,2))</f>
        <v/>
      </c>
      <c r="T4869" s="8" t="str">
        <f aca="false">IF(A4869="","",IF(S4869="","BYPASS",IF(ABS(S4869)&lt;=Summary!$B$2,"PASS","FAIL")))</f>
        <v/>
      </c>
      <c r="U4869" s="8" t="str">
        <f aca="false">IF(T4869="BYPASS",IF(NOT(ISNUMBER(Q4869)),"PreV_ETB missing","End_tr_balance missing"),IF(T4869="FAIL",IF(AND(ISNUMBER(K4869),ISNUMBER(L4869),ABS(L4869-(K4869-IF(ISNUMBER(N4869),N4869,0)-IF(ISNUMBER(O4869),O4869,0)+IF(ISNUMBER(P4869),P4869,0)))&lt;=Summary!$B$2),"Passes using beginning_balance - PreV_ETB differs from beginning_balance",IF(AND(ISNUMBER(O4869),O4869&lt;0,ABS(L4869-(Q4869-IF(ISNUMBER(N4869),N4869,0)+IF(ISNUMBER(P4869),P4869,0)))&lt;=Summary!$B$2),"Negative realized loss not applied - check sign",IF(R4869&lt;0,"Principal paid exceeds prior balance",IF(AND(L4869&gt;Q4869,NOT(ISNUMBER(P4869))),"Balance increased but no Deferred_interest reported",IF(L4869&gt;R4869,"Reported balance higher than expected (missing increase/OC build)","Reported balance lower than expected (missing decrease)"))))),""))</f>
        <v/>
      </c>
    </row>
    <row r="4870" customFormat="false" ht="15" hidden="false" customHeight="false" outlineLevel="0" collapsed="false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9"/>
      <c r="L4870" s="9"/>
      <c r="M4870" s="9"/>
      <c r="N4870" s="9"/>
      <c r="O4870" s="9"/>
      <c r="P4870" s="9"/>
      <c r="Q4870" s="9"/>
      <c r="R4870" s="9" t="str">
        <f aca="false">IF(AND(A4870&lt;&gt;"",ISNUMBER(Q4870),ISNUMBER(L4870)),ROUND(Q4870-IF(ISNUMBER(N4870),N4870,0)-IF(ISNUMBER(O4870),O4870,0)+IF(ISNUMBER(P4870),P4870,0),2),"")</f>
        <v/>
      </c>
      <c r="S4870" s="9" t="str">
        <f aca="false">IF(R4870="","",ROUND(L4870-R4870,2))</f>
        <v/>
      </c>
      <c r="T4870" s="8" t="str">
        <f aca="false">IF(A4870="","",IF(S4870="","BYPASS",IF(ABS(S4870)&lt;=Summary!$B$2,"PASS","FAIL")))</f>
        <v/>
      </c>
      <c r="U4870" s="8" t="str">
        <f aca="false">IF(T4870="BYPASS",IF(NOT(ISNUMBER(Q4870)),"PreV_ETB missing","End_tr_balance missing"),IF(T4870="FAIL",IF(AND(ISNUMBER(K4870),ISNUMBER(L4870),ABS(L4870-(K4870-IF(ISNUMBER(N4870),N4870,0)-IF(ISNUMBER(O4870),O4870,0)+IF(ISNUMBER(P4870),P4870,0)))&lt;=Summary!$B$2),"Passes using beginning_balance - PreV_ETB differs from beginning_balance",IF(AND(ISNUMBER(O4870),O4870&lt;0,ABS(L4870-(Q4870-IF(ISNUMBER(N4870),N4870,0)+IF(ISNUMBER(P4870),P4870,0)))&lt;=Summary!$B$2),"Negative realized loss not applied - check sign",IF(R4870&lt;0,"Principal paid exceeds prior balance",IF(AND(L4870&gt;Q4870,NOT(ISNUMBER(P4870))),"Balance increased but no Deferred_interest reported",IF(L4870&gt;R4870,"Reported balance higher than expected (missing increase/OC build)","Reported balance lower than expected (missing decrease)"))))),""))</f>
        <v/>
      </c>
    </row>
    <row r="4871" customFormat="false" ht="15" hidden="false" customHeight="false" outlineLevel="0" collapsed="false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9"/>
      <c r="L4871" s="9"/>
      <c r="M4871" s="9"/>
      <c r="N4871" s="9"/>
      <c r="O4871" s="9"/>
      <c r="P4871" s="9"/>
      <c r="Q4871" s="9"/>
      <c r="R4871" s="9" t="str">
        <f aca="false">IF(AND(A4871&lt;&gt;"",ISNUMBER(Q4871),ISNUMBER(L4871)),ROUND(Q4871-IF(ISNUMBER(N4871),N4871,0)-IF(ISNUMBER(O4871),O4871,0)+IF(ISNUMBER(P4871),P4871,0),2),"")</f>
        <v/>
      </c>
      <c r="S4871" s="9" t="str">
        <f aca="false">IF(R4871="","",ROUND(L4871-R4871,2))</f>
        <v/>
      </c>
      <c r="T4871" s="8" t="str">
        <f aca="false">IF(A4871="","",IF(S4871="","BYPASS",IF(ABS(S4871)&lt;=Summary!$B$2,"PASS","FAIL")))</f>
        <v/>
      </c>
      <c r="U4871" s="8" t="str">
        <f aca="false">IF(T4871="BYPASS",IF(NOT(ISNUMBER(Q4871)),"PreV_ETB missing","End_tr_balance missing"),IF(T4871="FAIL",IF(AND(ISNUMBER(K4871),ISNUMBER(L4871),ABS(L4871-(K4871-IF(ISNUMBER(N4871),N4871,0)-IF(ISNUMBER(O4871),O4871,0)+IF(ISNUMBER(P4871),P4871,0)))&lt;=Summary!$B$2),"Passes using beginning_balance - PreV_ETB differs from beginning_balance",IF(AND(ISNUMBER(O4871),O4871&lt;0,ABS(L4871-(Q4871-IF(ISNUMBER(N4871),N4871,0)+IF(ISNUMBER(P4871),P4871,0)))&lt;=Summary!$B$2),"Negative realized loss not applied - check sign",IF(R4871&lt;0,"Principal paid exceeds prior balance",IF(AND(L4871&gt;Q4871,NOT(ISNUMBER(P4871))),"Balance increased but no Deferred_interest reported",IF(L4871&gt;R4871,"Reported balance higher than expected (missing increase/OC build)","Reported balance lower than expected (missing decrease)"))))),""))</f>
        <v/>
      </c>
    </row>
    <row r="4872" customFormat="false" ht="15" hidden="false" customHeight="false" outlineLevel="0" collapsed="false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9"/>
      <c r="L4872" s="9"/>
      <c r="M4872" s="9"/>
      <c r="N4872" s="9"/>
      <c r="O4872" s="9"/>
      <c r="P4872" s="9"/>
      <c r="Q4872" s="9"/>
      <c r="R4872" s="9" t="str">
        <f aca="false">IF(AND(A4872&lt;&gt;"",ISNUMBER(Q4872),ISNUMBER(L4872)),ROUND(Q4872-IF(ISNUMBER(N4872),N4872,0)-IF(ISNUMBER(O4872),O4872,0)+IF(ISNUMBER(P4872),P4872,0),2),"")</f>
        <v/>
      </c>
      <c r="S4872" s="9" t="str">
        <f aca="false">IF(R4872="","",ROUND(L4872-R4872,2))</f>
        <v/>
      </c>
      <c r="T4872" s="8" t="str">
        <f aca="false">IF(A4872="","",IF(S4872="","BYPASS",IF(ABS(S4872)&lt;=Summary!$B$2,"PASS","FAIL")))</f>
        <v/>
      </c>
      <c r="U4872" s="8" t="str">
        <f aca="false">IF(T4872="BYPASS",IF(NOT(ISNUMBER(Q4872)),"PreV_ETB missing","End_tr_balance missing"),IF(T4872="FAIL",IF(AND(ISNUMBER(K4872),ISNUMBER(L4872),ABS(L4872-(K4872-IF(ISNUMBER(N4872),N4872,0)-IF(ISNUMBER(O4872),O4872,0)+IF(ISNUMBER(P4872),P4872,0)))&lt;=Summary!$B$2),"Passes using beginning_balance - PreV_ETB differs from beginning_balance",IF(AND(ISNUMBER(O4872),O4872&lt;0,ABS(L4872-(Q4872-IF(ISNUMBER(N4872),N4872,0)+IF(ISNUMBER(P4872),P4872,0)))&lt;=Summary!$B$2),"Negative realized loss not applied - check sign",IF(R4872&lt;0,"Principal paid exceeds prior balance",IF(AND(L4872&gt;Q4872,NOT(ISNUMBER(P4872))),"Balance increased but no Deferred_interest reported",IF(L4872&gt;R4872,"Reported balance higher than expected (missing increase/OC build)","Reported balance lower than expected (missing decrease)"))))),""))</f>
        <v/>
      </c>
    </row>
    <row r="4873" customFormat="false" ht="15" hidden="false" customHeight="false" outlineLevel="0" collapsed="false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9"/>
      <c r="L4873" s="9"/>
      <c r="M4873" s="9"/>
      <c r="N4873" s="9"/>
      <c r="O4873" s="9"/>
      <c r="P4873" s="9"/>
      <c r="Q4873" s="9"/>
      <c r="R4873" s="9" t="str">
        <f aca="false">IF(AND(A4873&lt;&gt;"",ISNUMBER(Q4873),ISNUMBER(L4873)),ROUND(Q4873-IF(ISNUMBER(N4873),N4873,0)-IF(ISNUMBER(O4873),O4873,0)+IF(ISNUMBER(P4873),P4873,0),2),"")</f>
        <v/>
      </c>
      <c r="S4873" s="9" t="str">
        <f aca="false">IF(R4873="","",ROUND(L4873-R4873,2))</f>
        <v/>
      </c>
      <c r="T4873" s="8" t="str">
        <f aca="false">IF(A4873="","",IF(S4873="","BYPASS",IF(ABS(S4873)&lt;=Summary!$B$2,"PASS","FAIL")))</f>
        <v/>
      </c>
      <c r="U4873" s="8" t="str">
        <f aca="false">IF(T4873="BYPASS",IF(NOT(ISNUMBER(Q4873)),"PreV_ETB missing","End_tr_balance missing"),IF(T4873="FAIL",IF(AND(ISNUMBER(K4873),ISNUMBER(L4873),ABS(L4873-(K4873-IF(ISNUMBER(N4873),N4873,0)-IF(ISNUMBER(O4873),O4873,0)+IF(ISNUMBER(P4873),P4873,0)))&lt;=Summary!$B$2),"Passes using beginning_balance - PreV_ETB differs from beginning_balance",IF(AND(ISNUMBER(O4873),O4873&lt;0,ABS(L4873-(Q4873-IF(ISNUMBER(N4873),N4873,0)+IF(ISNUMBER(P4873),P4873,0)))&lt;=Summary!$B$2),"Negative realized loss not applied - check sign",IF(R4873&lt;0,"Principal paid exceeds prior balance",IF(AND(L4873&gt;Q4873,NOT(ISNUMBER(P4873))),"Balance increased but no Deferred_interest reported",IF(L4873&gt;R4873,"Reported balance higher than expected (missing increase/OC build)","Reported balance lower than expected (missing decrease)"))))),""))</f>
        <v/>
      </c>
    </row>
    <row r="4874" customFormat="false" ht="15" hidden="false" customHeight="false" outlineLevel="0" collapsed="false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9"/>
      <c r="L4874" s="9"/>
      <c r="M4874" s="9"/>
      <c r="N4874" s="9"/>
      <c r="O4874" s="9"/>
      <c r="P4874" s="9"/>
      <c r="Q4874" s="9"/>
      <c r="R4874" s="9" t="str">
        <f aca="false">IF(AND(A4874&lt;&gt;"",ISNUMBER(Q4874),ISNUMBER(L4874)),ROUND(Q4874-IF(ISNUMBER(N4874),N4874,0)-IF(ISNUMBER(O4874),O4874,0)+IF(ISNUMBER(P4874),P4874,0),2),"")</f>
        <v/>
      </c>
      <c r="S4874" s="9" t="str">
        <f aca="false">IF(R4874="","",ROUND(L4874-R4874,2))</f>
        <v/>
      </c>
      <c r="T4874" s="8" t="str">
        <f aca="false">IF(A4874="","",IF(S4874="","BYPASS",IF(ABS(S4874)&lt;=Summary!$B$2,"PASS","FAIL")))</f>
        <v/>
      </c>
      <c r="U4874" s="8" t="str">
        <f aca="false">IF(T4874="BYPASS",IF(NOT(ISNUMBER(Q4874)),"PreV_ETB missing","End_tr_balance missing"),IF(T4874="FAIL",IF(AND(ISNUMBER(K4874),ISNUMBER(L4874),ABS(L4874-(K4874-IF(ISNUMBER(N4874),N4874,0)-IF(ISNUMBER(O4874),O4874,0)+IF(ISNUMBER(P4874),P4874,0)))&lt;=Summary!$B$2),"Passes using beginning_balance - PreV_ETB differs from beginning_balance",IF(AND(ISNUMBER(O4874),O4874&lt;0,ABS(L4874-(Q4874-IF(ISNUMBER(N4874),N4874,0)+IF(ISNUMBER(P4874),P4874,0)))&lt;=Summary!$B$2),"Negative realized loss not applied - check sign",IF(R4874&lt;0,"Principal paid exceeds prior balance",IF(AND(L4874&gt;Q4874,NOT(ISNUMBER(P4874))),"Balance increased but no Deferred_interest reported",IF(L4874&gt;R4874,"Reported balance higher than expected (missing increase/OC build)","Reported balance lower than expected (missing decrease)"))))),""))</f>
        <v/>
      </c>
    </row>
    <row r="4875" customFormat="false" ht="15" hidden="false" customHeight="false" outlineLevel="0" collapsed="false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9"/>
      <c r="L4875" s="9"/>
      <c r="M4875" s="9"/>
      <c r="N4875" s="9"/>
      <c r="O4875" s="9"/>
      <c r="P4875" s="9"/>
      <c r="Q4875" s="9"/>
      <c r="R4875" s="9" t="str">
        <f aca="false">IF(AND(A4875&lt;&gt;"",ISNUMBER(Q4875),ISNUMBER(L4875)),ROUND(Q4875-IF(ISNUMBER(N4875),N4875,0)-IF(ISNUMBER(O4875),O4875,0)+IF(ISNUMBER(P4875),P4875,0),2),"")</f>
        <v/>
      </c>
      <c r="S4875" s="9" t="str">
        <f aca="false">IF(R4875="","",ROUND(L4875-R4875,2))</f>
        <v/>
      </c>
      <c r="T4875" s="8" t="str">
        <f aca="false">IF(A4875="","",IF(S4875="","BYPASS",IF(ABS(S4875)&lt;=Summary!$B$2,"PASS","FAIL")))</f>
        <v/>
      </c>
      <c r="U4875" s="8" t="str">
        <f aca="false">IF(T4875="BYPASS",IF(NOT(ISNUMBER(Q4875)),"PreV_ETB missing","End_tr_balance missing"),IF(T4875="FAIL",IF(AND(ISNUMBER(K4875),ISNUMBER(L4875),ABS(L4875-(K4875-IF(ISNUMBER(N4875),N4875,0)-IF(ISNUMBER(O4875),O4875,0)+IF(ISNUMBER(P4875),P4875,0)))&lt;=Summary!$B$2),"Passes using beginning_balance - PreV_ETB differs from beginning_balance",IF(AND(ISNUMBER(O4875),O4875&lt;0,ABS(L4875-(Q4875-IF(ISNUMBER(N4875),N4875,0)+IF(ISNUMBER(P4875),P4875,0)))&lt;=Summary!$B$2),"Negative realized loss not applied - check sign",IF(R4875&lt;0,"Principal paid exceeds prior balance",IF(AND(L4875&gt;Q4875,NOT(ISNUMBER(P4875))),"Balance increased but no Deferred_interest reported",IF(L4875&gt;R4875,"Reported balance higher than expected (missing increase/OC build)","Reported balance lower than expected (missing decrease)"))))),""))</f>
        <v/>
      </c>
    </row>
    <row r="4876" customFormat="false" ht="15" hidden="false" customHeight="false" outlineLevel="0" collapsed="false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9"/>
      <c r="L4876" s="9"/>
      <c r="M4876" s="9"/>
      <c r="N4876" s="9"/>
      <c r="O4876" s="9"/>
      <c r="P4876" s="9"/>
      <c r="Q4876" s="9"/>
      <c r="R4876" s="9" t="str">
        <f aca="false">IF(AND(A4876&lt;&gt;"",ISNUMBER(Q4876),ISNUMBER(L4876)),ROUND(Q4876-IF(ISNUMBER(N4876),N4876,0)-IF(ISNUMBER(O4876),O4876,0)+IF(ISNUMBER(P4876),P4876,0),2),"")</f>
        <v/>
      </c>
      <c r="S4876" s="9" t="str">
        <f aca="false">IF(R4876="","",ROUND(L4876-R4876,2))</f>
        <v/>
      </c>
      <c r="T4876" s="8" t="str">
        <f aca="false">IF(A4876="","",IF(S4876="","BYPASS",IF(ABS(S4876)&lt;=Summary!$B$2,"PASS","FAIL")))</f>
        <v/>
      </c>
      <c r="U4876" s="8" t="str">
        <f aca="false">IF(T4876="BYPASS",IF(NOT(ISNUMBER(Q4876)),"PreV_ETB missing","End_tr_balance missing"),IF(T4876="FAIL",IF(AND(ISNUMBER(K4876),ISNUMBER(L4876),ABS(L4876-(K4876-IF(ISNUMBER(N4876),N4876,0)-IF(ISNUMBER(O4876),O4876,0)+IF(ISNUMBER(P4876),P4876,0)))&lt;=Summary!$B$2),"Passes using beginning_balance - PreV_ETB differs from beginning_balance",IF(AND(ISNUMBER(O4876),O4876&lt;0,ABS(L4876-(Q4876-IF(ISNUMBER(N4876),N4876,0)+IF(ISNUMBER(P4876),P4876,0)))&lt;=Summary!$B$2),"Negative realized loss not applied - check sign",IF(R4876&lt;0,"Principal paid exceeds prior balance",IF(AND(L4876&gt;Q4876,NOT(ISNUMBER(P4876))),"Balance increased but no Deferred_interest reported",IF(L4876&gt;R4876,"Reported balance higher than expected (missing increase/OC build)","Reported balance lower than expected (missing decrease)"))))),""))</f>
        <v/>
      </c>
    </row>
    <row r="4877" customFormat="false" ht="15" hidden="false" customHeight="false" outlineLevel="0" collapsed="false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9"/>
      <c r="L4877" s="9"/>
      <c r="M4877" s="9"/>
      <c r="N4877" s="9"/>
      <c r="O4877" s="9"/>
      <c r="P4877" s="9"/>
      <c r="Q4877" s="9"/>
      <c r="R4877" s="9" t="str">
        <f aca="false">IF(AND(A4877&lt;&gt;"",ISNUMBER(Q4877),ISNUMBER(L4877)),ROUND(Q4877-IF(ISNUMBER(N4877),N4877,0)-IF(ISNUMBER(O4877),O4877,0)+IF(ISNUMBER(P4877),P4877,0),2),"")</f>
        <v/>
      </c>
      <c r="S4877" s="9" t="str">
        <f aca="false">IF(R4877="","",ROUND(L4877-R4877,2))</f>
        <v/>
      </c>
      <c r="T4877" s="8" t="str">
        <f aca="false">IF(A4877="","",IF(S4877="","BYPASS",IF(ABS(S4877)&lt;=Summary!$B$2,"PASS","FAIL")))</f>
        <v/>
      </c>
      <c r="U4877" s="8" t="str">
        <f aca="false">IF(T4877="BYPASS",IF(NOT(ISNUMBER(Q4877)),"PreV_ETB missing","End_tr_balance missing"),IF(T4877="FAIL",IF(AND(ISNUMBER(K4877),ISNUMBER(L4877),ABS(L4877-(K4877-IF(ISNUMBER(N4877),N4877,0)-IF(ISNUMBER(O4877),O4877,0)+IF(ISNUMBER(P4877),P4877,0)))&lt;=Summary!$B$2),"Passes using beginning_balance - PreV_ETB differs from beginning_balance",IF(AND(ISNUMBER(O4877),O4877&lt;0,ABS(L4877-(Q4877-IF(ISNUMBER(N4877),N4877,0)+IF(ISNUMBER(P4877),P4877,0)))&lt;=Summary!$B$2),"Negative realized loss not applied - check sign",IF(R4877&lt;0,"Principal paid exceeds prior balance",IF(AND(L4877&gt;Q4877,NOT(ISNUMBER(P4877))),"Balance increased but no Deferred_interest reported",IF(L4877&gt;R4877,"Reported balance higher than expected (missing increase/OC build)","Reported balance lower than expected (missing decrease)"))))),""))</f>
        <v/>
      </c>
    </row>
    <row r="4878" customFormat="false" ht="15" hidden="false" customHeight="false" outlineLevel="0" collapsed="false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9"/>
      <c r="L4878" s="9"/>
      <c r="M4878" s="9"/>
      <c r="N4878" s="9"/>
      <c r="O4878" s="9"/>
      <c r="P4878" s="9"/>
      <c r="Q4878" s="9"/>
      <c r="R4878" s="9" t="str">
        <f aca="false">IF(AND(A4878&lt;&gt;"",ISNUMBER(Q4878),ISNUMBER(L4878)),ROUND(Q4878-IF(ISNUMBER(N4878),N4878,0)-IF(ISNUMBER(O4878),O4878,0)+IF(ISNUMBER(P4878),P4878,0),2),"")</f>
        <v/>
      </c>
      <c r="S4878" s="9" t="str">
        <f aca="false">IF(R4878="","",ROUND(L4878-R4878,2))</f>
        <v/>
      </c>
      <c r="T4878" s="8" t="str">
        <f aca="false">IF(A4878="","",IF(S4878="","BYPASS",IF(ABS(S4878)&lt;=Summary!$B$2,"PASS","FAIL")))</f>
        <v/>
      </c>
      <c r="U4878" s="8" t="str">
        <f aca="false">IF(T4878="BYPASS",IF(NOT(ISNUMBER(Q4878)),"PreV_ETB missing","End_tr_balance missing"),IF(T4878="FAIL",IF(AND(ISNUMBER(K4878),ISNUMBER(L4878),ABS(L4878-(K4878-IF(ISNUMBER(N4878),N4878,0)-IF(ISNUMBER(O4878),O4878,0)+IF(ISNUMBER(P4878),P4878,0)))&lt;=Summary!$B$2),"Passes using beginning_balance - PreV_ETB differs from beginning_balance",IF(AND(ISNUMBER(O4878),O4878&lt;0,ABS(L4878-(Q4878-IF(ISNUMBER(N4878),N4878,0)+IF(ISNUMBER(P4878),P4878,0)))&lt;=Summary!$B$2),"Negative realized loss not applied - check sign",IF(R4878&lt;0,"Principal paid exceeds prior balance",IF(AND(L4878&gt;Q4878,NOT(ISNUMBER(P4878))),"Balance increased but no Deferred_interest reported",IF(L4878&gt;R4878,"Reported balance higher than expected (missing increase/OC build)","Reported balance lower than expected (missing decrease)"))))),""))</f>
        <v/>
      </c>
    </row>
    <row r="4879" customFormat="false" ht="15" hidden="false" customHeight="false" outlineLevel="0" collapsed="false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9"/>
      <c r="L4879" s="9"/>
      <c r="M4879" s="9"/>
      <c r="N4879" s="9"/>
      <c r="O4879" s="9"/>
      <c r="P4879" s="9"/>
      <c r="Q4879" s="9"/>
      <c r="R4879" s="9" t="str">
        <f aca="false">IF(AND(A4879&lt;&gt;"",ISNUMBER(Q4879),ISNUMBER(L4879)),ROUND(Q4879-IF(ISNUMBER(N4879),N4879,0)-IF(ISNUMBER(O4879),O4879,0)+IF(ISNUMBER(P4879),P4879,0),2),"")</f>
        <v/>
      </c>
      <c r="S4879" s="9" t="str">
        <f aca="false">IF(R4879="","",ROUND(L4879-R4879,2))</f>
        <v/>
      </c>
      <c r="T4879" s="8" t="str">
        <f aca="false">IF(A4879="","",IF(S4879="","BYPASS",IF(ABS(S4879)&lt;=Summary!$B$2,"PASS","FAIL")))</f>
        <v/>
      </c>
      <c r="U4879" s="8" t="str">
        <f aca="false">IF(T4879="BYPASS",IF(NOT(ISNUMBER(Q4879)),"PreV_ETB missing","End_tr_balance missing"),IF(T4879="FAIL",IF(AND(ISNUMBER(K4879),ISNUMBER(L4879),ABS(L4879-(K4879-IF(ISNUMBER(N4879),N4879,0)-IF(ISNUMBER(O4879),O4879,0)+IF(ISNUMBER(P4879),P4879,0)))&lt;=Summary!$B$2),"Passes using beginning_balance - PreV_ETB differs from beginning_balance",IF(AND(ISNUMBER(O4879),O4879&lt;0,ABS(L4879-(Q4879-IF(ISNUMBER(N4879),N4879,0)+IF(ISNUMBER(P4879),P4879,0)))&lt;=Summary!$B$2),"Negative realized loss not applied - check sign",IF(R4879&lt;0,"Principal paid exceeds prior balance",IF(AND(L4879&gt;Q4879,NOT(ISNUMBER(P4879))),"Balance increased but no Deferred_interest reported",IF(L4879&gt;R4879,"Reported balance higher than expected (missing increase/OC build)","Reported balance lower than expected (missing decrease)"))))),""))</f>
        <v/>
      </c>
    </row>
    <row r="4880" customFormat="false" ht="15" hidden="false" customHeight="false" outlineLevel="0" collapsed="false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9"/>
      <c r="L4880" s="9"/>
      <c r="M4880" s="9"/>
      <c r="N4880" s="9"/>
      <c r="O4880" s="9"/>
      <c r="P4880" s="9"/>
      <c r="Q4880" s="9"/>
      <c r="R4880" s="9" t="str">
        <f aca="false">IF(AND(A4880&lt;&gt;"",ISNUMBER(Q4880),ISNUMBER(L4880)),ROUND(Q4880-IF(ISNUMBER(N4880),N4880,0)-IF(ISNUMBER(O4880),O4880,0)+IF(ISNUMBER(P4880),P4880,0),2),"")</f>
        <v/>
      </c>
      <c r="S4880" s="9" t="str">
        <f aca="false">IF(R4880="","",ROUND(L4880-R4880,2))</f>
        <v/>
      </c>
      <c r="T4880" s="8" t="str">
        <f aca="false">IF(A4880="","",IF(S4880="","BYPASS",IF(ABS(S4880)&lt;=Summary!$B$2,"PASS","FAIL")))</f>
        <v/>
      </c>
      <c r="U4880" s="8" t="str">
        <f aca="false">IF(T4880="BYPASS",IF(NOT(ISNUMBER(Q4880)),"PreV_ETB missing","End_tr_balance missing"),IF(T4880="FAIL",IF(AND(ISNUMBER(K4880),ISNUMBER(L4880),ABS(L4880-(K4880-IF(ISNUMBER(N4880),N4880,0)-IF(ISNUMBER(O4880),O4880,0)+IF(ISNUMBER(P4880),P4880,0)))&lt;=Summary!$B$2),"Passes using beginning_balance - PreV_ETB differs from beginning_balance",IF(AND(ISNUMBER(O4880),O4880&lt;0,ABS(L4880-(Q4880-IF(ISNUMBER(N4880),N4880,0)+IF(ISNUMBER(P4880),P4880,0)))&lt;=Summary!$B$2),"Negative realized loss not applied - check sign",IF(R4880&lt;0,"Principal paid exceeds prior balance",IF(AND(L4880&gt;Q4880,NOT(ISNUMBER(P4880))),"Balance increased but no Deferred_interest reported",IF(L4880&gt;R4880,"Reported balance higher than expected (missing increase/OC build)","Reported balance lower than expected (missing decrease)"))))),""))</f>
        <v/>
      </c>
    </row>
    <row r="4881" customFormat="false" ht="15" hidden="false" customHeight="false" outlineLevel="0" collapsed="false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9"/>
      <c r="L4881" s="9"/>
      <c r="M4881" s="9"/>
      <c r="N4881" s="9"/>
      <c r="O4881" s="9"/>
      <c r="P4881" s="9"/>
      <c r="Q4881" s="9"/>
      <c r="R4881" s="9" t="str">
        <f aca="false">IF(AND(A4881&lt;&gt;"",ISNUMBER(Q4881),ISNUMBER(L4881)),ROUND(Q4881-IF(ISNUMBER(N4881),N4881,0)-IF(ISNUMBER(O4881),O4881,0)+IF(ISNUMBER(P4881),P4881,0),2),"")</f>
        <v/>
      </c>
      <c r="S4881" s="9" t="str">
        <f aca="false">IF(R4881="","",ROUND(L4881-R4881,2))</f>
        <v/>
      </c>
      <c r="T4881" s="8" t="str">
        <f aca="false">IF(A4881="","",IF(S4881="","BYPASS",IF(ABS(S4881)&lt;=Summary!$B$2,"PASS","FAIL")))</f>
        <v/>
      </c>
      <c r="U4881" s="8" t="str">
        <f aca="false">IF(T4881="BYPASS",IF(NOT(ISNUMBER(Q4881)),"PreV_ETB missing","End_tr_balance missing"),IF(T4881="FAIL",IF(AND(ISNUMBER(K4881),ISNUMBER(L4881),ABS(L4881-(K4881-IF(ISNUMBER(N4881),N4881,0)-IF(ISNUMBER(O4881),O4881,0)+IF(ISNUMBER(P4881),P4881,0)))&lt;=Summary!$B$2),"Passes using beginning_balance - PreV_ETB differs from beginning_balance",IF(AND(ISNUMBER(O4881),O4881&lt;0,ABS(L4881-(Q4881-IF(ISNUMBER(N4881),N4881,0)+IF(ISNUMBER(P4881),P4881,0)))&lt;=Summary!$B$2),"Negative realized loss not applied - check sign",IF(R4881&lt;0,"Principal paid exceeds prior balance",IF(AND(L4881&gt;Q4881,NOT(ISNUMBER(P4881))),"Balance increased but no Deferred_interest reported",IF(L4881&gt;R4881,"Reported balance higher than expected (missing increase/OC build)","Reported balance lower than expected (missing decrease)"))))),""))</f>
        <v/>
      </c>
    </row>
    <row r="4882" customFormat="false" ht="15" hidden="false" customHeight="false" outlineLevel="0" collapsed="false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9"/>
      <c r="L4882" s="9"/>
      <c r="M4882" s="9"/>
      <c r="N4882" s="9"/>
      <c r="O4882" s="9"/>
      <c r="P4882" s="9"/>
      <c r="Q4882" s="9"/>
      <c r="R4882" s="9" t="str">
        <f aca="false">IF(AND(A4882&lt;&gt;"",ISNUMBER(Q4882),ISNUMBER(L4882)),ROUND(Q4882-IF(ISNUMBER(N4882),N4882,0)-IF(ISNUMBER(O4882),O4882,0)+IF(ISNUMBER(P4882),P4882,0),2),"")</f>
        <v/>
      </c>
      <c r="S4882" s="9" t="str">
        <f aca="false">IF(R4882="","",ROUND(L4882-R4882,2))</f>
        <v/>
      </c>
      <c r="T4882" s="8" t="str">
        <f aca="false">IF(A4882="","",IF(S4882="","BYPASS",IF(ABS(S4882)&lt;=Summary!$B$2,"PASS","FAIL")))</f>
        <v/>
      </c>
      <c r="U4882" s="8" t="str">
        <f aca="false">IF(T4882="BYPASS",IF(NOT(ISNUMBER(Q4882)),"PreV_ETB missing","End_tr_balance missing"),IF(T4882="FAIL",IF(AND(ISNUMBER(K4882),ISNUMBER(L4882),ABS(L4882-(K4882-IF(ISNUMBER(N4882),N4882,0)-IF(ISNUMBER(O4882),O4882,0)+IF(ISNUMBER(P4882),P4882,0)))&lt;=Summary!$B$2),"Passes using beginning_balance - PreV_ETB differs from beginning_balance",IF(AND(ISNUMBER(O4882),O4882&lt;0,ABS(L4882-(Q4882-IF(ISNUMBER(N4882),N4882,0)+IF(ISNUMBER(P4882),P4882,0)))&lt;=Summary!$B$2),"Negative realized loss not applied - check sign",IF(R4882&lt;0,"Principal paid exceeds prior balance",IF(AND(L4882&gt;Q4882,NOT(ISNUMBER(P4882))),"Balance increased but no Deferred_interest reported",IF(L4882&gt;R4882,"Reported balance higher than expected (missing increase/OC build)","Reported balance lower than expected (missing decrease)"))))),""))</f>
        <v/>
      </c>
    </row>
    <row r="4883" customFormat="false" ht="15" hidden="false" customHeight="false" outlineLevel="0" collapsed="false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9"/>
      <c r="L4883" s="9"/>
      <c r="M4883" s="9"/>
      <c r="N4883" s="9"/>
      <c r="O4883" s="9"/>
      <c r="P4883" s="9"/>
      <c r="Q4883" s="9"/>
      <c r="R4883" s="9" t="str">
        <f aca="false">IF(AND(A4883&lt;&gt;"",ISNUMBER(Q4883),ISNUMBER(L4883)),ROUND(Q4883-IF(ISNUMBER(N4883),N4883,0)-IF(ISNUMBER(O4883),O4883,0)+IF(ISNUMBER(P4883),P4883,0),2),"")</f>
        <v/>
      </c>
      <c r="S4883" s="9" t="str">
        <f aca="false">IF(R4883="","",ROUND(L4883-R4883,2))</f>
        <v/>
      </c>
      <c r="T4883" s="8" t="str">
        <f aca="false">IF(A4883="","",IF(S4883="","BYPASS",IF(ABS(S4883)&lt;=Summary!$B$2,"PASS","FAIL")))</f>
        <v/>
      </c>
      <c r="U4883" s="8" t="str">
        <f aca="false">IF(T4883="BYPASS",IF(NOT(ISNUMBER(Q4883)),"PreV_ETB missing","End_tr_balance missing"),IF(T4883="FAIL",IF(AND(ISNUMBER(K4883),ISNUMBER(L4883),ABS(L4883-(K4883-IF(ISNUMBER(N4883),N4883,0)-IF(ISNUMBER(O4883),O4883,0)+IF(ISNUMBER(P4883),P4883,0)))&lt;=Summary!$B$2),"Passes using beginning_balance - PreV_ETB differs from beginning_balance",IF(AND(ISNUMBER(O4883),O4883&lt;0,ABS(L4883-(Q4883-IF(ISNUMBER(N4883),N4883,0)+IF(ISNUMBER(P4883),P4883,0)))&lt;=Summary!$B$2),"Negative realized loss not applied - check sign",IF(R4883&lt;0,"Principal paid exceeds prior balance",IF(AND(L4883&gt;Q4883,NOT(ISNUMBER(P4883))),"Balance increased but no Deferred_interest reported",IF(L4883&gt;R4883,"Reported balance higher than expected (missing increase/OC build)","Reported balance lower than expected (missing decrease)"))))),""))</f>
        <v/>
      </c>
    </row>
    <row r="4884" customFormat="false" ht="15" hidden="false" customHeight="false" outlineLevel="0" collapsed="false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9"/>
      <c r="L4884" s="9"/>
      <c r="M4884" s="9"/>
      <c r="N4884" s="9"/>
      <c r="O4884" s="9"/>
      <c r="P4884" s="9"/>
      <c r="Q4884" s="9"/>
      <c r="R4884" s="9" t="str">
        <f aca="false">IF(AND(A4884&lt;&gt;"",ISNUMBER(Q4884),ISNUMBER(L4884)),ROUND(Q4884-IF(ISNUMBER(N4884),N4884,0)-IF(ISNUMBER(O4884),O4884,0)+IF(ISNUMBER(P4884),P4884,0),2),"")</f>
        <v/>
      </c>
      <c r="S4884" s="9" t="str">
        <f aca="false">IF(R4884="","",ROUND(L4884-R4884,2))</f>
        <v/>
      </c>
      <c r="T4884" s="8" t="str">
        <f aca="false">IF(A4884="","",IF(S4884="","BYPASS",IF(ABS(S4884)&lt;=Summary!$B$2,"PASS","FAIL")))</f>
        <v/>
      </c>
      <c r="U4884" s="8" t="str">
        <f aca="false">IF(T4884="BYPASS",IF(NOT(ISNUMBER(Q4884)),"PreV_ETB missing","End_tr_balance missing"),IF(T4884="FAIL",IF(AND(ISNUMBER(K4884),ISNUMBER(L4884),ABS(L4884-(K4884-IF(ISNUMBER(N4884),N4884,0)-IF(ISNUMBER(O4884),O4884,0)+IF(ISNUMBER(P4884),P4884,0)))&lt;=Summary!$B$2),"Passes using beginning_balance - PreV_ETB differs from beginning_balance",IF(AND(ISNUMBER(O4884),O4884&lt;0,ABS(L4884-(Q4884-IF(ISNUMBER(N4884),N4884,0)+IF(ISNUMBER(P4884),P4884,0)))&lt;=Summary!$B$2),"Negative realized loss not applied - check sign",IF(R4884&lt;0,"Principal paid exceeds prior balance",IF(AND(L4884&gt;Q4884,NOT(ISNUMBER(P4884))),"Balance increased but no Deferred_interest reported",IF(L4884&gt;R4884,"Reported balance higher than expected (missing increase/OC build)","Reported balance lower than expected (missing decrease)"))))),""))</f>
        <v/>
      </c>
    </row>
    <row r="4885" customFormat="false" ht="15" hidden="false" customHeight="false" outlineLevel="0" collapsed="false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9"/>
      <c r="L4885" s="9"/>
      <c r="M4885" s="9"/>
      <c r="N4885" s="9"/>
      <c r="O4885" s="9"/>
      <c r="P4885" s="9"/>
      <c r="Q4885" s="9"/>
      <c r="R4885" s="9" t="str">
        <f aca="false">IF(AND(A4885&lt;&gt;"",ISNUMBER(Q4885),ISNUMBER(L4885)),ROUND(Q4885-IF(ISNUMBER(N4885),N4885,0)-IF(ISNUMBER(O4885),O4885,0)+IF(ISNUMBER(P4885),P4885,0),2),"")</f>
        <v/>
      </c>
      <c r="S4885" s="9" t="str">
        <f aca="false">IF(R4885="","",ROUND(L4885-R4885,2))</f>
        <v/>
      </c>
      <c r="T4885" s="8" t="str">
        <f aca="false">IF(A4885="","",IF(S4885="","BYPASS",IF(ABS(S4885)&lt;=Summary!$B$2,"PASS","FAIL")))</f>
        <v/>
      </c>
      <c r="U4885" s="8" t="str">
        <f aca="false">IF(T4885="BYPASS",IF(NOT(ISNUMBER(Q4885)),"PreV_ETB missing","End_tr_balance missing"),IF(T4885="FAIL",IF(AND(ISNUMBER(K4885),ISNUMBER(L4885),ABS(L4885-(K4885-IF(ISNUMBER(N4885),N4885,0)-IF(ISNUMBER(O4885),O4885,0)+IF(ISNUMBER(P4885),P4885,0)))&lt;=Summary!$B$2),"Passes using beginning_balance - PreV_ETB differs from beginning_balance",IF(AND(ISNUMBER(O4885),O4885&lt;0,ABS(L4885-(Q4885-IF(ISNUMBER(N4885),N4885,0)+IF(ISNUMBER(P4885),P4885,0)))&lt;=Summary!$B$2),"Negative realized loss not applied - check sign",IF(R4885&lt;0,"Principal paid exceeds prior balance",IF(AND(L4885&gt;Q4885,NOT(ISNUMBER(P4885))),"Balance increased but no Deferred_interest reported",IF(L4885&gt;R4885,"Reported balance higher than expected (missing increase/OC build)","Reported balance lower than expected (missing decrease)"))))),""))</f>
        <v/>
      </c>
    </row>
    <row r="4886" customFormat="false" ht="15" hidden="false" customHeight="false" outlineLevel="0" collapsed="false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9"/>
      <c r="L4886" s="9"/>
      <c r="M4886" s="9"/>
      <c r="N4886" s="9"/>
      <c r="O4886" s="9"/>
      <c r="P4886" s="9"/>
      <c r="Q4886" s="9"/>
      <c r="R4886" s="9" t="str">
        <f aca="false">IF(AND(A4886&lt;&gt;"",ISNUMBER(Q4886),ISNUMBER(L4886)),ROUND(Q4886-IF(ISNUMBER(N4886),N4886,0)-IF(ISNUMBER(O4886),O4886,0)+IF(ISNUMBER(P4886),P4886,0),2),"")</f>
        <v/>
      </c>
      <c r="S4886" s="9" t="str">
        <f aca="false">IF(R4886="","",ROUND(L4886-R4886,2))</f>
        <v/>
      </c>
      <c r="T4886" s="8" t="str">
        <f aca="false">IF(A4886="","",IF(S4886="","BYPASS",IF(ABS(S4886)&lt;=Summary!$B$2,"PASS","FAIL")))</f>
        <v/>
      </c>
      <c r="U4886" s="8" t="str">
        <f aca="false">IF(T4886="BYPASS",IF(NOT(ISNUMBER(Q4886)),"PreV_ETB missing","End_tr_balance missing"),IF(T4886="FAIL",IF(AND(ISNUMBER(K4886),ISNUMBER(L4886),ABS(L4886-(K4886-IF(ISNUMBER(N4886),N4886,0)-IF(ISNUMBER(O4886),O4886,0)+IF(ISNUMBER(P4886),P4886,0)))&lt;=Summary!$B$2),"Passes using beginning_balance - PreV_ETB differs from beginning_balance",IF(AND(ISNUMBER(O4886),O4886&lt;0,ABS(L4886-(Q4886-IF(ISNUMBER(N4886),N4886,0)+IF(ISNUMBER(P4886),P4886,0)))&lt;=Summary!$B$2),"Negative realized loss not applied - check sign",IF(R4886&lt;0,"Principal paid exceeds prior balance",IF(AND(L4886&gt;Q4886,NOT(ISNUMBER(P4886))),"Balance increased but no Deferred_interest reported",IF(L4886&gt;R4886,"Reported balance higher than expected (missing increase/OC build)","Reported balance lower than expected (missing decrease)"))))),""))</f>
        <v/>
      </c>
    </row>
    <row r="4887" customFormat="false" ht="15" hidden="false" customHeight="false" outlineLevel="0" collapsed="false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9"/>
      <c r="L4887" s="9"/>
      <c r="M4887" s="9"/>
      <c r="N4887" s="9"/>
      <c r="O4887" s="9"/>
      <c r="P4887" s="9"/>
      <c r="Q4887" s="9"/>
      <c r="R4887" s="9" t="str">
        <f aca="false">IF(AND(A4887&lt;&gt;"",ISNUMBER(Q4887),ISNUMBER(L4887)),ROUND(Q4887-IF(ISNUMBER(N4887),N4887,0)-IF(ISNUMBER(O4887),O4887,0)+IF(ISNUMBER(P4887),P4887,0),2),"")</f>
        <v/>
      </c>
      <c r="S4887" s="9" t="str">
        <f aca="false">IF(R4887="","",ROUND(L4887-R4887,2))</f>
        <v/>
      </c>
      <c r="T4887" s="8" t="str">
        <f aca="false">IF(A4887="","",IF(S4887="","BYPASS",IF(ABS(S4887)&lt;=Summary!$B$2,"PASS","FAIL")))</f>
        <v/>
      </c>
      <c r="U4887" s="8" t="str">
        <f aca="false">IF(T4887="BYPASS",IF(NOT(ISNUMBER(Q4887)),"PreV_ETB missing","End_tr_balance missing"),IF(T4887="FAIL",IF(AND(ISNUMBER(K4887),ISNUMBER(L4887),ABS(L4887-(K4887-IF(ISNUMBER(N4887),N4887,0)-IF(ISNUMBER(O4887),O4887,0)+IF(ISNUMBER(P4887),P4887,0)))&lt;=Summary!$B$2),"Passes using beginning_balance - PreV_ETB differs from beginning_balance",IF(AND(ISNUMBER(O4887),O4887&lt;0,ABS(L4887-(Q4887-IF(ISNUMBER(N4887),N4887,0)+IF(ISNUMBER(P4887),P4887,0)))&lt;=Summary!$B$2),"Negative realized loss not applied - check sign",IF(R4887&lt;0,"Principal paid exceeds prior balance",IF(AND(L4887&gt;Q4887,NOT(ISNUMBER(P4887))),"Balance increased but no Deferred_interest reported",IF(L4887&gt;R4887,"Reported balance higher than expected (missing increase/OC build)","Reported balance lower than expected (missing decrease)"))))),""))</f>
        <v/>
      </c>
    </row>
    <row r="4888" customFormat="false" ht="15" hidden="false" customHeight="false" outlineLevel="0" collapsed="false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9"/>
      <c r="L4888" s="9"/>
      <c r="M4888" s="9"/>
      <c r="N4888" s="9"/>
      <c r="O4888" s="9"/>
      <c r="P4888" s="9"/>
      <c r="Q4888" s="9"/>
      <c r="R4888" s="9" t="str">
        <f aca="false">IF(AND(A4888&lt;&gt;"",ISNUMBER(Q4888),ISNUMBER(L4888)),ROUND(Q4888-IF(ISNUMBER(N4888),N4888,0)-IF(ISNUMBER(O4888),O4888,0)+IF(ISNUMBER(P4888),P4888,0),2),"")</f>
        <v/>
      </c>
      <c r="S4888" s="9" t="str">
        <f aca="false">IF(R4888="","",ROUND(L4888-R4888,2))</f>
        <v/>
      </c>
      <c r="T4888" s="8" t="str">
        <f aca="false">IF(A4888="","",IF(S4888="","BYPASS",IF(ABS(S4888)&lt;=Summary!$B$2,"PASS","FAIL")))</f>
        <v/>
      </c>
      <c r="U4888" s="8" t="str">
        <f aca="false">IF(T4888="BYPASS",IF(NOT(ISNUMBER(Q4888)),"PreV_ETB missing","End_tr_balance missing"),IF(T4888="FAIL",IF(AND(ISNUMBER(K4888),ISNUMBER(L4888),ABS(L4888-(K4888-IF(ISNUMBER(N4888),N4888,0)-IF(ISNUMBER(O4888),O4888,0)+IF(ISNUMBER(P4888),P4888,0)))&lt;=Summary!$B$2),"Passes using beginning_balance - PreV_ETB differs from beginning_balance",IF(AND(ISNUMBER(O4888),O4888&lt;0,ABS(L4888-(Q4888-IF(ISNUMBER(N4888),N4888,0)+IF(ISNUMBER(P4888),P4888,0)))&lt;=Summary!$B$2),"Negative realized loss not applied - check sign",IF(R4888&lt;0,"Principal paid exceeds prior balance",IF(AND(L4888&gt;Q4888,NOT(ISNUMBER(P4888))),"Balance increased but no Deferred_interest reported",IF(L4888&gt;R4888,"Reported balance higher than expected (missing increase/OC build)","Reported balance lower than expected (missing decrease)"))))),""))</f>
        <v/>
      </c>
    </row>
    <row r="4889" customFormat="false" ht="15" hidden="false" customHeight="false" outlineLevel="0" collapsed="false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9"/>
      <c r="L4889" s="9"/>
      <c r="M4889" s="9"/>
      <c r="N4889" s="9"/>
      <c r="O4889" s="9"/>
      <c r="P4889" s="9"/>
      <c r="Q4889" s="9"/>
      <c r="R4889" s="9" t="str">
        <f aca="false">IF(AND(A4889&lt;&gt;"",ISNUMBER(Q4889),ISNUMBER(L4889)),ROUND(Q4889-IF(ISNUMBER(N4889),N4889,0)-IF(ISNUMBER(O4889),O4889,0)+IF(ISNUMBER(P4889),P4889,0),2),"")</f>
        <v/>
      </c>
      <c r="S4889" s="9" t="str">
        <f aca="false">IF(R4889="","",ROUND(L4889-R4889,2))</f>
        <v/>
      </c>
      <c r="T4889" s="8" t="str">
        <f aca="false">IF(A4889="","",IF(S4889="","BYPASS",IF(ABS(S4889)&lt;=Summary!$B$2,"PASS","FAIL")))</f>
        <v/>
      </c>
      <c r="U4889" s="8" t="str">
        <f aca="false">IF(T4889="BYPASS",IF(NOT(ISNUMBER(Q4889)),"PreV_ETB missing","End_tr_balance missing"),IF(T4889="FAIL",IF(AND(ISNUMBER(K4889),ISNUMBER(L4889),ABS(L4889-(K4889-IF(ISNUMBER(N4889),N4889,0)-IF(ISNUMBER(O4889),O4889,0)+IF(ISNUMBER(P4889),P4889,0)))&lt;=Summary!$B$2),"Passes using beginning_balance - PreV_ETB differs from beginning_balance",IF(AND(ISNUMBER(O4889),O4889&lt;0,ABS(L4889-(Q4889-IF(ISNUMBER(N4889),N4889,0)+IF(ISNUMBER(P4889),P4889,0)))&lt;=Summary!$B$2),"Negative realized loss not applied - check sign",IF(R4889&lt;0,"Principal paid exceeds prior balance",IF(AND(L4889&gt;Q4889,NOT(ISNUMBER(P4889))),"Balance increased but no Deferred_interest reported",IF(L4889&gt;R4889,"Reported balance higher than expected (missing increase/OC build)","Reported balance lower than expected (missing decrease)"))))),""))</f>
        <v/>
      </c>
    </row>
    <row r="4890" customFormat="false" ht="15" hidden="false" customHeight="false" outlineLevel="0" collapsed="false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9"/>
      <c r="L4890" s="9"/>
      <c r="M4890" s="9"/>
      <c r="N4890" s="9"/>
      <c r="O4890" s="9"/>
      <c r="P4890" s="9"/>
      <c r="Q4890" s="9"/>
      <c r="R4890" s="9" t="str">
        <f aca="false">IF(AND(A4890&lt;&gt;"",ISNUMBER(Q4890),ISNUMBER(L4890)),ROUND(Q4890-IF(ISNUMBER(N4890),N4890,0)-IF(ISNUMBER(O4890),O4890,0)+IF(ISNUMBER(P4890),P4890,0),2),"")</f>
        <v/>
      </c>
      <c r="S4890" s="9" t="str">
        <f aca="false">IF(R4890="","",ROUND(L4890-R4890,2))</f>
        <v/>
      </c>
      <c r="T4890" s="8" t="str">
        <f aca="false">IF(A4890="","",IF(S4890="","BYPASS",IF(ABS(S4890)&lt;=Summary!$B$2,"PASS","FAIL")))</f>
        <v/>
      </c>
      <c r="U4890" s="8" t="str">
        <f aca="false">IF(T4890="BYPASS",IF(NOT(ISNUMBER(Q4890)),"PreV_ETB missing","End_tr_balance missing"),IF(T4890="FAIL",IF(AND(ISNUMBER(K4890),ISNUMBER(L4890),ABS(L4890-(K4890-IF(ISNUMBER(N4890),N4890,0)-IF(ISNUMBER(O4890),O4890,0)+IF(ISNUMBER(P4890),P4890,0)))&lt;=Summary!$B$2),"Passes using beginning_balance - PreV_ETB differs from beginning_balance",IF(AND(ISNUMBER(O4890),O4890&lt;0,ABS(L4890-(Q4890-IF(ISNUMBER(N4890),N4890,0)+IF(ISNUMBER(P4890),P4890,0)))&lt;=Summary!$B$2),"Negative realized loss not applied - check sign",IF(R4890&lt;0,"Principal paid exceeds prior balance",IF(AND(L4890&gt;Q4890,NOT(ISNUMBER(P4890))),"Balance increased but no Deferred_interest reported",IF(L4890&gt;R4890,"Reported balance higher than expected (missing increase/OC build)","Reported balance lower than expected (missing decrease)"))))),""))</f>
        <v/>
      </c>
    </row>
    <row r="4891" customFormat="false" ht="15" hidden="false" customHeight="false" outlineLevel="0" collapsed="false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9"/>
      <c r="L4891" s="9"/>
      <c r="M4891" s="9"/>
      <c r="N4891" s="9"/>
      <c r="O4891" s="9"/>
      <c r="P4891" s="9"/>
      <c r="Q4891" s="9"/>
      <c r="R4891" s="9" t="str">
        <f aca="false">IF(AND(A4891&lt;&gt;"",ISNUMBER(Q4891),ISNUMBER(L4891)),ROUND(Q4891-IF(ISNUMBER(N4891),N4891,0)-IF(ISNUMBER(O4891),O4891,0)+IF(ISNUMBER(P4891),P4891,0),2),"")</f>
        <v/>
      </c>
      <c r="S4891" s="9" t="str">
        <f aca="false">IF(R4891="","",ROUND(L4891-R4891,2))</f>
        <v/>
      </c>
      <c r="T4891" s="8" t="str">
        <f aca="false">IF(A4891="","",IF(S4891="","BYPASS",IF(ABS(S4891)&lt;=Summary!$B$2,"PASS","FAIL")))</f>
        <v/>
      </c>
      <c r="U4891" s="8" t="str">
        <f aca="false">IF(T4891="BYPASS",IF(NOT(ISNUMBER(Q4891)),"PreV_ETB missing","End_tr_balance missing"),IF(T4891="FAIL",IF(AND(ISNUMBER(K4891),ISNUMBER(L4891),ABS(L4891-(K4891-IF(ISNUMBER(N4891),N4891,0)-IF(ISNUMBER(O4891),O4891,0)+IF(ISNUMBER(P4891),P4891,0)))&lt;=Summary!$B$2),"Passes using beginning_balance - PreV_ETB differs from beginning_balance",IF(AND(ISNUMBER(O4891),O4891&lt;0,ABS(L4891-(Q4891-IF(ISNUMBER(N4891),N4891,0)+IF(ISNUMBER(P4891),P4891,0)))&lt;=Summary!$B$2),"Negative realized loss not applied - check sign",IF(R4891&lt;0,"Principal paid exceeds prior balance",IF(AND(L4891&gt;Q4891,NOT(ISNUMBER(P4891))),"Balance increased but no Deferred_interest reported",IF(L4891&gt;R4891,"Reported balance higher than expected (missing increase/OC build)","Reported balance lower than expected (missing decrease)"))))),""))</f>
        <v/>
      </c>
    </row>
    <row r="4892" customFormat="false" ht="15" hidden="false" customHeight="false" outlineLevel="0" collapsed="false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9"/>
      <c r="L4892" s="9"/>
      <c r="M4892" s="9"/>
      <c r="N4892" s="9"/>
      <c r="O4892" s="9"/>
      <c r="P4892" s="9"/>
      <c r="Q4892" s="9"/>
      <c r="R4892" s="9" t="str">
        <f aca="false">IF(AND(A4892&lt;&gt;"",ISNUMBER(Q4892),ISNUMBER(L4892)),ROUND(Q4892-IF(ISNUMBER(N4892),N4892,0)-IF(ISNUMBER(O4892),O4892,0)+IF(ISNUMBER(P4892),P4892,0),2),"")</f>
        <v/>
      </c>
      <c r="S4892" s="9" t="str">
        <f aca="false">IF(R4892="","",ROUND(L4892-R4892,2))</f>
        <v/>
      </c>
      <c r="T4892" s="8" t="str">
        <f aca="false">IF(A4892="","",IF(S4892="","BYPASS",IF(ABS(S4892)&lt;=Summary!$B$2,"PASS","FAIL")))</f>
        <v/>
      </c>
      <c r="U4892" s="8" t="str">
        <f aca="false">IF(T4892="BYPASS",IF(NOT(ISNUMBER(Q4892)),"PreV_ETB missing","End_tr_balance missing"),IF(T4892="FAIL",IF(AND(ISNUMBER(K4892),ISNUMBER(L4892),ABS(L4892-(K4892-IF(ISNUMBER(N4892),N4892,0)-IF(ISNUMBER(O4892),O4892,0)+IF(ISNUMBER(P4892),P4892,0)))&lt;=Summary!$B$2),"Passes using beginning_balance - PreV_ETB differs from beginning_balance",IF(AND(ISNUMBER(O4892),O4892&lt;0,ABS(L4892-(Q4892-IF(ISNUMBER(N4892),N4892,0)+IF(ISNUMBER(P4892),P4892,0)))&lt;=Summary!$B$2),"Negative realized loss not applied - check sign",IF(R4892&lt;0,"Principal paid exceeds prior balance",IF(AND(L4892&gt;Q4892,NOT(ISNUMBER(P4892))),"Balance increased but no Deferred_interest reported",IF(L4892&gt;R4892,"Reported balance higher than expected (missing increase/OC build)","Reported balance lower than expected (missing decrease)"))))),""))</f>
        <v/>
      </c>
    </row>
    <row r="4893" customFormat="false" ht="15" hidden="false" customHeight="false" outlineLevel="0" collapsed="false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9"/>
      <c r="L4893" s="9"/>
      <c r="M4893" s="9"/>
      <c r="N4893" s="9"/>
      <c r="O4893" s="9"/>
      <c r="P4893" s="9"/>
      <c r="Q4893" s="9"/>
      <c r="R4893" s="9" t="str">
        <f aca="false">IF(AND(A4893&lt;&gt;"",ISNUMBER(Q4893),ISNUMBER(L4893)),ROUND(Q4893-IF(ISNUMBER(N4893),N4893,0)-IF(ISNUMBER(O4893),O4893,0)+IF(ISNUMBER(P4893),P4893,0),2),"")</f>
        <v/>
      </c>
      <c r="S4893" s="9" t="str">
        <f aca="false">IF(R4893="","",ROUND(L4893-R4893,2))</f>
        <v/>
      </c>
      <c r="T4893" s="8" t="str">
        <f aca="false">IF(A4893="","",IF(S4893="","BYPASS",IF(ABS(S4893)&lt;=Summary!$B$2,"PASS","FAIL")))</f>
        <v/>
      </c>
      <c r="U4893" s="8" t="str">
        <f aca="false">IF(T4893="BYPASS",IF(NOT(ISNUMBER(Q4893)),"PreV_ETB missing","End_tr_balance missing"),IF(T4893="FAIL",IF(AND(ISNUMBER(K4893),ISNUMBER(L4893),ABS(L4893-(K4893-IF(ISNUMBER(N4893),N4893,0)-IF(ISNUMBER(O4893),O4893,0)+IF(ISNUMBER(P4893),P4893,0)))&lt;=Summary!$B$2),"Passes using beginning_balance - PreV_ETB differs from beginning_balance",IF(AND(ISNUMBER(O4893),O4893&lt;0,ABS(L4893-(Q4893-IF(ISNUMBER(N4893),N4893,0)+IF(ISNUMBER(P4893),P4893,0)))&lt;=Summary!$B$2),"Negative realized loss not applied - check sign",IF(R4893&lt;0,"Principal paid exceeds prior balance",IF(AND(L4893&gt;Q4893,NOT(ISNUMBER(P4893))),"Balance increased but no Deferred_interest reported",IF(L4893&gt;R4893,"Reported balance higher than expected (missing increase/OC build)","Reported balance lower than expected (missing decrease)"))))),""))</f>
        <v/>
      </c>
    </row>
    <row r="4894" customFormat="false" ht="15" hidden="false" customHeight="false" outlineLevel="0" collapsed="false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9"/>
      <c r="L4894" s="9"/>
      <c r="M4894" s="9"/>
      <c r="N4894" s="9"/>
      <c r="O4894" s="9"/>
      <c r="P4894" s="9"/>
      <c r="Q4894" s="9"/>
      <c r="R4894" s="9" t="str">
        <f aca="false">IF(AND(A4894&lt;&gt;"",ISNUMBER(Q4894),ISNUMBER(L4894)),ROUND(Q4894-IF(ISNUMBER(N4894),N4894,0)-IF(ISNUMBER(O4894),O4894,0)+IF(ISNUMBER(P4894),P4894,0),2),"")</f>
        <v/>
      </c>
      <c r="S4894" s="9" t="str">
        <f aca="false">IF(R4894="","",ROUND(L4894-R4894,2))</f>
        <v/>
      </c>
      <c r="T4894" s="8" t="str">
        <f aca="false">IF(A4894="","",IF(S4894="","BYPASS",IF(ABS(S4894)&lt;=Summary!$B$2,"PASS","FAIL")))</f>
        <v/>
      </c>
      <c r="U4894" s="8" t="str">
        <f aca="false">IF(T4894="BYPASS",IF(NOT(ISNUMBER(Q4894)),"PreV_ETB missing","End_tr_balance missing"),IF(T4894="FAIL",IF(AND(ISNUMBER(K4894),ISNUMBER(L4894),ABS(L4894-(K4894-IF(ISNUMBER(N4894),N4894,0)-IF(ISNUMBER(O4894),O4894,0)+IF(ISNUMBER(P4894),P4894,0)))&lt;=Summary!$B$2),"Passes using beginning_balance - PreV_ETB differs from beginning_balance",IF(AND(ISNUMBER(O4894),O4894&lt;0,ABS(L4894-(Q4894-IF(ISNUMBER(N4894),N4894,0)+IF(ISNUMBER(P4894),P4894,0)))&lt;=Summary!$B$2),"Negative realized loss not applied - check sign",IF(R4894&lt;0,"Principal paid exceeds prior balance",IF(AND(L4894&gt;Q4894,NOT(ISNUMBER(P4894))),"Balance increased but no Deferred_interest reported",IF(L4894&gt;R4894,"Reported balance higher than expected (missing increase/OC build)","Reported balance lower than expected (missing decrease)"))))),""))</f>
        <v/>
      </c>
    </row>
    <row r="4895" customFormat="false" ht="15" hidden="false" customHeight="false" outlineLevel="0" collapsed="false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9"/>
      <c r="L4895" s="9"/>
      <c r="M4895" s="9"/>
      <c r="N4895" s="9"/>
      <c r="O4895" s="9"/>
      <c r="P4895" s="9"/>
      <c r="Q4895" s="9"/>
      <c r="R4895" s="9" t="str">
        <f aca="false">IF(AND(A4895&lt;&gt;"",ISNUMBER(Q4895),ISNUMBER(L4895)),ROUND(Q4895-IF(ISNUMBER(N4895),N4895,0)-IF(ISNUMBER(O4895),O4895,0)+IF(ISNUMBER(P4895),P4895,0),2),"")</f>
        <v/>
      </c>
      <c r="S4895" s="9" t="str">
        <f aca="false">IF(R4895="","",ROUND(L4895-R4895,2))</f>
        <v/>
      </c>
      <c r="T4895" s="8" t="str">
        <f aca="false">IF(A4895="","",IF(S4895="","BYPASS",IF(ABS(S4895)&lt;=Summary!$B$2,"PASS","FAIL")))</f>
        <v/>
      </c>
      <c r="U4895" s="8" t="str">
        <f aca="false">IF(T4895="BYPASS",IF(NOT(ISNUMBER(Q4895)),"PreV_ETB missing","End_tr_balance missing"),IF(T4895="FAIL",IF(AND(ISNUMBER(K4895),ISNUMBER(L4895),ABS(L4895-(K4895-IF(ISNUMBER(N4895),N4895,0)-IF(ISNUMBER(O4895),O4895,0)+IF(ISNUMBER(P4895),P4895,0)))&lt;=Summary!$B$2),"Passes using beginning_balance - PreV_ETB differs from beginning_balance",IF(AND(ISNUMBER(O4895),O4895&lt;0,ABS(L4895-(Q4895-IF(ISNUMBER(N4895),N4895,0)+IF(ISNUMBER(P4895),P4895,0)))&lt;=Summary!$B$2),"Negative realized loss not applied - check sign",IF(R4895&lt;0,"Principal paid exceeds prior balance",IF(AND(L4895&gt;Q4895,NOT(ISNUMBER(P4895))),"Balance increased but no Deferred_interest reported",IF(L4895&gt;R4895,"Reported balance higher than expected (missing increase/OC build)","Reported balance lower than expected (missing decrease)"))))),""))</f>
        <v/>
      </c>
    </row>
    <row r="4896" customFormat="false" ht="15" hidden="false" customHeight="false" outlineLevel="0" collapsed="false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9"/>
      <c r="L4896" s="9"/>
      <c r="M4896" s="9"/>
      <c r="N4896" s="9"/>
      <c r="O4896" s="9"/>
      <c r="P4896" s="9"/>
      <c r="Q4896" s="9"/>
      <c r="R4896" s="9" t="str">
        <f aca="false">IF(AND(A4896&lt;&gt;"",ISNUMBER(Q4896),ISNUMBER(L4896)),ROUND(Q4896-IF(ISNUMBER(N4896),N4896,0)-IF(ISNUMBER(O4896),O4896,0)+IF(ISNUMBER(P4896),P4896,0),2),"")</f>
        <v/>
      </c>
      <c r="S4896" s="9" t="str">
        <f aca="false">IF(R4896="","",ROUND(L4896-R4896,2))</f>
        <v/>
      </c>
      <c r="T4896" s="8" t="str">
        <f aca="false">IF(A4896="","",IF(S4896="","BYPASS",IF(ABS(S4896)&lt;=Summary!$B$2,"PASS","FAIL")))</f>
        <v/>
      </c>
      <c r="U4896" s="8" t="str">
        <f aca="false">IF(T4896="BYPASS",IF(NOT(ISNUMBER(Q4896)),"PreV_ETB missing","End_tr_balance missing"),IF(T4896="FAIL",IF(AND(ISNUMBER(K4896),ISNUMBER(L4896),ABS(L4896-(K4896-IF(ISNUMBER(N4896),N4896,0)-IF(ISNUMBER(O4896),O4896,0)+IF(ISNUMBER(P4896),P4896,0)))&lt;=Summary!$B$2),"Passes using beginning_balance - PreV_ETB differs from beginning_balance",IF(AND(ISNUMBER(O4896),O4896&lt;0,ABS(L4896-(Q4896-IF(ISNUMBER(N4896),N4896,0)+IF(ISNUMBER(P4896),P4896,0)))&lt;=Summary!$B$2),"Negative realized loss not applied - check sign",IF(R4896&lt;0,"Principal paid exceeds prior balance",IF(AND(L4896&gt;Q4896,NOT(ISNUMBER(P4896))),"Balance increased but no Deferred_interest reported",IF(L4896&gt;R4896,"Reported balance higher than expected (missing increase/OC build)","Reported balance lower than expected (missing decrease)"))))),""))</f>
        <v/>
      </c>
    </row>
    <row r="4897" customFormat="false" ht="15" hidden="false" customHeight="false" outlineLevel="0" collapsed="false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9"/>
      <c r="L4897" s="9"/>
      <c r="M4897" s="9"/>
      <c r="N4897" s="9"/>
      <c r="O4897" s="9"/>
      <c r="P4897" s="9"/>
      <c r="Q4897" s="9"/>
      <c r="R4897" s="9" t="str">
        <f aca="false">IF(AND(A4897&lt;&gt;"",ISNUMBER(Q4897),ISNUMBER(L4897)),ROUND(Q4897-IF(ISNUMBER(N4897),N4897,0)-IF(ISNUMBER(O4897),O4897,0)+IF(ISNUMBER(P4897),P4897,0),2),"")</f>
        <v/>
      </c>
      <c r="S4897" s="9" t="str">
        <f aca="false">IF(R4897="","",ROUND(L4897-R4897,2))</f>
        <v/>
      </c>
      <c r="T4897" s="8" t="str">
        <f aca="false">IF(A4897="","",IF(S4897="","BYPASS",IF(ABS(S4897)&lt;=Summary!$B$2,"PASS","FAIL")))</f>
        <v/>
      </c>
      <c r="U4897" s="8" t="str">
        <f aca="false">IF(T4897="BYPASS",IF(NOT(ISNUMBER(Q4897)),"PreV_ETB missing","End_tr_balance missing"),IF(T4897="FAIL",IF(AND(ISNUMBER(K4897),ISNUMBER(L4897),ABS(L4897-(K4897-IF(ISNUMBER(N4897),N4897,0)-IF(ISNUMBER(O4897),O4897,0)+IF(ISNUMBER(P4897),P4897,0)))&lt;=Summary!$B$2),"Passes using beginning_balance - PreV_ETB differs from beginning_balance",IF(AND(ISNUMBER(O4897),O4897&lt;0,ABS(L4897-(Q4897-IF(ISNUMBER(N4897),N4897,0)+IF(ISNUMBER(P4897),P4897,0)))&lt;=Summary!$B$2),"Negative realized loss not applied - check sign",IF(R4897&lt;0,"Principal paid exceeds prior balance",IF(AND(L4897&gt;Q4897,NOT(ISNUMBER(P4897))),"Balance increased but no Deferred_interest reported",IF(L4897&gt;R4897,"Reported balance higher than expected (missing increase/OC build)","Reported balance lower than expected (missing decrease)"))))),""))</f>
        <v/>
      </c>
    </row>
    <row r="4898" customFormat="false" ht="15" hidden="false" customHeight="false" outlineLevel="0" collapsed="false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9"/>
      <c r="L4898" s="9"/>
      <c r="M4898" s="9"/>
      <c r="N4898" s="9"/>
      <c r="O4898" s="9"/>
      <c r="P4898" s="9"/>
      <c r="Q4898" s="9"/>
      <c r="R4898" s="9" t="str">
        <f aca="false">IF(AND(A4898&lt;&gt;"",ISNUMBER(Q4898),ISNUMBER(L4898)),ROUND(Q4898-IF(ISNUMBER(N4898),N4898,0)-IF(ISNUMBER(O4898),O4898,0)+IF(ISNUMBER(P4898),P4898,0),2),"")</f>
        <v/>
      </c>
      <c r="S4898" s="9" t="str">
        <f aca="false">IF(R4898="","",ROUND(L4898-R4898,2))</f>
        <v/>
      </c>
      <c r="T4898" s="8" t="str">
        <f aca="false">IF(A4898="","",IF(S4898="","BYPASS",IF(ABS(S4898)&lt;=Summary!$B$2,"PASS","FAIL")))</f>
        <v/>
      </c>
      <c r="U4898" s="8" t="str">
        <f aca="false">IF(T4898="BYPASS",IF(NOT(ISNUMBER(Q4898)),"PreV_ETB missing","End_tr_balance missing"),IF(T4898="FAIL",IF(AND(ISNUMBER(K4898),ISNUMBER(L4898),ABS(L4898-(K4898-IF(ISNUMBER(N4898),N4898,0)-IF(ISNUMBER(O4898),O4898,0)+IF(ISNUMBER(P4898),P4898,0)))&lt;=Summary!$B$2),"Passes using beginning_balance - PreV_ETB differs from beginning_balance",IF(AND(ISNUMBER(O4898),O4898&lt;0,ABS(L4898-(Q4898-IF(ISNUMBER(N4898),N4898,0)+IF(ISNUMBER(P4898),P4898,0)))&lt;=Summary!$B$2),"Negative realized loss not applied - check sign",IF(R4898&lt;0,"Principal paid exceeds prior balance",IF(AND(L4898&gt;Q4898,NOT(ISNUMBER(P4898))),"Balance increased but no Deferred_interest reported",IF(L4898&gt;R4898,"Reported balance higher than expected (missing increase/OC build)","Reported balance lower than expected (missing decrease)"))))),""))</f>
        <v/>
      </c>
    </row>
    <row r="4899" customFormat="false" ht="15" hidden="false" customHeight="false" outlineLevel="0" collapsed="false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9"/>
      <c r="L4899" s="9"/>
      <c r="M4899" s="9"/>
      <c r="N4899" s="9"/>
      <c r="O4899" s="9"/>
      <c r="P4899" s="9"/>
      <c r="Q4899" s="9"/>
      <c r="R4899" s="9" t="str">
        <f aca="false">IF(AND(A4899&lt;&gt;"",ISNUMBER(Q4899),ISNUMBER(L4899)),ROUND(Q4899-IF(ISNUMBER(N4899),N4899,0)-IF(ISNUMBER(O4899),O4899,0)+IF(ISNUMBER(P4899),P4899,0),2),"")</f>
        <v/>
      </c>
      <c r="S4899" s="9" t="str">
        <f aca="false">IF(R4899="","",ROUND(L4899-R4899,2))</f>
        <v/>
      </c>
      <c r="T4899" s="8" t="str">
        <f aca="false">IF(A4899="","",IF(S4899="","BYPASS",IF(ABS(S4899)&lt;=Summary!$B$2,"PASS","FAIL")))</f>
        <v/>
      </c>
      <c r="U4899" s="8" t="str">
        <f aca="false">IF(T4899="BYPASS",IF(NOT(ISNUMBER(Q4899)),"PreV_ETB missing","End_tr_balance missing"),IF(T4899="FAIL",IF(AND(ISNUMBER(K4899),ISNUMBER(L4899),ABS(L4899-(K4899-IF(ISNUMBER(N4899),N4899,0)-IF(ISNUMBER(O4899),O4899,0)+IF(ISNUMBER(P4899),P4899,0)))&lt;=Summary!$B$2),"Passes using beginning_balance - PreV_ETB differs from beginning_balance",IF(AND(ISNUMBER(O4899),O4899&lt;0,ABS(L4899-(Q4899-IF(ISNUMBER(N4899),N4899,0)+IF(ISNUMBER(P4899),P4899,0)))&lt;=Summary!$B$2),"Negative realized loss not applied - check sign",IF(R4899&lt;0,"Principal paid exceeds prior balance",IF(AND(L4899&gt;Q4899,NOT(ISNUMBER(P4899))),"Balance increased but no Deferred_interest reported",IF(L4899&gt;R4899,"Reported balance higher than expected (missing increase/OC build)","Reported balance lower than expected (missing decrease)"))))),""))</f>
        <v/>
      </c>
    </row>
    <row r="4900" customFormat="false" ht="15" hidden="false" customHeight="false" outlineLevel="0" collapsed="false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9"/>
      <c r="L4900" s="9"/>
      <c r="M4900" s="9"/>
      <c r="N4900" s="9"/>
      <c r="O4900" s="9"/>
      <c r="P4900" s="9"/>
      <c r="Q4900" s="9"/>
      <c r="R4900" s="9" t="str">
        <f aca="false">IF(AND(A4900&lt;&gt;"",ISNUMBER(Q4900),ISNUMBER(L4900)),ROUND(Q4900-IF(ISNUMBER(N4900),N4900,0)-IF(ISNUMBER(O4900),O4900,0)+IF(ISNUMBER(P4900),P4900,0),2),"")</f>
        <v/>
      </c>
      <c r="S4900" s="9" t="str">
        <f aca="false">IF(R4900="","",ROUND(L4900-R4900,2))</f>
        <v/>
      </c>
      <c r="T4900" s="8" t="str">
        <f aca="false">IF(A4900="","",IF(S4900="","BYPASS",IF(ABS(S4900)&lt;=Summary!$B$2,"PASS","FAIL")))</f>
        <v/>
      </c>
      <c r="U4900" s="8" t="str">
        <f aca="false">IF(T4900="BYPASS",IF(NOT(ISNUMBER(Q4900)),"PreV_ETB missing","End_tr_balance missing"),IF(T4900="FAIL",IF(AND(ISNUMBER(K4900),ISNUMBER(L4900),ABS(L4900-(K4900-IF(ISNUMBER(N4900),N4900,0)-IF(ISNUMBER(O4900),O4900,0)+IF(ISNUMBER(P4900),P4900,0)))&lt;=Summary!$B$2),"Passes using beginning_balance - PreV_ETB differs from beginning_balance",IF(AND(ISNUMBER(O4900),O4900&lt;0,ABS(L4900-(Q4900-IF(ISNUMBER(N4900),N4900,0)+IF(ISNUMBER(P4900),P4900,0)))&lt;=Summary!$B$2),"Negative realized loss not applied - check sign",IF(R4900&lt;0,"Principal paid exceeds prior balance",IF(AND(L4900&gt;Q4900,NOT(ISNUMBER(P4900))),"Balance increased but no Deferred_interest reported",IF(L4900&gt;R4900,"Reported balance higher than expected (missing increase/OC build)","Reported balance lower than expected (missing decrease)"))))),""))</f>
        <v/>
      </c>
    </row>
    <row r="4901" customFormat="false" ht="15" hidden="false" customHeight="false" outlineLevel="0" collapsed="false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9"/>
      <c r="L4901" s="9"/>
      <c r="M4901" s="9"/>
      <c r="N4901" s="9"/>
      <c r="O4901" s="9"/>
      <c r="P4901" s="9"/>
      <c r="Q4901" s="9"/>
      <c r="R4901" s="9" t="str">
        <f aca="false">IF(AND(A4901&lt;&gt;"",ISNUMBER(Q4901),ISNUMBER(L4901)),ROUND(Q4901-IF(ISNUMBER(N4901),N4901,0)-IF(ISNUMBER(O4901),O4901,0)+IF(ISNUMBER(P4901),P4901,0),2),"")</f>
        <v/>
      </c>
      <c r="S4901" s="9" t="str">
        <f aca="false">IF(R4901="","",ROUND(L4901-R4901,2))</f>
        <v/>
      </c>
      <c r="T4901" s="8" t="str">
        <f aca="false">IF(A4901="","",IF(S4901="","BYPASS",IF(ABS(S4901)&lt;=Summary!$B$2,"PASS","FAIL")))</f>
        <v/>
      </c>
      <c r="U4901" s="8" t="str">
        <f aca="false">IF(T4901="BYPASS",IF(NOT(ISNUMBER(Q4901)),"PreV_ETB missing","End_tr_balance missing"),IF(T4901="FAIL",IF(AND(ISNUMBER(K4901),ISNUMBER(L4901),ABS(L4901-(K4901-IF(ISNUMBER(N4901),N4901,0)-IF(ISNUMBER(O4901),O4901,0)+IF(ISNUMBER(P4901),P4901,0)))&lt;=Summary!$B$2),"Passes using beginning_balance - PreV_ETB differs from beginning_balance",IF(AND(ISNUMBER(O4901),O4901&lt;0,ABS(L4901-(Q4901-IF(ISNUMBER(N4901),N4901,0)+IF(ISNUMBER(P4901),P4901,0)))&lt;=Summary!$B$2),"Negative realized loss not applied - check sign",IF(R4901&lt;0,"Principal paid exceeds prior balance",IF(AND(L4901&gt;Q4901,NOT(ISNUMBER(P4901))),"Balance increased but no Deferred_interest reported",IF(L4901&gt;R4901,"Reported balance higher than expected (missing increase/OC build)","Reported balance lower than expected (missing decrease)"))))),""))</f>
        <v/>
      </c>
    </row>
    <row r="4902" customFormat="false" ht="15" hidden="false" customHeight="false" outlineLevel="0" collapsed="false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9"/>
      <c r="L4902" s="9"/>
      <c r="M4902" s="9"/>
      <c r="N4902" s="9"/>
      <c r="O4902" s="9"/>
      <c r="P4902" s="9"/>
      <c r="Q4902" s="9"/>
      <c r="R4902" s="9" t="str">
        <f aca="false">IF(AND(A4902&lt;&gt;"",ISNUMBER(Q4902),ISNUMBER(L4902)),ROUND(Q4902-IF(ISNUMBER(N4902),N4902,0)-IF(ISNUMBER(O4902),O4902,0)+IF(ISNUMBER(P4902),P4902,0),2),"")</f>
        <v/>
      </c>
      <c r="S4902" s="9" t="str">
        <f aca="false">IF(R4902="","",ROUND(L4902-R4902,2))</f>
        <v/>
      </c>
      <c r="T4902" s="8" t="str">
        <f aca="false">IF(A4902="","",IF(S4902="","BYPASS",IF(ABS(S4902)&lt;=Summary!$B$2,"PASS","FAIL")))</f>
        <v/>
      </c>
      <c r="U4902" s="8" t="str">
        <f aca="false">IF(T4902="BYPASS",IF(NOT(ISNUMBER(Q4902)),"PreV_ETB missing","End_tr_balance missing"),IF(T4902="FAIL",IF(AND(ISNUMBER(K4902),ISNUMBER(L4902),ABS(L4902-(K4902-IF(ISNUMBER(N4902),N4902,0)-IF(ISNUMBER(O4902),O4902,0)+IF(ISNUMBER(P4902),P4902,0)))&lt;=Summary!$B$2),"Passes using beginning_balance - PreV_ETB differs from beginning_balance",IF(AND(ISNUMBER(O4902),O4902&lt;0,ABS(L4902-(Q4902-IF(ISNUMBER(N4902),N4902,0)+IF(ISNUMBER(P4902),P4902,0)))&lt;=Summary!$B$2),"Negative realized loss not applied - check sign",IF(R4902&lt;0,"Principal paid exceeds prior balance",IF(AND(L4902&gt;Q4902,NOT(ISNUMBER(P4902))),"Balance increased but no Deferred_interest reported",IF(L4902&gt;R4902,"Reported balance higher than expected (missing increase/OC build)","Reported balance lower than expected (missing decrease)"))))),""))</f>
        <v/>
      </c>
    </row>
    <row r="4903" customFormat="false" ht="15" hidden="false" customHeight="false" outlineLevel="0" collapsed="false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9"/>
      <c r="L4903" s="9"/>
      <c r="M4903" s="9"/>
      <c r="N4903" s="9"/>
      <c r="O4903" s="9"/>
      <c r="P4903" s="9"/>
      <c r="Q4903" s="9"/>
      <c r="R4903" s="9" t="str">
        <f aca="false">IF(AND(A4903&lt;&gt;"",ISNUMBER(Q4903),ISNUMBER(L4903)),ROUND(Q4903-IF(ISNUMBER(N4903),N4903,0)-IF(ISNUMBER(O4903),O4903,0)+IF(ISNUMBER(P4903),P4903,0),2),"")</f>
        <v/>
      </c>
      <c r="S4903" s="9" t="str">
        <f aca="false">IF(R4903="","",ROUND(L4903-R4903,2))</f>
        <v/>
      </c>
      <c r="T4903" s="8" t="str">
        <f aca="false">IF(A4903="","",IF(S4903="","BYPASS",IF(ABS(S4903)&lt;=Summary!$B$2,"PASS","FAIL")))</f>
        <v/>
      </c>
      <c r="U4903" s="8" t="str">
        <f aca="false">IF(T4903="BYPASS",IF(NOT(ISNUMBER(Q4903)),"PreV_ETB missing","End_tr_balance missing"),IF(T4903="FAIL",IF(AND(ISNUMBER(K4903),ISNUMBER(L4903),ABS(L4903-(K4903-IF(ISNUMBER(N4903),N4903,0)-IF(ISNUMBER(O4903),O4903,0)+IF(ISNUMBER(P4903),P4903,0)))&lt;=Summary!$B$2),"Passes using beginning_balance - PreV_ETB differs from beginning_balance",IF(AND(ISNUMBER(O4903),O4903&lt;0,ABS(L4903-(Q4903-IF(ISNUMBER(N4903),N4903,0)+IF(ISNUMBER(P4903),P4903,0)))&lt;=Summary!$B$2),"Negative realized loss not applied - check sign",IF(R4903&lt;0,"Principal paid exceeds prior balance",IF(AND(L4903&gt;Q4903,NOT(ISNUMBER(P4903))),"Balance increased but no Deferred_interest reported",IF(L4903&gt;R4903,"Reported balance higher than expected (missing increase/OC build)","Reported balance lower than expected (missing decrease)"))))),""))</f>
        <v/>
      </c>
    </row>
    <row r="4904" customFormat="false" ht="15" hidden="false" customHeight="false" outlineLevel="0" collapsed="false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9"/>
      <c r="L4904" s="9"/>
      <c r="M4904" s="9"/>
      <c r="N4904" s="9"/>
      <c r="O4904" s="9"/>
      <c r="P4904" s="9"/>
      <c r="Q4904" s="9"/>
      <c r="R4904" s="9" t="str">
        <f aca="false">IF(AND(A4904&lt;&gt;"",ISNUMBER(Q4904),ISNUMBER(L4904)),ROUND(Q4904-IF(ISNUMBER(N4904),N4904,0)-IF(ISNUMBER(O4904),O4904,0)+IF(ISNUMBER(P4904),P4904,0),2),"")</f>
        <v/>
      </c>
      <c r="S4904" s="9" t="str">
        <f aca="false">IF(R4904="","",ROUND(L4904-R4904,2))</f>
        <v/>
      </c>
      <c r="T4904" s="8" t="str">
        <f aca="false">IF(A4904="","",IF(S4904="","BYPASS",IF(ABS(S4904)&lt;=Summary!$B$2,"PASS","FAIL")))</f>
        <v/>
      </c>
      <c r="U4904" s="8" t="str">
        <f aca="false">IF(T4904="BYPASS",IF(NOT(ISNUMBER(Q4904)),"PreV_ETB missing","End_tr_balance missing"),IF(T4904="FAIL",IF(AND(ISNUMBER(K4904),ISNUMBER(L4904),ABS(L4904-(K4904-IF(ISNUMBER(N4904),N4904,0)-IF(ISNUMBER(O4904),O4904,0)+IF(ISNUMBER(P4904),P4904,0)))&lt;=Summary!$B$2),"Passes using beginning_balance - PreV_ETB differs from beginning_balance",IF(AND(ISNUMBER(O4904),O4904&lt;0,ABS(L4904-(Q4904-IF(ISNUMBER(N4904),N4904,0)+IF(ISNUMBER(P4904),P4904,0)))&lt;=Summary!$B$2),"Negative realized loss not applied - check sign",IF(R4904&lt;0,"Principal paid exceeds prior balance",IF(AND(L4904&gt;Q4904,NOT(ISNUMBER(P4904))),"Balance increased but no Deferred_interest reported",IF(L4904&gt;R4904,"Reported balance higher than expected (missing increase/OC build)","Reported balance lower than expected (missing decrease)"))))),""))</f>
        <v/>
      </c>
    </row>
    <row r="4905" customFormat="false" ht="15" hidden="false" customHeight="false" outlineLevel="0" collapsed="false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9"/>
      <c r="L4905" s="9"/>
      <c r="M4905" s="9"/>
      <c r="N4905" s="9"/>
      <c r="O4905" s="9"/>
      <c r="P4905" s="9"/>
      <c r="Q4905" s="9"/>
      <c r="R4905" s="9" t="str">
        <f aca="false">IF(AND(A4905&lt;&gt;"",ISNUMBER(Q4905),ISNUMBER(L4905)),ROUND(Q4905-IF(ISNUMBER(N4905),N4905,0)-IF(ISNUMBER(O4905),O4905,0)+IF(ISNUMBER(P4905),P4905,0),2),"")</f>
        <v/>
      </c>
      <c r="S4905" s="9" t="str">
        <f aca="false">IF(R4905="","",ROUND(L4905-R4905,2))</f>
        <v/>
      </c>
      <c r="T4905" s="8" t="str">
        <f aca="false">IF(A4905="","",IF(S4905="","BYPASS",IF(ABS(S4905)&lt;=Summary!$B$2,"PASS","FAIL")))</f>
        <v/>
      </c>
      <c r="U4905" s="8" t="str">
        <f aca="false">IF(T4905="BYPASS",IF(NOT(ISNUMBER(Q4905)),"PreV_ETB missing","End_tr_balance missing"),IF(T4905="FAIL",IF(AND(ISNUMBER(K4905),ISNUMBER(L4905),ABS(L4905-(K4905-IF(ISNUMBER(N4905),N4905,0)-IF(ISNUMBER(O4905),O4905,0)+IF(ISNUMBER(P4905),P4905,0)))&lt;=Summary!$B$2),"Passes using beginning_balance - PreV_ETB differs from beginning_balance",IF(AND(ISNUMBER(O4905),O4905&lt;0,ABS(L4905-(Q4905-IF(ISNUMBER(N4905),N4905,0)+IF(ISNUMBER(P4905),P4905,0)))&lt;=Summary!$B$2),"Negative realized loss not applied - check sign",IF(R4905&lt;0,"Principal paid exceeds prior balance",IF(AND(L4905&gt;Q4905,NOT(ISNUMBER(P4905))),"Balance increased but no Deferred_interest reported",IF(L4905&gt;R4905,"Reported balance higher than expected (missing increase/OC build)","Reported balance lower than expected (missing decrease)"))))),""))</f>
        <v/>
      </c>
    </row>
    <row r="4906" customFormat="false" ht="15" hidden="false" customHeight="false" outlineLevel="0" collapsed="false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9"/>
      <c r="L4906" s="9"/>
      <c r="M4906" s="9"/>
      <c r="N4906" s="9"/>
      <c r="O4906" s="9"/>
      <c r="P4906" s="9"/>
      <c r="Q4906" s="9"/>
      <c r="R4906" s="9" t="str">
        <f aca="false">IF(AND(A4906&lt;&gt;"",ISNUMBER(Q4906),ISNUMBER(L4906)),ROUND(Q4906-IF(ISNUMBER(N4906),N4906,0)-IF(ISNUMBER(O4906),O4906,0)+IF(ISNUMBER(P4906),P4906,0),2),"")</f>
        <v/>
      </c>
      <c r="S4906" s="9" t="str">
        <f aca="false">IF(R4906="","",ROUND(L4906-R4906,2))</f>
        <v/>
      </c>
      <c r="T4906" s="8" t="str">
        <f aca="false">IF(A4906="","",IF(S4906="","BYPASS",IF(ABS(S4906)&lt;=Summary!$B$2,"PASS","FAIL")))</f>
        <v/>
      </c>
      <c r="U4906" s="8" t="str">
        <f aca="false">IF(T4906="BYPASS",IF(NOT(ISNUMBER(Q4906)),"PreV_ETB missing","End_tr_balance missing"),IF(T4906="FAIL",IF(AND(ISNUMBER(K4906),ISNUMBER(L4906),ABS(L4906-(K4906-IF(ISNUMBER(N4906),N4906,0)-IF(ISNUMBER(O4906),O4906,0)+IF(ISNUMBER(P4906),P4906,0)))&lt;=Summary!$B$2),"Passes using beginning_balance - PreV_ETB differs from beginning_balance",IF(AND(ISNUMBER(O4906),O4906&lt;0,ABS(L4906-(Q4906-IF(ISNUMBER(N4906),N4906,0)+IF(ISNUMBER(P4906),P4906,0)))&lt;=Summary!$B$2),"Negative realized loss not applied - check sign",IF(R4906&lt;0,"Principal paid exceeds prior balance",IF(AND(L4906&gt;Q4906,NOT(ISNUMBER(P4906))),"Balance increased but no Deferred_interest reported",IF(L4906&gt;R4906,"Reported balance higher than expected (missing increase/OC build)","Reported balance lower than expected (missing decrease)"))))),""))</f>
        <v/>
      </c>
    </row>
    <row r="4907" customFormat="false" ht="15" hidden="false" customHeight="false" outlineLevel="0" collapsed="false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9"/>
      <c r="L4907" s="9"/>
      <c r="M4907" s="9"/>
      <c r="N4907" s="9"/>
      <c r="O4907" s="9"/>
      <c r="P4907" s="9"/>
      <c r="Q4907" s="9"/>
      <c r="R4907" s="9" t="str">
        <f aca="false">IF(AND(A4907&lt;&gt;"",ISNUMBER(Q4907),ISNUMBER(L4907)),ROUND(Q4907-IF(ISNUMBER(N4907),N4907,0)-IF(ISNUMBER(O4907),O4907,0)+IF(ISNUMBER(P4907),P4907,0),2),"")</f>
        <v/>
      </c>
      <c r="S4907" s="9" t="str">
        <f aca="false">IF(R4907="","",ROUND(L4907-R4907,2))</f>
        <v/>
      </c>
      <c r="T4907" s="8" t="str">
        <f aca="false">IF(A4907="","",IF(S4907="","BYPASS",IF(ABS(S4907)&lt;=Summary!$B$2,"PASS","FAIL")))</f>
        <v/>
      </c>
      <c r="U4907" s="8" t="str">
        <f aca="false">IF(T4907="BYPASS",IF(NOT(ISNUMBER(Q4907)),"PreV_ETB missing","End_tr_balance missing"),IF(T4907="FAIL",IF(AND(ISNUMBER(K4907),ISNUMBER(L4907),ABS(L4907-(K4907-IF(ISNUMBER(N4907),N4907,0)-IF(ISNUMBER(O4907),O4907,0)+IF(ISNUMBER(P4907),P4907,0)))&lt;=Summary!$B$2),"Passes using beginning_balance - PreV_ETB differs from beginning_balance",IF(AND(ISNUMBER(O4907),O4907&lt;0,ABS(L4907-(Q4907-IF(ISNUMBER(N4907),N4907,0)+IF(ISNUMBER(P4907),P4907,0)))&lt;=Summary!$B$2),"Negative realized loss not applied - check sign",IF(R4907&lt;0,"Principal paid exceeds prior balance",IF(AND(L4907&gt;Q4907,NOT(ISNUMBER(P4907))),"Balance increased but no Deferred_interest reported",IF(L4907&gt;R4907,"Reported balance higher than expected (missing increase/OC build)","Reported balance lower than expected (missing decrease)"))))),""))</f>
        <v/>
      </c>
    </row>
    <row r="4908" customFormat="false" ht="15" hidden="false" customHeight="false" outlineLevel="0" collapsed="false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9"/>
      <c r="L4908" s="9"/>
      <c r="M4908" s="9"/>
      <c r="N4908" s="9"/>
      <c r="O4908" s="9"/>
      <c r="P4908" s="9"/>
      <c r="Q4908" s="9"/>
      <c r="R4908" s="9" t="str">
        <f aca="false">IF(AND(A4908&lt;&gt;"",ISNUMBER(Q4908),ISNUMBER(L4908)),ROUND(Q4908-IF(ISNUMBER(N4908),N4908,0)-IF(ISNUMBER(O4908),O4908,0)+IF(ISNUMBER(P4908),P4908,0),2),"")</f>
        <v/>
      </c>
      <c r="S4908" s="9" t="str">
        <f aca="false">IF(R4908="","",ROUND(L4908-R4908,2))</f>
        <v/>
      </c>
      <c r="T4908" s="8" t="str">
        <f aca="false">IF(A4908="","",IF(S4908="","BYPASS",IF(ABS(S4908)&lt;=Summary!$B$2,"PASS","FAIL")))</f>
        <v/>
      </c>
      <c r="U4908" s="8" t="str">
        <f aca="false">IF(T4908="BYPASS",IF(NOT(ISNUMBER(Q4908)),"PreV_ETB missing","End_tr_balance missing"),IF(T4908="FAIL",IF(AND(ISNUMBER(K4908),ISNUMBER(L4908),ABS(L4908-(K4908-IF(ISNUMBER(N4908),N4908,0)-IF(ISNUMBER(O4908),O4908,0)+IF(ISNUMBER(P4908),P4908,0)))&lt;=Summary!$B$2),"Passes using beginning_balance - PreV_ETB differs from beginning_balance",IF(AND(ISNUMBER(O4908),O4908&lt;0,ABS(L4908-(Q4908-IF(ISNUMBER(N4908),N4908,0)+IF(ISNUMBER(P4908),P4908,0)))&lt;=Summary!$B$2),"Negative realized loss not applied - check sign",IF(R4908&lt;0,"Principal paid exceeds prior balance",IF(AND(L4908&gt;Q4908,NOT(ISNUMBER(P4908))),"Balance increased but no Deferred_interest reported",IF(L4908&gt;R4908,"Reported balance higher than expected (missing increase/OC build)","Reported balance lower than expected (missing decrease)"))))),""))</f>
        <v/>
      </c>
    </row>
    <row r="4909" customFormat="false" ht="15" hidden="false" customHeight="false" outlineLevel="0" collapsed="false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9"/>
      <c r="L4909" s="9"/>
      <c r="M4909" s="9"/>
      <c r="N4909" s="9"/>
      <c r="O4909" s="9"/>
      <c r="P4909" s="9"/>
      <c r="Q4909" s="9"/>
      <c r="R4909" s="9" t="str">
        <f aca="false">IF(AND(A4909&lt;&gt;"",ISNUMBER(Q4909),ISNUMBER(L4909)),ROUND(Q4909-IF(ISNUMBER(N4909),N4909,0)-IF(ISNUMBER(O4909),O4909,0)+IF(ISNUMBER(P4909),P4909,0),2),"")</f>
        <v/>
      </c>
      <c r="S4909" s="9" t="str">
        <f aca="false">IF(R4909="","",ROUND(L4909-R4909,2))</f>
        <v/>
      </c>
      <c r="T4909" s="8" t="str">
        <f aca="false">IF(A4909="","",IF(S4909="","BYPASS",IF(ABS(S4909)&lt;=Summary!$B$2,"PASS","FAIL")))</f>
        <v/>
      </c>
      <c r="U4909" s="8" t="str">
        <f aca="false">IF(T4909="BYPASS",IF(NOT(ISNUMBER(Q4909)),"PreV_ETB missing","End_tr_balance missing"),IF(T4909="FAIL",IF(AND(ISNUMBER(K4909),ISNUMBER(L4909),ABS(L4909-(K4909-IF(ISNUMBER(N4909),N4909,0)-IF(ISNUMBER(O4909),O4909,0)+IF(ISNUMBER(P4909),P4909,0)))&lt;=Summary!$B$2),"Passes using beginning_balance - PreV_ETB differs from beginning_balance",IF(AND(ISNUMBER(O4909),O4909&lt;0,ABS(L4909-(Q4909-IF(ISNUMBER(N4909),N4909,0)+IF(ISNUMBER(P4909),P4909,0)))&lt;=Summary!$B$2),"Negative realized loss not applied - check sign",IF(R4909&lt;0,"Principal paid exceeds prior balance",IF(AND(L4909&gt;Q4909,NOT(ISNUMBER(P4909))),"Balance increased but no Deferred_interest reported",IF(L4909&gt;R4909,"Reported balance higher than expected (missing increase/OC build)","Reported balance lower than expected (missing decrease)"))))),""))</f>
        <v/>
      </c>
    </row>
    <row r="4910" customFormat="false" ht="15" hidden="false" customHeight="false" outlineLevel="0" collapsed="false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9"/>
      <c r="L4910" s="9"/>
      <c r="M4910" s="9"/>
      <c r="N4910" s="9"/>
      <c r="O4910" s="9"/>
      <c r="P4910" s="9"/>
      <c r="Q4910" s="9"/>
      <c r="R4910" s="9" t="str">
        <f aca="false">IF(AND(A4910&lt;&gt;"",ISNUMBER(Q4910),ISNUMBER(L4910)),ROUND(Q4910-IF(ISNUMBER(N4910),N4910,0)-IF(ISNUMBER(O4910),O4910,0)+IF(ISNUMBER(P4910),P4910,0),2),"")</f>
        <v/>
      </c>
      <c r="S4910" s="9" t="str">
        <f aca="false">IF(R4910="","",ROUND(L4910-R4910,2))</f>
        <v/>
      </c>
      <c r="T4910" s="8" t="str">
        <f aca="false">IF(A4910="","",IF(S4910="","BYPASS",IF(ABS(S4910)&lt;=Summary!$B$2,"PASS","FAIL")))</f>
        <v/>
      </c>
      <c r="U4910" s="8" t="str">
        <f aca="false">IF(T4910="BYPASS",IF(NOT(ISNUMBER(Q4910)),"PreV_ETB missing","End_tr_balance missing"),IF(T4910="FAIL",IF(AND(ISNUMBER(K4910),ISNUMBER(L4910),ABS(L4910-(K4910-IF(ISNUMBER(N4910),N4910,0)-IF(ISNUMBER(O4910),O4910,0)+IF(ISNUMBER(P4910),P4910,0)))&lt;=Summary!$B$2),"Passes using beginning_balance - PreV_ETB differs from beginning_balance",IF(AND(ISNUMBER(O4910),O4910&lt;0,ABS(L4910-(Q4910-IF(ISNUMBER(N4910),N4910,0)+IF(ISNUMBER(P4910),P4910,0)))&lt;=Summary!$B$2),"Negative realized loss not applied - check sign",IF(R4910&lt;0,"Principal paid exceeds prior balance",IF(AND(L4910&gt;Q4910,NOT(ISNUMBER(P4910))),"Balance increased but no Deferred_interest reported",IF(L4910&gt;R4910,"Reported balance higher than expected (missing increase/OC build)","Reported balance lower than expected (missing decrease)"))))),""))</f>
        <v/>
      </c>
    </row>
    <row r="4911" customFormat="false" ht="15" hidden="false" customHeight="false" outlineLevel="0" collapsed="false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9"/>
      <c r="L4911" s="9"/>
      <c r="M4911" s="9"/>
      <c r="N4911" s="9"/>
      <c r="O4911" s="9"/>
      <c r="P4911" s="9"/>
      <c r="Q4911" s="9"/>
      <c r="R4911" s="9" t="str">
        <f aca="false">IF(AND(A4911&lt;&gt;"",ISNUMBER(Q4911),ISNUMBER(L4911)),ROUND(Q4911-IF(ISNUMBER(N4911),N4911,0)-IF(ISNUMBER(O4911),O4911,0)+IF(ISNUMBER(P4911),P4911,0),2),"")</f>
        <v/>
      </c>
      <c r="S4911" s="9" t="str">
        <f aca="false">IF(R4911="","",ROUND(L4911-R4911,2))</f>
        <v/>
      </c>
      <c r="T4911" s="8" t="str">
        <f aca="false">IF(A4911="","",IF(S4911="","BYPASS",IF(ABS(S4911)&lt;=Summary!$B$2,"PASS","FAIL")))</f>
        <v/>
      </c>
      <c r="U4911" s="8" t="str">
        <f aca="false">IF(T4911="BYPASS",IF(NOT(ISNUMBER(Q4911)),"PreV_ETB missing","End_tr_balance missing"),IF(T4911="FAIL",IF(AND(ISNUMBER(K4911),ISNUMBER(L4911),ABS(L4911-(K4911-IF(ISNUMBER(N4911),N4911,0)-IF(ISNUMBER(O4911),O4911,0)+IF(ISNUMBER(P4911),P4911,0)))&lt;=Summary!$B$2),"Passes using beginning_balance - PreV_ETB differs from beginning_balance",IF(AND(ISNUMBER(O4911),O4911&lt;0,ABS(L4911-(Q4911-IF(ISNUMBER(N4911),N4911,0)+IF(ISNUMBER(P4911),P4911,0)))&lt;=Summary!$B$2),"Negative realized loss not applied - check sign",IF(R4911&lt;0,"Principal paid exceeds prior balance",IF(AND(L4911&gt;Q4911,NOT(ISNUMBER(P4911))),"Balance increased but no Deferred_interest reported",IF(L4911&gt;R4911,"Reported balance higher than expected (missing increase/OC build)","Reported balance lower than expected (missing decrease)"))))),""))</f>
        <v/>
      </c>
    </row>
    <row r="4912" customFormat="false" ht="15" hidden="false" customHeight="false" outlineLevel="0" collapsed="false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9"/>
      <c r="L4912" s="9"/>
      <c r="M4912" s="9"/>
      <c r="N4912" s="9"/>
      <c r="O4912" s="9"/>
      <c r="P4912" s="9"/>
      <c r="Q4912" s="9"/>
      <c r="R4912" s="9" t="str">
        <f aca="false">IF(AND(A4912&lt;&gt;"",ISNUMBER(Q4912),ISNUMBER(L4912)),ROUND(Q4912-IF(ISNUMBER(N4912),N4912,0)-IF(ISNUMBER(O4912),O4912,0)+IF(ISNUMBER(P4912),P4912,0),2),"")</f>
        <v/>
      </c>
      <c r="S4912" s="9" t="str">
        <f aca="false">IF(R4912="","",ROUND(L4912-R4912,2))</f>
        <v/>
      </c>
      <c r="T4912" s="8" t="str">
        <f aca="false">IF(A4912="","",IF(S4912="","BYPASS",IF(ABS(S4912)&lt;=Summary!$B$2,"PASS","FAIL")))</f>
        <v/>
      </c>
      <c r="U4912" s="8" t="str">
        <f aca="false">IF(T4912="BYPASS",IF(NOT(ISNUMBER(Q4912)),"PreV_ETB missing","End_tr_balance missing"),IF(T4912="FAIL",IF(AND(ISNUMBER(K4912),ISNUMBER(L4912),ABS(L4912-(K4912-IF(ISNUMBER(N4912),N4912,0)-IF(ISNUMBER(O4912),O4912,0)+IF(ISNUMBER(P4912),P4912,0)))&lt;=Summary!$B$2),"Passes using beginning_balance - PreV_ETB differs from beginning_balance",IF(AND(ISNUMBER(O4912),O4912&lt;0,ABS(L4912-(Q4912-IF(ISNUMBER(N4912),N4912,0)+IF(ISNUMBER(P4912),P4912,0)))&lt;=Summary!$B$2),"Negative realized loss not applied - check sign",IF(R4912&lt;0,"Principal paid exceeds prior balance",IF(AND(L4912&gt;Q4912,NOT(ISNUMBER(P4912))),"Balance increased but no Deferred_interest reported",IF(L4912&gt;R4912,"Reported balance higher than expected (missing increase/OC build)","Reported balance lower than expected (missing decrease)"))))),""))</f>
        <v/>
      </c>
    </row>
    <row r="4913" customFormat="false" ht="15" hidden="false" customHeight="false" outlineLevel="0" collapsed="false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9"/>
      <c r="L4913" s="9"/>
      <c r="M4913" s="9"/>
      <c r="N4913" s="9"/>
      <c r="O4913" s="9"/>
      <c r="P4913" s="9"/>
      <c r="Q4913" s="9"/>
      <c r="R4913" s="9" t="str">
        <f aca="false">IF(AND(A4913&lt;&gt;"",ISNUMBER(Q4913),ISNUMBER(L4913)),ROUND(Q4913-IF(ISNUMBER(N4913),N4913,0)-IF(ISNUMBER(O4913),O4913,0)+IF(ISNUMBER(P4913),P4913,0),2),"")</f>
        <v/>
      </c>
      <c r="S4913" s="9" t="str">
        <f aca="false">IF(R4913="","",ROUND(L4913-R4913,2))</f>
        <v/>
      </c>
      <c r="T4913" s="8" t="str">
        <f aca="false">IF(A4913="","",IF(S4913="","BYPASS",IF(ABS(S4913)&lt;=Summary!$B$2,"PASS","FAIL")))</f>
        <v/>
      </c>
      <c r="U4913" s="8" t="str">
        <f aca="false">IF(T4913="BYPASS",IF(NOT(ISNUMBER(Q4913)),"PreV_ETB missing","End_tr_balance missing"),IF(T4913="FAIL",IF(AND(ISNUMBER(K4913),ISNUMBER(L4913),ABS(L4913-(K4913-IF(ISNUMBER(N4913),N4913,0)-IF(ISNUMBER(O4913),O4913,0)+IF(ISNUMBER(P4913),P4913,0)))&lt;=Summary!$B$2),"Passes using beginning_balance - PreV_ETB differs from beginning_balance",IF(AND(ISNUMBER(O4913),O4913&lt;0,ABS(L4913-(Q4913-IF(ISNUMBER(N4913),N4913,0)+IF(ISNUMBER(P4913),P4913,0)))&lt;=Summary!$B$2),"Negative realized loss not applied - check sign",IF(R4913&lt;0,"Principal paid exceeds prior balance",IF(AND(L4913&gt;Q4913,NOT(ISNUMBER(P4913))),"Balance increased but no Deferred_interest reported",IF(L4913&gt;R4913,"Reported balance higher than expected (missing increase/OC build)","Reported balance lower than expected (missing decrease)"))))),""))</f>
        <v/>
      </c>
    </row>
    <row r="4914" customFormat="false" ht="15" hidden="false" customHeight="false" outlineLevel="0" collapsed="false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9"/>
      <c r="L4914" s="9"/>
      <c r="M4914" s="9"/>
      <c r="N4914" s="9"/>
      <c r="O4914" s="9"/>
      <c r="P4914" s="9"/>
      <c r="Q4914" s="9"/>
      <c r="R4914" s="9" t="str">
        <f aca="false">IF(AND(A4914&lt;&gt;"",ISNUMBER(Q4914),ISNUMBER(L4914)),ROUND(Q4914-IF(ISNUMBER(N4914),N4914,0)-IF(ISNUMBER(O4914),O4914,0)+IF(ISNUMBER(P4914),P4914,0),2),"")</f>
        <v/>
      </c>
      <c r="S4914" s="9" t="str">
        <f aca="false">IF(R4914="","",ROUND(L4914-R4914,2))</f>
        <v/>
      </c>
      <c r="T4914" s="8" t="str">
        <f aca="false">IF(A4914="","",IF(S4914="","BYPASS",IF(ABS(S4914)&lt;=Summary!$B$2,"PASS","FAIL")))</f>
        <v/>
      </c>
      <c r="U4914" s="8" t="str">
        <f aca="false">IF(T4914="BYPASS",IF(NOT(ISNUMBER(Q4914)),"PreV_ETB missing","End_tr_balance missing"),IF(T4914="FAIL",IF(AND(ISNUMBER(K4914),ISNUMBER(L4914),ABS(L4914-(K4914-IF(ISNUMBER(N4914),N4914,0)-IF(ISNUMBER(O4914),O4914,0)+IF(ISNUMBER(P4914),P4914,0)))&lt;=Summary!$B$2),"Passes using beginning_balance - PreV_ETB differs from beginning_balance",IF(AND(ISNUMBER(O4914),O4914&lt;0,ABS(L4914-(Q4914-IF(ISNUMBER(N4914),N4914,0)+IF(ISNUMBER(P4914),P4914,0)))&lt;=Summary!$B$2),"Negative realized loss not applied - check sign",IF(R4914&lt;0,"Principal paid exceeds prior balance",IF(AND(L4914&gt;Q4914,NOT(ISNUMBER(P4914))),"Balance increased but no Deferred_interest reported",IF(L4914&gt;R4914,"Reported balance higher than expected (missing increase/OC build)","Reported balance lower than expected (missing decrease)"))))),""))</f>
        <v/>
      </c>
    </row>
    <row r="4915" customFormat="false" ht="15" hidden="false" customHeight="false" outlineLevel="0" collapsed="false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9"/>
      <c r="L4915" s="9"/>
      <c r="M4915" s="9"/>
      <c r="N4915" s="9"/>
      <c r="O4915" s="9"/>
      <c r="P4915" s="9"/>
      <c r="Q4915" s="9"/>
      <c r="R4915" s="9" t="str">
        <f aca="false">IF(AND(A4915&lt;&gt;"",ISNUMBER(Q4915),ISNUMBER(L4915)),ROUND(Q4915-IF(ISNUMBER(N4915),N4915,0)-IF(ISNUMBER(O4915),O4915,0)+IF(ISNUMBER(P4915),P4915,0),2),"")</f>
        <v/>
      </c>
      <c r="S4915" s="9" t="str">
        <f aca="false">IF(R4915="","",ROUND(L4915-R4915,2))</f>
        <v/>
      </c>
      <c r="T4915" s="8" t="str">
        <f aca="false">IF(A4915="","",IF(S4915="","BYPASS",IF(ABS(S4915)&lt;=Summary!$B$2,"PASS","FAIL")))</f>
        <v/>
      </c>
      <c r="U4915" s="8" t="str">
        <f aca="false">IF(T4915="BYPASS",IF(NOT(ISNUMBER(Q4915)),"PreV_ETB missing","End_tr_balance missing"),IF(T4915="FAIL",IF(AND(ISNUMBER(K4915),ISNUMBER(L4915),ABS(L4915-(K4915-IF(ISNUMBER(N4915),N4915,0)-IF(ISNUMBER(O4915),O4915,0)+IF(ISNUMBER(P4915),P4915,0)))&lt;=Summary!$B$2),"Passes using beginning_balance - PreV_ETB differs from beginning_balance",IF(AND(ISNUMBER(O4915),O4915&lt;0,ABS(L4915-(Q4915-IF(ISNUMBER(N4915),N4915,0)+IF(ISNUMBER(P4915),P4915,0)))&lt;=Summary!$B$2),"Negative realized loss not applied - check sign",IF(R4915&lt;0,"Principal paid exceeds prior balance",IF(AND(L4915&gt;Q4915,NOT(ISNUMBER(P4915))),"Balance increased but no Deferred_interest reported",IF(L4915&gt;R4915,"Reported balance higher than expected (missing increase/OC build)","Reported balance lower than expected (missing decrease)"))))),""))</f>
        <v/>
      </c>
    </row>
    <row r="4916" customFormat="false" ht="15" hidden="false" customHeight="false" outlineLevel="0" collapsed="false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9"/>
      <c r="L4916" s="9"/>
      <c r="M4916" s="9"/>
      <c r="N4916" s="9"/>
      <c r="O4916" s="9"/>
      <c r="P4916" s="9"/>
      <c r="Q4916" s="9"/>
      <c r="R4916" s="9" t="str">
        <f aca="false">IF(AND(A4916&lt;&gt;"",ISNUMBER(Q4916),ISNUMBER(L4916)),ROUND(Q4916-IF(ISNUMBER(N4916),N4916,0)-IF(ISNUMBER(O4916),O4916,0)+IF(ISNUMBER(P4916),P4916,0),2),"")</f>
        <v/>
      </c>
      <c r="S4916" s="9" t="str">
        <f aca="false">IF(R4916="","",ROUND(L4916-R4916,2))</f>
        <v/>
      </c>
      <c r="T4916" s="8" t="str">
        <f aca="false">IF(A4916="","",IF(S4916="","BYPASS",IF(ABS(S4916)&lt;=Summary!$B$2,"PASS","FAIL")))</f>
        <v/>
      </c>
      <c r="U4916" s="8" t="str">
        <f aca="false">IF(T4916="BYPASS",IF(NOT(ISNUMBER(Q4916)),"PreV_ETB missing","End_tr_balance missing"),IF(T4916="FAIL",IF(AND(ISNUMBER(K4916),ISNUMBER(L4916),ABS(L4916-(K4916-IF(ISNUMBER(N4916),N4916,0)-IF(ISNUMBER(O4916),O4916,0)+IF(ISNUMBER(P4916),P4916,0)))&lt;=Summary!$B$2),"Passes using beginning_balance - PreV_ETB differs from beginning_balance",IF(AND(ISNUMBER(O4916),O4916&lt;0,ABS(L4916-(Q4916-IF(ISNUMBER(N4916),N4916,0)+IF(ISNUMBER(P4916),P4916,0)))&lt;=Summary!$B$2),"Negative realized loss not applied - check sign",IF(R4916&lt;0,"Principal paid exceeds prior balance",IF(AND(L4916&gt;Q4916,NOT(ISNUMBER(P4916))),"Balance increased but no Deferred_interest reported",IF(L4916&gt;R4916,"Reported balance higher than expected (missing increase/OC build)","Reported balance lower than expected (missing decrease)"))))),""))</f>
        <v/>
      </c>
    </row>
    <row r="4917" customFormat="false" ht="15" hidden="false" customHeight="false" outlineLevel="0" collapsed="false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9"/>
      <c r="L4917" s="9"/>
      <c r="M4917" s="9"/>
      <c r="N4917" s="9"/>
      <c r="O4917" s="9"/>
      <c r="P4917" s="9"/>
      <c r="Q4917" s="9"/>
      <c r="R4917" s="9" t="str">
        <f aca="false">IF(AND(A4917&lt;&gt;"",ISNUMBER(Q4917),ISNUMBER(L4917)),ROUND(Q4917-IF(ISNUMBER(N4917),N4917,0)-IF(ISNUMBER(O4917),O4917,0)+IF(ISNUMBER(P4917),P4917,0),2),"")</f>
        <v/>
      </c>
      <c r="S4917" s="9" t="str">
        <f aca="false">IF(R4917="","",ROUND(L4917-R4917,2))</f>
        <v/>
      </c>
      <c r="T4917" s="8" t="str">
        <f aca="false">IF(A4917="","",IF(S4917="","BYPASS",IF(ABS(S4917)&lt;=Summary!$B$2,"PASS","FAIL")))</f>
        <v/>
      </c>
      <c r="U4917" s="8" t="str">
        <f aca="false">IF(T4917="BYPASS",IF(NOT(ISNUMBER(Q4917)),"PreV_ETB missing","End_tr_balance missing"),IF(T4917="FAIL",IF(AND(ISNUMBER(K4917),ISNUMBER(L4917),ABS(L4917-(K4917-IF(ISNUMBER(N4917),N4917,0)-IF(ISNUMBER(O4917),O4917,0)+IF(ISNUMBER(P4917),P4917,0)))&lt;=Summary!$B$2),"Passes using beginning_balance - PreV_ETB differs from beginning_balance",IF(AND(ISNUMBER(O4917),O4917&lt;0,ABS(L4917-(Q4917-IF(ISNUMBER(N4917),N4917,0)+IF(ISNUMBER(P4917),P4917,0)))&lt;=Summary!$B$2),"Negative realized loss not applied - check sign",IF(R4917&lt;0,"Principal paid exceeds prior balance",IF(AND(L4917&gt;Q4917,NOT(ISNUMBER(P4917))),"Balance increased but no Deferred_interest reported",IF(L4917&gt;R4917,"Reported balance higher than expected (missing increase/OC build)","Reported balance lower than expected (missing decrease)"))))),""))</f>
        <v/>
      </c>
    </row>
    <row r="4918" customFormat="false" ht="15" hidden="false" customHeight="false" outlineLevel="0" collapsed="false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9"/>
      <c r="L4918" s="9"/>
      <c r="M4918" s="9"/>
      <c r="N4918" s="9"/>
      <c r="O4918" s="9"/>
      <c r="P4918" s="9"/>
      <c r="Q4918" s="9"/>
      <c r="R4918" s="9" t="str">
        <f aca="false">IF(AND(A4918&lt;&gt;"",ISNUMBER(Q4918),ISNUMBER(L4918)),ROUND(Q4918-IF(ISNUMBER(N4918),N4918,0)-IF(ISNUMBER(O4918),O4918,0)+IF(ISNUMBER(P4918),P4918,0),2),"")</f>
        <v/>
      </c>
      <c r="S4918" s="9" t="str">
        <f aca="false">IF(R4918="","",ROUND(L4918-R4918,2))</f>
        <v/>
      </c>
      <c r="T4918" s="8" t="str">
        <f aca="false">IF(A4918="","",IF(S4918="","BYPASS",IF(ABS(S4918)&lt;=Summary!$B$2,"PASS","FAIL")))</f>
        <v/>
      </c>
      <c r="U4918" s="8" t="str">
        <f aca="false">IF(T4918="BYPASS",IF(NOT(ISNUMBER(Q4918)),"PreV_ETB missing","End_tr_balance missing"),IF(T4918="FAIL",IF(AND(ISNUMBER(K4918),ISNUMBER(L4918),ABS(L4918-(K4918-IF(ISNUMBER(N4918),N4918,0)-IF(ISNUMBER(O4918),O4918,0)+IF(ISNUMBER(P4918),P4918,0)))&lt;=Summary!$B$2),"Passes using beginning_balance - PreV_ETB differs from beginning_balance",IF(AND(ISNUMBER(O4918),O4918&lt;0,ABS(L4918-(Q4918-IF(ISNUMBER(N4918),N4918,0)+IF(ISNUMBER(P4918),P4918,0)))&lt;=Summary!$B$2),"Negative realized loss not applied - check sign",IF(R4918&lt;0,"Principal paid exceeds prior balance",IF(AND(L4918&gt;Q4918,NOT(ISNUMBER(P4918))),"Balance increased but no Deferred_interest reported",IF(L4918&gt;R4918,"Reported balance higher than expected (missing increase/OC build)","Reported balance lower than expected (missing decrease)"))))),""))</f>
        <v/>
      </c>
    </row>
    <row r="4919" customFormat="false" ht="15" hidden="false" customHeight="false" outlineLevel="0" collapsed="false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9"/>
      <c r="L4919" s="9"/>
      <c r="M4919" s="9"/>
      <c r="N4919" s="9"/>
      <c r="O4919" s="9"/>
      <c r="P4919" s="9"/>
      <c r="Q4919" s="9"/>
      <c r="R4919" s="9" t="str">
        <f aca="false">IF(AND(A4919&lt;&gt;"",ISNUMBER(Q4919),ISNUMBER(L4919)),ROUND(Q4919-IF(ISNUMBER(N4919),N4919,0)-IF(ISNUMBER(O4919),O4919,0)+IF(ISNUMBER(P4919),P4919,0),2),"")</f>
        <v/>
      </c>
      <c r="S4919" s="9" t="str">
        <f aca="false">IF(R4919="","",ROUND(L4919-R4919,2))</f>
        <v/>
      </c>
      <c r="T4919" s="8" t="str">
        <f aca="false">IF(A4919="","",IF(S4919="","BYPASS",IF(ABS(S4919)&lt;=Summary!$B$2,"PASS","FAIL")))</f>
        <v/>
      </c>
      <c r="U4919" s="8" t="str">
        <f aca="false">IF(T4919="BYPASS",IF(NOT(ISNUMBER(Q4919)),"PreV_ETB missing","End_tr_balance missing"),IF(T4919="FAIL",IF(AND(ISNUMBER(K4919),ISNUMBER(L4919),ABS(L4919-(K4919-IF(ISNUMBER(N4919),N4919,0)-IF(ISNUMBER(O4919),O4919,0)+IF(ISNUMBER(P4919),P4919,0)))&lt;=Summary!$B$2),"Passes using beginning_balance - PreV_ETB differs from beginning_balance",IF(AND(ISNUMBER(O4919),O4919&lt;0,ABS(L4919-(Q4919-IF(ISNUMBER(N4919),N4919,0)+IF(ISNUMBER(P4919),P4919,0)))&lt;=Summary!$B$2),"Negative realized loss not applied - check sign",IF(R4919&lt;0,"Principal paid exceeds prior balance",IF(AND(L4919&gt;Q4919,NOT(ISNUMBER(P4919))),"Balance increased but no Deferred_interest reported",IF(L4919&gt;R4919,"Reported balance higher than expected (missing increase/OC build)","Reported balance lower than expected (missing decrease)"))))),""))</f>
        <v/>
      </c>
    </row>
    <row r="4920" customFormat="false" ht="15" hidden="false" customHeight="false" outlineLevel="0" collapsed="false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9"/>
      <c r="L4920" s="9"/>
      <c r="M4920" s="9"/>
      <c r="N4920" s="9"/>
      <c r="O4920" s="9"/>
      <c r="P4920" s="9"/>
      <c r="Q4920" s="9"/>
      <c r="R4920" s="9" t="str">
        <f aca="false">IF(AND(A4920&lt;&gt;"",ISNUMBER(Q4920),ISNUMBER(L4920)),ROUND(Q4920-IF(ISNUMBER(N4920),N4920,0)-IF(ISNUMBER(O4920),O4920,0)+IF(ISNUMBER(P4920),P4920,0),2),"")</f>
        <v/>
      </c>
      <c r="S4920" s="9" t="str">
        <f aca="false">IF(R4920="","",ROUND(L4920-R4920,2))</f>
        <v/>
      </c>
      <c r="T4920" s="8" t="str">
        <f aca="false">IF(A4920="","",IF(S4920="","BYPASS",IF(ABS(S4920)&lt;=Summary!$B$2,"PASS","FAIL")))</f>
        <v/>
      </c>
      <c r="U4920" s="8" t="str">
        <f aca="false">IF(T4920="BYPASS",IF(NOT(ISNUMBER(Q4920)),"PreV_ETB missing","End_tr_balance missing"),IF(T4920="FAIL",IF(AND(ISNUMBER(K4920),ISNUMBER(L4920),ABS(L4920-(K4920-IF(ISNUMBER(N4920),N4920,0)-IF(ISNUMBER(O4920),O4920,0)+IF(ISNUMBER(P4920),P4920,0)))&lt;=Summary!$B$2),"Passes using beginning_balance - PreV_ETB differs from beginning_balance",IF(AND(ISNUMBER(O4920),O4920&lt;0,ABS(L4920-(Q4920-IF(ISNUMBER(N4920),N4920,0)+IF(ISNUMBER(P4920),P4920,0)))&lt;=Summary!$B$2),"Negative realized loss not applied - check sign",IF(R4920&lt;0,"Principal paid exceeds prior balance",IF(AND(L4920&gt;Q4920,NOT(ISNUMBER(P4920))),"Balance increased but no Deferred_interest reported",IF(L4920&gt;R4920,"Reported balance higher than expected (missing increase/OC build)","Reported balance lower than expected (missing decrease)"))))),""))</f>
        <v/>
      </c>
    </row>
    <row r="4921" customFormat="false" ht="15" hidden="false" customHeight="false" outlineLevel="0" collapsed="false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9"/>
      <c r="L4921" s="9"/>
      <c r="M4921" s="9"/>
      <c r="N4921" s="9"/>
      <c r="O4921" s="9"/>
      <c r="P4921" s="9"/>
      <c r="Q4921" s="9"/>
      <c r="R4921" s="9" t="str">
        <f aca="false">IF(AND(A4921&lt;&gt;"",ISNUMBER(Q4921),ISNUMBER(L4921)),ROUND(Q4921-IF(ISNUMBER(N4921),N4921,0)-IF(ISNUMBER(O4921),O4921,0)+IF(ISNUMBER(P4921),P4921,0),2),"")</f>
        <v/>
      </c>
      <c r="S4921" s="9" t="str">
        <f aca="false">IF(R4921="","",ROUND(L4921-R4921,2))</f>
        <v/>
      </c>
      <c r="T4921" s="8" t="str">
        <f aca="false">IF(A4921="","",IF(S4921="","BYPASS",IF(ABS(S4921)&lt;=Summary!$B$2,"PASS","FAIL")))</f>
        <v/>
      </c>
      <c r="U4921" s="8" t="str">
        <f aca="false">IF(T4921="BYPASS",IF(NOT(ISNUMBER(Q4921)),"PreV_ETB missing","End_tr_balance missing"),IF(T4921="FAIL",IF(AND(ISNUMBER(K4921),ISNUMBER(L4921),ABS(L4921-(K4921-IF(ISNUMBER(N4921),N4921,0)-IF(ISNUMBER(O4921),O4921,0)+IF(ISNUMBER(P4921),P4921,0)))&lt;=Summary!$B$2),"Passes using beginning_balance - PreV_ETB differs from beginning_balance",IF(AND(ISNUMBER(O4921),O4921&lt;0,ABS(L4921-(Q4921-IF(ISNUMBER(N4921),N4921,0)+IF(ISNUMBER(P4921),P4921,0)))&lt;=Summary!$B$2),"Negative realized loss not applied - check sign",IF(R4921&lt;0,"Principal paid exceeds prior balance",IF(AND(L4921&gt;Q4921,NOT(ISNUMBER(P4921))),"Balance increased but no Deferred_interest reported",IF(L4921&gt;R4921,"Reported balance higher than expected (missing increase/OC build)","Reported balance lower than expected (missing decrease)"))))),""))</f>
        <v/>
      </c>
    </row>
    <row r="4922" customFormat="false" ht="15" hidden="false" customHeight="false" outlineLevel="0" collapsed="false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9"/>
      <c r="L4922" s="9"/>
      <c r="M4922" s="9"/>
      <c r="N4922" s="9"/>
      <c r="O4922" s="9"/>
      <c r="P4922" s="9"/>
      <c r="Q4922" s="9"/>
      <c r="R4922" s="9" t="str">
        <f aca="false">IF(AND(A4922&lt;&gt;"",ISNUMBER(Q4922),ISNUMBER(L4922)),ROUND(Q4922-IF(ISNUMBER(N4922),N4922,0)-IF(ISNUMBER(O4922),O4922,0)+IF(ISNUMBER(P4922),P4922,0),2),"")</f>
        <v/>
      </c>
      <c r="S4922" s="9" t="str">
        <f aca="false">IF(R4922="","",ROUND(L4922-R4922,2))</f>
        <v/>
      </c>
      <c r="T4922" s="8" t="str">
        <f aca="false">IF(A4922="","",IF(S4922="","BYPASS",IF(ABS(S4922)&lt;=Summary!$B$2,"PASS","FAIL")))</f>
        <v/>
      </c>
      <c r="U4922" s="8" t="str">
        <f aca="false">IF(T4922="BYPASS",IF(NOT(ISNUMBER(Q4922)),"PreV_ETB missing","End_tr_balance missing"),IF(T4922="FAIL",IF(AND(ISNUMBER(K4922),ISNUMBER(L4922),ABS(L4922-(K4922-IF(ISNUMBER(N4922),N4922,0)-IF(ISNUMBER(O4922),O4922,0)+IF(ISNUMBER(P4922),P4922,0)))&lt;=Summary!$B$2),"Passes using beginning_balance - PreV_ETB differs from beginning_balance",IF(AND(ISNUMBER(O4922),O4922&lt;0,ABS(L4922-(Q4922-IF(ISNUMBER(N4922),N4922,0)+IF(ISNUMBER(P4922),P4922,0)))&lt;=Summary!$B$2),"Negative realized loss not applied - check sign",IF(R4922&lt;0,"Principal paid exceeds prior balance",IF(AND(L4922&gt;Q4922,NOT(ISNUMBER(P4922))),"Balance increased but no Deferred_interest reported",IF(L4922&gt;R4922,"Reported balance higher than expected (missing increase/OC build)","Reported balance lower than expected (missing decrease)"))))),""))</f>
        <v/>
      </c>
    </row>
    <row r="4923" customFormat="false" ht="15" hidden="false" customHeight="false" outlineLevel="0" collapsed="false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9"/>
      <c r="L4923" s="9"/>
      <c r="M4923" s="9"/>
      <c r="N4923" s="9"/>
      <c r="O4923" s="9"/>
      <c r="P4923" s="9"/>
      <c r="Q4923" s="9"/>
      <c r="R4923" s="9" t="str">
        <f aca="false">IF(AND(A4923&lt;&gt;"",ISNUMBER(Q4923),ISNUMBER(L4923)),ROUND(Q4923-IF(ISNUMBER(N4923),N4923,0)-IF(ISNUMBER(O4923),O4923,0)+IF(ISNUMBER(P4923),P4923,0),2),"")</f>
        <v/>
      </c>
      <c r="S4923" s="9" t="str">
        <f aca="false">IF(R4923="","",ROUND(L4923-R4923,2))</f>
        <v/>
      </c>
      <c r="T4923" s="8" t="str">
        <f aca="false">IF(A4923="","",IF(S4923="","BYPASS",IF(ABS(S4923)&lt;=Summary!$B$2,"PASS","FAIL")))</f>
        <v/>
      </c>
      <c r="U4923" s="8" t="str">
        <f aca="false">IF(T4923="BYPASS",IF(NOT(ISNUMBER(Q4923)),"PreV_ETB missing","End_tr_balance missing"),IF(T4923="FAIL",IF(AND(ISNUMBER(K4923),ISNUMBER(L4923),ABS(L4923-(K4923-IF(ISNUMBER(N4923),N4923,0)-IF(ISNUMBER(O4923),O4923,0)+IF(ISNUMBER(P4923),P4923,0)))&lt;=Summary!$B$2),"Passes using beginning_balance - PreV_ETB differs from beginning_balance",IF(AND(ISNUMBER(O4923),O4923&lt;0,ABS(L4923-(Q4923-IF(ISNUMBER(N4923),N4923,0)+IF(ISNUMBER(P4923),P4923,0)))&lt;=Summary!$B$2),"Negative realized loss not applied - check sign",IF(R4923&lt;0,"Principal paid exceeds prior balance",IF(AND(L4923&gt;Q4923,NOT(ISNUMBER(P4923))),"Balance increased but no Deferred_interest reported",IF(L4923&gt;R4923,"Reported balance higher than expected (missing increase/OC build)","Reported balance lower than expected (missing decrease)"))))),""))</f>
        <v/>
      </c>
    </row>
    <row r="4924" customFormat="false" ht="15" hidden="false" customHeight="false" outlineLevel="0" collapsed="false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9"/>
      <c r="L4924" s="9"/>
      <c r="M4924" s="9"/>
      <c r="N4924" s="9"/>
      <c r="O4924" s="9"/>
      <c r="P4924" s="9"/>
      <c r="Q4924" s="9"/>
      <c r="R4924" s="9" t="str">
        <f aca="false">IF(AND(A4924&lt;&gt;"",ISNUMBER(Q4924),ISNUMBER(L4924)),ROUND(Q4924-IF(ISNUMBER(N4924),N4924,0)-IF(ISNUMBER(O4924),O4924,0)+IF(ISNUMBER(P4924),P4924,0),2),"")</f>
        <v/>
      </c>
      <c r="S4924" s="9" t="str">
        <f aca="false">IF(R4924="","",ROUND(L4924-R4924,2))</f>
        <v/>
      </c>
      <c r="T4924" s="8" t="str">
        <f aca="false">IF(A4924="","",IF(S4924="","BYPASS",IF(ABS(S4924)&lt;=Summary!$B$2,"PASS","FAIL")))</f>
        <v/>
      </c>
      <c r="U4924" s="8" t="str">
        <f aca="false">IF(T4924="BYPASS",IF(NOT(ISNUMBER(Q4924)),"PreV_ETB missing","End_tr_balance missing"),IF(T4924="FAIL",IF(AND(ISNUMBER(K4924),ISNUMBER(L4924),ABS(L4924-(K4924-IF(ISNUMBER(N4924),N4924,0)-IF(ISNUMBER(O4924),O4924,0)+IF(ISNUMBER(P4924),P4924,0)))&lt;=Summary!$B$2),"Passes using beginning_balance - PreV_ETB differs from beginning_balance",IF(AND(ISNUMBER(O4924),O4924&lt;0,ABS(L4924-(Q4924-IF(ISNUMBER(N4924),N4924,0)+IF(ISNUMBER(P4924),P4924,0)))&lt;=Summary!$B$2),"Negative realized loss not applied - check sign",IF(R4924&lt;0,"Principal paid exceeds prior balance",IF(AND(L4924&gt;Q4924,NOT(ISNUMBER(P4924))),"Balance increased but no Deferred_interest reported",IF(L4924&gt;R4924,"Reported balance higher than expected (missing increase/OC build)","Reported balance lower than expected (missing decrease)"))))),""))</f>
        <v/>
      </c>
    </row>
    <row r="4925" customFormat="false" ht="15" hidden="false" customHeight="false" outlineLevel="0" collapsed="false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9"/>
      <c r="L4925" s="9"/>
      <c r="M4925" s="9"/>
      <c r="N4925" s="9"/>
      <c r="O4925" s="9"/>
      <c r="P4925" s="9"/>
      <c r="Q4925" s="9"/>
      <c r="R4925" s="9" t="str">
        <f aca="false">IF(AND(A4925&lt;&gt;"",ISNUMBER(Q4925),ISNUMBER(L4925)),ROUND(Q4925-IF(ISNUMBER(N4925),N4925,0)-IF(ISNUMBER(O4925),O4925,0)+IF(ISNUMBER(P4925),P4925,0),2),"")</f>
        <v/>
      </c>
      <c r="S4925" s="9" t="str">
        <f aca="false">IF(R4925="","",ROUND(L4925-R4925,2))</f>
        <v/>
      </c>
      <c r="T4925" s="8" t="str">
        <f aca="false">IF(A4925="","",IF(S4925="","BYPASS",IF(ABS(S4925)&lt;=Summary!$B$2,"PASS","FAIL")))</f>
        <v/>
      </c>
      <c r="U4925" s="8" t="str">
        <f aca="false">IF(T4925="BYPASS",IF(NOT(ISNUMBER(Q4925)),"PreV_ETB missing","End_tr_balance missing"),IF(T4925="FAIL",IF(AND(ISNUMBER(K4925),ISNUMBER(L4925),ABS(L4925-(K4925-IF(ISNUMBER(N4925),N4925,0)-IF(ISNUMBER(O4925),O4925,0)+IF(ISNUMBER(P4925),P4925,0)))&lt;=Summary!$B$2),"Passes using beginning_balance - PreV_ETB differs from beginning_balance",IF(AND(ISNUMBER(O4925),O4925&lt;0,ABS(L4925-(Q4925-IF(ISNUMBER(N4925),N4925,0)+IF(ISNUMBER(P4925),P4925,0)))&lt;=Summary!$B$2),"Negative realized loss not applied - check sign",IF(R4925&lt;0,"Principal paid exceeds prior balance",IF(AND(L4925&gt;Q4925,NOT(ISNUMBER(P4925))),"Balance increased but no Deferred_interest reported",IF(L4925&gt;R4925,"Reported balance higher than expected (missing increase/OC build)","Reported balance lower than expected (missing decrease)"))))),""))</f>
        <v/>
      </c>
    </row>
    <row r="4926" customFormat="false" ht="15" hidden="false" customHeight="false" outlineLevel="0" collapsed="false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9"/>
      <c r="L4926" s="9"/>
      <c r="M4926" s="9"/>
      <c r="N4926" s="9"/>
      <c r="O4926" s="9"/>
      <c r="P4926" s="9"/>
      <c r="Q4926" s="9"/>
      <c r="R4926" s="9" t="str">
        <f aca="false">IF(AND(A4926&lt;&gt;"",ISNUMBER(Q4926),ISNUMBER(L4926)),ROUND(Q4926-IF(ISNUMBER(N4926),N4926,0)-IF(ISNUMBER(O4926),O4926,0)+IF(ISNUMBER(P4926),P4926,0),2),"")</f>
        <v/>
      </c>
      <c r="S4926" s="9" t="str">
        <f aca="false">IF(R4926="","",ROUND(L4926-R4926,2))</f>
        <v/>
      </c>
      <c r="T4926" s="8" t="str">
        <f aca="false">IF(A4926="","",IF(S4926="","BYPASS",IF(ABS(S4926)&lt;=Summary!$B$2,"PASS","FAIL")))</f>
        <v/>
      </c>
      <c r="U4926" s="8" t="str">
        <f aca="false">IF(T4926="BYPASS",IF(NOT(ISNUMBER(Q4926)),"PreV_ETB missing","End_tr_balance missing"),IF(T4926="FAIL",IF(AND(ISNUMBER(K4926),ISNUMBER(L4926),ABS(L4926-(K4926-IF(ISNUMBER(N4926),N4926,0)-IF(ISNUMBER(O4926),O4926,0)+IF(ISNUMBER(P4926),P4926,0)))&lt;=Summary!$B$2),"Passes using beginning_balance - PreV_ETB differs from beginning_balance",IF(AND(ISNUMBER(O4926),O4926&lt;0,ABS(L4926-(Q4926-IF(ISNUMBER(N4926),N4926,0)+IF(ISNUMBER(P4926),P4926,0)))&lt;=Summary!$B$2),"Negative realized loss not applied - check sign",IF(R4926&lt;0,"Principal paid exceeds prior balance",IF(AND(L4926&gt;Q4926,NOT(ISNUMBER(P4926))),"Balance increased but no Deferred_interest reported",IF(L4926&gt;R4926,"Reported balance higher than expected (missing increase/OC build)","Reported balance lower than expected (missing decrease)"))))),""))</f>
        <v/>
      </c>
    </row>
    <row r="4927" customFormat="false" ht="15" hidden="false" customHeight="false" outlineLevel="0" collapsed="false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9"/>
      <c r="L4927" s="9"/>
      <c r="M4927" s="9"/>
      <c r="N4927" s="9"/>
      <c r="O4927" s="9"/>
      <c r="P4927" s="9"/>
      <c r="Q4927" s="9"/>
      <c r="R4927" s="9" t="str">
        <f aca="false">IF(AND(A4927&lt;&gt;"",ISNUMBER(Q4927),ISNUMBER(L4927)),ROUND(Q4927-IF(ISNUMBER(N4927),N4927,0)-IF(ISNUMBER(O4927),O4927,0)+IF(ISNUMBER(P4927),P4927,0),2),"")</f>
        <v/>
      </c>
      <c r="S4927" s="9" t="str">
        <f aca="false">IF(R4927="","",ROUND(L4927-R4927,2))</f>
        <v/>
      </c>
      <c r="T4927" s="8" t="str">
        <f aca="false">IF(A4927="","",IF(S4927="","BYPASS",IF(ABS(S4927)&lt;=Summary!$B$2,"PASS","FAIL")))</f>
        <v/>
      </c>
      <c r="U4927" s="8" t="str">
        <f aca="false">IF(T4927="BYPASS",IF(NOT(ISNUMBER(Q4927)),"PreV_ETB missing","End_tr_balance missing"),IF(T4927="FAIL",IF(AND(ISNUMBER(K4927),ISNUMBER(L4927),ABS(L4927-(K4927-IF(ISNUMBER(N4927),N4927,0)-IF(ISNUMBER(O4927),O4927,0)+IF(ISNUMBER(P4927),P4927,0)))&lt;=Summary!$B$2),"Passes using beginning_balance - PreV_ETB differs from beginning_balance",IF(AND(ISNUMBER(O4927),O4927&lt;0,ABS(L4927-(Q4927-IF(ISNUMBER(N4927),N4927,0)+IF(ISNUMBER(P4927),P4927,0)))&lt;=Summary!$B$2),"Negative realized loss not applied - check sign",IF(R4927&lt;0,"Principal paid exceeds prior balance",IF(AND(L4927&gt;Q4927,NOT(ISNUMBER(P4927))),"Balance increased but no Deferred_interest reported",IF(L4927&gt;R4927,"Reported balance higher than expected (missing increase/OC build)","Reported balance lower than expected (missing decrease)"))))),""))</f>
        <v/>
      </c>
    </row>
    <row r="4928" customFormat="false" ht="15" hidden="false" customHeight="false" outlineLevel="0" collapsed="false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9"/>
      <c r="L4928" s="9"/>
      <c r="M4928" s="9"/>
      <c r="N4928" s="9"/>
      <c r="O4928" s="9"/>
      <c r="P4928" s="9"/>
      <c r="Q4928" s="9"/>
      <c r="R4928" s="9" t="str">
        <f aca="false">IF(AND(A4928&lt;&gt;"",ISNUMBER(Q4928),ISNUMBER(L4928)),ROUND(Q4928-IF(ISNUMBER(N4928),N4928,0)-IF(ISNUMBER(O4928),O4928,0)+IF(ISNUMBER(P4928),P4928,0),2),"")</f>
        <v/>
      </c>
      <c r="S4928" s="9" t="str">
        <f aca="false">IF(R4928="","",ROUND(L4928-R4928,2))</f>
        <v/>
      </c>
      <c r="T4928" s="8" t="str">
        <f aca="false">IF(A4928="","",IF(S4928="","BYPASS",IF(ABS(S4928)&lt;=Summary!$B$2,"PASS","FAIL")))</f>
        <v/>
      </c>
      <c r="U4928" s="8" t="str">
        <f aca="false">IF(T4928="BYPASS",IF(NOT(ISNUMBER(Q4928)),"PreV_ETB missing","End_tr_balance missing"),IF(T4928="FAIL",IF(AND(ISNUMBER(K4928),ISNUMBER(L4928),ABS(L4928-(K4928-IF(ISNUMBER(N4928),N4928,0)-IF(ISNUMBER(O4928),O4928,0)+IF(ISNUMBER(P4928),P4928,0)))&lt;=Summary!$B$2),"Passes using beginning_balance - PreV_ETB differs from beginning_balance",IF(AND(ISNUMBER(O4928),O4928&lt;0,ABS(L4928-(Q4928-IF(ISNUMBER(N4928),N4928,0)+IF(ISNUMBER(P4928),P4928,0)))&lt;=Summary!$B$2),"Negative realized loss not applied - check sign",IF(R4928&lt;0,"Principal paid exceeds prior balance",IF(AND(L4928&gt;Q4928,NOT(ISNUMBER(P4928))),"Balance increased but no Deferred_interest reported",IF(L4928&gt;R4928,"Reported balance higher than expected (missing increase/OC build)","Reported balance lower than expected (missing decrease)"))))),""))</f>
        <v/>
      </c>
    </row>
    <row r="4929" customFormat="false" ht="15" hidden="false" customHeight="false" outlineLevel="0" collapsed="false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9"/>
      <c r="L4929" s="9"/>
      <c r="M4929" s="9"/>
      <c r="N4929" s="9"/>
      <c r="O4929" s="9"/>
      <c r="P4929" s="9"/>
      <c r="Q4929" s="9"/>
      <c r="R4929" s="9" t="str">
        <f aca="false">IF(AND(A4929&lt;&gt;"",ISNUMBER(Q4929),ISNUMBER(L4929)),ROUND(Q4929-IF(ISNUMBER(N4929),N4929,0)-IF(ISNUMBER(O4929),O4929,0)+IF(ISNUMBER(P4929),P4929,0),2),"")</f>
        <v/>
      </c>
      <c r="S4929" s="9" t="str">
        <f aca="false">IF(R4929="","",ROUND(L4929-R4929,2))</f>
        <v/>
      </c>
      <c r="T4929" s="8" t="str">
        <f aca="false">IF(A4929="","",IF(S4929="","BYPASS",IF(ABS(S4929)&lt;=Summary!$B$2,"PASS","FAIL")))</f>
        <v/>
      </c>
      <c r="U4929" s="8" t="str">
        <f aca="false">IF(T4929="BYPASS",IF(NOT(ISNUMBER(Q4929)),"PreV_ETB missing","End_tr_balance missing"),IF(T4929="FAIL",IF(AND(ISNUMBER(K4929),ISNUMBER(L4929),ABS(L4929-(K4929-IF(ISNUMBER(N4929),N4929,0)-IF(ISNUMBER(O4929),O4929,0)+IF(ISNUMBER(P4929),P4929,0)))&lt;=Summary!$B$2),"Passes using beginning_balance - PreV_ETB differs from beginning_balance",IF(AND(ISNUMBER(O4929),O4929&lt;0,ABS(L4929-(Q4929-IF(ISNUMBER(N4929),N4929,0)+IF(ISNUMBER(P4929),P4929,0)))&lt;=Summary!$B$2),"Negative realized loss not applied - check sign",IF(R4929&lt;0,"Principal paid exceeds prior balance",IF(AND(L4929&gt;Q4929,NOT(ISNUMBER(P4929))),"Balance increased but no Deferred_interest reported",IF(L4929&gt;R4929,"Reported balance higher than expected (missing increase/OC build)","Reported balance lower than expected (missing decrease)"))))),""))</f>
        <v/>
      </c>
    </row>
    <row r="4930" customFormat="false" ht="15" hidden="false" customHeight="false" outlineLevel="0" collapsed="false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9"/>
      <c r="L4930" s="9"/>
      <c r="M4930" s="9"/>
      <c r="N4930" s="9"/>
      <c r="O4930" s="9"/>
      <c r="P4930" s="9"/>
      <c r="Q4930" s="9"/>
      <c r="R4930" s="9" t="str">
        <f aca="false">IF(AND(A4930&lt;&gt;"",ISNUMBER(Q4930),ISNUMBER(L4930)),ROUND(Q4930-IF(ISNUMBER(N4930),N4930,0)-IF(ISNUMBER(O4930),O4930,0)+IF(ISNUMBER(P4930),P4930,0),2),"")</f>
        <v/>
      </c>
      <c r="S4930" s="9" t="str">
        <f aca="false">IF(R4930="","",ROUND(L4930-R4930,2))</f>
        <v/>
      </c>
      <c r="T4930" s="8" t="str">
        <f aca="false">IF(A4930="","",IF(S4930="","BYPASS",IF(ABS(S4930)&lt;=Summary!$B$2,"PASS","FAIL")))</f>
        <v/>
      </c>
      <c r="U4930" s="8" t="str">
        <f aca="false">IF(T4930="BYPASS",IF(NOT(ISNUMBER(Q4930)),"PreV_ETB missing","End_tr_balance missing"),IF(T4930="FAIL",IF(AND(ISNUMBER(K4930),ISNUMBER(L4930),ABS(L4930-(K4930-IF(ISNUMBER(N4930),N4930,0)-IF(ISNUMBER(O4930),O4930,0)+IF(ISNUMBER(P4930),P4930,0)))&lt;=Summary!$B$2),"Passes using beginning_balance - PreV_ETB differs from beginning_balance",IF(AND(ISNUMBER(O4930),O4930&lt;0,ABS(L4930-(Q4930-IF(ISNUMBER(N4930),N4930,0)+IF(ISNUMBER(P4930),P4930,0)))&lt;=Summary!$B$2),"Negative realized loss not applied - check sign",IF(R4930&lt;0,"Principal paid exceeds prior balance",IF(AND(L4930&gt;Q4930,NOT(ISNUMBER(P4930))),"Balance increased but no Deferred_interest reported",IF(L4930&gt;R4930,"Reported balance higher than expected (missing increase/OC build)","Reported balance lower than expected (missing decrease)"))))),""))</f>
        <v/>
      </c>
    </row>
    <row r="4931" customFormat="false" ht="15" hidden="false" customHeight="false" outlineLevel="0" collapsed="false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9"/>
      <c r="L4931" s="9"/>
      <c r="M4931" s="9"/>
      <c r="N4931" s="9"/>
      <c r="O4931" s="9"/>
      <c r="P4931" s="9"/>
      <c r="Q4931" s="9"/>
      <c r="R4931" s="9" t="str">
        <f aca="false">IF(AND(A4931&lt;&gt;"",ISNUMBER(Q4931),ISNUMBER(L4931)),ROUND(Q4931-IF(ISNUMBER(N4931),N4931,0)-IF(ISNUMBER(O4931),O4931,0)+IF(ISNUMBER(P4931),P4931,0),2),"")</f>
        <v/>
      </c>
      <c r="S4931" s="9" t="str">
        <f aca="false">IF(R4931="","",ROUND(L4931-R4931,2))</f>
        <v/>
      </c>
      <c r="T4931" s="8" t="str">
        <f aca="false">IF(A4931="","",IF(S4931="","BYPASS",IF(ABS(S4931)&lt;=Summary!$B$2,"PASS","FAIL")))</f>
        <v/>
      </c>
      <c r="U4931" s="8" t="str">
        <f aca="false">IF(T4931="BYPASS",IF(NOT(ISNUMBER(Q4931)),"PreV_ETB missing","End_tr_balance missing"),IF(T4931="FAIL",IF(AND(ISNUMBER(K4931),ISNUMBER(L4931),ABS(L4931-(K4931-IF(ISNUMBER(N4931),N4931,0)-IF(ISNUMBER(O4931),O4931,0)+IF(ISNUMBER(P4931),P4931,0)))&lt;=Summary!$B$2),"Passes using beginning_balance - PreV_ETB differs from beginning_balance",IF(AND(ISNUMBER(O4931),O4931&lt;0,ABS(L4931-(Q4931-IF(ISNUMBER(N4931),N4931,0)+IF(ISNUMBER(P4931),P4931,0)))&lt;=Summary!$B$2),"Negative realized loss not applied - check sign",IF(R4931&lt;0,"Principal paid exceeds prior balance",IF(AND(L4931&gt;Q4931,NOT(ISNUMBER(P4931))),"Balance increased but no Deferred_interest reported",IF(L4931&gt;R4931,"Reported balance higher than expected (missing increase/OC build)","Reported balance lower than expected (missing decrease)"))))),""))</f>
        <v/>
      </c>
    </row>
    <row r="4932" customFormat="false" ht="15" hidden="false" customHeight="false" outlineLevel="0" collapsed="false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9"/>
      <c r="L4932" s="9"/>
      <c r="M4932" s="9"/>
      <c r="N4932" s="9"/>
      <c r="O4932" s="9"/>
      <c r="P4932" s="9"/>
      <c r="Q4932" s="9"/>
      <c r="R4932" s="9" t="str">
        <f aca="false">IF(AND(A4932&lt;&gt;"",ISNUMBER(Q4932),ISNUMBER(L4932)),ROUND(Q4932-IF(ISNUMBER(N4932),N4932,0)-IF(ISNUMBER(O4932),O4932,0)+IF(ISNUMBER(P4932),P4932,0),2),"")</f>
        <v/>
      </c>
      <c r="S4932" s="9" t="str">
        <f aca="false">IF(R4932="","",ROUND(L4932-R4932,2))</f>
        <v/>
      </c>
      <c r="T4932" s="8" t="str">
        <f aca="false">IF(A4932="","",IF(S4932="","BYPASS",IF(ABS(S4932)&lt;=Summary!$B$2,"PASS","FAIL")))</f>
        <v/>
      </c>
      <c r="U4932" s="8" t="str">
        <f aca="false">IF(T4932="BYPASS",IF(NOT(ISNUMBER(Q4932)),"PreV_ETB missing","End_tr_balance missing"),IF(T4932="FAIL",IF(AND(ISNUMBER(K4932),ISNUMBER(L4932),ABS(L4932-(K4932-IF(ISNUMBER(N4932),N4932,0)-IF(ISNUMBER(O4932),O4932,0)+IF(ISNUMBER(P4932),P4932,0)))&lt;=Summary!$B$2),"Passes using beginning_balance - PreV_ETB differs from beginning_balance",IF(AND(ISNUMBER(O4932),O4932&lt;0,ABS(L4932-(Q4932-IF(ISNUMBER(N4932),N4932,0)+IF(ISNUMBER(P4932),P4932,0)))&lt;=Summary!$B$2),"Negative realized loss not applied - check sign",IF(R4932&lt;0,"Principal paid exceeds prior balance",IF(AND(L4932&gt;Q4932,NOT(ISNUMBER(P4932))),"Balance increased but no Deferred_interest reported",IF(L4932&gt;R4932,"Reported balance higher than expected (missing increase/OC build)","Reported balance lower than expected (missing decrease)"))))),""))</f>
        <v/>
      </c>
    </row>
    <row r="4933" customFormat="false" ht="15" hidden="false" customHeight="false" outlineLevel="0" collapsed="false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9"/>
      <c r="L4933" s="9"/>
      <c r="M4933" s="9"/>
      <c r="N4933" s="9"/>
      <c r="O4933" s="9"/>
      <c r="P4933" s="9"/>
      <c r="Q4933" s="9"/>
      <c r="R4933" s="9" t="str">
        <f aca="false">IF(AND(A4933&lt;&gt;"",ISNUMBER(Q4933),ISNUMBER(L4933)),ROUND(Q4933-IF(ISNUMBER(N4933),N4933,0)-IF(ISNUMBER(O4933),O4933,0)+IF(ISNUMBER(P4933),P4933,0),2),"")</f>
        <v/>
      </c>
      <c r="S4933" s="9" t="str">
        <f aca="false">IF(R4933="","",ROUND(L4933-R4933,2))</f>
        <v/>
      </c>
      <c r="T4933" s="8" t="str">
        <f aca="false">IF(A4933="","",IF(S4933="","BYPASS",IF(ABS(S4933)&lt;=Summary!$B$2,"PASS","FAIL")))</f>
        <v/>
      </c>
      <c r="U4933" s="8" t="str">
        <f aca="false">IF(T4933="BYPASS",IF(NOT(ISNUMBER(Q4933)),"PreV_ETB missing","End_tr_balance missing"),IF(T4933="FAIL",IF(AND(ISNUMBER(K4933),ISNUMBER(L4933),ABS(L4933-(K4933-IF(ISNUMBER(N4933),N4933,0)-IF(ISNUMBER(O4933),O4933,0)+IF(ISNUMBER(P4933),P4933,0)))&lt;=Summary!$B$2),"Passes using beginning_balance - PreV_ETB differs from beginning_balance",IF(AND(ISNUMBER(O4933),O4933&lt;0,ABS(L4933-(Q4933-IF(ISNUMBER(N4933),N4933,0)+IF(ISNUMBER(P4933),P4933,0)))&lt;=Summary!$B$2),"Negative realized loss not applied - check sign",IF(R4933&lt;0,"Principal paid exceeds prior balance",IF(AND(L4933&gt;Q4933,NOT(ISNUMBER(P4933))),"Balance increased but no Deferred_interest reported",IF(L4933&gt;R4933,"Reported balance higher than expected (missing increase/OC build)","Reported balance lower than expected (missing decrease)"))))),""))</f>
        <v/>
      </c>
    </row>
    <row r="4934" customFormat="false" ht="15" hidden="false" customHeight="false" outlineLevel="0" collapsed="false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9"/>
      <c r="L4934" s="9"/>
      <c r="M4934" s="9"/>
      <c r="N4934" s="9"/>
      <c r="O4934" s="9"/>
      <c r="P4934" s="9"/>
      <c r="Q4934" s="9"/>
      <c r="R4934" s="9" t="str">
        <f aca="false">IF(AND(A4934&lt;&gt;"",ISNUMBER(Q4934),ISNUMBER(L4934)),ROUND(Q4934-IF(ISNUMBER(N4934),N4934,0)-IF(ISNUMBER(O4934),O4934,0)+IF(ISNUMBER(P4934),P4934,0),2),"")</f>
        <v/>
      </c>
      <c r="S4934" s="9" t="str">
        <f aca="false">IF(R4934="","",ROUND(L4934-R4934,2))</f>
        <v/>
      </c>
      <c r="T4934" s="8" t="str">
        <f aca="false">IF(A4934="","",IF(S4934="","BYPASS",IF(ABS(S4934)&lt;=Summary!$B$2,"PASS","FAIL")))</f>
        <v/>
      </c>
      <c r="U4934" s="8" t="str">
        <f aca="false">IF(T4934="BYPASS",IF(NOT(ISNUMBER(Q4934)),"PreV_ETB missing","End_tr_balance missing"),IF(T4934="FAIL",IF(AND(ISNUMBER(K4934),ISNUMBER(L4934),ABS(L4934-(K4934-IF(ISNUMBER(N4934),N4934,0)-IF(ISNUMBER(O4934),O4934,0)+IF(ISNUMBER(P4934),P4934,0)))&lt;=Summary!$B$2),"Passes using beginning_balance - PreV_ETB differs from beginning_balance",IF(AND(ISNUMBER(O4934),O4934&lt;0,ABS(L4934-(Q4934-IF(ISNUMBER(N4934),N4934,0)+IF(ISNUMBER(P4934),P4934,0)))&lt;=Summary!$B$2),"Negative realized loss not applied - check sign",IF(R4934&lt;0,"Principal paid exceeds prior balance",IF(AND(L4934&gt;Q4934,NOT(ISNUMBER(P4934))),"Balance increased but no Deferred_interest reported",IF(L4934&gt;R4934,"Reported balance higher than expected (missing increase/OC build)","Reported balance lower than expected (missing decrease)"))))),""))</f>
        <v/>
      </c>
    </row>
    <row r="4935" customFormat="false" ht="15" hidden="false" customHeight="false" outlineLevel="0" collapsed="false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9"/>
      <c r="L4935" s="9"/>
      <c r="M4935" s="9"/>
      <c r="N4935" s="9"/>
      <c r="O4935" s="9"/>
      <c r="P4935" s="9"/>
      <c r="Q4935" s="9"/>
      <c r="R4935" s="9" t="str">
        <f aca="false">IF(AND(A4935&lt;&gt;"",ISNUMBER(Q4935),ISNUMBER(L4935)),ROUND(Q4935-IF(ISNUMBER(N4935),N4935,0)-IF(ISNUMBER(O4935),O4935,0)+IF(ISNUMBER(P4935),P4935,0),2),"")</f>
        <v/>
      </c>
      <c r="S4935" s="9" t="str">
        <f aca="false">IF(R4935="","",ROUND(L4935-R4935,2))</f>
        <v/>
      </c>
      <c r="T4935" s="8" t="str">
        <f aca="false">IF(A4935="","",IF(S4935="","BYPASS",IF(ABS(S4935)&lt;=Summary!$B$2,"PASS","FAIL")))</f>
        <v/>
      </c>
      <c r="U4935" s="8" t="str">
        <f aca="false">IF(T4935="BYPASS",IF(NOT(ISNUMBER(Q4935)),"PreV_ETB missing","End_tr_balance missing"),IF(T4935="FAIL",IF(AND(ISNUMBER(K4935),ISNUMBER(L4935),ABS(L4935-(K4935-IF(ISNUMBER(N4935),N4935,0)-IF(ISNUMBER(O4935),O4935,0)+IF(ISNUMBER(P4935),P4935,0)))&lt;=Summary!$B$2),"Passes using beginning_balance - PreV_ETB differs from beginning_balance",IF(AND(ISNUMBER(O4935),O4935&lt;0,ABS(L4935-(Q4935-IF(ISNUMBER(N4935),N4935,0)+IF(ISNUMBER(P4935),P4935,0)))&lt;=Summary!$B$2),"Negative realized loss not applied - check sign",IF(R4935&lt;0,"Principal paid exceeds prior balance",IF(AND(L4935&gt;Q4935,NOT(ISNUMBER(P4935))),"Balance increased but no Deferred_interest reported",IF(L4935&gt;R4935,"Reported balance higher than expected (missing increase/OC build)","Reported balance lower than expected (missing decrease)"))))),""))</f>
        <v/>
      </c>
    </row>
    <row r="4936" customFormat="false" ht="15" hidden="false" customHeight="false" outlineLevel="0" collapsed="false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9"/>
      <c r="L4936" s="9"/>
      <c r="M4936" s="9"/>
      <c r="N4936" s="9"/>
      <c r="O4936" s="9"/>
      <c r="P4936" s="9"/>
      <c r="Q4936" s="9"/>
      <c r="R4936" s="9" t="str">
        <f aca="false">IF(AND(A4936&lt;&gt;"",ISNUMBER(Q4936),ISNUMBER(L4936)),ROUND(Q4936-IF(ISNUMBER(N4936),N4936,0)-IF(ISNUMBER(O4936),O4936,0)+IF(ISNUMBER(P4936),P4936,0),2),"")</f>
        <v/>
      </c>
      <c r="S4936" s="9" t="str">
        <f aca="false">IF(R4936="","",ROUND(L4936-R4936,2))</f>
        <v/>
      </c>
      <c r="T4936" s="8" t="str">
        <f aca="false">IF(A4936="","",IF(S4936="","BYPASS",IF(ABS(S4936)&lt;=Summary!$B$2,"PASS","FAIL")))</f>
        <v/>
      </c>
      <c r="U4936" s="8" t="str">
        <f aca="false">IF(T4936="BYPASS",IF(NOT(ISNUMBER(Q4936)),"PreV_ETB missing","End_tr_balance missing"),IF(T4936="FAIL",IF(AND(ISNUMBER(K4936),ISNUMBER(L4936),ABS(L4936-(K4936-IF(ISNUMBER(N4936),N4936,0)-IF(ISNUMBER(O4936),O4936,0)+IF(ISNUMBER(P4936),P4936,0)))&lt;=Summary!$B$2),"Passes using beginning_balance - PreV_ETB differs from beginning_balance",IF(AND(ISNUMBER(O4936),O4936&lt;0,ABS(L4936-(Q4936-IF(ISNUMBER(N4936),N4936,0)+IF(ISNUMBER(P4936),P4936,0)))&lt;=Summary!$B$2),"Negative realized loss not applied - check sign",IF(R4936&lt;0,"Principal paid exceeds prior balance",IF(AND(L4936&gt;Q4936,NOT(ISNUMBER(P4936))),"Balance increased but no Deferred_interest reported",IF(L4936&gt;R4936,"Reported balance higher than expected (missing increase/OC build)","Reported balance lower than expected (missing decrease)"))))),""))</f>
        <v/>
      </c>
    </row>
    <row r="4937" customFormat="false" ht="15" hidden="false" customHeight="false" outlineLevel="0" collapsed="false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9"/>
      <c r="L4937" s="9"/>
      <c r="M4937" s="9"/>
      <c r="N4937" s="9"/>
      <c r="O4937" s="9"/>
      <c r="P4937" s="9"/>
      <c r="Q4937" s="9"/>
      <c r="R4937" s="9" t="str">
        <f aca="false">IF(AND(A4937&lt;&gt;"",ISNUMBER(Q4937),ISNUMBER(L4937)),ROUND(Q4937-IF(ISNUMBER(N4937),N4937,0)-IF(ISNUMBER(O4937),O4937,0)+IF(ISNUMBER(P4937),P4937,0),2),"")</f>
        <v/>
      </c>
      <c r="S4937" s="9" t="str">
        <f aca="false">IF(R4937="","",ROUND(L4937-R4937,2))</f>
        <v/>
      </c>
      <c r="T4937" s="8" t="str">
        <f aca="false">IF(A4937="","",IF(S4937="","BYPASS",IF(ABS(S4937)&lt;=Summary!$B$2,"PASS","FAIL")))</f>
        <v/>
      </c>
      <c r="U4937" s="8" t="str">
        <f aca="false">IF(T4937="BYPASS",IF(NOT(ISNUMBER(Q4937)),"PreV_ETB missing","End_tr_balance missing"),IF(T4937="FAIL",IF(AND(ISNUMBER(K4937),ISNUMBER(L4937),ABS(L4937-(K4937-IF(ISNUMBER(N4937),N4937,0)-IF(ISNUMBER(O4937),O4937,0)+IF(ISNUMBER(P4937),P4937,0)))&lt;=Summary!$B$2),"Passes using beginning_balance - PreV_ETB differs from beginning_balance",IF(AND(ISNUMBER(O4937),O4937&lt;0,ABS(L4937-(Q4937-IF(ISNUMBER(N4937),N4937,0)+IF(ISNUMBER(P4937),P4937,0)))&lt;=Summary!$B$2),"Negative realized loss not applied - check sign",IF(R4937&lt;0,"Principal paid exceeds prior balance",IF(AND(L4937&gt;Q4937,NOT(ISNUMBER(P4937))),"Balance increased but no Deferred_interest reported",IF(L4937&gt;R4937,"Reported balance higher than expected (missing increase/OC build)","Reported balance lower than expected (missing decrease)"))))),""))</f>
        <v/>
      </c>
    </row>
    <row r="4938" customFormat="false" ht="15" hidden="false" customHeight="false" outlineLevel="0" collapsed="false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9"/>
      <c r="L4938" s="9"/>
      <c r="M4938" s="9"/>
      <c r="N4938" s="9"/>
      <c r="O4938" s="9"/>
      <c r="P4938" s="9"/>
      <c r="Q4938" s="9"/>
      <c r="R4938" s="9" t="str">
        <f aca="false">IF(AND(A4938&lt;&gt;"",ISNUMBER(Q4938),ISNUMBER(L4938)),ROUND(Q4938-IF(ISNUMBER(N4938),N4938,0)-IF(ISNUMBER(O4938),O4938,0)+IF(ISNUMBER(P4938),P4938,0),2),"")</f>
        <v/>
      </c>
      <c r="S4938" s="9" t="str">
        <f aca="false">IF(R4938="","",ROUND(L4938-R4938,2))</f>
        <v/>
      </c>
      <c r="T4938" s="8" t="str">
        <f aca="false">IF(A4938="","",IF(S4938="","BYPASS",IF(ABS(S4938)&lt;=Summary!$B$2,"PASS","FAIL")))</f>
        <v/>
      </c>
      <c r="U4938" s="8" t="str">
        <f aca="false">IF(T4938="BYPASS",IF(NOT(ISNUMBER(Q4938)),"PreV_ETB missing","End_tr_balance missing"),IF(T4938="FAIL",IF(AND(ISNUMBER(K4938),ISNUMBER(L4938),ABS(L4938-(K4938-IF(ISNUMBER(N4938),N4938,0)-IF(ISNUMBER(O4938),O4938,0)+IF(ISNUMBER(P4938),P4938,0)))&lt;=Summary!$B$2),"Passes using beginning_balance - PreV_ETB differs from beginning_balance",IF(AND(ISNUMBER(O4938),O4938&lt;0,ABS(L4938-(Q4938-IF(ISNUMBER(N4938),N4938,0)+IF(ISNUMBER(P4938),P4938,0)))&lt;=Summary!$B$2),"Negative realized loss not applied - check sign",IF(R4938&lt;0,"Principal paid exceeds prior balance",IF(AND(L4938&gt;Q4938,NOT(ISNUMBER(P4938))),"Balance increased but no Deferred_interest reported",IF(L4938&gt;R4938,"Reported balance higher than expected (missing increase/OC build)","Reported balance lower than expected (missing decrease)"))))),""))</f>
        <v/>
      </c>
    </row>
    <row r="4939" customFormat="false" ht="15" hidden="false" customHeight="false" outlineLevel="0" collapsed="false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9"/>
      <c r="L4939" s="9"/>
      <c r="M4939" s="9"/>
      <c r="N4939" s="9"/>
      <c r="O4939" s="9"/>
      <c r="P4939" s="9"/>
      <c r="Q4939" s="9"/>
      <c r="R4939" s="9" t="str">
        <f aca="false">IF(AND(A4939&lt;&gt;"",ISNUMBER(Q4939),ISNUMBER(L4939)),ROUND(Q4939-IF(ISNUMBER(N4939),N4939,0)-IF(ISNUMBER(O4939),O4939,0)+IF(ISNUMBER(P4939),P4939,0),2),"")</f>
        <v/>
      </c>
      <c r="S4939" s="9" t="str">
        <f aca="false">IF(R4939="","",ROUND(L4939-R4939,2))</f>
        <v/>
      </c>
      <c r="T4939" s="8" t="str">
        <f aca="false">IF(A4939="","",IF(S4939="","BYPASS",IF(ABS(S4939)&lt;=Summary!$B$2,"PASS","FAIL")))</f>
        <v/>
      </c>
      <c r="U4939" s="8" t="str">
        <f aca="false">IF(T4939="BYPASS",IF(NOT(ISNUMBER(Q4939)),"PreV_ETB missing","End_tr_balance missing"),IF(T4939="FAIL",IF(AND(ISNUMBER(K4939),ISNUMBER(L4939),ABS(L4939-(K4939-IF(ISNUMBER(N4939),N4939,0)-IF(ISNUMBER(O4939),O4939,0)+IF(ISNUMBER(P4939),P4939,0)))&lt;=Summary!$B$2),"Passes using beginning_balance - PreV_ETB differs from beginning_balance",IF(AND(ISNUMBER(O4939),O4939&lt;0,ABS(L4939-(Q4939-IF(ISNUMBER(N4939),N4939,0)+IF(ISNUMBER(P4939),P4939,0)))&lt;=Summary!$B$2),"Negative realized loss not applied - check sign",IF(R4939&lt;0,"Principal paid exceeds prior balance",IF(AND(L4939&gt;Q4939,NOT(ISNUMBER(P4939))),"Balance increased but no Deferred_interest reported",IF(L4939&gt;R4939,"Reported balance higher than expected (missing increase/OC build)","Reported balance lower than expected (missing decrease)"))))),""))</f>
        <v/>
      </c>
    </row>
    <row r="4940" customFormat="false" ht="15" hidden="false" customHeight="false" outlineLevel="0" collapsed="false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9"/>
      <c r="L4940" s="9"/>
      <c r="M4940" s="9"/>
      <c r="N4940" s="9"/>
      <c r="O4940" s="9"/>
      <c r="P4940" s="9"/>
      <c r="Q4940" s="9"/>
      <c r="R4940" s="9" t="str">
        <f aca="false">IF(AND(A4940&lt;&gt;"",ISNUMBER(Q4940),ISNUMBER(L4940)),ROUND(Q4940-IF(ISNUMBER(N4940),N4940,0)-IF(ISNUMBER(O4940),O4940,0)+IF(ISNUMBER(P4940),P4940,0),2),"")</f>
        <v/>
      </c>
      <c r="S4940" s="9" t="str">
        <f aca="false">IF(R4940="","",ROUND(L4940-R4940,2))</f>
        <v/>
      </c>
      <c r="T4940" s="8" t="str">
        <f aca="false">IF(A4940="","",IF(S4940="","BYPASS",IF(ABS(S4940)&lt;=Summary!$B$2,"PASS","FAIL")))</f>
        <v/>
      </c>
      <c r="U4940" s="8" t="str">
        <f aca="false">IF(T4940="BYPASS",IF(NOT(ISNUMBER(Q4940)),"PreV_ETB missing","End_tr_balance missing"),IF(T4940="FAIL",IF(AND(ISNUMBER(K4940),ISNUMBER(L4940),ABS(L4940-(K4940-IF(ISNUMBER(N4940),N4940,0)-IF(ISNUMBER(O4940),O4940,0)+IF(ISNUMBER(P4940),P4940,0)))&lt;=Summary!$B$2),"Passes using beginning_balance - PreV_ETB differs from beginning_balance",IF(AND(ISNUMBER(O4940),O4940&lt;0,ABS(L4940-(Q4940-IF(ISNUMBER(N4940),N4940,0)+IF(ISNUMBER(P4940),P4940,0)))&lt;=Summary!$B$2),"Negative realized loss not applied - check sign",IF(R4940&lt;0,"Principal paid exceeds prior balance",IF(AND(L4940&gt;Q4940,NOT(ISNUMBER(P4940))),"Balance increased but no Deferred_interest reported",IF(L4940&gt;R4940,"Reported balance higher than expected (missing increase/OC build)","Reported balance lower than expected (missing decrease)"))))),""))</f>
        <v/>
      </c>
    </row>
    <row r="4941" customFormat="false" ht="15" hidden="false" customHeight="false" outlineLevel="0" collapsed="false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9"/>
      <c r="L4941" s="9"/>
      <c r="M4941" s="9"/>
      <c r="N4941" s="9"/>
      <c r="O4941" s="9"/>
      <c r="P4941" s="9"/>
      <c r="Q4941" s="9"/>
      <c r="R4941" s="9" t="str">
        <f aca="false">IF(AND(A4941&lt;&gt;"",ISNUMBER(Q4941),ISNUMBER(L4941)),ROUND(Q4941-IF(ISNUMBER(N4941),N4941,0)-IF(ISNUMBER(O4941),O4941,0)+IF(ISNUMBER(P4941),P4941,0),2),"")</f>
        <v/>
      </c>
      <c r="S4941" s="9" t="str">
        <f aca="false">IF(R4941="","",ROUND(L4941-R4941,2))</f>
        <v/>
      </c>
      <c r="T4941" s="8" t="str">
        <f aca="false">IF(A4941="","",IF(S4941="","BYPASS",IF(ABS(S4941)&lt;=Summary!$B$2,"PASS","FAIL")))</f>
        <v/>
      </c>
      <c r="U4941" s="8" t="str">
        <f aca="false">IF(T4941="BYPASS",IF(NOT(ISNUMBER(Q4941)),"PreV_ETB missing","End_tr_balance missing"),IF(T4941="FAIL",IF(AND(ISNUMBER(K4941),ISNUMBER(L4941),ABS(L4941-(K4941-IF(ISNUMBER(N4941),N4941,0)-IF(ISNUMBER(O4941),O4941,0)+IF(ISNUMBER(P4941),P4941,0)))&lt;=Summary!$B$2),"Passes using beginning_balance - PreV_ETB differs from beginning_balance",IF(AND(ISNUMBER(O4941),O4941&lt;0,ABS(L4941-(Q4941-IF(ISNUMBER(N4941),N4941,0)+IF(ISNUMBER(P4941),P4941,0)))&lt;=Summary!$B$2),"Negative realized loss not applied - check sign",IF(R4941&lt;0,"Principal paid exceeds prior balance",IF(AND(L4941&gt;Q4941,NOT(ISNUMBER(P4941))),"Balance increased but no Deferred_interest reported",IF(L4941&gt;R4941,"Reported balance higher than expected (missing increase/OC build)","Reported balance lower than expected (missing decrease)"))))),""))</f>
        <v/>
      </c>
    </row>
    <row r="4942" customFormat="false" ht="15" hidden="false" customHeight="false" outlineLevel="0" collapsed="false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9"/>
      <c r="L4942" s="9"/>
      <c r="M4942" s="9"/>
      <c r="N4942" s="9"/>
      <c r="O4942" s="9"/>
      <c r="P4942" s="9"/>
      <c r="Q4942" s="9"/>
      <c r="R4942" s="9" t="str">
        <f aca="false">IF(AND(A4942&lt;&gt;"",ISNUMBER(Q4942),ISNUMBER(L4942)),ROUND(Q4942-IF(ISNUMBER(N4942),N4942,0)-IF(ISNUMBER(O4942),O4942,0)+IF(ISNUMBER(P4942),P4942,0),2),"")</f>
        <v/>
      </c>
      <c r="S4942" s="9" t="str">
        <f aca="false">IF(R4942="","",ROUND(L4942-R4942,2))</f>
        <v/>
      </c>
      <c r="T4942" s="8" t="str">
        <f aca="false">IF(A4942="","",IF(S4942="","BYPASS",IF(ABS(S4942)&lt;=Summary!$B$2,"PASS","FAIL")))</f>
        <v/>
      </c>
      <c r="U4942" s="8" t="str">
        <f aca="false">IF(T4942="BYPASS",IF(NOT(ISNUMBER(Q4942)),"PreV_ETB missing","End_tr_balance missing"),IF(T4942="FAIL",IF(AND(ISNUMBER(K4942),ISNUMBER(L4942),ABS(L4942-(K4942-IF(ISNUMBER(N4942),N4942,0)-IF(ISNUMBER(O4942),O4942,0)+IF(ISNUMBER(P4942),P4942,0)))&lt;=Summary!$B$2),"Passes using beginning_balance - PreV_ETB differs from beginning_balance",IF(AND(ISNUMBER(O4942),O4942&lt;0,ABS(L4942-(Q4942-IF(ISNUMBER(N4942),N4942,0)+IF(ISNUMBER(P4942),P4942,0)))&lt;=Summary!$B$2),"Negative realized loss not applied - check sign",IF(R4942&lt;0,"Principal paid exceeds prior balance",IF(AND(L4942&gt;Q4942,NOT(ISNUMBER(P4942))),"Balance increased but no Deferred_interest reported",IF(L4942&gt;R4942,"Reported balance higher than expected (missing increase/OC build)","Reported balance lower than expected (missing decrease)"))))),""))</f>
        <v/>
      </c>
    </row>
    <row r="4943" customFormat="false" ht="15" hidden="false" customHeight="false" outlineLevel="0" collapsed="false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9"/>
      <c r="L4943" s="9"/>
      <c r="M4943" s="9"/>
      <c r="N4943" s="9"/>
      <c r="O4943" s="9"/>
      <c r="P4943" s="9"/>
      <c r="Q4943" s="9"/>
      <c r="R4943" s="9" t="str">
        <f aca="false">IF(AND(A4943&lt;&gt;"",ISNUMBER(Q4943),ISNUMBER(L4943)),ROUND(Q4943-IF(ISNUMBER(N4943),N4943,0)-IF(ISNUMBER(O4943),O4943,0)+IF(ISNUMBER(P4943),P4943,0),2),"")</f>
        <v/>
      </c>
      <c r="S4943" s="9" t="str">
        <f aca="false">IF(R4943="","",ROUND(L4943-R4943,2))</f>
        <v/>
      </c>
      <c r="T4943" s="8" t="str">
        <f aca="false">IF(A4943="","",IF(S4943="","BYPASS",IF(ABS(S4943)&lt;=Summary!$B$2,"PASS","FAIL")))</f>
        <v/>
      </c>
      <c r="U4943" s="8" t="str">
        <f aca="false">IF(T4943="BYPASS",IF(NOT(ISNUMBER(Q4943)),"PreV_ETB missing","End_tr_balance missing"),IF(T4943="FAIL",IF(AND(ISNUMBER(K4943),ISNUMBER(L4943),ABS(L4943-(K4943-IF(ISNUMBER(N4943),N4943,0)-IF(ISNUMBER(O4943),O4943,0)+IF(ISNUMBER(P4943),P4943,0)))&lt;=Summary!$B$2),"Passes using beginning_balance - PreV_ETB differs from beginning_balance",IF(AND(ISNUMBER(O4943),O4943&lt;0,ABS(L4943-(Q4943-IF(ISNUMBER(N4943),N4943,0)+IF(ISNUMBER(P4943),P4943,0)))&lt;=Summary!$B$2),"Negative realized loss not applied - check sign",IF(R4943&lt;0,"Principal paid exceeds prior balance",IF(AND(L4943&gt;Q4943,NOT(ISNUMBER(P4943))),"Balance increased but no Deferred_interest reported",IF(L4943&gt;R4943,"Reported balance higher than expected (missing increase/OC build)","Reported balance lower than expected (missing decrease)"))))),""))</f>
        <v/>
      </c>
    </row>
    <row r="4944" customFormat="false" ht="15" hidden="false" customHeight="false" outlineLevel="0" collapsed="false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9"/>
      <c r="L4944" s="9"/>
      <c r="M4944" s="9"/>
      <c r="N4944" s="9"/>
      <c r="O4944" s="9"/>
      <c r="P4944" s="9"/>
      <c r="Q4944" s="9"/>
      <c r="R4944" s="9" t="str">
        <f aca="false">IF(AND(A4944&lt;&gt;"",ISNUMBER(Q4944),ISNUMBER(L4944)),ROUND(Q4944-IF(ISNUMBER(N4944),N4944,0)-IF(ISNUMBER(O4944),O4944,0)+IF(ISNUMBER(P4944),P4944,0),2),"")</f>
        <v/>
      </c>
      <c r="S4944" s="9" t="str">
        <f aca="false">IF(R4944="","",ROUND(L4944-R4944,2))</f>
        <v/>
      </c>
      <c r="T4944" s="8" t="str">
        <f aca="false">IF(A4944="","",IF(S4944="","BYPASS",IF(ABS(S4944)&lt;=Summary!$B$2,"PASS","FAIL")))</f>
        <v/>
      </c>
      <c r="U4944" s="8" t="str">
        <f aca="false">IF(T4944="BYPASS",IF(NOT(ISNUMBER(Q4944)),"PreV_ETB missing","End_tr_balance missing"),IF(T4944="FAIL",IF(AND(ISNUMBER(K4944),ISNUMBER(L4944),ABS(L4944-(K4944-IF(ISNUMBER(N4944),N4944,0)-IF(ISNUMBER(O4944),O4944,0)+IF(ISNUMBER(P4944),P4944,0)))&lt;=Summary!$B$2),"Passes using beginning_balance - PreV_ETB differs from beginning_balance",IF(AND(ISNUMBER(O4944),O4944&lt;0,ABS(L4944-(Q4944-IF(ISNUMBER(N4944),N4944,0)+IF(ISNUMBER(P4944),P4944,0)))&lt;=Summary!$B$2),"Negative realized loss not applied - check sign",IF(R4944&lt;0,"Principal paid exceeds prior balance",IF(AND(L4944&gt;Q4944,NOT(ISNUMBER(P4944))),"Balance increased but no Deferred_interest reported",IF(L4944&gt;R4944,"Reported balance higher than expected (missing increase/OC build)","Reported balance lower than expected (missing decrease)"))))),""))</f>
        <v/>
      </c>
    </row>
    <row r="4945" customFormat="false" ht="15" hidden="false" customHeight="false" outlineLevel="0" collapsed="false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9"/>
      <c r="L4945" s="9"/>
      <c r="M4945" s="9"/>
      <c r="N4945" s="9"/>
      <c r="O4945" s="9"/>
      <c r="P4945" s="9"/>
      <c r="Q4945" s="9"/>
      <c r="R4945" s="9" t="str">
        <f aca="false">IF(AND(A4945&lt;&gt;"",ISNUMBER(Q4945),ISNUMBER(L4945)),ROUND(Q4945-IF(ISNUMBER(N4945),N4945,0)-IF(ISNUMBER(O4945),O4945,0)+IF(ISNUMBER(P4945),P4945,0),2),"")</f>
        <v/>
      </c>
      <c r="S4945" s="9" t="str">
        <f aca="false">IF(R4945="","",ROUND(L4945-R4945,2))</f>
        <v/>
      </c>
      <c r="T4945" s="8" t="str">
        <f aca="false">IF(A4945="","",IF(S4945="","BYPASS",IF(ABS(S4945)&lt;=Summary!$B$2,"PASS","FAIL")))</f>
        <v/>
      </c>
      <c r="U4945" s="8" t="str">
        <f aca="false">IF(T4945="BYPASS",IF(NOT(ISNUMBER(Q4945)),"PreV_ETB missing","End_tr_balance missing"),IF(T4945="FAIL",IF(AND(ISNUMBER(K4945),ISNUMBER(L4945),ABS(L4945-(K4945-IF(ISNUMBER(N4945),N4945,0)-IF(ISNUMBER(O4945),O4945,0)+IF(ISNUMBER(P4945),P4945,0)))&lt;=Summary!$B$2),"Passes using beginning_balance - PreV_ETB differs from beginning_balance",IF(AND(ISNUMBER(O4945),O4945&lt;0,ABS(L4945-(Q4945-IF(ISNUMBER(N4945),N4945,0)+IF(ISNUMBER(P4945),P4945,0)))&lt;=Summary!$B$2),"Negative realized loss not applied - check sign",IF(R4945&lt;0,"Principal paid exceeds prior balance",IF(AND(L4945&gt;Q4945,NOT(ISNUMBER(P4945))),"Balance increased but no Deferred_interest reported",IF(L4945&gt;R4945,"Reported balance higher than expected (missing increase/OC build)","Reported balance lower than expected (missing decrease)"))))),""))</f>
        <v/>
      </c>
    </row>
    <row r="4946" customFormat="false" ht="15" hidden="false" customHeight="false" outlineLevel="0" collapsed="false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9"/>
      <c r="L4946" s="9"/>
      <c r="M4946" s="9"/>
      <c r="N4946" s="9"/>
      <c r="O4946" s="9"/>
      <c r="P4946" s="9"/>
      <c r="Q4946" s="9"/>
      <c r="R4946" s="9" t="str">
        <f aca="false">IF(AND(A4946&lt;&gt;"",ISNUMBER(Q4946),ISNUMBER(L4946)),ROUND(Q4946-IF(ISNUMBER(N4946),N4946,0)-IF(ISNUMBER(O4946),O4946,0)+IF(ISNUMBER(P4946),P4946,0),2),"")</f>
        <v/>
      </c>
      <c r="S4946" s="9" t="str">
        <f aca="false">IF(R4946="","",ROUND(L4946-R4946,2))</f>
        <v/>
      </c>
      <c r="T4946" s="8" t="str">
        <f aca="false">IF(A4946="","",IF(S4946="","BYPASS",IF(ABS(S4946)&lt;=Summary!$B$2,"PASS","FAIL")))</f>
        <v/>
      </c>
      <c r="U4946" s="8" t="str">
        <f aca="false">IF(T4946="BYPASS",IF(NOT(ISNUMBER(Q4946)),"PreV_ETB missing","End_tr_balance missing"),IF(T4946="FAIL",IF(AND(ISNUMBER(K4946),ISNUMBER(L4946),ABS(L4946-(K4946-IF(ISNUMBER(N4946),N4946,0)-IF(ISNUMBER(O4946),O4946,0)+IF(ISNUMBER(P4946),P4946,0)))&lt;=Summary!$B$2),"Passes using beginning_balance - PreV_ETB differs from beginning_balance",IF(AND(ISNUMBER(O4946),O4946&lt;0,ABS(L4946-(Q4946-IF(ISNUMBER(N4946),N4946,0)+IF(ISNUMBER(P4946),P4946,0)))&lt;=Summary!$B$2),"Negative realized loss not applied - check sign",IF(R4946&lt;0,"Principal paid exceeds prior balance",IF(AND(L4946&gt;Q4946,NOT(ISNUMBER(P4946))),"Balance increased but no Deferred_interest reported",IF(L4946&gt;R4946,"Reported balance higher than expected (missing increase/OC build)","Reported balance lower than expected (missing decrease)"))))),""))</f>
        <v/>
      </c>
    </row>
    <row r="4947" customFormat="false" ht="15" hidden="false" customHeight="false" outlineLevel="0" collapsed="false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9"/>
      <c r="L4947" s="9"/>
      <c r="M4947" s="9"/>
      <c r="N4947" s="9"/>
      <c r="O4947" s="9"/>
      <c r="P4947" s="9"/>
      <c r="Q4947" s="9"/>
      <c r="R4947" s="9" t="str">
        <f aca="false">IF(AND(A4947&lt;&gt;"",ISNUMBER(Q4947),ISNUMBER(L4947)),ROUND(Q4947-IF(ISNUMBER(N4947),N4947,0)-IF(ISNUMBER(O4947),O4947,0)+IF(ISNUMBER(P4947),P4947,0),2),"")</f>
        <v/>
      </c>
      <c r="S4947" s="9" t="str">
        <f aca="false">IF(R4947="","",ROUND(L4947-R4947,2))</f>
        <v/>
      </c>
      <c r="T4947" s="8" t="str">
        <f aca="false">IF(A4947="","",IF(S4947="","BYPASS",IF(ABS(S4947)&lt;=Summary!$B$2,"PASS","FAIL")))</f>
        <v/>
      </c>
      <c r="U4947" s="8" t="str">
        <f aca="false">IF(T4947="BYPASS",IF(NOT(ISNUMBER(Q4947)),"PreV_ETB missing","End_tr_balance missing"),IF(T4947="FAIL",IF(AND(ISNUMBER(K4947),ISNUMBER(L4947),ABS(L4947-(K4947-IF(ISNUMBER(N4947),N4947,0)-IF(ISNUMBER(O4947),O4947,0)+IF(ISNUMBER(P4947),P4947,0)))&lt;=Summary!$B$2),"Passes using beginning_balance - PreV_ETB differs from beginning_balance",IF(AND(ISNUMBER(O4947),O4947&lt;0,ABS(L4947-(Q4947-IF(ISNUMBER(N4947),N4947,0)+IF(ISNUMBER(P4947),P4947,0)))&lt;=Summary!$B$2),"Negative realized loss not applied - check sign",IF(R4947&lt;0,"Principal paid exceeds prior balance",IF(AND(L4947&gt;Q4947,NOT(ISNUMBER(P4947))),"Balance increased but no Deferred_interest reported",IF(L4947&gt;R4947,"Reported balance higher than expected (missing increase/OC build)","Reported balance lower than expected (missing decrease)"))))),""))</f>
        <v/>
      </c>
    </row>
    <row r="4948" customFormat="false" ht="15" hidden="false" customHeight="false" outlineLevel="0" collapsed="false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9"/>
      <c r="L4948" s="9"/>
      <c r="M4948" s="9"/>
      <c r="N4948" s="9"/>
      <c r="O4948" s="9"/>
      <c r="P4948" s="9"/>
      <c r="Q4948" s="9"/>
      <c r="R4948" s="9" t="str">
        <f aca="false">IF(AND(A4948&lt;&gt;"",ISNUMBER(Q4948),ISNUMBER(L4948)),ROUND(Q4948-IF(ISNUMBER(N4948),N4948,0)-IF(ISNUMBER(O4948),O4948,0)+IF(ISNUMBER(P4948),P4948,0),2),"")</f>
        <v/>
      </c>
      <c r="S4948" s="9" t="str">
        <f aca="false">IF(R4948="","",ROUND(L4948-R4948,2))</f>
        <v/>
      </c>
      <c r="T4948" s="8" t="str">
        <f aca="false">IF(A4948="","",IF(S4948="","BYPASS",IF(ABS(S4948)&lt;=Summary!$B$2,"PASS","FAIL")))</f>
        <v/>
      </c>
      <c r="U4948" s="8" t="str">
        <f aca="false">IF(T4948="BYPASS",IF(NOT(ISNUMBER(Q4948)),"PreV_ETB missing","End_tr_balance missing"),IF(T4948="FAIL",IF(AND(ISNUMBER(K4948),ISNUMBER(L4948),ABS(L4948-(K4948-IF(ISNUMBER(N4948),N4948,0)-IF(ISNUMBER(O4948),O4948,0)+IF(ISNUMBER(P4948),P4948,0)))&lt;=Summary!$B$2),"Passes using beginning_balance - PreV_ETB differs from beginning_balance",IF(AND(ISNUMBER(O4948),O4948&lt;0,ABS(L4948-(Q4948-IF(ISNUMBER(N4948),N4948,0)+IF(ISNUMBER(P4948),P4948,0)))&lt;=Summary!$B$2),"Negative realized loss not applied - check sign",IF(R4948&lt;0,"Principal paid exceeds prior balance",IF(AND(L4948&gt;Q4948,NOT(ISNUMBER(P4948))),"Balance increased but no Deferred_interest reported",IF(L4948&gt;R4948,"Reported balance higher than expected (missing increase/OC build)","Reported balance lower than expected (missing decrease)"))))),""))</f>
        <v/>
      </c>
    </row>
    <row r="4949" customFormat="false" ht="15" hidden="false" customHeight="false" outlineLevel="0" collapsed="false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9"/>
      <c r="L4949" s="9"/>
      <c r="M4949" s="9"/>
      <c r="N4949" s="9"/>
      <c r="O4949" s="9"/>
      <c r="P4949" s="9"/>
      <c r="Q4949" s="9"/>
      <c r="R4949" s="9" t="str">
        <f aca="false">IF(AND(A4949&lt;&gt;"",ISNUMBER(Q4949),ISNUMBER(L4949)),ROUND(Q4949-IF(ISNUMBER(N4949),N4949,0)-IF(ISNUMBER(O4949),O4949,0)+IF(ISNUMBER(P4949),P4949,0),2),"")</f>
        <v/>
      </c>
      <c r="S4949" s="9" t="str">
        <f aca="false">IF(R4949="","",ROUND(L4949-R4949,2))</f>
        <v/>
      </c>
      <c r="T4949" s="8" t="str">
        <f aca="false">IF(A4949="","",IF(S4949="","BYPASS",IF(ABS(S4949)&lt;=Summary!$B$2,"PASS","FAIL")))</f>
        <v/>
      </c>
      <c r="U4949" s="8" t="str">
        <f aca="false">IF(T4949="BYPASS",IF(NOT(ISNUMBER(Q4949)),"PreV_ETB missing","End_tr_balance missing"),IF(T4949="FAIL",IF(AND(ISNUMBER(K4949),ISNUMBER(L4949),ABS(L4949-(K4949-IF(ISNUMBER(N4949),N4949,0)-IF(ISNUMBER(O4949),O4949,0)+IF(ISNUMBER(P4949),P4949,0)))&lt;=Summary!$B$2),"Passes using beginning_balance - PreV_ETB differs from beginning_balance",IF(AND(ISNUMBER(O4949),O4949&lt;0,ABS(L4949-(Q4949-IF(ISNUMBER(N4949),N4949,0)+IF(ISNUMBER(P4949),P4949,0)))&lt;=Summary!$B$2),"Negative realized loss not applied - check sign",IF(R4949&lt;0,"Principal paid exceeds prior balance",IF(AND(L4949&gt;Q4949,NOT(ISNUMBER(P4949))),"Balance increased but no Deferred_interest reported",IF(L4949&gt;R4949,"Reported balance higher than expected (missing increase/OC build)","Reported balance lower than expected (missing decrease)"))))),""))</f>
        <v/>
      </c>
    </row>
    <row r="4950" customFormat="false" ht="15" hidden="false" customHeight="false" outlineLevel="0" collapsed="false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9"/>
      <c r="L4950" s="9"/>
      <c r="M4950" s="9"/>
      <c r="N4950" s="9"/>
      <c r="O4950" s="9"/>
      <c r="P4950" s="9"/>
      <c r="Q4950" s="9"/>
      <c r="R4950" s="9" t="str">
        <f aca="false">IF(AND(A4950&lt;&gt;"",ISNUMBER(Q4950),ISNUMBER(L4950)),ROUND(Q4950-IF(ISNUMBER(N4950),N4950,0)-IF(ISNUMBER(O4950),O4950,0)+IF(ISNUMBER(P4950),P4950,0),2),"")</f>
        <v/>
      </c>
      <c r="S4950" s="9" t="str">
        <f aca="false">IF(R4950="","",ROUND(L4950-R4950,2))</f>
        <v/>
      </c>
      <c r="T4950" s="8" t="str">
        <f aca="false">IF(A4950="","",IF(S4950="","BYPASS",IF(ABS(S4950)&lt;=Summary!$B$2,"PASS","FAIL")))</f>
        <v/>
      </c>
      <c r="U4950" s="8" t="str">
        <f aca="false">IF(T4950="BYPASS",IF(NOT(ISNUMBER(Q4950)),"PreV_ETB missing","End_tr_balance missing"),IF(T4950="FAIL",IF(AND(ISNUMBER(K4950),ISNUMBER(L4950),ABS(L4950-(K4950-IF(ISNUMBER(N4950),N4950,0)-IF(ISNUMBER(O4950),O4950,0)+IF(ISNUMBER(P4950),P4950,0)))&lt;=Summary!$B$2),"Passes using beginning_balance - PreV_ETB differs from beginning_balance",IF(AND(ISNUMBER(O4950),O4950&lt;0,ABS(L4950-(Q4950-IF(ISNUMBER(N4950),N4950,0)+IF(ISNUMBER(P4950),P4950,0)))&lt;=Summary!$B$2),"Negative realized loss not applied - check sign",IF(R4950&lt;0,"Principal paid exceeds prior balance",IF(AND(L4950&gt;Q4950,NOT(ISNUMBER(P4950))),"Balance increased but no Deferred_interest reported",IF(L4950&gt;R4950,"Reported balance higher than expected (missing increase/OC build)","Reported balance lower than expected (missing decrease)"))))),""))</f>
        <v/>
      </c>
    </row>
    <row r="4951" customFormat="false" ht="15" hidden="false" customHeight="false" outlineLevel="0" collapsed="false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9"/>
      <c r="L4951" s="9"/>
      <c r="M4951" s="9"/>
      <c r="N4951" s="9"/>
      <c r="O4951" s="9"/>
      <c r="P4951" s="9"/>
      <c r="Q4951" s="9"/>
      <c r="R4951" s="9" t="str">
        <f aca="false">IF(AND(A4951&lt;&gt;"",ISNUMBER(Q4951),ISNUMBER(L4951)),ROUND(Q4951-IF(ISNUMBER(N4951),N4951,0)-IF(ISNUMBER(O4951),O4951,0)+IF(ISNUMBER(P4951),P4951,0),2),"")</f>
        <v/>
      </c>
      <c r="S4951" s="9" t="str">
        <f aca="false">IF(R4951="","",ROUND(L4951-R4951,2))</f>
        <v/>
      </c>
      <c r="T4951" s="8" t="str">
        <f aca="false">IF(A4951="","",IF(S4951="","BYPASS",IF(ABS(S4951)&lt;=Summary!$B$2,"PASS","FAIL")))</f>
        <v/>
      </c>
      <c r="U4951" s="8" t="str">
        <f aca="false">IF(T4951="BYPASS",IF(NOT(ISNUMBER(Q4951)),"PreV_ETB missing","End_tr_balance missing"),IF(T4951="FAIL",IF(AND(ISNUMBER(K4951),ISNUMBER(L4951),ABS(L4951-(K4951-IF(ISNUMBER(N4951),N4951,0)-IF(ISNUMBER(O4951),O4951,0)+IF(ISNUMBER(P4951),P4951,0)))&lt;=Summary!$B$2),"Passes using beginning_balance - PreV_ETB differs from beginning_balance",IF(AND(ISNUMBER(O4951),O4951&lt;0,ABS(L4951-(Q4951-IF(ISNUMBER(N4951),N4951,0)+IF(ISNUMBER(P4951),P4951,0)))&lt;=Summary!$B$2),"Negative realized loss not applied - check sign",IF(R4951&lt;0,"Principal paid exceeds prior balance",IF(AND(L4951&gt;Q4951,NOT(ISNUMBER(P4951))),"Balance increased but no Deferred_interest reported",IF(L4951&gt;R4951,"Reported balance higher than expected (missing increase/OC build)","Reported balance lower than expected (missing decrease)"))))),""))</f>
        <v/>
      </c>
    </row>
    <row r="4952" customFormat="false" ht="15" hidden="false" customHeight="false" outlineLevel="0" collapsed="false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9"/>
      <c r="L4952" s="9"/>
      <c r="M4952" s="9"/>
      <c r="N4952" s="9"/>
      <c r="O4952" s="9"/>
      <c r="P4952" s="9"/>
      <c r="Q4952" s="9"/>
      <c r="R4952" s="9" t="str">
        <f aca="false">IF(AND(A4952&lt;&gt;"",ISNUMBER(Q4952),ISNUMBER(L4952)),ROUND(Q4952-IF(ISNUMBER(N4952),N4952,0)-IF(ISNUMBER(O4952),O4952,0)+IF(ISNUMBER(P4952),P4952,0),2),"")</f>
        <v/>
      </c>
      <c r="S4952" s="9" t="str">
        <f aca="false">IF(R4952="","",ROUND(L4952-R4952,2))</f>
        <v/>
      </c>
      <c r="T4952" s="8" t="str">
        <f aca="false">IF(A4952="","",IF(S4952="","BYPASS",IF(ABS(S4952)&lt;=Summary!$B$2,"PASS","FAIL")))</f>
        <v/>
      </c>
      <c r="U4952" s="8" t="str">
        <f aca="false">IF(T4952="BYPASS",IF(NOT(ISNUMBER(Q4952)),"PreV_ETB missing","End_tr_balance missing"),IF(T4952="FAIL",IF(AND(ISNUMBER(K4952),ISNUMBER(L4952),ABS(L4952-(K4952-IF(ISNUMBER(N4952),N4952,0)-IF(ISNUMBER(O4952),O4952,0)+IF(ISNUMBER(P4952),P4952,0)))&lt;=Summary!$B$2),"Passes using beginning_balance - PreV_ETB differs from beginning_balance",IF(AND(ISNUMBER(O4952),O4952&lt;0,ABS(L4952-(Q4952-IF(ISNUMBER(N4952),N4952,0)+IF(ISNUMBER(P4952),P4952,0)))&lt;=Summary!$B$2),"Negative realized loss not applied - check sign",IF(R4952&lt;0,"Principal paid exceeds prior balance",IF(AND(L4952&gt;Q4952,NOT(ISNUMBER(P4952))),"Balance increased but no Deferred_interest reported",IF(L4952&gt;R4952,"Reported balance higher than expected (missing increase/OC build)","Reported balance lower than expected (missing decrease)"))))),""))</f>
        <v/>
      </c>
    </row>
    <row r="4953" customFormat="false" ht="15" hidden="false" customHeight="false" outlineLevel="0" collapsed="false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9"/>
      <c r="L4953" s="9"/>
      <c r="M4953" s="9"/>
      <c r="N4953" s="9"/>
      <c r="O4953" s="9"/>
      <c r="P4953" s="9"/>
      <c r="Q4953" s="9"/>
      <c r="R4953" s="9" t="str">
        <f aca="false">IF(AND(A4953&lt;&gt;"",ISNUMBER(Q4953),ISNUMBER(L4953)),ROUND(Q4953-IF(ISNUMBER(N4953),N4953,0)-IF(ISNUMBER(O4953),O4953,0)+IF(ISNUMBER(P4953),P4953,0),2),"")</f>
        <v/>
      </c>
      <c r="S4953" s="9" t="str">
        <f aca="false">IF(R4953="","",ROUND(L4953-R4953,2))</f>
        <v/>
      </c>
      <c r="T4953" s="8" t="str">
        <f aca="false">IF(A4953="","",IF(S4953="","BYPASS",IF(ABS(S4953)&lt;=Summary!$B$2,"PASS","FAIL")))</f>
        <v/>
      </c>
      <c r="U4953" s="8" t="str">
        <f aca="false">IF(T4953="BYPASS",IF(NOT(ISNUMBER(Q4953)),"PreV_ETB missing","End_tr_balance missing"),IF(T4953="FAIL",IF(AND(ISNUMBER(K4953),ISNUMBER(L4953),ABS(L4953-(K4953-IF(ISNUMBER(N4953),N4953,0)-IF(ISNUMBER(O4953),O4953,0)+IF(ISNUMBER(P4953),P4953,0)))&lt;=Summary!$B$2),"Passes using beginning_balance - PreV_ETB differs from beginning_balance",IF(AND(ISNUMBER(O4953),O4953&lt;0,ABS(L4953-(Q4953-IF(ISNUMBER(N4953),N4953,0)+IF(ISNUMBER(P4953),P4953,0)))&lt;=Summary!$B$2),"Negative realized loss not applied - check sign",IF(R4953&lt;0,"Principal paid exceeds prior balance",IF(AND(L4953&gt;Q4953,NOT(ISNUMBER(P4953))),"Balance increased but no Deferred_interest reported",IF(L4953&gt;R4953,"Reported balance higher than expected (missing increase/OC build)","Reported balance lower than expected (missing decrease)"))))),""))</f>
        <v/>
      </c>
    </row>
    <row r="4954" customFormat="false" ht="15" hidden="false" customHeight="false" outlineLevel="0" collapsed="false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9"/>
      <c r="L4954" s="9"/>
      <c r="M4954" s="9"/>
      <c r="N4954" s="9"/>
      <c r="O4954" s="9"/>
      <c r="P4954" s="9"/>
      <c r="Q4954" s="9"/>
      <c r="R4954" s="9" t="str">
        <f aca="false">IF(AND(A4954&lt;&gt;"",ISNUMBER(Q4954),ISNUMBER(L4954)),ROUND(Q4954-IF(ISNUMBER(N4954),N4954,0)-IF(ISNUMBER(O4954),O4954,0)+IF(ISNUMBER(P4954),P4954,0),2),"")</f>
        <v/>
      </c>
      <c r="S4954" s="9" t="str">
        <f aca="false">IF(R4954="","",ROUND(L4954-R4954,2))</f>
        <v/>
      </c>
      <c r="T4954" s="8" t="str">
        <f aca="false">IF(A4954="","",IF(S4954="","BYPASS",IF(ABS(S4954)&lt;=Summary!$B$2,"PASS","FAIL")))</f>
        <v/>
      </c>
      <c r="U4954" s="8" t="str">
        <f aca="false">IF(T4954="BYPASS",IF(NOT(ISNUMBER(Q4954)),"PreV_ETB missing","End_tr_balance missing"),IF(T4954="FAIL",IF(AND(ISNUMBER(K4954),ISNUMBER(L4954),ABS(L4954-(K4954-IF(ISNUMBER(N4954),N4954,0)-IF(ISNUMBER(O4954),O4954,0)+IF(ISNUMBER(P4954),P4954,0)))&lt;=Summary!$B$2),"Passes using beginning_balance - PreV_ETB differs from beginning_balance",IF(AND(ISNUMBER(O4954),O4954&lt;0,ABS(L4954-(Q4954-IF(ISNUMBER(N4954),N4954,0)+IF(ISNUMBER(P4954),P4954,0)))&lt;=Summary!$B$2),"Negative realized loss not applied - check sign",IF(R4954&lt;0,"Principal paid exceeds prior balance",IF(AND(L4954&gt;Q4954,NOT(ISNUMBER(P4954))),"Balance increased but no Deferred_interest reported",IF(L4954&gt;R4954,"Reported balance higher than expected (missing increase/OC build)","Reported balance lower than expected (missing decrease)"))))),""))</f>
        <v/>
      </c>
    </row>
    <row r="4955" customFormat="false" ht="15" hidden="false" customHeight="false" outlineLevel="0" collapsed="false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9"/>
      <c r="L4955" s="9"/>
      <c r="M4955" s="9"/>
      <c r="N4955" s="9"/>
      <c r="O4955" s="9"/>
      <c r="P4955" s="9"/>
      <c r="Q4955" s="9"/>
      <c r="R4955" s="9" t="str">
        <f aca="false">IF(AND(A4955&lt;&gt;"",ISNUMBER(Q4955),ISNUMBER(L4955)),ROUND(Q4955-IF(ISNUMBER(N4955),N4955,0)-IF(ISNUMBER(O4955),O4955,0)+IF(ISNUMBER(P4955),P4955,0),2),"")</f>
        <v/>
      </c>
      <c r="S4955" s="9" t="str">
        <f aca="false">IF(R4955="","",ROUND(L4955-R4955,2))</f>
        <v/>
      </c>
      <c r="T4955" s="8" t="str">
        <f aca="false">IF(A4955="","",IF(S4955="","BYPASS",IF(ABS(S4955)&lt;=Summary!$B$2,"PASS","FAIL")))</f>
        <v/>
      </c>
      <c r="U4955" s="8" t="str">
        <f aca="false">IF(T4955="BYPASS",IF(NOT(ISNUMBER(Q4955)),"PreV_ETB missing","End_tr_balance missing"),IF(T4955="FAIL",IF(AND(ISNUMBER(K4955),ISNUMBER(L4955),ABS(L4955-(K4955-IF(ISNUMBER(N4955),N4955,0)-IF(ISNUMBER(O4955),O4955,0)+IF(ISNUMBER(P4955),P4955,0)))&lt;=Summary!$B$2),"Passes using beginning_balance - PreV_ETB differs from beginning_balance",IF(AND(ISNUMBER(O4955),O4955&lt;0,ABS(L4955-(Q4955-IF(ISNUMBER(N4955),N4955,0)+IF(ISNUMBER(P4955),P4955,0)))&lt;=Summary!$B$2),"Negative realized loss not applied - check sign",IF(R4955&lt;0,"Principal paid exceeds prior balance",IF(AND(L4955&gt;Q4955,NOT(ISNUMBER(P4955))),"Balance increased but no Deferred_interest reported",IF(L4955&gt;R4955,"Reported balance higher than expected (missing increase/OC build)","Reported balance lower than expected (missing decrease)"))))),""))</f>
        <v/>
      </c>
    </row>
    <row r="4956" customFormat="false" ht="15" hidden="false" customHeight="false" outlineLevel="0" collapsed="false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9"/>
      <c r="L4956" s="9"/>
      <c r="M4956" s="9"/>
      <c r="N4956" s="9"/>
      <c r="O4956" s="9"/>
      <c r="P4956" s="9"/>
      <c r="Q4956" s="9"/>
      <c r="R4956" s="9" t="str">
        <f aca="false">IF(AND(A4956&lt;&gt;"",ISNUMBER(Q4956),ISNUMBER(L4956)),ROUND(Q4956-IF(ISNUMBER(N4956),N4956,0)-IF(ISNUMBER(O4956),O4956,0)+IF(ISNUMBER(P4956),P4956,0),2),"")</f>
        <v/>
      </c>
      <c r="S4956" s="9" t="str">
        <f aca="false">IF(R4956="","",ROUND(L4956-R4956,2))</f>
        <v/>
      </c>
      <c r="T4956" s="8" t="str">
        <f aca="false">IF(A4956="","",IF(S4956="","BYPASS",IF(ABS(S4956)&lt;=Summary!$B$2,"PASS","FAIL")))</f>
        <v/>
      </c>
      <c r="U4956" s="8" t="str">
        <f aca="false">IF(T4956="BYPASS",IF(NOT(ISNUMBER(Q4956)),"PreV_ETB missing","End_tr_balance missing"),IF(T4956="FAIL",IF(AND(ISNUMBER(K4956),ISNUMBER(L4956),ABS(L4956-(K4956-IF(ISNUMBER(N4956),N4956,0)-IF(ISNUMBER(O4956),O4956,0)+IF(ISNUMBER(P4956),P4956,0)))&lt;=Summary!$B$2),"Passes using beginning_balance - PreV_ETB differs from beginning_balance",IF(AND(ISNUMBER(O4956),O4956&lt;0,ABS(L4956-(Q4956-IF(ISNUMBER(N4956),N4956,0)+IF(ISNUMBER(P4956),P4956,0)))&lt;=Summary!$B$2),"Negative realized loss not applied - check sign",IF(R4956&lt;0,"Principal paid exceeds prior balance",IF(AND(L4956&gt;Q4956,NOT(ISNUMBER(P4956))),"Balance increased but no Deferred_interest reported",IF(L4956&gt;R4956,"Reported balance higher than expected (missing increase/OC build)","Reported balance lower than expected (missing decrease)"))))),""))</f>
        <v/>
      </c>
    </row>
    <row r="4957" customFormat="false" ht="15" hidden="false" customHeight="false" outlineLevel="0" collapsed="false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9"/>
      <c r="L4957" s="9"/>
      <c r="M4957" s="9"/>
      <c r="N4957" s="9"/>
      <c r="O4957" s="9"/>
      <c r="P4957" s="9"/>
      <c r="Q4957" s="9"/>
      <c r="R4957" s="9" t="str">
        <f aca="false">IF(AND(A4957&lt;&gt;"",ISNUMBER(Q4957),ISNUMBER(L4957)),ROUND(Q4957-IF(ISNUMBER(N4957),N4957,0)-IF(ISNUMBER(O4957),O4957,0)+IF(ISNUMBER(P4957),P4957,0),2),"")</f>
        <v/>
      </c>
      <c r="S4957" s="9" t="str">
        <f aca="false">IF(R4957="","",ROUND(L4957-R4957,2))</f>
        <v/>
      </c>
      <c r="T4957" s="8" t="str">
        <f aca="false">IF(A4957="","",IF(S4957="","BYPASS",IF(ABS(S4957)&lt;=Summary!$B$2,"PASS","FAIL")))</f>
        <v/>
      </c>
      <c r="U4957" s="8" t="str">
        <f aca="false">IF(T4957="BYPASS",IF(NOT(ISNUMBER(Q4957)),"PreV_ETB missing","End_tr_balance missing"),IF(T4957="FAIL",IF(AND(ISNUMBER(K4957),ISNUMBER(L4957),ABS(L4957-(K4957-IF(ISNUMBER(N4957),N4957,0)-IF(ISNUMBER(O4957),O4957,0)+IF(ISNUMBER(P4957),P4957,0)))&lt;=Summary!$B$2),"Passes using beginning_balance - PreV_ETB differs from beginning_balance",IF(AND(ISNUMBER(O4957),O4957&lt;0,ABS(L4957-(Q4957-IF(ISNUMBER(N4957),N4957,0)+IF(ISNUMBER(P4957),P4957,0)))&lt;=Summary!$B$2),"Negative realized loss not applied - check sign",IF(R4957&lt;0,"Principal paid exceeds prior balance",IF(AND(L4957&gt;Q4957,NOT(ISNUMBER(P4957))),"Balance increased but no Deferred_interest reported",IF(L4957&gt;R4957,"Reported balance higher than expected (missing increase/OC build)","Reported balance lower than expected (missing decrease)"))))),""))</f>
        <v/>
      </c>
    </row>
    <row r="4958" customFormat="false" ht="15" hidden="false" customHeight="false" outlineLevel="0" collapsed="false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9"/>
      <c r="L4958" s="9"/>
      <c r="M4958" s="9"/>
      <c r="N4958" s="9"/>
      <c r="O4958" s="9"/>
      <c r="P4958" s="9"/>
      <c r="Q4958" s="9"/>
      <c r="R4958" s="9" t="str">
        <f aca="false">IF(AND(A4958&lt;&gt;"",ISNUMBER(Q4958),ISNUMBER(L4958)),ROUND(Q4958-IF(ISNUMBER(N4958),N4958,0)-IF(ISNUMBER(O4958),O4958,0)+IF(ISNUMBER(P4958),P4958,0),2),"")</f>
        <v/>
      </c>
      <c r="S4958" s="9" t="str">
        <f aca="false">IF(R4958="","",ROUND(L4958-R4958,2))</f>
        <v/>
      </c>
      <c r="T4958" s="8" t="str">
        <f aca="false">IF(A4958="","",IF(S4958="","BYPASS",IF(ABS(S4958)&lt;=Summary!$B$2,"PASS","FAIL")))</f>
        <v/>
      </c>
      <c r="U4958" s="8" t="str">
        <f aca="false">IF(T4958="BYPASS",IF(NOT(ISNUMBER(Q4958)),"PreV_ETB missing","End_tr_balance missing"),IF(T4958="FAIL",IF(AND(ISNUMBER(K4958),ISNUMBER(L4958),ABS(L4958-(K4958-IF(ISNUMBER(N4958),N4958,0)-IF(ISNUMBER(O4958),O4958,0)+IF(ISNUMBER(P4958),P4958,0)))&lt;=Summary!$B$2),"Passes using beginning_balance - PreV_ETB differs from beginning_balance",IF(AND(ISNUMBER(O4958),O4958&lt;0,ABS(L4958-(Q4958-IF(ISNUMBER(N4958),N4958,0)+IF(ISNUMBER(P4958),P4958,0)))&lt;=Summary!$B$2),"Negative realized loss not applied - check sign",IF(R4958&lt;0,"Principal paid exceeds prior balance",IF(AND(L4958&gt;Q4958,NOT(ISNUMBER(P4958))),"Balance increased but no Deferred_interest reported",IF(L4958&gt;R4958,"Reported balance higher than expected (missing increase/OC build)","Reported balance lower than expected (missing decrease)"))))),""))</f>
        <v/>
      </c>
    </row>
    <row r="4959" customFormat="false" ht="15" hidden="false" customHeight="false" outlineLevel="0" collapsed="false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9"/>
      <c r="L4959" s="9"/>
      <c r="M4959" s="9"/>
      <c r="N4959" s="9"/>
      <c r="O4959" s="9"/>
      <c r="P4959" s="9"/>
      <c r="Q4959" s="9"/>
      <c r="R4959" s="9" t="str">
        <f aca="false">IF(AND(A4959&lt;&gt;"",ISNUMBER(Q4959),ISNUMBER(L4959)),ROUND(Q4959-IF(ISNUMBER(N4959),N4959,0)-IF(ISNUMBER(O4959),O4959,0)+IF(ISNUMBER(P4959),P4959,0),2),"")</f>
        <v/>
      </c>
      <c r="S4959" s="9" t="str">
        <f aca="false">IF(R4959="","",ROUND(L4959-R4959,2))</f>
        <v/>
      </c>
      <c r="T4959" s="8" t="str">
        <f aca="false">IF(A4959="","",IF(S4959="","BYPASS",IF(ABS(S4959)&lt;=Summary!$B$2,"PASS","FAIL")))</f>
        <v/>
      </c>
      <c r="U4959" s="8" t="str">
        <f aca="false">IF(T4959="BYPASS",IF(NOT(ISNUMBER(Q4959)),"PreV_ETB missing","End_tr_balance missing"),IF(T4959="FAIL",IF(AND(ISNUMBER(K4959),ISNUMBER(L4959),ABS(L4959-(K4959-IF(ISNUMBER(N4959),N4959,0)-IF(ISNUMBER(O4959),O4959,0)+IF(ISNUMBER(P4959),P4959,0)))&lt;=Summary!$B$2),"Passes using beginning_balance - PreV_ETB differs from beginning_balance",IF(AND(ISNUMBER(O4959),O4959&lt;0,ABS(L4959-(Q4959-IF(ISNUMBER(N4959),N4959,0)+IF(ISNUMBER(P4959),P4959,0)))&lt;=Summary!$B$2),"Negative realized loss not applied - check sign",IF(R4959&lt;0,"Principal paid exceeds prior balance",IF(AND(L4959&gt;Q4959,NOT(ISNUMBER(P4959))),"Balance increased but no Deferred_interest reported",IF(L4959&gt;R4959,"Reported balance higher than expected (missing increase/OC build)","Reported balance lower than expected (missing decrease)"))))),""))</f>
        <v/>
      </c>
    </row>
    <row r="4960" customFormat="false" ht="15" hidden="false" customHeight="false" outlineLevel="0" collapsed="false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9"/>
      <c r="L4960" s="9"/>
      <c r="M4960" s="9"/>
      <c r="N4960" s="9"/>
      <c r="O4960" s="9"/>
      <c r="P4960" s="9"/>
      <c r="Q4960" s="9"/>
      <c r="R4960" s="9" t="str">
        <f aca="false">IF(AND(A4960&lt;&gt;"",ISNUMBER(Q4960),ISNUMBER(L4960)),ROUND(Q4960-IF(ISNUMBER(N4960),N4960,0)-IF(ISNUMBER(O4960),O4960,0)+IF(ISNUMBER(P4960),P4960,0),2),"")</f>
        <v/>
      </c>
      <c r="S4960" s="9" t="str">
        <f aca="false">IF(R4960="","",ROUND(L4960-R4960,2))</f>
        <v/>
      </c>
      <c r="T4960" s="8" t="str">
        <f aca="false">IF(A4960="","",IF(S4960="","BYPASS",IF(ABS(S4960)&lt;=Summary!$B$2,"PASS","FAIL")))</f>
        <v/>
      </c>
      <c r="U4960" s="8" t="str">
        <f aca="false">IF(T4960="BYPASS",IF(NOT(ISNUMBER(Q4960)),"PreV_ETB missing","End_tr_balance missing"),IF(T4960="FAIL",IF(AND(ISNUMBER(K4960),ISNUMBER(L4960),ABS(L4960-(K4960-IF(ISNUMBER(N4960),N4960,0)-IF(ISNUMBER(O4960),O4960,0)+IF(ISNUMBER(P4960),P4960,0)))&lt;=Summary!$B$2),"Passes using beginning_balance - PreV_ETB differs from beginning_balance",IF(AND(ISNUMBER(O4960),O4960&lt;0,ABS(L4960-(Q4960-IF(ISNUMBER(N4960),N4960,0)+IF(ISNUMBER(P4960),P4960,0)))&lt;=Summary!$B$2),"Negative realized loss not applied - check sign",IF(R4960&lt;0,"Principal paid exceeds prior balance",IF(AND(L4960&gt;Q4960,NOT(ISNUMBER(P4960))),"Balance increased but no Deferred_interest reported",IF(L4960&gt;R4960,"Reported balance higher than expected (missing increase/OC build)","Reported balance lower than expected (missing decrease)"))))),""))</f>
        <v/>
      </c>
    </row>
    <row r="4961" customFormat="false" ht="15" hidden="false" customHeight="false" outlineLevel="0" collapsed="false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9"/>
      <c r="L4961" s="9"/>
      <c r="M4961" s="9"/>
      <c r="N4961" s="9"/>
      <c r="O4961" s="9"/>
      <c r="P4961" s="9"/>
      <c r="Q4961" s="9"/>
      <c r="R4961" s="9" t="str">
        <f aca="false">IF(AND(A4961&lt;&gt;"",ISNUMBER(Q4961),ISNUMBER(L4961)),ROUND(Q4961-IF(ISNUMBER(N4961),N4961,0)-IF(ISNUMBER(O4961),O4961,0)+IF(ISNUMBER(P4961),P4961,0),2),"")</f>
        <v/>
      </c>
      <c r="S4961" s="9" t="str">
        <f aca="false">IF(R4961="","",ROUND(L4961-R4961,2))</f>
        <v/>
      </c>
      <c r="T4961" s="8" t="str">
        <f aca="false">IF(A4961="","",IF(S4961="","BYPASS",IF(ABS(S4961)&lt;=Summary!$B$2,"PASS","FAIL")))</f>
        <v/>
      </c>
      <c r="U4961" s="8" t="str">
        <f aca="false">IF(T4961="BYPASS",IF(NOT(ISNUMBER(Q4961)),"PreV_ETB missing","End_tr_balance missing"),IF(T4961="FAIL",IF(AND(ISNUMBER(K4961),ISNUMBER(L4961),ABS(L4961-(K4961-IF(ISNUMBER(N4961),N4961,0)-IF(ISNUMBER(O4961),O4961,0)+IF(ISNUMBER(P4961),P4961,0)))&lt;=Summary!$B$2),"Passes using beginning_balance - PreV_ETB differs from beginning_balance",IF(AND(ISNUMBER(O4961),O4961&lt;0,ABS(L4961-(Q4961-IF(ISNUMBER(N4961),N4961,0)+IF(ISNUMBER(P4961),P4961,0)))&lt;=Summary!$B$2),"Negative realized loss not applied - check sign",IF(R4961&lt;0,"Principal paid exceeds prior balance",IF(AND(L4961&gt;Q4961,NOT(ISNUMBER(P4961))),"Balance increased but no Deferred_interest reported",IF(L4961&gt;R4961,"Reported balance higher than expected (missing increase/OC build)","Reported balance lower than expected (missing decrease)"))))),""))</f>
        <v/>
      </c>
    </row>
    <row r="4962" customFormat="false" ht="15" hidden="false" customHeight="false" outlineLevel="0" collapsed="false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9"/>
      <c r="L4962" s="9"/>
      <c r="M4962" s="9"/>
      <c r="N4962" s="9"/>
      <c r="O4962" s="9"/>
      <c r="P4962" s="9"/>
      <c r="Q4962" s="9"/>
      <c r="R4962" s="9" t="str">
        <f aca="false">IF(AND(A4962&lt;&gt;"",ISNUMBER(Q4962),ISNUMBER(L4962)),ROUND(Q4962-IF(ISNUMBER(N4962),N4962,0)-IF(ISNUMBER(O4962),O4962,0)+IF(ISNUMBER(P4962),P4962,0),2),"")</f>
        <v/>
      </c>
      <c r="S4962" s="9" t="str">
        <f aca="false">IF(R4962="","",ROUND(L4962-R4962,2))</f>
        <v/>
      </c>
      <c r="T4962" s="8" t="str">
        <f aca="false">IF(A4962="","",IF(S4962="","BYPASS",IF(ABS(S4962)&lt;=Summary!$B$2,"PASS","FAIL")))</f>
        <v/>
      </c>
      <c r="U4962" s="8" t="str">
        <f aca="false">IF(T4962="BYPASS",IF(NOT(ISNUMBER(Q4962)),"PreV_ETB missing","End_tr_balance missing"),IF(T4962="FAIL",IF(AND(ISNUMBER(K4962),ISNUMBER(L4962),ABS(L4962-(K4962-IF(ISNUMBER(N4962),N4962,0)-IF(ISNUMBER(O4962),O4962,0)+IF(ISNUMBER(P4962),P4962,0)))&lt;=Summary!$B$2),"Passes using beginning_balance - PreV_ETB differs from beginning_balance",IF(AND(ISNUMBER(O4962),O4962&lt;0,ABS(L4962-(Q4962-IF(ISNUMBER(N4962),N4962,0)+IF(ISNUMBER(P4962),P4962,0)))&lt;=Summary!$B$2),"Negative realized loss not applied - check sign",IF(R4962&lt;0,"Principal paid exceeds prior balance",IF(AND(L4962&gt;Q4962,NOT(ISNUMBER(P4962))),"Balance increased but no Deferred_interest reported",IF(L4962&gt;R4962,"Reported balance higher than expected (missing increase/OC build)","Reported balance lower than expected (missing decrease)"))))),""))</f>
        <v/>
      </c>
    </row>
    <row r="4963" customFormat="false" ht="15" hidden="false" customHeight="false" outlineLevel="0" collapsed="false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9"/>
      <c r="L4963" s="9"/>
      <c r="M4963" s="9"/>
      <c r="N4963" s="9"/>
      <c r="O4963" s="9"/>
      <c r="P4963" s="9"/>
      <c r="Q4963" s="9"/>
      <c r="R4963" s="9" t="str">
        <f aca="false">IF(AND(A4963&lt;&gt;"",ISNUMBER(Q4963),ISNUMBER(L4963)),ROUND(Q4963-IF(ISNUMBER(N4963),N4963,0)-IF(ISNUMBER(O4963),O4963,0)+IF(ISNUMBER(P4963),P4963,0),2),"")</f>
        <v/>
      </c>
      <c r="S4963" s="9" t="str">
        <f aca="false">IF(R4963="","",ROUND(L4963-R4963,2))</f>
        <v/>
      </c>
      <c r="T4963" s="8" t="str">
        <f aca="false">IF(A4963="","",IF(S4963="","BYPASS",IF(ABS(S4963)&lt;=Summary!$B$2,"PASS","FAIL")))</f>
        <v/>
      </c>
      <c r="U4963" s="8" t="str">
        <f aca="false">IF(T4963="BYPASS",IF(NOT(ISNUMBER(Q4963)),"PreV_ETB missing","End_tr_balance missing"),IF(T4963="FAIL",IF(AND(ISNUMBER(K4963),ISNUMBER(L4963),ABS(L4963-(K4963-IF(ISNUMBER(N4963),N4963,0)-IF(ISNUMBER(O4963),O4963,0)+IF(ISNUMBER(P4963),P4963,0)))&lt;=Summary!$B$2),"Passes using beginning_balance - PreV_ETB differs from beginning_balance",IF(AND(ISNUMBER(O4963),O4963&lt;0,ABS(L4963-(Q4963-IF(ISNUMBER(N4963),N4963,0)+IF(ISNUMBER(P4963),P4963,0)))&lt;=Summary!$B$2),"Negative realized loss not applied - check sign",IF(R4963&lt;0,"Principal paid exceeds prior balance",IF(AND(L4963&gt;Q4963,NOT(ISNUMBER(P4963))),"Balance increased but no Deferred_interest reported",IF(L4963&gt;R4963,"Reported balance higher than expected (missing increase/OC build)","Reported balance lower than expected (missing decrease)"))))),""))</f>
        <v/>
      </c>
    </row>
    <row r="4964" customFormat="false" ht="15" hidden="false" customHeight="false" outlineLevel="0" collapsed="false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9"/>
      <c r="L4964" s="9"/>
      <c r="M4964" s="9"/>
      <c r="N4964" s="9"/>
      <c r="O4964" s="9"/>
      <c r="P4964" s="9"/>
      <c r="Q4964" s="9"/>
      <c r="R4964" s="9" t="str">
        <f aca="false">IF(AND(A4964&lt;&gt;"",ISNUMBER(Q4964),ISNUMBER(L4964)),ROUND(Q4964-IF(ISNUMBER(N4964),N4964,0)-IF(ISNUMBER(O4964),O4964,0)+IF(ISNUMBER(P4964),P4964,0),2),"")</f>
        <v/>
      </c>
      <c r="S4964" s="9" t="str">
        <f aca="false">IF(R4964="","",ROUND(L4964-R4964,2))</f>
        <v/>
      </c>
      <c r="T4964" s="8" t="str">
        <f aca="false">IF(A4964="","",IF(S4964="","BYPASS",IF(ABS(S4964)&lt;=Summary!$B$2,"PASS","FAIL")))</f>
        <v/>
      </c>
      <c r="U4964" s="8" t="str">
        <f aca="false">IF(T4964="BYPASS",IF(NOT(ISNUMBER(Q4964)),"PreV_ETB missing","End_tr_balance missing"),IF(T4964="FAIL",IF(AND(ISNUMBER(K4964),ISNUMBER(L4964),ABS(L4964-(K4964-IF(ISNUMBER(N4964),N4964,0)-IF(ISNUMBER(O4964),O4964,0)+IF(ISNUMBER(P4964),P4964,0)))&lt;=Summary!$B$2),"Passes using beginning_balance - PreV_ETB differs from beginning_balance",IF(AND(ISNUMBER(O4964),O4964&lt;0,ABS(L4964-(Q4964-IF(ISNUMBER(N4964),N4964,0)+IF(ISNUMBER(P4964),P4964,0)))&lt;=Summary!$B$2),"Negative realized loss not applied - check sign",IF(R4964&lt;0,"Principal paid exceeds prior balance",IF(AND(L4964&gt;Q4964,NOT(ISNUMBER(P4964))),"Balance increased but no Deferred_interest reported",IF(L4964&gt;R4964,"Reported balance higher than expected (missing increase/OC build)","Reported balance lower than expected (missing decrease)"))))),""))</f>
        <v/>
      </c>
    </row>
    <row r="4965" customFormat="false" ht="15" hidden="false" customHeight="false" outlineLevel="0" collapsed="false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9"/>
      <c r="L4965" s="9"/>
      <c r="M4965" s="9"/>
      <c r="N4965" s="9"/>
      <c r="O4965" s="9"/>
      <c r="P4965" s="9"/>
      <c r="Q4965" s="9"/>
      <c r="R4965" s="9" t="str">
        <f aca="false">IF(AND(A4965&lt;&gt;"",ISNUMBER(Q4965),ISNUMBER(L4965)),ROUND(Q4965-IF(ISNUMBER(N4965),N4965,0)-IF(ISNUMBER(O4965),O4965,0)+IF(ISNUMBER(P4965),P4965,0),2),"")</f>
        <v/>
      </c>
      <c r="S4965" s="9" t="str">
        <f aca="false">IF(R4965="","",ROUND(L4965-R4965,2))</f>
        <v/>
      </c>
      <c r="T4965" s="8" t="str">
        <f aca="false">IF(A4965="","",IF(S4965="","BYPASS",IF(ABS(S4965)&lt;=Summary!$B$2,"PASS","FAIL")))</f>
        <v/>
      </c>
      <c r="U4965" s="8" t="str">
        <f aca="false">IF(T4965="BYPASS",IF(NOT(ISNUMBER(Q4965)),"PreV_ETB missing","End_tr_balance missing"),IF(T4965="FAIL",IF(AND(ISNUMBER(K4965),ISNUMBER(L4965),ABS(L4965-(K4965-IF(ISNUMBER(N4965),N4965,0)-IF(ISNUMBER(O4965),O4965,0)+IF(ISNUMBER(P4965),P4965,0)))&lt;=Summary!$B$2),"Passes using beginning_balance - PreV_ETB differs from beginning_balance",IF(AND(ISNUMBER(O4965),O4965&lt;0,ABS(L4965-(Q4965-IF(ISNUMBER(N4965),N4965,0)+IF(ISNUMBER(P4965),P4965,0)))&lt;=Summary!$B$2),"Negative realized loss not applied - check sign",IF(R4965&lt;0,"Principal paid exceeds prior balance",IF(AND(L4965&gt;Q4965,NOT(ISNUMBER(P4965))),"Balance increased but no Deferred_interest reported",IF(L4965&gt;R4965,"Reported balance higher than expected (missing increase/OC build)","Reported balance lower than expected (missing decrease)"))))),""))</f>
        <v/>
      </c>
    </row>
    <row r="4966" customFormat="false" ht="15" hidden="false" customHeight="false" outlineLevel="0" collapsed="false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9"/>
      <c r="L4966" s="9"/>
      <c r="M4966" s="9"/>
      <c r="N4966" s="9"/>
      <c r="O4966" s="9"/>
      <c r="P4966" s="9"/>
      <c r="Q4966" s="9"/>
      <c r="R4966" s="9" t="str">
        <f aca="false">IF(AND(A4966&lt;&gt;"",ISNUMBER(Q4966),ISNUMBER(L4966)),ROUND(Q4966-IF(ISNUMBER(N4966),N4966,0)-IF(ISNUMBER(O4966),O4966,0)+IF(ISNUMBER(P4966),P4966,0),2),"")</f>
        <v/>
      </c>
      <c r="S4966" s="9" t="str">
        <f aca="false">IF(R4966="","",ROUND(L4966-R4966,2))</f>
        <v/>
      </c>
      <c r="T4966" s="8" t="str">
        <f aca="false">IF(A4966="","",IF(S4966="","BYPASS",IF(ABS(S4966)&lt;=Summary!$B$2,"PASS","FAIL")))</f>
        <v/>
      </c>
      <c r="U4966" s="8" t="str">
        <f aca="false">IF(T4966="BYPASS",IF(NOT(ISNUMBER(Q4966)),"PreV_ETB missing","End_tr_balance missing"),IF(T4966="FAIL",IF(AND(ISNUMBER(K4966),ISNUMBER(L4966),ABS(L4966-(K4966-IF(ISNUMBER(N4966),N4966,0)-IF(ISNUMBER(O4966),O4966,0)+IF(ISNUMBER(P4966),P4966,0)))&lt;=Summary!$B$2),"Passes using beginning_balance - PreV_ETB differs from beginning_balance",IF(AND(ISNUMBER(O4966),O4966&lt;0,ABS(L4966-(Q4966-IF(ISNUMBER(N4966),N4966,0)+IF(ISNUMBER(P4966),P4966,0)))&lt;=Summary!$B$2),"Negative realized loss not applied - check sign",IF(R4966&lt;0,"Principal paid exceeds prior balance",IF(AND(L4966&gt;Q4966,NOT(ISNUMBER(P4966))),"Balance increased but no Deferred_interest reported",IF(L4966&gt;R4966,"Reported balance higher than expected (missing increase/OC build)","Reported balance lower than expected (missing decrease)"))))),""))</f>
        <v/>
      </c>
    </row>
    <row r="4967" customFormat="false" ht="15" hidden="false" customHeight="false" outlineLevel="0" collapsed="false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9"/>
      <c r="L4967" s="9"/>
      <c r="M4967" s="9"/>
      <c r="N4967" s="9"/>
      <c r="O4967" s="9"/>
      <c r="P4967" s="9"/>
      <c r="Q4967" s="9"/>
      <c r="R4967" s="9" t="str">
        <f aca="false">IF(AND(A4967&lt;&gt;"",ISNUMBER(Q4967),ISNUMBER(L4967)),ROUND(Q4967-IF(ISNUMBER(N4967),N4967,0)-IF(ISNUMBER(O4967),O4967,0)+IF(ISNUMBER(P4967),P4967,0),2),"")</f>
        <v/>
      </c>
      <c r="S4967" s="9" t="str">
        <f aca="false">IF(R4967="","",ROUND(L4967-R4967,2))</f>
        <v/>
      </c>
      <c r="T4967" s="8" t="str">
        <f aca="false">IF(A4967="","",IF(S4967="","BYPASS",IF(ABS(S4967)&lt;=Summary!$B$2,"PASS","FAIL")))</f>
        <v/>
      </c>
      <c r="U4967" s="8" t="str">
        <f aca="false">IF(T4967="BYPASS",IF(NOT(ISNUMBER(Q4967)),"PreV_ETB missing","End_tr_balance missing"),IF(T4967="FAIL",IF(AND(ISNUMBER(K4967),ISNUMBER(L4967),ABS(L4967-(K4967-IF(ISNUMBER(N4967),N4967,0)-IF(ISNUMBER(O4967),O4967,0)+IF(ISNUMBER(P4967),P4967,0)))&lt;=Summary!$B$2),"Passes using beginning_balance - PreV_ETB differs from beginning_balance",IF(AND(ISNUMBER(O4967),O4967&lt;0,ABS(L4967-(Q4967-IF(ISNUMBER(N4967),N4967,0)+IF(ISNUMBER(P4967),P4967,0)))&lt;=Summary!$B$2),"Negative realized loss not applied - check sign",IF(R4967&lt;0,"Principal paid exceeds prior balance",IF(AND(L4967&gt;Q4967,NOT(ISNUMBER(P4967))),"Balance increased but no Deferred_interest reported",IF(L4967&gt;R4967,"Reported balance higher than expected (missing increase/OC build)","Reported balance lower than expected (missing decrease)"))))),""))</f>
        <v/>
      </c>
    </row>
    <row r="4968" customFormat="false" ht="15" hidden="false" customHeight="false" outlineLevel="0" collapsed="false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9"/>
      <c r="L4968" s="9"/>
      <c r="M4968" s="9"/>
      <c r="N4968" s="9"/>
      <c r="O4968" s="9"/>
      <c r="P4968" s="9"/>
      <c r="Q4968" s="9"/>
      <c r="R4968" s="9" t="str">
        <f aca="false">IF(AND(A4968&lt;&gt;"",ISNUMBER(Q4968),ISNUMBER(L4968)),ROUND(Q4968-IF(ISNUMBER(N4968),N4968,0)-IF(ISNUMBER(O4968),O4968,0)+IF(ISNUMBER(P4968),P4968,0),2),"")</f>
        <v/>
      </c>
      <c r="S4968" s="9" t="str">
        <f aca="false">IF(R4968="","",ROUND(L4968-R4968,2))</f>
        <v/>
      </c>
      <c r="T4968" s="8" t="str">
        <f aca="false">IF(A4968="","",IF(S4968="","BYPASS",IF(ABS(S4968)&lt;=Summary!$B$2,"PASS","FAIL")))</f>
        <v/>
      </c>
      <c r="U4968" s="8" t="str">
        <f aca="false">IF(T4968="BYPASS",IF(NOT(ISNUMBER(Q4968)),"PreV_ETB missing","End_tr_balance missing"),IF(T4968="FAIL",IF(AND(ISNUMBER(K4968),ISNUMBER(L4968),ABS(L4968-(K4968-IF(ISNUMBER(N4968),N4968,0)-IF(ISNUMBER(O4968),O4968,0)+IF(ISNUMBER(P4968),P4968,0)))&lt;=Summary!$B$2),"Passes using beginning_balance - PreV_ETB differs from beginning_balance",IF(AND(ISNUMBER(O4968),O4968&lt;0,ABS(L4968-(Q4968-IF(ISNUMBER(N4968),N4968,0)+IF(ISNUMBER(P4968),P4968,0)))&lt;=Summary!$B$2),"Negative realized loss not applied - check sign",IF(R4968&lt;0,"Principal paid exceeds prior balance",IF(AND(L4968&gt;Q4968,NOT(ISNUMBER(P4968))),"Balance increased but no Deferred_interest reported",IF(L4968&gt;R4968,"Reported balance higher than expected (missing increase/OC build)","Reported balance lower than expected (missing decrease)"))))),""))</f>
        <v/>
      </c>
    </row>
    <row r="4969" customFormat="false" ht="15" hidden="false" customHeight="false" outlineLevel="0" collapsed="false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9"/>
      <c r="L4969" s="9"/>
      <c r="M4969" s="9"/>
      <c r="N4969" s="9"/>
      <c r="O4969" s="9"/>
      <c r="P4969" s="9"/>
      <c r="Q4969" s="9"/>
      <c r="R4969" s="9" t="str">
        <f aca="false">IF(AND(A4969&lt;&gt;"",ISNUMBER(Q4969),ISNUMBER(L4969)),ROUND(Q4969-IF(ISNUMBER(N4969),N4969,0)-IF(ISNUMBER(O4969),O4969,0)+IF(ISNUMBER(P4969),P4969,0),2),"")</f>
        <v/>
      </c>
      <c r="S4969" s="9" t="str">
        <f aca="false">IF(R4969="","",ROUND(L4969-R4969,2))</f>
        <v/>
      </c>
      <c r="T4969" s="8" t="str">
        <f aca="false">IF(A4969="","",IF(S4969="","BYPASS",IF(ABS(S4969)&lt;=Summary!$B$2,"PASS","FAIL")))</f>
        <v/>
      </c>
      <c r="U4969" s="8" t="str">
        <f aca="false">IF(T4969="BYPASS",IF(NOT(ISNUMBER(Q4969)),"PreV_ETB missing","End_tr_balance missing"),IF(T4969="FAIL",IF(AND(ISNUMBER(K4969),ISNUMBER(L4969),ABS(L4969-(K4969-IF(ISNUMBER(N4969),N4969,0)-IF(ISNUMBER(O4969),O4969,0)+IF(ISNUMBER(P4969),P4969,0)))&lt;=Summary!$B$2),"Passes using beginning_balance - PreV_ETB differs from beginning_balance",IF(AND(ISNUMBER(O4969),O4969&lt;0,ABS(L4969-(Q4969-IF(ISNUMBER(N4969),N4969,0)+IF(ISNUMBER(P4969),P4969,0)))&lt;=Summary!$B$2),"Negative realized loss not applied - check sign",IF(R4969&lt;0,"Principal paid exceeds prior balance",IF(AND(L4969&gt;Q4969,NOT(ISNUMBER(P4969))),"Balance increased but no Deferred_interest reported",IF(L4969&gt;R4969,"Reported balance higher than expected (missing increase/OC build)","Reported balance lower than expected (missing decrease)"))))),""))</f>
        <v/>
      </c>
    </row>
    <row r="4970" customFormat="false" ht="15" hidden="false" customHeight="false" outlineLevel="0" collapsed="false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9"/>
      <c r="L4970" s="9"/>
      <c r="M4970" s="9"/>
      <c r="N4970" s="9"/>
      <c r="O4970" s="9"/>
      <c r="P4970" s="9"/>
      <c r="Q4970" s="9"/>
      <c r="R4970" s="9" t="str">
        <f aca="false">IF(AND(A4970&lt;&gt;"",ISNUMBER(Q4970),ISNUMBER(L4970)),ROUND(Q4970-IF(ISNUMBER(N4970),N4970,0)-IF(ISNUMBER(O4970),O4970,0)+IF(ISNUMBER(P4970),P4970,0),2),"")</f>
        <v/>
      </c>
      <c r="S4970" s="9" t="str">
        <f aca="false">IF(R4970="","",ROUND(L4970-R4970,2))</f>
        <v/>
      </c>
      <c r="T4970" s="8" t="str">
        <f aca="false">IF(A4970="","",IF(S4970="","BYPASS",IF(ABS(S4970)&lt;=Summary!$B$2,"PASS","FAIL")))</f>
        <v/>
      </c>
      <c r="U4970" s="8" t="str">
        <f aca="false">IF(T4970="BYPASS",IF(NOT(ISNUMBER(Q4970)),"PreV_ETB missing","End_tr_balance missing"),IF(T4970="FAIL",IF(AND(ISNUMBER(K4970),ISNUMBER(L4970),ABS(L4970-(K4970-IF(ISNUMBER(N4970),N4970,0)-IF(ISNUMBER(O4970),O4970,0)+IF(ISNUMBER(P4970),P4970,0)))&lt;=Summary!$B$2),"Passes using beginning_balance - PreV_ETB differs from beginning_balance",IF(AND(ISNUMBER(O4970),O4970&lt;0,ABS(L4970-(Q4970-IF(ISNUMBER(N4970),N4970,0)+IF(ISNUMBER(P4970),P4970,0)))&lt;=Summary!$B$2),"Negative realized loss not applied - check sign",IF(R4970&lt;0,"Principal paid exceeds prior balance",IF(AND(L4970&gt;Q4970,NOT(ISNUMBER(P4970))),"Balance increased but no Deferred_interest reported",IF(L4970&gt;R4970,"Reported balance higher than expected (missing increase/OC build)","Reported balance lower than expected (missing decrease)"))))),""))</f>
        <v/>
      </c>
    </row>
    <row r="4971" customFormat="false" ht="15" hidden="false" customHeight="false" outlineLevel="0" collapsed="false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9"/>
      <c r="L4971" s="9"/>
      <c r="M4971" s="9"/>
      <c r="N4971" s="9"/>
      <c r="O4971" s="9"/>
      <c r="P4971" s="9"/>
      <c r="Q4971" s="9"/>
      <c r="R4971" s="9" t="str">
        <f aca="false">IF(AND(A4971&lt;&gt;"",ISNUMBER(Q4971),ISNUMBER(L4971)),ROUND(Q4971-IF(ISNUMBER(N4971),N4971,0)-IF(ISNUMBER(O4971),O4971,0)+IF(ISNUMBER(P4971),P4971,0),2),"")</f>
        <v/>
      </c>
      <c r="S4971" s="9" t="str">
        <f aca="false">IF(R4971="","",ROUND(L4971-R4971,2))</f>
        <v/>
      </c>
      <c r="T4971" s="8" t="str">
        <f aca="false">IF(A4971="","",IF(S4971="","BYPASS",IF(ABS(S4971)&lt;=Summary!$B$2,"PASS","FAIL")))</f>
        <v/>
      </c>
      <c r="U4971" s="8" t="str">
        <f aca="false">IF(T4971="BYPASS",IF(NOT(ISNUMBER(Q4971)),"PreV_ETB missing","End_tr_balance missing"),IF(T4971="FAIL",IF(AND(ISNUMBER(K4971),ISNUMBER(L4971),ABS(L4971-(K4971-IF(ISNUMBER(N4971),N4971,0)-IF(ISNUMBER(O4971),O4971,0)+IF(ISNUMBER(P4971),P4971,0)))&lt;=Summary!$B$2),"Passes using beginning_balance - PreV_ETB differs from beginning_balance",IF(AND(ISNUMBER(O4971),O4971&lt;0,ABS(L4971-(Q4971-IF(ISNUMBER(N4971),N4971,0)+IF(ISNUMBER(P4971),P4971,0)))&lt;=Summary!$B$2),"Negative realized loss not applied - check sign",IF(R4971&lt;0,"Principal paid exceeds prior balance",IF(AND(L4971&gt;Q4971,NOT(ISNUMBER(P4971))),"Balance increased but no Deferred_interest reported",IF(L4971&gt;R4971,"Reported balance higher than expected (missing increase/OC build)","Reported balance lower than expected (missing decrease)"))))),""))</f>
        <v/>
      </c>
    </row>
    <row r="4972" customFormat="false" ht="15" hidden="false" customHeight="false" outlineLevel="0" collapsed="false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9"/>
      <c r="L4972" s="9"/>
      <c r="M4972" s="9"/>
      <c r="N4972" s="9"/>
      <c r="O4972" s="9"/>
      <c r="P4972" s="9"/>
      <c r="Q4972" s="9"/>
      <c r="R4972" s="9" t="str">
        <f aca="false">IF(AND(A4972&lt;&gt;"",ISNUMBER(Q4972),ISNUMBER(L4972)),ROUND(Q4972-IF(ISNUMBER(N4972),N4972,0)-IF(ISNUMBER(O4972),O4972,0)+IF(ISNUMBER(P4972),P4972,0),2),"")</f>
        <v/>
      </c>
      <c r="S4972" s="9" t="str">
        <f aca="false">IF(R4972="","",ROUND(L4972-R4972,2))</f>
        <v/>
      </c>
      <c r="T4972" s="8" t="str">
        <f aca="false">IF(A4972="","",IF(S4972="","BYPASS",IF(ABS(S4972)&lt;=Summary!$B$2,"PASS","FAIL")))</f>
        <v/>
      </c>
      <c r="U4972" s="8" t="str">
        <f aca="false">IF(T4972="BYPASS",IF(NOT(ISNUMBER(Q4972)),"PreV_ETB missing","End_tr_balance missing"),IF(T4972="FAIL",IF(AND(ISNUMBER(K4972),ISNUMBER(L4972),ABS(L4972-(K4972-IF(ISNUMBER(N4972),N4972,0)-IF(ISNUMBER(O4972),O4972,0)+IF(ISNUMBER(P4972),P4972,0)))&lt;=Summary!$B$2),"Passes using beginning_balance - PreV_ETB differs from beginning_balance",IF(AND(ISNUMBER(O4972),O4972&lt;0,ABS(L4972-(Q4972-IF(ISNUMBER(N4972),N4972,0)+IF(ISNUMBER(P4972),P4972,0)))&lt;=Summary!$B$2),"Negative realized loss not applied - check sign",IF(R4972&lt;0,"Principal paid exceeds prior balance",IF(AND(L4972&gt;Q4972,NOT(ISNUMBER(P4972))),"Balance increased but no Deferred_interest reported",IF(L4972&gt;R4972,"Reported balance higher than expected (missing increase/OC build)","Reported balance lower than expected (missing decrease)"))))),""))</f>
        <v/>
      </c>
    </row>
    <row r="4973" customFormat="false" ht="15" hidden="false" customHeight="false" outlineLevel="0" collapsed="false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9"/>
      <c r="L4973" s="9"/>
      <c r="M4973" s="9"/>
      <c r="N4973" s="9"/>
      <c r="O4973" s="9"/>
      <c r="P4973" s="9"/>
      <c r="Q4973" s="9"/>
      <c r="R4973" s="9" t="str">
        <f aca="false">IF(AND(A4973&lt;&gt;"",ISNUMBER(Q4973),ISNUMBER(L4973)),ROUND(Q4973-IF(ISNUMBER(N4973),N4973,0)-IF(ISNUMBER(O4973),O4973,0)+IF(ISNUMBER(P4973),P4973,0),2),"")</f>
        <v/>
      </c>
      <c r="S4973" s="9" t="str">
        <f aca="false">IF(R4973="","",ROUND(L4973-R4973,2))</f>
        <v/>
      </c>
      <c r="T4973" s="8" t="str">
        <f aca="false">IF(A4973="","",IF(S4973="","BYPASS",IF(ABS(S4973)&lt;=Summary!$B$2,"PASS","FAIL")))</f>
        <v/>
      </c>
      <c r="U4973" s="8" t="str">
        <f aca="false">IF(T4973="BYPASS",IF(NOT(ISNUMBER(Q4973)),"PreV_ETB missing","End_tr_balance missing"),IF(T4973="FAIL",IF(AND(ISNUMBER(K4973),ISNUMBER(L4973),ABS(L4973-(K4973-IF(ISNUMBER(N4973),N4973,0)-IF(ISNUMBER(O4973),O4973,0)+IF(ISNUMBER(P4973),P4973,0)))&lt;=Summary!$B$2),"Passes using beginning_balance - PreV_ETB differs from beginning_balance",IF(AND(ISNUMBER(O4973),O4973&lt;0,ABS(L4973-(Q4973-IF(ISNUMBER(N4973),N4973,0)+IF(ISNUMBER(P4973),P4973,0)))&lt;=Summary!$B$2),"Negative realized loss not applied - check sign",IF(R4973&lt;0,"Principal paid exceeds prior balance",IF(AND(L4973&gt;Q4973,NOT(ISNUMBER(P4973))),"Balance increased but no Deferred_interest reported",IF(L4973&gt;R4973,"Reported balance higher than expected (missing increase/OC build)","Reported balance lower than expected (missing decrease)"))))),""))</f>
        <v/>
      </c>
    </row>
    <row r="4974" customFormat="false" ht="15" hidden="false" customHeight="false" outlineLevel="0" collapsed="false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9"/>
      <c r="L4974" s="9"/>
      <c r="M4974" s="9"/>
      <c r="N4974" s="9"/>
      <c r="O4974" s="9"/>
      <c r="P4974" s="9"/>
      <c r="Q4974" s="9"/>
      <c r="R4974" s="9" t="str">
        <f aca="false">IF(AND(A4974&lt;&gt;"",ISNUMBER(Q4974),ISNUMBER(L4974)),ROUND(Q4974-IF(ISNUMBER(N4974),N4974,0)-IF(ISNUMBER(O4974),O4974,0)+IF(ISNUMBER(P4974),P4974,0),2),"")</f>
        <v/>
      </c>
      <c r="S4974" s="9" t="str">
        <f aca="false">IF(R4974="","",ROUND(L4974-R4974,2))</f>
        <v/>
      </c>
      <c r="T4974" s="8" t="str">
        <f aca="false">IF(A4974="","",IF(S4974="","BYPASS",IF(ABS(S4974)&lt;=Summary!$B$2,"PASS","FAIL")))</f>
        <v/>
      </c>
      <c r="U4974" s="8" t="str">
        <f aca="false">IF(T4974="BYPASS",IF(NOT(ISNUMBER(Q4974)),"PreV_ETB missing","End_tr_balance missing"),IF(T4974="FAIL",IF(AND(ISNUMBER(K4974),ISNUMBER(L4974),ABS(L4974-(K4974-IF(ISNUMBER(N4974),N4974,0)-IF(ISNUMBER(O4974),O4974,0)+IF(ISNUMBER(P4974),P4974,0)))&lt;=Summary!$B$2),"Passes using beginning_balance - PreV_ETB differs from beginning_balance",IF(AND(ISNUMBER(O4974),O4974&lt;0,ABS(L4974-(Q4974-IF(ISNUMBER(N4974),N4974,0)+IF(ISNUMBER(P4974),P4974,0)))&lt;=Summary!$B$2),"Negative realized loss not applied - check sign",IF(R4974&lt;0,"Principal paid exceeds prior balance",IF(AND(L4974&gt;Q4974,NOT(ISNUMBER(P4974))),"Balance increased but no Deferred_interest reported",IF(L4974&gt;R4974,"Reported balance higher than expected (missing increase/OC build)","Reported balance lower than expected (missing decrease)"))))),""))</f>
        <v/>
      </c>
    </row>
    <row r="4975" customFormat="false" ht="15" hidden="false" customHeight="false" outlineLevel="0" collapsed="false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9"/>
      <c r="L4975" s="9"/>
      <c r="M4975" s="9"/>
      <c r="N4975" s="9"/>
      <c r="O4975" s="9"/>
      <c r="P4975" s="9"/>
      <c r="Q4975" s="9"/>
      <c r="R4975" s="9" t="str">
        <f aca="false">IF(AND(A4975&lt;&gt;"",ISNUMBER(Q4975),ISNUMBER(L4975)),ROUND(Q4975-IF(ISNUMBER(N4975),N4975,0)-IF(ISNUMBER(O4975),O4975,0)+IF(ISNUMBER(P4975),P4975,0),2),"")</f>
        <v/>
      </c>
      <c r="S4975" s="9" t="str">
        <f aca="false">IF(R4975="","",ROUND(L4975-R4975,2))</f>
        <v/>
      </c>
      <c r="T4975" s="8" t="str">
        <f aca="false">IF(A4975="","",IF(S4975="","BYPASS",IF(ABS(S4975)&lt;=Summary!$B$2,"PASS","FAIL")))</f>
        <v/>
      </c>
      <c r="U4975" s="8" t="str">
        <f aca="false">IF(T4975="BYPASS",IF(NOT(ISNUMBER(Q4975)),"PreV_ETB missing","End_tr_balance missing"),IF(T4975="FAIL",IF(AND(ISNUMBER(K4975),ISNUMBER(L4975),ABS(L4975-(K4975-IF(ISNUMBER(N4975),N4975,0)-IF(ISNUMBER(O4975),O4975,0)+IF(ISNUMBER(P4975),P4975,0)))&lt;=Summary!$B$2),"Passes using beginning_balance - PreV_ETB differs from beginning_balance",IF(AND(ISNUMBER(O4975),O4975&lt;0,ABS(L4975-(Q4975-IF(ISNUMBER(N4975),N4975,0)+IF(ISNUMBER(P4975),P4975,0)))&lt;=Summary!$B$2),"Negative realized loss not applied - check sign",IF(R4975&lt;0,"Principal paid exceeds prior balance",IF(AND(L4975&gt;Q4975,NOT(ISNUMBER(P4975))),"Balance increased but no Deferred_interest reported",IF(L4975&gt;R4975,"Reported balance higher than expected (missing increase/OC build)","Reported balance lower than expected (missing decrease)"))))),""))</f>
        <v/>
      </c>
    </row>
    <row r="4976" customFormat="false" ht="15" hidden="false" customHeight="false" outlineLevel="0" collapsed="false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9"/>
      <c r="L4976" s="9"/>
      <c r="M4976" s="9"/>
      <c r="N4976" s="9"/>
      <c r="O4976" s="9"/>
      <c r="P4976" s="9"/>
      <c r="Q4976" s="9"/>
      <c r="R4976" s="9" t="str">
        <f aca="false">IF(AND(A4976&lt;&gt;"",ISNUMBER(Q4976),ISNUMBER(L4976)),ROUND(Q4976-IF(ISNUMBER(N4976),N4976,0)-IF(ISNUMBER(O4976),O4976,0)+IF(ISNUMBER(P4976),P4976,0),2),"")</f>
        <v/>
      </c>
      <c r="S4976" s="9" t="str">
        <f aca="false">IF(R4976="","",ROUND(L4976-R4976,2))</f>
        <v/>
      </c>
      <c r="T4976" s="8" t="str">
        <f aca="false">IF(A4976="","",IF(S4976="","BYPASS",IF(ABS(S4976)&lt;=Summary!$B$2,"PASS","FAIL")))</f>
        <v/>
      </c>
      <c r="U4976" s="8" t="str">
        <f aca="false">IF(T4976="BYPASS",IF(NOT(ISNUMBER(Q4976)),"PreV_ETB missing","End_tr_balance missing"),IF(T4976="FAIL",IF(AND(ISNUMBER(K4976),ISNUMBER(L4976),ABS(L4976-(K4976-IF(ISNUMBER(N4976),N4976,0)-IF(ISNUMBER(O4976),O4976,0)+IF(ISNUMBER(P4976),P4976,0)))&lt;=Summary!$B$2),"Passes using beginning_balance - PreV_ETB differs from beginning_balance",IF(AND(ISNUMBER(O4976),O4976&lt;0,ABS(L4976-(Q4976-IF(ISNUMBER(N4976),N4976,0)+IF(ISNUMBER(P4976),P4976,0)))&lt;=Summary!$B$2),"Negative realized loss not applied - check sign",IF(R4976&lt;0,"Principal paid exceeds prior balance",IF(AND(L4976&gt;Q4976,NOT(ISNUMBER(P4976))),"Balance increased but no Deferred_interest reported",IF(L4976&gt;R4976,"Reported balance higher than expected (missing increase/OC build)","Reported balance lower than expected (missing decrease)"))))),""))</f>
        <v/>
      </c>
    </row>
    <row r="4977" customFormat="false" ht="15" hidden="false" customHeight="false" outlineLevel="0" collapsed="false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9"/>
      <c r="L4977" s="9"/>
      <c r="M4977" s="9"/>
      <c r="N4977" s="9"/>
      <c r="O4977" s="9"/>
      <c r="P4977" s="9"/>
      <c r="Q4977" s="9"/>
      <c r="R4977" s="9" t="str">
        <f aca="false">IF(AND(A4977&lt;&gt;"",ISNUMBER(Q4977),ISNUMBER(L4977)),ROUND(Q4977-IF(ISNUMBER(N4977),N4977,0)-IF(ISNUMBER(O4977),O4977,0)+IF(ISNUMBER(P4977),P4977,0),2),"")</f>
        <v/>
      </c>
      <c r="S4977" s="9" t="str">
        <f aca="false">IF(R4977="","",ROUND(L4977-R4977,2))</f>
        <v/>
      </c>
      <c r="T4977" s="8" t="str">
        <f aca="false">IF(A4977="","",IF(S4977="","BYPASS",IF(ABS(S4977)&lt;=Summary!$B$2,"PASS","FAIL")))</f>
        <v/>
      </c>
      <c r="U4977" s="8" t="str">
        <f aca="false">IF(T4977="BYPASS",IF(NOT(ISNUMBER(Q4977)),"PreV_ETB missing","End_tr_balance missing"),IF(T4977="FAIL",IF(AND(ISNUMBER(K4977),ISNUMBER(L4977),ABS(L4977-(K4977-IF(ISNUMBER(N4977),N4977,0)-IF(ISNUMBER(O4977),O4977,0)+IF(ISNUMBER(P4977),P4977,0)))&lt;=Summary!$B$2),"Passes using beginning_balance - PreV_ETB differs from beginning_balance",IF(AND(ISNUMBER(O4977),O4977&lt;0,ABS(L4977-(Q4977-IF(ISNUMBER(N4977),N4977,0)+IF(ISNUMBER(P4977),P4977,0)))&lt;=Summary!$B$2),"Negative realized loss not applied - check sign",IF(R4977&lt;0,"Principal paid exceeds prior balance",IF(AND(L4977&gt;Q4977,NOT(ISNUMBER(P4977))),"Balance increased but no Deferred_interest reported",IF(L4977&gt;R4977,"Reported balance higher than expected (missing increase/OC build)","Reported balance lower than expected (missing decrease)"))))),""))</f>
        <v/>
      </c>
    </row>
    <row r="4978" customFormat="false" ht="15" hidden="false" customHeight="false" outlineLevel="0" collapsed="false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9"/>
      <c r="L4978" s="9"/>
      <c r="M4978" s="9"/>
      <c r="N4978" s="9"/>
      <c r="O4978" s="9"/>
      <c r="P4978" s="9"/>
      <c r="Q4978" s="9"/>
      <c r="R4978" s="9" t="str">
        <f aca="false">IF(AND(A4978&lt;&gt;"",ISNUMBER(Q4978),ISNUMBER(L4978)),ROUND(Q4978-IF(ISNUMBER(N4978),N4978,0)-IF(ISNUMBER(O4978),O4978,0)+IF(ISNUMBER(P4978),P4978,0),2),"")</f>
        <v/>
      </c>
      <c r="S4978" s="9" t="str">
        <f aca="false">IF(R4978="","",ROUND(L4978-R4978,2))</f>
        <v/>
      </c>
      <c r="T4978" s="8" t="str">
        <f aca="false">IF(A4978="","",IF(S4978="","BYPASS",IF(ABS(S4978)&lt;=Summary!$B$2,"PASS","FAIL")))</f>
        <v/>
      </c>
      <c r="U4978" s="8" t="str">
        <f aca="false">IF(T4978="BYPASS",IF(NOT(ISNUMBER(Q4978)),"PreV_ETB missing","End_tr_balance missing"),IF(T4978="FAIL",IF(AND(ISNUMBER(K4978),ISNUMBER(L4978),ABS(L4978-(K4978-IF(ISNUMBER(N4978),N4978,0)-IF(ISNUMBER(O4978),O4978,0)+IF(ISNUMBER(P4978),P4978,0)))&lt;=Summary!$B$2),"Passes using beginning_balance - PreV_ETB differs from beginning_balance",IF(AND(ISNUMBER(O4978),O4978&lt;0,ABS(L4978-(Q4978-IF(ISNUMBER(N4978),N4978,0)+IF(ISNUMBER(P4978),P4978,0)))&lt;=Summary!$B$2),"Negative realized loss not applied - check sign",IF(R4978&lt;0,"Principal paid exceeds prior balance",IF(AND(L4978&gt;Q4978,NOT(ISNUMBER(P4978))),"Balance increased but no Deferred_interest reported",IF(L4978&gt;R4978,"Reported balance higher than expected (missing increase/OC build)","Reported balance lower than expected (missing decrease)"))))),""))</f>
        <v/>
      </c>
    </row>
    <row r="4979" customFormat="false" ht="15" hidden="false" customHeight="false" outlineLevel="0" collapsed="false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9"/>
      <c r="L4979" s="9"/>
      <c r="M4979" s="9"/>
      <c r="N4979" s="9"/>
      <c r="O4979" s="9"/>
      <c r="P4979" s="9"/>
      <c r="Q4979" s="9"/>
      <c r="R4979" s="9" t="str">
        <f aca="false">IF(AND(A4979&lt;&gt;"",ISNUMBER(Q4979),ISNUMBER(L4979)),ROUND(Q4979-IF(ISNUMBER(N4979),N4979,0)-IF(ISNUMBER(O4979),O4979,0)+IF(ISNUMBER(P4979),P4979,0),2),"")</f>
        <v/>
      </c>
      <c r="S4979" s="9" t="str">
        <f aca="false">IF(R4979="","",ROUND(L4979-R4979,2))</f>
        <v/>
      </c>
      <c r="T4979" s="8" t="str">
        <f aca="false">IF(A4979="","",IF(S4979="","BYPASS",IF(ABS(S4979)&lt;=Summary!$B$2,"PASS","FAIL")))</f>
        <v/>
      </c>
      <c r="U4979" s="8" t="str">
        <f aca="false">IF(T4979="BYPASS",IF(NOT(ISNUMBER(Q4979)),"PreV_ETB missing","End_tr_balance missing"),IF(T4979="FAIL",IF(AND(ISNUMBER(K4979),ISNUMBER(L4979),ABS(L4979-(K4979-IF(ISNUMBER(N4979),N4979,0)-IF(ISNUMBER(O4979),O4979,0)+IF(ISNUMBER(P4979),P4979,0)))&lt;=Summary!$B$2),"Passes using beginning_balance - PreV_ETB differs from beginning_balance",IF(AND(ISNUMBER(O4979),O4979&lt;0,ABS(L4979-(Q4979-IF(ISNUMBER(N4979),N4979,0)+IF(ISNUMBER(P4979),P4979,0)))&lt;=Summary!$B$2),"Negative realized loss not applied - check sign",IF(R4979&lt;0,"Principal paid exceeds prior balance",IF(AND(L4979&gt;Q4979,NOT(ISNUMBER(P4979))),"Balance increased but no Deferred_interest reported",IF(L4979&gt;R4979,"Reported balance higher than expected (missing increase/OC build)","Reported balance lower than expected (missing decrease)"))))),""))</f>
        <v/>
      </c>
    </row>
    <row r="4980" customFormat="false" ht="15" hidden="false" customHeight="false" outlineLevel="0" collapsed="false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9"/>
      <c r="L4980" s="9"/>
      <c r="M4980" s="9"/>
      <c r="N4980" s="9"/>
      <c r="O4980" s="9"/>
      <c r="P4980" s="9"/>
      <c r="Q4980" s="9"/>
      <c r="R4980" s="9" t="str">
        <f aca="false">IF(AND(A4980&lt;&gt;"",ISNUMBER(Q4980),ISNUMBER(L4980)),ROUND(Q4980-IF(ISNUMBER(N4980),N4980,0)-IF(ISNUMBER(O4980),O4980,0)+IF(ISNUMBER(P4980),P4980,0),2),"")</f>
        <v/>
      </c>
      <c r="S4980" s="9" t="str">
        <f aca="false">IF(R4980="","",ROUND(L4980-R4980,2))</f>
        <v/>
      </c>
      <c r="T4980" s="8" t="str">
        <f aca="false">IF(A4980="","",IF(S4980="","BYPASS",IF(ABS(S4980)&lt;=Summary!$B$2,"PASS","FAIL")))</f>
        <v/>
      </c>
      <c r="U4980" s="8" t="str">
        <f aca="false">IF(T4980="BYPASS",IF(NOT(ISNUMBER(Q4980)),"PreV_ETB missing","End_tr_balance missing"),IF(T4980="FAIL",IF(AND(ISNUMBER(K4980),ISNUMBER(L4980),ABS(L4980-(K4980-IF(ISNUMBER(N4980),N4980,0)-IF(ISNUMBER(O4980),O4980,0)+IF(ISNUMBER(P4980),P4980,0)))&lt;=Summary!$B$2),"Passes using beginning_balance - PreV_ETB differs from beginning_balance",IF(AND(ISNUMBER(O4980),O4980&lt;0,ABS(L4980-(Q4980-IF(ISNUMBER(N4980),N4980,0)+IF(ISNUMBER(P4980),P4980,0)))&lt;=Summary!$B$2),"Negative realized loss not applied - check sign",IF(R4980&lt;0,"Principal paid exceeds prior balance",IF(AND(L4980&gt;Q4980,NOT(ISNUMBER(P4980))),"Balance increased but no Deferred_interest reported",IF(L4980&gt;R4980,"Reported balance higher than expected (missing increase/OC build)","Reported balance lower than expected (missing decrease)"))))),""))</f>
        <v/>
      </c>
    </row>
    <row r="4981" customFormat="false" ht="15" hidden="false" customHeight="false" outlineLevel="0" collapsed="false">
      <c r="A4981" s="8"/>
      <c r="B4981" s="8"/>
      <c r="C4981" s="8"/>
      <c r="D4981" s="8"/>
      <c r="E4981" s="8"/>
      <c r="F4981" s="8"/>
      <c r="G4981" s="8"/>
      <c r="H4981" s="8"/>
      <c r="I4981" s="8"/>
      <c r="J4981" s="8"/>
      <c r="K4981" s="9"/>
      <c r="L4981" s="9"/>
      <c r="M4981" s="9"/>
      <c r="N4981" s="9"/>
      <c r="O4981" s="9"/>
      <c r="P4981" s="9"/>
      <c r="Q4981" s="9"/>
      <c r="R4981" s="9" t="str">
        <f aca="false">IF(AND(A4981&lt;&gt;"",ISNUMBER(Q4981),ISNUMBER(L4981)),ROUND(Q4981-IF(ISNUMBER(N4981),N4981,0)-IF(ISNUMBER(O4981),O4981,0)+IF(ISNUMBER(P4981),P4981,0),2),"")</f>
        <v/>
      </c>
      <c r="S4981" s="9" t="str">
        <f aca="false">IF(R4981="","",ROUND(L4981-R4981,2))</f>
        <v/>
      </c>
      <c r="T4981" s="8" t="str">
        <f aca="false">IF(A4981="","",IF(S4981="","BYPASS",IF(ABS(S4981)&lt;=Summary!$B$2,"PASS","FAIL")))</f>
        <v/>
      </c>
      <c r="U4981" s="8" t="str">
        <f aca="false">IF(T4981="BYPASS",IF(NOT(ISNUMBER(Q4981)),"PreV_ETB missing","End_tr_balance missing"),IF(T4981="FAIL",IF(AND(ISNUMBER(K4981),ISNUMBER(L4981),ABS(L4981-(K4981-IF(ISNUMBER(N4981),N4981,0)-IF(ISNUMBER(O4981),O4981,0)+IF(ISNUMBER(P4981),P4981,0)))&lt;=Summary!$B$2),"Passes using beginning_balance - PreV_ETB differs from beginning_balance",IF(AND(ISNUMBER(O4981),O4981&lt;0,ABS(L4981-(Q4981-IF(ISNUMBER(N4981),N4981,0)+IF(ISNUMBER(P4981),P4981,0)))&lt;=Summary!$B$2),"Negative realized loss not applied - check sign",IF(R4981&lt;0,"Principal paid exceeds prior balance",IF(AND(L4981&gt;Q4981,NOT(ISNUMBER(P4981))),"Balance increased but no Deferred_interest reported",IF(L4981&gt;R4981,"Reported balance higher than expected (missing increase/OC build)","Reported balance lower than expected (missing decrease)"))))),""))</f>
        <v/>
      </c>
    </row>
    <row r="4982" customFormat="false" ht="15" hidden="false" customHeight="false" outlineLevel="0" collapsed="false">
      <c r="A4982" s="8"/>
      <c r="B4982" s="8"/>
      <c r="C4982" s="8"/>
      <c r="D4982" s="8"/>
      <c r="E4982" s="8"/>
      <c r="F4982" s="8"/>
      <c r="G4982" s="8"/>
      <c r="H4982" s="8"/>
      <c r="I4982" s="8"/>
      <c r="J4982" s="8"/>
      <c r="K4982" s="9"/>
      <c r="L4982" s="9"/>
      <c r="M4982" s="9"/>
      <c r="N4982" s="9"/>
      <c r="O4982" s="9"/>
      <c r="P4982" s="9"/>
      <c r="Q4982" s="9"/>
      <c r="R4982" s="9" t="str">
        <f aca="false">IF(AND(A4982&lt;&gt;"",ISNUMBER(Q4982),ISNUMBER(L4982)),ROUND(Q4982-IF(ISNUMBER(N4982),N4982,0)-IF(ISNUMBER(O4982),O4982,0)+IF(ISNUMBER(P4982),P4982,0),2),"")</f>
        <v/>
      </c>
      <c r="S4982" s="9" t="str">
        <f aca="false">IF(R4982="","",ROUND(L4982-R4982,2))</f>
        <v/>
      </c>
      <c r="T4982" s="8" t="str">
        <f aca="false">IF(A4982="","",IF(S4982="","BYPASS",IF(ABS(S4982)&lt;=Summary!$B$2,"PASS","FAIL")))</f>
        <v/>
      </c>
      <c r="U4982" s="8" t="str">
        <f aca="false">IF(T4982="BYPASS",IF(NOT(ISNUMBER(Q4982)),"PreV_ETB missing","End_tr_balance missing"),IF(T4982="FAIL",IF(AND(ISNUMBER(K4982),ISNUMBER(L4982),ABS(L4982-(K4982-IF(ISNUMBER(N4982),N4982,0)-IF(ISNUMBER(O4982),O4982,0)+IF(ISNUMBER(P4982),P4982,0)))&lt;=Summary!$B$2),"Passes using beginning_balance - PreV_ETB differs from beginning_balance",IF(AND(ISNUMBER(O4982),O4982&lt;0,ABS(L4982-(Q4982-IF(ISNUMBER(N4982),N4982,0)+IF(ISNUMBER(P4982),P4982,0)))&lt;=Summary!$B$2),"Negative realized loss not applied - check sign",IF(R4982&lt;0,"Principal paid exceeds prior balance",IF(AND(L4982&gt;Q4982,NOT(ISNUMBER(P4982))),"Balance increased but no Deferred_interest reported",IF(L4982&gt;R4982,"Reported balance higher than expected (missing increase/OC build)","Reported balance lower than expected (missing decrease)"))))),""))</f>
        <v/>
      </c>
    </row>
    <row r="4983" customFormat="false" ht="15" hidden="false" customHeight="false" outlineLevel="0" collapsed="false">
      <c r="A4983" s="8"/>
      <c r="B4983" s="8"/>
      <c r="C4983" s="8"/>
      <c r="D4983" s="8"/>
      <c r="E4983" s="8"/>
      <c r="F4983" s="8"/>
      <c r="G4983" s="8"/>
      <c r="H4983" s="8"/>
      <c r="I4983" s="8"/>
      <c r="J4983" s="8"/>
      <c r="K4983" s="9"/>
      <c r="L4983" s="9"/>
      <c r="M4983" s="9"/>
      <c r="N4983" s="9"/>
      <c r="O4983" s="9"/>
      <c r="P4983" s="9"/>
      <c r="Q4983" s="9"/>
      <c r="R4983" s="9" t="str">
        <f aca="false">IF(AND(A4983&lt;&gt;"",ISNUMBER(Q4983),ISNUMBER(L4983)),ROUND(Q4983-IF(ISNUMBER(N4983),N4983,0)-IF(ISNUMBER(O4983),O4983,0)+IF(ISNUMBER(P4983),P4983,0),2),"")</f>
        <v/>
      </c>
      <c r="S4983" s="9" t="str">
        <f aca="false">IF(R4983="","",ROUND(L4983-R4983,2))</f>
        <v/>
      </c>
      <c r="T4983" s="8" t="str">
        <f aca="false">IF(A4983="","",IF(S4983="","BYPASS",IF(ABS(S4983)&lt;=Summary!$B$2,"PASS","FAIL")))</f>
        <v/>
      </c>
      <c r="U4983" s="8" t="str">
        <f aca="false">IF(T4983="BYPASS",IF(NOT(ISNUMBER(Q4983)),"PreV_ETB missing","End_tr_balance missing"),IF(T4983="FAIL",IF(AND(ISNUMBER(K4983),ISNUMBER(L4983),ABS(L4983-(K4983-IF(ISNUMBER(N4983),N4983,0)-IF(ISNUMBER(O4983),O4983,0)+IF(ISNUMBER(P4983),P4983,0)))&lt;=Summary!$B$2),"Passes using beginning_balance - PreV_ETB differs from beginning_balance",IF(AND(ISNUMBER(O4983),O4983&lt;0,ABS(L4983-(Q4983-IF(ISNUMBER(N4983),N4983,0)+IF(ISNUMBER(P4983),P4983,0)))&lt;=Summary!$B$2),"Negative realized loss not applied - check sign",IF(R4983&lt;0,"Principal paid exceeds prior balance",IF(AND(L4983&gt;Q4983,NOT(ISNUMBER(P4983))),"Balance increased but no Deferred_interest reported",IF(L4983&gt;R4983,"Reported balance higher than expected (missing increase/OC build)","Reported balance lower than expected (missing decrease)"))))),""))</f>
        <v/>
      </c>
    </row>
    <row r="4984" customFormat="false" ht="15" hidden="false" customHeight="false" outlineLevel="0" collapsed="false">
      <c r="A4984" s="8"/>
      <c r="B4984" s="8"/>
      <c r="C4984" s="8"/>
      <c r="D4984" s="8"/>
      <c r="E4984" s="8"/>
      <c r="F4984" s="8"/>
      <c r="G4984" s="8"/>
      <c r="H4984" s="8"/>
      <c r="I4984" s="8"/>
      <c r="J4984" s="8"/>
      <c r="K4984" s="9"/>
      <c r="L4984" s="9"/>
      <c r="M4984" s="9"/>
      <c r="N4984" s="9"/>
      <c r="O4984" s="9"/>
      <c r="P4984" s="9"/>
      <c r="Q4984" s="9"/>
      <c r="R4984" s="9" t="str">
        <f aca="false">IF(AND(A4984&lt;&gt;"",ISNUMBER(Q4984),ISNUMBER(L4984)),ROUND(Q4984-IF(ISNUMBER(N4984),N4984,0)-IF(ISNUMBER(O4984),O4984,0)+IF(ISNUMBER(P4984),P4984,0),2),"")</f>
        <v/>
      </c>
      <c r="S4984" s="9" t="str">
        <f aca="false">IF(R4984="","",ROUND(L4984-R4984,2))</f>
        <v/>
      </c>
      <c r="T4984" s="8" t="str">
        <f aca="false">IF(A4984="","",IF(S4984="","BYPASS",IF(ABS(S4984)&lt;=Summary!$B$2,"PASS","FAIL")))</f>
        <v/>
      </c>
      <c r="U4984" s="8" t="str">
        <f aca="false">IF(T4984="BYPASS",IF(NOT(ISNUMBER(Q4984)),"PreV_ETB missing","End_tr_balance missing"),IF(T4984="FAIL",IF(AND(ISNUMBER(K4984),ISNUMBER(L4984),ABS(L4984-(K4984-IF(ISNUMBER(N4984),N4984,0)-IF(ISNUMBER(O4984),O4984,0)+IF(ISNUMBER(P4984),P4984,0)))&lt;=Summary!$B$2),"Passes using beginning_balance - PreV_ETB differs from beginning_balance",IF(AND(ISNUMBER(O4984),O4984&lt;0,ABS(L4984-(Q4984-IF(ISNUMBER(N4984),N4984,0)+IF(ISNUMBER(P4984),P4984,0)))&lt;=Summary!$B$2),"Negative realized loss not applied - check sign",IF(R4984&lt;0,"Principal paid exceeds prior balance",IF(AND(L4984&gt;Q4984,NOT(ISNUMBER(P4984))),"Balance increased but no Deferred_interest reported",IF(L4984&gt;R4984,"Reported balance higher than expected (missing increase/OC build)","Reported balance lower than expected (missing decrease)"))))),""))</f>
        <v/>
      </c>
    </row>
    <row r="4985" customFormat="false" ht="15" hidden="false" customHeight="false" outlineLevel="0" collapsed="false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9"/>
      <c r="L4985" s="9"/>
      <c r="M4985" s="9"/>
      <c r="N4985" s="9"/>
      <c r="O4985" s="9"/>
      <c r="P4985" s="9"/>
      <c r="Q4985" s="9"/>
      <c r="R4985" s="9" t="str">
        <f aca="false">IF(AND(A4985&lt;&gt;"",ISNUMBER(Q4985),ISNUMBER(L4985)),ROUND(Q4985-IF(ISNUMBER(N4985),N4985,0)-IF(ISNUMBER(O4985),O4985,0)+IF(ISNUMBER(P4985),P4985,0),2),"")</f>
        <v/>
      </c>
      <c r="S4985" s="9" t="str">
        <f aca="false">IF(R4985="","",ROUND(L4985-R4985,2))</f>
        <v/>
      </c>
      <c r="T4985" s="8" t="str">
        <f aca="false">IF(A4985="","",IF(S4985="","BYPASS",IF(ABS(S4985)&lt;=Summary!$B$2,"PASS","FAIL")))</f>
        <v/>
      </c>
      <c r="U4985" s="8" t="str">
        <f aca="false">IF(T4985="BYPASS",IF(NOT(ISNUMBER(Q4985)),"PreV_ETB missing","End_tr_balance missing"),IF(T4985="FAIL",IF(AND(ISNUMBER(K4985),ISNUMBER(L4985),ABS(L4985-(K4985-IF(ISNUMBER(N4985),N4985,0)-IF(ISNUMBER(O4985),O4985,0)+IF(ISNUMBER(P4985),P4985,0)))&lt;=Summary!$B$2),"Passes using beginning_balance - PreV_ETB differs from beginning_balance",IF(AND(ISNUMBER(O4985),O4985&lt;0,ABS(L4985-(Q4985-IF(ISNUMBER(N4985),N4985,0)+IF(ISNUMBER(P4985),P4985,0)))&lt;=Summary!$B$2),"Negative realized loss not applied - check sign",IF(R4985&lt;0,"Principal paid exceeds prior balance",IF(AND(L4985&gt;Q4985,NOT(ISNUMBER(P4985))),"Balance increased but no Deferred_interest reported",IF(L4985&gt;R4985,"Reported balance higher than expected (missing increase/OC build)","Reported balance lower than expected (missing decrease)"))))),""))</f>
        <v/>
      </c>
    </row>
    <row r="4986" customFormat="false" ht="15" hidden="false" customHeight="false" outlineLevel="0" collapsed="false">
      <c r="A4986" s="8"/>
      <c r="B4986" s="8"/>
      <c r="C4986" s="8"/>
      <c r="D4986" s="8"/>
      <c r="E4986" s="8"/>
      <c r="F4986" s="8"/>
      <c r="G4986" s="8"/>
      <c r="H4986" s="8"/>
      <c r="I4986" s="8"/>
      <c r="J4986" s="8"/>
      <c r="K4986" s="9"/>
      <c r="L4986" s="9"/>
      <c r="M4986" s="9"/>
      <c r="N4986" s="9"/>
      <c r="O4986" s="9"/>
      <c r="P4986" s="9"/>
      <c r="Q4986" s="9"/>
      <c r="R4986" s="9" t="str">
        <f aca="false">IF(AND(A4986&lt;&gt;"",ISNUMBER(Q4986),ISNUMBER(L4986)),ROUND(Q4986-IF(ISNUMBER(N4986),N4986,0)-IF(ISNUMBER(O4986),O4986,0)+IF(ISNUMBER(P4986),P4986,0),2),"")</f>
        <v/>
      </c>
      <c r="S4986" s="9" t="str">
        <f aca="false">IF(R4986="","",ROUND(L4986-R4986,2))</f>
        <v/>
      </c>
      <c r="T4986" s="8" t="str">
        <f aca="false">IF(A4986="","",IF(S4986="","BYPASS",IF(ABS(S4986)&lt;=Summary!$B$2,"PASS","FAIL")))</f>
        <v/>
      </c>
      <c r="U4986" s="8" t="str">
        <f aca="false">IF(T4986="BYPASS",IF(NOT(ISNUMBER(Q4986)),"PreV_ETB missing","End_tr_balance missing"),IF(T4986="FAIL",IF(AND(ISNUMBER(K4986),ISNUMBER(L4986),ABS(L4986-(K4986-IF(ISNUMBER(N4986),N4986,0)-IF(ISNUMBER(O4986),O4986,0)+IF(ISNUMBER(P4986),P4986,0)))&lt;=Summary!$B$2),"Passes using beginning_balance - PreV_ETB differs from beginning_balance",IF(AND(ISNUMBER(O4986),O4986&lt;0,ABS(L4986-(Q4986-IF(ISNUMBER(N4986),N4986,0)+IF(ISNUMBER(P4986),P4986,0)))&lt;=Summary!$B$2),"Negative realized loss not applied - check sign",IF(R4986&lt;0,"Principal paid exceeds prior balance",IF(AND(L4986&gt;Q4986,NOT(ISNUMBER(P4986))),"Balance increased but no Deferred_interest reported",IF(L4986&gt;R4986,"Reported balance higher than expected (missing increase/OC build)","Reported balance lower than expected (missing decrease)"))))),""))</f>
        <v/>
      </c>
    </row>
    <row r="4987" customFormat="false" ht="15" hidden="false" customHeight="false" outlineLevel="0" collapsed="false">
      <c r="A4987" s="8"/>
      <c r="B4987" s="8"/>
      <c r="C4987" s="8"/>
      <c r="D4987" s="8"/>
      <c r="E4987" s="8"/>
      <c r="F4987" s="8"/>
      <c r="G4987" s="8"/>
      <c r="H4987" s="8"/>
      <c r="I4987" s="8"/>
      <c r="J4987" s="8"/>
      <c r="K4987" s="9"/>
      <c r="L4987" s="9"/>
      <c r="M4987" s="9"/>
      <c r="N4987" s="9"/>
      <c r="O4987" s="9"/>
      <c r="P4987" s="9"/>
      <c r="Q4987" s="9"/>
      <c r="R4987" s="9" t="str">
        <f aca="false">IF(AND(A4987&lt;&gt;"",ISNUMBER(Q4987),ISNUMBER(L4987)),ROUND(Q4987-IF(ISNUMBER(N4987),N4987,0)-IF(ISNUMBER(O4987),O4987,0)+IF(ISNUMBER(P4987),P4987,0),2),"")</f>
        <v/>
      </c>
      <c r="S4987" s="9" t="str">
        <f aca="false">IF(R4987="","",ROUND(L4987-R4987,2))</f>
        <v/>
      </c>
      <c r="T4987" s="8" t="str">
        <f aca="false">IF(A4987="","",IF(S4987="","BYPASS",IF(ABS(S4987)&lt;=Summary!$B$2,"PASS","FAIL")))</f>
        <v/>
      </c>
      <c r="U4987" s="8" t="str">
        <f aca="false">IF(T4987="BYPASS",IF(NOT(ISNUMBER(Q4987)),"PreV_ETB missing","End_tr_balance missing"),IF(T4987="FAIL",IF(AND(ISNUMBER(K4987),ISNUMBER(L4987),ABS(L4987-(K4987-IF(ISNUMBER(N4987),N4987,0)-IF(ISNUMBER(O4987),O4987,0)+IF(ISNUMBER(P4987),P4987,0)))&lt;=Summary!$B$2),"Passes using beginning_balance - PreV_ETB differs from beginning_balance",IF(AND(ISNUMBER(O4987),O4987&lt;0,ABS(L4987-(Q4987-IF(ISNUMBER(N4987),N4987,0)+IF(ISNUMBER(P4987),P4987,0)))&lt;=Summary!$B$2),"Negative realized loss not applied - check sign",IF(R4987&lt;0,"Principal paid exceeds prior balance",IF(AND(L4987&gt;Q4987,NOT(ISNUMBER(P4987))),"Balance increased but no Deferred_interest reported",IF(L4987&gt;R4987,"Reported balance higher than expected (missing increase/OC build)","Reported balance lower than expected (missing decrease)"))))),""))</f>
        <v/>
      </c>
    </row>
    <row r="4988" customFormat="false" ht="15" hidden="false" customHeight="false" outlineLevel="0" collapsed="false">
      <c r="A4988" s="8"/>
      <c r="B4988" s="8"/>
      <c r="C4988" s="8"/>
      <c r="D4988" s="8"/>
      <c r="E4988" s="8"/>
      <c r="F4988" s="8"/>
      <c r="G4988" s="8"/>
      <c r="H4988" s="8"/>
      <c r="I4988" s="8"/>
      <c r="J4988" s="8"/>
      <c r="K4988" s="9"/>
      <c r="L4988" s="9"/>
      <c r="M4988" s="9"/>
      <c r="N4988" s="9"/>
      <c r="O4988" s="9"/>
      <c r="P4988" s="9"/>
      <c r="Q4988" s="9"/>
      <c r="R4988" s="9" t="str">
        <f aca="false">IF(AND(A4988&lt;&gt;"",ISNUMBER(Q4988),ISNUMBER(L4988)),ROUND(Q4988-IF(ISNUMBER(N4988),N4988,0)-IF(ISNUMBER(O4988),O4988,0)+IF(ISNUMBER(P4988),P4988,0),2),"")</f>
        <v/>
      </c>
      <c r="S4988" s="9" t="str">
        <f aca="false">IF(R4988="","",ROUND(L4988-R4988,2))</f>
        <v/>
      </c>
      <c r="T4988" s="8" t="str">
        <f aca="false">IF(A4988="","",IF(S4988="","BYPASS",IF(ABS(S4988)&lt;=Summary!$B$2,"PASS","FAIL")))</f>
        <v/>
      </c>
      <c r="U4988" s="8" t="str">
        <f aca="false">IF(T4988="BYPASS",IF(NOT(ISNUMBER(Q4988)),"PreV_ETB missing","End_tr_balance missing"),IF(T4988="FAIL",IF(AND(ISNUMBER(K4988),ISNUMBER(L4988),ABS(L4988-(K4988-IF(ISNUMBER(N4988),N4988,0)-IF(ISNUMBER(O4988),O4988,0)+IF(ISNUMBER(P4988),P4988,0)))&lt;=Summary!$B$2),"Passes using beginning_balance - PreV_ETB differs from beginning_balance",IF(AND(ISNUMBER(O4988),O4988&lt;0,ABS(L4988-(Q4988-IF(ISNUMBER(N4988),N4988,0)+IF(ISNUMBER(P4988),P4988,0)))&lt;=Summary!$B$2),"Negative realized loss not applied - check sign",IF(R4988&lt;0,"Principal paid exceeds prior balance",IF(AND(L4988&gt;Q4988,NOT(ISNUMBER(P4988))),"Balance increased but no Deferred_interest reported",IF(L4988&gt;R4988,"Reported balance higher than expected (missing increase/OC build)","Reported balance lower than expected (missing decrease)"))))),""))</f>
        <v/>
      </c>
    </row>
    <row r="4989" customFormat="false" ht="15" hidden="false" customHeight="false" outlineLevel="0" collapsed="false">
      <c r="A4989" s="8"/>
      <c r="B4989" s="8"/>
      <c r="C4989" s="8"/>
      <c r="D4989" s="8"/>
      <c r="E4989" s="8"/>
      <c r="F4989" s="8"/>
      <c r="G4989" s="8"/>
      <c r="H4989" s="8"/>
      <c r="I4989" s="8"/>
      <c r="J4989" s="8"/>
      <c r="K4989" s="9"/>
      <c r="L4989" s="9"/>
      <c r="M4989" s="9"/>
      <c r="N4989" s="9"/>
      <c r="O4989" s="9"/>
      <c r="P4989" s="9"/>
      <c r="Q4989" s="9"/>
      <c r="R4989" s="9" t="str">
        <f aca="false">IF(AND(A4989&lt;&gt;"",ISNUMBER(Q4989),ISNUMBER(L4989)),ROUND(Q4989-IF(ISNUMBER(N4989),N4989,0)-IF(ISNUMBER(O4989),O4989,0)+IF(ISNUMBER(P4989),P4989,0),2),"")</f>
        <v/>
      </c>
      <c r="S4989" s="9" t="str">
        <f aca="false">IF(R4989="","",ROUND(L4989-R4989,2))</f>
        <v/>
      </c>
      <c r="T4989" s="8" t="str">
        <f aca="false">IF(A4989="","",IF(S4989="","BYPASS",IF(ABS(S4989)&lt;=Summary!$B$2,"PASS","FAIL")))</f>
        <v/>
      </c>
      <c r="U4989" s="8" t="str">
        <f aca="false">IF(T4989="BYPASS",IF(NOT(ISNUMBER(Q4989)),"PreV_ETB missing","End_tr_balance missing"),IF(T4989="FAIL",IF(AND(ISNUMBER(K4989),ISNUMBER(L4989),ABS(L4989-(K4989-IF(ISNUMBER(N4989),N4989,0)-IF(ISNUMBER(O4989),O4989,0)+IF(ISNUMBER(P4989),P4989,0)))&lt;=Summary!$B$2),"Passes using beginning_balance - PreV_ETB differs from beginning_balance",IF(AND(ISNUMBER(O4989),O4989&lt;0,ABS(L4989-(Q4989-IF(ISNUMBER(N4989),N4989,0)+IF(ISNUMBER(P4989),P4989,0)))&lt;=Summary!$B$2),"Negative realized loss not applied - check sign",IF(R4989&lt;0,"Principal paid exceeds prior balance",IF(AND(L4989&gt;Q4989,NOT(ISNUMBER(P4989))),"Balance increased but no Deferred_interest reported",IF(L4989&gt;R4989,"Reported balance higher than expected (missing increase/OC build)","Reported balance lower than expected (missing decrease)"))))),""))</f>
        <v/>
      </c>
    </row>
    <row r="4990" customFormat="false" ht="15" hidden="false" customHeight="false" outlineLevel="0" collapsed="false">
      <c r="A4990" s="8"/>
      <c r="B4990" s="8"/>
      <c r="C4990" s="8"/>
      <c r="D4990" s="8"/>
      <c r="E4990" s="8"/>
      <c r="F4990" s="8"/>
      <c r="G4990" s="8"/>
      <c r="H4990" s="8"/>
      <c r="I4990" s="8"/>
      <c r="J4990" s="8"/>
      <c r="K4990" s="9"/>
      <c r="L4990" s="9"/>
      <c r="M4990" s="9"/>
      <c r="N4990" s="9"/>
      <c r="O4990" s="9"/>
      <c r="P4990" s="9"/>
      <c r="Q4990" s="9"/>
      <c r="R4990" s="9" t="str">
        <f aca="false">IF(AND(A4990&lt;&gt;"",ISNUMBER(Q4990),ISNUMBER(L4990)),ROUND(Q4990-IF(ISNUMBER(N4990),N4990,0)-IF(ISNUMBER(O4990),O4990,0)+IF(ISNUMBER(P4990),P4990,0),2),"")</f>
        <v/>
      </c>
      <c r="S4990" s="9" t="str">
        <f aca="false">IF(R4990="","",ROUND(L4990-R4990,2))</f>
        <v/>
      </c>
      <c r="T4990" s="8" t="str">
        <f aca="false">IF(A4990="","",IF(S4990="","BYPASS",IF(ABS(S4990)&lt;=Summary!$B$2,"PASS","FAIL")))</f>
        <v/>
      </c>
      <c r="U4990" s="8" t="str">
        <f aca="false">IF(T4990="BYPASS",IF(NOT(ISNUMBER(Q4990)),"PreV_ETB missing","End_tr_balance missing"),IF(T4990="FAIL",IF(AND(ISNUMBER(K4990),ISNUMBER(L4990),ABS(L4990-(K4990-IF(ISNUMBER(N4990),N4990,0)-IF(ISNUMBER(O4990),O4990,0)+IF(ISNUMBER(P4990),P4990,0)))&lt;=Summary!$B$2),"Passes using beginning_balance - PreV_ETB differs from beginning_balance",IF(AND(ISNUMBER(O4990),O4990&lt;0,ABS(L4990-(Q4990-IF(ISNUMBER(N4990),N4990,0)+IF(ISNUMBER(P4990),P4990,0)))&lt;=Summary!$B$2),"Negative realized loss not applied - check sign",IF(R4990&lt;0,"Principal paid exceeds prior balance",IF(AND(L4990&gt;Q4990,NOT(ISNUMBER(P4990))),"Balance increased but no Deferred_interest reported",IF(L4990&gt;R4990,"Reported balance higher than expected (missing increase/OC build)","Reported balance lower than expected (missing decrease)"))))),""))</f>
        <v/>
      </c>
    </row>
    <row r="4991" customFormat="false" ht="15" hidden="false" customHeight="false" outlineLevel="0" collapsed="false">
      <c r="A4991" s="8"/>
      <c r="B4991" s="8"/>
      <c r="C4991" s="8"/>
      <c r="D4991" s="8"/>
      <c r="E4991" s="8"/>
      <c r="F4991" s="8"/>
      <c r="G4991" s="8"/>
      <c r="H4991" s="8"/>
      <c r="I4991" s="8"/>
      <c r="J4991" s="8"/>
      <c r="K4991" s="9"/>
      <c r="L4991" s="9"/>
      <c r="M4991" s="9"/>
      <c r="N4991" s="9"/>
      <c r="O4991" s="9"/>
      <c r="P4991" s="9"/>
      <c r="Q4991" s="9"/>
      <c r="R4991" s="9" t="str">
        <f aca="false">IF(AND(A4991&lt;&gt;"",ISNUMBER(Q4991),ISNUMBER(L4991)),ROUND(Q4991-IF(ISNUMBER(N4991),N4991,0)-IF(ISNUMBER(O4991),O4991,0)+IF(ISNUMBER(P4991),P4991,0),2),"")</f>
        <v/>
      </c>
      <c r="S4991" s="9" t="str">
        <f aca="false">IF(R4991="","",ROUND(L4991-R4991,2))</f>
        <v/>
      </c>
      <c r="T4991" s="8" t="str">
        <f aca="false">IF(A4991="","",IF(S4991="","BYPASS",IF(ABS(S4991)&lt;=Summary!$B$2,"PASS","FAIL")))</f>
        <v/>
      </c>
      <c r="U4991" s="8" t="str">
        <f aca="false">IF(T4991="BYPASS",IF(NOT(ISNUMBER(Q4991)),"PreV_ETB missing","End_tr_balance missing"),IF(T4991="FAIL",IF(AND(ISNUMBER(K4991),ISNUMBER(L4991),ABS(L4991-(K4991-IF(ISNUMBER(N4991),N4991,0)-IF(ISNUMBER(O4991),O4991,0)+IF(ISNUMBER(P4991),P4991,0)))&lt;=Summary!$B$2),"Passes using beginning_balance - PreV_ETB differs from beginning_balance",IF(AND(ISNUMBER(O4991),O4991&lt;0,ABS(L4991-(Q4991-IF(ISNUMBER(N4991),N4991,0)+IF(ISNUMBER(P4991),P4991,0)))&lt;=Summary!$B$2),"Negative realized loss not applied - check sign",IF(R4991&lt;0,"Principal paid exceeds prior balance",IF(AND(L4991&gt;Q4991,NOT(ISNUMBER(P4991))),"Balance increased but no Deferred_interest reported",IF(L4991&gt;R4991,"Reported balance higher than expected (missing increase/OC build)","Reported balance lower than expected (missing decrease)"))))),""))</f>
        <v/>
      </c>
    </row>
    <row r="4992" customFormat="false" ht="15" hidden="false" customHeight="false" outlineLevel="0" collapsed="false">
      <c r="A4992" s="8"/>
      <c r="B4992" s="8"/>
      <c r="C4992" s="8"/>
      <c r="D4992" s="8"/>
      <c r="E4992" s="8"/>
      <c r="F4992" s="8"/>
      <c r="G4992" s="8"/>
      <c r="H4992" s="8"/>
      <c r="I4992" s="8"/>
      <c r="J4992" s="8"/>
      <c r="K4992" s="9"/>
      <c r="L4992" s="9"/>
      <c r="M4992" s="9"/>
      <c r="N4992" s="9"/>
      <c r="O4992" s="9"/>
      <c r="P4992" s="9"/>
      <c r="Q4992" s="9"/>
      <c r="R4992" s="9" t="str">
        <f aca="false">IF(AND(A4992&lt;&gt;"",ISNUMBER(Q4992),ISNUMBER(L4992)),ROUND(Q4992-IF(ISNUMBER(N4992),N4992,0)-IF(ISNUMBER(O4992),O4992,0)+IF(ISNUMBER(P4992),P4992,0),2),"")</f>
        <v/>
      </c>
      <c r="S4992" s="9" t="str">
        <f aca="false">IF(R4992="","",ROUND(L4992-R4992,2))</f>
        <v/>
      </c>
      <c r="T4992" s="8" t="str">
        <f aca="false">IF(A4992="","",IF(S4992="","BYPASS",IF(ABS(S4992)&lt;=Summary!$B$2,"PASS","FAIL")))</f>
        <v/>
      </c>
      <c r="U4992" s="8" t="str">
        <f aca="false">IF(T4992="BYPASS",IF(NOT(ISNUMBER(Q4992)),"PreV_ETB missing","End_tr_balance missing"),IF(T4992="FAIL",IF(AND(ISNUMBER(K4992),ISNUMBER(L4992),ABS(L4992-(K4992-IF(ISNUMBER(N4992),N4992,0)-IF(ISNUMBER(O4992),O4992,0)+IF(ISNUMBER(P4992),P4992,0)))&lt;=Summary!$B$2),"Passes using beginning_balance - PreV_ETB differs from beginning_balance",IF(AND(ISNUMBER(O4992),O4992&lt;0,ABS(L4992-(Q4992-IF(ISNUMBER(N4992),N4992,0)+IF(ISNUMBER(P4992),P4992,0)))&lt;=Summary!$B$2),"Negative realized loss not applied - check sign",IF(R4992&lt;0,"Principal paid exceeds prior balance",IF(AND(L4992&gt;Q4992,NOT(ISNUMBER(P4992))),"Balance increased but no Deferred_interest reported",IF(L4992&gt;R4992,"Reported balance higher than expected (missing increase/OC build)","Reported balance lower than expected (missing decrease)"))))),""))</f>
        <v/>
      </c>
    </row>
    <row r="4993" customFormat="false" ht="15" hidden="false" customHeight="false" outlineLevel="0" collapsed="false">
      <c r="A4993" s="8"/>
      <c r="B4993" s="8"/>
      <c r="C4993" s="8"/>
      <c r="D4993" s="8"/>
      <c r="E4993" s="8"/>
      <c r="F4993" s="8"/>
      <c r="G4993" s="8"/>
      <c r="H4993" s="8"/>
      <c r="I4993" s="8"/>
      <c r="J4993" s="8"/>
      <c r="K4993" s="9"/>
      <c r="L4993" s="9"/>
      <c r="M4993" s="9"/>
      <c r="N4993" s="9"/>
      <c r="O4993" s="9"/>
      <c r="P4993" s="9"/>
      <c r="Q4993" s="9"/>
      <c r="R4993" s="9" t="str">
        <f aca="false">IF(AND(A4993&lt;&gt;"",ISNUMBER(Q4993),ISNUMBER(L4993)),ROUND(Q4993-IF(ISNUMBER(N4993),N4993,0)-IF(ISNUMBER(O4993),O4993,0)+IF(ISNUMBER(P4993),P4993,0),2),"")</f>
        <v/>
      </c>
      <c r="S4993" s="9" t="str">
        <f aca="false">IF(R4993="","",ROUND(L4993-R4993,2))</f>
        <v/>
      </c>
      <c r="T4993" s="8" t="str">
        <f aca="false">IF(A4993="","",IF(S4993="","BYPASS",IF(ABS(S4993)&lt;=Summary!$B$2,"PASS","FAIL")))</f>
        <v/>
      </c>
      <c r="U4993" s="8" t="str">
        <f aca="false">IF(T4993="BYPASS",IF(NOT(ISNUMBER(Q4993)),"PreV_ETB missing","End_tr_balance missing"),IF(T4993="FAIL",IF(AND(ISNUMBER(K4993),ISNUMBER(L4993),ABS(L4993-(K4993-IF(ISNUMBER(N4993),N4993,0)-IF(ISNUMBER(O4993),O4993,0)+IF(ISNUMBER(P4993),P4993,0)))&lt;=Summary!$B$2),"Passes using beginning_balance - PreV_ETB differs from beginning_balance",IF(AND(ISNUMBER(O4993),O4993&lt;0,ABS(L4993-(Q4993-IF(ISNUMBER(N4993),N4993,0)+IF(ISNUMBER(P4993),P4993,0)))&lt;=Summary!$B$2),"Negative realized loss not applied - check sign",IF(R4993&lt;0,"Principal paid exceeds prior balance",IF(AND(L4993&gt;Q4993,NOT(ISNUMBER(P4993))),"Balance increased but no Deferred_interest reported",IF(L4993&gt;R4993,"Reported balance higher than expected (missing increase/OC build)","Reported balance lower than expected (missing decrease)"))))),""))</f>
        <v/>
      </c>
    </row>
    <row r="4994" customFormat="false" ht="15" hidden="false" customHeight="false" outlineLevel="0" collapsed="false">
      <c r="A4994" s="8"/>
      <c r="B4994" s="8"/>
      <c r="C4994" s="8"/>
      <c r="D4994" s="8"/>
      <c r="E4994" s="8"/>
      <c r="F4994" s="8"/>
      <c r="G4994" s="8"/>
      <c r="H4994" s="8"/>
      <c r="I4994" s="8"/>
      <c r="J4994" s="8"/>
      <c r="K4994" s="9"/>
      <c r="L4994" s="9"/>
      <c r="M4994" s="9"/>
      <c r="N4994" s="9"/>
      <c r="O4994" s="9"/>
      <c r="P4994" s="9"/>
      <c r="Q4994" s="9"/>
      <c r="R4994" s="9" t="str">
        <f aca="false">IF(AND(A4994&lt;&gt;"",ISNUMBER(Q4994),ISNUMBER(L4994)),ROUND(Q4994-IF(ISNUMBER(N4994),N4994,0)-IF(ISNUMBER(O4994),O4994,0)+IF(ISNUMBER(P4994),P4994,0),2),"")</f>
        <v/>
      </c>
      <c r="S4994" s="9" t="str">
        <f aca="false">IF(R4994="","",ROUND(L4994-R4994,2))</f>
        <v/>
      </c>
      <c r="T4994" s="8" t="str">
        <f aca="false">IF(A4994="","",IF(S4994="","BYPASS",IF(ABS(S4994)&lt;=Summary!$B$2,"PASS","FAIL")))</f>
        <v/>
      </c>
      <c r="U4994" s="8" t="str">
        <f aca="false">IF(T4994="BYPASS",IF(NOT(ISNUMBER(Q4994)),"PreV_ETB missing","End_tr_balance missing"),IF(T4994="FAIL",IF(AND(ISNUMBER(K4994),ISNUMBER(L4994),ABS(L4994-(K4994-IF(ISNUMBER(N4994),N4994,0)-IF(ISNUMBER(O4994),O4994,0)+IF(ISNUMBER(P4994),P4994,0)))&lt;=Summary!$B$2),"Passes using beginning_balance - PreV_ETB differs from beginning_balance",IF(AND(ISNUMBER(O4994),O4994&lt;0,ABS(L4994-(Q4994-IF(ISNUMBER(N4994),N4994,0)+IF(ISNUMBER(P4994),P4994,0)))&lt;=Summary!$B$2),"Negative realized loss not applied - check sign",IF(R4994&lt;0,"Principal paid exceeds prior balance",IF(AND(L4994&gt;Q4994,NOT(ISNUMBER(P4994))),"Balance increased but no Deferred_interest reported",IF(L4994&gt;R4994,"Reported balance higher than expected (missing increase/OC build)","Reported balance lower than expected (missing decrease)"))))),""))</f>
        <v/>
      </c>
    </row>
    <row r="4995" customFormat="false" ht="15" hidden="false" customHeight="false" outlineLevel="0" collapsed="false">
      <c r="A4995" s="8"/>
      <c r="B4995" s="8"/>
      <c r="C4995" s="8"/>
      <c r="D4995" s="8"/>
      <c r="E4995" s="8"/>
      <c r="F4995" s="8"/>
      <c r="G4995" s="8"/>
      <c r="H4995" s="8"/>
      <c r="I4995" s="8"/>
      <c r="J4995" s="8"/>
      <c r="K4995" s="9"/>
      <c r="L4995" s="9"/>
      <c r="M4995" s="9"/>
      <c r="N4995" s="9"/>
      <c r="O4995" s="9"/>
      <c r="P4995" s="9"/>
      <c r="Q4995" s="9"/>
      <c r="R4995" s="9" t="str">
        <f aca="false">IF(AND(A4995&lt;&gt;"",ISNUMBER(Q4995),ISNUMBER(L4995)),ROUND(Q4995-IF(ISNUMBER(N4995),N4995,0)-IF(ISNUMBER(O4995),O4995,0)+IF(ISNUMBER(P4995),P4995,0),2),"")</f>
        <v/>
      </c>
      <c r="S4995" s="9" t="str">
        <f aca="false">IF(R4995="","",ROUND(L4995-R4995,2))</f>
        <v/>
      </c>
      <c r="T4995" s="8" t="str">
        <f aca="false">IF(A4995="","",IF(S4995="","BYPASS",IF(ABS(S4995)&lt;=Summary!$B$2,"PASS","FAIL")))</f>
        <v/>
      </c>
      <c r="U4995" s="8" t="str">
        <f aca="false">IF(T4995="BYPASS",IF(NOT(ISNUMBER(Q4995)),"PreV_ETB missing","End_tr_balance missing"),IF(T4995="FAIL",IF(AND(ISNUMBER(K4995),ISNUMBER(L4995),ABS(L4995-(K4995-IF(ISNUMBER(N4995),N4995,0)-IF(ISNUMBER(O4995),O4995,0)+IF(ISNUMBER(P4995),P4995,0)))&lt;=Summary!$B$2),"Passes using beginning_balance - PreV_ETB differs from beginning_balance",IF(AND(ISNUMBER(O4995),O4995&lt;0,ABS(L4995-(Q4995-IF(ISNUMBER(N4995),N4995,0)+IF(ISNUMBER(P4995),P4995,0)))&lt;=Summary!$B$2),"Negative realized loss not applied - check sign",IF(R4995&lt;0,"Principal paid exceeds prior balance",IF(AND(L4995&gt;Q4995,NOT(ISNUMBER(P4995))),"Balance increased but no Deferred_interest reported",IF(L4995&gt;R4995,"Reported balance higher than expected (missing increase/OC build)","Reported balance lower than expected (missing decrease)"))))),""))</f>
        <v/>
      </c>
    </row>
    <row r="4996" customFormat="false" ht="15" hidden="false" customHeight="false" outlineLevel="0" collapsed="false">
      <c r="A4996" s="8"/>
      <c r="B4996" s="8"/>
      <c r="C4996" s="8"/>
      <c r="D4996" s="8"/>
      <c r="E4996" s="8"/>
      <c r="F4996" s="8"/>
      <c r="G4996" s="8"/>
      <c r="H4996" s="8"/>
      <c r="I4996" s="8"/>
      <c r="J4996" s="8"/>
      <c r="K4996" s="9"/>
      <c r="L4996" s="9"/>
      <c r="M4996" s="9"/>
      <c r="N4996" s="9"/>
      <c r="O4996" s="9"/>
      <c r="P4996" s="9"/>
      <c r="Q4996" s="9"/>
      <c r="R4996" s="9" t="str">
        <f aca="false">IF(AND(A4996&lt;&gt;"",ISNUMBER(Q4996),ISNUMBER(L4996)),ROUND(Q4996-IF(ISNUMBER(N4996),N4996,0)-IF(ISNUMBER(O4996),O4996,0)+IF(ISNUMBER(P4996),P4996,0),2),"")</f>
        <v/>
      </c>
      <c r="S4996" s="9" t="str">
        <f aca="false">IF(R4996="","",ROUND(L4996-R4996,2))</f>
        <v/>
      </c>
      <c r="T4996" s="8" t="str">
        <f aca="false">IF(A4996="","",IF(S4996="","BYPASS",IF(ABS(S4996)&lt;=Summary!$B$2,"PASS","FAIL")))</f>
        <v/>
      </c>
      <c r="U4996" s="8" t="str">
        <f aca="false">IF(T4996="BYPASS",IF(NOT(ISNUMBER(Q4996)),"PreV_ETB missing","End_tr_balance missing"),IF(T4996="FAIL",IF(AND(ISNUMBER(K4996),ISNUMBER(L4996),ABS(L4996-(K4996-IF(ISNUMBER(N4996),N4996,0)-IF(ISNUMBER(O4996),O4996,0)+IF(ISNUMBER(P4996),P4996,0)))&lt;=Summary!$B$2),"Passes using beginning_balance - PreV_ETB differs from beginning_balance",IF(AND(ISNUMBER(O4996),O4996&lt;0,ABS(L4996-(Q4996-IF(ISNUMBER(N4996),N4996,0)+IF(ISNUMBER(P4996),P4996,0)))&lt;=Summary!$B$2),"Negative realized loss not applied - check sign",IF(R4996&lt;0,"Principal paid exceeds prior balance",IF(AND(L4996&gt;Q4996,NOT(ISNUMBER(P4996))),"Balance increased but no Deferred_interest reported",IF(L4996&gt;R4996,"Reported balance higher than expected (missing increase/OC build)","Reported balance lower than expected (missing decrease)"))))),""))</f>
        <v/>
      </c>
    </row>
    <row r="4997" customFormat="false" ht="15" hidden="false" customHeight="false" outlineLevel="0" collapsed="false">
      <c r="A4997" s="8"/>
      <c r="B4997" s="8"/>
      <c r="C4997" s="8"/>
      <c r="D4997" s="8"/>
      <c r="E4997" s="8"/>
      <c r="F4997" s="8"/>
      <c r="G4997" s="8"/>
      <c r="H4997" s="8"/>
      <c r="I4997" s="8"/>
      <c r="J4997" s="8"/>
      <c r="K4997" s="9"/>
      <c r="L4997" s="9"/>
      <c r="M4997" s="9"/>
      <c r="N4997" s="9"/>
      <c r="O4997" s="9"/>
      <c r="P4997" s="9"/>
      <c r="Q4997" s="9"/>
      <c r="R4997" s="9" t="str">
        <f aca="false">IF(AND(A4997&lt;&gt;"",ISNUMBER(Q4997),ISNUMBER(L4997)),ROUND(Q4997-IF(ISNUMBER(N4997),N4997,0)-IF(ISNUMBER(O4997),O4997,0)+IF(ISNUMBER(P4997),P4997,0),2),"")</f>
        <v/>
      </c>
      <c r="S4997" s="9" t="str">
        <f aca="false">IF(R4997="","",ROUND(L4997-R4997,2))</f>
        <v/>
      </c>
      <c r="T4997" s="8" t="str">
        <f aca="false">IF(A4997="","",IF(S4997="","BYPASS",IF(ABS(S4997)&lt;=Summary!$B$2,"PASS","FAIL")))</f>
        <v/>
      </c>
      <c r="U4997" s="8" t="str">
        <f aca="false">IF(T4997="BYPASS",IF(NOT(ISNUMBER(Q4997)),"PreV_ETB missing","End_tr_balance missing"),IF(T4997="FAIL",IF(AND(ISNUMBER(K4997),ISNUMBER(L4997),ABS(L4997-(K4997-IF(ISNUMBER(N4997),N4997,0)-IF(ISNUMBER(O4997),O4997,0)+IF(ISNUMBER(P4997),P4997,0)))&lt;=Summary!$B$2),"Passes using beginning_balance - PreV_ETB differs from beginning_balance",IF(AND(ISNUMBER(O4997),O4997&lt;0,ABS(L4997-(Q4997-IF(ISNUMBER(N4997),N4997,0)+IF(ISNUMBER(P4997),P4997,0)))&lt;=Summary!$B$2),"Negative realized loss not applied - check sign",IF(R4997&lt;0,"Principal paid exceeds prior balance",IF(AND(L4997&gt;Q4997,NOT(ISNUMBER(P4997))),"Balance increased but no Deferred_interest reported",IF(L4997&gt;R4997,"Reported balance higher than expected (missing increase/OC build)","Reported balance lower than expected (missing decrease)"))))),""))</f>
        <v/>
      </c>
    </row>
    <row r="4998" customFormat="false" ht="15" hidden="false" customHeight="false" outlineLevel="0" collapsed="false">
      <c r="A4998" s="8"/>
      <c r="B4998" s="8"/>
      <c r="C4998" s="8"/>
      <c r="D4998" s="8"/>
      <c r="E4998" s="8"/>
      <c r="F4998" s="8"/>
      <c r="G4998" s="8"/>
      <c r="H4998" s="8"/>
      <c r="I4998" s="8"/>
      <c r="J4998" s="8"/>
      <c r="K4998" s="9"/>
      <c r="L4998" s="9"/>
      <c r="M4998" s="9"/>
      <c r="N4998" s="9"/>
      <c r="O4998" s="9"/>
      <c r="P4998" s="9"/>
      <c r="Q4998" s="9"/>
      <c r="R4998" s="9" t="str">
        <f aca="false">IF(AND(A4998&lt;&gt;"",ISNUMBER(Q4998),ISNUMBER(L4998)),ROUND(Q4998-IF(ISNUMBER(N4998),N4998,0)-IF(ISNUMBER(O4998),O4998,0)+IF(ISNUMBER(P4998),P4998,0),2),"")</f>
        <v/>
      </c>
      <c r="S4998" s="9" t="str">
        <f aca="false">IF(R4998="","",ROUND(L4998-R4998,2))</f>
        <v/>
      </c>
      <c r="T4998" s="8" t="str">
        <f aca="false">IF(A4998="","",IF(S4998="","BYPASS",IF(ABS(S4998)&lt;=Summary!$B$2,"PASS","FAIL")))</f>
        <v/>
      </c>
      <c r="U4998" s="8" t="str">
        <f aca="false">IF(T4998="BYPASS",IF(NOT(ISNUMBER(Q4998)),"PreV_ETB missing","End_tr_balance missing"),IF(T4998="FAIL",IF(AND(ISNUMBER(K4998),ISNUMBER(L4998),ABS(L4998-(K4998-IF(ISNUMBER(N4998),N4998,0)-IF(ISNUMBER(O4998),O4998,0)+IF(ISNUMBER(P4998),P4998,0)))&lt;=Summary!$B$2),"Passes using beginning_balance - PreV_ETB differs from beginning_balance",IF(AND(ISNUMBER(O4998),O4998&lt;0,ABS(L4998-(Q4998-IF(ISNUMBER(N4998),N4998,0)+IF(ISNUMBER(P4998),P4998,0)))&lt;=Summary!$B$2),"Negative realized loss not applied - check sign",IF(R4998&lt;0,"Principal paid exceeds prior balance",IF(AND(L4998&gt;Q4998,NOT(ISNUMBER(P4998))),"Balance increased but no Deferred_interest reported",IF(L4998&gt;R4998,"Reported balance higher than expected (missing increase/OC build)","Reported balance lower than expected (missing decrease)"))))),""))</f>
        <v/>
      </c>
    </row>
    <row r="4999" customFormat="false" ht="15" hidden="false" customHeight="false" outlineLevel="0" collapsed="false">
      <c r="A4999" s="8"/>
      <c r="B4999" s="8"/>
      <c r="C4999" s="8"/>
      <c r="D4999" s="8"/>
      <c r="E4999" s="8"/>
      <c r="F4999" s="8"/>
      <c r="G4999" s="8"/>
      <c r="H4999" s="8"/>
      <c r="I4999" s="8"/>
      <c r="J4999" s="8"/>
      <c r="K4999" s="9"/>
      <c r="L4999" s="9"/>
      <c r="M4999" s="9"/>
      <c r="N4999" s="9"/>
      <c r="O4999" s="9"/>
      <c r="P4999" s="9"/>
      <c r="Q4999" s="9"/>
      <c r="R4999" s="9" t="str">
        <f aca="false">IF(AND(A4999&lt;&gt;"",ISNUMBER(Q4999),ISNUMBER(L4999)),ROUND(Q4999-IF(ISNUMBER(N4999),N4999,0)-IF(ISNUMBER(O4999),O4999,0)+IF(ISNUMBER(P4999),P4999,0),2),"")</f>
        <v/>
      </c>
      <c r="S4999" s="9" t="str">
        <f aca="false">IF(R4999="","",ROUND(L4999-R4999,2))</f>
        <v/>
      </c>
      <c r="T4999" s="8" t="str">
        <f aca="false">IF(A4999="","",IF(S4999="","BYPASS",IF(ABS(S4999)&lt;=Summary!$B$2,"PASS","FAIL")))</f>
        <v/>
      </c>
      <c r="U4999" s="8" t="str">
        <f aca="false">IF(T4999="BYPASS",IF(NOT(ISNUMBER(Q4999)),"PreV_ETB missing","End_tr_balance missing"),IF(T4999="FAIL",IF(AND(ISNUMBER(K4999),ISNUMBER(L4999),ABS(L4999-(K4999-IF(ISNUMBER(N4999),N4999,0)-IF(ISNUMBER(O4999),O4999,0)+IF(ISNUMBER(P4999),P4999,0)))&lt;=Summary!$B$2),"Passes using beginning_balance - PreV_ETB differs from beginning_balance",IF(AND(ISNUMBER(O4999),O4999&lt;0,ABS(L4999-(Q4999-IF(ISNUMBER(N4999),N4999,0)+IF(ISNUMBER(P4999),P4999,0)))&lt;=Summary!$B$2),"Negative realized loss not applied - check sign",IF(R4999&lt;0,"Principal paid exceeds prior balance",IF(AND(L4999&gt;Q4999,NOT(ISNUMBER(P4999))),"Balance increased but no Deferred_interest reported",IF(L4999&gt;R4999,"Reported balance higher than expected (missing increase/OC build)","Reported balance lower than expected (missing decrease)"))))),""))</f>
        <v/>
      </c>
    </row>
    <row r="5000" customFormat="false" ht="15" hidden="false" customHeight="false" outlineLevel="0" collapsed="false">
      <c r="A5000" s="8"/>
      <c r="B5000" s="8"/>
      <c r="C5000" s="8"/>
      <c r="D5000" s="8"/>
      <c r="E5000" s="8"/>
      <c r="F5000" s="8"/>
      <c r="G5000" s="8"/>
      <c r="H5000" s="8"/>
      <c r="I5000" s="8"/>
      <c r="J5000" s="8"/>
      <c r="K5000" s="9"/>
      <c r="L5000" s="9"/>
      <c r="M5000" s="9"/>
      <c r="N5000" s="9"/>
      <c r="O5000" s="9"/>
      <c r="P5000" s="9"/>
      <c r="Q5000" s="9"/>
      <c r="R5000" s="9" t="str">
        <f aca="false">IF(AND(A5000&lt;&gt;"",ISNUMBER(Q5000),ISNUMBER(L5000)),ROUND(Q5000-IF(ISNUMBER(N5000),N5000,0)-IF(ISNUMBER(O5000),O5000,0)+IF(ISNUMBER(P5000),P5000,0),2),"")</f>
        <v/>
      </c>
      <c r="S5000" s="9" t="str">
        <f aca="false">IF(R5000="","",ROUND(L5000-R5000,2))</f>
        <v/>
      </c>
      <c r="T5000" s="8" t="str">
        <f aca="false">IF(A5000="","",IF(S5000="","BYPASS",IF(ABS(S5000)&lt;=Summary!$B$2,"PASS","FAIL")))</f>
        <v/>
      </c>
      <c r="U5000" s="8" t="str">
        <f aca="false">IF(T5000="BYPASS",IF(NOT(ISNUMBER(Q5000)),"PreV_ETB missing","End_tr_balance missing"),IF(T5000="FAIL",IF(AND(ISNUMBER(K5000),ISNUMBER(L5000),ABS(L5000-(K5000-IF(ISNUMBER(N5000),N5000,0)-IF(ISNUMBER(O5000),O5000,0)+IF(ISNUMBER(P5000),P5000,0)))&lt;=Summary!$B$2),"Passes using beginning_balance - PreV_ETB differs from beginning_balance",IF(AND(ISNUMBER(O5000),O5000&lt;0,ABS(L5000-(Q5000-IF(ISNUMBER(N5000),N5000,0)+IF(ISNUMBER(P5000),P5000,0)))&lt;=Summary!$B$2),"Negative realized loss not applied - check sign",IF(R5000&lt;0,"Principal paid exceeds prior balance",IF(AND(L5000&gt;Q5000,NOT(ISNUMBER(P5000))),"Balance increased but no Deferred_interest reported",IF(L5000&gt;R5000,"Reported balance higher than expected (missing increase/OC build)","Reported balance lower than expected (missing decrease)"))))),""))</f>
        <v/>
      </c>
    </row>
  </sheetData>
  <autoFilter ref="A1:U5000"/>
  <conditionalFormatting sqref="T2:T5000">
    <cfRule type="cellIs" priority="2" operator="equal" aboveAverage="0" equalAverage="0" bottom="0" percent="0" rank="0" text="" dxfId="7">
      <formula>"PASS"</formula>
    </cfRule>
    <cfRule type="cellIs" priority="3" operator="equal" aboveAverage="0" equalAverage="0" bottom="0" percent="0" rank="0" text="" dxfId="8">
      <formula>"FAIL"</formula>
    </cfRule>
    <cfRule type="cellIs" priority="4" operator="equal" aboveAverage="0" equalAverage="0" bottom="0" percent="0" rank="0" text="" dxfId="9">
      <formula>"BYPASS"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2026-10-01T07:37:14Z</dcterms:created>
  <dc:creator>openpyxl</dc:creator>
  <dc:description/>
  <dc:language>en-US</dc:language>
  <cp:lastModifiedBy/>
  <dcterms:modified xsi:type="dcterms:W3CDTF">2026-10-01T07:37:15Z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