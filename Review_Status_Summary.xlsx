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96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50.6\afgma\afg-wl\Informatica_AFG\AFG_WORKING\AUG_2026\rmbs_extraction_output_For_Checking\"/>
    </mc:Choice>
  </mc:AlternateContent>
  <xr:revisionPtr revIDLastSave="0" documentId="13_ncr:81_{44E80D2B-AA5E-475A-A08B-4B05BB649609}" xr6:coauthVersionLast="47" xr6:coauthVersionMax="47" xr10:uidLastSave="{00000000-0000-0000-0000-000000000000}"/>
  <bookViews>
    <workbookView xWindow="-108" yWindow="-108" windowWidth="23256" windowHeight="12456" xr2:uid="{29291044-EE4E-44D5-A17C-00269368371E}"/>
  </bookViews>
  <sheets>
    <sheet name="Log" sheetId="1" r:id="rId1"/>
    <sheet name="Overview" sheetId="2" r:id="rId2"/>
    <sheet name="Summary" sheetId="3" r:id="rId3"/>
  </sheets>
  <definedNames>
    <definedName name="_xlnm._FilterDatabase" localSheetId="0" hidden="1">Log!$A$1:$AE$54</definedName>
    <definedName name="_xlnm._FilterDatabase" localSheetId="1" hidden="1">Overview!$A$1:$J$1</definedName>
    <definedName name="Z_0AF455B7_E4E3_4C97_BF8A_2F2A5D078819_.wvu.FilterData" localSheetId="0" hidden="1">Log!$A$1:$Z$28</definedName>
    <definedName name="Z_11B0B9E2_F555_4D99_B5EC_8486989D28E4_.wvu.FilterData" localSheetId="0" hidden="1">Log!$A$1:$Z$53</definedName>
    <definedName name="Z_1B61767C_D0F6_4DB9_8252_C3B78BFF4C7D_.wvu.FilterData" localSheetId="0" hidden="1">Log!$A$1:$Z$28</definedName>
    <definedName name="Z_1EE62E9F_0698_46CF_BB3C_23E1EBAB6664_.wvu.FilterData" localSheetId="0" hidden="1">Log!$A$1:$Z$54</definedName>
    <definedName name="Z_1EE62E9F_0698_46CF_BB3C_23E1EBAB6664_.wvu.FilterData" localSheetId="1" hidden="1">Overview!$A$1:$J$54</definedName>
    <definedName name="Z_2D6859D7_8536_48E3_A694_9ED3F42292CD_.wvu.FilterData" localSheetId="0" hidden="1">Log!$A$1:$Z$28</definedName>
    <definedName name="Z_3165D4B0_092A_4144_9FF3_334D46CFADB4_.wvu.FilterData" localSheetId="0" hidden="1">Log!$A$1:$Z$28</definedName>
    <definedName name="Z_39915C05_D976_41BB_A18B_D659FC97FBFB_.wvu.FilterData" localSheetId="0" hidden="1">Log!$A$1:$Z$28</definedName>
    <definedName name="Z_4C58292B_0EE2_4971_9AC0_34AF226CCC1A_.wvu.FilterData" localSheetId="0" hidden="1">Log!$A$1:$Z$28</definedName>
    <definedName name="Z_A5EA908F_8090_424D_AB43_C5851C6FA047_.wvu.FilterData" localSheetId="0" hidden="1">Log!$A$1:$Z$28</definedName>
    <definedName name="Z_D42E05B7_B0C8_43E8_939F_5C1DE74BFDDA_.wvu.FilterData" localSheetId="0" hidden="1">Log!$A$1:$Z$28</definedName>
    <definedName name="Z_E724282B_0F36_48EE_BABA_293F5CF24C9B_.wvu.FilterData" localSheetId="0" hidden="1">Log!$A$1:$Z$28</definedName>
  </definedNames>
  <calcPr calcId="191029"/>
  <customWorkbookViews>
    <customWorkbookView name="Susmita Biswas - Personal View" guid="{1EE62E9F-0698-46CF-BB3C-23E1EBAB6664}" mergeInterval="0" personalView="1" maximized="1" xWindow="-9" yWindow="-9" windowWidth="1938" windowHeight="1038" activeSheetId="2"/>
    <customWorkbookView name="Biswajit Sahoo - Personal View" guid="{0AF455B7-E4E3-4C97-BF8A-2F2A5D078819}" mergeInterval="0" personalView="1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2" i="3"/>
  <c r="F3" i="3"/>
  <c r="F4" i="3"/>
  <c r="F5" i="3"/>
  <c r="F6" i="3"/>
  <c r="F2" i="3"/>
  <c r="AC54" i="1" l="1"/>
  <c r="AB54" i="1"/>
  <c r="AA54" i="1"/>
  <c r="AC53" i="1"/>
  <c r="AB53" i="1"/>
  <c r="AA53" i="1"/>
  <c r="AC51" i="1"/>
  <c r="AB51" i="1"/>
  <c r="AA51" i="1"/>
  <c r="AC52" i="1"/>
  <c r="AB52" i="1"/>
  <c r="AA52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C6" i="1"/>
  <c r="AB6" i="1"/>
  <c r="AA6" i="1"/>
  <c r="AC5" i="1"/>
  <c r="AB5" i="1"/>
  <c r="AA5" i="1"/>
  <c r="AC4" i="1"/>
  <c r="AB4" i="1"/>
  <c r="AA4" i="1"/>
  <c r="AC3" i="1"/>
  <c r="AB3" i="1"/>
  <c r="AA3" i="1"/>
  <c r="AC2" i="1"/>
  <c r="AB2" i="1"/>
  <c r="AA2" i="1"/>
  <c r="AD29" i="1" l="1"/>
  <c r="AE30" i="1"/>
  <c r="AD35" i="1"/>
  <c r="AE45" i="1"/>
  <c r="AE35" i="1"/>
  <c r="AD46" i="1"/>
  <c r="AD12" i="1"/>
  <c r="AE26" i="1"/>
  <c r="AD26" i="1"/>
  <c r="AD30" i="1"/>
  <c r="AD52" i="1"/>
  <c r="AE3" i="1"/>
  <c r="AE40" i="1"/>
  <c r="AD10" i="1"/>
  <c r="AD3" i="1"/>
  <c r="AD40" i="1"/>
  <c r="AD7" i="1"/>
  <c r="AD21" i="1"/>
  <c r="AD45" i="1"/>
  <c r="AE22" i="1"/>
  <c r="AD36" i="1"/>
  <c r="AE36" i="1"/>
  <c r="AE4" i="1"/>
  <c r="AE9" i="1"/>
  <c r="AE23" i="1"/>
  <c r="AD38" i="1"/>
  <c r="AE52" i="1"/>
  <c r="AD24" i="1"/>
  <c r="AD54" i="1"/>
  <c r="AD47" i="1"/>
  <c r="AE18" i="1"/>
  <c r="AD6" i="1"/>
  <c r="AE6" i="1"/>
  <c r="AE13" i="1"/>
  <c r="AE46" i="1"/>
  <c r="AE51" i="1"/>
  <c r="AD43" i="1"/>
  <c r="AE33" i="1"/>
  <c r="AE43" i="1"/>
  <c r="AE14" i="1"/>
  <c r="AE37" i="1"/>
  <c r="AE7" i="1"/>
  <c r="AE12" i="1"/>
  <c r="AE21" i="1"/>
  <c r="AE38" i="1"/>
  <c r="AD49" i="1"/>
  <c r="AE32" i="1"/>
  <c r="AD28" i="1"/>
  <c r="AE16" i="1"/>
  <c r="AE25" i="1"/>
  <c r="AE29" i="1"/>
  <c r="AE47" i="1"/>
  <c r="AD15" i="1"/>
  <c r="AE28" i="1"/>
  <c r="AE34" i="1"/>
  <c r="AE24" i="1"/>
  <c r="AE48" i="1"/>
  <c r="AD11" i="1"/>
  <c r="AE15" i="1"/>
  <c r="AD31" i="1"/>
  <c r="AD39" i="1"/>
  <c r="AE11" i="1"/>
  <c r="AE19" i="1"/>
  <c r="AD4" i="1"/>
  <c r="AD27" i="1"/>
  <c r="AE31" i="1"/>
  <c r="AD44" i="1"/>
  <c r="AD48" i="1"/>
  <c r="AD8" i="1"/>
  <c r="AD20" i="1"/>
  <c r="AE27" i="1"/>
  <c r="AE39" i="1"/>
  <c r="AE44" i="1"/>
  <c r="AE8" i="1"/>
  <c r="AD16" i="1"/>
  <c r="AE20" i="1"/>
  <c r="AD32" i="1"/>
  <c r="AD51" i="1"/>
  <c r="AD23" i="1"/>
  <c r="AE5" i="1"/>
  <c r="AD17" i="1"/>
  <c r="AE49" i="1"/>
  <c r="AD53" i="1"/>
  <c r="AD13" i="1"/>
  <c r="AE17" i="1"/>
  <c r="AD25" i="1"/>
  <c r="AD33" i="1"/>
  <c r="AD37" i="1"/>
  <c r="AE53" i="1"/>
  <c r="AD9" i="1"/>
  <c r="AD2" i="1"/>
  <c r="AD18" i="1"/>
  <c r="AD42" i="1"/>
  <c r="AD50" i="1"/>
  <c r="AE2" i="1"/>
  <c r="AE10" i="1"/>
  <c r="AD14" i="1"/>
  <c r="AD22" i="1"/>
  <c r="AD34" i="1"/>
  <c r="AE42" i="1"/>
  <c r="AE50" i="1"/>
  <c r="AE54" i="1"/>
  <c r="AD19" i="1"/>
  <c r="A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Susmita Biswas</author>
  </authors>
  <commentList>
    <comment ref="J2" authorId="0" guid="{30F91FFC-787D-4AE7-B419-12E8F42DC0FC}" shapeId="0" xr:uid="{FE0399EA-B47B-4F46-960A-EB741646CB68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" authorId="0" guid="{3D61709E-1B2D-4AD9-BEDF-F84A5512CA6B}" shapeId="0" xr:uid="{1DCC83DA-FDA9-4D6D-A851-56FF5CAE5C51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  <comment ref="J4" authorId="0" guid="{FA58675F-6D6D-45B5-B64D-060A6FB775F4}" shapeId="0" xr:uid="{2BC420A0-A9DF-4092-B233-5D8E8042B2DA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7 BL fields
</t>
        </r>
      </text>
    </comment>
    <comment ref="J10" authorId="0" guid="{58485FFF-04C9-4FCE-9E89-CACAF3402AC6}" shapeId="0" xr:uid="{C947CBCD-F031-4A29-B256-2168647984D4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7 BL fields
</t>
        </r>
      </text>
    </comment>
    <comment ref="J15" authorId="0" guid="{691DD7D3-70FB-4F50-B5A6-8CCF29D51763}" shapeId="0" xr:uid="{AD0F76F6-95F7-476F-81A0-533C2FCA79F9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  <comment ref="J16" authorId="0" guid="{D5232455-9984-4F67-B289-8223CE801532}" shapeId="0" xr:uid="{B953394F-F618-4D29-BE0C-AD5B7285A685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  <comment ref="J17" authorId="0" guid="{ABAC80E5-33AB-493A-B727-C8A040AD0D06}" shapeId="0" xr:uid="{655ECECC-F2C5-4B56-81EF-1F3DC76AFBD2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  <comment ref="J21" authorId="0" guid="{1151B8CB-B151-417E-B1C0-9B6F2EF26295}" shapeId="0" xr:uid="{2CEA23AB-D3FA-4095-9B34-EF95D8DC4152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  <comment ref="J22" authorId="0" guid="{EFF98D7C-06FE-45C3-B1E9-CD853BFCF8D9}" shapeId="0" xr:uid="{C14AF53A-A221-450C-95F1-9B494F438FE2}">
      <text>
        <r>
          <rPr>
            <b/>
            <sz val="9"/>
            <color indexed="81"/>
            <rFont val="Tahoma"/>
            <family val="2"/>
          </rPr>
          <t>Susmita Biswas:</t>
        </r>
        <r>
          <rPr>
            <sz val="9"/>
            <color indexed="81"/>
            <rFont val="Tahoma"/>
            <family val="2"/>
          </rPr>
          <t xml:space="preserve">
4 BL fields
</t>
        </r>
      </text>
    </comment>
  </commentList>
</comments>
</file>

<file path=xl/sharedStrings.xml><?xml version="1.0" encoding="utf-8"?>
<sst xmlns="http://schemas.openxmlformats.org/spreadsheetml/2006/main" count="389" uniqueCount="124">
  <si>
    <t>Deal_Name</t>
  </si>
  <si>
    <t>MASTR Adjustable Rate Mortgages Trust 2004-3</t>
  </si>
  <si>
    <t>Pool_Field_Count</t>
  </si>
  <si>
    <t>Credit_Field_Count</t>
  </si>
  <si>
    <t>Senior_Field_Count</t>
  </si>
  <si>
    <t>Trigger_Field_Count</t>
  </si>
  <si>
    <t>Round</t>
  </si>
  <si>
    <t>2nd</t>
  </si>
  <si>
    <t>Tranche_Error_Field_Count</t>
  </si>
  <si>
    <t>Pool_Error_Field_Count</t>
  </si>
  <si>
    <t>Credit_Error_Field_Count</t>
  </si>
  <si>
    <t>Senior_Error_Field_Count</t>
  </si>
  <si>
    <t>Trigger_Error_Field_Count</t>
  </si>
  <si>
    <t>Tranche_Field_Mis_Count</t>
  </si>
  <si>
    <t>Pool_Field_Mis_Count</t>
  </si>
  <si>
    <t>Credit_Field_Mis_Count</t>
  </si>
  <si>
    <t>Senior_Field_Mis_Count</t>
  </si>
  <si>
    <t>Trigger_Field_Mis_Count</t>
  </si>
  <si>
    <t>Pool_Count</t>
  </si>
  <si>
    <t>Credit_Count</t>
  </si>
  <si>
    <t>Senior_Count</t>
  </si>
  <si>
    <t>Trigger_Count</t>
  </si>
  <si>
    <t>Remarks</t>
  </si>
  <si>
    <t>3rd</t>
  </si>
  <si>
    <t>TRANCHE_FACTOR wrong for component class.Data not captured - OTHER_INTEREST_SHORTFALL,PAYMENT_DATE,BEGIN_POOL_BALANCE,DAY_DELINQUENCIES_90_119_NEW,DAY_DELINQUENCIES_120_149_NEW,DAY_DELINQUENCIES_150_179_NEW,DAY_DELINQUENCIES_180_PLUS_NEW,CURTAILMENTS. Additional data captured END_CUTOFFDATE_DEFERRED_PRINCIPAL,END_INTEREST_BEARING_PRINCIPAL_BALANCE</t>
  </si>
  <si>
    <t>Data not captured -DAY_DELINQUENCIES_90_119_NEW,DAY_DELINQUENCIES_120_149_NEW,DAY_DELINQUENCIES_150_179_NEW,DAY_DELINQUENCIES_180_PLUS_NEW,CURTAILMENTS,WAC_RATE_BEGINNING.Additional data captured END_CUTOFFDATE_DEFERRED_PRINCIPAL,END_INTEREST_BEARING_PRINCIPAL_BALANCE</t>
  </si>
  <si>
    <t>Banc of America Funding Corporation 2006-1</t>
  </si>
  <si>
    <t>8 Digit tranche factor data captured, it should be in 10 digit, many pool field data not captured.Additional data captured END_CUTOFFDATE_DEFERRED_PRINCIPAL,END_INTEREST_BEARING_PRINCIPAL_BALANCE</t>
  </si>
  <si>
    <t>4th</t>
  </si>
  <si>
    <t>Data not captured -DAY_DELINQUENCIES_90_119_NEW,DAY_DELINQUENCIES_120_149_NEW,DAY_DELINQUENCIES_150_179_NEW,DAY_DELINQUENCIES_180_PLUS_NEW,Payment date</t>
  </si>
  <si>
    <t>Data not captured -OTHER_INTEREST_SHORTFALL,DAY_DELINQUENCIES_90_119_NEW,DAY_DELINQUENCIES_120_149_NEW,DAY_DELINQUENCIES_150_179_NEW,DAY_DELINQUENCIES_180_PLUS_NEW,Payment date</t>
  </si>
  <si>
    <t>Stanwich Mortgage Loan Trust Series 2020-11</t>
  </si>
  <si>
    <t>DAY_DELINQUENCIES_180_PLUS_NEW data wrongly captured.Data not captured -DAY_DELINQUENCIES_90_119_NEW,DAY_DELINQUENCIES_120_149_NEW,DAY_DELINQUENCIES_150_179_NEW,Payment date</t>
  </si>
  <si>
    <t>Deal_ID</t>
  </si>
  <si>
    <t>Tranche_Count (Class)</t>
  </si>
  <si>
    <t>Tranche_Total_Field_Count</t>
  </si>
  <si>
    <t>1st</t>
  </si>
  <si>
    <t>Stanwich Mortgage Loan Trust Series 2016-1</t>
  </si>
  <si>
    <t>Stanwich Mortgage Loan Trust Series 2016-4</t>
  </si>
  <si>
    <t>Deephaven Residential Mortgage Trust 2018-1</t>
  </si>
  <si>
    <t>5th</t>
  </si>
  <si>
    <t>LLM issue</t>
  </si>
  <si>
    <t>Mapping issue</t>
  </si>
  <si>
    <t>REO_180_PLUS_CNT(not found),END_INTEREST_BEARING_PRINCIPAL_BALANCE(wrongly captured)</t>
  </si>
  <si>
    <t>LLM Extraction Issues - REO_180_PLUS_CNT(not being captured in the current run However, it was successfully extracted in all previous rounds) and END_INTEREST_BEARING_PRINCIPAL_BALANCE(captured incorrectly in the current run, It was correctly extracted in Rounds 3rd and 4th)</t>
  </si>
  <si>
    <t>LLM Extraction Issues -TRANCHE_FACTOR is currently missing despite being correctly captured in the second validation round without any changes in logic.</t>
  </si>
  <si>
    <t>PREPAY_PENALTIES- should not be captured for Group 1,Group 2, Group 3</t>
  </si>
  <si>
    <t>LLM Extraction Issue: The PREPAY_PENALTIES field was extracted correctly in the previous extraction cycle. However, in the current extraction cycle, the value is being incorrectly captured as 0.00 for Group 1,Group 2, Group 3 which is not reported</t>
  </si>
  <si>
    <t xml:space="preserve">TOTAL_FEES_EXPENSES-Admin fee is included in LLM calculation(single pool file).END_CUTOFFDATE_DEFERRED_PRINCIPAL, END_INTEREST_BEARING_PRINCIPAL_BALANCE data captured as per LLM Intelligence </t>
  </si>
  <si>
    <t>LLM extraction issue : PRINCIPAL_PAYMENTS_UNSCHEDULED field was extracted correctly in the previous extraction cycle. However, in the current extraction cycle, the value is being incorrectly captured as 0.00 for class A</t>
  </si>
  <si>
    <t>MFA 2021-INV1 Trust</t>
  </si>
  <si>
    <t>OC_DEPOSIT_AMOUNT,IS_DELINQ_TRIGGER_OCCURED,IS_CUM_LOSS_TRIGGER_OCCURED,IS_DELINQ_OR_CUM_LOSS_TRIGGER_OCCURED data wrongly captured</t>
  </si>
  <si>
    <t>Data not captured -DAY_DELINQUENCIES_90_119_NEW,DAY_DELINQUENCIES_120_149_NEW,DAY_DELINQUENCIES_150_179_NEW,DAY_DELINQUENCIES_180_PLUS_NEW,</t>
  </si>
  <si>
    <t>CSMC Mortgage Backed Trusts 2020-4R</t>
  </si>
  <si>
    <t>CUM_LOSS wrongly map; TOTAL_NET_INTEREST, TOTAL_PRINCIPAL_COLLECTED should be mapped</t>
  </si>
  <si>
    <t>LLM extraction issue : OC_DEPOSIT_AMOUNT,IS_DELINQ_TRIGGER_OCCURED,IS_CUM_LOSS_TRIGGER_OCCURED,IS_DELINQ_OR_CUM_LOSS_TRIGGER_OCCURED data fields were captured correctly in 2nd round However, in the current extraction cycle, the value is being incorrectly captured</t>
  </si>
  <si>
    <t>Ajax Mortgage Loan Trust 2018-F</t>
  </si>
  <si>
    <t>Stanwich Mortgage Loan Trust Series 2019-1</t>
  </si>
  <si>
    <t>Ajax Mortgage Loan Trust 2018-G</t>
  </si>
  <si>
    <t>NOTIONAL_BALANCE wrongly map; BEGIN_POOL_BALANCE_ACTUAL, DAY_DELINQUENCIES_90_119_NEW, DAY_DELINQUENCIES_120_149_NEW, DAY_DELINQUENCIES_150_179_NEW, DAY_DELINQUENCIES_180_PLUS_NEW should be Mapped;</t>
  </si>
  <si>
    <t>END_CUTOFFDATE_DEFERRED_PRINCIPAL wrongly captured for Group 1 and Group 2,PREPAY_PENALTIES should be captured for group1, group 2. BEGIN_POOL_ACTUAL_BALANCE data field missing.Admin fee data included in the total fees exp calculation captured as per LLM logic</t>
  </si>
  <si>
    <t>NYMT Loan Trust 2020 - SP2</t>
  </si>
  <si>
    <t>TRANCHE_FACTOR--8 decimal data captured ,END_CUTOFFDATE_DEFERRED_PRINCIPAL wrongly captured for Group 1 and Group 2.Admin fee data included in the total fees exp calculation captured as per LLM logic</t>
  </si>
  <si>
    <t>Ajax Mortgage Loan Trust 2018-E</t>
  </si>
  <si>
    <t>END_CUTOFFDATE_DEFERRED_PRINCIPAL wrongly captured for Group 1 and Group 2.Admin fee data included in the total fees exp calculation captured as per LLM logic,BALANCE_OF_TOTAL_LOANS_LIQUIDATED_DURING_THE_PERIOD should not be captured for group 2 as not reported.PREPAY_PENALTIES should be captured for group1, group 2.</t>
  </si>
  <si>
    <t>Ajax Mortgage Loan Trust 2018-B</t>
  </si>
  <si>
    <t>Ajax Mortgage Loan Trust 2018-A</t>
  </si>
  <si>
    <t>This deal should be processed with previous month report, as this is incomplete report.</t>
  </si>
  <si>
    <t>NYMT Loan Trust 2021-SP1</t>
  </si>
  <si>
    <t>NYMT Loan Trust 2022-SP1</t>
  </si>
  <si>
    <t>NYMT Loan Trust 2025-INV2</t>
  </si>
  <si>
    <t>TRANCHE_FACTOR--8 decimal data captured ,TOTAL_FEES_EXPENSES,DAY_DELINQUENCIES_180_PLUS_NEW,BALANCE_OF_TOTAL_LOANS_LIQUIDATED_DURING_THE_PERIOD,END_CUTOFFDATE_DEFERRED_PRINCIPAL wrongly captured for group 1 and group 2</t>
  </si>
  <si>
    <t>CIM Trust 2020-R1</t>
  </si>
  <si>
    <t>CIM Trust 2020-R6</t>
  </si>
  <si>
    <t>CIM TRUST 2020-NR1</t>
  </si>
  <si>
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 missing.END_CUTOFFDATE_DEFERRED_PRINCIPAL,END_INTEREST_BEARING_PRINCIPAL_BALANCE additional data captured</t>
  </si>
  <si>
    <t>American Homes 4 Rent 2014-SFR3 Trust</t>
  </si>
  <si>
    <t>INTEREST_DISTRIBUTED, END_TRANCHE_BALANCE, PRINCIPAL_DISTRIBUTED, NOTIONAL_TRANCHE, TRANCHE_ORIGINAL_BALANCE, BEGINNING_TRANCHE_BALANCE fields are duplicate; INTEREST_ACCRUED_TOTAL this is a BLL field and dependency with Other fields; SERVICER_ADVANCE_OUTSTANDING_BAL, NUM_LOAN, SERVICER_ADVANCE_REIMBURSEMENT wrong map; NUM_LOANS, PREPAY_PENALITIES, SERV_FEE_OLD, CUR_MONTHLY_LOSS fields are duplicate</t>
  </si>
  <si>
    <t>American Homes 4 Rent 2014-SFR2 Trust</t>
  </si>
  <si>
    <t>Dublicate data field(NOTIONAL_TRANCHE,END_TR_BALANCE,TRANCHE_ORIGINAL_BALANCE,BEGINNING_TRANCHE_BALANCE,PRINCIPAL_DISTRIBUTION,INTEREST_DISTRIBUTION,ACCRUED_CERTIFICATE_INTEREST_REMAINING_UNPAID_DISTRIBUTABLE_CERTIFICATE_INTEREST_DISTRIBUTABLE_CERTIFICATE_INTEREST_ADJUSTMENT,PREPAY_PENALITIES). INTEREST_ACCRUED_TOTAL should not be mapped as prev. month dependency. OTHER_FEES,LOAN_CNT_UNSCHED_PRINC,PAYMENTS_OF_INTEREST_PRINCIPAL wrongly mapped. SERVICER_ADVANCE_REIMBURSEMENT data should not be captured as not reported. Credit level data wrongly captured</t>
  </si>
  <si>
    <t>Visio 2021-1R Trust</t>
  </si>
  <si>
    <t>Chase Mortgage Reference Notes 2020-CL1</t>
  </si>
  <si>
    <t>Vericrest Opportunity Loan Transferee LLC 2021-NPL7</t>
  </si>
  <si>
    <t>Pretium Trust 2021-RN2</t>
  </si>
  <si>
    <t>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</si>
  <si>
    <t>TOTAL_FEES_EXPENSES should be rectified map (LLM include FEES_TOTAL_ADMIN); INSURANCE_PREMIUM_FEES wrong map; BEGIN_POOL_BALANCE_ACTUAL, DAY_DELINQUENCIES_90_119_NEW, DAY_DELINQUENCIES_120_149_NEW, DAY_DELINQUENCIES_150_179_NEW, DAY_DELINQUENCIES_180_PLUS_NEW should be Mapped;</t>
  </si>
  <si>
    <t>TOTAL_FEES_EXPENSES should be rectified map (LLM include FEES_TOTAL_ADMIN); BEGIN_POOL_BALANCE_ACTUAL, DAY_DELINQUENCIES_90_119_NEW, DAY_DELINQUENCIES_120_149_NEW, DAY_DELINQUENCIES_150_179_NEW, DAY_DELINQUENCIES_180_PLUS_NEW should be Mapped;</t>
  </si>
  <si>
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(LLM include FEES_TOTAL_ADMIN) fields Mapping need to be updated;</t>
  </si>
  <si>
    <t>TOTAL_FEES_EXPENSES (LLM include FEES_TOTAL_ADMIN) should be rectified map; BEGIN_POOL_BALANCE_ACTUAL, DAY_DELINQUENCIES_90_119_NEW, DAY_DELINQUENCIES_120_149_NEW, DAY_DELINQUENCIES_150_179_NEW, DAY_DELINQUENCIES_180_PLUS_NEW should be Mapped;</t>
  </si>
  <si>
    <t>NOTIONAL_BALANCE Map for Class XS; 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</si>
  <si>
    <t>TOTAL_FEES_EXPENSES (LLM include FEES_TOTAL_ADMIN), WAC_RATE_BEGINNING, BEGIN_POOL_BALANCE_ACTUAL, DAY_DELINQUENCIES_90_119_NEW, DAY_DELINQUENCIES_120_149_NEW, DAY_DELINQUENCIES_150_179_NEW, DAY_DELINQUENCIES_180_PLUS_NEW should be Mapped;</t>
  </si>
  <si>
    <t>OTHER_FEES, OTHER_FEES_NEW, TOTAL_FEES_EXPENSES should be mapped; Credit name not shown; Reserve Account Target_OC map; Reserve Account OC_DEPOSIT_AMOUNT wrong map</t>
  </si>
  <si>
    <t>FEES_MASTER_SERVICING wrong map; IS_DELINQ_OR_CUM_LOSS_TRIGGER_OCCURED; INTEREST_COLLECTED, SERVICING_FEE, TOTAL_FEES_EXPENSES need to rectify map; DAY_DELINQUENCIES_90_119_NEW, DAY_DELINQUENCIES_120_149_NEW, DAY_DELINQUENCIES_150_179_NEW, DAY_DELINQUENCIES_180_PLUS_NEW should be Mapped;</t>
  </si>
  <si>
    <t>TOTAL_FEES_EXPENSES wrongly calculate also not captured group 1 and 2. PREPAY_PENALTIES should be captured for all pool.BEGIN_POOL_BALANCE_ACTUAL data field missing</t>
  </si>
  <si>
    <t>6th</t>
  </si>
  <si>
    <t>AI detected the footnote from Report as Interest Shortfall, Basic Risk Shortfall_Cur both are same consider by LLM</t>
  </si>
  <si>
    <t>ACCRETION wrong map for Class A-IO-S (1st round data is OK); BASIS_RISK_SHORTFALL_CURR delete map (same issue happened); INTEREST_COLLECTED map (1st round data extracted);</t>
  </si>
  <si>
    <t>TOTAL_FEES_EXPENSES,INTEREST_COLLECTED not captured</t>
  </si>
  <si>
    <t>PREPAY_PENALTIES- should not be captured for Group 1,Group 2, Group 3.TOTAL_FEES_EXPENSES,INTEREST_COLLECTED not captured</t>
  </si>
  <si>
    <t>END_POOL_BALANCE,BEGIN_POOL_BALANCE not captured. PRINCIPAL_PAYMENTS_UNSCHEDULED wrongly captured.</t>
  </si>
  <si>
    <t>TOTAL_FEES_EXPENSES wrongly calculate. NUM_LOANS_MODIFIED_CUR,AMT_LOANS_MODIFIED_CUR additional data captured</t>
  </si>
  <si>
    <t>L Street Securities Trust 2020-PMT1</t>
  </si>
  <si>
    <t>IS_DELINQ_TRIGGER_OCCURED,TOTAL_INVOLUNT_PREPAY_AMOUNT wrongly captured. END_POOL_BALANCE,END_POOL_BALANCE_ACTUAL should be captured</t>
  </si>
  <si>
    <t>PREPAY_PENALTIES- should not be captured for Group 1,Group 2, Group 3.</t>
  </si>
  <si>
    <t>7th</t>
  </si>
  <si>
    <t>Data Ok</t>
  </si>
  <si>
    <t xml:space="preserve">NUM_LOANS_MODIFIED_CUR,AMT_LOANS_MODIFIED_CUR additional data captured.END_POOL_BALANCE,BEGIN_POOL_BALANCE,WAC_Beg not captured. </t>
  </si>
  <si>
    <t>ACCRETION wrong map for Class A-IO-S (1st round data is OK, 2nd round data wrong), SCHEDULED_PRINCIPAL wrong map for Class A-IO-S (1st &amp; 2nd round data is OK); PRINCIPAL_PAYMENTS_UNSCHEDULED wrong map for Class A-IO-S (1st &amp; 2nd round data is OK); BASIS_RISK_SHORTFALL_CURR delete map (same issue happened); WAC_RATE_BEGINNING map (1st &amp; 2nd round data extracted);</t>
  </si>
  <si>
    <t>8th</t>
  </si>
  <si>
    <t>PREPAY_PENALTIES- should not be captured for Group 1</t>
  </si>
  <si>
    <t>ACCRETION wrong map for Class A-IO-S (1st round data is OK, 2nd &amp; 3rd round data wrong), SCHEDULED_PRINCIPAL wrong map for Class A-IO-S (1st &amp; 2nd round data is OK but 3rd round wrong map); PRINCIPAL_PAYMENTS_UNSCHEDULED wrong map for Class A-IO-S (1st &amp; 2nd round data is OK but 3rd round wrong map)</t>
  </si>
  <si>
    <t>CURTAILMENTS should be captured for Group 1</t>
  </si>
  <si>
    <t>Data Ok.NUM_LOANS_MODIFIED_CUR,AMT_LOANS_MODIFIED_CUR additional data captured as per LLM logic.</t>
  </si>
  <si>
    <t>Total_Mismatch_Count</t>
  </si>
  <si>
    <t>Total_Error_Count</t>
  </si>
  <si>
    <t>Mismatch_%</t>
  </si>
  <si>
    <t>Error_%</t>
  </si>
  <si>
    <t>Total_Data field_Count</t>
  </si>
  <si>
    <t>Validation_Checking_Time</t>
  </si>
  <si>
    <t>Final_Mismatch_Count</t>
  </si>
  <si>
    <t>Final_Error_Count</t>
  </si>
  <si>
    <t>PREPAY_PENALTIES- should not be captured for Group 1 as no data is reported</t>
  </si>
  <si>
    <t>END_POOL_BALANCE, CUM_LOSS wrongly captured</t>
  </si>
  <si>
    <t>TOTAL_NET_INTEREST,DAY_DELINQUENCIES_90_119_NEW,DAY_DELINQUENCIES_120_149_NEW,DAY_DELINQUENCIES_150_179_NEW,DAY_DELINQUENCIES_180_PLUS_NEW Wrongly captured this round(Previously captured correctly). INSURANCE_PREMIUM_FEES wrongly captured in all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</si>
</sst>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7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8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159" Type="http://schemas.openxmlformats.org/officeDocument/2006/relationships/revisionLog" Target="revisionLog159.xml"/><Relationship Id="rId170" Type="http://schemas.openxmlformats.org/officeDocument/2006/relationships/revisionLog" Target="revisionLog170.xml"/><Relationship Id="rId191" Type="http://schemas.openxmlformats.org/officeDocument/2006/relationships/revisionLog" Target="revisionLog191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53" Type="http://schemas.openxmlformats.org/officeDocument/2006/relationships/revisionLog" Target="revisionLog53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149" Type="http://schemas.openxmlformats.org/officeDocument/2006/relationships/revisionLog" Target="revisionLog149.xml"/><Relationship Id="rId5" Type="http://schemas.openxmlformats.org/officeDocument/2006/relationships/revisionLog" Target="revisionLog5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181" Type="http://schemas.openxmlformats.org/officeDocument/2006/relationships/revisionLog" Target="revisionLog181.xml"/><Relationship Id="rId22" Type="http://schemas.openxmlformats.org/officeDocument/2006/relationships/revisionLog" Target="revisionLog22.xml"/><Relationship Id="rId43" Type="http://schemas.openxmlformats.org/officeDocument/2006/relationships/revisionLog" Target="revisionLog43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139" Type="http://schemas.openxmlformats.org/officeDocument/2006/relationships/revisionLog" Target="revisionLog139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71" Type="http://schemas.openxmlformats.org/officeDocument/2006/relationships/revisionLog" Target="revisionLog171.xml"/><Relationship Id="rId192" Type="http://schemas.openxmlformats.org/officeDocument/2006/relationships/revisionLog" Target="revisionLog192.xml"/><Relationship Id="rId12" Type="http://schemas.openxmlformats.org/officeDocument/2006/relationships/revisionLog" Target="revisionLog12.xml"/><Relationship Id="rId33" Type="http://schemas.openxmlformats.org/officeDocument/2006/relationships/revisionLog" Target="revisionLog33.xml"/><Relationship Id="rId108" Type="http://schemas.openxmlformats.org/officeDocument/2006/relationships/revisionLog" Target="revisionLog108.xml"/><Relationship Id="rId129" Type="http://schemas.openxmlformats.org/officeDocument/2006/relationships/revisionLog" Target="revisionLog129.xml"/><Relationship Id="rId54" Type="http://schemas.openxmlformats.org/officeDocument/2006/relationships/revisionLog" Target="revisionLog54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40.xml"/><Relationship Id="rId161" Type="http://schemas.openxmlformats.org/officeDocument/2006/relationships/revisionLog" Target="revisionLog161.xml"/><Relationship Id="rId182" Type="http://schemas.openxmlformats.org/officeDocument/2006/relationships/revisionLog" Target="revisionLog182.xml"/><Relationship Id="rId6" Type="http://schemas.openxmlformats.org/officeDocument/2006/relationships/revisionLog" Target="revisionLog6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44" Type="http://schemas.openxmlformats.org/officeDocument/2006/relationships/revisionLog" Target="revisionLog44.xml"/><Relationship Id="rId65" Type="http://schemas.openxmlformats.org/officeDocument/2006/relationships/revisionLog" Target="revisionLog65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51" Type="http://schemas.openxmlformats.org/officeDocument/2006/relationships/revisionLog" Target="revisionLog151.xml"/><Relationship Id="rId172" Type="http://schemas.openxmlformats.org/officeDocument/2006/relationships/revisionLog" Target="revisionLog172.xml"/><Relationship Id="rId193" Type="http://schemas.openxmlformats.org/officeDocument/2006/relationships/revisionLog" Target="revisionLog193.xml"/><Relationship Id="rId13" Type="http://schemas.openxmlformats.org/officeDocument/2006/relationships/revisionLog" Target="revisionLog13.xml"/><Relationship Id="rId109" Type="http://schemas.openxmlformats.org/officeDocument/2006/relationships/revisionLog" Target="revisionLog10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141" Type="http://schemas.openxmlformats.org/officeDocument/2006/relationships/revisionLog" Target="revisionLog141.xml"/><Relationship Id="rId146" Type="http://schemas.openxmlformats.org/officeDocument/2006/relationships/revisionLog" Target="revisionLog146.xml"/><Relationship Id="rId167" Type="http://schemas.openxmlformats.org/officeDocument/2006/relationships/revisionLog" Target="revisionLog167.xml"/><Relationship Id="rId188" Type="http://schemas.openxmlformats.org/officeDocument/2006/relationships/revisionLog" Target="revisionLog188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162" Type="http://schemas.openxmlformats.org/officeDocument/2006/relationships/revisionLog" Target="revisionLog162.xml"/><Relationship Id="rId183" Type="http://schemas.openxmlformats.org/officeDocument/2006/relationships/revisionLog" Target="revisionLog183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178" Type="http://schemas.openxmlformats.org/officeDocument/2006/relationships/revisionLog" Target="revisionLog178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52" Type="http://schemas.openxmlformats.org/officeDocument/2006/relationships/revisionLog" Target="revisionLog152.xml"/><Relationship Id="rId173" Type="http://schemas.openxmlformats.org/officeDocument/2006/relationships/revisionLog" Target="revisionLog173.xml"/><Relationship Id="rId194" Type="http://schemas.openxmlformats.org/officeDocument/2006/relationships/revisionLog" Target="revisionLog194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168" Type="http://schemas.openxmlformats.org/officeDocument/2006/relationships/revisionLog" Target="revisionLog168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163" Type="http://schemas.openxmlformats.org/officeDocument/2006/relationships/revisionLog" Target="revisionLog163.xml"/><Relationship Id="rId184" Type="http://schemas.openxmlformats.org/officeDocument/2006/relationships/revisionLog" Target="revisionLog184.xml"/><Relationship Id="rId189" Type="http://schemas.openxmlformats.org/officeDocument/2006/relationships/revisionLog" Target="revisionLog189.xml"/><Relationship Id="rId3" Type="http://schemas.openxmlformats.org/officeDocument/2006/relationships/revisionLog" Target="revisionLog3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3" Type="http://schemas.openxmlformats.org/officeDocument/2006/relationships/revisionLog" Target="revisionLog153.xml"/><Relationship Id="rId174" Type="http://schemas.openxmlformats.org/officeDocument/2006/relationships/revisionLog" Target="revisionLog174.xml"/><Relationship Id="rId179" Type="http://schemas.openxmlformats.org/officeDocument/2006/relationships/revisionLog" Target="revisionLog179.xml"/><Relationship Id="rId195" Type="http://schemas.openxmlformats.org/officeDocument/2006/relationships/revisionLog" Target="revisionLog195.xml"/><Relationship Id="rId190" Type="http://schemas.openxmlformats.org/officeDocument/2006/relationships/revisionLog" Target="revisionLog190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43" Type="http://schemas.openxmlformats.org/officeDocument/2006/relationships/revisionLog" Target="revisionLog143.xml"/><Relationship Id="rId148" Type="http://schemas.openxmlformats.org/officeDocument/2006/relationships/revisionLog" Target="revisionLog148.xml"/><Relationship Id="rId164" Type="http://schemas.openxmlformats.org/officeDocument/2006/relationships/revisionLog" Target="revisionLog164.xml"/><Relationship Id="rId169" Type="http://schemas.openxmlformats.org/officeDocument/2006/relationships/revisionLog" Target="revisionLog169.xml"/><Relationship Id="rId185" Type="http://schemas.openxmlformats.org/officeDocument/2006/relationships/revisionLog" Target="revisionLog185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80" Type="http://schemas.openxmlformats.org/officeDocument/2006/relationships/revisionLog" Target="revisionLog180.xml"/><Relationship Id="rId26" Type="http://schemas.openxmlformats.org/officeDocument/2006/relationships/revisionLog" Target="revisionLog26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54" Type="http://schemas.openxmlformats.org/officeDocument/2006/relationships/revisionLog" Target="revisionLog154.xml"/><Relationship Id="rId175" Type="http://schemas.openxmlformats.org/officeDocument/2006/relationships/revisionLog" Target="revisionLog175.xml"/><Relationship Id="rId196" Type="http://schemas.openxmlformats.org/officeDocument/2006/relationships/revisionLog" Target="revisionLog196.xml"/><Relationship Id="rId16" Type="http://schemas.openxmlformats.org/officeDocument/2006/relationships/revisionLog" Target="revisionLog16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Relationship Id="rId90" Type="http://schemas.openxmlformats.org/officeDocument/2006/relationships/revisionLog" Target="revisionLog90.xml"/><Relationship Id="rId165" Type="http://schemas.openxmlformats.org/officeDocument/2006/relationships/revisionLog" Target="revisionLog165.xml"/><Relationship Id="rId186" Type="http://schemas.openxmlformats.org/officeDocument/2006/relationships/revisionLog" Target="revisionLog186.xml"/><Relationship Id="rId27" Type="http://schemas.openxmlformats.org/officeDocument/2006/relationships/revisionLog" Target="revisionLog27.xml"/><Relationship Id="rId48" Type="http://schemas.openxmlformats.org/officeDocument/2006/relationships/revisionLog" Target="revisionLog48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34" Type="http://schemas.openxmlformats.org/officeDocument/2006/relationships/revisionLog" Target="revisionLog134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55.xml"/><Relationship Id="rId176" Type="http://schemas.openxmlformats.org/officeDocument/2006/relationships/revisionLog" Target="revisionLog176.xml"/><Relationship Id="rId17" Type="http://schemas.openxmlformats.org/officeDocument/2006/relationships/revisionLog" Target="revisionLog17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24" Type="http://schemas.openxmlformats.org/officeDocument/2006/relationships/revisionLog" Target="revisionLog124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145.xml"/><Relationship Id="rId166" Type="http://schemas.openxmlformats.org/officeDocument/2006/relationships/revisionLog" Target="revisionLog166.xml"/><Relationship Id="rId187" Type="http://schemas.openxmlformats.org/officeDocument/2006/relationships/revisionLog" Target="revisionLog187.xml"/><Relationship Id="rId1" Type="http://schemas.openxmlformats.org/officeDocument/2006/relationships/revisionLog" Target="revisionLog1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56" Type="http://schemas.openxmlformats.org/officeDocument/2006/relationships/revisionLog" Target="revisionLog156.xml"/><Relationship Id="rId177" Type="http://schemas.openxmlformats.org/officeDocument/2006/relationships/revisionLog" Target="revisionLog177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3618C10-262F-47F9-9CB4-65B0B33B6A70}" diskRevisions="1" revisionId="2555" version="196">
  <header guid="{D3A6BD9B-1126-4B37-86D5-3A357F626C08}" dateTime="2026-08-20T13:37:10" maxSheetId="2" userName="Susmita Biswas" r:id="rId1">
    <sheetIdMap count="1">
      <sheetId val="1"/>
    </sheetIdMap>
  </header>
  <header guid="{891AAE4E-9CC3-4FA9-A529-D5621244006C}" dateTime="2026-08-20T14:49:39" maxSheetId="2" userName="Susmita Biswas" r:id="rId2" minRId="1" maxRId="12">
    <sheetIdMap count="1">
      <sheetId val="1"/>
    </sheetIdMap>
  </header>
  <header guid="{CECFF8D4-1F81-4513-8153-FFF7112852CB}" dateTime="2026-08-20T14:50:28" maxSheetId="2" userName="Susmita Biswas" r:id="rId3" minRId="13">
    <sheetIdMap count="1">
      <sheetId val="1"/>
    </sheetIdMap>
  </header>
  <header guid="{085288E3-12E4-48F4-BE95-890E1B700202}" dateTime="2026-08-20T14:54:54" maxSheetId="2" userName="Susmita Biswas" r:id="rId4" minRId="14">
    <sheetIdMap count="1">
      <sheetId val="1"/>
    </sheetIdMap>
  </header>
  <header guid="{05C38C26-870A-444F-B55B-71100F537899}" dateTime="2026-08-20T14:55:35" maxSheetId="2" userName="Susmita Biswas" r:id="rId5" minRId="15">
    <sheetIdMap count="1">
      <sheetId val="1"/>
    </sheetIdMap>
  </header>
  <header guid="{FEAEF8F0-6ABD-4435-84E3-E45E48E16414}" dateTime="2026-08-20T14:56:09" maxSheetId="2" userName="Susmita Biswas" r:id="rId6">
    <sheetIdMap count="1">
      <sheetId val="1"/>
    </sheetIdMap>
  </header>
  <header guid="{32580B85-007C-40F8-9959-184F0DB560B8}" dateTime="2026-08-20T14:56:36" maxSheetId="2" userName="Susmita Biswas" r:id="rId7">
    <sheetIdMap count="1">
      <sheetId val="1"/>
    </sheetIdMap>
  </header>
  <header guid="{A18C21AF-4926-421F-9C6F-B67344C19B42}" dateTime="2026-08-20T15:54:43" maxSheetId="2" userName="Susmita Biswas" r:id="rId8" minRId="16" maxRId="17">
    <sheetIdMap count="1">
      <sheetId val="1"/>
    </sheetIdMap>
  </header>
  <header guid="{0DFF410A-22AB-4441-A4D6-1D2594410727}" dateTime="2026-08-20T15:59:08" maxSheetId="2" userName="Susmita Biswas" r:id="rId9" minRId="18">
    <sheetIdMap count="1">
      <sheetId val="1"/>
    </sheetIdMap>
  </header>
  <header guid="{0C42F90E-E400-412F-B413-8EF8EB5A547F}" dateTime="2026-08-20T16:00:18" maxSheetId="2" userName="Susmita Biswas" r:id="rId10" minRId="19">
    <sheetIdMap count="1">
      <sheetId val="1"/>
    </sheetIdMap>
  </header>
  <header guid="{6C231B6C-DB10-4ECE-A41F-DACE49617B72}" dateTime="2026-08-21T13:04:09" maxSheetId="2" userName="Susmita Biswas" r:id="rId11" minRId="20" maxRId="44">
    <sheetIdMap count="1">
      <sheetId val="1"/>
    </sheetIdMap>
  </header>
  <header guid="{4423DCCB-7E49-4828-BE25-F56829ACF197}" dateTime="2026-08-21T13:21:26" maxSheetId="2" userName="Susmita Biswas" r:id="rId12" minRId="45">
    <sheetIdMap count="1">
      <sheetId val="1"/>
    </sheetIdMap>
  </header>
  <header guid="{24285B2C-E3A0-4BFD-9ABA-319AC2EC2CDC}" dateTime="2026-08-21T14:29:58" maxSheetId="2" userName="Susmita Biswas" r:id="rId13" minRId="46" maxRId="47">
    <sheetIdMap count="1">
      <sheetId val="1"/>
    </sheetIdMap>
  </header>
  <header guid="{E696F260-0DA7-4A89-B5B8-4919B5F51CA0}" dateTime="2026-08-21T15:11:28" maxSheetId="2" userName="Susmita Biswas" r:id="rId14" minRId="48" maxRId="71">
    <sheetIdMap count="1">
      <sheetId val="1"/>
    </sheetIdMap>
  </header>
  <header guid="{33297DAD-313B-4AE6-B593-B1759A8FFCD9}" dateTime="2026-08-27T12:00:40" maxSheetId="2" userName="Susmita Biswas" r:id="rId15" minRId="72" maxRId="82">
    <sheetIdMap count="1">
      <sheetId val="1"/>
    </sheetIdMap>
  </header>
  <header guid="{C37F06F4-BDFD-4F59-B8F9-6195EF60EA26}" dateTime="2026-08-27T12:02:06" maxSheetId="2" userName="Susmita Biswas" r:id="rId16" minRId="83" maxRId="95">
    <sheetIdMap count="1">
      <sheetId val="1"/>
    </sheetIdMap>
  </header>
  <header guid="{81D5547E-3A4F-4A87-8F3A-5A51BF0C4DA1}" dateTime="2026-08-27T12:02:46" maxSheetId="2" userName="Susmita Biswas" r:id="rId17" minRId="96">
    <sheetIdMap count="1">
      <sheetId val="1"/>
    </sheetIdMap>
  </header>
  <header guid="{52FBC462-7606-4E93-AD22-5587769AF9BE}" dateTime="2026-08-27T12:36:41" maxSheetId="2" userName="Susmita Biswas" r:id="rId18" minRId="97" maxRId="120">
    <sheetIdMap count="1">
      <sheetId val="1"/>
    </sheetIdMap>
  </header>
  <header guid="{068C8EAB-DE6E-4123-8935-F9CDB2BB9B21}" dateTime="2026-08-27T12:37:04" maxSheetId="2" userName="Susmita Biswas" r:id="rId19" minRId="121">
    <sheetIdMap count="1">
      <sheetId val="1"/>
    </sheetIdMap>
  </header>
  <header guid="{B2CC58D9-ED99-4726-AA7B-7EA7BE69C053}" dateTime="2026-08-27T13:08:16" maxSheetId="2" userName="Susmita Biswas" r:id="rId20">
    <sheetIdMap count="1">
      <sheetId val="1"/>
    </sheetIdMap>
  </header>
  <header guid="{32B6A1C2-F2C9-4076-99B7-03979383776A}" dateTime="2026-08-27T13:16:05" maxSheetId="2" userName="Susmita Biswas" r:id="rId21" minRId="122" maxRId="132">
    <sheetIdMap count="1">
      <sheetId val="1"/>
    </sheetIdMap>
  </header>
  <header guid="{5DF8065B-3179-47B2-8E3A-E19EACF7CAC7}" dateTime="2026-08-27T13:17:24" maxSheetId="2" userName="Susmita Biswas" r:id="rId22" minRId="133" maxRId="145">
    <sheetIdMap count="1">
      <sheetId val="1"/>
    </sheetIdMap>
  </header>
  <header guid="{519CBAEA-A30E-4102-A5E0-1B4A82BA1902}" dateTime="2026-08-27T13:19:17" maxSheetId="2" userName="Susmita Biswas" r:id="rId23" minRId="146" maxRId="147">
    <sheetIdMap count="1">
      <sheetId val="1"/>
    </sheetIdMap>
  </header>
  <header guid="{41941AD3-8FF3-417F-A872-C8A729C5516F}" dateTime="2026-08-27T13:20:04" maxSheetId="2" userName="Susmita Biswas" r:id="rId24" minRId="148">
    <sheetIdMap count="1">
      <sheetId val="1"/>
    </sheetIdMap>
  </header>
  <header guid="{425A069B-198C-4BE7-B9E7-A3A014270689}" dateTime="2026-08-27T13:24:10" maxSheetId="2" userName="Susmita Biswas" r:id="rId25" minRId="149" maxRId="176">
    <sheetIdMap count="1">
      <sheetId val="1"/>
    </sheetIdMap>
  </header>
  <header guid="{E49216CF-6718-4B36-848D-AE531E36FF1C}" dateTime="2026-08-27T13:25:00" maxSheetId="2" userName="Susmita Biswas" r:id="rId26">
    <sheetIdMap count="1">
      <sheetId val="1"/>
    </sheetIdMap>
  </header>
  <header guid="{ECA12454-6BED-47F2-9205-E070093684BA}" dateTime="2026-08-27T14:23:05" maxSheetId="2" userName="Susmita Biswas" r:id="rId27">
    <sheetIdMap count="1">
      <sheetId val="1"/>
    </sheetIdMap>
  </header>
  <header guid="{9A6BC600-BF1D-4636-85E9-56B257DE3630}" dateTime="2026-08-28T16:01:17" maxSheetId="2" userName="Biswajit Sahoo" r:id="rId28" minRId="177" maxRId="179">
    <sheetIdMap count="1">
      <sheetId val="1"/>
    </sheetIdMap>
  </header>
  <header guid="{56B502D1-8E41-4CD7-96B9-05BD71208D9A}" dateTime="2026-08-28T17:47:37" maxSheetId="2" userName="Biswajit Sahoo" r:id="rId29" minRId="180" maxRId="192">
    <sheetIdMap count="1">
      <sheetId val="1"/>
    </sheetIdMap>
  </header>
  <header guid="{9B4A2C8B-E78D-46E1-9C28-F90BB633E26F}" dateTime="2026-08-28T19:45:28" maxSheetId="2" userName="Biswajit Sahoo" r:id="rId30" minRId="193" maxRId="203">
    <sheetIdMap count="1">
      <sheetId val="1"/>
    </sheetIdMap>
  </header>
  <header guid="{A4C6D7DD-E589-483C-8BA5-39E470811934}" dateTime="2026-08-28T19:48:06" maxSheetId="2" userName="Biswajit Sahoo" r:id="rId31" minRId="204" maxRId="207">
    <sheetIdMap count="1">
      <sheetId val="1"/>
    </sheetIdMap>
  </header>
  <header guid="{12F806D2-4450-4DC1-A079-BB75AC00231E}" dateTime="2026-08-28T21:13:28" maxSheetId="2" userName="Biswajit Sahoo" r:id="rId32" minRId="208" maxRId="223">
    <sheetIdMap count="1">
      <sheetId val="1"/>
    </sheetIdMap>
  </header>
  <header guid="{A4CECD35-5154-428E-96B6-9F6A287E1829}" dateTime="2026-08-31T10:48:03" maxSheetId="2" userName="Susmita Biswas" r:id="rId33" minRId="224" maxRId="229">
    <sheetIdMap count="1">
      <sheetId val="1"/>
    </sheetIdMap>
  </header>
  <header guid="{B9827D86-6595-430F-8358-A3FDC5578C4D}" dateTime="2026-08-31T11:22:40" maxSheetId="2" userName="Susmita Biswas" r:id="rId34" minRId="230">
    <sheetIdMap count="1">
      <sheetId val="1"/>
    </sheetIdMap>
  </header>
  <header guid="{F3DA45F6-5733-47A3-B765-032DEBE2199D}" dateTime="2026-08-31T11:24:29" maxSheetId="2" userName="Susmita Biswas" r:id="rId35" minRId="231" maxRId="234">
    <sheetIdMap count="1">
      <sheetId val="1"/>
    </sheetIdMap>
  </header>
  <header guid="{B6C26927-52B0-4D88-A20E-909D1167CA13}" dateTime="2026-08-31T11:27:52" maxSheetId="2" userName="Susmita Biswas" r:id="rId36" minRId="235" maxRId="248">
    <sheetIdMap count="1">
      <sheetId val="1"/>
    </sheetIdMap>
  </header>
  <header guid="{38840676-DC6C-420B-A875-4184AAC29FBB}" dateTime="2026-08-31T11:55:19" maxSheetId="2" userName="Susmita Biswas" r:id="rId37" minRId="249" maxRId="251">
    <sheetIdMap count="1">
      <sheetId val="1"/>
    </sheetIdMap>
  </header>
  <header guid="{31C68265-9898-4D8F-BC05-E3FAF7EBA0AD}" dateTime="2026-08-31T11:59:30" maxSheetId="2" userName="Susmita Biswas" r:id="rId38" minRId="252">
    <sheetIdMap count="1">
      <sheetId val="1"/>
    </sheetIdMap>
  </header>
  <header guid="{925EBE5E-F74F-4E4E-9FCD-C0E13E740799}" dateTime="2026-08-31T12:00:14" maxSheetId="2" userName="Susmita Biswas" r:id="rId39" minRId="253" maxRId="254">
    <sheetIdMap count="1">
      <sheetId val="1"/>
    </sheetIdMap>
  </header>
  <header guid="{E23BFCD8-2C65-4ACE-8783-D655EE9A3E65}" dateTime="2026-08-31T13:15:42" maxSheetId="2" userName="Susmita Biswas" r:id="rId40" minRId="255" maxRId="268">
    <sheetIdMap count="1">
      <sheetId val="1"/>
    </sheetIdMap>
  </header>
  <header guid="{171A828D-2013-4A25-AC88-5D012C82D719}" dateTime="2026-08-31T13:18:04" maxSheetId="2" userName="Susmita Biswas" r:id="rId41" minRId="269">
    <sheetIdMap count="1">
      <sheetId val="1"/>
    </sheetIdMap>
  </header>
  <header guid="{F1890FAF-88EE-4402-A440-9C452E8A8FCA}" dateTime="2026-08-31T13:19:47" maxSheetId="2" userName="Susmita Biswas" r:id="rId42" minRId="270">
    <sheetIdMap count="1">
      <sheetId val="1"/>
    </sheetIdMap>
  </header>
  <header guid="{D46178F0-E393-4D28-8F4C-426C5B296DC8}" dateTime="2026-08-31T13:26:16" maxSheetId="2" userName="Susmita Biswas" r:id="rId43" minRId="271" maxRId="282">
    <sheetIdMap count="1">
      <sheetId val="1"/>
    </sheetIdMap>
  </header>
  <header guid="{82654DEF-1E90-4F12-9838-2A9B1189833F}" dateTime="2026-08-31T13:26:49" maxSheetId="2" userName="Susmita Biswas" r:id="rId44" minRId="283">
    <sheetIdMap count="1">
      <sheetId val="1"/>
    </sheetIdMap>
  </header>
  <header guid="{9C82177B-6BD3-44FD-A264-E25A62B83436}" dateTime="2026-08-31T13:27:53" maxSheetId="2" userName="Susmita Biswas" r:id="rId45" minRId="284" maxRId="286">
    <sheetIdMap count="1">
      <sheetId val="1"/>
    </sheetIdMap>
  </header>
  <header guid="{411415AF-9DAC-47CD-A432-B80C21088153}" dateTime="2026-08-31T15:15:23" maxSheetId="2" userName="Susmita Biswas" r:id="rId46" minRId="287" maxRId="291">
    <sheetIdMap count="1">
      <sheetId val="1"/>
    </sheetIdMap>
  </header>
  <header guid="{D75F934E-DF4C-45B3-BDF1-875A9C7316C9}" dateTime="2026-08-31T15:21:49" maxSheetId="2" userName="Susmita Biswas" r:id="rId47" minRId="292" maxRId="297">
    <sheetIdMap count="1">
      <sheetId val="1"/>
    </sheetIdMap>
  </header>
  <header guid="{DB480773-FF21-4854-BD24-54602B84A8E9}" dateTime="2026-08-31T16:01:20" maxSheetId="2" userName="Susmita Biswas" r:id="rId48" minRId="298" maxRId="313">
    <sheetIdMap count="1">
      <sheetId val="1"/>
    </sheetIdMap>
  </header>
  <header guid="{CB736570-E9B4-4F75-B89D-D2AA237C1710}" dateTime="2026-08-31T17:02:28" maxSheetId="2" userName="Susmita Biswas" r:id="rId49" minRId="314" maxRId="319">
    <sheetIdMap count="1">
      <sheetId val="1"/>
    </sheetIdMap>
  </header>
  <header guid="{82C854D3-A6CF-4249-AFDC-856FC144D7A5}" dateTime="2026-08-31T17:05:20" maxSheetId="2" userName="Susmita Biswas" r:id="rId50" minRId="320" maxRId="327">
    <sheetIdMap count="1">
      <sheetId val="1"/>
    </sheetIdMap>
  </header>
  <header guid="{9F38DA0E-1A8F-4ED6-BB85-6B02170219E3}" dateTime="2026-08-31T17:06:46" maxSheetId="2" userName="Susmita Biswas" r:id="rId51" minRId="328" maxRId="329">
    <sheetIdMap count="1">
      <sheetId val="1"/>
    </sheetIdMap>
  </header>
  <header guid="{D07B2CC7-150B-47AF-B55E-E7E220D3D77E}" dateTime="2026-08-31T17:17:47" maxSheetId="2" userName="Susmita Biswas" r:id="rId52" minRId="330">
    <sheetIdMap count="1">
      <sheetId val="1"/>
    </sheetIdMap>
  </header>
  <header guid="{9DAFE0B8-103B-4D42-A864-5902226A9492}" dateTime="2026-08-31T17:24:03" maxSheetId="2" userName="Susmita Biswas" r:id="rId53" minRId="331" maxRId="343">
    <sheetIdMap count="1">
      <sheetId val="1"/>
    </sheetIdMap>
  </header>
  <header guid="{543857C4-4E7F-4B7B-B6A8-2E68B1507E78}" dateTime="2026-08-31T17:28:41" maxSheetId="2" userName="Susmita Biswas" r:id="rId54" minRId="344" maxRId="367">
    <sheetIdMap count="1">
      <sheetId val="1"/>
    </sheetIdMap>
  </header>
  <header guid="{4EBDF73D-8AE5-43EC-8A47-F70C4C689AEB}" dateTime="2026-08-31T17:32:08" maxSheetId="2" userName="Biswajit Sahoo" r:id="rId55" minRId="368">
    <sheetIdMap count="1">
      <sheetId val="1"/>
    </sheetIdMap>
  </header>
  <header guid="{8B6630C7-8B98-4CF0-B49D-66C0B9F091BF}" dateTime="2026-08-31T17:36:08" maxSheetId="2" userName="Susmita Biswas" r:id="rId56" minRId="369">
    <sheetIdMap count="1">
      <sheetId val="1"/>
    </sheetIdMap>
  </header>
  <header guid="{2EB359E2-68FE-4564-AC9F-7EEDBC96153A}" dateTime="2026-08-31T17:48:03" maxSheetId="2" userName="Biswajit Sahoo" r:id="rId57" minRId="370" maxRId="376">
    <sheetIdMap count="1">
      <sheetId val="1"/>
    </sheetIdMap>
  </header>
  <header guid="{4C8DD8DD-F10C-4B6A-AD78-4B645041142E}" dateTime="2026-08-31T17:52:04" maxSheetId="2" userName="Susmita Biswas" r:id="rId58" minRId="377">
    <sheetIdMap count="1">
      <sheetId val="1"/>
    </sheetIdMap>
  </header>
  <header guid="{34A1E311-7354-42E8-AAC3-56C3BA11E19B}" dateTime="2026-08-31T17:53:03" maxSheetId="2" userName="Susmita Biswas" r:id="rId59" minRId="378" maxRId="380">
    <sheetIdMap count="1">
      <sheetId val="1"/>
    </sheetIdMap>
  </header>
  <header guid="{5EC25499-611E-4087-8AA9-ECB24B65A9FC}" dateTime="2026-08-31T18:07:57" maxSheetId="2" userName="Susmita Biswas" r:id="rId60" minRId="381" maxRId="385">
    <sheetIdMap count="1">
      <sheetId val="1"/>
    </sheetIdMap>
  </header>
  <header guid="{D58BDAFA-3178-4B8C-B10A-215533CDB9A2}" dateTime="2026-08-31T18:12:07" maxSheetId="2" userName="Susmita Biswas" r:id="rId61" minRId="386" maxRId="401">
    <sheetIdMap count="1">
      <sheetId val="1"/>
    </sheetIdMap>
  </header>
  <header guid="{9470B679-C611-4C11-B746-7BE50DE3953F}" dateTime="2026-08-31T19:07:59" maxSheetId="2" userName="Susmita Biswas" r:id="rId62" minRId="402" maxRId="410">
    <sheetIdMap count="1">
      <sheetId val="1"/>
    </sheetIdMap>
  </header>
  <header guid="{30DC2DF4-A6AD-4C85-B3BA-91A977FB4CA9}" dateTime="2026-08-31T19:24:33" maxSheetId="2" userName="Biswajit Sahoo" r:id="rId63" minRId="411" maxRId="416">
    <sheetIdMap count="1">
      <sheetId val="1"/>
    </sheetIdMap>
  </header>
  <header guid="{E3B7CE74-A05A-44B5-80A3-B961EBE78055}" dateTime="2026-08-31T20:00:12" maxSheetId="2" userName="Biswajit Sahoo" r:id="rId64" minRId="417" maxRId="424">
    <sheetIdMap count="1">
      <sheetId val="1"/>
    </sheetIdMap>
  </header>
  <header guid="{7DD29CB0-0BC3-421D-8BC9-FB6A96EE5A17}" dateTime="2026-08-31T20:12:03" maxSheetId="2" userName="Biswajit Sahoo" r:id="rId65" minRId="425">
    <sheetIdMap count="1">
      <sheetId val="1"/>
    </sheetIdMap>
  </header>
  <header guid="{D2C0CE66-8126-4916-8EB7-F39CC5D6A33B}" dateTime="2026-09-01T10:49:36" maxSheetId="2" userName="Susmita Biswas" r:id="rId66" minRId="426">
    <sheetIdMap count="1">
      <sheetId val="1"/>
    </sheetIdMap>
  </header>
  <header guid="{F15F83CF-2F45-47F4-992F-8C1F0FD83D1C}" dateTime="2026-09-01T11:13:32" maxSheetId="2" userName="Susmita Biswas" r:id="rId67" minRId="427">
    <sheetIdMap count="1">
      <sheetId val="1"/>
    </sheetIdMap>
  </header>
  <header guid="{8FF3B197-9028-47FF-B3B6-690668A4C1C9}" dateTime="2026-09-01T11:14:19" maxSheetId="2" userName="Susmita Biswas" r:id="rId68" minRId="428" maxRId="429">
    <sheetIdMap count="1">
      <sheetId val="1"/>
    </sheetIdMap>
  </header>
  <header guid="{753F6F46-1ADF-49CE-85A9-9B03C4462C9C}" dateTime="2026-09-01T11:16:45" maxSheetId="2" userName="Biswajit Sahoo" r:id="rId69" minRId="430" maxRId="433">
    <sheetIdMap count="1">
      <sheetId val="1"/>
    </sheetIdMap>
  </header>
  <header guid="{780E54B3-3312-4F0F-9D4E-5B2B618F4FFC}" dateTime="2026-09-01T11:17:43" maxSheetId="2" userName="Susmita Biswas" r:id="rId70" minRId="434" maxRId="436">
    <sheetIdMap count="1">
      <sheetId val="1"/>
    </sheetIdMap>
  </header>
  <header guid="{F7F2B440-8727-40EB-BA31-C35392844429}" dateTime="2026-09-01T11:18:05" maxSheetId="2" userName="Susmita Biswas" r:id="rId71" minRId="437">
    <sheetIdMap count="1">
      <sheetId val="1"/>
    </sheetIdMap>
  </header>
  <header guid="{8A7F3F50-B118-4DE1-91B0-7D3F9BD9156D}" dateTime="2026-09-01T12:09:59" maxSheetId="2" userName="Susmita Biswas" r:id="rId72" minRId="438">
    <sheetIdMap count="1">
      <sheetId val="1"/>
    </sheetIdMap>
  </header>
  <header guid="{D046861D-60B6-485F-8CCD-866BBFECA415}" dateTime="2026-09-01T12:10:17" maxSheetId="2" userName="Susmita Biswas" r:id="rId73" minRId="439">
    <sheetIdMap count="1">
      <sheetId val="1"/>
    </sheetIdMap>
  </header>
  <header guid="{0D89C852-82B3-4032-8494-DEAF7D08DF90}" dateTime="2026-09-01T12:15:54" maxSheetId="2" userName="Biswajit Sahoo" r:id="rId74" minRId="440" maxRId="448">
    <sheetIdMap count="1">
      <sheetId val="1"/>
    </sheetIdMap>
  </header>
  <header guid="{2C401EFB-CCFC-456A-A4C1-64187CD7B493}" dateTime="2026-09-01T12:16:21" maxSheetId="2" userName="Biswajit Sahoo" r:id="rId75" minRId="449" maxRId="451">
    <sheetIdMap count="1">
      <sheetId val="1"/>
    </sheetIdMap>
  </header>
  <header guid="{449DF4A0-8093-4184-97CE-7CB887C28E36}" dateTime="2026-09-01T12:17:49" maxSheetId="2" userName="Susmita Biswas" r:id="rId76" minRId="452" maxRId="455">
    <sheetIdMap count="1">
      <sheetId val="1"/>
    </sheetIdMap>
  </header>
  <header guid="{4A1F58A7-6F7A-4226-BD4F-257C032721CA}" dateTime="2026-09-01T12:19:08" maxSheetId="2" userName="Susmita Biswas" r:id="rId77" minRId="456" maxRId="459">
    <sheetIdMap count="1">
      <sheetId val="1"/>
    </sheetIdMap>
  </header>
  <header guid="{029B8B60-15B7-4729-A38E-9EB0C9F4DBBF}" dateTime="2026-09-01T12:23:50" maxSheetId="2" userName="Susmita Biswas" r:id="rId78" minRId="460" maxRId="478">
    <sheetIdMap count="1">
      <sheetId val="1"/>
    </sheetIdMap>
  </header>
  <header guid="{65D86C92-5DAE-4005-A271-3B987DF76411}" dateTime="2026-09-01T12:28:15" maxSheetId="2" userName="Susmita Biswas" r:id="rId79" minRId="479" maxRId="481">
    <sheetIdMap count="1">
      <sheetId val="1"/>
    </sheetIdMap>
  </header>
  <header guid="{833B4E11-7262-4947-A7D9-44E164650665}" dateTime="2026-09-01T12:28:39" maxSheetId="2" userName="Susmita Biswas" r:id="rId80">
    <sheetIdMap count="1">
      <sheetId val="1"/>
    </sheetIdMap>
  </header>
  <header guid="{9BE7A69E-E0F8-4C9D-99A6-0C10E85B1315}" dateTime="2026-09-01T12:57:57" maxSheetId="2" userName="Susmita Biswas" r:id="rId81" minRId="482">
    <sheetIdMap count="1">
      <sheetId val="1"/>
    </sheetIdMap>
  </header>
  <header guid="{1070CDC2-5B82-4FFE-AEF5-71D7CED13DF2}" dateTime="2026-09-01T12:59:28" maxSheetId="2" userName="Susmita Biswas" r:id="rId82" minRId="483" maxRId="490">
    <sheetIdMap count="1">
      <sheetId val="1"/>
    </sheetIdMap>
  </header>
  <header guid="{6C1594B5-2BB9-441D-A721-10E0FAEE26A8}" dateTime="2026-09-01T13:09:55" maxSheetId="2" userName="Susmita Biswas" r:id="rId83" minRId="491" maxRId="492">
    <sheetIdMap count="1">
      <sheetId val="1"/>
    </sheetIdMap>
  </header>
  <header guid="{42AF99F7-5009-47B3-B5DB-381A849C5AF5}" dateTime="2026-09-01T13:11:12" maxSheetId="2" userName="Susmita Biswas" r:id="rId84" minRId="493" maxRId="496">
    <sheetIdMap count="1">
      <sheetId val="1"/>
    </sheetIdMap>
  </header>
  <header guid="{300E4F0E-7A6B-4A80-A2B8-8DB7CDCD6538}" dateTime="2026-09-01T13:11:36" maxSheetId="2" userName="Susmita Biswas" r:id="rId85" minRId="497" maxRId="498">
    <sheetIdMap count="1">
      <sheetId val="1"/>
    </sheetIdMap>
  </header>
  <header guid="{BA892BA3-7664-4E3E-B50D-DFD8E4E246DD}" dateTime="2026-09-01T13:24:54" maxSheetId="2" userName="Susmita Biswas" r:id="rId86" minRId="499">
    <sheetIdMap count="1">
      <sheetId val="1"/>
    </sheetIdMap>
  </header>
  <header guid="{FD44B9E5-2902-4C57-9D59-0086408F6D29}" dateTime="2026-09-01T13:26:25" maxSheetId="2" userName="Susmita Biswas" r:id="rId87" minRId="500" maxRId="505">
    <sheetIdMap count="1">
      <sheetId val="1"/>
    </sheetIdMap>
  </header>
  <header guid="{30BA6560-A4D9-404E-8259-4ADBC842A483}" dateTime="2026-09-01T13:33:33" maxSheetId="2" userName="Biswajit Sahoo" r:id="rId88" minRId="506" maxRId="517">
    <sheetIdMap count="1">
      <sheetId val="1"/>
    </sheetIdMap>
  </header>
  <header guid="{C7A5AEC2-BBCB-4CA5-ACF2-4C47744A01F3}" dateTime="2026-09-01T13:34:36" maxSheetId="2" userName="Biswajit Sahoo" r:id="rId89" minRId="518" maxRId="520">
    <sheetIdMap count="1">
      <sheetId val="1"/>
    </sheetIdMap>
  </header>
  <header guid="{566FD92A-013F-460C-911C-366FAFBBBF49}" dateTime="2026-09-01T13:35:31" maxSheetId="2" userName="Biswajit Sahoo" r:id="rId90" minRId="521" maxRId="523">
    <sheetIdMap count="1">
      <sheetId val="1"/>
    </sheetIdMap>
  </header>
  <header guid="{2BD871B0-11B9-4379-A351-9FD4FF6EC47F}" dateTime="2026-09-01T15:25:51" maxSheetId="2" userName="Susmita Biswas" r:id="rId91" minRId="524" maxRId="531">
    <sheetIdMap count="1">
      <sheetId val="1"/>
    </sheetIdMap>
  </header>
  <header guid="{3CE9C7BF-ABAB-4FBC-9908-832E9A8BD9C4}" dateTime="2026-09-01T15:27:43" maxSheetId="2" userName="Susmita Biswas" r:id="rId92" minRId="532">
    <sheetIdMap count="1">
      <sheetId val="1"/>
    </sheetIdMap>
  </header>
  <header guid="{F8571479-7373-4DDE-AA7A-6798B2B74ED7}" dateTime="2026-09-01T15:28:35" maxSheetId="2" userName="Susmita Biswas" r:id="rId93">
    <sheetIdMap count="1">
      <sheetId val="1"/>
    </sheetIdMap>
  </header>
  <header guid="{FF9AC220-44F3-485E-A37D-F259F908CCDE}" dateTime="2026-09-01T16:15:07" maxSheetId="2" userName="Biswajit Sahoo" r:id="rId94" minRId="533" maxRId="545">
    <sheetIdMap count="1">
      <sheetId val="1"/>
    </sheetIdMap>
  </header>
  <header guid="{E4DE50EF-71BF-4E0C-85C6-366C8506F962}" dateTime="2026-09-01T16:24:25" maxSheetId="2" userName="Susmita Biswas" r:id="rId95" minRId="547" maxRId="567">
    <sheetIdMap count="1">
      <sheetId val="1"/>
    </sheetIdMap>
  </header>
  <header guid="{72DEAD24-B4B7-4132-8F64-CC03EE5F1DE6}" dateTime="2026-09-01T16:31:42" maxSheetId="2" userName="Susmita Biswas" r:id="rId96" minRId="568" maxRId="574">
    <sheetIdMap count="1">
      <sheetId val="1"/>
    </sheetIdMap>
  </header>
  <header guid="{7218B3B2-897F-47D6-A34E-4683E524081F}" dateTime="2026-09-01T16:32:44" maxSheetId="2" userName="Susmita Biswas" r:id="rId97" minRId="575">
    <sheetIdMap count="1">
      <sheetId val="1"/>
    </sheetIdMap>
  </header>
  <header guid="{17315E2C-E985-4C27-9313-5DB74A45B961}" dateTime="2026-09-01T16:33:27" maxSheetId="2" userName="Susmita Biswas" r:id="rId98" minRId="576" maxRId="577">
    <sheetIdMap count="1">
      <sheetId val="1"/>
    </sheetIdMap>
  </header>
  <header guid="{2B7D36F5-907E-4508-8A4B-09D513D598B9}" dateTime="2026-09-01T18:27:19" maxSheetId="2" userName="Biswajit Sahoo" r:id="rId99" minRId="578" maxRId="586">
    <sheetIdMap count="1">
      <sheetId val="1"/>
    </sheetIdMap>
  </header>
  <header guid="{19339359-92CC-47B4-9F9E-DABFC17AB0DC}" dateTime="2026-09-01T18:36:54" maxSheetId="2" userName="Susmita Biswas" r:id="rId100" minRId="588" maxRId="597">
    <sheetIdMap count="1">
      <sheetId val="1"/>
    </sheetIdMap>
  </header>
  <header guid="{E4D902FA-7F3B-46E5-A9AD-99FE22E61F8A}" dateTime="2026-09-01T18:37:47" maxSheetId="2" userName="Susmita Biswas" r:id="rId101" minRId="598" maxRId="599">
    <sheetIdMap count="1">
      <sheetId val="1"/>
    </sheetIdMap>
  </header>
  <header guid="{EA98FAD6-28C9-42D1-8A5D-21444F9B54E1}" dateTime="2026-09-01T18:43:24" maxSheetId="2" userName="Susmita Biswas" r:id="rId102" minRId="601" maxRId="604">
    <sheetIdMap count="1">
      <sheetId val="1"/>
    </sheetIdMap>
  </header>
  <header guid="{38FA3B25-0705-42BD-9DA1-80819C265FD0}" dateTime="2026-09-01T18:45:32" maxSheetId="2" userName="Susmita Biswas" r:id="rId103" minRId="605" maxRId="615">
    <sheetIdMap count="1">
      <sheetId val="1"/>
    </sheetIdMap>
  </header>
  <header guid="{D071596D-B4FE-4D4A-BC4A-B6C46083AEC9}" dateTime="2026-09-02T10:51:49" maxSheetId="2" userName="Biswajit Sahoo" r:id="rId104" minRId="616" maxRId="630">
    <sheetIdMap count="1">
      <sheetId val="1"/>
    </sheetIdMap>
  </header>
  <header guid="{1B8F92F3-A8FD-4C0C-9B07-06E018DA8BB3}" dateTime="2026-09-02T10:55:34" maxSheetId="2" userName="Biswajit Sahoo" r:id="rId105" minRId="631" maxRId="637">
    <sheetIdMap count="1">
      <sheetId val="1"/>
    </sheetIdMap>
  </header>
  <header guid="{138DAA58-B511-4AF2-9D31-492A893E305E}" dateTime="2026-09-02T11:02:43" maxSheetId="2" userName="Biswajit Sahoo" r:id="rId106" minRId="638" maxRId="640">
    <sheetIdMap count="1">
      <sheetId val="1"/>
    </sheetIdMap>
  </header>
  <header guid="{C105FD25-BB6F-4000-B453-4DB70EEC0D6C}" dateTime="2026-09-02T11:11:47" maxSheetId="2" userName="Biswajit Sahoo" r:id="rId107" minRId="641" maxRId="654">
    <sheetIdMap count="1">
      <sheetId val="1"/>
    </sheetIdMap>
  </header>
  <header guid="{5170B517-1A97-427F-9B1E-DA625A7E6269}" dateTime="2026-09-02T11:16:52" maxSheetId="2" userName="Biswajit Sahoo" r:id="rId108" minRId="655" maxRId="668">
    <sheetIdMap count="1">
      <sheetId val="1"/>
    </sheetIdMap>
  </header>
  <header guid="{3FA8BDDB-02C3-4369-A4B8-195FE9A67AF1}" dateTime="2026-09-02T11:24:22" maxSheetId="2" userName="Biswajit Sahoo" r:id="rId109" minRId="669" maxRId="681">
    <sheetIdMap count="1">
      <sheetId val="1"/>
    </sheetIdMap>
  </header>
  <header guid="{99864798-81E1-4DF5-A524-6BD754121B6E}" dateTime="2026-09-02T11:32:30" maxSheetId="2" userName="Biswajit Sahoo" r:id="rId110" minRId="682" maxRId="694">
    <sheetIdMap count="1">
      <sheetId val="1"/>
    </sheetIdMap>
  </header>
  <header guid="{359524C4-279F-4631-AA90-F259BB9F0A8E}" dateTime="2026-09-02T11:45:20" maxSheetId="2" userName="Susmita Biswas" r:id="rId111" minRId="695" maxRId="707">
    <sheetIdMap count="1">
      <sheetId val="1"/>
    </sheetIdMap>
  </header>
  <header guid="{0F15857F-F9E7-4613-8BDD-FF652BF000FB}" dateTime="2026-09-02T11:53:05" maxSheetId="2" userName="Susmita Biswas" r:id="rId112" minRId="708">
    <sheetIdMap count="1">
      <sheetId val="1"/>
    </sheetIdMap>
  </header>
  <header guid="{D34B6DE0-3E6B-4516-B6AE-73D665E09F98}" dateTime="2026-09-02T12:38:58" maxSheetId="2" userName="Biswajit Sahoo" r:id="rId113" minRId="709" maxRId="728">
    <sheetIdMap count="1">
      <sheetId val="1"/>
    </sheetIdMap>
  </header>
  <header guid="{A59F2851-36B1-4760-A8C0-31D0B45BA9F4}" dateTime="2026-09-02T13:14:34" maxSheetId="2" userName="Biswajit Sahoo" r:id="rId114" minRId="729" maxRId="732">
    <sheetIdMap count="1">
      <sheetId val="1"/>
    </sheetIdMap>
  </header>
  <header guid="{74F0A84B-D250-45B9-B90B-151BA654BAE5}" dateTime="2026-09-02T14:16:22" maxSheetId="2" userName="Susmita Biswas" r:id="rId115" minRId="733" maxRId="744">
    <sheetIdMap count="1">
      <sheetId val="1"/>
    </sheetIdMap>
  </header>
  <header guid="{349BB497-F294-474F-A5E7-33CAC24C0235}" dateTime="2026-09-02T14:17:15" maxSheetId="2" userName="Susmita Biswas" r:id="rId116" minRId="745">
    <sheetIdMap count="1">
      <sheetId val="1"/>
    </sheetIdMap>
  </header>
  <header guid="{A49E383B-3DFD-42BE-9B5F-13BD9F68809C}" dateTime="2026-09-02T14:38:35" maxSheetId="2" userName="Susmita Biswas" r:id="rId117" minRId="746">
    <sheetIdMap count="1">
      <sheetId val="1"/>
    </sheetIdMap>
  </header>
  <header guid="{C92624FB-CC16-4C22-A2CD-D5B28C8FEC89}" dateTime="2026-09-02T14:40:19" maxSheetId="2" userName="Susmita Biswas" r:id="rId118" minRId="747" maxRId="753">
    <sheetIdMap count="1">
      <sheetId val="1"/>
    </sheetIdMap>
  </header>
  <header guid="{989A5869-8218-4885-BE27-5F34F23CF21A}" dateTime="2026-09-02T14:42:29" maxSheetId="2" userName="Susmita Biswas" r:id="rId119" minRId="754" maxRId="770">
    <sheetIdMap count="1">
      <sheetId val="1"/>
    </sheetIdMap>
  </header>
  <header guid="{7D87A112-A3FF-4C70-89A4-ACB9DBA3D8DB}" dateTime="2026-09-02T14:44:01" maxSheetId="2" userName="Susmita Biswas" r:id="rId120" minRId="771" maxRId="782">
    <sheetIdMap count="1">
      <sheetId val="1"/>
    </sheetIdMap>
  </header>
  <header guid="{7804ABDD-B0F2-4E9D-9755-3514A3F18448}" dateTime="2026-09-02T14:45:37" maxSheetId="2" userName="Susmita Biswas" r:id="rId121" minRId="783">
    <sheetIdMap count="1">
      <sheetId val="1"/>
    </sheetIdMap>
  </header>
  <header guid="{2552DEA0-A0D7-4B8B-98F0-9BDA5927AA48}" dateTime="2026-09-02T15:05:57" maxSheetId="2" userName="Susmita Biswas" r:id="rId122" minRId="784">
    <sheetIdMap count="1">
      <sheetId val="1"/>
    </sheetIdMap>
  </header>
  <header guid="{1E14082C-BA64-4B15-BF75-FAF70AB9E96E}" dateTime="2026-09-02T15:07:09" maxSheetId="2" userName="Susmita Biswas" r:id="rId123" minRId="785" maxRId="787">
    <sheetIdMap count="1">
      <sheetId val="1"/>
    </sheetIdMap>
  </header>
  <header guid="{39E72841-DBFB-4CDF-A2C7-1FE5DB587460}" dateTime="2026-09-02T15:12:54" maxSheetId="2" userName="Susmita Biswas" r:id="rId124" minRId="788" maxRId="794">
    <sheetIdMap count="1">
      <sheetId val="1"/>
    </sheetIdMap>
  </header>
  <header guid="{0BC380F3-ACFB-491A-BABE-F46B1D8411BB}" dateTime="2026-09-02T15:20:29" maxSheetId="2" userName="Susmita Biswas" r:id="rId125" minRId="795">
    <sheetIdMap count="1">
      <sheetId val="1"/>
    </sheetIdMap>
  </header>
  <header guid="{59B6C36D-FBB1-4C7E-83EF-6FC1C26D920F}" dateTime="2026-09-02T15:22:40" maxSheetId="2" userName="Susmita Biswas" r:id="rId126" minRId="796">
    <sheetIdMap count="1">
      <sheetId val="1"/>
    </sheetIdMap>
  </header>
  <header guid="{E3645F5E-48DF-41FE-8339-F397E6371442}" dateTime="2026-09-02T15:31:02" maxSheetId="2" userName="Susmita Biswas" r:id="rId127" minRId="797" maxRId="814">
    <sheetIdMap count="1">
      <sheetId val="1"/>
    </sheetIdMap>
  </header>
  <header guid="{BD1D1271-485B-42DD-A050-A304294EF39D}" dateTime="2026-09-02T15:50:52" maxSheetId="2" userName="Susmita Biswas" r:id="rId128" minRId="815" maxRId="835">
    <sheetIdMap count="1">
      <sheetId val="1"/>
    </sheetIdMap>
  </header>
  <header guid="{4CD6FAAD-B23E-40E3-8F54-D48A3812D936}" dateTime="2026-09-03T10:54:12" maxSheetId="2" userName="Susmita Biswas" r:id="rId129" minRId="836" maxRId="838">
    <sheetIdMap count="1">
      <sheetId val="1"/>
    </sheetIdMap>
  </header>
  <header guid="{CEC3FDCE-5371-49C4-9D77-73AE734AF78A}" dateTime="2026-09-03T10:55:21" maxSheetId="2" userName="Susmita Biswas" r:id="rId130" minRId="839" maxRId="841">
    <sheetIdMap count="1">
      <sheetId val="1"/>
    </sheetIdMap>
  </header>
  <header guid="{DAF143E0-55D6-432E-9CC5-191CDD947F2F}" dateTime="2026-09-03T10:58:57" maxSheetId="2" userName="Susmita Biswas" r:id="rId131" minRId="842" maxRId="853">
    <sheetIdMap count="1">
      <sheetId val="1"/>
    </sheetIdMap>
  </header>
  <header guid="{2EF8B71D-3969-460E-B218-056D0F13DC68}" dateTime="2026-09-03T11:01:20" maxSheetId="2" userName="Susmita Biswas" r:id="rId132" minRId="854" maxRId="857">
    <sheetIdMap count="1">
      <sheetId val="1"/>
    </sheetIdMap>
  </header>
  <header guid="{EB855846-AF08-4850-86F6-C152460506FB}" dateTime="2026-09-03T11:02:47" maxSheetId="2" userName="Susmita Biswas" r:id="rId133" minRId="859">
    <sheetIdMap count="1">
      <sheetId val="1"/>
    </sheetIdMap>
  </header>
  <header guid="{22A9B5B6-A0B0-4791-8E35-124B0032A723}" dateTime="2026-09-07T16:05:01" maxSheetId="2" userName="Susmita Biswas" r:id="rId134" minRId="860">
    <sheetIdMap count="1">
      <sheetId val="1"/>
    </sheetIdMap>
  </header>
  <header guid="{2565F350-7EA9-42AD-97EE-B186AEB4B141}" dateTime="2026-09-07T16:05:55" maxSheetId="2" userName="Susmita Biswas" r:id="rId135" minRId="861" maxRId="884">
    <sheetIdMap count="1">
      <sheetId val="1"/>
    </sheetIdMap>
  </header>
  <header guid="{F028BDF7-5599-4128-B815-1058954A08F9}" dateTime="2026-09-07T16:07:16" maxSheetId="2" userName="Susmita Biswas" r:id="rId136" minRId="885" maxRId="909">
    <sheetIdMap count="1">
      <sheetId val="1"/>
    </sheetIdMap>
  </header>
  <header guid="{B8BB61D6-7F96-483C-A51E-A78BE0D214FC}" dateTime="2026-09-07T16:16:15" maxSheetId="2" userName="Susmita Biswas" r:id="rId137" minRId="910" maxRId="934">
    <sheetIdMap count="1">
      <sheetId val="1"/>
    </sheetIdMap>
  </header>
  <header guid="{282F0C67-717A-46B7-AA37-C7FA7197B8D5}" dateTime="2026-09-07T16:32:44" maxSheetId="2" userName="Susmita Biswas" r:id="rId138" minRId="936" maxRId="960">
    <sheetIdMap count="1">
      <sheetId val="1"/>
    </sheetIdMap>
  </header>
  <header guid="{C7AF14DE-094A-443F-B6F7-C7D4B2C140E4}" dateTime="2026-09-07T16:33:20" maxSheetId="2" userName="Susmita Biswas" r:id="rId139" minRId="961" maxRId="962">
    <sheetIdMap count="1">
      <sheetId val="1"/>
    </sheetIdMap>
  </header>
  <header guid="{CCE55DCE-72BC-475B-BA41-EEDFCF243F11}" dateTime="2026-09-07T16:35:27" maxSheetId="2" userName="Susmita Biswas" r:id="rId140" minRId="963" maxRId="966">
    <sheetIdMap count="1">
      <sheetId val="1"/>
    </sheetIdMap>
  </header>
  <header guid="{B902CC85-ED5F-45FB-B265-62ED32D41D12}" dateTime="2026-09-07T16:36:50" maxSheetId="2" userName="Susmita Biswas" r:id="rId141">
    <sheetIdMap count="1">
      <sheetId val="1"/>
    </sheetIdMap>
  </header>
  <header guid="{357B33D0-CAC7-4620-B443-E9B7300CF2E1}" dateTime="2026-09-07T17:51:49" maxSheetId="2" userName="Biswajit Sahoo" r:id="rId142" minRId="967" maxRId="988">
    <sheetIdMap count="1">
      <sheetId val="1"/>
    </sheetIdMap>
  </header>
  <header guid="{B7B70558-37AC-4CA0-BC18-A1EDE0D6A301}" dateTime="2026-09-09T11:09:26" maxSheetId="2" userName="Susmita Biswas" r:id="rId143" minRId="989" maxRId="1013">
    <sheetIdMap count="1">
      <sheetId val="1"/>
    </sheetIdMap>
  </header>
  <header guid="{D05898B2-A38D-4190-8695-88899C232DB1}" dateTime="2026-09-09T11:23:23" maxSheetId="2" userName="Biswajit Sahoo" r:id="rId144" minRId="1014" maxRId="1033">
    <sheetIdMap count="1">
      <sheetId val="1"/>
    </sheetIdMap>
  </header>
  <header guid="{BD52A444-EE23-4AB7-B780-FA26C0AAF3ED}" dateTime="2026-09-09T11:25:46" maxSheetId="2" userName="Susmita Biswas" r:id="rId145" minRId="1034" maxRId="1058">
    <sheetIdMap count="1">
      <sheetId val="1"/>
    </sheetIdMap>
  </header>
  <header guid="{D042F098-BCE9-4167-8A7F-61DEA3E72760}" dateTime="2026-09-09T11:29:13" maxSheetId="2" userName="Susmita Biswas" r:id="rId146" minRId="1059" maxRId="1061">
    <sheetIdMap count="1">
      <sheetId val="1"/>
    </sheetIdMap>
  </header>
  <header guid="{D019A2F6-18C6-4690-97CD-49D8F6E8D080}" dateTime="2026-09-09T11:29:42" maxSheetId="2" userName="Susmita Biswas" r:id="rId147" minRId="1062">
    <sheetIdMap count="1">
      <sheetId val="1"/>
    </sheetIdMap>
  </header>
  <header guid="{37FDC00B-25D8-45C7-9670-E441BDC62D5E}" dateTime="2026-09-09T11:34:57" maxSheetId="2" userName="Susmita Biswas" r:id="rId148" minRId="1063" maxRId="1087">
    <sheetIdMap count="1">
      <sheetId val="1"/>
    </sheetIdMap>
  </header>
  <header guid="{89F970C2-7E43-4395-9AAD-9C19C670BECD}" dateTime="2026-09-09T11:42:53" maxSheetId="2" userName="Susmita Biswas" r:id="rId149" minRId="1088">
    <sheetIdMap count="1">
      <sheetId val="1"/>
    </sheetIdMap>
  </header>
  <header guid="{EC3BB863-7652-4C33-A8B9-09BF4890DC3C}" dateTime="2026-09-09T11:44:57" maxSheetId="2" userName="Susmita Biswas" r:id="rId150" minRId="1089" maxRId="1138">
    <sheetIdMap count="1">
      <sheetId val="1"/>
    </sheetIdMap>
  </header>
  <header guid="{E9A8904C-C746-4886-8348-DBC2736F96C6}" dateTime="2026-09-09T15:26:01" maxSheetId="2" userName="Susmita Biswas" r:id="rId151" minRId="1139" maxRId="1423">
    <sheetIdMap count="1">
      <sheetId val="1"/>
    </sheetIdMap>
  </header>
  <header guid="{8A6CA032-C362-4556-9D30-F232A8815596}" dateTime="2026-09-09T15:26:44" maxSheetId="2" userName="Susmita Biswas" r:id="rId152" minRId="1424">
    <sheetIdMap count="1">
      <sheetId val="1"/>
    </sheetIdMap>
  </header>
  <header guid="{FE0BFEA4-A9F6-41C8-8DFE-E8B2D251BFBF}" dateTime="2026-09-09T15:41:09" maxSheetId="2" userName="Susmita Biswas" r:id="rId153" minRId="1426" maxRId="1429">
    <sheetIdMap count="1">
      <sheetId val="1"/>
    </sheetIdMap>
  </header>
  <header guid="{89210EE0-31B9-4D08-A78B-076F305D1FA0}" dateTime="2026-09-09T15:43:59" maxSheetId="4" userName="Susmita Biswas" r:id="rId154" minRId="1430" maxRId="1916">
    <sheetIdMap count="3">
      <sheetId val="1"/>
      <sheetId val="2"/>
      <sheetId val="3"/>
    </sheetIdMap>
  </header>
  <header guid="{4C72906A-8A31-47C5-8E55-4DDED91894D5}" dateTime="2026-09-09T15:44:27" maxSheetId="4" userName="Susmita Biswas" r:id="rId155" minRId="1918" maxRId="1922">
    <sheetIdMap count="3">
      <sheetId val="1"/>
      <sheetId val="2"/>
      <sheetId val="3"/>
    </sheetIdMap>
  </header>
  <header guid="{2C44D3D0-4DE6-491E-BD33-5EBD65F26342}" dateTime="2026-09-09T15:44:37" maxSheetId="4" userName="Susmita Biswas" r:id="rId156">
    <sheetIdMap count="3">
      <sheetId val="1"/>
      <sheetId val="2"/>
      <sheetId val="3"/>
    </sheetIdMap>
  </header>
  <header guid="{E9180F19-06A8-4972-B266-BA8542DA0849}" dateTime="2026-09-09T15:45:53" maxSheetId="4" userName="Susmita Biswas" r:id="rId157" minRId="1923" maxRId="1935">
    <sheetIdMap count="3">
      <sheetId val="1"/>
      <sheetId val="2"/>
      <sheetId val="3"/>
    </sheetIdMap>
  </header>
  <header guid="{6A45E64B-DC33-4857-9349-6F2235425C56}" dateTime="2026-09-09T16:31:34" maxSheetId="4" userName="Susmita Biswas" r:id="rId158" minRId="1937" maxRId="1940">
    <sheetIdMap count="3">
      <sheetId val="1"/>
      <sheetId val="2"/>
      <sheetId val="3"/>
    </sheetIdMap>
  </header>
  <header guid="{CD9ABBCF-28E4-4FE6-896B-396C4DC0BCA2}" dateTime="2026-09-09T17:00:26" maxSheetId="4" userName="Susmita Biswas" r:id="rId159" minRId="1942" maxRId="1947">
    <sheetIdMap count="3">
      <sheetId val="1"/>
      <sheetId val="2"/>
      <sheetId val="3"/>
    </sheetIdMap>
  </header>
  <header guid="{6BEE12EE-2FE3-4595-9BBF-642328D7FDAC}" dateTime="2026-09-09T17:01:36" maxSheetId="4" userName="Susmita Biswas" r:id="rId160" minRId="1949" maxRId="1953">
    <sheetIdMap count="3">
      <sheetId val="1"/>
      <sheetId val="2"/>
      <sheetId val="3"/>
    </sheetIdMap>
  </header>
  <header guid="{B369AF1B-92C4-4418-B8DA-B06CFA8A1B57}" dateTime="2026-09-09T17:04:20" maxSheetId="4" userName="Susmita Biswas" r:id="rId161" minRId="1955" maxRId="1972">
    <sheetIdMap count="3">
      <sheetId val="1"/>
      <sheetId val="2"/>
      <sheetId val="3"/>
    </sheetIdMap>
  </header>
  <header guid="{FBB287C9-3C74-4B4E-A186-08CE744148F6}" dateTime="2026-09-09T17:05:02" maxSheetId="4" userName="Susmita Biswas" r:id="rId162" minRId="1974" maxRId="1982">
    <sheetIdMap count="3">
      <sheetId val="1"/>
      <sheetId val="2"/>
      <sheetId val="3"/>
    </sheetIdMap>
  </header>
  <header guid="{B2992F74-DE43-4554-BA40-5FB11A3C8A79}" dateTime="2026-09-09T17:18:04" maxSheetId="4" userName="Susmita Biswas" r:id="rId163" minRId="1983" maxRId="1985">
    <sheetIdMap count="3">
      <sheetId val="1"/>
      <sheetId val="2"/>
      <sheetId val="3"/>
    </sheetIdMap>
  </header>
  <header guid="{F5C79AA9-8C4A-4E8F-81C2-37D947643738}" dateTime="2026-09-09T17:19:08" maxSheetId="4" userName="Susmita Biswas" r:id="rId164" minRId="1988">
    <sheetIdMap count="3">
      <sheetId val="1"/>
      <sheetId val="2"/>
      <sheetId val="3"/>
    </sheetIdMap>
  </header>
  <header guid="{E2F6A1FB-3C66-4D22-A3BC-47B9AC7A6235}" dateTime="2026-09-09T17:19:21" maxSheetId="4" userName="Susmita Biswas" r:id="rId165" minRId="1989" maxRId="1991">
    <sheetIdMap count="3">
      <sheetId val="1"/>
      <sheetId val="2"/>
      <sheetId val="3"/>
    </sheetIdMap>
  </header>
  <header guid="{524A3BB8-0103-45A2-9995-482A578B0ED8}" dateTime="2026-09-09T17:20:29" maxSheetId="4" userName="Susmita Biswas" r:id="rId166" minRId="1994">
    <sheetIdMap count="3">
      <sheetId val="1"/>
      <sheetId val="2"/>
      <sheetId val="3"/>
    </sheetIdMap>
  </header>
  <header guid="{B8FD7E40-B7C8-46F5-8E63-04923686B32F}" dateTime="2026-09-09T17:21:18" maxSheetId="4" userName="Susmita Biswas" r:id="rId167" minRId="1995" maxRId="1998">
    <sheetIdMap count="3">
      <sheetId val="1"/>
      <sheetId val="2"/>
      <sheetId val="3"/>
    </sheetIdMap>
  </header>
  <header guid="{E6D0434F-CFA4-450A-BFC3-C37A4B4A94B2}" dateTime="2026-09-09T17:21:21" maxSheetId="4" userName="Susmita Biswas" r:id="rId168" minRId="1999">
    <sheetIdMap count="3">
      <sheetId val="1"/>
      <sheetId val="2"/>
      <sheetId val="3"/>
    </sheetIdMap>
  </header>
  <header guid="{7DA04514-1221-4702-82C9-81E4BB69AEAA}" dateTime="2026-09-09T17:22:22" maxSheetId="4" userName="Susmita Biswas" r:id="rId169" minRId="2000" maxRId="2016">
    <sheetIdMap count="3">
      <sheetId val="1"/>
      <sheetId val="2"/>
      <sheetId val="3"/>
    </sheetIdMap>
  </header>
  <header guid="{21A9A069-28D9-4D9E-BA4C-EBD7397C444B}" dateTime="2026-09-09T17:23:17" maxSheetId="4" userName="Susmita Biswas" r:id="rId170" minRId="2017" maxRId="2023">
    <sheetIdMap count="3">
      <sheetId val="1"/>
      <sheetId val="2"/>
      <sheetId val="3"/>
    </sheetIdMap>
  </header>
  <header guid="{5AEFF090-88C1-471F-90D5-323299AAA805}" dateTime="2026-09-09T17:23:50" maxSheetId="4" userName="Susmita Biswas" r:id="rId171" minRId="2024" maxRId="2029">
    <sheetIdMap count="3">
      <sheetId val="1"/>
      <sheetId val="2"/>
      <sheetId val="3"/>
    </sheetIdMap>
  </header>
  <header guid="{F98BB5D2-81B8-4893-8E9D-1FE56AC4EC4E}" dateTime="2026-09-09T17:24:41" maxSheetId="4" userName="Susmita Biswas" r:id="rId172" minRId="2030" maxRId="2035">
    <sheetIdMap count="3">
      <sheetId val="1"/>
      <sheetId val="2"/>
      <sheetId val="3"/>
    </sheetIdMap>
  </header>
  <header guid="{3674CDA2-E9F6-494F-A588-8CE27915B72E}" dateTime="2026-09-09T17:25:55" maxSheetId="4" userName="Susmita Biswas" r:id="rId173" minRId="2036" maxRId="2040">
    <sheetIdMap count="3">
      <sheetId val="1"/>
      <sheetId val="2"/>
      <sheetId val="3"/>
    </sheetIdMap>
  </header>
  <header guid="{7A73CA97-1A91-490A-B03B-3F52C4936E1E}" dateTime="2026-09-09T17:26:06" maxSheetId="4" userName="Susmita Biswas" r:id="rId174" minRId="2041" maxRId="2042">
    <sheetIdMap count="3">
      <sheetId val="1"/>
      <sheetId val="2"/>
      <sheetId val="3"/>
    </sheetIdMap>
  </header>
  <header guid="{864B640A-8AC0-4457-9D3A-901FA6455DCB}" dateTime="2026-09-09T17:26:37" maxSheetId="4" userName="Susmita Biswas" r:id="rId175" minRId="2043" maxRId="2044">
    <sheetIdMap count="3">
      <sheetId val="1"/>
      <sheetId val="2"/>
      <sheetId val="3"/>
    </sheetIdMap>
  </header>
  <header guid="{A0F1E72E-5093-4FEA-B35D-F9F2536AF1E5}" dateTime="2026-09-09T17:31:39" maxSheetId="4" userName="Susmita Biswas" r:id="rId176" minRId="2045" maxRId="2052">
    <sheetIdMap count="3">
      <sheetId val="1"/>
      <sheetId val="2"/>
      <sheetId val="3"/>
    </sheetIdMap>
  </header>
  <header guid="{F229695B-D533-4DA0-AA2E-15B4C4996526}" dateTime="2026-09-09T17:31:54" maxSheetId="4" userName="Susmita Biswas" r:id="rId177" minRId="2053">
    <sheetIdMap count="3">
      <sheetId val="1"/>
      <sheetId val="2"/>
      <sheetId val="3"/>
    </sheetIdMap>
  </header>
  <header guid="{9758A158-5C0D-403F-9EC4-0F9D68AB5738}" dateTime="2026-09-09T17:33:38" maxSheetId="4" userName="Susmita Biswas" r:id="rId178" minRId="2054" maxRId="2061">
    <sheetIdMap count="3">
      <sheetId val="1"/>
      <sheetId val="2"/>
      <sheetId val="3"/>
    </sheetIdMap>
  </header>
  <header guid="{0E1E6687-E128-426B-8F12-80D2F55B39DE}" dateTime="2026-09-09T17:34:15" maxSheetId="4" userName="Susmita Biswas" r:id="rId179" minRId="2062">
    <sheetIdMap count="3">
      <sheetId val="1"/>
      <sheetId val="2"/>
      <sheetId val="3"/>
    </sheetIdMap>
  </header>
  <header guid="{F3A2D9A7-3618-4AAE-8C73-9FED926AA8D4}" dateTime="2026-09-09T17:34:27" maxSheetId="4" userName="Susmita Biswas" r:id="rId180" minRId="2063">
    <sheetIdMap count="3">
      <sheetId val="1"/>
      <sheetId val="2"/>
      <sheetId val="3"/>
    </sheetIdMap>
  </header>
  <header guid="{A3D54C2F-F966-40D2-8D55-E96C88366C01}" dateTime="2026-09-09T17:35:16" maxSheetId="4" userName="Susmita Biswas" r:id="rId181" minRId="2064" maxRId="2067">
    <sheetIdMap count="3">
      <sheetId val="1"/>
      <sheetId val="2"/>
      <sheetId val="3"/>
    </sheetIdMap>
  </header>
  <header guid="{33ACC83D-5A33-40CB-B2B4-4043E2A89315}" dateTime="2026-09-09T17:36:51" maxSheetId="4" userName="Susmita Biswas" r:id="rId182" minRId="2068" maxRId="2074">
    <sheetIdMap count="3">
      <sheetId val="1"/>
      <sheetId val="2"/>
      <sheetId val="3"/>
    </sheetIdMap>
  </header>
  <header guid="{242F591D-246D-427B-BA4A-7D19B929D9FB}" dateTime="2026-09-09T17:37:04" maxSheetId="4" userName="Susmita Biswas" r:id="rId183">
    <sheetIdMap count="3">
      <sheetId val="1"/>
      <sheetId val="2"/>
      <sheetId val="3"/>
    </sheetIdMap>
  </header>
  <header guid="{1B00188D-40F0-4941-B576-0C1C9F46D37B}" dateTime="2026-09-09T17:38:47" maxSheetId="4" userName="Susmita Biswas" r:id="rId184" minRId="2075" maxRId="2080">
    <sheetIdMap count="3">
      <sheetId val="1"/>
      <sheetId val="2"/>
      <sheetId val="3"/>
    </sheetIdMap>
  </header>
  <header guid="{8F56E9BC-A21F-4CDF-A51C-BB5153404C79}" dateTime="2026-09-09T17:39:17" maxSheetId="4" userName="Susmita Biswas" r:id="rId185" minRId="2081">
    <sheetIdMap count="3">
      <sheetId val="1"/>
      <sheetId val="2"/>
      <sheetId val="3"/>
    </sheetIdMap>
  </header>
  <header guid="{C2C3D5CD-528C-4797-A2EC-A67D0EB833CB}" dateTime="2026-09-09T17:54:27" maxSheetId="4" userName="Susmita Biswas" r:id="rId186" minRId="2082" maxRId="2121">
    <sheetIdMap count="3">
      <sheetId val="1"/>
      <sheetId val="2"/>
      <sheetId val="3"/>
    </sheetIdMap>
  </header>
  <header guid="{E83AD204-2A48-48B1-9B96-7003864DC164}" dateTime="2026-09-09T17:56:19" maxSheetId="4" userName="Susmita Biswas" r:id="rId187" minRId="2122" maxRId="2225">
    <sheetIdMap count="3">
      <sheetId val="1"/>
      <sheetId val="2"/>
      <sheetId val="3"/>
    </sheetIdMap>
  </header>
  <header guid="{FEC0148B-906D-4450-95E2-D535B388EA74}" dateTime="2026-09-09T17:57:11" maxSheetId="4" userName="Susmita Biswas" r:id="rId188" minRId="2228" maxRId="2231">
    <sheetIdMap count="3">
      <sheetId val="1"/>
      <sheetId val="2"/>
      <sheetId val="3"/>
    </sheetIdMap>
  </header>
  <header guid="{5C00E8D8-0165-438C-8123-51F7DC90D210}" dateTime="2026-09-09T18:01:02" maxSheetId="4" userName="Susmita Biswas" r:id="rId189" minRId="2232" maxRId="2306">
    <sheetIdMap count="3">
      <sheetId val="1"/>
      <sheetId val="2"/>
      <sheetId val="3"/>
    </sheetIdMap>
  </header>
  <header guid="{66467417-9CCD-4427-8BED-C2E730441CA0}" dateTime="2026-09-09T18:02:25" maxSheetId="4" userName="Susmita Biswas" r:id="rId190" minRId="2307" maxRId="2410">
    <sheetIdMap count="3">
      <sheetId val="1"/>
      <sheetId val="2"/>
      <sheetId val="3"/>
    </sheetIdMap>
  </header>
  <header guid="{957A1222-3D48-4BC9-9ADD-5E7C674235D5}" dateTime="2026-09-09T18:03:32" maxSheetId="4" userName="Susmita Biswas" r:id="rId191" minRId="2411" maxRId="2524">
    <sheetIdMap count="3">
      <sheetId val="1"/>
      <sheetId val="2"/>
      <sheetId val="3"/>
    </sheetIdMap>
  </header>
  <header guid="{FC54D15C-B95F-4721-8E82-374C47ECE1B0}" dateTime="2026-09-11T10:50:49" maxSheetId="4" userName="Susmita Biswas" r:id="rId192" minRId="2525" maxRId="2538">
    <sheetIdMap count="3">
      <sheetId val="1"/>
      <sheetId val="2"/>
      <sheetId val="3"/>
    </sheetIdMap>
  </header>
  <header guid="{94275088-BD86-4AFF-8099-89457496FD3A}" dateTime="2026-09-11T10:52:00" maxSheetId="4" userName="Susmita Biswas" r:id="rId193" minRId="2539">
    <sheetIdMap count="3">
      <sheetId val="1"/>
      <sheetId val="2"/>
      <sheetId val="3"/>
    </sheetIdMap>
  </header>
  <header guid="{D044A50B-B41C-4CCB-AAF2-F598BD5CEEAE}" dateTime="2026-09-11T10:55:04" maxSheetId="4" userName="Susmita Biswas" r:id="rId194" minRId="2540" maxRId="2553">
    <sheetIdMap count="3">
      <sheetId val="1"/>
      <sheetId val="2"/>
      <sheetId val="3"/>
    </sheetIdMap>
  </header>
  <header guid="{2A18CC97-7345-42D1-A0ED-815BA0E2F766}" dateTime="2026-09-11T10:56:09" maxSheetId="4" userName="Susmita Biswas" r:id="rId195" minRId="2554">
    <sheetIdMap count="3">
      <sheetId val="1"/>
      <sheetId val="2"/>
      <sheetId val="3"/>
    </sheetIdMap>
  </header>
  <header guid="{E3618C10-262F-47F9-9CB4-65B0B33B6A70}" dateTime="2026-09-11T10:56:27" maxSheetId="4" userName="Susmita Biswas" r:id="rId196" minRId="2555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H1:H1048576" action="insertCol"/>
  <rfmt sheetId="1" sqref="H1" start="0" length="0">
    <dxf>
      <fill>
        <patternFill>
          <bgColor theme="9" tint="0.79998168889431442"/>
        </patternFill>
      </fill>
    </dxf>
  </rfmt>
  <rfmt sheetId="1" sqref="H2" start="0" length="0">
    <dxf>
      <alignment vertical="center"/>
    </dxf>
  </rfmt>
  <rcc rId="2" sId="1">
    <nc r="H1" t="inlineStr">
      <is>
        <t>Pool_Count</t>
      </is>
    </nc>
  </rcc>
  <rcc rId="3" sId="1">
    <nc r="H2">
      <v>9</v>
    </nc>
  </rcc>
  <rrc rId="4" sId="1" ref="L1:L1048576" action="insertCol"/>
  <rfmt sheetId="1" sqref="L1" start="0" length="0">
    <dxf>
      <fill>
        <patternFill>
          <bgColor theme="9" tint="0.79998168889431442"/>
        </patternFill>
      </fill>
    </dxf>
  </rfmt>
  <rfmt sheetId="1" sqref="L2" start="0" length="0">
    <dxf>
      <alignment vertical="center"/>
    </dxf>
  </rfmt>
  <rcc rId="5" sId="1">
    <nc r="L1" t="inlineStr">
      <is>
        <t>Credit_Count</t>
      </is>
    </nc>
  </rcc>
  <rcc rId="6" sId="1">
    <nc r="L2">
      <v>0</v>
    </nc>
  </rcc>
  <rrc rId="7" sId="1" ref="P1:P1048576" action="insertCol"/>
  <rfmt sheetId="1" sqref="P1" start="0" length="0">
    <dxf>
      <fill>
        <patternFill>
          <bgColor theme="9" tint="0.79998168889431442"/>
        </patternFill>
      </fill>
    </dxf>
  </rfmt>
  <rcc rId="8" sId="1" odxf="1" dxf="1">
    <nc r="P2">
      <v>0</v>
    </nc>
    <odxf>
      <alignment vertical="top"/>
    </odxf>
    <ndxf>
      <alignment vertical="center"/>
    </ndxf>
  </rcc>
  <rcc rId="9" sId="1">
    <nc r="P1" t="inlineStr">
      <is>
        <t>Senior_Count</t>
      </is>
    </nc>
  </rcc>
  <rrc rId="10" sId="1" ref="T1:T1048576" action="insertCol"/>
  <rfmt sheetId="1" sqref="T1" start="0" length="0">
    <dxf>
      <fill>
        <patternFill>
          <bgColor theme="9" tint="0.79998168889431442"/>
        </patternFill>
      </fill>
    </dxf>
  </rfmt>
  <rcc rId="11" sId="1" odxf="1" dxf="1">
    <nc r="T2">
      <v>0</v>
    </nc>
    <odxf>
      <alignment vertical="top"/>
    </odxf>
    <ndxf>
      <alignment vertical="center"/>
    </ndxf>
  </rcc>
  <rcc rId="12" sId="1">
    <nc r="T1" t="inlineStr">
      <is>
        <t>Trigger_Count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" sId="1">
    <nc r="X1" t="inlineStr">
      <is>
        <t>Remarks</t>
      </is>
    </nc>
  </rcc>
  <rfmt sheetId="1" sqref="X1">
    <dxf>
      <fill>
        <patternFill patternType="solid">
          <bgColor theme="8" tint="0.59999389629810485"/>
        </patternFill>
      </fill>
    </dxf>
  </rfmt>
  <rfmt sheetId="1" sqref="X1" start="0" length="2147483647">
    <dxf>
      <font>
        <b/>
      </font>
    </dxf>
  </rfmt>
  <rfmt sheetId="1" sqref="X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X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X1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v guid="{1EE62E9F-0698-46CF-BB3C-23E1EBAB6664}" action="delete"/>
  <rcv guid="{1EE62E9F-0698-46CF-BB3C-23E1EBAB6664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1">
    <nc r="X2" t="inlineStr">
      <is>
        <t>OTHER_INTEREST_SHORTFALL,PAYMENT_DATE,BEGIN_POOL_BALANCE,DAY_DELINQUENCIES_90_119_NEW,DAY_DELINQUENCIES_120_149_NEW,DAY_DELINQUENCIES_150_179_NEW,DAY_DELINQUENCIES_180_PLUS_NEW,CURTAILMENTS</t>
      </is>
    </nc>
  </rcc>
  <rcv guid="{1EE62E9F-0698-46CF-BB3C-23E1EBAB6664}" action="delete"/>
  <rcv guid="{1EE62E9F-0698-46CF-BB3C-23E1EBAB6664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oc r="X2" t="inlineStr">
      <is>
        <t>OTHER_INTEREST_SHORTFALL,PAYMENT_DATE,BEGIN_POOL_BALANCE,DAY_DELINQUENCIES_90_119_NEW,DAY_DELINQUENCIES_120_149_NEW,DAY_DELINQUENCIES_150_179_NEW,DAY_DELINQUENCIES_180_PLUS_NEW,CURTAILMENTS</t>
      </is>
    </oc>
    <nc r="X2" t="inlineStr">
      <is>
        <t>Data not captured - OTHER_INTEREST_SHORTFALL,PAYMENT_DATE,BEGIN_POOL_BALANCE,DAY_DELINQUENCIES_90_119_NEW,DAY_DELINQUENCIES_120_149_NEW,DAY_DELINQUENCIES_150_179_NEW,DAY_DELINQUENCIES_180_PLUS_NEW,CURTAILMENTS</t>
      </is>
    </nc>
  </rcc>
  <rcv guid="{1EE62E9F-0698-46CF-BB3C-23E1EBAB6664}" action="delete"/>
  <rcv guid="{1EE62E9F-0698-46CF-BB3C-23E1EBAB6664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EE62E9F-0698-46CF-BB3C-23E1EBAB6664}" action="delete"/>
  <rcv guid="{1EE62E9F-0698-46CF-BB3C-23E1EBAB6664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" cell="J2" guid="{2192BF91-5D64-4E6E-8863-DAFE89548E73}" author="Susmita Biswas" newLength="28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" sId="1">
    <oc r="G2">
      <v>0</v>
    </oc>
    <nc r="G2">
      <v>1</v>
    </nc>
  </rcc>
  <rcc rId="17" sId="1">
    <oc r="X2" t="inlineStr">
      <is>
        <t>Data not captured - OTHER_INTEREST_SHORTFALL,PAYMENT_DATE,BEGIN_POOL_BALANCE,DAY_DELINQUENCIES_90_119_NEW,DAY_DELINQUENCIES_120_149_NEW,DAY_DELINQUENCIES_150_179_NEW,DAY_DELINQUENCIES_180_PLUS_NEW,CURTAILMENTS</t>
      </is>
    </oc>
    <nc r="X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" sId="1">
    <oc r="X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</t>
      </is>
    </oc>
    <nc r="X2" t="inlineStr">
      <is>
        <t>TRANCHE_FACTOR wrong for component class and also 8 digit data captured for other classes.Data not captured - OTHER_INTEREST_SHORTFALL,PAYMENT_DATE,BEGIN_POOL_BALANCE,DAY_DELINQUENCIES_90_119_NEW,DAY_DELINQUENCIES_120_149_NEW,DAY_DELINQUENCIES_150_179_NEW,DAY_DELINQUENCIES_180_PLUS_NEW,CURTAILMENTS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" sId="1">
    <oc r="X2" t="inlineStr">
      <is>
        <t>TRANCHE_FACTOR wrong for component class and also 8 digit data captured for other classes.Data not captured - OTHER_INTEREST_SHORTFALL,PAYMENT_DATE,BEGIN_POOL_BALANCE,DAY_DELINQUENCIES_90_119_NEW,DAY_DELINQUENCIES_120_149_NEW,DAY_DELINQUENCIES_150_179_NEW,DAY_DELINQUENCIES_180_PLUS_NEW,CURTAILMENTS</t>
      </is>
    </oc>
    <nc r="X2" t="inlineStr">
      <is>
        <t>TRANCHE_FACTOR wrong for component class and also 8 digit data captured for other classes instead of 10 digit.Data not captured - OTHER_INTEREST_SHORTFALL,PAYMENT_DATE,BEGIN_POOL_BALANCE,DAY_DELINQUENCIES_90_119_NEW,DAY_DELINQUENCIES_120_149_NEW,DAY_DELINQUENCIES_150_179_NEW,DAY_DELINQUENCIES_180_PLUS_NEW,CURTAILMENTS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0" sId="1" eol="1" ref="A3:XFD3" action="insertRow"/>
  <rcc rId="21" sId="1">
    <nc r="A3" t="inlineStr">
      <is>
        <t>3rd</t>
      </is>
    </nc>
  </rcc>
  <rcc rId="22" sId="1" odxf="1" dxf="1">
    <nc r="B3">
      <v>19584</v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1" odxf="1" dxf="1">
    <nc r="C3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1" odxf="1" dxf="1">
    <nc r="D3">
      <v>43</v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1">
    <nc r="E3">
      <v>21</v>
    </nc>
  </rcc>
  <rcc rId="26" sId="1">
    <nc r="F3">
      <v>0</v>
    </nc>
  </rcc>
  <rfmt sheetId="1" sqref="F3">
    <dxf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</rfmt>
  <rcc rId="27" sId="1">
    <nc r="G3">
      <v>0</v>
    </nc>
  </rcc>
  <rfmt sheetId="1" sqref="G3"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</rfmt>
  <rfmt sheetId="1" sqref="A3:XFD3">
    <dxf>
      <alignment horizontal="left"/>
    </dxf>
  </rfmt>
  <rfmt sheetId="1" sqref="A3:XFD3">
    <dxf>
      <alignment vertical="top"/>
    </dxf>
  </rfmt>
  <rfmt sheetId="1" sqref="X2:X3" start="0" length="0">
    <dxf>
      <border>
        <right style="thin">
          <color indexed="64"/>
        </right>
      </border>
    </dxf>
  </rfmt>
  <rfmt sheetId="1" sqref="E3:X3" start="0" length="0">
    <dxf>
      <border>
        <bottom style="thin">
          <color indexed="64"/>
        </bottom>
      </border>
    </dxf>
  </rfmt>
  <rcc rId="28" sId="1" odxf="1" dxf="1">
    <nc r="H3">
      <v>9</v>
    </nc>
    <odxf>
      <alignment vertical="top"/>
    </odxf>
    <ndxf>
      <alignment vertical="center"/>
    </ndxf>
  </rcc>
  <rcc rId="29" sId="1" odxf="1" dxf="1">
    <nc r="I3">
      <v>147</v>
    </nc>
    <odxf/>
    <ndxf/>
  </rcc>
  <rcc rId="30" sId="1">
    <nc r="J3">
      <v>6</v>
    </nc>
  </rcc>
  <rcc rId="31" sId="1" odxf="1" dxf="1">
    <nc r="K3">
      <v>0</v>
    </nc>
    <odxf/>
    <ndxf/>
  </rcc>
  <rcc rId="32" sId="1" odxf="1" dxf="1">
    <nc r="L3">
      <v>0</v>
    </nc>
    <odxf>
      <alignment vertical="top"/>
    </odxf>
    <ndxf>
      <alignment vertical="center"/>
    </ndxf>
  </rcc>
  <rcc rId="33" sId="1" odxf="1" dxf="1">
    <nc r="M3">
      <v>4</v>
    </nc>
    <odxf/>
    <ndxf/>
  </rcc>
  <rcc rId="34" sId="1" odxf="1" dxf="1">
    <nc r="N3">
      <v>0</v>
    </nc>
    <odxf/>
    <ndxf/>
  </rcc>
  <rcc rId="35" sId="1" odxf="1" dxf="1">
    <nc r="O3">
      <v>0</v>
    </nc>
    <odxf/>
    <ndxf/>
  </rcc>
  <rcc rId="36" sId="1" odxf="1" dxf="1">
    <nc r="P3">
      <v>0</v>
    </nc>
    <odxf>
      <alignment vertical="top"/>
    </odxf>
    <ndxf>
      <alignment vertical="center"/>
    </ndxf>
  </rcc>
  <rcc rId="37" sId="1" odxf="1" dxf="1">
    <nc r="Q3">
      <v>4</v>
    </nc>
    <odxf/>
    <ndxf/>
  </rcc>
  <rcc rId="38" sId="1" odxf="1" dxf="1">
    <nc r="R3">
      <v>0</v>
    </nc>
    <odxf/>
    <ndxf/>
  </rcc>
  <rcc rId="39" sId="1" odxf="1" dxf="1">
    <nc r="S3">
      <v>0</v>
    </nc>
    <odxf/>
    <ndxf/>
  </rcc>
  <rcc rId="40" sId="1" odxf="1" dxf="1">
    <nc r="T3">
      <v>0</v>
    </nc>
    <odxf>
      <alignment vertical="top"/>
    </odxf>
    <ndxf>
      <alignment vertical="center"/>
    </ndxf>
  </rcc>
  <rcc rId="41" sId="1" odxf="1" dxf="1">
    <nc r="U3">
      <v>5</v>
    </nc>
    <odxf/>
    <ndxf/>
  </rcc>
  <rcc rId="42" sId="1" odxf="1" dxf="1">
    <nc r="V3">
      <v>0</v>
    </nc>
    <odxf/>
    <ndxf/>
  </rcc>
  <rcc rId="43" sId="1" odxf="1" dxf="1">
    <nc r="W3">
      <v>0</v>
    </nc>
    <odxf/>
    <ndxf/>
  </rcc>
  <rfmt sheetId="1" xfDxf="1" sqref="X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>
    <nc r="X3" t="inlineStr">
      <is>
        <t xml:space="preserve">Data not captured -DAY_DELINQUENCIES_90_119_NEW,DAY_DELINQUENCIES_120_149_NEW,DAY_DELINQUENCIES_150_179_NEW,DAY_DELINQUENCIES_180_PLUS_NEW,CURTAILMENTS,WAC_RATE_BEGINNING </t>
      </is>
    </nc>
  </rcc>
  <rcmt sheetId="1" cell="J2" guid="{E1C52763-2C19-4BEE-965E-C7D8C09EF15A}" author="Susmita Biswas" oldLength="28" newLength="1"/>
  <rcmt sheetId="1" cell="J3" guid="{3D61709E-1B2D-4AD9-BEDF-F84A5512CA6B}" author="Susmita Biswas" newLength="28"/>
  <rcv guid="{1EE62E9F-0698-46CF-BB3C-23E1EBAB6664}" action="delete"/>
  <rcv guid="{1EE62E9F-0698-46CF-BB3C-23E1EBAB6664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5" sId="1">
    <oc r="X2" t="inlineStr">
      <is>
        <t>TRANCHE_FACTOR wrong for component class and also 8 digit data captured for other classes instead of 10 digit.Data not captured - OTHER_INTEREST_SHORTFALL,PAYMENT_DATE,BEGIN_POOL_BALANCE,DAY_DELINQUENCIES_90_119_NEW,DAY_DELINQUENCIES_120_149_NEW,DAY_DELINQUENCIES_150_179_NEW,DAY_DELINQUENCIES_180_PLUS_NEW,CURTAILMENTS</t>
      </is>
    </oc>
    <nc r="X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1">
    <oc r="X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</t>
      </is>
    </oc>
    <nc r="X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OTHER_INTEREST_SHORTFALL,PAYMENT_DATE,BEGIN_POOL_BALANCE,DAY_DELINQUENCIES_90_119_NEW,DAY_DELINQUENCIES_120_149_NEW,DAY_DELINQUENCIES_150_179_NEW,DAY_DELINQUENCIES_180_PLUS_NEW,CURTAILMENTS. Additional data captured END_CUTOFFDATE_DEFERRED_PRINCIPAL,END_INTEREST_BEARING_PRINCIPAL_BALANCE</t>
      </is>
    </nc>
  </rcc>
  <rcc rId="47" sId="1">
    <oc r="X3" t="inlineStr">
      <is>
        <t xml:space="preserve">Data not captured -DAY_DELINQUENCIES_90_119_NEW,DAY_DELINQUENCIES_120_149_NEW,DAY_DELINQUENCIES_150_179_NEW,DAY_DELINQUENCIES_180_PLUS_NEW,CURTAILMENTS,WAC_RATE_BEGINNING </t>
      </is>
    </oc>
    <nc r="X3" t="inlineStr">
      <is>
        <t>Data not captured -DAY_DELINQUENCIES_90_119_NEW,DAY_DELINQUENCIES_120_149_NEW,DAY_DELINQUENCIES_150_179_NEW,DAY_DELINQUENCIES_180_PLUS_NEW,CURTAILMENTS,WAC_RATE_BEGINNING.Additional data captured END_CUTOFFDATE_DEFERRED_PRINCIPAL,END_INTEREST_BEARING_PRINCIPAL_BALANCE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" sId="1" xfDxf="1" dxf="1">
    <nc r="B4">
      <v>36616</v>
    </nc>
    <ndxf>
      <alignment vertical="center" wrapText="1"/>
    </ndxf>
  </rcc>
  <rcc rId="49" sId="1" xfDxf="1" dxf="1">
    <nc r="C4" t="inlineStr">
      <is>
        <t>Banc of America Funding Corporation 2006-1</t>
      </is>
    </nc>
    <ndxf>
      <alignment vertical="center" wrapText="1"/>
    </ndxf>
  </rcc>
  <rcc rId="50" sId="1" odxf="1" dxf="1">
    <nc r="A4" t="inlineStr">
      <is>
        <t>2nd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4" start="0" length="0">
    <dxf>
      <border>
        <right style="thin">
          <color indexed="64"/>
        </right>
      </border>
    </dxf>
  </rfmt>
  <rfmt sheetId="1" sqref="A4:X4" start="0" length="0">
    <dxf>
      <border>
        <bottom style="thin">
          <color indexed="64"/>
        </bottom>
      </border>
    </dxf>
  </rfmt>
  <rfmt sheetId="1" sqref="A4:X4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51" sId="1">
    <nc r="D4">
      <v>53</v>
    </nc>
  </rcc>
  <rfmt sheetId="1" sqref="D4">
    <dxf>
      <alignment horizontal="left"/>
    </dxf>
  </rfmt>
  <rcc rId="52" sId="1">
    <nc r="E4">
      <v>21</v>
    </nc>
  </rcc>
  <rfmt sheetId="1" sqref="E4">
    <dxf>
      <alignment horizontal="left"/>
    </dxf>
  </rfmt>
  <rcc rId="53" sId="1">
    <nc r="F4">
      <v>1</v>
    </nc>
  </rcc>
  <rfmt sheetId="1" sqref="F4">
    <dxf>
      <alignment horizontal="left"/>
    </dxf>
  </rfmt>
  <rfmt sheetId="1" sqref="G4">
    <dxf>
      <alignment horizontal="left"/>
    </dxf>
  </rfmt>
  <rcc rId="54" sId="1">
    <nc r="G4">
      <v>0</v>
    </nc>
  </rcc>
  <rcc rId="55" sId="1">
    <nc r="H4">
      <v>4</v>
    </nc>
  </rcc>
  <rfmt sheetId="1" sqref="H4">
    <dxf>
      <alignment horizontal="left"/>
    </dxf>
  </rfmt>
  <rcc rId="56" sId="1" odxf="1" dxf="1">
    <nc r="I4">
      <v>147</v>
    </nc>
    <odxf>
      <alignment horizontal="general" vertical="bottom"/>
    </odxf>
    <ndxf>
      <alignment horizontal="left" vertical="top"/>
    </ndxf>
  </rcc>
  <rcc rId="57" sId="1">
    <nc r="J4">
      <v>34</v>
    </nc>
  </rcc>
  <rfmt sheetId="1" sqref="J4">
    <dxf>
      <alignment horizontal="left"/>
    </dxf>
  </rfmt>
  <rcc rId="58" sId="1">
    <nc r="K4">
      <v>0</v>
    </nc>
  </rcc>
  <rfmt sheetId="1" sqref="A4:XFD4">
    <dxf>
      <alignment horizontal="general"/>
    </dxf>
  </rfmt>
  <rfmt sheetId="1" sqref="A4:XFD4">
    <dxf>
      <alignment horizontal="left"/>
    </dxf>
  </rfmt>
  <rcc rId="59" sId="1">
    <nc r="L4">
      <v>1</v>
    </nc>
  </rcc>
  <rcc rId="60" sId="1">
    <nc r="M4">
      <v>4</v>
    </nc>
  </rcc>
  <rcc rId="61" sId="1">
    <nc r="N4">
      <v>0</v>
    </nc>
  </rcc>
  <rcc rId="62" sId="1">
    <nc r="O4">
      <v>0</v>
    </nc>
  </rcc>
  <rcc rId="63" sId="1">
    <nc r="P4">
      <v>1</v>
    </nc>
  </rcc>
  <rcc rId="64" sId="1">
    <nc r="Q4">
      <v>4</v>
    </nc>
  </rcc>
  <rcc rId="65" sId="1">
    <nc r="R4">
      <v>0</v>
    </nc>
  </rcc>
  <rcc rId="66" sId="1">
    <nc r="S4">
      <v>0</v>
    </nc>
  </rcc>
  <rcc rId="67" sId="1">
    <nc r="T4">
      <v>6</v>
    </nc>
  </rcc>
  <rcc rId="68" sId="1">
    <nc r="U4">
      <v>3</v>
    </nc>
  </rcc>
  <rcc rId="69" sId="1">
    <nc r="V4">
      <v>0</v>
    </nc>
  </rcc>
  <rcc rId="70" sId="1">
    <nc r="W4">
      <v>0</v>
    </nc>
  </rcc>
  <rcc rId="71" sId="1">
    <nc r="X4" t="inlineStr">
      <is>
        <t>8 Digit tranche factor data captured, it should be in 10 digit, many pool field data not captured.Additional data captured END_CUTOFFDATE_DEFERRED_PRINCIPAL,END_INTEREST_BEARING_PRINCIPAL_BALANCE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2" sId="1" ref="A4:XFD4" action="insertRow"/>
  <rcc rId="73" sId="1">
    <nc r="A4" t="inlineStr">
      <is>
        <t>4th</t>
      </is>
    </nc>
  </rcc>
  <rcc rId="74" sId="1">
    <nc r="B4">
      <v>19584</v>
    </nc>
  </rcc>
  <rcc rId="75" sId="1">
    <nc r="C4" t="inlineStr">
      <is>
        <t>MASTR Adjustable Rate Mortgages Trust 2004-3</t>
      </is>
    </nc>
  </rcc>
  <rcc rId="76" sId="1">
    <nc r="D4">
      <v>43</v>
    </nc>
  </rcc>
  <rcc rId="77" sId="1">
    <nc r="E4">
      <v>21</v>
    </nc>
  </rcc>
  <rcc rId="78" sId="1">
    <nc r="F4">
      <v>0</v>
    </nc>
  </rcc>
  <rcc rId="79" sId="1">
    <nc r="G4">
      <v>0</v>
    </nc>
  </rcc>
  <rcc rId="80" sId="1">
    <nc r="H4">
      <v>9</v>
    </nc>
  </rcc>
  <rcc rId="81" sId="1">
    <nc r="I4">
      <v>147</v>
    </nc>
  </rcc>
  <rcc rId="82" sId="1">
    <nc r="J4">
      <v>7</v>
    </nc>
  </rcc>
  <rcmt sheetId="1" cell="J4" guid="{70279C19-FBC9-4FD6-938F-F53E7E0976A0}" author="Susmita Biswas" newLength="28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1">
    <nc r="K4">
      <v>0</v>
    </nc>
  </rcc>
  <rcc rId="84" sId="1">
    <nc r="L4">
      <v>0</v>
    </nc>
  </rcc>
  <rcc rId="85" sId="1">
    <nc r="M4">
      <v>4</v>
    </nc>
  </rcc>
  <rcc rId="86" sId="1">
    <nc r="N4">
      <v>0</v>
    </nc>
  </rcc>
  <rcc rId="87" sId="1">
    <nc r="O4">
      <v>0</v>
    </nc>
  </rcc>
  <rcc rId="88" sId="1">
    <nc r="P4">
      <v>0</v>
    </nc>
  </rcc>
  <rcc rId="89" sId="1">
    <nc r="Q4">
      <v>4</v>
    </nc>
  </rcc>
  <rcc rId="90" sId="1">
    <nc r="R4">
      <v>0</v>
    </nc>
  </rcc>
  <rcc rId="91" sId="1">
    <nc r="S4">
      <v>0</v>
    </nc>
  </rcc>
  <rcc rId="92" sId="1">
    <nc r="T4">
      <v>0</v>
    </nc>
  </rcc>
  <rcc rId="93" sId="1">
    <nc r="U4">
      <v>5</v>
    </nc>
  </rcc>
  <rcc rId="94" sId="1">
    <nc r="V4">
      <v>0</v>
    </nc>
  </rcc>
  <rcc rId="95" sId="1">
    <nc r="W4">
      <v>0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:XFD4" start="0" length="2147483647">
    <dxf>
      <font>
        <b/>
      </font>
    </dxf>
  </rfmt>
  <rcc rId="96" sId="1">
    <nc r="X4" t="inlineStr">
      <is>
        <t>Data not captured -DAY_DELINQUENCIES_90_119_NEW,DAY_DELINQUENCIES_120_149_NEW,DAY_DELINQUENCIES_150_179_NEW,DAY_DELINQUENCIES_180_PLUS_NEW,Payment date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 odxf="1" dxf="1">
    <nc r="B6">
      <v>36616</v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C6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1" odxf="1" dxf="1">
    <nc r="A6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6" start="0" length="0">
    <dxf>
      <border>
        <right style="thin">
          <color indexed="64"/>
        </right>
      </border>
    </dxf>
  </rfmt>
  <rfmt sheetId="1" sqref="D6:X6" start="0" length="0">
    <dxf>
      <border>
        <bottom style="thin">
          <color indexed="64"/>
        </bottom>
      </border>
    </dxf>
  </rfmt>
  <rfmt sheetId="1" sqref="D6:X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00" sId="1" odxf="1" dxf="1">
    <nc r="D6">
      <v>53</v>
    </nc>
    <odxf>
      <alignment horizontal="general" vertical="bottom"/>
    </odxf>
    <ndxf>
      <alignment horizontal="left" vertical="top"/>
    </ndxf>
  </rcc>
  <rcc rId="101" sId="1" odxf="1" dxf="1">
    <nc r="E6">
      <v>21</v>
    </nc>
    <odxf>
      <alignment horizontal="general" vertical="bottom"/>
    </odxf>
    <ndxf>
      <alignment horizontal="left" vertical="top"/>
    </ndxf>
  </rcc>
  <rcc rId="102" sId="1">
    <nc r="F6">
      <v>1</v>
    </nc>
  </rcc>
  <rfmt sheetId="1" sqref="F6">
    <dxf>
      <alignment horizontal="left"/>
    </dxf>
  </rfmt>
  <rcc rId="103" sId="1">
    <nc r="G6">
      <v>0</v>
    </nc>
  </rcc>
  <rfmt sheetId="1" sqref="A1:XFD1048576">
    <dxf>
      <alignment horizontal="left"/>
    </dxf>
  </rfmt>
  <rcc rId="104" sId="1">
    <nc r="H6">
      <v>4</v>
    </nc>
  </rcc>
  <rcc rId="105" sId="1">
    <nc r="I6">
      <v>147</v>
    </nc>
  </rcc>
  <rcc rId="106" sId="1" odxf="1" dxf="1">
    <nc r="J6">
      <v>7</v>
    </nc>
    <ndxf>
      <font>
        <b/>
        <sz val="11"/>
        <color theme="1"/>
        <name val="Aptos Narrow"/>
        <family val="2"/>
        <scheme val="minor"/>
      </font>
    </ndxf>
  </rcc>
  <rcmt sheetId="1" cell="J6" guid="{00000000-0000-0000-0000-000000000000}" action="delete" author="Susmita Biswas"/>
  <rcc rId="107" sId="1">
    <nc r="K6">
      <v>0</v>
    </nc>
  </rcc>
  <rcc rId="108" sId="1">
    <nc r="L6">
      <v>1</v>
    </nc>
  </rcc>
  <rcc rId="109" sId="1">
    <nc r="M6">
      <v>4</v>
    </nc>
  </rcc>
  <rcc rId="110" sId="1">
    <nc r="N6">
      <v>0</v>
    </nc>
  </rcc>
  <rcc rId="111" sId="1">
    <nc r="O6">
      <v>0</v>
    </nc>
  </rcc>
  <rcc rId="112" sId="1">
    <nc r="P6">
      <v>1</v>
    </nc>
  </rcc>
  <rcc rId="113" sId="1">
    <nc r="Q6">
      <v>4</v>
    </nc>
  </rcc>
  <rcc rId="114" sId="1">
    <nc r="R6">
      <v>0</v>
    </nc>
  </rcc>
  <rcc rId="115" sId="1">
    <nc r="S6">
      <v>0</v>
    </nc>
  </rcc>
  <rcc rId="116" sId="1">
    <nc r="T6">
      <v>6</v>
    </nc>
  </rcc>
  <rcc rId="117" sId="1">
    <nc r="U6">
      <v>3</v>
    </nc>
  </rcc>
  <rcc rId="118" sId="1">
    <nc r="V6">
      <v>0</v>
    </nc>
  </rcc>
  <rcc rId="119" sId="1">
    <nc r="W6">
      <v>0</v>
    </nc>
  </rcc>
  <rcc rId="120" sId="1" odxf="1" dxf="1">
    <nc r="X6" t="inlineStr">
      <is>
        <t>Data not captured -DAY_DELINQUENCIES_90_119_NEW,DAY_DELINQUENCIES_120_149_NEW,DAY_DELINQUENCIES_150_179_NEW,DAY_DELINQUENCIES_180_PLUS_NEW,Payment date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mt sheetId="1" cell="J6" guid="{58485FFF-04C9-4FCE-9E89-CACAF3402AC6}" author="Susmita Biswas" newLength="28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" sId="1">
    <oc r="X6" t="inlineStr">
      <is>
        <t>Data not captured -DAY_DELINQUENCIES_90_119_NEW,DAY_DELINQUENCIES_120_149_NEW,DAY_DELINQUENCIES_150_179_NEW,DAY_DELINQUENCIES_180_PLUS_NEW,Payment date</t>
      </is>
    </oc>
    <nc r="X6" t="inlineStr">
      <is>
        <t>Data not captured -OTHER_INTEREST_SHORTFALL,DAY_DELINQUENCIES_90_119_NEW,DAY_DELINQUENCIES_120_149_NEW,DAY_DELINQUENCIES_150_179_NEW,DAY_DELINQUENCIES_180_PLUS_NEW,Payment date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6:XFD6" start="0" length="2147483647">
    <dxf>
      <font>
        <b/>
      </font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2" sId="1" eol="1" ref="A7:XFD7" action="insertRow"/>
  <rcc rId="123" sId="1" odxf="1" dxf="1">
    <nc r="A7" t="inlineStr">
      <is>
        <t>2nd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7" start="0" length="0">
    <dxf>
      <alignment horizontal="general" vertical="bottom"/>
    </dxf>
  </rfmt>
  <rfmt sheetId="1" sqref="C7" start="0" length="0">
    <dxf>
      <alignment horizontal="general" vertical="bottom"/>
    </dxf>
  </rfmt>
  <rcc rId="124" sId="1" xfDxf="1" dxf="1">
    <nc r="B7">
      <v>1010119</v>
    </nc>
    <ndxf>
      <alignment vertical="center" wrapText="1"/>
    </ndxf>
  </rcc>
  <rcc rId="125" sId="1" xfDxf="1" dxf="1">
    <nc r="C7" t="inlineStr">
      <is>
        <t>Stanwich Mortgage Loan Trust Series 2020-11</t>
      </is>
    </nc>
    <ndxf>
      <alignment vertical="center" wrapText="1"/>
    </ndxf>
  </rcc>
  <rfmt sheetId="1" sqref="D7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" sId="1">
    <nc r="D7">
      <v>2</v>
    </nc>
  </rcc>
  <rfmt sheetId="1" sqref="X7" start="0" length="0">
    <dxf>
      <border>
        <right style="thin">
          <color indexed="64"/>
        </right>
      </border>
    </dxf>
  </rfmt>
  <rfmt sheetId="1" sqref="A7:X7" start="0" length="0">
    <dxf>
      <border>
        <bottom style="thin">
          <color indexed="64"/>
        </bottom>
      </border>
    </dxf>
  </rfmt>
  <rfmt sheetId="1" sqref="A7:X7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127" sId="1">
    <nc r="E7">
      <v>21</v>
    </nc>
  </rcc>
  <rcc rId="128" sId="1">
    <nc r="F7">
      <v>0</v>
    </nc>
  </rcc>
  <rcc rId="129" sId="1">
    <nc r="G7">
      <v>0</v>
    </nc>
  </rcc>
  <rcc rId="130" sId="1">
    <nc r="H7">
      <v>1</v>
    </nc>
  </rcc>
  <rcc rId="131" sId="1" odxf="1" dxf="1">
    <nc r="I7">
      <v>147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32" sId="1">
    <nc r="J7">
      <v>6</v>
    </nc>
  </rcc>
  <rcmt sheetId="1" cell="J7" guid="{FB4D42B1-7CF4-4325-AC8B-CCBB0DE1C61F}" author="Susmita Biswas" newLength="28"/>
  <rcv guid="{1EE62E9F-0698-46CF-BB3C-23E1EBAB6664}" action="delete"/>
  <rcv guid="{1EE62E9F-0698-46CF-BB3C-23E1EBAB6664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">
    <nc r="K7">
      <v>0</v>
    </nc>
  </rcc>
  <rcc rId="134" sId="1">
    <nc r="L7">
      <v>0</v>
    </nc>
  </rcc>
  <rcc rId="135" sId="1" odxf="1" dxf="1">
    <nc r="M7">
      <v>4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36" sId="1" odxf="1" dxf="1">
    <nc r="N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37" sId="1" odxf="1" dxf="1">
    <nc r="O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38" sId="1">
    <nc r="P7">
      <v>0</v>
    </nc>
  </rcc>
  <rcc rId="139" sId="1" odxf="1" dxf="1">
    <nc r="Q7">
      <v>4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0" sId="1" odxf="1" dxf="1">
    <nc r="R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1" sId="1" odxf="1" dxf="1">
    <nc r="S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2" sId="1">
    <nc r="T7">
      <v>0</v>
    </nc>
  </rcc>
  <rcc rId="143" sId="1" odxf="1" dxf="1">
    <nc r="U7">
      <v>3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4" sId="1" odxf="1" dxf="1">
    <nc r="V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45" sId="1" odxf="1" dxf="1">
    <nc r="W7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" sId="1">
    <oc r="K7">
      <v>0</v>
    </oc>
    <nc r="K7">
      <v>1</v>
    </nc>
  </rcc>
  <rfmt sheetId="1" xfDxf="1" sqref="X7" start="0" length="0">
    <dxf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7" sId="1">
    <nc r="X7" t="inlineStr">
      <is>
        <t>DAY_DELINQUENCIES_180_PLUS_NEW data wrongly captured.Data not captured -DAY_DELINQUENCIES_90_119_NEW,DAY_DELINQUENCIES_120_149_NEW,DAY_DELINQUENCIES_150_179_NEW,Payment date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" sId="1" odxf="1" dxf="1">
    <oc r="A7" t="inlineStr">
      <is>
        <t>2nd</t>
      </is>
    </oc>
    <nc r="A7" t="inlineStr">
      <is>
        <t>3rd</t>
      </is>
    </nc>
    <odxf/>
    <ndxf/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" sId="1" odxf="1" dxf="1">
    <nc r="A8" t="inlineStr">
      <is>
        <t>3rd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" sId="1" odxf="1" dxf="1">
    <nc r="B8">
      <v>1010119</v>
    </nc>
    <odxf>
      <alignment horizontal="left" vertical="top" wrapText="0"/>
      <border outline="0">
        <left/>
        <right/>
        <top/>
        <bottom/>
      </border>
    </odxf>
    <ndxf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1" odxf="1" dxf="1">
    <nc r="C8" t="inlineStr">
      <is>
        <t>Stanwich Mortgage Loan Trust Series 2020-11</t>
      </is>
    </nc>
    <odxf>
      <alignment horizontal="left" vertical="top" wrapText="0"/>
      <border outline="0">
        <left/>
        <right/>
        <top/>
        <bottom/>
      </border>
    </odxf>
    <ndxf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" sId="1" odxf="1" dxf="1">
    <nc r="D8">
      <v>2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" sId="1" odxf="1" dxf="1">
    <nc r="E8">
      <v>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" sId="1" odxf="1" dxf="1">
    <nc r="F8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" sId="1" odxf="1" dxf="1">
    <nc r="G8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1" odxf="1" dxf="1">
    <nc r="H8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" sId="1" odxf="1" dxf="1">
    <nc r="I8">
      <v>147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" sId="1" odxf="1" dxf="1">
    <nc r="J8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" sId="1" odxf="1" dxf="1">
    <nc r="K8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" sId="1" odxf="1" dxf="1">
    <nc r="L8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" sId="1" odxf="1" dxf="1">
    <nc r="M8">
      <v>4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" sId="1" odxf="1" dxf="1">
    <nc r="N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" sId="1" odxf="1" dxf="1">
    <nc r="O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" sId="1" odxf="1" dxf="1">
    <nc r="P8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" sId="1" odxf="1" dxf="1">
    <nc r="Q8">
      <v>4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" sId="1" odxf="1" dxf="1">
    <nc r="R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" sId="1" odxf="1" dxf="1">
    <nc r="S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1" odxf="1" dxf="1">
    <nc r="T8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1" odxf="1" dxf="1">
    <nc r="U8">
      <v>3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1" odxf="1" dxf="1">
    <nc r="V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1" odxf="1" dxf="1">
    <nc r="W8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1" odxf="1" dxf="1">
    <nc r="X8" t="inlineStr">
      <is>
        <t>DAY_DELINQUENCIES_180_PLUS_NEW data wrongly captured.Data not captured -DAY_DELINQUENCIES_90_119_NEW,DAY_DELINQUENCIES_120_149_NEW,DAY_DELINQUENCIES_150_179_NEW,Payment date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1" odxf="1" dxf="1">
    <oc r="A7" t="inlineStr">
      <is>
        <t>3rd</t>
      </is>
    </oc>
    <nc r="A7" t="inlineStr">
      <is>
        <t>2nd</t>
      </is>
    </nc>
    <odxf/>
    <ndxf/>
  </rcc>
  <rcc rId="174" sId="1">
    <oc r="J7">
      <v>6</v>
    </oc>
    <nc r="J7">
      <v>7</v>
    </nc>
  </rcc>
  <rcc rId="175" sId="1">
    <oc r="K7">
      <v>1</v>
    </oc>
    <nc r="K7">
      <v>0</v>
    </nc>
  </rcc>
  <rcc rId="176" sId="1">
    <oc r="X7" t="inlineStr">
      <is>
        <t>DAY_DELINQUENCIES_180_PLUS_NEW data wrongly captured.Data not captured -DAY_DELINQUENCIES_90_119_NEW,DAY_DELINQUENCIES_120_149_NEW,DAY_DELINQUENCIES_150_179_NEW,Payment date</t>
      </is>
    </oc>
    <nc r="X7" t="inlineStr">
      <is>
        <t>Data not captured -DAY_DELINQUENCIES_90_119_NEW,DAY_DELINQUENCIES_120_149_NEW,DAY_DELINQUENCIES_150_179_NEW,DAY_DELINQUENCIES_180_PLUS_NEW,Payment date</t>
      </is>
    </nc>
  </rcc>
  <rcmt sheetId="1" cell="J8" guid="{D5232455-9984-4F67-B289-8223CE801532}" author="Susmita Biswas" newLength="28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8:XFD8" start="0" length="2147483647">
    <dxf>
      <font>
        <b/>
      </font>
    </dxf>
  </rfmt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:B1048576">
    <dxf>
      <alignment horizontal="general"/>
    </dxf>
  </rfmt>
  <rfmt sheetId="1" sqref="B1:B1048576">
    <dxf>
      <alignment horizontal="left"/>
    </dxf>
  </rfmt>
  <rfmt sheetId="1" sqref="A7:XFD7" start="0" length="2147483647">
    <dxf>
      <font>
        <b/>
      </font>
    </dxf>
  </rfmt>
  <rfmt sheetId="1" sqref="A7:XFD7" start="0" length="2147483647">
    <dxf>
      <font>
        <b val="0"/>
      </font>
    </dxf>
  </rfmt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XFD1">
    <dxf>
      <alignment horizontal="center"/>
    </dxf>
  </rfmt>
  <rfmt sheetId="1" sqref="A1:XFD1">
    <dxf>
      <alignment vertical="center"/>
    </dxf>
  </rfmt>
  <rfmt sheetId="1" sqref="A2:A8">
    <dxf>
      <alignment horizontal="center"/>
    </dxf>
  </rfmt>
  <rfmt sheetId="1" sqref="A2:A8">
    <dxf>
      <alignment vertical="center"/>
    </dxf>
  </rfmt>
  <rfmt sheetId="1" sqref="B2:B8">
    <dxf>
      <alignment horizontal="center"/>
    </dxf>
  </rfmt>
  <rfmt sheetId="1" sqref="C2:C8">
    <dxf>
      <alignment horizontal="general"/>
    </dxf>
  </rfmt>
  <rfmt sheetId="1" sqref="C2:C8">
    <dxf>
      <alignment vertical="bottom"/>
    </dxf>
  </rfmt>
  <rfmt sheetId="1" sqref="C2:C8">
    <dxf>
      <alignment horizontal="left"/>
    </dxf>
  </rfmt>
  <rfmt sheetId="1" sqref="C2:C8">
    <dxf>
      <alignment vertical="center"/>
    </dxf>
  </rfmt>
  <rfmt sheetId="1" sqref="D2:W8">
    <dxf>
      <alignment horizontal="center"/>
    </dxf>
  </rfmt>
  <rfmt sheetId="1" sqref="X2:X8">
    <dxf>
      <alignment vertical="center"/>
    </dxf>
  </rfmt>
  <rcc rId="177" sId="1">
    <oc r="B1" t="inlineStr">
      <is>
        <t>Deal_Id</t>
      </is>
    </oc>
    <nc r="B1" t="inlineStr">
      <is>
        <t>Deal_ID</t>
      </is>
    </nc>
  </rcc>
  <rcc rId="178" sId="1">
    <oc r="D1" t="inlineStr">
      <is>
        <t>Tranche_Count</t>
      </is>
    </oc>
    <nc r="D1" t="inlineStr">
      <is>
        <t>Tranche_Count (Class)</t>
      </is>
    </nc>
  </rcc>
  <rfmt sheetId="1" sqref="D1">
    <dxf>
      <alignment wrapText="1"/>
    </dxf>
  </rfmt>
  <rcc rId="179" sId="1">
    <oc r="E1" t="inlineStr">
      <is>
        <t>Tranche_Field_Count</t>
      </is>
    </oc>
    <nc r="E1" t="inlineStr">
      <is>
        <t>Tranche_Total_Field_Count</t>
      </is>
    </nc>
  </rcc>
  <rfmt sheetId="1" sqref="E1">
    <dxf>
      <alignment wrapText="1"/>
    </dxf>
  </rfmt>
  <rfmt sheetId="1" sqref="A1:XFD1">
    <dxf>
      <alignment wrapText="0"/>
    </dxf>
  </rfmt>
  <rfmt sheetId="1" sqref="A1:XFD1">
    <dxf>
      <alignment wrapText="1"/>
    </dxf>
  </rfmt>
  <rcv guid="{0AF455B7-E4E3-4C97-BF8A-2F2A5D078819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0" sId="1" eol="1" ref="A9:XFD9" action="insertRow"/>
  <rfmt sheetId="1" sqref="A1:B1048576">
    <dxf>
      <alignment horizontal="general"/>
    </dxf>
  </rfmt>
  <rfmt sheetId="1" sqref="A1:B1048576">
    <dxf>
      <alignment vertical="bottom"/>
    </dxf>
  </rfmt>
  <rfmt sheetId="1" sqref="A1:B1048576">
    <dxf>
      <alignment horizontal="center"/>
    </dxf>
  </rfmt>
  <rfmt sheetId="1" sqref="A1:B1048576">
    <dxf>
      <alignment vertical="center"/>
    </dxf>
  </rfmt>
  <rfmt sheetId="1" sqref="C1:C1048576">
    <dxf>
      <alignment horizontal="general"/>
    </dxf>
  </rfmt>
  <rfmt sheetId="1" sqref="C1:C1048576">
    <dxf>
      <alignment vertical="bottom"/>
    </dxf>
  </rfmt>
  <rfmt sheetId="1" sqref="C1:C1048576">
    <dxf>
      <alignment horizontal="center"/>
    </dxf>
  </rfmt>
  <rfmt sheetId="1" sqref="C1:C1048576">
    <dxf>
      <alignment vertical="center"/>
    </dxf>
  </rfmt>
  <rfmt sheetId="1" sqref="C1:C1048576">
    <dxf>
      <alignment horizontal="left"/>
    </dxf>
  </rfmt>
  <rfmt sheetId="1" sqref="C1">
    <dxf>
      <alignment horizontal="center"/>
    </dxf>
  </rfmt>
  <rfmt sheetId="1" sqref="D1:W1048576">
    <dxf>
      <alignment horizontal="general"/>
    </dxf>
  </rfmt>
  <rfmt sheetId="1" sqref="D1:W1048576">
    <dxf>
      <alignment vertical="bottom"/>
    </dxf>
  </rfmt>
  <rfmt sheetId="1" sqref="D1:W1048576">
    <dxf>
      <alignment horizontal="center"/>
    </dxf>
  </rfmt>
  <rfmt sheetId="1" sqref="D1:W1048576">
    <dxf>
      <alignment vertical="center"/>
    </dxf>
  </rfmt>
  <rfmt sheetId="1" sqref="X1:X1048576">
    <dxf>
      <alignment horizontal="general"/>
    </dxf>
  </rfmt>
  <rfmt sheetId="1" sqref="X1:X1048576">
    <dxf>
      <alignment horizontal="left"/>
    </dxf>
  </rfmt>
  <rfmt sheetId="1" sqref="X1:X1048576">
    <dxf>
      <alignment horizontal="center"/>
    </dxf>
  </rfmt>
  <rfmt sheetId="1" sqref="X1:X1048576">
    <dxf>
      <alignment vertical="bottom"/>
    </dxf>
  </rfmt>
  <rfmt sheetId="1" sqref="X1:X1048576">
    <dxf>
      <alignment horizontal="left"/>
    </dxf>
  </rfmt>
  <rfmt sheetId="1" sqref="X1:X1048576">
    <dxf>
      <alignment vertical="center"/>
    </dxf>
  </rfmt>
  <rfmt sheetId="1" sqref="X1">
    <dxf>
      <alignment horizontal="center"/>
    </dxf>
  </rfmt>
  <rcc rId="181" sId="1" odxf="1" dxf="1">
    <nc r="A9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1" odxf="1" dxf="1">
    <nc r="B9">
      <v>1005771</v>
    </nc>
    <n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1" odxf="1" dxf="1">
    <nc r="C9" t="inlineStr">
      <is>
        <t>Stanwich Mortgage Loan Trust Series 2016-1</t>
      </is>
    </nc>
    <n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1" odxf="1" dxf="1">
    <nc r="D9">
      <v>2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1" odxf="1" dxf="1">
    <nc r="E9">
      <v>21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1" odxf="1" dxf="1">
    <nc r="F9">
      <v>0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1" odxf="1" dxf="1">
    <nc r="G9">
      <v>0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1" odxf="1" dxf="1">
    <nc r="H9">
      <v>1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1" odxf="1" dxf="1">
    <nc r="I9">
      <v>147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1" odxf="1" dxf="1">
    <nc r="J9">
      <v>4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1" odxf="1" dxf="1">
    <nc r="K9">
      <v>2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L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" sId="1">
    <nc r="X9" t="inlineStr">
      <is>
        <t>DAY_DELINQUENCIES_90_119_NEW, DAY_DELINQUENCIES_120_149_NEW, DAY_DELINQUENCIES_150_179_NEW, DAY_DELINQUENCIES_180_PLUS_NEW should be Mapped; END_CUTOFFDATE_DEFERRED_PRINCIPAL, END_INTEREST_BEARING_PRINCIPAL_BALANCE wrongly Map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" sId="1">
    <nc r="B10">
      <v>1005773</v>
    </nc>
  </rcc>
  <rcc rId="194" sId="1">
    <nc r="C10" t="inlineStr">
      <is>
        <t>Stanwich Mortgage Loan Trust Series 2016-4</t>
      </is>
    </nc>
  </rcc>
  <rcc rId="195" sId="1" odxf="1" dxf="1">
    <nc r="A10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1">
    <nc r="D10">
      <v>2</v>
    </nc>
  </rcc>
  <rcc rId="197" sId="1" odxf="1" dxf="1">
    <nc r="E10">
      <v>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8" sId="1">
    <nc r="F10">
      <v>0</v>
    </nc>
  </rcc>
  <rcc rId="199" sId="1">
    <nc r="G10">
      <v>0</v>
    </nc>
  </rcc>
  <rcc rId="200" sId="1">
    <nc r="H10">
      <v>1</v>
    </nc>
  </rcc>
  <rcc rId="201" sId="1" odxf="1" dxf="1">
    <nc r="I10">
      <v>147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2" sId="1" odxf="1" dxf="1">
    <nc r="J10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" sId="1">
    <nc r="K10">
      <v>2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0" start="0" length="0">
    <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" start="0" length="0">
    <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" sId="1">
    <nc r="A11" t="inlineStr">
      <is>
        <t>1st</t>
      </is>
    </nc>
  </rcc>
  <rcc rId="205" sId="1" odxf="1" dxf="1">
    <nc r="B11">
      <v>1006167</v>
    </nc>
    <n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" sId="1" odxf="1" dxf="1">
    <nc r="C11" t="inlineStr">
      <is>
        <t>Deephaven Residential Mortgage Trust 2018-1</t>
      </is>
    </nc>
    <n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7" sId="1" odxf="1" dxf="1">
    <nc r="D11">
      <v>10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" sId="1">
    <nc r="E11">
      <v>21</v>
    </nc>
  </rcc>
  <rcc rId="209" sId="1">
    <nc r="F11">
      <v>2</v>
    </nc>
  </rcc>
  <rcc rId="210" sId="1">
    <nc r="G11">
      <v>2</v>
    </nc>
  </rcc>
  <rcc rId="211" sId="1">
    <nc r="H11">
      <v>1</v>
    </nc>
  </rcc>
  <rcc rId="212" sId="1">
    <nc r="I11">
      <v>147</v>
    </nc>
  </rcc>
  <rcc rId="213" sId="1">
    <oc r="X9" t="inlineStr">
      <is>
        <t>DAY_DELINQUENCIES_90_119_NEW, DAY_DELINQUENCIES_120_149_NEW, DAY_DELINQUENCIES_150_179_NEW, DAY_DELINQUENCIES_180_PLUS_NEW should be Mapped; END_CUTOFFDATE_DEFERRED_PRINCIPAL, END_INTEREST_BEARING_PRINCIPAL_BALANCE wrongly Map</t>
      </is>
    </oc>
    <nc r="X9" t="inlineStr">
      <is>
        <t>DAY_DELINQUENCIES_90_119_NEW, DAY_DELINQUENCIES_120_149_NEW, DAY_DELINQUENCIES_150_179_NEW, DAY_DELINQUENCIES_180_PLUS_NEW should be Mapped; END_CUTOFFDATE_DEFERRED_PRINCIPAL, END_INTEREST_BEARING_PRINCIPAL_BALANCE delete Map</t>
      </is>
    </nc>
  </rcc>
  <rcc rId="214" sId="1">
    <nc r="X10" t="inlineStr">
      <is>
        <t>DAY_DELINQUENCIES_90_119_NEW, DAY_DELINQUENCIES_120_149_NEW, DAY_DELINQUENCIES_150_179_NEW, DAY_DELINQUENCIES_180_PLUS_NEW should be Mapped; END_CUTOFFDATE_DEFERRED_PRINCIPAL, END_INTEREST_BEARING_PRINCIPAL_BALANCE delete Map</t>
      </is>
    </nc>
  </rcc>
  <rcc rId="215" sId="1">
    <nc r="X11" t="inlineStr">
      <is>
        <t>TRANCHE_FACTOR map (except Class R); BASIS_RISK_SHORTFALL_CURR delete map; INTEREST_SHORTFALL update map; REMAINING_UNPAID_INTEREST_SHORTFALL Map for Class A-IO-S</t>
      </is>
    </nc>
  </rcc>
  <rcc rId="216" sId="1">
    <nc r="L11">
      <v>1</v>
    </nc>
  </rcc>
  <rcc rId="217" sId="1">
    <nc r="M11">
      <v>4</v>
    </nc>
  </rcc>
  <rcc rId="218" sId="1">
    <nc r="N11">
      <v>0</v>
    </nc>
  </rcc>
  <rcc rId="219" sId="1">
    <nc r="O11">
      <v>0</v>
    </nc>
  </rcc>
  <rcc rId="220" sId="1">
    <nc r="T11">
      <v>3</v>
    </nc>
  </rcc>
  <rcc rId="221" sId="1">
    <nc r="U11">
      <v>3</v>
    </nc>
  </rcc>
  <rcc rId="222" sId="1">
    <nc r="V11">
      <v>0</v>
    </nc>
  </rcc>
  <rcc rId="223" sId="1">
    <nc r="W11">
      <v>0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24" sId="1" ref="A5:XFD5" action="insertRow"/>
  <rcc rId="225" sId="1">
    <nc r="B5">
      <v>19584</v>
    </nc>
  </rcc>
  <rcc rId="226" sId="1">
    <nc r="C5" t="inlineStr">
      <is>
        <t>MASTR Adjustable Rate Mortgages Trust 2004-3</t>
      </is>
    </nc>
  </rcc>
  <rfmt sheetId="1" sqref="A4:XFD4" start="0" length="2147483647">
    <dxf>
      <font>
        <b val="0"/>
      </font>
    </dxf>
  </rfmt>
  <rfmt sheetId="1" sqref="A5:XFD5" start="0" length="2147483647">
    <dxf>
      <font>
        <b val="0"/>
      </font>
    </dxf>
  </rfmt>
  <rfmt sheetId="1" sqref="A5:XFD5" start="0" length="2147483647">
    <dxf>
      <font>
        <b/>
      </font>
    </dxf>
  </rfmt>
  <rcc rId="227" sId="1" odxf="1" dxf="1">
    <nc r="D5">
      <v>43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28" sId="1" odxf="1" dxf="1">
    <nc r="E5">
      <v>21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29" sId="1">
    <nc r="A5" t="inlineStr">
      <is>
        <t>5th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" sId="1">
    <nc r="X5" t="inlineStr">
      <is>
        <t>LLM issue - REO_180_PLUS_CNT(not found),END_INTEREST_BEARING_PRINCIPAL_BALANCE(wrongly captured)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1">
    <nc r="H5">
      <v>9</v>
    </nc>
  </rcc>
  <rcc rId="232" sId="1" odxf="1" dxf="1">
    <nc r="I5">
      <v>147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3" sId="1">
    <nc r="J5">
      <v>7</v>
    </nc>
  </rcc>
  <rcc rId="234" sId="1">
    <nc r="K5">
      <v>1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" sId="1">
    <nc r="L5">
      <v>0</v>
    </nc>
  </rcc>
  <rcc rId="236" sId="1">
    <nc r="M5">
      <v>4</v>
    </nc>
  </rcc>
  <rcc rId="237" sId="1">
    <nc r="N5">
      <v>0</v>
    </nc>
  </rcc>
  <rcc rId="238" sId="1">
    <nc r="O5">
      <v>0</v>
    </nc>
  </rcc>
  <rcc rId="239" sId="1">
    <nc r="P5">
      <v>0</v>
    </nc>
  </rcc>
  <rcc rId="240" sId="1">
    <nc r="Q5">
      <v>4</v>
    </nc>
  </rcc>
  <rcc rId="241" sId="1">
    <nc r="R5">
      <v>0</v>
    </nc>
  </rcc>
  <rcc rId="242" sId="1">
    <nc r="S5">
      <v>0</v>
    </nc>
  </rcc>
  <rcc rId="243" sId="1">
    <nc r="T5">
      <v>0</v>
    </nc>
  </rcc>
  <rcc rId="244" sId="1">
    <nc r="U5">
      <v>5</v>
    </nc>
  </rcc>
  <rcc rId="245" sId="1">
    <nc r="V5">
      <v>0</v>
    </nc>
  </rcc>
  <rcc rId="246" sId="1">
    <nc r="W5">
      <v>0</v>
    </nc>
  </rcc>
  <rcc rId="247" sId="1">
    <nc r="Y1" t="inlineStr">
      <is>
        <t>LLM issue</t>
      </is>
    </nc>
  </rcc>
  <rfmt sheetId="1" sqref="Y1" start="0" length="2147483647">
    <dxf>
      <font>
        <b/>
      </font>
    </dxf>
  </rfmt>
  <rcc rId="248" sId="1">
    <nc r="Z1" t="inlineStr">
      <is>
        <t>Mapping issue</t>
      </is>
    </nc>
  </rcc>
  <rfmt sheetId="1" sqref="Z1" start="0" length="2147483647">
    <dxf>
      <font>
        <b/>
      </font>
    </dxf>
  </rfmt>
  <rfmt sheetId="1" sqref="Z1">
    <dxf>
      <alignment wrapText="0"/>
    </dxf>
  </rfmt>
  <rfmt sheetId="1" sqref="Y1:Z1" start="0" length="0">
    <dxf>
      <border>
        <top style="thin">
          <color indexed="64"/>
        </top>
      </border>
    </dxf>
  </rfmt>
  <rfmt sheetId="1" sqref="Z1:Z12" start="0" length="0">
    <dxf>
      <border>
        <right style="thin">
          <color indexed="64"/>
        </right>
      </border>
    </dxf>
  </rfmt>
  <rfmt sheetId="1" sqref="Y12:Z12" start="0" length="0">
    <dxf>
      <border>
        <bottom style="thin">
          <color indexed="64"/>
        </bottom>
      </border>
    </dxf>
  </rfmt>
  <rfmt sheetId="1" sqref="Y1:Z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1EE62E9F-0698-46CF-BB3C-23E1EBAB6664}" action="delete"/>
  <rcv guid="{1EE62E9F-0698-46CF-BB3C-23E1EBAB6664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Y5" start="0" length="0">
    <dxf>
      <font>
        <b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9" sId="1">
    <oc r="X5" t="inlineStr">
      <is>
        <t>LLM issue - REO_180_PLUS_CNT(not found),END_INTEREST_BEARING_PRINCIPAL_BALANCE(wrongly captured)</t>
      </is>
    </oc>
    <nc r="X5" t="inlineStr">
      <is>
        <t>REO_180_PLUS_CNT(not found),END_INTEREST_BEARING_PRINCIPAL_BALANCE(wrongly captured)</t>
      </is>
    </nc>
  </rcc>
  <rcc rId="250" sId="1">
    <nc r="Y5" t="inlineStr">
      <is>
        <t>LLM Extraction Issues - REO_180_PLUS_CNT(not being captured in the current run However, it was successfully extracted in all previous rounds) and END_INTEREST_BEARING_PRINCIPAL_BALANCE(captured incorrectly in the current run, It was correctly extracted in Rounds 3rd and 4th)</t>
      </is>
    </nc>
  </rcc>
  <rfmt sheetId="1" sqref="Y5">
    <dxf>
      <fill>
        <patternFill patternType="solid">
          <bgColor theme="9" tint="0.59999389629810485"/>
        </patternFill>
      </fill>
    </dxf>
  </rfmt>
  <rfmt sheetId="1" sqref="Y12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</dxf>
  </rfmt>
  <rcc rId="251" sId="1">
    <nc r="Y12" t="inlineStr">
      <is>
        <t>LLM Extraction Issues -TRANCHE_FACTOR is currently missing despite being correctly captured in the second validation round with the same extraction logic.</t>
      </is>
    </nc>
  </rcc>
  <rcv guid="{1EE62E9F-0698-46CF-BB3C-23E1EBAB6664}" action="delete"/>
  <rcv guid="{1EE62E9F-0698-46CF-BB3C-23E1EBAB6664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1">
    <oc r="Y12" t="inlineStr">
      <is>
        <t>LLM Extraction Issues -TRANCHE_FACTOR is currently missing despite being correctly captured in the second validation round with the same extraction logic.</t>
      </is>
    </oc>
    <nc r="Y12" t="inlineStr">
      <is>
        <t>LLM Extraction Issues -TRANCHE_FACTOR is currently missing despite being correctly captured in the second validation round without any changes in logic.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1">
    <nc r="F5">
      <v>0</v>
    </nc>
  </rcc>
  <rcc rId="254" sId="1">
    <nc r="G5">
      <v>0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" sId="1" ref="A8:XFD8" action="insertRow"/>
  <rcc rId="256" sId="1" odxf="1" dxf="1">
    <nc r="A8" t="inlineStr">
      <is>
        <t>4th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1" sqref="B8" start="0" length="2147483647">
    <dxf>
      <font>
        <b val="0"/>
      </font>
    </dxf>
  </rfmt>
  <rcc rId="257" sId="1" odxf="1" dxf="1">
    <nc r="B8">
      <v>36616</v>
    </nc>
    <ndxf>
      <font>
        <b/>
        <sz val="11"/>
        <color theme="1"/>
        <name val="Aptos Narrow"/>
        <family val="2"/>
        <scheme val="minor"/>
      </font>
    </ndxf>
  </rcc>
  <rcc rId="258" sId="1">
    <nc r="C8" t="inlineStr">
      <is>
        <t>Banc of America Funding Corporation 2006-1</t>
      </is>
    </nc>
  </rcc>
  <rfmt sheetId="1" sqref="A7:XFD7" start="0" length="2147483647">
    <dxf>
      <font>
        <b val="0"/>
      </font>
    </dxf>
  </rfmt>
  <rcc rId="259" sId="1" odxf="1" dxf="1">
    <nc r="D8">
      <v>53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60" sId="1" odxf="1" dxf="1">
    <nc r="E8">
      <v>21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61" sId="1">
    <nc r="F8">
      <v>0</v>
    </nc>
  </rcc>
  <rcc rId="262" sId="1" odxf="1" dxf="1">
    <nc r="G8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63" sId="1">
    <nc r="H8">
      <v>4</v>
    </nc>
  </rcc>
  <rcc rId="264" sId="1" odxf="1" dxf="1">
    <nc r="I8">
      <v>147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65" sId="1">
    <nc r="J8">
      <v>6</v>
    </nc>
  </rcc>
  <rcc rId="266" sId="1">
    <nc r="K8">
      <v>1</v>
    </nc>
  </rcc>
  <rcc rId="267" sId="1">
    <nc r="X8" t="inlineStr">
      <is>
        <t>PREPAY_PENALTIES- should not be captured for Group 1,Group 2, Group 3</t>
      </is>
    </nc>
  </rcc>
  <rfmt sheetId="1" xfDxf="1" sqref="Y8" start="0" length="0">
    <dxf>
      <font>
        <b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8">
    <dxf>
      <fill>
        <patternFill patternType="solid">
          <bgColor theme="9" tint="0.59999389629810485"/>
        </patternFill>
      </fill>
    </dxf>
  </rfmt>
  <rcc rId="268" sId="1">
    <nc r="Y8" t="inlineStr">
      <is>
        <t>LLM Extraction Issues - PREPAY_PENALTIES was captured correctly previous all round data extraction</t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" sId="1">
    <oc r="Y8" t="inlineStr">
      <is>
        <t>LLM Extraction Issues - PREPAY_PENALTIES was captured correctly previous all round data extraction</t>
      </is>
    </oc>
    <nc r="Y8" t="inlineStr">
      <is>
        <t>LLM Extraction Issues - PREPAY_PENALTIES was captured correctly previous all round data extraction but current round data is wrongly caoptured 0.00 data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0" sId="1">
    <oc r="Y8" t="inlineStr">
      <is>
        <t>LLM Extraction Issues - PREPAY_PENALTIES was captured correctly previous all round data extraction but current round data is wrongly caoptured 0.00 data</t>
      </is>
    </oc>
    <nc r="Y8" t="inlineStr">
      <is>
        <t>LLM Extraction Issue: The PREPAY_PENALTIES field was extracted correctly in the previous extraction cycle. However, in the current extraction cycle, the value is being incorrectly captured as 0.00 for Group 1,Group 2, Group 3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8:XFD8" start="0" length="2147483647">
    <dxf>
      <font>
        <b/>
      </font>
    </dxf>
  </rfmt>
  <rfmt sheetId="1" sqref="A8:XFD8" start="0" length="2147483647">
    <dxf>
      <font>
        <b val="0"/>
      </font>
    </dxf>
  </rfmt>
  <rfmt sheetId="1" sqref="A8:XFD8" start="0" length="2147483647">
    <dxf>
      <font>
        <b/>
      </font>
    </dxf>
  </rfmt>
  <rcc rId="271" sId="1">
    <nc r="L8">
      <v>1</v>
    </nc>
  </rcc>
  <rcc rId="272" sId="1">
    <nc r="M8">
      <v>4</v>
    </nc>
  </rcc>
  <rcc rId="273" sId="1">
    <nc r="N8">
      <v>0</v>
    </nc>
  </rcc>
  <rcc rId="274" sId="1">
    <nc r="O8">
      <v>0</v>
    </nc>
  </rcc>
  <rcc rId="275" sId="1">
    <nc r="P8">
      <v>1</v>
    </nc>
  </rcc>
  <rcc rId="276" sId="1">
    <nc r="Q8">
      <v>4</v>
    </nc>
  </rcc>
  <rcc rId="277" sId="1">
    <nc r="R8">
      <v>0</v>
    </nc>
  </rcc>
  <rcc rId="278" sId="1">
    <nc r="S8">
      <v>0</v>
    </nc>
  </rcc>
  <rcc rId="279" sId="1">
    <nc r="T8">
      <v>6</v>
    </nc>
  </rcc>
  <rcc rId="280" sId="1">
    <nc r="U8">
      <v>3</v>
    </nc>
  </rcc>
  <rcc rId="281" sId="1">
    <nc r="V8">
      <v>0</v>
    </nc>
  </rcc>
  <rcc rId="282" sId="1">
    <nc r="W8">
      <v>0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" sId="1">
    <oc r="Y8" t="inlineStr">
      <is>
        <t>LLM Extraction Issue: The PREPAY_PENALTIES field was extracted correctly in the previous extraction cycle. However, in the current extraction cycle, the value is being incorrectly captured as 0.00 for Group 1,Group 2, Group 3</t>
      </is>
    </oc>
    <nc r="Y8" t="inlineStr">
      <is>
        <t>LLM Extraction Issue: The PREPAY_PENALTIES field was extracted correctly in the previous extraction cycle. However, in the current extraction cycle, the value is being incorrectly captured as 0.00 for Group 1,Group 2, Group 3 which is not reported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" sId="1">
    <nc r="B14">
      <v>1010119</v>
    </nc>
  </rcc>
  <rcc rId="285" sId="1">
    <nc r="C14" t="inlineStr">
      <is>
        <t>Stanwich Mortgage Loan Trust Series 2020-11</t>
      </is>
    </nc>
  </rcc>
  <rcc rId="286" sId="1" odxf="1" dxf="1">
    <nc r="A14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Z14" start="0" length="0">
    <dxf>
      <border>
        <right style="thin">
          <color indexed="64"/>
        </right>
      </border>
    </dxf>
  </rfmt>
  <rfmt sheetId="1" sqref="A14:Z14" start="0" length="0">
    <dxf>
      <border>
        <bottom style="thin">
          <color indexed="64"/>
        </bottom>
      </border>
    </dxf>
  </rfmt>
  <rfmt sheetId="1" sqref="A14:Z14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7" sId="1" ref="A11:XFD11" action="insertRow"/>
  <rcc rId="288" sId="1">
    <nc r="A11" t="inlineStr">
      <is>
        <t>3rd</t>
      </is>
    </nc>
  </rcc>
  <rcc rId="289" sId="1">
    <nc r="B11">
      <v>1010119</v>
    </nc>
  </rcc>
  <rcc rId="290" sId="1">
    <nc r="C11" t="inlineStr">
      <is>
        <t>Stanwich Mortgage Loan Trust Series 2020-11</t>
      </is>
    </nc>
  </rcc>
  <rfmt sheetId="1" sqref="A10:XFD10" start="0" length="2147483647">
    <dxf>
      <font>
        <b val="0"/>
      </font>
    </dxf>
  </rfmt>
  <rfmt sheetId="1" sqref="A11:XFD11" start="0" length="2147483647">
    <dxf>
      <font>
        <b val="0"/>
      </font>
    </dxf>
  </rfmt>
  <rfmt sheetId="1" sqref="A11:XFD11" start="0" length="2147483647">
    <dxf>
      <font>
        <b/>
      </font>
    </dxf>
  </rfmt>
  <rcc rId="291" sId="1">
    <nc r="X11" t="inlineStr">
      <is>
        <t xml:space="preserve">TOTAL_FEES_EXPENSES-Admin fee is included in LLM calculation(single pool file).END_CUTOFFDATE_DEFERRED_PRINCIPAL, END_INTEREST_BEARING_PRINCIPAL_BALANCE data captured as per LLM Intelligence 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2" sId="1" ref="A15:XFD15" action="deleteRow">
    <rfmt sheetId="1" xfDxf="1" sqref="A15:XFD15" start="0" length="0">
      <dxf>
        <alignment horizontal="left"/>
      </dxf>
    </rfmt>
    <rcc rId="0" sId="1" dxf="1">
      <nc r="A15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5">
        <v>1010119</v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5" t="inlineStr">
        <is>
          <t>Stanwich Mortgage Loan Trust Series 2020-11</t>
        </is>
      </nc>
      <n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1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15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293" sId="1">
    <nc r="H11">
      <v>1</v>
    </nc>
  </rcc>
  <rcc rId="294" sId="1" odxf="1" dxf="1">
    <nc r="I11">
      <v>147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95" sId="1" odxf="1" dxf="1">
    <nc r="J11">
      <v>6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96" sId="1">
    <nc r="K11">
      <v>0</v>
    </nc>
  </rcc>
  <rfmt sheetId="1" sqref="A11:XFD11" start="0" length="2147483647">
    <dxf>
      <font>
        <b val="0"/>
      </font>
    </dxf>
  </rfmt>
  <rfmt sheetId="1" sqref="A11:XFD11" start="0" length="2147483647">
    <dxf>
      <font>
        <b/>
      </font>
    </dxf>
  </rfmt>
  <rfmt sheetId="1" sqref="Y11" start="0" length="0">
    <dxf>
      <fill>
        <patternFill patternType="solid">
          <bgColor theme="9" tint="0.59999389629810485"/>
        </patternFill>
      </fill>
    </dxf>
  </rfmt>
  <rcc rId="297" sId="1">
    <nc r="Y11" t="inlineStr">
      <is>
        <t>LLM extraction issue : PRINCIPAL_PAYMENTS_UNSCHEDULED field was extracted correctly in the previous extraction cycle. However, in the current extraction cycle, the value is being incorrectly captured as 0.00 for class A</t>
      </is>
    </nc>
  </rcc>
  <rcmt sheetId="1" cell="J11" guid="{ABAC80E5-33AB-493A-B727-C8A040AD0D06}" author="Susmita Biswas" newLength="28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" sId="1">
    <nc r="D11">
      <v>2</v>
    </nc>
  </rcc>
  <rcc rId="299" sId="1" odxf="1" dxf="1">
    <nc r="E11">
      <v>21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0" sId="1" odxf="1" dxf="1">
    <nc r="F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1" sId="1" odxf="1" dxf="1">
    <nc r="G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1" sqref="A11:XFD11" start="0" length="2147483647">
    <dxf>
      <font>
        <b val="0"/>
      </font>
    </dxf>
  </rfmt>
  <rfmt sheetId="1" sqref="A11:XFD11" start="0" length="2147483647">
    <dxf>
      <font>
        <b/>
      </font>
    </dxf>
  </rfmt>
  <rcc rId="302" sId="1" odxf="1" dxf="1">
    <nc r="L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3" sId="1" odxf="1" dxf="1">
    <nc r="M11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4" sId="1" odxf="1" dxf="1">
    <nc r="N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5" sId="1" odxf="1" dxf="1">
    <nc r="O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6" sId="1" odxf="1" dxf="1">
    <nc r="P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7" sId="1" odxf="1" dxf="1">
    <nc r="Q11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8" sId="1" odxf="1" dxf="1">
    <nc r="R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09" sId="1" odxf="1" dxf="1">
    <nc r="S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10" sId="1" odxf="1" dxf="1">
    <nc r="T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11" sId="1" odxf="1" dxf="1">
    <nc r="U11">
      <v>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12" sId="1" odxf="1" dxf="1">
    <nc r="V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13" sId="1" odxf="1" dxf="1">
    <nc r="W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" sId="1" ref="A12:XFD12" action="insertRow"/>
  <rrc rId="315" sId="1" ref="A12:XFD12" action="insertRow"/>
  <rcc rId="316" sId="1" odxf="1" dxf="1">
    <nc r="B12">
      <v>1012229</v>
    </nc>
    <odxf>
      <font>
        <b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ndxf>
  </rcc>
  <rcc rId="317" sId="1" odxf="1" dxf="1">
    <nc r="C12" t="inlineStr">
      <is>
        <t>MFA 2021-INV1 Trust</t>
      </is>
    </nc>
    <odxf>
      <font>
        <b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ndxf>
  </rcc>
  <rcc rId="318" sId="1" odxf="1" dxf="1">
    <nc r="A12" t="inlineStr">
      <is>
        <t>2nd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rc rId="319" sId="1" ref="A13:XFD13" action="deleteRow">
    <rfmt sheetId="1" xfDxf="1" sqref="A13:XFD13" start="0" length="0">
      <dxf>
        <font>
          <b/>
        </font>
        <alignment horizontal="left"/>
      </dxf>
    </rfmt>
    <rfmt sheetId="1" sqref="A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3" start="0" length="0">
      <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3" start="0" length="0">
      <dxf>
        <alignment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1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13" start="0" length="0">
      <dxf>
        <font>
          <b val="0"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13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13" start="0" length="0">
      <dxf>
        <fill>
          <patternFill patternType="solid">
            <bgColor theme="9" tint="0.59999389629810485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1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" sId="1">
    <nc r="D12">
      <v>10</v>
    </nc>
  </rcc>
  <rfmt sheetId="1" sqref="A12:XFD12" start="0" length="2147483647">
    <dxf>
      <font>
        <b/>
      </font>
    </dxf>
  </rfmt>
  <rfmt sheetId="1" sqref="A12:XFD12" start="0" length="2147483647">
    <dxf>
      <font>
        <b val="0"/>
      </font>
    </dxf>
  </rfmt>
  <rfmt sheetId="1" sqref="A12:XFD12" start="0" length="2147483647">
    <dxf>
      <font>
        <b/>
      </font>
    </dxf>
  </rfmt>
  <rcc rId="321" sId="1">
    <nc r="E12">
      <v>21</v>
    </nc>
  </rcc>
  <rcc rId="322" sId="1">
    <nc r="F12">
      <v>0</v>
    </nc>
  </rcc>
  <rcc rId="323" sId="1">
    <nc r="G12">
      <v>0</v>
    </nc>
  </rcc>
  <rcc rId="324" sId="1">
    <nc r="H12">
      <v>1</v>
    </nc>
  </rcc>
  <rcc rId="325" sId="1">
    <nc r="I12">
      <v>147</v>
    </nc>
  </rcc>
  <rcc rId="326" sId="1">
    <oc r="A12" t="inlineStr">
      <is>
        <t>2nd</t>
      </is>
    </oc>
    <nc r="A12" t="inlineStr">
      <is>
        <t>3rd</t>
      </is>
    </nc>
  </rcc>
  <rcc rId="327" sId="1">
    <oc r="A11" t="inlineStr">
      <is>
        <t>3rd</t>
      </is>
    </oc>
    <nc r="A11" t="inlineStr">
      <is>
        <t>4th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2:I12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328" sId="1">
    <nc r="J12">
      <v>6</v>
    </nc>
  </rcc>
  <rcc rId="329" sId="1">
    <nc r="K12">
      <v>3</v>
    </nc>
  </rcc>
  <rcmt sheetId="1" cell="J12" guid="{44C7C659-006F-4F5E-AD46-9860463C7222}" author="Susmita Biswas" newLength="28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" sId="1" xfDxf="1" dxf="1">
    <nc r="X12" t="inlineStr">
      <is>
        <t>OC_DEPOSIT_AMOUNT</t>
      </is>
    </nc>
    <n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A15:C15" start="0" length="2147483647">
    <dxf>
      <font>
        <b/>
      </font>
    </dxf>
  </rfmt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" sId="1">
    <oc r="X12" t="inlineStr">
      <is>
        <t>OC_DEPOSIT_AMOUNT</t>
      </is>
    </oc>
    <nc r="X12" t="inlineStr">
      <is>
        <t>OC_DEPOSIT_AMOUNT,IS_DELINQ_TRIGGER_OCCURED,IS_CUM_LOSS_TRIGGER_OCCURED,IS_DELINQ_OR_CUM_LOSS_TRIGGER_OCCURED data wrongly captured</t>
      </is>
    </nc>
  </rcc>
  <rcc rId="332" sId="1">
    <nc r="L12">
      <v>2</v>
    </nc>
  </rcc>
  <rcc rId="333" sId="1">
    <nc r="M12">
      <v>4</v>
    </nc>
  </rcc>
  <rcc rId="334" sId="1">
    <nc r="N12">
      <v>0</v>
    </nc>
  </rcc>
  <rcc rId="335" sId="1">
    <nc r="O12">
      <v>1</v>
    </nc>
  </rcc>
  <rcc rId="336" sId="1">
    <nc r="P12">
      <v>0</v>
    </nc>
  </rcc>
  <rcc rId="337" sId="1">
    <nc r="Q12">
      <v>4</v>
    </nc>
  </rcc>
  <rcc rId="338" sId="1">
    <nc r="R12">
      <v>0</v>
    </nc>
  </rcc>
  <rcc rId="339" sId="1">
    <nc r="S12">
      <v>0</v>
    </nc>
  </rcc>
  <rcc rId="340" sId="1">
    <nc r="T12">
      <v>0</v>
    </nc>
  </rcc>
  <rcc rId="341" sId="1">
    <nc r="U12">
      <v>3</v>
    </nc>
  </rcc>
  <rcc rId="342" sId="1">
    <nc r="V12">
      <v>0</v>
    </nc>
  </rcc>
  <rcc rId="343" sId="1">
    <nc r="W12">
      <v>0</v>
    </nc>
  </rcc>
  <rfmt sheetId="1" sqref="A12:XFD12" start="0" length="2147483647">
    <dxf>
      <font>
        <b val="0"/>
      </font>
    </dxf>
  </rfmt>
  <rfmt sheetId="1" sqref="A12:XFD12" start="0" length="2147483647">
    <dxf>
      <font>
        <b/>
      </font>
    </dxf>
  </rfmt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4" sId="1" ref="A12:XFD12" action="insertRow"/>
  <rcc rId="345" sId="1" odxf="1" dxf="1">
    <nc r="A12" t="inlineStr">
      <is>
        <t>2nd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346" sId="1" odxf="1" dxf="1">
    <nc r="B12">
      <v>1012229</v>
    </nc>
    <odxf>
      <alignment wrapText="1"/>
    </odxf>
    <ndxf>
      <alignment wrapText="0"/>
    </ndxf>
  </rcc>
  <rcc rId="347" sId="1" odxf="1" dxf="1">
    <nc r="C12" t="inlineStr">
      <is>
        <t>MFA 2021-INV1 Trust</t>
      </is>
    </nc>
    <odxf>
      <alignment wrapText="1"/>
    </odxf>
    <ndxf>
      <alignment wrapText="0"/>
    </ndxf>
  </rcc>
  <rfmt sheetId="1" sqref="A12:XFD12" start="0" length="2147483647">
    <dxf>
      <font>
        <b/>
      </font>
    </dxf>
  </rfmt>
  <rfmt sheetId="1" sqref="A12:XFD12" start="0" length="2147483647">
    <dxf>
      <font>
        <b val="0"/>
      </font>
    </dxf>
  </rfmt>
  <rcc rId="348" sId="1">
    <nc r="D12">
      <v>10</v>
    </nc>
  </rcc>
  <rcc rId="349" sId="1">
    <nc r="E12">
      <v>21</v>
    </nc>
  </rcc>
  <rcc rId="350" sId="1">
    <nc r="F12">
      <v>0</v>
    </nc>
  </rcc>
  <rcc rId="351" sId="1">
    <nc r="G12">
      <v>0</v>
    </nc>
  </rcc>
  <rcc rId="352" sId="1">
    <nc r="H12">
      <v>1</v>
    </nc>
  </rcc>
  <rcc rId="353" sId="1">
    <nc r="I12">
      <v>147</v>
    </nc>
  </rcc>
  <rfmt sheetId="1" sqref="J12" start="0" length="0">
    <dxf>
      <font>
        <b/>
        <sz val="11"/>
        <color theme="1"/>
        <name val="Aptos Narrow"/>
        <family val="2"/>
        <scheme val="minor"/>
      </font>
    </dxf>
  </rfmt>
  <rcc rId="354" sId="1">
    <nc r="J12">
      <v>5</v>
    </nc>
  </rcc>
  <rcc rId="355" sId="1">
    <nc r="K12">
      <v>0</v>
    </nc>
  </rcc>
  <rcc rId="356" sId="1">
    <nc r="L12">
      <v>2</v>
    </nc>
  </rcc>
  <rcc rId="357" sId="1">
    <nc r="M12">
      <v>4</v>
    </nc>
  </rcc>
  <rcc rId="358" sId="1">
    <nc r="N12">
      <v>0</v>
    </nc>
  </rcc>
  <rcc rId="359" sId="1">
    <nc r="O12">
      <v>0</v>
    </nc>
  </rcc>
  <rcc rId="360" sId="1">
    <nc r="P12">
      <v>0</v>
    </nc>
  </rcc>
  <rcc rId="361" sId="1">
    <nc r="R12">
      <v>0</v>
    </nc>
  </rcc>
  <rcc rId="362" sId="1">
    <nc r="S12">
      <v>0</v>
    </nc>
  </rcc>
  <rcc rId="363" sId="1">
    <nc r="Q12">
      <v>4</v>
    </nc>
  </rcc>
  <rcc rId="364" sId="1">
    <nc r="T12">
      <v>0</v>
    </nc>
  </rcc>
  <rcc rId="365" sId="1">
    <nc r="U12">
      <v>3</v>
    </nc>
  </rcc>
  <rcc rId="366" sId="1">
    <nc r="V12">
      <v>0</v>
    </nc>
  </rcc>
  <rcc rId="367" sId="1">
    <nc r="W12">
      <v>0</v>
    </nc>
  </rcc>
  <rfmt sheetId="1" sqref="Y12">
    <dxf>
      <fill>
        <patternFill patternType="none">
          <bgColor auto="1"/>
        </patternFill>
      </fill>
    </dxf>
  </rfmt>
  <rcmt sheetId="1" cell="J12" guid="{1151B8CB-B151-417E-B1C0-9B6F2EF26295}" author="Susmita Biswas" newLength="28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368" sheetId="1" oldName="[Review_Status.xlsx]Sheet1" newName="[Review_Status.xlsx]Log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9" sId="1">
    <nc r="X12" t="inlineStr">
      <is>
        <t>Data not captured -DAY_DELINQUENCIES_90_119_NEW,DAY_DELINQUENCIES_120_149_NEW,DAY_DELINQUENCIES_150_179_NEW,DAY_DELINQUENCIES_180_PLUS_NEW,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0" sId="1">
    <oc r="X14" t="inlineStr">
      <is>
        <t>DAY_DELINQUENCIES_90_119_NEW, DAY_DELINQUENCIES_120_149_NEW, DAY_DELINQUENCIES_150_179_NEW, DAY_DELINQUENCIES_180_PLUS_NEW should be Mapped; END_CUTOFFDATE_DEFERRED_PRINCIPAL, END_INTEREST_BEARING_PRINCIPAL_BALANCE delete Map</t>
      </is>
    </oc>
    <nc r="X14" t="inlineStr">
      <is>
        <t>DAY_DELINQUENCIES_90_119_NEW, DAY_DELINQUENCIES_120_149_NEW, DAY_DELINQUENCIES_150_179_NEW, DAY_DELINQUENCIES_180_PLUS_NEW should be Mapped;</t>
      </is>
    </nc>
  </rcc>
  <rcc rId="371" sId="1">
    <oc r="K14">
      <v>2</v>
    </oc>
    <nc r="K14">
      <v>0</v>
    </nc>
  </rcc>
  <rcc rId="372" sId="1">
    <oc r="K15">
      <v>2</v>
    </oc>
    <nc r="K15">
      <v>0</v>
    </nc>
  </rcc>
  <rcc rId="373" sId="1">
    <oc r="X15" t="inlineStr">
      <is>
        <t>DAY_DELINQUENCIES_90_119_NEW, DAY_DELINQUENCIES_120_149_NEW, DAY_DELINQUENCIES_150_179_NEW, DAY_DELINQUENCIES_180_PLUS_NEW should be Mapped; END_CUTOFFDATE_DEFERRED_PRINCIPAL, END_INTEREST_BEARING_PRINCIPAL_BALANCE delete Map</t>
      </is>
    </oc>
    <nc r="X15" t="inlineStr">
      <is>
        <t>DAY_DELINQUENCIES_90_119_NEW, DAY_DELINQUENCIES_120_149_NEW, DAY_DELINQUENCIES_150_179_NEW, DAY_DELINQUENCIES_180_PLUS_NEW should be Mapped;</t>
      </is>
    </nc>
  </rcc>
  <rcc rId="374" sId="1">
    <nc r="J16">
      <v>4</v>
    </nc>
  </rcc>
  <rcc rId="375" sId="1">
    <nc r="K16">
      <v>4</v>
    </nc>
  </rcc>
  <rcc rId="376" sId="1">
    <oc r="X16" t="inlineStr">
      <is>
        <t>TRANCHE_FACTOR map (except Class R); BASIS_RISK_SHORTFALL_CURR delete map; INTEREST_SHORTFALL update map; REMAINING_UNPAID_INTEREST_SHORTFALL Map for Class A-IO-S</t>
      </is>
    </oc>
    <nc r="X16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fields Mapping need to be updated;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" sId="1">
    <nc r="Y13" t="inlineStr">
      <is>
        <t>LLM extraction issue : OC_DEPOSIT_AMOUNT,IS_DELINQ_TRIGGER_OCCURED,IS_CUM_LOSS_TRIGGER_OCCURED,IS_DELINQ_OR_CUM_LOSS_TRIGGER_OCCURED data fields were captured correctly in 2nd round However, in the current extraction cycle, the value is being incorrectly captured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" sId="1">
    <nc r="B17">
      <v>1012500</v>
    </nc>
  </rcc>
  <rcc rId="379" sId="1">
    <nc r="C17" t="inlineStr">
      <is>
        <t>L Street Securities Trust 2020-PMT1</t>
      </is>
    </nc>
  </rcc>
  <rcc rId="380" sId="1" odxf="1" dxf="1">
    <nc r="A17" t="inlineStr">
      <is>
        <t>3rd</t>
      </is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17" start="0" length="0">
    <dxf>
      <border>
        <right style="thin">
          <color indexed="64"/>
        </right>
      </border>
    </dxf>
  </rfmt>
  <rfmt sheetId="1" sqref="A17:X17" start="0" length="0">
    <dxf>
      <border>
        <bottom style="thin">
          <color indexed="64"/>
        </bottom>
      </border>
    </dxf>
  </rfmt>
  <rfmt sheetId="1" sqref="A17:X17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" sId="1">
    <nc r="D17">
      <v>24</v>
    </nc>
  </rcc>
  <rcc rId="382" sId="1">
    <nc r="E17">
      <v>21</v>
    </nc>
  </rcc>
  <rcc rId="383" sId="1">
    <nc r="F17">
      <v>0</v>
    </nc>
  </rcc>
  <rcc rId="384" sId="1">
    <nc r="G17">
      <v>0</v>
    </nc>
  </rcc>
  <rcc rId="385" sId="1">
    <nc r="H17">
      <v>1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1">
    <nc r="I17">
      <v>147</v>
    </nc>
  </rcc>
  <rcc rId="387" sId="1">
    <nc r="K17">
      <v>1</v>
    </nc>
  </rcc>
  <rfmt sheetId="1" xfDxf="1" sqref="X17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88" sId="1">
    <nc r="J17">
      <v>8</v>
    </nc>
  </rcc>
  <rcc rId="389" sId="1">
    <nc r="L17">
      <v>2</v>
    </nc>
  </rcc>
  <rcc rId="390" sId="1">
    <nc r="M17">
      <v>4</v>
    </nc>
  </rcc>
  <rcc rId="391" sId="1">
    <nc r="N17">
      <v>0</v>
    </nc>
  </rcc>
  <rcc rId="392" sId="1">
    <nc r="O17">
      <v>0</v>
    </nc>
  </rcc>
  <rcc rId="393" sId="1">
    <nc r="P17">
      <v>2</v>
    </nc>
  </rcc>
  <rcc rId="394" sId="1">
    <nc r="Q17">
      <v>4</v>
    </nc>
  </rcc>
  <rcc rId="395" sId="1">
    <nc r="R17">
      <v>0</v>
    </nc>
  </rcc>
  <rcc rId="396" sId="1">
    <nc r="S17">
      <v>0</v>
    </nc>
  </rcc>
  <rcc rId="397" sId="1">
    <nc r="T17">
      <v>0</v>
    </nc>
  </rcc>
  <rcc rId="398" sId="1">
    <nc r="U17">
      <v>3</v>
    </nc>
  </rcc>
  <rcc rId="399" sId="1">
    <nc r="V17">
      <v>0</v>
    </nc>
  </rcc>
  <rcc rId="400" sId="1">
    <nc r="W17">
      <v>0</v>
    </nc>
  </rcc>
  <rcc rId="401" sId="1">
    <nc r="X17" t="inlineStr">
      <is>
        <t>END_POOL_BALANCE,END_POOL_BALANCE_ACTUAL not captured and IS_DELINQ_TRIGGER_OCCURED wrongly captured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2" sId="1">
    <nc r="B18">
      <v>1013411</v>
    </nc>
  </rcc>
  <rcc rId="403" sId="1">
    <nc r="C18" t="inlineStr">
      <is>
        <t>Ajax Mortgage Loan Trust 2018-F</t>
      </is>
    </nc>
  </rcc>
  <rcc rId="404" sId="1" odxf="1" dxf="1">
    <nc r="A18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18" start="0" length="0">
    <dxf>
      <border>
        <right style="thin">
          <color indexed="64"/>
        </right>
      </border>
    </dxf>
  </rfmt>
  <rfmt sheetId="1" sqref="A18:X18" start="0" length="0">
    <dxf>
      <border>
        <bottom style="thin">
          <color indexed="64"/>
        </bottom>
      </border>
    </dxf>
  </rfmt>
  <rfmt sheetId="1" sqref="A18:X18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405" sId="1">
    <nc r="D18">
      <v>1</v>
    </nc>
  </rcc>
  <rcc rId="406" sId="1">
    <nc r="E18">
      <v>21</v>
    </nc>
  </rcc>
  <rcc rId="407" sId="1">
    <nc r="F18">
      <v>0</v>
    </nc>
  </rcc>
  <rcc rId="408" sId="1">
    <nc r="G18">
      <v>0</v>
    </nc>
  </rcc>
  <rcc rId="409" sId="1">
    <nc r="H18">
      <v>3</v>
    </nc>
  </rcc>
  <rcc rId="410" sId="1">
    <nc r="I18">
      <v>147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7" start="0" length="0">
    <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dxf>
  </rfmt>
  <rcc rId="411" sId="1" odxf="1" dxf="1">
    <nc r="A17" t="inlineStr">
      <is>
        <t>1st</t>
      </is>
    </nc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ft rId="380" sheetId="1"/>
  <rcc rId="412" sId="1" odxf="1" dxf="1">
    <nc r="B17">
      <v>1009956</v>
    </nc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ft rId="378" sheetId="1"/>
  <rcc rId="413" sId="1" odxf="1" dxf="1">
    <nc r="C17" t="inlineStr">
      <is>
        <t>CSMC Mortgage Backed Trusts 2020-4R</t>
      </is>
    </nc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ft rId="379" sheetId="1"/>
  <rfmt sheetId="1" sqref="D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17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4" sId="1">
    <nc r="D17">
      <v>2</v>
    </nc>
  </rcc>
  <rcft rId="381" sheetId="1"/>
  <rcc rId="415" sId="1">
    <nc r="J17">
      <v>2</v>
    </nc>
  </rcc>
  <rcft rId="388" sheetId="1"/>
  <rfmt sheetId="1" sqref="Y17">
    <dxf>
      <fill>
        <patternFill patternType="none">
          <bgColor auto="1"/>
        </patternFill>
      </fill>
    </dxf>
  </rfmt>
  <rcc rId="416" sId="1">
    <nc r="X17" t="inlineStr">
      <is>
        <t>CUM_LOSS wrongly map; TOTAL_NET_INTEREST, TOTAL_PRINCIPAL_COLLECTED should be mapped</t>
      </is>
    </nc>
  </rcc>
  <rcft rId="401" sheetId="1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7" sId="1" odxf="1" dxf="1">
    <nc r="B19">
      <v>1010118</v>
    </nc>
    <ndxf>
      <border outline="0">
        <bottom style="thin">
          <color indexed="64"/>
        </bottom>
      </border>
    </ndxf>
  </rcc>
  <rcc rId="418" sId="1" odxf="1" dxf="1">
    <nc r="C19" t="inlineStr">
      <is>
        <t>Stanwich Mortgage Loan Trust Series 2019-1</t>
      </is>
    </nc>
    <ndxf>
      <border outline="0">
        <bottom style="thin">
          <color indexed="64"/>
        </bottom>
      </border>
    </ndxf>
  </rcc>
  <rfmt sheetId="1" sqref="D19" start="0" length="0">
    <dxf>
      <border outline="0">
        <bottom style="thin">
          <color indexed="64"/>
        </bottom>
      </border>
    </dxf>
  </rfmt>
  <rfmt sheetId="1" sqref="E19" start="0" length="0">
    <dxf>
      <border outline="0">
        <bottom style="thin">
          <color indexed="64"/>
        </bottom>
      </border>
    </dxf>
  </rfmt>
  <rfmt sheetId="1" sqref="F19" start="0" length="0">
    <dxf>
      <border outline="0">
        <bottom style="thin">
          <color indexed="64"/>
        </bottom>
      </border>
    </dxf>
  </rfmt>
  <rfmt sheetId="1" sqref="G19" start="0" length="0">
    <dxf>
      <border outline="0">
        <bottom style="thin">
          <color indexed="64"/>
        </bottom>
      </border>
    </dxf>
  </rfmt>
  <rfmt sheetId="1" sqref="H19" start="0" length="0">
    <dxf>
      <border outline="0">
        <bottom style="thin">
          <color indexed="64"/>
        </bottom>
      </border>
    </dxf>
  </rfmt>
  <rfmt sheetId="1" sqref="I19" start="0" length="0">
    <dxf>
      <border outline="0">
        <bottom style="thin">
          <color indexed="64"/>
        </bottom>
      </border>
    </dxf>
  </rfmt>
  <rfmt sheetId="1" sqref="J19" start="0" length="0">
    <dxf>
      <border outline="0">
        <bottom style="thin">
          <color indexed="64"/>
        </bottom>
      </border>
    </dxf>
  </rfmt>
  <rfmt sheetId="1" sqref="K19" start="0" length="0">
    <dxf>
      <border outline="0">
        <bottom style="thin">
          <color indexed="64"/>
        </bottom>
      </border>
    </dxf>
  </rfmt>
  <rfmt sheetId="1" sqref="L19" start="0" length="0">
    <dxf>
      <border outline="0">
        <bottom style="thin">
          <color indexed="64"/>
        </bottom>
      </border>
    </dxf>
  </rfmt>
  <rfmt sheetId="1" sqref="M19" start="0" length="0">
    <dxf>
      <border outline="0">
        <bottom style="thin">
          <color indexed="64"/>
        </bottom>
      </border>
    </dxf>
  </rfmt>
  <rfmt sheetId="1" sqref="N19" start="0" length="0">
    <dxf>
      <border outline="0">
        <bottom style="thin">
          <color indexed="64"/>
        </bottom>
      </border>
    </dxf>
  </rfmt>
  <rfmt sheetId="1" sqref="O19" start="0" length="0">
    <dxf>
      <border outline="0">
        <bottom style="thin">
          <color indexed="64"/>
        </bottom>
      </border>
    </dxf>
  </rfmt>
  <rfmt sheetId="1" sqref="P19" start="0" length="0">
    <dxf>
      <border outline="0">
        <bottom style="thin">
          <color indexed="64"/>
        </bottom>
      </border>
    </dxf>
  </rfmt>
  <rfmt sheetId="1" sqref="Q19" start="0" length="0">
    <dxf>
      <border outline="0">
        <bottom style="thin">
          <color indexed="64"/>
        </bottom>
      </border>
    </dxf>
  </rfmt>
  <rfmt sheetId="1" sqref="R19" start="0" length="0">
    <dxf>
      <border outline="0">
        <bottom style="thin">
          <color indexed="64"/>
        </bottom>
      </border>
    </dxf>
  </rfmt>
  <rfmt sheetId="1" sqref="S19" start="0" length="0">
    <dxf>
      <border outline="0">
        <bottom style="thin">
          <color indexed="64"/>
        </bottom>
      </border>
    </dxf>
  </rfmt>
  <rfmt sheetId="1" sqref="T19" start="0" length="0">
    <dxf>
      <border outline="0">
        <bottom style="thin">
          <color indexed="64"/>
        </bottom>
      </border>
    </dxf>
  </rfmt>
  <rfmt sheetId="1" sqref="U19" start="0" length="0">
    <dxf>
      <border outline="0">
        <bottom style="thin">
          <color indexed="64"/>
        </bottom>
      </border>
    </dxf>
  </rfmt>
  <rfmt sheetId="1" sqref="V19" start="0" length="0">
    <dxf>
      <border outline="0">
        <bottom style="thin">
          <color indexed="64"/>
        </bottom>
      </border>
    </dxf>
  </rfmt>
  <rfmt sheetId="1" sqref="W19" start="0" length="0">
    <dxf>
      <border outline="0">
        <bottom style="thin">
          <color indexed="64"/>
        </bottom>
      </border>
    </dxf>
  </rfmt>
  <rfmt sheetId="1" sqref="X19" start="0" length="0">
    <dxf>
      <border outline="0">
        <right style="thin">
          <color indexed="64"/>
        </right>
        <bottom style="thin">
          <color indexed="64"/>
        </bottom>
      </border>
    </dxf>
  </rfmt>
  <rcc rId="419" sId="1">
    <nc r="A19" t="inlineStr">
      <is>
        <t>1st</t>
      </is>
    </nc>
  </rcc>
  <rcc rId="420" sId="1">
    <nc r="D19">
      <v>3</v>
    </nc>
  </rcc>
  <rfmt sheetId="1" sqref="Z17:Z19" start="0" length="0">
    <dxf>
      <border>
        <right style="thin">
          <color indexed="64"/>
        </right>
      </border>
    </dxf>
  </rfmt>
  <rfmt sheetId="1" sqref="A19:Z19" start="0" length="0">
    <dxf>
      <border>
        <bottom style="thin">
          <color indexed="64"/>
        </bottom>
      </border>
    </dxf>
  </rfmt>
  <rcc rId="421" sId="1">
    <nc r="E19">
      <v>21</v>
    </nc>
  </rcc>
  <rcc rId="422" sId="1">
    <nc r="F19">
      <v>0</v>
    </nc>
  </rcc>
  <rcc rId="423" sId="1">
    <nc r="G19">
      <v>1</v>
    </nc>
  </rcc>
  <rcc rId="424" sId="1">
    <nc r="X19" t="inlineStr">
      <is>
        <t xml:space="preserve">NOTIONAL_BALANCE wrongly map; 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5" sId="1">
    <nc r="H19">
      <v>1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X18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6" sId="1">
    <nc r="X18" t="inlineStr">
      <is>
        <t>END_CUTOFFDATE_DEFERRED_PRINCIPAL wrongly captured for Group 1 and Group 2,PREPAY_PENALTIES should be captured for group1, group 2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7" sId="1">
    <oc r="X18" t="inlineStr">
      <is>
        <t>END_CUTOFFDATE_DEFERRED_PRINCIPAL wrongly captured for Group 1 and Group 2,PREPAY_PENALTIES should be captured for group1, group 2</t>
      </is>
    </oc>
    <nc r="X18" t="inlineStr">
      <is>
        <t>END_CUTOFFDATE_DEFERRED_PRINCIPAL wrongly captured for Group 1 and Group 2,PREPAY_PENALTIES should be captured for group1, group 2. BEGIN_POOL_ACTUAL_BALANCE data field missing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8" sId="1">
    <nc r="K18">
      <v>1</v>
    </nc>
  </rcc>
  <rcc rId="429" sId="1">
    <nc r="J18">
      <v>1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0" sId="1">
    <nc r="I19">
      <v>147</v>
    </nc>
  </rcc>
  <rcc rId="431" sId="1">
    <nc r="J19">
      <v>5</v>
    </nc>
  </rcc>
  <rcc rId="432" sId="1">
    <nc r="K19">
      <v>0</v>
    </nc>
  </rcc>
  <rcc rId="433" sId="1">
    <oc r="X19" t="inlineStr">
      <is>
        <t xml:space="preserve">NOTIONAL_BALANCE wrongly map; </t>
      </is>
    </oc>
    <nc r="X19" t="inlineStr">
      <is>
        <t>NOTIONAL_BALANCE wrongly map; BEGIN_POOL_BALANCE_ACTUAL, DAY_DELINQUENCIES_90_119_NEW, DAY_DELINQUENCIES_120_149_NEW, DAY_DELINQUENCIES_150_179_NEW, DAY_DELINQUENCIES_180_PLUS_NEW should be Mapped;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4" sId="1">
    <nc r="B20">
      <v>1013412</v>
    </nc>
  </rcc>
  <rcc rId="435" sId="1">
    <nc r="C20" t="inlineStr">
      <is>
        <t>Ajax Mortgage Loan Trust 2018-G</t>
      </is>
    </nc>
  </rcc>
  <rcc rId="436" sId="1" odxf="1" dxf="1">
    <nc r="A20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7" sId="1">
    <oc r="J18">
      <v>1</v>
    </oc>
    <nc r="J18">
      <v>5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Z20" start="0" length="0">
    <dxf>
      <border>
        <right style="thin">
          <color indexed="64"/>
        </right>
      </border>
    </dxf>
  </rfmt>
  <rfmt sheetId="1" sqref="A20:Z20" start="0" length="0">
    <dxf>
      <border>
        <bottom style="thin">
          <color indexed="64"/>
        </bottom>
      </border>
    </dxf>
  </rfmt>
  <rfmt sheetId="1" sqref="A20:Z20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438" sId="1">
    <oc r="X18" t="inlineStr">
      <is>
        <t>END_CUTOFFDATE_DEFERRED_PRINCIPAL wrongly captured for Group 1 and Group 2,PREPAY_PENALTIES should be captured for group1, group 2. BEGIN_POOL_ACTUAL_BALANCE data field missing</t>
      </is>
    </oc>
    <nc r="X18" t="inlineStr">
      <is>
        <t>END_CUTOFFDATE_DEFERRED_PRINCIPAL wrongly captured for Group 1 and Group 2,PREPAY_PENALTIES should be captured for group1, group 2. BEGIN_POOL_ACTUAL_BALANCE data field missing.Admin fee data included in the calculation captured as per LLM logic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9" sId="1">
    <oc r="X18" t="inlineStr">
      <is>
        <t>END_CUTOFFDATE_DEFERRED_PRINCIPAL wrongly captured for Group 1 and Group 2,PREPAY_PENALTIES should be captured for group1, group 2. BEGIN_POOL_ACTUAL_BALANCE data field missing.Admin fee data included in the calculation captured as per LLM logic</t>
      </is>
    </oc>
    <nc r="X18" t="inlineStr">
      <is>
        <t>END_CUTOFFDATE_DEFERRED_PRINCIPAL wrongly captured for Group 1 and Group 2,PREPAY_PENALTIES should be captured for group1, group 2. BEGIN_POOL_ACTUAL_BALANCE data field missing.Admin fee data included in the total fees exp calculation captured as per LLM logic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0" sId="1">
    <nc r="D20">
      <v>5</v>
    </nc>
  </rcc>
  <rcc rId="441" sId="1">
    <nc r="E20">
      <v>21</v>
    </nc>
  </rcc>
  <rcc rId="442" sId="1">
    <nc r="F20">
      <v>0</v>
    </nc>
  </rcc>
  <rcc rId="443" sId="1">
    <nc r="G20">
      <v>0</v>
    </nc>
  </rcc>
  <rcc rId="444" sId="1">
    <nc r="H20">
      <v>1</v>
    </nc>
  </rcc>
  <rcc rId="445" sId="1">
    <nc r="I20">
      <v>147</v>
    </nc>
  </rcc>
  <rcc rId="446" sId="1">
    <nc r="J20">
      <v>5</v>
    </nc>
  </rcc>
  <rcc rId="447" sId="1">
    <nc r="K20">
      <v>1</v>
    </nc>
  </rcc>
  <rcc rId="448" sId="1">
    <nc r="X20" t="inlineStr">
      <is>
        <t>TOTAL_FEES_EXPENSES should be rectified map (LLM include TOTAL_FEES_EXPENSES); BEGIN_POOL_BALANCE_ACTUAL, DAY_DELINQUENCIES_90_119_NEW, DAY_DELINQUENCIES_120_149_NEW, DAY_DELINQUENCIES_150_179_NEW, DAY_DELINQUENCIES_180_PLUS_NEW should be Mapped;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9" sId="1" odxf="1" dxf="1">
    <nc r="A21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0" sId="1" odxf="1" dxf="1">
    <nc r="B21">
      <v>1011575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1" sId="1" odxf="1" dxf="1">
    <nc r="C21" t="inlineStr">
      <is>
        <t>NYMT Loan Trust 2020 - SP2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" sId="1">
    <nc r="L20">
      <v>1</v>
    </nc>
  </rcc>
  <rcc rId="453" sId="1">
    <nc r="M20">
      <v>4</v>
    </nc>
  </rcc>
  <rcc rId="454" sId="1">
    <nc r="O20">
      <v>0</v>
    </nc>
  </rcc>
  <rcc rId="455" sId="1">
    <nc r="N20">
      <v>0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1">
    <oc r="B20">
      <v>1013412</v>
    </oc>
    <nc r="B20">
      <v>1011575</v>
    </nc>
  </rcc>
  <rcc rId="457" sId="1">
    <oc r="C20" t="inlineStr">
      <is>
        <t>Ajax Mortgage Loan Trust 2018-G</t>
      </is>
    </oc>
    <nc r="C20" t="inlineStr">
      <is>
        <t>NYMT Loan Trust 2020 - SP2</t>
      </is>
    </nc>
  </rcc>
  <rcc rId="458" sId="1">
    <oc r="B21">
      <v>1011575</v>
    </oc>
    <nc r="B21"/>
  </rcc>
  <rcc rId="459" sId="1">
    <oc r="C21" t="inlineStr">
      <is>
        <t>NYMT Loan Trust 2020 - SP2</t>
      </is>
    </oc>
    <nc r="C21"/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0" sId="1" odxf="1" dxf="1">
    <nc r="B21">
      <v>1013412</v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461" sId="1" odxf="1" dxf="1">
    <nc r="C21" t="inlineStr">
      <is>
        <t>Ajax Mortgage Loan Trust 2018-G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fmt sheetId="1" sqref="B21:C21" start="0" length="0">
    <dxf>
      <border>
        <bottom style="thin">
          <color indexed="64"/>
        </bottom>
      </border>
    </dxf>
  </rfmt>
  <rfmt sheetId="1" sqref="B21:C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62" sId="1">
    <nc r="D21">
      <v>3</v>
    </nc>
  </rcc>
  <rcc rId="463" sId="1">
    <nc r="E21">
      <v>21</v>
    </nc>
  </rcc>
  <rcc rId="464" sId="1">
    <nc r="F21">
      <v>0</v>
    </nc>
  </rcc>
  <rcc rId="465" sId="1">
    <nc r="H21">
      <v>3</v>
    </nc>
  </rcc>
  <rcc rId="466" sId="1">
    <nc r="I21">
      <v>147</v>
    </nc>
  </rcc>
  <rcc rId="467" sId="1">
    <nc r="J21">
      <v>5</v>
    </nc>
  </rcc>
  <rcc rId="468" sId="1">
    <nc r="K21">
      <v>1</v>
    </nc>
  </rcc>
  <rcc rId="469" sId="1">
    <nc r="L21">
      <v>1</v>
    </nc>
  </rcc>
  <rcc rId="470" sId="1">
    <nc r="M21">
      <v>4</v>
    </nc>
  </rcc>
  <rcc rId="471" sId="1">
    <nc r="N21">
      <v>0</v>
    </nc>
  </rcc>
  <rcc rId="472" sId="1">
    <oc r="L20">
      <v>1</v>
    </oc>
    <nc r="L20"/>
  </rcc>
  <rcc rId="473" sId="1">
    <oc r="M20">
      <v>4</v>
    </oc>
    <nc r="M20"/>
  </rcc>
  <rcc rId="474" sId="1">
    <oc r="N20">
      <v>0</v>
    </oc>
    <nc r="N20"/>
  </rcc>
  <rcc rId="475" sId="1">
    <oc r="O20">
      <v>0</v>
    </oc>
    <nc r="O20"/>
  </rcc>
  <rcc rId="476" sId="1">
    <nc r="O21">
      <v>0</v>
    </nc>
  </rcc>
  <rcc rId="477" sId="1">
    <nc r="G21">
      <v>1</v>
    </nc>
  </rcc>
  <rfmt sheetId="1" xfDxf="1" sqref="X21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8" sId="1">
    <nc r="X21" t="inlineStr">
      <is>
        <t>TRANCHE_FACTOR--8 decimal data captured ,END_CUTOFFDATE_DEFERRED_PRINCIPAL wrongly captured for Group 1 and Group 2.Admin fee data included in the total fees exp calculation captured as per LLM logic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" sId="1">
    <nc r="B22">
      <v>1013413</v>
    </nc>
  </rcc>
  <rcc rId="480" sId="1">
    <nc r="C22" t="inlineStr">
      <is>
        <t>Ajax Mortgage Loan Trust 2018-E</t>
      </is>
    </nc>
  </rcc>
  <rcc rId="481" sId="1" odxf="1" dxf="1">
    <nc r="A22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Z22" start="0" length="0">
    <dxf>
      <border>
        <right style="thin">
          <color indexed="64"/>
        </right>
      </border>
    </dxf>
  </rfmt>
  <rfmt sheetId="1" sqref="A22:Z22" start="0" length="0">
    <dxf>
      <border>
        <bottom style="thin">
          <color indexed="64"/>
        </bottom>
      </border>
    </dxf>
  </rfmt>
  <rfmt sheetId="1" sqref="A22:Z22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X22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2" sId="1">
    <nc r="X22" t="inlineStr">
      <is>
        <t>END_CUTOFFDATE_DEFERRED_PRINCIPAL wrongly captured for Group 1 and Group 2.Admin fee data included in the total fees exp calculation captured as per LLM logic,BALANCE_OF_TOTAL_LOANS_LIQUIDATED_DURING_THE_PERIOD should not be captured for group 2 as not reported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3" sId="1">
    <nc r="D22">
      <v>1</v>
    </nc>
  </rcc>
  <rcc rId="484" sId="1">
    <nc r="E22">
      <v>21</v>
    </nc>
  </rcc>
  <rcc rId="485" sId="1">
    <nc r="F22">
      <v>0</v>
    </nc>
  </rcc>
  <rcc rId="486" sId="1">
    <nc r="G22">
      <v>1</v>
    </nc>
  </rcc>
  <rcc rId="487" sId="1">
    <nc r="H22">
      <v>3</v>
    </nc>
  </rcc>
  <rcc rId="488" sId="1">
    <nc r="I22">
      <v>147</v>
    </nc>
  </rcc>
  <rcc rId="489" sId="1">
    <nc r="J22">
      <v>5</v>
    </nc>
  </rcc>
  <rcc rId="490" sId="1">
    <oc r="X22" t="inlineStr">
      <is>
        <t>END_CUTOFFDATE_DEFERRED_PRINCIPAL wrongly captured for Group 1 and Group 2.Admin fee data included in the total fees exp calculation captured as per LLM logic,BALANCE_OF_TOTAL_LOANS_LIQUIDATED_DURING_THE_PERIOD should not be captured for group 2 as not reported</t>
      </is>
    </oc>
    <nc r="X22" t="inlineStr">
      <is>
        <t>END_CUTOFFDATE_DEFERRED_PRINCIPAL wrongly captured for Group 1 and Group 2.Admin fee data included in the total fees exp calculation captured as per LLM logic,BALANCE_OF_TOTAL_LOANS_LIQUIDATED_DURING_THE_PERIOD should not be captured for group 2 as not reported.PREPAY_PENALTIES should be captured for group1, group 2.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" sId="1">
    <nc r="K22">
      <v>2</v>
    </nc>
  </rcc>
  <rcc rId="492" sId="1">
    <oc r="J22">
      <v>5</v>
    </oc>
    <nc r="J22">
      <v>6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" sId="1">
    <nc r="B23">
      <v>1013415</v>
    </nc>
  </rcc>
  <rcc rId="494" sId="1">
    <nc r="C23" t="inlineStr">
      <is>
        <t>Ajax Mortgage Loan Trust 2018-B</t>
      </is>
    </nc>
  </rcc>
  <rcc rId="495" sId="1">
    <nc r="B24">
      <v>1013416</v>
    </nc>
  </rcc>
  <rcc rId="496" sId="1">
    <nc r="C24" t="inlineStr">
      <is>
        <t>Ajax Mortgage Loan Trust 2018-A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" sId="1" odxf="1" dxf="1">
    <nc r="A23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8" sId="1" odxf="1" dxf="1">
    <nc r="A24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Z23:Z24" start="0" length="0">
    <dxf>
      <border>
        <right style="thin">
          <color indexed="64"/>
        </right>
      </border>
    </dxf>
  </rfmt>
  <rfmt sheetId="1" sqref="A24:Z24" start="0" length="0">
    <dxf>
      <border>
        <bottom style="thin">
          <color indexed="64"/>
        </bottom>
      </border>
    </dxf>
  </rfmt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9" sId="1">
    <nc r="X23" t="inlineStr">
      <is>
        <t>This deal should be processed with previous month report, as this is incomplete report.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0" sId="1">
    <nc r="D23">
      <v>2</v>
    </nc>
  </rcc>
  <rcc rId="501" sId="1">
    <nc r="E23">
      <v>21</v>
    </nc>
  </rcc>
  <rcc rId="502" sId="1">
    <nc r="F23">
      <v>0</v>
    </nc>
  </rcc>
  <rcc rId="503" sId="1">
    <nc r="G23">
      <v>0</v>
    </nc>
  </rcc>
  <rcc rId="504" sId="1">
    <nc r="H23">
      <v>1</v>
    </nc>
  </rcc>
  <rcc rId="505" sId="1">
    <nc r="I23">
      <v>147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" sId="1" odxf="1" dxf="1">
    <nc r="A25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7" sId="1" odxf="1" dxf="1">
    <nc r="B25">
      <v>1015901</v>
    </nc>
    <ndxf>
      <border outline="0">
        <bottom style="thin">
          <color indexed="64"/>
        </bottom>
      </border>
    </ndxf>
  </rcc>
  <rcc rId="508" sId="1" odxf="1" dxf="1">
    <nc r="C25" t="inlineStr">
      <is>
        <t>NYMT Loan Trust 2021-SP1</t>
      </is>
    </nc>
    <ndxf>
      <border outline="0">
        <bottom style="thin">
          <color indexed="64"/>
        </bottom>
      </border>
    </ndxf>
  </rcc>
  <rfmt sheetId="1" sqref="D25" start="0" length="0">
    <dxf>
      <border outline="0">
        <bottom style="thin">
          <color indexed="64"/>
        </bottom>
      </border>
    </dxf>
  </rfmt>
  <rfmt sheetId="1" sqref="E25" start="0" length="0">
    <dxf>
      <border outline="0">
        <bottom style="thin">
          <color indexed="64"/>
        </bottom>
      </border>
    </dxf>
  </rfmt>
  <rfmt sheetId="1" sqref="F25" start="0" length="0">
    <dxf>
      <border outline="0">
        <bottom style="thin">
          <color indexed="64"/>
        </bottom>
      </border>
    </dxf>
  </rfmt>
  <rfmt sheetId="1" sqref="G25" start="0" length="0">
    <dxf>
      <border outline="0">
        <bottom style="thin">
          <color indexed="64"/>
        </bottom>
      </border>
    </dxf>
  </rfmt>
  <rfmt sheetId="1" sqref="H25" start="0" length="0">
    <dxf>
      <border outline="0">
        <bottom style="thin">
          <color indexed="64"/>
        </bottom>
      </border>
    </dxf>
  </rfmt>
  <rfmt sheetId="1" sqref="I25" start="0" length="0">
    <dxf>
      <border outline="0">
        <bottom style="thin">
          <color indexed="64"/>
        </bottom>
      </border>
    </dxf>
  </rfmt>
  <rfmt sheetId="1" sqref="J25" start="0" length="0">
    <dxf>
      <border outline="0">
        <bottom style="thin">
          <color indexed="64"/>
        </bottom>
      </border>
    </dxf>
  </rfmt>
  <rfmt sheetId="1" sqref="K25" start="0" length="0">
    <dxf>
      <border outline="0">
        <bottom style="thin">
          <color indexed="64"/>
        </bottom>
      </border>
    </dxf>
  </rfmt>
  <rfmt sheetId="1" sqref="L25" start="0" length="0">
    <dxf>
      <border outline="0">
        <bottom style="thin">
          <color indexed="64"/>
        </bottom>
      </border>
    </dxf>
  </rfmt>
  <rfmt sheetId="1" sqref="M25" start="0" length="0">
    <dxf>
      <border outline="0">
        <bottom style="thin">
          <color indexed="64"/>
        </bottom>
      </border>
    </dxf>
  </rfmt>
  <rfmt sheetId="1" sqref="N25" start="0" length="0">
    <dxf>
      <border outline="0">
        <bottom style="thin">
          <color indexed="64"/>
        </bottom>
      </border>
    </dxf>
  </rfmt>
  <rfmt sheetId="1" sqref="O25" start="0" length="0">
    <dxf>
      <border outline="0">
        <bottom style="thin">
          <color indexed="64"/>
        </bottom>
      </border>
    </dxf>
  </rfmt>
  <rfmt sheetId="1" sqref="P25" start="0" length="0">
    <dxf>
      <border outline="0">
        <bottom style="thin">
          <color indexed="64"/>
        </bottom>
      </border>
    </dxf>
  </rfmt>
  <rfmt sheetId="1" sqref="Q25" start="0" length="0">
    <dxf>
      <border outline="0">
        <bottom style="thin">
          <color indexed="64"/>
        </bottom>
      </border>
    </dxf>
  </rfmt>
  <rfmt sheetId="1" sqref="R25" start="0" length="0">
    <dxf>
      <border outline="0">
        <bottom style="thin">
          <color indexed="64"/>
        </bottom>
      </border>
    </dxf>
  </rfmt>
  <rfmt sheetId="1" sqref="S25" start="0" length="0">
    <dxf>
      <border outline="0">
        <bottom style="thin">
          <color indexed="64"/>
        </bottom>
      </border>
    </dxf>
  </rfmt>
  <rfmt sheetId="1" sqref="T25" start="0" length="0">
    <dxf>
      <border outline="0">
        <bottom style="thin">
          <color indexed="64"/>
        </bottom>
      </border>
    </dxf>
  </rfmt>
  <rfmt sheetId="1" sqref="U25" start="0" length="0">
    <dxf>
      <border outline="0">
        <bottom style="thin">
          <color indexed="64"/>
        </bottom>
      </border>
    </dxf>
  </rfmt>
  <rfmt sheetId="1" sqref="V25" start="0" length="0">
    <dxf>
      <border outline="0">
        <bottom style="thin">
          <color indexed="64"/>
        </bottom>
      </border>
    </dxf>
  </rfmt>
  <rfmt sheetId="1" sqref="W25" start="0" length="0">
    <dxf>
      <border outline="0">
        <bottom style="thin">
          <color indexed="64"/>
        </bottom>
      </border>
    </dxf>
  </rfmt>
  <rfmt sheetId="1" sqref="X25" start="0" length="0">
    <dxf>
      <border outline="0">
        <bottom style="thin">
          <color indexed="64"/>
        </bottom>
      </border>
    </dxf>
  </rfmt>
  <rfmt sheetId="1" sqref="Y25" start="0" length="0">
    <dxf>
      <border outline="0">
        <bottom style="thin">
          <color indexed="64"/>
        </bottom>
      </border>
    </dxf>
  </rfmt>
  <rfmt sheetId="1" sqref="Z25" start="0" length="0">
    <dxf>
      <border outline="0">
        <right style="thin">
          <color indexed="64"/>
        </right>
        <bottom style="thin">
          <color indexed="64"/>
        </bottom>
      </border>
    </dxf>
  </rfmt>
  <rcc rId="509" sId="1">
    <nc r="D25">
      <v>5</v>
    </nc>
  </rcc>
  <rcc rId="510" sId="1">
    <nc r="E25">
      <v>21</v>
    </nc>
  </rcc>
  <rcc rId="511" sId="1">
    <nc r="F25">
      <v>0</v>
    </nc>
  </rcc>
  <rcc rId="512" sId="1">
    <nc r="G25">
      <v>0</v>
    </nc>
  </rcc>
  <rcc rId="513" sId="1">
    <nc r="H25">
      <v>1</v>
    </nc>
  </rcc>
  <rcc rId="514" sId="1">
    <nc r="I25">
      <v>147</v>
    </nc>
  </rcc>
  <rcc rId="515" sId="1">
    <nc r="J25">
      <v>5</v>
    </nc>
  </rcc>
  <rcc rId="516" sId="1">
    <nc r="K25">
      <v>1</v>
    </nc>
  </rcc>
  <rcc rId="517" sId="1" odxf="1" dxf="1">
    <nc r="X25" t="inlineStr">
      <is>
        <t>TOTAL_FEES_EXPENSES should be rectified map (LLM include TOTAL_FEES_EXPENSES); BEGIN_POOL_BALANCE_ACTUAL, DAY_DELINQUENCIES_90_119_NEW, DAY_DELINQUENCIES_120_149_NEW, DAY_DELINQUENCIES_150_179_NEW, DAY_DELINQUENCIES_180_PLUS_NEW should be Mapped;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8" sId="1">
    <nc r="A26" t="inlineStr">
      <is>
        <t>1st</t>
      </is>
    </nc>
  </rcc>
  <rcc rId="519" sId="1" odxf="1" dxf="1">
    <nc r="B26">
      <v>1015902</v>
    </nc>
    <ndxf>
      <border outline="0">
        <bottom style="thin">
          <color indexed="64"/>
        </bottom>
      </border>
    </ndxf>
  </rcc>
  <rcc rId="520" sId="1" odxf="1" dxf="1">
    <nc r="C26" t="inlineStr">
      <is>
        <t>NYMT Loan Trust 2022-SP1</t>
      </is>
    </nc>
    <ndxf>
      <border outline="0">
        <bottom style="thin">
          <color indexed="64"/>
        </bottom>
      </border>
    </ndxf>
  </rcc>
  <rfmt sheetId="1" sqref="D26" start="0" length="0">
    <dxf>
      <border outline="0">
        <bottom style="thin">
          <color indexed="64"/>
        </bottom>
      </border>
    </dxf>
  </rfmt>
  <rfmt sheetId="1" sqref="E26" start="0" length="0">
    <dxf>
      <border outline="0">
        <bottom style="thin">
          <color indexed="64"/>
        </bottom>
      </border>
    </dxf>
  </rfmt>
  <rfmt sheetId="1" sqref="F26" start="0" length="0">
    <dxf>
      <border outline="0">
        <bottom style="thin">
          <color indexed="64"/>
        </bottom>
      </border>
    </dxf>
  </rfmt>
  <rfmt sheetId="1" sqref="G26" start="0" length="0">
    <dxf>
      <border outline="0">
        <bottom style="thin">
          <color indexed="64"/>
        </bottom>
      </border>
    </dxf>
  </rfmt>
  <rfmt sheetId="1" sqref="H26" start="0" length="0">
    <dxf>
      <border outline="0">
        <bottom style="thin">
          <color indexed="64"/>
        </bottom>
      </border>
    </dxf>
  </rfmt>
  <rfmt sheetId="1" sqref="I26" start="0" length="0">
    <dxf>
      <border outline="0">
        <bottom style="thin">
          <color indexed="64"/>
        </bottom>
      </border>
    </dxf>
  </rfmt>
  <rfmt sheetId="1" sqref="J26" start="0" length="0">
    <dxf>
      <border outline="0">
        <bottom style="thin">
          <color indexed="64"/>
        </bottom>
      </border>
    </dxf>
  </rfmt>
  <rfmt sheetId="1" sqref="K26" start="0" length="0">
    <dxf>
      <border outline="0">
        <bottom style="thin">
          <color indexed="64"/>
        </bottom>
      </border>
    </dxf>
  </rfmt>
  <rfmt sheetId="1" sqref="L26" start="0" length="0">
    <dxf>
      <border outline="0">
        <bottom style="thin">
          <color indexed="64"/>
        </bottom>
      </border>
    </dxf>
  </rfmt>
  <rfmt sheetId="1" sqref="M26" start="0" length="0">
    <dxf>
      <border outline="0">
        <bottom style="thin">
          <color indexed="64"/>
        </bottom>
      </border>
    </dxf>
  </rfmt>
  <rfmt sheetId="1" sqref="N26" start="0" length="0">
    <dxf>
      <border outline="0">
        <bottom style="thin">
          <color indexed="64"/>
        </bottom>
      </border>
    </dxf>
  </rfmt>
  <rfmt sheetId="1" sqref="O26" start="0" length="0">
    <dxf>
      <border outline="0">
        <bottom style="thin">
          <color indexed="64"/>
        </bottom>
      </border>
    </dxf>
  </rfmt>
  <rfmt sheetId="1" sqref="P26" start="0" length="0">
    <dxf>
      <border outline="0">
        <bottom style="thin">
          <color indexed="64"/>
        </bottom>
      </border>
    </dxf>
  </rfmt>
  <rfmt sheetId="1" sqref="Q26" start="0" length="0">
    <dxf>
      <border outline="0">
        <bottom style="thin">
          <color indexed="64"/>
        </bottom>
      </border>
    </dxf>
  </rfmt>
  <rfmt sheetId="1" sqref="R26" start="0" length="0">
    <dxf>
      <border outline="0">
        <bottom style="thin">
          <color indexed="64"/>
        </bottom>
      </border>
    </dxf>
  </rfmt>
  <rfmt sheetId="1" sqref="S26" start="0" length="0">
    <dxf>
      <border outline="0">
        <bottom style="thin">
          <color indexed="64"/>
        </bottom>
      </border>
    </dxf>
  </rfmt>
  <rfmt sheetId="1" sqref="T26" start="0" length="0">
    <dxf>
      <border outline="0">
        <bottom style="thin">
          <color indexed="64"/>
        </bottom>
      </border>
    </dxf>
  </rfmt>
  <rfmt sheetId="1" sqref="U26" start="0" length="0">
    <dxf>
      <border outline="0">
        <bottom style="thin">
          <color indexed="64"/>
        </bottom>
      </border>
    </dxf>
  </rfmt>
  <rfmt sheetId="1" sqref="V26" start="0" length="0">
    <dxf>
      <border outline="0">
        <bottom style="thin">
          <color indexed="64"/>
        </bottom>
      </border>
    </dxf>
  </rfmt>
  <rfmt sheetId="1" sqref="W26" start="0" length="0">
    <dxf>
      <border outline="0">
        <bottom style="thin">
          <color indexed="64"/>
        </bottom>
      </border>
    </dxf>
  </rfmt>
  <rfmt sheetId="1" sqref="X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26" start="0" length="0">
    <dxf>
      <border outline="0">
        <bottom style="thin">
          <color indexed="64"/>
        </bottom>
      </border>
    </dxf>
  </rfmt>
  <rfmt sheetId="1" sqref="Z26" start="0" length="0">
    <dxf>
      <border outline="0">
        <right style="thin">
          <color indexed="64"/>
        </right>
        <bottom style="thin">
          <color indexed="64"/>
        </bottom>
      </border>
    </dxf>
  </rfmt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1" sId="1" odxf="1" dxf="1">
    <nc r="B27">
      <v>1022055</v>
    </nc>
    <ndxf>
      <border outline="0">
        <bottom style="thin">
          <color indexed="64"/>
        </bottom>
      </border>
    </ndxf>
  </rcc>
  <rcc rId="522" sId="1" odxf="1" dxf="1">
    <nc r="C27" t="inlineStr">
      <is>
        <t>NYMT Loan Trust 2025-INV2</t>
      </is>
    </nc>
    <ndxf>
      <border outline="0">
        <bottom style="thin">
          <color indexed="64"/>
        </bottom>
      </border>
    </ndxf>
  </rcc>
  <rfmt sheetId="1" sqref="D27" start="0" length="0">
    <dxf>
      <border outline="0">
        <bottom style="thin">
          <color indexed="64"/>
        </bottom>
      </border>
    </dxf>
  </rfmt>
  <rfmt sheetId="1" sqref="E27" start="0" length="0">
    <dxf>
      <border outline="0">
        <bottom style="thin">
          <color indexed="64"/>
        </bottom>
      </border>
    </dxf>
  </rfmt>
  <rfmt sheetId="1" sqref="F27" start="0" length="0">
    <dxf>
      <border outline="0">
        <bottom style="thin">
          <color indexed="64"/>
        </bottom>
      </border>
    </dxf>
  </rfmt>
  <rfmt sheetId="1" sqref="G27" start="0" length="0">
    <dxf>
      <border outline="0">
        <bottom style="thin">
          <color indexed="64"/>
        </bottom>
      </border>
    </dxf>
  </rfmt>
  <rfmt sheetId="1" sqref="H27" start="0" length="0">
    <dxf>
      <border outline="0">
        <bottom style="thin">
          <color indexed="64"/>
        </bottom>
      </border>
    </dxf>
  </rfmt>
  <rfmt sheetId="1" sqref="I27" start="0" length="0">
    <dxf>
      <border outline="0">
        <bottom style="thin">
          <color indexed="64"/>
        </bottom>
      </border>
    </dxf>
  </rfmt>
  <rfmt sheetId="1" sqref="J27" start="0" length="0">
    <dxf>
      <border outline="0">
        <bottom style="thin">
          <color indexed="64"/>
        </bottom>
      </border>
    </dxf>
  </rfmt>
  <rfmt sheetId="1" sqref="K27" start="0" length="0">
    <dxf>
      <border outline="0">
        <bottom style="thin">
          <color indexed="64"/>
        </bottom>
      </border>
    </dxf>
  </rfmt>
  <rfmt sheetId="1" sqref="L27" start="0" length="0">
    <dxf>
      <border outline="0">
        <bottom style="thin">
          <color indexed="64"/>
        </bottom>
      </border>
    </dxf>
  </rfmt>
  <rfmt sheetId="1" sqref="M27" start="0" length="0">
    <dxf>
      <border outline="0">
        <bottom style="thin">
          <color indexed="64"/>
        </bottom>
      </border>
    </dxf>
  </rfmt>
  <rfmt sheetId="1" sqref="N27" start="0" length="0">
    <dxf>
      <border outline="0">
        <bottom style="thin">
          <color indexed="64"/>
        </bottom>
      </border>
    </dxf>
  </rfmt>
  <rfmt sheetId="1" sqref="O27" start="0" length="0">
    <dxf>
      <border outline="0">
        <bottom style="thin">
          <color indexed="64"/>
        </bottom>
      </border>
    </dxf>
  </rfmt>
  <rfmt sheetId="1" sqref="P27" start="0" length="0">
    <dxf>
      <border outline="0">
        <bottom style="thin">
          <color indexed="64"/>
        </bottom>
      </border>
    </dxf>
  </rfmt>
  <rfmt sheetId="1" sqref="Q27" start="0" length="0">
    <dxf>
      <border outline="0">
        <bottom style="thin">
          <color indexed="64"/>
        </bottom>
      </border>
    </dxf>
  </rfmt>
  <rfmt sheetId="1" sqref="R27" start="0" length="0">
    <dxf>
      <border outline="0">
        <bottom style="thin">
          <color indexed="64"/>
        </bottom>
      </border>
    </dxf>
  </rfmt>
  <rfmt sheetId="1" sqref="S27" start="0" length="0">
    <dxf>
      <border outline="0">
        <bottom style="thin">
          <color indexed="64"/>
        </bottom>
      </border>
    </dxf>
  </rfmt>
  <rfmt sheetId="1" sqref="T27" start="0" length="0">
    <dxf>
      <border outline="0">
        <bottom style="thin">
          <color indexed="64"/>
        </bottom>
      </border>
    </dxf>
  </rfmt>
  <rfmt sheetId="1" sqref="U27" start="0" length="0">
    <dxf>
      <border outline="0">
        <bottom style="thin">
          <color indexed="64"/>
        </bottom>
      </border>
    </dxf>
  </rfmt>
  <rfmt sheetId="1" sqref="V27" start="0" length="0">
    <dxf>
      <border outline="0">
        <bottom style="thin">
          <color indexed="64"/>
        </bottom>
      </border>
    </dxf>
  </rfmt>
  <rfmt sheetId="1" sqref="W27" start="0" length="0">
    <dxf>
      <border outline="0">
        <bottom style="thin">
          <color indexed="64"/>
        </bottom>
      </border>
    </dxf>
  </rfmt>
  <rfmt sheetId="1" sqref="X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27" start="0" length="0">
    <dxf>
      <border outline="0">
        <bottom style="thin">
          <color indexed="64"/>
        </bottom>
      </border>
    </dxf>
  </rfmt>
  <rfmt sheetId="1" sqref="Z27" start="0" length="0">
    <dxf>
      <border outline="0">
        <right style="thin">
          <color indexed="64"/>
        </right>
        <bottom style="thin">
          <color indexed="64"/>
        </bottom>
      </border>
    </dxf>
  </rfmt>
  <rcc rId="523" sId="1">
    <nc r="A27" t="inlineStr">
      <is>
        <t>1st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" sId="1">
    <nc r="D24">
      <v>2</v>
    </nc>
  </rcc>
  <rcc rId="525" sId="1">
    <nc r="E24">
      <v>21</v>
    </nc>
  </rcc>
  <rcc rId="526" sId="1">
    <nc r="F24">
      <v>0</v>
    </nc>
  </rcc>
  <rcc rId="527" sId="1">
    <nc r="G24">
      <v>0</v>
    </nc>
  </rcc>
  <rcc rId="528" sId="1">
    <nc r="H24">
      <v>1</v>
    </nc>
  </rcc>
  <rcc rId="529" sId="1">
    <nc r="I24">
      <v>147</v>
    </nc>
  </rcc>
  <rcc rId="530" sId="1">
    <nc r="K24">
      <v>4</v>
    </nc>
  </rcc>
  <rcc rId="531" sId="1">
    <nc r="J24">
      <v>4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2" sId="1">
    <nc r="X24" t="inlineStr">
      <is>
        <t>TRANCHE_FACTOR--8 decimal data captured ,TOTAL_FEES_EXPENSES,DAY_DELINQUENCIES_180_PLUS_NEW,BALANCE_OF_TOTAL_LOANS_LIQUIDATED_DURING_THE_PERIOD,END_CUTOFFDATE_DEFERRED_PRINCIPAL wrongly captured for group 1 and group 2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D25:D27" start="0" length="0">
    <dxf>
      <border>
        <left style="thin">
          <color indexed="64"/>
        </left>
      </border>
    </dxf>
  </rfmt>
  <rfmt sheetId="1" sqref="D25:X27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fmt sheetId="1" sqref="B25:C27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" sId="1">
    <nc r="D26">
      <v>5</v>
    </nc>
  </rcc>
  <rcc rId="534" sId="1">
    <nc r="E26">
      <v>21</v>
    </nc>
  </rcc>
  <rcc rId="535" sId="1">
    <nc r="F26">
      <v>0</v>
    </nc>
  </rcc>
  <rcc rId="536" sId="1">
    <nc r="G26">
      <v>0</v>
    </nc>
  </rcc>
  <rcc rId="537" sId="1">
    <nc r="H26">
      <v>1</v>
    </nc>
  </rcc>
  <rcc rId="538" sId="1">
    <nc r="I26">
      <v>147</v>
    </nc>
  </rcc>
  <rcc rId="539" sId="1">
    <nc r="L26">
      <v>2</v>
    </nc>
  </rcc>
  <rcc rId="540" sId="1">
    <nc r="M26">
      <v>4</v>
    </nc>
  </rcc>
  <rcc rId="541" sId="1">
    <nc r="N26">
      <v>0</v>
    </nc>
  </rcc>
  <rcc rId="542" sId="1">
    <nc r="O26">
      <v>0</v>
    </nc>
  </rcc>
  <rcc rId="543" sId="1">
    <nc r="K26">
      <v>2</v>
    </nc>
  </rcc>
  <rcc rId="544" sId="1">
    <nc r="J26">
      <v>5</v>
    </nc>
  </rcc>
  <rcc rId="545" sId="1">
    <nc r="X26" t="inlineStr">
      <is>
        <t>TOTAL_FEES_EXPENSES should be rectified map (LLM include TOTAL_FEES_EXPENSES); INSURANCE_PREMIUM_FEES wrong map; BEGIN_POOL_BALANCE_ACTUAL, DAY_DELINQUENCIES_90_119_NEW, DAY_DELINQUENCIES_120_149_NEW, DAY_DELINQUENCIES_150_179_NEW, DAY_DELINQUENCIES_180_PLUS_NEW should be Mapped;</t>
      </is>
    </nc>
  </rcc>
  <rcv guid="{0AF455B7-E4E3-4C97-BF8A-2F2A5D078819}" action="delete"/>
  <rdn rId="0" localSheetId="1" customView="1" name="Z_0AF455B7_E4E3_4C97_BF8A_2F2A5D078819_.wvu.FilterData" hidden="1" oldHidden="1">
    <formula>Log!$A$1:$Z$16</formula>
  </rdn>
  <rcv guid="{0AF455B7-E4E3-4C97-BF8A-2F2A5D078819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" sId="1">
    <nc r="B28">
      <v>1012300</v>
    </nc>
  </rcc>
  <rcc rId="548" sId="1">
    <nc r="C28" t="inlineStr">
      <is>
        <t>CIM Trust 2020-R1</t>
      </is>
    </nc>
  </rcc>
  <rcc rId="549" sId="1">
    <nc r="B29">
      <v>1012304</v>
    </nc>
  </rcc>
  <rcc rId="550" sId="1">
    <nc r="C29" t="inlineStr">
      <is>
        <t>CIM Trust 2020-R6</t>
      </is>
    </nc>
  </rcc>
  <rcc rId="551" sId="1">
    <nc r="B30">
      <v>1015634</v>
    </nc>
  </rcc>
  <rcc rId="552" sId="1">
    <nc r="C30" t="inlineStr">
      <is>
        <t>CIM TRUST 2020-NR1</t>
      </is>
    </nc>
  </rcc>
  <rcc rId="553" sId="1">
    <nc r="B31">
      <v>1016011</v>
    </nc>
  </rcc>
  <rcc rId="554" sId="1">
    <nc r="C31" t="inlineStr">
      <is>
        <t>CIM Trust 2019-R1</t>
      </is>
    </nc>
  </rcc>
  <rcc rId="555" sId="1">
    <nc r="B32">
      <v>1016545</v>
    </nc>
  </rcc>
  <rcc rId="556" sId="1">
    <nc r="C32" t="inlineStr">
      <is>
        <t>CIM Trust 2023-R1</t>
      </is>
    </nc>
  </rcc>
  <rcc rId="557" sId="1">
    <nc r="B33">
      <v>1016882</v>
    </nc>
  </rcc>
  <rcc rId="558" sId="1">
    <nc r="C33" t="inlineStr">
      <is>
        <t>CIM Trust 2023-R3</t>
      </is>
    </nc>
  </rcc>
  <rcc rId="559" sId="1">
    <nc r="B34">
      <v>1017123</v>
    </nc>
  </rcc>
  <rcc rId="560" sId="1">
    <nc r="C34" t="inlineStr">
      <is>
        <t>CIM Trust 2016-FRE1</t>
      </is>
    </nc>
  </rcc>
  <rfmt sheetId="1" sqref="B28:B34" start="0" length="0">
    <dxf>
      <border>
        <left style="thin">
          <color indexed="64"/>
        </left>
      </border>
    </dxf>
  </rfmt>
  <rfmt sheetId="1" sqref="C28:C34" start="0" length="0">
    <dxf>
      <border>
        <right style="thin">
          <color indexed="64"/>
        </right>
      </border>
    </dxf>
  </rfmt>
  <rfmt sheetId="1" sqref="B34:C34" start="0" length="0">
    <dxf>
      <border>
        <bottom style="thin">
          <color indexed="64"/>
        </bottom>
      </border>
    </dxf>
  </rfmt>
  <rfmt sheetId="1" sqref="B28:C3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561" sId="1" odxf="1" dxf="1">
    <nc r="A28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2" sId="1" odxf="1" dxf="1">
    <nc r="A29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3" sId="1" odxf="1" dxf="1">
    <nc r="A30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4" sId="1" odxf="1" dxf="1">
    <nc r="A31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5" sId="1" odxf="1" dxf="1">
    <nc r="A32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6" sId="1" odxf="1" dxf="1">
    <nc r="A33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7" sId="1" odxf="1" dxf="1">
    <nc r="A34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Z28:Z34" start="0" length="0">
    <dxf>
      <border>
        <right style="thin">
          <color indexed="64"/>
        </right>
      </border>
    </dxf>
  </rfmt>
  <rfmt sheetId="1" sqref="D34:Z34" start="0" length="0">
    <dxf>
      <border>
        <bottom style="thin">
          <color indexed="64"/>
        </bottom>
      </border>
    </dxf>
  </rfmt>
  <rfmt sheetId="1" sqref="D28:Z3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8" sId="1">
    <nc r="D28">
      <v>6</v>
    </nc>
  </rcc>
  <rcc rId="569" sId="1">
    <nc r="E28">
      <v>21</v>
    </nc>
  </rcc>
  <rcc rId="570" sId="1">
    <nc r="F28">
      <v>0</v>
    </nc>
  </rcc>
  <rcc rId="571" sId="1">
    <nc r="G28">
      <v>0</v>
    </nc>
  </rcc>
  <rcc rId="572" sId="1">
    <nc r="H28">
      <v>1</v>
    </nc>
  </rcc>
  <rcc rId="573" sId="1">
    <nc r="I28">
      <v>147</v>
    </nc>
  </rcc>
  <rfmt sheetId="1" xfDxf="1" sqref="X28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74" sId="1">
    <nc r="X28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5" sId="1">
    <oc r="X28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</t>
      </is>
    </oc>
    <nc r="X28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missing.END_CUTOFFDATE_DEFERRED_PRINCIPAL,END_INTEREST_BEARING_PRINCIPAL_BALANCE additional data captured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" sId="1">
    <nc r="J28">
      <v>4</v>
    </nc>
  </rcc>
  <rcc rId="577" sId="1">
    <nc r="K28">
      <v>2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8" sId="1" eol="1" ref="A35:XFD35" action="insertRow"/>
  <rcc rId="579" sId="1" odxf="1" dxf="1">
    <nc r="A35" t="inlineStr">
      <is>
        <t>1st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0" sId="1" odxf="1" dxf="1">
    <nc r="B35">
      <v>824151723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1" sId="1" odxf="1" dxf="1">
    <nc r="C35" t="inlineStr">
      <is>
        <t>American Homes 4 Rent 2014-SFR3 Trust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2" sId="1" odxf="1" dxf="1">
    <nc r="D35">
      <v>6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3" sId="1" odxf="1" dxf="1">
    <nc r="E35">
      <v>21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F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84" sId="1">
    <nc r="F35">
      <v>0</v>
    </nc>
  </rcc>
  <rcc rId="585" sId="1">
    <nc r="G35">
      <v>0</v>
    </nc>
  </rcc>
  <rcc rId="586" sId="1">
    <nc r="X35" t="inlineStr">
      <is>
        <t>INTEREST_DISTRIBUTED, END_TRANCHE_BALANCE, PRINCIPAL_DISTRIBUTED, NOTIONAL_TRANCHE, TRANCHE_ORIGINAL_BALANCE, BEGINNING_TRANCHE_BALANCE fields are duplicate; INTEREST_ACCRUED_TOTAL this is a BLL field and dependency with Other fields; SERVICER_ADVANCE_OUTSTANDING_BAL, NUM_LOAN, SERVICER_ADVANCE_REIMBURSEMENT wrong map; NUM_LOANS, PREPAY_PENALITIES, SERV_FEE_OLD, CUR_MONTHLY_LOSS fields are duplicate</t>
      </is>
    </nc>
  </rcc>
  <rcv guid="{0AF455B7-E4E3-4C97-BF8A-2F2A5D078819}" action="delete"/>
  <rdn rId="0" localSheetId="1" customView="1" name="Z_0AF455B7_E4E3_4C97_BF8A_2F2A5D078819_.wvu.FilterData" hidden="1" oldHidden="1">
    <formula>Log!$A$1:$Z$16</formula>
    <oldFormula>Log!$A$1:$Z$16</oldFormula>
  </rdn>
  <rcv guid="{0AF455B7-E4E3-4C97-BF8A-2F2A5D078819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" sId="1">
    <oc r="X28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missing.END_CUTOFFDATE_DEFERRED_PRINCIPAL,END_INTEREST_BEARING_PRINCIPAL_BALANCE additional data captured</t>
      </is>
    </oc>
    <nc r="X28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 missing.END_CUTOFFDATE_DEFERRED_PRINCIPAL,END_INTEREST_BEARING_PRINCIPAL_BALANCE additional data captured</t>
      </is>
    </nc>
  </rcc>
  <rcc rId="589" sId="1">
    <nc r="X29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 missing.END_CUTOFFDATE_DEFERRED_PRINCIPAL,END_INTEREST_BEARING_PRINCIPAL_BALANCE additional data captured</t>
      </is>
    </nc>
  </rcc>
  <rcc rId="590" sId="1">
    <nc r="E29">
      <v>21</v>
    </nc>
  </rcc>
  <rcc rId="591" sId="1">
    <nc r="D29">
      <v>8</v>
    </nc>
  </rcc>
  <rcc rId="592" sId="1">
    <nc r="F29">
      <v>0</v>
    </nc>
  </rcc>
  <rcc rId="593" sId="1">
    <nc r="G29">
      <v>0</v>
    </nc>
  </rcc>
  <rcc rId="594" sId="1">
    <nc r="H29">
      <v>1</v>
    </nc>
  </rcc>
  <rcc rId="595" sId="1">
    <nc r="I29">
      <v>147</v>
    </nc>
  </rcc>
  <rcc rId="596" sId="1">
    <nc r="J29">
      <v>4</v>
    </nc>
  </rcc>
  <rcc rId="597" sId="1">
    <nc r="K29">
      <v>2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36" start="0" length="0">
    <dxf>
      <alignment horizontal="general" vertical="bottom"/>
    </dxf>
  </rfmt>
  <rfmt sheetId="1" sqref="C36" start="0" length="0">
    <dxf>
      <alignment horizontal="general" vertical="bottom"/>
    </dxf>
  </rfmt>
  <rcc rId="598" sId="1" xfDxf="1" dxf="1">
    <nc r="B36">
      <v>824036997</v>
    </nc>
    <ndxf>
      <alignment vertical="center" wrapText="1"/>
    </ndxf>
  </rcc>
  <rcc rId="599" sId="1" xfDxf="1" dxf="1">
    <nc r="C36" t="inlineStr">
      <is>
        <t>American Homes 4 Rent 2014-SFR2 Trust</t>
      </is>
    </nc>
    <ndxf>
      <alignment vertical="center" wrapText="1"/>
    </ndxf>
  </rcc>
  <rcv guid="{1EE62E9F-0698-46CF-BB3C-23E1EBAB6664}" action="delete"/>
  <rdn rId="0" localSheetId="1" customView="1" name="Z_1EE62E9F_0698_46CF_BB3C_23E1EBAB6664_.wvu.FilterData" hidden="1" oldHidden="1">
    <formula>Log!$A$1:$Z$16</formula>
  </rdn>
  <rcv guid="{1EE62E9F-0698-46CF-BB3C-23E1EBAB6664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1" sId="1" odxf="1" dxf="1">
    <nc r="A36" t="inlineStr">
      <is>
        <t>1st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Z36" start="0" length="0">
    <dxf>
      <border>
        <right style="thin">
          <color indexed="64"/>
        </right>
      </border>
    </dxf>
  </rfmt>
  <rfmt sheetId="1" sqref="A36:Z36" start="0" length="0">
    <dxf>
      <border>
        <bottom style="thin">
          <color indexed="64"/>
        </bottom>
      </border>
    </dxf>
  </rfmt>
  <rfmt sheetId="1" sqref="A36:Z36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602" sId="1">
    <nc r="D36">
      <v>7</v>
    </nc>
  </rcc>
  <rcc rId="603" sId="1">
    <nc r="E36">
      <v>21</v>
    </nc>
  </rcc>
  <rcc rId="604" sId="1">
    <nc r="X36" t="inlineStr">
      <is>
        <t>Dublicate data field(NOTIONAL_TRANCHE,END_TR_BALANCE,TRANCHE_ORIGINAL_BALANCE,BEGINNING_TRANCHE_BALANCE,PRINCIPAL_DISTRIBUTION,INTEREST_DISTRIBUTION,ACCRUED_CERTIFICATE_INTEREST_REMAINING_UNPAID_DISTRIBUTABLE_CERTIFICATE_INTEREST_DISTRIBUTABLE_CERTIFICATE_INTEREST_ADJUSTMENT,PREPAY_PENALITIES). INTEREST_ACCRUED_TOTAL should not be mapped as prev. month dependency. OTHER_FEES,LOAN_CNT_UNSCHED_PRINC,PAYMENTS_OF_INTEREST_PRINCIPAL wrongly mapped. SERVICER_ADVANCE_REIMBURSEMENT data should not be captured as not reported.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5" sId="1">
    <nc r="F36">
      <v>0</v>
    </nc>
  </rcc>
  <rcc rId="606" sId="1">
    <nc r="G36">
      <v>1</v>
    </nc>
  </rcc>
  <rcc rId="607" sId="1">
    <nc r="H36">
      <v>1</v>
    </nc>
  </rcc>
  <rcc rId="608" sId="1">
    <nc r="I36">
      <v>147</v>
    </nc>
  </rcc>
  <rcc rId="609" sId="1">
    <nc r="K36">
      <v>4</v>
    </nc>
  </rcc>
  <rcc rId="610" sId="1">
    <nc r="J36">
      <v>0</v>
    </nc>
  </rcc>
  <rcc rId="611" sId="1">
    <nc r="M36">
      <v>4</v>
    </nc>
  </rcc>
  <rcc rId="612" sId="1">
    <nc r="N36">
      <v>0</v>
    </nc>
  </rcc>
  <rcc rId="613" sId="1">
    <nc r="O36">
      <v>4</v>
    </nc>
  </rcc>
  <rcc rId="614" sId="1">
    <nc r="L36">
      <v>0</v>
    </nc>
  </rcc>
  <rcc rId="615" sId="1">
    <oc r="X36" t="inlineStr">
      <is>
        <t>Dublicate data field(NOTIONAL_TRANCHE,END_TR_BALANCE,TRANCHE_ORIGINAL_BALANCE,BEGINNING_TRANCHE_BALANCE,PRINCIPAL_DISTRIBUTION,INTEREST_DISTRIBUTION,ACCRUED_CERTIFICATE_INTEREST_REMAINING_UNPAID_DISTRIBUTABLE_CERTIFICATE_INTEREST_DISTRIBUTABLE_CERTIFICATE_INTEREST_ADJUSTMENT,PREPAY_PENALITIES). INTEREST_ACCRUED_TOTAL should not be mapped as prev. month dependency. OTHER_FEES,LOAN_CNT_UNSCHED_PRINC,PAYMENTS_OF_INTEREST_PRINCIPAL wrongly mapped. SERVICER_ADVANCE_REIMBURSEMENT data should not be captured as not reported.</t>
      </is>
    </oc>
    <nc r="X36" t="inlineStr">
      <is>
        <t>Dublicate data field(NOTIONAL_TRANCHE,END_TR_BALANCE,TRANCHE_ORIGINAL_BALANCE,BEGINNING_TRANCHE_BALANCE,PRINCIPAL_DISTRIBUTION,INTEREST_DISTRIBUTION,ACCRUED_CERTIFICATE_INTEREST_REMAINING_UNPAID_DISTRIBUTABLE_CERTIFICATE_INTEREST_DISTRIBUTABLE_CERTIFICATE_INTEREST_ADJUSTMENT,PREPAY_PENALITIES). INTEREST_ACCRUED_TOTAL should not be mapped as prev. month dependency. OTHER_FEES,LOAN_CNT_UNSCHED_PRINC,PAYMENTS_OF_INTEREST_PRINCIPAL wrongly mapped. SERVICER_ADVANCE_REIMBURSEMENT data should not be captured as not reported. Credit level data wrongly captured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6" sId="1" odxf="1" dxf="1">
    <nc r="B37">
      <v>1012215</v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7" sId="1" odxf="1" dxf="1">
    <nc r="C37" t="inlineStr">
      <is>
        <t>Visio 2021-1R Trust</t>
      </is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8" sId="1" odxf="1" dxf="1">
    <nc r="B38">
      <v>1012510</v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9" sId="1" odxf="1" dxf="1">
    <nc r="C38" t="inlineStr">
      <is>
        <t>Chase Mortgage Reference Notes 2020-CL1</t>
      </is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0" sId="1" odxf="1" dxf="1">
    <nc r="B39">
      <v>1013299</v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1" sId="1" odxf="1" dxf="1">
    <nc r="C39" t="inlineStr">
      <is>
        <t>Vericrest Opportunity Loan Transferee LLC 2021-NPL7</t>
      </is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2" sId="1" odxf="1" dxf="1">
    <nc r="B40">
      <v>1013549</v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3" sId="1" odxf="1" dxf="1">
    <nc r="C40" t="inlineStr">
      <is>
        <t>Pretium Trust 2021-RN2</t>
      </is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4" sId="1" odxf="1" dxf="1">
    <nc r="B41">
      <v>1022055</v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5" sId="1" odxf="1" dxf="1">
    <nc r="C41" t="inlineStr">
      <is>
        <t>NYMT Loan Trust 2025-INV2</t>
      </is>
    </nc>
    <ndxf>
      <alignment horizontal="general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6" sId="1">
    <nc r="A37" t="inlineStr">
      <is>
        <t>1st</t>
      </is>
    </nc>
  </rcc>
  <rcc rId="627" sId="1">
    <nc r="A38" t="inlineStr">
      <is>
        <t>1st</t>
      </is>
    </nc>
  </rcc>
  <rcc rId="628" sId="1">
    <nc r="A39" t="inlineStr">
      <is>
        <t>1st</t>
      </is>
    </nc>
  </rcc>
  <rcc rId="629" sId="1">
    <nc r="A40" t="inlineStr">
      <is>
        <t>1st</t>
      </is>
    </nc>
  </rcc>
  <rcc rId="630" sId="1">
    <nc r="A41" t="inlineStr">
      <is>
        <t>1st</t>
      </is>
    </nc>
  </rcc>
  <rfmt sheetId="1" sqref="B37:B41">
    <dxf>
      <alignment horizontal="center"/>
    </dxf>
  </rfmt>
  <rfmt sheetId="1" sqref="B36">
    <dxf>
      <alignment horizontal="center"/>
    </dxf>
  </rfmt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" sId="1">
    <nc r="D37">
      <v>8</v>
    </nc>
  </rcc>
  <rcc rId="632" sId="1">
    <nc r="E37">
      <v>21</v>
    </nc>
  </rcc>
  <rcc rId="633" sId="1">
    <nc r="F37">
      <v>1</v>
    </nc>
  </rcc>
  <rcc rId="634" sId="1">
    <nc r="G37">
      <v>0</v>
    </nc>
  </rcc>
  <rcc rId="635" sId="1">
    <nc r="H37">
      <v>1</v>
    </nc>
  </rcc>
  <rcc rId="636" sId="1">
    <nc r="I37">
      <v>147</v>
    </nc>
  </rcc>
  <rcc rId="637" sId="1">
    <nc r="J37">
      <v>5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" sId="1">
    <nc r="K37">
      <v>6</v>
    </nc>
  </rcc>
  <rcc rId="639" sId="1">
    <nc r="O37">
      <v>4</v>
    </nc>
  </rcc>
  <rcc rId="640" sId="1">
    <nc r="X37" t="inlineStr">
      <is>
        <t>NOTIONAL_BALANCE Map for Class XS; TOTAL_FEES_EXPENSES (LLM include TOTAL_FEES_EXPENSES),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" sId="1">
    <nc r="D38">
      <v>7</v>
    </nc>
  </rcc>
  <rcc rId="642" sId="1">
    <nc r="E38">
      <v>21</v>
    </nc>
  </rcc>
  <rcc rId="643" sId="1">
    <nc r="F38">
      <v>0</v>
    </nc>
  </rcc>
  <rcc rId="644" sId="1">
    <nc r="G38">
      <v>0</v>
    </nc>
  </rcc>
  <rcc rId="645" sId="1">
    <nc r="H38">
      <v>1</v>
    </nc>
  </rcc>
  <rcc rId="646" sId="1">
    <nc r="I38">
      <v>147</v>
    </nc>
  </rcc>
  <rcc rId="647" sId="1">
    <nc r="J38">
      <v>5</v>
    </nc>
  </rcc>
  <rcc rId="648" sId="1">
    <nc r="K38">
      <v>1</v>
    </nc>
  </rcc>
  <rcc rId="649" sId="1">
    <nc r="X38" t="inlineStr">
      <is>
        <t>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nc>
  </rcc>
  <rcc rId="650" sId="1">
    <oc r="X26" t="inlineStr">
      <is>
        <t>TOTAL_FEES_EXPENSES should be rectified map (LLM include TOTAL_FEES_EXPENSES); INSURANCE_PREMIUM_FEES wrong map; BEGIN_POOL_BALANCE_ACTUAL, DAY_DELINQUENCIES_90_119_NEW, DAY_DELINQUENCIES_120_149_NEW, DAY_DELINQUENCIES_150_179_NEW, DAY_DELINQUENCIES_180_PLUS_NEW should be Mapped;</t>
      </is>
    </oc>
    <nc r="X26" t="inlineStr">
      <is>
        <t>TOTAL_FEES_EXPENSES should be rectified map (LLM include FEES_TOTAL_ADMIN); INSURANCE_PREMIUM_FEES wrong map; BEGIN_POOL_BALANCE_ACTUAL, DAY_DELINQUENCIES_90_119_NEW, DAY_DELINQUENCIES_120_149_NEW, DAY_DELINQUENCIES_150_179_NEW, DAY_DELINQUENCIES_180_PLUS_NEW should be Mapped;</t>
      </is>
    </nc>
  </rcc>
  <rcc rId="651" sId="1">
    <oc r="X25" t="inlineStr">
      <is>
        <t>TOTAL_FEES_EXPENSES should be rectified map (LLM include TOTAL_FEES_EXPENSES); BEGIN_POOL_BALANCE_ACTUAL, DAY_DELINQUENCIES_90_119_NEW, DAY_DELINQUENCIES_120_149_NEW, DAY_DELINQUENCIES_150_179_NEW, DAY_DELINQUENCIES_180_PLUS_NEW should be Mapped;</t>
      </is>
    </oc>
    <nc r="X25" t="inlineStr">
      <is>
        <t>TOTAL_FEES_EXPENSES should be rectified map (LLM include FEES_TOTAL_ADMIN); BEGIN_POOL_BALANCE_ACTUAL, DAY_DELINQUENCIES_90_119_NEW, DAY_DELINQUENCIES_120_149_NEW, DAY_DELINQUENCIES_150_179_NEW, DAY_DELINQUENCIES_180_PLUS_NEW should be Mapped;</t>
      </is>
    </nc>
  </rcc>
  <rcc rId="652" sId="1">
    <oc r="X16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fields Mapping need to be updated;</t>
      </is>
    </oc>
    <nc r="X16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(LLM include FEES_TOTAL_ADMIN) fields Mapping need to be updated;</t>
      </is>
    </nc>
  </rcc>
  <rcc rId="653" sId="1">
    <oc r="X20" t="inlineStr">
      <is>
        <t>TOTAL_FEES_EXPENSES should be rectified map (LLM include TOTAL_FEES_EXPENSES); BEGIN_POOL_BALANCE_ACTUAL, DAY_DELINQUENCIES_90_119_NEW, DAY_DELINQUENCIES_120_149_NEW, DAY_DELINQUENCIES_150_179_NEW, DAY_DELINQUENCIES_180_PLUS_NEW should be Mapped;</t>
      </is>
    </oc>
    <nc r="X20" t="inlineStr">
      <is>
        <t>TOTAL_FEES_EXPENSES (LLM include FEES_TOTAL_ADMIN) should be rectified map; BEGIN_POOL_BALANCE_ACTUAL, DAY_DELINQUENCIES_90_119_NEW, DAY_DELINQUENCIES_120_149_NEW, DAY_DELINQUENCIES_150_179_NEW, DAY_DELINQUENCIES_180_PLUS_NEW should be Mapped;</t>
      </is>
    </nc>
  </rcc>
  <rcc rId="654" sId="1">
    <oc r="X37" t="inlineStr">
      <is>
        <t>NOTIONAL_BALANCE Map for Class XS; TOTAL_FEES_EXPENSES (LLM include TOTAL_FEES_EXPENSES),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oc>
    <nc r="X37" t="inlineStr">
      <is>
        <t>NOTIONAL_BALANCE Map for Class XS; 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9">
    <dxf>
      <alignment wrapText="0"/>
    </dxf>
  </rfmt>
  <rcc rId="655" sId="1">
    <nc r="D39">
      <v>6</v>
    </nc>
  </rcc>
  <rcc rId="656" sId="1">
    <nc r="E39">
      <v>21</v>
    </nc>
  </rcc>
  <rcc rId="657" sId="1">
    <nc r="F39">
      <v>0</v>
    </nc>
  </rcc>
  <rcc rId="658" sId="1">
    <nc r="G39">
      <v>0</v>
    </nc>
  </rcc>
  <rcc rId="659" sId="1">
    <nc r="H39">
      <v>1</v>
    </nc>
  </rcc>
  <rcc rId="660" sId="1">
    <nc r="I39">
      <v>147</v>
    </nc>
  </rcc>
  <rrc rId="661" sId="1" ref="A41:XFD41" action="deleteRow">
    <rfmt sheetId="1" xfDxf="1" sqref="A41:XFD41" start="0" length="0">
      <dxf>
        <alignment horizontal="left"/>
      </dxf>
    </rfmt>
    <rcc rId="0" sId="1" dxf="1">
      <nc r="A41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41">
        <v>1022055</v>
      </nc>
      <n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41" t="inlineStr">
        <is>
          <t>NYMT Loan Trust 2025-INV2</t>
        </is>
      </nc>
      <ndxf>
        <alignment horizontal="general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41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41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4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4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662" sId="1">
    <nc r="J39">
      <v>5</v>
    </nc>
  </rcc>
  <rcc rId="663" sId="1">
    <nc r="K39">
      <v>1</v>
    </nc>
  </rcc>
  <rcc rId="664" sId="1">
    <nc r="L39">
      <v>2</v>
    </nc>
  </rcc>
  <rcc rId="665" sId="1">
    <nc r="M39">
      <v>4</v>
    </nc>
  </rcc>
  <rcc rId="666" sId="1">
    <nc r="N39">
      <v>0</v>
    </nc>
  </rcc>
  <rcc rId="667" sId="1">
    <nc r="O39">
      <v>0</v>
    </nc>
  </rcc>
  <rcc rId="668" sId="1">
    <nc r="X39" t="inlineStr">
      <is>
        <t>TOTAL_FEES_EXPENSES (LLM include FEES_TOTAL_ADMIN), WAC_RATE_BEGINNING, BEGIN_POOL_BALANCE_ACTUAL, DAY_DELINQUENCIES_90_119_NEW, DAY_DELINQUENCIES_120_149_NEW, DAY_DELINQUENCIES_150_179_NEW, DAY_DELINQUENCIES_180_PLUS_NEW should be Mapped;</t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" sId="1">
    <nc r="D40">
      <v>4</v>
    </nc>
  </rcc>
  <rcc rId="670" sId="1">
    <nc r="E40">
      <v>21</v>
    </nc>
  </rcc>
  <rcc rId="671" sId="1">
    <nc r="F40">
      <v>0</v>
    </nc>
  </rcc>
  <rcc rId="672" sId="1">
    <nc r="G40">
      <v>0</v>
    </nc>
  </rcc>
  <rcc rId="673" sId="1">
    <nc r="H40">
      <v>1</v>
    </nc>
  </rcc>
  <rcc rId="674" sId="1">
    <nc r="I40">
      <v>147</v>
    </nc>
  </rcc>
  <rcc rId="675" sId="1">
    <nc r="J40">
      <v>3</v>
    </nc>
  </rcc>
  <rcc rId="676" sId="1">
    <nc r="K40">
      <v>0</v>
    </nc>
  </rcc>
  <rcc rId="677" sId="1">
    <nc r="X40" t="inlineStr">
      <is>
        <t>OTHER_FEES, OTHER_FEES_NEW, TOTAL_FEES_EXPENSES should be mapped; Credit name not shown; Reserve Account Target_OC map; Reserve Account OC_DEPOSIT_AMOUNT wrong map</t>
      </is>
    </nc>
  </rcc>
  <rcc rId="678" sId="1">
    <nc r="L40">
      <v>2</v>
    </nc>
  </rcc>
  <rcc rId="679" sId="1">
    <nc r="M40">
      <v>4</v>
    </nc>
  </rcc>
  <rcc rId="680" sId="1">
    <nc r="N40">
      <v>1</v>
    </nc>
  </rcc>
  <rcc rId="681" sId="1">
    <nc r="O40">
      <v>1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2" sId="1">
    <nc r="D27">
      <v>12</v>
    </nc>
  </rcc>
  <rcc rId="683" sId="1">
    <nc r="E27">
      <v>21</v>
    </nc>
  </rcc>
  <rcc rId="684" sId="1">
    <nc r="F27">
      <v>0</v>
    </nc>
  </rcc>
  <rcc rId="685" sId="1">
    <nc r="G27">
      <v>0</v>
    </nc>
  </rcc>
  <rcc rId="686" sId="1">
    <nc r="H27">
      <v>1</v>
    </nc>
  </rcc>
  <rcc rId="687" sId="1">
    <nc r="L27">
      <v>1</v>
    </nc>
  </rcc>
  <rcc rId="688" sId="1">
    <nc r="M27">
      <v>4</v>
    </nc>
  </rcc>
  <rcc rId="689" sId="1">
    <nc r="N27">
      <v>0</v>
    </nc>
  </rcc>
  <rcc rId="690" sId="1">
    <nc r="O27">
      <v>0</v>
    </nc>
  </rcc>
  <rcc rId="691" sId="1">
    <nc r="I27">
      <v>147</v>
    </nc>
  </rcc>
  <rcc rId="692" sId="1">
    <nc r="K27">
      <v>5</v>
    </nc>
  </rcc>
  <rcc rId="693" sId="1">
    <nc r="J27">
      <v>4</v>
    </nc>
  </rcc>
  <rcc rId="694" sId="1">
    <nc r="X27" t="inlineStr">
      <is>
        <t>FEES_MASTER_SERVICING wrong map; IS_DELINQ_OR_CUM_LOSS_TRIGGER_OCCURED; INTEREST_COLLECTED, SERVICING_FEE, TOTAL_FEES_EXPENSES need to rectify map; DAY_DELINQUENCIES_90_119_NEW, DAY_DELINQUENCIES_120_149_NEW, DAY_DELINQUENCIES_150_179_NEW, DAY_DELINQUENCIES_180_PLUS_NEW should be Mapped;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" sId="1">
    <nc r="D30">
      <v>4</v>
    </nc>
  </rcc>
  <rcc rId="696" sId="1">
    <nc r="E30">
      <v>21</v>
    </nc>
  </rcc>
  <rcc rId="697" sId="1">
    <nc r="F30">
      <v>0</v>
    </nc>
  </rcc>
  <rcc rId="698" sId="1">
    <nc r="G30">
      <v>0</v>
    </nc>
  </rcc>
  <rcc rId="699" sId="1">
    <nc r="H30">
      <v>1</v>
    </nc>
  </rcc>
  <rcc rId="700" sId="1">
    <nc r="I30">
      <v>147</v>
    </nc>
  </rcc>
  <rcc rId="701" sId="1">
    <nc r="K30">
      <v>2</v>
    </nc>
  </rcc>
  <rcc rId="702" sId="1">
    <nc r="J30">
      <v>0</v>
    </nc>
  </rcc>
  <rcc rId="703" sId="1">
    <nc r="L30">
      <v>2</v>
    </nc>
  </rcc>
  <rcc rId="704" sId="1">
    <nc r="M30">
      <v>4</v>
    </nc>
  </rcc>
  <rcc rId="705" sId="1">
    <nc r="N30">
      <v>0</v>
    </nc>
  </rcc>
  <rcc rId="706" sId="1">
    <nc r="O30">
      <v>0</v>
    </nc>
  </rcc>
  <rcc rId="707" sId="1">
    <nc r="X30" t="inlineStr">
      <is>
        <t>TOTAL_FEES_EXPENSES wrongly calculate also not captured group 1 and 2. PREPAY_PENALTIES should be captured for all pool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" sId="1">
    <oc r="X30" t="inlineStr">
      <is>
        <t>TOTAL_FEES_EXPENSES wrongly calculate also not captured group 1 and 2. PREPAY_PENALTIES should be captured for all pool</t>
      </is>
    </oc>
    <nc r="X30" t="inlineStr">
      <is>
        <t>TOTAL_FEES_EXPENSES wrongly calculate also not captured group 1 and 2. PREPAY_PENALTIES should be captured for all pool.BEGIN_POOL_BALANCE_ACTUAL data field missing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1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9" sId="1" odxf="1" dxf="1">
    <nc r="B41">
      <v>1006167</v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0" sId="1" odxf="1" dxf="1">
    <nc r="C41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1" sId="1" odxf="1" dxf="1">
    <nc r="D41">
      <v>10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2" sId="1" odxf="1" dxf="1">
    <nc r="E41">
      <v>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3" sId="1" odxf="1" dxf="1">
    <nc r="F41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4" sId="1" odxf="1" dxf="1">
    <nc r="G41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5" sId="1" odxf="1" dxf="1">
    <nc r="H41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6" sId="1" odxf="1" dxf="1">
    <nc r="I41">
      <v>147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7" sId="1" odxf="1" dxf="1">
    <nc r="J41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8" sId="1" odxf="1" dxf="1">
    <nc r="K41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9" sId="1" odxf="1" dxf="1">
    <nc r="L41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0" sId="1" odxf="1" dxf="1">
    <nc r="M41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1" sId="1" odxf="1" dxf="1">
    <nc r="N41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2" sId="1" odxf="1" dxf="1">
    <nc r="O41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P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3" sId="1" odxf="1" dxf="1">
    <nc r="T41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4" sId="1" odxf="1" dxf="1">
    <nc r="U41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5" sId="1" odxf="1" dxf="1">
    <nc r="V41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" sId="1" odxf="1" dxf="1">
    <nc r="W41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1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1:XFD41" start="0" length="2147483647">
    <dxf>
      <font>
        <b val="0"/>
      </font>
    </dxf>
  </rfmt>
  <rcc rId="727" sId="1">
    <nc r="A41" t="inlineStr">
      <is>
        <t>2nd</t>
      </is>
    </nc>
  </rcc>
  <rfmt sheetId="1" sqref="Y41">
    <dxf>
      <fill>
        <patternFill patternType="none">
          <bgColor auto="1"/>
        </patternFill>
      </fill>
    </dxf>
  </rfmt>
  <rcc rId="728" sId="1" odxf="1" dxf="1">
    <nc r="X42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(LLM include FEES_TOTAL_ADMIN) fields Mapping need to be updated;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" sId="1">
    <oc r="X42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(LLM include FEES_TOTAL_ADMIN) fields Mapping need to be updated;</t>
      </is>
    </oc>
    <nc r="X42"/>
  </rcc>
  <rcc rId="730" sId="1">
    <oc r="F41">
      <v>2</v>
    </oc>
    <nc r="F41">
      <v>0</v>
    </nc>
  </rcc>
  <rcc rId="731" sId="1">
    <nc r="Y41" t="inlineStr">
      <is>
        <t>AI detected the footnote from Report as Interest Shortfall, Basic Risk Shortfall_Cur both are same consider by LLM</t>
      </is>
    </nc>
  </rcc>
  <rfmt sheetId="1" sqref="Y41">
    <dxf>
      <fill>
        <patternFill patternType="solid">
          <bgColor rgb="FF92D050"/>
        </patternFill>
      </fill>
    </dxf>
  </rfmt>
  <rcc rId="732" sId="1">
    <nc r="X41" t="inlineStr">
      <is>
        <t>ACCRETION wrong map for Class A-IO-S (1st round data is OK); BASIS_RISK_SHORTFALL_CURR delete map (same issue happened); INTEREST_COLLECTED map (1st round data extracted);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33" sId="1" ref="A6:XFD6" action="insertRow"/>
  <rcc rId="734" sId="1">
    <nc r="A6" t="inlineStr">
      <is>
        <t>6th</t>
      </is>
    </nc>
  </rcc>
  <rcc rId="735" sId="1">
    <nc r="B6">
      <v>19584</v>
    </nc>
  </rcc>
  <rcc rId="736" sId="1">
    <nc r="C6" t="inlineStr">
      <is>
        <t>MASTR Adjustable Rate Mortgages Trust 2004-3</t>
      </is>
    </nc>
  </rcc>
  <rfmt sheetId="1" sqref="A5:XFD5" start="0" length="2147483647">
    <dxf>
      <font>
        <b val="0"/>
      </font>
    </dxf>
  </rfmt>
  <rfmt sheetId="1" sqref="A5:XFD5" start="0" length="2147483647">
    <dxf>
      <font>
        <b/>
      </font>
    </dxf>
  </rfmt>
  <rfmt sheetId="1" sqref="A5:XFD5" start="0" length="2147483647">
    <dxf>
      <font>
        <b val="0"/>
      </font>
    </dxf>
  </rfmt>
  <rcc rId="737" sId="1" odxf="1" dxf="1">
    <nc r="D6">
      <v>43</v>
    </nc>
    <odxf/>
    <ndxf/>
  </rcc>
  <rcc rId="738" sId="1" odxf="1" dxf="1">
    <nc r="E6">
      <v>21</v>
    </nc>
    <odxf/>
    <ndxf/>
  </rcc>
  <rcc rId="739" sId="1" odxf="1" dxf="1">
    <nc r="F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40" sId="1" odxf="1" dxf="1">
    <nc r="G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41" sId="1" odxf="1" dxf="1">
    <nc r="H6">
      <v>9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42" sId="1" odxf="1" dxf="1">
    <nc r="I6">
      <v>147</v>
    </nc>
    <odxf/>
    <ndxf/>
  </rcc>
  <rcc rId="743" sId="1">
    <nc r="J6">
      <v>2</v>
    </nc>
  </rcc>
  <rcc rId="744" sId="1">
    <nc r="K6">
      <v>0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" sId="1">
    <nc r="X6" t="inlineStr">
      <is>
        <t>TOTAL_FEES_EXPENSES,INTEREST_COLLECTED not captured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46" sId="1" ref="A10:XFD10" action="insertRow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7" sId="1">
    <nc r="B10">
      <v>36616</v>
    </nc>
  </rcc>
  <rcc rId="748" sId="1">
    <nc r="C10" t="inlineStr">
      <is>
        <t>Banc of America Funding Corporation 2006-1</t>
      </is>
    </nc>
  </rcc>
  <rcc rId="749" sId="1">
    <nc r="A10" t="inlineStr">
      <is>
        <t>5th</t>
      </is>
    </nc>
  </rcc>
  <rfmt sheetId="1" sqref="A9:XFD9" start="0" length="2147483647">
    <dxf>
      <font>
        <b val="0"/>
      </font>
    </dxf>
  </rfmt>
  <rcc rId="750" sId="1" odxf="1" dxf="1">
    <nc r="D10">
      <v>53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51" sId="1" odxf="1" dxf="1">
    <nc r="E10">
      <v>21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52" sId="1" odxf="1" dxf="1">
    <nc r="F10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53" sId="1" odxf="1" dxf="1">
    <nc r="G10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4" sId="1" odxf="1" dxf="1">
    <nc r="H10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55" sId="1" odxf="1" dxf="1">
    <nc r="I10">
      <v>147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56" sId="1">
    <nc r="J10">
      <v>2</v>
    </nc>
  </rcc>
  <rcc rId="757" sId="1">
    <nc r="K10">
      <v>1</v>
    </nc>
  </rcc>
  <rcc rId="758" sId="1">
    <nc r="L10">
      <v>1</v>
    </nc>
  </rcc>
  <rcc rId="759" sId="1">
    <nc r="M10">
      <v>4</v>
    </nc>
  </rcc>
  <rcc rId="760" sId="1">
    <nc r="N10">
      <v>0</v>
    </nc>
  </rcc>
  <rcc rId="761" sId="1">
    <nc r="O10">
      <v>0</v>
    </nc>
  </rcc>
  <rcc rId="762" sId="1">
    <nc r="P10">
      <v>1</v>
    </nc>
  </rcc>
  <rcc rId="763" sId="1">
    <nc r="Q10">
      <v>4</v>
    </nc>
  </rcc>
  <rcc rId="764" sId="1">
    <nc r="R10">
      <v>0</v>
    </nc>
  </rcc>
  <rcc rId="765" sId="1">
    <nc r="S10">
      <v>0</v>
    </nc>
  </rcc>
  <rcc rId="766" sId="1">
    <nc r="T10">
      <v>6</v>
    </nc>
  </rcc>
  <rcc rId="767" sId="1">
    <nc r="U10">
      <v>3</v>
    </nc>
  </rcc>
  <rcc rId="768" sId="1">
    <nc r="V10">
      <v>0</v>
    </nc>
  </rcc>
  <rcc rId="769" sId="1">
    <nc r="W10">
      <v>0</v>
    </nc>
  </rcc>
  <rfmt sheetId="1" xfDxf="1" sqref="X10" start="0" length="0">
    <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0" sId="1">
    <nc r="X10" t="inlineStr">
      <is>
        <t>PREPAY_PENALTIES- should not be captured for Group 1,Group 2, Group 3</t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" sId="1" odxf="1" dxf="1">
    <nc r="L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2" sId="1" odxf="1" dxf="1">
    <nc r="M6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3" sId="1" odxf="1" dxf="1">
    <nc r="N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4" sId="1" odxf="1" dxf="1">
    <nc r="O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5" sId="1" odxf="1" dxf="1">
    <nc r="P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6" sId="1" odxf="1" dxf="1">
    <nc r="Q6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7" sId="1" odxf="1" dxf="1">
    <nc r="R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8" sId="1" odxf="1" dxf="1">
    <nc r="S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79" sId="1" odxf="1" dxf="1">
    <nc r="T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80" sId="1" odxf="1" dxf="1">
    <nc r="U6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81" sId="1" odxf="1" dxf="1">
    <nc r="V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782" sId="1" odxf="1" dxf="1">
    <nc r="W6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" sId="1">
    <oc r="X10" t="inlineStr">
      <is>
        <t>PREPAY_PENALTIES- should not be captured for Group 1,Group 2, Group 3</t>
      </is>
    </oc>
    <nc r="X10" t="inlineStr">
      <is>
        <t>PREPAY_PENALTIES- should not be captured for Group 1,Group 2, Group 3.TOTAL_FEES_EXPENSES,INTEREST_COLLECTED not captured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84" sId="1" ref="A14:XFD14" action="insertRow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" sId="1">
    <nc r="B14">
      <v>1010119</v>
    </nc>
  </rcc>
  <rcc rId="786" sId="1">
    <nc r="C14" t="inlineStr">
      <is>
        <t>Stanwich Mortgage Loan Trust Series 2020-11</t>
      </is>
    </nc>
  </rcc>
  <rfmt sheetId="1" sqref="A13:XFD13" start="0" length="2147483647">
    <dxf>
      <font>
        <b val="0"/>
      </font>
    </dxf>
  </rfmt>
  <rcc rId="787" sId="1">
    <nc r="A14" t="inlineStr">
      <is>
        <t>5th</t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" sId="1">
    <nc r="D14">
      <v>2</v>
    </nc>
  </rcc>
  <rcc rId="789" sId="1">
    <nc r="E14">
      <v>21</v>
    </nc>
  </rcc>
  <rcc rId="790" sId="1">
    <nc r="F14">
      <v>0</v>
    </nc>
  </rcc>
  <rcc rId="791" sId="1">
    <nc r="G14">
      <v>0</v>
    </nc>
  </rcc>
  <rcc rId="792" sId="1">
    <nc r="H14">
      <v>1</v>
    </nc>
  </rcc>
  <rcc rId="793" sId="1">
    <nc r="I14">
      <v>147</v>
    </nc>
  </rcc>
  <rfmt sheetId="1" xfDxf="1" sqref="X14" start="0" length="0">
    <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4" sId="1">
    <nc r="X14" t="inlineStr">
      <is>
        <t>END_POOL_BALANCE not captured</t>
      </is>
    </nc>
  </rcc>
  <rfmt sheetId="1" sqref="Y14">
    <dxf>
      <fill>
        <patternFill patternType="none">
          <bgColor auto="1"/>
        </patternFill>
      </fill>
    </dxf>
  </rfmt>
  <rfmt sheetId="1" sqref="Y10">
    <dxf>
      <fill>
        <patternFill patternType="none">
          <bgColor auto="1"/>
        </patternFill>
      </fill>
    </dxf>
  </rfmt>
  <rfmt sheetId="1" sqref="Y6">
    <dxf>
      <fill>
        <patternFill patternType="none">
          <bgColor auto="1"/>
        </patternFill>
      </fill>
    </dxf>
  </rfmt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5" sId="1">
    <oc r="X14" t="inlineStr">
      <is>
        <t>END_POOL_BALANCE not captured</t>
      </is>
    </oc>
    <nc r="X14" t="inlineStr">
      <is>
        <t>END_POOL_BALANCE,BEGIN_POOL_BALANCE not captured</t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6" sId="1">
    <oc r="X14" t="inlineStr">
      <is>
        <t>END_POOL_BALANCE,BEGIN_POOL_BALANCE not captured</t>
      </is>
    </oc>
    <nc r="X14" t="inlineStr">
      <is>
        <t>END_POOL_BALANCE,BEGIN_POOL_BALANCE not captured. PRINCIPAL_PAYMENTS_UNSCHEDULED wrongly captured.</t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" sId="1">
    <nc r="J14">
      <v>2</v>
    </nc>
  </rcc>
  <rcc rId="798" sId="1">
    <nc r="K14">
      <v>0</v>
    </nc>
  </rcc>
  <rcc rId="799" sId="1" odxf="1" dxf="1">
    <nc r="L14">
      <v>0</v>
    </nc>
    <odxf/>
    <ndxf/>
  </rcc>
  <rcc rId="800" sId="1" odxf="1" dxf="1">
    <nc r="M14">
      <v>4</v>
    </nc>
    <odxf/>
    <ndxf/>
  </rcc>
  <rcc rId="801" sId="1" odxf="1" dxf="1">
    <nc r="N14">
      <v>0</v>
    </nc>
    <odxf/>
    <ndxf/>
  </rcc>
  <rcc rId="802" sId="1" odxf="1" dxf="1">
    <nc r="O14">
      <v>0</v>
    </nc>
    <odxf/>
    <ndxf/>
  </rcc>
  <rcc rId="803" sId="1" odxf="1" dxf="1">
    <nc r="P14">
      <v>0</v>
    </nc>
    <odxf/>
    <ndxf/>
  </rcc>
  <rcc rId="804" sId="1" odxf="1" dxf="1">
    <nc r="Q14">
      <v>4</v>
    </nc>
    <odxf/>
    <ndxf/>
  </rcc>
  <rcc rId="805" sId="1" odxf="1" dxf="1">
    <nc r="R14">
      <v>0</v>
    </nc>
    <odxf/>
    <ndxf/>
  </rcc>
  <rcc rId="806" sId="1" odxf="1" dxf="1">
    <nc r="S14">
      <v>0</v>
    </nc>
    <odxf/>
    <ndxf/>
  </rcc>
  <rcc rId="807" sId="1" odxf="1" dxf="1">
    <nc r="T14">
      <v>0</v>
    </nc>
    <odxf/>
    <ndxf/>
  </rcc>
  <rcc rId="808" sId="1" odxf="1" dxf="1">
    <nc r="U14">
      <v>3</v>
    </nc>
    <odxf/>
    <ndxf/>
  </rcc>
  <rcc rId="809" sId="1" odxf="1" dxf="1">
    <nc r="V14">
      <v>0</v>
    </nc>
    <odxf/>
    <ndxf/>
  </rcc>
  <rcc rId="810" sId="1" odxf="1" dxf="1">
    <nc r="W14">
      <v>0</v>
    </nc>
    <odxf/>
    <ndxf/>
  </rcc>
  <rrc rId="811" sId="1" ref="A17:XFD17" action="insertRow"/>
  <rcc rId="812" sId="1">
    <nc r="B17">
      <v>1012229</v>
    </nc>
  </rcc>
  <rcc rId="813" sId="1">
    <nc r="C17" t="inlineStr">
      <is>
        <t>MFA 2021-INV1 Trust</t>
      </is>
    </nc>
  </rcc>
  <rcc rId="814" sId="1">
    <nc r="A17" t="inlineStr">
      <is>
        <t>4th</t>
      </is>
    </nc>
  </rcc>
  <rfmt sheetId="1" sqref="A16:XFD16" start="0" length="2147483647">
    <dxf>
      <font>
        <b val="0"/>
      </font>
    </dxf>
  </rfmt>
  <rfmt sheetId="1" sqref="X17:Y17">
    <dxf>
      <fill>
        <patternFill patternType="none">
          <bgColor auto="1"/>
        </patternFill>
      </fill>
    </dxf>
  </rfmt>
  <rfmt sheetId="1" sqref="A17:XFD17" start="0" length="2147483647">
    <dxf>
      <font>
        <b val="0"/>
      </font>
    </dxf>
  </rfmt>
  <rfmt sheetId="1" sqref="A17:XFD17" start="0" length="2147483647">
    <dxf>
      <font>
        <b/>
      </font>
    </dxf>
  </rfmt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X17" start="0" length="0">
    <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5" sId="1">
    <nc r="X17" t="inlineStr">
      <is>
        <t>TOTAL_FEES_EXPENSES wrongly calculate. NUM_LOANS_MODIFIED_CUR,AMT_LOANS_MODIFIED_CUR additional data captured</t>
      </is>
    </nc>
  </rcc>
  <rcc rId="816" sId="1" odxf="1" dxf="1">
    <nc r="D17">
      <v>10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17" sId="1" odxf="1" dxf="1">
    <nc r="E17">
      <v>21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18" sId="1" odxf="1" dxf="1">
    <nc r="F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19" sId="1" odxf="1" dxf="1">
    <nc r="G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0" sId="1" odxf="1" dxf="1">
    <nc r="H17">
      <v>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1" sId="1" odxf="1" dxf="1">
    <nc r="I17">
      <v>147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2" sId="1">
    <nc r="J17">
      <v>0</v>
    </nc>
  </rcc>
  <rcc rId="823" sId="1">
    <nc r="K17">
      <v>1</v>
    </nc>
  </rcc>
  <rcc rId="824" sId="1" odxf="1" dxf="1">
    <nc r="L17">
      <v>2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5" sId="1" odxf="1" dxf="1">
    <nc r="M17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6" sId="1" odxf="1" dxf="1">
    <nc r="N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7" sId="1" odxf="1" dxf="1">
    <nc r="O17">
      <v>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8" sId="1" odxf="1" dxf="1">
    <nc r="P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29" sId="1" odxf="1" dxf="1">
    <nc r="Q17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0" sId="1" odxf="1" dxf="1">
    <nc r="R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1" sId="1" odxf="1" dxf="1">
    <nc r="S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2" sId="1" odxf="1" dxf="1">
    <nc r="T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3" sId="1" odxf="1" dxf="1">
    <nc r="U17">
      <v>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4" sId="1" odxf="1" dxf="1">
    <nc r="V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35" sId="1" odxf="1" dxf="1">
    <nc r="W17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6" sId="1">
    <nc r="B46">
      <v>1012500</v>
    </nc>
  </rcc>
  <rcc rId="837" sId="1">
    <nc r="C46" t="inlineStr">
      <is>
        <t>L Street Securities Trust 2020-PMT1</t>
      </is>
    </nc>
  </rcc>
  <rcc rId="838" sId="1">
    <nc r="A46" t="inlineStr">
      <is>
        <t>2nd</t>
      </is>
    </nc>
  </rcc>
  <rfmt sheetId="1" sqref="A46" start="0" length="0">
    <dxf>
      <border>
        <left style="thin">
          <color indexed="64"/>
        </left>
      </border>
    </dxf>
  </rfmt>
  <rfmt sheetId="1" sqref="Y46" start="0" length="0">
    <dxf>
      <border>
        <right style="thin">
          <color indexed="64"/>
        </right>
      </border>
    </dxf>
  </rfmt>
  <rfmt sheetId="1" sqref="A46:Y46" start="0" length="0">
    <dxf>
      <border>
        <bottom style="thin">
          <color indexed="64"/>
        </bottom>
      </border>
    </dxf>
  </rfmt>
  <rfmt sheetId="1" sqref="A46:Y4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9" sId="1" odxf="1" dxf="1">
    <nc r="B47">
      <v>1012500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0" sId="1" odxf="1" dxf="1">
    <nc r="C47" t="inlineStr">
      <is>
        <t>L Street Securities Trust 2020-PMT1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L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M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T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U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V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41" sId="1">
    <nc r="A47" t="inlineStr">
      <is>
        <t>3rd</t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" sId="1">
    <nc r="D46">
      <v>24</v>
    </nc>
  </rcc>
  <rcc rId="843" sId="1">
    <nc r="E46">
      <v>21</v>
    </nc>
  </rcc>
  <rcc rId="844" sId="1">
    <nc r="F46">
      <v>0</v>
    </nc>
  </rcc>
  <rcc rId="845" sId="1">
    <nc r="G46">
      <v>0</v>
    </nc>
  </rcc>
  <rcc rId="846" sId="1">
    <nc r="H46">
      <v>1</v>
    </nc>
  </rcc>
  <rcc rId="847" sId="1">
    <nc r="I46">
      <v>147</v>
    </nc>
  </rcc>
  <rcc rId="848" sId="1">
    <nc r="J46">
      <v>2</v>
    </nc>
  </rcc>
  <rcc rId="849" sId="1">
    <nc r="K46">
      <v>2</v>
    </nc>
  </rcc>
  <rcc rId="850" sId="1">
    <nc r="L46">
      <v>2</v>
    </nc>
  </rcc>
  <rcc rId="851" sId="1">
    <nc r="M46">
      <v>4</v>
    </nc>
  </rcc>
  <rcc rId="852" sId="1">
    <nc r="N46">
      <v>0</v>
    </nc>
  </rcc>
  <rcc rId="853" sId="1">
    <nc r="O46">
      <v>0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" sId="1">
    <nc r="P46">
      <v>2</v>
    </nc>
  </rcc>
  <rcc rId="855" sId="1">
    <nc r="Q46">
      <v>4</v>
    </nc>
  </rcc>
  <rcc rId="856" sId="1">
    <nc r="R46">
      <v>0</v>
    </nc>
  </rcc>
  <rcc rId="857" sId="1">
    <nc r="S46">
      <v>0</v>
    </nc>
  </rcc>
  <rfmt sheetId="1" sqref="A46:XFD46" start="0" length="2147483647">
    <dxf>
      <font>
        <b/>
      </font>
    </dxf>
  </rfmt>
  <rcv guid="{1EE62E9F-0698-46CF-BB3C-23E1EBAB6664}" action="delete"/>
  <rdn rId="0" localSheetId="1" customView="1" name="Z_1EE62E9F_0698_46CF_BB3C_23E1EBAB6664_.wvu.FilterData" hidden="1" oldHidden="1">
    <formula>Log!$A$1:$Z$45</formula>
    <oldFormula>Log!$A$1:$Z$20</oldFormula>
  </rdn>
  <rcv guid="{1EE62E9F-0698-46CF-BB3C-23E1EBAB6664}" action="add"/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9" sId="1">
    <nc r="X46" t="inlineStr">
      <is>
        <t>IS_DELINQ_TRIGGER_OCCURED,TOTAL_INVOLUNT_PREPAY_AMOUNT wrongly captured. END_POOL_BALANCE,END_POOL_BALANCE_ACTUAL should be captured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0" sId="1" ref="A11:XFD11" action="insertRow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1" sId="1">
    <nc r="B11">
      <v>36616</v>
    </nc>
  </rcc>
  <rcc rId="862" sId="1">
    <nc r="C11" t="inlineStr">
      <is>
        <t>Banc of America Funding Corporation 2006-1</t>
      </is>
    </nc>
  </rcc>
  <rcc rId="863" sId="1">
    <nc r="A11" t="inlineStr">
      <is>
        <t>6th</t>
      </is>
    </nc>
  </rcc>
  <rfmt sheetId="1" sqref="A10:XFD10" start="0" length="2147483647">
    <dxf>
      <font>
        <b val="0"/>
      </font>
    </dxf>
  </rfmt>
  <rcc rId="864" sId="1" odxf="1" dxf="1">
    <nc r="D11">
      <v>53</v>
    </nc>
    <odxf/>
    <ndxf/>
  </rcc>
  <rcc rId="865" sId="1" odxf="1" dxf="1">
    <nc r="E11">
      <v>21</v>
    </nc>
    <odxf/>
    <ndxf/>
  </rcc>
  <rcc rId="866" sId="1" odxf="1" dxf="1">
    <nc r="F11">
      <v>0</v>
    </nc>
    <odxf/>
    <ndxf/>
  </rcc>
  <rcc rId="867" sId="1" odxf="1" dxf="1">
    <nc r="G11">
      <v>0</v>
    </nc>
    <odxf/>
    <ndxf/>
  </rcc>
  <rcc rId="868" sId="1" odxf="1" dxf="1">
    <nc r="H11">
      <v>4</v>
    </nc>
    <odxf/>
    <ndxf/>
  </rcc>
  <rcc rId="869" sId="1" odxf="1" dxf="1">
    <nc r="I11">
      <v>147</v>
    </nc>
    <odxf/>
    <ndxf/>
  </rcc>
  <rcc rId="870" sId="1">
    <nc r="J11">
      <v>0</v>
    </nc>
  </rcc>
  <rcc rId="871" sId="1">
    <nc r="K11">
      <v>1</v>
    </nc>
  </rcc>
  <rcc rId="872" sId="1">
    <nc r="L11">
      <v>1</v>
    </nc>
  </rcc>
  <rcc rId="873" sId="1" odxf="1" dxf="1">
    <nc r="M11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4" sId="1" odxf="1" dxf="1">
    <nc r="N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5" sId="1" odxf="1" dxf="1">
    <nc r="O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6" sId="1" odxf="1" dxf="1">
    <nc r="P11">
      <v>1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7" sId="1" odxf="1" dxf="1">
    <nc r="Q11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8" sId="1" odxf="1" dxf="1">
    <nc r="R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79" sId="1" odxf="1" dxf="1">
    <nc r="S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80" sId="1" odxf="1" dxf="1">
    <nc r="T11">
      <v>6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81" sId="1" odxf="1" dxf="1">
    <nc r="U11">
      <v>3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82" sId="1" odxf="1" dxf="1">
    <nc r="V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83" sId="1" odxf="1" dxf="1">
    <nc r="W11">
      <v>0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884" sId="1" xfDxf="1" dxf="1">
    <nc r="X11" t="inlineStr">
      <is>
        <t>PREPAY_PENALTIES- should not be captured for Group 1,Group 2, Group 3.</t>
      </is>
    </nc>
    <n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85" sId="1" ref="A7:XFD7" action="insertRow"/>
  <rcc rId="886" sId="1">
    <nc r="B7">
      <v>19584</v>
    </nc>
  </rcc>
  <rcc rId="887" sId="1">
    <nc r="C7" t="inlineStr">
      <is>
        <t>MASTR Adjustable Rate Mortgages Trust 2004-3</t>
      </is>
    </nc>
  </rcc>
  <rcc rId="888" sId="1">
    <nc r="D7">
      <v>43</v>
    </nc>
  </rcc>
  <rcc rId="889" sId="1">
    <nc r="E7">
      <v>21</v>
    </nc>
  </rcc>
  <rcc rId="890" sId="1">
    <nc r="F7">
      <v>0</v>
    </nc>
  </rcc>
  <rcc rId="891" sId="1">
    <nc r="G7">
      <v>0</v>
    </nc>
  </rcc>
  <rcc rId="892" sId="1">
    <nc r="H7">
      <v>9</v>
    </nc>
  </rcc>
  <rcc rId="893" sId="1">
    <nc r="I7">
      <v>147</v>
    </nc>
  </rcc>
  <rcc rId="894" sId="1">
    <nc r="K7">
      <v>0</v>
    </nc>
  </rcc>
  <rcc rId="895" sId="1">
    <nc r="L7">
      <v>0</v>
    </nc>
  </rcc>
  <rcc rId="896" sId="1">
    <nc r="M7">
      <v>4</v>
    </nc>
  </rcc>
  <rcc rId="897" sId="1">
    <nc r="N7">
      <v>0</v>
    </nc>
  </rcc>
  <rcc rId="898" sId="1">
    <nc r="O7">
      <v>0</v>
    </nc>
  </rcc>
  <rcc rId="899" sId="1">
    <nc r="P7">
      <v>0</v>
    </nc>
  </rcc>
  <rcc rId="900" sId="1">
    <nc r="Q7">
      <v>4</v>
    </nc>
  </rcc>
  <rcc rId="901" sId="1">
    <nc r="R7">
      <v>0</v>
    </nc>
  </rcc>
  <rcc rId="902" sId="1">
    <nc r="S7">
      <v>0</v>
    </nc>
  </rcc>
  <rcc rId="903" sId="1">
    <nc r="T7">
      <v>0</v>
    </nc>
  </rcc>
  <rcc rId="904" sId="1">
    <nc r="U7">
      <v>5</v>
    </nc>
  </rcc>
  <rcc rId="905" sId="1">
    <nc r="V7">
      <v>0</v>
    </nc>
  </rcc>
  <rcc rId="906" sId="1">
    <nc r="W7">
      <v>0</v>
    </nc>
  </rcc>
  <rcc rId="907" sId="1">
    <nc r="A7" t="inlineStr">
      <is>
        <t>7th</t>
      </is>
    </nc>
  </rcc>
  <rfmt sheetId="1" sqref="A6:XFD6" start="0" length="2147483647">
    <dxf>
      <font>
        <b val="0"/>
      </font>
    </dxf>
  </rfmt>
  <rcc rId="908" sId="1">
    <nc r="J7">
      <v>0</v>
    </nc>
  </rcc>
  <rcc rId="909" sId="1">
    <nc r="X7" t="inlineStr">
      <is>
        <t>Data Ok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10" sId="1" ref="A17:XFD17" action="insertRow"/>
  <rcc rId="911" sId="1">
    <nc r="B17">
      <v>1010119</v>
    </nc>
  </rcc>
  <rcc rId="912" sId="1">
    <nc r="C17" t="inlineStr">
      <is>
        <t>Stanwich Mortgage Loan Trust Series 2020-11</t>
      </is>
    </nc>
  </rcc>
  <rcc rId="913" sId="1">
    <nc r="D17">
      <v>2</v>
    </nc>
  </rcc>
  <rcc rId="914" sId="1">
    <nc r="E17">
      <v>21</v>
    </nc>
  </rcc>
  <rcc rId="915" sId="1">
    <nc r="F17">
      <v>0</v>
    </nc>
  </rcc>
  <rcc rId="916" sId="1">
    <nc r="G17">
      <v>0</v>
    </nc>
  </rcc>
  <rcc rId="917" sId="1">
    <nc r="H17">
      <v>1</v>
    </nc>
  </rcc>
  <rcc rId="918" sId="1">
    <nc r="I17">
      <v>147</v>
    </nc>
  </rcc>
  <rcc rId="919" sId="1">
    <nc r="J17">
      <v>2</v>
    </nc>
  </rcc>
  <rcc rId="920" sId="1">
    <nc r="K17">
      <v>0</v>
    </nc>
  </rcc>
  <rcc rId="921" sId="1">
    <nc r="L17">
      <v>0</v>
    </nc>
  </rcc>
  <rcc rId="922" sId="1">
    <nc r="M17">
      <v>4</v>
    </nc>
  </rcc>
  <rcc rId="923" sId="1">
    <nc r="N17">
      <v>0</v>
    </nc>
  </rcc>
  <rcc rId="924" sId="1">
    <nc r="O17">
      <v>0</v>
    </nc>
  </rcc>
  <rcc rId="925" sId="1">
    <nc r="P17">
      <v>0</v>
    </nc>
  </rcc>
  <rcc rId="926" sId="1">
    <nc r="Q17">
      <v>4</v>
    </nc>
  </rcc>
  <rcc rId="927" sId="1">
    <nc r="R17">
      <v>0</v>
    </nc>
  </rcc>
  <rcc rId="928" sId="1">
    <nc r="S17">
      <v>0</v>
    </nc>
  </rcc>
  <rcc rId="929" sId="1">
    <nc r="T17">
      <v>0</v>
    </nc>
  </rcc>
  <rcc rId="930" sId="1">
    <nc r="U17">
      <v>3</v>
    </nc>
  </rcc>
  <rcc rId="931" sId="1">
    <nc r="V17">
      <v>0</v>
    </nc>
  </rcc>
  <rcc rId="932" sId="1">
    <nc r="W17">
      <v>0</v>
    </nc>
  </rcc>
  <rcc rId="933" sId="1">
    <nc r="X17" t="inlineStr">
      <is>
        <t>END_POOL_BALANCE,BEGIN_POOL_BALANCE not captured. PRINCIPAL_PAYMENTS_UNSCHEDULED wrongly captured.</t>
      </is>
    </nc>
  </rcc>
  <rcc rId="934" sId="1">
    <nc r="A17" t="inlineStr">
      <is>
        <t>6th</t>
      </is>
    </nc>
  </rcc>
  <rfmt sheetId="1" sqref="A16:XFD16" start="0" length="2147483647">
    <dxf>
      <font>
        <b val="0"/>
      </font>
    </dxf>
  </rfmt>
  <rcv guid="{1EE62E9F-0698-46CF-BB3C-23E1EBAB6664}" action="delete"/>
  <rdn rId="0" localSheetId="1" customView="1" name="Z_1EE62E9F_0698_46CF_BB3C_23E1EBAB6664_.wvu.FilterData" hidden="1" oldHidden="1">
    <formula>Log!$A$1:$Z$48</formula>
    <oldFormula>Log!$A$1:$Z$48</oldFormula>
  </rdn>
  <rcv guid="{1EE62E9F-0698-46CF-BB3C-23E1EBAB6664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36" sId="1" ref="A21:XFD21" action="insertRow"/>
  <rcc rId="937" sId="1">
    <nc r="B21">
      <v>1012229</v>
    </nc>
  </rcc>
  <rcc rId="938" sId="1">
    <nc r="C21" t="inlineStr">
      <is>
        <t>MFA 2021-INV1 Trust</t>
      </is>
    </nc>
  </rcc>
  <rcc rId="939" sId="1">
    <nc r="D21">
      <v>10</v>
    </nc>
  </rcc>
  <rcc rId="940" sId="1">
    <nc r="E21">
      <v>21</v>
    </nc>
  </rcc>
  <rcc rId="941" sId="1">
    <nc r="F21">
      <v>0</v>
    </nc>
  </rcc>
  <rcc rId="942" sId="1">
    <nc r="G21">
      <v>0</v>
    </nc>
  </rcc>
  <rcc rId="943" sId="1">
    <nc r="H21">
      <v>1</v>
    </nc>
  </rcc>
  <rcc rId="944" sId="1">
    <nc r="I21">
      <v>147</v>
    </nc>
  </rcc>
  <rcc rId="945" sId="1">
    <nc r="J21">
      <v>0</v>
    </nc>
  </rcc>
  <rcc rId="946" sId="1">
    <nc r="K21">
      <v>1</v>
    </nc>
  </rcc>
  <rcc rId="947" sId="1">
    <nc r="L21">
      <v>2</v>
    </nc>
  </rcc>
  <rcc rId="948" sId="1">
    <nc r="M21">
      <v>4</v>
    </nc>
  </rcc>
  <rcc rId="949" sId="1">
    <nc r="N21">
      <v>0</v>
    </nc>
  </rcc>
  <rcc rId="950" sId="1">
    <nc r="O21">
      <v>1</v>
    </nc>
  </rcc>
  <rcc rId="951" sId="1">
    <nc r="P21">
      <v>0</v>
    </nc>
  </rcc>
  <rcc rId="952" sId="1">
    <nc r="Q21">
      <v>4</v>
    </nc>
  </rcc>
  <rcc rId="953" sId="1">
    <nc r="R21">
      <v>0</v>
    </nc>
  </rcc>
  <rcc rId="954" sId="1">
    <nc r="S21">
      <v>0</v>
    </nc>
  </rcc>
  <rcc rId="955" sId="1">
    <nc r="T21">
      <v>0</v>
    </nc>
  </rcc>
  <rcc rId="956" sId="1">
    <nc r="U21">
      <v>3</v>
    </nc>
  </rcc>
  <rcc rId="957" sId="1">
    <nc r="V21">
      <v>0</v>
    </nc>
  </rcc>
  <rcc rId="958" sId="1">
    <nc r="W21">
      <v>0</v>
    </nc>
  </rcc>
  <rcc rId="959" sId="1">
    <nc r="X21" t="inlineStr">
      <is>
        <t>TOTAL_FEES_EXPENSES wrongly calculate. NUM_LOANS_MODIFIED_CUR,AMT_LOANS_MODIFIED_CUR additional data captured</t>
      </is>
    </nc>
  </rcc>
  <rcc rId="960" sId="1">
    <nc r="A21" t="inlineStr">
      <is>
        <t>5th</t>
      </is>
    </nc>
  </rcc>
  <rcmt sheetId="1" cell="J21" guid="{C9955954-8D5E-42C7-A28A-58CDF77B853D}" author="Susmita Biswas" newLength="28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" sId="1">
    <oc r="G17">
      <v>0</v>
    </oc>
    <nc r="G17">
      <v>1</v>
    </nc>
  </rcc>
  <rcc rId="962" sId="1">
    <oc r="G16">
      <v>0</v>
    </oc>
    <nc r="G16">
      <v>1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0:XFD20" start="0" length="2147483647">
    <dxf>
      <font>
        <b val="0"/>
      </font>
    </dxf>
  </rfmt>
  <rcc rId="963" sId="1">
    <oc r="J21">
      <v>0</v>
    </oc>
    <nc r="J21">
      <v>3</v>
    </nc>
  </rcc>
  <rcc rId="964" sId="1">
    <oc r="K21">
      <v>1</v>
    </oc>
    <nc r="K21">
      <v>0</v>
    </nc>
  </rcc>
  <rcc rId="965" sId="1">
    <oc r="O21">
      <v>1</v>
    </oc>
    <nc r="O21">
      <v>0</v>
    </nc>
  </rcc>
  <rcc rId="966" sId="1">
    <oc r="X21" t="inlineStr">
      <is>
        <t>TOTAL_FEES_EXPENSES wrongly calculate. NUM_LOANS_MODIFIED_CUR,AMT_LOANS_MODIFIED_CUR additional data captured</t>
      </is>
    </oc>
    <nc r="X21" t="inlineStr">
      <is>
        <t xml:space="preserve">NUM_LOANS_MODIFIED_CUR,AMT_LOANS_MODIFIED_CUR additional data captured.END_POOL_BALANCE,BEGIN_POOL_BALANCE,WAC_Beg not captured. 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" cell="J20" guid="{00000000-0000-0000-0000-000000000000}" action="delete" author="Susmita Biswas"/>
  <rcmt sheetId="1" cell="J21" guid="{00000000-0000-0000-0000-000000000000}" action="delete" author="Susmita Biswas"/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9:XFD49" start="0" length="2147483647">
    <dxf>
      <font>
        <b/>
      </font>
    </dxf>
  </rfmt>
  <rfmt sheetId="1" sqref="A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67" sId="1" odxf="1" dxf="1">
    <nc r="B52">
      <v>1006167</v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8" sId="1" odxf="1" dxf="1">
    <nc r="C52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9" sId="1" odxf="1" dxf="1">
    <nc r="D52">
      <v>10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0" sId="1" odxf="1" dxf="1">
    <nc r="E52">
      <v>21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1" sId="1" odxf="1" dxf="1">
    <nc r="F52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72" sId="1" odxf="1" dxf="1">
    <nc r="H52">
      <v>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3" sId="1" odxf="1" dxf="1">
    <nc r="I52">
      <v>147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J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74" sId="1" odxf="1" dxf="1">
    <nc r="L52">
      <v>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5" sId="1" odxf="1" dxf="1">
    <nc r="M52">
      <v>4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6" sId="1" odxf="1" dxf="1">
    <nc r="N52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7" sId="1" odxf="1" dxf="1">
    <nc r="O52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P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78" sId="1" odxf="1" dxf="1">
    <nc r="T52">
      <v>3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9" sId="1" odxf="1" dxf="1">
    <nc r="U52">
      <v>3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0" sId="1" odxf="1" dxf="1">
    <nc r="V52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1" sId="1" odxf="1" dxf="1">
    <nc r="W52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52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rgb="FF92D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52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2:XFD52" start="0" length="0">
    <dxf>
      <font>
        <b/>
        <sz val="11"/>
        <color theme="1"/>
        <name val="Aptos Narrow"/>
        <family val="2"/>
        <scheme val="minor"/>
      </font>
    </dxf>
  </rfmt>
  <rcc rId="982" sId="1">
    <nc r="A52" t="inlineStr">
      <is>
        <t>3rd</t>
      </is>
    </nc>
  </rcc>
  <rcc rId="983" sId="1">
    <nc r="G52">
      <v>4</v>
    </nc>
  </rcc>
  <rcc rId="984" sId="1">
    <oc r="J49">
      <v>4</v>
    </oc>
    <nc r="J49">
      <v>1</v>
    </nc>
  </rcc>
  <rcc rId="985" sId="1">
    <oc r="K49">
      <v>4</v>
    </oc>
    <nc r="K49">
      <v>0</v>
    </nc>
  </rcc>
  <rcc rId="986" sId="1">
    <nc r="J52">
      <v>1</v>
    </nc>
  </rcc>
  <rcc rId="987" sId="1">
    <nc r="K52">
      <v>0</v>
    </nc>
  </rcc>
  <rfmt sheetId="1" sqref="Y52">
    <dxf>
      <fill>
        <patternFill patternType="none">
          <bgColor auto="1"/>
        </patternFill>
      </fill>
    </dxf>
  </rfmt>
  <rcc rId="988" sId="1">
    <nc r="X52" t="inlineStr">
      <is>
        <t>ACCRETION wrong map for Class A-IO-S (1st round data is OK, 2nd round data wrong), SCHEDULED_PRINCIPAL wrong map for Class A-IO-S (1st &amp; 2nd round data is OK); PRINCIPAL_PAYMENTS_UNSCHEDULED wrong map for Class A-IO-S (1st &amp; 2nd round data is OK); BASIS_RISK_SHORTFALL_CURR delete map (same issue happened); WAC_RATE_BEGINNING map (1st &amp; 2nd round data extracted);</t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9" sId="1" ref="A8:XFD8" action="insertRow"/>
  <rcc rId="990" sId="1">
    <nc r="B8">
      <v>19584</v>
    </nc>
  </rcc>
  <rcc rId="991" sId="1">
    <nc r="C8" t="inlineStr">
      <is>
        <t>MASTR Adjustable Rate Mortgages Trust 2004-3</t>
      </is>
    </nc>
  </rcc>
  <rcc rId="992" sId="1">
    <nc r="D8">
      <v>43</v>
    </nc>
  </rcc>
  <rcc rId="993" sId="1">
    <nc r="E8">
      <v>21</v>
    </nc>
  </rcc>
  <rcc rId="994" sId="1">
    <nc r="F8">
      <v>0</v>
    </nc>
  </rcc>
  <rcc rId="995" sId="1">
    <nc r="G8">
      <v>0</v>
    </nc>
  </rcc>
  <rcc rId="996" sId="1">
    <nc r="H8">
      <v>9</v>
    </nc>
  </rcc>
  <rcc rId="997" sId="1">
    <nc r="I8">
      <v>147</v>
    </nc>
  </rcc>
  <rcc rId="998" sId="1">
    <nc r="J8">
      <v>0</v>
    </nc>
  </rcc>
  <rcc rId="999" sId="1">
    <nc r="L8">
      <v>0</v>
    </nc>
  </rcc>
  <rcc rId="1000" sId="1">
    <nc r="M8">
      <v>4</v>
    </nc>
  </rcc>
  <rcc rId="1001" sId="1">
    <nc r="N8">
      <v>0</v>
    </nc>
  </rcc>
  <rcc rId="1002" sId="1">
    <nc r="O8">
      <v>0</v>
    </nc>
  </rcc>
  <rcc rId="1003" sId="1">
    <nc r="P8">
      <v>0</v>
    </nc>
  </rcc>
  <rcc rId="1004" sId="1">
    <nc r="Q8">
      <v>4</v>
    </nc>
  </rcc>
  <rcc rId="1005" sId="1">
    <nc r="R8">
      <v>0</v>
    </nc>
  </rcc>
  <rcc rId="1006" sId="1">
    <nc r="S8">
      <v>0</v>
    </nc>
  </rcc>
  <rcc rId="1007" sId="1">
    <nc r="T8">
      <v>0</v>
    </nc>
  </rcc>
  <rcc rId="1008" sId="1">
    <nc r="U8">
      <v>5</v>
    </nc>
  </rcc>
  <rcc rId="1009" sId="1">
    <nc r="V8">
      <v>0</v>
    </nc>
  </rcc>
  <rcc rId="1010" sId="1">
    <nc r="W8">
      <v>0</v>
    </nc>
  </rcc>
  <rfmt sheetId="1" sqref="A7:XFD7" start="0" length="2147483647">
    <dxf>
      <font>
        <b val="0"/>
      </font>
    </dxf>
  </rfmt>
  <rcc rId="1011" sId="1">
    <nc r="A8" t="inlineStr">
      <is>
        <t>8th</t>
      </is>
    </nc>
  </rcc>
  <rcc rId="1012" sId="1">
    <nc r="K8">
      <v>1</v>
    </nc>
  </rcc>
  <rcc rId="1013" sId="1" xfDxf="1" dxf="1">
    <nc r="X8" t="inlineStr">
      <is>
        <t>PREPAY_PENALTIES- should not be captured for Group 1</t>
      </is>
    </nc>
    <n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14" sId="1" odxf="1" dxf="1">
    <nc r="B54">
      <v>1006167</v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5" sId="1" odxf="1" dxf="1">
    <nc r="C54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6" sId="1" odxf="1" dxf="1">
    <nc r="D54">
      <v>10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7" sId="1" odxf="1" dxf="1">
    <nc r="E54">
      <v>21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8" sId="1" odxf="1" dxf="1">
    <nc r="F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19" sId="1" odxf="1" dxf="1">
    <nc r="H54">
      <v>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0" sId="1" odxf="1" dxf="1">
    <nc r="I54">
      <v>147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J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21" sId="1" odxf="1" dxf="1">
    <nc r="K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2" sId="1" odxf="1" dxf="1">
    <nc r="L54">
      <v>1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3" sId="1" odxf="1" dxf="1">
    <nc r="M54">
      <v>4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4" sId="1" odxf="1" dxf="1">
    <nc r="N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5" sId="1" odxf="1" dxf="1">
    <nc r="O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P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26" sId="1" odxf="1" dxf="1">
    <nc r="T54">
      <v>3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7" sId="1" odxf="1" dxf="1">
    <nc r="U54">
      <v>3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8" sId="1" odxf="1" dxf="1">
    <nc r="V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9" sId="1" odxf="1" dxf="1">
    <nc r="W54">
      <v>0</v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X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54" start="0" length="0">
    <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4:XFD54" start="0" length="0">
    <dxf>
      <font>
        <b/>
        <sz val="11"/>
        <color theme="1"/>
        <name val="Aptos Narrow"/>
        <family val="2"/>
        <scheme val="minor"/>
      </font>
    </dxf>
  </rfmt>
  <rcc rId="1030" sId="1">
    <nc r="A54" t="inlineStr">
      <is>
        <t>4th</t>
      </is>
    </nc>
  </rcc>
  <rcc rId="1031" sId="1">
    <nc r="G54">
      <v>3</v>
    </nc>
  </rcc>
  <rcc rId="1032" sId="1">
    <nc r="J54">
      <v>0</v>
    </nc>
  </rcc>
  <rcc rId="1033" sId="1">
    <nc r="X54" t="inlineStr">
      <is>
        <t>ACCRETION wrong map for Class A-IO-S (1st round data is OK, 2nd &amp; 3rd round data wrong), SCHEDULED_PRINCIPAL wrong map for Class A-IO-S (1st &amp; 2nd round data is OK but 3rd round wrong map); PRINCIPAL_PAYMENTS_UNSCHEDULED wrong map for Class A-IO-S (1st &amp; 2nd round data is OK but 3rd round wrong map)</t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4" sId="1" ref="A14:XFD14" action="insertRow"/>
  <rcc rId="1035" sId="1">
    <nc r="B14">
      <v>36616</v>
    </nc>
  </rcc>
  <rcc rId="1036" sId="1">
    <nc r="C14" t="inlineStr">
      <is>
        <t>Banc of America Funding Corporation 2006-1</t>
      </is>
    </nc>
  </rcc>
  <rcc rId="1037" sId="1">
    <nc r="D14">
      <v>53</v>
    </nc>
  </rcc>
  <rcc rId="1038" sId="1">
    <nc r="E14">
      <v>21</v>
    </nc>
  </rcc>
  <rcc rId="1039" sId="1">
    <nc r="F14">
      <v>0</v>
    </nc>
  </rcc>
  <rcc rId="1040" sId="1">
    <nc r="G14">
      <v>0</v>
    </nc>
  </rcc>
  <rcc rId="1041" sId="1">
    <nc r="H14">
      <v>4</v>
    </nc>
  </rcc>
  <rcc rId="1042" sId="1">
    <nc r="I14">
      <v>147</v>
    </nc>
  </rcc>
  <rcc rId="1043" sId="1">
    <nc r="J14">
      <v>0</v>
    </nc>
  </rcc>
  <rcc rId="1044" sId="1">
    <nc r="K14">
      <v>1</v>
    </nc>
  </rcc>
  <rcc rId="1045" sId="1">
    <nc r="L14">
      <v>1</v>
    </nc>
  </rcc>
  <rcc rId="1046" sId="1">
    <nc r="M14">
      <v>4</v>
    </nc>
  </rcc>
  <rcc rId="1047" sId="1">
    <nc r="N14">
      <v>0</v>
    </nc>
  </rcc>
  <rcc rId="1048" sId="1">
    <nc r="O14">
      <v>0</v>
    </nc>
  </rcc>
  <rcc rId="1049" sId="1">
    <nc r="P14">
      <v>1</v>
    </nc>
  </rcc>
  <rcc rId="1050" sId="1">
    <nc r="Q14">
      <v>4</v>
    </nc>
  </rcc>
  <rcc rId="1051" sId="1">
    <nc r="R14">
      <v>0</v>
    </nc>
  </rcc>
  <rcc rId="1052" sId="1">
    <nc r="S14">
      <v>0</v>
    </nc>
  </rcc>
  <rcc rId="1053" sId="1">
    <nc r="T14">
      <v>6</v>
    </nc>
  </rcc>
  <rcc rId="1054" sId="1">
    <nc r="U14">
      <v>3</v>
    </nc>
  </rcc>
  <rcc rId="1055" sId="1">
    <nc r="V14">
      <v>0</v>
    </nc>
  </rcc>
  <rcc rId="1056" sId="1">
    <nc r="W14">
      <v>0</v>
    </nc>
  </rcc>
  <rcc rId="1057" sId="1">
    <nc r="X14" t="inlineStr">
      <is>
        <t>PREPAY_PENALTIES- should not be captured for Group 1,Group 2, Group 3.</t>
      </is>
    </nc>
  </rcc>
  <rcc rId="1058" sId="1">
    <nc r="A14" t="inlineStr">
      <is>
        <t>7th</t>
      </is>
    </nc>
  </rcc>
  <rfmt sheetId="1" sqref="A13:XFD13" start="0" length="2147483647">
    <dxf>
      <font>
        <b val="0"/>
      </font>
    </dxf>
  </rfmt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" sId="1">
    <oc r="J14">
      <v>0</v>
    </oc>
    <nc r="J14">
      <v>1</v>
    </nc>
  </rcc>
  <rcc rId="1060" sId="1">
    <oc r="K14">
      <v>1</v>
    </oc>
    <nc r="K14">
      <v>0</v>
    </nc>
  </rcc>
  <rfmt sheetId="1" xfDxf="1" sqref="X14" start="0" length="0">
    <dxf>
      <font>
        <b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61" sId="1">
    <oc r="X14" t="inlineStr">
      <is>
        <t>PREPAY_PENALTIES- should not be captured for Group 1,Group 2, Group 3.</t>
      </is>
    </oc>
    <nc r="X14" t="inlineStr">
      <is>
        <t>CURTAILMENTS should be captured for group 1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2" sId="1">
    <oc r="X14" t="inlineStr">
      <is>
        <t>CURTAILMENTS should be captured for group 1</t>
      </is>
    </oc>
    <nc r="X14" t="inlineStr">
      <is>
        <t>CURTAILMENTS should be captured for Group 1</t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3" sId="1" ref="A20:XFD20" action="insertRow"/>
  <rcc rId="1064" sId="1">
    <nc r="B20">
      <v>1010119</v>
    </nc>
  </rcc>
  <rcc rId="1065" sId="1">
    <nc r="C20" t="inlineStr">
      <is>
        <t>Stanwich Mortgage Loan Trust Series 2020-11</t>
      </is>
    </nc>
  </rcc>
  <rcc rId="1066" sId="1">
    <nc r="D20">
      <v>2</v>
    </nc>
  </rcc>
  <rcc rId="1067" sId="1">
    <nc r="E20">
      <v>21</v>
    </nc>
  </rcc>
  <rcc rId="1068" sId="1">
    <nc r="F20">
      <v>0</v>
    </nc>
  </rcc>
  <rcc rId="1069" sId="1">
    <nc r="H20">
      <v>1</v>
    </nc>
  </rcc>
  <rcc rId="1070" sId="1">
    <nc r="I20">
      <v>147</v>
    </nc>
  </rcc>
  <rcc rId="1071" sId="1">
    <nc r="K20">
      <v>0</v>
    </nc>
  </rcc>
  <rcc rId="1072" sId="1">
    <nc r="L20">
      <v>0</v>
    </nc>
  </rcc>
  <rcc rId="1073" sId="1">
    <nc r="M20">
      <v>4</v>
    </nc>
  </rcc>
  <rcc rId="1074" sId="1">
    <nc r="N20">
      <v>0</v>
    </nc>
  </rcc>
  <rcc rId="1075" sId="1">
    <nc r="O20">
      <v>0</v>
    </nc>
  </rcc>
  <rcc rId="1076" sId="1">
    <nc r="P20">
      <v>0</v>
    </nc>
  </rcc>
  <rcc rId="1077" sId="1">
    <nc r="Q20">
      <v>4</v>
    </nc>
  </rcc>
  <rcc rId="1078" sId="1">
    <nc r="R20">
      <v>0</v>
    </nc>
  </rcc>
  <rcc rId="1079" sId="1">
    <nc r="S20">
      <v>0</v>
    </nc>
  </rcc>
  <rcc rId="1080" sId="1">
    <nc r="T20">
      <v>0</v>
    </nc>
  </rcc>
  <rcc rId="1081" sId="1">
    <nc r="U20">
      <v>3</v>
    </nc>
  </rcc>
  <rcc rId="1082" sId="1">
    <nc r="V20">
      <v>0</v>
    </nc>
  </rcc>
  <rcc rId="1083" sId="1">
    <nc r="W20">
      <v>0</v>
    </nc>
  </rcc>
  <rcc rId="1084" sId="1">
    <nc r="A20" t="inlineStr">
      <is>
        <t>7th</t>
      </is>
    </nc>
  </rcc>
  <rfmt sheetId="1" sqref="A19:XFD19" start="0" length="2147483647">
    <dxf>
      <font>
        <b val="0"/>
      </font>
    </dxf>
  </rfmt>
  <rcc rId="1085" sId="1">
    <nc r="G20">
      <v>0</v>
    </nc>
  </rcc>
  <rcc rId="1086" sId="1">
    <nc r="J20">
      <v>0</v>
    </nc>
  </rcc>
  <rcc rId="1087" sId="1">
    <nc r="X20" t="inlineStr">
      <is>
        <t>Data Ok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88" sId="1" ref="A25:XFD25" action="insertRow"/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9" sId="1">
    <nc r="B25">
      <v>1012229</v>
    </nc>
  </rcc>
  <rcc rId="1090" sId="1">
    <nc r="C25" t="inlineStr">
      <is>
        <t>MFA 2021-INV1 Trust</t>
      </is>
    </nc>
  </rcc>
  <rcc rId="1091" sId="1">
    <nc r="D25">
      <v>10</v>
    </nc>
  </rcc>
  <rcc rId="1092" sId="1">
    <nc r="E25">
      <v>21</v>
    </nc>
  </rcc>
  <rcc rId="1093" sId="1">
    <nc r="F25">
      <v>0</v>
    </nc>
  </rcc>
  <rcc rId="1094" sId="1">
    <nc r="G25">
      <v>0</v>
    </nc>
  </rcc>
  <rcc rId="1095" sId="1">
    <nc r="H25">
      <v>1</v>
    </nc>
  </rcc>
  <rcc rId="1096" sId="1">
    <nc r="I25">
      <v>147</v>
    </nc>
  </rcc>
  <rcc rId="1097" sId="1">
    <nc r="K25">
      <v>0</v>
    </nc>
  </rcc>
  <rcc rId="1098" sId="1">
    <nc r="L25">
      <v>2</v>
    </nc>
  </rcc>
  <rcc rId="1099" sId="1">
    <nc r="M25">
      <v>4</v>
    </nc>
  </rcc>
  <rcc rId="1100" sId="1">
    <nc r="N25">
      <v>0</v>
    </nc>
  </rcc>
  <rcc rId="1101" sId="1">
    <nc r="O25">
      <v>0</v>
    </nc>
  </rcc>
  <rcc rId="1102" sId="1">
    <nc r="P25">
      <v>0</v>
    </nc>
  </rcc>
  <rcc rId="1103" sId="1">
    <nc r="Q25">
      <v>4</v>
    </nc>
  </rcc>
  <rcc rId="1104" sId="1">
    <nc r="R25">
      <v>0</v>
    </nc>
  </rcc>
  <rcc rId="1105" sId="1">
    <nc r="S25">
      <v>0</v>
    </nc>
  </rcc>
  <rcc rId="1106" sId="1">
    <nc r="T25">
      <v>0</v>
    </nc>
  </rcc>
  <rcc rId="1107" sId="1">
    <nc r="U25">
      <v>3</v>
    </nc>
  </rcc>
  <rcc rId="1108" sId="1">
    <nc r="V25">
      <v>0</v>
    </nc>
  </rcc>
  <rcc rId="1109" sId="1">
    <nc r="W25">
      <v>0</v>
    </nc>
  </rcc>
  <rcc rId="1110" sId="1">
    <nc r="X25" t="inlineStr">
      <is>
        <t xml:space="preserve">NUM_LOANS_MODIFIED_CUR,AMT_LOANS_MODIFIED_CUR additional data captured.END_POOL_BALANCE,BEGIN_POOL_BALANCE,WAC_Beg not captured. </t>
      </is>
    </nc>
  </rcc>
  <rcc rId="1111" sId="1">
    <nc r="A25" t="inlineStr">
      <is>
        <t>6th</t>
      </is>
    </nc>
  </rcc>
  <rfmt sheetId="1" sqref="A24:XFD24" start="0" length="2147483647">
    <dxf>
      <font>
        <b val="0"/>
      </font>
    </dxf>
  </rfmt>
  <rcc rId="1112" sId="1">
    <nc r="J25">
      <v>0</v>
    </nc>
  </rcc>
  <rcc rId="1113" sId="1">
    <nc r="L26">
      <v>2</v>
    </nc>
  </rcc>
  <rcc rId="1114" sId="1">
    <nc r="M26">
      <v>4</v>
    </nc>
  </rcc>
  <rcc rId="1115" sId="1">
    <nc r="N26">
      <v>0</v>
    </nc>
  </rcc>
  <rcc rId="1116" sId="1">
    <nc r="O26">
      <v>0</v>
    </nc>
  </rcc>
  <rcc rId="1117" sId="1">
    <nc r="P26">
      <v>0</v>
    </nc>
  </rcc>
  <rcc rId="1118" sId="1">
    <nc r="Q26">
      <v>4</v>
    </nc>
  </rcc>
  <rcc rId="1119" sId="1">
    <nc r="R26">
      <v>0</v>
    </nc>
  </rcc>
  <rcc rId="1120" sId="1">
    <nc r="S26">
      <v>0</v>
    </nc>
  </rcc>
  <rcc rId="1121" sId="1">
    <nc r="T26">
      <v>0</v>
    </nc>
  </rcc>
  <rcc rId="1122" sId="1">
    <nc r="U26">
      <v>3</v>
    </nc>
  </rcc>
  <rcc rId="1123" sId="1">
    <nc r="V26">
      <v>0</v>
    </nc>
  </rcc>
  <rcc rId="1124" sId="1">
    <nc r="W26">
      <v>0</v>
    </nc>
  </rcc>
  <rcc rId="1125" sId="1">
    <nc r="L27">
      <v>2</v>
    </nc>
  </rcc>
  <rcc rId="1126" sId="1">
    <nc r="M27">
      <v>4</v>
    </nc>
  </rcc>
  <rcc rId="1127" sId="1">
    <nc r="N27">
      <v>0</v>
    </nc>
  </rcc>
  <rcc rId="1128" sId="1">
    <nc r="O27">
      <v>0</v>
    </nc>
  </rcc>
  <rcc rId="1129" sId="1">
    <nc r="P27">
      <v>0</v>
    </nc>
  </rcc>
  <rcc rId="1130" sId="1">
    <nc r="Q27">
      <v>4</v>
    </nc>
  </rcc>
  <rcc rId="1131" sId="1">
    <nc r="R27">
      <v>0</v>
    </nc>
  </rcc>
  <rcc rId="1132" sId="1">
    <nc r="S27">
      <v>0</v>
    </nc>
  </rcc>
  <rcc rId="1133" sId="1">
    <nc r="T27">
      <v>0</v>
    </nc>
  </rcc>
  <rcc rId="1134" sId="1">
    <nc r="U27">
      <v>3</v>
    </nc>
  </rcc>
  <rcc rId="1135" sId="1">
    <nc r="V27">
      <v>0</v>
    </nc>
  </rcc>
  <rcc rId="1136" sId="1">
    <nc r="W27">
      <v>0</v>
    </nc>
  </rcc>
  <rcc rId="1137" sId="1" xfDxf="1" dxf="1">
    <oc r="X26" t="inlineStr">
      <is>
        <t>DAY_DELINQUENCIES_90_119_NEW, DAY_DELINQUENCIES_120_149_NEW, DAY_DELINQUENCIES_150_179_NEW, DAY_DELINQUENCIES_180_PLUS_NEW should be Mapped;</t>
      </is>
    </oc>
    <nc r="X26" t="inlineStr">
      <is>
        <t xml:space="preserve">NUM_LOANS_MODIFIED_CUR,AMT_LOANS_MODIFIED_CUR additional data captured.END_POOL_BALANCE,BEGIN_POOL_BALANCE,WAC_Beg not captured. </t>
      </is>
    </nc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8" sId="1">
    <oc r="X27" t="inlineStr">
      <is>
        <t>DAY_DELINQUENCIES_90_119_NEW, DAY_DELINQUENCIES_120_149_NEW, DAY_DELINQUENCIES_150_179_NEW, DAY_DELINQUENCIES_180_PLUS_NEW should be Mapped;</t>
      </is>
    </oc>
    <nc r="X27" t="inlineStr">
      <is>
        <t>Data Ok.NUM_LOANS_MODIFIED_CUR,AMT_LOANS_MODIFIED_CUR additional data captured as per LLM logic.</t>
      </is>
    </nc>
  </rcc>
  <rfmt sheetId="1" sqref="A25:XFD25" start="0" length="2147483647">
    <dxf>
      <font>
        <b val="0"/>
      </font>
    </dxf>
  </rfmt>
  <rfmt sheetId="1" sqref="A25:XFD25" start="0" length="2147483647">
    <dxf>
      <font>
        <b/>
      </font>
    </dxf>
  </rfmt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9" sId="1" odxf="1" dxf="1">
    <nc r="AA1" t="inlineStr">
      <is>
        <t>Total_Count</t>
      </is>
    </nc>
    <odxf>
      <font>
        <b val="0"/>
        <sz val="11"/>
        <color theme="1"/>
        <name val="Aptos Narrow"/>
        <family val="2"/>
        <scheme val="minor"/>
      </font>
      <alignment wrapText="1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0" sId="1" odxf="1" dxf="1">
    <nc r="AB1" t="inlineStr">
      <is>
        <t>Total_Mismatch_Count</t>
      </is>
    </nc>
    <odxf>
      <font>
        <b val="0"/>
        <sz val="11"/>
        <color theme="1"/>
        <name val="Aptos Narrow"/>
        <family val="2"/>
        <scheme val="minor"/>
      </font>
      <alignment wrapText="1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1" sId="1" odxf="1" dxf="1">
    <nc r="AC1" t="inlineStr">
      <is>
        <t>Total_Error_Count</t>
      </is>
    </nc>
    <odxf>
      <font>
        <b val="0"/>
        <sz val="11"/>
        <color theme="1"/>
        <name val="Aptos Narrow"/>
        <family val="2"/>
        <scheme val="minor"/>
      </font>
      <alignment wrapText="1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2" sId="1" odxf="1" dxf="1">
    <nc r="AD1" t="inlineStr">
      <is>
        <t>Mismatch_%</t>
      </is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3" sId="1" odxf="1" dxf="1">
    <nc r="AE1" t="inlineStr">
      <is>
        <t>Error_%</t>
      </is>
    </nc>
    <odxf>
      <font>
        <b val="0"/>
        <sz val="11"/>
        <color theme="1"/>
        <name val="Aptos Narrow"/>
        <family val="2"/>
        <scheme val="minor"/>
      </font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4" sId="1" odxf="1" dxf="1">
    <nc r="AA2">
      <f>E2+I2+M2+Q2+U2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5" sId="1" odxf="1" dxf="1">
    <nc r="AB2">
      <f>F2+J2+N2+R2+V2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6" sId="1" odxf="1" dxf="1">
    <nc r="AC2">
      <f>G2+K2+O2+S2+W2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7" sId="1" odxf="1" dxf="1">
    <nc r="AD2">
      <f>AB2/AA2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8" sId="1" odxf="1" dxf="1">
    <nc r="AE2">
      <f>AC2/AA2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9" sId="1" odxf="1" dxf="1">
    <nc r="AA3">
      <f>E3+I3+M3+Q3+U3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0" sId="1" odxf="1" dxf="1">
    <nc r="AB3">
      <f>F3+J3+N3+R3+V3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1" sId="1" odxf="1" dxf="1">
    <nc r="AC3">
      <f>G3+K3+O3+S3+W3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2" sId="1" odxf="1" dxf="1">
    <nc r="AD3">
      <f>AB3/AA3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3" sId="1" odxf="1" dxf="1">
    <nc r="AE3">
      <f>AC3/AA3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4" sId="1" odxf="1" dxf="1">
    <nc r="AA4">
      <f>E4+I4+M4+Q4+U4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5" sId="1" odxf="1" dxf="1">
    <nc r="AB4">
      <f>F4+J4+N4+R4+V4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6" sId="1" odxf="1" dxf="1">
    <nc r="AC4">
      <f>G4+K4+O4+S4+W4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7" sId="1" odxf="1" dxf="1">
    <nc r="AD4">
      <f>AB4/AA4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8" sId="1" odxf="1" dxf="1">
    <nc r="AE4">
      <f>AC4/AA4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9" sId="1" odxf="1" dxf="1">
    <nc r="AA5">
      <f>E5+I5+M5+Q5+U5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0" sId="1" odxf="1" dxf="1">
    <nc r="AB5">
      <f>F5+J5+N5+R5+V5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1" sId="1" odxf="1" dxf="1">
    <nc r="AC5">
      <f>G5+K5+O5+S5+W5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2" sId="1" odxf="1" dxf="1">
    <nc r="AD5">
      <f>AB5/AA5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3" sId="1" odxf="1" dxf="1">
    <nc r="AE5">
      <f>AC5/AA5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4" sId="1" odxf="1" dxf="1">
    <nc r="AA6">
      <f>E6+I6+M6+Q6+U6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5" sId="1" odxf="1" dxf="1">
    <nc r="AB6">
      <f>F6+J6+N6+R6+V6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6" sId="1" odxf="1" dxf="1">
    <nc r="AC6">
      <f>G6+K6+O6+S6+W6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7" sId="1" odxf="1" dxf="1">
    <nc r="AD6">
      <f>AB6/AA6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8" sId="1" odxf="1" dxf="1">
    <nc r="AE6">
      <f>AC6/AA6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9" sId="1" odxf="1" dxf="1">
    <nc r="AA7">
      <f>E7+I7+M7+Q7+U7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0" sId="1" odxf="1" dxf="1">
    <nc r="AB7">
      <f>F7+J7+N7+R7+V7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1" sId="1" odxf="1" dxf="1">
    <nc r="AC7">
      <f>G7+K7+O7+S7+W7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2" sId="1" odxf="1" dxf="1">
    <nc r="AD7">
      <f>AB7/AA7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3" sId="1" odxf="1" dxf="1">
    <nc r="AE7">
      <f>AC7/AA7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4" sId="1" odxf="1" dxf="1">
    <nc r="AA8">
      <f>E8+I8+M8+Q8+U8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5" sId="1" odxf="1" dxf="1">
    <nc r="AB8">
      <f>F8+J8+N8+R8+V8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6" sId="1" odxf="1" dxf="1">
    <nc r="AC8">
      <f>G8+K8+O8+S8+W8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7" sId="1" odxf="1" dxf="1">
    <nc r="AD8">
      <f>AB8/AA8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8" sId="1" odxf="1" dxf="1">
    <nc r="AE8">
      <f>AC8/AA8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9" sId="1" odxf="1" dxf="1">
    <nc r="AA9">
      <f>E9+I9+M9+Q9+U9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0" sId="1" odxf="1" dxf="1">
    <nc r="AB9">
      <f>F9+J9+N9+R9+V9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1" sId="1" odxf="1" dxf="1">
    <nc r="AC9">
      <f>G9+K9+O9+S9+W9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2" sId="1" odxf="1" dxf="1">
    <nc r="AD9">
      <f>AB9/AA9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3" sId="1" odxf="1" dxf="1">
    <nc r="AE9">
      <f>AC9/AA9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4" sId="1" odxf="1" dxf="1">
    <nc r="AA10">
      <f>E10+I10+M10+Q10+U10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5" sId="1" odxf="1" dxf="1">
    <nc r="AB10">
      <f>F10+J10+N10+R10+V10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6" sId="1" odxf="1" dxf="1">
    <nc r="AC10">
      <f>G10+K10+O10+S10+W10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7" sId="1" odxf="1" dxf="1">
    <nc r="AD10">
      <f>AB10/AA10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8" sId="1" odxf="1" dxf="1">
    <nc r="AE10">
      <f>AC10/AA10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9" sId="1" odxf="1" dxf="1">
    <nc r="AA11">
      <f>E11+I11+M11+Q11+U11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0" sId="1" odxf="1" dxf="1">
    <nc r="AB11">
      <f>F11+J11+N11+R11+V11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1" sId="1" odxf="1" dxf="1">
    <nc r="AC11">
      <f>G11+K11+O11+S11+W11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2" sId="1" odxf="1" dxf="1">
    <nc r="AD11">
      <f>AB11/AA11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3" sId="1" odxf="1" dxf="1">
    <nc r="AE11">
      <f>AC11/AA11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4" sId="1" odxf="1" dxf="1">
    <nc r="AA12">
      <f>E12+I12+M12+Q12+U12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5" sId="1" odxf="1" dxf="1">
    <nc r="AB12">
      <f>F12+J12+N12+R12+V12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6" sId="1" odxf="1" dxf="1">
    <nc r="AC12">
      <f>G12+K12+O12+S12+W12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7" sId="1" odxf="1" dxf="1">
    <nc r="AD12">
      <f>AB12/AA12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8" sId="1" odxf="1" dxf="1">
    <nc r="AE12">
      <f>AC12/AA12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9" sId="1" odxf="1" dxf="1">
    <nc r="AA13">
      <f>E13+I13+M13+Q13+U13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0" sId="1" odxf="1" dxf="1">
    <nc r="AB13">
      <f>F13+J13+N13+R13+V13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" sId="1" odxf="1" dxf="1">
    <nc r="AC13">
      <f>G13+K13+O13+S13+W13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" sId="1" odxf="1" dxf="1">
    <nc r="AD13">
      <f>AB13/AA13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3" sId="1" odxf="1" dxf="1">
    <nc r="AE13">
      <f>AC13/AA13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4" sId="1" odxf="1" dxf="1">
    <nc r="AA14">
      <f>E14+I14+M14+Q14+U14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5" sId="1" odxf="1" dxf="1">
    <nc r="AB14">
      <f>F14+J14+N14+R14+V14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6" sId="1" odxf="1" dxf="1">
    <nc r="AC14">
      <f>G14+K14+O14+S14+W14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7" sId="1" odxf="1" dxf="1">
    <nc r="AD14">
      <f>AB14/AA14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8" sId="1" odxf="1" dxf="1">
    <nc r="AE14">
      <f>AC14/AA14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9" sId="1" odxf="1" dxf="1">
    <nc r="AA15">
      <f>E15+I15+M15+Q15+U15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0" sId="1" odxf="1" dxf="1">
    <nc r="AB15">
      <f>F15+J15+N15+R15+V15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1" sId="1" odxf="1" dxf="1">
    <nc r="AC15">
      <f>G15+K15+O15+S15+W15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2" sId="1" odxf="1" dxf="1">
    <nc r="AD15">
      <f>AB15/AA15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3" sId="1" odxf="1" dxf="1">
    <nc r="AE15">
      <f>AC15/AA15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4" sId="1" odxf="1" dxf="1">
    <nc r="AA16">
      <f>E16+I16+M16+Q16+U16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5" sId="1" odxf="1" dxf="1">
    <nc r="AB16">
      <f>F16+J16+N16+R16+V16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6" sId="1" odxf="1" dxf="1">
    <nc r="AC16">
      <f>G16+K16+O16+S16+W16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" sId="1" odxf="1" dxf="1">
    <nc r="AD16">
      <f>AB16/AA16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8" sId="1" odxf="1" dxf="1">
    <nc r="AE16">
      <f>AC16/AA16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9" sId="1" odxf="1" dxf="1">
    <nc r="AA17">
      <f>E17+I17+M17+Q17+U17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0" sId="1" odxf="1" dxf="1">
    <nc r="AB17">
      <f>F17+J17+N17+R17+V17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1" sId="1" odxf="1" dxf="1">
    <nc r="AC17">
      <f>G17+K17+O17+S17+W17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2" sId="1" odxf="1" dxf="1">
    <nc r="AD17">
      <f>AB17/AA17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3" sId="1" odxf="1" dxf="1">
    <nc r="AE17">
      <f>AC17/AA17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4" sId="1" odxf="1" dxf="1">
    <nc r="AA18">
      <f>E18+I18+M18+Q18+U18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5" sId="1" odxf="1" dxf="1">
    <nc r="AB18">
      <f>F18+J18+N18+R18+V18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6" sId="1" odxf="1" dxf="1">
    <nc r="AC18">
      <f>G18+K18+O18+S18+W18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7" sId="1" odxf="1" dxf="1">
    <nc r="AD18">
      <f>AB18/AA18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8" sId="1" odxf="1" dxf="1">
    <nc r="AE18">
      <f>AC18/AA18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9" sId="1" odxf="1" dxf="1">
    <nc r="AA19">
      <f>E19+I19+M19+Q19+U19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0" sId="1" odxf="1" dxf="1">
    <nc r="AB19">
      <f>F19+J19+N19+R19+V19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1" sId="1" odxf="1" dxf="1">
    <nc r="AC19">
      <f>G19+K19+O19+S19+W19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2" sId="1" odxf="1" dxf="1">
    <nc r="AD19">
      <f>AB19/AA19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3" sId="1" odxf="1" dxf="1">
    <nc r="AE19">
      <f>AC19/AA19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4" sId="1" odxf="1" dxf="1">
    <nc r="AA20">
      <f>E20+I20+M20+Q20+U20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5" sId="1" odxf="1" dxf="1">
    <nc r="AB20">
      <f>F20+J20+N20+R20+V20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6" sId="1" odxf="1" dxf="1">
    <nc r="AC20">
      <f>G20+K20+O20+S20+W20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7" sId="1" odxf="1" dxf="1">
    <nc r="AD20">
      <f>AB20/AA20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8" sId="1" odxf="1" dxf="1">
    <nc r="AE20">
      <f>AC20/AA20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9" sId="1" odxf="1" dxf="1">
    <nc r="AA21">
      <f>E21+I21+M21+Q21+U21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0" sId="1" odxf="1" dxf="1">
    <nc r="AB21">
      <f>F21+J21+N21+R21+V21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1" sId="1" odxf="1" dxf="1">
    <nc r="AC21">
      <f>G21+K21+O21+S21+W21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2" sId="1" odxf="1" dxf="1">
    <nc r="AD21">
      <f>AB21/AA21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3" sId="1" odxf="1" dxf="1">
    <nc r="AE21">
      <f>AC21/AA21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4" sId="1" odxf="1" dxf="1">
    <nc r="AA22">
      <f>E22+I22+M22+Q22+U22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5" sId="1" odxf="1" dxf="1">
    <nc r="AB22">
      <f>F22+J22+N22+R22+V22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6" sId="1" odxf="1" dxf="1">
    <nc r="AC22">
      <f>G22+K22+O22+S22+W22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7" sId="1" odxf="1" dxf="1">
    <nc r="AD22">
      <f>AB22/AA22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8" sId="1" odxf="1" dxf="1">
    <nc r="AE22">
      <f>AC22/AA22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9" sId="1" odxf="1" dxf="1">
    <nc r="AA23">
      <f>E23+I23+M23+Q23+U23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0" sId="1" odxf="1" dxf="1">
    <nc r="AB23">
      <f>F23+J23+N23+R23+V23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1" sId="1" odxf="1" dxf="1">
    <nc r="AC23">
      <f>G23+K23+O23+S23+W23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2" sId="1" odxf="1" dxf="1">
    <nc r="AD23">
      <f>AB23/AA23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3" sId="1" odxf="1" dxf="1">
    <nc r="AE23">
      <f>AC23/AA23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4" sId="1" odxf="1" dxf="1">
    <nc r="AA24">
      <f>E24+I24+M24+Q24+U24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5" sId="1" odxf="1" dxf="1">
    <nc r="AB24">
      <f>F24+J24+N24+R24+V24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6" sId="1" odxf="1" dxf="1">
    <nc r="AC24">
      <f>G24+K24+O24+S24+W24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7" sId="1" odxf="1" dxf="1">
    <nc r="AD24">
      <f>AB24/AA24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8" sId="1" odxf="1" dxf="1">
    <nc r="AE24">
      <f>AC24/AA24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9" sId="1" odxf="1" dxf="1">
    <nc r="AA25">
      <f>E25+I25+M25+Q25+U25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0" sId="1" odxf="1" dxf="1">
    <nc r="AB25">
      <f>F25+J25+N25+R25+V25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1" sId="1" odxf="1" dxf="1">
    <nc r="AC25">
      <f>G25+K25+O25+S25+W25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2" sId="1" odxf="1" dxf="1">
    <nc r="AD25">
      <f>AB25/AA25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3" sId="1" odxf="1" dxf="1">
    <nc r="AE25">
      <f>AC25/AA25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4" sId="1" odxf="1" dxf="1">
    <nc r="AA26">
      <f>E26+I26+M26+Q26+U26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5" sId="1" odxf="1" dxf="1">
    <nc r="AB26">
      <f>F26+J26+N26+R26+V26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6" sId="1" odxf="1" dxf="1">
    <nc r="AC26">
      <f>G26+K26+O26+S26+W26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7" sId="1" odxf="1" dxf="1">
    <nc r="AD26">
      <f>AB26/AA26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8" sId="1" odxf="1" dxf="1">
    <nc r="AE26">
      <f>AC26/AA26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9" sId="1" odxf="1" dxf="1">
    <nc r="AA27">
      <f>E27+I27+M27+Q27+U27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0" sId="1" odxf="1" dxf="1">
    <nc r="AB27">
      <f>F27+J27+N27+R27+V27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1" sId="1" odxf="1" dxf="1">
    <nc r="AC27">
      <f>G27+K27+O27+S27+W27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2" sId="1" odxf="1" dxf="1">
    <nc r="AD27">
      <f>AB27/AA27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3" sId="1" odxf="1" dxf="1">
    <nc r="AE27">
      <f>AC27/AA27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4" sId="1" odxf="1" dxf="1">
    <nc r="AA28">
      <f>E28+I28+M28+Q28+U28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5" sId="1" odxf="1" dxf="1">
    <nc r="AB28">
      <f>F28+J28+N28+R28+V28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6" sId="1" odxf="1" dxf="1">
    <nc r="AC28">
      <f>G28+K28+O28+S28+W28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7" sId="1" odxf="1" dxf="1">
    <nc r="AD28">
      <f>AB28/AA28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8" sId="1" odxf="1" dxf="1">
    <nc r="AE28">
      <f>AC28/AA28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9" sId="1" odxf="1" dxf="1">
    <nc r="AA29">
      <f>E29+I29+M29+Q29+U29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0" sId="1" odxf="1" dxf="1">
    <nc r="AB29">
      <f>F29+J29+N29+R29+V29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1" sId="1" odxf="1" dxf="1">
    <nc r="AC29">
      <f>G29+K29+O29+S29+W29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2" sId="1" odxf="1" dxf="1">
    <nc r="AD29">
      <f>AB29/AA29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3" sId="1" odxf="1" dxf="1">
    <nc r="AE29">
      <f>AC29/AA29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4" sId="1" odxf="1" dxf="1">
    <nc r="AA30">
      <f>E30+I30+M30+Q30+U30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5" sId="1" odxf="1" dxf="1">
    <nc r="AB30">
      <f>F30+J30+N30+R30+V30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6" sId="1" odxf="1" dxf="1">
    <nc r="AC30">
      <f>G30+K30+O30+S30+W30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7" sId="1" odxf="1" dxf="1">
    <nc r="AD30">
      <f>AB30/AA30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8" sId="1" odxf="1" dxf="1">
    <nc r="AE30">
      <f>AC30/AA30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9" sId="1" odxf="1" dxf="1">
    <nc r="AA31">
      <f>E31+I31+M31+Q31+U31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0" sId="1" odxf="1" dxf="1">
    <nc r="AB31">
      <f>F31+J31+N31+R31+V31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1" sId="1" odxf="1" dxf="1">
    <nc r="AC31">
      <f>G31+K31+O31+S31+W31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2" sId="1" odxf="1" dxf="1">
    <nc r="AD31">
      <f>AB31/AA31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3" sId="1" odxf="1" dxf="1">
    <nc r="AE31">
      <f>AC31/AA31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4" sId="1" odxf="1" dxf="1">
    <nc r="AA32">
      <f>E32+I32+M32+Q32+U32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5" sId="1" odxf="1" dxf="1">
    <nc r="AB32">
      <f>F32+J32+N32+R32+V32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6" sId="1" odxf="1" dxf="1">
    <nc r="AC32">
      <f>G32+K32+O32+S32+W32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7" sId="1" odxf="1" dxf="1">
    <nc r="AD32">
      <f>AB32/AA32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8" sId="1" odxf="1" dxf="1">
    <nc r="AE32">
      <f>AC32/AA32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9" sId="1" odxf="1" dxf="1">
    <nc r="AA33">
      <f>E33+I33+M33+Q33+U33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0" sId="1" odxf="1" dxf="1">
    <nc r="AB33">
      <f>F33+J33+N33+R33+V33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1" sId="1" odxf="1" dxf="1">
    <nc r="AC33">
      <f>G33+K33+O33+S33+W33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2" sId="1" odxf="1" dxf="1">
    <nc r="AD33">
      <f>AB33/AA33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3" sId="1" odxf="1" dxf="1">
    <nc r="AE33">
      <f>AC33/AA33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4" sId="1" odxf="1" dxf="1">
    <nc r="AA34">
      <f>E34+I34+M34+Q34+U34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5" sId="1" odxf="1" dxf="1">
    <nc r="AB34">
      <f>F34+J34+N34+R34+V34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6" sId="1" odxf="1" dxf="1">
    <nc r="AC34">
      <f>G34+K34+O34+S34+W34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7" sId="1" odxf="1" dxf="1">
    <nc r="AD34">
      <f>AB34/AA34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8" sId="1" odxf="1" dxf="1">
    <nc r="AE34">
      <f>AC34/AA34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9" sId="1" odxf="1" dxf="1">
    <nc r="AA35">
      <f>E35+I35+M35+Q35+U35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0" sId="1" odxf="1" dxf="1">
    <nc r="AB35">
      <f>F35+J35+N35+R35+V35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1" sId="1" odxf="1" dxf="1">
    <nc r="AC35">
      <f>G35+K35+O35+S35+W35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2" sId="1" odxf="1" dxf="1">
    <nc r="AD35">
      <f>AB35/AA35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3" sId="1" odxf="1" dxf="1">
    <nc r="AE35">
      <f>AC35/AA35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4" sId="1" odxf="1" dxf="1">
    <nc r="AA36">
      <f>E36+I36+M36+Q36+U36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5" sId="1" odxf="1" dxf="1">
    <nc r="AB36">
      <f>F36+J36+N36+R36+V36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6" sId="1" odxf="1" dxf="1">
    <nc r="AC36">
      <f>G36+K36+O36+S36+W36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7" sId="1" odxf="1" dxf="1">
    <nc r="AD36">
      <f>AB36/AA36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8" sId="1" odxf="1" dxf="1">
    <nc r="AE36">
      <f>AC36/AA36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9" sId="1" odxf="1" dxf="1">
    <nc r="AA37">
      <f>E37+I37+M37+Q37+U37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0" sId="1" odxf="1" dxf="1">
    <nc r="AB37">
      <f>F37+J37+N37+R37+V37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1" sId="1" odxf="1" dxf="1">
    <nc r="AC37">
      <f>G37+K37+O37+S37+W37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2" sId="1" odxf="1" dxf="1">
    <nc r="AD37">
      <f>AB37/AA37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3" sId="1" odxf="1" dxf="1">
    <nc r="AE37">
      <f>AC37/AA37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4" sId="1" odxf="1" dxf="1">
    <nc r="AA38">
      <f>E38+I38+M38+Q38+U38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5" sId="1" odxf="1" dxf="1">
    <nc r="AB38">
      <f>F38+J38+N38+R38+V38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6" sId="1" odxf="1" dxf="1">
    <nc r="AC38">
      <f>G38+K38+O38+S38+W38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7" sId="1" odxf="1" dxf="1">
    <nc r="AD38">
      <f>AB38/AA38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8" sId="1" odxf="1" dxf="1">
    <nc r="AE38">
      <f>AC38/AA38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9" sId="1" odxf="1" dxf="1">
    <nc r="AA39">
      <f>E39+I39+M39+Q39+U39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0" sId="1" odxf="1" dxf="1">
    <nc r="AB39">
      <f>F39+J39+N39+R39+V39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1" sId="1" odxf="1" dxf="1">
    <nc r="AC39">
      <f>G39+K39+O39+S39+W39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2" sId="1" odxf="1" dxf="1">
    <nc r="AD39">
      <f>AB39/AA39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3" sId="1" odxf="1" dxf="1">
    <nc r="AE39">
      <f>AC39/AA39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4" sId="1" odxf="1" dxf="1">
    <nc r="AA40">
      <f>E40+I40+M40+Q40+U40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5" sId="1" odxf="1" dxf="1">
    <nc r="AB40">
      <f>F40+J40+N40+R40+V40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6" sId="1" odxf="1" dxf="1">
    <nc r="AC40">
      <f>G40+K40+O40+S40+W40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7" sId="1" odxf="1" dxf="1">
    <nc r="AD40">
      <f>AB40/AA40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8" sId="1" odxf="1" dxf="1">
    <nc r="AE40">
      <f>AC40/AA40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9" sId="1" odxf="1" dxf="1">
    <nc r="AA41">
      <f>E41+I41+M41+Q41+U41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0" sId="1" odxf="1" dxf="1">
    <nc r="AB41">
      <f>F41+J41+N41+R41+V41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1" sId="1" odxf="1" dxf="1">
    <nc r="AC41">
      <f>G41+K41+O41+S41+W41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2" sId="1" odxf="1" dxf="1">
    <nc r="AD41">
      <f>AB41/AA41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3" sId="1" odxf="1" dxf="1">
    <nc r="AE41">
      <f>AC41/AA41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4" sId="1" odxf="1" dxf="1">
    <nc r="AA42">
      <f>E42+I42+M42+Q42+U42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5" sId="1" odxf="1" dxf="1">
    <nc r="AB42">
      <f>F42+J42+N42+R42+V42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6" sId="1" odxf="1" dxf="1">
    <nc r="AC42">
      <f>G42+K42+O42+S42+W42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7" sId="1" odxf="1" dxf="1">
    <nc r="AD42">
      <f>AB42/AA42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8" sId="1" odxf="1" dxf="1">
    <nc r="AE42">
      <f>AC42/AA42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9" sId="1" odxf="1" dxf="1">
    <nc r="AA43">
      <f>E43+I43+M43+Q43+U43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0" sId="1" odxf="1" dxf="1">
    <nc r="AB43">
      <f>F43+J43+N43+R43+V43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1" sId="1" odxf="1" dxf="1">
    <nc r="AC43">
      <f>G43+K43+O43+S43+W43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2" sId="1" odxf="1" dxf="1">
    <nc r="AD43">
      <f>AB43/AA43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3" sId="1" odxf="1" dxf="1">
    <nc r="AE43">
      <f>AC43/AA43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4" sId="1" odxf="1" dxf="1">
    <nc r="AA44">
      <f>E44+I44+M44+Q44+U44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5" sId="1" odxf="1" dxf="1">
    <nc r="AB44">
      <f>F44+J44+N44+R44+V44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6" sId="1" odxf="1" dxf="1">
    <nc r="AC44">
      <f>G44+K44+O44+S44+W44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7" sId="1" odxf="1" dxf="1">
    <nc r="AD44">
      <f>AB44/AA44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8" sId="1" odxf="1" dxf="1">
    <nc r="AE44">
      <f>AC44/AA44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9" sId="1" odxf="1" dxf="1">
    <nc r="AA45">
      <f>E45+I45+M45+Q45+U45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0" sId="1" odxf="1" dxf="1">
    <nc r="AB45">
      <f>F45+J45+N45+R45+V45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1" sId="1" odxf="1" dxf="1">
    <nc r="AC45">
      <f>G45+K45+O45+S45+W45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2" sId="1" odxf="1" dxf="1">
    <nc r="AD45">
      <f>AB45/AA45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3" sId="1" odxf="1" dxf="1">
    <nc r="AE45">
      <f>AC45/AA45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4" sId="1" odxf="1" dxf="1">
    <nc r="AA46">
      <f>E46+I46+M46+Q46+U46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5" sId="1" odxf="1" dxf="1">
    <nc r="AB46">
      <f>F46+J46+N46+R46+V46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6" sId="1" odxf="1" dxf="1">
    <nc r="AC46">
      <f>G46+K46+O46+S46+W46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7" sId="1" odxf="1" dxf="1">
    <nc r="AD46">
      <f>AB46/AA46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8" sId="1" odxf="1" dxf="1">
    <nc r="AE46">
      <f>AC46/AA46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9" sId="1" odxf="1" dxf="1">
    <nc r="AA47">
      <f>E47+I47+M47+Q47+U47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0" sId="1" odxf="1" dxf="1">
    <nc r="AB47">
      <f>F47+J47+N47+R47+V47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1" sId="1" odxf="1" dxf="1">
    <nc r="AC47">
      <f>G47+K47+O47+S47+W47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2" sId="1" odxf="1" dxf="1">
    <nc r="AD47">
      <f>AB47/AA47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3" sId="1" odxf="1" dxf="1">
    <nc r="AE47">
      <f>AC47/AA47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4" sId="1" odxf="1" dxf="1">
    <nc r="AA48">
      <f>E48+I48+M48+Q48+U48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5" sId="1" odxf="1" dxf="1">
    <nc r="AB48">
      <f>F48+J48+N48+R48+V48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6" sId="1" odxf="1" dxf="1">
    <nc r="AC48">
      <f>G48+K48+O48+S48+W48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7" sId="1" odxf="1" dxf="1">
    <nc r="AD48">
      <f>AB48/AA48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8" sId="1" odxf="1" dxf="1">
    <nc r="AE48">
      <f>AC48/AA48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9" sId="1" odxf="1" dxf="1">
    <nc r="AA49">
      <f>E49+I49+M49+Q49+U49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0" sId="1" odxf="1" dxf="1">
    <nc r="AB49">
      <f>F49+J49+N49+R49+V49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1" sId="1" odxf="1" dxf="1">
    <nc r="AC49">
      <f>G49+K49+O49+S49+W49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2" sId="1" odxf="1" dxf="1">
    <nc r="AD49">
      <f>AB49/AA49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3" sId="1" odxf="1" dxf="1">
    <nc r="AE49">
      <f>AC49/AA49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4" sId="1" odxf="1" dxf="1">
    <nc r="AA50">
      <f>E50+I50+M50+Q50+U50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5" sId="1" odxf="1" dxf="1">
    <nc r="AB50">
      <f>F50+J50+N50+R50+V50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6" sId="1" odxf="1" dxf="1">
    <nc r="AC50">
      <f>G50+K50+O50+S50+W50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7" sId="1" odxf="1" dxf="1">
    <nc r="AD50">
      <f>AB50/AA50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8" sId="1" odxf="1" dxf="1">
    <nc r="AE50">
      <f>AC50/AA50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9" sId="1" odxf="1" dxf="1">
    <nc r="AA51">
      <f>E51+I51+M51+Q51+U51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0" sId="1" odxf="1" dxf="1">
    <nc r="AB51">
      <f>F51+J51+N51+R51+V51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1" sId="1" odxf="1" dxf="1">
    <nc r="AC51">
      <f>G51+K51+O51+S51+W51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2" sId="1" odxf="1" dxf="1">
    <nc r="AD51">
      <f>AB51/AA51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3" sId="1" odxf="1" dxf="1">
    <nc r="AE51">
      <f>AC51/AA51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4" sId="1" odxf="1" dxf="1">
    <nc r="AA52">
      <f>E52+I52+M52+Q52+U52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5" sId="1" odxf="1" dxf="1">
    <nc r="AB52">
      <f>F52+J52+N52+R52+V52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6" sId="1" odxf="1" dxf="1">
    <nc r="AC52">
      <f>G52+K52+O52+S52+W52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7" sId="1" odxf="1" dxf="1">
    <nc r="AD52">
      <f>AB52/AA52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8" sId="1" odxf="1" dxf="1">
    <nc r="AE52">
      <f>AC52/AA52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9" sId="1" odxf="1" dxf="1">
    <nc r="AA53">
      <f>E53+I53+M53+Q53+U53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0" sId="1" odxf="1" dxf="1">
    <nc r="AB53">
      <f>F53+J53+N53+R53+V53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1" sId="1" odxf="1" dxf="1">
    <nc r="AC53">
      <f>G53+K53+O53+S53+W53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2" sId="1" odxf="1" dxf="1">
    <nc r="AD53">
      <f>AB53/AA53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3" sId="1" odxf="1" dxf="1">
    <nc r="AE53">
      <f>AC53/AA53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4" sId="1" odxf="1" dxf="1">
    <nc r="AA54">
      <f>E54+I54+M54+Q54+U54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5" sId="1" odxf="1" dxf="1">
    <nc r="AB54">
      <f>F54+J54+N54+R54+V54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6" sId="1" odxf="1" dxf="1">
    <nc r="AC54">
      <f>G54+K54+O54+S54+W54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7" sId="1" odxf="1" dxf="1">
    <nc r="AD54">
      <f>AB54/AA54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8" sId="1" odxf="1" dxf="1">
    <nc r="AE54">
      <f>AC54/AA54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9" sId="1" odxf="1" dxf="1">
    <nc r="AA55">
      <f>E55+I55+M55+Q55+U55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0" sId="1" odxf="1" dxf="1">
    <nc r="AB55">
      <f>F55+J55+N55+R55+V55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1" sId="1" odxf="1" dxf="1">
    <nc r="AC55">
      <f>G55+K55+O55+S55+W55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2" sId="1" odxf="1" dxf="1">
    <nc r="AD55">
      <f>AB55/AA55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3" sId="1" odxf="1" dxf="1">
    <nc r="AE55">
      <f>AC55/AA55</f>
    </nc>
    <odxf>
      <numFmt numFmtId="0" formatCode="General"/>
      <border outline="0">
        <left/>
        <right/>
        <top/>
        <bottom/>
      </border>
    </odxf>
    <ndxf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4" sId="1" odxf="1" dxf="1">
    <nc r="AA56">
      <f>E56+I56+M56+Q56+U56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5" sId="1" odxf="1" dxf="1">
    <nc r="AB56">
      <f>F56+J56+N56+R56+V56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6" sId="1" odxf="1" dxf="1">
    <nc r="AC56">
      <f>G56+K56+O56+S56+W56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7" sId="1" odxf="1" dxf="1">
    <nc r="AD56">
      <f>AB56/AA56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8" sId="1" odxf="1" dxf="1">
    <nc r="AE56">
      <f>AC56/AA56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9" sId="1" odxf="1" dxf="1">
    <nc r="AA57">
      <f>E57+I57+M57+Q57+U57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0" sId="1" odxf="1" dxf="1">
    <nc r="AB57">
      <f>F57+J57+N57+R57+V57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1" sId="1" odxf="1" dxf="1">
    <nc r="AC57">
      <f>G57+K57+O57+S57+W57</f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2" sId="1" odxf="1" dxf="1">
    <nc r="AD57">
      <f>AB57/AA57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3" sId="1" odxf="1" dxf="1">
    <nc r="AE57">
      <f>AC57/AA57</f>
    </nc>
    <odxf>
      <font>
        <b/>
      </font>
      <numFmt numFmtId="0" formatCode="General"/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4" sId="1">
    <oc r="AA1" t="inlineStr">
      <is>
        <t>Total_Count</t>
      </is>
    </oc>
    <nc r="AA1" t="inlineStr">
      <is>
        <t>Total_Data field_Count</t>
      </is>
    </nc>
  </rcc>
  <rcv guid="{1EE62E9F-0698-46CF-BB3C-23E1EBAB6664}" action="delete"/>
  <rdn rId="0" localSheetId="1" customView="1" name="Z_1EE62E9F_0698_46CF_BB3C_23E1EBAB6664_.wvu.FilterData" hidden="1" oldHidden="1">
    <formula>Log!$A$1:$Z$57</formula>
    <oldFormula>Log!$A$1:$Z$53</oldFormula>
  </rdn>
  <rcv guid="{1EE62E9F-0698-46CF-BB3C-23E1EBAB6664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26" sId="1" ref="A43:XFD43" action="deleteRow">
    <rfmt sheetId="1" xfDxf="1" sqref="A43:XFD43" start="0" length="0">
      <dxf>
        <alignment horizontal="left"/>
      </dxf>
    </rfmt>
    <rcc rId="0" sId="1" dxf="1">
      <nc r="A43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43">
        <v>1016011</v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43" t="inlineStr">
        <is>
          <t>CIM Trust 2019-R1</t>
        </is>
      </nc>
      <n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43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AA43">
        <f>E43+I43+M43+Q43+U43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B43">
        <f>F43+J43+N43+R43+V43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C43">
        <f>G43+K43+O43+S43+W43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D43">
        <f>AB43/AA43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E43">
        <f>AC43/AA43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27" sId="1" ref="A43:XFD43" action="deleteRow">
    <rfmt sheetId="1" xfDxf="1" sqref="A43:XFD43" start="0" length="0">
      <dxf>
        <alignment horizontal="left"/>
      </dxf>
    </rfmt>
    <rcc rId="0" sId="1" dxf="1">
      <nc r="A43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43">
        <v>1016545</v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43" t="inlineStr">
        <is>
          <t>CIM Trust 2023-R1</t>
        </is>
      </nc>
      <n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43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AA43">
        <f>E43+I43+M43+Q43+U43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B43">
        <f>F43+J43+N43+R43+V43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C43">
        <f>G43+K43+O43+S43+W43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D43">
        <f>AB43/AA43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E43">
        <f>AC43/AA43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28" sId="1" ref="A43:XFD43" action="deleteRow">
    <rfmt sheetId="1" xfDxf="1" sqref="A43:XFD43" start="0" length="0">
      <dxf>
        <alignment horizontal="left"/>
      </dxf>
    </rfmt>
    <rcc rId="0" sId="1" dxf="1">
      <nc r="A43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43">
        <v>1016882</v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43" t="inlineStr">
        <is>
          <t>CIM Trust 2023-R3</t>
        </is>
      </nc>
      <n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43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AA43">
        <f>E43+I43+M43+Q43+U43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B43">
        <f>F43+J43+N43+R43+V43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C43">
        <f>G43+K43+O43+S43+W43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D43">
        <f>AB43/AA43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E43">
        <f>AC43/AA43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29" sId="1" ref="A43:XFD43" action="deleteRow">
    <rfmt sheetId="1" xfDxf="1" sqref="A43:XFD43" start="0" length="0">
      <dxf>
        <alignment horizontal="left"/>
      </dxf>
    </rfmt>
    <rcc rId="0" sId="1" dxf="1">
      <nc r="A43" t="inlineStr">
        <is>
          <t>1st</t>
        </is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43">
        <v>1017123</v>
      </nc>
      <n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43" t="inlineStr">
        <is>
          <t>CIM Trust 2016-FRE1</t>
        </is>
      </nc>
      <n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D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43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43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AA43">
        <f>E43+I43+M43+Q43+U43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B43">
        <f>F43+J43+N43+R43+V43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C43">
        <f>G43+K43+O43+S43+W43</f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D43">
        <f>AB43/AA43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AE43">
        <f>AC43/AA43</f>
      </nc>
      <n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430" sheetId="2" name="[Review_Status_Presentation.xlsx]Overview" sheetPosition="1"/>
  <ris rId="1431" sheetId="3" name="[Review_Status_Presentation.xlsx]Summary" sheetPosition="2"/>
  <rcc rId="1432" sId="2" odxf="1" dxf="1">
    <nc r="A1" t="inlineStr">
      <is>
        <t>Round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3" sId="2" odxf="1" dxf="1">
    <nc r="B1" t="inlineStr">
      <is>
        <t>Deal_ID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4" sId="2" odxf="1" dxf="1">
    <nc r="C1" t="inlineStr">
      <is>
        <t>Deal_Name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5" sId="2" odxf="1" dxf="1">
    <nc r="A2" t="inlineStr">
      <is>
        <t>2nd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6" sId="2" odxf="1" dxf="1">
    <nc r="B2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7" sId="2" odxf="1" dxf="1">
    <nc r="C2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8" sId="2" odxf="1" dxf="1">
    <nc r="A3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9" sId="2" odxf="1" dxf="1">
    <nc r="B3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0" sId="2" odxf="1" dxf="1">
    <nc r="C3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1" sId="2" odxf="1" dxf="1">
    <nc r="A4" t="inlineStr">
      <is>
        <t>4th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2" sId="2" odxf="1" dxf="1">
    <nc r="B4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3" sId="2" odxf="1" dxf="1">
    <nc r="C4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4" sId="2" odxf="1" dxf="1">
    <nc r="A5" t="inlineStr">
      <is>
        <t>5th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5" sId="2" odxf="1" dxf="1">
    <nc r="B5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6" sId="2" odxf="1" dxf="1">
    <nc r="C5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7" sId="2" odxf="1" dxf="1">
    <nc r="A6" t="inlineStr">
      <is>
        <t>6th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8" sId="2" odxf="1" dxf="1">
    <nc r="B6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9" sId="2" odxf="1" dxf="1">
    <nc r="C6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0" sId="2" odxf="1" dxf="1">
    <nc r="A7" t="inlineStr">
      <is>
        <t>7th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1" sId="2" odxf="1" dxf="1">
    <nc r="B7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2" sId="2" odxf="1" dxf="1">
    <nc r="C7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3" sId="2" odxf="1" dxf="1">
    <nc r="A8" t="inlineStr">
      <is>
        <t>8th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4" sId="2" odxf="1" dxf="1">
    <nc r="B8">
      <v>19584</v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5" sId="2" odxf="1" dxf="1">
    <nc r="C8" t="inlineStr">
      <is>
        <t>MASTR Adjustable Rate Mortgages Trust 2004-3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6" sId="2" odxf="1" dxf="1">
    <nc r="A9" t="inlineStr">
      <is>
        <t>2nd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7" sId="2" odxf="1" dxf="1">
    <nc r="B9">
      <v>36616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8" sId="2" odxf="1" dxf="1">
    <nc r="C9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9" sId="2" odxf="1" dxf="1">
    <nc r="A10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0" sId="2" odxf="1" dxf="1">
    <nc r="B10">
      <v>36616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1" sId="2" odxf="1" dxf="1">
    <nc r="C10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2" sId="2" odxf="1" dxf="1">
    <nc r="A11" t="inlineStr">
      <is>
        <t>4th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3" sId="2" odxf="1" dxf="1">
    <nc r="B11">
      <v>36616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4" sId="2" odxf="1" dxf="1">
    <nc r="C11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5" sId="2" odxf="1" dxf="1">
    <nc r="A12" t="inlineStr">
      <is>
        <t>5th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6" sId="2" odxf="1" dxf="1">
    <nc r="B12">
      <v>36616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7" sId="2" odxf="1" dxf="1">
    <nc r="C12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8" sId="2" odxf="1" dxf="1">
    <nc r="A13" t="inlineStr">
      <is>
        <t>6th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9" sId="2" odxf="1" dxf="1">
    <nc r="B13">
      <v>36616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0" sId="2" odxf="1" dxf="1">
    <nc r="C13" t="inlineStr">
      <is>
        <t>Banc of America Funding Corporation 2006-1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1" sId="2" odxf="1" dxf="1">
    <nc r="A14" t="inlineStr">
      <is>
        <t>7th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2" sId="2" odxf="1" dxf="1">
    <nc r="B14">
      <v>36616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3" sId="2" odxf="1" dxf="1">
    <nc r="C14" t="inlineStr">
      <is>
        <t>Banc of America Funding Corporation 2006-1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4" sId="2" odxf="1" dxf="1">
    <nc r="A15" t="inlineStr">
      <is>
        <t>2nd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5" sId="2" odxf="1" dxf="1">
    <nc r="B15">
      <v>1010119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6" sId="2" odxf="1" dxf="1">
    <nc r="C15" t="inlineStr">
      <is>
        <t>Stanwich Mortgage Loan Trust Series 2020-11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7" sId="2" odxf="1" dxf="1">
    <nc r="A16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8" sId="2" odxf="1" dxf="1">
    <nc r="B16">
      <v>1010119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9" sId="2" odxf="1" dxf="1">
    <nc r="C16" t="inlineStr">
      <is>
        <t>Stanwich Mortgage Loan Trust Series 2020-11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0" sId="2" odxf="1" dxf="1">
    <nc r="A17" t="inlineStr">
      <is>
        <t>4th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1" sId="2" odxf="1" dxf="1">
    <nc r="B17">
      <v>1010119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2" sId="2" odxf="1" dxf="1">
    <nc r="C17" t="inlineStr">
      <is>
        <t>Stanwich Mortgage Loan Trust Series 2020-11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3" sId="2" odxf="1" dxf="1">
    <nc r="A18" t="inlineStr">
      <is>
        <t>5th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4" sId="2" odxf="1" dxf="1">
    <nc r="B18">
      <v>1010119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5" sId="2" odxf="1" dxf="1">
    <nc r="C18" t="inlineStr">
      <is>
        <t>Stanwich Mortgage Loan Trust Series 2020-11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6" sId="2" odxf="1" dxf="1">
    <nc r="A19" t="inlineStr">
      <is>
        <t>6th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7" sId="2" odxf="1" dxf="1">
    <nc r="B19">
      <v>1010119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8" sId="2" odxf="1" dxf="1">
    <nc r="C19" t="inlineStr">
      <is>
        <t>Stanwich Mortgage Loan Trust Series 2020-11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9" sId="2" odxf="1" dxf="1">
    <nc r="A20" t="inlineStr">
      <is>
        <t>7th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0" sId="2" odxf="1" dxf="1">
    <nc r="B20">
      <v>1010119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1" sId="2" odxf="1" dxf="1">
    <nc r="C20" t="inlineStr">
      <is>
        <t>Stanwich Mortgage Loan Trust Series 2020-11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2" sId="2" odxf="1" dxf="1">
    <nc r="A21" t="inlineStr">
      <is>
        <t>2nd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3" sId="2" odxf="1" dxf="1">
    <nc r="B21">
      <v>1012229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4" sId="2" odxf="1" dxf="1">
    <nc r="C21" t="inlineStr">
      <is>
        <t>MFA 2021-INV1 Trust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5" sId="2" odxf="1" dxf="1">
    <nc r="A22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6" sId="2" odxf="1" dxf="1">
    <nc r="B22">
      <v>1012229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7" sId="2" odxf="1" dxf="1">
    <nc r="C22" t="inlineStr">
      <is>
        <t>MFA 2021-INV1 Trust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8" sId="2" odxf="1" dxf="1">
    <nc r="A23" t="inlineStr">
      <is>
        <t>4th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9" sId="2" odxf="1" dxf="1">
    <nc r="B23">
      <v>1012229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0" sId="2" odxf="1" dxf="1">
    <nc r="C23" t="inlineStr">
      <is>
        <t>MFA 2021-INV1 Trust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1" sId="2" odxf="1" dxf="1">
    <nc r="A24" t="inlineStr">
      <is>
        <t>5th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2" sId="2" odxf="1" dxf="1">
    <nc r="B24">
      <v>1012229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3" sId="2" odxf="1" dxf="1">
    <nc r="C24" t="inlineStr">
      <is>
        <t>MFA 2021-INV1 Trust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4" sId="2" odxf="1" dxf="1">
    <nc r="A25" t="inlineStr">
      <is>
        <t>6th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5" sId="2" odxf="1" dxf="1">
    <nc r="B25">
      <v>1012229</v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6" sId="2" odxf="1" dxf="1">
    <nc r="C25" t="inlineStr">
      <is>
        <t>MFA 2021-INV1 Trust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7" sId="2" odxf="1" dxf="1">
    <nc r="A26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8" sId="2" odxf="1" dxf="1">
    <nc r="B26">
      <v>1005771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9" sId="2" odxf="1" dxf="1">
    <nc r="C26" t="inlineStr">
      <is>
        <t>Stanwich Mortgage Loan Trust Series 2016-1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0" sId="2" odxf="1" dxf="1">
    <nc r="A27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1" sId="2" odxf="1" dxf="1">
    <nc r="B27">
      <v>1005773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2" sId="2" odxf="1" dxf="1">
    <nc r="C27" t="inlineStr">
      <is>
        <t>Stanwich Mortgage Loan Trust Series 2016-4</t>
      </is>
    </nc>
    <odxf>
      <alignment horizontal="general" vertical="bottom" wrapText="0"/>
      <border outline="0">
        <left/>
        <right/>
        <top/>
        <bottom/>
      </border>
    </odxf>
    <n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3" sId="2" odxf="1" dxf="1">
    <nc r="A28" t="inlineStr">
      <is>
        <t>1st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4" sId="2" odxf="1" dxf="1">
    <nc r="B28">
      <v>1006167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5" sId="2" odxf="1" dxf="1">
    <nc r="C28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6" sId="2" odxf="1" dxf="1">
    <nc r="A29" t="inlineStr">
      <is>
        <t>1st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7" sId="2" odxf="1" dxf="1">
    <nc r="B29">
      <v>1009956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8" sId="2" odxf="1" dxf="1">
    <nc r="C29" t="inlineStr">
      <is>
        <t>CSMC Mortgage Backed Trusts 2020-4R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9" sId="2" odxf="1" dxf="1">
    <nc r="A30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0" sId="2" odxf="1" dxf="1">
    <nc r="B30">
      <v>1013411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1" sId="2" odxf="1" dxf="1">
    <nc r="C30" t="inlineStr">
      <is>
        <t>Ajax Mortgage Loan Trust 2018-F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2" sId="2" odxf="1" dxf="1">
    <nc r="A31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3" sId="2" odxf="1" dxf="1">
    <nc r="B31">
      <v>1010118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4" sId="2" odxf="1" dxf="1">
    <nc r="C31" t="inlineStr">
      <is>
        <t>Stanwich Mortgage Loan Trust Series 2019-1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5" sId="2" odxf="1" dxf="1">
    <nc r="A32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6" sId="2" odxf="1" dxf="1">
    <nc r="B32">
      <v>1011575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7" sId="2" odxf="1" dxf="1">
    <nc r="C32" t="inlineStr">
      <is>
        <t>NYMT Loan Trust 2020 - SP2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8" sId="2" odxf="1" dxf="1">
    <nc r="A33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9" sId="2" odxf="1" dxf="1">
    <nc r="B33">
      <v>1013412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0" sId="2" odxf="1" dxf="1">
    <nc r="C33" t="inlineStr">
      <is>
        <t>Ajax Mortgage Loan Trust 2018-G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1" sId="2" odxf="1" dxf="1">
    <nc r="A34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2" sId="2" odxf="1" dxf="1">
    <nc r="B34">
      <v>1013413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3" sId="2" odxf="1" dxf="1">
    <nc r="C34" t="inlineStr">
      <is>
        <t>Ajax Mortgage Loan Trust 2018-E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4" sId="2" odxf="1" dxf="1">
    <nc r="A35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5" sId="2" odxf="1" dxf="1">
    <nc r="B35">
      <v>1013415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6" sId="2" odxf="1" dxf="1">
    <nc r="C35" t="inlineStr">
      <is>
        <t>Ajax Mortgage Loan Trust 2018-B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7" sId="2" odxf="1" dxf="1">
    <nc r="A36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8" sId="2" odxf="1" dxf="1">
    <nc r="B36">
      <v>1013416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9" sId="2" odxf="1" dxf="1">
    <nc r="C36" t="inlineStr">
      <is>
        <t>Ajax Mortgage Loan Trust 2018-A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0" sId="2" odxf="1" dxf="1">
    <nc r="A37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1" sId="2" odxf="1" dxf="1">
    <nc r="B37">
      <v>1015901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2" sId="2" odxf="1" dxf="1">
    <nc r="C37" t="inlineStr">
      <is>
        <t>NYMT Loan Trust 2021-SP1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3" sId="2" odxf="1" dxf="1">
    <nc r="A38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4" sId="2" odxf="1" dxf="1">
    <nc r="B38">
      <v>1015902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5" sId="2" odxf="1" dxf="1">
    <nc r="C38" t="inlineStr">
      <is>
        <t>NYMT Loan Trust 2022-SP1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6" sId="2" odxf="1" dxf="1">
    <nc r="A39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7" sId="2" odxf="1" dxf="1">
    <nc r="B39">
      <v>1022055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8" sId="2" odxf="1" dxf="1">
    <nc r="C39" t="inlineStr">
      <is>
        <t>NYMT Loan Trust 2025-INV2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9" sId="2" odxf="1" dxf="1">
    <nc r="A40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0" sId="2" odxf="1" dxf="1">
    <nc r="B40">
      <v>1012300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1" sId="2" odxf="1" dxf="1">
    <nc r="C40" t="inlineStr">
      <is>
        <t>CIM Trust 2020-R1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2" sId="2" odxf="1" dxf="1">
    <nc r="A41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3" sId="2" odxf="1" dxf="1">
    <nc r="B41">
      <v>1012304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4" sId="2" odxf="1" dxf="1">
    <nc r="C41" t="inlineStr">
      <is>
        <t>CIM Trust 2020-R6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5" sId="2" odxf="1" dxf="1">
    <nc r="A42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6" sId="2" odxf="1" dxf="1">
    <nc r="B42">
      <v>1015634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7" sId="2" odxf="1" dxf="1">
    <nc r="C42" t="inlineStr">
      <is>
        <t>CIM TRUST 2020-NR1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8" sId="2" odxf="1" dxf="1">
    <nc r="A43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9" sId="2" odxf="1" dxf="1">
    <nc r="B43">
      <v>824151723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0" sId="2" odxf="1" dxf="1">
    <nc r="C43" t="inlineStr">
      <is>
        <t>American Homes 4 Rent 2014-SFR3 Trust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1" sId="2" odxf="1" dxf="1">
    <nc r="A44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2" sId="2" odxf="1" dxf="1">
    <nc r="B44">
      <v>824036997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3" sId="2" odxf="1" dxf="1">
    <nc r="C44" t="inlineStr">
      <is>
        <t>American Homes 4 Rent 2014-SFR2 Trust</t>
      </is>
    </nc>
    <odxf>
      <alignment vertical="bottom" wrapText="0"/>
      <border outline="0">
        <left/>
        <right/>
        <top/>
        <bottom/>
      </border>
    </odxf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4" sId="2" odxf="1" dxf="1">
    <nc r="A45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5" sId="2" odxf="1" dxf="1">
    <nc r="B45">
      <v>1012215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6" sId="2" odxf="1" dxf="1">
    <nc r="C45" t="inlineStr">
      <is>
        <t>Visio 2021-1R Trust</t>
      </is>
    </nc>
    <odxf>
      <alignment vertical="bottom" wrapText="0"/>
      <border outline="0">
        <left/>
        <right/>
        <top/>
        <bottom/>
      </border>
    </odxf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7" sId="2" odxf="1" dxf="1">
    <nc r="A46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8" sId="2" odxf="1" dxf="1">
    <nc r="B46">
      <v>1012510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9" sId="2" odxf="1" dxf="1">
    <nc r="C46" t="inlineStr">
      <is>
        <t>Chase Mortgage Reference Notes 2020-CL1</t>
      </is>
    </nc>
    <odxf>
      <alignment vertical="bottom" wrapText="0"/>
      <border outline="0">
        <left/>
        <right/>
        <top/>
        <bottom/>
      </border>
    </odxf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0" sId="2" odxf="1" dxf="1">
    <nc r="A47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1" sId="2" odxf="1" dxf="1">
    <nc r="B47">
      <v>1013299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2" sId="2" odxf="1" dxf="1">
    <nc r="C47" t="inlineStr">
      <is>
        <t>Vericrest Opportunity Loan Transferee LLC 2021-NPL7</t>
      </is>
    </nc>
    <odxf>
      <alignment vertical="bottom"/>
      <border outline="0">
        <left/>
        <right/>
        <top/>
        <bottom/>
      </border>
    </odxf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3" sId="2" odxf="1" dxf="1">
    <nc r="A48" t="inlineStr">
      <is>
        <t>1st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4" sId="2" odxf="1" dxf="1">
    <nc r="B48">
      <v>1013549</v>
    </nc>
    <odxf>
      <alignment horizontal="general" vertical="bottom" wrapText="0"/>
      <border outline="0">
        <left/>
        <right/>
        <top/>
        <bottom/>
      </border>
    </odxf>
    <n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5" sId="2" odxf="1" dxf="1">
    <nc r="C48" t="inlineStr">
      <is>
        <t>Pretium Trust 2021-RN2</t>
      </is>
    </nc>
    <odxf>
      <alignment vertical="bottom" wrapText="0"/>
      <border outline="0">
        <left/>
        <right/>
        <top/>
        <bottom/>
      </border>
    </odxf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6" sId="2" odxf="1" dxf="1">
    <nc r="A49" t="inlineStr">
      <is>
        <t>2nd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7" sId="2" odxf="1" dxf="1">
    <nc r="B49">
      <v>1006167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8" sId="2" odxf="1" dxf="1">
    <nc r="C49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9" sId="2" odxf="1" dxf="1">
    <nc r="A50" t="inlineStr">
      <is>
        <t>2nd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0" sId="2" odxf="1" dxf="1">
    <nc r="B50">
      <v>1012500</v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1" sId="2" odxf="1" dxf="1">
    <nc r="C50" t="inlineStr">
      <is>
        <t>L Street Securities Trust 2020-PMT1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2" sId="2" odxf="1" dxf="1">
    <nc r="A51" t="inlineStr">
      <is>
        <t>3rd</t>
      </is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3" sId="2" odxf="1" dxf="1">
    <nc r="B51">
      <v>1012500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4" sId="2" odxf="1" dxf="1">
    <nc r="C51" t="inlineStr">
      <is>
        <t>L Street Securities Trust 2020-PMT1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5" sId="2" odxf="1" dxf="1">
    <nc r="A52" t="inlineStr">
      <is>
        <t>3rd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6" sId="2" odxf="1" dxf="1">
    <nc r="B52">
      <v>1006167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7" sId="2" odxf="1" dxf="1">
    <nc r="C52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8" sId="2" odxf="1" dxf="1">
    <nc r="A53" t="inlineStr">
      <is>
        <t>4th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9" sId="2" odxf="1" dxf="1">
    <nc r="B53">
      <v>1006167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0" sId="2" odxf="1" dxf="1">
    <nc r="C53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1:A1048576" start="0" length="0">
    <dxf>
      <alignment horizontal="center" vertical="center"/>
    </dxf>
  </rfmt>
  <rfmt sheetId="2" sqref="B1:B1048576" start="0" length="0">
    <dxf>
      <alignment horizontal="center" vertical="center"/>
    </dxf>
  </rfmt>
  <rfmt sheetId="2" sqref="C1:C1048576" start="0" length="0">
    <dxf>
      <alignment horizontal="left" vertical="center"/>
    </dxf>
  </rfmt>
  <rcc rId="1591" sId="2" odxf="1" dxf="1">
    <nc r="K1" t="inlineStr">
      <is>
        <t>Remarks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8" tint="0.5999938962981048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" start="0" length="0">
    <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2" sId="2" odxf="1" dxf="1">
    <nc r="K2" t="inlineStr">
      <is>
        <t>TRANCHE_FACTOR wrong for component class.Data not captured - OTHER_INTEREST_SHORTFALL,PAYMENT_DATE,BEGIN_POOL_BALANCE,DAY_DELINQUENCIES_90_119_NEW,DAY_DELINQUENCIES_120_149_NEW,DAY_DELINQUENCIES_150_179_NEW,DAY_DELINQUENCIES_180_PLUS_NEW,CURTAILMENTS. Additional data captured END_CUTOFFDATE_DEFERRED_PRINCIPAL,END_INTEREST_BEARING_PRINCIPAL_BALANCE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3" sId="2" odxf="1" dxf="1">
    <nc r="K3" t="inlineStr">
      <is>
        <t>Data not captured -DAY_DELINQUENCIES_90_119_NEW,DAY_DELINQUENCIES_120_149_NEW,DAY_DELINQUENCIES_150_179_NEW,DAY_DELINQUENCIES_180_PLUS_NEW,CURTAILMENTS,WAC_RATE_BEGINNING.Additional data captured END_CUTOFFDATE_DEFERRED_PRINCIPAL,END_INTEREST_BEARING_PRINCIPAL_BALANCE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4" sId="2" odxf="1" dxf="1">
    <nc r="K4" t="inlineStr">
      <is>
        <t>Data not captured -DAY_DELINQUENCIES_90_119_NEW,DAY_DELINQUENCIES_120_149_NEW,DAY_DELINQUENCIES_150_179_NEW,DAY_DELINQUENCIES_180_PLUS_NEW,Payment date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5" sId="2" odxf="1" dxf="1">
    <nc r="K5" t="inlineStr">
      <is>
        <t>REO_180_PLUS_CNT(not found),END_INTEREST_BEARING_PRINCIPAL_BALANCE(wrongly captured)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6" sId="2" odxf="1" dxf="1">
    <nc r="L5" t="inlineStr">
      <is>
        <t>LLM Extraction Issues - REO_180_PLUS_CNT(not being captured in the current run However, it was successfully extracted in all previous rounds) and END_INTEREST_BEARING_PRINCIPAL_BALANCE(captured incorrectly in the current run, It was correctly extracted in Rounds 3rd and 4th)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7" sId="2" odxf="1" dxf="1">
    <nc r="K6" t="inlineStr">
      <is>
        <t>TOTAL_FEES_EXPENSES,INTEREST_COLLECTED not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6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8" sId="2" odxf="1" dxf="1">
    <nc r="K7" t="inlineStr">
      <is>
        <t>Data Ok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7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99" sId="2" odxf="1" dxf="1">
    <nc r="K8" t="inlineStr">
      <is>
        <t>PREPAY_PENALTIES- should not be captured for Group 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8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0" sId="2" odxf="1" dxf="1">
    <nc r="K9" t="inlineStr">
      <is>
        <t>8 Digit tranche factor data captured, it should be in 10 digit, many pool field data not captured.Additional data captured END_CUTOFFDATE_DEFERRED_PRINCIPAL,END_INTEREST_BEARING_PRINCIPAL_BALANCE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9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1" sId="2" odxf="1" dxf="1">
    <nc r="K10" t="inlineStr">
      <is>
        <t>Data not captured -OTHER_INTEREST_SHORTFALL,DAY_DELINQUENCIES_90_119_NEW,DAY_DELINQUENCIES_120_149_NEW,DAY_DELINQUENCIES_150_179_NEW,DAY_DELINQUENCIES_180_PLUS_NEW,Payment date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0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2" sId="2" odxf="1" dxf="1">
    <nc r="K11" t="inlineStr">
      <is>
        <t>PREPAY_PENALTIES- should not be captured for Group 1,Group 2, Group 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3" sId="2" odxf="1" dxf="1">
    <nc r="L11" t="inlineStr">
      <is>
        <t>LLM Extraction Issue: The PREPAY_PENALTIES field was extracted correctly in the previous extraction cycle. However, in the current extraction cycle, the value is being incorrectly captured as 0.00 for Group 1,Group 2, Group 3 which is not reported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4" sId="2" odxf="1" dxf="1">
    <nc r="K12" t="inlineStr">
      <is>
        <t>PREPAY_PENALTIES- should not be captured for Group 1,Group 2, Group 3.TOTAL_FEES_EXPENSES,INTEREST_COLLECTED not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2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5" sId="2" odxf="1" dxf="1">
    <nc r="K13" t="inlineStr">
      <is>
        <t>PREPAY_PENALTIES- should not be captured for Group 1,Group 2, Group 3.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6" sId="2" odxf="1" dxf="1">
    <nc r="K14" t="inlineStr">
      <is>
        <t>CURTAILMENTS should be captured for Group 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4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7" sId="2" odxf="1" dxf="1">
    <nc r="K15" t="inlineStr">
      <is>
        <t>Data not captured -DAY_DELINQUENCIES_90_119_NEW,DAY_DELINQUENCIES_120_149_NEW,DAY_DELINQUENCIES_150_179_NEW,DAY_DELINQUENCIES_180_PLUS_NEW,Payment date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5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8" sId="2" odxf="1" dxf="1">
    <nc r="K16" t="inlineStr">
      <is>
        <t>DAY_DELINQUENCIES_180_PLUS_NEW data wrongly captured.Data not captured -DAY_DELINQUENCIES_90_119_NEW,DAY_DELINQUENCIES_120_149_NEW,DAY_DELINQUENCIES_150_179_NEW,Payment date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6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9" sId="2" odxf="1" dxf="1">
    <nc r="K17" t="inlineStr">
      <is>
        <t xml:space="preserve">TOTAL_FEES_EXPENSES-Admin fee is included in LLM calculation(single pool file).END_CUTOFFDATE_DEFERRED_PRINCIPAL, END_INTEREST_BEARING_PRINCIPAL_BALANCE data captured as per LLM Intelligence 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0" sId="2" odxf="1" dxf="1">
    <nc r="L17" t="inlineStr">
      <is>
        <t>LLM extraction issue : PRINCIPAL_PAYMENTS_UNSCHEDULED field was extracted correctly in the previous extraction cycle. However, in the current extraction cycle, the value is being incorrectly captured as 0.00 for class A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1" sId="2" odxf="1" dxf="1">
    <nc r="K18" t="inlineStr">
      <is>
        <t>END_POOL_BALANCE,BEGIN_POOL_BALANCE not captured. PRINCIPAL_PAYMENTS_UNSCHEDULED wrongly captured.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8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2" sId="2" odxf="1" dxf="1">
    <nc r="K19" t="inlineStr">
      <is>
        <t>END_POOL_BALANCE,BEGIN_POOL_BALANCE not captured. PRINCIPAL_PAYMENTS_UNSCHEDULED wrongly captured.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19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3" sId="2" odxf="1" dxf="1">
    <nc r="K20" t="inlineStr">
      <is>
        <t>Data Ok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0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4" sId="2" odxf="1" dxf="1">
    <nc r="K21" t="inlineStr">
      <is>
        <t>Data not captured -DAY_DELINQUENCIES_90_119_NEW,DAY_DELINQUENCIES_120_149_NEW,DAY_DELINQUENCIES_150_179_NEW,DAY_DELINQUENCIES_180_PLUS_NEW,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1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5" sId="2" odxf="1" dxf="1">
    <nc r="K22" t="inlineStr">
      <is>
        <t>OC_DEPOSIT_AMOUNT,IS_DELINQ_TRIGGER_OCCURED,IS_CUM_LOSS_TRIGGER_OCCURED,IS_DELINQ_OR_CUM_LOSS_TRIGGER_OCCURED data wrongly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6" sId="2" odxf="1" dxf="1">
    <nc r="L22" t="inlineStr">
      <is>
        <t>LLM extraction issue : OC_DEPOSIT_AMOUNT,IS_DELINQ_TRIGGER_OCCURED,IS_CUM_LOSS_TRIGGER_OCCURED,IS_DELINQ_OR_CUM_LOSS_TRIGGER_OCCURED data fields were captured correctly in 2nd round However, in the current extraction cycle, the value is being incorrectly captured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7" sId="2" odxf="1" dxf="1">
    <nc r="K23" t="inlineStr">
      <is>
        <t>TOTAL_FEES_EXPENSES wrongly calculate. NUM_LOANS_MODIFIED_CUR,AMT_LOANS_MODIFIED_CUR additional data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8" sId="2" odxf="1" dxf="1">
    <nc r="K24" t="inlineStr">
      <is>
        <t xml:space="preserve">NUM_LOANS_MODIFIED_CUR,AMT_LOANS_MODIFIED_CUR additional data captured.END_POOL_BALANCE,BEGIN_POOL_BALANCE,WAC_Beg not captured. 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4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9" sId="2" odxf="1" dxf="1">
    <nc r="K25" t="inlineStr">
      <is>
        <t xml:space="preserve">NUM_LOANS_MODIFIED_CUR,AMT_LOANS_MODIFIED_CUR additional data captured.END_POOL_BALANCE,BEGIN_POOL_BALANCE,WAC_Beg not captured.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5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0" sId="2" odxf="1" dxf="1">
    <nc r="K26" t="inlineStr">
      <is>
        <t xml:space="preserve">NUM_LOANS_MODIFIED_CUR,AMT_LOANS_MODIFIED_CUR additional data captured.END_POOL_BALANCE,BEGIN_POOL_BALANCE,WAC_Beg not captured. 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6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1" sId="2" odxf="1" dxf="1">
    <nc r="K27" t="inlineStr">
      <is>
        <t>Data Ok.NUM_LOANS_MODIFIED_CUR,AMT_LOANS_MODIFIED_CUR additional data captured as per LLM logic.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7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2" sId="2" odxf="1" dxf="1">
    <nc r="K28" t="inlineStr">
      <is>
        <t>TRANCHE_FACTOR map (except Class R); BASIS_RISK_SHORTFALL_CURR delete map; INTEREST_SHORTFALL update map; REMAINING_UNPAID_INTEREST_SHORTFALL Map for Class A-IO-S; IS_DELINQ_TRIGGER_OCCURED, IS_CUM_LOSS_TRIGGER_OCCURED, IS_DELINQ_OR_CUM_LOSS_TRIGGER_OCCURED, TOTAL_FEES_EXPENSES (LLM include FEES_TOTAL_ADMIN) fields Mapping need to be updated;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3" sId="2" odxf="1" dxf="1">
    <nc r="L28" t="inlineStr">
      <is>
        <t>LLM Extraction Issues -TRANCHE_FACTOR is currently missing despite being correctly captured in the second validation round without any changes in logic.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59999389629810485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4" sId="2" odxf="1" dxf="1">
    <nc r="K29" t="inlineStr">
      <is>
        <t>CUM_LOSS wrongly map; TOTAL_NET_INTEREST, TOTAL_PRINCIPAL_COLLECTED should be mapped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29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5" sId="2" odxf="1" dxf="1">
    <nc r="K30" t="inlineStr">
      <is>
        <t>END_CUTOFFDATE_DEFERRED_PRINCIPAL wrongly captured for Group 1 and Group 2,PREPAY_PENALTIES should be captured for group1, group 2. BEGIN_POOL_ACTUAL_BALANCE data field missing.Admin fee data included in the total fees exp calculation captured as per LLM logic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0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6" sId="2" odxf="1" dxf="1">
    <nc r="K31" t="inlineStr">
      <is>
        <t>NOTIONAL_BALANCE wrongly map; BEGIN_POOL_BALANCE_ACTUAL,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1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7" sId="2" odxf="1" dxf="1">
    <nc r="K32" t="inlineStr">
      <is>
        <t>TOTAL_FEES_EXPENSES (LLM include FEES_TOTAL_ADMIN) should be rectified map; BEGIN_POOL_BALANCE_ACTUAL,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2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8" sId="2" odxf="1" dxf="1">
    <nc r="K33" t="inlineStr">
      <is>
        <t>TRANCHE_FACTOR--8 decimal data captured ,END_CUTOFFDATE_DEFERRED_PRINCIPAL wrongly captured for Group 1 and Group 2.Admin fee data included in the total fees exp calculation captured as per LLM logic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9" sId="2" odxf="1" dxf="1">
    <nc r="K34" t="inlineStr">
      <is>
        <t>END_CUTOFFDATE_DEFERRED_PRINCIPAL wrongly captured for Group 1 and Group 2.Admin fee data included in the total fees exp calculation captured as per LLM logic,BALANCE_OF_TOTAL_LOANS_LIQUIDATED_DURING_THE_PERIOD should not be captured for group 2 as not reported.PREPAY_PENALTIES should be captured for group1, group 2.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4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0" sId="2" odxf="1" dxf="1">
    <nc r="K35" t="inlineStr">
      <is>
        <t>This deal should be processed with previous month report, as this is incomplete report.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5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1" sId="2" odxf="1" dxf="1">
    <nc r="K36" t="inlineStr">
      <is>
        <t>TRANCHE_FACTOR--8 decimal data captured ,TOTAL_FEES_EXPENSES,DAY_DELINQUENCIES_180_PLUS_NEW,BALANCE_OF_TOTAL_LOANS_LIQUIDATED_DURING_THE_PERIOD,END_CUTOFFDATE_DEFERRED_PRINCIPAL wrongly captured for group 1 and group 2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6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2" sId="2" odxf="1" dxf="1">
    <nc r="K37" t="inlineStr">
      <is>
        <t>TOTAL_FEES_EXPENSES should be rectified map (LLM include FEES_TOTAL_ADMIN); BEGIN_POOL_BALANCE_ACTUAL,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7" start="0" length="0">
    <dxf>
      <alignment horizontal="left" vertical="top"/>
      <border outline="0">
        <bottom style="thin">
          <color indexed="64"/>
        </bottom>
      </border>
    </dxf>
  </rfmt>
  <rcc rId="1633" sId="2" odxf="1" dxf="1">
    <nc r="K38" t="inlineStr">
      <is>
        <t>TOTAL_FEES_EXPENSES should be rectified map (LLM include FEES_TOTAL_ADMIN); INSURANCE_PREMIUM_FEES wrong map; BEGIN_POOL_BALANCE_ACTUAL,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8" start="0" length="0">
    <dxf>
      <alignment horizontal="left" vertical="top"/>
      <border outline="0">
        <bottom style="thin">
          <color indexed="64"/>
        </bottom>
      </border>
    </dxf>
  </rfmt>
  <rcc rId="1634" sId="2" odxf="1" dxf="1">
    <nc r="K39" t="inlineStr">
      <is>
        <t>FEES_MASTER_SERVICING wrong map; IS_DELINQ_OR_CUM_LOSS_TRIGGER_OCCURED; INTEREST_COLLECTED, SERVICING_FEE, TOTAL_FEES_EXPENSES need to rectify map;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39" start="0" length="0">
    <dxf>
      <alignment horizontal="left" vertical="top"/>
      <border outline="0">
        <bottom style="thin">
          <color indexed="64"/>
        </bottom>
      </border>
    </dxf>
  </rfmt>
  <rcc rId="1635" sId="2" odxf="1" dxf="1">
    <nc r="K40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 missing.END_CUTOFFDATE_DEFERRED_PRINCIPAL,END_INTEREST_BEARING_PRINCIPAL_BALANCE additional data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0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6" sId="2" odxf="1" dxf="1">
    <nc r="K41" t="inlineStr">
      <is>
        <t>TOTAL_FEES_EXPENSES(admin fee data included in the calculation). INSURANCE_PREMIUM_FEES should not be captured as not reported,DAY_DELINQUENCIES_90_119_NEW, DAY_DELINQUENCIES_120_149_NEW, DAY_DELINQUENCIES_150_179_NEW, DAY_DELINQUENCIES_180_PLUS_NEW should be Mapped;BEGIN_POOL_BALANCE_ACTUAL data field missing missing.END_CUTOFFDATE_DEFERRED_PRINCIPAL,END_INTEREST_BEARING_PRINCIPAL_BALANCE additional data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1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7" sId="2" odxf="1" dxf="1">
    <nc r="K42" t="inlineStr">
      <is>
        <t>TOTAL_FEES_EXPENSES wrongly calculate also not captured group 1 and 2. PREPAY_PENALTIES should be captured for all pool.BEGIN_POOL_BALANCE_ACTUAL data field missing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2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8" sId="2" odxf="1" dxf="1">
    <nc r="K43" t="inlineStr">
      <is>
        <t>INTEREST_DISTRIBUTED, END_TRANCHE_BALANCE, PRINCIPAL_DISTRIBUTED, NOTIONAL_TRANCHE, TRANCHE_ORIGINAL_BALANCE, BEGINNING_TRANCHE_BALANCE fields are duplicate; INTEREST_ACCRUED_TOTAL this is a BLL field and dependency with Other fields; SERVICER_ADVANCE_OUTSTANDING_BAL, NUM_LOAN, SERVICER_ADVANCE_REIMBURSEMENT wrong map; NUM_LOANS, PREPAY_PENALITIES, SERV_FEE_OLD, CUR_MONTHLY_LOSS fields are duplicate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3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39" sId="2" odxf="1" dxf="1">
    <nc r="K44" t="inlineStr">
      <is>
        <t>Dublicate data field(NOTIONAL_TRANCHE,END_TR_BALANCE,TRANCHE_ORIGINAL_BALANCE,BEGINNING_TRANCHE_BALANCE,PRINCIPAL_DISTRIBUTION,INTEREST_DISTRIBUTION,ACCRUED_CERTIFICATE_INTEREST_REMAINING_UNPAID_DISTRIBUTABLE_CERTIFICATE_INTEREST_DISTRIBUTABLE_CERTIFICATE_INTEREST_ADJUSTMENT,PREPAY_PENALITIES). INTEREST_ACCRUED_TOTAL should not be mapped as prev. month dependency. OTHER_FEES,LOAN_CNT_UNSCHED_PRINC,PAYMENTS_OF_INTEREST_PRINCIPAL wrongly mapped. SERVICER_ADVANCE_REIMBURSEMENT data should not be captured as not reported. Credit level data wrongly captured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4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0" sId="2" odxf="1" dxf="1">
    <nc r="K45" t="inlineStr">
      <is>
        <t>NOTIONAL_BALANCE Map for Class XS; 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5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1" sId="2" odxf="1" dxf="1">
    <nc r="K46" t="inlineStr">
      <is>
        <t>TOTAL_FEES_EXPENSES (LLM include FEES_TOTAL_ADMIN),  IS_DELINQ_TRIGGER_OCCURED, IS_CUM_LOSS_TRIGGER_OCCURED, IS_DELINQ_OR_CUM_LOSS_TRIGGER_OCCURED, SERVICING_FEE,  OTHER_FEES rectified map ; BEGIN_POOL_BALANCE_ACTUAL, DAY_DELINQUENCIES_90_119_NEW, DAY_DELINQUENCIES_120_149_NEW, DAY_DELINQUENCIES_150_179_NEW, DAY_DELINQUENCIES_180_PLUS_NEW should be Mapped; Credit part wrong map; Trigger part should be mapped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6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2" sId="2" odxf="1" dxf="1">
    <nc r="K47" t="inlineStr">
      <is>
        <t>TOTAL_FEES_EXPENSES (LLM include FEES_TOTAL_ADMIN), WAC_RATE_BEGINNING, BEGIN_POOL_BALANCE_ACTUAL, DAY_DELINQUENCIES_90_119_NEW, DAY_DELINQUENCIES_120_149_NEW, DAY_DELINQUENCIES_150_179_NEW, DAY_DELINQUENCIES_180_PLUS_NEW should be Mapped;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7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3" sId="2" odxf="1" dxf="1">
    <nc r="K48" t="inlineStr">
      <is>
        <t>OTHER_FEES, OTHER_FEES_NEW, TOTAL_FEES_EXPENSES should be mapped; Credit name not shown; Reserve Account Target_OC map; Reserve Account OC_DEPOSIT_AMOUNT wrong map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48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4" sId="2" odxf="1" dxf="1">
    <nc r="K49" t="inlineStr">
      <is>
        <t>ACCRETION wrong map for Class A-IO-S (1st round data is OK); BASIS_RISK_SHORTFALL_CURR delete map (same issue happened); INTEREST_COLLECTED map (1st round data extracted);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5" sId="2" odxf="1" dxf="1">
    <nc r="L49" t="inlineStr">
      <is>
        <t>AI detected the footnote from Report as Interest Shortfall, Basic Risk Shortfall_Cur both are same consider by LLM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rgb="FF92D050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6" sId="2" odxf="1" dxf="1">
    <nc r="K50" t="inlineStr">
      <is>
        <t>IS_DELINQ_TRIGGER_OCCURED,TOTAL_INVOLUNT_PREPAY_AMOUNT wrongly captured. END_POOL_BALANCE,END_POOL_BALANCE_ACTUAL should be captured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50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51" start="0" length="0"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L51" start="0" length="0">
    <dxf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7" sId="2" odxf="1" dxf="1">
    <nc r="K52" t="inlineStr">
      <is>
        <t>ACCRETION wrong map for Class A-IO-S (1st round data is OK, 2nd round data wrong), SCHEDULED_PRINCIPAL wrong map for Class A-IO-S (1st &amp; 2nd round data is OK); PRINCIPAL_PAYMENTS_UNSCHEDULED wrong map for Class A-IO-S (1st &amp; 2nd round data is OK); BASIS_RISK_SHORTFALL_CURR delete map (same issue happened); WAC_RATE_BEGINNING map (1st &amp; 2nd round data extracted);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52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8" sId="2" odxf="1" dxf="1">
    <nc r="K53" t="inlineStr">
      <is>
        <t>ACCRETION wrong map for Class A-IO-S (1st round data is OK, 2nd &amp; 3rd round data wrong), SCHEDULED_PRINCIPAL wrong map for Class A-IO-S (1st &amp; 2nd round data is OK but 3rd round wrong map); PRINCIPAL_PAYMENTS_UNSCHEDULED wrong map for Class A-IO-S (1st &amp; 2nd round data is OK but 3rd round wrong map)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L53" start="0" length="0">
    <dxf>
      <font>
        <b/>
        <sz val="11"/>
        <color theme="1"/>
        <name val="Aptos Narrow"/>
        <family val="2"/>
        <scheme val="minor"/>
      </font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:K1048576" start="0" length="0">
    <dxf>
      <alignment horizontal="left" vertical="center"/>
    </dxf>
  </rfmt>
  <rfmt sheetId="2" sqref="L1:L1048576" start="0" length="0">
    <dxf>
      <alignment horizontal="left" vertical="top"/>
    </dxf>
  </rfmt>
  <rcc rId="1649" sId="2">
    <nc r="D2">
      <v>181</v>
    </nc>
  </rcc>
  <rcc rId="1650" sId="2">
    <nc r="E2">
      <v>8</v>
    </nc>
  </rcc>
  <rcc rId="1651" sId="2">
    <nc r="F2">
      <v>1</v>
    </nc>
  </rcc>
  <rcc rId="1652" sId="2">
    <nc r="G2">
      <v>4.4198895027624308E-2</v>
    </nc>
  </rcc>
  <rcc rId="1653" sId="2">
    <nc r="H2">
      <v>5.5248618784530384E-3</v>
    </nc>
  </rcc>
  <rcc rId="1654" sId="2">
    <nc r="D3">
      <v>181</v>
    </nc>
  </rcc>
  <rcc rId="1655" sId="2">
    <nc r="E3">
      <v>6</v>
    </nc>
  </rcc>
  <rcc rId="1656" sId="2">
    <nc r="F3">
      <v>0</v>
    </nc>
  </rcc>
  <rcc rId="1657" sId="2">
    <nc r="G3">
      <v>3.3149171270718231E-2</v>
    </nc>
  </rcc>
  <rcc rId="1658" sId="2">
    <nc r="H3">
      <v>0</v>
    </nc>
  </rcc>
  <rcc rId="1659" sId="2">
    <nc r="D4">
      <v>181</v>
    </nc>
  </rcc>
  <rcc rId="1660" sId="2">
    <nc r="E4">
      <v>7</v>
    </nc>
  </rcc>
  <rcc rId="1661" sId="2">
    <nc r="F4">
      <v>0</v>
    </nc>
  </rcc>
  <rcc rId="1662" sId="2">
    <nc r="G4">
      <v>3.8674033149171269E-2</v>
    </nc>
  </rcc>
  <rcc rId="1663" sId="2">
    <nc r="H4">
      <v>0</v>
    </nc>
  </rcc>
  <rcc rId="1664" sId="2">
    <nc r="D5">
      <v>181</v>
    </nc>
  </rcc>
  <rcc rId="1665" sId="2">
    <nc r="E5">
      <v>7</v>
    </nc>
  </rcc>
  <rcc rId="1666" sId="2">
    <nc r="F5">
      <v>1</v>
    </nc>
  </rcc>
  <rcc rId="1667" sId="2">
    <nc r="G5">
      <v>3.8674033149171269E-2</v>
    </nc>
  </rcc>
  <rcc rId="1668" sId="2">
    <nc r="H5">
      <v>5.5248618784530384E-3</v>
    </nc>
  </rcc>
  <rcc rId="1669" sId="2">
    <nc r="D6">
      <v>181</v>
    </nc>
  </rcc>
  <rcc rId="1670" sId="2">
    <nc r="E6">
      <v>2</v>
    </nc>
  </rcc>
  <rcc rId="1671" sId="2">
    <nc r="F6">
      <v>0</v>
    </nc>
  </rcc>
  <rcc rId="1672" sId="2">
    <nc r="G6">
      <v>1.1049723756906077E-2</v>
    </nc>
  </rcc>
  <rcc rId="1673" sId="2">
    <nc r="H6">
      <v>0</v>
    </nc>
  </rcc>
  <rcc rId="1674" sId="2">
    <nc r="D7">
      <v>181</v>
    </nc>
  </rcc>
  <rcc rId="1675" sId="2">
    <nc r="E7">
      <v>0</v>
    </nc>
  </rcc>
  <rcc rId="1676" sId="2">
    <nc r="F7">
      <v>0</v>
    </nc>
  </rcc>
  <rcc rId="1677" sId="2">
    <nc r="G7">
      <v>0</v>
    </nc>
  </rcc>
  <rcc rId="1678" sId="2">
    <nc r="H7">
      <v>0</v>
    </nc>
  </rcc>
  <rcc rId="1679" sId="2">
    <nc r="D8">
      <v>181</v>
    </nc>
  </rcc>
  <rcc rId="1680" sId="2">
    <nc r="E8">
      <v>0</v>
    </nc>
  </rcc>
  <rcc rId="1681" sId="2">
    <nc r="F8">
      <v>1</v>
    </nc>
  </rcc>
  <rcc rId="1682" sId="2">
    <nc r="G8">
      <v>0</v>
    </nc>
  </rcc>
  <rcc rId="1683" sId="2">
    <nc r="H8">
      <v>5.5248618784530384E-3</v>
    </nc>
  </rcc>
  <rcc rId="1684" sId="2">
    <nc r="D9">
      <v>179</v>
    </nc>
  </rcc>
  <rcc rId="1685" sId="2">
    <nc r="E9">
      <v>35</v>
    </nc>
  </rcc>
  <rcc rId="1686" sId="2">
    <nc r="F9">
      <v>0</v>
    </nc>
  </rcc>
  <rcc rId="1687" sId="2">
    <nc r="G9">
      <v>0.19553072625698323</v>
    </nc>
  </rcc>
  <rcc rId="1688" sId="2">
    <nc r="H9">
      <v>0</v>
    </nc>
  </rcc>
  <rcc rId="1689" sId="2">
    <nc r="D10">
      <v>179</v>
    </nc>
  </rcc>
  <rcc rId="1690" sId="2">
    <nc r="E10">
      <v>8</v>
    </nc>
  </rcc>
  <rcc rId="1691" sId="2">
    <nc r="F10">
      <v>0</v>
    </nc>
  </rcc>
  <rcc rId="1692" sId="2">
    <nc r="G10">
      <v>4.4692737430167599E-2</v>
    </nc>
  </rcc>
  <rcc rId="1693" sId="2">
    <nc r="H10">
      <v>0</v>
    </nc>
  </rcc>
  <rcc rId="1694" sId="2">
    <nc r="D11">
      <v>179</v>
    </nc>
  </rcc>
  <rcc rId="1695" sId="2">
    <nc r="E11">
      <v>6</v>
    </nc>
  </rcc>
  <rcc rId="1696" sId="2">
    <nc r="F11">
      <v>1</v>
    </nc>
  </rcc>
  <rcc rId="1697" sId="2">
    <nc r="G11">
      <v>3.3519553072625698E-2</v>
    </nc>
  </rcc>
  <rcc rId="1698" sId="2">
    <nc r="H11">
      <v>5.5865921787709499E-3</v>
    </nc>
  </rcc>
  <rcc rId="1699" sId="2">
    <nc r="D12">
      <v>179</v>
    </nc>
  </rcc>
  <rcc rId="1700" sId="2">
    <nc r="E12">
      <v>2</v>
    </nc>
  </rcc>
  <rcc rId="1701" sId="2">
    <nc r="F12">
      <v>1</v>
    </nc>
  </rcc>
  <rcc rId="1702" sId="2">
    <nc r="G12">
      <v>1.11731843575419E-2</v>
    </nc>
  </rcc>
  <rcc rId="1703" sId="2">
    <nc r="H12">
      <v>5.5865921787709499E-3</v>
    </nc>
  </rcc>
  <rcc rId="1704" sId="2">
    <nc r="D13">
      <v>179</v>
    </nc>
  </rcc>
  <rcc rId="1705" sId="2">
    <nc r="E13">
      <v>0</v>
    </nc>
  </rcc>
  <rcc rId="1706" sId="2">
    <nc r="F13">
      <v>1</v>
    </nc>
  </rcc>
  <rcc rId="1707" sId="2">
    <nc r="G13">
      <v>0</v>
    </nc>
  </rcc>
  <rcc rId="1708" sId="2">
    <nc r="H13">
      <v>5.5865921787709499E-3</v>
    </nc>
  </rcc>
  <rcc rId="1709" sId="2">
    <nc r="D14">
      <v>179</v>
    </nc>
  </rcc>
  <rcc rId="1710" sId="2">
    <nc r="E14">
      <v>1</v>
    </nc>
  </rcc>
  <rcc rId="1711" sId="2">
    <nc r="F14">
      <v>0</v>
    </nc>
  </rcc>
  <rcc rId="1712" sId="2">
    <nc r="G14">
      <v>5.5865921787709499E-3</v>
    </nc>
  </rcc>
  <rcc rId="1713" sId="2">
    <nc r="H14">
      <v>0</v>
    </nc>
  </rcc>
  <rcc rId="1714" sId="2">
    <nc r="D15">
      <v>179</v>
    </nc>
  </rcc>
  <rcc rId="1715" sId="2">
    <nc r="E15">
      <v>7</v>
    </nc>
  </rcc>
  <rcc rId="1716" sId="2">
    <nc r="F15">
      <v>0</v>
    </nc>
  </rcc>
  <rcc rId="1717" sId="2">
    <nc r="G15">
      <v>3.9106145251396648E-2</v>
    </nc>
  </rcc>
  <rcc rId="1718" sId="2">
    <nc r="H15">
      <v>0</v>
    </nc>
  </rcc>
  <rcc rId="1719" sId="2">
    <nc r="D16">
      <v>179</v>
    </nc>
  </rcc>
  <rcc rId="1720" sId="2">
    <nc r="E16">
      <v>6</v>
    </nc>
  </rcc>
  <rcc rId="1721" sId="2">
    <nc r="F16">
      <v>1</v>
    </nc>
  </rcc>
  <rcc rId="1722" sId="2">
    <nc r="G16">
      <v>3.3519553072625698E-2</v>
    </nc>
  </rcc>
  <rcc rId="1723" sId="2">
    <nc r="H16">
      <v>5.5865921787709499E-3</v>
    </nc>
  </rcc>
  <rcc rId="1724" sId="2">
    <nc r="D17">
      <v>179</v>
    </nc>
  </rcc>
  <rcc rId="1725" sId="2">
    <nc r="E17">
      <v>6</v>
    </nc>
  </rcc>
  <rcc rId="1726" sId="2">
    <nc r="F17">
      <v>0</v>
    </nc>
  </rcc>
  <rcc rId="1727" sId="2">
    <nc r="G17">
      <v>3.3519553072625698E-2</v>
    </nc>
  </rcc>
  <rcc rId="1728" sId="2">
    <nc r="H17">
      <v>0</v>
    </nc>
  </rcc>
  <rcc rId="1729" sId="2">
    <nc r="D18">
      <v>179</v>
    </nc>
  </rcc>
  <rcc rId="1730" sId="2">
    <nc r="E18">
      <v>2</v>
    </nc>
  </rcc>
  <rcc rId="1731" sId="2">
    <nc r="F18">
      <v>1</v>
    </nc>
  </rcc>
  <rcc rId="1732" sId="2">
    <nc r="G18">
      <v>1.11731843575419E-2</v>
    </nc>
  </rcc>
  <rcc rId="1733" sId="2">
    <nc r="H18">
      <v>5.5865921787709499E-3</v>
    </nc>
  </rcc>
  <rcc rId="1734" sId="2">
    <nc r="D19">
      <v>179</v>
    </nc>
  </rcc>
  <rcc rId="1735" sId="2">
    <nc r="E19">
      <v>2</v>
    </nc>
  </rcc>
  <rcc rId="1736" sId="2">
    <nc r="F19">
      <v>1</v>
    </nc>
  </rcc>
  <rcc rId="1737" sId="2">
    <nc r="G19">
      <v>1.11731843575419E-2</v>
    </nc>
  </rcc>
  <rcc rId="1738" sId="2">
    <nc r="H19">
      <v>5.5865921787709499E-3</v>
    </nc>
  </rcc>
  <rcc rId="1739" sId="2">
    <nc r="D20">
      <v>179</v>
    </nc>
  </rcc>
  <rcc rId="1740" sId="2">
    <nc r="E20">
      <v>0</v>
    </nc>
  </rcc>
  <rcc rId="1741" sId="2">
    <nc r="F20">
      <v>0</v>
    </nc>
  </rcc>
  <rcc rId="1742" sId="2">
    <nc r="G20">
      <v>0</v>
    </nc>
  </rcc>
  <rcc rId="1743" sId="2">
    <nc r="H20">
      <v>0</v>
    </nc>
  </rcc>
  <rcc rId="1744" sId="2">
    <nc r="D21">
      <v>179</v>
    </nc>
  </rcc>
  <rcc rId="1745" sId="2">
    <nc r="E21">
      <v>5</v>
    </nc>
  </rcc>
  <rcc rId="1746" sId="2">
    <nc r="F21">
      <v>0</v>
    </nc>
  </rcc>
  <rcc rId="1747" sId="2">
    <nc r="G21">
      <v>2.7932960893854747E-2</v>
    </nc>
  </rcc>
  <rcc rId="1748" sId="2">
    <nc r="H21">
      <v>0</v>
    </nc>
  </rcc>
  <rcc rId="1749" sId="2">
    <nc r="D22">
      <v>179</v>
    </nc>
  </rcc>
  <rcc rId="1750" sId="2">
    <nc r="E22">
      <v>6</v>
    </nc>
  </rcc>
  <rcc rId="1751" sId="2">
    <nc r="F22">
      <v>4</v>
    </nc>
  </rcc>
  <rcc rId="1752" sId="2">
    <nc r="G22">
      <v>3.3519553072625698E-2</v>
    </nc>
  </rcc>
  <rcc rId="1753" sId="2">
    <nc r="H22">
      <v>2.23463687150838E-2</v>
    </nc>
  </rcc>
  <rcc rId="1754" sId="2">
    <nc r="D23">
      <v>179</v>
    </nc>
  </rcc>
  <rcc rId="1755" sId="2">
    <nc r="E23">
      <v>0</v>
    </nc>
  </rcc>
  <rcc rId="1756" sId="2">
    <nc r="F23">
      <v>2</v>
    </nc>
  </rcc>
  <rcc rId="1757" sId="2">
    <nc r="G23">
      <v>0</v>
    </nc>
  </rcc>
  <rcc rId="1758" sId="2">
    <nc r="H23">
      <v>1.11731843575419E-2</v>
    </nc>
  </rcc>
  <rcc rId="1759" sId="2">
    <nc r="D24">
      <v>179</v>
    </nc>
  </rcc>
  <rcc rId="1760" sId="2">
    <nc r="E24">
      <v>3</v>
    </nc>
  </rcc>
  <rcc rId="1761" sId="2">
    <nc r="F24">
      <v>0</v>
    </nc>
  </rcc>
  <rcc rId="1762" sId="2">
    <nc r="G24">
      <v>1.6759776536312849E-2</v>
    </nc>
  </rcc>
  <rcc rId="1763" sId="2">
    <nc r="H24">
      <v>0</v>
    </nc>
  </rcc>
  <rcc rId="1764" sId="2">
    <nc r="D25">
      <v>179</v>
    </nc>
  </rcc>
  <rcc rId="1765" sId="2">
    <nc r="E25">
      <v>0</v>
    </nc>
  </rcc>
  <rcc rId="1766" sId="2">
    <nc r="F25">
      <v>0</v>
    </nc>
  </rcc>
  <rcc rId="1767" sId="2">
    <nc r="G25">
      <v>0</v>
    </nc>
  </rcc>
  <rcc rId="1768" sId="2">
    <nc r="H25">
      <v>0</v>
    </nc>
  </rcc>
  <rcc rId="1769" sId="2">
    <nc r="D26">
      <v>179</v>
    </nc>
  </rcc>
  <rcc rId="1770" sId="2">
    <nc r="E26">
      <v>4</v>
    </nc>
  </rcc>
  <rcc rId="1771" sId="2">
    <nc r="F26">
      <v>0</v>
    </nc>
  </rcc>
  <rcc rId="1772" sId="2">
    <nc r="G26">
      <v>2.23463687150838E-2</v>
    </nc>
  </rcc>
  <rcc rId="1773" sId="2">
    <nc r="H26">
      <v>0</v>
    </nc>
  </rcc>
  <rcc rId="1774" sId="2">
    <nc r="D27">
      <v>179</v>
    </nc>
  </rcc>
  <rcc rId="1775" sId="2">
    <nc r="E27">
      <v>4</v>
    </nc>
  </rcc>
  <rcc rId="1776" sId="2">
    <nc r="F27">
      <v>0</v>
    </nc>
  </rcc>
  <rcc rId="1777" sId="2">
    <nc r="G27">
      <v>2.23463687150838E-2</v>
    </nc>
  </rcc>
  <rcc rId="1778" sId="2">
    <nc r="H27">
      <v>0</v>
    </nc>
  </rcc>
  <rcc rId="1779" sId="2">
    <nc r="D28">
      <v>175</v>
    </nc>
  </rcc>
  <rcc rId="1780" sId="2">
    <nc r="E28">
      <v>6</v>
    </nc>
  </rcc>
  <rcc rId="1781" sId="2">
    <nc r="F28">
      <v>6</v>
    </nc>
  </rcc>
  <rcc rId="1782" sId="2">
    <nc r="G28">
      <v>3.4285714285714287E-2</v>
    </nc>
  </rcc>
  <rcc rId="1783" sId="2">
    <nc r="H28">
      <v>3.4285714285714287E-2</v>
    </nc>
  </rcc>
  <rcc rId="1784" sId="2">
    <nc r="D29">
      <v>179</v>
    </nc>
  </rcc>
  <rcc rId="1785" sId="2">
    <nc r="E29">
      <v>2</v>
    </nc>
  </rcc>
  <rcc rId="1786" sId="2">
    <nc r="F29">
      <v>1</v>
    </nc>
  </rcc>
  <rcc rId="1787" sId="2">
    <nc r="G29">
      <v>1.11731843575419E-2</v>
    </nc>
  </rcc>
  <rcc rId="1788" sId="2">
    <nc r="H29">
      <v>5.5865921787709499E-3</v>
    </nc>
  </rcc>
  <rcc rId="1789" sId="2">
    <nc r="D30">
      <v>168</v>
    </nc>
  </rcc>
  <rcc rId="1790" sId="2">
    <nc r="E30">
      <v>5</v>
    </nc>
  </rcc>
  <rcc rId="1791" sId="2">
    <nc r="F30">
      <v>1</v>
    </nc>
  </rcc>
  <rcc rId="1792" sId="2">
    <nc r="G30">
      <v>2.976190476190476E-2</v>
    </nc>
  </rcc>
  <rcc rId="1793" sId="2">
    <nc r="H30">
      <v>5.9523809523809521E-3</v>
    </nc>
  </rcc>
  <rcc rId="1794" sId="2">
    <nc r="D31">
      <v>168</v>
    </nc>
  </rcc>
  <rcc rId="1795" sId="2">
    <nc r="E31">
      <v>5</v>
    </nc>
  </rcc>
  <rcc rId="1796" sId="2">
    <nc r="F31">
      <v>1</v>
    </nc>
  </rcc>
  <rcc rId="1797" sId="2">
    <nc r="G31">
      <v>2.976190476190476E-2</v>
    </nc>
  </rcc>
  <rcc rId="1798" sId="2">
    <nc r="H31">
      <v>5.9523809523809521E-3</v>
    </nc>
  </rcc>
  <rcc rId="1799" sId="2">
    <nc r="D32">
      <v>168</v>
    </nc>
  </rcc>
  <rcc rId="1800" sId="2">
    <nc r="E32">
      <v>5</v>
    </nc>
  </rcc>
  <rcc rId="1801" sId="2">
    <nc r="F32">
      <v>1</v>
    </nc>
  </rcc>
  <rcc rId="1802" sId="2">
    <nc r="G32">
      <v>2.976190476190476E-2</v>
    </nc>
  </rcc>
  <rcc rId="1803" sId="2">
    <nc r="H32">
      <v>5.9523809523809521E-3</v>
    </nc>
  </rcc>
  <rcc rId="1804" sId="2">
    <nc r="D33">
      <v>172</v>
    </nc>
  </rcc>
  <rcc rId="1805" sId="2">
    <nc r="E33">
      <v>5</v>
    </nc>
  </rcc>
  <rcc rId="1806" sId="2">
    <nc r="F33">
      <v>2</v>
    </nc>
  </rcc>
  <rcc rId="1807" sId="2">
    <nc r="G33">
      <v>2.9069767441860465E-2</v>
    </nc>
  </rcc>
  <rcc rId="1808" sId="2">
    <nc r="H33">
      <v>1.1627906976744186E-2</v>
    </nc>
  </rcc>
  <rcc rId="1809" sId="2">
    <nc r="D34">
      <v>168</v>
    </nc>
  </rcc>
  <rcc rId="1810" sId="2">
    <nc r="E34">
      <v>6</v>
    </nc>
  </rcc>
  <rcc rId="1811" sId="2">
    <nc r="F34">
      <v>3</v>
    </nc>
  </rcc>
  <rcc rId="1812" sId="2">
    <nc r="G34">
      <v>3.5714285714285712E-2</v>
    </nc>
  </rcc>
  <rcc rId="1813" sId="2">
    <nc r="H34">
      <v>1.7857142857142856E-2</v>
    </nc>
  </rcc>
  <rcc rId="1814" sId="2">
    <nc r="D35">
      <v>168</v>
    </nc>
  </rcc>
  <rcc rId="1815" sId="2">
    <nc r="E35">
      <v>0</v>
    </nc>
  </rcc>
  <rcc rId="1816" sId="2">
    <nc r="F35">
      <v>0</v>
    </nc>
  </rcc>
  <rcc rId="1817" sId="2">
    <nc r="G35">
      <v>0</v>
    </nc>
  </rcc>
  <rcc rId="1818" sId="2">
    <nc r="H35">
      <v>0</v>
    </nc>
  </rcc>
  <rcc rId="1819" sId="2">
    <nc r="D36">
      <v>168</v>
    </nc>
  </rcc>
  <rcc rId="1820" sId="2">
    <nc r="E36">
      <v>4</v>
    </nc>
  </rcc>
  <rcc rId="1821" sId="2">
    <nc r="F36">
      <v>4</v>
    </nc>
  </rcc>
  <rcc rId="1822" sId="2">
    <nc r="G36">
      <v>2.3809523809523808E-2</v>
    </nc>
  </rcc>
  <rcc rId="1823" sId="2">
    <nc r="H36">
      <v>2.3809523809523808E-2</v>
    </nc>
  </rcc>
  <rcc rId="1824" sId="2">
    <nc r="D37">
      <v>168</v>
    </nc>
  </rcc>
  <rcc rId="1825" sId="2">
    <nc r="E37">
      <v>5</v>
    </nc>
  </rcc>
  <rcc rId="1826" sId="2">
    <nc r="F37">
      <v>1</v>
    </nc>
  </rcc>
  <rcc rId="1827" sId="2">
    <nc r="G37">
      <v>2.976190476190476E-2</v>
    </nc>
  </rcc>
  <rcc rId="1828" sId="2">
    <nc r="H37">
      <v>5.9523809523809521E-3</v>
    </nc>
  </rcc>
  <rcc rId="1829" sId="2">
    <nc r="D38">
      <v>172</v>
    </nc>
  </rcc>
  <rcc rId="1830" sId="2">
    <nc r="E38">
      <v>5</v>
    </nc>
  </rcc>
  <rcc rId="1831" sId="2">
    <nc r="F38">
      <v>2</v>
    </nc>
  </rcc>
  <rcc rId="1832" sId="2">
    <nc r="G38">
      <v>2.9069767441860465E-2</v>
    </nc>
  </rcc>
  <rcc rId="1833" sId="2">
    <nc r="H38">
      <v>1.1627906976744186E-2</v>
    </nc>
  </rcc>
  <rcc rId="1834" sId="2">
    <nc r="D39">
      <v>172</v>
    </nc>
  </rcc>
  <rcc rId="1835" sId="2">
    <nc r="E39">
      <v>4</v>
    </nc>
  </rcc>
  <rcc rId="1836" sId="2">
    <nc r="F39">
      <v>5</v>
    </nc>
  </rcc>
  <rcc rId="1837" sId="2">
    <nc r="G39">
      <v>2.3255813953488372E-2</v>
    </nc>
  </rcc>
  <rcc rId="1838" sId="2">
    <nc r="H39">
      <v>2.9069767441860465E-2</v>
    </nc>
  </rcc>
  <rcc rId="1839" sId="2">
    <nc r="D40">
      <v>168</v>
    </nc>
  </rcc>
  <rcc rId="1840" sId="2">
    <nc r="E40">
      <v>4</v>
    </nc>
  </rcc>
  <rcc rId="1841" sId="2">
    <nc r="F40">
      <v>2</v>
    </nc>
  </rcc>
  <rcc rId="1842" sId="2">
    <nc r="G40">
      <v>2.3809523809523808E-2</v>
    </nc>
  </rcc>
  <rcc rId="1843" sId="2">
    <nc r="H40">
      <v>1.1904761904761904E-2</v>
    </nc>
  </rcc>
  <rcc rId="1844" sId="2">
    <nc r="D41">
      <v>168</v>
    </nc>
  </rcc>
  <rcc rId="1845" sId="2">
    <nc r="E41">
      <v>4</v>
    </nc>
  </rcc>
  <rcc rId="1846" sId="2">
    <nc r="F41">
      <v>2</v>
    </nc>
  </rcc>
  <rcc rId="1847" sId="2">
    <nc r="G41">
      <v>2.3809523809523808E-2</v>
    </nc>
  </rcc>
  <rcc rId="1848" sId="2">
    <nc r="H41">
      <v>1.1904761904761904E-2</v>
    </nc>
  </rcc>
  <rcc rId="1849" sId="2">
    <nc r="D42">
      <v>172</v>
    </nc>
  </rcc>
  <rcc rId="1850" sId="2">
    <nc r="E42">
      <v>0</v>
    </nc>
  </rcc>
  <rcc rId="1851" sId="2">
    <nc r="F42">
      <v>2</v>
    </nc>
  </rcc>
  <rcc rId="1852" sId="2">
    <nc r="G42">
      <v>0</v>
    </nc>
  </rcc>
  <rcc rId="1853" sId="2">
    <nc r="H42">
      <v>1.1627906976744186E-2</v>
    </nc>
  </rcc>
  <rcc rId="1854" sId="2">
    <nc r="D43">
      <v>21</v>
    </nc>
  </rcc>
  <rcc rId="1855" sId="2">
    <nc r="E43">
      <v>0</v>
    </nc>
  </rcc>
  <rcc rId="1856" sId="2">
    <nc r="F43">
      <v>0</v>
    </nc>
  </rcc>
  <rcc rId="1857" sId="2">
    <nc r="G43">
      <v>0</v>
    </nc>
  </rcc>
  <rcc rId="1858" sId="2">
    <nc r="H43">
      <v>0</v>
    </nc>
  </rcc>
  <rcc rId="1859" sId="2">
    <nc r="D44">
      <v>172</v>
    </nc>
  </rcc>
  <rcc rId="1860" sId="2">
    <nc r="E44">
      <v>0</v>
    </nc>
  </rcc>
  <rcc rId="1861" sId="2">
    <nc r="F44">
      <v>9</v>
    </nc>
  </rcc>
  <rcc rId="1862" sId="2">
    <nc r="G44">
      <v>0</v>
    </nc>
  </rcc>
  <rcc rId="1863" sId="2">
    <nc r="H44">
      <v>5.232558139534884E-2</v>
    </nc>
  </rcc>
  <rcc rId="1864" sId="2">
    <nc r="D45">
      <v>168</v>
    </nc>
  </rcc>
  <rcc rId="1865" sId="2">
    <nc r="E45">
      <v>6</v>
    </nc>
  </rcc>
  <rcc rId="1866" sId="2">
    <nc r="F45">
      <v>10</v>
    </nc>
  </rcc>
  <rcc rId="1867" sId="2">
    <nc r="G45">
      <v>3.5714285714285712E-2</v>
    </nc>
  </rcc>
  <rcc rId="1868" sId="2">
    <nc r="H45">
      <v>5.9523809523809521E-2</v>
    </nc>
  </rcc>
  <rcc rId="1869" sId="2">
    <nc r="D46">
      <v>168</v>
    </nc>
  </rcc>
  <rcc rId="1870" sId="2">
    <nc r="E46">
      <v>5</v>
    </nc>
  </rcc>
  <rcc rId="1871" sId="2">
    <nc r="F46">
      <v>1</v>
    </nc>
  </rcc>
  <rcc rId="1872" sId="2">
    <nc r="G46">
      <v>2.976190476190476E-2</v>
    </nc>
  </rcc>
  <rcc rId="1873" sId="2">
    <nc r="H46">
      <v>5.9523809523809521E-3</v>
    </nc>
  </rcc>
  <rcc rId="1874" sId="2">
    <nc r="D47">
      <v>172</v>
    </nc>
  </rcc>
  <rcc rId="1875" sId="2">
    <nc r="E47">
      <v>5</v>
    </nc>
  </rcc>
  <rcc rId="1876" sId="2">
    <nc r="F47">
      <v>1</v>
    </nc>
  </rcc>
  <rcc rId="1877" sId="2">
    <nc r="G47">
      <v>2.9069767441860465E-2</v>
    </nc>
  </rcc>
  <rcc rId="1878" sId="2">
    <nc r="H47">
      <v>5.8139534883720929E-3</v>
    </nc>
  </rcc>
  <rcc rId="1879" sId="2">
    <nc r="D48">
      <v>172</v>
    </nc>
  </rcc>
  <rcc rId="1880" sId="2">
    <nc r="E48">
      <v>4</v>
    </nc>
  </rcc>
  <rcc rId="1881" sId="2">
    <nc r="F48">
      <v>1</v>
    </nc>
  </rcc>
  <rcc rId="1882" sId="2">
    <nc r="G48">
      <v>2.3255813953488372E-2</v>
    </nc>
  </rcc>
  <rcc rId="1883" sId="2">
    <nc r="H48">
      <v>5.8139534883720929E-3</v>
    </nc>
  </rcc>
  <rcc rId="1884" sId="2">
    <nc r="D49">
      <v>175</v>
    </nc>
  </rcc>
  <rcc rId="1885" sId="2">
    <nc r="E49">
      <v>1</v>
    </nc>
  </rcc>
  <rcc rId="1886" sId="2">
    <nc r="F49">
      <v>2</v>
    </nc>
  </rcc>
  <rcc rId="1887" sId="2">
    <nc r="G49">
      <v>5.7142857142857143E-3</v>
    </nc>
  </rcc>
  <rcc rId="1888" sId="2">
    <nc r="H49">
      <v>1.1428571428571429E-2</v>
    </nc>
  </rcc>
  <rcc rId="1889" sId="2">
    <nc r="D50">
      <v>176</v>
    </nc>
  </rcc>
  <rcc rId="1890" sId="2">
    <nc r="E50">
      <v>2</v>
    </nc>
  </rcc>
  <rcc rId="1891" sId="2">
    <nc r="F50">
      <v>2</v>
    </nc>
  </rcc>
  <rcc rId="1892" sId="2">
    <nc r="G50">
      <v>1.1363636363636364E-2</v>
    </nc>
  </rcc>
  <rcc rId="1893" sId="2">
    <nc r="H50">
      <v>1.1363636363636364E-2</v>
    </nc>
  </rcc>
  <rcc rId="1894" sId="2">
    <nc r="D51">
      <v>0</v>
    </nc>
  </rcc>
  <rcc rId="1895" sId="2">
    <nc r="E51">
      <v>0</v>
    </nc>
  </rcc>
  <rcc rId="1896" sId="2">
    <nc r="F51">
      <v>0</v>
    </nc>
  </rcc>
  <rcc rId="1897" sId="2">
    <nc r="G51" t="e">
      <v>#DIV/0!</v>
    </nc>
  </rcc>
  <rcc rId="1898" sId="2">
    <nc r="H51" t="e">
      <v>#DIV/0!</v>
    </nc>
  </rcc>
  <rcc rId="1899" sId="2">
    <nc r="D52">
      <v>175</v>
    </nc>
  </rcc>
  <rcc rId="1900" sId="2">
    <nc r="E52">
      <v>1</v>
    </nc>
  </rcc>
  <rcc rId="1901" sId="2">
    <nc r="F52">
      <v>4</v>
    </nc>
  </rcc>
  <rcc rId="1902" sId="2">
    <nc r="G52">
      <v>5.7142857142857143E-3</v>
    </nc>
  </rcc>
  <rcc rId="1903" sId="2">
    <nc r="H52">
      <v>2.2857142857142857E-2</v>
    </nc>
  </rcc>
  <rcc rId="1904" sId="2">
    <nc r="D53">
      <v>175</v>
    </nc>
  </rcc>
  <rcc rId="1905" sId="2">
    <nc r="E53">
      <v>0</v>
    </nc>
  </rcc>
  <rcc rId="1906" sId="2">
    <nc r="F53">
      <v>3</v>
    </nc>
  </rcc>
  <rcc rId="1907" sId="2">
    <nc r="G53">
      <v>0</v>
    </nc>
  </rcc>
  <rcc rId="1908" sId="2">
    <nc r="H53">
      <v>1.7142857142857144E-2</v>
    </nc>
  </rcc>
  <rrc rId="1909" sId="2" ref="I1:I1048576" action="deleteCol">
    <rfmt sheetId="2" xfDxf="1" sqref="I1:I1048576" start="0" length="0"/>
  </rrc>
  <rrc rId="1910" sId="2" ref="I1:I1048576" action="deleteCol">
    <rfmt sheetId="2" xfDxf="1" sqref="I1:I1048576" start="0" length="0"/>
  </rrc>
  <rcc rId="1911" sId="2" odxf="1" dxf="1">
    <nc r="D1" t="inlineStr">
      <is>
        <t>Total_Data field_Count</t>
      </is>
    </nc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2" sId="2" odxf="1" dxf="1">
    <nc r="E1" t="inlineStr">
      <is>
        <t>Total_Mismatch_Count</t>
      </is>
    </nc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3" sId="2" odxf="1" dxf="1">
    <nc r="F1" t="inlineStr">
      <is>
        <t>Total_Error_Count</t>
      </is>
    </nc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4" sId="2" odxf="1" dxf="1">
    <nc r="G1" t="inlineStr">
      <is>
        <t>Mismatch_%</t>
      </is>
    </nc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5" sId="2" odxf="1" dxf="1">
    <nc r="H1" t="inlineStr">
      <is>
        <t>Error_%</t>
      </is>
    </nc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D1:H1">
    <dxf>
      <alignment wrapText="0"/>
    </dxf>
  </rfmt>
  <rfmt sheetId="2" sqref="G2:H53">
    <dxf>
      <numFmt numFmtId="13" formatCode="0%"/>
    </dxf>
  </rfmt>
  <rfmt sheetId="2" sqref="G2:H53">
    <dxf>
      <numFmt numFmtId="164" formatCode="0.0%"/>
    </dxf>
  </rfmt>
  <rfmt sheetId="2" sqref="G2:H53">
    <dxf>
      <numFmt numFmtId="14" formatCode="0.00%"/>
    </dxf>
  </rfmt>
  <rfmt sheetId="2" sqref="J2:J53" start="0" length="0">
    <dxf>
      <border>
        <right style="thin">
          <color indexed="64"/>
        </right>
      </border>
    </dxf>
  </rfmt>
  <rfmt sheetId="2" sqref="D53:J53" start="0" length="0">
    <dxf>
      <border>
        <bottom style="thin">
          <color indexed="64"/>
        </bottom>
      </border>
    </dxf>
  </rfmt>
  <rfmt sheetId="2" sqref="D2:J5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16" sId="2" odxf="1" dxf="1">
    <nc r="J1" t="inlineStr">
      <is>
        <t>LLM issue</t>
      </is>
    </nc>
    <ndxf>
      <fill>
        <patternFill patternType="solid">
          <bgColor theme="8" tint="0.59999389629810485"/>
        </patternFill>
      </fill>
    </ndxf>
  </rcc>
  <rfmt sheetId="2" sqref="I1:J1">
    <dxf>
      <fill>
        <patternFill>
          <bgColor theme="7" tint="0.79998168889431442"/>
        </patternFill>
      </fill>
    </dxf>
  </rfmt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8" sId="2">
    <oc r="D51">
      <v>0</v>
    </oc>
    <nc r="D51"/>
  </rcc>
  <rcc rId="1919" sId="2">
    <oc r="E51">
      <v>0</v>
    </oc>
    <nc r="E51"/>
  </rcc>
  <rcc rId="1920" sId="2">
    <oc r="F51">
      <v>0</v>
    </oc>
    <nc r="F51"/>
  </rcc>
  <rcc rId="1921" sId="2">
    <oc r="G51" t="e">
      <v>#DIV/0!</v>
    </oc>
    <nc r="G51"/>
  </rcc>
  <rcc rId="1922" sId="2">
    <oc r="H51" t="e">
      <v>#DIV/0!</v>
    </oc>
    <nc r="H51"/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50:XFD50" start="0" length="2147483647">
    <dxf>
      <font>
        <b val="0"/>
      </font>
    </dxf>
  </rfmt>
  <rfmt sheetId="2" sqref="A51:XFD51" start="0" length="2147483647">
    <dxf>
      <font>
        <b/>
      </font>
    </dxf>
  </rfmt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23" sId="2" ref="A29:XFD29" action="insertRow"/>
  <rm rId="1924" sheetId="2" source="A50:XFD50" destination="A29:XFD29" sourceSheetId="2">
    <rfmt sheetId="2" xfDxf="1" sqref="A29:XFD29" start="0" length="0"/>
    <rfmt sheetId="2" sqref="A29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29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29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2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2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29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29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29" start="0" length="0">
      <dxf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29" start="0" length="0">
      <dxf>
        <font>
          <b/>
          <sz val="11"/>
          <color theme="1"/>
          <name val="Aptos Narrow"/>
          <family val="2"/>
          <scheme val="minor"/>
        </font>
        <fill>
          <patternFill patternType="solid">
            <bgColor theme="9" tint="0.59999389629810485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25" sId="2" ref="A50:XFD50" action="deleteRow">
    <rfmt sheetId="2" xfDxf="1" sqref="A50:XFD50" start="0" length="0"/>
    <rfmt sheetId="2" sqref="A50" start="0" length="0">
      <dxf>
        <alignment horizontal="center" vertical="center"/>
      </dxf>
    </rfmt>
    <rfmt sheetId="2" sqref="B50" start="0" length="0">
      <dxf>
        <alignment horizontal="center" vertical="center"/>
      </dxf>
    </rfmt>
    <rfmt sheetId="2" sqref="C50" start="0" length="0">
      <dxf>
        <alignment horizontal="left" vertical="center"/>
      </dxf>
    </rfmt>
    <rfmt sheetId="2" sqref="I50" start="0" length="0">
      <dxf>
        <alignment horizontal="left" vertical="center"/>
      </dxf>
    </rfmt>
    <rfmt sheetId="2" sqref="J50" start="0" length="0">
      <dxf>
        <alignment horizontal="left" vertical="top"/>
      </dxf>
    </rfmt>
  </rrc>
  <rrc rId="1926" sId="2" ref="A30:XFD30" action="insertRow"/>
  <rm rId="1927" sheetId="2" source="A53:XFD53" destination="A30:XFD30" sourceSheetId="2">
    <rfmt sheetId="2" xfDxf="1" sqref="A30:XFD30" start="0" length="0"/>
    <rfmt sheetId="2" sqref="A30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0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0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0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0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0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0" start="0" length="0">
      <dxf>
        <font>
          <b/>
          <sz val="11"/>
          <color theme="1"/>
          <name val="Aptos Narrow"/>
          <family val="2"/>
          <scheme val="minor"/>
        </font>
        <fill>
          <patternFill patternType="solid">
            <bgColor rgb="FF92D05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28" sId="2" ref="A53:XFD53" action="deleteRow">
    <rfmt sheetId="2" xfDxf="1" sqref="A53:XFD53" start="0" length="0"/>
    <rfmt sheetId="2" sqref="A53" start="0" length="0">
      <dxf>
        <alignment horizontal="center" vertical="center"/>
      </dxf>
    </rfmt>
    <rfmt sheetId="2" sqref="B53" start="0" length="0">
      <dxf>
        <alignment horizontal="center" vertical="center"/>
      </dxf>
    </rfmt>
    <rfmt sheetId="2" sqref="C53" start="0" length="0">
      <dxf>
        <alignment horizontal="left" vertical="center"/>
      </dxf>
    </rfmt>
    <rfmt sheetId="2" sqref="I53" start="0" length="0">
      <dxf>
        <alignment horizontal="left" vertical="center"/>
      </dxf>
    </rfmt>
    <rfmt sheetId="2" sqref="J53" start="0" length="0">
      <dxf>
        <alignment horizontal="left" vertical="top"/>
      </dxf>
    </rfmt>
  </rrc>
  <rrc rId="1929" sId="2" ref="A31:XFD31" action="insertRow"/>
  <rm rId="1930" sheetId="2" source="A54:XFD54" destination="A31:XFD31" sourceSheetId="2">
    <rfmt sheetId="2" xfDxf="1" sqref="A31:XFD31" start="0" length="0"/>
    <rfmt sheetId="2" sqref="A31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1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1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1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1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1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1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31" sId="2" ref="A54:XFD54" action="deleteRow">
    <rfmt sheetId="2" xfDxf="1" sqref="A54:XFD54" start="0" length="0"/>
    <rfmt sheetId="2" sqref="A54" start="0" length="0">
      <dxf>
        <alignment horizontal="center" vertical="center"/>
      </dxf>
    </rfmt>
    <rfmt sheetId="2" sqref="B54" start="0" length="0">
      <dxf>
        <alignment horizontal="center" vertical="center"/>
      </dxf>
    </rfmt>
    <rfmt sheetId="2" sqref="C54" start="0" length="0">
      <dxf>
        <alignment horizontal="left" vertical="center"/>
      </dxf>
    </rfmt>
    <rfmt sheetId="2" sqref="I54" start="0" length="0">
      <dxf>
        <alignment horizontal="left" vertical="center"/>
      </dxf>
    </rfmt>
    <rfmt sheetId="2" sqref="J54" start="0" length="0">
      <dxf>
        <alignment horizontal="left" vertical="top"/>
      </dxf>
    </rfmt>
  </rrc>
  <rfmt sheetId="2" sqref="A28:XFD30" start="0" length="2147483647">
    <dxf>
      <font>
        <b val="0"/>
      </font>
    </dxf>
  </rfmt>
  <rfmt sheetId="2" sqref="A32:XFD32" start="0" length="2147483647">
    <dxf>
      <font>
        <b val="0"/>
      </font>
    </dxf>
  </rfmt>
  <rrc rId="1932" sId="2" ref="A32:XFD33" action="insertRow"/>
  <rm rId="1933" sheetId="2" source="A54:XFD55" destination="A32:XFD33" sourceSheetId="2">
    <rfmt sheetId="2" xfDxf="1" sqref="A32:XFD32" start="0" length="0"/>
    <rfmt sheetId="2" xfDxf="1" sqref="A33:XFD33" start="0" length="0"/>
    <rfmt sheetId="2" sqref="A32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2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2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2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2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2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2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A33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3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3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3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3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3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3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34" sId="2" ref="A54:XFD54" action="deleteRow">
    <rfmt sheetId="2" xfDxf="1" sqref="A54:XFD54" start="0" length="0"/>
    <rfmt sheetId="2" sqref="A54" start="0" length="0">
      <dxf>
        <alignment horizontal="center" vertical="center"/>
      </dxf>
    </rfmt>
    <rfmt sheetId="2" sqref="B54" start="0" length="0">
      <dxf>
        <alignment horizontal="center" vertical="center"/>
      </dxf>
    </rfmt>
    <rfmt sheetId="2" sqref="C54" start="0" length="0">
      <dxf>
        <alignment horizontal="left" vertical="center"/>
      </dxf>
    </rfmt>
    <rfmt sheetId="2" sqref="I54" start="0" length="0">
      <dxf>
        <alignment horizontal="left" vertical="center"/>
      </dxf>
    </rfmt>
    <rfmt sheetId="2" sqref="J54" start="0" length="0">
      <dxf>
        <alignment horizontal="left" vertical="top"/>
      </dxf>
    </rfmt>
  </rrc>
  <rrc rId="1935" sId="2" ref="A54:XFD54" action="deleteRow">
    <rfmt sheetId="2" xfDxf="1" sqref="A54:XFD54" start="0" length="0"/>
    <rfmt sheetId="2" sqref="A54" start="0" length="0">
      <dxf>
        <alignment horizontal="center" vertical="center"/>
      </dxf>
    </rfmt>
    <rfmt sheetId="2" sqref="B54" start="0" length="0">
      <dxf>
        <alignment horizontal="center" vertical="center"/>
      </dxf>
    </rfmt>
    <rfmt sheetId="2" sqref="C54" start="0" length="0">
      <dxf>
        <alignment horizontal="left" vertical="center"/>
      </dxf>
    </rfmt>
    <rfmt sheetId="2" sqref="I54" start="0" length="0">
      <dxf>
        <alignment horizontal="left" vertical="center"/>
      </dxf>
    </rfmt>
    <rfmt sheetId="2" sqref="J54" start="0" length="0">
      <dxf>
        <alignment horizontal="left" vertical="top"/>
      </dxf>
    </rfmt>
  </rr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37" sId="2" ref="A34:XFD35" action="insertRow"/>
  <rm rId="1938" sheetId="2" source="A26:XFD27" destination="A34:XFD35" sourceSheetId="2">
    <rfmt sheetId="2" xfDxf="1" sqref="A34:XFD34" start="0" length="0">
      <dxf>
        <font>
          <b/>
        </font>
      </dxf>
    </rfmt>
    <rfmt sheetId="2" xfDxf="1" sqref="A35:XFD35" start="0" length="0">
      <dxf>
        <font>
          <b/>
        </font>
      </dxf>
    </rfmt>
    <rfmt sheetId="2" sqref="A34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4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4" start="0" length="0">
      <dxf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4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4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4" start="0" length="0">
      <dxf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4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A3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5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5" start="0" length="0">
      <dxf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5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5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5" start="0" length="0">
      <dxf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5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39" sId="2" ref="A26:XFD26" action="deleteRow">
    <rfmt sheetId="2" xfDxf="1" sqref="A26:XFD26" start="0" length="0"/>
    <rfmt sheetId="2" sqref="A26" start="0" length="0">
      <dxf>
        <alignment horizontal="center" vertical="center"/>
      </dxf>
    </rfmt>
    <rfmt sheetId="2" sqref="B26" start="0" length="0">
      <dxf>
        <alignment horizontal="center" vertical="center"/>
      </dxf>
    </rfmt>
    <rfmt sheetId="2" sqref="C26" start="0" length="0">
      <dxf>
        <alignment horizontal="left" vertical="center"/>
      </dxf>
    </rfmt>
    <rfmt sheetId="2" sqref="I26" start="0" length="0">
      <dxf>
        <alignment horizontal="left" vertical="center"/>
      </dxf>
    </rfmt>
    <rfmt sheetId="2" sqref="J26" start="0" length="0">
      <dxf>
        <alignment horizontal="left" vertical="top"/>
      </dxf>
    </rfmt>
  </rrc>
  <rrc rId="1940" sId="2" ref="A26:XFD26" action="deleteRow">
    <rfmt sheetId="2" xfDxf="1" sqref="A26:XFD26" start="0" length="0"/>
    <rfmt sheetId="2" sqref="A26" start="0" length="0">
      <dxf>
        <alignment horizontal="center" vertical="center"/>
      </dxf>
    </rfmt>
    <rfmt sheetId="2" sqref="B26" start="0" length="0">
      <dxf>
        <alignment horizontal="center" vertical="center"/>
      </dxf>
    </rfmt>
    <rfmt sheetId="2" sqref="C26" start="0" length="0">
      <dxf>
        <alignment horizontal="left" vertical="center"/>
      </dxf>
    </rfmt>
    <rfmt sheetId="2" sqref="I26" start="0" length="0">
      <dxf>
        <alignment horizontal="left" vertical="center"/>
      </dxf>
    </rfmt>
    <rfmt sheetId="2" sqref="J26" start="0" length="0">
      <dxf>
        <alignment horizontal="left" vertical="top"/>
      </dxf>
    </rfmt>
  </rr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8:XFD8">
    <dxf>
      <fill>
        <patternFill patternType="solid">
          <bgColor theme="7" tint="0.79998168889431442"/>
        </patternFill>
      </fill>
    </dxf>
  </rfmt>
  <rfmt sheetId="2" sqref="A8:XFD8">
    <dxf>
      <fill>
        <patternFill patternType="none">
          <bgColor auto="1"/>
        </patternFill>
      </fill>
    </dxf>
  </rfmt>
  <rcc rId="1942" sId="2">
    <oc r="A30" t="inlineStr">
      <is>
        <t>2nd</t>
      </is>
    </oc>
    <nc r="A30" t="inlineStr">
      <is>
        <t>3rd</t>
      </is>
    </nc>
  </rcc>
  <rfmt sheetId="2" sqref="A30" start="0" length="2147483647">
    <dxf>
      <font>
        <b/>
      </font>
    </dxf>
  </rfmt>
  <rrc rId="1943" sId="2" ref="A30:XFD30" action="insertRow"/>
  <rm rId="1944" sheetId="2" source="A32:XFD32" destination="A30:XFD30" sourceSheetId="2">
    <rfmt sheetId="2" xfDxf="1" sqref="A30:XFD30" start="0" length="0"/>
    <rfmt sheetId="2" sqref="A30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30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30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30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30" start="0" length="0">
      <dxf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30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30" start="0" length="0">
      <dxf>
        <font>
          <b/>
          <sz val="11"/>
          <color theme="1"/>
          <name val="Aptos Narrow"/>
          <family val="2"/>
          <scheme val="minor"/>
        </font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45" sId="2" ref="A32:XFD32" action="deleteRow">
    <rfmt sheetId="2" xfDxf="1" sqref="A32:XFD32" start="0" length="0"/>
    <rfmt sheetId="2" sqref="A32" start="0" length="0">
      <dxf>
        <alignment horizontal="center" vertical="center"/>
      </dxf>
    </rfmt>
    <rfmt sheetId="2" sqref="B32" start="0" length="0">
      <dxf>
        <alignment horizontal="center" vertical="center"/>
      </dxf>
    </rfmt>
    <rfmt sheetId="2" sqref="C32" start="0" length="0">
      <dxf>
        <alignment horizontal="left" vertical="center"/>
      </dxf>
    </rfmt>
    <rfmt sheetId="2" sqref="I32" start="0" length="0">
      <dxf>
        <alignment horizontal="left" vertical="center"/>
      </dxf>
    </rfmt>
    <rfmt sheetId="2" sqref="J32" start="0" length="0">
      <dxf>
        <alignment horizontal="left" vertical="top"/>
      </dxf>
    </rfmt>
  </rrc>
  <rcc rId="1946" sId="2">
    <oc r="A30" t="inlineStr">
      <is>
        <t>3rd</t>
      </is>
    </oc>
    <nc r="A30" t="inlineStr">
      <is>
        <t>2nd</t>
      </is>
    </nc>
  </rcc>
  <rfmt sheetId="2" sqref="A30:XFD30" start="0" length="2147483647">
    <dxf>
      <font>
        <b val="0"/>
      </font>
    </dxf>
  </rfmt>
  <rfmt sheetId="2" sqref="A31:XFD31" start="0" length="2147483647">
    <dxf>
      <font>
        <b val="0"/>
      </font>
    </dxf>
  </rfmt>
  <rfmt sheetId="2" sqref="A31:XFD31" start="0" length="2147483647">
    <dxf>
      <font>
        <b/>
      </font>
    </dxf>
  </rfmt>
  <rcc rId="1947" sId="2" odxf="1" dxf="1">
    <nc r="D30">
      <v>176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9" sId="1">
    <oc r="A50" t="inlineStr">
      <is>
        <t>2nd</t>
      </is>
    </oc>
    <nc r="A50" t="inlineStr">
      <is>
        <t>3rd</t>
      </is>
    </nc>
  </rcc>
  <rcc rId="1950" sId="1">
    <oc r="A51" t="inlineStr">
      <is>
        <t>3rd</t>
      </is>
    </oc>
    <nc r="A51" t="inlineStr">
      <is>
        <t>2nd</t>
      </is>
    </nc>
  </rcc>
  <rrc rId="1951" sId="1" ref="A50:XFD50" action="insertRow"/>
  <rm rId="1952" sheetId="1" source="A52:XFD52" destination="A50:XFD50" sourceSheetId="1">
    <rfmt sheetId="1" xfDxf="1" sqref="A50:XFD50" start="0" length="0">
      <dxf>
        <font>
          <b/>
        </font>
        <alignment horizontal="left"/>
      </dxf>
    </rfmt>
    <rfmt sheetId="1" sqref="A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50" start="0" length="0">
      <dxf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50" start="0" length="0">
      <dxf>
        <alignment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R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S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50" start="0" length="0">
      <dxf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50" start="0" length="0">
      <dxf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50" start="0" length="0">
      <dxf>
        <fill>
          <patternFill patternType="solid">
            <bgColor rgb="FF92D05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50" start="0" length="0">
      <dxf/>
    </rfmt>
    <rfmt sheetId="1" sqref="AA50" start="0" length="0">
      <dxf>
        <font>
          <b val="0"/>
          <sz val="11"/>
          <color theme="1"/>
          <name val="Aptos Narrow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50" start="0" length="0">
      <dxf>
        <font>
          <b val="0"/>
          <sz val="11"/>
          <color theme="1"/>
          <name val="Aptos Narrow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50" start="0" length="0">
      <dxf>
        <font>
          <b val="0"/>
          <sz val="11"/>
          <color theme="1"/>
          <name val="Aptos Narrow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50" start="0" length="0">
      <dxf>
        <font>
          <b val="0"/>
          <sz val="11"/>
          <color theme="1"/>
          <name val="Aptos Narrow"/>
          <family val="2"/>
          <scheme val="minor"/>
        </font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50" start="0" length="0">
      <dxf>
        <font>
          <b val="0"/>
          <sz val="11"/>
          <color theme="1"/>
          <name val="Aptos Narrow"/>
          <family val="2"/>
          <scheme val="minor"/>
        </font>
        <numFmt numFmtId="14" formatCode="0.00%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53" sId="1" ref="A52:XFD52" action="deleteRow">
    <rfmt sheetId="1" xfDxf="1" sqref="A52:XFD52" start="0" length="0">
      <dxf>
        <alignment horizontal="left"/>
      </dxf>
    </rfmt>
    <rfmt sheetId="1" sqref="A52" start="0" length="0">
      <dxf>
        <alignment horizontal="center" vertical="center"/>
      </dxf>
    </rfmt>
    <rfmt sheetId="1" sqref="B52" start="0" length="0">
      <dxf>
        <alignment horizontal="center" vertical="center"/>
      </dxf>
    </rfmt>
    <rfmt sheetId="1" sqref="C52" start="0" length="0">
      <dxf>
        <alignment vertical="center"/>
      </dxf>
    </rfmt>
    <rfmt sheetId="1" sqref="D52" start="0" length="0">
      <dxf>
        <alignment horizontal="center" vertical="center"/>
      </dxf>
    </rfmt>
    <rfmt sheetId="1" sqref="E52" start="0" length="0">
      <dxf>
        <alignment horizontal="center" vertical="center"/>
      </dxf>
    </rfmt>
    <rfmt sheetId="1" sqref="F52" start="0" length="0">
      <dxf>
        <alignment horizontal="center" vertical="center"/>
      </dxf>
    </rfmt>
    <rfmt sheetId="1" sqref="G52" start="0" length="0">
      <dxf>
        <alignment horizontal="center" vertical="center"/>
      </dxf>
    </rfmt>
    <rfmt sheetId="1" sqref="H52" start="0" length="0">
      <dxf>
        <alignment horizontal="center" vertical="center"/>
      </dxf>
    </rfmt>
    <rfmt sheetId="1" sqref="I52" start="0" length="0">
      <dxf>
        <alignment horizontal="center" vertical="center"/>
      </dxf>
    </rfmt>
    <rfmt sheetId="1" sqref="J52" start="0" length="0">
      <dxf>
        <alignment horizontal="center" vertical="center"/>
      </dxf>
    </rfmt>
    <rfmt sheetId="1" sqref="K52" start="0" length="0">
      <dxf>
        <alignment horizontal="center" vertical="center"/>
      </dxf>
    </rfmt>
    <rfmt sheetId="1" sqref="L52" start="0" length="0">
      <dxf>
        <alignment horizontal="center" vertical="center"/>
      </dxf>
    </rfmt>
    <rfmt sheetId="1" sqref="M52" start="0" length="0">
      <dxf>
        <alignment horizontal="center" vertical="center"/>
      </dxf>
    </rfmt>
    <rfmt sheetId="1" sqref="N52" start="0" length="0">
      <dxf>
        <alignment horizontal="center" vertical="center"/>
      </dxf>
    </rfmt>
    <rfmt sheetId="1" sqref="O52" start="0" length="0">
      <dxf>
        <alignment horizontal="center" vertical="center"/>
      </dxf>
    </rfmt>
    <rfmt sheetId="1" sqref="P52" start="0" length="0">
      <dxf>
        <alignment horizontal="center" vertical="center"/>
      </dxf>
    </rfmt>
    <rfmt sheetId="1" sqref="Q52" start="0" length="0">
      <dxf>
        <alignment horizontal="center" vertical="center"/>
      </dxf>
    </rfmt>
    <rfmt sheetId="1" sqref="R52" start="0" length="0">
      <dxf>
        <alignment horizontal="center" vertical="center"/>
      </dxf>
    </rfmt>
    <rfmt sheetId="1" sqref="S52" start="0" length="0">
      <dxf>
        <alignment horizontal="center" vertical="center"/>
      </dxf>
    </rfmt>
    <rfmt sheetId="1" sqref="T52" start="0" length="0">
      <dxf>
        <alignment horizontal="center" vertical="center"/>
      </dxf>
    </rfmt>
    <rfmt sheetId="1" sqref="U52" start="0" length="0">
      <dxf>
        <alignment horizontal="center" vertical="center"/>
      </dxf>
    </rfmt>
    <rfmt sheetId="1" sqref="V52" start="0" length="0">
      <dxf>
        <alignment horizontal="center" vertical="center"/>
      </dxf>
    </rfmt>
    <rfmt sheetId="1" sqref="W52" start="0" length="0">
      <dxf>
        <alignment horizontal="center" vertical="center"/>
      </dxf>
    </rfmt>
    <rfmt sheetId="1" sqref="X52" start="0" length="0">
      <dxf>
        <alignment vertical="center"/>
      </dxf>
    </rfmt>
  </rr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5" sId="3" odxf="1" dxf="1">
    <nc r="A1" t="inlineStr">
      <is>
        <t>Deal_ID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6" sId="3" odxf="1" dxf="1">
    <nc r="B1" t="inlineStr">
      <is>
        <t>Deal_Name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A1:B1">
    <dxf>
      <alignment wrapText="0"/>
    </dxf>
  </rfmt>
  <rcc rId="1957" sId="3" odxf="1" dxf="1">
    <nc r="A2">
      <v>19584</v>
    </nc>
    <odxf>
      <alignment horizontal="general" vertical="bottom"/>
      <border outline="0">
        <left/>
        <right/>
        <top/>
        <bottom/>
      </border>
    </odxf>
    <n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8" sId="3" odxf="1" dxf="1">
    <nc r="B2" t="inlineStr">
      <is>
        <t>MASTR Adjustable Rate Mortgages Trust 2004-3</t>
      </is>
    </nc>
    <odxf>
      <alignment horizontal="general" vertical="bottom"/>
      <border outline="0">
        <left/>
        <right/>
        <top/>
        <bottom/>
      </border>
    </odxf>
    <n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C1" start="0" length="2147483647">
    <dxf>
      <font>
        <b/>
      </font>
    </dxf>
  </rfmt>
  <rcc rId="1959" sId="3">
    <nc r="C2">
      <v>8</v>
    </nc>
  </rcc>
  <rcc rId="1960" sId="3" odxf="1" dxf="1">
    <nc r="C1" t="inlineStr">
      <is>
        <t>Validation_Checking_Time</t>
      </is>
    </nc>
    <ndxf>
      <fill>
        <patternFill patternType="solid"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C2" start="0" length="0">
    <dxf>
      <border>
        <right style="thin">
          <color indexed="64"/>
        </right>
      </border>
    </dxf>
  </rfmt>
  <rfmt sheetId="3" sqref="B2:C2" start="0" length="0">
    <dxf>
      <border>
        <bottom style="thin">
          <color indexed="64"/>
        </bottom>
      </border>
    </dxf>
  </rfmt>
  <rfmt sheetId="3" sqref="B2:C2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fmt sheetId="3" sqref="B2:C2">
    <dxf>
      <alignment horizontal="general"/>
    </dxf>
  </rfmt>
  <rfmt sheetId="3" sqref="B2:C2">
    <dxf>
      <alignment horizontal="left"/>
    </dxf>
  </rfmt>
  <rfmt sheetId="3" sqref="D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3" sqref="D1" start="0" length="0">
    <dxf>
      <border>
        <top style="thin">
          <color indexed="64"/>
        </top>
      </border>
    </dxf>
  </rfmt>
  <rfmt sheetId="3" sqref="D1:D2" start="0" length="0">
    <dxf>
      <border>
        <right style="thin">
          <color indexed="64"/>
        </right>
      </border>
    </dxf>
  </rfmt>
  <rfmt sheetId="3" sqref="D2" start="0" length="0">
    <dxf>
      <border>
        <bottom style="thin">
          <color indexed="64"/>
        </bottom>
      </border>
    </dxf>
  </rfmt>
  <rfmt sheetId="3" sqref="D1:D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61" sId="3">
    <nc r="D1" t="inlineStr">
      <is>
        <t>Total_Data field_Count</t>
      </is>
    </nc>
  </rcc>
  <rfmt sheetId="3" sqref="E1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1" start="0" length="0">
    <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62" sId="3" odxf="1" dxf="1">
    <nc r="G1" t="inlineStr">
      <is>
        <t>Mismatch_%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3" sId="3" odxf="1" dxf="1">
    <nc r="H1" t="inlineStr">
      <is>
        <t>Error_%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H1:H2" start="0" length="0">
    <dxf>
      <border>
        <right style="thin">
          <color indexed="64"/>
        </right>
      </border>
    </dxf>
  </rfmt>
  <rfmt sheetId="3" sqref="D2:H2" start="0" length="0">
    <dxf>
      <border>
        <bottom style="thin">
          <color indexed="64"/>
        </bottom>
      </border>
    </dxf>
  </rfmt>
  <rcc rId="1964" sId="3">
    <nc r="E1" t="inlineStr">
      <is>
        <t>Final_Mismatch_Count</t>
      </is>
    </nc>
  </rcc>
  <rcc rId="1965" sId="3">
    <nc r="F1" t="inlineStr">
      <is>
        <t>Final_Error_Count</t>
      </is>
    </nc>
  </rcc>
  <rcc rId="1966" sId="3">
    <nc r="D2">
      <v>181</v>
    </nc>
  </rcc>
  <rcc rId="1967" sId="3">
    <nc r="E2">
      <v>0</v>
    </nc>
  </rcc>
  <rcc rId="1968" sId="3">
    <nc r="F2">
      <v>1</v>
    </nc>
  </rcc>
  <rcc rId="1969" sId="3" odxf="1" dxf="1" numFmtId="14">
    <nc r="G2">
      <v>0</v>
    </nc>
    <odxf>
      <numFmt numFmtId="0" formatCode="General"/>
    </odxf>
    <ndxf>
      <numFmt numFmtId="14" formatCode="0.00%"/>
    </ndxf>
  </rcc>
  <rcc rId="1970" sId="3" odxf="1" dxf="1" numFmtId="14">
    <nc r="H2">
      <v>5.5248618784530384E-3</v>
    </nc>
    <odxf>
      <numFmt numFmtId="0" formatCode="General"/>
    </odxf>
    <ndxf>
      <numFmt numFmtId="14" formatCode="0.00%"/>
    </ndxf>
  </rcc>
  <rcc rId="1971" sId="3" odxf="1" dxf="1">
    <nc r="I1" t="inlineStr">
      <is>
        <t>Remarks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7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72" sId="3" odxf="1" dxf="1">
    <nc r="I2" t="inlineStr">
      <is>
        <t>PREPAY_PENALTIES- should not be captured for Group 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cv guid="{1EE62E9F-0698-46CF-BB3C-23E1EBAB6664}" action="add"/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" sId="3" odxf="1" dxf="1">
    <nc r="A3">
      <v>36616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75" sId="3" odxf="1" dxf="1">
    <nc r="B3" t="inlineStr">
      <is>
        <t>Banc of America Funding Corporation 2006-1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A3:B3" start="0" length="2147483647">
    <dxf>
      <font>
        <b val="0"/>
      </font>
    </dxf>
  </rfmt>
  <rfmt sheetId="3" sqref="I1:I3" start="0" length="0">
    <dxf>
      <border>
        <right style="thin">
          <color indexed="64"/>
        </right>
      </border>
    </dxf>
  </rfmt>
  <rfmt sheetId="3" sqref="A3:I3" start="0" length="0">
    <dxf>
      <border>
        <bottom style="thin">
          <color indexed="64"/>
        </bottom>
      </border>
    </dxf>
  </rfmt>
  <rcc rId="1976" sId="3">
    <nc r="C3">
      <v>7</v>
    </nc>
  </rcc>
  <rfmt sheetId="3" sqref="C2:I3">
    <dxf>
      <alignment horizontal="general"/>
    </dxf>
  </rfmt>
  <rfmt sheetId="3" sqref="C2:I3">
    <dxf>
      <alignment horizontal="left"/>
    </dxf>
  </rfmt>
  <rcc rId="1977" sId="3" odxf="1" dxf="1">
    <nc r="D3">
      <v>179</v>
    </nc>
    <odxf>
      <alignment horizontal="left" vertical="top"/>
    </odxf>
    <ndxf>
      <alignment horizontal="general" vertical="bottom"/>
    </ndxf>
  </rcc>
  <rfmt sheetId="3" sqref="D3">
    <dxf>
      <alignment horizontal="left"/>
    </dxf>
  </rfmt>
  <rcc rId="1978" sId="3">
    <nc r="E3">
      <v>1</v>
    </nc>
  </rcc>
  <rcc rId="1979" sId="3">
    <nc r="F3">
      <v>0</v>
    </nc>
  </rcc>
  <rcc rId="1980" sId="3" odxf="1" dxf="1" numFmtId="14">
    <nc r="G3">
      <v>5.5865921787709499E-3</v>
    </nc>
    <odxf>
      <numFmt numFmtId="0" formatCode="General"/>
      <alignment horizontal="left" vertical="top"/>
    </odxf>
    <ndxf>
      <numFmt numFmtId="14" formatCode="0.00%"/>
      <alignment horizontal="general" vertical="bottom"/>
    </ndxf>
  </rcc>
  <rcc rId="1981" sId="3" odxf="1" dxf="1" numFmtId="14">
    <nc r="H3">
      <v>0</v>
    </nc>
    <odxf>
      <numFmt numFmtId="0" formatCode="General"/>
      <alignment horizontal="left" vertical="top"/>
    </odxf>
    <ndxf>
      <numFmt numFmtId="14" formatCode="0.00%"/>
      <alignment horizontal="general" vertical="bottom"/>
    </ndxf>
  </rcc>
  <rfmt sheetId="3" sqref="G3:H3">
    <dxf>
      <alignment horizontal="left"/>
    </dxf>
  </rfmt>
  <rcc rId="1982" sId="3" odxf="1" dxf="1">
    <nc r="I3" t="inlineStr">
      <is>
        <t>CURTAILMENTS should be captured for Group 1</t>
      </is>
    </nc>
    <odxf>
      <font>
        <b val="0"/>
        <sz val="11"/>
        <color theme="1"/>
        <name val="Aptos Narrow"/>
        <family val="2"/>
        <scheme val="minor"/>
      </font>
      <alignment vertical="top"/>
    </odxf>
    <ndxf>
      <font>
        <b/>
        <sz val="11"/>
        <color theme="1"/>
        <name val="Aptos Narrow"/>
        <family val="2"/>
        <scheme val="minor"/>
      </font>
      <alignment vertical="center"/>
    </ndxf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83" sId="2" ref="F1:F1048576" action="insertCol"/>
  <rm rId="1984" sheetId="2" source="H1:H1048576" destination="F1:F1048576" sourceSheetId="2">
    <rfmt sheetId="2" xfDxf="1" sqref="F1:F1048576" start="0" length="0"/>
    <rfmt sheetId="2" sqref="F1" start="0" length="0">
      <dxf>
        <font>
          <b/>
          <sz val="11"/>
          <color theme="1"/>
          <name val="Aptos Narrow"/>
          <family val="2"/>
          <scheme val="minor"/>
        </font>
        <fill>
          <patternFill patternType="solid">
            <bgColor theme="9" tint="0.7999816888943144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1" start="0" length="0">
      <dxf>
        <font>
          <b/>
          <sz val="11"/>
          <color theme="1"/>
          <name val="Aptos Narrow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85" sId="2" ref="H1:H1048576" action="deleteCol">
    <rfmt sheetId="2" xfDxf="1" sqref="H1:H1048576" start="0" length="0"/>
    <rfmt sheetId="2" sqref="H31" start="0" length="0">
      <dxf>
        <font>
          <b/>
          <sz val="11"/>
          <color theme="1"/>
          <name val="Aptos Narrow"/>
          <family val="2"/>
          <scheme val="minor"/>
        </font>
      </dxf>
    </rfmt>
  </rr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dn rId="0" localSheetId="2" customView="1" name="Z_1EE62E9F_0698_46CF_BB3C_23E1EBAB6664_.wvu.FilterData" hidden="1" oldHidden="1">
    <formula>Overview!$A$1:$J$53</formula>
  </rdn>
  <rcv guid="{1EE62E9F-0698-46CF-BB3C-23E1EBAB6664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" sId="3">
    <oc r="I2" t="inlineStr">
      <is>
        <t>PREPAY_PENALTIES- should not be captured for Group 1</t>
      </is>
    </oc>
    <nc r="I2" t="inlineStr">
      <is>
        <t>PREPAY_PENALTIES- should not be captured for Group 1 as no data is reported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89" sId="3" ref="F1:F1048576" action="insertCol"/>
  <rm rId="1990" sheetId="3" source="H1:H1048576" destination="F1:F1048576" sourceSheetId="3">
    <rfmt sheetId="3" xfDxf="1" sqref="F1:F1048576" start="0" length="0"/>
    <rfmt sheetId="3" sqref="F1" start="0" length="0">
      <dxf>
        <font>
          <b/>
          <sz val="11"/>
          <color theme="1"/>
          <name val="Aptos Narrow"/>
          <family val="2"/>
          <scheme val="minor"/>
        </font>
        <fill>
          <patternFill patternType="solid">
            <bgColor theme="9" tint="0.79998168889431442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2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3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rc rId="1991" sId="3" ref="H1:H1048576" action="deleteCol">
    <rfmt sheetId="3" xfDxf="1" sqref="H1:H1048576" start="0" length="0"/>
  </rr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dn rId="0" localSheetId="2" customView="1" name="Z_1EE62E9F_0698_46CF_BB3C_23E1EBAB6664_.wvu.FilterData" hidden="1" oldHidden="1">
    <formula>Overview!$A$1:$J$53</formula>
    <oldFormula>Overview!$A$1:$J$53</oldFormula>
  </rdn>
  <rcv guid="{1EE62E9F-0698-46CF-BB3C-23E1EBAB6664}" action="add"/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D30" start="0" length="2147483647">
    <dxf>
      <font>
        <b val="0"/>
      </font>
    </dxf>
  </rfmt>
  <rcc rId="1994" sId="2">
    <nc r="I30" t="inlineStr">
      <is>
        <t>END_POOL_BALANCE, CUM_LOSS wrongly captured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" sId="2">
    <nc r="E30">
      <v>0</v>
    </nc>
  </rcc>
  <rcc rId="1996" sId="2" numFmtId="14">
    <nc r="F30">
      <v>0</v>
    </nc>
  </rcc>
  <rcc rId="1997" sId="2">
    <nc r="G30">
      <v>2</v>
    </nc>
  </rcc>
  <rcc rId="1998" sId="2">
    <nc r="H30">
      <f>G30/D30</f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" sId="2" numFmtId="14">
    <oc r="H30">
      <f>G30/D30</f>
    </oc>
    <nc r="H30">
      <v>1.1363636363636364E-2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" sId="1" odxf="1" dxf="1">
    <nc r="D50">
      <v>24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1" sId="1" odxf="1" dxf="1">
    <nc r="E50">
      <v>21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2" sId="1" odxf="1" dxf="1">
    <nc r="F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3" sId="1" odxf="1" dxf="1">
    <nc r="G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4" sId="1" odxf="1" dxf="1">
    <nc r="H50">
      <v>1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5" sId="1" odxf="1" dxf="1">
    <nc r="I50">
      <v>147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fmt sheetId="1" sqref="J50" start="0" length="0">
    <dxf>
      <font>
        <b/>
        <sz val="11"/>
        <color theme="1"/>
        <name val="Aptos Narrow"/>
        <family val="2"/>
        <scheme val="minor"/>
      </font>
    </dxf>
  </rfmt>
  <rcc rId="2006" sId="1" odxf="1" dxf="1">
    <nc r="K50">
      <v>2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7" sId="1" odxf="1" dxf="1">
    <nc r="L50">
      <v>2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8" sId="1" odxf="1" dxf="1">
    <nc r="M50">
      <v>4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09" sId="1" odxf="1" dxf="1">
    <nc r="N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0" sId="1" odxf="1" dxf="1">
    <nc r="O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" sId="1" odxf="1" dxf="1">
    <nc r="P50">
      <v>2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" sId="1" odxf="1" dxf="1">
    <nc r="Q50">
      <v>4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" sId="1" odxf="1" dxf="1">
    <nc r="R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" sId="1" odxf="1" dxf="1">
    <nc r="S50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" sId="1">
    <nc r="J50">
      <v>0</v>
    </nc>
  </rcc>
  <rcc rId="2016" sId="1" odxf="1" dxf="1">
    <nc r="X50" t="inlineStr">
      <is>
        <t>END_POOL_BALANCE, CUM_LOSS wrongly captured</t>
      </is>
    </nc>
    <odxf/>
    <ndxf/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7" sId="2">
    <oc r="A2" t="inlineStr">
      <is>
        <t>2nd</t>
      </is>
    </oc>
    <nc r="A2" t="inlineStr">
      <is>
        <t>1st</t>
      </is>
    </nc>
  </rcc>
  <rcc rId="2018" sId="2">
    <oc r="A3" t="inlineStr">
      <is>
        <t>3rd</t>
      </is>
    </oc>
    <nc r="A3" t="inlineStr">
      <is>
        <t>2nd</t>
      </is>
    </nc>
  </rcc>
  <rcc rId="2019" sId="2">
    <oc r="A4" t="inlineStr">
      <is>
        <t>4th</t>
      </is>
    </oc>
    <nc r="A4" t="inlineStr">
      <is>
        <t>3rd</t>
      </is>
    </nc>
  </rcc>
  <rcc rId="2020" sId="2">
    <oc r="A5" t="inlineStr">
      <is>
        <t>5th</t>
      </is>
    </oc>
    <nc r="A5" t="inlineStr">
      <is>
        <t>4th</t>
      </is>
    </nc>
  </rcc>
  <rcc rId="2021" sId="2">
    <oc r="A6" t="inlineStr">
      <is>
        <t>6th</t>
      </is>
    </oc>
    <nc r="A6" t="inlineStr">
      <is>
        <t>5th</t>
      </is>
    </nc>
  </rcc>
  <rcc rId="2022" sId="2">
    <oc r="A7" t="inlineStr">
      <is>
        <t>7th</t>
      </is>
    </oc>
    <nc r="A7" t="inlineStr">
      <is>
        <t>6th</t>
      </is>
    </nc>
  </rcc>
  <rcc rId="2023" sId="2">
    <oc r="A8" t="inlineStr">
      <is>
        <t>8th</t>
      </is>
    </oc>
    <nc r="A8" t="inlineStr">
      <is>
        <t>7th</t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4" sId="2">
    <oc r="A9" t="inlineStr">
      <is>
        <t>2nd</t>
      </is>
    </oc>
    <nc r="A9" t="inlineStr">
      <is>
        <t>1st</t>
      </is>
    </nc>
  </rcc>
  <rcc rId="2025" sId="2">
    <oc r="A10" t="inlineStr">
      <is>
        <t>3rd</t>
      </is>
    </oc>
    <nc r="A10" t="inlineStr">
      <is>
        <t>2nd</t>
      </is>
    </nc>
  </rcc>
  <rcc rId="2026" sId="2">
    <oc r="A11" t="inlineStr">
      <is>
        <t>4th</t>
      </is>
    </oc>
    <nc r="A11" t="inlineStr">
      <is>
        <t>3rd</t>
      </is>
    </nc>
  </rcc>
  <rcc rId="2027" sId="2">
    <oc r="A12" t="inlineStr">
      <is>
        <t>5th</t>
      </is>
    </oc>
    <nc r="A12" t="inlineStr">
      <is>
        <t>4th</t>
      </is>
    </nc>
  </rcc>
  <rcc rId="2028" sId="2">
    <oc r="A13" t="inlineStr">
      <is>
        <t>6th</t>
      </is>
    </oc>
    <nc r="A13" t="inlineStr">
      <is>
        <t>5th</t>
      </is>
    </nc>
  </rcc>
  <rcc rId="2029" sId="2">
    <oc r="A14" t="inlineStr">
      <is>
        <t>7th</t>
      </is>
    </oc>
    <nc r="A14" t="inlineStr">
      <is>
        <t>6th</t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" sId="2">
    <oc r="A15" t="inlineStr">
      <is>
        <t>2nd</t>
      </is>
    </oc>
    <nc r="A15" t="inlineStr">
      <is>
        <t>1st</t>
      </is>
    </nc>
  </rcc>
  <rcc rId="2031" sId="2">
    <oc r="A16" t="inlineStr">
      <is>
        <t>3rd</t>
      </is>
    </oc>
    <nc r="A16" t="inlineStr">
      <is>
        <t>2nd</t>
      </is>
    </nc>
  </rcc>
  <rcc rId="2032" sId="2">
    <oc r="A17" t="inlineStr">
      <is>
        <t>4th</t>
      </is>
    </oc>
    <nc r="A17" t="inlineStr">
      <is>
        <t>3rd</t>
      </is>
    </nc>
  </rcc>
  <rcc rId="2033" sId="2">
    <oc r="A18" t="inlineStr">
      <is>
        <t>5th</t>
      </is>
    </oc>
    <nc r="A18" t="inlineStr">
      <is>
        <t>4th</t>
      </is>
    </nc>
  </rcc>
  <rcc rId="2034" sId="2">
    <oc r="A19" t="inlineStr">
      <is>
        <t>6th</t>
      </is>
    </oc>
    <nc r="A19" t="inlineStr">
      <is>
        <t>5th</t>
      </is>
    </nc>
  </rcc>
  <rcc rId="2035" sId="2">
    <oc r="A20" t="inlineStr">
      <is>
        <t>7th</t>
      </is>
    </oc>
    <nc r="A20" t="inlineStr">
      <is>
        <t>6th</t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6" sId="2">
    <oc r="A21" t="inlineStr">
      <is>
        <t>2nd</t>
      </is>
    </oc>
    <nc r="A21" t="inlineStr">
      <is>
        <t>1st</t>
      </is>
    </nc>
  </rcc>
  <rcc rId="2037" sId="2">
    <oc r="A22" t="inlineStr">
      <is>
        <t>3rd</t>
      </is>
    </oc>
    <nc r="A22" t="inlineStr">
      <is>
        <t>2nd</t>
      </is>
    </nc>
  </rcc>
  <rcc rId="2038" sId="2">
    <oc r="A23" t="inlineStr">
      <is>
        <t>4th</t>
      </is>
    </oc>
    <nc r="A23" t="inlineStr">
      <is>
        <t>3rd</t>
      </is>
    </nc>
  </rcc>
  <rcc rId="2039" sId="2">
    <oc r="A24" t="inlineStr">
      <is>
        <t>5th</t>
      </is>
    </oc>
    <nc r="A24" t="inlineStr">
      <is>
        <t>4th</t>
      </is>
    </nc>
  </rcc>
  <rcc rId="2040" sId="2">
    <oc r="A25" t="inlineStr">
      <is>
        <t>6th</t>
      </is>
    </oc>
    <nc r="A25" t="inlineStr">
      <is>
        <t>5th</t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1" sId="3">
    <oc r="C2">
      <v>8</v>
    </oc>
    <nc r="C2">
      <v>7</v>
    </nc>
  </rcc>
  <rcc rId="2042" sId="3">
    <oc r="C3">
      <v>7</v>
    </oc>
    <nc r="C3">
      <v>6</v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3" sId="2">
    <oc r="A30" t="inlineStr">
      <is>
        <t>2nd</t>
      </is>
    </oc>
    <nc r="A30" t="inlineStr">
      <is>
        <t>1st</t>
      </is>
    </nc>
  </rcc>
  <rcc rId="2044" sId="2">
    <oc r="A31" t="inlineStr">
      <is>
        <t>3rd</t>
      </is>
    </oc>
    <nc r="A31" t="inlineStr">
      <is>
        <t>2nd</t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8:XFD8" start="0" length="2147483647">
    <dxf>
      <font>
        <b val="0"/>
      </font>
    </dxf>
  </rfmt>
  <rfmt sheetId="2" sqref="A8:XFD8" start="0" length="2147483647">
    <dxf>
      <font>
        <b/>
      </font>
    </dxf>
  </rfmt>
  <rfmt sheetId="2" sqref="A14:XFD14" start="0" length="2147483647">
    <dxf>
      <font>
        <b val="0"/>
      </font>
    </dxf>
  </rfmt>
  <rfmt sheetId="2" sqref="A14:XFD14" start="0" length="2147483647">
    <dxf>
      <font>
        <b/>
      </font>
    </dxf>
  </rfmt>
  <rfmt sheetId="2" sqref="A20:XFD20" start="0" length="2147483647">
    <dxf>
      <font>
        <b val="0"/>
      </font>
    </dxf>
  </rfmt>
  <rfmt sheetId="2" sqref="A20:XFD20" start="0" length="2147483647">
    <dxf>
      <font>
        <b/>
      </font>
    </dxf>
  </rfmt>
  <rcc rId="2045" sId="3" odxf="1" dxf="1">
    <nc r="A4">
      <v>1010119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46" sId="3" odxf="1" dxf="1">
    <nc r="B4" t="inlineStr">
      <is>
        <t>Stanwich Mortgage Loan Trust Series 2020-11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A4:B4" start="0" length="2147483647">
    <dxf>
      <font>
        <b val="0"/>
      </font>
    </dxf>
  </rfmt>
  <rfmt sheetId="3" sqref="I2:I4" start="0" length="0">
    <dxf>
      <border>
        <right style="thin">
          <color indexed="64"/>
        </right>
      </border>
    </dxf>
  </rfmt>
  <rfmt sheetId="3" sqref="A4:I4" start="0" length="0">
    <dxf>
      <border>
        <bottom style="thin">
          <color indexed="64"/>
        </bottom>
      </border>
    </dxf>
  </rfmt>
  <rcc rId="2047" sId="3" odxf="1" dxf="1">
    <nc r="D4">
      <v>179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48" sId="3" odxf="1" dxf="1">
    <nc r="E4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49" sId="3" odxf="1" dxf="1" numFmtId="14">
    <nc r="F4">
      <v>0</v>
    </nc>
    <odxf>
      <font>
        <b val="0"/>
        <sz val="11"/>
        <color theme="1"/>
        <name val="Aptos Narrow"/>
        <family val="2"/>
        <scheme val="minor"/>
      </font>
      <numFmt numFmtId="0" formatCode="General"/>
    </odxf>
    <ndxf>
      <font>
        <b/>
        <sz val="11"/>
        <color theme="1"/>
        <name val="Aptos Narrow"/>
        <family val="2"/>
        <scheme val="minor"/>
      </font>
      <numFmt numFmtId="14" formatCode="0.00%"/>
    </ndxf>
  </rcc>
  <rcc rId="2050" sId="3" odxf="1" dxf="1">
    <nc r="G4">
      <v>0</v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51" sId="3" odxf="1" dxf="1" numFmtId="14">
    <nc r="H4">
      <v>0</v>
    </nc>
    <odxf>
      <font>
        <b val="0"/>
        <sz val="11"/>
        <color theme="1"/>
        <name val="Aptos Narrow"/>
        <family val="2"/>
        <scheme val="minor"/>
      </font>
      <numFmt numFmtId="0" formatCode="General"/>
    </odxf>
    <ndxf>
      <font>
        <b/>
        <sz val="11"/>
        <color theme="1"/>
        <name val="Aptos Narrow"/>
        <family val="2"/>
        <scheme val="minor"/>
      </font>
      <numFmt numFmtId="14" formatCode="0.00%"/>
    </ndxf>
  </rcc>
  <rfmt sheetId="3" sqref="D4:H4">
    <dxf>
      <alignment horizontal="left"/>
    </dxf>
  </rfmt>
  <rcc rId="2052" sId="3" odxf="1" dxf="1">
    <nc r="C4">
      <v>6</v>
    </nc>
    <odxf>
      <alignment horizontal="general" vertical="bottom"/>
    </odxf>
    <ndxf>
      <alignment horizontal="left" vertical="top"/>
    </ndxf>
  </rcc>
  <rfmt sheetId="3" sqref="A4:XFD4" start="0" length="2147483647">
    <dxf>
      <font>
        <b/>
      </font>
    </dxf>
  </rfmt>
  <rfmt sheetId="3" sqref="A4:XFD4" start="0" length="2147483647">
    <dxf>
      <font>
        <b val="0"/>
      </font>
    </dxf>
  </rfmt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3" sId="3" odxf="1" dxf="1">
    <nc r="I4" t="inlineStr">
      <is>
        <t>Data Ok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</odxf>
    <ndxf>
      <font>
        <b/>
        <sz val="11"/>
        <color theme="1"/>
        <name val="Aptos Narrow"/>
        <family val="2"/>
        <scheme val="minor"/>
      </font>
      <alignment horizontal="left" vertical="center"/>
    </ndxf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4" sId="3" odxf="1" dxf="1">
    <nc r="A5">
      <v>1012229</v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5" sId="3" odxf="1" dxf="1">
    <nc r="B5" t="inlineStr">
      <is>
        <t>MFA 2021-INV1 Trust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A5:B5" start="0" length="2147483647">
    <dxf>
      <font>
        <b val="0"/>
      </font>
    </dxf>
  </rfmt>
  <rfmt sheetId="3" sqref="I4:I5" start="0" length="0">
    <dxf>
      <border>
        <right style="thin">
          <color indexed="64"/>
        </right>
      </border>
    </dxf>
  </rfmt>
  <rfmt sheetId="3" sqref="A5:I5" start="0" length="0">
    <dxf>
      <border>
        <bottom style="thin">
          <color indexed="64"/>
        </bottom>
      </border>
    </dxf>
  </rfmt>
  <rcc rId="2056" sId="3">
    <nc r="D5">
      <v>179</v>
    </nc>
  </rcc>
  <rcc rId="2057" sId="3">
    <nc r="E5">
      <v>0</v>
    </nc>
  </rcc>
  <rcc rId="2058" sId="2">
    <oc r="E25">
      <v>0</v>
    </oc>
    <nc r="E25"/>
  </rcc>
  <rcc rId="2059" sId="2" numFmtId="14">
    <oc r="F25">
      <v>0</v>
    </oc>
    <nc r="F25"/>
  </rcc>
  <rcc rId="2060" sId="2">
    <oc r="G25">
      <v>0</v>
    </oc>
    <nc r="G25"/>
  </rcc>
  <rcc rId="2061" sId="2" numFmtId="14">
    <oc r="H25">
      <v>0</v>
    </oc>
    <nc r="H25"/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2" sId="1">
    <oc r="X25" t="inlineStr">
      <is>
        <t xml:space="preserve">NUM_LOANS_MODIFIED_CUR,AMT_LOANS_MODIFIED_CUR additional data captured.END_POOL_BALANCE,BEGIN_POOL_BALANCE,WAC_Beg not captured. </t>
      </is>
    </oc>
    <nc r="X25" t="inlineStr">
      <is>
        <t>Data Ok</t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" sId="2">
    <oc r="I25" t="inlineStr">
      <is>
        <t xml:space="preserve">NUM_LOANS_MODIFIED_CUR,AMT_LOANS_MODIFIED_CUR additional data captured.END_POOL_BALANCE,BEGIN_POOL_BALANCE,WAC_Beg not captured. </t>
      </is>
    </oc>
    <nc r="I25" t="inlineStr">
      <is>
        <t>Data Ok</t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4" sId="2">
    <nc r="E25">
      <v>0</v>
    </nc>
  </rcc>
  <rcc rId="2065" sId="2" numFmtId="14">
    <nc r="F25">
      <v>0</v>
    </nc>
  </rcc>
  <rcc rId="2066" sId="2">
    <nc r="G25">
      <v>0</v>
    </nc>
  </rcc>
  <rcc rId="2067" sId="2" numFmtId="14">
    <nc r="H25">
      <v>0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8" sId="3" odxf="1" dxf="1">
    <nc r="A6">
      <v>1006167</v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9" sId="3" odxf="1" dxf="1">
    <nc r="B6" t="inlineStr">
      <is>
        <t>Deephaven Residential Mortgage Trust 2018-1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A6:B6" start="0" length="2147483647">
    <dxf>
      <font>
        <b val="0"/>
      </font>
    </dxf>
  </rfmt>
  <rfmt sheetId="3" sqref="C5:H5">
    <dxf>
      <alignment horizontal="left"/>
    </dxf>
  </rfmt>
  <rcc rId="2070" sId="3">
    <nc r="C5">
      <v>5</v>
    </nc>
  </rcc>
  <rcc rId="2071" sId="3">
    <nc r="G5">
      <v>0</v>
    </nc>
  </rcc>
  <rcc rId="2072" sId="3" odxf="1" dxf="1" numFmtId="14">
    <nc r="F5">
      <v>0</v>
    </nc>
    <ndxf>
      <numFmt numFmtId="14" formatCode="0.00%"/>
    </ndxf>
  </rcc>
  <rcc rId="2073" sId="3" odxf="1" dxf="1" numFmtId="14">
    <nc r="H5">
      <v>0</v>
    </nc>
    <ndxf>
      <numFmt numFmtId="14" formatCode="0.00%"/>
    </ndxf>
  </rcc>
  <rcc rId="2074" sId="3" odxf="1" dxf="1">
    <nc r="I5" t="inlineStr">
      <is>
        <t>Data Ok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</odxf>
    <ndxf>
      <font>
        <b/>
        <sz val="11"/>
        <color theme="1"/>
        <name val="Aptos Narrow"/>
        <family val="2"/>
        <scheme val="minor"/>
      </font>
      <alignment horizontal="left" vertical="center"/>
    </ndxf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I6" start="0" length="0">
    <dxf>
      <border>
        <right style="thin">
          <color indexed="64"/>
        </right>
      </border>
    </dxf>
  </rfmt>
  <rfmt sheetId="3" sqref="C6:I6" start="0" length="0">
    <dxf>
      <border>
        <bottom style="thin">
          <color indexed="64"/>
        </bottom>
      </border>
    </dxf>
  </rfmt>
  <rfmt sheetId="3" sqref="C6:I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" sId="3" odxf="1" dxf="1">
    <nc r="I6" t="inlineStr">
      <is>
        <t>ACCRETION wrong map for Class A-IO-S (1st round data is OK, 2nd &amp; 3rd round data wrong), SCHEDULED_PRINCIPAL wrong map for Class A-IO-S (1st &amp; 2nd round data is OK but 3rd round wrong map); PRINCIPAL_PAYMENTS_UNSCHEDULED wrong map for Class A-IO-S (1st &amp; 2nd round data is OK but 3rd round wrong map)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</odxf>
    <ndxf>
      <font>
        <b/>
        <sz val="11"/>
        <color theme="1"/>
        <name val="Aptos Narrow"/>
        <family val="2"/>
        <scheme val="minor"/>
      </font>
      <alignment horizontal="left" vertical="center"/>
    </ndxf>
  </rcc>
  <rcc rId="2076" sId="3" odxf="1" dxf="1">
    <nc r="D6">
      <v>179</v>
    </nc>
    <odxf>
      <alignment horizontal="general" vertical="bottom"/>
    </odxf>
    <ndxf>
      <alignment horizontal="left" vertical="top"/>
    </ndxf>
  </rcc>
  <rcc rId="2077" sId="3" odxf="1" dxf="1">
    <nc r="E6">
      <v>0</v>
    </nc>
    <odxf>
      <alignment horizontal="general" vertical="bottom"/>
    </odxf>
    <ndxf>
      <alignment horizontal="left" vertical="top"/>
    </ndxf>
  </rcc>
  <rcc rId="2078" sId="3" odxf="1" dxf="1" numFmtId="14">
    <nc r="F6">
      <v>0</v>
    </nc>
    <odxf>
      <numFmt numFmtId="0" formatCode="General"/>
      <alignment horizontal="general" vertical="bottom"/>
    </odxf>
    <ndxf>
      <numFmt numFmtId="14" formatCode="0.00%"/>
      <alignment horizontal="left" vertical="top"/>
    </ndxf>
  </rcc>
  <rcc rId="2079" sId="3">
    <nc r="G6">
      <v>3</v>
    </nc>
  </rcc>
  <rcc rId="2080" sId="3">
    <nc r="H6">
      <v>1.7142857142857144E-2</v>
    </nc>
  </rcc>
  <rfmt sheetId="3" sqref="G6:H6">
    <dxf>
      <alignment horizontal="center"/>
    </dxf>
  </rfmt>
  <rfmt sheetId="3" sqref="G6:H6">
    <dxf>
      <alignment horizontal="left"/>
    </dxf>
  </rfmt>
  <rfmt sheetId="3" sqref="H6">
    <dxf>
      <numFmt numFmtId="13" formatCode="0%"/>
    </dxf>
  </rfmt>
  <rfmt sheetId="3" sqref="H6">
    <dxf>
      <numFmt numFmtId="164" formatCode="0.0%"/>
    </dxf>
  </rfmt>
  <rfmt sheetId="3" sqref="H6">
    <dxf>
      <numFmt numFmtId="14" formatCode="0.00%"/>
    </dxf>
  </rfmt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" sId="3">
    <nc r="C6">
      <v>4</v>
    </nc>
  </rcc>
  <rfmt sheetId="3" sqref="C6">
    <dxf>
      <alignment horizontal="left"/>
    </dxf>
  </rfmt>
  <rfmt sheetId="3" sqref="A1:XFD1048576">
    <dxf>
      <alignment horizontal="left"/>
    </dxf>
  </rfmt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2" sId="1">
    <oc r="U9">
      <v>3</v>
    </oc>
    <nc r="U9">
      <v>5</v>
    </nc>
  </rcc>
  <rcc rId="2083" sId="1">
    <oc r="U10">
      <v>3</v>
    </oc>
    <nc r="U10">
      <v>5</v>
    </nc>
  </rcc>
  <rcc rId="2084" sId="1">
    <oc r="U11">
      <v>3</v>
    </oc>
    <nc r="U11">
      <v>5</v>
    </nc>
  </rcc>
  <rcc rId="2085" sId="1">
    <oc r="U12">
      <v>3</v>
    </oc>
    <nc r="U12">
      <v>5</v>
    </nc>
  </rcc>
  <rcc rId="2086" sId="1">
    <oc r="U13">
      <v>3</v>
    </oc>
    <nc r="U13">
      <v>5</v>
    </nc>
  </rcc>
  <rcc rId="2087" sId="1">
    <oc r="U14">
      <v>3</v>
    </oc>
    <nc r="U14">
      <v>5</v>
    </nc>
  </rcc>
  <rcc rId="2088" sId="1">
    <oc r="U15">
      <v>3</v>
    </oc>
    <nc r="U15">
      <v>5</v>
    </nc>
  </rcc>
  <rcc rId="2089" sId="1">
    <oc r="U16">
      <v>3</v>
    </oc>
    <nc r="U16">
      <v>5</v>
    </nc>
  </rcc>
  <rcc rId="2090" sId="1">
    <oc r="U17">
      <v>3</v>
    </oc>
    <nc r="U17">
      <v>5</v>
    </nc>
  </rcc>
  <rcc rId="2091" sId="1">
    <oc r="U18">
      <v>3</v>
    </oc>
    <nc r="U18">
      <v>5</v>
    </nc>
  </rcc>
  <rcc rId="2092" sId="1">
    <oc r="U19">
      <v>3</v>
    </oc>
    <nc r="U19">
      <v>5</v>
    </nc>
  </rcc>
  <rcc rId="2093" sId="1">
    <oc r="U20">
      <v>3</v>
    </oc>
    <nc r="U20">
      <v>5</v>
    </nc>
  </rcc>
  <rcc rId="2094" sId="1">
    <oc r="U21">
      <v>3</v>
    </oc>
    <nc r="U21">
      <v>5</v>
    </nc>
  </rcc>
  <rcc rId="2095" sId="1">
    <oc r="U22">
      <v>3</v>
    </oc>
    <nc r="U22">
      <v>5</v>
    </nc>
  </rcc>
  <rcc rId="2096" sId="1">
    <oc r="U23">
      <v>3</v>
    </oc>
    <nc r="U23">
      <v>5</v>
    </nc>
  </rcc>
  <rcc rId="2097" sId="1">
    <oc r="U24">
      <v>3</v>
    </oc>
    <nc r="U24">
      <v>5</v>
    </nc>
  </rcc>
  <rcc rId="2098" sId="1" odxf="1" dxf="1">
    <oc r="U25">
      <v>3</v>
    </oc>
    <nc r="U25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099" sId="1">
    <oc r="U26">
      <v>3</v>
    </oc>
    <nc r="U26">
      <v>5</v>
    </nc>
  </rcc>
  <rcc rId="2100" sId="1">
    <oc r="U27">
      <v>3</v>
    </oc>
    <nc r="U27">
      <v>5</v>
    </nc>
  </rcc>
  <rcc rId="2101" sId="1">
    <oc r="U28">
      <v>3</v>
    </oc>
    <nc r="U28">
      <v>5</v>
    </nc>
  </rcc>
  <rcc rId="2102" sId="1">
    <oc r="U29">
      <v>3</v>
    </oc>
    <nc r="U29">
      <v>5</v>
    </nc>
  </rcc>
  <rcc rId="2103" sId="1" odxf="1" dxf="1">
    <oc r="U49">
      <v>3</v>
    </oc>
    <nc r="U49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04" sId="1" odxf="1" dxf="1">
    <oc r="U52">
      <v>3</v>
    </oc>
    <nc r="U52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05" sId="1" odxf="1" dxf="1">
    <oc r="U53">
      <v>3</v>
    </oc>
    <nc r="U53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06" sId="1">
    <nc r="Q28">
      <v>4</v>
    </nc>
  </rcc>
  <rcc rId="2107" sId="1" odxf="1" dxf="1">
    <nc r="Q49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08" sId="1" odxf="1" dxf="1">
    <nc r="Q52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09" sId="1" odxf="1" dxf="1">
    <nc r="Q53">
      <v>4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10" sId="1">
    <nc r="P28">
      <v>0</v>
    </nc>
  </rcc>
  <rcc rId="2111" sId="1">
    <nc r="R28">
      <v>0</v>
    </nc>
  </rcc>
  <rcc rId="2112" sId="1">
    <nc r="S28">
      <v>0</v>
    </nc>
  </rcc>
  <rcc rId="2113" sId="1">
    <nc r="P49">
      <v>0</v>
    </nc>
  </rcc>
  <rcc rId="2114" sId="1">
    <nc r="R49">
      <v>0</v>
    </nc>
  </rcc>
  <rcc rId="2115" sId="1">
    <nc r="S49">
      <v>0</v>
    </nc>
  </rcc>
  <rcc rId="2116" sId="1">
    <nc r="P52">
      <v>0</v>
    </nc>
  </rcc>
  <rcc rId="2117" sId="1">
    <nc r="P53">
      <v>0</v>
    </nc>
  </rcc>
  <rcc rId="2118" sId="1">
    <nc r="R52">
      <v>0</v>
    </nc>
  </rcc>
  <rcc rId="2119" sId="1">
    <nc r="S52">
      <v>0</v>
    </nc>
  </rcc>
  <rcc rId="2120" sId="1">
    <nc r="R53">
      <v>0</v>
    </nc>
  </rcc>
  <rcc rId="2121" sId="1">
    <nc r="S53">
      <v>0</v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2" sId="2">
    <oc r="D2">
      <v>181</v>
    </oc>
    <nc r="D2">
      <f>VLOOKUP(B:B,Log!B:AA,26,0)</f>
    </nc>
  </rcc>
  <rcc rId="2123" sId="2">
    <oc r="D3">
      <v>181</v>
    </oc>
    <nc r="D3">
      <f>VLOOKUP(B:B,Log!B:AA,26,0)</f>
    </nc>
  </rcc>
  <rcc rId="2124" sId="2">
    <oc r="D4">
      <v>181</v>
    </oc>
    <nc r="D4">
      <f>VLOOKUP(B:B,Log!B:AA,26,0)</f>
    </nc>
  </rcc>
  <rcc rId="2125" sId="2">
    <oc r="D5">
      <v>181</v>
    </oc>
    <nc r="D5">
      <f>VLOOKUP(B:B,Log!B:AA,26,0)</f>
    </nc>
  </rcc>
  <rcc rId="2126" sId="2">
    <oc r="D6">
      <v>181</v>
    </oc>
    <nc r="D6">
      <f>VLOOKUP(B:B,Log!B:AA,26,0)</f>
    </nc>
  </rcc>
  <rcc rId="2127" sId="2">
    <oc r="D7">
      <v>181</v>
    </oc>
    <nc r="D7">
      <f>VLOOKUP(B:B,Log!B:AA,26,0)</f>
    </nc>
  </rcc>
  <rcc rId="2128" sId="2" odxf="1" dxf="1">
    <oc r="D8">
      <v>181</v>
    </oc>
    <nc r="D8">
      <f>VLOOKUP(B:B,Log!B:AA,26,0)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29" sId="2">
    <oc r="D9">
      <v>179</v>
    </oc>
    <nc r="D9">
      <f>VLOOKUP(B:B,Log!B:AA,26,0)</f>
    </nc>
  </rcc>
  <rcc rId="2130" sId="2">
    <oc r="D10">
      <v>179</v>
    </oc>
    <nc r="D10">
      <f>VLOOKUP(B:B,Log!B:AA,26,0)</f>
    </nc>
  </rcc>
  <rcc rId="2131" sId="2">
    <oc r="D11">
      <v>179</v>
    </oc>
    <nc r="D11">
      <f>VLOOKUP(B:B,Log!B:AA,26,0)</f>
    </nc>
  </rcc>
  <rcc rId="2132" sId="2">
    <oc r="D12">
      <v>179</v>
    </oc>
    <nc r="D12">
      <f>VLOOKUP(B:B,Log!B:AA,26,0)</f>
    </nc>
  </rcc>
  <rcc rId="2133" sId="2">
    <oc r="D13">
      <v>179</v>
    </oc>
    <nc r="D13">
      <f>VLOOKUP(B:B,Log!B:AA,26,0)</f>
    </nc>
  </rcc>
  <rcc rId="2134" sId="2" odxf="1" dxf="1">
    <oc r="D14">
      <v>179</v>
    </oc>
    <nc r="D14">
      <f>VLOOKUP(B:B,Log!B:AA,26,0)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35" sId="2">
    <oc r="D15">
      <v>179</v>
    </oc>
    <nc r="D15">
      <f>VLOOKUP(B:B,Log!B:AA,26,0)</f>
    </nc>
  </rcc>
  <rcc rId="2136" sId="2">
    <oc r="D16">
      <v>179</v>
    </oc>
    <nc r="D16">
      <f>VLOOKUP(B:B,Log!B:AA,26,0)</f>
    </nc>
  </rcc>
  <rcc rId="2137" sId="2">
    <oc r="D17">
      <v>179</v>
    </oc>
    <nc r="D17">
      <f>VLOOKUP(B:B,Log!B:AA,26,0)</f>
    </nc>
  </rcc>
  <rcc rId="2138" sId="2">
    <oc r="D18">
      <v>179</v>
    </oc>
    <nc r="D18">
      <f>VLOOKUP(B:B,Log!B:AA,26,0)</f>
    </nc>
  </rcc>
  <rcc rId="2139" sId="2">
    <oc r="D19">
      <v>179</v>
    </oc>
    <nc r="D19">
      <f>VLOOKUP(B:B,Log!B:AA,26,0)</f>
    </nc>
  </rcc>
  <rcc rId="2140" sId="2" odxf="1" dxf="1">
    <oc r="D20">
      <v>179</v>
    </oc>
    <nc r="D20">
      <f>VLOOKUP(B:B,Log!B:AA,26,0)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41" sId="2">
    <oc r="D21">
      <v>179</v>
    </oc>
    <nc r="D21">
      <f>VLOOKUP(B:B,Log!B:AA,26,0)</f>
    </nc>
  </rcc>
  <rcc rId="2142" sId="2">
    <oc r="D22">
      <v>179</v>
    </oc>
    <nc r="D22">
      <f>VLOOKUP(B:B,Log!B:AA,26,0)</f>
    </nc>
  </rcc>
  <rcc rId="2143" sId="2">
    <oc r="D23">
      <v>179</v>
    </oc>
    <nc r="D23">
      <f>VLOOKUP(B:B,Log!B:AA,26,0)</f>
    </nc>
  </rcc>
  <rcc rId="2144" sId="2">
    <oc r="D24">
      <v>179</v>
    </oc>
    <nc r="D24">
      <f>VLOOKUP(B:B,Log!B:AA,26,0)</f>
    </nc>
  </rcc>
  <rcc rId="2145" sId="2">
    <oc r="D25">
      <v>179</v>
    </oc>
    <nc r="D25">
      <f>VLOOKUP(B:B,Log!B:AA,26,0)</f>
    </nc>
  </rcc>
  <rcc rId="2146" sId="2">
    <oc r="D26">
      <v>175</v>
    </oc>
    <nc r="D26">
      <f>VLOOKUP(B:B,Log!B:AA,26,0)</f>
    </nc>
  </rcc>
  <rcc rId="2147" sId="2">
    <oc r="D27">
      <v>175</v>
    </oc>
    <nc r="D27">
      <f>VLOOKUP(B:B,Log!B:AA,26,0)</f>
    </nc>
  </rcc>
  <rcc rId="2148" sId="2">
    <oc r="D28">
      <v>175</v>
    </oc>
    <nc r="D28">
      <f>VLOOKUP(B:B,Log!B:AA,26,0)</f>
    </nc>
  </rcc>
  <rcc rId="2149" sId="2">
    <oc r="D29">
      <v>175</v>
    </oc>
    <nc r="D29">
      <f>VLOOKUP(B:B,Log!B:AA,26,0)</f>
    </nc>
  </rcc>
  <rcc rId="2150" sId="2">
    <oc r="D30">
      <v>176</v>
    </oc>
    <nc r="D30">
      <f>VLOOKUP(B:B,Log!B:AA,26,0)</f>
    </nc>
  </rcc>
  <rcc rId="2151" sId="2" odxf="1" dxf="1">
    <oc r="D31">
      <v>176</v>
    </oc>
    <nc r="D31">
      <f>VLOOKUP(B:B,Log!B:AA,26,0)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152" sId="2">
    <oc r="D32">
      <v>179</v>
    </oc>
    <nc r="D32">
      <f>VLOOKUP(B:B,Log!B:AA,26,0)</f>
    </nc>
  </rcc>
  <rcc rId="2153" sId="2">
    <oc r="D33">
      <v>179</v>
    </oc>
    <nc r="D33">
      <f>VLOOKUP(B:B,Log!B:AA,26,0)</f>
    </nc>
  </rcc>
  <rcc rId="2154" sId="2">
    <oc r="D34">
      <v>179</v>
    </oc>
    <nc r="D34">
      <f>VLOOKUP(B:B,Log!B:AA,26,0)</f>
    </nc>
  </rcc>
  <rcc rId="2155" sId="2">
    <oc r="D35">
      <v>168</v>
    </oc>
    <nc r="D35">
      <f>VLOOKUP(B:B,Log!B:AA,26,0)</f>
    </nc>
  </rcc>
  <rcc rId="2156" sId="2">
    <oc r="D36">
      <v>168</v>
    </oc>
    <nc r="D36">
      <f>VLOOKUP(B:B,Log!B:AA,26,0)</f>
    </nc>
  </rcc>
  <rcc rId="2157" sId="2">
    <oc r="D37">
      <v>168</v>
    </oc>
    <nc r="D37">
      <f>VLOOKUP(B:B,Log!B:AA,26,0)</f>
    </nc>
  </rcc>
  <rcc rId="2158" sId="2">
    <oc r="D38">
      <v>172</v>
    </oc>
    <nc r="D38">
      <f>VLOOKUP(B:B,Log!B:AA,26,0)</f>
    </nc>
  </rcc>
  <rcc rId="2159" sId="2">
    <oc r="D39">
      <v>168</v>
    </oc>
    <nc r="D39">
      <f>VLOOKUP(B:B,Log!B:AA,26,0)</f>
    </nc>
  </rcc>
  <rcc rId="2160" sId="2">
    <oc r="D40">
      <v>168</v>
    </oc>
    <nc r="D40">
      <f>VLOOKUP(B:B,Log!B:AA,26,0)</f>
    </nc>
  </rcc>
  <rcc rId="2161" sId="2">
    <oc r="D41">
      <v>168</v>
    </oc>
    <nc r="D41">
      <f>VLOOKUP(B:B,Log!B:AA,26,0)</f>
    </nc>
  </rcc>
  <rcc rId="2162" sId="2">
    <oc r="D42">
      <v>168</v>
    </oc>
    <nc r="D42">
      <f>VLOOKUP(B:B,Log!B:AA,26,0)</f>
    </nc>
  </rcc>
  <rcc rId="2163" sId="2">
    <oc r="D43">
      <v>172</v>
    </oc>
    <nc r="D43">
      <f>VLOOKUP(B:B,Log!B:AA,26,0)</f>
    </nc>
  </rcc>
  <rcc rId="2164" sId="2">
    <oc r="D44">
      <v>172</v>
    </oc>
    <nc r="D44">
      <f>VLOOKUP(B:B,Log!B:AA,26,0)</f>
    </nc>
  </rcc>
  <rcc rId="2165" sId="2">
    <oc r="D45">
      <v>168</v>
    </oc>
    <nc r="D45">
      <f>VLOOKUP(B:B,Log!B:AA,26,0)</f>
    </nc>
  </rcc>
  <rcc rId="2166" sId="2">
    <oc r="D46">
      <v>168</v>
    </oc>
    <nc r="D46">
      <f>VLOOKUP(B:B,Log!B:AA,26,0)</f>
    </nc>
  </rcc>
  <rcc rId="2167" sId="2">
    <oc r="D47">
      <v>172</v>
    </oc>
    <nc r="D47">
      <f>VLOOKUP(B:B,Log!B:AA,26,0)</f>
    </nc>
  </rcc>
  <rcc rId="2168" sId="2">
    <oc r="D48">
      <v>21</v>
    </oc>
    <nc r="D48">
      <f>VLOOKUP(B:B,Log!B:AA,26,0)</f>
    </nc>
  </rcc>
  <rcc rId="2169" sId="2">
    <oc r="D49">
      <v>172</v>
    </oc>
    <nc r="D49">
      <f>VLOOKUP(B:B,Log!B:AA,26,0)</f>
    </nc>
  </rcc>
  <rcc rId="2170" sId="2">
    <oc r="D50">
      <v>168</v>
    </oc>
    <nc r="D50">
      <f>VLOOKUP(B:B,Log!B:AA,26,0)</f>
    </nc>
  </rcc>
  <rcc rId="2171" sId="2">
    <oc r="D51">
      <v>168</v>
    </oc>
    <nc r="D51">
      <f>VLOOKUP(B:B,Log!B:AA,26,0)</f>
    </nc>
  </rcc>
  <rcc rId="2172" sId="2">
    <oc r="D52">
      <v>172</v>
    </oc>
    <nc r="D52">
      <f>VLOOKUP(B:B,Log!B:AA,26,0)</f>
    </nc>
  </rcc>
  <rcc rId="2173" sId="2">
    <oc r="D53">
      <v>172</v>
    </oc>
    <nc r="D53">
      <f>VLOOKUP(B:B,Log!B:AA,26,0)</f>
    </nc>
  </rcc>
  <rcc rId="2174" sId="2">
    <oc r="D2">
      <f>VLOOKUP(B:B,Log!B:AA,26,0)</f>
    </oc>
    <nc r="D2">
      <v>181</v>
    </nc>
  </rcc>
  <rcc rId="2175" sId="2">
    <oc r="D3">
      <f>VLOOKUP(B:B,Log!B:AA,26,0)</f>
    </oc>
    <nc r="D3">
      <v>181</v>
    </nc>
  </rcc>
  <rcc rId="2176" sId="2">
    <oc r="D4">
      <f>VLOOKUP(B:B,Log!B:AA,26,0)</f>
    </oc>
    <nc r="D4">
      <v>181</v>
    </nc>
  </rcc>
  <rcc rId="2177" sId="2">
    <oc r="D5">
      <f>VLOOKUP(B:B,Log!B:AA,26,0)</f>
    </oc>
    <nc r="D5">
      <v>181</v>
    </nc>
  </rcc>
  <rcc rId="2178" sId="2">
    <oc r="D6">
      <f>VLOOKUP(B:B,Log!B:AA,26,0)</f>
    </oc>
    <nc r="D6">
      <v>181</v>
    </nc>
  </rcc>
  <rcc rId="2179" sId="2">
    <oc r="D7">
      <f>VLOOKUP(B:B,Log!B:AA,26,0)</f>
    </oc>
    <nc r="D7">
      <v>181</v>
    </nc>
  </rcc>
  <rcc rId="2180" sId="2">
    <oc r="D8">
      <f>VLOOKUP(B:B,Log!B:AA,26,0)</f>
    </oc>
    <nc r="D8">
      <v>181</v>
    </nc>
  </rcc>
  <rcc rId="2181" sId="2">
    <oc r="D9">
      <f>VLOOKUP(B:B,Log!B:AA,26,0)</f>
    </oc>
    <nc r="D9">
      <v>181</v>
    </nc>
  </rcc>
  <rcc rId="2182" sId="2">
    <oc r="D10">
      <f>VLOOKUP(B:B,Log!B:AA,26,0)</f>
    </oc>
    <nc r="D10">
      <v>181</v>
    </nc>
  </rcc>
  <rcc rId="2183" sId="2">
    <oc r="D11">
      <f>VLOOKUP(B:B,Log!B:AA,26,0)</f>
    </oc>
    <nc r="D11">
      <v>181</v>
    </nc>
  </rcc>
  <rcc rId="2184" sId="2">
    <oc r="D12">
      <f>VLOOKUP(B:B,Log!B:AA,26,0)</f>
    </oc>
    <nc r="D12">
      <v>181</v>
    </nc>
  </rcc>
  <rcc rId="2185" sId="2">
    <oc r="D13">
      <f>VLOOKUP(B:B,Log!B:AA,26,0)</f>
    </oc>
    <nc r="D13">
      <v>181</v>
    </nc>
  </rcc>
  <rcc rId="2186" sId="2">
    <oc r="D14">
      <f>VLOOKUP(B:B,Log!B:AA,26,0)</f>
    </oc>
    <nc r="D14">
      <v>181</v>
    </nc>
  </rcc>
  <rcc rId="2187" sId="2">
    <oc r="D15">
      <f>VLOOKUP(B:B,Log!B:AA,26,0)</f>
    </oc>
    <nc r="D15">
      <v>181</v>
    </nc>
  </rcc>
  <rcc rId="2188" sId="2">
    <oc r="D16">
      <f>VLOOKUP(B:B,Log!B:AA,26,0)</f>
    </oc>
    <nc r="D16">
      <v>181</v>
    </nc>
  </rcc>
  <rcc rId="2189" sId="2">
    <oc r="D17">
      <f>VLOOKUP(B:B,Log!B:AA,26,0)</f>
    </oc>
    <nc r="D17">
      <v>181</v>
    </nc>
  </rcc>
  <rcc rId="2190" sId="2">
    <oc r="D18">
      <f>VLOOKUP(B:B,Log!B:AA,26,0)</f>
    </oc>
    <nc r="D18">
      <v>181</v>
    </nc>
  </rcc>
  <rcc rId="2191" sId="2">
    <oc r="D19">
      <f>VLOOKUP(B:B,Log!B:AA,26,0)</f>
    </oc>
    <nc r="D19">
      <v>181</v>
    </nc>
  </rcc>
  <rcc rId="2192" sId="2">
    <oc r="D20">
      <f>VLOOKUP(B:B,Log!B:AA,26,0)</f>
    </oc>
    <nc r="D20">
      <v>181</v>
    </nc>
  </rcc>
  <rcc rId="2193" sId="2">
    <oc r="D21">
      <f>VLOOKUP(B:B,Log!B:AA,26,0)</f>
    </oc>
    <nc r="D21">
      <v>181</v>
    </nc>
  </rcc>
  <rcc rId="2194" sId="2">
    <oc r="D22">
      <f>VLOOKUP(B:B,Log!B:AA,26,0)</f>
    </oc>
    <nc r="D22">
      <v>181</v>
    </nc>
  </rcc>
  <rcc rId="2195" sId="2">
    <oc r="D23">
      <f>VLOOKUP(B:B,Log!B:AA,26,0)</f>
    </oc>
    <nc r="D23">
      <v>181</v>
    </nc>
  </rcc>
  <rcc rId="2196" sId="2">
    <oc r="D24">
      <f>VLOOKUP(B:B,Log!B:AA,26,0)</f>
    </oc>
    <nc r="D24">
      <v>181</v>
    </nc>
  </rcc>
  <rcc rId="2197" sId="2">
    <oc r="D25">
      <f>VLOOKUP(B:B,Log!B:AA,26,0)</f>
    </oc>
    <nc r="D25">
      <v>181</v>
    </nc>
  </rcc>
  <rcc rId="2198" sId="2">
    <oc r="D26">
      <f>VLOOKUP(B:B,Log!B:AA,26,0)</f>
    </oc>
    <nc r="D26">
      <v>181</v>
    </nc>
  </rcc>
  <rcc rId="2199" sId="2">
    <oc r="D27">
      <f>VLOOKUP(B:B,Log!B:AA,26,0)</f>
    </oc>
    <nc r="D27">
      <v>181</v>
    </nc>
  </rcc>
  <rcc rId="2200" sId="2">
    <oc r="D28">
      <f>VLOOKUP(B:B,Log!B:AA,26,0)</f>
    </oc>
    <nc r="D28">
      <v>181</v>
    </nc>
  </rcc>
  <rcc rId="2201" sId="2">
    <oc r="D29">
      <f>VLOOKUP(B:B,Log!B:AA,26,0)</f>
    </oc>
    <nc r="D29">
      <v>181</v>
    </nc>
  </rcc>
  <rcc rId="2202" sId="2">
    <oc r="D30">
      <f>VLOOKUP(B:B,Log!B:AA,26,0)</f>
    </oc>
    <nc r="D30">
      <v>176</v>
    </nc>
  </rcc>
  <rcc rId="2203" sId="2">
    <oc r="D31">
      <f>VLOOKUP(B:B,Log!B:AA,26,0)</f>
    </oc>
    <nc r="D31">
      <v>176</v>
    </nc>
  </rcc>
  <rcc rId="2204" sId="2">
    <oc r="D32">
      <f>VLOOKUP(B:B,Log!B:AA,26,0)</f>
    </oc>
    <nc r="D32">
      <v>181</v>
    </nc>
  </rcc>
  <rcc rId="2205" sId="2">
    <oc r="D33">
      <f>VLOOKUP(B:B,Log!B:AA,26,0)</f>
    </oc>
    <nc r="D33">
      <v>181</v>
    </nc>
  </rcc>
  <rcc rId="2206" sId="2">
    <oc r="D34">
      <f>VLOOKUP(B:B,Log!B:AA,26,0)</f>
    </oc>
    <nc r="D34">
      <v>181</v>
    </nc>
  </rcc>
  <rcc rId="2207" sId="2">
    <oc r="D35">
      <f>VLOOKUP(B:B,Log!B:AA,26,0)</f>
    </oc>
    <nc r="D35">
      <v>168</v>
    </nc>
  </rcc>
  <rcc rId="2208" sId="2">
    <oc r="D36">
      <f>VLOOKUP(B:B,Log!B:AA,26,0)</f>
    </oc>
    <nc r="D36">
      <v>168</v>
    </nc>
  </rcc>
  <rcc rId="2209" sId="2">
    <oc r="D37">
      <f>VLOOKUP(B:B,Log!B:AA,26,0)</f>
    </oc>
    <nc r="D37">
      <v>168</v>
    </nc>
  </rcc>
  <rcc rId="2210" sId="2">
    <oc r="D38">
      <f>VLOOKUP(B:B,Log!B:AA,26,0)</f>
    </oc>
    <nc r="D38">
      <v>172</v>
    </nc>
  </rcc>
  <rcc rId="2211" sId="2">
    <oc r="D39">
      <f>VLOOKUP(B:B,Log!B:AA,26,0)</f>
    </oc>
    <nc r="D39">
      <v>168</v>
    </nc>
  </rcc>
  <rcc rId="2212" sId="2">
    <oc r="D40">
      <f>VLOOKUP(B:B,Log!B:AA,26,0)</f>
    </oc>
    <nc r="D40">
      <v>168</v>
    </nc>
  </rcc>
  <rcc rId="2213" sId="2">
    <oc r="D41">
      <f>VLOOKUP(B:B,Log!B:AA,26,0)</f>
    </oc>
    <nc r="D41">
      <v>168</v>
    </nc>
  </rcc>
  <rcc rId="2214" sId="2">
    <oc r="D42">
      <f>VLOOKUP(B:B,Log!B:AA,26,0)</f>
    </oc>
    <nc r="D42">
      <v>168</v>
    </nc>
  </rcc>
  <rcc rId="2215" sId="2">
    <oc r="D43">
      <f>VLOOKUP(B:B,Log!B:AA,26,0)</f>
    </oc>
    <nc r="D43">
      <v>172</v>
    </nc>
  </rcc>
  <rcc rId="2216" sId="2">
    <oc r="D44">
      <f>VLOOKUP(B:B,Log!B:AA,26,0)</f>
    </oc>
    <nc r="D44">
      <v>172</v>
    </nc>
  </rcc>
  <rcc rId="2217" sId="2">
    <oc r="D45">
      <f>VLOOKUP(B:B,Log!B:AA,26,0)</f>
    </oc>
    <nc r="D45">
      <v>168</v>
    </nc>
  </rcc>
  <rcc rId="2218" sId="2">
    <oc r="D46">
      <f>VLOOKUP(B:B,Log!B:AA,26,0)</f>
    </oc>
    <nc r="D46">
      <v>168</v>
    </nc>
  </rcc>
  <rcc rId="2219" sId="2">
    <oc r="D47">
      <f>VLOOKUP(B:B,Log!B:AA,26,0)</f>
    </oc>
    <nc r="D47">
      <v>172</v>
    </nc>
  </rcc>
  <rcc rId="2220" sId="2">
    <oc r="D48">
      <f>VLOOKUP(B:B,Log!B:AA,26,0)</f>
    </oc>
    <nc r="D48">
      <v>21</v>
    </nc>
  </rcc>
  <rcc rId="2221" sId="2">
    <oc r="D49">
      <f>VLOOKUP(B:B,Log!B:AA,26,0)</f>
    </oc>
    <nc r="D49">
      <v>172</v>
    </nc>
  </rcc>
  <rcc rId="2222" sId="2">
    <oc r="D50">
      <f>VLOOKUP(B:B,Log!B:AA,26,0)</f>
    </oc>
    <nc r="D50">
      <v>168</v>
    </nc>
  </rcc>
  <rcc rId="2223" sId="2">
    <oc r="D51">
      <f>VLOOKUP(B:B,Log!B:AA,26,0)</f>
    </oc>
    <nc r="D51">
      <v>168</v>
    </nc>
  </rcc>
  <rcc rId="2224" sId="2">
    <oc r="D52">
      <f>VLOOKUP(B:B,Log!B:AA,26,0)</f>
    </oc>
    <nc r="D52">
      <v>172</v>
    </nc>
  </rcc>
  <rcc rId="2225" sId="2">
    <oc r="D53">
      <f>VLOOKUP(B:B,Log!B:AA,26,0)</f>
    </oc>
    <nc r="D53">
      <v>172</v>
    </nc>
  </rcc>
  <rcv guid="{1EE62E9F-0698-46CF-BB3C-23E1EBAB6664}" action="delete"/>
  <rdn rId="0" localSheetId="1" customView="1" name="Z_1EE62E9F_0698_46CF_BB3C_23E1EBAB6664_.wvu.FilterData" hidden="1" oldHidden="1">
    <formula>Log!$A$1:$Z$53</formula>
    <oldFormula>Log!$A$1:$Z$53</oldFormula>
  </rdn>
  <rdn rId="0" localSheetId="2" customView="1" name="Z_1EE62E9F_0698_46CF_BB3C_23E1EBAB6664_.wvu.FilterData" hidden="1" oldHidden="1">
    <formula>Overview!$A$1:$J$53</formula>
    <oldFormula>Overview!$A$1:$J$53</oldFormula>
  </rdn>
  <rcv guid="{1EE62E9F-0698-46CF-BB3C-23E1EBAB6664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8" sId="3">
    <oc r="D3">
      <v>179</v>
    </oc>
    <nc r="D3">
      <v>181</v>
    </nc>
  </rcc>
  <rcc rId="2229" sId="3">
    <oc r="D4">
      <v>179</v>
    </oc>
    <nc r="D4">
      <v>181</v>
    </nc>
  </rcc>
  <rcc rId="2230" sId="3">
    <oc r="D5">
      <v>179</v>
    </oc>
    <nc r="D5">
      <v>181</v>
    </nc>
  </rcc>
  <rcc rId="2231" sId="3">
    <oc r="D6">
      <v>179</v>
    </oc>
    <nc r="D6">
      <v>181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2" sId="1">
    <nc r="Q30">
      <v>4</v>
    </nc>
  </rcc>
  <rcc rId="2233" sId="1">
    <nc r="Q31">
      <v>4</v>
    </nc>
  </rcc>
  <rcc rId="2234" sId="1">
    <nc r="Q32">
      <v>4</v>
    </nc>
  </rcc>
  <rcc rId="2235" sId="1">
    <nc r="Q33">
      <v>4</v>
    </nc>
  </rcc>
  <rcc rId="2236" sId="1">
    <nc r="Q34">
      <v>4</v>
    </nc>
  </rcc>
  <rcc rId="2237" sId="1">
    <nc r="Q35">
      <v>4</v>
    </nc>
  </rcc>
  <rcc rId="2238" sId="1">
    <nc r="Q36">
      <v>4</v>
    </nc>
  </rcc>
  <rcc rId="2239" sId="1">
    <nc r="Q37">
      <v>4</v>
    </nc>
  </rcc>
  <rcc rId="2240" sId="1">
    <nc r="Q38">
      <v>4</v>
    </nc>
  </rcc>
  <rcc rId="2241" sId="1">
    <nc r="Q39">
      <v>4</v>
    </nc>
  </rcc>
  <rcc rId="2242" sId="1">
    <nc r="Q40">
      <v>4</v>
    </nc>
  </rcc>
  <rcc rId="2243" sId="1">
    <nc r="Q41">
      <v>4</v>
    </nc>
  </rcc>
  <rcc rId="2244" sId="1">
    <nc r="Q42">
      <v>4</v>
    </nc>
  </rcc>
  <rcc rId="2245" sId="1">
    <nc r="Q43">
      <v>4</v>
    </nc>
  </rcc>
  <rcc rId="2246" sId="1">
    <nc r="Q44">
      <v>4</v>
    </nc>
  </rcc>
  <rcc rId="2247" sId="1">
    <nc r="Q45">
      <v>4</v>
    </nc>
  </rcc>
  <rcc rId="2248" sId="1">
    <nc r="Q46">
      <v>4</v>
    </nc>
  </rcc>
  <rcc rId="2249" sId="1">
    <nc r="Q47">
      <v>4</v>
    </nc>
  </rcc>
  <rcc rId="2250" sId="1">
    <nc r="Q48">
      <v>4</v>
    </nc>
  </rcc>
  <rcc rId="2251" sId="1">
    <nc r="U30">
      <v>5</v>
    </nc>
  </rcc>
  <rcc rId="2252" sId="1">
    <nc r="U31">
      <v>5</v>
    </nc>
  </rcc>
  <rcc rId="2253" sId="1">
    <nc r="U32">
      <v>5</v>
    </nc>
  </rcc>
  <rcc rId="2254" sId="1">
    <nc r="U33">
      <v>5</v>
    </nc>
  </rcc>
  <rcc rId="2255" sId="1">
    <nc r="U34">
      <v>5</v>
    </nc>
  </rcc>
  <rcc rId="2256" sId="1">
    <nc r="U35">
      <v>5</v>
    </nc>
  </rcc>
  <rcc rId="2257" sId="1">
    <nc r="U36">
      <v>5</v>
    </nc>
  </rcc>
  <rcc rId="2258" sId="1">
    <nc r="U37">
      <v>5</v>
    </nc>
  </rcc>
  <rcc rId="2259" sId="1">
    <nc r="U38">
      <v>5</v>
    </nc>
  </rcc>
  <rcc rId="2260" sId="1">
    <nc r="U39">
      <v>5</v>
    </nc>
  </rcc>
  <rcc rId="2261" sId="1">
    <nc r="U40">
      <v>5</v>
    </nc>
  </rcc>
  <rcc rId="2262" sId="1">
    <nc r="U41">
      <v>5</v>
    </nc>
  </rcc>
  <rcc rId="2263" sId="1">
    <nc r="U42">
      <v>5</v>
    </nc>
  </rcc>
  <rcc rId="2264" sId="1">
    <nc r="U43">
      <v>5</v>
    </nc>
  </rcc>
  <rcc rId="2265" sId="1">
    <nc r="U44">
      <v>5</v>
    </nc>
  </rcc>
  <rcc rId="2266" sId="1">
    <nc r="U45">
      <v>5</v>
    </nc>
  </rcc>
  <rcc rId="2267" sId="1">
    <nc r="U46">
      <v>5</v>
    </nc>
  </rcc>
  <rcc rId="2268" sId="1">
    <nc r="U47">
      <v>5</v>
    </nc>
  </rcc>
  <rcc rId="2269" sId="1">
    <nc r="U48">
      <v>5</v>
    </nc>
  </rcc>
  <rcc rId="2270" sId="1">
    <nc r="U50">
      <v>5</v>
    </nc>
  </rcc>
  <rcc rId="2271" sId="1" odxf="1" dxf="1">
    <nc r="U51">
      <v>5</v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272" sId="1">
    <nc r="M30">
      <v>4</v>
    </nc>
  </rcc>
  <rcc rId="2273" sId="1">
    <nc r="M31">
      <v>4</v>
    </nc>
  </rcc>
  <rcc rId="2274" sId="1">
    <nc r="M32">
      <v>4</v>
    </nc>
  </rcc>
  <rcc rId="2275" sId="1">
    <nc r="M34">
      <v>4</v>
    </nc>
  </rcc>
  <rcc rId="2276" sId="1">
    <nc r="M35">
      <v>4</v>
    </nc>
  </rcc>
  <rcc rId="2277" sId="1">
    <nc r="M36">
      <v>4</v>
    </nc>
  </rcc>
  <rcc rId="2278" sId="1">
    <nc r="M37">
      <v>4</v>
    </nc>
  </rcc>
  <rcc rId="2279" sId="1">
    <nc r="M40">
      <v>4</v>
    </nc>
  </rcc>
  <rcc rId="2280" sId="1">
    <nc r="M41">
      <v>4</v>
    </nc>
  </rcc>
  <rcc rId="2281" sId="1">
    <nc r="M43">
      <v>4</v>
    </nc>
  </rcc>
  <rcc rId="2282" sId="1">
    <nc r="M45">
      <v>4</v>
    </nc>
  </rcc>
  <rcc rId="2283" sId="1">
    <nc r="M46">
      <v>4</v>
    </nc>
  </rcc>
  <rfmt sheetId="1" sqref="M49" start="0" length="0">
    <dxf>
      <font>
        <b val="0"/>
        <sz val="11"/>
        <color theme="1"/>
        <name val="Aptos Narrow"/>
        <family val="2"/>
        <scheme val="minor"/>
      </font>
    </dxf>
  </rfmt>
  <rfmt sheetId="1" sqref="M50" start="0" length="0">
    <dxf>
      <font>
        <b val="0"/>
        <sz val="11"/>
        <color theme="1"/>
        <name val="Aptos Narrow"/>
        <family val="2"/>
        <scheme val="minor"/>
      </font>
    </dxf>
  </rfmt>
  <rfmt sheetId="1" sqref="M51" start="0" length="0">
    <dxf>
      <font>
        <b val="0"/>
        <sz val="11"/>
        <color theme="1"/>
        <name val="Aptos Narrow"/>
        <family val="2"/>
        <scheme val="minor"/>
      </font>
    </dxf>
  </rfmt>
  <rfmt sheetId="1" sqref="M52" start="0" length="0">
    <dxf>
      <font>
        <b val="0"/>
        <sz val="11"/>
        <color theme="1"/>
        <name val="Aptos Narrow"/>
        <family val="2"/>
        <scheme val="minor"/>
      </font>
    </dxf>
  </rfmt>
  <rfmt sheetId="1" sqref="M53" start="0" length="0">
    <dxf>
      <font>
        <b val="0"/>
        <sz val="11"/>
        <color theme="1"/>
        <name val="Aptos Narrow"/>
        <family val="2"/>
        <scheme val="minor"/>
      </font>
    </dxf>
  </rfmt>
  <rcc rId="2284" sId="1">
    <nc r="H43">
      <v>1</v>
    </nc>
  </rcc>
  <rcc rId="2285" sId="1">
    <nc r="I43">
      <v>147</v>
    </nc>
  </rcc>
  <rcc rId="2286" sId="2">
    <oc r="D30">
      <v>176</v>
    </oc>
    <nc r="D30">
      <v>181</v>
    </nc>
  </rcc>
  <rcc rId="2287" sId="2">
    <oc r="D31">
      <v>176</v>
    </oc>
    <nc r="D31">
      <v>181</v>
    </nc>
  </rcc>
  <rcc rId="2288" sId="2">
    <oc r="D35">
      <v>168</v>
    </oc>
    <nc r="D35">
      <v>181</v>
    </nc>
  </rcc>
  <rcc rId="2289" sId="2">
    <oc r="D36">
      <v>168</v>
    </oc>
    <nc r="D36">
      <v>181</v>
    </nc>
  </rcc>
  <rcc rId="2290" sId="2">
    <oc r="D37">
      <v>168</v>
    </oc>
    <nc r="D37">
      <v>181</v>
    </nc>
  </rcc>
  <rcc rId="2291" sId="2">
    <oc r="D38">
      <v>172</v>
    </oc>
    <nc r="D38">
      <v>181</v>
    </nc>
  </rcc>
  <rcc rId="2292" sId="2">
    <oc r="D39">
      <v>168</v>
    </oc>
    <nc r="D39">
      <v>181</v>
    </nc>
  </rcc>
  <rcc rId="2293" sId="2">
    <oc r="D40">
      <v>168</v>
    </oc>
    <nc r="D40">
      <v>181</v>
    </nc>
  </rcc>
  <rcc rId="2294" sId="2">
    <oc r="D41">
      <v>168</v>
    </oc>
    <nc r="D41">
      <v>181</v>
    </nc>
  </rcc>
  <rcc rId="2295" sId="2">
    <oc r="D42">
      <v>168</v>
    </oc>
    <nc r="D42">
      <v>181</v>
    </nc>
  </rcc>
  <rcc rId="2296" sId="2">
    <oc r="D43">
      <v>172</v>
    </oc>
    <nc r="D43">
      <v>181</v>
    </nc>
  </rcc>
  <rcc rId="2297" sId="2">
    <oc r="D44">
      <v>172</v>
    </oc>
    <nc r="D44">
      <v>181</v>
    </nc>
  </rcc>
  <rcc rId="2298" sId="2">
    <oc r="D45">
      <v>168</v>
    </oc>
    <nc r="D45">
      <v>181</v>
    </nc>
  </rcc>
  <rcc rId="2299" sId="2">
    <oc r="D46">
      <v>168</v>
    </oc>
    <nc r="D46">
      <v>181</v>
    </nc>
  </rcc>
  <rcc rId="2300" sId="2">
    <oc r="D47">
      <v>172</v>
    </oc>
    <nc r="D47">
      <v>181</v>
    </nc>
  </rcc>
  <rcc rId="2301" sId="2">
    <oc r="D48">
      <v>21</v>
    </oc>
    <nc r="D48">
      <v>181</v>
    </nc>
  </rcc>
  <rcc rId="2302" sId="2">
    <oc r="D49">
      <v>172</v>
    </oc>
    <nc r="D49">
      <v>181</v>
    </nc>
  </rcc>
  <rcc rId="2303" sId="2">
    <oc r="D50">
      <v>168</v>
    </oc>
    <nc r="D50">
      <v>181</v>
    </nc>
  </rcc>
  <rcc rId="2304" sId="2">
    <oc r="D51">
      <v>168</v>
    </oc>
    <nc r="D51">
      <v>181</v>
    </nc>
  </rcc>
  <rcc rId="2305" sId="2">
    <oc r="D52">
      <v>172</v>
    </oc>
    <nc r="D52">
      <v>181</v>
    </nc>
  </rcc>
  <rcc rId="2306" sId="2">
    <oc r="D53">
      <v>172</v>
    </oc>
    <nc r="D53">
      <v>181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7" sId="2">
    <oc r="F2">
      <v>4.4198895027624308E-2</v>
    </oc>
    <nc r="F2">
      <f>E2/D2</f>
    </nc>
  </rcc>
  <rcc rId="2308" sId="2">
    <oc r="H2">
      <v>5.5248618784530384E-3</v>
    </oc>
    <nc r="H2">
      <f>G2/D2</f>
    </nc>
  </rcc>
  <rcc rId="2309" sId="2" numFmtId="14">
    <oc r="F3">
      <v>3.3149171270718231E-2</v>
    </oc>
    <nc r="F3">
      <f>E3/D3</f>
    </nc>
  </rcc>
  <rcc rId="2310" sId="2" numFmtId="14">
    <oc r="F4">
      <v>3.8674033149171269E-2</v>
    </oc>
    <nc r="F4">
      <f>E4/D4</f>
    </nc>
  </rcc>
  <rcc rId="2311" sId="2" numFmtId="14">
    <oc r="F5">
      <v>3.8674033149171269E-2</v>
    </oc>
    <nc r="F5">
      <f>E5/D5</f>
    </nc>
  </rcc>
  <rcc rId="2312" sId="2" numFmtId="14">
    <oc r="F6">
      <v>1.1049723756906077E-2</v>
    </oc>
    <nc r="F6">
      <f>E6/D6</f>
    </nc>
  </rcc>
  <rcc rId="2313" sId="2" numFmtId="14">
    <oc r="F7">
      <v>0</v>
    </oc>
    <nc r="F7">
      <f>E7/D7</f>
    </nc>
  </rcc>
  <rcc rId="2314" sId="2" odxf="1" dxf="1" numFmtId="14">
    <oc r="F8">
      <v>0</v>
    </oc>
    <nc r="F8">
      <f>E8/D8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15" sId="2" numFmtId="14">
    <oc r="F9">
      <v>0.19553072625698323</v>
    </oc>
    <nc r="F9">
      <f>E9/D9</f>
    </nc>
  </rcc>
  <rcc rId="2316" sId="2" numFmtId="14">
    <oc r="F10">
      <v>4.4692737430167599E-2</v>
    </oc>
    <nc r="F10">
      <f>E10/D10</f>
    </nc>
  </rcc>
  <rcc rId="2317" sId="2" numFmtId="14">
    <oc r="F11">
      <v>3.3519553072625698E-2</v>
    </oc>
    <nc r="F11">
      <f>E11/D11</f>
    </nc>
  </rcc>
  <rcc rId="2318" sId="2" numFmtId="14">
    <oc r="F12">
      <v>1.11731843575419E-2</v>
    </oc>
    <nc r="F12">
      <f>E12/D12</f>
    </nc>
  </rcc>
  <rcc rId="2319" sId="2" numFmtId="14">
    <oc r="F13">
      <v>0</v>
    </oc>
    <nc r="F13">
      <f>E13/D13</f>
    </nc>
  </rcc>
  <rcc rId="2320" sId="2" odxf="1" dxf="1" numFmtId="14">
    <oc r="F14">
      <v>5.5865921787709499E-3</v>
    </oc>
    <nc r="F14">
      <f>E14/D14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21" sId="2" numFmtId="14">
    <oc r="F15">
      <v>3.9106145251396648E-2</v>
    </oc>
    <nc r="F15">
      <f>E15/D15</f>
    </nc>
  </rcc>
  <rcc rId="2322" sId="2" numFmtId="14">
    <oc r="F16">
      <v>3.3519553072625698E-2</v>
    </oc>
    <nc r="F16">
      <f>E16/D16</f>
    </nc>
  </rcc>
  <rcc rId="2323" sId="2" numFmtId="14">
    <oc r="F17">
      <v>3.3519553072625698E-2</v>
    </oc>
    <nc r="F17">
      <f>E17/D17</f>
    </nc>
  </rcc>
  <rcc rId="2324" sId="2" numFmtId="14">
    <oc r="F18">
      <v>1.11731843575419E-2</v>
    </oc>
    <nc r="F18">
      <f>E18/D18</f>
    </nc>
  </rcc>
  <rcc rId="2325" sId="2" numFmtId="14">
    <oc r="F19">
      <v>1.11731843575419E-2</v>
    </oc>
    <nc r="F19">
      <f>E19/D19</f>
    </nc>
  </rcc>
  <rcc rId="2326" sId="2" odxf="1" dxf="1" numFmtId="14">
    <oc r="F20">
      <v>0</v>
    </oc>
    <nc r="F20">
      <f>E20/D20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27" sId="2" numFmtId="14">
    <oc r="F21">
      <v>2.7932960893854747E-2</v>
    </oc>
    <nc r="F21">
      <f>E21/D21</f>
    </nc>
  </rcc>
  <rcc rId="2328" sId="2" numFmtId="14">
    <oc r="F22">
      <v>3.3519553072625698E-2</v>
    </oc>
    <nc r="F22">
      <f>E22/D22</f>
    </nc>
  </rcc>
  <rcc rId="2329" sId="2" numFmtId="14">
    <oc r="F23">
      <v>0</v>
    </oc>
    <nc r="F23">
      <f>E23/D23</f>
    </nc>
  </rcc>
  <rcc rId="2330" sId="2" numFmtId="14">
    <oc r="F24">
      <v>1.6759776536312849E-2</v>
    </oc>
    <nc r="F24">
      <f>E24/D24</f>
    </nc>
  </rcc>
  <rcc rId="2331" sId="2" numFmtId="14">
    <oc r="F25">
      <v>0</v>
    </oc>
    <nc r="F25">
      <f>E25/D25</f>
    </nc>
  </rcc>
  <rcc rId="2332" sId="2" numFmtId="14">
    <oc r="F26">
      <v>3.4285714285714287E-2</v>
    </oc>
    <nc r="F26">
      <f>E26/D26</f>
    </nc>
  </rcc>
  <rcc rId="2333" sId="2" numFmtId="14">
    <oc r="F27">
      <v>5.7142857142857143E-3</v>
    </oc>
    <nc r="F27">
      <f>E27/D27</f>
    </nc>
  </rcc>
  <rcc rId="2334" sId="2" numFmtId="14">
    <oc r="F28">
      <v>5.7142857142857143E-3</v>
    </oc>
    <nc r="F28">
      <f>E28/D28</f>
    </nc>
  </rcc>
  <rcc rId="2335" sId="2" numFmtId="14">
    <oc r="F29">
      <v>0</v>
    </oc>
    <nc r="F29">
      <f>E29/D29</f>
    </nc>
  </rcc>
  <rcc rId="2336" sId="2" numFmtId="14">
    <oc r="F30">
      <v>0</v>
    </oc>
    <nc r="F30">
      <f>E30/D30</f>
    </nc>
  </rcc>
  <rcc rId="2337" sId="2" odxf="1" dxf="1" numFmtId="14">
    <oc r="F31">
      <v>1.1363636363636364E-2</v>
    </oc>
    <nc r="F31">
      <f>E31/D31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38" sId="2" numFmtId="14">
    <oc r="F32">
      <v>2.23463687150838E-2</v>
    </oc>
    <nc r="F32">
      <f>E32/D32</f>
    </nc>
  </rcc>
  <rcc rId="2339" sId="2" numFmtId="14">
    <oc r="F33">
      <v>2.23463687150838E-2</v>
    </oc>
    <nc r="F33">
      <f>E33/D33</f>
    </nc>
  </rcc>
  <rcc rId="2340" sId="2" numFmtId="14">
    <oc r="F34">
      <v>1.11731843575419E-2</v>
    </oc>
    <nc r="F34">
      <f>E34/D34</f>
    </nc>
  </rcc>
  <rcc rId="2341" sId="2" numFmtId="14">
    <oc r="F35">
      <v>2.976190476190476E-2</v>
    </oc>
    <nc r="F35">
      <f>E35/D35</f>
    </nc>
  </rcc>
  <rcc rId="2342" sId="2" numFmtId="14">
    <oc r="F36">
      <v>2.976190476190476E-2</v>
    </oc>
    <nc r="F36">
      <f>E36/D36</f>
    </nc>
  </rcc>
  <rcc rId="2343" sId="2" numFmtId="14">
    <oc r="F37">
      <v>2.976190476190476E-2</v>
    </oc>
    <nc r="F37">
      <f>E37/D37</f>
    </nc>
  </rcc>
  <rcc rId="2344" sId="2" numFmtId="14">
    <oc r="F38">
      <v>2.9069767441860465E-2</v>
    </oc>
    <nc r="F38">
      <f>E38/D38</f>
    </nc>
  </rcc>
  <rcc rId="2345" sId="2" numFmtId="14">
    <oc r="F39">
      <v>3.5714285714285712E-2</v>
    </oc>
    <nc r="F39">
      <f>E39/D39</f>
    </nc>
  </rcc>
  <rcc rId="2346" sId="2" numFmtId="14">
    <oc r="F40">
      <v>0</v>
    </oc>
    <nc r="F40">
      <f>E40/D40</f>
    </nc>
  </rcc>
  <rcc rId="2347" sId="2" numFmtId="14">
    <oc r="F41">
      <v>2.3809523809523808E-2</v>
    </oc>
    <nc r="F41">
      <f>E41/D41</f>
    </nc>
  </rcc>
  <rcc rId="2348" sId="2" numFmtId="14">
    <oc r="F42">
      <v>2.976190476190476E-2</v>
    </oc>
    <nc r="F42">
      <f>E42/D42</f>
    </nc>
  </rcc>
  <rcc rId="2349" sId="2" numFmtId="14">
    <oc r="F43">
      <v>2.9069767441860465E-2</v>
    </oc>
    <nc r="F43">
      <f>E43/D43</f>
    </nc>
  </rcc>
  <rcc rId="2350" sId="2" numFmtId="14">
    <oc r="F44">
      <v>2.3255813953488372E-2</v>
    </oc>
    <nc r="F44">
      <f>E44/D44</f>
    </nc>
  </rcc>
  <rcc rId="2351" sId="2" numFmtId="14">
    <oc r="F45">
      <v>2.3809523809523808E-2</v>
    </oc>
    <nc r="F45">
      <f>E45/D45</f>
    </nc>
  </rcc>
  <rcc rId="2352" sId="2" numFmtId="14">
    <oc r="F46">
      <v>2.3809523809523808E-2</v>
    </oc>
    <nc r="F46">
      <f>E46/D46</f>
    </nc>
  </rcc>
  <rcc rId="2353" sId="2" numFmtId="14">
    <oc r="F47">
      <v>0</v>
    </oc>
    <nc r="F47">
      <f>E47/D47</f>
    </nc>
  </rcc>
  <rcc rId="2354" sId="2" numFmtId="14">
    <oc r="F48">
      <v>0</v>
    </oc>
    <nc r="F48">
      <f>E48/D48</f>
    </nc>
  </rcc>
  <rcc rId="2355" sId="2" numFmtId="14">
    <oc r="F49">
      <v>0</v>
    </oc>
    <nc r="F49">
      <f>E49/D49</f>
    </nc>
  </rcc>
  <rcc rId="2356" sId="2" numFmtId="14">
    <oc r="F50">
      <v>3.5714285714285712E-2</v>
    </oc>
    <nc r="F50">
      <f>E50/D50</f>
    </nc>
  </rcc>
  <rcc rId="2357" sId="2" numFmtId="14">
    <oc r="F51">
      <v>2.976190476190476E-2</v>
    </oc>
    <nc r="F51">
      <f>E51/D51</f>
    </nc>
  </rcc>
  <rcc rId="2358" sId="2" numFmtId="14">
    <oc r="F52">
      <v>2.9069767441860465E-2</v>
    </oc>
    <nc r="F52">
      <f>E52/D52</f>
    </nc>
  </rcc>
  <rcc rId="2359" sId="2" numFmtId="14">
    <oc r="F53">
      <v>2.3255813953488372E-2</v>
    </oc>
    <nc r="F53">
      <f>E53/D53</f>
    </nc>
  </rcc>
  <rcc rId="2360" sId="2" numFmtId="14">
    <oc r="H3">
      <v>0</v>
    </oc>
    <nc r="H3">
      <f>G3/D3</f>
    </nc>
  </rcc>
  <rcc rId="2361" sId="2" numFmtId="14">
    <oc r="H4">
      <v>0</v>
    </oc>
    <nc r="H4">
      <f>G4/D4</f>
    </nc>
  </rcc>
  <rcc rId="2362" sId="2" numFmtId="14">
    <oc r="H5">
      <v>5.5248618784530384E-3</v>
    </oc>
    <nc r="H5">
      <f>G5/D5</f>
    </nc>
  </rcc>
  <rcc rId="2363" sId="2" numFmtId="14">
    <oc r="H6">
      <v>0</v>
    </oc>
    <nc r="H6">
      <f>G6/D6</f>
    </nc>
  </rcc>
  <rcc rId="2364" sId="2" numFmtId="14">
    <oc r="H7">
      <v>0</v>
    </oc>
    <nc r="H7">
      <f>G7/D7</f>
    </nc>
  </rcc>
  <rcc rId="2365" sId="2" odxf="1" dxf="1" numFmtId="14">
    <oc r="H8">
      <v>5.5248618784530384E-3</v>
    </oc>
    <nc r="H8">
      <f>G8/D8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66" sId="2" numFmtId="14">
    <oc r="H9">
      <v>0</v>
    </oc>
    <nc r="H9">
      <f>G9/D9</f>
    </nc>
  </rcc>
  <rcc rId="2367" sId="2" numFmtId="14">
    <oc r="H10">
      <v>0</v>
    </oc>
    <nc r="H10">
      <f>G10/D10</f>
    </nc>
  </rcc>
  <rcc rId="2368" sId="2" numFmtId="14">
    <oc r="H11">
      <v>5.5865921787709499E-3</v>
    </oc>
    <nc r="H11">
      <f>G11/D11</f>
    </nc>
  </rcc>
  <rcc rId="2369" sId="2" numFmtId="14">
    <oc r="H12">
      <v>5.5865921787709499E-3</v>
    </oc>
    <nc r="H12">
      <f>G12/D12</f>
    </nc>
  </rcc>
  <rcc rId="2370" sId="2" numFmtId="14">
    <oc r="H13">
      <v>5.5865921787709499E-3</v>
    </oc>
    <nc r="H13">
      <f>G13/D13</f>
    </nc>
  </rcc>
  <rcc rId="2371" sId="2" odxf="1" dxf="1" numFmtId="14">
    <oc r="H14">
      <v>0</v>
    </oc>
    <nc r="H14">
      <f>G14/D14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72" sId="2" numFmtId="14">
    <oc r="H15">
      <v>0</v>
    </oc>
    <nc r="H15">
      <f>G15/D15</f>
    </nc>
  </rcc>
  <rcc rId="2373" sId="2" numFmtId="14">
    <oc r="H16">
      <v>5.5865921787709499E-3</v>
    </oc>
    <nc r="H16">
      <f>G16/D16</f>
    </nc>
  </rcc>
  <rcc rId="2374" sId="2" numFmtId="14">
    <oc r="H17">
      <v>0</v>
    </oc>
    <nc r="H17">
      <f>G17/D17</f>
    </nc>
  </rcc>
  <rcc rId="2375" sId="2" numFmtId="14">
    <oc r="H18">
      <v>5.5865921787709499E-3</v>
    </oc>
    <nc r="H18">
      <f>G18/D18</f>
    </nc>
  </rcc>
  <rcc rId="2376" sId="2" numFmtId="14">
    <oc r="H19">
      <v>5.5865921787709499E-3</v>
    </oc>
    <nc r="H19">
      <f>G19/D19</f>
    </nc>
  </rcc>
  <rcc rId="2377" sId="2" odxf="1" dxf="1" numFmtId="14">
    <oc r="H20">
      <v>0</v>
    </oc>
    <nc r="H20">
      <f>G20/D20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78" sId="2" numFmtId="14">
    <oc r="H21">
      <v>0</v>
    </oc>
    <nc r="H21">
      <f>G21/D21</f>
    </nc>
  </rcc>
  <rcc rId="2379" sId="2" numFmtId="14">
    <oc r="H22">
      <v>2.23463687150838E-2</v>
    </oc>
    <nc r="H22">
      <f>G22/D22</f>
    </nc>
  </rcc>
  <rcc rId="2380" sId="2" numFmtId="14">
    <oc r="H23">
      <v>1.11731843575419E-2</v>
    </oc>
    <nc r="H23">
      <f>G23/D23</f>
    </nc>
  </rcc>
  <rcc rId="2381" sId="2" numFmtId="14">
    <oc r="H24">
      <v>0</v>
    </oc>
    <nc r="H24">
      <f>G24/D24</f>
    </nc>
  </rcc>
  <rcc rId="2382" sId="2" numFmtId="14">
    <oc r="H25">
      <v>0</v>
    </oc>
    <nc r="H25">
      <f>G25/D25</f>
    </nc>
  </rcc>
  <rcc rId="2383" sId="2" numFmtId="14">
    <oc r="H26">
      <v>3.4285714285714287E-2</v>
    </oc>
    <nc r="H26">
      <f>G26/D26</f>
    </nc>
  </rcc>
  <rcc rId="2384" sId="2" numFmtId="14">
    <oc r="H27">
      <v>1.1428571428571429E-2</v>
    </oc>
    <nc r="H27">
      <f>G27/D27</f>
    </nc>
  </rcc>
  <rcc rId="2385" sId="2" numFmtId="14">
    <oc r="H28">
      <v>2.2857142857142857E-2</v>
    </oc>
    <nc r="H28">
      <f>G28/D28</f>
    </nc>
  </rcc>
  <rcc rId="2386" sId="2" numFmtId="14">
    <oc r="H29">
      <v>1.7142857142857144E-2</v>
    </oc>
    <nc r="H29">
      <f>G29/D29</f>
    </nc>
  </rcc>
  <rcc rId="2387" sId="2" numFmtId="14">
    <oc r="H30">
      <v>1.1363636363636364E-2</v>
    </oc>
    <nc r="H30">
      <f>G30/D30</f>
    </nc>
  </rcc>
  <rcc rId="2388" sId="2" odxf="1" dxf="1" numFmtId="14">
    <oc r="H31">
      <v>1.1363636363636364E-2</v>
    </oc>
    <nc r="H31">
      <f>G31/D31</f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389" sId="2" numFmtId="14">
    <oc r="H32">
      <v>0</v>
    </oc>
    <nc r="H32">
      <f>G32/D32</f>
    </nc>
  </rcc>
  <rcc rId="2390" sId="2" numFmtId="14">
    <oc r="H33">
      <v>0</v>
    </oc>
    <nc r="H33">
      <f>G33/D33</f>
    </nc>
  </rcc>
  <rcc rId="2391" sId="2" numFmtId="14">
    <oc r="H34">
      <v>5.5865921787709499E-3</v>
    </oc>
    <nc r="H34">
      <f>G34/D34</f>
    </nc>
  </rcc>
  <rcc rId="2392" sId="2" numFmtId="14">
    <oc r="H35">
      <v>5.9523809523809521E-3</v>
    </oc>
    <nc r="H35">
      <f>G35/D35</f>
    </nc>
  </rcc>
  <rcc rId="2393" sId="2" numFmtId="14">
    <oc r="H36">
      <v>5.9523809523809521E-3</v>
    </oc>
    <nc r="H36">
      <f>G36/D36</f>
    </nc>
  </rcc>
  <rcc rId="2394" sId="2" numFmtId="14">
    <oc r="H37">
      <v>5.9523809523809521E-3</v>
    </oc>
    <nc r="H37">
      <f>G37/D37</f>
    </nc>
  </rcc>
  <rcc rId="2395" sId="2" numFmtId="14">
    <oc r="H38">
      <v>1.1627906976744186E-2</v>
    </oc>
    <nc r="H38">
      <f>G38/D38</f>
    </nc>
  </rcc>
  <rcc rId="2396" sId="2" numFmtId="14">
    <oc r="H39">
      <v>1.7857142857142856E-2</v>
    </oc>
    <nc r="H39">
      <f>G39/D39</f>
    </nc>
  </rcc>
  <rcc rId="2397" sId="2" numFmtId="14">
    <oc r="H40">
      <v>0</v>
    </oc>
    <nc r="H40">
      <f>G40/D40</f>
    </nc>
  </rcc>
  <rcc rId="2398" sId="2" numFmtId="14">
    <oc r="H41">
      <v>2.3809523809523808E-2</v>
    </oc>
    <nc r="H41">
      <f>G41/D41</f>
    </nc>
  </rcc>
  <rcc rId="2399" sId="2" numFmtId="14">
    <oc r="H42">
      <v>5.9523809523809521E-3</v>
    </oc>
    <nc r="H42">
      <f>G42/D42</f>
    </nc>
  </rcc>
  <rcc rId="2400" sId="2" numFmtId="14">
    <oc r="H43">
      <v>1.1627906976744186E-2</v>
    </oc>
    <nc r="H43">
      <f>G43/D43</f>
    </nc>
  </rcc>
  <rcc rId="2401" sId="2" numFmtId="14">
    <oc r="H44">
      <v>2.9069767441860465E-2</v>
    </oc>
    <nc r="H44">
      <f>G44/D44</f>
    </nc>
  </rcc>
  <rcc rId="2402" sId="2" numFmtId="14">
    <oc r="H45">
      <v>1.1904761904761904E-2</v>
    </oc>
    <nc r="H45">
      <f>G45/D45</f>
    </nc>
  </rcc>
  <rcc rId="2403" sId="2" numFmtId="14">
    <oc r="H46">
      <v>1.1904761904761904E-2</v>
    </oc>
    <nc r="H46">
      <f>G46/D46</f>
    </nc>
  </rcc>
  <rcc rId="2404" sId="2" numFmtId="14">
    <oc r="H47">
      <v>1.1627906976744186E-2</v>
    </oc>
    <nc r="H47">
      <f>G47/D47</f>
    </nc>
  </rcc>
  <rcc rId="2405" sId="2" numFmtId="14">
    <oc r="H48">
      <v>0</v>
    </oc>
    <nc r="H48">
      <f>G48/D48</f>
    </nc>
  </rcc>
  <rcc rId="2406" sId="2" numFmtId="14">
    <oc r="H49">
      <v>5.232558139534884E-2</v>
    </oc>
    <nc r="H49">
      <f>G49/D49</f>
    </nc>
  </rcc>
  <rcc rId="2407" sId="2" numFmtId="14">
    <oc r="H50">
      <v>5.9523809523809521E-2</v>
    </oc>
    <nc r="H50">
      <f>G50/D50</f>
    </nc>
  </rcc>
  <rcc rId="2408" sId="2" numFmtId="14">
    <oc r="H51">
      <v>5.9523809523809521E-3</v>
    </oc>
    <nc r="H51">
      <f>G51/D51</f>
    </nc>
  </rcc>
  <rcc rId="2409" sId="2" numFmtId="14">
    <oc r="H52">
      <v>5.8139534883720929E-3</v>
    </oc>
    <nc r="H52">
      <f>G52/D52</f>
    </nc>
  </rcc>
  <rcc rId="2410" sId="2" numFmtId="14">
    <oc r="H53">
      <v>5.8139534883720929E-3</v>
    </oc>
    <nc r="H53">
      <f>G53/D53</f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1" sId="2" numFmtId="14">
    <oc r="F2">
      <f>E2/D2</f>
    </oc>
    <nc r="F2">
      <v>4.4198895027624308E-2</v>
    </nc>
  </rcc>
  <rcc rId="2412" sId="2" numFmtId="14">
    <oc r="F3">
      <f>E3/D3</f>
    </oc>
    <nc r="F3">
      <v>3.3149171270718231E-2</v>
    </nc>
  </rcc>
  <rcc rId="2413" sId="2" numFmtId="14">
    <oc r="F4">
      <f>E4/D4</f>
    </oc>
    <nc r="F4">
      <v>3.8674033149171269E-2</v>
    </nc>
  </rcc>
  <rcc rId="2414" sId="2" numFmtId="14">
    <oc r="F5">
      <f>E5/D5</f>
    </oc>
    <nc r="F5">
      <v>3.8674033149171269E-2</v>
    </nc>
  </rcc>
  <rcc rId="2415" sId="2" numFmtId="14">
    <oc r="F6">
      <f>E6/D6</f>
    </oc>
    <nc r="F6">
      <v>1.1049723756906077E-2</v>
    </nc>
  </rcc>
  <rcc rId="2416" sId="2" numFmtId="14">
    <oc r="F7">
      <f>E7/D7</f>
    </oc>
    <nc r="F7">
      <v>0</v>
    </nc>
  </rcc>
  <rcc rId="2417" sId="2" numFmtId="14">
    <oc r="F8">
      <f>E8/D8</f>
    </oc>
    <nc r="F8">
      <v>0</v>
    </nc>
  </rcc>
  <rcc rId="2418" sId="2" numFmtId="14">
    <oc r="F9">
      <f>E9/D9</f>
    </oc>
    <nc r="F9">
      <v>0.19337016574585636</v>
    </nc>
  </rcc>
  <rcc rId="2419" sId="2" numFmtId="14">
    <oc r="F10">
      <f>E10/D10</f>
    </oc>
    <nc r="F10">
      <v>4.4198895027624308E-2</v>
    </nc>
  </rcc>
  <rcc rId="2420" sId="2" numFmtId="14">
    <oc r="F11">
      <f>E11/D11</f>
    </oc>
    <nc r="F11">
      <v>3.3149171270718231E-2</v>
    </nc>
  </rcc>
  <rcc rId="2421" sId="2" numFmtId="14">
    <oc r="F12">
      <f>E12/D12</f>
    </oc>
    <nc r="F12">
      <v>1.1049723756906077E-2</v>
    </nc>
  </rcc>
  <rcc rId="2422" sId="2" numFmtId="14">
    <oc r="F13">
      <f>E13/D13</f>
    </oc>
    <nc r="F13">
      <v>0</v>
    </nc>
  </rcc>
  <rcc rId="2423" sId="2" numFmtId="14">
    <oc r="F14">
      <f>E14/D14</f>
    </oc>
    <nc r="F14">
      <v>5.5248618784530384E-3</v>
    </nc>
  </rcc>
  <rcc rId="2424" sId="2" numFmtId="14">
    <oc r="F15">
      <f>E15/D15</f>
    </oc>
    <nc r="F15">
      <v>3.8674033149171269E-2</v>
    </nc>
  </rcc>
  <rcc rId="2425" sId="2" numFmtId="14">
    <oc r="F16">
      <f>E16/D16</f>
    </oc>
    <nc r="F16">
      <v>3.3149171270718231E-2</v>
    </nc>
  </rcc>
  <rcc rId="2426" sId="2" numFmtId="14">
    <oc r="F17">
      <f>E17/D17</f>
    </oc>
    <nc r="F17">
      <v>3.3149171270718231E-2</v>
    </nc>
  </rcc>
  <rcc rId="2427" sId="2" numFmtId="14">
    <oc r="F18">
      <f>E18/D18</f>
    </oc>
    <nc r="F18">
      <v>1.1049723756906077E-2</v>
    </nc>
  </rcc>
  <rcc rId="2428" sId="2" numFmtId="14">
    <oc r="F19">
      <f>E19/D19</f>
    </oc>
    <nc r="F19">
      <v>1.1049723756906077E-2</v>
    </nc>
  </rcc>
  <rcc rId="2429" sId="2" numFmtId="14">
    <oc r="F20">
      <f>E20/D20</f>
    </oc>
    <nc r="F20">
      <v>0</v>
    </nc>
  </rcc>
  <rcc rId="2430" sId="2" numFmtId="14">
    <oc r="F21">
      <f>E21/D21</f>
    </oc>
    <nc r="F21">
      <v>2.7624309392265192E-2</v>
    </nc>
  </rcc>
  <rcc rId="2431" sId="2" numFmtId="14">
    <oc r="F22">
      <f>E22/D22</f>
    </oc>
    <nc r="F22">
      <v>3.3149171270718231E-2</v>
    </nc>
  </rcc>
  <rcc rId="2432" sId="2" numFmtId="14">
    <oc r="F23">
      <f>E23/D23</f>
    </oc>
    <nc r="F23">
      <v>0</v>
    </nc>
  </rcc>
  <rcc rId="2433" sId="2" numFmtId="14">
    <oc r="F24">
      <f>E24/D24</f>
    </oc>
    <nc r="F24">
      <v>1.6574585635359115E-2</v>
    </nc>
  </rcc>
  <rcc rId="2434" sId="2" numFmtId="14">
    <oc r="F25">
      <f>E25/D25</f>
    </oc>
    <nc r="F25">
      <v>0</v>
    </nc>
  </rcc>
  <rcc rId="2435" sId="2" numFmtId="14">
    <oc r="F26">
      <f>E26/D26</f>
    </oc>
    <nc r="F26">
      <v>3.3149171270718231E-2</v>
    </nc>
  </rcc>
  <rcc rId="2436" sId="2" numFmtId="14">
    <oc r="F27">
      <f>E27/D27</f>
    </oc>
    <nc r="F27">
      <v>5.5248618784530384E-3</v>
    </nc>
  </rcc>
  <rcc rId="2437" sId="2" numFmtId="14">
    <oc r="F28">
      <f>E28/D28</f>
    </oc>
    <nc r="F28">
      <v>5.5248618784530384E-3</v>
    </nc>
  </rcc>
  <rcc rId="2438" sId="2" numFmtId="14">
    <oc r="F29">
      <f>E29/D29</f>
    </oc>
    <nc r="F29">
      <v>0</v>
    </nc>
  </rcc>
  <rcc rId="2439" sId="2" numFmtId="14">
    <oc r="F30">
      <f>E30/D30</f>
    </oc>
    <nc r="F30">
      <v>0</v>
    </nc>
  </rcc>
  <rcc rId="2440" sId="2" numFmtId="14">
    <oc r="F31">
      <f>E31/D31</f>
    </oc>
    <nc r="F31">
      <v>1.1049723756906077E-2</v>
    </nc>
  </rcc>
  <rcc rId="2441" sId="2" numFmtId="14">
    <oc r="F32">
      <f>E32/D32</f>
    </oc>
    <nc r="F32">
      <v>2.2099447513812154E-2</v>
    </nc>
  </rcc>
  <rcc rId="2442" sId="2" numFmtId="14">
    <oc r="F33">
      <f>E33/D33</f>
    </oc>
    <nc r="F33">
      <v>2.2099447513812154E-2</v>
    </nc>
  </rcc>
  <rcc rId="2443" sId="2" numFmtId="14">
    <oc r="F34">
      <f>E34/D34</f>
    </oc>
    <nc r="F34">
      <v>1.1049723756906077E-2</v>
    </nc>
  </rcc>
  <rcc rId="2444" sId="2" numFmtId="14">
    <oc r="F35">
      <f>E35/D35</f>
    </oc>
    <nc r="F35">
      <v>2.7624309392265192E-2</v>
    </nc>
  </rcc>
  <rcc rId="2445" sId="2" numFmtId="14">
    <oc r="F36">
      <f>E36/D36</f>
    </oc>
    <nc r="F36">
      <v>2.7624309392265192E-2</v>
    </nc>
  </rcc>
  <rcc rId="2446" sId="2" numFmtId="14">
    <oc r="F37">
      <f>E37/D37</f>
    </oc>
    <nc r="F37">
      <v>2.7624309392265192E-2</v>
    </nc>
  </rcc>
  <rcc rId="2447" sId="2" numFmtId="14">
    <oc r="F38">
      <f>E38/D38</f>
    </oc>
    <nc r="F38">
      <v>2.7624309392265192E-2</v>
    </nc>
  </rcc>
  <rcc rId="2448" sId="2" numFmtId="14">
    <oc r="F39">
      <f>E39/D39</f>
    </oc>
    <nc r="F39">
      <v>3.3149171270718231E-2</v>
    </nc>
  </rcc>
  <rcc rId="2449" sId="2" numFmtId="14">
    <oc r="F40">
      <f>E40/D40</f>
    </oc>
    <nc r="F40">
      <v>0</v>
    </nc>
  </rcc>
  <rcc rId="2450" sId="2" numFmtId="14">
    <oc r="F41">
      <f>E41/D41</f>
    </oc>
    <nc r="F41">
      <v>2.2099447513812154E-2</v>
    </nc>
  </rcc>
  <rcc rId="2451" sId="2" numFmtId="14">
    <oc r="F42">
      <f>E42/D42</f>
    </oc>
    <nc r="F42">
      <v>2.7624309392265192E-2</v>
    </nc>
  </rcc>
  <rcc rId="2452" sId="2" numFmtId="14">
    <oc r="F43">
      <f>E43/D43</f>
    </oc>
    <nc r="F43">
      <v>2.7624309392265192E-2</v>
    </nc>
  </rcc>
  <rcc rId="2453" sId="2" numFmtId="14">
    <oc r="F44">
      <f>E44/D44</f>
    </oc>
    <nc r="F44">
      <v>2.2099447513812154E-2</v>
    </nc>
  </rcc>
  <rcc rId="2454" sId="2" numFmtId="14">
    <oc r="F45">
      <f>E45/D45</f>
    </oc>
    <nc r="F45">
      <v>2.2099447513812154E-2</v>
    </nc>
  </rcc>
  <rcc rId="2455" sId="2" numFmtId="14">
    <oc r="F46">
      <f>E46/D46</f>
    </oc>
    <nc r="F46">
      <v>2.2099447513812154E-2</v>
    </nc>
  </rcc>
  <rcc rId="2456" sId="2" numFmtId="14">
    <oc r="F47">
      <f>E47/D47</f>
    </oc>
    <nc r="F47">
      <v>0</v>
    </nc>
  </rcc>
  <rcc rId="2457" sId="2" numFmtId="14">
    <oc r="F48">
      <f>E48/D48</f>
    </oc>
    <nc r="F48">
      <v>0</v>
    </nc>
  </rcc>
  <rcc rId="2458" sId="2" numFmtId="14">
    <oc r="F49">
      <f>E49/D49</f>
    </oc>
    <nc r="F49">
      <v>0</v>
    </nc>
  </rcc>
  <rcc rId="2459" sId="2" numFmtId="14">
    <oc r="F50">
      <f>E50/D50</f>
    </oc>
    <nc r="F50">
      <v>3.3149171270718231E-2</v>
    </nc>
  </rcc>
  <rcc rId="2460" sId="2" numFmtId="14">
    <oc r="F51">
      <f>E51/D51</f>
    </oc>
    <nc r="F51">
      <v>2.7624309392265192E-2</v>
    </nc>
  </rcc>
  <rcc rId="2461" sId="2" numFmtId="14">
    <oc r="F52">
      <f>E52/D52</f>
    </oc>
    <nc r="F52">
      <v>2.7624309392265192E-2</v>
    </nc>
  </rcc>
  <rcc rId="2462" sId="2" numFmtId="14">
    <oc r="F53">
      <f>E53/D53</f>
    </oc>
    <nc r="F53">
      <v>2.2099447513812154E-2</v>
    </nc>
  </rcc>
  <rcc rId="2463" sId="2" numFmtId="14">
    <oc r="H2">
      <f>G2/D2</f>
    </oc>
    <nc r="H2">
      <v>5.5248618784530384E-3</v>
    </nc>
  </rcc>
  <rcc rId="2464" sId="2" numFmtId="14">
    <oc r="H3">
      <f>G3/D3</f>
    </oc>
    <nc r="H3">
      <v>0</v>
    </nc>
  </rcc>
  <rcc rId="2465" sId="2" numFmtId="14">
    <oc r="H4">
      <f>G4/D4</f>
    </oc>
    <nc r="H4">
      <v>0</v>
    </nc>
  </rcc>
  <rcc rId="2466" sId="2" numFmtId="14">
    <oc r="H5">
      <f>G5/D5</f>
    </oc>
    <nc r="H5">
      <v>5.5248618784530384E-3</v>
    </nc>
  </rcc>
  <rcc rId="2467" sId="2" numFmtId="14">
    <oc r="H6">
      <f>G6/D6</f>
    </oc>
    <nc r="H6">
      <v>0</v>
    </nc>
  </rcc>
  <rcc rId="2468" sId="2" numFmtId="14">
    <oc r="H7">
      <f>G7/D7</f>
    </oc>
    <nc r="H7">
      <v>0</v>
    </nc>
  </rcc>
  <rcc rId="2469" sId="2" numFmtId="14">
    <oc r="H8">
      <f>G8/D8</f>
    </oc>
    <nc r="H8">
      <v>5.5248618784530384E-3</v>
    </nc>
  </rcc>
  <rcc rId="2470" sId="2" numFmtId="14">
    <oc r="H9">
      <f>G9/D9</f>
    </oc>
    <nc r="H9">
      <v>0</v>
    </nc>
  </rcc>
  <rcc rId="2471" sId="2" numFmtId="14">
    <oc r="H10">
      <f>G10/D10</f>
    </oc>
    <nc r="H10">
      <v>0</v>
    </nc>
  </rcc>
  <rcc rId="2472" sId="2" numFmtId="14">
    <oc r="H11">
      <f>G11/D11</f>
    </oc>
    <nc r="H11">
      <v>5.5248618784530384E-3</v>
    </nc>
  </rcc>
  <rcc rId="2473" sId="2" numFmtId="14">
    <oc r="H12">
      <f>G12/D12</f>
    </oc>
    <nc r="H12">
      <v>5.5248618784530384E-3</v>
    </nc>
  </rcc>
  <rcc rId="2474" sId="2" numFmtId="14">
    <oc r="H13">
      <f>G13/D13</f>
    </oc>
    <nc r="H13">
      <v>5.5248618784530384E-3</v>
    </nc>
  </rcc>
  <rcc rId="2475" sId="2" numFmtId="14">
    <oc r="H14">
      <f>G14/D14</f>
    </oc>
    <nc r="H14">
      <v>0</v>
    </nc>
  </rcc>
  <rcc rId="2476" sId="2" numFmtId="14">
    <oc r="H15">
      <f>G15/D15</f>
    </oc>
    <nc r="H15">
      <v>0</v>
    </nc>
  </rcc>
  <rcc rId="2477" sId="2" numFmtId="14">
    <oc r="H16">
      <f>G16/D16</f>
    </oc>
    <nc r="H16">
      <v>5.5248618784530384E-3</v>
    </nc>
  </rcc>
  <rcc rId="2478" sId="2" numFmtId="14">
    <oc r="H17">
      <f>G17/D17</f>
    </oc>
    <nc r="H17">
      <v>0</v>
    </nc>
  </rcc>
  <rcc rId="2479" sId="2" numFmtId="14">
    <oc r="H18">
      <f>G18/D18</f>
    </oc>
    <nc r="H18">
      <v>5.5248618784530384E-3</v>
    </nc>
  </rcc>
  <rcc rId="2480" sId="2" numFmtId="14">
    <oc r="H19">
      <f>G19/D19</f>
    </oc>
    <nc r="H19">
      <v>5.5248618784530384E-3</v>
    </nc>
  </rcc>
  <rcc rId="2481" sId="2" numFmtId="14">
    <oc r="H20">
      <f>G20/D20</f>
    </oc>
    <nc r="H20">
      <v>0</v>
    </nc>
  </rcc>
  <rcc rId="2482" sId="2" numFmtId="14">
    <oc r="H21">
      <f>G21/D21</f>
    </oc>
    <nc r="H21">
      <v>0</v>
    </nc>
  </rcc>
  <rcc rId="2483" sId="2" numFmtId="14">
    <oc r="H22">
      <f>G22/D22</f>
    </oc>
    <nc r="H22">
      <v>2.2099447513812154E-2</v>
    </nc>
  </rcc>
  <rcc rId="2484" sId="2" numFmtId="14">
    <oc r="H23">
      <f>G23/D23</f>
    </oc>
    <nc r="H23">
      <v>1.1049723756906077E-2</v>
    </nc>
  </rcc>
  <rcc rId="2485" sId="2" numFmtId="14">
    <oc r="H24">
      <f>G24/D24</f>
    </oc>
    <nc r="H24">
      <v>0</v>
    </nc>
  </rcc>
  <rcc rId="2486" sId="2" numFmtId="14">
    <oc r="H25">
      <f>G25/D25</f>
    </oc>
    <nc r="H25">
      <v>0</v>
    </nc>
  </rcc>
  <rcc rId="2487" sId="2" numFmtId="14">
    <oc r="H26">
      <f>G26/D26</f>
    </oc>
    <nc r="H26">
      <v>3.3149171270718231E-2</v>
    </nc>
  </rcc>
  <rcc rId="2488" sId="2" numFmtId="14">
    <oc r="H27">
      <f>G27/D27</f>
    </oc>
    <nc r="H27">
      <v>1.1049723756906077E-2</v>
    </nc>
  </rcc>
  <rcc rId="2489" sId="2" numFmtId="14">
    <oc r="H28">
      <f>G28/D28</f>
    </oc>
    <nc r="H28">
      <v>2.2099447513812154E-2</v>
    </nc>
  </rcc>
  <rcc rId="2490" sId="2" numFmtId="14">
    <oc r="H29">
      <f>G29/D29</f>
    </oc>
    <nc r="H29">
      <v>1.6574585635359115E-2</v>
    </nc>
  </rcc>
  <rcc rId="2491" sId="2" numFmtId="14">
    <oc r="H30">
      <f>G30/D30</f>
    </oc>
    <nc r="H30">
      <v>1.1049723756906077E-2</v>
    </nc>
  </rcc>
  <rcc rId="2492" sId="2" numFmtId="14">
    <oc r="H31">
      <f>G31/D31</f>
    </oc>
    <nc r="H31">
      <v>1.1049723756906077E-2</v>
    </nc>
  </rcc>
  <rcc rId="2493" sId="2" numFmtId="14">
    <oc r="H32">
      <f>G32/D32</f>
    </oc>
    <nc r="H32">
      <v>0</v>
    </nc>
  </rcc>
  <rcc rId="2494" sId="2" numFmtId="14">
    <oc r="H33">
      <f>G33/D33</f>
    </oc>
    <nc r="H33">
      <v>0</v>
    </nc>
  </rcc>
  <rcc rId="2495" sId="2" numFmtId="14">
    <oc r="H34">
      <f>G34/D34</f>
    </oc>
    <nc r="H34">
      <v>5.5248618784530384E-3</v>
    </nc>
  </rcc>
  <rcc rId="2496" sId="2" numFmtId="14">
    <oc r="H35">
      <f>G35/D35</f>
    </oc>
    <nc r="H35">
      <v>5.5248618784530384E-3</v>
    </nc>
  </rcc>
  <rcc rId="2497" sId="2" numFmtId="14">
    <oc r="H36">
      <f>G36/D36</f>
    </oc>
    <nc r="H36">
      <v>5.5248618784530384E-3</v>
    </nc>
  </rcc>
  <rcc rId="2498" sId="2" numFmtId="14">
    <oc r="H37">
      <f>G37/D37</f>
    </oc>
    <nc r="H37">
      <v>5.5248618784530384E-3</v>
    </nc>
  </rcc>
  <rcc rId="2499" sId="2" numFmtId="14">
    <oc r="H38">
      <f>G38/D38</f>
    </oc>
    <nc r="H38">
      <v>1.1049723756906077E-2</v>
    </nc>
  </rcc>
  <rcc rId="2500" sId="2" numFmtId="14">
    <oc r="H39">
      <f>G39/D39</f>
    </oc>
    <nc r="H39">
      <v>1.6574585635359115E-2</v>
    </nc>
  </rcc>
  <rcc rId="2501" sId="2" numFmtId="14">
    <oc r="H40">
      <f>G40/D40</f>
    </oc>
    <nc r="H40">
      <v>0</v>
    </nc>
  </rcc>
  <rcc rId="2502" sId="2" numFmtId="14">
    <oc r="H41">
      <f>G41/D41</f>
    </oc>
    <nc r="H41">
      <v>2.2099447513812154E-2</v>
    </nc>
  </rcc>
  <rcc rId="2503" sId="2" numFmtId="14">
    <oc r="H42">
      <f>G42/D42</f>
    </oc>
    <nc r="H42">
      <v>5.5248618784530384E-3</v>
    </nc>
  </rcc>
  <rcc rId="2504" sId="2" numFmtId="14">
    <oc r="H43">
      <f>G43/D43</f>
    </oc>
    <nc r="H43">
      <v>1.1049723756906077E-2</v>
    </nc>
  </rcc>
  <rcc rId="2505" sId="2" numFmtId="14">
    <oc r="H44">
      <f>G44/D44</f>
    </oc>
    <nc r="H44">
      <v>2.7624309392265192E-2</v>
    </nc>
  </rcc>
  <rcc rId="2506" sId="2" numFmtId="14">
    <oc r="H45">
      <f>G45/D45</f>
    </oc>
    <nc r="H45">
      <v>1.1049723756906077E-2</v>
    </nc>
  </rcc>
  <rcc rId="2507" sId="2" numFmtId="14">
    <oc r="H46">
      <f>G46/D46</f>
    </oc>
    <nc r="H46">
      <v>1.1049723756906077E-2</v>
    </nc>
  </rcc>
  <rcc rId="2508" sId="2" numFmtId="14">
    <oc r="H47">
      <f>G47/D47</f>
    </oc>
    <nc r="H47">
      <v>1.1049723756906077E-2</v>
    </nc>
  </rcc>
  <rcc rId="2509" sId="2" numFmtId="14">
    <oc r="H48">
      <f>G48/D48</f>
    </oc>
    <nc r="H48">
      <v>0</v>
    </nc>
  </rcc>
  <rcc rId="2510" sId="2" numFmtId="14">
    <oc r="H49">
      <f>G49/D49</f>
    </oc>
    <nc r="H49">
      <v>4.9723756906077346E-2</v>
    </nc>
  </rcc>
  <rcc rId="2511" sId="2" numFmtId="14">
    <oc r="H50">
      <f>G50/D50</f>
    </oc>
    <nc r="H50">
      <v>5.5248618784530384E-2</v>
    </nc>
  </rcc>
  <rcc rId="2512" sId="2" numFmtId="14">
    <oc r="H51">
      <f>G51/D51</f>
    </oc>
    <nc r="H51">
      <v>5.5248618784530384E-3</v>
    </nc>
  </rcc>
  <rcc rId="2513" sId="2" numFmtId="14">
    <oc r="H52">
      <f>G52/D52</f>
    </oc>
    <nc r="H52">
      <v>5.5248618784530384E-3</v>
    </nc>
  </rcc>
  <rcc rId="2514" sId="2" numFmtId="14">
    <oc r="H53">
      <f>G53/D53</f>
    </oc>
    <nc r="H53">
      <v>5.5248618784530384E-3</v>
    </nc>
  </rcc>
  <rcc rId="2515" sId="3">
    <oc r="F2">
      <v>0</v>
    </oc>
    <nc r="F2">
      <f>E2/D2</f>
    </nc>
  </rcc>
  <rcc rId="2516" sId="3">
    <oc r="F3">
      <v>5.5865921787709499E-3</v>
    </oc>
    <nc r="F3">
      <f>E3/D3</f>
    </nc>
  </rcc>
  <rcc rId="2517" sId="3">
    <oc r="F4">
      <v>0</v>
    </oc>
    <nc r="F4">
      <f>E4/D4</f>
    </nc>
  </rcc>
  <rcc rId="2518" sId="3">
    <oc r="F5">
      <v>0</v>
    </oc>
    <nc r="F5">
      <f>E5/D5</f>
    </nc>
  </rcc>
  <rcc rId="2519" sId="3">
    <oc r="F6">
      <v>0</v>
    </oc>
    <nc r="F6">
      <f>E6/D6</f>
    </nc>
  </rcc>
  <rcc rId="2520" sId="3">
    <oc r="H2">
      <v>5.5248618784530384E-3</v>
    </oc>
    <nc r="H2">
      <f>G2/D2</f>
    </nc>
  </rcc>
  <rcc rId="2521" sId="3">
    <oc r="H3">
      <v>0</v>
    </oc>
    <nc r="H3">
      <f>G3/D3</f>
    </nc>
  </rcc>
  <rcc rId="2522" sId="3">
    <oc r="H4">
      <v>0</v>
    </oc>
    <nc r="H4">
      <f>G4/D4</f>
    </nc>
  </rcc>
  <rcc rId="2523" sId="3">
    <oc r="H5">
      <v>0</v>
    </oc>
    <nc r="H5">
      <f>G5/D5</f>
    </nc>
  </rcc>
  <rcc rId="2524" sId="3">
    <oc r="H6">
      <v>1.7142857142857144E-2</v>
    </oc>
    <nc r="H6">
      <f>G6/D6</f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5" sId="2" ref="A46:XFD46" action="insertRow"/>
  <rcc rId="2526" sId="2">
    <nc r="A46" t="inlineStr">
      <is>
        <t>2nd</t>
      </is>
    </nc>
  </rcc>
  <rcc rId="2527" sId="2">
    <nc r="B46">
      <v>1012300</v>
    </nc>
  </rcc>
  <rcc rId="2528" sId="2">
    <nc r="C46" t="inlineStr">
      <is>
        <t>CIM Trust 2020-R1</t>
      </is>
    </nc>
  </rcc>
  <rrc rId="2529" sId="1" ref="A41:XFD41" action="insertRow"/>
  <rcc rId="2530" sId="1">
    <nc r="A41" t="inlineStr">
      <is>
        <t>2nd</t>
      </is>
    </nc>
  </rcc>
  <rcc rId="2531" sId="1">
    <nc r="B41">
      <v>1012300</v>
    </nc>
  </rcc>
  <rcc rId="2532" sId="1">
    <nc r="C41" t="inlineStr">
      <is>
        <t>CIM Trust 2020-R1</t>
      </is>
    </nc>
  </rcc>
  <rcc rId="2533" sId="1">
    <nc r="E41">
      <v>21</v>
    </nc>
  </rcc>
  <rcc rId="2534" sId="1">
    <nc r="I41">
      <v>147</v>
    </nc>
  </rcc>
  <rcc rId="2535" sId="1">
    <nc r="H41">
      <v>1</v>
    </nc>
  </rcc>
  <rcc rId="2536" sId="1">
    <nc r="D41">
      <v>6</v>
    </nc>
  </rcc>
  <rcc rId="2537" sId="1">
    <nc r="F41">
      <v>0</v>
    </nc>
  </rcc>
  <rcc rId="2538" sId="1">
    <nc r="G41">
      <v>0</v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9" sId="1">
    <nc r="U41">
      <v>5</v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0" sId="1">
    <nc r="M41">
      <v>4</v>
    </nc>
  </rcc>
  <rcc rId="2541" sId="1">
    <nc r="Q41">
      <v>4</v>
    </nc>
  </rcc>
  <rfmt sheetId="1" sqref="A41:XFD41" start="0" length="2147483647">
    <dxf>
      <font>
        <b/>
      </font>
    </dxf>
  </rfmt>
  <rcc rId="2542" sId="1">
    <nc r="J41">
      <v>0</v>
    </nc>
  </rcc>
  <rcc rId="2543" sId="1">
    <nc r="K41">
      <v>6</v>
    </nc>
  </rcc>
  <rcc rId="2544" sId="1">
    <nc r="L41">
      <v>0</v>
    </nc>
  </rcc>
  <rcc rId="2545" sId="1">
    <nc r="N41">
      <v>0</v>
    </nc>
  </rcc>
  <rcc rId="2546" sId="1">
    <nc r="O41">
      <v>0</v>
    </nc>
  </rcc>
  <rcc rId="2547" sId="1">
    <nc r="P41">
      <v>0</v>
    </nc>
  </rcc>
  <rcc rId="2548" sId="1">
    <nc r="R41">
      <v>0</v>
    </nc>
  </rcc>
  <rcc rId="2549" sId="1">
    <nc r="S41">
      <v>0</v>
    </nc>
  </rcc>
  <rcc rId="2550" sId="1">
    <nc r="T41">
      <v>0</v>
    </nc>
  </rcc>
  <rcc rId="2551" sId="1">
    <nc r="V41">
      <v>0</v>
    </nc>
  </rcc>
  <rcc rId="2552" sId="1">
    <nc r="W41">
      <v>0</v>
    </nc>
  </rcc>
  <rcc rId="2553" sId="1">
    <nc r="X41" t="inlineStr">
      <is>
        <t>TOTAL_NET_INTEREST,DAY_DELINQUENCIES_90_119_NEW,DAY_DELINQUENCIES_120_149_NEW,DAY_DELINQUENCIES_150_179_NEW,DAY_DELINQUENCIES_180_PLUS_NEW Wrongly captured this round(Previously captured correctly)</t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4" sId="1">
    <oc r="X41" t="inlineStr">
      <is>
        <t>TOTAL_NET_INTEREST,DAY_DELINQUENCIES_90_119_NEW,DAY_DELINQUENCIES_120_149_NEW,DAY_DELINQUENCIES_150_179_NEW,DAY_DELINQUENCIES_180_PLUS_NEW Wrongly captured this round(Previously captured correctly)</t>
      </is>
    </oc>
    <nc r="X41" t="inlineStr">
      <is>
        <t>TOTAL_NET_INTEREST,DAY_DELINQUENCIES_90_119_NEW,DAY_DELINQUENCIES_120_149_NEW,DAY_DELINQUENCIES_150_179_NEW,DAY_DELINQUENCIES_180_PLUS_NEW Wrongly captured this round(Previously captured correctly). INSURANCE_PREMIUM_FEES wrongly captured in both round</t>
      </is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5" sId="1">
    <oc r="X41" t="inlineStr">
      <is>
        <t>TOTAL_NET_INTEREST,DAY_DELINQUENCIES_90_119_NEW,DAY_DELINQUENCIES_120_149_NEW,DAY_DELINQUENCIES_150_179_NEW,DAY_DELINQUENCIES_180_PLUS_NEW Wrongly captured this round(Previously captured correctly). INSURANCE_PREMIUM_FEES wrongly captured in both round</t>
      </is>
    </oc>
    <nc r="X41" t="inlineStr">
      <is>
        <t>TOTAL_NET_INTEREST,DAY_DELINQUENCIES_90_119_NEW,DAY_DELINQUENCIES_120_149_NEW,DAY_DELINQUENCIES_150_179_NEW,DAY_DELINQUENCIES_180_PLUS_NEW Wrongly captured this round(Previously captured correctly). INSURANCE_PREMIUM_FEES wrongly captured in all round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0">
  <userInfo guid="{32580B85-007C-40F8-9959-184F0DB560B8}" name="Susmita Biswas" id="-487213359" dateTime="2026-08-20T13:37:10"/>
  <userInfo guid="{E696F260-0DA7-4A89-B5B8-4919B5F51CA0}" name="Susmita Biswas" id="-487252253" dateTime="2026-08-21T12:39:19"/>
  <userInfo guid="{DB480773-FF21-4854-BD24-54602B84A8E9}" name="Susmita Biswas" id="-487224954" dateTime="2026-08-31T10:45:22"/>
  <userInfo guid="{566FD92A-013F-460C-911C-366FAFBBBF49}" name="Biswajit Sahoo" id="-1182229719" dateTime="2026-09-01T11:14:14"/>
  <userInfo guid="{FF9AC220-44F3-485E-A37D-F259F908CCDE}" name="Biswajit Sahoo" id="-1182231249" dateTime="2026-09-01T16:10:55"/>
  <userInfo guid="{BD1D1271-485B-42DD-A050-A304294EF39D}" name="Susmita Biswas" id="-487237741" dateTime="2026-09-02T11:42:06"/>
  <userInfo guid="{39E72841-DBFB-4CDF-A2C7-1FE5DB587460}" name="Indranil Kundu" id="-530307569" dateTime="2026-09-02T15:13:26"/>
  <userInfo guid="{EB855846-AF08-4850-86F6-C152460506FB}" name="Susmita Biswas" id="-487259796" dateTime="2026-09-03T10:49:45"/>
  <userInfo guid="{8F56E9BC-A21F-4CDF-A51C-BB5153404C79}" name="Susmita Biswas" id="-487238872" dateTime="2026-09-09T15:40:45"/>
  <userInfo guid="{E3618C10-262F-47F9-9CB4-65B0B33B6A70}" name="Susmita Biswas" id="-487235861" dateTime="2026-09-11T10:33:1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E297-F336-4CC8-9DB5-D79DAF467AFD}">
  <sheetPr filterMode="1"/>
  <dimension ref="A1:AE54"/>
  <sheetViews>
    <sheetView tabSelected="1" topLeftCell="Q1" workbookViewId="0">
      <pane ySplit="1" topLeftCell="A35" activePane="bottomLeft" state="frozen"/>
      <selection activeCell="S1" sqref="S1"/>
      <selection pane="bottomLeft" activeCell="X41" sqref="X41"/>
    </sheetView>
  </sheetViews>
  <sheetFormatPr defaultRowHeight="14.4" x14ac:dyDescent="0.3"/>
  <cols>
    <col min="1" max="1" width="8.88671875" style="19"/>
    <col min="2" max="2" width="10" style="19" bestFit="1" customWidth="1"/>
    <col min="3" max="3" width="39.109375" style="20" bestFit="1" customWidth="1"/>
    <col min="4" max="4" width="13.5546875" style="19" customWidth="1"/>
    <col min="5" max="5" width="18.44140625" style="19" bestFit="1" customWidth="1"/>
    <col min="6" max="6" width="23.109375" style="19" bestFit="1" customWidth="1"/>
    <col min="7" max="7" width="23.33203125" style="19" bestFit="1" customWidth="1"/>
    <col min="8" max="8" width="13.5546875" style="19" customWidth="1"/>
    <col min="9" max="9" width="15.44140625" style="19" bestFit="1" customWidth="1"/>
    <col min="10" max="10" width="19.21875" style="19" bestFit="1" customWidth="1"/>
    <col min="11" max="11" width="17.6640625" style="19" bestFit="1" customWidth="1"/>
    <col min="12" max="12" width="13.5546875" style="19" customWidth="1"/>
    <col min="13" max="13" width="17" style="19" bestFit="1" customWidth="1"/>
    <col min="14" max="14" width="20.77734375" style="19" bestFit="1" customWidth="1"/>
    <col min="15" max="15" width="22" style="19" bestFit="1" customWidth="1"/>
    <col min="16" max="16" width="13.5546875" style="19" customWidth="1"/>
    <col min="17" max="17" width="17.21875" style="19" bestFit="1" customWidth="1"/>
    <col min="18" max="18" width="20.88671875" style="19" bestFit="1" customWidth="1"/>
    <col min="19" max="19" width="17.6640625" style="19" bestFit="1" customWidth="1"/>
    <col min="20" max="20" width="13.5546875" style="19" customWidth="1"/>
    <col min="21" max="21" width="17.44140625" style="19" bestFit="1" customWidth="1"/>
    <col min="22" max="22" width="21.109375" style="19" bestFit="1" customWidth="1"/>
    <col min="23" max="23" width="22.33203125" style="19" bestFit="1" customWidth="1"/>
    <col min="24" max="24" width="41.44140625" style="20" customWidth="1"/>
    <col min="25" max="25" width="31.5546875" style="2" customWidth="1"/>
    <col min="26" max="26" width="12.77734375" style="2" bestFit="1" customWidth="1"/>
    <col min="27" max="27" width="19.77734375" style="2" bestFit="1" customWidth="1"/>
    <col min="28" max="28" width="20" style="2" bestFit="1" customWidth="1"/>
    <col min="29" max="29" width="15.6640625" style="2" bestFit="1" customWidth="1"/>
    <col min="30" max="30" width="12.77734375" style="2" customWidth="1"/>
    <col min="31" max="31" width="10.88671875" style="2" customWidth="1"/>
    <col min="32" max="16384" width="8.88671875" style="2"/>
  </cols>
  <sheetData>
    <row r="1" spans="1:31" s="18" customFormat="1" ht="28.8" x14ac:dyDescent="0.3">
      <c r="A1" s="13" t="s">
        <v>6</v>
      </c>
      <c r="B1" s="13" t="s">
        <v>33</v>
      </c>
      <c r="C1" s="13" t="s">
        <v>0</v>
      </c>
      <c r="D1" s="13" t="s">
        <v>34</v>
      </c>
      <c r="E1" s="14" t="s">
        <v>35</v>
      </c>
      <c r="F1" s="15" t="s">
        <v>13</v>
      </c>
      <c r="G1" s="16" t="s">
        <v>8</v>
      </c>
      <c r="H1" s="13" t="s">
        <v>18</v>
      </c>
      <c r="I1" s="14" t="s">
        <v>2</v>
      </c>
      <c r="J1" s="15" t="s">
        <v>14</v>
      </c>
      <c r="K1" s="16" t="s">
        <v>9</v>
      </c>
      <c r="L1" s="13" t="s">
        <v>19</v>
      </c>
      <c r="M1" s="14" t="s">
        <v>3</v>
      </c>
      <c r="N1" s="15" t="s">
        <v>15</v>
      </c>
      <c r="O1" s="16" t="s">
        <v>10</v>
      </c>
      <c r="P1" s="13" t="s">
        <v>20</v>
      </c>
      <c r="Q1" s="14" t="s">
        <v>4</v>
      </c>
      <c r="R1" s="15" t="s">
        <v>16</v>
      </c>
      <c r="S1" s="16" t="s">
        <v>11</v>
      </c>
      <c r="T1" s="13" t="s">
        <v>21</v>
      </c>
      <c r="U1" s="14" t="s">
        <v>5</v>
      </c>
      <c r="V1" s="15" t="s">
        <v>17</v>
      </c>
      <c r="W1" s="16" t="s">
        <v>12</v>
      </c>
      <c r="X1" s="17" t="s">
        <v>22</v>
      </c>
      <c r="Y1" s="12" t="s">
        <v>41</v>
      </c>
      <c r="Z1" s="10" t="s">
        <v>42</v>
      </c>
      <c r="AA1" s="10" t="s">
        <v>117</v>
      </c>
      <c r="AB1" s="10" t="s">
        <v>113</v>
      </c>
      <c r="AC1" s="10" t="s">
        <v>114</v>
      </c>
      <c r="AD1" s="12" t="s">
        <v>115</v>
      </c>
      <c r="AE1" s="12" t="s">
        <v>116</v>
      </c>
    </row>
    <row r="2" spans="1:31" hidden="1" x14ac:dyDescent="0.3">
      <c r="A2" s="9" t="s">
        <v>7</v>
      </c>
      <c r="B2" s="9">
        <v>19584</v>
      </c>
      <c r="C2" s="1" t="s">
        <v>1</v>
      </c>
      <c r="D2" s="9">
        <v>43</v>
      </c>
      <c r="E2" s="9">
        <v>21</v>
      </c>
      <c r="F2" s="9">
        <v>1</v>
      </c>
      <c r="G2" s="9">
        <v>1</v>
      </c>
      <c r="H2" s="9">
        <v>9</v>
      </c>
      <c r="I2" s="9">
        <v>147</v>
      </c>
      <c r="J2" s="9">
        <v>7</v>
      </c>
      <c r="K2" s="9">
        <v>0</v>
      </c>
      <c r="L2" s="9">
        <v>0</v>
      </c>
      <c r="M2" s="9">
        <v>4</v>
      </c>
      <c r="N2" s="9">
        <v>0</v>
      </c>
      <c r="O2" s="9">
        <v>0</v>
      </c>
      <c r="P2" s="9">
        <v>0</v>
      </c>
      <c r="Q2" s="9">
        <v>4</v>
      </c>
      <c r="R2" s="9">
        <v>0</v>
      </c>
      <c r="S2" s="9">
        <v>0</v>
      </c>
      <c r="T2" s="9">
        <v>0</v>
      </c>
      <c r="U2" s="9">
        <v>5</v>
      </c>
      <c r="V2" s="9">
        <v>0</v>
      </c>
      <c r="W2" s="9">
        <v>0</v>
      </c>
      <c r="X2" s="1" t="s">
        <v>24</v>
      </c>
      <c r="Y2" s="21"/>
      <c r="Z2" s="21"/>
      <c r="AA2" s="21">
        <f>E2+I2+M2+Q2+U2</f>
        <v>181</v>
      </c>
      <c r="AB2" s="21">
        <f>F2+J2+N2+R2+V2</f>
        <v>8</v>
      </c>
      <c r="AC2" s="21">
        <f>G2+K2+O2+S2+W2</f>
        <v>1</v>
      </c>
      <c r="AD2" s="33">
        <f>AB2/AA2</f>
        <v>4.4198895027624308E-2</v>
      </c>
      <c r="AE2" s="33">
        <f>AC2/AA2</f>
        <v>5.5248618784530384E-3</v>
      </c>
    </row>
    <row r="3" spans="1:31" s="3" customFormat="1" hidden="1" x14ac:dyDescent="0.3">
      <c r="A3" s="9" t="s">
        <v>23</v>
      </c>
      <c r="B3" s="9">
        <v>19584</v>
      </c>
      <c r="C3" s="1" t="s">
        <v>1</v>
      </c>
      <c r="D3" s="9">
        <v>43</v>
      </c>
      <c r="E3" s="9">
        <v>21</v>
      </c>
      <c r="F3" s="9">
        <v>0</v>
      </c>
      <c r="G3" s="9">
        <v>0</v>
      </c>
      <c r="H3" s="9">
        <v>9</v>
      </c>
      <c r="I3" s="9">
        <v>147</v>
      </c>
      <c r="J3" s="9">
        <v>6</v>
      </c>
      <c r="K3" s="9">
        <v>0</v>
      </c>
      <c r="L3" s="9">
        <v>0</v>
      </c>
      <c r="M3" s="9">
        <v>4</v>
      </c>
      <c r="N3" s="9">
        <v>0</v>
      </c>
      <c r="O3" s="9">
        <v>0</v>
      </c>
      <c r="P3" s="9">
        <v>0</v>
      </c>
      <c r="Q3" s="9">
        <v>4</v>
      </c>
      <c r="R3" s="9">
        <v>0</v>
      </c>
      <c r="S3" s="9">
        <v>0</v>
      </c>
      <c r="T3" s="9">
        <v>0</v>
      </c>
      <c r="U3" s="9">
        <v>5</v>
      </c>
      <c r="V3" s="9">
        <v>0</v>
      </c>
      <c r="W3" s="9">
        <v>0</v>
      </c>
      <c r="X3" s="1" t="s">
        <v>25</v>
      </c>
      <c r="Y3" s="22"/>
      <c r="Z3" s="22"/>
      <c r="AA3" s="21">
        <f t="shared" ref="AA3:AC54" si="0">E3+I3+M3+Q3+U3</f>
        <v>181</v>
      </c>
      <c r="AB3" s="21">
        <f t="shared" si="0"/>
        <v>6</v>
      </c>
      <c r="AC3" s="21">
        <f t="shared" si="0"/>
        <v>0</v>
      </c>
      <c r="AD3" s="33">
        <f t="shared" ref="AD3:AD54" si="1">AB3/AA3</f>
        <v>3.3149171270718231E-2</v>
      </c>
      <c r="AE3" s="33">
        <f t="shared" ref="AE3:AE54" si="2">AC3/AA3</f>
        <v>0</v>
      </c>
    </row>
    <row r="4" spans="1:31" s="3" customFormat="1" hidden="1" x14ac:dyDescent="0.3">
      <c r="A4" s="9" t="s">
        <v>28</v>
      </c>
      <c r="B4" s="9">
        <v>19584</v>
      </c>
      <c r="C4" s="1" t="s">
        <v>1</v>
      </c>
      <c r="D4" s="9">
        <v>43</v>
      </c>
      <c r="E4" s="9">
        <v>21</v>
      </c>
      <c r="F4" s="9">
        <v>0</v>
      </c>
      <c r="G4" s="9">
        <v>0</v>
      </c>
      <c r="H4" s="9">
        <v>9</v>
      </c>
      <c r="I4" s="9">
        <v>147</v>
      </c>
      <c r="J4" s="9">
        <v>7</v>
      </c>
      <c r="K4" s="9">
        <v>0</v>
      </c>
      <c r="L4" s="9">
        <v>0</v>
      </c>
      <c r="M4" s="9">
        <v>4</v>
      </c>
      <c r="N4" s="9">
        <v>0</v>
      </c>
      <c r="O4" s="9">
        <v>0</v>
      </c>
      <c r="P4" s="9">
        <v>0</v>
      </c>
      <c r="Q4" s="9">
        <v>4</v>
      </c>
      <c r="R4" s="9">
        <v>0</v>
      </c>
      <c r="S4" s="9">
        <v>0</v>
      </c>
      <c r="T4" s="9">
        <v>0</v>
      </c>
      <c r="U4" s="9">
        <v>5</v>
      </c>
      <c r="V4" s="9">
        <v>0</v>
      </c>
      <c r="W4" s="9">
        <v>0</v>
      </c>
      <c r="X4" s="1" t="s">
        <v>29</v>
      </c>
      <c r="Y4" s="22"/>
      <c r="Z4" s="22"/>
      <c r="AA4" s="21">
        <f t="shared" si="0"/>
        <v>181</v>
      </c>
      <c r="AB4" s="21">
        <f t="shared" si="0"/>
        <v>7</v>
      </c>
      <c r="AC4" s="21">
        <f t="shared" si="0"/>
        <v>0</v>
      </c>
      <c r="AD4" s="33">
        <f t="shared" si="1"/>
        <v>3.8674033149171269E-2</v>
      </c>
      <c r="AE4" s="33">
        <f t="shared" si="2"/>
        <v>0</v>
      </c>
    </row>
    <row r="5" spans="1:31" s="3" customFormat="1" hidden="1" x14ac:dyDescent="0.3">
      <c r="A5" s="9" t="s">
        <v>40</v>
      </c>
      <c r="B5" s="9">
        <v>19584</v>
      </c>
      <c r="C5" s="1" t="s">
        <v>1</v>
      </c>
      <c r="D5" s="9">
        <v>43</v>
      </c>
      <c r="E5" s="9">
        <v>21</v>
      </c>
      <c r="F5" s="9">
        <v>0</v>
      </c>
      <c r="G5" s="9">
        <v>0</v>
      </c>
      <c r="H5" s="9">
        <v>9</v>
      </c>
      <c r="I5" s="9">
        <v>147</v>
      </c>
      <c r="J5" s="9">
        <v>7</v>
      </c>
      <c r="K5" s="9">
        <v>1</v>
      </c>
      <c r="L5" s="9">
        <v>0</v>
      </c>
      <c r="M5" s="9">
        <v>4</v>
      </c>
      <c r="N5" s="9">
        <v>0</v>
      </c>
      <c r="O5" s="9">
        <v>0</v>
      </c>
      <c r="P5" s="9">
        <v>0</v>
      </c>
      <c r="Q5" s="9">
        <v>4</v>
      </c>
      <c r="R5" s="9">
        <v>0</v>
      </c>
      <c r="S5" s="9">
        <v>0</v>
      </c>
      <c r="T5" s="9">
        <v>0</v>
      </c>
      <c r="U5" s="9">
        <v>5</v>
      </c>
      <c r="V5" s="9">
        <v>0</v>
      </c>
      <c r="W5" s="9">
        <v>0</v>
      </c>
      <c r="X5" s="1" t="s">
        <v>43</v>
      </c>
      <c r="Y5" s="30" t="s">
        <v>44</v>
      </c>
      <c r="Z5" s="22"/>
      <c r="AA5" s="21">
        <f t="shared" si="0"/>
        <v>181</v>
      </c>
      <c r="AB5" s="21">
        <f t="shared" si="0"/>
        <v>7</v>
      </c>
      <c r="AC5" s="21">
        <f t="shared" si="0"/>
        <v>1</v>
      </c>
      <c r="AD5" s="33">
        <f t="shared" si="1"/>
        <v>3.8674033149171269E-2</v>
      </c>
      <c r="AE5" s="33">
        <f t="shared" si="2"/>
        <v>5.5248618784530384E-3</v>
      </c>
    </row>
    <row r="6" spans="1:31" s="3" customFormat="1" hidden="1" x14ac:dyDescent="0.3">
      <c r="A6" s="9" t="s">
        <v>94</v>
      </c>
      <c r="B6" s="9">
        <v>19584</v>
      </c>
      <c r="C6" s="1" t="s">
        <v>1</v>
      </c>
      <c r="D6" s="9">
        <v>43</v>
      </c>
      <c r="E6" s="9">
        <v>21</v>
      </c>
      <c r="F6" s="9">
        <v>0</v>
      </c>
      <c r="G6" s="9">
        <v>0</v>
      </c>
      <c r="H6" s="9">
        <v>9</v>
      </c>
      <c r="I6" s="9">
        <v>147</v>
      </c>
      <c r="J6" s="9">
        <v>2</v>
      </c>
      <c r="K6" s="9">
        <v>0</v>
      </c>
      <c r="L6" s="9">
        <v>0</v>
      </c>
      <c r="M6" s="9">
        <v>4</v>
      </c>
      <c r="N6" s="9">
        <v>0</v>
      </c>
      <c r="O6" s="9">
        <v>0</v>
      </c>
      <c r="P6" s="9">
        <v>0</v>
      </c>
      <c r="Q6" s="9">
        <v>4</v>
      </c>
      <c r="R6" s="9">
        <v>0</v>
      </c>
      <c r="S6" s="9">
        <v>0</v>
      </c>
      <c r="T6" s="9">
        <v>0</v>
      </c>
      <c r="U6" s="9">
        <v>5</v>
      </c>
      <c r="V6" s="9">
        <v>0</v>
      </c>
      <c r="W6" s="9">
        <v>0</v>
      </c>
      <c r="X6" s="1" t="s">
        <v>97</v>
      </c>
      <c r="Y6" s="22"/>
      <c r="Z6" s="22"/>
      <c r="AA6" s="21">
        <f t="shared" si="0"/>
        <v>181</v>
      </c>
      <c r="AB6" s="21">
        <f t="shared" si="0"/>
        <v>2</v>
      </c>
      <c r="AC6" s="21">
        <f t="shared" si="0"/>
        <v>0</v>
      </c>
      <c r="AD6" s="33">
        <f t="shared" si="1"/>
        <v>1.1049723756906077E-2</v>
      </c>
      <c r="AE6" s="33">
        <f t="shared" si="2"/>
        <v>0</v>
      </c>
    </row>
    <row r="7" spans="1:31" s="3" customFormat="1" hidden="1" x14ac:dyDescent="0.3">
      <c r="A7" s="9" t="s">
        <v>104</v>
      </c>
      <c r="B7" s="9">
        <v>19584</v>
      </c>
      <c r="C7" s="1" t="s">
        <v>1</v>
      </c>
      <c r="D7" s="9">
        <v>43</v>
      </c>
      <c r="E7" s="9">
        <v>21</v>
      </c>
      <c r="F7" s="9">
        <v>0</v>
      </c>
      <c r="G7" s="9">
        <v>0</v>
      </c>
      <c r="H7" s="9">
        <v>9</v>
      </c>
      <c r="I7" s="9">
        <v>147</v>
      </c>
      <c r="J7" s="9">
        <v>0</v>
      </c>
      <c r="K7" s="9">
        <v>0</v>
      </c>
      <c r="L7" s="9">
        <v>0</v>
      </c>
      <c r="M7" s="9">
        <v>4</v>
      </c>
      <c r="N7" s="9">
        <v>0</v>
      </c>
      <c r="O7" s="9">
        <v>0</v>
      </c>
      <c r="P7" s="9">
        <v>0</v>
      </c>
      <c r="Q7" s="9">
        <v>4</v>
      </c>
      <c r="R7" s="9">
        <v>0</v>
      </c>
      <c r="S7" s="9">
        <v>0</v>
      </c>
      <c r="T7" s="9">
        <v>0</v>
      </c>
      <c r="U7" s="9">
        <v>5</v>
      </c>
      <c r="V7" s="9">
        <v>0</v>
      </c>
      <c r="W7" s="9">
        <v>0</v>
      </c>
      <c r="X7" s="1" t="s">
        <v>105</v>
      </c>
      <c r="Y7" s="22"/>
      <c r="Z7" s="22"/>
      <c r="AA7" s="21">
        <f t="shared" si="0"/>
        <v>181</v>
      </c>
      <c r="AB7" s="21">
        <f t="shared" si="0"/>
        <v>0</v>
      </c>
      <c r="AC7" s="21">
        <f t="shared" si="0"/>
        <v>0</v>
      </c>
      <c r="AD7" s="33">
        <f t="shared" si="1"/>
        <v>0</v>
      </c>
      <c r="AE7" s="33">
        <f t="shared" si="2"/>
        <v>0</v>
      </c>
    </row>
    <row r="8" spans="1:31" s="6" customFormat="1" hidden="1" x14ac:dyDescent="0.3">
      <c r="A8" s="10" t="s">
        <v>108</v>
      </c>
      <c r="B8" s="10">
        <v>19584</v>
      </c>
      <c r="C8" s="5" t="s">
        <v>1</v>
      </c>
      <c r="D8" s="9">
        <v>43</v>
      </c>
      <c r="E8" s="9">
        <v>21</v>
      </c>
      <c r="F8" s="9">
        <v>0</v>
      </c>
      <c r="G8" s="9">
        <v>0</v>
      </c>
      <c r="H8" s="9">
        <v>9</v>
      </c>
      <c r="I8" s="9">
        <v>147</v>
      </c>
      <c r="J8" s="10">
        <v>0</v>
      </c>
      <c r="K8" s="10">
        <v>1</v>
      </c>
      <c r="L8" s="9">
        <v>0</v>
      </c>
      <c r="M8" s="9">
        <v>4</v>
      </c>
      <c r="N8" s="9">
        <v>0</v>
      </c>
      <c r="O8" s="9">
        <v>0</v>
      </c>
      <c r="P8" s="9">
        <v>0</v>
      </c>
      <c r="Q8" s="9">
        <v>4</v>
      </c>
      <c r="R8" s="9">
        <v>0</v>
      </c>
      <c r="S8" s="9">
        <v>0</v>
      </c>
      <c r="T8" s="9">
        <v>0</v>
      </c>
      <c r="U8" s="9">
        <v>5</v>
      </c>
      <c r="V8" s="9">
        <v>0</v>
      </c>
      <c r="W8" s="9">
        <v>0</v>
      </c>
      <c r="X8" s="5" t="s">
        <v>109</v>
      </c>
      <c r="Y8" s="23"/>
      <c r="Z8" s="23"/>
      <c r="AA8" s="21">
        <f t="shared" si="0"/>
        <v>181</v>
      </c>
      <c r="AB8" s="21">
        <f t="shared" si="0"/>
        <v>0</v>
      </c>
      <c r="AC8" s="21">
        <f t="shared" si="0"/>
        <v>1</v>
      </c>
      <c r="AD8" s="33">
        <f t="shared" si="1"/>
        <v>0</v>
      </c>
      <c r="AE8" s="33">
        <f t="shared" si="2"/>
        <v>5.5248618784530384E-3</v>
      </c>
    </row>
    <row r="9" spans="1:31" hidden="1" x14ac:dyDescent="0.3">
      <c r="A9" s="9" t="s">
        <v>7</v>
      </c>
      <c r="B9" s="11">
        <v>36616</v>
      </c>
      <c r="C9" s="4" t="s">
        <v>26</v>
      </c>
      <c r="D9" s="9">
        <v>53</v>
      </c>
      <c r="E9" s="9">
        <v>21</v>
      </c>
      <c r="F9" s="9">
        <v>1</v>
      </c>
      <c r="G9" s="9">
        <v>0</v>
      </c>
      <c r="H9" s="9">
        <v>4</v>
      </c>
      <c r="I9" s="9">
        <v>147</v>
      </c>
      <c r="J9" s="9">
        <v>34</v>
      </c>
      <c r="K9" s="9">
        <v>0</v>
      </c>
      <c r="L9" s="9">
        <v>1</v>
      </c>
      <c r="M9" s="9">
        <v>4</v>
      </c>
      <c r="N9" s="9">
        <v>0</v>
      </c>
      <c r="O9" s="9">
        <v>0</v>
      </c>
      <c r="P9" s="9">
        <v>1</v>
      </c>
      <c r="Q9" s="9">
        <v>4</v>
      </c>
      <c r="R9" s="9">
        <v>0</v>
      </c>
      <c r="S9" s="9">
        <v>0</v>
      </c>
      <c r="T9" s="9">
        <v>6</v>
      </c>
      <c r="U9" s="9">
        <v>5</v>
      </c>
      <c r="V9" s="9">
        <v>0</v>
      </c>
      <c r="W9" s="9">
        <v>0</v>
      </c>
      <c r="X9" s="1" t="s">
        <v>27</v>
      </c>
      <c r="Y9" s="21"/>
      <c r="Z9" s="21"/>
      <c r="AA9" s="21">
        <f t="shared" si="0"/>
        <v>181</v>
      </c>
      <c r="AB9" s="21">
        <f t="shared" si="0"/>
        <v>35</v>
      </c>
      <c r="AC9" s="21">
        <f t="shared" si="0"/>
        <v>0</v>
      </c>
      <c r="AD9" s="33">
        <f t="shared" si="1"/>
        <v>0.19337016574585636</v>
      </c>
      <c r="AE9" s="33">
        <f t="shared" si="2"/>
        <v>0</v>
      </c>
    </row>
    <row r="10" spans="1:31" hidden="1" x14ac:dyDescent="0.3">
      <c r="A10" s="9" t="s">
        <v>23</v>
      </c>
      <c r="B10" s="11">
        <v>36616</v>
      </c>
      <c r="C10" s="4" t="s">
        <v>26</v>
      </c>
      <c r="D10" s="9">
        <v>53</v>
      </c>
      <c r="E10" s="9">
        <v>21</v>
      </c>
      <c r="F10" s="9">
        <v>1</v>
      </c>
      <c r="G10" s="9">
        <v>0</v>
      </c>
      <c r="H10" s="9">
        <v>4</v>
      </c>
      <c r="I10" s="9">
        <v>147</v>
      </c>
      <c r="J10" s="9">
        <v>7</v>
      </c>
      <c r="K10" s="9">
        <v>0</v>
      </c>
      <c r="L10" s="9">
        <v>1</v>
      </c>
      <c r="M10" s="9">
        <v>4</v>
      </c>
      <c r="N10" s="9">
        <v>0</v>
      </c>
      <c r="O10" s="9">
        <v>0</v>
      </c>
      <c r="P10" s="9">
        <v>1</v>
      </c>
      <c r="Q10" s="9">
        <v>4</v>
      </c>
      <c r="R10" s="9">
        <v>0</v>
      </c>
      <c r="S10" s="9">
        <v>0</v>
      </c>
      <c r="T10" s="9">
        <v>6</v>
      </c>
      <c r="U10" s="9">
        <v>5</v>
      </c>
      <c r="V10" s="9">
        <v>0</v>
      </c>
      <c r="W10" s="9">
        <v>0</v>
      </c>
      <c r="X10" s="1" t="s">
        <v>30</v>
      </c>
      <c r="Y10" s="21"/>
      <c r="Z10" s="21"/>
      <c r="AA10" s="21">
        <f t="shared" si="0"/>
        <v>181</v>
      </c>
      <c r="AB10" s="21">
        <f t="shared" si="0"/>
        <v>8</v>
      </c>
      <c r="AC10" s="21">
        <f t="shared" si="0"/>
        <v>0</v>
      </c>
      <c r="AD10" s="33">
        <f t="shared" si="1"/>
        <v>4.4198895027624308E-2</v>
      </c>
      <c r="AE10" s="33">
        <f t="shared" si="2"/>
        <v>0</v>
      </c>
    </row>
    <row r="11" spans="1:31" hidden="1" x14ac:dyDescent="0.3">
      <c r="A11" s="9" t="s">
        <v>28</v>
      </c>
      <c r="B11" s="11">
        <v>36616</v>
      </c>
      <c r="C11" s="4" t="s">
        <v>26</v>
      </c>
      <c r="D11" s="9">
        <v>53</v>
      </c>
      <c r="E11" s="9">
        <v>21</v>
      </c>
      <c r="F11" s="9">
        <v>0</v>
      </c>
      <c r="G11" s="9">
        <v>0</v>
      </c>
      <c r="H11" s="9">
        <v>4</v>
      </c>
      <c r="I11" s="9">
        <v>147</v>
      </c>
      <c r="J11" s="9">
        <v>6</v>
      </c>
      <c r="K11" s="9">
        <v>1</v>
      </c>
      <c r="L11" s="9">
        <v>1</v>
      </c>
      <c r="M11" s="9">
        <v>4</v>
      </c>
      <c r="N11" s="9">
        <v>0</v>
      </c>
      <c r="O11" s="9">
        <v>0</v>
      </c>
      <c r="P11" s="9">
        <v>1</v>
      </c>
      <c r="Q11" s="9">
        <v>4</v>
      </c>
      <c r="R11" s="9">
        <v>0</v>
      </c>
      <c r="S11" s="9">
        <v>0</v>
      </c>
      <c r="T11" s="9">
        <v>6</v>
      </c>
      <c r="U11" s="9">
        <v>5</v>
      </c>
      <c r="V11" s="9">
        <v>0</v>
      </c>
      <c r="W11" s="9">
        <v>0</v>
      </c>
      <c r="X11" s="1" t="s">
        <v>46</v>
      </c>
      <c r="Y11" s="31" t="s">
        <v>47</v>
      </c>
      <c r="Z11" s="21"/>
      <c r="AA11" s="21">
        <f t="shared" si="0"/>
        <v>181</v>
      </c>
      <c r="AB11" s="21">
        <f t="shared" si="0"/>
        <v>6</v>
      </c>
      <c r="AC11" s="21">
        <f t="shared" si="0"/>
        <v>1</v>
      </c>
      <c r="AD11" s="33">
        <f t="shared" si="1"/>
        <v>3.3149171270718231E-2</v>
      </c>
      <c r="AE11" s="33">
        <f t="shared" si="2"/>
        <v>5.5248618784530384E-3</v>
      </c>
    </row>
    <row r="12" spans="1:31" hidden="1" x14ac:dyDescent="0.3">
      <c r="A12" s="9" t="s">
        <v>40</v>
      </c>
      <c r="B12" s="11">
        <v>36616</v>
      </c>
      <c r="C12" s="4" t="s">
        <v>26</v>
      </c>
      <c r="D12" s="9">
        <v>53</v>
      </c>
      <c r="E12" s="9">
        <v>21</v>
      </c>
      <c r="F12" s="9">
        <v>0</v>
      </c>
      <c r="G12" s="9">
        <v>0</v>
      </c>
      <c r="H12" s="9">
        <v>4</v>
      </c>
      <c r="I12" s="9">
        <v>147</v>
      </c>
      <c r="J12" s="9">
        <v>2</v>
      </c>
      <c r="K12" s="9">
        <v>1</v>
      </c>
      <c r="L12" s="9">
        <v>1</v>
      </c>
      <c r="M12" s="9">
        <v>4</v>
      </c>
      <c r="N12" s="9">
        <v>0</v>
      </c>
      <c r="O12" s="9">
        <v>0</v>
      </c>
      <c r="P12" s="9">
        <v>1</v>
      </c>
      <c r="Q12" s="9">
        <v>4</v>
      </c>
      <c r="R12" s="9">
        <v>0</v>
      </c>
      <c r="S12" s="9">
        <v>0</v>
      </c>
      <c r="T12" s="9">
        <v>6</v>
      </c>
      <c r="U12" s="9">
        <v>5</v>
      </c>
      <c r="V12" s="9">
        <v>0</v>
      </c>
      <c r="W12" s="9">
        <v>0</v>
      </c>
      <c r="X12" s="1" t="s">
        <v>98</v>
      </c>
      <c r="Y12" s="21"/>
      <c r="Z12" s="21"/>
      <c r="AA12" s="21">
        <f t="shared" si="0"/>
        <v>181</v>
      </c>
      <c r="AB12" s="21">
        <f t="shared" si="0"/>
        <v>2</v>
      </c>
      <c r="AC12" s="21">
        <f t="shared" si="0"/>
        <v>1</v>
      </c>
      <c r="AD12" s="33">
        <f t="shared" si="1"/>
        <v>1.1049723756906077E-2</v>
      </c>
      <c r="AE12" s="33">
        <f t="shared" si="2"/>
        <v>5.5248618784530384E-3</v>
      </c>
    </row>
    <row r="13" spans="1:31" hidden="1" x14ac:dyDescent="0.3">
      <c r="A13" s="9" t="s">
        <v>94</v>
      </c>
      <c r="B13" s="11">
        <v>36616</v>
      </c>
      <c r="C13" s="4" t="s">
        <v>26</v>
      </c>
      <c r="D13" s="9">
        <v>53</v>
      </c>
      <c r="E13" s="9">
        <v>21</v>
      </c>
      <c r="F13" s="9">
        <v>0</v>
      </c>
      <c r="G13" s="9">
        <v>0</v>
      </c>
      <c r="H13" s="9">
        <v>4</v>
      </c>
      <c r="I13" s="9">
        <v>147</v>
      </c>
      <c r="J13" s="9">
        <v>0</v>
      </c>
      <c r="K13" s="9">
        <v>1</v>
      </c>
      <c r="L13" s="9">
        <v>1</v>
      </c>
      <c r="M13" s="9">
        <v>4</v>
      </c>
      <c r="N13" s="9">
        <v>0</v>
      </c>
      <c r="O13" s="9">
        <v>0</v>
      </c>
      <c r="P13" s="9">
        <v>1</v>
      </c>
      <c r="Q13" s="9">
        <v>4</v>
      </c>
      <c r="R13" s="9">
        <v>0</v>
      </c>
      <c r="S13" s="9">
        <v>0</v>
      </c>
      <c r="T13" s="9">
        <v>6</v>
      </c>
      <c r="U13" s="9">
        <v>5</v>
      </c>
      <c r="V13" s="9">
        <v>0</v>
      </c>
      <c r="W13" s="9">
        <v>0</v>
      </c>
      <c r="X13" s="1" t="s">
        <v>103</v>
      </c>
      <c r="Y13" s="21"/>
      <c r="Z13" s="21"/>
      <c r="AA13" s="21">
        <f t="shared" si="0"/>
        <v>181</v>
      </c>
      <c r="AB13" s="21">
        <f t="shared" si="0"/>
        <v>0</v>
      </c>
      <c r="AC13" s="21">
        <f t="shared" si="0"/>
        <v>1</v>
      </c>
      <c r="AD13" s="33">
        <f t="shared" si="1"/>
        <v>0</v>
      </c>
      <c r="AE13" s="33">
        <f t="shared" si="2"/>
        <v>5.5248618784530384E-3</v>
      </c>
    </row>
    <row r="14" spans="1:31" s="8" customFormat="1" hidden="1" x14ac:dyDescent="0.3">
      <c r="A14" s="10" t="s">
        <v>104</v>
      </c>
      <c r="B14" s="12">
        <v>36616</v>
      </c>
      <c r="C14" s="7" t="s">
        <v>26</v>
      </c>
      <c r="D14" s="9">
        <v>53</v>
      </c>
      <c r="E14" s="9">
        <v>21</v>
      </c>
      <c r="F14" s="9">
        <v>0</v>
      </c>
      <c r="G14" s="9">
        <v>0</v>
      </c>
      <c r="H14" s="9">
        <v>4</v>
      </c>
      <c r="I14" s="9">
        <v>147</v>
      </c>
      <c r="J14" s="10">
        <v>1</v>
      </c>
      <c r="K14" s="10">
        <v>0</v>
      </c>
      <c r="L14" s="10">
        <v>1</v>
      </c>
      <c r="M14" s="9">
        <v>4</v>
      </c>
      <c r="N14" s="9">
        <v>0</v>
      </c>
      <c r="O14" s="9">
        <v>0</v>
      </c>
      <c r="P14" s="9">
        <v>1</v>
      </c>
      <c r="Q14" s="9">
        <v>4</v>
      </c>
      <c r="R14" s="9">
        <v>0</v>
      </c>
      <c r="S14" s="9">
        <v>0</v>
      </c>
      <c r="T14" s="9">
        <v>6</v>
      </c>
      <c r="U14" s="9">
        <v>5</v>
      </c>
      <c r="V14" s="9">
        <v>0</v>
      </c>
      <c r="W14" s="9">
        <v>0</v>
      </c>
      <c r="X14" s="5" t="s">
        <v>111</v>
      </c>
      <c r="Y14" s="24"/>
      <c r="Z14" s="24"/>
      <c r="AA14" s="21">
        <f t="shared" si="0"/>
        <v>181</v>
      </c>
      <c r="AB14" s="21">
        <f t="shared" si="0"/>
        <v>1</v>
      </c>
      <c r="AC14" s="21">
        <f t="shared" si="0"/>
        <v>0</v>
      </c>
      <c r="AD14" s="33">
        <f t="shared" si="1"/>
        <v>5.5248618784530384E-3</v>
      </c>
      <c r="AE14" s="33">
        <f t="shared" si="2"/>
        <v>0</v>
      </c>
    </row>
    <row r="15" spans="1:31" hidden="1" x14ac:dyDescent="0.3">
      <c r="A15" s="9" t="s">
        <v>7</v>
      </c>
      <c r="B15" s="11">
        <v>1010119</v>
      </c>
      <c r="C15" s="4" t="s">
        <v>31</v>
      </c>
      <c r="D15" s="9">
        <v>2</v>
      </c>
      <c r="E15" s="9">
        <v>21</v>
      </c>
      <c r="F15" s="9">
        <v>0</v>
      </c>
      <c r="G15" s="9">
        <v>0</v>
      </c>
      <c r="H15" s="9">
        <v>1</v>
      </c>
      <c r="I15" s="9">
        <v>147</v>
      </c>
      <c r="J15" s="9">
        <v>7</v>
      </c>
      <c r="K15" s="9">
        <v>0</v>
      </c>
      <c r="L15" s="9">
        <v>0</v>
      </c>
      <c r="M15" s="9">
        <v>4</v>
      </c>
      <c r="N15" s="9">
        <v>0</v>
      </c>
      <c r="O15" s="9">
        <v>0</v>
      </c>
      <c r="P15" s="9">
        <v>0</v>
      </c>
      <c r="Q15" s="9">
        <v>4</v>
      </c>
      <c r="R15" s="9">
        <v>0</v>
      </c>
      <c r="S15" s="9">
        <v>0</v>
      </c>
      <c r="T15" s="9">
        <v>0</v>
      </c>
      <c r="U15" s="9">
        <v>5</v>
      </c>
      <c r="V15" s="9">
        <v>0</v>
      </c>
      <c r="W15" s="9">
        <v>0</v>
      </c>
      <c r="X15" s="1" t="s">
        <v>29</v>
      </c>
      <c r="Y15" s="21"/>
      <c r="Z15" s="21"/>
      <c r="AA15" s="21">
        <f t="shared" si="0"/>
        <v>181</v>
      </c>
      <c r="AB15" s="21">
        <f t="shared" si="0"/>
        <v>7</v>
      </c>
      <c r="AC15" s="21">
        <f t="shared" si="0"/>
        <v>0</v>
      </c>
      <c r="AD15" s="33">
        <f t="shared" si="1"/>
        <v>3.8674033149171269E-2</v>
      </c>
      <c r="AE15" s="33">
        <f t="shared" si="2"/>
        <v>0</v>
      </c>
    </row>
    <row r="16" spans="1:31" hidden="1" x14ac:dyDescent="0.3">
      <c r="A16" s="9" t="s">
        <v>23</v>
      </c>
      <c r="B16" s="11">
        <v>1010119</v>
      </c>
      <c r="C16" s="4" t="s">
        <v>31</v>
      </c>
      <c r="D16" s="9">
        <v>2</v>
      </c>
      <c r="E16" s="9">
        <v>21</v>
      </c>
      <c r="F16" s="9">
        <v>0</v>
      </c>
      <c r="G16" s="9">
        <v>0</v>
      </c>
      <c r="H16" s="9">
        <v>1</v>
      </c>
      <c r="I16" s="9">
        <v>147</v>
      </c>
      <c r="J16" s="9">
        <v>6</v>
      </c>
      <c r="K16" s="9">
        <v>1</v>
      </c>
      <c r="L16" s="9">
        <v>0</v>
      </c>
      <c r="M16" s="9">
        <v>4</v>
      </c>
      <c r="N16" s="9">
        <v>0</v>
      </c>
      <c r="O16" s="9">
        <v>0</v>
      </c>
      <c r="P16" s="9">
        <v>0</v>
      </c>
      <c r="Q16" s="9">
        <v>4</v>
      </c>
      <c r="R16" s="9">
        <v>0</v>
      </c>
      <c r="S16" s="9">
        <v>0</v>
      </c>
      <c r="T16" s="9">
        <v>0</v>
      </c>
      <c r="U16" s="9">
        <v>5</v>
      </c>
      <c r="V16" s="9">
        <v>0</v>
      </c>
      <c r="W16" s="9">
        <v>0</v>
      </c>
      <c r="X16" s="1" t="s">
        <v>32</v>
      </c>
      <c r="Y16" s="21"/>
      <c r="Z16" s="21"/>
      <c r="AA16" s="21">
        <f t="shared" si="0"/>
        <v>181</v>
      </c>
      <c r="AB16" s="21">
        <f t="shared" si="0"/>
        <v>6</v>
      </c>
      <c r="AC16" s="21">
        <f t="shared" si="0"/>
        <v>1</v>
      </c>
      <c r="AD16" s="33">
        <f t="shared" si="1"/>
        <v>3.3149171270718231E-2</v>
      </c>
      <c r="AE16" s="33">
        <f t="shared" si="2"/>
        <v>5.5248618784530384E-3</v>
      </c>
    </row>
    <row r="17" spans="1:31" hidden="1" x14ac:dyDescent="0.3">
      <c r="A17" s="9" t="s">
        <v>28</v>
      </c>
      <c r="B17" s="11">
        <v>1010119</v>
      </c>
      <c r="C17" s="4" t="s">
        <v>31</v>
      </c>
      <c r="D17" s="9">
        <v>2</v>
      </c>
      <c r="E17" s="9">
        <v>21</v>
      </c>
      <c r="F17" s="9">
        <v>0</v>
      </c>
      <c r="G17" s="9">
        <v>0</v>
      </c>
      <c r="H17" s="9">
        <v>1</v>
      </c>
      <c r="I17" s="9">
        <v>147</v>
      </c>
      <c r="J17" s="9">
        <v>6</v>
      </c>
      <c r="K17" s="9">
        <v>0</v>
      </c>
      <c r="L17" s="9">
        <v>0</v>
      </c>
      <c r="M17" s="9">
        <v>4</v>
      </c>
      <c r="N17" s="9">
        <v>0</v>
      </c>
      <c r="O17" s="9">
        <v>0</v>
      </c>
      <c r="P17" s="9">
        <v>0</v>
      </c>
      <c r="Q17" s="9">
        <v>4</v>
      </c>
      <c r="R17" s="9">
        <v>0</v>
      </c>
      <c r="S17" s="9">
        <v>0</v>
      </c>
      <c r="T17" s="9">
        <v>0</v>
      </c>
      <c r="U17" s="9">
        <v>5</v>
      </c>
      <c r="V17" s="9">
        <v>0</v>
      </c>
      <c r="W17" s="9">
        <v>0</v>
      </c>
      <c r="X17" s="1" t="s">
        <v>48</v>
      </c>
      <c r="Y17" s="31" t="s">
        <v>49</v>
      </c>
      <c r="Z17" s="21"/>
      <c r="AA17" s="21">
        <f t="shared" si="0"/>
        <v>181</v>
      </c>
      <c r="AB17" s="21">
        <f t="shared" si="0"/>
        <v>6</v>
      </c>
      <c r="AC17" s="21">
        <f t="shared" si="0"/>
        <v>0</v>
      </c>
      <c r="AD17" s="33">
        <f t="shared" si="1"/>
        <v>3.3149171270718231E-2</v>
      </c>
      <c r="AE17" s="33">
        <f t="shared" si="2"/>
        <v>0</v>
      </c>
    </row>
    <row r="18" spans="1:31" ht="13.8" hidden="1" customHeight="1" x14ac:dyDescent="0.3">
      <c r="A18" s="9" t="s">
        <v>40</v>
      </c>
      <c r="B18" s="11">
        <v>1010119</v>
      </c>
      <c r="C18" s="4" t="s">
        <v>31</v>
      </c>
      <c r="D18" s="9">
        <v>2</v>
      </c>
      <c r="E18" s="9">
        <v>21</v>
      </c>
      <c r="F18" s="9">
        <v>0</v>
      </c>
      <c r="G18" s="9">
        <v>1</v>
      </c>
      <c r="H18" s="9">
        <v>1</v>
      </c>
      <c r="I18" s="9">
        <v>147</v>
      </c>
      <c r="J18" s="9">
        <v>2</v>
      </c>
      <c r="K18" s="9">
        <v>0</v>
      </c>
      <c r="L18" s="9">
        <v>0</v>
      </c>
      <c r="M18" s="9">
        <v>4</v>
      </c>
      <c r="N18" s="9">
        <v>0</v>
      </c>
      <c r="O18" s="9">
        <v>0</v>
      </c>
      <c r="P18" s="9">
        <v>0</v>
      </c>
      <c r="Q18" s="9">
        <v>4</v>
      </c>
      <c r="R18" s="9">
        <v>0</v>
      </c>
      <c r="S18" s="9">
        <v>0</v>
      </c>
      <c r="T18" s="9">
        <v>0</v>
      </c>
      <c r="U18" s="9">
        <v>5</v>
      </c>
      <c r="V18" s="9">
        <v>0</v>
      </c>
      <c r="W18" s="9">
        <v>0</v>
      </c>
      <c r="X18" s="1" t="s">
        <v>99</v>
      </c>
      <c r="Y18" s="21"/>
      <c r="Z18" s="21"/>
      <c r="AA18" s="21">
        <f t="shared" si="0"/>
        <v>181</v>
      </c>
      <c r="AB18" s="21">
        <f t="shared" si="0"/>
        <v>2</v>
      </c>
      <c r="AC18" s="21">
        <f t="shared" si="0"/>
        <v>1</v>
      </c>
      <c r="AD18" s="33">
        <f t="shared" si="1"/>
        <v>1.1049723756906077E-2</v>
      </c>
      <c r="AE18" s="33">
        <f t="shared" si="2"/>
        <v>5.5248618784530384E-3</v>
      </c>
    </row>
    <row r="19" spans="1:31" ht="13.8" hidden="1" customHeight="1" x14ac:dyDescent="0.3">
      <c r="A19" s="9" t="s">
        <v>94</v>
      </c>
      <c r="B19" s="11">
        <v>1010119</v>
      </c>
      <c r="C19" s="4" t="s">
        <v>31</v>
      </c>
      <c r="D19" s="9">
        <v>2</v>
      </c>
      <c r="E19" s="9">
        <v>21</v>
      </c>
      <c r="F19" s="9">
        <v>0</v>
      </c>
      <c r="G19" s="9">
        <v>1</v>
      </c>
      <c r="H19" s="9">
        <v>1</v>
      </c>
      <c r="I19" s="9">
        <v>147</v>
      </c>
      <c r="J19" s="9">
        <v>2</v>
      </c>
      <c r="K19" s="9">
        <v>0</v>
      </c>
      <c r="L19" s="9">
        <v>0</v>
      </c>
      <c r="M19" s="9">
        <v>4</v>
      </c>
      <c r="N19" s="9">
        <v>0</v>
      </c>
      <c r="O19" s="9">
        <v>0</v>
      </c>
      <c r="P19" s="9">
        <v>0</v>
      </c>
      <c r="Q19" s="9">
        <v>4</v>
      </c>
      <c r="R19" s="9">
        <v>0</v>
      </c>
      <c r="S19" s="9">
        <v>0</v>
      </c>
      <c r="T19" s="9">
        <v>0</v>
      </c>
      <c r="U19" s="9">
        <v>5</v>
      </c>
      <c r="V19" s="9">
        <v>0</v>
      </c>
      <c r="W19" s="9">
        <v>0</v>
      </c>
      <c r="X19" s="1" t="s">
        <v>99</v>
      </c>
      <c r="Y19" s="21"/>
      <c r="Z19" s="21"/>
      <c r="AA19" s="21">
        <f t="shared" si="0"/>
        <v>181</v>
      </c>
      <c r="AB19" s="21">
        <f t="shared" si="0"/>
        <v>2</v>
      </c>
      <c r="AC19" s="21">
        <f t="shared" si="0"/>
        <v>1</v>
      </c>
      <c r="AD19" s="33">
        <f t="shared" si="1"/>
        <v>1.1049723756906077E-2</v>
      </c>
      <c r="AE19" s="33">
        <f t="shared" si="2"/>
        <v>5.5248618784530384E-3</v>
      </c>
    </row>
    <row r="20" spans="1:31" s="8" customFormat="1" ht="13.8" hidden="1" customHeight="1" x14ac:dyDescent="0.3">
      <c r="A20" s="10" t="s">
        <v>104</v>
      </c>
      <c r="B20" s="12">
        <v>1010119</v>
      </c>
      <c r="C20" s="7" t="s">
        <v>31</v>
      </c>
      <c r="D20" s="10">
        <v>2</v>
      </c>
      <c r="E20" s="10">
        <v>21</v>
      </c>
      <c r="F20" s="10">
        <v>0</v>
      </c>
      <c r="G20" s="10">
        <v>0</v>
      </c>
      <c r="H20" s="10">
        <v>1</v>
      </c>
      <c r="I20" s="10">
        <v>147</v>
      </c>
      <c r="J20" s="10">
        <v>0</v>
      </c>
      <c r="K20" s="10">
        <v>0</v>
      </c>
      <c r="L20" s="9">
        <v>0</v>
      </c>
      <c r="M20" s="9">
        <v>4</v>
      </c>
      <c r="N20" s="9">
        <v>0</v>
      </c>
      <c r="O20" s="9">
        <v>0</v>
      </c>
      <c r="P20" s="9">
        <v>0</v>
      </c>
      <c r="Q20" s="9">
        <v>4</v>
      </c>
      <c r="R20" s="9">
        <v>0</v>
      </c>
      <c r="S20" s="9">
        <v>0</v>
      </c>
      <c r="T20" s="9">
        <v>0</v>
      </c>
      <c r="U20" s="9">
        <v>5</v>
      </c>
      <c r="V20" s="9">
        <v>0</v>
      </c>
      <c r="W20" s="9">
        <v>0</v>
      </c>
      <c r="X20" s="5" t="s">
        <v>105</v>
      </c>
      <c r="Y20" s="24"/>
      <c r="Z20" s="24"/>
      <c r="AA20" s="21">
        <f t="shared" si="0"/>
        <v>181</v>
      </c>
      <c r="AB20" s="21">
        <f t="shared" si="0"/>
        <v>0</v>
      </c>
      <c r="AC20" s="21">
        <f t="shared" si="0"/>
        <v>0</v>
      </c>
      <c r="AD20" s="33">
        <f t="shared" si="1"/>
        <v>0</v>
      </c>
      <c r="AE20" s="33">
        <f t="shared" si="2"/>
        <v>0</v>
      </c>
    </row>
    <row r="21" spans="1:31" hidden="1" x14ac:dyDescent="0.3">
      <c r="A21" s="9" t="s">
        <v>7</v>
      </c>
      <c r="B21" s="9">
        <v>1012229</v>
      </c>
      <c r="C21" s="1" t="s">
        <v>50</v>
      </c>
      <c r="D21" s="9">
        <v>10</v>
      </c>
      <c r="E21" s="9">
        <v>21</v>
      </c>
      <c r="F21" s="9">
        <v>0</v>
      </c>
      <c r="G21" s="9">
        <v>0</v>
      </c>
      <c r="H21" s="9">
        <v>1</v>
      </c>
      <c r="I21" s="9">
        <v>147</v>
      </c>
      <c r="J21" s="10">
        <v>5</v>
      </c>
      <c r="K21" s="9">
        <v>0</v>
      </c>
      <c r="L21" s="9">
        <v>2</v>
      </c>
      <c r="M21" s="9">
        <v>4</v>
      </c>
      <c r="N21" s="9">
        <v>0</v>
      </c>
      <c r="O21" s="9">
        <v>0</v>
      </c>
      <c r="P21" s="9">
        <v>0</v>
      </c>
      <c r="Q21" s="9">
        <v>4</v>
      </c>
      <c r="R21" s="9">
        <v>0</v>
      </c>
      <c r="S21" s="9">
        <v>0</v>
      </c>
      <c r="T21" s="9">
        <v>0</v>
      </c>
      <c r="U21" s="9">
        <v>5</v>
      </c>
      <c r="V21" s="9">
        <v>0</v>
      </c>
      <c r="W21" s="9">
        <v>0</v>
      </c>
      <c r="X21" s="1" t="s">
        <v>52</v>
      </c>
      <c r="Y21" s="21"/>
      <c r="Z21" s="21"/>
      <c r="AA21" s="21">
        <f t="shared" si="0"/>
        <v>181</v>
      </c>
      <c r="AB21" s="21">
        <f t="shared" si="0"/>
        <v>5</v>
      </c>
      <c r="AC21" s="21">
        <f t="shared" si="0"/>
        <v>0</v>
      </c>
      <c r="AD21" s="33">
        <f t="shared" si="1"/>
        <v>2.7624309392265192E-2</v>
      </c>
      <c r="AE21" s="33">
        <f t="shared" si="2"/>
        <v>0</v>
      </c>
    </row>
    <row r="22" spans="1:31" hidden="1" x14ac:dyDescent="0.3">
      <c r="A22" s="9" t="s">
        <v>23</v>
      </c>
      <c r="B22" s="9">
        <v>1012229</v>
      </c>
      <c r="C22" s="1" t="s">
        <v>50</v>
      </c>
      <c r="D22" s="9">
        <v>10</v>
      </c>
      <c r="E22" s="9">
        <v>21</v>
      </c>
      <c r="F22" s="9">
        <v>0</v>
      </c>
      <c r="G22" s="9">
        <v>0</v>
      </c>
      <c r="H22" s="9">
        <v>1</v>
      </c>
      <c r="I22" s="9">
        <v>147</v>
      </c>
      <c r="J22" s="9">
        <v>6</v>
      </c>
      <c r="K22" s="9">
        <v>3</v>
      </c>
      <c r="L22" s="9">
        <v>2</v>
      </c>
      <c r="M22" s="9">
        <v>4</v>
      </c>
      <c r="N22" s="9">
        <v>0</v>
      </c>
      <c r="O22" s="9">
        <v>1</v>
      </c>
      <c r="P22" s="9">
        <v>0</v>
      </c>
      <c r="Q22" s="9">
        <v>4</v>
      </c>
      <c r="R22" s="9">
        <v>0</v>
      </c>
      <c r="S22" s="9">
        <v>0</v>
      </c>
      <c r="T22" s="9">
        <v>0</v>
      </c>
      <c r="U22" s="9">
        <v>5</v>
      </c>
      <c r="V22" s="9">
        <v>0</v>
      </c>
      <c r="W22" s="9">
        <v>0</v>
      </c>
      <c r="X22" s="1" t="s">
        <v>51</v>
      </c>
      <c r="Y22" s="31" t="s">
        <v>55</v>
      </c>
      <c r="Z22" s="21"/>
      <c r="AA22" s="21">
        <f t="shared" si="0"/>
        <v>181</v>
      </c>
      <c r="AB22" s="21">
        <f t="shared" si="0"/>
        <v>6</v>
      </c>
      <c r="AC22" s="21">
        <f t="shared" si="0"/>
        <v>4</v>
      </c>
      <c r="AD22" s="33">
        <f t="shared" si="1"/>
        <v>3.3149171270718231E-2</v>
      </c>
      <c r="AE22" s="33">
        <f t="shared" si="2"/>
        <v>2.2099447513812154E-2</v>
      </c>
    </row>
    <row r="23" spans="1:31" hidden="1" x14ac:dyDescent="0.3">
      <c r="A23" s="9" t="s">
        <v>28</v>
      </c>
      <c r="B23" s="9">
        <v>1012229</v>
      </c>
      <c r="C23" s="1" t="s">
        <v>50</v>
      </c>
      <c r="D23" s="9">
        <v>10</v>
      </c>
      <c r="E23" s="9">
        <v>21</v>
      </c>
      <c r="F23" s="9">
        <v>0</v>
      </c>
      <c r="G23" s="9">
        <v>0</v>
      </c>
      <c r="H23" s="9">
        <v>1</v>
      </c>
      <c r="I23" s="9">
        <v>147</v>
      </c>
      <c r="J23" s="9">
        <v>0</v>
      </c>
      <c r="K23" s="9">
        <v>1</v>
      </c>
      <c r="L23" s="9">
        <v>2</v>
      </c>
      <c r="M23" s="9">
        <v>4</v>
      </c>
      <c r="N23" s="9">
        <v>0</v>
      </c>
      <c r="O23" s="9">
        <v>1</v>
      </c>
      <c r="P23" s="9">
        <v>0</v>
      </c>
      <c r="Q23" s="9">
        <v>4</v>
      </c>
      <c r="R23" s="9">
        <v>0</v>
      </c>
      <c r="S23" s="9">
        <v>0</v>
      </c>
      <c r="T23" s="9">
        <v>0</v>
      </c>
      <c r="U23" s="9">
        <v>5</v>
      </c>
      <c r="V23" s="9">
        <v>0</v>
      </c>
      <c r="W23" s="9">
        <v>0</v>
      </c>
      <c r="X23" s="1" t="s">
        <v>100</v>
      </c>
      <c r="Y23" s="21"/>
      <c r="Z23" s="21"/>
      <c r="AA23" s="21">
        <f t="shared" si="0"/>
        <v>181</v>
      </c>
      <c r="AB23" s="21">
        <f t="shared" si="0"/>
        <v>0</v>
      </c>
      <c r="AC23" s="21">
        <f t="shared" si="0"/>
        <v>2</v>
      </c>
      <c r="AD23" s="33">
        <f t="shared" si="1"/>
        <v>0</v>
      </c>
      <c r="AE23" s="33">
        <f t="shared" si="2"/>
        <v>1.1049723756906077E-2</v>
      </c>
    </row>
    <row r="24" spans="1:31" hidden="1" x14ac:dyDescent="0.3">
      <c r="A24" s="9" t="s">
        <v>40</v>
      </c>
      <c r="B24" s="9">
        <v>1012229</v>
      </c>
      <c r="C24" s="1" t="s">
        <v>50</v>
      </c>
      <c r="D24" s="9">
        <v>10</v>
      </c>
      <c r="E24" s="9">
        <v>21</v>
      </c>
      <c r="F24" s="9">
        <v>0</v>
      </c>
      <c r="G24" s="9">
        <v>0</v>
      </c>
      <c r="H24" s="9">
        <v>1</v>
      </c>
      <c r="I24" s="9">
        <v>147</v>
      </c>
      <c r="J24" s="9">
        <v>3</v>
      </c>
      <c r="K24" s="9">
        <v>0</v>
      </c>
      <c r="L24" s="9">
        <v>2</v>
      </c>
      <c r="M24" s="9">
        <v>4</v>
      </c>
      <c r="N24" s="9">
        <v>0</v>
      </c>
      <c r="O24" s="9">
        <v>0</v>
      </c>
      <c r="P24" s="9">
        <v>0</v>
      </c>
      <c r="Q24" s="9">
        <v>4</v>
      </c>
      <c r="R24" s="9">
        <v>0</v>
      </c>
      <c r="S24" s="9">
        <v>0</v>
      </c>
      <c r="T24" s="9">
        <v>0</v>
      </c>
      <c r="U24" s="9">
        <v>5</v>
      </c>
      <c r="V24" s="9">
        <v>0</v>
      </c>
      <c r="W24" s="9">
        <v>0</v>
      </c>
      <c r="X24" s="1" t="s">
        <v>106</v>
      </c>
      <c r="Y24" s="21"/>
      <c r="Z24" s="21"/>
      <c r="AA24" s="21">
        <f t="shared" si="0"/>
        <v>181</v>
      </c>
      <c r="AB24" s="21">
        <f t="shared" si="0"/>
        <v>3</v>
      </c>
      <c r="AC24" s="21">
        <f t="shared" si="0"/>
        <v>0</v>
      </c>
      <c r="AD24" s="33">
        <f t="shared" si="1"/>
        <v>1.6574585635359115E-2</v>
      </c>
      <c r="AE24" s="33">
        <f t="shared" si="2"/>
        <v>0</v>
      </c>
    </row>
    <row r="25" spans="1:31" s="8" customFormat="1" hidden="1" x14ac:dyDescent="0.3">
      <c r="A25" s="10" t="s">
        <v>94</v>
      </c>
      <c r="B25" s="10">
        <v>1012229</v>
      </c>
      <c r="C25" s="5" t="s">
        <v>50</v>
      </c>
      <c r="D25" s="10">
        <v>10</v>
      </c>
      <c r="E25" s="10">
        <v>21</v>
      </c>
      <c r="F25" s="10">
        <v>0</v>
      </c>
      <c r="G25" s="10">
        <v>0</v>
      </c>
      <c r="H25" s="10">
        <v>1</v>
      </c>
      <c r="I25" s="10">
        <v>147</v>
      </c>
      <c r="J25" s="10">
        <v>0</v>
      </c>
      <c r="K25" s="10">
        <v>0</v>
      </c>
      <c r="L25" s="10">
        <v>2</v>
      </c>
      <c r="M25" s="10">
        <v>4</v>
      </c>
      <c r="N25" s="10">
        <v>0</v>
      </c>
      <c r="O25" s="10">
        <v>0</v>
      </c>
      <c r="P25" s="10">
        <v>0</v>
      </c>
      <c r="Q25" s="10">
        <v>4</v>
      </c>
      <c r="R25" s="10">
        <v>0</v>
      </c>
      <c r="S25" s="10">
        <v>0</v>
      </c>
      <c r="T25" s="10">
        <v>0</v>
      </c>
      <c r="U25" s="9">
        <v>5</v>
      </c>
      <c r="V25" s="10">
        <v>0</v>
      </c>
      <c r="W25" s="10">
        <v>0</v>
      </c>
      <c r="X25" s="5" t="s">
        <v>105</v>
      </c>
      <c r="Y25" s="24"/>
      <c r="Z25" s="24"/>
      <c r="AA25" s="21">
        <f t="shared" si="0"/>
        <v>181</v>
      </c>
      <c r="AB25" s="21">
        <f t="shared" si="0"/>
        <v>0</v>
      </c>
      <c r="AC25" s="21">
        <f t="shared" si="0"/>
        <v>0</v>
      </c>
      <c r="AD25" s="33">
        <f t="shared" si="1"/>
        <v>0</v>
      </c>
      <c r="AE25" s="33">
        <f t="shared" si="2"/>
        <v>0</v>
      </c>
    </row>
    <row r="26" spans="1:31" hidden="1" x14ac:dyDescent="0.3">
      <c r="A26" s="9" t="s">
        <v>36</v>
      </c>
      <c r="B26" s="11">
        <v>1005771</v>
      </c>
      <c r="C26" s="4" t="s">
        <v>37</v>
      </c>
      <c r="D26" s="9">
        <v>2</v>
      </c>
      <c r="E26" s="9">
        <v>21</v>
      </c>
      <c r="F26" s="9">
        <v>0</v>
      </c>
      <c r="G26" s="9">
        <v>0</v>
      </c>
      <c r="H26" s="9">
        <v>1</v>
      </c>
      <c r="I26" s="9">
        <v>147</v>
      </c>
      <c r="J26" s="9">
        <v>4</v>
      </c>
      <c r="K26" s="9">
        <v>0</v>
      </c>
      <c r="L26" s="9">
        <v>2</v>
      </c>
      <c r="M26" s="9">
        <v>4</v>
      </c>
      <c r="N26" s="9">
        <v>0</v>
      </c>
      <c r="O26" s="9">
        <v>0</v>
      </c>
      <c r="P26" s="9">
        <v>0</v>
      </c>
      <c r="Q26" s="9">
        <v>4</v>
      </c>
      <c r="R26" s="9">
        <v>0</v>
      </c>
      <c r="S26" s="9">
        <v>0</v>
      </c>
      <c r="T26" s="9">
        <v>0</v>
      </c>
      <c r="U26" s="9">
        <v>5</v>
      </c>
      <c r="V26" s="9">
        <v>0</v>
      </c>
      <c r="W26" s="9">
        <v>0</v>
      </c>
      <c r="X26" s="1" t="s">
        <v>106</v>
      </c>
      <c r="Y26" s="21"/>
      <c r="Z26" s="21"/>
      <c r="AA26" s="21">
        <f t="shared" si="0"/>
        <v>181</v>
      </c>
      <c r="AB26" s="21">
        <f t="shared" si="0"/>
        <v>4</v>
      </c>
      <c r="AC26" s="21">
        <f t="shared" si="0"/>
        <v>0</v>
      </c>
      <c r="AD26" s="33">
        <f t="shared" si="1"/>
        <v>2.2099447513812154E-2</v>
      </c>
      <c r="AE26" s="33">
        <f t="shared" si="2"/>
        <v>0</v>
      </c>
    </row>
    <row r="27" spans="1:31" hidden="1" x14ac:dyDescent="0.3">
      <c r="A27" s="9" t="s">
        <v>36</v>
      </c>
      <c r="B27" s="11">
        <v>1005773</v>
      </c>
      <c r="C27" s="4" t="s">
        <v>38</v>
      </c>
      <c r="D27" s="9">
        <v>2</v>
      </c>
      <c r="E27" s="9">
        <v>21</v>
      </c>
      <c r="F27" s="9">
        <v>0</v>
      </c>
      <c r="G27" s="9">
        <v>0</v>
      </c>
      <c r="H27" s="9">
        <v>1</v>
      </c>
      <c r="I27" s="9">
        <v>147</v>
      </c>
      <c r="J27" s="9">
        <v>4</v>
      </c>
      <c r="K27" s="9">
        <v>0</v>
      </c>
      <c r="L27" s="9">
        <v>2</v>
      </c>
      <c r="M27" s="9">
        <v>4</v>
      </c>
      <c r="N27" s="9">
        <v>0</v>
      </c>
      <c r="O27" s="9">
        <v>0</v>
      </c>
      <c r="P27" s="9">
        <v>0</v>
      </c>
      <c r="Q27" s="9">
        <v>4</v>
      </c>
      <c r="R27" s="9">
        <v>0</v>
      </c>
      <c r="S27" s="9">
        <v>0</v>
      </c>
      <c r="T27" s="9">
        <v>0</v>
      </c>
      <c r="U27" s="9">
        <v>5</v>
      </c>
      <c r="V27" s="9">
        <v>0</v>
      </c>
      <c r="W27" s="9">
        <v>0</v>
      </c>
      <c r="X27" s="1" t="s">
        <v>112</v>
      </c>
      <c r="Y27" s="21"/>
      <c r="Z27" s="21"/>
      <c r="AA27" s="21">
        <f t="shared" si="0"/>
        <v>181</v>
      </c>
      <c r="AB27" s="21">
        <f t="shared" si="0"/>
        <v>4</v>
      </c>
      <c r="AC27" s="21">
        <f t="shared" si="0"/>
        <v>0</v>
      </c>
      <c r="AD27" s="33">
        <f t="shared" si="1"/>
        <v>2.2099447513812154E-2</v>
      </c>
      <c r="AE27" s="33">
        <f t="shared" si="2"/>
        <v>0</v>
      </c>
    </row>
    <row r="28" spans="1:31" hidden="1" x14ac:dyDescent="0.3">
      <c r="A28" s="10" t="s">
        <v>36</v>
      </c>
      <c r="B28" s="12">
        <v>1006167</v>
      </c>
      <c r="C28" s="7" t="s">
        <v>39</v>
      </c>
      <c r="D28" s="9">
        <v>10</v>
      </c>
      <c r="E28" s="9">
        <v>21</v>
      </c>
      <c r="F28" s="9">
        <v>2</v>
      </c>
      <c r="G28" s="9">
        <v>2</v>
      </c>
      <c r="H28" s="9">
        <v>1</v>
      </c>
      <c r="I28" s="9">
        <v>147</v>
      </c>
      <c r="J28" s="9">
        <v>4</v>
      </c>
      <c r="K28" s="9">
        <v>4</v>
      </c>
      <c r="L28" s="9">
        <v>1</v>
      </c>
      <c r="M28" s="9">
        <v>4</v>
      </c>
      <c r="N28" s="9">
        <v>0</v>
      </c>
      <c r="O28" s="9">
        <v>0</v>
      </c>
      <c r="P28" s="9">
        <v>0</v>
      </c>
      <c r="Q28" s="9">
        <v>4</v>
      </c>
      <c r="R28" s="9">
        <v>0</v>
      </c>
      <c r="S28" s="9">
        <v>0</v>
      </c>
      <c r="T28" s="9">
        <v>3</v>
      </c>
      <c r="U28" s="9">
        <v>5</v>
      </c>
      <c r="V28" s="9">
        <v>0</v>
      </c>
      <c r="W28" s="9">
        <v>0</v>
      </c>
      <c r="X28" s="1" t="s">
        <v>87</v>
      </c>
      <c r="Y28" s="25" t="s">
        <v>45</v>
      </c>
      <c r="Z28" s="21"/>
      <c r="AA28" s="21">
        <f t="shared" si="0"/>
        <v>181</v>
      </c>
      <c r="AB28" s="21">
        <f t="shared" si="0"/>
        <v>6</v>
      </c>
      <c r="AC28" s="21">
        <f t="shared" si="0"/>
        <v>6</v>
      </c>
      <c r="AD28" s="33">
        <f t="shared" si="1"/>
        <v>3.3149171270718231E-2</v>
      </c>
      <c r="AE28" s="33">
        <f t="shared" si="2"/>
        <v>3.3149171270718231E-2</v>
      </c>
    </row>
    <row r="29" spans="1:31" hidden="1" x14ac:dyDescent="0.3">
      <c r="A29" s="10" t="s">
        <v>36</v>
      </c>
      <c r="B29" s="12">
        <v>1009956</v>
      </c>
      <c r="C29" s="7" t="s">
        <v>53</v>
      </c>
      <c r="D29" s="9">
        <v>2</v>
      </c>
      <c r="E29" s="9">
        <v>21</v>
      </c>
      <c r="F29" s="9">
        <v>0</v>
      </c>
      <c r="G29" s="9">
        <v>0</v>
      </c>
      <c r="H29" s="9">
        <v>1</v>
      </c>
      <c r="I29" s="9">
        <v>147</v>
      </c>
      <c r="J29" s="9">
        <v>2</v>
      </c>
      <c r="K29" s="9">
        <v>1</v>
      </c>
      <c r="L29" s="9">
        <v>2</v>
      </c>
      <c r="M29" s="9">
        <v>4</v>
      </c>
      <c r="N29" s="9">
        <v>0</v>
      </c>
      <c r="O29" s="9">
        <v>0</v>
      </c>
      <c r="P29" s="9">
        <v>2</v>
      </c>
      <c r="Q29" s="9">
        <v>4</v>
      </c>
      <c r="R29" s="9">
        <v>0</v>
      </c>
      <c r="S29" s="9">
        <v>0</v>
      </c>
      <c r="T29" s="9">
        <v>0</v>
      </c>
      <c r="U29" s="9">
        <v>5</v>
      </c>
      <c r="V29" s="9">
        <v>0</v>
      </c>
      <c r="W29" s="9">
        <v>0</v>
      </c>
      <c r="X29" s="1" t="s">
        <v>54</v>
      </c>
      <c r="Y29" s="23"/>
      <c r="Z29" s="21"/>
      <c r="AA29" s="21">
        <f t="shared" si="0"/>
        <v>181</v>
      </c>
      <c r="AB29" s="21">
        <f t="shared" si="0"/>
        <v>2</v>
      </c>
      <c r="AC29" s="21">
        <f t="shared" si="0"/>
        <v>1</v>
      </c>
      <c r="AD29" s="33">
        <f t="shared" si="1"/>
        <v>1.1049723756906077E-2</v>
      </c>
      <c r="AE29" s="33">
        <f t="shared" si="2"/>
        <v>5.5248618784530384E-3</v>
      </c>
    </row>
    <row r="30" spans="1:31" hidden="1" x14ac:dyDescent="0.3">
      <c r="A30" s="9" t="s">
        <v>36</v>
      </c>
      <c r="B30" s="9">
        <v>1013411</v>
      </c>
      <c r="C30" s="1" t="s">
        <v>56</v>
      </c>
      <c r="D30" s="9">
        <v>1</v>
      </c>
      <c r="E30" s="9">
        <v>21</v>
      </c>
      <c r="F30" s="9">
        <v>0</v>
      </c>
      <c r="G30" s="9">
        <v>0</v>
      </c>
      <c r="H30" s="9">
        <v>3</v>
      </c>
      <c r="I30" s="9">
        <v>147</v>
      </c>
      <c r="J30" s="9">
        <v>5</v>
      </c>
      <c r="K30" s="9">
        <v>1</v>
      </c>
      <c r="L30" s="9"/>
      <c r="M30" s="9">
        <v>4</v>
      </c>
      <c r="N30" s="9"/>
      <c r="O30" s="9"/>
      <c r="P30" s="9"/>
      <c r="Q30" s="9">
        <v>4</v>
      </c>
      <c r="R30" s="9"/>
      <c r="S30" s="9"/>
      <c r="T30" s="9"/>
      <c r="U30" s="9">
        <v>5</v>
      </c>
      <c r="V30" s="9"/>
      <c r="W30" s="9"/>
      <c r="X30" s="1" t="s">
        <v>60</v>
      </c>
      <c r="Y30" s="21"/>
      <c r="Z30" s="21"/>
      <c r="AA30" s="21">
        <f t="shared" si="0"/>
        <v>181</v>
      </c>
      <c r="AB30" s="21">
        <f t="shared" si="0"/>
        <v>5</v>
      </c>
      <c r="AC30" s="21">
        <f t="shared" si="0"/>
        <v>1</v>
      </c>
      <c r="AD30" s="33">
        <f t="shared" si="1"/>
        <v>2.7624309392265192E-2</v>
      </c>
      <c r="AE30" s="33">
        <f t="shared" si="2"/>
        <v>5.5248618784530384E-3</v>
      </c>
    </row>
    <row r="31" spans="1:31" hidden="1" x14ac:dyDescent="0.3">
      <c r="A31" s="9" t="s">
        <v>36</v>
      </c>
      <c r="B31" s="9">
        <v>1010118</v>
      </c>
      <c r="C31" s="1" t="s">
        <v>57</v>
      </c>
      <c r="D31" s="9">
        <v>3</v>
      </c>
      <c r="E31" s="9">
        <v>21</v>
      </c>
      <c r="F31" s="9">
        <v>0</v>
      </c>
      <c r="G31" s="9">
        <v>1</v>
      </c>
      <c r="H31" s="9">
        <v>1</v>
      </c>
      <c r="I31" s="9">
        <v>147</v>
      </c>
      <c r="J31" s="9">
        <v>5</v>
      </c>
      <c r="K31" s="9">
        <v>0</v>
      </c>
      <c r="L31" s="9"/>
      <c r="M31" s="9">
        <v>4</v>
      </c>
      <c r="N31" s="9"/>
      <c r="O31" s="9"/>
      <c r="P31" s="9"/>
      <c r="Q31" s="9">
        <v>4</v>
      </c>
      <c r="R31" s="9"/>
      <c r="S31" s="9"/>
      <c r="T31" s="9"/>
      <c r="U31" s="9">
        <v>5</v>
      </c>
      <c r="V31" s="9"/>
      <c r="W31" s="9"/>
      <c r="X31" s="1" t="s">
        <v>59</v>
      </c>
      <c r="Y31" s="21"/>
      <c r="Z31" s="21"/>
      <c r="AA31" s="21">
        <f t="shared" si="0"/>
        <v>181</v>
      </c>
      <c r="AB31" s="21">
        <f t="shared" si="0"/>
        <v>5</v>
      </c>
      <c r="AC31" s="21">
        <f t="shared" si="0"/>
        <v>1</v>
      </c>
      <c r="AD31" s="33">
        <f t="shared" si="1"/>
        <v>2.7624309392265192E-2</v>
      </c>
      <c r="AE31" s="33">
        <f t="shared" si="2"/>
        <v>5.5248618784530384E-3</v>
      </c>
    </row>
    <row r="32" spans="1:31" hidden="1" x14ac:dyDescent="0.3">
      <c r="A32" s="9" t="s">
        <v>36</v>
      </c>
      <c r="B32" s="9">
        <v>1011575</v>
      </c>
      <c r="C32" s="1" t="s">
        <v>61</v>
      </c>
      <c r="D32" s="9">
        <v>5</v>
      </c>
      <c r="E32" s="9">
        <v>21</v>
      </c>
      <c r="F32" s="9">
        <v>0</v>
      </c>
      <c r="G32" s="9">
        <v>0</v>
      </c>
      <c r="H32" s="9">
        <v>1</v>
      </c>
      <c r="I32" s="9">
        <v>147</v>
      </c>
      <c r="J32" s="9">
        <v>5</v>
      </c>
      <c r="K32" s="9">
        <v>1</v>
      </c>
      <c r="L32" s="9"/>
      <c r="M32" s="9">
        <v>4</v>
      </c>
      <c r="N32" s="9"/>
      <c r="O32" s="9"/>
      <c r="P32" s="9"/>
      <c r="Q32" s="9">
        <v>4</v>
      </c>
      <c r="R32" s="9"/>
      <c r="S32" s="9"/>
      <c r="T32" s="9"/>
      <c r="U32" s="9">
        <v>5</v>
      </c>
      <c r="V32" s="9"/>
      <c r="W32" s="9"/>
      <c r="X32" s="1" t="s">
        <v>88</v>
      </c>
      <c r="Y32" s="21"/>
      <c r="Z32" s="21"/>
      <c r="AA32" s="21">
        <f t="shared" si="0"/>
        <v>181</v>
      </c>
      <c r="AB32" s="21">
        <f t="shared" si="0"/>
        <v>5</v>
      </c>
      <c r="AC32" s="21">
        <f t="shared" si="0"/>
        <v>1</v>
      </c>
      <c r="AD32" s="33">
        <f t="shared" si="1"/>
        <v>2.7624309392265192E-2</v>
      </c>
      <c r="AE32" s="33">
        <f t="shared" si="2"/>
        <v>5.5248618784530384E-3</v>
      </c>
    </row>
    <row r="33" spans="1:31" hidden="1" x14ac:dyDescent="0.3">
      <c r="A33" s="9" t="s">
        <v>36</v>
      </c>
      <c r="B33" s="9">
        <v>1013412</v>
      </c>
      <c r="C33" s="1" t="s">
        <v>58</v>
      </c>
      <c r="D33" s="9">
        <v>3</v>
      </c>
      <c r="E33" s="9">
        <v>21</v>
      </c>
      <c r="F33" s="9">
        <v>0</v>
      </c>
      <c r="G33" s="9">
        <v>1</v>
      </c>
      <c r="H33" s="9">
        <v>3</v>
      </c>
      <c r="I33" s="9">
        <v>147</v>
      </c>
      <c r="J33" s="9">
        <v>5</v>
      </c>
      <c r="K33" s="9">
        <v>1</v>
      </c>
      <c r="L33" s="9">
        <v>1</v>
      </c>
      <c r="M33" s="9">
        <v>4</v>
      </c>
      <c r="N33" s="9">
        <v>0</v>
      </c>
      <c r="O33" s="9">
        <v>0</v>
      </c>
      <c r="P33" s="9"/>
      <c r="Q33" s="9">
        <v>4</v>
      </c>
      <c r="R33" s="9"/>
      <c r="S33" s="9"/>
      <c r="T33" s="9"/>
      <c r="U33" s="9">
        <v>5</v>
      </c>
      <c r="V33" s="9"/>
      <c r="W33" s="9"/>
      <c r="X33" s="1" t="s">
        <v>62</v>
      </c>
      <c r="Y33" s="21"/>
      <c r="Z33" s="21"/>
      <c r="AA33" s="21">
        <f t="shared" si="0"/>
        <v>181</v>
      </c>
      <c r="AB33" s="21">
        <f t="shared" si="0"/>
        <v>5</v>
      </c>
      <c r="AC33" s="21">
        <f t="shared" si="0"/>
        <v>2</v>
      </c>
      <c r="AD33" s="33">
        <f t="shared" si="1"/>
        <v>2.7624309392265192E-2</v>
      </c>
      <c r="AE33" s="33">
        <f t="shared" si="2"/>
        <v>1.1049723756906077E-2</v>
      </c>
    </row>
    <row r="34" spans="1:31" hidden="1" x14ac:dyDescent="0.3">
      <c r="A34" s="9" t="s">
        <v>36</v>
      </c>
      <c r="B34" s="9">
        <v>1013413</v>
      </c>
      <c r="C34" s="1" t="s">
        <v>63</v>
      </c>
      <c r="D34" s="9">
        <v>1</v>
      </c>
      <c r="E34" s="9">
        <v>21</v>
      </c>
      <c r="F34" s="9">
        <v>0</v>
      </c>
      <c r="G34" s="9">
        <v>1</v>
      </c>
      <c r="H34" s="9">
        <v>3</v>
      </c>
      <c r="I34" s="9">
        <v>147</v>
      </c>
      <c r="J34" s="9">
        <v>6</v>
      </c>
      <c r="K34" s="9">
        <v>2</v>
      </c>
      <c r="L34" s="9"/>
      <c r="M34" s="9">
        <v>4</v>
      </c>
      <c r="N34" s="9"/>
      <c r="O34" s="9"/>
      <c r="P34" s="9"/>
      <c r="Q34" s="9">
        <v>4</v>
      </c>
      <c r="R34" s="9"/>
      <c r="S34" s="9"/>
      <c r="T34" s="9"/>
      <c r="U34" s="9">
        <v>5</v>
      </c>
      <c r="V34" s="9"/>
      <c r="W34" s="9"/>
      <c r="X34" s="1" t="s">
        <v>64</v>
      </c>
      <c r="Y34" s="21"/>
      <c r="Z34" s="21"/>
      <c r="AA34" s="21">
        <f t="shared" si="0"/>
        <v>181</v>
      </c>
      <c r="AB34" s="21">
        <f t="shared" si="0"/>
        <v>6</v>
      </c>
      <c r="AC34" s="21">
        <f t="shared" si="0"/>
        <v>3</v>
      </c>
      <c r="AD34" s="33">
        <f t="shared" si="1"/>
        <v>3.3149171270718231E-2</v>
      </c>
      <c r="AE34" s="33">
        <f t="shared" si="2"/>
        <v>1.6574585635359115E-2</v>
      </c>
    </row>
    <row r="35" spans="1:31" x14ac:dyDescent="0.3">
      <c r="A35" s="9" t="s">
        <v>36</v>
      </c>
      <c r="B35" s="9">
        <v>1013415</v>
      </c>
      <c r="C35" s="1" t="s">
        <v>65</v>
      </c>
      <c r="D35" s="9">
        <v>2</v>
      </c>
      <c r="E35" s="9">
        <v>21</v>
      </c>
      <c r="F35" s="9">
        <v>0</v>
      </c>
      <c r="G35" s="9">
        <v>0</v>
      </c>
      <c r="H35" s="9">
        <v>1</v>
      </c>
      <c r="I35" s="9">
        <v>147</v>
      </c>
      <c r="J35" s="9"/>
      <c r="K35" s="9"/>
      <c r="L35" s="9"/>
      <c r="M35" s="9">
        <v>4</v>
      </c>
      <c r="N35" s="9"/>
      <c r="O35" s="9"/>
      <c r="P35" s="9"/>
      <c r="Q35" s="9">
        <v>4</v>
      </c>
      <c r="R35" s="9"/>
      <c r="S35" s="9"/>
      <c r="T35" s="9"/>
      <c r="U35" s="9">
        <v>5</v>
      </c>
      <c r="V35" s="9"/>
      <c r="W35" s="9"/>
      <c r="X35" s="1" t="s">
        <v>67</v>
      </c>
      <c r="Y35" s="21"/>
      <c r="Z35" s="21"/>
      <c r="AA35" s="21">
        <f t="shared" si="0"/>
        <v>181</v>
      </c>
      <c r="AB35" s="21">
        <f t="shared" si="0"/>
        <v>0</v>
      </c>
      <c r="AC35" s="21">
        <f t="shared" si="0"/>
        <v>0</v>
      </c>
      <c r="AD35" s="33">
        <f t="shared" si="1"/>
        <v>0</v>
      </c>
      <c r="AE35" s="33">
        <f t="shared" si="2"/>
        <v>0</v>
      </c>
    </row>
    <row r="36" spans="1:31" hidden="1" x14ac:dyDescent="0.3">
      <c r="A36" s="9" t="s">
        <v>36</v>
      </c>
      <c r="B36" s="9">
        <v>1013416</v>
      </c>
      <c r="C36" s="1" t="s">
        <v>66</v>
      </c>
      <c r="D36" s="9">
        <v>2</v>
      </c>
      <c r="E36" s="9">
        <v>21</v>
      </c>
      <c r="F36" s="9">
        <v>0</v>
      </c>
      <c r="G36" s="9">
        <v>0</v>
      </c>
      <c r="H36" s="9">
        <v>1</v>
      </c>
      <c r="I36" s="9">
        <v>147</v>
      </c>
      <c r="J36" s="9">
        <v>4</v>
      </c>
      <c r="K36" s="9">
        <v>4</v>
      </c>
      <c r="L36" s="9"/>
      <c r="M36" s="9">
        <v>4</v>
      </c>
      <c r="N36" s="9"/>
      <c r="O36" s="9"/>
      <c r="P36" s="9"/>
      <c r="Q36" s="9">
        <v>4</v>
      </c>
      <c r="R36" s="9"/>
      <c r="S36" s="9"/>
      <c r="T36" s="9"/>
      <c r="U36" s="9">
        <v>5</v>
      </c>
      <c r="V36" s="9"/>
      <c r="W36" s="9"/>
      <c r="X36" s="1" t="s">
        <v>71</v>
      </c>
      <c r="Y36" s="21"/>
      <c r="Z36" s="21"/>
      <c r="AA36" s="21">
        <f t="shared" si="0"/>
        <v>181</v>
      </c>
      <c r="AB36" s="21">
        <f t="shared" si="0"/>
        <v>4</v>
      </c>
      <c r="AC36" s="21">
        <f t="shared" si="0"/>
        <v>4</v>
      </c>
      <c r="AD36" s="33">
        <f t="shared" si="1"/>
        <v>2.2099447513812154E-2</v>
      </c>
      <c r="AE36" s="33">
        <f t="shared" si="2"/>
        <v>2.2099447513812154E-2</v>
      </c>
    </row>
    <row r="37" spans="1:31" hidden="1" x14ac:dyDescent="0.3">
      <c r="A37" s="9" t="s">
        <v>36</v>
      </c>
      <c r="B37" s="9">
        <v>1015901</v>
      </c>
      <c r="C37" s="1" t="s">
        <v>68</v>
      </c>
      <c r="D37" s="9">
        <v>5</v>
      </c>
      <c r="E37" s="9">
        <v>21</v>
      </c>
      <c r="F37" s="9">
        <v>0</v>
      </c>
      <c r="G37" s="9">
        <v>0</v>
      </c>
      <c r="H37" s="9">
        <v>1</v>
      </c>
      <c r="I37" s="9">
        <v>147</v>
      </c>
      <c r="J37" s="9">
        <v>5</v>
      </c>
      <c r="K37" s="9">
        <v>1</v>
      </c>
      <c r="L37" s="9"/>
      <c r="M37" s="9">
        <v>4</v>
      </c>
      <c r="N37" s="9"/>
      <c r="O37" s="9"/>
      <c r="P37" s="9"/>
      <c r="Q37" s="9">
        <v>4</v>
      </c>
      <c r="R37" s="9"/>
      <c r="S37" s="9"/>
      <c r="T37" s="9"/>
      <c r="U37" s="9">
        <v>5</v>
      </c>
      <c r="V37" s="9"/>
      <c r="W37" s="9"/>
      <c r="X37" s="1" t="s">
        <v>86</v>
      </c>
      <c r="Y37" s="26"/>
      <c r="Z37" s="27"/>
      <c r="AA37" s="21">
        <f t="shared" si="0"/>
        <v>181</v>
      </c>
      <c r="AB37" s="21">
        <f t="shared" si="0"/>
        <v>5</v>
      </c>
      <c r="AC37" s="21">
        <f t="shared" si="0"/>
        <v>1</v>
      </c>
      <c r="AD37" s="33">
        <f t="shared" si="1"/>
        <v>2.7624309392265192E-2</v>
      </c>
      <c r="AE37" s="33">
        <f t="shared" si="2"/>
        <v>5.5248618784530384E-3</v>
      </c>
    </row>
    <row r="38" spans="1:31" hidden="1" x14ac:dyDescent="0.3">
      <c r="A38" s="9" t="s">
        <v>36</v>
      </c>
      <c r="B38" s="9">
        <v>1015902</v>
      </c>
      <c r="C38" s="1" t="s">
        <v>69</v>
      </c>
      <c r="D38" s="9">
        <v>5</v>
      </c>
      <c r="E38" s="9">
        <v>21</v>
      </c>
      <c r="F38" s="9">
        <v>0</v>
      </c>
      <c r="G38" s="9">
        <v>0</v>
      </c>
      <c r="H38" s="9">
        <v>1</v>
      </c>
      <c r="I38" s="9">
        <v>147</v>
      </c>
      <c r="J38" s="9">
        <v>5</v>
      </c>
      <c r="K38" s="9">
        <v>2</v>
      </c>
      <c r="L38" s="9">
        <v>2</v>
      </c>
      <c r="M38" s="9">
        <v>4</v>
      </c>
      <c r="N38" s="9">
        <v>0</v>
      </c>
      <c r="O38" s="9">
        <v>0</v>
      </c>
      <c r="P38" s="9"/>
      <c r="Q38" s="9">
        <v>4</v>
      </c>
      <c r="R38" s="9"/>
      <c r="S38" s="9"/>
      <c r="T38" s="9"/>
      <c r="U38" s="9">
        <v>5</v>
      </c>
      <c r="V38" s="9"/>
      <c r="W38" s="9"/>
      <c r="X38" s="1" t="s">
        <v>85</v>
      </c>
      <c r="Y38" s="26"/>
      <c r="Z38" s="27"/>
      <c r="AA38" s="21">
        <f t="shared" si="0"/>
        <v>181</v>
      </c>
      <c r="AB38" s="21">
        <f t="shared" si="0"/>
        <v>5</v>
      </c>
      <c r="AC38" s="21">
        <f t="shared" si="0"/>
        <v>2</v>
      </c>
      <c r="AD38" s="33">
        <f t="shared" si="1"/>
        <v>2.7624309392265192E-2</v>
      </c>
      <c r="AE38" s="33">
        <f t="shared" si="2"/>
        <v>1.1049723756906077E-2</v>
      </c>
    </row>
    <row r="39" spans="1:31" hidden="1" x14ac:dyDescent="0.3">
      <c r="A39" s="9" t="s">
        <v>36</v>
      </c>
      <c r="B39" s="9">
        <v>1022055</v>
      </c>
      <c r="C39" s="1" t="s">
        <v>70</v>
      </c>
      <c r="D39" s="9">
        <v>12</v>
      </c>
      <c r="E39" s="9">
        <v>21</v>
      </c>
      <c r="F39" s="9">
        <v>0</v>
      </c>
      <c r="G39" s="9">
        <v>0</v>
      </c>
      <c r="H39" s="9">
        <v>1</v>
      </c>
      <c r="I39" s="9">
        <v>147</v>
      </c>
      <c r="J39" s="9">
        <v>4</v>
      </c>
      <c r="K39" s="9">
        <v>5</v>
      </c>
      <c r="L39" s="9">
        <v>1</v>
      </c>
      <c r="M39" s="9">
        <v>4</v>
      </c>
      <c r="N39" s="9">
        <v>0</v>
      </c>
      <c r="O39" s="9">
        <v>0</v>
      </c>
      <c r="P39" s="9"/>
      <c r="Q39" s="9">
        <v>4</v>
      </c>
      <c r="R39" s="9"/>
      <c r="S39" s="9"/>
      <c r="T39" s="9"/>
      <c r="U39" s="9">
        <v>5</v>
      </c>
      <c r="V39" s="9"/>
      <c r="W39" s="9"/>
      <c r="X39" s="1" t="s">
        <v>92</v>
      </c>
      <c r="Y39" s="26"/>
      <c r="Z39" s="27"/>
      <c r="AA39" s="21">
        <f t="shared" si="0"/>
        <v>181</v>
      </c>
      <c r="AB39" s="21">
        <f t="shared" si="0"/>
        <v>4</v>
      </c>
      <c r="AC39" s="21">
        <f t="shared" si="0"/>
        <v>5</v>
      </c>
      <c r="AD39" s="33">
        <f t="shared" si="1"/>
        <v>2.2099447513812154E-2</v>
      </c>
      <c r="AE39" s="33">
        <f t="shared" si="2"/>
        <v>2.7624309392265192E-2</v>
      </c>
    </row>
    <row r="40" spans="1:31" hidden="1" x14ac:dyDescent="0.3">
      <c r="A40" s="9" t="s">
        <v>36</v>
      </c>
      <c r="B40" s="9">
        <v>1012300</v>
      </c>
      <c r="C40" s="1" t="s">
        <v>72</v>
      </c>
      <c r="D40" s="9">
        <v>6</v>
      </c>
      <c r="E40" s="9">
        <v>21</v>
      </c>
      <c r="F40" s="9">
        <v>0</v>
      </c>
      <c r="G40" s="9">
        <v>0</v>
      </c>
      <c r="H40" s="9">
        <v>1</v>
      </c>
      <c r="I40" s="9">
        <v>147</v>
      </c>
      <c r="J40" s="9">
        <v>4</v>
      </c>
      <c r="K40" s="9">
        <v>2</v>
      </c>
      <c r="L40" s="9"/>
      <c r="M40" s="9">
        <v>4</v>
      </c>
      <c r="N40" s="9"/>
      <c r="O40" s="9"/>
      <c r="P40" s="9"/>
      <c r="Q40" s="9">
        <v>4</v>
      </c>
      <c r="R40" s="9"/>
      <c r="S40" s="9"/>
      <c r="T40" s="9"/>
      <c r="U40" s="9">
        <v>5</v>
      </c>
      <c r="V40" s="9"/>
      <c r="W40" s="9"/>
      <c r="X40" s="1" t="s">
        <v>75</v>
      </c>
      <c r="Y40" s="21"/>
      <c r="Z40" s="21"/>
      <c r="AA40" s="21">
        <f t="shared" si="0"/>
        <v>181</v>
      </c>
      <c r="AB40" s="21">
        <f t="shared" si="0"/>
        <v>4</v>
      </c>
      <c r="AC40" s="21">
        <f t="shared" si="0"/>
        <v>2</v>
      </c>
      <c r="AD40" s="33">
        <f t="shared" si="1"/>
        <v>2.2099447513812154E-2</v>
      </c>
      <c r="AE40" s="33">
        <f t="shared" si="2"/>
        <v>1.1049723756906077E-2</v>
      </c>
    </row>
    <row r="41" spans="1:31" s="8" customFormat="1" x14ac:dyDescent="0.3">
      <c r="A41" s="10" t="s">
        <v>7</v>
      </c>
      <c r="B41" s="10">
        <v>1012300</v>
      </c>
      <c r="C41" s="5" t="s">
        <v>72</v>
      </c>
      <c r="D41" s="10">
        <v>6</v>
      </c>
      <c r="E41" s="10">
        <v>21</v>
      </c>
      <c r="F41" s="10">
        <v>0</v>
      </c>
      <c r="G41" s="10">
        <v>0</v>
      </c>
      <c r="H41" s="10">
        <v>1</v>
      </c>
      <c r="I41" s="10">
        <v>147</v>
      </c>
      <c r="J41" s="10">
        <v>0</v>
      </c>
      <c r="K41" s="10">
        <v>6</v>
      </c>
      <c r="L41" s="10">
        <v>0</v>
      </c>
      <c r="M41" s="10">
        <v>4</v>
      </c>
      <c r="N41" s="10">
        <v>0</v>
      </c>
      <c r="O41" s="10">
        <v>0</v>
      </c>
      <c r="P41" s="10">
        <v>0</v>
      </c>
      <c r="Q41" s="10">
        <v>4</v>
      </c>
      <c r="R41" s="10">
        <v>0</v>
      </c>
      <c r="S41" s="10">
        <v>0</v>
      </c>
      <c r="T41" s="10">
        <v>0</v>
      </c>
      <c r="U41" s="10">
        <v>5</v>
      </c>
      <c r="V41" s="10">
        <v>0</v>
      </c>
      <c r="W41" s="10">
        <v>0</v>
      </c>
      <c r="X41" s="5" t="s">
        <v>123</v>
      </c>
      <c r="Y41" s="24"/>
      <c r="Z41" s="24"/>
      <c r="AA41" s="24"/>
      <c r="AB41" s="24"/>
      <c r="AC41" s="24"/>
      <c r="AD41" s="42"/>
      <c r="AE41" s="42"/>
    </row>
    <row r="42" spans="1:31" hidden="1" x14ac:dyDescent="0.3">
      <c r="A42" s="9" t="s">
        <v>36</v>
      </c>
      <c r="B42" s="9">
        <v>1012304</v>
      </c>
      <c r="C42" s="1" t="s">
        <v>73</v>
      </c>
      <c r="D42" s="9">
        <v>8</v>
      </c>
      <c r="E42" s="9">
        <v>21</v>
      </c>
      <c r="F42" s="9">
        <v>0</v>
      </c>
      <c r="G42" s="9">
        <v>0</v>
      </c>
      <c r="H42" s="9">
        <v>1</v>
      </c>
      <c r="I42" s="9">
        <v>147</v>
      </c>
      <c r="J42" s="9">
        <v>4</v>
      </c>
      <c r="K42" s="9">
        <v>2</v>
      </c>
      <c r="L42" s="9"/>
      <c r="M42" s="9">
        <v>4</v>
      </c>
      <c r="N42" s="9"/>
      <c r="O42" s="9"/>
      <c r="P42" s="9"/>
      <c r="Q42" s="9">
        <v>4</v>
      </c>
      <c r="R42" s="9"/>
      <c r="S42" s="9"/>
      <c r="T42" s="9"/>
      <c r="U42" s="9">
        <v>5</v>
      </c>
      <c r="V42" s="9"/>
      <c r="W42" s="9"/>
      <c r="X42" s="1" t="s">
        <v>75</v>
      </c>
      <c r="Y42" s="21"/>
      <c r="Z42" s="21"/>
      <c r="AA42" s="21">
        <f t="shared" si="0"/>
        <v>181</v>
      </c>
      <c r="AB42" s="21">
        <f t="shared" si="0"/>
        <v>4</v>
      </c>
      <c r="AC42" s="21">
        <f t="shared" si="0"/>
        <v>2</v>
      </c>
      <c r="AD42" s="33">
        <f t="shared" si="1"/>
        <v>2.2099447513812154E-2</v>
      </c>
      <c r="AE42" s="33">
        <f t="shared" si="2"/>
        <v>1.1049723756906077E-2</v>
      </c>
    </row>
    <row r="43" spans="1:31" hidden="1" x14ac:dyDescent="0.3">
      <c r="A43" s="9" t="s">
        <v>36</v>
      </c>
      <c r="B43" s="9">
        <v>1015634</v>
      </c>
      <c r="C43" s="1" t="s">
        <v>74</v>
      </c>
      <c r="D43" s="9">
        <v>4</v>
      </c>
      <c r="E43" s="9">
        <v>21</v>
      </c>
      <c r="F43" s="9">
        <v>0</v>
      </c>
      <c r="G43" s="9">
        <v>0</v>
      </c>
      <c r="H43" s="9">
        <v>1</v>
      </c>
      <c r="I43" s="9">
        <v>147</v>
      </c>
      <c r="J43" s="9">
        <v>0</v>
      </c>
      <c r="K43" s="9">
        <v>2</v>
      </c>
      <c r="L43" s="9">
        <v>2</v>
      </c>
      <c r="M43" s="9">
        <v>4</v>
      </c>
      <c r="N43" s="9">
        <v>0</v>
      </c>
      <c r="O43" s="9">
        <v>0</v>
      </c>
      <c r="P43" s="9"/>
      <c r="Q43" s="9">
        <v>4</v>
      </c>
      <c r="R43" s="9"/>
      <c r="S43" s="9"/>
      <c r="T43" s="9"/>
      <c r="U43" s="9">
        <v>5</v>
      </c>
      <c r="V43" s="9"/>
      <c r="W43" s="9"/>
      <c r="X43" s="1" t="s">
        <v>93</v>
      </c>
      <c r="Y43" s="21"/>
      <c r="Z43" s="21"/>
      <c r="AA43" s="21">
        <f t="shared" si="0"/>
        <v>181</v>
      </c>
      <c r="AB43" s="21">
        <f t="shared" si="0"/>
        <v>0</v>
      </c>
      <c r="AC43" s="21">
        <f t="shared" si="0"/>
        <v>2</v>
      </c>
      <c r="AD43" s="33">
        <f t="shared" si="1"/>
        <v>0</v>
      </c>
      <c r="AE43" s="33">
        <f t="shared" si="2"/>
        <v>1.1049723756906077E-2</v>
      </c>
    </row>
    <row r="44" spans="1:31" x14ac:dyDescent="0.3">
      <c r="A44" s="9" t="s">
        <v>36</v>
      </c>
      <c r="B44" s="9">
        <v>824151723</v>
      </c>
      <c r="C44" s="1" t="s">
        <v>76</v>
      </c>
      <c r="D44" s="9">
        <v>6</v>
      </c>
      <c r="E44" s="9">
        <v>21</v>
      </c>
      <c r="F44" s="9">
        <v>0</v>
      </c>
      <c r="G44" s="9">
        <v>0</v>
      </c>
      <c r="H44" s="9">
        <v>1</v>
      </c>
      <c r="I44" s="9">
        <v>147</v>
      </c>
      <c r="J44" s="9"/>
      <c r="K44" s="9"/>
      <c r="L44" s="9"/>
      <c r="M44" s="9">
        <v>4</v>
      </c>
      <c r="N44" s="9"/>
      <c r="O44" s="9"/>
      <c r="P44" s="9"/>
      <c r="Q44" s="9">
        <v>4</v>
      </c>
      <c r="R44" s="9"/>
      <c r="S44" s="9"/>
      <c r="T44" s="9"/>
      <c r="U44" s="9">
        <v>5</v>
      </c>
      <c r="V44" s="9"/>
      <c r="W44" s="9"/>
      <c r="X44" s="1" t="s">
        <v>77</v>
      </c>
      <c r="Y44" s="21"/>
      <c r="Z44" s="21"/>
      <c r="AA44" s="21">
        <f t="shared" si="0"/>
        <v>181</v>
      </c>
      <c r="AB44" s="21">
        <f t="shared" si="0"/>
        <v>0</v>
      </c>
      <c r="AC44" s="21">
        <f t="shared" si="0"/>
        <v>0</v>
      </c>
      <c r="AD44" s="33">
        <f t="shared" si="1"/>
        <v>0</v>
      </c>
      <c r="AE44" s="33">
        <f t="shared" si="2"/>
        <v>0</v>
      </c>
    </row>
    <row r="45" spans="1:31" hidden="1" x14ac:dyDescent="0.3">
      <c r="A45" s="9" t="s">
        <v>36</v>
      </c>
      <c r="B45" s="11">
        <v>824036997</v>
      </c>
      <c r="C45" s="28" t="s">
        <v>78</v>
      </c>
      <c r="D45" s="9">
        <v>7</v>
      </c>
      <c r="E45" s="9">
        <v>21</v>
      </c>
      <c r="F45" s="9">
        <v>0</v>
      </c>
      <c r="G45" s="9">
        <v>1</v>
      </c>
      <c r="H45" s="9">
        <v>1</v>
      </c>
      <c r="I45" s="9">
        <v>147</v>
      </c>
      <c r="J45" s="9">
        <v>0</v>
      </c>
      <c r="K45" s="9">
        <v>4</v>
      </c>
      <c r="L45" s="9">
        <v>0</v>
      </c>
      <c r="M45" s="9">
        <v>4</v>
      </c>
      <c r="N45" s="9">
        <v>0</v>
      </c>
      <c r="O45" s="9">
        <v>4</v>
      </c>
      <c r="P45" s="9"/>
      <c r="Q45" s="9">
        <v>4</v>
      </c>
      <c r="R45" s="9"/>
      <c r="S45" s="9"/>
      <c r="T45" s="9"/>
      <c r="U45" s="9">
        <v>5</v>
      </c>
      <c r="V45" s="9"/>
      <c r="W45" s="9"/>
      <c r="X45" s="1" t="s">
        <v>79</v>
      </c>
      <c r="Y45" s="21"/>
      <c r="Z45" s="21"/>
      <c r="AA45" s="21">
        <f t="shared" si="0"/>
        <v>181</v>
      </c>
      <c r="AB45" s="21">
        <f t="shared" si="0"/>
        <v>0</v>
      </c>
      <c r="AC45" s="21">
        <f t="shared" si="0"/>
        <v>9</v>
      </c>
      <c r="AD45" s="33">
        <f t="shared" si="1"/>
        <v>0</v>
      </c>
      <c r="AE45" s="33">
        <f t="shared" si="2"/>
        <v>4.9723756906077346E-2</v>
      </c>
    </row>
    <row r="46" spans="1:31" hidden="1" x14ac:dyDescent="0.3">
      <c r="A46" s="9" t="s">
        <v>36</v>
      </c>
      <c r="B46" s="11">
        <v>1012215</v>
      </c>
      <c r="C46" s="28" t="s">
        <v>80</v>
      </c>
      <c r="D46" s="9">
        <v>8</v>
      </c>
      <c r="E46" s="9">
        <v>21</v>
      </c>
      <c r="F46" s="9">
        <v>1</v>
      </c>
      <c r="G46" s="9">
        <v>0</v>
      </c>
      <c r="H46" s="9">
        <v>1</v>
      </c>
      <c r="I46" s="9">
        <v>147</v>
      </c>
      <c r="J46" s="9">
        <v>5</v>
      </c>
      <c r="K46" s="9">
        <v>6</v>
      </c>
      <c r="L46" s="9"/>
      <c r="M46" s="9">
        <v>4</v>
      </c>
      <c r="N46" s="9"/>
      <c r="O46" s="9">
        <v>4</v>
      </c>
      <c r="P46" s="9"/>
      <c r="Q46" s="9">
        <v>4</v>
      </c>
      <c r="R46" s="9"/>
      <c r="S46" s="9"/>
      <c r="T46" s="9"/>
      <c r="U46" s="9">
        <v>5</v>
      </c>
      <c r="V46" s="9"/>
      <c r="W46" s="9"/>
      <c r="X46" s="1" t="s">
        <v>89</v>
      </c>
      <c r="Y46" s="21"/>
      <c r="Z46" s="21"/>
      <c r="AA46" s="21">
        <f t="shared" si="0"/>
        <v>181</v>
      </c>
      <c r="AB46" s="21">
        <f t="shared" si="0"/>
        <v>6</v>
      </c>
      <c r="AC46" s="21">
        <f t="shared" si="0"/>
        <v>10</v>
      </c>
      <c r="AD46" s="33">
        <f t="shared" si="1"/>
        <v>3.3149171270718231E-2</v>
      </c>
      <c r="AE46" s="33">
        <f t="shared" si="2"/>
        <v>5.5248618784530384E-2</v>
      </c>
    </row>
    <row r="47" spans="1:31" hidden="1" x14ac:dyDescent="0.3">
      <c r="A47" s="9" t="s">
        <v>36</v>
      </c>
      <c r="B47" s="11">
        <v>1012510</v>
      </c>
      <c r="C47" s="28" t="s">
        <v>81</v>
      </c>
      <c r="D47" s="9">
        <v>7</v>
      </c>
      <c r="E47" s="9">
        <v>21</v>
      </c>
      <c r="F47" s="9">
        <v>0</v>
      </c>
      <c r="G47" s="9">
        <v>0</v>
      </c>
      <c r="H47" s="9">
        <v>1</v>
      </c>
      <c r="I47" s="9">
        <v>147</v>
      </c>
      <c r="J47" s="9">
        <v>5</v>
      </c>
      <c r="K47" s="9">
        <v>1</v>
      </c>
      <c r="L47" s="9"/>
      <c r="M47" s="9">
        <v>4</v>
      </c>
      <c r="N47" s="9"/>
      <c r="O47" s="9"/>
      <c r="P47" s="9"/>
      <c r="Q47" s="9">
        <v>4</v>
      </c>
      <c r="R47" s="9"/>
      <c r="S47" s="9"/>
      <c r="T47" s="9"/>
      <c r="U47" s="9">
        <v>5</v>
      </c>
      <c r="V47" s="9"/>
      <c r="W47" s="9"/>
      <c r="X47" s="1" t="s">
        <v>84</v>
      </c>
      <c r="Y47" s="21"/>
      <c r="Z47" s="21"/>
      <c r="AA47" s="21">
        <f t="shared" si="0"/>
        <v>181</v>
      </c>
      <c r="AB47" s="21">
        <f t="shared" si="0"/>
        <v>5</v>
      </c>
      <c r="AC47" s="21">
        <f t="shared" si="0"/>
        <v>1</v>
      </c>
      <c r="AD47" s="33">
        <f t="shared" si="1"/>
        <v>2.7624309392265192E-2</v>
      </c>
      <c r="AE47" s="33">
        <f t="shared" si="2"/>
        <v>5.5248618784530384E-3</v>
      </c>
    </row>
    <row r="48" spans="1:31" hidden="1" x14ac:dyDescent="0.3">
      <c r="A48" s="9" t="s">
        <v>36</v>
      </c>
      <c r="B48" s="11">
        <v>1013299</v>
      </c>
      <c r="C48" s="29" t="s">
        <v>82</v>
      </c>
      <c r="D48" s="9">
        <v>6</v>
      </c>
      <c r="E48" s="9">
        <v>21</v>
      </c>
      <c r="F48" s="9">
        <v>0</v>
      </c>
      <c r="G48" s="9">
        <v>0</v>
      </c>
      <c r="H48" s="9">
        <v>1</v>
      </c>
      <c r="I48" s="9">
        <v>147</v>
      </c>
      <c r="J48" s="9">
        <v>5</v>
      </c>
      <c r="K48" s="9">
        <v>1</v>
      </c>
      <c r="L48" s="9">
        <v>2</v>
      </c>
      <c r="M48" s="9">
        <v>4</v>
      </c>
      <c r="N48" s="9">
        <v>0</v>
      </c>
      <c r="O48" s="9">
        <v>0</v>
      </c>
      <c r="P48" s="9"/>
      <c r="Q48" s="9">
        <v>4</v>
      </c>
      <c r="R48" s="9"/>
      <c r="S48" s="9"/>
      <c r="T48" s="9"/>
      <c r="U48" s="9">
        <v>5</v>
      </c>
      <c r="V48" s="9"/>
      <c r="W48" s="9"/>
      <c r="X48" s="1" t="s">
        <v>90</v>
      </c>
      <c r="Y48" s="21"/>
      <c r="Z48" s="21"/>
      <c r="AA48" s="21">
        <f t="shared" si="0"/>
        <v>181</v>
      </c>
      <c r="AB48" s="21">
        <f t="shared" si="0"/>
        <v>5</v>
      </c>
      <c r="AC48" s="21">
        <f t="shared" si="0"/>
        <v>1</v>
      </c>
      <c r="AD48" s="33">
        <f t="shared" si="1"/>
        <v>2.7624309392265192E-2</v>
      </c>
      <c r="AE48" s="33">
        <f t="shared" si="2"/>
        <v>5.5248618784530384E-3</v>
      </c>
    </row>
    <row r="49" spans="1:31" hidden="1" x14ac:dyDescent="0.3">
      <c r="A49" s="9" t="s">
        <v>36</v>
      </c>
      <c r="B49" s="11">
        <v>1013549</v>
      </c>
      <c r="C49" s="28" t="s">
        <v>83</v>
      </c>
      <c r="D49" s="9">
        <v>4</v>
      </c>
      <c r="E49" s="9">
        <v>21</v>
      </c>
      <c r="F49" s="9">
        <v>0</v>
      </c>
      <c r="G49" s="9">
        <v>0</v>
      </c>
      <c r="H49" s="9">
        <v>1</v>
      </c>
      <c r="I49" s="9">
        <v>147</v>
      </c>
      <c r="J49" s="9">
        <v>3</v>
      </c>
      <c r="K49" s="9">
        <v>0</v>
      </c>
      <c r="L49" s="9">
        <v>2</v>
      </c>
      <c r="M49" s="9">
        <v>4</v>
      </c>
      <c r="N49" s="9">
        <v>1</v>
      </c>
      <c r="O49" s="9">
        <v>1</v>
      </c>
      <c r="P49" s="9"/>
      <c r="Q49" s="9">
        <v>4</v>
      </c>
      <c r="R49" s="9"/>
      <c r="S49" s="9"/>
      <c r="T49" s="9"/>
      <c r="U49" s="9">
        <v>5</v>
      </c>
      <c r="V49" s="9"/>
      <c r="W49" s="9"/>
      <c r="X49" s="1" t="s">
        <v>91</v>
      </c>
      <c r="Y49" s="21"/>
      <c r="Z49" s="21"/>
      <c r="AA49" s="21">
        <f t="shared" si="0"/>
        <v>181</v>
      </c>
      <c r="AB49" s="21">
        <f t="shared" si="0"/>
        <v>4</v>
      </c>
      <c r="AC49" s="21">
        <f t="shared" si="0"/>
        <v>1</v>
      </c>
      <c r="AD49" s="33">
        <f t="shared" si="1"/>
        <v>2.2099447513812154E-2</v>
      </c>
      <c r="AE49" s="33">
        <f t="shared" si="2"/>
        <v>5.5248618784530384E-3</v>
      </c>
    </row>
    <row r="50" spans="1:31" s="8" customFormat="1" hidden="1" x14ac:dyDescent="0.3">
      <c r="A50" s="10" t="s">
        <v>7</v>
      </c>
      <c r="B50" s="12">
        <v>1006167</v>
      </c>
      <c r="C50" s="7" t="s">
        <v>39</v>
      </c>
      <c r="D50" s="10">
        <v>10</v>
      </c>
      <c r="E50" s="10">
        <v>21</v>
      </c>
      <c r="F50" s="10">
        <v>0</v>
      </c>
      <c r="G50" s="10">
        <v>2</v>
      </c>
      <c r="H50" s="10">
        <v>1</v>
      </c>
      <c r="I50" s="10">
        <v>147</v>
      </c>
      <c r="J50" s="10">
        <v>1</v>
      </c>
      <c r="K50" s="10">
        <v>0</v>
      </c>
      <c r="L50" s="10">
        <v>1</v>
      </c>
      <c r="M50" s="9">
        <v>4</v>
      </c>
      <c r="N50" s="10">
        <v>0</v>
      </c>
      <c r="O50" s="10">
        <v>0</v>
      </c>
      <c r="P50" s="10">
        <v>0</v>
      </c>
      <c r="Q50" s="9">
        <v>4</v>
      </c>
      <c r="R50" s="10">
        <v>0</v>
      </c>
      <c r="S50" s="10">
        <v>0</v>
      </c>
      <c r="T50" s="10">
        <v>3</v>
      </c>
      <c r="U50" s="9">
        <v>5</v>
      </c>
      <c r="V50" s="10">
        <v>0</v>
      </c>
      <c r="W50" s="10">
        <v>0</v>
      </c>
      <c r="X50" s="5" t="s">
        <v>96</v>
      </c>
      <c r="Y50" s="32" t="s">
        <v>95</v>
      </c>
      <c r="Z50" s="24"/>
      <c r="AA50" s="21">
        <f t="shared" si="0"/>
        <v>181</v>
      </c>
      <c r="AB50" s="21">
        <f t="shared" si="0"/>
        <v>1</v>
      </c>
      <c r="AC50" s="21">
        <f t="shared" si="0"/>
        <v>2</v>
      </c>
      <c r="AD50" s="33">
        <f t="shared" si="1"/>
        <v>5.5248618784530384E-3</v>
      </c>
      <c r="AE50" s="33">
        <f t="shared" si="2"/>
        <v>1.1049723756906077E-2</v>
      </c>
    </row>
    <row r="51" spans="1:31" hidden="1" x14ac:dyDescent="0.3">
      <c r="A51" s="9" t="s">
        <v>7</v>
      </c>
      <c r="B51" s="9">
        <v>1012500</v>
      </c>
      <c r="C51" s="1" t="s">
        <v>101</v>
      </c>
      <c r="D51" s="10">
        <v>24</v>
      </c>
      <c r="E51" s="10">
        <v>21</v>
      </c>
      <c r="F51" s="10">
        <v>0</v>
      </c>
      <c r="G51" s="10">
        <v>0</v>
      </c>
      <c r="H51" s="10">
        <v>1</v>
      </c>
      <c r="I51" s="10">
        <v>147</v>
      </c>
      <c r="J51" s="10">
        <v>0</v>
      </c>
      <c r="K51" s="10">
        <v>2</v>
      </c>
      <c r="L51" s="10">
        <v>2</v>
      </c>
      <c r="M51" s="9">
        <v>4</v>
      </c>
      <c r="N51" s="10">
        <v>0</v>
      </c>
      <c r="O51" s="10">
        <v>0</v>
      </c>
      <c r="P51" s="10">
        <v>2</v>
      </c>
      <c r="Q51" s="10">
        <v>4</v>
      </c>
      <c r="R51" s="10">
        <v>0</v>
      </c>
      <c r="S51" s="10">
        <v>0</v>
      </c>
      <c r="T51" s="9"/>
      <c r="U51" s="9">
        <v>5</v>
      </c>
      <c r="V51" s="9"/>
      <c r="W51" s="9"/>
      <c r="X51" s="1" t="s">
        <v>122</v>
      </c>
      <c r="Y51" s="21"/>
      <c r="AA51" s="21">
        <f>E51+I51+M51+Q51+U51</f>
        <v>181</v>
      </c>
      <c r="AB51" s="21">
        <f>F51+J51+N51+R51+V51</f>
        <v>0</v>
      </c>
      <c r="AC51" s="21">
        <f>G51+K51+O51+S51+W51</f>
        <v>2</v>
      </c>
      <c r="AD51" s="33">
        <f>AB51/AA51</f>
        <v>0</v>
      </c>
      <c r="AE51" s="33">
        <f>AC51/AA51</f>
        <v>1.1049723756906077E-2</v>
      </c>
    </row>
    <row r="52" spans="1:31" s="8" customFormat="1" hidden="1" x14ac:dyDescent="0.3">
      <c r="A52" s="10" t="s">
        <v>23</v>
      </c>
      <c r="B52" s="10">
        <v>1012500</v>
      </c>
      <c r="C52" s="5" t="s">
        <v>101</v>
      </c>
      <c r="D52" s="10">
        <v>24</v>
      </c>
      <c r="E52" s="10">
        <v>21</v>
      </c>
      <c r="F52" s="10">
        <v>0</v>
      </c>
      <c r="G52" s="10">
        <v>0</v>
      </c>
      <c r="H52" s="10">
        <v>1</v>
      </c>
      <c r="I52" s="10">
        <v>147</v>
      </c>
      <c r="J52" s="10">
        <v>2</v>
      </c>
      <c r="K52" s="10">
        <v>2</v>
      </c>
      <c r="L52" s="10">
        <v>2</v>
      </c>
      <c r="M52" s="9">
        <v>4</v>
      </c>
      <c r="N52" s="10">
        <v>0</v>
      </c>
      <c r="O52" s="10">
        <v>0</v>
      </c>
      <c r="P52" s="10">
        <v>2</v>
      </c>
      <c r="Q52" s="10">
        <v>4</v>
      </c>
      <c r="R52" s="10">
        <v>0</v>
      </c>
      <c r="S52" s="10">
        <v>0</v>
      </c>
      <c r="T52" s="10"/>
      <c r="U52" s="9">
        <v>5</v>
      </c>
      <c r="V52" s="10"/>
      <c r="W52" s="10"/>
      <c r="X52" s="5" t="s">
        <v>102</v>
      </c>
      <c r="Y52" s="24"/>
      <c r="AA52" s="21">
        <f t="shared" si="0"/>
        <v>181</v>
      </c>
      <c r="AB52" s="21">
        <f t="shared" si="0"/>
        <v>2</v>
      </c>
      <c r="AC52" s="21">
        <f t="shared" si="0"/>
        <v>2</v>
      </c>
      <c r="AD52" s="33">
        <f t="shared" si="1"/>
        <v>1.1049723756906077E-2</v>
      </c>
      <c r="AE52" s="33">
        <f t="shared" si="2"/>
        <v>1.1049723756906077E-2</v>
      </c>
    </row>
    <row r="53" spans="1:31" s="8" customFormat="1" hidden="1" x14ac:dyDescent="0.3">
      <c r="A53" s="10" t="s">
        <v>23</v>
      </c>
      <c r="B53" s="12">
        <v>1006167</v>
      </c>
      <c r="C53" s="7" t="s">
        <v>39</v>
      </c>
      <c r="D53" s="10">
        <v>10</v>
      </c>
      <c r="E53" s="10">
        <v>21</v>
      </c>
      <c r="F53" s="10">
        <v>0</v>
      </c>
      <c r="G53" s="10">
        <v>4</v>
      </c>
      <c r="H53" s="10">
        <v>1</v>
      </c>
      <c r="I53" s="10">
        <v>147</v>
      </c>
      <c r="J53" s="10">
        <v>1</v>
      </c>
      <c r="K53" s="10">
        <v>0</v>
      </c>
      <c r="L53" s="10">
        <v>1</v>
      </c>
      <c r="M53" s="9">
        <v>4</v>
      </c>
      <c r="N53" s="10">
        <v>0</v>
      </c>
      <c r="O53" s="10">
        <v>0</v>
      </c>
      <c r="P53" s="10">
        <v>0</v>
      </c>
      <c r="Q53" s="9">
        <v>4</v>
      </c>
      <c r="R53" s="10">
        <v>0</v>
      </c>
      <c r="S53" s="10">
        <v>0</v>
      </c>
      <c r="T53" s="10">
        <v>3</v>
      </c>
      <c r="U53" s="9">
        <v>5</v>
      </c>
      <c r="V53" s="10">
        <v>0</v>
      </c>
      <c r="W53" s="10">
        <v>0</v>
      </c>
      <c r="X53" s="5" t="s">
        <v>107</v>
      </c>
      <c r="Y53" s="24"/>
      <c r="Z53" s="24"/>
      <c r="AA53" s="21">
        <f t="shared" si="0"/>
        <v>181</v>
      </c>
      <c r="AB53" s="21">
        <f t="shared" si="0"/>
        <v>1</v>
      </c>
      <c r="AC53" s="21">
        <f t="shared" si="0"/>
        <v>4</v>
      </c>
      <c r="AD53" s="33">
        <f t="shared" si="1"/>
        <v>5.5248618784530384E-3</v>
      </c>
      <c r="AE53" s="33">
        <f t="shared" si="2"/>
        <v>2.2099447513812154E-2</v>
      </c>
    </row>
    <row r="54" spans="1:31" s="8" customFormat="1" hidden="1" x14ac:dyDescent="0.3">
      <c r="A54" s="10" t="s">
        <v>28</v>
      </c>
      <c r="B54" s="12">
        <v>1006167</v>
      </c>
      <c r="C54" s="7" t="s">
        <v>39</v>
      </c>
      <c r="D54" s="10">
        <v>10</v>
      </c>
      <c r="E54" s="10">
        <v>21</v>
      </c>
      <c r="F54" s="10">
        <v>0</v>
      </c>
      <c r="G54" s="10">
        <v>3</v>
      </c>
      <c r="H54" s="10">
        <v>1</v>
      </c>
      <c r="I54" s="10">
        <v>147</v>
      </c>
      <c r="J54" s="10">
        <v>0</v>
      </c>
      <c r="K54" s="10">
        <v>0</v>
      </c>
      <c r="L54" s="10">
        <v>1</v>
      </c>
      <c r="M54" s="9">
        <v>4</v>
      </c>
      <c r="N54" s="10">
        <v>0</v>
      </c>
      <c r="O54" s="10">
        <v>0</v>
      </c>
      <c r="P54" s="10">
        <v>0</v>
      </c>
      <c r="Q54" s="9">
        <v>4</v>
      </c>
      <c r="R54" s="10">
        <v>0</v>
      </c>
      <c r="S54" s="10">
        <v>0</v>
      </c>
      <c r="T54" s="10">
        <v>3</v>
      </c>
      <c r="U54" s="9">
        <v>5</v>
      </c>
      <c r="V54" s="10">
        <v>0</v>
      </c>
      <c r="W54" s="10">
        <v>0</v>
      </c>
      <c r="X54" s="5" t="s">
        <v>110</v>
      </c>
      <c r="Y54" s="24"/>
      <c r="Z54" s="24"/>
      <c r="AA54" s="21">
        <f t="shared" si="0"/>
        <v>181</v>
      </c>
      <c r="AB54" s="21">
        <f t="shared" si="0"/>
        <v>0</v>
      </c>
      <c r="AC54" s="21">
        <f t="shared" si="0"/>
        <v>3</v>
      </c>
      <c r="AD54" s="33">
        <f t="shared" si="1"/>
        <v>0</v>
      </c>
      <c r="AE54" s="33">
        <f t="shared" si="2"/>
        <v>1.6574585635359115E-2</v>
      </c>
    </row>
  </sheetData>
  <autoFilter ref="A1:AE54" xr:uid="{B990E297-F336-4CC8-9DB5-D79DAF467AFD}">
    <filterColumn colId="9">
      <filters blank="1"/>
    </filterColumn>
  </autoFilter>
  <customSheetViews>
    <customSheetView guid="{1EE62E9F-0698-46CF-BB3C-23E1EBAB6664}" topLeftCell="S1">
      <pane ySplit="1" topLeftCell="A2" activePane="bottomLeft" state="frozen"/>
      <selection pane="bottomLeft" activeCell="AA2" sqref="AA2"/>
      <pageMargins left="0.7" right="0.7" top="0.75" bottom="0.75" header="0.3" footer="0.3"/>
    </customSheetView>
    <customSheetView guid="{0AF455B7-E4E3-4C97-BF8A-2F2A5D078819}">
      <pane ySplit="1" topLeftCell="A23" activePane="bottomLeft" state="frozen"/>
      <selection pane="bottomLeft" activeCell="A35" sqref="A35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7D0B-186A-478D-80DC-DD90A7C9A131}">
  <dimension ref="A1:J54"/>
  <sheetViews>
    <sheetView topLeftCell="A25" workbookViewId="0">
      <selection activeCell="C44" sqref="C44"/>
    </sheetView>
  </sheetViews>
  <sheetFormatPr defaultRowHeight="14.4" x14ac:dyDescent="0.3"/>
  <cols>
    <col min="1" max="1" width="8.88671875" style="19"/>
    <col min="2" max="2" width="10" style="19" bestFit="1" customWidth="1"/>
    <col min="3" max="3" width="39.109375" style="20" bestFit="1" customWidth="1"/>
    <col min="4" max="4" width="19.77734375" bestFit="1" customWidth="1"/>
    <col min="5" max="5" width="20" bestFit="1" customWidth="1"/>
    <col min="6" max="6" width="12" bestFit="1" customWidth="1"/>
    <col min="7" max="7" width="15.6640625" bestFit="1" customWidth="1"/>
    <col min="8" max="8" width="12" bestFit="1" customWidth="1"/>
    <col min="9" max="9" width="41.44140625" style="20" customWidth="1"/>
    <col min="10" max="10" width="41.88671875" style="2" customWidth="1"/>
  </cols>
  <sheetData>
    <row r="1" spans="1:10" x14ac:dyDescent="0.3">
      <c r="A1" s="13" t="s">
        <v>6</v>
      </c>
      <c r="B1" s="13" t="s">
        <v>33</v>
      </c>
      <c r="C1" s="13" t="s">
        <v>0</v>
      </c>
      <c r="D1" s="34" t="s">
        <v>117</v>
      </c>
      <c r="E1" s="34" t="s">
        <v>113</v>
      </c>
      <c r="F1" s="34" t="s">
        <v>115</v>
      </c>
      <c r="G1" s="34" t="s">
        <v>114</v>
      </c>
      <c r="H1" s="34" t="s">
        <v>116</v>
      </c>
      <c r="I1" s="14" t="s">
        <v>22</v>
      </c>
      <c r="J1" s="14" t="s">
        <v>41</v>
      </c>
    </row>
    <row r="2" spans="1:10" x14ac:dyDescent="0.3">
      <c r="A2" s="9" t="s">
        <v>36</v>
      </c>
      <c r="B2" s="9">
        <v>19584</v>
      </c>
      <c r="C2" s="1" t="s">
        <v>1</v>
      </c>
      <c r="D2" s="35">
        <v>181</v>
      </c>
      <c r="E2" s="35">
        <v>8</v>
      </c>
      <c r="F2" s="36">
        <v>4.4198895027624308E-2</v>
      </c>
      <c r="G2" s="35">
        <v>1</v>
      </c>
      <c r="H2" s="36">
        <v>5.5248618784530384E-3</v>
      </c>
      <c r="I2" s="1" t="s">
        <v>24</v>
      </c>
      <c r="J2" s="21"/>
    </row>
    <row r="3" spans="1:10" x14ac:dyDescent="0.3">
      <c r="A3" s="9" t="s">
        <v>7</v>
      </c>
      <c r="B3" s="9">
        <v>19584</v>
      </c>
      <c r="C3" s="1" t="s">
        <v>1</v>
      </c>
      <c r="D3" s="35">
        <v>181</v>
      </c>
      <c r="E3" s="35">
        <v>6</v>
      </c>
      <c r="F3" s="36">
        <v>3.3149171270718231E-2</v>
      </c>
      <c r="G3" s="35">
        <v>0</v>
      </c>
      <c r="H3" s="36">
        <v>0</v>
      </c>
      <c r="I3" s="1" t="s">
        <v>25</v>
      </c>
      <c r="J3" s="22"/>
    </row>
    <row r="4" spans="1:10" x14ac:dyDescent="0.3">
      <c r="A4" s="9" t="s">
        <v>23</v>
      </c>
      <c r="B4" s="9">
        <v>19584</v>
      </c>
      <c r="C4" s="1" t="s">
        <v>1</v>
      </c>
      <c r="D4" s="35">
        <v>181</v>
      </c>
      <c r="E4" s="35">
        <v>7</v>
      </c>
      <c r="F4" s="36">
        <v>3.8674033149171269E-2</v>
      </c>
      <c r="G4" s="35">
        <v>0</v>
      </c>
      <c r="H4" s="36">
        <v>0</v>
      </c>
      <c r="I4" s="1" t="s">
        <v>29</v>
      </c>
      <c r="J4" s="22"/>
    </row>
    <row r="5" spans="1:10" x14ac:dyDescent="0.3">
      <c r="A5" s="9" t="s">
        <v>28</v>
      </c>
      <c r="B5" s="9">
        <v>19584</v>
      </c>
      <c r="C5" s="1" t="s">
        <v>1</v>
      </c>
      <c r="D5" s="35">
        <v>181</v>
      </c>
      <c r="E5" s="35">
        <v>7</v>
      </c>
      <c r="F5" s="36">
        <v>3.8674033149171269E-2</v>
      </c>
      <c r="G5" s="35">
        <v>1</v>
      </c>
      <c r="H5" s="36">
        <v>5.5248618784530384E-3</v>
      </c>
      <c r="I5" s="1" t="s">
        <v>43</v>
      </c>
      <c r="J5" s="30" t="s">
        <v>44</v>
      </c>
    </row>
    <row r="6" spans="1:10" x14ac:dyDescent="0.3">
      <c r="A6" s="9" t="s">
        <v>40</v>
      </c>
      <c r="B6" s="9">
        <v>19584</v>
      </c>
      <c r="C6" s="1" t="s">
        <v>1</v>
      </c>
      <c r="D6" s="35">
        <v>181</v>
      </c>
      <c r="E6" s="35">
        <v>2</v>
      </c>
      <c r="F6" s="36">
        <v>1.1049723756906077E-2</v>
      </c>
      <c r="G6" s="35">
        <v>0</v>
      </c>
      <c r="H6" s="36">
        <v>0</v>
      </c>
      <c r="I6" s="1" t="s">
        <v>97</v>
      </c>
      <c r="J6" s="22"/>
    </row>
    <row r="7" spans="1:10" x14ac:dyDescent="0.3">
      <c r="A7" s="9" t="s">
        <v>94</v>
      </c>
      <c r="B7" s="9">
        <v>19584</v>
      </c>
      <c r="C7" s="1" t="s">
        <v>1</v>
      </c>
      <c r="D7" s="35">
        <v>181</v>
      </c>
      <c r="E7" s="35">
        <v>0</v>
      </c>
      <c r="F7" s="36">
        <v>0</v>
      </c>
      <c r="G7" s="35">
        <v>0</v>
      </c>
      <c r="H7" s="36">
        <v>0</v>
      </c>
      <c r="I7" s="1" t="s">
        <v>105</v>
      </c>
      <c r="J7" s="22"/>
    </row>
    <row r="8" spans="1:10" s="38" customFormat="1" x14ac:dyDescent="0.3">
      <c r="A8" s="10" t="s">
        <v>104</v>
      </c>
      <c r="B8" s="10">
        <v>19584</v>
      </c>
      <c r="C8" s="5" t="s">
        <v>1</v>
      </c>
      <c r="D8" s="35">
        <v>181</v>
      </c>
      <c r="E8" s="37">
        <v>0</v>
      </c>
      <c r="F8" s="36">
        <v>0</v>
      </c>
      <c r="G8" s="37">
        <v>1</v>
      </c>
      <c r="H8" s="36">
        <v>5.5248618784530384E-3</v>
      </c>
      <c r="I8" s="5" t="s">
        <v>109</v>
      </c>
      <c r="J8" s="23"/>
    </row>
    <row r="9" spans="1:10" x14ac:dyDescent="0.3">
      <c r="A9" s="9" t="s">
        <v>36</v>
      </c>
      <c r="B9" s="11">
        <v>36616</v>
      </c>
      <c r="C9" s="4" t="s">
        <v>26</v>
      </c>
      <c r="D9" s="35">
        <v>181</v>
      </c>
      <c r="E9" s="35">
        <v>35</v>
      </c>
      <c r="F9" s="36">
        <v>0.19337016574585636</v>
      </c>
      <c r="G9" s="35">
        <v>0</v>
      </c>
      <c r="H9" s="36">
        <v>0</v>
      </c>
      <c r="I9" s="1" t="s">
        <v>27</v>
      </c>
      <c r="J9" s="21"/>
    </row>
    <row r="10" spans="1:10" x14ac:dyDescent="0.3">
      <c r="A10" s="9" t="s">
        <v>7</v>
      </c>
      <c r="B10" s="11">
        <v>36616</v>
      </c>
      <c r="C10" s="4" t="s">
        <v>26</v>
      </c>
      <c r="D10" s="35">
        <v>181</v>
      </c>
      <c r="E10" s="35">
        <v>8</v>
      </c>
      <c r="F10" s="36">
        <v>4.4198895027624308E-2</v>
      </c>
      <c r="G10" s="35">
        <v>0</v>
      </c>
      <c r="H10" s="36">
        <v>0</v>
      </c>
      <c r="I10" s="1" t="s">
        <v>30</v>
      </c>
      <c r="J10" s="21"/>
    </row>
    <row r="11" spans="1:10" x14ac:dyDescent="0.3">
      <c r="A11" s="9" t="s">
        <v>23</v>
      </c>
      <c r="B11" s="11">
        <v>36616</v>
      </c>
      <c r="C11" s="4" t="s">
        <v>26</v>
      </c>
      <c r="D11" s="35">
        <v>181</v>
      </c>
      <c r="E11" s="35">
        <v>6</v>
      </c>
      <c r="F11" s="36">
        <v>3.3149171270718231E-2</v>
      </c>
      <c r="G11" s="35">
        <v>1</v>
      </c>
      <c r="H11" s="36">
        <v>5.5248618784530384E-3</v>
      </c>
      <c r="I11" s="1" t="s">
        <v>46</v>
      </c>
      <c r="J11" s="31" t="s">
        <v>47</v>
      </c>
    </row>
    <row r="12" spans="1:10" x14ac:dyDescent="0.3">
      <c r="A12" s="9" t="s">
        <v>28</v>
      </c>
      <c r="B12" s="11">
        <v>36616</v>
      </c>
      <c r="C12" s="4" t="s">
        <v>26</v>
      </c>
      <c r="D12" s="35">
        <v>181</v>
      </c>
      <c r="E12" s="35">
        <v>2</v>
      </c>
      <c r="F12" s="36">
        <v>1.1049723756906077E-2</v>
      </c>
      <c r="G12" s="35">
        <v>1</v>
      </c>
      <c r="H12" s="36">
        <v>5.5248618784530384E-3</v>
      </c>
      <c r="I12" s="1" t="s">
        <v>98</v>
      </c>
      <c r="J12" s="21"/>
    </row>
    <row r="13" spans="1:10" x14ac:dyDescent="0.3">
      <c r="A13" s="9" t="s">
        <v>40</v>
      </c>
      <c r="B13" s="11">
        <v>36616</v>
      </c>
      <c r="C13" s="4" t="s">
        <v>26</v>
      </c>
      <c r="D13" s="35">
        <v>181</v>
      </c>
      <c r="E13" s="35">
        <v>0</v>
      </c>
      <c r="F13" s="36">
        <v>0</v>
      </c>
      <c r="G13" s="35">
        <v>1</v>
      </c>
      <c r="H13" s="36">
        <v>5.5248618784530384E-3</v>
      </c>
      <c r="I13" s="1" t="s">
        <v>103</v>
      </c>
      <c r="J13" s="21"/>
    </row>
    <row r="14" spans="1:10" s="38" customFormat="1" x14ac:dyDescent="0.3">
      <c r="A14" s="10" t="s">
        <v>94</v>
      </c>
      <c r="B14" s="12">
        <v>36616</v>
      </c>
      <c r="C14" s="7" t="s">
        <v>26</v>
      </c>
      <c r="D14" s="35">
        <v>181</v>
      </c>
      <c r="E14" s="37">
        <v>1</v>
      </c>
      <c r="F14" s="36">
        <v>5.5248618784530384E-3</v>
      </c>
      <c r="G14" s="37">
        <v>0</v>
      </c>
      <c r="H14" s="36">
        <v>0</v>
      </c>
      <c r="I14" s="5" t="s">
        <v>111</v>
      </c>
      <c r="J14" s="24"/>
    </row>
    <row r="15" spans="1:10" x14ac:dyDescent="0.3">
      <c r="A15" s="9" t="s">
        <v>36</v>
      </c>
      <c r="B15" s="11">
        <v>1010119</v>
      </c>
      <c r="C15" s="4" t="s">
        <v>31</v>
      </c>
      <c r="D15" s="35">
        <v>181</v>
      </c>
      <c r="E15" s="35">
        <v>7</v>
      </c>
      <c r="F15" s="36">
        <v>3.8674033149171269E-2</v>
      </c>
      <c r="G15" s="35">
        <v>0</v>
      </c>
      <c r="H15" s="36">
        <v>0</v>
      </c>
      <c r="I15" s="1" t="s">
        <v>29</v>
      </c>
      <c r="J15" s="21"/>
    </row>
    <row r="16" spans="1:10" x14ac:dyDescent="0.3">
      <c r="A16" s="9" t="s">
        <v>7</v>
      </c>
      <c r="B16" s="11">
        <v>1010119</v>
      </c>
      <c r="C16" s="4" t="s">
        <v>31</v>
      </c>
      <c r="D16" s="35">
        <v>181</v>
      </c>
      <c r="E16" s="35">
        <v>6</v>
      </c>
      <c r="F16" s="36">
        <v>3.3149171270718231E-2</v>
      </c>
      <c r="G16" s="35">
        <v>1</v>
      </c>
      <c r="H16" s="36">
        <v>5.5248618784530384E-3</v>
      </c>
      <c r="I16" s="1" t="s">
        <v>32</v>
      </c>
      <c r="J16" s="21"/>
    </row>
    <row r="17" spans="1:10" x14ac:dyDescent="0.3">
      <c r="A17" s="9" t="s">
        <v>23</v>
      </c>
      <c r="B17" s="11">
        <v>1010119</v>
      </c>
      <c r="C17" s="4" t="s">
        <v>31</v>
      </c>
      <c r="D17" s="35">
        <v>181</v>
      </c>
      <c r="E17" s="35">
        <v>6</v>
      </c>
      <c r="F17" s="36">
        <v>3.3149171270718231E-2</v>
      </c>
      <c r="G17" s="35">
        <v>0</v>
      </c>
      <c r="H17" s="36">
        <v>0</v>
      </c>
      <c r="I17" s="1" t="s">
        <v>48</v>
      </c>
      <c r="J17" s="31" t="s">
        <v>49</v>
      </c>
    </row>
    <row r="18" spans="1:10" x14ac:dyDescent="0.3">
      <c r="A18" s="9" t="s">
        <v>28</v>
      </c>
      <c r="B18" s="11">
        <v>1010119</v>
      </c>
      <c r="C18" s="4" t="s">
        <v>31</v>
      </c>
      <c r="D18" s="35">
        <v>181</v>
      </c>
      <c r="E18" s="35">
        <v>2</v>
      </c>
      <c r="F18" s="36">
        <v>1.1049723756906077E-2</v>
      </c>
      <c r="G18" s="35">
        <v>1</v>
      </c>
      <c r="H18" s="36">
        <v>5.5248618784530384E-3</v>
      </c>
      <c r="I18" s="1" t="s">
        <v>99</v>
      </c>
      <c r="J18" s="21"/>
    </row>
    <row r="19" spans="1:10" x14ac:dyDescent="0.3">
      <c r="A19" s="9" t="s">
        <v>40</v>
      </c>
      <c r="B19" s="11">
        <v>1010119</v>
      </c>
      <c r="C19" s="4" t="s">
        <v>31</v>
      </c>
      <c r="D19" s="35">
        <v>181</v>
      </c>
      <c r="E19" s="35">
        <v>2</v>
      </c>
      <c r="F19" s="36">
        <v>1.1049723756906077E-2</v>
      </c>
      <c r="G19" s="35">
        <v>1</v>
      </c>
      <c r="H19" s="36">
        <v>5.5248618784530384E-3</v>
      </c>
      <c r="I19" s="1" t="s">
        <v>99</v>
      </c>
      <c r="J19" s="21"/>
    </row>
    <row r="20" spans="1:10" s="38" customFormat="1" x14ac:dyDescent="0.3">
      <c r="A20" s="10" t="s">
        <v>94</v>
      </c>
      <c r="B20" s="12">
        <v>1010119</v>
      </c>
      <c r="C20" s="7" t="s">
        <v>31</v>
      </c>
      <c r="D20" s="35">
        <v>181</v>
      </c>
      <c r="E20" s="37">
        <v>0</v>
      </c>
      <c r="F20" s="36">
        <v>0</v>
      </c>
      <c r="G20" s="37">
        <v>0</v>
      </c>
      <c r="H20" s="36">
        <v>0</v>
      </c>
      <c r="I20" s="5" t="s">
        <v>105</v>
      </c>
      <c r="J20" s="24"/>
    </row>
    <row r="21" spans="1:10" x14ac:dyDescent="0.3">
      <c r="A21" s="9" t="s">
        <v>36</v>
      </c>
      <c r="B21" s="9">
        <v>1012229</v>
      </c>
      <c r="C21" s="1" t="s">
        <v>50</v>
      </c>
      <c r="D21" s="35">
        <v>181</v>
      </c>
      <c r="E21" s="35">
        <v>5</v>
      </c>
      <c r="F21" s="36">
        <v>2.7624309392265192E-2</v>
      </c>
      <c r="G21" s="35">
        <v>0</v>
      </c>
      <c r="H21" s="36">
        <v>0</v>
      </c>
      <c r="I21" s="1" t="s">
        <v>52</v>
      </c>
      <c r="J21" s="21"/>
    </row>
    <row r="22" spans="1:10" x14ac:dyDescent="0.3">
      <c r="A22" s="9" t="s">
        <v>7</v>
      </c>
      <c r="B22" s="9">
        <v>1012229</v>
      </c>
      <c r="C22" s="1" t="s">
        <v>50</v>
      </c>
      <c r="D22" s="35">
        <v>181</v>
      </c>
      <c r="E22" s="35">
        <v>6</v>
      </c>
      <c r="F22" s="36">
        <v>3.3149171270718231E-2</v>
      </c>
      <c r="G22" s="35">
        <v>4</v>
      </c>
      <c r="H22" s="36">
        <v>2.2099447513812154E-2</v>
      </c>
      <c r="I22" s="1" t="s">
        <v>51</v>
      </c>
      <c r="J22" s="31" t="s">
        <v>55</v>
      </c>
    </row>
    <row r="23" spans="1:10" x14ac:dyDescent="0.3">
      <c r="A23" s="9" t="s">
        <v>23</v>
      </c>
      <c r="B23" s="9">
        <v>1012229</v>
      </c>
      <c r="C23" s="1" t="s">
        <v>50</v>
      </c>
      <c r="D23" s="35">
        <v>181</v>
      </c>
      <c r="E23" s="35">
        <v>0</v>
      </c>
      <c r="F23" s="36">
        <v>0</v>
      </c>
      <c r="G23" s="35">
        <v>2</v>
      </c>
      <c r="H23" s="36">
        <v>1.1049723756906077E-2</v>
      </c>
      <c r="I23" s="1" t="s">
        <v>100</v>
      </c>
      <c r="J23" s="21"/>
    </row>
    <row r="24" spans="1:10" x14ac:dyDescent="0.3">
      <c r="A24" s="9" t="s">
        <v>28</v>
      </c>
      <c r="B24" s="9">
        <v>1012229</v>
      </c>
      <c r="C24" s="1" t="s">
        <v>50</v>
      </c>
      <c r="D24" s="35">
        <v>181</v>
      </c>
      <c r="E24" s="35">
        <v>3</v>
      </c>
      <c r="F24" s="36">
        <v>1.6574585635359115E-2</v>
      </c>
      <c r="G24" s="35">
        <v>0</v>
      </c>
      <c r="H24" s="36">
        <v>0</v>
      </c>
      <c r="I24" s="1" t="s">
        <v>106</v>
      </c>
      <c r="J24" s="21"/>
    </row>
    <row r="25" spans="1:10" x14ac:dyDescent="0.3">
      <c r="A25" s="10" t="s">
        <v>40</v>
      </c>
      <c r="B25" s="10">
        <v>1012229</v>
      </c>
      <c r="C25" s="5" t="s">
        <v>50</v>
      </c>
      <c r="D25" s="35">
        <v>181</v>
      </c>
      <c r="E25" s="35">
        <v>0</v>
      </c>
      <c r="F25" s="36">
        <v>0</v>
      </c>
      <c r="G25" s="35">
        <v>0</v>
      </c>
      <c r="H25" s="36">
        <v>0</v>
      </c>
      <c r="I25" s="5" t="s">
        <v>105</v>
      </c>
      <c r="J25" s="24"/>
    </row>
    <row r="26" spans="1:10" x14ac:dyDescent="0.3">
      <c r="A26" s="9" t="s">
        <v>36</v>
      </c>
      <c r="B26" s="11">
        <v>1006167</v>
      </c>
      <c r="C26" s="4" t="s">
        <v>39</v>
      </c>
      <c r="D26" s="35">
        <v>181</v>
      </c>
      <c r="E26" s="35">
        <v>6</v>
      </c>
      <c r="F26" s="36">
        <v>3.3149171270718231E-2</v>
      </c>
      <c r="G26" s="35">
        <v>6</v>
      </c>
      <c r="H26" s="36">
        <v>3.3149171270718231E-2</v>
      </c>
      <c r="I26" s="1" t="s">
        <v>87</v>
      </c>
      <c r="J26" s="30" t="s">
        <v>45</v>
      </c>
    </row>
    <row r="27" spans="1:10" x14ac:dyDescent="0.3">
      <c r="A27" s="9" t="s">
        <v>7</v>
      </c>
      <c r="B27" s="11">
        <v>1006167</v>
      </c>
      <c r="C27" s="4" t="s">
        <v>39</v>
      </c>
      <c r="D27" s="35">
        <v>181</v>
      </c>
      <c r="E27" s="35">
        <v>1</v>
      </c>
      <c r="F27" s="36">
        <v>5.5248618784530384E-3</v>
      </c>
      <c r="G27" s="35">
        <v>2</v>
      </c>
      <c r="H27" s="36">
        <v>1.1049723756906077E-2</v>
      </c>
      <c r="I27" s="1" t="s">
        <v>96</v>
      </c>
      <c r="J27" s="39" t="s">
        <v>95</v>
      </c>
    </row>
    <row r="28" spans="1:10" x14ac:dyDescent="0.3">
      <c r="A28" s="9" t="s">
        <v>23</v>
      </c>
      <c r="B28" s="11">
        <v>1006167</v>
      </c>
      <c r="C28" s="4" t="s">
        <v>39</v>
      </c>
      <c r="D28" s="35">
        <v>181</v>
      </c>
      <c r="E28" s="35">
        <v>1</v>
      </c>
      <c r="F28" s="36">
        <v>5.5248618784530384E-3</v>
      </c>
      <c r="G28" s="35">
        <v>4</v>
      </c>
      <c r="H28" s="36">
        <v>2.2099447513812154E-2</v>
      </c>
      <c r="I28" s="1" t="s">
        <v>107</v>
      </c>
      <c r="J28" s="21"/>
    </row>
    <row r="29" spans="1:10" x14ac:dyDescent="0.3">
      <c r="A29" s="10" t="s">
        <v>28</v>
      </c>
      <c r="B29" s="12">
        <v>1006167</v>
      </c>
      <c r="C29" s="7" t="s">
        <v>39</v>
      </c>
      <c r="D29" s="35">
        <v>181</v>
      </c>
      <c r="E29" s="35">
        <v>0</v>
      </c>
      <c r="F29" s="36">
        <v>0</v>
      </c>
      <c r="G29" s="35">
        <v>3</v>
      </c>
      <c r="H29" s="36">
        <v>1.6574585635359115E-2</v>
      </c>
      <c r="I29" s="5" t="s">
        <v>110</v>
      </c>
      <c r="J29" s="24"/>
    </row>
    <row r="30" spans="1:10" x14ac:dyDescent="0.3">
      <c r="A30" s="9" t="s">
        <v>36</v>
      </c>
      <c r="B30" s="9">
        <v>1012500</v>
      </c>
      <c r="C30" s="1" t="s">
        <v>101</v>
      </c>
      <c r="D30" s="35">
        <v>181</v>
      </c>
      <c r="E30" s="35">
        <v>0</v>
      </c>
      <c r="F30" s="36">
        <v>0</v>
      </c>
      <c r="G30" s="35">
        <v>2</v>
      </c>
      <c r="H30" s="36">
        <v>1.1049723756906077E-2</v>
      </c>
      <c r="I30" s="1" t="s">
        <v>122</v>
      </c>
      <c r="J30" s="21"/>
    </row>
    <row r="31" spans="1:10" s="38" customFormat="1" x14ac:dyDescent="0.3">
      <c r="A31" s="10" t="s">
        <v>7</v>
      </c>
      <c r="B31" s="10">
        <v>1012500</v>
      </c>
      <c r="C31" s="5" t="s">
        <v>101</v>
      </c>
      <c r="D31" s="35">
        <v>181</v>
      </c>
      <c r="E31" s="37">
        <v>2</v>
      </c>
      <c r="F31" s="36">
        <v>1.1049723756906077E-2</v>
      </c>
      <c r="G31" s="37">
        <v>2</v>
      </c>
      <c r="H31" s="36">
        <v>1.1049723756906077E-2</v>
      </c>
      <c r="I31" s="5" t="s">
        <v>102</v>
      </c>
      <c r="J31" s="24"/>
    </row>
    <row r="32" spans="1:10" x14ac:dyDescent="0.3">
      <c r="A32" s="9" t="s">
        <v>36</v>
      </c>
      <c r="B32" s="11">
        <v>1005771</v>
      </c>
      <c r="C32" s="4" t="s">
        <v>37</v>
      </c>
      <c r="D32" s="35">
        <v>181</v>
      </c>
      <c r="E32" s="35">
        <v>4</v>
      </c>
      <c r="F32" s="36">
        <v>2.2099447513812154E-2</v>
      </c>
      <c r="G32" s="35">
        <v>0</v>
      </c>
      <c r="H32" s="36">
        <v>0</v>
      </c>
      <c r="I32" s="1" t="s">
        <v>106</v>
      </c>
      <c r="J32" s="21"/>
    </row>
    <row r="33" spans="1:10" x14ac:dyDescent="0.3">
      <c r="A33" s="9" t="s">
        <v>36</v>
      </c>
      <c r="B33" s="11">
        <v>1005773</v>
      </c>
      <c r="C33" s="4" t="s">
        <v>38</v>
      </c>
      <c r="D33" s="35">
        <v>181</v>
      </c>
      <c r="E33" s="35">
        <v>4</v>
      </c>
      <c r="F33" s="36">
        <v>2.2099447513812154E-2</v>
      </c>
      <c r="G33" s="35">
        <v>0</v>
      </c>
      <c r="H33" s="36">
        <v>0</v>
      </c>
      <c r="I33" s="1" t="s">
        <v>112</v>
      </c>
      <c r="J33" s="21"/>
    </row>
    <row r="34" spans="1:10" x14ac:dyDescent="0.3">
      <c r="A34" s="9" t="s">
        <v>36</v>
      </c>
      <c r="B34" s="11">
        <v>1009956</v>
      </c>
      <c r="C34" s="4" t="s">
        <v>53</v>
      </c>
      <c r="D34" s="35">
        <v>181</v>
      </c>
      <c r="E34" s="35">
        <v>2</v>
      </c>
      <c r="F34" s="36">
        <v>1.1049723756906077E-2</v>
      </c>
      <c r="G34" s="35">
        <v>1</v>
      </c>
      <c r="H34" s="36">
        <v>5.5248618784530384E-3</v>
      </c>
      <c r="I34" s="1" t="s">
        <v>54</v>
      </c>
      <c r="J34" s="22"/>
    </row>
    <row r="35" spans="1:10" x14ac:dyDescent="0.3">
      <c r="A35" s="9" t="s">
        <v>36</v>
      </c>
      <c r="B35" s="9">
        <v>1013411</v>
      </c>
      <c r="C35" s="1" t="s">
        <v>56</v>
      </c>
      <c r="D35" s="35">
        <v>181</v>
      </c>
      <c r="E35" s="35">
        <v>5</v>
      </c>
      <c r="F35" s="36">
        <v>2.7624309392265192E-2</v>
      </c>
      <c r="G35" s="35">
        <v>1</v>
      </c>
      <c r="H35" s="36">
        <v>5.5248618784530384E-3</v>
      </c>
      <c r="I35" s="1" t="s">
        <v>60</v>
      </c>
      <c r="J35" s="21"/>
    </row>
    <row r="36" spans="1:10" x14ac:dyDescent="0.3">
      <c r="A36" s="9" t="s">
        <v>36</v>
      </c>
      <c r="B36" s="9">
        <v>1010118</v>
      </c>
      <c r="C36" s="1" t="s">
        <v>57</v>
      </c>
      <c r="D36" s="35">
        <v>181</v>
      </c>
      <c r="E36" s="35">
        <v>5</v>
      </c>
      <c r="F36" s="36">
        <v>2.7624309392265192E-2</v>
      </c>
      <c r="G36" s="35">
        <v>1</v>
      </c>
      <c r="H36" s="36">
        <v>5.5248618784530384E-3</v>
      </c>
      <c r="I36" s="1" t="s">
        <v>59</v>
      </c>
      <c r="J36" s="21"/>
    </row>
    <row r="37" spans="1:10" x14ac:dyDescent="0.3">
      <c r="A37" s="9" t="s">
        <v>36</v>
      </c>
      <c r="B37" s="9">
        <v>1011575</v>
      </c>
      <c r="C37" s="1" t="s">
        <v>61</v>
      </c>
      <c r="D37" s="35">
        <v>181</v>
      </c>
      <c r="E37" s="35">
        <v>5</v>
      </c>
      <c r="F37" s="36">
        <v>2.7624309392265192E-2</v>
      </c>
      <c r="G37" s="35">
        <v>1</v>
      </c>
      <c r="H37" s="36">
        <v>5.5248618784530384E-3</v>
      </c>
      <c r="I37" s="1" t="s">
        <v>88</v>
      </c>
      <c r="J37" s="21"/>
    </row>
    <row r="38" spans="1:10" x14ac:dyDescent="0.3">
      <c r="A38" s="9" t="s">
        <v>36</v>
      </c>
      <c r="B38" s="9">
        <v>1013412</v>
      </c>
      <c r="C38" s="1" t="s">
        <v>58</v>
      </c>
      <c r="D38" s="35">
        <v>181</v>
      </c>
      <c r="E38" s="35">
        <v>5</v>
      </c>
      <c r="F38" s="36">
        <v>2.7624309392265192E-2</v>
      </c>
      <c r="G38" s="35">
        <v>2</v>
      </c>
      <c r="H38" s="36">
        <v>1.1049723756906077E-2</v>
      </c>
      <c r="I38" s="1" t="s">
        <v>62</v>
      </c>
      <c r="J38" s="21"/>
    </row>
    <row r="39" spans="1:10" x14ac:dyDescent="0.3">
      <c r="A39" s="9" t="s">
        <v>36</v>
      </c>
      <c r="B39" s="9">
        <v>1013413</v>
      </c>
      <c r="C39" s="1" t="s">
        <v>63</v>
      </c>
      <c r="D39" s="35">
        <v>181</v>
      </c>
      <c r="E39" s="35">
        <v>6</v>
      </c>
      <c r="F39" s="36">
        <v>3.3149171270718231E-2</v>
      </c>
      <c r="G39" s="35">
        <v>3</v>
      </c>
      <c r="H39" s="36">
        <v>1.6574585635359115E-2</v>
      </c>
      <c r="I39" s="1" t="s">
        <v>64</v>
      </c>
      <c r="J39" s="21"/>
    </row>
    <row r="40" spans="1:10" x14ac:dyDescent="0.3">
      <c r="A40" s="9" t="s">
        <v>36</v>
      </c>
      <c r="B40" s="9">
        <v>1013415</v>
      </c>
      <c r="C40" s="1" t="s">
        <v>65</v>
      </c>
      <c r="D40" s="35">
        <v>181</v>
      </c>
      <c r="E40" s="35">
        <v>0</v>
      </c>
      <c r="F40" s="36">
        <v>0</v>
      </c>
      <c r="G40" s="35">
        <v>0</v>
      </c>
      <c r="H40" s="36">
        <v>0</v>
      </c>
      <c r="I40" s="1" t="s">
        <v>67</v>
      </c>
      <c r="J40" s="21"/>
    </row>
    <row r="41" spans="1:10" x14ac:dyDescent="0.3">
      <c r="A41" s="9" t="s">
        <v>36</v>
      </c>
      <c r="B41" s="9">
        <v>1013416</v>
      </c>
      <c r="C41" s="1" t="s">
        <v>66</v>
      </c>
      <c r="D41" s="35">
        <v>181</v>
      </c>
      <c r="E41" s="35">
        <v>4</v>
      </c>
      <c r="F41" s="36">
        <v>2.2099447513812154E-2</v>
      </c>
      <c r="G41" s="35">
        <v>4</v>
      </c>
      <c r="H41" s="36">
        <v>2.2099447513812154E-2</v>
      </c>
      <c r="I41" s="1" t="s">
        <v>71</v>
      </c>
      <c r="J41" s="21"/>
    </row>
    <row r="42" spans="1:10" x14ac:dyDescent="0.3">
      <c r="A42" s="9" t="s">
        <v>36</v>
      </c>
      <c r="B42" s="9">
        <v>1015901</v>
      </c>
      <c r="C42" s="1" t="s">
        <v>68</v>
      </c>
      <c r="D42" s="35">
        <v>181</v>
      </c>
      <c r="E42" s="35">
        <v>5</v>
      </c>
      <c r="F42" s="36">
        <v>2.7624309392265192E-2</v>
      </c>
      <c r="G42" s="35">
        <v>1</v>
      </c>
      <c r="H42" s="36">
        <v>5.5248618784530384E-3</v>
      </c>
      <c r="I42" s="1" t="s">
        <v>86</v>
      </c>
      <c r="J42" s="21"/>
    </row>
    <row r="43" spans="1:10" x14ac:dyDescent="0.3">
      <c r="A43" s="9" t="s">
        <v>36</v>
      </c>
      <c r="B43" s="9">
        <v>1015902</v>
      </c>
      <c r="C43" s="1" t="s">
        <v>69</v>
      </c>
      <c r="D43" s="35">
        <v>181</v>
      </c>
      <c r="E43" s="35">
        <v>5</v>
      </c>
      <c r="F43" s="36">
        <v>2.7624309392265192E-2</v>
      </c>
      <c r="G43" s="35">
        <v>2</v>
      </c>
      <c r="H43" s="36">
        <v>1.1049723756906077E-2</v>
      </c>
      <c r="I43" s="1" t="s">
        <v>85</v>
      </c>
      <c r="J43" s="21"/>
    </row>
    <row r="44" spans="1:10" x14ac:dyDescent="0.3">
      <c r="A44" s="9" t="s">
        <v>36</v>
      </c>
      <c r="B44" s="9">
        <v>1022055</v>
      </c>
      <c r="C44" s="1" t="s">
        <v>70</v>
      </c>
      <c r="D44" s="35">
        <v>181</v>
      </c>
      <c r="E44" s="35">
        <v>4</v>
      </c>
      <c r="F44" s="36">
        <v>2.2099447513812154E-2</v>
      </c>
      <c r="G44" s="35">
        <v>5</v>
      </c>
      <c r="H44" s="36">
        <v>2.7624309392265192E-2</v>
      </c>
      <c r="I44" s="1" t="s">
        <v>92</v>
      </c>
      <c r="J44" s="21"/>
    </row>
    <row r="45" spans="1:10" x14ac:dyDescent="0.3">
      <c r="A45" s="9" t="s">
        <v>36</v>
      </c>
      <c r="B45" s="9">
        <v>1012300</v>
      </c>
      <c r="C45" s="1" t="s">
        <v>72</v>
      </c>
      <c r="D45" s="35">
        <v>181</v>
      </c>
      <c r="E45" s="35">
        <v>4</v>
      </c>
      <c r="F45" s="36">
        <v>2.2099447513812154E-2</v>
      </c>
      <c r="G45" s="35">
        <v>2</v>
      </c>
      <c r="H45" s="36">
        <v>1.1049723756906077E-2</v>
      </c>
      <c r="I45" s="1" t="s">
        <v>75</v>
      </c>
      <c r="J45" s="21"/>
    </row>
    <row r="46" spans="1:10" x14ac:dyDescent="0.3">
      <c r="A46" s="9" t="s">
        <v>7</v>
      </c>
      <c r="B46" s="9">
        <v>1012300</v>
      </c>
      <c r="C46" s="1" t="s">
        <v>72</v>
      </c>
      <c r="D46" s="35"/>
      <c r="E46" s="35"/>
      <c r="F46" s="36"/>
      <c r="G46" s="35"/>
      <c r="H46" s="36"/>
      <c r="I46" s="1"/>
      <c r="J46" s="21"/>
    </row>
    <row r="47" spans="1:10" x14ac:dyDescent="0.3">
      <c r="A47" s="9" t="s">
        <v>36</v>
      </c>
      <c r="B47" s="9">
        <v>1012304</v>
      </c>
      <c r="C47" s="1" t="s">
        <v>73</v>
      </c>
      <c r="D47" s="35">
        <v>181</v>
      </c>
      <c r="E47" s="35">
        <v>4</v>
      </c>
      <c r="F47" s="36">
        <v>2.2099447513812154E-2</v>
      </c>
      <c r="G47" s="35">
        <v>2</v>
      </c>
      <c r="H47" s="36">
        <v>1.1049723756906077E-2</v>
      </c>
      <c r="I47" s="1" t="s">
        <v>75</v>
      </c>
      <c r="J47" s="21"/>
    </row>
    <row r="48" spans="1:10" x14ac:dyDescent="0.3">
      <c r="A48" s="9" t="s">
        <v>36</v>
      </c>
      <c r="B48" s="9">
        <v>1015634</v>
      </c>
      <c r="C48" s="1" t="s">
        <v>74</v>
      </c>
      <c r="D48" s="35">
        <v>181</v>
      </c>
      <c r="E48" s="35">
        <v>0</v>
      </c>
      <c r="F48" s="36">
        <v>0</v>
      </c>
      <c r="G48" s="35">
        <v>2</v>
      </c>
      <c r="H48" s="36">
        <v>1.1049723756906077E-2</v>
      </c>
      <c r="I48" s="1" t="s">
        <v>93</v>
      </c>
      <c r="J48" s="21"/>
    </row>
    <row r="49" spans="1:10" x14ac:dyDescent="0.3">
      <c r="A49" s="9" t="s">
        <v>36</v>
      </c>
      <c r="B49" s="9">
        <v>824151723</v>
      </c>
      <c r="C49" s="1" t="s">
        <v>76</v>
      </c>
      <c r="D49" s="35">
        <v>181</v>
      </c>
      <c r="E49" s="35">
        <v>0</v>
      </c>
      <c r="F49" s="36">
        <v>0</v>
      </c>
      <c r="G49" s="35">
        <v>0</v>
      </c>
      <c r="H49" s="36">
        <v>0</v>
      </c>
      <c r="I49" s="1" t="s">
        <v>77</v>
      </c>
      <c r="J49" s="21"/>
    </row>
    <row r="50" spans="1:10" x14ac:dyDescent="0.3">
      <c r="A50" s="9" t="s">
        <v>36</v>
      </c>
      <c r="B50" s="11">
        <v>824036997</v>
      </c>
      <c r="C50" s="28" t="s">
        <v>78</v>
      </c>
      <c r="D50" s="35">
        <v>181</v>
      </c>
      <c r="E50" s="35">
        <v>0</v>
      </c>
      <c r="F50" s="36">
        <v>0</v>
      </c>
      <c r="G50" s="35">
        <v>9</v>
      </c>
      <c r="H50" s="36">
        <v>4.9723756906077346E-2</v>
      </c>
      <c r="I50" s="1" t="s">
        <v>79</v>
      </c>
      <c r="J50" s="21"/>
    </row>
    <row r="51" spans="1:10" x14ac:dyDescent="0.3">
      <c r="A51" s="9" t="s">
        <v>36</v>
      </c>
      <c r="B51" s="11">
        <v>1012215</v>
      </c>
      <c r="C51" s="28" t="s">
        <v>80</v>
      </c>
      <c r="D51" s="35">
        <v>181</v>
      </c>
      <c r="E51" s="35">
        <v>6</v>
      </c>
      <c r="F51" s="36">
        <v>3.3149171270718231E-2</v>
      </c>
      <c r="G51" s="35">
        <v>10</v>
      </c>
      <c r="H51" s="36">
        <v>5.5248618784530384E-2</v>
      </c>
      <c r="I51" s="1" t="s">
        <v>89</v>
      </c>
      <c r="J51" s="21"/>
    </row>
    <row r="52" spans="1:10" x14ac:dyDescent="0.3">
      <c r="A52" s="9" t="s">
        <v>36</v>
      </c>
      <c r="B52" s="11">
        <v>1012510</v>
      </c>
      <c r="C52" s="28" t="s">
        <v>81</v>
      </c>
      <c r="D52" s="35">
        <v>181</v>
      </c>
      <c r="E52" s="35">
        <v>5</v>
      </c>
      <c r="F52" s="36">
        <v>2.7624309392265192E-2</v>
      </c>
      <c r="G52" s="35">
        <v>1</v>
      </c>
      <c r="H52" s="36">
        <v>5.5248618784530384E-3</v>
      </c>
      <c r="I52" s="1" t="s">
        <v>84</v>
      </c>
      <c r="J52" s="21"/>
    </row>
    <row r="53" spans="1:10" x14ac:dyDescent="0.3">
      <c r="A53" s="9" t="s">
        <v>36</v>
      </c>
      <c r="B53" s="11">
        <v>1013299</v>
      </c>
      <c r="C53" s="29" t="s">
        <v>82</v>
      </c>
      <c r="D53" s="35">
        <v>181</v>
      </c>
      <c r="E53" s="35">
        <v>5</v>
      </c>
      <c r="F53" s="36">
        <v>2.7624309392265192E-2</v>
      </c>
      <c r="G53" s="35">
        <v>1</v>
      </c>
      <c r="H53" s="36">
        <v>5.5248618784530384E-3</v>
      </c>
      <c r="I53" s="1" t="s">
        <v>90</v>
      </c>
      <c r="J53" s="21"/>
    </row>
    <row r="54" spans="1:10" x14ac:dyDescent="0.3">
      <c r="A54" s="9" t="s">
        <v>36</v>
      </c>
      <c r="B54" s="11">
        <v>1013549</v>
      </c>
      <c r="C54" s="28" t="s">
        <v>83</v>
      </c>
      <c r="D54" s="35">
        <v>181</v>
      </c>
      <c r="E54" s="35">
        <v>4</v>
      </c>
      <c r="F54" s="36">
        <v>2.2099447513812154E-2</v>
      </c>
      <c r="G54" s="35">
        <v>1</v>
      </c>
      <c r="H54" s="36">
        <v>5.5248618784530384E-3</v>
      </c>
      <c r="I54" s="1" t="s">
        <v>91</v>
      </c>
      <c r="J54" s="21"/>
    </row>
  </sheetData>
  <customSheetViews>
    <customSheetView guid="{1EE62E9F-0698-46CF-BB3C-23E1EBAB6664}">
      <selection activeCell="D10" sqref="D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C647-55F7-4E1A-A733-033BC30CB7E1}">
  <dimension ref="A1:I6"/>
  <sheetViews>
    <sheetView workbookViewId="0">
      <selection activeCell="D3" sqref="D3"/>
    </sheetView>
  </sheetViews>
  <sheetFormatPr defaultRowHeight="14.4" x14ac:dyDescent="0.3"/>
  <cols>
    <col min="1" max="1" width="8.33203125" style="2" customWidth="1"/>
    <col min="2" max="2" width="39.109375" style="2" bestFit="1" customWidth="1"/>
    <col min="3" max="3" width="23.21875" style="2" bestFit="1" customWidth="1"/>
    <col min="4" max="4" width="19.77734375" style="2" bestFit="1" customWidth="1"/>
    <col min="5" max="5" width="20" style="2" bestFit="1" customWidth="1"/>
    <col min="6" max="6" width="11.5546875" style="2" bestFit="1" customWidth="1"/>
    <col min="7" max="7" width="15.6640625" style="2" bestFit="1" customWidth="1"/>
    <col min="8" max="8" width="8.33203125" style="2" customWidth="1"/>
    <col min="9" max="9" width="47.44140625" style="2" bestFit="1" customWidth="1"/>
    <col min="10" max="16384" width="8.88671875" style="2"/>
  </cols>
  <sheetData>
    <row r="1" spans="1:9" x14ac:dyDescent="0.3">
      <c r="A1" s="40" t="s">
        <v>33</v>
      </c>
      <c r="B1" s="40" t="s">
        <v>0</v>
      </c>
      <c r="C1" s="40" t="s">
        <v>118</v>
      </c>
      <c r="D1" s="40" t="s">
        <v>117</v>
      </c>
      <c r="E1" s="40" t="s">
        <v>119</v>
      </c>
      <c r="F1" s="40" t="s">
        <v>115</v>
      </c>
      <c r="G1" s="40" t="s">
        <v>120</v>
      </c>
      <c r="H1" s="40" t="s">
        <v>116</v>
      </c>
      <c r="I1" s="41" t="s">
        <v>22</v>
      </c>
    </row>
    <row r="2" spans="1:9" x14ac:dyDescent="0.3">
      <c r="A2" s="1">
        <v>19584</v>
      </c>
      <c r="B2" s="1" t="s">
        <v>1</v>
      </c>
      <c r="C2" s="21">
        <v>7</v>
      </c>
      <c r="D2" s="21">
        <v>181</v>
      </c>
      <c r="E2" s="21">
        <v>0</v>
      </c>
      <c r="F2" s="33">
        <f>E2/D2</f>
        <v>0</v>
      </c>
      <c r="G2" s="21">
        <v>1</v>
      </c>
      <c r="H2" s="33">
        <f>G2/D2</f>
        <v>5.5248618784530384E-3</v>
      </c>
      <c r="I2" s="5" t="s">
        <v>121</v>
      </c>
    </row>
    <row r="3" spans="1:9" x14ac:dyDescent="0.3">
      <c r="A3" s="4">
        <v>36616</v>
      </c>
      <c r="B3" s="4" t="s">
        <v>26</v>
      </c>
      <c r="C3" s="21">
        <v>6</v>
      </c>
      <c r="D3" s="21">
        <v>181</v>
      </c>
      <c r="E3" s="21">
        <v>1</v>
      </c>
      <c r="F3" s="33">
        <f t="shared" ref="F3:F6" si="0">E3/D3</f>
        <v>5.5248618784530384E-3</v>
      </c>
      <c r="G3" s="21">
        <v>0</v>
      </c>
      <c r="H3" s="33">
        <f t="shared" ref="H3:H6" si="1">G3/D3</f>
        <v>0</v>
      </c>
      <c r="I3" s="5" t="s">
        <v>111</v>
      </c>
    </row>
    <row r="4" spans="1:9" x14ac:dyDescent="0.3">
      <c r="A4" s="4">
        <v>1010119</v>
      </c>
      <c r="B4" s="4" t="s">
        <v>31</v>
      </c>
      <c r="C4" s="21">
        <v>6</v>
      </c>
      <c r="D4" s="21">
        <v>181</v>
      </c>
      <c r="E4" s="21">
        <v>0</v>
      </c>
      <c r="F4" s="33">
        <f t="shared" si="0"/>
        <v>0</v>
      </c>
      <c r="G4" s="21">
        <v>0</v>
      </c>
      <c r="H4" s="33">
        <f t="shared" si="1"/>
        <v>0</v>
      </c>
      <c r="I4" s="5" t="s">
        <v>105</v>
      </c>
    </row>
    <row r="5" spans="1:9" x14ac:dyDescent="0.3">
      <c r="A5" s="1">
        <v>1012229</v>
      </c>
      <c r="B5" s="1" t="s">
        <v>50</v>
      </c>
      <c r="C5" s="21">
        <v>5</v>
      </c>
      <c r="D5" s="21">
        <v>181</v>
      </c>
      <c r="E5" s="21">
        <v>0</v>
      </c>
      <c r="F5" s="33">
        <f t="shared" si="0"/>
        <v>0</v>
      </c>
      <c r="G5" s="21">
        <v>0</v>
      </c>
      <c r="H5" s="33">
        <f t="shared" si="1"/>
        <v>0</v>
      </c>
      <c r="I5" s="5" t="s">
        <v>105</v>
      </c>
    </row>
    <row r="6" spans="1:9" x14ac:dyDescent="0.3">
      <c r="A6" s="4">
        <v>1006167</v>
      </c>
      <c r="B6" s="4" t="s">
        <v>39</v>
      </c>
      <c r="C6" s="21">
        <v>4</v>
      </c>
      <c r="D6" s="21">
        <v>181</v>
      </c>
      <c r="E6" s="21">
        <v>0</v>
      </c>
      <c r="F6" s="33">
        <f t="shared" si="0"/>
        <v>0</v>
      </c>
      <c r="G6" s="21">
        <v>3</v>
      </c>
      <c r="H6" s="33">
        <f t="shared" si="1"/>
        <v>1.6574585635359115E-2</v>
      </c>
      <c r="I6" s="5" t="s">
        <v>110</v>
      </c>
    </row>
  </sheetData>
  <customSheetViews>
    <customSheetView guid="{1EE62E9F-0698-46CF-BB3C-23E1EBAB6664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Overview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Biswas</dc:creator>
  <cp:lastModifiedBy>Susmita Biswas</cp:lastModifiedBy>
  <dcterms:created xsi:type="dcterms:W3CDTF">2026-08-20T07:36:21Z</dcterms:created>
  <dcterms:modified xsi:type="dcterms:W3CDTF">2026-09-11T05:26:27Z</dcterms:modified>
</cp:coreProperties>
</file>